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ju\Downloads\"/>
    </mc:Choice>
  </mc:AlternateContent>
  <xr:revisionPtr revIDLastSave="0" documentId="13_ncr:9_{6F1E8ACD-2B46-4501-8122-77914EAC56FB}" xr6:coauthVersionLast="47" xr6:coauthVersionMax="47" xr10:uidLastSave="{00000000-0000-0000-0000-000000000000}"/>
  <bookViews>
    <workbookView xWindow="28680" yWindow="-120" windowWidth="29040" windowHeight="15720" firstSheet="1" activeTab="2" xr2:uid="{789D7F78-F61A-476E-B874-8087A5247B2F}"/>
  </bookViews>
  <sheets>
    <sheet name="{worksheet}" sheetId="1" state="hidden" r:id="rId1"/>
    <sheet name="H1 Analysis" sheetId="3" r:id="rId2"/>
    <sheet name="Meeting Prep" sheetId="4" r:id="rId3"/>
    <sheet name="요약·특이점 (KR)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" i="5" l="1"/>
  <c r="C69" i="5"/>
  <c r="C68" i="5"/>
  <c r="C67" i="5"/>
  <c r="C66" i="5"/>
  <c r="C65" i="5"/>
  <c r="C64" i="5"/>
  <c r="B69" i="5"/>
  <c r="B68" i="5"/>
  <c r="B67" i="5"/>
  <c r="B66" i="5"/>
  <c r="B65" i="5"/>
  <c r="B64" i="5"/>
  <c r="J10" i="5"/>
  <c r="J9" i="5"/>
  <c r="F10" i="5"/>
  <c r="F9" i="5"/>
  <c r="B10" i="5"/>
  <c r="B9" i="5"/>
  <c r="J6" i="5"/>
  <c r="J5" i="5"/>
  <c r="F6" i="5"/>
  <c r="F5" i="5"/>
  <c r="B6" i="5"/>
  <c r="B5" i="5"/>
  <c r="A25" i="4"/>
  <c r="A21" i="4"/>
  <c r="A19" i="4"/>
  <c r="A18" i="4"/>
  <c r="A15" i="4"/>
  <c r="A12" i="4"/>
  <c r="A11" i="4"/>
  <c r="A8" i="4"/>
  <c r="A7" i="4"/>
  <c r="A6" i="4"/>
  <c r="A5" i="4"/>
  <c r="F132" i="3"/>
  <c r="E132" i="3"/>
  <c r="F131" i="3"/>
  <c r="E131" i="3"/>
  <c r="F130" i="3"/>
  <c r="E130" i="3"/>
  <c r="F129" i="3"/>
  <c r="E129" i="3"/>
  <c r="F127" i="3"/>
  <c r="E127" i="3"/>
  <c r="F126" i="3"/>
  <c r="E126" i="3"/>
  <c r="F125" i="3"/>
  <c r="E125" i="3"/>
  <c r="F124" i="3"/>
  <c r="E124" i="3"/>
  <c r="F123" i="3"/>
  <c r="E123" i="3"/>
  <c r="C131" i="3"/>
  <c r="B131" i="3"/>
  <c r="A131" i="3"/>
  <c r="C130" i="3"/>
  <c r="B130" i="3"/>
  <c r="A130" i="3"/>
  <c r="C129" i="3"/>
  <c r="B129" i="3"/>
  <c r="A129" i="3"/>
  <c r="C128" i="3"/>
  <c r="B128" i="3"/>
  <c r="A128" i="3"/>
  <c r="C127" i="3"/>
  <c r="B127" i="3"/>
  <c r="A127" i="3"/>
  <c r="C126" i="3"/>
  <c r="B126" i="3"/>
  <c r="A126" i="3"/>
  <c r="C125" i="3"/>
  <c r="B125" i="3"/>
  <c r="A125" i="3"/>
  <c r="C124" i="3"/>
  <c r="B124" i="3"/>
  <c r="A124" i="3"/>
  <c r="C123" i="3"/>
  <c r="B123" i="3"/>
  <c r="A123" i="3"/>
  <c r="F128" i="3"/>
  <c r="E128" i="3"/>
  <c r="F122" i="3"/>
  <c r="E122" i="3"/>
  <c r="C122" i="3"/>
  <c r="B122" i="3"/>
  <c r="A122" i="3"/>
  <c r="D22" i="3"/>
  <c r="C22" i="3"/>
  <c r="B22" i="3"/>
  <c r="C21" i="3"/>
  <c r="B21" i="3"/>
  <c r="D21" i="3" s="1"/>
  <c r="C20" i="3"/>
  <c r="B20" i="3"/>
  <c r="D20" i="3" s="1"/>
  <c r="C19" i="3"/>
  <c r="B19" i="3"/>
  <c r="D19" i="3" s="1"/>
  <c r="C18" i="3"/>
  <c r="B18" i="3"/>
  <c r="D18" i="3" s="1"/>
  <c r="C17" i="3"/>
  <c r="B17" i="3"/>
  <c r="D17" i="3" s="1"/>
  <c r="D16" i="3"/>
  <c r="C16" i="3"/>
  <c r="B16" i="3"/>
  <c r="E12" i="3"/>
  <c r="D12" i="3"/>
  <c r="D11" i="3"/>
  <c r="E10" i="3"/>
  <c r="D10" i="3"/>
  <c r="E9" i="3"/>
  <c r="D9" i="3"/>
  <c r="D8" i="3"/>
  <c r="E7" i="3"/>
  <c r="D7" i="3"/>
  <c r="E6" i="3"/>
  <c r="D6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D26" i="3"/>
  <c r="G26" i="3" s="1"/>
  <c r="M26" i="3" s="1"/>
  <c r="E26" i="3"/>
  <c r="F26" i="3" s="1"/>
  <c r="H26" i="3"/>
  <c r="I26" i="3"/>
  <c r="J26" i="3"/>
  <c r="L26" i="3"/>
  <c r="D27" i="3"/>
  <c r="M27" i="3" s="1"/>
  <c r="E27" i="3"/>
  <c r="F27" i="3" s="1"/>
  <c r="G27" i="3"/>
  <c r="H27" i="3"/>
  <c r="I27" i="3"/>
  <c r="J27" i="3"/>
  <c r="K27" i="3" s="1"/>
  <c r="L27" i="3"/>
  <c r="D28" i="3"/>
  <c r="E28" i="3"/>
  <c r="K28" i="3" s="1"/>
  <c r="G28" i="3"/>
  <c r="M28" i="3" s="1"/>
  <c r="H28" i="3"/>
  <c r="I28" i="3"/>
  <c r="J28" i="3"/>
  <c r="L28" i="3"/>
  <c r="D29" i="3"/>
  <c r="G29" i="3" s="1"/>
  <c r="M29" i="3" s="1"/>
  <c r="E29" i="3"/>
  <c r="K29" i="3" s="1"/>
  <c r="F29" i="3"/>
  <c r="H29" i="3"/>
  <c r="I29" i="3"/>
  <c r="J29" i="3"/>
  <c r="L29" i="3"/>
  <c r="D30" i="3"/>
  <c r="E30" i="3"/>
  <c r="H30" i="3"/>
  <c r="I30" i="3"/>
  <c r="J30" i="3"/>
  <c r="K30" i="3" s="1"/>
  <c r="L30" i="3"/>
  <c r="D31" i="3"/>
  <c r="E31" i="3"/>
  <c r="K31" i="3" s="1"/>
  <c r="G31" i="3"/>
  <c r="M31" i="3" s="1"/>
  <c r="H31" i="3"/>
  <c r="I31" i="3"/>
  <c r="J31" i="3"/>
  <c r="L31" i="3"/>
  <c r="D32" i="3"/>
  <c r="G32" i="3" s="1"/>
  <c r="M32" i="3" s="1"/>
  <c r="E32" i="3"/>
  <c r="K32" i="3" s="1"/>
  <c r="H32" i="3"/>
  <c r="I32" i="3"/>
  <c r="J32" i="3"/>
  <c r="L32" i="3"/>
  <c r="D33" i="3"/>
  <c r="G33" i="3" s="1"/>
  <c r="E33" i="3"/>
  <c r="F33" i="3"/>
  <c r="H33" i="3"/>
  <c r="I33" i="3"/>
  <c r="J33" i="3"/>
  <c r="K33" i="3"/>
  <c r="L33" i="3"/>
  <c r="D34" i="3"/>
  <c r="M34" i="3" s="1"/>
  <c r="E34" i="3"/>
  <c r="H34" i="3"/>
  <c r="I34" i="3"/>
  <c r="J34" i="3"/>
  <c r="K34" i="3" s="1"/>
  <c r="L34" i="3"/>
  <c r="D35" i="3"/>
  <c r="M35" i="3" s="1"/>
  <c r="E35" i="3"/>
  <c r="K35" i="3" s="1"/>
  <c r="G35" i="3"/>
  <c r="H35" i="3"/>
  <c r="I35" i="3"/>
  <c r="J35" i="3"/>
  <c r="L35" i="3"/>
  <c r="D36" i="3"/>
  <c r="G36" i="3" s="1"/>
  <c r="M36" i="3" s="1"/>
  <c r="E36" i="3"/>
  <c r="K36" i="3" s="1"/>
  <c r="H36" i="3"/>
  <c r="I36" i="3"/>
  <c r="J36" i="3"/>
  <c r="L36" i="3"/>
  <c r="D37" i="3"/>
  <c r="G37" i="3" s="1"/>
  <c r="E37" i="3"/>
  <c r="F37" i="3"/>
  <c r="H37" i="3"/>
  <c r="I37" i="3"/>
  <c r="J37" i="3"/>
  <c r="K37" i="3"/>
  <c r="L37" i="3"/>
  <c r="D38" i="3"/>
  <c r="M38" i="3" s="1"/>
  <c r="E38" i="3"/>
  <c r="H38" i="3"/>
  <c r="I38" i="3"/>
  <c r="J38" i="3"/>
  <c r="K38" i="3" s="1"/>
  <c r="L38" i="3"/>
  <c r="D39" i="3"/>
  <c r="M39" i="3" s="1"/>
  <c r="E39" i="3"/>
  <c r="K39" i="3" s="1"/>
  <c r="G39" i="3"/>
  <c r="H39" i="3"/>
  <c r="I39" i="3"/>
  <c r="J39" i="3"/>
  <c r="L39" i="3"/>
  <c r="D40" i="3"/>
  <c r="G40" i="3" s="1"/>
  <c r="M40" i="3" s="1"/>
  <c r="E40" i="3"/>
  <c r="K40" i="3" s="1"/>
  <c r="F40" i="3"/>
  <c r="H40" i="3"/>
  <c r="I40" i="3"/>
  <c r="J40" i="3"/>
  <c r="L40" i="3"/>
  <c r="D41" i="3"/>
  <c r="G41" i="3" s="1"/>
  <c r="E41" i="3"/>
  <c r="F41" i="3"/>
  <c r="H41" i="3"/>
  <c r="I41" i="3"/>
  <c r="J41" i="3"/>
  <c r="K41" i="3"/>
  <c r="L41" i="3"/>
  <c r="D42" i="3"/>
  <c r="E42" i="3"/>
  <c r="H42" i="3"/>
  <c r="I42" i="3"/>
  <c r="J42" i="3"/>
  <c r="K42" i="3" s="1"/>
  <c r="L42" i="3"/>
  <c r="D43" i="3"/>
  <c r="E43" i="3"/>
  <c r="K43" i="3" s="1"/>
  <c r="H43" i="3"/>
  <c r="I43" i="3"/>
  <c r="J43" i="3"/>
  <c r="L43" i="3"/>
  <c r="D44" i="3"/>
  <c r="G44" i="3" s="1"/>
  <c r="M44" i="3" s="1"/>
  <c r="E44" i="3"/>
  <c r="K44" i="3" s="1"/>
  <c r="F44" i="3"/>
  <c r="H44" i="3"/>
  <c r="I44" i="3"/>
  <c r="J44" i="3"/>
  <c r="L44" i="3"/>
  <c r="D45" i="3"/>
  <c r="G45" i="3" s="1"/>
  <c r="E45" i="3"/>
  <c r="F45" i="3"/>
  <c r="H45" i="3"/>
  <c r="I45" i="3"/>
  <c r="J45" i="3"/>
  <c r="K45" i="3"/>
  <c r="L45" i="3"/>
  <c r="D46" i="3"/>
  <c r="E46" i="3"/>
  <c r="H46" i="3"/>
  <c r="I46" i="3"/>
  <c r="J46" i="3"/>
  <c r="K46" i="3" s="1"/>
  <c r="L46" i="3"/>
  <c r="D47" i="3"/>
  <c r="E47" i="3"/>
  <c r="K47" i="3" s="1"/>
  <c r="H47" i="3"/>
  <c r="I47" i="3"/>
  <c r="J47" i="3"/>
  <c r="L47" i="3"/>
  <c r="D48" i="3"/>
  <c r="G48" i="3" s="1"/>
  <c r="M48" i="3" s="1"/>
  <c r="E48" i="3"/>
  <c r="K48" i="3" s="1"/>
  <c r="F48" i="3"/>
  <c r="H48" i="3"/>
  <c r="I48" i="3"/>
  <c r="J48" i="3"/>
  <c r="L48" i="3"/>
  <c r="D49" i="3"/>
  <c r="G49" i="3" s="1"/>
  <c r="E49" i="3"/>
  <c r="H49" i="3"/>
  <c r="I49" i="3"/>
  <c r="J49" i="3"/>
  <c r="K49" i="3"/>
  <c r="L49" i="3"/>
  <c r="D50" i="3"/>
  <c r="M50" i="3" s="1"/>
  <c r="E50" i="3"/>
  <c r="H50" i="3"/>
  <c r="I50" i="3"/>
  <c r="J50" i="3"/>
  <c r="K50" i="3" s="1"/>
  <c r="L50" i="3"/>
  <c r="D51" i="3"/>
  <c r="M51" i="3" s="1"/>
  <c r="E51" i="3"/>
  <c r="K51" i="3" s="1"/>
  <c r="H51" i="3"/>
  <c r="I51" i="3"/>
  <c r="J51" i="3"/>
  <c r="L51" i="3"/>
  <c r="D52" i="3"/>
  <c r="G52" i="3" s="1"/>
  <c r="M52" i="3" s="1"/>
  <c r="E52" i="3"/>
  <c r="K52" i="3" s="1"/>
  <c r="F52" i="3"/>
  <c r="H52" i="3"/>
  <c r="I52" i="3"/>
  <c r="J52" i="3"/>
  <c r="L52" i="3"/>
  <c r="D53" i="3"/>
  <c r="F53" i="3" s="1"/>
  <c r="E53" i="3"/>
  <c r="H53" i="3"/>
  <c r="I53" i="3"/>
  <c r="J53" i="3"/>
  <c r="K53" i="3"/>
  <c r="L53" i="3"/>
  <c r="D54" i="3"/>
  <c r="E54" i="3"/>
  <c r="H54" i="3"/>
  <c r="I54" i="3"/>
  <c r="J54" i="3"/>
  <c r="K54" i="3" s="1"/>
  <c r="L54" i="3"/>
  <c r="D55" i="3"/>
  <c r="M55" i="3" s="1"/>
  <c r="E55" i="3"/>
  <c r="K55" i="3" s="1"/>
  <c r="H55" i="3"/>
  <c r="I55" i="3"/>
  <c r="J55" i="3"/>
  <c r="L55" i="3"/>
  <c r="D56" i="3"/>
  <c r="G56" i="3" s="1"/>
  <c r="E56" i="3"/>
  <c r="F56" i="3"/>
  <c r="H56" i="3"/>
  <c r="I56" i="3"/>
  <c r="J56" i="3"/>
  <c r="K56" i="3" s="1"/>
  <c r="L56" i="3"/>
  <c r="M56" i="3"/>
  <c r="D57" i="3"/>
  <c r="F57" i="3" s="1"/>
  <c r="E57" i="3"/>
  <c r="H57" i="3"/>
  <c r="I57" i="3"/>
  <c r="J57" i="3"/>
  <c r="K57" i="3"/>
  <c r="L57" i="3"/>
  <c r="D58" i="3"/>
  <c r="M58" i="3" s="1"/>
  <c r="E58" i="3"/>
  <c r="H58" i="3"/>
  <c r="I58" i="3"/>
  <c r="J58" i="3"/>
  <c r="K58" i="3" s="1"/>
  <c r="L58" i="3"/>
  <c r="D59" i="3"/>
  <c r="E59" i="3"/>
  <c r="K59" i="3" s="1"/>
  <c r="H59" i="3"/>
  <c r="I59" i="3"/>
  <c r="J59" i="3"/>
  <c r="L59" i="3"/>
  <c r="D60" i="3"/>
  <c r="G60" i="3" s="1"/>
  <c r="M60" i="3" s="1"/>
  <c r="E60" i="3"/>
  <c r="F60" i="3"/>
  <c r="H60" i="3"/>
  <c r="I60" i="3"/>
  <c r="J60" i="3"/>
  <c r="K60" i="3" s="1"/>
  <c r="L60" i="3"/>
  <c r="D61" i="3"/>
  <c r="G61" i="3" s="1"/>
  <c r="E61" i="3"/>
  <c r="H61" i="3"/>
  <c r="I61" i="3"/>
  <c r="J61" i="3"/>
  <c r="K61" i="3"/>
  <c r="L61" i="3"/>
  <c r="D62" i="3"/>
  <c r="E62" i="3"/>
  <c r="H62" i="3"/>
  <c r="I62" i="3"/>
  <c r="J62" i="3"/>
  <c r="K62" i="3" s="1"/>
  <c r="L62" i="3"/>
  <c r="D63" i="3"/>
  <c r="E63" i="3"/>
  <c r="K63" i="3" s="1"/>
  <c r="H63" i="3"/>
  <c r="I63" i="3"/>
  <c r="J63" i="3"/>
  <c r="L63" i="3"/>
  <c r="D64" i="3"/>
  <c r="G64" i="3" s="1"/>
  <c r="E64" i="3"/>
  <c r="F64" i="3"/>
  <c r="H64" i="3"/>
  <c r="I64" i="3"/>
  <c r="J64" i="3"/>
  <c r="K64" i="3" s="1"/>
  <c r="L64" i="3"/>
  <c r="M64" i="3"/>
  <c r="D65" i="3"/>
  <c r="F65" i="3" s="1"/>
  <c r="E65" i="3"/>
  <c r="H65" i="3"/>
  <c r="I65" i="3"/>
  <c r="J65" i="3"/>
  <c r="K65" i="3" s="1"/>
  <c r="L65" i="3"/>
  <c r="D66" i="3"/>
  <c r="E66" i="3"/>
  <c r="H66" i="3"/>
  <c r="I66" i="3"/>
  <c r="J66" i="3"/>
  <c r="K66" i="3" s="1"/>
  <c r="L66" i="3"/>
  <c r="D67" i="3"/>
  <c r="M67" i="3" s="1"/>
  <c r="E67" i="3"/>
  <c r="K67" i="3" s="1"/>
  <c r="H67" i="3"/>
  <c r="I67" i="3"/>
  <c r="J67" i="3"/>
  <c r="L67" i="3"/>
  <c r="D68" i="3"/>
  <c r="M68" i="3" s="1"/>
  <c r="E68" i="3"/>
  <c r="F68" i="3"/>
  <c r="H68" i="3"/>
  <c r="I68" i="3"/>
  <c r="J68" i="3"/>
  <c r="K68" i="3" s="1"/>
  <c r="L68" i="3"/>
  <c r="D69" i="3"/>
  <c r="F69" i="3" s="1"/>
  <c r="E69" i="3"/>
  <c r="H69" i="3"/>
  <c r="I69" i="3"/>
  <c r="J69" i="3"/>
  <c r="K69" i="3" s="1"/>
  <c r="L69" i="3"/>
  <c r="D70" i="3"/>
  <c r="E70" i="3"/>
  <c r="H70" i="3"/>
  <c r="I70" i="3"/>
  <c r="J70" i="3"/>
  <c r="K70" i="3" s="1"/>
  <c r="L70" i="3"/>
  <c r="D71" i="3"/>
  <c r="E71" i="3"/>
  <c r="K71" i="3" s="1"/>
  <c r="H71" i="3"/>
  <c r="I71" i="3"/>
  <c r="J71" i="3"/>
  <c r="L71" i="3"/>
  <c r="D72" i="3"/>
  <c r="E72" i="3"/>
  <c r="F72" i="3"/>
  <c r="H72" i="3"/>
  <c r="I72" i="3"/>
  <c r="J72" i="3"/>
  <c r="K72" i="3" s="1"/>
  <c r="L72" i="3"/>
  <c r="D73" i="3"/>
  <c r="G73" i="3" s="1"/>
  <c r="E73" i="3"/>
  <c r="H73" i="3"/>
  <c r="I73" i="3"/>
  <c r="J73" i="3"/>
  <c r="K73" i="3" s="1"/>
  <c r="L73" i="3"/>
  <c r="D74" i="3"/>
  <c r="E74" i="3"/>
  <c r="H74" i="3"/>
  <c r="I74" i="3"/>
  <c r="J74" i="3"/>
  <c r="K74" i="3" s="1"/>
  <c r="L74" i="3"/>
  <c r="D75" i="3"/>
  <c r="E75" i="3"/>
  <c r="K75" i="3" s="1"/>
  <c r="H75" i="3"/>
  <c r="I75" i="3"/>
  <c r="J75" i="3"/>
  <c r="L75" i="3"/>
  <c r="D76" i="3"/>
  <c r="M76" i="3" s="1"/>
  <c r="E76" i="3"/>
  <c r="F76" i="3"/>
  <c r="H76" i="3"/>
  <c r="I76" i="3"/>
  <c r="J76" i="3"/>
  <c r="K76" i="3" s="1"/>
  <c r="L76" i="3"/>
  <c r="D77" i="3"/>
  <c r="F77" i="3" s="1"/>
  <c r="E77" i="3"/>
  <c r="H77" i="3"/>
  <c r="I77" i="3"/>
  <c r="J77" i="3"/>
  <c r="K77" i="3" s="1"/>
  <c r="L77" i="3"/>
  <c r="D78" i="3"/>
  <c r="M78" i="3" s="1"/>
  <c r="E78" i="3"/>
  <c r="H78" i="3"/>
  <c r="I78" i="3"/>
  <c r="J78" i="3"/>
  <c r="K78" i="3" s="1"/>
  <c r="L78" i="3"/>
  <c r="D79" i="3"/>
  <c r="M79" i="3" s="1"/>
  <c r="E79" i="3"/>
  <c r="K79" i="3" s="1"/>
  <c r="H79" i="3"/>
  <c r="I79" i="3"/>
  <c r="J79" i="3"/>
  <c r="L79" i="3"/>
  <c r="D80" i="3"/>
  <c r="M80" i="3" s="1"/>
  <c r="E80" i="3"/>
  <c r="F80" i="3"/>
  <c r="H80" i="3"/>
  <c r="I80" i="3"/>
  <c r="J80" i="3"/>
  <c r="K80" i="3" s="1"/>
  <c r="L80" i="3"/>
  <c r="D81" i="3"/>
  <c r="G81" i="3" s="1"/>
  <c r="E81" i="3"/>
  <c r="H81" i="3"/>
  <c r="I81" i="3"/>
  <c r="J81" i="3"/>
  <c r="K81" i="3" s="1"/>
  <c r="L81" i="3"/>
  <c r="D82" i="3"/>
  <c r="M82" i="3" s="1"/>
  <c r="E82" i="3"/>
  <c r="H82" i="3"/>
  <c r="I82" i="3"/>
  <c r="J82" i="3"/>
  <c r="K82" i="3" s="1"/>
  <c r="L82" i="3"/>
  <c r="D83" i="3"/>
  <c r="M83" i="3" s="1"/>
  <c r="E83" i="3"/>
  <c r="K83" i="3" s="1"/>
  <c r="H83" i="3"/>
  <c r="I83" i="3"/>
  <c r="J83" i="3"/>
  <c r="L83" i="3"/>
  <c r="D84" i="3"/>
  <c r="M84" i="3" s="1"/>
  <c r="E84" i="3"/>
  <c r="F84" i="3"/>
  <c r="H84" i="3"/>
  <c r="I84" i="3"/>
  <c r="J84" i="3"/>
  <c r="K84" i="3" s="1"/>
  <c r="L84" i="3"/>
  <c r="D85" i="3"/>
  <c r="F85" i="3" s="1"/>
  <c r="E85" i="3"/>
  <c r="H85" i="3"/>
  <c r="I85" i="3"/>
  <c r="J85" i="3"/>
  <c r="K85" i="3" s="1"/>
  <c r="L85" i="3"/>
  <c r="D86" i="3"/>
  <c r="M86" i="3" s="1"/>
  <c r="E86" i="3"/>
  <c r="H86" i="3"/>
  <c r="I86" i="3"/>
  <c r="J86" i="3"/>
  <c r="K86" i="3" s="1"/>
  <c r="L86" i="3"/>
  <c r="D87" i="3"/>
  <c r="M87" i="3" s="1"/>
  <c r="E87" i="3"/>
  <c r="K87" i="3" s="1"/>
  <c r="H87" i="3"/>
  <c r="I87" i="3"/>
  <c r="J87" i="3"/>
  <c r="L87" i="3"/>
  <c r="D88" i="3"/>
  <c r="M88" i="3" s="1"/>
  <c r="E88" i="3"/>
  <c r="F88" i="3"/>
  <c r="H88" i="3"/>
  <c r="I88" i="3"/>
  <c r="J88" i="3"/>
  <c r="K88" i="3" s="1"/>
  <c r="L88" i="3"/>
  <c r="D89" i="3"/>
  <c r="G89" i="3" s="1"/>
  <c r="E89" i="3"/>
  <c r="H89" i="3"/>
  <c r="I89" i="3"/>
  <c r="J89" i="3"/>
  <c r="K89" i="3"/>
  <c r="L89" i="3"/>
  <c r="D90" i="3"/>
  <c r="M90" i="3" s="1"/>
  <c r="E90" i="3"/>
  <c r="H90" i="3"/>
  <c r="I90" i="3"/>
  <c r="J90" i="3"/>
  <c r="K90" i="3"/>
  <c r="L90" i="3"/>
  <c r="D91" i="3"/>
  <c r="M91" i="3" s="1"/>
  <c r="E91" i="3"/>
  <c r="K91" i="3" s="1"/>
  <c r="H91" i="3"/>
  <c r="I91" i="3"/>
  <c r="J91" i="3"/>
  <c r="L91" i="3"/>
  <c r="D92" i="3"/>
  <c r="M92" i="3" s="1"/>
  <c r="E92" i="3"/>
  <c r="F92" i="3"/>
  <c r="H92" i="3"/>
  <c r="I92" i="3"/>
  <c r="J92" i="3"/>
  <c r="K92" i="3"/>
  <c r="L92" i="3"/>
  <c r="D93" i="3"/>
  <c r="F93" i="3" s="1"/>
  <c r="E93" i="3"/>
  <c r="H93" i="3"/>
  <c r="I93" i="3"/>
  <c r="J93" i="3"/>
  <c r="K93" i="3"/>
  <c r="L93" i="3"/>
  <c r="D94" i="3"/>
  <c r="M94" i="3" s="1"/>
  <c r="E94" i="3"/>
  <c r="H94" i="3"/>
  <c r="I94" i="3"/>
  <c r="J94" i="3"/>
  <c r="K94" i="3"/>
  <c r="L94" i="3"/>
  <c r="D95" i="3"/>
  <c r="M95" i="3" s="1"/>
  <c r="E95" i="3"/>
  <c r="K95" i="3" s="1"/>
  <c r="H95" i="3"/>
  <c r="I95" i="3"/>
  <c r="J95" i="3"/>
  <c r="L95" i="3"/>
  <c r="D96" i="3"/>
  <c r="M96" i="3" s="1"/>
  <c r="E96" i="3"/>
  <c r="F96" i="3"/>
  <c r="H96" i="3"/>
  <c r="I96" i="3"/>
  <c r="J96" i="3"/>
  <c r="K96" i="3"/>
  <c r="L96" i="3"/>
  <c r="D97" i="3"/>
  <c r="G97" i="3" s="1"/>
  <c r="E97" i="3"/>
  <c r="H97" i="3"/>
  <c r="I97" i="3"/>
  <c r="J97" i="3"/>
  <c r="K97" i="3"/>
  <c r="L97" i="3"/>
  <c r="D98" i="3"/>
  <c r="M98" i="3" s="1"/>
  <c r="E98" i="3"/>
  <c r="H98" i="3"/>
  <c r="I98" i="3"/>
  <c r="J98" i="3"/>
  <c r="K98" i="3"/>
  <c r="L98" i="3"/>
  <c r="D99" i="3"/>
  <c r="M99" i="3" s="1"/>
  <c r="E99" i="3"/>
  <c r="K99" i="3" s="1"/>
  <c r="H99" i="3"/>
  <c r="I99" i="3"/>
  <c r="J99" i="3"/>
  <c r="L99" i="3"/>
  <c r="D100" i="3"/>
  <c r="M100" i="3" s="1"/>
  <c r="E100" i="3"/>
  <c r="F100" i="3"/>
  <c r="H100" i="3"/>
  <c r="I100" i="3"/>
  <c r="J100" i="3"/>
  <c r="K100" i="3"/>
  <c r="L100" i="3"/>
  <c r="D101" i="3"/>
  <c r="F101" i="3" s="1"/>
  <c r="E101" i="3"/>
  <c r="H101" i="3"/>
  <c r="I101" i="3"/>
  <c r="J101" i="3"/>
  <c r="K101" i="3"/>
  <c r="L101" i="3"/>
  <c r="D102" i="3"/>
  <c r="M102" i="3" s="1"/>
  <c r="E102" i="3"/>
  <c r="H102" i="3"/>
  <c r="I102" i="3"/>
  <c r="J102" i="3"/>
  <c r="K102" i="3"/>
  <c r="L102" i="3"/>
  <c r="D103" i="3"/>
  <c r="M103" i="3" s="1"/>
  <c r="E103" i="3"/>
  <c r="K103" i="3" s="1"/>
  <c r="H103" i="3"/>
  <c r="I103" i="3"/>
  <c r="J103" i="3"/>
  <c r="L103" i="3"/>
  <c r="D104" i="3"/>
  <c r="M104" i="3" s="1"/>
  <c r="E104" i="3"/>
  <c r="K104" i="3" s="1"/>
  <c r="F104" i="3"/>
  <c r="H104" i="3"/>
  <c r="I104" i="3"/>
  <c r="J104" i="3"/>
  <c r="L104" i="3"/>
  <c r="D105" i="3"/>
  <c r="G105" i="3" s="1"/>
  <c r="E105" i="3"/>
  <c r="H105" i="3"/>
  <c r="I105" i="3"/>
  <c r="J105" i="3"/>
  <c r="K105" i="3"/>
  <c r="L105" i="3"/>
  <c r="D106" i="3"/>
  <c r="M106" i="3" s="1"/>
  <c r="E106" i="3"/>
  <c r="H106" i="3"/>
  <c r="I106" i="3"/>
  <c r="J106" i="3"/>
  <c r="K106" i="3"/>
  <c r="L106" i="3"/>
  <c r="D107" i="3"/>
  <c r="M107" i="3" s="1"/>
  <c r="E107" i="3"/>
  <c r="K107" i="3" s="1"/>
  <c r="H107" i="3"/>
  <c r="I107" i="3"/>
  <c r="J107" i="3"/>
  <c r="L107" i="3"/>
  <c r="D108" i="3"/>
  <c r="M108" i="3" s="1"/>
  <c r="E108" i="3"/>
  <c r="K108" i="3" s="1"/>
  <c r="F108" i="3"/>
  <c r="H108" i="3"/>
  <c r="I108" i="3"/>
  <c r="J108" i="3"/>
  <c r="L108" i="3"/>
  <c r="D109" i="3"/>
  <c r="F109" i="3" s="1"/>
  <c r="E109" i="3"/>
  <c r="H109" i="3"/>
  <c r="I109" i="3"/>
  <c r="J109" i="3"/>
  <c r="K109" i="3"/>
  <c r="L109" i="3"/>
  <c r="D110" i="3"/>
  <c r="M110" i="3" s="1"/>
  <c r="E110" i="3"/>
  <c r="H110" i="3"/>
  <c r="I110" i="3"/>
  <c r="J110" i="3"/>
  <c r="K110" i="3"/>
  <c r="L110" i="3"/>
  <c r="D111" i="3"/>
  <c r="E111" i="3"/>
  <c r="K111" i="3" s="1"/>
  <c r="H111" i="3"/>
  <c r="I111" i="3"/>
  <c r="J111" i="3"/>
  <c r="L111" i="3"/>
  <c r="D112" i="3"/>
  <c r="E112" i="3"/>
  <c r="K112" i="3" s="1"/>
  <c r="F112" i="3"/>
  <c r="H112" i="3"/>
  <c r="I112" i="3"/>
  <c r="J112" i="3"/>
  <c r="L112" i="3"/>
  <c r="D113" i="3"/>
  <c r="G113" i="3" s="1"/>
  <c r="E113" i="3"/>
  <c r="F113" i="3"/>
  <c r="H113" i="3"/>
  <c r="I113" i="3"/>
  <c r="J113" i="3"/>
  <c r="K113" i="3"/>
  <c r="L113" i="3"/>
  <c r="D114" i="3"/>
  <c r="E114" i="3"/>
  <c r="H114" i="3"/>
  <c r="I114" i="3"/>
  <c r="J114" i="3"/>
  <c r="K114" i="3"/>
  <c r="L114" i="3"/>
  <c r="D115" i="3"/>
  <c r="E115" i="3"/>
  <c r="K115" i="3" s="1"/>
  <c r="H115" i="3"/>
  <c r="I115" i="3"/>
  <c r="J115" i="3"/>
  <c r="L115" i="3"/>
  <c r="D116" i="3"/>
  <c r="E116" i="3"/>
  <c r="K116" i="3" s="1"/>
  <c r="F116" i="3"/>
  <c r="H116" i="3"/>
  <c r="I116" i="3"/>
  <c r="J116" i="3"/>
  <c r="L116" i="3"/>
  <c r="D117" i="3"/>
  <c r="G117" i="3" s="1"/>
  <c r="E117" i="3"/>
  <c r="F117" i="3"/>
  <c r="H117" i="3"/>
  <c r="I117" i="3"/>
  <c r="J117" i="3"/>
  <c r="K117" i="3"/>
  <c r="L117" i="3"/>
  <c r="AF4127" i="1"/>
  <c r="AE4127" i="1"/>
  <c r="AD4127" i="1"/>
  <c r="AC4127" i="1"/>
  <c r="AB4127" i="1"/>
  <c r="AA4127" i="1"/>
  <c r="AF4126" i="1"/>
  <c r="AE4126" i="1"/>
  <c r="AD4126" i="1"/>
  <c r="AC4126" i="1"/>
  <c r="AA4126" i="1"/>
  <c r="AB4126" i="1" s="1"/>
  <c r="AF4125" i="1"/>
  <c r="AE4125" i="1"/>
  <c r="AD4125" i="1"/>
  <c r="AC4125" i="1"/>
  <c r="AB4125" i="1"/>
  <c r="AA4125" i="1"/>
  <c r="AF4124" i="1"/>
  <c r="AE4124" i="1"/>
  <c r="AD4124" i="1"/>
  <c r="AC4124" i="1"/>
  <c r="AB4124" i="1"/>
  <c r="AA4124" i="1"/>
  <c r="AF4123" i="1"/>
  <c r="AE4123" i="1"/>
  <c r="AD4123" i="1"/>
  <c r="AC4123" i="1"/>
  <c r="AB4123" i="1"/>
  <c r="AA4123" i="1"/>
  <c r="AF4122" i="1"/>
  <c r="AE4122" i="1"/>
  <c r="AD4122" i="1"/>
  <c r="AC4122" i="1"/>
  <c r="AB4122" i="1"/>
  <c r="AA4122" i="1"/>
  <c r="AF4121" i="1"/>
  <c r="AE4121" i="1"/>
  <c r="AD4121" i="1"/>
  <c r="AC4121" i="1"/>
  <c r="AB4121" i="1"/>
  <c r="AA4121" i="1"/>
  <c r="AF4120" i="1"/>
  <c r="AE4120" i="1"/>
  <c r="AD4120" i="1"/>
  <c r="AC4120" i="1"/>
  <c r="AB4120" i="1"/>
  <c r="AA4120" i="1"/>
  <c r="AF4119" i="1"/>
  <c r="AE4119" i="1"/>
  <c r="AD4119" i="1"/>
  <c r="AC4119" i="1"/>
  <c r="AB4119" i="1"/>
  <c r="AA4119" i="1"/>
  <c r="AF4118" i="1"/>
  <c r="AE4118" i="1"/>
  <c r="AD4118" i="1"/>
  <c r="AC4118" i="1"/>
  <c r="AB4118" i="1"/>
  <c r="AA4118" i="1"/>
  <c r="AF4117" i="1"/>
  <c r="AE4117" i="1"/>
  <c r="AD4117" i="1"/>
  <c r="AC4117" i="1"/>
  <c r="AB4117" i="1"/>
  <c r="AA4117" i="1"/>
  <c r="AF4116" i="1"/>
  <c r="AE4116" i="1"/>
  <c r="AD4116" i="1"/>
  <c r="AC4116" i="1"/>
  <c r="AB4116" i="1"/>
  <c r="AA4116" i="1"/>
  <c r="AF4115" i="1"/>
  <c r="AE4115" i="1"/>
  <c r="AD4115" i="1"/>
  <c r="AC4115" i="1"/>
  <c r="AB4115" i="1"/>
  <c r="AA4115" i="1"/>
  <c r="AF4114" i="1"/>
  <c r="AE4114" i="1"/>
  <c r="AD4114" i="1"/>
  <c r="AC4114" i="1"/>
  <c r="AB4114" i="1"/>
  <c r="AA4114" i="1"/>
  <c r="AF4113" i="1"/>
  <c r="AE4113" i="1"/>
  <c r="AD4113" i="1"/>
  <c r="AC4113" i="1"/>
  <c r="AB4113" i="1"/>
  <c r="AA4113" i="1"/>
  <c r="AF4112" i="1"/>
  <c r="AE4112" i="1"/>
  <c r="AD4112" i="1"/>
  <c r="AC4112" i="1"/>
  <c r="AB4112" i="1"/>
  <c r="AA4112" i="1"/>
  <c r="AF4111" i="1"/>
  <c r="AE4111" i="1"/>
  <c r="AD4111" i="1"/>
  <c r="AC4111" i="1"/>
  <c r="AB4111" i="1"/>
  <c r="AA4111" i="1"/>
  <c r="AF4110" i="1"/>
  <c r="AE4110" i="1"/>
  <c r="AD4110" i="1"/>
  <c r="AC4110" i="1"/>
  <c r="AB4110" i="1"/>
  <c r="AA4110" i="1"/>
  <c r="AF4109" i="1"/>
  <c r="AE4109" i="1"/>
  <c r="AD4109" i="1"/>
  <c r="AC4109" i="1"/>
  <c r="AB4109" i="1"/>
  <c r="AA4109" i="1"/>
  <c r="AF4108" i="1"/>
  <c r="AE4108" i="1"/>
  <c r="AD4108" i="1"/>
  <c r="AC4108" i="1"/>
  <c r="AB4108" i="1"/>
  <c r="AA4108" i="1"/>
  <c r="AF4107" i="1"/>
  <c r="AE4107" i="1"/>
  <c r="AD4107" i="1"/>
  <c r="AC4107" i="1"/>
  <c r="AB4107" i="1"/>
  <c r="AA4107" i="1"/>
  <c r="AF4106" i="1"/>
  <c r="AE4106" i="1"/>
  <c r="AD4106" i="1"/>
  <c r="AC4106" i="1"/>
  <c r="AB4106" i="1"/>
  <c r="AA4106" i="1"/>
  <c r="AF4105" i="1"/>
  <c r="AE4105" i="1"/>
  <c r="AD4105" i="1"/>
  <c r="AC4105" i="1"/>
  <c r="AB4105" i="1"/>
  <c r="AA4105" i="1"/>
  <c r="AF4104" i="1"/>
  <c r="AE4104" i="1"/>
  <c r="AD4104" i="1"/>
  <c r="AC4104" i="1"/>
  <c r="AB4104" i="1"/>
  <c r="AA4104" i="1"/>
  <c r="AF4103" i="1"/>
  <c r="AE4103" i="1"/>
  <c r="AD4103" i="1"/>
  <c r="AC4103" i="1"/>
  <c r="AB4103" i="1"/>
  <c r="AA4103" i="1"/>
  <c r="AF4102" i="1"/>
  <c r="AE4102" i="1"/>
  <c r="AD4102" i="1"/>
  <c r="AC4102" i="1"/>
  <c r="AB4102" i="1"/>
  <c r="AA4102" i="1"/>
  <c r="AF4101" i="1"/>
  <c r="AE4101" i="1"/>
  <c r="AD4101" i="1"/>
  <c r="AC4101" i="1"/>
  <c r="AB4101" i="1"/>
  <c r="AA4101" i="1"/>
  <c r="AF4100" i="1"/>
  <c r="AE4100" i="1"/>
  <c r="AD4100" i="1"/>
  <c r="AC4100" i="1"/>
  <c r="AB4100" i="1"/>
  <c r="AA4100" i="1"/>
  <c r="AF4099" i="1"/>
  <c r="AE4099" i="1"/>
  <c r="AD4099" i="1"/>
  <c r="AC4099" i="1"/>
  <c r="AB4099" i="1"/>
  <c r="AA4099" i="1"/>
  <c r="AF4098" i="1"/>
  <c r="AE4098" i="1"/>
  <c r="AD4098" i="1"/>
  <c r="AC4098" i="1"/>
  <c r="AB4098" i="1"/>
  <c r="AA4098" i="1"/>
  <c r="AF4097" i="1"/>
  <c r="AE4097" i="1"/>
  <c r="AD4097" i="1"/>
  <c r="AC4097" i="1"/>
  <c r="AB4097" i="1"/>
  <c r="AA4097" i="1"/>
  <c r="AF4096" i="1"/>
  <c r="AE4096" i="1"/>
  <c r="AD4096" i="1"/>
  <c r="AC4096" i="1"/>
  <c r="AB4096" i="1"/>
  <c r="AA4096" i="1"/>
  <c r="AF4095" i="1"/>
  <c r="AE4095" i="1"/>
  <c r="AD4095" i="1"/>
  <c r="AC4095" i="1"/>
  <c r="AB4095" i="1"/>
  <c r="AA4095" i="1"/>
  <c r="AF4094" i="1"/>
  <c r="AE4094" i="1"/>
  <c r="AD4094" i="1"/>
  <c r="AC4094" i="1"/>
  <c r="AB4094" i="1"/>
  <c r="AA4094" i="1"/>
  <c r="AF4093" i="1"/>
  <c r="AE4093" i="1"/>
  <c r="AD4093" i="1"/>
  <c r="AC4093" i="1"/>
  <c r="AB4093" i="1"/>
  <c r="AA4093" i="1"/>
  <c r="AF4092" i="1"/>
  <c r="AE4092" i="1"/>
  <c r="AD4092" i="1"/>
  <c r="AC4092" i="1"/>
  <c r="AB4092" i="1"/>
  <c r="AA4092" i="1"/>
  <c r="AF4091" i="1"/>
  <c r="AE4091" i="1"/>
  <c r="AD4091" i="1"/>
  <c r="AC4091" i="1"/>
  <c r="AB4091" i="1"/>
  <c r="AA4091" i="1"/>
  <c r="AF4090" i="1"/>
  <c r="AE4090" i="1"/>
  <c r="AD4090" i="1"/>
  <c r="AC4090" i="1"/>
  <c r="AB4090" i="1"/>
  <c r="AA4090" i="1"/>
  <c r="AF4089" i="1"/>
  <c r="AE4089" i="1"/>
  <c r="AD4089" i="1"/>
  <c r="AC4089" i="1"/>
  <c r="AB4089" i="1"/>
  <c r="AA4089" i="1"/>
  <c r="AF4088" i="1"/>
  <c r="AE4088" i="1"/>
  <c r="AD4088" i="1"/>
  <c r="AC4088" i="1"/>
  <c r="AB4088" i="1"/>
  <c r="AA4088" i="1"/>
  <c r="AF4087" i="1"/>
  <c r="AE4087" i="1"/>
  <c r="AD4087" i="1"/>
  <c r="AC4087" i="1"/>
  <c r="AB4087" i="1"/>
  <c r="AA4087" i="1"/>
  <c r="AF4086" i="1"/>
  <c r="AE4086" i="1"/>
  <c r="AD4086" i="1"/>
  <c r="AC4086" i="1"/>
  <c r="AB4086" i="1"/>
  <c r="AA4086" i="1"/>
  <c r="AF4085" i="1"/>
  <c r="AE4085" i="1"/>
  <c r="AD4085" i="1"/>
  <c r="AC4085" i="1"/>
  <c r="AB4085" i="1"/>
  <c r="AA4085" i="1"/>
  <c r="AF4084" i="1"/>
  <c r="AE4084" i="1"/>
  <c r="AD4084" i="1"/>
  <c r="AC4084" i="1"/>
  <c r="AB4084" i="1"/>
  <c r="AA4084" i="1"/>
  <c r="AF4083" i="1"/>
  <c r="AE4083" i="1"/>
  <c r="AD4083" i="1"/>
  <c r="AC4083" i="1"/>
  <c r="AB4083" i="1"/>
  <c r="AA4083" i="1"/>
  <c r="AF4082" i="1"/>
  <c r="AE4082" i="1"/>
  <c r="AD4082" i="1"/>
  <c r="AC4082" i="1"/>
  <c r="AB4082" i="1"/>
  <c r="AA4082" i="1"/>
  <c r="AF4081" i="1"/>
  <c r="AE4081" i="1"/>
  <c r="AD4081" i="1"/>
  <c r="AC4081" i="1"/>
  <c r="AB4081" i="1"/>
  <c r="AA4081" i="1"/>
  <c r="AF4080" i="1"/>
  <c r="AE4080" i="1"/>
  <c r="AD4080" i="1"/>
  <c r="AC4080" i="1"/>
  <c r="AB4080" i="1"/>
  <c r="AA4080" i="1"/>
  <c r="AF4079" i="1"/>
  <c r="AE4079" i="1"/>
  <c r="AD4079" i="1"/>
  <c r="AC4079" i="1"/>
  <c r="AB4079" i="1"/>
  <c r="AA4079" i="1"/>
  <c r="AF4078" i="1"/>
  <c r="AE4078" i="1"/>
  <c r="AD4078" i="1"/>
  <c r="AC4078" i="1"/>
  <c r="AB4078" i="1"/>
  <c r="AA4078" i="1"/>
  <c r="AF4077" i="1"/>
  <c r="AE4077" i="1"/>
  <c r="AD4077" i="1"/>
  <c r="AC4077" i="1"/>
  <c r="AB4077" i="1"/>
  <c r="AA4077" i="1"/>
  <c r="AF4076" i="1"/>
  <c r="AE4076" i="1"/>
  <c r="AD4076" i="1"/>
  <c r="AC4076" i="1"/>
  <c r="AB4076" i="1"/>
  <c r="AA4076" i="1"/>
  <c r="AF4075" i="1"/>
  <c r="AE4075" i="1"/>
  <c r="AD4075" i="1"/>
  <c r="AC4075" i="1"/>
  <c r="AB4075" i="1"/>
  <c r="AA4075" i="1"/>
  <c r="AF4074" i="1"/>
  <c r="AE4074" i="1"/>
  <c r="AD4074" i="1"/>
  <c r="AC4074" i="1"/>
  <c r="AB4074" i="1"/>
  <c r="AA4074" i="1"/>
  <c r="AF4073" i="1"/>
  <c r="AE4073" i="1"/>
  <c r="AD4073" i="1"/>
  <c r="AC4073" i="1"/>
  <c r="AB4073" i="1"/>
  <c r="AA4073" i="1"/>
  <c r="AF4072" i="1"/>
  <c r="AE4072" i="1"/>
  <c r="AD4072" i="1"/>
  <c r="AC4072" i="1"/>
  <c r="AB4072" i="1"/>
  <c r="AA4072" i="1"/>
  <c r="AF4071" i="1"/>
  <c r="AE4071" i="1"/>
  <c r="AD4071" i="1"/>
  <c r="AC4071" i="1"/>
  <c r="AB4071" i="1"/>
  <c r="AA4071" i="1"/>
  <c r="AF4070" i="1"/>
  <c r="AE4070" i="1"/>
  <c r="AD4070" i="1"/>
  <c r="AC4070" i="1"/>
  <c r="AB4070" i="1"/>
  <c r="AA4070" i="1"/>
  <c r="AF4069" i="1"/>
  <c r="AE4069" i="1"/>
  <c r="AD4069" i="1"/>
  <c r="AC4069" i="1"/>
  <c r="AB4069" i="1"/>
  <c r="AA4069" i="1"/>
  <c r="AF4068" i="1"/>
  <c r="AE4068" i="1"/>
  <c r="AD4068" i="1"/>
  <c r="AC4068" i="1"/>
  <c r="AB4068" i="1"/>
  <c r="AA4068" i="1"/>
  <c r="AF4067" i="1"/>
  <c r="AE4067" i="1"/>
  <c r="AD4067" i="1"/>
  <c r="AC4067" i="1"/>
  <c r="AB4067" i="1"/>
  <c r="AA4067" i="1"/>
  <c r="AF4066" i="1"/>
  <c r="AE4066" i="1"/>
  <c r="AD4066" i="1"/>
  <c r="AC4066" i="1"/>
  <c r="AB4066" i="1"/>
  <c r="AA4066" i="1"/>
  <c r="AF4065" i="1"/>
  <c r="AE4065" i="1"/>
  <c r="AD4065" i="1"/>
  <c r="AC4065" i="1"/>
  <c r="AB4065" i="1"/>
  <c r="AA4065" i="1"/>
  <c r="AF4064" i="1"/>
  <c r="AE4064" i="1"/>
  <c r="AD4064" i="1"/>
  <c r="AC4064" i="1"/>
  <c r="AB4064" i="1"/>
  <c r="AA4064" i="1"/>
  <c r="AF4063" i="1"/>
  <c r="AE4063" i="1"/>
  <c r="AD4063" i="1"/>
  <c r="AC4063" i="1"/>
  <c r="AB4063" i="1"/>
  <c r="AA4063" i="1"/>
  <c r="AF4062" i="1"/>
  <c r="AE4062" i="1"/>
  <c r="AD4062" i="1"/>
  <c r="AC4062" i="1"/>
  <c r="AB4062" i="1"/>
  <c r="AA4062" i="1"/>
  <c r="AF4061" i="1"/>
  <c r="AE4061" i="1"/>
  <c r="AD4061" i="1"/>
  <c r="AC4061" i="1"/>
  <c r="AB4061" i="1"/>
  <c r="AA4061" i="1"/>
  <c r="AF4060" i="1"/>
  <c r="AE4060" i="1"/>
  <c r="AD4060" i="1"/>
  <c r="AC4060" i="1"/>
  <c r="AB4060" i="1"/>
  <c r="AA4060" i="1"/>
  <c r="AF4059" i="1"/>
  <c r="AE4059" i="1"/>
  <c r="AD4059" i="1"/>
  <c r="AC4059" i="1"/>
  <c r="AB4059" i="1"/>
  <c r="AA4059" i="1"/>
  <c r="AF4058" i="1"/>
  <c r="AE4058" i="1"/>
  <c r="AD4058" i="1"/>
  <c r="AC4058" i="1"/>
  <c r="AB4058" i="1"/>
  <c r="AA4058" i="1"/>
  <c r="AF4057" i="1"/>
  <c r="AE4057" i="1"/>
  <c r="AD4057" i="1"/>
  <c r="AC4057" i="1"/>
  <c r="AB4057" i="1"/>
  <c r="AA4057" i="1"/>
  <c r="AF4056" i="1"/>
  <c r="AE4056" i="1"/>
  <c r="AD4056" i="1"/>
  <c r="AC4056" i="1"/>
  <c r="AB4056" i="1"/>
  <c r="AA4056" i="1"/>
  <c r="AF4055" i="1"/>
  <c r="AE4055" i="1"/>
  <c r="AD4055" i="1"/>
  <c r="AC4055" i="1"/>
  <c r="AB4055" i="1"/>
  <c r="AA4055" i="1"/>
  <c r="AF4054" i="1"/>
  <c r="AE4054" i="1"/>
  <c r="AD4054" i="1"/>
  <c r="AC4054" i="1"/>
  <c r="AB4054" i="1"/>
  <c r="AA4054" i="1"/>
  <c r="AF4053" i="1"/>
  <c r="AE4053" i="1"/>
  <c r="AD4053" i="1"/>
  <c r="AC4053" i="1"/>
  <c r="AB4053" i="1"/>
  <c r="AA4053" i="1"/>
  <c r="AF4052" i="1"/>
  <c r="AE4052" i="1"/>
  <c r="AD4052" i="1"/>
  <c r="AC4052" i="1"/>
  <c r="AB4052" i="1"/>
  <c r="AA4052" i="1"/>
  <c r="AF4051" i="1"/>
  <c r="AE4051" i="1"/>
  <c r="AD4051" i="1"/>
  <c r="AC4051" i="1"/>
  <c r="AB4051" i="1"/>
  <c r="AA4051" i="1"/>
  <c r="AF4050" i="1"/>
  <c r="AE4050" i="1"/>
  <c r="AD4050" i="1"/>
  <c r="AC4050" i="1"/>
  <c r="AB4050" i="1"/>
  <c r="AA4050" i="1"/>
  <c r="AF4049" i="1"/>
  <c r="AE4049" i="1"/>
  <c r="AD4049" i="1"/>
  <c r="AC4049" i="1"/>
  <c r="AB4049" i="1"/>
  <c r="AA4049" i="1"/>
  <c r="AF4048" i="1"/>
  <c r="AE4048" i="1"/>
  <c r="AD4048" i="1"/>
  <c r="AC4048" i="1"/>
  <c r="AB4048" i="1"/>
  <c r="AA4048" i="1"/>
  <c r="AF4047" i="1"/>
  <c r="AE4047" i="1"/>
  <c r="AD4047" i="1"/>
  <c r="AC4047" i="1"/>
  <c r="AB4047" i="1"/>
  <c r="AA4047" i="1"/>
  <c r="AF4046" i="1"/>
  <c r="AE4046" i="1"/>
  <c r="AD4046" i="1"/>
  <c r="AC4046" i="1"/>
  <c r="AB4046" i="1"/>
  <c r="AA4046" i="1"/>
  <c r="AF4045" i="1"/>
  <c r="AE4045" i="1"/>
  <c r="AD4045" i="1"/>
  <c r="AC4045" i="1"/>
  <c r="AB4045" i="1"/>
  <c r="AA4045" i="1"/>
  <c r="AF4044" i="1"/>
  <c r="AE4044" i="1"/>
  <c r="AD4044" i="1"/>
  <c r="AC4044" i="1"/>
  <c r="AB4044" i="1"/>
  <c r="AA4044" i="1"/>
  <c r="AF4043" i="1"/>
  <c r="AE4043" i="1"/>
  <c r="AD4043" i="1"/>
  <c r="AC4043" i="1"/>
  <c r="AB4043" i="1"/>
  <c r="AA4043" i="1"/>
  <c r="AF4042" i="1"/>
  <c r="AE4042" i="1"/>
  <c r="AD4042" i="1"/>
  <c r="AC4042" i="1"/>
  <c r="AB4042" i="1"/>
  <c r="AA4042" i="1"/>
  <c r="AF4041" i="1"/>
  <c r="AE4041" i="1"/>
  <c r="AD4041" i="1"/>
  <c r="AC4041" i="1"/>
  <c r="AB4041" i="1"/>
  <c r="AA4041" i="1"/>
  <c r="AF4040" i="1"/>
  <c r="AE4040" i="1"/>
  <c r="AD4040" i="1"/>
  <c r="AC4040" i="1"/>
  <c r="AB4040" i="1"/>
  <c r="AA4040" i="1"/>
  <c r="AF4039" i="1"/>
  <c r="AE4039" i="1"/>
  <c r="AD4039" i="1"/>
  <c r="AC4039" i="1"/>
  <c r="AB4039" i="1"/>
  <c r="AA4039" i="1"/>
  <c r="AF4038" i="1"/>
  <c r="AE4038" i="1"/>
  <c r="AD4038" i="1"/>
  <c r="AC4038" i="1"/>
  <c r="AB4038" i="1"/>
  <c r="AA4038" i="1"/>
  <c r="AF4037" i="1"/>
  <c r="AE4037" i="1"/>
  <c r="AD4037" i="1"/>
  <c r="AC4037" i="1"/>
  <c r="AB4037" i="1"/>
  <c r="AA4037" i="1"/>
  <c r="AF4036" i="1"/>
  <c r="AE4036" i="1"/>
  <c r="AD4036" i="1"/>
  <c r="AC4036" i="1"/>
  <c r="AB4036" i="1"/>
  <c r="AA4036" i="1"/>
  <c r="AF4035" i="1"/>
  <c r="AE4035" i="1"/>
  <c r="AD4035" i="1"/>
  <c r="AC4035" i="1"/>
  <c r="AB4035" i="1"/>
  <c r="AA4035" i="1"/>
  <c r="AF4034" i="1"/>
  <c r="AE4034" i="1"/>
  <c r="AD4034" i="1"/>
  <c r="AC4034" i="1"/>
  <c r="AB4034" i="1"/>
  <c r="AA4034" i="1"/>
  <c r="AF4033" i="1"/>
  <c r="AE4033" i="1"/>
  <c r="AD4033" i="1"/>
  <c r="AC4033" i="1"/>
  <c r="AB4033" i="1"/>
  <c r="AA4033" i="1"/>
  <c r="AF4032" i="1"/>
  <c r="AE4032" i="1"/>
  <c r="AD4032" i="1"/>
  <c r="AC4032" i="1"/>
  <c r="AB4032" i="1"/>
  <c r="AA4032" i="1"/>
  <c r="AF4031" i="1"/>
  <c r="AE4031" i="1"/>
  <c r="AD4031" i="1"/>
  <c r="AC4031" i="1"/>
  <c r="AB4031" i="1"/>
  <c r="AA4031" i="1"/>
  <c r="AF4030" i="1"/>
  <c r="AE4030" i="1"/>
  <c r="AD4030" i="1"/>
  <c r="AC4030" i="1"/>
  <c r="AB4030" i="1"/>
  <c r="AA4030" i="1"/>
  <c r="AF4029" i="1"/>
  <c r="AE4029" i="1"/>
  <c r="AD4029" i="1"/>
  <c r="AC4029" i="1"/>
  <c r="AB4029" i="1"/>
  <c r="AA4029" i="1"/>
  <c r="AF4028" i="1"/>
  <c r="AE4028" i="1"/>
  <c r="AD4028" i="1"/>
  <c r="AC4028" i="1"/>
  <c r="AB4028" i="1"/>
  <c r="AA4028" i="1"/>
  <c r="AF4027" i="1"/>
  <c r="AE4027" i="1"/>
  <c r="AD4027" i="1"/>
  <c r="AC4027" i="1"/>
  <c r="AB4027" i="1"/>
  <c r="AA4027" i="1"/>
  <c r="AF4026" i="1"/>
  <c r="AE4026" i="1"/>
  <c r="AD4026" i="1"/>
  <c r="AC4026" i="1"/>
  <c r="AB4026" i="1"/>
  <c r="AA4026" i="1"/>
  <c r="AF4025" i="1"/>
  <c r="AE4025" i="1"/>
  <c r="AD4025" i="1"/>
  <c r="AC4025" i="1"/>
  <c r="AB4025" i="1"/>
  <c r="AA4025" i="1"/>
  <c r="AF4024" i="1"/>
  <c r="AE4024" i="1"/>
  <c r="AD4024" i="1"/>
  <c r="AC4024" i="1"/>
  <c r="AB4024" i="1"/>
  <c r="AA4024" i="1"/>
  <c r="AF4023" i="1"/>
  <c r="AE4023" i="1"/>
  <c r="AD4023" i="1"/>
  <c r="AC4023" i="1"/>
  <c r="AB4023" i="1"/>
  <c r="AA4023" i="1"/>
  <c r="AF4022" i="1"/>
  <c r="AE4022" i="1"/>
  <c r="AD4022" i="1"/>
  <c r="AC4022" i="1"/>
  <c r="AB4022" i="1"/>
  <c r="AA4022" i="1"/>
  <c r="AF4021" i="1"/>
  <c r="AE4021" i="1"/>
  <c r="AD4021" i="1"/>
  <c r="AC4021" i="1"/>
  <c r="AB4021" i="1"/>
  <c r="AA4021" i="1"/>
  <c r="AF4020" i="1"/>
  <c r="AE4020" i="1"/>
  <c r="AD4020" i="1"/>
  <c r="AC4020" i="1"/>
  <c r="AB4020" i="1"/>
  <c r="AA4020" i="1"/>
  <c r="AF4019" i="1"/>
  <c r="AE4019" i="1"/>
  <c r="AD4019" i="1"/>
  <c r="AC4019" i="1"/>
  <c r="AB4019" i="1"/>
  <c r="AA4019" i="1"/>
  <c r="AF4018" i="1"/>
  <c r="AE4018" i="1"/>
  <c r="AD4018" i="1"/>
  <c r="AC4018" i="1"/>
  <c r="AB4018" i="1"/>
  <c r="AA4018" i="1"/>
  <c r="AF4017" i="1"/>
  <c r="AE4017" i="1"/>
  <c r="AD4017" i="1"/>
  <c r="AC4017" i="1"/>
  <c r="AB4017" i="1"/>
  <c r="AA4017" i="1"/>
  <c r="AF4016" i="1"/>
  <c r="AE4016" i="1"/>
  <c r="AD4016" i="1"/>
  <c r="AC4016" i="1"/>
  <c r="AB4016" i="1"/>
  <c r="AA4016" i="1"/>
  <c r="AF4015" i="1"/>
  <c r="AE4015" i="1"/>
  <c r="AD4015" i="1"/>
  <c r="AC4015" i="1"/>
  <c r="AB4015" i="1"/>
  <c r="AA4015" i="1"/>
  <c r="AF4014" i="1"/>
  <c r="AE4014" i="1"/>
  <c r="AD4014" i="1"/>
  <c r="AC4014" i="1"/>
  <c r="AB4014" i="1"/>
  <c r="AA4014" i="1"/>
  <c r="AF4013" i="1"/>
  <c r="AE4013" i="1"/>
  <c r="AD4013" i="1"/>
  <c r="AC4013" i="1"/>
  <c r="AB4013" i="1"/>
  <c r="AA4013" i="1"/>
  <c r="AF4012" i="1"/>
  <c r="AE4012" i="1"/>
  <c r="AD4012" i="1"/>
  <c r="AC4012" i="1"/>
  <c r="AB4012" i="1"/>
  <c r="AA4012" i="1"/>
  <c r="AF4011" i="1"/>
  <c r="AE4011" i="1"/>
  <c r="AD4011" i="1"/>
  <c r="AC4011" i="1"/>
  <c r="AB4011" i="1"/>
  <c r="AA4011" i="1"/>
  <c r="AF4010" i="1"/>
  <c r="AE4010" i="1"/>
  <c r="AD4010" i="1"/>
  <c r="AC4010" i="1"/>
  <c r="AB4010" i="1"/>
  <c r="AA4010" i="1"/>
  <c r="AF4009" i="1"/>
  <c r="AE4009" i="1"/>
  <c r="AD4009" i="1"/>
  <c r="AC4009" i="1"/>
  <c r="AB4009" i="1"/>
  <c r="AA4009" i="1"/>
  <c r="AF4008" i="1"/>
  <c r="AE4008" i="1"/>
  <c r="AD4008" i="1"/>
  <c r="AC4008" i="1"/>
  <c r="AB4008" i="1"/>
  <c r="AA4008" i="1"/>
  <c r="AF4007" i="1"/>
  <c r="AE4007" i="1"/>
  <c r="AD4007" i="1"/>
  <c r="AC4007" i="1"/>
  <c r="AB4007" i="1"/>
  <c r="AA4007" i="1"/>
  <c r="AF4006" i="1"/>
  <c r="AE4006" i="1"/>
  <c r="AD4006" i="1"/>
  <c r="AC4006" i="1"/>
  <c r="AB4006" i="1"/>
  <c r="AA4006" i="1"/>
  <c r="AF4005" i="1"/>
  <c r="AE4005" i="1"/>
  <c r="AD4005" i="1"/>
  <c r="AC4005" i="1"/>
  <c r="AB4005" i="1"/>
  <c r="AA4005" i="1"/>
  <c r="AF4004" i="1"/>
  <c r="AE4004" i="1"/>
  <c r="AD4004" i="1"/>
  <c r="AC4004" i="1"/>
  <c r="AB4004" i="1"/>
  <c r="AA4004" i="1"/>
  <c r="AF4003" i="1"/>
  <c r="AE4003" i="1"/>
  <c r="AD4003" i="1"/>
  <c r="AC4003" i="1"/>
  <c r="AB4003" i="1"/>
  <c r="AA4003" i="1"/>
  <c r="AF4002" i="1"/>
  <c r="AE4002" i="1"/>
  <c r="AD4002" i="1"/>
  <c r="AC4002" i="1"/>
  <c r="AB4002" i="1"/>
  <c r="AA4002" i="1"/>
  <c r="AF4001" i="1"/>
  <c r="AE4001" i="1"/>
  <c r="AD4001" i="1"/>
  <c r="AC4001" i="1"/>
  <c r="AB4001" i="1"/>
  <c r="AA4001" i="1"/>
  <c r="AF4000" i="1"/>
  <c r="AE4000" i="1"/>
  <c r="AD4000" i="1"/>
  <c r="AC4000" i="1"/>
  <c r="AB4000" i="1"/>
  <c r="AA4000" i="1"/>
  <c r="AF3999" i="1"/>
  <c r="AE3999" i="1"/>
  <c r="AD3999" i="1"/>
  <c r="AC3999" i="1"/>
  <c r="AB3999" i="1"/>
  <c r="AA3999" i="1"/>
  <c r="AF3998" i="1"/>
  <c r="AE3998" i="1"/>
  <c r="AD3998" i="1"/>
  <c r="AC3998" i="1"/>
  <c r="AB3998" i="1"/>
  <c r="AA3998" i="1"/>
  <c r="AF3997" i="1"/>
  <c r="AE3997" i="1"/>
  <c r="AD3997" i="1"/>
  <c r="AC3997" i="1"/>
  <c r="AB3997" i="1"/>
  <c r="AA3997" i="1"/>
  <c r="AF3996" i="1"/>
  <c r="AE3996" i="1"/>
  <c r="AD3996" i="1"/>
  <c r="AC3996" i="1"/>
  <c r="AB3996" i="1"/>
  <c r="AA3996" i="1"/>
  <c r="AF3995" i="1"/>
  <c r="AE3995" i="1"/>
  <c r="AD3995" i="1"/>
  <c r="AC3995" i="1"/>
  <c r="AB3995" i="1"/>
  <c r="AA3995" i="1"/>
  <c r="AF3994" i="1"/>
  <c r="AE3994" i="1"/>
  <c r="AD3994" i="1"/>
  <c r="AC3994" i="1"/>
  <c r="AB3994" i="1"/>
  <c r="AA3994" i="1"/>
  <c r="AF3993" i="1"/>
  <c r="AE3993" i="1"/>
  <c r="AD3993" i="1"/>
  <c r="AC3993" i="1"/>
  <c r="AB3993" i="1"/>
  <c r="AA3993" i="1"/>
  <c r="AF3992" i="1"/>
  <c r="AE3992" i="1"/>
  <c r="AD3992" i="1"/>
  <c r="AC3992" i="1"/>
  <c r="AB3992" i="1"/>
  <c r="AA3992" i="1"/>
  <c r="AF3991" i="1"/>
  <c r="AE3991" i="1"/>
  <c r="AD3991" i="1"/>
  <c r="AC3991" i="1"/>
  <c r="AB3991" i="1"/>
  <c r="AA3991" i="1"/>
  <c r="AF3990" i="1"/>
  <c r="AE3990" i="1"/>
  <c r="AD3990" i="1"/>
  <c r="AC3990" i="1"/>
  <c r="AB3990" i="1"/>
  <c r="AA3990" i="1"/>
  <c r="AF3989" i="1"/>
  <c r="AE3989" i="1"/>
  <c r="AD3989" i="1"/>
  <c r="AC3989" i="1"/>
  <c r="AB3989" i="1"/>
  <c r="AA3989" i="1"/>
  <c r="AF3988" i="1"/>
  <c r="AE3988" i="1"/>
  <c r="AD3988" i="1"/>
  <c r="AC3988" i="1"/>
  <c r="AB3988" i="1"/>
  <c r="AA3988" i="1"/>
  <c r="AF3987" i="1"/>
  <c r="AE3987" i="1"/>
  <c r="AD3987" i="1"/>
  <c r="AC3987" i="1"/>
  <c r="AB3987" i="1"/>
  <c r="AA3987" i="1"/>
  <c r="AF3986" i="1"/>
  <c r="AE3986" i="1"/>
  <c r="AD3986" i="1"/>
  <c r="AC3986" i="1"/>
  <c r="AB3986" i="1"/>
  <c r="AA3986" i="1"/>
  <c r="AF3985" i="1"/>
  <c r="AE3985" i="1"/>
  <c r="AD3985" i="1"/>
  <c r="AC3985" i="1"/>
  <c r="AB3985" i="1"/>
  <c r="AA3985" i="1"/>
  <c r="AF3984" i="1"/>
  <c r="AE3984" i="1"/>
  <c r="AD3984" i="1"/>
  <c r="AC3984" i="1"/>
  <c r="AB3984" i="1"/>
  <c r="AA3984" i="1"/>
  <c r="AF3983" i="1"/>
  <c r="AE3983" i="1"/>
  <c r="AD3983" i="1"/>
  <c r="AC3983" i="1"/>
  <c r="AB3983" i="1"/>
  <c r="AA3983" i="1"/>
  <c r="AF3982" i="1"/>
  <c r="AE3982" i="1"/>
  <c r="AD3982" i="1"/>
  <c r="AC3982" i="1"/>
  <c r="AB3982" i="1"/>
  <c r="AA3982" i="1"/>
  <c r="AF3981" i="1"/>
  <c r="AE3981" i="1"/>
  <c r="AD3981" i="1"/>
  <c r="AC3981" i="1"/>
  <c r="AB3981" i="1"/>
  <c r="AA3981" i="1"/>
  <c r="AF3980" i="1"/>
  <c r="AE3980" i="1"/>
  <c r="AD3980" i="1"/>
  <c r="AC3980" i="1"/>
  <c r="AB3980" i="1"/>
  <c r="AA3980" i="1"/>
  <c r="AF3979" i="1"/>
  <c r="AE3979" i="1"/>
  <c r="AD3979" i="1"/>
  <c r="AC3979" i="1"/>
  <c r="AB3979" i="1"/>
  <c r="AA3979" i="1"/>
  <c r="AF3978" i="1"/>
  <c r="AE3978" i="1"/>
  <c r="AD3978" i="1"/>
  <c r="AC3978" i="1"/>
  <c r="AB3978" i="1"/>
  <c r="AA3978" i="1"/>
  <c r="AF3977" i="1"/>
  <c r="AE3977" i="1"/>
  <c r="AD3977" i="1"/>
  <c r="AC3977" i="1"/>
  <c r="AB3977" i="1"/>
  <c r="AA3977" i="1"/>
  <c r="AF3976" i="1"/>
  <c r="AE3976" i="1"/>
  <c r="AD3976" i="1"/>
  <c r="AC3976" i="1"/>
  <c r="AB3976" i="1"/>
  <c r="AA3976" i="1"/>
  <c r="AF3975" i="1"/>
  <c r="AE3975" i="1"/>
  <c r="AD3975" i="1"/>
  <c r="AC3975" i="1"/>
  <c r="AB3975" i="1"/>
  <c r="AA3975" i="1"/>
  <c r="AF3974" i="1"/>
  <c r="AE3974" i="1"/>
  <c r="AD3974" i="1"/>
  <c r="AC3974" i="1"/>
  <c r="AB3974" i="1"/>
  <c r="AA3974" i="1"/>
  <c r="AF3973" i="1"/>
  <c r="AE3973" i="1"/>
  <c r="AD3973" i="1"/>
  <c r="AC3973" i="1"/>
  <c r="AB3973" i="1"/>
  <c r="AA3973" i="1"/>
  <c r="AF3972" i="1"/>
  <c r="AE3972" i="1"/>
  <c r="AD3972" i="1"/>
  <c r="AC3972" i="1"/>
  <c r="AB3972" i="1"/>
  <c r="AA3972" i="1"/>
  <c r="AF3971" i="1"/>
  <c r="AE3971" i="1"/>
  <c r="AD3971" i="1"/>
  <c r="AC3971" i="1"/>
  <c r="AB3971" i="1"/>
  <c r="AA3971" i="1"/>
  <c r="AF3970" i="1"/>
  <c r="AE3970" i="1"/>
  <c r="AD3970" i="1"/>
  <c r="AC3970" i="1"/>
  <c r="AB3970" i="1"/>
  <c r="AA3970" i="1"/>
  <c r="AF3969" i="1"/>
  <c r="AE3969" i="1"/>
  <c r="AD3969" i="1"/>
  <c r="AC3969" i="1"/>
  <c r="AB3969" i="1"/>
  <c r="AA3969" i="1"/>
  <c r="AF3968" i="1"/>
  <c r="AE3968" i="1"/>
  <c r="AD3968" i="1"/>
  <c r="AC3968" i="1"/>
  <c r="AB3968" i="1"/>
  <c r="AA3968" i="1"/>
  <c r="AF3967" i="1"/>
  <c r="AE3967" i="1"/>
  <c r="AD3967" i="1"/>
  <c r="AC3967" i="1"/>
  <c r="AB3967" i="1"/>
  <c r="AA3967" i="1"/>
  <c r="AF3966" i="1"/>
  <c r="AE3966" i="1"/>
  <c r="AD3966" i="1"/>
  <c r="AC3966" i="1"/>
  <c r="AB3966" i="1"/>
  <c r="AA3966" i="1"/>
  <c r="AF3965" i="1"/>
  <c r="AE3965" i="1"/>
  <c r="AD3965" i="1"/>
  <c r="AC3965" i="1"/>
  <c r="AB3965" i="1"/>
  <c r="AA3965" i="1"/>
  <c r="AF3964" i="1"/>
  <c r="AE3964" i="1"/>
  <c r="AD3964" i="1"/>
  <c r="AC3964" i="1"/>
  <c r="AB3964" i="1"/>
  <c r="AA3964" i="1"/>
  <c r="AF3963" i="1"/>
  <c r="AE3963" i="1"/>
  <c r="AD3963" i="1"/>
  <c r="AC3963" i="1"/>
  <c r="AB3963" i="1"/>
  <c r="AA3963" i="1"/>
  <c r="AF3962" i="1"/>
  <c r="AE3962" i="1"/>
  <c r="AD3962" i="1"/>
  <c r="AC3962" i="1"/>
  <c r="AB3962" i="1"/>
  <c r="AA3962" i="1"/>
  <c r="AF3961" i="1"/>
  <c r="AE3961" i="1"/>
  <c r="AD3961" i="1"/>
  <c r="AC3961" i="1"/>
  <c r="AB3961" i="1"/>
  <c r="AA3961" i="1"/>
  <c r="AF3960" i="1"/>
  <c r="AE3960" i="1"/>
  <c r="AD3960" i="1"/>
  <c r="AC3960" i="1"/>
  <c r="AB3960" i="1"/>
  <c r="AA3960" i="1"/>
  <c r="AF3959" i="1"/>
  <c r="AE3959" i="1"/>
  <c r="AD3959" i="1"/>
  <c r="AC3959" i="1"/>
  <c r="AB3959" i="1"/>
  <c r="AA3959" i="1"/>
  <c r="AF3958" i="1"/>
  <c r="AE3958" i="1"/>
  <c r="AD3958" i="1"/>
  <c r="AC3958" i="1"/>
  <c r="AB3958" i="1"/>
  <c r="AA3958" i="1"/>
  <c r="AF3957" i="1"/>
  <c r="AE3957" i="1"/>
  <c r="AD3957" i="1"/>
  <c r="AC3957" i="1"/>
  <c r="AB3957" i="1"/>
  <c r="AA3957" i="1"/>
  <c r="AF3956" i="1"/>
  <c r="AE3956" i="1"/>
  <c r="AD3956" i="1"/>
  <c r="AC3956" i="1"/>
  <c r="AB3956" i="1"/>
  <c r="AA3956" i="1"/>
  <c r="AF3955" i="1"/>
  <c r="AE3955" i="1"/>
  <c r="AD3955" i="1"/>
  <c r="AC3955" i="1"/>
  <c r="AB3955" i="1"/>
  <c r="AA3955" i="1"/>
  <c r="AF3954" i="1"/>
  <c r="AE3954" i="1"/>
  <c r="AD3954" i="1"/>
  <c r="AC3954" i="1"/>
  <c r="AB3954" i="1"/>
  <c r="AA3954" i="1"/>
  <c r="AF3953" i="1"/>
  <c r="AE3953" i="1"/>
  <c r="AD3953" i="1"/>
  <c r="AC3953" i="1"/>
  <c r="AB3953" i="1"/>
  <c r="AA3953" i="1"/>
  <c r="AF3952" i="1"/>
  <c r="AE3952" i="1"/>
  <c r="AD3952" i="1"/>
  <c r="AC3952" i="1"/>
  <c r="AB3952" i="1"/>
  <c r="AA3952" i="1"/>
  <c r="AF3951" i="1"/>
  <c r="AE3951" i="1"/>
  <c r="AD3951" i="1"/>
  <c r="AC3951" i="1"/>
  <c r="AB3951" i="1"/>
  <c r="AA3951" i="1"/>
  <c r="AF3950" i="1"/>
  <c r="AE3950" i="1"/>
  <c r="AD3950" i="1"/>
  <c r="AC3950" i="1"/>
  <c r="AB3950" i="1"/>
  <c r="AA3950" i="1"/>
  <c r="AF3949" i="1"/>
  <c r="AE3949" i="1"/>
  <c r="AD3949" i="1"/>
  <c r="AC3949" i="1"/>
  <c r="AB3949" i="1"/>
  <c r="AA3949" i="1"/>
  <c r="AF3948" i="1"/>
  <c r="AE3948" i="1"/>
  <c r="AD3948" i="1"/>
  <c r="AC3948" i="1"/>
  <c r="AB3948" i="1"/>
  <c r="AA3948" i="1"/>
  <c r="AF3947" i="1"/>
  <c r="AE3947" i="1"/>
  <c r="AD3947" i="1"/>
  <c r="AC3947" i="1"/>
  <c r="AB3947" i="1"/>
  <c r="AA3947" i="1"/>
  <c r="AF3946" i="1"/>
  <c r="AE3946" i="1"/>
  <c r="AD3946" i="1"/>
  <c r="AC3946" i="1"/>
  <c r="AB3946" i="1"/>
  <c r="AA3946" i="1"/>
  <c r="AF3945" i="1"/>
  <c r="AE3945" i="1"/>
  <c r="AD3945" i="1"/>
  <c r="AC3945" i="1"/>
  <c r="AB3945" i="1"/>
  <c r="AA3945" i="1"/>
  <c r="AF3944" i="1"/>
  <c r="AE3944" i="1"/>
  <c r="AD3944" i="1"/>
  <c r="AC3944" i="1"/>
  <c r="AB3944" i="1"/>
  <c r="AA3944" i="1"/>
  <c r="AF3943" i="1"/>
  <c r="AE3943" i="1"/>
  <c r="AD3943" i="1"/>
  <c r="AC3943" i="1"/>
  <c r="AB3943" i="1"/>
  <c r="AA3943" i="1"/>
  <c r="AF3942" i="1"/>
  <c r="AE3942" i="1"/>
  <c r="AD3942" i="1"/>
  <c r="AC3942" i="1"/>
  <c r="AB3942" i="1"/>
  <c r="AA3942" i="1"/>
  <c r="AF3941" i="1"/>
  <c r="AE3941" i="1"/>
  <c r="AD3941" i="1"/>
  <c r="AC3941" i="1"/>
  <c r="AB3941" i="1"/>
  <c r="AA3941" i="1"/>
  <c r="AF3940" i="1"/>
  <c r="AE3940" i="1"/>
  <c r="AD3940" i="1"/>
  <c r="AC3940" i="1"/>
  <c r="AB3940" i="1"/>
  <c r="AA3940" i="1"/>
  <c r="AF3939" i="1"/>
  <c r="AE3939" i="1"/>
  <c r="AD3939" i="1"/>
  <c r="AC3939" i="1"/>
  <c r="AB3939" i="1"/>
  <c r="AA3939" i="1"/>
  <c r="AF3938" i="1"/>
  <c r="AE3938" i="1"/>
  <c r="AD3938" i="1"/>
  <c r="AC3938" i="1"/>
  <c r="AB3938" i="1"/>
  <c r="AA3938" i="1"/>
  <c r="AF3937" i="1"/>
  <c r="AE3937" i="1"/>
  <c r="AD3937" i="1"/>
  <c r="AC3937" i="1"/>
  <c r="AB3937" i="1"/>
  <c r="AA3937" i="1"/>
  <c r="AF3936" i="1"/>
  <c r="AE3936" i="1"/>
  <c r="AD3936" i="1"/>
  <c r="AC3936" i="1"/>
  <c r="AB3936" i="1"/>
  <c r="AA3936" i="1"/>
  <c r="AF3935" i="1"/>
  <c r="AE3935" i="1"/>
  <c r="AD3935" i="1"/>
  <c r="AC3935" i="1"/>
  <c r="AB3935" i="1"/>
  <c r="AA3935" i="1"/>
  <c r="AF3934" i="1"/>
  <c r="AE3934" i="1"/>
  <c r="AD3934" i="1"/>
  <c r="AC3934" i="1"/>
  <c r="AB3934" i="1"/>
  <c r="AA3934" i="1"/>
  <c r="AF3933" i="1"/>
  <c r="AE3933" i="1"/>
  <c r="AD3933" i="1"/>
  <c r="AC3933" i="1"/>
  <c r="AB3933" i="1"/>
  <c r="AA3933" i="1"/>
  <c r="AF3932" i="1"/>
  <c r="AE3932" i="1"/>
  <c r="AD3932" i="1"/>
  <c r="AC3932" i="1"/>
  <c r="AB3932" i="1"/>
  <c r="AA3932" i="1"/>
  <c r="AF3931" i="1"/>
  <c r="AE3931" i="1"/>
  <c r="AD3931" i="1"/>
  <c r="AC3931" i="1"/>
  <c r="AB3931" i="1"/>
  <c r="AA3931" i="1"/>
  <c r="AF3930" i="1"/>
  <c r="AE3930" i="1"/>
  <c r="AD3930" i="1"/>
  <c r="AC3930" i="1"/>
  <c r="AB3930" i="1"/>
  <c r="AA3930" i="1"/>
  <c r="AF3929" i="1"/>
  <c r="AE3929" i="1"/>
  <c r="AD3929" i="1"/>
  <c r="AC3929" i="1"/>
  <c r="AB3929" i="1"/>
  <c r="AA3929" i="1"/>
  <c r="AF3928" i="1"/>
  <c r="AE3928" i="1"/>
  <c r="AD3928" i="1"/>
  <c r="AC3928" i="1"/>
  <c r="AB3928" i="1"/>
  <c r="AA3928" i="1"/>
  <c r="AF3927" i="1"/>
  <c r="AE3927" i="1"/>
  <c r="AD3927" i="1"/>
  <c r="AC3927" i="1"/>
  <c r="AB3927" i="1"/>
  <c r="AA3927" i="1"/>
  <c r="AF3926" i="1"/>
  <c r="AE3926" i="1"/>
  <c r="AD3926" i="1"/>
  <c r="AC3926" i="1"/>
  <c r="AB3926" i="1"/>
  <c r="AA3926" i="1"/>
  <c r="AF3925" i="1"/>
  <c r="AE3925" i="1"/>
  <c r="AD3925" i="1"/>
  <c r="AC3925" i="1"/>
  <c r="AB3925" i="1"/>
  <c r="AA3925" i="1"/>
  <c r="AF3924" i="1"/>
  <c r="AE3924" i="1"/>
  <c r="AD3924" i="1"/>
  <c r="AC3924" i="1"/>
  <c r="AB3924" i="1"/>
  <c r="AA3924" i="1"/>
  <c r="AF3923" i="1"/>
  <c r="AE3923" i="1"/>
  <c r="AD3923" i="1"/>
  <c r="AC3923" i="1"/>
  <c r="AB3923" i="1"/>
  <c r="AA3923" i="1"/>
  <c r="AF3922" i="1"/>
  <c r="AE3922" i="1"/>
  <c r="AD3922" i="1"/>
  <c r="AC3922" i="1"/>
  <c r="AB3922" i="1"/>
  <c r="AA3922" i="1"/>
  <c r="AF3921" i="1"/>
  <c r="AE3921" i="1"/>
  <c r="AD3921" i="1"/>
  <c r="AC3921" i="1"/>
  <c r="AB3921" i="1"/>
  <c r="AA3921" i="1"/>
  <c r="AF3920" i="1"/>
  <c r="AE3920" i="1"/>
  <c r="AD3920" i="1"/>
  <c r="AC3920" i="1"/>
  <c r="AB3920" i="1"/>
  <c r="AA3920" i="1"/>
  <c r="AF3919" i="1"/>
  <c r="AE3919" i="1"/>
  <c r="AD3919" i="1"/>
  <c r="AC3919" i="1"/>
  <c r="AB3919" i="1"/>
  <c r="AA3919" i="1"/>
  <c r="AF3918" i="1"/>
  <c r="AE3918" i="1"/>
  <c r="AD3918" i="1"/>
  <c r="AC3918" i="1"/>
  <c r="AB3918" i="1"/>
  <c r="AA3918" i="1"/>
  <c r="AF3917" i="1"/>
  <c r="AE3917" i="1"/>
  <c r="AD3917" i="1"/>
  <c r="AC3917" i="1"/>
  <c r="AB3917" i="1"/>
  <c r="AA3917" i="1"/>
  <c r="AF3916" i="1"/>
  <c r="AE3916" i="1"/>
  <c r="AD3916" i="1"/>
  <c r="AC3916" i="1"/>
  <c r="AB3916" i="1"/>
  <c r="AA3916" i="1"/>
  <c r="AF3915" i="1"/>
  <c r="AE3915" i="1"/>
  <c r="AD3915" i="1"/>
  <c r="AC3915" i="1"/>
  <c r="AB3915" i="1"/>
  <c r="AA3915" i="1"/>
  <c r="AF3914" i="1"/>
  <c r="AE3914" i="1"/>
  <c r="AD3914" i="1"/>
  <c r="AC3914" i="1"/>
  <c r="AB3914" i="1"/>
  <c r="AA3914" i="1"/>
  <c r="AF3913" i="1"/>
  <c r="AE3913" i="1"/>
  <c r="AD3913" i="1"/>
  <c r="AC3913" i="1"/>
  <c r="AB3913" i="1"/>
  <c r="AA3913" i="1"/>
  <c r="AF3912" i="1"/>
  <c r="AE3912" i="1"/>
  <c r="AD3912" i="1"/>
  <c r="AC3912" i="1"/>
  <c r="AB3912" i="1"/>
  <c r="AA3912" i="1"/>
  <c r="AF3911" i="1"/>
  <c r="AE3911" i="1"/>
  <c r="AD3911" i="1"/>
  <c r="AC3911" i="1"/>
  <c r="AB3911" i="1"/>
  <c r="AA3911" i="1"/>
  <c r="AF3910" i="1"/>
  <c r="AE3910" i="1"/>
  <c r="AD3910" i="1"/>
  <c r="AC3910" i="1"/>
  <c r="AB3910" i="1"/>
  <c r="AA3910" i="1"/>
  <c r="AF3909" i="1"/>
  <c r="AE3909" i="1"/>
  <c r="AD3909" i="1"/>
  <c r="AC3909" i="1"/>
  <c r="AB3909" i="1"/>
  <c r="AA3909" i="1"/>
  <c r="AF3908" i="1"/>
  <c r="AE3908" i="1"/>
  <c r="AD3908" i="1"/>
  <c r="AC3908" i="1"/>
  <c r="AB3908" i="1"/>
  <c r="AA3908" i="1"/>
  <c r="AF3907" i="1"/>
  <c r="AE3907" i="1"/>
  <c r="AD3907" i="1"/>
  <c r="AC3907" i="1"/>
  <c r="AB3907" i="1"/>
  <c r="AA3907" i="1"/>
  <c r="AF3906" i="1"/>
  <c r="AE3906" i="1"/>
  <c r="AD3906" i="1"/>
  <c r="AC3906" i="1"/>
  <c r="AB3906" i="1"/>
  <c r="AA3906" i="1"/>
  <c r="AF3905" i="1"/>
  <c r="AE3905" i="1"/>
  <c r="AD3905" i="1"/>
  <c r="AC3905" i="1"/>
  <c r="AB3905" i="1"/>
  <c r="AA3905" i="1"/>
  <c r="AF3904" i="1"/>
  <c r="AE3904" i="1"/>
  <c r="AD3904" i="1"/>
  <c r="AC3904" i="1"/>
  <c r="AB3904" i="1"/>
  <c r="AA3904" i="1"/>
  <c r="AF3903" i="1"/>
  <c r="AE3903" i="1"/>
  <c r="AD3903" i="1"/>
  <c r="AC3903" i="1"/>
  <c r="AB3903" i="1"/>
  <c r="AA3903" i="1"/>
  <c r="AF3902" i="1"/>
  <c r="AE3902" i="1"/>
  <c r="AD3902" i="1"/>
  <c r="AC3902" i="1"/>
  <c r="AB3902" i="1"/>
  <c r="AA3902" i="1"/>
  <c r="AF3901" i="1"/>
  <c r="AE3901" i="1"/>
  <c r="AD3901" i="1"/>
  <c r="AC3901" i="1"/>
  <c r="AB3901" i="1"/>
  <c r="AA3901" i="1"/>
  <c r="AF3900" i="1"/>
  <c r="AE3900" i="1"/>
  <c r="AD3900" i="1"/>
  <c r="AC3900" i="1"/>
  <c r="AB3900" i="1"/>
  <c r="AA3900" i="1"/>
  <c r="AF3899" i="1"/>
  <c r="AE3899" i="1"/>
  <c r="AD3899" i="1"/>
  <c r="AC3899" i="1"/>
  <c r="AB3899" i="1"/>
  <c r="AA3899" i="1"/>
  <c r="AF3898" i="1"/>
  <c r="AE3898" i="1"/>
  <c r="AD3898" i="1"/>
  <c r="AC3898" i="1"/>
  <c r="AB3898" i="1"/>
  <c r="AA3898" i="1"/>
  <c r="AF3897" i="1"/>
  <c r="AE3897" i="1"/>
  <c r="AD3897" i="1"/>
  <c r="AC3897" i="1"/>
  <c r="AB3897" i="1"/>
  <c r="AA3897" i="1"/>
  <c r="AF3896" i="1"/>
  <c r="AE3896" i="1"/>
  <c r="AD3896" i="1"/>
  <c r="AC3896" i="1"/>
  <c r="AB3896" i="1"/>
  <c r="AA3896" i="1"/>
  <c r="AF3895" i="1"/>
  <c r="AE3895" i="1"/>
  <c r="AD3895" i="1"/>
  <c r="AC3895" i="1"/>
  <c r="AB3895" i="1"/>
  <c r="AA3895" i="1"/>
  <c r="AF3894" i="1"/>
  <c r="AE3894" i="1"/>
  <c r="AD3894" i="1"/>
  <c r="AC3894" i="1"/>
  <c r="AB3894" i="1"/>
  <c r="AA3894" i="1"/>
  <c r="AF3893" i="1"/>
  <c r="AE3893" i="1"/>
  <c r="AD3893" i="1"/>
  <c r="AC3893" i="1"/>
  <c r="AB3893" i="1"/>
  <c r="AA3893" i="1"/>
  <c r="AF3892" i="1"/>
  <c r="AE3892" i="1"/>
  <c r="AD3892" i="1"/>
  <c r="AC3892" i="1"/>
  <c r="AB3892" i="1"/>
  <c r="AA3892" i="1"/>
  <c r="AF3891" i="1"/>
  <c r="AE3891" i="1"/>
  <c r="AD3891" i="1"/>
  <c r="AC3891" i="1"/>
  <c r="AB3891" i="1"/>
  <c r="AA3891" i="1"/>
  <c r="AF3890" i="1"/>
  <c r="AE3890" i="1"/>
  <c r="AD3890" i="1"/>
  <c r="AC3890" i="1"/>
  <c r="AB3890" i="1"/>
  <c r="AA3890" i="1"/>
  <c r="AF3889" i="1"/>
  <c r="AE3889" i="1"/>
  <c r="AD3889" i="1"/>
  <c r="AC3889" i="1"/>
  <c r="AB3889" i="1"/>
  <c r="AA3889" i="1"/>
  <c r="AF3888" i="1"/>
  <c r="AE3888" i="1"/>
  <c r="AD3888" i="1"/>
  <c r="AC3888" i="1"/>
  <c r="AB3888" i="1"/>
  <c r="AA3888" i="1"/>
  <c r="AF3887" i="1"/>
  <c r="AE3887" i="1"/>
  <c r="AD3887" i="1"/>
  <c r="AC3887" i="1"/>
  <c r="AB3887" i="1"/>
  <c r="AA3887" i="1"/>
  <c r="AF3886" i="1"/>
  <c r="AE3886" i="1"/>
  <c r="AD3886" i="1"/>
  <c r="AC3886" i="1"/>
  <c r="AB3886" i="1"/>
  <c r="AA3886" i="1"/>
  <c r="AF3885" i="1"/>
  <c r="AE3885" i="1"/>
  <c r="AD3885" i="1"/>
  <c r="AC3885" i="1"/>
  <c r="AB3885" i="1"/>
  <c r="AA3885" i="1"/>
  <c r="AF3884" i="1"/>
  <c r="AE3884" i="1"/>
  <c r="AD3884" i="1"/>
  <c r="AC3884" i="1"/>
  <c r="AB3884" i="1"/>
  <c r="AA3884" i="1"/>
  <c r="AF3883" i="1"/>
  <c r="AE3883" i="1"/>
  <c r="AD3883" i="1"/>
  <c r="AC3883" i="1"/>
  <c r="AB3883" i="1"/>
  <c r="AA3883" i="1"/>
  <c r="AF3882" i="1"/>
  <c r="AE3882" i="1"/>
  <c r="AD3882" i="1"/>
  <c r="AC3882" i="1"/>
  <c r="AB3882" i="1"/>
  <c r="AA3882" i="1"/>
  <c r="AF3881" i="1"/>
  <c r="AE3881" i="1"/>
  <c r="AD3881" i="1"/>
  <c r="AC3881" i="1"/>
  <c r="AB3881" i="1"/>
  <c r="AA3881" i="1"/>
  <c r="AF3880" i="1"/>
  <c r="AE3880" i="1"/>
  <c r="AD3880" i="1"/>
  <c r="AC3880" i="1"/>
  <c r="AB3880" i="1"/>
  <c r="AA3880" i="1"/>
  <c r="AF3879" i="1"/>
  <c r="AE3879" i="1"/>
  <c r="AD3879" i="1"/>
  <c r="AC3879" i="1"/>
  <c r="AB3879" i="1"/>
  <c r="AA3879" i="1"/>
  <c r="AF3878" i="1"/>
  <c r="AE3878" i="1"/>
  <c r="AD3878" i="1"/>
  <c r="AC3878" i="1"/>
  <c r="AB3878" i="1"/>
  <c r="AA3878" i="1"/>
  <c r="AF3877" i="1"/>
  <c r="AE3877" i="1"/>
  <c r="AD3877" i="1"/>
  <c r="AC3877" i="1"/>
  <c r="AB3877" i="1"/>
  <c r="AA3877" i="1"/>
  <c r="AF3876" i="1"/>
  <c r="AE3876" i="1"/>
  <c r="AD3876" i="1"/>
  <c r="AC3876" i="1"/>
  <c r="AB3876" i="1"/>
  <c r="AA3876" i="1"/>
  <c r="AF3875" i="1"/>
  <c r="AE3875" i="1"/>
  <c r="AD3875" i="1"/>
  <c r="AC3875" i="1"/>
  <c r="AB3875" i="1"/>
  <c r="AA3875" i="1"/>
  <c r="AF3874" i="1"/>
  <c r="AE3874" i="1"/>
  <c r="AD3874" i="1"/>
  <c r="AC3874" i="1"/>
  <c r="AB3874" i="1"/>
  <c r="AA3874" i="1"/>
  <c r="AF3873" i="1"/>
  <c r="AE3873" i="1"/>
  <c r="AD3873" i="1"/>
  <c r="AC3873" i="1"/>
  <c r="AB3873" i="1"/>
  <c r="AA3873" i="1"/>
  <c r="AF3872" i="1"/>
  <c r="AE3872" i="1"/>
  <c r="AD3872" i="1"/>
  <c r="AC3872" i="1"/>
  <c r="AB3872" i="1"/>
  <c r="AA3872" i="1"/>
  <c r="AF3871" i="1"/>
  <c r="AE3871" i="1"/>
  <c r="AD3871" i="1"/>
  <c r="AC3871" i="1"/>
  <c r="AB3871" i="1"/>
  <c r="AA3871" i="1"/>
  <c r="AF3870" i="1"/>
  <c r="AE3870" i="1"/>
  <c r="AD3870" i="1"/>
  <c r="AC3870" i="1"/>
  <c r="AB3870" i="1"/>
  <c r="AA3870" i="1"/>
  <c r="AF3869" i="1"/>
  <c r="AE3869" i="1"/>
  <c r="AD3869" i="1"/>
  <c r="AC3869" i="1"/>
  <c r="AB3869" i="1"/>
  <c r="AA3869" i="1"/>
  <c r="AF3868" i="1"/>
  <c r="AE3868" i="1"/>
  <c r="AD3868" i="1"/>
  <c r="AC3868" i="1"/>
  <c r="AB3868" i="1"/>
  <c r="AA3868" i="1"/>
  <c r="AF3867" i="1"/>
  <c r="AE3867" i="1"/>
  <c r="AD3867" i="1"/>
  <c r="AC3867" i="1"/>
  <c r="AB3867" i="1"/>
  <c r="AA3867" i="1"/>
  <c r="AF3866" i="1"/>
  <c r="AE3866" i="1"/>
  <c r="AD3866" i="1"/>
  <c r="AC3866" i="1"/>
  <c r="AB3866" i="1"/>
  <c r="AA3866" i="1"/>
  <c r="AF3865" i="1"/>
  <c r="AE3865" i="1"/>
  <c r="AD3865" i="1"/>
  <c r="AC3865" i="1"/>
  <c r="AB3865" i="1"/>
  <c r="AA3865" i="1"/>
  <c r="AF3864" i="1"/>
  <c r="AE3864" i="1"/>
  <c r="AD3864" i="1"/>
  <c r="AC3864" i="1"/>
  <c r="AB3864" i="1"/>
  <c r="AA3864" i="1"/>
  <c r="AF3863" i="1"/>
  <c r="AE3863" i="1"/>
  <c r="AD3863" i="1"/>
  <c r="AC3863" i="1"/>
  <c r="AB3863" i="1"/>
  <c r="AA3863" i="1"/>
  <c r="AF3862" i="1"/>
  <c r="AE3862" i="1"/>
  <c r="AD3862" i="1"/>
  <c r="AC3862" i="1"/>
  <c r="AB3862" i="1"/>
  <c r="AA3862" i="1"/>
  <c r="AF3861" i="1"/>
  <c r="AE3861" i="1"/>
  <c r="AD3861" i="1"/>
  <c r="AC3861" i="1"/>
  <c r="AB3861" i="1"/>
  <c r="AA3861" i="1"/>
  <c r="AF3860" i="1"/>
  <c r="AE3860" i="1"/>
  <c r="AD3860" i="1"/>
  <c r="AC3860" i="1"/>
  <c r="AB3860" i="1"/>
  <c r="AA3860" i="1"/>
  <c r="AF3859" i="1"/>
  <c r="AE3859" i="1"/>
  <c r="AD3859" i="1"/>
  <c r="AC3859" i="1"/>
  <c r="AB3859" i="1"/>
  <c r="AA3859" i="1"/>
  <c r="AF3858" i="1"/>
  <c r="AE3858" i="1"/>
  <c r="AD3858" i="1"/>
  <c r="AC3858" i="1"/>
  <c r="AB3858" i="1"/>
  <c r="AA3858" i="1"/>
  <c r="AF3857" i="1"/>
  <c r="AE3857" i="1"/>
  <c r="AD3857" i="1"/>
  <c r="AC3857" i="1"/>
  <c r="AB3857" i="1"/>
  <c r="AA3857" i="1"/>
  <c r="AF3856" i="1"/>
  <c r="AE3856" i="1"/>
  <c r="AD3856" i="1"/>
  <c r="AC3856" i="1"/>
  <c r="AB3856" i="1"/>
  <c r="AA3856" i="1"/>
  <c r="AF3855" i="1"/>
  <c r="AE3855" i="1"/>
  <c r="AD3855" i="1"/>
  <c r="AC3855" i="1"/>
  <c r="AB3855" i="1"/>
  <c r="AA3855" i="1"/>
  <c r="AF3854" i="1"/>
  <c r="AE3854" i="1"/>
  <c r="AD3854" i="1"/>
  <c r="AC3854" i="1"/>
  <c r="AB3854" i="1"/>
  <c r="AA3854" i="1"/>
  <c r="AF3853" i="1"/>
  <c r="AE3853" i="1"/>
  <c r="AD3853" i="1"/>
  <c r="AC3853" i="1"/>
  <c r="AB3853" i="1"/>
  <c r="AA3853" i="1"/>
  <c r="AF3852" i="1"/>
  <c r="AE3852" i="1"/>
  <c r="AD3852" i="1"/>
  <c r="AC3852" i="1"/>
  <c r="AB3852" i="1"/>
  <c r="AA3852" i="1"/>
  <c r="AF3851" i="1"/>
  <c r="AE3851" i="1"/>
  <c r="AD3851" i="1"/>
  <c r="AC3851" i="1"/>
  <c r="AB3851" i="1"/>
  <c r="AA3851" i="1"/>
  <c r="AF3850" i="1"/>
  <c r="AE3850" i="1"/>
  <c r="AD3850" i="1"/>
  <c r="AC3850" i="1"/>
  <c r="AB3850" i="1"/>
  <c r="AA3850" i="1"/>
  <c r="AF3849" i="1"/>
  <c r="AE3849" i="1"/>
  <c r="AD3849" i="1"/>
  <c r="AC3849" i="1"/>
  <c r="AB3849" i="1"/>
  <c r="AA3849" i="1"/>
  <c r="AF3848" i="1"/>
  <c r="AE3848" i="1"/>
  <c r="AD3848" i="1"/>
  <c r="AC3848" i="1"/>
  <c r="AB3848" i="1"/>
  <c r="AA3848" i="1"/>
  <c r="AF3847" i="1"/>
  <c r="AE3847" i="1"/>
  <c r="AD3847" i="1"/>
  <c r="AC3847" i="1"/>
  <c r="AB3847" i="1"/>
  <c r="AA3847" i="1"/>
  <c r="AF3846" i="1"/>
  <c r="AE3846" i="1"/>
  <c r="AD3846" i="1"/>
  <c r="AC3846" i="1"/>
  <c r="AB3846" i="1"/>
  <c r="AA3846" i="1"/>
  <c r="AF3845" i="1"/>
  <c r="AE3845" i="1"/>
  <c r="AD3845" i="1"/>
  <c r="AC3845" i="1"/>
  <c r="AB3845" i="1"/>
  <c r="AA3845" i="1"/>
  <c r="AF3844" i="1"/>
  <c r="AE3844" i="1"/>
  <c r="AD3844" i="1"/>
  <c r="AC3844" i="1"/>
  <c r="AB3844" i="1"/>
  <c r="AA3844" i="1"/>
  <c r="AF3843" i="1"/>
  <c r="AE3843" i="1"/>
  <c r="AD3843" i="1"/>
  <c r="AC3843" i="1"/>
  <c r="AB3843" i="1"/>
  <c r="AA3843" i="1"/>
  <c r="AF3842" i="1"/>
  <c r="AE3842" i="1"/>
  <c r="AD3842" i="1"/>
  <c r="AC3842" i="1"/>
  <c r="AB3842" i="1"/>
  <c r="AA3842" i="1"/>
  <c r="AF3841" i="1"/>
  <c r="AE3841" i="1"/>
  <c r="AD3841" i="1"/>
  <c r="AC3841" i="1"/>
  <c r="AB3841" i="1"/>
  <c r="AA3841" i="1"/>
  <c r="AF3840" i="1"/>
  <c r="AE3840" i="1"/>
  <c r="AD3840" i="1"/>
  <c r="AC3840" i="1"/>
  <c r="AB3840" i="1"/>
  <c r="AA3840" i="1"/>
  <c r="AF3839" i="1"/>
  <c r="AE3839" i="1"/>
  <c r="AD3839" i="1"/>
  <c r="AC3839" i="1"/>
  <c r="AB3839" i="1"/>
  <c r="AA3839" i="1"/>
  <c r="AF3838" i="1"/>
  <c r="AE3838" i="1"/>
  <c r="AD3838" i="1"/>
  <c r="AC3838" i="1"/>
  <c r="AB3838" i="1"/>
  <c r="AA3838" i="1"/>
  <c r="AF3837" i="1"/>
  <c r="AE3837" i="1"/>
  <c r="AD3837" i="1"/>
  <c r="AC3837" i="1"/>
  <c r="AB3837" i="1"/>
  <c r="AA3837" i="1"/>
  <c r="AF3836" i="1"/>
  <c r="AE3836" i="1"/>
  <c r="AD3836" i="1"/>
  <c r="AC3836" i="1"/>
  <c r="AB3836" i="1"/>
  <c r="AA3836" i="1"/>
  <c r="AF3835" i="1"/>
  <c r="AE3835" i="1"/>
  <c r="AD3835" i="1"/>
  <c r="AC3835" i="1"/>
  <c r="AB3835" i="1"/>
  <c r="AA3835" i="1"/>
  <c r="AF3834" i="1"/>
  <c r="AE3834" i="1"/>
  <c r="AD3834" i="1"/>
  <c r="AC3834" i="1"/>
  <c r="AB3834" i="1"/>
  <c r="AA3834" i="1"/>
  <c r="AF3833" i="1"/>
  <c r="AE3833" i="1"/>
  <c r="AD3833" i="1"/>
  <c r="AC3833" i="1"/>
  <c r="AB3833" i="1"/>
  <c r="AA3833" i="1"/>
  <c r="AF3832" i="1"/>
  <c r="AE3832" i="1"/>
  <c r="AD3832" i="1"/>
  <c r="AC3832" i="1"/>
  <c r="AB3832" i="1"/>
  <c r="AA3832" i="1"/>
  <c r="AF3831" i="1"/>
  <c r="AE3831" i="1"/>
  <c r="AD3831" i="1"/>
  <c r="AC3831" i="1"/>
  <c r="AB3831" i="1"/>
  <c r="AA3831" i="1"/>
  <c r="AF3830" i="1"/>
  <c r="AE3830" i="1"/>
  <c r="AD3830" i="1"/>
  <c r="AC3830" i="1"/>
  <c r="AB3830" i="1"/>
  <c r="AA3830" i="1"/>
  <c r="AF3829" i="1"/>
  <c r="AE3829" i="1"/>
  <c r="AD3829" i="1"/>
  <c r="AC3829" i="1"/>
  <c r="AB3829" i="1"/>
  <c r="AA3829" i="1"/>
  <c r="AF3828" i="1"/>
  <c r="AE3828" i="1"/>
  <c r="AD3828" i="1"/>
  <c r="AC3828" i="1"/>
  <c r="AB3828" i="1"/>
  <c r="AA3828" i="1"/>
  <c r="AF3827" i="1"/>
  <c r="AE3827" i="1"/>
  <c r="AD3827" i="1"/>
  <c r="AC3827" i="1"/>
  <c r="AB3827" i="1"/>
  <c r="AA3827" i="1"/>
  <c r="AF3826" i="1"/>
  <c r="AE3826" i="1"/>
  <c r="AD3826" i="1"/>
  <c r="AC3826" i="1"/>
  <c r="AB3826" i="1"/>
  <c r="AA3826" i="1"/>
  <c r="AF3825" i="1"/>
  <c r="AE3825" i="1"/>
  <c r="AD3825" i="1"/>
  <c r="AC3825" i="1"/>
  <c r="AB3825" i="1"/>
  <c r="AA3825" i="1"/>
  <c r="AF3824" i="1"/>
  <c r="AE3824" i="1"/>
  <c r="AD3824" i="1"/>
  <c r="AC3824" i="1"/>
  <c r="AB3824" i="1"/>
  <c r="AA3824" i="1"/>
  <c r="AF3823" i="1"/>
  <c r="AE3823" i="1"/>
  <c r="AD3823" i="1"/>
  <c r="AC3823" i="1"/>
  <c r="AB3823" i="1"/>
  <c r="AA3823" i="1"/>
  <c r="AF3822" i="1"/>
  <c r="AE3822" i="1"/>
  <c r="AD3822" i="1"/>
  <c r="AC3822" i="1"/>
  <c r="AB3822" i="1"/>
  <c r="AA3822" i="1"/>
  <c r="AF3821" i="1"/>
  <c r="AE3821" i="1"/>
  <c r="AD3821" i="1"/>
  <c r="AC3821" i="1"/>
  <c r="AB3821" i="1"/>
  <c r="AA3821" i="1"/>
  <c r="AF3820" i="1"/>
  <c r="AE3820" i="1"/>
  <c r="AD3820" i="1"/>
  <c r="AC3820" i="1"/>
  <c r="AB3820" i="1"/>
  <c r="AA3820" i="1"/>
  <c r="AF3819" i="1"/>
  <c r="AE3819" i="1"/>
  <c r="AD3819" i="1"/>
  <c r="AC3819" i="1"/>
  <c r="AB3819" i="1"/>
  <c r="AA3819" i="1"/>
  <c r="AF3818" i="1"/>
  <c r="AE3818" i="1"/>
  <c r="AD3818" i="1"/>
  <c r="AC3818" i="1"/>
  <c r="AB3818" i="1"/>
  <c r="AA3818" i="1"/>
  <c r="AF3817" i="1"/>
  <c r="AE3817" i="1"/>
  <c r="AD3817" i="1"/>
  <c r="AC3817" i="1"/>
  <c r="AB3817" i="1"/>
  <c r="AA3817" i="1"/>
  <c r="AF3816" i="1"/>
  <c r="AE3816" i="1"/>
  <c r="AD3816" i="1"/>
  <c r="AC3816" i="1"/>
  <c r="AB3816" i="1"/>
  <c r="AA3816" i="1"/>
  <c r="AF3815" i="1"/>
  <c r="AE3815" i="1"/>
  <c r="AD3815" i="1"/>
  <c r="AC3815" i="1"/>
  <c r="AB3815" i="1"/>
  <c r="AA3815" i="1"/>
  <c r="AF3814" i="1"/>
  <c r="AE3814" i="1"/>
  <c r="AD3814" i="1"/>
  <c r="AC3814" i="1"/>
  <c r="AB3814" i="1"/>
  <c r="AA3814" i="1"/>
  <c r="AF3813" i="1"/>
  <c r="AE3813" i="1"/>
  <c r="AD3813" i="1"/>
  <c r="AC3813" i="1"/>
  <c r="AB3813" i="1"/>
  <c r="AA3813" i="1"/>
  <c r="AF3812" i="1"/>
  <c r="AE3812" i="1"/>
  <c r="AD3812" i="1"/>
  <c r="AC3812" i="1"/>
  <c r="AB3812" i="1"/>
  <c r="AA3812" i="1"/>
  <c r="AF3811" i="1"/>
  <c r="AE3811" i="1"/>
  <c r="AD3811" i="1"/>
  <c r="AC3811" i="1"/>
  <c r="AB3811" i="1"/>
  <c r="AA3811" i="1"/>
  <c r="AF3810" i="1"/>
  <c r="AE3810" i="1"/>
  <c r="AD3810" i="1"/>
  <c r="AC3810" i="1"/>
  <c r="AB3810" i="1"/>
  <c r="AA3810" i="1"/>
  <c r="AF3809" i="1"/>
  <c r="AE3809" i="1"/>
  <c r="AD3809" i="1"/>
  <c r="AC3809" i="1"/>
  <c r="AB3809" i="1"/>
  <c r="AA3809" i="1"/>
  <c r="AF3808" i="1"/>
  <c r="AE3808" i="1"/>
  <c r="AD3808" i="1"/>
  <c r="AC3808" i="1"/>
  <c r="AB3808" i="1"/>
  <c r="AA3808" i="1"/>
  <c r="AF3807" i="1"/>
  <c r="AE3807" i="1"/>
  <c r="AD3807" i="1"/>
  <c r="AC3807" i="1"/>
  <c r="AB3807" i="1"/>
  <c r="AA3807" i="1"/>
  <c r="AF3806" i="1"/>
  <c r="AE3806" i="1"/>
  <c r="AD3806" i="1"/>
  <c r="AC3806" i="1"/>
  <c r="AB3806" i="1"/>
  <c r="AA3806" i="1"/>
  <c r="AF3805" i="1"/>
  <c r="AE3805" i="1"/>
  <c r="AD3805" i="1"/>
  <c r="AC3805" i="1"/>
  <c r="AB3805" i="1"/>
  <c r="AA3805" i="1"/>
  <c r="AF3804" i="1"/>
  <c r="AE3804" i="1"/>
  <c r="AD3804" i="1"/>
  <c r="AC3804" i="1"/>
  <c r="AB3804" i="1"/>
  <c r="AA3804" i="1"/>
  <c r="AF3803" i="1"/>
  <c r="AE3803" i="1"/>
  <c r="AD3803" i="1"/>
  <c r="AC3803" i="1"/>
  <c r="AB3803" i="1"/>
  <c r="AA3803" i="1"/>
  <c r="AF3802" i="1"/>
  <c r="AE3802" i="1"/>
  <c r="AD3802" i="1"/>
  <c r="AC3802" i="1"/>
  <c r="AB3802" i="1"/>
  <c r="AA3802" i="1"/>
  <c r="AF3801" i="1"/>
  <c r="AE3801" i="1"/>
  <c r="AD3801" i="1"/>
  <c r="AC3801" i="1"/>
  <c r="AB3801" i="1"/>
  <c r="AA3801" i="1"/>
  <c r="AF3800" i="1"/>
  <c r="AE3800" i="1"/>
  <c r="AD3800" i="1"/>
  <c r="AC3800" i="1"/>
  <c r="AB3800" i="1"/>
  <c r="AA3800" i="1"/>
  <c r="AF3799" i="1"/>
  <c r="AE3799" i="1"/>
  <c r="AD3799" i="1"/>
  <c r="AC3799" i="1"/>
  <c r="AB3799" i="1"/>
  <c r="AA3799" i="1"/>
  <c r="AF3798" i="1"/>
  <c r="AE3798" i="1"/>
  <c r="AD3798" i="1"/>
  <c r="AC3798" i="1"/>
  <c r="AB3798" i="1"/>
  <c r="AA3798" i="1"/>
  <c r="AF3797" i="1"/>
  <c r="AE3797" i="1"/>
  <c r="AD3797" i="1"/>
  <c r="AC3797" i="1"/>
  <c r="AB3797" i="1"/>
  <c r="AA3797" i="1"/>
  <c r="AF3796" i="1"/>
  <c r="AE3796" i="1"/>
  <c r="AD3796" i="1"/>
  <c r="AC3796" i="1"/>
  <c r="AB3796" i="1"/>
  <c r="AA3796" i="1"/>
  <c r="AF3795" i="1"/>
  <c r="AE3795" i="1"/>
  <c r="AD3795" i="1"/>
  <c r="AC3795" i="1"/>
  <c r="AB3795" i="1"/>
  <c r="AA3795" i="1"/>
  <c r="AF3794" i="1"/>
  <c r="AE3794" i="1"/>
  <c r="AD3794" i="1"/>
  <c r="AC3794" i="1"/>
  <c r="AB3794" i="1"/>
  <c r="AA3794" i="1"/>
  <c r="AF3793" i="1"/>
  <c r="AE3793" i="1"/>
  <c r="AD3793" i="1"/>
  <c r="AC3793" i="1"/>
  <c r="AB3793" i="1"/>
  <c r="AA3793" i="1"/>
  <c r="AF3792" i="1"/>
  <c r="AE3792" i="1"/>
  <c r="AD3792" i="1"/>
  <c r="AC3792" i="1"/>
  <c r="AB3792" i="1"/>
  <c r="AA3792" i="1"/>
  <c r="AF3791" i="1"/>
  <c r="AE3791" i="1"/>
  <c r="AD3791" i="1"/>
  <c r="AC3791" i="1"/>
  <c r="AB3791" i="1"/>
  <c r="AA3791" i="1"/>
  <c r="AF3790" i="1"/>
  <c r="AE3790" i="1"/>
  <c r="AD3790" i="1"/>
  <c r="AC3790" i="1"/>
  <c r="AB3790" i="1"/>
  <c r="AA3790" i="1"/>
  <c r="AF3789" i="1"/>
  <c r="AE3789" i="1"/>
  <c r="AD3789" i="1"/>
  <c r="AC3789" i="1"/>
  <c r="AB3789" i="1"/>
  <c r="AA3789" i="1"/>
  <c r="AF3788" i="1"/>
  <c r="AE3788" i="1"/>
  <c r="AD3788" i="1"/>
  <c r="AC3788" i="1"/>
  <c r="AB3788" i="1"/>
  <c r="AA3788" i="1"/>
  <c r="AF3787" i="1"/>
  <c r="AE3787" i="1"/>
  <c r="AD3787" i="1"/>
  <c r="AC3787" i="1"/>
  <c r="AB3787" i="1"/>
  <c r="AA3787" i="1"/>
  <c r="AF3786" i="1"/>
  <c r="AE3786" i="1"/>
  <c r="AD3786" i="1"/>
  <c r="AC3786" i="1"/>
  <c r="AB3786" i="1"/>
  <c r="AA3786" i="1"/>
  <c r="AF3785" i="1"/>
  <c r="AE3785" i="1"/>
  <c r="AD3785" i="1"/>
  <c r="AC3785" i="1"/>
  <c r="AB3785" i="1"/>
  <c r="AA3785" i="1"/>
  <c r="AF3784" i="1"/>
  <c r="AE3784" i="1"/>
  <c r="AD3784" i="1"/>
  <c r="AC3784" i="1"/>
  <c r="AB3784" i="1"/>
  <c r="AA3784" i="1"/>
  <c r="AF3783" i="1"/>
  <c r="AE3783" i="1"/>
  <c r="AD3783" i="1"/>
  <c r="AC3783" i="1"/>
  <c r="AB3783" i="1"/>
  <c r="AA3783" i="1"/>
  <c r="AF3782" i="1"/>
  <c r="AE3782" i="1"/>
  <c r="AD3782" i="1"/>
  <c r="AC3782" i="1"/>
  <c r="AB3782" i="1"/>
  <c r="AA3782" i="1"/>
  <c r="AF3781" i="1"/>
  <c r="AE3781" i="1"/>
  <c r="AD3781" i="1"/>
  <c r="AC3781" i="1"/>
  <c r="AB3781" i="1"/>
  <c r="AA3781" i="1"/>
  <c r="AF3780" i="1"/>
  <c r="AE3780" i="1"/>
  <c r="AD3780" i="1"/>
  <c r="AC3780" i="1"/>
  <c r="AB3780" i="1"/>
  <c r="AA3780" i="1"/>
  <c r="AF3779" i="1"/>
  <c r="AE3779" i="1"/>
  <c r="AD3779" i="1"/>
  <c r="AC3779" i="1"/>
  <c r="AB3779" i="1"/>
  <c r="AA3779" i="1"/>
  <c r="AF3778" i="1"/>
  <c r="AE3778" i="1"/>
  <c r="AD3778" i="1"/>
  <c r="AC3778" i="1"/>
  <c r="AB3778" i="1"/>
  <c r="AA3778" i="1"/>
  <c r="AF3777" i="1"/>
  <c r="AE3777" i="1"/>
  <c r="AD3777" i="1"/>
  <c r="AC3777" i="1"/>
  <c r="AB3777" i="1"/>
  <c r="AA3777" i="1"/>
  <c r="AF3776" i="1"/>
  <c r="AE3776" i="1"/>
  <c r="AD3776" i="1"/>
  <c r="AC3776" i="1"/>
  <c r="AB3776" i="1"/>
  <c r="AA3776" i="1"/>
  <c r="AF3775" i="1"/>
  <c r="AE3775" i="1"/>
  <c r="AD3775" i="1"/>
  <c r="AC3775" i="1"/>
  <c r="AB3775" i="1"/>
  <c r="AA3775" i="1"/>
  <c r="AF3774" i="1"/>
  <c r="AE3774" i="1"/>
  <c r="AD3774" i="1"/>
  <c r="AC3774" i="1"/>
  <c r="AB3774" i="1"/>
  <c r="AA3774" i="1"/>
  <c r="AF3773" i="1"/>
  <c r="AE3773" i="1"/>
  <c r="AD3773" i="1"/>
  <c r="AC3773" i="1"/>
  <c r="AB3773" i="1"/>
  <c r="AA3773" i="1"/>
  <c r="AF3772" i="1"/>
  <c r="AE3772" i="1"/>
  <c r="AD3772" i="1"/>
  <c r="AC3772" i="1"/>
  <c r="AB3772" i="1"/>
  <c r="AA3772" i="1"/>
  <c r="AF3771" i="1"/>
  <c r="AE3771" i="1"/>
  <c r="AD3771" i="1"/>
  <c r="AC3771" i="1"/>
  <c r="AB3771" i="1"/>
  <c r="AA3771" i="1"/>
  <c r="AF3770" i="1"/>
  <c r="AE3770" i="1"/>
  <c r="AD3770" i="1"/>
  <c r="AC3770" i="1"/>
  <c r="AB3770" i="1"/>
  <c r="AA3770" i="1"/>
  <c r="AF3769" i="1"/>
  <c r="AE3769" i="1"/>
  <c r="AD3769" i="1"/>
  <c r="AC3769" i="1"/>
  <c r="AB3769" i="1"/>
  <c r="AA3769" i="1"/>
  <c r="AF3768" i="1"/>
  <c r="AE3768" i="1"/>
  <c r="AD3768" i="1"/>
  <c r="AC3768" i="1"/>
  <c r="AB3768" i="1"/>
  <c r="AA3768" i="1"/>
  <c r="AF3767" i="1"/>
  <c r="AE3767" i="1"/>
  <c r="AD3767" i="1"/>
  <c r="AC3767" i="1"/>
  <c r="AB3767" i="1"/>
  <c r="AA3767" i="1"/>
  <c r="AF3766" i="1"/>
  <c r="AE3766" i="1"/>
  <c r="AD3766" i="1"/>
  <c r="AC3766" i="1"/>
  <c r="AB3766" i="1"/>
  <c r="AA3766" i="1"/>
  <c r="AF3765" i="1"/>
  <c r="AE3765" i="1"/>
  <c r="AD3765" i="1"/>
  <c r="AC3765" i="1"/>
  <c r="AB3765" i="1"/>
  <c r="AA3765" i="1"/>
  <c r="AF3764" i="1"/>
  <c r="AE3764" i="1"/>
  <c r="AD3764" i="1"/>
  <c r="AC3764" i="1"/>
  <c r="AB3764" i="1"/>
  <c r="AA3764" i="1"/>
  <c r="AF3763" i="1"/>
  <c r="AE3763" i="1"/>
  <c r="AD3763" i="1"/>
  <c r="AC3763" i="1"/>
  <c r="AB3763" i="1"/>
  <c r="AA3763" i="1"/>
  <c r="AF3762" i="1"/>
  <c r="AE3762" i="1"/>
  <c r="AD3762" i="1"/>
  <c r="AC3762" i="1"/>
  <c r="AB3762" i="1"/>
  <c r="AA3762" i="1"/>
  <c r="AF3761" i="1"/>
  <c r="AE3761" i="1"/>
  <c r="AD3761" i="1"/>
  <c r="AC3761" i="1"/>
  <c r="AB3761" i="1"/>
  <c r="AA3761" i="1"/>
  <c r="AF3760" i="1"/>
  <c r="AE3760" i="1"/>
  <c r="AD3760" i="1"/>
  <c r="AC3760" i="1"/>
  <c r="AB3760" i="1"/>
  <c r="AA3760" i="1"/>
  <c r="AF3759" i="1"/>
  <c r="AE3759" i="1"/>
  <c r="AD3759" i="1"/>
  <c r="AC3759" i="1"/>
  <c r="AB3759" i="1"/>
  <c r="AA3759" i="1"/>
  <c r="AF3758" i="1"/>
  <c r="AE3758" i="1"/>
  <c r="AD3758" i="1"/>
  <c r="AC3758" i="1"/>
  <c r="AB3758" i="1"/>
  <c r="AA3758" i="1"/>
  <c r="AF3757" i="1"/>
  <c r="AE3757" i="1"/>
  <c r="AD3757" i="1"/>
  <c r="AC3757" i="1"/>
  <c r="AB3757" i="1"/>
  <c r="AA3757" i="1"/>
  <c r="AF3756" i="1"/>
  <c r="AE3756" i="1"/>
  <c r="AD3756" i="1"/>
  <c r="AC3756" i="1"/>
  <c r="AB3756" i="1"/>
  <c r="AA3756" i="1"/>
  <c r="AF3755" i="1"/>
  <c r="AE3755" i="1"/>
  <c r="AD3755" i="1"/>
  <c r="AC3755" i="1"/>
  <c r="AB3755" i="1"/>
  <c r="AA3755" i="1"/>
  <c r="AF3754" i="1"/>
  <c r="AE3754" i="1"/>
  <c r="AD3754" i="1"/>
  <c r="AC3754" i="1"/>
  <c r="AB3754" i="1"/>
  <c r="AA3754" i="1"/>
  <c r="AF3753" i="1"/>
  <c r="AE3753" i="1"/>
  <c r="AD3753" i="1"/>
  <c r="AC3753" i="1"/>
  <c r="AB3753" i="1"/>
  <c r="AA3753" i="1"/>
  <c r="AF3752" i="1"/>
  <c r="AE3752" i="1"/>
  <c r="AD3752" i="1"/>
  <c r="AC3752" i="1"/>
  <c r="AB3752" i="1"/>
  <c r="AA3752" i="1"/>
  <c r="AF3751" i="1"/>
  <c r="AE3751" i="1"/>
  <c r="AD3751" i="1"/>
  <c r="AC3751" i="1"/>
  <c r="AB3751" i="1"/>
  <c r="AA3751" i="1"/>
  <c r="AF3750" i="1"/>
  <c r="AE3750" i="1"/>
  <c r="AD3750" i="1"/>
  <c r="AC3750" i="1"/>
  <c r="AB3750" i="1"/>
  <c r="AA3750" i="1"/>
  <c r="AF3749" i="1"/>
  <c r="AE3749" i="1"/>
  <c r="AD3749" i="1"/>
  <c r="AC3749" i="1"/>
  <c r="AB3749" i="1"/>
  <c r="AA3749" i="1"/>
  <c r="AF3748" i="1"/>
  <c r="AE3748" i="1"/>
  <c r="AD3748" i="1"/>
  <c r="AC3748" i="1"/>
  <c r="AB3748" i="1"/>
  <c r="AA3748" i="1"/>
  <c r="AF3747" i="1"/>
  <c r="AE3747" i="1"/>
  <c r="AD3747" i="1"/>
  <c r="AC3747" i="1"/>
  <c r="AB3747" i="1"/>
  <c r="AA3747" i="1"/>
  <c r="AF3746" i="1"/>
  <c r="AE3746" i="1"/>
  <c r="AD3746" i="1"/>
  <c r="AC3746" i="1"/>
  <c r="AB3746" i="1"/>
  <c r="AA3746" i="1"/>
  <c r="AF3745" i="1"/>
  <c r="AE3745" i="1"/>
  <c r="AD3745" i="1"/>
  <c r="AC3745" i="1"/>
  <c r="AB3745" i="1"/>
  <c r="AA3745" i="1"/>
  <c r="AF3744" i="1"/>
  <c r="AE3744" i="1"/>
  <c r="AD3744" i="1"/>
  <c r="AC3744" i="1"/>
  <c r="AB3744" i="1"/>
  <c r="AA3744" i="1"/>
  <c r="AF3743" i="1"/>
  <c r="AE3743" i="1"/>
  <c r="AD3743" i="1"/>
  <c r="AC3743" i="1"/>
  <c r="AB3743" i="1"/>
  <c r="AA3743" i="1"/>
  <c r="AF3742" i="1"/>
  <c r="AE3742" i="1"/>
  <c r="AD3742" i="1"/>
  <c r="AC3742" i="1"/>
  <c r="AB3742" i="1"/>
  <c r="AA3742" i="1"/>
  <c r="AF3741" i="1"/>
  <c r="AE3741" i="1"/>
  <c r="AD3741" i="1"/>
  <c r="AC3741" i="1"/>
  <c r="AB3741" i="1"/>
  <c r="AA3741" i="1"/>
  <c r="AF3740" i="1"/>
  <c r="AE3740" i="1"/>
  <c r="AD3740" i="1"/>
  <c r="AC3740" i="1"/>
  <c r="AB3740" i="1"/>
  <c r="AA3740" i="1"/>
  <c r="AF3739" i="1"/>
  <c r="AE3739" i="1"/>
  <c r="AD3739" i="1"/>
  <c r="AC3739" i="1"/>
  <c r="AB3739" i="1"/>
  <c r="AA3739" i="1"/>
  <c r="AF3738" i="1"/>
  <c r="AE3738" i="1"/>
  <c r="AD3738" i="1"/>
  <c r="AC3738" i="1"/>
  <c r="AB3738" i="1"/>
  <c r="AA3738" i="1"/>
  <c r="AF3737" i="1"/>
  <c r="AE3737" i="1"/>
  <c r="AD3737" i="1"/>
  <c r="AC3737" i="1"/>
  <c r="AB3737" i="1"/>
  <c r="AA3737" i="1"/>
  <c r="AF3736" i="1"/>
  <c r="AE3736" i="1"/>
  <c r="AD3736" i="1"/>
  <c r="AC3736" i="1"/>
  <c r="AB3736" i="1"/>
  <c r="AA3736" i="1"/>
  <c r="AF3735" i="1"/>
  <c r="AE3735" i="1"/>
  <c r="AD3735" i="1"/>
  <c r="AC3735" i="1"/>
  <c r="AB3735" i="1"/>
  <c r="AA3735" i="1"/>
  <c r="AF3734" i="1"/>
  <c r="AE3734" i="1"/>
  <c r="AD3734" i="1"/>
  <c r="AC3734" i="1"/>
  <c r="AB3734" i="1"/>
  <c r="AA3734" i="1"/>
  <c r="AF3733" i="1"/>
  <c r="AE3733" i="1"/>
  <c r="AD3733" i="1"/>
  <c r="AC3733" i="1"/>
  <c r="AB3733" i="1"/>
  <c r="AA3733" i="1"/>
  <c r="AF3732" i="1"/>
  <c r="AE3732" i="1"/>
  <c r="AD3732" i="1"/>
  <c r="AC3732" i="1"/>
  <c r="AB3732" i="1"/>
  <c r="AA3732" i="1"/>
  <c r="AF3731" i="1"/>
  <c r="AE3731" i="1"/>
  <c r="AD3731" i="1"/>
  <c r="AC3731" i="1"/>
  <c r="AB3731" i="1"/>
  <c r="AA3731" i="1"/>
  <c r="AF3730" i="1"/>
  <c r="AE3730" i="1"/>
  <c r="AD3730" i="1"/>
  <c r="AC3730" i="1"/>
  <c r="AB3730" i="1"/>
  <c r="AA3730" i="1"/>
  <c r="AF3729" i="1"/>
  <c r="AE3729" i="1"/>
  <c r="AD3729" i="1"/>
  <c r="AC3729" i="1"/>
  <c r="AB3729" i="1"/>
  <c r="AA3729" i="1"/>
  <c r="AF3728" i="1"/>
  <c r="AE3728" i="1"/>
  <c r="AD3728" i="1"/>
  <c r="AC3728" i="1"/>
  <c r="AB3728" i="1"/>
  <c r="AA3728" i="1"/>
  <c r="AF3727" i="1"/>
  <c r="AE3727" i="1"/>
  <c r="AD3727" i="1"/>
  <c r="AC3727" i="1"/>
  <c r="AB3727" i="1"/>
  <c r="AA3727" i="1"/>
  <c r="AF3726" i="1"/>
  <c r="AE3726" i="1"/>
  <c r="AD3726" i="1"/>
  <c r="AC3726" i="1"/>
  <c r="AB3726" i="1"/>
  <c r="AA3726" i="1"/>
  <c r="AF3725" i="1"/>
  <c r="AE3725" i="1"/>
  <c r="AD3725" i="1"/>
  <c r="AC3725" i="1"/>
  <c r="AB3725" i="1"/>
  <c r="AA3725" i="1"/>
  <c r="AF3724" i="1"/>
  <c r="AE3724" i="1"/>
  <c r="AD3724" i="1"/>
  <c r="AC3724" i="1"/>
  <c r="AB3724" i="1"/>
  <c r="AA3724" i="1"/>
  <c r="AF3723" i="1"/>
  <c r="AE3723" i="1"/>
  <c r="AD3723" i="1"/>
  <c r="AC3723" i="1"/>
  <c r="AB3723" i="1"/>
  <c r="AA3723" i="1"/>
  <c r="AF3722" i="1"/>
  <c r="AE3722" i="1"/>
  <c r="AD3722" i="1"/>
  <c r="AC3722" i="1"/>
  <c r="AB3722" i="1"/>
  <c r="AA3722" i="1"/>
  <c r="AF3721" i="1"/>
  <c r="AE3721" i="1"/>
  <c r="AD3721" i="1"/>
  <c r="AC3721" i="1"/>
  <c r="AB3721" i="1"/>
  <c r="AA3721" i="1"/>
  <c r="AF3720" i="1"/>
  <c r="AE3720" i="1"/>
  <c r="AD3720" i="1"/>
  <c r="AC3720" i="1"/>
  <c r="AB3720" i="1"/>
  <c r="AA3720" i="1"/>
  <c r="AF3719" i="1"/>
  <c r="AE3719" i="1"/>
  <c r="AD3719" i="1"/>
  <c r="AC3719" i="1"/>
  <c r="AB3719" i="1"/>
  <c r="AA3719" i="1"/>
  <c r="AF3718" i="1"/>
  <c r="AE3718" i="1"/>
  <c r="AD3718" i="1"/>
  <c r="AC3718" i="1"/>
  <c r="AB3718" i="1"/>
  <c r="AA3718" i="1"/>
  <c r="AF3717" i="1"/>
  <c r="AE3717" i="1"/>
  <c r="AD3717" i="1"/>
  <c r="AC3717" i="1"/>
  <c r="AB3717" i="1"/>
  <c r="AA3717" i="1"/>
  <c r="AF3716" i="1"/>
  <c r="AE3716" i="1"/>
  <c r="AD3716" i="1"/>
  <c r="AC3716" i="1"/>
  <c r="AB3716" i="1"/>
  <c r="AA3716" i="1"/>
  <c r="AF3715" i="1"/>
  <c r="AE3715" i="1"/>
  <c r="AD3715" i="1"/>
  <c r="AC3715" i="1"/>
  <c r="AB3715" i="1"/>
  <c r="AA3715" i="1"/>
  <c r="AF3714" i="1"/>
  <c r="AE3714" i="1"/>
  <c r="AD3714" i="1"/>
  <c r="AC3714" i="1"/>
  <c r="AB3714" i="1"/>
  <c r="AA3714" i="1"/>
  <c r="AF3713" i="1"/>
  <c r="AE3713" i="1"/>
  <c r="AD3713" i="1"/>
  <c r="AC3713" i="1"/>
  <c r="AB3713" i="1"/>
  <c r="AA3713" i="1"/>
  <c r="AF3712" i="1"/>
  <c r="AE3712" i="1"/>
  <c r="AD3712" i="1"/>
  <c r="AC3712" i="1"/>
  <c r="AB3712" i="1"/>
  <c r="AA3712" i="1"/>
  <c r="AF3711" i="1"/>
  <c r="AE3711" i="1"/>
  <c r="AD3711" i="1"/>
  <c r="AC3711" i="1"/>
  <c r="AB3711" i="1"/>
  <c r="AA3711" i="1"/>
  <c r="AF3710" i="1"/>
  <c r="AE3710" i="1"/>
  <c r="AD3710" i="1"/>
  <c r="AC3710" i="1"/>
  <c r="AB3710" i="1"/>
  <c r="AA3710" i="1"/>
  <c r="AF3709" i="1"/>
  <c r="AE3709" i="1"/>
  <c r="AD3709" i="1"/>
  <c r="AC3709" i="1"/>
  <c r="AB3709" i="1"/>
  <c r="AA3709" i="1"/>
  <c r="AF3708" i="1"/>
  <c r="AE3708" i="1"/>
  <c r="AD3708" i="1"/>
  <c r="AC3708" i="1"/>
  <c r="AB3708" i="1"/>
  <c r="AA3708" i="1"/>
  <c r="AF3707" i="1"/>
  <c r="AE3707" i="1"/>
  <c r="AD3707" i="1"/>
  <c r="AC3707" i="1"/>
  <c r="AB3707" i="1"/>
  <c r="AA3707" i="1"/>
  <c r="AF3706" i="1"/>
  <c r="AE3706" i="1"/>
  <c r="AD3706" i="1"/>
  <c r="AC3706" i="1"/>
  <c r="AB3706" i="1"/>
  <c r="AA3706" i="1"/>
  <c r="AF3705" i="1"/>
  <c r="AE3705" i="1"/>
  <c r="AD3705" i="1"/>
  <c r="AC3705" i="1"/>
  <c r="AB3705" i="1"/>
  <c r="AA3705" i="1"/>
  <c r="AF3704" i="1"/>
  <c r="AE3704" i="1"/>
  <c r="AD3704" i="1"/>
  <c r="AC3704" i="1"/>
  <c r="AB3704" i="1"/>
  <c r="AA3704" i="1"/>
  <c r="AF3703" i="1"/>
  <c r="AE3703" i="1"/>
  <c r="AD3703" i="1"/>
  <c r="AC3703" i="1"/>
  <c r="AB3703" i="1"/>
  <c r="AA3703" i="1"/>
  <c r="AF3702" i="1"/>
  <c r="AE3702" i="1"/>
  <c r="AD3702" i="1"/>
  <c r="AC3702" i="1"/>
  <c r="AB3702" i="1"/>
  <c r="AA3702" i="1"/>
  <c r="AF3701" i="1"/>
  <c r="AE3701" i="1"/>
  <c r="AD3701" i="1"/>
  <c r="AC3701" i="1"/>
  <c r="AB3701" i="1"/>
  <c r="AA3701" i="1"/>
  <c r="AF3700" i="1"/>
  <c r="AE3700" i="1"/>
  <c r="AD3700" i="1"/>
  <c r="AC3700" i="1"/>
  <c r="AB3700" i="1"/>
  <c r="AA3700" i="1"/>
  <c r="AF3699" i="1"/>
  <c r="AE3699" i="1"/>
  <c r="AD3699" i="1"/>
  <c r="AC3699" i="1"/>
  <c r="AB3699" i="1"/>
  <c r="AA3699" i="1"/>
  <c r="AF3698" i="1"/>
  <c r="AE3698" i="1"/>
  <c r="AD3698" i="1"/>
  <c r="AC3698" i="1"/>
  <c r="AB3698" i="1"/>
  <c r="AA3698" i="1"/>
  <c r="AF3697" i="1"/>
  <c r="AE3697" i="1"/>
  <c r="AD3697" i="1"/>
  <c r="AC3697" i="1"/>
  <c r="AB3697" i="1"/>
  <c r="AA3697" i="1"/>
  <c r="AF3696" i="1"/>
  <c r="AE3696" i="1"/>
  <c r="AD3696" i="1"/>
  <c r="AC3696" i="1"/>
  <c r="AB3696" i="1"/>
  <c r="AA3696" i="1"/>
  <c r="AF3695" i="1"/>
  <c r="AE3695" i="1"/>
  <c r="AD3695" i="1"/>
  <c r="AC3695" i="1"/>
  <c r="AB3695" i="1"/>
  <c r="AA3695" i="1"/>
  <c r="AF3694" i="1"/>
  <c r="AE3694" i="1"/>
  <c r="AD3694" i="1"/>
  <c r="AC3694" i="1"/>
  <c r="AB3694" i="1"/>
  <c r="AA3694" i="1"/>
  <c r="AF3693" i="1"/>
  <c r="AE3693" i="1"/>
  <c r="AD3693" i="1"/>
  <c r="AC3693" i="1"/>
  <c r="AB3693" i="1"/>
  <c r="AA3693" i="1"/>
  <c r="AF3692" i="1"/>
  <c r="AE3692" i="1"/>
  <c r="AD3692" i="1"/>
  <c r="AC3692" i="1"/>
  <c r="AB3692" i="1"/>
  <c r="AA3692" i="1"/>
  <c r="AF3691" i="1"/>
  <c r="AE3691" i="1"/>
  <c r="AD3691" i="1"/>
  <c r="AC3691" i="1"/>
  <c r="AB3691" i="1"/>
  <c r="AA3691" i="1"/>
  <c r="AF3690" i="1"/>
  <c r="AE3690" i="1"/>
  <c r="AD3690" i="1"/>
  <c r="AC3690" i="1"/>
  <c r="AB3690" i="1"/>
  <c r="AA3690" i="1"/>
  <c r="AF3689" i="1"/>
  <c r="AE3689" i="1"/>
  <c r="AD3689" i="1"/>
  <c r="AC3689" i="1"/>
  <c r="AB3689" i="1"/>
  <c r="AA3689" i="1"/>
  <c r="AF3688" i="1"/>
  <c r="AE3688" i="1"/>
  <c r="AD3688" i="1"/>
  <c r="AC3688" i="1"/>
  <c r="AB3688" i="1"/>
  <c r="AA3688" i="1"/>
  <c r="AF3687" i="1"/>
  <c r="AE3687" i="1"/>
  <c r="AD3687" i="1"/>
  <c r="AC3687" i="1"/>
  <c r="AB3687" i="1"/>
  <c r="AA3687" i="1"/>
  <c r="AF3686" i="1"/>
  <c r="AE3686" i="1"/>
  <c r="AD3686" i="1"/>
  <c r="AC3686" i="1"/>
  <c r="AB3686" i="1"/>
  <c r="AA3686" i="1"/>
  <c r="AF3685" i="1"/>
  <c r="AE3685" i="1"/>
  <c r="AD3685" i="1"/>
  <c r="AC3685" i="1"/>
  <c r="AB3685" i="1"/>
  <c r="AA3685" i="1"/>
  <c r="AF3684" i="1"/>
  <c r="AE3684" i="1"/>
  <c r="AD3684" i="1"/>
  <c r="AC3684" i="1"/>
  <c r="AB3684" i="1"/>
  <c r="AA3684" i="1"/>
  <c r="AF3683" i="1"/>
  <c r="AE3683" i="1"/>
  <c r="AD3683" i="1"/>
  <c r="AC3683" i="1"/>
  <c r="AB3683" i="1"/>
  <c r="AA3683" i="1"/>
  <c r="AF3682" i="1"/>
  <c r="AE3682" i="1"/>
  <c r="AD3682" i="1"/>
  <c r="AC3682" i="1"/>
  <c r="AB3682" i="1"/>
  <c r="AA3682" i="1"/>
  <c r="AF3681" i="1"/>
  <c r="AE3681" i="1"/>
  <c r="AD3681" i="1"/>
  <c r="AC3681" i="1"/>
  <c r="AB3681" i="1"/>
  <c r="AA3681" i="1"/>
  <c r="AF3680" i="1"/>
  <c r="AE3680" i="1"/>
  <c r="AD3680" i="1"/>
  <c r="AC3680" i="1"/>
  <c r="AB3680" i="1"/>
  <c r="AA3680" i="1"/>
  <c r="AF3679" i="1"/>
  <c r="AE3679" i="1"/>
  <c r="AD3679" i="1"/>
  <c r="AC3679" i="1"/>
  <c r="AB3679" i="1"/>
  <c r="AA3679" i="1"/>
  <c r="AF3678" i="1"/>
  <c r="AE3678" i="1"/>
  <c r="AD3678" i="1"/>
  <c r="AC3678" i="1"/>
  <c r="AB3678" i="1"/>
  <c r="AA3678" i="1"/>
  <c r="AF3677" i="1"/>
  <c r="AE3677" i="1"/>
  <c r="AD3677" i="1"/>
  <c r="AC3677" i="1"/>
  <c r="AB3677" i="1"/>
  <c r="AA3677" i="1"/>
  <c r="AF3676" i="1"/>
  <c r="AE3676" i="1"/>
  <c r="AD3676" i="1"/>
  <c r="AC3676" i="1"/>
  <c r="AB3676" i="1"/>
  <c r="AA3676" i="1"/>
  <c r="AF3675" i="1"/>
  <c r="AE3675" i="1"/>
  <c r="AD3675" i="1"/>
  <c r="AC3675" i="1"/>
  <c r="AB3675" i="1"/>
  <c r="AA3675" i="1"/>
  <c r="AF3674" i="1"/>
  <c r="AE3674" i="1"/>
  <c r="AD3674" i="1"/>
  <c r="AC3674" i="1"/>
  <c r="AB3674" i="1"/>
  <c r="AA3674" i="1"/>
  <c r="AF3673" i="1"/>
  <c r="AE3673" i="1"/>
  <c r="AD3673" i="1"/>
  <c r="AC3673" i="1"/>
  <c r="AB3673" i="1"/>
  <c r="AA3673" i="1"/>
  <c r="AF3672" i="1"/>
  <c r="AE3672" i="1"/>
  <c r="AD3672" i="1"/>
  <c r="AC3672" i="1"/>
  <c r="AB3672" i="1"/>
  <c r="AA3672" i="1"/>
  <c r="AF3671" i="1"/>
  <c r="AE3671" i="1"/>
  <c r="AD3671" i="1"/>
  <c r="AC3671" i="1"/>
  <c r="AB3671" i="1"/>
  <c r="AA3671" i="1"/>
  <c r="AF3670" i="1"/>
  <c r="AE3670" i="1"/>
  <c r="AD3670" i="1"/>
  <c r="AC3670" i="1"/>
  <c r="AB3670" i="1"/>
  <c r="AA3670" i="1"/>
  <c r="AF3669" i="1"/>
  <c r="AE3669" i="1"/>
  <c r="AD3669" i="1"/>
  <c r="AC3669" i="1"/>
  <c r="AB3669" i="1"/>
  <c r="AA3669" i="1"/>
  <c r="AF3668" i="1"/>
  <c r="AE3668" i="1"/>
  <c r="AD3668" i="1"/>
  <c r="AC3668" i="1"/>
  <c r="AB3668" i="1"/>
  <c r="AA3668" i="1"/>
  <c r="AF3667" i="1"/>
  <c r="AE3667" i="1"/>
  <c r="AD3667" i="1"/>
  <c r="AC3667" i="1"/>
  <c r="AB3667" i="1"/>
  <c r="AA3667" i="1"/>
  <c r="AF3666" i="1"/>
  <c r="AE3666" i="1"/>
  <c r="AD3666" i="1"/>
  <c r="AC3666" i="1"/>
  <c r="AB3666" i="1"/>
  <c r="AA3666" i="1"/>
  <c r="AF3665" i="1"/>
  <c r="AE3665" i="1"/>
  <c r="AD3665" i="1"/>
  <c r="AC3665" i="1"/>
  <c r="AB3665" i="1"/>
  <c r="AA3665" i="1"/>
  <c r="AF3664" i="1"/>
  <c r="AE3664" i="1"/>
  <c r="AD3664" i="1"/>
  <c r="AC3664" i="1"/>
  <c r="AB3664" i="1"/>
  <c r="AA3664" i="1"/>
  <c r="AF3663" i="1"/>
  <c r="AE3663" i="1"/>
  <c r="AD3663" i="1"/>
  <c r="AC3663" i="1"/>
  <c r="AB3663" i="1"/>
  <c r="AA3663" i="1"/>
  <c r="AF3662" i="1"/>
  <c r="AE3662" i="1"/>
  <c r="AD3662" i="1"/>
  <c r="AC3662" i="1"/>
  <c r="AB3662" i="1"/>
  <c r="AA3662" i="1"/>
  <c r="AF3661" i="1"/>
  <c r="AE3661" i="1"/>
  <c r="AD3661" i="1"/>
  <c r="AC3661" i="1"/>
  <c r="AB3661" i="1"/>
  <c r="AA3661" i="1"/>
  <c r="AF3660" i="1"/>
  <c r="AE3660" i="1"/>
  <c r="AD3660" i="1"/>
  <c r="AC3660" i="1"/>
  <c r="AB3660" i="1"/>
  <c r="AA3660" i="1"/>
  <c r="AF3659" i="1"/>
  <c r="AE3659" i="1"/>
  <c r="AD3659" i="1"/>
  <c r="AC3659" i="1"/>
  <c r="AB3659" i="1"/>
  <c r="AA3659" i="1"/>
  <c r="AF3658" i="1"/>
  <c r="AE3658" i="1"/>
  <c r="AD3658" i="1"/>
  <c r="AC3658" i="1"/>
  <c r="AB3658" i="1"/>
  <c r="AA3658" i="1"/>
  <c r="AF3657" i="1"/>
  <c r="AE3657" i="1"/>
  <c r="AD3657" i="1"/>
  <c r="AC3657" i="1"/>
  <c r="AB3657" i="1"/>
  <c r="AA3657" i="1"/>
  <c r="AF3656" i="1"/>
  <c r="AE3656" i="1"/>
  <c r="AD3656" i="1"/>
  <c r="AC3656" i="1"/>
  <c r="AB3656" i="1"/>
  <c r="AA3656" i="1"/>
  <c r="AF3655" i="1"/>
  <c r="AE3655" i="1"/>
  <c r="AD3655" i="1"/>
  <c r="AC3655" i="1"/>
  <c r="AB3655" i="1"/>
  <c r="AA3655" i="1"/>
  <c r="AF3654" i="1"/>
  <c r="AE3654" i="1"/>
  <c r="AD3654" i="1"/>
  <c r="AC3654" i="1"/>
  <c r="AB3654" i="1"/>
  <c r="AA3654" i="1"/>
  <c r="AF3653" i="1"/>
  <c r="AE3653" i="1"/>
  <c r="AD3653" i="1"/>
  <c r="AC3653" i="1"/>
  <c r="AB3653" i="1"/>
  <c r="AA3653" i="1"/>
  <c r="AF3652" i="1"/>
  <c r="AE3652" i="1"/>
  <c r="AD3652" i="1"/>
  <c r="AC3652" i="1"/>
  <c r="AB3652" i="1"/>
  <c r="AA3652" i="1"/>
  <c r="AF3651" i="1"/>
  <c r="AE3651" i="1"/>
  <c r="AD3651" i="1"/>
  <c r="AC3651" i="1"/>
  <c r="AB3651" i="1"/>
  <c r="AA3651" i="1"/>
  <c r="AF3650" i="1"/>
  <c r="AE3650" i="1"/>
  <c r="AD3650" i="1"/>
  <c r="AC3650" i="1"/>
  <c r="AB3650" i="1"/>
  <c r="AA3650" i="1"/>
  <c r="AF3649" i="1"/>
  <c r="AE3649" i="1"/>
  <c r="AD3649" i="1"/>
  <c r="AC3649" i="1"/>
  <c r="AB3649" i="1"/>
  <c r="AA3649" i="1"/>
  <c r="AF3648" i="1"/>
  <c r="AE3648" i="1"/>
  <c r="AD3648" i="1"/>
  <c r="AC3648" i="1"/>
  <c r="AB3648" i="1"/>
  <c r="AA3648" i="1"/>
  <c r="AF3647" i="1"/>
  <c r="AE3647" i="1"/>
  <c r="AD3647" i="1"/>
  <c r="AC3647" i="1"/>
  <c r="AB3647" i="1"/>
  <c r="AA3647" i="1"/>
  <c r="AF3646" i="1"/>
  <c r="AE3646" i="1"/>
  <c r="AD3646" i="1"/>
  <c r="AC3646" i="1"/>
  <c r="AB3646" i="1"/>
  <c r="AA3646" i="1"/>
  <c r="AF3645" i="1"/>
  <c r="AE3645" i="1"/>
  <c r="AD3645" i="1"/>
  <c r="AC3645" i="1"/>
  <c r="AB3645" i="1"/>
  <c r="AA3645" i="1"/>
  <c r="AF3644" i="1"/>
  <c r="AE3644" i="1"/>
  <c r="AD3644" i="1"/>
  <c r="AC3644" i="1"/>
  <c r="AB3644" i="1"/>
  <c r="AA3644" i="1"/>
  <c r="AF3643" i="1"/>
  <c r="AE3643" i="1"/>
  <c r="AD3643" i="1"/>
  <c r="AC3643" i="1"/>
  <c r="AB3643" i="1"/>
  <c r="AA3643" i="1"/>
  <c r="AF3642" i="1"/>
  <c r="AE3642" i="1"/>
  <c r="AD3642" i="1"/>
  <c r="AC3642" i="1"/>
  <c r="AB3642" i="1"/>
  <c r="AA3642" i="1"/>
  <c r="AF3641" i="1"/>
  <c r="AE3641" i="1"/>
  <c r="AD3641" i="1"/>
  <c r="AC3641" i="1"/>
  <c r="AB3641" i="1"/>
  <c r="AA3641" i="1"/>
  <c r="AF3640" i="1"/>
  <c r="AE3640" i="1"/>
  <c r="AD3640" i="1"/>
  <c r="AC3640" i="1"/>
  <c r="AB3640" i="1"/>
  <c r="AA3640" i="1"/>
  <c r="AF3639" i="1"/>
  <c r="AE3639" i="1"/>
  <c r="AD3639" i="1"/>
  <c r="AC3639" i="1"/>
  <c r="AB3639" i="1"/>
  <c r="AA3639" i="1"/>
  <c r="AF3638" i="1"/>
  <c r="AE3638" i="1"/>
  <c r="AD3638" i="1"/>
  <c r="AC3638" i="1"/>
  <c r="AB3638" i="1"/>
  <c r="AA3638" i="1"/>
  <c r="AF3637" i="1"/>
  <c r="AE3637" i="1"/>
  <c r="AD3637" i="1"/>
  <c r="AC3637" i="1"/>
  <c r="AB3637" i="1"/>
  <c r="AA3637" i="1"/>
  <c r="AF3636" i="1"/>
  <c r="AE3636" i="1"/>
  <c r="AD3636" i="1"/>
  <c r="AC3636" i="1"/>
  <c r="AB3636" i="1"/>
  <c r="AA3636" i="1"/>
  <c r="AF3635" i="1"/>
  <c r="AE3635" i="1"/>
  <c r="AD3635" i="1"/>
  <c r="AC3635" i="1"/>
  <c r="AB3635" i="1"/>
  <c r="AA3635" i="1"/>
  <c r="AF3634" i="1"/>
  <c r="AE3634" i="1"/>
  <c r="AD3634" i="1"/>
  <c r="AC3634" i="1"/>
  <c r="AB3634" i="1"/>
  <c r="AA3634" i="1"/>
  <c r="AF3633" i="1"/>
  <c r="AE3633" i="1"/>
  <c r="AD3633" i="1"/>
  <c r="AC3633" i="1"/>
  <c r="AB3633" i="1"/>
  <c r="AA3633" i="1"/>
  <c r="AF3632" i="1"/>
  <c r="AE3632" i="1"/>
  <c r="AD3632" i="1"/>
  <c r="AC3632" i="1"/>
  <c r="AB3632" i="1"/>
  <c r="AA3632" i="1"/>
  <c r="AF3631" i="1"/>
  <c r="AE3631" i="1"/>
  <c r="AD3631" i="1"/>
  <c r="AC3631" i="1"/>
  <c r="AB3631" i="1"/>
  <c r="AA3631" i="1"/>
  <c r="AF3630" i="1"/>
  <c r="AE3630" i="1"/>
  <c r="AD3630" i="1"/>
  <c r="AC3630" i="1"/>
  <c r="AB3630" i="1"/>
  <c r="AA3630" i="1"/>
  <c r="AF3629" i="1"/>
  <c r="AE3629" i="1"/>
  <c r="AD3629" i="1"/>
  <c r="AC3629" i="1"/>
  <c r="AB3629" i="1"/>
  <c r="AA3629" i="1"/>
  <c r="AF3628" i="1"/>
  <c r="AE3628" i="1"/>
  <c r="AD3628" i="1"/>
  <c r="AC3628" i="1"/>
  <c r="AB3628" i="1"/>
  <c r="AA3628" i="1"/>
  <c r="AF3627" i="1"/>
  <c r="AE3627" i="1"/>
  <c r="AD3627" i="1"/>
  <c r="AC3627" i="1"/>
  <c r="AB3627" i="1"/>
  <c r="AA3627" i="1"/>
  <c r="AF3626" i="1"/>
  <c r="AE3626" i="1"/>
  <c r="AD3626" i="1"/>
  <c r="AC3626" i="1"/>
  <c r="AB3626" i="1"/>
  <c r="AA3626" i="1"/>
  <c r="AF3625" i="1"/>
  <c r="AE3625" i="1"/>
  <c r="AD3625" i="1"/>
  <c r="AC3625" i="1"/>
  <c r="AB3625" i="1"/>
  <c r="AA3625" i="1"/>
  <c r="AF3624" i="1"/>
  <c r="AE3624" i="1"/>
  <c r="AD3624" i="1"/>
  <c r="AC3624" i="1"/>
  <c r="AB3624" i="1"/>
  <c r="AA3624" i="1"/>
  <c r="AF3623" i="1"/>
  <c r="AE3623" i="1"/>
  <c r="AD3623" i="1"/>
  <c r="AC3623" i="1"/>
  <c r="AB3623" i="1"/>
  <c r="AA3623" i="1"/>
  <c r="AF3622" i="1"/>
  <c r="AE3622" i="1"/>
  <c r="AD3622" i="1"/>
  <c r="AC3622" i="1"/>
  <c r="AB3622" i="1"/>
  <c r="AA3622" i="1"/>
  <c r="AF3621" i="1"/>
  <c r="AE3621" i="1"/>
  <c r="AD3621" i="1"/>
  <c r="AC3621" i="1"/>
  <c r="AB3621" i="1"/>
  <c r="AA3621" i="1"/>
  <c r="AF3620" i="1"/>
  <c r="AE3620" i="1"/>
  <c r="AD3620" i="1"/>
  <c r="AC3620" i="1"/>
  <c r="AB3620" i="1"/>
  <c r="AA3620" i="1"/>
  <c r="AF3619" i="1"/>
  <c r="AE3619" i="1"/>
  <c r="AD3619" i="1"/>
  <c r="AC3619" i="1"/>
  <c r="AB3619" i="1"/>
  <c r="AA3619" i="1"/>
  <c r="AF3618" i="1"/>
  <c r="AE3618" i="1"/>
  <c r="AD3618" i="1"/>
  <c r="AC3618" i="1"/>
  <c r="AB3618" i="1"/>
  <c r="AA3618" i="1"/>
  <c r="AF3617" i="1"/>
  <c r="AE3617" i="1"/>
  <c r="AD3617" i="1"/>
  <c r="AC3617" i="1"/>
  <c r="AB3617" i="1"/>
  <c r="AA3617" i="1"/>
  <c r="AF3616" i="1"/>
  <c r="AE3616" i="1"/>
  <c r="AD3616" i="1"/>
  <c r="AC3616" i="1"/>
  <c r="AB3616" i="1"/>
  <c r="AA3616" i="1"/>
  <c r="AF3615" i="1"/>
  <c r="AE3615" i="1"/>
  <c r="AD3615" i="1"/>
  <c r="AC3615" i="1"/>
  <c r="AB3615" i="1"/>
  <c r="AA3615" i="1"/>
  <c r="AF3614" i="1"/>
  <c r="AE3614" i="1"/>
  <c r="AD3614" i="1"/>
  <c r="AC3614" i="1"/>
  <c r="AB3614" i="1"/>
  <c r="AA3614" i="1"/>
  <c r="AF3613" i="1"/>
  <c r="AE3613" i="1"/>
  <c r="AD3613" i="1"/>
  <c r="AC3613" i="1"/>
  <c r="AB3613" i="1"/>
  <c r="AA3613" i="1"/>
  <c r="AF3612" i="1"/>
  <c r="AE3612" i="1"/>
  <c r="AD3612" i="1"/>
  <c r="AC3612" i="1"/>
  <c r="AB3612" i="1"/>
  <c r="AA3612" i="1"/>
  <c r="AF3611" i="1"/>
  <c r="AE3611" i="1"/>
  <c r="AD3611" i="1"/>
  <c r="AC3611" i="1"/>
  <c r="AB3611" i="1"/>
  <c r="AA3611" i="1"/>
  <c r="AF3610" i="1"/>
  <c r="AE3610" i="1"/>
  <c r="AD3610" i="1"/>
  <c r="AC3610" i="1"/>
  <c r="AB3610" i="1"/>
  <c r="AA3610" i="1"/>
  <c r="AF3609" i="1"/>
  <c r="AE3609" i="1"/>
  <c r="AD3609" i="1"/>
  <c r="AC3609" i="1"/>
  <c r="AB3609" i="1"/>
  <c r="AA3609" i="1"/>
  <c r="AF3608" i="1"/>
  <c r="AE3608" i="1"/>
  <c r="AD3608" i="1"/>
  <c r="AC3608" i="1"/>
  <c r="AB3608" i="1"/>
  <c r="AA3608" i="1"/>
  <c r="AF3607" i="1"/>
  <c r="AE3607" i="1"/>
  <c r="AD3607" i="1"/>
  <c r="AC3607" i="1"/>
  <c r="AB3607" i="1"/>
  <c r="AA3607" i="1"/>
  <c r="AF3606" i="1"/>
  <c r="AE3606" i="1"/>
  <c r="AD3606" i="1"/>
  <c r="AC3606" i="1"/>
  <c r="AB3606" i="1"/>
  <c r="AA3606" i="1"/>
  <c r="AF3605" i="1"/>
  <c r="AE3605" i="1"/>
  <c r="AD3605" i="1"/>
  <c r="AC3605" i="1"/>
  <c r="AB3605" i="1"/>
  <c r="AA3605" i="1"/>
  <c r="AF3604" i="1"/>
  <c r="AE3604" i="1"/>
  <c r="AD3604" i="1"/>
  <c r="AC3604" i="1"/>
  <c r="AB3604" i="1"/>
  <c r="AA3604" i="1"/>
  <c r="AF3603" i="1"/>
  <c r="AE3603" i="1"/>
  <c r="AD3603" i="1"/>
  <c r="AC3603" i="1"/>
  <c r="AB3603" i="1"/>
  <c r="AA3603" i="1"/>
  <c r="AF3602" i="1"/>
  <c r="AE3602" i="1"/>
  <c r="AD3602" i="1"/>
  <c r="AC3602" i="1"/>
  <c r="AB3602" i="1"/>
  <c r="AA3602" i="1"/>
  <c r="AF3601" i="1"/>
  <c r="AE3601" i="1"/>
  <c r="AD3601" i="1"/>
  <c r="AC3601" i="1"/>
  <c r="AB3601" i="1"/>
  <c r="AA3601" i="1"/>
  <c r="AF3600" i="1"/>
  <c r="AE3600" i="1"/>
  <c r="AD3600" i="1"/>
  <c r="AC3600" i="1"/>
  <c r="AB3600" i="1"/>
  <c r="AA3600" i="1"/>
  <c r="AF3599" i="1"/>
  <c r="AE3599" i="1"/>
  <c r="AD3599" i="1"/>
  <c r="AC3599" i="1"/>
  <c r="AB3599" i="1"/>
  <c r="AA3599" i="1"/>
  <c r="AF3598" i="1"/>
  <c r="AE3598" i="1"/>
  <c r="AD3598" i="1"/>
  <c r="AC3598" i="1"/>
  <c r="AB3598" i="1"/>
  <c r="AA3598" i="1"/>
  <c r="AF3597" i="1"/>
  <c r="AE3597" i="1"/>
  <c r="AD3597" i="1"/>
  <c r="AC3597" i="1"/>
  <c r="AB3597" i="1"/>
  <c r="AA3597" i="1"/>
  <c r="AF3596" i="1"/>
  <c r="AE3596" i="1"/>
  <c r="AD3596" i="1"/>
  <c r="AC3596" i="1"/>
  <c r="AB3596" i="1"/>
  <c r="AA3596" i="1"/>
  <c r="AF3595" i="1"/>
  <c r="AE3595" i="1"/>
  <c r="AD3595" i="1"/>
  <c r="AC3595" i="1"/>
  <c r="AB3595" i="1"/>
  <c r="AA3595" i="1"/>
  <c r="AF3594" i="1"/>
  <c r="AE3594" i="1"/>
  <c r="AD3594" i="1"/>
  <c r="AC3594" i="1"/>
  <c r="AB3594" i="1"/>
  <c r="AA3594" i="1"/>
  <c r="AF3593" i="1"/>
  <c r="AE3593" i="1"/>
  <c r="AD3593" i="1"/>
  <c r="AC3593" i="1"/>
  <c r="AB3593" i="1"/>
  <c r="AA3593" i="1"/>
  <c r="AF3592" i="1"/>
  <c r="AE3592" i="1"/>
  <c r="AD3592" i="1"/>
  <c r="AC3592" i="1"/>
  <c r="AB3592" i="1"/>
  <c r="AA3592" i="1"/>
  <c r="AF3591" i="1"/>
  <c r="AE3591" i="1"/>
  <c r="AD3591" i="1"/>
  <c r="AC3591" i="1"/>
  <c r="AB3591" i="1"/>
  <c r="AA3591" i="1"/>
  <c r="AF3590" i="1"/>
  <c r="AE3590" i="1"/>
  <c r="AD3590" i="1"/>
  <c r="AC3590" i="1"/>
  <c r="AB3590" i="1"/>
  <c r="AA3590" i="1"/>
  <c r="AF3589" i="1"/>
  <c r="AE3589" i="1"/>
  <c r="AD3589" i="1"/>
  <c r="AC3589" i="1"/>
  <c r="AB3589" i="1"/>
  <c r="AA3589" i="1"/>
  <c r="AF3588" i="1"/>
  <c r="AE3588" i="1"/>
  <c r="AD3588" i="1"/>
  <c r="AC3588" i="1"/>
  <c r="AB3588" i="1"/>
  <c r="AA3588" i="1"/>
  <c r="AF3587" i="1"/>
  <c r="AE3587" i="1"/>
  <c r="AD3587" i="1"/>
  <c r="AC3587" i="1"/>
  <c r="AB3587" i="1"/>
  <c r="AA3587" i="1"/>
  <c r="AF3586" i="1"/>
  <c r="AE3586" i="1"/>
  <c r="AD3586" i="1"/>
  <c r="AC3586" i="1"/>
  <c r="AB3586" i="1"/>
  <c r="AA3586" i="1"/>
  <c r="AF3585" i="1"/>
  <c r="AE3585" i="1"/>
  <c r="AD3585" i="1"/>
  <c r="AC3585" i="1"/>
  <c r="AB3585" i="1"/>
  <c r="AA3585" i="1"/>
  <c r="AF3584" i="1"/>
  <c r="AE3584" i="1"/>
  <c r="AD3584" i="1"/>
  <c r="AC3584" i="1"/>
  <c r="AB3584" i="1"/>
  <c r="AA3584" i="1"/>
  <c r="AF3583" i="1"/>
  <c r="AE3583" i="1"/>
  <c r="AD3583" i="1"/>
  <c r="AC3583" i="1"/>
  <c r="AB3583" i="1"/>
  <c r="AA3583" i="1"/>
  <c r="AF3582" i="1"/>
  <c r="AE3582" i="1"/>
  <c r="AD3582" i="1"/>
  <c r="AC3582" i="1"/>
  <c r="AB3582" i="1"/>
  <c r="AA3582" i="1"/>
  <c r="AF3581" i="1"/>
  <c r="AE3581" i="1"/>
  <c r="AD3581" i="1"/>
  <c r="AC3581" i="1"/>
  <c r="AB3581" i="1"/>
  <c r="AA3581" i="1"/>
  <c r="AF3580" i="1"/>
  <c r="AE3580" i="1"/>
  <c r="AD3580" i="1"/>
  <c r="AC3580" i="1"/>
  <c r="AB3580" i="1"/>
  <c r="AA3580" i="1"/>
  <c r="AF3579" i="1"/>
  <c r="AE3579" i="1"/>
  <c r="AD3579" i="1"/>
  <c r="AC3579" i="1"/>
  <c r="AB3579" i="1"/>
  <c r="AA3579" i="1"/>
  <c r="AF3578" i="1"/>
  <c r="AE3578" i="1"/>
  <c r="AD3578" i="1"/>
  <c r="AC3578" i="1"/>
  <c r="AB3578" i="1"/>
  <c r="AA3578" i="1"/>
  <c r="AF3577" i="1"/>
  <c r="AE3577" i="1"/>
  <c r="AD3577" i="1"/>
  <c r="AC3577" i="1"/>
  <c r="AB3577" i="1"/>
  <c r="AA3577" i="1"/>
  <c r="AF3576" i="1"/>
  <c r="AE3576" i="1"/>
  <c r="AD3576" i="1"/>
  <c r="AC3576" i="1"/>
  <c r="AB3576" i="1"/>
  <c r="AA3576" i="1"/>
  <c r="AF3575" i="1"/>
  <c r="AE3575" i="1"/>
  <c r="AD3575" i="1"/>
  <c r="AC3575" i="1"/>
  <c r="AB3575" i="1"/>
  <c r="AA3575" i="1"/>
  <c r="AF3574" i="1"/>
  <c r="AE3574" i="1"/>
  <c r="AD3574" i="1"/>
  <c r="AC3574" i="1"/>
  <c r="AB3574" i="1"/>
  <c r="AA3574" i="1"/>
  <c r="AF3573" i="1"/>
  <c r="AE3573" i="1"/>
  <c r="AD3573" i="1"/>
  <c r="AC3573" i="1"/>
  <c r="AB3573" i="1"/>
  <c r="AA3573" i="1"/>
  <c r="AF3572" i="1"/>
  <c r="AE3572" i="1"/>
  <c r="AD3572" i="1"/>
  <c r="AC3572" i="1"/>
  <c r="AB3572" i="1"/>
  <c r="AA3572" i="1"/>
  <c r="AF3571" i="1"/>
  <c r="AE3571" i="1"/>
  <c r="AD3571" i="1"/>
  <c r="AC3571" i="1"/>
  <c r="AB3571" i="1"/>
  <c r="AA3571" i="1"/>
  <c r="AF3570" i="1"/>
  <c r="AE3570" i="1"/>
  <c r="AD3570" i="1"/>
  <c r="AC3570" i="1"/>
  <c r="AB3570" i="1"/>
  <c r="AA3570" i="1"/>
  <c r="AF3569" i="1"/>
  <c r="AE3569" i="1"/>
  <c r="AD3569" i="1"/>
  <c r="AC3569" i="1"/>
  <c r="AB3569" i="1"/>
  <c r="AA3569" i="1"/>
  <c r="AF3568" i="1"/>
  <c r="AE3568" i="1"/>
  <c r="AD3568" i="1"/>
  <c r="AC3568" i="1"/>
  <c r="AB3568" i="1"/>
  <c r="AA3568" i="1"/>
  <c r="AF3567" i="1"/>
  <c r="AE3567" i="1"/>
  <c r="AD3567" i="1"/>
  <c r="AC3567" i="1"/>
  <c r="AB3567" i="1"/>
  <c r="AA3567" i="1"/>
  <c r="AF3566" i="1"/>
  <c r="AE3566" i="1"/>
  <c r="AD3566" i="1"/>
  <c r="AC3566" i="1"/>
  <c r="AB3566" i="1"/>
  <c r="AA3566" i="1"/>
  <c r="AF3565" i="1"/>
  <c r="AE3565" i="1"/>
  <c r="AD3565" i="1"/>
  <c r="AC3565" i="1"/>
  <c r="AB3565" i="1"/>
  <c r="AA3565" i="1"/>
  <c r="AF3564" i="1"/>
  <c r="AE3564" i="1"/>
  <c r="AD3564" i="1"/>
  <c r="AC3564" i="1"/>
  <c r="AB3564" i="1"/>
  <c r="AA3564" i="1"/>
  <c r="AF3563" i="1"/>
  <c r="AE3563" i="1"/>
  <c r="AD3563" i="1"/>
  <c r="AC3563" i="1"/>
  <c r="AB3563" i="1"/>
  <c r="AA3563" i="1"/>
  <c r="AF3562" i="1"/>
  <c r="AE3562" i="1"/>
  <c r="AD3562" i="1"/>
  <c r="AC3562" i="1"/>
  <c r="AB3562" i="1"/>
  <c r="AA3562" i="1"/>
  <c r="AF3561" i="1"/>
  <c r="AE3561" i="1"/>
  <c r="AD3561" i="1"/>
  <c r="AC3561" i="1"/>
  <c r="AB3561" i="1"/>
  <c r="AA3561" i="1"/>
  <c r="AF3560" i="1"/>
  <c r="AE3560" i="1"/>
  <c r="AD3560" i="1"/>
  <c r="AC3560" i="1"/>
  <c r="AB3560" i="1"/>
  <c r="AA3560" i="1"/>
  <c r="AF3559" i="1"/>
  <c r="AE3559" i="1"/>
  <c r="AD3559" i="1"/>
  <c r="AC3559" i="1"/>
  <c r="AB3559" i="1"/>
  <c r="AA3559" i="1"/>
  <c r="AF3558" i="1"/>
  <c r="AE3558" i="1"/>
  <c r="AD3558" i="1"/>
  <c r="AC3558" i="1"/>
  <c r="AB3558" i="1"/>
  <c r="AA3558" i="1"/>
  <c r="AF3557" i="1"/>
  <c r="AE3557" i="1"/>
  <c r="AD3557" i="1"/>
  <c r="AC3557" i="1"/>
  <c r="AB3557" i="1"/>
  <c r="AA3557" i="1"/>
  <c r="AF3556" i="1"/>
  <c r="AE3556" i="1"/>
  <c r="AD3556" i="1"/>
  <c r="AC3556" i="1"/>
  <c r="AB3556" i="1"/>
  <c r="AA3556" i="1"/>
  <c r="AF3555" i="1"/>
  <c r="AE3555" i="1"/>
  <c r="AD3555" i="1"/>
  <c r="AC3555" i="1"/>
  <c r="AB3555" i="1"/>
  <c r="AA3555" i="1"/>
  <c r="AF3554" i="1"/>
  <c r="AE3554" i="1"/>
  <c r="AD3554" i="1"/>
  <c r="AC3554" i="1"/>
  <c r="AB3554" i="1"/>
  <c r="AA3554" i="1"/>
  <c r="AF3553" i="1"/>
  <c r="AE3553" i="1"/>
  <c r="AD3553" i="1"/>
  <c r="AC3553" i="1"/>
  <c r="AB3553" i="1"/>
  <c r="AA3553" i="1"/>
  <c r="AF3552" i="1"/>
  <c r="AE3552" i="1"/>
  <c r="AD3552" i="1"/>
  <c r="AC3552" i="1"/>
  <c r="AB3552" i="1"/>
  <c r="AA3552" i="1"/>
  <c r="AF3551" i="1"/>
  <c r="AE3551" i="1"/>
  <c r="AD3551" i="1"/>
  <c r="AC3551" i="1"/>
  <c r="AB3551" i="1"/>
  <c r="AA3551" i="1"/>
  <c r="AF3550" i="1"/>
  <c r="AE3550" i="1"/>
  <c r="AD3550" i="1"/>
  <c r="AC3550" i="1"/>
  <c r="AB3550" i="1"/>
  <c r="AA3550" i="1"/>
  <c r="AF3549" i="1"/>
  <c r="AE3549" i="1"/>
  <c r="AD3549" i="1"/>
  <c r="AC3549" i="1"/>
  <c r="AB3549" i="1"/>
  <c r="AA3549" i="1"/>
  <c r="AF3548" i="1"/>
  <c r="AE3548" i="1"/>
  <c r="AD3548" i="1"/>
  <c r="AC3548" i="1"/>
  <c r="AB3548" i="1"/>
  <c r="AA3548" i="1"/>
  <c r="AF3547" i="1"/>
  <c r="AE3547" i="1"/>
  <c r="AD3547" i="1"/>
  <c r="AC3547" i="1"/>
  <c r="AB3547" i="1"/>
  <c r="AA3547" i="1"/>
  <c r="AF3546" i="1"/>
  <c r="AE3546" i="1"/>
  <c r="AD3546" i="1"/>
  <c r="AC3546" i="1"/>
  <c r="AB3546" i="1"/>
  <c r="AA3546" i="1"/>
  <c r="AF3545" i="1"/>
  <c r="AE3545" i="1"/>
  <c r="AD3545" i="1"/>
  <c r="AC3545" i="1"/>
  <c r="AB3545" i="1"/>
  <c r="AA3545" i="1"/>
  <c r="AF3544" i="1"/>
  <c r="AE3544" i="1"/>
  <c r="AD3544" i="1"/>
  <c r="AC3544" i="1"/>
  <c r="AB3544" i="1"/>
  <c r="AA3544" i="1"/>
  <c r="AF3543" i="1"/>
  <c r="AE3543" i="1"/>
  <c r="AD3543" i="1"/>
  <c r="AC3543" i="1"/>
  <c r="AB3543" i="1"/>
  <c r="AA3543" i="1"/>
  <c r="AF3542" i="1"/>
  <c r="AE3542" i="1"/>
  <c r="AD3542" i="1"/>
  <c r="AC3542" i="1"/>
  <c r="AB3542" i="1"/>
  <c r="AA3542" i="1"/>
  <c r="AF3541" i="1"/>
  <c r="AE3541" i="1"/>
  <c r="AD3541" i="1"/>
  <c r="AC3541" i="1"/>
  <c r="AB3541" i="1"/>
  <c r="AA3541" i="1"/>
  <c r="AF3540" i="1"/>
  <c r="AE3540" i="1"/>
  <c r="AD3540" i="1"/>
  <c r="AC3540" i="1"/>
  <c r="AB3540" i="1"/>
  <c r="AA3540" i="1"/>
  <c r="AF3539" i="1"/>
  <c r="AE3539" i="1"/>
  <c r="AD3539" i="1"/>
  <c r="AC3539" i="1"/>
  <c r="AB3539" i="1"/>
  <c r="AA3539" i="1"/>
  <c r="AF3538" i="1"/>
  <c r="AE3538" i="1"/>
  <c r="AD3538" i="1"/>
  <c r="AC3538" i="1"/>
  <c r="AB3538" i="1"/>
  <c r="AA3538" i="1"/>
  <c r="AF3537" i="1"/>
  <c r="AE3537" i="1"/>
  <c r="AD3537" i="1"/>
  <c r="AC3537" i="1"/>
  <c r="AB3537" i="1"/>
  <c r="AA3537" i="1"/>
  <c r="AF3536" i="1"/>
  <c r="AE3536" i="1"/>
  <c r="AD3536" i="1"/>
  <c r="AC3536" i="1"/>
  <c r="AB3536" i="1"/>
  <c r="AA3536" i="1"/>
  <c r="AF3535" i="1"/>
  <c r="AE3535" i="1"/>
  <c r="AD3535" i="1"/>
  <c r="AC3535" i="1"/>
  <c r="AB3535" i="1"/>
  <c r="AA3535" i="1"/>
  <c r="AF3534" i="1"/>
  <c r="AE3534" i="1"/>
  <c r="AD3534" i="1"/>
  <c r="AC3534" i="1"/>
  <c r="AB3534" i="1"/>
  <c r="AA3534" i="1"/>
  <c r="AF3533" i="1"/>
  <c r="AE3533" i="1"/>
  <c r="AD3533" i="1"/>
  <c r="AC3533" i="1"/>
  <c r="AB3533" i="1"/>
  <c r="AA3533" i="1"/>
  <c r="AF3532" i="1"/>
  <c r="AE3532" i="1"/>
  <c r="AD3532" i="1"/>
  <c r="AC3532" i="1"/>
  <c r="AB3532" i="1"/>
  <c r="AA3532" i="1"/>
  <c r="AF3531" i="1"/>
  <c r="AE3531" i="1"/>
  <c r="AD3531" i="1"/>
  <c r="AC3531" i="1"/>
  <c r="AB3531" i="1"/>
  <c r="AA3531" i="1"/>
  <c r="AF3530" i="1"/>
  <c r="AE3530" i="1"/>
  <c r="AD3530" i="1"/>
  <c r="AC3530" i="1"/>
  <c r="AB3530" i="1"/>
  <c r="AA3530" i="1"/>
  <c r="AF3529" i="1"/>
  <c r="AE3529" i="1"/>
  <c r="AD3529" i="1"/>
  <c r="AC3529" i="1"/>
  <c r="AB3529" i="1"/>
  <c r="AA3529" i="1"/>
  <c r="AF3528" i="1"/>
  <c r="AE3528" i="1"/>
  <c r="AD3528" i="1"/>
  <c r="AC3528" i="1"/>
  <c r="AB3528" i="1"/>
  <c r="AA3528" i="1"/>
  <c r="AF3527" i="1"/>
  <c r="AE3527" i="1"/>
  <c r="AD3527" i="1"/>
  <c r="AC3527" i="1"/>
  <c r="AB3527" i="1"/>
  <c r="AA3527" i="1"/>
  <c r="AF3526" i="1"/>
  <c r="AE3526" i="1"/>
  <c r="AD3526" i="1"/>
  <c r="AC3526" i="1"/>
  <c r="AB3526" i="1"/>
  <c r="AA3526" i="1"/>
  <c r="AF3525" i="1"/>
  <c r="AE3525" i="1"/>
  <c r="AD3525" i="1"/>
  <c r="AC3525" i="1"/>
  <c r="AB3525" i="1"/>
  <c r="AA3525" i="1"/>
  <c r="AF3524" i="1"/>
  <c r="AE3524" i="1"/>
  <c r="AD3524" i="1"/>
  <c r="AC3524" i="1"/>
  <c r="AB3524" i="1"/>
  <c r="AA3524" i="1"/>
  <c r="AF3523" i="1"/>
  <c r="AE3523" i="1"/>
  <c r="AD3523" i="1"/>
  <c r="AC3523" i="1"/>
  <c r="AB3523" i="1"/>
  <c r="AA3523" i="1"/>
  <c r="AF3522" i="1"/>
  <c r="AE3522" i="1"/>
  <c r="AD3522" i="1"/>
  <c r="AC3522" i="1"/>
  <c r="AB3522" i="1"/>
  <c r="AA3522" i="1"/>
  <c r="AF3521" i="1"/>
  <c r="AE3521" i="1"/>
  <c r="AD3521" i="1"/>
  <c r="AC3521" i="1"/>
  <c r="AB3521" i="1"/>
  <c r="AA3521" i="1"/>
  <c r="AF3520" i="1"/>
  <c r="AE3520" i="1"/>
  <c r="AD3520" i="1"/>
  <c r="AC3520" i="1"/>
  <c r="AB3520" i="1"/>
  <c r="AA3520" i="1"/>
  <c r="AF3519" i="1"/>
  <c r="AE3519" i="1"/>
  <c r="AD3519" i="1"/>
  <c r="AC3519" i="1"/>
  <c r="AB3519" i="1"/>
  <c r="AA3519" i="1"/>
  <c r="AF3518" i="1"/>
  <c r="AE3518" i="1"/>
  <c r="AD3518" i="1"/>
  <c r="AC3518" i="1"/>
  <c r="AB3518" i="1"/>
  <c r="AA3518" i="1"/>
  <c r="AF3517" i="1"/>
  <c r="AE3517" i="1"/>
  <c r="AD3517" i="1"/>
  <c r="AC3517" i="1"/>
  <c r="AB3517" i="1"/>
  <c r="AA3517" i="1"/>
  <c r="AF3516" i="1"/>
  <c r="AE3516" i="1"/>
  <c r="AD3516" i="1"/>
  <c r="AC3516" i="1"/>
  <c r="AB3516" i="1"/>
  <c r="AA3516" i="1"/>
  <c r="AF3515" i="1"/>
  <c r="AE3515" i="1"/>
  <c r="AD3515" i="1"/>
  <c r="AC3515" i="1"/>
  <c r="AB3515" i="1"/>
  <c r="AA3515" i="1"/>
  <c r="AF3514" i="1"/>
  <c r="AE3514" i="1"/>
  <c r="AD3514" i="1"/>
  <c r="AC3514" i="1"/>
  <c r="AB3514" i="1"/>
  <c r="AA3514" i="1"/>
  <c r="AF3513" i="1"/>
  <c r="AE3513" i="1"/>
  <c r="AD3513" i="1"/>
  <c r="AC3513" i="1"/>
  <c r="AB3513" i="1"/>
  <c r="AA3513" i="1"/>
  <c r="AF3512" i="1"/>
  <c r="AE3512" i="1"/>
  <c r="AD3512" i="1"/>
  <c r="AC3512" i="1"/>
  <c r="AB3512" i="1"/>
  <c r="AA3512" i="1"/>
  <c r="AF3511" i="1"/>
  <c r="AE3511" i="1"/>
  <c r="AD3511" i="1"/>
  <c r="AC3511" i="1"/>
  <c r="AB3511" i="1"/>
  <c r="AA3511" i="1"/>
  <c r="AF3510" i="1"/>
  <c r="AE3510" i="1"/>
  <c r="AD3510" i="1"/>
  <c r="AC3510" i="1"/>
  <c r="AB3510" i="1"/>
  <c r="AA3510" i="1"/>
  <c r="AF3509" i="1"/>
  <c r="AE3509" i="1"/>
  <c r="AD3509" i="1"/>
  <c r="AC3509" i="1"/>
  <c r="AB3509" i="1"/>
  <c r="AA3509" i="1"/>
  <c r="AF3508" i="1"/>
  <c r="AE3508" i="1"/>
  <c r="AD3508" i="1"/>
  <c r="AC3508" i="1"/>
  <c r="AB3508" i="1"/>
  <c r="AA3508" i="1"/>
  <c r="AF3507" i="1"/>
  <c r="AE3507" i="1"/>
  <c r="AD3507" i="1"/>
  <c r="AC3507" i="1"/>
  <c r="AB3507" i="1"/>
  <c r="AA3507" i="1"/>
  <c r="AF3506" i="1"/>
  <c r="AE3506" i="1"/>
  <c r="AD3506" i="1"/>
  <c r="AC3506" i="1"/>
  <c r="AB3506" i="1"/>
  <c r="AA3506" i="1"/>
  <c r="AF3505" i="1"/>
  <c r="AE3505" i="1"/>
  <c r="AD3505" i="1"/>
  <c r="AC3505" i="1"/>
  <c r="AB3505" i="1"/>
  <c r="AA3505" i="1"/>
  <c r="AF3504" i="1"/>
  <c r="AE3504" i="1"/>
  <c r="AD3504" i="1"/>
  <c r="AC3504" i="1"/>
  <c r="AB3504" i="1"/>
  <c r="AA3504" i="1"/>
  <c r="AF3503" i="1"/>
  <c r="AE3503" i="1"/>
  <c r="AD3503" i="1"/>
  <c r="AC3503" i="1"/>
  <c r="AB3503" i="1"/>
  <c r="AA3503" i="1"/>
  <c r="AF3502" i="1"/>
  <c r="AE3502" i="1"/>
  <c r="AD3502" i="1"/>
  <c r="AC3502" i="1"/>
  <c r="AB3502" i="1"/>
  <c r="AA3502" i="1"/>
  <c r="AF3501" i="1"/>
  <c r="AE3501" i="1"/>
  <c r="AD3501" i="1"/>
  <c r="AC3501" i="1"/>
  <c r="AB3501" i="1"/>
  <c r="AA3501" i="1"/>
  <c r="AF3500" i="1"/>
  <c r="AE3500" i="1"/>
  <c r="AD3500" i="1"/>
  <c r="AC3500" i="1"/>
  <c r="AB3500" i="1"/>
  <c r="AA3500" i="1"/>
  <c r="AF3499" i="1"/>
  <c r="AE3499" i="1"/>
  <c r="AD3499" i="1"/>
  <c r="AC3499" i="1"/>
  <c r="AB3499" i="1"/>
  <c r="AA3499" i="1"/>
  <c r="AF3498" i="1"/>
  <c r="AE3498" i="1"/>
  <c r="AD3498" i="1"/>
  <c r="AC3498" i="1"/>
  <c r="AB3498" i="1"/>
  <c r="AA3498" i="1"/>
  <c r="AF3497" i="1"/>
  <c r="AE3497" i="1"/>
  <c r="AD3497" i="1"/>
  <c r="AC3497" i="1"/>
  <c r="AB3497" i="1"/>
  <c r="AA3497" i="1"/>
  <c r="AF3496" i="1"/>
  <c r="AE3496" i="1"/>
  <c r="AD3496" i="1"/>
  <c r="AC3496" i="1"/>
  <c r="AB3496" i="1"/>
  <c r="AA3496" i="1"/>
  <c r="AF3495" i="1"/>
  <c r="AE3495" i="1"/>
  <c r="AD3495" i="1"/>
  <c r="AC3495" i="1"/>
  <c r="AB3495" i="1"/>
  <c r="AA3495" i="1"/>
  <c r="AF3494" i="1"/>
  <c r="AE3494" i="1"/>
  <c r="AD3494" i="1"/>
  <c r="AC3494" i="1"/>
  <c r="AB3494" i="1"/>
  <c r="AA3494" i="1"/>
  <c r="AF3493" i="1"/>
  <c r="AE3493" i="1"/>
  <c r="AD3493" i="1"/>
  <c r="AC3493" i="1"/>
  <c r="AB3493" i="1"/>
  <c r="AA3493" i="1"/>
  <c r="AF3492" i="1"/>
  <c r="AE3492" i="1"/>
  <c r="AD3492" i="1"/>
  <c r="AC3492" i="1"/>
  <c r="AB3492" i="1"/>
  <c r="AA3492" i="1"/>
  <c r="AF3491" i="1"/>
  <c r="AE3491" i="1"/>
  <c r="AD3491" i="1"/>
  <c r="AC3491" i="1"/>
  <c r="AB3491" i="1"/>
  <c r="AA3491" i="1"/>
  <c r="AF3490" i="1"/>
  <c r="AE3490" i="1"/>
  <c r="AD3490" i="1"/>
  <c r="AC3490" i="1"/>
  <c r="AB3490" i="1"/>
  <c r="AA3490" i="1"/>
  <c r="AF3489" i="1"/>
  <c r="AE3489" i="1"/>
  <c r="AD3489" i="1"/>
  <c r="AC3489" i="1"/>
  <c r="AB3489" i="1"/>
  <c r="AA3489" i="1"/>
  <c r="AF3488" i="1"/>
  <c r="AE3488" i="1"/>
  <c r="AD3488" i="1"/>
  <c r="AC3488" i="1"/>
  <c r="AB3488" i="1"/>
  <c r="AA3488" i="1"/>
  <c r="AF3487" i="1"/>
  <c r="AE3487" i="1"/>
  <c r="AD3487" i="1"/>
  <c r="AC3487" i="1"/>
  <c r="AB3487" i="1"/>
  <c r="AA3487" i="1"/>
  <c r="AF3486" i="1"/>
  <c r="AE3486" i="1"/>
  <c r="AD3486" i="1"/>
  <c r="AC3486" i="1"/>
  <c r="AB3486" i="1"/>
  <c r="AA3486" i="1"/>
  <c r="AF3485" i="1"/>
  <c r="AE3485" i="1"/>
  <c r="AD3485" i="1"/>
  <c r="AC3485" i="1"/>
  <c r="AB3485" i="1"/>
  <c r="AA3485" i="1"/>
  <c r="AF3484" i="1"/>
  <c r="AE3484" i="1"/>
  <c r="AD3484" i="1"/>
  <c r="AC3484" i="1"/>
  <c r="AB3484" i="1"/>
  <c r="AA3484" i="1"/>
  <c r="AF3483" i="1"/>
  <c r="AE3483" i="1"/>
  <c r="AD3483" i="1"/>
  <c r="AC3483" i="1"/>
  <c r="AB3483" i="1"/>
  <c r="AA3483" i="1"/>
  <c r="AF3482" i="1"/>
  <c r="AE3482" i="1"/>
  <c r="AD3482" i="1"/>
  <c r="AC3482" i="1"/>
  <c r="AB3482" i="1"/>
  <c r="AA3482" i="1"/>
  <c r="AF3481" i="1"/>
  <c r="AE3481" i="1"/>
  <c r="AD3481" i="1"/>
  <c r="AC3481" i="1"/>
  <c r="AB3481" i="1"/>
  <c r="AA3481" i="1"/>
  <c r="AF3480" i="1"/>
  <c r="AE3480" i="1"/>
  <c r="AD3480" i="1"/>
  <c r="AC3480" i="1"/>
  <c r="AB3480" i="1"/>
  <c r="AA3480" i="1"/>
  <c r="AF3479" i="1"/>
  <c r="AE3479" i="1"/>
  <c r="AD3479" i="1"/>
  <c r="AC3479" i="1"/>
  <c r="AB3479" i="1"/>
  <c r="AA3479" i="1"/>
  <c r="AF3478" i="1"/>
  <c r="AE3478" i="1"/>
  <c r="AD3478" i="1"/>
  <c r="AC3478" i="1"/>
  <c r="AB3478" i="1"/>
  <c r="AA3478" i="1"/>
  <c r="AF3477" i="1"/>
  <c r="AE3477" i="1"/>
  <c r="AD3477" i="1"/>
  <c r="AC3477" i="1"/>
  <c r="AB3477" i="1"/>
  <c r="AA3477" i="1"/>
  <c r="AF3476" i="1"/>
  <c r="AE3476" i="1"/>
  <c r="AD3476" i="1"/>
  <c r="AC3476" i="1"/>
  <c r="AB3476" i="1"/>
  <c r="AA3476" i="1"/>
  <c r="AF3475" i="1"/>
  <c r="AE3475" i="1"/>
  <c r="AD3475" i="1"/>
  <c r="AC3475" i="1"/>
  <c r="AB3475" i="1"/>
  <c r="AA3475" i="1"/>
  <c r="AF3474" i="1"/>
  <c r="AE3474" i="1"/>
  <c r="AD3474" i="1"/>
  <c r="AC3474" i="1"/>
  <c r="AB3474" i="1"/>
  <c r="AA3474" i="1"/>
  <c r="AF3473" i="1"/>
  <c r="AE3473" i="1"/>
  <c r="AD3473" i="1"/>
  <c r="AC3473" i="1"/>
  <c r="AB3473" i="1"/>
  <c r="AA3473" i="1"/>
  <c r="AF3472" i="1"/>
  <c r="AE3472" i="1"/>
  <c r="AD3472" i="1"/>
  <c r="AC3472" i="1"/>
  <c r="AB3472" i="1"/>
  <c r="AA3472" i="1"/>
  <c r="AF3471" i="1"/>
  <c r="AE3471" i="1"/>
  <c r="AD3471" i="1"/>
  <c r="AC3471" i="1"/>
  <c r="AB3471" i="1"/>
  <c r="AA3471" i="1"/>
  <c r="AF3470" i="1"/>
  <c r="AE3470" i="1"/>
  <c r="AD3470" i="1"/>
  <c r="AC3470" i="1"/>
  <c r="AB3470" i="1"/>
  <c r="AA3470" i="1"/>
  <c r="AF3469" i="1"/>
  <c r="AE3469" i="1"/>
  <c r="AD3469" i="1"/>
  <c r="AC3469" i="1"/>
  <c r="AB3469" i="1"/>
  <c r="AA3469" i="1"/>
  <c r="AF3468" i="1"/>
  <c r="AE3468" i="1"/>
  <c r="AD3468" i="1"/>
  <c r="AC3468" i="1"/>
  <c r="AB3468" i="1"/>
  <c r="AA3468" i="1"/>
  <c r="AF3467" i="1"/>
  <c r="AE3467" i="1"/>
  <c r="AD3467" i="1"/>
  <c r="AC3467" i="1"/>
  <c r="AB3467" i="1"/>
  <c r="AA3467" i="1"/>
  <c r="AF3466" i="1"/>
  <c r="AE3466" i="1"/>
  <c r="AD3466" i="1"/>
  <c r="AC3466" i="1"/>
  <c r="AB3466" i="1"/>
  <c r="AA3466" i="1"/>
  <c r="AF3465" i="1"/>
  <c r="AE3465" i="1"/>
  <c r="AD3465" i="1"/>
  <c r="AC3465" i="1"/>
  <c r="AB3465" i="1"/>
  <c r="AA3465" i="1"/>
  <c r="AF3464" i="1"/>
  <c r="AE3464" i="1"/>
  <c r="AD3464" i="1"/>
  <c r="AC3464" i="1"/>
  <c r="AB3464" i="1"/>
  <c r="AA3464" i="1"/>
  <c r="AF3463" i="1"/>
  <c r="AE3463" i="1"/>
  <c r="AD3463" i="1"/>
  <c r="AC3463" i="1"/>
  <c r="AB3463" i="1"/>
  <c r="AA3463" i="1"/>
  <c r="AF3462" i="1"/>
  <c r="AE3462" i="1"/>
  <c r="AD3462" i="1"/>
  <c r="AC3462" i="1"/>
  <c r="AB3462" i="1"/>
  <c r="AA3462" i="1"/>
  <c r="AF3461" i="1"/>
  <c r="AE3461" i="1"/>
  <c r="AD3461" i="1"/>
  <c r="AC3461" i="1"/>
  <c r="AB3461" i="1"/>
  <c r="AA3461" i="1"/>
  <c r="AF3460" i="1"/>
  <c r="AE3460" i="1"/>
  <c r="AD3460" i="1"/>
  <c r="AC3460" i="1"/>
  <c r="AB3460" i="1"/>
  <c r="AA3460" i="1"/>
  <c r="AF3459" i="1"/>
  <c r="AE3459" i="1"/>
  <c r="AD3459" i="1"/>
  <c r="AC3459" i="1"/>
  <c r="AB3459" i="1"/>
  <c r="AA3459" i="1"/>
  <c r="AF3458" i="1"/>
  <c r="AE3458" i="1"/>
  <c r="AD3458" i="1"/>
  <c r="AC3458" i="1"/>
  <c r="AB3458" i="1"/>
  <c r="AA3458" i="1"/>
  <c r="AF3457" i="1"/>
  <c r="AE3457" i="1"/>
  <c r="AD3457" i="1"/>
  <c r="AC3457" i="1"/>
  <c r="AB3457" i="1"/>
  <c r="AA3457" i="1"/>
  <c r="AF3456" i="1"/>
  <c r="AE3456" i="1"/>
  <c r="AD3456" i="1"/>
  <c r="AC3456" i="1"/>
  <c r="AB3456" i="1"/>
  <c r="AA3456" i="1"/>
  <c r="AF3455" i="1"/>
  <c r="AE3455" i="1"/>
  <c r="AD3455" i="1"/>
  <c r="AC3455" i="1"/>
  <c r="AB3455" i="1"/>
  <c r="AA3455" i="1"/>
  <c r="AF3454" i="1"/>
  <c r="AE3454" i="1"/>
  <c r="AD3454" i="1"/>
  <c r="AC3454" i="1"/>
  <c r="AB3454" i="1"/>
  <c r="AA3454" i="1"/>
  <c r="AF3453" i="1"/>
  <c r="AE3453" i="1"/>
  <c r="AD3453" i="1"/>
  <c r="AC3453" i="1"/>
  <c r="AB3453" i="1"/>
  <c r="AA3453" i="1"/>
  <c r="AF3452" i="1"/>
  <c r="AE3452" i="1"/>
  <c r="AD3452" i="1"/>
  <c r="AC3452" i="1"/>
  <c r="AB3452" i="1"/>
  <c r="AA3452" i="1"/>
  <c r="AF3451" i="1"/>
  <c r="AE3451" i="1"/>
  <c r="AD3451" i="1"/>
  <c r="AC3451" i="1"/>
  <c r="AB3451" i="1"/>
  <c r="AA3451" i="1"/>
  <c r="AF3450" i="1"/>
  <c r="AE3450" i="1"/>
  <c r="AD3450" i="1"/>
  <c r="AC3450" i="1"/>
  <c r="AB3450" i="1"/>
  <c r="AA3450" i="1"/>
  <c r="AF3449" i="1"/>
  <c r="AE3449" i="1"/>
  <c r="AD3449" i="1"/>
  <c r="AC3449" i="1"/>
  <c r="AB3449" i="1"/>
  <c r="AA3449" i="1"/>
  <c r="AF3448" i="1"/>
  <c r="AE3448" i="1"/>
  <c r="AD3448" i="1"/>
  <c r="AC3448" i="1"/>
  <c r="AB3448" i="1"/>
  <c r="AA3448" i="1"/>
  <c r="AF3447" i="1"/>
  <c r="AE3447" i="1"/>
  <c r="AD3447" i="1"/>
  <c r="AC3447" i="1"/>
  <c r="AB3447" i="1"/>
  <c r="AA3447" i="1"/>
  <c r="AF3446" i="1"/>
  <c r="AE3446" i="1"/>
  <c r="AD3446" i="1"/>
  <c r="AC3446" i="1"/>
  <c r="AB3446" i="1"/>
  <c r="AA3446" i="1"/>
  <c r="AF3445" i="1"/>
  <c r="AE3445" i="1"/>
  <c r="AD3445" i="1"/>
  <c r="AC3445" i="1"/>
  <c r="AB3445" i="1"/>
  <c r="AA3445" i="1"/>
  <c r="AF3444" i="1"/>
  <c r="AE3444" i="1"/>
  <c r="AD3444" i="1"/>
  <c r="AC3444" i="1"/>
  <c r="AB3444" i="1"/>
  <c r="AA3444" i="1"/>
  <c r="AF3443" i="1"/>
  <c r="AE3443" i="1"/>
  <c r="AD3443" i="1"/>
  <c r="AC3443" i="1"/>
  <c r="AB3443" i="1"/>
  <c r="AA3443" i="1"/>
  <c r="AF3442" i="1"/>
  <c r="AE3442" i="1"/>
  <c r="AD3442" i="1"/>
  <c r="AC3442" i="1"/>
  <c r="AB3442" i="1"/>
  <c r="AA3442" i="1"/>
  <c r="AF3441" i="1"/>
  <c r="AE3441" i="1"/>
  <c r="AD3441" i="1"/>
  <c r="AC3441" i="1"/>
  <c r="AB3441" i="1"/>
  <c r="AA3441" i="1"/>
  <c r="AF3440" i="1"/>
  <c r="AE3440" i="1"/>
  <c r="AD3440" i="1"/>
  <c r="AC3440" i="1"/>
  <c r="AB3440" i="1"/>
  <c r="AA3440" i="1"/>
  <c r="AF3439" i="1"/>
  <c r="AE3439" i="1"/>
  <c r="AD3439" i="1"/>
  <c r="AC3439" i="1"/>
  <c r="AB3439" i="1"/>
  <c r="AA3439" i="1"/>
  <c r="AF3438" i="1"/>
  <c r="AE3438" i="1"/>
  <c r="AD3438" i="1"/>
  <c r="AC3438" i="1"/>
  <c r="AB3438" i="1"/>
  <c r="AA3438" i="1"/>
  <c r="AF3437" i="1"/>
  <c r="AE3437" i="1"/>
  <c r="AD3437" i="1"/>
  <c r="AC3437" i="1"/>
  <c r="AB3437" i="1"/>
  <c r="AA3437" i="1"/>
  <c r="AF3436" i="1"/>
  <c r="AE3436" i="1"/>
  <c r="AD3436" i="1"/>
  <c r="AC3436" i="1"/>
  <c r="AB3436" i="1"/>
  <c r="AA3436" i="1"/>
  <c r="AF3435" i="1"/>
  <c r="AE3435" i="1"/>
  <c r="AD3435" i="1"/>
  <c r="AC3435" i="1"/>
  <c r="AB3435" i="1"/>
  <c r="AA3435" i="1"/>
  <c r="AF3434" i="1"/>
  <c r="AE3434" i="1"/>
  <c r="AD3434" i="1"/>
  <c r="AC3434" i="1"/>
  <c r="AB3434" i="1"/>
  <c r="AA3434" i="1"/>
  <c r="AF3433" i="1"/>
  <c r="AE3433" i="1"/>
  <c r="AD3433" i="1"/>
  <c r="AC3433" i="1"/>
  <c r="AB3433" i="1"/>
  <c r="AA3433" i="1"/>
  <c r="AF3432" i="1"/>
  <c r="AE3432" i="1"/>
  <c r="AD3432" i="1"/>
  <c r="AC3432" i="1"/>
  <c r="AB3432" i="1"/>
  <c r="AA3432" i="1"/>
  <c r="AF3431" i="1"/>
  <c r="AE3431" i="1"/>
  <c r="AD3431" i="1"/>
  <c r="AC3431" i="1"/>
  <c r="AB3431" i="1"/>
  <c r="AA3431" i="1"/>
  <c r="AF3430" i="1"/>
  <c r="AE3430" i="1"/>
  <c r="AD3430" i="1"/>
  <c r="AC3430" i="1"/>
  <c r="AB3430" i="1"/>
  <c r="AA3430" i="1"/>
  <c r="AF3429" i="1"/>
  <c r="AE3429" i="1"/>
  <c r="AD3429" i="1"/>
  <c r="AC3429" i="1"/>
  <c r="AB3429" i="1"/>
  <c r="AA3429" i="1"/>
  <c r="AF3428" i="1"/>
  <c r="AE3428" i="1"/>
  <c r="AD3428" i="1"/>
  <c r="AC3428" i="1"/>
  <c r="AB3428" i="1"/>
  <c r="AA3428" i="1"/>
  <c r="AF3427" i="1"/>
  <c r="AE3427" i="1"/>
  <c r="AD3427" i="1"/>
  <c r="AC3427" i="1"/>
  <c r="AB3427" i="1"/>
  <c r="AA3427" i="1"/>
  <c r="AF3426" i="1"/>
  <c r="AE3426" i="1"/>
  <c r="AD3426" i="1"/>
  <c r="AC3426" i="1"/>
  <c r="AB3426" i="1"/>
  <c r="AA3426" i="1"/>
  <c r="AF3425" i="1"/>
  <c r="AE3425" i="1"/>
  <c r="AD3425" i="1"/>
  <c r="AC3425" i="1"/>
  <c r="AB3425" i="1"/>
  <c r="AA3425" i="1"/>
  <c r="AF3424" i="1"/>
  <c r="AE3424" i="1"/>
  <c r="AD3424" i="1"/>
  <c r="AC3424" i="1"/>
  <c r="AB3424" i="1"/>
  <c r="AA3424" i="1"/>
  <c r="AF3423" i="1"/>
  <c r="AE3423" i="1"/>
  <c r="AD3423" i="1"/>
  <c r="AC3423" i="1"/>
  <c r="AB3423" i="1"/>
  <c r="AA3423" i="1"/>
  <c r="AF3422" i="1"/>
  <c r="AE3422" i="1"/>
  <c r="AD3422" i="1"/>
  <c r="AC3422" i="1"/>
  <c r="AB3422" i="1"/>
  <c r="AA3422" i="1"/>
  <c r="AF3421" i="1"/>
  <c r="AE3421" i="1"/>
  <c r="AD3421" i="1"/>
  <c r="AC3421" i="1"/>
  <c r="AB3421" i="1"/>
  <c r="AA3421" i="1"/>
  <c r="AF3420" i="1"/>
  <c r="AE3420" i="1"/>
  <c r="AD3420" i="1"/>
  <c r="AC3420" i="1"/>
  <c r="AB3420" i="1"/>
  <c r="AA3420" i="1"/>
  <c r="AF3419" i="1"/>
  <c r="AE3419" i="1"/>
  <c r="AD3419" i="1"/>
  <c r="AC3419" i="1"/>
  <c r="AB3419" i="1"/>
  <c r="AA3419" i="1"/>
  <c r="AF3418" i="1"/>
  <c r="AE3418" i="1"/>
  <c r="AD3418" i="1"/>
  <c r="AC3418" i="1"/>
  <c r="AB3418" i="1"/>
  <c r="AA3418" i="1"/>
  <c r="AF3417" i="1"/>
  <c r="AE3417" i="1"/>
  <c r="AD3417" i="1"/>
  <c r="AC3417" i="1"/>
  <c r="AB3417" i="1"/>
  <c r="AA3417" i="1"/>
  <c r="AF3416" i="1"/>
  <c r="AE3416" i="1"/>
  <c r="AD3416" i="1"/>
  <c r="AC3416" i="1"/>
  <c r="AB3416" i="1"/>
  <c r="AA3416" i="1"/>
  <c r="AF3415" i="1"/>
  <c r="AE3415" i="1"/>
  <c r="AD3415" i="1"/>
  <c r="AC3415" i="1"/>
  <c r="AB3415" i="1"/>
  <c r="AA3415" i="1"/>
  <c r="AF3414" i="1"/>
  <c r="AE3414" i="1"/>
  <c r="AD3414" i="1"/>
  <c r="AC3414" i="1"/>
  <c r="AB3414" i="1"/>
  <c r="AA3414" i="1"/>
  <c r="AF3413" i="1"/>
  <c r="AE3413" i="1"/>
  <c r="AD3413" i="1"/>
  <c r="AC3413" i="1"/>
  <c r="AB3413" i="1"/>
  <c r="AA3413" i="1"/>
  <c r="AF3412" i="1"/>
  <c r="AE3412" i="1"/>
  <c r="AD3412" i="1"/>
  <c r="AC3412" i="1"/>
  <c r="AB3412" i="1"/>
  <c r="AA3412" i="1"/>
  <c r="AF3411" i="1"/>
  <c r="AE3411" i="1"/>
  <c r="AD3411" i="1"/>
  <c r="AC3411" i="1"/>
  <c r="AB3411" i="1"/>
  <c r="AA3411" i="1"/>
  <c r="AF3410" i="1"/>
  <c r="AE3410" i="1"/>
  <c r="AD3410" i="1"/>
  <c r="AC3410" i="1"/>
  <c r="AB3410" i="1"/>
  <c r="AA3410" i="1"/>
  <c r="AF3409" i="1"/>
  <c r="AE3409" i="1"/>
  <c r="AD3409" i="1"/>
  <c r="AC3409" i="1"/>
  <c r="AB3409" i="1"/>
  <c r="AA3409" i="1"/>
  <c r="AF3408" i="1"/>
  <c r="AE3408" i="1"/>
  <c r="AD3408" i="1"/>
  <c r="AC3408" i="1"/>
  <c r="AB3408" i="1"/>
  <c r="AA3408" i="1"/>
  <c r="AF3407" i="1"/>
  <c r="AE3407" i="1"/>
  <c r="AD3407" i="1"/>
  <c r="AC3407" i="1"/>
  <c r="AB3407" i="1"/>
  <c r="AA3407" i="1"/>
  <c r="AF3406" i="1"/>
  <c r="AE3406" i="1"/>
  <c r="AD3406" i="1"/>
  <c r="AC3406" i="1"/>
  <c r="AB3406" i="1"/>
  <c r="AA3406" i="1"/>
  <c r="AF3405" i="1"/>
  <c r="AE3405" i="1"/>
  <c r="AD3405" i="1"/>
  <c r="AC3405" i="1"/>
  <c r="AB3405" i="1"/>
  <c r="AA3405" i="1"/>
  <c r="AF3404" i="1"/>
  <c r="AE3404" i="1"/>
  <c r="AD3404" i="1"/>
  <c r="AC3404" i="1"/>
  <c r="AB3404" i="1"/>
  <c r="AA3404" i="1"/>
  <c r="AF3403" i="1"/>
  <c r="AE3403" i="1"/>
  <c r="AD3403" i="1"/>
  <c r="AC3403" i="1"/>
  <c r="AB3403" i="1"/>
  <c r="AA3403" i="1"/>
  <c r="AF3402" i="1"/>
  <c r="AE3402" i="1"/>
  <c r="AD3402" i="1"/>
  <c r="AC3402" i="1"/>
  <c r="AB3402" i="1"/>
  <c r="AA3402" i="1"/>
  <c r="AF3401" i="1"/>
  <c r="AE3401" i="1"/>
  <c r="AD3401" i="1"/>
  <c r="AC3401" i="1"/>
  <c r="AB3401" i="1"/>
  <c r="AA3401" i="1"/>
  <c r="AF3400" i="1"/>
  <c r="AE3400" i="1"/>
  <c r="AD3400" i="1"/>
  <c r="AC3400" i="1"/>
  <c r="AB3400" i="1"/>
  <c r="AA3400" i="1"/>
  <c r="AF3399" i="1"/>
  <c r="AE3399" i="1"/>
  <c r="AD3399" i="1"/>
  <c r="AC3399" i="1"/>
  <c r="AB3399" i="1"/>
  <c r="AA3399" i="1"/>
  <c r="AF3398" i="1"/>
  <c r="AE3398" i="1"/>
  <c r="AD3398" i="1"/>
  <c r="AC3398" i="1"/>
  <c r="AB3398" i="1"/>
  <c r="AA3398" i="1"/>
  <c r="AF3397" i="1"/>
  <c r="AE3397" i="1"/>
  <c r="AD3397" i="1"/>
  <c r="AC3397" i="1"/>
  <c r="AB3397" i="1"/>
  <c r="AA3397" i="1"/>
  <c r="AF3396" i="1"/>
  <c r="AE3396" i="1"/>
  <c r="AD3396" i="1"/>
  <c r="AC3396" i="1"/>
  <c r="AB3396" i="1"/>
  <c r="AA3396" i="1"/>
  <c r="AF3395" i="1"/>
  <c r="AE3395" i="1"/>
  <c r="AD3395" i="1"/>
  <c r="AC3395" i="1"/>
  <c r="AB3395" i="1"/>
  <c r="AA3395" i="1"/>
  <c r="AF3394" i="1"/>
  <c r="AE3394" i="1"/>
  <c r="AD3394" i="1"/>
  <c r="AC3394" i="1"/>
  <c r="AB3394" i="1"/>
  <c r="AA3394" i="1"/>
  <c r="AF3393" i="1"/>
  <c r="AE3393" i="1"/>
  <c r="AD3393" i="1"/>
  <c r="AC3393" i="1"/>
  <c r="AB3393" i="1"/>
  <c r="AA3393" i="1"/>
  <c r="AF3392" i="1"/>
  <c r="AE3392" i="1"/>
  <c r="AD3392" i="1"/>
  <c r="AC3392" i="1"/>
  <c r="AB3392" i="1"/>
  <c r="AA3392" i="1"/>
  <c r="AF3391" i="1"/>
  <c r="AE3391" i="1"/>
  <c r="AD3391" i="1"/>
  <c r="AC3391" i="1"/>
  <c r="AB3391" i="1"/>
  <c r="AA3391" i="1"/>
  <c r="AF3390" i="1"/>
  <c r="AE3390" i="1"/>
  <c r="AD3390" i="1"/>
  <c r="AC3390" i="1"/>
  <c r="AB3390" i="1"/>
  <c r="AA3390" i="1"/>
  <c r="AF3389" i="1"/>
  <c r="AE3389" i="1"/>
  <c r="AD3389" i="1"/>
  <c r="AC3389" i="1"/>
  <c r="AB3389" i="1"/>
  <c r="AA3389" i="1"/>
  <c r="AF3388" i="1"/>
  <c r="AE3388" i="1"/>
  <c r="AD3388" i="1"/>
  <c r="AC3388" i="1"/>
  <c r="AB3388" i="1"/>
  <c r="AA3388" i="1"/>
  <c r="AF3387" i="1"/>
  <c r="AE3387" i="1"/>
  <c r="AD3387" i="1"/>
  <c r="AC3387" i="1"/>
  <c r="AB3387" i="1"/>
  <c r="AA3387" i="1"/>
  <c r="AF3386" i="1"/>
  <c r="AE3386" i="1"/>
  <c r="AD3386" i="1"/>
  <c r="AC3386" i="1"/>
  <c r="AB3386" i="1"/>
  <c r="AA3386" i="1"/>
  <c r="AF3385" i="1"/>
  <c r="AE3385" i="1"/>
  <c r="AD3385" i="1"/>
  <c r="AC3385" i="1"/>
  <c r="AB3385" i="1"/>
  <c r="AA3385" i="1"/>
  <c r="AF3384" i="1"/>
  <c r="AE3384" i="1"/>
  <c r="AD3384" i="1"/>
  <c r="AC3384" i="1"/>
  <c r="AB3384" i="1"/>
  <c r="AA3384" i="1"/>
  <c r="AF3383" i="1"/>
  <c r="AE3383" i="1"/>
  <c r="AD3383" i="1"/>
  <c r="AC3383" i="1"/>
  <c r="AB3383" i="1"/>
  <c r="AA3383" i="1"/>
  <c r="AF3382" i="1"/>
  <c r="AE3382" i="1"/>
  <c r="AD3382" i="1"/>
  <c r="AC3382" i="1"/>
  <c r="AB3382" i="1"/>
  <c r="AA3382" i="1"/>
  <c r="AF3381" i="1"/>
  <c r="AE3381" i="1"/>
  <c r="AD3381" i="1"/>
  <c r="AC3381" i="1"/>
  <c r="AB3381" i="1"/>
  <c r="AA3381" i="1"/>
  <c r="AF3380" i="1"/>
  <c r="AE3380" i="1"/>
  <c r="AD3380" i="1"/>
  <c r="AC3380" i="1"/>
  <c r="AB3380" i="1"/>
  <c r="AA3380" i="1"/>
  <c r="AF3379" i="1"/>
  <c r="AE3379" i="1"/>
  <c r="AD3379" i="1"/>
  <c r="AC3379" i="1"/>
  <c r="AB3379" i="1"/>
  <c r="AA3379" i="1"/>
  <c r="AF3378" i="1"/>
  <c r="AE3378" i="1"/>
  <c r="AD3378" i="1"/>
  <c r="AC3378" i="1"/>
  <c r="AB3378" i="1"/>
  <c r="AA3378" i="1"/>
  <c r="AF3377" i="1"/>
  <c r="AE3377" i="1"/>
  <c r="AD3377" i="1"/>
  <c r="AC3377" i="1"/>
  <c r="AB3377" i="1"/>
  <c r="AA3377" i="1"/>
  <c r="AF3376" i="1"/>
  <c r="AE3376" i="1"/>
  <c r="AD3376" i="1"/>
  <c r="AC3376" i="1"/>
  <c r="AB3376" i="1"/>
  <c r="AA3376" i="1"/>
  <c r="AF3375" i="1"/>
  <c r="AE3375" i="1"/>
  <c r="AD3375" i="1"/>
  <c r="AC3375" i="1"/>
  <c r="AB3375" i="1"/>
  <c r="AA3375" i="1"/>
  <c r="AF3374" i="1"/>
  <c r="AE3374" i="1"/>
  <c r="AD3374" i="1"/>
  <c r="AC3374" i="1"/>
  <c r="AB3374" i="1"/>
  <c r="AA3374" i="1"/>
  <c r="AF3373" i="1"/>
  <c r="AE3373" i="1"/>
  <c r="AD3373" i="1"/>
  <c r="AC3373" i="1"/>
  <c r="AB3373" i="1"/>
  <c r="AA3373" i="1"/>
  <c r="AF3372" i="1"/>
  <c r="AE3372" i="1"/>
  <c r="AD3372" i="1"/>
  <c r="AC3372" i="1"/>
  <c r="AB3372" i="1"/>
  <c r="AA3372" i="1"/>
  <c r="AF3371" i="1"/>
  <c r="AE3371" i="1"/>
  <c r="AD3371" i="1"/>
  <c r="AC3371" i="1"/>
  <c r="AB3371" i="1"/>
  <c r="AA3371" i="1"/>
  <c r="AF3370" i="1"/>
  <c r="AE3370" i="1"/>
  <c r="AD3370" i="1"/>
  <c r="AC3370" i="1"/>
  <c r="AB3370" i="1"/>
  <c r="AA3370" i="1"/>
  <c r="AF3369" i="1"/>
  <c r="AE3369" i="1"/>
  <c r="AD3369" i="1"/>
  <c r="AC3369" i="1"/>
  <c r="AB3369" i="1"/>
  <c r="AA3369" i="1"/>
  <c r="AF3368" i="1"/>
  <c r="AE3368" i="1"/>
  <c r="AD3368" i="1"/>
  <c r="AC3368" i="1"/>
  <c r="AB3368" i="1"/>
  <c r="AA3368" i="1"/>
  <c r="AF3367" i="1"/>
  <c r="AE3367" i="1"/>
  <c r="AD3367" i="1"/>
  <c r="AC3367" i="1"/>
  <c r="AB3367" i="1"/>
  <c r="AA3367" i="1"/>
  <c r="AF3366" i="1"/>
  <c r="AE3366" i="1"/>
  <c r="AD3366" i="1"/>
  <c r="AC3366" i="1"/>
  <c r="AB3366" i="1"/>
  <c r="AA3366" i="1"/>
  <c r="AF3365" i="1"/>
  <c r="AE3365" i="1"/>
  <c r="AD3365" i="1"/>
  <c r="AC3365" i="1"/>
  <c r="AB3365" i="1"/>
  <c r="AA3365" i="1"/>
  <c r="AF3364" i="1"/>
  <c r="AE3364" i="1"/>
  <c r="AD3364" i="1"/>
  <c r="AC3364" i="1"/>
  <c r="AB3364" i="1"/>
  <c r="AA3364" i="1"/>
  <c r="AF3363" i="1"/>
  <c r="AE3363" i="1"/>
  <c r="AD3363" i="1"/>
  <c r="AC3363" i="1"/>
  <c r="AB3363" i="1"/>
  <c r="AA3363" i="1"/>
  <c r="AF3362" i="1"/>
  <c r="AE3362" i="1"/>
  <c r="AD3362" i="1"/>
  <c r="AC3362" i="1"/>
  <c r="AB3362" i="1"/>
  <c r="AA3362" i="1"/>
  <c r="AF3361" i="1"/>
  <c r="AE3361" i="1"/>
  <c r="AD3361" i="1"/>
  <c r="AC3361" i="1"/>
  <c r="AB3361" i="1"/>
  <c r="AA3361" i="1"/>
  <c r="AF3360" i="1"/>
  <c r="AE3360" i="1"/>
  <c r="AD3360" i="1"/>
  <c r="AC3360" i="1"/>
  <c r="AB3360" i="1"/>
  <c r="AA3360" i="1"/>
  <c r="AF3359" i="1"/>
  <c r="AE3359" i="1"/>
  <c r="AD3359" i="1"/>
  <c r="AC3359" i="1"/>
  <c r="AB3359" i="1"/>
  <c r="AA3359" i="1"/>
  <c r="AF3358" i="1"/>
  <c r="AE3358" i="1"/>
  <c r="AD3358" i="1"/>
  <c r="AC3358" i="1"/>
  <c r="AB3358" i="1"/>
  <c r="AA3358" i="1"/>
  <c r="AF3357" i="1"/>
  <c r="AE3357" i="1"/>
  <c r="AD3357" i="1"/>
  <c r="AC3357" i="1"/>
  <c r="AB3357" i="1"/>
  <c r="AA3357" i="1"/>
  <c r="AF3356" i="1"/>
  <c r="AE3356" i="1"/>
  <c r="AD3356" i="1"/>
  <c r="AC3356" i="1"/>
  <c r="AB3356" i="1"/>
  <c r="AA3356" i="1"/>
  <c r="AF3355" i="1"/>
  <c r="AE3355" i="1"/>
  <c r="AD3355" i="1"/>
  <c r="AC3355" i="1"/>
  <c r="AB3355" i="1"/>
  <c r="AA3355" i="1"/>
  <c r="AF3354" i="1"/>
  <c r="AE3354" i="1"/>
  <c r="AD3354" i="1"/>
  <c r="AC3354" i="1"/>
  <c r="AB3354" i="1"/>
  <c r="AA3354" i="1"/>
  <c r="AF3353" i="1"/>
  <c r="AE3353" i="1"/>
  <c r="AD3353" i="1"/>
  <c r="AC3353" i="1"/>
  <c r="AB3353" i="1"/>
  <c r="AA3353" i="1"/>
  <c r="AF3352" i="1"/>
  <c r="AE3352" i="1"/>
  <c r="AD3352" i="1"/>
  <c r="AC3352" i="1"/>
  <c r="AB3352" i="1"/>
  <c r="AA3352" i="1"/>
  <c r="AF3351" i="1"/>
  <c r="AE3351" i="1"/>
  <c r="AD3351" i="1"/>
  <c r="AC3351" i="1"/>
  <c r="AB3351" i="1"/>
  <c r="AA3351" i="1"/>
  <c r="AF3350" i="1"/>
  <c r="AE3350" i="1"/>
  <c r="AD3350" i="1"/>
  <c r="AC3350" i="1"/>
  <c r="AB3350" i="1"/>
  <c r="AA3350" i="1"/>
  <c r="AF3349" i="1"/>
  <c r="AE3349" i="1"/>
  <c r="AD3349" i="1"/>
  <c r="AC3349" i="1"/>
  <c r="AB3349" i="1"/>
  <c r="AA3349" i="1"/>
  <c r="AF3348" i="1"/>
  <c r="AE3348" i="1"/>
  <c r="AD3348" i="1"/>
  <c r="AC3348" i="1"/>
  <c r="AB3348" i="1"/>
  <c r="AA3348" i="1"/>
  <c r="AF3347" i="1"/>
  <c r="AE3347" i="1"/>
  <c r="AD3347" i="1"/>
  <c r="AC3347" i="1"/>
  <c r="AB3347" i="1"/>
  <c r="AA3347" i="1"/>
  <c r="AF3346" i="1"/>
  <c r="AE3346" i="1"/>
  <c r="AD3346" i="1"/>
  <c r="AC3346" i="1"/>
  <c r="AB3346" i="1"/>
  <c r="AA3346" i="1"/>
  <c r="AF3345" i="1"/>
  <c r="AE3345" i="1"/>
  <c r="AD3345" i="1"/>
  <c r="AC3345" i="1"/>
  <c r="AB3345" i="1"/>
  <c r="AA3345" i="1"/>
  <c r="AF3344" i="1"/>
  <c r="AE3344" i="1"/>
  <c r="AD3344" i="1"/>
  <c r="AC3344" i="1"/>
  <c r="AB3344" i="1"/>
  <c r="AA3344" i="1"/>
  <c r="AF3343" i="1"/>
  <c r="AE3343" i="1"/>
  <c r="AD3343" i="1"/>
  <c r="AC3343" i="1"/>
  <c r="AB3343" i="1"/>
  <c r="AA3343" i="1"/>
  <c r="AF3342" i="1"/>
  <c r="AE3342" i="1"/>
  <c r="AD3342" i="1"/>
  <c r="AC3342" i="1"/>
  <c r="AB3342" i="1"/>
  <c r="AA3342" i="1"/>
  <c r="AF3341" i="1"/>
  <c r="AE3341" i="1"/>
  <c r="AD3341" i="1"/>
  <c r="AC3341" i="1"/>
  <c r="AB3341" i="1"/>
  <c r="AA3341" i="1"/>
  <c r="AF3340" i="1"/>
  <c r="AE3340" i="1"/>
  <c r="AD3340" i="1"/>
  <c r="AC3340" i="1"/>
  <c r="AB3340" i="1"/>
  <c r="AA3340" i="1"/>
  <c r="AF3339" i="1"/>
  <c r="AE3339" i="1"/>
  <c r="AD3339" i="1"/>
  <c r="AC3339" i="1"/>
  <c r="AB3339" i="1"/>
  <c r="AA3339" i="1"/>
  <c r="AF3338" i="1"/>
  <c r="AE3338" i="1"/>
  <c r="AD3338" i="1"/>
  <c r="AC3338" i="1"/>
  <c r="AB3338" i="1"/>
  <c r="AA3338" i="1"/>
  <c r="AF3337" i="1"/>
  <c r="AE3337" i="1"/>
  <c r="AD3337" i="1"/>
  <c r="AC3337" i="1"/>
  <c r="AB3337" i="1"/>
  <c r="AA3337" i="1"/>
  <c r="AF3336" i="1"/>
  <c r="AE3336" i="1"/>
  <c r="AD3336" i="1"/>
  <c r="AC3336" i="1"/>
  <c r="AB3336" i="1"/>
  <c r="AA3336" i="1"/>
  <c r="AF3335" i="1"/>
  <c r="AE3335" i="1"/>
  <c r="AD3335" i="1"/>
  <c r="AC3335" i="1"/>
  <c r="AB3335" i="1"/>
  <c r="AA3335" i="1"/>
  <c r="AF3334" i="1"/>
  <c r="AE3334" i="1"/>
  <c r="AD3334" i="1"/>
  <c r="AC3334" i="1"/>
  <c r="AB3334" i="1"/>
  <c r="AA3334" i="1"/>
  <c r="AF3333" i="1"/>
  <c r="AE3333" i="1"/>
  <c r="AD3333" i="1"/>
  <c r="AC3333" i="1"/>
  <c r="AB3333" i="1"/>
  <c r="AA3333" i="1"/>
  <c r="AF3332" i="1"/>
  <c r="AE3332" i="1"/>
  <c r="AD3332" i="1"/>
  <c r="AC3332" i="1"/>
  <c r="AB3332" i="1"/>
  <c r="AA3332" i="1"/>
  <c r="AF3331" i="1"/>
  <c r="AE3331" i="1"/>
  <c r="AD3331" i="1"/>
  <c r="AC3331" i="1"/>
  <c r="AB3331" i="1"/>
  <c r="AA3331" i="1"/>
  <c r="AF3330" i="1"/>
  <c r="AE3330" i="1"/>
  <c r="AD3330" i="1"/>
  <c r="AC3330" i="1"/>
  <c r="AB3330" i="1"/>
  <c r="AA3330" i="1"/>
  <c r="AF3329" i="1"/>
  <c r="AE3329" i="1"/>
  <c r="AD3329" i="1"/>
  <c r="AC3329" i="1"/>
  <c r="AB3329" i="1"/>
  <c r="AA3329" i="1"/>
  <c r="AF3328" i="1"/>
  <c r="AE3328" i="1"/>
  <c r="AD3328" i="1"/>
  <c r="AC3328" i="1"/>
  <c r="AB3328" i="1"/>
  <c r="AA3328" i="1"/>
  <c r="AF3327" i="1"/>
  <c r="AE3327" i="1"/>
  <c r="AD3327" i="1"/>
  <c r="AC3327" i="1"/>
  <c r="AB3327" i="1"/>
  <c r="AA3327" i="1"/>
  <c r="AF3326" i="1"/>
  <c r="AE3326" i="1"/>
  <c r="AD3326" i="1"/>
  <c r="AC3326" i="1"/>
  <c r="AB3326" i="1"/>
  <c r="AA3326" i="1"/>
  <c r="AF3325" i="1"/>
  <c r="AE3325" i="1"/>
  <c r="AD3325" i="1"/>
  <c r="AC3325" i="1"/>
  <c r="AB3325" i="1"/>
  <c r="AA3325" i="1"/>
  <c r="AF3324" i="1"/>
  <c r="AE3324" i="1"/>
  <c r="AD3324" i="1"/>
  <c r="AC3324" i="1"/>
  <c r="AB3324" i="1"/>
  <c r="AA3324" i="1"/>
  <c r="AF3323" i="1"/>
  <c r="AE3323" i="1"/>
  <c r="AD3323" i="1"/>
  <c r="AC3323" i="1"/>
  <c r="AB3323" i="1"/>
  <c r="AA3323" i="1"/>
  <c r="AF3322" i="1"/>
  <c r="AE3322" i="1"/>
  <c r="AD3322" i="1"/>
  <c r="AC3322" i="1"/>
  <c r="AB3322" i="1"/>
  <c r="AA3322" i="1"/>
  <c r="AF3321" i="1"/>
  <c r="AE3321" i="1"/>
  <c r="AD3321" i="1"/>
  <c r="AC3321" i="1"/>
  <c r="AB3321" i="1"/>
  <c r="AA3321" i="1"/>
  <c r="AF3320" i="1"/>
  <c r="AE3320" i="1"/>
  <c r="AD3320" i="1"/>
  <c r="AC3320" i="1"/>
  <c r="AB3320" i="1"/>
  <c r="AA3320" i="1"/>
  <c r="AF3319" i="1"/>
  <c r="AE3319" i="1"/>
  <c r="AD3319" i="1"/>
  <c r="AC3319" i="1"/>
  <c r="AB3319" i="1"/>
  <c r="AA3319" i="1"/>
  <c r="AF3318" i="1"/>
  <c r="AE3318" i="1"/>
  <c r="AD3318" i="1"/>
  <c r="AC3318" i="1"/>
  <c r="AB3318" i="1"/>
  <c r="AA3318" i="1"/>
  <c r="AF3317" i="1"/>
  <c r="AE3317" i="1"/>
  <c r="AD3317" i="1"/>
  <c r="AC3317" i="1"/>
  <c r="AB3317" i="1"/>
  <c r="AA3317" i="1"/>
  <c r="AF3316" i="1"/>
  <c r="AE3316" i="1"/>
  <c r="AD3316" i="1"/>
  <c r="AC3316" i="1"/>
  <c r="AB3316" i="1"/>
  <c r="AA3316" i="1"/>
  <c r="AF3315" i="1"/>
  <c r="AE3315" i="1"/>
  <c r="AD3315" i="1"/>
  <c r="AC3315" i="1"/>
  <c r="AB3315" i="1"/>
  <c r="AA3315" i="1"/>
  <c r="AF3314" i="1"/>
  <c r="AE3314" i="1"/>
  <c r="AD3314" i="1"/>
  <c r="AC3314" i="1"/>
  <c r="AB3314" i="1"/>
  <c r="AA3314" i="1"/>
  <c r="AF3313" i="1"/>
  <c r="AE3313" i="1"/>
  <c r="AD3313" i="1"/>
  <c r="AC3313" i="1"/>
  <c r="AB3313" i="1"/>
  <c r="AA3313" i="1"/>
  <c r="AF3312" i="1"/>
  <c r="AE3312" i="1"/>
  <c r="AD3312" i="1"/>
  <c r="AC3312" i="1"/>
  <c r="AB3312" i="1"/>
  <c r="AA3312" i="1"/>
  <c r="AF3311" i="1"/>
  <c r="AE3311" i="1"/>
  <c r="AD3311" i="1"/>
  <c r="AC3311" i="1"/>
  <c r="AB3311" i="1"/>
  <c r="AA3311" i="1"/>
  <c r="AF3310" i="1"/>
  <c r="AE3310" i="1"/>
  <c r="AD3310" i="1"/>
  <c r="AC3310" i="1"/>
  <c r="AB3310" i="1"/>
  <c r="AA3310" i="1"/>
  <c r="AF3309" i="1"/>
  <c r="AE3309" i="1"/>
  <c r="AD3309" i="1"/>
  <c r="AC3309" i="1"/>
  <c r="AB3309" i="1"/>
  <c r="AA3309" i="1"/>
  <c r="AF3308" i="1"/>
  <c r="AE3308" i="1"/>
  <c r="AD3308" i="1"/>
  <c r="AC3308" i="1"/>
  <c r="AB3308" i="1"/>
  <c r="AA3308" i="1"/>
  <c r="AF3307" i="1"/>
  <c r="AE3307" i="1"/>
  <c r="AD3307" i="1"/>
  <c r="AC3307" i="1"/>
  <c r="AB3307" i="1"/>
  <c r="AA3307" i="1"/>
  <c r="AF3306" i="1"/>
  <c r="AE3306" i="1"/>
  <c r="AD3306" i="1"/>
  <c r="AC3306" i="1"/>
  <c r="AB3306" i="1"/>
  <c r="AA3306" i="1"/>
  <c r="AF3305" i="1"/>
  <c r="AE3305" i="1"/>
  <c r="AD3305" i="1"/>
  <c r="AC3305" i="1"/>
  <c r="AB3305" i="1"/>
  <c r="AA3305" i="1"/>
  <c r="AF3304" i="1"/>
  <c r="AE3304" i="1"/>
  <c r="AD3304" i="1"/>
  <c r="AC3304" i="1"/>
  <c r="AB3304" i="1"/>
  <c r="AA3304" i="1"/>
  <c r="AF3303" i="1"/>
  <c r="AE3303" i="1"/>
  <c r="AD3303" i="1"/>
  <c r="AC3303" i="1"/>
  <c r="AB3303" i="1"/>
  <c r="AA3303" i="1"/>
  <c r="AF3302" i="1"/>
  <c r="AE3302" i="1"/>
  <c r="AD3302" i="1"/>
  <c r="AC3302" i="1"/>
  <c r="AB3302" i="1"/>
  <c r="AA3302" i="1"/>
  <c r="AF3301" i="1"/>
  <c r="AE3301" i="1"/>
  <c r="AD3301" i="1"/>
  <c r="AC3301" i="1"/>
  <c r="AB3301" i="1"/>
  <c r="AA3301" i="1"/>
  <c r="AF3300" i="1"/>
  <c r="AE3300" i="1"/>
  <c r="AD3300" i="1"/>
  <c r="AC3300" i="1"/>
  <c r="AB3300" i="1"/>
  <c r="AA3300" i="1"/>
  <c r="AF3299" i="1"/>
  <c r="AE3299" i="1"/>
  <c r="AD3299" i="1"/>
  <c r="AC3299" i="1"/>
  <c r="AB3299" i="1"/>
  <c r="AA3299" i="1"/>
  <c r="AF3298" i="1"/>
  <c r="AE3298" i="1"/>
  <c r="AD3298" i="1"/>
  <c r="AC3298" i="1"/>
  <c r="AB3298" i="1"/>
  <c r="AA3298" i="1"/>
  <c r="AF3297" i="1"/>
  <c r="AE3297" i="1"/>
  <c r="AD3297" i="1"/>
  <c r="AC3297" i="1"/>
  <c r="AB3297" i="1"/>
  <c r="AA3297" i="1"/>
  <c r="AF3296" i="1"/>
  <c r="AE3296" i="1"/>
  <c r="AD3296" i="1"/>
  <c r="AC3296" i="1"/>
  <c r="AB3296" i="1"/>
  <c r="AA3296" i="1"/>
  <c r="AF3295" i="1"/>
  <c r="AE3295" i="1"/>
  <c r="AD3295" i="1"/>
  <c r="AC3295" i="1"/>
  <c r="AB3295" i="1"/>
  <c r="AA3295" i="1"/>
  <c r="AF3294" i="1"/>
  <c r="AE3294" i="1"/>
  <c r="AD3294" i="1"/>
  <c r="AC3294" i="1"/>
  <c r="AB3294" i="1"/>
  <c r="AA3294" i="1"/>
  <c r="AF3293" i="1"/>
  <c r="AE3293" i="1"/>
  <c r="AD3293" i="1"/>
  <c r="AC3293" i="1"/>
  <c r="AB3293" i="1"/>
  <c r="AA3293" i="1"/>
  <c r="AF3292" i="1"/>
  <c r="AE3292" i="1"/>
  <c r="AD3292" i="1"/>
  <c r="AC3292" i="1"/>
  <c r="AB3292" i="1"/>
  <c r="AA3292" i="1"/>
  <c r="AF3291" i="1"/>
  <c r="AE3291" i="1"/>
  <c r="AD3291" i="1"/>
  <c r="AC3291" i="1"/>
  <c r="AB3291" i="1"/>
  <c r="AA3291" i="1"/>
  <c r="AF3290" i="1"/>
  <c r="AE3290" i="1"/>
  <c r="AD3290" i="1"/>
  <c r="AC3290" i="1"/>
  <c r="AB3290" i="1"/>
  <c r="AA3290" i="1"/>
  <c r="AF3289" i="1"/>
  <c r="AE3289" i="1"/>
  <c r="AD3289" i="1"/>
  <c r="AC3289" i="1"/>
  <c r="AB3289" i="1"/>
  <c r="AA3289" i="1"/>
  <c r="AF3288" i="1"/>
  <c r="AE3288" i="1"/>
  <c r="AD3288" i="1"/>
  <c r="AC3288" i="1"/>
  <c r="AB3288" i="1"/>
  <c r="AA3288" i="1"/>
  <c r="AF3287" i="1"/>
  <c r="AE3287" i="1"/>
  <c r="AD3287" i="1"/>
  <c r="AC3287" i="1"/>
  <c r="AB3287" i="1"/>
  <c r="AA3287" i="1"/>
  <c r="AF3286" i="1"/>
  <c r="AE3286" i="1"/>
  <c r="AD3286" i="1"/>
  <c r="AC3286" i="1"/>
  <c r="AB3286" i="1"/>
  <c r="AA3286" i="1"/>
  <c r="AF3285" i="1"/>
  <c r="AE3285" i="1"/>
  <c r="AD3285" i="1"/>
  <c r="AC3285" i="1"/>
  <c r="AB3285" i="1"/>
  <c r="AA3285" i="1"/>
  <c r="AF3284" i="1"/>
  <c r="AE3284" i="1"/>
  <c r="AD3284" i="1"/>
  <c r="AC3284" i="1"/>
  <c r="AB3284" i="1"/>
  <c r="AA3284" i="1"/>
  <c r="AF3283" i="1"/>
  <c r="AE3283" i="1"/>
  <c r="AD3283" i="1"/>
  <c r="AC3283" i="1"/>
  <c r="AB3283" i="1"/>
  <c r="AA3283" i="1"/>
  <c r="AF3282" i="1"/>
  <c r="AE3282" i="1"/>
  <c r="AD3282" i="1"/>
  <c r="AC3282" i="1"/>
  <c r="AB3282" i="1"/>
  <c r="AA3282" i="1"/>
  <c r="AF3281" i="1"/>
  <c r="AE3281" i="1"/>
  <c r="AD3281" i="1"/>
  <c r="AC3281" i="1"/>
  <c r="AB3281" i="1"/>
  <c r="AA3281" i="1"/>
  <c r="AF3280" i="1"/>
  <c r="AE3280" i="1"/>
  <c r="AD3280" i="1"/>
  <c r="AC3280" i="1"/>
  <c r="AB3280" i="1"/>
  <c r="AA3280" i="1"/>
  <c r="AF3279" i="1"/>
  <c r="AE3279" i="1"/>
  <c r="AD3279" i="1"/>
  <c r="AC3279" i="1"/>
  <c r="AB3279" i="1"/>
  <c r="AA3279" i="1"/>
  <c r="AF3278" i="1"/>
  <c r="AE3278" i="1"/>
  <c r="AD3278" i="1"/>
  <c r="AC3278" i="1"/>
  <c r="AB3278" i="1"/>
  <c r="AA3278" i="1"/>
  <c r="AF3277" i="1"/>
  <c r="AE3277" i="1"/>
  <c r="AD3277" i="1"/>
  <c r="AC3277" i="1"/>
  <c r="AB3277" i="1"/>
  <c r="AA3277" i="1"/>
  <c r="AF3276" i="1"/>
  <c r="AE3276" i="1"/>
  <c r="AD3276" i="1"/>
  <c r="AC3276" i="1"/>
  <c r="AB3276" i="1"/>
  <c r="AA3276" i="1"/>
  <c r="AF3275" i="1"/>
  <c r="AE3275" i="1"/>
  <c r="AD3275" i="1"/>
  <c r="AC3275" i="1"/>
  <c r="AB3275" i="1"/>
  <c r="AA3275" i="1"/>
  <c r="AF3274" i="1"/>
  <c r="AE3274" i="1"/>
  <c r="AD3274" i="1"/>
  <c r="AC3274" i="1"/>
  <c r="AB3274" i="1"/>
  <c r="AA3274" i="1"/>
  <c r="AF3273" i="1"/>
  <c r="AE3273" i="1"/>
  <c r="AD3273" i="1"/>
  <c r="AC3273" i="1"/>
  <c r="AB3273" i="1"/>
  <c r="AA3273" i="1"/>
  <c r="AF3272" i="1"/>
  <c r="AE3272" i="1"/>
  <c r="AD3272" i="1"/>
  <c r="AC3272" i="1"/>
  <c r="AB3272" i="1"/>
  <c r="AA3272" i="1"/>
  <c r="AF3271" i="1"/>
  <c r="AE3271" i="1"/>
  <c r="AD3271" i="1"/>
  <c r="AC3271" i="1"/>
  <c r="AB3271" i="1"/>
  <c r="AA3271" i="1"/>
  <c r="AF3270" i="1"/>
  <c r="AE3270" i="1"/>
  <c r="AD3270" i="1"/>
  <c r="AC3270" i="1"/>
  <c r="AB3270" i="1"/>
  <c r="AA3270" i="1"/>
  <c r="AF3269" i="1"/>
  <c r="AE3269" i="1"/>
  <c r="AD3269" i="1"/>
  <c r="AC3269" i="1"/>
  <c r="AB3269" i="1"/>
  <c r="AA3269" i="1"/>
  <c r="AF3268" i="1"/>
  <c r="AE3268" i="1"/>
  <c r="AD3268" i="1"/>
  <c r="AC3268" i="1"/>
  <c r="AB3268" i="1"/>
  <c r="AA3268" i="1"/>
  <c r="AF3267" i="1"/>
  <c r="AE3267" i="1"/>
  <c r="AD3267" i="1"/>
  <c r="AC3267" i="1"/>
  <c r="AB3267" i="1"/>
  <c r="AA3267" i="1"/>
  <c r="AF3266" i="1"/>
  <c r="AE3266" i="1"/>
  <c r="AD3266" i="1"/>
  <c r="AC3266" i="1"/>
  <c r="AB3266" i="1"/>
  <c r="AA3266" i="1"/>
  <c r="AF3265" i="1"/>
  <c r="AE3265" i="1"/>
  <c r="AD3265" i="1"/>
  <c r="AC3265" i="1"/>
  <c r="AB3265" i="1"/>
  <c r="AA3265" i="1"/>
  <c r="AF3264" i="1"/>
  <c r="AE3264" i="1"/>
  <c r="AD3264" i="1"/>
  <c r="AC3264" i="1"/>
  <c r="AB3264" i="1"/>
  <c r="AA3264" i="1"/>
  <c r="AF3263" i="1"/>
  <c r="AE3263" i="1"/>
  <c r="AD3263" i="1"/>
  <c r="AC3263" i="1"/>
  <c r="AB3263" i="1"/>
  <c r="AA3263" i="1"/>
  <c r="AF3262" i="1"/>
  <c r="AE3262" i="1"/>
  <c r="AD3262" i="1"/>
  <c r="AC3262" i="1"/>
  <c r="AB3262" i="1"/>
  <c r="AA3262" i="1"/>
  <c r="AF3261" i="1"/>
  <c r="AE3261" i="1"/>
  <c r="AD3261" i="1"/>
  <c r="AC3261" i="1"/>
  <c r="AB3261" i="1"/>
  <c r="AA3261" i="1"/>
  <c r="AF3260" i="1"/>
  <c r="AE3260" i="1"/>
  <c r="AD3260" i="1"/>
  <c r="AC3260" i="1"/>
  <c r="AB3260" i="1"/>
  <c r="AA3260" i="1"/>
  <c r="AF3259" i="1"/>
  <c r="AE3259" i="1"/>
  <c r="AD3259" i="1"/>
  <c r="AC3259" i="1"/>
  <c r="AB3259" i="1"/>
  <c r="AA3259" i="1"/>
  <c r="AF3258" i="1"/>
  <c r="AE3258" i="1"/>
  <c r="AD3258" i="1"/>
  <c r="AC3258" i="1"/>
  <c r="AB3258" i="1"/>
  <c r="AA3258" i="1"/>
  <c r="AF3257" i="1"/>
  <c r="AE3257" i="1"/>
  <c r="AD3257" i="1"/>
  <c r="AC3257" i="1"/>
  <c r="AB3257" i="1"/>
  <c r="AA3257" i="1"/>
  <c r="AF3256" i="1"/>
  <c r="AE3256" i="1"/>
  <c r="AD3256" i="1"/>
  <c r="AC3256" i="1"/>
  <c r="AB3256" i="1"/>
  <c r="AA3256" i="1"/>
  <c r="AF3255" i="1"/>
  <c r="AE3255" i="1"/>
  <c r="AD3255" i="1"/>
  <c r="AC3255" i="1"/>
  <c r="AB3255" i="1"/>
  <c r="AA3255" i="1"/>
  <c r="AF3254" i="1"/>
  <c r="AE3254" i="1"/>
  <c r="AD3254" i="1"/>
  <c r="AC3254" i="1"/>
  <c r="AB3254" i="1"/>
  <c r="AA3254" i="1"/>
  <c r="AF3253" i="1"/>
  <c r="AE3253" i="1"/>
  <c r="AD3253" i="1"/>
  <c r="AC3253" i="1"/>
  <c r="AB3253" i="1"/>
  <c r="AA3253" i="1"/>
  <c r="AF3252" i="1"/>
  <c r="AE3252" i="1"/>
  <c r="AD3252" i="1"/>
  <c r="AC3252" i="1"/>
  <c r="AB3252" i="1"/>
  <c r="AA3252" i="1"/>
  <c r="AF3251" i="1"/>
  <c r="AE3251" i="1"/>
  <c r="AD3251" i="1"/>
  <c r="AC3251" i="1"/>
  <c r="AB3251" i="1"/>
  <c r="AA3251" i="1"/>
  <c r="AF3250" i="1"/>
  <c r="AE3250" i="1"/>
  <c r="AD3250" i="1"/>
  <c r="AC3250" i="1"/>
  <c r="AB3250" i="1"/>
  <c r="AA3250" i="1"/>
  <c r="AF3249" i="1"/>
  <c r="AE3249" i="1"/>
  <c r="AD3249" i="1"/>
  <c r="AC3249" i="1"/>
  <c r="AB3249" i="1"/>
  <c r="AA3249" i="1"/>
  <c r="AF3248" i="1"/>
  <c r="AE3248" i="1"/>
  <c r="AD3248" i="1"/>
  <c r="AC3248" i="1"/>
  <c r="AB3248" i="1"/>
  <c r="AA3248" i="1"/>
  <c r="AF3247" i="1"/>
  <c r="AE3247" i="1"/>
  <c r="AD3247" i="1"/>
  <c r="AC3247" i="1"/>
  <c r="AB3247" i="1"/>
  <c r="AA3247" i="1"/>
  <c r="AF3246" i="1"/>
  <c r="AE3246" i="1"/>
  <c r="AD3246" i="1"/>
  <c r="AC3246" i="1"/>
  <c r="AB3246" i="1"/>
  <c r="AA3246" i="1"/>
  <c r="AF3245" i="1"/>
  <c r="AE3245" i="1"/>
  <c r="AD3245" i="1"/>
  <c r="AC3245" i="1"/>
  <c r="AB3245" i="1"/>
  <c r="AA3245" i="1"/>
  <c r="AF3244" i="1"/>
  <c r="AE3244" i="1"/>
  <c r="AD3244" i="1"/>
  <c r="AC3244" i="1"/>
  <c r="AB3244" i="1"/>
  <c r="AA3244" i="1"/>
  <c r="AF3243" i="1"/>
  <c r="AE3243" i="1"/>
  <c r="AD3243" i="1"/>
  <c r="AC3243" i="1"/>
  <c r="AB3243" i="1"/>
  <c r="AA3243" i="1"/>
  <c r="AF3242" i="1"/>
  <c r="AE3242" i="1"/>
  <c r="AD3242" i="1"/>
  <c r="AC3242" i="1"/>
  <c r="AB3242" i="1"/>
  <c r="AA3242" i="1"/>
  <c r="AF3241" i="1"/>
  <c r="AE3241" i="1"/>
  <c r="AD3241" i="1"/>
  <c r="AC3241" i="1"/>
  <c r="AB3241" i="1"/>
  <c r="AA3241" i="1"/>
  <c r="AF3240" i="1"/>
  <c r="AE3240" i="1"/>
  <c r="AD3240" i="1"/>
  <c r="AC3240" i="1"/>
  <c r="AB3240" i="1"/>
  <c r="AA3240" i="1"/>
  <c r="AF3239" i="1"/>
  <c r="AE3239" i="1"/>
  <c r="AD3239" i="1"/>
  <c r="AC3239" i="1"/>
  <c r="AB3239" i="1"/>
  <c r="AA3239" i="1"/>
  <c r="AF3238" i="1"/>
  <c r="AE3238" i="1"/>
  <c r="AD3238" i="1"/>
  <c r="AC3238" i="1"/>
  <c r="AB3238" i="1"/>
  <c r="AA3238" i="1"/>
  <c r="AF3237" i="1"/>
  <c r="AE3237" i="1"/>
  <c r="AD3237" i="1"/>
  <c r="AC3237" i="1"/>
  <c r="AB3237" i="1"/>
  <c r="AA3237" i="1"/>
  <c r="AF3236" i="1"/>
  <c r="AE3236" i="1"/>
  <c r="AD3236" i="1"/>
  <c r="AC3236" i="1"/>
  <c r="AB3236" i="1"/>
  <c r="AA3236" i="1"/>
  <c r="AF3235" i="1"/>
  <c r="AE3235" i="1"/>
  <c r="AD3235" i="1"/>
  <c r="AC3235" i="1"/>
  <c r="AB3235" i="1"/>
  <c r="AA3235" i="1"/>
  <c r="AF3234" i="1"/>
  <c r="AE3234" i="1"/>
  <c r="AD3234" i="1"/>
  <c r="AC3234" i="1"/>
  <c r="AB3234" i="1"/>
  <c r="AA3234" i="1"/>
  <c r="AF3233" i="1"/>
  <c r="AE3233" i="1"/>
  <c r="AD3233" i="1"/>
  <c r="AC3233" i="1"/>
  <c r="AB3233" i="1"/>
  <c r="AA3233" i="1"/>
  <c r="AF3232" i="1"/>
  <c r="AE3232" i="1"/>
  <c r="AD3232" i="1"/>
  <c r="AC3232" i="1"/>
  <c r="AB3232" i="1"/>
  <c r="AA3232" i="1"/>
  <c r="AF3231" i="1"/>
  <c r="AE3231" i="1"/>
  <c r="AD3231" i="1"/>
  <c r="AC3231" i="1"/>
  <c r="AB3231" i="1"/>
  <c r="AA3231" i="1"/>
  <c r="AF3230" i="1"/>
  <c r="AE3230" i="1"/>
  <c r="AD3230" i="1"/>
  <c r="AC3230" i="1"/>
  <c r="AB3230" i="1"/>
  <c r="AA3230" i="1"/>
  <c r="AF3229" i="1"/>
  <c r="AE3229" i="1"/>
  <c r="AD3229" i="1"/>
  <c r="AC3229" i="1"/>
  <c r="AB3229" i="1"/>
  <c r="AA3229" i="1"/>
  <c r="AF3228" i="1"/>
  <c r="AE3228" i="1"/>
  <c r="AD3228" i="1"/>
  <c r="AC3228" i="1"/>
  <c r="AB3228" i="1"/>
  <c r="AA3228" i="1"/>
  <c r="AF3227" i="1"/>
  <c r="AE3227" i="1"/>
  <c r="AD3227" i="1"/>
  <c r="AC3227" i="1"/>
  <c r="AB3227" i="1"/>
  <c r="AA3227" i="1"/>
  <c r="AF3226" i="1"/>
  <c r="AE3226" i="1"/>
  <c r="AD3226" i="1"/>
  <c r="AC3226" i="1"/>
  <c r="AB3226" i="1"/>
  <c r="AA3226" i="1"/>
  <c r="AF3225" i="1"/>
  <c r="AE3225" i="1"/>
  <c r="AD3225" i="1"/>
  <c r="AC3225" i="1"/>
  <c r="AB3225" i="1"/>
  <c r="AA3225" i="1"/>
  <c r="AF3224" i="1"/>
  <c r="AE3224" i="1"/>
  <c r="AD3224" i="1"/>
  <c r="AC3224" i="1"/>
  <c r="AB3224" i="1"/>
  <c r="AA3224" i="1"/>
  <c r="AF3223" i="1"/>
  <c r="AE3223" i="1"/>
  <c r="AD3223" i="1"/>
  <c r="AC3223" i="1"/>
  <c r="AB3223" i="1"/>
  <c r="AA3223" i="1"/>
  <c r="AF3222" i="1"/>
  <c r="AE3222" i="1"/>
  <c r="AD3222" i="1"/>
  <c r="AC3222" i="1"/>
  <c r="AB3222" i="1"/>
  <c r="AA3222" i="1"/>
  <c r="AF3221" i="1"/>
  <c r="AE3221" i="1"/>
  <c r="AD3221" i="1"/>
  <c r="AC3221" i="1"/>
  <c r="AB3221" i="1"/>
  <c r="AA3221" i="1"/>
  <c r="AF3220" i="1"/>
  <c r="AE3220" i="1"/>
  <c r="AD3220" i="1"/>
  <c r="AC3220" i="1"/>
  <c r="AB3220" i="1"/>
  <c r="AA3220" i="1"/>
  <c r="AF3219" i="1"/>
  <c r="AE3219" i="1"/>
  <c r="AD3219" i="1"/>
  <c r="AC3219" i="1"/>
  <c r="AB3219" i="1"/>
  <c r="AA3219" i="1"/>
  <c r="AF3218" i="1"/>
  <c r="AE3218" i="1"/>
  <c r="AD3218" i="1"/>
  <c r="AC3218" i="1"/>
  <c r="AB3218" i="1"/>
  <c r="AA3218" i="1"/>
  <c r="AF3217" i="1"/>
  <c r="AE3217" i="1"/>
  <c r="AD3217" i="1"/>
  <c r="AC3217" i="1"/>
  <c r="AB3217" i="1"/>
  <c r="AA3217" i="1"/>
  <c r="AF3216" i="1"/>
  <c r="AE3216" i="1"/>
  <c r="AD3216" i="1"/>
  <c r="AC3216" i="1"/>
  <c r="AB3216" i="1"/>
  <c r="AA3216" i="1"/>
  <c r="AF3215" i="1"/>
  <c r="AE3215" i="1"/>
  <c r="AD3215" i="1"/>
  <c r="AC3215" i="1"/>
  <c r="AB3215" i="1"/>
  <c r="AA3215" i="1"/>
  <c r="AF3214" i="1"/>
  <c r="AE3214" i="1"/>
  <c r="AD3214" i="1"/>
  <c r="AC3214" i="1"/>
  <c r="AB3214" i="1"/>
  <c r="AA3214" i="1"/>
  <c r="AF3213" i="1"/>
  <c r="AE3213" i="1"/>
  <c r="AD3213" i="1"/>
  <c r="AC3213" i="1"/>
  <c r="AB3213" i="1"/>
  <c r="AA3213" i="1"/>
  <c r="AF3212" i="1"/>
  <c r="AE3212" i="1"/>
  <c r="AD3212" i="1"/>
  <c r="AC3212" i="1"/>
  <c r="AB3212" i="1"/>
  <c r="AA3212" i="1"/>
  <c r="AF3211" i="1"/>
  <c r="AE3211" i="1"/>
  <c r="AD3211" i="1"/>
  <c r="AC3211" i="1"/>
  <c r="AB3211" i="1"/>
  <c r="AA3211" i="1"/>
  <c r="AF3210" i="1"/>
  <c r="AE3210" i="1"/>
  <c r="AD3210" i="1"/>
  <c r="AC3210" i="1"/>
  <c r="AB3210" i="1"/>
  <c r="AA3210" i="1"/>
  <c r="AF3209" i="1"/>
  <c r="AE3209" i="1"/>
  <c r="AD3209" i="1"/>
  <c r="AC3209" i="1"/>
  <c r="AB3209" i="1"/>
  <c r="AA3209" i="1"/>
  <c r="AF3208" i="1"/>
  <c r="AE3208" i="1"/>
  <c r="AD3208" i="1"/>
  <c r="AC3208" i="1"/>
  <c r="AB3208" i="1"/>
  <c r="AA3208" i="1"/>
  <c r="AF3207" i="1"/>
  <c r="AE3207" i="1"/>
  <c r="AD3207" i="1"/>
  <c r="AC3207" i="1"/>
  <c r="AB3207" i="1"/>
  <c r="AA3207" i="1"/>
  <c r="AF3206" i="1"/>
  <c r="AE3206" i="1"/>
  <c r="AD3206" i="1"/>
  <c r="AC3206" i="1"/>
  <c r="AB3206" i="1"/>
  <c r="AA3206" i="1"/>
  <c r="AF3205" i="1"/>
  <c r="AE3205" i="1"/>
  <c r="AD3205" i="1"/>
  <c r="AC3205" i="1"/>
  <c r="AB3205" i="1"/>
  <c r="AA3205" i="1"/>
  <c r="AF3204" i="1"/>
  <c r="AE3204" i="1"/>
  <c r="AD3204" i="1"/>
  <c r="AC3204" i="1"/>
  <c r="AB3204" i="1"/>
  <c r="AA3204" i="1"/>
  <c r="AF3203" i="1"/>
  <c r="AE3203" i="1"/>
  <c r="AD3203" i="1"/>
  <c r="AC3203" i="1"/>
  <c r="AB3203" i="1"/>
  <c r="AA3203" i="1"/>
  <c r="AF3202" i="1"/>
  <c r="AE3202" i="1"/>
  <c r="AD3202" i="1"/>
  <c r="AC3202" i="1"/>
  <c r="AB3202" i="1"/>
  <c r="AA3202" i="1"/>
  <c r="AF3201" i="1"/>
  <c r="AE3201" i="1"/>
  <c r="AD3201" i="1"/>
  <c r="AC3201" i="1"/>
  <c r="AB3201" i="1"/>
  <c r="AA3201" i="1"/>
  <c r="AF3200" i="1"/>
  <c r="AE3200" i="1"/>
  <c r="AD3200" i="1"/>
  <c r="AC3200" i="1"/>
  <c r="AB3200" i="1"/>
  <c r="AA3200" i="1"/>
  <c r="AF3199" i="1"/>
  <c r="AE3199" i="1"/>
  <c r="AD3199" i="1"/>
  <c r="AC3199" i="1"/>
  <c r="AB3199" i="1"/>
  <c r="AA3199" i="1"/>
  <c r="AF3198" i="1"/>
  <c r="AE3198" i="1"/>
  <c r="AD3198" i="1"/>
  <c r="AC3198" i="1"/>
  <c r="AB3198" i="1"/>
  <c r="AA3198" i="1"/>
  <c r="AF3197" i="1"/>
  <c r="AE3197" i="1"/>
  <c r="AD3197" i="1"/>
  <c r="AC3197" i="1"/>
  <c r="AB3197" i="1"/>
  <c r="AA3197" i="1"/>
  <c r="AF3196" i="1"/>
  <c r="AE3196" i="1"/>
  <c r="AD3196" i="1"/>
  <c r="AC3196" i="1"/>
  <c r="AB3196" i="1"/>
  <c r="AA3196" i="1"/>
  <c r="AF3195" i="1"/>
  <c r="AE3195" i="1"/>
  <c r="AD3195" i="1"/>
  <c r="AC3195" i="1"/>
  <c r="AB3195" i="1"/>
  <c r="AA3195" i="1"/>
  <c r="AF3194" i="1"/>
  <c r="AE3194" i="1"/>
  <c r="AD3194" i="1"/>
  <c r="AC3194" i="1"/>
  <c r="AB3194" i="1"/>
  <c r="AA3194" i="1"/>
  <c r="AF3193" i="1"/>
  <c r="AE3193" i="1"/>
  <c r="AD3193" i="1"/>
  <c r="AC3193" i="1"/>
  <c r="AB3193" i="1"/>
  <c r="AA3193" i="1"/>
  <c r="AF3192" i="1"/>
  <c r="AE3192" i="1"/>
  <c r="AD3192" i="1"/>
  <c r="AC3192" i="1"/>
  <c r="AB3192" i="1"/>
  <c r="AA3192" i="1"/>
  <c r="AF3191" i="1"/>
  <c r="AE3191" i="1"/>
  <c r="AD3191" i="1"/>
  <c r="AC3191" i="1"/>
  <c r="AB3191" i="1"/>
  <c r="AA3191" i="1"/>
  <c r="AF3190" i="1"/>
  <c r="AE3190" i="1"/>
  <c r="AD3190" i="1"/>
  <c r="AC3190" i="1"/>
  <c r="AB3190" i="1"/>
  <c r="AA3190" i="1"/>
  <c r="AF3189" i="1"/>
  <c r="AE3189" i="1"/>
  <c r="AD3189" i="1"/>
  <c r="AC3189" i="1"/>
  <c r="AB3189" i="1"/>
  <c r="AA3189" i="1"/>
  <c r="AF3188" i="1"/>
  <c r="AE3188" i="1"/>
  <c r="AD3188" i="1"/>
  <c r="AC3188" i="1"/>
  <c r="AB3188" i="1"/>
  <c r="AA3188" i="1"/>
  <c r="AF3187" i="1"/>
  <c r="AE3187" i="1"/>
  <c r="AD3187" i="1"/>
  <c r="AC3187" i="1"/>
  <c r="AB3187" i="1"/>
  <c r="AA3187" i="1"/>
  <c r="AF3186" i="1"/>
  <c r="AE3186" i="1"/>
  <c r="AD3186" i="1"/>
  <c r="AC3186" i="1"/>
  <c r="AB3186" i="1"/>
  <c r="AA3186" i="1"/>
  <c r="AF3185" i="1"/>
  <c r="AE3185" i="1"/>
  <c r="AD3185" i="1"/>
  <c r="AC3185" i="1"/>
  <c r="AB3185" i="1"/>
  <c r="AA3185" i="1"/>
  <c r="AF3184" i="1"/>
  <c r="AE3184" i="1"/>
  <c r="AD3184" i="1"/>
  <c r="AC3184" i="1"/>
  <c r="AB3184" i="1"/>
  <c r="AA3184" i="1"/>
  <c r="AF3183" i="1"/>
  <c r="AE3183" i="1"/>
  <c r="AD3183" i="1"/>
  <c r="AC3183" i="1"/>
  <c r="AB3183" i="1"/>
  <c r="AA3183" i="1"/>
  <c r="AF3182" i="1"/>
  <c r="AE3182" i="1"/>
  <c r="AD3182" i="1"/>
  <c r="AC3182" i="1"/>
  <c r="AB3182" i="1"/>
  <c r="AA3182" i="1"/>
  <c r="AF3181" i="1"/>
  <c r="AE3181" i="1"/>
  <c r="AD3181" i="1"/>
  <c r="AC3181" i="1"/>
  <c r="AB3181" i="1"/>
  <c r="AA3181" i="1"/>
  <c r="AF3180" i="1"/>
  <c r="AE3180" i="1"/>
  <c r="AD3180" i="1"/>
  <c r="AC3180" i="1"/>
  <c r="AB3180" i="1"/>
  <c r="AA3180" i="1"/>
  <c r="AF3179" i="1"/>
  <c r="AE3179" i="1"/>
  <c r="AD3179" i="1"/>
  <c r="AC3179" i="1"/>
  <c r="AB3179" i="1"/>
  <c r="AA3179" i="1"/>
  <c r="AF3178" i="1"/>
  <c r="AE3178" i="1"/>
  <c r="AD3178" i="1"/>
  <c r="AC3178" i="1"/>
  <c r="AB3178" i="1"/>
  <c r="AA3178" i="1"/>
  <c r="AF3177" i="1"/>
  <c r="AE3177" i="1"/>
  <c r="AD3177" i="1"/>
  <c r="AC3177" i="1"/>
  <c r="AB3177" i="1"/>
  <c r="AA3177" i="1"/>
  <c r="AF3176" i="1"/>
  <c r="AE3176" i="1"/>
  <c r="AD3176" i="1"/>
  <c r="AC3176" i="1"/>
  <c r="AB3176" i="1"/>
  <c r="AA3176" i="1"/>
  <c r="AF3175" i="1"/>
  <c r="AE3175" i="1"/>
  <c r="AD3175" i="1"/>
  <c r="AC3175" i="1"/>
  <c r="AB3175" i="1"/>
  <c r="AA3175" i="1"/>
  <c r="AF3174" i="1"/>
  <c r="AE3174" i="1"/>
  <c r="AD3174" i="1"/>
  <c r="AC3174" i="1"/>
  <c r="AB3174" i="1"/>
  <c r="AA3174" i="1"/>
  <c r="AF3173" i="1"/>
  <c r="AE3173" i="1"/>
  <c r="AD3173" i="1"/>
  <c r="AC3173" i="1"/>
  <c r="AB3173" i="1"/>
  <c r="AA3173" i="1"/>
  <c r="AF3172" i="1"/>
  <c r="AE3172" i="1"/>
  <c r="AD3172" i="1"/>
  <c r="AC3172" i="1"/>
  <c r="AB3172" i="1"/>
  <c r="AA3172" i="1"/>
  <c r="AF3171" i="1"/>
  <c r="AE3171" i="1"/>
  <c r="AD3171" i="1"/>
  <c r="AC3171" i="1"/>
  <c r="AB3171" i="1"/>
  <c r="AA3171" i="1"/>
  <c r="AF3170" i="1"/>
  <c r="AE3170" i="1"/>
  <c r="AD3170" i="1"/>
  <c r="AC3170" i="1"/>
  <c r="AB3170" i="1"/>
  <c r="AA3170" i="1"/>
  <c r="AF3169" i="1"/>
  <c r="AE3169" i="1"/>
  <c r="AD3169" i="1"/>
  <c r="AC3169" i="1"/>
  <c r="AB3169" i="1"/>
  <c r="AA3169" i="1"/>
  <c r="AF3168" i="1"/>
  <c r="AE3168" i="1"/>
  <c r="AD3168" i="1"/>
  <c r="AC3168" i="1"/>
  <c r="AB3168" i="1"/>
  <c r="AA3168" i="1"/>
  <c r="AF3167" i="1"/>
  <c r="AE3167" i="1"/>
  <c r="AD3167" i="1"/>
  <c r="AC3167" i="1"/>
  <c r="AB3167" i="1"/>
  <c r="AA3167" i="1"/>
  <c r="AF3166" i="1"/>
  <c r="AE3166" i="1"/>
  <c r="AD3166" i="1"/>
  <c r="AC3166" i="1"/>
  <c r="AB3166" i="1"/>
  <c r="AA3166" i="1"/>
  <c r="AF3165" i="1"/>
  <c r="AE3165" i="1"/>
  <c r="AD3165" i="1"/>
  <c r="AC3165" i="1"/>
  <c r="AB3165" i="1"/>
  <c r="AA3165" i="1"/>
  <c r="AF3164" i="1"/>
  <c r="AE3164" i="1"/>
  <c r="AD3164" i="1"/>
  <c r="AC3164" i="1"/>
  <c r="AB3164" i="1"/>
  <c r="AA3164" i="1"/>
  <c r="AF3163" i="1"/>
  <c r="AE3163" i="1"/>
  <c r="AD3163" i="1"/>
  <c r="AC3163" i="1"/>
  <c r="AB3163" i="1"/>
  <c r="AA3163" i="1"/>
  <c r="AF3162" i="1"/>
  <c r="AE3162" i="1"/>
  <c r="AD3162" i="1"/>
  <c r="AC3162" i="1"/>
  <c r="AB3162" i="1"/>
  <c r="AA3162" i="1"/>
  <c r="AF3161" i="1"/>
  <c r="AE3161" i="1"/>
  <c r="AD3161" i="1"/>
  <c r="AC3161" i="1"/>
  <c r="AB3161" i="1"/>
  <c r="AA3161" i="1"/>
  <c r="AF3160" i="1"/>
  <c r="AE3160" i="1"/>
  <c r="AD3160" i="1"/>
  <c r="AC3160" i="1"/>
  <c r="AB3160" i="1"/>
  <c r="AA3160" i="1"/>
  <c r="AF3159" i="1"/>
  <c r="AE3159" i="1"/>
  <c r="AD3159" i="1"/>
  <c r="AC3159" i="1"/>
  <c r="AB3159" i="1"/>
  <c r="AA3159" i="1"/>
  <c r="AF3158" i="1"/>
  <c r="AE3158" i="1"/>
  <c r="AD3158" i="1"/>
  <c r="AC3158" i="1"/>
  <c r="AB3158" i="1"/>
  <c r="AA3158" i="1"/>
  <c r="AF3157" i="1"/>
  <c r="AE3157" i="1"/>
  <c r="AD3157" i="1"/>
  <c r="AC3157" i="1"/>
  <c r="AB3157" i="1"/>
  <c r="AA3157" i="1"/>
  <c r="AF3156" i="1"/>
  <c r="AE3156" i="1"/>
  <c r="AD3156" i="1"/>
  <c r="AC3156" i="1"/>
  <c r="AB3156" i="1"/>
  <c r="AA3156" i="1"/>
  <c r="AF3155" i="1"/>
  <c r="AE3155" i="1"/>
  <c r="AD3155" i="1"/>
  <c r="AC3155" i="1"/>
  <c r="AB3155" i="1"/>
  <c r="AA3155" i="1"/>
  <c r="AF3154" i="1"/>
  <c r="AE3154" i="1"/>
  <c r="AD3154" i="1"/>
  <c r="AC3154" i="1"/>
  <c r="AB3154" i="1"/>
  <c r="AA3154" i="1"/>
  <c r="AF3153" i="1"/>
  <c r="AE3153" i="1"/>
  <c r="AD3153" i="1"/>
  <c r="AC3153" i="1"/>
  <c r="AB3153" i="1"/>
  <c r="AA3153" i="1"/>
  <c r="AF3152" i="1"/>
  <c r="AE3152" i="1"/>
  <c r="AD3152" i="1"/>
  <c r="AC3152" i="1"/>
  <c r="AB3152" i="1"/>
  <c r="AA3152" i="1"/>
  <c r="AF3151" i="1"/>
  <c r="AE3151" i="1"/>
  <c r="AD3151" i="1"/>
  <c r="AC3151" i="1"/>
  <c r="AB3151" i="1"/>
  <c r="AA3151" i="1"/>
  <c r="AF3150" i="1"/>
  <c r="AE3150" i="1"/>
  <c r="AD3150" i="1"/>
  <c r="AC3150" i="1"/>
  <c r="AB3150" i="1"/>
  <c r="AA3150" i="1"/>
  <c r="AF3149" i="1"/>
  <c r="AE3149" i="1"/>
  <c r="AD3149" i="1"/>
  <c r="AC3149" i="1"/>
  <c r="AB3149" i="1"/>
  <c r="AA3149" i="1"/>
  <c r="AF3148" i="1"/>
  <c r="AE3148" i="1"/>
  <c r="AD3148" i="1"/>
  <c r="AC3148" i="1"/>
  <c r="AB3148" i="1"/>
  <c r="AA3148" i="1"/>
  <c r="AF3147" i="1"/>
  <c r="AE3147" i="1"/>
  <c r="AD3147" i="1"/>
  <c r="AC3147" i="1"/>
  <c r="AB3147" i="1"/>
  <c r="AA3147" i="1"/>
  <c r="AF3146" i="1"/>
  <c r="AE3146" i="1"/>
  <c r="AD3146" i="1"/>
  <c r="AC3146" i="1"/>
  <c r="AB3146" i="1"/>
  <c r="AA3146" i="1"/>
  <c r="AF3145" i="1"/>
  <c r="AE3145" i="1"/>
  <c r="AD3145" i="1"/>
  <c r="AC3145" i="1"/>
  <c r="AB3145" i="1"/>
  <c r="AA3145" i="1"/>
  <c r="AF3144" i="1"/>
  <c r="AE3144" i="1"/>
  <c r="AD3144" i="1"/>
  <c r="AC3144" i="1"/>
  <c r="AB3144" i="1"/>
  <c r="AA3144" i="1"/>
  <c r="AF3143" i="1"/>
  <c r="AE3143" i="1"/>
  <c r="AD3143" i="1"/>
  <c r="AC3143" i="1"/>
  <c r="AB3143" i="1"/>
  <c r="AA3143" i="1"/>
  <c r="AF3142" i="1"/>
  <c r="AE3142" i="1"/>
  <c r="AD3142" i="1"/>
  <c r="AC3142" i="1"/>
  <c r="AB3142" i="1"/>
  <c r="AA3142" i="1"/>
  <c r="AF3141" i="1"/>
  <c r="AE3141" i="1"/>
  <c r="AD3141" i="1"/>
  <c r="AC3141" i="1"/>
  <c r="AB3141" i="1"/>
  <c r="AA3141" i="1"/>
  <c r="AF3140" i="1"/>
  <c r="AE3140" i="1"/>
  <c r="AD3140" i="1"/>
  <c r="AC3140" i="1"/>
  <c r="AB3140" i="1"/>
  <c r="AA3140" i="1"/>
  <c r="AF3139" i="1"/>
  <c r="AE3139" i="1"/>
  <c r="AD3139" i="1"/>
  <c r="AC3139" i="1"/>
  <c r="AB3139" i="1"/>
  <c r="AA3139" i="1"/>
  <c r="AF3138" i="1"/>
  <c r="AE3138" i="1"/>
  <c r="AD3138" i="1"/>
  <c r="AC3138" i="1"/>
  <c r="AB3138" i="1"/>
  <c r="AA3138" i="1"/>
  <c r="AF3137" i="1"/>
  <c r="AE3137" i="1"/>
  <c r="AD3137" i="1"/>
  <c r="AC3137" i="1"/>
  <c r="AB3137" i="1"/>
  <c r="AA3137" i="1"/>
  <c r="AF3136" i="1"/>
  <c r="AE3136" i="1"/>
  <c r="AD3136" i="1"/>
  <c r="AC3136" i="1"/>
  <c r="AB3136" i="1"/>
  <c r="AA3136" i="1"/>
  <c r="AF3135" i="1"/>
  <c r="AE3135" i="1"/>
  <c r="AD3135" i="1"/>
  <c r="AC3135" i="1"/>
  <c r="AB3135" i="1"/>
  <c r="AA3135" i="1"/>
  <c r="AF3134" i="1"/>
  <c r="AE3134" i="1"/>
  <c r="AD3134" i="1"/>
  <c r="AC3134" i="1"/>
  <c r="AB3134" i="1"/>
  <c r="AA3134" i="1"/>
  <c r="AF3133" i="1"/>
  <c r="AE3133" i="1"/>
  <c r="AD3133" i="1"/>
  <c r="AC3133" i="1"/>
  <c r="AB3133" i="1"/>
  <c r="AA3133" i="1"/>
  <c r="AF3132" i="1"/>
  <c r="AE3132" i="1"/>
  <c r="AD3132" i="1"/>
  <c r="AC3132" i="1"/>
  <c r="AB3132" i="1"/>
  <c r="AA3132" i="1"/>
  <c r="AF3131" i="1"/>
  <c r="AE3131" i="1"/>
  <c r="AD3131" i="1"/>
  <c r="AC3131" i="1"/>
  <c r="AB3131" i="1"/>
  <c r="AA3131" i="1"/>
  <c r="AF3130" i="1"/>
  <c r="AE3130" i="1"/>
  <c r="AD3130" i="1"/>
  <c r="AC3130" i="1"/>
  <c r="AB3130" i="1"/>
  <c r="AA3130" i="1"/>
  <c r="AF3129" i="1"/>
  <c r="AE3129" i="1"/>
  <c r="AD3129" i="1"/>
  <c r="AC3129" i="1"/>
  <c r="AB3129" i="1"/>
  <c r="AA3129" i="1"/>
  <c r="AF3128" i="1"/>
  <c r="AE3128" i="1"/>
  <c r="AD3128" i="1"/>
  <c r="AC3128" i="1"/>
  <c r="AB3128" i="1"/>
  <c r="AA3128" i="1"/>
  <c r="AF3127" i="1"/>
  <c r="AE3127" i="1"/>
  <c r="AD3127" i="1"/>
  <c r="AC3127" i="1"/>
  <c r="AB3127" i="1"/>
  <c r="AA3127" i="1"/>
  <c r="AF3126" i="1"/>
  <c r="AE3126" i="1"/>
  <c r="AD3126" i="1"/>
  <c r="AC3126" i="1"/>
  <c r="AB3126" i="1"/>
  <c r="AA3126" i="1"/>
  <c r="AF3125" i="1"/>
  <c r="AE3125" i="1"/>
  <c r="AD3125" i="1"/>
  <c r="AC3125" i="1"/>
  <c r="AB3125" i="1"/>
  <c r="AA3125" i="1"/>
  <c r="AF3124" i="1"/>
  <c r="AE3124" i="1"/>
  <c r="AD3124" i="1"/>
  <c r="AC3124" i="1"/>
  <c r="AB3124" i="1"/>
  <c r="AA3124" i="1"/>
  <c r="AF3123" i="1"/>
  <c r="AE3123" i="1"/>
  <c r="AD3123" i="1"/>
  <c r="AC3123" i="1"/>
  <c r="AB3123" i="1"/>
  <c r="AA3123" i="1"/>
  <c r="AF3122" i="1"/>
  <c r="AE3122" i="1"/>
  <c r="AD3122" i="1"/>
  <c r="AC3122" i="1"/>
  <c r="AB3122" i="1"/>
  <c r="AA3122" i="1"/>
  <c r="AF3121" i="1"/>
  <c r="AE3121" i="1"/>
  <c r="AD3121" i="1"/>
  <c r="AC3121" i="1"/>
  <c r="AB3121" i="1"/>
  <c r="AA3121" i="1"/>
  <c r="AF3120" i="1"/>
  <c r="AE3120" i="1"/>
  <c r="AD3120" i="1"/>
  <c r="AC3120" i="1"/>
  <c r="AB3120" i="1"/>
  <c r="AA3120" i="1"/>
  <c r="AF3119" i="1"/>
  <c r="AE3119" i="1"/>
  <c r="AD3119" i="1"/>
  <c r="AC3119" i="1"/>
  <c r="AB3119" i="1"/>
  <c r="AA3119" i="1"/>
  <c r="AF3118" i="1"/>
  <c r="AE3118" i="1"/>
  <c r="AD3118" i="1"/>
  <c r="AC3118" i="1"/>
  <c r="AB3118" i="1"/>
  <c r="AA3118" i="1"/>
  <c r="AF3117" i="1"/>
  <c r="AE3117" i="1"/>
  <c r="AD3117" i="1"/>
  <c r="AC3117" i="1"/>
  <c r="AB3117" i="1"/>
  <c r="AA3117" i="1"/>
  <c r="AF3116" i="1"/>
  <c r="AE3116" i="1"/>
  <c r="AD3116" i="1"/>
  <c r="AC3116" i="1"/>
  <c r="AB3116" i="1"/>
  <c r="AA3116" i="1"/>
  <c r="AF3115" i="1"/>
  <c r="AE3115" i="1"/>
  <c r="AD3115" i="1"/>
  <c r="AC3115" i="1"/>
  <c r="AB3115" i="1"/>
  <c r="AA3115" i="1"/>
  <c r="AF3114" i="1"/>
  <c r="AE3114" i="1"/>
  <c r="AD3114" i="1"/>
  <c r="AC3114" i="1"/>
  <c r="AB3114" i="1"/>
  <c r="AA3114" i="1"/>
  <c r="AF3113" i="1"/>
  <c r="AE3113" i="1"/>
  <c r="AD3113" i="1"/>
  <c r="AC3113" i="1"/>
  <c r="AB3113" i="1"/>
  <c r="AA3113" i="1"/>
  <c r="AF3112" i="1"/>
  <c r="AE3112" i="1"/>
  <c r="AD3112" i="1"/>
  <c r="AC3112" i="1"/>
  <c r="AB3112" i="1"/>
  <c r="AA3112" i="1"/>
  <c r="AF3111" i="1"/>
  <c r="AE3111" i="1"/>
  <c r="AD3111" i="1"/>
  <c r="AC3111" i="1"/>
  <c r="AB3111" i="1"/>
  <c r="AA3111" i="1"/>
  <c r="AF3110" i="1"/>
  <c r="AE3110" i="1"/>
  <c r="AD3110" i="1"/>
  <c r="AC3110" i="1"/>
  <c r="AB3110" i="1"/>
  <c r="AA3110" i="1"/>
  <c r="AF3109" i="1"/>
  <c r="AE3109" i="1"/>
  <c r="AD3109" i="1"/>
  <c r="AC3109" i="1"/>
  <c r="AB3109" i="1"/>
  <c r="AA3109" i="1"/>
  <c r="AF3108" i="1"/>
  <c r="AE3108" i="1"/>
  <c r="AD3108" i="1"/>
  <c r="AC3108" i="1"/>
  <c r="AB3108" i="1"/>
  <c r="AA3108" i="1"/>
  <c r="AF3107" i="1"/>
  <c r="AE3107" i="1"/>
  <c r="AD3107" i="1"/>
  <c r="AC3107" i="1"/>
  <c r="AB3107" i="1"/>
  <c r="AA3107" i="1"/>
  <c r="AF3106" i="1"/>
  <c r="AE3106" i="1"/>
  <c r="AD3106" i="1"/>
  <c r="AC3106" i="1"/>
  <c r="AB3106" i="1"/>
  <c r="AA3106" i="1"/>
  <c r="AF3105" i="1"/>
  <c r="AE3105" i="1"/>
  <c r="AD3105" i="1"/>
  <c r="AC3105" i="1"/>
  <c r="AB3105" i="1"/>
  <c r="AA3105" i="1"/>
  <c r="AF3104" i="1"/>
  <c r="AE3104" i="1"/>
  <c r="AD3104" i="1"/>
  <c r="AC3104" i="1"/>
  <c r="AB3104" i="1"/>
  <c r="AA3104" i="1"/>
  <c r="AF3103" i="1"/>
  <c r="AE3103" i="1"/>
  <c r="AD3103" i="1"/>
  <c r="AC3103" i="1"/>
  <c r="AB3103" i="1"/>
  <c r="AA3103" i="1"/>
  <c r="AF3102" i="1"/>
  <c r="AE3102" i="1"/>
  <c r="AD3102" i="1"/>
  <c r="AC3102" i="1"/>
  <c r="AB3102" i="1"/>
  <c r="AA3102" i="1"/>
  <c r="AF3101" i="1"/>
  <c r="AE3101" i="1"/>
  <c r="AD3101" i="1"/>
  <c r="AC3101" i="1"/>
  <c r="AB3101" i="1"/>
  <c r="AA3101" i="1"/>
  <c r="AF3100" i="1"/>
  <c r="AE3100" i="1"/>
  <c r="AD3100" i="1"/>
  <c r="AC3100" i="1"/>
  <c r="AB3100" i="1"/>
  <c r="AA3100" i="1"/>
  <c r="AF3099" i="1"/>
  <c r="AE3099" i="1"/>
  <c r="AD3099" i="1"/>
  <c r="AC3099" i="1"/>
  <c r="AB3099" i="1"/>
  <c r="AA3099" i="1"/>
  <c r="AF3098" i="1"/>
  <c r="AE3098" i="1"/>
  <c r="AD3098" i="1"/>
  <c r="AC3098" i="1"/>
  <c r="AB3098" i="1"/>
  <c r="AA3098" i="1"/>
  <c r="AF3097" i="1"/>
  <c r="AE3097" i="1"/>
  <c r="AD3097" i="1"/>
  <c r="AC3097" i="1"/>
  <c r="AB3097" i="1"/>
  <c r="AA3097" i="1"/>
  <c r="AF3096" i="1"/>
  <c r="AE3096" i="1"/>
  <c r="AD3096" i="1"/>
  <c r="AC3096" i="1"/>
  <c r="AB3096" i="1"/>
  <c r="AA3096" i="1"/>
  <c r="AF3095" i="1"/>
  <c r="AE3095" i="1"/>
  <c r="AD3095" i="1"/>
  <c r="AC3095" i="1"/>
  <c r="AB3095" i="1"/>
  <c r="AA3095" i="1"/>
  <c r="AF3094" i="1"/>
  <c r="AE3094" i="1"/>
  <c r="AD3094" i="1"/>
  <c r="AC3094" i="1"/>
  <c r="AB3094" i="1"/>
  <c r="AA3094" i="1"/>
  <c r="AF3093" i="1"/>
  <c r="AE3093" i="1"/>
  <c r="AD3093" i="1"/>
  <c r="AC3093" i="1"/>
  <c r="AB3093" i="1"/>
  <c r="AA3093" i="1"/>
  <c r="AF3092" i="1"/>
  <c r="AE3092" i="1"/>
  <c r="AD3092" i="1"/>
  <c r="AC3092" i="1"/>
  <c r="AB3092" i="1"/>
  <c r="AA3092" i="1"/>
  <c r="AF3091" i="1"/>
  <c r="AE3091" i="1"/>
  <c r="AD3091" i="1"/>
  <c r="AC3091" i="1"/>
  <c r="AB3091" i="1"/>
  <c r="AA3091" i="1"/>
  <c r="AF3090" i="1"/>
  <c r="AE3090" i="1"/>
  <c r="AD3090" i="1"/>
  <c r="AC3090" i="1"/>
  <c r="AB3090" i="1"/>
  <c r="AA3090" i="1"/>
  <c r="AF3089" i="1"/>
  <c r="AE3089" i="1"/>
  <c r="AD3089" i="1"/>
  <c r="AC3089" i="1"/>
  <c r="AB3089" i="1"/>
  <c r="AA3089" i="1"/>
  <c r="AF3088" i="1"/>
  <c r="AE3088" i="1"/>
  <c r="AD3088" i="1"/>
  <c r="AC3088" i="1"/>
  <c r="AB3088" i="1"/>
  <c r="AA3088" i="1"/>
  <c r="AF3087" i="1"/>
  <c r="AE3087" i="1"/>
  <c r="AD3087" i="1"/>
  <c r="AC3087" i="1"/>
  <c r="AB3087" i="1"/>
  <c r="AA3087" i="1"/>
  <c r="AF3086" i="1"/>
  <c r="AE3086" i="1"/>
  <c r="AD3086" i="1"/>
  <c r="AC3086" i="1"/>
  <c r="AB3086" i="1"/>
  <c r="AA3086" i="1"/>
  <c r="AF3085" i="1"/>
  <c r="AE3085" i="1"/>
  <c r="AD3085" i="1"/>
  <c r="AC3085" i="1"/>
  <c r="AB3085" i="1"/>
  <c r="AA3085" i="1"/>
  <c r="AF3084" i="1"/>
  <c r="AE3084" i="1"/>
  <c r="AD3084" i="1"/>
  <c r="AC3084" i="1"/>
  <c r="AB3084" i="1"/>
  <c r="AA3084" i="1"/>
  <c r="AF3083" i="1"/>
  <c r="AE3083" i="1"/>
  <c r="AD3083" i="1"/>
  <c r="AC3083" i="1"/>
  <c r="AB3083" i="1"/>
  <c r="AA3083" i="1"/>
  <c r="AF3082" i="1"/>
  <c r="AE3082" i="1"/>
  <c r="AD3082" i="1"/>
  <c r="AC3082" i="1"/>
  <c r="AB3082" i="1"/>
  <c r="AA3082" i="1"/>
  <c r="AF3081" i="1"/>
  <c r="AE3081" i="1"/>
  <c r="AD3081" i="1"/>
  <c r="AC3081" i="1"/>
  <c r="AB3081" i="1"/>
  <c r="AA3081" i="1"/>
  <c r="AF3080" i="1"/>
  <c r="AE3080" i="1"/>
  <c r="AD3080" i="1"/>
  <c r="AC3080" i="1"/>
  <c r="AB3080" i="1"/>
  <c r="AA3080" i="1"/>
  <c r="AF3079" i="1"/>
  <c r="AE3079" i="1"/>
  <c r="AD3079" i="1"/>
  <c r="AC3079" i="1"/>
  <c r="AB3079" i="1"/>
  <c r="AA3079" i="1"/>
  <c r="AF3078" i="1"/>
  <c r="AE3078" i="1"/>
  <c r="AD3078" i="1"/>
  <c r="AC3078" i="1"/>
  <c r="AB3078" i="1"/>
  <c r="AA3078" i="1"/>
  <c r="AF3077" i="1"/>
  <c r="AE3077" i="1"/>
  <c r="AD3077" i="1"/>
  <c r="AC3077" i="1"/>
  <c r="AB3077" i="1"/>
  <c r="AA3077" i="1"/>
  <c r="AF3076" i="1"/>
  <c r="AE3076" i="1"/>
  <c r="AD3076" i="1"/>
  <c r="AC3076" i="1"/>
  <c r="AB3076" i="1"/>
  <c r="AA3076" i="1"/>
  <c r="AF3075" i="1"/>
  <c r="AE3075" i="1"/>
  <c r="AD3075" i="1"/>
  <c r="AC3075" i="1"/>
  <c r="AB3075" i="1"/>
  <c r="AA3075" i="1"/>
  <c r="AF3074" i="1"/>
  <c r="AE3074" i="1"/>
  <c r="AD3074" i="1"/>
  <c r="AC3074" i="1"/>
  <c r="AB3074" i="1"/>
  <c r="AA3074" i="1"/>
  <c r="AF3073" i="1"/>
  <c r="AE3073" i="1"/>
  <c r="AD3073" i="1"/>
  <c r="AC3073" i="1"/>
  <c r="AB3073" i="1"/>
  <c r="AA3073" i="1"/>
  <c r="AF3072" i="1"/>
  <c r="AE3072" i="1"/>
  <c r="AD3072" i="1"/>
  <c r="AC3072" i="1"/>
  <c r="AB3072" i="1"/>
  <c r="AA3072" i="1"/>
  <c r="AF3071" i="1"/>
  <c r="AE3071" i="1"/>
  <c r="AD3071" i="1"/>
  <c r="AC3071" i="1"/>
  <c r="AB3071" i="1"/>
  <c r="AA3071" i="1"/>
  <c r="AF3070" i="1"/>
  <c r="AE3070" i="1"/>
  <c r="AD3070" i="1"/>
  <c r="AC3070" i="1"/>
  <c r="AB3070" i="1"/>
  <c r="AA3070" i="1"/>
  <c r="AF3069" i="1"/>
  <c r="AE3069" i="1"/>
  <c r="AD3069" i="1"/>
  <c r="AC3069" i="1"/>
  <c r="AB3069" i="1"/>
  <c r="AA3069" i="1"/>
  <c r="AF3068" i="1"/>
  <c r="AE3068" i="1"/>
  <c r="AD3068" i="1"/>
  <c r="AC3068" i="1"/>
  <c r="AB3068" i="1"/>
  <c r="AA3068" i="1"/>
  <c r="AF3067" i="1"/>
  <c r="AE3067" i="1"/>
  <c r="AD3067" i="1"/>
  <c r="AC3067" i="1"/>
  <c r="AB3067" i="1"/>
  <c r="AA3067" i="1"/>
  <c r="AF3066" i="1"/>
  <c r="AE3066" i="1"/>
  <c r="AD3066" i="1"/>
  <c r="AC3066" i="1"/>
  <c r="AB3066" i="1"/>
  <c r="AA3066" i="1"/>
  <c r="AF3065" i="1"/>
  <c r="AE3065" i="1"/>
  <c r="AD3065" i="1"/>
  <c r="AC3065" i="1"/>
  <c r="AB3065" i="1"/>
  <c r="AA3065" i="1"/>
  <c r="AF3064" i="1"/>
  <c r="AE3064" i="1"/>
  <c r="AD3064" i="1"/>
  <c r="AC3064" i="1"/>
  <c r="AB3064" i="1"/>
  <c r="AA3064" i="1"/>
  <c r="AF3063" i="1"/>
  <c r="AE3063" i="1"/>
  <c r="AD3063" i="1"/>
  <c r="AC3063" i="1"/>
  <c r="AB3063" i="1"/>
  <c r="AA3063" i="1"/>
  <c r="AF3062" i="1"/>
  <c r="AE3062" i="1"/>
  <c r="AD3062" i="1"/>
  <c r="AC3062" i="1"/>
  <c r="AB3062" i="1"/>
  <c r="AA3062" i="1"/>
  <c r="AF3061" i="1"/>
  <c r="AE3061" i="1"/>
  <c r="AD3061" i="1"/>
  <c r="AC3061" i="1"/>
  <c r="AB3061" i="1"/>
  <c r="AA3061" i="1"/>
  <c r="AF3060" i="1"/>
  <c r="AE3060" i="1"/>
  <c r="AD3060" i="1"/>
  <c r="AC3060" i="1"/>
  <c r="AB3060" i="1"/>
  <c r="AA3060" i="1"/>
  <c r="AF3059" i="1"/>
  <c r="AE3059" i="1"/>
  <c r="AD3059" i="1"/>
  <c r="AC3059" i="1"/>
  <c r="AB3059" i="1"/>
  <c r="AA3059" i="1"/>
  <c r="AF3058" i="1"/>
  <c r="AE3058" i="1"/>
  <c r="AD3058" i="1"/>
  <c r="AC3058" i="1"/>
  <c r="AB3058" i="1"/>
  <c r="AA3058" i="1"/>
  <c r="AF3057" i="1"/>
  <c r="AE3057" i="1"/>
  <c r="AD3057" i="1"/>
  <c r="AC3057" i="1"/>
  <c r="AB3057" i="1"/>
  <c r="AA3057" i="1"/>
  <c r="AF3056" i="1"/>
  <c r="AE3056" i="1"/>
  <c r="AD3056" i="1"/>
  <c r="AC3056" i="1"/>
  <c r="AB3056" i="1"/>
  <c r="AA3056" i="1"/>
  <c r="AF3055" i="1"/>
  <c r="AE3055" i="1"/>
  <c r="AD3055" i="1"/>
  <c r="AC3055" i="1"/>
  <c r="AB3055" i="1"/>
  <c r="AA3055" i="1"/>
  <c r="AF3054" i="1"/>
  <c r="AE3054" i="1"/>
  <c r="AD3054" i="1"/>
  <c r="AC3054" i="1"/>
  <c r="AB3054" i="1"/>
  <c r="AA3054" i="1"/>
  <c r="AF3053" i="1"/>
  <c r="AE3053" i="1"/>
  <c r="AD3053" i="1"/>
  <c r="AC3053" i="1"/>
  <c r="AB3053" i="1"/>
  <c r="AA3053" i="1"/>
  <c r="AF3052" i="1"/>
  <c r="AE3052" i="1"/>
  <c r="AD3052" i="1"/>
  <c r="AC3052" i="1"/>
  <c r="AB3052" i="1"/>
  <c r="AA3052" i="1"/>
  <c r="AF3051" i="1"/>
  <c r="AE3051" i="1"/>
  <c r="AD3051" i="1"/>
  <c r="AC3051" i="1"/>
  <c r="AB3051" i="1"/>
  <c r="AA3051" i="1"/>
  <c r="AF3050" i="1"/>
  <c r="AE3050" i="1"/>
  <c r="AD3050" i="1"/>
  <c r="AC3050" i="1"/>
  <c r="AB3050" i="1"/>
  <c r="AA3050" i="1"/>
  <c r="AF3049" i="1"/>
  <c r="AE3049" i="1"/>
  <c r="AD3049" i="1"/>
  <c r="AC3049" i="1"/>
  <c r="AB3049" i="1"/>
  <c r="AA3049" i="1"/>
  <c r="AF3048" i="1"/>
  <c r="AE3048" i="1"/>
  <c r="AD3048" i="1"/>
  <c r="AC3048" i="1"/>
  <c r="AB3048" i="1"/>
  <c r="AA3048" i="1"/>
  <c r="AF3047" i="1"/>
  <c r="AE3047" i="1"/>
  <c r="AD3047" i="1"/>
  <c r="AC3047" i="1"/>
  <c r="AB3047" i="1"/>
  <c r="AA3047" i="1"/>
  <c r="AF3046" i="1"/>
  <c r="AE3046" i="1"/>
  <c r="AD3046" i="1"/>
  <c r="AC3046" i="1"/>
  <c r="AB3046" i="1"/>
  <c r="AA3046" i="1"/>
  <c r="AF3045" i="1"/>
  <c r="AE3045" i="1"/>
  <c r="AD3045" i="1"/>
  <c r="AC3045" i="1"/>
  <c r="AB3045" i="1"/>
  <c r="AA3045" i="1"/>
  <c r="AF3044" i="1"/>
  <c r="AE3044" i="1"/>
  <c r="AD3044" i="1"/>
  <c r="AC3044" i="1"/>
  <c r="AB3044" i="1"/>
  <c r="AA3044" i="1"/>
  <c r="AF3043" i="1"/>
  <c r="AE3043" i="1"/>
  <c r="AD3043" i="1"/>
  <c r="AC3043" i="1"/>
  <c r="AB3043" i="1"/>
  <c r="AA3043" i="1"/>
  <c r="AF3042" i="1"/>
  <c r="AE3042" i="1"/>
  <c r="AD3042" i="1"/>
  <c r="AC3042" i="1"/>
  <c r="AB3042" i="1"/>
  <c r="AA3042" i="1"/>
  <c r="AF3041" i="1"/>
  <c r="AE3041" i="1"/>
  <c r="AD3041" i="1"/>
  <c r="AC3041" i="1"/>
  <c r="AB3041" i="1"/>
  <c r="AA3041" i="1"/>
  <c r="AF3040" i="1"/>
  <c r="AE3040" i="1"/>
  <c r="AD3040" i="1"/>
  <c r="AC3040" i="1"/>
  <c r="AB3040" i="1"/>
  <c r="AA3040" i="1"/>
  <c r="AF3039" i="1"/>
  <c r="AE3039" i="1"/>
  <c r="AD3039" i="1"/>
  <c r="AC3039" i="1"/>
  <c r="AB3039" i="1"/>
  <c r="AA3039" i="1"/>
  <c r="AF3038" i="1"/>
  <c r="AE3038" i="1"/>
  <c r="AD3038" i="1"/>
  <c r="AC3038" i="1"/>
  <c r="AB3038" i="1"/>
  <c r="AA3038" i="1"/>
  <c r="AF3037" i="1"/>
  <c r="AE3037" i="1"/>
  <c r="AD3037" i="1"/>
  <c r="AC3037" i="1"/>
  <c r="AB3037" i="1"/>
  <c r="AA3037" i="1"/>
  <c r="AF3036" i="1"/>
  <c r="AE3036" i="1"/>
  <c r="AD3036" i="1"/>
  <c r="AC3036" i="1"/>
  <c r="AB3036" i="1"/>
  <c r="AA3036" i="1"/>
  <c r="AF3035" i="1"/>
  <c r="AE3035" i="1"/>
  <c r="AD3035" i="1"/>
  <c r="AC3035" i="1"/>
  <c r="AB3035" i="1"/>
  <c r="AA3035" i="1"/>
  <c r="AF3034" i="1"/>
  <c r="AE3034" i="1"/>
  <c r="AD3034" i="1"/>
  <c r="AC3034" i="1"/>
  <c r="AB3034" i="1"/>
  <c r="AA3034" i="1"/>
  <c r="AF3033" i="1"/>
  <c r="AE3033" i="1"/>
  <c r="AD3033" i="1"/>
  <c r="AC3033" i="1"/>
  <c r="AB3033" i="1"/>
  <c r="AA3033" i="1"/>
  <c r="AF3032" i="1"/>
  <c r="AE3032" i="1"/>
  <c r="AD3032" i="1"/>
  <c r="AC3032" i="1"/>
  <c r="AB3032" i="1"/>
  <c r="AA3032" i="1"/>
  <c r="AF3031" i="1"/>
  <c r="AE3031" i="1"/>
  <c r="AD3031" i="1"/>
  <c r="AC3031" i="1"/>
  <c r="AB3031" i="1"/>
  <c r="AA3031" i="1"/>
  <c r="AF3030" i="1"/>
  <c r="AE3030" i="1"/>
  <c r="AD3030" i="1"/>
  <c r="AC3030" i="1"/>
  <c r="AB3030" i="1"/>
  <c r="AA3030" i="1"/>
  <c r="AF3029" i="1"/>
  <c r="AE3029" i="1"/>
  <c r="AD3029" i="1"/>
  <c r="AC3029" i="1"/>
  <c r="AB3029" i="1"/>
  <c r="AA3029" i="1"/>
  <c r="AF3028" i="1"/>
  <c r="AE3028" i="1"/>
  <c r="AD3028" i="1"/>
  <c r="AC3028" i="1"/>
  <c r="AB3028" i="1"/>
  <c r="AA3028" i="1"/>
  <c r="AF3027" i="1"/>
  <c r="AE3027" i="1"/>
  <c r="AD3027" i="1"/>
  <c r="AC3027" i="1"/>
  <c r="AB3027" i="1"/>
  <c r="AA3027" i="1"/>
  <c r="AF3026" i="1"/>
  <c r="AE3026" i="1"/>
  <c r="AD3026" i="1"/>
  <c r="AC3026" i="1"/>
  <c r="AB3026" i="1"/>
  <c r="AA3026" i="1"/>
  <c r="AF3025" i="1"/>
  <c r="AE3025" i="1"/>
  <c r="AD3025" i="1"/>
  <c r="AC3025" i="1"/>
  <c r="AB3025" i="1"/>
  <c r="AA3025" i="1"/>
  <c r="AF3024" i="1"/>
  <c r="AE3024" i="1"/>
  <c r="AD3024" i="1"/>
  <c r="AC3024" i="1"/>
  <c r="AB3024" i="1"/>
  <c r="AA3024" i="1"/>
  <c r="AF3023" i="1"/>
  <c r="AE3023" i="1"/>
  <c r="AD3023" i="1"/>
  <c r="AC3023" i="1"/>
  <c r="AB3023" i="1"/>
  <c r="AA3023" i="1"/>
  <c r="AF3022" i="1"/>
  <c r="AE3022" i="1"/>
  <c r="AD3022" i="1"/>
  <c r="AC3022" i="1"/>
  <c r="AB3022" i="1"/>
  <c r="AA3022" i="1"/>
  <c r="AF3021" i="1"/>
  <c r="AE3021" i="1"/>
  <c r="AD3021" i="1"/>
  <c r="AC3021" i="1"/>
  <c r="AB3021" i="1"/>
  <c r="AA3021" i="1"/>
  <c r="AF3020" i="1"/>
  <c r="AE3020" i="1"/>
  <c r="AD3020" i="1"/>
  <c r="AC3020" i="1"/>
  <c r="AB3020" i="1"/>
  <c r="AA3020" i="1"/>
  <c r="AF3019" i="1"/>
  <c r="AE3019" i="1"/>
  <c r="AD3019" i="1"/>
  <c r="AC3019" i="1"/>
  <c r="AB3019" i="1"/>
  <c r="AA3019" i="1"/>
  <c r="AF3018" i="1"/>
  <c r="AE3018" i="1"/>
  <c r="AD3018" i="1"/>
  <c r="AC3018" i="1"/>
  <c r="AB3018" i="1"/>
  <c r="AA3018" i="1"/>
  <c r="AF3017" i="1"/>
  <c r="AE3017" i="1"/>
  <c r="AD3017" i="1"/>
  <c r="AC3017" i="1"/>
  <c r="AB3017" i="1"/>
  <c r="AA3017" i="1"/>
  <c r="AF3016" i="1"/>
  <c r="AE3016" i="1"/>
  <c r="AD3016" i="1"/>
  <c r="AC3016" i="1"/>
  <c r="AB3016" i="1"/>
  <c r="AA3016" i="1"/>
  <c r="AF3015" i="1"/>
  <c r="AE3015" i="1"/>
  <c r="AD3015" i="1"/>
  <c r="AC3015" i="1"/>
  <c r="AB3015" i="1"/>
  <c r="AA3015" i="1"/>
  <c r="AF3014" i="1"/>
  <c r="AE3014" i="1"/>
  <c r="AD3014" i="1"/>
  <c r="AC3014" i="1"/>
  <c r="AB3014" i="1"/>
  <c r="AA3014" i="1"/>
  <c r="AF3013" i="1"/>
  <c r="AE3013" i="1"/>
  <c r="AD3013" i="1"/>
  <c r="AC3013" i="1"/>
  <c r="AB3013" i="1"/>
  <c r="AA3013" i="1"/>
  <c r="AF3012" i="1"/>
  <c r="AE3012" i="1"/>
  <c r="AD3012" i="1"/>
  <c r="AC3012" i="1"/>
  <c r="AB3012" i="1"/>
  <c r="AA3012" i="1"/>
  <c r="AF3011" i="1"/>
  <c r="AE3011" i="1"/>
  <c r="AD3011" i="1"/>
  <c r="AC3011" i="1"/>
  <c r="AB3011" i="1"/>
  <c r="AA3011" i="1"/>
  <c r="AF3010" i="1"/>
  <c r="AE3010" i="1"/>
  <c r="AD3010" i="1"/>
  <c r="AC3010" i="1"/>
  <c r="AB3010" i="1"/>
  <c r="AA3010" i="1"/>
  <c r="AF3009" i="1"/>
  <c r="AE3009" i="1"/>
  <c r="AD3009" i="1"/>
  <c r="AC3009" i="1"/>
  <c r="AB3009" i="1"/>
  <c r="AA3009" i="1"/>
  <c r="AF3008" i="1"/>
  <c r="AE3008" i="1"/>
  <c r="AD3008" i="1"/>
  <c r="AC3008" i="1"/>
  <c r="AB3008" i="1"/>
  <c r="AA3008" i="1"/>
  <c r="AF3007" i="1"/>
  <c r="AE3007" i="1"/>
  <c r="AD3007" i="1"/>
  <c r="AC3007" i="1"/>
  <c r="AB3007" i="1"/>
  <c r="AA3007" i="1"/>
  <c r="AF3006" i="1"/>
  <c r="AE3006" i="1"/>
  <c r="AD3006" i="1"/>
  <c r="AC3006" i="1"/>
  <c r="AB3006" i="1"/>
  <c r="AA3006" i="1"/>
  <c r="AF3005" i="1"/>
  <c r="AE3005" i="1"/>
  <c r="AD3005" i="1"/>
  <c r="AC3005" i="1"/>
  <c r="AB3005" i="1"/>
  <c r="AA3005" i="1"/>
  <c r="AF3004" i="1"/>
  <c r="AE3004" i="1"/>
  <c r="AD3004" i="1"/>
  <c r="AC3004" i="1"/>
  <c r="AB3004" i="1"/>
  <c r="AA3004" i="1"/>
  <c r="AF3003" i="1"/>
  <c r="AE3003" i="1"/>
  <c r="AD3003" i="1"/>
  <c r="AC3003" i="1"/>
  <c r="AB3003" i="1"/>
  <c r="AA3003" i="1"/>
  <c r="AF3002" i="1"/>
  <c r="AE3002" i="1"/>
  <c r="AD3002" i="1"/>
  <c r="AC3002" i="1"/>
  <c r="AB3002" i="1"/>
  <c r="AA3002" i="1"/>
  <c r="AF3001" i="1"/>
  <c r="AE3001" i="1"/>
  <c r="AD3001" i="1"/>
  <c r="AC3001" i="1"/>
  <c r="AB3001" i="1"/>
  <c r="AA3001" i="1"/>
  <c r="AF3000" i="1"/>
  <c r="AE3000" i="1"/>
  <c r="AD3000" i="1"/>
  <c r="AC3000" i="1"/>
  <c r="AB3000" i="1"/>
  <c r="AA3000" i="1"/>
  <c r="AF2999" i="1"/>
  <c r="AE2999" i="1"/>
  <c r="AD2999" i="1"/>
  <c r="AC2999" i="1"/>
  <c r="AB2999" i="1"/>
  <c r="AA2999" i="1"/>
  <c r="AF2998" i="1"/>
  <c r="AE2998" i="1"/>
  <c r="AD2998" i="1"/>
  <c r="AC2998" i="1"/>
  <c r="AB2998" i="1"/>
  <c r="AA2998" i="1"/>
  <c r="AF2997" i="1"/>
  <c r="AE2997" i="1"/>
  <c r="AD2997" i="1"/>
  <c r="AC2997" i="1"/>
  <c r="AB2997" i="1"/>
  <c r="AA2997" i="1"/>
  <c r="AF2996" i="1"/>
  <c r="AE2996" i="1"/>
  <c r="AD2996" i="1"/>
  <c r="AC2996" i="1"/>
  <c r="AB2996" i="1"/>
  <c r="AA2996" i="1"/>
  <c r="AF2995" i="1"/>
  <c r="AE2995" i="1"/>
  <c r="AD2995" i="1"/>
  <c r="AC2995" i="1"/>
  <c r="AB2995" i="1"/>
  <c r="AA2995" i="1"/>
  <c r="AF2994" i="1"/>
  <c r="AE2994" i="1"/>
  <c r="AD2994" i="1"/>
  <c r="AC2994" i="1"/>
  <c r="AB2994" i="1"/>
  <c r="AA2994" i="1"/>
  <c r="AF2993" i="1"/>
  <c r="AE2993" i="1"/>
  <c r="AD2993" i="1"/>
  <c r="AC2993" i="1"/>
  <c r="AB2993" i="1"/>
  <c r="AA2993" i="1"/>
  <c r="AF2992" i="1"/>
  <c r="AE2992" i="1"/>
  <c r="AD2992" i="1"/>
  <c r="AC2992" i="1"/>
  <c r="AB2992" i="1"/>
  <c r="AA2992" i="1"/>
  <c r="AF2991" i="1"/>
  <c r="AE2991" i="1"/>
  <c r="AD2991" i="1"/>
  <c r="AC2991" i="1"/>
  <c r="AB2991" i="1"/>
  <c r="AA2991" i="1"/>
  <c r="AF2990" i="1"/>
  <c r="AE2990" i="1"/>
  <c r="AD2990" i="1"/>
  <c r="AC2990" i="1"/>
  <c r="AB2990" i="1"/>
  <c r="AA2990" i="1"/>
  <c r="AF2989" i="1"/>
  <c r="AE2989" i="1"/>
  <c r="AD2989" i="1"/>
  <c r="AC2989" i="1"/>
  <c r="AB2989" i="1"/>
  <c r="AA2989" i="1"/>
  <c r="AF2988" i="1"/>
  <c r="AE2988" i="1"/>
  <c r="AD2988" i="1"/>
  <c r="AC2988" i="1"/>
  <c r="AB2988" i="1"/>
  <c r="AA2988" i="1"/>
  <c r="AF2987" i="1"/>
  <c r="AE2987" i="1"/>
  <c r="AD2987" i="1"/>
  <c r="AC2987" i="1"/>
  <c r="AB2987" i="1"/>
  <c r="AA2987" i="1"/>
  <c r="AF2986" i="1"/>
  <c r="AE2986" i="1"/>
  <c r="AD2986" i="1"/>
  <c r="AC2986" i="1"/>
  <c r="AB2986" i="1"/>
  <c r="AA2986" i="1"/>
  <c r="AF2985" i="1"/>
  <c r="AE2985" i="1"/>
  <c r="AD2985" i="1"/>
  <c r="AC2985" i="1"/>
  <c r="AB2985" i="1"/>
  <c r="AA2985" i="1"/>
  <c r="AF2984" i="1"/>
  <c r="AE2984" i="1"/>
  <c r="AD2984" i="1"/>
  <c r="AC2984" i="1"/>
  <c r="AB2984" i="1"/>
  <c r="AA2984" i="1"/>
  <c r="AF2983" i="1"/>
  <c r="AE2983" i="1"/>
  <c r="AD2983" i="1"/>
  <c r="AC2983" i="1"/>
  <c r="AB2983" i="1"/>
  <c r="AA2983" i="1"/>
  <c r="AF2982" i="1"/>
  <c r="AE2982" i="1"/>
  <c r="AD2982" i="1"/>
  <c r="AC2982" i="1"/>
  <c r="AB2982" i="1"/>
  <c r="AA2982" i="1"/>
  <c r="AF2981" i="1"/>
  <c r="AE2981" i="1"/>
  <c r="AD2981" i="1"/>
  <c r="AC2981" i="1"/>
  <c r="AB2981" i="1"/>
  <c r="AA2981" i="1"/>
  <c r="AF2980" i="1"/>
  <c r="AE2980" i="1"/>
  <c r="AD2980" i="1"/>
  <c r="AC2980" i="1"/>
  <c r="AB2980" i="1"/>
  <c r="AA2980" i="1"/>
  <c r="AF2979" i="1"/>
  <c r="AE2979" i="1"/>
  <c r="AD2979" i="1"/>
  <c r="AC2979" i="1"/>
  <c r="AB2979" i="1"/>
  <c r="AA2979" i="1"/>
  <c r="AF2978" i="1"/>
  <c r="AE2978" i="1"/>
  <c r="AD2978" i="1"/>
  <c r="AC2978" i="1"/>
  <c r="AB2978" i="1"/>
  <c r="AA2978" i="1"/>
  <c r="AF2977" i="1"/>
  <c r="AE2977" i="1"/>
  <c r="AD2977" i="1"/>
  <c r="AC2977" i="1"/>
  <c r="AB2977" i="1"/>
  <c r="AA2977" i="1"/>
  <c r="AF2976" i="1"/>
  <c r="AE2976" i="1"/>
  <c r="AD2976" i="1"/>
  <c r="AC2976" i="1"/>
  <c r="AB2976" i="1"/>
  <c r="AA2976" i="1"/>
  <c r="AF2975" i="1"/>
  <c r="AE2975" i="1"/>
  <c r="AD2975" i="1"/>
  <c r="AC2975" i="1"/>
  <c r="AB2975" i="1"/>
  <c r="AA2975" i="1"/>
  <c r="AF2974" i="1"/>
  <c r="AE2974" i="1"/>
  <c r="AD2974" i="1"/>
  <c r="AC2974" i="1"/>
  <c r="AB2974" i="1"/>
  <c r="AA2974" i="1"/>
  <c r="AF2973" i="1"/>
  <c r="AE2973" i="1"/>
  <c r="AD2973" i="1"/>
  <c r="AC2973" i="1"/>
  <c r="AB2973" i="1"/>
  <c r="AA2973" i="1"/>
  <c r="AF2972" i="1"/>
  <c r="AE2972" i="1"/>
  <c r="AD2972" i="1"/>
  <c r="AC2972" i="1"/>
  <c r="AB2972" i="1"/>
  <c r="AA2972" i="1"/>
  <c r="AF2971" i="1"/>
  <c r="AE2971" i="1"/>
  <c r="AD2971" i="1"/>
  <c r="AC2971" i="1"/>
  <c r="AB2971" i="1"/>
  <c r="AA2971" i="1"/>
  <c r="AF2970" i="1"/>
  <c r="AE2970" i="1"/>
  <c r="AD2970" i="1"/>
  <c r="AC2970" i="1"/>
  <c r="AB2970" i="1"/>
  <c r="AA2970" i="1"/>
  <c r="AF2969" i="1"/>
  <c r="AE2969" i="1"/>
  <c r="AD2969" i="1"/>
  <c r="AC2969" i="1"/>
  <c r="AB2969" i="1"/>
  <c r="AA2969" i="1"/>
  <c r="AF2968" i="1"/>
  <c r="AE2968" i="1"/>
  <c r="AD2968" i="1"/>
  <c r="AC2968" i="1"/>
  <c r="AB2968" i="1"/>
  <c r="AA2968" i="1"/>
  <c r="AF2967" i="1"/>
  <c r="AE2967" i="1"/>
  <c r="AD2967" i="1"/>
  <c r="AC2967" i="1"/>
  <c r="AB2967" i="1"/>
  <c r="AA2967" i="1"/>
  <c r="AF2966" i="1"/>
  <c r="AE2966" i="1"/>
  <c r="AD2966" i="1"/>
  <c r="AC2966" i="1"/>
  <c r="AB2966" i="1"/>
  <c r="AA2966" i="1"/>
  <c r="AF2965" i="1"/>
  <c r="AE2965" i="1"/>
  <c r="AD2965" i="1"/>
  <c r="AC2965" i="1"/>
  <c r="AB2965" i="1"/>
  <c r="AA2965" i="1"/>
  <c r="AF2964" i="1"/>
  <c r="AE2964" i="1"/>
  <c r="AD2964" i="1"/>
  <c r="AC2964" i="1"/>
  <c r="AB2964" i="1"/>
  <c r="AA2964" i="1"/>
  <c r="AF2963" i="1"/>
  <c r="AE2963" i="1"/>
  <c r="AD2963" i="1"/>
  <c r="AC2963" i="1"/>
  <c r="AB2963" i="1"/>
  <c r="AA2963" i="1"/>
  <c r="AF2962" i="1"/>
  <c r="AE2962" i="1"/>
  <c r="AD2962" i="1"/>
  <c r="AC2962" i="1"/>
  <c r="AB2962" i="1"/>
  <c r="AA2962" i="1"/>
  <c r="AF2961" i="1"/>
  <c r="AE2961" i="1"/>
  <c r="AD2961" i="1"/>
  <c r="AC2961" i="1"/>
  <c r="AB2961" i="1"/>
  <c r="AA2961" i="1"/>
  <c r="AF2960" i="1"/>
  <c r="AE2960" i="1"/>
  <c r="AD2960" i="1"/>
  <c r="AC2960" i="1"/>
  <c r="AB2960" i="1"/>
  <c r="AA2960" i="1"/>
  <c r="AF2959" i="1"/>
  <c r="AE2959" i="1"/>
  <c r="AD2959" i="1"/>
  <c r="AC2959" i="1"/>
  <c r="AB2959" i="1"/>
  <c r="AA2959" i="1"/>
  <c r="AF2958" i="1"/>
  <c r="AE2958" i="1"/>
  <c r="AD2958" i="1"/>
  <c r="AC2958" i="1"/>
  <c r="AB2958" i="1"/>
  <c r="AA2958" i="1"/>
  <c r="AF2957" i="1"/>
  <c r="AE2957" i="1"/>
  <c r="AD2957" i="1"/>
  <c r="AC2957" i="1"/>
  <c r="AB2957" i="1"/>
  <c r="AA2957" i="1"/>
  <c r="AF2956" i="1"/>
  <c r="AE2956" i="1"/>
  <c r="AD2956" i="1"/>
  <c r="AC2956" i="1"/>
  <c r="AB2956" i="1"/>
  <c r="AA2956" i="1"/>
  <c r="AF2955" i="1"/>
  <c r="AE2955" i="1"/>
  <c r="AD2955" i="1"/>
  <c r="AC2955" i="1"/>
  <c r="AB2955" i="1"/>
  <c r="AA2955" i="1"/>
  <c r="AF2954" i="1"/>
  <c r="AE2954" i="1"/>
  <c r="AD2954" i="1"/>
  <c r="AC2954" i="1"/>
  <c r="AB2954" i="1"/>
  <c r="AA2954" i="1"/>
  <c r="AF2953" i="1"/>
  <c r="AE2953" i="1"/>
  <c r="AD2953" i="1"/>
  <c r="AC2953" i="1"/>
  <c r="AB2953" i="1"/>
  <c r="AA2953" i="1"/>
  <c r="AF2952" i="1"/>
  <c r="AE2952" i="1"/>
  <c r="AD2952" i="1"/>
  <c r="AC2952" i="1"/>
  <c r="AB2952" i="1"/>
  <c r="AA2952" i="1"/>
  <c r="AF2951" i="1"/>
  <c r="AE2951" i="1"/>
  <c r="AD2951" i="1"/>
  <c r="AC2951" i="1"/>
  <c r="AB2951" i="1"/>
  <c r="AA2951" i="1"/>
  <c r="AF2950" i="1"/>
  <c r="AE2950" i="1"/>
  <c r="AD2950" i="1"/>
  <c r="AC2950" i="1"/>
  <c r="AB2950" i="1"/>
  <c r="AA2950" i="1"/>
  <c r="AF2949" i="1"/>
  <c r="AE2949" i="1"/>
  <c r="AD2949" i="1"/>
  <c r="AC2949" i="1"/>
  <c r="AB2949" i="1"/>
  <c r="AA2949" i="1"/>
  <c r="AF2948" i="1"/>
  <c r="AE2948" i="1"/>
  <c r="AD2948" i="1"/>
  <c r="AC2948" i="1"/>
  <c r="AB2948" i="1"/>
  <c r="AA2948" i="1"/>
  <c r="AF2947" i="1"/>
  <c r="AE2947" i="1"/>
  <c r="AD2947" i="1"/>
  <c r="AC2947" i="1"/>
  <c r="AB2947" i="1"/>
  <c r="AA2947" i="1"/>
  <c r="AF2946" i="1"/>
  <c r="AE2946" i="1"/>
  <c r="AD2946" i="1"/>
  <c r="AC2946" i="1"/>
  <c r="AB2946" i="1"/>
  <c r="AA2946" i="1"/>
  <c r="AF2945" i="1"/>
  <c r="AE2945" i="1"/>
  <c r="AD2945" i="1"/>
  <c r="AC2945" i="1"/>
  <c r="AB2945" i="1"/>
  <c r="AA2945" i="1"/>
  <c r="AF2944" i="1"/>
  <c r="AE2944" i="1"/>
  <c r="AD2944" i="1"/>
  <c r="AC2944" i="1"/>
  <c r="AB2944" i="1"/>
  <c r="AA2944" i="1"/>
  <c r="AF2943" i="1"/>
  <c r="AE2943" i="1"/>
  <c r="AD2943" i="1"/>
  <c r="AC2943" i="1"/>
  <c r="AB2943" i="1"/>
  <c r="AA2943" i="1"/>
  <c r="AF2942" i="1"/>
  <c r="AE2942" i="1"/>
  <c r="AD2942" i="1"/>
  <c r="AC2942" i="1"/>
  <c r="AB2942" i="1"/>
  <c r="AA2942" i="1"/>
  <c r="AF2941" i="1"/>
  <c r="AE2941" i="1"/>
  <c r="AD2941" i="1"/>
  <c r="AC2941" i="1"/>
  <c r="AB2941" i="1"/>
  <c r="AA2941" i="1"/>
  <c r="AF2940" i="1"/>
  <c r="AE2940" i="1"/>
  <c r="AD2940" i="1"/>
  <c r="AC2940" i="1"/>
  <c r="AB2940" i="1"/>
  <c r="AA2940" i="1"/>
  <c r="AF2939" i="1"/>
  <c r="AE2939" i="1"/>
  <c r="AD2939" i="1"/>
  <c r="AC2939" i="1"/>
  <c r="AB2939" i="1"/>
  <c r="AA2939" i="1"/>
  <c r="AF2938" i="1"/>
  <c r="AE2938" i="1"/>
  <c r="AD2938" i="1"/>
  <c r="AC2938" i="1"/>
  <c r="AB2938" i="1"/>
  <c r="AA2938" i="1"/>
  <c r="AF2937" i="1"/>
  <c r="AE2937" i="1"/>
  <c r="AD2937" i="1"/>
  <c r="AC2937" i="1"/>
  <c r="AB2937" i="1"/>
  <c r="AA2937" i="1"/>
  <c r="AF2936" i="1"/>
  <c r="AE2936" i="1"/>
  <c r="AD2936" i="1"/>
  <c r="AC2936" i="1"/>
  <c r="AB2936" i="1"/>
  <c r="AA2936" i="1"/>
  <c r="AF2935" i="1"/>
  <c r="AE2935" i="1"/>
  <c r="AD2935" i="1"/>
  <c r="AC2935" i="1"/>
  <c r="AB2935" i="1"/>
  <c r="AA2935" i="1"/>
  <c r="AF2934" i="1"/>
  <c r="AE2934" i="1"/>
  <c r="AD2934" i="1"/>
  <c r="AC2934" i="1"/>
  <c r="AB2934" i="1"/>
  <c r="AA2934" i="1"/>
  <c r="AF2933" i="1"/>
  <c r="AE2933" i="1"/>
  <c r="AD2933" i="1"/>
  <c r="AC2933" i="1"/>
  <c r="AB2933" i="1"/>
  <c r="AA2933" i="1"/>
  <c r="AF2932" i="1"/>
  <c r="AE2932" i="1"/>
  <c r="AD2932" i="1"/>
  <c r="AC2932" i="1"/>
  <c r="AB2932" i="1"/>
  <c r="AA2932" i="1"/>
  <c r="AF2931" i="1"/>
  <c r="AE2931" i="1"/>
  <c r="AD2931" i="1"/>
  <c r="AC2931" i="1"/>
  <c r="AB2931" i="1"/>
  <c r="AA2931" i="1"/>
  <c r="AF2930" i="1"/>
  <c r="AE2930" i="1"/>
  <c r="AD2930" i="1"/>
  <c r="AC2930" i="1"/>
  <c r="AB2930" i="1"/>
  <c r="AA2930" i="1"/>
  <c r="AF2929" i="1"/>
  <c r="AE2929" i="1"/>
  <c r="AD2929" i="1"/>
  <c r="AC2929" i="1"/>
  <c r="AB2929" i="1"/>
  <c r="AA2929" i="1"/>
  <c r="AF2928" i="1"/>
  <c r="AE2928" i="1"/>
  <c r="AD2928" i="1"/>
  <c r="AC2928" i="1"/>
  <c r="AB2928" i="1"/>
  <c r="AA2928" i="1"/>
  <c r="AF2927" i="1"/>
  <c r="AE2927" i="1"/>
  <c r="AD2927" i="1"/>
  <c r="AC2927" i="1"/>
  <c r="AB2927" i="1"/>
  <c r="AA2927" i="1"/>
  <c r="AF2926" i="1"/>
  <c r="AE2926" i="1"/>
  <c r="AD2926" i="1"/>
  <c r="AC2926" i="1"/>
  <c r="AB2926" i="1"/>
  <c r="AA2926" i="1"/>
  <c r="AF2925" i="1"/>
  <c r="AE2925" i="1"/>
  <c r="AD2925" i="1"/>
  <c r="AC2925" i="1"/>
  <c r="AB2925" i="1"/>
  <c r="AA2925" i="1"/>
  <c r="AF2924" i="1"/>
  <c r="AE2924" i="1"/>
  <c r="AD2924" i="1"/>
  <c r="AC2924" i="1"/>
  <c r="AB2924" i="1"/>
  <c r="AA2924" i="1"/>
  <c r="AF2923" i="1"/>
  <c r="AE2923" i="1"/>
  <c r="AD2923" i="1"/>
  <c r="AC2923" i="1"/>
  <c r="AB2923" i="1"/>
  <c r="AA2923" i="1"/>
  <c r="AF2922" i="1"/>
  <c r="AE2922" i="1"/>
  <c r="AD2922" i="1"/>
  <c r="AC2922" i="1"/>
  <c r="AB2922" i="1"/>
  <c r="AA2922" i="1"/>
  <c r="AF2921" i="1"/>
  <c r="AE2921" i="1"/>
  <c r="AD2921" i="1"/>
  <c r="AC2921" i="1"/>
  <c r="AB2921" i="1"/>
  <c r="AA2921" i="1"/>
  <c r="AF2920" i="1"/>
  <c r="AE2920" i="1"/>
  <c r="AD2920" i="1"/>
  <c r="AC2920" i="1"/>
  <c r="AB2920" i="1"/>
  <c r="AA2920" i="1"/>
  <c r="AF2919" i="1"/>
  <c r="AE2919" i="1"/>
  <c r="AD2919" i="1"/>
  <c r="AC2919" i="1"/>
  <c r="AB2919" i="1"/>
  <c r="AA2919" i="1"/>
  <c r="AF2918" i="1"/>
  <c r="AE2918" i="1"/>
  <c r="AD2918" i="1"/>
  <c r="AC2918" i="1"/>
  <c r="AB2918" i="1"/>
  <c r="AA2918" i="1"/>
  <c r="AF2917" i="1"/>
  <c r="AE2917" i="1"/>
  <c r="AD2917" i="1"/>
  <c r="AC2917" i="1"/>
  <c r="AB2917" i="1"/>
  <c r="AA2917" i="1"/>
  <c r="AF2916" i="1"/>
  <c r="AE2916" i="1"/>
  <c r="AD2916" i="1"/>
  <c r="AC2916" i="1"/>
  <c r="AB2916" i="1"/>
  <c r="AA2916" i="1"/>
  <c r="AF2915" i="1"/>
  <c r="AE2915" i="1"/>
  <c r="AD2915" i="1"/>
  <c r="AC2915" i="1"/>
  <c r="AB2915" i="1"/>
  <c r="AA2915" i="1"/>
  <c r="AF2914" i="1"/>
  <c r="AE2914" i="1"/>
  <c r="AD2914" i="1"/>
  <c r="AC2914" i="1"/>
  <c r="AB2914" i="1"/>
  <c r="AA2914" i="1"/>
  <c r="AF2913" i="1"/>
  <c r="AE2913" i="1"/>
  <c r="AD2913" i="1"/>
  <c r="AC2913" i="1"/>
  <c r="AB2913" i="1"/>
  <c r="AA2913" i="1"/>
  <c r="AF2912" i="1"/>
  <c r="AE2912" i="1"/>
  <c r="AD2912" i="1"/>
  <c r="AC2912" i="1"/>
  <c r="AB2912" i="1"/>
  <c r="AA2912" i="1"/>
  <c r="AF2911" i="1"/>
  <c r="AE2911" i="1"/>
  <c r="AD2911" i="1"/>
  <c r="AC2911" i="1"/>
  <c r="AB2911" i="1"/>
  <c r="AA2911" i="1"/>
  <c r="AF2910" i="1"/>
  <c r="AE2910" i="1"/>
  <c r="AD2910" i="1"/>
  <c r="AC2910" i="1"/>
  <c r="AB2910" i="1"/>
  <c r="AA2910" i="1"/>
  <c r="AF2909" i="1"/>
  <c r="AE2909" i="1"/>
  <c r="AD2909" i="1"/>
  <c r="AC2909" i="1"/>
  <c r="AB2909" i="1"/>
  <c r="AA2909" i="1"/>
  <c r="AF2908" i="1"/>
  <c r="AE2908" i="1"/>
  <c r="AD2908" i="1"/>
  <c r="AC2908" i="1"/>
  <c r="AB2908" i="1"/>
  <c r="AA2908" i="1"/>
  <c r="AF2907" i="1"/>
  <c r="AE2907" i="1"/>
  <c r="AD2907" i="1"/>
  <c r="AC2907" i="1"/>
  <c r="AB2907" i="1"/>
  <c r="AA2907" i="1"/>
  <c r="AF2906" i="1"/>
  <c r="AE2906" i="1"/>
  <c r="AD2906" i="1"/>
  <c r="AC2906" i="1"/>
  <c r="AB2906" i="1"/>
  <c r="AA2906" i="1"/>
  <c r="AF2905" i="1"/>
  <c r="AE2905" i="1"/>
  <c r="AD2905" i="1"/>
  <c r="AC2905" i="1"/>
  <c r="AB2905" i="1"/>
  <c r="AA2905" i="1"/>
  <c r="AF2904" i="1"/>
  <c r="AE2904" i="1"/>
  <c r="AD2904" i="1"/>
  <c r="AC2904" i="1"/>
  <c r="AB2904" i="1"/>
  <c r="AA2904" i="1"/>
  <c r="AF2903" i="1"/>
  <c r="AE2903" i="1"/>
  <c r="AD2903" i="1"/>
  <c r="AC2903" i="1"/>
  <c r="AB2903" i="1"/>
  <c r="AA2903" i="1"/>
  <c r="AF2902" i="1"/>
  <c r="AE2902" i="1"/>
  <c r="AD2902" i="1"/>
  <c r="AC2902" i="1"/>
  <c r="AB2902" i="1"/>
  <c r="AA2902" i="1"/>
  <c r="AF2901" i="1"/>
  <c r="AE2901" i="1"/>
  <c r="AD2901" i="1"/>
  <c r="AC2901" i="1"/>
  <c r="AB2901" i="1"/>
  <c r="AA2901" i="1"/>
  <c r="AF2900" i="1"/>
  <c r="AE2900" i="1"/>
  <c r="AD2900" i="1"/>
  <c r="AC2900" i="1"/>
  <c r="AB2900" i="1"/>
  <c r="AA2900" i="1"/>
  <c r="AF2899" i="1"/>
  <c r="AE2899" i="1"/>
  <c r="AD2899" i="1"/>
  <c r="AC2899" i="1"/>
  <c r="AB2899" i="1"/>
  <c r="AA2899" i="1"/>
  <c r="AF2898" i="1"/>
  <c r="AE2898" i="1"/>
  <c r="AD2898" i="1"/>
  <c r="AC2898" i="1"/>
  <c r="AB2898" i="1"/>
  <c r="AA2898" i="1"/>
  <c r="AF2897" i="1"/>
  <c r="AE2897" i="1"/>
  <c r="AD2897" i="1"/>
  <c r="AC2897" i="1"/>
  <c r="AB2897" i="1"/>
  <c r="AA2897" i="1"/>
  <c r="AF2896" i="1"/>
  <c r="AE2896" i="1"/>
  <c r="AD2896" i="1"/>
  <c r="AC2896" i="1"/>
  <c r="AB2896" i="1"/>
  <c r="AA2896" i="1"/>
  <c r="AF2895" i="1"/>
  <c r="AE2895" i="1"/>
  <c r="AD2895" i="1"/>
  <c r="AC2895" i="1"/>
  <c r="AB2895" i="1"/>
  <c r="AA2895" i="1"/>
  <c r="AF2894" i="1"/>
  <c r="AE2894" i="1"/>
  <c r="AD2894" i="1"/>
  <c r="AC2894" i="1"/>
  <c r="AB2894" i="1"/>
  <c r="AA2894" i="1"/>
  <c r="AF2893" i="1"/>
  <c r="AE2893" i="1"/>
  <c r="AD2893" i="1"/>
  <c r="AC2893" i="1"/>
  <c r="AB2893" i="1"/>
  <c r="AA2893" i="1"/>
  <c r="AF2892" i="1"/>
  <c r="AE2892" i="1"/>
  <c r="AD2892" i="1"/>
  <c r="AC2892" i="1"/>
  <c r="AB2892" i="1"/>
  <c r="AA2892" i="1"/>
  <c r="AF2891" i="1"/>
  <c r="AE2891" i="1"/>
  <c r="AD2891" i="1"/>
  <c r="AC2891" i="1"/>
  <c r="AB2891" i="1"/>
  <c r="AA2891" i="1"/>
  <c r="AF2890" i="1"/>
  <c r="AE2890" i="1"/>
  <c r="AD2890" i="1"/>
  <c r="AC2890" i="1"/>
  <c r="AB2890" i="1"/>
  <c r="AA2890" i="1"/>
  <c r="AF2889" i="1"/>
  <c r="AE2889" i="1"/>
  <c r="AD2889" i="1"/>
  <c r="AC2889" i="1"/>
  <c r="AB2889" i="1"/>
  <c r="AA2889" i="1"/>
  <c r="AF2888" i="1"/>
  <c r="AE2888" i="1"/>
  <c r="AD2888" i="1"/>
  <c r="AC2888" i="1"/>
  <c r="AB2888" i="1"/>
  <c r="AA2888" i="1"/>
  <c r="AF2887" i="1"/>
  <c r="AE2887" i="1"/>
  <c r="AD2887" i="1"/>
  <c r="AC2887" i="1"/>
  <c r="AB2887" i="1"/>
  <c r="AA2887" i="1"/>
  <c r="AF2886" i="1"/>
  <c r="AE2886" i="1"/>
  <c r="AD2886" i="1"/>
  <c r="AC2886" i="1"/>
  <c r="AB2886" i="1"/>
  <c r="AA2886" i="1"/>
  <c r="AF2885" i="1"/>
  <c r="AE2885" i="1"/>
  <c r="AD2885" i="1"/>
  <c r="AC2885" i="1"/>
  <c r="AB2885" i="1"/>
  <c r="AA2885" i="1"/>
  <c r="AF2884" i="1"/>
  <c r="AE2884" i="1"/>
  <c r="AD2884" i="1"/>
  <c r="AC2884" i="1"/>
  <c r="AB2884" i="1"/>
  <c r="AA2884" i="1"/>
  <c r="AF2883" i="1"/>
  <c r="AE2883" i="1"/>
  <c r="AD2883" i="1"/>
  <c r="AC2883" i="1"/>
  <c r="AB2883" i="1"/>
  <c r="AA2883" i="1"/>
  <c r="AF2882" i="1"/>
  <c r="AE2882" i="1"/>
  <c r="AD2882" i="1"/>
  <c r="AC2882" i="1"/>
  <c r="AB2882" i="1"/>
  <c r="AA2882" i="1"/>
  <c r="AF2881" i="1"/>
  <c r="AE2881" i="1"/>
  <c r="AD2881" i="1"/>
  <c r="AC2881" i="1"/>
  <c r="AB2881" i="1"/>
  <c r="AA2881" i="1"/>
  <c r="AF2880" i="1"/>
  <c r="AE2880" i="1"/>
  <c r="AD2880" i="1"/>
  <c r="AC2880" i="1"/>
  <c r="AB2880" i="1"/>
  <c r="AA2880" i="1"/>
  <c r="AF2879" i="1"/>
  <c r="AE2879" i="1"/>
  <c r="AD2879" i="1"/>
  <c r="AC2879" i="1"/>
  <c r="AB2879" i="1"/>
  <c r="AA2879" i="1"/>
  <c r="AF2878" i="1"/>
  <c r="AE2878" i="1"/>
  <c r="AD2878" i="1"/>
  <c r="AC2878" i="1"/>
  <c r="AB2878" i="1"/>
  <c r="AA2878" i="1"/>
  <c r="AF2877" i="1"/>
  <c r="AE2877" i="1"/>
  <c r="AD2877" i="1"/>
  <c r="AC2877" i="1"/>
  <c r="AB2877" i="1"/>
  <c r="AA2877" i="1"/>
  <c r="AF2876" i="1"/>
  <c r="AE2876" i="1"/>
  <c r="AD2876" i="1"/>
  <c r="AC2876" i="1"/>
  <c r="AB2876" i="1"/>
  <c r="AA2876" i="1"/>
  <c r="AF2875" i="1"/>
  <c r="AE2875" i="1"/>
  <c r="AD2875" i="1"/>
  <c r="AC2875" i="1"/>
  <c r="AB2875" i="1"/>
  <c r="AA2875" i="1"/>
  <c r="AF2874" i="1"/>
  <c r="AE2874" i="1"/>
  <c r="AD2874" i="1"/>
  <c r="AC2874" i="1"/>
  <c r="AB2874" i="1"/>
  <c r="AA2874" i="1"/>
  <c r="AF2873" i="1"/>
  <c r="AE2873" i="1"/>
  <c r="AD2873" i="1"/>
  <c r="AC2873" i="1"/>
  <c r="AB2873" i="1"/>
  <c r="AA2873" i="1"/>
  <c r="AF2872" i="1"/>
  <c r="AE2872" i="1"/>
  <c r="AD2872" i="1"/>
  <c r="AC2872" i="1"/>
  <c r="AB2872" i="1"/>
  <c r="AA2872" i="1"/>
  <c r="AF2871" i="1"/>
  <c r="AE2871" i="1"/>
  <c r="AD2871" i="1"/>
  <c r="AC2871" i="1"/>
  <c r="AB2871" i="1"/>
  <c r="AA2871" i="1"/>
  <c r="AF2870" i="1"/>
  <c r="AE2870" i="1"/>
  <c r="AD2870" i="1"/>
  <c r="AC2870" i="1"/>
  <c r="AB2870" i="1"/>
  <c r="AA2870" i="1"/>
  <c r="AF2869" i="1"/>
  <c r="AE2869" i="1"/>
  <c r="AD2869" i="1"/>
  <c r="AC2869" i="1"/>
  <c r="AB2869" i="1"/>
  <c r="AA2869" i="1"/>
  <c r="AF2868" i="1"/>
  <c r="AE2868" i="1"/>
  <c r="AD2868" i="1"/>
  <c r="AC2868" i="1"/>
  <c r="AB2868" i="1"/>
  <c r="AA2868" i="1"/>
  <c r="AF2867" i="1"/>
  <c r="AE2867" i="1"/>
  <c r="AD2867" i="1"/>
  <c r="AC2867" i="1"/>
  <c r="AB2867" i="1"/>
  <c r="AA2867" i="1"/>
  <c r="AF2866" i="1"/>
  <c r="AE2866" i="1"/>
  <c r="AD2866" i="1"/>
  <c r="AC2866" i="1"/>
  <c r="AB2866" i="1"/>
  <c r="AA2866" i="1"/>
  <c r="AF2865" i="1"/>
  <c r="AE2865" i="1"/>
  <c r="AD2865" i="1"/>
  <c r="AC2865" i="1"/>
  <c r="AB2865" i="1"/>
  <c r="AA2865" i="1"/>
  <c r="AF2864" i="1"/>
  <c r="AE2864" i="1"/>
  <c r="AD2864" i="1"/>
  <c r="AC2864" i="1"/>
  <c r="AB2864" i="1"/>
  <c r="AA2864" i="1"/>
  <c r="AF2863" i="1"/>
  <c r="AE2863" i="1"/>
  <c r="AD2863" i="1"/>
  <c r="AC2863" i="1"/>
  <c r="AB2863" i="1"/>
  <c r="AA2863" i="1"/>
  <c r="AF2862" i="1"/>
  <c r="AE2862" i="1"/>
  <c r="AD2862" i="1"/>
  <c r="AC2862" i="1"/>
  <c r="AB2862" i="1"/>
  <c r="AA2862" i="1"/>
  <c r="AF2861" i="1"/>
  <c r="AE2861" i="1"/>
  <c r="AD2861" i="1"/>
  <c r="AC2861" i="1"/>
  <c r="AB2861" i="1"/>
  <c r="AA2861" i="1"/>
  <c r="AF2860" i="1"/>
  <c r="AE2860" i="1"/>
  <c r="AD2860" i="1"/>
  <c r="AC2860" i="1"/>
  <c r="AB2860" i="1"/>
  <c r="AA2860" i="1"/>
  <c r="AF2859" i="1"/>
  <c r="AE2859" i="1"/>
  <c r="AD2859" i="1"/>
  <c r="AC2859" i="1"/>
  <c r="AB2859" i="1"/>
  <c r="AA2859" i="1"/>
  <c r="AF2858" i="1"/>
  <c r="AE2858" i="1"/>
  <c r="AD2858" i="1"/>
  <c r="AC2858" i="1"/>
  <c r="AB2858" i="1"/>
  <c r="AA2858" i="1"/>
  <c r="AF2857" i="1"/>
  <c r="AE2857" i="1"/>
  <c r="AD2857" i="1"/>
  <c r="AC2857" i="1"/>
  <c r="AB2857" i="1"/>
  <c r="AA2857" i="1"/>
  <c r="AF2856" i="1"/>
  <c r="AE2856" i="1"/>
  <c r="AD2856" i="1"/>
  <c r="AC2856" i="1"/>
  <c r="AB2856" i="1"/>
  <c r="AA2856" i="1"/>
  <c r="AF2855" i="1"/>
  <c r="AE2855" i="1"/>
  <c r="AD2855" i="1"/>
  <c r="AC2855" i="1"/>
  <c r="AB2855" i="1"/>
  <c r="AA2855" i="1"/>
  <c r="AF2854" i="1"/>
  <c r="AE2854" i="1"/>
  <c r="AD2854" i="1"/>
  <c r="AC2854" i="1"/>
  <c r="AB2854" i="1"/>
  <c r="AA2854" i="1"/>
  <c r="AF2853" i="1"/>
  <c r="AE2853" i="1"/>
  <c r="AD2853" i="1"/>
  <c r="AC2853" i="1"/>
  <c r="AB2853" i="1"/>
  <c r="AA2853" i="1"/>
  <c r="AF2852" i="1"/>
  <c r="AE2852" i="1"/>
  <c r="AD2852" i="1"/>
  <c r="AC2852" i="1"/>
  <c r="AB2852" i="1"/>
  <c r="AA2852" i="1"/>
  <c r="AF2851" i="1"/>
  <c r="AE2851" i="1"/>
  <c r="AD2851" i="1"/>
  <c r="AC2851" i="1"/>
  <c r="AB2851" i="1"/>
  <c r="AA2851" i="1"/>
  <c r="AF2850" i="1"/>
  <c r="AE2850" i="1"/>
  <c r="AD2850" i="1"/>
  <c r="AC2850" i="1"/>
  <c r="AB2850" i="1"/>
  <c r="AA2850" i="1"/>
  <c r="AF2849" i="1"/>
  <c r="AE2849" i="1"/>
  <c r="AD2849" i="1"/>
  <c r="AC2849" i="1"/>
  <c r="AB2849" i="1"/>
  <c r="AA2849" i="1"/>
  <c r="AF2848" i="1"/>
  <c r="AE2848" i="1"/>
  <c r="AD2848" i="1"/>
  <c r="AC2848" i="1"/>
  <c r="AB2848" i="1"/>
  <c r="AA2848" i="1"/>
  <c r="AF2847" i="1"/>
  <c r="AE2847" i="1"/>
  <c r="AD2847" i="1"/>
  <c r="AC2847" i="1"/>
  <c r="AB2847" i="1"/>
  <c r="AA2847" i="1"/>
  <c r="AF2846" i="1"/>
  <c r="AE2846" i="1"/>
  <c r="AD2846" i="1"/>
  <c r="AC2846" i="1"/>
  <c r="AB2846" i="1"/>
  <c r="AA2846" i="1"/>
  <c r="AF2845" i="1"/>
  <c r="AE2845" i="1"/>
  <c r="AD2845" i="1"/>
  <c r="AC2845" i="1"/>
  <c r="AB2845" i="1"/>
  <c r="AA2845" i="1"/>
  <c r="AF2844" i="1"/>
  <c r="AE2844" i="1"/>
  <c r="AD2844" i="1"/>
  <c r="AC2844" i="1"/>
  <c r="AB2844" i="1"/>
  <c r="AA2844" i="1"/>
  <c r="AF2843" i="1"/>
  <c r="AE2843" i="1"/>
  <c r="AD2843" i="1"/>
  <c r="AC2843" i="1"/>
  <c r="AB2843" i="1"/>
  <c r="AA2843" i="1"/>
  <c r="AF2842" i="1"/>
  <c r="AE2842" i="1"/>
  <c r="AD2842" i="1"/>
  <c r="AC2842" i="1"/>
  <c r="AB2842" i="1"/>
  <c r="AA2842" i="1"/>
  <c r="AF2841" i="1"/>
  <c r="AE2841" i="1"/>
  <c r="AD2841" i="1"/>
  <c r="AC2841" i="1"/>
  <c r="AB2841" i="1"/>
  <c r="AA2841" i="1"/>
  <c r="AF2840" i="1"/>
  <c r="AE2840" i="1"/>
  <c r="AD2840" i="1"/>
  <c r="AC2840" i="1"/>
  <c r="AB2840" i="1"/>
  <c r="AA2840" i="1"/>
  <c r="AF2839" i="1"/>
  <c r="AE2839" i="1"/>
  <c r="AD2839" i="1"/>
  <c r="AC2839" i="1"/>
  <c r="AB2839" i="1"/>
  <c r="AA2839" i="1"/>
  <c r="AF2838" i="1"/>
  <c r="AE2838" i="1"/>
  <c r="AD2838" i="1"/>
  <c r="AC2838" i="1"/>
  <c r="AB2838" i="1"/>
  <c r="AA2838" i="1"/>
  <c r="AF2837" i="1"/>
  <c r="AE2837" i="1"/>
  <c r="AD2837" i="1"/>
  <c r="AC2837" i="1"/>
  <c r="AB2837" i="1"/>
  <c r="AA2837" i="1"/>
  <c r="AF2836" i="1"/>
  <c r="AE2836" i="1"/>
  <c r="AD2836" i="1"/>
  <c r="AC2836" i="1"/>
  <c r="AB2836" i="1"/>
  <c r="AA2836" i="1"/>
  <c r="AF2835" i="1"/>
  <c r="AE2835" i="1"/>
  <c r="AD2835" i="1"/>
  <c r="AC2835" i="1"/>
  <c r="AB2835" i="1"/>
  <c r="AA2835" i="1"/>
  <c r="AF2834" i="1"/>
  <c r="AE2834" i="1"/>
  <c r="AD2834" i="1"/>
  <c r="AC2834" i="1"/>
  <c r="AB2834" i="1"/>
  <c r="AA2834" i="1"/>
  <c r="AF2833" i="1"/>
  <c r="AE2833" i="1"/>
  <c r="AD2833" i="1"/>
  <c r="AC2833" i="1"/>
  <c r="AB2833" i="1"/>
  <c r="AA2833" i="1"/>
  <c r="AF2832" i="1"/>
  <c r="AE2832" i="1"/>
  <c r="AD2832" i="1"/>
  <c r="AC2832" i="1"/>
  <c r="AB2832" i="1"/>
  <c r="AA2832" i="1"/>
  <c r="AF2831" i="1"/>
  <c r="AE2831" i="1"/>
  <c r="AD2831" i="1"/>
  <c r="AC2831" i="1"/>
  <c r="AB2831" i="1"/>
  <c r="AA2831" i="1"/>
  <c r="AF2830" i="1"/>
  <c r="AE2830" i="1"/>
  <c r="AD2830" i="1"/>
  <c r="AC2830" i="1"/>
  <c r="AB2830" i="1"/>
  <c r="AA2830" i="1"/>
  <c r="AF2829" i="1"/>
  <c r="AE2829" i="1"/>
  <c r="AD2829" i="1"/>
  <c r="AC2829" i="1"/>
  <c r="AB2829" i="1"/>
  <c r="AA2829" i="1"/>
  <c r="AF2828" i="1"/>
  <c r="AE2828" i="1"/>
  <c r="AD2828" i="1"/>
  <c r="AC2828" i="1"/>
  <c r="AB2828" i="1"/>
  <c r="AA2828" i="1"/>
  <c r="AF2827" i="1"/>
  <c r="AE2827" i="1"/>
  <c r="AD2827" i="1"/>
  <c r="AC2827" i="1"/>
  <c r="AB2827" i="1"/>
  <c r="AA2827" i="1"/>
  <c r="AF2826" i="1"/>
  <c r="AE2826" i="1"/>
  <c r="AD2826" i="1"/>
  <c r="AC2826" i="1"/>
  <c r="AB2826" i="1"/>
  <c r="AA2826" i="1"/>
  <c r="AF2825" i="1"/>
  <c r="AE2825" i="1"/>
  <c r="AD2825" i="1"/>
  <c r="AC2825" i="1"/>
  <c r="AB2825" i="1"/>
  <c r="AA2825" i="1"/>
  <c r="AF2824" i="1"/>
  <c r="AE2824" i="1"/>
  <c r="AD2824" i="1"/>
  <c r="AC2824" i="1"/>
  <c r="AB2824" i="1"/>
  <c r="AA2824" i="1"/>
  <c r="AF2823" i="1"/>
  <c r="AE2823" i="1"/>
  <c r="AD2823" i="1"/>
  <c r="AC2823" i="1"/>
  <c r="AB2823" i="1"/>
  <c r="AA2823" i="1"/>
  <c r="AF2822" i="1"/>
  <c r="AE2822" i="1"/>
  <c r="AD2822" i="1"/>
  <c r="AC2822" i="1"/>
  <c r="AB2822" i="1"/>
  <c r="AA2822" i="1"/>
  <c r="AF2821" i="1"/>
  <c r="AE2821" i="1"/>
  <c r="AD2821" i="1"/>
  <c r="AC2821" i="1"/>
  <c r="AB2821" i="1"/>
  <c r="AA2821" i="1"/>
  <c r="AF2820" i="1"/>
  <c r="AE2820" i="1"/>
  <c r="AD2820" i="1"/>
  <c r="AC2820" i="1"/>
  <c r="AB2820" i="1"/>
  <c r="AA2820" i="1"/>
  <c r="AF2819" i="1"/>
  <c r="AE2819" i="1"/>
  <c r="AD2819" i="1"/>
  <c r="AC2819" i="1"/>
  <c r="AB2819" i="1"/>
  <c r="AA2819" i="1"/>
  <c r="AF2818" i="1"/>
  <c r="AE2818" i="1"/>
  <c r="AD2818" i="1"/>
  <c r="AC2818" i="1"/>
  <c r="AB2818" i="1"/>
  <c r="AA2818" i="1"/>
  <c r="AF2817" i="1"/>
  <c r="AE2817" i="1"/>
  <c r="AD2817" i="1"/>
  <c r="AC2817" i="1"/>
  <c r="AB2817" i="1"/>
  <c r="AA2817" i="1"/>
  <c r="AF2816" i="1"/>
  <c r="AE2816" i="1"/>
  <c r="AD2816" i="1"/>
  <c r="AC2816" i="1"/>
  <c r="AB2816" i="1"/>
  <c r="AA2816" i="1"/>
  <c r="AF2815" i="1"/>
  <c r="AE2815" i="1"/>
  <c r="AD2815" i="1"/>
  <c r="AC2815" i="1"/>
  <c r="AB2815" i="1"/>
  <c r="AA2815" i="1"/>
  <c r="AF2814" i="1"/>
  <c r="AE2814" i="1"/>
  <c r="AD2814" i="1"/>
  <c r="AC2814" i="1"/>
  <c r="AB2814" i="1"/>
  <c r="AA2814" i="1"/>
  <c r="AF2813" i="1"/>
  <c r="AE2813" i="1"/>
  <c r="AD2813" i="1"/>
  <c r="AC2813" i="1"/>
  <c r="AB2813" i="1"/>
  <c r="AA2813" i="1"/>
  <c r="AF2812" i="1"/>
  <c r="AE2812" i="1"/>
  <c r="AD2812" i="1"/>
  <c r="AC2812" i="1"/>
  <c r="AB2812" i="1"/>
  <c r="AA2812" i="1"/>
  <c r="AF2811" i="1"/>
  <c r="AE2811" i="1"/>
  <c r="AD2811" i="1"/>
  <c r="AC2811" i="1"/>
  <c r="AB2811" i="1"/>
  <c r="AA2811" i="1"/>
  <c r="AF2810" i="1"/>
  <c r="AE2810" i="1"/>
  <c r="AD2810" i="1"/>
  <c r="AC2810" i="1"/>
  <c r="AB2810" i="1"/>
  <c r="AA2810" i="1"/>
  <c r="AF2809" i="1"/>
  <c r="AE2809" i="1"/>
  <c r="AD2809" i="1"/>
  <c r="AC2809" i="1"/>
  <c r="AB2809" i="1"/>
  <c r="AA2809" i="1"/>
  <c r="AF2808" i="1"/>
  <c r="AE2808" i="1"/>
  <c r="AD2808" i="1"/>
  <c r="AC2808" i="1"/>
  <c r="AB2808" i="1"/>
  <c r="AA2808" i="1"/>
  <c r="AF2807" i="1"/>
  <c r="AE2807" i="1"/>
  <c r="AD2807" i="1"/>
  <c r="AC2807" i="1"/>
  <c r="AB2807" i="1"/>
  <c r="AA2807" i="1"/>
  <c r="AF2806" i="1"/>
  <c r="AE2806" i="1"/>
  <c r="AD2806" i="1"/>
  <c r="AC2806" i="1"/>
  <c r="AB2806" i="1"/>
  <c r="AA2806" i="1"/>
  <c r="AF2805" i="1"/>
  <c r="AE2805" i="1"/>
  <c r="AD2805" i="1"/>
  <c r="AC2805" i="1"/>
  <c r="AB2805" i="1"/>
  <c r="AA2805" i="1"/>
  <c r="AF2804" i="1"/>
  <c r="AE2804" i="1"/>
  <c r="AD2804" i="1"/>
  <c r="AC2804" i="1"/>
  <c r="AB2804" i="1"/>
  <c r="AA2804" i="1"/>
  <c r="AF2803" i="1"/>
  <c r="AE2803" i="1"/>
  <c r="AD2803" i="1"/>
  <c r="AC2803" i="1"/>
  <c r="AB2803" i="1"/>
  <c r="AA2803" i="1"/>
  <c r="AF2802" i="1"/>
  <c r="AE2802" i="1"/>
  <c r="AD2802" i="1"/>
  <c r="AC2802" i="1"/>
  <c r="AB2802" i="1"/>
  <c r="AA2802" i="1"/>
  <c r="AF2801" i="1"/>
  <c r="AE2801" i="1"/>
  <c r="AD2801" i="1"/>
  <c r="AC2801" i="1"/>
  <c r="AB2801" i="1"/>
  <c r="AA2801" i="1"/>
  <c r="AF2800" i="1"/>
  <c r="AE2800" i="1"/>
  <c r="AD2800" i="1"/>
  <c r="AC2800" i="1"/>
  <c r="AB2800" i="1"/>
  <c r="AA2800" i="1"/>
  <c r="AF2799" i="1"/>
  <c r="AE2799" i="1"/>
  <c r="AD2799" i="1"/>
  <c r="AC2799" i="1"/>
  <c r="AB2799" i="1"/>
  <c r="AA2799" i="1"/>
  <c r="AF2798" i="1"/>
  <c r="AE2798" i="1"/>
  <c r="AD2798" i="1"/>
  <c r="AC2798" i="1"/>
  <c r="AB2798" i="1"/>
  <c r="AA2798" i="1"/>
  <c r="AF2797" i="1"/>
  <c r="AE2797" i="1"/>
  <c r="AD2797" i="1"/>
  <c r="AC2797" i="1"/>
  <c r="AB2797" i="1"/>
  <c r="AA2797" i="1"/>
  <c r="AF2796" i="1"/>
  <c r="AE2796" i="1"/>
  <c r="AD2796" i="1"/>
  <c r="AC2796" i="1"/>
  <c r="AB2796" i="1"/>
  <c r="AA2796" i="1"/>
  <c r="AF2795" i="1"/>
  <c r="AE2795" i="1"/>
  <c r="AD2795" i="1"/>
  <c r="AC2795" i="1"/>
  <c r="AB2795" i="1"/>
  <c r="AA2795" i="1"/>
  <c r="AF2794" i="1"/>
  <c r="AE2794" i="1"/>
  <c r="AD2794" i="1"/>
  <c r="AC2794" i="1"/>
  <c r="AB2794" i="1"/>
  <c r="AA2794" i="1"/>
  <c r="AF2793" i="1"/>
  <c r="AE2793" i="1"/>
  <c r="AD2793" i="1"/>
  <c r="AC2793" i="1"/>
  <c r="AB2793" i="1"/>
  <c r="AA2793" i="1"/>
  <c r="AF2792" i="1"/>
  <c r="AE2792" i="1"/>
  <c r="AD2792" i="1"/>
  <c r="AC2792" i="1"/>
  <c r="AB2792" i="1"/>
  <c r="AA2792" i="1"/>
  <c r="AF2791" i="1"/>
  <c r="AE2791" i="1"/>
  <c r="AD2791" i="1"/>
  <c r="AC2791" i="1"/>
  <c r="AB2791" i="1"/>
  <c r="AA2791" i="1"/>
  <c r="AF2790" i="1"/>
  <c r="AE2790" i="1"/>
  <c r="AD2790" i="1"/>
  <c r="AC2790" i="1"/>
  <c r="AB2790" i="1"/>
  <c r="AA2790" i="1"/>
  <c r="AF2789" i="1"/>
  <c r="AE2789" i="1"/>
  <c r="AD2789" i="1"/>
  <c r="AC2789" i="1"/>
  <c r="AB2789" i="1"/>
  <c r="AA2789" i="1"/>
  <c r="AF2788" i="1"/>
  <c r="AE2788" i="1"/>
  <c r="AD2788" i="1"/>
  <c r="AC2788" i="1"/>
  <c r="AB2788" i="1"/>
  <c r="AA2788" i="1"/>
  <c r="AF2787" i="1"/>
  <c r="AE2787" i="1"/>
  <c r="AD2787" i="1"/>
  <c r="AC2787" i="1"/>
  <c r="AB2787" i="1"/>
  <c r="AA2787" i="1"/>
  <c r="AF2786" i="1"/>
  <c r="AE2786" i="1"/>
  <c r="AD2786" i="1"/>
  <c r="AC2786" i="1"/>
  <c r="AB2786" i="1"/>
  <c r="AA2786" i="1"/>
  <c r="AF2785" i="1"/>
  <c r="AE2785" i="1"/>
  <c r="AD2785" i="1"/>
  <c r="AC2785" i="1"/>
  <c r="AB2785" i="1"/>
  <c r="AA2785" i="1"/>
  <c r="AF2784" i="1"/>
  <c r="AE2784" i="1"/>
  <c r="AD2784" i="1"/>
  <c r="AC2784" i="1"/>
  <c r="AB2784" i="1"/>
  <c r="AA2784" i="1"/>
  <c r="AF2783" i="1"/>
  <c r="AE2783" i="1"/>
  <c r="AD2783" i="1"/>
  <c r="AC2783" i="1"/>
  <c r="AB2783" i="1"/>
  <c r="AA2783" i="1"/>
  <c r="AF2782" i="1"/>
  <c r="AE2782" i="1"/>
  <c r="AD2782" i="1"/>
  <c r="AC2782" i="1"/>
  <c r="AB2782" i="1"/>
  <c r="AA2782" i="1"/>
  <c r="AF2781" i="1"/>
  <c r="AE2781" i="1"/>
  <c r="AD2781" i="1"/>
  <c r="AC2781" i="1"/>
  <c r="AB2781" i="1"/>
  <c r="AA2781" i="1"/>
  <c r="AF2780" i="1"/>
  <c r="AE2780" i="1"/>
  <c r="AD2780" i="1"/>
  <c r="AC2780" i="1"/>
  <c r="AB2780" i="1"/>
  <c r="AA2780" i="1"/>
  <c r="AF2779" i="1"/>
  <c r="AE2779" i="1"/>
  <c r="AD2779" i="1"/>
  <c r="AC2779" i="1"/>
  <c r="AB2779" i="1"/>
  <c r="AA2779" i="1"/>
  <c r="AF2778" i="1"/>
  <c r="AE2778" i="1"/>
  <c r="AD2778" i="1"/>
  <c r="AC2778" i="1"/>
  <c r="AB2778" i="1"/>
  <c r="AA2778" i="1"/>
  <c r="AF2777" i="1"/>
  <c r="AE2777" i="1"/>
  <c r="AD2777" i="1"/>
  <c r="AC2777" i="1"/>
  <c r="AB2777" i="1"/>
  <c r="AA2777" i="1"/>
  <c r="AF2776" i="1"/>
  <c r="AE2776" i="1"/>
  <c r="AD2776" i="1"/>
  <c r="AC2776" i="1"/>
  <c r="AB2776" i="1"/>
  <c r="AA2776" i="1"/>
  <c r="AF2775" i="1"/>
  <c r="AE2775" i="1"/>
  <c r="AD2775" i="1"/>
  <c r="AC2775" i="1"/>
  <c r="AB2775" i="1"/>
  <c r="AA2775" i="1"/>
  <c r="AF2774" i="1"/>
  <c r="AE2774" i="1"/>
  <c r="AD2774" i="1"/>
  <c r="AC2774" i="1"/>
  <c r="AB2774" i="1"/>
  <c r="AA2774" i="1"/>
  <c r="AF2773" i="1"/>
  <c r="AE2773" i="1"/>
  <c r="AD2773" i="1"/>
  <c r="AC2773" i="1"/>
  <c r="AB2773" i="1"/>
  <c r="AA2773" i="1"/>
  <c r="AF2772" i="1"/>
  <c r="AE2772" i="1"/>
  <c r="AD2772" i="1"/>
  <c r="AC2772" i="1"/>
  <c r="AB2772" i="1"/>
  <c r="AA2772" i="1"/>
  <c r="AF2771" i="1"/>
  <c r="AE2771" i="1"/>
  <c r="AD2771" i="1"/>
  <c r="AC2771" i="1"/>
  <c r="AB2771" i="1"/>
  <c r="AA2771" i="1"/>
  <c r="AF2770" i="1"/>
  <c r="AE2770" i="1"/>
  <c r="AD2770" i="1"/>
  <c r="AC2770" i="1"/>
  <c r="AB2770" i="1"/>
  <c r="AA2770" i="1"/>
  <c r="AF2769" i="1"/>
  <c r="AE2769" i="1"/>
  <c r="AD2769" i="1"/>
  <c r="AC2769" i="1"/>
  <c r="AB2769" i="1"/>
  <c r="AA2769" i="1"/>
  <c r="AF2768" i="1"/>
  <c r="AE2768" i="1"/>
  <c r="AD2768" i="1"/>
  <c r="AC2768" i="1"/>
  <c r="AB2768" i="1"/>
  <c r="AA2768" i="1"/>
  <c r="AF2767" i="1"/>
  <c r="AE2767" i="1"/>
  <c r="AD2767" i="1"/>
  <c r="AC2767" i="1"/>
  <c r="AB2767" i="1"/>
  <c r="AA2767" i="1"/>
  <c r="AF2766" i="1"/>
  <c r="AE2766" i="1"/>
  <c r="AD2766" i="1"/>
  <c r="AC2766" i="1"/>
  <c r="AB2766" i="1"/>
  <c r="AA2766" i="1"/>
  <c r="AF2765" i="1"/>
  <c r="AE2765" i="1"/>
  <c r="AD2765" i="1"/>
  <c r="AC2765" i="1"/>
  <c r="AB2765" i="1"/>
  <c r="AA2765" i="1"/>
  <c r="AF2764" i="1"/>
  <c r="AE2764" i="1"/>
  <c r="AD2764" i="1"/>
  <c r="AC2764" i="1"/>
  <c r="AB2764" i="1"/>
  <c r="AA2764" i="1"/>
  <c r="AF2763" i="1"/>
  <c r="AE2763" i="1"/>
  <c r="AD2763" i="1"/>
  <c r="AC2763" i="1"/>
  <c r="AB2763" i="1"/>
  <c r="AA2763" i="1"/>
  <c r="AF2762" i="1"/>
  <c r="AE2762" i="1"/>
  <c r="AD2762" i="1"/>
  <c r="AC2762" i="1"/>
  <c r="AB2762" i="1"/>
  <c r="AA2762" i="1"/>
  <c r="AF2761" i="1"/>
  <c r="AE2761" i="1"/>
  <c r="AD2761" i="1"/>
  <c r="AC2761" i="1"/>
  <c r="AB2761" i="1"/>
  <c r="AA2761" i="1"/>
  <c r="AF2760" i="1"/>
  <c r="AE2760" i="1"/>
  <c r="AD2760" i="1"/>
  <c r="AC2760" i="1"/>
  <c r="AB2760" i="1"/>
  <c r="AA2760" i="1"/>
  <c r="AF2759" i="1"/>
  <c r="AE2759" i="1"/>
  <c r="AD2759" i="1"/>
  <c r="AC2759" i="1"/>
  <c r="AB2759" i="1"/>
  <c r="AA2759" i="1"/>
  <c r="AF2758" i="1"/>
  <c r="AE2758" i="1"/>
  <c r="AD2758" i="1"/>
  <c r="AC2758" i="1"/>
  <c r="AB2758" i="1"/>
  <c r="AA2758" i="1"/>
  <c r="AF2757" i="1"/>
  <c r="AE2757" i="1"/>
  <c r="AD2757" i="1"/>
  <c r="AC2757" i="1"/>
  <c r="AB2757" i="1"/>
  <c r="AA2757" i="1"/>
  <c r="AF2756" i="1"/>
  <c r="AE2756" i="1"/>
  <c r="AD2756" i="1"/>
  <c r="AC2756" i="1"/>
  <c r="AB2756" i="1"/>
  <c r="AA2756" i="1"/>
  <c r="AF2755" i="1"/>
  <c r="AE2755" i="1"/>
  <c r="AD2755" i="1"/>
  <c r="AC2755" i="1"/>
  <c r="AB2755" i="1"/>
  <c r="AA2755" i="1"/>
  <c r="AF2754" i="1"/>
  <c r="AE2754" i="1"/>
  <c r="AD2754" i="1"/>
  <c r="AC2754" i="1"/>
  <c r="AB2754" i="1"/>
  <c r="AA2754" i="1"/>
  <c r="AF2753" i="1"/>
  <c r="AE2753" i="1"/>
  <c r="AD2753" i="1"/>
  <c r="AC2753" i="1"/>
  <c r="AB2753" i="1"/>
  <c r="AA2753" i="1"/>
  <c r="AF2752" i="1"/>
  <c r="AE2752" i="1"/>
  <c r="AD2752" i="1"/>
  <c r="AC2752" i="1"/>
  <c r="AB2752" i="1"/>
  <c r="AA2752" i="1"/>
  <c r="AF2751" i="1"/>
  <c r="AE2751" i="1"/>
  <c r="AD2751" i="1"/>
  <c r="AC2751" i="1"/>
  <c r="AB2751" i="1"/>
  <c r="AA2751" i="1"/>
  <c r="AF2750" i="1"/>
  <c r="AE2750" i="1"/>
  <c r="AD2750" i="1"/>
  <c r="AC2750" i="1"/>
  <c r="AB2750" i="1"/>
  <c r="AA2750" i="1"/>
  <c r="AF2749" i="1"/>
  <c r="AE2749" i="1"/>
  <c r="AD2749" i="1"/>
  <c r="AC2749" i="1"/>
  <c r="AB2749" i="1"/>
  <c r="AA2749" i="1"/>
  <c r="AF2748" i="1"/>
  <c r="AE2748" i="1"/>
  <c r="AD2748" i="1"/>
  <c r="AC2748" i="1"/>
  <c r="AB2748" i="1"/>
  <c r="AA2748" i="1"/>
  <c r="AF2747" i="1"/>
  <c r="AE2747" i="1"/>
  <c r="AD2747" i="1"/>
  <c r="AC2747" i="1"/>
  <c r="AB2747" i="1"/>
  <c r="AA2747" i="1"/>
  <c r="AF2746" i="1"/>
  <c r="AE2746" i="1"/>
  <c r="AD2746" i="1"/>
  <c r="AC2746" i="1"/>
  <c r="AB2746" i="1"/>
  <c r="AA2746" i="1"/>
  <c r="AF2745" i="1"/>
  <c r="AE2745" i="1"/>
  <c r="AD2745" i="1"/>
  <c r="AC2745" i="1"/>
  <c r="AB2745" i="1"/>
  <c r="AA2745" i="1"/>
  <c r="AF2744" i="1"/>
  <c r="AE2744" i="1"/>
  <c r="AD2744" i="1"/>
  <c r="AC2744" i="1"/>
  <c r="AB2744" i="1"/>
  <c r="AA2744" i="1"/>
  <c r="AF2743" i="1"/>
  <c r="AE2743" i="1"/>
  <c r="AD2743" i="1"/>
  <c r="AC2743" i="1"/>
  <c r="AB2743" i="1"/>
  <c r="AA2743" i="1"/>
  <c r="AF2742" i="1"/>
  <c r="AE2742" i="1"/>
  <c r="AD2742" i="1"/>
  <c r="AC2742" i="1"/>
  <c r="AB2742" i="1"/>
  <c r="AA2742" i="1"/>
  <c r="AF2741" i="1"/>
  <c r="AE2741" i="1"/>
  <c r="AD2741" i="1"/>
  <c r="AC2741" i="1"/>
  <c r="AB2741" i="1"/>
  <c r="AA2741" i="1"/>
  <c r="AF2740" i="1"/>
  <c r="AE2740" i="1"/>
  <c r="AD2740" i="1"/>
  <c r="AC2740" i="1"/>
  <c r="AB2740" i="1"/>
  <c r="AA2740" i="1"/>
  <c r="AF2739" i="1"/>
  <c r="AE2739" i="1"/>
  <c r="AD2739" i="1"/>
  <c r="AC2739" i="1"/>
  <c r="AB2739" i="1"/>
  <c r="AA2739" i="1"/>
  <c r="AF2738" i="1"/>
  <c r="AE2738" i="1"/>
  <c r="AD2738" i="1"/>
  <c r="AC2738" i="1"/>
  <c r="AB2738" i="1"/>
  <c r="AA2738" i="1"/>
  <c r="AF2737" i="1"/>
  <c r="AE2737" i="1"/>
  <c r="AD2737" i="1"/>
  <c r="AC2737" i="1"/>
  <c r="AB2737" i="1"/>
  <c r="AA2737" i="1"/>
  <c r="AF2736" i="1"/>
  <c r="AE2736" i="1"/>
  <c r="AD2736" i="1"/>
  <c r="AC2736" i="1"/>
  <c r="AB2736" i="1"/>
  <c r="AA2736" i="1"/>
  <c r="AF2735" i="1"/>
  <c r="AE2735" i="1"/>
  <c r="AD2735" i="1"/>
  <c r="AC2735" i="1"/>
  <c r="AB2735" i="1"/>
  <c r="AA2735" i="1"/>
  <c r="AF2734" i="1"/>
  <c r="AE2734" i="1"/>
  <c r="AD2734" i="1"/>
  <c r="AC2734" i="1"/>
  <c r="AB2734" i="1"/>
  <c r="AA2734" i="1"/>
  <c r="AF2733" i="1"/>
  <c r="AE2733" i="1"/>
  <c r="AD2733" i="1"/>
  <c r="AC2733" i="1"/>
  <c r="AB2733" i="1"/>
  <c r="AA2733" i="1"/>
  <c r="AF2732" i="1"/>
  <c r="AE2732" i="1"/>
  <c r="AD2732" i="1"/>
  <c r="AC2732" i="1"/>
  <c r="AB2732" i="1"/>
  <c r="AA2732" i="1"/>
  <c r="AF2731" i="1"/>
  <c r="AE2731" i="1"/>
  <c r="AD2731" i="1"/>
  <c r="AC2731" i="1"/>
  <c r="AB2731" i="1"/>
  <c r="AA2731" i="1"/>
  <c r="AF2730" i="1"/>
  <c r="AE2730" i="1"/>
  <c r="AD2730" i="1"/>
  <c r="AC2730" i="1"/>
  <c r="AB2730" i="1"/>
  <c r="AA2730" i="1"/>
  <c r="AF2729" i="1"/>
  <c r="AE2729" i="1"/>
  <c r="AD2729" i="1"/>
  <c r="AC2729" i="1"/>
  <c r="AB2729" i="1"/>
  <c r="AA2729" i="1"/>
  <c r="AF2728" i="1"/>
  <c r="AE2728" i="1"/>
  <c r="AD2728" i="1"/>
  <c r="AC2728" i="1"/>
  <c r="AB2728" i="1"/>
  <c r="AA2728" i="1"/>
  <c r="AF2727" i="1"/>
  <c r="AE2727" i="1"/>
  <c r="AD2727" i="1"/>
  <c r="AC2727" i="1"/>
  <c r="AB2727" i="1"/>
  <c r="AA2727" i="1"/>
  <c r="AF2726" i="1"/>
  <c r="AE2726" i="1"/>
  <c r="AD2726" i="1"/>
  <c r="AC2726" i="1"/>
  <c r="AB2726" i="1"/>
  <c r="AA2726" i="1"/>
  <c r="AF2725" i="1"/>
  <c r="AE2725" i="1"/>
  <c r="AD2725" i="1"/>
  <c r="AC2725" i="1"/>
  <c r="AB2725" i="1"/>
  <c r="AA2725" i="1"/>
  <c r="AF2724" i="1"/>
  <c r="AE2724" i="1"/>
  <c r="AD2724" i="1"/>
  <c r="AC2724" i="1"/>
  <c r="AB2724" i="1"/>
  <c r="AA2724" i="1"/>
  <c r="AF2723" i="1"/>
  <c r="AE2723" i="1"/>
  <c r="AD2723" i="1"/>
  <c r="AC2723" i="1"/>
  <c r="AB2723" i="1"/>
  <c r="AA2723" i="1"/>
  <c r="AF2722" i="1"/>
  <c r="AE2722" i="1"/>
  <c r="AD2722" i="1"/>
  <c r="AC2722" i="1"/>
  <c r="AB2722" i="1"/>
  <c r="AA2722" i="1"/>
  <c r="AF2721" i="1"/>
  <c r="AE2721" i="1"/>
  <c r="AD2721" i="1"/>
  <c r="AC2721" i="1"/>
  <c r="AB2721" i="1"/>
  <c r="AA2721" i="1"/>
  <c r="AF2720" i="1"/>
  <c r="AE2720" i="1"/>
  <c r="AD2720" i="1"/>
  <c r="AC2720" i="1"/>
  <c r="AB2720" i="1"/>
  <c r="AA2720" i="1"/>
  <c r="AF2719" i="1"/>
  <c r="AE2719" i="1"/>
  <c r="AD2719" i="1"/>
  <c r="AC2719" i="1"/>
  <c r="AB2719" i="1"/>
  <c r="AA2719" i="1"/>
  <c r="AF2718" i="1"/>
  <c r="AE2718" i="1"/>
  <c r="AD2718" i="1"/>
  <c r="AC2718" i="1"/>
  <c r="AB2718" i="1"/>
  <c r="AA2718" i="1"/>
  <c r="AF2717" i="1"/>
  <c r="AE2717" i="1"/>
  <c r="AD2717" i="1"/>
  <c r="AC2717" i="1"/>
  <c r="AB2717" i="1"/>
  <c r="AA2717" i="1"/>
  <c r="AF2716" i="1"/>
  <c r="AE2716" i="1"/>
  <c r="AD2716" i="1"/>
  <c r="AC2716" i="1"/>
  <c r="AB2716" i="1"/>
  <c r="AA2716" i="1"/>
  <c r="AF2715" i="1"/>
  <c r="AE2715" i="1"/>
  <c r="AD2715" i="1"/>
  <c r="AC2715" i="1"/>
  <c r="AB2715" i="1"/>
  <c r="AA2715" i="1"/>
  <c r="AF2714" i="1"/>
  <c r="AE2714" i="1"/>
  <c r="AD2714" i="1"/>
  <c r="AC2714" i="1"/>
  <c r="AB2714" i="1"/>
  <c r="AA2714" i="1"/>
  <c r="AF2713" i="1"/>
  <c r="AE2713" i="1"/>
  <c r="AD2713" i="1"/>
  <c r="AC2713" i="1"/>
  <c r="AB2713" i="1"/>
  <c r="AA2713" i="1"/>
  <c r="AF2712" i="1"/>
  <c r="AE2712" i="1"/>
  <c r="AD2712" i="1"/>
  <c r="AC2712" i="1"/>
  <c r="AB2712" i="1"/>
  <c r="AA2712" i="1"/>
  <c r="AF2711" i="1"/>
  <c r="AE2711" i="1"/>
  <c r="AD2711" i="1"/>
  <c r="AC2711" i="1"/>
  <c r="AB2711" i="1"/>
  <c r="AA2711" i="1"/>
  <c r="AF2710" i="1"/>
  <c r="AE2710" i="1"/>
  <c r="AD2710" i="1"/>
  <c r="AC2710" i="1"/>
  <c r="AB2710" i="1"/>
  <c r="AA2710" i="1"/>
  <c r="AF2709" i="1"/>
  <c r="AE2709" i="1"/>
  <c r="AD2709" i="1"/>
  <c r="AC2709" i="1"/>
  <c r="AB2709" i="1"/>
  <c r="AA2709" i="1"/>
  <c r="AF2708" i="1"/>
  <c r="AE2708" i="1"/>
  <c r="AD2708" i="1"/>
  <c r="AC2708" i="1"/>
  <c r="AB2708" i="1"/>
  <c r="AA2708" i="1"/>
  <c r="AF2707" i="1"/>
  <c r="AE2707" i="1"/>
  <c r="AD2707" i="1"/>
  <c r="AC2707" i="1"/>
  <c r="AB2707" i="1"/>
  <c r="AA2707" i="1"/>
  <c r="AF2706" i="1"/>
  <c r="AE2706" i="1"/>
  <c r="AD2706" i="1"/>
  <c r="AC2706" i="1"/>
  <c r="AB2706" i="1"/>
  <c r="AA2706" i="1"/>
  <c r="AF2705" i="1"/>
  <c r="AE2705" i="1"/>
  <c r="AD2705" i="1"/>
  <c r="AC2705" i="1"/>
  <c r="AB2705" i="1"/>
  <c r="AA2705" i="1"/>
  <c r="AF2704" i="1"/>
  <c r="AE2704" i="1"/>
  <c r="AD2704" i="1"/>
  <c r="AC2704" i="1"/>
  <c r="AB2704" i="1"/>
  <c r="AA2704" i="1"/>
  <c r="AF2703" i="1"/>
  <c r="AE2703" i="1"/>
  <c r="AD2703" i="1"/>
  <c r="AC2703" i="1"/>
  <c r="AB2703" i="1"/>
  <c r="AA2703" i="1"/>
  <c r="AF2702" i="1"/>
  <c r="AE2702" i="1"/>
  <c r="AD2702" i="1"/>
  <c r="AC2702" i="1"/>
  <c r="AB2702" i="1"/>
  <c r="AA2702" i="1"/>
  <c r="AF2701" i="1"/>
  <c r="AE2701" i="1"/>
  <c r="AD2701" i="1"/>
  <c r="AC2701" i="1"/>
  <c r="AB2701" i="1"/>
  <c r="AA2701" i="1"/>
  <c r="AF2700" i="1"/>
  <c r="AE2700" i="1"/>
  <c r="AD2700" i="1"/>
  <c r="AC2700" i="1"/>
  <c r="AB2700" i="1"/>
  <c r="AA2700" i="1"/>
  <c r="AF2699" i="1"/>
  <c r="AE2699" i="1"/>
  <c r="AD2699" i="1"/>
  <c r="AC2699" i="1"/>
  <c r="AB2699" i="1"/>
  <c r="AA2699" i="1"/>
  <c r="AF2698" i="1"/>
  <c r="AE2698" i="1"/>
  <c r="AD2698" i="1"/>
  <c r="AC2698" i="1"/>
  <c r="AB2698" i="1"/>
  <c r="AA2698" i="1"/>
  <c r="AF2697" i="1"/>
  <c r="AE2697" i="1"/>
  <c r="AD2697" i="1"/>
  <c r="AC2697" i="1"/>
  <c r="AB2697" i="1"/>
  <c r="AA2697" i="1"/>
  <c r="AF2696" i="1"/>
  <c r="AE2696" i="1"/>
  <c r="AD2696" i="1"/>
  <c r="AC2696" i="1"/>
  <c r="AB2696" i="1"/>
  <c r="AA2696" i="1"/>
  <c r="AF2695" i="1"/>
  <c r="AE2695" i="1"/>
  <c r="AD2695" i="1"/>
  <c r="AC2695" i="1"/>
  <c r="AB2695" i="1"/>
  <c r="AA2695" i="1"/>
  <c r="AF2694" i="1"/>
  <c r="AE2694" i="1"/>
  <c r="AD2694" i="1"/>
  <c r="AC2694" i="1"/>
  <c r="AB2694" i="1"/>
  <c r="AA2694" i="1"/>
  <c r="AF2693" i="1"/>
  <c r="AE2693" i="1"/>
  <c r="AD2693" i="1"/>
  <c r="AC2693" i="1"/>
  <c r="AB2693" i="1"/>
  <c r="AA2693" i="1"/>
  <c r="AF2692" i="1"/>
  <c r="AE2692" i="1"/>
  <c r="AD2692" i="1"/>
  <c r="AC2692" i="1"/>
  <c r="AB2692" i="1"/>
  <c r="AA2692" i="1"/>
  <c r="AF2691" i="1"/>
  <c r="AE2691" i="1"/>
  <c r="AD2691" i="1"/>
  <c r="AC2691" i="1"/>
  <c r="AB2691" i="1"/>
  <c r="AA2691" i="1"/>
  <c r="AF2690" i="1"/>
  <c r="AE2690" i="1"/>
  <c r="AD2690" i="1"/>
  <c r="AC2690" i="1"/>
  <c r="AB2690" i="1"/>
  <c r="AA2690" i="1"/>
  <c r="AF2689" i="1"/>
  <c r="AE2689" i="1"/>
  <c r="AD2689" i="1"/>
  <c r="AC2689" i="1"/>
  <c r="AB2689" i="1"/>
  <c r="AA2689" i="1"/>
  <c r="AF2688" i="1"/>
  <c r="AE2688" i="1"/>
  <c r="AD2688" i="1"/>
  <c r="AC2688" i="1"/>
  <c r="AB2688" i="1"/>
  <c r="AA2688" i="1"/>
  <c r="AF2687" i="1"/>
  <c r="AE2687" i="1"/>
  <c r="AD2687" i="1"/>
  <c r="AC2687" i="1"/>
  <c r="AB2687" i="1"/>
  <c r="AA2687" i="1"/>
  <c r="AF2686" i="1"/>
  <c r="AE2686" i="1"/>
  <c r="AD2686" i="1"/>
  <c r="AC2686" i="1"/>
  <c r="AB2686" i="1"/>
  <c r="AA2686" i="1"/>
  <c r="AF2685" i="1"/>
  <c r="AE2685" i="1"/>
  <c r="AD2685" i="1"/>
  <c r="AC2685" i="1"/>
  <c r="AB2685" i="1"/>
  <c r="AA2685" i="1"/>
  <c r="AF2684" i="1"/>
  <c r="AE2684" i="1"/>
  <c r="AD2684" i="1"/>
  <c r="AC2684" i="1"/>
  <c r="AB2684" i="1"/>
  <c r="AA2684" i="1"/>
  <c r="AF2683" i="1"/>
  <c r="AE2683" i="1"/>
  <c r="AD2683" i="1"/>
  <c r="AC2683" i="1"/>
  <c r="AB2683" i="1"/>
  <c r="AA2683" i="1"/>
  <c r="AF2682" i="1"/>
  <c r="AE2682" i="1"/>
  <c r="AD2682" i="1"/>
  <c r="AC2682" i="1"/>
  <c r="AB2682" i="1"/>
  <c r="AA2682" i="1"/>
  <c r="AF2681" i="1"/>
  <c r="AE2681" i="1"/>
  <c r="AD2681" i="1"/>
  <c r="AC2681" i="1"/>
  <c r="AB2681" i="1"/>
  <c r="AA2681" i="1"/>
  <c r="AF2680" i="1"/>
  <c r="AE2680" i="1"/>
  <c r="AD2680" i="1"/>
  <c r="AC2680" i="1"/>
  <c r="AB2680" i="1"/>
  <c r="AA2680" i="1"/>
  <c r="AF2679" i="1"/>
  <c r="AE2679" i="1"/>
  <c r="AD2679" i="1"/>
  <c r="AC2679" i="1"/>
  <c r="AB2679" i="1"/>
  <c r="AA2679" i="1"/>
  <c r="AF2678" i="1"/>
  <c r="AE2678" i="1"/>
  <c r="AD2678" i="1"/>
  <c r="AC2678" i="1"/>
  <c r="AB2678" i="1"/>
  <c r="AA2678" i="1"/>
  <c r="AF2677" i="1"/>
  <c r="AE2677" i="1"/>
  <c r="AD2677" i="1"/>
  <c r="AC2677" i="1"/>
  <c r="AB2677" i="1"/>
  <c r="AA2677" i="1"/>
  <c r="AF2676" i="1"/>
  <c r="AE2676" i="1"/>
  <c r="AD2676" i="1"/>
  <c r="AC2676" i="1"/>
  <c r="AB2676" i="1"/>
  <c r="AA2676" i="1"/>
  <c r="AF2675" i="1"/>
  <c r="AE2675" i="1"/>
  <c r="AD2675" i="1"/>
  <c r="AC2675" i="1"/>
  <c r="AB2675" i="1"/>
  <c r="AA2675" i="1"/>
  <c r="AF2674" i="1"/>
  <c r="AE2674" i="1"/>
  <c r="AD2674" i="1"/>
  <c r="AC2674" i="1"/>
  <c r="AB2674" i="1"/>
  <c r="AA2674" i="1"/>
  <c r="AF2673" i="1"/>
  <c r="AE2673" i="1"/>
  <c r="AD2673" i="1"/>
  <c r="AC2673" i="1"/>
  <c r="AB2673" i="1"/>
  <c r="AA2673" i="1"/>
  <c r="AF2672" i="1"/>
  <c r="AE2672" i="1"/>
  <c r="AD2672" i="1"/>
  <c r="AC2672" i="1"/>
  <c r="AB2672" i="1"/>
  <c r="AA2672" i="1"/>
  <c r="AF2671" i="1"/>
  <c r="AE2671" i="1"/>
  <c r="AD2671" i="1"/>
  <c r="AC2671" i="1"/>
  <c r="AB2671" i="1"/>
  <c r="AA2671" i="1"/>
  <c r="AF2670" i="1"/>
  <c r="AE2670" i="1"/>
  <c r="AD2670" i="1"/>
  <c r="AC2670" i="1"/>
  <c r="AB2670" i="1"/>
  <c r="AA2670" i="1"/>
  <c r="AF2669" i="1"/>
  <c r="AE2669" i="1"/>
  <c r="AD2669" i="1"/>
  <c r="AC2669" i="1"/>
  <c r="AB2669" i="1"/>
  <c r="AA2669" i="1"/>
  <c r="AF2668" i="1"/>
  <c r="AE2668" i="1"/>
  <c r="AD2668" i="1"/>
  <c r="AC2668" i="1"/>
  <c r="AB2668" i="1"/>
  <c r="AA2668" i="1"/>
  <c r="AF2667" i="1"/>
  <c r="AE2667" i="1"/>
  <c r="AD2667" i="1"/>
  <c r="AC2667" i="1"/>
  <c r="AB2667" i="1"/>
  <c r="AA2667" i="1"/>
  <c r="AF2666" i="1"/>
  <c r="AE2666" i="1"/>
  <c r="AD2666" i="1"/>
  <c r="AC2666" i="1"/>
  <c r="AB2666" i="1"/>
  <c r="AA2666" i="1"/>
  <c r="AF2665" i="1"/>
  <c r="AE2665" i="1"/>
  <c r="AD2665" i="1"/>
  <c r="AC2665" i="1"/>
  <c r="AB2665" i="1"/>
  <c r="AA2665" i="1"/>
  <c r="AF2664" i="1"/>
  <c r="AE2664" i="1"/>
  <c r="AD2664" i="1"/>
  <c r="AC2664" i="1"/>
  <c r="AB2664" i="1"/>
  <c r="AA2664" i="1"/>
  <c r="AF2663" i="1"/>
  <c r="AE2663" i="1"/>
  <c r="AD2663" i="1"/>
  <c r="AC2663" i="1"/>
  <c r="AB2663" i="1"/>
  <c r="AA2663" i="1"/>
  <c r="AF2662" i="1"/>
  <c r="AE2662" i="1"/>
  <c r="AD2662" i="1"/>
  <c r="AC2662" i="1"/>
  <c r="AB2662" i="1"/>
  <c r="AA2662" i="1"/>
  <c r="AF2661" i="1"/>
  <c r="AE2661" i="1"/>
  <c r="AD2661" i="1"/>
  <c r="AC2661" i="1"/>
  <c r="AB2661" i="1"/>
  <c r="AA2661" i="1"/>
  <c r="AF2660" i="1"/>
  <c r="AE2660" i="1"/>
  <c r="AD2660" i="1"/>
  <c r="AC2660" i="1"/>
  <c r="AB2660" i="1"/>
  <c r="AA2660" i="1"/>
  <c r="AF2659" i="1"/>
  <c r="AE2659" i="1"/>
  <c r="AD2659" i="1"/>
  <c r="AC2659" i="1"/>
  <c r="AB2659" i="1"/>
  <c r="AA2659" i="1"/>
  <c r="AF2658" i="1"/>
  <c r="AE2658" i="1"/>
  <c r="AD2658" i="1"/>
  <c r="AC2658" i="1"/>
  <c r="AB2658" i="1"/>
  <c r="AA2658" i="1"/>
  <c r="AF2657" i="1"/>
  <c r="AE2657" i="1"/>
  <c r="AD2657" i="1"/>
  <c r="AC2657" i="1"/>
  <c r="AB2657" i="1"/>
  <c r="AA2657" i="1"/>
  <c r="AF2656" i="1"/>
  <c r="AE2656" i="1"/>
  <c r="AD2656" i="1"/>
  <c r="AC2656" i="1"/>
  <c r="AB2656" i="1"/>
  <c r="AA2656" i="1"/>
  <c r="AF2655" i="1"/>
  <c r="AE2655" i="1"/>
  <c r="AD2655" i="1"/>
  <c r="AC2655" i="1"/>
  <c r="AB2655" i="1"/>
  <c r="AA2655" i="1"/>
  <c r="AF2654" i="1"/>
  <c r="AE2654" i="1"/>
  <c r="AD2654" i="1"/>
  <c r="AC2654" i="1"/>
  <c r="AB2654" i="1"/>
  <c r="AA2654" i="1"/>
  <c r="AF2653" i="1"/>
  <c r="AE2653" i="1"/>
  <c r="AD2653" i="1"/>
  <c r="AC2653" i="1"/>
  <c r="AB2653" i="1"/>
  <c r="AA2653" i="1"/>
  <c r="AF2652" i="1"/>
  <c r="AE2652" i="1"/>
  <c r="AD2652" i="1"/>
  <c r="AC2652" i="1"/>
  <c r="AB2652" i="1"/>
  <c r="AA2652" i="1"/>
  <c r="AF2651" i="1"/>
  <c r="AE2651" i="1"/>
  <c r="AD2651" i="1"/>
  <c r="AC2651" i="1"/>
  <c r="AB2651" i="1"/>
  <c r="AA2651" i="1"/>
  <c r="AF2650" i="1"/>
  <c r="AE2650" i="1"/>
  <c r="AD2650" i="1"/>
  <c r="AC2650" i="1"/>
  <c r="AB2650" i="1"/>
  <c r="AA2650" i="1"/>
  <c r="AF2649" i="1"/>
  <c r="AE2649" i="1"/>
  <c r="AD2649" i="1"/>
  <c r="AC2649" i="1"/>
  <c r="AB2649" i="1"/>
  <c r="AA2649" i="1"/>
  <c r="AF2648" i="1"/>
  <c r="AE2648" i="1"/>
  <c r="AD2648" i="1"/>
  <c r="AC2648" i="1"/>
  <c r="AB2648" i="1"/>
  <c r="AA2648" i="1"/>
  <c r="AF2647" i="1"/>
  <c r="AE2647" i="1"/>
  <c r="AD2647" i="1"/>
  <c r="AC2647" i="1"/>
  <c r="AB2647" i="1"/>
  <c r="AA2647" i="1"/>
  <c r="AF2646" i="1"/>
  <c r="AE2646" i="1"/>
  <c r="AD2646" i="1"/>
  <c r="AC2646" i="1"/>
  <c r="AB2646" i="1"/>
  <c r="AA2646" i="1"/>
  <c r="AF2645" i="1"/>
  <c r="AE2645" i="1"/>
  <c r="AD2645" i="1"/>
  <c r="AC2645" i="1"/>
  <c r="AB2645" i="1"/>
  <c r="AA2645" i="1"/>
  <c r="AF2644" i="1"/>
  <c r="AE2644" i="1"/>
  <c r="AD2644" i="1"/>
  <c r="AC2644" i="1"/>
  <c r="AB2644" i="1"/>
  <c r="AA2644" i="1"/>
  <c r="AF2643" i="1"/>
  <c r="AE2643" i="1"/>
  <c r="AD2643" i="1"/>
  <c r="AC2643" i="1"/>
  <c r="AB2643" i="1"/>
  <c r="AA2643" i="1"/>
  <c r="AF2642" i="1"/>
  <c r="AE2642" i="1"/>
  <c r="AD2642" i="1"/>
  <c r="AC2642" i="1"/>
  <c r="AB2642" i="1"/>
  <c r="AA2642" i="1"/>
  <c r="AF2641" i="1"/>
  <c r="AE2641" i="1"/>
  <c r="AD2641" i="1"/>
  <c r="AC2641" i="1"/>
  <c r="AB2641" i="1"/>
  <c r="AA2641" i="1"/>
  <c r="AF2640" i="1"/>
  <c r="AE2640" i="1"/>
  <c r="AD2640" i="1"/>
  <c r="AC2640" i="1"/>
  <c r="AB2640" i="1"/>
  <c r="AA2640" i="1"/>
  <c r="AF2639" i="1"/>
  <c r="AE2639" i="1"/>
  <c r="AD2639" i="1"/>
  <c r="AC2639" i="1"/>
  <c r="AB2639" i="1"/>
  <c r="AA2639" i="1"/>
  <c r="AF2638" i="1"/>
  <c r="AE2638" i="1"/>
  <c r="AD2638" i="1"/>
  <c r="AC2638" i="1"/>
  <c r="AB2638" i="1"/>
  <c r="AA2638" i="1"/>
  <c r="AF2637" i="1"/>
  <c r="AE2637" i="1"/>
  <c r="AD2637" i="1"/>
  <c r="AC2637" i="1"/>
  <c r="AB2637" i="1"/>
  <c r="AA2637" i="1"/>
  <c r="AF2636" i="1"/>
  <c r="AE2636" i="1"/>
  <c r="AD2636" i="1"/>
  <c r="AC2636" i="1"/>
  <c r="AB2636" i="1"/>
  <c r="AA2636" i="1"/>
  <c r="AF2635" i="1"/>
  <c r="AE2635" i="1"/>
  <c r="AD2635" i="1"/>
  <c r="AC2635" i="1"/>
  <c r="AB2635" i="1"/>
  <c r="AA2635" i="1"/>
  <c r="AF2634" i="1"/>
  <c r="AE2634" i="1"/>
  <c r="AD2634" i="1"/>
  <c r="AC2634" i="1"/>
  <c r="AB2634" i="1"/>
  <c r="AA2634" i="1"/>
  <c r="AF2633" i="1"/>
  <c r="AE2633" i="1"/>
  <c r="AD2633" i="1"/>
  <c r="AC2633" i="1"/>
  <c r="AB2633" i="1"/>
  <c r="AA2633" i="1"/>
  <c r="AF2632" i="1"/>
  <c r="AE2632" i="1"/>
  <c r="AD2632" i="1"/>
  <c r="AC2632" i="1"/>
  <c r="AB2632" i="1"/>
  <c r="AA2632" i="1"/>
  <c r="AF2631" i="1"/>
  <c r="AE2631" i="1"/>
  <c r="AD2631" i="1"/>
  <c r="AC2631" i="1"/>
  <c r="AB2631" i="1"/>
  <c r="AA2631" i="1"/>
  <c r="AF2630" i="1"/>
  <c r="AE2630" i="1"/>
  <c r="AD2630" i="1"/>
  <c r="AC2630" i="1"/>
  <c r="AB2630" i="1"/>
  <c r="AA2630" i="1"/>
  <c r="AF2629" i="1"/>
  <c r="AE2629" i="1"/>
  <c r="AD2629" i="1"/>
  <c r="AC2629" i="1"/>
  <c r="AB2629" i="1"/>
  <c r="AA2629" i="1"/>
  <c r="AF2628" i="1"/>
  <c r="AE2628" i="1"/>
  <c r="AD2628" i="1"/>
  <c r="AC2628" i="1"/>
  <c r="AB2628" i="1"/>
  <c r="AA2628" i="1"/>
  <c r="AF2627" i="1"/>
  <c r="AE2627" i="1"/>
  <c r="AD2627" i="1"/>
  <c r="AC2627" i="1"/>
  <c r="AB2627" i="1"/>
  <c r="AA2627" i="1"/>
  <c r="AF2626" i="1"/>
  <c r="AE2626" i="1"/>
  <c r="AD2626" i="1"/>
  <c r="AC2626" i="1"/>
  <c r="AB2626" i="1"/>
  <c r="AA2626" i="1"/>
  <c r="AF2625" i="1"/>
  <c r="AE2625" i="1"/>
  <c r="AD2625" i="1"/>
  <c r="AC2625" i="1"/>
  <c r="AB2625" i="1"/>
  <c r="AA2625" i="1"/>
  <c r="AF2624" i="1"/>
  <c r="AE2624" i="1"/>
  <c r="AD2624" i="1"/>
  <c r="AC2624" i="1"/>
  <c r="AB2624" i="1"/>
  <c r="AA2624" i="1"/>
  <c r="AF2623" i="1"/>
  <c r="AE2623" i="1"/>
  <c r="AD2623" i="1"/>
  <c r="AC2623" i="1"/>
  <c r="AB2623" i="1"/>
  <c r="AA2623" i="1"/>
  <c r="AF2622" i="1"/>
  <c r="AE2622" i="1"/>
  <c r="AD2622" i="1"/>
  <c r="AC2622" i="1"/>
  <c r="AB2622" i="1"/>
  <c r="AA2622" i="1"/>
  <c r="AF2621" i="1"/>
  <c r="AE2621" i="1"/>
  <c r="AD2621" i="1"/>
  <c r="AC2621" i="1"/>
  <c r="AB2621" i="1"/>
  <c r="AA2621" i="1"/>
  <c r="AF2620" i="1"/>
  <c r="AE2620" i="1"/>
  <c r="AD2620" i="1"/>
  <c r="AC2620" i="1"/>
  <c r="AB2620" i="1"/>
  <c r="AA2620" i="1"/>
  <c r="AF2619" i="1"/>
  <c r="AE2619" i="1"/>
  <c r="AD2619" i="1"/>
  <c r="AC2619" i="1"/>
  <c r="AB2619" i="1"/>
  <c r="AA2619" i="1"/>
  <c r="AF2618" i="1"/>
  <c r="AE2618" i="1"/>
  <c r="AD2618" i="1"/>
  <c r="AC2618" i="1"/>
  <c r="AB2618" i="1"/>
  <c r="AA2618" i="1"/>
  <c r="AF2617" i="1"/>
  <c r="AE2617" i="1"/>
  <c r="AD2617" i="1"/>
  <c r="AC2617" i="1"/>
  <c r="AB2617" i="1"/>
  <c r="AA2617" i="1"/>
  <c r="AF2616" i="1"/>
  <c r="AE2616" i="1"/>
  <c r="AD2616" i="1"/>
  <c r="AC2616" i="1"/>
  <c r="AB2616" i="1"/>
  <c r="AA2616" i="1"/>
  <c r="AF2615" i="1"/>
  <c r="AE2615" i="1"/>
  <c r="AD2615" i="1"/>
  <c r="AC2615" i="1"/>
  <c r="AB2615" i="1"/>
  <c r="AA2615" i="1"/>
  <c r="AF2614" i="1"/>
  <c r="AE2614" i="1"/>
  <c r="AD2614" i="1"/>
  <c r="AC2614" i="1"/>
  <c r="AB2614" i="1"/>
  <c r="AA2614" i="1"/>
  <c r="AF2613" i="1"/>
  <c r="AE2613" i="1"/>
  <c r="AD2613" i="1"/>
  <c r="AC2613" i="1"/>
  <c r="AB2613" i="1"/>
  <c r="AA2613" i="1"/>
  <c r="AF2612" i="1"/>
  <c r="AE2612" i="1"/>
  <c r="AD2612" i="1"/>
  <c r="AC2612" i="1"/>
  <c r="AB2612" i="1"/>
  <c r="AA2612" i="1"/>
  <c r="AF2611" i="1"/>
  <c r="AE2611" i="1"/>
  <c r="AD2611" i="1"/>
  <c r="AC2611" i="1"/>
  <c r="AB2611" i="1"/>
  <c r="AA2611" i="1"/>
  <c r="AF2610" i="1"/>
  <c r="AE2610" i="1"/>
  <c r="AD2610" i="1"/>
  <c r="AC2610" i="1"/>
  <c r="AB2610" i="1"/>
  <c r="AA2610" i="1"/>
  <c r="AF2609" i="1"/>
  <c r="AE2609" i="1"/>
  <c r="AD2609" i="1"/>
  <c r="AC2609" i="1"/>
  <c r="AB2609" i="1"/>
  <c r="AA2609" i="1"/>
  <c r="AF2608" i="1"/>
  <c r="AE2608" i="1"/>
  <c r="AD2608" i="1"/>
  <c r="AC2608" i="1"/>
  <c r="AB2608" i="1"/>
  <c r="AA2608" i="1"/>
  <c r="AF2607" i="1"/>
  <c r="AE2607" i="1"/>
  <c r="AD2607" i="1"/>
  <c r="AC2607" i="1"/>
  <c r="AB2607" i="1"/>
  <c r="AA2607" i="1"/>
  <c r="AF2606" i="1"/>
  <c r="AE2606" i="1"/>
  <c r="AD2606" i="1"/>
  <c r="AC2606" i="1"/>
  <c r="AB2606" i="1"/>
  <c r="AA2606" i="1"/>
  <c r="AF2605" i="1"/>
  <c r="AE2605" i="1"/>
  <c r="AD2605" i="1"/>
  <c r="AC2605" i="1"/>
  <c r="AB2605" i="1"/>
  <c r="AA2605" i="1"/>
  <c r="AF2604" i="1"/>
  <c r="AE2604" i="1"/>
  <c r="AD2604" i="1"/>
  <c r="AC2604" i="1"/>
  <c r="AB2604" i="1"/>
  <c r="AA2604" i="1"/>
  <c r="AF2603" i="1"/>
  <c r="AE2603" i="1"/>
  <c r="AD2603" i="1"/>
  <c r="AC2603" i="1"/>
  <c r="AB2603" i="1"/>
  <c r="AA2603" i="1"/>
  <c r="AF2602" i="1"/>
  <c r="AE2602" i="1"/>
  <c r="AD2602" i="1"/>
  <c r="AC2602" i="1"/>
  <c r="AB2602" i="1"/>
  <c r="AA2602" i="1"/>
  <c r="AF2601" i="1"/>
  <c r="AE2601" i="1"/>
  <c r="AD2601" i="1"/>
  <c r="AC2601" i="1"/>
  <c r="AB2601" i="1"/>
  <c r="AA2601" i="1"/>
  <c r="AF2600" i="1"/>
  <c r="AE2600" i="1"/>
  <c r="AD2600" i="1"/>
  <c r="AC2600" i="1"/>
  <c r="AB2600" i="1"/>
  <c r="AA2600" i="1"/>
  <c r="AF2599" i="1"/>
  <c r="AE2599" i="1"/>
  <c r="AD2599" i="1"/>
  <c r="AC2599" i="1"/>
  <c r="AB2599" i="1"/>
  <c r="AA2599" i="1"/>
  <c r="AF2598" i="1"/>
  <c r="AE2598" i="1"/>
  <c r="AD2598" i="1"/>
  <c r="AC2598" i="1"/>
  <c r="AB2598" i="1"/>
  <c r="AA2598" i="1"/>
  <c r="AF2597" i="1"/>
  <c r="AE2597" i="1"/>
  <c r="AD2597" i="1"/>
  <c r="AC2597" i="1"/>
  <c r="AB2597" i="1"/>
  <c r="AA2597" i="1"/>
  <c r="AF2596" i="1"/>
  <c r="AE2596" i="1"/>
  <c r="AD2596" i="1"/>
  <c r="AC2596" i="1"/>
  <c r="AB2596" i="1"/>
  <c r="AA2596" i="1"/>
  <c r="AF2595" i="1"/>
  <c r="AE2595" i="1"/>
  <c r="AD2595" i="1"/>
  <c r="AC2595" i="1"/>
  <c r="AB2595" i="1"/>
  <c r="AA2595" i="1"/>
  <c r="AF2594" i="1"/>
  <c r="AE2594" i="1"/>
  <c r="AD2594" i="1"/>
  <c r="AC2594" i="1"/>
  <c r="AB2594" i="1"/>
  <c r="AA2594" i="1"/>
  <c r="AF2593" i="1"/>
  <c r="AE2593" i="1"/>
  <c r="AD2593" i="1"/>
  <c r="AC2593" i="1"/>
  <c r="AB2593" i="1"/>
  <c r="AA2593" i="1"/>
  <c r="AF2592" i="1"/>
  <c r="AE2592" i="1"/>
  <c r="AD2592" i="1"/>
  <c r="AC2592" i="1"/>
  <c r="AB2592" i="1"/>
  <c r="AA2592" i="1"/>
  <c r="AF2591" i="1"/>
  <c r="AE2591" i="1"/>
  <c r="AD2591" i="1"/>
  <c r="AC2591" i="1"/>
  <c r="AB2591" i="1"/>
  <c r="AA2591" i="1"/>
  <c r="AF2590" i="1"/>
  <c r="AE2590" i="1"/>
  <c r="AD2590" i="1"/>
  <c r="AC2590" i="1"/>
  <c r="AB2590" i="1"/>
  <c r="AA2590" i="1"/>
  <c r="AF2589" i="1"/>
  <c r="AE2589" i="1"/>
  <c r="AD2589" i="1"/>
  <c r="AC2589" i="1"/>
  <c r="AB2589" i="1"/>
  <c r="AA2589" i="1"/>
  <c r="AF2588" i="1"/>
  <c r="AE2588" i="1"/>
  <c r="AD2588" i="1"/>
  <c r="AC2588" i="1"/>
  <c r="AB2588" i="1"/>
  <c r="AA2588" i="1"/>
  <c r="AF2587" i="1"/>
  <c r="AE2587" i="1"/>
  <c r="AD2587" i="1"/>
  <c r="AC2587" i="1"/>
  <c r="AB2587" i="1"/>
  <c r="AA2587" i="1"/>
  <c r="AF2586" i="1"/>
  <c r="AE2586" i="1"/>
  <c r="AD2586" i="1"/>
  <c r="AC2586" i="1"/>
  <c r="AB2586" i="1"/>
  <c r="AA2586" i="1"/>
  <c r="AF2585" i="1"/>
  <c r="AE2585" i="1"/>
  <c r="AD2585" i="1"/>
  <c r="AC2585" i="1"/>
  <c r="AB2585" i="1"/>
  <c r="AA2585" i="1"/>
  <c r="AF2584" i="1"/>
  <c r="AE2584" i="1"/>
  <c r="AD2584" i="1"/>
  <c r="AC2584" i="1"/>
  <c r="AB2584" i="1"/>
  <c r="AA2584" i="1"/>
  <c r="AF2583" i="1"/>
  <c r="AE2583" i="1"/>
  <c r="AD2583" i="1"/>
  <c r="AC2583" i="1"/>
  <c r="AB2583" i="1"/>
  <c r="AA2583" i="1"/>
  <c r="AF2582" i="1"/>
  <c r="AE2582" i="1"/>
  <c r="AD2582" i="1"/>
  <c r="AC2582" i="1"/>
  <c r="AB2582" i="1"/>
  <c r="AA2582" i="1"/>
  <c r="AF2581" i="1"/>
  <c r="AE2581" i="1"/>
  <c r="AD2581" i="1"/>
  <c r="AC2581" i="1"/>
  <c r="AB2581" i="1"/>
  <c r="AA2581" i="1"/>
  <c r="AF2580" i="1"/>
  <c r="AE2580" i="1"/>
  <c r="AD2580" i="1"/>
  <c r="AC2580" i="1"/>
  <c r="AB2580" i="1"/>
  <c r="AA2580" i="1"/>
  <c r="AF2579" i="1"/>
  <c r="AE2579" i="1"/>
  <c r="AD2579" i="1"/>
  <c r="AC2579" i="1"/>
  <c r="AB2579" i="1"/>
  <c r="AA2579" i="1"/>
  <c r="AF2578" i="1"/>
  <c r="AE2578" i="1"/>
  <c r="AD2578" i="1"/>
  <c r="AC2578" i="1"/>
  <c r="AB2578" i="1"/>
  <c r="AA2578" i="1"/>
  <c r="AF2577" i="1"/>
  <c r="AE2577" i="1"/>
  <c r="AD2577" i="1"/>
  <c r="AC2577" i="1"/>
  <c r="AB2577" i="1"/>
  <c r="AA2577" i="1"/>
  <c r="AF2576" i="1"/>
  <c r="AE2576" i="1"/>
  <c r="AD2576" i="1"/>
  <c r="AC2576" i="1"/>
  <c r="AB2576" i="1"/>
  <c r="AA2576" i="1"/>
  <c r="AF2575" i="1"/>
  <c r="AE2575" i="1"/>
  <c r="AD2575" i="1"/>
  <c r="AC2575" i="1"/>
  <c r="AB2575" i="1"/>
  <c r="AA2575" i="1"/>
  <c r="AF2574" i="1"/>
  <c r="AE2574" i="1"/>
  <c r="AD2574" i="1"/>
  <c r="AC2574" i="1"/>
  <c r="AB2574" i="1"/>
  <c r="AA2574" i="1"/>
  <c r="AF2573" i="1"/>
  <c r="AE2573" i="1"/>
  <c r="AD2573" i="1"/>
  <c r="AC2573" i="1"/>
  <c r="AB2573" i="1"/>
  <c r="AA2573" i="1"/>
  <c r="AF2572" i="1"/>
  <c r="AE2572" i="1"/>
  <c r="AD2572" i="1"/>
  <c r="AC2572" i="1"/>
  <c r="AB2572" i="1"/>
  <c r="AA2572" i="1"/>
  <c r="AF2571" i="1"/>
  <c r="AE2571" i="1"/>
  <c r="AD2571" i="1"/>
  <c r="AC2571" i="1"/>
  <c r="AB2571" i="1"/>
  <c r="AA2571" i="1"/>
  <c r="AF2570" i="1"/>
  <c r="AE2570" i="1"/>
  <c r="AD2570" i="1"/>
  <c r="AC2570" i="1"/>
  <c r="AB2570" i="1"/>
  <c r="AA2570" i="1"/>
  <c r="AF2569" i="1"/>
  <c r="AE2569" i="1"/>
  <c r="AD2569" i="1"/>
  <c r="AC2569" i="1"/>
  <c r="AB2569" i="1"/>
  <c r="AA2569" i="1"/>
  <c r="AF2568" i="1"/>
  <c r="AE2568" i="1"/>
  <c r="AD2568" i="1"/>
  <c r="AC2568" i="1"/>
  <c r="AB2568" i="1"/>
  <c r="AA2568" i="1"/>
  <c r="AF2567" i="1"/>
  <c r="AE2567" i="1"/>
  <c r="AD2567" i="1"/>
  <c r="AC2567" i="1"/>
  <c r="AB2567" i="1"/>
  <c r="AA2567" i="1"/>
  <c r="AF2566" i="1"/>
  <c r="AE2566" i="1"/>
  <c r="AD2566" i="1"/>
  <c r="AC2566" i="1"/>
  <c r="AB2566" i="1"/>
  <c r="AA2566" i="1"/>
  <c r="AF2565" i="1"/>
  <c r="AE2565" i="1"/>
  <c r="AD2565" i="1"/>
  <c r="AC2565" i="1"/>
  <c r="AB2565" i="1"/>
  <c r="AA2565" i="1"/>
  <c r="AF2564" i="1"/>
  <c r="AE2564" i="1"/>
  <c r="AD2564" i="1"/>
  <c r="AC2564" i="1"/>
  <c r="AB2564" i="1"/>
  <c r="AA2564" i="1"/>
  <c r="AF2563" i="1"/>
  <c r="AE2563" i="1"/>
  <c r="AD2563" i="1"/>
  <c r="AC2563" i="1"/>
  <c r="AB2563" i="1"/>
  <c r="AA2563" i="1"/>
  <c r="AF2562" i="1"/>
  <c r="AE2562" i="1"/>
  <c r="AD2562" i="1"/>
  <c r="AC2562" i="1"/>
  <c r="AB2562" i="1"/>
  <c r="AA2562" i="1"/>
  <c r="AF2561" i="1"/>
  <c r="AE2561" i="1"/>
  <c r="AD2561" i="1"/>
  <c r="AC2561" i="1"/>
  <c r="AB2561" i="1"/>
  <c r="AA2561" i="1"/>
  <c r="AF2560" i="1"/>
  <c r="AE2560" i="1"/>
  <c r="AD2560" i="1"/>
  <c r="AC2560" i="1"/>
  <c r="AB2560" i="1"/>
  <c r="AA2560" i="1"/>
  <c r="AF2559" i="1"/>
  <c r="AE2559" i="1"/>
  <c r="AD2559" i="1"/>
  <c r="AC2559" i="1"/>
  <c r="AB2559" i="1"/>
  <c r="AA2559" i="1"/>
  <c r="AF2558" i="1"/>
  <c r="AE2558" i="1"/>
  <c r="AD2558" i="1"/>
  <c r="AC2558" i="1"/>
  <c r="AB2558" i="1"/>
  <c r="AA2558" i="1"/>
  <c r="AF2557" i="1"/>
  <c r="AE2557" i="1"/>
  <c r="AD2557" i="1"/>
  <c r="AC2557" i="1"/>
  <c r="AB2557" i="1"/>
  <c r="AA2557" i="1"/>
  <c r="AF2556" i="1"/>
  <c r="AE2556" i="1"/>
  <c r="AD2556" i="1"/>
  <c r="AC2556" i="1"/>
  <c r="AB2556" i="1"/>
  <c r="AA2556" i="1"/>
  <c r="AF2555" i="1"/>
  <c r="AE2555" i="1"/>
  <c r="AD2555" i="1"/>
  <c r="AC2555" i="1"/>
  <c r="AB2555" i="1"/>
  <c r="AA2555" i="1"/>
  <c r="AF2554" i="1"/>
  <c r="AE2554" i="1"/>
  <c r="AD2554" i="1"/>
  <c r="AC2554" i="1"/>
  <c r="AB2554" i="1"/>
  <c r="AA2554" i="1"/>
  <c r="AF2553" i="1"/>
  <c r="AE2553" i="1"/>
  <c r="AD2553" i="1"/>
  <c r="AC2553" i="1"/>
  <c r="AB2553" i="1"/>
  <c r="AA2553" i="1"/>
  <c r="AF2552" i="1"/>
  <c r="AE2552" i="1"/>
  <c r="AD2552" i="1"/>
  <c r="AC2552" i="1"/>
  <c r="AB2552" i="1"/>
  <c r="AA2552" i="1"/>
  <c r="AF2551" i="1"/>
  <c r="AE2551" i="1"/>
  <c r="AD2551" i="1"/>
  <c r="AC2551" i="1"/>
  <c r="AB2551" i="1"/>
  <c r="AA2551" i="1"/>
  <c r="AF2550" i="1"/>
  <c r="AE2550" i="1"/>
  <c r="AD2550" i="1"/>
  <c r="AC2550" i="1"/>
  <c r="AB2550" i="1"/>
  <c r="AA2550" i="1"/>
  <c r="AF2549" i="1"/>
  <c r="AE2549" i="1"/>
  <c r="AD2549" i="1"/>
  <c r="AC2549" i="1"/>
  <c r="AB2549" i="1"/>
  <c r="AA2549" i="1"/>
  <c r="AF2548" i="1"/>
  <c r="AE2548" i="1"/>
  <c r="AD2548" i="1"/>
  <c r="AC2548" i="1"/>
  <c r="AB2548" i="1"/>
  <c r="AA2548" i="1"/>
  <c r="AF2547" i="1"/>
  <c r="AE2547" i="1"/>
  <c r="AD2547" i="1"/>
  <c r="AC2547" i="1"/>
  <c r="AB2547" i="1"/>
  <c r="AA2547" i="1"/>
  <c r="AF2546" i="1"/>
  <c r="AE2546" i="1"/>
  <c r="AD2546" i="1"/>
  <c r="AC2546" i="1"/>
  <c r="AB2546" i="1"/>
  <c r="AA2546" i="1"/>
  <c r="AF2545" i="1"/>
  <c r="AE2545" i="1"/>
  <c r="AD2545" i="1"/>
  <c r="AC2545" i="1"/>
  <c r="AB2545" i="1"/>
  <c r="AA2545" i="1"/>
  <c r="AF2544" i="1"/>
  <c r="AE2544" i="1"/>
  <c r="AD2544" i="1"/>
  <c r="AC2544" i="1"/>
  <c r="AB2544" i="1"/>
  <c r="AA2544" i="1"/>
  <c r="AF2543" i="1"/>
  <c r="AE2543" i="1"/>
  <c r="AD2543" i="1"/>
  <c r="AC2543" i="1"/>
  <c r="AB2543" i="1"/>
  <c r="AA2543" i="1"/>
  <c r="AF2542" i="1"/>
  <c r="AE2542" i="1"/>
  <c r="AD2542" i="1"/>
  <c r="AC2542" i="1"/>
  <c r="AB2542" i="1"/>
  <c r="AA2542" i="1"/>
  <c r="AF2541" i="1"/>
  <c r="AE2541" i="1"/>
  <c r="AD2541" i="1"/>
  <c r="AC2541" i="1"/>
  <c r="AB2541" i="1"/>
  <c r="AA2541" i="1"/>
  <c r="AF2540" i="1"/>
  <c r="AE2540" i="1"/>
  <c r="AD2540" i="1"/>
  <c r="AC2540" i="1"/>
  <c r="AB2540" i="1"/>
  <c r="AA2540" i="1"/>
  <c r="AF2539" i="1"/>
  <c r="AE2539" i="1"/>
  <c r="AD2539" i="1"/>
  <c r="AC2539" i="1"/>
  <c r="AB2539" i="1"/>
  <c r="AA2539" i="1"/>
  <c r="AF2538" i="1"/>
  <c r="AE2538" i="1"/>
  <c r="AD2538" i="1"/>
  <c r="AC2538" i="1"/>
  <c r="AB2538" i="1"/>
  <c r="AA2538" i="1"/>
  <c r="AF2537" i="1"/>
  <c r="AE2537" i="1"/>
  <c r="AD2537" i="1"/>
  <c r="AC2537" i="1"/>
  <c r="AB2537" i="1"/>
  <c r="AA2537" i="1"/>
  <c r="AF2536" i="1"/>
  <c r="AE2536" i="1"/>
  <c r="AD2536" i="1"/>
  <c r="AC2536" i="1"/>
  <c r="AB2536" i="1"/>
  <c r="AA2536" i="1"/>
  <c r="AF2535" i="1"/>
  <c r="AE2535" i="1"/>
  <c r="AD2535" i="1"/>
  <c r="AC2535" i="1"/>
  <c r="AB2535" i="1"/>
  <c r="AA2535" i="1"/>
  <c r="AF2534" i="1"/>
  <c r="AE2534" i="1"/>
  <c r="AD2534" i="1"/>
  <c r="AC2534" i="1"/>
  <c r="AB2534" i="1"/>
  <c r="AA2534" i="1"/>
  <c r="AF2533" i="1"/>
  <c r="AE2533" i="1"/>
  <c r="AD2533" i="1"/>
  <c r="AC2533" i="1"/>
  <c r="AB2533" i="1"/>
  <c r="AA2533" i="1"/>
  <c r="AF2532" i="1"/>
  <c r="AE2532" i="1"/>
  <c r="AD2532" i="1"/>
  <c r="AC2532" i="1"/>
  <c r="AB2532" i="1"/>
  <c r="AA2532" i="1"/>
  <c r="AF2531" i="1"/>
  <c r="AE2531" i="1"/>
  <c r="AD2531" i="1"/>
  <c r="AC2531" i="1"/>
  <c r="AB2531" i="1"/>
  <c r="AA2531" i="1"/>
  <c r="AF2530" i="1"/>
  <c r="AE2530" i="1"/>
  <c r="AD2530" i="1"/>
  <c r="AC2530" i="1"/>
  <c r="AB2530" i="1"/>
  <c r="AA2530" i="1"/>
  <c r="AF2529" i="1"/>
  <c r="AE2529" i="1"/>
  <c r="AD2529" i="1"/>
  <c r="AC2529" i="1"/>
  <c r="AB2529" i="1"/>
  <c r="AA2529" i="1"/>
  <c r="AF2528" i="1"/>
  <c r="AE2528" i="1"/>
  <c r="AD2528" i="1"/>
  <c r="AC2528" i="1"/>
  <c r="AB2528" i="1"/>
  <c r="AA2528" i="1"/>
  <c r="AF2527" i="1"/>
  <c r="AE2527" i="1"/>
  <c r="AD2527" i="1"/>
  <c r="AC2527" i="1"/>
  <c r="AB2527" i="1"/>
  <c r="AA2527" i="1"/>
  <c r="AF2526" i="1"/>
  <c r="AE2526" i="1"/>
  <c r="AD2526" i="1"/>
  <c r="AC2526" i="1"/>
  <c r="AB2526" i="1"/>
  <c r="AA2526" i="1"/>
  <c r="AF2525" i="1"/>
  <c r="AE2525" i="1"/>
  <c r="AD2525" i="1"/>
  <c r="AC2525" i="1"/>
  <c r="AB2525" i="1"/>
  <c r="AA2525" i="1"/>
  <c r="AF2524" i="1"/>
  <c r="AE2524" i="1"/>
  <c r="AD2524" i="1"/>
  <c r="AC2524" i="1"/>
  <c r="AB2524" i="1"/>
  <c r="AA2524" i="1"/>
  <c r="AF2523" i="1"/>
  <c r="AE2523" i="1"/>
  <c r="AD2523" i="1"/>
  <c r="AC2523" i="1"/>
  <c r="AB2523" i="1"/>
  <c r="AA2523" i="1"/>
  <c r="AF2522" i="1"/>
  <c r="AE2522" i="1"/>
  <c r="AD2522" i="1"/>
  <c r="AC2522" i="1"/>
  <c r="AB2522" i="1"/>
  <c r="AA2522" i="1"/>
  <c r="AF2521" i="1"/>
  <c r="AE2521" i="1"/>
  <c r="AD2521" i="1"/>
  <c r="AC2521" i="1"/>
  <c r="AB2521" i="1"/>
  <c r="AA2521" i="1"/>
  <c r="AF2520" i="1"/>
  <c r="AE2520" i="1"/>
  <c r="AD2520" i="1"/>
  <c r="AC2520" i="1"/>
  <c r="AB2520" i="1"/>
  <c r="AA2520" i="1"/>
  <c r="AF2519" i="1"/>
  <c r="AE2519" i="1"/>
  <c r="AD2519" i="1"/>
  <c r="AC2519" i="1"/>
  <c r="AB2519" i="1"/>
  <c r="AA2519" i="1"/>
  <c r="AF2518" i="1"/>
  <c r="AE2518" i="1"/>
  <c r="AD2518" i="1"/>
  <c r="AC2518" i="1"/>
  <c r="AB2518" i="1"/>
  <c r="AA2518" i="1"/>
  <c r="AF2517" i="1"/>
  <c r="AE2517" i="1"/>
  <c r="AD2517" i="1"/>
  <c r="AC2517" i="1"/>
  <c r="AB2517" i="1"/>
  <c r="AA2517" i="1"/>
  <c r="AF2516" i="1"/>
  <c r="AE2516" i="1"/>
  <c r="AD2516" i="1"/>
  <c r="AC2516" i="1"/>
  <c r="AB2516" i="1"/>
  <c r="AA2516" i="1"/>
  <c r="AF2515" i="1"/>
  <c r="AE2515" i="1"/>
  <c r="AD2515" i="1"/>
  <c r="AC2515" i="1"/>
  <c r="AB2515" i="1"/>
  <c r="AA2515" i="1"/>
  <c r="AF2514" i="1"/>
  <c r="AE2514" i="1"/>
  <c r="AD2514" i="1"/>
  <c r="AC2514" i="1"/>
  <c r="AB2514" i="1"/>
  <c r="AA2514" i="1"/>
  <c r="AF2513" i="1"/>
  <c r="AE2513" i="1"/>
  <c r="AD2513" i="1"/>
  <c r="AC2513" i="1"/>
  <c r="AB2513" i="1"/>
  <c r="AA2513" i="1"/>
  <c r="AF2512" i="1"/>
  <c r="AE2512" i="1"/>
  <c r="AD2512" i="1"/>
  <c r="AC2512" i="1"/>
  <c r="AB2512" i="1"/>
  <c r="AA2512" i="1"/>
  <c r="AF2511" i="1"/>
  <c r="AE2511" i="1"/>
  <c r="AD2511" i="1"/>
  <c r="AC2511" i="1"/>
  <c r="AB2511" i="1"/>
  <c r="AA2511" i="1"/>
  <c r="AF2510" i="1"/>
  <c r="AE2510" i="1"/>
  <c r="AD2510" i="1"/>
  <c r="AC2510" i="1"/>
  <c r="AB2510" i="1"/>
  <c r="AA2510" i="1"/>
  <c r="AF2509" i="1"/>
  <c r="AE2509" i="1"/>
  <c r="AD2509" i="1"/>
  <c r="AC2509" i="1"/>
  <c r="AB2509" i="1"/>
  <c r="AA2509" i="1"/>
  <c r="AF2508" i="1"/>
  <c r="AE2508" i="1"/>
  <c r="AD2508" i="1"/>
  <c r="AC2508" i="1"/>
  <c r="AB2508" i="1"/>
  <c r="AA2508" i="1"/>
  <c r="AF2507" i="1"/>
  <c r="AE2507" i="1"/>
  <c r="AD2507" i="1"/>
  <c r="AC2507" i="1"/>
  <c r="AB2507" i="1"/>
  <c r="AA2507" i="1"/>
  <c r="AF2506" i="1"/>
  <c r="AE2506" i="1"/>
  <c r="AD2506" i="1"/>
  <c r="AC2506" i="1"/>
  <c r="AB2506" i="1"/>
  <c r="AA2506" i="1"/>
  <c r="AF2505" i="1"/>
  <c r="AE2505" i="1"/>
  <c r="AD2505" i="1"/>
  <c r="AC2505" i="1"/>
  <c r="AB2505" i="1"/>
  <c r="AA2505" i="1"/>
  <c r="AF2504" i="1"/>
  <c r="AE2504" i="1"/>
  <c r="AD2504" i="1"/>
  <c r="AC2504" i="1"/>
  <c r="AB2504" i="1"/>
  <c r="AA2504" i="1"/>
  <c r="AF2503" i="1"/>
  <c r="AE2503" i="1"/>
  <c r="AD2503" i="1"/>
  <c r="AC2503" i="1"/>
  <c r="AB2503" i="1"/>
  <c r="AA2503" i="1"/>
  <c r="AF2502" i="1"/>
  <c r="AE2502" i="1"/>
  <c r="AD2502" i="1"/>
  <c r="AC2502" i="1"/>
  <c r="AB2502" i="1"/>
  <c r="AA2502" i="1"/>
  <c r="AF2501" i="1"/>
  <c r="AE2501" i="1"/>
  <c r="AD2501" i="1"/>
  <c r="AC2501" i="1"/>
  <c r="AB2501" i="1"/>
  <c r="AA2501" i="1"/>
  <c r="AF2500" i="1"/>
  <c r="AE2500" i="1"/>
  <c r="AD2500" i="1"/>
  <c r="AC2500" i="1"/>
  <c r="AB2500" i="1"/>
  <c r="AA2500" i="1"/>
  <c r="AF2499" i="1"/>
  <c r="AE2499" i="1"/>
  <c r="AD2499" i="1"/>
  <c r="AC2499" i="1"/>
  <c r="AB2499" i="1"/>
  <c r="AA2499" i="1"/>
  <c r="AF2498" i="1"/>
  <c r="AE2498" i="1"/>
  <c r="AD2498" i="1"/>
  <c r="AC2498" i="1"/>
  <c r="AB2498" i="1"/>
  <c r="AA2498" i="1"/>
  <c r="AF2497" i="1"/>
  <c r="AE2497" i="1"/>
  <c r="AD2497" i="1"/>
  <c r="AC2497" i="1"/>
  <c r="AB2497" i="1"/>
  <c r="AA2497" i="1"/>
  <c r="AF2496" i="1"/>
  <c r="AE2496" i="1"/>
  <c r="AD2496" i="1"/>
  <c r="AC2496" i="1"/>
  <c r="AB2496" i="1"/>
  <c r="AA2496" i="1"/>
  <c r="AF2495" i="1"/>
  <c r="AE2495" i="1"/>
  <c r="AD2495" i="1"/>
  <c r="AC2495" i="1"/>
  <c r="AB2495" i="1"/>
  <c r="AA2495" i="1"/>
  <c r="AF2494" i="1"/>
  <c r="AE2494" i="1"/>
  <c r="AD2494" i="1"/>
  <c r="AC2494" i="1"/>
  <c r="AB2494" i="1"/>
  <c r="AA2494" i="1"/>
  <c r="AF2493" i="1"/>
  <c r="AE2493" i="1"/>
  <c r="AD2493" i="1"/>
  <c r="AC2493" i="1"/>
  <c r="AB2493" i="1"/>
  <c r="AA2493" i="1"/>
  <c r="AF2492" i="1"/>
  <c r="AE2492" i="1"/>
  <c r="AD2492" i="1"/>
  <c r="AC2492" i="1"/>
  <c r="AB2492" i="1"/>
  <c r="AA2492" i="1"/>
  <c r="AF2491" i="1"/>
  <c r="AE2491" i="1"/>
  <c r="AD2491" i="1"/>
  <c r="AC2491" i="1"/>
  <c r="AB2491" i="1"/>
  <c r="AA2491" i="1"/>
  <c r="AF2490" i="1"/>
  <c r="AE2490" i="1"/>
  <c r="AD2490" i="1"/>
  <c r="AC2490" i="1"/>
  <c r="AB2490" i="1"/>
  <c r="AA2490" i="1"/>
  <c r="AF2489" i="1"/>
  <c r="AE2489" i="1"/>
  <c r="AD2489" i="1"/>
  <c r="AC2489" i="1"/>
  <c r="AB2489" i="1"/>
  <c r="AA2489" i="1"/>
  <c r="AF2488" i="1"/>
  <c r="AE2488" i="1"/>
  <c r="AD2488" i="1"/>
  <c r="AC2488" i="1"/>
  <c r="AB2488" i="1"/>
  <c r="AA2488" i="1"/>
  <c r="AF2487" i="1"/>
  <c r="AE2487" i="1"/>
  <c r="AD2487" i="1"/>
  <c r="AC2487" i="1"/>
  <c r="AB2487" i="1"/>
  <c r="AA2487" i="1"/>
  <c r="AF2486" i="1"/>
  <c r="AE2486" i="1"/>
  <c r="AD2486" i="1"/>
  <c r="AC2486" i="1"/>
  <c r="AB2486" i="1"/>
  <c r="AA2486" i="1"/>
  <c r="AF2485" i="1"/>
  <c r="AE2485" i="1"/>
  <c r="AD2485" i="1"/>
  <c r="AC2485" i="1"/>
  <c r="AB2485" i="1"/>
  <c r="AA2485" i="1"/>
  <c r="AF2484" i="1"/>
  <c r="AE2484" i="1"/>
  <c r="AD2484" i="1"/>
  <c r="AC2484" i="1"/>
  <c r="AB2484" i="1"/>
  <c r="AA2484" i="1"/>
  <c r="AF2483" i="1"/>
  <c r="AE2483" i="1"/>
  <c r="AD2483" i="1"/>
  <c r="AC2483" i="1"/>
  <c r="AB2483" i="1"/>
  <c r="AA2483" i="1"/>
  <c r="AF2482" i="1"/>
  <c r="AE2482" i="1"/>
  <c r="AD2482" i="1"/>
  <c r="AC2482" i="1"/>
  <c r="AB2482" i="1"/>
  <c r="AA2482" i="1"/>
  <c r="AF2481" i="1"/>
  <c r="AE2481" i="1"/>
  <c r="AD2481" i="1"/>
  <c r="AC2481" i="1"/>
  <c r="AB2481" i="1"/>
  <c r="AA2481" i="1"/>
  <c r="AF2480" i="1"/>
  <c r="AE2480" i="1"/>
  <c r="AD2480" i="1"/>
  <c r="AC2480" i="1"/>
  <c r="AB2480" i="1"/>
  <c r="AA2480" i="1"/>
  <c r="AF2479" i="1"/>
  <c r="AE2479" i="1"/>
  <c r="AD2479" i="1"/>
  <c r="AC2479" i="1"/>
  <c r="AB2479" i="1"/>
  <c r="AA2479" i="1"/>
  <c r="AF2478" i="1"/>
  <c r="AE2478" i="1"/>
  <c r="AD2478" i="1"/>
  <c r="AC2478" i="1"/>
  <c r="AB2478" i="1"/>
  <c r="AA2478" i="1"/>
  <c r="AF2477" i="1"/>
  <c r="AE2477" i="1"/>
  <c r="AD2477" i="1"/>
  <c r="AC2477" i="1"/>
  <c r="AB2477" i="1"/>
  <c r="AA2477" i="1"/>
  <c r="AF2476" i="1"/>
  <c r="AE2476" i="1"/>
  <c r="AD2476" i="1"/>
  <c r="AC2476" i="1"/>
  <c r="AB2476" i="1"/>
  <c r="AA2476" i="1"/>
  <c r="AF2475" i="1"/>
  <c r="AE2475" i="1"/>
  <c r="AD2475" i="1"/>
  <c r="AC2475" i="1"/>
  <c r="AB2475" i="1"/>
  <c r="AA2475" i="1"/>
  <c r="AF2474" i="1"/>
  <c r="AE2474" i="1"/>
  <c r="AD2474" i="1"/>
  <c r="AC2474" i="1"/>
  <c r="AB2474" i="1"/>
  <c r="AA2474" i="1"/>
  <c r="AF2473" i="1"/>
  <c r="AE2473" i="1"/>
  <c r="AD2473" i="1"/>
  <c r="AC2473" i="1"/>
  <c r="AB2473" i="1"/>
  <c r="AA2473" i="1"/>
  <c r="AF2472" i="1"/>
  <c r="AE2472" i="1"/>
  <c r="AD2472" i="1"/>
  <c r="AC2472" i="1"/>
  <c r="AB2472" i="1"/>
  <c r="AA2472" i="1"/>
  <c r="AF2471" i="1"/>
  <c r="AE2471" i="1"/>
  <c r="AD2471" i="1"/>
  <c r="AC2471" i="1"/>
  <c r="AB2471" i="1"/>
  <c r="AA2471" i="1"/>
  <c r="AF2470" i="1"/>
  <c r="AE2470" i="1"/>
  <c r="AD2470" i="1"/>
  <c r="AC2470" i="1"/>
  <c r="AB2470" i="1"/>
  <c r="AA2470" i="1"/>
  <c r="AF2469" i="1"/>
  <c r="AE2469" i="1"/>
  <c r="AD2469" i="1"/>
  <c r="AC2469" i="1"/>
  <c r="AB2469" i="1"/>
  <c r="AA2469" i="1"/>
  <c r="AF2468" i="1"/>
  <c r="AE2468" i="1"/>
  <c r="AD2468" i="1"/>
  <c r="AC2468" i="1"/>
  <c r="AB2468" i="1"/>
  <c r="AA2468" i="1"/>
  <c r="AF2467" i="1"/>
  <c r="AE2467" i="1"/>
  <c r="AD2467" i="1"/>
  <c r="AC2467" i="1"/>
  <c r="AB2467" i="1"/>
  <c r="AA2467" i="1"/>
  <c r="AF2466" i="1"/>
  <c r="AE2466" i="1"/>
  <c r="AD2466" i="1"/>
  <c r="AC2466" i="1"/>
  <c r="AB2466" i="1"/>
  <c r="AA2466" i="1"/>
  <c r="AF2465" i="1"/>
  <c r="AE2465" i="1"/>
  <c r="AD2465" i="1"/>
  <c r="AC2465" i="1"/>
  <c r="AB2465" i="1"/>
  <c r="AA2465" i="1"/>
  <c r="AF2464" i="1"/>
  <c r="AE2464" i="1"/>
  <c r="AD2464" i="1"/>
  <c r="AC2464" i="1"/>
  <c r="AB2464" i="1"/>
  <c r="AA2464" i="1"/>
  <c r="AF2463" i="1"/>
  <c r="AE2463" i="1"/>
  <c r="AD2463" i="1"/>
  <c r="AC2463" i="1"/>
  <c r="AB2463" i="1"/>
  <c r="AA2463" i="1"/>
  <c r="AF2462" i="1"/>
  <c r="AE2462" i="1"/>
  <c r="AD2462" i="1"/>
  <c r="AC2462" i="1"/>
  <c r="AB2462" i="1"/>
  <c r="AA2462" i="1"/>
  <c r="AF2461" i="1"/>
  <c r="AE2461" i="1"/>
  <c r="AD2461" i="1"/>
  <c r="AC2461" i="1"/>
  <c r="AB2461" i="1"/>
  <c r="AA2461" i="1"/>
  <c r="AF2460" i="1"/>
  <c r="AE2460" i="1"/>
  <c r="AD2460" i="1"/>
  <c r="AC2460" i="1"/>
  <c r="AB2460" i="1"/>
  <c r="AA2460" i="1"/>
  <c r="AF2459" i="1"/>
  <c r="AE2459" i="1"/>
  <c r="AD2459" i="1"/>
  <c r="AC2459" i="1"/>
  <c r="AB2459" i="1"/>
  <c r="AA2459" i="1"/>
  <c r="AF2458" i="1"/>
  <c r="AE2458" i="1"/>
  <c r="AD2458" i="1"/>
  <c r="AC2458" i="1"/>
  <c r="AB2458" i="1"/>
  <c r="AA2458" i="1"/>
  <c r="AF2457" i="1"/>
  <c r="AE2457" i="1"/>
  <c r="AD2457" i="1"/>
  <c r="AC2457" i="1"/>
  <c r="AB2457" i="1"/>
  <c r="AA2457" i="1"/>
  <c r="AF2456" i="1"/>
  <c r="AE2456" i="1"/>
  <c r="AD2456" i="1"/>
  <c r="AC2456" i="1"/>
  <c r="AB2456" i="1"/>
  <c r="AA2456" i="1"/>
  <c r="AF2455" i="1"/>
  <c r="AE2455" i="1"/>
  <c r="AD2455" i="1"/>
  <c r="AC2455" i="1"/>
  <c r="AB2455" i="1"/>
  <c r="AA2455" i="1"/>
  <c r="AF2454" i="1"/>
  <c r="AE2454" i="1"/>
  <c r="AD2454" i="1"/>
  <c r="AC2454" i="1"/>
  <c r="AB2454" i="1"/>
  <c r="AA2454" i="1"/>
  <c r="AF2453" i="1"/>
  <c r="AE2453" i="1"/>
  <c r="AD2453" i="1"/>
  <c r="AC2453" i="1"/>
  <c r="AB2453" i="1"/>
  <c r="AA2453" i="1"/>
  <c r="AF2452" i="1"/>
  <c r="AE2452" i="1"/>
  <c r="AD2452" i="1"/>
  <c r="AC2452" i="1"/>
  <c r="AB2452" i="1"/>
  <c r="AA2452" i="1"/>
  <c r="AF2451" i="1"/>
  <c r="AE2451" i="1"/>
  <c r="AD2451" i="1"/>
  <c r="AC2451" i="1"/>
  <c r="AB2451" i="1"/>
  <c r="AA2451" i="1"/>
  <c r="AF2450" i="1"/>
  <c r="AE2450" i="1"/>
  <c r="AD2450" i="1"/>
  <c r="AC2450" i="1"/>
  <c r="AB2450" i="1"/>
  <c r="AA2450" i="1"/>
  <c r="AF2449" i="1"/>
  <c r="AE2449" i="1"/>
  <c r="AD2449" i="1"/>
  <c r="AC2449" i="1"/>
  <c r="AB2449" i="1"/>
  <c r="AA2449" i="1"/>
  <c r="AF2448" i="1"/>
  <c r="AE2448" i="1"/>
  <c r="AD2448" i="1"/>
  <c r="AC2448" i="1"/>
  <c r="AB2448" i="1"/>
  <c r="AA2448" i="1"/>
  <c r="AF2447" i="1"/>
  <c r="AE2447" i="1"/>
  <c r="AD2447" i="1"/>
  <c r="AC2447" i="1"/>
  <c r="AB2447" i="1"/>
  <c r="AA2447" i="1"/>
  <c r="AF2446" i="1"/>
  <c r="AE2446" i="1"/>
  <c r="AD2446" i="1"/>
  <c r="AC2446" i="1"/>
  <c r="AB2446" i="1"/>
  <c r="AA2446" i="1"/>
  <c r="AF2445" i="1"/>
  <c r="AE2445" i="1"/>
  <c r="AD2445" i="1"/>
  <c r="AC2445" i="1"/>
  <c r="AB2445" i="1"/>
  <c r="AA2445" i="1"/>
  <c r="AF2444" i="1"/>
  <c r="AE2444" i="1"/>
  <c r="AD2444" i="1"/>
  <c r="AC2444" i="1"/>
  <c r="AB2444" i="1"/>
  <c r="AA2444" i="1"/>
  <c r="AF2443" i="1"/>
  <c r="AE2443" i="1"/>
  <c r="AD2443" i="1"/>
  <c r="AC2443" i="1"/>
  <c r="AB2443" i="1"/>
  <c r="AA2443" i="1"/>
  <c r="AF2442" i="1"/>
  <c r="AE2442" i="1"/>
  <c r="AD2442" i="1"/>
  <c r="AC2442" i="1"/>
  <c r="AB2442" i="1"/>
  <c r="AA2442" i="1"/>
  <c r="AF2441" i="1"/>
  <c r="AE2441" i="1"/>
  <c r="AD2441" i="1"/>
  <c r="AC2441" i="1"/>
  <c r="AB2441" i="1"/>
  <c r="AA2441" i="1"/>
  <c r="AF2440" i="1"/>
  <c r="AE2440" i="1"/>
  <c r="AD2440" i="1"/>
  <c r="AC2440" i="1"/>
  <c r="AB2440" i="1"/>
  <c r="AA2440" i="1"/>
  <c r="AF2439" i="1"/>
  <c r="AE2439" i="1"/>
  <c r="AD2439" i="1"/>
  <c r="AC2439" i="1"/>
  <c r="AB2439" i="1"/>
  <c r="AA2439" i="1"/>
  <c r="AF2438" i="1"/>
  <c r="AE2438" i="1"/>
  <c r="AD2438" i="1"/>
  <c r="AC2438" i="1"/>
  <c r="AB2438" i="1"/>
  <c r="AA2438" i="1"/>
  <c r="AF2437" i="1"/>
  <c r="AE2437" i="1"/>
  <c r="AD2437" i="1"/>
  <c r="AC2437" i="1"/>
  <c r="AB2437" i="1"/>
  <c r="AA2437" i="1"/>
  <c r="AF2436" i="1"/>
  <c r="AE2436" i="1"/>
  <c r="AD2436" i="1"/>
  <c r="AC2436" i="1"/>
  <c r="AB2436" i="1"/>
  <c r="AA2436" i="1"/>
  <c r="AF2435" i="1"/>
  <c r="AE2435" i="1"/>
  <c r="AD2435" i="1"/>
  <c r="AC2435" i="1"/>
  <c r="AB2435" i="1"/>
  <c r="AA2435" i="1"/>
  <c r="AF2434" i="1"/>
  <c r="AE2434" i="1"/>
  <c r="AD2434" i="1"/>
  <c r="AC2434" i="1"/>
  <c r="AB2434" i="1"/>
  <c r="AA2434" i="1"/>
  <c r="AF2433" i="1"/>
  <c r="AE2433" i="1"/>
  <c r="AD2433" i="1"/>
  <c r="AC2433" i="1"/>
  <c r="AB2433" i="1"/>
  <c r="AA2433" i="1"/>
  <c r="AF2432" i="1"/>
  <c r="AE2432" i="1"/>
  <c r="AD2432" i="1"/>
  <c r="AC2432" i="1"/>
  <c r="AB2432" i="1"/>
  <c r="AA2432" i="1"/>
  <c r="AF2431" i="1"/>
  <c r="AE2431" i="1"/>
  <c r="AD2431" i="1"/>
  <c r="AC2431" i="1"/>
  <c r="AB2431" i="1"/>
  <c r="AA2431" i="1"/>
  <c r="AF2430" i="1"/>
  <c r="AE2430" i="1"/>
  <c r="AD2430" i="1"/>
  <c r="AC2430" i="1"/>
  <c r="AB2430" i="1"/>
  <c r="AA2430" i="1"/>
  <c r="AF2429" i="1"/>
  <c r="AE2429" i="1"/>
  <c r="AD2429" i="1"/>
  <c r="AC2429" i="1"/>
  <c r="AB2429" i="1"/>
  <c r="AA2429" i="1"/>
  <c r="AF2428" i="1"/>
  <c r="AE2428" i="1"/>
  <c r="AD2428" i="1"/>
  <c r="AC2428" i="1"/>
  <c r="AB2428" i="1"/>
  <c r="AA2428" i="1"/>
  <c r="AF2427" i="1"/>
  <c r="AE2427" i="1"/>
  <c r="AD2427" i="1"/>
  <c r="AC2427" i="1"/>
  <c r="AB2427" i="1"/>
  <c r="AA2427" i="1"/>
  <c r="AF2426" i="1"/>
  <c r="AE2426" i="1"/>
  <c r="AD2426" i="1"/>
  <c r="AC2426" i="1"/>
  <c r="AB2426" i="1"/>
  <c r="AA2426" i="1"/>
  <c r="AF2425" i="1"/>
  <c r="AE2425" i="1"/>
  <c r="AD2425" i="1"/>
  <c r="AC2425" i="1"/>
  <c r="AB2425" i="1"/>
  <c r="AA2425" i="1"/>
  <c r="AF2424" i="1"/>
  <c r="AE2424" i="1"/>
  <c r="AD2424" i="1"/>
  <c r="AC2424" i="1"/>
  <c r="AB2424" i="1"/>
  <c r="AA2424" i="1"/>
  <c r="AF2423" i="1"/>
  <c r="AE2423" i="1"/>
  <c r="AD2423" i="1"/>
  <c r="AC2423" i="1"/>
  <c r="AB2423" i="1"/>
  <c r="AA2423" i="1"/>
  <c r="AF2422" i="1"/>
  <c r="AE2422" i="1"/>
  <c r="AD2422" i="1"/>
  <c r="AC2422" i="1"/>
  <c r="AB2422" i="1"/>
  <c r="AA2422" i="1"/>
  <c r="AF2421" i="1"/>
  <c r="AE2421" i="1"/>
  <c r="AD2421" i="1"/>
  <c r="AC2421" i="1"/>
  <c r="AB2421" i="1"/>
  <c r="AA2421" i="1"/>
  <c r="AF2420" i="1"/>
  <c r="AE2420" i="1"/>
  <c r="AD2420" i="1"/>
  <c r="AC2420" i="1"/>
  <c r="AB2420" i="1"/>
  <c r="AA2420" i="1"/>
  <c r="AF2419" i="1"/>
  <c r="AE2419" i="1"/>
  <c r="AD2419" i="1"/>
  <c r="AC2419" i="1"/>
  <c r="AB2419" i="1"/>
  <c r="AA2419" i="1"/>
  <c r="AF2418" i="1"/>
  <c r="AE2418" i="1"/>
  <c r="AD2418" i="1"/>
  <c r="AC2418" i="1"/>
  <c r="AB2418" i="1"/>
  <c r="AA2418" i="1"/>
  <c r="AF2417" i="1"/>
  <c r="AE2417" i="1"/>
  <c r="AD2417" i="1"/>
  <c r="AC2417" i="1"/>
  <c r="AB2417" i="1"/>
  <c r="AA2417" i="1"/>
  <c r="AF2416" i="1"/>
  <c r="AE2416" i="1"/>
  <c r="AD2416" i="1"/>
  <c r="AC2416" i="1"/>
  <c r="AB2416" i="1"/>
  <c r="AA2416" i="1"/>
  <c r="AF2415" i="1"/>
  <c r="AE2415" i="1"/>
  <c r="AD2415" i="1"/>
  <c r="AC2415" i="1"/>
  <c r="AB2415" i="1"/>
  <c r="AA2415" i="1"/>
  <c r="AF2414" i="1"/>
  <c r="AE2414" i="1"/>
  <c r="AD2414" i="1"/>
  <c r="AC2414" i="1"/>
  <c r="AB2414" i="1"/>
  <c r="AA2414" i="1"/>
  <c r="AF2413" i="1"/>
  <c r="AE2413" i="1"/>
  <c r="AD2413" i="1"/>
  <c r="AC2413" i="1"/>
  <c r="AB2413" i="1"/>
  <c r="AA2413" i="1"/>
  <c r="AF2412" i="1"/>
  <c r="AE2412" i="1"/>
  <c r="AD2412" i="1"/>
  <c r="AC2412" i="1"/>
  <c r="AB2412" i="1"/>
  <c r="AA2412" i="1"/>
  <c r="AF2411" i="1"/>
  <c r="AE2411" i="1"/>
  <c r="AD2411" i="1"/>
  <c r="AC2411" i="1"/>
  <c r="AB2411" i="1"/>
  <c r="AA2411" i="1"/>
  <c r="AF2410" i="1"/>
  <c r="AE2410" i="1"/>
  <c r="AD2410" i="1"/>
  <c r="AC2410" i="1"/>
  <c r="AB2410" i="1"/>
  <c r="AA2410" i="1"/>
  <c r="AF2409" i="1"/>
  <c r="AE2409" i="1"/>
  <c r="AD2409" i="1"/>
  <c r="AC2409" i="1"/>
  <c r="AB2409" i="1"/>
  <c r="AA2409" i="1"/>
  <c r="AF2408" i="1"/>
  <c r="AE2408" i="1"/>
  <c r="AD2408" i="1"/>
  <c r="AC2408" i="1"/>
  <c r="AB2408" i="1"/>
  <c r="AA2408" i="1"/>
  <c r="AF2407" i="1"/>
  <c r="AE2407" i="1"/>
  <c r="AD2407" i="1"/>
  <c r="AC2407" i="1"/>
  <c r="AB2407" i="1"/>
  <c r="AA2407" i="1"/>
  <c r="AF2406" i="1"/>
  <c r="AE2406" i="1"/>
  <c r="AD2406" i="1"/>
  <c r="AC2406" i="1"/>
  <c r="AB2406" i="1"/>
  <c r="AA2406" i="1"/>
  <c r="AF2405" i="1"/>
  <c r="AE2405" i="1"/>
  <c r="AD2405" i="1"/>
  <c r="AC2405" i="1"/>
  <c r="AB2405" i="1"/>
  <c r="AA2405" i="1"/>
  <c r="AF2404" i="1"/>
  <c r="AE2404" i="1"/>
  <c r="AD2404" i="1"/>
  <c r="AC2404" i="1"/>
  <c r="AB2404" i="1"/>
  <c r="AA2404" i="1"/>
  <c r="AF2403" i="1"/>
  <c r="AE2403" i="1"/>
  <c r="AD2403" i="1"/>
  <c r="AC2403" i="1"/>
  <c r="AB2403" i="1"/>
  <c r="AA2403" i="1"/>
  <c r="AF2402" i="1"/>
  <c r="AE2402" i="1"/>
  <c r="AD2402" i="1"/>
  <c r="AC2402" i="1"/>
  <c r="AB2402" i="1"/>
  <c r="AA2402" i="1"/>
  <c r="AF2401" i="1"/>
  <c r="AE2401" i="1"/>
  <c r="AD2401" i="1"/>
  <c r="AC2401" i="1"/>
  <c r="AB2401" i="1"/>
  <c r="AA2401" i="1"/>
  <c r="AF2400" i="1"/>
  <c r="AE2400" i="1"/>
  <c r="AD2400" i="1"/>
  <c r="AC2400" i="1"/>
  <c r="AB2400" i="1"/>
  <c r="AA2400" i="1"/>
  <c r="AF2399" i="1"/>
  <c r="AE2399" i="1"/>
  <c r="AD2399" i="1"/>
  <c r="AC2399" i="1"/>
  <c r="AB2399" i="1"/>
  <c r="AA2399" i="1"/>
  <c r="AF2398" i="1"/>
  <c r="AE2398" i="1"/>
  <c r="AD2398" i="1"/>
  <c r="AC2398" i="1"/>
  <c r="AB2398" i="1"/>
  <c r="AA2398" i="1"/>
  <c r="AF2397" i="1"/>
  <c r="AE2397" i="1"/>
  <c r="AD2397" i="1"/>
  <c r="AC2397" i="1"/>
  <c r="AB2397" i="1"/>
  <c r="AA2397" i="1"/>
  <c r="AF2396" i="1"/>
  <c r="AE2396" i="1"/>
  <c r="AD2396" i="1"/>
  <c r="AC2396" i="1"/>
  <c r="AB2396" i="1"/>
  <c r="AA2396" i="1"/>
  <c r="AF2395" i="1"/>
  <c r="AE2395" i="1"/>
  <c r="AD2395" i="1"/>
  <c r="AC2395" i="1"/>
  <c r="AB2395" i="1"/>
  <c r="AA2395" i="1"/>
  <c r="AF2394" i="1"/>
  <c r="AE2394" i="1"/>
  <c r="AD2394" i="1"/>
  <c r="AC2394" i="1"/>
  <c r="AB2394" i="1"/>
  <c r="AA2394" i="1"/>
  <c r="AF2393" i="1"/>
  <c r="AE2393" i="1"/>
  <c r="AD2393" i="1"/>
  <c r="AC2393" i="1"/>
  <c r="AB2393" i="1"/>
  <c r="AA2393" i="1"/>
  <c r="AF2392" i="1"/>
  <c r="AE2392" i="1"/>
  <c r="AD2392" i="1"/>
  <c r="AC2392" i="1"/>
  <c r="AB2392" i="1"/>
  <c r="AA2392" i="1"/>
  <c r="AF2391" i="1"/>
  <c r="AE2391" i="1"/>
  <c r="AD2391" i="1"/>
  <c r="AC2391" i="1"/>
  <c r="AB2391" i="1"/>
  <c r="AA2391" i="1"/>
  <c r="AF2390" i="1"/>
  <c r="AE2390" i="1"/>
  <c r="AD2390" i="1"/>
  <c r="AC2390" i="1"/>
  <c r="AB2390" i="1"/>
  <c r="AA2390" i="1"/>
  <c r="AF2389" i="1"/>
  <c r="AE2389" i="1"/>
  <c r="AD2389" i="1"/>
  <c r="AC2389" i="1"/>
  <c r="AB2389" i="1"/>
  <c r="AA2389" i="1"/>
  <c r="AF2388" i="1"/>
  <c r="AE2388" i="1"/>
  <c r="AD2388" i="1"/>
  <c r="AC2388" i="1"/>
  <c r="AB2388" i="1"/>
  <c r="AA2388" i="1"/>
  <c r="AF2387" i="1"/>
  <c r="AE2387" i="1"/>
  <c r="AD2387" i="1"/>
  <c r="AC2387" i="1"/>
  <c r="AB2387" i="1"/>
  <c r="AA2387" i="1"/>
  <c r="AF2386" i="1"/>
  <c r="AE2386" i="1"/>
  <c r="AD2386" i="1"/>
  <c r="AC2386" i="1"/>
  <c r="AB2386" i="1"/>
  <c r="AA2386" i="1"/>
  <c r="AF2385" i="1"/>
  <c r="AE2385" i="1"/>
  <c r="AD2385" i="1"/>
  <c r="AC2385" i="1"/>
  <c r="AB2385" i="1"/>
  <c r="AA2385" i="1"/>
  <c r="AF2384" i="1"/>
  <c r="AE2384" i="1"/>
  <c r="AD2384" i="1"/>
  <c r="AC2384" i="1"/>
  <c r="AB2384" i="1"/>
  <c r="AA2384" i="1"/>
  <c r="AF2383" i="1"/>
  <c r="AE2383" i="1"/>
  <c r="AD2383" i="1"/>
  <c r="AC2383" i="1"/>
  <c r="AB2383" i="1"/>
  <c r="AA2383" i="1"/>
  <c r="AF2382" i="1"/>
  <c r="AE2382" i="1"/>
  <c r="AD2382" i="1"/>
  <c r="AC2382" i="1"/>
  <c r="AB2382" i="1"/>
  <c r="AA2382" i="1"/>
  <c r="AF2381" i="1"/>
  <c r="AE2381" i="1"/>
  <c r="AD2381" i="1"/>
  <c r="AC2381" i="1"/>
  <c r="AB2381" i="1"/>
  <c r="AA2381" i="1"/>
  <c r="AF2380" i="1"/>
  <c r="AE2380" i="1"/>
  <c r="AD2380" i="1"/>
  <c r="AC2380" i="1"/>
  <c r="AB2380" i="1"/>
  <c r="AA2380" i="1"/>
  <c r="AF2379" i="1"/>
  <c r="AE2379" i="1"/>
  <c r="AD2379" i="1"/>
  <c r="AC2379" i="1"/>
  <c r="AB2379" i="1"/>
  <c r="AA2379" i="1"/>
  <c r="AF2378" i="1"/>
  <c r="AE2378" i="1"/>
  <c r="AD2378" i="1"/>
  <c r="AC2378" i="1"/>
  <c r="AB2378" i="1"/>
  <c r="AA2378" i="1"/>
  <c r="AF2377" i="1"/>
  <c r="AE2377" i="1"/>
  <c r="AD2377" i="1"/>
  <c r="AC2377" i="1"/>
  <c r="AB2377" i="1"/>
  <c r="AA2377" i="1"/>
  <c r="AF2376" i="1"/>
  <c r="AE2376" i="1"/>
  <c r="AD2376" i="1"/>
  <c r="AC2376" i="1"/>
  <c r="AB2376" i="1"/>
  <c r="AA2376" i="1"/>
  <c r="AF2375" i="1"/>
  <c r="AE2375" i="1"/>
  <c r="AD2375" i="1"/>
  <c r="AC2375" i="1"/>
  <c r="AB2375" i="1"/>
  <c r="AA2375" i="1"/>
  <c r="AF2374" i="1"/>
  <c r="AE2374" i="1"/>
  <c r="AD2374" i="1"/>
  <c r="AC2374" i="1"/>
  <c r="AB2374" i="1"/>
  <c r="AA2374" i="1"/>
  <c r="AF2373" i="1"/>
  <c r="AE2373" i="1"/>
  <c r="AD2373" i="1"/>
  <c r="AC2373" i="1"/>
  <c r="AB2373" i="1"/>
  <c r="AA2373" i="1"/>
  <c r="AF2372" i="1"/>
  <c r="AE2372" i="1"/>
  <c r="AD2372" i="1"/>
  <c r="AC2372" i="1"/>
  <c r="AB2372" i="1"/>
  <c r="AA2372" i="1"/>
  <c r="AF2371" i="1"/>
  <c r="AE2371" i="1"/>
  <c r="AD2371" i="1"/>
  <c r="AC2371" i="1"/>
  <c r="AB2371" i="1"/>
  <c r="AA2371" i="1"/>
  <c r="AF2370" i="1"/>
  <c r="AE2370" i="1"/>
  <c r="AD2370" i="1"/>
  <c r="AC2370" i="1"/>
  <c r="AB2370" i="1"/>
  <c r="AA2370" i="1"/>
  <c r="AF2369" i="1"/>
  <c r="AE2369" i="1"/>
  <c r="AD2369" i="1"/>
  <c r="AC2369" i="1"/>
  <c r="AB2369" i="1"/>
  <c r="AA2369" i="1"/>
  <c r="AF2368" i="1"/>
  <c r="AE2368" i="1"/>
  <c r="AD2368" i="1"/>
  <c r="AC2368" i="1"/>
  <c r="AB2368" i="1"/>
  <c r="AA2368" i="1"/>
  <c r="AF2367" i="1"/>
  <c r="AE2367" i="1"/>
  <c r="AD2367" i="1"/>
  <c r="AC2367" i="1"/>
  <c r="AB2367" i="1"/>
  <c r="AA2367" i="1"/>
  <c r="AF2366" i="1"/>
  <c r="AE2366" i="1"/>
  <c r="AD2366" i="1"/>
  <c r="AC2366" i="1"/>
  <c r="AB2366" i="1"/>
  <c r="AA2366" i="1"/>
  <c r="AF2365" i="1"/>
  <c r="AE2365" i="1"/>
  <c r="AD2365" i="1"/>
  <c r="AC2365" i="1"/>
  <c r="AB2365" i="1"/>
  <c r="AA2365" i="1"/>
  <c r="AF2364" i="1"/>
  <c r="AE2364" i="1"/>
  <c r="AD2364" i="1"/>
  <c r="AC2364" i="1"/>
  <c r="AB2364" i="1"/>
  <c r="AA2364" i="1"/>
  <c r="AF2363" i="1"/>
  <c r="AE2363" i="1"/>
  <c r="AD2363" i="1"/>
  <c r="AC2363" i="1"/>
  <c r="AB2363" i="1"/>
  <c r="AA2363" i="1"/>
  <c r="AF2362" i="1"/>
  <c r="AE2362" i="1"/>
  <c r="AD2362" i="1"/>
  <c r="AC2362" i="1"/>
  <c r="AB2362" i="1"/>
  <c r="AA2362" i="1"/>
  <c r="AF2361" i="1"/>
  <c r="AE2361" i="1"/>
  <c r="AD2361" i="1"/>
  <c r="AC2361" i="1"/>
  <c r="AB2361" i="1"/>
  <c r="AA2361" i="1"/>
  <c r="AF2360" i="1"/>
  <c r="AE2360" i="1"/>
  <c r="AD2360" i="1"/>
  <c r="AC2360" i="1"/>
  <c r="AB2360" i="1"/>
  <c r="AA2360" i="1"/>
  <c r="AF2359" i="1"/>
  <c r="AE2359" i="1"/>
  <c r="AD2359" i="1"/>
  <c r="AC2359" i="1"/>
  <c r="AB2359" i="1"/>
  <c r="AA2359" i="1"/>
  <c r="AF2358" i="1"/>
  <c r="AE2358" i="1"/>
  <c r="AD2358" i="1"/>
  <c r="AC2358" i="1"/>
  <c r="AB2358" i="1"/>
  <c r="AA2358" i="1"/>
  <c r="AF2357" i="1"/>
  <c r="AE2357" i="1"/>
  <c r="AD2357" i="1"/>
  <c r="AC2357" i="1"/>
  <c r="AB2357" i="1"/>
  <c r="AA2357" i="1"/>
  <c r="AF2356" i="1"/>
  <c r="AE2356" i="1"/>
  <c r="AD2356" i="1"/>
  <c r="AC2356" i="1"/>
  <c r="AB2356" i="1"/>
  <c r="AA2356" i="1"/>
  <c r="AF2355" i="1"/>
  <c r="AE2355" i="1"/>
  <c r="AD2355" i="1"/>
  <c r="AC2355" i="1"/>
  <c r="AB2355" i="1"/>
  <c r="AA2355" i="1"/>
  <c r="AF2354" i="1"/>
  <c r="AE2354" i="1"/>
  <c r="AD2354" i="1"/>
  <c r="AC2354" i="1"/>
  <c r="AB2354" i="1"/>
  <c r="AA2354" i="1"/>
  <c r="AF2353" i="1"/>
  <c r="AE2353" i="1"/>
  <c r="AD2353" i="1"/>
  <c r="AC2353" i="1"/>
  <c r="AB2353" i="1"/>
  <c r="AA2353" i="1"/>
  <c r="AF2352" i="1"/>
  <c r="AE2352" i="1"/>
  <c r="AD2352" i="1"/>
  <c r="AC2352" i="1"/>
  <c r="AB2352" i="1"/>
  <c r="AA2352" i="1"/>
  <c r="AF2351" i="1"/>
  <c r="AE2351" i="1"/>
  <c r="AD2351" i="1"/>
  <c r="AC2351" i="1"/>
  <c r="AB2351" i="1"/>
  <c r="AA2351" i="1"/>
  <c r="AF2350" i="1"/>
  <c r="AE2350" i="1"/>
  <c r="AD2350" i="1"/>
  <c r="AC2350" i="1"/>
  <c r="AB2350" i="1"/>
  <c r="AA2350" i="1"/>
  <c r="AF2349" i="1"/>
  <c r="AE2349" i="1"/>
  <c r="AD2349" i="1"/>
  <c r="AC2349" i="1"/>
  <c r="AB2349" i="1"/>
  <c r="AA2349" i="1"/>
  <c r="AF2348" i="1"/>
  <c r="AE2348" i="1"/>
  <c r="AD2348" i="1"/>
  <c r="AC2348" i="1"/>
  <c r="AB2348" i="1"/>
  <c r="AA2348" i="1"/>
  <c r="AF2347" i="1"/>
  <c r="AE2347" i="1"/>
  <c r="AD2347" i="1"/>
  <c r="AC2347" i="1"/>
  <c r="AB2347" i="1"/>
  <c r="AA2347" i="1"/>
  <c r="AF2346" i="1"/>
  <c r="AE2346" i="1"/>
  <c r="AD2346" i="1"/>
  <c r="AC2346" i="1"/>
  <c r="AB2346" i="1"/>
  <c r="AA2346" i="1"/>
  <c r="AF2345" i="1"/>
  <c r="AE2345" i="1"/>
  <c r="AD2345" i="1"/>
  <c r="AC2345" i="1"/>
  <c r="AB2345" i="1"/>
  <c r="AA2345" i="1"/>
  <c r="AF2344" i="1"/>
  <c r="AE2344" i="1"/>
  <c r="AD2344" i="1"/>
  <c r="AC2344" i="1"/>
  <c r="AB2344" i="1"/>
  <c r="AA2344" i="1"/>
  <c r="AF2343" i="1"/>
  <c r="AE2343" i="1"/>
  <c r="AD2343" i="1"/>
  <c r="AC2343" i="1"/>
  <c r="AB2343" i="1"/>
  <c r="AA2343" i="1"/>
  <c r="AF2342" i="1"/>
  <c r="AE2342" i="1"/>
  <c r="AD2342" i="1"/>
  <c r="AC2342" i="1"/>
  <c r="AB2342" i="1"/>
  <c r="AA2342" i="1"/>
  <c r="AF2341" i="1"/>
  <c r="AE2341" i="1"/>
  <c r="AD2341" i="1"/>
  <c r="AC2341" i="1"/>
  <c r="AB2341" i="1"/>
  <c r="AA2341" i="1"/>
  <c r="AF2340" i="1"/>
  <c r="AE2340" i="1"/>
  <c r="AD2340" i="1"/>
  <c r="AC2340" i="1"/>
  <c r="AB2340" i="1"/>
  <c r="AA2340" i="1"/>
  <c r="AF2339" i="1"/>
  <c r="AE2339" i="1"/>
  <c r="AD2339" i="1"/>
  <c r="AC2339" i="1"/>
  <c r="AB2339" i="1"/>
  <c r="AA2339" i="1"/>
  <c r="AF2338" i="1"/>
  <c r="AE2338" i="1"/>
  <c r="AD2338" i="1"/>
  <c r="AC2338" i="1"/>
  <c r="AB2338" i="1"/>
  <c r="AA2338" i="1"/>
  <c r="AF2337" i="1"/>
  <c r="AE2337" i="1"/>
  <c r="AD2337" i="1"/>
  <c r="AC2337" i="1"/>
  <c r="AB2337" i="1"/>
  <c r="AA2337" i="1"/>
  <c r="AF2336" i="1"/>
  <c r="AE2336" i="1"/>
  <c r="AD2336" i="1"/>
  <c r="AC2336" i="1"/>
  <c r="AB2336" i="1"/>
  <c r="AA2336" i="1"/>
  <c r="AF2335" i="1"/>
  <c r="AE2335" i="1"/>
  <c r="AD2335" i="1"/>
  <c r="AC2335" i="1"/>
  <c r="AB2335" i="1"/>
  <c r="AA2335" i="1"/>
  <c r="AF2334" i="1"/>
  <c r="AE2334" i="1"/>
  <c r="AD2334" i="1"/>
  <c r="AC2334" i="1"/>
  <c r="AB2334" i="1"/>
  <c r="AA2334" i="1"/>
  <c r="AF2333" i="1"/>
  <c r="AE2333" i="1"/>
  <c r="AD2333" i="1"/>
  <c r="AC2333" i="1"/>
  <c r="AB2333" i="1"/>
  <c r="AA2333" i="1"/>
  <c r="AF2332" i="1"/>
  <c r="AE2332" i="1"/>
  <c r="AD2332" i="1"/>
  <c r="AC2332" i="1"/>
  <c r="AB2332" i="1"/>
  <c r="AA2332" i="1"/>
  <c r="AF2331" i="1"/>
  <c r="AE2331" i="1"/>
  <c r="AD2331" i="1"/>
  <c r="AC2331" i="1"/>
  <c r="AB2331" i="1"/>
  <c r="AA2331" i="1"/>
  <c r="AF2330" i="1"/>
  <c r="AE2330" i="1"/>
  <c r="AD2330" i="1"/>
  <c r="AC2330" i="1"/>
  <c r="AB2330" i="1"/>
  <c r="AA2330" i="1"/>
  <c r="AF2329" i="1"/>
  <c r="AE2329" i="1"/>
  <c r="AD2329" i="1"/>
  <c r="AC2329" i="1"/>
  <c r="AB2329" i="1"/>
  <c r="AA2329" i="1"/>
  <c r="AF2328" i="1"/>
  <c r="AE2328" i="1"/>
  <c r="AD2328" i="1"/>
  <c r="AC2328" i="1"/>
  <c r="AB2328" i="1"/>
  <c r="AA2328" i="1"/>
  <c r="AF2327" i="1"/>
  <c r="AE2327" i="1"/>
  <c r="AD2327" i="1"/>
  <c r="AC2327" i="1"/>
  <c r="AB2327" i="1"/>
  <c r="AA2327" i="1"/>
  <c r="AF2326" i="1"/>
  <c r="AE2326" i="1"/>
  <c r="AD2326" i="1"/>
  <c r="AC2326" i="1"/>
  <c r="AB2326" i="1"/>
  <c r="AA2326" i="1"/>
  <c r="AF2325" i="1"/>
  <c r="AE2325" i="1"/>
  <c r="AD2325" i="1"/>
  <c r="AC2325" i="1"/>
  <c r="AB2325" i="1"/>
  <c r="AA2325" i="1"/>
  <c r="AF2324" i="1"/>
  <c r="AE2324" i="1"/>
  <c r="AD2324" i="1"/>
  <c r="AC2324" i="1"/>
  <c r="AB2324" i="1"/>
  <c r="AA2324" i="1"/>
  <c r="AF2323" i="1"/>
  <c r="AE2323" i="1"/>
  <c r="AD2323" i="1"/>
  <c r="AC2323" i="1"/>
  <c r="AB2323" i="1"/>
  <c r="AA2323" i="1"/>
  <c r="AF2322" i="1"/>
  <c r="AE2322" i="1"/>
  <c r="AD2322" i="1"/>
  <c r="AC2322" i="1"/>
  <c r="AB2322" i="1"/>
  <c r="AA2322" i="1"/>
  <c r="AF2321" i="1"/>
  <c r="AE2321" i="1"/>
  <c r="AD2321" i="1"/>
  <c r="AC2321" i="1"/>
  <c r="AB2321" i="1"/>
  <c r="AA2321" i="1"/>
  <c r="AF2320" i="1"/>
  <c r="AE2320" i="1"/>
  <c r="AD2320" i="1"/>
  <c r="AC2320" i="1"/>
  <c r="AB2320" i="1"/>
  <c r="AA2320" i="1"/>
  <c r="AF2319" i="1"/>
  <c r="AE2319" i="1"/>
  <c r="AD2319" i="1"/>
  <c r="AC2319" i="1"/>
  <c r="AB2319" i="1"/>
  <c r="AA2319" i="1"/>
  <c r="AF2318" i="1"/>
  <c r="AE2318" i="1"/>
  <c r="AD2318" i="1"/>
  <c r="AC2318" i="1"/>
  <c r="AB2318" i="1"/>
  <c r="AA2318" i="1"/>
  <c r="AF2317" i="1"/>
  <c r="AE2317" i="1"/>
  <c r="AD2317" i="1"/>
  <c r="AC2317" i="1"/>
  <c r="AB2317" i="1"/>
  <c r="AA2317" i="1"/>
  <c r="AF2316" i="1"/>
  <c r="AE2316" i="1"/>
  <c r="AD2316" i="1"/>
  <c r="AC2316" i="1"/>
  <c r="AB2316" i="1"/>
  <c r="AA2316" i="1"/>
  <c r="AF2315" i="1"/>
  <c r="AE2315" i="1"/>
  <c r="AD2315" i="1"/>
  <c r="AC2315" i="1"/>
  <c r="AB2315" i="1"/>
  <c r="AA2315" i="1"/>
  <c r="AF2314" i="1"/>
  <c r="AE2314" i="1"/>
  <c r="AD2314" i="1"/>
  <c r="AC2314" i="1"/>
  <c r="AB2314" i="1"/>
  <c r="AA2314" i="1"/>
  <c r="AF2313" i="1"/>
  <c r="AE2313" i="1"/>
  <c r="AD2313" i="1"/>
  <c r="AC2313" i="1"/>
  <c r="AB2313" i="1"/>
  <c r="AA2313" i="1"/>
  <c r="AF2312" i="1"/>
  <c r="AE2312" i="1"/>
  <c r="AD2312" i="1"/>
  <c r="AC2312" i="1"/>
  <c r="AB2312" i="1"/>
  <c r="AA2312" i="1"/>
  <c r="AF2311" i="1"/>
  <c r="AE2311" i="1"/>
  <c r="AD2311" i="1"/>
  <c r="AC2311" i="1"/>
  <c r="AB2311" i="1"/>
  <c r="AA2311" i="1"/>
  <c r="AF2310" i="1"/>
  <c r="AE2310" i="1"/>
  <c r="AD2310" i="1"/>
  <c r="AC2310" i="1"/>
  <c r="AB2310" i="1"/>
  <c r="AA2310" i="1"/>
  <c r="AF2309" i="1"/>
  <c r="AE2309" i="1"/>
  <c r="AD2309" i="1"/>
  <c r="AC2309" i="1"/>
  <c r="AB2309" i="1"/>
  <c r="AA2309" i="1"/>
  <c r="AF2308" i="1"/>
  <c r="AE2308" i="1"/>
  <c r="AD2308" i="1"/>
  <c r="AC2308" i="1"/>
  <c r="AB2308" i="1"/>
  <c r="AA2308" i="1"/>
  <c r="AF2307" i="1"/>
  <c r="AE2307" i="1"/>
  <c r="AD2307" i="1"/>
  <c r="AC2307" i="1"/>
  <c r="AB2307" i="1"/>
  <c r="AA2307" i="1"/>
  <c r="AF2306" i="1"/>
  <c r="AE2306" i="1"/>
  <c r="AD2306" i="1"/>
  <c r="AC2306" i="1"/>
  <c r="AB2306" i="1"/>
  <c r="AA2306" i="1"/>
  <c r="AF2305" i="1"/>
  <c r="AE2305" i="1"/>
  <c r="AD2305" i="1"/>
  <c r="AC2305" i="1"/>
  <c r="AB2305" i="1"/>
  <c r="AA2305" i="1"/>
  <c r="AF2304" i="1"/>
  <c r="AE2304" i="1"/>
  <c r="AD2304" i="1"/>
  <c r="AC2304" i="1"/>
  <c r="AB2304" i="1"/>
  <c r="AA2304" i="1"/>
  <c r="AF2303" i="1"/>
  <c r="AE2303" i="1"/>
  <c r="AD2303" i="1"/>
  <c r="AC2303" i="1"/>
  <c r="AB2303" i="1"/>
  <c r="AA2303" i="1"/>
  <c r="AF2302" i="1"/>
  <c r="AE2302" i="1"/>
  <c r="AD2302" i="1"/>
  <c r="AC2302" i="1"/>
  <c r="AB2302" i="1"/>
  <c r="AA2302" i="1"/>
  <c r="AF2301" i="1"/>
  <c r="AE2301" i="1"/>
  <c r="AD2301" i="1"/>
  <c r="AC2301" i="1"/>
  <c r="AB2301" i="1"/>
  <c r="AA2301" i="1"/>
  <c r="AF2300" i="1"/>
  <c r="AE2300" i="1"/>
  <c r="AD2300" i="1"/>
  <c r="AC2300" i="1"/>
  <c r="AB2300" i="1"/>
  <c r="AA2300" i="1"/>
  <c r="AF2299" i="1"/>
  <c r="AE2299" i="1"/>
  <c r="AD2299" i="1"/>
  <c r="AC2299" i="1"/>
  <c r="AB2299" i="1"/>
  <c r="AA2299" i="1"/>
  <c r="AF2298" i="1"/>
  <c r="AE2298" i="1"/>
  <c r="AD2298" i="1"/>
  <c r="AC2298" i="1"/>
  <c r="AB2298" i="1"/>
  <c r="AA2298" i="1"/>
  <c r="AF2297" i="1"/>
  <c r="AE2297" i="1"/>
  <c r="AD2297" i="1"/>
  <c r="AC2297" i="1"/>
  <c r="AB2297" i="1"/>
  <c r="AA2297" i="1"/>
  <c r="AF2296" i="1"/>
  <c r="AE2296" i="1"/>
  <c r="AD2296" i="1"/>
  <c r="AC2296" i="1"/>
  <c r="AB2296" i="1"/>
  <c r="AA2296" i="1"/>
  <c r="AF2295" i="1"/>
  <c r="AE2295" i="1"/>
  <c r="AD2295" i="1"/>
  <c r="AC2295" i="1"/>
  <c r="AB2295" i="1"/>
  <c r="AA2295" i="1"/>
  <c r="AF2294" i="1"/>
  <c r="AE2294" i="1"/>
  <c r="AD2294" i="1"/>
  <c r="AC2294" i="1"/>
  <c r="AB2294" i="1"/>
  <c r="AA2294" i="1"/>
  <c r="AF2293" i="1"/>
  <c r="AE2293" i="1"/>
  <c r="AD2293" i="1"/>
  <c r="AC2293" i="1"/>
  <c r="AB2293" i="1"/>
  <c r="AA2293" i="1"/>
  <c r="AF2292" i="1"/>
  <c r="AE2292" i="1"/>
  <c r="AD2292" i="1"/>
  <c r="AC2292" i="1"/>
  <c r="AB2292" i="1"/>
  <c r="AA2292" i="1"/>
  <c r="AF2291" i="1"/>
  <c r="AE2291" i="1"/>
  <c r="AD2291" i="1"/>
  <c r="AC2291" i="1"/>
  <c r="AB2291" i="1"/>
  <c r="AA2291" i="1"/>
  <c r="AF2290" i="1"/>
  <c r="AE2290" i="1"/>
  <c r="AD2290" i="1"/>
  <c r="AC2290" i="1"/>
  <c r="AB2290" i="1"/>
  <c r="AA2290" i="1"/>
  <c r="AF2289" i="1"/>
  <c r="AE2289" i="1"/>
  <c r="AD2289" i="1"/>
  <c r="AC2289" i="1"/>
  <c r="AB2289" i="1"/>
  <c r="AA2289" i="1"/>
  <c r="AF2288" i="1"/>
  <c r="AE2288" i="1"/>
  <c r="AD2288" i="1"/>
  <c r="AC2288" i="1"/>
  <c r="AB2288" i="1"/>
  <c r="AA2288" i="1"/>
  <c r="AF2287" i="1"/>
  <c r="AE2287" i="1"/>
  <c r="AD2287" i="1"/>
  <c r="AC2287" i="1"/>
  <c r="AB2287" i="1"/>
  <c r="AA2287" i="1"/>
  <c r="AF2286" i="1"/>
  <c r="AE2286" i="1"/>
  <c r="AD2286" i="1"/>
  <c r="AC2286" i="1"/>
  <c r="AB2286" i="1"/>
  <c r="AA2286" i="1"/>
  <c r="AF2285" i="1"/>
  <c r="AE2285" i="1"/>
  <c r="AD2285" i="1"/>
  <c r="AC2285" i="1"/>
  <c r="AB2285" i="1"/>
  <c r="AA2285" i="1"/>
  <c r="AF2284" i="1"/>
  <c r="AE2284" i="1"/>
  <c r="AD2284" i="1"/>
  <c r="AC2284" i="1"/>
  <c r="AB2284" i="1"/>
  <c r="AA2284" i="1"/>
  <c r="AF2283" i="1"/>
  <c r="AE2283" i="1"/>
  <c r="AD2283" i="1"/>
  <c r="AC2283" i="1"/>
  <c r="AB2283" i="1"/>
  <c r="AA2283" i="1"/>
  <c r="AF2282" i="1"/>
  <c r="AE2282" i="1"/>
  <c r="AD2282" i="1"/>
  <c r="AC2282" i="1"/>
  <c r="AB2282" i="1"/>
  <c r="AA2282" i="1"/>
  <c r="AF2281" i="1"/>
  <c r="AE2281" i="1"/>
  <c r="AD2281" i="1"/>
  <c r="AC2281" i="1"/>
  <c r="AB2281" i="1"/>
  <c r="AA2281" i="1"/>
  <c r="AF2280" i="1"/>
  <c r="AE2280" i="1"/>
  <c r="AD2280" i="1"/>
  <c r="AC2280" i="1"/>
  <c r="AB2280" i="1"/>
  <c r="AA2280" i="1"/>
  <c r="AF2279" i="1"/>
  <c r="AE2279" i="1"/>
  <c r="AD2279" i="1"/>
  <c r="AC2279" i="1"/>
  <c r="AB2279" i="1"/>
  <c r="AA2279" i="1"/>
  <c r="AF2278" i="1"/>
  <c r="AE2278" i="1"/>
  <c r="AD2278" i="1"/>
  <c r="AC2278" i="1"/>
  <c r="AB2278" i="1"/>
  <c r="AA2278" i="1"/>
  <c r="AF2277" i="1"/>
  <c r="AE2277" i="1"/>
  <c r="AD2277" i="1"/>
  <c r="AC2277" i="1"/>
  <c r="AB2277" i="1"/>
  <c r="AA2277" i="1"/>
  <c r="AF2276" i="1"/>
  <c r="AE2276" i="1"/>
  <c r="AD2276" i="1"/>
  <c r="AC2276" i="1"/>
  <c r="AB2276" i="1"/>
  <c r="AA2276" i="1"/>
  <c r="AF2275" i="1"/>
  <c r="AE2275" i="1"/>
  <c r="AD2275" i="1"/>
  <c r="AC2275" i="1"/>
  <c r="AB2275" i="1"/>
  <c r="AA2275" i="1"/>
  <c r="AF2274" i="1"/>
  <c r="AE2274" i="1"/>
  <c r="AD2274" i="1"/>
  <c r="AC2274" i="1"/>
  <c r="AB2274" i="1"/>
  <c r="AA2274" i="1"/>
  <c r="AF2273" i="1"/>
  <c r="AE2273" i="1"/>
  <c r="AD2273" i="1"/>
  <c r="AC2273" i="1"/>
  <c r="AB2273" i="1"/>
  <c r="AA2273" i="1"/>
  <c r="AF2272" i="1"/>
  <c r="AE2272" i="1"/>
  <c r="AD2272" i="1"/>
  <c r="AC2272" i="1"/>
  <c r="AB2272" i="1"/>
  <c r="AA2272" i="1"/>
  <c r="AF2271" i="1"/>
  <c r="AE2271" i="1"/>
  <c r="AD2271" i="1"/>
  <c r="AC2271" i="1"/>
  <c r="AB2271" i="1"/>
  <c r="AA2271" i="1"/>
  <c r="AF2270" i="1"/>
  <c r="AE2270" i="1"/>
  <c r="AD2270" i="1"/>
  <c r="AC2270" i="1"/>
  <c r="AB2270" i="1"/>
  <c r="AA2270" i="1"/>
  <c r="AF2269" i="1"/>
  <c r="AE2269" i="1"/>
  <c r="AD2269" i="1"/>
  <c r="AC2269" i="1"/>
  <c r="AB2269" i="1"/>
  <c r="AA2269" i="1"/>
  <c r="AF2268" i="1"/>
  <c r="AE2268" i="1"/>
  <c r="AD2268" i="1"/>
  <c r="AC2268" i="1"/>
  <c r="AB2268" i="1"/>
  <c r="AA2268" i="1"/>
  <c r="AF2267" i="1"/>
  <c r="AE2267" i="1"/>
  <c r="AD2267" i="1"/>
  <c r="AC2267" i="1"/>
  <c r="AB2267" i="1"/>
  <c r="AA2267" i="1"/>
  <c r="AF2266" i="1"/>
  <c r="AE2266" i="1"/>
  <c r="AD2266" i="1"/>
  <c r="AC2266" i="1"/>
  <c r="AB2266" i="1"/>
  <c r="AA2266" i="1"/>
  <c r="AF2265" i="1"/>
  <c r="AE2265" i="1"/>
  <c r="AD2265" i="1"/>
  <c r="AC2265" i="1"/>
  <c r="AB2265" i="1"/>
  <c r="AA2265" i="1"/>
  <c r="AF2264" i="1"/>
  <c r="AE2264" i="1"/>
  <c r="AD2264" i="1"/>
  <c r="AC2264" i="1"/>
  <c r="AB2264" i="1"/>
  <c r="AA2264" i="1"/>
  <c r="AF2263" i="1"/>
  <c r="AE2263" i="1"/>
  <c r="AD2263" i="1"/>
  <c r="AC2263" i="1"/>
  <c r="AB2263" i="1"/>
  <c r="AA2263" i="1"/>
  <c r="AF2262" i="1"/>
  <c r="AE2262" i="1"/>
  <c r="AD2262" i="1"/>
  <c r="AC2262" i="1"/>
  <c r="AB2262" i="1"/>
  <c r="AA2262" i="1"/>
  <c r="AF2261" i="1"/>
  <c r="AE2261" i="1"/>
  <c r="AD2261" i="1"/>
  <c r="AC2261" i="1"/>
  <c r="AB2261" i="1"/>
  <c r="AA2261" i="1"/>
  <c r="AF2260" i="1"/>
  <c r="AE2260" i="1"/>
  <c r="AD2260" i="1"/>
  <c r="AC2260" i="1"/>
  <c r="AB2260" i="1"/>
  <c r="AA2260" i="1"/>
  <c r="AF2259" i="1"/>
  <c r="AE2259" i="1"/>
  <c r="AD2259" i="1"/>
  <c r="AC2259" i="1"/>
  <c r="AB2259" i="1"/>
  <c r="AA2259" i="1"/>
  <c r="AF2258" i="1"/>
  <c r="AE2258" i="1"/>
  <c r="AD2258" i="1"/>
  <c r="AC2258" i="1"/>
  <c r="AB2258" i="1"/>
  <c r="AA2258" i="1"/>
  <c r="AF2257" i="1"/>
  <c r="AE2257" i="1"/>
  <c r="AD2257" i="1"/>
  <c r="AC2257" i="1"/>
  <c r="AB2257" i="1"/>
  <c r="AA2257" i="1"/>
  <c r="AF2256" i="1"/>
  <c r="AE2256" i="1"/>
  <c r="AD2256" i="1"/>
  <c r="AC2256" i="1"/>
  <c r="AB2256" i="1"/>
  <c r="AA2256" i="1"/>
  <c r="AF2255" i="1"/>
  <c r="AE2255" i="1"/>
  <c r="AD2255" i="1"/>
  <c r="AC2255" i="1"/>
  <c r="AB2255" i="1"/>
  <c r="AA2255" i="1"/>
  <c r="AF2254" i="1"/>
  <c r="AE2254" i="1"/>
  <c r="AD2254" i="1"/>
  <c r="AC2254" i="1"/>
  <c r="AB2254" i="1"/>
  <c r="AA2254" i="1"/>
  <c r="AF2253" i="1"/>
  <c r="AE2253" i="1"/>
  <c r="AD2253" i="1"/>
  <c r="AC2253" i="1"/>
  <c r="AB2253" i="1"/>
  <c r="AA2253" i="1"/>
  <c r="AF2252" i="1"/>
  <c r="AE2252" i="1"/>
  <c r="AD2252" i="1"/>
  <c r="AC2252" i="1"/>
  <c r="AB2252" i="1"/>
  <c r="AA2252" i="1"/>
  <c r="AF2251" i="1"/>
  <c r="AE2251" i="1"/>
  <c r="AD2251" i="1"/>
  <c r="AC2251" i="1"/>
  <c r="AB2251" i="1"/>
  <c r="AA2251" i="1"/>
  <c r="AF2250" i="1"/>
  <c r="AE2250" i="1"/>
  <c r="AD2250" i="1"/>
  <c r="AC2250" i="1"/>
  <c r="AB2250" i="1"/>
  <c r="AA2250" i="1"/>
  <c r="AF2249" i="1"/>
  <c r="AE2249" i="1"/>
  <c r="AD2249" i="1"/>
  <c r="AC2249" i="1"/>
  <c r="AB2249" i="1"/>
  <c r="AA2249" i="1"/>
  <c r="AF2248" i="1"/>
  <c r="AE2248" i="1"/>
  <c r="AD2248" i="1"/>
  <c r="AC2248" i="1"/>
  <c r="AB2248" i="1"/>
  <c r="AA2248" i="1"/>
  <c r="AF2247" i="1"/>
  <c r="AE2247" i="1"/>
  <c r="AD2247" i="1"/>
  <c r="AC2247" i="1"/>
  <c r="AB2247" i="1"/>
  <c r="AA2247" i="1"/>
  <c r="AF2246" i="1"/>
  <c r="AE2246" i="1"/>
  <c r="AD2246" i="1"/>
  <c r="AC2246" i="1"/>
  <c r="AB2246" i="1"/>
  <c r="AA2246" i="1"/>
  <c r="AF2245" i="1"/>
  <c r="AE2245" i="1"/>
  <c r="AD2245" i="1"/>
  <c r="AC2245" i="1"/>
  <c r="AB2245" i="1"/>
  <c r="AA2245" i="1"/>
  <c r="AF2244" i="1"/>
  <c r="AE2244" i="1"/>
  <c r="AD2244" i="1"/>
  <c r="AC2244" i="1"/>
  <c r="AB2244" i="1"/>
  <c r="AA2244" i="1"/>
  <c r="AF2243" i="1"/>
  <c r="AE2243" i="1"/>
  <c r="AD2243" i="1"/>
  <c r="AC2243" i="1"/>
  <c r="AB2243" i="1"/>
  <c r="AA2243" i="1"/>
  <c r="AF2242" i="1"/>
  <c r="AE2242" i="1"/>
  <c r="AD2242" i="1"/>
  <c r="AC2242" i="1"/>
  <c r="AB2242" i="1"/>
  <c r="AA2242" i="1"/>
  <c r="AF2241" i="1"/>
  <c r="AE2241" i="1"/>
  <c r="AD2241" i="1"/>
  <c r="AC2241" i="1"/>
  <c r="AB2241" i="1"/>
  <c r="AA2241" i="1"/>
  <c r="AF2240" i="1"/>
  <c r="AE2240" i="1"/>
  <c r="AD2240" i="1"/>
  <c r="AC2240" i="1"/>
  <c r="AB2240" i="1"/>
  <c r="AA2240" i="1"/>
  <c r="AF2239" i="1"/>
  <c r="AE2239" i="1"/>
  <c r="AD2239" i="1"/>
  <c r="AC2239" i="1"/>
  <c r="AB2239" i="1"/>
  <c r="AA2239" i="1"/>
  <c r="AF2238" i="1"/>
  <c r="AE2238" i="1"/>
  <c r="AD2238" i="1"/>
  <c r="AC2238" i="1"/>
  <c r="AB2238" i="1"/>
  <c r="AA2238" i="1"/>
  <c r="AF2237" i="1"/>
  <c r="AE2237" i="1"/>
  <c r="AD2237" i="1"/>
  <c r="AC2237" i="1"/>
  <c r="AB2237" i="1"/>
  <c r="AA2237" i="1"/>
  <c r="AF2236" i="1"/>
  <c r="AE2236" i="1"/>
  <c r="AD2236" i="1"/>
  <c r="AC2236" i="1"/>
  <c r="AB2236" i="1"/>
  <c r="AA2236" i="1"/>
  <c r="AF2235" i="1"/>
  <c r="AE2235" i="1"/>
  <c r="AD2235" i="1"/>
  <c r="AC2235" i="1"/>
  <c r="AB2235" i="1"/>
  <c r="AA2235" i="1"/>
  <c r="AF2234" i="1"/>
  <c r="AE2234" i="1"/>
  <c r="AD2234" i="1"/>
  <c r="AC2234" i="1"/>
  <c r="AB2234" i="1"/>
  <c r="AA2234" i="1"/>
  <c r="AF2233" i="1"/>
  <c r="AE2233" i="1"/>
  <c r="AD2233" i="1"/>
  <c r="AC2233" i="1"/>
  <c r="AB2233" i="1"/>
  <c r="AA2233" i="1"/>
  <c r="AF2232" i="1"/>
  <c r="AE2232" i="1"/>
  <c r="AD2232" i="1"/>
  <c r="AC2232" i="1"/>
  <c r="AB2232" i="1"/>
  <c r="AA2232" i="1"/>
  <c r="AF2231" i="1"/>
  <c r="AE2231" i="1"/>
  <c r="AD2231" i="1"/>
  <c r="AC2231" i="1"/>
  <c r="AB2231" i="1"/>
  <c r="AA2231" i="1"/>
  <c r="AF2230" i="1"/>
  <c r="AE2230" i="1"/>
  <c r="AD2230" i="1"/>
  <c r="AC2230" i="1"/>
  <c r="AB2230" i="1"/>
  <c r="AA2230" i="1"/>
  <c r="AF2229" i="1"/>
  <c r="AE2229" i="1"/>
  <c r="AD2229" i="1"/>
  <c r="AC2229" i="1"/>
  <c r="AB2229" i="1"/>
  <c r="AA2229" i="1"/>
  <c r="AF2228" i="1"/>
  <c r="AE2228" i="1"/>
  <c r="AD2228" i="1"/>
  <c r="AC2228" i="1"/>
  <c r="AB2228" i="1"/>
  <c r="AA2228" i="1"/>
  <c r="AF2227" i="1"/>
  <c r="AE2227" i="1"/>
  <c r="AD2227" i="1"/>
  <c r="AC2227" i="1"/>
  <c r="AB2227" i="1"/>
  <c r="AA2227" i="1"/>
  <c r="AF2226" i="1"/>
  <c r="AE2226" i="1"/>
  <c r="AD2226" i="1"/>
  <c r="AC2226" i="1"/>
  <c r="AB2226" i="1"/>
  <c r="AA2226" i="1"/>
  <c r="AF2225" i="1"/>
  <c r="AE2225" i="1"/>
  <c r="AD2225" i="1"/>
  <c r="AC2225" i="1"/>
  <c r="AB2225" i="1"/>
  <c r="AA2225" i="1"/>
  <c r="AF2224" i="1"/>
  <c r="AE2224" i="1"/>
  <c r="AD2224" i="1"/>
  <c r="AC2224" i="1"/>
  <c r="AB2224" i="1"/>
  <c r="AA2224" i="1"/>
  <c r="AF2223" i="1"/>
  <c r="AE2223" i="1"/>
  <c r="AD2223" i="1"/>
  <c r="AC2223" i="1"/>
  <c r="AB2223" i="1"/>
  <c r="AA2223" i="1"/>
  <c r="AF2222" i="1"/>
  <c r="AE2222" i="1"/>
  <c r="AD2222" i="1"/>
  <c r="AC2222" i="1"/>
  <c r="AB2222" i="1"/>
  <c r="AA2222" i="1"/>
  <c r="AF2221" i="1"/>
  <c r="AE2221" i="1"/>
  <c r="AD2221" i="1"/>
  <c r="AC2221" i="1"/>
  <c r="AB2221" i="1"/>
  <c r="AA2221" i="1"/>
  <c r="AF2220" i="1"/>
  <c r="AE2220" i="1"/>
  <c r="AD2220" i="1"/>
  <c r="AC2220" i="1"/>
  <c r="AB2220" i="1"/>
  <c r="AA2220" i="1"/>
  <c r="AF2219" i="1"/>
  <c r="AE2219" i="1"/>
  <c r="AD2219" i="1"/>
  <c r="AC2219" i="1"/>
  <c r="AB2219" i="1"/>
  <c r="AA2219" i="1"/>
  <c r="AF2218" i="1"/>
  <c r="AE2218" i="1"/>
  <c r="AD2218" i="1"/>
  <c r="AC2218" i="1"/>
  <c r="AB2218" i="1"/>
  <c r="AA2218" i="1"/>
  <c r="AF2217" i="1"/>
  <c r="AE2217" i="1"/>
  <c r="AD2217" i="1"/>
  <c r="AC2217" i="1"/>
  <c r="AB2217" i="1"/>
  <c r="AA2217" i="1"/>
  <c r="AF2216" i="1"/>
  <c r="AE2216" i="1"/>
  <c r="AD2216" i="1"/>
  <c r="AC2216" i="1"/>
  <c r="AB2216" i="1"/>
  <c r="AA2216" i="1"/>
  <c r="AF2215" i="1"/>
  <c r="AE2215" i="1"/>
  <c r="AD2215" i="1"/>
  <c r="AC2215" i="1"/>
  <c r="AB2215" i="1"/>
  <c r="AA2215" i="1"/>
  <c r="AF2214" i="1"/>
  <c r="AE2214" i="1"/>
  <c r="AD2214" i="1"/>
  <c r="AC2214" i="1"/>
  <c r="AB2214" i="1"/>
  <c r="AA2214" i="1"/>
  <c r="AF2213" i="1"/>
  <c r="AE2213" i="1"/>
  <c r="AD2213" i="1"/>
  <c r="AC2213" i="1"/>
  <c r="AB2213" i="1"/>
  <c r="AA2213" i="1"/>
  <c r="AF2212" i="1"/>
  <c r="AE2212" i="1"/>
  <c r="AD2212" i="1"/>
  <c r="AC2212" i="1"/>
  <c r="AB2212" i="1"/>
  <c r="AA2212" i="1"/>
  <c r="AF2211" i="1"/>
  <c r="AE2211" i="1"/>
  <c r="AD2211" i="1"/>
  <c r="AC2211" i="1"/>
  <c r="AB2211" i="1"/>
  <c r="AA2211" i="1"/>
  <c r="AF2210" i="1"/>
  <c r="AE2210" i="1"/>
  <c r="AD2210" i="1"/>
  <c r="AC2210" i="1"/>
  <c r="AB2210" i="1"/>
  <c r="AA2210" i="1"/>
  <c r="AF2209" i="1"/>
  <c r="AE2209" i="1"/>
  <c r="AD2209" i="1"/>
  <c r="AC2209" i="1"/>
  <c r="AB2209" i="1"/>
  <c r="AA2209" i="1"/>
  <c r="AF2208" i="1"/>
  <c r="AE2208" i="1"/>
  <c r="AD2208" i="1"/>
  <c r="AC2208" i="1"/>
  <c r="AB2208" i="1"/>
  <c r="AA2208" i="1"/>
  <c r="AF2207" i="1"/>
  <c r="AE2207" i="1"/>
  <c r="AD2207" i="1"/>
  <c r="AC2207" i="1"/>
  <c r="AB2207" i="1"/>
  <c r="AA2207" i="1"/>
  <c r="AF2206" i="1"/>
  <c r="AE2206" i="1"/>
  <c r="AD2206" i="1"/>
  <c r="AC2206" i="1"/>
  <c r="AB2206" i="1"/>
  <c r="AA2206" i="1"/>
  <c r="AF2205" i="1"/>
  <c r="AE2205" i="1"/>
  <c r="AD2205" i="1"/>
  <c r="AC2205" i="1"/>
  <c r="AB2205" i="1"/>
  <c r="AA2205" i="1"/>
  <c r="AF2204" i="1"/>
  <c r="AE2204" i="1"/>
  <c r="AD2204" i="1"/>
  <c r="AC2204" i="1"/>
  <c r="AB2204" i="1"/>
  <c r="AA2204" i="1"/>
  <c r="AF2203" i="1"/>
  <c r="AE2203" i="1"/>
  <c r="AD2203" i="1"/>
  <c r="AC2203" i="1"/>
  <c r="AB2203" i="1"/>
  <c r="AA2203" i="1"/>
  <c r="AF2202" i="1"/>
  <c r="AE2202" i="1"/>
  <c r="AD2202" i="1"/>
  <c r="AC2202" i="1"/>
  <c r="AB2202" i="1"/>
  <c r="AA2202" i="1"/>
  <c r="AF2201" i="1"/>
  <c r="AE2201" i="1"/>
  <c r="AD2201" i="1"/>
  <c r="AC2201" i="1"/>
  <c r="AB2201" i="1"/>
  <c r="AA2201" i="1"/>
  <c r="AF2200" i="1"/>
  <c r="AE2200" i="1"/>
  <c r="AD2200" i="1"/>
  <c r="AC2200" i="1"/>
  <c r="AB2200" i="1"/>
  <c r="AA2200" i="1"/>
  <c r="AF2199" i="1"/>
  <c r="AE2199" i="1"/>
  <c r="AD2199" i="1"/>
  <c r="AC2199" i="1"/>
  <c r="AB2199" i="1"/>
  <c r="AA2199" i="1"/>
  <c r="AF2198" i="1"/>
  <c r="AE2198" i="1"/>
  <c r="AD2198" i="1"/>
  <c r="AC2198" i="1"/>
  <c r="AB2198" i="1"/>
  <c r="AA2198" i="1"/>
  <c r="AF2197" i="1"/>
  <c r="AE2197" i="1"/>
  <c r="AD2197" i="1"/>
  <c r="AC2197" i="1"/>
  <c r="AB2197" i="1"/>
  <c r="AA2197" i="1"/>
  <c r="AF2196" i="1"/>
  <c r="AE2196" i="1"/>
  <c r="AD2196" i="1"/>
  <c r="AC2196" i="1"/>
  <c r="AB2196" i="1"/>
  <c r="AA2196" i="1"/>
  <c r="AF2195" i="1"/>
  <c r="AE2195" i="1"/>
  <c r="AD2195" i="1"/>
  <c r="AC2195" i="1"/>
  <c r="AB2195" i="1"/>
  <c r="AA2195" i="1"/>
  <c r="AF2194" i="1"/>
  <c r="AE2194" i="1"/>
  <c r="AD2194" i="1"/>
  <c r="AC2194" i="1"/>
  <c r="AB2194" i="1"/>
  <c r="AA2194" i="1"/>
  <c r="AF2193" i="1"/>
  <c r="AE2193" i="1"/>
  <c r="AD2193" i="1"/>
  <c r="AC2193" i="1"/>
  <c r="AB2193" i="1"/>
  <c r="AA2193" i="1"/>
  <c r="AF2192" i="1"/>
  <c r="AE2192" i="1"/>
  <c r="AD2192" i="1"/>
  <c r="AC2192" i="1"/>
  <c r="AB2192" i="1"/>
  <c r="AA2192" i="1"/>
  <c r="AF2191" i="1"/>
  <c r="AE2191" i="1"/>
  <c r="AD2191" i="1"/>
  <c r="AC2191" i="1"/>
  <c r="AB2191" i="1"/>
  <c r="AA2191" i="1"/>
  <c r="AF2190" i="1"/>
  <c r="AE2190" i="1"/>
  <c r="AD2190" i="1"/>
  <c r="AC2190" i="1"/>
  <c r="AB2190" i="1"/>
  <c r="AA2190" i="1"/>
  <c r="AF2189" i="1"/>
  <c r="AE2189" i="1"/>
  <c r="AD2189" i="1"/>
  <c r="AC2189" i="1"/>
  <c r="AB2189" i="1"/>
  <c r="AA2189" i="1"/>
  <c r="AF2188" i="1"/>
  <c r="AE2188" i="1"/>
  <c r="AD2188" i="1"/>
  <c r="AC2188" i="1"/>
  <c r="AB2188" i="1"/>
  <c r="AA2188" i="1"/>
  <c r="AF2187" i="1"/>
  <c r="AE2187" i="1"/>
  <c r="AD2187" i="1"/>
  <c r="AC2187" i="1"/>
  <c r="AB2187" i="1"/>
  <c r="AA2187" i="1"/>
  <c r="AF2186" i="1"/>
  <c r="AE2186" i="1"/>
  <c r="AD2186" i="1"/>
  <c r="AC2186" i="1"/>
  <c r="AB2186" i="1"/>
  <c r="AA2186" i="1"/>
  <c r="AF2185" i="1"/>
  <c r="AE2185" i="1"/>
  <c r="AD2185" i="1"/>
  <c r="AC2185" i="1"/>
  <c r="AB2185" i="1"/>
  <c r="AA2185" i="1"/>
  <c r="AF2184" i="1"/>
  <c r="AE2184" i="1"/>
  <c r="AD2184" i="1"/>
  <c r="AC2184" i="1"/>
  <c r="AB2184" i="1"/>
  <c r="AA2184" i="1"/>
  <c r="AF2183" i="1"/>
  <c r="AE2183" i="1"/>
  <c r="AD2183" i="1"/>
  <c r="AC2183" i="1"/>
  <c r="AB2183" i="1"/>
  <c r="AA2183" i="1"/>
  <c r="AF2182" i="1"/>
  <c r="AE2182" i="1"/>
  <c r="AD2182" i="1"/>
  <c r="AC2182" i="1"/>
  <c r="AB2182" i="1"/>
  <c r="AA2182" i="1"/>
  <c r="AF2181" i="1"/>
  <c r="AE2181" i="1"/>
  <c r="AD2181" i="1"/>
  <c r="AC2181" i="1"/>
  <c r="AB2181" i="1"/>
  <c r="AA2181" i="1"/>
  <c r="AF2180" i="1"/>
  <c r="AE2180" i="1"/>
  <c r="AD2180" i="1"/>
  <c r="AC2180" i="1"/>
  <c r="AB2180" i="1"/>
  <c r="AA2180" i="1"/>
  <c r="AF2179" i="1"/>
  <c r="AE2179" i="1"/>
  <c r="AD2179" i="1"/>
  <c r="AC2179" i="1"/>
  <c r="AB2179" i="1"/>
  <c r="AA2179" i="1"/>
  <c r="AF2178" i="1"/>
  <c r="AE2178" i="1"/>
  <c r="AD2178" i="1"/>
  <c r="AC2178" i="1"/>
  <c r="AB2178" i="1"/>
  <c r="AA2178" i="1"/>
  <c r="AF2177" i="1"/>
  <c r="AE2177" i="1"/>
  <c r="AD2177" i="1"/>
  <c r="AC2177" i="1"/>
  <c r="AB2177" i="1"/>
  <c r="AA2177" i="1"/>
  <c r="AF2176" i="1"/>
  <c r="AE2176" i="1"/>
  <c r="AD2176" i="1"/>
  <c r="AC2176" i="1"/>
  <c r="AB2176" i="1"/>
  <c r="AA2176" i="1"/>
  <c r="AF2175" i="1"/>
  <c r="AE2175" i="1"/>
  <c r="AD2175" i="1"/>
  <c r="AC2175" i="1"/>
  <c r="AB2175" i="1"/>
  <c r="AA2175" i="1"/>
  <c r="AF2174" i="1"/>
  <c r="AE2174" i="1"/>
  <c r="AD2174" i="1"/>
  <c r="AC2174" i="1"/>
  <c r="AB2174" i="1"/>
  <c r="AA2174" i="1"/>
  <c r="AF2173" i="1"/>
  <c r="AE2173" i="1"/>
  <c r="AD2173" i="1"/>
  <c r="AC2173" i="1"/>
  <c r="AB2173" i="1"/>
  <c r="AA2173" i="1"/>
  <c r="AF2172" i="1"/>
  <c r="AE2172" i="1"/>
  <c r="AD2172" i="1"/>
  <c r="AC2172" i="1"/>
  <c r="AB2172" i="1"/>
  <c r="AA2172" i="1"/>
  <c r="AF2171" i="1"/>
  <c r="AE2171" i="1"/>
  <c r="AD2171" i="1"/>
  <c r="AC2171" i="1"/>
  <c r="AB2171" i="1"/>
  <c r="AA2171" i="1"/>
  <c r="AF2170" i="1"/>
  <c r="AE2170" i="1"/>
  <c r="AD2170" i="1"/>
  <c r="AC2170" i="1"/>
  <c r="AB2170" i="1"/>
  <c r="AA2170" i="1"/>
  <c r="AF2169" i="1"/>
  <c r="AE2169" i="1"/>
  <c r="AD2169" i="1"/>
  <c r="AC2169" i="1"/>
  <c r="AB2169" i="1"/>
  <c r="AA2169" i="1"/>
  <c r="AF2168" i="1"/>
  <c r="AE2168" i="1"/>
  <c r="AD2168" i="1"/>
  <c r="AC2168" i="1"/>
  <c r="AB2168" i="1"/>
  <c r="AA2168" i="1"/>
  <c r="AF2167" i="1"/>
  <c r="AE2167" i="1"/>
  <c r="AD2167" i="1"/>
  <c r="AC2167" i="1"/>
  <c r="AB2167" i="1"/>
  <c r="AA2167" i="1"/>
  <c r="AF2166" i="1"/>
  <c r="AE2166" i="1"/>
  <c r="AD2166" i="1"/>
  <c r="AC2166" i="1"/>
  <c r="AB2166" i="1"/>
  <c r="AA2166" i="1"/>
  <c r="AF2165" i="1"/>
  <c r="AE2165" i="1"/>
  <c r="AD2165" i="1"/>
  <c r="AC2165" i="1"/>
  <c r="AB2165" i="1"/>
  <c r="AA2165" i="1"/>
  <c r="AF2164" i="1"/>
  <c r="AE2164" i="1"/>
  <c r="AD2164" i="1"/>
  <c r="AC2164" i="1"/>
  <c r="AB2164" i="1"/>
  <c r="AA2164" i="1"/>
  <c r="AF2163" i="1"/>
  <c r="AE2163" i="1"/>
  <c r="AD2163" i="1"/>
  <c r="AC2163" i="1"/>
  <c r="AB2163" i="1"/>
  <c r="AA2163" i="1"/>
  <c r="AF2162" i="1"/>
  <c r="AE2162" i="1"/>
  <c r="AD2162" i="1"/>
  <c r="AC2162" i="1"/>
  <c r="AB2162" i="1"/>
  <c r="AA2162" i="1"/>
  <c r="AF2161" i="1"/>
  <c r="AE2161" i="1"/>
  <c r="AD2161" i="1"/>
  <c r="AC2161" i="1"/>
  <c r="AB2161" i="1"/>
  <c r="AA2161" i="1"/>
  <c r="AF2160" i="1"/>
  <c r="AE2160" i="1"/>
  <c r="AD2160" i="1"/>
  <c r="AC2160" i="1"/>
  <c r="AB2160" i="1"/>
  <c r="AA2160" i="1"/>
  <c r="AF2159" i="1"/>
  <c r="AE2159" i="1"/>
  <c r="AD2159" i="1"/>
  <c r="AC2159" i="1"/>
  <c r="AB2159" i="1"/>
  <c r="AA2159" i="1"/>
  <c r="AF2158" i="1"/>
  <c r="AE2158" i="1"/>
  <c r="AD2158" i="1"/>
  <c r="AC2158" i="1"/>
  <c r="AB2158" i="1"/>
  <c r="AA2158" i="1"/>
  <c r="AF2157" i="1"/>
  <c r="AE2157" i="1"/>
  <c r="AD2157" i="1"/>
  <c r="AC2157" i="1"/>
  <c r="AB2157" i="1"/>
  <c r="AA2157" i="1"/>
  <c r="AF2156" i="1"/>
  <c r="AE2156" i="1"/>
  <c r="AD2156" i="1"/>
  <c r="AC2156" i="1"/>
  <c r="AB2156" i="1"/>
  <c r="AA2156" i="1"/>
  <c r="AF2155" i="1"/>
  <c r="AE2155" i="1"/>
  <c r="AD2155" i="1"/>
  <c r="AC2155" i="1"/>
  <c r="AB2155" i="1"/>
  <c r="AA2155" i="1"/>
  <c r="AF2154" i="1"/>
  <c r="AE2154" i="1"/>
  <c r="AD2154" i="1"/>
  <c r="AC2154" i="1"/>
  <c r="AB2154" i="1"/>
  <c r="AA2154" i="1"/>
  <c r="AF2153" i="1"/>
  <c r="AE2153" i="1"/>
  <c r="AD2153" i="1"/>
  <c r="AC2153" i="1"/>
  <c r="AB2153" i="1"/>
  <c r="AA2153" i="1"/>
  <c r="AF2152" i="1"/>
  <c r="AE2152" i="1"/>
  <c r="AD2152" i="1"/>
  <c r="AC2152" i="1"/>
  <c r="AB2152" i="1"/>
  <c r="AA2152" i="1"/>
  <c r="AF2151" i="1"/>
  <c r="AE2151" i="1"/>
  <c r="AD2151" i="1"/>
  <c r="AC2151" i="1"/>
  <c r="AB2151" i="1"/>
  <c r="AA2151" i="1"/>
  <c r="AF2150" i="1"/>
  <c r="AE2150" i="1"/>
  <c r="AD2150" i="1"/>
  <c r="AC2150" i="1"/>
  <c r="AB2150" i="1"/>
  <c r="AA2150" i="1"/>
  <c r="AF2149" i="1"/>
  <c r="AE2149" i="1"/>
  <c r="AD2149" i="1"/>
  <c r="AC2149" i="1"/>
  <c r="AB2149" i="1"/>
  <c r="AA2149" i="1"/>
  <c r="AF2148" i="1"/>
  <c r="AE2148" i="1"/>
  <c r="AD2148" i="1"/>
  <c r="AC2148" i="1"/>
  <c r="AB2148" i="1"/>
  <c r="AA2148" i="1"/>
  <c r="AF2147" i="1"/>
  <c r="AE2147" i="1"/>
  <c r="AD2147" i="1"/>
  <c r="AC2147" i="1"/>
  <c r="AB2147" i="1"/>
  <c r="AA2147" i="1"/>
  <c r="AF2146" i="1"/>
  <c r="AE2146" i="1"/>
  <c r="AD2146" i="1"/>
  <c r="AC2146" i="1"/>
  <c r="AB2146" i="1"/>
  <c r="AA2146" i="1"/>
  <c r="AF2145" i="1"/>
  <c r="AE2145" i="1"/>
  <c r="AD2145" i="1"/>
  <c r="AC2145" i="1"/>
  <c r="AB2145" i="1"/>
  <c r="AA2145" i="1"/>
  <c r="AF2144" i="1"/>
  <c r="AE2144" i="1"/>
  <c r="AD2144" i="1"/>
  <c r="AC2144" i="1"/>
  <c r="AB2144" i="1"/>
  <c r="AA2144" i="1"/>
  <c r="AF2143" i="1"/>
  <c r="AE2143" i="1"/>
  <c r="AD2143" i="1"/>
  <c r="AC2143" i="1"/>
  <c r="AB2143" i="1"/>
  <c r="AA2143" i="1"/>
  <c r="AF2142" i="1"/>
  <c r="AE2142" i="1"/>
  <c r="AD2142" i="1"/>
  <c r="AC2142" i="1"/>
  <c r="AB2142" i="1"/>
  <c r="AA2142" i="1"/>
  <c r="AF2141" i="1"/>
  <c r="AE2141" i="1"/>
  <c r="AD2141" i="1"/>
  <c r="AC2141" i="1"/>
  <c r="AB2141" i="1"/>
  <c r="AA2141" i="1"/>
  <c r="AF2140" i="1"/>
  <c r="AE2140" i="1"/>
  <c r="AD2140" i="1"/>
  <c r="AC2140" i="1"/>
  <c r="AB2140" i="1"/>
  <c r="AA2140" i="1"/>
  <c r="AF2139" i="1"/>
  <c r="AE2139" i="1"/>
  <c r="AD2139" i="1"/>
  <c r="AC2139" i="1"/>
  <c r="AB2139" i="1"/>
  <c r="AA2139" i="1"/>
  <c r="AF2138" i="1"/>
  <c r="AE2138" i="1"/>
  <c r="AD2138" i="1"/>
  <c r="AC2138" i="1"/>
  <c r="AB2138" i="1"/>
  <c r="AA2138" i="1"/>
  <c r="AF2137" i="1"/>
  <c r="AE2137" i="1"/>
  <c r="AD2137" i="1"/>
  <c r="AC2137" i="1"/>
  <c r="AB2137" i="1"/>
  <c r="AA2137" i="1"/>
  <c r="AF2136" i="1"/>
  <c r="AE2136" i="1"/>
  <c r="AD2136" i="1"/>
  <c r="AC2136" i="1"/>
  <c r="AB2136" i="1"/>
  <c r="AA2136" i="1"/>
  <c r="AF2135" i="1"/>
  <c r="AE2135" i="1"/>
  <c r="AD2135" i="1"/>
  <c r="AC2135" i="1"/>
  <c r="AB2135" i="1"/>
  <c r="AA2135" i="1"/>
  <c r="AF2134" i="1"/>
  <c r="AE2134" i="1"/>
  <c r="AD2134" i="1"/>
  <c r="AC2134" i="1"/>
  <c r="AB2134" i="1"/>
  <c r="AA2134" i="1"/>
  <c r="AF2133" i="1"/>
  <c r="AE2133" i="1"/>
  <c r="AD2133" i="1"/>
  <c r="AC2133" i="1"/>
  <c r="AB2133" i="1"/>
  <c r="AA2133" i="1"/>
  <c r="AF2132" i="1"/>
  <c r="AE2132" i="1"/>
  <c r="AD2132" i="1"/>
  <c r="AC2132" i="1"/>
  <c r="AB2132" i="1"/>
  <c r="AA2132" i="1"/>
  <c r="AF2131" i="1"/>
  <c r="AE2131" i="1"/>
  <c r="AD2131" i="1"/>
  <c r="AC2131" i="1"/>
  <c r="AB2131" i="1"/>
  <c r="AA2131" i="1"/>
  <c r="AF2130" i="1"/>
  <c r="AE2130" i="1"/>
  <c r="AD2130" i="1"/>
  <c r="AC2130" i="1"/>
  <c r="AB2130" i="1"/>
  <c r="AA2130" i="1"/>
  <c r="AF2129" i="1"/>
  <c r="AE2129" i="1"/>
  <c r="AD2129" i="1"/>
  <c r="AC2129" i="1"/>
  <c r="AB2129" i="1"/>
  <c r="AA2129" i="1"/>
  <c r="AF2128" i="1"/>
  <c r="AE2128" i="1"/>
  <c r="AD2128" i="1"/>
  <c r="AC2128" i="1"/>
  <c r="AB2128" i="1"/>
  <c r="AA2128" i="1"/>
  <c r="AF2127" i="1"/>
  <c r="AE2127" i="1"/>
  <c r="AD2127" i="1"/>
  <c r="AC2127" i="1"/>
  <c r="AB2127" i="1"/>
  <c r="AA2127" i="1"/>
  <c r="AF2126" i="1"/>
  <c r="AE2126" i="1"/>
  <c r="AD2126" i="1"/>
  <c r="AC2126" i="1"/>
  <c r="AB2126" i="1"/>
  <c r="AA2126" i="1"/>
  <c r="AF2125" i="1"/>
  <c r="AE2125" i="1"/>
  <c r="AD2125" i="1"/>
  <c r="AC2125" i="1"/>
  <c r="AB2125" i="1"/>
  <c r="AA2125" i="1"/>
  <c r="AF2124" i="1"/>
  <c r="AE2124" i="1"/>
  <c r="AD2124" i="1"/>
  <c r="AC2124" i="1"/>
  <c r="AB2124" i="1"/>
  <c r="AA2124" i="1"/>
  <c r="AF2123" i="1"/>
  <c r="AE2123" i="1"/>
  <c r="AD2123" i="1"/>
  <c r="AC2123" i="1"/>
  <c r="AB2123" i="1"/>
  <c r="AA2123" i="1"/>
  <c r="AF2122" i="1"/>
  <c r="AE2122" i="1"/>
  <c r="AD2122" i="1"/>
  <c r="AC2122" i="1"/>
  <c r="AB2122" i="1"/>
  <c r="AA2122" i="1"/>
  <c r="AF2121" i="1"/>
  <c r="AE2121" i="1"/>
  <c r="AD2121" i="1"/>
  <c r="AC2121" i="1"/>
  <c r="AB2121" i="1"/>
  <c r="AA2121" i="1"/>
  <c r="AF2120" i="1"/>
  <c r="AE2120" i="1"/>
  <c r="AD2120" i="1"/>
  <c r="AC2120" i="1"/>
  <c r="AB2120" i="1"/>
  <c r="AA2120" i="1"/>
  <c r="AF2119" i="1"/>
  <c r="AE2119" i="1"/>
  <c r="AD2119" i="1"/>
  <c r="AC2119" i="1"/>
  <c r="AB2119" i="1"/>
  <c r="AA2119" i="1"/>
  <c r="AF2118" i="1"/>
  <c r="AE2118" i="1"/>
  <c r="AD2118" i="1"/>
  <c r="AC2118" i="1"/>
  <c r="AB2118" i="1"/>
  <c r="AA2118" i="1"/>
  <c r="AF2117" i="1"/>
  <c r="AE2117" i="1"/>
  <c r="AD2117" i="1"/>
  <c r="AC2117" i="1"/>
  <c r="AB2117" i="1"/>
  <c r="AA2117" i="1"/>
  <c r="AF2116" i="1"/>
  <c r="AE2116" i="1"/>
  <c r="AD2116" i="1"/>
  <c r="AC2116" i="1"/>
  <c r="AB2116" i="1"/>
  <c r="AA2116" i="1"/>
  <c r="AF2115" i="1"/>
  <c r="AE2115" i="1"/>
  <c r="AD2115" i="1"/>
  <c r="AC2115" i="1"/>
  <c r="AB2115" i="1"/>
  <c r="AA2115" i="1"/>
  <c r="AF2114" i="1"/>
  <c r="AE2114" i="1"/>
  <c r="AD2114" i="1"/>
  <c r="AC2114" i="1"/>
  <c r="AB2114" i="1"/>
  <c r="AA2114" i="1"/>
  <c r="AF2113" i="1"/>
  <c r="AE2113" i="1"/>
  <c r="AD2113" i="1"/>
  <c r="AC2113" i="1"/>
  <c r="AB2113" i="1"/>
  <c r="AA2113" i="1"/>
  <c r="AF2112" i="1"/>
  <c r="AE2112" i="1"/>
  <c r="AD2112" i="1"/>
  <c r="AC2112" i="1"/>
  <c r="AB2112" i="1"/>
  <c r="AA2112" i="1"/>
  <c r="AF2111" i="1"/>
  <c r="AE2111" i="1"/>
  <c r="AD2111" i="1"/>
  <c r="AC2111" i="1"/>
  <c r="AB2111" i="1"/>
  <c r="AA2111" i="1"/>
  <c r="AF2110" i="1"/>
  <c r="AE2110" i="1"/>
  <c r="AD2110" i="1"/>
  <c r="AC2110" i="1"/>
  <c r="AB2110" i="1"/>
  <c r="AA2110" i="1"/>
  <c r="AF2109" i="1"/>
  <c r="AE2109" i="1"/>
  <c r="AD2109" i="1"/>
  <c r="AC2109" i="1"/>
  <c r="AB2109" i="1"/>
  <c r="AA2109" i="1"/>
  <c r="AF2108" i="1"/>
  <c r="AE2108" i="1"/>
  <c r="AD2108" i="1"/>
  <c r="AC2108" i="1"/>
  <c r="AB2108" i="1"/>
  <c r="AA2108" i="1"/>
  <c r="AF2107" i="1"/>
  <c r="AE2107" i="1"/>
  <c r="AD2107" i="1"/>
  <c r="AC2107" i="1"/>
  <c r="AB2107" i="1"/>
  <c r="AA2107" i="1"/>
  <c r="AF2106" i="1"/>
  <c r="AE2106" i="1"/>
  <c r="AD2106" i="1"/>
  <c r="AC2106" i="1"/>
  <c r="AB2106" i="1"/>
  <c r="AA2106" i="1"/>
  <c r="AF2105" i="1"/>
  <c r="AE2105" i="1"/>
  <c r="AD2105" i="1"/>
  <c r="AC2105" i="1"/>
  <c r="AB2105" i="1"/>
  <c r="AA2105" i="1"/>
  <c r="AF2104" i="1"/>
  <c r="AE2104" i="1"/>
  <c r="AD2104" i="1"/>
  <c r="AC2104" i="1"/>
  <c r="AB2104" i="1"/>
  <c r="AA2104" i="1"/>
  <c r="AF2103" i="1"/>
  <c r="AE2103" i="1"/>
  <c r="AD2103" i="1"/>
  <c r="AC2103" i="1"/>
  <c r="AB2103" i="1"/>
  <c r="AA2103" i="1"/>
  <c r="AF2102" i="1"/>
  <c r="AE2102" i="1"/>
  <c r="AD2102" i="1"/>
  <c r="AC2102" i="1"/>
  <c r="AB2102" i="1"/>
  <c r="AA2102" i="1"/>
  <c r="AF2101" i="1"/>
  <c r="AE2101" i="1"/>
  <c r="AD2101" i="1"/>
  <c r="AC2101" i="1"/>
  <c r="AB2101" i="1"/>
  <c r="AA2101" i="1"/>
  <c r="AF2100" i="1"/>
  <c r="AE2100" i="1"/>
  <c r="AD2100" i="1"/>
  <c r="AC2100" i="1"/>
  <c r="AB2100" i="1"/>
  <c r="AA2100" i="1"/>
  <c r="AF2099" i="1"/>
  <c r="AE2099" i="1"/>
  <c r="AD2099" i="1"/>
  <c r="AC2099" i="1"/>
  <c r="AB2099" i="1"/>
  <c r="AA2099" i="1"/>
  <c r="AF2098" i="1"/>
  <c r="AE2098" i="1"/>
  <c r="AD2098" i="1"/>
  <c r="AC2098" i="1"/>
  <c r="AB2098" i="1"/>
  <c r="AA2098" i="1"/>
  <c r="AF2097" i="1"/>
  <c r="AE2097" i="1"/>
  <c r="AD2097" i="1"/>
  <c r="AC2097" i="1"/>
  <c r="AB2097" i="1"/>
  <c r="AA2097" i="1"/>
  <c r="AF2096" i="1"/>
  <c r="AE2096" i="1"/>
  <c r="AD2096" i="1"/>
  <c r="AC2096" i="1"/>
  <c r="AB2096" i="1"/>
  <c r="AA2096" i="1"/>
  <c r="AF2095" i="1"/>
  <c r="AE2095" i="1"/>
  <c r="AD2095" i="1"/>
  <c r="AC2095" i="1"/>
  <c r="AB2095" i="1"/>
  <c r="AA2095" i="1"/>
  <c r="AF2094" i="1"/>
  <c r="AE2094" i="1"/>
  <c r="AD2094" i="1"/>
  <c r="AC2094" i="1"/>
  <c r="AB2094" i="1"/>
  <c r="AA2094" i="1"/>
  <c r="AF2093" i="1"/>
  <c r="AE2093" i="1"/>
  <c r="AD2093" i="1"/>
  <c r="AC2093" i="1"/>
  <c r="AB2093" i="1"/>
  <c r="AA2093" i="1"/>
  <c r="AF2092" i="1"/>
  <c r="AE2092" i="1"/>
  <c r="AD2092" i="1"/>
  <c r="AC2092" i="1"/>
  <c r="AB2092" i="1"/>
  <c r="AA2092" i="1"/>
  <c r="AF2091" i="1"/>
  <c r="AE2091" i="1"/>
  <c r="AD2091" i="1"/>
  <c r="AC2091" i="1"/>
  <c r="AB2091" i="1"/>
  <c r="AA2091" i="1"/>
  <c r="AF2090" i="1"/>
  <c r="AE2090" i="1"/>
  <c r="AD2090" i="1"/>
  <c r="AC2090" i="1"/>
  <c r="AB2090" i="1"/>
  <c r="AA2090" i="1"/>
  <c r="AF2089" i="1"/>
  <c r="AE2089" i="1"/>
  <c r="AD2089" i="1"/>
  <c r="AC2089" i="1"/>
  <c r="AB2089" i="1"/>
  <c r="AA2089" i="1"/>
  <c r="AF2088" i="1"/>
  <c r="AE2088" i="1"/>
  <c r="AD2088" i="1"/>
  <c r="AC2088" i="1"/>
  <c r="AB2088" i="1"/>
  <c r="AA2088" i="1"/>
  <c r="AF2087" i="1"/>
  <c r="AE2087" i="1"/>
  <c r="AD2087" i="1"/>
  <c r="AC2087" i="1"/>
  <c r="AB2087" i="1"/>
  <c r="AA2087" i="1"/>
  <c r="AF2086" i="1"/>
  <c r="AE2086" i="1"/>
  <c r="AD2086" i="1"/>
  <c r="AC2086" i="1"/>
  <c r="AB2086" i="1"/>
  <c r="AA2086" i="1"/>
  <c r="AF2085" i="1"/>
  <c r="AE2085" i="1"/>
  <c r="AD2085" i="1"/>
  <c r="AC2085" i="1"/>
  <c r="AB2085" i="1"/>
  <c r="AA2085" i="1"/>
  <c r="AF2084" i="1"/>
  <c r="AE2084" i="1"/>
  <c r="AD2084" i="1"/>
  <c r="AC2084" i="1"/>
  <c r="AB2084" i="1"/>
  <c r="AA2084" i="1"/>
  <c r="AF2083" i="1"/>
  <c r="AE2083" i="1"/>
  <c r="AD2083" i="1"/>
  <c r="AC2083" i="1"/>
  <c r="AB2083" i="1"/>
  <c r="AA2083" i="1"/>
  <c r="AF2082" i="1"/>
  <c r="AE2082" i="1"/>
  <c r="AD2082" i="1"/>
  <c r="AC2082" i="1"/>
  <c r="AB2082" i="1"/>
  <c r="AA2082" i="1"/>
  <c r="AF2081" i="1"/>
  <c r="AE2081" i="1"/>
  <c r="AD2081" i="1"/>
  <c r="AC2081" i="1"/>
  <c r="AB2081" i="1"/>
  <c r="AA2081" i="1"/>
  <c r="AF2080" i="1"/>
  <c r="AE2080" i="1"/>
  <c r="AD2080" i="1"/>
  <c r="AC2080" i="1"/>
  <c r="AB2080" i="1"/>
  <c r="AA2080" i="1"/>
  <c r="AF2079" i="1"/>
  <c r="AE2079" i="1"/>
  <c r="AD2079" i="1"/>
  <c r="AC2079" i="1"/>
  <c r="AB2079" i="1"/>
  <c r="AA2079" i="1"/>
  <c r="AF2078" i="1"/>
  <c r="AE2078" i="1"/>
  <c r="AD2078" i="1"/>
  <c r="AC2078" i="1"/>
  <c r="AB2078" i="1"/>
  <c r="AA2078" i="1"/>
  <c r="AF2077" i="1"/>
  <c r="AE2077" i="1"/>
  <c r="AD2077" i="1"/>
  <c r="AC2077" i="1"/>
  <c r="AB2077" i="1"/>
  <c r="AA2077" i="1"/>
  <c r="AF2076" i="1"/>
  <c r="AE2076" i="1"/>
  <c r="AD2076" i="1"/>
  <c r="AC2076" i="1"/>
  <c r="AB2076" i="1"/>
  <c r="AA2076" i="1"/>
  <c r="AF2075" i="1"/>
  <c r="AE2075" i="1"/>
  <c r="AD2075" i="1"/>
  <c r="AC2075" i="1"/>
  <c r="AB2075" i="1"/>
  <c r="AA2075" i="1"/>
  <c r="AF2074" i="1"/>
  <c r="AE2074" i="1"/>
  <c r="AD2074" i="1"/>
  <c r="AC2074" i="1"/>
  <c r="AB2074" i="1"/>
  <c r="AA2074" i="1"/>
  <c r="AF2073" i="1"/>
  <c r="AE2073" i="1"/>
  <c r="AD2073" i="1"/>
  <c r="AC2073" i="1"/>
  <c r="AB2073" i="1"/>
  <c r="AA2073" i="1"/>
  <c r="AF2072" i="1"/>
  <c r="AE2072" i="1"/>
  <c r="AD2072" i="1"/>
  <c r="AC2072" i="1"/>
  <c r="AB2072" i="1"/>
  <c r="AA2072" i="1"/>
  <c r="AF2071" i="1"/>
  <c r="AE2071" i="1"/>
  <c r="AD2071" i="1"/>
  <c r="AC2071" i="1"/>
  <c r="AB2071" i="1"/>
  <c r="AA2071" i="1"/>
  <c r="AF2070" i="1"/>
  <c r="AE2070" i="1"/>
  <c r="AD2070" i="1"/>
  <c r="AC2070" i="1"/>
  <c r="AB2070" i="1"/>
  <c r="AA2070" i="1"/>
  <c r="AF2069" i="1"/>
  <c r="AE2069" i="1"/>
  <c r="AD2069" i="1"/>
  <c r="AC2069" i="1"/>
  <c r="AB2069" i="1"/>
  <c r="AA2069" i="1"/>
  <c r="AF2068" i="1"/>
  <c r="AE2068" i="1"/>
  <c r="AD2068" i="1"/>
  <c r="AC2068" i="1"/>
  <c r="AB2068" i="1"/>
  <c r="AA2068" i="1"/>
  <c r="AF2067" i="1"/>
  <c r="AE2067" i="1"/>
  <c r="AD2067" i="1"/>
  <c r="AC2067" i="1"/>
  <c r="AB2067" i="1"/>
  <c r="AA2067" i="1"/>
  <c r="AF2066" i="1"/>
  <c r="AE2066" i="1"/>
  <c r="AD2066" i="1"/>
  <c r="AC2066" i="1"/>
  <c r="AB2066" i="1"/>
  <c r="AA2066" i="1"/>
  <c r="AF2065" i="1"/>
  <c r="AE2065" i="1"/>
  <c r="AD2065" i="1"/>
  <c r="AC2065" i="1"/>
  <c r="AB2065" i="1"/>
  <c r="AA2065" i="1"/>
  <c r="AF2064" i="1"/>
  <c r="AE2064" i="1"/>
  <c r="AD2064" i="1"/>
  <c r="AC2064" i="1"/>
  <c r="AB2064" i="1"/>
  <c r="AA2064" i="1"/>
  <c r="AF2063" i="1"/>
  <c r="AE2063" i="1"/>
  <c r="AD2063" i="1"/>
  <c r="AC2063" i="1"/>
  <c r="AB2063" i="1"/>
  <c r="AA2063" i="1"/>
  <c r="AF2062" i="1"/>
  <c r="AE2062" i="1"/>
  <c r="AD2062" i="1"/>
  <c r="AC2062" i="1"/>
  <c r="AB2062" i="1"/>
  <c r="AA2062" i="1"/>
  <c r="AF2061" i="1"/>
  <c r="AE2061" i="1"/>
  <c r="AD2061" i="1"/>
  <c r="AC2061" i="1"/>
  <c r="AB2061" i="1"/>
  <c r="AA2061" i="1"/>
  <c r="AF2060" i="1"/>
  <c r="AE2060" i="1"/>
  <c r="AD2060" i="1"/>
  <c r="AC2060" i="1"/>
  <c r="AB2060" i="1"/>
  <c r="AA2060" i="1"/>
  <c r="AF2059" i="1"/>
  <c r="AE2059" i="1"/>
  <c r="AD2059" i="1"/>
  <c r="AC2059" i="1"/>
  <c r="AB2059" i="1"/>
  <c r="AA2059" i="1"/>
  <c r="AF2058" i="1"/>
  <c r="AE2058" i="1"/>
  <c r="AD2058" i="1"/>
  <c r="AC2058" i="1"/>
  <c r="AB2058" i="1"/>
  <c r="AA2058" i="1"/>
  <c r="AF2057" i="1"/>
  <c r="AE2057" i="1"/>
  <c r="AD2057" i="1"/>
  <c r="AC2057" i="1"/>
  <c r="AB2057" i="1"/>
  <c r="AA2057" i="1"/>
  <c r="AF2056" i="1"/>
  <c r="AE2056" i="1"/>
  <c r="AD2056" i="1"/>
  <c r="AC2056" i="1"/>
  <c r="AB2056" i="1"/>
  <c r="AA2056" i="1"/>
  <c r="AF2055" i="1"/>
  <c r="AE2055" i="1"/>
  <c r="AD2055" i="1"/>
  <c r="AC2055" i="1"/>
  <c r="AB2055" i="1"/>
  <c r="AA2055" i="1"/>
  <c r="AF2054" i="1"/>
  <c r="AE2054" i="1"/>
  <c r="AD2054" i="1"/>
  <c r="AC2054" i="1"/>
  <c r="AB2054" i="1"/>
  <c r="AA2054" i="1"/>
  <c r="AF2053" i="1"/>
  <c r="AE2053" i="1"/>
  <c r="AD2053" i="1"/>
  <c r="AC2053" i="1"/>
  <c r="AB2053" i="1"/>
  <c r="AA2053" i="1"/>
  <c r="AF2052" i="1"/>
  <c r="AE2052" i="1"/>
  <c r="AD2052" i="1"/>
  <c r="AC2052" i="1"/>
  <c r="AB2052" i="1"/>
  <c r="AA2052" i="1"/>
  <c r="AF2051" i="1"/>
  <c r="AE2051" i="1"/>
  <c r="AD2051" i="1"/>
  <c r="AC2051" i="1"/>
  <c r="AB2051" i="1"/>
  <c r="AA2051" i="1"/>
  <c r="AF2050" i="1"/>
  <c r="AE2050" i="1"/>
  <c r="AD2050" i="1"/>
  <c r="AC2050" i="1"/>
  <c r="AB2050" i="1"/>
  <c r="AA2050" i="1"/>
  <c r="AF2049" i="1"/>
  <c r="AE2049" i="1"/>
  <c r="AD2049" i="1"/>
  <c r="AC2049" i="1"/>
  <c r="AB2049" i="1"/>
  <c r="AA2049" i="1"/>
  <c r="AF2048" i="1"/>
  <c r="AE2048" i="1"/>
  <c r="AD2048" i="1"/>
  <c r="AC2048" i="1"/>
  <c r="AB2048" i="1"/>
  <c r="AA2048" i="1"/>
  <c r="AF2047" i="1"/>
  <c r="AE2047" i="1"/>
  <c r="AD2047" i="1"/>
  <c r="AC2047" i="1"/>
  <c r="AB2047" i="1"/>
  <c r="AA2047" i="1"/>
  <c r="AF2046" i="1"/>
  <c r="AE2046" i="1"/>
  <c r="AD2046" i="1"/>
  <c r="AC2046" i="1"/>
  <c r="AB2046" i="1"/>
  <c r="AA2046" i="1"/>
  <c r="AF2045" i="1"/>
  <c r="AE2045" i="1"/>
  <c r="AD2045" i="1"/>
  <c r="AC2045" i="1"/>
  <c r="AB2045" i="1"/>
  <c r="AA2045" i="1"/>
  <c r="AF2044" i="1"/>
  <c r="AE2044" i="1"/>
  <c r="AD2044" i="1"/>
  <c r="AC2044" i="1"/>
  <c r="AB2044" i="1"/>
  <c r="AA2044" i="1"/>
  <c r="AF2043" i="1"/>
  <c r="AE2043" i="1"/>
  <c r="AD2043" i="1"/>
  <c r="AC2043" i="1"/>
  <c r="AB2043" i="1"/>
  <c r="AA2043" i="1"/>
  <c r="AF2042" i="1"/>
  <c r="AE2042" i="1"/>
  <c r="AD2042" i="1"/>
  <c r="AC2042" i="1"/>
  <c r="AB2042" i="1"/>
  <c r="AA2042" i="1"/>
  <c r="AF2041" i="1"/>
  <c r="AE2041" i="1"/>
  <c r="AD2041" i="1"/>
  <c r="AC2041" i="1"/>
  <c r="AB2041" i="1"/>
  <c r="AA2041" i="1"/>
  <c r="AF2040" i="1"/>
  <c r="AE2040" i="1"/>
  <c r="AD2040" i="1"/>
  <c r="AC2040" i="1"/>
  <c r="AB2040" i="1"/>
  <c r="AA2040" i="1"/>
  <c r="AF2039" i="1"/>
  <c r="AE2039" i="1"/>
  <c r="AD2039" i="1"/>
  <c r="AC2039" i="1"/>
  <c r="AB2039" i="1"/>
  <c r="AA2039" i="1"/>
  <c r="AF2038" i="1"/>
  <c r="AE2038" i="1"/>
  <c r="AD2038" i="1"/>
  <c r="AC2038" i="1"/>
  <c r="AB2038" i="1"/>
  <c r="AA2038" i="1"/>
  <c r="AF2037" i="1"/>
  <c r="AE2037" i="1"/>
  <c r="AD2037" i="1"/>
  <c r="AC2037" i="1"/>
  <c r="AB2037" i="1"/>
  <c r="AA2037" i="1"/>
  <c r="AF2036" i="1"/>
  <c r="AE2036" i="1"/>
  <c r="AD2036" i="1"/>
  <c r="AC2036" i="1"/>
  <c r="AB2036" i="1"/>
  <c r="AA2036" i="1"/>
  <c r="AF2035" i="1"/>
  <c r="AE2035" i="1"/>
  <c r="AD2035" i="1"/>
  <c r="AC2035" i="1"/>
  <c r="AB2035" i="1"/>
  <c r="AA2035" i="1"/>
  <c r="AF2034" i="1"/>
  <c r="AE2034" i="1"/>
  <c r="AD2034" i="1"/>
  <c r="AC2034" i="1"/>
  <c r="AB2034" i="1"/>
  <c r="AA2034" i="1"/>
  <c r="AF2033" i="1"/>
  <c r="AE2033" i="1"/>
  <c r="AD2033" i="1"/>
  <c r="AC2033" i="1"/>
  <c r="AB2033" i="1"/>
  <c r="AA2033" i="1"/>
  <c r="AF2032" i="1"/>
  <c r="AE2032" i="1"/>
  <c r="AD2032" i="1"/>
  <c r="AC2032" i="1"/>
  <c r="AB2032" i="1"/>
  <c r="AA2032" i="1"/>
  <c r="AF2031" i="1"/>
  <c r="AE2031" i="1"/>
  <c r="AD2031" i="1"/>
  <c r="AC2031" i="1"/>
  <c r="AB2031" i="1"/>
  <c r="AA2031" i="1"/>
  <c r="AF2030" i="1"/>
  <c r="AE2030" i="1"/>
  <c r="AD2030" i="1"/>
  <c r="AC2030" i="1"/>
  <c r="AB2030" i="1"/>
  <c r="AA2030" i="1"/>
  <c r="AF2029" i="1"/>
  <c r="AE2029" i="1"/>
  <c r="AD2029" i="1"/>
  <c r="AC2029" i="1"/>
  <c r="AB2029" i="1"/>
  <c r="AA2029" i="1"/>
  <c r="AF2028" i="1"/>
  <c r="AE2028" i="1"/>
  <c r="AD2028" i="1"/>
  <c r="AC2028" i="1"/>
  <c r="AB2028" i="1"/>
  <c r="AA2028" i="1"/>
  <c r="AF2027" i="1"/>
  <c r="AE2027" i="1"/>
  <c r="AD2027" i="1"/>
  <c r="AC2027" i="1"/>
  <c r="AB2027" i="1"/>
  <c r="AA2027" i="1"/>
  <c r="AF2026" i="1"/>
  <c r="AE2026" i="1"/>
  <c r="AD2026" i="1"/>
  <c r="AC2026" i="1"/>
  <c r="AB2026" i="1"/>
  <c r="AA2026" i="1"/>
  <c r="AF2025" i="1"/>
  <c r="AE2025" i="1"/>
  <c r="AD2025" i="1"/>
  <c r="AC2025" i="1"/>
  <c r="AB2025" i="1"/>
  <c r="AA2025" i="1"/>
  <c r="AF2024" i="1"/>
  <c r="AE2024" i="1"/>
  <c r="AD2024" i="1"/>
  <c r="AC2024" i="1"/>
  <c r="AB2024" i="1"/>
  <c r="AA2024" i="1"/>
  <c r="AF2023" i="1"/>
  <c r="AE2023" i="1"/>
  <c r="AD2023" i="1"/>
  <c r="AC2023" i="1"/>
  <c r="AB2023" i="1"/>
  <c r="AA2023" i="1"/>
  <c r="AF2022" i="1"/>
  <c r="AE2022" i="1"/>
  <c r="AD2022" i="1"/>
  <c r="AC2022" i="1"/>
  <c r="AB2022" i="1"/>
  <c r="AA2022" i="1"/>
  <c r="AF2021" i="1"/>
  <c r="AE2021" i="1"/>
  <c r="AD2021" i="1"/>
  <c r="AC2021" i="1"/>
  <c r="AB2021" i="1"/>
  <c r="AA2021" i="1"/>
  <c r="AF2020" i="1"/>
  <c r="AE2020" i="1"/>
  <c r="AD2020" i="1"/>
  <c r="AC2020" i="1"/>
  <c r="AB2020" i="1"/>
  <c r="AA2020" i="1"/>
  <c r="AF2019" i="1"/>
  <c r="AE2019" i="1"/>
  <c r="AD2019" i="1"/>
  <c r="AC2019" i="1"/>
  <c r="AB2019" i="1"/>
  <c r="AA2019" i="1"/>
  <c r="AF2018" i="1"/>
  <c r="AE2018" i="1"/>
  <c r="AD2018" i="1"/>
  <c r="AC2018" i="1"/>
  <c r="AB2018" i="1"/>
  <c r="AA2018" i="1"/>
  <c r="AF2017" i="1"/>
  <c r="AE2017" i="1"/>
  <c r="AD2017" i="1"/>
  <c r="AC2017" i="1"/>
  <c r="AB2017" i="1"/>
  <c r="AA2017" i="1"/>
  <c r="AF2016" i="1"/>
  <c r="AE2016" i="1"/>
  <c r="AD2016" i="1"/>
  <c r="AC2016" i="1"/>
  <c r="AB2016" i="1"/>
  <c r="AA2016" i="1"/>
  <c r="AF2015" i="1"/>
  <c r="AE2015" i="1"/>
  <c r="AD2015" i="1"/>
  <c r="AC2015" i="1"/>
  <c r="AB2015" i="1"/>
  <c r="AA2015" i="1"/>
  <c r="AF2014" i="1"/>
  <c r="AE2014" i="1"/>
  <c r="AD2014" i="1"/>
  <c r="AC2014" i="1"/>
  <c r="AB2014" i="1"/>
  <c r="AA2014" i="1"/>
  <c r="AF2013" i="1"/>
  <c r="AE2013" i="1"/>
  <c r="AD2013" i="1"/>
  <c r="AC2013" i="1"/>
  <c r="AB2013" i="1"/>
  <c r="AA2013" i="1"/>
  <c r="AF2012" i="1"/>
  <c r="AE2012" i="1"/>
  <c r="AD2012" i="1"/>
  <c r="AC2012" i="1"/>
  <c r="AB2012" i="1"/>
  <c r="AA2012" i="1"/>
  <c r="AF2011" i="1"/>
  <c r="AE2011" i="1"/>
  <c r="AD2011" i="1"/>
  <c r="AC2011" i="1"/>
  <c r="AB2011" i="1"/>
  <c r="AA2011" i="1"/>
  <c r="AF2010" i="1"/>
  <c r="AE2010" i="1"/>
  <c r="AD2010" i="1"/>
  <c r="AC2010" i="1"/>
  <c r="AB2010" i="1"/>
  <c r="AA2010" i="1"/>
  <c r="AF2009" i="1"/>
  <c r="AE2009" i="1"/>
  <c r="AD2009" i="1"/>
  <c r="AC2009" i="1"/>
  <c r="AB2009" i="1"/>
  <c r="AA2009" i="1"/>
  <c r="AF2008" i="1"/>
  <c r="AE2008" i="1"/>
  <c r="AD2008" i="1"/>
  <c r="AC2008" i="1"/>
  <c r="AB2008" i="1"/>
  <c r="AA2008" i="1"/>
  <c r="AF2007" i="1"/>
  <c r="AE2007" i="1"/>
  <c r="AD2007" i="1"/>
  <c r="AC2007" i="1"/>
  <c r="AB2007" i="1"/>
  <c r="AA2007" i="1"/>
  <c r="AF2006" i="1"/>
  <c r="AE2006" i="1"/>
  <c r="AD2006" i="1"/>
  <c r="AC2006" i="1"/>
  <c r="AB2006" i="1"/>
  <c r="AA2006" i="1"/>
  <c r="AF2005" i="1"/>
  <c r="AE2005" i="1"/>
  <c r="AD2005" i="1"/>
  <c r="AC2005" i="1"/>
  <c r="AB2005" i="1"/>
  <c r="AA2005" i="1"/>
  <c r="AF2004" i="1"/>
  <c r="AE2004" i="1"/>
  <c r="AD2004" i="1"/>
  <c r="AC2004" i="1"/>
  <c r="AB2004" i="1"/>
  <c r="AA2004" i="1"/>
  <c r="AF2003" i="1"/>
  <c r="AE2003" i="1"/>
  <c r="AD2003" i="1"/>
  <c r="AC2003" i="1"/>
  <c r="AB2003" i="1"/>
  <c r="AA2003" i="1"/>
  <c r="AF2002" i="1"/>
  <c r="AE2002" i="1"/>
  <c r="AD2002" i="1"/>
  <c r="AC2002" i="1"/>
  <c r="AB2002" i="1"/>
  <c r="AA2002" i="1"/>
  <c r="AF2001" i="1"/>
  <c r="AE2001" i="1"/>
  <c r="AD2001" i="1"/>
  <c r="AC2001" i="1"/>
  <c r="AB2001" i="1"/>
  <c r="AA2001" i="1"/>
  <c r="AF2000" i="1"/>
  <c r="AE2000" i="1"/>
  <c r="AD2000" i="1"/>
  <c r="AC2000" i="1"/>
  <c r="AB2000" i="1"/>
  <c r="AA2000" i="1"/>
  <c r="AF1999" i="1"/>
  <c r="AE1999" i="1"/>
  <c r="AD1999" i="1"/>
  <c r="AC1999" i="1"/>
  <c r="AB1999" i="1"/>
  <c r="AA1999" i="1"/>
  <c r="AF1998" i="1"/>
  <c r="AE1998" i="1"/>
  <c r="AD1998" i="1"/>
  <c r="AC1998" i="1"/>
  <c r="AB1998" i="1"/>
  <c r="AA1998" i="1"/>
  <c r="AF1997" i="1"/>
  <c r="AE1997" i="1"/>
  <c r="AD1997" i="1"/>
  <c r="AC1997" i="1"/>
  <c r="AB1997" i="1"/>
  <c r="AA1997" i="1"/>
  <c r="AF1996" i="1"/>
  <c r="AE1996" i="1"/>
  <c r="AD1996" i="1"/>
  <c r="AC1996" i="1"/>
  <c r="AB1996" i="1"/>
  <c r="AA1996" i="1"/>
  <c r="AF1995" i="1"/>
  <c r="AE1995" i="1"/>
  <c r="AD1995" i="1"/>
  <c r="AC1995" i="1"/>
  <c r="AB1995" i="1"/>
  <c r="AA1995" i="1"/>
  <c r="AF1994" i="1"/>
  <c r="AE1994" i="1"/>
  <c r="AD1994" i="1"/>
  <c r="AC1994" i="1"/>
  <c r="AB1994" i="1"/>
  <c r="AA1994" i="1"/>
  <c r="AF1993" i="1"/>
  <c r="AE1993" i="1"/>
  <c r="AD1993" i="1"/>
  <c r="AC1993" i="1"/>
  <c r="AB1993" i="1"/>
  <c r="AA1993" i="1"/>
  <c r="AF1992" i="1"/>
  <c r="AE1992" i="1"/>
  <c r="AD1992" i="1"/>
  <c r="AC1992" i="1"/>
  <c r="AB1992" i="1"/>
  <c r="AA1992" i="1"/>
  <c r="AF1991" i="1"/>
  <c r="AE1991" i="1"/>
  <c r="AD1991" i="1"/>
  <c r="AC1991" i="1"/>
  <c r="AB1991" i="1"/>
  <c r="AA1991" i="1"/>
  <c r="AF1990" i="1"/>
  <c r="AE1990" i="1"/>
  <c r="AD1990" i="1"/>
  <c r="AC1990" i="1"/>
  <c r="AB1990" i="1"/>
  <c r="AA1990" i="1"/>
  <c r="AF1989" i="1"/>
  <c r="AE1989" i="1"/>
  <c r="AD1989" i="1"/>
  <c r="AC1989" i="1"/>
  <c r="AB1989" i="1"/>
  <c r="AA1989" i="1"/>
  <c r="AF1988" i="1"/>
  <c r="AE1988" i="1"/>
  <c r="AD1988" i="1"/>
  <c r="AC1988" i="1"/>
  <c r="AB1988" i="1"/>
  <c r="AA1988" i="1"/>
  <c r="AF1987" i="1"/>
  <c r="AE1987" i="1"/>
  <c r="AD1987" i="1"/>
  <c r="AC1987" i="1"/>
  <c r="AB1987" i="1"/>
  <c r="AA1987" i="1"/>
  <c r="AF1986" i="1"/>
  <c r="AE1986" i="1"/>
  <c r="AD1986" i="1"/>
  <c r="AC1986" i="1"/>
  <c r="AB1986" i="1"/>
  <c r="AA1986" i="1"/>
  <c r="AF1985" i="1"/>
  <c r="AE1985" i="1"/>
  <c r="AD1985" i="1"/>
  <c r="AC1985" i="1"/>
  <c r="AB1985" i="1"/>
  <c r="AA1985" i="1"/>
  <c r="AF1984" i="1"/>
  <c r="AE1984" i="1"/>
  <c r="AD1984" i="1"/>
  <c r="AC1984" i="1"/>
  <c r="AB1984" i="1"/>
  <c r="AA1984" i="1"/>
  <c r="AF1983" i="1"/>
  <c r="AE1983" i="1"/>
  <c r="AD1983" i="1"/>
  <c r="AC1983" i="1"/>
  <c r="AB1983" i="1"/>
  <c r="AA1983" i="1"/>
  <c r="AF1982" i="1"/>
  <c r="AE1982" i="1"/>
  <c r="AD1982" i="1"/>
  <c r="AC1982" i="1"/>
  <c r="AB1982" i="1"/>
  <c r="AA1982" i="1"/>
  <c r="AF1981" i="1"/>
  <c r="AE1981" i="1"/>
  <c r="AD1981" i="1"/>
  <c r="AC1981" i="1"/>
  <c r="AB1981" i="1"/>
  <c r="AA1981" i="1"/>
  <c r="AF1980" i="1"/>
  <c r="AE1980" i="1"/>
  <c r="AD1980" i="1"/>
  <c r="AC1980" i="1"/>
  <c r="AB1980" i="1"/>
  <c r="AA1980" i="1"/>
  <c r="AF1979" i="1"/>
  <c r="AE1979" i="1"/>
  <c r="AD1979" i="1"/>
  <c r="AC1979" i="1"/>
  <c r="AB1979" i="1"/>
  <c r="AA1979" i="1"/>
  <c r="AF1978" i="1"/>
  <c r="AE1978" i="1"/>
  <c r="AD1978" i="1"/>
  <c r="AC1978" i="1"/>
  <c r="AB1978" i="1"/>
  <c r="AA1978" i="1"/>
  <c r="AF1977" i="1"/>
  <c r="AE1977" i="1"/>
  <c r="AD1977" i="1"/>
  <c r="AC1977" i="1"/>
  <c r="AB1977" i="1"/>
  <c r="AA1977" i="1"/>
  <c r="AF1976" i="1"/>
  <c r="AE1976" i="1"/>
  <c r="AD1976" i="1"/>
  <c r="AC1976" i="1"/>
  <c r="AB1976" i="1"/>
  <c r="AA1976" i="1"/>
  <c r="AF1975" i="1"/>
  <c r="AE1975" i="1"/>
  <c r="AD1975" i="1"/>
  <c r="AC1975" i="1"/>
  <c r="AB1975" i="1"/>
  <c r="AA1975" i="1"/>
  <c r="AF1974" i="1"/>
  <c r="AE1974" i="1"/>
  <c r="AD1974" i="1"/>
  <c r="AC1974" i="1"/>
  <c r="AB1974" i="1"/>
  <c r="AA1974" i="1"/>
  <c r="AF1973" i="1"/>
  <c r="AE1973" i="1"/>
  <c r="AD1973" i="1"/>
  <c r="AC1973" i="1"/>
  <c r="AB1973" i="1"/>
  <c r="AA1973" i="1"/>
  <c r="AF1972" i="1"/>
  <c r="AE1972" i="1"/>
  <c r="AD1972" i="1"/>
  <c r="AC1972" i="1"/>
  <c r="AB1972" i="1"/>
  <c r="AA1972" i="1"/>
  <c r="AF1971" i="1"/>
  <c r="AE1971" i="1"/>
  <c r="AD1971" i="1"/>
  <c r="AC1971" i="1"/>
  <c r="AB1971" i="1"/>
  <c r="AA1971" i="1"/>
  <c r="AF1970" i="1"/>
  <c r="AE1970" i="1"/>
  <c r="AD1970" i="1"/>
  <c r="AC1970" i="1"/>
  <c r="AB1970" i="1"/>
  <c r="AA1970" i="1"/>
  <c r="AF1969" i="1"/>
  <c r="AE1969" i="1"/>
  <c r="AD1969" i="1"/>
  <c r="AC1969" i="1"/>
  <c r="AB1969" i="1"/>
  <c r="AA1969" i="1"/>
  <c r="AF1968" i="1"/>
  <c r="AE1968" i="1"/>
  <c r="AD1968" i="1"/>
  <c r="AC1968" i="1"/>
  <c r="AB1968" i="1"/>
  <c r="AA1968" i="1"/>
  <c r="AF1967" i="1"/>
  <c r="AE1967" i="1"/>
  <c r="AD1967" i="1"/>
  <c r="AC1967" i="1"/>
  <c r="AB1967" i="1"/>
  <c r="AA1967" i="1"/>
  <c r="AF1966" i="1"/>
  <c r="AE1966" i="1"/>
  <c r="AD1966" i="1"/>
  <c r="AC1966" i="1"/>
  <c r="AB1966" i="1"/>
  <c r="AA1966" i="1"/>
  <c r="AF1965" i="1"/>
  <c r="AE1965" i="1"/>
  <c r="AD1965" i="1"/>
  <c r="AC1965" i="1"/>
  <c r="AB1965" i="1"/>
  <c r="AA1965" i="1"/>
  <c r="AF1964" i="1"/>
  <c r="AE1964" i="1"/>
  <c r="AD1964" i="1"/>
  <c r="AC1964" i="1"/>
  <c r="AB1964" i="1"/>
  <c r="AA1964" i="1"/>
  <c r="AF1963" i="1"/>
  <c r="AE1963" i="1"/>
  <c r="AD1963" i="1"/>
  <c r="AC1963" i="1"/>
  <c r="AB1963" i="1"/>
  <c r="AA1963" i="1"/>
  <c r="AF1962" i="1"/>
  <c r="AE1962" i="1"/>
  <c r="AD1962" i="1"/>
  <c r="AC1962" i="1"/>
  <c r="AB1962" i="1"/>
  <c r="AA1962" i="1"/>
  <c r="AF1961" i="1"/>
  <c r="AE1961" i="1"/>
  <c r="AD1961" i="1"/>
  <c r="AC1961" i="1"/>
  <c r="AB1961" i="1"/>
  <c r="AA1961" i="1"/>
  <c r="AF1960" i="1"/>
  <c r="AE1960" i="1"/>
  <c r="AD1960" i="1"/>
  <c r="AC1960" i="1"/>
  <c r="AB1960" i="1"/>
  <c r="AA1960" i="1"/>
  <c r="AF1959" i="1"/>
  <c r="AE1959" i="1"/>
  <c r="AD1959" i="1"/>
  <c r="AC1959" i="1"/>
  <c r="AB1959" i="1"/>
  <c r="AA1959" i="1"/>
  <c r="AF1958" i="1"/>
  <c r="AE1958" i="1"/>
  <c r="AD1958" i="1"/>
  <c r="AC1958" i="1"/>
  <c r="AB1958" i="1"/>
  <c r="AA1958" i="1"/>
  <c r="AF1957" i="1"/>
  <c r="AE1957" i="1"/>
  <c r="AD1957" i="1"/>
  <c r="AC1957" i="1"/>
  <c r="AB1957" i="1"/>
  <c r="AA1957" i="1"/>
  <c r="AF1956" i="1"/>
  <c r="AE1956" i="1"/>
  <c r="AD1956" i="1"/>
  <c r="AC1956" i="1"/>
  <c r="AB1956" i="1"/>
  <c r="AA1956" i="1"/>
  <c r="AF1955" i="1"/>
  <c r="AE1955" i="1"/>
  <c r="AD1955" i="1"/>
  <c r="AC1955" i="1"/>
  <c r="AB1955" i="1"/>
  <c r="AA1955" i="1"/>
  <c r="AF1954" i="1"/>
  <c r="AE1954" i="1"/>
  <c r="AD1954" i="1"/>
  <c r="AC1954" i="1"/>
  <c r="AB1954" i="1"/>
  <c r="AA1954" i="1"/>
  <c r="AF1953" i="1"/>
  <c r="AE1953" i="1"/>
  <c r="AD1953" i="1"/>
  <c r="AC1953" i="1"/>
  <c r="AB1953" i="1"/>
  <c r="AA1953" i="1"/>
  <c r="AF1952" i="1"/>
  <c r="AE1952" i="1"/>
  <c r="AD1952" i="1"/>
  <c r="AC1952" i="1"/>
  <c r="AB1952" i="1"/>
  <c r="AA1952" i="1"/>
  <c r="AF1951" i="1"/>
  <c r="AE1951" i="1"/>
  <c r="AD1951" i="1"/>
  <c r="AC1951" i="1"/>
  <c r="AB1951" i="1"/>
  <c r="AA1951" i="1"/>
  <c r="AF1950" i="1"/>
  <c r="AE1950" i="1"/>
  <c r="AD1950" i="1"/>
  <c r="AC1950" i="1"/>
  <c r="AB1950" i="1"/>
  <c r="AA1950" i="1"/>
  <c r="AF1949" i="1"/>
  <c r="AE1949" i="1"/>
  <c r="AD1949" i="1"/>
  <c r="AC1949" i="1"/>
  <c r="AB1949" i="1"/>
  <c r="AA1949" i="1"/>
  <c r="AF1948" i="1"/>
  <c r="AE1948" i="1"/>
  <c r="AD1948" i="1"/>
  <c r="AC1948" i="1"/>
  <c r="AB1948" i="1"/>
  <c r="AA1948" i="1"/>
  <c r="AF1947" i="1"/>
  <c r="AE1947" i="1"/>
  <c r="AD1947" i="1"/>
  <c r="AC1947" i="1"/>
  <c r="AB1947" i="1"/>
  <c r="AA1947" i="1"/>
  <c r="AF1946" i="1"/>
  <c r="AE1946" i="1"/>
  <c r="AD1946" i="1"/>
  <c r="AC1946" i="1"/>
  <c r="AB1946" i="1"/>
  <c r="AA1946" i="1"/>
  <c r="AF1945" i="1"/>
  <c r="AE1945" i="1"/>
  <c r="AD1945" i="1"/>
  <c r="AC1945" i="1"/>
  <c r="AB1945" i="1"/>
  <c r="AA1945" i="1"/>
  <c r="AF1944" i="1"/>
  <c r="AE1944" i="1"/>
  <c r="AD1944" i="1"/>
  <c r="AC1944" i="1"/>
  <c r="AB1944" i="1"/>
  <c r="AA1944" i="1"/>
  <c r="AF1943" i="1"/>
  <c r="AE1943" i="1"/>
  <c r="AD1943" i="1"/>
  <c r="AC1943" i="1"/>
  <c r="AB1943" i="1"/>
  <c r="AA1943" i="1"/>
  <c r="AF1942" i="1"/>
  <c r="AE1942" i="1"/>
  <c r="AD1942" i="1"/>
  <c r="AC1942" i="1"/>
  <c r="AB1942" i="1"/>
  <c r="AA1942" i="1"/>
  <c r="AF1941" i="1"/>
  <c r="AE1941" i="1"/>
  <c r="AD1941" i="1"/>
  <c r="AC1941" i="1"/>
  <c r="AB1941" i="1"/>
  <c r="AA1941" i="1"/>
  <c r="AF1940" i="1"/>
  <c r="AE1940" i="1"/>
  <c r="AD1940" i="1"/>
  <c r="AC1940" i="1"/>
  <c r="AB1940" i="1"/>
  <c r="AA1940" i="1"/>
  <c r="AF1939" i="1"/>
  <c r="AE1939" i="1"/>
  <c r="AD1939" i="1"/>
  <c r="AC1939" i="1"/>
  <c r="AB1939" i="1"/>
  <c r="AA1939" i="1"/>
  <c r="AF1938" i="1"/>
  <c r="AE1938" i="1"/>
  <c r="AD1938" i="1"/>
  <c r="AC1938" i="1"/>
  <c r="AB1938" i="1"/>
  <c r="AA1938" i="1"/>
  <c r="AF1937" i="1"/>
  <c r="AE1937" i="1"/>
  <c r="AD1937" i="1"/>
  <c r="AC1937" i="1"/>
  <c r="AB1937" i="1"/>
  <c r="AA1937" i="1"/>
  <c r="AF1936" i="1"/>
  <c r="AE1936" i="1"/>
  <c r="AD1936" i="1"/>
  <c r="AC1936" i="1"/>
  <c r="AB1936" i="1"/>
  <c r="AA1936" i="1"/>
  <c r="AF1935" i="1"/>
  <c r="AE1935" i="1"/>
  <c r="AD1935" i="1"/>
  <c r="AC1935" i="1"/>
  <c r="AB1935" i="1"/>
  <c r="AA1935" i="1"/>
  <c r="AF1934" i="1"/>
  <c r="AE1934" i="1"/>
  <c r="AD1934" i="1"/>
  <c r="AC1934" i="1"/>
  <c r="AB1934" i="1"/>
  <c r="AA1934" i="1"/>
  <c r="AF1933" i="1"/>
  <c r="AE1933" i="1"/>
  <c r="AD1933" i="1"/>
  <c r="AC1933" i="1"/>
  <c r="AB1933" i="1"/>
  <c r="AA1933" i="1"/>
  <c r="AF1932" i="1"/>
  <c r="AE1932" i="1"/>
  <c r="AD1932" i="1"/>
  <c r="AC1932" i="1"/>
  <c r="AB1932" i="1"/>
  <c r="AA1932" i="1"/>
  <c r="AF1931" i="1"/>
  <c r="AE1931" i="1"/>
  <c r="AD1931" i="1"/>
  <c r="AC1931" i="1"/>
  <c r="AB1931" i="1"/>
  <c r="AA1931" i="1"/>
  <c r="AF1930" i="1"/>
  <c r="AE1930" i="1"/>
  <c r="AD1930" i="1"/>
  <c r="AC1930" i="1"/>
  <c r="AB1930" i="1"/>
  <c r="AA1930" i="1"/>
  <c r="AF1929" i="1"/>
  <c r="AE1929" i="1"/>
  <c r="AD1929" i="1"/>
  <c r="AC1929" i="1"/>
  <c r="AB1929" i="1"/>
  <c r="AA1929" i="1"/>
  <c r="AF1928" i="1"/>
  <c r="AE1928" i="1"/>
  <c r="AD1928" i="1"/>
  <c r="AC1928" i="1"/>
  <c r="AB1928" i="1"/>
  <c r="AA1928" i="1"/>
  <c r="AF1927" i="1"/>
  <c r="AE1927" i="1"/>
  <c r="AD1927" i="1"/>
  <c r="AC1927" i="1"/>
  <c r="AB1927" i="1"/>
  <c r="AA1927" i="1"/>
  <c r="AF1926" i="1"/>
  <c r="AE1926" i="1"/>
  <c r="AD1926" i="1"/>
  <c r="AC1926" i="1"/>
  <c r="AB1926" i="1"/>
  <c r="AA1926" i="1"/>
  <c r="AF1925" i="1"/>
  <c r="AE1925" i="1"/>
  <c r="AD1925" i="1"/>
  <c r="AC1925" i="1"/>
  <c r="AB1925" i="1"/>
  <c r="AA1925" i="1"/>
  <c r="AF1924" i="1"/>
  <c r="AE1924" i="1"/>
  <c r="AD1924" i="1"/>
  <c r="AC1924" i="1"/>
  <c r="AB1924" i="1"/>
  <c r="AA1924" i="1"/>
  <c r="AF1923" i="1"/>
  <c r="AE1923" i="1"/>
  <c r="AD1923" i="1"/>
  <c r="AC1923" i="1"/>
  <c r="AB1923" i="1"/>
  <c r="AA1923" i="1"/>
  <c r="AF1922" i="1"/>
  <c r="AE1922" i="1"/>
  <c r="AD1922" i="1"/>
  <c r="AC1922" i="1"/>
  <c r="AB1922" i="1"/>
  <c r="AA1922" i="1"/>
  <c r="AF1921" i="1"/>
  <c r="AE1921" i="1"/>
  <c r="AD1921" i="1"/>
  <c r="AC1921" i="1"/>
  <c r="AB1921" i="1"/>
  <c r="AA1921" i="1"/>
  <c r="AF1920" i="1"/>
  <c r="AE1920" i="1"/>
  <c r="AD1920" i="1"/>
  <c r="AC1920" i="1"/>
  <c r="AB1920" i="1"/>
  <c r="AA1920" i="1"/>
  <c r="AF1919" i="1"/>
  <c r="AE1919" i="1"/>
  <c r="AD1919" i="1"/>
  <c r="AC1919" i="1"/>
  <c r="AB1919" i="1"/>
  <c r="AA1919" i="1"/>
  <c r="AF1918" i="1"/>
  <c r="AE1918" i="1"/>
  <c r="AD1918" i="1"/>
  <c r="AC1918" i="1"/>
  <c r="AB1918" i="1"/>
  <c r="AA1918" i="1"/>
  <c r="AF1917" i="1"/>
  <c r="AE1917" i="1"/>
  <c r="AD1917" i="1"/>
  <c r="AC1917" i="1"/>
  <c r="AB1917" i="1"/>
  <c r="AA1917" i="1"/>
  <c r="AF1916" i="1"/>
  <c r="AE1916" i="1"/>
  <c r="AD1916" i="1"/>
  <c r="AC1916" i="1"/>
  <c r="AB1916" i="1"/>
  <c r="AA1916" i="1"/>
  <c r="AF1915" i="1"/>
  <c r="AE1915" i="1"/>
  <c r="AD1915" i="1"/>
  <c r="AC1915" i="1"/>
  <c r="AB1915" i="1"/>
  <c r="AA1915" i="1"/>
  <c r="AF1914" i="1"/>
  <c r="AE1914" i="1"/>
  <c r="AD1914" i="1"/>
  <c r="AC1914" i="1"/>
  <c r="AB1914" i="1"/>
  <c r="AA1914" i="1"/>
  <c r="AF1913" i="1"/>
  <c r="AE1913" i="1"/>
  <c r="AD1913" i="1"/>
  <c r="AC1913" i="1"/>
  <c r="AB1913" i="1"/>
  <c r="AA1913" i="1"/>
  <c r="AF1912" i="1"/>
  <c r="AE1912" i="1"/>
  <c r="AD1912" i="1"/>
  <c r="AC1912" i="1"/>
  <c r="AB1912" i="1"/>
  <c r="AA1912" i="1"/>
  <c r="AF1911" i="1"/>
  <c r="AE1911" i="1"/>
  <c r="AD1911" i="1"/>
  <c r="AC1911" i="1"/>
  <c r="AB1911" i="1"/>
  <c r="AA1911" i="1"/>
  <c r="AF1910" i="1"/>
  <c r="AE1910" i="1"/>
  <c r="AD1910" i="1"/>
  <c r="AC1910" i="1"/>
  <c r="AB1910" i="1"/>
  <c r="AA1910" i="1"/>
  <c r="AF1909" i="1"/>
  <c r="AE1909" i="1"/>
  <c r="AD1909" i="1"/>
  <c r="AC1909" i="1"/>
  <c r="AB1909" i="1"/>
  <c r="AA1909" i="1"/>
  <c r="AF1908" i="1"/>
  <c r="AE1908" i="1"/>
  <c r="AD1908" i="1"/>
  <c r="AC1908" i="1"/>
  <c r="AB1908" i="1"/>
  <c r="AA1908" i="1"/>
  <c r="AF1907" i="1"/>
  <c r="AE1907" i="1"/>
  <c r="AD1907" i="1"/>
  <c r="AC1907" i="1"/>
  <c r="AB1907" i="1"/>
  <c r="AA1907" i="1"/>
  <c r="AF1906" i="1"/>
  <c r="AE1906" i="1"/>
  <c r="AD1906" i="1"/>
  <c r="AC1906" i="1"/>
  <c r="AB1906" i="1"/>
  <c r="AA1906" i="1"/>
  <c r="AF1905" i="1"/>
  <c r="AE1905" i="1"/>
  <c r="AD1905" i="1"/>
  <c r="AC1905" i="1"/>
  <c r="AB1905" i="1"/>
  <c r="AA1905" i="1"/>
  <c r="AF1904" i="1"/>
  <c r="AE1904" i="1"/>
  <c r="AD1904" i="1"/>
  <c r="AC1904" i="1"/>
  <c r="AB1904" i="1"/>
  <c r="AA1904" i="1"/>
  <c r="AF1903" i="1"/>
  <c r="AE1903" i="1"/>
  <c r="AD1903" i="1"/>
  <c r="AC1903" i="1"/>
  <c r="AB1903" i="1"/>
  <c r="AA1903" i="1"/>
  <c r="AF1902" i="1"/>
  <c r="AE1902" i="1"/>
  <c r="AD1902" i="1"/>
  <c r="AC1902" i="1"/>
  <c r="AB1902" i="1"/>
  <c r="AA1902" i="1"/>
  <c r="AF1901" i="1"/>
  <c r="AE1901" i="1"/>
  <c r="AD1901" i="1"/>
  <c r="AC1901" i="1"/>
  <c r="AB1901" i="1"/>
  <c r="AA1901" i="1"/>
  <c r="AF1900" i="1"/>
  <c r="AE1900" i="1"/>
  <c r="AD1900" i="1"/>
  <c r="AC1900" i="1"/>
  <c r="AB1900" i="1"/>
  <c r="AA1900" i="1"/>
  <c r="AF1899" i="1"/>
  <c r="AE1899" i="1"/>
  <c r="AD1899" i="1"/>
  <c r="AC1899" i="1"/>
  <c r="AB1899" i="1"/>
  <c r="AA1899" i="1"/>
  <c r="AF1898" i="1"/>
  <c r="AE1898" i="1"/>
  <c r="AD1898" i="1"/>
  <c r="AC1898" i="1"/>
  <c r="AB1898" i="1"/>
  <c r="AA1898" i="1"/>
  <c r="AF1897" i="1"/>
  <c r="AE1897" i="1"/>
  <c r="AD1897" i="1"/>
  <c r="AC1897" i="1"/>
  <c r="AB1897" i="1"/>
  <c r="AA1897" i="1"/>
  <c r="AF1896" i="1"/>
  <c r="AE1896" i="1"/>
  <c r="AD1896" i="1"/>
  <c r="AC1896" i="1"/>
  <c r="AB1896" i="1"/>
  <c r="AA1896" i="1"/>
  <c r="AF1895" i="1"/>
  <c r="AE1895" i="1"/>
  <c r="AD1895" i="1"/>
  <c r="AC1895" i="1"/>
  <c r="AB1895" i="1"/>
  <c r="AA1895" i="1"/>
  <c r="AF1894" i="1"/>
  <c r="AE1894" i="1"/>
  <c r="AD1894" i="1"/>
  <c r="AC1894" i="1"/>
  <c r="AB1894" i="1"/>
  <c r="AA1894" i="1"/>
  <c r="AF1893" i="1"/>
  <c r="AE1893" i="1"/>
  <c r="AD1893" i="1"/>
  <c r="AC1893" i="1"/>
  <c r="AB1893" i="1"/>
  <c r="AA1893" i="1"/>
  <c r="AF1892" i="1"/>
  <c r="AE1892" i="1"/>
  <c r="AD1892" i="1"/>
  <c r="AC1892" i="1"/>
  <c r="AB1892" i="1"/>
  <c r="AA1892" i="1"/>
  <c r="AF1891" i="1"/>
  <c r="AE1891" i="1"/>
  <c r="AD1891" i="1"/>
  <c r="AC1891" i="1"/>
  <c r="AB1891" i="1"/>
  <c r="AA1891" i="1"/>
  <c r="AF1890" i="1"/>
  <c r="AE1890" i="1"/>
  <c r="AD1890" i="1"/>
  <c r="AC1890" i="1"/>
  <c r="AB1890" i="1"/>
  <c r="AA1890" i="1"/>
  <c r="AF1889" i="1"/>
  <c r="AE1889" i="1"/>
  <c r="AD1889" i="1"/>
  <c r="AC1889" i="1"/>
  <c r="AB1889" i="1"/>
  <c r="AA1889" i="1"/>
  <c r="AF1888" i="1"/>
  <c r="AE1888" i="1"/>
  <c r="AD1888" i="1"/>
  <c r="AC1888" i="1"/>
  <c r="AB1888" i="1"/>
  <c r="AA1888" i="1"/>
  <c r="AF1887" i="1"/>
  <c r="AE1887" i="1"/>
  <c r="AD1887" i="1"/>
  <c r="AC1887" i="1"/>
  <c r="AB1887" i="1"/>
  <c r="AA1887" i="1"/>
  <c r="AF1886" i="1"/>
  <c r="AE1886" i="1"/>
  <c r="AD1886" i="1"/>
  <c r="AC1886" i="1"/>
  <c r="AB1886" i="1"/>
  <c r="AA1886" i="1"/>
  <c r="AF1885" i="1"/>
  <c r="AE1885" i="1"/>
  <c r="AD1885" i="1"/>
  <c r="AC1885" i="1"/>
  <c r="AB1885" i="1"/>
  <c r="AA1885" i="1"/>
  <c r="AF1884" i="1"/>
  <c r="AE1884" i="1"/>
  <c r="AD1884" i="1"/>
  <c r="AC1884" i="1"/>
  <c r="AB1884" i="1"/>
  <c r="AA1884" i="1"/>
  <c r="AF1883" i="1"/>
  <c r="AE1883" i="1"/>
  <c r="AD1883" i="1"/>
  <c r="AC1883" i="1"/>
  <c r="AB1883" i="1"/>
  <c r="AA1883" i="1"/>
  <c r="AF1882" i="1"/>
  <c r="AE1882" i="1"/>
  <c r="AD1882" i="1"/>
  <c r="AC1882" i="1"/>
  <c r="AB1882" i="1"/>
  <c r="AA1882" i="1"/>
  <c r="AF1881" i="1"/>
  <c r="AE1881" i="1"/>
  <c r="AD1881" i="1"/>
  <c r="AC1881" i="1"/>
  <c r="AB1881" i="1"/>
  <c r="AA1881" i="1"/>
  <c r="AF1880" i="1"/>
  <c r="AE1880" i="1"/>
  <c r="AD1880" i="1"/>
  <c r="AC1880" i="1"/>
  <c r="AB1880" i="1"/>
  <c r="AA1880" i="1"/>
  <c r="AF1879" i="1"/>
  <c r="AE1879" i="1"/>
  <c r="AD1879" i="1"/>
  <c r="AC1879" i="1"/>
  <c r="AB1879" i="1"/>
  <c r="AA1879" i="1"/>
  <c r="AF1878" i="1"/>
  <c r="AE1878" i="1"/>
  <c r="AD1878" i="1"/>
  <c r="AC1878" i="1"/>
  <c r="AB1878" i="1"/>
  <c r="AA1878" i="1"/>
  <c r="AF1877" i="1"/>
  <c r="AE1877" i="1"/>
  <c r="AD1877" i="1"/>
  <c r="AC1877" i="1"/>
  <c r="AB1877" i="1"/>
  <c r="AA1877" i="1"/>
  <c r="AF1876" i="1"/>
  <c r="AE1876" i="1"/>
  <c r="AD1876" i="1"/>
  <c r="AC1876" i="1"/>
  <c r="AB1876" i="1"/>
  <c r="AA1876" i="1"/>
  <c r="AF1875" i="1"/>
  <c r="AE1875" i="1"/>
  <c r="AD1875" i="1"/>
  <c r="AC1875" i="1"/>
  <c r="AB1875" i="1"/>
  <c r="AA1875" i="1"/>
  <c r="AF1874" i="1"/>
  <c r="AE1874" i="1"/>
  <c r="AD1874" i="1"/>
  <c r="AC1874" i="1"/>
  <c r="AB1874" i="1"/>
  <c r="AA1874" i="1"/>
  <c r="AF1873" i="1"/>
  <c r="AE1873" i="1"/>
  <c r="AD1873" i="1"/>
  <c r="AC1873" i="1"/>
  <c r="AB1873" i="1"/>
  <c r="AA1873" i="1"/>
  <c r="AF1872" i="1"/>
  <c r="AE1872" i="1"/>
  <c r="AD1872" i="1"/>
  <c r="AC1872" i="1"/>
  <c r="AB1872" i="1"/>
  <c r="AA1872" i="1"/>
  <c r="AF1871" i="1"/>
  <c r="AE1871" i="1"/>
  <c r="AD1871" i="1"/>
  <c r="AC1871" i="1"/>
  <c r="AB1871" i="1"/>
  <c r="AA1871" i="1"/>
  <c r="AF1870" i="1"/>
  <c r="AE1870" i="1"/>
  <c r="AD1870" i="1"/>
  <c r="AC1870" i="1"/>
  <c r="AB1870" i="1"/>
  <c r="AA1870" i="1"/>
  <c r="AF1869" i="1"/>
  <c r="AE1869" i="1"/>
  <c r="AD1869" i="1"/>
  <c r="AC1869" i="1"/>
  <c r="AB1869" i="1"/>
  <c r="AA1869" i="1"/>
  <c r="AF1868" i="1"/>
  <c r="AE1868" i="1"/>
  <c r="AD1868" i="1"/>
  <c r="AC1868" i="1"/>
  <c r="AB1868" i="1"/>
  <c r="AA1868" i="1"/>
  <c r="AF1867" i="1"/>
  <c r="AE1867" i="1"/>
  <c r="AD1867" i="1"/>
  <c r="AC1867" i="1"/>
  <c r="AB1867" i="1"/>
  <c r="AA1867" i="1"/>
  <c r="AF1866" i="1"/>
  <c r="AE1866" i="1"/>
  <c r="AD1866" i="1"/>
  <c r="AC1866" i="1"/>
  <c r="AB1866" i="1"/>
  <c r="AA1866" i="1"/>
  <c r="AF1865" i="1"/>
  <c r="AE1865" i="1"/>
  <c r="AD1865" i="1"/>
  <c r="AC1865" i="1"/>
  <c r="AB1865" i="1"/>
  <c r="AA1865" i="1"/>
  <c r="AF1864" i="1"/>
  <c r="AE1864" i="1"/>
  <c r="AD1864" i="1"/>
  <c r="AC1864" i="1"/>
  <c r="AB1864" i="1"/>
  <c r="AA1864" i="1"/>
  <c r="AF1863" i="1"/>
  <c r="AE1863" i="1"/>
  <c r="AD1863" i="1"/>
  <c r="AC1863" i="1"/>
  <c r="AB1863" i="1"/>
  <c r="AA1863" i="1"/>
  <c r="AF1862" i="1"/>
  <c r="AE1862" i="1"/>
  <c r="AD1862" i="1"/>
  <c r="AC1862" i="1"/>
  <c r="AB1862" i="1"/>
  <c r="AA1862" i="1"/>
  <c r="AF1861" i="1"/>
  <c r="AE1861" i="1"/>
  <c r="AD1861" i="1"/>
  <c r="AC1861" i="1"/>
  <c r="AB1861" i="1"/>
  <c r="AA1861" i="1"/>
  <c r="AF1860" i="1"/>
  <c r="AE1860" i="1"/>
  <c r="AD1860" i="1"/>
  <c r="AC1860" i="1"/>
  <c r="AB1860" i="1"/>
  <c r="AA1860" i="1"/>
  <c r="AF1859" i="1"/>
  <c r="AE1859" i="1"/>
  <c r="AD1859" i="1"/>
  <c r="AC1859" i="1"/>
  <c r="AB1859" i="1"/>
  <c r="AA1859" i="1"/>
  <c r="AF1858" i="1"/>
  <c r="AE1858" i="1"/>
  <c r="AD1858" i="1"/>
  <c r="AC1858" i="1"/>
  <c r="AB1858" i="1"/>
  <c r="AA1858" i="1"/>
  <c r="AF1857" i="1"/>
  <c r="AE1857" i="1"/>
  <c r="AD1857" i="1"/>
  <c r="AC1857" i="1"/>
  <c r="AB1857" i="1"/>
  <c r="AA1857" i="1"/>
  <c r="AF1856" i="1"/>
  <c r="AE1856" i="1"/>
  <c r="AD1856" i="1"/>
  <c r="AC1856" i="1"/>
  <c r="AB1856" i="1"/>
  <c r="AA1856" i="1"/>
  <c r="AF1855" i="1"/>
  <c r="AE1855" i="1"/>
  <c r="AD1855" i="1"/>
  <c r="AC1855" i="1"/>
  <c r="AB1855" i="1"/>
  <c r="AA1855" i="1"/>
  <c r="AF1854" i="1"/>
  <c r="AE1854" i="1"/>
  <c r="AD1854" i="1"/>
  <c r="AC1854" i="1"/>
  <c r="AB1854" i="1"/>
  <c r="AA1854" i="1"/>
  <c r="AF1853" i="1"/>
  <c r="AE1853" i="1"/>
  <c r="AD1853" i="1"/>
  <c r="AC1853" i="1"/>
  <c r="AB1853" i="1"/>
  <c r="AA1853" i="1"/>
  <c r="AF1852" i="1"/>
  <c r="AE1852" i="1"/>
  <c r="AD1852" i="1"/>
  <c r="AC1852" i="1"/>
  <c r="AB1852" i="1"/>
  <c r="AA1852" i="1"/>
  <c r="AF1851" i="1"/>
  <c r="AE1851" i="1"/>
  <c r="AD1851" i="1"/>
  <c r="AC1851" i="1"/>
  <c r="AB1851" i="1"/>
  <c r="AA1851" i="1"/>
  <c r="AF1850" i="1"/>
  <c r="AE1850" i="1"/>
  <c r="AD1850" i="1"/>
  <c r="AC1850" i="1"/>
  <c r="AB1850" i="1"/>
  <c r="AA1850" i="1"/>
  <c r="AF1849" i="1"/>
  <c r="AE1849" i="1"/>
  <c r="AD1849" i="1"/>
  <c r="AC1849" i="1"/>
  <c r="AB1849" i="1"/>
  <c r="AA1849" i="1"/>
  <c r="AF1848" i="1"/>
  <c r="AE1848" i="1"/>
  <c r="AD1848" i="1"/>
  <c r="AC1848" i="1"/>
  <c r="AB1848" i="1"/>
  <c r="AA1848" i="1"/>
  <c r="AF1847" i="1"/>
  <c r="AE1847" i="1"/>
  <c r="AD1847" i="1"/>
  <c r="AC1847" i="1"/>
  <c r="AB1847" i="1"/>
  <c r="AA1847" i="1"/>
  <c r="AF1846" i="1"/>
  <c r="AE1846" i="1"/>
  <c r="AD1846" i="1"/>
  <c r="AC1846" i="1"/>
  <c r="AB1846" i="1"/>
  <c r="AA1846" i="1"/>
  <c r="AF1845" i="1"/>
  <c r="AE1845" i="1"/>
  <c r="AD1845" i="1"/>
  <c r="AC1845" i="1"/>
  <c r="AB1845" i="1"/>
  <c r="AA1845" i="1"/>
  <c r="AF1844" i="1"/>
  <c r="AE1844" i="1"/>
  <c r="AD1844" i="1"/>
  <c r="AC1844" i="1"/>
  <c r="AB1844" i="1"/>
  <c r="AA1844" i="1"/>
  <c r="AF1843" i="1"/>
  <c r="AE1843" i="1"/>
  <c r="AD1843" i="1"/>
  <c r="AC1843" i="1"/>
  <c r="AB1843" i="1"/>
  <c r="AA1843" i="1"/>
  <c r="AF1842" i="1"/>
  <c r="AE1842" i="1"/>
  <c r="AD1842" i="1"/>
  <c r="AC1842" i="1"/>
  <c r="AB1842" i="1"/>
  <c r="AA1842" i="1"/>
  <c r="AF1841" i="1"/>
  <c r="AE1841" i="1"/>
  <c r="AD1841" i="1"/>
  <c r="AC1841" i="1"/>
  <c r="AB1841" i="1"/>
  <c r="AA1841" i="1"/>
  <c r="AF1840" i="1"/>
  <c r="AE1840" i="1"/>
  <c r="AD1840" i="1"/>
  <c r="AC1840" i="1"/>
  <c r="AB1840" i="1"/>
  <c r="AA1840" i="1"/>
  <c r="AF1839" i="1"/>
  <c r="AE1839" i="1"/>
  <c r="AD1839" i="1"/>
  <c r="AC1839" i="1"/>
  <c r="AB1839" i="1"/>
  <c r="AA1839" i="1"/>
  <c r="AF1838" i="1"/>
  <c r="AE1838" i="1"/>
  <c r="AD1838" i="1"/>
  <c r="AC1838" i="1"/>
  <c r="AB1838" i="1"/>
  <c r="AA1838" i="1"/>
  <c r="AF1837" i="1"/>
  <c r="AE1837" i="1"/>
  <c r="AD1837" i="1"/>
  <c r="AC1837" i="1"/>
  <c r="AB1837" i="1"/>
  <c r="AA1837" i="1"/>
  <c r="AF1836" i="1"/>
  <c r="AE1836" i="1"/>
  <c r="AD1836" i="1"/>
  <c r="AC1836" i="1"/>
  <c r="AB1836" i="1"/>
  <c r="AA1836" i="1"/>
  <c r="AF1835" i="1"/>
  <c r="AE1835" i="1"/>
  <c r="AD1835" i="1"/>
  <c r="AC1835" i="1"/>
  <c r="AB1835" i="1"/>
  <c r="AA1835" i="1"/>
  <c r="AF1834" i="1"/>
  <c r="AE1834" i="1"/>
  <c r="AD1834" i="1"/>
  <c r="AC1834" i="1"/>
  <c r="AB1834" i="1"/>
  <c r="AA1834" i="1"/>
  <c r="AF1833" i="1"/>
  <c r="AE1833" i="1"/>
  <c r="AD1833" i="1"/>
  <c r="AC1833" i="1"/>
  <c r="AB1833" i="1"/>
  <c r="AA1833" i="1"/>
  <c r="AF1832" i="1"/>
  <c r="AE1832" i="1"/>
  <c r="AD1832" i="1"/>
  <c r="AC1832" i="1"/>
  <c r="AB1832" i="1"/>
  <c r="AA1832" i="1"/>
  <c r="AF1831" i="1"/>
  <c r="AE1831" i="1"/>
  <c r="AD1831" i="1"/>
  <c r="AC1831" i="1"/>
  <c r="AB1831" i="1"/>
  <c r="AA1831" i="1"/>
  <c r="AF1830" i="1"/>
  <c r="AE1830" i="1"/>
  <c r="AD1830" i="1"/>
  <c r="AC1830" i="1"/>
  <c r="AB1830" i="1"/>
  <c r="AA1830" i="1"/>
  <c r="AF1829" i="1"/>
  <c r="AE1829" i="1"/>
  <c r="AD1829" i="1"/>
  <c r="AC1829" i="1"/>
  <c r="AB1829" i="1"/>
  <c r="AA1829" i="1"/>
  <c r="AF1828" i="1"/>
  <c r="AE1828" i="1"/>
  <c r="AD1828" i="1"/>
  <c r="AC1828" i="1"/>
  <c r="AB1828" i="1"/>
  <c r="AA1828" i="1"/>
  <c r="AF1827" i="1"/>
  <c r="AE1827" i="1"/>
  <c r="AD1827" i="1"/>
  <c r="AC1827" i="1"/>
  <c r="AB1827" i="1"/>
  <c r="AA1827" i="1"/>
  <c r="AF1826" i="1"/>
  <c r="AE1826" i="1"/>
  <c r="AD1826" i="1"/>
  <c r="AC1826" i="1"/>
  <c r="AB1826" i="1"/>
  <c r="AA1826" i="1"/>
  <c r="AF1825" i="1"/>
  <c r="AE1825" i="1"/>
  <c r="AD1825" i="1"/>
  <c r="AC1825" i="1"/>
  <c r="AB1825" i="1"/>
  <c r="AA1825" i="1"/>
  <c r="AF1824" i="1"/>
  <c r="AE1824" i="1"/>
  <c r="AD1824" i="1"/>
  <c r="AC1824" i="1"/>
  <c r="AB1824" i="1"/>
  <c r="AA1824" i="1"/>
  <c r="AF1823" i="1"/>
  <c r="AE1823" i="1"/>
  <c r="AD1823" i="1"/>
  <c r="AC1823" i="1"/>
  <c r="AB1823" i="1"/>
  <c r="AA1823" i="1"/>
  <c r="AF1822" i="1"/>
  <c r="AE1822" i="1"/>
  <c r="AD1822" i="1"/>
  <c r="AC1822" i="1"/>
  <c r="AB1822" i="1"/>
  <c r="AA1822" i="1"/>
  <c r="AF1821" i="1"/>
  <c r="AE1821" i="1"/>
  <c r="AD1821" i="1"/>
  <c r="AC1821" i="1"/>
  <c r="AB1821" i="1"/>
  <c r="AA1821" i="1"/>
  <c r="AF1820" i="1"/>
  <c r="AE1820" i="1"/>
  <c r="AD1820" i="1"/>
  <c r="AC1820" i="1"/>
  <c r="AB1820" i="1"/>
  <c r="AA1820" i="1"/>
  <c r="AF1819" i="1"/>
  <c r="AE1819" i="1"/>
  <c r="AD1819" i="1"/>
  <c r="AC1819" i="1"/>
  <c r="AB1819" i="1"/>
  <c r="AA1819" i="1"/>
  <c r="AF1818" i="1"/>
  <c r="AE1818" i="1"/>
  <c r="AD1818" i="1"/>
  <c r="AC1818" i="1"/>
  <c r="AB1818" i="1"/>
  <c r="AA1818" i="1"/>
  <c r="AF1817" i="1"/>
  <c r="AE1817" i="1"/>
  <c r="AD1817" i="1"/>
  <c r="AC1817" i="1"/>
  <c r="AB1817" i="1"/>
  <c r="AA1817" i="1"/>
  <c r="AF1816" i="1"/>
  <c r="AE1816" i="1"/>
  <c r="AD1816" i="1"/>
  <c r="AC1816" i="1"/>
  <c r="AB1816" i="1"/>
  <c r="AA1816" i="1"/>
  <c r="AF1815" i="1"/>
  <c r="AE1815" i="1"/>
  <c r="AD1815" i="1"/>
  <c r="AC1815" i="1"/>
  <c r="AB1815" i="1"/>
  <c r="AA1815" i="1"/>
  <c r="AF1814" i="1"/>
  <c r="AE1814" i="1"/>
  <c r="AD1814" i="1"/>
  <c r="AC1814" i="1"/>
  <c r="AB1814" i="1"/>
  <c r="AA1814" i="1"/>
  <c r="AF1813" i="1"/>
  <c r="AE1813" i="1"/>
  <c r="AD1813" i="1"/>
  <c r="AC1813" i="1"/>
  <c r="AB1813" i="1"/>
  <c r="AA1813" i="1"/>
  <c r="AF1812" i="1"/>
  <c r="AE1812" i="1"/>
  <c r="AD1812" i="1"/>
  <c r="AC1812" i="1"/>
  <c r="AB1812" i="1"/>
  <c r="AA1812" i="1"/>
  <c r="AF1811" i="1"/>
  <c r="AE1811" i="1"/>
  <c r="AD1811" i="1"/>
  <c r="AC1811" i="1"/>
  <c r="AB1811" i="1"/>
  <c r="AA1811" i="1"/>
  <c r="AF1810" i="1"/>
  <c r="AE1810" i="1"/>
  <c r="AD1810" i="1"/>
  <c r="AC1810" i="1"/>
  <c r="AB1810" i="1"/>
  <c r="AA1810" i="1"/>
  <c r="AF1809" i="1"/>
  <c r="AE1809" i="1"/>
  <c r="AD1809" i="1"/>
  <c r="AC1809" i="1"/>
  <c r="AB1809" i="1"/>
  <c r="AA1809" i="1"/>
  <c r="AF1808" i="1"/>
  <c r="AE1808" i="1"/>
  <c r="AD1808" i="1"/>
  <c r="AC1808" i="1"/>
  <c r="AB1808" i="1"/>
  <c r="AA1808" i="1"/>
  <c r="AF1807" i="1"/>
  <c r="AE1807" i="1"/>
  <c r="AD1807" i="1"/>
  <c r="AC1807" i="1"/>
  <c r="AB1807" i="1"/>
  <c r="AA1807" i="1"/>
  <c r="AF1806" i="1"/>
  <c r="AE1806" i="1"/>
  <c r="AD1806" i="1"/>
  <c r="AC1806" i="1"/>
  <c r="AB1806" i="1"/>
  <c r="AA1806" i="1"/>
  <c r="AF1805" i="1"/>
  <c r="AE1805" i="1"/>
  <c r="AD1805" i="1"/>
  <c r="AC1805" i="1"/>
  <c r="AB1805" i="1"/>
  <c r="AA1805" i="1"/>
  <c r="AF1804" i="1"/>
  <c r="AE1804" i="1"/>
  <c r="AD1804" i="1"/>
  <c r="AC1804" i="1"/>
  <c r="AB1804" i="1"/>
  <c r="AA1804" i="1"/>
  <c r="AF1803" i="1"/>
  <c r="AE1803" i="1"/>
  <c r="AD1803" i="1"/>
  <c r="AC1803" i="1"/>
  <c r="AB1803" i="1"/>
  <c r="AA1803" i="1"/>
  <c r="AF1802" i="1"/>
  <c r="AE1802" i="1"/>
  <c r="AD1802" i="1"/>
  <c r="AC1802" i="1"/>
  <c r="AB1802" i="1"/>
  <c r="AA1802" i="1"/>
  <c r="AF1801" i="1"/>
  <c r="AE1801" i="1"/>
  <c r="AD1801" i="1"/>
  <c r="AC1801" i="1"/>
  <c r="AB1801" i="1"/>
  <c r="AA1801" i="1"/>
  <c r="AF1800" i="1"/>
  <c r="AE1800" i="1"/>
  <c r="AD1800" i="1"/>
  <c r="AC1800" i="1"/>
  <c r="AB1800" i="1"/>
  <c r="AA1800" i="1"/>
  <c r="AF1799" i="1"/>
  <c r="AE1799" i="1"/>
  <c r="AD1799" i="1"/>
  <c r="AC1799" i="1"/>
  <c r="AB1799" i="1"/>
  <c r="AA1799" i="1"/>
  <c r="AF1798" i="1"/>
  <c r="AE1798" i="1"/>
  <c r="AD1798" i="1"/>
  <c r="AC1798" i="1"/>
  <c r="AB1798" i="1"/>
  <c r="AA1798" i="1"/>
  <c r="AF1797" i="1"/>
  <c r="AE1797" i="1"/>
  <c r="AD1797" i="1"/>
  <c r="AC1797" i="1"/>
  <c r="AB1797" i="1"/>
  <c r="AA1797" i="1"/>
  <c r="AF1796" i="1"/>
  <c r="AE1796" i="1"/>
  <c r="AD1796" i="1"/>
  <c r="AC1796" i="1"/>
  <c r="AB1796" i="1"/>
  <c r="AA1796" i="1"/>
  <c r="AF1795" i="1"/>
  <c r="AE1795" i="1"/>
  <c r="AD1795" i="1"/>
  <c r="AC1795" i="1"/>
  <c r="AB1795" i="1"/>
  <c r="AA1795" i="1"/>
  <c r="AF1794" i="1"/>
  <c r="AE1794" i="1"/>
  <c r="AD1794" i="1"/>
  <c r="AC1794" i="1"/>
  <c r="AB1794" i="1"/>
  <c r="AA1794" i="1"/>
  <c r="AF1793" i="1"/>
  <c r="AE1793" i="1"/>
  <c r="AD1793" i="1"/>
  <c r="AC1793" i="1"/>
  <c r="AB1793" i="1"/>
  <c r="AA1793" i="1"/>
  <c r="AF1792" i="1"/>
  <c r="AE1792" i="1"/>
  <c r="AD1792" i="1"/>
  <c r="AC1792" i="1"/>
  <c r="AB1792" i="1"/>
  <c r="AA1792" i="1"/>
  <c r="AF1791" i="1"/>
  <c r="AE1791" i="1"/>
  <c r="AD1791" i="1"/>
  <c r="AC1791" i="1"/>
  <c r="AB1791" i="1"/>
  <c r="AA1791" i="1"/>
  <c r="AF1790" i="1"/>
  <c r="AE1790" i="1"/>
  <c r="AD1790" i="1"/>
  <c r="AC1790" i="1"/>
  <c r="AB1790" i="1"/>
  <c r="AA1790" i="1"/>
  <c r="AF1789" i="1"/>
  <c r="AE1789" i="1"/>
  <c r="AD1789" i="1"/>
  <c r="AC1789" i="1"/>
  <c r="AB1789" i="1"/>
  <c r="AA1789" i="1"/>
  <c r="AF1788" i="1"/>
  <c r="AE1788" i="1"/>
  <c r="AD1788" i="1"/>
  <c r="AC1788" i="1"/>
  <c r="AB1788" i="1"/>
  <c r="AA1788" i="1"/>
  <c r="AF1787" i="1"/>
  <c r="AE1787" i="1"/>
  <c r="AD1787" i="1"/>
  <c r="AC1787" i="1"/>
  <c r="AB1787" i="1"/>
  <c r="AA1787" i="1"/>
  <c r="AF1786" i="1"/>
  <c r="AE1786" i="1"/>
  <c r="AD1786" i="1"/>
  <c r="AC1786" i="1"/>
  <c r="AB1786" i="1"/>
  <c r="AA1786" i="1"/>
  <c r="AF1785" i="1"/>
  <c r="AE1785" i="1"/>
  <c r="AD1785" i="1"/>
  <c r="AC1785" i="1"/>
  <c r="AB1785" i="1"/>
  <c r="AA1785" i="1"/>
  <c r="AF1784" i="1"/>
  <c r="AE1784" i="1"/>
  <c r="AD1784" i="1"/>
  <c r="AC1784" i="1"/>
  <c r="AB1784" i="1"/>
  <c r="AA1784" i="1"/>
  <c r="AF1783" i="1"/>
  <c r="AE1783" i="1"/>
  <c r="AD1783" i="1"/>
  <c r="AC1783" i="1"/>
  <c r="AB1783" i="1"/>
  <c r="AA1783" i="1"/>
  <c r="AF1782" i="1"/>
  <c r="AE1782" i="1"/>
  <c r="AD1782" i="1"/>
  <c r="AC1782" i="1"/>
  <c r="AB1782" i="1"/>
  <c r="AA1782" i="1"/>
  <c r="AF1781" i="1"/>
  <c r="AE1781" i="1"/>
  <c r="AD1781" i="1"/>
  <c r="AC1781" i="1"/>
  <c r="AB1781" i="1"/>
  <c r="AA1781" i="1"/>
  <c r="AF1780" i="1"/>
  <c r="AE1780" i="1"/>
  <c r="AD1780" i="1"/>
  <c r="AC1780" i="1"/>
  <c r="AB1780" i="1"/>
  <c r="AA1780" i="1"/>
  <c r="AF1779" i="1"/>
  <c r="AE1779" i="1"/>
  <c r="AD1779" i="1"/>
  <c r="AC1779" i="1"/>
  <c r="AB1779" i="1"/>
  <c r="AA1779" i="1"/>
  <c r="AF1778" i="1"/>
  <c r="AE1778" i="1"/>
  <c r="AD1778" i="1"/>
  <c r="AC1778" i="1"/>
  <c r="AB1778" i="1"/>
  <c r="AA1778" i="1"/>
  <c r="AF1777" i="1"/>
  <c r="AE1777" i="1"/>
  <c r="AD1777" i="1"/>
  <c r="AC1777" i="1"/>
  <c r="AB1777" i="1"/>
  <c r="AA1777" i="1"/>
  <c r="AF1776" i="1"/>
  <c r="AE1776" i="1"/>
  <c r="AD1776" i="1"/>
  <c r="AC1776" i="1"/>
  <c r="AB1776" i="1"/>
  <c r="AA1776" i="1"/>
  <c r="AF1775" i="1"/>
  <c r="AE1775" i="1"/>
  <c r="AD1775" i="1"/>
  <c r="AC1775" i="1"/>
  <c r="AA1775" i="1"/>
  <c r="AB1775" i="1" s="1"/>
  <c r="AF1774" i="1"/>
  <c r="AE1774" i="1"/>
  <c r="AD1774" i="1"/>
  <c r="AC1774" i="1"/>
  <c r="AB1774" i="1"/>
  <c r="AA1774" i="1"/>
  <c r="AF1773" i="1"/>
  <c r="AE1773" i="1"/>
  <c r="AD1773" i="1"/>
  <c r="AC1773" i="1"/>
  <c r="AB1773" i="1"/>
  <c r="AA1773" i="1"/>
  <c r="AF1772" i="1"/>
  <c r="AE1772" i="1"/>
  <c r="AD1772" i="1"/>
  <c r="AC1772" i="1"/>
  <c r="AB1772" i="1"/>
  <c r="AA1772" i="1"/>
  <c r="AF1771" i="1"/>
  <c r="AE1771" i="1"/>
  <c r="AD1771" i="1"/>
  <c r="AC1771" i="1"/>
  <c r="AB1771" i="1"/>
  <c r="AA1771" i="1"/>
  <c r="AF1770" i="1"/>
  <c r="AE1770" i="1"/>
  <c r="AD1770" i="1"/>
  <c r="AC1770" i="1"/>
  <c r="AB1770" i="1"/>
  <c r="AA1770" i="1"/>
  <c r="AF1769" i="1"/>
  <c r="AE1769" i="1"/>
  <c r="AD1769" i="1"/>
  <c r="AC1769" i="1"/>
  <c r="AB1769" i="1"/>
  <c r="AA1769" i="1"/>
  <c r="AF1768" i="1"/>
  <c r="AE1768" i="1"/>
  <c r="AD1768" i="1"/>
  <c r="AC1768" i="1"/>
  <c r="AB1768" i="1"/>
  <c r="AA1768" i="1"/>
  <c r="AF1767" i="1"/>
  <c r="AE1767" i="1"/>
  <c r="AD1767" i="1"/>
  <c r="AC1767" i="1"/>
  <c r="AB1767" i="1"/>
  <c r="AA1767" i="1"/>
  <c r="AF1766" i="1"/>
  <c r="AE1766" i="1"/>
  <c r="AD1766" i="1"/>
  <c r="AC1766" i="1"/>
  <c r="AB1766" i="1"/>
  <c r="AA1766" i="1"/>
  <c r="AF1765" i="1"/>
  <c r="AE1765" i="1"/>
  <c r="AD1765" i="1"/>
  <c r="AC1765" i="1"/>
  <c r="AB1765" i="1"/>
  <c r="AA1765" i="1"/>
  <c r="AF1764" i="1"/>
  <c r="AE1764" i="1"/>
  <c r="AD1764" i="1"/>
  <c r="AC1764" i="1"/>
  <c r="AB1764" i="1"/>
  <c r="AA1764" i="1"/>
  <c r="AF1763" i="1"/>
  <c r="AE1763" i="1"/>
  <c r="AD1763" i="1"/>
  <c r="AC1763" i="1"/>
  <c r="AB1763" i="1"/>
  <c r="AA1763" i="1"/>
  <c r="AF1762" i="1"/>
  <c r="AE1762" i="1"/>
  <c r="AD1762" i="1"/>
  <c r="AC1762" i="1"/>
  <c r="AB1762" i="1"/>
  <c r="AA1762" i="1"/>
  <c r="AF1761" i="1"/>
  <c r="AE1761" i="1"/>
  <c r="AD1761" i="1"/>
  <c r="AC1761" i="1"/>
  <c r="AB1761" i="1"/>
  <c r="AA1761" i="1"/>
  <c r="AF1760" i="1"/>
  <c r="AE1760" i="1"/>
  <c r="AD1760" i="1"/>
  <c r="AC1760" i="1"/>
  <c r="AB1760" i="1"/>
  <c r="AA1760" i="1"/>
  <c r="AF1759" i="1"/>
  <c r="AE1759" i="1"/>
  <c r="AD1759" i="1"/>
  <c r="AC1759" i="1"/>
  <c r="AB1759" i="1"/>
  <c r="AA1759" i="1"/>
  <c r="AF1758" i="1"/>
  <c r="AE1758" i="1"/>
  <c r="AD1758" i="1"/>
  <c r="AC1758" i="1"/>
  <c r="AB1758" i="1"/>
  <c r="AA1758" i="1"/>
  <c r="AF1757" i="1"/>
  <c r="AE1757" i="1"/>
  <c r="AD1757" i="1"/>
  <c r="AC1757" i="1"/>
  <c r="AB1757" i="1"/>
  <c r="AA1757" i="1"/>
  <c r="AF1756" i="1"/>
  <c r="AE1756" i="1"/>
  <c r="AD1756" i="1"/>
  <c r="AC1756" i="1"/>
  <c r="AB1756" i="1"/>
  <c r="AA1756" i="1"/>
  <c r="AF1755" i="1"/>
  <c r="AE1755" i="1"/>
  <c r="AD1755" i="1"/>
  <c r="AC1755" i="1"/>
  <c r="AB1755" i="1"/>
  <c r="AA1755" i="1"/>
  <c r="AF1754" i="1"/>
  <c r="AE1754" i="1"/>
  <c r="AD1754" i="1"/>
  <c r="AC1754" i="1"/>
  <c r="AB1754" i="1"/>
  <c r="AA1754" i="1"/>
  <c r="AF1753" i="1"/>
  <c r="AE1753" i="1"/>
  <c r="AD1753" i="1"/>
  <c r="AC1753" i="1"/>
  <c r="AB1753" i="1"/>
  <c r="AA1753" i="1"/>
  <c r="AF1752" i="1"/>
  <c r="AE1752" i="1"/>
  <c r="AD1752" i="1"/>
  <c r="AC1752" i="1"/>
  <c r="AB1752" i="1"/>
  <c r="AA1752" i="1"/>
  <c r="AF1751" i="1"/>
  <c r="AE1751" i="1"/>
  <c r="AD1751" i="1"/>
  <c r="AC1751" i="1"/>
  <c r="AB1751" i="1"/>
  <c r="AA1751" i="1"/>
  <c r="AF1750" i="1"/>
  <c r="AE1750" i="1"/>
  <c r="AD1750" i="1"/>
  <c r="AC1750" i="1"/>
  <c r="AB1750" i="1"/>
  <c r="AA1750" i="1"/>
  <c r="AF1749" i="1"/>
  <c r="AE1749" i="1"/>
  <c r="AD1749" i="1"/>
  <c r="AC1749" i="1"/>
  <c r="AB1749" i="1"/>
  <c r="AA1749" i="1"/>
  <c r="AF1748" i="1"/>
  <c r="AE1748" i="1"/>
  <c r="AD1748" i="1"/>
  <c r="AC1748" i="1"/>
  <c r="AB1748" i="1"/>
  <c r="AA1748" i="1"/>
  <c r="AF1747" i="1"/>
  <c r="AE1747" i="1"/>
  <c r="AD1747" i="1"/>
  <c r="AC1747" i="1"/>
  <c r="AB1747" i="1"/>
  <c r="AA1747" i="1"/>
  <c r="AF1746" i="1"/>
  <c r="AE1746" i="1"/>
  <c r="AD1746" i="1"/>
  <c r="AC1746" i="1"/>
  <c r="AB1746" i="1"/>
  <c r="AA1746" i="1"/>
  <c r="AF1745" i="1"/>
  <c r="AE1745" i="1"/>
  <c r="AD1745" i="1"/>
  <c r="AC1745" i="1"/>
  <c r="AB1745" i="1"/>
  <c r="AA1745" i="1"/>
  <c r="AF1744" i="1"/>
  <c r="AE1744" i="1"/>
  <c r="AD1744" i="1"/>
  <c r="AC1744" i="1"/>
  <c r="AB1744" i="1"/>
  <c r="AA1744" i="1"/>
  <c r="AF1743" i="1"/>
  <c r="AE1743" i="1"/>
  <c r="AD1743" i="1"/>
  <c r="AC1743" i="1"/>
  <c r="AB1743" i="1"/>
  <c r="AA1743" i="1"/>
  <c r="AF1742" i="1"/>
  <c r="AE1742" i="1"/>
  <c r="AD1742" i="1"/>
  <c r="AC1742" i="1"/>
  <c r="AB1742" i="1"/>
  <c r="AA1742" i="1"/>
  <c r="AF1741" i="1"/>
  <c r="AE1741" i="1"/>
  <c r="AD1741" i="1"/>
  <c r="AC1741" i="1"/>
  <c r="AB1741" i="1"/>
  <c r="AA1741" i="1"/>
  <c r="AF1740" i="1"/>
  <c r="AE1740" i="1"/>
  <c r="AD1740" i="1"/>
  <c r="AC1740" i="1"/>
  <c r="AB1740" i="1"/>
  <c r="AA1740" i="1"/>
  <c r="AF1739" i="1"/>
  <c r="AE1739" i="1"/>
  <c r="AD1739" i="1"/>
  <c r="AC1739" i="1"/>
  <c r="AB1739" i="1"/>
  <c r="AA1739" i="1"/>
  <c r="AF1738" i="1"/>
  <c r="AE1738" i="1"/>
  <c r="AD1738" i="1"/>
  <c r="AC1738" i="1"/>
  <c r="AB1738" i="1"/>
  <c r="AA1738" i="1"/>
  <c r="AF1737" i="1"/>
  <c r="AE1737" i="1"/>
  <c r="AD1737" i="1"/>
  <c r="AC1737" i="1"/>
  <c r="AB1737" i="1"/>
  <c r="AA1737" i="1"/>
  <c r="AF1736" i="1"/>
  <c r="AE1736" i="1"/>
  <c r="AD1736" i="1"/>
  <c r="AC1736" i="1"/>
  <c r="AB1736" i="1"/>
  <c r="AA1736" i="1"/>
  <c r="AF1735" i="1"/>
  <c r="AE1735" i="1"/>
  <c r="AD1735" i="1"/>
  <c r="AC1735" i="1"/>
  <c r="AB1735" i="1"/>
  <c r="AA1735" i="1"/>
  <c r="AF1734" i="1"/>
  <c r="AE1734" i="1"/>
  <c r="AD1734" i="1"/>
  <c r="AC1734" i="1"/>
  <c r="AB1734" i="1"/>
  <c r="AA1734" i="1"/>
  <c r="AF1733" i="1"/>
  <c r="AE1733" i="1"/>
  <c r="AD1733" i="1"/>
  <c r="AC1733" i="1"/>
  <c r="AB1733" i="1"/>
  <c r="AA1733" i="1"/>
  <c r="AF1732" i="1"/>
  <c r="AE1732" i="1"/>
  <c r="AD1732" i="1"/>
  <c r="AC1732" i="1"/>
  <c r="AB1732" i="1"/>
  <c r="AA1732" i="1"/>
  <c r="AF1731" i="1"/>
  <c r="AE1731" i="1"/>
  <c r="AD1731" i="1"/>
  <c r="AC1731" i="1"/>
  <c r="AB1731" i="1"/>
  <c r="AA1731" i="1"/>
  <c r="AF1730" i="1"/>
  <c r="AE1730" i="1"/>
  <c r="AD1730" i="1"/>
  <c r="AC1730" i="1"/>
  <c r="AB1730" i="1"/>
  <c r="AA1730" i="1"/>
  <c r="AF1729" i="1"/>
  <c r="AE1729" i="1"/>
  <c r="AD1729" i="1"/>
  <c r="AC1729" i="1"/>
  <c r="AB1729" i="1"/>
  <c r="AA1729" i="1"/>
  <c r="AF1728" i="1"/>
  <c r="AE1728" i="1"/>
  <c r="AD1728" i="1"/>
  <c r="AC1728" i="1"/>
  <c r="AB1728" i="1"/>
  <c r="AA1728" i="1"/>
  <c r="AF1727" i="1"/>
  <c r="AE1727" i="1"/>
  <c r="AD1727" i="1"/>
  <c r="AC1727" i="1"/>
  <c r="AB1727" i="1"/>
  <c r="AA1727" i="1"/>
  <c r="AF1726" i="1"/>
  <c r="AE1726" i="1"/>
  <c r="AD1726" i="1"/>
  <c r="AC1726" i="1"/>
  <c r="AB1726" i="1"/>
  <c r="AA1726" i="1"/>
  <c r="AF1725" i="1"/>
  <c r="AE1725" i="1"/>
  <c r="AD1725" i="1"/>
  <c r="AC1725" i="1"/>
  <c r="AB1725" i="1"/>
  <c r="AA1725" i="1"/>
  <c r="AF1724" i="1"/>
  <c r="AE1724" i="1"/>
  <c r="AD1724" i="1"/>
  <c r="AC1724" i="1"/>
  <c r="AB1724" i="1"/>
  <c r="AA1724" i="1"/>
  <c r="AF1723" i="1"/>
  <c r="AE1723" i="1"/>
  <c r="AD1723" i="1"/>
  <c r="AC1723" i="1"/>
  <c r="AB1723" i="1"/>
  <c r="AA1723" i="1"/>
  <c r="AF1722" i="1"/>
  <c r="AE1722" i="1"/>
  <c r="AD1722" i="1"/>
  <c r="AC1722" i="1"/>
  <c r="AB1722" i="1"/>
  <c r="AA1722" i="1"/>
  <c r="AF1721" i="1"/>
  <c r="AE1721" i="1"/>
  <c r="AD1721" i="1"/>
  <c r="AC1721" i="1"/>
  <c r="AB1721" i="1"/>
  <c r="AA1721" i="1"/>
  <c r="AF1720" i="1"/>
  <c r="AE1720" i="1"/>
  <c r="AD1720" i="1"/>
  <c r="AC1720" i="1"/>
  <c r="AB1720" i="1"/>
  <c r="AA1720" i="1"/>
  <c r="AF1719" i="1"/>
  <c r="AE1719" i="1"/>
  <c r="AD1719" i="1"/>
  <c r="AC1719" i="1"/>
  <c r="AB1719" i="1"/>
  <c r="AA1719" i="1"/>
  <c r="AF1718" i="1"/>
  <c r="AE1718" i="1"/>
  <c r="AD1718" i="1"/>
  <c r="AC1718" i="1"/>
  <c r="AB1718" i="1"/>
  <c r="AA1718" i="1"/>
  <c r="AF1717" i="1"/>
  <c r="AE1717" i="1"/>
  <c r="AD1717" i="1"/>
  <c r="AC1717" i="1"/>
  <c r="AB1717" i="1"/>
  <c r="AA1717" i="1"/>
  <c r="AF1716" i="1"/>
  <c r="AE1716" i="1"/>
  <c r="AD1716" i="1"/>
  <c r="AC1716" i="1"/>
  <c r="AB1716" i="1"/>
  <c r="AA1716" i="1"/>
  <c r="AF1715" i="1"/>
  <c r="AE1715" i="1"/>
  <c r="AD1715" i="1"/>
  <c r="AC1715" i="1"/>
  <c r="AB1715" i="1"/>
  <c r="AA1715" i="1"/>
  <c r="AF1714" i="1"/>
  <c r="AE1714" i="1"/>
  <c r="AD1714" i="1"/>
  <c r="AC1714" i="1"/>
  <c r="AB1714" i="1"/>
  <c r="AA1714" i="1"/>
  <c r="AF1713" i="1"/>
  <c r="AE1713" i="1"/>
  <c r="AD1713" i="1"/>
  <c r="AC1713" i="1"/>
  <c r="AB1713" i="1"/>
  <c r="AA1713" i="1"/>
  <c r="AF1712" i="1"/>
  <c r="AE1712" i="1"/>
  <c r="AD1712" i="1"/>
  <c r="AC1712" i="1"/>
  <c r="AB1712" i="1"/>
  <c r="AA1712" i="1"/>
  <c r="AF1711" i="1"/>
  <c r="AE1711" i="1"/>
  <c r="AD1711" i="1"/>
  <c r="AC1711" i="1"/>
  <c r="AB1711" i="1"/>
  <c r="AA1711" i="1"/>
  <c r="AF1710" i="1"/>
  <c r="AE1710" i="1"/>
  <c r="AD1710" i="1"/>
  <c r="AC1710" i="1"/>
  <c r="AB1710" i="1"/>
  <c r="AA1710" i="1"/>
  <c r="AF1709" i="1"/>
  <c r="AE1709" i="1"/>
  <c r="AD1709" i="1"/>
  <c r="AC1709" i="1"/>
  <c r="AB1709" i="1"/>
  <c r="AA1709" i="1"/>
  <c r="AF1708" i="1"/>
  <c r="AE1708" i="1"/>
  <c r="AD1708" i="1"/>
  <c r="AC1708" i="1"/>
  <c r="AB1708" i="1"/>
  <c r="AA1708" i="1"/>
  <c r="AF1707" i="1"/>
  <c r="AE1707" i="1"/>
  <c r="AD1707" i="1"/>
  <c r="AC1707" i="1"/>
  <c r="AB1707" i="1"/>
  <c r="AA1707" i="1"/>
  <c r="AF1706" i="1"/>
  <c r="AE1706" i="1"/>
  <c r="AD1706" i="1"/>
  <c r="AC1706" i="1"/>
  <c r="AB1706" i="1"/>
  <c r="AA1706" i="1"/>
  <c r="AF1705" i="1"/>
  <c r="AE1705" i="1"/>
  <c r="AD1705" i="1"/>
  <c r="AC1705" i="1"/>
  <c r="AB1705" i="1"/>
  <c r="AA1705" i="1"/>
  <c r="AF1704" i="1"/>
  <c r="AE1704" i="1"/>
  <c r="AD1704" i="1"/>
  <c r="AC1704" i="1"/>
  <c r="AB1704" i="1"/>
  <c r="AA1704" i="1"/>
  <c r="AF1703" i="1"/>
  <c r="AE1703" i="1"/>
  <c r="AD1703" i="1"/>
  <c r="AC1703" i="1"/>
  <c r="AB1703" i="1"/>
  <c r="AA1703" i="1"/>
  <c r="AF1702" i="1"/>
  <c r="AE1702" i="1"/>
  <c r="AD1702" i="1"/>
  <c r="AC1702" i="1"/>
  <c r="AB1702" i="1"/>
  <c r="AA1702" i="1"/>
  <c r="AF1701" i="1"/>
  <c r="AE1701" i="1"/>
  <c r="AD1701" i="1"/>
  <c r="AC1701" i="1"/>
  <c r="AB1701" i="1"/>
  <c r="AA1701" i="1"/>
  <c r="AF1700" i="1"/>
  <c r="AE1700" i="1"/>
  <c r="AD1700" i="1"/>
  <c r="AC1700" i="1"/>
  <c r="AB1700" i="1"/>
  <c r="AA1700" i="1"/>
  <c r="AF1699" i="1"/>
  <c r="AE1699" i="1"/>
  <c r="AD1699" i="1"/>
  <c r="AC1699" i="1"/>
  <c r="AB1699" i="1"/>
  <c r="AA1699" i="1"/>
  <c r="AF1698" i="1"/>
  <c r="AE1698" i="1"/>
  <c r="AD1698" i="1"/>
  <c r="AC1698" i="1"/>
  <c r="AB1698" i="1"/>
  <c r="AA1698" i="1"/>
  <c r="AF1697" i="1"/>
  <c r="AE1697" i="1"/>
  <c r="AD1697" i="1"/>
  <c r="AC1697" i="1"/>
  <c r="AB1697" i="1"/>
  <c r="AA1697" i="1"/>
  <c r="AF1696" i="1"/>
  <c r="AE1696" i="1"/>
  <c r="AD1696" i="1"/>
  <c r="AC1696" i="1"/>
  <c r="AB1696" i="1"/>
  <c r="AA1696" i="1"/>
  <c r="AF1695" i="1"/>
  <c r="AE1695" i="1"/>
  <c r="AD1695" i="1"/>
  <c r="AC1695" i="1"/>
  <c r="AB1695" i="1"/>
  <c r="AA1695" i="1"/>
  <c r="AF1694" i="1"/>
  <c r="AE1694" i="1"/>
  <c r="AD1694" i="1"/>
  <c r="AC1694" i="1"/>
  <c r="AB1694" i="1"/>
  <c r="AA1694" i="1"/>
  <c r="AF1693" i="1"/>
  <c r="AE1693" i="1"/>
  <c r="AD1693" i="1"/>
  <c r="AC1693" i="1"/>
  <c r="AB1693" i="1"/>
  <c r="AA1693" i="1"/>
  <c r="AF1692" i="1"/>
  <c r="AE1692" i="1"/>
  <c r="AD1692" i="1"/>
  <c r="AC1692" i="1"/>
  <c r="AB1692" i="1"/>
  <c r="AA1692" i="1"/>
  <c r="AF1691" i="1"/>
  <c r="AE1691" i="1"/>
  <c r="AD1691" i="1"/>
  <c r="AC1691" i="1"/>
  <c r="AB1691" i="1"/>
  <c r="AA1691" i="1"/>
  <c r="AF1690" i="1"/>
  <c r="AE1690" i="1"/>
  <c r="AD1690" i="1"/>
  <c r="AC1690" i="1"/>
  <c r="AB1690" i="1"/>
  <c r="AA1690" i="1"/>
  <c r="AF1689" i="1"/>
  <c r="AE1689" i="1"/>
  <c r="AD1689" i="1"/>
  <c r="AC1689" i="1"/>
  <c r="AB1689" i="1"/>
  <c r="AA1689" i="1"/>
  <c r="AF1688" i="1"/>
  <c r="AE1688" i="1"/>
  <c r="AD1688" i="1"/>
  <c r="AC1688" i="1"/>
  <c r="AB1688" i="1"/>
  <c r="AA1688" i="1"/>
  <c r="AF1687" i="1"/>
  <c r="AE1687" i="1"/>
  <c r="AD1687" i="1"/>
  <c r="AC1687" i="1"/>
  <c r="AB1687" i="1"/>
  <c r="AA1687" i="1"/>
  <c r="AF1686" i="1"/>
  <c r="AE1686" i="1"/>
  <c r="AD1686" i="1"/>
  <c r="AC1686" i="1"/>
  <c r="AB1686" i="1"/>
  <c r="AA1686" i="1"/>
  <c r="AF1685" i="1"/>
  <c r="AE1685" i="1"/>
  <c r="AD1685" i="1"/>
  <c r="AC1685" i="1"/>
  <c r="AB1685" i="1"/>
  <c r="AA1685" i="1"/>
  <c r="AF1684" i="1"/>
  <c r="AE1684" i="1"/>
  <c r="AD1684" i="1"/>
  <c r="AC1684" i="1"/>
  <c r="AB1684" i="1"/>
  <c r="AA1684" i="1"/>
  <c r="AF1683" i="1"/>
  <c r="AE1683" i="1"/>
  <c r="AD1683" i="1"/>
  <c r="AC1683" i="1"/>
  <c r="AB1683" i="1"/>
  <c r="AA1683" i="1"/>
  <c r="AF1682" i="1"/>
  <c r="AE1682" i="1"/>
  <c r="AD1682" i="1"/>
  <c r="AC1682" i="1"/>
  <c r="AB1682" i="1"/>
  <c r="AA1682" i="1"/>
  <c r="AF1681" i="1"/>
  <c r="AE1681" i="1"/>
  <c r="AD1681" i="1"/>
  <c r="AC1681" i="1"/>
  <c r="AB1681" i="1"/>
  <c r="AA1681" i="1"/>
  <c r="AF1680" i="1"/>
  <c r="AE1680" i="1"/>
  <c r="AD1680" i="1"/>
  <c r="AC1680" i="1"/>
  <c r="AB1680" i="1"/>
  <c r="AA1680" i="1"/>
  <c r="AF1679" i="1"/>
  <c r="AE1679" i="1"/>
  <c r="AD1679" i="1"/>
  <c r="AC1679" i="1"/>
  <c r="AB1679" i="1"/>
  <c r="AA1679" i="1"/>
  <c r="AF1678" i="1"/>
  <c r="AE1678" i="1"/>
  <c r="AD1678" i="1"/>
  <c r="AC1678" i="1"/>
  <c r="AB1678" i="1"/>
  <c r="AA1678" i="1"/>
  <c r="AF1677" i="1"/>
  <c r="AE1677" i="1"/>
  <c r="AD1677" i="1"/>
  <c r="AC1677" i="1"/>
  <c r="AB1677" i="1"/>
  <c r="AA1677" i="1"/>
  <c r="AF1676" i="1"/>
  <c r="AE1676" i="1"/>
  <c r="AD1676" i="1"/>
  <c r="AC1676" i="1"/>
  <c r="AB1676" i="1"/>
  <c r="AA1676" i="1"/>
  <c r="AF1675" i="1"/>
  <c r="AE1675" i="1"/>
  <c r="AD1675" i="1"/>
  <c r="AC1675" i="1"/>
  <c r="AB1675" i="1"/>
  <c r="AA1675" i="1"/>
  <c r="AF1674" i="1"/>
  <c r="AE1674" i="1"/>
  <c r="AD1674" i="1"/>
  <c r="AC1674" i="1"/>
  <c r="AB1674" i="1"/>
  <c r="AA1674" i="1"/>
  <c r="AF1673" i="1"/>
  <c r="AE1673" i="1"/>
  <c r="AD1673" i="1"/>
  <c r="AC1673" i="1"/>
  <c r="AB1673" i="1"/>
  <c r="AA1673" i="1"/>
  <c r="AF1672" i="1"/>
  <c r="AE1672" i="1"/>
  <c r="AD1672" i="1"/>
  <c r="AC1672" i="1"/>
  <c r="AB1672" i="1"/>
  <c r="AA1672" i="1"/>
  <c r="AF1671" i="1"/>
  <c r="AE1671" i="1"/>
  <c r="AD1671" i="1"/>
  <c r="AC1671" i="1"/>
  <c r="AB1671" i="1"/>
  <c r="AA1671" i="1"/>
  <c r="AF1670" i="1"/>
  <c r="AE1670" i="1"/>
  <c r="AD1670" i="1"/>
  <c r="AC1670" i="1"/>
  <c r="AB1670" i="1"/>
  <c r="AA1670" i="1"/>
  <c r="AF1669" i="1"/>
  <c r="AE1669" i="1"/>
  <c r="AD1669" i="1"/>
  <c r="AC1669" i="1"/>
  <c r="AB1669" i="1"/>
  <c r="AA1669" i="1"/>
  <c r="AF1668" i="1"/>
  <c r="AE1668" i="1"/>
  <c r="AD1668" i="1"/>
  <c r="AC1668" i="1"/>
  <c r="AB1668" i="1"/>
  <c r="AA1668" i="1"/>
  <c r="AF1667" i="1"/>
  <c r="AE1667" i="1"/>
  <c r="AD1667" i="1"/>
  <c r="AC1667" i="1"/>
  <c r="AB1667" i="1"/>
  <c r="AA1667" i="1"/>
  <c r="AF1666" i="1"/>
  <c r="AE1666" i="1"/>
  <c r="AD1666" i="1"/>
  <c r="AC1666" i="1"/>
  <c r="AB1666" i="1"/>
  <c r="AA1666" i="1"/>
  <c r="AF1665" i="1"/>
  <c r="AE1665" i="1"/>
  <c r="AD1665" i="1"/>
  <c r="AC1665" i="1"/>
  <c r="AB1665" i="1"/>
  <c r="AA1665" i="1"/>
  <c r="AF1664" i="1"/>
  <c r="AE1664" i="1"/>
  <c r="AD1664" i="1"/>
  <c r="AC1664" i="1"/>
  <c r="AB1664" i="1"/>
  <c r="AA1664" i="1"/>
  <c r="AF1663" i="1"/>
  <c r="AE1663" i="1"/>
  <c r="AD1663" i="1"/>
  <c r="AC1663" i="1"/>
  <c r="AB1663" i="1"/>
  <c r="AA1663" i="1"/>
  <c r="AF1662" i="1"/>
  <c r="AE1662" i="1"/>
  <c r="AD1662" i="1"/>
  <c r="AC1662" i="1"/>
  <c r="AB1662" i="1"/>
  <c r="AA1662" i="1"/>
  <c r="AF1661" i="1"/>
  <c r="AE1661" i="1"/>
  <c r="AD1661" i="1"/>
  <c r="AC1661" i="1"/>
  <c r="AB1661" i="1"/>
  <c r="AA1661" i="1"/>
  <c r="AF1660" i="1"/>
  <c r="AE1660" i="1"/>
  <c r="AD1660" i="1"/>
  <c r="AC1660" i="1"/>
  <c r="AB1660" i="1"/>
  <c r="AA1660" i="1"/>
  <c r="AF1659" i="1"/>
  <c r="AE1659" i="1"/>
  <c r="AD1659" i="1"/>
  <c r="AC1659" i="1"/>
  <c r="AB1659" i="1"/>
  <c r="AA1659" i="1"/>
  <c r="AF1658" i="1"/>
  <c r="AE1658" i="1"/>
  <c r="AD1658" i="1"/>
  <c r="AC1658" i="1"/>
  <c r="AB1658" i="1"/>
  <c r="AA1658" i="1"/>
  <c r="AF1657" i="1"/>
  <c r="AE1657" i="1"/>
  <c r="AD1657" i="1"/>
  <c r="AC1657" i="1"/>
  <c r="AB1657" i="1"/>
  <c r="AA1657" i="1"/>
  <c r="AF1656" i="1"/>
  <c r="AE1656" i="1"/>
  <c r="AD1656" i="1"/>
  <c r="AC1656" i="1"/>
  <c r="AB1656" i="1"/>
  <c r="AA1656" i="1"/>
  <c r="AF1655" i="1"/>
  <c r="AE1655" i="1"/>
  <c r="AD1655" i="1"/>
  <c r="AC1655" i="1"/>
  <c r="AB1655" i="1"/>
  <c r="AA1655" i="1"/>
  <c r="AF1654" i="1"/>
  <c r="AE1654" i="1"/>
  <c r="AD1654" i="1"/>
  <c r="AC1654" i="1"/>
  <c r="AB1654" i="1"/>
  <c r="AA1654" i="1"/>
  <c r="AF1653" i="1"/>
  <c r="AE1653" i="1"/>
  <c r="AD1653" i="1"/>
  <c r="AC1653" i="1"/>
  <c r="AB1653" i="1"/>
  <c r="AA1653" i="1"/>
  <c r="AF1652" i="1"/>
  <c r="AE1652" i="1"/>
  <c r="AD1652" i="1"/>
  <c r="AC1652" i="1"/>
  <c r="AB1652" i="1"/>
  <c r="AA1652" i="1"/>
  <c r="AF1651" i="1"/>
  <c r="AE1651" i="1"/>
  <c r="AD1651" i="1"/>
  <c r="AC1651" i="1"/>
  <c r="AB1651" i="1"/>
  <c r="AA1651" i="1"/>
  <c r="AF1650" i="1"/>
  <c r="AE1650" i="1"/>
  <c r="AD1650" i="1"/>
  <c r="AC1650" i="1"/>
  <c r="AB1650" i="1"/>
  <c r="AA1650" i="1"/>
  <c r="AF1649" i="1"/>
  <c r="AE1649" i="1"/>
  <c r="AD1649" i="1"/>
  <c r="AC1649" i="1"/>
  <c r="AB1649" i="1"/>
  <c r="AA1649" i="1"/>
  <c r="AF1648" i="1"/>
  <c r="AE1648" i="1"/>
  <c r="AD1648" i="1"/>
  <c r="AC1648" i="1"/>
  <c r="AB1648" i="1"/>
  <c r="AA1648" i="1"/>
  <c r="AF1647" i="1"/>
  <c r="AE1647" i="1"/>
  <c r="AD1647" i="1"/>
  <c r="AC1647" i="1"/>
  <c r="AB1647" i="1"/>
  <c r="AA1647" i="1"/>
  <c r="AF1646" i="1"/>
  <c r="AE1646" i="1"/>
  <c r="AD1646" i="1"/>
  <c r="AC1646" i="1"/>
  <c r="AB1646" i="1"/>
  <c r="AA1646" i="1"/>
  <c r="AF1645" i="1"/>
  <c r="AE1645" i="1"/>
  <c r="AD1645" i="1"/>
  <c r="AC1645" i="1"/>
  <c r="AB1645" i="1"/>
  <c r="AA1645" i="1"/>
  <c r="AF1644" i="1"/>
  <c r="AE1644" i="1"/>
  <c r="AD1644" i="1"/>
  <c r="AC1644" i="1"/>
  <c r="AB1644" i="1"/>
  <c r="AA1644" i="1"/>
  <c r="AF1643" i="1"/>
  <c r="AE1643" i="1"/>
  <c r="AD1643" i="1"/>
  <c r="AC1643" i="1"/>
  <c r="AB1643" i="1"/>
  <c r="AA1643" i="1"/>
  <c r="AF1642" i="1"/>
  <c r="AE1642" i="1"/>
  <c r="AD1642" i="1"/>
  <c r="AC1642" i="1"/>
  <c r="AB1642" i="1"/>
  <c r="AA1642" i="1"/>
  <c r="AF1641" i="1"/>
  <c r="AE1641" i="1"/>
  <c r="AD1641" i="1"/>
  <c r="AC1641" i="1"/>
  <c r="AB1641" i="1"/>
  <c r="AA1641" i="1"/>
  <c r="AF1640" i="1"/>
  <c r="AE1640" i="1"/>
  <c r="AD1640" i="1"/>
  <c r="AC1640" i="1"/>
  <c r="AB1640" i="1"/>
  <c r="AA1640" i="1"/>
  <c r="AF1639" i="1"/>
  <c r="AE1639" i="1"/>
  <c r="AD1639" i="1"/>
  <c r="AC1639" i="1"/>
  <c r="AB1639" i="1"/>
  <c r="AA1639" i="1"/>
  <c r="AF1638" i="1"/>
  <c r="AE1638" i="1"/>
  <c r="AD1638" i="1"/>
  <c r="AC1638" i="1"/>
  <c r="AB1638" i="1"/>
  <c r="AA1638" i="1"/>
  <c r="AF1637" i="1"/>
  <c r="AE1637" i="1"/>
  <c r="AD1637" i="1"/>
  <c r="AC1637" i="1"/>
  <c r="AB1637" i="1"/>
  <c r="AA1637" i="1"/>
  <c r="AF1636" i="1"/>
  <c r="AE1636" i="1"/>
  <c r="AD1636" i="1"/>
  <c r="AC1636" i="1"/>
  <c r="AB1636" i="1"/>
  <c r="AA1636" i="1"/>
  <c r="AF1635" i="1"/>
  <c r="AE1635" i="1"/>
  <c r="AD1635" i="1"/>
  <c r="AC1635" i="1"/>
  <c r="AB1635" i="1"/>
  <c r="AA1635" i="1"/>
  <c r="AF1634" i="1"/>
  <c r="AE1634" i="1"/>
  <c r="AD1634" i="1"/>
  <c r="AC1634" i="1"/>
  <c r="AB1634" i="1"/>
  <c r="AA1634" i="1"/>
  <c r="AF1633" i="1"/>
  <c r="AE1633" i="1"/>
  <c r="AD1633" i="1"/>
  <c r="AC1633" i="1"/>
  <c r="AB1633" i="1"/>
  <c r="AA1633" i="1"/>
  <c r="AF1632" i="1"/>
  <c r="AE1632" i="1"/>
  <c r="AD1632" i="1"/>
  <c r="AC1632" i="1"/>
  <c r="AB1632" i="1"/>
  <c r="AA1632" i="1"/>
  <c r="AF1631" i="1"/>
  <c r="AE1631" i="1"/>
  <c r="AD1631" i="1"/>
  <c r="AC1631" i="1"/>
  <c r="AB1631" i="1"/>
  <c r="AA1631" i="1"/>
  <c r="AF1630" i="1"/>
  <c r="AE1630" i="1"/>
  <c r="AD1630" i="1"/>
  <c r="AC1630" i="1"/>
  <c r="AB1630" i="1"/>
  <c r="AA1630" i="1"/>
  <c r="AF1629" i="1"/>
  <c r="AE1629" i="1"/>
  <c r="AD1629" i="1"/>
  <c r="AC1629" i="1"/>
  <c r="AB1629" i="1"/>
  <c r="AA1629" i="1"/>
  <c r="AF1628" i="1"/>
  <c r="AE1628" i="1"/>
  <c r="AD1628" i="1"/>
  <c r="AC1628" i="1"/>
  <c r="AB1628" i="1"/>
  <c r="AA1628" i="1"/>
  <c r="AF1627" i="1"/>
  <c r="AE1627" i="1"/>
  <c r="AD1627" i="1"/>
  <c r="AC1627" i="1"/>
  <c r="AB1627" i="1"/>
  <c r="AA1627" i="1"/>
  <c r="AF1626" i="1"/>
  <c r="AE1626" i="1"/>
  <c r="AD1626" i="1"/>
  <c r="AC1626" i="1"/>
  <c r="AB1626" i="1"/>
  <c r="AA1626" i="1"/>
  <c r="AF1625" i="1"/>
  <c r="AE1625" i="1"/>
  <c r="AD1625" i="1"/>
  <c r="AC1625" i="1"/>
  <c r="AB1625" i="1"/>
  <c r="AA1625" i="1"/>
  <c r="AF1624" i="1"/>
  <c r="AE1624" i="1"/>
  <c r="AD1624" i="1"/>
  <c r="AC1624" i="1"/>
  <c r="AB1624" i="1"/>
  <c r="AA1624" i="1"/>
  <c r="AF1623" i="1"/>
  <c r="AE1623" i="1"/>
  <c r="AD1623" i="1"/>
  <c r="AC1623" i="1"/>
  <c r="AB1623" i="1"/>
  <c r="AA1623" i="1"/>
  <c r="AF1622" i="1"/>
  <c r="AE1622" i="1"/>
  <c r="AD1622" i="1"/>
  <c r="AC1622" i="1"/>
  <c r="AB1622" i="1"/>
  <c r="AA1622" i="1"/>
  <c r="AF1621" i="1"/>
  <c r="AE1621" i="1"/>
  <c r="AD1621" i="1"/>
  <c r="AC1621" i="1"/>
  <c r="AB1621" i="1"/>
  <c r="AA1621" i="1"/>
  <c r="AF1620" i="1"/>
  <c r="AE1620" i="1"/>
  <c r="AD1620" i="1"/>
  <c r="AC1620" i="1"/>
  <c r="AB1620" i="1"/>
  <c r="AA1620" i="1"/>
  <c r="AF1619" i="1"/>
  <c r="AE1619" i="1"/>
  <c r="AD1619" i="1"/>
  <c r="AC1619" i="1"/>
  <c r="AB1619" i="1"/>
  <c r="AA1619" i="1"/>
  <c r="AF1618" i="1"/>
  <c r="AE1618" i="1"/>
  <c r="AD1618" i="1"/>
  <c r="AC1618" i="1"/>
  <c r="AB1618" i="1"/>
  <c r="AA1618" i="1"/>
  <c r="AF1617" i="1"/>
  <c r="AE1617" i="1"/>
  <c r="AD1617" i="1"/>
  <c r="AC1617" i="1"/>
  <c r="AB1617" i="1"/>
  <c r="AA1617" i="1"/>
  <c r="AF1616" i="1"/>
  <c r="AE1616" i="1"/>
  <c r="AD1616" i="1"/>
  <c r="AC1616" i="1"/>
  <c r="AB1616" i="1"/>
  <c r="AA1616" i="1"/>
  <c r="AF1615" i="1"/>
  <c r="AE1615" i="1"/>
  <c r="AD1615" i="1"/>
  <c r="AC1615" i="1"/>
  <c r="AB1615" i="1"/>
  <c r="AA1615" i="1"/>
  <c r="AF1614" i="1"/>
  <c r="AE1614" i="1"/>
  <c r="AD1614" i="1"/>
  <c r="AC1614" i="1"/>
  <c r="AB1614" i="1"/>
  <c r="AA1614" i="1"/>
  <c r="AF1613" i="1"/>
  <c r="AE1613" i="1"/>
  <c r="AD1613" i="1"/>
  <c r="AC1613" i="1"/>
  <c r="AB1613" i="1"/>
  <c r="AA1613" i="1"/>
  <c r="AF1612" i="1"/>
  <c r="AE1612" i="1"/>
  <c r="AD1612" i="1"/>
  <c r="AC1612" i="1"/>
  <c r="AB1612" i="1"/>
  <c r="AA1612" i="1"/>
  <c r="AF1611" i="1"/>
  <c r="AE1611" i="1"/>
  <c r="AD1611" i="1"/>
  <c r="AC1611" i="1"/>
  <c r="AB1611" i="1"/>
  <c r="AA1611" i="1"/>
  <c r="AF1610" i="1"/>
  <c r="AE1610" i="1"/>
  <c r="AD1610" i="1"/>
  <c r="AC1610" i="1"/>
  <c r="AB1610" i="1"/>
  <c r="AA1610" i="1"/>
  <c r="AF1609" i="1"/>
  <c r="AE1609" i="1"/>
  <c r="AD1609" i="1"/>
  <c r="AC1609" i="1"/>
  <c r="AB1609" i="1"/>
  <c r="AA1609" i="1"/>
  <c r="AF1608" i="1"/>
  <c r="AE1608" i="1"/>
  <c r="AD1608" i="1"/>
  <c r="AC1608" i="1"/>
  <c r="AB1608" i="1"/>
  <c r="AA1608" i="1"/>
  <c r="AF1607" i="1"/>
  <c r="AE1607" i="1"/>
  <c r="AD1607" i="1"/>
  <c r="AC1607" i="1"/>
  <c r="AB1607" i="1"/>
  <c r="AA1607" i="1"/>
  <c r="AF1606" i="1"/>
  <c r="AE1606" i="1"/>
  <c r="AD1606" i="1"/>
  <c r="AC1606" i="1"/>
  <c r="AB1606" i="1"/>
  <c r="AA1606" i="1"/>
  <c r="AF1605" i="1"/>
  <c r="AE1605" i="1"/>
  <c r="AD1605" i="1"/>
  <c r="AC1605" i="1"/>
  <c r="AB1605" i="1"/>
  <c r="AA1605" i="1"/>
  <c r="AF1604" i="1"/>
  <c r="AE1604" i="1"/>
  <c r="AD1604" i="1"/>
  <c r="AC1604" i="1"/>
  <c r="AB1604" i="1"/>
  <c r="AA1604" i="1"/>
  <c r="AF1603" i="1"/>
  <c r="AE1603" i="1"/>
  <c r="AD1603" i="1"/>
  <c r="AC1603" i="1"/>
  <c r="AB1603" i="1"/>
  <c r="AA1603" i="1"/>
  <c r="AF1602" i="1"/>
  <c r="AE1602" i="1"/>
  <c r="AD1602" i="1"/>
  <c r="AC1602" i="1"/>
  <c r="AB1602" i="1"/>
  <c r="AA1602" i="1"/>
  <c r="AF1601" i="1"/>
  <c r="AE1601" i="1"/>
  <c r="AD1601" i="1"/>
  <c r="AC1601" i="1"/>
  <c r="AB1601" i="1"/>
  <c r="AA1601" i="1"/>
  <c r="AF1600" i="1"/>
  <c r="AE1600" i="1"/>
  <c r="AD1600" i="1"/>
  <c r="AC1600" i="1"/>
  <c r="AB1600" i="1"/>
  <c r="AA1600" i="1"/>
  <c r="AF1599" i="1"/>
  <c r="AE1599" i="1"/>
  <c r="AD1599" i="1"/>
  <c r="AC1599" i="1"/>
  <c r="AB1599" i="1"/>
  <c r="AA1599" i="1"/>
  <c r="AF1598" i="1"/>
  <c r="AE1598" i="1"/>
  <c r="AD1598" i="1"/>
  <c r="AC1598" i="1"/>
  <c r="AB1598" i="1"/>
  <c r="AA1598" i="1"/>
  <c r="AF1597" i="1"/>
  <c r="AE1597" i="1"/>
  <c r="AD1597" i="1"/>
  <c r="AC1597" i="1"/>
  <c r="AB1597" i="1"/>
  <c r="AA1597" i="1"/>
  <c r="AF1596" i="1"/>
  <c r="AE1596" i="1"/>
  <c r="AD1596" i="1"/>
  <c r="AC1596" i="1"/>
  <c r="AB1596" i="1"/>
  <c r="AA1596" i="1"/>
  <c r="AF1595" i="1"/>
  <c r="AE1595" i="1"/>
  <c r="AD1595" i="1"/>
  <c r="AC1595" i="1"/>
  <c r="AB1595" i="1"/>
  <c r="AA1595" i="1"/>
  <c r="AF1594" i="1"/>
  <c r="AE1594" i="1"/>
  <c r="AD1594" i="1"/>
  <c r="AC1594" i="1"/>
  <c r="AB1594" i="1"/>
  <c r="AA1594" i="1"/>
  <c r="AF1593" i="1"/>
  <c r="AE1593" i="1"/>
  <c r="AD1593" i="1"/>
  <c r="AC1593" i="1"/>
  <c r="AB1593" i="1"/>
  <c r="AA1593" i="1"/>
  <c r="AF1592" i="1"/>
  <c r="AE1592" i="1"/>
  <c r="AD1592" i="1"/>
  <c r="AC1592" i="1"/>
  <c r="AB1592" i="1"/>
  <c r="AA1592" i="1"/>
  <c r="AF1591" i="1"/>
  <c r="AE1591" i="1"/>
  <c r="AD1591" i="1"/>
  <c r="AC1591" i="1"/>
  <c r="AB1591" i="1"/>
  <c r="AA1591" i="1"/>
  <c r="AF1590" i="1"/>
  <c r="AE1590" i="1"/>
  <c r="AD1590" i="1"/>
  <c r="AC1590" i="1"/>
  <c r="AB1590" i="1"/>
  <c r="AA1590" i="1"/>
  <c r="AF1589" i="1"/>
  <c r="AE1589" i="1"/>
  <c r="AD1589" i="1"/>
  <c r="AC1589" i="1"/>
  <c r="AB1589" i="1"/>
  <c r="AA1589" i="1"/>
  <c r="AF1588" i="1"/>
  <c r="AE1588" i="1"/>
  <c r="AD1588" i="1"/>
  <c r="AC1588" i="1"/>
  <c r="AB1588" i="1"/>
  <c r="AA1588" i="1"/>
  <c r="AF1587" i="1"/>
  <c r="AE1587" i="1"/>
  <c r="AD1587" i="1"/>
  <c r="AC1587" i="1"/>
  <c r="AB1587" i="1"/>
  <c r="AA1587" i="1"/>
  <c r="AF1586" i="1"/>
  <c r="AE1586" i="1"/>
  <c r="AD1586" i="1"/>
  <c r="AC1586" i="1"/>
  <c r="AB1586" i="1"/>
  <c r="AA1586" i="1"/>
  <c r="AF1585" i="1"/>
  <c r="AE1585" i="1"/>
  <c r="AD1585" i="1"/>
  <c r="AC1585" i="1"/>
  <c r="AB1585" i="1"/>
  <c r="AA1585" i="1"/>
  <c r="AF1584" i="1"/>
  <c r="AE1584" i="1"/>
  <c r="AD1584" i="1"/>
  <c r="AC1584" i="1"/>
  <c r="AB1584" i="1"/>
  <c r="AA1584" i="1"/>
  <c r="AF1583" i="1"/>
  <c r="AE1583" i="1"/>
  <c r="AD1583" i="1"/>
  <c r="AC1583" i="1"/>
  <c r="AB1583" i="1"/>
  <c r="AA1583" i="1"/>
  <c r="AF1582" i="1"/>
  <c r="AE1582" i="1"/>
  <c r="AD1582" i="1"/>
  <c r="AC1582" i="1"/>
  <c r="AB1582" i="1"/>
  <c r="AA1582" i="1"/>
  <c r="AF1581" i="1"/>
  <c r="AE1581" i="1"/>
  <c r="AD1581" i="1"/>
  <c r="AC1581" i="1"/>
  <c r="AB1581" i="1"/>
  <c r="AA1581" i="1"/>
  <c r="AF1580" i="1"/>
  <c r="AE1580" i="1"/>
  <c r="AD1580" i="1"/>
  <c r="AC1580" i="1"/>
  <c r="AB1580" i="1"/>
  <c r="AA1580" i="1"/>
  <c r="AF1579" i="1"/>
  <c r="AE1579" i="1"/>
  <c r="AD1579" i="1"/>
  <c r="AC1579" i="1"/>
  <c r="AB1579" i="1"/>
  <c r="AA1579" i="1"/>
  <c r="AF1578" i="1"/>
  <c r="AE1578" i="1"/>
  <c r="AD1578" i="1"/>
  <c r="AC1578" i="1"/>
  <c r="AB1578" i="1"/>
  <c r="AA1578" i="1"/>
  <c r="AF1577" i="1"/>
  <c r="AE1577" i="1"/>
  <c r="AD1577" i="1"/>
  <c r="AC1577" i="1"/>
  <c r="AB1577" i="1"/>
  <c r="AA1577" i="1"/>
  <c r="AF1576" i="1"/>
  <c r="AE1576" i="1"/>
  <c r="AD1576" i="1"/>
  <c r="AC1576" i="1"/>
  <c r="AB1576" i="1"/>
  <c r="AA1576" i="1"/>
  <c r="AF1575" i="1"/>
  <c r="AE1575" i="1"/>
  <c r="AD1575" i="1"/>
  <c r="AC1575" i="1"/>
  <c r="AB1575" i="1"/>
  <c r="AA1575" i="1"/>
  <c r="AF1574" i="1"/>
  <c r="AE1574" i="1"/>
  <c r="AD1574" i="1"/>
  <c r="AC1574" i="1"/>
  <c r="AB1574" i="1"/>
  <c r="AA1574" i="1"/>
  <c r="AF1573" i="1"/>
  <c r="AE1573" i="1"/>
  <c r="AD1573" i="1"/>
  <c r="AC1573" i="1"/>
  <c r="AB1573" i="1"/>
  <c r="AA1573" i="1"/>
  <c r="AF1572" i="1"/>
  <c r="AE1572" i="1"/>
  <c r="AD1572" i="1"/>
  <c r="AC1572" i="1"/>
  <c r="AB1572" i="1"/>
  <c r="AA1572" i="1"/>
  <c r="AF1571" i="1"/>
  <c r="AE1571" i="1"/>
  <c r="AD1571" i="1"/>
  <c r="AC1571" i="1"/>
  <c r="AB1571" i="1"/>
  <c r="AA1571" i="1"/>
  <c r="AF1570" i="1"/>
  <c r="AE1570" i="1"/>
  <c r="AD1570" i="1"/>
  <c r="AC1570" i="1"/>
  <c r="AB1570" i="1"/>
  <c r="AA1570" i="1"/>
  <c r="AF1569" i="1"/>
  <c r="AE1569" i="1"/>
  <c r="AD1569" i="1"/>
  <c r="AC1569" i="1"/>
  <c r="AB1569" i="1"/>
  <c r="AA1569" i="1"/>
  <c r="AF1568" i="1"/>
  <c r="AE1568" i="1"/>
  <c r="AD1568" i="1"/>
  <c r="AC1568" i="1"/>
  <c r="AB1568" i="1"/>
  <c r="AA1568" i="1"/>
  <c r="AF1567" i="1"/>
  <c r="AE1567" i="1"/>
  <c r="AD1567" i="1"/>
  <c r="AC1567" i="1"/>
  <c r="AB1567" i="1"/>
  <c r="AA1567" i="1"/>
  <c r="AF1566" i="1"/>
  <c r="AE1566" i="1"/>
  <c r="AD1566" i="1"/>
  <c r="AC1566" i="1"/>
  <c r="AB1566" i="1"/>
  <c r="AA1566" i="1"/>
  <c r="AF1565" i="1"/>
  <c r="AE1565" i="1"/>
  <c r="AD1565" i="1"/>
  <c r="AC1565" i="1"/>
  <c r="AB1565" i="1"/>
  <c r="AA1565" i="1"/>
  <c r="AF1564" i="1"/>
  <c r="AE1564" i="1"/>
  <c r="AD1564" i="1"/>
  <c r="AC1564" i="1"/>
  <c r="AB1564" i="1"/>
  <c r="AA1564" i="1"/>
  <c r="AF1563" i="1"/>
  <c r="AE1563" i="1"/>
  <c r="AD1563" i="1"/>
  <c r="AC1563" i="1"/>
  <c r="AB1563" i="1"/>
  <c r="AA1563" i="1"/>
  <c r="AF1562" i="1"/>
  <c r="AE1562" i="1"/>
  <c r="AD1562" i="1"/>
  <c r="AC1562" i="1"/>
  <c r="AB1562" i="1"/>
  <c r="AA1562" i="1"/>
  <c r="AF1561" i="1"/>
  <c r="AE1561" i="1"/>
  <c r="AD1561" i="1"/>
  <c r="AC1561" i="1"/>
  <c r="AB1561" i="1"/>
  <c r="AA1561" i="1"/>
  <c r="AF1560" i="1"/>
  <c r="AE1560" i="1"/>
  <c r="AD1560" i="1"/>
  <c r="AC1560" i="1"/>
  <c r="AB1560" i="1"/>
  <c r="AA1560" i="1"/>
  <c r="AF1559" i="1"/>
  <c r="AE1559" i="1"/>
  <c r="AD1559" i="1"/>
  <c r="AC1559" i="1"/>
  <c r="AB1559" i="1"/>
  <c r="AA1559" i="1"/>
  <c r="AF1558" i="1"/>
  <c r="AE1558" i="1"/>
  <c r="AD1558" i="1"/>
  <c r="AC1558" i="1"/>
  <c r="AB1558" i="1"/>
  <c r="AA1558" i="1"/>
  <c r="AF1557" i="1"/>
  <c r="AE1557" i="1"/>
  <c r="AD1557" i="1"/>
  <c r="AC1557" i="1"/>
  <c r="AB1557" i="1"/>
  <c r="AA1557" i="1"/>
  <c r="AF1556" i="1"/>
  <c r="AE1556" i="1"/>
  <c r="AD1556" i="1"/>
  <c r="AC1556" i="1"/>
  <c r="AB1556" i="1"/>
  <c r="AA1556" i="1"/>
  <c r="AF1555" i="1"/>
  <c r="AE1555" i="1"/>
  <c r="AD1555" i="1"/>
  <c r="AC1555" i="1"/>
  <c r="AB1555" i="1"/>
  <c r="AA1555" i="1"/>
  <c r="AF1554" i="1"/>
  <c r="AE1554" i="1"/>
  <c r="AD1554" i="1"/>
  <c r="AC1554" i="1"/>
  <c r="AB1554" i="1"/>
  <c r="AA1554" i="1"/>
  <c r="AF1553" i="1"/>
  <c r="AE1553" i="1"/>
  <c r="AD1553" i="1"/>
  <c r="AC1553" i="1"/>
  <c r="AB1553" i="1"/>
  <c r="AA1553" i="1"/>
  <c r="AF1552" i="1"/>
  <c r="AE1552" i="1"/>
  <c r="AD1552" i="1"/>
  <c r="AC1552" i="1"/>
  <c r="AB1552" i="1"/>
  <c r="AA1552" i="1"/>
  <c r="AF1551" i="1"/>
  <c r="AE1551" i="1"/>
  <c r="AD1551" i="1"/>
  <c r="AC1551" i="1"/>
  <c r="AB1551" i="1"/>
  <c r="AA1551" i="1"/>
  <c r="AF1550" i="1"/>
  <c r="AE1550" i="1"/>
  <c r="AD1550" i="1"/>
  <c r="AC1550" i="1"/>
  <c r="AB1550" i="1"/>
  <c r="AA1550" i="1"/>
  <c r="AF1549" i="1"/>
  <c r="AE1549" i="1"/>
  <c r="AD1549" i="1"/>
  <c r="AC1549" i="1"/>
  <c r="AB1549" i="1"/>
  <c r="AA1549" i="1"/>
  <c r="AF1548" i="1"/>
  <c r="AE1548" i="1"/>
  <c r="AD1548" i="1"/>
  <c r="AC1548" i="1"/>
  <c r="AB1548" i="1"/>
  <c r="AA1548" i="1"/>
  <c r="AF1547" i="1"/>
  <c r="AE1547" i="1"/>
  <c r="AD1547" i="1"/>
  <c r="AC1547" i="1"/>
  <c r="AB1547" i="1"/>
  <c r="AA1547" i="1"/>
  <c r="AF1546" i="1"/>
  <c r="AE1546" i="1"/>
  <c r="AD1546" i="1"/>
  <c r="AC1546" i="1"/>
  <c r="AB1546" i="1"/>
  <c r="AA1546" i="1"/>
  <c r="AF1545" i="1"/>
  <c r="AE1545" i="1"/>
  <c r="AD1545" i="1"/>
  <c r="AC1545" i="1"/>
  <c r="AB1545" i="1"/>
  <c r="AA1545" i="1"/>
  <c r="AF1544" i="1"/>
  <c r="AE1544" i="1"/>
  <c r="AD1544" i="1"/>
  <c r="AC1544" i="1"/>
  <c r="AB1544" i="1"/>
  <c r="AA1544" i="1"/>
  <c r="AF1543" i="1"/>
  <c r="AE1543" i="1"/>
  <c r="AD1543" i="1"/>
  <c r="AC1543" i="1"/>
  <c r="AB1543" i="1"/>
  <c r="AA1543" i="1"/>
  <c r="AF1542" i="1"/>
  <c r="AE1542" i="1"/>
  <c r="AD1542" i="1"/>
  <c r="AC1542" i="1"/>
  <c r="AB1542" i="1"/>
  <c r="AA1542" i="1"/>
  <c r="AF1541" i="1"/>
  <c r="AE1541" i="1"/>
  <c r="AD1541" i="1"/>
  <c r="AC1541" i="1"/>
  <c r="AB1541" i="1"/>
  <c r="AA1541" i="1"/>
  <c r="AF1540" i="1"/>
  <c r="AE1540" i="1"/>
  <c r="AD1540" i="1"/>
  <c r="AC1540" i="1"/>
  <c r="AB1540" i="1"/>
  <c r="AA1540" i="1"/>
  <c r="AF1539" i="1"/>
  <c r="AE1539" i="1"/>
  <c r="AD1539" i="1"/>
  <c r="AC1539" i="1"/>
  <c r="AB1539" i="1"/>
  <c r="AA1539" i="1"/>
  <c r="AF1538" i="1"/>
  <c r="AE1538" i="1"/>
  <c r="AD1538" i="1"/>
  <c r="AC1538" i="1"/>
  <c r="AB1538" i="1"/>
  <c r="AA1538" i="1"/>
  <c r="AF1537" i="1"/>
  <c r="AE1537" i="1"/>
  <c r="AD1537" i="1"/>
  <c r="AC1537" i="1"/>
  <c r="AB1537" i="1"/>
  <c r="AA1537" i="1"/>
  <c r="AF1536" i="1"/>
  <c r="AE1536" i="1"/>
  <c r="AD1536" i="1"/>
  <c r="AC1536" i="1"/>
  <c r="AB1536" i="1"/>
  <c r="AA1536" i="1"/>
  <c r="AF1535" i="1"/>
  <c r="AE1535" i="1"/>
  <c r="AD1535" i="1"/>
  <c r="AC1535" i="1"/>
  <c r="AB1535" i="1"/>
  <c r="AA1535" i="1"/>
  <c r="AF1534" i="1"/>
  <c r="AE1534" i="1"/>
  <c r="AD1534" i="1"/>
  <c r="AC1534" i="1"/>
  <c r="AB1534" i="1"/>
  <c r="AA1534" i="1"/>
  <c r="AF1533" i="1"/>
  <c r="AE1533" i="1"/>
  <c r="AD1533" i="1"/>
  <c r="AC1533" i="1"/>
  <c r="AB1533" i="1"/>
  <c r="AA1533" i="1"/>
  <c r="AF1532" i="1"/>
  <c r="AE1532" i="1"/>
  <c r="AD1532" i="1"/>
  <c r="AC1532" i="1"/>
  <c r="AB1532" i="1"/>
  <c r="AA1532" i="1"/>
  <c r="AF1531" i="1"/>
  <c r="AE1531" i="1"/>
  <c r="AD1531" i="1"/>
  <c r="AC1531" i="1"/>
  <c r="AB1531" i="1"/>
  <c r="AA1531" i="1"/>
  <c r="AF1530" i="1"/>
  <c r="AE1530" i="1"/>
  <c r="AD1530" i="1"/>
  <c r="AC1530" i="1"/>
  <c r="AB1530" i="1"/>
  <c r="AA1530" i="1"/>
  <c r="AF1529" i="1"/>
  <c r="AE1529" i="1"/>
  <c r="AD1529" i="1"/>
  <c r="AC1529" i="1"/>
  <c r="AB1529" i="1"/>
  <c r="AA1529" i="1"/>
  <c r="AF1528" i="1"/>
  <c r="AE1528" i="1"/>
  <c r="AD1528" i="1"/>
  <c r="AC1528" i="1"/>
  <c r="AB1528" i="1"/>
  <c r="AA1528" i="1"/>
  <c r="AF1527" i="1"/>
  <c r="AE1527" i="1"/>
  <c r="AD1527" i="1"/>
  <c r="AC1527" i="1"/>
  <c r="AB1527" i="1"/>
  <c r="AA1527" i="1"/>
  <c r="AF1526" i="1"/>
  <c r="AE1526" i="1"/>
  <c r="AD1526" i="1"/>
  <c r="AC1526" i="1"/>
  <c r="AB1526" i="1"/>
  <c r="AA1526" i="1"/>
  <c r="AF1525" i="1"/>
  <c r="AE1525" i="1"/>
  <c r="AD1525" i="1"/>
  <c r="AC1525" i="1"/>
  <c r="AB1525" i="1"/>
  <c r="AA1525" i="1"/>
  <c r="AF1524" i="1"/>
  <c r="AE1524" i="1"/>
  <c r="AD1524" i="1"/>
  <c r="AC1524" i="1"/>
  <c r="AB1524" i="1"/>
  <c r="AA1524" i="1"/>
  <c r="AF1523" i="1"/>
  <c r="AE1523" i="1"/>
  <c r="AD1523" i="1"/>
  <c r="AC1523" i="1"/>
  <c r="AB1523" i="1"/>
  <c r="AA1523" i="1"/>
  <c r="AF1522" i="1"/>
  <c r="AE1522" i="1"/>
  <c r="AD1522" i="1"/>
  <c r="AC1522" i="1"/>
  <c r="AB1522" i="1"/>
  <c r="AA1522" i="1"/>
  <c r="AF1521" i="1"/>
  <c r="AE1521" i="1"/>
  <c r="AD1521" i="1"/>
  <c r="AC1521" i="1"/>
  <c r="AB1521" i="1"/>
  <c r="AA1521" i="1"/>
  <c r="AF1520" i="1"/>
  <c r="AE1520" i="1"/>
  <c r="AD1520" i="1"/>
  <c r="AC1520" i="1"/>
  <c r="AB1520" i="1"/>
  <c r="AA1520" i="1"/>
  <c r="AF1519" i="1"/>
  <c r="AE1519" i="1"/>
  <c r="AD1519" i="1"/>
  <c r="AC1519" i="1"/>
  <c r="AB1519" i="1"/>
  <c r="AA1519" i="1"/>
  <c r="AF1518" i="1"/>
  <c r="AE1518" i="1"/>
  <c r="AD1518" i="1"/>
  <c r="AC1518" i="1"/>
  <c r="AB1518" i="1"/>
  <c r="AA1518" i="1"/>
  <c r="AF1517" i="1"/>
  <c r="AE1517" i="1"/>
  <c r="AD1517" i="1"/>
  <c r="AC1517" i="1"/>
  <c r="AB1517" i="1"/>
  <c r="AA1517" i="1"/>
  <c r="AF1516" i="1"/>
  <c r="AE1516" i="1"/>
  <c r="AD1516" i="1"/>
  <c r="AC1516" i="1"/>
  <c r="AB1516" i="1"/>
  <c r="AA1516" i="1"/>
  <c r="AF1515" i="1"/>
  <c r="AE1515" i="1"/>
  <c r="AD1515" i="1"/>
  <c r="AC1515" i="1"/>
  <c r="AB1515" i="1"/>
  <c r="AA1515" i="1"/>
  <c r="AF1514" i="1"/>
  <c r="AE1514" i="1"/>
  <c r="AD1514" i="1"/>
  <c r="AC1514" i="1"/>
  <c r="AB1514" i="1"/>
  <c r="AA1514" i="1"/>
  <c r="AF1513" i="1"/>
  <c r="AE1513" i="1"/>
  <c r="AD1513" i="1"/>
  <c r="AC1513" i="1"/>
  <c r="AB1513" i="1"/>
  <c r="AA1513" i="1"/>
  <c r="AF1512" i="1"/>
  <c r="AE1512" i="1"/>
  <c r="AD1512" i="1"/>
  <c r="AC1512" i="1"/>
  <c r="AB1512" i="1"/>
  <c r="AA1512" i="1"/>
  <c r="AF1511" i="1"/>
  <c r="AE1511" i="1"/>
  <c r="AD1511" i="1"/>
  <c r="AC1511" i="1"/>
  <c r="AB1511" i="1"/>
  <c r="AA1511" i="1"/>
  <c r="AF1510" i="1"/>
  <c r="AE1510" i="1"/>
  <c r="AD1510" i="1"/>
  <c r="AC1510" i="1"/>
  <c r="AB1510" i="1"/>
  <c r="AA1510" i="1"/>
  <c r="AF1509" i="1"/>
  <c r="AE1509" i="1"/>
  <c r="AD1509" i="1"/>
  <c r="AC1509" i="1"/>
  <c r="AB1509" i="1"/>
  <c r="AA1509" i="1"/>
  <c r="AF1508" i="1"/>
  <c r="AE1508" i="1"/>
  <c r="AD1508" i="1"/>
  <c r="AC1508" i="1"/>
  <c r="AB1508" i="1"/>
  <c r="AA1508" i="1"/>
  <c r="AF1507" i="1"/>
  <c r="AE1507" i="1"/>
  <c r="AD1507" i="1"/>
  <c r="AC1507" i="1"/>
  <c r="AB1507" i="1"/>
  <c r="AA1507" i="1"/>
  <c r="AF1506" i="1"/>
  <c r="AE1506" i="1"/>
  <c r="AD1506" i="1"/>
  <c r="AC1506" i="1"/>
  <c r="AB1506" i="1"/>
  <c r="AA1506" i="1"/>
  <c r="AF1505" i="1"/>
  <c r="AE1505" i="1"/>
  <c r="AD1505" i="1"/>
  <c r="AC1505" i="1"/>
  <c r="AB1505" i="1"/>
  <c r="AA1505" i="1"/>
  <c r="AF1504" i="1"/>
  <c r="AE1504" i="1"/>
  <c r="AD1504" i="1"/>
  <c r="AC1504" i="1"/>
  <c r="AB1504" i="1"/>
  <c r="AA1504" i="1"/>
  <c r="AF1503" i="1"/>
  <c r="AE1503" i="1"/>
  <c r="AD1503" i="1"/>
  <c r="AC1503" i="1"/>
  <c r="AB1503" i="1"/>
  <c r="AA1503" i="1"/>
  <c r="AF1502" i="1"/>
  <c r="AE1502" i="1"/>
  <c r="AD1502" i="1"/>
  <c r="AC1502" i="1"/>
  <c r="AB1502" i="1"/>
  <c r="AA1502" i="1"/>
  <c r="AF1501" i="1"/>
  <c r="AE1501" i="1"/>
  <c r="AD1501" i="1"/>
  <c r="AC1501" i="1"/>
  <c r="AB1501" i="1"/>
  <c r="AA1501" i="1"/>
  <c r="AF1500" i="1"/>
  <c r="AE1500" i="1"/>
  <c r="AD1500" i="1"/>
  <c r="AC1500" i="1"/>
  <c r="AB1500" i="1"/>
  <c r="AA1500" i="1"/>
  <c r="AF1499" i="1"/>
  <c r="AE1499" i="1"/>
  <c r="AD1499" i="1"/>
  <c r="AC1499" i="1"/>
  <c r="AB1499" i="1"/>
  <c r="AA1499" i="1"/>
  <c r="AF1498" i="1"/>
  <c r="AE1498" i="1"/>
  <c r="AD1498" i="1"/>
  <c r="AC1498" i="1"/>
  <c r="AB1498" i="1"/>
  <c r="AA1498" i="1"/>
  <c r="AF1497" i="1"/>
  <c r="AE1497" i="1"/>
  <c r="AD1497" i="1"/>
  <c r="AC1497" i="1"/>
  <c r="AB1497" i="1"/>
  <c r="AA1497" i="1"/>
  <c r="AF1496" i="1"/>
  <c r="AE1496" i="1"/>
  <c r="AD1496" i="1"/>
  <c r="AC1496" i="1"/>
  <c r="AB1496" i="1"/>
  <c r="AA1496" i="1"/>
  <c r="AF1495" i="1"/>
  <c r="AE1495" i="1"/>
  <c r="AD1495" i="1"/>
  <c r="AC1495" i="1"/>
  <c r="AB1495" i="1"/>
  <c r="AA1495" i="1"/>
  <c r="AF1494" i="1"/>
  <c r="AE1494" i="1"/>
  <c r="AD1494" i="1"/>
  <c r="AC1494" i="1"/>
  <c r="AB1494" i="1"/>
  <c r="AA1494" i="1"/>
  <c r="AF1493" i="1"/>
  <c r="AE1493" i="1"/>
  <c r="AD1493" i="1"/>
  <c r="AC1493" i="1"/>
  <c r="AB1493" i="1"/>
  <c r="AA1493" i="1"/>
  <c r="AF1492" i="1"/>
  <c r="AE1492" i="1"/>
  <c r="AD1492" i="1"/>
  <c r="AC1492" i="1"/>
  <c r="AB1492" i="1"/>
  <c r="AA1492" i="1"/>
  <c r="AF1491" i="1"/>
  <c r="AE1491" i="1"/>
  <c r="AD1491" i="1"/>
  <c r="AC1491" i="1"/>
  <c r="AB1491" i="1"/>
  <c r="AA1491" i="1"/>
  <c r="AF1490" i="1"/>
  <c r="AE1490" i="1"/>
  <c r="AD1490" i="1"/>
  <c r="AC1490" i="1"/>
  <c r="AB1490" i="1"/>
  <c r="AA1490" i="1"/>
  <c r="AF1489" i="1"/>
  <c r="AE1489" i="1"/>
  <c r="AD1489" i="1"/>
  <c r="AC1489" i="1"/>
  <c r="AB1489" i="1"/>
  <c r="AA1489" i="1"/>
  <c r="AF1488" i="1"/>
  <c r="AE1488" i="1"/>
  <c r="AD1488" i="1"/>
  <c r="AC1488" i="1"/>
  <c r="AB1488" i="1"/>
  <c r="AA1488" i="1"/>
  <c r="AF1487" i="1"/>
  <c r="AE1487" i="1"/>
  <c r="AD1487" i="1"/>
  <c r="AC1487" i="1"/>
  <c r="AB1487" i="1"/>
  <c r="AA1487" i="1"/>
  <c r="AF1486" i="1"/>
  <c r="AE1486" i="1"/>
  <c r="AD1486" i="1"/>
  <c r="AC1486" i="1"/>
  <c r="AB1486" i="1"/>
  <c r="AA1486" i="1"/>
  <c r="AF1485" i="1"/>
  <c r="AE1485" i="1"/>
  <c r="AD1485" i="1"/>
  <c r="AC1485" i="1"/>
  <c r="AB1485" i="1"/>
  <c r="AA1485" i="1"/>
  <c r="AF1484" i="1"/>
  <c r="AE1484" i="1"/>
  <c r="AD1484" i="1"/>
  <c r="AC1484" i="1"/>
  <c r="AB1484" i="1"/>
  <c r="AA1484" i="1"/>
  <c r="AF1483" i="1"/>
  <c r="AE1483" i="1"/>
  <c r="AD1483" i="1"/>
  <c r="AC1483" i="1"/>
  <c r="AB1483" i="1"/>
  <c r="AA1483" i="1"/>
  <c r="AF1482" i="1"/>
  <c r="AE1482" i="1"/>
  <c r="AD1482" i="1"/>
  <c r="AC1482" i="1"/>
  <c r="AB1482" i="1"/>
  <c r="AA1482" i="1"/>
  <c r="AF1481" i="1"/>
  <c r="AE1481" i="1"/>
  <c r="AD1481" i="1"/>
  <c r="AC1481" i="1"/>
  <c r="AB1481" i="1"/>
  <c r="AA1481" i="1"/>
  <c r="AF1480" i="1"/>
  <c r="AE1480" i="1"/>
  <c r="AD1480" i="1"/>
  <c r="AC1480" i="1"/>
  <c r="AB1480" i="1"/>
  <c r="AA1480" i="1"/>
  <c r="AF1479" i="1"/>
  <c r="AE1479" i="1"/>
  <c r="AD1479" i="1"/>
  <c r="AC1479" i="1"/>
  <c r="AB1479" i="1"/>
  <c r="AA1479" i="1"/>
  <c r="AF1478" i="1"/>
  <c r="AE1478" i="1"/>
  <c r="AD1478" i="1"/>
  <c r="AC1478" i="1"/>
  <c r="AB1478" i="1"/>
  <c r="AA1478" i="1"/>
  <c r="AF1477" i="1"/>
  <c r="AE1477" i="1"/>
  <c r="AD1477" i="1"/>
  <c r="AC1477" i="1"/>
  <c r="AB1477" i="1"/>
  <c r="AA1477" i="1"/>
  <c r="AF1476" i="1"/>
  <c r="AE1476" i="1"/>
  <c r="AD1476" i="1"/>
  <c r="AC1476" i="1"/>
  <c r="AB1476" i="1"/>
  <c r="AA1476" i="1"/>
  <c r="AF1475" i="1"/>
  <c r="AE1475" i="1"/>
  <c r="AD1475" i="1"/>
  <c r="AC1475" i="1"/>
  <c r="AB1475" i="1"/>
  <c r="AA1475" i="1"/>
  <c r="AF1474" i="1"/>
  <c r="AE1474" i="1"/>
  <c r="AD1474" i="1"/>
  <c r="AC1474" i="1"/>
  <c r="AB1474" i="1"/>
  <c r="AA1474" i="1"/>
  <c r="AF1473" i="1"/>
  <c r="AE1473" i="1"/>
  <c r="AD1473" i="1"/>
  <c r="AC1473" i="1"/>
  <c r="AB1473" i="1"/>
  <c r="AA1473" i="1"/>
  <c r="AF1472" i="1"/>
  <c r="AE1472" i="1"/>
  <c r="AD1472" i="1"/>
  <c r="AC1472" i="1"/>
  <c r="AB1472" i="1"/>
  <c r="AA1472" i="1"/>
  <c r="AF1471" i="1"/>
  <c r="AE1471" i="1"/>
  <c r="AD1471" i="1"/>
  <c r="AC1471" i="1"/>
  <c r="AB1471" i="1"/>
  <c r="AA1471" i="1"/>
  <c r="AF1470" i="1"/>
  <c r="AE1470" i="1"/>
  <c r="AD1470" i="1"/>
  <c r="AC1470" i="1"/>
  <c r="AB1470" i="1"/>
  <c r="AA1470" i="1"/>
  <c r="AF1469" i="1"/>
  <c r="AE1469" i="1"/>
  <c r="AD1469" i="1"/>
  <c r="AC1469" i="1"/>
  <c r="AB1469" i="1"/>
  <c r="AA1469" i="1"/>
  <c r="AF1468" i="1"/>
  <c r="AE1468" i="1"/>
  <c r="AD1468" i="1"/>
  <c r="AC1468" i="1"/>
  <c r="AB1468" i="1"/>
  <c r="AA1468" i="1"/>
  <c r="AF1467" i="1"/>
  <c r="AE1467" i="1"/>
  <c r="AD1467" i="1"/>
  <c r="AC1467" i="1"/>
  <c r="AB1467" i="1"/>
  <c r="AA1467" i="1"/>
  <c r="AF1466" i="1"/>
  <c r="AE1466" i="1"/>
  <c r="AD1466" i="1"/>
  <c r="AC1466" i="1"/>
  <c r="AB1466" i="1"/>
  <c r="AA1466" i="1"/>
  <c r="AF1465" i="1"/>
  <c r="AE1465" i="1"/>
  <c r="AD1465" i="1"/>
  <c r="AC1465" i="1"/>
  <c r="AB1465" i="1"/>
  <c r="AA1465" i="1"/>
  <c r="AF1464" i="1"/>
  <c r="AE1464" i="1"/>
  <c r="AD1464" i="1"/>
  <c r="AC1464" i="1"/>
  <c r="AB1464" i="1"/>
  <c r="AA1464" i="1"/>
  <c r="AF1463" i="1"/>
  <c r="AE1463" i="1"/>
  <c r="AD1463" i="1"/>
  <c r="AC1463" i="1"/>
  <c r="AB1463" i="1"/>
  <c r="AA1463" i="1"/>
  <c r="AF1462" i="1"/>
  <c r="AE1462" i="1"/>
  <c r="AD1462" i="1"/>
  <c r="AC1462" i="1"/>
  <c r="AB1462" i="1"/>
  <c r="AA1462" i="1"/>
  <c r="AF1461" i="1"/>
  <c r="AE1461" i="1"/>
  <c r="AD1461" i="1"/>
  <c r="AC1461" i="1"/>
  <c r="AB1461" i="1"/>
  <c r="AA1461" i="1"/>
  <c r="AF1460" i="1"/>
  <c r="AE1460" i="1"/>
  <c r="AD1460" i="1"/>
  <c r="AC1460" i="1"/>
  <c r="AB1460" i="1"/>
  <c r="AA1460" i="1"/>
  <c r="AF1459" i="1"/>
  <c r="AE1459" i="1"/>
  <c r="AD1459" i="1"/>
  <c r="AC1459" i="1"/>
  <c r="AB1459" i="1"/>
  <c r="AA1459" i="1"/>
  <c r="AF1458" i="1"/>
  <c r="AE1458" i="1"/>
  <c r="AD1458" i="1"/>
  <c r="AC1458" i="1"/>
  <c r="AB1458" i="1"/>
  <c r="AA1458" i="1"/>
  <c r="AF1457" i="1"/>
  <c r="AE1457" i="1"/>
  <c r="AD1457" i="1"/>
  <c r="AC1457" i="1"/>
  <c r="AB1457" i="1"/>
  <c r="AA1457" i="1"/>
  <c r="AF1456" i="1"/>
  <c r="AE1456" i="1"/>
  <c r="AD1456" i="1"/>
  <c r="AC1456" i="1"/>
  <c r="AB1456" i="1"/>
  <c r="AA1456" i="1"/>
  <c r="AF1455" i="1"/>
  <c r="AE1455" i="1"/>
  <c r="AD1455" i="1"/>
  <c r="AC1455" i="1"/>
  <c r="AB1455" i="1"/>
  <c r="AA1455" i="1"/>
  <c r="AF1454" i="1"/>
  <c r="AE1454" i="1"/>
  <c r="AD1454" i="1"/>
  <c r="AC1454" i="1"/>
  <c r="AB1454" i="1"/>
  <c r="AA1454" i="1"/>
  <c r="AF1453" i="1"/>
  <c r="AE1453" i="1"/>
  <c r="AD1453" i="1"/>
  <c r="AC1453" i="1"/>
  <c r="AB1453" i="1"/>
  <c r="AA1453" i="1"/>
  <c r="AF1452" i="1"/>
  <c r="AE1452" i="1"/>
  <c r="AD1452" i="1"/>
  <c r="AC1452" i="1"/>
  <c r="AB1452" i="1"/>
  <c r="AA1452" i="1"/>
  <c r="AF1451" i="1"/>
  <c r="AE1451" i="1"/>
  <c r="AD1451" i="1"/>
  <c r="AC1451" i="1"/>
  <c r="AB1451" i="1"/>
  <c r="AA1451" i="1"/>
  <c r="AF1450" i="1"/>
  <c r="AE1450" i="1"/>
  <c r="AD1450" i="1"/>
  <c r="AC1450" i="1"/>
  <c r="AB1450" i="1"/>
  <c r="AA1450" i="1"/>
  <c r="AF1449" i="1"/>
  <c r="AE1449" i="1"/>
  <c r="AD1449" i="1"/>
  <c r="AC1449" i="1"/>
  <c r="AB1449" i="1"/>
  <c r="AA1449" i="1"/>
  <c r="AF1448" i="1"/>
  <c r="AE1448" i="1"/>
  <c r="AD1448" i="1"/>
  <c r="AC1448" i="1"/>
  <c r="AB1448" i="1"/>
  <c r="AA1448" i="1"/>
  <c r="AF1447" i="1"/>
  <c r="AE1447" i="1"/>
  <c r="AD1447" i="1"/>
  <c r="AC1447" i="1"/>
  <c r="AB1447" i="1"/>
  <c r="AA1447" i="1"/>
  <c r="AF1446" i="1"/>
  <c r="AE1446" i="1"/>
  <c r="AD1446" i="1"/>
  <c r="AC1446" i="1"/>
  <c r="AB1446" i="1"/>
  <c r="AA1446" i="1"/>
  <c r="AF1445" i="1"/>
  <c r="AE1445" i="1"/>
  <c r="AD1445" i="1"/>
  <c r="AC1445" i="1"/>
  <c r="AB1445" i="1"/>
  <c r="AA1445" i="1"/>
  <c r="AF1444" i="1"/>
  <c r="AE1444" i="1"/>
  <c r="AD1444" i="1"/>
  <c r="AC1444" i="1"/>
  <c r="AB1444" i="1"/>
  <c r="AA1444" i="1"/>
  <c r="AF1443" i="1"/>
  <c r="AE1443" i="1"/>
  <c r="AD1443" i="1"/>
  <c r="AC1443" i="1"/>
  <c r="AB1443" i="1"/>
  <c r="AA1443" i="1"/>
  <c r="AF1442" i="1"/>
  <c r="AE1442" i="1"/>
  <c r="AD1442" i="1"/>
  <c r="AC1442" i="1"/>
  <c r="AB1442" i="1"/>
  <c r="AA1442" i="1"/>
  <c r="AF1441" i="1"/>
  <c r="AE1441" i="1"/>
  <c r="AD1441" i="1"/>
  <c r="AC1441" i="1"/>
  <c r="AB1441" i="1"/>
  <c r="AA1441" i="1"/>
  <c r="AF1440" i="1"/>
  <c r="AE1440" i="1"/>
  <c r="AD1440" i="1"/>
  <c r="AC1440" i="1"/>
  <c r="AB1440" i="1"/>
  <c r="AA1440" i="1"/>
  <c r="AF1439" i="1"/>
  <c r="AE1439" i="1"/>
  <c r="AD1439" i="1"/>
  <c r="AC1439" i="1"/>
  <c r="AB1439" i="1"/>
  <c r="AA1439" i="1"/>
  <c r="AF1438" i="1"/>
  <c r="AE1438" i="1"/>
  <c r="AD1438" i="1"/>
  <c r="AC1438" i="1"/>
  <c r="AB1438" i="1"/>
  <c r="AA1438" i="1"/>
  <c r="AF1437" i="1"/>
  <c r="AE1437" i="1"/>
  <c r="AD1437" i="1"/>
  <c r="AC1437" i="1"/>
  <c r="AB1437" i="1"/>
  <c r="AA1437" i="1"/>
  <c r="AF1436" i="1"/>
  <c r="AE1436" i="1"/>
  <c r="AD1436" i="1"/>
  <c r="AC1436" i="1"/>
  <c r="AB1436" i="1"/>
  <c r="AA1436" i="1"/>
  <c r="AF1435" i="1"/>
  <c r="AE1435" i="1"/>
  <c r="AD1435" i="1"/>
  <c r="AC1435" i="1"/>
  <c r="AB1435" i="1"/>
  <c r="AA1435" i="1"/>
  <c r="AF1434" i="1"/>
  <c r="AE1434" i="1"/>
  <c r="AD1434" i="1"/>
  <c r="AC1434" i="1"/>
  <c r="AB1434" i="1"/>
  <c r="AA1434" i="1"/>
  <c r="AF1433" i="1"/>
  <c r="AE1433" i="1"/>
  <c r="AD1433" i="1"/>
  <c r="AC1433" i="1"/>
  <c r="AB1433" i="1"/>
  <c r="AA1433" i="1"/>
  <c r="AF1432" i="1"/>
  <c r="AE1432" i="1"/>
  <c r="AD1432" i="1"/>
  <c r="AC1432" i="1"/>
  <c r="AB1432" i="1"/>
  <c r="AA1432" i="1"/>
  <c r="AF1431" i="1"/>
  <c r="AE1431" i="1"/>
  <c r="AD1431" i="1"/>
  <c r="AC1431" i="1"/>
  <c r="AB1431" i="1"/>
  <c r="AA1431" i="1"/>
  <c r="AF1430" i="1"/>
  <c r="AE1430" i="1"/>
  <c r="AD1430" i="1"/>
  <c r="AC1430" i="1"/>
  <c r="AB1430" i="1"/>
  <c r="AA1430" i="1"/>
  <c r="AF1429" i="1"/>
  <c r="AE1429" i="1"/>
  <c r="AD1429" i="1"/>
  <c r="AC1429" i="1"/>
  <c r="AB1429" i="1"/>
  <c r="AA1429" i="1"/>
  <c r="AF1428" i="1"/>
  <c r="AE1428" i="1"/>
  <c r="AD1428" i="1"/>
  <c r="AC1428" i="1"/>
  <c r="AB1428" i="1"/>
  <c r="AA1428" i="1"/>
  <c r="AF1427" i="1"/>
  <c r="AE1427" i="1"/>
  <c r="AD1427" i="1"/>
  <c r="AC1427" i="1"/>
  <c r="AB1427" i="1"/>
  <c r="AA1427" i="1"/>
  <c r="AF1426" i="1"/>
  <c r="AE1426" i="1"/>
  <c r="AD1426" i="1"/>
  <c r="AC1426" i="1"/>
  <c r="AB1426" i="1"/>
  <c r="AA1426" i="1"/>
  <c r="AF1425" i="1"/>
  <c r="AE1425" i="1"/>
  <c r="AD1425" i="1"/>
  <c r="AC1425" i="1"/>
  <c r="AB1425" i="1"/>
  <c r="AA1425" i="1"/>
  <c r="AF1424" i="1"/>
  <c r="AE1424" i="1"/>
  <c r="AD1424" i="1"/>
  <c r="AC1424" i="1"/>
  <c r="AB1424" i="1"/>
  <c r="AA1424" i="1"/>
  <c r="AF1423" i="1"/>
  <c r="AE1423" i="1"/>
  <c r="AD1423" i="1"/>
  <c r="AC1423" i="1"/>
  <c r="AB1423" i="1"/>
  <c r="AA1423" i="1"/>
  <c r="AF1422" i="1"/>
  <c r="AE1422" i="1"/>
  <c r="AD1422" i="1"/>
  <c r="AC1422" i="1"/>
  <c r="AB1422" i="1"/>
  <c r="AA1422" i="1"/>
  <c r="AF1421" i="1"/>
  <c r="AE1421" i="1"/>
  <c r="AD1421" i="1"/>
  <c r="AC1421" i="1"/>
  <c r="AB1421" i="1"/>
  <c r="AA1421" i="1"/>
  <c r="AF1420" i="1"/>
  <c r="AE1420" i="1"/>
  <c r="AD1420" i="1"/>
  <c r="AC1420" i="1"/>
  <c r="AB1420" i="1"/>
  <c r="AA1420" i="1"/>
  <c r="AF1419" i="1"/>
  <c r="AE1419" i="1"/>
  <c r="AD1419" i="1"/>
  <c r="AC1419" i="1"/>
  <c r="AB1419" i="1"/>
  <c r="AA1419" i="1"/>
  <c r="AF1418" i="1"/>
  <c r="AE1418" i="1"/>
  <c r="AD1418" i="1"/>
  <c r="AC1418" i="1"/>
  <c r="AB1418" i="1"/>
  <c r="AA1418" i="1"/>
  <c r="AF1417" i="1"/>
  <c r="AE1417" i="1"/>
  <c r="AD1417" i="1"/>
  <c r="AC1417" i="1"/>
  <c r="AB1417" i="1"/>
  <c r="AA1417" i="1"/>
  <c r="AF1416" i="1"/>
  <c r="AE1416" i="1"/>
  <c r="AD1416" i="1"/>
  <c r="AC1416" i="1"/>
  <c r="AB1416" i="1"/>
  <c r="AA1416" i="1"/>
  <c r="AF1415" i="1"/>
  <c r="AE1415" i="1"/>
  <c r="AD1415" i="1"/>
  <c r="AC1415" i="1"/>
  <c r="AB1415" i="1"/>
  <c r="AA1415" i="1"/>
  <c r="AF1414" i="1"/>
  <c r="AE1414" i="1"/>
  <c r="AD1414" i="1"/>
  <c r="AC1414" i="1"/>
  <c r="AB1414" i="1"/>
  <c r="AA1414" i="1"/>
  <c r="AF1413" i="1"/>
  <c r="AE1413" i="1"/>
  <c r="AD1413" i="1"/>
  <c r="AC1413" i="1"/>
  <c r="AB1413" i="1"/>
  <c r="AA1413" i="1"/>
  <c r="AF1412" i="1"/>
  <c r="AE1412" i="1"/>
  <c r="AD1412" i="1"/>
  <c r="AC1412" i="1"/>
  <c r="AB1412" i="1"/>
  <c r="AA1412" i="1"/>
  <c r="AF1411" i="1"/>
  <c r="AE1411" i="1"/>
  <c r="AD1411" i="1"/>
  <c r="AC1411" i="1"/>
  <c r="AB1411" i="1"/>
  <c r="AA1411" i="1"/>
  <c r="AF1410" i="1"/>
  <c r="AE1410" i="1"/>
  <c r="AD1410" i="1"/>
  <c r="AC1410" i="1"/>
  <c r="AB1410" i="1"/>
  <c r="AA1410" i="1"/>
  <c r="AF1409" i="1"/>
  <c r="AE1409" i="1"/>
  <c r="AD1409" i="1"/>
  <c r="AC1409" i="1"/>
  <c r="AB1409" i="1"/>
  <c r="AA1409" i="1"/>
  <c r="AF1408" i="1"/>
  <c r="AE1408" i="1"/>
  <c r="AD1408" i="1"/>
  <c r="AC1408" i="1"/>
  <c r="AB1408" i="1"/>
  <c r="AA1408" i="1"/>
  <c r="AF1407" i="1"/>
  <c r="AE1407" i="1"/>
  <c r="AD1407" i="1"/>
  <c r="AC1407" i="1"/>
  <c r="AB1407" i="1"/>
  <c r="AA1407" i="1"/>
  <c r="AF1406" i="1"/>
  <c r="AE1406" i="1"/>
  <c r="AD1406" i="1"/>
  <c r="AC1406" i="1"/>
  <c r="AB1406" i="1"/>
  <c r="AA1406" i="1"/>
  <c r="AF1405" i="1"/>
  <c r="AE1405" i="1"/>
  <c r="AD1405" i="1"/>
  <c r="AC1405" i="1"/>
  <c r="AB1405" i="1"/>
  <c r="AA1405" i="1"/>
  <c r="AF1404" i="1"/>
  <c r="AE1404" i="1"/>
  <c r="AD1404" i="1"/>
  <c r="AC1404" i="1"/>
  <c r="AB1404" i="1"/>
  <c r="AA1404" i="1"/>
  <c r="AF1403" i="1"/>
  <c r="AE1403" i="1"/>
  <c r="AD1403" i="1"/>
  <c r="AC1403" i="1"/>
  <c r="AB1403" i="1"/>
  <c r="AA1403" i="1"/>
  <c r="AF1402" i="1"/>
  <c r="AE1402" i="1"/>
  <c r="AD1402" i="1"/>
  <c r="AC1402" i="1"/>
  <c r="AB1402" i="1"/>
  <c r="AA1402" i="1"/>
  <c r="AF1401" i="1"/>
  <c r="AE1401" i="1"/>
  <c r="AD1401" i="1"/>
  <c r="AC1401" i="1"/>
  <c r="AB1401" i="1"/>
  <c r="AA1401" i="1"/>
  <c r="AF1400" i="1"/>
  <c r="AE1400" i="1"/>
  <c r="AD1400" i="1"/>
  <c r="AC1400" i="1"/>
  <c r="AB1400" i="1"/>
  <c r="AA1400" i="1"/>
  <c r="AF1399" i="1"/>
  <c r="AE1399" i="1"/>
  <c r="AD1399" i="1"/>
  <c r="AC1399" i="1"/>
  <c r="AB1399" i="1"/>
  <c r="AA1399" i="1"/>
  <c r="AF1398" i="1"/>
  <c r="AE1398" i="1"/>
  <c r="AD1398" i="1"/>
  <c r="AC1398" i="1"/>
  <c r="AB1398" i="1"/>
  <c r="AA1398" i="1"/>
  <c r="AF1397" i="1"/>
  <c r="AE1397" i="1"/>
  <c r="AD1397" i="1"/>
  <c r="AC1397" i="1"/>
  <c r="AB1397" i="1"/>
  <c r="AA1397" i="1"/>
  <c r="AF1396" i="1"/>
  <c r="AE1396" i="1"/>
  <c r="AD1396" i="1"/>
  <c r="AC1396" i="1"/>
  <c r="AB1396" i="1"/>
  <c r="AA1396" i="1"/>
  <c r="AF1395" i="1"/>
  <c r="AE1395" i="1"/>
  <c r="AD1395" i="1"/>
  <c r="AC1395" i="1"/>
  <c r="AB1395" i="1"/>
  <c r="AA1395" i="1"/>
  <c r="AF1394" i="1"/>
  <c r="AE1394" i="1"/>
  <c r="AD1394" i="1"/>
  <c r="AC1394" i="1"/>
  <c r="AB1394" i="1"/>
  <c r="AA1394" i="1"/>
  <c r="AF1393" i="1"/>
  <c r="AE1393" i="1"/>
  <c r="AD1393" i="1"/>
  <c r="AC1393" i="1"/>
  <c r="AB1393" i="1"/>
  <c r="AA1393" i="1"/>
  <c r="AF1392" i="1"/>
  <c r="AE1392" i="1"/>
  <c r="AD1392" i="1"/>
  <c r="AC1392" i="1"/>
  <c r="AB1392" i="1"/>
  <c r="AA1392" i="1"/>
  <c r="AF1391" i="1"/>
  <c r="AE1391" i="1"/>
  <c r="AD1391" i="1"/>
  <c r="AC1391" i="1"/>
  <c r="AB1391" i="1"/>
  <c r="AA1391" i="1"/>
  <c r="AF1390" i="1"/>
  <c r="AE1390" i="1"/>
  <c r="AD1390" i="1"/>
  <c r="AC1390" i="1"/>
  <c r="AB1390" i="1"/>
  <c r="AA1390" i="1"/>
  <c r="AF1389" i="1"/>
  <c r="AE1389" i="1"/>
  <c r="AD1389" i="1"/>
  <c r="AC1389" i="1"/>
  <c r="AB1389" i="1"/>
  <c r="AA1389" i="1"/>
  <c r="AF1388" i="1"/>
  <c r="AE1388" i="1"/>
  <c r="AD1388" i="1"/>
  <c r="AC1388" i="1"/>
  <c r="AB1388" i="1"/>
  <c r="AA1388" i="1"/>
  <c r="AF1387" i="1"/>
  <c r="AE1387" i="1"/>
  <c r="AD1387" i="1"/>
  <c r="AC1387" i="1"/>
  <c r="AB1387" i="1"/>
  <c r="AA1387" i="1"/>
  <c r="AF1386" i="1"/>
  <c r="AE1386" i="1"/>
  <c r="AD1386" i="1"/>
  <c r="AC1386" i="1"/>
  <c r="AB1386" i="1"/>
  <c r="AA1386" i="1"/>
  <c r="AF1385" i="1"/>
  <c r="AE1385" i="1"/>
  <c r="AD1385" i="1"/>
  <c r="AC1385" i="1"/>
  <c r="AB1385" i="1"/>
  <c r="AA1385" i="1"/>
  <c r="AF1384" i="1"/>
  <c r="AE1384" i="1"/>
  <c r="AD1384" i="1"/>
  <c r="AC1384" i="1"/>
  <c r="AB1384" i="1"/>
  <c r="AA1384" i="1"/>
  <c r="AF1383" i="1"/>
  <c r="AE1383" i="1"/>
  <c r="AD1383" i="1"/>
  <c r="AC1383" i="1"/>
  <c r="AB1383" i="1"/>
  <c r="AA1383" i="1"/>
  <c r="AF1382" i="1"/>
  <c r="AE1382" i="1"/>
  <c r="AD1382" i="1"/>
  <c r="AC1382" i="1"/>
  <c r="AB1382" i="1"/>
  <c r="AA1382" i="1"/>
  <c r="AF1381" i="1"/>
  <c r="AE1381" i="1"/>
  <c r="AD1381" i="1"/>
  <c r="AC1381" i="1"/>
  <c r="AB1381" i="1"/>
  <c r="AA1381" i="1"/>
  <c r="AF1380" i="1"/>
  <c r="AE1380" i="1"/>
  <c r="AD1380" i="1"/>
  <c r="AC1380" i="1"/>
  <c r="AB1380" i="1"/>
  <c r="AA1380" i="1"/>
  <c r="AF1379" i="1"/>
  <c r="AE1379" i="1"/>
  <c r="AD1379" i="1"/>
  <c r="AC1379" i="1"/>
  <c r="AB1379" i="1"/>
  <c r="AA1379" i="1"/>
  <c r="AF1378" i="1"/>
  <c r="AE1378" i="1"/>
  <c r="AD1378" i="1"/>
  <c r="AC1378" i="1"/>
  <c r="AB1378" i="1"/>
  <c r="AA1378" i="1"/>
  <c r="AF1377" i="1"/>
  <c r="AE1377" i="1"/>
  <c r="AD1377" i="1"/>
  <c r="AC1377" i="1"/>
  <c r="AB1377" i="1"/>
  <c r="AA1377" i="1"/>
  <c r="AF1376" i="1"/>
  <c r="AE1376" i="1"/>
  <c r="AD1376" i="1"/>
  <c r="AC1376" i="1"/>
  <c r="AB1376" i="1"/>
  <c r="AA1376" i="1"/>
  <c r="AF1375" i="1"/>
  <c r="AE1375" i="1"/>
  <c r="AD1375" i="1"/>
  <c r="AC1375" i="1"/>
  <c r="AB1375" i="1"/>
  <c r="AA1375" i="1"/>
  <c r="AF1374" i="1"/>
  <c r="AE1374" i="1"/>
  <c r="AD1374" i="1"/>
  <c r="AC1374" i="1"/>
  <c r="AB1374" i="1"/>
  <c r="AA1374" i="1"/>
  <c r="AF1373" i="1"/>
  <c r="AE1373" i="1"/>
  <c r="AD1373" i="1"/>
  <c r="AC1373" i="1"/>
  <c r="AB1373" i="1"/>
  <c r="AA1373" i="1"/>
  <c r="AF1372" i="1"/>
  <c r="AE1372" i="1"/>
  <c r="AD1372" i="1"/>
  <c r="AC1372" i="1"/>
  <c r="AB1372" i="1"/>
  <c r="AA1372" i="1"/>
  <c r="AF1371" i="1"/>
  <c r="AE1371" i="1"/>
  <c r="AD1371" i="1"/>
  <c r="AC1371" i="1"/>
  <c r="AB1371" i="1"/>
  <c r="AA1371" i="1"/>
  <c r="AF1370" i="1"/>
  <c r="AE1370" i="1"/>
  <c r="AD1370" i="1"/>
  <c r="AC1370" i="1"/>
  <c r="AB1370" i="1"/>
  <c r="AA1370" i="1"/>
  <c r="AF1369" i="1"/>
  <c r="AE1369" i="1"/>
  <c r="AD1369" i="1"/>
  <c r="AC1369" i="1"/>
  <c r="AB1369" i="1"/>
  <c r="AA1369" i="1"/>
  <c r="AF1368" i="1"/>
  <c r="AE1368" i="1"/>
  <c r="AD1368" i="1"/>
  <c r="AC1368" i="1"/>
  <c r="AB1368" i="1"/>
  <c r="AA1368" i="1"/>
  <c r="AF1367" i="1"/>
  <c r="AE1367" i="1"/>
  <c r="AD1367" i="1"/>
  <c r="AC1367" i="1"/>
  <c r="AB1367" i="1"/>
  <c r="AA1367" i="1"/>
  <c r="AF1366" i="1"/>
  <c r="AE1366" i="1"/>
  <c r="AD1366" i="1"/>
  <c r="AC1366" i="1"/>
  <c r="AB1366" i="1"/>
  <c r="AA1366" i="1"/>
  <c r="AF1365" i="1"/>
  <c r="AE1365" i="1"/>
  <c r="AD1365" i="1"/>
  <c r="AC1365" i="1"/>
  <c r="AB1365" i="1"/>
  <c r="AA1365" i="1"/>
  <c r="AF1364" i="1"/>
  <c r="AE1364" i="1"/>
  <c r="AD1364" i="1"/>
  <c r="AC1364" i="1"/>
  <c r="AB1364" i="1"/>
  <c r="AA1364" i="1"/>
  <c r="AF1363" i="1"/>
  <c r="AE1363" i="1"/>
  <c r="AD1363" i="1"/>
  <c r="AC1363" i="1"/>
  <c r="AB1363" i="1"/>
  <c r="AA1363" i="1"/>
  <c r="AF1362" i="1"/>
  <c r="AE1362" i="1"/>
  <c r="AD1362" i="1"/>
  <c r="AC1362" i="1"/>
  <c r="AB1362" i="1"/>
  <c r="AA1362" i="1"/>
  <c r="AF1361" i="1"/>
  <c r="AE1361" i="1"/>
  <c r="AD1361" i="1"/>
  <c r="AC1361" i="1"/>
  <c r="AB1361" i="1"/>
  <c r="AA1361" i="1"/>
  <c r="AF1360" i="1"/>
  <c r="AE1360" i="1"/>
  <c r="AD1360" i="1"/>
  <c r="AC1360" i="1"/>
  <c r="AB1360" i="1"/>
  <c r="AA1360" i="1"/>
  <c r="AF1359" i="1"/>
  <c r="AE1359" i="1"/>
  <c r="AD1359" i="1"/>
  <c r="AC1359" i="1"/>
  <c r="AB1359" i="1"/>
  <c r="AA1359" i="1"/>
  <c r="AF1358" i="1"/>
  <c r="AE1358" i="1"/>
  <c r="AD1358" i="1"/>
  <c r="AC1358" i="1"/>
  <c r="AB1358" i="1"/>
  <c r="AA1358" i="1"/>
  <c r="AF1357" i="1"/>
  <c r="AE1357" i="1"/>
  <c r="AD1357" i="1"/>
  <c r="AC1357" i="1"/>
  <c r="AB1357" i="1"/>
  <c r="AA1357" i="1"/>
  <c r="AF1356" i="1"/>
  <c r="AE1356" i="1"/>
  <c r="AD1356" i="1"/>
  <c r="AC1356" i="1"/>
  <c r="AB1356" i="1"/>
  <c r="AA1356" i="1"/>
  <c r="AF1355" i="1"/>
  <c r="AE1355" i="1"/>
  <c r="AD1355" i="1"/>
  <c r="AC1355" i="1"/>
  <c r="AB1355" i="1"/>
  <c r="AA1355" i="1"/>
  <c r="AF1354" i="1"/>
  <c r="AE1354" i="1"/>
  <c r="AD1354" i="1"/>
  <c r="AC1354" i="1"/>
  <c r="AB1354" i="1"/>
  <c r="AA1354" i="1"/>
  <c r="AF1353" i="1"/>
  <c r="AE1353" i="1"/>
  <c r="AD1353" i="1"/>
  <c r="AC1353" i="1"/>
  <c r="AB1353" i="1"/>
  <c r="AA1353" i="1"/>
  <c r="AF1352" i="1"/>
  <c r="AE1352" i="1"/>
  <c r="AD1352" i="1"/>
  <c r="AC1352" i="1"/>
  <c r="AB1352" i="1"/>
  <c r="AA1352" i="1"/>
  <c r="AF1351" i="1"/>
  <c r="AE1351" i="1"/>
  <c r="AD1351" i="1"/>
  <c r="AC1351" i="1"/>
  <c r="AB1351" i="1"/>
  <c r="AA1351" i="1"/>
  <c r="AF1350" i="1"/>
  <c r="AE1350" i="1"/>
  <c r="AD1350" i="1"/>
  <c r="AC1350" i="1"/>
  <c r="AB1350" i="1"/>
  <c r="AA1350" i="1"/>
  <c r="AF1349" i="1"/>
  <c r="AE1349" i="1"/>
  <c r="AD1349" i="1"/>
  <c r="AC1349" i="1"/>
  <c r="AB1349" i="1"/>
  <c r="AA1349" i="1"/>
  <c r="AF1348" i="1"/>
  <c r="AE1348" i="1"/>
  <c r="AD1348" i="1"/>
  <c r="AC1348" i="1"/>
  <c r="AB1348" i="1"/>
  <c r="AA1348" i="1"/>
  <c r="AF1347" i="1"/>
  <c r="AE1347" i="1"/>
  <c r="AD1347" i="1"/>
  <c r="AC1347" i="1"/>
  <c r="AB1347" i="1"/>
  <c r="AA1347" i="1"/>
  <c r="AF1346" i="1"/>
  <c r="AE1346" i="1"/>
  <c r="AD1346" i="1"/>
  <c r="AC1346" i="1"/>
  <c r="AB1346" i="1"/>
  <c r="AA1346" i="1"/>
  <c r="AF1345" i="1"/>
  <c r="AE1345" i="1"/>
  <c r="AD1345" i="1"/>
  <c r="AC1345" i="1"/>
  <c r="AB1345" i="1"/>
  <c r="AA1345" i="1"/>
  <c r="AF1344" i="1"/>
  <c r="AE1344" i="1"/>
  <c r="AD1344" i="1"/>
  <c r="AC1344" i="1"/>
  <c r="AB1344" i="1"/>
  <c r="AA1344" i="1"/>
  <c r="AF1343" i="1"/>
  <c r="AE1343" i="1"/>
  <c r="AD1343" i="1"/>
  <c r="AC1343" i="1"/>
  <c r="AB1343" i="1"/>
  <c r="AA1343" i="1"/>
  <c r="AF1342" i="1"/>
  <c r="AE1342" i="1"/>
  <c r="AD1342" i="1"/>
  <c r="AC1342" i="1"/>
  <c r="AB1342" i="1"/>
  <c r="AA1342" i="1"/>
  <c r="AF1341" i="1"/>
  <c r="AE1341" i="1"/>
  <c r="AD1341" i="1"/>
  <c r="AC1341" i="1"/>
  <c r="AB1341" i="1"/>
  <c r="AA1341" i="1"/>
  <c r="AF1340" i="1"/>
  <c r="AE1340" i="1"/>
  <c r="AD1340" i="1"/>
  <c r="AC1340" i="1"/>
  <c r="AB1340" i="1"/>
  <c r="AA1340" i="1"/>
  <c r="AF1339" i="1"/>
  <c r="AE1339" i="1"/>
  <c r="AD1339" i="1"/>
  <c r="AC1339" i="1"/>
  <c r="AB1339" i="1"/>
  <c r="AA1339" i="1"/>
  <c r="AF1338" i="1"/>
  <c r="AE1338" i="1"/>
  <c r="AD1338" i="1"/>
  <c r="AC1338" i="1"/>
  <c r="AB1338" i="1"/>
  <c r="AA1338" i="1"/>
  <c r="AF1337" i="1"/>
  <c r="AE1337" i="1"/>
  <c r="AD1337" i="1"/>
  <c r="AC1337" i="1"/>
  <c r="AB1337" i="1"/>
  <c r="AA1337" i="1"/>
  <c r="AF1336" i="1"/>
  <c r="AE1336" i="1"/>
  <c r="AD1336" i="1"/>
  <c r="AC1336" i="1"/>
  <c r="AB1336" i="1"/>
  <c r="AA1336" i="1"/>
  <c r="AF1335" i="1"/>
  <c r="AE1335" i="1"/>
  <c r="AD1335" i="1"/>
  <c r="AC1335" i="1"/>
  <c r="AB1335" i="1"/>
  <c r="AA1335" i="1"/>
  <c r="AF1334" i="1"/>
  <c r="AE1334" i="1"/>
  <c r="AD1334" i="1"/>
  <c r="AC1334" i="1"/>
  <c r="AB1334" i="1"/>
  <c r="AA1334" i="1"/>
  <c r="AF1333" i="1"/>
  <c r="AE1333" i="1"/>
  <c r="AD1333" i="1"/>
  <c r="AC1333" i="1"/>
  <c r="AB1333" i="1"/>
  <c r="AA1333" i="1"/>
  <c r="AF1332" i="1"/>
  <c r="AE1332" i="1"/>
  <c r="AD1332" i="1"/>
  <c r="AC1332" i="1"/>
  <c r="AB1332" i="1"/>
  <c r="AA1332" i="1"/>
  <c r="AF1331" i="1"/>
  <c r="AE1331" i="1"/>
  <c r="AD1331" i="1"/>
  <c r="AC1331" i="1"/>
  <c r="AB1331" i="1"/>
  <c r="AA1331" i="1"/>
  <c r="AF1330" i="1"/>
  <c r="AE1330" i="1"/>
  <c r="AD1330" i="1"/>
  <c r="AC1330" i="1"/>
  <c r="AB1330" i="1"/>
  <c r="AA1330" i="1"/>
  <c r="AF1329" i="1"/>
  <c r="AE1329" i="1"/>
  <c r="AD1329" i="1"/>
  <c r="AC1329" i="1"/>
  <c r="AB1329" i="1"/>
  <c r="AA1329" i="1"/>
  <c r="AF1328" i="1"/>
  <c r="AE1328" i="1"/>
  <c r="AD1328" i="1"/>
  <c r="AC1328" i="1"/>
  <c r="AB1328" i="1"/>
  <c r="AA1328" i="1"/>
  <c r="AF1327" i="1"/>
  <c r="AE1327" i="1"/>
  <c r="AD1327" i="1"/>
  <c r="AC1327" i="1"/>
  <c r="AB1327" i="1"/>
  <c r="AA1327" i="1"/>
  <c r="AF1326" i="1"/>
  <c r="AE1326" i="1"/>
  <c r="AD1326" i="1"/>
  <c r="AC1326" i="1"/>
  <c r="AB1326" i="1"/>
  <c r="AA1326" i="1"/>
  <c r="AF1325" i="1"/>
  <c r="AE1325" i="1"/>
  <c r="AD1325" i="1"/>
  <c r="AC1325" i="1"/>
  <c r="AB1325" i="1"/>
  <c r="AA1325" i="1"/>
  <c r="AF1324" i="1"/>
  <c r="AE1324" i="1"/>
  <c r="AD1324" i="1"/>
  <c r="AC1324" i="1"/>
  <c r="AB1324" i="1"/>
  <c r="AA1324" i="1"/>
  <c r="AF1323" i="1"/>
  <c r="AE1323" i="1"/>
  <c r="AD1323" i="1"/>
  <c r="AC1323" i="1"/>
  <c r="AB1323" i="1"/>
  <c r="AA1323" i="1"/>
  <c r="AF1322" i="1"/>
  <c r="AE1322" i="1"/>
  <c r="AD1322" i="1"/>
  <c r="AC1322" i="1"/>
  <c r="AB1322" i="1"/>
  <c r="AA1322" i="1"/>
  <c r="AF1321" i="1"/>
  <c r="AE1321" i="1"/>
  <c r="AD1321" i="1"/>
  <c r="AC1321" i="1"/>
  <c r="AB1321" i="1"/>
  <c r="AA1321" i="1"/>
  <c r="AF1320" i="1"/>
  <c r="AE1320" i="1"/>
  <c r="AD1320" i="1"/>
  <c r="AC1320" i="1"/>
  <c r="AB1320" i="1"/>
  <c r="AA1320" i="1"/>
  <c r="AF1319" i="1"/>
  <c r="AE1319" i="1"/>
  <c r="AD1319" i="1"/>
  <c r="AC1319" i="1"/>
  <c r="AB1319" i="1"/>
  <c r="AA1319" i="1"/>
  <c r="AF1318" i="1"/>
  <c r="AE1318" i="1"/>
  <c r="AD1318" i="1"/>
  <c r="AC1318" i="1"/>
  <c r="AB1318" i="1"/>
  <c r="AA1318" i="1"/>
  <c r="AF1317" i="1"/>
  <c r="AE1317" i="1"/>
  <c r="AD1317" i="1"/>
  <c r="AC1317" i="1"/>
  <c r="AB1317" i="1"/>
  <c r="AA1317" i="1"/>
  <c r="AF1316" i="1"/>
  <c r="AE1316" i="1"/>
  <c r="AD1316" i="1"/>
  <c r="AC1316" i="1"/>
  <c r="AB1316" i="1"/>
  <c r="AA1316" i="1"/>
  <c r="AF1315" i="1"/>
  <c r="AE1315" i="1"/>
  <c r="AD1315" i="1"/>
  <c r="AC1315" i="1"/>
  <c r="AB1315" i="1"/>
  <c r="AA1315" i="1"/>
  <c r="AF1314" i="1"/>
  <c r="AE1314" i="1"/>
  <c r="AD1314" i="1"/>
  <c r="AC1314" i="1"/>
  <c r="AB1314" i="1"/>
  <c r="AA1314" i="1"/>
  <c r="AF1313" i="1"/>
  <c r="AE1313" i="1"/>
  <c r="AD1313" i="1"/>
  <c r="AC1313" i="1"/>
  <c r="AB1313" i="1"/>
  <c r="AA1313" i="1"/>
  <c r="AF1312" i="1"/>
  <c r="AE1312" i="1"/>
  <c r="AD1312" i="1"/>
  <c r="AC1312" i="1"/>
  <c r="AB1312" i="1"/>
  <c r="AA1312" i="1"/>
  <c r="AF1311" i="1"/>
  <c r="AE1311" i="1"/>
  <c r="AD1311" i="1"/>
  <c r="AC1311" i="1"/>
  <c r="AB1311" i="1"/>
  <c r="AA1311" i="1"/>
  <c r="AF1310" i="1"/>
  <c r="AE1310" i="1"/>
  <c r="AD1310" i="1"/>
  <c r="AC1310" i="1"/>
  <c r="AB1310" i="1"/>
  <c r="AA1310" i="1"/>
  <c r="AF1309" i="1"/>
  <c r="AE1309" i="1"/>
  <c r="AD1309" i="1"/>
  <c r="AC1309" i="1"/>
  <c r="AB1309" i="1"/>
  <c r="AA1309" i="1"/>
  <c r="AF1308" i="1"/>
  <c r="AE1308" i="1"/>
  <c r="AD1308" i="1"/>
  <c r="AC1308" i="1"/>
  <c r="AB1308" i="1"/>
  <c r="AA1308" i="1"/>
  <c r="AF1307" i="1"/>
  <c r="AE1307" i="1"/>
  <c r="AD1307" i="1"/>
  <c r="AC1307" i="1"/>
  <c r="AB1307" i="1"/>
  <c r="AA1307" i="1"/>
  <c r="AF1306" i="1"/>
  <c r="AE1306" i="1"/>
  <c r="AD1306" i="1"/>
  <c r="AC1306" i="1"/>
  <c r="AB1306" i="1"/>
  <c r="AA1306" i="1"/>
  <c r="AF1305" i="1"/>
  <c r="AE1305" i="1"/>
  <c r="AD1305" i="1"/>
  <c r="AC1305" i="1"/>
  <c r="AB1305" i="1"/>
  <c r="AA1305" i="1"/>
  <c r="AF1304" i="1"/>
  <c r="AE1304" i="1"/>
  <c r="AD1304" i="1"/>
  <c r="AC1304" i="1"/>
  <c r="AB1304" i="1"/>
  <c r="AA1304" i="1"/>
  <c r="AF1303" i="1"/>
  <c r="AE1303" i="1"/>
  <c r="AD1303" i="1"/>
  <c r="AC1303" i="1"/>
  <c r="AB1303" i="1"/>
  <c r="AA1303" i="1"/>
  <c r="AF1302" i="1"/>
  <c r="AE1302" i="1"/>
  <c r="AD1302" i="1"/>
  <c r="AC1302" i="1"/>
  <c r="AB1302" i="1"/>
  <c r="AA1302" i="1"/>
  <c r="AF1301" i="1"/>
  <c r="AE1301" i="1"/>
  <c r="AD1301" i="1"/>
  <c r="AC1301" i="1"/>
  <c r="AB1301" i="1"/>
  <c r="AA1301" i="1"/>
  <c r="AF1300" i="1"/>
  <c r="AE1300" i="1"/>
  <c r="AD1300" i="1"/>
  <c r="AC1300" i="1"/>
  <c r="AB1300" i="1"/>
  <c r="AA1300" i="1"/>
  <c r="AF1299" i="1"/>
  <c r="AE1299" i="1"/>
  <c r="AD1299" i="1"/>
  <c r="AC1299" i="1"/>
  <c r="AB1299" i="1"/>
  <c r="AA1299" i="1"/>
  <c r="AF1298" i="1"/>
  <c r="AE1298" i="1"/>
  <c r="AD1298" i="1"/>
  <c r="AC1298" i="1"/>
  <c r="AB1298" i="1"/>
  <c r="AA1298" i="1"/>
  <c r="AF1297" i="1"/>
  <c r="AE1297" i="1"/>
  <c r="AD1297" i="1"/>
  <c r="AC1297" i="1"/>
  <c r="AB1297" i="1"/>
  <c r="AA1297" i="1"/>
  <c r="AF1296" i="1"/>
  <c r="AE1296" i="1"/>
  <c r="AD1296" i="1"/>
  <c r="AC1296" i="1"/>
  <c r="AB1296" i="1"/>
  <c r="AA1296" i="1"/>
  <c r="AF1295" i="1"/>
  <c r="AE1295" i="1"/>
  <c r="AD1295" i="1"/>
  <c r="AC1295" i="1"/>
  <c r="AB1295" i="1"/>
  <c r="AA1295" i="1"/>
  <c r="AF1294" i="1"/>
  <c r="AE1294" i="1"/>
  <c r="AD1294" i="1"/>
  <c r="AC1294" i="1"/>
  <c r="AB1294" i="1"/>
  <c r="AA1294" i="1"/>
  <c r="AF1293" i="1"/>
  <c r="AE1293" i="1"/>
  <c r="AD1293" i="1"/>
  <c r="AC1293" i="1"/>
  <c r="AB1293" i="1"/>
  <c r="AA1293" i="1"/>
  <c r="AF1292" i="1"/>
  <c r="AE1292" i="1"/>
  <c r="AD1292" i="1"/>
  <c r="AC1292" i="1"/>
  <c r="AB1292" i="1"/>
  <c r="AA1292" i="1"/>
  <c r="AF1291" i="1"/>
  <c r="AE1291" i="1"/>
  <c r="AD1291" i="1"/>
  <c r="AC1291" i="1"/>
  <c r="AB1291" i="1"/>
  <c r="AA1291" i="1"/>
  <c r="AF1290" i="1"/>
  <c r="AE1290" i="1"/>
  <c r="AD1290" i="1"/>
  <c r="AC1290" i="1"/>
  <c r="AB1290" i="1"/>
  <c r="AA1290" i="1"/>
  <c r="AF1289" i="1"/>
  <c r="AE1289" i="1"/>
  <c r="AD1289" i="1"/>
  <c r="AC1289" i="1"/>
  <c r="AB1289" i="1"/>
  <c r="AA1289" i="1"/>
  <c r="AF1288" i="1"/>
  <c r="AE1288" i="1"/>
  <c r="AD1288" i="1"/>
  <c r="AC1288" i="1"/>
  <c r="AB1288" i="1"/>
  <c r="AA1288" i="1"/>
  <c r="AF1287" i="1"/>
  <c r="AE1287" i="1"/>
  <c r="AD1287" i="1"/>
  <c r="AC1287" i="1"/>
  <c r="AB1287" i="1"/>
  <c r="AA1287" i="1"/>
  <c r="AF1286" i="1"/>
  <c r="AE1286" i="1"/>
  <c r="AD1286" i="1"/>
  <c r="AC1286" i="1"/>
  <c r="AB1286" i="1"/>
  <c r="AA1286" i="1"/>
  <c r="AF1285" i="1"/>
  <c r="AE1285" i="1"/>
  <c r="AD1285" i="1"/>
  <c r="AC1285" i="1"/>
  <c r="AB1285" i="1"/>
  <c r="AA1285" i="1"/>
  <c r="AF1284" i="1"/>
  <c r="AE1284" i="1"/>
  <c r="AD1284" i="1"/>
  <c r="AC1284" i="1"/>
  <c r="AB1284" i="1"/>
  <c r="AA1284" i="1"/>
  <c r="AF1283" i="1"/>
  <c r="AE1283" i="1"/>
  <c r="AD1283" i="1"/>
  <c r="AC1283" i="1"/>
  <c r="AB1283" i="1"/>
  <c r="AA1283" i="1"/>
  <c r="AF1282" i="1"/>
  <c r="AE1282" i="1"/>
  <c r="AD1282" i="1"/>
  <c r="AC1282" i="1"/>
  <c r="AB1282" i="1"/>
  <c r="AA1282" i="1"/>
  <c r="AF1281" i="1"/>
  <c r="AE1281" i="1"/>
  <c r="AD1281" i="1"/>
  <c r="AC1281" i="1"/>
  <c r="AB1281" i="1"/>
  <c r="AA1281" i="1"/>
  <c r="AF1280" i="1"/>
  <c r="AE1280" i="1"/>
  <c r="AD1280" i="1"/>
  <c r="AC1280" i="1"/>
  <c r="AB1280" i="1"/>
  <c r="AA1280" i="1"/>
  <c r="AF1279" i="1"/>
  <c r="AE1279" i="1"/>
  <c r="AD1279" i="1"/>
  <c r="AC1279" i="1"/>
  <c r="AB1279" i="1"/>
  <c r="AA1279" i="1"/>
  <c r="AF1278" i="1"/>
  <c r="AE1278" i="1"/>
  <c r="AD1278" i="1"/>
  <c r="AC1278" i="1"/>
  <c r="AB1278" i="1"/>
  <c r="AA1278" i="1"/>
  <c r="AF1277" i="1"/>
  <c r="AE1277" i="1"/>
  <c r="AD1277" i="1"/>
  <c r="AC1277" i="1"/>
  <c r="AB1277" i="1"/>
  <c r="AA1277" i="1"/>
  <c r="AF1276" i="1"/>
  <c r="AE1276" i="1"/>
  <c r="AD1276" i="1"/>
  <c r="AC1276" i="1"/>
  <c r="AB1276" i="1"/>
  <c r="AA1276" i="1"/>
  <c r="AF1275" i="1"/>
  <c r="AE1275" i="1"/>
  <c r="AD1275" i="1"/>
  <c r="AC1275" i="1"/>
  <c r="AB1275" i="1"/>
  <c r="AA1275" i="1"/>
  <c r="AF1274" i="1"/>
  <c r="AE1274" i="1"/>
  <c r="AD1274" i="1"/>
  <c r="AC1274" i="1"/>
  <c r="AB1274" i="1"/>
  <c r="AA1274" i="1"/>
  <c r="AF1273" i="1"/>
  <c r="AE1273" i="1"/>
  <c r="AD1273" i="1"/>
  <c r="AC1273" i="1"/>
  <c r="AB1273" i="1"/>
  <c r="AA1273" i="1"/>
  <c r="AF1272" i="1"/>
  <c r="AE1272" i="1"/>
  <c r="AD1272" i="1"/>
  <c r="AC1272" i="1"/>
  <c r="AB1272" i="1"/>
  <c r="AA1272" i="1"/>
  <c r="AF1271" i="1"/>
  <c r="AE1271" i="1"/>
  <c r="AD1271" i="1"/>
  <c r="AC1271" i="1"/>
  <c r="AB1271" i="1"/>
  <c r="AA1271" i="1"/>
  <c r="AF1270" i="1"/>
  <c r="AE1270" i="1"/>
  <c r="AD1270" i="1"/>
  <c r="AC1270" i="1"/>
  <c r="AB1270" i="1"/>
  <c r="AA1270" i="1"/>
  <c r="AF1269" i="1"/>
  <c r="AE1269" i="1"/>
  <c r="AD1269" i="1"/>
  <c r="AC1269" i="1"/>
  <c r="AB1269" i="1"/>
  <c r="AA1269" i="1"/>
  <c r="AF1268" i="1"/>
  <c r="AE1268" i="1"/>
  <c r="AD1268" i="1"/>
  <c r="AC1268" i="1"/>
  <c r="AB1268" i="1"/>
  <c r="AA1268" i="1"/>
  <c r="AF1267" i="1"/>
  <c r="AE1267" i="1"/>
  <c r="AD1267" i="1"/>
  <c r="AC1267" i="1"/>
  <c r="AB1267" i="1"/>
  <c r="AA1267" i="1"/>
  <c r="AF1266" i="1"/>
  <c r="AE1266" i="1"/>
  <c r="AD1266" i="1"/>
  <c r="AC1266" i="1"/>
  <c r="AB1266" i="1"/>
  <c r="AA1266" i="1"/>
  <c r="AF1265" i="1"/>
  <c r="AE1265" i="1"/>
  <c r="AD1265" i="1"/>
  <c r="AC1265" i="1"/>
  <c r="AB1265" i="1"/>
  <c r="AA1265" i="1"/>
  <c r="AF1264" i="1"/>
  <c r="AE1264" i="1"/>
  <c r="AD1264" i="1"/>
  <c r="AC1264" i="1"/>
  <c r="AB1264" i="1"/>
  <c r="AA1264" i="1"/>
  <c r="AF1263" i="1"/>
  <c r="AE1263" i="1"/>
  <c r="AD1263" i="1"/>
  <c r="AC1263" i="1"/>
  <c r="AB1263" i="1"/>
  <c r="AA1263" i="1"/>
  <c r="AF1262" i="1"/>
  <c r="AE1262" i="1"/>
  <c r="AD1262" i="1"/>
  <c r="AC1262" i="1"/>
  <c r="AB1262" i="1"/>
  <c r="AA1262" i="1"/>
  <c r="AF1261" i="1"/>
  <c r="AE1261" i="1"/>
  <c r="AD1261" i="1"/>
  <c r="AC1261" i="1"/>
  <c r="AB1261" i="1"/>
  <c r="AA1261" i="1"/>
  <c r="AF1260" i="1"/>
  <c r="AE1260" i="1"/>
  <c r="AD1260" i="1"/>
  <c r="AC1260" i="1"/>
  <c r="AB1260" i="1"/>
  <c r="AA1260" i="1"/>
  <c r="AF1259" i="1"/>
  <c r="AE1259" i="1"/>
  <c r="AD1259" i="1"/>
  <c r="AC1259" i="1"/>
  <c r="AB1259" i="1"/>
  <c r="AA1259" i="1"/>
  <c r="AF1258" i="1"/>
  <c r="AE1258" i="1"/>
  <c r="AD1258" i="1"/>
  <c r="AC1258" i="1"/>
  <c r="AB1258" i="1"/>
  <c r="AA1258" i="1"/>
  <c r="AF1257" i="1"/>
  <c r="AE1257" i="1"/>
  <c r="AD1257" i="1"/>
  <c r="AC1257" i="1"/>
  <c r="AB1257" i="1"/>
  <c r="AA1257" i="1"/>
  <c r="AF1256" i="1"/>
  <c r="AE1256" i="1"/>
  <c r="AD1256" i="1"/>
  <c r="AC1256" i="1"/>
  <c r="AB1256" i="1"/>
  <c r="AA1256" i="1"/>
  <c r="AF1255" i="1"/>
  <c r="AE1255" i="1"/>
  <c r="AD1255" i="1"/>
  <c r="AC1255" i="1"/>
  <c r="AB1255" i="1"/>
  <c r="AA1255" i="1"/>
  <c r="AF1254" i="1"/>
  <c r="AE1254" i="1"/>
  <c r="AD1254" i="1"/>
  <c r="AC1254" i="1"/>
  <c r="AB1254" i="1"/>
  <c r="AA1254" i="1"/>
  <c r="AF1253" i="1"/>
  <c r="AE1253" i="1"/>
  <c r="AD1253" i="1"/>
  <c r="AC1253" i="1"/>
  <c r="AB1253" i="1"/>
  <c r="AA1253" i="1"/>
  <c r="AF1252" i="1"/>
  <c r="AE1252" i="1"/>
  <c r="AD1252" i="1"/>
  <c r="AC1252" i="1"/>
  <c r="AB1252" i="1"/>
  <c r="AA1252" i="1"/>
  <c r="AF1251" i="1"/>
  <c r="AE1251" i="1"/>
  <c r="AD1251" i="1"/>
  <c r="AC1251" i="1"/>
  <c r="AB1251" i="1"/>
  <c r="AA1251" i="1"/>
  <c r="AF1250" i="1"/>
  <c r="AE1250" i="1"/>
  <c r="AD1250" i="1"/>
  <c r="AC1250" i="1"/>
  <c r="AB1250" i="1"/>
  <c r="AA1250" i="1"/>
  <c r="AF1249" i="1"/>
  <c r="AE1249" i="1"/>
  <c r="AD1249" i="1"/>
  <c r="AC1249" i="1"/>
  <c r="AB1249" i="1"/>
  <c r="AA1249" i="1"/>
  <c r="AF1248" i="1"/>
  <c r="AE1248" i="1"/>
  <c r="AD1248" i="1"/>
  <c r="AC1248" i="1"/>
  <c r="AB1248" i="1"/>
  <c r="AA1248" i="1"/>
  <c r="AF1247" i="1"/>
  <c r="AE1247" i="1"/>
  <c r="AD1247" i="1"/>
  <c r="AC1247" i="1"/>
  <c r="AB1247" i="1"/>
  <c r="AA1247" i="1"/>
  <c r="AF1246" i="1"/>
  <c r="AE1246" i="1"/>
  <c r="AD1246" i="1"/>
  <c r="AC1246" i="1"/>
  <c r="AB1246" i="1"/>
  <c r="AA1246" i="1"/>
  <c r="AF1245" i="1"/>
  <c r="AE1245" i="1"/>
  <c r="AD1245" i="1"/>
  <c r="AC1245" i="1"/>
  <c r="AB1245" i="1"/>
  <c r="AA1245" i="1"/>
  <c r="AF1244" i="1"/>
  <c r="AE1244" i="1"/>
  <c r="AD1244" i="1"/>
  <c r="AC1244" i="1"/>
  <c r="AB1244" i="1"/>
  <c r="AA1244" i="1"/>
  <c r="AF1243" i="1"/>
  <c r="AE1243" i="1"/>
  <c r="AD1243" i="1"/>
  <c r="AC1243" i="1"/>
  <c r="AB1243" i="1"/>
  <c r="AA1243" i="1"/>
  <c r="AF1242" i="1"/>
  <c r="AE1242" i="1"/>
  <c r="AD1242" i="1"/>
  <c r="AC1242" i="1"/>
  <c r="AB1242" i="1"/>
  <c r="AA1242" i="1"/>
  <c r="AF1241" i="1"/>
  <c r="AE1241" i="1"/>
  <c r="AD1241" i="1"/>
  <c r="AC1241" i="1"/>
  <c r="AB1241" i="1"/>
  <c r="AA1241" i="1"/>
  <c r="AF1240" i="1"/>
  <c r="AE1240" i="1"/>
  <c r="AD1240" i="1"/>
  <c r="AC1240" i="1"/>
  <c r="AB1240" i="1"/>
  <c r="AA1240" i="1"/>
  <c r="AF1239" i="1"/>
  <c r="AE1239" i="1"/>
  <c r="AD1239" i="1"/>
  <c r="AC1239" i="1"/>
  <c r="AB1239" i="1"/>
  <c r="AA1239" i="1"/>
  <c r="AF1238" i="1"/>
  <c r="AE1238" i="1"/>
  <c r="AD1238" i="1"/>
  <c r="AC1238" i="1"/>
  <c r="AB1238" i="1"/>
  <c r="AA1238" i="1"/>
  <c r="AF1237" i="1"/>
  <c r="AE1237" i="1"/>
  <c r="AD1237" i="1"/>
  <c r="AC1237" i="1"/>
  <c r="AB1237" i="1"/>
  <c r="AA1237" i="1"/>
  <c r="AF1236" i="1"/>
  <c r="AE1236" i="1"/>
  <c r="AD1236" i="1"/>
  <c r="AC1236" i="1"/>
  <c r="AB1236" i="1"/>
  <c r="AA1236" i="1"/>
  <c r="AF1235" i="1"/>
  <c r="AE1235" i="1"/>
  <c r="AD1235" i="1"/>
  <c r="AC1235" i="1"/>
  <c r="AB1235" i="1"/>
  <c r="AA1235" i="1"/>
  <c r="AF1234" i="1"/>
  <c r="AE1234" i="1"/>
  <c r="AD1234" i="1"/>
  <c r="AC1234" i="1"/>
  <c r="AB1234" i="1"/>
  <c r="AA1234" i="1"/>
  <c r="AF1233" i="1"/>
  <c r="AE1233" i="1"/>
  <c r="AD1233" i="1"/>
  <c r="AC1233" i="1"/>
  <c r="AB1233" i="1"/>
  <c r="AA1233" i="1"/>
  <c r="AF1232" i="1"/>
  <c r="AE1232" i="1"/>
  <c r="AD1232" i="1"/>
  <c r="AC1232" i="1"/>
  <c r="AB1232" i="1"/>
  <c r="AA1232" i="1"/>
  <c r="AF1231" i="1"/>
  <c r="AE1231" i="1"/>
  <c r="AD1231" i="1"/>
  <c r="AC1231" i="1"/>
  <c r="AB1231" i="1"/>
  <c r="AA1231" i="1"/>
  <c r="AF1230" i="1"/>
  <c r="AE1230" i="1"/>
  <c r="AD1230" i="1"/>
  <c r="AC1230" i="1"/>
  <c r="AB1230" i="1"/>
  <c r="AA1230" i="1"/>
  <c r="AF1229" i="1"/>
  <c r="AE1229" i="1"/>
  <c r="AD1229" i="1"/>
  <c r="AC1229" i="1"/>
  <c r="AB1229" i="1"/>
  <c r="AA1229" i="1"/>
  <c r="AF1228" i="1"/>
  <c r="AE1228" i="1"/>
  <c r="AD1228" i="1"/>
  <c r="AC1228" i="1"/>
  <c r="AB1228" i="1"/>
  <c r="AA1228" i="1"/>
  <c r="AF1227" i="1"/>
  <c r="AE1227" i="1"/>
  <c r="AD1227" i="1"/>
  <c r="AC1227" i="1"/>
  <c r="AB1227" i="1"/>
  <c r="AA1227" i="1"/>
  <c r="AF1226" i="1"/>
  <c r="AE1226" i="1"/>
  <c r="AD1226" i="1"/>
  <c r="AC1226" i="1"/>
  <c r="AB1226" i="1"/>
  <c r="AA1226" i="1"/>
  <c r="AF1225" i="1"/>
  <c r="AE1225" i="1"/>
  <c r="AD1225" i="1"/>
  <c r="AC1225" i="1"/>
  <c r="AB1225" i="1"/>
  <c r="AA1225" i="1"/>
  <c r="AF1224" i="1"/>
  <c r="AE1224" i="1"/>
  <c r="AD1224" i="1"/>
  <c r="AC1224" i="1"/>
  <c r="AB1224" i="1"/>
  <c r="AA1224" i="1"/>
  <c r="AF1223" i="1"/>
  <c r="AE1223" i="1"/>
  <c r="AD1223" i="1"/>
  <c r="AC1223" i="1"/>
  <c r="AB1223" i="1"/>
  <c r="AA1223" i="1"/>
  <c r="AF1222" i="1"/>
  <c r="AE1222" i="1"/>
  <c r="AD1222" i="1"/>
  <c r="AC1222" i="1"/>
  <c r="AB1222" i="1"/>
  <c r="AA1222" i="1"/>
  <c r="AF1221" i="1"/>
  <c r="AE1221" i="1"/>
  <c r="AD1221" i="1"/>
  <c r="AC1221" i="1"/>
  <c r="AB1221" i="1"/>
  <c r="AA1221" i="1"/>
  <c r="AF1220" i="1"/>
  <c r="AE1220" i="1"/>
  <c r="AD1220" i="1"/>
  <c r="AC1220" i="1"/>
  <c r="AB1220" i="1"/>
  <c r="AA1220" i="1"/>
  <c r="AF1219" i="1"/>
  <c r="AE1219" i="1"/>
  <c r="AD1219" i="1"/>
  <c r="AC1219" i="1"/>
  <c r="AB1219" i="1"/>
  <c r="AA1219" i="1"/>
  <c r="AF1218" i="1"/>
  <c r="AE1218" i="1"/>
  <c r="AD1218" i="1"/>
  <c r="AC1218" i="1"/>
  <c r="AB1218" i="1"/>
  <c r="AA1218" i="1"/>
  <c r="AF1217" i="1"/>
  <c r="AE1217" i="1"/>
  <c r="AD1217" i="1"/>
  <c r="AC1217" i="1"/>
  <c r="AB1217" i="1"/>
  <c r="AA1217" i="1"/>
  <c r="AF1216" i="1"/>
  <c r="AE1216" i="1"/>
  <c r="AD1216" i="1"/>
  <c r="AC1216" i="1"/>
  <c r="AB1216" i="1"/>
  <c r="AA1216" i="1"/>
  <c r="AF1215" i="1"/>
  <c r="AE1215" i="1"/>
  <c r="AD1215" i="1"/>
  <c r="AC1215" i="1"/>
  <c r="AB1215" i="1"/>
  <c r="AA1215" i="1"/>
  <c r="AF1214" i="1"/>
  <c r="AE1214" i="1"/>
  <c r="AD1214" i="1"/>
  <c r="AC1214" i="1"/>
  <c r="AB1214" i="1"/>
  <c r="AA1214" i="1"/>
  <c r="AF1213" i="1"/>
  <c r="AE1213" i="1"/>
  <c r="AD1213" i="1"/>
  <c r="AC1213" i="1"/>
  <c r="AB1213" i="1"/>
  <c r="AA1213" i="1"/>
  <c r="AF1212" i="1"/>
  <c r="AE1212" i="1"/>
  <c r="AD1212" i="1"/>
  <c r="AC1212" i="1"/>
  <c r="AB1212" i="1"/>
  <c r="AA1212" i="1"/>
  <c r="AF1211" i="1"/>
  <c r="AE1211" i="1"/>
  <c r="AD1211" i="1"/>
  <c r="AC1211" i="1"/>
  <c r="AB1211" i="1"/>
  <c r="AA1211" i="1"/>
  <c r="AF1210" i="1"/>
  <c r="AE1210" i="1"/>
  <c r="AD1210" i="1"/>
  <c r="AC1210" i="1"/>
  <c r="AB1210" i="1"/>
  <c r="AA1210" i="1"/>
  <c r="AF1209" i="1"/>
  <c r="AE1209" i="1"/>
  <c r="AD1209" i="1"/>
  <c r="AC1209" i="1"/>
  <c r="AB1209" i="1"/>
  <c r="AA1209" i="1"/>
  <c r="AF1208" i="1"/>
  <c r="AE1208" i="1"/>
  <c r="AD1208" i="1"/>
  <c r="AC1208" i="1"/>
  <c r="AB1208" i="1"/>
  <c r="AA1208" i="1"/>
  <c r="AF1207" i="1"/>
  <c r="AE1207" i="1"/>
  <c r="AD1207" i="1"/>
  <c r="AC1207" i="1"/>
  <c r="AB1207" i="1"/>
  <c r="AA1207" i="1"/>
  <c r="AF1206" i="1"/>
  <c r="AE1206" i="1"/>
  <c r="AD1206" i="1"/>
  <c r="AC1206" i="1"/>
  <c r="AB1206" i="1"/>
  <c r="AA1206" i="1"/>
  <c r="AF1205" i="1"/>
  <c r="AE1205" i="1"/>
  <c r="AD1205" i="1"/>
  <c r="AC1205" i="1"/>
  <c r="AB1205" i="1"/>
  <c r="AA1205" i="1"/>
  <c r="AF1204" i="1"/>
  <c r="AE1204" i="1"/>
  <c r="AD1204" i="1"/>
  <c r="AC1204" i="1"/>
  <c r="AB1204" i="1"/>
  <c r="AA1204" i="1"/>
  <c r="AF1203" i="1"/>
  <c r="AE1203" i="1"/>
  <c r="AD1203" i="1"/>
  <c r="AC1203" i="1"/>
  <c r="AB1203" i="1"/>
  <c r="AA1203" i="1"/>
  <c r="AF1202" i="1"/>
  <c r="AE1202" i="1"/>
  <c r="AD1202" i="1"/>
  <c r="AC1202" i="1"/>
  <c r="AB1202" i="1"/>
  <c r="AA1202" i="1"/>
  <c r="AF1201" i="1"/>
  <c r="AE1201" i="1"/>
  <c r="AD1201" i="1"/>
  <c r="AC1201" i="1"/>
  <c r="AB1201" i="1"/>
  <c r="AA1201" i="1"/>
  <c r="AF1200" i="1"/>
  <c r="AE1200" i="1"/>
  <c r="AD1200" i="1"/>
  <c r="AC1200" i="1"/>
  <c r="AB1200" i="1"/>
  <c r="AA1200" i="1"/>
  <c r="AF1199" i="1"/>
  <c r="AE1199" i="1"/>
  <c r="AD1199" i="1"/>
  <c r="AC1199" i="1"/>
  <c r="AB1199" i="1"/>
  <c r="AA1199" i="1"/>
  <c r="AF1198" i="1"/>
  <c r="AE1198" i="1"/>
  <c r="AD1198" i="1"/>
  <c r="AC1198" i="1"/>
  <c r="AB1198" i="1"/>
  <c r="AA1198" i="1"/>
  <c r="AF1197" i="1"/>
  <c r="AE1197" i="1"/>
  <c r="AD1197" i="1"/>
  <c r="AC1197" i="1"/>
  <c r="AB1197" i="1"/>
  <c r="AA1197" i="1"/>
  <c r="AF1196" i="1"/>
  <c r="AE1196" i="1"/>
  <c r="AD1196" i="1"/>
  <c r="AC1196" i="1"/>
  <c r="AB1196" i="1"/>
  <c r="AA1196" i="1"/>
  <c r="AF1195" i="1"/>
  <c r="AE1195" i="1"/>
  <c r="AD1195" i="1"/>
  <c r="AC1195" i="1"/>
  <c r="AB1195" i="1"/>
  <c r="AA1195" i="1"/>
  <c r="AF1194" i="1"/>
  <c r="AE1194" i="1"/>
  <c r="AD1194" i="1"/>
  <c r="AC1194" i="1"/>
  <c r="AB1194" i="1"/>
  <c r="AA1194" i="1"/>
  <c r="AF1193" i="1"/>
  <c r="AE1193" i="1"/>
  <c r="AD1193" i="1"/>
  <c r="AC1193" i="1"/>
  <c r="AB1193" i="1"/>
  <c r="AA1193" i="1"/>
  <c r="AF1192" i="1"/>
  <c r="AE1192" i="1"/>
  <c r="AD1192" i="1"/>
  <c r="AC1192" i="1"/>
  <c r="AB1192" i="1"/>
  <c r="AA1192" i="1"/>
  <c r="AF1191" i="1"/>
  <c r="AE1191" i="1"/>
  <c r="AD1191" i="1"/>
  <c r="AC1191" i="1"/>
  <c r="AB1191" i="1"/>
  <c r="AA1191" i="1"/>
  <c r="AF1190" i="1"/>
  <c r="AE1190" i="1"/>
  <c r="AD1190" i="1"/>
  <c r="AC1190" i="1"/>
  <c r="AB1190" i="1"/>
  <c r="AA1190" i="1"/>
  <c r="AF1189" i="1"/>
  <c r="AE1189" i="1"/>
  <c r="AD1189" i="1"/>
  <c r="AC1189" i="1"/>
  <c r="AB1189" i="1"/>
  <c r="AA1189" i="1"/>
  <c r="AF1188" i="1"/>
  <c r="AE1188" i="1"/>
  <c r="AD1188" i="1"/>
  <c r="AC1188" i="1"/>
  <c r="AB1188" i="1"/>
  <c r="AA1188" i="1"/>
  <c r="AF1187" i="1"/>
  <c r="AE1187" i="1"/>
  <c r="AD1187" i="1"/>
  <c r="AC1187" i="1"/>
  <c r="AB1187" i="1"/>
  <c r="AA1187" i="1"/>
  <c r="AF1186" i="1"/>
  <c r="AE1186" i="1"/>
  <c r="AD1186" i="1"/>
  <c r="AC1186" i="1"/>
  <c r="AB1186" i="1"/>
  <c r="AA1186" i="1"/>
  <c r="AF1185" i="1"/>
  <c r="AE1185" i="1"/>
  <c r="AD1185" i="1"/>
  <c r="AC1185" i="1"/>
  <c r="AB1185" i="1"/>
  <c r="AA1185" i="1"/>
  <c r="AF1184" i="1"/>
  <c r="AE1184" i="1"/>
  <c r="AD1184" i="1"/>
  <c r="AC1184" i="1"/>
  <c r="AB1184" i="1"/>
  <c r="AA1184" i="1"/>
  <c r="AF1183" i="1"/>
  <c r="AE1183" i="1"/>
  <c r="AD1183" i="1"/>
  <c r="AC1183" i="1"/>
  <c r="AB1183" i="1"/>
  <c r="AA1183" i="1"/>
  <c r="AF1182" i="1"/>
  <c r="AE1182" i="1"/>
  <c r="AD1182" i="1"/>
  <c r="AC1182" i="1"/>
  <c r="AB1182" i="1"/>
  <c r="AA1182" i="1"/>
  <c r="AF1181" i="1"/>
  <c r="AE1181" i="1"/>
  <c r="AD1181" i="1"/>
  <c r="AC1181" i="1"/>
  <c r="AB1181" i="1"/>
  <c r="AA1181" i="1"/>
  <c r="AF1180" i="1"/>
  <c r="AE1180" i="1"/>
  <c r="AD1180" i="1"/>
  <c r="AC1180" i="1"/>
  <c r="AB1180" i="1"/>
  <c r="AA1180" i="1"/>
  <c r="AF1179" i="1"/>
  <c r="AE1179" i="1"/>
  <c r="AD1179" i="1"/>
  <c r="AC1179" i="1"/>
  <c r="AB1179" i="1"/>
  <c r="AA1179" i="1"/>
  <c r="AF1178" i="1"/>
  <c r="AE1178" i="1"/>
  <c r="AD1178" i="1"/>
  <c r="AC1178" i="1"/>
  <c r="AB1178" i="1"/>
  <c r="AA1178" i="1"/>
  <c r="AF1177" i="1"/>
  <c r="AE1177" i="1"/>
  <c r="AD1177" i="1"/>
  <c r="AC1177" i="1"/>
  <c r="AB1177" i="1"/>
  <c r="AA1177" i="1"/>
  <c r="AF1176" i="1"/>
  <c r="AE1176" i="1"/>
  <c r="AD1176" i="1"/>
  <c r="AC1176" i="1"/>
  <c r="AB1176" i="1"/>
  <c r="AA1176" i="1"/>
  <c r="AF1175" i="1"/>
  <c r="AE1175" i="1"/>
  <c r="AD1175" i="1"/>
  <c r="AC1175" i="1"/>
  <c r="AB1175" i="1"/>
  <c r="AA1175" i="1"/>
  <c r="AF1174" i="1"/>
  <c r="AE1174" i="1"/>
  <c r="AD1174" i="1"/>
  <c r="AC1174" i="1"/>
  <c r="AB1174" i="1"/>
  <c r="AA1174" i="1"/>
  <c r="AF1173" i="1"/>
  <c r="AE1173" i="1"/>
  <c r="AD1173" i="1"/>
  <c r="AC1173" i="1"/>
  <c r="AB1173" i="1"/>
  <c r="AA1173" i="1"/>
  <c r="AF1172" i="1"/>
  <c r="AE1172" i="1"/>
  <c r="AD1172" i="1"/>
  <c r="AC1172" i="1"/>
  <c r="AB1172" i="1"/>
  <c r="AA1172" i="1"/>
  <c r="AF1171" i="1"/>
  <c r="AE1171" i="1"/>
  <c r="AD1171" i="1"/>
  <c r="AC1171" i="1"/>
  <c r="AB1171" i="1"/>
  <c r="AA1171" i="1"/>
  <c r="AF1170" i="1"/>
  <c r="AE1170" i="1"/>
  <c r="AD1170" i="1"/>
  <c r="AC1170" i="1"/>
  <c r="AB1170" i="1"/>
  <c r="AA1170" i="1"/>
  <c r="AF1169" i="1"/>
  <c r="AE1169" i="1"/>
  <c r="AD1169" i="1"/>
  <c r="AC1169" i="1"/>
  <c r="AB1169" i="1"/>
  <c r="AA1169" i="1"/>
  <c r="AF1168" i="1"/>
  <c r="AE1168" i="1"/>
  <c r="AD1168" i="1"/>
  <c r="AC1168" i="1"/>
  <c r="AB1168" i="1"/>
  <c r="AA1168" i="1"/>
  <c r="AF1167" i="1"/>
  <c r="AE1167" i="1"/>
  <c r="AD1167" i="1"/>
  <c r="AC1167" i="1"/>
  <c r="AB1167" i="1"/>
  <c r="AA1167" i="1"/>
  <c r="AF1166" i="1"/>
  <c r="AE1166" i="1"/>
  <c r="AD1166" i="1"/>
  <c r="AC1166" i="1"/>
  <c r="AB1166" i="1"/>
  <c r="AA1166" i="1"/>
  <c r="AF1165" i="1"/>
  <c r="AE1165" i="1"/>
  <c r="AD1165" i="1"/>
  <c r="AC1165" i="1"/>
  <c r="AB1165" i="1"/>
  <c r="AA1165" i="1"/>
  <c r="AF1164" i="1"/>
  <c r="AE1164" i="1"/>
  <c r="AD1164" i="1"/>
  <c r="AC1164" i="1"/>
  <c r="AB1164" i="1"/>
  <c r="AA1164" i="1"/>
  <c r="AF1163" i="1"/>
  <c r="AE1163" i="1"/>
  <c r="AD1163" i="1"/>
  <c r="AC1163" i="1"/>
  <c r="AB1163" i="1"/>
  <c r="AA1163" i="1"/>
  <c r="AF1162" i="1"/>
  <c r="AE1162" i="1"/>
  <c r="AD1162" i="1"/>
  <c r="AC1162" i="1"/>
  <c r="AB1162" i="1"/>
  <c r="AA1162" i="1"/>
  <c r="AF1161" i="1"/>
  <c r="AE1161" i="1"/>
  <c r="AD1161" i="1"/>
  <c r="AC1161" i="1"/>
  <c r="AB1161" i="1"/>
  <c r="AA1161" i="1"/>
  <c r="AF1160" i="1"/>
  <c r="AE1160" i="1"/>
  <c r="AD1160" i="1"/>
  <c r="AC1160" i="1"/>
  <c r="AB1160" i="1"/>
  <c r="AA1160" i="1"/>
  <c r="AF1159" i="1"/>
  <c r="AE1159" i="1"/>
  <c r="AD1159" i="1"/>
  <c r="AC1159" i="1"/>
  <c r="AB1159" i="1"/>
  <c r="AA1159" i="1"/>
  <c r="AF1158" i="1"/>
  <c r="AE1158" i="1"/>
  <c r="AD1158" i="1"/>
  <c r="AC1158" i="1"/>
  <c r="AB1158" i="1"/>
  <c r="AA1158" i="1"/>
  <c r="AF1157" i="1"/>
  <c r="AE1157" i="1"/>
  <c r="AD1157" i="1"/>
  <c r="AC1157" i="1"/>
  <c r="AB1157" i="1"/>
  <c r="AA1157" i="1"/>
  <c r="AF1156" i="1"/>
  <c r="AE1156" i="1"/>
  <c r="AD1156" i="1"/>
  <c r="AC1156" i="1"/>
  <c r="AB1156" i="1"/>
  <c r="AA1156" i="1"/>
  <c r="AF1155" i="1"/>
  <c r="AE1155" i="1"/>
  <c r="AD1155" i="1"/>
  <c r="AC1155" i="1"/>
  <c r="AB1155" i="1"/>
  <c r="AA1155" i="1"/>
  <c r="AF1154" i="1"/>
  <c r="AE1154" i="1"/>
  <c r="AD1154" i="1"/>
  <c r="AC1154" i="1"/>
  <c r="AB1154" i="1"/>
  <c r="AA1154" i="1"/>
  <c r="AF1153" i="1"/>
  <c r="AE1153" i="1"/>
  <c r="AD1153" i="1"/>
  <c r="AC1153" i="1"/>
  <c r="AB1153" i="1"/>
  <c r="AA1153" i="1"/>
  <c r="AF1152" i="1"/>
  <c r="AE1152" i="1"/>
  <c r="AD1152" i="1"/>
  <c r="AC1152" i="1"/>
  <c r="AB1152" i="1"/>
  <c r="AA1152" i="1"/>
  <c r="AF1151" i="1"/>
  <c r="AE1151" i="1"/>
  <c r="AD1151" i="1"/>
  <c r="AC1151" i="1"/>
  <c r="AB1151" i="1"/>
  <c r="AA1151" i="1"/>
  <c r="AF1150" i="1"/>
  <c r="AE1150" i="1"/>
  <c r="AD1150" i="1"/>
  <c r="AC1150" i="1"/>
  <c r="AB1150" i="1"/>
  <c r="AA1150" i="1"/>
  <c r="AF1149" i="1"/>
  <c r="AE1149" i="1"/>
  <c r="AD1149" i="1"/>
  <c r="AC1149" i="1"/>
  <c r="AB1149" i="1"/>
  <c r="AA1149" i="1"/>
  <c r="AF1148" i="1"/>
  <c r="AE1148" i="1"/>
  <c r="AD1148" i="1"/>
  <c r="AC1148" i="1"/>
  <c r="AB1148" i="1"/>
  <c r="AA1148" i="1"/>
  <c r="AF1147" i="1"/>
  <c r="AE1147" i="1"/>
  <c r="AD1147" i="1"/>
  <c r="AC1147" i="1"/>
  <c r="AB1147" i="1"/>
  <c r="AA1147" i="1"/>
  <c r="AF1146" i="1"/>
  <c r="AE1146" i="1"/>
  <c r="AD1146" i="1"/>
  <c r="AC1146" i="1"/>
  <c r="AB1146" i="1"/>
  <c r="AA1146" i="1"/>
  <c r="AF1145" i="1"/>
  <c r="AE1145" i="1"/>
  <c r="AD1145" i="1"/>
  <c r="AC1145" i="1"/>
  <c r="AB1145" i="1"/>
  <c r="AA1145" i="1"/>
  <c r="AF1144" i="1"/>
  <c r="AE1144" i="1"/>
  <c r="AD1144" i="1"/>
  <c r="AC1144" i="1"/>
  <c r="AB1144" i="1"/>
  <c r="AA1144" i="1"/>
  <c r="AF1143" i="1"/>
  <c r="AE1143" i="1"/>
  <c r="AD1143" i="1"/>
  <c r="AC1143" i="1"/>
  <c r="AB1143" i="1"/>
  <c r="AA1143" i="1"/>
  <c r="AF1142" i="1"/>
  <c r="AE1142" i="1"/>
  <c r="AD1142" i="1"/>
  <c r="AC1142" i="1"/>
  <c r="AB1142" i="1"/>
  <c r="AA1142" i="1"/>
  <c r="AF1141" i="1"/>
  <c r="AE1141" i="1"/>
  <c r="AD1141" i="1"/>
  <c r="AC1141" i="1"/>
  <c r="AB1141" i="1"/>
  <c r="AA1141" i="1"/>
  <c r="AF1140" i="1"/>
  <c r="AE1140" i="1"/>
  <c r="AD1140" i="1"/>
  <c r="AC1140" i="1"/>
  <c r="AB1140" i="1"/>
  <c r="AA1140" i="1"/>
  <c r="AF1139" i="1"/>
  <c r="AE1139" i="1"/>
  <c r="AD1139" i="1"/>
  <c r="AC1139" i="1"/>
  <c r="AB1139" i="1"/>
  <c r="AA1139" i="1"/>
  <c r="AF1138" i="1"/>
  <c r="AE1138" i="1"/>
  <c r="AD1138" i="1"/>
  <c r="AC1138" i="1"/>
  <c r="AB1138" i="1"/>
  <c r="AA1138" i="1"/>
  <c r="AF1137" i="1"/>
  <c r="AE1137" i="1"/>
  <c r="AD1137" i="1"/>
  <c r="AC1137" i="1"/>
  <c r="AB1137" i="1"/>
  <c r="AA1137" i="1"/>
  <c r="AF1136" i="1"/>
  <c r="AE1136" i="1"/>
  <c r="AD1136" i="1"/>
  <c r="AC1136" i="1"/>
  <c r="AB1136" i="1"/>
  <c r="AA1136" i="1"/>
  <c r="AF1135" i="1"/>
  <c r="AE1135" i="1"/>
  <c r="AD1135" i="1"/>
  <c r="AC1135" i="1"/>
  <c r="AB1135" i="1"/>
  <c r="AA1135" i="1"/>
  <c r="AF1134" i="1"/>
  <c r="AE1134" i="1"/>
  <c r="AD1134" i="1"/>
  <c r="AC1134" i="1"/>
  <c r="AB1134" i="1"/>
  <c r="AA1134" i="1"/>
  <c r="AF1133" i="1"/>
  <c r="AE1133" i="1"/>
  <c r="AD1133" i="1"/>
  <c r="AC1133" i="1"/>
  <c r="AB1133" i="1"/>
  <c r="AA1133" i="1"/>
  <c r="AF1132" i="1"/>
  <c r="AE1132" i="1"/>
  <c r="AD1132" i="1"/>
  <c r="AC1132" i="1"/>
  <c r="AB1132" i="1"/>
  <c r="AA1132" i="1"/>
  <c r="AF1131" i="1"/>
  <c r="AE1131" i="1"/>
  <c r="AD1131" i="1"/>
  <c r="AC1131" i="1"/>
  <c r="AB1131" i="1"/>
  <c r="AA1131" i="1"/>
  <c r="AF1130" i="1"/>
  <c r="AE1130" i="1"/>
  <c r="AD1130" i="1"/>
  <c r="AC1130" i="1"/>
  <c r="AB1130" i="1"/>
  <c r="AA1130" i="1"/>
  <c r="AF1129" i="1"/>
  <c r="AE1129" i="1"/>
  <c r="AD1129" i="1"/>
  <c r="AC1129" i="1"/>
  <c r="AB1129" i="1"/>
  <c r="AA1129" i="1"/>
  <c r="AF1128" i="1"/>
  <c r="AE1128" i="1"/>
  <c r="AD1128" i="1"/>
  <c r="AC1128" i="1"/>
  <c r="AB1128" i="1"/>
  <c r="AA1128" i="1"/>
  <c r="AF1127" i="1"/>
  <c r="AE1127" i="1"/>
  <c r="AD1127" i="1"/>
  <c r="AC1127" i="1"/>
  <c r="AB1127" i="1"/>
  <c r="AA1127" i="1"/>
  <c r="AF1126" i="1"/>
  <c r="AE1126" i="1"/>
  <c r="AD1126" i="1"/>
  <c r="AC1126" i="1"/>
  <c r="AB1126" i="1"/>
  <c r="AA1126" i="1"/>
  <c r="AF1125" i="1"/>
  <c r="AE1125" i="1"/>
  <c r="AD1125" i="1"/>
  <c r="AC1125" i="1"/>
  <c r="AB1125" i="1"/>
  <c r="AA1125" i="1"/>
  <c r="AF1124" i="1"/>
  <c r="AE1124" i="1"/>
  <c r="AD1124" i="1"/>
  <c r="AC1124" i="1"/>
  <c r="AB1124" i="1"/>
  <c r="AA1124" i="1"/>
  <c r="AF1123" i="1"/>
  <c r="AE1123" i="1"/>
  <c r="AD1123" i="1"/>
  <c r="AC1123" i="1"/>
  <c r="AB1123" i="1"/>
  <c r="AA1123" i="1"/>
  <c r="AF1122" i="1"/>
  <c r="AE1122" i="1"/>
  <c r="AD1122" i="1"/>
  <c r="AC1122" i="1"/>
  <c r="AB1122" i="1"/>
  <c r="AA1122" i="1"/>
  <c r="AF1121" i="1"/>
  <c r="AE1121" i="1"/>
  <c r="AD1121" i="1"/>
  <c r="AC1121" i="1"/>
  <c r="AB1121" i="1"/>
  <c r="AA1121" i="1"/>
  <c r="AF1120" i="1"/>
  <c r="AE1120" i="1"/>
  <c r="AD1120" i="1"/>
  <c r="AC1120" i="1"/>
  <c r="AB1120" i="1"/>
  <c r="AA1120" i="1"/>
  <c r="AF1119" i="1"/>
  <c r="AE1119" i="1"/>
  <c r="AD1119" i="1"/>
  <c r="AC1119" i="1"/>
  <c r="AB1119" i="1"/>
  <c r="AA1119" i="1"/>
  <c r="AF1118" i="1"/>
  <c r="AE1118" i="1"/>
  <c r="AD1118" i="1"/>
  <c r="AC1118" i="1"/>
  <c r="AB1118" i="1"/>
  <c r="AA1118" i="1"/>
  <c r="AF1117" i="1"/>
  <c r="AE1117" i="1"/>
  <c r="AD1117" i="1"/>
  <c r="AC1117" i="1"/>
  <c r="AB1117" i="1"/>
  <c r="AA1117" i="1"/>
  <c r="AF1116" i="1"/>
  <c r="AE1116" i="1"/>
  <c r="AD1116" i="1"/>
  <c r="AC1116" i="1"/>
  <c r="AB1116" i="1"/>
  <c r="AA1116" i="1"/>
  <c r="AF1115" i="1"/>
  <c r="AE1115" i="1"/>
  <c r="AD1115" i="1"/>
  <c r="AC1115" i="1"/>
  <c r="AB1115" i="1"/>
  <c r="AA1115" i="1"/>
  <c r="AF1114" i="1"/>
  <c r="AE1114" i="1"/>
  <c r="AD1114" i="1"/>
  <c r="AC1114" i="1"/>
  <c r="AB1114" i="1"/>
  <c r="AA1114" i="1"/>
  <c r="AF1113" i="1"/>
  <c r="AE1113" i="1"/>
  <c r="AD1113" i="1"/>
  <c r="AC1113" i="1"/>
  <c r="AB1113" i="1"/>
  <c r="AA1113" i="1"/>
  <c r="AF1112" i="1"/>
  <c r="AE1112" i="1"/>
  <c r="AD1112" i="1"/>
  <c r="AC1112" i="1"/>
  <c r="AB1112" i="1"/>
  <c r="AA1112" i="1"/>
  <c r="AF1111" i="1"/>
  <c r="AE1111" i="1"/>
  <c r="AD1111" i="1"/>
  <c r="AC1111" i="1"/>
  <c r="AB1111" i="1"/>
  <c r="AA1111" i="1"/>
  <c r="AF1110" i="1"/>
  <c r="AE1110" i="1"/>
  <c r="AD1110" i="1"/>
  <c r="AC1110" i="1"/>
  <c r="AB1110" i="1"/>
  <c r="AA1110" i="1"/>
  <c r="AF1109" i="1"/>
  <c r="AE1109" i="1"/>
  <c r="AD1109" i="1"/>
  <c r="AC1109" i="1"/>
  <c r="AB1109" i="1"/>
  <c r="AA1109" i="1"/>
  <c r="AF1108" i="1"/>
  <c r="AE1108" i="1"/>
  <c r="AD1108" i="1"/>
  <c r="AC1108" i="1"/>
  <c r="AB1108" i="1"/>
  <c r="AA1108" i="1"/>
  <c r="AF1107" i="1"/>
  <c r="AE1107" i="1"/>
  <c r="AD1107" i="1"/>
  <c r="AC1107" i="1"/>
  <c r="AB1107" i="1"/>
  <c r="AA1107" i="1"/>
  <c r="AF1106" i="1"/>
  <c r="AE1106" i="1"/>
  <c r="AD1106" i="1"/>
  <c r="AC1106" i="1"/>
  <c r="AB1106" i="1"/>
  <c r="AA1106" i="1"/>
  <c r="AF1105" i="1"/>
  <c r="AE1105" i="1"/>
  <c r="AD1105" i="1"/>
  <c r="AC1105" i="1"/>
  <c r="AB1105" i="1"/>
  <c r="AA1105" i="1"/>
  <c r="AF1104" i="1"/>
  <c r="AE1104" i="1"/>
  <c r="AD1104" i="1"/>
  <c r="AC1104" i="1"/>
  <c r="AB1104" i="1"/>
  <c r="AA1104" i="1"/>
  <c r="AF1103" i="1"/>
  <c r="AE1103" i="1"/>
  <c r="AD1103" i="1"/>
  <c r="AC1103" i="1"/>
  <c r="AB1103" i="1"/>
  <c r="AA1103" i="1"/>
  <c r="AF1102" i="1"/>
  <c r="AE1102" i="1"/>
  <c r="AD1102" i="1"/>
  <c r="AC1102" i="1"/>
  <c r="AB1102" i="1"/>
  <c r="AA1102" i="1"/>
  <c r="AF1101" i="1"/>
  <c r="AE1101" i="1"/>
  <c r="AD1101" i="1"/>
  <c r="AC1101" i="1"/>
  <c r="AB1101" i="1"/>
  <c r="AA1101" i="1"/>
  <c r="AF1100" i="1"/>
  <c r="AE1100" i="1"/>
  <c r="AD1100" i="1"/>
  <c r="AC1100" i="1"/>
  <c r="AB1100" i="1"/>
  <c r="AA1100" i="1"/>
  <c r="AF1099" i="1"/>
  <c r="AE1099" i="1"/>
  <c r="AD1099" i="1"/>
  <c r="AC1099" i="1"/>
  <c r="AB1099" i="1"/>
  <c r="AA1099" i="1"/>
  <c r="AF1098" i="1"/>
  <c r="AE1098" i="1"/>
  <c r="AD1098" i="1"/>
  <c r="AC1098" i="1"/>
  <c r="AB1098" i="1"/>
  <c r="AA1098" i="1"/>
  <c r="AF1097" i="1"/>
  <c r="AE1097" i="1"/>
  <c r="AD1097" i="1"/>
  <c r="AC1097" i="1"/>
  <c r="AB1097" i="1"/>
  <c r="AA1097" i="1"/>
  <c r="AF1096" i="1"/>
  <c r="AE1096" i="1"/>
  <c r="AD1096" i="1"/>
  <c r="AC1096" i="1"/>
  <c r="AB1096" i="1"/>
  <c r="AA1096" i="1"/>
  <c r="AF1095" i="1"/>
  <c r="AE1095" i="1"/>
  <c r="AD1095" i="1"/>
  <c r="AC1095" i="1"/>
  <c r="AB1095" i="1"/>
  <c r="AA1095" i="1"/>
  <c r="AF1094" i="1"/>
  <c r="AE1094" i="1"/>
  <c r="AD1094" i="1"/>
  <c r="AC1094" i="1"/>
  <c r="AB1094" i="1"/>
  <c r="AA1094" i="1"/>
  <c r="AF1093" i="1"/>
  <c r="AE1093" i="1"/>
  <c r="AD1093" i="1"/>
  <c r="AC1093" i="1"/>
  <c r="AB1093" i="1"/>
  <c r="AA1093" i="1"/>
  <c r="AF1092" i="1"/>
  <c r="AE1092" i="1"/>
  <c r="AD1092" i="1"/>
  <c r="AC1092" i="1"/>
  <c r="AB1092" i="1"/>
  <c r="AA1092" i="1"/>
  <c r="AF1091" i="1"/>
  <c r="AE1091" i="1"/>
  <c r="AD1091" i="1"/>
  <c r="AC1091" i="1"/>
  <c r="AB1091" i="1"/>
  <c r="AA1091" i="1"/>
  <c r="AF1090" i="1"/>
  <c r="AE1090" i="1"/>
  <c r="AD1090" i="1"/>
  <c r="AC1090" i="1"/>
  <c r="AB1090" i="1"/>
  <c r="AA1090" i="1"/>
  <c r="AF1089" i="1"/>
  <c r="AE1089" i="1"/>
  <c r="AD1089" i="1"/>
  <c r="AC1089" i="1"/>
  <c r="AB1089" i="1"/>
  <c r="AA1089" i="1"/>
  <c r="AF1088" i="1"/>
  <c r="AE1088" i="1"/>
  <c r="AD1088" i="1"/>
  <c r="AC1088" i="1"/>
  <c r="AB1088" i="1"/>
  <c r="AA1088" i="1"/>
  <c r="AF1087" i="1"/>
  <c r="AE1087" i="1"/>
  <c r="AD1087" i="1"/>
  <c r="AC1087" i="1"/>
  <c r="AB1087" i="1"/>
  <c r="AA1087" i="1"/>
  <c r="AF1086" i="1"/>
  <c r="AE1086" i="1"/>
  <c r="AD1086" i="1"/>
  <c r="AC1086" i="1"/>
  <c r="AB1086" i="1"/>
  <c r="AA1086" i="1"/>
  <c r="AF1085" i="1"/>
  <c r="AE1085" i="1"/>
  <c r="AD1085" i="1"/>
  <c r="AC1085" i="1"/>
  <c r="AB1085" i="1"/>
  <c r="AA1085" i="1"/>
  <c r="AF1084" i="1"/>
  <c r="AE1084" i="1"/>
  <c r="AD1084" i="1"/>
  <c r="AC1084" i="1"/>
  <c r="AB1084" i="1"/>
  <c r="AA1084" i="1"/>
  <c r="AF1083" i="1"/>
  <c r="AE1083" i="1"/>
  <c r="AD1083" i="1"/>
  <c r="AC1083" i="1"/>
  <c r="AB1083" i="1"/>
  <c r="AA1083" i="1"/>
  <c r="AF1082" i="1"/>
  <c r="AE1082" i="1"/>
  <c r="AD1082" i="1"/>
  <c r="AC1082" i="1"/>
  <c r="AB1082" i="1"/>
  <c r="AA1082" i="1"/>
  <c r="AF1081" i="1"/>
  <c r="AE1081" i="1"/>
  <c r="AD1081" i="1"/>
  <c r="AC1081" i="1"/>
  <c r="AB1081" i="1"/>
  <c r="AA1081" i="1"/>
  <c r="AF1080" i="1"/>
  <c r="AE1080" i="1"/>
  <c r="AD1080" i="1"/>
  <c r="AC1080" i="1"/>
  <c r="AB1080" i="1"/>
  <c r="AA1080" i="1"/>
  <c r="AF1079" i="1"/>
  <c r="AE1079" i="1"/>
  <c r="AD1079" i="1"/>
  <c r="AC1079" i="1"/>
  <c r="AB1079" i="1"/>
  <c r="AA1079" i="1"/>
  <c r="AF1078" i="1"/>
  <c r="AE1078" i="1"/>
  <c r="AD1078" i="1"/>
  <c r="AC1078" i="1"/>
  <c r="AB1078" i="1"/>
  <c r="AA1078" i="1"/>
  <c r="AF1077" i="1"/>
  <c r="AE1077" i="1"/>
  <c r="AD1077" i="1"/>
  <c r="AC1077" i="1"/>
  <c r="AB1077" i="1"/>
  <c r="AA1077" i="1"/>
  <c r="AF1076" i="1"/>
  <c r="AE1076" i="1"/>
  <c r="AD1076" i="1"/>
  <c r="AC1076" i="1"/>
  <c r="AB1076" i="1"/>
  <c r="AA1076" i="1"/>
  <c r="AF1075" i="1"/>
  <c r="AE1075" i="1"/>
  <c r="AD1075" i="1"/>
  <c r="AC1075" i="1"/>
  <c r="AB1075" i="1"/>
  <c r="AA1075" i="1"/>
  <c r="AF1074" i="1"/>
  <c r="AE1074" i="1"/>
  <c r="AD1074" i="1"/>
  <c r="AC1074" i="1"/>
  <c r="AB1074" i="1"/>
  <c r="AA1074" i="1"/>
  <c r="AF1073" i="1"/>
  <c r="AE1073" i="1"/>
  <c r="AD1073" i="1"/>
  <c r="AC1073" i="1"/>
  <c r="AB1073" i="1"/>
  <c r="AA1073" i="1"/>
  <c r="AF1072" i="1"/>
  <c r="AE1072" i="1"/>
  <c r="AD1072" i="1"/>
  <c r="AC1072" i="1"/>
  <c r="AB1072" i="1"/>
  <c r="AA1072" i="1"/>
  <c r="AF1071" i="1"/>
  <c r="AE1071" i="1"/>
  <c r="AD1071" i="1"/>
  <c r="AC1071" i="1"/>
  <c r="AB1071" i="1"/>
  <c r="AA1071" i="1"/>
  <c r="AF1070" i="1"/>
  <c r="AE1070" i="1"/>
  <c r="AD1070" i="1"/>
  <c r="AC1070" i="1"/>
  <c r="AB1070" i="1"/>
  <c r="AA1070" i="1"/>
  <c r="AF1069" i="1"/>
  <c r="AE1069" i="1"/>
  <c r="AD1069" i="1"/>
  <c r="AC1069" i="1"/>
  <c r="AB1069" i="1"/>
  <c r="AA1069" i="1"/>
  <c r="AF1068" i="1"/>
  <c r="AE1068" i="1"/>
  <c r="AD1068" i="1"/>
  <c r="AC1068" i="1"/>
  <c r="AB1068" i="1"/>
  <c r="AA1068" i="1"/>
  <c r="AF1067" i="1"/>
  <c r="AE1067" i="1"/>
  <c r="AD1067" i="1"/>
  <c r="AC1067" i="1"/>
  <c r="AB1067" i="1"/>
  <c r="AA1067" i="1"/>
  <c r="AF1066" i="1"/>
  <c r="AE1066" i="1"/>
  <c r="AD1066" i="1"/>
  <c r="AC1066" i="1"/>
  <c r="AB1066" i="1"/>
  <c r="AA1066" i="1"/>
  <c r="AF1065" i="1"/>
  <c r="AE1065" i="1"/>
  <c r="AD1065" i="1"/>
  <c r="AC1065" i="1"/>
  <c r="AB1065" i="1"/>
  <c r="AA1065" i="1"/>
  <c r="AF1064" i="1"/>
  <c r="AE1064" i="1"/>
  <c r="AD1064" i="1"/>
  <c r="AC1064" i="1"/>
  <c r="AB1064" i="1"/>
  <c r="AA1064" i="1"/>
  <c r="AF1063" i="1"/>
  <c r="AE1063" i="1"/>
  <c r="AD1063" i="1"/>
  <c r="AC1063" i="1"/>
  <c r="AB1063" i="1"/>
  <c r="AA1063" i="1"/>
  <c r="AF1062" i="1"/>
  <c r="AE1062" i="1"/>
  <c r="AD1062" i="1"/>
  <c r="AC1062" i="1"/>
  <c r="AB1062" i="1"/>
  <c r="AA1062" i="1"/>
  <c r="AF1061" i="1"/>
  <c r="AE1061" i="1"/>
  <c r="AD1061" i="1"/>
  <c r="AC1061" i="1"/>
  <c r="AB1061" i="1"/>
  <c r="AA1061" i="1"/>
  <c r="AF1060" i="1"/>
  <c r="AE1060" i="1"/>
  <c r="AD1060" i="1"/>
  <c r="AC1060" i="1"/>
  <c r="AB1060" i="1"/>
  <c r="AA1060" i="1"/>
  <c r="AF1059" i="1"/>
  <c r="AE1059" i="1"/>
  <c r="AD1059" i="1"/>
  <c r="AC1059" i="1"/>
  <c r="AB1059" i="1"/>
  <c r="AA1059" i="1"/>
  <c r="AF1058" i="1"/>
  <c r="AE1058" i="1"/>
  <c r="AD1058" i="1"/>
  <c r="AC1058" i="1"/>
  <c r="AB1058" i="1"/>
  <c r="AA1058" i="1"/>
  <c r="AF1057" i="1"/>
  <c r="AE1057" i="1"/>
  <c r="AD1057" i="1"/>
  <c r="AC1057" i="1"/>
  <c r="AB1057" i="1"/>
  <c r="AA1057" i="1"/>
  <c r="AF1056" i="1"/>
  <c r="AE1056" i="1"/>
  <c r="AD1056" i="1"/>
  <c r="AC1056" i="1"/>
  <c r="AB1056" i="1"/>
  <c r="AA1056" i="1"/>
  <c r="AF1055" i="1"/>
  <c r="AE1055" i="1"/>
  <c r="AD1055" i="1"/>
  <c r="AC1055" i="1"/>
  <c r="AB1055" i="1"/>
  <c r="AA1055" i="1"/>
  <c r="AF1054" i="1"/>
  <c r="AE1054" i="1"/>
  <c r="AD1054" i="1"/>
  <c r="AC1054" i="1"/>
  <c r="AB1054" i="1"/>
  <c r="AA1054" i="1"/>
  <c r="AF1053" i="1"/>
  <c r="AE1053" i="1"/>
  <c r="AD1053" i="1"/>
  <c r="AC1053" i="1"/>
  <c r="AB1053" i="1"/>
  <c r="AA1053" i="1"/>
  <c r="AF1052" i="1"/>
  <c r="AE1052" i="1"/>
  <c r="AD1052" i="1"/>
  <c r="AC1052" i="1"/>
  <c r="AB1052" i="1"/>
  <c r="AA1052" i="1"/>
  <c r="AF1051" i="1"/>
  <c r="AE1051" i="1"/>
  <c r="AD1051" i="1"/>
  <c r="AC1051" i="1"/>
  <c r="AB1051" i="1"/>
  <c r="AA1051" i="1"/>
  <c r="AF1050" i="1"/>
  <c r="AE1050" i="1"/>
  <c r="AD1050" i="1"/>
  <c r="AC1050" i="1"/>
  <c r="AB1050" i="1"/>
  <c r="AA1050" i="1"/>
  <c r="AF1049" i="1"/>
  <c r="AE1049" i="1"/>
  <c r="AD1049" i="1"/>
  <c r="AC1049" i="1"/>
  <c r="AB1049" i="1"/>
  <c r="AA1049" i="1"/>
  <c r="AF1048" i="1"/>
  <c r="AE1048" i="1"/>
  <c r="AD1048" i="1"/>
  <c r="AC1048" i="1"/>
  <c r="AB1048" i="1"/>
  <c r="AA1048" i="1"/>
  <c r="AF1047" i="1"/>
  <c r="AE1047" i="1"/>
  <c r="AD1047" i="1"/>
  <c r="AC1047" i="1"/>
  <c r="AB1047" i="1"/>
  <c r="AA1047" i="1"/>
  <c r="AF1046" i="1"/>
  <c r="AE1046" i="1"/>
  <c r="AD1046" i="1"/>
  <c r="AC1046" i="1"/>
  <c r="AB1046" i="1"/>
  <c r="AA1046" i="1"/>
  <c r="AF1045" i="1"/>
  <c r="AE1045" i="1"/>
  <c r="AD1045" i="1"/>
  <c r="AC1045" i="1"/>
  <c r="AB1045" i="1"/>
  <c r="AA1045" i="1"/>
  <c r="AF1044" i="1"/>
  <c r="AE1044" i="1"/>
  <c r="AD1044" i="1"/>
  <c r="AC1044" i="1"/>
  <c r="AB1044" i="1"/>
  <c r="AA1044" i="1"/>
  <c r="AF1043" i="1"/>
  <c r="AE1043" i="1"/>
  <c r="AD1043" i="1"/>
  <c r="AC1043" i="1"/>
  <c r="AB1043" i="1"/>
  <c r="AA1043" i="1"/>
  <c r="AF1042" i="1"/>
  <c r="AE1042" i="1"/>
  <c r="AD1042" i="1"/>
  <c r="AC1042" i="1"/>
  <c r="AB1042" i="1"/>
  <c r="AA1042" i="1"/>
  <c r="AF1041" i="1"/>
  <c r="AE1041" i="1"/>
  <c r="AD1041" i="1"/>
  <c r="AC1041" i="1"/>
  <c r="AB1041" i="1"/>
  <c r="AA1041" i="1"/>
  <c r="AF1040" i="1"/>
  <c r="AE1040" i="1"/>
  <c r="AD1040" i="1"/>
  <c r="AC1040" i="1"/>
  <c r="AB1040" i="1"/>
  <c r="AA1040" i="1"/>
  <c r="AF1039" i="1"/>
  <c r="AE1039" i="1"/>
  <c r="AD1039" i="1"/>
  <c r="AC1039" i="1"/>
  <c r="AB1039" i="1"/>
  <c r="AA1039" i="1"/>
  <c r="AF1038" i="1"/>
  <c r="AE1038" i="1"/>
  <c r="AD1038" i="1"/>
  <c r="AC1038" i="1"/>
  <c r="AB1038" i="1"/>
  <c r="AA1038" i="1"/>
  <c r="AF1037" i="1"/>
  <c r="AE1037" i="1"/>
  <c r="AD1037" i="1"/>
  <c r="AC1037" i="1"/>
  <c r="AB1037" i="1"/>
  <c r="AA1037" i="1"/>
  <c r="AF1036" i="1"/>
  <c r="AE1036" i="1"/>
  <c r="AD1036" i="1"/>
  <c r="AC1036" i="1"/>
  <c r="AB1036" i="1"/>
  <c r="AA1036" i="1"/>
  <c r="AF1035" i="1"/>
  <c r="AE1035" i="1"/>
  <c r="AD1035" i="1"/>
  <c r="AC1035" i="1"/>
  <c r="AB1035" i="1"/>
  <c r="AA1035" i="1"/>
  <c r="AF1034" i="1"/>
  <c r="AE1034" i="1"/>
  <c r="AD1034" i="1"/>
  <c r="AC1034" i="1"/>
  <c r="AB1034" i="1"/>
  <c r="AA1034" i="1"/>
  <c r="AF1033" i="1"/>
  <c r="AE1033" i="1"/>
  <c r="AD1033" i="1"/>
  <c r="AC1033" i="1"/>
  <c r="AB1033" i="1"/>
  <c r="AA1033" i="1"/>
  <c r="AF1032" i="1"/>
  <c r="AE1032" i="1"/>
  <c r="AD1032" i="1"/>
  <c r="AC1032" i="1"/>
  <c r="AB1032" i="1"/>
  <c r="AA1032" i="1"/>
  <c r="AF1031" i="1"/>
  <c r="AE1031" i="1"/>
  <c r="AD1031" i="1"/>
  <c r="AC1031" i="1"/>
  <c r="AB1031" i="1"/>
  <c r="AA1031" i="1"/>
  <c r="AF1030" i="1"/>
  <c r="AE1030" i="1"/>
  <c r="AD1030" i="1"/>
  <c r="AC1030" i="1"/>
  <c r="AB1030" i="1"/>
  <c r="AA1030" i="1"/>
  <c r="AF1029" i="1"/>
  <c r="AE1029" i="1"/>
  <c r="AD1029" i="1"/>
  <c r="AC1029" i="1"/>
  <c r="AB1029" i="1"/>
  <c r="AA1029" i="1"/>
  <c r="AF1028" i="1"/>
  <c r="AE1028" i="1"/>
  <c r="AD1028" i="1"/>
  <c r="AC1028" i="1"/>
  <c r="AB1028" i="1"/>
  <c r="AA1028" i="1"/>
  <c r="AF1027" i="1"/>
  <c r="AE1027" i="1"/>
  <c r="AD1027" i="1"/>
  <c r="AC1027" i="1"/>
  <c r="AB1027" i="1"/>
  <c r="AA1027" i="1"/>
  <c r="AF1026" i="1"/>
  <c r="AE1026" i="1"/>
  <c r="AD1026" i="1"/>
  <c r="AC1026" i="1"/>
  <c r="AB1026" i="1"/>
  <c r="AA1026" i="1"/>
  <c r="AF1025" i="1"/>
  <c r="AE1025" i="1"/>
  <c r="AD1025" i="1"/>
  <c r="AC1025" i="1"/>
  <c r="AB1025" i="1"/>
  <c r="AA1025" i="1"/>
  <c r="AF1024" i="1"/>
  <c r="AE1024" i="1"/>
  <c r="AD1024" i="1"/>
  <c r="AC1024" i="1"/>
  <c r="AB1024" i="1"/>
  <c r="AA1024" i="1"/>
  <c r="AF1023" i="1"/>
  <c r="AE1023" i="1"/>
  <c r="AD1023" i="1"/>
  <c r="AC1023" i="1"/>
  <c r="AB1023" i="1"/>
  <c r="AA1023" i="1"/>
  <c r="AF1022" i="1"/>
  <c r="AE1022" i="1"/>
  <c r="AD1022" i="1"/>
  <c r="AC1022" i="1"/>
  <c r="AB1022" i="1"/>
  <c r="AA1022" i="1"/>
  <c r="AF1021" i="1"/>
  <c r="AE1021" i="1"/>
  <c r="AD1021" i="1"/>
  <c r="AC1021" i="1"/>
  <c r="AB1021" i="1"/>
  <c r="AA1021" i="1"/>
  <c r="AF1020" i="1"/>
  <c r="AE1020" i="1"/>
  <c r="AD1020" i="1"/>
  <c r="AC1020" i="1"/>
  <c r="AB1020" i="1"/>
  <c r="AA1020" i="1"/>
  <c r="AF1019" i="1"/>
  <c r="AE1019" i="1"/>
  <c r="AD1019" i="1"/>
  <c r="AC1019" i="1"/>
  <c r="AB1019" i="1"/>
  <c r="AA1019" i="1"/>
  <c r="AF1018" i="1"/>
  <c r="AE1018" i="1"/>
  <c r="AD1018" i="1"/>
  <c r="AC1018" i="1"/>
  <c r="AB1018" i="1"/>
  <c r="AA1018" i="1"/>
  <c r="AF1017" i="1"/>
  <c r="AE1017" i="1"/>
  <c r="AD1017" i="1"/>
  <c r="AC1017" i="1"/>
  <c r="AB1017" i="1"/>
  <c r="AA1017" i="1"/>
  <c r="AF1016" i="1"/>
  <c r="AE1016" i="1"/>
  <c r="AD1016" i="1"/>
  <c r="AC1016" i="1"/>
  <c r="AB1016" i="1"/>
  <c r="AA1016" i="1"/>
  <c r="AF1015" i="1"/>
  <c r="AE1015" i="1"/>
  <c r="AD1015" i="1"/>
  <c r="AC1015" i="1"/>
  <c r="AB1015" i="1"/>
  <c r="AA1015" i="1"/>
  <c r="AF1014" i="1"/>
  <c r="AE1014" i="1"/>
  <c r="AD1014" i="1"/>
  <c r="AC1014" i="1"/>
  <c r="AB1014" i="1"/>
  <c r="AA1014" i="1"/>
  <c r="AF1013" i="1"/>
  <c r="AE1013" i="1"/>
  <c r="AD1013" i="1"/>
  <c r="AC1013" i="1"/>
  <c r="AB1013" i="1"/>
  <c r="AA1013" i="1"/>
  <c r="AF1012" i="1"/>
  <c r="AE1012" i="1"/>
  <c r="AD1012" i="1"/>
  <c r="AC1012" i="1"/>
  <c r="AB1012" i="1"/>
  <c r="AA1012" i="1"/>
  <c r="AF1011" i="1"/>
  <c r="AE1011" i="1"/>
  <c r="AD1011" i="1"/>
  <c r="AC1011" i="1"/>
  <c r="AB1011" i="1"/>
  <c r="AA1011" i="1"/>
  <c r="AF1010" i="1"/>
  <c r="AE1010" i="1"/>
  <c r="AD1010" i="1"/>
  <c r="AC1010" i="1"/>
  <c r="AB1010" i="1"/>
  <c r="AA1010" i="1"/>
  <c r="AF1009" i="1"/>
  <c r="AE1009" i="1"/>
  <c r="AD1009" i="1"/>
  <c r="AC1009" i="1"/>
  <c r="AB1009" i="1"/>
  <c r="AA1009" i="1"/>
  <c r="AF1008" i="1"/>
  <c r="AE1008" i="1"/>
  <c r="AD1008" i="1"/>
  <c r="AC1008" i="1"/>
  <c r="AB1008" i="1"/>
  <c r="AA1008" i="1"/>
  <c r="AF1007" i="1"/>
  <c r="AE1007" i="1"/>
  <c r="AD1007" i="1"/>
  <c r="AC1007" i="1"/>
  <c r="AB1007" i="1"/>
  <c r="AA1007" i="1"/>
  <c r="AF1006" i="1"/>
  <c r="AE1006" i="1"/>
  <c r="AD1006" i="1"/>
  <c r="AC1006" i="1"/>
  <c r="AB1006" i="1"/>
  <c r="AA1006" i="1"/>
  <c r="AF1005" i="1"/>
  <c r="AE1005" i="1"/>
  <c r="AD1005" i="1"/>
  <c r="AC1005" i="1"/>
  <c r="AB1005" i="1"/>
  <c r="AA1005" i="1"/>
  <c r="AF1004" i="1"/>
  <c r="AE1004" i="1"/>
  <c r="AD1004" i="1"/>
  <c r="AC1004" i="1"/>
  <c r="AB1004" i="1"/>
  <c r="AA1004" i="1"/>
  <c r="AF1003" i="1"/>
  <c r="AE1003" i="1"/>
  <c r="AD1003" i="1"/>
  <c r="AC1003" i="1"/>
  <c r="AB1003" i="1"/>
  <c r="AA1003" i="1"/>
  <c r="AF1002" i="1"/>
  <c r="AE1002" i="1"/>
  <c r="AD1002" i="1"/>
  <c r="AC1002" i="1"/>
  <c r="AB1002" i="1"/>
  <c r="AA1002" i="1"/>
  <c r="AF1001" i="1"/>
  <c r="AE1001" i="1"/>
  <c r="AD1001" i="1"/>
  <c r="AC1001" i="1"/>
  <c r="AB1001" i="1"/>
  <c r="AA1001" i="1"/>
  <c r="AF1000" i="1"/>
  <c r="AE1000" i="1"/>
  <c r="AD1000" i="1"/>
  <c r="AC1000" i="1"/>
  <c r="AB1000" i="1"/>
  <c r="AA1000" i="1"/>
  <c r="AF999" i="1"/>
  <c r="AE999" i="1"/>
  <c r="AD999" i="1"/>
  <c r="AC999" i="1"/>
  <c r="AB999" i="1"/>
  <c r="AA999" i="1"/>
  <c r="AF998" i="1"/>
  <c r="AE998" i="1"/>
  <c r="AD998" i="1"/>
  <c r="AC998" i="1"/>
  <c r="AB998" i="1"/>
  <c r="AA998" i="1"/>
  <c r="AF997" i="1"/>
  <c r="AE997" i="1"/>
  <c r="AD997" i="1"/>
  <c r="AC997" i="1"/>
  <c r="AB997" i="1"/>
  <c r="AA997" i="1"/>
  <c r="AF996" i="1"/>
  <c r="AE996" i="1"/>
  <c r="AD996" i="1"/>
  <c r="AC996" i="1"/>
  <c r="AB996" i="1"/>
  <c r="AA996" i="1"/>
  <c r="AF995" i="1"/>
  <c r="AE995" i="1"/>
  <c r="AD995" i="1"/>
  <c r="AC995" i="1"/>
  <c r="AB995" i="1"/>
  <c r="AA995" i="1"/>
  <c r="AF994" i="1"/>
  <c r="AE994" i="1"/>
  <c r="AD994" i="1"/>
  <c r="AC994" i="1"/>
  <c r="AB994" i="1"/>
  <c r="AA994" i="1"/>
  <c r="AF993" i="1"/>
  <c r="AE993" i="1"/>
  <c r="AD993" i="1"/>
  <c r="AC993" i="1"/>
  <c r="AB993" i="1"/>
  <c r="AA993" i="1"/>
  <c r="AF992" i="1"/>
  <c r="AE992" i="1"/>
  <c r="AD992" i="1"/>
  <c r="AC992" i="1"/>
  <c r="AB992" i="1"/>
  <c r="AA992" i="1"/>
  <c r="AF991" i="1"/>
  <c r="AE991" i="1"/>
  <c r="AD991" i="1"/>
  <c r="AC991" i="1"/>
  <c r="AB991" i="1"/>
  <c r="AA991" i="1"/>
  <c r="AF990" i="1"/>
  <c r="AE990" i="1"/>
  <c r="AD990" i="1"/>
  <c r="AC990" i="1"/>
  <c r="AB990" i="1"/>
  <c r="AA990" i="1"/>
  <c r="AF989" i="1"/>
  <c r="AE989" i="1"/>
  <c r="AD989" i="1"/>
  <c r="AC989" i="1"/>
  <c r="AB989" i="1"/>
  <c r="AA989" i="1"/>
  <c r="AF988" i="1"/>
  <c r="AE988" i="1"/>
  <c r="AD988" i="1"/>
  <c r="AC988" i="1"/>
  <c r="AB988" i="1"/>
  <c r="AA988" i="1"/>
  <c r="AF987" i="1"/>
  <c r="AE987" i="1"/>
  <c r="AD987" i="1"/>
  <c r="AC987" i="1"/>
  <c r="AB987" i="1"/>
  <c r="AA987" i="1"/>
  <c r="AF986" i="1"/>
  <c r="AE986" i="1"/>
  <c r="AD986" i="1"/>
  <c r="AC986" i="1"/>
  <c r="AB986" i="1"/>
  <c r="AA986" i="1"/>
  <c r="AF985" i="1"/>
  <c r="AE985" i="1"/>
  <c r="AD985" i="1"/>
  <c r="AC985" i="1"/>
  <c r="AB985" i="1"/>
  <c r="AA985" i="1"/>
  <c r="AF984" i="1"/>
  <c r="AE984" i="1"/>
  <c r="AD984" i="1"/>
  <c r="AC984" i="1"/>
  <c r="AB984" i="1"/>
  <c r="AA984" i="1"/>
  <c r="AF983" i="1"/>
  <c r="AE983" i="1"/>
  <c r="AD983" i="1"/>
  <c r="AC983" i="1"/>
  <c r="AB983" i="1"/>
  <c r="AA983" i="1"/>
  <c r="AF982" i="1"/>
  <c r="AE982" i="1"/>
  <c r="AD982" i="1"/>
  <c r="AC982" i="1"/>
  <c r="AB982" i="1"/>
  <c r="AA982" i="1"/>
  <c r="AF981" i="1"/>
  <c r="AE981" i="1"/>
  <c r="AD981" i="1"/>
  <c r="AC981" i="1"/>
  <c r="AB981" i="1"/>
  <c r="AA981" i="1"/>
  <c r="AF980" i="1"/>
  <c r="AE980" i="1"/>
  <c r="AD980" i="1"/>
  <c r="AC980" i="1"/>
  <c r="AB980" i="1"/>
  <c r="AA980" i="1"/>
  <c r="AF979" i="1"/>
  <c r="AE979" i="1"/>
  <c r="AD979" i="1"/>
  <c r="AC979" i="1"/>
  <c r="AB979" i="1"/>
  <c r="AA979" i="1"/>
  <c r="AF978" i="1"/>
  <c r="AE978" i="1"/>
  <c r="AD978" i="1"/>
  <c r="AC978" i="1"/>
  <c r="AB978" i="1"/>
  <c r="AA978" i="1"/>
  <c r="AF977" i="1"/>
  <c r="AE977" i="1"/>
  <c r="AD977" i="1"/>
  <c r="AC977" i="1"/>
  <c r="AB977" i="1"/>
  <c r="AA977" i="1"/>
  <c r="AF976" i="1"/>
  <c r="AE976" i="1"/>
  <c r="AD976" i="1"/>
  <c r="AC976" i="1"/>
  <c r="AB976" i="1"/>
  <c r="AA976" i="1"/>
  <c r="AF975" i="1"/>
  <c r="AE975" i="1"/>
  <c r="AD975" i="1"/>
  <c r="AC975" i="1"/>
  <c r="AB975" i="1"/>
  <c r="AA975" i="1"/>
  <c r="AF974" i="1"/>
  <c r="AE974" i="1"/>
  <c r="AD974" i="1"/>
  <c r="AC974" i="1"/>
  <c r="AB974" i="1"/>
  <c r="AA974" i="1"/>
  <c r="AF973" i="1"/>
  <c r="AE973" i="1"/>
  <c r="AD973" i="1"/>
  <c r="AC973" i="1"/>
  <c r="AB973" i="1"/>
  <c r="AA973" i="1"/>
  <c r="AF972" i="1"/>
  <c r="AE972" i="1"/>
  <c r="AD972" i="1"/>
  <c r="AC972" i="1"/>
  <c r="AB972" i="1"/>
  <c r="AA972" i="1"/>
  <c r="AF971" i="1"/>
  <c r="AE971" i="1"/>
  <c r="AD971" i="1"/>
  <c r="AC971" i="1"/>
  <c r="AB971" i="1"/>
  <c r="AA971" i="1"/>
  <c r="AF970" i="1"/>
  <c r="AE970" i="1"/>
  <c r="AD970" i="1"/>
  <c r="AC970" i="1"/>
  <c r="AB970" i="1"/>
  <c r="AA970" i="1"/>
  <c r="AF969" i="1"/>
  <c r="AE969" i="1"/>
  <c r="AD969" i="1"/>
  <c r="AC969" i="1"/>
  <c r="AB969" i="1"/>
  <c r="AA969" i="1"/>
  <c r="AF968" i="1"/>
  <c r="AE968" i="1"/>
  <c r="AD968" i="1"/>
  <c r="AC968" i="1"/>
  <c r="AB968" i="1"/>
  <c r="AA968" i="1"/>
  <c r="AF967" i="1"/>
  <c r="AE967" i="1"/>
  <c r="AD967" i="1"/>
  <c r="AC967" i="1"/>
  <c r="AB967" i="1"/>
  <c r="AA967" i="1"/>
  <c r="AF966" i="1"/>
  <c r="AE966" i="1"/>
  <c r="AD966" i="1"/>
  <c r="AC966" i="1"/>
  <c r="AB966" i="1"/>
  <c r="AA966" i="1"/>
  <c r="AF965" i="1"/>
  <c r="AE965" i="1"/>
  <c r="AD965" i="1"/>
  <c r="AC965" i="1"/>
  <c r="AB965" i="1"/>
  <c r="AA965" i="1"/>
  <c r="AF964" i="1"/>
  <c r="AE964" i="1"/>
  <c r="AD964" i="1"/>
  <c r="AC964" i="1"/>
  <c r="AB964" i="1"/>
  <c r="AA964" i="1"/>
  <c r="AF963" i="1"/>
  <c r="AE963" i="1"/>
  <c r="AD963" i="1"/>
  <c r="AC963" i="1"/>
  <c r="AB963" i="1"/>
  <c r="AA963" i="1"/>
  <c r="AF962" i="1"/>
  <c r="AE962" i="1"/>
  <c r="AD962" i="1"/>
  <c r="AC962" i="1"/>
  <c r="AB962" i="1"/>
  <c r="AA962" i="1"/>
  <c r="AF961" i="1"/>
  <c r="AE961" i="1"/>
  <c r="AD961" i="1"/>
  <c r="AC961" i="1"/>
  <c r="AB961" i="1"/>
  <c r="AA961" i="1"/>
  <c r="AF960" i="1"/>
  <c r="AE960" i="1"/>
  <c r="AD960" i="1"/>
  <c r="AC960" i="1"/>
  <c r="AB960" i="1"/>
  <c r="AA960" i="1"/>
  <c r="AF959" i="1"/>
  <c r="AE959" i="1"/>
  <c r="AD959" i="1"/>
  <c r="AC959" i="1"/>
  <c r="AB959" i="1"/>
  <c r="AA959" i="1"/>
  <c r="AF958" i="1"/>
  <c r="AE958" i="1"/>
  <c r="AD958" i="1"/>
  <c r="AC958" i="1"/>
  <c r="AB958" i="1"/>
  <c r="AA958" i="1"/>
  <c r="AF957" i="1"/>
  <c r="AE957" i="1"/>
  <c r="AD957" i="1"/>
  <c r="AC957" i="1"/>
  <c r="AB957" i="1"/>
  <c r="AA957" i="1"/>
  <c r="AF956" i="1"/>
  <c r="AE956" i="1"/>
  <c r="AD956" i="1"/>
  <c r="AC956" i="1"/>
  <c r="AB956" i="1"/>
  <c r="AA956" i="1"/>
  <c r="AF955" i="1"/>
  <c r="AE955" i="1"/>
  <c r="AD955" i="1"/>
  <c r="AC955" i="1"/>
  <c r="AB955" i="1"/>
  <c r="AA955" i="1"/>
  <c r="AF954" i="1"/>
  <c r="AE954" i="1"/>
  <c r="AD954" i="1"/>
  <c r="AC954" i="1"/>
  <c r="AB954" i="1"/>
  <c r="AA954" i="1"/>
  <c r="AF953" i="1"/>
  <c r="AE953" i="1"/>
  <c r="AD953" i="1"/>
  <c r="AC953" i="1"/>
  <c r="AB953" i="1"/>
  <c r="AA953" i="1"/>
  <c r="AF952" i="1"/>
  <c r="AE952" i="1"/>
  <c r="AD952" i="1"/>
  <c r="AC952" i="1"/>
  <c r="AB952" i="1"/>
  <c r="AA952" i="1"/>
  <c r="AF951" i="1"/>
  <c r="AE951" i="1"/>
  <c r="AD951" i="1"/>
  <c r="AC951" i="1"/>
  <c r="AB951" i="1"/>
  <c r="AA951" i="1"/>
  <c r="AF950" i="1"/>
  <c r="AE950" i="1"/>
  <c r="AD950" i="1"/>
  <c r="AC950" i="1"/>
  <c r="AB950" i="1"/>
  <c r="AA950" i="1"/>
  <c r="AF949" i="1"/>
  <c r="AE949" i="1"/>
  <c r="AD949" i="1"/>
  <c r="AC949" i="1"/>
  <c r="AB949" i="1"/>
  <c r="AA949" i="1"/>
  <c r="AF948" i="1"/>
  <c r="AE948" i="1"/>
  <c r="AD948" i="1"/>
  <c r="AC948" i="1"/>
  <c r="AB948" i="1"/>
  <c r="AA948" i="1"/>
  <c r="AF947" i="1"/>
  <c r="AE947" i="1"/>
  <c r="AD947" i="1"/>
  <c r="AC947" i="1"/>
  <c r="AB947" i="1"/>
  <c r="AA947" i="1"/>
  <c r="AF946" i="1"/>
  <c r="AE946" i="1"/>
  <c r="AD946" i="1"/>
  <c r="AC946" i="1"/>
  <c r="AB946" i="1"/>
  <c r="AA946" i="1"/>
  <c r="AF945" i="1"/>
  <c r="AE945" i="1"/>
  <c r="AD945" i="1"/>
  <c r="AC945" i="1"/>
  <c r="AB945" i="1"/>
  <c r="AA945" i="1"/>
  <c r="AF944" i="1"/>
  <c r="AE944" i="1"/>
  <c r="AD944" i="1"/>
  <c r="AC944" i="1"/>
  <c r="AB944" i="1"/>
  <c r="AA944" i="1"/>
  <c r="AF943" i="1"/>
  <c r="AE943" i="1"/>
  <c r="AD943" i="1"/>
  <c r="AC943" i="1"/>
  <c r="AB943" i="1"/>
  <c r="AA943" i="1"/>
  <c r="AF942" i="1"/>
  <c r="AE942" i="1"/>
  <c r="AD942" i="1"/>
  <c r="AC942" i="1"/>
  <c r="AB942" i="1"/>
  <c r="AA942" i="1"/>
  <c r="AF941" i="1"/>
  <c r="AE941" i="1"/>
  <c r="AD941" i="1"/>
  <c r="AC941" i="1"/>
  <c r="AB941" i="1"/>
  <c r="AA941" i="1"/>
  <c r="AF940" i="1"/>
  <c r="AE940" i="1"/>
  <c r="AD940" i="1"/>
  <c r="AC940" i="1"/>
  <c r="AB940" i="1"/>
  <c r="AA940" i="1"/>
  <c r="AF939" i="1"/>
  <c r="AE939" i="1"/>
  <c r="AD939" i="1"/>
  <c r="AC939" i="1"/>
  <c r="AB939" i="1"/>
  <c r="AA939" i="1"/>
  <c r="AF938" i="1"/>
  <c r="AE938" i="1"/>
  <c r="AD938" i="1"/>
  <c r="AC938" i="1"/>
  <c r="AB938" i="1"/>
  <c r="AA938" i="1"/>
  <c r="AF937" i="1"/>
  <c r="AE937" i="1"/>
  <c r="AD937" i="1"/>
  <c r="AC937" i="1"/>
  <c r="AB937" i="1"/>
  <c r="AA937" i="1"/>
  <c r="AF936" i="1"/>
  <c r="AE936" i="1"/>
  <c r="AD936" i="1"/>
  <c r="AC936" i="1"/>
  <c r="AB936" i="1"/>
  <c r="AA936" i="1"/>
  <c r="AF935" i="1"/>
  <c r="AE935" i="1"/>
  <c r="AD935" i="1"/>
  <c r="AC935" i="1"/>
  <c r="AB935" i="1"/>
  <c r="AA935" i="1"/>
  <c r="AF934" i="1"/>
  <c r="AE934" i="1"/>
  <c r="AD934" i="1"/>
  <c r="AC934" i="1"/>
  <c r="AB934" i="1"/>
  <c r="AA934" i="1"/>
  <c r="AF933" i="1"/>
  <c r="AE933" i="1"/>
  <c r="AD933" i="1"/>
  <c r="AC933" i="1"/>
  <c r="AB933" i="1"/>
  <c r="AA933" i="1"/>
  <c r="AF932" i="1"/>
  <c r="AE932" i="1"/>
  <c r="AD932" i="1"/>
  <c r="AC932" i="1"/>
  <c r="AB932" i="1"/>
  <c r="AA932" i="1"/>
  <c r="AF931" i="1"/>
  <c r="AE931" i="1"/>
  <c r="AD931" i="1"/>
  <c r="AC931" i="1"/>
  <c r="AB931" i="1"/>
  <c r="AA931" i="1"/>
  <c r="AF930" i="1"/>
  <c r="AE930" i="1"/>
  <c r="AD930" i="1"/>
  <c r="AC930" i="1"/>
  <c r="AB930" i="1"/>
  <c r="AA930" i="1"/>
  <c r="AF929" i="1"/>
  <c r="AE929" i="1"/>
  <c r="AD929" i="1"/>
  <c r="AC929" i="1"/>
  <c r="AB929" i="1"/>
  <c r="AA929" i="1"/>
  <c r="AF928" i="1"/>
  <c r="AE928" i="1"/>
  <c r="AD928" i="1"/>
  <c r="AC928" i="1"/>
  <c r="AB928" i="1"/>
  <c r="AA928" i="1"/>
  <c r="AF927" i="1"/>
  <c r="AE927" i="1"/>
  <c r="AD927" i="1"/>
  <c r="AC927" i="1"/>
  <c r="AB927" i="1"/>
  <c r="AA927" i="1"/>
  <c r="AF926" i="1"/>
  <c r="AE926" i="1"/>
  <c r="AD926" i="1"/>
  <c r="AC926" i="1"/>
  <c r="AB926" i="1"/>
  <c r="AA926" i="1"/>
  <c r="AF925" i="1"/>
  <c r="AE925" i="1"/>
  <c r="AD925" i="1"/>
  <c r="AC925" i="1"/>
  <c r="AB925" i="1"/>
  <c r="AA925" i="1"/>
  <c r="AF924" i="1"/>
  <c r="AE924" i="1"/>
  <c r="AD924" i="1"/>
  <c r="AC924" i="1"/>
  <c r="AB924" i="1"/>
  <c r="AA924" i="1"/>
  <c r="AF923" i="1"/>
  <c r="AE923" i="1"/>
  <c r="AD923" i="1"/>
  <c r="AC923" i="1"/>
  <c r="AB923" i="1"/>
  <c r="AA923" i="1"/>
  <c r="AF922" i="1"/>
  <c r="AE922" i="1"/>
  <c r="AD922" i="1"/>
  <c r="AC922" i="1"/>
  <c r="AB922" i="1"/>
  <c r="AA922" i="1"/>
  <c r="AF921" i="1"/>
  <c r="AE921" i="1"/>
  <c r="AD921" i="1"/>
  <c r="AC921" i="1"/>
  <c r="AB921" i="1"/>
  <c r="AA921" i="1"/>
  <c r="AF920" i="1"/>
  <c r="AE920" i="1"/>
  <c r="AD920" i="1"/>
  <c r="AC920" i="1"/>
  <c r="AB920" i="1"/>
  <c r="AA920" i="1"/>
  <c r="AF919" i="1"/>
  <c r="AE919" i="1"/>
  <c r="AD919" i="1"/>
  <c r="AC919" i="1"/>
  <c r="AB919" i="1"/>
  <c r="AA919" i="1"/>
  <c r="AF918" i="1"/>
  <c r="AE918" i="1"/>
  <c r="AD918" i="1"/>
  <c r="AC918" i="1"/>
  <c r="AB918" i="1"/>
  <c r="AA918" i="1"/>
  <c r="AF917" i="1"/>
  <c r="AE917" i="1"/>
  <c r="AD917" i="1"/>
  <c r="AC917" i="1"/>
  <c r="AB917" i="1"/>
  <c r="AA917" i="1"/>
  <c r="AF916" i="1"/>
  <c r="AE916" i="1"/>
  <c r="AD916" i="1"/>
  <c r="AC916" i="1"/>
  <c r="AB916" i="1"/>
  <c r="AA916" i="1"/>
  <c r="AF915" i="1"/>
  <c r="AE915" i="1"/>
  <c r="AD915" i="1"/>
  <c r="AC915" i="1"/>
  <c r="AB915" i="1"/>
  <c r="AA915" i="1"/>
  <c r="AF914" i="1"/>
  <c r="AE914" i="1"/>
  <c r="AD914" i="1"/>
  <c r="AC914" i="1"/>
  <c r="AB914" i="1"/>
  <c r="AA914" i="1"/>
  <c r="AF913" i="1"/>
  <c r="AE913" i="1"/>
  <c r="AD913" i="1"/>
  <c r="AC913" i="1"/>
  <c r="AB913" i="1"/>
  <c r="AA913" i="1"/>
  <c r="AF912" i="1"/>
  <c r="AE912" i="1"/>
  <c r="AD912" i="1"/>
  <c r="AC912" i="1"/>
  <c r="AB912" i="1"/>
  <c r="AA912" i="1"/>
  <c r="AF911" i="1"/>
  <c r="AE911" i="1"/>
  <c r="AD911" i="1"/>
  <c r="AC911" i="1"/>
  <c r="AB911" i="1"/>
  <c r="AA911" i="1"/>
  <c r="AF910" i="1"/>
  <c r="AE910" i="1"/>
  <c r="AD910" i="1"/>
  <c r="AC910" i="1"/>
  <c r="AB910" i="1"/>
  <c r="AA910" i="1"/>
  <c r="AF909" i="1"/>
  <c r="AE909" i="1"/>
  <c r="AD909" i="1"/>
  <c r="AC909" i="1"/>
  <c r="AB909" i="1"/>
  <c r="AA909" i="1"/>
  <c r="AF908" i="1"/>
  <c r="AE908" i="1"/>
  <c r="AD908" i="1"/>
  <c r="AC908" i="1"/>
  <c r="AB908" i="1"/>
  <c r="AA908" i="1"/>
  <c r="AF907" i="1"/>
  <c r="AE907" i="1"/>
  <c r="AD907" i="1"/>
  <c r="AC907" i="1"/>
  <c r="AB907" i="1"/>
  <c r="AA907" i="1"/>
  <c r="AF906" i="1"/>
  <c r="AE906" i="1"/>
  <c r="AD906" i="1"/>
  <c r="AC906" i="1"/>
  <c r="AB906" i="1"/>
  <c r="AA906" i="1"/>
  <c r="AF905" i="1"/>
  <c r="AE905" i="1"/>
  <c r="AD905" i="1"/>
  <c r="AC905" i="1"/>
  <c r="AB905" i="1"/>
  <c r="AA905" i="1"/>
  <c r="AF904" i="1"/>
  <c r="AE904" i="1"/>
  <c r="AD904" i="1"/>
  <c r="AC904" i="1"/>
  <c r="AB904" i="1"/>
  <c r="AA904" i="1"/>
  <c r="AF903" i="1"/>
  <c r="AE903" i="1"/>
  <c r="AD903" i="1"/>
  <c r="AC903" i="1"/>
  <c r="AB903" i="1"/>
  <c r="AA903" i="1"/>
  <c r="AF902" i="1"/>
  <c r="AE902" i="1"/>
  <c r="AD902" i="1"/>
  <c r="AC902" i="1"/>
  <c r="AB902" i="1"/>
  <c r="AA902" i="1"/>
  <c r="AF901" i="1"/>
  <c r="AE901" i="1"/>
  <c r="AD901" i="1"/>
  <c r="AC901" i="1"/>
  <c r="AB901" i="1"/>
  <c r="AA901" i="1"/>
  <c r="AF900" i="1"/>
  <c r="AE900" i="1"/>
  <c r="AD900" i="1"/>
  <c r="AC900" i="1"/>
  <c r="AB900" i="1"/>
  <c r="AA900" i="1"/>
  <c r="AF899" i="1"/>
  <c r="AE899" i="1"/>
  <c r="AD899" i="1"/>
  <c r="AC899" i="1"/>
  <c r="AB899" i="1"/>
  <c r="AA899" i="1"/>
  <c r="AF898" i="1"/>
  <c r="AE898" i="1"/>
  <c r="AD898" i="1"/>
  <c r="AC898" i="1"/>
  <c r="AB898" i="1"/>
  <c r="AA898" i="1"/>
  <c r="AF897" i="1"/>
  <c r="AE897" i="1"/>
  <c r="AD897" i="1"/>
  <c r="AC897" i="1"/>
  <c r="AB897" i="1"/>
  <c r="AA897" i="1"/>
  <c r="AF896" i="1"/>
  <c r="AE896" i="1"/>
  <c r="AD896" i="1"/>
  <c r="AC896" i="1"/>
  <c r="AB896" i="1"/>
  <c r="AA896" i="1"/>
  <c r="AF895" i="1"/>
  <c r="AE895" i="1"/>
  <c r="AD895" i="1"/>
  <c r="AC895" i="1"/>
  <c r="AB895" i="1"/>
  <c r="AA895" i="1"/>
  <c r="AF894" i="1"/>
  <c r="AE894" i="1"/>
  <c r="AD894" i="1"/>
  <c r="AC894" i="1"/>
  <c r="AB894" i="1"/>
  <c r="AA894" i="1"/>
  <c r="AF893" i="1"/>
  <c r="AE893" i="1"/>
  <c r="AD893" i="1"/>
  <c r="AC893" i="1"/>
  <c r="AB893" i="1"/>
  <c r="AA893" i="1"/>
  <c r="AF892" i="1"/>
  <c r="AE892" i="1"/>
  <c r="AD892" i="1"/>
  <c r="AC892" i="1"/>
  <c r="AB892" i="1"/>
  <c r="AA892" i="1"/>
  <c r="AF891" i="1"/>
  <c r="AE891" i="1"/>
  <c r="AD891" i="1"/>
  <c r="AC891" i="1"/>
  <c r="AB891" i="1"/>
  <c r="AA891" i="1"/>
  <c r="AF890" i="1"/>
  <c r="AE890" i="1"/>
  <c r="AD890" i="1"/>
  <c r="AC890" i="1"/>
  <c r="AB890" i="1"/>
  <c r="AA890" i="1"/>
  <c r="AF889" i="1"/>
  <c r="AE889" i="1"/>
  <c r="AD889" i="1"/>
  <c r="AC889" i="1"/>
  <c r="AB889" i="1"/>
  <c r="AA889" i="1"/>
  <c r="AF888" i="1"/>
  <c r="AE888" i="1"/>
  <c r="AD888" i="1"/>
  <c r="AC888" i="1"/>
  <c r="AB888" i="1"/>
  <c r="AA888" i="1"/>
  <c r="AF887" i="1"/>
  <c r="AE887" i="1"/>
  <c r="AD887" i="1"/>
  <c r="AC887" i="1"/>
  <c r="AB887" i="1"/>
  <c r="AA887" i="1"/>
  <c r="AF886" i="1"/>
  <c r="AE886" i="1"/>
  <c r="AD886" i="1"/>
  <c r="AC886" i="1"/>
  <c r="AB886" i="1"/>
  <c r="AA886" i="1"/>
  <c r="AF885" i="1"/>
  <c r="AE885" i="1"/>
  <c r="AD885" i="1"/>
  <c r="AC885" i="1"/>
  <c r="AB885" i="1"/>
  <c r="AA885" i="1"/>
  <c r="AF884" i="1"/>
  <c r="AE884" i="1"/>
  <c r="AD884" i="1"/>
  <c r="AC884" i="1"/>
  <c r="AB884" i="1"/>
  <c r="AA884" i="1"/>
  <c r="AF883" i="1"/>
  <c r="AE883" i="1"/>
  <c r="AD883" i="1"/>
  <c r="AC883" i="1"/>
  <c r="AB883" i="1"/>
  <c r="AA883" i="1"/>
  <c r="AF882" i="1"/>
  <c r="AE882" i="1"/>
  <c r="AD882" i="1"/>
  <c r="AC882" i="1"/>
  <c r="AB882" i="1"/>
  <c r="AA882" i="1"/>
  <c r="AF881" i="1"/>
  <c r="AE881" i="1"/>
  <c r="AD881" i="1"/>
  <c r="AC881" i="1"/>
  <c r="AB881" i="1"/>
  <c r="AA881" i="1"/>
  <c r="AF880" i="1"/>
  <c r="AE880" i="1"/>
  <c r="AD880" i="1"/>
  <c r="AC880" i="1"/>
  <c r="AB880" i="1"/>
  <c r="AA880" i="1"/>
  <c r="AF879" i="1"/>
  <c r="AE879" i="1"/>
  <c r="AD879" i="1"/>
  <c r="AC879" i="1"/>
  <c r="AB879" i="1"/>
  <c r="AA879" i="1"/>
  <c r="AF878" i="1"/>
  <c r="AE878" i="1"/>
  <c r="AD878" i="1"/>
  <c r="AC878" i="1"/>
  <c r="AB878" i="1"/>
  <c r="AA878" i="1"/>
  <c r="AF877" i="1"/>
  <c r="AE877" i="1"/>
  <c r="AD877" i="1"/>
  <c r="AC877" i="1"/>
  <c r="AB877" i="1"/>
  <c r="AA877" i="1"/>
  <c r="AF876" i="1"/>
  <c r="AE876" i="1"/>
  <c r="AD876" i="1"/>
  <c r="AC876" i="1"/>
  <c r="AB876" i="1"/>
  <c r="AA876" i="1"/>
  <c r="AF875" i="1"/>
  <c r="AE875" i="1"/>
  <c r="AD875" i="1"/>
  <c r="AC875" i="1"/>
  <c r="AB875" i="1"/>
  <c r="AA875" i="1"/>
  <c r="AF874" i="1"/>
  <c r="AE874" i="1"/>
  <c r="AD874" i="1"/>
  <c r="AC874" i="1"/>
  <c r="AB874" i="1"/>
  <c r="AA874" i="1"/>
  <c r="AF873" i="1"/>
  <c r="AE873" i="1"/>
  <c r="AD873" i="1"/>
  <c r="AC873" i="1"/>
  <c r="AB873" i="1"/>
  <c r="AA873" i="1"/>
  <c r="AF872" i="1"/>
  <c r="AE872" i="1"/>
  <c r="AD872" i="1"/>
  <c r="AC872" i="1"/>
  <c r="AB872" i="1"/>
  <c r="AA872" i="1"/>
  <c r="AF871" i="1"/>
  <c r="AE871" i="1"/>
  <c r="AD871" i="1"/>
  <c r="AC871" i="1"/>
  <c r="AB871" i="1"/>
  <c r="AA871" i="1"/>
  <c r="AF870" i="1"/>
  <c r="AE870" i="1"/>
  <c r="AD870" i="1"/>
  <c r="AC870" i="1"/>
  <c r="AB870" i="1"/>
  <c r="AA870" i="1"/>
  <c r="AF869" i="1"/>
  <c r="AE869" i="1"/>
  <c r="AD869" i="1"/>
  <c r="AC869" i="1"/>
  <c r="AB869" i="1"/>
  <c r="AA869" i="1"/>
  <c r="AF868" i="1"/>
  <c r="AE868" i="1"/>
  <c r="AD868" i="1"/>
  <c r="AC868" i="1"/>
  <c r="AB868" i="1"/>
  <c r="AA868" i="1"/>
  <c r="AF867" i="1"/>
  <c r="AE867" i="1"/>
  <c r="AD867" i="1"/>
  <c r="AC867" i="1"/>
  <c r="AB867" i="1"/>
  <c r="AA867" i="1"/>
  <c r="AF866" i="1"/>
  <c r="AE866" i="1"/>
  <c r="AD866" i="1"/>
  <c r="AC866" i="1"/>
  <c r="AB866" i="1"/>
  <c r="AA866" i="1"/>
  <c r="AF865" i="1"/>
  <c r="AE865" i="1"/>
  <c r="AD865" i="1"/>
  <c r="AC865" i="1"/>
  <c r="AB865" i="1"/>
  <c r="AA865" i="1"/>
  <c r="AF864" i="1"/>
  <c r="AE864" i="1"/>
  <c r="AD864" i="1"/>
  <c r="AC864" i="1"/>
  <c r="AB864" i="1"/>
  <c r="AA864" i="1"/>
  <c r="AF863" i="1"/>
  <c r="AE863" i="1"/>
  <c r="AD863" i="1"/>
  <c r="AC863" i="1"/>
  <c r="AB863" i="1"/>
  <c r="AA863" i="1"/>
  <c r="AF862" i="1"/>
  <c r="AE862" i="1"/>
  <c r="AD862" i="1"/>
  <c r="AC862" i="1"/>
  <c r="AB862" i="1"/>
  <c r="AA862" i="1"/>
  <c r="AF861" i="1"/>
  <c r="AE861" i="1"/>
  <c r="AD861" i="1"/>
  <c r="AC861" i="1"/>
  <c r="AB861" i="1"/>
  <c r="AA861" i="1"/>
  <c r="AF860" i="1"/>
  <c r="AE860" i="1"/>
  <c r="AD860" i="1"/>
  <c r="AC860" i="1"/>
  <c r="AB860" i="1"/>
  <c r="AA860" i="1"/>
  <c r="AF859" i="1"/>
  <c r="AE859" i="1"/>
  <c r="AD859" i="1"/>
  <c r="AC859" i="1"/>
  <c r="AB859" i="1"/>
  <c r="AA859" i="1"/>
  <c r="AF858" i="1"/>
  <c r="AE858" i="1"/>
  <c r="AD858" i="1"/>
  <c r="AC858" i="1"/>
  <c r="AB858" i="1"/>
  <c r="AA858" i="1"/>
  <c r="AF857" i="1"/>
  <c r="AE857" i="1"/>
  <c r="AD857" i="1"/>
  <c r="AC857" i="1"/>
  <c r="AB857" i="1"/>
  <c r="AA857" i="1"/>
  <c r="AF856" i="1"/>
  <c r="AE856" i="1"/>
  <c r="AD856" i="1"/>
  <c r="AC856" i="1"/>
  <c r="AB856" i="1"/>
  <c r="AA856" i="1"/>
  <c r="AF855" i="1"/>
  <c r="AE855" i="1"/>
  <c r="AD855" i="1"/>
  <c r="AC855" i="1"/>
  <c r="AB855" i="1"/>
  <c r="AA855" i="1"/>
  <c r="AF854" i="1"/>
  <c r="AE854" i="1"/>
  <c r="AD854" i="1"/>
  <c r="AC854" i="1"/>
  <c r="AB854" i="1"/>
  <c r="AA854" i="1"/>
  <c r="AF853" i="1"/>
  <c r="AE853" i="1"/>
  <c r="AD853" i="1"/>
  <c r="AC853" i="1"/>
  <c r="AB853" i="1"/>
  <c r="AA853" i="1"/>
  <c r="AF852" i="1"/>
  <c r="AE852" i="1"/>
  <c r="AD852" i="1"/>
  <c r="AC852" i="1"/>
  <c r="AB852" i="1"/>
  <c r="AA852" i="1"/>
  <c r="AF851" i="1"/>
  <c r="AE851" i="1"/>
  <c r="AD851" i="1"/>
  <c r="AC851" i="1"/>
  <c r="AB851" i="1"/>
  <c r="AA851" i="1"/>
  <c r="AF850" i="1"/>
  <c r="AE850" i="1"/>
  <c r="AD850" i="1"/>
  <c r="AC850" i="1"/>
  <c r="AB850" i="1"/>
  <c r="AA850" i="1"/>
  <c r="AF849" i="1"/>
  <c r="AE849" i="1"/>
  <c r="AD849" i="1"/>
  <c r="AC849" i="1"/>
  <c r="AB849" i="1"/>
  <c r="AA849" i="1"/>
  <c r="AF848" i="1"/>
  <c r="AE848" i="1"/>
  <c r="AD848" i="1"/>
  <c r="AC848" i="1"/>
  <c r="AB848" i="1"/>
  <c r="AA848" i="1"/>
  <c r="AF847" i="1"/>
  <c r="AE847" i="1"/>
  <c r="AD847" i="1"/>
  <c r="AC847" i="1"/>
  <c r="AB847" i="1"/>
  <c r="AA847" i="1"/>
  <c r="AF846" i="1"/>
  <c r="AE846" i="1"/>
  <c r="AD846" i="1"/>
  <c r="AC846" i="1"/>
  <c r="AB846" i="1"/>
  <c r="AA846" i="1"/>
  <c r="AF845" i="1"/>
  <c r="AE845" i="1"/>
  <c r="AD845" i="1"/>
  <c r="AC845" i="1"/>
  <c r="AB845" i="1"/>
  <c r="AA845" i="1"/>
  <c r="AF844" i="1"/>
  <c r="AE844" i="1"/>
  <c r="AD844" i="1"/>
  <c r="AC844" i="1"/>
  <c r="AB844" i="1"/>
  <c r="AA844" i="1"/>
  <c r="AF843" i="1"/>
  <c r="AE843" i="1"/>
  <c r="AD843" i="1"/>
  <c r="AC843" i="1"/>
  <c r="AB843" i="1"/>
  <c r="AA843" i="1"/>
  <c r="AF842" i="1"/>
  <c r="AE842" i="1"/>
  <c r="AD842" i="1"/>
  <c r="AC842" i="1"/>
  <c r="AB842" i="1"/>
  <c r="AA842" i="1"/>
  <c r="AF841" i="1"/>
  <c r="AE841" i="1"/>
  <c r="AD841" i="1"/>
  <c r="AC841" i="1"/>
  <c r="AB841" i="1"/>
  <c r="AA841" i="1"/>
  <c r="AF840" i="1"/>
  <c r="AE840" i="1"/>
  <c r="AD840" i="1"/>
  <c r="AC840" i="1"/>
  <c r="AB840" i="1"/>
  <c r="AA840" i="1"/>
  <c r="AF839" i="1"/>
  <c r="AE839" i="1"/>
  <c r="AD839" i="1"/>
  <c r="AC839" i="1"/>
  <c r="AB839" i="1"/>
  <c r="AA839" i="1"/>
  <c r="AF838" i="1"/>
  <c r="AE838" i="1"/>
  <c r="AD838" i="1"/>
  <c r="AC838" i="1"/>
  <c r="AB838" i="1"/>
  <c r="AA838" i="1"/>
  <c r="AF837" i="1"/>
  <c r="AE837" i="1"/>
  <c r="AD837" i="1"/>
  <c r="AC837" i="1"/>
  <c r="AB837" i="1"/>
  <c r="AA837" i="1"/>
  <c r="AF836" i="1"/>
  <c r="AE836" i="1"/>
  <c r="AD836" i="1"/>
  <c r="AC836" i="1"/>
  <c r="AB836" i="1"/>
  <c r="AA836" i="1"/>
  <c r="AF835" i="1"/>
  <c r="AE835" i="1"/>
  <c r="AD835" i="1"/>
  <c r="AC835" i="1"/>
  <c r="AB835" i="1"/>
  <c r="AA835" i="1"/>
  <c r="AF834" i="1"/>
  <c r="AE834" i="1"/>
  <c r="AD834" i="1"/>
  <c r="AC834" i="1"/>
  <c r="AB834" i="1"/>
  <c r="AA834" i="1"/>
  <c r="AF833" i="1"/>
  <c r="AE833" i="1"/>
  <c r="AD833" i="1"/>
  <c r="AC833" i="1"/>
  <c r="AB833" i="1"/>
  <c r="AA833" i="1"/>
  <c r="AF832" i="1"/>
  <c r="AE832" i="1"/>
  <c r="AD832" i="1"/>
  <c r="AC832" i="1"/>
  <c r="AB832" i="1"/>
  <c r="AA832" i="1"/>
  <c r="AF831" i="1"/>
  <c r="AE831" i="1"/>
  <c r="AD831" i="1"/>
  <c r="AC831" i="1"/>
  <c r="AB831" i="1"/>
  <c r="AA831" i="1"/>
  <c r="AF830" i="1"/>
  <c r="AE830" i="1"/>
  <c r="AD830" i="1"/>
  <c r="AC830" i="1"/>
  <c r="AB830" i="1"/>
  <c r="AA830" i="1"/>
  <c r="AF829" i="1"/>
  <c r="AE829" i="1"/>
  <c r="AD829" i="1"/>
  <c r="AC829" i="1"/>
  <c r="AB829" i="1"/>
  <c r="AA829" i="1"/>
  <c r="AF828" i="1"/>
  <c r="AE828" i="1"/>
  <c r="AD828" i="1"/>
  <c r="AC828" i="1"/>
  <c r="AB828" i="1"/>
  <c r="AA828" i="1"/>
  <c r="AF827" i="1"/>
  <c r="AE827" i="1"/>
  <c r="AD827" i="1"/>
  <c r="AC827" i="1"/>
  <c r="AB827" i="1"/>
  <c r="AA827" i="1"/>
  <c r="AF826" i="1"/>
  <c r="AE826" i="1"/>
  <c r="AD826" i="1"/>
  <c r="AC826" i="1"/>
  <c r="AB826" i="1"/>
  <c r="AA826" i="1"/>
  <c r="AF825" i="1"/>
  <c r="AE825" i="1"/>
  <c r="AD825" i="1"/>
  <c r="AC825" i="1"/>
  <c r="AB825" i="1"/>
  <c r="AA825" i="1"/>
  <c r="AF824" i="1"/>
  <c r="AE824" i="1"/>
  <c r="AD824" i="1"/>
  <c r="AC824" i="1"/>
  <c r="AB824" i="1"/>
  <c r="AA824" i="1"/>
  <c r="AF823" i="1"/>
  <c r="AE823" i="1"/>
  <c r="AD823" i="1"/>
  <c r="AC823" i="1"/>
  <c r="AB823" i="1"/>
  <c r="AA823" i="1"/>
  <c r="AF822" i="1"/>
  <c r="AE822" i="1"/>
  <c r="AD822" i="1"/>
  <c r="AC822" i="1"/>
  <c r="AB822" i="1"/>
  <c r="AA822" i="1"/>
  <c r="AF821" i="1"/>
  <c r="AE821" i="1"/>
  <c r="AD821" i="1"/>
  <c r="AC821" i="1"/>
  <c r="AB821" i="1"/>
  <c r="AA821" i="1"/>
  <c r="AF820" i="1"/>
  <c r="AE820" i="1"/>
  <c r="AD820" i="1"/>
  <c r="AC820" i="1"/>
  <c r="AB820" i="1"/>
  <c r="AA820" i="1"/>
  <c r="AF819" i="1"/>
  <c r="AE819" i="1"/>
  <c r="AD819" i="1"/>
  <c r="AC819" i="1"/>
  <c r="AB819" i="1"/>
  <c r="AA819" i="1"/>
  <c r="AF818" i="1"/>
  <c r="AE818" i="1"/>
  <c r="AD818" i="1"/>
  <c r="AC818" i="1"/>
  <c r="AB818" i="1"/>
  <c r="AA818" i="1"/>
  <c r="AF817" i="1"/>
  <c r="AE817" i="1"/>
  <c r="AD817" i="1"/>
  <c r="AC817" i="1"/>
  <c r="AB817" i="1"/>
  <c r="AA817" i="1"/>
  <c r="AF816" i="1"/>
  <c r="AE816" i="1"/>
  <c r="AD816" i="1"/>
  <c r="AC816" i="1"/>
  <c r="AB816" i="1"/>
  <c r="AA816" i="1"/>
  <c r="AF815" i="1"/>
  <c r="AE815" i="1"/>
  <c r="AD815" i="1"/>
  <c r="AC815" i="1"/>
  <c r="AB815" i="1"/>
  <c r="AA815" i="1"/>
  <c r="AF814" i="1"/>
  <c r="AE814" i="1"/>
  <c r="AD814" i="1"/>
  <c r="AC814" i="1"/>
  <c r="AB814" i="1"/>
  <c r="AA814" i="1"/>
  <c r="AF813" i="1"/>
  <c r="AE813" i="1"/>
  <c r="AD813" i="1"/>
  <c r="AC813" i="1"/>
  <c r="AB813" i="1"/>
  <c r="AA813" i="1"/>
  <c r="AF812" i="1"/>
  <c r="AE812" i="1"/>
  <c r="AD812" i="1"/>
  <c r="AC812" i="1"/>
  <c r="AB812" i="1"/>
  <c r="AA812" i="1"/>
  <c r="AF811" i="1"/>
  <c r="AE811" i="1"/>
  <c r="AD811" i="1"/>
  <c r="AC811" i="1"/>
  <c r="AB811" i="1"/>
  <c r="AA811" i="1"/>
  <c r="AF810" i="1"/>
  <c r="AE810" i="1"/>
  <c r="AD810" i="1"/>
  <c r="AC810" i="1"/>
  <c r="AB810" i="1"/>
  <c r="AA810" i="1"/>
  <c r="AF809" i="1"/>
  <c r="AE809" i="1"/>
  <c r="AD809" i="1"/>
  <c r="AC809" i="1"/>
  <c r="AB809" i="1"/>
  <c r="AA809" i="1"/>
  <c r="AF808" i="1"/>
  <c r="AE808" i="1"/>
  <c r="AD808" i="1"/>
  <c r="AC808" i="1"/>
  <c r="AB808" i="1"/>
  <c r="AA808" i="1"/>
  <c r="AF807" i="1"/>
  <c r="AE807" i="1"/>
  <c r="AD807" i="1"/>
  <c r="AC807" i="1"/>
  <c r="AB807" i="1"/>
  <c r="AA807" i="1"/>
  <c r="AF806" i="1"/>
  <c r="AE806" i="1"/>
  <c r="AD806" i="1"/>
  <c r="AC806" i="1"/>
  <c r="AB806" i="1"/>
  <c r="AA806" i="1"/>
  <c r="AF805" i="1"/>
  <c r="AE805" i="1"/>
  <c r="AD805" i="1"/>
  <c r="AC805" i="1"/>
  <c r="AB805" i="1"/>
  <c r="AA805" i="1"/>
  <c r="AF804" i="1"/>
  <c r="AE804" i="1"/>
  <c r="AD804" i="1"/>
  <c r="AC804" i="1"/>
  <c r="AB804" i="1"/>
  <c r="AA804" i="1"/>
  <c r="AF803" i="1"/>
  <c r="AE803" i="1"/>
  <c r="AD803" i="1"/>
  <c r="AC803" i="1"/>
  <c r="AB803" i="1"/>
  <c r="AA803" i="1"/>
  <c r="AF802" i="1"/>
  <c r="AE802" i="1"/>
  <c r="AD802" i="1"/>
  <c r="AC802" i="1"/>
  <c r="AB802" i="1"/>
  <c r="AA802" i="1"/>
  <c r="AF801" i="1"/>
  <c r="AE801" i="1"/>
  <c r="AD801" i="1"/>
  <c r="AC801" i="1"/>
  <c r="AB801" i="1"/>
  <c r="AA801" i="1"/>
  <c r="AF800" i="1"/>
  <c r="AE800" i="1"/>
  <c r="AD800" i="1"/>
  <c r="AC800" i="1"/>
  <c r="AB800" i="1"/>
  <c r="AA800" i="1"/>
  <c r="AF799" i="1"/>
  <c r="AE799" i="1"/>
  <c r="AD799" i="1"/>
  <c r="AC799" i="1"/>
  <c r="AB799" i="1"/>
  <c r="AA799" i="1"/>
  <c r="AF798" i="1"/>
  <c r="AE798" i="1"/>
  <c r="AD798" i="1"/>
  <c r="AC798" i="1"/>
  <c r="AB798" i="1"/>
  <c r="AA798" i="1"/>
  <c r="AF797" i="1"/>
  <c r="AE797" i="1"/>
  <c r="AD797" i="1"/>
  <c r="AC797" i="1"/>
  <c r="AB797" i="1"/>
  <c r="AA797" i="1"/>
  <c r="AF796" i="1"/>
  <c r="AE796" i="1"/>
  <c r="AD796" i="1"/>
  <c r="AC796" i="1"/>
  <c r="AB796" i="1"/>
  <c r="AA796" i="1"/>
  <c r="AF795" i="1"/>
  <c r="AE795" i="1"/>
  <c r="AD795" i="1"/>
  <c r="AC795" i="1"/>
  <c r="AB795" i="1"/>
  <c r="AA795" i="1"/>
  <c r="AF794" i="1"/>
  <c r="AE794" i="1"/>
  <c r="AD794" i="1"/>
  <c r="AC794" i="1"/>
  <c r="AB794" i="1"/>
  <c r="AA794" i="1"/>
  <c r="AF793" i="1"/>
  <c r="AE793" i="1"/>
  <c r="AD793" i="1"/>
  <c r="AC793" i="1"/>
  <c r="AB793" i="1"/>
  <c r="AA793" i="1"/>
  <c r="AF792" i="1"/>
  <c r="AE792" i="1"/>
  <c r="AD792" i="1"/>
  <c r="AC792" i="1"/>
  <c r="AB792" i="1"/>
  <c r="AA792" i="1"/>
  <c r="AF791" i="1"/>
  <c r="AE791" i="1"/>
  <c r="AD791" i="1"/>
  <c r="AC791" i="1"/>
  <c r="AB791" i="1"/>
  <c r="AA791" i="1"/>
  <c r="AF790" i="1"/>
  <c r="AE790" i="1"/>
  <c r="AD790" i="1"/>
  <c r="AC790" i="1"/>
  <c r="AB790" i="1"/>
  <c r="AA790" i="1"/>
  <c r="AF789" i="1"/>
  <c r="AE789" i="1"/>
  <c r="AD789" i="1"/>
  <c r="AC789" i="1"/>
  <c r="AB789" i="1"/>
  <c r="AA789" i="1"/>
  <c r="AF788" i="1"/>
  <c r="AE788" i="1"/>
  <c r="AD788" i="1"/>
  <c r="AC788" i="1"/>
  <c r="AB788" i="1"/>
  <c r="AA788" i="1"/>
  <c r="AF787" i="1"/>
  <c r="AE787" i="1"/>
  <c r="AD787" i="1"/>
  <c r="AC787" i="1"/>
  <c r="AB787" i="1"/>
  <c r="AA787" i="1"/>
  <c r="AF786" i="1"/>
  <c r="AE786" i="1"/>
  <c r="AD786" i="1"/>
  <c r="AC786" i="1"/>
  <c r="AB786" i="1"/>
  <c r="AA786" i="1"/>
  <c r="AF785" i="1"/>
  <c r="AE785" i="1"/>
  <c r="AD785" i="1"/>
  <c r="AC785" i="1"/>
  <c r="AB785" i="1"/>
  <c r="AA785" i="1"/>
  <c r="AF784" i="1"/>
  <c r="AE784" i="1"/>
  <c r="AD784" i="1"/>
  <c r="AC784" i="1"/>
  <c r="AB784" i="1"/>
  <c r="AA784" i="1"/>
  <c r="AF783" i="1"/>
  <c r="AE783" i="1"/>
  <c r="AD783" i="1"/>
  <c r="AC783" i="1"/>
  <c r="AB783" i="1"/>
  <c r="AA783" i="1"/>
  <c r="AF782" i="1"/>
  <c r="AE782" i="1"/>
  <c r="AD782" i="1"/>
  <c r="AC782" i="1"/>
  <c r="AB782" i="1"/>
  <c r="AA782" i="1"/>
  <c r="AF781" i="1"/>
  <c r="AE781" i="1"/>
  <c r="AD781" i="1"/>
  <c r="AC781" i="1"/>
  <c r="AB781" i="1"/>
  <c r="AA781" i="1"/>
  <c r="AF780" i="1"/>
  <c r="AE780" i="1"/>
  <c r="AD780" i="1"/>
  <c r="AC780" i="1"/>
  <c r="AB780" i="1"/>
  <c r="AA780" i="1"/>
  <c r="AF779" i="1"/>
  <c r="AE779" i="1"/>
  <c r="AD779" i="1"/>
  <c r="AC779" i="1"/>
  <c r="AB779" i="1"/>
  <c r="AA779" i="1"/>
  <c r="AF778" i="1"/>
  <c r="AE778" i="1"/>
  <c r="AD778" i="1"/>
  <c r="AC778" i="1"/>
  <c r="AB778" i="1"/>
  <c r="AA778" i="1"/>
  <c r="AF777" i="1"/>
  <c r="AE777" i="1"/>
  <c r="AD777" i="1"/>
  <c r="AC777" i="1"/>
  <c r="AB777" i="1"/>
  <c r="AA777" i="1"/>
  <c r="AF776" i="1"/>
  <c r="AE776" i="1"/>
  <c r="AD776" i="1"/>
  <c r="AC776" i="1"/>
  <c r="AB776" i="1"/>
  <c r="AA776" i="1"/>
  <c r="AF775" i="1"/>
  <c r="AE775" i="1"/>
  <c r="AD775" i="1"/>
  <c r="AC775" i="1"/>
  <c r="AB775" i="1"/>
  <c r="AA775" i="1"/>
  <c r="AF774" i="1"/>
  <c r="AE774" i="1"/>
  <c r="AD774" i="1"/>
  <c r="AC774" i="1"/>
  <c r="AB774" i="1"/>
  <c r="AA774" i="1"/>
  <c r="AF773" i="1"/>
  <c r="AE773" i="1"/>
  <c r="AD773" i="1"/>
  <c r="AC773" i="1"/>
  <c r="AB773" i="1"/>
  <c r="AA773" i="1"/>
  <c r="AF772" i="1"/>
  <c r="AE772" i="1"/>
  <c r="AD772" i="1"/>
  <c r="AC772" i="1"/>
  <c r="AB772" i="1"/>
  <c r="AA772" i="1"/>
  <c r="AF771" i="1"/>
  <c r="AE771" i="1"/>
  <c r="AD771" i="1"/>
  <c r="AC771" i="1"/>
  <c r="AB771" i="1"/>
  <c r="AA771" i="1"/>
  <c r="AF770" i="1"/>
  <c r="AE770" i="1"/>
  <c r="AD770" i="1"/>
  <c r="AC770" i="1"/>
  <c r="AB770" i="1"/>
  <c r="AA770" i="1"/>
  <c r="AF769" i="1"/>
  <c r="AE769" i="1"/>
  <c r="AD769" i="1"/>
  <c r="AC769" i="1"/>
  <c r="AB769" i="1"/>
  <c r="AA769" i="1"/>
  <c r="AF768" i="1"/>
  <c r="AE768" i="1"/>
  <c r="AD768" i="1"/>
  <c r="AC768" i="1"/>
  <c r="AB768" i="1"/>
  <c r="AA768" i="1"/>
  <c r="AF767" i="1"/>
  <c r="AE767" i="1"/>
  <c r="AD767" i="1"/>
  <c r="AC767" i="1"/>
  <c r="AB767" i="1"/>
  <c r="AA767" i="1"/>
  <c r="AF766" i="1"/>
  <c r="AE766" i="1"/>
  <c r="AD766" i="1"/>
  <c r="AC766" i="1"/>
  <c r="AB766" i="1"/>
  <c r="AA766" i="1"/>
  <c r="AF765" i="1"/>
  <c r="AE765" i="1"/>
  <c r="AD765" i="1"/>
  <c r="AC765" i="1"/>
  <c r="AB765" i="1"/>
  <c r="AA765" i="1"/>
  <c r="AF764" i="1"/>
  <c r="AE764" i="1"/>
  <c r="AD764" i="1"/>
  <c r="AC764" i="1"/>
  <c r="AB764" i="1"/>
  <c r="AA764" i="1"/>
  <c r="AF763" i="1"/>
  <c r="AE763" i="1"/>
  <c r="AD763" i="1"/>
  <c r="AC763" i="1"/>
  <c r="AB763" i="1"/>
  <c r="AA763" i="1"/>
  <c r="AF762" i="1"/>
  <c r="AE762" i="1"/>
  <c r="AD762" i="1"/>
  <c r="AC762" i="1"/>
  <c r="AB762" i="1"/>
  <c r="AA762" i="1"/>
  <c r="AF761" i="1"/>
  <c r="AE761" i="1"/>
  <c r="AD761" i="1"/>
  <c r="AC761" i="1"/>
  <c r="AB761" i="1"/>
  <c r="AA761" i="1"/>
  <c r="AF760" i="1"/>
  <c r="AE760" i="1"/>
  <c r="AD760" i="1"/>
  <c r="AC760" i="1"/>
  <c r="AB760" i="1"/>
  <c r="AA760" i="1"/>
  <c r="AF759" i="1"/>
  <c r="AE759" i="1"/>
  <c r="AD759" i="1"/>
  <c r="AC759" i="1"/>
  <c r="AB759" i="1"/>
  <c r="AA759" i="1"/>
  <c r="AF758" i="1"/>
  <c r="AE758" i="1"/>
  <c r="AD758" i="1"/>
  <c r="AC758" i="1"/>
  <c r="AB758" i="1"/>
  <c r="AA758" i="1"/>
  <c r="AF757" i="1"/>
  <c r="AE757" i="1"/>
  <c r="AD757" i="1"/>
  <c r="AC757" i="1"/>
  <c r="AB757" i="1"/>
  <c r="AA757" i="1"/>
  <c r="AF756" i="1"/>
  <c r="AE756" i="1"/>
  <c r="AD756" i="1"/>
  <c r="AC756" i="1"/>
  <c r="AB756" i="1"/>
  <c r="AA756" i="1"/>
  <c r="AF755" i="1"/>
  <c r="AE755" i="1"/>
  <c r="AD755" i="1"/>
  <c r="AC755" i="1"/>
  <c r="AB755" i="1"/>
  <c r="AA755" i="1"/>
  <c r="AF754" i="1"/>
  <c r="AE754" i="1"/>
  <c r="AD754" i="1"/>
  <c r="AC754" i="1"/>
  <c r="AB754" i="1"/>
  <c r="AA754" i="1"/>
  <c r="AF753" i="1"/>
  <c r="AE753" i="1"/>
  <c r="AD753" i="1"/>
  <c r="AC753" i="1"/>
  <c r="AB753" i="1"/>
  <c r="AA753" i="1"/>
  <c r="AF752" i="1"/>
  <c r="AE752" i="1"/>
  <c r="AD752" i="1"/>
  <c r="AC752" i="1"/>
  <c r="AB752" i="1"/>
  <c r="AA752" i="1"/>
  <c r="AF751" i="1"/>
  <c r="AE751" i="1"/>
  <c r="AD751" i="1"/>
  <c r="AC751" i="1"/>
  <c r="AB751" i="1"/>
  <c r="AA751" i="1"/>
  <c r="AF750" i="1"/>
  <c r="AE750" i="1"/>
  <c r="AD750" i="1"/>
  <c r="AC750" i="1"/>
  <c r="AB750" i="1"/>
  <c r="AA750" i="1"/>
  <c r="AF749" i="1"/>
  <c r="AE749" i="1"/>
  <c r="AD749" i="1"/>
  <c r="AC749" i="1"/>
  <c r="AB749" i="1"/>
  <c r="AA749" i="1"/>
  <c r="AF748" i="1"/>
  <c r="AE748" i="1"/>
  <c r="AD748" i="1"/>
  <c r="AC748" i="1"/>
  <c r="AB748" i="1"/>
  <c r="AA748" i="1"/>
  <c r="AF747" i="1"/>
  <c r="AE747" i="1"/>
  <c r="AD747" i="1"/>
  <c r="AC747" i="1"/>
  <c r="AB747" i="1"/>
  <c r="AA747" i="1"/>
  <c r="AF746" i="1"/>
  <c r="AE746" i="1"/>
  <c r="AD746" i="1"/>
  <c r="AC746" i="1"/>
  <c r="AB746" i="1"/>
  <c r="AA746" i="1"/>
  <c r="AF745" i="1"/>
  <c r="AE745" i="1"/>
  <c r="AD745" i="1"/>
  <c r="AC745" i="1"/>
  <c r="AB745" i="1"/>
  <c r="AA745" i="1"/>
  <c r="AF744" i="1"/>
  <c r="AE744" i="1"/>
  <c r="AD744" i="1"/>
  <c r="AC744" i="1"/>
  <c r="AB744" i="1"/>
  <c r="AA744" i="1"/>
  <c r="AF743" i="1"/>
  <c r="AE743" i="1"/>
  <c r="AD743" i="1"/>
  <c r="AC743" i="1"/>
  <c r="AB743" i="1"/>
  <c r="AA743" i="1"/>
  <c r="AF742" i="1"/>
  <c r="AE742" i="1"/>
  <c r="AD742" i="1"/>
  <c r="AC742" i="1"/>
  <c r="AB742" i="1"/>
  <c r="AA742" i="1"/>
  <c r="AF741" i="1"/>
  <c r="AE741" i="1"/>
  <c r="AD741" i="1"/>
  <c r="AC741" i="1"/>
  <c r="AB741" i="1"/>
  <c r="AA741" i="1"/>
  <c r="AF740" i="1"/>
  <c r="AE740" i="1"/>
  <c r="AD740" i="1"/>
  <c r="AC740" i="1"/>
  <c r="AB740" i="1"/>
  <c r="AA740" i="1"/>
  <c r="AF739" i="1"/>
  <c r="AE739" i="1"/>
  <c r="AD739" i="1"/>
  <c r="AC739" i="1"/>
  <c r="AB739" i="1"/>
  <c r="AA739" i="1"/>
  <c r="AF738" i="1"/>
  <c r="AE738" i="1"/>
  <c r="AD738" i="1"/>
  <c r="AC738" i="1"/>
  <c r="AB738" i="1"/>
  <c r="AA738" i="1"/>
  <c r="AF737" i="1"/>
  <c r="AE737" i="1"/>
  <c r="AD737" i="1"/>
  <c r="AC737" i="1"/>
  <c r="AB737" i="1"/>
  <c r="AA737" i="1"/>
  <c r="AF736" i="1"/>
  <c r="AE736" i="1"/>
  <c r="AD736" i="1"/>
  <c r="AC736" i="1"/>
  <c r="AB736" i="1"/>
  <c r="AA736" i="1"/>
  <c r="AF735" i="1"/>
  <c r="AE735" i="1"/>
  <c r="AD735" i="1"/>
  <c r="AC735" i="1"/>
  <c r="AB735" i="1"/>
  <c r="AA735" i="1"/>
  <c r="AF734" i="1"/>
  <c r="AE734" i="1"/>
  <c r="AD734" i="1"/>
  <c r="AC734" i="1"/>
  <c r="AB734" i="1"/>
  <c r="AA734" i="1"/>
  <c r="AF733" i="1"/>
  <c r="AE733" i="1"/>
  <c r="AD733" i="1"/>
  <c r="AC733" i="1"/>
  <c r="AB733" i="1"/>
  <c r="AA733" i="1"/>
  <c r="AF732" i="1"/>
  <c r="AE732" i="1"/>
  <c r="AD732" i="1"/>
  <c r="AC732" i="1"/>
  <c r="AB732" i="1"/>
  <c r="AA732" i="1"/>
  <c r="AF731" i="1"/>
  <c r="AE731" i="1"/>
  <c r="AD731" i="1"/>
  <c r="AC731" i="1"/>
  <c r="AB731" i="1"/>
  <c r="AA731" i="1"/>
  <c r="AF730" i="1"/>
  <c r="AE730" i="1"/>
  <c r="AD730" i="1"/>
  <c r="AC730" i="1"/>
  <c r="AB730" i="1"/>
  <c r="AA730" i="1"/>
  <c r="AF729" i="1"/>
  <c r="AE729" i="1"/>
  <c r="AD729" i="1"/>
  <c r="AC729" i="1"/>
  <c r="AB729" i="1"/>
  <c r="AA729" i="1"/>
  <c r="AF728" i="1"/>
  <c r="AE728" i="1"/>
  <c r="AD728" i="1"/>
  <c r="AC728" i="1"/>
  <c r="AB728" i="1"/>
  <c r="AA728" i="1"/>
  <c r="AF727" i="1"/>
  <c r="AE727" i="1"/>
  <c r="AD727" i="1"/>
  <c r="AC727" i="1"/>
  <c r="AB727" i="1"/>
  <c r="AA727" i="1"/>
  <c r="AF726" i="1"/>
  <c r="AE726" i="1"/>
  <c r="AD726" i="1"/>
  <c r="AC726" i="1"/>
  <c r="AB726" i="1"/>
  <c r="AA726" i="1"/>
  <c r="AF725" i="1"/>
  <c r="AE725" i="1"/>
  <c r="AD725" i="1"/>
  <c r="AC725" i="1"/>
  <c r="AB725" i="1"/>
  <c r="AA725" i="1"/>
  <c r="AF724" i="1"/>
  <c r="AE724" i="1"/>
  <c r="AD724" i="1"/>
  <c r="AC724" i="1"/>
  <c r="AB724" i="1"/>
  <c r="AA724" i="1"/>
  <c r="AF723" i="1"/>
  <c r="AE723" i="1"/>
  <c r="AD723" i="1"/>
  <c r="AC723" i="1"/>
  <c r="AB723" i="1"/>
  <c r="AA723" i="1"/>
  <c r="AF722" i="1"/>
  <c r="AE722" i="1"/>
  <c r="AD722" i="1"/>
  <c r="AC722" i="1"/>
  <c r="AB722" i="1"/>
  <c r="AA722" i="1"/>
  <c r="AF721" i="1"/>
  <c r="AE721" i="1"/>
  <c r="AD721" i="1"/>
  <c r="AC721" i="1"/>
  <c r="AB721" i="1"/>
  <c r="AA721" i="1"/>
  <c r="AF720" i="1"/>
  <c r="AE720" i="1"/>
  <c r="AD720" i="1"/>
  <c r="AC720" i="1"/>
  <c r="AB720" i="1"/>
  <c r="AA720" i="1"/>
  <c r="AF719" i="1"/>
  <c r="AE719" i="1"/>
  <c r="AD719" i="1"/>
  <c r="AC719" i="1"/>
  <c r="AB719" i="1"/>
  <c r="AA719" i="1"/>
  <c r="AF718" i="1"/>
  <c r="AE718" i="1"/>
  <c r="AD718" i="1"/>
  <c r="AC718" i="1"/>
  <c r="AB718" i="1"/>
  <c r="AA718" i="1"/>
  <c r="AF717" i="1"/>
  <c r="AE717" i="1"/>
  <c r="AD717" i="1"/>
  <c r="AC717" i="1"/>
  <c r="AB717" i="1"/>
  <c r="AA717" i="1"/>
  <c r="AF716" i="1"/>
  <c r="AE716" i="1"/>
  <c r="AD716" i="1"/>
  <c r="AC716" i="1"/>
  <c r="AB716" i="1"/>
  <c r="AA716" i="1"/>
  <c r="AF715" i="1"/>
  <c r="AE715" i="1"/>
  <c r="AD715" i="1"/>
  <c r="AC715" i="1"/>
  <c r="AB715" i="1"/>
  <c r="AA715" i="1"/>
  <c r="AF714" i="1"/>
  <c r="AE714" i="1"/>
  <c r="AD714" i="1"/>
  <c r="AC714" i="1"/>
  <c r="AB714" i="1"/>
  <c r="AA714" i="1"/>
  <c r="AF713" i="1"/>
  <c r="AE713" i="1"/>
  <c r="AD713" i="1"/>
  <c r="AC713" i="1"/>
  <c r="AB713" i="1"/>
  <c r="AA713" i="1"/>
  <c r="AF712" i="1"/>
  <c r="AE712" i="1"/>
  <c r="AD712" i="1"/>
  <c r="AC712" i="1"/>
  <c r="AB712" i="1"/>
  <c r="AA712" i="1"/>
  <c r="AF711" i="1"/>
  <c r="AE711" i="1"/>
  <c r="AD711" i="1"/>
  <c r="AC711" i="1"/>
  <c r="AB711" i="1"/>
  <c r="AA711" i="1"/>
  <c r="AF710" i="1"/>
  <c r="AE710" i="1"/>
  <c r="AD710" i="1"/>
  <c r="AC710" i="1"/>
  <c r="AB710" i="1"/>
  <c r="AA710" i="1"/>
  <c r="AF709" i="1"/>
  <c r="AE709" i="1"/>
  <c r="AD709" i="1"/>
  <c r="AC709" i="1"/>
  <c r="AB709" i="1"/>
  <c r="AA709" i="1"/>
  <c r="AF708" i="1"/>
  <c r="AE708" i="1"/>
  <c r="AD708" i="1"/>
  <c r="AC708" i="1"/>
  <c r="AB708" i="1"/>
  <c r="AA708" i="1"/>
  <c r="AF707" i="1"/>
  <c r="AE707" i="1"/>
  <c r="AD707" i="1"/>
  <c r="AC707" i="1"/>
  <c r="AB707" i="1"/>
  <c r="AA707" i="1"/>
  <c r="AF706" i="1"/>
  <c r="AE706" i="1"/>
  <c r="AD706" i="1"/>
  <c r="AC706" i="1"/>
  <c r="AB706" i="1"/>
  <c r="AA706" i="1"/>
  <c r="AF705" i="1"/>
  <c r="AE705" i="1"/>
  <c r="AD705" i="1"/>
  <c r="AC705" i="1"/>
  <c r="AB705" i="1"/>
  <c r="AA705" i="1"/>
  <c r="AF704" i="1"/>
  <c r="AE704" i="1"/>
  <c r="AD704" i="1"/>
  <c r="AC704" i="1"/>
  <c r="AB704" i="1"/>
  <c r="AA704" i="1"/>
  <c r="AF703" i="1"/>
  <c r="AE703" i="1"/>
  <c r="AD703" i="1"/>
  <c r="AC703" i="1"/>
  <c r="AB703" i="1"/>
  <c r="AA703" i="1"/>
  <c r="AF702" i="1"/>
  <c r="AE702" i="1"/>
  <c r="AD702" i="1"/>
  <c r="AC702" i="1"/>
  <c r="AB702" i="1"/>
  <c r="AA702" i="1"/>
  <c r="AF701" i="1"/>
  <c r="AE701" i="1"/>
  <c r="AD701" i="1"/>
  <c r="AC701" i="1"/>
  <c r="AB701" i="1"/>
  <c r="AA701" i="1"/>
  <c r="AF700" i="1"/>
  <c r="AE700" i="1"/>
  <c r="AD700" i="1"/>
  <c r="AC700" i="1"/>
  <c r="AB700" i="1"/>
  <c r="AA700" i="1"/>
  <c r="AF699" i="1"/>
  <c r="AE699" i="1"/>
  <c r="AD699" i="1"/>
  <c r="AC699" i="1"/>
  <c r="AB699" i="1"/>
  <c r="AA699" i="1"/>
  <c r="AF698" i="1"/>
  <c r="AE698" i="1"/>
  <c r="AD698" i="1"/>
  <c r="AC698" i="1"/>
  <c r="AB698" i="1"/>
  <c r="AA698" i="1"/>
  <c r="AF697" i="1"/>
  <c r="AE697" i="1"/>
  <c r="AD697" i="1"/>
  <c r="AC697" i="1"/>
  <c r="AB697" i="1"/>
  <c r="AA697" i="1"/>
  <c r="AF696" i="1"/>
  <c r="AE696" i="1"/>
  <c r="AD696" i="1"/>
  <c r="AC696" i="1"/>
  <c r="AB696" i="1"/>
  <c r="AA696" i="1"/>
  <c r="AF695" i="1"/>
  <c r="AE695" i="1"/>
  <c r="AD695" i="1"/>
  <c r="AC695" i="1"/>
  <c r="AB695" i="1"/>
  <c r="AA695" i="1"/>
  <c r="AF694" i="1"/>
  <c r="AE694" i="1"/>
  <c r="AD694" i="1"/>
  <c r="AC694" i="1"/>
  <c r="AB694" i="1"/>
  <c r="AA694" i="1"/>
  <c r="AF693" i="1"/>
  <c r="AE693" i="1"/>
  <c r="AD693" i="1"/>
  <c r="AC693" i="1"/>
  <c r="AB693" i="1"/>
  <c r="AA693" i="1"/>
  <c r="AF692" i="1"/>
  <c r="AE692" i="1"/>
  <c r="AD692" i="1"/>
  <c r="AC692" i="1"/>
  <c r="AB692" i="1"/>
  <c r="AA692" i="1"/>
  <c r="AF691" i="1"/>
  <c r="AE691" i="1"/>
  <c r="AD691" i="1"/>
  <c r="AC691" i="1"/>
  <c r="AB691" i="1"/>
  <c r="AA691" i="1"/>
  <c r="AF690" i="1"/>
  <c r="AE690" i="1"/>
  <c r="AD690" i="1"/>
  <c r="AC690" i="1"/>
  <c r="AB690" i="1"/>
  <c r="AA690" i="1"/>
  <c r="AF689" i="1"/>
  <c r="AE689" i="1"/>
  <c r="AD689" i="1"/>
  <c r="AC689" i="1"/>
  <c r="AB689" i="1"/>
  <c r="AA689" i="1"/>
  <c r="AF688" i="1"/>
  <c r="AE688" i="1"/>
  <c r="AD688" i="1"/>
  <c r="AC688" i="1"/>
  <c r="AB688" i="1"/>
  <c r="AA688" i="1"/>
  <c r="AF687" i="1"/>
  <c r="AE687" i="1"/>
  <c r="AD687" i="1"/>
  <c r="AC687" i="1"/>
  <c r="AB687" i="1"/>
  <c r="AA687" i="1"/>
  <c r="AF686" i="1"/>
  <c r="AE686" i="1"/>
  <c r="AD686" i="1"/>
  <c r="AC686" i="1"/>
  <c r="AB686" i="1"/>
  <c r="AA686" i="1"/>
  <c r="AF685" i="1"/>
  <c r="AE685" i="1"/>
  <c r="AD685" i="1"/>
  <c r="AC685" i="1"/>
  <c r="AB685" i="1"/>
  <c r="AA685" i="1"/>
  <c r="AF684" i="1"/>
  <c r="AE684" i="1"/>
  <c r="AD684" i="1"/>
  <c r="AC684" i="1"/>
  <c r="AB684" i="1"/>
  <c r="AA684" i="1"/>
  <c r="AF683" i="1"/>
  <c r="AE683" i="1"/>
  <c r="AD683" i="1"/>
  <c r="AC683" i="1"/>
  <c r="AB683" i="1"/>
  <c r="AA683" i="1"/>
  <c r="AF682" i="1"/>
  <c r="AE682" i="1"/>
  <c r="AD682" i="1"/>
  <c r="AC682" i="1"/>
  <c r="AB682" i="1"/>
  <c r="AA682" i="1"/>
  <c r="AF681" i="1"/>
  <c r="AE681" i="1"/>
  <c r="AD681" i="1"/>
  <c r="AC681" i="1"/>
  <c r="AB681" i="1"/>
  <c r="AA681" i="1"/>
  <c r="AF680" i="1"/>
  <c r="AE680" i="1"/>
  <c r="AD680" i="1"/>
  <c r="AC680" i="1"/>
  <c r="AB680" i="1"/>
  <c r="AA680" i="1"/>
  <c r="AF679" i="1"/>
  <c r="AE679" i="1"/>
  <c r="AD679" i="1"/>
  <c r="AC679" i="1"/>
  <c r="AB679" i="1"/>
  <c r="AA679" i="1"/>
  <c r="AF678" i="1"/>
  <c r="AE678" i="1"/>
  <c r="AD678" i="1"/>
  <c r="AC678" i="1"/>
  <c r="AB678" i="1"/>
  <c r="AA678" i="1"/>
  <c r="AF677" i="1"/>
  <c r="AE677" i="1"/>
  <c r="AD677" i="1"/>
  <c r="AC677" i="1"/>
  <c r="AB677" i="1"/>
  <c r="AA677" i="1"/>
  <c r="AF676" i="1"/>
  <c r="AE676" i="1"/>
  <c r="AD676" i="1"/>
  <c r="AC676" i="1"/>
  <c r="AB676" i="1"/>
  <c r="AA676" i="1"/>
  <c r="AF675" i="1"/>
  <c r="AE675" i="1"/>
  <c r="AD675" i="1"/>
  <c r="AC675" i="1"/>
  <c r="AB675" i="1"/>
  <c r="AA675" i="1"/>
  <c r="AF674" i="1"/>
  <c r="AE674" i="1"/>
  <c r="AD674" i="1"/>
  <c r="AC674" i="1"/>
  <c r="AB674" i="1"/>
  <c r="AA674" i="1"/>
  <c r="AF673" i="1"/>
  <c r="AE673" i="1"/>
  <c r="AD673" i="1"/>
  <c r="AC673" i="1"/>
  <c r="AB673" i="1"/>
  <c r="AA673" i="1"/>
  <c r="AF672" i="1"/>
  <c r="AE672" i="1"/>
  <c r="AD672" i="1"/>
  <c r="AC672" i="1"/>
  <c r="AB672" i="1"/>
  <c r="AA672" i="1"/>
  <c r="AF671" i="1"/>
  <c r="AE671" i="1"/>
  <c r="AD671" i="1"/>
  <c r="AC671" i="1"/>
  <c r="AB671" i="1"/>
  <c r="AA671" i="1"/>
  <c r="AF670" i="1"/>
  <c r="AE670" i="1"/>
  <c r="AD670" i="1"/>
  <c r="AC670" i="1"/>
  <c r="AB670" i="1"/>
  <c r="AA670" i="1"/>
  <c r="AF669" i="1"/>
  <c r="AE669" i="1"/>
  <c r="AD669" i="1"/>
  <c r="AC669" i="1"/>
  <c r="AB669" i="1"/>
  <c r="AA669" i="1"/>
  <c r="AF668" i="1"/>
  <c r="AE668" i="1"/>
  <c r="AD668" i="1"/>
  <c r="AC668" i="1"/>
  <c r="AB668" i="1"/>
  <c r="AA668" i="1"/>
  <c r="AF667" i="1"/>
  <c r="AE667" i="1"/>
  <c r="AD667" i="1"/>
  <c r="AC667" i="1"/>
  <c r="AB667" i="1"/>
  <c r="AA667" i="1"/>
  <c r="AF666" i="1"/>
  <c r="AE666" i="1"/>
  <c r="AD666" i="1"/>
  <c r="AC666" i="1"/>
  <c r="AB666" i="1"/>
  <c r="AA666" i="1"/>
  <c r="AF665" i="1"/>
  <c r="AE665" i="1"/>
  <c r="AD665" i="1"/>
  <c r="AC665" i="1"/>
  <c r="AB665" i="1"/>
  <c r="AA665" i="1"/>
  <c r="AF664" i="1"/>
  <c r="AE664" i="1"/>
  <c r="AD664" i="1"/>
  <c r="AC664" i="1"/>
  <c r="AB664" i="1"/>
  <c r="AA664" i="1"/>
  <c r="AF663" i="1"/>
  <c r="AE663" i="1"/>
  <c r="AD663" i="1"/>
  <c r="AC663" i="1"/>
  <c r="AB663" i="1"/>
  <c r="AA663" i="1"/>
  <c r="AF662" i="1"/>
  <c r="AE662" i="1"/>
  <c r="AD662" i="1"/>
  <c r="AC662" i="1"/>
  <c r="AB662" i="1"/>
  <c r="AA662" i="1"/>
  <c r="AF661" i="1"/>
  <c r="AE661" i="1"/>
  <c r="AD661" i="1"/>
  <c r="AC661" i="1"/>
  <c r="AB661" i="1"/>
  <c r="AA661" i="1"/>
  <c r="AF660" i="1"/>
  <c r="AE660" i="1"/>
  <c r="AD660" i="1"/>
  <c r="AC660" i="1"/>
  <c r="AB660" i="1"/>
  <c r="AA660" i="1"/>
  <c r="AF659" i="1"/>
  <c r="AE659" i="1"/>
  <c r="AD659" i="1"/>
  <c r="AC659" i="1"/>
  <c r="AB659" i="1"/>
  <c r="AA659" i="1"/>
  <c r="AF658" i="1"/>
  <c r="AE658" i="1"/>
  <c r="AD658" i="1"/>
  <c r="AC658" i="1"/>
  <c r="AB658" i="1"/>
  <c r="AA658" i="1"/>
  <c r="AF657" i="1"/>
  <c r="AE657" i="1"/>
  <c r="AD657" i="1"/>
  <c r="AC657" i="1"/>
  <c r="AB657" i="1"/>
  <c r="AA657" i="1"/>
  <c r="AF656" i="1"/>
  <c r="AE656" i="1"/>
  <c r="AD656" i="1"/>
  <c r="AC656" i="1"/>
  <c r="AB656" i="1"/>
  <c r="AA656" i="1"/>
  <c r="AF655" i="1"/>
  <c r="AE655" i="1"/>
  <c r="AD655" i="1"/>
  <c r="AC655" i="1"/>
  <c r="AB655" i="1"/>
  <c r="AA655" i="1"/>
  <c r="AF654" i="1"/>
  <c r="AE654" i="1"/>
  <c r="AD654" i="1"/>
  <c r="AC654" i="1"/>
  <c r="AB654" i="1"/>
  <c r="AA654" i="1"/>
  <c r="AF653" i="1"/>
  <c r="AE653" i="1"/>
  <c r="AD653" i="1"/>
  <c r="AC653" i="1"/>
  <c r="AB653" i="1"/>
  <c r="AA653" i="1"/>
  <c r="AF652" i="1"/>
  <c r="AE652" i="1"/>
  <c r="AD652" i="1"/>
  <c r="AC652" i="1"/>
  <c r="AB652" i="1"/>
  <c r="AA652" i="1"/>
  <c r="AF651" i="1"/>
  <c r="AE651" i="1"/>
  <c r="AD651" i="1"/>
  <c r="AC651" i="1"/>
  <c r="AB651" i="1"/>
  <c r="AA651" i="1"/>
  <c r="AF650" i="1"/>
  <c r="AE650" i="1"/>
  <c r="AD650" i="1"/>
  <c r="AC650" i="1"/>
  <c r="AB650" i="1"/>
  <c r="AA650" i="1"/>
  <c r="AF649" i="1"/>
  <c r="AE649" i="1"/>
  <c r="AD649" i="1"/>
  <c r="AC649" i="1"/>
  <c r="AB649" i="1"/>
  <c r="AA649" i="1"/>
  <c r="AF648" i="1"/>
  <c r="AE648" i="1"/>
  <c r="AD648" i="1"/>
  <c r="AC648" i="1"/>
  <c r="AB648" i="1"/>
  <c r="AA648" i="1"/>
  <c r="AF647" i="1"/>
  <c r="AE647" i="1"/>
  <c r="AD647" i="1"/>
  <c r="AC647" i="1"/>
  <c r="AB647" i="1"/>
  <c r="AA647" i="1"/>
  <c r="AF646" i="1"/>
  <c r="AE646" i="1"/>
  <c r="AD646" i="1"/>
  <c r="AC646" i="1"/>
  <c r="AB646" i="1"/>
  <c r="AA646" i="1"/>
  <c r="AF645" i="1"/>
  <c r="AE645" i="1"/>
  <c r="AD645" i="1"/>
  <c r="AC645" i="1"/>
  <c r="AB645" i="1"/>
  <c r="AA645" i="1"/>
  <c r="AF644" i="1"/>
  <c r="AE644" i="1"/>
  <c r="AD644" i="1"/>
  <c r="AC644" i="1"/>
  <c r="AB644" i="1"/>
  <c r="AA644" i="1"/>
  <c r="AF643" i="1"/>
  <c r="AE643" i="1"/>
  <c r="AD643" i="1"/>
  <c r="AC643" i="1"/>
  <c r="AB643" i="1"/>
  <c r="AA643" i="1"/>
  <c r="AF642" i="1"/>
  <c r="AE642" i="1"/>
  <c r="AD642" i="1"/>
  <c r="AC642" i="1"/>
  <c r="AB642" i="1"/>
  <c r="AA642" i="1"/>
  <c r="AF641" i="1"/>
  <c r="AE641" i="1"/>
  <c r="AD641" i="1"/>
  <c r="AC641" i="1"/>
  <c r="AB641" i="1"/>
  <c r="AA641" i="1"/>
  <c r="AF640" i="1"/>
  <c r="AE640" i="1"/>
  <c r="AD640" i="1"/>
  <c r="AC640" i="1"/>
  <c r="AB640" i="1"/>
  <c r="AA640" i="1"/>
  <c r="AF639" i="1"/>
  <c r="AE639" i="1"/>
  <c r="AD639" i="1"/>
  <c r="AC639" i="1"/>
  <c r="AB639" i="1"/>
  <c r="AA639" i="1"/>
  <c r="AF638" i="1"/>
  <c r="AE638" i="1"/>
  <c r="AD638" i="1"/>
  <c r="AC638" i="1"/>
  <c r="AB638" i="1"/>
  <c r="AA638" i="1"/>
  <c r="AF637" i="1"/>
  <c r="AE637" i="1"/>
  <c r="AD637" i="1"/>
  <c r="AC637" i="1"/>
  <c r="AB637" i="1"/>
  <c r="AA637" i="1"/>
  <c r="AF636" i="1"/>
  <c r="AE636" i="1"/>
  <c r="AD636" i="1"/>
  <c r="AC636" i="1"/>
  <c r="AB636" i="1"/>
  <c r="AA636" i="1"/>
  <c r="AF635" i="1"/>
  <c r="AE635" i="1"/>
  <c r="AD635" i="1"/>
  <c r="AC635" i="1"/>
  <c r="AB635" i="1"/>
  <c r="AA635" i="1"/>
  <c r="AF634" i="1"/>
  <c r="AE634" i="1"/>
  <c r="AD634" i="1"/>
  <c r="AC634" i="1"/>
  <c r="AB634" i="1"/>
  <c r="AA634" i="1"/>
  <c r="AF633" i="1"/>
  <c r="AE633" i="1"/>
  <c r="AD633" i="1"/>
  <c r="AC633" i="1"/>
  <c r="AB633" i="1"/>
  <c r="AA633" i="1"/>
  <c r="AF632" i="1"/>
  <c r="AE632" i="1"/>
  <c r="AD632" i="1"/>
  <c r="AC632" i="1"/>
  <c r="AB632" i="1"/>
  <c r="AA632" i="1"/>
  <c r="AF631" i="1"/>
  <c r="AE631" i="1"/>
  <c r="AD631" i="1"/>
  <c r="AC631" i="1"/>
  <c r="AB631" i="1"/>
  <c r="AA631" i="1"/>
  <c r="AF630" i="1"/>
  <c r="AE630" i="1"/>
  <c r="AD630" i="1"/>
  <c r="AC630" i="1"/>
  <c r="AB630" i="1"/>
  <c r="AA630" i="1"/>
  <c r="AF629" i="1"/>
  <c r="AE629" i="1"/>
  <c r="AD629" i="1"/>
  <c r="AC629" i="1"/>
  <c r="AB629" i="1"/>
  <c r="AA629" i="1"/>
  <c r="AF628" i="1"/>
  <c r="AE628" i="1"/>
  <c r="AD628" i="1"/>
  <c r="AC628" i="1"/>
  <c r="AB628" i="1"/>
  <c r="AA628" i="1"/>
  <c r="AF627" i="1"/>
  <c r="AE627" i="1"/>
  <c r="AD627" i="1"/>
  <c r="AC627" i="1"/>
  <c r="AB627" i="1"/>
  <c r="AA627" i="1"/>
  <c r="AF626" i="1"/>
  <c r="AE626" i="1"/>
  <c r="AD626" i="1"/>
  <c r="AC626" i="1"/>
  <c r="AB626" i="1"/>
  <c r="AA626" i="1"/>
  <c r="AF625" i="1"/>
  <c r="AE625" i="1"/>
  <c r="AD625" i="1"/>
  <c r="AC625" i="1"/>
  <c r="AB625" i="1"/>
  <c r="AA625" i="1"/>
  <c r="AF624" i="1"/>
  <c r="AE624" i="1"/>
  <c r="AD624" i="1"/>
  <c r="AC624" i="1"/>
  <c r="AB624" i="1"/>
  <c r="AA624" i="1"/>
  <c r="AF623" i="1"/>
  <c r="AE623" i="1"/>
  <c r="AD623" i="1"/>
  <c r="AC623" i="1"/>
  <c r="AB623" i="1"/>
  <c r="AA623" i="1"/>
  <c r="AF622" i="1"/>
  <c r="AE622" i="1"/>
  <c r="AD622" i="1"/>
  <c r="AC622" i="1"/>
  <c r="AB622" i="1"/>
  <c r="AA622" i="1"/>
  <c r="AF621" i="1"/>
  <c r="AE621" i="1"/>
  <c r="AD621" i="1"/>
  <c r="AC621" i="1"/>
  <c r="AB621" i="1"/>
  <c r="AA621" i="1"/>
  <c r="AF620" i="1"/>
  <c r="AE620" i="1"/>
  <c r="AD620" i="1"/>
  <c r="AC620" i="1"/>
  <c r="AB620" i="1"/>
  <c r="AA620" i="1"/>
  <c r="AF619" i="1"/>
  <c r="AE619" i="1"/>
  <c r="AD619" i="1"/>
  <c r="AC619" i="1"/>
  <c r="AB619" i="1"/>
  <c r="AA619" i="1"/>
  <c r="AF618" i="1"/>
  <c r="AE618" i="1"/>
  <c r="AD618" i="1"/>
  <c r="AC618" i="1"/>
  <c r="AB618" i="1"/>
  <c r="AA618" i="1"/>
  <c r="AF617" i="1"/>
  <c r="AE617" i="1"/>
  <c r="AD617" i="1"/>
  <c r="AC617" i="1"/>
  <c r="AB617" i="1"/>
  <c r="AA617" i="1"/>
  <c r="AF616" i="1"/>
  <c r="AE616" i="1"/>
  <c r="AD616" i="1"/>
  <c r="AC616" i="1"/>
  <c r="AB616" i="1"/>
  <c r="AA616" i="1"/>
  <c r="AF615" i="1"/>
  <c r="AE615" i="1"/>
  <c r="AD615" i="1"/>
  <c r="AC615" i="1"/>
  <c r="AB615" i="1"/>
  <c r="AA615" i="1"/>
  <c r="AF614" i="1"/>
  <c r="AE614" i="1"/>
  <c r="AD614" i="1"/>
  <c r="AC614" i="1"/>
  <c r="AB614" i="1"/>
  <c r="AA614" i="1"/>
  <c r="AF613" i="1"/>
  <c r="AE613" i="1"/>
  <c r="AD613" i="1"/>
  <c r="AC613" i="1"/>
  <c r="AB613" i="1"/>
  <c r="AA613" i="1"/>
  <c r="AF612" i="1"/>
  <c r="AE612" i="1"/>
  <c r="AD612" i="1"/>
  <c r="AC612" i="1"/>
  <c r="AB612" i="1"/>
  <c r="AA612" i="1"/>
  <c r="AF611" i="1"/>
  <c r="AE611" i="1"/>
  <c r="AD611" i="1"/>
  <c r="AC611" i="1"/>
  <c r="AB611" i="1"/>
  <c r="AA611" i="1"/>
  <c r="AF610" i="1"/>
  <c r="AE610" i="1"/>
  <c r="AD610" i="1"/>
  <c r="AC610" i="1"/>
  <c r="AB610" i="1"/>
  <c r="AA610" i="1"/>
  <c r="AF609" i="1"/>
  <c r="AE609" i="1"/>
  <c r="AD609" i="1"/>
  <c r="AC609" i="1"/>
  <c r="AB609" i="1"/>
  <c r="AA609" i="1"/>
  <c r="AF608" i="1"/>
  <c r="AE608" i="1"/>
  <c r="AD608" i="1"/>
  <c r="AC608" i="1"/>
  <c r="AB608" i="1"/>
  <c r="AA608" i="1"/>
  <c r="AF607" i="1"/>
  <c r="AE607" i="1"/>
  <c r="AD607" i="1"/>
  <c r="AC607" i="1"/>
  <c r="AB607" i="1"/>
  <c r="AA607" i="1"/>
  <c r="AF606" i="1"/>
  <c r="AE606" i="1"/>
  <c r="AD606" i="1"/>
  <c r="AC606" i="1"/>
  <c r="AB606" i="1"/>
  <c r="AA606" i="1"/>
  <c r="AF605" i="1"/>
  <c r="AE605" i="1"/>
  <c r="AD605" i="1"/>
  <c r="AC605" i="1"/>
  <c r="AB605" i="1"/>
  <c r="AA605" i="1"/>
  <c r="AF604" i="1"/>
  <c r="AE604" i="1"/>
  <c r="AD604" i="1"/>
  <c r="AC604" i="1"/>
  <c r="AB604" i="1"/>
  <c r="AA604" i="1"/>
  <c r="AF603" i="1"/>
  <c r="AE603" i="1"/>
  <c r="AD603" i="1"/>
  <c r="AC603" i="1"/>
  <c r="AB603" i="1"/>
  <c r="AA603" i="1"/>
  <c r="AF602" i="1"/>
  <c r="AE602" i="1"/>
  <c r="AD602" i="1"/>
  <c r="AC602" i="1"/>
  <c r="AB602" i="1"/>
  <c r="AA602" i="1"/>
  <c r="AF601" i="1"/>
  <c r="AE601" i="1"/>
  <c r="AD601" i="1"/>
  <c r="AC601" i="1"/>
  <c r="AB601" i="1"/>
  <c r="AA601" i="1"/>
  <c r="AF600" i="1"/>
  <c r="AE600" i="1"/>
  <c r="AD600" i="1"/>
  <c r="AC600" i="1"/>
  <c r="AB600" i="1"/>
  <c r="AA600" i="1"/>
  <c r="AF599" i="1"/>
  <c r="AE599" i="1"/>
  <c r="AD599" i="1"/>
  <c r="AC599" i="1"/>
  <c r="AB599" i="1"/>
  <c r="AA599" i="1"/>
  <c r="AF598" i="1"/>
  <c r="AE598" i="1"/>
  <c r="AD598" i="1"/>
  <c r="AC598" i="1"/>
  <c r="AB598" i="1"/>
  <c r="AA598" i="1"/>
  <c r="AF597" i="1"/>
  <c r="AE597" i="1"/>
  <c r="AD597" i="1"/>
  <c r="AC597" i="1"/>
  <c r="AB597" i="1"/>
  <c r="AA597" i="1"/>
  <c r="AF596" i="1"/>
  <c r="AE596" i="1"/>
  <c r="AD596" i="1"/>
  <c r="AC596" i="1"/>
  <c r="AB596" i="1"/>
  <c r="AA596" i="1"/>
  <c r="AF595" i="1"/>
  <c r="AE595" i="1"/>
  <c r="AD595" i="1"/>
  <c r="AC595" i="1"/>
  <c r="AB595" i="1"/>
  <c r="AA595" i="1"/>
  <c r="AF594" i="1"/>
  <c r="AE594" i="1"/>
  <c r="AD594" i="1"/>
  <c r="AC594" i="1"/>
  <c r="AB594" i="1"/>
  <c r="AA594" i="1"/>
  <c r="AF593" i="1"/>
  <c r="AE593" i="1"/>
  <c r="AD593" i="1"/>
  <c r="AC593" i="1"/>
  <c r="AB593" i="1"/>
  <c r="AA593" i="1"/>
  <c r="AF592" i="1"/>
  <c r="AE592" i="1"/>
  <c r="AD592" i="1"/>
  <c r="AC592" i="1"/>
  <c r="AB592" i="1"/>
  <c r="AA592" i="1"/>
  <c r="AF591" i="1"/>
  <c r="AE591" i="1"/>
  <c r="AD591" i="1"/>
  <c r="AC591" i="1"/>
  <c r="AB591" i="1"/>
  <c r="AA591" i="1"/>
  <c r="AF590" i="1"/>
  <c r="AE590" i="1"/>
  <c r="AD590" i="1"/>
  <c r="AC590" i="1"/>
  <c r="AB590" i="1"/>
  <c r="AA590" i="1"/>
  <c r="AF589" i="1"/>
  <c r="AE589" i="1"/>
  <c r="AD589" i="1"/>
  <c r="AC589" i="1"/>
  <c r="AB589" i="1"/>
  <c r="AA589" i="1"/>
  <c r="AF588" i="1"/>
  <c r="AE588" i="1"/>
  <c r="AD588" i="1"/>
  <c r="AC588" i="1"/>
  <c r="AB588" i="1"/>
  <c r="AA588" i="1"/>
  <c r="AF587" i="1"/>
  <c r="AE587" i="1"/>
  <c r="AD587" i="1"/>
  <c r="AC587" i="1"/>
  <c r="AB587" i="1"/>
  <c r="AA587" i="1"/>
  <c r="AF586" i="1"/>
  <c r="AE586" i="1"/>
  <c r="AD586" i="1"/>
  <c r="AC586" i="1"/>
  <c r="AB586" i="1"/>
  <c r="AA586" i="1"/>
  <c r="AF585" i="1"/>
  <c r="AE585" i="1"/>
  <c r="AD585" i="1"/>
  <c r="AC585" i="1"/>
  <c r="AB585" i="1"/>
  <c r="AA585" i="1"/>
  <c r="AF584" i="1"/>
  <c r="AE584" i="1"/>
  <c r="AD584" i="1"/>
  <c r="AC584" i="1"/>
  <c r="AB584" i="1"/>
  <c r="AA584" i="1"/>
  <c r="AF583" i="1"/>
  <c r="AE583" i="1"/>
  <c r="AD583" i="1"/>
  <c r="AC583" i="1"/>
  <c r="AB583" i="1"/>
  <c r="AA583" i="1"/>
  <c r="AF582" i="1"/>
  <c r="AE582" i="1"/>
  <c r="AD582" i="1"/>
  <c r="AC582" i="1"/>
  <c r="AB582" i="1"/>
  <c r="AA582" i="1"/>
  <c r="AF581" i="1"/>
  <c r="AE581" i="1"/>
  <c r="AD581" i="1"/>
  <c r="AC581" i="1"/>
  <c r="AB581" i="1"/>
  <c r="AA581" i="1"/>
  <c r="AF580" i="1"/>
  <c r="AE580" i="1"/>
  <c r="AD580" i="1"/>
  <c r="AC580" i="1"/>
  <c r="AB580" i="1"/>
  <c r="AA580" i="1"/>
  <c r="AF579" i="1"/>
  <c r="AE579" i="1"/>
  <c r="AD579" i="1"/>
  <c r="AC579" i="1"/>
  <c r="AB579" i="1"/>
  <c r="AA579" i="1"/>
  <c r="AF578" i="1"/>
  <c r="AE578" i="1"/>
  <c r="AD578" i="1"/>
  <c r="AC578" i="1"/>
  <c r="AB578" i="1"/>
  <c r="AA578" i="1"/>
  <c r="AF577" i="1"/>
  <c r="AE577" i="1"/>
  <c r="AD577" i="1"/>
  <c r="AC577" i="1"/>
  <c r="AB577" i="1"/>
  <c r="AA577" i="1"/>
  <c r="AF576" i="1"/>
  <c r="AE576" i="1"/>
  <c r="AD576" i="1"/>
  <c r="AC576" i="1"/>
  <c r="AB576" i="1"/>
  <c r="AA576" i="1"/>
  <c r="AF575" i="1"/>
  <c r="AE575" i="1"/>
  <c r="AD575" i="1"/>
  <c r="AC575" i="1"/>
  <c r="AB575" i="1"/>
  <c r="AA575" i="1"/>
  <c r="AF574" i="1"/>
  <c r="AE574" i="1"/>
  <c r="AD574" i="1"/>
  <c r="AC574" i="1"/>
  <c r="AB574" i="1"/>
  <c r="AA574" i="1"/>
  <c r="AF573" i="1"/>
  <c r="AE573" i="1"/>
  <c r="AD573" i="1"/>
  <c r="AC573" i="1"/>
  <c r="AB573" i="1"/>
  <c r="AA573" i="1"/>
  <c r="AF572" i="1"/>
  <c r="AE572" i="1"/>
  <c r="AD572" i="1"/>
  <c r="AC572" i="1"/>
  <c r="AB572" i="1"/>
  <c r="AA572" i="1"/>
  <c r="AF571" i="1"/>
  <c r="AE571" i="1"/>
  <c r="AD571" i="1"/>
  <c r="AC571" i="1"/>
  <c r="AB571" i="1"/>
  <c r="AA571" i="1"/>
  <c r="AF570" i="1"/>
  <c r="AE570" i="1"/>
  <c r="AD570" i="1"/>
  <c r="AC570" i="1"/>
  <c r="AB570" i="1"/>
  <c r="AA570" i="1"/>
  <c r="AF569" i="1"/>
  <c r="AE569" i="1"/>
  <c r="AD569" i="1"/>
  <c r="AC569" i="1"/>
  <c r="AB569" i="1"/>
  <c r="AA569" i="1"/>
  <c r="AF568" i="1"/>
  <c r="AE568" i="1"/>
  <c r="AD568" i="1"/>
  <c r="AC568" i="1"/>
  <c r="AB568" i="1"/>
  <c r="AA568" i="1"/>
  <c r="AF567" i="1"/>
  <c r="AE567" i="1"/>
  <c r="AD567" i="1"/>
  <c r="AC567" i="1"/>
  <c r="AB567" i="1"/>
  <c r="AA567" i="1"/>
  <c r="AF566" i="1"/>
  <c r="AE566" i="1"/>
  <c r="AD566" i="1"/>
  <c r="AC566" i="1"/>
  <c r="AB566" i="1"/>
  <c r="AA566" i="1"/>
  <c r="AF565" i="1"/>
  <c r="AE565" i="1"/>
  <c r="AD565" i="1"/>
  <c r="AC565" i="1"/>
  <c r="AB565" i="1"/>
  <c r="AA565" i="1"/>
  <c r="AF564" i="1"/>
  <c r="AE564" i="1"/>
  <c r="AD564" i="1"/>
  <c r="AC564" i="1"/>
  <c r="AB564" i="1"/>
  <c r="AA564" i="1"/>
  <c r="AF563" i="1"/>
  <c r="AE563" i="1"/>
  <c r="AD563" i="1"/>
  <c r="AC563" i="1"/>
  <c r="AB563" i="1"/>
  <c r="AA563" i="1"/>
  <c r="AF562" i="1"/>
  <c r="AE562" i="1"/>
  <c r="AD562" i="1"/>
  <c r="AC562" i="1"/>
  <c r="AB562" i="1"/>
  <c r="AA562" i="1"/>
  <c r="AF561" i="1"/>
  <c r="AE561" i="1"/>
  <c r="AD561" i="1"/>
  <c r="AC561" i="1"/>
  <c r="AB561" i="1"/>
  <c r="AA561" i="1"/>
  <c r="AF560" i="1"/>
  <c r="AE560" i="1"/>
  <c r="AD560" i="1"/>
  <c r="AC560" i="1"/>
  <c r="AB560" i="1"/>
  <c r="AA560" i="1"/>
  <c r="AF559" i="1"/>
  <c r="AE559" i="1"/>
  <c r="AD559" i="1"/>
  <c r="AC559" i="1"/>
  <c r="AB559" i="1"/>
  <c r="AA559" i="1"/>
  <c r="AF558" i="1"/>
  <c r="AE558" i="1"/>
  <c r="AD558" i="1"/>
  <c r="AC558" i="1"/>
  <c r="AB558" i="1"/>
  <c r="AA558" i="1"/>
  <c r="AF557" i="1"/>
  <c r="AE557" i="1"/>
  <c r="AD557" i="1"/>
  <c r="AC557" i="1"/>
  <c r="AB557" i="1"/>
  <c r="AA557" i="1"/>
  <c r="AF556" i="1"/>
  <c r="AE556" i="1"/>
  <c r="AD556" i="1"/>
  <c r="AC556" i="1"/>
  <c r="AB556" i="1"/>
  <c r="AA556" i="1"/>
  <c r="AF555" i="1"/>
  <c r="AE555" i="1"/>
  <c r="AD555" i="1"/>
  <c r="AC555" i="1"/>
  <c r="AB555" i="1"/>
  <c r="AA555" i="1"/>
  <c r="AF554" i="1"/>
  <c r="AE554" i="1"/>
  <c r="AD554" i="1"/>
  <c r="AC554" i="1"/>
  <c r="AB554" i="1"/>
  <c r="AA554" i="1"/>
  <c r="AF553" i="1"/>
  <c r="AE553" i="1"/>
  <c r="AD553" i="1"/>
  <c r="AC553" i="1"/>
  <c r="AB553" i="1"/>
  <c r="AA553" i="1"/>
  <c r="AF552" i="1"/>
  <c r="AE552" i="1"/>
  <c r="AD552" i="1"/>
  <c r="AC552" i="1"/>
  <c r="AB552" i="1"/>
  <c r="AA552" i="1"/>
  <c r="AF551" i="1"/>
  <c r="AE551" i="1"/>
  <c r="AD551" i="1"/>
  <c r="AC551" i="1"/>
  <c r="AB551" i="1"/>
  <c r="AA551" i="1"/>
  <c r="AF550" i="1"/>
  <c r="AE550" i="1"/>
  <c r="AD550" i="1"/>
  <c r="AC550" i="1"/>
  <c r="AB550" i="1"/>
  <c r="AA550" i="1"/>
  <c r="AF549" i="1"/>
  <c r="AE549" i="1"/>
  <c r="AD549" i="1"/>
  <c r="AC549" i="1"/>
  <c r="AB549" i="1"/>
  <c r="AA549" i="1"/>
  <c r="AF548" i="1"/>
  <c r="AE548" i="1"/>
  <c r="AD548" i="1"/>
  <c r="AC548" i="1"/>
  <c r="AB548" i="1"/>
  <c r="AA548" i="1"/>
  <c r="AF547" i="1"/>
  <c r="AE547" i="1"/>
  <c r="AD547" i="1"/>
  <c r="AC547" i="1"/>
  <c r="AB547" i="1"/>
  <c r="AA547" i="1"/>
  <c r="AF546" i="1"/>
  <c r="AE546" i="1"/>
  <c r="AD546" i="1"/>
  <c r="AC546" i="1"/>
  <c r="AB546" i="1"/>
  <c r="AA546" i="1"/>
  <c r="AF545" i="1"/>
  <c r="AE545" i="1"/>
  <c r="AD545" i="1"/>
  <c r="AC545" i="1"/>
  <c r="AB545" i="1"/>
  <c r="AA545" i="1"/>
  <c r="AF544" i="1"/>
  <c r="AE544" i="1"/>
  <c r="AD544" i="1"/>
  <c r="AC544" i="1"/>
  <c r="AB544" i="1"/>
  <c r="AA544" i="1"/>
  <c r="AF543" i="1"/>
  <c r="AE543" i="1"/>
  <c r="AD543" i="1"/>
  <c r="AC543" i="1"/>
  <c r="AB543" i="1"/>
  <c r="AA543" i="1"/>
  <c r="AF542" i="1"/>
  <c r="AE542" i="1"/>
  <c r="AD542" i="1"/>
  <c r="AC542" i="1"/>
  <c r="AB542" i="1"/>
  <c r="AA542" i="1"/>
  <c r="AF541" i="1"/>
  <c r="AE541" i="1"/>
  <c r="AD541" i="1"/>
  <c r="AC541" i="1"/>
  <c r="AB541" i="1"/>
  <c r="AA541" i="1"/>
  <c r="AF540" i="1"/>
  <c r="AE540" i="1"/>
  <c r="AD540" i="1"/>
  <c r="AC540" i="1"/>
  <c r="AB540" i="1"/>
  <c r="AA540" i="1"/>
  <c r="AF539" i="1"/>
  <c r="AE539" i="1"/>
  <c r="AD539" i="1"/>
  <c r="AC539" i="1"/>
  <c r="AB539" i="1"/>
  <c r="AA539" i="1"/>
  <c r="AF538" i="1"/>
  <c r="AE538" i="1"/>
  <c r="AD538" i="1"/>
  <c r="AC538" i="1"/>
  <c r="AB538" i="1"/>
  <c r="AA538" i="1"/>
  <c r="AF537" i="1"/>
  <c r="AE537" i="1"/>
  <c r="AD537" i="1"/>
  <c r="AC537" i="1"/>
  <c r="AB537" i="1"/>
  <c r="AA537" i="1"/>
  <c r="AF536" i="1"/>
  <c r="AE536" i="1"/>
  <c r="AD536" i="1"/>
  <c r="AC536" i="1"/>
  <c r="AB536" i="1"/>
  <c r="AA536" i="1"/>
  <c r="AF535" i="1"/>
  <c r="AE535" i="1"/>
  <c r="AD535" i="1"/>
  <c r="AC535" i="1"/>
  <c r="AB535" i="1"/>
  <c r="AA535" i="1"/>
  <c r="AF534" i="1"/>
  <c r="AE534" i="1"/>
  <c r="AD534" i="1"/>
  <c r="AC534" i="1"/>
  <c r="AB534" i="1"/>
  <c r="AA534" i="1"/>
  <c r="AF533" i="1"/>
  <c r="AE533" i="1"/>
  <c r="AD533" i="1"/>
  <c r="AC533" i="1"/>
  <c r="AB533" i="1"/>
  <c r="AA533" i="1"/>
  <c r="AF532" i="1"/>
  <c r="AE532" i="1"/>
  <c r="AD532" i="1"/>
  <c r="AC532" i="1"/>
  <c r="AB532" i="1"/>
  <c r="AA532" i="1"/>
  <c r="AF531" i="1"/>
  <c r="AE531" i="1"/>
  <c r="AD531" i="1"/>
  <c r="AC531" i="1"/>
  <c r="AB531" i="1"/>
  <c r="AA531" i="1"/>
  <c r="AF530" i="1"/>
  <c r="AE530" i="1"/>
  <c r="AD530" i="1"/>
  <c r="AC530" i="1"/>
  <c r="AB530" i="1"/>
  <c r="AA530" i="1"/>
  <c r="AF529" i="1"/>
  <c r="AE529" i="1"/>
  <c r="AD529" i="1"/>
  <c r="AC529" i="1"/>
  <c r="AB529" i="1"/>
  <c r="AA529" i="1"/>
  <c r="AF528" i="1"/>
  <c r="AE528" i="1"/>
  <c r="AD528" i="1"/>
  <c r="AC528" i="1"/>
  <c r="AB528" i="1"/>
  <c r="AA528" i="1"/>
  <c r="AF527" i="1"/>
  <c r="AE527" i="1"/>
  <c r="AD527" i="1"/>
  <c r="AC527" i="1"/>
  <c r="AB527" i="1"/>
  <c r="AA527" i="1"/>
  <c r="AF526" i="1"/>
  <c r="AE526" i="1"/>
  <c r="AD526" i="1"/>
  <c r="AC526" i="1"/>
  <c r="AB526" i="1"/>
  <c r="AA526" i="1"/>
  <c r="AF525" i="1"/>
  <c r="AE525" i="1"/>
  <c r="AD525" i="1"/>
  <c r="AC525" i="1"/>
  <c r="AB525" i="1"/>
  <c r="AA525" i="1"/>
  <c r="AF524" i="1"/>
  <c r="AE524" i="1"/>
  <c r="AD524" i="1"/>
  <c r="AC524" i="1"/>
  <c r="AB524" i="1"/>
  <c r="AA524" i="1"/>
  <c r="AF523" i="1"/>
  <c r="AE523" i="1"/>
  <c r="AD523" i="1"/>
  <c r="AC523" i="1"/>
  <c r="AB523" i="1"/>
  <c r="AA523" i="1"/>
  <c r="AF522" i="1"/>
  <c r="AE522" i="1"/>
  <c r="AD522" i="1"/>
  <c r="AC522" i="1"/>
  <c r="AB522" i="1"/>
  <c r="AA522" i="1"/>
  <c r="AF521" i="1"/>
  <c r="AE521" i="1"/>
  <c r="AD521" i="1"/>
  <c r="AC521" i="1"/>
  <c r="AB521" i="1"/>
  <c r="AA521" i="1"/>
  <c r="AF520" i="1"/>
  <c r="AE520" i="1"/>
  <c r="AD520" i="1"/>
  <c r="AC520" i="1"/>
  <c r="AB520" i="1"/>
  <c r="AA520" i="1"/>
  <c r="AF519" i="1"/>
  <c r="AE519" i="1"/>
  <c r="AD519" i="1"/>
  <c r="AC519" i="1"/>
  <c r="AB519" i="1"/>
  <c r="AA519" i="1"/>
  <c r="AF518" i="1"/>
  <c r="AE518" i="1"/>
  <c r="AD518" i="1"/>
  <c r="AC518" i="1"/>
  <c r="AB518" i="1"/>
  <c r="AA518" i="1"/>
  <c r="AF517" i="1"/>
  <c r="AE517" i="1"/>
  <c r="AD517" i="1"/>
  <c r="AC517" i="1"/>
  <c r="AB517" i="1"/>
  <c r="AA517" i="1"/>
  <c r="AF516" i="1"/>
  <c r="AE516" i="1"/>
  <c r="AD516" i="1"/>
  <c r="AC516" i="1"/>
  <c r="AB516" i="1"/>
  <c r="AA516" i="1"/>
  <c r="AF515" i="1"/>
  <c r="AE515" i="1"/>
  <c r="AD515" i="1"/>
  <c r="AC515" i="1"/>
  <c r="AB515" i="1"/>
  <c r="AA515" i="1"/>
  <c r="AF514" i="1"/>
  <c r="AE514" i="1"/>
  <c r="AD514" i="1"/>
  <c r="AC514" i="1"/>
  <c r="AB514" i="1"/>
  <c r="AA514" i="1"/>
  <c r="AF513" i="1"/>
  <c r="AE513" i="1"/>
  <c r="AD513" i="1"/>
  <c r="AC513" i="1"/>
  <c r="AB513" i="1"/>
  <c r="AA513" i="1"/>
  <c r="AF512" i="1"/>
  <c r="AE512" i="1"/>
  <c r="AD512" i="1"/>
  <c r="AC512" i="1"/>
  <c r="AB512" i="1"/>
  <c r="AA512" i="1"/>
  <c r="AF511" i="1"/>
  <c r="AE511" i="1"/>
  <c r="AD511" i="1"/>
  <c r="AC511" i="1"/>
  <c r="AB511" i="1"/>
  <c r="AA511" i="1"/>
  <c r="AF510" i="1"/>
  <c r="AE510" i="1"/>
  <c r="AD510" i="1"/>
  <c r="AC510" i="1"/>
  <c r="AB510" i="1"/>
  <c r="AA510" i="1"/>
  <c r="AF509" i="1"/>
  <c r="AE509" i="1"/>
  <c r="AD509" i="1"/>
  <c r="AC509" i="1"/>
  <c r="AB509" i="1"/>
  <c r="AA509" i="1"/>
  <c r="AF508" i="1"/>
  <c r="AE508" i="1"/>
  <c r="AD508" i="1"/>
  <c r="AC508" i="1"/>
  <c r="AB508" i="1"/>
  <c r="AA508" i="1"/>
  <c r="AF507" i="1"/>
  <c r="AE507" i="1"/>
  <c r="AD507" i="1"/>
  <c r="AC507" i="1"/>
  <c r="AB507" i="1"/>
  <c r="AA507" i="1"/>
  <c r="AF506" i="1"/>
  <c r="AE506" i="1"/>
  <c r="AD506" i="1"/>
  <c r="AC506" i="1"/>
  <c r="AB506" i="1"/>
  <c r="AA506" i="1"/>
  <c r="AF505" i="1"/>
  <c r="AE505" i="1"/>
  <c r="AD505" i="1"/>
  <c r="AC505" i="1"/>
  <c r="AB505" i="1"/>
  <c r="AA505" i="1"/>
  <c r="AF504" i="1"/>
  <c r="AE504" i="1"/>
  <c r="AD504" i="1"/>
  <c r="AC504" i="1"/>
  <c r="AB504" i="1"/>
  <c r="AA504" i="1"/>
  <c r="AF503" i="1"/>
  <c r="AE503" i="1"/>
  <c r="AD503" i="1"/>
  <c r="AC503" i="1"/>
  <c r="AB503" i="1"/>
  <c r="AA503" i="1"/>
  <c r="AF502" i="1"/>
  <c r="AE502" i="1"/>
  <c r="AD502" i="1"/>
  <c r="AC502" i="1"/>
  <c r="AB502" i="1"/>
  <c r="AA502" i="1"/>
  <c r="AF501" i="1"/>
  <c r="AE501" i="1"/>
  <c r="AD501" i="1"/>
  <c r="AC501" i="1"/>
  <c r="AB501" i="1"/>
  <c r="AA501" i="1"/>
  <c r="AF500" i="1"/>
  <c r="AE500" i="1"/>
  <c r="AD500" i="1"/>
  <c r="AC500" i="1"/>
  <c r="AB500" i="1"/>
  <c r="AA500" i="1"/>
  <c r="AF499" i="1"/>
  <c r="AE499" i="1"/>
  <c r="AD499" i="1"/>
  <c r="AC499" i="1"/>
  <c r="AB499" i="1"/>
  <c r="AA499" i="1"/>
  <c r="AF498" i="1"/>
  <c r="AE498" i="1"/>
  <c r="AD498" i="1"/>
  <c r="AC498" i="1"/>
  <c r="AB498" i="1"/>
  <c r="AA498" i="1"/>
  <c r="AF497" i="1"/>
  <c r="AE497" i="1"/>
  <c r="AD497" i="1"/>
  <c r="AC497" i="1"/>
  <c r="AB497" i="1"/>
  <c r="AA497" i="1"/>
  <c r="AF496" i="1"/>
  <c r="AE496" i="1"/>
  <c r="AD496" i="1"/>
  <c r="AC496" i="1"/>
  <c r="AB496" i="1"/>
  <c r="AA496" i="1"/>
  <c r="AF495" i="1"/>
  <c r="AE495" i="1"/>
  <c r="AD495" i="1"/>
  <c r="AC495" i="1"/>
  <c r="AB495" i="1"/>
  <c r="AA495" i="1"/>
  <c r="AF494" i="1"/>
  <c r="AE494" i="1"/>
  <c r="AD494" i="1"/>
  <c r="AC494" i="1"/>
  <c r="AB494" i="1"/>
  <c r="AA494" i="1"/>
  <c r="AF493" i="1"/>
  <c r="AE493" i="1"/>
  <c r="AD493" i="1"/>
  <c r="AC493" i="1"/>
  <c r="AB493" i="1"/>
  <c r="AA493" i="1"/>
  <c r="AF492" i="1"/>
  <c r="AE492" i="1"/>
  <c r="AD492" i="1"/>
  <c r="AC492" i="1"/>
  <c r="AB492" i="1"/>
  <c r="AA492" i="1"/>
  <c r="AF491" i="1"/>
  <c r="AE491" i="1"/>
  <c r="AD491" i="1"/>
  <c r="AC491" i="1"/>
  <c r="AB491" i="1"/>
  <c r="AA491" i="1"/>
  <c r="AF490" i="1"/>
  <c r="AE490" i="1"/>
  <c r="AD490" i="1"/>
  <c r="AC490" i="1"/>
  <c r="AB490" i="1"/>
  <c r="AA490" i="1"/>
  <c r="AF489" i="1"/>
  <c r="AE489" i="1"/>
  <c r="AD489" i="1"/>
  <c r="AC489" i="1"/>
  <c r="AB489" i="1"/>
  <c r="AA489" i="1"/>
  <c r="AF488" i="1"/>
  <c r="AE488" i="1"/>
  <c r="AD488" i="1"/>
  <c r="AC488" i="1"/>
  <c r="AB488" i="1"/>
  <c r="AA488" i="1"/>
  <c r="AF487" i="1"/>
  <c r="AE487" i="1"/>
  <c r="AD487" i="1"/>
  <c r="AC487" i="1"/>
  <c r="AB487" i="1"/>
  <c r="AA487" i="1"/>
  <c r="AF486" i="1"/>
  <c r="AE486" i="1"/>
  <c r="AD486" i="1"/>
  <c r="AC486" i="1"/>
  <c r="AB486" i="1"/>
  <c r="AA486" i="1"/>
  <c r="AF485" i="1"/>
  <c r="AE485" i="1"/>
  <c r="AD485" i="1"/>
  <c r="AC485" i="1"/>
  <c r="AB485" i="1"/>
  <c r="AA485" i="1"/>
  <c r="AF484" i="1"/>
  <c r="AE484" i="1"/>
  <c r="AD484" i="1"/>
  <c r="AC484" i="1"/>
  <c r="AB484" i="1"/>
  <c r="AA484" i="1"/>
  <c r="AF483" i="1"/>
  <c r="AE483" i="1"/>
  <c r="AD483" i="1"/>
  <c r="AC483" i="1"/>
  <c r="AB483" i="1"/>
  <c r="AA483" i="1"/>
  <c r="AF482" i="1"/>
  <c r="AE482" i="1"/>
  <c r="AD482" i="1"/>
  <c r="AC482" i="1"/>
  <c r="AB482" i="1"/>
  <c r="AA482" i="1"/>
  <c r="AF481" i="1"/>
  <c r="AE481" i="1"/>
  <c r="AD481" i="1"/>
  <c r="AC481" i="1"/>
  <c r="AB481" i="1"/>
  <c r="AA481" i="1"/>
  <c r="AF480" i="1"/>
  <c r="AE480" i="1"/>
  <c r="AD480" i="1"/>
  <c r="AC480" i="1"/>
  <c r="AB480" i="1"/>
  <c r="AA480" i="1"/>
  <c r="AF479" i="1"/>
  <c r="AE479" i="1"/>
  <c r="AD479" i="1"/>
  <c r="AC479" i="1"/>
  <c r="AB479" i="1"/>
  <c r="AA479" i="1"/>
  <c r="AF478" i="1"/>
  <c r="AE478" i="1"/>
  <c r="AD478" i="1"/>
  <c r="AC478" i="1"/>
  <c r="AB478" i="1"/>
  <c r="AA478" i="1"/>
  <c r="AF477" i="1"/>
  <c r="AE477" i="1"/>
  <c r="AD477" i="1"/>
  <c r="AC477" i="1"/>
  <c r="AB477" i="1"/>
  <c r="AA477" i="1"/>
  <c r="AF476" i="1"/>
  <c r="AE476" i="1"/>
  <c r="AD476" i="1"/>
  <c r="AC476" i="1"/>
  <c r="AB476" i="1"/>
  <c r="AA476" i="1"/>
  <c r="AF475" i="1"/>
  <c r="AE475" i="1"/>
  <c r="AD475" i="1"/>
  <c r="AC475" i="1"/>
  <c r="AB475" i="1"/>
  <c r="AA475" i="1"/>
  <c r="AF474" i="1"/>
  <c r="AE474" i="1"/>
  <c r="AD474" i="1"/>
  <c r="AC474" i="1"/>
  <c r="AB474" i="1"/>
  <c r="AA474" i="1"/>
  <c r="AF473" i="1"/>
  <c r="AE473" i="1"/>
  <c r="AD473" i="1"/>
  <c r="AC473" i="1"/>
  <c r="AB473" i="1"/>
  <c r="AA473" i="1"/>
  <c r="AF472" i="1"/>
  <c r="AE472" i="1"/>
  <c r="AD472" i="1"/>
  <c r="AC472" i="1"/>
  <c r="AB472" i="1"/>
  <c r="AA472" i="1"/>
  <c r="AF471" i="1"/>
  <c r="AE471" i="1"/>
  <c r="AD471" i="1"/>
  <c r="AC471" i="1"/>
  <c r="AB471" i="1"/>
  <c r="AA471" i="1"/>
  <c r="AF470" i="1"/>
  <c r="AE470" i="1"/>
  <c r="AD470" i="1"/>
  <c r="AC470" i="1"/>
  <c r="AB470" i="1"/>
  <c r="AA470" i="1"/>
  <c r="AF469" i="1"/>
  <c r="AE469" i="1"/>
  <c r="AD469" i="1"/>
  <c r="AC469" i="1"/>
  <c r="AB469" i="1"/>
  <c r="AA469" i="1"/>
  <c r="AF468" i="1"/>
  <c r="AE468" i="1"/>
  <c r="AD468" i="1"/>
  <c r="AC468" i="1"/>
  <c r="AB468" i="1"/>
  <c r="AA468" i="1"/>
  <c r="AF467" i="1"/>
  <c r="AE467" i="1"/>
  <c r="AD467" i="1"/>
  <c r="AC467" i="1"/>
  <c r="AB467" i="1"/>
  <c r="AA467" i="1"/>
  <c r="AF466" i="1"/>
  <c r="AE466" i="1"/>
  <c r="AD466" i="1"/>
  <c r="AC466" i="1"/>
  <c r="AB466" i="1"/>
  <c r="AA466" i="1"/>
  <c r="AF465" i="1"/>
  <c r="AE465" i="1"/>
  <c r="AD465" i="1"/>
  <c r="AC465" i="1"/>
  <c r="AB465" i="1"/>
  <c r="AA465" i="1"/>
  <c r="AF464" i="1"/>
  <c r="AE464" i="1"/>
  <c r="AD464" i="1"/>
  <c r="AC464" i="1"/>
  <c r="AB464" i="1"/>
  <c r="AA464" i="1"/>
  <c r="AF463" i="1"/>
  <c r="AE463" i="1"/>
  <c r="AD463" i="1"/>
  <c r="AC463" i="1"/>
  <c r="AB463" i="1"/>
  <c r="AA463" i="1"/>
  <c r="AF462" i="1"/>
  <c r="AE462" i="1"/>
  <c r="AD462" i="1"/>
  <c r="AC462" i="1"/>
  <c r="AB462" i="1"/>
  <c r="AA462" i="1"/>
  <c r="AF461" i="1"/>
  <c r="AE461" i="1"/>
  <c r="AD461" i="1"/>
  <c r="AC461" i="1"/>
  <c r="AB461" i="1"/>
  <c r="AA461" i="1"/>
  <c r="AF460" i="1"/>
  <c r="AE460" i="1"/>
  <c r="AD460" i="1"/>
  <c r="AC460" i="1"/>
  <c r="AB460" i="1"/>
  <c r="AA460" i="1"/>
  <c r="AF459" i="1"/>
  <c r="AE459" i="1"/>
  <c r="AD459" i="1"/>
  <c r="AC459" i="1"/>
  <c r="AB459" i="1"/>
  <c r="AA459" i="1"/>
  <c r="AF458" i="1"/>
  <c r="AE458" i="1"/>
  <c r="AD458" i="1"/>
  <c r="AC458" i="1"/>
  <c r="AB458" i="1"/>
  <c r="AA458" i="1"/>
  <c r="AF457" i="1"/>
  <c r="AE457" i="1"/>
  <c r="AD457" i="1"/>
  <c r="AC457" i="1"/>
  <c r="AB457" i="1"/>
  <c r="AA457" i="1"/>
  <c r="AF456" i="1"/>
  <c r="AE456" i="1"/>
  <c r="AD456" i="1"/>
  <c r="AC456" i="1"/>
  <c r="AB456" i="1"/>
  <c r="AA456" i="1"/>
  <c r="AF455" i="1"/>
  <c r="AE455" i="1"/>
  <c r="AD455" i="1"/>
  <c r="AC455" i="1"/>
  <c r="AB455" i="1"/>
  <c r="AA455" i="1"/>
  <c r="AF454" i="1"/>
  <c r="AE454" i="1"/>
  <c r="AD454" i="1"/>
  <c r="AC454" i="1"/>
  <c r="AB454" i="1"/>
  <c r="AA454" i="1"/>
  <c r="AF453" i="1"/>
  <c r="AE453" i="1"/>
  <c r="AD453" i="1"/>
  <c r="AC453" i="1"/>
  <c r="AB453" i="1"/>
  <c r="AA453" i="1"/>
  <c r="AF452" i="1"/>
  <c r="AE452" i="1"/>
  <c r="AD452" i="1"/>
  <c r="AC452" i="1"/>
  <c r="AB452" i="1"/>
  <c r="AA452" i="1"/>
  <c r="AF451" i="1"/>
  <c r="AE451" i="1"/>
  <c r="AD451" i="1"/>
  <c r="AC451" i="1"/>
  <c r="AB451" i="1"/>
  <c r="AA451" i="1"/>
  <c r="AF450" i="1"/>
  <c r="AE450" i="1"/>
  <c r="AD450" i="1"/>
  <c r="AC450" i="1"/>
  <c r="AB450" i="1"/>
  <c r="AA450" i="1"/>
  <c r="AF449" i="1"/>
  <c r="AE449" i="1"/>
  <c r="AD449" i="1"/>
  <c r="AC449" i="1"/>
  <c r="AB449" i="1"/>
  <c r="AA449" i="1"/>
  <c r="AF448" i="1"/>
  <c r="AE448" i="1"/>
  <c r="AD448" i="1"/>
  <c r="AC448" i="1"/>
  <c r="AB448" i="1"/>
  <c r="AA448" i="1"/>
  <c r="AF447" i="1"/>
  <c r="AE447" i="1"/>
  <c r="AD447" i="1"/>
  <c r="AC447" i="1"/>
  <c r="AB447" i="1"/>
  <c r="AA447" i="1"/>
  <c r="AF446" i="1"/>
  <c r="AE446" i="1"/>
  <c r="AD446" i="1"/>
  <c r="AC446" i="1"/>
  <c r="AB446" i="1"/>
  <c r="AA446" i="1"/>
  <c r="AF445" i="1"/>
  <c r="AE445" i="1"/>
  <c r="AD445" i="1"/>
  <c r="AC445" i="1"/>
  <c r="AB445" i="1"/>
  <c r="AA445" i="1"/>
  <c r="AF444" i="1"/>
  <c r="AE444" i="1"/>
  <c r="AD444" i="1"/>
  <c r="AC444" i="1"/>
  <c r="AB444" i="1"/>
  <c r="AA444" i="1"/>
  <c r="AF443" i="1"/>
  <c r="AE443" i="1"/>
  <c r="AD443" i="1"/>
  <c r="AC443" i="1"/>
  <c r="AB443" i="1"/>
  <c r="AA443" i="1"/>
  <c r="AF442" i="1"/>
  <c r="AE442" i="1"/>
  <c r="AD442" i="1"/>
  <c r="AC442" i="1"/>
  <c r="AB442" i="1"/>
  <c r="AA442" i="1"/>
  <c r="AF441" i="1"/>
  <c r="AE441" i="1"/>
  <c r="AD441" i="1"/>
  <c r="AC441" i="1"/>
  <c r="AB441" i="1"/>
  <c r="AA441" i="1"/>
  <c r="AF440" i="1"/>
  <c r="AE440" i="1"/>
  <c r="AD440" i="1"/>
  <c r="AC440" i="1"/>
  <c r="AB440" i="1"/>
  <c r="AA440" i="1"/>
  <c r="AF439" i="1"/>
  <c r="AE439" i="1"/>
  <c r="AD439" i="1"/>
  <c r="AC439" i="1"/>
  <c r="AB439" i="1"/>
  <c r="AA439" i="1"/>
  <c r="AF438" i="1"/>
  <c r="AE438" i="1"/>
  <c r="AD438" i="1"/>
  <c r="AC438" i="1"/>
  <c r="AB438" i="1"/>
  <c r="AA438" i="1"/>
  <c r="AF437" i="1"/>
  <c r="AE437" i="1"/>
  <c r="AD437" i="1"/>
  <c r="AC437" i="1"/>
  <c r="AB437" i="1"/>
  <c r="AA437" i="1"/>
  <c r="AF436" i="1"/>
  <c r="AE436" i="1"/>
  <c r="AD436" i="1"/>
  <c r="AC436" i="1"/>
  <c r="AB436" i="1"/>
  <c r="AA436" i="1"/>
  <c r="AF435" i="1"/>
  <c r="AE435" i="1"/>
  <c r="AD435" i="1"/>
  <c r="AC435" i="1"/>
  <c r="AB435" i="1"/>
  <c r="AA435" i="1"/>
  <c r="AF434" i="1"/>
  <c r="AE434" i="1"/>
  <c r="AD434" i="1"/>
  <c r="AC434" i="1"/>
  <c r="AB434" i="1"/>
  <c r="AA434" i="1"/>
  <c r="AF433" i="1"/>
  <c r="AE433" i="1"/>
  <c r="AD433" i="1"/>
  <c r="AC433" i="1"/>
  <c r="AB433" i="1"/>
  <c r="AA433" i="1"/>
  <c r="AF432" i="1"/>
  <c r="AE432" i="1"/>
  <c r="AD432" i="1"/>
  <c r="AC432" i="1"/>
  <c r="AB432" i="1"/>
  <c r="AA432" i="1"/>
  <c r="AF431" i="1"/>
  <c r="AE431" i="1"/>
  <c r="AD431" i="1"/>
  <c r="AC431" i="1"/>
  <c r="AB431" i="1"/>
  <c r="AA431" i="1"/>
  <c r="AF430" i="1"/>
  <c r="AE430" i="1"/>
  <c r="AD430" i="1"/>
  <c r="AC430" i="1"/>
  <c r="AB430" i="1"/>
  <c r="AA430" i="1"/>
  <c r="AF429" i="1"/>
  <c r="AE429" i="1"/>
  <c r="AD429" i="1"/>
  <c r="AC429" i="1"/>
  <c r="AB429" i="1"/>
  <c r="AA429" i="1"/>
  <c r="AF428" i="1"/>
  <c r="AE428" i="1"/>
  <c r="AD428" i="1"/>
  <c r="AC428" i="1"/>
  <c r="AB428" i="1"/>
  <c r="AA428" i="1"/>
  <c r="AF427" i="1"/>
  <c r="AE427" i="1"/>
  <c r="AD427" i="1"/>
  <c r="AC427" i="1"/>
  <c r="AB427" i="1"/>
  <c r="AA427" i="1"/>
  <c r="AF426" i="1"/>
  <c r="AE426" i="1"/>
  <c r="AD426" i="1"/>
  <c r="AC426" i="1"/>
  <c r="AB426" i="1"/>
  <c r="AA426" i="1"/>
  <c r="AF425" i="1"/>
  <c r="AE425" i="1"/>
  <c r="AD425" i="1"/>
  <c r="AC425" i="1"/>
  <c r="AB425" i="1"/>
  <c r="AA425" i="1"/>
  <c r="AF424" i="1"/>
  <c r="AE424" i="1"/>
  <c r="AD424" i="1"/>
  <c r="AC424" i="1"/>
  <c r="AB424" i="1"/>
  <c r="AA424" i="1"/>
  <c r="AF423" i="1"/>
  <c r="AE423" i="1"/>
  <c r="AD423" i="1"/>
  <c r="AC423" i="1"/>
  <c r="AB423" i="1"/>
  <c r="AA423" i="1"/>
  <c r="AF422" i="1"/>
  <c r="AE422" i="1"/>
  <c r="AD422" i="1"/>
  <c r="AC422" i="1"/>
  <c r="AB422" i="1"/>
  <c r="AA422" i="1"/>
  <c r="AF421" i="1"/>
  <c r="AE421" i="1"/>
  <c r="AD421" i="1"/>
  <c r="AC421" i="1"/>
  <c r="AB421" i="1"/>
  <c r="AA421" i="1"/>
  <c r="AF420" i="1"/>
  <c r="AE420" i="1"/>
  <c r="AD420" i="1"/>
  <c r="AC420" i="1"/>
  <c r="AB420" i="1"/>
  <c r="AA420" i="1"/>
  <c r="AF419" i="1"/>
  <c r="AE419" i="1"/>
  <c r="AD419" i="1"/>
  <c r="AC419" i="1"/>
  <c r="AB419" i="1"/>
  <c r="AA419" i="1"/>
  <c r="AF418" i="1"/>
  <c r="AE418" i="1"/>
  <c r="AD418" i="1"/>
  <c r="AC418" i="1"/>
  <c r="AB418" i="1"/>
  <c r="AA418" i="1"/>
  <c r="AF417" i="1"/>
  <c r="AE417" i="1"/>
  <c r="AD417" i="1"/>
  <c r="AC417" i="1"/>
  <c r="AB417" i="1"/>
  <c r="AA417" i="1"/>
  <c r="AF416" i="1"/>
  <c r="AE416" i="1"/>
  <c r="AD416" i="1"/>
  <c r="AC416" i="1"/>
  <c r="AB416" i="1"/>
  <c r="AA416" i="1"/>
  <c r="AF415" i="1"/>
  <c r="AE415" i="1"/>
  <c r="AD415" i="1"/>
  <c r="AC415" i="1"/>
  <c r="AB415" i="1"/>
  <c r="AA415" i="1"/>
  <c r="AF414" i="1"/>
  <c r="AE414" i="1"/>
  <c r="AD414" i="1"/>
  <c r="AC414" i="1"/>
  <c r="AB414" i="1"/>
  <c r="AA414" i="1"/>
  <c r="AF413" i="1"/>
  <c r="AE413" i="1"/>
  <c r="AD413" i="1"/>
  <c r="AC413" i="1"/>
  <c r="AB413" i="1"/>
  <c r="AA413" i="1"/>
  <c r="AF412" i="1"/>
  <c r="AE412" i="1"/>
  <c r="AD412" i="1"/>
  <c r="AC412" i="1"/>
  <c r="AB412" i="1"/>
  <c r="AA412" i="1"/>
  <c r="AF411" i="1"/>
  <c r="AE411" i="1"/>
  <c r="AD411" i="1"/>
  <c r="AC411" i="1"/>
  <c r="AB411" i="1"/>
  <c r="AA411" i="1"/>
  <c r="AF410" i="1"/>
  <c r="AE410" i="1"/>
  <c r="AD410" i="1"/>
  <c r="AC410" i="1"/>
  <c r="AB410" i="1"/>
  <c r="AA410" i="1"/>
  <c r="AF409" i="1"/>
  <c r="AE409" i="1"/>
  <c r="AD409" i="1"/>
  <c r="AC409" i="1"/>
  <c r="AB409" i="1"/>
  <c r="AA409" i="1"/>
  <c r="AF408" i="1"/>
  <c r="AE408" i="1"/>
  <c r="AD408" i="1"/>
  <c r="AC408" i="1"/>
  <c r="AB408" i="1"/>
  <c r="AA408" i="1"/>
  <c r="AF407" i="1"/>
  <c r="AE407" i="1"/>
  <c r="AD407" i="1"/>
  <c r="AC407" i="1"/>
  <c r="AB407" i="1"/>
  <c r="AA407" i="1"/>
  <c r="AF406" i="1"/>
  <c r="AE406" i="1"/>
  <c r="AD406" i="1"/>
  <c r="AC406" i="1"/>
  <c r="AB406" i="1"/>
  <c r="AA406" i="1"/>
  <c r="AF405" i="1"/>
  <c r="AE405" i="1"/>
  <c r="AD405" i="1"/>
  <c r="AC405" i="1"/>
  <c r="AB405" i="1"/>
  <c r="AA405" i="1"/>
  <c r="AF404" i="1"/>
  <c r="AE404" i="1"/>
  <c r="AD404" i="1"/>
  <c r="AC404" i="1"/>
  <c r="AB404" i="1"/>
  <c r="AA404" i="1"/>
  <c r="AF403" i="1"/>
  <c r="AE403" i="1"/>
  <c r="AD403" i="1"/>
  <c r="AC403" i="1"/>
  <c r="AB403" i="1"/>
  <c r="AA403" i="1"/>
  <c r="AF402" i="1"/>
  <c r="AE402" i="1"/>
  <c r="AD402" i="1"/>
  <c r="AC402" i="1"/>
  <c r="AB402" i="1"/>
  <c r="AA402" i="1"/>
  <c r="AF401" i="1"/>
  <c r="AE401" i="1"/>
  <c r="AD401" i="1"/>
  <c r="AC401" i="1"/>
  <c r="AB401" i="1"/>
  <c r="AA401" i="1"/>
  <c r="AF400" i="1"/>
  <c r="AE400" i="1"/>
  <c r="AD400" i="1"/>
  <c r="AC400" i="1"/>
  <c r="AB400" i="1"/>
  <c r="AA400" i="1"/>
  <c r="AF399" i="1"/>
  <c r="AE399" i="1"/>
  <c r="AD399" i="1"/>
  <c r="AC399" i="1"/>
  <c r="AB399" i="1"/>
  <c r="AA399" i="1"/>
  <c r="AF398" i="1"/>
  <c r="AE398" i="1"/>
  <c r="AD398" i="1"/>
  <c r="AC398" i="1"/>
  <c r="AB398" i="1"/>
  <c r="AA398" i="1"/>
  <c r="AF397" i="1"/>
  <c r="AE397" i="1"/>
  <c r="AD397" i="1"/>
  <c r="AC397" i="1"/>
  <c r="AB397" i="1"/>
  <c r="AA397" i="1"/>
  <c r="AF396" i="1"/>
  <c r="AE396" i="1"/>
  <c r="AD396" i="1"/>
  <c r="AC396" i="1"/>
  <c r="AB396" i="1"/>
  <c r="AA396" i="1"/>
  <c r="AF395" i="1"/>
  <c r="AE395" i="1"/>
  <c r="AD395" i="1"/>
  <c r="AC395" i="1"/>
  <c r="AB395" i="1"/>
  <c r="AA395" i="1"/>
  <c r="AF394" i="1"/>
  <c r="AE394" i="1"/>
  <c r="AD394" i="1"/>
  <c r="AC394" i="1"/>
  <c r="AB394" i="1"/>
  <c r="AA394" i="1"/>
  <c r="AF393" i="1"/>
  <c r="AE393" i="1"/>
  <c r="AD393" i="1"/>
  <c r="AC393" i="1"/>
  <c r="AB393" i="1"/>
  <c r="AA393" i="1"/>
  <c r="AF392" i="1"/>
  <c r="AE392" i="1"/>
  <c r="AD392" i="1"/>
  <c r="AC392" i="1"/>
  <c r="AB392" i="1"/>
  <c r="AA392" i="1"/>
  <c r="AF391" i="1"/>
  <c r="AE391" i="1"/>
  <c r="AD391" i="1"/>
  <c r="AC391" i="1"/>
  <c r="AB391" i="1"/>
  <c r="AA391" i="1"/>
  <c r="AF390" i="1"/>
  <c r="AE390" i="1"/>
  <c r="AD390" i="1"/>
  <c r="AC390" i="1"/>
  <c r="AB390" i="1"/>
  <c r="AA390" i="1"/>
  <c r="AF389" i="1"/>
  <c r="AE389" i="1"/>
  <c r="AD389" i="1"/>
  <c r="AC389" i="1"/>
  <c r="AB389" i="1"/>
  <c r="AA389" i="1"/>
  <c r="AF388" i="1"/>
  <c r="AE388" i="1"/>
  <c r="AD388" i="1"/>
  <c r="AC388" i="1"/>
  <c r="AB388" i="1"/>
  <c r="AA388" i="1"/>
  <c r="AF387" i="1"/>
  <c r="AE387" i="1"/>
  <c r="AD387" i="1"/>
  <c r="AC387" i="1"/>
  <c r="AB387" i="1"/>
  <c r="AA387" i="1"/>
  <c r="AF386" i="1"/>
  <c r="AE386" i="1"/>
  <c r="AD386" i="1"/>
  <c r="AC386" i="1"/>
  <c r="AB386" i="1"/>
  <c r="AA386" i="1"/>
  <c r="AF385" i="1"/>
  <c r="AE385" i="1"/>
  <c r="AD385" i="1"/>
  <c r="AC385" i="1"/>
  <c r="AB385" i="1"/>
  <c r="AA385" i="1"/>
  <c r="AF384" i="1"/>
  <c r="AE384" i="1"/>
  <c r="AD384" i="1"/>
  <c r="AC384" i="1"/>
  <c r="AB384" i="1"/>
  <c r="AA384" i="1"/>
  <c r="AF383" i="1"/>
  <c r="AE383" i="1"/>
  <c r="AD383" i="1"/>
  <c r="AC383" i="1"/>
  <c r="AB383" i="1"/>
  <c r="AA383" i="1"/>
  <c r="AF382" i="1"/>
  <c r="AE382" i="1"/>
  <c r="AD382" i="1"/>
  <c r="AC382" i="1"/>
  <c r="AB382" i="1"/>
  <c r="AA382" i="1"/>
  <c r="AF381" i="1"/>
  <c r="AE381" i="1"/>
  <c r="AD381" i="1"/>
  <c r="AC381" i="1"/>
  <c r="AB381" i="1"/>
  <c r="AA381" i="1"/>
  <c r="AF380" i="1"/>
  <c r="AE380" i="1"/>
  <c r="AD380" i="1"/>
  <c r="AC380" i="1"/>
  <c r="AB380" i="1"/>
  <c r="AA380" i="1"/>
  <c r="AF379" i="1"/>
  <c r="AE379" i="1"/>
  <c r="AD379" i="1"/>
  <c r="AC379" i="1"/>
  <c r="AB379" i="1"/>
  <c r="AA379" i="1"/>
  <c r="AF378" i="1"/>
  <c r="AE378" i="1"/>
  <c r="AD378" i="1"/>
  <c r="AC378" i="1"/>
  <c r="AB378" i="1"/>
  <c r="AA378" i="1"/>
  <c r="AF377" i="1"/>
  <c r="AE377" i="1"/>
  <c r="AD377" i="1"/>
  <c r="AC377" i="1"/>
  <c r="AB377" i="1"/>
  <c r="AA377" i="1"/>
  <c r="AF376" i="1"/>
  <c r="AE376" i="1"/>
  <c r="AD376" i="1"/>
  <c r="AC376" i="1"/>
  <c r="AB376" i="1"/>
  <c r="AA376" i="1"/>
  <c r="AF375" i="1"/>
  <c r="AE375" i="1"/>
  <c r="AD375" i="1"/>
  <c r="AC375" i="1"/>
  <c r="AB375" i="1"/>
  <c r="AA375" i="1"/>
  <c r="AF374" i="1"/>
  <c r="AE374" i="1"/>
  <c r="AD374" i="1"/>
  <c r="AC374" i="1"/>
  <c r="AB374" i="1"/>
  <c r="AA374" i="1"/>
  <c r="AF373" i="1"/>
  <c r="AE373" i="1"/>
  <c r="AD373" i="1"/>
  <c r="AC373" i="1"/>
  <c r="AB373" i="1"/>
  <c r="AA373" i="1"/>
  <c r="AF372" i="1"/>
  <c r="AE372" i="1"/>
  <c r="AD372" i="1"/>
  <c r="AC372" i="1"/>
  <c r="AB372" i="1"/>
  <c r="AA372" i="1"/>
  <c r="AF371" i="1"/>
  <c r="AE371" i="1"/>
  <c r="AD371" i="1"/>
  <c r="AC371" i="1"/>
  <c r="AB371" i="1"/>
  <c r="AA371" i="1"/>
  <c r="AF370" i="1"/>
  <c r="AE370" i="1"/>
  <c r="AD370" i="1"/>
  <c r="AC370" i="1"/>
  <c r="AB370" i="1"/>
  <c r="AA370" i="1"/>
  <c r="AF369" i="1"/>
  <c r="AE369" i="1"/>
  <c r="AD369" i="1"/>
  <c r="AC369" i="1"/>
  <c r="AB369" i="1"/>
  <c r="AA369" i="1"/>
  <c r="AF368" i="1"/>
  <c r="AE368" i="1"/>
  <c r="AD368" i="1"/>
  <c r="AC368" i="1"/>
  <c r="AB368" i="1"/>
  <c r="AA368" i="1"/>
  <c r="AF367" i="1"/>
  <c r="AE367" i="1"/>
  <c r="AD367" i="1"/>
  <c r="AC367" i="1"/>
  <c r="AB367" i="1"/>
  <c r="AA367" i="1"/>
  <c r="AF366" i="1"/>
  <c r="AE366" i="1"/>
  <c r="AD366" i="1"/>
  <c r="AC366" i="1"/>
  <c r="AB366" i="1"/>
  <c r="AA366" i="1"/>
  <c r="AF365" i="1"/>
  <c r="AE365" i="1"/>
  <c r="AD365" i="1"/>
  <c r="AC365" i="1"/>
  <c r="AB365" i="1"/>
  <c r="AA365" i="1"/>
  <c r="AF364" i="1"/>
  <c r="AE364" i="1"/>
  <c r="AD364" i="1"/>
  <c r="AC364" i="1"/>
  <c r="AB364" i="1"/>
  <c r="AA364" i="1"/>
  <c r="AF363" i="1"/>
  <c r="AE363" i="1"/>
  <c r="AD363" i="1"/>
  <c r="AC363" i="1"/>
  <c r="AB363" i="1"/>
  <c r="AA363" i="1"/>
  <c r="AF362" i="1"/>
  <c r="AE362" i="1"/>
  <c r="AD362" i="1"/>
  <c r="AC362" i="1"/>
  <c r="AB362" i="1"/>
  <c r="AA362" i="1"/>
  <c r="AF361" i="1"/>
  <c r="AE361" i="1"/>
  <c r="AD361" i="1"/>
  <c r="AC361" i="1"/>
  <c r="AB361" i="1"/>
  <c r="AA361" i="1"/>
  <c r="AF360" i="1"/>
  <c r="AE360" i="1"/>
  <c r="AD360" i="1"/>
  <c r="AC360" i="1"/>
  <c r="AB360" i="1"/>
  <c r="AA360" i="1"/>
  <c r="AF359" i="1"/>
  <c r="AE359" i="1"/>
  <c r="AD359" i="1"/>
  <c r="AC359" i="1"/>
  <c r="AB359" i="1"/>
  <c r="AA359" i="1"/>
  <c r="AF358" i="1"/>
  <c r="AE358" i="1"/>
  <c r="AD358" i="1"/>
  <c r="AC358" i="1"/>
  <c r="AB358" i="1"/>
  <c r="AA358" i="1"/>
  <c r="AF357" i="1"/>
  <c r="AE357" i="1"/>
  <c r="AD357" i="1"/>
  <c r="AC357" i="1"/>
  <c r="AB357" i="1"/>
  <c r="AA357" i="1"/>
  <c r="AF356" i="1"/>
  <c r="AE356" i="1"/>
  <c r="AD356" i="1"/>
  <c r="AC356" i="1"/>
  <c r="AB356" i="1"/>
  <c r="AA356" i="1"/>
  <c r="AF355" i="1"/>
  <c r="AE355" i="1"/>
  <c r="AD355" i="1"/>
  <c r="AC355" i="1"/>
  <c r="AB355" i="1"/>
  <c r="AA355" i="1"/>
  <c r="AF354" i="1"/>
  <c r="AE354" i="1"/>
  <c r="AD354" i="1"/>
  <c r="AC354" i="1"/>
  <c r="AB354" i="1"/>
  <c r="AA354" i="1"/>
  <c r="AF353" i="1"/>
  <c r="AE353" i="1"/>
  <c r="AD353" i="1"/>
  <c r="AC353" i="1"/>
  <c r="AB353" i="1"/>
  <c r="AA353" i="1"/>
  <c r="AF352" i="1"/>
  <c r="AE352" i="1"/>
  <c r="AD352" i="1"/>
  <c r="AC352" i="1"/>
  <c r="AB352" i="1"/>
  <c r="AA352" i="1"/>
  <c r="AF351" i="1"/>
  <c r="AE351" i="1"/>
  <c r="AD351" i="1"/>
  <c r="AC351" i="1"/>
  <c r="AB351" i="1"/>
  <c r="AA351" i="1"/>
  <c r="AF350" i="1"/>
  <c r="AE350" i="1"/>
  <c r="AD350" i="1"/>
  <c r="AC350" i="1"/>
  <c r="AB350" i="1"/>
  <c r="AA350" i="1"/>
  <c r="AF349" i="1"/>
  <c r="AE349" i="1"/>
  <c r="AD349" i="1"/>
  <c r="AC349" i="1"/>
  <c r="AB349" i="1"/>
  <c r="AA349" i="1"/>
  <c r="AF348" i="1"/>
  <c r="AE348" i="1"/>
  <c r="AD348" i="1"/>
  <c r="AC348" i="1"/>
  <c r="AB348" i="1"/>
  <c r="AA348" i="1"/>
  <c r="AF347" i="1"/>
  <c r="AE347" i="1"/>
  <c r="AD347" i="1"/>
  <c r="AC347" i="1"/>
  <c r="AB347" i="1"/>
  <c r="AA347" i="1"/>
  <c r="AF346" i="1"/>
  <c r="AE346" i="1"/>
  <c r="AD346" i="1"/>
  <c r="AC346" i="1"/>
  <c r="AB346" i="1"/>
  <c r="AA346" i="1"/>
  <c r="AF345" i="1"/>
  <c r="AE345" i="1"/>
  <c r="AD345" i="1"/>
  <c r="AC345" i="1"/>
  <c r="AB345" i="1"/>
  <c r="AA345" i="1"/>
  <c r="AF344" i="1"/>
  <c r="AE344" i="1"/>
  <c r="AD344" i="1"/>
  <c r="AC344" i="1"/>
  <c r="AB344" i="1"/>
  <c r="AA344" i="1"/>
  <c r="AF343" i="1"/>
  <c r="AE343" i="1"/>
  <c r="AD343" i="1"/>
  <c r="AC343" i="1"/>
  <c r="AB343" i="1"/>
  <c r="AA343" i="1"/>
  <c r="AF342" i="1"/>
  <c r="AE342" i="1"/>
  <c r="AD342" i="1"/>
  <c r="AC342" i="1"/>
  <c r="AB342" i="1"/>
  <c r="AA342" i="1"/>
  <c r="AF341" i="1"/>
  <c r="AE341" i="1"/>
  <c r="AD341" i="1"/>
  <c r="AC341" i="1"/>
  <c r="AB341" i="1"/>
  <c r="AA341" i="1"/>
  <c r="AF340" i="1"/>
  <c r="AE340" i="1"/>
  <c r="AD340" i="1"/>
  <c r="AC340" i="1"/>
  <c r="AB340" i="1"/>
  <c r="AA340" i="1"/>
  <c r="AF339" i="1"/>
  <c r="AE339" i="1"/>
  <c r="AD339" i="1"/>
  <c r="AC339" i="1"/>
  <c r="AB339" i="1"/>
  <c r="AA339" i="1"/>
  <c r="AF338" i="1"/>
  <c r="AE338" i="1"/>
  <c r="AD338" i="1"/>
  <c r="AC338" i="1"/>
  <c r="AB338" i="1"/>
  <c r="AA338" i="1"/>
  <c r="AF337" i="1"/>
  <c r="AE337" i="1"/>
  <c r="AD337" i="1"/>
  <c r="AC337" i="1"/>
  <c r="AB337" i="1"/>
  <c r="AA337" i="1"/>
  <c r="AF336" i="1"/>
  <c r="AE336" i="1"/>
  <c r="AD336" i="1"/>
  <c r="AC336" i="1"/>
  <c r="AB336" i="1"/>
  <c r="AA336" i="1"/>
  <c r="AF335" i="1"/>
  <c r="AE335" i="1"/>
  <c r="AD335" i="1"/>
  <c r="AC335" i="1"/>
  <c r="AB335" i="1"/>
  <c r="AA335" i="1"/>
  <c r="AF334" i="1"/>
  <c r="AE334" i="1"/>
  <c r="AD334" i="1"/>
  <c r="AC334" i="1"/>
  <c r="AB334" i="1"/>
  <c r="AA334" i="1"/>
  <c r="AF333" i="1"/>
  <c r="AE333" i="1"/>
  <c r="AD333" i="1"/>
  <c r="AC333" i="1"/>
  <c r="AB333" i="1"/>
  <c r="AA333" i="1"/>
  <c r="AF332" i="1"/>
  <c r="AE332" i="1"/>
  <c r="AD332" i="1"/>
  <c r="AC332" i="1"/>
  <c r="AB332" i="1"/>
  <c r="AA332" i="1"/>
  <c r="AF331" i="1"/>
  <c r="AE331" i="1"/>
  <c r="AD331" i="1"/>
  <c r="AC331" i="1"/>
  <c r="AB331" i="1"/>
  <c r="AA331" i="1"/>
  <c r="AF330" i="1"/>
  <c r="AE330" i="1"/>
  <c r="AD330" i="1"/>
  <c r="AC330" i="1"/>
  <c r="AB330" i="1"/>
  <c r="AA330" i="1"/>
  <c r="AF329" i="1"/>
  <c r="AE329" i="1"/>
  <c r="AD329" i="1"/>
  <c r="AC329" i="1"/>
  <c r="AB329" i="1"/>
  <c r="AA329" i="1"/>
  <c r="AF328" i="1"/>
  <c r="AE328" i="1"/>
  <c r="AD328" i="1"/>
  <c r="AC328" i="1"/>
  <c r="AA328" i="1"/>
  <c r="AB328" i="1" s="1"/>
  <c r="AF327" i="1"/>
  <c r="AE327" i="1"/>
  <c r="AD327" i="1"/>
  <c r="AC327" i="1"/>
  <c r="AB327" i="1"/>
  <c r="AA327" i="1"/>
  <c r="AF326" i="1"/>
  <c r="AE326" i="1"/>
  <c r="AD326" i="1"/>
  <c r="AC326" i="1"/>
  <c r="AB326" i="1"/>
  <c r="AA326" i="1"/>
  <c r="AF325" i="1"/>
  <c r="AE325" i="1"/>
  <c r="AD325" i="1"/>
  <c r="AC325" i="1"/>
  <c r="AB325" i="1"/>
  <c r="AA325" i="1"/>
  <c r="AF324" i="1"/>
  <c r="AE324" i="1"/>
  <c r="AD324" i="1"/>
  <c r="AC324" i="1"/>
  <c r="AA324" i="1"/>
  <c r="AB324" i="1" s="1"/>
  <c r="AF323" i="1"/>
  <c r="AE323" i="1"/>
  <c r="AD323" i="1"/>
  <c r="AC323" i="1"/>
  <c r="AB323" i="1"/>
  <c r="AA323" i="1"/>
  <c r="AF322" i="1"/>
  <c r="AE322" i="1"/>
  <c r="AD322" i="1"/>
  <c r="AC322" i="1"/>
  <c r="AB322" i="1"/>
  <c r="AA322" i="1"/>
  <c r="AF321" i="1"/>
  <c r="AE321" i="1"/>
  <c r="AD321" i="1"/>
  <c r="AC321" i="1"/>
  <c r="AB321" i="1"/>
  <c r="AA321" i="1"/>
  <c r="AF320" i="1"/>
  <c r="AE320" i="1"/>
  <c r="AD320" i="1"/>
  <c r="AC320" i="1"/>
  <c r="AA320" i="1"/>
  <c r="AB320" i="1" s="1"/>
  <c r="AF319" i="1"/>
  <c r="AE319" i="1"/>
  <c r="AD319" i="1"/>
  <c r="AC319" i="1"/>
  <c r="AB319" i="1"/>
  <c r="AA319" i="1"/>
  <c r="AF318" i="1"/>
  <c r="AE318" i="1"/>
  <c r="AD318" i="1"/>
  <c r="AC318" i="1"/>
  <c r="AB318" i="1"/>
  <c r="AA318" i="1"/>
  <c r="AF317" i="1"/>
  <c r="AE317" i="1"/>
  <c r="AD317" i="1"/>
  <c r="AC317" i="1"/>
  <c r="AB317" i="1"/>
  <c r="AA317" i="1"/>
  <c r="AF316" i="1"/>
  <c r="AE316" i="1"/>
  <c r="AD316" i="1"/>
  <c r="AC316" i="1"/>
  <c r="AA316" i="1"/>
  <c r="AB316" i="1" s="1"/>
  <c r="AF315" i="1"/>
  <c r="AE315" i="1"/>
  <c r="AD315" i="1"/>
  <c r="AC315" i="1"/>
  <c r="AB315" i="1"/>
  <c r="AA315" i="1"/>
  <c r="AF314" i="1"/>
  <c r="AE314" i="1"/>
  <c r="AD314" i="1"/>
  <c r="AC314" i="1"/>
  <c r="AB314" i="1"/>
  <c r="AA314" i="1"/>
  <c r="AF313" i="1"/>
  <c r="AE313" i="1"/>
  <c r="AD313" i="1"/>
  <c r="AC313" i="1"/>
  <c r="AB313" i="1"/>
  <c r="AA313" i="1"/>
  <c r="AF312" i="1"/>
  <c r="AE312" i="1"/>
  <c r="AD312" i="1"/>
  <c r="AC312" i="1"/>
  <c r="AA312" i="1"/>
  <c r="AB312" i="1" s="1"/>
  <c r="AF311" i="1"/>
  <c r="AE311" i="1"/>
  <c r="AD311" i="1"/>
  <c r="AC311" i="1"/>
  <c r="AB311" i="1"/>
  <c r="AA311" i="1"/>
  <c r="AF310" i="1"/>
  <c r="AE310" i="1"/>
  <c r="AD310" i="1"/>
  <c r="AC310" i="1"/>
  <c r="AB310" i="1"/>
  <c r="AA310" i="1"/>
  <c r="AF309" i="1"/>
  <c r="AE309" i="1"/>
  <c r="AD309" i="1"/>
  <c r="AC309" i="1"/>
  <c r="AB309" i="1"/>
  <c r="AA309" i="1"/>
  <c r="AF308" i="1"/>
  <c r="AE308" i="1"/>
  <c r="AD308" i="1"/>
  <c r="AC308" i="1"/>
  <c r="AA308" i="1"/>
  <c r="AB308" i="1" s="1"/>
  <c r="AF307" i="1"/>
  <c r="AE307" i="1"/>
  <c r="AD307" i="1"/>
  <c r="AC307" i="1"/>
  <c r="AB307" i="1"/>
  <c r="AA307" i="1"/>
  <c r="AF306" i="1"/>
  <c r="AE306" i="1"/>
  <c r="AD306" i="1"/>
  <c r="AC306" i="1"/>
  <c r="AB306" i="1"/>
  <c r="AA306" i="1"/>
  <c r="AF305" i="1"/>
  <c r="AE305" i="1"/>
  <c r="AD305" i="1"/>
  <c r="AC305" i="1"/>
  <c r="AB305" i="1"/>
  <c r="AA305" i="1"/>
  <c r="AF304" i="1"/>
  <c r="AE304" i="1"/>
  <c r="AD304" i="1"/>
  <c r="AC304" i="1"/>
  <c r="AA304" i="1"/>
  <c r="AB304" i="1" s="1"/>
  <c r="AF303" i="1"/>
  <c r="AE303" i="1"/>
  <c r="AD303" i="1"/>
  <c r="AC303" i="1"/>
  <c r="AB303" i="1"/>
  <c r="AA303" i="1"/>
  <c r="AF302" i="1"/>
  <c r="AE302" i="1"/>
  <c r="AD302" i="1"/>
  <c r="AC302" i="1"/>
  <c r="AB302" i="1"/>
  <c r="AA302" i="1"/>
  <c r="AF301" i="1"/>
  <c r="AE301" i="1"/>
  <c r="AD301" i="1"/>
  <c r="AC301" i="1"/>
  <c r="AB301" i="1"/>
  <c r="AA301" i="1"/>
  <c r="AF300" i="1"/>
  <c r="AE300" i="1"/>
  <c r="AD300" i="1"/>
  <c r="AC300" i="1"/>
  <c r="AA300" i="1"/>
  <c r="AB300" i="1" s="1"/>
  <c r="AF299" i="1"/>
  <c r="AE299" i="1"/>
  <c r="AD299" i="1"/>
  <c r="AC299" i="1"/>
  <c r="AB299" i="1"/>
  <c r="AA299" i="1"/>
  <c r="AF298" i="1"/>
  <c r="AE298" i="1"/>
  <c r="AD298" i="1"/>
  <c r="AC298" i="1"/>
  <c r="AB298" i="1"/>
  <c r="AA298" i="1"/>
  <c r="AF297" i="1"/>
  <c r="AE297" i="1"/>
  <c r="AD297" i="1"/>
  <c r="AC297" i="1"/>
  <c r="AB297" i="1"/>
  <c r="AA297" i="1"/>
  <c r="AF296" i="1"/>
  <c r="AE296" i="1"/>
  <c r="AD296" i="1"/>
  <c r="AC296" i="1"/>
  <c r="AA296" i="1"/>
  <c r="AB296" i="1" s="1"/>
  <c r="AF295" i="1"/>
  <c r="AE295" i="1"/>
  <c r="AD295" i="1"/>
  <c r="AC295" i="1"/>
  <c r="AB295" i="1"/>
  <c r="AA295" i="1"/>
  <c r="AF294" i="1"/>
  <c r="AE294" i="1"/>
  <c r="AD294" i="1"/>
  <c r="AC294" i="1"/>
  <c r="AB294" i="1"/>
  <c r="AA294" i="1"/>
  <c r="AF293" i="1"/>
  <c r="AE293" i="1"/>
  <c r="AD293" i="1"/>
  <c r="AC293" i="1"/>
  <c r="AB293" i="1"/>
  <c r="AA293" i="1"/>
  <c r="AF292" i="1"/>
  <c r="AE292" i="1"/>
  <c r="AD292" i="1"/>
  <c r="AC292" i="1"/>
  <c r="AA292" i="1"/>
  <c r="AB292" i="1" s="1"/>
  <c r="AF291" i="1"/>
  <c r="AE291" i="1"/>
  <c r="AD291" i="1"/>
  <c r="AC291" i="1"/>
  <c r="AB291" i="1"/>
  <c r="AA291" i="1"/>
  <c r="AF290" i="1"/>
  <c r="AE290" i="1"/>
  <c r="AD290" i="1"/>
  <c r="AC290" i="1"/>
  <c r="AB290" i="1"/>
  <c r="AA290" i="1"/>
  <c r="AF289" i="1"/>
  <c r="AE289" i="1"/>
  <c r="AD289" i="1"/>
  <c r="AC289" i="1"/>
  <c r="AB289" i="1"/>
  <c r="AA289" i="1"/>
  <c r="AF288" i="1"/>
  <c r="AE288" i="1"/>
  <c r="AD288" i="1"/>
  <c r="AC288" i="1"/>
  <c r="AA288" i="1"/>
  <c r="AB288" i="1" s="1"/>
  <c r="AF287" i="1"/>
  <c r="AE287" i="1"/>
  <c r="AD287" i="1"/>
  <c r="AC287" i="1"/>
  <c r="AB287" i="1"/>
  <c r="AA287" i="1"/>
  <c r="AF286" i="1"/>
  <c r="AE286" i="1"/>
  <c r="AD286" i="1"/>
  <c r="AC286" i="1"/>
  <c r="AB286" i="1"/>
  <c r="AA286" i="1"/>
  <c r="AF285" i="1"/>
  <c r="AE285" i="1"/>
  <c r="AD285" i="1"/>
  <c r="AC285" i="1"/>
  <c r="AB285" i="1"/>
  <c r="AA285" i="1"/>
  <c r="AF284" i="1"/>
  <c r="AE284" i="1"/>
  <c r="AD284" i="1"/>
  <c r="AC284" i="1"/>
  <c r="AA284" i="1"/>
  <c r="AB284" i="1" s="1"/>
  <c r="AF283" i="1"/>
  <c r="AE283" i="1"/>
  <c r="AD283" i="1"/>
  <c r="AC283" i="1"/>
  <c r="AB283" i="1"/>
  <c r="AA283" i="1"/>
  <c r="AF282" i="1"/>
  <c r="AE282" i="1"/>
  <c r="AD282" i="1"/>
  <c r="AC282" i="1"/>
  <c r="AB282" i="1"/>
  <c r="AA282" i="1"/>
  <c r="AF281" i="1"/>
  <c r="AE281" i="1"/>
  <c r="AD281" i="1"/>
  <c r="AC281" i="1"/>
  <c r="AB281" i="1"/>
  <c r="AA281" i="1"/>
  <c r="AF280" i="1"/>
  <c r="AE280" i="1"/>
  <c r="AD280" i="1"/>
  <c r="AC280" i="1"/>
  <c r="AA280" i="1"/>
  <c r="AB280" i="1" s="1"/>
  <c r="AF279" i="1"/>
  <c r="AE279" i="1"/>
  <c r="AD279" i="1"/>
  <c r="AC279" i="1"/>
  <c r="AB279" i="1"/>
  <c r="AA279" i="1"/>
  <c r="AF278" i="1"/>
  <c r="AE278" i="1"/>
  <c r="AD278" i="1"/>
  <c r="AC278" i="1"/>
  <c r="AB278" i="1"/>
  <c r="AA278" i="1"/>
  <c r="AF277" i="1"/>
  <c r="AE277" i="1"/>
  <c r="AD277" i="1"/>
  <c r="AC277" i="1"/>
  <c r="AB277" i="1"/>
  <c r="AA277" i="1"/>
  <c r="AF276" i="1"/>
  <c r="AE276" i="1"/>
  <c r="AD276" i="1"/>
  <c r="AC276" i="1"/>
  <c r="AA276" i="1"/>
  <c r="AB276" i="1" s="1"/>
  <c r="AF275" i="1"/>
  <c r="AE275" i="1"/>
  <c r="AD275" i="1"/>
  <c r="AC275" i="1"/>
  <c r="AB275" i="1"/>
  <c r="AA275" i="1"/>
  <c r="AF274" i="1"/>
  <c r="AE274" i="1"/>
  <c r="AD274" i="1"/>
  <c r="AC274" i="1"/>
  <c r="AB274" i="1"/>
  <c r="AA274" i="1"/>
  <c r="AF273" i="1"/>
  <c r="AE273" i="1"/>
  <c r="AD273" i="1"/>
  <c r="AC273" i="1"/>
  <c r="AB273" i="1"/>
  <c r="AA273" i="1"/>
  <c r="AF272" i="1"/>
  <c r="AE272" i="1"/>
  <c r="AD272" i="1"/>
  <c r="AC272" i="1"/>
  <c r="AA272" i="1"/>
  <c r="AB272" i="1" s="1"/>
  <c r="AF271" i="1"/>
  <c r="AE271" i="1"/>
  <c r="AD271" i="1"/>
  <c r="AC271" i="1"/>
  <c r="AB271" i="1"/>
  <c r="AA271" i="1"/>
  <c r="AF270" i="1"/>
  <c r="AE270" i="1"/>
  <c r="AD270" i="1"/>
  <c r="AC270" i="1"/>
  <c r="AB270" i="1"/>
  <c r="AA270" i="1"/>
  <c r="AF269" i="1"/>
  <c r="AE269" i="1"/>
  <c r="AD269" i="1"/>
  <c r="AC269" i="1"/>
  <c r="AB269" i="1"/>
  <c r="AA269" i="1"/>
  <c r="AF268" i="1"/>
  <c r="AE268" i="1"/>
  <c r="AD268" i="1"/>
  <c r="AC268" i="1"/>
  <c r="AA268" i="1"/>
  <c r="AB268" i="1" s="1"/>
  <c r="AF267" i="1"/>
  <c r="AE267" i="1"/>
  <c r="AD267" i="1"/>
  <c r="AC267" i="1"/>
  <c r="AB267" i="1"/>
  <c r="AA267" i="1"/>
  <c r="AF266" i="1"/>
  <c r="AE266" i="1"/>
  <c r="AD266" i="1"/>
  <c r="AC266" i="1"/>
  <c r="AB266" i="1"/>
  <c r="AA266" i="1"/>
  <c r="AF265" i="1"/>
  <c r="AE265" i="1"/>
  <c r="AD265" i="1"/>
  <c r="AC265" i="1"/>
  <c r="AB265" i="1"/>
  <c r="AA265" i="1"/>
  <c r="AF264" i="1"/>
  <c r="AE264" i="1"/>
  <c r="AD264" i="1"/>
  <c r="AC264" i="1"/>
  <c r="AA264" i="1"/>
  <c r="AB264" i="1" s="1"/>
  <c r="AF263" i="1"/>
  <c r="AE263" i="1"/>
  <c r="AD263" i="1"/>
  <c r="AC263" i="1"/>
  <c r="AB263" i="1"/>
  <c r="AA263" i="1"/>
  <c r="AF262" i="1"/>
  <c r="AE262" i="1"/>
  <c r="AD262" i="1"/>
  <c r="AC262" i="1"/>
  <c r="AB262" i="1"/>
  <c r="AA262" i="1"/>
  <c r="AF261" i="1"/>
  <c r="AE261" i="1"/>
  <c r="AD261" i="1"/>
  <c r="AC261" i="1"/>
  <c r="AB261" i="1"/>
  <c r="AA261" i="1"/>
  <c r="AF260" i="1"/>
  <c r="AE260" i="1"/>
  <c r="AD260" i="1"/>
  <c r="AC260" i="1"/>
  <c r="AA260" i="1"/>
  <c r="AB260" i="1" s="1"/>
  <c r="AF259" i="1"/>
  <c r="AE259" i="1"/>
  <c r="AD259" i="1"/>
  <c r="AC259" i="1"/>
  <c r="AB259" i="1"/>
  <c r="AA259" i="1"/>
  <c r="AF258" i="1"/>
  <c r="AE258" i="1"/>
  <c r="AD258" i="1"/>
  <c r="AC258" i="1"/>
  <c r="AB258" i="1"/>
  <c r="AA258" i="1"/>
  <c r="AF257" i="1"/>
  <c r="AE257" i="1"/>
  <c r="AD257" i="1"/>
  <c r="AC257" i="1"/>
  <c r="AB257" i="1"/>
  <c r="AA257" i="1"/>
  <c r="AF256" i="1"/>
  <c r="AE256" i="1"/>
  <c r="AD256" i="1"/>
  <c r="AC256" i="1"/>
  <c r="AA256" i="1"/>
  <c r="AB256" i="1" s="1"/>
  <c r="AF255" i="1"/>
  <c r="AE255" i="1"/>
  <c r="AD255" i="1"/>
  <c r="AC255" i="1"/>
  <c r="AB255" i="1"/>
  <c r="AA255" i="1"/>
  <c r="AF254" i="1"/>
  <c r="AE254" i="1"/>
  <c r="AD254" i="1"/>
  <c r="AC254" i="1"/>
  <c r="AB254" i="1"/>
  <c r="AA254" i="1"/>
  <c r="AF253" i="1"/>
  <c r="AE253" i="1"/>
  <c r="AD253" i="1"/>
  <c r="AC253" i="1"/>
  <c r="AB253" i="1"/>
  <c r="AA253" i="1"/>
  <c r="AF252" i="1"/>
  <c r="AE252" i="1"/>
  <c r="AD252" i="1"/>
  <c r="AC252" i="1"/>
  <c r="AA252" i="1"/>
  <c r="AB252" i="1" s="1"/>
  <c r="AF251" i="1"/>
  <c r="AE251" i="1"/>
  <c r="AD251" i="1"/>
  <c r="AC251" i="1"/>
  <c r="AB251" i="1"/>
  <c r="AA251" i="1"/>
  <c r="AF250" i="1"/>
  <c r="AE250" i="1"/>
  <c r="AD250" i="1"/>
  <c r="AC250" i="1"/>
  <c r="AB250" i="1"/>
  <c r="AA250" i="1"/>
  <c r="AF249" i="1"/>
  <c r="AE249" i="1"/>
  <c r="AD249" i="1"/>
  <c r="AC249" i="1"/>
  <c r="AB249" i="1"/>
  <c r="AA249" i="1"/>
  <c r="AF248" i="1"/>
  <c r="AE248" i="1"/>
  <c r="AD248" i="1"/>
  <c r="AC248" i="1"/>
  <c r="AA248" i="1"/>
  <c r="AB248" i="1" s="1"/>
  <c r="AF247" i="1"/>
  <c r="AE247" i="1"/>
  <c r="AD247" i="1"/>
  <c r="AC247" i="1"/>
  <c r="AB247" i="1"/>
  <c r="AA247" i="1"/>
  <c r="AF246" i="1"/>
  <c r="AE246" i="1"/>
  <c r="AD246" i="1"/>
  <c r="AC246" i="1"/>
  <c r="AB246" i="1"/>
  <c r="AA246" i="1"/>
  <c r="AF245" i="1"/>
  <c r="AE245" i="1"/>
  <c r="AD245" i="1"/>
  <c r="AC245" i="1"/>
  <c r="AB245" i="1"/>
  <c r="AA245" i="1"/>
  <c r="AF244" i="1"/>
  <c r="AE244" i="1"/>
  <c r="AD244" i="1"/>
  <c r="AC244" i="1"/>
  <c r="AA244" i="1"/>
  <c r="AB244" i="1" s="1"/>
  <c r="AF243" i="1"/>
  <c r="AE243" i="1"/>
  <c r="AD243" i="1"/>
  <c r="AC243" i="1"/>
  <c r="AB243" i="1"/>
  <c r="AA243" i="1"/>
  <c r="AF242" i="1"/>
  <c r="AE242" i="1"/>
  <c r="AD242" i="1"/>
  <c r="AC242" i="1"/>
  <c r="AB242" i="1"/>
  <c r="AA242" i="1"/>
  <c r="AF241" i="1"/>
  <c r="AE241" i="1"/>
  <c r="AD241" i="1"/>
  <c r="AC241" i="1"/>
  <c r="AB241" i="1"/>
  <c r="AA241" i="1"/>
  <c r="AF240" i="1"/>
  <c r="AE240" i="1"/>
  <c r="AD240" i="1"/>
  <c r="AC240" i="1"/>
  <c r="AA240" i="1"/>
  <c r="AB240" i="1" s="1"/>
  <c r="AF239" i="1"/>
  <c r="AE239" i="1"/>
  <c r="AD239" i="1"/>
  <c r="AC239" i="1"/>
  <c r="AB239" i="1"/>
  <c r="AA239" i="1"/>
  <c r="AF238" i="1"/>
  <c r="AE238" i="1"/>
  <c r="AD238" i="1"/>
  <c r="AC238" i="1"/>
  <c r="AB238" i="1"/>
  <c r="AA238" i="1"/>
  <c r="AF237" i="1"/>
  <c r="AE237" i="1"/>
  <c r="AD237" i="1"/>
  <c r="AC237" i="1"/>
  <c r="AB237" i="1"/>
  <c r="AA237" i="1"/>
  <c r="AF236" i="1"/>
  <c r="AE236" i="1"/>
  <c r="AD236" i="1"/>
  <c r="AC236" i="1"/>
  <c r="AA236" i="1"/>
  <c r="AB236" i="1" s="1"/>
  <c r="AF235" i="1"/>
  <c r="AE235" i="1"/>
  <c r="AD235" i="1"/>
  <c r="AC235" i="1"/>
  <c r="AB235" i="1"/>
  <c r="AA235" i="1"/>
  <c r="AF234" i="1"/>
  <c r="AE234" i="1"/>
  <c r="AD234" i="1"/>
  <c r="AC234" i="1"/>
  <c r="AB234" i="1"/>
  <c r="AA234" i="1"/>
  <c r="AF233" i="1"/>
  <c r="AE233" i="1"/>
  <c r="AD233" i="1"/>
  <c r="AC233" i="1"/>
  <c r="AB233" i="1"/>
  <c r="AA233" i="1"/>
  <c r="AF232" i="1"/>
  <c r="AE232" i="1"/>
  <c r="AD232" i="1"/>
  <c r="AC232" i="1"/>
  <c r="AA232" i="1"/>
  <c r="AB232" i="1" s="1"/>
  <c r="AF231" i="1"/>
  <c r="AE231" i="1"/>
  <c r="AD231" i="1"/>
  <c r="AC231" i="1"/>
  <c r="AB231" i="1"/>
  <c r="AA231" i="1"/>
  <c r="AF230" i="1"/>
  <c r="AE230" i="1"/>
  <c r="AD230" i="1"/>
  <c r="AC230" i="1"/>
  <c r="AB230" i="1"/>
  <c r="AA230" i="1"/>
  <c r="AF229" i="1"/>
  <c r="AE229" i="1"/>
  <c r="AD229" i="1"/>
  <c r="AC229" i="1"/>
  <c r="AB229" i="1"/>
  <c r="AA229" i="1"/>
  <c r="AF228" i="1"/>
  <c r="AE228" i="1"/>
  <c r="AD228" i="1"/>
  <c r="AC228" i="1"/>
  <c r="AA228" i="1"/>
  <c r="AB228" i="1" s="1"/>
  <c r="AF227" i="1"/>
  <c r="AE227" i="1"/>
  <c r="AD227" i="1"/>
  <c r="AC227" i="1"/>
  <c r="AB227" i="1"/>
  <c r="AA227" i="1"/>
  <c r="AF226" i="1"/>
  <c r="AE226" i="1"/>
  <c r="AD226" i="1"/>
  <c r="AC226" i="1"/>
  <c r="AB226" i="1"/>
  <c r="AA226" i="1"/>
  <c r="AF225" i="1"/>
  <c r="AE225" i="1"/>
  <c r="AD225" i="1"/>
  <c r="AC225" i="1"/>
  <c r="AB225" i="1"/>
  <c r="AA225" i="1"/>
  <c r="AF224" i="1"/>
  <c r="AE224" i="1"/>
  <c r="AD224" i="1"/>
  <c r="AC224" i="1"/>
  <c r="AA224" i="1"/>
  <c r="AB224" i="1" s="1"/>
  <c r="AF223" i="1"/>
  <c r="AE223" i="1"/>
  <c r="AD223" i="1"/>
  <c r="AC223" i="1"/>
  <c r="AB223" i="1"/>
  <c r="AA223" i="1"/>
  <c r="AF222" i="1"/>
  <c r="AE222" i="1"/>
  <c r="AD222" i="1"/>
  <c r="AC222" i="1"/>
  <c r="AB222" i="1"/>
  <c r="AA222" i="1"/>
  <c r="AF221" i="1"/>
  <c r="AE221" i="1"/>
  <c r="AD221" i="1"/>
  <c r="AC221" i="1"/>
  <c r="AB221" i="1"/>
  <c r="AA221" i="1"/>
  <c r="AF220" i="1"/>
  <c r="AE220" i="1"/>
  <c r="AD220" i="1"/>
  <c r="AC220" i="1"/>
  <c r="AA220" i="1"/>
  <c r="AB220" i="1" s="1"/>
  <c r="AF219" i="1"/>
  <c r="AE219" i="1"/>
  <c r="AD219" i="1"/>
  <c r="AC219" i="1"/>
  <c r="AB219" i="1"/>
  <c r="AA219" i="1"/>
  <c r="AF218" i="1"/>
  <c r="AE218" i="1"/>
  <c r="AD218" i="1"/>
  <c r="AC218" i="1"/>
  <c r="AB218" i="1"/>
  <c r="AA218" i="1"/>
  <c r="AF217" i="1"/>
  <c r="AE217" i="1"/>
  <c r="AD217" i="1"/>
  <c r="AC217" i="1"/>
  <c r="AB217" i="1"/>
  <c r="AA217" i="1"/>
  <c r="AF216" i="1"/>
  <c r="AE216" i="1"/>
  <c r="AD216" i="1"/>
  <c r="AC216" i="1"/>
  <c r="AA216" i="1"/>
  <c r="AB216" i="1" s="1"/>
  <c r="AF215" i="1"/>
  <c r="AE215" i="1"/>
  <c r="AD215" i="1"/>
  <c r="AC215" i="1"/>
  <c r="AB215" i="1"/>
  <c r="AA215" i="1"/>
  <c r="AF214" i="1"/>
  <c r="AE214" i="1"/>
  <c r="AD214" i="1"/>
  <c r="AC214" i="1"/>
  <c r="AB214" i="1"/>
  <c r="AA214" i="1"/>
  <c r="AF213" i="1"/>
  <c r="AE213" i="1"/>
  <c r="AD213" i="1"/>
  <c r="AC213" i="1"/>
  <c r="AB213" i="1"/>
  <c r="AA213" i="1"/>
  <c r="AF212" i="1"/>
  <c r="AE212" i="1"/>
  <c r="AD212" i="1"/>
  <c r="AC212" i="1"/>
  <c r="AA212" i="1"/>
  <c r="AB212" i="1" s="1"/>
  <c r="AF211" i="1"/>
  <c r="AE211" i="1"/>
  <c r="AD211" i="1"/>
  <c r="AC211" i="1"/>
  <c r="AB211" i="1"/>
  <c r="AA211" i="1"/>
  <c r="AF210" i="1"/>
  <c r="AE210" i="1"/>
  <c r="AD210" i="1"/>
  <c r="AC210" i="1"/>
  <c r="AB210" i="1"/>
  <c r="AA210" i="1"/>
  <c r="AF209" i="1"/>
  <c r="AE209" i="1"/>
  <c r="AD209" i="1"/>
  <c r="AC209" i="1"/>
  <c r="AB209" i="1"/>
  <c r="AA209" i="1"/>
  <c r="AF208" i="1"/>
  <c r="AE208" i="1"/>
  <c r="AD208" i="1"/>
  <c r="AC208" i="1"/>
  <c r="AA208" i="1"/>
  <c r="AB208" i="1" s="1"/>
  <c r="AF207" i="1"/>
  <c r="AE207" i="1"/>
  <c r="AD207" i="1"/>
  <c r="AC207" i="1"/>
  <c r="AB207" i="1"/>
  <c r="AA207" i="1"/>
  <c r="AF206" i="1"/>
  <c r="AE206" i="1"/>
  <c r="AD206" i="1"/>
  <c r="AC206" i="1"/>
  <c r="AB206" i="1"/>
  <c r="AA206" i="1"/>
  <c r="AF205" i="1"/>
  <c r="AE205" i="1"/>
  <c r="AD205" i="1"/>
  <c r="AC205" i="1"/>
  <c r="AB205" i="1"/>
  <c r="AA205" i="1"/>
  <c r="AF204" i="1"/>
  <c r="AE204" i="1"/>
  <c r="AD204" i="1"/>
  <c r="AC204" i="1"/>
  <c r="AA204" i="1"/>
  <c r="AB204" i="1" s="1"/>
  <c r="AF203" i="1"/>
  <c r="AE203" i="1"/>
  <c r="AD203" i="1"/>
  <c r="AC203" i="1"/>
  <c r="AB203" i="1"/>
  <c r="AA203" i="1"/>
  <c r="AF202" i="1"/>
  <c r="AE202" i="1"/>
  <c r="AD202" i="1"/>
  <c r="AC202" i="1"/>
  <c r="AB202" i="1"/>
  <c r="AA202" i="1"/>
  <c r="AF201" i="1"/>
  <c r="AE201" i="1"/>
  <c r="AD201" i="1"/>
  <c r="AC201" i="1"/>
  <c r="AB201" i="1"/>
  <c r="AA201" i="1"/>
  <c r="AF200" i="1"/>
  <c r="AE200" i="1"/>
  <c r="AD200" i="1"/>
  <c r="AC200" i="1"/>
  <c r="AA200" i="1"/>
  <c r="AB200" i="1" s="1"/>
  <c r="AF199" i="1"/>
  <c r="AE199" i="1"/>
  <c r="AD199" i="1"/>
  <c r="AC199" i="1"/>
  <c r="AB199" i="1"/>
  <c r="AA199" i="1"/>
  <c r="AF198" i="1"/>
  <c r="AE198" i="1"/>
  <c r="AD198" i="1"/>
  <c r="AC198" i="1"/>
  <c r="AB198" i="1"/>
  <c r="AA198" i="1"/>
  <c r="AF197" i="1"/>
  <c r="AE197" i="1"/>
  <c r="AD197" i="1"/>
  <c r="AC197" i="1"/>
  <c r="AB197" i="1"/>
  <c r="AA197" i="1"/>
  <c r="AF196" i="1"/>
  <c r="AE196" i="1"/>
  <c r="AD196" i="1"/>
  <c r="AC196" i="1"/>
  <c r="AA196" i="1"/>
  <c r="AB196" i="1" s="1"/>
  <c r="AF195" i="1"/>
  <c r="AE195" i="1"/>
  <c r="AD195" i="1"/>
  <c r="AC195" i="1"/>
  <c r="AB195" i="1"/>
  <c r="AA195" i="1"/>
  <c r="AF194" i="1"/>
  <c r="AE194" i="1"/>
  <c r="AD194" i="1"/>
  <c r="AC194" i="1"/>
  <c r="AB194" i="1"/>
  <c r="AA194" i="1"/>
  <c r="AF193" i="1"/>
  <c r="AE193" i="1"/>
  <c r="AD193" i="1"/>
  <c r="AC193" i="1"/>
  <c r="AB193" i="1"/>
  <c r="AA193" i="1"/>
  <c r="AF192" i="1"/>
  <c r="AE192" i="1"/>
  <c r="AD192" i="1"/>
  <c r="AC192" i="1"/>
  <c r="AA192" i="1"/>
  <c r="AB192" i="1" s="1"/>
  <c r="AF191" i="1"/>
  <c r="AE191" i="1"/>
  <c r="AD191" i="1"/>
  <c r="AC191" i="1"/>
  <c r="AB191" i="1"/>
  <c r="AA191" i="1"/>
  <c r="AF190" i="1"/>
  <c r="AE190" i="1"/>
  <c r="AD190" i="1"/>
  <c r="AC190" i="1"/>
  <c r="AB190" i="1"/>
  <c r="AA190" i="1"/>
  <c r="AF189" i="1"/>
  <c r="AE189" i="1"/>
  <c r="AD189" i="1"/>
  <c r="AC189" i="1"/>
  <c r="AB189" i="1"/>
  <c r="AA189" i="1"/>
  <c r="AF188" i="1"/>
  <c r="AE188" i="1"/>
  <c r="AD188" i="1"/>
  <c r="AC188" i="1"/>
  <c r="AA188" i="1"/>
  <c r="AB188" i="1" s="1"/>
  <c r="AF187" i="1"/>
  <c r="AE187" i="1"/>
  <c r="AD187" i="1"/>
  <c r="AC187" i="1"/>
  <c r="AB187" i="1"/>
  <c r="AA187" i="1"/>
  <c r="AF186" i="1"/>
  <c r="AE186" i="1"/>
  <c r="AD186" i="1"/>
  <c r="AC186" i="1"/>
  <c r="AB186" i="1"/>
  <c r="AA186" i="1"/>
  <c r="AF185" i="1"/>
  <c r="AE185" i="1"/>
  <c r="AD185" i="1"/>
  <c r="AC185" i="1"/>
  <c r="AB185" i="1"/>
  <c r="AA185" i="1"/>
  <c r="AF184" i="1"/>
  <c r="AE184" i="1"/>
  <c r="AD184" i="1"/>
  <c r="AC184" i="1"/>
  <c r="AA184" i="1"/>
  <c r="AB184" i="1" s="1"/>
  <c r="AF183" i="1"/>
  <c r="AE183" i="1"/>
  <c r="AD183" i="1"/>
  <c r="AC183" i="1"/>
  <c r="AB183" i="1"/>
  <c r="AA183" i="1"/>
  <c r="AF182" i="1"/>
  <c r="AE182" i="1"/>
  <c r="AD182" i="1"/>
  <c r="AC182" i="1"/>
  <c r="AB182" i="1"/>
  <c r="AA182" i="1"/>
  <c r="AF181" i="1"/>
  <c r="AE181" i="1"/>
  <c r="AD181" i="1"/>
  <c r="AC181" i="1"/>
  <c r="AB181" i="1"/>
  <c r="AA181" i="1"/>
  <c r="AF180" i="1"/>
  <c r="AE180" i="1"/>
  <c r="AD180" i="1"/>
  <c r="AC180" i="1"/>
  <c r="AA180" i="1"/>
  <c r="AB180" i="1" s="1"/>
  <c r="AF179" i="1"/>
  <c r="AE179" i="1"/>
  <c r="AD179" i="1"/>
  <c r="AC179" i="1"/>
  <c r="AB179" i="1"/>
  <c r="AA179" i="1"/>
  <c r="AF178" i="1"/>
  <c r="AE178" i="1"/>
  <c r="AD178" i="1"/>
  <c r="AC178" i="1"/>
  <c r="AB178" i="1"/>
  <c r="AA178" i="1"/>
  <c r="AF177" i="1"/>
  <c r="AE177" i="1"/>
  <c r="AD177" i="1"/>
  <c r="AC177" i="1"/>
  <c r="AB177" i="1"/>
  <c r="AA177" i="1"/>
  <c r="AF176" i="1"/>
  <c r="AE176" i="1"/>
  <c r="AD176" i="1"/>
  <c r="AC176" i="1"/>
  <c r="AA176" i="1"/>
  <c r="AB176" i="1" s="1"/>
  <c r="AF175" i="1"/>
  <c r="AE175" i="1"/>
  <c r="AD175" i="1"/>
  <c r="AC175" i="1"/>
  <c r="AB175" i="1"/>
  <c r="AA175" i="1"/>
  <c r="AF174" i="1"/>
  <c r="AE174" i="1"/>
  <c r="AD174" i="1"/>
  <c r="AC174" i="1"/>
  <c r="AB174" i="1"/>
  <c r="AA174" i="1"/>
  <c r="AF173" i="1"/>
  <c r="AE173" i="1"/>
  <c r="AD173" i="1"/>
  <c r="AC173" i="1"/>
  <c r="AB173" i="1"/>
  <c r="AA173" i="1"/>
  <c r="AF172" i="1"/>
  <c r="AE172" i="1"/>
  <c r="AD172" i="1"/>
  <c r="AC172" i="1"/>
  <c r="AA172" i="1"/>
  <c r="AB172" i="1" s="1"/>
  <c r="AF171" i="1"/>
  <c r="AE171" i="1"/>
  <c r="AD171" i="1"/>
  <c r="AC171" i="1"/>
  <c r="AB171" i="1"/>
  <c r="AA171" i="1"/>
  <c r="AF170" i="1"/>
  <c r="AE170" i="1"/>
  <c r="AD170" i="1"/>
  <c r="AC170" i="1"/>
  <c r="AB170" i="1"/>
  <c r="AA170" i="1"/>
  <c r="AF169" i="1"/>
  <c r="AE169" i="1"/>
  <c r="AD169" i="1"/>
  <c r="AC169" i="1"/>
  <c r="AB169" i="1"/>
  <c r="AA169" i="1"/>
  <c r="AF168" i="1"/>
  <c r="AE168" i="1"/>
  <c r="AD168" i="1"/>
  <c r="AC168" i="1"/>
  <c r="AA168" i="1"/>
  <c r="AB168" i="1" s="1"/>
  <c r="AF167" i="1"/>
  <c r="AE167" i="1"/>
  <c r="AD167" i="1"/>
  <c r="AC167" i="1"/>
  <c r="AB167" i="1"/>
  <c r="AA167" i="1"/>
  <c r="AF166" i="1"/>
  <c r="AE166" i="1"/>
  <c r="AD166" i="1"/>
  <c r="AC166" i="1"/>
  <c r="AB166" i="1"/>
  <c r="AA166" i="1"/>
  <c r="AF165" i="1"/>
  <c r="AE165" i="1"/>
  <c r="AD165" i="1"/>
  <c r="AC165" i="1"/>
  <c r="AB165" i="1"/>
  <c r="AA165" i="1"/>
  <c r="AF164" i="1"/>
  <c r="AE164" i="1"/>
  <c r="AD164" i="1"/>
  <c r="AC164" i="1"/>
  <c r="AA164" i="1"/>
  <c r="AB164" i="1" s="1"/>
  <c r="AF163" i="1"/>
  <c r="AE163" i="1"/>
  <c r="AD163" i="1"/>
  <c r="AC163" i="1"/>
  <c r="AB163" i="1"/>
  <c r="AA163" i="1"/>
  <c r="AF162" i="1"/>
  <c r="AE162" i="1"/>
  <c r="AD162" i="1"/>
  <c r="AC162" i="1"/>
  <c r="AB162" i="1"/>
  <c r="AA162" i="1"/>
  <c r="AF161" i="1"/>
  <c r="AE161" i="1"/>
  <c r="AD161" i="1"/>
  <c r="AC161" i="1"/>
  <c r="AB161" i="1"/>
  <c r="AA161" i="1"/>
  <c r="AF160" i="1"/>
  <c r="AE160" i="1"/>
  <c r="AD160" i="1"/>
  <c r="AC160" i="1"/>
  <c r="AA160" i="1"/>
  <c r="AB160" i="1" s="1"/>
  <c r="AF159" i="1"/>
  <c r="AE159" i="1"/>
  <c r="AD159" i="1"/>
  <c r="AC159" i="1"/>
  <c r="AB159" i="1"/>
  <c r="AA159" i="1"/>
  <c r="AF158" i="1"/>
  <c r="AE158" i="1"/>
  <c r="AD158" i="1"/>
  <c r="AC158" i="1"/>
  <c r="AB158" i="1"/>
  <c r="AA158" i="1"/>
  <c r="AF157" i="1"/>
  <c r="AE157" i="1"/>
  <c r="AD157" i="1"/>
  <c r="AC157" i="1"/>
  <c r="AB157" i="1"/>
  <c r="AA157" i="1"/>
  <c r="AF156" i="1"/>
  <c r="AE156" i="1"/>
  <c r="AD156" i="1"/>
  <c r="AC156" i="1"/>
  <c r="AA156" i="1"/>
  <c r="AB156" i="1" s="1"/>
  <c r="AF155" i="1"/>
  <c r="AE155" i="1"/>
  <c r="AD155" i="1"/>
  <c r="AC155" i="1"/>
  <c r="AB155" i="1"/>
  <c r="AA155" i="1"/>
  <c r="AF154" i="1"/>
  <c r="AE154" i="1"/>
  <c r="AD154" i="1"/>
  <c r="AC154" i="1"/>
  <c r="AB154" i="1"/>
  <c r="AA154" i="1"/>
  <c r="AF153" i="1"/>
  <c r="AE153" i="1"/>
  <c r="AD153" i="1"/>
  <c r="AC153" i="1"/>
  <c r="AB153" i="1"/>
  <c r="AA153" i="1"/>
  <c r="AF152" i="1"/>
  <c r="AE152" i="1"/>
  <c r="AD152" i="1"/>
  <c r="AC152" i="1"/>
  <c r="AA152" i="1"/>
  <c r="AB152" i="1" s="1"/>
  <c r="AF151" i="1"/>
  <c r="AE151" i="1"/>
  <c r="AD151" i="1"/>
  <c r="AC151" i="1"/>
  <c r="AB151" i="1"/>
  <c r="AA151" i="1"/>
  <c r="AF150" i="1"/>
  <c r="AE150" i="1"/>
  <c r="AD150" i="1"/>
  <c r="AC150" i="1"/>
  <c r="AB150" i="1"/>
  <c r="AA150" i="1"/>
  <c r="AF149" i="1"/>
  <c r="AE149" i="1"/>
  <c r="AD149" i="1"/>
  <c r="AC149" i="1"/>
  <c r="AB149" i="1"/>
  <c r="AA149" i="1"/>
  <c r="AF148" i="1"/>
  <c r="AE148" i="1"/>
  <c r="AD148" i="1"/>
  <c r="AC148" i="1"/>
  <c r="AA148" i="1"/>
  <c r="AB148" i="1" s="1"/>
  <c r="AF147" i="1"/>
  <c r="AE147" i="1"/>
  <c r="AD147" i="1"/>
  <c r="AC147" i="1"/>
  <c r="AB147" i="1"/>
  <c r="AA147" i="1"/>
  <c r="AF146" i="1"/>
  <c r="AE146" i="1"/>
  <c r="AD146" i="1"/>
  <c r="AC146" i="1"/>
  <c r="AB146" i="1"/>
  <c r="AA146" i="1"/>
  <c r="AF145" i="1"/>
  <c r="AE145" i="1"/>
  <c r="AD145" i="1"/>
  <c r="AC145" i="1"/>
  <c r="AB145" i="1"/>
  <c r="AA145" i="1"/>
  <c r="AF144" i="1"/>
  <c r="AE144" i="1"/>
  <c r="AD144" i="1"/>
  <c r="AC144" i="1"/>
  <c r="AA144" i="1"/>
  <c r="AB144" i="1" s="1"/>
  <c r="AF143" i="1"/>
  <c r="AE143" i="1"/>
  <c r="AD143" i="1"/>
  <c r="AC143" i="1"/>
  <c r="AB143" i="1"/>
  <c r="AA143" i="1"/>
  <c r="AF142" i="1"/>
  <c r="AE142" i="1"/>
  <c r="AD142" i="1"/>
  <c r="AC142" i="1"/>
  <c r="AB142" i="1"/>
  <c r="AA142" i="1"/>
  <c r="AF141" i="1"/>
  <c r="AE141" i="1"/>
  <c r="AD141" i="1"/>
  <c r="AC141" i="1"/>
  <c r="AB141" i="1"/>
  <c r="AA141" i="1"/>
  <c r="AF140" i="1"/>
  <c r="AE140" i="1"/>
  <c r="AD140" i="1"/>
  <c r="AC140" i="1"/>
  <c r="AA140" i="1"/>
  <c r="AB140" i="1" s="1"/>
  <c r="AF139" i="1"/>
  <c r="AE139" i="1"/>
  <c r="AD139" i="1"/>
  <c r="AC139" i="1"/>
  <c r="AB139" i="1"/>
  <c r="AA139" i="1"/>
  <c r="AF138" i="1"/>
  <c r="AE138" i="1"/>
  <c r="AD138" i="1"/>
  <c r="AC138" i="1"/>
  <c r="AB138" i="1"/>
  <c r="AA138" i="1"/>
  <c r="AF137" i="1"/>
  <c r="AE137" i="1"/>
  <c r="AD137" i="1"/>
  <c r="AC137" i="1"/>
  <c r="AB137" i="1"/>
  <c r="AA137" i="1"/>
  <c r="AF136" i="1"/>
  <c r="AE136" i="1"/>
  <c r="AD136" i="1"/>
  <c r="AC136" i="1"/>
  <c r="AA136" i="1"/>
  <c r="AB136" i="1" s="1"/>
  <c r="AF135" i="1"/>
  <c r="AE135" i="1"/>
  <c r="AD135" i="1"/>
  <c r="AC135" i="1"/>
  <c r="AB135" i="1"/>
  <c r="AA135" i="1"/>
  <c r="AF134" i="1"/>
  <c r="AE134" i="1"/>
  <c r="AD134" i="1"/>
  <c r="AC134" i="1"/>
  <c r="AB134" i="1"/>
  <c r="AA134" i="1"/>
  <c r="AF133" i="1"/>
  <c r="AE133" i="1"/>
  <c r="AD133" i="1"/>
  <c r="AC133" i="1"/>
  <c r="AB133" i="1"/>
  <c r="AA133" i="1"/>
  <c r="AF132" i="1"/>
  <c r="AE132" i="1"/>
  <c r="AD132" i="1"/>
  <c r="AC132" i="1"/>
  <c r="AA132" i="1"/>
  <c r="AB132" i="1" s="1"/>
  <c r="AF131" i="1"/>
  <c r="AE131" i="1"/>
  <c r="AD131" i="1"/>
  <c r="AC131" i="1"/>
  <c r="AB131" i="1"/>
  <c r="AA131" i="1"/>
  <c r="AF130" i="1"/>
  <c r="AE130" i="1"/>
  <c r="AD130" i="1"/>
  <c r="AC130" i="1"/>
  <c r="AB130" i="1"/>
  <c r="AA130" i="1"/>
  <c r="AF129" i="1"/>
  <c r="AE129" i="1"/>
  <c r="AD129" i="1"/>
  <c r="AC129" i="1"/>
  <c r="AB129" i="1"/>
  <c r="AA129" i="1"/>
  <c r="AF128" i="1"/>
  <c r="AE128" i="1"/>
  <c r="AD128" i="1"/>
  <c r="AC128" i="1"/>
  <c r="AA128" i="1"/>
  <c r="AB128" i="1" s="1"/>
  <c r="AF127" i="1"/>
  <c r="AE127" i="1"/>
  <c r="AD127" i="1"/>
  <c r="AC127" i="1"/>
  <c r="AB127" i="1"/>
  <c r="AA127" i="1"/>
  <c r="AF126" i="1"/>
  <c r="AE126" i="1"/>
  <c r="AD126" i="1"/>
  <c r="AC126" i="1"/>
  <c r="AB126" i="1"/>
  <c r="AA126" i="1"/>
  <c r="AF125" i="1"/>
  <c r="AE125" i="1"/>
  <c r="AD125" i="1"/>
  <c r="AC125" i="1"/>
  <c r="AB125" i="1"/>
  <c r="AA125" i="1"/>
  <c r="AF124" i="1"/>
  <c r="AE124" i="1"/>
  <c r="AD124" i="1"/>
  <c r="AC124" i="1"/>
  <c r="AA124" i="1"/>
  <c r="AB124" i="1" s="1"/>
  <c r="AF123" i="1"/>
  <c r="AE123" i="1"/>
  <c r="AD123" i="1"/>
  <c r="AC123" i="1"/>
  <c r="AB123" i="1"/>
  <c r="AA123" i="1"/>
  <c r="AF122" i="1"/>
  <c r="AE122" i="1"/>
  <c r="AD122" i="1"/>
  <c r="AC122" i="1"/>
  <c r="AB122" i="1"/>
  <c r="AA122" i="1"/>
  <c r="AF121" i="1"/>
  <c r="AE121" i="1"/>
  <c r="AD121" i="1"/>
  <c r="AC121" i="1"/>
  <c r="AB121" i="1"/>
  <c r="AA121" i="1"/>
  <c r="AF120" i="1"/>
  <c r="AE120" i="1"/>
  <c r="AD120" i="1"/>
  <c r="AC120" i="1"/>
  <c r="AA120" i="1"/>
  <c r="AB120" i="1" s="1"/>
  <c r="AF119" i="1"/>
  <c r="AE119" i="1"/>
  <c r="AD119" i="1"/>
  <c r="AC119" i="1"/>
  <c r="AB119" i="1"/>
  <c r="AA119" i="1"/>
  <c r="AF118" i="1"/>
  <c r="AE118" i="1"/>
  <c r="AD118" i="1"/>
  <c r="AC118" i="1"/>
  <c r="AB118" i="1"/>
  <c r="AA118" i="1"/>
  <c r="AF117" i="1"/>
  <c r="AE117" i="1"/>
  <c r="AD117" i="1"/>
  <c r="AC117" i="1"/>
  <c r="AB117" i="1"/>
  <c r="AA117" i="1"/>
  <c r="AF116" i="1"/>
  <c r="AE116" i="1"/>
  <c r="AD116" i="1"/>
  <c r="AC116" i="1"/>
  <c r="AA116" i="1"/>
  <c r="AB116" i="1" s="1"/>
  <c r="AF115" i="1"/>
  <c r="AE115" i="1"/>
  <c r="AD115" i="1"/>
  <c r="AC115" i="1"/>
  <c r="AB115" i="1"/>
  <c r="AA115" i="1"/>
  <c r="AF114" i="1"/>
  <c r="AE114" i="1"/>
  <c r="AD114" i="1"/>
  <c r="AC114" i="1"/>
  <c r="AB114" i="1"/>
  <c r="AA114" i="1"/>
  <c r="AF113" i="1"/>
  <c r="AE113" i="1"/>
  <c r="AD113" i="1"/>
  <c r="AC113" i="1"/>
  <c r="AB113" i="1"/>
  <c r="AA113" i="1"/>
  <c r="AF112" i="1"/>
  <c r="AE112" i="1"/>
  <c r="AD112" i="1"/>
  <c r="AC112" i="1"/>
  <c r="AA112" i="1"/>
  <c r="AB112" i="1" s="1"/>
  <c r="AF111" i="1"/>
  <c r="AE111" i="1"/>
  <c r="AD111" i="1"/>
  <c r="AC111" i="1"/>
  <c r="AB111" i="1"/>
  <c r="AA111" i="1"/>
  <c r="AF110" i="1"/>
  <c r="AE110" i="1"/>
  <c r="AD110" i="1"/>
  <c r="AC110" i="1"/>
  <c r="AB110" i="1"/>
  <c r="AA110" i="1"/>
  <c r="AF109" i="1"/>
  <c r="AE109" i="1"/>
  <c r="AD109" i="1"/>
  <c r="AC109" i="1"/>
  <c r="AB109" i="1"/>
  <c r="AA109" i="1"/>
  <c r="AF108" i="1"/>
  <c r="AE108" i="1"/>
  <c r="AD108" i="1"/>
  <c r="AC108" i="1"/>
  <c r="AA108" i="1"/>
  <c r="AB108" i="1" s="1"/>
  <c r="AF107" i="1"/>
  <c r="AE107" i="1"/>
  <c r="AD107" i="1"/>
  <c r="AC107" i="1"/>
  <c r="AB107" i="1"/>
  <c r="AA107" i="1"/>
  <c r="AF106" i="1"/>
  <c r="AE106" i="1"/>
  <c r="AD106" i="1"/>
  <c r="AC106" i="1"/>
  <c r="AB106" i="1"/>
  <c r="AA106" i="1"/>
  <c r="AF105" i="1"/>
  <c r="AE105" i="1"/>
  <c r="AD105" i="1"/>
  <c r="AC105" i="1"/>
  <c r="AB105" i="1"/>
  <c r="AA105" i="1"/>
  <c r="AF104" i="1"/>
  <c r="AE104" i="1"/>
  <c r="AD104" i="1"/>
  <c r="AC104" i="1"/>
  <c r="AA104" i="1"/>
  <c r="AB104" i="1" s="1"/>
  <c r="AF103" i="1"/>
  <c r="AE103" i="1"/>
  <c r="AD103" i="1"/>
  <c r="AC103" i="1"/>
  <c r="AB103" i="1"/>
  <c r="AA103" i="1"/>
  <c r="AF102" i="1"/>
  <c r="AE102" i="1"/>
  <c r="AD102" i="1"/>
  <c r="AC102" i="1"/>
  <c r="AB102" i="1"/>
  <c r="AA102" i="1"/>
  <c r="AF101" i="1"/>
  <c r="AE101" i="1"/>
  <c r="AD101" i="1"/>
  <c r="AC101" i="1"/>
  <c r="AB101" i="1"/>
  <c r="AA101" i="1"/>
  <c r="AF100" i="1"/>
  <c r="AE100" i="1"/>
  <c r="AD100" i="1"/>
  <c r="AC100" i="1"/>
  <c r="AA100" i="1"/>
  <c r="AB100" i="1" s="1"/>
  <c r="AF99" i="1"/>
  <c r="AE99" i="1"/>
  <c r="AD99" i="1"/>
  <c r="AC99" i="1"/>
  <c r="AB99" i="1"/>
  <c r="AA99" i="1"/>
  <c r="AF98" i="1"/>
  <c r="AE98" i="1"/>
  <c r="AD98" i="1"/>
  <c r="AC98" i="1"/>
  <c r="AB98" i="1"/>
  <c r="AA98" i="1"/>
  <c r="AF97" i="1"/>
  <c r="AE97" i="1"/>
  <c r="AD97" i="1"/>
  <c r="AC97" i="1"/>
  <c r="AB97" i="1"/>
  <c r="AA97" i="1"/>
  <c r="AF96" i="1"/>
  <c r="AE96" i="1"/>
  <c r="AD96" i="1"/>
  <c r="AC96" i="1"/>
  <c r="AA96" i="1"/>
  <c r="AB96" i="1" s="1"/>
  <c r="AF95" i="1"/>
  <c r="AE95" i="1"/>
  <c r="AD95" i="1"/>
  <c r="AC95" i="1"/>
  <c r="AB95" i="1"/>
  <c r="AA95" i="1"/>
  <c r="AF94" i="1"/>
  <c r="AE94" i="1"/>
  <c r="AD94" i="1"/>
  <c r="AC94" i="1"/>
  <c r="AB94" i="1"/>
  <c r="AA94" i="1"/>
  <c r="AF93" i="1"/>
  <c r="AE93" i="1"/>
  <c r="AD93" i="1"/>
  <c r="AC93" i="1"/>
  <c r="AB93" i="1"/>
  <c r="AA93" i="1"/>
  <c r="AF92" i="1"/>
  <c r="AE92" i="1"/>
  <c r="AD92" i="1"/>
  <c r="AC92" i="1"/>
  <c r="AA92" i="1"/>
  <c r="AB92" i="1" s="1"/>
  <c r="AF91" i="1"/>
  <c r="AE91" i="1"/>
  <c r="AD91" i="1"/>
  <c r="AC91" i="1"/>
  <c r="AB91" i="1"/>
  <c r="AA91" i="1"/>
  <c r="AF90" i="1"/>
  <c r="AE90" i="1"/>
  <c r="AD90" i="1"/>
  <c r="AC90" i="1"/>
  <c r="AB90" i="1"/>
  <c r="AA90" i="1"/>
  <c r="AF89" i="1"/>
  <c r="AE89" i="1"/>
  <c r="AD89" i="1"/>
  <c r="AC89" i="1"/>
  <c r="AB89" i="1"/>
  <c r="AA89" i="1"/>
  <c r="AF88" i="1"/>
  <c r="AE88" i="1"/>
  <c r="AD88" i="1"/>
  <c r="AC88" i="1"/>
  <c r="AA88" i="1"/>
  <c r="AB88" i="1" s="1"/>
  <c r="AF87" i="1"/>
  <c r="AE87" i="1"/>
  <c r="AD87" i="1"/>
  <c r="AC87" i="1"/>
  <c r="AB87" i="1"/>
  <c r="AA87" i="1"/>
  <c r="AF86" i="1"/>
  <c r="AE86" i="1"/>
  <c r="AD86" i="1"/>
  <c r="AC86" i="1"/>
  <c r="AB86" i="1"/>
  <c r="AA86" i="1"/>
  <c r="AF85" i="1"/>
  <c r="AE85" i="1"/>
  <c r="AD85" i="1"/>
  <c r="AC85" i="1"/>
  <c r="AB85" i="1"/>
  <c r="AA85" i="1"/>
  <c r="AF84" i="1"/>
  <c r="AE84" i="1"/>
  <c r="AD84" i="1"/>
  <c r="AC84" i="1"/>
  <c r="AA84" i="1"/>
  <c r="AB84" i="1" s="1"/>
  <c r="AF83" i="1"/>
  <c r="AE83" i="1"/>
  <c r="AD83" i="1"/>
  <c r="AC83" i="1"/>
  <c r="AB83" i="1"/>
  <c r="AA83" i="1"/>
  <c r="AF82" i="1"/>
  <c r="AE82" i="1"/>
  <c r="AD82" i="1"/>
  <c r="AC82" i="1"/>
  <c r="AB82" i="1"/>
  <c r="AA82" i="1"/>
  <c r="AF81" i="1"/>
  <c r="AE81" i="1"/>
  <c r="AD81" i="1"/>
  <c r="AC81" i="1"/>
  <c r="AB81" i="1"/>
  <c r="AA81" i="1"/>
  <c r="AF80" i="1"/>
  <c r="AE80" i="1"/>
  <c r="AD80" i="1"/>
  <c r="AC80" i="1"/>
  <c r="AA80" i="1"/>
  <c r="AB80" i="1" s="1"/>
  <c r="AF79" i="1"/>
  <c r="AE79" i="1"/>
  <c r="AD79" i="1"/>
  <c r="AC79" i="1"/>
  <c r="AB79" i="1"/>
  <c r="AA79" i="1"/>
  <c r="AF78" i="1"/>
  <c r="AE78" i="1"/>
  <c r="AD78" i="1"/>
  <c r="AC78" i="1"/>
  <c r="AB78" i="1"/>
  <c r="AA78" i="1"/>
  <c r="AF77" i="1"/>
  <c r="AE77" i="1"/>
  <c r="AD77" i="1"/>
  <c r="AC77" i="1"/>
  <c r="AB77" i="1"/>
  <c r="AA77" i="1"/>
  <c r="AF76" i="1"/>
  <c r="AE76" i="1"/>
  <c r="AD76" i="1"/>
  <c r="AC76" i="1"/>
  <c r="AA76" i="1"/>
  <c r="AB76" i="1" s="1"/>
  <c r="AF75" i="1"/>
  <c r="AE75" i="1"/>
  <c r="AD75" i="1"/>
  <c r="AC75" i="1"/>
  <c r="AB75" i="1"/>
  <c r="AA75" i="1"/>
  <c r="AF74" i="1"/>
  <c r="AE74" i="1"/>
  <c r="AD74" i="1"/>
  <c r="AC74" i="1"/>
  <c r="AB74" i="1"/>
  <c r="AA74" i="1"/>
  <c r="AF73" i="1"/>
  <c r="AE73" i="1"/>
  <c r="AD73" i="1"/>
  <c r="AC73" i="1"/>
  <c r="AB73" i="1"/>
  <c r="AA73" i="1"/>
  <c r="AF72" i="1"/>
  <c r="AE72" i="1"/>
  <c r="AD72" i="1"/>
  <c r="AC72" i="1"/>
  <c r="AA72" i="1"/>
  <c r="AB72" i="1" s="1"/>
  <c r="AF71" i="1"/>
  <c r="AE71" i="1"/>
  <c r="AD71" i="1"/>
  <c r="AC71" i="1"/>
  <c r="AB71" i="1"/>
  <c r="AA71" i="1"/>
  <c r="AF70" i="1"/>
  <c r="AE70" i="1"/>
  <c r="AD70" i="1"/>
  <c r="AC70" i="1"/>
  <c r="AB70" i="1"/>
  <c r="AA70" i="1"/>
  <c r="AF69" i="1"/>
  <c r="AE69" i="1"/>
  <c r="AD69" i="1"/>
  <c r="AC69" i="1"/>
  <c r="AB69" i="1"/>
  <c r="AA69" i="1"/>
  <c r="AF68" i="1"/>
  <c r="AE68" i="1"/>
  <c r="AD68" i="1"/>
  <c r="AC68" i="1"/>
  <c r="AA68" i="1"/>
  <c r="AB68" i="1" s="1"/>
  <c r="AF67" i="1"/>
  <c r="AE67" i="1"/>
  <c r="AD67" i="1"/>
  <c r="AC67" i="1"/>
  <c r="AB67" i="1"/>
  <c r="AA67" i="1"/>
  <c r="AF66" i="1"/>
  <c r="AE66" i="1"/>
  <c r="AD66" i="1"/>
  <c r="AC66" i="1"/>
  <c r="AB66" i="1"/>
  <c r="AA66" i="1"/>
  <c r="AF65" i="1"/>
  <c r="AE65" i="1"/>
  <c r="AD65" i="1"/>
  <c r="AC65" i="1"/>
  <c r="AB65" i="1"/>
  <c r="AA65" i="1"/>
  <c r="AF64" i="1"/>
  <c r="AE64" i="1"/>
  <c r="AD64" i="1"/>
  <c r="AC64" i="1"/>
  <c r="AA64" i="1"/>
  <c r="AB64" i="1" s="1"/>
  <c r="AF63" i="1"/>
  <c r="AE63" i="1"/>
  <c r="AD63" i="1"/>
  <c r="AC63" i="1"/>
  <c r="AB63" i="1"/>
  <c r="AA63" i="1"/>
  <c r="AF62" i="1"/>
  <c r="AE62" i="1"/>
  <c r="AD62" i="1"/>
  <c r="AC62" i="1"/>
  <c r="AB62" i="1"/>
  <c r="AA62" i="1"/>
  <c r="AF61" i="1"/>
  <c r="AE61" i="1"/>
  <c r="AD61" i="1"/>
  <c r="AC61" i="1"/>
  <c r="AB61" i="1"/>
  <c r="AA61" i="1"/>
  <c r="AF60" i="1"/>
  <c r="AE60" i="1"/>
  <c r="AD60" i="1"/>
  <c r="AC60" i="1"/>
  <c r="AA60" i="1"/>
  <c r="AB60" i="1" s="1"/>
  <c r="AF59" i="1"/>
  <c r="AE59" i="1"/>
  <c r="AD59" i="1"/>
  <c r="AC59" i="1"/>
  <c r="AB59" i="1"/>
  <c r="AA59" i="1"/>
  <c r="AF58" i="1"/>
  <c r="AE58" i="1"/>
  <c r="AD58" i="1"/>
  <c r="AC58" i="1"/>
  <c r="AB58" i="1"/>
  <c r="AA58" i="1"/>
  <c r="AF57" i="1"/>
  <c r="AE57" i="1"/>
  <c r="AD57" i="1"/>
  <c r="AC57" i="1"/>
  <c r="AB57" i="1"/>
  <c r="AA57" i="1"/>
  <c r="AF56" i="1"/>
  <c r="AE56" i="1"/>
  <c r="AD56" i="1"/>
  <c r="AC56" i="1"/>
  <c r="AA56" i="1"/>
  <c r="AB56" i="1" s="1"/>
  <c r="AF55" i="1"/>
  <c r="AE55" i="1"/>
  <c r="AD55" i="1"/>
  <c r="AC55" i="1"/>
  <c r="AB55" i="1"/>
  <c r="AA55" i="1"/>
  <c r="AF54" i="1"/>
  <c r="AE54" i="1"/>
  <c r="AD54" i="1"/>
  <c r="AC54" i="1"/>
  <c r="AB54" i="1"/>
  <c r="AA54" i="1"/>
  <c r="AF53" i="1"/>
  <c r="AE53" i="1"/>
  <c r="AD53" i="1"/>
  <c r="AC53" i="1"/>
  <c r="AB53" i="1"/>
  <c r="AA53" i="1"/>
  <c r="AF52" i="1"/>
  <c r="AE52" i="1"/>
  <c r="AD52" i="1"/>
  <c r="AC52" i="1"/>
  <c r="AA52" i="1"/>
  <c r="AB52" i="1" s="1"/>
  <c r="AF51" i="1"/>
  <c r="AE51" i="1"/>
  <c r="AD51" i="1"/>
  <c r="AC51" i="1"/>
  <c r="AB51" i="1"/>
  <c r="AA51" i="1"/>
  <c r="AF50" i="1"/>
  <c r="AE50" i="1"/>
  <c r="AD50" i="1"/>
  <c r="AC50" i="1"/>
  <c r="AB50" i="1"/>
  <c r="AA50" i="1"/>
  <c r="AF49" i="1"/>
  <c r="AE49" i="1"/>
  <c r="AD49" i="1"/>
  <c r="AC49" i="1"/>
  <c r="AB49" i="1"/>
  <c r="AA49" i="1"/>
  <c r="AF48" i="1"/>
  <c r="AE48" i="1"/>
  <c r="AD48" i="1"/>
  <c r="AC48" i="1"/>
  <c r="AA48" i="1"/>
  <c r="AB48" i="1" s="1"/>
  <c r="AF47" i="1"/>
  <c r="AE47" i="1"/>
  <c r="AD47" i="1"/>
  <c r="AC47" i="1"/>
  <c r="AB47" i="1"/>
  <c r="AA47" i="1"/>
  <c r="AF46" i="1"/>
  <c r="AE46" i="1"/>
  <c r="AD46" i="1"/>
  <c r="AC46" i="1"/>
  <c r="AB46" i="1"/>
  <c r="AA46" i="1"/>
  <c r="AF45" i="1"/>
  <c r="AE45" i="1"/>
  <c r="AD45" i="1"/>
  <c r="AC45" i="1"/>
  <c r="AB45" i="1"/>
  <c r="AA45" i="1"/>
  <c r="AF44" i="1"/>
  <c r="AE44" i="1"/>
  <c r="AD44" i="1"/>
  <c r="AC44" i="1"/>
  <c r="AA44" i="1"/>
  <c r="AB44" i="1" s="1"/>
  <c r="AF43" i="1"/>
  <c r="AE43" i="1"/>
  <c r="AD43" i="1"/>
  <c r="AC43" i="1"/>
  <c r="AB43" i="1"/>
  <c r="AA43" i="1"/>
  <c r="AF42" i="1"/>
  <c r="AE42" i="1"/>
  <c r="AD42" i="1"/>
  <c r="AC42" i="1"/>
  <c r="AB42" i="1"/>
  <c r="AA42" i="1"/>
  <c r="AF41" i="1"/>
  <c r="AE41" i="1"/>
  <c r="AD41" i="1"/>
  <c r="AC41" i="1"/>
  <c r="AB41" i="1"/>
  <c r="AA41" i="1"/>
  <c r="AF40" i="1"/>
  <c r="AE40" i="1"/>
  <c r="AD40" i="1"/>
  <c r="AC40" i="1"/>
  <c r="AA40" i="1"/>
  <c r="AB40" i="1" s="1"/>
  <c r="AF39" i="1"/>
  <c r="AE39" i="1"/>
  <c r="AD39" i="1"/>
  <c r="AC39" i="1"/>
  <c r="AB39" i="1"/>
  <c r="AA39" i="1"/>
  <c r="AF38" i="1"/>
  <c r="AE38" i="1"/>
  <c r="AD38" i="1"/>
  <c r="AC38" i="1"/>
  <c r="AB38" i="1"/>
  <c r="AA38" i="1"/>
  <c r="AF37" i="1"/>
  <c r="AE37" i="1"/>
  <c r="AD37" i="1"/>
  <c r="AC37" i="1"/>
  <c r="AB37" i="1"/>
  <c r="AA37" i="1"/>
  <c r="AF36" i="1"/>
  <c r="AE36" i="1"/>
  <c r="AD36" i="1"/>
  <c r="AC36" i="1"/>
  <c r="AA36" i="1"/>
  <c r="AB36" i="1" s="1"/>
  <c r="AF35" i="1"/>
  <c r="AE35" i="1"/>
  <c r="AD35" i="1"/>
  <c r="AC35" i="1"/>
  <c r="AB35" i="1"/>
  <c r="AA35" i="1"/>
  <c r="AF34" i="1"/>
  <c r="AE34" i="1"/>
  <c r="AD34" i="1"/>
  <c r="AC34" i="1"/>
  <c r="AB34" i="1"/>
  <c r="AA34" i="1"/>
  <c r="AF33" i="1"/>
  <c r="AE33" i="1"/>
  <c r="AD33" i="1"/>
  <c r="AC33" i="1"/>
  <c r="AB33" i="1"/>
  <c r="AA33" i="1"/>
  <c r="AF32" i="1"/>
  <c r="AE32" i="1"/>
  <c r="AD32" i="1"/>
  <c r="AC32" i="1"/>
  <c r="AA32" i="1"/>
  <c r="AB32" i="1" s="1"/>
  <c r="AF31" i="1"/>
  <c r="AE31" i="1"/>
  <c r="AD31" i="1"/>
  <c r="AC31" i="1"/>
  <c r="AB31" i="1"/>
  <c r="AA31" i="1"/>
  <c r="AF30" i="1"/>
  <c r="AE30" i="1"/>
  <c r="AD30" i="1"/>
  <c r="AC30" i="1"/>
  <c r="AB30" i="1"/>
  <c r="AA30" i="1"/>
  <c r="AF29" i="1"/>
  <c r="AE29" i="1"/>
  <c r="AD29" i="1"/>
  <c r="AC29" i="1"/>
  <c r="AB29" i="1"/>
  <c r="AA29" i="1"/>
  <c r="AF28" i="1"/>
  <c r="AE28" i="1"/>
  <c r="AD28" i="1"/>
  <c r="AC28" i="1"/>
  <c r="AA28" i="1"/>
  <c r="AB28" i="1" s="1"/>
  <c r="AF27" i="1"/>
  <c r="AE27" i="1"/>
  <c r="AD27" i="1"/>
  <c r="AC27" i="1"/>
  <c r="AB27" i="1"/>
  <c r="AA27" i="1"/>
  <c r="AF26" i="1"/>
  <c r="AE26" i="1"/>
  <c r="AD26" i="1"/>
  <c r="AC26" i="1"/>
  <c r="AB26" i="1"/>
  <c r="AA26" i="1"/>
  <c r="AF25" i="1"/>
  <c r="AE25" i="1"/>
  <c r="AD25" i="1"/>
  <c r="AC25" i="1"/>
  <c r="AB25" i="1"/>
  <c r="AA25" i="1"/>
  <c r="AF24" i="1"/>
  <c r="AE24" i="1"/>
  <c r="AD24" i="1"/>
  <c r="AC24" i="1"/>
  <c r="AA24" i="1"/>
  <c r="AB24" i="1" s="1"/>
  <c r="AF23" i="1"/>
  <c r="AE23" i="1"/>
  <c r="AD23" i="1"/>
  <c r="AC23" i="1"/>
  <c r="AB23" i="1"/>
  <c r="AA23" i="1"/>
  <c r="AF22" i="1"/>
  <c r="AE22" i="1"/>
  <c r="AD22" i="1"/>
  <c r="AC22" i="1"/>
  <c r="AB22" i="1"/>
  <c r="AA22" i="1"/>
  <c r="AF21" i="1"/>
  <c r="AE21" i="1"/>
  <c r="AD21" i="1"/>
  <c r="AC21" i="1"/>
  <c r="AB21" i="1"/>
  <c r="AA21" i="1"/>
  <c r="AF20" i="1"/>
  <c r="AE20" i="1"/>
  <c r="AD20" i="1"/>
  <c r="AC20" i="1"/>
  <c r="AA20" i="1"/>
  <c r="AB20" i="1" s="1"/>
  <c r="AF19" i="1"/>
  <c r="AE19" i="1"/>
  <c r="AD19" i="1"/>
  <c r="AC19" i="1"/>
  <c r="AB19" i="1"/>
  <c r="AA19" i="1"/>
  <c r="AF18" i="1"/>
  <c r="AE18" i="1"/>
  <c r="AD18" i="1"/>
  <c r="AC18" i="1"/>
  <c r="AB18" i="1"/>
  <c r="AA18" i="1"/>
  <c r="AF17" i="1"/>
  <c r="AE17" i="1"/>
  <c r="AD17" i="1"/>
  <c r="AC17" i="1"/>
  <c r="AB17" i="1"/>
  <c r="AA17" i="1"/>
  <c r="AF16" i="1"/>
  <c r="AE16" i="1"/>
  <c r="AD16" i="1"/>
  <c r="AC16" i="1"/>
  <c r="AA16" i="1"/>
  <c r="AB16" i="1" s="1"/>
  <c r="AF15" i="1"/>
  <c r="AE15" i="1"/>
  <c r="AD15" i="1"/>
  <c r="AC15" i="1"/>
  <c r="AB15" i="1"/>
  <c r="AA15" i="1"/>
  <c r="AF14" i="1"/>
  <c r="AE14" i="1"/>
  <c r="AD14" i="1"/>
  <c r="AC14" i="1"/>
  <c r="AB14" i="1"/>
  <c r="AA14" i="1"/>
  <c r="AF13" i="1"/>
  <c r="AE13" i="1"/>
  <c r="AD13" i="1"/>
  <c r="AC13" i="1"/>
  <c r="AB13" i="1"/>
  <c r="AA13" i="1"/>
  <c r="AF12" i="1"/>
  <c r="AE12" i="1"/>
  <c r="AD12" i="1"/>
  <c r="AC12" i="1"/>
  <c r="AA12" i="1"/>
  <c r="AB12" i="1" s="1"/>
  <c r="AF11" i="1"/>
  <c r="AE11" i="1"/>
  <c r="AD11" i="1"/>
  <c r="AC11" i="1"/>
  <c r="AB11" i="1"/>
  <c r="AA11" i="1"/>
  <c r="AF10" i="1"/>
  <c r="AE10" i="1"/>
  <c r="AD10" i="1"/>
  <c r="AC10" i="1"/>
  <c r="AB10" i="1"/>
  <c r="AA10" i="1"/>
  <c r="AF9" i="1"/>
  <c r="AE9" i="1"/>
  <c r="AD9" i="1"/>
  <c r="AC9" i="1"/>
  <c r="AB9" i="1"/>
  <c r="AA9" i="1"/>
  <c r="AF8" i="1"/>
  <c r="AE8" i="1"/>
  <c r="AD8" i="1"/>
  <c r="AC8" i="1"/>
  <c r="AA8" i="1"/>
  <c r="AB8" i="1" s="1"/>
  <c r="AF7" i="1"/>
  <c r="AE7" i="1"/>
  <c r="AD7" i="1"/>
  <c r="AC7" i="1"/>
  <c r="AB7" i="1"/>
  <c r="AA7" i="1"/>
  <c r="AF6" i="1"/>
  <c r="AE6" i="1"/>
  <c r="AD6" i="1"/>
  <c r="AC6" i="1"/>
  <c r="AB6" i="1"/>
  <c r="AA6" i="1"/>
  <c r="AF5" i="1"/>
  <c r="AE5" i="1"/>
  <c r="AD5" i="1"/>
  <c r="AC5" i="1"/>
  <c r="AB5" i="1"/>
  <c r="AA5" i="1"/>
  <c r="AF4" i="1"/>
  <c r="AE4" i="1"/>
  <c r="AD4" i="1"/>
  <c r="AC4" i="1"/>
  <c r="AA4" i="1"/>
  <c r="AB4" i="1" s="1"/>
  <c r="AF3" i="1"/>
  <c r="AE3" i="1"/>
  <c r="AD3" i="1"/>
  <c r="AC3" i="1"/>
  <c r="AB3" i="1"/>
  <c r="AA3" i="1"/>
  <c r="M59" i="3" l="1"/>
  <c r="M112" i="3"/>
  <c r="F105" i="3"/>
  <c r="F97" i="3"/>
  <c r="F89" i="3"/>
  <c r="F81" i="3"/>
  <c r="F73" i="3"/>
  <c r="F61" i="3"/>
  <c r="F49" i="3"/>
  <c r="M117" i="3"/>
  <c r="G116" i="3"/>
  <c r="M116" i="3" s="1"/>
  <c r="M113" i="3"/>
  <c r="G112" i="3"/>
  <c r="M109" i="3"/>
  <c r="G108" i="3"/>
  <c r="M105" i="3"/>
  <c r="G104" i="3"/>
  <c r="M101" i="3"/>
  <c r="G100" i="3"/>
  <c r="M97" i="3"/>
  <c r="G96" i="3"/>
  <c r="M93" i="3"/>
  <c r="G92" i="3"/>
  <c r="M89" i="3"/>
  <c r="G88" i="3"/>
  <c r="G84" i="3"/>
  <c r="M81" i="3"/>
  <c r="G80" i="3"/>
  <c r="M77" i="3"/>
  <c r="G76" i="3"/>
  <c r="M73" i="3"/>
  <c r="G72" i="3"/>
  <c r="M72" i="3" s="1"/>
  <c r="G68" i="3"/>
  <c r="M65" i="3"/>
  <c r="M61" i="3"/>
  <c r="M57" i="3"/>
  <c r="M49" i="3"/>
  <c r="M45" i="3"/>
  <c r="M41" i="3"/>
  <c r="M37" i="3"/>
  <c r="M33" i="3"/>
  <c r="K26" i="3"/>
  <c r="F36" i="3"/>
  <c r="F32" i="3"/>
  <c r="F28" i="3"/>
  <c r="G115" i="3"/>
  <c r="M115" i="3" s="1"/>
  <c r="G111" i="3"/>
  <c r="M111" i="3" s="1"/>
  <c r="G107" i="3"/>
  <c r="G103" i="3"/>
  <c r="G99" i="3"/>
  <c r="G95" i="3"/>
  <c r="G91" i="3"/>
  <c r="G87" i="3"/>
  <c r="G83" i="3"/>
  <c r="G79" i="3"/>
  <c r="G75" i="3"/>
  <c r="M75" i="3" s="1"/>
  <c r="G71" i="3"/>
  <c r="M71" i="3" s="1"/>
  <c r="G67" i="3"/>
  <c r="G63" i="3"/>
  <c r="M63" i="3" s="1"/>
  <c r="G59" i="3"/>
  <c r="G55" i="3"/>
  <c r="G51" i="3"/>
  <c r="G47" i="3"/>
  <c r="M47" i="3" s="1"/>
  <c r="G43" i="3"/>
  <c r="M43" i="3" s="1"/>
  <c r="F107" i="3"/>
  <c r="F99" i="3"/>
  <c r="F87" i="3"/>
  <c r="F83" i="3"/>
  <c r="F79" i="3"/>
  <c r="F75" i="3"/>
  <c r="F71" i="3"/>
  <c r="F67" i="3"/>
  <c r="F63" i="3"/>
  <c r="F59" i="3"/>
  <c r="F55" i="3"/>
  <c r="F51" i="3"/>
  <c r="F47" i="3"/>
  <c r="F43" i="3"/>
  <c r="F39" i="3"/>
  <c r="F35" i="3"/>
  <c r="F31" i="3"/>
  <c r="F115" i="3"/>
  <c r="F111" i="3"/>
  <c r="F103" i="3"/>
  <c r="F95" i="3"/>
  <c r="F91" i="3"/>
  <c r="G114" i="3"/>
  <c r="M114" i="3" s="1"/>
  <c r="G110" i="3"/>
  <c r="G106" i="3"/>
  <c r="G102" i="3"/>
  <c r="G98" i="3"/>
  <c r="G94" i="3"/>
  <c r="G90" i="3"/>
  <c r="G86" i="3"/>
  <c r="G82" i="3"/>
  <c r="G78" i="3"/>
  <c r="G74" i="3"/>
  <c r="M74" i="3" s="1"/>
  <c r="G70" i="3"/>
  <c r="M70" i="3" s="1"/>
  <c r="G66" i="3"/>
  <c r="M66" i="3" s="1"/>
  <c r="G62" i="3"/>
  <c r="M62" i="3" s="1"/>
  <c r="G58" i="3"/>
  <c r="G54" i="3"/>
  <c r="M54" i="3" s="1"/>
  <c r="G50" i="3"/>
  <c r="G46" i="3"/>
  <c r="M46" i="3" s="1"/>
  <c r="G42" i="3"/>
  <c r="M42" i="3" s="1"/>
  <c r="G38" i="3"/>
  <c r="G34" i="3"/>
  <c r="G30" i="3"/>
  <c r="M30" i="3" s="1"/>
  <c r="F110" i="3"/>
  <c r="F102" i="3"/>
  <c r="F94" i="3"/>
  <c r="F86" i="3"/>
  <c r="F78" i="3"/>
  <c r="F70" i="3"/>
  <c r="F62" i="3"/>
  <c r="F58" i="3"/>
  <c r="F50" i="3"/>
  <c r="F42" i="3"/>
  <c r="F38" i="3"/>
  <c r="F34" i="3"/>
  <c r="F30" i="3"/>
  <c r="F114" i="3"/>
  <c r="F106" i="3"/>
  <c r="F98" i="3"/>
  <c r="F90" i="3"/>
  <c r="F82" i="3"/>
  <c r="F74" i="3"/>
  <c r="F66" i="3"/>
  <c r="F54" i="3"/>
  <c r="F46" i="3"/>
  <c r="G109" i="3"/>
  <c r="G101" i="3"/>
  <c r="G93" i="3"/>
  <c r="G85" i="3"/>
  <c r="M85" i="3" s="1"/>
  <c r="G77" i="3"/>
  <c r="G69" i="3"/>
  <c r="M69" i="3" s="1"/>
  <c r="G65" i="3"/>
  <c r="G57" i="3"/>
  <c r="G53" i="3"/>
  <c r="M53" i="3" s="1"/>
</calcChain>
</file>

<file path=xl/sharedStrings.xml><?xml version="1.0" encoding="utf-8"?>
<sst xmlns="http://schemas.openxmlformats.org/spreadsheetml/2006/main" count="95402" uniqueCount="23224">
  <si>
    <t>2026-07-09 16:30:22</t>
  </si>
  <si>
    <t>No.</t>
  </si>
  <si>
    <t>거래처 관리코드</t>
  </si>
  <si>
    <t>Site</t>
  </si>
  <si>
    <t>창고</t>
  </si>
  <si>
    <t>출고일</t>
  </si>
  <si>
    <t>등록자</t>
  </si>
  <si>
    <t>거래처</t>
  </si>
  <si>
    <t>거래처 약칭</t>
  </si>
  <si>
    <t>국가</t>
  </si>
  <si>
    <t>Biz Type</t>
  </si>
  <si>
    <t>상품코드</t>
  </si>
  <si>
    <t>상품명</t>
  </si>
  <si>
    <t>브랜드</t>
  </si>
  <si>
    <t>Curr</t>
  </si>
  <si>
    <t>수량</t>
  </si>
  <si>
    <t>판매단가</t>
  </si>
  <si>
    <t>금액</t>
  </si>
  <si>
    <t>VAT</t>
  </si>
  <si>
    <t>환산금액</t>
  </si>
  <si>
    <t>평균단가</t>
  </si>
  <si>
    <t>마진율 적용</t>
  </si>
  <si>
    <t>판매이익</t>
  </si>
  <si>
    <t>사용 목적</t>
  </si>
  <si>
    <t>%</t>
  </si>
  <si>
    <t>Invoice No</t>
  </si>
  <si>
    <t>1</t>
  </si>
  <si>
    <t>06312</t>
  </si>
  <si>
    <t>KR</t>
  </si>
  <si>
    <t>KR-W</t>
  </si>
  <si>
    <t>2025-09-05</t>
  </si>
  <si>
    <t>diane</t>
  </si>
  <si>
    <t>MOARS</t>
  </si>
  <si>
    <t>Netherlands The</t>
  </si>
  <si>
    <t>KR-OVERSEAS</t>
  </si>
  <si>
    <t>PYS13-A</t>
  </si>
  <si>
    <t>(변경예정) 얼티밋 진정 솔루션 앰플 30ml</t>
  </si>
  <si>
    <t>편강율</t>
  </si>
  <si>
    <t>USD</t>
  </si>
  <si>
    <t>4,050</t>
  </si>
  <si>
    <t>0.00</t>
  </si>
  <si>
    <t>상품 샘플링 (견본,무상증정)</t>
  </si>
  <si>
    <t>0.0</t>
  </si>
  <si>
    <t>IN00369756</t>
  </si>
  <si>
    <t>2</t>
  </si>
  <si>
    <t>2025-06-19</t>
  </si>
  <si>
    <t>PRS02-CSU</t>
  </si>
  <si>
    <t>(통합) 원더 릴리프 센텔라 세럼 언센티드 60ml</t>
  </si>
  <si>
    <t>퓨리토 서울</t>
  </si>
  <si>
    <t>11</t>
  </si>
  <si>
    <t>IN00349310</t>
  </si>
  <si>
    <t>3</t>
  </si>
  <si>
    <t>PRS04-CREU</t>
  </si>
  <si>
    <t>(통합) 마이티 밤부 판테놀 크림 100ml</t>
  </si>
  <si>
    <t>4</t>
  </si>
  <si>
    <t>PRS04-SETM</t>
  </si>
  <si>
    <t>(미조립) 세일즈 PR 박스</t>
  </si>
  <si>
    <t>5</t>
  </si>
  <si>
    <t>PRS07-GELR</t>
  </si>
  <si>
    <t>(Renewal/통합) 오트 인 카밍 젤 크림 100ml</t>
  </si>
  <si>
    <t>6</t>
  </si>
  <si>
    <t>PRSM13-SC</t>
  </si>
  <si>
    <t>(PRSM13-SCREU) 데일리 소프트 터치 선크림 60ml</t>
  </si>
  <si>
    <t>7</t>
  </si>
  <si>
    <t>PRSM13-ST</t>
  </si>
  <si>
    <t>(통합) 데일리 소프트 터치 선스틱 20g</t>
  </si>
  <si>
    <t>8</t>
  </si>
  <si>
    <t>2025-06-05</t>
  </si>
  <si>
    <t>HMCM1-DSSM</t>
  </si>
  <si>
    <t>(리뉴얼) 데일리즘 스머지 스탑 마스카라 컬링 블랙</t>
  </si>
  <si>
    <t>헤이미쉬</t>
  </si>
  <si>
    <t>2,000</t>
  </si>
  <si>
    <t>36.91</t>
  </si>
  <si>
    <t>73,820.00</t>
  </si>
  <si>
    <t>-73,820.00</t>
  </si>
  <si>
    <t>IN00345465</t>
  </si>
  <si>
    <t>9</t>
  </si>
  <si>
    <t>PRS04-C</t>
  </si>
  <si>
    <t>마이티 밤부 판테놀 크림 100ml</t>
  </si>
  <si>
    <t>10</t>
  </si>
  <si>
    <t>PYS01-oilR</t>
  </si>
  <si>
    <t>[수묵화] 레디언스 페이스 오일 26ml (전: 리뉴얼 오일 26ml)</t>
  </si>
  <si>
    <t>RLC01-CLRR</t>
  </si>
  <si>
    <t>*리뉴얼 1025 독도 클렌져_150ml (본품)</t>
  </si>
  <si>
    <t>라운드랩</t>
  </si>
  <si>
    <t>12</t>
  </si>
  <si>
    <t>2025-05-26</t>
  </si>
  <si>
    <t>IUSM07-SCEU</t>
  </si>
  <si>
    <t>[EU] 센텔라 카밍 데일리 선크림 60ml</t>
  </si>
  <si>
    <t>아이유닉</t>
  </si>
  <si>
    <t>1,220</t>
  </si>
  <si>
    <t>IN00340192</t>
  </si>
  <si>
    <t>13</t>
  </si>
  <si>
    <t>2025-05-23</t>
  </si>
  <si>
    <t>850</t>
  </si>
  <si>
    <t>IN00341727</t>
  </si>
  <si>
    <t>14</t>
  </si>
  <si>
    <t>OPO</t>
  </si>
  <si>
    <t>2026-06-18</t>
  </si>
  <si>
    <t>minju</t>
  </si>
  <si>
    <t>RjACM01-LEU</t>
  </si>
  <si>
    <t>[EU] 어드밴스드 PDRN 리쥬비네이팅 립 세럼 10ml</t>
  </si>
  <si>
    <t>닥터 리쥬올</t>
  </si>
  <si>
    <t>24</t>
  </si>
  <si>
    <t>0.01</t>
  </si>
  <si>
    <t>0.24</t>
  </si>
  <si>
    <t>355.51</t>
  </si>
  <si>
    <t>5,600.00</t>
  </si>
  <si>
    <t>134,400.00</t>
  </si>
  <si>
    <t>-134,044.49</t>
  </si>
  <si>
    <t>FOC (Free of charge, 판매장려금)</t>
  </si>
  <si>
    <t>-37,704.6</t>
  </si>
  <si>
    <t>IN00447658</t>
  </si>
  <si>
    <t>15</t>
  </si>
  <si>
    <t>240</t>
  </si>
  <si>
    <t>5.83</t>
  </si>
  <si>
    <t>1,399.20</t>
  </si>
  <si>
    <t>2,072,634.96</t>
  </si>
  <si>
    <t>1,344,000.00</t>
  </si>
  <si>
    <t>728,634.96</t>
  </si>
  <si>
    <t>35.2</t>
  </si>
  <si>
    <t>16</t>
  </si>
  <si>
    <t>RjAP01-MEU</t>
  </si>
  <si>
    <t>[EU][4매입] 어드밴스드 PDRN 리쥬비네이팅 마스크</t>
  </si>
  <si>
    <t>0.04</t>
  </si>
  <si>
    <t>59.25</t>
  </si>
  <si>
    <t>6,300.00</t>
  </si>
  <si>
    <t>25,200.00</t>
  </si>
  <si>
    <t>-25,140.75</t>
  </si>
  <si>
    <t>-42,430.2</t>
  </si>
  <si>
    <t>17</t>
  </si>
  <si>
    <t>40</t>
  </si>
  <si>
    <t>7.29</t>
  </si>
  <si>
    <t>291.60</t>
  </si>
  <si>
    <t>431,947.08</t>
  </si>
  <si>
    <t>252,000.00</t>
  </si>
  <si>
    <t>179,947.08</t>
  </si>
  <si>
    <t>41.7</t>
  </si>
  <si>
    <t>18</t>
  </si>
  <si>
    <t>RjAS01-CLC</t>
  </si>
  <si>
    <t>어드벤스드 LC-세라마이드 베리어 크림 50ml</t>
  </si>
  <si>
    <t>30</t>
  </si>
  <si>
    <t>0.30</t>
  </si>
  <si>
    <t>444.39</t>
  </si>
  <si>
    <t>15,000.00</t>
  </si>
  <si>
    <t>450,000.00</t>
  </si>
  <si>
    <t>-449,555.61</t>
  </si>
  <si>
    <t>-101,162.4</t>
  </si>
  <si>
    <t>19</t>
  </si>
  <si>
    <t>300</t>
  </si>
  <si>
    <t>12.58</t>
  </si>
  <si>
    <t>3,774.00</t>
  </si>
  <si>
    <t>5,590,426.20</t>
  </si>
  <si>
    <t>4,500,000.00</t>
  </si>
  <si>
    <t>1,090,426.20</t>
  </si>
  <si>
    <t>19.5</t>
  </si>
  <si>
    <t>20</t>
  </si>
  <si>
    <t>RjAS01-CREU</t>
  </si>
  <si>
    <t>[EU] 어드밴스드 PDRN 크림 20ml</t>
  </si>
  <si>
    <t>80</t>
  </si>
  <si>
    <t>0.80</t>
  </si>
  <si>
    <t>1,185.04</t>
  </si>
  <si>
    <t>11,250.00</t>
  </si>
  <si>
    <t>900,000.00</t>
  </si>
  <si>
    <t>-898,814.96</t>
  </si>
  <si>
    <t>-75,846.8</t>
  </si>
  <si>
    <t>21</t>
  </si>
  <si>
    <t>800</t>
  </si>
  <si>
    <t>13.30</t>
  </si>
  <si>
    <t>10,640.00</t>
  </si>
  <si>
    <t>15,761,032.00</t>
  </si>
  <si>
    <t>9,000,000.00</t>
  </si>
  <si>
    <t>6,761,032.00</t>
  </si>
  <si>
    <t>42.9</t>
  </si>
  <si>
    <t>22</t>
  </si>
  <si>
    <t>RjAS01-CRMEU</t>
  </si>
  <si>
    <t>[EU] 어드밴스드 PDRN 크림 60ml</t>
  </si>
  <si>
    <t>400</t>
  </si>
  <si>
    <t>35.47</t>
  </si>
  <si>
    <t>14,188.00</t>
  </si>
  <si>
    <t>21,016,684.40</t>
  </si>
  <si>
    <t>32,000.00</t>
  </si>
  <si>
    <t>12,800,000.00</t>
  </si>
  <si>
    <t>8,216,684.40</t>
  </si>
  <si>
    <t>39.1</t>
  </si>
  <si>
    <t>23</t>
  </si>
  <si>
    <t>0.40</t>
  </si>
  <si>
    <t>592.52</t>
  </si>
  <si>
    <t>1,280,000.00</t>
  </si>
  <si>
    <t>-1,279,407.48</t>
  </si>
  <si>
    <t>-215,926.5</t>
  </si>
  <si>
    <t>2026-06-17</t>
  </si>
  <si>
    <t>goodalS06-TPUS</t>
  </si>
  <si>
    <t>(글로벌) 청귤비타C 잡티 케어 패드</t>
  </si>
  <si>
    <t>구달</t>
  </si>
  <si>
    <t>8.38</t>
  </si>
  <si>
    <t>201.12</t>
  </si>
  <si>
    <t>299,347.01</t>
  </si>
  <si>
    <t>9,454.55</t>
  </si>
  <si>
    <t>226,909.09</t>
  </si>
  <si>
    <t>72,437.92</t>
  </si>
  <si>
    <t>24.2</t>
  </si>
  <si>
    <t>IN00447659</t>
  </si>
  <si>
    <t>25</t>
  </si>
  <si>
    <t>RjAS01-CLCEU</t>
  </si>
  <si>
    <t>[EU] 어드벤스드 LC-세라마이드 베리어 크림 50ml</t>
  </si>
  <si>
    <t>500</t>
  </si>
  <si>
    <t>6,290.00</t>
  </si>
  <si>
    <t>9,362,036.00</t>
  </si>
  <si>
    <t>9,360.00</t>
  </si>
  <si>
    <t>4,680,000.00</t>
  </si>
  <si>
    <t>4,682,036.00</t>
  </si>
  <si>
    <t>50.0</t>
  </si>
  <si>
    <t>26</t>
  </si>
  <si>
    <t>50</t>
  </si>
  <si>
    <t>0.50</t>
  </si>
  <si>
    <t>744.20</t>
  </si>
  <si>
    <t>468,000.00</t>
  </si>
  <si>
    <t>-467,255.80</t>
  </si>
  <si>
    <t>-62,786.3</t>
  </si>
  <si>
    <t>27</t>
  </si>
  <si>
    <t>140</t>
  </si>
  <si>
    <t>1.40</t>
  </si>
  <si>
    <t>2,083.76</t>
  </si>
  <si>
    <t>1,575,000.00</t>
  </si>
  <si>
    <t>-1,572,916.24</t>
  </si>
  <si>
    <t>-75,484.5</t>
  </si>
  <si>
    <t>28</t>
  </si>
  <si>
    <t>1,400</t>
  </si>
  <si>
    <t>18,620.00</t>
  </si>
  <si>
    <t>27,714,008.00</t>
  </si>
  <si>
    <t>15,750,000.00</t>
  </si>
  <si>
    <t>11,964,008.00</t>
  </si>
  <si>
    <t>43.2</t>
  </si>
  <si>
    <t>29</t>
  </si>
  <si>
    <t>1,190.72</t>
  </si>
  <si>
    <t>2,560,000.00</t>
  </si>
  <si>
    <t>-2,558,809.28</t>
  </si>
  <si>
    <t>-214,896.0</t>
  </si>
  <si>
    <t>28,376.00</t>
  </si>
  <si>
    <t>42,234,838.40</t>
  </si>
  <si>
    <t>25,600,000.00</t>
  </si>
  <si>
    <t>16,634,838.40</t>
  </si>
  <si>
    <t>39.4</t>
  </si>
  <si>
    <t>31</t>
  </si>
  <si>
    <t>RjAS01-SM</t>
  </si>
  <si>
    <t>어드밴스드 레티노-멜라 세럼 30ml</t>
  </si>
  <si>
    <t>595.36</t>
  </si>
  <si>
    <t>18,500.00</t>
  </si>
  <si>
    <t>740,000.00</t>
  </si>
  <si>
    <t>-739,404.64</t>
  </si>
  <si>
    <t>-124,194.5</t>
  </si>
  <si>
    <t>32</t>
  </si>
  <si>
    <t>15.48</t>
  </si>
  <si>
    <t>6,192.00</t>
  </si>
  <si>
    <t>9,216,172.80</t>
  </si>
  <si>
    <t>7,400,000.00</t>
  </si>
  <si>
    <t>1,816,172.80</t>
  </si>
  <si>
    <t>19.7</t>
  </si>
  <si>
    <t>33</t>
  </si>
  <si>
    <t>2026-06-16</t>
  </si>
  <si>
    <t>ALSC01-Fbr</t>
  </si>
  <si>
    <t>(리뉴얼) 프레시 블루 히솝 라이스 모찌 클렌저 120g</t>
  </si>
  <si>
    <t>아렌시아</t>
  </si>
  <si>
    <t>6.24</t>
  </si>
  <si>
    <t>12.48</t>
  </si>
  <si>
    <t>18,389.28</t>
  </si>
  <si>
    <t>6,600.00</t>
  </si>
  <si>
    <t>13,200.00</t>
  </si>
  <si>
    <t>5,189.28</t>
  </si>
  <si>
    <t>28.2</t>
  </si>
  <si>
    <t>IN00444093</t>
  </si>
  <si>
    <t>34</t>
  </si>
  <si>
    <t>ALSC01-Fgr</t>
  </si>
  <si>
    <t>(리뉴얼) 프레시 그린 라이스 모찌 클렌저 120G</t>
  </si>
  <si>
    <t>580</t>
  </si>
  <si>
    <t>3,619.20</t>
  </si>
  <si>
    <t>5,332,891.20</t>
  </si>
  <si>
    <t>3,828,000.00</t>
  </si>
  <si>
    <t>1,504,891.20</t>
  </si>
  <si>
    <t>35</t>
  </si>
  <si>
    <t>ALSS11-SR</t>
  </si>
  <si>
    <t>레틴알 부스터 샷 30ml</t>
  </si>
  <si>
    <t>610</t>
  </si>
  <si>
    <t>7.78</t>
  </si>
  <si>
    <t>4,745.80</t>
  </si>
  <si>
    <t>6,992,936.30</t>
  </si>
  <si>
    <t>7,000.00</t>
  </si>
  <si>
    <t>4,270,000.00</t>
  </si>
  <si>
    <t>2,722,936.30</t>
  </si>
  <si>
    <t>38.9</t>
  </si>
  <si>
    <t>36</t>
  </si>
  <si>
    <t>ALSS11-SV</t>
  </si>
  <si>
    <t>비타민 C 부스터 샷 30ml</t>
  </si>
  <si>
    <t>2,600</t>
  </si>
  <si>
    <t>20,228.00</t>
  </si>
  <si>
    <t>29,805,958.00</t>
  </si>
  <si>
    <t>8,000.00</t>
  </si>
  <si>
    <t>20,800,000.00</t>
  </si>
  <si>
    <t>9,005,958.00</t>
  </si>
  <si>
    <t>30.2</t>
  </si>
  <si>
    <t>37</t>
  </si>
  <si>
    <t>ANC01-FQRRR</t>
  </si>
  <si>
    <t>[리뉴얼] 어성초 쿼세티놀 모공 딥 클렌징폼 150ml</t>
  </si>
  <si>
    <t>아누아</t>
  </si>
  <si>
    <t>9,770</t>
  </si>
  <si>
    <t>5.99</t>
  </si>
  <si>
    <t>58,522.30</t>
  </si>
  <si>
    <t>86,232,609.05</t>
  </si>
  <si>
    <t>7,760.00</t>
  </si>
  <si>
    <t>75,815,200.00</t>
  </si>
  <si>
    <t>10,417,409.05</t>
  </si>
  <si>
    <t>12.1</t>
  </si>
  <si>
    <t>38</t>
  </si>
  <si>
    <t>ANC01-FSR</t>
  </si>
  <si>
    <t>[리뉴얼] 어성초 석시닉 모이스처 클렌징폼 150ml</t>
  </si>
  <si>
    <t>290</t>
  </si>
  <si>
    <t>6.01</t>
  </si>
  <si>
    <t>1,742.90</t>
  </si>
  <si>
    <t>2,568,163.15</t>
  </si>
  <si>
    <t>2,250,400.00</t>
  </si>
  <si>
    <t>317,763.15</t>
  </si>
  <si>
    <t>12.4</t>
  </si>
  <si>
    <t>39</t>
  </si>
  <si>
    <t>ANC01-OCR</t>
  </si>
  <si>
    <t>[리뉴얼] 어성초 포어 컨트롤 클렌징 오일 200ml</t>
  </si>
  <si>
    <t>10,570</t>
  </si>
  <si>
    <t>8.51</t>
  </si>
  <si>
    <t>89,950.70</t>
  </si>
  <si>
    <t>132,542,356.45</t>
  </si>
  <si>
    <t>5,572.50</t>
  </si>
  <si>
    <t>58,901,280.00</t>
  </si>
  <si>
    <t>73,641,076.45</t>
  </si>
  <si>
    <t>55.6</t>
  </si>
  <si>
    <t>ANC06-F</t>
  </si>
  <si>
    <t>[리뉴얼] 복숭아 나이아신 클렌징폼 150ml</t>
  </si>
  <si>
    <t>1,797.00</t>
  </si>
  <si>
    <t>2,647,879.50</t>
  </si>
  <si>
    <t>2,328,000.00</t>
  </si>
  <si>
    <t>319,879.50</t>
  </si>
  <si>
    <t>41</t>
  </si>
  <si>
    <t>ANC11-FP</t>
  </si>
  <si>
    <t>라이스 효소 브라이트닝 클렌징 파우더 40g</t>
  </si>
  <si>
    <t>670</t>
  </si>
  <si>
    <t>7.63</t>
  </si>
  <si>
    <t>5,112.10</t>
  </si>
  <si>
    <t>7,532,679.35</t>
  </si>
  <si>
    <t>9,970.00</t>
  </si>
  <si>
    <t>6,679,900.00</t>
  </si>
  <si>
    <t>852,779.35</t>
  </si>
  <si>
    <t>11.3</t>
  </si>
  <si>
    <t>42</t>
  </si>
  <si>
    <t>ANC12-F</t>
  </si>
  <si>
    <t>8 히알루론산 하이드레이팅 젠틀 포밍 클렌저 150ml</t>
  </si>
  <si>
    <t>710</t>
  </si>
  <si>
    <t>4,252.90</t>
  </si>
  <si>
    <t>6,266,648.15</t>
  </si>
  <si>
    <t>5,509,600.00</t>
  </si>
  <si>
    <t>757,048.15</t>
  </si>
  <si>
    <t>43</t>
  </si>
  <si>
    <t>ANC12-FMG</t>
  </si>
  <si>
    <t>8 히알루론산 모이스처라이징 젠틀 젤 클렌저 150ml</t>
  </si>
  <si>
    <t>320</t>
  </si>
  <si>
    <t>1,916.80</t>
  </si>
  <si>
    <t>2,824,404.80</t>
  </si>
  <si>
    <t>2,483,200.00</t>
  </si>
  <si>
    <t>341,204.80</t>
  </si>
  <si>
    <t>44</t>
  </si>
  <si>
    <t>ANP01-MCOL</t>
  </si>
  <si>
    <t>[4매입] 어성초 70 수딩 콜라겐 마스크</t>
  </si>
  <si>
    <t>480</t>
  </si>
  <si>
    <t>8.96</t>
  </si>
  <si>
    <t>4,300.80</t>
  </si>
  <si>
    <t>6,337,228.80</t>
  </si>
  <si>
    <t>11,630.00</t>
  </si>
  <si>
    <t>5,582,400.00</t>
  </si>
  <si>
    <t>754,828.80</t>
  </si>
  <si>
    <t>11.9</t>
  </si>
  <si>
    <t>45</t>
  </si>
  <si>
    <t>ANP04-PKBR</t>
  </si>
  <si>
    <t>(단종) [리뉴얼] [1매입] 자작나무 수분 마스크 25ml</t>
  </si>
  <si>
    <t>1.49</t>
  </si>
  <si>
    <t>357.60</t>
  </si>
  <si>
    <t>526,923.60</t>
  </si>
  <si>
    <t>1,940.00</t>
  </si>
  <si>
    <t>465,600.00</t>
  </si>
  <si>
    <t>61,323.60</t>
  </si>
  <si>
    <t>11.6</t>
  </si>
  <si>
    <t>46</t>
  </si>
  <si>
    <t>ANS04-CR</t>
  </si>
  <si>
    <t>[리뉴얼] 자작나무 70 수분 부스팅 크림 50ml</t>
  </si>
  <si>
    <t>60</t>
  </si>
  <si>
    <t>9.57</t>
  </si>
  <si>
    <t>574.20</t>
  </si>
  <si>
    <t>846,083.70</t>
  </si>
  <si>
    <t>12,410.00</t>
  </si>
  <si>
    <t>744,600.00</t>
  </si>
  <si>
    <t>101,483.70</t>
  </si>
  <si>
    <t>12.0</t>
  </si>
  <si>
    <t>47</t>
  </si>
  <si>
    <t>ANS04-TR</t>
  </si>
  <si>
    <t>[리뉴얼] 자작나무 수분 부스팅 토너 250ml</t>
  </si>
  <si>
    <t>8.98</t>
  </si>
  <si>
    <t>359.20</t>
  </si>
  <si>
    <t>529,281.20</t>
  </si>
  <si>
    <t>465,200.00</t>
  </si>
  <si>
    <t>64,081.20</t>
  </si>
  <si>
    <t>48</t>
  </si>
  <si>
    <t>ANS06-ENR</t>
  </si>
  <si>
    <t>[리뉴얼] 복숭아 77 나이아신 컨디셔닝 밀크 150ml</t>
  </si>
  <si>
    <t>10.63</t>
  </si>
  <si>
    <t>637.80</t>
  </si>
  <si>
    <t>939,798.30</t>
  </si>
  <si>
    <t>13,850.00</t>
  </si>
  <si>
    <t>831,000.00</t>
  </si>
  <si>
    <t>108,798.30</t>
  </si>
  <si>
    <t>49</t>
  </si>
  <si>
    <t>ANS06-SR</t>
  </si>
  <si>
    <t>[리뉴얼] 복숭아 70 나이아신 세럼 30ml</t>
  </si>
  <si>
    <t>9.35</t>
  </si>
  <si>
    <t>215.05</t>
  </si>
  <si>
    <t>316,876.18</t>
  </si>
  <si>
    <t>12,190.00</t>
  </si>
  <si>
    <t>280,370.00</t>
  </si>
  <si>
    <t>36,506.17</t>
  </si>
  <si>
    <t>11.5</t>
  </si>
  <si>
    <t>ANS06-T250R</t>
  </si>
  <si>
    <t>[리뉴얼] 복숭아 77 나이아신 에센스 토너 250ml</t>
  </si>
  <si>
    <t>250</t>
  </si>
  <si>
    <t>8.99</t>
  </si>
  <si>
    <t>2,247.50</t>
  </si>
  <si>
    <t>3,311,691.25</t>
  </si>
  <si>
    <t>2,907,500.00</t>
  </si>
  <si>
    <t>404,191.25</t>
  </si>
  <si>
    <t>12.2</t>
  </si>
  <si>
    <t>51</t>
  </si>
  <si>
    <t>ANS10-APad</t>
  </si>
  <si>
    <t>아젤라익애씨드 10 히알루론 레드니스 수딩 패드 230ml (90매)</t>
  </si>
  <si>
    <t>630</t>
  </si>
  <si>
    <t>9.45</t>
  </si>
  <si>
    <t>5,953.50</t>
  </si>
  <si>
    <t>8,772,482.25</t>
  </si>
  <si>
    <t>7,679,700.00</t>
  </si>
  <si>
    <t>1,092,782.25</t>
  </si>
  <si>
    <t>12.5</t>
  </si>
  <si>
    <t>52</t>
  </si>
  <si>
    <t>ANS10-C</t>
  </si>
  <si>
    <t>3 세라마이드 판테놀 모이스처 베리어 크림 100ml</t>
  </si>
  <si>
    <t>780</t>
  </si>
  <si>
    <t>8.55</t>
  </si>
  <si>
    <t>6,669.00</t>
  </si>
  <si>
    <t>9,826,771.50</t>
  </si>
  <si>
    <t>11,080.00</t>
  </si>
  <si>
    <t>8,642,400.00</t>
  </si>
  <si>
    <t>1,184,371.50</t>
  </si>
  <si>
    <t>53</t>
  </si>
  <si>
    <t>ANS10-HPad</t>
  </si>
  <si>
    <t>PDRN 히알루론산 글로우 패드 180ml (60매입)</t>
  </si>
  <si>
    <t>224</t>
  </si>
  <si>
    <t>2,116.80</t>
  </si>
  <si>
    <t>3,119,104.80</t>
  </si>
  <si>
    <t>2,730,560.00</t>
  </si>
  <si>
    <t>388,544.80</t>
  </si>
  <si>
    <t>54</t>
  </si>
  <si>
    <t>ANS10-NPad</t>
  </si>
  <si>
    <t>나이아신아마이드 5 TXA 브라이트닝 패드 210ml (60매입)</t>
  </si>
  <si>
    <t>70</t>
  </si>
  <si>
    <t>661.50</t>
  </si>
  <si>
    <t>974,720.25</t>
  </si>
  <si>
    <t>853,300.00</t>
  </si>
  <si>
    <t>121,420.25</t>
  </si>
  <si>
    <t>55</t>
  </si>
  <si>
    <t>ANS10-PATCHTA</t>
  </si>
  <si>
    <t>트리플 애씨드 스팟 케어 마이크로닷 패치 12매입</t>
  </si>
  <si>
    <t>390</t>
  </si>
  <si>
    <t>6.00</t>
  </si>
  <si>
    <t>2,340.00</t>
  </si>
  <si>
    <t>3,447,990.00</t>
  </si>
  <si>
    <t>3,026,400.00</t>
  </si>
  <si>
    <t>421,590.00</t>
  </si>
  <si>
    <t>56</t>
  </si>
  <si>
    <t>ANS10-SAZ</t>
  </si>
  <si>
    <t>아젤라익애씨드 10 히알루론산 레드네스 수딩 세럼 30ml</t>
  </si>
  <si>
    <t>12,520</t>
  </si>
  <si>
    <t>9.34</t>
  </si>
  <si>
    <t>116,936.80</t>
  </si>
  <si>
    <t>172,306,374.80</t>
  </si>
  <si>
    <t>152,618,800.00</t>
  </si>
  <si>
    <t>19,687,574.80</t>
  </si>
  <si>
    <t>11.4</t>
  </si>
  <si>
    <t>57</t>
  </si>
  <si>
    <t>ANS10-SNRR</t>
  </si>
  <si>
    <t>[리뉴얼] 레티놀 0.3 + 나이아신 리뉴잉 세럼 30ml</t>
  </si>
  <si>
    <t>420</t>
  </si>
  <si>
    <t>11.91</t>
  </si>
  <si>
    <t>5,002.20</t>
  </si>
  <si>
    <t>7,370,741.70</t>
  </si>
  <si>
    <t>15,510.00</t>
  </si>
  <si>
    <t>6,514,200.00</t>
  </si>
  <si>
    <t>856,541.70</t>
  </si>
  <si>
    <t>58</t>
  </si>
  <si>
    <t>ANS10-TAZ</t>
  </si>
  <si>
    <t>아젤라익애씨드 3 시카 토너 250ml</t>
  </si>
  <si>
    <t>310</t>
  </si>
  <si>
    <t>2,777.60</t>
  </si>
  <si>
    <t>4,092,793.60</t>
  </si>
  <si>
    <t>3,605,300.00</t>
  </si>
  <si>
    <t>487,493.60</t>
  </si>
  <si>
    <t>59</t>
  </si>
  <si>
    <t>ANS10-TPDRN</t>
  </si>
  <si>
    <t>PDRN 100 히알루론산 부스터 토너 250ml</t>
  </si>
  <si>
    <t>3,506.10</t>
  </si>
  <si>
    <t>5,166,238.35</t>
  </si>
  <si>
    <t>4,535,700.00</t>
  </si>
  <si>
    <t>630,538.35</t>
  </si>
  <si>
    <t>ANS10-TR</t>
  </si>
  <si>
    <t>[리뉴얼] 바하 2 젠틀 익스폴리에이팅 토너 150ml</t>
  </si>
  <si>
    <t>120</t>
  </si>
  <si>
    <t>8.86</t>
  </si>
  <si>
    <t>1,063.20</t>
  </si>
  <si>
    <t>1,566,625.20</t>
  </si>
  <si>
    <t>1,329,600.00</t>
  </si>
  <si>
    <t>237,025.20</t>
  </si>
  <si>
    <t>15.1</t>
  </si>
  <si>
    <t>61</t>
  </si>
  <si>
    <t>ANS11-E</t>
  </si>
  <si>
    <t>라이스 70 인텐시브 모이스처라이징 밀크 150ml</t>
  </si>
  <si>
    <t>62</t>
  </si>
  <si>
    <t>8.06</t>
  </si>
  <si>
    <t>499.72</t>
  </si>
  <si>
    <t>736,337.42</t>
  </si>
  <si>
    <t>10,530.00</t>
  </si>
  <si>
    <t>652,860.00</t>
  </si>
  <si>
    <t>83,477.42</t>
  </si>
  <si>
    <t>ANS11-S</t>
  </si>
  <si>
    <t>라이스 7 세라마이드 하이드레이팅 베리어 세럼 50ml</t>
  </si>
  <si>
    <t>910</t>
  </si>
  <si>
    <t>8,599.50</t>
  </si>
  <si>
    <t>12,671,363.25</t>
  </si>
  <si>
    <t>11,092,900.00</t>
  </si>
  <si>
    <t>1,578,463.25</t>
  </si>
  <si>
    <t>63</t>
  </si>
  <si>
    <t>ANS11-T250</t>
  </si>
  <si>
    <t>라이스 70 글로우 밀키 토너 250ml</t>
  </si>
  <si>
    <t>3,027</t>
  </si>
  <si>
    <t>27,212.73</t>
  </si>
  <si>
    <t>40,097,957.66</t>
  </si>
  <si>
    <t>35,204,010.00</t>
  </si>
  <si>
    <t>4,893,947.66</t>
  </si>
  <si>
    <t>64</t>
  </si>
  <si>
    <t>ANSM01-SCR</t>
  </si>
  <si>
    <t>[리뉴얼] 어성초 실키 모이스처 선크림 50ml</t>
  </si>
  <si>
    <t>820</t>
  </si>
  <si>
    <t>6,256.60</t>
  </si>
  <si>
    <t>9,219,100.10</t>
  </si>
  <si>
    <t>8,175,400.00</t>
  </si>
  <si>
    <t>1,043,700.10</t>
  </si>
  <si>
    <t>65</t>
  </si>
  <si>
    <t>ANSM10-SCZC</t>
  </si>
  <si>
    <t>제로 캐스트 데일리 투명 수분 선크림 50ml</t>
  </si>
  <si>
    <t>650</t>
  </si>
  <si>
    <t>7.61</t>
  </si>
  <si>
    <t>4,946.50</t>
  </si>
  <si>
    <t>7,288,667.75</t>
  </si>
  <si>
    <t>6,480,500.00</t>
  </si>
  <si>
    <t>808,167.75</t>
  </si>
  <si>
    <t>11.1</t>
  </si>
  <si>
    <t>66</t>
  </si>
  <si>
    <t>BNKP04-MA1R</t>
  </si>
  <si>
    <t>[리뉴얼] [1매입] 더 클린 비건 마스크 아하바하</t>
  </si>
  <si>
    <t>바루랩</t>
  </si>
  <si>
    <t>1,330</t>
  </si>
  <si>
    <t>0.38</t>
  </si>
  <si>
    <t>505.40</t>
  </si>
  <si>
    <t>744,706.90</t>
  </si>
  <si>
    <t>327.27</t>
  </si>
  <si>
    <t>435,272.69</t>
  </si>
  <si>
    <t>309,434.21</t>
  </si>
  <si>
    <t>41.6</t>
  </si>
  <si>
    <t>67</t>
  </si>
  <si>
    <t>BNKP04-MAL1R</t>
  </si>
  <si>
    <t>[리뉴얼] [1매입] 더 클린 비건 알로에 마스크</t>
  </si>
  <si>
    <t>1,206</t>
  </si>
  <si>
    <t>458.28</t>
  </si>
  <si>
    <t>675,275.58</t>
  </si>
  <si>
    <t>394,690.88</t>
  </si>
  <si>
    <t>280,584.70</t>
  </si>
  <si>
    <t>68</t>
  </si>
  <si>
    <t>BNKP04-MC1R</t>
  </si>
  <si>
    <t>[리뉴얼] [1매입] 더 클린 비건 마스크 시카</t>
  </si>
  <si>
    <t>296.40</t>
  </si>
  <si>
    <t>436,745.40</t>
  </si>
  <si>
    <t>255,272.71</t>
  </si>
  <si>
    <t>181,472.69</t>
  </si>
  <si>
    <t>69</t>
  </si>
  <si>
    <t>BNKP04-MG1R</t>
  </si>
  <si>
    <t>[리뉴얼] [1매입] 바루랩 더 클린 비건 녹차 마스크</t>
  </si>
  <si>
    <t>231.80</t>
  </si>
  <si>
    <t>341,557.30</t>
  </si>
  <si>
    <t>199,636.35</t>
  </si>
  <si>
    <t>141,920.95</t>
  </si>
  <si>
    <t>BNKP04-MP1R</t>
  </si>
  <si>
    <t>[리뉴얼] [1매입] 더 클린 비건 마스크 펩타이드</t>
  </si>
  <si>
    <t>304.00</t>
  </si>
  <si>
    <t>447,944.00</t>
  </si>
  <si>
    <t>261,818.16</t>
  </si>
  <si>
    <t>186,125.84</t>
  </si>
  <si>
    <t>71</t>
  </si>
  <si>
    <t>BNKP04-MS1R</t>
  </si>
  <si>
    <t>[리뉴얼] [1매입] 더 클린 비건 시어버터 마스크</t>
  </si>
  <si>
    <t>450</t>
  </si>
  <si>
    <t>171.00</t>
  </si>
  <si>
    <t>251,968.50</t>
  </si>
  <si>
    <t>147,272.72</t>
  </si>
  <si>
    <t>104,695.79</t>
  </si>
  <si>
    <t>72</t>
  </si>
  <si>
    <t>BNKP04-MT1R</t>
  </si>
  <si>
    <t>[리뉴얼] [1매입] 더 클린 비건 티트리 마스크</t>
  </si>
  <si>
    <t>720</t>
  </si>
  <si>
    <t>273.60</t>
  </si>
  <si>
    <t>403,149.60</t>
  </si>
  <si>
    <t>235,636.34</t>
  </si>
  <si>
    <t>167,513.26</t>
  </si>
  <si>
    <t>73</t>
  </si>
  <si>
    <t>BNKP04-MV1R</t>
  </si>
  <si>
    <t>[리뉴얼] [1매입] 더 클린 비건 비타민씨 마스크</t>
  </si>
  <si>
    <t>10,540</t>
  </si>
  <si>
    <t>4,005.20</t>
  </si>
  <si>
    <t>5,901,662.20</t>
  </si>
  <si>
    <t>3,449,454.26</t>
  </si>
  <si>
    <t>2,452,207.94</t>
  </si>
  <si>
    <t>74</t>
  </si>
  <si>
    <t>BODC07-CR</t>
  </si>
  <si>
    <t>[Renew]하이드로 세라마이드 클렌징 파우더 1g*30ea</t>
  </si>
  <si>
    <t>바이오던스</t>
  </si>
  <si>
    <t>10.86</t>
  </si>
  <si>
    <t>651.60</t>
  </si>
  <si>
    <t>960,132.60</t>
  </si>
  <si>
    <t>7,460.00</t>
  </si>
  <si>
    <t>447,600.00</t>
  </si>
  <si>
    <t>512,532.60</t>
  </si>
  <si>
    <t>53.4</t>
  </si>
  <si>
    <t>75</t>
  </si>
  <si>
    <t>BODC07-FC</t>
  </si>
  <si>
    <t>콜라겐 팩 투 폼 클렌저 150ml</t>
  </si>
  <si>
    <t>170</t>
  </si>
  <si>
    <t>6.45</t>
  </si>
  <si>
    <t>1,096.50</t>
  </si>
  <si>
    <t>1,615,692.75</t>
  </si>
  <si>
    <t>1,122,000.00</t>
  </si>
  <si>
    <t>493,692.75</t>
  </si>
  <si>
    <t>30.6</t>
  </si>
  <si>
    <t>76</t>
  </si>
  <si>
    <t>BODC07-OCC</t>
  </si>
  <si>
    <t>콜라겐 클렌징 오일 200ml</t>
  </si>
  <si>
    <t>7.98</t>
  </si>
  <si>
    <t>1,915.20</t>
  </si>
  <si>
    <t>2,822,047.20</t>
  </si>
  <si>
    <t>9,900.00</t>
  </si>
  <si>
    <t>2,376,000.00</t>
  </si>
  <si>
    <t>446,047.20</t>
  </si>
  <si>
    <t>15.8</t>
  </si>
  <si>
    <t>77</t>
  </si>
  <si>
    <t>BODP04-MS</t>
  </si>
  <si>
    <t>[4매입] 리프레싱 씨켈프 리얼 딥마스크</t>
  </si>
  <si>
    <t>210</t>
  </si>
  <si>
    <t>7.60</t>
  </si>
  <si>
    <t>1,596.00</t>
  </si>
  <si>
    <t>2,351,706.00</t>
  </si>
  <si>
    <t>6,000.00</t>
  </si>
  <si>
    <t>1,260,000.00</t>
  </si>
  <si>
    <t>1,091,706.00</t>
  </si>
  <si>
    <t>46.4</t>
  </si>
  <si>
    <t>78</t>
  </si>
  <si>
    <t>BODP04-MV</t>
  </si>
  <si>
    <t>[4매입] 래디언트 비타 나이아신아마이드 리얼 딥 마스크</t>
  </si>
  <si>
    <t>370</t>
  </si>
  <si>
    <t>2,812.00</t>
  </si>
  <si>
    <t>4,143,482.00</t>
  </si>
  <si>
    <t>2,220,000.00</t>
  </si>
  <si>
    <t>1,923,482.00</t>
  </si>
  <si>
    <t>79</t>
  </si>
  <si>
    <t>BODS01-PT</t>
  </si>
  <si>
    <t>스킨 리파이닝 마일드 파하 토너 150ml</t>
  </si>
  <si>
    <t>8.14</t>
  </si>
  <si>
    <t>244.20</t>
  </si>
  <si>
    <t>359,828.70</t>
  </si>
  <si>
    <t>6,370.00</t>
  </si>
  <si>
    <t>191,100.00</t>
  </si>
  <si>
    <t>168,728.70</t>
  </si>
  <si>
    <t>46.9</t>
  </si>
  <si>
    <t>BODS08-SP</t>
  </si>
  <si>
    <t>포어 퍼펙팅 콜라겐 펩타이드 세럼 30ml</t>
  </si>
  <si>
    <t>1,520.40</t>
  </si>
  <si>
    <t>2,240,309.40</t>
  </si>
  <si>
    <t>1,386,000.00</t>
  </si>
  <si>
    <t>854,309.40</t>
  </si>
  <si>
    <t>38.1</t>
  </si>
  <si>
    <t>81</t>
  </si>
  <si>
    <t>JSMP05-PK</t>
  </si>
  <si>
    <t>붉은 팥 모공정화 마스크 140ml</t>
  </si>
  <si>
    <t>조선미녀</t>
  </si>
  <si>
    <t>1,350</t>
  </si>
  <si>
    <t>6.79</t>
  </si>
  <si>
    <t>9,166.50</t>
  </si>
  <si>
    <t>13,506,837.75</t>
  </si>
  <si>
    <t>8,400.00</t>
  </si>
  <si>
    <t>11,340,000.00</t>
  </si>
  <si>
    <t>2,166,837.75</t>
  </si>
  <si>
    <t>16.0</t>
  </si>
  <si>
    <t>82</t>
  </si>
  <si>
    <t>JSMS01-CR</t>
  </si>
  <si>
    <t>조선미녀 크림 50ml</t>
  </si>
  <si>
    <t>8,340</t>
  </si>
  <si>
    <t>67,887.60</t>
  </si>
  <si>
    <t>100,032,378.60</t>
  </si>
  <si>
    <t>10,080.00</t>
  </si>
  <si>
    <t>84,067,200.00</t>
  </si>
  <si>
    <t>15,965,178.60</t>
  </si>
  <si>
    <t>83</t>
  </si>
  <si>
    <t>JSMS01-Sg</t>
  </si>
  <si>
    <t>광채프로폴리스세럼 30ml</t>
  </si>
  <si>
    <t>1,229</t>
  </si>
  <si>
    <t>5.77</t>
  </si>
  <si>
    <t>7,091.33</t>
  </si>
  <si>
    <t>10,449,074.76</t>
  </si>
  <si>
    <t>7,140.00</t>
  </si>
  <si>
    <t>8,775,060.00</t>
  </si>
  <si>
    <t>1,674,014.76</t>
  </si>
  <si>
    <t>84</t>
  </si>
  <si>
    <t>JSMS01-Sg60</t>
  </si>
  <si>
    <t>광채프로폴리스세럼 60ml</t>
  </si>
  <si>
    <t>3,682</t>
  </si>
  <si>
    <t>29,971.48</t>
  </si>
  <si>
    <t>44,162,975.78</t>
  </si>
  <si>
    <t>37,114,560.00</t>
  </si>
  <si>
    <t>7,048,415.78</t>
  </si>
  <si>
    <t>85</t>
  </si>
  <si>
    <t>JSMS01-SriR60</t>
  </si>
  <si>
    <t>쌀겨수맑은세럼 60ml</t>
  </si>
  <si>
    <t>1,436</t>
  </si>
  <si>
    <t>11,689.04</t>
  </si>
  <si>
    <t>17,223,800.44</t>
  </si>
  <si>
    <t>14,474,880.00</t>
  </si>
  <si>
    <t>2,748,920.44</t>
  </si>
  <si>
    <t>86</t>
  </si>
  <si>
    <t>JSMS01-SRVR60</t>
  </si>
  <si>
    <t>인삼스네일세럼 60ml</t>
  </si>
  <si>
    <t>280</t>
  </si>
  <si>
    <t>2,279.20</t>
  </si>
  <si>
    <t>3,358,401.20</t>
  </si>
  <si>
    <t>2,822,400.00</t>
  </si>
  <si>
    <t>536,001.20</t>
  </si>
  <si>
    <t>87</t>
  </si>
  <si>
    <t>JSMS01-TRR</t>
  </si>
  <si>
    <t>[한국콜마/리뉴얼]청매실AHABHA토너 150ml</t>
  </si>
  <si>
    <t>6.11</t>
  </si>
  <si>
    <t>855.40</t>
  </si>
  <si>
    <t>1,260,431.90</t>
  </si>
  <si>
    <t>7,560.00</t>
  </si>
  <si>
    <t>1,058,400.00</t>
  </si>
  <si>
    <t>202,031.90</t>
  </si>
  <si>
    <t>88</t>
  </si>
  <si>
    <t>JSMSM07-S</t>
  </si>
  <si>
    <t>산들쑥선스틱 18g</t>
  </si>
  <si>
    <t>244.40</t>
  </si>
  <si>
    <t>360,123.40</t>
  </si>
  <si>
    <t>302,400.00</t>
  </si>
  <si>
    <t>57,723.40</t>
  </si>
  <si>
    <t>89</t>
  </si>
  <si>
    <t>MECUC01-RF</t>
  </si>
  <si>
    <t>레드 폼 클렌저 2020 120ml</t>
  </si>
  <si>
    <t>메디큐브</t>
  </si>
  <si>
    <t>200</t>
  </si>
  <si>
    <t>5.90</t>
  </si>
  <si>
    <t>1,180.00</t>
  </si>
  <si>
    <t>1,738,730.00</t>
  </si>
  <si>
    <t>1,400,000.00</t>
  </si>
  <si>
    <t>338,730.00</t>
  </si>
  <si>
    <t>90</t>
  </si>
  <si>
    <t>MECUC08-F</t>
  </si>
  <si>
    <t>제로 폼 클렌저 120g</t>
  </si>
  <si>
    <t>1,475.00</t>
  </si>
  <si>
    <t>2,173,412.50</t>
  </si>
  <si>
    <t>1,750,000.00</t>
  </si>
  <si>
    <t>423,412.50</t>
  </si>
  <si>
    <t>91</t>
  </si>
  <si>
    <t>MECUP07-ML</t>
  </si>
  <si>
    <t>(1매입) 콜라겐 리프팅 마스크 27g</t>
  </si>
  <si>
    <t>1,620</t>
  </si>
  <si>
    <t>0.86</t>
  </si>
  <si>
    <t>1,393.20</t>
  </si>
  <si>
    <t>2,052,880.20</t>
  </si>
  <si>
    <t>1,000.00</t>
  </si>
  <si>
    <t>1,620,000.00</t>
  </si>
  <si>
    <t>432,880.20</t>
  </si>
  <si>
    <t>21.1</t>
  </si>
  <si>
    <t>92</t>
  </si>
  <si>
    <t>MECUP08-PK</t>
  </si>
  <si>
    <t>제로 모공 블랙헤드 머드팩 100g</t>
  </si>
  <si>
    <t>770</t>
  </si>
  <si>
    <t>6.38</t>
  </si>
  <si>
    <t>4,912.60</t>
  </si>
  <si>
    <t>7,238,716.10</t>
  </si>
  <si>
    <t>5,390,000.00</t>
  </si>
  <si>
    <t>1,848,716.10</t>
  </si>
  <si>
    <t>25.5</t>
  </si>
  <si>
    <t>93</t>
  </si>
  <si>
    <t>MECUP10-PKR</t>
  </si>
  <si>
    <t>콜라겐 나이트 랩핑 마스크 75ml</t>
  </si>
  <si>
    <t>5,610</t>
  </si>
  <si>
    <t>9.24</t>
  </si>
  <si>
    <t>51,836.40</t>
  </si>
  <si>
    <t>76,380,935.40</t>
  </si>
  <si>
    <t>10,260.00</t>
  </si>
  <si>
    <t>57,558,600.00</t>
  </si>
  <si>
    <t>18,822,335.40</t>
  </si>
  <si>
    <t>24.6</t>
  </si>
  <si>
    <t>94</t>
  </si>
  <si>
    <t>MECUP13-M4EUP</t>
  </si>
  <si>
    <t>[EUP] PDRN 핑크 콜라겐 마스크 4EA</t>
  </si>
  <si>
    <t>4,880</t>
  </si>
  <si>
    <t>6.84</t>
  </si>
  <si>
    <t>33,379.20</t>
  </si>
  <si>
    <t>49,184,251.20</t>
  </si>
  <si>
    <t>39,040,000.00</t>
  </si>
  <si>
    <t>10,144,251.20</t>
  </si>
  <si>
    <t>20.6</t>
  </si>
  <si>
    <t>95</t>
  </si>
  <si>
    <t>MECUS01-FP</t>
  </si>
  <si>
    <t>[70매입] 레드 석시닉애씨드 필링패드</t>
  </si>
  <si>
    <t>1,000</t>
  </si>
  <si>
    <t>9.39</t>
  </si>
  <si>
    <t>9,390.00</t>
  </si>
  <si>
    <t>13,836,165.00</t>
  </si>
  <si>
    <t>10,945.00</t>
  </si>
  <si>
    <t>10,945,000.00</t>
  </si>
  <si>
    <t>2,891,165.00</t>
  </si>
  <si>
    <t>20.9</t>
  </si>
  <si>
    <t>96</t>
  </si>
  <si>
    <t>MECUS01-RT</t>
  </si>
  <si>
    <t>레드 토너 2.0_NEW 100ml</t>
  </si>
  <si>
    <t>342.00</t>
  </si>
  <si>
    <t>503,937.00</t>
  </si>
  <si>
    <t>400,000.00</t>
  </si>
  <si>
    <t>103,937.00</t>
  </si>
  <si>
    <t>97</t>
  </si>
  <si>
    <t>MECUS01-SS</t>
  </si>
  <si>
    <t>레드 석시닉애씨드 흔적 세럼 30ml</t>
  </si>
  <si>
    <t>160</t>
  </si>
  <si>
    <t>8.11</t>
  </si>
  <si>
    <t>1,297.60</t>
  </si>
  <si>
    <t>1,912,013.60</t>
  </si>
  <si>
    <t>8,388.00</t>
  </si>
  <si>
    <t>1,342,080.00</t>
  </si>
  <si>
    <t>569,933.60</t>
  </si>
  <si>
    <t>29.8</t>
  </si>
  <si>
    <t>98</t>
  </si>
  <si>
    <t>MECUS05-GAREUP</t>
  </si>
  <si>
    <t>[EUP] 에이지알 글루타치온 글로우 앰플 30g</t>
  </si>
  <si>
    <t>860</t>
  </si>
  <si>
    <t>6.32</t>
  </si>
  <si>
    <t>5,435.20</t>
  </si>
  <si>
    <t>8,008,767.20</t>
  </si>
  <si>
    <t>7,500.00</t>
  </si>
  <si>
    <t>6,450,000.00</t>
  </si>
  <si>
    <t>1,558,767.20</t>
  </si>
  <si>
    <t>99</t>
  </si>
  <si>
    <t>MECUS05-GC</t>
  </si>
  <si>
    <t>에이지알 글루타치온 글로우 캡슐 크림 50ml</t>
  </si>
  <si>
    <t>8.52</t>
  </si>
  <si>
    <t>5,538.00</t>
  </si>
  <si>
    <t>8,160,243.00</t>
  </si>
  <si>
    <t>8,340.00</t>
  </si>
  <si>
    <t>5,421,000.00</t>
  </si>
  <si>
    <t>2,739,243.00</t>
  </si>
  <si>
    <t>33.6</t>
  </si>
  <si>
    <t>100</t>
  </si>
  <si>
    <t>MECUS05-VA</t>
  </si>
  <si>
    <t>에이지알 비타 씨 프로 앰플 20ml</t>
  </si>
  <si>
    <t>9.41</t>
  </si>
  <si>
    <t>846.90</t>
  </si>
  <si>
    <t>1,247,907.15</t>
  </si>
  <si>
    <t>10,150.00</t>
  </si>
  <si>
    <t>913,500.00</t>
  </si>
  <si>
    <t>334,407.15</t>
  </si>
  <si>
    <t>26.8</t>
  </si>
  <si>
    <t>101</t>
  </si>
  <si>
    <t>MECUS08-A2000EUP</t>
  </si>
  <si>
    <t>[EUP] 원데이 엑소좀 샷 모공 앰플 2000 30ml</t>
  </si>
  <si>
    <t>330</t>
  </si>
  <si>
    <t>8.36</t>
  </si>
  <si>
    <t>2,758.80</t>
  </si>
  <si>
    <t>4,065,091.80</t>
  </si>
  <si>
    <t>9,735.00</t>
  </si>
  <si>
    <t>3,212,550.00</t>
  </si>
  <si>
    <t>852,541.80</t>
  </si>
  <si>
    <t>21.0</t>
  </si>
  <si>
    <t>102</t>
  </si>
  <si>
    <t>MECUS08-A7500</t>
  </si>
  <si>
    <t>원데이 엑소좀 샷 모공 앰플7500 30ml</t>
  </si>
  <si>
    <t>2,728.90</t>
  </si>
  <si>
    <t>4,021,034.15</t>
  </si>
  <si>
    <t>10,940.00</t>
  </si>
  <si>
    <t>3,172,600.00</t>
  </si>
  <si>
    <t>848,434.15</t>
  </si>
  <si>
    <t>103</t>
  </si>
  <si>
    <t>MECUS08-C</t>
  </si>
  <si>
    <t>제로 모공 원데이 크림 50ml</t>
  </si>
  <si>
    <t>1,450</t>
  </si>
  <si>
    <t>9.21</t>
  </si>
  <si>
    <t>13,354.50</t>
  </si>
  <si>
    <t>19,677,855.75</t>
  </si>
  <si>
    <t>10,680.00</t>
  </si>
  <si>
    <t>15,486,000.00</t>
  </si>
  <si>
    <t>4,191,855.75</t>
  </si>
  <si>
    <t>21.3</t>
  </si>
  <si>
    <t>104</t>
  </si>
  <si>
    <t>MECUS08-CEUP</t>
  </si>
  <si>
    <t>[EUP] 제로 모공 원데이 크림 50ml</t>
  </si>
  <si>
    <t>470</t>
  </si>
  <si>
    <t>4,328.70</t>
  </si>
  <si>
    <t>6,378,339.45</t>
  </si>
  <si>
    <t>5,019,600.00</t>
  </si>
  <si>
    <t>1,358,739.45</t>
  </si>
  <si>
    <t>105</t>
  </si>
  <si>
    <t>MECUS08-OIL</t>
  </si>
  <si>
    <t>제로 모공 블랙헤드 클렌징 오일 205ml</t>
  </si>
  <si>
    <t>460</t>
  </si>
  <si>
    <t>2,934.80</t>
  </si>
  <si>
    <t>4,324,427.80</t>
  </si>
  <si>
    <t>7,100.00</t>
  </si>
  <si>
    <t>3,266,000.00</t>
  </si>
  <si>
    <t>1,058,427.80</t>
  </si>
  <si>
    <t>24.5</t>
  </si>
  <si>
    <t>106</t>
  </si>
  <si>
    <t>MECUS08-TP</t>
  </si>
  <si>
    <t>[용기변경] 제로 모공 패드 2.0 (70매)</t>
  </si>
  <si>
    <t>5,020</t>
  </si>
  <si>
    <t>8.31</t>
  </si>
  <si>
    <t>41,716.20</t>
  </si>
  <si>
    <t>61,468,820.70</t>
  </si>
  <si>
    <t>9,829.00</t>
  </si>
  <si>
    <t>49,341,580.00</t>
  </si>
  <si>
    <t>12,127,240.70</t>
  </si>
  <si>
    <t>107</t>
  </si>
  <si>
    <t>MECUS09-C</t>
  </si>
  <si>
    <t>딥 비타 씨 캡슐 크림 55g</t>
  </si>
  <si>
    <t>3,650</t>
  </si>
  <si>
    <t>10.65</t>
  </si>
  <si>
    <t>38,872.50</t>
  </si>
  <si>
    <t>57,278,628.75</t>
  </si>
  <si>
    <t>12,000.00</t>
  </si>
  <si>
    <t>43,800,000.00</t>
  </si>
  <si>
    <t>13,478,628.75</t>
  </si>
  <si>
    <t>23.5</t>
  </si>
  <si>
    <t>108</t>
  </si>
  <si>
    <t>MECUS09-S</t>
  </si>
  <si>
    <t>딥 비타 에이 레티놀 세럼 30ml</t>
  </si>
  <si>
    <t>9.69</t>
  </si>
  <si>
    <t>2,713.20</t>
  </si>
  <si>
    <t>3,997,900.20</t>
  </si>
  <si>
    <t>10,630.00</t>
  </si>
  <si>
    <t>2,976,400.00</t>
  </si>
  <si>
    <t>1,021,500.20</t>
  </si>
  <si>
    <t>25.6</t>
  </si>
  <si>
    <t>109</t>
  </si>
  <si>
    <t>MECUS09-TPR</t>
  </si>
  <si>
    <t>[바코드변경]딥 비타 씨 패드 (70pcs)</t>
  </si>
  <si>
    <t>730</t>
  </si>
  <si>
    <t>9.78</t>
  </si>
  <si>
    <t>7,139.40</t>
  </si>
  <si>
    <t>10,519,905.90</t>
  </si>
  <si>
    <t>11,500.00</t>
  </si>
  <si>
    <t>8,395,000.00</t>
  </si>
  <si>
    <t>2,124,905.90</t>
  </si>
  <si>
    <t>20.2</t>
  </si>
  <si>
    <t>110</t>
  </si>
  <si>
    <t>MECUS10-C</t>
  </si>
  <si>
    <t>[바코드변경]트리플 콜라겐 크림 4.0 50ml</t>
  </si>
  <si>
    <t>1,310</t>
  </si>
  <si>
    <t>12,327.10</t>
  </si>
  <si>
    <t>18,163,981.85</t>
  </si>
  <si>
    <t>10,650.00</t>
  </si>
  <si>
    <t>13,951,500.00</t>
  </si>
  <si>
    <t>4,212,481.85</t>
  </si>
  <si>
    <t>23.2</t>
  </si>
  <si>
    <t>111</t>
  </si>
  <si>
    <t>MECUS10-CG</t>
  </si>
  <si>
    <t>콜라겐 젤크림 110ml</t>
  </si>
  <si>
    <t>1,840</t>
  </si>
  <si>
    <t>9.83</t>
  </si>
  <si>
    <t>18,087.20</t>
  </si>
  <si>
    <t>26,651,489.20</t>
  </si>
  <si>
    <t>10,350.00</t>
  </si>
  <si>
    <t>19,044,000.00</t>
  </si>
  <si>
    <t>7,607,489.20</t>
  </si>
  <si>
    <t>28.5</t>
  </si>
  <si>
    <t>112</t>
  </si>
  <si>
    <t>MECUS10-CG50</t>
  </si>
  <si>
    <t>콜라겐 젤크림 50ml</t>
  </si>
  <si>
    <t>6.86</t>
  </si>
  <si>
    <t>4,870.60</t>
  </si>
  <si>
    <t>7,176,829.10</t>
  </si>
  <si>
    <t>5,325,000.00</t>
  </si>
  <si>
    <t>1,851,829.10</t>
  </si>
  <si>
    <t>25.8</t>
  </si>
  <si>
    <t>113</t>
  </si>
  <si>
    <t>MECUS10-SG</t>
  </si>
  <si>
    <t>콜라겐 글로우 부스터 세럼 15ml</t>
  </si>
  <si>
    <t>8.15</t>
  </si>
  <si>
    <t>2,037.50</t>
  </si>
  <si>
    <t>3,002,256.25</t>
  </si>
  <si>
    <t>8,500.00</t>
  </si>
  <si>
    <t>2,125,000.00</t>
  </si>
  <si>
    <t>877,256.25</t>
  </si>
  <si>
    <t>29.2</t>
  </si>
  <si>
    <t>114</t>
  </si>
  <si>
    <t>MECUS10-SR</t>
  </si>
  <si>
    <t>(바코드변경) 트리플 콜라겐 세럼 4.0 55ml</t>
  </si>
  <si>
    <t>1,650</t>
  </si>
  <si>
    <t>11,286.00</t>
  </si>
  <si>
    <t>16,629,921.00</t>
  </si>
  <si>
    <t>12,375,000.00</t>
  </si>
  <si>
    <t>4,254,921.00</t>
  </si>
  <si>
    <t>115</t>
  </si>
  <si>
    <t>MECUS10-TR</t>
  </si>
  <si>
    <t>[Renew]트리플 콜라겐 토너 4.0 140ml</t>
  </si>
  <si>
    <t>6.41</t>
  </si>
  <si>
    <t>4,551.10</t>
  </si>
  <si>
    <t>6,706,045.85</t>
  </si>
  <si>
    <t>1,381,045.85</t>
  </si>
  <si>
    <t>116</t>
  </si>
  <si>
    <t>MECUS13-A</t>
  </si>
  <si>
    <t>PDRN 핑크 펩타이드 앰플 30ML</t>
  </si>
  <si>
    <t>3,530</t>
  </si>
  <si>
    <t>7.68</t>
  </si>
  <si>
    <t>27,110.40</t>
  </si>
  <si>
    <t>39,947,174.40</t>
  </si>
  <si>
    <t>8,600.00</t>
  </si>
  <si>
    <t>30,358,000.00</t>
  </si>
  <si>
    <t>9,589,174.40</t>
  </si>
  <si>
    <t>24.0</t>
  </si>
  <si>
    <t>117</t>
  </si>
  <si>
    <t>MECUS13-CM</t>
  </si>
  <si>
    <t>PDRN 핑크 히알루로닉 수분 크림_50ml</t>
  </si>
  <si>
    <t>1,070</t>
  </si>
  <si>
    <t>6.81</t>
  </si>
  <si>
    <t>7,286.70</t>
  </si>
  <si>
    <t>10,736,952.45</t>
  </si>
  <si>
    <t>8,025,000.00</t>
  </si>
  <si>
    <t>2,711,952.45</t>
  </si>
  <si>
    <t>25.3</t>
  </si>
  <si>
    <t>118</t>
  </si>
  <si>
    <t>MECUS13-GELEUP</t>
  </si>
  <si>
    <t>[EUP] PDRN 부스터젤 300ML</t>
  </si>
  <si>
    <t>880</t>
  </si>
  <si>
    <t>6.82</t>
  </si>
  <si>
    <t>6,001.60</t>
  </si>
  <si>
    <t>8,843,357.60</t>
  </si>
  <si>
    <t>5,620.00</t>
  </si>
  <si>
    <t>4,945,600.00</t>
  </si>
  <si>
    <t>3,897,757.60</t>
  </si>
  <si>
    <t>44.1</t>
  </si>
  <si>
    <t>119</t>
  </si>
  <si>
    <t>MECUS13-I</t>
  </si>
  <si>
    <t>PDRN 핑크 펩타이드 아이크림 30ml</t>
  </si>
  <si>
    <t>1,830</t>
  </si>
  <si>
    <t>6.89</t>
  </si>
  <si>
    <t>12,608.70</t>
  </si>
  <si>
    <t>18,578,919.45</t>
  </si>
  <si>
    <t>13,725,000.00</t>
  </si>
  <si>
    <t>4,853,919.45</t>
  </si>
  <si>
    <t>26.1</t>
  </si>
  <si>
    <t>MECUS13-T</t>
  </si>
  <si>
    <t>PDRN 핑크 시카 수딩 토너_250ml</t>
  </si>
  <si>
    <t>6.83</t>
  </si>
  <si>
    <t>6,010.40</t>
  </si>
  <si>
    <t>8,856,324.40</t>
  </si>
  <si>
    <t>7,690.00</t>
  </si>
  <si>
    <t>6,767,200.00</t>
  </si>
  <si>
    <t>2,089,124.40</t>
  </si>
  <si>
    <t>23.6</t>
  </si>
  <si>
    <t>121</t>
  </si>
  <si>
    <t>MECUS13-TP</t>
  </si>
  <si>
    <t>PDRN 핑크 콜라겐 토닝 겔 토너패드 70ea</t>
  </si>
  <si>
    <t>750</t>
  </si>
  <si>
    <t>6,735.00</t>
  </si>
  <si>
    <t>9,924,022.50</t>
  </si>
  <si>
    <t>7,425,000.00</t>
  </si>
  <si>
    <t>2,499,022.50</t>
  </si>
  <si>
    <t>25.2</t>
  </si>
  <si>
    <t>122</t>
  </si>
  <si>
    <t>PYC01-CCDR</t>
  </si>
  <si>
    <t>[수묵화] 딥 클리어 클렌징밤 100ml</t>
  </si>
  <si>
    <t>5.13</t>
  </si>
  <si>
    <t>1,590.30</t>
  </si>
  <si>
    <t>2,343,307.05</t>
  </si>
  <si>
    <t>1,953,000.00</t>
  </si>
  <si>
    <t>390,307.05</t>
  </si>
  <si>
    <t>16.7</t>
  </si>
  <si>
    <t>123</t>
  </si>
  <si>
    <t>PYC01-peelingR</t>
  </si>
  <si>
    <t>[수묵화] 리뉴얼 필링젤 100ml</t>
  </si>
  <si>
    <t>194</t>
  </si>
  <si>
    <t>4.56</t>
  </si>
  <si>
    <t>884.64</t>
  </si>
  <si>
    <t>1,303,517.04</t>
  </si>
  <si>
    <t>1,086,400.00</t>
  </si>
  <si>
    <t>217,117.04</t>
  </si>
  <si>
    <t>124</t>
  </si>
  <si>
    <t>PYC05-F</t>
  </si>
  <si>
    <t>아크네 페이셜 클렌저 120ml</t>
  </si>
  <si>
    <t>540</t>
  </si>
  <si>
    <t>2.57</t>
  </si>
  <si>
    <t>1,387.80</t>
  </si>
  <si>
    <t>2,044,923.30</t>
  </si>
  <si>
    <t>3,150.00</t>
  </si>
  <si>
    <t>1,701,000.00</t>
  </si>
  <si>
    <t>343,923.30</t>
  </si>
  <si>
    <t>16.8</t>
  </si>
  <si>
    <t>125</t>
  </si>
  <si>
    <t>PYC12-Balm</t>
  </si>
  <si>
    <t>(변경예정) 진정 고보습 리페어 밤 30ml</t>
  </si>
  <si>
    <t>4.28</t>
  </si>
  <si>
    <t>385.20</t>
  </si>
  <si>
    <t>567,592.20</t>
  </si>
  <si>
    <t>5,300.00</t>
  </si>
  <si>
    <t>477,000.00</t>
  </si>
  <si>
    <t>90,592.20</t>
  </si>
  <si>
    <t>126</t>
  </si>
  <si>
    <t>PYC12-F</t>
  </si>
  <si>
    <t>[수묵화] 진정 약산성 포밍 클렌저 150ml</t>
  </si>
  <si>
    <t>3.42</t>
  </si>
  <si>
    <t>957.60</t>
  </si>
  <si>
    <t>1,411,023.60</t>
  </si>
  <si>
    <t>4,200.00</t>
  </si>
  <si>
    <t>1,176,000.00</t>
  </si>
  <si>
    <t>235,023.60</t>
  </si>
  <si>
    <t>127</t>
  </si>
  <si>
    <t>PYC15-COR</t>
  </si>
  <si>
    <t>[수묵화] 약산성 클렌징 워터 290ml</t>
  </si>
  <si>
    <t>81.32</t>
  </si>
  <si>
    <t>119,825.02</t>
  </si>
  <si>
    <t>4,697.37</t>
  </si>
  <si>
    <t>89,250.00</t>
  </si>
  <si>
    <t>30,575.02</t>
  </si>
  <si>
    <t>128</t>
  </si>
  <si>
    <t>PYHS15-SPm</t>
  </si>
  <si>
    <t>(변경예정) 약산성 두피 샴푸 290ml</t>
  </si>
  <si>
    <t>130</t>
  </si>
  <si>
    <t>592.80</t>
  </si>
  <si>
    <t>873,490.80</t>
  </si>
  <si>
    <t>728,000.00</t>
  </si>
  <si>
    <t>145,490.80</t>
  </si>
  <si>
    <t>129</t>
  </si>
  <si>
    <t>PYP01-MB</t>
  </si>
  <si>
    <t>(10매입) 블랙티 리바이탈라이징 마스크팩</t>
  </si>
  <si>
    <t>180</t>
  </si>
  <si>
    <t>1,722.60</t>
  </si>
  <si>
    <t>2,538,251.10</t>
  </si>
  <si>
    <t>10,500.00</t>
  </si>
  <si>
    <t>1,890,000.00</t>
  </si>
  <si>
    <t>648,251.10</t>
  </si>
  <si>
    <t>PYS01-atot</t>
  </si>
  <si>
    <t>아토 크림 블루라벨 (tube)120ml</t>
  </si>
  <si>
    <t>1,026.00</t>
  </si>
  <si>
    <t>1,511,811.00</t>
  </si>
  <si>
    <t>5,220.00</t>
  </si>
  <si>
    <t>1,044,000.00</t>
  </si>
  <si>
    <t>467,811.00</t>
  </si>
  <si>
    <t>30.9</t>
  </si>
  <si>
    <t>131</t>
  </si>
  <si>
    <t>PYS01-BAMR</t>
  </si>
  <si>
    <t>(변경예정) *리뉴얼 딥 널리싱 멀티 밤</t>
  </si>
  <si>
    <t>6.27</t>
  </si>
  <si>
    <t>564.30</t>
  </si>
  <si>
    <t>831,496.05</t>
  </si>
  <si>
    <t>7,700.00</t>
  </si>
  <si>
    <t>693,000.00</t>
  </si>
  <si>
    <t>138,496.05</t>
  </si>
  <si>
    <t>132</t>
  </si>
  <si>
    <t>PYS01-ClotionM</t>
  </si>
  <si>
    <t>[변경예정] 고보습 세라마이드 로션 290ml</t>
  </si>
  <si>
    <t>383.04</t>
  </si>
  <si>
    <t>564,409.44</t>
  </si>
  <si>
    <t>470,400.00</t>
  </si>
  <si>
    <t>94,009.44</t>
  </si>
  <si>
    <t>133</t>
  </si>
  <si>
    <t>PYS01-IBTR</t>
  </si>
  <si>
    <t>*리뉴얼 블랙티 타임 리버스 아이크림 25ml</t>
  </si>
  <si>
    <t>4,785.00</t>
  </si>
  <si>
    <t>7,050,697.50</t>
  </si>
  <si>
    <t>6,000,000.00</t>
  </si>
  <si>
    <t>1,050,697.50</t>
  </si>
  <si>
    <t>14.9</t>
  </si>
  <si>
    <t>134</t>
  </si>
  <si>
    <t>PYS01-mample</t>
  </si>
  <si>
    <t>(변경예정) 모이스쳐 앰플 100ml</t>
  </si>
  <si>
    <t>79.80</t>
  </si>
  <si>
    <t>117,585.30</t>
  </si>
  <si>
    <t>9,800.00</t>
  </si>
  <si>
    <t>98,000.00</t>
  </si>
  <si>
    <t>19,585.30</t>
  </si>
  <si>
    <t>135</t>
  </si>
  <si>
    <t>PYS01-mserumR</t>
  </si>
  <si>
    <t>[수묵화] 리뉴얼 모이스쳐 세럼 100ml</t>
  </si>
  <si>
    <t>7.70</t>
  </si>
  <si>
    <t>77.00</t>
  </si>
  <si>
    <t>113,459.50</t>
  </si>
  <si>
    <t>9,450.00</t>
  </si>
  <si>
    <t>94,500.00</t>
  </si>
  <si>
    <t>18,959.50</t>
  </si>
  <si>
    <t>136</t>
  </si>
  <si>
    <t>PYS01-PATCHR</t>
  </si>
  <si>
    <t>*리뉴얼 (60매입) 블랙티 타임 리버스 아이패치</t>
  </si>
  <si>
    <t>1,535</t>
  </si>
  <si>
    <t>5.84</t>
  </si>
  <si>
    <t>8,964.40</t>
  </si>
  <si>
    <t>13,209,043.40</t>
  </si>
  <si>
    <t>10,745,000.00</t>
  </si>
  <si>
    <t>2,464,043.40</t>
  </si>
  <si>
    <t>18.7</t>
  </si>
  <si>
    <t>137</t>
  </si>
  <si>
    <t>PYS01-PMT200R</t>
  </si>
  <si>
    <t>(변경예정) *리뉴얼 미스트 토너 200ml</t>
  </si>
  <si>
    <t>1,077.30</t>
  </si>
  <si>
    <t>1,587,401.55</t>
  </si>
  <si>
    <t>1,323,000.00</t>
  </si>
  <si>
    <t>264,401.55</t>
  </si>
  <si>
    <t>138</t>
  </si>
  <si>
    <t>PYS01-PSet05</t>
  </si>
  <si>
    <t>베이직 선물세트 (에센스토너200ml ,뉴트리션크림 100ml ,모이스처세럼 100ml)</t>
  </si>
  <si>
    <t>22.23</t>
  </si>
  <si>
    <t>44.46</t>
  </si>
  <si>
    <t>65,511.81</t>
  </si>
  <si>
    <t>28,350.00</t>
  </si>
  <si>
    <t>56,700.00</t>
  </si>
  <si>
    <t>8,811.81</t>
  </si>
  <si>
    <t>13.5</t>
  </si>
  <si>
    <t>139</t>
  </si>
  <si>
    <t>PYS05-C</t>
  </si>
  <si>
    <t>아크네 크림 50ml</t>
  </si>
  <si>
    <t>3,876.00</t>
  </si>
  <si>
    <t>5,711,286.00</t>
  </si>
  <si>
    <t>4,760,000.00</t>
  </si>
  <si>
    <t>951,286.00</t>
  </si>
  <si>
    <t>PYS05-Patch</t>
  </si>
  <si>
    <t>아크네 스팟패치 슈퍼씬 (15매)</t>
  </si>
  <si>
    <t>2,106</t>
  </si>
  <si>
    <t>1.14</t>
  </si>
  <si>
    <t>2,400.84</t>
  </si>
  <si>
    <t>3,537,637.74</t>
  </si>
  <si>
    <t>1,400.00</t>
  </si>
  <si>
    <t>2,948,400.00</t>
  </si>
  <si>
    <t>589,237.74</t>
  </si>
  <si>
    <t>141</t>
  </si>
  <si>
    <t>PYS05-SPOTC</t>
  </si>
  <si>
    <t>아크네 스팟크림 15ml</t>
  </si>
  <si>
    <t>3.71</t>
  </si>
  <si>
    <t>890.40</t>
  </si>
  <si>
    <t>1,312,004.40</t>
  </si>
  <si>
    <t>4,550.00</t>
  </si>
  <si>
    <t>1,092,000.00</t>
  </si>
  <si>
    <t>220,004.40</t>
  </si>
  <si>
    <t>142</t>
  </si>
  <si>
    <t>PYS05-T</t>
  </si>
  <si>
    <t>아크네 토너 150ml</t>
  </si>
  <si>
    <t>3.99</t>
  </si>
  <si>
    <t>718.20</t>
  </si>
  <si>
    <t>1,058,267.70</t>
  </si>
  <si>
    <t>4,900.00</t>
  </si>
  <si>
    <t>882,000.00</t>
  </si>
  <si>
    <t>176,267.70</t>
  </si>
  <si>
    <t>143</t>
  </si>
  <si>
    <t>PYS06-C</t>
  </si>
  <si>
    <t>블랙티 인리치드 크림 60ml</t>
  </si>
  <si>
    <t>15.95</t>
  </si>
  <si>
    <t>2,871.00</t>
  </si>
  <si>
    <t>4,230,418.50</t>
  </si>
  <si>
    <t>20,000.00</t>
  </si>
  <si>
    <t>3,600,000.00</t>
  </si>
  <si>
    <t>630,418.50</t>
  </si>
  <si>
    <t>144</t>
  </si>
  <si>
    <t>PYS12-M</t>
  </si>
  <si>
    <t>[수묵화] 진정 수분 미스트 100ml</t>
  </si>
  <si>
    <t>1,276.80</t>
  </si>
  <si>
    <t>1,881,364.80</t>
  </si>
  <si>
    <t>1,568,000.00</t>
  </si>
  <si>
    <t>313,364.80</t>
  </si>
  <si>
    <t>145</t>
  </si>
  <si>
    <t>PYS12-Pad</t>
  </si>
  <si>
    <t>(변경예정) 진정 토너패드 70매입</t>
  </si>
  <si>
    <t>203</t>
  </si>
  <si>
    <t>1,041.39</t>
  </si>
  <si>
    <t>1,534,488.17</t>
  </si>
  <si>
    <t>6,162.56</t>
  </si>
  <si>
    <t>1,251,000.00</t>
  </si>
  <si>
    <t>283,488.17</t>
  </si>
  <si>
    <t>18.5</t>
  </si>
  <si>
    <t>146</t>
  </si>
  <si>
    <t>PYS12-PATCH4</t>
  </si>
  <si>
    <t>(4X18매입) 클리어 스팟패치(10mm*9+12mm*9)</t>
  </si>
  <si>
    <t>510.72</t>
  </si>
  <si>
    <t>752,545.92</t>
  </si>
  <si>
    <t>627,200.00</t>
  </si>
  <si>
    <t>125,345.92</t>
  </si>
  <si>
    <t>147</t>
  </si>
  <si>
    <t>PYS12-SETC</t>
  </si>
  <si>
    <t>진정 라인 선물세트 (토너 150ml + 세럼 30ml + 크림 50ml)</t>
  </si>
  <si>
    <t>184</t>
  </si>
  <si>
    <t>12.83</t>
  </si>
  <si>
    <t>2,360.72</t>
  </si>
  <si>
    <t>3,478,520.92</t>
  </si>
  <si>
    <t>14,527.17</t>
  </si>
  <si>
    <t>2,673,000.00</t>
  </si>
  <si>
    <t>805,520.92</t>
  </si>
  <si>
    <t>148</t>
  </si>
  <si>
    <t>PYS12-TCM</t>
  </si>
  <si>
    <t>(변경예정) 진정 수분 강화 토너 150ml</t>
  </si>
  <si>
    <t>319.20</t>
  </si>
  <si>
    <t>470,341.20</t>
  </si>
  <si>
    <t>392,000.00</t>
  </si>
  <si>
    <t>78,341.20</t>
  </si>
  <si>
    <t>149</t>
  </si>
  <si>
    <t>PYS13-T</t>
  </si>
  <si>
    <t>[변경예정] 얼티밋 진정 솔루션 토너 110ml</t>
  </si>
  <si>
    <t>547.20</t>
  </si>
  <si>
    <t>806,299.20</t>
  </si>
  <si>
    <t>7,400.00</t>
  </si>
  <si>
    <t>592,000.00</t>
  </si>
  <si>
    <t>214,299.20</t>
  </si>
  <si>
    <t>26.6</t>
  </si>
  <si>
    <t>150</t>
  </si>
  <si>
    <t>PYS16-E590</t>
  </si>
  <si>
    <t>키즈 엔 베이비 로션 스위트오렌지 590ml</t>
  </si>
  <si>
    <t>94.05</t>
  </si>
  <si>
    <t>138,582.67</t>
  </si>
  <si>
    <t>99,000.00</t>
  </si>
  <si>
    <t>39,582.67</t>
  </si>
  <si>
    <t>28.6</t>
  </si>
  <si>
    <t>151</t>
  </si>
  <si>
    <t>PYSM01-SC50R</t>
  </si>
  <si>
    <t>[변경예정] 수분 진정 선크림 50ml</t>
  </si>
  <si>
    <t>5.70</t>
  </si>
  <si>
    <t>530.10</t>
  </si>
  <si>
    <t>781,102.35</t>
  </si>
  <si>
    <t>651,000.00</t>
  </si>
  <si>
    <t>130,102.35</t>
  </si>
  <si>
    <t>152</t>
  </si>
  <si>
    <t>3,830</t>
  </si>
  <si>
    <t>4.32</t>
  </si>
  <si>
    <t>16,545.60</t>
  </si>
  <si>
    <t>24,379,941.60</t>
  </si>
  <si>
    <t>4,730.00</t>
  </si>
  <si>
    <t>18,115,900.00</t>
  </si>
  <si>
    <t>6,264,041.60</t>
  </si>
  <si>
    <t>25.7</t>
  </si>
  <si>
    <t>153</t>
  </si>
  <si>
    <t>RLC01-FR</t>
  </si>
  <si>
    <t>*리뉴얼 1025 독도 버블 폼 150ml</t>
  </si>
  <si>
    <t>4.78</t>
  </si>
  <si>
    <t>239.00</t>
  </si>
  <si>
    <t>352,166.50</t>
  </si>
  <si>
    <t>5,250.00</t>
  </si>
  <si>
    <t>262,500.00</t>
  </si>
  <si>
    <t>89,666.50</t>
  </si>
  <si>
    <t>154</t>
  </si>
  <si>
    <t>RLC04-FR</t>
  </si>
  <si>
    <t>*리뉴얼 자작나무 수분 클렌저 150ml</t>
  </si>
  <si>
    <t>1,420</t>
  </si>
  <si>
    <t>6,077.60</t>
  </si>
  <si>
    <t>8,955,343.60</t>
  </si>
  <si>
    <t>6,716,600.00</t>
  </si>
  <si>
    <t>2,238,743.60</t>
  </si>
  <si>
    <t>25.0</t>
  </si>
  <si>
    <t>155</t>
  </si>
  <si>
    <t>RLP01-PKMenR</t>
  </si>
  <si>
    <t>*리뉴얼 (튜브)1025 독도 머드팩 100ml(본품)</t>
  </si>
  <si>
    <t>4.50</t>
  </si>
  <si>
    <t>315.00</t>
  </si>
  <si>
    <t>464,152.50</t>
  </si>
  <si>
    <t>4,940.00</t>
  </si>
  <si>
    <t>345,800.00</t>
  </si>
  <si>
    <t>118,352.50</t>
  </si>
  <si>
    <t>156</t>
  </si>
  <si>
    <t>RLP01-PKR</t>
  </si>
  <si>
    <t>**리뉴얼 1025 독도 수면팩_100ml (본품)</t>
  </si>
  <si>
    <t>239.60</t>
  </si>
  <si>
    <t>353,050.60</t>
  </si>
  <si>
    <t>6,620.00</t>
  </si>
  <si>
    <t>264,800.00</t>
  </si>
  <si>
    <t>88,250.60</t>
  </si>
  <si>
    <t>157</t>
  </si>
  <si>
    <t>RLS01-AR</t>
  </si>
  <si>
    <t>*리뉴얼 1025 독도 앰플 45g (본품)</t>
  </si>
  <si>
    <t>6.65</t>
  </si>
  <si>
    <t>532.00</t>
  </si>
  <si>
    <t>783,902.00</t>
  </si>
  <si>
    <t>7,350.00</t>
  </si>
  <si>
    <t>588,000.00</t>
  </si>
  <si>
    <t>195,902.00</t>
  </si>
  <si>
    <t>158</t>
  </si>
  <si>
    <t>RLS01-CR</t>
  </si>
  <si>
    <t>*리뉴얼 1025 독도 크림_80ml</t>
  </si>
  <si>
    <t>8.04</t>
  </si>
  <si>
    <t>3,135.60</t>
  </si>
  <si>
    <t>4,620,306.60</t>
  </si>
  <si>
    <t>8,930.00</t>
  </si>
  <si>
    <t>3,482,700.00</t>
  </si>
  <si>
    <t>1,137,606.60</t>
  </si>
  <si>
    <t>159</t>
  </si>
  <si>
    <t>RLS01-IR</t>
  </si>
  <si>
    <t>*리뉴얼 1025 독도 아이크림 30ml</t>
  </si>
  <si>
    <t>6.18</t>
  </si>
  <si>
    <t>618.00</t>
  </si>
  <si>
    <t>910,623.00</t>
  </si>
  <si>
    <t>6,830.00</t>
  </si>
  <si>
    <t>683,000.00</t>
  </si>
  <si>
    <t>227,623.00</t>
  </si>
  <si>
    <t>RLS01-LR</t>
  </si>
  <si>
    <t>*리뉴얼 독도 로션 200ml</t>
  </si>
  <si>
    <t>642.40</t>
  </si>
  <si>
    <t>946,576.40</t>
  </si>
  <si>
    <t>6,510.00</t>
  </si>
  <si>
    <t>716,100.00</t>
  </si>
  <si>
    <t>230,476.40</t>
  </si>
  <si>
    <t>24.3</t>
  </si>
  <si>
    <t>161</t>
  </si>
  <si>
    <t>RLS01-T500R</t>
  </si>
  <si>
    <t>*리뉴얼 1025 독도토너 500ml (본품)</t>
  </si>
  <si>
    <t>9.37</t>
  </si>
  <si>
    <t>1,311.80</t>
  </si>
  <si>
    <t>1,932,937.30</t>
  </si>
  <si>
    <t>10,400.00</t>
  </si>
  <si>
    <t>1,456,000.00</t>
  </si>
  <si>
    <t>476,937.30</t>
  </si>
  <si>
    <t>24.7</t>
  </si>
  <si>
    <t>162</t>
  </si>
  <si>
    <t>RLS01-TenR</t>
  </si>
  <si>
    <t>*리뉴얼 1025 독도토너 200ml (본품)</t>
  </si>
  <si>
    <t>4.99</t>
  </si>
  <si>
    <t>2,894.20</t>
  </si>
  <si>
    <t>4,264,603.70</t>
  </si>
  <si>
    <t>5,460.00</t>
  </si>
  <si>
    <t>3,166,800.00</t>
  </si>
  <si>
    <t>1,097,803.70</t>
  </si>
  <si>
    <t>163</t>
  </si>
  <si>
    <t>RLS01-TRR</t>
  </si>
  <si>
    <t>*리뉴얼 1025 독도토너_100ml</t>
  </si>
  <si>
    <t>890</t>
  </si>
  <si>
    <t>3.22</t>
  </si>
  <si>
    <t>2,865.80</t>
  </si>
  <si>
    <t>4,222,756.30</t>
  </si>
  <si>
    <t>3,570.00</t>
  </si>
  <si>
    <t>3,177,300.00</t>
  </si>
  <si>
    <t>1,045,456.30</t>
  </si>
  <si>
    <t>24.8</t>
  </si>
  <si>
    <t>164</t>
  </si>
  <si>
    <t>RLS04-SR</t>
  </si>
  <si>
    <t>*리뉴얼 자작나무 수분 세럼 50ml</t>
  </si>
  <si>
    <t>125.40</t>
  </si>
  <si>
    <t>184,776.90</t>
  </si>
  <si>
    <t>136,600.00</t>
  </si>
  <si>
    <t>48,176.90</t>
  </si>
  <si>
    <t>165</t>
  </si>
  <si>
    <t>RLS04-TPenR</t>
  </si>
  <si>
    <t>*리뉴얼 자작나무 수분 패드 (80매입)</t>
  </si>
  <si>
    <t>366.60</t>
  </si>
  <si>
    <t>540,185.10</t>
  </si>
  <si>
    <t>409,800.00</t>
  </si>
  <si>
    <t>130,385.10</t>
  </si>
  <si>
    <t>24.1</t>
  </si>
  <si>
    <t>166</t>
  </si>
  <si>
    <t>RLS04-TR</t>
  </si>
  <si>
    <t>*리뉴얼 자작나무 수분 토너 300ml (본품)</t>
  </si>
  <si>
    <t>260</t>
  </si>
  <si>
    <t>1,482.00</t>
  </si>
  <si>
    <t>2,183,727.00</t>
  </si>
  <si>
    <t>1,638,000.00</t>
  </si>
  <si>
    <t>545,727.00</t>
  </si>
  <si>
    <t>167</t>
  </si>
  <si>
    <t>RLS06-C80</t>
  </si>
  <si>
    <t>약콩 영양 크림 80ml (본품)</t>
  </si>
  <si>
    <t>760.00</t>
  </si>
  <si>
    <t>1,119,860.00</t>
  </si>
  <si>
    <t>840,000.00</t>
  </si>
  <si>
    <t>279,860.00</t>
  </si>
  <si>
    <t>168</t>
  </si>
  <si>
    <t>RLS06-TR</t>
  </si>
  <si>
    <t>*리뉴얼 약콩 영양 토너 300ml (본품)</t>
  </si>
  <si>
    <t>421.80</t>
  </si>
  <si>
    <t>621,522.30</t>
  </si>
  <si>
    <t>466,200.00</t>
  </si>
  <si>
    <t>155,322.30</t>
  </si>
  <si>
    <t>169</t>
  </si>
  <si>
    <t>RLS07-PATCHR</t>
  </si>
  <si>
    <t>*리뉴얼 소나무 진정 시카 패드 50매</t>
  </si>
  <si>
    <t>6.28</t>
  </si>
  <si>
    <t>125.60</t>
  </si>
  <si>
    <t>185,071.60</t>
  </si>
  <si>
    <t>6,930.00</t>
  </si>
  <si>
    <t>138,600.00</t>
  </si>
  <si>
    <t>46,471.60</t>
  </si>
  <si>
    <t>25.1</t>
  </si>
  <si>
    <t>RLSM04-SCen</t>
  </si>
  <si>
    <t>자작나무 수분 선크림 50ml (본품)</t>
  </si>
  <si>
    <t>6,880</t>
  </si>
  <si>
    <t>42,036.80</t>
  </si>
  <si>
    <t>61,941,224.80</t>
  </si>
  <si>
    <t>6,147.00</t>
  </si>
  <si>
    <t>42,291,360.00</t>
  </si>
  <si>
    <t>19,649,864.80</t>
  </si>
  <si>
    <t>31.7</t>
  </si>
  <si>
    <t>171</t>
  </si>
  <si>
    <t>2026-06-10</t>
  </si>
  <si>
    <t>IFromP11-PK</t>
  </si>
  <si>
    <t>(Renew) 머그워트 마스크 70g</t>
  </si>
  <si>
    <t>아임프롬</t>
  </si>
  <si>
    <t>360</t>
  </si>
  <si>
    <t>4.89</t>
  </si>
  <si>
    <t>1,760.40</t>
  </si>
  <si>
    <t>2,593,421.28</t>
  </si>
  <si>
    <t>5,455.00</t>
  </si>
  <si>
    <t>1,963,800.00</t>
  </si>
  <si>
    <t>629,621.28</t>
  </si>
  <si>
    <t>IN00445227</t>
  </si>
  <si>
    <t>172</t>
  </si>
  <si>
    <t>IFromS11-SR</t>
  </si>
  <si>
    <t>(Renew) 머그워트 에센스 150ml</t>
  </si>
  <si>
    <t>405</t>
  </si>
  <si>
    <t>8.80</t>
  </si>
  <si>
    <t>3,564.00</t>
  </si>
  <si>
    <t>5,250,484.80</t>
  </si>
  <si>
    <t>9,818.00</t>
  </si>
  <si>
    <t>3,976,290.00</t>
  </si>
  <si>
    <t>1,274,194.80</t>
  </si>
  <si>
    <t>173</t>
  </si>
  <si>
    <t>440</t>
  </si>
  <si>
    <t>3,423.20</t>
  </si>
  <si>
    <t>5,044,085.20</t>
  </si>
  <si>
    <t>3,080,000.00</t>
  </si>
  <si>
    <t>1,964,085.20</t>
  </si>
  <si>
    <t>IN00444087</t>
  </si>
  <si>
    <t>174</t>
  </si>
  <si>
    <t>14,315.20</t>
  </si>
  <si>
    <t>21,093,447.20</t>
  </si>
  <si>
    <t>14,720,000.00</t>
  </si>
  <si>
    <t>6,373,447.20</t>
  </si>
  <si>
    <t>175</t>
  </si>
  <si>
    <t>119.80</t>
  </si>
  <si>
    <t>176,525.30</t>
  </si>
  <si>
    <t>155,200.00</t>
  </si>
  <si>
    <t>21,325.30</t>
  </si>
  <si>
    <t>176</t>
  </si>
  <si>
    <t>472.50</t>
  </si>
  <si>
    <t>696,228.75</t>
  </si>
  <si>
    <t>609,500.00</t>
  </si>
  <si>
    <t>86,728.75</t>
  </si>
  <si>
    <t>177</t>
  </si>
  <si>
    <t>3,810</t>
  </si>
  <si>
    <t>35,585.40</t>
  </si>
  <si>
    <t>52,435,086.90</t>
  </si>
  <si>
    <t>46,443,900.00</t>
  </si>
  <si>
    <t>5,991,186.90</t>
  </si>
  <si>
    <t>178</t>
  </si>
  <si>
    <t>ANS10-SPDRN</t>
  </si>
  <si>
    <t>PDRN 히알루론산 캡슐 100 세럼 30ml</t>
  </si>
  <si>
    <t>639</t>
  </si>
  <si>
    <t>7,610.49</t>
  </si>
  <si>
    <t>11,214,057.02</t>
  </si>
  <si>
    <t>9,910,890.00</t>
  </si>
  <si>
    <t>1,303,167.02</t>
  </si>
  <si>
    <t>179</t>
  </si>
  <si>
    <t>530</t>
  </si>
  <si>
    <t>4,764.70</t>
  </si>
  <si>
    <t>7,020,785.45</t>
  </si>
  <si>
    <t>6,163,900.00</t>
  </si>
  <si>
    <t>856,885.45</t>
  </si>
  <si>
    <t>64.60</t>
  </si>
  <si>
    <t>95,188.10</t>
  </si>
  <si>
    <t>55,636.36</t>
  </si>
  <si>
    <t>39,551.74</t>
  </si>
  <si>
    <t>181</t>
  </si>
  <si>
    <t>60.80</t>
  </si>
  <si>
    <t>89,588.80</t>
  </si>
  <si>
    <t>52,363.63</t>
  </si>
  <si>
    <t>37,225.17</t>
  </si>
  <si>
    <t>182</t>
  </si>
  <si>
    <t>30.40</t>
  </si>
  <si>
    <t>44,794.40</t>
  </si>
  <si>
    <t>26,181.82</t>
  </si>
  <si>
    <t>18,612.58</t>
  </si>
  <si>
    <t>183</t>
  </si>
  <si>
    <t>BNKP04-MH1R</t>
  </si>
  <si>
    <t>[리뉴얼] [1매입] 더 클린 비건 히알루론산 마스크</t>
  </si>
  <si>
    <t>3.80</t>
  </si>
  <si>
    <t>5,599.30</t>
  </si>
  <si>
    <t>3,272.73</t>
  </si>
  <si>
    <t>2,326.57</t>
  </si>
  <si>
    <t>185</t>
  </si>
  <si>
    <t>26.60</t>
  </si>
  <si>
    <t>39,195.10</t>
  </si>
  <si>
    <t>22,909.09</t>
  </si>
  <si>
    <t>16,286.01</t>
  </si>
  <si>
    <t>186</t>
  </si>
  <si>
    <t>1,280</t>
  </si>
  <si>
    <t>486.40</t>
  </si>
  <si>
    <t>716,710.40</t>
  </si>
  <si>
    <t>418,909.06</t>
  </si>
  <si>
    <t>297,801.34</t>
  </si>
  <si>
    <t>187</t>
  </si>
  <si>
    <t>217.20</t>
  </si>
  <si>
    <t>320,044.20</t>
  </si>
  <si>
    <t>149,200.00</t>
  </si>
  <si>
    <t>170,844.20</t>
  </si>
  <si>
    <t>188</t>
  </si>
  <si>
    <t>399.00</t>
  </si>
  <si>
    <t>587,926.50</t>
  </si>
  <si>
    <t>495,000.00</t>
  </si>
  <si>
    <t>92,926.50</t>
  </si>
  <si>
    <t>189</t>
  </si>
  <si>
    <t>HOHSM01-SCW</t>
  </si>
  <si>
    <t>웨이트리스 선플루이드 50ml</t>
  </si>
  <si>
    <t>하우스 오브 허</t>
  </si>
  <si>
    <t>7.30</t>
  </si>
  <si>
    <t>21.90</t>
  </si>
  <si>
    <t>32,269.65</t>
  </si>
  <si>
    <t>8,100.00</t>
  </si>
  <si>
    <t>24,300.00</t>
  </si>
  <si>
    <t>7,969.65</t>
  </si>
  <si>
    <t>190</t>
  </si>
  <si>
    <t>4,314.20</t>
  </si>
  <si>
    <t>6,356,973.70</t>
  </si>
  <si>
    <t>5,342,400.00</t>
  </si>
  <si>
    <t>1,014,573.70</t>
  </si>
  <si>
    <t>191</t>
  </si>
  <si>
    <t>2,686.20</t>
  </si>
  <si>
    <t>3,958,115.70</t>
  </si>
  <si>
    <t>3,326,400.00</t>
  </si>
  <si>
    <t>631,715.70</t>
  </si>
  <si>
    <t>192</t>
  </si>
  <si>
    <t>JSMSM03-SR</t>
  </si>
  <si>
    <t>(리뉴얼예정) 맑은 쌀 선크림 50ml</t>
  </si>
  <si>
    <t>1,200</t>
  </si>
  <si>
    <t>7,524.00</t>
  </si>
  <si>
    <t>11,086,614.00</t>
  </si>
  <si>
    <t>2,910.60</t>
  </si>
  <si>
    <t>3,492,720.00</t>
  </si>
  <si>
    <t>7,593,894.00</t>
  </si>
  <si>
    <t>68.5</t>
  </si>
  <si>
    <t>193</t>
  </si>
  <si>
    <t>215.00</t>
  </si>
  <si>
    <t>316,802.50</t>
  </si>
  <si>
    <t>250,000.00</t>
  </si>
  <si>
    <t>66,802.50</t>
  </si>
  <si>
    <t>1,276.00</t>
  </si>
  <si>
    <t>1,880,186.00</t>
  </si>
  <si>
    <t>480,186.00</t>
  </si>
  <si>
    <t>195</t>
  </si>
  <si>
    <t>2,872.80</t>
  </si>
  <si>
    <t>4,233,070.80</t>
  </si>
  <si>
    <t>3,360,000.00</t>
  </si>
  <si>
    <t>873,070.80</t>
  </si>
  <si>
    <t>196</t>
  </si>
  <si>
    <t>845.10</t>
  </si>
  <si>
    <t>1,245,254.85</t>
  </si>
  <si>
    <t>985,050.00</t>
  </si>
  <si>
    <t>260,204.85</t>
  </si>
  <si>
    <t>197</t>
  </si>
  <si>
    <t>511.20</t>
  </si>
  <si>
    <t>753,253.20</t>
  </si>
  <si>
    <t>500,400.00</t>
  </si>
  <si>
    <t>252,853.20</t>
  </si>
  <si>
    <t>198</t>
  </si>
  <si>
    <t>1,531.20</t>
  </si>
  <si>
    <t>2,256,223.20</t>
  </si>
  <si>
    <t>1,704,000.00</t>
  </si>
  <si>
    <t>552,223.20</t>
  </si>
  <si>
    <t>199</t>
  </si>
  <si>
    <t>546.40</t>
  </si>
  <si>
    <t>805,120.40</t>
  </si>
  <si>
    <t>615,200.00</t>
  </si>
  <si>
    <t>189,920.40</t>
  </si>
  <si>
    <t>PTFP01-IGM</t>
  </si>
  <si>
    <t>*모크라* 골드 스네일 아이패치 (60매)</t>
  </si>
  <si>
    <t>쁘티페</t>
  </si>
  <si>
    <t>4.38</t>
  </si>
  <si>
    <t>429.24</t>
  </si>
  <si>
    <t>632,485.14</t>
  </si>
  <si>
    <t>5,363.64</t>
  </si>
  <si>
    <t>525,636.36</t>
  </si>
  <si>
    <t>106,848.78</t>
  </si>
  <si>
    <t>16.9</t>
  </si>
  <si>
    <t>201</t>
  </si>
  <si>
    <t>PTFS14-LISM</t>
  </si>
  <si>
    <t>*모크라* 슈퍼 씨드 립오일 3g</t>
  </si>
  <si>
    <t>3.39</t>
  </si>
  <si>
    <t>33.90</t>
  </si>
  <si>
    <t>49,951.65</t>
  </si>
  <si>
    <t>3,818.18</t>
  </si>
  <si>
    <t>38,181.82</t>
  </si>
  <si>
    <t>11,769.83</t>
  </si>
  <si>
    <t>202</t>
  </si>
  <si>
    <t>PYBS18-BHCR</t>
  </si>
  <si>
    <t>*리뉴얼 스킨배리어 프로페셔널 핸드크림</t>
  </si>
  <si>
    <t>2.28</t>
  </si>
  <si>
    <t>68.40</t>
  </si>
  <si>
    <t>100,787.40</t>
  </si>
  <si>
    <t>2,800.00</t>
  </si>
  <si>
    <t>84,000.00</t>
  </si>
  <si>
    <t>16,787.40</t>
  </si>
  <si>
    <t>478.50</t>
  </si>
  <si>
    <t>705,069.75</t>
  </si>
  <si>
    <t>525,000.00</t>
  </si>
  <si>
    <t>180,069.75</t>
  </si>
  <si>
    <t>204</t>
  </si>
  <si>
    <t>313.50</t>
  </si>
  <si>
    <t>461,942.25</t>
  </si>
  <si>
    <t>385,000.00</t>
  </si>
  <si>
    <t>76,942.25</t>
  </si>
  <si>
    <t>205</t>
  </si>
  <si>
    <t>775.20</t>
  </si>
  <si>
    <t>1,142,257.20</t>
  </si>
  <si>
    <t>952,000.00</t>
  </si>
  <si>
    <t>190,257.20</t>
  </si>
  <si>
    <t>206</t>
  </si>
  <si>
    <t>256.50</t>
  </si>
  <si>
    <t>377,952.75</t>
  </si>
  <si>
    <t>315,000.00</t>
  </si>
  <si>
    <t>62,952.75</t>
  </si>
  <si>
    <t>207</t>
  </si>
  <si>
    <t>2,223.00</t>
  </si>
  <si>
    <t>3,275,590.50</t>
  </si>
  <si>
    <t>2,835,000.00</t>
  </si>
  <si>
    <t>440,590.50</t>
  </si>
  <si>
    <t>208</t>
  </si>
  <si>
    <t>615.60</t>
  </si>
  <si>
    <t>907,086.60</t>
  </si>
  <si>
    <t>666,000.00</t>
  </si>
  <si>
    <t>241,086.60</t>
  </si>
  <si>
    <t>209</t>
  </si>
  <si>
    <t>RLC01-OCR</t>
  </si>
  <si>
    <t>*리뉴얼 독도 클렌징 오일 200ml</t>
  </si>
  <si>
    <t>8.12</t>
  </si>
  <si>
    <t>487.20</t>
  </si>
  <si>
    <t>717,889.20</t>
  </si>
  <si>
    <t>9,000.00</t>
  </si>
  <si>
    <t>540,000.00</t>
  </si>
  <si>
    <t>177,889.20</t>
  </si>
  <si>
    <t>90.00</t>
  </si>
  <si>
    <t>132,615.00</t>
  </si>
  <si>
    <t>98,800.00</t>
  </si>
  <si>
    <t>33,815.00</t>
  </si>
  <si>
    <t>211</t>
  </si>
  <si>
    <t>SES03-CR</t>
  </si>
  <si>
    <t>(리브랜딩)딥 콜라겐 레티놀 파워 부스팅 캡슐 크림 50ml</t>
  </si>
  <si>
    <t>성분에디터</t>
  </si>
  <si>
    <t>4.63</t>
  </si>
  <si>
    <t>231.50</t>
  </si>
  <si>
    <t>341,115.25</t>
  </si>
  <si>
    <t>5,090.91</t>
  </si>
  <si>
    <t>254,545.45</t>
  </si>
  <si>
    <t>86,569.80</t>
  </si>
  <si>
    <t>25.4</t>
  </si>
  <si>
    <t>212</t>
  </si>
  <si>
    <t>SES03-SRRR</t>
  </si>
  <si>
    <t>[리브랜딩] 딥 콜라겐 파워 부스팅 크림 인 세럼 30ml</t>
  </si>
  <si>
    <t>4.29</t>
  </si>
  <si>
    <t>686.40</t>
  </si>
  <si>
    <t>1,011,410.40</t>
  </si>
  <si>
    <t>4,818.00</t>
  </si>
  <si>
    <t>770,880.00</t>
  </si>
  <si>
    <t>240,530.40</t>
  </si>
  <si>
    <t>23.8</t>
  </si>
  <si>
    <t>213</t>
  </si>
  <si>
    <t>SES5-ARR</t>
  </si>
  <si>
    <t>[SES09-A확인](북미)딥콜라겐 실크 펩타이드 인텐시브 앰플 40ml</t>
  </si>
  <si>
    <t>4.90</t>
  </si>
  <si>
    <t>588.00</t>
  </si>
  <si>
    <t>866,418.00</t>
  </si>
  <si>
    <t>643,636.36</t>
  </si>
  <si>
    <t>222,781.64</t>
  </si>
  <si>
    <t>214</t>
  </si>
  <si>
    <t>2026-06-08</t>
  </si>
  <si>
    <t>ES84-01BR</t>
  </si>
  <si>
    <t>(23AD) 마이래쉬세럼 18g</t>
  </si>
  <si>
    <t>에뛰드</t>
  </si>
  <si>
    <t>4,850</t>
  </si>
  <si>
    <t>3.65</t>
  </si>
  <si>
    <t>17,702.50</t>
  </si>
  <si>
    <t>25,420,790.00</t>
  </si>
  <si>
    <t>4,700.00</t>
  </si>
  <si>
    <t>22,795,000.00</t>
  </si>
  <si>
    <t>2,625,790.00</t>
  </si>
  <si>
    <t>10.3</t>
  </si>
  <si>
    <t>IN00441298</t>
  </si>
  <si>
    <t>215</t>
  </si>
  <si>
    <t>5.60</t>
  </si>
  <si>
    <t>27,160.00</t>
  </si>
  <si>
    <t>39,001,760.00</t>
  </si>
  <si>
    <t>36,666,000.00</t>
  </si>
  <si>
    <t>2,335,760.00</t>
  </si>
  <si>
    <t>6.0</t>
  </si>
  <si>
    <t>216</t>
  </si>
  <si>
    <t>KLVP07-LipPKCR</t>
  </si>
  <si>
    <t>[R] 너리싱 케어 립 슬리핑 팩 코코넛</t>
  </si>
  <si>
    <t>클라뷰</t>
  </si>
  <si>
    <t>2,550</t>
  </si>
  <si>
    <t>361.95</t>
  </si>
  <si>
    <t>922,981.82</t>
  </si>
  <si>
    <t>-922,981.82</t>
  </si>
  <si>
    <t>217</t>
  </si>
  <si>
    <t>2,300</t>
  </si>
  <si>
    <t>3.03</t>
  </si>
  <si>
    <t>6,969.00</t>
  </si>
  <si>
    <t>10,007,484.00</t>
  </si>
  <si>
    <t>3,296.36</t>
  </si>
  <si>
    <t>7,581,636.28</t>
  </si>
  <si>
    <t>2,425,847.72</t>
  </si>
  <si>
    <t>218</t>
  </si>
  <si>
    <t>8.35</t>
  </si>
  <si>
    <t>40,497.50</t>
  </si>
  <si>
    <t>58,154,410.00</t>
  </si>
  <si>
    <t>49,761,000.00</t>
  </si>
  <si>
    <t>8,393,410.00</t>
  </si>
  <si>
    <t>14.4</t>
  </si>
  <si>
    <t>219</t>
  </si>
  <si>
    <t>PRS07-TPD</t>
  </si>
  <si>
    <t>(통합) 오트 피디알엔 젠틀 리파이닝 토너 200ml</t>
  </si>
  <si>
    <t>5.68</t>
  </si>
  <si>
    <t>27,548.00</t>
  </si>
  <si>
    <t>39,558,928.00</t>
  </si>
  <si>
    <t>6,787.70</t>
  </si>
  <si>
    <t>32,920,362.46</t>
  </si>
  <si>
    <t>6,638,565.54</t>
  </si>
  <si>
    <t>220</t>
  </si>
  <si>
    <t>1,100</t>
  </si>
  <si>
    <t>9.75</t>
  </si>
  <si>
    <t>10,725.00</t>
  </si>
  <si>
    <t>15,401,100.00</t>
  </si>
  <si>
    <t>13,200,000.00</t>
  </si>
  <si>
    <t>2,201,100.00</t>
  </si>
  <si>
    <t>14.3</t>
  </si>
  <si>
    <t>221</t>
  </si>
  <si>
    <t>3,750</t>
  </si>
  <si>
    <t>158.24</t>
  </si>
  <si>
    <t>593,400.00</t>
  </si>
  <si>
    <t>-593,400.00</t>
  </si>
  <si>
    <t>222</t>
  </si>
  <si>
    <t>730.00</t>
  </si>
  <si>
    <t>1,048,280.00</t>
  </si>
  <si>
    <t>940,000.00</t>
  </si>
  <si>
    <t>108,280.00</t>
  </si>
  <si>
    <t>IN00441297</t>
  </si>
  <si>
    <t>223</t>
  </si>
  <si>
    <t>1,120.00</t>
  </si>
  <si>
    <t>1,608,320.00</t>
  </si>
  <si>
    <t>1,512,000.00</t>
  </si>
  <si>
    <t>96,320.00</t>
  </si>
  <si>
    <t>606.00</t>
  </si>
  <si>
    <t>870,216.00</t>
  </si>
  <si>
    <t>65.93</t>
  </si>
  <si>
    <t>13,185.45</t>
  </si>
  <si>
    <t>857,030.55</t>
  </si>
  <si>
    <t>98.5</t>
  </si>
  <si>
    <t>225</t>
  </si>
  <si>
    <t>1,670.00</t>
  </si>
  <si>
    <t>2,398,120.00</t>
  </si>
  <si>
    <t>2,052,000.00</t>
  </si>
  <si>
    <t>346,120.00</t>
  </si>
  <si>
    <t>226</t>
  </si>
  <si>
    <t>1,136.00</t>
  </si>
  <si>
    <t>1,631,296.00</t>
  </si>
  <si>
    <t>8,909.09</t>
  </si>
  <si>
    <t>1,781,818.00</t>
  </si>
  <si>
    <t>-150,522.00</t>
  </si>
  <si>
    <t>-9.2</t>
  </si>
  <si>
    <t>227</t>
  </si>
  <si>
    <t>1,950.00</t>
  </si>
  <si>
    <t>2,800,200.00</t>
  </si>
  <si>
    <t>2,400,000.00</t>
  </si>
  <si>
    <t>400,200.00</t>
  </si>
  <si>
    <t>228</t>
  </si>
  <si>
    <t>2026-06-04</t>
  </si>
  <si>
    <t>cosC02-Fr</t>
  </si>
  <si>
    <t>어드벤스드 스네일 뮤신 젤 클렌저 150ml_일원화</t>
  </si>
  <si>
    <t>코스알엑스</t>
  </si>
  <si>
    <t>2,199.60</t>
  </si>
  <si>
    <t>3,241,110.60</t>
  </si>
  <si>
    <t>6,660.00</t>
  </si>
  <si>
    <t>2,397,600.00</t>
  </si>
  <si>
    <t>843,510.60</t>
  </si>
  <si>
    <t>26.0</t>
  </si>
  <si>
    <t>IN00443088</t>
  </si>
  <si>
    <t>229</t>
  </si>
  <si>
    <t>cosC05-Gelr</t>
  </si>
  <si>
    <t>약산성 굿모닝 젤 클렌져 150ml_일원화</t>
  </si>
  <si>
    <t>3.36</t>
  </si>
  <si>
    <t>282.24</t>
  </si>
  <si>
    <t>415,880.64</t>
  </si>
  <si>
    <t>3,663.00</t>
  </si>
  <si>
    <t>307,692.00</t>
  </si>
  <si>
    <t>108,188.64</t>
  </si>
  <si>
    <t>230</t>
  </si>
  <si>
    <t>cosC05-OCr</t>
  </si>
  <si>
    <t>약산성 나이아신아마이드 미셀라 클렌징 워터 400ml_일원화</t>
  </si>
  <si>
    <t>4.41</t>
  </si>
  <si>
    <t>4,810.00</t>
  </si>
  <si>
    <t>721,500.00</t>
  </si>
  <si>
    <t>253,220.25</t>
  </si>
  <si>
    <t>231</t>
  </si>
  <si>
    <t>cosP90-M1</t>
  </si>
  <si>
    <t>(1EA) 5 피디알엔 히알루론산 바이탈 하이드레이팅 하이드로겔 마스크</t>
  </si>
  <si>
    <t>900</t>
  </si>
  <si>
    <t>2.04</t>
  </si>
  <si>
    <t>1,836.00</t>
  </si>
  <si>
    <t>2,705,346.00</t>
  </si>
  <si>
    <t>2,400.00</t>
  </si>
  <si>
    <t>2,160,000.00</t>
  </si>
  <si>
    <t>545,346.00</t>
  </si>
  <si>
    <t>232</t>
  </si>
  <si>
    <t>cosS02-Cr</t>
  </si>
  <si>
    <t>어드벤스드 스네일 92 올인원 크림 100g_일원화</t>
  </si>
  <si>
    <t>1,960</t>
  </si>
  <si>
    <t>12,642.00</t>
  </si>
  <si>
    <t>18,627,987.00</t>
  </si>
  <si>
    <t>7,030.00</t>
  </si>
  <si>
    <t>13,778,800.00</t>
  </si>
  <si>
    <t>4,849,187.00</t>
  </si>
  <si>
    <t>233</t>
  </si>
  <si>
    <t>cosS02-Er</t>
  </si>
  <si>
    <t>어드벤스드 스네일 펩타이드 아이 크림 25ml_일원화</t>
  </si>
  <si>
    <t>8.48</t>
  </si>
  <si>
    <t>1,679.04</t>
  </si>
  <si>
    <t>2,474,065.44</t>
  </si>
  <si>
    <t>9,250.00</t>
  </si>
  <si>
    <t>1,831,500.00</t>
  </si>
  <si>
    <t>642,565.44</t>
  </si>
  <si>
    <t>234</t>
  </si>
  <si>
    <t>cosS02-EssenceEU</t>
  </si>
  <si>
    <t>어드벤스드 스네일 96 뮤신 파워 에센스 100ml (EU 패키지)</t>
  </si>
  <si>
    <t>5,500</t>
  </si>
  <si>
    <t>31,350.00</t>
  </si>
  <si>
    <t>46,194,225.00</t>
  </si>
  <si>
    <t>6,216.00</t>
  </si>
  <si>
    <t>34,188,000.00</t>
  </si>
  <si>
    <t>12,006,225.00</t>
  </si>
  <si>
    <t>235</t>
  </si>
  <si>
    <t>cosS02-PATCHr</t>
  </si>
  <si>
    <t>어드벤스드 스네일 하이드로겔 아이 패치 60매_일원화</t>
  </si>
  <si>
    <t>600</t>
  </si>
  <si>
    <t>8.09</t>
  </si>
  <si>
    <t>4,854.00</t>
  </si>
  <si>
    <t>7,152,369.00</t>
  </si>
  <si>
    <t>8,880.00</t>
  </si>
  <si>
    <t>5,328,000.00</t>
  </si>
  <si>
    <t>1,824,369.00</t>
  </si>
  <si>
    <t>236</t>
  </si>
  <si>
    <t>cosS02-Sr</t>
  </si>
  <si>
    <t>어드벤스드 스네일 래디언스 듀얼 에센스 80ml_일원화</t>
  </si>
  <si>
    <t>10.52</t>
  </si>
  <si>
    <t>3,787.20</t>
  </si>
  <si>
    <t>5,580,439.20</t>
  </si>
  <si>
    <t>11,470.00</t>
  </si>
  <si>
    <t>4,129,200.00</t>
  </si>
  <si>
    <t>1,451,239.20</t>
  </si>
  <si>
    <t>237</t>
  </si>
  <si>
    <t>cosS03-Liquidr</t>
  </si>
  <si>
    <t>AHA 7 화이트 헤드 파워 리퀴드 100ml_일원화</t>
  </si>
  <si>
    <t>5.26</t>
  </si>
  <si>
    <t>2,840.40</t>
  </si>
  <si>
    <t>4,185,329.40</t>
  </si>
  <si>
    <t>5,772.00</t>
  </si>
  <si>
    <t>3,116,880.00</t>
  </si>
  <si>
    <t>1,068,449.40</t>
  </si>
  <si>
    <t>238</t>
  </si>
  <si>
    <t>cosS03-Tr</t>
  </si>
  <si>
    <t>아하바하 클래리파잉 트리트먼트 토너 150ml_일원화</t>
  </si>
  <si>
    <t>1,440</t>
  </si>
  <si>
    <t>6,163.20</t>
  </si>
  <si>
    <t>9,081,475.20</t>
  </si>
  <si>
    <t>4,662.00</t>
  </si>
  <si>
    <t>6,713,280.00</t>
  </si>
  <si>
    <t>2,368,195.20</t>
  </si>
  <si>
    <t>239</t>
  </si>
  <si>
    <t>cosS04-Liquidr</t>
  </si>
  <si>
    <t>BHA 블랙헤드 파워 리퀴드 100ml_일원화</t>
  </si>
  <si>
    <t>1,740</t>
  </si>
  <si>
    <t>10,927.20</t>
  </si>
  <si>
    <t>16,101,229.20</t>
  </si>
  <si>
    <t>6,845.00</t>
  </si>
  <si>
    <t>11,910,300.00</t>
  </si>
  <si>
    <t>4,190,929.20</t>
  </si>
  <si>
    <t>cosS17-Essencer</t>
  </si>
  <si>
    <t>히아루론산 하이드라 파워 에센스 100ml_일원화</t>
  </si>
  <si>
    <t>3,385.80</t>
  </si>
  <si>
    <t>4,988,976.30</t>
  </si>
  <si>
    <t>3,996,000.00</t>
  </si>
  <si>
    <t>992,976.30</t>
  </si>
  <si>
    <t>19.9</t>
  </si>
  <si>
    <t>241</t>
  </si>
  <si>
    <t>cosS21-CLEU</t>
  </si>
  <si>
    <t>풀핏 프로폴리스 라이트 크림 65ml (EU 패키지)</t>
  </si>
  <si>
    <t>336</t>
  </si>
  <si>
    <t>9.50</t>
  </si>
  <si>
    <t>3,192.00</t>
  </si>
  <si>
    <t>4,703,412.00</t>
  </si>
  <si>
    <t>10,360.00</t>
  </si>
  <si>
    <t>3,480,960.00</t>
  </si>
  <si>
    <t>1,222,452.00</t>
  </si>
  <si>
    <t>242</t>
  </si>
  <si>
    <t>cosS21-T150EU</t>
  </si>
  <si>
    <t>풀핏 프로폴리스 시너지 토너 150ml (EU 패키지)</t>
  </si>
  <si>
    <t>960</t>
  </si>
  <si>
    <t>5.08</t>
  </si>
  <si>
    <t>4,876.80</t>
  </si>
  <si>
    <t>7,185,964.80</t>
  </si>
  <si>
    <t>5,550.00</t>
  </si>
  <si>
    <t>1,857,964.80</t>
  </si>
  <si>
    <t>25.9</t>
  </si>
  <si>
    <t>243</t>
  </si>
  <si>
    <t>cosS24-Er</t>
  </si>
  <si>
    <t>만능로션 (오일 프리 울트라 모이스처라이징 로션) 100ml_일원화</t>
  </si>
  <si>
    <t>9,288.00</t>
  </si>
  <si>
    <t>13,685,868.00</t>
  </si>
  <si>
    <t>10,123,200.00</t>
  </si>
  <si>
    <t>3,562,668.00</t>
  </si>
  <si>
    <t>244</t>
  </si>
  <si>
    <t>cosS45-T150EU</t>
  </si>
  <si>
    <t>하이드리움 워터리 토너 150ml (EU 패키지)</t>
  </si>
  <si>
    <t>5.09</t>
  </si>
  <si>
    <t>305.40</t>
  </si>
  <si>
    <t>450,006.90</t>
  </si>
  <si>
    <t>333,000.00</t>
  </si>
  <si>
    <t>117,006.90</t>
  </si>
  <si>
    <t>245</t>
  </si>
  <si>
    <t>cosS56-cpatchEU</t>
  </si>
  <si>
    <t>마스터패치 클리어핏 18매입 (EU 패키지)</t>
  </si>
  <si>
    <t>1.19</t>
  </si>
  <si>
    <t>1,190.00</t>
  </si>
  <si>
    <t>1,753,465.00</t>
  </si>
  <si>
    <t>1,295.00</t>
  </si>
  <si>
    <t>1,295,000.00</t>
  </si>
  <si>
    <t>458,465.00</t>
  </si>
  <si>
    <t>246</t>
  </si>
  <si>
    <t>cosS56-mpatchEU</t>
  </si>
  <si>
    <t>마스터 패치 인텐시브 36매입 (EU 패키지)</t>
  </si>
  <si>
    <t>840</t>
  </si>
  <si>
    <t>2,847.60</t>
  </si>
  <si>
    <t>4,195,938.60</t>
  </si>
  <si>
    <t>3,700.00</t>
  </si>
  <si>
    <t>3,108,000.00</t>
  </si>
  <si>
    <t>1,087,938.60</t>
  </si>
  <si>
    <t>247</t>
  </si>
  <si>
    <t>cosS58-Cr</t>
  </si>
  <si>
    <t>더 레티놀 0.1 크림 20ml_일원화</t>
  </si>
  <si>
    <t>350</t>
  </si>
  <si>
    <t>2,968.00</t>
  </si>
  <si>
    <t>4,373,348.00</t>
  </si>
  <si>
    <t>3,237,500.00</t>
  </si>
  <si>
    <t>1,135,848.00</t>
  </si>
  <si>
    <t>248</t>
  </si>
  <si>
    <t>cosS58-PATCH</t>
  </si>
  <si>
    <t>더 펩타이드 콜라겐 하이드로겔 아이 패치</t>
  </si>
  <si>
    <t>1,584</t>
  </si>
  <si>
    <t>7.47</t>
  </si>
  <si>
    <t>11,832.48</t>
  </si>
  <si>
    <t>17,435,159.28</t>
  </si>
  <si>
    <t>8,800.00</t>
  </si>
  <si>
    <t>13,939,200.00</t>
  </si>
  <si>
    <t>3,495,959.28</t>
  </si>
  <si>
    <t>20.1</t>
  </si>
  <si>
    <t>249</t>
  </si>
  <si>
    <t>cosS58-Shr</t>
  </si>
  <si>
    <t>더 히알루론산 3 세럼 20ml_일원화</t>
  </si>
  <si>
    <t>7.80</t>
  </si>
  <si>
    <t>624.00</t>
  </si>
  <si>
    <t>919,464.00</t>
  </si>
  <si>
    <t>8,510.00</t>
  </si>
  <si>
    <t>680,800.00</t>
  </si>
  <si>
    <t>238,664.00</t>
  </si>
  <si>
    <t>cosS58-Snr</t>
  </si>
  <si>
    <t>더 나이아신아마이드 15 세럼 20ml_일원화</t>
  </si>
  <si>
    <t>1,092.00</t>
  </si>
  <si>
    <t>1,609,062.00</t>
  </si>
  <si>
    <t>1,191,400.00</t>
  </si>
  <si>
    <t>417,662.00</t>
  </si>
  <si>
    <t>251</t>
  </si>
  <si>
    <t>cosS58-SPr</t>
  </si>
  <si>
    <t>더 6 펩타이드 스킨 부스터 세럼 150ml_일원화</t>
  </si>
  <si>
    <t>1,360</t>
  </si>
  <si>
    <t>10,608.00</t>
  </si>
  <si>
    <t>15,630,888.00</t>
  </si>
  <si>
    <t>11,573,600.00</t>
  </si>
  <si>
    <t>4,057,288.00</t>
  </si>
  <si>
    <t>252</t>
  </si>
  <si>
    <t>cosS58-Sv13rrr</t>
  </si>
  <si>
    <t>(리뉴얼) 더 비타민씨 13 세럼 20ml_일원화</t>
  </si>
  <si>
    <t>488.80</t>
  </si>
  <si>
    <t>720,246.80</t>
  </si>
  <si>
    <t>7,200.00</t>
  </si>
  <si>
    <t>576,000.00</t>
  </si>
  <si>
    <t>144,246.80</t>
  </si>
  <si>
    <t>20.0</t>
  </si>
  <si>
    <t>253</t>
  </si>
  <si>
    <t>cosS58-Svrr</t>
  </si>
  <si>
    <t>어드밴스드 더 비타민 씨 23 세럼</t>
  </si>
  <si>
    <t>1,040</t>
  </si>
  <si>
    <t>8,819.20</t>
  </si>
  <si>
    <t>12,995,091.20</t>
  </si>
  <si>
    <t>10,000.00</t>
  </si>
  <si>
    <t>10,400,000.00</t>
  </si>
  <si>
    <t>2,595,091.20</t>
  </si>
  <si>
    <t>254</t>
  </si>
  <si>
    <t>cosS65-INC</t>
  </si>
  <si>
    <t>퓨어 핏 시카 크림 인텐스 50ml</t>
  </si>
  <si>
    <t>652.96</t>
  </si>
  <si>
    <t>962,136.56</t>
  </si>
  <si>
    <t>712,250.00</t>
  </si>
  <si>
    <t>249,886.56</t>
  </si>
  <si>
    <t>255</t>
  </si>
  <si>
    <t>cosS90-S</t>
  </si>
  <si>
    <t>5 피디알엔 콜라겐 인텐스 바이탈라이징 세럼 100mL</t>
  </si>
  <si>
    <t>9.16</t>
  </si>
  <si>
    <t>3,664.00</t>
  </si>
  <si>
    <t>5,398,904.00</t>
  </si>
  <si>
    <t>10,800.00</t>
  </si>
  <si>
    <t>4,320,000.00</t>
  </si>
  <si>
    <t>1,078,904.00</t>
  </si>
  <si>
    <t>256</t>
  </si>
  <si>
    <t>cosS90-T</t>
  </si>
  <si>
    <t>5 피디알엔 비파이브 바이탈 수딩 토너 280mL</t>
  </si>
  <si>
    <t>915.84</t>
  </si>
  <si>
    <t>1,349,490.24</t>
  </si>
  <si>
    <t>1,080,000.00</t>
  </si>
  <si>
    <t>269,490.24</t>
  </si>
  <si>
    <t>257</t>
  </si>
  <si>
    <t>Abib10-ST</t>
  </si>
  <si>
    <t>퀵 선스틱 프로텍션 바 22g</t>
  </si>
  <si>
    <t>아비브</t>
  </si>
  <si>
    <t>410</t>
  </si>
  <si>
    <t>7.06</t>
  </si>
  <si>
    <t>2,894.60</t>
  </si>
  <si>
    <t>4,130,015.28</t>
  </si>
  <si>
    <t>7,509.02</t>
  </si>
  <si>
    <t>3,078,698.27</t>
  </si>
  <si>
    <t>1,051,317.01</t>
  </si>
  <si>
    <t>IN00442258</t>
  </si>
  <si>
    <t>258</t>
  </si>
  <si>
    <t>AbibC11-Fr</t>
  </si>
  <si>
    <t>아크네 폼 클렌저 어성초폼 150ml</t>
  </si>
  <si>
    <t>3.92</t>
  </si>
  <si>
    <t>901.60</t>
  </si>
  <si>
    <t>1,286,402.88</t>
  </si>
  <si>
    <t>100.0</t>
  </si>
  <si>
    <t>259</t>
  </si>
  <si>
    <t>AbibC11-OCrr</t>
  </si>
  <si>
    <t>포어 클렌징오일_어성초 오일 워시 200ml (2025)</t>
  </si>
  <si>
    <t>7.11</t>
  </si>
  <si>
    <t>184.86</t>
  </si>
  <si>
    <t>263,758.25</t>
  </si>
  <si>
    <t>7,836.36</t>
  </si>
  <si>
    <t>203,745.45</t>
  </si>
  <si>
    <t>60,012.79</t>
  </si>
  <si>
    <t>22.8</t>
  </si>
  <si>
    <t>AbibP02-MHr</t>
  </si>
  <si>
    <t>[1매입] 껌딱지 시트 마스크 어성초 스티커 (2023)</t>
  </si>
  <si>
    <t>0.81</t>
  </si>
  <si>
    <t>40.50</t>
  </si>
  <si>
    <t>57,785.40</t>
  </si>
  <si>
    <t>863.64</t>
  </si>
  <si>
    <t>43,181.82</t>
  </si>
  <si>
    <t>14,603.59</t>
  </si>
  <si>
    <t>261</t>
  </si>
  <si>
    <t>AbibP02-MMr</t>
  </si>
  <si>
    <t>[1매입] 껌딱지 시트 마스크 콜라겐 밀크 스티커 (2023)</t>
  </si>
  <si>
    <t>105.30</t>
  </si>
  <si>
    <t>150,242.04</t>
  </si>
  <si>
    <t>262</t>
  </si>
  <si>
    <t>AbibP02-PK</t>
  </si>
  <si>
    <t>라이스 프로바이오틱스 오버나이트 마스크 배리어 젤리 80ml</t>
  </si>
  <si>
    <t>6.67</t>
  </si>
  <si>
    <t>660.33</t>
  </si>
  <si>
    <t>942,158.84</t>
  </si>
  <si>
    <t>6,695.00</t>
  </si>
  <si>
    <t>662,805.00</t>
  </si>
  <si>
    <t>279,353.84</t>
  </si>
  <si>
    <t>29.7</t>
  </si>
  <si>
    <t>263</t>
  </si>
  <si>
    <t>AbibP19-MS4ea</t>
  </si>
  <si>
    <t>[4매입] 콜라겐 겔 마스크_수분초 젤리</t>
  </si>
  <si>
    <t>4.91</t>
  </si>
  <si>
    <t>736.50</t>
  </si>
  <si>
    <t>1,050,838.20</t>
  </si>
  <si>
    <t>5,673.00</t>
  </si>
  <si>
    <t>850,950.00</t>
  </si>
  <si>
    <t>199,888.20</t>
  </si>
  <si>
    <t>19.0</t>
  </si>
  <si>
    <t>264</t>
  </si>
  <si>
    <t>AbibP20-Meye</t>
  </si>
  <si>
    <t>콜라겐 아이패치_부활초 젤리 60매</t>
  </si>
  <si>
    <t>2,090</t>
  </si>
  <si>
    <t>7.25</t>
  </si>
  <si>
    <t>15,152.50</t>
  </si>
  <si>
    <t>21,619,587.00</t>
  </si>
  <si>
    <t>7,800.00</t>
  </si>
  <si>
    <t>16,302,000.00</t>
  </si>
  <si>
    <t>5,317,587.00</t>
  </si>
  <si>
    <t>265</t>
  </si>
  <si>
    <t>AbibS11-C</t>
  </si>
  <si>
    <t>어성초 크림 카밍 튜브 75ml</t>
  </si>
  <si>
    <t>759,057.60</t>
  </si>
  <si>
    <t>7,772.73</t>
  </si>
  <si>
    <t>544,090.90</t>
  </si>
  <si>
    <t>214,966.70</t>
  </si>
  <si>
    <t>28.3</t>
  </si>
  <si>
    <t>266</t>
  </si>
  <si>
    <t>AbibS11-Spadr</t>
  </si>
  <si>
    <t>(단종) 어성초 스팟 패드 카밍터치 (80 pads)</t>
  </si>
  <si>
    <t>6.73</t>
  </si>
  <si>
    <t>538.40</t>
  </si>
  <si>
    <t>768,189.12</t>
  </si>
  <si>
    <t>7,818.18</t>
  </si>
  <si>
    <t>625,454.54</t>
  </si>
  <si>
    <t>142,734.58</t>
  </si>
  <si>
    <t>18.6</t>
  </si>
  <si>
    <t>267</t>
  </si>
  <si>
    <t>AbibS11-T</t>
  </si>
  <si>
    <t>어성초 카밍 토너 스킨부스터 200ml</t>
  </si>
  <si>
    <t>5.80</t>
  </si>
  <si>
    <t>290.00</t>
  </si>
  <si>
    <t>413,772.00</t>
  </si>
  <si>
    <t>7,245.45</t>
  </si>
  <si>
    <t>362,272.73</t>
  </si>
  <si>
    <t>51,499.28</t>
  </si>
  <si>
    <t>268</t>
  </si>
  <si>
    <t>AbibS20-C</t>
  </si>
  <si>
    <t>부활초 크림 뉴트리션 튜브 75ml</t>
  </si>
  <si>
    <t>684.00</t>
  </si>
  <si>
    <t>975,931.20</t>
  </si>
  <si>
    <t>699,545.45</t>
  </si>
  <si>
    <t>276,385.75</t>
  </si>
  <si>
    <t>269</t>
  </si>
  <si>
    <t>AbibS20-I</t>
  </si>
  <si>
    <t>콜라겐 아이크림 부활초 튜브 30ml</t>
  </si>
  <si>
    <t>5.65</t>
  </si>
  <si>
    <t>1,582.00</t>
  </si>
  <si>
    <t>2,257,197.60</t>
  </si>
  <si>
    <t>7,090.91</t>
  </si>
  <si>
    <t>1,985,454.52</t>
  </si>
  <si>
    <t>271,743.08</t>
  </si>
  <si>
    <t>270</t>
  </si>
  <si>
    <t>AbibS20-S</t>
  </si>
  <si>
    <t>부활초 비피다 세럼 퍼밍 드롭 50ml</t>
  </si>
  <si>
    <t>201.90</t>
  </si>
  <si>
    <t>288,070.92</t>
  </si>
  <si>
    <t>240,000.00</t>
  </si>
  <si>
    <t>48,070.92</t>
  </si>
  <si>
    <t>271</t>
  </si>
  <si>
    <t>AbibS20-Tpad</t>
  </si>
  <si>
    <t>(단종) 부활초 콜라겐 패드 퍼밍 터치 60매</t>
  </si>
  <si>
    <t>6.90</t>
  </si>
  <si>
    <t>276.00</t>
  </si>
  <si>
    <t>393,796.80</t>
  </si>
  <si>
    <t>312,727.27</t>
  </si>
  <si>
    <t>81,069.53</t>
  </si>
  <si>
    <t>272</t>
  </si>
  <si>
    <t>APLBBS1-BL</t>
  </si>
  <si>
    <t>글루타치온 나이아신아마이드 바디로션 300ml</t>
  </si>
  <si>
    <t>에이피엘비</t>
  </si>
  <si>
    <t>3,100</t>
  </si>
  <si>
    <t>3.90</t>
  </si>
  <si>
    <t>12,090.00</t>
  </si>
  <si>
    <t>17,250,012.00</t>
  </si>
  <si>
    <t>4,500.00</t>
  </si>
  <si>
    <t>13,950,000.00</t>
  </si>
  <si>
    <t>3,300,012.00</t>
  </si>
  <si>
    <t>19.1</t>
  </si>
  <si>
    <t>273</t>
  </si>
  <si>
    <t>APLBBS1-BW</t>
  </si>
  <si>
    <t>글루타치온 나이아신아마이드 바디워시 300ml</t>
  </si>
  <si>
    <t>619</t>
  </si>
  <si>
    <t>2,414.10</t>
  </si>
  <si>
    <t>3,444,437.88</t>
  </si>
  <si>
    <t>2,785,500.00</t>
  </si>
  <si>
    <t>658,937.88</t>
  </si>
  <si>
    <t>274</t>
  </si>
  <si>
    <t>APLBC1-FC</t>
  </si>
  <si>
    <t>글루타치온 나이아신아마이드 페이셜 클렌저 80ml</t>
  </si>
  <si>
    <t>1,558,065.60</t>
  </si>
  <si>
    <t>298,065.60</t>
  </si>
  <si>
    <t>275</t>
  </si>
  <si>
    <t>APLBS03-A</t>
  </si>
  <si>
    <t>콜라겐 EGF 펩타이드 앰플 세럼 40ml</t>
  </si>
  <si>
    <t>873.60</t>
  </si>
  <si>
    <t>1,246,452.48</t>
  </si>
  <si>
    <t>1,008,000.00</t>
  </si>
  <si>
    <t>238,452.48</t>
  </si>
  <si>
    <t>276</t>
  </si>
  <si>
    <t>APLBS03-C</t>
  </si>
  <si>
    <t>콜라겐 EGF 펩타이드 페이셜 크림 55ml</t>
  </si>
  <si>
    <t>390.00</t>
  </si>
  <si>
    <t>556,452.00</t>
  </si>
  <si>
    <t>106,452.00</t>
  </si>
  <si>
    <t>277</t>
  </si>
  <si>
    <t>APLBS04-A</t>
  </si>
  <si>
    <t>레티놀 비타민C 비타민E 앰플 세럼 40ml</t>
  </si>
  <si>
    <t>666.90</t>
  </si>
  <si>
    <t>951,532.92</t>
  </si>
  <si>
    <t>769,500.00</t>
  </si>
  <si>
    <t>182,032.92</t>
  </si>
  <si>
    <t>278</t>
  </si>
  <si>
    <t>APLBS04-C</t>
  </si>
  <si>
    <t>레티놀 비타민C 비타민E 페이셜 크림 55ml</t>
  </si>
  <si>
    <t>1,833.00</t>
  </si>
  <si>
    <t>2,615,324.40</t>
  </si>
  <si>
    <t>2,115,000.00</t>
  </si>
  <si>
    <t>500,324.40</t>
  </si>
  <si>
    <t>279</t>
  </si>
  <si>
    <t>APLBS07-C</t>
  </si>
  <si>
    <t>트라넥삼산 나이아신아마이드 페이셜 크림 55ml</t>
  </si>
  <si>
    <t>936.00</t>
  </si>
  <si>
    <t>1,335,484.80</t>
  </si>
  <si>
    <t>255,484.80</t>
  </si>
  <si>
    <t>APLBS08-C</t>
  </si>
  <si>
    <t>히알루론산 세라마이드 HA B5 페이셜 크림 55ml</t>
  </si>
  <si>
    <t>35.10</t>
  </si>
  <si>
    <t>50,080.68</t>
  </si>
  <si>
    <t>40,500.00</t>
  </si>
  <si>
    <t>9,580.68</t>
  </si>
  <si>
    <t>281</t>
  </si>
  <si>
    <t>APLBS1-AS</t>
  </si>
  <si>
    <t>글루타치온 나이아신아마이드 앰플 세럼 40ml</t>
  </si>
  <si>
    <t>282</t>
  </si>
  <si>
    <t>APLBS1-FC</t>
  </si>
  <si>
    <t>글루타치온 나이아신아마이드 페이셜 크림 55ml</t>
  </si>
  <si>
    <t>570</t>
  </si>
  <si>
    <t>3,171,776.40</t>
  </si>
  <si>
    <t>2,565,000.00</t>
  </si>
  <si>
    <t>606,776.40</t>
  </si>
  <si>
    <t>283</t>
  </si>
  <si>
    <t>APLBS1-FT</t>
  </si>
  <si>
    <t>글루타치온 나이아신아마이드 페이셜 토너 160ml</t>
  </si>
  <si>
    <t>553.80</t>
  </si>
  <si>
    <t>790,161.84</t>
  </si>
  <si>
    <t>639,000.00</t>
  </si>
  <si>
    <t>151,161.84</t>
  </si>
  <si>
    <t>284</t>
  </si>
  <si>
    <t>APLBS1-IC</t>
  </si>
  <si>
    <t>글루타치온 나이아신아마이드 아이크림 20ml</t>
  </si>
  <si>
    <t>807.30</t>
  </si>
  <si>
    <t>1,151,855.64</t>
  </si>
  <si>
    <t>931,500.00</t>
  </si>
  <si>
    <t>220,355.64</t>
  </si>
  <si>
    <t>285</t>
  </si>
  <si>
    <t>APLBS1-MS</t>
  </si>
  <si>
    <t>글루타치온 나이아신아마이드 미스트 에센스 105ml</t>
  </si>
  <si>
    <t>608.40</t>
  </si>
  <si>
    <t>868,065.12</t>
  </si>
  <si>
    <t>702,000.00</t>
  </si>
  <si>
    <t>166,065.12</t>
  </si>
  <si>
    <t>286</t>
  </si>
  <si>
    <t>APLBSM1-SCR</t>
  </si>
  <si>
    <t>(리뉴얼) 글루타치온 나이아신아마이드 선스크린 40ml</t>
  </si>
  <si>
    <t>733.20</t>
  </si>
  <si>
    <t>1,046,129.76</t>
  </si>
  <si>
    <t>846,000.00</t>
  </si>
  <si>
    <t>200,129.76</t>
  </si>
  <si>
    <t>287</t>
  </si>
  <si>
    <t>ATPS03-CM65R</t>
  </si>
  <si>
    <t>[Renew] MLE 크림 65ml(Jar Type)</t>
  </si>
  <si>
    <t>아토팜</t>
  </si>
  <si>
    <t>7.40</t>
  </si>
  <si>
    <t>29.60</t>
  </si>
  <si>
    <t>42,233.28</t>
  </si>
  <si>
    <t>7,854.55</t>
  </si>
  <si>
    <t>31,418.18</t>
  </si>
  <si>
    <t>10,815.10</t>
  </si>
  <si>
    <t>288</t>
  </si>
  <si>
    <t>ATPS09-CR</t>
  </si>
  <si>
    <t>[Renew]페이스 크림 35ml</t>
  </si>
  <si>
    <t>330,304.20</t>
  </si>
  <si>
    <t>4,909.09</t>
  </si>
  <si>
    <t>245,454.55</t>
  </si>
  <si>
    <t>84,849.66</t>
  </si>
  <si>
    <t>289</t>
  </si>
  <si>
    <t>BentonBS05-SCHC</t>
  </si>
  <si>
    <t>시어버터&amp;코코넛 핸드크림 50g</t>
  </si>
  <si>
    <t>벤튼</t>
  </si>
  <si>
    <t>2.87</t>
  </si>
  <si>
    <t>574.00</t>
  </si>
  <si>
    <t>818,983.20</t>
  </si>
  <si>
    <t>3,090.91</t>
  </si>
  <si>
    <t>618,181.80</t>
  </si>
  <si>
    <t>200,801.40</t>
  </si>
  <si>
    <t>BentonBS57-A</t>
  </si>
  <si>
    <t>세라마이드 카밍 아토 바디 워시 300ml</t>
  </si>
  <si>
    <t>6.50</t>
  </si>
  <si>
    <t>715.00</t>
  </si>
  <si>
    <t>1,020,162.00</t>
  </si>
  <si>
    <t>6,910.00</t>
  </si>
  <si>
    <t>760,100.00</t>
  </si>
  <si>
    <t>260,062.00</t>
  </si>
  <si>
    <t>291</t>
  </si>
  <si>
    <t>BentonBS58-SH</t>
  </si>
  <si>
    <t>한지 바디워시 타월 92 x 30cm</t>
  </si>
  <si>
    <t>541</t>
  </si>
  <si>
    <t>2.79</t>
  </si>
  <si>
    <t>1,509.39</t>
  </si>
  <si>
    <t>2,153,597.65</t>
  </si>
  <si>
    <t>3,000.00</t>
  </si>
  <si>
    <t>1,623,000.00</t>
  </si>
  <si>
    <t>530,597.65</t>
  </si>
  <si>
    <t>292</t>
  </si>
  <si>
    <t>BentonC01-OC</t>
  </si>
  <si>
    <t>스네일비 얼티밋 미산성 클렌징 150ml</t>
  </si>
  <si>
    <t>5.61</t>
  </si>
  <si>
    <t>112.20</t>
  </si>
  <si>
    <t>160,086.96</t>
  </si>
  <si>
    <t>293</t>
  </si>
  <si>
    <t>BentonC03-cleansingfoamR</t>
  </si>
  <si>
    <t>어니스트 클렌징 폼 150g</t>
  </si>
  <si>
    <t>2.96</t>
  </si>
  <si>
    <t>325.60</t>
  </si>
  <si>
    <t>464,566.08</t>
  </si>
  <si>
    <t>3,190.91</t>
  </si>
  <si>
    <t>350,999.99</t>
  </si>
  <si>
    <t>113,566.09</t>
  </si>
  <si>
    <t>24.4</t>
  </si>
  <si>
    <t>294</t>
  </si>
  <si>
    <t>BentonC10-GRR</t>
  </si>
  <si>
    <t>[리뉴얼] 센텔라 시카 젤 100g</t>
  </si>
  <si>
    <t>5.52</t>
  </si>
  <si>
    <t>441.60</t>
  </si>
  <si>
    <t>630,074.88</t>
  </si>
  <si>
    <t>5,886.36</t>
  </si>
  <si>
    <t>470,909.09</t>
  </si>
  <si>
    <t>159,165.79</t>
  </si>
  <si>
    <t>295</t>
  </si>
  <si>
    <t>BentonC13-F</t>
  </si>
  <si>
    <t>에이씨 바하 폼 클렌징 120ml</t>
  </si>
  <si>
    <t>4.47</t>
  </si>
  <si>
    <t>89.40</t>
  </si>
  <si>
    <t>127,555.92</t>
  </si>
  <si>
    <t>1,200.00</t>
  </si>
  <si>
    <t>24,000.00</t>
  </si>
  <si>
    <t>103,555.92</t>
  </si>
  <si>
    <t>81.2</t>
  </si>
  <si>
    <t>296</t>
  </si>
  <si>
    <t>BentonC56-PGR</t>
  </si>
  <si>
    <t>파하 필링 젤 70ml</t>
  </si>
  <si>
    <t>4.02</t>
  </si>
  <si>
    <t>80.40</t>
  </si>
  <si>
    <t>114,714.72</t>
  </si>
  <si>
    <t>4,327.27</t>
  </si>
  <si>
    <t>86,545.45</t>
  </si>
  <si>
    <t>28,169.27</t>
  </si>
  <si>
    <t>297</t>
  </si>
  <si>
    <t>BentonCM03-LB</t>
  </si>
  <si>
    <t>어니스트 립밤 10ml</t>
  </si>
  <si>
    <t>1.77</t>
  </si>
  <si>
    <t>265.50</t>
  </si>
  <si>
    <t>378,815.40</t>
  </si>
  <si>
    <t>1,909.09</t>
  </si>
  <si>
    <t>286,363.64</t>
  </si>
  <si>
    <t>92,451.77</t>
  </si>
  <si>
    <t>298</t>
  </si>
  <si>
    <t>BentonP01-ContentmaskR10</t>
  </si>
  <si>
    <t>[10매입] 스네일 비 하이 컨텐트 마스크팩 20g</t>
  </si>
  <si>
    <t>7.71</t>
  </si>
  <si>
    <t>848.10</t>
  </si>
  <si>
    <t>1,210,069.08</t>
  </si>
  <si>
    <t>8,181.82</t>
  </si>
  <si>
    <t>899,999.99</t>
  </si>
  <si>
    <t>310,069.09</t>
  </si>
  <si>
    <t>299</t>
  </si>
  <si>
    <t>BentonS01-ContentcreamR</t>
  </si>
  <si>
    <t>스네일비 하이콘텐트 스팀크림 50g</t>
  </si>
  <si>
    <t>5.74</t>
  </si>
  <si>
    <t>631.40</t>
  </si>
  <si>
    <t>900,881.52</t>
  </si>
  <si>
    <t>6,204.55</t>
  </si>
  <si>
    <t>682,499.99</t>
  </si>
  <si>
    <t>218,381.53</t>
  </si>
  <si>
    <t>BentonS01-ContentlotionR</t>
  </si>
  <si>
    <t>스네일 비 하이 컨텐트 로션 120ml</t>
  </si>
  <si>
    <t>5.59</t>
  </si>
  <si>
    <t>201.24</t>
  </si>
  <si>
    <t>287,129.23</t>
  </si>
  <si>
    <t>6,045.45</t>
  </si>
  <si>
    <t>217,636.36</t>
  </si>
  <si>
    <t>69,492.87</t>
  </si>
  <si>
    <t>301</t>
  </si>
  <si>
    <t>BentonS01-ContentskinR</t>
  </si>
  <si>
    <t>스네일 비 하이 콘텐트 스킨 토너 150ml</t>
  </si>
  <si>
    <t>503.10</t>
  </si>
  <si>
    <t>717,823.08</t>
  </si>
  <si>
    <t>544,090.91</t>
  </si>
  <si>
    <t>173,732.17</t>
  </si>
  <si>
    <t>302</t>
  </si>
  <si>
    <t>BentonS01-EP</t>
  </si>
  <si>
    <t>스네일 비 얼티밋 하이드로겔 아이패치 1.1g*60pcs</t>
  </si>
  <si>
    <t>298.80</t>
  </si>
  <si>
    <t>426,327.84</t>
  </si>
  <si>
    <t>8,036.36</t>
  </si>
  <si>
    <t>321,454.54</t>
  </si>
  <si>
    <t>104,873.30</t>
  </si>
  <si>
    <t>303</t>
  </si>
  <si>
    <t>BentonS01-SR</t>
  </si>
  <si>
    <t>스네일비얼티밋세럼플러스 35ml</t>
  </si>
  <si>
    <t>345.00</t>
  </si>
  <si>
    <t>492,246.00</t>
  </si>
  <si>
    <t>7,418.18</t>
  </si>
  <si>
    <t>370,909.09</t>
  </si>
  <si>
    <t>121,336.91</t>
  </si>
  <si>
    <t>304</t>
  </si>
  <si>
    <t>BentonS02-CR</t>
  </si>
  <si>
    <t>알로에 히알루론 크림 50g</t>
  </si>
  <si>
    <t>4.77</t>
  </si>
  <si>
    <t>238.50</t>
  </si>
  <si>
    <t>340,291.80</t>
  </si>
  <si>
    <t>5,100.00</t>
  </si>
  <si>
    <t>255,000.00</t>
  </si>
  <si>
    <t>85,291.80</t>
  </si>
  <si>
    <t>305</t>
  </si>
  <si>
    <t>BentonS03-C</t>
  </si>
  <si>
    <t>세라마이드 크림 10000ppm 80mL</t>
  </si>
  <si>
    <t>7.09</t>
  </si>
  <si>
    <t>1,347.10</t>
  </si>
  <si>
    <t>1,922,042.28</t>
  </si>
  <si>
    <t>7,527.27</t>
  </si>
  <si>
    <t>1,430,181.81</t>
  </si>
  <si>
    <t>491,860.47</t>
  </si>
  <si>
    <t>306</t>
  </si>
  <si>
    <t>BentonS03-Seye</t>
  </si>
  <si>
    <t>어니스트 아이래쉬 세럼 10ml</t>
  </si>
  <si>
    <t>5.45</t>
  </si>
  <si>
    <t>272.50</t>
  </si>
  <si>
    <t>388,803.00</t>
  </si>
  <si>
    <t>5,890.91</t>
  </si>
  <si>
    <t>294,545.45</t>
  </si>
  <si>
    <t>94,257.55</t>
  </si>
  <si>
    <t>307</t>
  </si>
  <si>
    <t>BentonS04-ECR</t>
  </si>
  <si>
    <t>퍼먼테이션 아이크림 30g</t>
  </si>
  <si>
    <t>6.92</t>
  </si>
  <si>
    <t>276.80</t>
  </si>
  <si>
    <t>394,938.24</t>
  </si>
  <si>
    <t>7,327.27</t>
  </si>
  <si>
    <t>293,090.91</t>
  </si>
  <si>
    <t>101,847.33</t>
  </si>
  <si>
    <t>308</t>
  </si>
  <si>
    <t>BentonS04-EssenceR</t>
  </si>
  <si>
    <t>퍼먼테이션 에센스100ml</t>
  </si>
  <si>
    <t>6.56</t>
  </si>
  <si>
    <t>65.60</t>
  </si>
  <si>
    <t>93,598.08</t>
  </si>
  <si>
    <t>6,981.82</t>
  </si>
  <si>
    <t>69,818.18</t>
  </si>
  <si>
    <t>23,779.90</t>
  </si>
  <si>
    <t>309</t>
  </si>
  <si>
    <t>BentonS10-CSRR</t>
  </si>
  <si>
    <t>센텔라 시카 스팟크림 15g</t>
  </si>
  <si>
    <t>4.42</t>
  </si>
  <si>
    <t>207.74</t>
  </si>
  <si>
    <t>296,403.43</t>
  </si>
  <si>
    <t>4,709.09</t>
  </si>
  <si>
    <t>221,327.27</t>
  </si>
  <si>
    <t>75,076.16</t>
  </si>
  <si>
    <t>BentonS12-S</t>
  </si>
  <si>
    <t>바쿠치올 세럼 35ml</t>
  </si>
  <si>
    <t>8.24</t>
  </si>
  <si>
    <t>412.00</t>
  </si>
  <si>
    <t>587,841.60</t>
  </si>
  <si>
    <t>445,454.55</t>
  </si>
  <si>
    <t>142,387.06</t>
  </si>
  <si>
    <t>311</t>
  </si>
  <si>
    <t>BentonS14-C</t>
  </si>
  <si>
    <t>구아바 크림 80ml</t>
  </si>
  <si>
    <t>320.16</t>
  </si>
  <si>
    <t>456,804.29</t>
  </si>
  <si>
    <t>7,127.16</t>
  </si>
  <si>
    <t>342,103.64</t>
  </si>
  <si>
    <t>114,700.65</t>
  </si>
  <si>
    <t>312</t>
  </si>
  <si>
    <t>BentonS20-ER</t>
  </si>
  <si>
    <t>깊은 녹차 로션 120ml</t>
  </si>
  <si>
    <t>5.00</t>
  </si>
  <si>
    <t>300.00</t>
  </si>
  <si>
    <t>428,040.00</t>
  </si>
  <si>
    <t>5,345.45</t>
  </si>
  <si>
    <t>320,727.27</t>
  </si>
  <si>
    <t>107,312.73</t>
  </si>
  <si>
    <t>313</t>
  </si>
  <si>
    <t>BentonS20-TR</t>
  </si>
  <si>
    <t>깊은 녹차 토너 150ml</t>
  </si>
  <si>
    <t>350.00</t>
  </si>
  <si>
    <t>499,380.00</t>
  </si>
  <si>
    <t>374,181.82</t>
  </si>
  <si>
    <t>125,198.19</t>
  </si>
  <si>
    <t>314</t>
  </si>
  <si>
    <t>BentonS24-S</t>
  </si>
  <si>
    <t>비타민C 세럼 30ml</t>
  </si>
  <si>
    <t>7.57</t>
  </si>
  <si>
    <t>605.60</t>
  </si>
  <si>
    <t>864,070.08</t>
  </si>
  <si>
    <t>654,545.45</t>
  </si>
  <si>
    <t>209,524.63</t>
  </si>
  <si>
    <t>315</t>
  </si>
  <si>
    <t>BentonSM22-S</t>
  </si>
  <si>
    <t>무기자차 선스틱 SPF50/PA++++ 15g</t>
  </si>
  <si>
    <t>5.05</t>
  </si>
  <si>
    <t>565.60</t>
  </si>
  <si>
    <t>806,998.08</t>
  </si>
  <si>
    <t>5,940.00</t>
  </si>
  <si>
    <t>665,280.00</t>
  </si>
  <si>
    <t>141,718.08</t>
  </si>
  <si>
    <t>17.6</t>
  </si>
  <si>
    <t>316</t>
  </si>
  <si>
    <t>BentonSM59-Asun</t>
  </si>
  <si>
    <t>에어핏 유브이 디펜스 선크림 SPF50+/PA++++ 50ml</t>
  </si>
  <si>
    <t>5.46</t>
  </si>
  <si>
    <t>502.32</t>
  </si>
  <si>
    <t>716,710.18</t>
  </si>
  <si>
    <t>5,890.00</t>
  </si>
  <si>
    <t>541,880.00</t>
  </si>
  <si>
    <t>174,830.18</t>
  </si>
  <si>
    <t>317</t>
  </si>
  <si>
    <t>BLC01-OCRB</t>
  </si>
  <si>
    <t>(리브랜딩) 시카 소프트 멜트어웨이 클렌징 밤 100ml</t>
  </si>
  <si>
    <t>비랩</t>
  </si>
  <si>
    <t>3.01</t>
  </si>
  <si>
    <t>180.60</t>
  </si>
  <si>
    <t>257,680.08</t>
  </si>
  <si>
    <t>3,545.45</t>
  </si>
  <si>
    <t>212,727.27</t>
  </si>
  <si>
    <t>44,952.81</t>
  </si>
  <si>
    <t>17.4</t>
  </si>
  <si>
    <t>318</t>
  </si>
  <si>
    <t>BLC02-FRB</t>
  </si>
  <si>
    <t>(리브랜딩) 말차 하이드레이팅 폼 클렌저 120ml</t>
  </si>
  <si>
    <t>560</t>
  </si>
  <si>
    <t>1,685.60</t>
  </si>
  <si>
    <t>2,405,014.08</t>
  </si>
  <si>
    <t>419,559.56</t>
  </si>
  <si>
    <t>319</t>
  </si>
  <si>
    <t>BLSM02-stickRB</t>
  </si>
  <si>
    <t>(리브랜딩) 말차 에어리핏 선 스틱 15g</t>
  </si>
  <si>
    <t>132.60</t>
  </si>
  <si>
    <t>189,193.68</t>
  </si>
  <si>
    <t>4,680.00</t>
  </si>
  <si>
    <t>140,400.00</t>
  </si>
  <si>
    <t>48,793.68</t>
  </si>
  <si>
    <t>674</t>
  </si>
  <si>
    <t>0.39</t>
  </si>
  <si>
    <t>262.86</t>
  </si>
  <si>
    <t>375,048.65</t>
  </si>
  <si>
    <t>220,581.80</t>
  </si>
  <si>
    <t>154,466.85</t>
  </si>
  <si>
    <t>41.2</t>
  </si>
  <si>
    <t>321</t>
  </si>
  <si>
    <t>BNKP04-MO1</t>
  </si>
  <si>
    <t>(리뉴얼코드확인) [1매입] 더 클린 비건 올리브 마스크</t>
  </si>
  <si>
    <t>171.60</t>
  </si>
  <si>
    <t>244,838.88</t>
  </si>
  <si>
    <t>143,999.99</t>
  </si>
  <si>
    <t>100,838.89</t>
  </si>
  <si>
    <t>322</t>
  </si>
  <si>
    <t>62.01</t>
  </si>
  <si>
    <t>88,475.87</t>
  </si>
  <si>
    <t>52,036.36</t>
  </si>
  <si>
    <t>36,439.51</t>
  </si>
  <si>
    <t>323</t>
  </si>
  <si>
    <t>280.80</t>
  </si>
  <si>
    <t>400,645.44</t>
  </si>
  <si>
    <t>165,009.10</t>
  </si>
  <si>
    <t>324</t>
  </si>
  <si>
    <t>FLS001-C03</t>
  </si>
  <si>
    <t>레티놀 0.3% 크림 20ml</t>
  </si>
  <si>
    <t>프랭클리</t>
  </si>
  <si>
    <t>6.35</t>
  </si>
  <si>
    <t>317.50</t>
  </si>
  <si>
    <t>453,009.00</t>
  </si>
  <si>
    <t>5,500.00</t>
  </si>
  <si>
    <t>275,000.00</t>
  </si>
  <si>
    <t>178,009.00</t>
  </si>
  <si>
    <t>39.3</t>
  </si>
  <si>
    <t>325</t>
  </si>
  <si>
    <t>FLS003-S</t>
  </si>
  <si>
    <t>클로저 세럼 30ml</t>
  </si>
  <si>
    <t>4.67</t>
  </si>
  <si>
    <t>373.60</t>
  </si>
  <si>
    <t>533,052.48</t>
  </si>
  <si>
    <t>3,960.00</t>
  </si>
  <si>
    <t>316,800.00</t>
  </si>
  <si>
    <t>216,252.48</t>
  </si>
  <si>
    <t>40.6</t>
  </si>
  <si>
    <t>326</t>
  </si>
  <si>
    <t>FLS006-S</t>
  </si>
  <si>
    <t>나이아신아마이드 15% 징크 비즈 세럼 30ml</t>
  </si>
  <si>
    <t>100.00</t>
  </si>
  <si>
    <t>142,680.00</t>
  </si>
  <si>
    <t>4,290.00</t>
  </si>
  <si>
    <t>85,800.00</t>
  </si>
  <si>
    <t>56,880.00</t>
  </si>
  <si>
    <t>39.9</t>
  </si>
  <si>
    <t>327</t>
  </si>
  <si>
    <t>G9C10-PB</t>
  </si>
  <si>
    <t>컬러 클레이 탄산 버블팩 100ml</t>
  </si>
  <si>
    <t>지나인(G9)</t>
  </si>
  <si>
    <t>4.93</t>
  </si>
  <si>
    <t>14.79</t>
  </si>
  <si>
    <t>21,102.37</t>
  </si>
  <si>
    <t>5,272.73</t>
  </si>
  <si>
    <t>15,818.18</t>
  </si>
  <si>
    <t>5,284.19</t>
  </si>
  <si>
    <t>328</t>
  </si>
  <si>
    <t>G9P12-MF</t>
  </si>
  <si>
    <t>셀프에스테틱 소프트 풋 마스크 5p</t>
  </si>
  <si>
    <t>7.01</t>
  </si>
  <si>
    <t>644.92</t>
  </si>
  <si>
    <t>920,171.86</t>
  </si>
  <si>
    <t>8,090.91</t>
  </si>
  <si>
    <t>744,363.63</t>
  </si>
  <si>
    <t>175,808.23</t>
  </si>
  <si>
    <t>329</t>
  </si>
  <si>
    <t>G9P12-MH</t>
  </si>
  <si>
    <t>셀프에스테틱 소프트 핸드 마스크 5p</t>
  </si>
  <si>
    <t>750.07</t>
  </si>
  <si>
    <t>1,070,199.88</t>
  </si>
  <si>
    <t>865,727.26</t>
  </si>
  <si>
    <t>204,472.61</t>
  </si>
  <si>
    <t>G9P12-MHA</t>
  </si>
  <si>
    <t>셀프에스테틱 실키 헤어 마스크 5p</t>
  </si>
  <si>
    <t>9.88</t>
  </si>
  <si>
    <t>494.00</t>
  </si>
  <si>
    <t>704,839.20</t>
  </si>
  <si>
    <t>10,636.36</t>
  </si>
  <si>
    <t>531,818.18</t>
  </si>
  <si>
    <t>173,021.02</t>
  </si>
  <si>
    <t>331</t>
  </si>
  <si>
    <t>G9SM01-MSunR</t>
  </si>
  <si>
    <t>화이트 인 밀크 썬 플러스 40ml SPF50+/PA++++</t>
  </si>
  <si>
    <t>4.16</t>
  </si>
  <si>
    <t>241.28</t>
  </si>
  <si>
    <t>344,258.30</t>
  </si>
  <si>
    <t>4,454.55</t>
  </si>
  <si>
    <t>258,363.63</t>
  </si>
  <si>
    <t>85,894.67</t>
  </si>
  <si>
    <t>332</t>
  </si>
  <si>
    <t>HMBM21-BB21R</t>
  </si>
  <si>
    <t>모링가 세라마이드 비비크림 SPF30 PA++ 21 라이트 베이지</t>
  </si>
  <si>
    <t>1,133.90</t>
  </si>
  <si>
    <t>1,617,848.52</t>
  </si>
  <si>
    <t>5,700.00</t>
  </si>
  <si>
    <t>1,311,000.00</t>
  </si>
  <si>
    <t>306,848.52</t>
  </si>
  <si>
    <t>333</t>
  </si>
  <si>
    <t>HMBM21-BB23R</t>
  </si>
  <si>
    <t>모링가 세라마이드 비비크림 SPF30 PA++ 23 라이트 미디움</t>
  </si>
  <si>
    <t>1,429.70</t>
  </si>
  <si>
    <t>2,039,895.96</t>
  </si>
  <si>
    <t>1,653,000.00</t>
  </si>
  <si>
    <t>386,895.96</t>
  </si>
  <si>
    <t>334</t>
  </si>
  <si>
    <t>HMBM21-BB25R</t>
  </si>
  <si>
    <t>모링가 세라마이드 비비크림 SPF30 PA++ 25 미디움</t>
  </si>
  <si>
    <t>838.10</t>
  </si>
  <si>
    <t>1,195,801.08</t>
  </si>
  <si>
    <t>969,000.00</t>
  </si>
  <si>
    <t>226,801.08</t>
  </si>
  <si>
    <t>335</t>
  </si>
  <si>
    <t>HMC01-ACWCFR</t>
  </si>
  <si>
    <t>(리뉴얼) 올 클린 화이트 클레이 폼 150g</t>
  </si>
  <si>
    <t>3.28</t>
  </si>
  <si>
    <t>131.20</t>
  </si>
  <si>
    <t>187,196.16</t>
  </si>
  <si>
    <t>3,709.09</t>
  </si>
  <si>
    <t>148,363.64</t>
  </si>
  <si>
    <t>38,832.52</t>
  </si>
  <si>
    <t>20.7</t>
  </si>
  <si>
    <t>HMC01-FG</t>
  </si>
  <si>
    <t>올 클린 그린 폼 150g</t>
  </si>
  <si>
    <t>744.56</t>
  </si>
  <si>
    <t>1,062,338.21</t>
  </si>
  <si>
    <t>841,963.63</t>
  </si>
  <si>
    <t>220,374.57</t>
  </si>
  <si>
    <t>337</t>
  </si>
  <si>
    <t>HMC01-NewBalmR</t>
  </si>
  <si>
    <t>올 클린 밤 120ml</t>
  </si>
  <si>
    <t>6.06</t>
  </si>
  <si>
    <t>11,150.40</t>
  </si>
  <si>
    <t>15,909,390.72</t>
  </si>
  <si>
    <t>6,872.73</t>
  </si>
  <si>
    <t>12,645,818.05</t>
  </si>
  <si>
    <t>3,263,572.67</t>
  </si>
  <si>
    <t>20.5</t>
  </si>
  <si>
    <t>338</t>
  </si>
  <si>
    <t>HMC23-SCPlAB</t>
  </si>
  <si>
    <t>(리뉴얼 예정)알엑스 아하 바하 엔자임 스크럽 130ml</t>
  </si>
  <si>
    <t>4.92</t>
  </si>
  <si>
    <t>639.60</t>
  </si>
  <si>
    <t>912,581.28</t>
  </si>
  <si>
    <t>638,181.82</t>
  </si>
  <si>
    <t>274,399.46</t>
  </si>
  <si>
    <t>30.1</t>
  </si>
  <si>
    <t>339</t>
  </si>
  <si>
    <t>HMCM1-DSSMBBV</t>
  </si>
  <si>
    <t>(리뉴얼) 데일리즘 스머지 스탑 마스카라 볼륨 브라운</t>
  </si>
  <si>
    <t>3.73</t>
  </si>
  <si>
    <t>783.30</t>
  </si>
  <si>
    <t>1,117,612.44</t>
  </si>
  <si>
    <t>3,690.91</t>
  </si>
  <si>
    <t>775,090.89</t>
  </si>
  <si>
    <t>342,521.55</t>
  </si>
  <si>
    <t>340</t>
  </si>
  <si>
    <t>HMCM1-DSSMV</t>
  </si>
  <si>
    <t>(리뉴얼) 데일리즘 스머지 스탑 마스카라 볼륨 블랙</t>
  </si>
  <si>
    <t>760</t>
  </si>
  <si>
    <t>2,834.80</t>
  </si>
  <si>
    <t>4,044,692.64</t>
  </si>
  <si>
    <t>4,072.73</t>
  </si>
  <si>
    <t>3,095,272.67</t>
  </si>
  <si>
    <t>949,419.97</t>
  </si>
  <si>
    <t>341</t>
  </si>
  <si>
    <t>HMM02-GlowbaseRRr</t>
  </si>
  <si>
    <t>(리뉴얼) 아트리스 글로우 베이스 40ml SPF50+ PA++++</t>
  </si>
  <si>
    <t>395</t>
  </si>
  <si>
    <t>5.86</t>
  </si>
  <si>
    <t>2,314.70</t>
  </si>
  <si>
    <t>3,302,613.96</t>
  </si>
  <si>
    <t>6,700.00</t>
  </si>
  <si>
    <t>2,646,500.00</t>
  </si>
  <si>
    <t>656,113.96</t>
  </si>
  <si>
    <t>342</t>
  </si>
  <si>
    <t>HMS09-CsRR</t>
  </si>
  <si>
    <t>불가리안 로즈 사틴 크림 50ml</t>
  </si>
  <si>
    <t>8.58</t>
  </si>
  <si>
    <t>979,355.52</t>
  </si>
  <si>
    <t>6,545.45</t>
  </si>
  <si>
    <t>523,636.36</t>
  </si>
  <si>
    <t>455,719.16</t>
  </si>
  <si>
    <t>46.5</t>
  </si>
  <si>
    <t>343</t>
  </si>
  <si>
    <t>HMS09-REP60</t>
  </si>
  <si>
    <t>(리뉴얼 예정)불가리안 로즈 하이드로겔 아이패치 60매</t>
  </si>
  <si>
    <t>1,300</t>
  </si>
  <si>
    <t>5.33</t>
  </si>
  <si>
    <t>6,929.00</t>
  </si>
  <si>
    <t>9,886,297.20</t>
  </si>
  <si>
    <t>5,818.18</t>
  </si>
  <si>
    <t>7,563,636.34</t>
  </si>
  <si>
    <t>2,322,660.86</t>
  </si>
  <si>
    <t>344</t>
  </si>
  <si>
    <t>HMS16-CRMR</t>
  </si>
  <si>
    <t>마린 케어 딥 모이스처 너리싱 멜팅 크림 55ml</t>
  </si>
  <si>
    <t>8.10</t>
  </si>
  <si>
    <t>162.00</t>
  </si>
  <si>
    <t>231,141.60</t>
  </si>
  <si>
    <t>8,036.00</t>
  </si>
  <si>
    <t>160,720.00</t>
  </si>
  <si>
    <t>70,421.60</t>
  </si>
  <si>
    <t>30.5</t>
  </si>
  <si>
    <t>345</t>
  </si>
  <si>
    <t>HMS16-IRESR</t>
  </si>
  <si>
    <t>(HMS16-IRESRR확인)마린케어 레티놀 아이 세럼 30ml</t>
  </si>
  <si>
    <t>66.70</t>
  </si>
  <si>
    <t>95,167.56</t>
  </si>
  <si>
    <t>6,618.18</t>
  </si>
  <si>
    <t>66,181.82</t>
  </si>
  <si>
    <t>28,985.74</t>
  </si>
  <si>
    <t>346</t>
  </si>
  <si>
    <t>HMS20-C</t>
  </si>
  <si>
    <t>(단종) 말차 바이옴 인텐시브 리페어 크림 50ml</t>
  </si>
  <si>
    <t>133.40</t>
  </si>
  <si>
    <t>190,335.12</t>
  </si>
  <si>
    <t>132,363.64</t>
  </si>
  <si>
    <t>57,971.48</t>
  </si>
  <si>
    <t>347</t>
  </si>
  <si>
    <t>HMS20-PATCH</t>
  </si>
  <si>
    <t>(리뉴얼 예정)말차 바이옴 하이드로겔 아이패치 60매입</t>
  </si>
  <si>
    <t>336.60</t>
  </si>
  <si>
    <t>480,260.88</t>
  </si>
  <si>
    <t>6,181.82</t>
  </si>
  <si>
    <t>109,351.79</t>
  </si>
  <si>
    <t>348</t>
  </si>
  <si>
    <t>HMS23-CH</t>
  </si>
  <si>
    <t>알엑스 히알루론산 리치 휩드 크림 50ml</t>
  </si>
  <si>
    <t>174.11</t>
  </si>
  <si>
    <t>248,420.15</t>
  </si>
  <si>
    <t>7,527.00</t>
  </si>
  <si>
    <t>173,121.00</t>
  </si>
  <si>
    <t>75,299.15</t>
  </si>
  <si>
    <t>30.3</t>
  </si>
  <si>
    <t>349</t>
  </si>
  <si>
    <t>HMS23-CRBE</t>
  </si>
  <si>
    <t>알엑스 레티놀 바쿠치올 아이크림 30ml</t>
  </si>
  <si>
    <t>7.99</t>
  </si>
  <si>
    <t>239.70</t>
  </si>
  <si>
    <t>342,003.96</t>
  </si>
  <si>
    <t>7,945.00</t>
  </si>
  <si>
    <t>238,350.00</t>
  </si>
  <si>
    <t>103,653.96</t>
  </si>
  <si>
    <t>HMS23-IRB</t>
  </si>
  <si>
    <t>알엑스 레티놀 바쿠치올 하이드로겔 아이패치 60EA</t>
  </si>
  <si>
    <t>6.17</t>
  </si>
  <si>
    <t>1,110.60</t>
  </si>
  <si>
    <t>1,584,604.08</t>
  </si>
  <si>
    <t>6,200.00</t>
  </si>
  <si>
    <t>1,116,000.00</t>
  </si>
  <si>
    <t>468,604.08</t>
  </si>
  <si>
    <t>29.6</t>
  </si>
  <si>
    <t>351</t>
  </si>
  <si>
    <t>HMS23-SHH</t>
  </si>
  <si>
    <t>알엑스 히알루론산 하이드레이팅 세럼 35ml</t>
  </si>
  <si>
    <t>5.89</t>
  </si>
  <si>
    <t>229.71</t>
  </si>
  <si>
    <t>327,750.23</t>
  </si>
  <si>
    <t>5,855.00</t>
  </si>
  <si>
    <t>228,345.00</t>
  </si>
  <si>
    <t>99,405.23</t>
  </si>
  <si>
    <t>352</t>
  </si>
  <si>
    <t>HMS23-SMVG</t>
  </si>
  <si>
    <t>알엑스 멀티 비타민 글로우 세럼 35ml</t>
  </si>
  <si>
    <t>235.60</t>
  </si>
  <si>
    <t>336,154.08</t>
  </si>
  <si>
    <t>5,854.77</t>
  </si>
  <si>
    <t>234,190.91</t>
  </si>
  <si>
    <t>101,963.17</t>
  </si>
  <si>
    <t>353</t>
  </si>
  <si>
    <t>LGC01-CW</t>
  </si>
  <si>
    <t>셀럽 마이크로 클렌징 워터 350ml</t>
  </si>
  <si>
    <t>라곰</t>
  </si>
  <si>
    <t>6.74</t>
  </si>
  <si>
    <t>269.60</t>
  </si>
  <si>
    <t>384,665.28</t>
  </si>
  <si>
    <t>283,636.36</t>
  </si>
  <si>
    <t>101,028.92</t>
  </si>
  <si>
    <t>26.3</t>
  </si>
  <si>
    <t>354</t>
  </si>
  <si>
    <t>LGC01-Fph</t>
  </si>
  <si>
    <t>셀럽 PH 큐어 폼 클렌저 120ml</t>
  </si>
  <si>
    <t>4.15</t>
  </si>
  <si>
    <t>219.95</t>
  </si>
  <si>
    <t>313,824.66</t>
  </si>
  <si>
    <t>4,363.64</t>
  </si>
  <si>
    <t>231,272.72</t>
  </si>
  <si>
    <t>82,551.94</t>
  </si>
  <si>
    <t>355</t>
  </si>
  <si>
    <t>LGP02-PK</t>
  </si>
  <si>
    <t>화이트 카올린 머드 마스크 110ml</t>
  </si>
  <si>
    <t>8.82</t>
  </si>
  <si>
    <t>238.14</t>
  </si>
  <si>
    <t>339,778.15</t>
  </si>
  <si>
    <t>9,690.00</t>
  </si>
  <si>
    <t>261,630.00</t>
  </si>
  <si>
    <t>78,148.15</t>
  </si>
  <si>
    <t>23.0</t>
  </si>
  <si>
    <t>356</t>
  </si>
  <si>
    <t>LGS02-AS</t>
  </si>
  <si>
    <t>셀러스 아쿠알렌 솔루션 50ml</t>
  </si>
  <si>
    <t>10.89</t>
  </si>
  <si>
    <t>337.59</t>
  </si>
  <si>
    <t>481,673.41</t>
  </si>
  <si>
    <t>11,970.00</t>
  </si>
  <si>
    <t>371,070.00</t>
  </si>
  <si>
    <t>110,603.41</t>
  </si>
  <si>
    <t>357</t>
  </si>
  <si>
    <t>LGS02-CD60</t>
  </si>
  <si>
    <t>(리뉴얼) 셀러스 딥 모이스쳐 크림 60ml</t>
  </si>
  <si>
    <t>168.12</t>
  </si>
  <si>
    <t>239,873.62</t>
  </si>
  <si>
    <t>12,437.00</t>
  </si>
  <si>
    <t>223,866.00</t>
  </si>
  <si>
    <t>16,007.62</t>
  </si>
  <si>
    <t>6.7</t>
  </si>
  <si>
    <t>358</t>
  </si>
  <si>
    <t>LGS02-CM</t>
  </si>
  <si>
    <t>셀러스 마일드 모이스쳐 크림 80ml</t>
  </si>
  <si>
    <t>9.85</t>
  </si>
  <si>
    <t>886.50</t>
  </si>
  <si>
    <t>1,264,858.20</t>
  </si>
  <si>
    <t>10,363.64</t>
  </si>
  <si>
    <t>932,727.27</t>
  </si>
  <si>
    <t>332,130.93</t>
  </si>
  <si>
    <t>359</t>
  </si>
  <si>
    <t>LGS02-CSR</t>
  </si>
  <si>
    <t>[리뉴얼] 셀러스 센서티브 시카 크림 60ml</t>
  </si>
  <si>
    <t>8.30</t>
  </si>
  <si>
    <t>232.40</t>
  </si>
  <si>
    <t>331,588.32</t>
  </si>
  <si>
    <t>9,120.00</t>
  </si>
  <si>
    <t>255,360.00</t>
  </si>
  <si>
    <t>76,228.32</t>
  </si>
  <si>
    <t>LGS02-CWR</t>
  </si>
  <si>
    <t>(리뉴얼) 화이트 모이스쳐 크림 50ml</t>
  </si>
  <si>
    <t>205.48</t>
  </si>
  <si>
    <t>293,178.86</t>
  </si>
  <si>
    <t>225,720.00</t>
  </si>
  <si>
    <t>67,458.86</t>
  </si>
  <si>
    <t>361</t>
  </si>
  <si>
    <t>LGS02-EssenTR</t>
  </si>
  <si>
    <t>(리뉴얼) 셀러스 리바이브 에센토너 200ml</t>
  </si>
  <si>
    <t>77.80</t>
  </si>
  <si>
    <t>111,005.04</t>
  </si>
  <si>
    <t>8,550.00</t>
  </si>
  <si>
    <t>85,500.00</t>
  </si>
  <si>
    <t>25,505.04</t>
  </si>
  <si>
    <t>362</t>
  </si>
  <si>
    <t>LGS02-TMR</t>
  </si>
  <si>
    <t>셀러스 미스트 토너 120ml</t>
  </si>
  <si>
    <t>7.26</t>
  </si>
  <si>
    <t>363.00</t>
  </si>
  <si>
    <t>517,928.40</t>
  </si>
  <si>
    <t>7,980.00</t>
  </si>
  <si>
    <t>399,000.00</t>
  </si>
  <si>
    <t>118,928.40</t>
  </si>
  <si>
    <t>363</t>
  </si>
  <si>
    <t>LGSM05-ST</t>
  </si>
  <si>
    <t>에어리 벨벳 선 스틱 18g</t>
  </si>
  <si>
    <t>435.60</t>
  </si>
  <si>
    <t>621,514.08</t>
  </si>
  <si>
    <t>2,000.00</t>
  </si>
  <si>
    <t>120,000.00</t>
  </si>
  <si>
    <t>501,514.08</t>
  </si>
  <si>
    <t>80.7</t>
  </si>
  <si>
    <t>364</t>
  </si>
  <si>
    <t>MAFC02-Fr</t>
  </si>
  <si>
    <t>(리뉴얼)세이프 미 릴리프 모이스처 클렌징 폼 150ml</t>
  </si>
  <si>
    <t>메이크프렘</t>
  </si>
  <si>
    <t>4.82</t>
  </si>
  <si>
    <t>241.00</t>
  </si>
  <si>
    <t>343,858.80</t>
  </si>
  <si>
    <t>4,509.09</t>
  </si>
  <si>
    <t>225,454.55</t>
  </si>
  <si>
    <t>118,404.25</t>
  </si>
  <si>
    <t>34.4</t>
  </si>
  <si>
    <t>365</t>
  </si>
  <si>
    <t>MAFS02-CR</t>
  </si>
  <si>
    <t>[Renew] 세이프 미 릴리프 모이스처 크림12 80ml_용기리뉴얼</t>
  </si>
  <si>
    <t>8.44</t>
  </si>
  <si>
    <t>50.64</t>
  </si>
  <si>
    <t>72,253.15</t>
  </si>
  <si>
    <t>7,890.91</t>
  </si>
  <si>
    <t>47,345.45</t>
  </si>
  <si>
    <t>24,907.70</t>
  </si>
  <si>
    <t>34.5</t>
  </si>
  <si>
    <t>366</t>
  </si>
  <si>
    <t>MVHS01-SP300</t>
  </si>
  <si>
    <t>아누카틴 샴푸 300ml</t>
  </si>
  <si>
    <t>모에브</t>
  </si>
  <si>
    <t>688.80</t>
  </si>
  <si>
    <t>982,779.84</t>
  </si>
  <si>
    <t>5,173.64</t>
  </si>
  <si>
    <t>724,309.08</t>
  </si>
  <si>
    <t>258,470.76</t>
  </si>
  <si>
    <t>367</t>
  </si>
  <si>
    <t>MVHS01-TT</t>
  </si>
  <si>
    <t>아누카틴 트리트먼트 200g</t>
  </si>
  <si>
    <t>590.40</t>
  </si>
  <si>
    <t>842,382.72</t>
  </si>
  <si>
    <t>620,836.36</t>
  </si>
  <si>
    <t>221,546.36</t>
  </si>
  <si>
    <t>368</t>
  </si>
  <si>
    <t>NLS05-A</t>
  </si>
  <si>
    <t>(NLS05-AR 확인) 에이컨트롤 10% 아젤라익애씨드 세럼 30ml</t>
  </si>
  <si>
    <t>나인리스</t>
  </si>
  <si>
    <t>700</t>
  </si>
  <si>
    <t>5.47</t>
  </si>
  <si>
    <t>3,829.00</t>
  </si>
  <si>
    <t>5,463,217.20</t>
  </si>
  <si>
    <t>4,340,000.00</t>
  </si>
  <si>
    <t>1,123,217.20</t>
  </si>
  <si>
    <t>369</t>
  </si>
  <si>
    <t>NLS05-C</t>
  </si>
  <si>
    <t>(NLS05-CR 확인) 에이컨트롤 아젤라익애씨드 크림 50ml</t>
  </si>
  <si>
    <t>959.50</t>
  </si>
  <si>
    <t>1,369,014.60</t>
  </si>
  <si>
    <t>5,800.00</t>
  </si>
  <si>
    <t>1,102,000.00</t>
  </si>
  <si>
    <t>267,014.60</t>
  </si>
  <si>
    <t>NLS06-A</t>
  </si>
  <si>
    <t>(NLS06-AR 확인) 비 부스트 10% 나이아신아마이드 세럼 30ml</t>
  </si>
  <si>
    <t>5.21</t>
  </si>
  <si>
    <t>625.20</t>
  </si>
  <si>
    <t>892,035.36</t>
  </si>
  <si>
    <t>720,000.00</t>
  </si>
  <si>
    <t>172,035.36</t>
  </si>
  <si>
    <t>19.3</t>
  </si>
  <si>
    <t>371</t>
  </si>
  <si>
    <t>NLS06-AK</t>
  </si>
  <si>
    <t>(NLS06-AKR 확인) 비 부스트 1% 코직애씨드 세럼 30ml</t>
  </si>
  <si>
    <t>2,500.80</t>
  </si>
  <si>
    <t>3,568,141.44</t>
  </si>
  <si>
    <t>2,880,000.00</t>
  </si>
  <si>
    <t>688,141.44</t>
  </si>
  <si>
    <t>372</t>
  </si>
  <si>
    <t>NLS07-T</t>
  </si>
  <si>
    <t>(NLS07-TR 확인)멜라프로 라이스앤 TXA 토너 200ml</t>
  </si>
  <si>
    <t>151.58</t>
  </si>
  <si>
    <t>216,274.34</t>
  </si>
  <si>
    <t>163,800.00</t>
  </si>
  <si>
    <t>52,474.34</t>
  </si>
  <si>
    <t>373</t>
  </si>
  <si>
    <t>NLSM02-SCR</t>
  </si>
  <si>
    <t>[리뉴얼] 이센셜즈 UV쉴드 수딩 선크림 SPF 50+ PA++++</t>
  </si>
  <si>
    <t>3.55</t>
  </si>
  <si>
    <t>568.00</t>
  </si>
  <si>
    <t>810,422.40</t>
  </si>
  <si>
    <t>4,000.00</t>
  </si>
  <si>
    <t>640,000.00</t>
  </si>
  <si>
    <t>170,422.40</t>
  </si>
  <si>
    <t>374</t>
  </si>
  <si>
    <t>OTS06-C</t>
  </si>
  <si>
    <t>병풀 수딩 크림 100ml</t>
  </si>
  <si>
    <t>원씽</t>
  </si>
  <si>
    <t>357.46</t>
  </si>
  <si>
    <t>510,023.93</t>
  </si>
  <si>
    <t>402,600.00</t>
  </si>
  <si>
    <t>107,423.93</t>
  </si>
  <si>
    <t>375</t>
  </si>
  <si>
    <t>OTS06-T</t>
  </si>
  <si>
    <t>병풀 추출물 토너 150ml</t>
  </si>
  <si>
    <t>78.33</t>
  </si>
  <si>
    <t>111,761.24</t>
  </si>
  <si>
    <t>88,200.00</t>
  </si>
  <si>
    <t>23,561.24</t>
  </si>
  <si>
    <t>376</t>
  </si>
  <si>
    <t>RBS02-RCR</t>
  </si>
  <si>
    <t>[Renew] 아쿠아 수딩 크림 50ml</t>
  </si>
  <si>
    <t>리얼베리어</t>
  </si>
  <si>
    <t>8.83</t>
  </si>
  <si>
    <t>114.79</t>
  </si>
  <si>
    <t>163,782.37</t>
  </si>
  <si>
    <t>9,818.18</t>
  </si>
  <si>
    <t>127,636.36</t>
  </si>
  <si>
    <t>36,146.01</t>
  </si>
  <si>
    <t>22.1</t>
  </si>
  <si>
    <t>377</t>
  </si>
  <si>
    <t>RBS03-CRR</t>
  </si>
  <si>
    <t>[Renew] 리얼베리어 익스트림 크림 50ml</t>
  </si>
  <si>
    <t>11.19</t>
  </si>
  <si>
    <t>1,130.19</t>
  </si>
  <si>
    <t>1,612,555.09</t>
  </si>
  <si>
    <t>12,436.36</t>
  </si>
  <si>
    <t>1,256,072.72</t>
  </si>
  <si>
    <t>356,482.37</t>
  </si>
  <si>
    <t>378</t>
  </si>
  <si>
    <t>RBS21-C</t>
  </si>
  <si>
    <t>익스트림 크림 라이트 50ML</t>
  </si>
  <si>
    <t>10.01</t>
  </si>
  <si>
    <t>870.87</t>
  </si>
  <si>
    <t>1,242,557.32</t>
  </si>
  <si>
    <t>11,127.27</t>
  </si>
  <si>
    <t>968,072.72</t>
  </si>
  <si>
    <t>274,484.59</t>
  </si>
  <si>
    <t>379</t>
  </si>
  <si>
    <t>RVTC01-F2R</t>
  </si>
  <si>
    <t>(Renew) 아쿠아 젠틀 클렌징 젤 175ml</t>
  </si>
  <si>
    <t>로벡틴</t>
  </si>
  <si>
    <t>968.80</t>
  </si>
  <si>
    <t>1,382,283.84</t>
  </si>
  <si>
    <t>5,000.00</t>
  </si>
  <si>
    <t>700,000.00</t>
  </si>
  <si>
    <t>682,283.84</t>
  </si>
  <si>
    <t>49.4</t>
  </si>
  <si>
    <t>380</t>
  </si>
  <si>
    <t>RVTP01-MDCR1</t>
  </si>
  <si>
    <t>[재고 소진 후 5매입 운영] (Renew) 닥터 마스크 시카 (1ea)</t>
  </si>
  <si>
    <t>1.07</t>
  </si>
  <si>
    <t>32.10</t>
  </si>
  <si>
    <t>45,800.28</t>
  </si>
  <si>
    <t>1,254.55</t>
  </si>
  <si>
    <t>37,636.36</t>
  </si>
  <si>
    <t>8,163.92</t>
  </si>
  <si>
    <t>17.8</t>
  </si>
  <si>
    <t>381</t>
  </si>
  <si>
    <t>RVTS05-CR</t>
  </si>
  <si>
    <t>[리뉴얼] 카밍 연꽃수 크림 60ml</t>
  </si>
  <si>
    <t>914.10</t>
  </si>
  <si>
    <t>1,304,237.88</t>
  </si>
  <si>
    <t>679,999.99</t>
  </si>
  <si>
    <t>624,237.89</t>
  </si>
  <si>
    <t>47.9</t>
  </si>
  <si>
    <t>382</t>
  </si>
  <si>
    <t>RVTS06-VS</t>
  </si>
  <si>
    <t>비타 다크 스팟 세럼 30ml</t>
  </si>
  <si>
    <t>12.12</t>
  </si>
  <si>
    <t>133.32</t>
  </si>
  <si>
    <t>190,220.98</t>
  </si>
  <si>
    <t>9,090.91</t>
  </si>
  <si>
    <t>100,000.00</t>
  </si>
  <si>
    <t>90,220.98</t>
  </si>
  <si>
    <t>47.4</t>
  </si>
  <si>
    <t>383</t>
  </si>
  <si>
    <t>secretKS03-spotgelR</t>
  </si>
  <si>
    <t>2023 NEW) 스노우 화이트 스팟 젤 65g(에스겔)</t>
  </si>
  <si>
    <t>시크릿키</t>
  </si>
  <si>
    <t>6.43</t>
  </si>
  <si>
    <t>1,543.20</t>
  </si>
  <si>
    <t>2,201,837.76</t>
  </si>
  <si>
    <t>7,830.00</t>
  </si>
  <si>
    <t>1,879,200.00</t>
  </si>
  <si>
    <t>322,637.76</t>
  </si>
  <si>
    <t>14.7</t>
  </si>
  <si>
    <t>384</t>
  </si>
  <si>
    <t>TFITM06-CRC</t>
  </si>
  <si>
    <t>커버 업 프로 컨실러 03 쿨</t>
  </si>
  <si>
    <t>티핏</t>
  </si>
  <si>
    <t>4.37</t>
  </si>
  <si>
    <t>262.20</t>
  </si>
  <si>
    <t>374,106.96</t>
  </si>
  <si>
    <t>5,200.00</t>
  </si>
  <si>
    <t>312,000.00</t>
  </si>
  <si>
    <t>62,106.96</t>
  </si>
  <si>
    <t>16.6</t>
  </si>
  <si>
    <t>385</t>
  </si>
  <si>
    <t>TFITM06-CRN</t>
  </si>
  <si>
    <t>커버 업 프로 컨실러 01 뉴트럴</t>
  </si>
  <si>
    <t>524.40</t>
  </si>
  <si>
    <t>748,213.92</t>
  </si>
  <si>
    <t>624,000.00</t>
  </si>
  <si>
    <t>124,213.92</t>
  </si>
  <si>
    <t>386</t>
  </si>
  <si>
    <t>TREHS01-DSP</t>
  </si>
  <si>
    <t>데이콜라겐 샴푸 모닝 오브 리조트 360ml</t>
  </si>
  <si>
    <t>트리셀</t>
  </si>
  <si>
    <t>197.20</t>
  </si>
  <si>
    <t>281,364.96</t>
  </si>
  <si>
    <t>208,000.00</t>
  </si>
  <si>
    <t>73,364.96</t>
  </si>
  <si>
    <t>387</t>
  </si>
  <si>
    <t>TREHS01-NSP</t>
  </si>
  <si>
    <t>나이트 콜라겐 샴푸 미드나잇 포레스트 360ml</t>
  </si>
  <si>
    <t>345.10</t>
  </si>
  <si>
    <t>492,388.68</t>
  </si>
  <si>
    <t>364,000.00</t>
  </si>
  <si>
    <t>128,388.68</t>
  </si>
  <si>
    <t>388</t>
  </si>
  <si>
    <t>TREHS01-S</t>
  </si>
  <si>
    <t>리커버리 오일에센스 100ml</t>
  </si>
  <si>
    <t>98.60</t>
  </si>
  <si>
    <t>140,682.48</t>
  </si>
  <si>
    <t>104,000.00</t>
  </si>
  <si>
    <t>36,682.48</t>
  </si>
  <si>
    <t>389</t>
  </si>
  <si>
    <t>2026-06-02</t>
  </si>
  <si>
    <t>1,412.00</t>
  </si>
  <si>
    <t>2,027,632.00</t>
  </si>
  <si>
    <t>1,501,803.55</t>
  </si>
  <si>
    <t>525,828.45</t>
  </si>
  <si>
    <t>IN00441811</t>
  </si>
  <si>
    <t>470.40</t>
  </si>
  <si>
    <t>675,494.40</t>
  </si>
  <si>
    <t>391</t>
  </si>
  <si>
    <t>183.56</t>
  </si>
  <si>
    <t>263,592.16</t>
  </si>
  <si>
    <t>59,846.71</t>
  </si>
  <si>
    <t>22.7</t>
  </si>
  <si>
    <t>392</t>
  </si>
  <si>
    <t>280.14</t>
  </si>
  <si>
    <t>402,281.04</t>
  </si>
  <si>
    <t>281,190.00</t>
  </si>
  <si>
    <t>121,091.04</t>
  </si>
  <si>
    <t>393</t>
  </si>
  <si>
    <t>98.20</t>
  </si>
  <si>
    <t>141,015.20</t>
  </si>
  <si>
    <t>113,460.00</t>
  </si>
  <si>
    <t>27,555.20</t>
  </si>
  <si>
    <t>394</t>
  </si>
  <si>
    <t>920</t>
  </si>
  <si>
    <t>6,670.00</t>
  </si>
  <si>
    <t>9,578,120.00</t>
  </si>
  <si>
    <t>7,176,000.00</t>
  </si>
  <si>
    <t>2,402,120.00</t>
  </si>
  <si>
    <t>226.00</t>
  </si>
  <si>
    <t>324,536.00</t>
  </si>
  <si>
    <t>40,899.64</t>
  </si>
  <si>
    <t>12.6</t>
  </si>
  <si>
    <t>396</t>
  </si>
  <si>
    <t>ALSS11-SN</t>
  </si>
  <si>
    <t>NAD+ 부스터 샷 30ml</t>
  </si>
  <si>
    <t>7.34</t>
  </si>
  <si>
    <t>734.00</t>
  </si>
  <si>
    <t>1,054,024.00</t>
  </si>
  <si>
    <t>800,000.00</t>
  </si>
  <si>
    <t>254,024.00</t>
  </si>
  <si>
    <t>397</t>
  </si>
  <si>
    <t>ALSS11-ST</t>
  </si>
  <si>
    <t>TXA 부스터 샷 30ml</t>
  </si>
  <si>
    <t>398</t>
  </si>
  <si>
    <t>ALSS12-S</t>
  </si>
  <si>
    <t>PDRN 부스터 샷 30ml</t>
  </si>
  <si>
    <t>799.00</t>
  </si>
  <si>
    <t>1,147,364.00</t>
  </si>
  <si>
    <t>347,364.00</t>
  </si>
  <si>
    <t>399</t>
  </si>
  <si>
    <t>ALSS14-S</t>
  </si>
  <si>
    <t>이레이저 샷 글라이콜릭애씨드 부스터 30ml</t>
  </si>
  <si>
    <t>5.40</t>
  </si>
  <si>
    <t>540.00</t>
  </si>
  <si>
    <t>775,440.00</t>
  </si>
  <si>
    <t>600,000.00</t>
  </si>
  <si>
    <t>175,440.00</t>
  </si>
  <si>
    <t>22.6</t>
  </si>
  <si>
    <t>5,304.00</t>
  </si>
  <si>
    <t>7,616,544.00</t>
  </si>
  <si>
    <t>6,120,000.00</t>
  </si>
  <si>
    <t>1,496,544.00</t>
  </si>
  <si>
    <t>19.6</t>
  </si>
  <si>
    <t>401</t>
  </si>
  <si>
    <t>195.00</t>
  </si>
  <si>
    <t>280,020.00</t>
  </si>
  <si>
    <t>225,000.00</t>
  </si>
  <si>
    <t>55,020.00</t>
  </si>
  <si>
    <t>402</t>
  </si>
  <si>
    <t>APLBS03-ME</t>
  </si>
  <si>
    <t>콜라겐 EGF 펩타이드 미스트 에센스 105ml</t>
  </si>
  <si>
    <t>23.40</t>
  </si>
  <si>
    <t>33,602.40</t>
  </si>
  <si>
    <t>27,000.00</t>
  </si>
  <si>
    <t>6,602.40</t>
  </si>
  <si>
    <t>403</t>
  </si>
  <si>
    <t>850.20</t>
  </si>
  <si>
    <t>1,220,887.20</t>
  </si>
  <si>
    <t>981,000.00</t>
  </si>
  <si>
    <t>239,887.20</t>
  </si>
  <si>
    <t>404</t>
  </si>
  <si>
    <t>156.00</t>
  </si>
  <si>
    <t>224,016.00</t>
  </si>
  <si>
    <t>180,000.00</t>
  </si>
  <si>
    <t>44,016.00</t>
  </si>
  <si>
    <t>101.40</t>
  </si>
  <si>
    <t>145,610.40</t>
  </si>
  <si>
    <t>117,000.00</t>
  </si>
  <si>
    <t>28,610.40</t>
  </si>
  <si>
    <t>406</t>
  </si>
  <si>
    <t>3.87</t>
  </si>
  <si>
    <t>170.28</t>
  </si>
  <si>
    <t>244,522.08</t>
  </si>
  <si>
    <t>198,000.00</t>
  </si>
  <si>
    <t>46,522.08</t>
  </si>
  <si>
    <t>407</t>
  </si>
  <si>
    <t>34.83</t>
  </si>
  <si>
    <t>50,015.88</t>
  </si>
  <si>
    <t>9,515.88</t>
  </si>
  <si>
    <t>408</t>
  </si>
  <si>
    <t>560,040.00</t>
  </si>
  <si>
    <t>110,040.00</t>
  </si>
  <si>
    <t>409</t>
  </si>
  <si>
    <t>975.00</t>
  </si>
  <si>
    <t>1,400,100.00</t>
  </si>
  <si>
    <t>1,125,000.00</t>
  </si>
  <si>
    <t>275,100.00</t>
  </si>
  <si>
    <t>117.00</t>
  </si>
  <si>
    <t>168,012.00</t>
  </si>
  <si>
    <t>135,000.00</t>
  </si>
  <si>
    <t>33,012.00</t>
  </si>
  <si>
    <t>411</t>
  </si>
  <si>
    <t>412</t>
  </si>
  <si>
    <t>413</t>
  </si>
  <si>
    <t>468.00</t>
  </si>
  <si>
    <t>672,048.00</t>
  </si>
  <si>
    <t>132,048.00</t>
  </si>
  <si>
    <t>414</t>
  </si>
  <si>
    <t>ATPS03-CM100R</t>
  </si>
  <si>
    <t>[Renew] MLE 크림 100ml</t>
  </si>
  <si>
    <t>9.87</t>
  </si>
  <si>
    <t>108.57</t>
  </si>
  <si>
    <t>155,906.52</t>
  </si>
  <si>
    <t>10,472.73</t>
  </si>
  <si>
    <t>115,200.00</t>
  </si>
  <si>
    <t>40,706.52</t>
  </si>
  <si>
    <t>415</t>
  </si>
  <si>
    <t>200.90</t>
  </si>
  <si>
    <t>288,492.40</t>
  </si>
  <si>
    <t>216,363.63</t>
  </si>
  <si>
    <t>72,128.77</t>
  </si>
  <si>
    <t>416</t>
  </si>
  <si>
    <t>65.00</t>
  </si>
  <si>
    <t>93,340.00</t>
  </si>
  <si>
    <t>69,100.00</t>
  </si>
  <si>
    <t>24,240.00</t>
  </si>
  <si>
    <t>417</t>
  </si>
  <si>
    <t>1,032.30</t>
  </si>
  <si>
    <t>1,482,382.80</t>
  </si>
  <si>
    <t>1,110,000.00</t>
  </si>
  <si>
    <t>372,382.80</t>
  </si>
  <si>
    <t>418</t>
  </si>
  <si>
    <t>35.40</t>
  </si>
  <si>
    <t>50,834.40</t>
  </si>
  <si>
    <t>12,652.58</t>
  </si>
  <si>
    <t>24.9</t>
  </si>
  <si>
    <t>419</t>
  </si>
  <si>
    <t>154.20</t>
  </si>
  <si>
    <t>221,431.20</t>
  </si>
  <si>
    <t>163,636.36</t>
  </si>
  <si>
    <t>57,794.84</t>
  </si>
  <si>
    <t>287.00</t>
  </si>
  <si>
    <t>412,132.00</t>
  </si>
  <si>
    <t>310,227.27</t>
  </si>
  <si>
    <t>101,904.73</t>
  </si>
  <si>
    <t>421</t>
  </si>
  <si>
    <t>279.50</t>
  </si>
  <si>
    <t>401,362.00</t>
  </si>
  <si>
    <t>302,272.72</t>
  </si>
  <si>
    <t>99,089.28</t>
  </si>
  <si>
    <t>422</t>
  </si>
  <si>
    <t>223.60</t>
  </si>
  <si>
    <t>321,089.60</t>
  </si>
  <si>
    <t>241,818.18</t>
  </si>
  <si>
    <t>79,271.42</t>
  </si>
  <si>
    <t>423</t>
  </si>
  <si>
    <t>212.70</t>
  </si>
  <si>
    <t>305,437.20</t>
  </si>
  <si>
    <t>225,818.18</t>
  </si>
  <si>
    <t>79,619.02</t>
  </si>
  <si>
    <t>424</t>
  </si>
  <si>
    <t>4.39</t>
  </si>
  <si>
    <t>206.33</t>
  </si>
  <si>
    <t>296,289.88</t>
  </si>
  <si>
    <t>74,962.61</t>
  </si>
  <si>
    <t>425</t>
  </si>
  <si>
    <t>6.63</t>
  </si>
  <si>
    <t>318.24</t>
  </si>
  <si>
    <t>456,992.64</t>
  </si>
  <si>
    <t>7,127.27</t>
  </si>
  <si>
    <t>342,109.09</t>
  </si>
  <si>
    <t>114,883.55</t>
  </si>
  <si>
    <t>426</t>
  </si>
  <si>
    <t>180.09</t>
  </si>
  <si>
    <t>258,609.24</t>
  </si>
  <si>
    <t>7,127.00</t>
  </si>
  <si>
    <t>192,429.00</t>
  </si>
  <si>
    <t>66,180.24</t>
  </si>
  <si>
    <t>427</t>
  </si>
  <si>
    <t>BentonS17-TP</t>
  </si>
  <si>
    <t>어성초 80 스킨 토너 패드 210g (70매)</t>
  </si>
  <si>
    <t>84.75</t>
  </si>
  <si>
    <t>121,701.00</t>
  </si>
  <si>
    <t>5,957.00</t>
  </si>
  <si>
    <t>89,355.00</t>
  </si>
  <si>
    <t>32,346.00</t>
  </si>
  <si>
    <t>428</t>
  </si>
  <si>
    <t>50.00</t>
  </si>
  <si>
    <t>71,800.00</t>
  </si>
  <si>
    <t>53,454.55</t>
  </si>
  <si>
    <t>18,345.46</t>
  </si>
  <si>
    <t>429</t>
  </si>
  <si>
    <t>404.00</t>
  </si>
  <si>
    <t>580,144.00</t>
  </si>
  <si>
    <t>475,200.00</t>
  </si>
  <si>
    <t>104,944.00</t>
  </si>
  <si>
    <t>18.1</t>
  </si>
  <si>
    <t>430</t>
  </si>
  <si>
    <t>5.42</t>
  </si>
  <si>
    <t>498.64</t>
  </si>
  <si>
    <t>716,047.04</t>
  </si>
  <si>
    <t>174,167.04</t>
  </si>
  <si>
    <t>431</t>
  </si>
  <si>
    <t>90.30</t>
  </si>
  <si>
    <t>129,670.80</t>
  </si>
  <si>
    <t>106,363.64</t>
  </si>
  <si>
    <t>23,307.17</t>
  </si>
  <si>
    <t>18.0</t>
  </si>
  <si>
    <t>432</t>
  </si>
  <si>
    <t>752.50</t>
  </si>
  <si>
    <t>1,080,590.00</t>
  </si>
  <si>
    <t>886,363.63</t>
  </si>
  <si>
    <t>194,226.38</t>
  </si>
  <si>
    <t>433</t>
  </si>
  <si>
    <t>BltP01-SnGm</t>
  </si>
  <si>
    <t>패팅 스플래쉬 마스크 수딩 &amp; 힐링 그린티 150ml</t>
  </si>
  <si>
    <t>블라이드</t>
  </si>
  <si>
    <t>22.21</t>
  </si>
  <si>
    <t>488.62</t>
  </si>
  <si>
    <t>701,658.32</t>
  </si>
  <si>
    <t>178,200.00</t>
  </si>
  <si>
    <t>523,458.32</t>
  </si>
  <si>
    <t>74.6</t>
  </si>
  <si>
    <t>434</t>
  </si>
  <si>
    <t>62.40</t>
  </si>
  <si>
    <t>89,606.40</t>
  </si>
  <si>
    <t>37,242.77</t>
  </si>
  <si>
    <t>435</t>
  </si>
  <si>
    <t>429.00</t>
  </si>
  <si>
    <t>616,044.00</t>
  </si>
  <si>
    <t>359,999.97</t>
  </si>
  <si>
    <t>256,044.03</t>
  </si>
  <si>
    <t>436</t>
  </si>
  <si>
    <t>70.20</t>
  </si>
  <si>
    <t>100,807.20</t>
  </si>
  <si>
    <t>58,909.09</t>
  </si>
  <si>
    <t>41,898.11</t>
  </si>
  <si>
    <t>437</t>
  </si>
  <si>
    <t>27.30</t>
  </si>
  <si>
    <t>39,202.80</t>
  </si>
  <si>
    <t>16,293.71</t>
  </si>
  <si>
    <t>438</t>
  </si>
  <si>
    <t>15.60</t>
  </si>
  <si>
    <t>22,401.60</t>
  </si>
  <si>
    <t>13,090.91</t>
  </si>
  <si>
    <t>9,310.69</t>
  </si>
  <si>
    <t>439</t>
  </si>
  <si>
    <t>93.40</t>
  </si>
  <si>
    <t>134,122.40</t>
  </si>
  <si>
    <t>79,200.00</t>
  </si>
  <si>
    <t>54,922.40</t>
  </si>
  <si>
    <t>40.9</t>
  </si>
  <si>
    <t>350.50</t>
  </si>
  <si>
    <t>503,318.00</t>
  </si>
  <si>
    <t>404,545.45</t>
  </si>
  <si>
    <t>98,772.55</t>
  </si>
  <si>
    <t>441</t>
  </si>
  <si>
    <t>98.80</t>
  </si>
  <si>
    <t>141,876.80</t>
  </si>
  <si>
    <t>35,513.16</t>
  </si>
  <si>
    <t>442</t>
  </si>
  <si>
    <t>G9S01-cream</t>
  </si>
  <si>
    <t>화이트 인생크림 50g</t>
  </si>
  <si>
    <t>4.79</t>
  </si>
  <si>
    <t>119.75</t>
  </si>
  <si>
    <t>171,961.00</t>
  </si>
  <si>
    <t>137,500.00</t>
  </si>
  <si>
    <t>34,461.00</t>
  </si>
  <si>
    <t>443</t>
  </si>
  <si>
    <t>133.12</t>
  </si>
  <si>
    <t>191,160.32</t>
  </si>
  <si>
    <t>142,545.45</t>
  </si>
  <si>
    <t>48,614.87</t>
  </si>
  <si>
    <t>444</t>
  </si>
  <si>
    <t>4.14</t>
  </si>
  <si>
    <t>66.24</t>
  </si>
  <si>
    <t>95,120.64</t>
  </si>
  <si>
    <t>71,272.73</t>
  </si>
  <si>
    <t>23,847.91</t>
  </si>
  <si>
    <t>445</t>
  </si>
  <si>
    <t>HMBM21-BB19R</t>
  </si>
  <si>
    <t>모링가 세라마이드 비비크림 SPF 30 PA++ 19 페어 베이지</t>
  </si>
  <si>
    <t>34.51</t>
  </si>
  <si>
    <t>49,556.36</t>
  </si>
  <si>
    <t>39,900.00</t>
  </si>
  <si>
    <t>9,656.36</t>
  </si>
  <si>
    <t>446</t>
  </si>
  <si>
    <t>295.80</t>
  </si>
  <si>
    <t>424,768.80</t>
  </si>
  <si>
    <t>342,000.00</t>
  </si>
  <si>
    <t>82,768.80</t>
  </si>
  <si>
    <t>447</t>
  </si>
  <si>
    <t>690.20</t>
  </si>
  <si>
    <t>991,127.20</t>
  </si>
  <si>
    <t>798,000.00</t>
  </si>
  <si>
    <t>193,127.20</t>
  </si>
  <si>
    <t>448</t>
  </si>
  <si>
    <t>449</t>
  </si>
  <si>
    <t>3.26</t>
  </si>
  <si>
    <t>740.02</t>
  </si>
  <si>
    <t>1,062,668.72</t>
  </si>
  <si>
    <t>220,705.09</t>
  </si>
  <si>
    <t>20.8</t>
  </si>
  <si>
    <t>590</t>
  </si>
  <si>
    <t>3,575.40</t>
  </si>
  <si>
    <t>5,134,274.40</t>
  </si>
  <si>
    <t>4,054,909.05</t>
  </si>
  <si>
    <t>1,079,365.35</t>
  </si>
  <si>
    <t>451</t>
  </si>
  <si>
    <t>677</t>
  </si>
  <si>
    <t>3.70</t>
  </si>
  <si>
    <t>2,504.90</t>
  </si>
  <si>
    <t>3,597,036.40</t>
  </si>
  <si>
    <t>2,498,745.39</t>
  </si>
  <si>
    <t>1,098,291.01</t>
  </si>
  <si>
    <t>452</t>
  </si>
  <si>
    <t>223.80</t>
  </si>
  <si>
    <t>321,376.80</t>
  </si>
  <si>
    <t>244,363.63</t>
  </si>
  <si>
    <t>77,013.17</t>
  </si>
  <si>
    <t>453</t>
  </si>
  <si>
    <t>5.82</t>
  </si>
  <si>
    <t>2,298.90</t>
  </si>
  <si>
    <t>3,301,220.40</t>
  </si>
  <si>
    <t>654,720.40</t>
  </si>
  <si>
    <t>19.8</t>
  </si>
  <si>
    <t>454</t>
  </si>
  <si>
    <t>82.04</t>
  </si>
  <si>
    <t>117,809.44</t>
  </si>
  <si>
    <t>93,800.00</t>
  </si>
  <si>
    <t>24,009.44</t>
  </si>
  <si>
    <t>20.4</t>
  </si>
  <si>
    <t>455</t>
  </si>
  <si>
    <t>HMMA02-Puff5eaR</t>
  </si>
  <si>
    <t>(단종) 아트리스 루비셀 퍼프 5ea (지퍼형)</t>
  </si>
  <si>
    <t>2.92</t>
  </si>
  <si>
    <t>26.28</t>
  </si>
  <si>
    <t>37,738.08</t>
  </si>
  <si>
    <t>2,909.09</t>
  </si>
  <si>
    <t>11,556.26</t>
  </si>
  <si>
    <t>456</t>
  </si>
  <si>
    <t>959.40</t>
  </si>
  <si>
    <t>1,377,698.40</t>
  </si>
  <si>
    <t>1,047,272.72</t>
  </si>
  <si>
    <t>330,425.68</t>
  </si>
  <si>
    <t>457</t>
  </si>
  <si>
    <t>232,632.00</t>
  </si>
  <si>
    <t>71,912.00</t>
  </si>
  <si>
    <t>458</t>
  </si>
  <si>
    <t>161,119.20</t>
  </si>
  <si>
    <t>123,636.36</t>
  </si>
  <si>
    <t>37,482.84</t>
  </si>
  <si>
    <t>23.3</t>
  </si>
  <si>
    <t>459</t>
  </si>
  <si>
    <t>7.52</t>
  </si>
  <si>
    <t>172.96</t>
  </si>
  <si>
    <t>248,370.56</t>
  </si>
  <si>
    <t>75,249.56</t>
  </si>
  <si>
    <t>76.57</t>
  </si>
  <si>
    <t>109,954.52</t>
  </si>
  <si>
    <t>76,115.00</t>
  </si>
  <si>
    <t>33,839.52</t>
  </si>
  <si>
    <t>30.8</t>
  </si>
  <si>
    <t>461</t>
  </si>
  <si>
    <t>5.85</t>
  </si>
  <si>
    <t>228.15</t>
  </si>
  <si>
    <t>327,623.40</t>
  </si>
  <si>
    <t>99,278.40</t>
  </si>
  <si>
    <t>462</t>
  </si>
  <si>
    <t>IDCS01-I</t>
  </si>
  <si>
    <t>글로우-키 15ml</t>
  </si>
  <si>
    <t>아이듀케어</t>
  </si>
  <si>
    <t>8.02</t>
  </si>
  <si>
    <t>160.40</t>
  </si>
  <si>
    <t>230,334.40</t>
  </si>
  <si>
    <t>10,010.91</t>
  </si>
  <si>
    <t>200,218.18</t>
  </si>
  <si>
    <t>30,116.22</t>
  </si>
  <si>
    <t>13.1</t>
  </si>
  <si>
    <t>463</t>
  </si>
  <si>
    <t>207.50</t>
  </si>
  <si>
    <t>297,970.00</t>
  </si>
  <si>
    <t>218,181.82</t>
  </si>
  <si>
    <t>79,788.19</t>
  </si>
  <si>
    <t>464</t>
  </si>
  <si>
    <t>529.20</t>
  </si>
  <si>
    <t>759,931.20</t>
  </si>
  <si>
    <t>581,400.00</t>
  </si>
  <si>
    <t>178,531.20</t>
  </si>
  <si>
    <t>465</t>
  </si>
  <si>
    <t>130.68</t>
  </si>
  <si>
    <t>187,656.48</t>
  </si>
  <si>
    <t>143,640.00</t>
  </si>
  <si>
    <t>44,016.48</t>
  </si>
  <si>
    <t>466</t>
  </si>
  <si>
    <t>124,370.00</t>
  </si>
  <si>
    <t>9,752.40</t>
  </si>
  <si>
    <t>7.3</t>
  </si>
  <si>
    <t>467</t>
  </si>
  <si>
    <t>295.50</t>
  </si>
  <si>
    <t>424,338.00</t>
  </si>
  <si>
    <t>310,909.09</t>
  </si>
  <si>
    <t>113,428.91</t>
  </si>
  <si>
    <t>26.7</t>
  </si>
  <si>
    <t>468</t>
  </si>
  <si>
    <t>8.25</t>
  </si>
  <si>
    <t>231.00</t>
  </si>
  <si>
    <t>331,716.00</t>
  </si>
  <si>
    <t>76,356.00</t>
  </si>
  <si>
    <t>469</t>
  </si>
  <si>
    <t>9.28</t>
  </si>
  <si>
    <t>204.16</t>
  </si>
  <si>
    <t>293,173.76</t>
  </si>
  <si>
    <t>67,453.76</t>
  </si>
  <si>
    <t>87.12</t>
  </si>
  <si>
    <t>125,104.32</t>
  </si>
  <si>
    <t>95,760.00</t>
  </si>
  <si>
    <t>29,344.32</t>
  </si>
  <si>
    <t>471</t>
  </si>
  <si>
    <t>7.21</t>
  </si>
  <si>
    <t>360.50</t>
  </si>
  <si>
    <t>517,678.00</t>
  </si>
  <si>
    <t>118,678.00</t>
  </si>
  <si>
    <t>22.9</t>
  </si>
  <si>
    <t>472</t>
  </si>
  <si>
    <t>145.20</t>
  </si>
  <si>
    <t>208,507.20</t>
  </si>
  <si>
    <t>40,000.00</t>
  </si>
  <si>
    <t>168,507.20</t>
  </si>
  <si>
    <t>80.8</t>
  </si>
  <si>
    <t>473</t>
  </si>
  <si>
    <t>50.28</t>
  </si>
  <si>
    <t>72,202.08</t>
  </si>
  <si>
    <t>24,856.63</t>
  </si>
  <si>
    <t>474</t>
  </si>
  <si>
    <t>98.40</t>
  </si>
  <si>
    <t>141,302.40</t>
  </si>
  <si>
    <t>103,472.73</t>
  </si>
  <si>
    <t>37,829.67</t>
  </si>
  <si>
    <t>475</t>
  </si>
  <si>
    <t>476</t>
  </si>
  <si>
    <t>353.50</t>
  </si>
  <si>
    <t>507,626.00</t>
  </si>
  <si>
    <t>406,000.00</t>
  </si>
  <si>
    <t>101,626.00</t>
  </si>
  <si>
    <t>477</t>
  </si>
  <si>
    <t>833.60</t>
  </si>
  <si>
    <t>1,197,049.60</t>
  </si>
  <si>
    <t>960,000.00</t>
  </si>
  <si>
    <t>237,049.60</t>
  </si>
  <si>
    <t>478</t>
  </si>
  <si>
    <t>5.79</t>
  </si>
  <si>
    <t>150.54</t>
  </si>
  <si>
    <t>216,175.44</t>
  </si>
  <si>
    <t>52,375.44</t>
  </si>
  <si>
    <t>479</t>
  </si>
  <si>
    <t>77.70</t>
  </si>
  <si>
    <t>111,577.20</t>
  </si>
  <si>
    <t>23,377.20</t>
  </si>
  <si>
    <t>762</t>
  </si>
  <si>
    <t>4.49</t>
  </si>
  <si>
    <t>3,421.38</t>
  </si>
  <si>
    <t>4,913,101.68</t>
  </si>
  <si>
    <t>4,087,090.86</t>
  </si>
  <si>
    <t>826,010.82</t>
  </si>
  <si>
    <t>481</t>
  </si>
  <si>
    <t>PTFP01-PremiumM</t>
  </si>
  <si>
    <t>*모크라*골드 하이드로겔 아이패치60매</t>
  </si>
  <si>
    <t>853.10</t>
  </si>
  <si>
    <t>1,225,051.60</t>
  </si>
  <si>
    <t>5,364.00</t>
  </si>
  <si>
    <t>1,019,160.00</t>
  </si>
  <si>
    <t>205,891.60</t>
  </si>
  <si>
    <t>482</t>
  </si>
  <si>
    <t>PTFP01-PTQ10M</t>
  </si>
  <si>
    <t>*모크라* 콜라겐 CoQ10 하이드로겔 아이패치(60매)</t>
  </si>
  <si>
    <t>179.60</t>
  </si>
  <si>
    <t>257,905.60</t>
  </si>
  <si>
    <t>5,181.82</t>
  </si>
  <si>
    <t>207,272.72</t>
  </si>
  <si>
    <t>50,632.88</t>
  </si>
  <si>
    <t>483</t>
  </si>
  <si>
    <t>PTFP03-FPM</t>
  </si>
  <si>
    <t>*모크라*드라이 에센스 발 팩 2sheets</t>
  </si>
  <si>
    <t>0.69</t>
  </si>
  <si>
    <t>41.40</t>
  </si>
  <si>
    <t>59,450.40</t>
  </si>
  <si>
    <t>800.00</t>
  </si>
  <si>
    <t>48,000.00</t>
  </si>
  <si>
    <t>11,450.40</t>
  </si>
  <si>
    <t>484</t>
  </si>
  <si>
    <t>PTFP12-IM</t>
  </si>
  <si>
    <t>*모크라*[60매입]아가베 쿨링 하이드로겔 아이 마스크</t>
  </si>
  <si>
    <t>620.10</t>
  </si>
  <si>
    <t>890,463.60</t>
  </si>
  <si>
    <t>5,636.00</t>
  </si>
  <si>
    <t>732,680.00</t>
  </si>
  <si>
    <t>157,783.60</t>
  </si>
  <si>
    <t>17.7</t>
  </si>
  <si>
    <t>485</t>
  </si>
  <si>
    <t>PTFP26-EM</t>
  </si>
  <si>
    <t>*모크라*카카오 에너자이징 하이드로겔 아이 마스크 84g (60매)</t>
  </si>
  <si>
    <t>143.10</t>
  </si>
  <si>
    <t>205,491.60</t>
  </si>
  <si>
    <t>5,636.36</t>
  </si>
  <si>
    <t>169,090.91</t>
  </si>
  <si>
    <t>36,400.69</t>
  </si>
  <si>
    <t>486</t>
  </si>
  <si>
    <t>PTFS13-ICM</t>
  </si>
  <si>
    <t>*모크라* 카모마일 라이트닝 하이드로겔 아이 마스크 (60매)</t>
  </si>
  <si>
    <t>333.90</t>
  </si>
  <si>
    <t>479,480.40</t>
  </si>
  <si>
    <t>394,545.45</t>
  </si>
  <si>
    <t>84,934.95</t>
  </si>
  <si>
    <t>487</t>
  </si>
  <si>
    <t>PTFS18-Ibm</t>
  </si>
  <si>
    <t>*모크라*[60매입]베타-글루칸 딥 퍼밍 아이 마스크</t>
  </si>
  <si>
    <t>785.40</t>
  </si>
  <si>
    <t>1,127,834.40</t>
  </si>
  <si>
    <t>6,182.00</t>
  </si>
  <si>
    <t>865,480.00</t>
  </si>
  <si>
    <t>262,354.40</t>
  </si>
  <si>
    <t>488</t>
  </si>
  <si>
    <t>RBP03-EMR10R</t>
  </si>
  <si>
    <t>[Renew][10매입] 익스트림 크림 마스크 27ml</t>
  </si>
  <si>
    <t>8.77</t>
  </si>
  <si>
    <t>105.24</t>
  </si>
  <si>
    <t>151,124.64</t>
  </si>
  <si>
    <t>117,818.18</t>
  </si>
  <si>
    <t>33,306.46</t>
  </si>
  <si>
    <t>22.0</t>
  </si>
  <si>
    <t>489</t>
  </si>
  <si>
    <t>114.01</t>
  </si>
  <si>
    <t>163,718.36</t>
  </si>
  <si>
    <t>36,082.00</t>
  </si>
  <si>
    <t>490</t>
  </si>
  <si>
    <t>1,454.70</t>
  </si>
  <si>
    <t>2,088,949.20</t>
  </si>
  <si>
    <t>1,616,727.27</t>
  </si>
  <si>
    <t>472,221.93</t>
  </si>
  <si>
    <t>491</t>
  </si>
  <si>
    <t>100.10</t>
  </si>
  <si>
    <t>143,743.60</t>
  </si>
  <si>
    <t>111,272.73</t>
  </si>
  <si>
    <t>32,470.87</t>
  </si>
  <si>
    <t>492</t>
  </si>
  <si>
    <t>484.40</t>
  </si>
  <si>
    <t>695,598.40</t>
  </si>
  <si>
    <t>350,000.00</t>
  </si>
  <si>
    <t>345,598.40</t>
  </si>
  <si>
    <t>49.7</t>
  </si>
  <si>
    <t>493</t>
  </si>
  <si>
    <t>332.40</t>
  </si>
  <si>
    <t>477,326.40</t>
  </si>
  <si>
    <t>247,272.72</t>
  </si>
  <si>
    <t>230,053.68</t>
  </si>
  <si>
    <t>48.2</t>
  </si>
  <si>
    <t>494</t>
  </si>
  <si>
    <t>454,545.45</t>
  </si>
  <si>
    <t>415,670.55</t>
  </si>
  <si>
    <t>47.8</t>
  </si>
  <si>
    <t>495</t>
  </si>
  <si>
    <t>321.50</t>
  </si>
  <si>
    <t>461,674.00</t>
  </si>
  <si>
    <t>391,500.00</t>
  </si>
  <si>
    <t>70,174.00</t>
  </si>
  <si>
    <t>15.2</t>
  </si>
  <si>
    <t>496</t>
  </si>
  <si>
    <t>2026-05-29</t>
  </si>
  <si>
    <t>9,030.00</t>
  </si>
  <si>
    <t>13,305,705.00</t>
  </si>
  <si>
    <t>9,842,000.00</t>
  </si>
  <si>
    <t>3,463,705.00</t>
  </si>
  <si>
    <t>IN00443085</t>
  </si>
  <si>
    <t>497</t>
  </si>
  <si>
    <t>2,850.00</t>
  </si>
  <si>
    <t>4,199,475.00</t>
  </si>
  <si>
    <t>1,091,475.00</t>
  </si>
  <si>
    <t>498</t>
  </si>
  <si>
    <t>5,663.00</t>
  </si>
  <si>
    <t>8,344,430.50</t>
  </si>
  <si>
    <t>6,216,000.00</t>
  </si>
  <si>
    <t>2,128,430.50</t>
  </si>
  <si>
    <t>499</t>
  </si>
  <si>
    <t>1,884.00</t>
  </si>
  <si>
    <t>2,776,074.00</t>
  </si>
  <si>
    <t>2,053,500.00</t>
  </si>
  <si>
    <t>722,574.00</t>
  </si>
  <si>
    <t>595.00</t>
  </si>
  <si>
    <t>876,732.50</t>
  </si>
  <si>
    <t>647,500.00</t>
  </si>
  <si>
    <t>229,232.50</t>
  </si>
  <si>
    <t>501</t>
  </si>
  <si>
    <t>1,017.00</t>
  </si>
  <si>
    <t>1,498,549.50</t>
  </si>
  <si>
    <t>388,549.50</t>
  </si>
  <si>
    <t>502</t>
  </si>
  <si>
    <t>3,900.00</t>
  </si>
  <si>
    <t>5,746,650.00</t>
  </si>
  <si>
    <t>4,255,000.00</t>
  </si>
  <si>
    <t>1,491,650.00</t>
  </si>
  <si>
    <t>503</t>
  </si>
  <si>
    <t>1,560.00</t>
  </si>
  <si>
    <t>2,298,660.00</t>
  </si>
  <si>
    <t>1,702,000.00</t>
  </si>
  <si>
    <t>596,660.00</t>
  </si>
  <si>
    <t>504</t>
  </si>
  <si>
    <t>yeong</t>
  </si>
  <si>
    <t>cosS34-LPEU</t>
  </si>
  <si>
    <t>리프레쉬 아하 바하 비타민 씨 립 플럼퍼 20g (EU 패키지)</t>
  </si>
  <si>
    <t>7.64</t>
  </si>
  <si>
    <t>2,842.08</t>
  </si>
  <si>
    <t>4,094,016.24</t>
  </si>
  <si>
    <t>8,140.00</t>
  </si>
  <si>
    <t>3,028,080.00</t>
  </si>
  <si>
    <t>1,065,936.24</t>
  </si>
  <si>
    <t>IN00436517</t>
  </si>
  <si>
    <t>505</t>
  </si>
  <si>
    <t>cosS45-AAEU</t>
  </si>
  <si>
    <t>하이드리움 센텔라 아쿠아 수딩 앰플 40ml (EU 패키지)</t>
  </si>
  <si>
    <t>8.33</t>
  </si>
  <si>
    <t>949.62</t>
  </si>
  <si>
    <t>1,367,927.61</t>
  </si>
  <si>
    <t>1,012,320.00</t>
  </si>
  <si>
    <t>355,607.61</t>
  </si>
  <si>
    <t>506</t>
  </si>
  <si>
    <t>2026-05-21</t>
  </si>
  <si>
    <t>JSMC01-OCR</t>
  </si>
  <si>
    <t>[코스맥스/리뉴얼]인삼클렌징오일 210ml</t>
  </si>
  <si>
    <t>3,920</t>
  </si>
  <si>
    <t>6.96</t>
  </si>
  <si>
    <t>27,283.20</t>
  </si>
  <si>
    <t>39,178,675.20</t>
  </si>
  <si>
    <t>32,928,000.00</t>
  </si>
  <si>
    <t>6,250,675.20</t>
  </si>
  <si>
    <t>IN00438518</t>
  </si>
  <si>
    <t>507</t>
  </si>
  <si>
    <t>JSMC02-FG</t>
  </si>
  <si>
    <t>산뜻청매실클렌저 100ml</t>
  </si>
  <si>
    <t>7,170</t>
  </si>
  <si>
    <t>4.53</t>
  </si>
  <si>
    <t>32,480.10</t>
  </si>
  <si>
    <t>46,641,423.60</t>
  </si>
  <si>
    <t>39,148,200.00</t>
  </si>
  <si>
    <t>7,493,223.60</t>
  </si>
  <si>
    <t>16.1</t>
  </si>
  <si>
    <t>508</t>
  </si>
  <si>
    <t>JSMC02-OCRR</t>
  </si>
  <si>
    <t>[renew]미감 클렌징 밤 100ml</t>
  </si>
  <si>
    <t>2,790</t>
  </si>
  <si>
    <t>6.62</t>
  </si>
  <si>
    <t>18,469.80</t>
  </si>
  <si>
    <t>26,522,632.80</t>
  </si>
  <si>
    <t>22,264,200.00</t>
  </si>
  <si>
    <t>4,258,432.80</t>
  </si>
  <si>
    <t>509</t>
  </si>
  <si>
    <t>698</t>
  </si>
  <si>
    <t>4,858.08</t>
  </si>
  <si>
    <t>6,976,202.88</t>
  </si>
  <si>
    <t>385.10</t>
  </si>
  <si>
    <t>268,800.00</t>
  </si>
  <si>
    <t>6,707,402.88</t>
  </si>
  <si>
    <t>96.1</t>
  </si>
  <si>
    <t>510</t>
  </si>
  <si>
    <t>JSMP10-PK</t>
  </si>
  <si>
    <t>맑은쌀꿀채운마스크 150ml</t>
  </si>
  <si>
    <t>3,400</t>
  </si>
  <si>
    <t>21,318.00</t>
  </si>
  <si>
    <t>30,612,648.00</t>
  </si>
  <si>
    <t>25,704,000.00</t>
  </si>
  <si>
    <t>4,908,648.00</t>
  </si>
  <si>
    <t>511</t>
  </si>
  <si>
    <t>JSMS01-CR100</t>
  </si>
  <si>
    <t>[대용량, 튜브형]조선미녀 크림 100ml</t>
  </si>
  <si>
    <t>7,260</t>
  </si>
  <si>
    <t>11.84</t>
  </si>
  <si>
    <t>85,958.40</t>
  </si>
  <si>
    <t>123,436,262.40</t>
  </si>
  <si>
    <t>14,280.00</t>
  </si>
  <si>
    <t>103,672,800.00</t>
  </si>
  <si>
    <t>19,763,462.40</t>
  </si>
  <si>
    <t>512</t>
  </si>
  <si>
    <t>JSMS01-I</t>
  </si>
  <si>
    <t>인삼아이크림 30ml</t>
  </si>
  <si>
    <t>17,120</t>
  </si>
  <si>
    <t>5.92</t>
  </si>
  <si>
    <t>101,350.40</t>
  </si>
  <si>
    <t>145,539,174.40</t>
  </si>
  <si>
    <t>122,236,800.00</t>
  </si>
  <si>
    <t>23,302,374.40</t>
  </si>
  <si>
    <t>513</t>
  </si>
  <si>
    <t>JSMS01-SCR</t>
  </si>
  <si>
    <t>(리뉴얼예정) 산들녹차세럼 30ml</t>
  </si>
  <si>
    <t>2,170</t>
  </si>
  <si>
    <t>12,846.40</t>
  </si>
  <si>
    <t>18,447,430.40</t>
  </si>
  <si>
    <t>15,493,800.00</t>
  </si>
  <si>
    <t>2,953,630.40</t>
  </si>
  <si>
    <t>514</t>
  </si>
  <si>
    <t>JSMS01-SriR</t>
  </si>
  <si>
    <t>[리뉴얼] 쌀겨수맑은세럼 30ml</t>
  </si>
  <si>
    <t>21,608.00</t>
  </si>
  <si>
    <t>31,029,088.00</t>
  </si>
  <si>
    <t>4,244.88</t>
  </si>
  <si>
    <t>15,535,288.00</t>
  </si>
  <si>
    <t>50.1</t>
  </si>
  <si>
    <t>515</t>
  </si>
  <si>
    <t>8,694.40</t>
  </si>
  <si>
    <t>12,485,158.40</t>
  </si>
  <si>
    <t>10,483,200.00</t>
  </si>
  <si>
    <t>2,001,958.40</t>
  </si>
  <si>
    <t>516</t>
  </si>
  <si>
    <t>JSMS01-TG</t>
  </si>
  <si>
    <t>인삼 에센스 워터 150ml</t>
  </si>
  <si>
    <t>3,250</t>
  </si>
  <si>
    <t>20,377.50</t>
  </si>
  <si>
    <t>29,262,090.00</t>
  </si>
  <si>
    <t>24,570,000.00</t>
  </si>
  <si>
    <t>4,692,090.00</t>
  </si>
  <si>
    <t>517</t>
  </si>
  <si>
    <t>JSMS05-GEL</t>
  </si>
  <si>
    <t>붉은 팥 수분 워터 젤 100ml</t>
  </si>
  <si>
    <t>2,050</t>
  </si>
  <si>
    <t>12,853.50</t>
  </si>
  <si>
    <t>18,457,626.00</t>
  </si>
  <si>
    <t>15,498,000.00</t>
  </si>
  <si>
    <t>2,959,626.00</t>
  </si>
  <si>
    <t>518</t>
  </si>
  <si>
    <t>JSMS08-S</t>
  </si>
  <si>
    <t>병풀 비타 세럼 30ml</t>
  </si>
  <si>
    <t>8,051.20</t>
  </si>
  <si>
    <t>11,561,523.20</t>
  </si>
  <si>
    <t>9,710,400.00</t>
  </si>
  <si>
    <t>1,851,123.20</t>
  </si>
  <si>
    <t>519</t>
  </si>
  <si>
    <t>2,070</t>
  </si>
  <si>
    <t>12,978.90</t>
  </si>
  <si>
    <t>18,637,700.40</t>
  </si>
  <si>
    <t>15,649,200.00</t>
  </si>
  <si>
    <t>2,988,500.40</t>
  </si>
  <si>
    <t>520</t>
  </si>
  <si>
    <t>2026-05-15</t>
  </si>
  <si>
    <t>7,495,920.00</t>
  </si>
  <si>
    <t>6,300,000.00</t>
  </si>
  <si>
    <t>1,195,920.00</t>
  </si>
  <si>
    <t>IN00438517</t>
  </si>
  <si>
    <t>521</t>
  </si>
  <si>
    <t>2,830</t>
  </si>
  <si>
    <t>12,819.90</t>
  </si>
  <si>
    <t>18,409,376.40</t>
  </si>
  <si>
    <t>15,451,800.00</t>
  </si>
  <si>
    <t>2,957,576.40</t>
  </si>
  <si>
    <t>522</t>
  </si>
  <si>
    <t>2,515.60</t>
  </si>
  <si>
    <t>3,612,401.60</t>
  </si>
  <si>
    <t>3,032,400.00</t>
  </si>
  <si>
    <t>580,001.60</t>
  </si>
  <si>
    <t>523</t>
  </si>
  <si>
    <t>2,633.40</t>
  </si>
  <si>
    <t>3,781,562.40</t>
  </si>
  <si>
    <t>3,175,200.00</t>
  </si>
  <si>
    <t>606,362.40</t>
  </si>
  <si>
    <t>524</t>
  </si>
  <si>
    <t>2,130</t>
  </si>
  <si>
    <t>25,219.20</t>
  </si>
  <si>
    <t>36,214,771.20</t>
  </si>
  <si>
    <t>30,416,400.00</t>
  </si>
  <si>
    <t>5,798,371.20</t>
  </si>
  <si>
    <t>525</t>
  </si>
  <si>
    <t>4,170</t>
  </si>
  <si>
    <t>24,686.40</t>
  </si>
  <si>
    <t>35,449,670.40</t>
  </si>
  <si>
    <t>29,773,800.00</t>
  </si>
  <si>
    <t>5,675,870.40</t>
  </si>
  <si>
    <t>526</t>
  </si>
  <si>
    <t>3,552.00</t>
  </si>
  <si>
    <t>5,100,672.00</t>
  </si>
  <si>
    <t>4,284,000.00</t>
  </si>
  <si>
    <t>816,672.00</t>
  </si>
  <si>
    <t>527</t>
  </si>
  <si>
    <t>1,500</t>
  </si>
  <si>
    <t>12,751,680.00</t>
  </si>
  <si>
    <t>10,710,000.00</t>
  </si>
  <si>
    <t>2,041,680.00</t>
  </si>
  <si>
    <t>528</t>
  </si>
  <si>
    <t>810</t>
  </si>
  <si>
    <t>5,078.70</t>
  </si>
  <si>
    <t>7,293,013.20</t>
  </si>
  <si>
    <t>6,123,600.00</t>
  </si>
  <si>
    <t>1,169,413.20</t>
  </si>
  <si>
    <t>529</t>
  </si>
  <si>
    <t>5,517.60</t>
  </si>
  <si>
    <t>7,923,273.60</t>
  </si>
  <si>
    <t>6,652,800.00</t>
  </si>
  <si>
    <t>1,270,473.60</t>
  </si>
  <si>
    <t>296.00</t>
  </si>
  <si>
    <t>425,056.00</t>
  </si>
  <si>
    <t>357,000.00</t>
  </si>
  <si>
    <t>68,056.00</t>
  </si>
  <si>
    <t>531</t>
  </si>
  <si>
    <t>1,050</t>
  </si>
  <si>
    <t>6,583.50</t>
  </si>
  <si>
    <t>9,453,906.00</t>
  </si>
  <si>
    <t>7,938,000.00</t>
  </si>
  <si>
    <t>1,515,906.00</t>
  </si>
  <si>
    <t>532</t>
  </si>
  <si>
    <t>6.20</t>
  </si>
  <si>
    <t>372.00</t>
  </si>
  <si>
    <t>530,769.60</t>
  </si>
  <si>
    <t>65,169.60</t>
  </si>
  <si>
    <t>12.3</t>
  </si>
  <si>
    <t>IN00438059</t>
  </si>
  <si>
    <t>533</t>
  </si>
  <si>
    <t>865.20</t>
  </si>
  <si>
    <t>1,234,467.36</t>
  </si>
  <si>
    <t>148,067.36</t>
  </si>
  <si>
    <t>534</t>
  </si>
  <si>
    <t>7.88</t>
  </si>
  <si>
    <t>866.80</t>
  </si>
  <si>
    <t>1,236,750.24</t>
  </si>
  <si>
    <t>9,517.27</t>
  </si>
  <si>
    <t>1,046,900.00</t>
  </si>
  <si>
    <t>189,850.24</t>
  </si>
  <si>
    <t>15.4</t>
  </si>
  <si>
    <t>535</t>
  </si>
  <si>
    <t>216.30</t>
  </si>
  <si>
    <t>308,616.84</t>
  </si>
  <si>
    <t>271,600.00</t>
  </si>
  <si>
    <t>37,016.84</t>
  </si>
  <si>
    <t>536</t>
  </si>
  <si>
    <t>61.80</t>
  </si>
  <si>
    <t>88,176.24</t>
  </si>
  <si>
    <t>77,600.00</t>
  </si>
  <si>
    <t>10,576.24</t>
  </si>
  <si>
    <t>537</t>
  </si>
  <si>
    <t>ANP10-MPH</t>
  </si>
  <si>
    <t>[1매입] PDRN 히알루론산 캡슐 100 세럼 마스크</t>
  </si>
  <si>
    <t>1.54</t>
  </si>
  <si>
    <t>261.80</t>
  </si>
  <si>
    <t>373,536.24</t>
  </si>
  <si>
    <t>329,800.00</t>
  </si>
  <si>
    <t>43,736.24</t>
  </si>
  <si>
    <t>11.7</t>
  </si>
  <si>
    <t>538</t>
  </si>
  <si>
    <t>ANS01-AR</t>
  </si>
  <si>
    <t>[리뉴얼] 어성초 80 앰플 30ml</t>
  </si>
  <si>
    <t>11.10</t>
  </si>
  <si>
    <t>777.00</t>
  </si>
  <si>
    <t>1,108,623.60</t>
  </si>
  <si>
    <t>969,500.00</t>
  </si>
  <si>
    <t>139,123.60</t>
  </si>
  <si>
    <t>539</t>
  </si>
  <si>
    <t>ANS01-CIR</t>
  </si>
  <si>
    <t>[리뉴얼] 어성초 70 인텐스 카밍크림 50ml</t>
  </si>
  <si>
    <t>11.04</t>
  </si>
  <si>
    <t>110.40</t>
  </si>
  <si>
    <t>157,518.72</t>
  </si>
  <si>
    <t>138,500.00</t>
  </si>
  <si>
    <t>19,018.72</t>
  </si>
  <si>
    <t>9.29</t>
  </si>
  <si>
    <t>836.10</t>
  </si>
  <si>
    <t>1,192,947.48</t>
  </si>
  <si>
    <t>1,046,700.00</t>
  </si>
  <si>
    <t>146,247.48</t>
  </si>
  <si>
    <t>9.76</t>
  </si>
  <si>
    <t>976.00</t>
  </si>
  <si>
    <t>1,392,556.80</t>
  </si>
  <si>
    <t>1,219,000.00</t>
  </si>
  <si>
    <t>173,556.80</t>
  </si>
  <si>
    <t>542</t>
  </si>
  <si>
    <t>3,532.00</t>
  </si>
  <si>
    <t>5,039,457.60</t>
  </si>
  <si>
    <t>4,432,000.00</t>
  </si>
  <si>
    <t>607,457.60</t>
  </si>
  <si>
    <t>543</t>
  </si>
  <si>
    <t>ANS10-CPH</t>
  </si>
  <si>
    <t>PDRN 히알루론산 100 수분 크림 60ml</t>
  </si>
  <si>
    <t>10.54</t>
  </si>
  <si>
    <t>1,422.90</t>
  </si>
  <si>
    <t>2,030,193.72</t>
  </si>
  <si>
    <t>13,300.00</t>
  </si>
  <si>
    <t>1,795,500.00</t>
  </si>
  <si>
    <t>234,693.72</t>
  </si>
  <si>
    <t>544</t>
  </si>
  <si>
    <t>806.00</t>
  </si>
  <si>
    <t>1,150,000.80</t>
  </si>
  <si>
    <t>1,008,800.00</t>
  </si>
  <si>
    <t>141,200.80</t>
  </si>
  <si>
    <t>545</t>
  </si>
  <si>
    <t>3,140</t>
  </si>
  <si>
    <t>9.64</t>
  </si>
  <si>
    <t>30,269.60</t>
  </si>
  <si>
    <t>43,188,665.28</t>
  </si>
  <si>
    <t>38,276,600.00</t>
  </si>
  <si>
    <t>4,912,065.28</t>
  </si>
  <si>
    <t>546</t>
  </si>
  <si>
    <t>12.30</t>
  </si>
  <si>
    <t>3,075.00</t>
  </si>
  <si>
    <t>4,387,410.00</t>
  </si>
  <si>
    <t>3,877,500.00</t>
  </si>
  <si>
    <t>509,910.00</t>
  </si>
  <si>
    <t>547</t>
  </si>
  <si>
    <t>9.25</t>
  </si>
  <si>
    <t>1,572.50</t>
  </si>
  <si>
    <t>2,243,643.00</t>
  </si>
  <si>
    <t>1,977,100.00</t>
  </si>
  <si>
    <t>266,543.00</t>
  </si>
  <si>
    <t>548</t>
  </si>
  <si>
    <t>1,999.20</t>
  </si>
  <si>
    <t>2,852,458.56</t>
  </si>
  <si>
    <t>2,527,200.00</t>
  </si>
  <si>
    <t>325,258.56</t>
  </si>
  <si>
    <t>549</t>
  </si>
  <si>
    <t>2,720</t>
  </si>
  <si>
    <t>25,268.80</t>
  </si>
  <si>
    <t>36,053,523.84</t>
  </si>
  <si>
    <t>31,633,600.00</t>
  </si>
  <si>
    <t>4,419,923.84</t>
  </si>
  <si>
    <t>550</t>
  </si>
  <si>
    <t>BM02-PPFP</t>
  </si>
  <si>
    <t>프라임 프라이머 피니쉬 파우더 12g (2024)</t>
  </si>
  <si>
    <t>바닐라코</t>
  </si>
  <si>
    <t>10.39</t>
  </si>
  <si>
    <t>415.60</t>
  </si>
  <si>
    <t>592,978.08</t>
  </si>
  <si>
    <t>308,000.00</t>
  </si>
  <si>
    <t>284,978.08</t>
  </si>
  <si>
    <t>48.1</t>
  </si>
  <si>
    <t>551</t>
  </si>
  <si>
    <t>ISNS18-NBSR</t>
  </si>
  <si>
    <t>어니언 뉴페어 부스터 2000s 50ml</t>
  </si>
  <si>
    <t>이즈앤트리</t>
  </si>
  <si>
    <t>8.75</t>
  </si>
  <si>
    <t>262.50</t>
  </si>
  <si>
    <t>374,535.00</t>
  </si>
  <si>
    <t>319,200.00</t>
  </si>
  <si>
    <t>55,335.00</t>
  </si>
  <si>
    <t>14.8</t>
  </si>
  <si>
    <t>552</t>
  </si>
  <si>
    <t>ISNS25-C</t>
  </si>
  <si>
    <t>플럼 펩타이드 부스터 2000s 50ml</t>
  </si>
  <si>
    <t>553</t>
  </si>
  <si>
    <t>ISNS26-A</t>
  </si>
  <si>
    <t>김 피디알엔 하이드로 바운시 앰플 50ml</t>
  </si>
  <si>
    <t>454.20</t>
  </si>
  <si>
    <t>648,052.56</t>
  </si>
  <si>
    <t>547,200.00</t>
  </si>
  <si>
    <t>100,852.56</t>
  </si>
  <si>
    <t>15.6</t>
  </si>
  <si>
    <t>554</t>
  </si>
  <si>
    <t>ISNS26-CPHF</t>
  </si>
  <si>
    <t>김 피디알엔 하이드로 퍼밍 크림_50ml</t>
  </si>
  <si>
    <t>10.09</t>
  </si>
  <si>
    <t>171.53</t>
  </si>
  <si>
    <t>244,739.00</t>
  </si>
  <si>
    <t>10,014.12</t>
  </si>
  <si>
    <t>170,240.00</t>
  </si>
  <si>
    <t>74,499.00</t>
  </si>
  <si>
    <t>30.4</t>
  </si>
  <si>
    <t>555</t>
  </si>
  <si>
    <t>LP49-LMb</t>
  </si>
  <si>
    <t>립 슬리핑 마스크 EX [베리]</t>
  </si>
  <si>
    <t>라네즈</t>
  </si>
  <si>
    <t>1,020</t>
  </si>
  <si>
    <t>7.15</t>
  </si>
  <si>
    <t>7,293.00</t>
  </si>
  <si>
    <t>10,405,652.40</t>
  </si>
  <si>
    <t>9,181.82</t>
  </si>
  <si>
    <t>9,365,454.46</t>
  </si>
  <si>
    <t>1,040,197.94</t>
  </si>
  <si>
    <t>10.0</t>
  </si>
  <si>
    <t>556</t>
  </si>
  <si>
    <t>MECUBS17-BOEUP</t>
  </si>
  <si>
    <t>[EUP] 하이포클로로스애씨드 바디 필 샷 280ml</t>
  </si>
  <si>
    <t>7.75</t>
  </si>
  <si>
    <t>155.00</t>
  </si>
  <si>
    <t>221,154.00</t>
  </si>
  <si>
    <t>41,154.00</t>
  </si>
  <si>
    <t>557</t>
  </si>
  <si>
    <t>442.40</t>
  </si>
  <si>
    <t>631,216.32</t>
  </si>
  <si>
    <t>490,000.00</t>
  </si>
  <si>
    <t>141,216.32</t>
  </si>
  <si>
    <t>22.4</t>
  </si>
  <si>
    <t>558</t>
  </si>
  <si>
    <t>MECUC08-FC</t>
  </si>
  <si>
    <t>제로 모공 클리어링 캡슐 클렌징 폼 120g</t>
  </si>
  <si>
    <t>6.39</t>
  </si>
  <si>
    <t>191.70</t>
  </si>
  <si>
    <t>273,517.56</t>
  </si>
  <si>
    <t>210,000.00</t>
  </si>
  <si>
    <t>63,517.56</t>
  </si>
  <si>
    <t>559</t>
  </si>
  <si>
    <t>0.91</t>
  </si>
  <si>
    <t>1,192.10</t>
  </si>
  <si>
    <t>1,700,888.28</t>
  </si>
  <si>
    <t>1,310,000.00</t>
  </si>
  <si>
    <t>390,888.28</t>
  </si>
  <si>
    <t>MECUP07-MLEUP</t>
  </si>
  <si>
    <t>[EUP] (1매입) 콜라겐 리프팅 마스크</t>
  </si>
  <si>
    <t>0.90</t>
  </si>
  <si>
    <t>27.00</t>
  </si>
  <si>
    <t>38,523.60</t>
  </si>
  <si>
    <t>30,000.00</t>
  </si>
  <si>
    <t>8,523.60</t>
  </si>
  <si>
    <t>561</t>
  </si>
  <si>
    <t>MECUP07-MPEUP</t>
  </si>
  <si>
    <t>[EUP] (1매입) 딥 펩타이드 래디언스 마스크</t>
  </si>
  <si>
    <t>45.00</t>
  </si>
  <si>
    <t>64,206.00</t>
  </si>
  <si>
    <t>50,000.00</t>
  </si>
  <si>
    <t>14,206.00</t>
  </si>
  <si>
    <t>562</t>
  </si>
  <si>
    <t>2,212.00</t>
  </si>
  <si>
    <t>3,156,081.60</t>
  </si>
  <si>
    <t>2,450,000.00</t>
  </si>
  <si>
    <t>706,081.60</t>
  </si>
  <si>
    <t>563</t>
  </si>
  <si>
    <t>2,020</t>
  </si>
  <si>
    <t>9.27</t>
  </si>
  <si>
    <t>18,725.40</t>
  </si>
  <si>
    <t>26,717,400.72</t>
  </si>
  <si>
    <t>20,725,200.00</t>
  </si>
  <si>
    <t>5,992,200.72</t>
  </si>
  <si>
    <t>564</t>
  </si>
  <si>
    <t>2,140</t>
  </si>
  <si>
    <t>7.24</t>
  </si>
  <si>
    <t>15,493.60</t>
  </si>
  <si>
    <t>22,106,268.48</t>
  </si>
  <si>
    <t>17,120,000.00</t>
  </si>
  <si>
    <t>4,986,268.48</t>
  </si>
  <si>
    <t>565</t>
  </si>
  <si>
    <t>4,347.20</t>
  </si>
  <si>
    <t>6,202,584.96</t>
  </si>
  <si>
    <t>4,815,800.00</t>
  </si>
  <si>
    <t>1,386,784.96</t>
  </si>
  <si>
    <t>566</t>
  </si>
  <si>
    <t>MECUS05-GAR</t>
  </si>
  <si>
    <t>[RENEW] 에이지알 글루타치온 글로우 앰플 30g</t>
  </si>
  <si>
    <t>2,346.00</t>
  </si>
  <si>
    <t>3,347,272.80</t>
  </si>
  <si>
    <t>2,550,000.00</t>
  </si>
  <si>
    <t>797,272.80</t>
  </si>
  <si>
    <t>567</t>
  </si>
  <si>
    <t>7.59</t>
  </si>
  <si>
    <t>2,125.20</t>
  </si>
  <si>
    <t>3,032,235.36</t>
  </si>
  <si>
    <t>2,335,200.00</t>
  </si>
  <si>
    <t>697,035.36</t>
  </si>
  <si>
    <t>568</t>
  </si>
  <si>
    <t>MECUS08-A25000</t>
  </si>
  <si>
    <t>원데이 엑소좀 샷 모공 앰플 25000 13ml</t>
  </si>
  <si>
    <t>6.64</t>
  </si>
  <si>
    <t>199.20</t>
  </si>
  <si>
    <t>284,218.56</t>
  </si>
  <si>
    <t>74,218.56</t>
  </si>
  <si>
    <t>569</t>
  </si>
  <si>
    <t>MECUS08-A7500EUP</t>
  </si>
  <si>
    <t>[EUP] 원데이 엑소좀 샷 모공 앰플 7500 30ml</t>
  </si>
  <si>
    <t>9.91</t>
  </si>
  <si>
    <t>297.30</t>
  </si>
  <si>
    <t>424,187.64</t>
  </si>
  <si>
    <t>328,200.00</t>
  </si>
  <si>
    <t>95,987.64</t>
  </si>
  <si>
    <t>9.79</t>
  </si>
  <si>
    <t>4,111.80</t>
  </si>
  <si>
    <t>5,866,716.24</t>
  </si>
  <si>
    <t>4,485,600.00</t>
  </si>
  <si>
    <t>1,381,116.24</t>
  </si>
  <si>
    <t>571</t>
  </si>
  <si>
    <t>MECUS08-C2.0EUP</t>
  </si>
  <si>
    <t>[EUP] 제로 모공 크림 2.0 50ml</t>
  </si>
  <si>
    <t>7.48</t>
  </si>
  <si>
    <t>224.40</t>
  </si>
  <si>
    <t>320,173.92</t>
  </si>
  <si>
    <t>8,200.00</t>
  </si>
  <si>
    <t>246,000.00</t>
  </si>
  <si>
    <t>74,173.92</t>
  </si>
  <si>
    <t>572</t>
  </si>
  <si>
    <t>6.46</t>
  </si>
  <si>
    <t>1,356.60</t>
  </si>
  <si>
    <t>1,935,596.88</t>
  </si>
  <si>
    <t>1,491,000.00</t>
  </si>
  <si>
    <t>444,596.88</t>
  </si>
  <si>
    <t>573</t>
  </si>
  <si>
    <t>MECUS08-SEUP</t>
  </si>
  <si>
    <t>[EUP]제로 모공 원데이 세럼 30ml</t>
  </si>
  <si>
    <t>129.44</t>
  </si>
  <si>
    <t>184,684.99</t>
  </si>
  <si>
    <t>8,840.00</t>
  </si>
  <si>
    <t>141,440.00</t>
  </si>
  <si>
    <t>43,244.99</t>
  </si>
  <si>
    <t>23.4</t>
  </si>
  <si>
    <t>574</t>
  </si>
  <si>
    <t>8.59</t>
  </si>
  <si>
    <t>7,559.20</t>
  </si>
  <si>
    <t>10,785,466.56</t>
  </si>
  <si>
    <t>8,649,520.00</t>
  </si>
  <si>
    <t>2,135,946.56</t>
  </si>
  <si>
    <t>575</t>
  </si>
  <si>
    <t>MECUS08-TPM</t>
  </si>
  <si>
    <t>제로 모공 패드 마일드 (70매)</t>
  </si>
  <si>
    <t>9.01</t>
  </si>
  <si>
    <t>180.20</t>
  </si>
  <si>
    <t>257,109.36</t>
  </si>
  <si>
    <t>9,920.00</t>
  </si>
  <si>
    <t>198,400.00</t>
  </si>
  <si>
    <t>58,709.36</t>
  </si>
  <si>
    <t>576</t>
  </si>
  <si>
    <t>MECUS08-TPMEUP</t>
  </si>
  <si>
    <t>[EUP] (70매입) 제로 모공 패드 마일드</t>
  </si>
  <si>
    <t>577</t>
  </si>
  <si>
    <t>MECUS09-IREUP</t>
  </si>
  <si>
    <t>[EUP] 딥 리프팅 펩타이드 아이크림 포 페이스 30ml</t>
  </si>
  <si>
    <t>218.70</t>
  </si>
  <si>
    <t>312,041.16</t>
  </si>
  <si>
    <t>8,020.00</t>
  </si>
  <si>
    <t>240,600.00</t>
  </si>
  <si>
    <t>71,441.16</t>
  </si>
  <si>
    <t>578</t>
  </si>
  <si>
    <t>10.51</t>
  </si>
  <si>
    <t>945.90</t>
  </si>
  <si>
    <t>1,349,610.12</t>
  </si>
  <si>
    <t>1,035,000.00</t>
  </si>
  <si>
    <t>314,610.12</t>
  </si>
  <si>
    <t>579</t>
  </si>
  <si>
    <t>9.48</t>
  </si>
  <si>
    <t>7,678.80</t>
  </si>
  <si>
    <t>10,956,111.84</t>
  </si>
  <si>
    <t>8,383,500.00</t>
  </si>
  <si>
    <t>2,572,611.84</t>
  </si>
  <si>
    <t>1,722.50</t>
  </si>
  <si>
    <t>2,457,663.00</t>
  </si>
  <si>
    <t>1,875,000.00</t>
  </si>
  <si>
    <t>582,663.00</t>
  </si>
  <si>
    <t>23.7</t>
  </si>
  <si>
    <t>581</t>
  </si>
  <si>
    <t>3,625.20</t>
  </si>
  <si>
    <t>5,172,435.36</t>
  </si>
  <si>
    <t>3,975,000.00</t>
  </si>
  <si>
    <t>1,197,435.36</t>
  </si>
  <si>
    <t>582</t>
  </si>
  <si>
    <t>6.77</t>
  </si>
  <si>
    <t>2,843.40</t>
  </si>
  <si>
    <t>4,056,963.12</t>
  </si>
  <si>
    <t>3,150,000.00</t>
  </si>
  <si>
    <t>906,963.12</t>
  </si>
  <si>
    <t>583</t>
  </si>
  <si>
    <t>MECUS13-AE2000EUP</t>
  </si>
  <si>
    <t>[EUP] PDRN 핑크 엑소좀 샷 흔적 앰플 2000 30ml</t>
  </si>
  <si>
    <t>242.70</t>
  </si>
  <si>
    <t>346,284.36</t>
  </si>
  <si>
    <t>270,000.00</t>
  </si>
  <si>
    <t>76,284.36</t>
  </si>
  <si>
    <t>584</t>
  </si>
  <si>
    <t>MECUS13-AE7500EUP</t>
  </si>
  <si>
    <t>[EUP] PDRN 핑크 엑소좀 샷 흔적 앰플 7500 30ml</t>
  </si>
  <si>
    <t>8.50</t>
  </si>
  <si>
    <t>255.00</t>
  </si>
  <si>
    <t>363,834.00</t>
  </si>
  <si>
    <t>9,500.00</t>
  </si>
  <si>
    <t>285,000.00</t>
  </si>
  <si>
    <t>78,834.00</t>
  </si>
  <si>
    <t>21.7</t>
  </si>
  <si>
    <t>585</t>
  </si>
  <si>
    <t>MECUS13-CC</t>
  </si>
  <si>
    <t>PDRN 콜라겐 캡슐 크림 55g</t>
  </si>
  <si>
    <t>10.97</t>
  </si>
  <si>
    <t>1,382.22</t>
  </si>
  <si>
    <t>1,972,151.50</t>
  </si>
  <si>
    <t>460,151.50</t>
  </si>
  <si>
    <t>586</t>
  </si>
  <si>
    <t>6.88</t>
  </si>
  <si>
    <t>894.40</t>
  </si>
  <si>
    <t>1,276,129.92</t>
  </si>
  <si>
    <t>975,000.00</t>
  </si>
  <si>
    <t>301,129.92</t>
  </si>
  <si>
    <t>587</t>
  </si>
  <si>
    <t>1,434.30</t>
  </si>
  <si>
    <t>2,046,459.24</t>
  </si>
  <si>
    <t>471,459.24</t>
  </si>
  <si>
    <t>588</t>
  </si>
  <si>
    <t>2,682.80</t>
  </si>
  <si>
    <t>3,827,819.04</t>
  </si>
  <si>
    <t>2,922,200.00</t>
  </si>
  <si>
    <t>905,619.04</t>
  </si>
  <si>
    <t>589</t>
  </si>
  <si>
    <t>8.93</t>
  </si>
  <si>
    <t>1,071.60</t>
  </si>
  <si>
    <t>1,528,958.88</t>
  </si>
  <si>
    <t>1,188,000.00</t>
  </si>
  <si>
    <t>340,958.88</t>
  </si>
  <si>
    <t>22.3</t>
  </si>
  <si>
    <t>MECUS14-SEUP</t>
  </si>
  <si>
    <t>[EUP] 코직애씨드 터메릭 나이아신아마이드 세럼 30ML</t>
  </si>
  <si>
    <t>7.76</t>
  </si>
  <si>
    <t>232.80</t>
  </si>
  <si>
    <t>332,159.04</t>
  </si>
  <si>
    <t>258,000.00</t>
  </si>
  <si>
    <t>74,159.04</t>
  </si>
  <si>
    <t>591</t>
  </si>
  <si>
    <t>MECUS14-TEUP</t>
  </si>
  <si>
    <t>[EUP] 코직애씨드 터메릭 리설페이싱 토너 250ML</t>
  </si>
  <si>
    <t>6.75</t>
  </si>
  <si>
    <t>202.50</t>
  </si>
  <si>
    <t>288,927.00</t>
  </si>
  <si>
    <t>63,927.00</t>
  </si>
  <si>
    <t>592</t>
  </si>
  <si>
    <t>MECUS14-TPEUP</t>
  </si>
  <si>
    <t>[EUP] 코직애씨드 터메릭 비타 토너패드 (70매)</t>
  </si>
  <si>
    <t>10.38</t>
  </si>
  <si>
    <t>207.60</t>
  </si>
  <si>
    <t>296,203.68</t>
  </si>
  <si>
    <t>230,000.00</t>
  </si>
  <si>
    <t>66,203.68</t>
  </si>
  <si>
    <t>593</t>
  </si>
  <si>
    <t>MECUS15-C</t>
  </si>
  <si>
    <t>TXA 나이아신아마이드 캡슐 크림 55g</t>
  </si>
  <si>
    <t>871.20</t>
  </si>
  <si>
    <t>1,243,028.16</t>
  </si>
  <si>
    <t>283,028.16</t>
  </si>
  <si>
    <t>594</t>
  </si>
  <si>
    <t>MECUS15-CEU</t>
  </si>
  <si>
    <t>[EUP]TXA 나이아신아마이드 캡슐 크림55g</t>
  </si>
  <si>
    <t>326.70</t>
  </si>
  <si>
    <t>466,135.56</t>
  </si>
  <si>
    <t>360,000.00</t>
  </si>
  <si>
    <t>106,135.56</t>
  </si>
  <si>
    <t>595</t>
  </si>
  <si>
    <t>MECUS19-S2000EUP</t>
  </si>
  <si>
    <t>[EUP] 아젤라익애씨드 엑소좀 샷 2000 30ml</t>
  </si>
  <si>
    <t>9.44</t>
  </si>
  <si>
    <t>283.20</t>
  </si>
  <si>
    <t>404,069.76</t>
  </si>
  <si>
    <t>89,069.76</t>
  </si>
  <si>
    <t>596</t>
  </si>
  <si>
    <t>MECUS19-S7500EUP</t>
  </si>
  <si>
    <t>[EUP] 아젤라익애씨드 엑소좀 샷 7500 30ml</t>
  </si>
  <si>
    <t>11,000.00</t>
  </si>
  <si>
    <t>330,000.00</t>
  </si>
  <si>
    <t>94,187.64</t>
  </si>
  <si>
    <t>22.2</t>
  </si>
  <si>
    <t>597</t>
  </si>
  <si>
    <t>MECUS19-SREUP</t>
  </si>
  <si>
    <t>[EUP] 아젤라익애씨드 10 비비 수딩 세럼 30ml</t>
  </si>
  <si>
    <t>6.80</t>
  </si>
  <si>
    <t>204.00</t>
  </si>
  <si>
    <t>291,067.20</t>
  </si>
  <si>
    <t>66,067.20</t>
  </si>
  <si>
    <t>598</t>
  </si>
  <si>
    <t>4.46</t>
  </si>
  <si>
    <t>4,906.00</t>
  </si>
  <si>
    <t>6,999,880.80</t>
  </si>
  <si>
    <t>5,203,000.00</t>
  </si>
  <si>
    <t>1,796,880.80</t>
  </si>
  <si>
    <t>599</t>
  </si>
  <si>
    <t>1,508.40</t>
  </si>
  <si>
    <t>2,152,185.12</t>
  </si>
  <si>
    <t>532,185.12</t>
  </si>
  <si>
    <t>2,652.00</t>
  </si>
  <si>
    <t>3,783,873.60</t>
  </si>
  <si>
    <t>2,838,000.00</t>
  </si>
  <si>
    <t>945,873.60</t>
  </si>
  <si>
    <t>601</t>
  </si>
  <si>
    <t>3.33</t>
  </si>
  <si>
    <t>965.70</t>
  </si>
  <si>
    <t>1,377,860.76</t>
  </si>
  <si>
    <t>1,035,300.00</t>
  </si>
  <si>
    <t>342,560.76</t>
  </si>
  <si>
    <t>602</t>
  </si>
  <si>
    <t>RLS04-CMR</t>
  </si>
  <si>
    <t>*리뉴얼 자작나무 수분 크림 80ml</t>
  </si>
  <si>
    <t>4,494,420.00</t>
  </si>
  <si>
    <t>9,400.00</t>
  </si>
  <si>
    <t>3,384,000.00</t>
  </si>
  <si>
    <t>1,110,420.00</t>
  </si>
  <si>
    <t>603</t>
  </si>
  <si>
    <t>2,100</t>
  </si>
  <si>
    <t>6.31</t>
  </si>
  <si>
    <t>13,251.00</t>
  </si>
  <si>
    <t>18,906,526.80</t>
  </si>
  <si>
    <t>14,343,000.00</t>
  </si>
  <si>
    <t>4,563,526.80</t>
  </si>
  <si>
    <t>604</t>
  </si>
  <si>
    <t>TKBSM05-SDL</t>
  </si>
  <si>
    <t>[수출용] 비타 소프트 데일리 선 로션 150ML</t>
  </si>
  <si>
    <t>토코보</t>
  </si>
  <si>
    <t>7.00</t>
  </si>
  <si>
    <t>210.00</t>
  </si>
  <si>
    <t>299,628.00</t>
  </si>
  <si>
    <t>234,000.00</t>
  </si>
  <si>
    <t>65,628.00</t>
  </si>
  <si>
    <t>21.9</t>
  </si>
  <si>
    <t>605</t>
  </si>
  <si>
    <t>2026-05-07</t>
  </si>
  <si>
    <t>157.68</t>
  </si>
  <si>
    <t>228,021.05</t>
  </si>
  <si>
    <t>196,560.00</t>
  </si>
  <si>
    <t>31,461.05</t>
  </si>
  <si>
    <t>13.8</t>
  </si>
  <si>
    <t>IN00433519</t>
  </si>
  <si>
    <t>606</t>
  </si>
  <si>
    <t>6.40</t>
  </si>
  <si>
    <t>972.80</t>
  </si>
  <si>
    <t>1,406,766.08</t>
  </si>
  <si>
    <t>1,212,960.00</t>
  </si>
  <si>
    <t>193,806.08</t>
  </si>
  <si>
    <t>607</t>
  </si>
  <si>
    <t>1,143</t>
  </si>
  <si>
    <t>6.07</t>
  </si>
  <si>
    <t>6,938.01</t>
  </si>
  <si>
    <t>10,033,056.26</t>
  </si>
  <si>
    <t>5,807.24</t>
  </si>
  <si>
    <t>6,637,680.00</t>
  </si>
  <si>
    <t>3,395,376.26</t>
  </si>
  <si>
    <t>33.8</t>
  </si>
  <si>
    <t>608</t>
  </si>
  <si>
    <t>1,180</t>
  </si>
  <si>
    <t>11.46</t>
  </si>
  <si>
    <t>13,522.80</t>
  </si>
  <si>
    <t>19,555,321.08</t>
  </si>
  <si>
    <t>14,050.07</t>
  </si>
  <si>
    <t>16,579,080.00</t>
  </si>
  <si>
    <t>2,976,241.08</t>
  </si>
  <si>
    <t>609</t>
  </si>
  <si>
    <t>5.73</t>
  </si>
  <si>
    <t>2,779.05</t>
  </si>
  <si>
    <t>4,018,784.21</t>
  </si>
  <si>
    <t>3,462,900.00</t>
  </si>
  <si>
    <t>555,884.21</t>
  </si>
  <si>
    <t>16.18</t>
  </si>
  <si>
    <t>23,397.90</t>
  </si>
  <si>
    <t>20,160.00</t>
  </si>
  <si>
    <t>3,237.90</t>
  </si>
  <si>
    <t>611</t>
  </si>
  <si>
    <t>1,930.26</t>
  </si>
  <si>
    <t>2,791,348.99</t>
  </si>
  <si>
    <t>2,404,080.00</t>
  </si>
  <si>
    <t>387,268.99</t>
  </si>
  <si>
    <t>13.9</t>
  </si>
  <si>
    <t>612</t>
  </si>
  <si>
    <t>613.11</t>
  </si>
  <si>
    <t>886,618.37</t>
  </si>
  <si>
    <t>4,604.30</t>
  </si>
  <si>
    <t>492,660.00</t>
  </si>
  <si>
    <t>393,958.37</t>
  </si>
  <si>
    <t>44.4</t>
  </si>
  <si>
    <t>613</t>
  </si>
  <si>
    <t>JSMS10-T</t>
  </si>
  <si>
    <t>맑은쌀채운토너 150ml</t>
  </si>
  <si>
    <t>2,190</t>
  </si>
  <si>
    <t>13,293.30</t>
  </si>
  <si>
    <t>19,223,441.13</t>
  </si>
  <si>
    <t>16,556,400.00</t>
  </si>
  <si>
    <t>2,667,041.13</t>
  </si>
  <si>
    <t>614</t>
  </si>
  <si>
    <t>1,347</t>
  </si>
  <si>
    <t>0.85</t>
  </si>
  <si>
    <t>1,144.95</t>
  </si>
  <si>
    <t>1,655,712.20</t>
  </si>
  <si>
    <t>1,347,000.00</t>
  </si>
  <si>
    <t>308,712.20</t>
  </si>
  <si>
    <t>615</t>
  </si>
  <si>
    <t>5.95</t>
  </si>
  <si>
    <t>41.65</t>
  </si>
  <si>
    <t>60,230.07</t>
  </si>
  <si>
    <t>49,700.00</t>
  </si>
  <si>
    <t>10,530.07</t>
  </si>
  <si>
    <t>17.5</t>
  </si>
  <si>
    <t>616</t>
  </si>
  <si>
    <t>MECUS10-S</t>
  </si>
  <si>
    <t>트리플 콜라겐 세럼 4.0 55ml</t>
  </si>
  <si>
    <t>6.37</t>
  </si>
  <si>
    <t>1,407.77</t>
  </si>
  <si>
    <t>2,035,776.20</t>
  </si>
  <si>
    <t>1,657,500.00</t>
  </si>
  <si>
    <t>378,276.20</t>
  </si>
  <si>
    <t>617</t>
  </si>
  <si>
    <t>PY01-PE</t>
  </si>
  <si>
    <t>여드름 압출기</t>
  </si>
  <si>
    <t>4.65</t>
  </si>
  <si>
    <t>753.30</t>
  </si>
  <si>
    <t>1,089,347.13</t>
  </si>
  <si>
    <t>907,200.00</t>
  </si>
  <si>
    <t>182,147.13</t>
  </si>
  <si>
    <t>618</t>
  </si>
  <si>
    <t>PYBS10-BMpsbR</t>
  </si>
  <si>
    <t>*리뉴얼 아토 판테놀 세라마이드 밤크림</t>
  </si>
  <si>
    <t>5.81</t>
  </si>
  <si>
    <t>267.26</t>
  </si>
  <si>
    <t>386,484.69</t>
  </si>
  <si>
    <t>266,800.00</t>
  </si>
  <si>
    <t>119,684.69</t>
  </si>
  <si>
    <t>31.0</t>
  </si>
  <si>
    <t>55.80</t>
  </si>
  <si>
    <t>80,692.38</t>
  </si>
  <si>
    <t>67,200.00</t>
  </si>
  <si>
    <t>13,492.38</t>
  </si>
  <si>
    <t>620</t>
  </si>
  <si>
    <t>PYP01-PKSleepR</t>
  </si>
  <si>
    <t>[수묵화] 슬리핑 마스크 120ml</t>
  </si>
  <si>
    <t>360.22</t>
  </si>
  <si>
    <t>520,914.14</t>
  </si>
  <si>
    <t>434,000.00</t>
  </si>
  <si>
    <t>86,914.14</t>
  </si>
  <si>
    <t>621</t>
  </si>
  <si>
    <t>PYP12-PK</t>
  </si>
  <si>
    <t>(변경예정) 진정 모공 클리어 워시오프팩</t>
  </si>
  <si>
    <t>95,789.66</t>
  </si>
  <si>
    <t>6,650.00</t>
  </si>
  <si>
    <t>79,800.00</t>
  </si>
  <si>
    <t>15,989.66</t>
  </si>
  <si>
    <t>622</t>
  </si>
  <si>
    <t>5.23</t>
  </si>
  <si>
    <t>282.42</t>
  </si>
  <si>
    <t>408,407.56</t>
  </si>
  <si>
    <t>281,880.00</t>
  </si>
  <si>
    <t>126,527.56</t>
  </si>
  <si>
    <t>623</t>
  </si>
  <si>
    <t>167.40</t>
  </si>
  <si>
    <t>242,077.14</t>
  </si>
  <si>
    <t>201,600.00</t>
  </si>
  <si>
    <t>40,477.14</t>
  </si>
  <si>
    <t>624</t>
  </si>
  <si>
    <t>2,451.40</t>
  </si>
  <si>
    <t>3,544,969.54</t>
  </si>
  <si>
    <t>2,884,000.00</t>
  </si>
  <si>
    <t>660,969.54</t>
  </si>
  <si>
    <t>625</t>
  </si>
  <si>
    <t>3.78</t>
  </si>
  <si>
    <t>143.64</t>
  </si>
  <si>
    <t>207,717.80</t>
  </si>
  <si>
    <t>172,900.00</t>
  </si>
  <si>
    <t>34,817.80</t>
  </si>
  <si>
    <t>626</t>
  </si>
  <si>
    <t>PYS12-PATCHI</t>
  </si>
  <si>
    <t>(비베벨링 타입)진정 클리어 스팟패치 집중케어</t>
  </si>
  <si>
    <t>1,399.41</t>
  </si>
  <si>
    <t>2,023,686.80</t>
  </si>
  <si>
    <t>1,686,300.00</t>
  </si>
  <si>
    <t>337,386.80</t>
  </si>
  <si>
    <t>627</t>
  </si>
  <si>
    <t>6.97</t>
  </si>
  <si>
    <t>515.78</t>
  </si>
  <si>
    <t>745,869.46</t>
  </si>
  <si>
    <t>547,600.00</t>
  </si>
  <si>
    <t>198,269.46</t>
  </si>
  <si>
    <t>628</t>
  </si>
  <si>
    <t>PYS19-RC</t>
  </si>
  <si>
    <t>[변경예정] 브라이트닝 광채 크림 50ml</t>
  </si>
  <si>
    <t>644.91</t>
  </si>
  <si>
    <t>932,604.35</t>
  </si>
  <si>
    <t>777,000.00</t>
  </si>
  <si>
    <t>155,604.35</t>
  </si>
  <si>
    <t>629</t>
  </si>
  <si>
    <t>20,000</t>
  </si>
  <si>
    <t>6.19</t>
  </si>
  <si>
    <t>123,800.00</t>
  </si>
  <si>
    <t>178,655,780.00</t>
  </si>
  <si>
    <t>151,200,000.00</t>
  </si>
  <si>
    <t>27,455,780.00</t>
  </si>
  <si>
    <t>IN00432806</t>
  </si>
  <si>
    <t>2026-04-30</t>
  </si>
  <si>
    <t>goodalP06-EPUS25</t>
  </si>
  <si>
    <t>(Renew) 청귤 비타C 수분 아이패치 60매</t>
  </si>
  <si>
    <t>1,716.00</t>
  </si>
  <si>
    <t>2,481,507.60</t>
  </si>
  <si>
    <t>1,920,000.00</t>
  </si>
  <si>
    <t>561,507.60</t>
  </si>
  <si>
    <t>IN00433518</t>
  </si>
  <si>
    <t>631</t>
  </si>
  <si>
    <t>5,000</t>
  </si>
  <si>
    <t>6.22</t>
  </si>
  <si>
    <t>31,100.00</t>
  </si>
  <si>
    <t>44,973,710.00</t>
  </si>
  <si>
    <t>37,800,000.00</t>
  </si>
  <si>
    <t>7,173,710.00</t>
  </si>
  <si>
    <t>632</t>
  </si>
  <si>
    <t>2026-04-28</t>
  </si>
  <si>
    <t>9.42</t>
  </si>
  <si>
    <t>1,507.20</t>
  </si>
  <si>
    <t>2,227,340.16</t>
  </si>
  <si>
    <t>1,950,400.00</t>
  </si>
  <si>
    <t>276,940.16</t>
  </si>
  <si>
    <t>IN00433683</t>
  </si>
  <si>
    <t>633</t>
  </si>
  <si>
    <t>431.28</t>
  </si>
  <si>
    <t>637,345.58</t>
  </si>
  <si>
    <t>558,720.00</t>
  </si>
  <si>
    <t>78,625.58</t>
  </si>
  <si>
    <t>IN00432810</t>
  </si>
  <si>
    <t>634</t>
  </si>
  <si>
    <t>5.97</t>
  </si>
  <si>
    <t>585.06</t>
  </si>
  <si>
    <t>864,601.67</t>
  </si>
  <si>
    <t>760,480.00</t>
  </si>
  <si>
    <t>104,121.67</t>
  </si>
  <si>
    <t>635</t>
  </si>
  <si>
    <t>ANP06-PKR</t>
  </si>
  <si>
    <t>(리뉴얼코드확인) [1매입] 복숭아 70 나이아신 세럼 마스크 25ml</t>
  </si>
  <si>
    <t>2,177</t>
  </si>
  <si>
    <t>3,243.73</t>
  </si>
  <si>
    <t>4,793,584.19</t>
  </si>
  <si>
    <t>4,223,380.00</t>
  </si>
  <si>
    <t>570,204.19</t>
  </si>
  <si>
    <t>636</t>
  </si>
  <si>
    <t>822</t>
  </si>
  <si>
    <t>1,224.78</t>
  </si>
  <si>
    <t>1,809,979.88</t>
  </si>
  <si>
    <t>1,594,680.00</t>
  </si>
  <si>
    <t>215,299.88</t>
  </si>
  <si>
    <t>637</t>
  </si>
  <si>
    <t>10.72</t>
  </si>
  <si>
    <t>418.08</t>
  </si>
  <si>
    <t>617,838.62</t>
  </si>
  <si>
    <t>540,150.00</t>
  </si>
  <si>
    <t>77,688.62</t>
  </si>
  <si>
    <t>638</t>
  </si>
  <si>
    <t>10.66</t>
  </si>
  <si>
    <t>181.22</t>
  </si>
  <si>
    <t>267,806.92</t>
  </si>
  <si>
    <t>235,450.00</t>
  </si>
  <si>
    <t>32,356.92</t>
  </si>
  <si>
    <t>8.97</t>
  </si>
  <si>
    <t>35.88</t>
  </si>
  <si>
    <t>53,023.46</t>
  </si>
  <si>
    <t>8,730.00</t>
  </si>
  <si>
    <t>34,920.00</t>
  </si>
  <si>
    <t>18,103.46</t>
  </si>
  <si>
    <t>34.1</t>
  </si>
  <si>
    <t>640</t>
  </si>
  <si>
    <t>4,672.32</t>
  </si>
  <si>
    <t>6,904,754.50</t>
  </si>
  <si>
    <t>6,046,240.00</t>
  </si>
  <si>
    <t>858,514.50</t>
  </si>
  <si>
    <t>641</t>
  </si>
  <si>
    <t>8.53</t>
  </si>
  <si>
    <t>622.69</t>
  </si>
  <si>
    <t>920,211.28</t>
  </si>
  <si>
    <t>808,840.00</t>
  </si>
  <si>
    <t>111,371.28</t>
  </si>
  <si>
    <t>642</t>
  </si>
  <si>
    <t>4,652</t>
  </si>
  <si>
    <t>9.31</t>
  </si>
  <si>
    <t>43,310.12</t>
  </si>
  <si>
    <t>64,003,695.34</t>
  </si>
  <si>
    <t>56,707,880.00</t>
  </si>
  <si>
    <t>7,295,815.34</t>
  </si>
  <si>
    <t>643</t>
  </si>
  <si>
    <t>950.82</t>
  </si>
  <si>
    <t>1,405,121.80</t>
  </si>
  <si>
    <t>1,232,780.00</t>
  </si>
  <si>
    <t>172,341.80</t>
  </si>
  <si>
    <t>644</t>
  </si>
  <si>
    <t>723.60</t>
  </si>
  <si>
    <t>1,069,336.08</t>
  </si>
  <si>
    <t>947,700.00</t>
  </si>
  <si>
    <t>121,636.08</t>
  </si>
  <si>
    <t>645</t>
  </si>
  <si>
    <t>2026-04-21</t>
  </si>
  <si>
    <t>cosSM59-SCEU</t>
  </si>
  <si>
    <t>비타민 E 바이탈라이징 선스크린 50ml (EU 패키지)</t>
  </si>
  <si>
    <t>155.60</t>
  </si>
  <si>
    <t>229,945.68</t>
  </si>
  <si>
    <t>170,200.00</t>
  </si>
  <si>
    <t>59,745.68</t>
  </si>
  <si>
    <t>IN00431433</t>
  </si>
  <si>
    <t>646</t>
  </si>
  <si>
    <t>6.36</t>
  </si>
  <si>
    <t>381.60</t>
  </si>
  <si>
    <t>551,831.76</t>
  </si>
  <si>
    <t>396,000.00</t>
  </si>
  <si>
    <t>155,831.76</t>
  </si>
  <si>
    <t>IN00430287</t>
  </si>
  <si>
    <t>647</t>
  </si>
  <si>
    <t>1,272.00</t>
  </si>
  <si>
    <t>1,839,439.20</t>
  </si>
  <si>
    <t>1,320,000.00</t>
  </si>
  <si>
    <t>519,439.20</t>
  </si>
  <si>
    <t>648</t>
  </si>
  <si>
    <t>ALSC01-Frr</t>
  </si>
  <si>
    <t>(리뉴얼) 프레시 로즈힙 라이스 모찌 클렌저 120g</t>
  </si>
  <si>
    <t>127.20</t>
  </si>
  <si>
    <t>183,943.92</t>
  </si>
  <si>
    <t>132,000.00</t>
  </si>
  <si>
    <t>51,943.92</t>
  </si>
  <si>
    <t>649</t>
  </si>
  <si>
    <t>ALSS02-S30</t>
  </si>
  <si>
    <t>홀리 히솝 세럼 30 50g</t>
  </si>
  <si>
    <t>9.00</t>
  </si>
  <si>
    <t>720.00</t>
  </si>
  <si>
    <t>1,041,192.00</t>
  </si>
  <si>
    <t>6,873.00</t>
  </si>
  <si>
    <t>549,840.00</t>
  </si>
  <si>
    <t>491,352.00</t>
  </si>
  <si>
    <t>47.2</t>
  </si>
  <si>
    <t>7.93</t>
  </si>
  <si>
    <t>3,965.00</t>
  </si>
  <si>
    <t>5,733,786.50</t>
  </si>
  <si>
    <t>3,500,000.00</t>
  </si>
  <si>
    <t>2,233,786.50</t>
  </si>
  <si>
    <t>39.0</t>
  </si>
  <si>
    <t>651</t>
  </si>
  <si>
    <t>11,895.00</t>
  </si>
  <si>
    <t>17,201,359.50</t>
  </si>
  <si>
    <t>6,696.67</t>
  </si>
  <si>
    <t>10,045,000.00</t>
  </si>
  <si>
    <t>7,156,359.50</t>
  </si>
  <si>
    <t>652</t>
  </si>
  <si>
    <t>cosC08-SAcleanr</t>
  </si>
  <si>
    <t>살리실산 데일리 젠틀 클렌져 150ml_일원화</t>
  </si>
  <si>
    <t>3.35</t>
  </si>
  <si>
    <t>1,959.75</t>
  </si>
  <si>
    <t>2,833,994.48</t>
  </si>
  <si>
    <t>2,142,855.00</t>
  </si>
  <si>
    <t>691,139.48</t>
  </si>
  <si>
    <t>653</t>
  </si>
  <si>
    <t>cosC34-FLEU</t>
  </si>
  <si>
    <t>풀핏 허니 슈가 립 스크럽 20g (EU 패키지)</t>
  </si>
  <si>
    <t>14.89</t>
  </si>
  <si>
    <t>1,429.44</t>
  </si>
  <si>
    <t>2,067,113.18</t>
  </si>
  <si>
    <t>781,440.00</t>
  </si>
  <si>
    <t>1,285,673.18</t>
  </si>
  <si>
    <t>62.2</t>
  </si>
  <si>
    <t>654</t>
  </si>
  <si>
    <t>cosP10-JumboRR</t>
  </si>
  <si>
    <t>찹쌀 쫀쫀팩 60ml_일원화</t>
  </si>
  <si>
    <t>924</t>
  </si>
  <si>
    <t>5.41</t>
  </si>
  <si>
    <t>4,998.84</t>
  </si>
  <si>
    <t>7,228,822.52</t>
  </si>
  <si>
    <t>5,920.00</t>
  </si>
  <si>
    <t>5,470,080.00</t>
  </si>
  <si>
    <t>1,758,742.52</t>
  </si>
  <si>
    <t>655</t>
  </si>
  <si>
    <t>cosP34-BLEU</t>
  </si>
  <si>
    <t>밸런시움 세라마이드 립 버터 슬리핑 마스크 20 g (EU 패키지)</t>
  </si>
  <si>
    <t>5,717.76</t>
  </si>
  <si>
    <t>8,268,452.74</t>
  </si>
  <si>
    <t>3,125,760.00</t>
  </si>
  <si>
    <t>5,142,692.74</t>
  </si>
  <si>
    <t>656</t>
  </si>
  <si>
    <t>cosP90-PKG</t>
  </si>
  <si>
    <t>PDRN EXOSOME 스킨플래닝 글레이즈 마스크 50ML</t>
  </si>
  <si>
    <t>4,621.32</t>
  </si>
  <si>
    <t>6,682,890.85</t>
  </si>
  <si>
    <t>9,200.00</t>
  </si>
  <si>
    <t>5,464,800.00</t>
  </si>
  <si>
    <t>1,218,090.85</t>
  </si>
  <si>
    <t>18.2</t>
  </si>
  <si>
    <t>657</t>
  </si>
  <si>
    <t>cosS11-WhiteE</t>
  </si>
  <si>
    <t>갈락토미세스 95 톤 밸런싱 에센스 100ml</t>
  </si>
  <si>
    <t>6.26</t>
  </si>
  <si>
    <t>1,126.80</t>
  </si>
  <si>
    <t>1,629,465.48</t>
  </si>
  <si>
    <t>1,232,100.00</t>
  </si>
  <si>
    <t>397,365.48</t>
  </si>
  <si>
    <t>658</t>
  </si>
  <si>
    <t>cosS14-C</t>
  </si>
  <si>
    <t>센텔라 블래미쉬 크림 30g</t>
  </si>
  <si>
    <t>6.09</t>
  </si>
  <si>
    <t>730.80</t>
  </si>
  <si>
    <t>1,056,809.88</t>
  </si>
  <si>
    <t>799,200.00</t>
  </si>
  <si>
    <t>257,609.88</t>
  </si>
  <si>
    <t>659</t>
  </si>
  <si>
    <t>cosS17-Cr</t>
  </si>
  <si>
    <t>히아루론산 인텐시브 크림 100g_일원화</t>
  </si>
  <si>
    <t>6.60</t>
  </si>
  <si>
    <t>11,484.00</t>
  </si>
  <si>
    <t>16,607,012.40</t>
  </si>
  <si>
    <t>7,800.61</t>
  </si>
  <si>
    <t>13,573,063.64</t>
  </si>
  <si>
    <t>3,033,948.76</t>
  </si>
  <si>
    <t>18.3</t>
  </si>
  <si>
    <t>660</t>
  </si>
  <si>
    <t>cosS21-ALEU</t>
  </si>
  <si>
    <t>풀핏 프로폴리스 라이트 앰플 30ml (EU 패키지)</t>
  </si>
  <si>
    <t>7.95</t>
  </si>
  <si>
    <t>482,852.79</t>
  </si>
  <si>
    <t>8,695.00</t>
  </si>
  <si>
    <t>365,190.00</t>
  </si>
  <si>
    <t>117,662.79</t>
  </si>
  <si>
    <t>661</t>
  </si>
  <si>
    <t>1,608.12</t>
  </si>
  <si>
    <t>2,325,502.33</t>
  </si>
  <si>
    <t>879,120.00</t>
  </si>
  <si>
    <t>1,446,382.33</t>
  </si>
  <si>
    <t>662</t>
  </si>
  <si>
    <t>16.24</t>
  </si>
  <si>
    <t>194.88</t>
  </si>
  <si>
    <t>281,815.97</t>
  </si>
  <si>
    <t>106,560.00</t>
  </si>
  <si>
    <t>175,255.97</t>
  </si>
  <si>
    <t>663</t>
  </si>
  <si>
    <t>cosS55-PLr</t>
  </si>
  <si>
    <t>투인원 포어리스 파워 리퀴드_100ML_일원화</t>
  </si>
  <si>
    <t>385.80</t>
  </si>
  <si>
    <t>557,905.38</t>
  </si>
  <si>
    <t>421,800.00</t>
  </si>
  <si>
    <t>136,105.38</t>
  </si>
  <si>
    <t>664</t>
  </si>
  <si>
    <t>cosSM13-SCaEU</t>
  </si>
  <si>
    <t>알로에 54.2 아쿠아 톤업 선스크린 (EU 패키지)</t>
  </si>
  <si>
    <t>4.33</t>
  </si>
  <si>
    <t>346.40</t>
  </si>
  <si>
    <t>500,929.04</t>
  </si>
  <si>
    <t>4,736.00</t>
  </si>
  <si>
    <t>378,880.00</t>
  </si>
  <si>
    <t>122,049.04</t>
  </si>
  <si>
    <t>665</t>
  </si>
  <si>
    <t>225,013.16</t>
  </si>
  <si>
    <t>54,813.16</t>
  </si>
  <si>
    <t>666</t>
  </si>
  <si>
    <t>2026-04-17</t>
  </si>
  <si>
    <t>3,568.50</t>
  </si>
  <si>
    <t>5,160,407.85</t>
  </si>
  <si>
    <t>2,010,407.85</t>
  </si>
  <si>
    <t>IN00430275</t>
  </si>
  <si>
    <t>667</t>
  </si>
  <si>
    <t>10,500,000.00</t>
  </si>
  <si>
    <t>6,701,359.50</t>
  </si>
  <si>
    <t>668</t>
  </si>
  <si>
    <t>cosC65-CF150EU</t>
  </si>
  <si>
    <t>퓨어 핏 시카 크리미 폼 클렌저 150ml (EU 패키지)</t>
  </si>
  <si>
    <t>4.40</t>
  </si>
  <si>
    <t>184.80</t>
  </si>
  <si>
    <t>267,239.28</t>
  </si>
  <si>
    <t>202,020.00</t>
  </si>
  <si>
    <t>65,219.28</t>
  </si>
  <si>
    <t>669</t>
  </si>
  <si>
    <t>2,100.60</t>
  </si>
  <si>
    <t>3,037,677.66</t>
  </si>
  <si>
    <t>2,484,000.00</t>
  </si>
  <si>
    <t>553,677.66</t>
  </si>
  <si>
    <t>671</t>
  </si>
  <si>
    <t>375.60</t>
  </si>
  <si>
    <t>543,155.16</t>
  </si>
  <si>
    <t>410,700.00</t>
  </si>
  <si>
    <t>132,455.16</t>
  </si>
  <si>
    <t>672</t>
  </si>
  <si>
    <t>3,168.00</t>
  </si>
  <si>
    <t>4,581,244.80</t>
  </si>
  <si>
    <t>3,744,000.00</t>
  </si>
  <si>
    <t>837,244.80</t>
  </si>
  <si>
    <t>673</t>
  </si>
  <si>
    <t>2,858.88</t>
  </si>
  <si>
    <t>4,134,226.37</t>
  </si>
  <si>
    <t>1,562,880.00</t>
  </si>
  <si>
    <t>2,571,346.37</t>
  </si>
  <si>
    <t>675</t>
  </si>
  <si>
    <t>cosS45-MAEU</t>
  </si>
  <si>
    <t>[EU]하이드리움 트리플 히알루로닉 모이스처 앰플 40ml (EU패키지)</t>
  </si>
  <si>
    <t>341.04</t>
  </si>
  <si>
    <t>493,177.94</t>
  </si>
  <si>
    <t>372,960.00</t>
  </si>
  <si>
    <t>120,217.94</t>
  </si>
  <si>
    <t>676</t>
  </si>
  <si>
    <t>173.20</t>
  </si>
  <si>
    <t>250,464.52</t>
  </si>
  <si>
    <t>189,440.00</t>
  </si>
  <si>
    <t>61,024.52</t>
  </si>
  <si>
    <t>MECU05-PROEXAUS</t>
  </si>
  <si>
    <t>에이지알 일월 오봉도 에디션(US버전)</t>
  </si>
  <si>
    <t>96.24</t>
  </si>
  <si>
    <t>57,744.00</t>
  </si>
  <si>
    <t>83,503,598.40</t>
  </si>
  <si>
    <t>112,500.00</t>
  </si>
  <si>
    <t>67,500,000.00</t>
  </si>
  <si>
    <t>16,003,598.40</t>
  </si>
  <si>
    <t>19.2</t>
  </si>
  <si>
    <t>678</t>
  </si>
  <si>
    <t>MECU05-PROEXP</t>
  </si>
  <si>
    <t>에이지-알 부스터 프로_수출용 핑크</t>
  </si>
  <si>
    <t>9,624.00</t>
  </si>
  <si>
    <t>13,917,266.40</t>
  </si>
  <si>
    <t>11,250,000.00</t>
  </si>
  <si>
    <t>2,667,266.40</t>
  </si>
  <si>
    <t>679</t>
  </si>
  <si>
    <t>2026-04-15</t>
  </si>
  <si>
    <t>179.70</t>
  </si>
  <si>
    <t>265,614.57</t>
  </si>
  <si>
    <t>232,800.00</t>
  </si>
  <si>
    <t>32,814.57</t>
  </si>
  <si>
    <t>IN00429232</t>
  </si>
  <si>
    <t>680</t>
  </si>
  <si>
    <t>10,176.00</t>
  </si>
  <si>
    <t>15,041,145.60</t>
  </si>
  <si>
    <t>13,296,000.00</t>
  </si>
  <si>
    <t>1,745,145.60</t>
  </si>
  <si>
    <t>681</t>
  </si>
  <si>
    <t>453.72</t>
  </si>
  <si>
    <t>670,643.53</t>
  </si>
  <si>
    <t>589,760.00</t>
  </si>
  <si>
    <t>80,883.53</t>
  </si>
  <si>
    <t>682</t>
  </si>
  <si>
    <t>334.32</t>
  </si>
  <si>
    <t>494,158.39</t>
  </si>
  <si>
    <t>434,560.00</t>
  </si>
  <si>
    <t>59,598.39</t>
  </si>
  <si>
    <t>683</t>
  </si>
  <si>
    <t>729</t>
  </si>
  <si>
    <t>1,086.21</t>
  </si>
  <si>
    <t>1,605,527.00</t>
  </si>
  <si>
    <t>1,414,260.00</t>
  </si>
  <si>
    <t>191,267.00</t>
  </si>
  <si>
    <t>684</t>
  </si>
  <si>
    <t>353.76</t>
  </si>
  <si>
    <t>522,892.66</t>
  </si>
  <si>
    <t>457,050.00</t>
  </si>
  <si>
    <t>65,842.66</t>
  </si>
  <si>
    <t>685</t>
  </si>
  <si>
    <t>636.87</t>
  </si>
  <si>
    <t>941,357.55</t>
  </si>
  <si>
    <t>11,548.31</t>
  </si>
  <si>
    <t>819,930.00</t>
  </si>
  <si>
    <t>121,427.55</t>
  </si>
  <si>
    <t>12.9</t>
  </si>
  <si>
    <t>686</t>
  </si>
  <si>
    <t>955.36</t>
  </si>
  <si>
    <t>1,412,117.62</t>
  </si>
  <si>
    <t>1,240,960.00</t>
  </si>
  <si>
    <t>171,157.62</t>
  </si>
  <si>
    <t>687</t>
  </si>
  <si>
    <t>5.98</t>
  </si>
  <si>
    <t>603.98</t>
  </si>
  <si>
    <t>892,742.84</t>
  </si>
  <si>
    <t>783,760.00</t>
  </si>
  <si>
    <t>108,982.84</t>
  </si>
  <si>
    <t>688</t>
  </si>
  <si>
    <t>794.77</t>
  </si>
  <si>
    <t>1,174,749.54</t>
  </si>
  <si>
    <t>1,035,070.00</t>
  </si>
  <si>
    <t>139,679.54</t>
  </si>
  <si>
    <t>689</t>
  </si>
  <si>
    <t>667.32</t>
  </si>
  <si>
    <t>986,365.69</t>
  </si>
  <si>
    <t>873,990.00</t>
  </si>
  <si>
    <t>112,375.69</t>
  </si>
  <si>
    <t>690</t>
  </si>
  <si>
    <t>VTCM21-Lc</t>
  </si>
  <si>
    <t>리들샷 립 플럼퍼 크리스탈</t>
  </si>
  <si>
    <t>브이티코스메틱</t>
  </si>
  <si>
    <t>5.38</t>
  </si>
  <si>
    <t>441.16</t>
  </si>
  <si>
    <t>652,078.60</t>
  </si>
  <si>
    <t>447,310.00</t>
  </si>
  <si>
    <t>204,768.60</t>
  </si>
  <si>
    <t>31.4</t>
  </si>
  <si>
    <t>691</t>
  </si>
  <si>
    <t>VTCM21-Le</t>
  </si>
  <si>
    <t>리들샷 립 플럼퍼 엑스퍼트</t>
  </si>
  <si>
    <t>4.97</t>
  </si>
  <si>
    <t>139.16</t>
  </si>
  <si>
    <t>205,692.40</t>
  </si>
  <si>
    <t>5,873.00</t>
  </si>
  <si>
    <t>164,444.00</t>
  </si>
  <si>
    <t>41,248.40</t>
  </si>
  <si>
    <t>692</t>
  </si>
  <si>
    <t>VTCM21-Lr</t>
  </si>
  <si>
    <t>리들샷 립 플럼퍼 로즈베리</t>
  </si>
  <si>
    <t>376.60</t>
  </si>
  <si>
    <t>556,652.46</t>
  </si>
  <si>
    <t>381,850.00</t>
  </si>
  <si>
    <t>174,802.46</t>
  </si>
  <si>
    <t>693</t>
  </si>
  <si>
    <t>640.00</t>
  </si>
  <si>
    <t>949,376.00</t>
  </si>
  <si>
    <t>660,000.00</t>
  </si>
  <si>
    <t>289,376.00</t>
  </si>
  <si>
    <t>IN00428686</t>
  </si>
  <si>
    <t>694</t>
  </si>
  <si>
    <t>563.03</t>
  </si>
  <si>
    <t>835,198.70</t>
  </si>
  <si>
    <t>702,900.00</t>
  </si>
  <si>
    <t>132,298.70</t>
  </si>
  <si>
    <t>695</t>
  </si>
  <si>
    <t>BODP04-MEU</t>
  </si>
  <si>
    <t>[EU][4매입]바이오 콜라겐 리얼 딥 마스크</t>
  </si>
  <si>
    <t>7.55</t>
  </si>
  <si>
    <t>3,956.20</t>
  </si>
  <si>
    <t>5,868,627.08</t>
  </si>
  <si>
    <t>3,144,000.00</t>
  </si>
  <si>
    <t>2,724,627.08</t>
  </si>
  <si>
    <t>696</t>
  </si>
  <si>
    <t>BODP04-MRCEU</t>
  </si>
  <si>
    <t>[EU] [4매입] 리쥬비네이팅 캐비어 PDRN 리얼 딥 마스크</t>
  </si>
  <si>
    <t>3,020.00</t>
  </si>
  <si>
    <t>4,479,868.00</t>
  </si>
  <si>
    <t>2,079,868.00</t>
  </si>
  <si>
    <t>697</t>
  </si>
  <si>
    <t>40.45</t>
  </si>
  <si>
    <t>60,003.53</t>
  </si>
  <si>
    <t>31,850.00</t>
  </si>
  <si>
    <t>28,153.53</t>
  </si>
  <si>
    <t>BODS08-SPEU</t>
  </si>
  <si>
    <t>[EU] 포어 퍼펙팅 콜라겐 펩타이드 세럼 30ml</t>
  </si>
  <si>
    <t>10.79</t>
  </si>
  <si>
    <t>2,557.23</t>
  </si>
  <si>
    <t>3,793,394.98</t>
  </si>
  <si>
    <t>8,900.00</t>
  </si>
  <si>
    <t>2,109,300.00</t>
  </si>
  <si>
    <t>1,684,094.98</t>
  </si>
  <si>
    <t>699</t>
  </si>
  <si>
    <t>233,902.51</t>
  </si>
  <si>
    <t>37,342.51</t>
  </si>
  <si>
    <t>1,443,051.52</t>
  </si>
  <si>
    <t>230,091.52</t>
  </si>
  <si>
    <t>15.9</t>
  </si>
  <si>
    <t>701</t>
  </si>
  <si>
    <t>10,291,844.03</t>
  </si>
  <si>
    <t>8,641,080.00</t>
  </si>
  <si>
    <t>1,650,764.03</t>
  </si>
  <si>
    <t>702</t>
  </si>
  <si>
    <t>20,059,721.52</t>
  </si>
  <si>
    <t>16,850,400.00</t>
  </si>
  <si>
    <t>3,209,321.52</t>
  </si>
  <si>
    <t>703</t>
  </si>
  <si>
    <t>2,641.53</t>
  </si>
  <si>
    <t>3,918,445.60</t>
  </si>
  <si>
    <t>3,291,540.00</t>
  </si>
  <si>
    <t>626,905.60</t>
  </si>
  <si>
    <t>704</t>
  </si>
  <si>
    <t>1,547</t>
  </si>
  <si>
    <t>12,515.23</t>
  </si>
  <si>
    <t>18,565,092.18</t>
  </si>
  <si>
    <t>15,593,760.00</t>
  </si>
  <si>
    <t>2,971,332.18</t>
  </si>
  <si>
    <t>705</t>
  </si>
  <si>
    <t>897.99</t>
  </si>
  <si>
    <t>1,332,078.37</t>
  </si>
  <si>
    <t>635.68</t>
  </si>
  <si>
    <t>70,560.00</t>
  </si>
  <si>
    <t>1,261,518.37</t>
  </si>
  <si>
    <t>94.7</t>
  </si>
  <si>
    <t>706</t>
  </si>
  <si>
    <t>3,229.24</t>
  </si>
  <si>
    <t>4,790,254.62</t>
  </si>
  <si>
    <t>4,021,920.00</t>
  </si>
  <si>
    <t>768,334.62</t>
  </si>
  <si>
    <t>707</t>
  </si>
  <si>
    <t>2,863,347.68</t>
  </si>
  <si>
    <t>459,267.68</t>
  </si>
  <si>
    <t>708</t>
  </si>
  <si>
    <t>909,487.37</t>
  </si>
  <si>
    <t>763,980.00</t>
  </si>
  <si>
    <t>145,507.37</t>
  </si>
  <si>
    <t>709</t>
  </si>
  <si>
    <t>234.40</t>
  </si>
  <si>
    <t>347,708.96</t>
  </si>
  <si>
    <t>280,000.00</t>
  </si>
  <si>
    <t>67,708.96</t>
  </si>
  <si>
    <t>963</t>
  </si>
  <si>
    <t>5,729.85</t>
  </si>
  <si>
    <t>8,499,659.49</t>
  </si>
  <si>
    <t>6,741,000.00</t>
  </si>
  <si>
    <t>1,758,659.49</t>
  </si>
  <si>
    <t>711</t>
  </si>
  <si>
    <t>8.66</t>
  </si>
  <si>
    <t>1,697.36</t>
  </si>
  <si>
    <t>2,517,863.82</t>
  </si>
  <si>
    <t>2,010,960.00</t>
  </si>
  <si>
    <t>506,903.82</t>
  </si>
  <si>
    <t>712</t>
  </si>
  <si>
    <t>188.19</t>
  </si>
  <si>
    <t>279,161.05</t>
  </si>
  <si>
    <t>226,476.00</t>
  </si>
  <si>
    <t>52,685.05</t>
  </si>
  <si>
    <t>18.9</t>
  </si>
  <si>
    <t>713</t>
  </si>
  <si>
    <t>897.48</t>
  </si>
  <si>
    <t>1,331,321.83</t>
  </si>
  <si>
    <t>1,051,380.00</t>
  </si>
  <si>
    <t>279,941.83</t>
  </si>
  <si>
    <t>714</t>
  </si>
  <si>
    <t>728.52</t>
  </si>
  <si>
    <t>1,080,686.57</t>
  </si>
  <si>
    <t>853,320.00</t>
  </si>
  <si>
    <t>227,366.57</t>
  </si>
  <si>
    <t>715</t>
  </si>
  <si>
    <t>8.88</t>
  </si>
  <si>
    <t>1,278.72</t>
  </si>
  <si>
    <t>1,896,853.25</t>
  </si>
  <si>
    <t>1,537,920.00</t>
  </si>
  <si>
    <t>358,933.25</t>
  </si>
  <si>
    <t>716</t>
  </si>
  <si>
    <t>7.36</t>
  </si>
  <si>
    <t>147.20</t>
  </si>
  <si>
    <t>218,356.48</t>
  </si>
  <si>
    <t>176,800.00</t>
  </si>
  <si>
    <t>41,556.48</t>
  </si>
  <si>
    <t>717</t>
  </si>
  <si>
    <t>5,237</t>
  </si>
  <si>
    <t>8.26</t>
  </si>
  <si>
    <t>43,257.62</t>
  </si>
  <si>
    <t>64,168,353.51</t>
  </si>
  <si>
    <t>51,474,473.00</t>
  </si>
  <si>
    <t>12,693,880.51</t>
  </si>
  <si>
    <t>718</t>
  </si>
  <si>
    <t>935</t>
  </si>
  <si>
    <t>10.02</t>
  </si>
  <si>
    <t>9,368.70</t>
  </si>
  <si>
    <t>13,897,529.58</t>
  </si>
  <si>
    <t>11,220,000.00</t>
  </si>
  <si>
    <t>2,677,529.58</t>
  </si>
  <si>
    <t>719</t>
  </si>
  <si>
    <t>9.71</t>
  </si>
  <si>
    <t>1,058.39</t>
  </si>
  <si>
    <t>1,570,015.73</t>
  </si>
  <si>
    <t>1,253,500.00</t>
  </si>
  <si>
    <t>316,515.73</t>
  </si>
  <si>
    <t>1,456</t>
  </si>
  <si>
    <t>9.08</t>
  </si>
  <si>
    <t>13,220.48</t>
  </si>
  <si>
    <t>19,611,260.03</t>
  </si>
  <si>
    <t>15,506,400.00</t>
  </si>
  <si>
    <t>4,104,860.03</t>
  </si>
  <si>
    <t>721</t>
  </si>
  <si>
    <t>8.68</t>
  </si>
  <si>
    <t>1,597.12</t>
  </si>
  <si>
    <t>2,369,167.81</t>
  </si>
  <si>
    <t>1,904,400.00</t>
  </si>
  <si>
    <t>464,767.81</t>
  </si>
  <si>
    <t>722</t>
  </si>
  <si>
    <t>1,183.14</t>
  </si>
  <si>
    <t>1,755,069.88</t>
  </si>
  <si>
    <t>1,417,500.00</t>
  </si>
  <si>
    <t>337,569.88</t>
  </si>
  <si>
    <t>723</t>
  </si>
  <si>
    <t>7.12</t>
  </si>
  <si>
    <t>890.00</t>
  </si>
  <si>
    <t>1,320,226.00</t>
  </si>
  <si>
    <t>1,062,500.00</t>
  </si>
  <si>
    <t>257,726.00</t>
  </si>
  <si>
    <t>724</t>
  </si>
  <si>
    <t>528.71</t>
  </si>
  <si>
    <t>784,288.41</t>
  </si>
  <si>
    <t>622,500.00</t>
  </si>
  <si>
    <t>161,788.41</t>
  </si>
  <si>
    <t>725</t>
  </si>
  <si>
    <t>1,791</t>
  </si>
  <si>
    <t>7.23</t>
  </si>
  <si>
    <t>12,948.93</t>
  </si>
  <si>
    <t>19,208,442.76</t>
  </si>
  <si>
    <t>15,402,600.00</t>
  </si>
  <si>
    <t>3,805,842.76</t>
  </si>
  <si>
    <t>726</t>
  </si>
  <si>
    <t>MECUS13-CCR</t>
  </si>
  <si>
    <t>[RENEW] PDRN 핑크 콜라겐 캡슐 크림 55g</t>
  </si>
  <si>
    <t>3,039</t>
  </si>
  <si>
    <t>10.10</t>
  </si>
  <si>
    <t>30,693.90</t>
  </si>
  <si>
    <t>45,531,331.26</t>
  </si>
  <si>
    <t>36,468,000.00</t>
  </si>
  <si>
    <t>9,063,331.26</t>
  </si>
  <si>
    <t>727</t>
  </si>
  <si>
    <t>943</t>
  </si>
  <si>
    <t>5,959.76</t>
  </si>
  <si>
    <t>8,840,707.98</t>
  </si>
  <si>
    <t>7,072,500.00</t>
  </si>
  <si>
    <t>1,768,207.98</t>
  </si>
  <si>
    <t>728</t>
  </si>
  <si>
    <t>MECUS13-GEL</t>
  </si>
  <si>
    <t>PDRN 부스터 젤 300ML</t>
  </si>
  <si>
    <t>796</t>
  </si>
  <si>
    <t>4.76</t>
  </si>
  <si>
    <t>3,788.96</t>
  </si>
  <si>
    <t>5,620,543.26</t>
  </si>
  <si>
    <t>4,473,520.00</t>
  </si>
  <si>
    <t>1,147,023.26</t>
  </si>
  <si>
    <t>1,804</t>
  </si>
  <si>
    <t>6.29</t>
  </si>
  <si>
    <t>11,347.16</t>
  </si>
  <si>
    <t>16,832,377.14</t>
  </si>
  <si>
    <t>13,530,000.00</t>
  </si>
  <si>
    <t>3,302,377.14</t>
  </si>
  <si>
    <t>MECUS13-M</t>
  </si>
  <si>
    <t>PDRN 핑크 글루타치온 세럼 미스트 100ML</t>
  </si>
  <si>
    <t>6.21</t>
  </si>
  <si>
    <t>279.45</t>
  </si>
  <si>
    <t>414,536.13</t>
  </si>
  <si>
    <t>7,360.00</t>
  </si>
  <si>
    <t>331,200.00</t>
  </si>
  <si>
    <t>83,336.13</t>
  </si>
  <si>
    <t>731</t>
  </si>
  <si>
    <t>8.42</t>
  </si>
  <si>
    <t>5,473.00</t>
  </si>
  <si>
    <t>8,118,648.20</t>
  </si>
  <si>
    <t>6,435,000.00</t>
  </si>
  <si>
    <t>1,683,648.20</t>
  </si>
  <si>
    <t>732</t>
  </si>
  <si>
    <t>5.10</t>
  </si>
  <si>
    <t>96.90</t>
  </si>
  <si>
    <t>143,741.46</t>
  </si>
  <si>
    <t>119,700.00</t>
  </si>
  <si>
    <t>24,041.46</t>
  </si>
  <si>
    <t>733</t>
  </si>
  <si>
    <t>PYC01-F150R</t>
  </si>
  <si>
    <t>[수묵화] 클렌징폼 150m</t>
  </si>
  <si>
    <t>3.40</t>
  </si>
  <si>
    <t>1,098.20</t>
  </si>
  <si>
    <t>1,629,069.88</t>
  </si>
  <si>
    <t>1,356,600.00</t>
  </si>
  <si>
    <t>272,469.88</t>
  </si>
  <si>
    <t>734</t>
  </si>
  <si>
    <t>1,472.25</t>
  </si>
  <si>
    <t>2,183,935.65</t>
  </si>
  <si>
    <t>1,820,000.00</t>
  </si>
  <si>
    <t>363,935.65</t>
  </si>
  <si>
    <t>735</t>
  </si>
  <si>
    <t>9.51</t>
  </si>
  <si>
    <t>85.59</t>
  </si>
  <si>
    <t>126,964.21</t>
  </si>
  <si>
    <t>32,464.21</t>
  </si>
  <si>
    <t>736</t>
  </si>
  <si>
    <t>89.25</t>
  </si>
  <si>
    <t>132,393.45</t>
  </si>
  <si>
    <t>110,250.00</t>
  </si>
  <si>
    <t>22,143.45</t>
  </si>
  <si>
    <t>737</t>
  </si>
  <si>
    <t>413.10</t>
  </si>
  <si>
    <t>612,792.54</t>
  </si>
  <si>
    <t>510,300.00</t>
  </si>
  <si>
    <t>102,492.54</t>
  </si>
  <si>
    <t>738</t>
  </si>
  <si>
    <t>36.24</t>
  </si>
  <si>
    <t>53,758.42</t>
  </si>
  <si>
    <t>44,800.00</t>
  </si>
  <si>
    <t>8,958.42</t>
  </si>
  <si>
    <t>739</t>
  </si>
  <si>
    <t>790</t>
  </si>
  <si>
    <t>1.13</t>
  </si>
  <si>
    <t>892.70</t>
  </si>
  <si>
    <t>1,324,231.18</t>
  </si>
  <si>
    <t>1,106,000.00</t>
  </si>
  <si>
    <t>218,231.18</t>
  </si>
  <si>
    <t>16.5</t>
  </si>
  <si>
    <t>740</t>
  </si>
  <si>
    <t>3.96</t>
  </si>
  <si>
    <t>118.80</t>
  </si>
  <si>
    <t>176,227.92</t>
  </si>
  <si>
    <t>147,000.00</t>
  </si>
  <si>
    <t>29,227.92</t>
  </si>
  <si>
    <t>741</t>
  </si>
  <si>
    <t>15.84</t>
  </si>
  <si>
    <t>63.36</t>
  </si>
  <si>
    <t>93,988.22</t>
  </si>
  <si>
    <t>80,000.00</t>
  </si>
  <si>
    <t>13,988.22</t>
  </si>
  <si>
    <t>742</t>
  </si>
  <si>
    <t>269.28</t>
  </si>
  <si>
    <t>399,449.95</t>
  </si>
  <si>
    <t>333,200.00</t>
  </si>
  <si>
    <t>66,249.95</t>
  </si>
  <si>
    <t>743</t>
  </si>
  <si>
    <t>770.10</t>
  </si>
  <si>
    <t>1,142,366.34</t>
  </si>
  <si>
    <t>190,366.34</t>
  </si>
  <si>
    <t>744</t>
  </si>
  <si>
    <t>78,400.00</t>
  </si>
  <si>
    <t>15,588.22</t>
  </si>
  <si>
    <t>745</t>
  </si>
  <si>
    <t>PYS13-C</t>
  </si>
  <si>
    <t>(변경예정) 얼티밋 진정 솔루션 크림 30ml</t>
  </si>
  <si>
    <t>61.20</t>
  </si>
  <si>
    <t>90,784.08</t>
  </si>
  <si>
    <t>7,900.00</t>
  </si>
  <si>
    <t>71,100.00</t>
  </si>
  <si>
    <t>19,684.08</t>
  </si>
  <si>
    <t>746</t>
  </si>
  <si>
    <t>PYSM12-SC</t>
  </si>
  <si>
    <t>[변경예정] 진정 선크림 50ml</t>
  </si>
  <si>
    <t>45.30</t>
  </si>
  <si>
    <t>67,198.02</t>
  </si>
  <si>
    <t>4,800.00</t>
  </si>
  <si>
    <t>19,198.02</t>
  </si>
  <si>
    <t>747</t>
  </si>
  <si>
    <t>956.67</t>
  </si>
  <si>
    <t>1,419,124.28</t>
  </si>
  <si>
    <t>1,054,790.00</t>
  </si>
  <si>
    <t>364,334.28</t>
  </si>
  <si>
    <t>748</t>
  </si>
  <si>
    <t>1,566</t>
  </si>
  <si>
    <t>4.25</t>
  </si>
  <si>
    <t>6,655.50</t>
  </si>
  <si>
    <t>9,872,768.70</t>
  </si>
  <si>
    <t>7,407,180.00</t>
  </si>
  <si>
    <t>2,465,588.70</t>
  </si>
  <si>
    <t>749</t>
  </si>
  <si>
    <t>53.55</t>
  </si>
  <si>
    <t>79,436.07</t>
  </si>
  <si>
    <t>59,580.00</t>
  </si>
  <si>
    <t>19,856.07</t>
  </si>
  <si>
    <t>RLP04-M1R</t>
  </si>
  <si>
    <t>*리뉴얼 (10매입) 자작나무 수분 마스크</t>
  </si>
  <si>
    <t>5.66</t>
  </si>
  <si>
    <t>294.32</t>
  </si>
  <si>
    <t>436,594.29</t>
  </si>
  <si>
    <t>327,600.00</t>
  </si>
  <si>
    <t>108,994.29</t>
  </si>
  <si>
    <t>751</t>
  </si>
  <si>
    <t>6.61</t>
  </si>
  <si>
    <t>323.89</t>
  </si>
  <si>
    <t>480,458.43</t>
  </si>
  <si>
    <t>360,150.00</t>
  </si>
  <si>
    <t>120,308.43</t>
  </si>
  <si>
    <t>752</t>
  </si>
  <si>
    <t>1,556.10</t>
  </si>
  <si>
    <t>2,308,318.74</t>
  </si>
  <si>
    <t>1,741,350.00</t>
  </si>
  <si>
    <t>566,968.74</t>
  </si>
  <si>
    <t>753</t>
  </si>
  <si>
    <t>6.13</t>
  </si>
  <si>
    <t>398.45</t>
  </si>
  <si>
    <t>591,060.73</t>
  </si>
  <si>
    <t>443,950.00</t>
  </si>
  <si>
    <t>147,110.73</t>
  </si>
  <si>
    <t>754</t>
  </si>
  <si>
    <t>69.60</t>
  </si>
  <si>
    <t>103,244.64</t>
  </si>
  <si>
    <t>78,120.00</t>
  </si>
  <si>
    <t>25,124.64</t>
  </si>
  <si>
    <t>755</t>
  </si>
  <si>
    <t>4.95</t>
  </si>
  <si>
    <t>262.35</t>
  </si>
  <si>
    <t>389,169.99</t>
  </si>
  <si>
    <t>289,380.00</t>
  </si>
  <si>
    <t>99,789.99</t>
  </si>
  <si>
    <t>756</t>
  </si>
  <si>
    <t>3.20</t>
  </si>
  <si>
    <t>316.80</t>
  </si>
  <si>
    <t>469,941.12</t>
  </si>
  <si>
    <t>353,430.00</t>
  </si>
  <si>
    <t>116,511.12</t>
  </si>
  <si>
    <t>757</t>
  </si>
  <si>
    <t>RLS03-TR</t>
  </si>
  <si>
    <t>*리뉴얼 해풍쑥 진정 토너 300ml (본품)</t>
  </si>
  <si>
    <t>339.60</t>
  </si>
  <si>
    <t>503,762.64</t>
  </si>
  <si>
    <t>378,000.00</t>
  </si>
  <si>
    <t>125,762.64</t>
  </si>
  <si>
    <t>758</t>
  </si>
  <si>
    <t>8.41</t>
  </si>
  <si>
    <t>967.15</t>
  </si>
  <si>
    <t>1,434,670.31</t>
  </si>
  <si>
    <t>1,081,000.00</t>
  </si>
  <si>
    <t>353,670.31</t>
  </si>
  <si>
    <t>759</t>
  </si>
  <si>
    <t>1,103.70</t>
  </si>
  <si>
    <t>1,637,228.58</t>
  </si>
  <si>
    <t>1,228,500.00</t>
  </si>
  <si>
    <t>408,728.58</t>
  </si>
  <si>
    <t>130.18</t>
  </si>
  <si>
    <t>193,109.01</t>
  </si>
  <si>
    <t>144,900.00</t>
  </si>
  <si>
    <t>48,209.01</t>
  </si>
  <si>
    <t>761</t>
  </si>
  <si>
    <t>RLSM04-SCMTR</t>
  </si>
  <si>
    <t>*리뉴얼 자작나무 수분 톤업 선크림 50ml</t>
  </si>
  <si>
    <t>429.75</t>
  </si>
  <si>
    <t>637,491.15</t>
  </si>
  <si>
    <t>472,500.00</t>
  </si>
  <si>
    <t>164,991.15</t>
  </si>
  <si>
    <t>IN00428683</t>
  </si>
  <si>
    <t>763</t>
  </si>
  <si>
    <t>764</t>
  </si>
  <si>
    <t>3,610</t>
  </si>
  <si>
    <t>27,255.50</t>
  </si>
  <si>
    <t>40,430,808.70</t>
  </si>
  <si>
    <t>21,660,000.00</t>
  </si>
  <si>
    <t>18,770,808.70</t>
  </si>
  <si>
    <t>765</t>
  </si>
  <si>
    <t>1,246</t>
  </si>
  <si>
    <t>9,407.30</t>
  </si>
  <si>
    <t>13,954,788.82</t>
  </si>
  <si>
    <t>7,476,000.00</t>
  </si>
  <si>
    <t>6,478,788.82</t>
  </si>
  <si>
    <t>766</t>
  </si>
  <si>
    <t>453.00</t>
  </si>
  <si>
    <t>671,980.20</t>
  </si>
  <si>
    <t>311,980.20</t>
  </si>
  <si>
    <t>767</t>
  </si>
  <si>
    <t>377.50</t>
  </si>
  <si>
    <t>559,983.50</t>
  </si>
  <si>
    <t>300,000.00</t>
  </si>
  <si>
    <t>259,983.50</t>
  </si>
  <si>
    <t>768</t>
  </si>
  <si>
    <t>BODS03-GC</t>
  </si>
  <si>
    <t>스킨 글로우 에센스 크림 50ml</t>
  </si>
  <si>
    <t>145.62</t>
  </si>
  <si>
    <t>216,012.71</t>
  </si>
  <si>
    <t>12,830.00</t>
  </si>
  <si>
    <t>115,470.00</t>
  </si>
  <si>
    <t>100,542.71</t>
  </si>
  <si>
    <t>769</t>
  </si>
  <si>
    <t>2,671.80</t>
  </si>
  <si>
    <t>3,963,348.12</t>
  </si>
  <si>
    <t>3,330,600.00</t>
  </si>
  <si>
    <t>632,748.12</t>
  </si>
  <si>
    <t>771</t>
  </si>
  <si>
    <t>3,757.33</t>
  </si>
  <si>
    <t>5,573,623.32</t>
  </si>
  <si>
    <t>5,557.03</t>
  </si>
  <si>
    <t>3,439,800.00</t>
  </si>
  <si>
    <t>2,133,823.32</t>
  </si>
  <si>
    <t>38.3</t>
  </si>
  <si>
    <t>772</t>
  </si>
  <si>
    <t>1,182</t>
  </si>
  <si>
    <t>13,545.72</t>
  </si>
  <si>
    <t>20,093,721.05</t>
  </si>
  <si>
    <t>16,878,960.00</t>
  </si>
  <si>
    <t>3,214,761.05</t>
  </si>
  <si>
    <t>773</t>
  </si>
  <si>
    <t>1,292</t>
  </si>
  <si>
    <t>10,452.28</t>
  </si>
  <si>
    <t>15,504,912.15</t>
  </si>
  <si>
    <t>13,023,360.00</t>
  </si>
  <si>
    <t>2,481,552.15</t>
  </si>
  <si>
    <t>774</t>
  </si>
  <si>
    <t>4,214.89</t>
  </si>
  <si>
    <t>6,252,367.83</t>
  </si>
  <si>
    <t>5,251,680.00</t>
  </si>
  <si>
    <t>1,000,687.83</t>
  </si>
  <si>
    <t>775</t>
  </si>
  <si>
    <t>1,092.60</t>
  </si>
  <si>
    <t>1,620,762.84</t>
  </si>
  <si>
    <t>1,360,800.00</t>
  </si>
  <si>
    <t>259,962.84</t>
  </si>
  <si>
    <t>776</t>
  </si>
  <si>
    <t>2,203.41</t>
  </si>
  <si>
    <t>3,268,538.39</t>
  </si>
  <si>
    <t>2,744,280.00</t>
  </si>
  <si>
    <t>524,258.39</t>
  </si>
  <si>
    <t>777</t>
  </si>
  <si>
    <t>3,380.99</t>
  </si>
  <si>
    <t>5,015,360.57</t>
  </si>
  <si>
    <t>4,210,920.00</t>
  </si>
  <si>
    <t>804,440.57</t>
  </si>
  <si>
    <t>778</t>
  </si>
  <si>
    <t>2,469.25</t>
  </si>
  <si>
    <t>3,662,885.45</t>
  </si>
  <si>
    <t>2,905,000.00</t>
  </si>
  <si>
    <t>757,885.45</t>
  </si>
  <si>
    <t>779</t>
  </si>
  <si>
    <t>2,473.80</t>
  </si>
  <si>
    <t>3,669,634.92</t>
  </si>
  <si>
    <t>2,949,750.00</t>
  </si>
  <si>
    <t>719,884.92</t>
  </si>
  <si>
    <t>656.11</t>
  </si>
  <si>
    <t>973,273.57</t>
  </si>
  <si>
    <t>772,500.00</t>
  </si>
  <si>
    <t>200,773.57</t>
  </si>
  <si>
    <t>781</t>
  </si>
  <si>
    <t>1,492</t>
  </si>
  <si>
    <t>15,069.20</t>
  </si>
  <si>
    <t>22,353,651.28</t>
  </si>
  <si>
    <t>17,904,000.00</t>
  </si>
  <si>
    <t>4,449,651.28</t>
  </si>
  <si>
    <t>782</t>
  </si>
  <si>
    <t>2,938.80</t>
  </si>
  <si>
    <t>4,359,415.92</t>
  </si>
  <si>
    <t>3,487,500.00</t>
  </si>
  <si>
    <t>871,915.92</t>
  </si>
  <si>
    <t>783</t>
  </si>
  <si>
    <t>888</t>
  </si>
  <si>
    <t>5,585.52</t>
  </si>
  <si>
    <t>8,285,560.37</t>
  </si>
  <si>
    <t>6,660,000.00</t>
  </si>
  <si>
    <t>1,625,560.37</t>
  </si>
  <si>
    <t>784</t>
  </si>
  <si>
    <t>MECUS13-TEUP</t>
  </si>
  <si>
    <t>[EUP] PDRN 핑크 시카 수딩 토너_250ml</t>
  </si>
  <si>
    <t>1,215.27</t>
  </si>
  <si>
    <t>1,802,731.52</t>
  </si>
  <si>
    <t>1,453,410.00</t>
  </si>
  <si>
    <t>349,321.52</t>
  </si>
  <si>
    <t>19.4</t>
  </si>
  <si>
    <t>785</t>
  </si>
  <si>
    <t>2,711.24</t>
  </si>
  <si>
    <t>4,021,853.42</t>
  </si>
  <si>
    <t>3,187,800.00</t>
  </si>
  <si>
    <t>834,053.42</t>
  </si>
  <si>
    <t>786</t>
  </si>
  <si>
    <t>66.30</t>
  </si>
  <si>
    <t>98,349.42</t>
  </si>
  <si>
    <t>81,900.00</t>
  </si>
  <si>
    <t>16,449.42</t>
  </si>
  <si>
    <t>787</t>
  </si>
  <si>
    <t>18.12</t>
  </si>
  <si>
    <t>26,879.21</t>
  </si>
  <si>
    <t>22,400.00</t>
  </si>
  <si>
    <t>4,479.21</t>
  </si>
  <si>
    <t>788</t>
  </si>
  <si>
    <t>106.25</t>
  </si>
  <si>
    <t>157,611.25</t>
  </si>
  <si>
    <t>131,250.00</t>
  </si>
  <si>
    <t>26,361.25</t>
  </si>
  <si>
    <t>789</t>
  </si>
  <si>
    <t>8,396.04</t>
  </si>
  <si>
    <t>1,396.04</t>
  </si>
  <si>
    <t>PYS01-CRepairR</t>
  </si>
  <si>
    <t>[수묵화] 인텐시브 리페어 크림 50ml</t>
  </si>
  <si>
    <t>557.60</t>
  </si>
  <si>
    <t>827,143.84</t>
  </si>
  <si>
    <t>688,800.00</t>
  </si>
  <si>
    <t>138,343.84</t>
  </si>
  <si>
    <t>791</t>
  </si>
  <si>
    <t>PYS01-MoistureCR</t>
  </si>
  <si>
    <t>[수묵화] 모이스쳐 크림 100ml</t>
  </si>
  <si>
    <t>9.06</t>
  </si>
  <si>
    <t>199.32</t>
  </si>
  <si>
    <t>295,671.29</t>
  </si>
  <si>
    <t>11,200.00</t>
  </si>
  <si>
    <t>246,400.00</t>
  </si>
  <si>
    <t>49,271.29</t>
  </si>
  <si>
    <t>792</t>
  </si>
  <si>
    <t>PYS01-NutrltionCR</t>
  </si>
  <si>
    <t>*[변경예정] 리뉴얼 뉴트리션 크림 100ml</t>
  </si>
  <si>
    <t>1,357.67</t>
  </si>
  <si>
    <t>2,013,967.68</t>
  </si>
  <si>
    <t>12,250.00</t>
  </si>
  <si>
    <t>1,678,250.00</t>
  </si>
  <si>
    <t>335,717.68</t>
  </si>
  <si>
    <t>793</t>
  </si>
  <si>
    <t>327.25</t>
  </si>
  <si>
    <t>485,442.65</t>
  </si>
  <si>
    <t>404,250.00</t>
  </si>
  <si>
    <t>81,192.65</t>
  </si>
  <si>
    <t>794</t>
  </si>
  <si>
    <t>208.38</t>
  </si>
  <si>
    <t>309,110.89</t>
  </si>
  <si>
    <t>257,600.00</t>
  </si>
  <si>
    <t>51,510.89</t>
  </si>
  <si>
    <t>795</t>
  </si>
  <si>
    <t>PYS12-SC</t>
  </si>
  <si>
    <t>[변경예정] 진정 수분 영양 크림 50ml</t>
  </si>
  <si>
    <t>72.48</t>
  </si>
  <si>
    <t>107,516.83</t>
  </si>
  <si>
    <t>89,600.00</t>
  </si>
  <si>
    <t>17,916.83</t>
  </si>
  <si>
    <t>PYS19-BS</t>
  </si>
  <si>
    <t>(변경예정) 브라이트닝 잡티 세럼 30ml</t>
  </si>
  <si>
    <t>181.12</t>
  </si>
  <si>
    <t>268,673.41</t>
  </si>
  <si>
    <t>224,000.00</t>
  </si>
  <si>
    <t>44,673.41</t>
  </si>
  <si>
    <t>797</t>
  </si>
  <si>
    <t>PYSM16-SC</t>
  </si>
  <si>
    <t>키즈 촉촉 선크림 75ml</t>
  </si>
  <si>
    <t>124.52</t>
  </si>
  <si>
    <t>184,712.97</t>
  </si>
  <si>
    <t>52,712.97</t>
  </si>
  <si>
    <t>798</t>
  </si>
  <si>
    <t>1,649.00</t>
  </si>
  <si>
    <t>2,446,126.60</t>
  </si>
  <si>
    <t>1,835,240.00</t>
  </si>
  <si>
    <t>610,886.60</t>
  </si>
  <si>
    <t>799</t>
  </si>
  <si>
    <t>84.90</t>
  </si>
  <si>
    <t>125,940.66</t>
  </si>
  <si>
    <t>31,440.66</t>
  </si>
  <si>
    <t>RLP06-M10R</t>
  </si>
  <si>
    <t>*리뉴얼 (10매입) 약콩 영양 마스크</t>
  </si>
  <si>
    <t>79.24</t>
  </si>
  <si>
    <t>117,544.62</t>
  </si>
  <si>
    <t>29,344.62</t>
  </si>
  <si>
    <t>801</t>
  </si>
  <si>
    <t>1,107.20</t>
  </si>
  <si>
    <t>1,642,420.48</t>
  </si>
  <si>
    <t>1,235,220.00</t>
  </si>
  <si>
    <t>407,200.48</t>
  </si>
  <si>
    <t>802</t>
  </si>
  <si>
    <t>412.09</t>
  </si>
  <si>
    <t>611,294.31</t>
  </si>
  <si>
    <t>460,600.00</t>
  </si>
  <si>
    <t>150,694.31</t>
  </si>
  <si>
    <t>803</t>
  </si>
  <si>
    <t>804</t>
  </si>
  <si>
    <t>60.90</t>
  </si>
  <si>
    <t>89,998.02</t>
  </si>
  <si>
    <t>72,000.00</t>
  </si>
  <si>
    <t>17,998.02</t>
  </si>
  <si>
    <t>IN00427716</t>
  </si>
  <si>
    <t>805</t>
  </si>
  <si>
    <t>46.50</t>
  </si>
  <si>
    <t>68,717.70</t>
  </si>
  <si>
    <t>51,060.00</t>
  </si>
  <si>
    <t>17,657.70</t>
  </si>
  <si>
    <t>806</t>
  </si>
  <si>
    <t>31.00</t>
  </si>
  <si>
    <t>45,811.80</t>
  </si>
  <si>
    <t>34,040.00</t>
  </si>
  <si>
    <t>11,771.80</t>
  </si>
  <si>
    <t>807</t>
  </si>
  <si>
    <t>77.50</t>
  </si>
  <si>
    <t>114,529.50</t>
  </si>
  <si>
    <t>85,100.00</t>
  </si>
  <si>
    <t>29,429.50</t>
  </si>
  <si>
    <t>808</t>
  </si>
  <si>
    <t>2026-03-31</t>
  </si>
  <si>
    <t>12,516</t>
  </si>
  <si>
    <t>76,222.44</t>
  </si>
  <si>
    <t>110,431,071.07</t>
  </si>
  <si>
    <t>7,314.22</t>
  </si>
  <si>
    <t>91,544,720.00</t>
  </si>
  <si>
    <t>18,886,351.07</t>
  </si>
  <si>
    <t>17.1</t>
  </si>
  <si>
    <t>IN00425665</t>
  </si>
  <si>
    <t>809</t>
  </si>
  <si>
    <t>1,466.40</t>
  </si>
  <si>
    <t>2,124,520.32</t>
  </si>
  <si>
    <t>1,862,400.00</t>
  </si>
  <si>
    <t>262,120.32</t>
  </si>
  <si>
    <t>7,293</t>
  </si>
  <si>
    <t>63,157.38</t>
  </si>
  <si>
    <t>91,502,412.14</t>
  </si>
  <si>
    <t>9,115.59</t>
  </si>
  <si>
    <t>66,480,000.00</t>
  </si>
  <si>
    <t>25,022,412.14</t>
  </si>
  <si>
    <t>27.3</t>
  </si>
  <si>
    <t>811</t>
  </si>
  <si>
    <t>1,260.63</t>
  </si>
  <si>
    <t>1,826,400.74</t>
  </si>
  <si>
    <t>1,606,320.00</t>
  </si>
  <si>
    <t>220,080.74</t>
  </si>
  <si>
    <t>812</t>
  </si>
  <si>
    <t>ANS01-T250R</t>
  </si>
  <si>
    <t>[리뉴얼] 어성초 77 수딩 토너 250ml</t>
  </si>
  <si>
    <t>9.15</t>
  </si>
  <si>
    <t>201.30</t>
  </si>
  <si>
    <t>291,643.44</t>
  </si>
  <si>
    <t>255,860.00</t>
  </si>
  <si>
    <t>35,783.44</t>
  </si>
  <si>
    <t>813</t>
  </si>
  <si>
    <t>9.61</t>
  </si>
  <si>
    <t>3,920.88</t>
  </si>
  <si>
    <t>5,680,570.94</t>
  </si>
  <si>
    <t>4,973,520.00</t>
  </si>
  <si>
    <t>707,050.94</t>
  </si>
  <si>
    <t>814</t>
  </si>
  <si>
    <t>12.11</t>
  </si>
  <si>
    <t>7,883.61</t>
  </si>
  <si>
    <t>11,421,774.17</t>
  </si>
  <si>
    <t>10,097,010.00</t>
  </si>
  <si>
    <t>1,324,764.17</t>
  </si>
  <si>
    <t>815</t>
  </si>
  <si>
    <t>5,208.62</t>
  </si>
  <si>
    <t>7,546,248.66</t>
  </si>
  <si>
    <t>6,606,980.00</t>
  </si>
  <si>
    <t>939,268.66</t>
  </si>
  <si>
    <t>816</t>
  </si>
  <si>
    <t>7.77</t>
  </si>
  <si>
    <t>3,908.31</t>
  </si>
  <si>
    <t>5,662,359.53</t>
  </si>
  <si>
    <t>5,014,910.00</t>
  </si>
  <si>
    <t>647,449.53</t>
  </si>
  <si>
    <t>817</t>
  </si>
  <si>
    <t>6.33</t>
  </si>
  <si>
    <t>1,519.20</t>
  </si>
  <si>
    <t>2,158,327.44</t>
  </si>
  <si>
    <t>1,598,400.00</t>
  </si>
  <si>
    <t>559,927.44</t>
  </si>
  <si>
    <t>IN00425662</t>
  </si>
  <si>
    <t>818</t>
  </si>
  <si>
    <t>5,075</t>
  </si>
  <si>
    <t>3.48</t>
  </si>
  <si>
    <t>17,661.00</t>
  </si>
  <si>
    <t>25,090,982.70</t>
  </si>
  <si>
    <t>18,589,725.00</t>
  </si>
  <si>
    <t>6,501,257.70</t>
  </si>
  <si>
    <t>819</t>
  </si>
  <si>
    <t>cosC05-OCEU</t>
  </si>
  <si>
    <t>약산성 나이아신아마이드 미셀라 클렌징 워터 400ml (EU 패키지)</t>
  </si>
  <si>
    <t>4.58</t>
  </si>
  <si>
    <t>1,786.20</t>
  </si>
  <si>
    <t>2,537,654.34</t>
  </si>
  <si>
    <t>1,875,900.00</t>
  </si>
  <si>
    <t>661,754.34</t>
  </si>
  <si>
    <t>749.28</t>
  </si>
  <si>
    <t>1,064,502.10</t>
  </si>
  <si>
    <t>808,080.00</t>
  </si>
  <si>
    <t>256,422.10</t>
  </si>
  <si>
    <t>821</t>
  </si>
  <si>
    <t>cosP21-PKEU</t>
  </si>
  <si>
    <t>풀핏 프로폴리스 허니 오버나이트 마스크 60mL (EU 패키지)</t>
  </si>
  <si>
    <t>6.69</t>
  </si>
  <si>
    <t>883.08</t>
  </si>
  <si>
    <t>1,254,591.76</t>
  </si>
  <si>
    <t>927,960.00</t>
  </si>
  <si>
    <t>326,631.76</t>
  </si>
  <si>
    <t>cosS14-T</t>
  </si>
  <si>
    <t>센텔라 워터 알코올-프리 토너 150ml</t>
  </si>
  <si>
    <t>4.43</t>
  </si>
  <si>
    <t>2,658.00</t>
  </si>
  <si>
    <t>3,776,220.60</t>
  </si>
  <si>
    <t>2,797,200.00</t>
  </si>
  <si>
    <t>979,020.60</t>
  </si>
  <si>
    <t>823</t>
  </si>
  <si>
    <t>8.27</t>
  </si>
  <si>
    <t>1,736.70</t>
  </si>
  <si>
    <t>2,467,329.69</t>
  </si>
  <si>
    <t>1,825,950.00</t>
  </si>
  <si>
    <t>641,379.69</t>
  </si>
  <si>
    <t>824</t>
  </si>
  <si>
    <t>cosS26-CEU</t>
  </si>
  <si>
    <t>밸런시움 컴포트 세라마이드 크림 80g (EU 패키지)</t>
  </si>
  <si>
    <t>2,038.68</t>
  </si>
  <si>
    <t>2,896,352.68</t>
  </si>
  <si>
    <t>2,144,520.00</t>
  </si>
  <si>
    <t>751,832.68</t>
  </si>
  <si>
    <t>825</t>
  </si>
  <si>
    <t>1,730.40</t>
  </si>
  <si>
    <t>2,458,379.28</t>
  </si>
  <si>
    <t>1,864,800.00</t>
  </si>
  <si>
    <t>593,579.28</t>
  </si>
  <si>
    <t>826</t>
  </si>
  <si>
    <t>5.15</t>
  </si>
  <si>
    <t>1,236.00</t>
  </si>
  <si>
    <t>1,755,985.20</t>
  </si>
  <si>
    <t>1,332,000.00</t>
  </si>
  <si>
    <t>423,985.20</t>
  </si>
  <si>
    <t>827</t>
  </si>
  <si>
    <t>6.52</t>
  </si>
  <si>
    <t>782.40</t>
  </si>
  <si>
    <t>1,111,555.68</t>
  </si>
  <si>
    <t>843,600.00</t>
  </si>
  <si>
    <t>267,955.68</t>
  </si>
  <si>
    <t>828</t>
  </si>
  <si>
    <t>cosS56-PATCH90EU</t>
  </si>
  <si>
    <t>[EU]마스터 패치 인텐시브_90매입</t>
  </si>
  <si>
    <t>7.04</t>
  </si>
  <si>
    <t>7,040.00</t>
  </si>
  <si>
    <t>10,001,728.00</t>
  </si>
  <si>
    <t>2,601,728.00</t>
  </si>
  <si>
    <t>829</t>
  </si>
  <si>
    <t>1,848.00</t>
  </si>
  <si>
    <t>2,625,453.60</t>
  </si>
  <si>
    <t>1,942,500.00</t>
  </si>
  <si>
    <t>682,953.60</t>
  </si>
  <si>
    <t>830</t>
  </si>
  <si>
    <t>cosS58-ShEU</t>
  </si>
  <si>
    <t>더 히알루론산 3 세럼 20ml (EU 패키지)</t>
  </si>
  <si>
    <t>1,618.00</t>
  </si>
  <si>
    <t>2,298,692.60</t>
  </si>
  <si>
    <t>596,692.60</t>
  </si>
  <si>
    <t>831</t>
  </si>
  <si>
    <t>3,671.40</t>
  </si>
  <si>
    <t>5,215,957.98</t>
  </si>
  <si>
    <t>4,176,000.00</t>
  </si>
  <si>
    <t>1,039,957.98</t>
  </si>
  <si>
    <t>832</t>
  </si>
  <si>
    <t>6,776.00</t>
  </si>
  <si>
    <t>9,626,663.20</t>
  </si>
  <si>
    <t>7,700,000.00</t>
  </si>
  <si>
    <t>1,926,663.20</t>
  </si>
  <si>
    <t>833</t>
  </si>
  <si>
    <t>7.90</t>
  </si>
  <si>
    <t>790.00</t>
  </si>
  <si>
    <t>1,122,353.00</t>
  </si>
  <si>
    <t>851,000.00</t>
  </si>
  <si>
    <t>271,353.00</t>
  </si>
  <si>
    <t>834</t>
  </si>
  <si>
    <t>2026-03-26</t>
  </si>
  <si>
    <t>899.58</t>
  </si>
  <si>
    <t>1,297,914.02</t>
  </si>
  <si>
    <t>930,600.00</t>
  </si>
  <si>
    <t>367,314.02</t>
  </si>
  <si>
    <t>IN00421284</t>
  </si>
  <si>
    <t>835</t>
  </si>
  <si>
    <t>1,017</t>
  </si>
  <si>
    <t>6,488.46</t>
  </si>
  <si>
    <t>9,361,550.09</t>
  </si>
  <si>
    <t>6,712,200.00</t>
  </si>
  <si>
    <t>2,649,350.09</t>
  </si>
  <si>
    <t>836</t>
  </si>
  <si>
    <t>1,237.72</t>
  </si>
  <si>
    <t>1,785,782.42</t>
  </si>
  <si>
    <t>1,280,400.00</t>
  </si>
  <si>
    <t>505,382.42</t>
  </si>
  <si>
    <t>837</t>
  </si>
  <si>
    <t>9.02</t>
  </si>
  <si>
    <t>1,840.08</t>
  </si>
  <si>
    <t>2,654,867.42</t>
  </si>
  <si>
    <t>1,402,092.00</t>
  </si>
  <si>
    <t>1,252,775.42</t>
  </si>
  <si>
    <t>838</t>
  </si>
  <si>
    <t>2,947.56</t>
  </si>
  <si>
    <t>4,252,739.57</t>
  </si>
  <si>
    <t>5,820.00</t>
  </si>
  <si>
    <t>2,816,880.00</t>
  </si>
  <si>
    <t>1,435,859.57</t>
  </si>
  <si>
    <t>839</t>
  </si>
  <si>
    <t>1,570</t>
  </si>
  <si>
    <t>13,596.20</t>
  </si>
  <si>
    <t>19,616,597.36</t>
  </si>
  <si>
    <t>8,310.00</t>
  </si>
  <si>
    <t>13,046,700.00</t>
  </si>
  <si>
    <t>6,569,897.36</t>
  </si>
  <si>
    <t>33.5</t>
  </si>
  <si>
    <t>ANC01-SCR</t>
  </si>
  <si>
    <t>[리뉴얼] 어성초 LHA 모이스처 필링젤 120ml</t>
  </si>
  <si>
    <t>8.70</t>
  </si>
  <si>
    <t>2,436.00</t>
  </si>
  <si>
    <t>3,514,660.80</t>
  </si>
  <si>
    <t>3,102,400.00</t>
  </si>
  <si>
    <t>412,260.80</t>
  </si>
  <si>
    <t>841</t>
  </si>
  <si>
    <t>3,410.40</t>
  </si>
  <si>
    <t>4,920,525.12</t>
  </si>
  <si>
    <t>4,345,600.00</t>
  </si>
  <si>
    <t>574,925.12</t>
  </si>
  <si>
    <t>842</t>
  </si>
  <si>
    <t>8,080.80</t>
  </si>
  <si>
    <t>11,658,978.24</t>
  </si>
  <si>
    <t>10,368,800.00</t>
  </si>
  <si>
    <t>1,290,178.24</t>
  </si>
  <si>
    <t>843</t>
  </si>
  <si>
    <t>1,175.37</t>
  </si>
  <si>
    <t>1,695,823.84</t>
  </si>
  <si>
    <t>1,497,680.00</t>
  </si>
  <si>
    <t>198,143.84</t>
  </si>
  <si>
    <t>844</t>
  </si>
  <si>
    <t>1,218.00</t>
  </si>
  <si>
    <t>1,757,330.40</t>
  </si>
  <si>
    <t>1,552,000.00</t>
  </si>
  <si>
    <t>205,330.40</t>
  </si>
  <si>
    <t>845</t>
  </si>
  <si>
    <t>ANP01-PKMSR</t>
  </si>
  <si>
    <t>(단종) [리뉴얼] [1매입] 어성초 80 수분 진정 앰플 마스크 27ml</t>
  </si>
  <si>
    <t>1.73</t>
  </si>
  <si>
    <t>173.00</t>
  </si>
  <si>
    <t>249,604.40</t>
  </si>
  <si>
    <t>2,220.00</t>
  </si>
  <si>
    <t>222,000.00</t>
  </si>
  <si>
    <t>27,604.40</t>
  </si>
  <si>
    <t>846</t>
  </si>
  <si>
    <t>1.52</t>
  </si>
  <si>
    <t>820.80</t>
  </si>
  <si>
    <t>1,184,250.24</t>
  </si>
  <si>
    <t>1,047,600.00</t>
  </si>
  <si>
    <t>136,650.24</t>
  </si>
  <si>
    <t>847</t>
  </si>
  <si>
    <t>152.00</t>
  </si>
  <si>
    <t>219,305.60</t>
  </si>
  <si>
    <t>194,000.00</t>
  </si>
  <si>
    <t>25,305.60</t>
  </si>
  <si>
    <t>848</t>
  </si>
  <si>
    <t>10.93</t>
  </si>
  <si>
    <t>2,951.10</t>
  </si>
  <si>
    <t>4,257,847.08</t>
  </si>
  <si>
    <t>3,739,500.00</t>
  </si>
  <si>
    <t>518,347.08</t>
  </si>
  <si>
    <t>849</t>
  </si>
  <si>
    <t>10.87</t>
  </si>
  <si>
    <t>9,565.60</t>
  </si>
  <si>
    <t>13,801,247.68</t>
  </si>
  <si>
    <t>13,892.95</t>
  </si>
  <si>
    <t>12,225,800.00</t>
  </si>
  <si>
    <t>1,575,447.68</t>
  </si>
  <si>
    <t>3,798</t>
  </si>
  <si>
    <t>34,751.70</t>
  </si>
  <si>
    <t>50,139,752.76</t>
  </si>
  <si>
    <t>9,812.73</t>
  </si>
  <si>
    <t>37,268,740.00</t>
  </si>
  <si>
    <t>12,871,012.76</t>
  </si>
  <si>
    <t>851</t>
  </si>
  <si>
    <t>ANS04-T</t>
  </si>
  <si>
    <t>(리뉴얼코드확인) 자작나무 70 수분 부스팅 토너 250ml</t>
  </si>
  <si>
    <t>76.56</t>
  </si>
  <si>
    <t>110,460.77</t>
  </si>
  <si>
    <t>92,400.00</t>
  </si>
  <si>
    <t>18,060.77</t>
  </si>
  <si>
    <t>16.4</t>
  </si>
  <si>
    <t>852</t>
  </si>
  <si>
    <t>9.13</t>
  </si>
  <si>
    <t>1,095.60</t>
  </si>
  <si>
    <t>1,580,731.68</t>
  </si>
  <si>
    <t>572,731.68</t>
  </si>
  <si>
    <t>36.2</t>
  </si>
  <si>
    <t>853</t>
  </si>
  <si>
    <t>10.81</t>
  </si>
  <si>
    <t>3,026.80</t>
  </si>
  <si>
    <t>4,367,067.04</t>
  </si>
  <si>
    <t>3,878,000.00</t>
  </si>
  <si>
    <t>489,067.04</t>
  </si>
  <si>
    <t>11.2</t>
  </si>
  <si>
    <t>854</t>
  </si>
  <si>
    <t>1,188</t>
  </si>
  <si>
    <t>16,283,440.80</t>
  </si>
  <si>
    <t>14,481,720.00</t>
  </si>
  <si>
    <t>1,801,720.80</t>
  </si>
  <si>
    <t>855</t>
  </si>
  <si>
    <t>6,588.00</t>
  </si>
  <si>
    <t>9,505,166.40</t>
  </si>
  <si>
    <t>8,373,600.00</t>
  </si>
  <si>
    <t>1,131,566.40</t>
  </si>
  <si>
    <t>856</t>
  </si>
  <si>
    <t>6,612.00</t>
  </si>
  <si>
    <t>9,539,793.60</t>
  </si>
  <si>
    <t>8,420,800.00</t>
  </si>
  <si>
    <t>1,118,993.60</t>
  </si>
  <si>
    <t>857</t>
  </si>
  <si>
    <t>1,383.84</t>
  </si>
  <si>
    <t>1,996,604.35</t>
  </si>
  <si>
    <t>1,755,360.00</t>
  </si>
  <si>
    <t>241,244.35</t>
  </si>
  <si>
    <t>858</t>
  </si>
  <si>
    <t>5,535.36</t>
  </si>
  <si>
    <t>7,986,417.41</t>
  </si>
  <si>
    <t>7,021,440.00</t>
  </si>
  <si>
    <t>964,977.41</t>
  </si>
  <si>
    <t>859</t>
  </si>
  <si>
    <t>6.10</t>
  </si>
  <si>
    <t>4,392.00</t>
  </si>
  <si>
    <t>6,336,777.60</t>
  </si>
  <si>
    <t>5,587,200.00</t>
  </si>
  <si>
    <t>749,577.60</t>
  </si>
  <si>
    <t>11.8</t>
  </si>
  <si>
    <t>9.11</t>
  </si>
  <si>
    <t>4,919.40</t>
  </si>
  <si>
    <t>7,097,710.32</t>
  </si>
  <si>
    <t>6,280,200.00</t>
  </si>
  <si>
    <t>817,510.32</t>
  </si>
  <si>
    <t>861</t>
  </si>
  <si>
    <t>1,281.00</t>
  </si>
  <si>
    <t>1,848,226.80</t>
  </si>
  <si>
    <t>1,628,200.00</t>
  </si>
  <si>
    <t>220,026.80</t>
  </si>
  <si>
    <t>862</t>
  </si>
  <si>
    <t>8.20</t>
  </si>
  <si>
    <t>6,232.00</t>
  </si>
  <si>
    <t>8,991,529.60</t>
  </si>
  <si>
    <t>10,545.51</t>
  </si>
  <si>
    <t>8,014,588.50</t>
  </si>
  <si>
    <t>976,941.10</t>
  </si>
  <si>
    <t>10.9</t>
  </si>
  <si>
    <t>863</t>
  </si>
  <si>
    <t>1,618</t>
  </si>
  <si>
    <t>15,548.98</t>
  </si>
  <si>
    <t>22,434,068.34</t>
  </si>
  <si>
    <t>11,107.39</t>
  </si>
  <si>
    <t>17,971,760.00</t>
  </si>
  <si>
    <t>4,462,308.34</t>
  </si>
  <si>
    <t>864</t>
  </si>
  <si>
    <t>132.09</t>
  </si>
  <si>
    <t>190,579.45</t>
  </si>
  <si>
    <t>169,490.00</t>
  </si>
  <si>
    <t>21,089.45</t>
  </si>
  <si>
    <t>865</t>
  </si>
  <si>
    <t>10,532</t>
  </si>
  <si>
    <t>81,728.32</t>
  </si>
  <si>
    <t>117,917,620.10</t>
  </si>
  <si>
    <t>63,192,000.00</t>
  </si>
  <si>
    <t>54,725,620.10</t>
  </si>
  <si>
    <t>866</t>
  </si>
  <si>
    <t>4,035.20</t>
  </si>
  <si>
    <t>5,821,986.56</t>
  </si>
  <si>
    <t>3,120,000.00</t>
  </si>
  <si>
    <t>2,701,986.56</t>
  </si>
  <si>
    <t>867</t>
  </si>
  <si>
    <t>6,208.00</t>
  </si>
  <si>
    <t>8,956,902.40</t>
  </si>
  <si>
    <t>4,800,000.00</t>
  </si>
  <si>
    <t>4,156,902.40</t>
  </si>
  <si>
    <t>868</t>
  </si>
  <si>
    <t>8.32</t>
  </si>
  <si>
    <t>341.12</t>
  </si>
  <si>
    <t>492,167.94</t>
  </si>
  <si>
    <t>261,170.00</t>
  </si>
  <si>
    <t>230,997.94</t>
  </si>
  <si>
    <t>869</t>
  </si>
  <si>
    <t>16.63</t>
  </si>
  <si>
    <t>1,380.29</t>
  </si>
  <si>
    <t>1,991,482.41</t>
  </si>
  <si>
    <t>1,064,890.00</t>
  </si>
  <si>
    <t>926,592.41</t>
  </si>
  <si>
    <t>870</t>
  </si>
  <si>
    <t>BODS06-TPC</t>
  </si>
  <si>
    <t>콜라겐 겔 토너패드 60pads</t>
  </si>
  <si>
    <t>5,270.85</t>
  </si>
  <si>
    <t>7,604,782.38</t>
  </si>
  <si>
    <t>2,924,782.38</t>
  </si>
  <si>
    <t>38.5</t>
  </si>
  <si>
    <t>871</t>
  </si>
  <si>
    <t>CMXC01-BFR</t>
  </si>
  <si>
    <t>(Renew) 노니 아크네 버블 클렌저 155ml</t>
  </si>
  <si>
    <t>셀리맥스</t>
  </si>
  <si>
    <t>2,174.37</t>
  </si>
  <si>
    <t>3,137,181.04</t>
  </si>
  <si>
    <t>6,536.36</t>
  </si>
  <si>
    <t>2,372,699.99</t>
  </si>
  <si>
    <t>764,481.05</t>
  </si>
  <si>
    <t>872</t>
  </si>
  <si>
    <t>CMXC02-AF</t>
  </si>
  <si>
    <t>지우개 시카 아크네 폼 클렌징 150ml</t>
  </si>
  <si>
    <t>157.32</t>
  </si>
  <si>
    <t>226,981.30</t>
  </si>
  <si>
    <t>4,754.55</t>
  </si>
  <si>
    <t>171,163.63</t>
  </si>
  <si>
    <t>55,817.66</t>
  </si>
  <si>
    <t>873</t>
  </si>
  <si>
    <t>CMXC02-Fr</t>
  </si>
  <si>
    <t>베이킹 소다 딥 포어 폼 클렌징 150ml</t>
  </si>
  <si>
    <t>3.56</t>
  </si>
  <si>
    <t>359.56</t>
  </si>
  <si>
    <t>518,773.17</t>
  </si>
  <si>
    <t>3,854.55</t>
  </si>
  <si>
    <t>389,309.09</t>
  </si>
  <si>
    <t>129,464.08</t>
  </si>
  <si>
    <t>874</t>
  </si>
  <si>
    <t>CMXC03-CO150R</t>
  </si>
  <si>
    <t>*Renew* 더마네이처 프레시 블랙헤드 호호바 클렌징 오일 150ml</t>
  </si>
  <si>
    <t>611.62</t>
  </si>
  <si>
    <t>882,445.34</t>
  </si>
  <si>
    <t>655,272.72</t>
  </si>
  <si>
    <t>227,172.62</t>
  </si>
  <si>
    <t>875</t>
  </si>
  <si>
    <t>CMXC06-FR</t>
  </si>
  <si>
    <t>(Renew) 듀얼배리어 마일드 젤 클렌저 200ml</t>
  </si>
  <si>
    <t>841.08</t>
  </si>
  <si>
    <t>1,213,510.22</t>
  </si>
  <si>
    <t>7,045.45</t>
  </si>
  <si>
    <t>908,863.63</t>
  </si>
  <si>
    <t>304,646.59</t>
  </si>
  <si>
    <t>876</t>
  </si>
  <si>
    <t>CMXP01-PKN100R</t>
  </si>
  <si>
    <t>(Renew) 노니 리프레쉬 클레이 마스크 120g</t>
  </si>
  <si>
    <t>5.24</t>
  </si>
  <si>
    <t>303.92</t>
  </si>
  <si>
    <t>438,495.78</t>
  </si>
  <si>
    <t>5,727.27</t>
  </si>
  <si>
    <t>332,181.82</t>
  </si>
  <si>
    <t>106,313.96</t>
  </si>
  <si>
    <t>877</t>
  </si>
  <si>
    <t>CMXS01-Ac40RR</t>
  </si>
  <si>
    <t>(Renew) 더 리얼 시카 나이아신아마이드 에이씨 카밍 세럼 40ml</t>
  </si>
  <si>
    <t>6.49</t>
  </si>
  <si>
    <t>298.54</t>
  </si>
  <si>
    <t>430,733.51</t>
  </si>
  <si>
    <t>7,091.00</t>
  </si>
  <si>
    <t>326,186.00</t>
  </si>
  <si>
    <t>104,547.51</t>
  </si>
  <si>
    <t>878</t>
  </si>
  <si>
    <t>CMXS01-CN50</t>
  </si>
  <si>
    <t>노니 에너지 리페어 크림 50ml</t>
  </si>
  <si>
    <t>8.16</t>
  </si>
  <si>
    <t>326.40</t>
  </si>
  <si>
    <t>470,929.92</t>
  </si>
  <si>
    <t>8,918.18</t>
  </si>
  <si>
    <t>356,727.27</t>
  </si>
  <si>
    <t>114,202.65</t>
  </si>
  <si>
    <t>879</t>
  </si>
  <si>
    <t>CMXS01-MN50R</t>
  </si>
  <si>
    <t>(Renew) 노니 에너지 앰플 미스트 50ml</t>
  </si>
  <si>
    <t>707.50</t>
  </si>
  <si>
    <t>1,020,781.00</t>
  </si>
  <si>
    <t>6,381.82</t>
  </si>
  <si>
    <t>797,727.26</t>
  </si>
  <si>
    <t>223,053.74</t>
  </si>
  <si>
    <t>CMXS02-Pr</t>
  </si>
  <si>
    <t>어성초 BHA 지우개 필링패드 60EA</t>
  </si>
  <si>
    <t>1,260.48</t>
  </si>
  <si>
    <t>1,818,620.54</t>
  </si>
  <si>
    <t>6,718.18</t>
  </si>
  <si>
    <t>1,357,072.72</t>
  </si>
  <si>
    <t>461,547.82</t>
  </si>
  <si>
    <t>881</t>
  </si>
  <si>
    <t>CMXS06-TR</t>
  </si>
  <si>
    <t>(Renew) 듀얼배리어 크리미 토너 150ml</t>
  </si>
  <si>
    <t>7.17</t>
  </si>
  <si>
    <t>4,151.43</t>
  </si>
  <si>
    <t>5,989,683.20</t>
  </si>
  <si>
    <t>4,458,300.00</t>
  </si>
  <si>
    <t>1,531,383.20</t>
  </si>
  <si>
    <t>882</t>
  </si>
  <si>
    <t>CMXS08-BP</t>
  </si>
  <si>
    <t>브라이트닝 모공잡티 패드 (40pads)</t>
  </si>
  <si>
    <t>5.54</t>
  </si>
  <si>
    <t>1,944.54</t>
  </si>
  <si>
    <t>2,805,582.31</t>
  </si>
  <si>
    <t>2,121,954.53</t>
  </si>
  <si>
    <t>683,627.78</t>
  </si>
  <si>
    <t>883</t>
  </si>
  <si>
    <t>CMXS08-BS</t>
  </si>
  <si>
    <t>브라이트닝 모공잡티 세럼 30ml</t>
  </si>
  <si>
    <t>2,573.12</t>
  </si>
  <si>
    <t>3,712,497.54</t>
  </si>
  <si>
    <t>7,472.73</t>
  </si>
  <si>
    <t>2,794,799.97</t>
  </si>
  <si>
    <t>917,697.56</t>
  </si>
  <si>
    <t>884</t>
  </si>
  <si>
    <t>CMXS08-C</t>
  </si>
  <si>
    <t>브라이트닝 모공잡티 크림 35ml</t>
  </si>
  <si>
    <t>1,095</t>
  </si>
  <si>
    <t>6.93</t>
  </si>
  <si>
    <t>7,588.35</t>
  </si>
  <si>
    <t>10,948,471.38</t>
  </si>
  <si>
    <t>156.58</t>
  </si>
  <si>
    <t>171,454.54</t>
  </si>
  <si>
    <t>10,777,016.84</t>
  </si>
  <si>
    <t>98.4</t>
  </si>
  <si>
    <t>885</t>
  </si>
  <si>
    <t>CMXS09-VB</t>
  </si>
  <si>
    <t>더 VITA-A 레티날 샷 타이트닝 부스터 15ml</t>
  </si>
  <si>
    <t>14,000</t>
  </si>
  <si>
    <t>96,040.00</t>
  </si>
  <si>
    <t>138,566,512.00</t>
  </si>
  <si>
    <t>6,454.55</t>
  </si>
  <si>
    <t>90,363,635.60</t>
  </si>
  <si>
    <t>48,202,876.40</t>
  </si>
  <si>
    <t>34.8</t>
  </si>
  <si>
    <t>886</t>
  </si>
  <si>
    <t>CMXS09-VS</t>
  </si>
  <si>
    <t>더 VITA-A 레티놀 샷 타이트닝 세럼 30ml</t>
  </si>
  <si>
    <t>1,608</t>
  </si>
  <si>
    <t>11,063.04</t>
  </si>
  <si>
    <t>15,961,754.11</t>
  </si>
  <si>
    <t>6,636.00</t>
  </si>
  <si>
    <t>10,670,688.00</t>
  </si>
  <si>
    <t>5,291,066.11</t>
  </si>
  <si>
    <t>33.1</t>
  </si>
  <si>
    <t>887</t>
  </si>
  <si>
    <t>CMXSM05-SCR</t>
  </si>
  <si>
    <t>(Renew) 오일 컨트롤 라이트 선크림 40ml</t>
  </si>
  <si>
    <t>6.25</t>
  </si>
  <si>
    <t>312.50</t>
  </si>
  <si>
    <t>450,875.00</t>
  </si>
  <si>
    <t>6,809.09</t>
  </si>
  <si>
    <t>340,454.55</t>
  </si>
  <si>
    <t>110,420.46</t>
  </si>
  <si>
    <t>CMXSM06-SC</t>
  </si>
  <si>
    <t>듀얼베리어 워터리 선크림 40ml</t>
  </si>
  <si>
    <t>279.07</t>
  </si>
  <si>
    <t>402,642.20</t>
  </si>
  <si>
    <t>302,954.54</t>
  </si>
  <si>
    <t>99,687.65</t>
  </si>
  <si>
    <t>889</t>
  </si>
  <si>
    <t>4.51</t>
  </si>
  <si>
    <t>9,876.90</t>
  </si>
  <si>
    <t>14,250,391.32</t>
  </si>
  <si>
    <t>11,957,400.00</t>
  </si>
  <si>
    <t>2,292,991.32</t>
  </si>
  <si>
    <t>2,320</t>
  </si>
  <si>
    <t>11.78</t>
  </si>
  <si>
    <t>27,329.60</t>
  </si>
  <si>
    <t>39,431,146.88</t>
  </si>
  <si>
    <t>33,129,600.00</t>
  </si>
  <si>
    <t>6,301,546.88</t>
  </si>
  <si>
    <t>891</t>
  </si>
  <si>
    <t>1,460</t>
  </si>
  <si>
    <t>9,110.40</t>
  </si>
  <si>
    <t>13,144,485.12</t>
  </si>
  <si>
    <t>11,037,600.00</t>
  </si>
  <si>
    <t>2,106,885.12</t>
  </si>
  <si>
    <t>892</t>
  </si>
  <si>
    <t>5,553.60</t>
  </si>
  <si>
    <t>8,012,734.08</t>
  </si>
  <si>
    <t>5,861.12</t>
  </si>
  <si>
    <t>5,216,400.00</t>
  </si>
  <si>
    <t>2,796,334.08</t>
  </si>
  <si>
    <t>34.9</t>
  </si>
  <si>
    <t>893</t>
  </si>
  <si>
    <t>2,620.80</t>
  </si>
  <si>
    <t>3,781,290.24</t>
  </si>
  <si>
    <t>606,090.24</t>
  </si>
  <si>
    <t>894</t>
  </si>
  <si>
    <t>1,943.70</t>
  </si>
  <si>
    <t>2,804,370.36</t>
  </si>
  <si>
    <t>2,356,200.00</t>
  </si>
  <si>
    <t>448,170.36</t>
  </si>
  <si>
    <t>895</t>
  </si>
  <si>
    <t>JSMSM03-SRA</t>
  </si>
  <si>
    <t>(리뉴얼예정)맑은쌀선크림 아쿠아프레쉬 50ml</t>
  </si>
  <si>
    <t>4,742.40</t>
  </si>
  <si>
    <t>6,842,334.72</t>
  </si>
  <si>
    <t>896</t>
  </si>
  <si>
    <t>6.03</t>
  </si>
  <si>
    <t>1,037.16</t>
  </si>
  <si>
    <t>1,496,414.45</t>
  </si>
  <si>
    <t>6,686.05</t>
  </si>
  <si>
    <t>1,150,000.00</t>
  </si>
  <si>
    <t>346,414.45</t>
  </si>
  <si>
    <t>23.1</t>
  </si>
  <si>
    <t>897</t>
  </si>
  <si>
    <t>10,931</t>
  </si>
  <si>
    <t>8.91</t>
  </si>
  <si>
    <t>97,395.21</t>
  </si>
  <si>
    <t>140,521,808.99</t>
  </si>
  <si>
    <t>112,152,060.00</t>
  </si>
  <si>
    <t>28,369,748.99</t>
  </si>
  <si>
    <t>898</t>
  </si>
  <si>
    <t>6.99</t>
  </si>
  <si>
    <t>552.21</t>
  </si>
  <si>
    <t>796,728.59</t>
  </si>
  <si>
    <t>632,000.00</t>
  </si>
  <si>
    <t>164,728.59</t>
  </si>
  <si>
    <t>899</t>
  </si>
  <si>
    <t>7.16</t>
  </si>
  <si>
    <t>157.52</t>
  </si>
  <si>
    <t>227,269.86</t>
  </si>
  <si>
    <t>184,536.00</t>
  </si>
  <si>
    <t>42,733.86</t>
  </si>
  <si>
    <t>18.8</t>
  </si>
  <si>
    <t>7.20</t>
  </si>
  <si>
    <t>36.00</t>
  </si>
  <si>
    <t>51,940.80</t>
  </si>
  <si>
    <t>41,700.00</t>
  </si>
  <si>
    <t>10,240.80</t>
  </si>
  <si>
    <t>901</t>
  </si>
  <si>
    <t>8.54</t>
  </si>
  <si>
    <t>1,716.54</t>
  </si>
  <si>
    <t>2,476,623.91</t>
  </si>
  <si>
    <t>1,956,735.00</t>
  </si>
  <si>
    <t>519,888.91</t>
  </si>
  <si>
    <t>902</t>
  </si>
  <si>
    <t>38.44</t>
  </si>
  <si>
    <t>55,461.23</t>
  </si>
  <si>
    <t>43,760.00</t>
  </si>
  <si>
    <t>11,701.23</t>
  </si>
  <si>
    <t>903</t>
  </si>
  <si>
    <t>1,141.25</t>
  </si>
  <si>
    <t>1,646,595.50</t>
  </si>
  <si>
    <t>1,335,000.00</t>
  </si>
  <si>
    <t>311,595.50</t>
  </si>
  <si>
    <t>904</t>
  </si>
  <si>
    <t>1,466</t>
  </si>
  <si>
    <t>10.30</t>
  </si>
  <si>
    <t>15,099.80</t>
  </si>
  <si>
    <t>21,785,991.44</t>
  </si>
  <si>
    <t>17,592,000.00</t>
  </si>
  <si>
    <t>4,193,991.44</t>
  </si>
  <si>
    <t>905</t>
  </si>
  <si>
    <t>9.98</t>
  </si>
  <si>
    <t>5,359.26</t>
  </si>
  <si>
    <t>7,732,340.33</t>
  </si>
  <si>
    <t>6,175,500.00</t>
  </si>
  <si>
    <t>1,556,840.33</t>
  </si>
  <si>
    <t>906</t>
  </si>
  <si>
    <t>1,354</t>
  </si>
  <si>
    <t>12,646.36</t>
  </si>
  <si>
    <t>18,246,168.21</t>
  </si>
  <si>
    <t>14,420,100.00</t>
  </si>
  <si>
    <t>3,826,068.21</t>
  </si>
  <si>
    <t>907</t>
  </si>
  <si>
    <t>2,584</t>
  </si>
  <si>
    <t>23,075.12</t>
  </si>
  <si>
    <t>33,292,783.14</t>
  </si>
  <si>
    <t>26,744,400.00</t>
  </si>
  <si>
    <t>6,548,383.14</t>
  </si>
  <si>
    <t>908</t>
  </si>
  <si>
    <t>4,494.57</t>
  </si>
  <si>
    <t>6,484,765.60</t>
  </si>
  <si>
    <t>5,242,500.00</t>
  </si>
  <si>
    <t>1,242,265.60</t>
  </si>
  <si>
    <t>909</t>
  </si>
  <si>
    <t>7.32</t>
  </si>
  <si>
    <t>1,654.32</t>
  </si>
  <si>
    <t>2,386,852.90</t>
  </si>
  <si>
    <t>1,921,000.00</t>
  </si>
  <si>
    <t>465,852.90</t>
  </si>
  <si>
    <t>MECUS10-SREUP</t>
  </si>
  <si>
    <t>[EUP][Renew]트리플 콜라겐 세럼 4.0 55ml</t>
  </si>
  <si>
    <t>6.55</t>
  </si>
  <si>
    <t>1,906.05</t>
  </si>
  <si>
    <t>2,750,048.94</t>
  </si>
  <si>
    <t>2,182,500.00</t>
  </si>
  <si>
    <t>567,548.94</t>
  </si>
  <si>
    <t>911</t>
  </si>
  <si>
    <t>932</t>
  </si>
  <si>
    <t>6,104.60</t>
  </si>
  <si>
    <t>8,807,716.88</t>
  </si>
  <si>
    <t>6,990,000.00</t>
  </si>
  <si>
    <t>1,817,716.88</t>
  </si>
  <si>
    <t>912</t>
  </si>
  <si>
    <t>1,409</t>
  </si>
  <si>
    <t>7.44</t>
  </si>
  <si>
    <t>10,482.96</t>
  </si>
  <si>
    <t>15,124,814.69</t>
  </si>
  <si>
    <t>12,117,400.00</t>
  </si>
  <si>
    <t>3,007,414.69</t>
  </si>
  <si>
    <t>913</t>
  </si>
  <si>
    <t>MECUS13-MEUP</t>
  </si>
  <si>
    <t>[EUP]PDRN 핑크 글루타치온 세럼 미스트</t>
  </si>
  <si>
    <t>2,552.00</t>
  </si>
  <si>
    <t>3,682,025.60</t>
  </si>
  <si>
    <t>2,944,000.00</t>
  </si>
  <si>
    <t>738,025.60</t>
  </si>
  <si>
    <t>914</t>
  </si>
  <si>
    <t>4.66</t>
  </si>
  <si>
    <t>69.90</t>
  </si>
  <si>
    <t>100,851.72</t>
  </si>
  <si>
    <t>16,851.72</t>
  </si>
  <si>
    <t>915</t>
  </si>
  <si>
    <t>PYBS12-CMB</t>
  </si>
  <si>
    <t>[수묵화] 진정 수분 장벽 크림 50ml</t>
  </si>
  <si>
    <t>3,914.40</t>
  </si>
  <si>
    <t>5,647,696.32</t>
  </si>
  <si>
    <t>4,704,000.00</t>
  </si>
  <si>
    <t>943,696.32</t>
  </si>
  <si>
    <t>916</t>
  </si>
  <si>
    <t>1,257.60</t>
  </si>
  <si>
    <t>1,814,465.28</t>
  </si>
  <si>
    <t>302,465.28</t>
  </si>
  <si>
    <t>917</t>
  </si>
  <si>
    <t>3.49</t>
  </si>
  <si>
    <t>816.66</t>
  </si>
  <si>
    <t>1,178,277.05</t>
  </si>
  <si>
    <t>982,800.00</t>
  </si>
  <si>
    <t>195,477.05</t>
  </si>
  <si>
    <t>918</t>
  </si>
  <si>
    <t>2.62</t>
  </si>
  <si>
    <t>2,200.80</t>
  </si>
  <si>
    <t>3,175,314.24</t>
  </si>
  <si>
    <t>2,646,000.00</t>
  </si>
  <si>
    <t>529,314.24</t>
  </si>
  <si>
    <t>919</t>
  </si>
  <si>
    <t>904.59</t>
  </si>
  <si>
    <t>1,305,142.45</t>
  </si>
  <si>
    <t>373,642.45</t>
  </si>
  <si>
    <t>837.60</t>
  </si>
  <si>
    <t>1,208,489.28</t>
  </si>
  <si>
    <t>200,489.28</t>
  </si>
  <si>
    <t>921</t>
  </si>
  <si>
    <t>21.85</t>
  </si>
  <si>
    <t>31,525.18</t>
  </si>
  <si>
    <t>26,250.00</t>
  </si>
  <si>
    <t>5,275.18</t>
  </si>
  <si>
    <t>922</t>
  </si>
  <si>
    <t>PYC15-FRR</t>
  </si>
  <si>
    <t>[수묵화] 약산성 모공 딥 클렌징폼 100ml</t>
  </si>
  <si>
    <t>4,537.00</t>
  </si>
  <si>
    <t>6,545,983.60</t>
  </si>
  <si>
    <t>5,460,000.00</t>
  </si>
  <si>
    <t>1,085,983.60</t>
  </si>
  <si>
    <t>923</t>
  </si>
  <si>
    <t>130.48</t>
  </si>
  <si>
    <t>188,256.54</t>
  </si>
  <si>
    <t>156,800.00</t>
  </si>
  <si>
    <t>31,456.54</t>
  </si>
  <si>
    <t>PYHS15-SPR</t>
  </si>
  <si>
    <t>[수묵화] 리뉴얼 약산성 두피 샴푸 500ml</t>
  </si>
  <si>
    <t>102.40</t>
  </si>
  <si>
    <t>147,742.72</t>
  </si>
  <si>
    <t>123,200.00</t>
  </si>
  <si>
    <t>24,542.72</t>
  </si>
  <si>
    <t>925</t>
  </si>
  <si>
    <t>9.77</t>
  </si>
  <si>
    <t>136.78</t>
  </si>
  <si>
    <t>197,346.18</t>
  </si>
  <si>
    <t>50,346.18</t>
  </si>
  <si>
    <t>926</t>
  </si>
  <si>
    <t>785.70</t>
  </si>
  <si>
    <t>1,133,607.96</t>
  </si>
  <si>
    <t>945,000.00</t>
  </si>
  <si>
    <t>188,607.96</t>
  </si>
  <si>
    <t>927</t>
  </si>
  <si>
    <t>5.53</t>
  </si>
  <si>
    <t>530.88</t>
  </si>
  <si>
    <t>765,953.66</t>
  </si>
  <si>
    <t>6,422.40</t>
  </si>
  <si>
    <t>616,550.00</t>
  </si>
  <si>
    <t>149,403.66</t>
  </si>
  <si>
    <t>928</t>
  </si>
  <si>
    <t>1,697.76</t>
  </si>
  <si>
    <t>2,449,528.13</t>
  </si>
  <si>
    <t>1,691,280.00</t>
  </si>
  <si>
    <t>758,248.13</t>
  </si>
  <si>
    <t>929</t>
  </si>
  <si>
    <t>1,523.20</t>
  </si>
  <si>
    <t>2,197,672.96</t>
  </si>
  <si>
    <t>1,499,400.00</t>
  </si>
  <si>
    <t>698,272.96</t>
  </si>
  <si>
    <t>31.8</t>
  </si>
  <si>
    <t>930</t>
  </si>
  <si>
    <t>88.54</t>
  </si>
  <si>
    <t>127,745.51</t>
  </si>
  <si>
    <t>106,400.00</t>
  </si>
  <si>
    <t>21,345.51</t>
  </si>
  <si>
    <t>931</t>
  </si>
  <si>
    <t>1,677.60</t>
  </si>
  <si>
    <t>2,420,441.28</t>
  </si>
  <si>
    <t>2,016,000.00</t>
  </si>
  <si>
    <t>404,441.28</t>
  </si>
  <si>
    <t>PYS01-EssenceTR</t>
  </si>
  <si>
    <t>[수묵화] 리뉴얼 에센스토너 200ml</t>
  </si>
  <si>
    <t>403.69</t>
  </si>
  <si>
    <t>582,443.93</t>
  </si>
  <si>
    <t>485,450.00</t>
  </si>
  <si>
    <t>96,993.93</t>
  </si>
  <si>
    <t>933</t>
  </si>
  <si>
    <t>PYS01-ET100</t>
  </si>
  <si>
    <t>[변경예정] 에센스 토너 100ml</t>
  </si>
  <si>
    <t>2,328.48</t>
  </si>
  <si>
    <t>3,359,530.94</t>
  </si>
  <si>
    <t>2,802,800.00</t>
  </si>
  <si>
    <t>556,730.94</t>
  </si>
  <si>
    <t>934</t>
  </si>
  <si>
    <t>4,787.30</t>
  </si>
  <si>
    <t>6,907,116.44</t>
  </si>
  <si>
    <t>8,700.00</t>
  </si>
  <si>
    <t>4,263,000.00</t>
  </si>
  <si>
    <t>2,644,116.44</t>
  </si>
  <si>
    <t>1,467.00</t>
  </si>
  <si>
    <t>2,116,587.60</t>
  </si>
  <si>
    <t>1,764,000.00</t>
  </si>
  <si>
    <t>352,587.60</t>
  </si>
  <si>
    <t>936</t>
  </si>
  <si>
    <t>9.32</t>
  </si>
  <si>
    <t>6,710.40</t>
  </si>
  <si>
    <t>9,681,765.12</t>
  </si>
  <si>
    <t>8,064,000.00</t>
  </si>
  <si>
    <t>1,617,765.12</t>
  </si>
  <si>
    <t>937</t>
  </si>
  <si>
    <t>7.86</t>
  </si>
  <si>
    <t>2,358.00</t>
  </si>
  <si>
    <t>3,402,122.40</t>
  </si>
  <si>
    <t>567,122.40</t>
  </si>
  <si>
    <t>938</t>
  </si>
  <si>
    <t>10.19</t>
  </si>
  <si>
    <t>8,152.00</t>
  </si>
  <si>
    <t>11,761,705.60</t>
  </si>
  <si>
    <t>9,800,000.00</t>
  </si>
  <si>
    <t>1,961,705.60</t>
  </si>
  <si>
    <t>939</t>
  </si>
  <si>
    <t>5.96</t>
  </si>
  <si>
    <t>1,686.68</t>
  </si>
  <si>
    <t>2,433,541.90</t>
  </si>
  <si>
    <t>1,981,000.00</t>
  </si>
  <si>
    <t>452,541.90</t>
  </si>
  <si>
    <t>940</t>
  </si>
  <si>
    <t>235.80</t>
  </si>
  <si>
    <t>340,212.24</t>
  </si>
  <si>
    <t>5,388.00</t>
  </si>
  <si>
    <t>242,460.00</t>
  </si>
  <si>
    <t>97,752.24</t>
  </si>
  <si>
    <t>28.7</t>
  </si>
  <si>
    <t>941</t>
  </si>
  <si>
    <t>982</t>
  </si>
  <si>
    <t>4,576.12</t>
  </si>
  <si>
    <t>6,602,425.94</t>
  </si>
  <si>
    <t>5,499,200.00</t>
  </si>
  <si>
    <t>1,103,225.94</t>
  </si>
  <si>
    <t>942</t>
  </si>
  <si>
    <t>1.16</t>
  </si>
  <si>
    <t>965.12</t>
  </si>
  <si>
    <t>1,392,475.14</t>
  </si>
  <si>
    <t>1,164,800.00</t>
  </si>
  <si>
    <t>227,675.14</t>
  </si>
  <si>
    <t>1,296.54</t>
  </si>
  <si>
    <t>1,870,647.91</t>
  </si>
  <si>
    <t>3,772.18</t>
  </si>
  <si>
    <t>1,293,856.65</t>
  </si>
  <si>
    <t>576,791.26</t>
  </si>
  <si>
    <t>944</t>
  </si>
  <si>
    <t>4.08</t>
  </si>
  <si>
    <t>440.64</t>
  </si>
  <si>
    <t>635,755.39</t>
  </si>
  <si>
    <t>529,200.00</t>
  </si>
  <si>
    <t>106,555.39</t>
  </si>
  <si>
    <t>945</t>
  </si>
  <si>
    <t>16.29</t>
  </si>
  <si>
    <t>2,085.12</t>
  </si>
  <si>
    <t>3,008,411.14</t>
  </si>
  <si>
    <t>17,250.00</t>
  </si>
  <si>
    <t>2,208,000.00</t>
  </si>
  <si>
    <t>800,411.14</t>
  </si>
  <si>
    <t>946</t>
  </si>
  <si>
    <t>PYS06-S</t>
  </si>
  <si>
    <t>블랙티 부스팅 세럼 45ml</t>
  </si>
  <si>
    <t>13.03</t>
  </si>
  <si>
    <t>1,407.24</t>
  </si>
  <si>
    <t>2,030,365.87</t>
  </si>
  <si>
    <t>16,000.00</t>
  </si>
  <si>
    <t>1,728,000.00</t>
  </si>
  <si>
    <t>302,365.87</t>
  </si>
  <si>
    <t>947</t>
  </si>
  <si>
    <t>PYS06-T</t>
  </si>
  <si>
    <t>블랙티 딥 인퓨전 토너 130ml</t>
  </si>
  <si>
    <t>11.73</t>
  </si>
  <si>
    <t>563.04</t>
  </si>
  <si>
    <t>812,354.11</t>
  </si>
  <si>
    <t>14,400.00</t>
  </si>
  <si>
    <t>691,200.00</t>
  </si>
  <si>
    <t>121,154.11</t>
  </si>
  <si>
    <t>948</t>
  </si>
  <si>
    <t>398.24</t>
  </si>
  <si>
    <t>574,580.67</t>
  </si>
  <si>
    <t>478,800.00</t>
  </si>
  <si>
    <t>95,780.67</t>
  </si>
  <si>
    <t>949</t>
  </si>
  <si>
    <t>153.60</t>
  </si>
  <si>
    <t>221,614.08</t>
  </si>
  <si>
    <t>6,500.00</t>
  </si>
  <si>
    <t>156,000.00</t>
  </si>
  <si>
    <t>65,614.08</t>
  </si>
  <si>
    <t>950</t>
  </si>
  <si>
    <t>PYS12-S</t>
  </si>
  <si>
    <t>[수묵화] 진정 수분 세럼 30ml</t>
  </si>
  <si>
    <t>1,101.24</t>
  </si>
  <si>
    <t>1,588,869.07</t>
  </si>
  <si>
    <t>4,883.93</t>
  </si>
  <si>
    <t>1,230,750.00</t>
  </si>
  <si>
    <t>358,119.07</t>
  </si>
  <si>
    <t>22.5</t>
  </si>
  <si>
    <t>951</t>
  </si>
  <si>
    <t>13.10</t>
  </si>
  <si>
    <t>969.40</t>
  </si>
  <si>
    <t>1,398,650.32</t>
  </si>
  <si>
    <t>15,750.00</t>
  </si>
  <si>
    <t>1,165,500.00</t>
  </si>
  <si>
    <t>233,150.32</t>
  </si>
  <si>
    <t>952</t>
  </si>
  <si>
    <t>660.96</t>
  </si>
  <si>
    <t>953,633.09</t>
  </si>
  <si>
    <t>793,800.00</t>
  </si>
  <si>
    <t>159,833.09</t>
  </si>
  <si>
    <t>953</t>
  </si>
  <si>
    <t>698.40</t>
  </si>
  <si>
    <t>1,007,651.52</t>
  </si>
  <si>
    <t>167,651.52</t>
  </si>
  <si>
    <t>954</t>
  </si>
  <si>
    <t>552.90</t>
  </si>
  <si>
    <t>797,724.12</t>
  </si>
  <si>
    <t>665,000.00</t>
  </si>
  <si>
    <t>132,724.12</t>
  </si>
  <si>
    <t>955</t>
  </si>
  <si>
    <t>466.00</t>
  </si>
  <si>
    <t>672,344.80</t>
  </si>
  <si>
    <t>480,000.00</t>
  </si>
  <si>
    <t>192,344.80</t>
  </si>
  <si>
    <t>956</t>
  </si>
  <si>
    <t>4,760</t>
  </si>
  <si>
    <t>3.60</t>
  </si>
  <si>
    <t>17,136.00</t>
  </si>
  <si>
    <t>24,723,820.80</t>
  </si>
  <si>
    <t>22,514,800.00</t>
  </si>
  <si>
    <t>2,209,020.80</t>
  </si>
  <si>
    <t>8.9</t>
  </si>
  <si>
    <t>957</t>
  </si>
  <si>
    <t>1,040.00</t>
  </si>
  <si>
    <t>1,500,512.00</t>
  </si>
  <si>
    <t>1,312,500.00</t>
  </si>
  <si>
    <t>188,012.00</t>
  </si>
  <si>
    <t>958</t>
  </si>
  <si>
    <t>1,260</t>
  </si>
  <si>
    <t>5,241.60</t>
  </si>
  <si>
    <t>7,562,580.48</t>
  </si>
  <si>
    <t>5,959,800.00</t>
  </si>
  <si>
    <t>1,602,780.48</t>
  </si>
  <si>
    <t>21.2</t>
  </si>
  <si>
    <t>959</t>
  </si>
  <si>
    <t>349.20</t>
  </si>
  <si>
    <t>503,825.76</t>
  </si>
  <si>
    <t>397,200.00</t>
  </si>
  <si>
    <t>106,625.76</t>
  </si>
  <si>
    <t>832.00</t>
  </si>
  <si>
    <t>1,200,409.60</t>
  </si>
  <si>
    <t>630,000.00</t>
  </si>
  <si>
    <t>570,409.60</t>
  </si>
  <si>
    <t>47.5</t>
  </si>
  <si>
    <t>961</t>
  </si>
  <si>
    <t>443.20</t>
  </si>
  <si>
    <t>639,448.96</t>
  </si>
  <si>
    <t>520,800.00</t>
  </si>
  <si>
    <t>118,648.96</t>
  </si>
  <si>
    <t>962</t>
  </si>
  <si>
    <t>1,664.00</t>
  </si>
  <si>
    <t>2,400,819.20</t>
  </si>
  <si>
    <t>2,080,000.00</t>
  </si>
  <si>
    <t>320,819.20</t>
  </si>
  <si>
    <t>13.4</t>
  </si>
  <si>
    <t>665.60</t>
  </si>
  <si>
    <t>960,327.68</t>
  </si>
  <si>
    <t>873,600.00</t>
  </si>
  <si>
    <t>86,727.68</t>
  </si>
  <si>
    <t>9.0</t>
  </si>
  <si>
    <t>964</t>
  </si>
  <si>
    <t>980</t>
  </si>
  <si>
    <t>2.63</t>
  </si>
  <si>
    <t>2,577.40</t>
  </si>
  <si>
    <t>3,718,672.72</t>
  </si>
  <si>
    <t>3,498,600.00</t>
  </si>
  <si>
    <t>220,072.72</t>
  </si>
  <si>
    <t>5.9</t>
  </si>
  <si>
    <t>965</t>
  </si>
  <si>
    <t>RLS03-CR</t>
  </si>
  <si>
    <t>*리뉴얼 해풍쑥 진정 크림 80ml (본품)</t>
  </si>
  <si>
    <t>8.87</t>
  </si>
  <si>
    <t>443.50</t>
  </si>
  <si>
    <t>639,881.80</t>
  </si>
  <si>
    <t>420,000.00</t>
  </si>
  <si>
    <t>219,881.80</t>
  </si>
  <si>
    <t>966</t>
  </si>
  <si>
    <t>7,273.40</t>
  </si>
  <si>
    <t>10,494,061.52</t>
  </si>
  <si>
    <t>7,708,000.00</t>
  </si>
  <si>
    <t>2,786,061.52</t>
  </si>
  <si>
    <t>26.5</t>
  </si>
  <si>
    <t>967</t>
  </si>
  <si>
    <t>1,008.80</t>
  </si>
  <si>
    <t>1,455,496.64</t>
  </si>
  <si>
    <t>887,900.00</t>
  </si>
  <si>
    <t>567,596.64</t>
  </si>
  <si>
    <t>968</t>
  </si>
  <si>
    <t>4,320</t>
  </si>
  <si>
    <t>6.58</t>
  </si>
  <si>
    <t>28,425.60</t>
  </si>
  <si>
    <t>41,012,455.68</t>
  </si>
  <si>
    <t>29,505,600.00</t>
  </si>
  <si>
    <t>11,506,855.68</t>
  </si>
  <si>
    <t>28.1</t>
  </si>
  <si>
    <t>969</t>
  </si>
  <si>
    <t>2026-03-20</t>
  </si>
  <si>
    <t>MECU05-PROEXWKR</t>
  </si>
  <si>
    <t>[국문] 에이지-알 부스터 프로_수출용_화이트</t>
  </si>
  <si>
    <t>97.19</t>
  </si>
  <si>
    <t>19,438.00</t>
  </si>
  <si>
    <t>28,439,737.80</t>
  </si>
  <si>
    <t>22,500,000.00</t>
  </si>
  <si>
    <t>5,939,737.80</t>
  </si>
  <si>
    <t>IN00421280</t>
  </si>
  <si>
    <t>970</t>
  </si>
  <si>
    <t>2026-03-16</t>
  </si>
  <si>
    <t>TIAMS01-TR</t>
  </si>
  <si>
    <t>(리뉴얼) 비타 B5 토너</t>
  </si>
  <si>
    <t>티암</t>
  </si>
  <si>
    <t>43.20</t>
  </si>
  <si>
    <t>62,588.16</t>
  </si>
  <si>
    <t>49,090.91</t>
  </si>
  <si>
    <t>13,497.25</t>
  </si>
  <si>
    <t>21.6</t>
  </si>
  <si>
    <t>IN00419930</t>
  </si>
  <si>
    <t>971</t>
  </si>
  <si>
    <t>TIAMS11-SAW</t>
  </si>
  <si>
    <t>비타 A 안티-링클 모이스처라이저</t>
  </si>
  <si>
    <t>220.80</t>
  </si>
  <si>
    <t>319,895.04</t>
  </si>
  <si>
    <t>6,854.55</t>
  </si>
  <si>
    <t>205,636.36</t>
  </si>
  <si>
    <t>114,258.68</t>
  </si>
  <si>
    <t>35.7</t>
  </si>
  <si>
    <t>972</t>
  </si>
  <si>
    <t>TIAMS12-SB3R</t>
  </si>
  <si>
    <t>(리뉴얼) 비타 B3소스</t>
  </si>
  <si>
    <t>5.76</t>
  </si>
  <si>
    <t>518.40</t>
  </si>
  <si>
    <t>751,057.92</t>
  </si>
  <si>
    <t>5,863.64</t>
  </si>
  <si>
    <t>527,727.27</t>
  </si>
  <si>
    <t>223,330.65</t>
  </si>
  <si>
    <t>973</t>
  </si>
  <si>
    <t>TIAMS12-TB3R</t>
  </si>
  <si>
    <t>(바코드 후) 비타 B3 미스트 토너 200ml</t>
  </si>
  <si>
    <t>5.12</t>
  </si>
  <si>
    <t>222,535.68</t>
  </si>
  <si>
    <t>152,727.27</t>
  </si>
  <si>
    <t>69,808.41</t>
  </si>
  <si>
    <t>974</t>
  </si>
  <si>
    <t>TIRS01-CM</t>
  </si>
  <si>
    <t>밀크 스킨 토너 150ml</t>
  </si>
  <si>
    <t>티르티르</t>
  </si>
  <si>
    <t>14,115.00</t>
  </si>
  <si>
    <t>20,449,812.00</t>
  </si>
  <si>
    <t>11,600.00</t>
  </si>
  <si>
    <t>17,400,000.00</t>
  </si>
  <si>
    <t>3,049,812.00</t>
  </si>
  <si>
    <t>975</t>
  </si>
  <si>
    <t>TKBC04-F</t>
  </si>
  <si>
    <t>코코넛 클레이 클렌징폼 150mL</t>
  </si>
  <si>
    <t>205.20</t>
  </si>
  <si>
    <t>297,293.76</t>
  </si>
  <si>
    <t>3,800.00</t>
  </si>
  <si>
    <t>228,000.00</t>
  </si>
  <si>
    <t>69,293.76</t>
  </si>
  <si>
    <t>976</t>
  </si>
  <si>
    <t>TKBC04-OCR</t>
  </si>
  <si>
    <t>[수출용]칼라민 포어 컨트롤 클렌징 오일 200ml</t>
  </si>
  <si>
    <t>440.30</t>
  </si>
  <si>
    <t>637,906.64</t>
  </si>
  <si>
    <t>217,906.64</t>
  </si>
  <si>
    <t>34.2</t>
  </si>
  <si>
    <t>977</t>
  </si>
  <si>
    <t>TKBCM09-LR</t>
  </si>
  <si>
    <t>[리뉴얼]글로우 리추얼 립밤 001 Coral Water</t>
  </si>
  <si>
    <t>3.89</t>
  </si>
  <si>
    <t>116.70</t>
  </si>
  <si>
    <t>169,074.96</t>
  </si>
  <si>
    <t>4,100.00</t>
  </si>
  <si>
    <t>123,000.00</t>
  </si>
  <si>
    <t>46,074.96</t>
  </si>
  <si>
    <t>978</t>
  </si>
  <si>
    <t>TKBCM10-LR</t>
  </si>
  <si>
    <t>[리뉴얼]글래스 틴티드 립밤 011 Flush Cherry</t>
  </si>
  <si>
    <t>112,716.64</t>
  </si>
  <si>
    <t>82,000.00</t>
  </si>
  <si>
    <t>30,716.64</t>
  </si>
  <si>
    <t>979</t>
  </si>
  <si>
    <t>TKBM10-CU21C</t>
  </si>
  <si>
    <t>애플 듀이 핏 쿠션 21C 피치</t>
  </si>
  <si>
    <t>67.70</t>
  </si>
  <si>
    <t>98,083.76</t>
  </si>
  <si>
    <t>78,000.00</t>
  </si>
  <si>
    <t>20,083.76</t>
  </si>
  <si>
    <t>TKBS02-S</t>
  </si>
  <si>
    <t>비피다 바이옴 에센스 50mL</t>
  </si>
  <si>
    <t>7.51</t>
  </si>
  <si>
    <t>150.20</t>
  </si>
  <si>
    <t>217,609.76</t>
  </si>
  <si>
    <t>7,860.00</t>
  </si>
  <si>
    <t>157,200.00</t>
  </si>
  <si>
    <t>60,409.76</t>
  </si>
  <si>
    <t>27.8</t>
  </si>
  <si>
    <t>981</t>
  </si>
  <si>
    <t>TKBS13-TP</t>
  </si>
  <si>
    <t>시카 카밍 아쿠아 패드 60매</t>
  </si>
  <si>
    <t>146.00</t>
  </si>
  <si>
    <t>211,524.80</t>
  </si>
  <si>
    <t>158,000.00</t>
  </si>
  <si>
    <t>53,524.80</t>
  </si>
  <si>
    <t>TKBSM05-SC</t>
  </si>
  <si>
    <t>바이오 워터리 선크림 SPF50 PA++++</t>
  </si>
  <si>
    <t>1,626.80</t>
  </si>
  <si>
    <t>2,356,907.84</t>
  </si>
  <si>
    <t>6,100.00</t>
  </si>
  <si>
    <t>1,708,000.00</t>
  </si>
  <si>
    <t>648,907.84</t>
  </si>
  <si>
    <t>27.5</t>
  </si>
  <si>
    <t>983</t>
  </si>
  <si>
    <t>TKBSM05-Stick</t>
  </si>
  <si>
    <t>코튼 소프트 선스틱 SPF50 PA++++</t>
  </si>
  <si>
    <t>6.42</t>
  </si>
  <si>
    <t>642.00</t>
  </si>
  <si>
    <t>930,129.60</t>
  </si>
  <si>
    <t>270,129.60</t>
  </si>
  <si>
    <t>29.0</t>
  </si>
  <si>
    <t>984</t>
  </si>
  <si>
    <t>TKBSM05-Stickmv</t>
  </si>
  <si>
    <t>미니 비타 워터프루프 선 스틱</t>
  </si>
  <si>
    <t>40.80</t>
  </si>
  <si>
    <t>59,111.04</t>
  </si>
  <si>
    <t>45,000.00</t>
  </si>
  <si>
    <t>14,111.04</t>
  </si>
  <si>
    <t>23.9</t>
  </si>
  <si>
    <t>985</t>
  </si>
  <si>
    <t>2026-03-13</t>
  </si>
  <si>
    <t>7.03</t>
  </si>
  <si>
    <t>843.60</t>
  </si>
  <si>
    <t>1,222,207.68</t>
  </si>
  <si>
    <t>7,509.09</t>
  </si>
  <si>
    <t>901,090.91</t>
  </si>
  <si>
    <t>321,116.77</t>
  </si>
  <si>
    <t>IN00419926</t>
  </si>
  <si>
    <t>986</t>
  </si>
  <si>
    <t>64.10</t>
  </si>
  <si>
    <t>92,868.08</t>
  </si>
  <si>
    <t>66,000.00</t>
  </si>
  <si>
    <t>26,868.08</t>
  </si>
  <si>
    <t>28.9</t>
  </si>
  <si>
    <t>987</t>
  </si>
  <si>
    <t>90.80</t>
  </si>
  <si>
    <t>131,551.04</t>
  </si>
  <si>
    <t>68,730.00</t>
  </si>
  <si>
    <t>62,821.04</t>
  </si>
  <si>
    <t>988</t>
  </si>
  <si>
    <t>6.15</t>
  </si>
  <si>
    <t>1,168.50</t>
  </si>
  <si>
    <t>1,692,922.80</t>
  </si>
  <si>
    <t>1,474,400.00</t>
  </si>
  <si>
    <t>218,522.80</t>
  </si>
  <si>
    <t>989</t>
  </si>
  <si>
    <t>1.53</t>
  </si>
  <si>
    <t>133.11</t>
  </si>
  <si>
    <t>192,849.77</t>
  </si>
  <si>
    <t>168,780.00</t>
  </si>
  <si>
    <t>24,069.77</t>
  </si>
  <si>
    <t>990</t>
  </si>
  <si>
    <t>10.92</t>
  </si>
  <si>
    <t>655.20</t>
  </si>
  <si>
    <t>949,253.76</t>
  </si>
  <si>
    <t>118,253.76</t>
  </si>
  <si>
    <t>991</t>
  </si>
  <si>
    <t>1,016.40</t>
  </si>
  <si>
    <t>1,472,560.32</t>
  </si>
  <si>
    <t>1,279,300.00</t>
  </si>
  <si>
    <t>193,260.32</t>
  </si>
  <si>
    <t>992</t>
  </si>
  <si>
    <t>8.78</t>
  </si>
  <si>
    <t>965.80</t>
  </si>
  <si>
    <t>1,399,251.04</t>
  </si>
  <si>
    <t>1,218,800.00</t>
  </si>
  <si>
    <t>180,451.04</t>
  </si>
  <si>
    <t>993</t>
  </si>
  <si>
    <t>6.16</t>
  </si>
  <si>
    <t>267,738.24</t>
  </si>
  <si>
    <t>34,938.24</t>
  </si>
  <si>
    <t>13.0</t>
  </si>
  <si>
    <t>994</t>
  </si>
  <si>
    <t>9.20</t>
  </si>
  <si>
    <t>1,104.00</t>
  </si>
  <si>
    <t>1,599,475.20</t>
  </si>
  <si>
    <t>1,395,600.00</t>
  </si>
  <si>
    <t>203,875.20</t>
  </si>
  <si>
    <t>12.7</t>
  </si>
  <si>
    <t>995</t>
  </si>
  <si>
    <t>9.70</t>
  </si>
  <si>
    <t>2,810,672.00</t>
  </si>
  <si>
    <t>2,320,000.00</t>
  </si>
  <si>
    <t>490,672.00</t>
  </si>
  <si>
    <t>996</t>
  </si>
  <si>
    <t>3.88</t>
  </si>
  <si>
    <t>38.80</t>
  </si>
  <si>
    <t>56,213.44</t>
  </si>
  <si>
    <t>11,213.44</t>
  </si>
  <si>
    <t>997</t>
  </si>
  <si>
    <t>9.82</t>
  </si>
  <si>
    <t>982.00</t>
  </si>
  <si>
    <t>1,422,721.60</t>
  </si>
  <si>
    <t>375,448.88</t>
  </si>
  <si>
    <t>26.4</t>
  </si>
  <si>
    <t>998</t>
  </si>
  <si>
    <t>ATPS03-E120R</t>
  </si>
  <si>
    <t>[Renew]MLE 로션 120ml</t>
  </si>
  <si>
    <t>73.60</t>
  </si>
  <si>
    <t>106,631.68</t>
  </si>
  <si>
    <t>78,545.45</t>
  </si>
  <si>
    <t>28,086.23</t>
  </si>
  <si>
    <t>999</t>
  </si>
  <si>
    <t>2.86</t>
  </si>
  <si>
    <t>85.80</t>
  </si>
  <si>
    <t>124,307.04</t>
  </si>
  <si>
    <t>92,727.27</t>
  </si>
  <si>
    <t>31,579.77</t>
  </si>
  <si>
    <t>1000</t>
  </si>
  <si>
    <t>2.77</t>
  </si>
  <si>
    <t>692.50</t>
  </si>
  <si>
    <t>1,003,294.00</t>
  </si>
  <si>
    <t>750,000.00</t>
  </si>
  <si>
    <t>253,294.00</t>
  </si>
  <si>
    <t>1001</t>
  </si>
  <si>
    <t>1.76</t>
  </si>
  <si>
    <t>35.20</t>
  </si>
  <si>
    <t>50,997.76</t>
  </si>
  <si>
    <t>12,815.94</t>
  </si>
  <si>
    <t>1002</t>
  </si>
  <si>
    <t>7.67</t>
  </si>
  <si>
    <t>391.17</t>
  </si>
  <si>
    <t>566,727.10</t>
  </si>
  <si>
    <t>417,272.72</t>
  </si>
  <si>
    <t>149,454.37</t>
  </si>
  <si>
    <t>1003</t>
  </si>
  <si>
    <t>5.56</t>
  </si>
  <si>
    <t>55.60</t>
  </si>
  <si>
    <t>80,553.28</t>
  </si>
  <si>
    <t>60,454.55</t>
  </si>
  <si>
    <t>20,098.74</t>
  </si>
  <si>
    <t>1004</t>
  </si>
  <si>
    <t>7.81</t>
  </si>
  <si>
    <t>1,483.90</t>
  </si>
  <si>
    <t>2,149,874.32</t>
  </si>
  <si>
    <t>1,140,000.00</t>
  </si>
  <si>
    <t>1,009,874.32</t>
  </si>
  <si>
    <t>47.0</t>
  </si>
  <si>
    <t>1005</t>
  </si>
  <si>
    <t>8.37</t>
  </si>
  <si>
    <t>242,529.12</t>
  </si>
  <si>
    <t>127,400.00</t>
  </si>
  <si>
    <t>115,129.12</t>
  </si>
  <si>
    <t>1006</t>
  </si>
  <si>
    <t>16.73</t>
  </si>
  <si>
    <t>334.60</t>
  </si>
  <si>
    <t>484,768.48</t>
  </si>
  <si>
    <t>256,600.00</t>
  </si>
  <si>
    <t>228,168.48</t>
  </si>
  <si>
    <t>47.1</t>
  </si>
  <si>
    <t>1007</t>
  </si>
  <si>
    <t>FWMA01-B</t>
  </si>
  <si>
    <t>퓌 핑거라이크 립 브러쉬 (실리콘)</t>
  </si>
  <si>
    <t>퓌</t>
  </si>
  <si>
    <t>111.93</t>
  </si>
  <si>
    <t>162,164.18</t>
  </si>
  <si>
    <t>45,164.18</t>
  </si>
  <si>
    <t>27.9</t>
  </si>
  <si>
    <t>1008</t>
  </si>
  <si>
    <t>32.60</t>
  </si>
  <si>
    <t>47,230.88</t>
  </si>
  <si>
    <t>37,090.91</t>
  </si>
  <si>
    <t>10,139.97</t>
  </si>
  <si>
    <t>21.5</t>
  </si>
  <si>
    <t>1009</t>
  </si>
  <si>
    <t>940.50</t>
  </si>
  <si>
    <t>1,362,596.40</t>
  </si>
  <si>
    <t>1,134,000.00</t>
  </si>
  <si>
    <t>228,596.40</t>
  </si>
  <si>
    <t>1010</t>
  </si>
  <si>
    <t>6.71</t>
  </si>
  <si>
    <t>67.10</t>
  </si>
  <si>
    <t>97,214.48</t>
  </si>
  <si>
    <t>70,909.09</t>
  </si>
  <si>
    <t>26,305.39</t>
  </si>
  <si>
    <t>27.1</t>
  </si>
  <si>
    <t>1011</t>
  </si>
  <si>
    <t>4.13</t>
  </si>
  <si>
    <t>5,983.54</t>
  </si>
  <si>
    <t>1,619.90</t>
  </si>
  <si>
    <t>1012</t>
  </si>
  <si>
    <t>9.80</t>
  </si>
  <si>
    <t>196.00</t>
  </si>
  <si>
    <t>283,964.80</t>
  </si>
  <si>
    <t>207,272.73</t>
  </si>
  <si>
    <t>76,692.07</t>
  </si>
  <si>
    <t>27.0</t>
  </si>
  <si>
    <t>1013</t>
  </si>
  <si>
    <t>7.22</t>
  </si>
  <si>
    <t>144.40</t>
  </si>
  <si>
    <t>209,206.72</t>
  </si>
  <si>
    <t>2,883.65</t>
  </si>
  <si>
    <t>57,673.00</t>
  </si>
  <si>
    <t>151,533.72</t>
  </si>
  <si>
    <t>72.4</t>
  </si>
  <si>
    <t>1014</t>
  </si>
  <si>
    <t>LSM28-SC01</t>
  </si>
  <si>
    <t>래디언씨 선크림 SPF50+/PA++++ 50ml</t>
  </si>
  <si>
    <t>11.80</t>
  </si>
  <si>
    <t>684.40</t>
  </si>
  <si>
    <t>991,558.72</t>
  </si>
  <si>
    <t>870,000.00</t>
  </si>
  <si>
    <t>121,558.72</t>
  </si>
  <si>
    <t>1015</t>
  </si>
  <si>
    <t>1,990</t>
  </si>
  <si>
    <t>17,830.40</t>
  </si>
  <si>
    <t>25,832,683.52</t>
  </si>
  <si>
    <t>20,417,400.00</t>
  </si>
  <si>
    <t>5,415,283.52</t>
  </si>
  <si>
    <t>1016</t>
  </si>
  <si>
    <t>908.60</t>
  </si>
  <si>
    <t>1,316,379.68</t>
  </si>
  <si>
    <t>1,050,000.00</t>
  </si>
  <si>
    <t>266,379.68</t>
  </si>
  <si>
    <t>1017</t>
  </si>
  <si>
    <t>72.40</t>
  </si>
  <si>
    <t>104,893.12</t>
  </si>
  <si>
    <t>83,400.00</t>
  </si>
  <si>
    <t>21,493.12</t>
  </si>
  <si>
    <t>1018</t>
  </si>
  <si>
    <t>773.10</t>
  </si>
  <si>
    <t>1,120,067.28</t>
  </si>
  <si>
    <t>876,150.00</t>
  </si>
  <si>
    <t>243,917.28</t>
  </si>
  <si>
    <t>21.8</t>
  </si>
  <si>
    <t>1019</t>
  </si>
  <si>
    <t>8,540.00</t>
  </si>
  <si>
    <t>12,372,752.00</t>
  </si>
  <si>
    <t>9,829,000.00</t>
  </si>
  <si>
    <t>2,543,752.00</t>
  </si>
  <si>
    <t>1020</t>
  </si>
  <si>
    <t>2,065.40</t>
  </si>
  <si>
    <t>2,992,351.52</t>
  </si>
  <si>
    <t>2,380,500.00</t>
  </si>
  <si>
    <t>611,851.52</t>
  </si>
  <si>
    <t>1021</t>
  </si>
  <si>
    <t>6.59</t>
  </si>
  <si>
    <t>1,449.80</t>
  </si>
  <si>
    <t>2,100,470.24</t>
  </si>
  <si>
    <t>1,650,000.00</t>
  </si>
  <si>
    <t>450,470.24</t>
  </si>
  <si>
    <t>21.4</t>
  </si>
  <si>
    <t>1022</t>
  </si>
  <si>
    <t>131.80</t>
  </si>
  <si>
    <t>190,951.84</t>
  </si>
  <si>
    <t>150,000.00</t>
  </si>
  <si>
    <t>40,951.84</t>
  </si>
  <si>
    <t>1023</t>
  </si>
  <si>
    <t>5.02</t>
  </si>
  <si>
    <t>150.60</t>
  </si>
  <si>
    <t>218,189.28</t>
  </si>
  <si>
    <t>174,000.00</t>
  </si>
  <si>
    <t>44,189.28</t>
  </si>
  <si>
    <t>20.3</t>
  </si>
  <si>
    <t>1024</t>
  </si>
  <si>
    <t>5.19</t>
  </si>
  <si>
    <t>103.80</t>
  </si>
  <si>
    <t>150,385.44</t>
  </si>
  <si>
    <t>30,385.44</t>
  </si>
  <si>
    <t>1025</t>
  </si>
  <si>
    <t>4.68</t>
  </si>
  <si>
    <t>187.20</t>
  </si>
  <si>
    <t>271,215.36</t>
  </si>
  <si>
    <t>192,000.00</t>
  </si>
  <si>
    <t>79,215.36</t>
  </si>
  <si>
    <t>1026</t>
  </si>
  <si>
    <t>3.51</t>
  </si>
  <si>
    <t>50,852.88</t>
  </si>
  <si>
    <t>42,000.00</t>
  </si>
  <si>
    <t>8,852.88</t>
  </si>
  <si>
    <t>1027</t>
  </si>
  <si>
    <t>PYC15-OilR</t>
  </si>
  <si>
    <t>[수묵화] (미국X 상표권이슈) 딥클렌징 오일 290ml</t>
  </si>
  <si>
    <t>6.44</t>
  </si>
  <si>
    <t>450.80</t>
  </si>
  <si>
    <t>653,119.04</t>
  </si>
  <si>
    <t>539,000.00</t>
  </si>
  <si>
    <t>114,119.04</t>
  </si>
  <si>
    <t>1028</t>
  </si>
  <si>
    <t>374.40</t>
  </si>
  <si>
    <t>542,430.72</t>
  </si>
  <si>
    <t>448,000.00</t>
  </si>
  <si>
    <t>94,430.72</t>
  </si>
  <si>
    <t>1029</t>
  </si>
  <si>
    <t>421.20</t>
  </si>
  <si>
    <t>610,234.56</t>
  </si>
  <si>
    <t>504,000.00</t>
  </si>
  <si>
    <t>106,234.56</t>
  </si>
  <si>
    <t>1030</t>
  </si>
  <si>
    <t>492.10</t>
  </si>
  <si>
    <t>712,954.48</t>
  </si>
  <si>
    <t>6,960.00</t>
  </si>
  <si>
    <t>487,200.00</t>
  </si>
  <si>
    <t>225,754.48</t>
  </si>
  <si>
    <t>1031</t>
  </si>
  <si>
    <t>3.81</t>
  </si>
  <si>
    <t>838.20</t>
  </si>
  <si>
    <t>1,214,384.16</t>
  </si>
  <si>
    <t>1,001,000.00</t>
  </si>
  <si>
    <t>213,384.16</t>
  </si>
  <si>
    <t>1032</t>
  </si>
  <si>
    <t>10.25</t>
  </si>
  <si>
    <t>1,537.50</t>
  </si>
  <si>
    <t>2,227,530.00</t>
  </si>
  <si>
    <t>1,837,500.00</t>
  </si>
  <si>
    <t>390,030.00</t>
  </si>
  <si>
    <t>1033</t>
  </si>
  <si>
    <t>1,680</t>
  </si>
  <si>
    <t>14,603,904.00</t>
  </si>
  <si>
    <t>6,980.00</t>
  </si>
  <si>
    <t>11,726,400.00</t>
  </si>
  <si>
    <t>2,877,504.00</t>
  </si>
  <si>
    <t>1034</t>
  </si>
  <si>
    <t>PYS06-SET</t>
  </si>
  <si>
    <t>블랙티 라인 선물세트 (토너, 부스팅 세럼, 인리치드 크림)</t>
  </si>
  <si>
    <t>32.76</t>
  </si>
  <si>
    <t>1,965.60</t>
  </si>
  <si>
    <t>2,847,761.28</t>
  </si>
  <si>
    <t>39,816.67</t>
  </si>
  <si>
    <t>2,389,000.00</t>
  </si>
  <si>
    <t>458,761.28</t>
  </si>
  <si>
    <t>1035</t>
  </si>
  <si>
    <t>5.27</t>
  </si>
  <si>
    <t>368.90</t>
  </si>
  <si>
    <t>534,462.32</t>
  </si>
  <si>
    <t>441,000.00</t>
  </si>
  <si>
    <t>93,462.32</t>
  </si>
  <si>
    <t>1036</t>
  </si>
  <si>
    <t>47,215.36</t>
  </si>
  <si>
    <t>1037</t>
  </si>
  <si>
    <t>128.80</t>
  </si>
  <si>
    <t>186,605.44</t>
  </si>
  <si>
    <t>130,000.00</t>
  </si>
  <si>
    <t>56,605.44</t>
  </si>
  <si>
    <t>1038</t>
  </si>
  <si>
    <t>13.18</t>
  </si>
  <si>
    <t>395.40</t>
  </si>
  <si>
    <t>572,855.52</t>
  </si>
  <si>
    <t>100,355.52</t>
  </si>
  <si>
    <t>1039</t>
  </si>
  <si>
    <t>115.92</t>
  </si>
  <si>
    <t>167,944.90</t>
  </si>
  <si>
    <t>118,800.00</t>
  </si>
  <si>
    <t>49,144.90</t>
  </si>
  <si>
    <t>29.3</t>
  </si>
  <si>
    <t>1040</t>
  </si>
  <si>
    <t>9.63</t>
  </si>
  <si>
    <t>11,556.00</t>
  </si>
  <si>
    <t>16,742,332.80</t>
  </si>
  <si>
    <t>11,538.13</t>
  </si>
  <si>
    <t>13,845,760.00</t>
  </si>
  <si>
    <t>2,896,572.80</t>
  </si>
  <si>
    <t>17.3</t>
  </si>
  <si>
    <t>1041</t>
  </si>
  <si>
    <t>247,744.80</t>
  </si>
  <si>
    <t>190,000.00</t>
  </si>
  <si>
    <t>57,744.80</t>
  </si>
  <si>
    <t>1042</t>
  </si>
  <si>
    <t>697.20</t>
  </si>
  <si>
    <t>1,010,103.36</t>
  </si>
  <si>
    <t>732,000.00</t>
  </si>
  <si>
    <t>278,103.36</t>
  </si>
  <si>
    <t>1043</t>
  </si>
  <si>
    <t>1044</t>
  </si>
  <si>
    <t>2026-03-09</t>
  </si>
  <si>
    <t>CMXBS02-Pr</t>
  </si>
  <si>
    <t>원스텝 바디 브라이트닝 패드 60EA</t>
  </si>
  <si>
    <t>54.60</t>
  </si>
  <si>
    <t>77,952.42</t>
  </si>
  <si>
    <t>5,836.36</t>
  </si>
  <si>
    <t>58,363.64</t>
  </si>
  <si>
    <t>19,588.78</t>
  </si>
  <si>
    <t>IN00415957</t>
  </si>
  <si>
    <t>1045</t>
  </si>
  <si>
    <t>396.90</t>
  </si>
  <si>
    <t>566,654.13</t>
  </si>
  <si>
    <t>427,909.09</t>
  </si>
  <si>
    <t>138,745.04</t>
  </si>
  <si>
    <t>1046</t>
  </si>
  <si>
    <t>3.59</t>
  </si>
  <si>
    <t>502.60</t>
  </si>
  <si>
    <t>717,562.02</t>
  </si>
  <si>
    <t>539,636.36</t>
  </si>
  <si>
    <t>177,925.66</t>
  </si>
  <si>
    <t>1047</t>
  </si>
  <si>
    <t>5.30</t>
  </si>
  <si>
    <t>371.00</t>
  </si>
  <si>
    <t>529,676.70</t>
  </si>
  <si>
    <t>400,909.09</t>
  </si>
  <si>
    <t>128,767.61</t>
  </si>
  <si>
    <t>1048</t>
  </si>
  <si>
    <t>459.20</t>
  </si>
  <si>
    <t>655,599.84</t>
  </si>
  <si>
    <t>496,363.63</t>
  </si>
  <si>
    <t>159,236.21</t>
  </si>
  <si>
    <t>1049</t>
  </si>
  <si>
    <t>214.50</t>
  </si>
  <si>
    <t>306,241.65</t>
  </si>
  <si>
    <t>231,872.73</t>
  </si>
  <si>
    <t>74,368.92</t>
  </si>
  <si>
    <t>1050</t>
  </si>
  <si>
    <t>5.72</t>
  </si>
  <si>
    <t>57.20</t>
  </si>
  <si>
    <t>81,664.44</t>
  </si>
  <si>
    <t>63,818.18</t>
  </si>
  <si>
    <t>17,846.26</t>
  </si>
  <si>
    <t>1051</t>
  </si>
  <si>
    <t>1,288.00</t>
  </si>
  <si>
    <t>1,838,877.60</t>
  </si>
  <si>
    <t>1,390,454.54</t>
  </si>
  <si>
    <t>448,423.07</t>
  </si>
  <si>
    <t>1052</t>
  </si>
  <si>
    <t>6.95</t>
  </si>
  <si>
    <t>1,390.00</t>
  </si>
  <si>
    <t>1,984,503.00</t>
  </si>
  <si>
    <t>1,494,545.44</t>
  </si>
  <si>
    <t>489,957.56</t>
  </si>
  <si>
    <t>1053</t>
  </si>
  <si>
    <t>6,230.00</t>
  </si>
  <si>
    <t>8,894,571.00</t>
  </si>
  <si>
    <t>7,454.55</t>
  </si>
  <si>
    <t>6,634,545.41</t>
  </si>
  <si>
    <t>2,260,025.59</t>
  </si>
  <si>
    <t>1054</t>
  </si>
  <si>
    <t>6,533.00</t>
  </si>
  <si>
    <t>9,327,164.10</t>
  </si>
  <si>
    <t>6,636.36</t>
  </si>
  <si>
    <t>6,238,181.78</t>
  </si>
  <si>
    <t>3,088,982.32</t>
  </si>
  <si>
    <t>1055</t>
  </si>
  <si>
    <t>2026-03-06</t>
  </si>
  <si>
    <t>KAIS01-S</t>
  </si>
  <si>
    <t>차가콜라겐차징세럼30ml</t>
  </si>
  <si>
    <t>카이네</t>
  </si>
  <si>
    <t>243,397.96</t>
  </si>
  <si>
    <t>IN00418424</t>
  </si>
  <si>
    <t>1056</t>
  </si>
  <si>
    <t>KAIS04-AP</t>
  </si>
  <si>
    <t>콤부 베리어 앰플 30ml</t>
  </si>
  <si>
    <t>125.57</t>
  </si>
  <si>
    <t>176,463.52</t>
  </si>
  <si>
    <t>4,600.00</t>
  </si>
  <si>
    <t>133,400.00</t>
  </si>
  <si>
    <t>43,063.52</t>
  </si>
  <si>
    <t>1057</t>
  </si>
  <si>
    <t>KAIS04-T</t>
  </si>
  <si>
    <t>콤부밸런싱앰플토너150ml</t>
  </si>
  <si>
    <t>218.80</t>
  </si>
  <si>
    <t>307,479.64</t>
  </si>
  <si>
    <t>1058</t>
  </si>
  <si>
    <t>MELBS10-HNUN</t>
  </si>
  <si>
    <t>(단종) 비건 핸드 크림 언테임드 네이처 50ml</t>
  </si>
  <si>
    <t>멜릭서</t>
  </si>
  <si>
    <t>48.42</t>
  </si>
  <si>
    <t>68,044.63</t>
  </si>
  <si>
    <t>5,909.09</t>
  </si>
  <si>
    <t>53,181.82</t>
  </si>
  <si>
    <t>14,862.81</t>
  </si>
  <si>
    <t>1059</t>
  </si>
  <si>
    <t>MELCM01-L12</t>
  </si>
  <si>
    <t>비건 립 버터 12. 카라멜</t>
  </si>
  <si>
    <t>35.90</t>
  </si>
  <si>
    <t>50,450.27</t>
  </si>
  <si>
    <t>43,636.36</t>
  </si>
  <si>
    <t>6,813.91</t>
  </si>
  <si>
    <t>1060</t>
  </si>
  <si>
    <t>MELCM08-L01</t>
  </si>
  <si>
    <t>비건 립 트리트먼트 01 클리어 SPF 15g</t>
  </si>
  <si>
    <t>51.20</t>
  </si>
  <si>
    <t>71,951.36</t>
  </si>
  <si>
    <t>5,454.55</t>
  </si>
  <si>
    <t>54,545.45</t>
  </si>
  <si>
    <t>17,405.91</t>
  </si>
  <si>
    <t>1061</t>
  </si>
  <si>
    <t>MELCM08-L02</t>
  </si>
  <si>
    <t>비건 립 트리트먼트 02 로즈 15g</t>
  </si>
  <si>
    <t>215,854.08</t>
  </si>
  <si>
    <t>52,217.72</t>
  </si>
  <si>
    <t>1062</t>
  </si>
  <si>
    <t>MELCM08-L03</t>
  </si>
  <si>
    <t>비건 립 트리트먼트 03 포멜로 15g</t>
  </si>
  <si>
    <t>1063</t>
  </si>
  <si>
    <t>MELS09-C</t>
  </si>
  <si>
    <t>만다린 비타민 CE 하이드레이션 크림 30ml</t>
  </si>
  <si>
    <t>8.71</t>
  </si>
  <si>
    <t>174.20</t>
  </si>
  <si>
    <t>244,803.26</t>
  </si>
  <si>
    <t>7,272.73</t>
  </si>
  <si>
    <t>145,454.54</t>
  </si>
  <si>
    <t>99,348.72</t>
  </si>
  <si>
    <t>1064</t>
  </si>
  <si>
    <t>MELS09-S</t>
  </si>
  <si>
    <t>만다린 비타민 C5 다크 스팟 세럼 30ml</t>
  </si>
  <si>
    <t>205.00</t>
  </si>
  <si>
    <t>288,086.50</t>
  </si>
  <si>
    <t>7,782.48</t>
  </si>
  <si>
    <t>194,562.00</t>
  </si>
  <si>
    <t>93,524.50</t>
  </si>
  <si>
    <t>32.5</t>
  </si>
  <si>
    <t>1065</t>
  </si>
  <si>
    <t>2026-03-05</t>
  </si>
  <si>
    <t>DRAS01-CRRR</t>
  </si>
  <si>
    <t>[Renew] 345 릴리프 크림 50ml</t>
  </si>
  <si>
    <t>닥터엘시아</t>
  </si>
  <si>
    <t>4,000</t>
  </si>
  <si>
    <t>9.40</t>
  </si>
  <si>
    <t>37,600.00</t>
  </si>
  <si>
    <t>53,343,120.00</t>
  </si>
  <si>
    <t>11,310.00</t>
  </si>
  <si>
    <t>45,240,000.00</t>
  </si>
  <si>
    <t>8,103,120.00</t>
  </si>
  <si>
    <t>IN00417428</t>
  </si>
  <si>
    <t>1066</t>
  </si>
  <si>
    <t>MECU05-PROEX</t>
  </si>
  <si>
    <t>에이지-알 부스터 프로_수출용</t>
  </si>
  <si>
    <t>100.23</t>
  </si>
  <si>
    <t>20,046.00</t>
  </si>
  <si>
    <t>28,439,260.20</t>
  </si>
  <si>
    <t>5,939,260.20</t>
  </si>
  <si>
    <t>IN00417257</t>
  </si>
  <si>
    <t>1067</t>
  </si>
  <si>
    <t>100,230.00</t>
  </si>
  <si>
    <t>142,196,301.00</t>
  </si>
  <si>
    <t>112,500,000.00</t>
  </si>
  <si>
    <t>29,696,301.00</t>
  </si>
  <si>
    <t>1068</t>
  </si>
  <si>
    <t>1,150</t>
  </si>
  <si>
    <t>10,810.00</t>
  </si>
  <si>
    <t>15,336,147.00</t>
  </si>
  <si>
    <t>13,006,500.00</t>
  </si>
  <si>
    <t>2,329,647.00</t>
  </si>
  <si>
    <t>IN00416156</t>
  </si>
  <si>
    <t>1069</t>
  </si>
  <si>
    <t>MECU05-PROEXW</t>
  </si>
  <si>
    <t>에이지-알 부스터 프로_수출용_화이트</t>
  </si>
  <si>
    <t>100.63</t>
  </si>
  <si>
    <t>20,126.00</t>
  </si>
  <si>
    <t>28,552,756.20</t>
  </si>
  <si>
    <t>6,052,756.20</t>
  </si>
  <si>
    <t>1070</t>
  </si>
  <si>
    <t>927.00</t>
  </si>
  <si>
    <t>1,310,221.80</t>
  </si>
  <si>
    <t>1,164,000.00</t>
  </si>
  <si>
    <t>146,221.80</t>
  </si>
  <si>
    <t>IN00415050</t>
  </si>
  <si>
    <t>1071</t>
  </si>
  <si>
    <t>ANP06-MCOL</t>
  </si>
  <si>
    <t>[4매입] 복숭아 70 나이아신 브라이트닝 콜라겐 마스크</t>
  </si>
  <si>
    <t>1,498.50</t>
  </si>
  <si>
    <t>2,117,979.90</t>
  </si>
  <si>
    <t>1,884,060.00</t>
  </si>
  <si>
    <t>233,919.90</t>
  </si>
  <si>
    <t>11.0</t>
  </si>
  <si>
    <t>1072</t>
  </si>
  <si>
    <t>185.40</t>
  </si>
  <si>
    <t>262,044.36</t>
  </si>
  <si>
    <t>168,000.00</t>
  </si>
  <si>
    <t>94,044.36</t>
  </si>
  <si>
    <t>35.9</t>
  </si>
  <si>
    <t>1073</t>
  </si>
  <si>
    <t>767.90</t>
  </si>
  <si>
    <t>1,085,349.86</t>
  </si>
  <si>
    <t>115,849.86</t>
  </si>
  <si>
    <t>10.7</t>
  </si>
  <si>
    <t>1074</t>
  </si>
  <si>
    <t>132.30</t>
  </si>
  <si>
    <t>186,992.82</t>
  </si>
  <si>
    <t>142,636.36</t>
  </si>
  <si>
    <t>44,356.46</t>
  </si>
  <si>
    <t>1075</t>
  </si>
  <si>
    <t>64.62</t>
  </si>
  <si>
    <t>91,333.91</t>
  </si>
  <si>
    <t>69,381.82</t>
  </si>
  <si>
    <t>21,952.09</t>
  </si>
  <si>
    <t>1076</t>
  </si>
  <si>
    <t>265.00</t>
  </si>
  <si>
    <t>374,551.00</t>
  </si>
  <si>
    <t>88,187.37</t>
  </si>
  <si>
    <t>1077</t>
  </si>
  <si>
    <t>328.00</t>
  </si>
  <si>
    <t>463,595.20</t>
  </si>
  <si>
    <t>354,545.45</t>
  </si>
  <si>
    <t>109,049.75</t>
  </si>
  <si>
    <t>1078</t>
  </si>
  <si>
    <t>112.00</t>
  </si>
  <si>
    <t>158,300.80</t>
  </si>
  <si>
    <t>120,909.09</t>
  </si>
  <si>
    <t>37,391.71</t>
  </si>
  <si>
    <t>1079</t>
  </si>
  <si>
    <t>3,780.00</t>
  </si>
  <si>
    <t>5,342,652.00</t>
  </si>
  <si>
    <t>4,025,454.52</t>
  </si>
  <si>
    <t>1,317,197.48</t>
  </si>
  <si>
    <t>1080</t>
  </si>
  <si>
    <t>1,480.00</t>
  </si>
  <si>
    <t>2,091,832.00</t>
  </si>
  <si>
    <t>1,600,000.00</t>
  </si>
  <si>
    <t>491,832.00</t>
  </si>
  <si>
    <t>1081</t>
  </si>
  <si>
    <t>KLVP07-LipPKC</t>
  </si>
  <si>
    <t>너리싱 케어 립 슬리핑 팩 코코넛</t>
  </si>
  <si>
    <t>4.85</t>
  </si>
  <si>
    <t>130.95</t>
  </si>
  <si>
    <t>185,084.73</t>
  </si>
  <si>
    <t>127,145.45</t>
  </si>
  <si>
    <t>57,939.28</t>
  </si>
  <si>
    <t>31.3</t>
  </si>
  <si>
    <t>1082</t>
  </si>
  <si>
    <t>KLVP07-LipPKV</t>
  </si>
  <si>
    <t>너리싱 케어 립 슬리핑 팩 바닐라</t>
  </si>
  <si>
    <t>417.10</t>
  </si>
  <si>
    <t>589,529.14</t>
  </si>
  <si>
    <t>404,981.82</t>
  </si>
  <si>
    <t>184,547.32</t>
  </si>
  <si>
    <t>1083</t>
  </si>
  <si>
    <t>4,273.92</t>
  </si>
  <si>
    <t>6,040,758.53</t>
  </si>
  <si>
    <t>4,627,636.32</t>
  </si>
  <si>
    <t>1,413,122.21</t>
  </si>
  <si>
    <t>1084</t>
  </si>
  <si>
    <t>99.60</t>
  </si>
  <si>
    <t>2,191.20</t>
  </si>
  <si>
    <t>3,097,042.08</t>
  </si>
  <si>
    <t>1085</t>
  </si>
  <si>
    <t>NBS01-ESS09M</t>
  </si>
  <si>
    <t>9번 나드 바이오 리프팅 원액 에센스 30ml</t>
  </si>
  <si>
    <t>넘버즈인</t>
  </si>
  <si>
    <t>8.13</t>
  </si>
  <si>
    <t>325.20</t>
  </si>
  <si>
    <t>459,637.68</t>
  </si>
  <si>
    <t>9,180.00</t>
  </si>
  <si>
    <t>367,200.00</t>
  </si>
  <si>
    <t>92,437.68</t>
  </si>
  <si>
    <t>1086</t>
  </si>
  <si>
    <t>NBS02-T9EU</t>
  </si>
  <si>
    <t>[EU] 9번 나드 피디알엔 글로우 트리트먼트 토너 150ml</t>
  </si>
  <si>
    <t>63.90</t>
  </si>
  <si>
    <t>90,316.26</t>
  </si>
  <si>
    <t>18,316.26</t>
  </si>
  <si>
    <t>1087</t>
  </si>
  <si>
    <t>NBS03-TPP</t>
  </si>
  <si>
    <t>(단종) 4번 모공제로 깐달걀 토너패드 (190ml *70ea )</t>
  </si>
  <si>
    <t>69.20</t>
  </si>
  <si>
    <t>97,807.28</t>
  </si>
  <si>
    <t>19,807.28</t>
  </si>
  <si>
    <t>1088</t>
  </si>
  <si>
    <t>SPUBS03-BM</t>
  </si>
  <si>
    <t>바디미스트 200ml</t>
  </si>
  <si>
    <t>씨퓨리</t>
  </si>
  <si>
    <t>449.00</t>
  </si>
  <si>
    <t>634,616.60</t>
  </si>
  <si>
    <t>8,910.00</t>
  </si>
  <si>
    <t>445,500.00</t>
  </si>
  <si>
    <t>189,116.60</t>
  </si>
  <si>
    <t>1089</t>
  </si>
  <si>
    <t>SPUCM02-KS</t>
  </si>
  <si>
    <t>래쉬럼 아이래쉬 인헨싱 세럼 10g</t>
  </si>
  <si>
    <t>8.72</t>
  </si>
  <si>
    <t>436.00</t>
  </si>
  <si>
    <t>616,242.40</t>
  </si>
  <si>
    <t>8,636.36</t>
  </si>
  <si>
    <t>431,818.18</t>
  </si>
  <si>
    <t>184,424.22</t>
  </si>
  <si>
    <t>29.9</t>
  </si>
  <si>
    <t>1090</t>
  </si>
  <si>
    <t>SPUHS01-SSr</t>
  </si>
  <si>
    <t>(DE) 스칼피 헤어 세럼 20ml</t>
  </si>
  <si>
    <t>10.23</t>
  </si>
  <si>
    <t>2,046.00</t>
  </si>
  <si>
    <t>2,891,816.40</t>
  </si>
  <si>
    <t>2,000,000.00</t>
  </si>
  <si>
    <t>891,816.40</t>
  </si>
  <si>
    <t>1091</t>
  </si>
  <si>
    <t>SPUS04-A</t>
  </si>
  <si>
    <t>스피큐락셀 앰플 30ml</t>
  </si>
  <si>
    <t>11.99</t>
  </si>
  <si>
    <t>599.50</t>
  </si>
  <si>
    <t>847,333.30</t>
  </si>
  <si>
    <t>11,909.09</t>
  </si>
  <si>
    <t>595,454.55</t>
  </si>
  <si>
    <t>251,878.76</t>
  </si>
  <si>
    <t>1092</t>
  </si>
  <si>
    <t>SPUS04-C</t>
  </si>
  <si>
    <t>샤비크 빙하크림 70ml</t>
  </si>
  <si>
    <t>698,219.60</t>
  </si>
  <si>
    <t>490,909.09</t>
  </si>
  <si>
    <t>207,310.51</t>
  </si>
  <si>
    <t>1093</t>
  </si>
  <si>
    <t>SPUS04-T</t>
  </si>
  <si>
    <t>샤비크 빙하수 토너 200ml</t>
  </si>
  <si>
    <t>253,846.64</t>
  </si>
  <si>
    <t>75,646.64</t>
  </si>
  <si>
    <t>1094</t>
  </si>
  <si>
    <t>73.20</t>
  </si>
  <si>
    <t>103,460.88</t>
  </si>
  <si>
    <t>7,318.18</t>
  </si>
  <si>
    <t>73,181.82</t>
  </si>
  <si>
    <t>30,279.06</t>
  </si>
  <si>
    <t>1095</t>
  </si>
  <si>
    <t>573.00</t>
  </si>
  <si>
    <t>809,878.20</t>
  </si>
  <si>
    <t>586,363.63</t>
  </si>
  <si>
    <t>223,514.57</t>
  </si>
  <si>
    <t>27.6</t>
  </si>
  <si>
    <t>1096</t>
  </si>
  <si>
    <t>2026-02-26</t>
  </si>
  <si>
    <t>380.16</t>
  </si>
  <si>
    <t>537,204.10</t>
  </si>
  <si>
    <t>403,200.00</t>
  </si>
  <si>
    <t>134,004.10</t>
  </si>
  <si>
    <t>IN00415411</t>
  </si>
  <si>
    <t>1097</t>
  </si>
  <si>
    <t>0.82</t>
  </si>
  <si>
    <t>4,634.97</t>
  </si>
  <si>
    <t>3,454.55</t>
  </si>
  <si>
    <t>1,180.42</t>
  </si>
  <si>
    <t>1098</t>
  </si>
  <si>
    <t>54.94</t>
  </si>
  <si>
    <t>77,635.71</t>
  </si>
  <si>
    <t>57,863.63</t>
  </si>
  <si>
    <t>19,772.08</t>
  </si>
  <si>
    <t>1099</t>
  </si>
  <si>
    <t>23.44</t>
  </si>
  <si>
    <t>33,123.06</t>
  </si>
  <si>
    <t>6,293.64</t>
  </si>
  <si>
    <t>25,174.55</t>
  </si>
  <si>
    <t>7,948.52</t>
  </si>
  <si>
    <t>1100</t>
  </si>
  <si>
    <t>298.76</t>
  </si>
  <si>
    <t>422,177.76</t>
  </si>
  <si>
    <t>312,400.00</t>
  </si>
  <si>
    <t>109,777.76</t>
  </si>
  <si>
    <t>1101</t>
  </si>
  <si>
    <t>ACS01-IR</t>
  </si>
  <si>
    <t>(리뉴얼) 감초수 아이크림 30ml</t>
  </si>
  <si>
    <t>아크웰</t>
  </si>
  <si>
    <t>221.52</t>
  </si>
  <si>
    <t>313,029.91</t>
  </si>
  <si>
    <t>8,960.00</t>
  </si>
  <si>
    <t>232,960.00</t>
  </si>
  <si>
    <t>80,069.91</t>
  </si>
  <si>
    <t>1102</t>
  </si>
  <si>
    <t>6.51</t>
  </si>
  <si>
    <t>117.18</t>
  </si>
  <si>
    <t>165,587.06</t>
  </si>
  <si>
    <t>46,787.06</t>
  </si>
  <si>
    <t>1103</t>
  </si>
  <si>
    <t>ALSC01-Fcr</t>
  </si>
  <si>
    <t>(리뉴얼) 카렌듈라 라이스 모찌 클렌저 120g</t>
  </si>
  <si>
    <t>325.50</t>
  </si>
  <si>
    <t>459,964.05</t>
  </si>
  <si>
    <t>129,964.05</t>
  </si>
  <si>
    <t>1104</t>
  </si>
  <si>
    <t>1,412.67</t>
  </si>
  <si>
    <t>1,996,243.98</t>
  </si>
  <si>
    <t>1,432,200.00</t>
  </si>
  <si>
    <t>564,043.98</t>
  </si>
  <si>
    <t>1105</t>
  </si>
  <si>
    <t>ALSC01-FL</t>
  </si>
  <si>
    <t>그린 티 + LHA 딥포어 떡솝 150g</t>
  </si>
  <si>
    <t>6.34</t>
  </si>
  <si>
    <t>190.20</t>
  </si>
  <si>
    <t>268,771.62</t>
  </si>
  <si>
    <t>43,771.62</t>
  </si>
  <si>
    <t>16.3</t>
  </si>
  <si>
    <t>1106</t>
  </si>
  <si>
    <t>ALSC04-F</t>
  </si>
  <si>
    <t>라이스+LHA 포어 컨트롤 떡솝 150g</t>
  </si>
  <si>
    <t>7.33</t>
  </si>
  <si>
    <t>219.90</t>
  </si>
  <si>
    <t>310,740.69</t>
  </si>
  <si>
    <t>85,740.69</t>
  </si>
  <si>
    <t>1107</t>
  </si>
  <si>
    <t>ALSC09-OC</t>
  </si>
  <si>
    <t>포어 멜트 모찌 클렌징 오일 200ml</t>
  </si>
  <si>
    <t>751,769.20</t>
  </si>
  <si>
    <t>271,769.20</t>
  </si>
  <si>
    <t>1108</t>
  </si>
  <si>
    <t>543.39</t>
  </si>
  <si>
    <t>767,864.41</t>
  </si>
  <si>
    <t>405,507.00</t>
  </si>
  <si>
    <t>362,357.41</t>
  </si>
  <si>
    <t>1109</t>
  </si>
  <si>
    <t>ALSS03-E</t>
  </si>
  <si>
    <t>프레시 레드 스무디 로션 5 200ml</t>
  </si>
  <si>
    <t>312,012.48</t>
  </si>
  <si>
    <t>72,012.48</t>
  </si>
  <si>
    <t>1110</t>
  </si>
  <si>
    <t>ALSS03-S30</t>
  </si>
  <si>
    <t>프레시 레드 스무디 세럼 30 50g</t>
  </si>
  <si>
    <t>460.50</t>
  </si>
  <si>
    <t>650,732.55</t>
  </si>
  <si>
    <t>200,732.55</t>
  </si>
  <si>
    <t>1111</t>
  </si>
  <si>
    <t>ALSS03-S8</t>
  </si>
  <si>
    <t>프레시 레드 스무디 세럼 8 30ML</t>
  </si>
  <si>
    <t>6.57</t>
  </si>
  <si>
    <t>197.10</t>
  </si>
  <si>
    <t>278,522.01</t>
  </si>
  <si>
    <t>169,080.00</t>
  </si>
  <si>
    <t>109,442.01</t>
  </si>
  <si>
    <t>1112</t>
  </si>
  <si>
    <t>ALSS05-Cr</t>
  </si>
  <si>
    <t>딥 워터 써지 수딩 크림 110ml</t>
  </si>
  <si>
    <t>6.72</t>
  </si>
  <si>
    <t>336.00</t>
  </si>
  <si>
    <t>474,801.60</t>
  </si>
  <si>
    <t>6,273.00</t>
  </si>
  <si>
    <t>313,650.00</t>
  </si>
  <si>
    <t>161,151.60</t>
  </si>
  <si>
    <t>33.9</t>
  </si>
  <si>
    <t>1113</t>
  </si>
  <si>
    <t>ALSS05-S</t>
  </si>
  <si>
    <t>딥 워터 써지 세럼 30ml</t>
  </si>
  <si>
    <t>5.35</t>
  </si>
  <si>
    <t>160.50</t>
  </si>
  <si>
    <t>226,802.55</t>
  </si>
  <si>
    <t>76,802.55</t>
  </si>
  <si>
    <t>1114</t>
  </si>
  <si>
    <t>ALSS05-S30</t>
  </si>
  <si>
    <t>딥 워터 써지 세럼 30 50g</t>
  </si>
  <si>
    <t>344.00</t>
  </si>
  <si>
    <t>486,106.40</t>
  </si>
  <si>
    <t>86,106.40</t>
  </si>
  <si>
    <t>1115</t>
  </si>
  <si>
    <t>812.00</t>
  </si>
  <si>
    <t>1,147,437.20</t>
  </si>
  <si>
    <t>447,437.20</t>
  </si>
  <si>
    <t>1116</t>
  </si>
  <si>
    <t>347,437.20</t>
  </si>
  <si>
    <t>1117</t>
  </si>
  <si>
    <t>APEC86-F</t>
  </si>
  <si>
    <t>마데카소사이드 클렌징 폼 130ml</t>
  </si>
  <si>
    <t>어퓨</t>
  </si>
  <si>
    <t>3.82</t>
  </si>
  <si>
    <t>10,796.08</t>
  </si>
  <si>
    <t>3,600.00</t>
  </si>
  <si>
    <t>3,596.08</t>
  </si>
  <si>
    <t>33.3</t>
  </si>
  <si>
    <t>1118</t>
  </si>
  <si>
    <t>APEP122-PK</t>
  </si>
  <si>
    <t>깨비깨비 블랙헤드 3단 코팩</t>
  </si>
  <si>
    <t>0.47</t>
  </si>
  <si>
    <t>4.70</t>
  </si>
  <si>
    <t>6,641.57</t>
  </si>
  <si>
    <t>472.73</t>
  </si>
  <si>
    <t>4,727.27</t>
  </si>
  <si>
    <t>1,914.30</t>
  </si>
  <si>
    <t>28.8</t>
  </si>
  <si>
    <t>1119</t>
  </si>
  <si>
    <t>3.93</t>
  </si>
  <si>
    <t>306.54</t>
  </si>
  <si>
    <t>433,171.67</t>
  </si>
  <si>
    <t>351,000.00</t>
  </si>
  <si>
    <t>82,171.67</t>
  </si>
  <si>
    <t>1120</t>
  </si>
  <si>
    <t>117.90</t>
  </si>
  <si>
    <t>166,604.49</t>
  </si>
  <si>
    <t>31,604.49</t>
  </si>
  <si>
    <t>1121</t>
  </si>
  <si>
    <t>259.38</t>
  </si>
  <si>
    <t>366,529.88</t>
  </si>
  <si>
    <t>297,000.00</t>
  </si>
  <si>
    <t>69,529.88</t>
  </si>
  <si>
    <t>1122</t>
  </si>
  <si>
    <t>463.74</t>
  </si>
  <si>
    <t>655,310.99</t>
  </si>
  <si>
    <t>531,000.00</t>
  </si>
  <si>
    <t>124,310.99</t>
  </si>
  <si>
    <t>1123</t>
  </si>
  <si>
    <t>231.87</t>
  </si>
  <si>
    <t>327,655.50</t>
  </si>
  <si>
    <t>265,500.00</t>
  </si>
  <si>
    <t>62,155.50</t>
  </si>
  <si>
    <t>1124</t>
  </si>
  <si>
    <t>149.40</t>
  </si>
  <si>
    <t>211,117.14</t>
  </si>
  <si>
    <t>157,090.91</t>
  </si>
  <si>
    <t>54,026.23</t>
  </si>
  <si>
    <t>1125</t>
  </si>
  <si>
    <t>2.90</t>
  </si>
  <si>
    <t>136.30</t>
  </si>
  <si>
    <t>192,605.53</t>
  </si>
  <si>
    <t>145,272.72</t>
  </si>
  <si>
    <t>47,332.81</t>
  </si>
  <si>
    <t>1126</t>
  </si>
  <si>
    <t>164.25</t>
  </si>
  <si>
    <t>232,101.68</t>
  </si>
  <si>
    <t>172,750.00</t>
  </si>
  <si>
    <t>59,351.67</t>
  </si>
  <si>
    <t>1127</t>
  </si>
  <si>
    <t>2.99</t>
  </si>
  <si>
    <t>12,675.51</t>
  </si>
  <si>
    <t>9,572.73</t>
  </si>
  <si>
    <t>3,102.78</t>
  </si>
  <si>
    <t>1128</t>
  </si>
  <si>
    <t>5.57</t>
  </si>
  <si>
    <t>83.55</t>
  </si>
  <si>
    <t>118,064.51</t>
  </si>
  <si>
    <t>88,295.45</t>
  </si>
  <si>
    <t>29,769.05</t>
  </si>
  <si>
    <t>1129</t>
  </si>
  <si>
    <t>1.78</t>
  </si>
  <si>
    <t>44.50</t>
  </si>
  <si>
    <t>62,882.95</t>
  </si>
  <si>
    <t>47,727.27</t>
  </si>
  <si>
    <t>15,155.68</t>
  </si>
  <si>
    <t>1130</t>
  </si>
  <si>
    <t>330.60</t>
  </si>
  <si>
    <t>467,170.86</t>
  </si>
  <si>
    <t>353,659.09</t>
  </si>
  <si>
    <t>113,511.77</t>
  </si>
  <si>
    <t>1131</t>
  </si>
  <si>
    <t>135.60</t>
  </si>
  <si>
    <t>191,616.36</t>
  </si>
  <si>
    <t>6,045.68</t>
  </si>
  <si>
    <t>145,096.36</t>
  </si>
  <si>
    <t>46,520.00</t>
  </si>
  <si>
    <t>1132</t>
  </si>
  <si>
    <t>209.05</t>
  </si>
  <si>
    <t>295,408.56</t>
  </si>
  <si>
    <t>223,681.82</t>
  </si>
  <si>
    <t>71,726.74</t>
  </si>
  <si>
    <t>1133</t>
  </si>
  <si>
    <t>7.54</t>
  </si>
  <si>
    <t>45.24</t>
  </si>
  <si>
    <t>63,928.64</t>
  </si>
  <si>
    <t>48,218.18</t>
  </si>
  <si>
    <t>15,710.46</t>
  </si>
  <si>
    <t>1134</t>
  </si>
  <si>
    <t>BentonS01-ICR</t>
  </si>
  <si>
    <t>스네일비 얼티밋 아이크림 30g</t>
  </si>
  <si>
    <t>10,654.77</t>
  </si>
  <si>
    <t>2,618.41</t>
  </si>
  <si>
    <t>1135</t>
  </si>
  <si>
    <t>62.64</t>
  </si>
  <si>
    <t>88,516.58</t>
  </si>
  <si>
    <t>5,936.00</t>
  </si>
  <si>
    <t>53,424.00</t>
  </si>
  <si>
    <t>35,092.58</t>
  </si>
  <si>
    <t>39.6</t>
  </si>
  <si>
    <t>1136</t>
  </si>
  <si>
    <t>164.68</t>
  </si>
  <si>
    <t>232,709.31</t>
  </si>
  <si>
    <t>173,127.27</t>
  </si>
  <si>
    <t>59,582.04</t>
  </si>
  <si>
    <t>1137</t>
  </si>
  <si>
    <t>26.48</t>
  </si>
  <si>
    <t>37,418.89</t>
  </si>
  <si>
    <t>27,927.27</t>
  </si>
  <si>
    <t>9,491.62</t>
  </si>
  <si>
    <t>1138</t>
  </si>
  <si>
    <t>46.40</t>
  </si>
  <si>
    <t>65,567.84</t>
  </si>
  <si>
    <t>37,963.63</t>
  </si>
  <si>
    <t>27,604.21</t>
  </si>
  <si>
    <t>42.1</t>
  </si>
  <si>
    <t>1139</t>
  </si>
  <si>
    <t>365.20</t>
  </si>
  <si>
    <t>516,064.12</t>
  </si>
  <si>
    <t>298,799.98</t>
  </si>
  <si>
    <t>217,264.14</t>
  </si>
  <si>
    <t>1140</t>
  </si>
  <si>
    <t>158.00</t>
  </si>
  <si>
    <t>223,269.80</t>
  </si>
  <si>
    <t>129,272.72</t>
  </si>
  <si>
    <t>93,997.08</t>
  </si>
  <si>
    <t>1141</t>
  </si>
  <si>
    <t>793.00</t>
  </si>
  <si>
    <t>1,120,588.30</t>
  </si>
  <si>
    <t>520,588.30</t>
  </si>
  <si>
    <t>1142</t>
  </si>
  <si>
    <t>8.49</t>
  </si>
  <si>
    <t>169.80</t>
  </si>
  <si>
    <t>239,944.38</t>
  </si>
  <si>
    <t>112,544.38</t>
  </si>
  <si>
    <t>1143</t>
  </si>
  <si>
    <t>16.98</t>
  </si>
  <si>
    <t>479,888.76</t>
  </si>
  <si>
    <t>223,288.76</t>
  </si>
  <si>
    <t>1144</t>
  </si>
  <si>
    <t>920.00</t>
  </si>
  <si>
    <t>1,300,052.00</t>
  </si>
  <si>
    <t>500,052.00</t>
  </si>
  <si>
    <t>1145</t>
  </si>
  <si>
    <t>4.71</t>
  </si>
  <si>
    <t>193.11</t>
  </si>
  <si>
    <t>272,883.74</t>
  </si>
  <si>
    <t>162,360.00</t>
  </si>
  <si>
    <t>110,523.74</t>
  </si>
  <si>
    <t>40.5</t>
  </si>
  <si>
    <t>1146</t>
  </si>
  <si>
    <t>7.08</t>
  </si>
  <si>
    <t>389.40</t>
  </si>
  <si>
    <t>550,261.14</t>
  </si>
  <si>
    <t>8,090.93</t>
  </si>
  <si>
    <t>445,000.91</t>
  </si>
  <si>
    <t>105,260.23</t>
  </si>
  <si>
    <t>1147</t>
  </si>
  <si>
    <t>349.30</t>
  </si>
  <si>
    <t>493,595.83</t>
  </si>
  <si>
    <t>10,636.51</t>
  </si>
  <si>
    <t>372,277.82</t>
  </si>
  <si>
    <t>121,318.01</t>
  </si>
  <si>
    <t>1148</t>
  </si>
  <si>
    <t>4.98</t>
  </si>
  <si>
    <t>49.80</t>
  </si>
  <si>
    <t>70,372.38</t>
  </si>
  <si>
    <t>57,000.00</t>
  </si>
  <si>
    <t>13,372.38</t>
  </si>
  <si>
    <t>1149</t>
  </si>
  <si>
    <t>3.76</t>
  </si>
  <si>
    <t>52.64</t>
  </si>
  <si>
    <t>74,385.58</t>
  </si>
  <si>
    <t>1150</t>
  </si>
  <si>
    <t>432.40</t>
  </si>
  <si>
    <t>611,024.44</t>
  </si>
  <si>
    <t>3,691.00</t>
  </si>
  <si>
    <t>424,465.00</t>
  </si>
  <si>
    <t>186,559.44</t>
  </si>
  <si>
    <t>1151</t>
  </si>
  <si>
    <t>34.64</t>
  </si>
  <si>
    <t>48,949.78</t>
  </si>
  <si>
    <t>22,767.97</t>
  </si>
  <si>
    <t>1152</t>
  </si>
  <si>
    <t>1,710.84</t>
  </si>
  <si>
    <t>2,417,588.00</t>
  </si>
  <si>
    <t>1,676,727.25</t>
  </si>
  <si>
    <t>740,860.75</t>
  </si>
  <si>
    <t>1153</t>
  </si>
  <si>
    <t>22.64</t>
  </si>
  <si>
    <t>31,992.58</t>
  </si>
  <si>
    <t>22,545.45</t>
  </si>
  <si>
    <t>9,447.13</t>
  </si>
  <si>
    <t>29.5</t>
  </si>
  <si>
    <t>1154</t>
  </si>
  <si>
    <t>8.07</t>
  </si>
  <si>
    <t>177.54</t>
  </si>
  <si>
    <t>250,881.77</t>
  </si>
  <si>
    <t>7,945.45</t>
  </si>
  <si>
    <t>174,800.00</t>
  </si>
  <si>
    <t>76,081.77</t>
  </si>
  <si>
    <t>1155</t>
  </si>
  <si>
    <t>4.19</t>
  </si>
  <si>
    <t>150.84</t>
  </si>
  <si>
    <t>213,152.00</t>
  </si>
  <si>
    <t>157,090.92</t>
  </si>
  <si>
    <t>56,061.08</t>
  </si>
  <si>
    <t>1156</t>
  </si>
  <si>
    <t>8.90</t>
  </si>
  <si>
    <t>35.60</t>
  </si>
  <si>
    <t>50,306.36</t>
  </si>
  <si>
    <t>38,760.00</t>
  </si>
  <si>
    <t>11,546.36</t>
  </si>
  <si>
    <t>1157</t>
  </si>
  <si>
    <t>9.43</t>
  </si>
  <si>
    <t>254.61</t>
  </si>
  <si>
    <t>359,789.39</t>
  </si>
  <si>
    <t>10,109.16</t>
  </si>
  <si>
    <t>272,947.36</t>
  </si>
  <si>
    <t>86,842.03</t>
  </si>
  <si>
    <t>1158</t>
  </si>
  <si>
    <t>9.95</t>
  </si>
  <si>
    <t>39.80</t>
  </si>
  <si>
    <t>56,241.38</t>
  </si>
  <si>
    <t>41,454.55</t>
  </si>
  <si>
    <t>14,786.83</t>
  </si>
  <si>
    <t>1159</t>
  </si>
  <si>
    <t>MECUP10-PKREUP</t>
  </si>
  <si>
    <t>[EUP]콜라겐 나이트 랩핑 마스크 75ml</t>
  </si>
  <si>
    <t>2,340</t>
  </si>
  <si>
    <t>9.09</t>
  </si>
  <si>
    <t>21,270.60</t>
  </si>
  <si>
    <t>30,057,484.86</t>
  </si>
  <si>
    <t>7,600.00</t>
  </si>
  <si>
    <t>17,784,000.00</t>
  </si>
  <si>
    <t>12,273,484.86</t>
  </si>
  <si>
    <t>40.8</t>
  </si>
  <si>
    <t>1160</t>
  </si>
  <si>
    <t>MECUP13-M4</t>
  </si>
  <si>
    <t>[4개입] PDRN 콜라겐 겔 마스크</t>
  </si>
  <si>
    <t>7.13</t>
  </si>
  <si>
    <t>556.14</t>
  </si>
  <si>
    <t>785,881.43</t>
  </si>
  <si>
    <t>161,881.43</t>
  </si>
  <si>
    <t>1161</t>
  </si>
  <si>
    <t>MECUS01-RS</t>
  </si>
  <si>
    <t>레드 세럼 2.0_NEW 30ml</t>
  </si>
  <si>
    <t>6.14</t>
  </si>
  <si>
    <t>245.60</t>
  </si>
  <si>
    <t>347,057.36</t>
  </si>
  <si>
    <t>278,400.00</t>
  </si>
  <si>
    <t>68,657.36</t>
  </si>
  <si>
    <t>1162</t>
  </si>
  <si>
    <t>285.20</t>
  </si>
  <si>
    <t>403,016.12</t>
  </si>
  <si>
    <t>320,000.00</t>
  </si>
  <si>
    <t>83,016.12</t>
  </si>
  <si>
    <t>1163</t>
  </si>
  <si>
    <t>790.80</t>
  </si>
  <si>
    <t>1,117,479.48</t>
  </si>
  <si>
    <t>217,479.48</t>
  </si>
  <si>
    <t>1164</t>
  </si>
  <si>
    <t>1,304.80</t>
  </si>
  <si>
    <t>1,843,812.88</t>
  </si>
  <si>
    <t>1,495,200.00</t>
  </si>
  <si>
    <t>348,612.88</t>
  </si>
  <si>
    <t>1165</t>
  </si>
  <si>
    <t>MECUS08-TPEUP</t>
  </si>
  <si>
    <t>[EUP] (용기 변경) 제로 모공 패드 (70매입)</t>
  </si>
  <si>
    <t>8.67</t>
  </si>
  <si>
    <t>10,230.60</t>
  </si>
  <si>
    <t>14,456,860.86</t>
  </si>
  <si>
    <t>11,598,220.00</t>
  </si>
  <si>
    <t>2,858,640.86</t>
  </si>
  <si>
    <t>1166</t>
  </si>
  <si>
    <t>1,366.50</t>
  </si>
  <si>
    <t>1,931,001.15</t>
  </si>
  <si>
    <t>1,552,500.00</t>
  </si>
  <si>
    <t>378,501.15</t>
  </si>
  <si>
    <t>1167</t>
  </si>
  <si>
    <t>MECUS13-AEUP</t>
  </si>
  <si>
    <t>[EUP] PDRN 핑크 펩타이드 세럼 30ml</t>
  </si>
  <si>
    <t>3,825.36</t>
  </si>
  <si>
    <t>5,405,616.22</t>
  </si>
  <si>
    <t>4,334,400.00</t>
  </si>
  <si>
    <t>1,071,216.22</t>
  </si>
  <si>
    <t>1168</t>
  </si>
  <si>
    <t>19.53</t>
  </si>
  <si>
    <t>27,597.84</t>
  </si>
  <si>
    <t>22,500.00</t>
  </si>
  <si>
    <t>5,097.84</t>
  </si>
  <si>
    <t>1169</t>
  </si>
  <si>
    <t>422.45</t>
  </si>
  <si>
    <t>596,964.10</t>
  </si>
  <si>
    <t>439,759.09</t>
  </si>
  <si>
    <t>157,205.01</t>
  </si>
  <si>
    <t>1170</t>
  </si>
  <si>
    <t>337.96</t>
  </si>
  <si>
    <t>477,571.28</t>
  </si>
  <si>
    <t>5,174.00</t>
  </si>
  <si>
    <t>351,832.00</t>
  </si>
  <si>
    <t>125,739.28</t>
  </si>
  <si>
    <t>1171</t>
  </si>
  <si>
    <t>321.30</t>
  </si>
  <si>
    <t>454,029.03</t>
  </si>
  <si>
    <t>365,400.00</t>
  </si>
  <si>
    <t>88,629.03</t>
  </si>
  <si>
    <t>1172</t>
  </si>
  <si>
    <t>NLS05-T</t>
  </si>
  <si>
    <t>(NLS05-TR 확인) 에이컨트롤 아젤라익애씨드 토너 150ml</t>
  </si>
  <si>
    <t>290.70</t>
  </si>
  <si>
    <t>410,788.17</t>
  </si>
  <si>
    <t>330,600.00</t>
  </si>
  <si>
    <t>80,188.17</t>
  </si>
  <si>
    <t>1173</t>
  </si>
  <si>
    <t>321.47</t>
  </si>
  <si>
    <t>454,269.26</t>
  </si>
  <si>
    <t>1174</t>
  </si>
  <si>
    <t>99.66</t>
  </si>
  <si>
    <t>140,829.55</t>
  </si>
  <si>
    <t>108,000.00</t>
  </si>
  <si>
    <t>32,829.55</t>
  </si>
  <si>
    <t>1175</t>
  </si>
  <si>
    <t>525.48</t>
  </si>
  <si>
    <t>742,555.79</t>
  </si>
  <si>
    <t>569,454.54</t>
  </si>
  <si>
    <t>173,101.24</t>
  </si>
  <si>
    <t>1176</t>
  </si>
  <si>
    <t>0.70</t>
  </si>
  <si>
    <t>95.90</t>
  </si>
  <si>
    <t>135,516.29</t>
  </si>
  <si>
    <t>772.73</t>
  </si>
  <si>
    <t>105,863.63</t>
  </si>
  <si>
    <t>29,652.66</t>
  </si>
  <si>
    <t>1177</t>
  </si>
  <si>
    <t>4.81</t>
  </si>
  <si>
    <t>163.54</t>
  </si>
  <si>
    <t>231,098.37</t>
  </si>
  <si>
    <t>5,290.91</t>
  </si>
  <si>
    <t>179,890.91</t>
  </si>
  <si>
    <t>51,207.47</t>
  </si>
  <si>
    <t>1178</t>
  </si>
  <si>
    <t>62.53</t>
  </si>
  <si>
    <t>88,361.14</t>
  </si>
  <si>
    <t>5,291.00</t>
  </si>
  <si>
    <t>68,783.00</t>
  </si>
  <si>
    <t>19,578.14</t>
  </si>
  <si>
    <t>1179</t>
  </si>
  <si>
    <t>254.93</t>
  </si>
  <si>
    <t>360,241.58</t>
  </si>
  <si>
    <t>280,418.18</t>
  </si>
  <si>
    <t>79,823.41</t>
  </si>
  <si>
    <t>1180</t>
  </si>
  <si>
    <t>3.50</t>
  </si>
  <si>
    <t>136.50</t>
  </si>
  <si>
    <t>192,888.15</t>
  </si>
  <si>
    <t>148,909.09</t>
  </si>
  <si>
    <t>43,979.06</t>
  </si>
  <si>
    <t>1181</t>
  </si>
  <si>
    <t>101.88</t>
  </si>
  <si>
    <t>143,966.63</t>
  </si>
  <si>
    <t>32,693.90</t>
  </si>
  <si>
    <t>1182</t>
  </si>
  <si>
    <t>PTFS25-BMM</t>
  </si>
  <si>
    <t>*모크라*뷰티파잉 글로우 온 하이드레이터 50ml</t>
  </si>
  <si>
    <t>90.60</t>
  </si>
  <si>
    <t>128,026.86</t>
  </si>
  <si>
    <t>28,026.86</t>
  </si>
  <si>
    <t>1183</t>
  </si>
  <si>
    <t>11.29</t>
  </si>
  <si>
    <t>564.50</t>
  </si>
  <si>
    <t>797,694.95</t>
  </si>
  <si>
    <t>621,818.18</t>
  </si>
  <si>
    <t>175,876.77</t>
  </si>
  <si>
    <t>1184</t>
  </si>
  <si>
    <t>RBS03-EtRR</t>
  </si>
  <si>
    <t>[Renew] 리얼베리어 익스트림 에센스 토너 200ml</t>
  </si>
  <si>
    <t>241,640.10</t>
  </si>
  <si>
    <t>188,181.82</t>
  </si>
  <si>
    <t>53,458.28</t>
  </si>
  <si>
    <t>1185</t>
  </si>
  <si>
    <t>13.19</t>
  </si>
  <si>
    <t>263.80</t>
  </si>
  <si>
    <t>372,775.78</t>
  </si>
  <si>
    <t>1186</t>
  </si>
  <si>
    <t>13.95</t>
  </si>
  <si>
    <t>1,395.00</t>
  </si>
  <si>
    <t>1,971,274.50</t>
  </si>
  <si>
    <t>846,274.50</t>
  </si>
  <si>
    <t>1187</t>
  </si>
  <si>
    <t>649.60</t>
  </si>
  <si>
    <t>917,949.76</t>
  </si>
  <si>
    <t>1188</t>
  </si>
  <si>
    <t>2,841.30</t>
  </si>
  <si>
    <t>4,015,041.03</t>
  </si>
  <si>
    <t>2,979,900.00</t>
  </si>
  <si>
    <t>1,035,141.03</t>
  </si>
  <si>
    <t>1189</t>
  </si>
  <si>
    <t>1,709.40</t>
  </si>
  <si>
    <t>2,415,553.14</t>
  </si>
  <si>
    <t>525,553.14</t>
  </si>
  <si>
    <t>1190</t>
  </si>
  <si>
    <t>365.07</t>
  </si>
  <si>
    <t>515,880.42</t>
  </si>
  <si>
    <t>270,900.00</t>
  </si>
  <si>
    <t>244,980.42</t>
  </si>
  <si>
    <t>1191</t>
  </si>
  <si>
    <t>237.90</t>
  </si>
  <si>
    <t>336,176.49</t>
  </si>
  <si>
    <t>220,500.00</t>
  </si>
  <si>
    <t>115,676.49</t>
  </si>
  <si>
    <t>1192</t>
  </si>
  <si>
    <t>33.60</t>
  </si>
  <si>
    <t>47,480.16</t>
  </si>
  <si>
    <t>35,700.00</t>
  </si>
  <si>
    <t>11,780.16</t>
  </si>
  <si>
    <t>1193</t>
  </si>
  <si>
    <t>1.08</t>
  </si>
  <si>
    <t>10.80</t>
  </si>
  <si>
    <t>15,261.48</t>
  </si>
  <si>
    <t>12,545.45</t>
  </si>
  <si>
    <t>2,716.03</t>
  </si>
  <si>
    <t>1194</t>
  </si>
  <si>
    <t>8.39</t>
  </si>
  <si>
    <t>16.78</t>
  </si>
  <si>
    <t>23,711.82</t>
  </si>
  <si>
    <t>12,363.64</t>
  </si>
  <si>
    <t>11,348.18</t>
  </si>
  <si>
    <t>1195</t>
  </si>
  <si>
    <t>12.24</t>
  </si>
  <si>
    <t>391.68</t>
  </si>
  <si>
    <t>553,483.01</t>
  </si>
  <si>
    <t>290,909.09</t>
  </si>
  <si>
    <t>262,573.92</t>
  </si>
  <si>
    <t>1196</t>
  </si>
  <si>
    <t>RVTSM04-LS</t>
  </si>
  <si>
    <t>카밍 연꽃수 선크림 50ml</t>
  </si>
  <si>
    <t>48.95</t>
  </si>
  <si>
    <t>69,171.25</t>
  </si>
  <si>
    <t>7,273.00</t>
  </si>
  <si>
    <t>36,365.00</t>
  </si>
  <si>
    <t>32,806.24</t>
  </si>
  <si>
    <t>1197</t>
  </si>
  <si>
    <t>SEP03-MH4ea</t>
  </si>
  <si>
    <t>[4매입] 딥 콜라겐 히알루B5 하이드레이팅 마스크</t>
  </si>
  <si>
    <t>1,443.00</t>
  </si>
  <si>
    <t>2,039,103.30</t>
  </si>
  <si>
    <t>5,091.00</t>
  </si>
  <si>
    <t>1,527,300.00</t>
  </si>
  <si>
    <t>511,803.30</t>
  </si>
  <si>
    <t>1198</t>
  </si>
  <si>
    <t>SNPP92-MA</t>
  </si>
  <si>
    <t>[10매입]프렙 비타로닉 앰플 마스크 25ml</t>
  </si>
  <si>
    <t>에스앤피</t>
  </si>
  <si>
    <t>3.18</t>
  </si>
  <si>
    <t>15.90</t>
  </si>
  <si>
    <t>22,468.29</t>
  </si>
  <si>
    <t>7,468.29</t>
  </si>
  <si>
    <t>33.2</t>
  </si>
  <si>
    <t>1199</t>
  </si>
  <si>
    <t>SNPS95-T</t>
  </si>
  <si>
    <t>프렙 살리로닉 토너 220ml</t>
  </si>
  <si>
    <t>71.36</t>
  </si>
  <si>
    <t>100,838.82</t>
  </si>
  <si>
    <t>28,838.82</t>
  </si>
  <si>
    <t>1200</t>
  </si>
  <si>
    <t>TREHS01-TT</t>
  </si>
  <si>
    <t>포르테 앰플 트리트먼트 200ml</t>
  </si>
  <si>
    <t>131.56</t>
  </si>
  <si>
    <t>185,907.44</t>
  </si>
  <si>
    <t>6,240.00</t>
  </si>
  <si>
    <t>137,280.00</t>
  </si>
  <si>
    <t>48,627.44</t>
  </si>
  <si>
    <t>26.2</t>
  </si>
  <si>
    <t>1201</t>
  </si>
  <si>
    <t>2026-02-23</t>
  </si>
  <si>
    <t>2,120</t>
  </si>
  <si>
    <t>14,776.40</t>
  </si>
  <si>
    <t>21,193,790.52</t>
  </si>
  <si>
    <t>17,808,000.00</t>
  </si>
  <si>
    <t>3,385,790.52</t>
  </si>
  <si>
    <t>IN00413121</t>
  </si>
  <si>
    <t>1202</t>
  </si>
  <si>
    <t>3,540</t>
  </si>
  <si>
    <t>16,036.20</t>
  </si>
  <si>
    <t>23,000,721.66</t>
  </si>
  <si>
    <t>19,328,400.00</t>
  </si>
  <si>
    <t>3,672,321.66</t>
  </si>
  <si>
    <t>1203</t>
  </si>
  <si>
    <t>1,392</t>
  </si>
  <si>
    <t>9,215.04</t>
  </si>
  <si>
    <t>13,217,131.87</t>
  </si>
  <si>
    <t>11,108,160.00</t>
  </si>
  <si>
    <t>2,108,971.87</t>
  </si>
  <si>
    <t>1204</t>
  </si>
  <si>
    <t>1,920</t>
  </si>
  <si>
    <t>13,382.40</t>
  </si>
  <si>
    <t>19,194,376.32</t>
  </si>
  <si>
    <t>16,128,000.00</t>
  </si>
  <si>
    <t>3,066,376.32</t>
  </si>
  <si>
    <t>1205</t>
  </si>
  <si>
    <t>2,360</t>
  </si>
  <si>
    <t>14,797.20</t>
  </si>
  <si>
    <t>21,223,623.96</t>
  </si>
  <si>
    <t>17,841,600.00</t>
  </si>
  <si>
    <t>3,382,023.96</t>
  </si>
  <si>
    <t>1206</t>
  </si>
  <si>
    <t>40,845.60</t>
  </si>
  <si>
    <t>58,584,844.08</t>
  </si>
  <si>
    <t>1207</t>
  </si>
  <si>
    <t>1,861</t>
  </si>
  <si>
    <t>11.85</t>
  </si>
  <si>
    <t>22,052.85</t>
  </si>
  <si>
    <t>31,630,402.76</t>
  </si>
  <si>
    <t>12,714.65</t>
  </si>
  <si>
    <t>23,661,960.00</t>
  </si>
  <si>
    <t>7,968,442.75</t>
  </si>
  <si>
    <t>1208</t>
  </si>
  <si>
    <t>8,760</t>
  </si>
  <si>
    <t>5.93</t>
  </si>
  <si>
    <t>51,946.80</t>
  </si>
  <si>
    <t>74,507,295.24</t>
  </si>
  <si>
    <t>7,001.44</t>
  </si>
  <si>
    <t>61,332,600.00</t>
  </si>
  <si>
    <t>13,174,695.24</t>
  </si>
  <si>
    <t>1209</t>
  </si>
  <si>
    <t>6,523.00</t>
  </si>
  <si>
    <t>9,355,938.90</t>
  </si>
  <si>
    <t>7,854,000.00</t>
  </si>
  <si>
    <t>1,501,938.90</t>
  </si>
  <si>
    <t>1210</t>
  </si>
  <si>
    <t>6,000</t>
  </si>
  <si>
    <t>35,580.00</t>
  </si>
  <si>
    <t>51,032,394.00</t>
  </si>
  <si>
    <t>4,949.21</t>
  </si>
  <si>
    <t>29,695,260.00</t>
  </si>
  <si>
    <t>21,337,134.00</t>
  </si>
  <si>
    <t>41.8</t>
  </si>
  <si>
    <t>1211</t>
  </si>
  <si>
    <t>4,017.60</t>
  </si>
  <si>
    <t>5,762,443.68</t>
  </si>
  <si>
    <t>4,838,400.00</t>
  </si>
  <si>
    <t>924,043.68</t>
  </si>
  <si>
    <t>1212</t>
  </si>
  <si>
    <t>2,400</t>
  </si>
  <si>
    <t>14,232.00</t>
  </si>
  <si>
    <t>20,412,957.60</t>
  </si>
  <si>
    <t>17,136,000.00</t>
  </si>
  <si>
    <t>3,276,957.60</t>
  </si>
  <si>
    <t>1213</t>
  </si>
  <si>
    <t>2,678.40</t>
  </si>
  <si>
    <t>3,841,629.12</t>
  </si>
  <si>
    <t>3,225,600.00</t>
  </si>
  <si>
    <t>616,029.12</t>
  </si>
  <si>
    <t>1214</t>
  </si>
  <si>
    <t>3,348.00</t>
  </si>
  <si>
    <t>4,802,036.40</t>
  </si>
  <si>
    <t>4,032,000.00</t>
  </si>
  <si>
    <t>770,036.40</t>
  </si>
  <si>
    <t>1215</t>
  </si>
  <si>
    <t>3,762.00</t>
  </si>
  <si>
    <t>5,395,836.60</t>
  </si>
  <si>
    <t>4,536,000.00</t>
  </si>
  <si>
    <t>859,836.60</t>
  </si>
  <si>
    <t>1216</t>
  </si>
  <si>
    <t>752.40</t>
  </si>
  <si>
    <t>1,079,167.32</t>
  </si>
  <si>
    <t>171,967.32</t>
  </si>
  <si>
    <t>1217</t>
  </si>
  <si>
    <t>5,266.80</t>
  </si>
  <si>
    <t>7,554,171.24</t>
  </si>
  <si>
    <t>6,350,400.00</t>
  </si>
  <si>
    <t>1,203,771.24</t>
  </si>
  <si>
    <t>1218</t>
  </si>
  <si>
    <t>4,981.20</t>
  </si>
  <si>
    <t>7,144,535.16</t>
  </si>
  <si>
    <t>5,997,600.00</t>
  </si>
  <si>
    <t>1,146,935.16</t>
  </si>
  <si>
    <t>1219</t>
  </si>
  <si>
    <t>3,040</t>
  </si>
  <si>
    <t>19,060.80</t>
  </si>
  <si>
    <t>27,338,905.44</t>
  </si>
  <si>
    <t>22,982,400.00</t>
  </si>
  <si>
    <t>4,356,505.44</t>
  </si>
  <si>
    <t>1220</t>
  </si>
  <si>
    <t>8,520</t>
  </si>
  <si>
    <t>53,420.40</t>
  </si>
  <si>
    <t>76,620,879.72</t>
  </si>
  <si>
    <t>64,411,200.00</t>
  </si>
  <si>
    <t>12,209,679.72</t>
  </si>
  <si>
    <t>1221</t>
  </si>
  <si>
    <t>3,960</t>
  </si>
  <si>
    <t>24,829.20</t>
  </si>
  <si>
    <t>35,612,521.56</t>
  </si>
  <si>
    <t>29,937,600.00</t>
  </si>
  <si>
    <t>5,674,921.56</t>
  </si>
  <si>
    <t>1222</t>
  </si>
  <si>
    <t>JSMSM03-SS</t>
  </si>
  <si>
    <t>(단종)인삼선세럼 50ml</t>
  </si>
  <si>
    <t>6,441.60</t>
  </si>
  <si>
    <t>9,239,186.88</t>
  </si>
  <si>
    <t>8,820.00</t>
  </si>
  <si>
    <t>7,761,600.00</t>
  </si>
  <si>
    <t>1,477,586.88</t>
  </si>
  <si>
    <t>1223</t>
  </si>
  <si>
    <t>1,536</t>
  </si>
  <si>
    <t>9,630.72</t>
  </si>
  <si>
    <t>13,813,341.70</t>
  </si>
  <si>
    <t>5,576.48</t>
  </si>
  <si>
    <t>8,565,480.00</t>
  </si>
  <si>
    <t>5,247,861.70</t>
  </si>
  <si>
    <t>38.0</t>
  </si>
  <si>
    <t>1224</t>
  </si>
  <si>
    <t>2026-02-19</t>
  </si>
  <si>
    <t>1,320</t>
  </si>
  <si>
    <t>9,200.40</t>
  </si>
  <si>
    <t>13,196,133.72</t>
  </si>
  <si>
    <t>11,088,000.00</t>
  </si>
  <si>
    <t>2,108,133.72</t>
  </si>
  <si>
    <t>IN00413118</t>
  </si>
  <si>
    <t>1225</t>
  </si>
  <si>
    <t>2,040</t>
  </si>
  <si>
    <t>9,241.20</t>
  </si>
  <si>
    <t>13,254,653.16</t>
  </si>
  <si>
    <t>11,138,400.00</t>
  </si>
  <si>
    <t>2,116,253.16</t>
  </si>
  <si>
    <t>1226</t>
  </si>
  <si>
    <t>4,130.88</t>
  </si>
  <si>
    <t>5,924,921.18</t>
  </si>
  <si>
    <t>4,979,520.00</t>
  </si>
  <si>
    <t>945,401.18</t>
  </si>
  <si>
    <t>1227</t>
  </si>
  <si>
    <t>6,970.00</t>
  </si>
  <si>
    <t>9,997,071.00</t>
  </si>
  <si>
    <t>8,400,000.00</t>
  </si>
  <si>
    <t>1,597,071.00</t>
  </si>
  <si>
    <t>1228</t>
  </si>
  <si>
    <t>1,060</t>
  </si>
  <si>
    <t>6,646.20</t>
  </si>
  <si>
    <t>9,532,644.66</t>
  </si>
  <si>
    <t>8,013,600.00</t>
  </si>
  <si>
    <t>1,519,044.66</t>
  </si>
  <si>
    <t>1229</t>
  </si>
  <si>
    <t>1,240</t>
  </si>
  <si>
    <t>10,378.80</t>
  </si>
  <si>
    <t>14,886,312.84</t>
  </si>
  <si>
    <t>1230</t>
  </si>
  <si>
    <t>1,860</t>
  </si>
  <si>
    <t>22,041.00</t>
  </si>
  <si>
    <t>31,613,406.30</t>
  </si>
  <si>
    <t>26,560,800.00</t>
  </si>
  <si>
    <t>5,052,606.30</t>
  </si>
  <si>
    <t>1231</t>
  </si>
  <si>
    <t>5,640</t>
  </si>
  <si>
    <t>33,445.20</t>
  </si>
  <si>
    <t>47,970,450.36</t>
  </si>
  <si>
    <t>4,818.23</t>
  </si>
  <si>
    <t>27,174,840.00</t>
  </si>
  <si>
    <t>20,795,610.36</t>
  </si>
  <si>
    <t>43.4</t>
  </si>
  <si>
    <t>1232</t>
  </si>
  <si>
    <t>4,151.00</t>
  </si>
  <si>
    <t>5,953,779.30</t>
  </si>
  <si>
    <t>4,998,000.00</t>
  </si>
  <si>
    <t>955,779.30</t>
  </si>
  <si>
    <t>1233</t>
  </si>
  <si>
    <t>JSMS01-SCR60</t>
  </si>
  <si>
    <t>산들녹차세럼 60ml</t>
  </si>
  <si>
    <t>1234</t>
  </si>
  <si>
    <t>4,500</t>
  </si>
  <si>
    <t>26,685.00</t>
  </si>
  <si>
    <t>38,274,295.50</t>
  </si>
  <si>
    <t>32,130,000.00</t>
  </si>
  <si>
    <t>6,144,295.50</t>
  </si>
  <si>
    <t>1235</t>
  </si>
  <si>
    <t>1236</t>
  </si>
  <si>
    <t>4,856,252.94</t>
  </si>
  <si>
    <t>4,082,400.00</t>
  </si>
  <si>
    <t>773,852.94</t>
  </si>
  <si>
    <t>1237</t>
  </si>
  <si>
    <t>3,558.00</t>
  </si>
  <si>
    <t>5,103,239.40</t>
  </si>
  <si>
    <t>819,239.40</t>
  </si>
  <si>
    <t>1238</t>
  </si>
  <si>
    <t>14,546.40</t>
  </si>
  <si>
    <t>20,863,901.52</t>
  </si>
  <si>
    <t>17,539,200.00</t>
  </si>
  <si>
    <t>3,324,701.52</t>
  </si>
  <si>
    <t>1239</t>
  </si>
  <si>
    <t>2,640</t>
  </si>
  <si>
    <t>16,552.80</t>
  </si>
  <si>
    <t>23,741,681.04</t>
  </si>
  <si>
    <t>19,958,400.00</t>
  </si>
  <si>
    <t>3,783,281.04</t>
  </si>
  <si>
    <t>1240</t>
  </si>
  <si>
    <t>4,684.80</t>
  </si>
  <si>
    <t>6,719,408.64</t>
  </si>
  <si>
    <t>5,644,800.00</t>
  </si>
  <si>
    <t>1,074,608.64</t>
  </si>
  <si>
    <t>1241</t>
  </si>
  <si>
    <t>1,805.76</t>
  </si>
  <si>
    <t>2,590,001.57</t>
  </si>
  <si>
    <t>2,177,280.00</t>
  </si>
  <si>
    <t>412,721.57</t>
  </si>
  <si>
    <t>1242</t>
  </si>
  <si>
    <t>KAHIS01-MEU</t>
  </si>
  <si>
    <t>[EU] 링클 바운스 멀티 밤 9g</t>
  </si>
  <si>
    <t>가히</t>
  </si>
  <si>
    <t>5,433.60</t>
  </si>
  <si>
    <t>7,793,412.48</t>
  </si>
  <si>
    <t>9,156.36</t>
  </si>
  <si>
    <t>5,860,072.70</t>
  </si>
  <si>
    <t>1,933,339.78</t>
  </si>
  <si>
    <t>1243</t>
  </si>
  <si>
    <t>99.14</t>
  </si>
  <si>
    <t>9,914.00</t>
  </si>
  <si>
    <t>14,219,650.20</t>
  </si>
  <si>
    <t>2,969,650.20</t>
  </si>
  <si>
    <t>1244</t>
  </si>
  <si>
    <t>2026-02-06</t>
  </si>
  <si>
    <t>erine</t>
  </si>
  <si>
    <t>0.89</t>
  </si>
  <si>
    <t>186.90</t>
  </si>
  <si>
    <t>261,398.34</t>
  </si>
  <si>
    <t>181,364.40</t>
  </si>
  <si>
    <t>80,033.94</t>
  </si>
  <si>
    <t>IN00409829</t>
  </si>
  <si>
    <t>1245</t>
  </si>
  <si>
    <t>AbibP02-Mvita</t>
  </si>
  <si>
    <t>[1매입] 껌딱지 시트 마스크 비타 스티커 (2023)</t>
  </si>
  <si>
    <t>17.80</t>
  </si>
  <si>
    <t>24,895.08</t>
  </si>
  <si>
    <t>17,272.73</t>
  </si>
  <si>
    <t>7,622.35</t>
  </si>
  <si>
    <t>1246</t>
  </si>
  <si>
    <t>AbibP09-Mlf</t>
  </si>
  <si>
    <t>[1매입] 약산성 pH 시트 마스크 어성초 핏</t>
  </si>
  <si>
    <t>0.92</t>
  </si>
  <si>
    <t>36.80</t>
  </si>
  <si>
    <t>51,468.48</t>
  </si>
  <si>
    <t>915.45</t>
  </si>
  <si>
    <t>36,618.18</t>
  </si>
  <si>
    <t>14,850.30</t>
  </si>
  <si>
    <t>1247</t>
  </si>
  <si>
    <t>AbibP11-M4ea</t>
  </si>
  <si>
    <t>[4매입] 콜라겐 겔 마스크_어성초 젤리</t>
  </si>
  <si>
    <t>5.01</t>
  </si>
  <si>
    <t>1,152.30</t>
  </si>
  <si>
    <t>1,611,606.78</t>
  </si>
  <si>
    <t>5,301.85</t>
  </si>
  <si>
    <t>1,219,425.62</t>
  </si>
  <si>
    <t>392,181.16</t>
  </si>
  <si>
    <t>1248</t>
  </si>
  <si>
    <t>490.70</t>
  </si>
  <si>
    <t>686,293.02</t>
  </si>
  <si>
    <t>6,900.00</t>
  </si>
  <si>
    <t>483,000.00</t>
  </si>
  <si>
    <t>203,293.02</t>
  </si>
  <si>
    <t>1249</t>
  </si>
  <si>
    <t>118.40</t>
  </si>
  <si>
    <t>165,594.24</t>
  </si>
  <si>
    <t>125,872.73</t>
  </si>
  <si>
    <t>39,721.51</t>
  </si>
  <si>
    <t>1250</t>
  </si>
  <si>
    <t>260.40</t>
  </si>
  <si>
    <t>364,195.44</t>
  </si>
  <si>
    <t>1251</t>
  </si>
  <si>
    <t>AbibSM10-STotc</t>
  </si>
  <si>
    <t>(OTC ver.) 퀵 선스틱 프로텍션 바 SPF50+ 22g</t>
  </si>
  <si>
    <t>841.20</t>
  </si>
  <si>
    <t>1,176,502.32</t>
  </si>
  <si>
    <t>275,411.41</t>
  </si>
  <si>
    <t>1252</t>
  </si>
  <si>
    <t>ACC13-GR</t>
  </si>
  <si>
    <t>(리뉴얼)피에이치 밸런싱 버블 프리 클렌징 젤 160ml</t>
  </si>
  <si>
    <t>55.30</t>
  </si>
  <si>
    <t>77,342.58</t>
  </si>
  <si>
    <t>5,760.00</t>
  </si>
  <si>
    <t>57,600.00</t>
  </si>
  <si>
    <t>19,742.58</t>
  </si>
  <si>
    <t>1253</t>
  </si>
  <si>
    <t>3.86</t>
  </si>
  <si>
    <t>77.20</t>
  </si>
  <si>
    <t>107,971.92</t>
  </si>
  <si>
    <t>35,971.92</t>
  </si>
  <si>
    <t>1254</t>
  </si>
  <si>
    <t>APEHS90-MV</t>
  </si>
  <si>
    <t>민트 스칼프 헤어 식초 200ml</t>
  </si>
  <si>
    <t>6.23</t>
  </si>
  <si>
    <t>598.08</t>
  </si>
  <si>
    <t>836,474.69</t>
  </si>
  <si>
    <t>5,909.00</t>
  </si>
  <si>
    <t>567,264.00</t>
  </si>
  <si>
    <t>269,210.69</t>
  </si>
  <si>
    <t>32.2</t>
  </si>
  <si>
    <t>1255</t>
  </si>
  <si>
    <t>APEHS90-RV</t>
  </si>
  <si>
    <t>라즈베리 헤어 식초 200ml</t>
  </si>
  <si>
    <t>526.90</t>
  </si>
  <si>
    <t>736,922.34</t>
  </si>
  <si>
    <t>489,999.99</t>
  </si>
  <si>
    <t>246,922.35</t>
  </si>
  <si>
    <t>1256</t>
  </si>
  <si>
    <t>0.48</t>
  </si>
  <si>
    <t>14.40</t>
  </si>
  <si>
    <t>20,139.84</t>
  </si>
  <si>
    <t>14,181.82</t>
  </si>
  <si>
    <t>5,958.02</t>
  </si>
  <si>
    <t>1257</t>
  </si>
  <si>
    <t>APEP86-SM</t>
  </si>
  <si>
    <t>마데카소사이드 슬리핑 마스크 (고보습) 80ml</t>
  </si>
  <si>
    <t>5.71</t>
  </si>
  <si>
    <t>114.20</t>
  </si>
  <si>
    <t>159,720.12</t>
  </si>
  <si>
    <t>112,000.00</t>
  </si>
  <si>
    <t>47,720.12</t>
  </si>
  <si>
    <t>1258</t>
  </si>
  <si>
    <t>APEP87-ChocoMM</t>
  </si>
  <si>
    <t>[1매입] 우유 한 팩 #초코렛우유</t>
  </si>
  <si>
    <t>28.80</t>
  </si>
  <si>
    <t>40,279.68</t>
  </si>
  <si>
    <t>400.00</t>
  </si>
  <si>
    <t>16,279.68</t>
  </si>
  <si>
    <t>40.4</t>
  </si>
  <si>
    <t>1259</t>
  </si>
  <si>
    <t>APES120-C</t>
  </si>
  <si>
    <t>글라이콜릭애씨드크림 50ml</t>
  </si>
  <si>
    <t>36.89</t>
  </si>
  <si>
    <t>51,594.35</t>
  </si>
  <si>
    <t>4,231.82</t>
  </si>
  <si>
    <t>29,622.73</t>
  </si>
  <si>
    <t>21,971.63</t>
  </si>
  <si>
    <t>42.6</t>
  </si>
  <si>
    <t>1260</t>
  </si>
  <si>
    <t>APES86-A50rR</t>
  </si>
  <si>
    <t>마데카소사이드 테트라좀 시카 앰플 (대용량) 50ml (기존 마데카소사이드 앰플 2X)</t>
  </si>
  <si>
    <t>10.41</t>
  </si>
  <si>
    <t>208.20</t>
  </si>
  <si>
    <t>291,188.52</t>
  </si>
  <si>
    <t>11,963.64</t>
  </si>
  <si>
    <t>239,272.73</t>
  </si>
  <si>
    <t>51,915.79</t>
  </si>
  <si>
    <t>1261</t>
  </si>
  <si>
    <t>3.98</t>
  </si>
  <si>
    <t>278.60</t>
  </si>
  <si>
    <t>389,649.96</t>
  </si>
  <si>
    <t>74,649.96</t>
  </si>
  <si>
    <t>1262</t>
  </si>
  <si>
    <t>APLBP1-M10</t>
  </si>
  <si>
    <t>(10매) 글루타치온 나이아신아마이드 시트 마스크</t>
  </si>
  <si>
    <t>2,413.80</t>
  </si>
  <si>
    <t>3,375,940.68</t>
  </si>
  <si>
    <t>2,700,000.00</t>
  </si>
  <si>
    <t>675,940.68</t>
  </si>
  <si>
    <t>1263</t>
  </si>
  <si>
    <t>437.80</t>
  </si>
  <si>
    <t>612,307.08</t>
  </si>
  <si>
    <t>117,307.08</t>
  </si>
  <si>
    <t>1264</t>
  </si>
  <si>
    <t>75.50</t>
  </si>
  <si>
    <t>105,594.30</t>
  </si>
  <si>
    <t>27,048.85</t>
  </si>
  <si>
    <t>1265</t>
  </si>
  <si>
    <t>ATPS03-E200R</t>
  </si>
  <si>
    <t>[Renew]MLE 로션 200ml</t>
  </si>
  <si>
    <t>10.07</t>
  </si>
  <si>
    <t>201.40</t>
  </si>
  <si>
    <t>281,678.04</t>
  </si>
  <si>
    <t>209,454.54</t>
  </si>
  <si>
    <t>72,223.50</t>
  </si>
  <si>
    <t>1266</t>
  </si>
  <si>
    <t>4.72</t>
  </si>
  <si>
    <t>94.40</t>
  </si>
  <si>
    <t>132,027.84</t>
  </si>
  <si>
    <t>98,181.82</t>
  </si>
  <si>
    <t>33,846.02</t>
  </si>
  <si>
    <t>1267</t>
  </si>
  <si>
    <t>2.93</t>
  </si>
  <si>
    <t>175.80</t>
  </si>
  <si>
    <t>245,873.88</t>
  </si>
  <si>
    <t>185,454.54</t>
  </si>
  <si>
    <t>60,419.34</t>
  </si>
  <si>
    <t>1268</t>
  </si>
  <si>
    <t>132.80</t>
  </si>
  <si>
    <t>185,734.08</t>
  </si>
  <si>
    <t>138,200.00</t>
  </si>
  <si>
    <t>47,534.08</t>
  </si>
  <si>
    <t>1269</t>
  </si>
  <si>
    <t>3.02</t>
  </si>
  <si>
    <t>181.20</t>
  </si>
  <si>
    <t>253,426.32</t>
  </si>
  <si>
    <t>191,454.54</t>
  </si>
  <si>
    <t>61,971.78</t>
  </si>
  <si>
    <t>1270</t>
  </si>
  <si>
    <t>5.63</t>
  </si>
  <si>
    <t>56.30</t>
  </si>
  <si>
    <t>78,741.18</t>
  </si>
  <si>
    <t>58,863.64</t>
  </si>
  <si>
    <t>19,877.54</t>
  </si>
  <si>
    <t>1271</t>
  </si>
  <si>
    <t>1.80</t>
  </si>
  <si>
    <t>108.00</t>
  </si>
  <si>
    <t>151,048.80</t>
  </si>
  <si>
    <t>114,545.45</t>
  </si>
  <si>
    <t>36,503.35</t>
  </si>
  <si>
    <t>1272</t>
  </si>
  <si>
    <t>7.62</t>
  </si>
  <si>
    <t>228.60</t>
  </si>
  <si>
    <t>319,719.96</t>
  </si>
  <si>
    <t>241,090.91</t>
  </si>
  <si>
    <t>78,629.05</t>
  </si>
  <si>
    <t>1273</t>
  </si>
  <si>
    <t>381.00</t>
  </si>
  <si>
    <t>532,866.60</t>
  </si>
  <si>
    <t>401,818.18</t>
  </si>
  <si>
    <t>131,048.42</t>
  </si>
  <si>
    <t>1274</t>
  </si>
  <si>
    <t>211.20</t>
  </si>
  <si>
    <t>295,384.32</t>
  </si>
  <si>
    <t>222,545.45</t>
  </si>
  <si>
    <t>72,838.87</t>
  </si>
  <si>
    <t>1275</t>
  </si>
  <si>
    <t>4.86</t>
  </si>
  <si>
    <t>243.00</t>
  </si>
  <si>
    <t>339,859.80</t>
  </si>
  <si>
    <t>84,859.80</t>
  </si>
  <si>
    <t>1276</t>
  </si>
  <si>
    <t>506.80</t>
  </si>
  <si>
    <t>708,810.48</t>
  </si>
  <si>
    <t>526,909.09</t>
  </si>
  <si>
    <t>181,901.39</t>
  </si>
  <si>
    <t>1277</t>
  </si>
  <si>
    <t>133.80</t>
  </si>
  <si>
    <t>187,132.68</t>
  </si>
  <si>
    <t>139,636.36</t>
  </si>
  <si>
    <t>47,496.32</t>
  </si>
  <si>
    <t>1278</t>
  </si>
  <si>
    <t>BETC05-SC</t>
  </si>
  <si>
    <t>바하플러스 포어제로 써티 세컨즈 엑스폴리에이터 100g</t>
  </si>
  <si>
    <t>비더스킨</t>
  </si>
  <si>
    <t>343.20</t>
  </si>
  <si>
    <t>479,999.52</t>
  </si>
  <si>
    <t>4,545.45</t>
  </si>
  <si>
    <t>363,636.36</t>
  </si>
  <si>
    <t>116,363.16</t>
  </si>
  <si>
    <t>1279</t>
  </si>
  <si>
    <t>81.90</t>
  </si>
  <si>
    <t>114,545.34</t>
  </si>
  <si>
    <t>68,727.27</t>
  </si>
  <si>
    <t>45,818.07</t>
  </si>
  <si>
    <t>40.0</t>
  </si>
  <si>
    <t>1280</t>
  </si>
  <si>
    <t>183.30</t>
  </si>
  <si>
    <t>256,363.38</t>
  </si>
  <si>
    <t>153,818.17</t>
  </si>
  <si>
    <t>102,545.21</t>
  </si>
  <si>
    <t>1281</t>
  </si>
  <si>
    <t>21,818.16</t>
  </si>
  <si>
    <t>8,727.25</t>
  </si>
  <si>
    <t>1282</t>
  </si>
  <si>
    <t>1,850</t>
  </si>
  <si>
    <t>721.50</t>
  </si>
  <si>
    <t>1,009,089.90</t>
  </si>
  <si>
    <t>605,454.50</t>
  </si>
  <si>
    <t>403,635.41</t>
  </si>
  <si>
    <t>1283</t>
  </si>
  <si>
    <t>9.30</t>
  </si>
  <si>
    <t>2,883.00</t>
  </si>
  <si>
    <t>4,032,163.80</t>
  </si>
  <si>
    <t>2,480,000.00</t>
  </si>
  <si>
    <t>1,552,163.80</t>
  </si>
  <si>
    <t>1284</t>
  </si>
  <si>
    <t>EREM03-STD</t>
  </si>
  <si>
    <t>(CPNP, SCPN) 블랑 커버 크림 스틱 딥 13g</t>
  </si>
  <si>
    <t>엘로엘</t>
  </si>
  <si>
    <t>11.60</t>
  </si>
  <si>
    <t>116.00</t>
  </si>
  <si>
    <t>162,237.60</t>
  </si>
  <si>
    <t>9,570.00</t>
  </si>
  <si>
    <t>95,700.00</t>
  </si>
  <si>
    <t>66,537.60</t>
  </si>
  <si>
    <t>41.0</t>
  </si>
  <si>
    <t>1285</t>
  </si>
  <si>
    <t>EREM03-STL</t>
  </si>
  <si>
    <t>(CPNP, SCPN) 블랑 커버 크림 스틱 라이트 13g</t>
  </si>
  <si>
    <t>1286</t>
  </si>
  <si>
    <t>EREM03-STM</t>
  </si>
  <si>
    <t>(CPNP, SCPN) 블랑 커버 크림 스틱 미디엄 13g</t>
  </si>
  <si>
    <t>1287</t>
  </si>
  <si>
    <t>6.48</t>
  </si>
  <si>
    <t>388.80</t>
  </si>
  <si>
    <t>543,775.68</t>
  </si>
  <si>
    <t>213,775.68</t>
  </si>
  <si>
    <t>1288</t>
  </si>
  <si>
    <t>FLS003-SFOC</t>
  </si>
  <si>
    <t>(B2B 영업용 FOC) 클로저 세럼 30ml</t>
  </si>
  <si>
    <t>13.99</t>
  </si>
  <si>
    <t>1289</t>
  </si>
  <si>
    <t>G9C07-G</t>
  </si>
  <si>
    <t>자몽 비타 필링젤 150ml</t>
  </si>
  <si>
    <t>30,629.34</t>
  </si>
  <si>
    <t>7,720.25</t>
  </si>
  <si>
    <t>1290</t>
  </si>
  <si>
    <t>G9P12-MR</t>
  </si>
  <si>
    <t>[5매입]셀프 에스테틱 로즈 하이드로겔 립 패치</t>
  </si>
  <si>
    <t>257.40</t>
  </si>
  <si>
    <t>359,999.64</t>
  </si>
  <si>
    <t>4,819.00</t>
  </si>
  <si>
    <t>289,140.00</t>
  </si>
  <si>
    <t>70,859.64</t>
  </si>
  <si>
    <t>1291</t>
  </si>
  <si>
    <t>114.00</t>
  </si>
  <si>
    <t>159,440.40</t>
  </si>
  <si>
    <t>1292</t>
  </si>
  <si>
    <t>744,055.20</t>
  </si>
  <si>
    <t>516,740.00</t>
  </si>
  <si>
    <t>227,315.20</t>
  </si>
  <si>
    <t>1293</t>
  </si>
  <si>
    <t>5.43</t>
  </si>
  <si>
    <t>1,574.70</t>
  </si>
  <si>
    <t>2,202,375.42</t>
  </si>
  <si>
    <t>1,529,090.89</t>
  </si>
  <si>
    <t>673,284.53</t>
  </si>
  <si>
    <t>1294</t>
  </si>
  <si>
    <t>IDCP02-PKms</t>
  </si>
  <si>
    <t>미니 스쿱스 15ml, 3ea</t>
  </si>
  <si>
    <t>164.80</t>
  </si>
  <si>
    <t>230,489.28</t>
  </si>
  <si>
    <t>8,706.00</t>
  </si>
  <si>
    <t>174,120.00</t>
  </si>
  <si>
    <t>56,369.28</t>
  </si>
  <si>
    <t>1295</t>
  </si>
  <si>
    <t>IDCP06-A</t>
  </si>
  <si>
    <t>쥬시 키튼 30ml</t>
  </si>
  <si>
    <t>99.50</t>
  </si>
  <si>
    <t>139,160.70</t>
  </si>
  <si>
    <t>10,882.00</t>
  </si>
  <si>
    <t>108,820.00</t>
  </si>
  <si>
    <t>30,340.70</t>
  </si>
  <si>
    <t>1296</t>
  </si>
  <si>
    <t>497.60</t>
  </si>
  <si>
    <t>695,943.36</t>
  </si>
  <si>
    <t>440,000.00</t>
  </si>
  <si>
    <t>255,943.36</t>
  </si>
  <si>
    <t>36.8</t>
  </si>
  <si>
    <t>1297</t>
  </si>
  <si>
    <t>2,425.80</t>
  </si>
  <si>
    <t>3,392,723.88</t>
  </si>
  <si>
    <t>2,535,000.00</t>
  </si>
  <si>
    <t>857,723.88</t>
  </si>
  <si>
    <t>1298</t>
  </si>
  <si>
    <t>9.19</t>
  </si>
  <si>
    <t>6,892.50</t>
  </si>
  <si>
    <t>9,639,850.50</t>
  </si>
  <si>
    <t>7,695,000.00</t>
  </si>
  <si>
    <t>1,944,850.50</t>
  </si>
  <si>
    <t>1299</t>
  </si>
  <si>
    <t>124.00</t>
  </si>
  <si>
    <t>173,426.40</t>
  </si>
  <si>
    <t>139,200.00</t>
  </si>
  <si>
    <t>34,226.40</t>
  </si>
  <si>
    <t>1300</t>
  </si>
  <si>
    <t>288.40</t>
  </si>
  <si>
    <t>403,356.24</t>
  </si>
  <si>
    <t>83,356.24</t>
  </si>
  <si>
    <t>1301</t>
  </si>
  <si>
    <t>7.39</t>
  </si>
  <si>
    <t>517.30</t>
  </si>
  <si>
    <t>723,495.78</t>
  </si>
  <si>
    <t>587,160.00</t>
  </si>
  <si>
    <t>136,335.78</t>
  </si>
  <si>
    <t>1302</t>
  </si>
  <si>
    <t>6.66</t>
  </si>
  <si>
    <t>1,864.80</t>
  </si>
  <si>
    <t>2,608,109.28</t>
  </si>
  <si>
    <t>2,100,000.00</t>
  </si>
  <si>
    <t>508,109.28</t>
  </si>
  <si>
    <t>1303</t>
  </si>
  <si>
    <t>8.92</t>
  </si>
  <si>
    <t>713.60</t>
  </si>
  <si>
    <t>998,040.96</t>
  </si>
  <si>
    <t>812,000.00</t>
  </si>
  <si>
    <t>186,040.96</t>
  </si>
  <si>
    <t>1304</t>
  </si>
  <si>
    <t>3,295.30</t>
  </si>
  <si>
    <t>4,608,806.58</t>
  </si>
  <si>
    <t>3,720,000.00</t>
  </si>
  <si>
    <t>888,806.58</t>
  </si>
  <si>
    <t>1305</t>
  </si>
  <si>
    <t>929.60</t>
  </si>
  <si>
    <t>1,300,138.56</t>
  </si>
  <si>
    <t>6,855.00</t>
  </si>
  <si>
    <t>959,700.00</t>
  </si>
  <si>
    <t>340,438.56</t>
  </si>
  <si>
    <t>1306</t>
  </si>
  <si>
    <t>MECUS10-CREUP</t>
  </si>
  <si>
    <t>[EUP] 트리플 콜라겐 크림 4.0 50ml</t>
  </si>
  <si>
    <t>3,948.30</t>
  </si>
  <si>
    <t>5,522,092.38</t>
  </si>
  <si>
    <t>4,366,500.00</t>
  </si>
  <si>
    <t>1,155,592.38</t>
  </si>
  <si>
    <t>1307</t>
  </si>
  <si>
    <t>1,661.00</t>
  </si>
  <si>
    <t>2,323,074.60</t>
  </si>
  <si>
    <t>8,398.00</t>
  </si>
  <si>
    <t>1,847,560.00</t>
  </si>
  <si>
    <t>475,514.60</t>
  </si>
  <si>
    <t>1308</t>
  </si>
  <si>
    <t>5,369.00</t>
  </si>
  <si>
    <t>7,509,083.40</t>
  </si>
  <si>
    <t>6,020,000.00</t>
  </si>
  <si>
    <t>1,489,083.40</t>
  </si>
  <si>
    <t>1309</t>
  </si>
  <si>
    <t>2,525.00</t>
  </si>
  <si>
    <t>3,531,465.00</t>
  </si>
  <si>
    <t>2,810,000.00</t>
  </si>
  <si>
    <t>721,465.00</t>
  </si>
  <si>
    <t>1310</t>
  </si>
  <si>
    <t>1,250.20</t>
  </si>
  <si>
    <t>1,748,529.72</t>
  </si>
  <si>
    <t>1,398,400.00</t>
  </si>
  <si>
    <t>350,129.72</t>
  </si>
  <si>
    <t>1311</t>
  </si>
  <si>
    <t>NHS58-DHCCreu</t>
  </si>
  <si>
    <t>(유럽) 아르간 에센셜 모이스처 리페어링 컨디셔너 300ml</t>
  </si>
  <si>
    <t>네이처리퍼블릭</t>
  </si>
  <si>
    <t>5.58</t>
  </si>
  <si>
    <t>234,125.64</t>
  </si>
  <si>
    <t>5,850.00</t>
  </si>
  <si>
    <t>175,500.00</t>
  </si>
  <si>
    <t>58,625.64</t>
  </si>
  <si>
    <t>1312</t>
  </si>
  <si>
    <t>3.62</t>
  </si>
  <si>
    <t>101,258.64</t>
  </si>
  <si>
    <t>21,258.64</t>
  </si>
  <si>
    <t>1313</t>
  </si>
  <si>
    <t>2,308.32</t>
  </si>
  <si>
    <t>3,228,416.35</t>
  </si>
  <si>
    <t>2,474,181.81</t>
  </si>
  <si>
    <t>754,234.54</t>
  </si>
  <si>
    <t>1314</t>
  </si>
  <si>
    <t>0.71</t>
  </si>
  <si>
    <t>227.20</t>
  </si>
  <si>
    <t>317,761.92</t>
  </si>
  <si>
    <t>247,272.70</t>
  </si>
  <si>
    <t>70,489.22</t>
  </si>
  <si>
    <t>1315</t>
  </si>
  <si>
    <t>2.40</t>
  </si>
  <si>
    <t>33,600.00</t>
  </si>
  <si>
    <t>6,679.68</t>
  </si>
  <si>
    <t>1316</t>
  </si>
  <si>
    <t>58.50</t>
  </si>
  <si>
    <t>81,818.10</t>
  </si>
  <si>
    <t>4,996.15</t>
  </si>
  <si>
    <t>64,950.00</t>
  </si>
  <si>
    <t>16,868.10</t>
  </si>
  <si>
    <t>1317</t>
  </si>
  <si>
    <t>4.80</t>
  </si>
  <si>
    <t>240.00</t>
  </si>
  <si>
    <t>335,664.00</t>
  </si>
  <si>
    <t>55,664.00</t>
  </si>
  <si>
    <t>1318</t>
  </si>
  <si>
    <t>PYMA01-padR</t>
  </si>
  <si>
    <t>[160매] 1/3 코튼 패드 (펄프-레이온)</t>
  </si>
  <si>
    <t>392,726.88</t>
  </si>
  <si>
    <t>1,170.00</t>
  </si>
  <si>
    <t>304,200.00</t>
  </si>
  <si>
    <t>88,526.88</t>
  </si>
  <si>
    <t>1319</t>
  </si>
  <si>
    <t>114,000.00</t>
  </si>
  <si>
    <t>45,720.12</t>
  </si>
  <si>
    <t>1320</t>
  </si>
  <si>
    <t>96.00</t>
  </si>
  <si>
    <t>134,265.60</t>
  </si>
  <si>
    <t>22,265.60</t>
  </si>
  <si>
    <t>1321</t>
  </si>
  <si>
    <t>57.10</t>
  </si>
  <si>
    <t>79,860.06</t>
  </si>
  <si>
    <t>5,510.00</t>
  </si>
  <si>
    <t>55,100.00</t>
  </si>
  <si>
    <t>24,760.06</t>
  </si>
  <si>
    <t>1322</t>
  </si>
  <si>
    <t>518.70</t>
  </si>
  <si>
    <t>725,453.82</t>
  </si>
  <si>
    <t>1323</t>
  </si>
  <si>
    <t>PYS01-gel60R</t>
  </si>
  <si>
    <t>(단종)*리뉴얼 밸런싱 젤 60ml</t>
  </si>
  <si>
    <t>102.17</t>
  </si>
  <si>
    <t>142,894.96</t>
  </si>
  <si>
    <t>98,600.00</t>
  </si>
  <si>
    <t>44,294.96</t>
  </si>
  <si>
    <t>1324</t>
  </si>
  <si>
    <t>1,597.52</t>
  </si>
  <si>
    <t>2,234,291.47</t>
  </si>
  <si>
    <t>1,862,000.00</t>
  </si>
  <si>
    <t>372,291.47</t>
  </si>
  <si>
    <t>1325</t>
  </si>
  <si>
    <t>1,273.05</t>
  </si>
  <si>
    <t>1,780,487.73</t>
  </si>
  <si>
    <t>1,449,000.00</t>
  </si>
  <si>
    <t>331,487.73</t>
  </si>
  <si>
    <t>1326</t>
  </si>
  <si>
    <t>23.42</t>
  </si>
  <si>
    <t>2,342.00</t>
  </si>
  <si>
    <t>3,275,521.20</t>
  </si>
  <si>
    <t>440,521.20</t>
  </si>
  <si>
    <t>1327</t>
  </si>
  <si>
    <t>33.61</t>
  </si>
  <si>
    <t>336.10</t>
  </si>
  <si>
    <t>470,069.46</t>
  </si>
  <si>
    <t>70,069.46</t>
  </si>
  <si>
    <t>1328</t>
  </si>
  <si>
    <t>324.60</t>
  </si>
  <si>
    <t>453,985.56</t>
  </si>
  <si>
    <t>75,985.56</t>
  </si>
  <si>
    <t>1329</t>
  </si>
  <si>
    <t>4.20</t>
  </si>
  <si>
    <t>294.00</t>
  </si>
  <si>
    <t>411,188.40</t>
  </si>
  <si>
    <t>343,000.00</t>
  </si>
  <si>
    <t>68,188.40</t>
  </si>
  <si>
    <t>1330</t>
  </si>
  <si>
    <t>PYS50-SETAR</t>
  </si>
  <si>
    <t>에센스토너100 기획세트 (에센스토너 100ML+ 뉴트리션크림20ML+약산성모공딥클렌저40ML 샤쉐 1EA (랜덤))</t>
  </si>
  <si>
    <t>358.40</t>
  </si>
  <si>
    <t>501,258.24</t>
  </si>
  <si>
    <t>5,520.00</t>
  </si>
  <si>
    <t>386,400.00</t>
  </si>
  <si>
    <t>114,858.24</t>
  </si>
  <si>
    <t>1331</t>
  </si>
  <si>
    <t>180.30</t>
  </si>
  <si>
    <t>252,167.58</t>
  </si>
  <si>
    <t>42,167.58</t>
  </si>
  <si>
    <t>1332</t>
  </si>
  <si>
    <t>11.53</t>
  </si>
  <si>
    <t>345.90</t>
  </si>
  <si>
    <t>483,775.74</t>
  </si>
  <si>
    <t>373,090.91</t>
  </si>
  <si>
    <t>110,684.83</t>
  </si>
  <si>
    <t>1333</t>
  </si>
  <si>
    <t>1,750</t>
  </si>
  <si>
    <t>3.72</t>
  </si>
  <si>
    <t>9,104,886.00</t>
  </si>
  <si>
    <t>8,277,500.00</t>
  </si>
  <si>
    <t>827,386.00</t>
  </si>
  <si>
    <t>9.1</t>
  </si>
  <si>
    <t>1334</t>
  </si>
  <si>
    <t>60.10</t>
  </si>
  <si>
    <t>84,055.86</t>
  </si>
  <si>
    <t>66,200.00</t>
  </si>
  <si>
    <t>17,855.86</t>
  </si>
  <si>
    <t>1335</t>
  </si>
  <si>
    <t>600.60</t>
  </si>
  <si>
    <t>839,999.16</t>
  </si>
  <si>
    <t>111,999.16</t>
  </si>
  <si>
    <t>13.3</t>
  </si>
  <si>
    <t>1336</t>
  </si>
  <si>
    <t>480.20</t>
  </si>
  <si>
    <t>671,607.72</t>
  </si>
  <si>
    <t>230,607.72</t>
  </si>
  <si>
    <t>34.3</t>
  </si>
  <si>
    <t>1337</t>
  </si>
  <si>
    <t>8.01</t>
  </si>
  <si>
    <t>320.40</t>
  </si>
  <si>
    <t>448,111.44</t>
  </si>
  <si>
    <t>273,200.00</t>
  </si>
  <si>
    <t>174,911.44</t>
  </si>
  <si>
    <t>1338</t>
  </si>
  <si>
    <t>5.03</t>
  </si>
  <si>
    <t>402.40</t>
  </si>
  <si>
    <t>562,796.64</t>
  </si>
  <si>
    <t>416,000.00</t>
  </si>
  <si>
    <t>146,796.64</t>
  </si>
  <si>
    <t>1339</t>
  </si>
  <si>
    <t>352.10</t>
  </si>
  <si>
    <t>492,447.06</t>
  </si>
  <si>
    <t>128,447.06</t>
  </si>
  <si>
    <t>1340</t>
  </si>
  <si>
    <t>6.04</t>
  </si>
  <si>
    <t>187,200.00</t>
  </si>
  <si>
    <t>66,226.32</t>
  </si>
  <si>
    <t>1341</t>
  </si>
  <si>
    <t>2026-02-05</t>
  </si>
  <si>
    <t>630.00</t>
  </si>
  <si>
    <t>890,064.00</t>
  </si>
  <si>
    <t>659,340.00</t>
  </si>
  <si>
    <t>230,724.00</t>
  </si>
  <si>
    <t>IN00408996</t>
  </si>
  <si>
    <t>1342</t>
  </si>
  <si>
    <t>5,700</t>
  </si>
  <si>
    <t>34,941.00</t>
  </si>
  <si>
    <t>50,304,557.70</t>
  </si>
  <si>
    <t>6,517.04</t>
  </si>
  <si>
    <t>37,147,120.00</t>
  </si>
  <si>
    <t>13,157,437.70</t>
  </si>
  <si>
    <t>IN00406044</t>
  </si>
  <si>
    <t>1343</t>
  </si>
  <si>
    <t>1,018</t>
  </si>
  <si>
    <t>8,866.78</t>
  </si>
  <si>
    <t>12,765,503.17</t>
  </si>
  <si>
    <t>1344</t>
  </si>
  <si>
    <t>2,625.00</t>
  </si>
  <si>
    <t>3,779,212.50</t>
  </si>
  <si>
    <t>3,324,000.00</t>
  </si>
  <si>
    <t>455,212.50</t>
  </si>
  <si>
    <t>1345</t>
  </si>
  <si>
    <t>796.90</t>
  </si>
  <si>
    <t>1,147,296.93</t>
  </si>
  <si>
    <t>138,496.93</t>
  </si>
  <si>
    <t>1346</t>
  </si>
  <si>
    <t>15.30</t>
  </si>
  <si>
    <t>22,027.41</t>
  </si>
  <si>
    <t>19,400.00</t>
  </si>
  <si>
    <t>2,627.41</t>
  </si>
  <si>
    <t>1347</t>
  </si>
  <si>
    <t>10.94</t>
  </si>
  <si>
    <t>875.20</t>
  </si>
  <si>
    <t>1,260,025.44</t>
  </si>
  <si>
    <t>14,000.00</t>
  </si>
  <si>
    <t>1,120,000.00</t>
  </si>
  <si>
    <t>140,025.44</t>
  </si>
  <si>
    <t>1348</t>
  </si>
  <si>
    <t>551.40</t>
  </si>
  <si>
    <t>793,850.58</t>
  </si>
  <si>
    <t>289,850.58</t>
  </si>
  <si>
    <t>36.5</t>
  </si>
  <si>
    <t>1349</t>
  </si>
  <si>
    <t>10.88</t>
  </si>
  <si>
    <t>761.60</t>
  </si>
  <si>
    <t>1,096,475.52</t>
  </si>
  <si>
    <t>126,975.52</t>
  </si>
  <si>
    <t>1350</t>
  </si>
  <si>
    <t>1,324,524.00</t>
  </si>
  <si>
    <t>1,163,000.00</t>
  </si>
  <si>
    <t>161,524.00</t>
  </si>
  <si>
    <t>1351</t>
  </si>
  <si>
    <t>ANS07-SR</t>
  </si>
  <si>
    <t>(단종) [리뉴얼] 비타민씨 20 잡티 세럼 20g</t>
  </si>
  <si>
    <t>12.19</t>
  </si>
  <si>
    <t>975.20</t>
  </si>
  <si>
    <t>1,403,995.44</t>
  </si>
  <si>
    <t>1,240,800.00</t>
  </si>
  <si>
    <t>163,195.44</t>
  </si>
  <si>
    <t>1352</t>
  </si>
  <si>
    <t>11.25</t>
  </si>
  <si>
    <t>2,250.00</t>
  </si>
  <si>
    <t>3,239,325.00</t>
  </si>
  <si>
    <t>2,216,000.00</t>
  </si>
  <si>
    <t>1,023,325.00</t>
  </si>
  <si>
    <t>31.6</t>
  </si>
  <si>
    <t>1353</t>
  </si>
  <si>
    <t>487.60</t>
  </si>
  <si>
    <t>701,997.72</t>
  </si>
  <si>
    <t>15,600.00</t>
  </si>
  <si>
    <t>77,997.72</t>
  </si>
  <si>
    <t>1354</t>
  </si>
  <si>
    <t>1,165</t>
  </si>
  <si>
    <t>14,201.35</t>
  </si>
  <si>
    <t>20,445,683.60</t>
  </si>
  <si>
    <t>18,069,150.00</t>
  </si>
  <si>
    <t>2,376,533.59</t>
  </si>
  <si>
    <t>1355</t>
  </si>
  <si>
    <t>312.40</t>
  </si>
  <si>
    <t>449,762.28</t>
  </si>
  <si>
    <t>398,800.00</t>
  </si>
  <si>
    <t>50,962.28</t>
  </si>
  <si>
    <t>1356</t>
  </si>
  <si>
    <t>2026-02-04</t>
  </si>
  <si>
    <t>1,112.00</t>
  </si>
  <si>
    <t>1,571,033.60</t>
  </si>
  <si>
    <t>227,033.60</t>
  </si>
  <si>
    <t>14.5</t>
  </si>
  <si>
    <t>IN00408995</t>
  </si>
  <si>
    <t>1357</t>
  </si>
  <si>
    <t>8.34</t>
  </si>
  <si>
    <t>3,336.00</t>
  </si>
  <si>
    <t>4,713,100.80</t>
  </si>
  <si>
    <t>681,100.80</t>
  </si>
  <si>
    <t>1358</t>
  </si>
  <si>
    <t>656.10</t>
  </si>
  <si>
    <t>926,938.08</t>
  </si>
  <si>
    <t>133,138.08</t>
  </si>
  <si>
    <t>1359</t>
  </si>
  <si>
    <t>NRHS01-KHD</t>
  </si>
  <si>
    <t>코어 리빌드 하드 픽스 헤어 마스카라</t>
  </si>
  <si>
    <t>나르카</t>
  </si>
  <si>
    <t>0.10</t>
  </si>
  <si>
    <t>141.28</t>
  </si>
  <si>
    <t>6,143.64</t>
  </si>
  <si>
    <t>61,436.36</t>
  </si>
  <si>
    <t>-61,295.08</t>
  </si>
  <si>
    <t>-43,385.5</t>
  </si>
  <si>
    <t>1360</t>
  </si>
  <si>
    <t>NRHS01-S70</t>
  </si>
  <si>
    <t>(단종) 코어 리빌드 젠틀 새틴 헤어 에센스 70ml</t>
  </si>
  <si>
    <t>9,807.27</t>
  </si>
  <si>
    <t>98,072.73</t>
  </si>
  <si>
    <t>-97,931.45</t>
  </si>
  <si>
    <t>-69,317.3</t>
  </si>
  <si>
    <t>1361</t>
  </si>
  <si>
    <t>NRHS01-TTHM</t>
  </si>
  <si>
    <t>코어 리빌드 스트레이트 슬릭 헤어 밀크 150ml</t>
  </si>
  <si>
    <t>65,454.55</t>
  </si>
  <si>
    <t>-65,313.26</t>
  </si>
  <si>
    <t>-46,229.7</t>
  </si>
  <si>
    <t>1362</t>
  </si>
  <si>
    <t>706.40</t>
  </si>
  <si>
    <t>562,500.00</t>
  </si>
  <si>
    <t>-561,793.60</t>
  </si>
  <si>
    <t>-79,529.1</t>
  </si>
  <si>
    <t>1363</t>
  </si>
  <si>
    <t>-1,599,293.60</t>
  </si>
  <si>
    <t>-226,400.6</t>
  </si>
  <si>
    <t>1364</t>
  </si>
  <si>
    <t>2,264.60</t>
  </si>
  <si>
    <t>3,260,344.62</t>
  </si>
  <si>
    <t>IN00406040</t>
  </si>
  <si>
    <t>1365</t>
  </si>
  <si>
    <t>613.00</t>
  </si>
  <si>
    <t>882,536.10</t>
  </si>
  <si>
    <t>776,000.00</t>
  </si>
  <si>
    <t>106,536.10</t>
  </si>
  <si>
    <t>1366</t>
  </si>
  <si>
    <t>9.17</t>
  </si>
  <si>
    <t>2,751.00</t>
  </si>
  <si>
    <t>3,960,614.70</t>
  </si>
  <si>
    <t>3,489,000.00</t>
  </si>
  <si>
    <t>471,614.70</t>
  </si>
  <si>
    <t>1367</t>
  </si>
  <si>
    <t>10,971.00</t>
  </si>
  <si>
    <t>15,794,948.70</t>
  </si>
  <si>
    <t>13,959,000.00</t>
  </si>
  <si>
    <t>1,835,948.70</t>
  </si>
  <si>
    <t>1368</t>
  </si>
  <si>
    <t>2026-01-30</t>
  </si>
  <si>
    <t>51.60</t>
  </si>
  <si>
    <t>74,489.76</t>
  </si>
  <si>
    <t>546.97</t>
  </si>
  <si>
    <t>32,818.18</t>
  </si>
  <si>
    <t>41,671.58</t>
  </si>
  <si>
    <t>55.9</t>
  </si>
  <si>
    <t>IN00406800</t>
  </si>
  <si>
    <t>1369</t>
  </si>
  <si>
    <t>AbibP02-MHyrR</t>
  </si>
  <si>
    <t>[1매입] 껌딱지 시트 마스크 수분초 히알루론 스티커 (2024)</t>
  </si>
  <si>
    <t>68.80</t>
  </si>
  <si>
    <t>99,319.68</t>
  </si>
  <si>
    <t>69,090.90</t>
  </si>
  <si>
    <t>30,228.78</t>
  </si>
  <si>
    <t>1370</t>
  </si>
  <si>
    <t>232.20</t>
  </si>
  <si>
    <t>335,203.92</t>
  </si>
  <si>
    <t>233,181.80</t>
  </si>
  <si>
    <t>102,022.12</t>
  </si>
  <si>
    <t>1371</t>
  </si>
  <si>
    <t>51,818.18</t>
  </si>
  <si>
    <t>22,671.58</t>
  </si>
  <si>
    <t>1372</t>
  </si>
  <si>
    <t>64,240.20</t>
  </si>
  <si>
    <t>45,772.73</t>
  </si>
  <si>
    <t>18,467.47</t>
  </si>
  <si>
    <t>1373</t>
  </si>
  <si>
    <t>436.50</t>
  </si>
  <si>
    <t>630,131.40</t>
  </si>
  <si>
    <t>5,301.82</t>
  </si>
  <si>
    <t>477,163.63</t>
  </si>
  <si>
    <t>152,967.77</t>
  </si>
  <si>
    <t>1374</t>
  </si>
  <si>
    <t>401.40</t>
  </si>
  <si>
    <t>579,461.04</t>
  </si>
  <si>
    <t>7,567.00</t>
  </si>
  <si>
    <t>454,020.00</t>
  </si>
  <si>
    <t>125,441.04</t>
  </si>
  <si>
    <t>1375</t>
  </si>
  <si>
    <t>611.10</t>
  </si>
  <si>
    <t>882,183.96</t>
  </si>
  <si>
    <t>621,000.00</t>
  </si>
  <si>
    <t>261,183.96</t>
  </si>
  <si>
    <t>1376</t>
  </si>
  <si>
    <t>767,995.20</t>
  </si>
  <si>
    <t>1377</t>
  </si>
  <si>
    <t>344.40</t>
  </si>
  <si>
    <t>497,175.84</t>
  </si>
  <si>
    <t>377,618.18</t>
  </si>
  <si>
    <t>119,557.66</t>
  </si>
  <si>
    <t>1378</t>
  </si>
  <si>
    <t>594.30</t>
  </si>
  <si>
    <t>857,931.48</t>
  </si>
  <si>
    <t>374,931.48</t>
  </si>
  <si>
    <t>43.7</t>
  </si>
  <si>
    <t>1379</t>
  </si>
  <si>
    <t>6.30</t>
  </si>
  <si>
    <t>882.00</t>
  </si>
  <si>
    <t>1,273,255.20</t>
  </si>
  <si>
    <t>5,980.00</t>
  </si>
  <si>
    <t>837,200.00</t>
  </si>
  <si>
    <t>436,055.20</t>
  </si>
  <si>
    <t>1380</t>
  </si>
  <si>
    <t>776.00</t>
  </si>
  <si>
    <t>1,120,233.60</t>
  </si>
  <si>
    <t>710,000.00</t>
  </si>
  <si>
    <t>410,233.60</t>
  </si>
  <si>
    <t>36.6</t>
  </si>
  <si>
    <t>1381</t>
  </si>
  <si>
    <t>291.00</t>
  </si>
  <si>
    <t>420,087.60</t>
  </si>
  <si>
    <t>7,300.00</t>
  </si>
  <si>
    <t>365,000.00</t>
  </si>
  <si>
    <t>55,087.60</t>
  </si>
  <si>
    <t>1382</t>
  </si>
  <si>
    <t>1,018.50</t>
  </si>
  <si>
    <t>1,470,306.60</t>
  </si>
  <si>
    <t>1,126,363.64</t>
  </si>
  <si>
    <t>343,942.97</t>
  </si>
  <si>
    <t>1383</t>
  </si>
  <si>
    <t>5.36</t>
  </si>
  <si>
    <t>53.60</t>
  </si>
  <si>
    <t>77,376.96</t>
  </si>
  <si>
    <t>19,776.96</t>
  </si>
  <si>
    <t>1384</t>
  </si>
  <si>
    <t>7.56</t>
  </si>
  <si>
    <t>302.40</t>
  </si>
  <si>
    <t>436,544.64</t>
  </si>
  <si>
    <t>358,400.00</t>
  </si>
  <si>
    <t>78,144.64</t>
  </si>
  <si>
    <t>17.9</t>
  </si>
  <si>
    <t>1385</t>
  </si>
  <si>
    <t>ACS01-SLR</t>
  </si>
  <si>
    <t>(리뉴얼) 감초수 세럼 30ml</t>
  </si>
  <si>
    <t>292,329.00</t>
  </si>
  <si>
    <t>52,329.00</t>
  </si>
  <si>
    <t>1386</t>
  </si>
  <si>
    <t>3.74</t>
  </si>
  <si>
    <t>161,971.92</t>
  </si>
  <si>
    <t>53,971.92</t>
  </si>
  <si>
    <t>1387</t>
  </si>
  <si>
    <t>APECM117-BE01</t>
  </si>
  <si>
    <t>과즙팡 워터 블러셔 [BE01_무화과콧]</t>
  </si>
  <si>
    <t>4.64</t>
  </si>
  <si>
    <t>88.16</t>
  </si>
  <si>
    <t>127,267.78</t>
  </si>
  <si>
    <t>84,636.36</t>
  </si>
  <si>
    <t>42,631.41</t>
  </si>
  <si>
    <t>1388</t>
  </si>
  <si>
    <t>APECM117-PK03</t>
  </si>
  <si>
    <t>과즙팡 워터 블러셔 [PK03_구아바콧]</t>
  </si>
  <si>
    <t>6,698.30</t>
  </si>
  <si>
    <t>4,455.00</t>
  </si>
  <si>
    <t>2,243.30</t>
  </si>
  <si>
    <t>1389</t>
  </si>
  <si>
    <t>295.47</t>
  </si>
  <si>
    <t>426,540.49</t>
  </si>
  <si>
    <t>218,272.72</t>
  </si>
  <si>
    <t>208,267.77</t>
  </si>
  <si>
    <t>48.8</t>
  </si>
  <si>
    <t>1390</t>
  </si>
  <si>
    <t>1,670.40</t>
  </si>
  <si>
    <t>2,411,389.44</t>
  </si>
  <si>
    <t>1,603,636.34</t>
  </si>
  <si>
    <t>807,753.10</t>
  </si>
  <si>
    <t>1391</t>
  </si>
  <si>
    <t>0.46</t>
  </si>
  <si>
    <t>151.80</t>
  </si>
  <si>
    <t>219,138.48</t>
  </si>
  <si>
    <t>155,999.98</t>
  </si>
  <si>
    <t>63,138.50</t>
  </si>
  <si>
    <t>1392</t>
  </si>
  <si>
    <t>221.20</t>
  </si>
  <si>
    <t>319,324.32</t>
  </si>
  <si>
    <t>95,324.32</t>
  </si>
  <si>
    <t>1393</t>
  </si>
  <si>
    <t>32.20</t>
  </si>
  <si>
    <t>46,483.92</t>
  </si>
  <si>
    <t>28,000.00</t>
  </si>
  <si>
    <t>18,483.92</t>
  </si>
  <si>
    <t>39.8</t>
  </si>
  <si>
    <t>1394</t>
  </si>
  <si>
    <t>5.11</t>
  </si>
  <si>
    <t>306.60</t>
  </si>
  <si>
    <t>442,607.76</t>
  </si>
  <si>
    <t>253,909.09</t>
  </si>
  <si>
    <t>188,698.67</t>
  </si>
  <si>
    <t>1395</t>
  </si>
  <si>
    <t>201.80</t>
  </si>
  <si>
    <t>291,318.48</t>
  </si>
  <si>
    <t>52,045.75</t>
  </si>
  <si>
    <t>1396</t>
  </si>
  <si>
    <t>3.85</t>
  </si>
  <si>
    <t>154.00</t>
  </si>
  <si>
    <t>222,314.40</t>
  </si>
  <si>
    <t>42,314.40</t>
  </si>
  <si>
    <t>1397</t>
  </si>
  <si>
    <t>577.50</t>
  </si>
  <si>
    <t>833,679.00</t>
  </si>
  <si>
    <t>675,000.00</t>
  </si>
  <si>
    <t>158,679.00</t>
  </si>
  <si>
    <t>1398</t>
  </si>
  <si>
    <t>692.80</t>
  </si>
  <si>
    <t>1,000,126.08</t>
  </si>
  <si>
    <t>200,126.08</t>
  </si>
  <si>
    <t>1399</t>
  </si>
  <si>
    <t>539.00</t>
  </si>
  <si>
    <t>778,100.40</t>
  </si>
  <si>
    <t>148,100.40</t>
  </si>
  <si>
    <t>1400</t>
  </si>
  <si>
    <t>847.00</t>
  </si>
  <si>
    <t>1,222,729.20</t>
  </si>
  <si>
    <t>990,000.00</t>
  </si>
  <si>
    <t>232,729.20</t>
  </si>
  <si>
    <t>1401</t>
  </si>
  <si>
    <t>385.00</t>
  </si>
  <si>
    <t>555,786.00</t>
  </si>
  <si>
    <t>105,786.00</t>
  </si>
  <si>
    <t>1402</t>
  </si>
  <si>
    <t>APP-BnanaMM</t>
  </si>
  <si>
    <t>[1매입]어퓨 우유 한 팩 #바나나우유</t>
  </si>
  <si>
    <t>0.33</t>
  </si>
  <si>
    <t>9,527.76</t>
  </si>
  <si>
    <t>1,527.76</t>
  </si>
  <si>
    <t>1403</t>
  </si>
  <si>
    <t>APP-CoffeeMM</t>
  </si>
  <si>
    <t>[1매입]어퓨 우유 한 팩 #커피우유</t>
  </si>
  <si>
    <t>16.50</t>
  </si>
  <si>
    <t>23,819.40</t>
  </si>
  <si>
    <t>3,819.40</t>
  </si>
  <si>
    <t>1404</t>
  </si>
  <si>
    <t>916.50</t>
  </si>
  <si>
    <t>1,323,059.40</t>
  </si>
  <si>
    <t>10,472.76</t>
  </si>
  <si>
    <t>984,439.37</t>
  </si>
  <si>
    <t>338,620.03</t>
  </si>
  <si>
    <t>1405</t>
  </si>
  <si>
    <t>21.96</t>
  </si>
  <si>
    <t>31,701.46</t>
  </si>
  <si>
    <t>23,563.64</t>
  </si>
  <si>
    <t>8,137.82</t>
  </si>
  <si>
    <t>1406</t>
  </si>
  <si>
    <t>563,004.00</t>
  </si>
  <si>
    <t>418,909.09</t>
  </si>
  <si>
    <t>144,094.91</t>
  </si>
  <si>
    <t>1407</t>
  </si>
  <si>
    <t>4.57</t>
  </si>
  <si>
    <t>228.50</t>
  </si>
  <si>
    <t>329,862.60</t>
  </si>
  <si>
    <t>84,408.05</t>
  </si>
  <si>
    <t>1408</t>
  </si>
  <si>
    <t>464,117.40</t>
  </si>
  <si>
    <t>345,500.00</t>
  </si>
  <si>
    <t>118,617.40</t>
  </si>
  <si>
    <t>1409</t>
  </si>
  <si>
    <t>2.65</t>
  </si>
  <si>
    <t>378,728.46</t>
  </si>
  <si>
    <t>81,728.46</t>
  </si>
  <si>
    <t>1410</t>
  </si>
  <si>
    <t>221.60</t>
  </si>
  <si>
    <t>319,901.76</t>
  </si>
  <si>
    <t>1411</t>
  </si>
  <si>
    <t>205.10</t>
  </si>
  <si>
    <t>296,082.36</t>
  </si>
  <si>
    <t>223,363.63</t>
  </si>
  <si>
    <t>72,718.73</t>
  </si>
  <si>
    <t>1412</t>
  </si>
  <si>
    <t>218.40</t>
  </si>
  <si>
    <t>315,282.24</t>
  </si>
  <si>
    <t>235,454.54</t>
  </si>
  <si>
    <t>79,827.70</t>
  </si>
  <si>
    <t>1413</t>
  </si>
  <si>
    <t>7.38</t>
  </si>
  <si>
    <t>295.20</t>
  </si>
  <si>
    <t>426,150.72</t>
  </si>
  <si>
    <t>104,696.18</t>
  </si>
  <si>
    <t>1414</t>
  </si>
  <si>
    <t>442.80</t>
  </si>
  <si>
    <t>639,226.08</t>
  </si>
  <si>
    <t>482,181.82</t>
  </si>
  <si>
    <t>157,044.26</t>
  </si>
  <si>
    <t>1415</t>
  </si>
  <si>
    <t>409.20</t>
  </si>
  <si>
    <t>590,721.12</t>
  </si>
  <si>
    <t>445,090.91</t>
  </si>
  <si>
    <t>145,630.21</t>
  </si>
  <si>
    <t>1416</t>
  </si>
  <si>
    <t>630.90</t>
  </si>
  <si>
    <t>910,767.24</t>
  </si>
  <si>
    <t>677,454.54</t>
  </si>
  <si>
    <t>233,312.70</t>
  </si>
  <si>
    <t>1417</t>
  </si>
  <si>
    <t>194.40</t>
  </si>
  <si>
    <t>280,635.84</t>
  </si>
  <si>
    <t>71,181.30</t>
  </si>
  <si>
    <t>1418</t>
  </si>
  <si>
    <t>BentonSM59-Ssun</t>
  </si>
  <si>
    <t>스킨핏 미네랄 선크림 50ml SPF50+ PA++++</t>
  </si>
  <si>
    <t>233,863.20</t>
  </si>
  <si>
    <t>59,863.20</t>
  </si>
  <si>
    <t>1419</t>
  </si>
  <si>
    <t>BETC05-OC</t>
  </si>
  <si>
    <t>포어 리셋 글래스 스킨 클렌징 오일 150ml</t>
  </si>
  <si>
    <t>83.20</t>
  </si>
  <si>
    <t>120,107.52</t>
  </si>
  <si>
    <t>5,280.00</t>
  </si>
  <si>
    <t>105,600.00</t>
  </si>
  <si>
    <t>14,507.52</t>
  </si>
  <si>
    <t>1420</t>
  </si>
  <si>
    <t>540.80</t>
  </si>
  <si>
    <t>780,698.88</t>
  </si>
  <si>
    <t>590,909.09</t>
  </si>
  <si>
    <t>189,789.80</t>
  </si>
  <si>
    <t>1421</t>
  </si>
  <si>
    <t>BETS05-S</t>
  </si>
  <si>
    <t>바하플러스 포어 제로 세럼 30ml</t>
  </si>
  <si>
    <t>166.40</t>
  </si>
  <si>
    <t>240,215.04</t>
  </si>
  <si>
    <t>181,818.18</t>
  </si>
  <si>
    <t>58,396.86</t>
  </si>
  <si>
    <t>1422</t>
  </si>
  <si>
    <t>BETS05-SC</t>
  </si>
  <si>
    <t>바하플러스 다크 스팟 제로 크림 35g</t>
  </si>
  <si>
    <t>91.40</t>
  </si>
  <si>
    <t>131,945.04</t>
  </si>
  <si>
    <t>31,945.04</t>
  </si>
  <si>
    <t>1423</t>
  </si>
  <si>
    <t>2.97</t>
  </si>
  <si>
    <t>59.40</t>
  </si>
  <si>
    <t>85,749.84</t>
  </si>
  <si>
    <t>14,840.75</t>
  </si>
  <si>
    <t>1424</t>
  </si>
  <si>
    <t>356.40</t>
  </si>
  <si>
    <t>514,499.04</t>
  </si>
  <si>
    <t>425,454.54</t>
  </si>
  <si>
    <t>89,044.50</t>
  </si>
  <si>
    <t>1425</t>
  </si>
  <si>
    <t>BNKP04-MA1</t>
  </si>
  <si>
    <t>(리뉴얼코드확인) [1매입] 더 클린 비건 마스크 아하바하</t>
  </si>
  <si>
    <t>0.28</t>
  </si>
  <si>
    <t>8.40</t>
  </si>
  <si>
    <t>12,126.24</t>
  </si>
  <si>
    <t>2,308.06</t>
  </si>
  <si>
    <t>1426</t>
  </si>
  <si>
    <t>140.40</t>
  </si>
  <si>
    <t>202,681.44</t>
  </si>
  <si>
    <t>117,818.17</t>
  </si>
  <si>
    <t>84,863.27</t>
  </si>
  <si>
    <t>41.9</t>
  </si>
  <si>
    <t>1427</t>
  </si>
  <si>
    <t>BNKP04-MC1</t>
  </si>
  <si>
    <t>(리뉴얼코드확인) [1매입] 더 클린 비건 마스크 시카</t>
  </si>
  <si>
    <t>131.60</t>
  </si>
  <si>
    <t>189,977.76</t>
  </si>
  <si>
    <t>36,159.59</t>
  </si>
  <si>
    <t>1428</t>
  </si>
  <si>
    <t>BNKP04-MG1</t>
  </si>
  <si>
    <t>(리뉴얼코드확인) [1매입] 바루랩 더 클린 비건 녹차 마스크</t>
  </si>
  <si>
    <t>70.28</t>
  </si>
  <si>
    <t>101,456.21</t>
  </si>
  <si>
    <t>82,145.45</t>
  </si>
  <si>
    <t>19,310.76</t>
  </si>
  <si>
    <t>1429</t>
  </si>
  <si>
    <t>BNKP04-MH1</t>
  </si>
  <si>
    <t>(리뉴얼코드확인) [1매입] 더 클린 비건 히알루론산 마스크</t>
  </si>
  <si>
    <t>75.60</t>
  </si>
  <si>
    <t>109,136.16</t>
  </si>
  <si>
    <t>315.15</t>
  </si>
  <si>
    <t>85,090.90</t>
  </si>
  <si>
    <t>24,045.26</t>
  </si>
  <si>
    <t>1430</t>
  </si>
  <si>
    <t>11.70</t>
  </si>
  <si>
    <t>16,890.12</t>
  </si>
  <si>
    <t>7,071.94</t>
  </si>
  <si>
    <t>1431</t>
  </si>
  <si>
    <t>405.60</t>
  </si>
  <si>
    <t>585,524.16</t>
  </si>
  <si>
    <t>340,363.61</t>
  </si>
  <si>
    <t>245,160.55</t>
  </si>
  <si>
    <t>1432</t>
  </si>
  <si>
    <t>113.10</t>
  </si>
  <si>
    <t>163,271.16</t>
  </si>
  <si>
    <t>94,909.08</t>
  </si>
  <si>
    <t>68,362.08</t>
  </si>
  <si>
    <t>1433</t>
  </si>
  <si>
    <t>904.80</t>
  </si>
  <si>
    <t>1,306,169.28</t>
  </si>
  <si>
    <t>759,272.66</t>
  </si>
  <si>
    <t>546,896.62</t>
  </si>
  <si>
    <t>1434</t>
  </si>
  <si>
    <t>566.48</t>
  </si>
  <si>
    <t>817,770.53</t>
  </si>
  <si>
    <t>438,000.00</t>
  </si>
  <si>
    <t>379,770.53</t>
  </si>
  <si>
    <t>1435</t>
  </si>
  <si>
    <t>3,604.00</t>
  </si>
  <si>
    <t>5,202,734.40</t>
  </si>
  <si>
    <t>3,200,000.00</t>
  </si>
  <si>
    <t>2,002,734.40</t>
  </si>
  <si>
    <t>1436</t>
  </si>
  <si>
    <t>439.60</t>
  </si>
  <si>
    <t>634,606.56</t>
  </si>
  <si>
    <t>249,606.56</t>
  </si>
  <si>
    <t>1437</t>
  </si>
  <si>
    <t>99.00</t>
  </si>
  <si>
    <t>142,916.40</t>
  </si>
  <si>
    <t>57,116.40</t>
  </si>
  <si>
    <t>1438</t>
  </si>
  <si>
    <t>4.88</t>
  </si>
  <si>
    <t>48.80</t>
  </si>
  <si>
    <t>70,447.68</t>
  </si>
  <si>
    <t>5,273.00</t>
  </si>
  <si>
    <t>52,730.00</t>
  </si>
  <si>
    <t>17,717.68</t>
  </si>
  <si>
    <t>1439</t>
  </si>
  <si>
    <t>96,380.00</t>
  </si>
  <si>
    <t>23,727.52</t>
  </si>
  <si>
    <t>1440</t>
  </si>
  <si>
    <t>146.40</t>
  </si>
  <si>
    <t>211,343.04</t>
  </si>
  <si>
    <t>171,000.00</t>
  </si>
  <si>
    <t>40,343.04</t>
  </si>
  <si>
    <t>1441</t>
  </si>
  <si>
    <t>97.60</t>
  </si>
  <si>
    <t>140,895.36</t>
  </si>
  <si>
    <t>26,895.36</t>
  </si>
  <si>
    <t>1442</t>
  </si>
  <si>
    <t>778.70</t>
  </si>
  <si>
    <t>1,124,131.32</t>
  </si>
  <si>
    <t>893,490.00</t>
  </si>
  <si>
    <t>230,641.32</t>
  </si>
  <si>
    <t>1443</t>
  </si>
  <si>
    <t>3.69</t>
  </si>
  <si>
    <t>553.50</t>
  </si>
  <si>
    <t>799,032.60</t>
  </si>
  <si>
    <t>1444</t>
  </si>
  <si>
    <t>1,217.70</t>
  </si>
  <si>
    <t>1,757,871.72</t>
  </si>
  <si>
    <t>1,218,030.00</t>
  </si>
  <si>
    <t>539,841.72</t>
  </si>
  <si>
    <t>30.7</t>
  </si>
  <si>
    <t>1445</t>
  </si>
  <si>
    <t>169.60</t>
  </si>
  <si>
    <t>244,834.56</t>
  </si>
  <si>
    <t>130,909.09</t>
  </si>
  <si>
    <t>113,925.47</t>
  </si>
  <si>
    <t>1446</t>
  </si>
  <si>
    <t>4,100,401.44</t>
  </si>
  <si>
    <t>2,847,272.69</t>
  </si>
  <si>
    <t>1,253,128.75</t>
  </si>
  <si>
    <t>1447</t>
  </si>
  <si>
    <t>80.10</t>
  </si>
  <si>
    <t>115,632.36</t>
  </si>
  <si>
    <t>80,363.64</t>
  </si>
  <si>
    <t>35,268.72</t>
  </si>
  <si>
    <t>1448</t>
  </si>
  <si>
    <t>HMS18-CGRR</t>
  </si>
  <si>
    <t>워터멜론 모이스처 수딩 젤 크림 110ml</t>
  </si>
  <si>
    <t>155.20</t>
  </si>
  <si>
    <t>224,046.72</t>
  </si>
  <si>
    <t>7,891.00</t>
  </si>
  <si>
    <t>157,820.00</t>
  </si>
  <si>
    <t>66,226.72</t>
  </si>
  <si>
    <t>1449</t>
  </si>
  <si>
    <t>110.80</t>
  </si>
  <si>
    <t>159,950.88</t>
  </si>
  <si>
    <t>112,727.27</t>
  </si>
  <si>
    <t>47,223.61</t>
  </si>
  <si>
    <t>1450</t>
  </si>
  <si>
    <t>228,088.80</t>
  </si>
  <si>
    <t>7,946.00</t>
  </si>
  <si>
    <t>158,920.00</t>
  </si>
  <si>
    <t>69,168.80</t>
  </si>
  <si>
    <t>1451</t>
  </si>
  <si>
    <t>HMS23-OILRB</t>
  </si>
  <si>
    <t>알엑스 레티놀 바쿠치올 부스터 오일 35ml</t>
  </si>
  <si>
    <t>336,070.08</t>
  </si>
  <si>
    <t>234,200.00</t>
  </si>
  <si>
    <t>101,870.08</t>
  </si>
  <si>
    <t>1452</t>
  </si>
  <si>
    <t>IDCMA05-HBwc</t>
  </si>
  <si>
    <t>(단종예정)화이트 고양이 헤어밴드</t>
  </si>
  <si>
    <t>5.62</t>
  </si>
  <si>
    <t>16.86</t>
  </si>
  <si>
    <t>24,339.10</t>
  </si>
  <si>
    <t>4,353.00</t>
  </si>
  <si>
    <t>13,059.00</t>
  </si>
  <si>
    <t>11,280.10</t>
  </si>
  <si>
    <t>46.3</t>
  </si>
  <si>
    <t>1453</t>
  </si>
  <si>
    <t>96.40</t>
  </si>
  <si>
    <t>139,163.04</t>
  </si>
  <si>
    <t>30,343.04</t>
  </si>
  <si>
    <t>1454</t>
  </si>
  <si>
    <t>303.24</t>
  </si>
  <si>
    <t>437,757.26</t>
  </si>
  <si>
    <t>10,011.00</t>
  </si>
  <si>
    <t>380,418.00</t>
  </si>
  <si>
    <t>57,339.26</t>
  </si>
  <si>
    <t>1455</t>
  </si>
  <si>
    <t>IDCS01-LO</t>
  </si>
  <si>
    <t>글로우 이지 3.5ml</t>
  </si>
  <si>
    <t>256.30</t>
  </si>
  <si>
    <t>369,994.68</t>
  </si>
  <si>
    <t>5,224.00</t>
  </si>
  <si>
    <t>287,320.00</t>
  </si>
  <si>
    <t>82,674.68</t>
  </si>
  <si>
    <t>1456</t>
  </si>
  <si>
    <t>ISOP09-M1R</t>
  </si>
  <si>
    <t>[리뉴얼] [1매] 브라이트닝 마스크</t>
  </si>
  <si>
    <t>아이소이</t>
  </si>
  <si>
    <t>51,969.60</t>
  </si>
  <si>
    <t>1,590.91</t>
  </si>
  <si>
    <t>31,818.18</t>
  </si>
  <si>
    <t>20,151.42</t>
  </si>
  <si>
    <t>38.8</t>
  </si>
  <si>
    <t>1457</t>
  </si>
  <si>
    <t>6.02</t>
  </si>
  <si>
    <t>662.20</t>
  </si>
  <si>
    <t>955,951.92</t>
  </si>
  <si>
    <t>605,000.00</t>
  </si>
  <si>
    <t>350,951.92</t>
  </si>
  <si>
    <t>36.7</t>
  </si>
  <si>
    <t>1458</t>
  </si>
  <si>
    <t>3,070.20</t>
  </si>
  <si>
    <t>4,432,140.72</t>
  </si>
  <si>
    <t>3,315,000.00</t>
  </si>
  <si>
    <t>1,117,140.72</t>
  </si>
  <si>
    <t>1459</t>
  </si>
  <si>
    <t>3,730</t>
  </si>
  <si>
    <t>33,197.00</t>
  </si>
  <si>
    <t>47,923,189.20</t>
  </si>
  <si>
    <t>38,269,800.00</t>
  </si>
  <si>
    <t>9,653,389.20</t>
  </si>
  <si>
    <t>1460</t>
  </si>
  <si>
    <t>6.98</t>
  </si>
  <si>
    <t>1,116.80</t>
  </si>
  <si>
    <t>1,612,212.48</t>
  </si>
  <si>
    <t>332,212.48</t>
  </si>
  <si>
    <t>1461</t>
  </si>
  <si>
    <t>MECUS01-RC</t>
  </si>
  <si>
    <t>레드 크림 2.0 50ml</t>
  </si>
  <si>
    <t>7.37</t>
  </si>
  <si>
    <t>589.60</t>
  </si>
  <si>
    <t>851,146.56</t>
  </si>
  <si>
    <t>8,396.00</t>
  </si>
  <si>
    <t>671,680.00</t>
  </si>
  <si>
    <t>179,466.56</t>
  </si>
  <si>
    <t>1462</t>
  </si>
  <si>
    <t>240.40</t>
  </si>
  <si>
    <t>347,041.44</t>
  </si>
  <si>
    <t>68,641.44</t>
  </si>
  <si>
    <t>1463</t>
  </si>
  <si>
    <t>349.00</t>
  </si>
  <si>
    <t>503,816.40</t>
  </si>
  <si>
    <t>103,816.40</t>
  </si>
  <si>
    <t>1464</t>
  </si>
  <si>
    <t>716.00</t>
  </si>
  <si>
    <t>1,033,617.60</t>
  </si>
  <si>
    <t>8,304.12</t>
  </si>
  <si>
    <t>830,412.00</t>
  </si>
  <si>
    <t>203,205.60</t>
  </si>
  <si>
    <t>1465</t>
  </si>
  <si>
    <t>8.64</t>
  </si>
  <si>
    <t>1,468.80</t>
  </si>
  <si>
    <t>2,120,359.68</t>
  </si>
  <si>
    <t>1,725,500.00</t>
  </si>
  <si>
    <t>394,859.68</t>
  </si>
  <si>
    <t>1466</t>
  </si>
  <si>
    <t>1,108.90</t>
  </si>
  <si>
    <t>1,600,808.04</t>
  </si>
  <si>
    <t>1,265,550.00</t>
  </si>
  <si>
    <t>335,258.04</t>
  </si>
  <si>
    <t>1467</t>
  </si>
  <si>
    <t>9.12</t>
  </si>
  <si>
    <t>1,732.80</t>
  </si>
  <si>
    <t>2,501,470.08</t>
  </si>
  <si>
    <t>2,029,200.00</t>
  </si>
  <si>
    <t>472,270.08</t>
  </si>
  <si>
    <t>1468</t>
  </si>
  <si>
    <t>1,560</t>
  </si>
  <si>
    <t>13,244.40</t>
  </si>
  <si>
    <t>19,119,615.84</t>
  </si>
  <si>
    <t>15,333,240.00</t>
  </si>
  <si>
    <t>3,786,375.84</t>
  </si>
  <si>
    <t>1469</t>
  </si>
  <si>
    <t>15,450.00</t>
  </si>
  <si>
    <t>22,303,620.00</t>
  </si>
  <si>
    <t>18,000,000.00</t>
  </si>
  <si>
    <t>4,303,620.00</t>
  </si>
  <si>
    <t>1470</t>
  </si>
  <si>
    <t>2,195.60</t>
  </si>
  <si>
    <t>3,169,568.16</t>
  </si>
  <si>
    <t>2,530,000.00</t>
  </si>
  <si>
    <t>639,568.16</t>
  </si>
  <si>
    <t>1471</t>
  </si>
  <si>
    <t>3,478.80</t>
  </si>
  <si>
    <t>5,021,995.68</t>
  </si>
  <si>
    <t>4,036,500.00</t>
  </si>
  <si>
    <t>985,495.68</t>
  </si>
  <si>
    <t>1472</t>
  </si>
  <si>
    <t>2,507.70</t>
  </si>
  <si>
    <t>3,620,115.72</t>
  </si>
  <si>
    <t>2,673,450.00</t>
  </si>
  <si>
    <t>946,665.72</t>
  </si>
  <si>
    <t>1473</t>
  </si>
  <si>
    <t>9.33</t>
  </si>
  <si>
    <t>5,318.10</t>
  </si>
  <si>
    <t>7,677,209.16</t>
  </si>
  <si>
    <t>6,070,500.00</t>
  </si>
  <si>
    <t>1,606,709.16</t>
  </si>
  <si>
    <t>1474</t>
  </si>
  <si>
    <t>7.31</t>
  </si>
  <si>
    <t>2,924.00</t>
  </si>
  <si>
    <t>4,221,086.40</t>
  </si>
  <si>
    <t>8,060.00</t>
  </si>
  <si>
    <t>3,224,000.00</t>
  </si>
  <si>
    <t>997,086.40</t>
  </si>
  <si>
    <t>1475</t>
  </si>
  <si>
    <t>1,113.50</t>
  </si>
  <si>
    <t>1,607,448.60</t>
  </si>
  <si>
    <t>1,020,000.00</t>
  </si>
  <si>
    <t>587,448.60</t>
  </si>
  <si>
    <t>1476</t>
  </si>
  <si>
    <t>7.43</t>
  </si>
  <si>
    <t>7,950.10</t>
  </si>
  <si>
    <t>11,476,764.36</t>
  </si>
  <si>
    <t>9,202,000.00</t>
  </si>
  <si>
    <t>2,274,764.36</t>
  </si>
  <si>
    <t>1477</t>
  </si>
  <si>
    <t>2,209.90</t>
  </si>
  <si>
    <t>3,190,211.64</t>
  </si>
  <si>
    <t>2,534,620.00</t>
  </si>
  <si>
    <t>655,591.64</t>
  </si>
  <si>
    <t>1478</t>
  </si>
  <si>
    <t>1,595.00</t>
  </si>
  <si>
    <t>2,302,542.00</t>
  </si>
  <si>
    <t>1,840,000.00</t>
  </si>
  <si>
    <t>462,542.00</t>
  </si>
  <si>
    <t>1479</t>
  </si>
  <si>
    <t>594.00</t>
  </si>
  <si>
    <t>857,498.40</t>
  </si>
  <si>
    <t>643,500.00</t>
  </si>
  <si>
    <t>213,998.40</t>
  </si>
  <si>
    <t>1480</t>
  </si>
  <si>
    <t>206.00</t>
  </si>
  <si>
    <t>297,381.60</t>
  </si>
  <si>
    <t>57,381.60</t>
  </si>
  <si>
    <t>1481</t>
  </si>
  <si>
    <t>245.70</t>
  </si>
  <si>
    <t>354,692.52</t>
  </si>
  <si>
    <t>74,692.52</t>
  </si>
  <si>
    <t>1482</t>
  </si>
  <si>
    <t>PeriPCM01-AD003US</t>
  </si>
  <si>
    <t>(글로벌) 잉크 더 에어리 벨벳 003 만찢코랄 (AD)</t>
  </si>
  <si>
    <t>페리페라</t>
  </si>
  <si>
    <t>76.20</t>
  </si>
  <si>
    <t>110,002.32</t>
  </si>
  <si>
    <t>4,272.73</t>
  </si>
  <si>
    <t>85,454.54</t>
  </si>
  <si>
    <t>24,547.78</t>
  </si>
  <si>
    <t>1483</t>
  </si>
  <si>
    <t>PeriPCM01-AD008</t>
  </si>
  <si>
    <t>잉크 더 에어리 벨벳 008 최애쁨템 (AD)</t>
  </si>
  <si>
    <t>114.30</t>
  </si>
  <si>
    <t>165,003.48</t>
  </si>
  <si>
    <t>128,181.82</t>
  </si>
  <si>
    <t>36,821.66</t>
  </si>
  <si>
    <t>1484</t>
  </si>
  <si>
    <t>1,692.26</t>
  </si>
  <si>
    <t>2,442,946.54</t>
  </si>
  <si>
    <t>1,875,272.72</t>
  </si>
  <si>
    <t>567,673.81</t>
  </si>
  <si>
    <t>1485</t>
  </si>
  <si>
    <t>44.30</t>
  </si>
  <si>
    <t>63,951.48</t>
  </si>
  <si>
    <t>14,860.57</t>
  </si>
  <si>
    <t>1486</t>
  </si>
  <si>
    <t>465.15</t>
  </si>
  <si>
    <t>671,490.54</t>
  </si>
  <si>
    <t>515,454.54</t>
  </si>
  <si>
    <t>156,036.00</t>
  </si>
  <si>
    <t>1487</t>
  </si>
  <si>
    <t>386.40</t>
  </si>
  <si>
    <t>557,807.04</t>
  </si>
  <si>
    <t>432,727.23</t>
  </si>
  <si>
    <t>125,079.81</t>
  </si>
  <si>
    <t>1488</t>
  </si>
  <si>
    <t>PTFP10-LMM</t>
  </si>
  <si>
    <t>*모크라* 오일 블라썸 립마스크 동백오일 15g</t>
  </si>
  <si>
    <t>4.05</t>
  </si>
  <si>
    <t>283.50</t>
  </si>
  <si>
    <t>409,260.60</t>
  </si>
  <si>
    <t>4,319.00</t>
  </si>
  <si>
    <t>302,330.00</t>
  </si>
  <si>
    <t>106,930.60</t>
  </si>
  <si>
    <t>1489</t>
  </si>
  <si>
    <t>235.50</t>
  </si>
  <si>
    <t>339,967.80</t>
  </si>
  <si>
    <t>264,545.45</t>
  </si>
  <si>
    <t>75,422.35</t>
  </si>
  <si>
    <t>1490</t>
  </si>
  <si>
    <t>188.40</t>
  </si>
  <si>
    <t>271,974.24</t>
  </si>
  <si>
    <t>211,640.00</t>
  </si>
  <si>
    <t>60,334.24</t>
  </si>
  <si>
    <t>1491</t>
  </si>
  <si>
    <t>1492</t>
  </si>
  <si>
    <t>166.20</t>
  </si>
  <si>
    <t>239,926.32</t>
  </si>
  <si>
    <t>54,471.78</t>
  </si>
  <si>
    <t>1493</t>
  </si>
  <si>
    <t>186.40</t>
  </si>
  <si>
    <t>269,087.04</t>
  </si>
  <si>
    <t>5,320.00</t>
  </si>
  <si>
    <t>212,800.00</t>
  </si>
  <si>
    <t>56,287.04</t>
  </si>
  <si>
    <t>1494</t>
  </si>
  <si>
    <t>PYBS18-MHC</t>
  </si>
  <si>
    <t>(리뉴얼 예정) 퀵 모이스쳐라이징 프로페셔널 핸드크림 50ml</t>
  </si>
  <si>
    <t>2.33</t>
  </si>
  <si>
    <t>123.49</t>
  </si>
  <si>
    <t>178,270.16</t>
  </si>
  <si>
    <t>2,660.00</t>
  </si>
  <si>
    <t>140,980.00</t>
  </si>
  <si>
    <t>37,290.16</t>
  </si>
  <si>
    <t>1495</t>
  </si>
  <si>
    <t>326.20</t>
  </si>
  <si>
    <t>470,902.32</t>
  </si>
  <si>
    <t>4,640.00</t>
  </si>
  <si>
    <t>324,800.00</t>
  </si>
  <si>
    <t>146,102.32</t>
  </si>
  <si>
    <t>1496</t>
  </si>
  <si>
    <t>733.60</t>
  </si>
  <si>
    <t>1,059,024.96</t>
  </si>
  <si>
    <t>177,024.96</t>
  </si>
  <si>
    <t>1497</t>
  </si>
  <si>
    <t>4.36</t>
  </si>
  <si>
    <t>130.80</t>
  </si>
  <si>
    <t>188,822.88</t>
  </si>
  <si>
    <t>53,822.88</t>
  </si>
  <si>
    <t>1498</t>
  </si>
  <si>
    <t>148.24</t>
  </si>
  <si>
    <t>213,999.26</t>
  </si>
  <si>
    <t>159,800.00</t>
  </si>
  <si>
    <t>54,199.26</t>
  </si>
  <si>
    <t>1499</t>
  </si>
  <si>
    <t>2,338.30</t>
  </si>
  <si>
    <t>3,375,569.88</t>
  </si>
  <si>
    <t>3,840.00</t>
  </si>
  <si>
    <t>2,572,800.00</t>
  </si>
  <si>
    <t>802,769.88</t>
  </si>
  <si>
    <t>1500</t>
  </si>
  <si>
    <t>1.05</t>
  </si>
  <si>
    <t>357.00</t>
  </si>
  <si>
    <t>515,365.20</t>
  </si>
  <si>
    <t>1,260.00</t>
  </si>
  <si>
    <t>428,400.00</t>
  </si>
  <si>
    <t>86,965.20</t>
  </si>
  <si>
    <t>1501</t>
  </si>
  <si>
    <t>174.60</t>
  </si>
  <si>
    <t>252,052.56</t>
  </si>
  <si>
    <t>78,052.56</t>
  </si>
  <si>
    <t>1502</t>
  </si>
  <si>
    <t>276.50</t>
  </si>
  <si>
    <t>399,155.40</t>
  </si>
  <si>
    <t>114,155.40</t>
  </si>
  <si>
    <t>1503</t>
  </si>
  <si>
    <t>121.16</t>
  </si>
  <si>
    <t>174,906.58</t>
  </si>
  <si>
    <t>47,506.58</t>
  </si>
  <si>
    <t>27.2</t>
  </si>
  <si>
    <t>1504</t>
  </si>
  <si>
    <t>9,579,729.60</t>
  </si>
  <si>
    <t>6,612,000.00</t>
  </si>
  <si>
    <t>2,967,729.60</t>
  </si>
  <si>
    <t>1505</t>
  </si>
  <si>
    <t>249.48</t>
  </si>
  <si>
    <t>360,149.33</t>
  </si>
  <si>
    <t>3,770.00</t>
  </si>
  <si>
    <t>248,820.00</t>
  </si>
  <si>
    <t>111,329.33</t>
  </si>
  <si>
    <t>1506</t>
  </si>
  <si>
    <t>290,000.00</t>
  </si>
  <si>
    <t>130,087.60</t>
  </si>
  <si>
    <t>1507</t>
  </si>
  <si>
    <t>PYS01-GelR</t>
  </si>
  <si>
    <t>(단종)*리뉴얼 밸런싱 젤100ml</t>
  </si>
  <si>
    <t>93.10</t>
  </si>
  <si>
    <t>134,399.16</t>
  </si>
  <si>
    <t>22,399.16</t>
  </si>
  <si>
    <t>1508</t>
  </si>
  <si>
    <t>1,367.80</t>
  </si>
  <si>
    <t>1,974,556.08</t>
  </si>
  <si>
    <t>1,680,000.00</t>
  </si>
  <si>
    <t>294,556.08</t>
  </si>
  <si>
    <t>1509</t>
  </si>
  <si>
    <t>733.50</t>
  </si>
  <si>
    <t>1,058,880.60</t>
  </si>
  <si>
    <t>8,120.00</t>
  </si>
  <si>
    <t>730,800.00</t>
  </si>
  <si>
    <t>328,080.60</t>
  </si>
  <si>
    <t>1510</t>
  </si>
  <si>
    <t>2,793.00</t>
  </si>
  <si>
    <t>4,031,974.80</t>
  </si>
  <si>
    <t>9,280.00</t>
  </si>
  <si>
    <t>2,784,000.00</t>
  </si>
  <si>
    <t>1,247,974.80</t>
  </si>
  <si>
    <t>1511</t>
  </si>
  <si>
    <t>PYS01-S</t>
  </si>
  <si>
    <t>(단종)*리뉴얼 전 에센스 인 로션 200ml</t>
  </si>
  <si>
    <t>90.74</t>
  </si>
  <si>
    <t>130,992.26</t>
  </si>
  <si>
    <t>7,476.92</t>
  </si>
  <si>
    <t>97,200.00</t>
  </si>
  <si>
    <t>33,792.26</t>
  </si>
  <si>
    <t>1512</t>
  </si>
  <si>
    <t>1,864.00</t>
  </si>
  <si>
    <t>2,690,870.40</t>
  </si>
  <si>
    <t>1,856,000.00</t>
  </si>
  <si>
    <t>834,870.40</t>
  </si>
  <si>
    <t>1513</t>
  </si>
  <si>
    <t>189.00</t>
  </si>
  <si>
    <t>272,840.40</t>
  </si>
  <si>
    <t>227,500.00</t>
  </si>
  <si>
    <t>45,340.40</t>
  </si>
  <si>
    <t>1514</t>
  </si>
  <si>
    <t>4.07</t>
  </si>
  <si>
    <t>366.30</t>
  </si>
  <si>
    <t>528,790.68</t>
  </si>
  <si>
    <t>87,790.68</t>
  </si>
  <si>
    <t>1515</t>
  </si>
  <si>
    <t>56,070.08</t>
  </si>
  <si>
    <t>1516</t>
  </si>
  <si>
    <t>PYS50-SET02R</t>
  </si>
  <si>
    <t>*리뉴얼 편강 율 미니어처 4종세트 (에센스트너30ml + 모이스쳐세럼9ml +뉴트리션크림20ml + 약산성 모공 클렌징폼40ml)</t>
  </si>
  <si>
    <t>98.94</t>
  </si>
  <si>
    <t>142,829.78</t>
  </si>
  <si>
    <t>119,000.00</t>
  </si>
  <si>
    <t>23,829.78</t>
  </si>
  <si>
    <t>1517</t>
  </si>
  <si>
    <t>441,600.00</t>
  </si>
  <si>
    <t>-5,055.36</t>
  </si>
  <si>
    <t>-1.2</t>
  </si>
  <si>
    <t>1518</t>
  </si>
  <si>
    <t>523.80</t>
  </si>
  <si>
    <t>756,157.68</t>
  </si>
  <si>
    <t>126,157.68</t>
  </si>
  <si>
    <t>1519</t>
  </si>
  <si>
    <t>11.06</t>
  </si>
  <si>
    <t>199.08</t>
  </si>
  <si>
    <t>287,391.89</t>
  </si>
  <si>
    <t>12,426.51</t>
  </si>
  <si>
    <t>223,677.18</t>
  </si>
  <si>
    <t>63,714.71</t>
  </si>
  <si>
    <t>1520</t>
  </si>
  <si>
    <t>8,352.00</t>
  </si>
  <si>
    <t>12,056,947.20</t>
  </si>
  <si>
    <t>10,973,600.00</t>
  </si>
  <si>
    <t>1,083,347.20</t>
  </si>
  <si>
    <t>1521</t>
  </si>
  <si>
    <t>504,105.12</t>
  </si>
  <si>
    <t>106,905.12</t>
  </si>
  <si>
    <t>1522</t>
  </si>
  <si>
    <t>310.40</t>
  </si>
  <si>
    <t>448,093.44</t>
  </si>
  <si>
    <t>294,000.00</t>
  </si>
  <si>
    <t>154,093.44</t>
  </si>
  <si>
    <t>1523</t>
  </si>
  <si>
    <t>130,200.00</t>
  </si>
  <si>
    <t>29,750.88</t>
  </si>
  <si>
    <t>1524</t>
  </si>
  <si>
    <t>1,319,594.76</t>
  </si>
  <si>
    <t>1,144,000.00</t>
  </si>
  <si>
    <t>175,594.76</t>
  </si>
  <si>
    <t>1525</t>
  </si>
  <si>
    <t>315.60</t>
  </si>
  <si>
    <t>455,600.16</t>
  </si>
  <si>
    <t>27,200.16</t>
  </si>
  <si>
    <t>1526</t>
  </si>
  <si>
    <t>266.10</t>
  </si>
  <si>
    <t>384,141.96</t>
  </si>
  <si>
    <t>132,141.96</t>
  </si>
  <si>
    <t>1527</t>
  </si>
  <si>
    <t>598.50</t>
  </si>
  <si>
    <t>863,994.60</t>
  </si>
  <si>
    <t>567,000.00</t>
  </si>
  <si>
    <t>296,994.60</t>
  </si>
  <si>
    <t>1528</t>
  </si>
  <si>
    <t>354.80</t>
  </si>
  <si>
    <t>512,189.28</t>
  </si>
  <si>
    <t>376,000.00</t>
  </si>
  <si>
    <t>136,189.28</t>
  </si>
  <si>
    <t>1529</t>
  </si>
  <si>
    <t>620.80</t>
  </si>
  <si>
    <t>896,186.88</t>
  </si>
  <si>
    <t>546,400.00</t>
  </si>
  <si>
    <t>349,786.88</t>
  </si>
  <si>
    <t>1530</t>
  </si>
  <si>
    <t>21.00</t>
  </si>
  <si>
    <t>30,315.60</t>
  </si>
  <si>
    <t>25,090.91</t>
  </si>
  <si>
    <t>5,224.69</t>
  </si>
  <si>
    <t>17.2</t>
  </si>
  <si>
    <t>1531</t>
  </si>
  <si>
    <t>8.21</t>
  </si>
  <si>
    <t>246.30</t>
  </si>
  <si>
    <t>355,558.68</t>
  </si>
  <si>
    <t>170,104.14</t>
  </si>
  <si>
    <t>1532</t>
  </si>
  <si>
    <t>secretKS03-C</t>
  </si>
  <si>
    <t>스노우 화이트 크림 50g</t>
  </si>
  <si>
    <t>148.50</t>
  </si>
  <si>
    <t>214,374.60</t>
  </si>
  <si>
    <t>6,090.00</t>
  </si>
  <si>
    <t>182,700.00</t>
  </si>
  <si>
    <t>31,674.60</t>
  </si>
  <si>
    <t>1533</t>
  </si>
  <si>
    <t>183,625.92</t>
  </si>
  <si>
    <t>156,600.00</t>
  </si>
  <si>
    <t>27,025.92</t>
  </si>
  <si>
    <t>1534</t>
  </si>
  <si>
    <t>SES01-A30</t>
  </si>
  <si>
    <t>[단종]그린토마토 포어 리프팅 앰플 플러스 30ml</t>
  </si>
  <si>
    <t>3.84</t>
  </si>
  <si>
    <t>345.60</t>
  </si>
  <si>
    <t>498,908.16</t>
  </si>
  <si>
    <t>4,036.36</t>
  </si>
  <si>
    <t>363,272.72</t>
  </si>
  <si>
    <t>135,635.44</t>
  </si>
  <si>
    <t>1535</t>
  </si>
  <si>
    <t>SNPS91-S220r</t>
  </si>
  <si>
    <t>프렙 펩타로닉 세럼 220ml (2023)</t>
  </si>
  <si>
    <t>3.95</t>
  </si>
  <si>
    <t>217.25</t>
  </si>
  <si>
    <t>313,622.10</t>
  </si>
  <si>
    <t>247,500.00</t>
  </si>
  <si>
    <t>66,122.10</t>
  </si>
  <si>
    <t>1536</t>
  </si>
  <si>
    <t>87.20</t>
  </si>
  <si>
    <t>125,881.92</t>
  </si>
  <si>
    <t>90,000.00</t>
  </si>
  <si>
    <t>35,881.92</t>
  </si>
  <si>
    <t>1537</t>
  </si>
  <si>
    <t>129.60</t>
  </si>
  <si>
    <t>187,090.56</t>
  </si>
  <si>
    <t>31,090.56</t>
  </si>
  <si>
    <t>1538</t>
  </si>
  <si>
    <t>432.00</t>
  </si>
  <si>
    <t>623,635.20</t>
  </si>
  <si>
    <t>520,000.00</t>
  </si>
  <si>
    <t>103,635.20</t>
  </si>
  <si>
    <t>1539</t>
  </si>
  <si>
    <t>55,343.04</t>
  </si>
  <si>
    <t>1540</t>
  </si>
  <si>
    <t>351.00</t>
  </si>
  <si>
    <t>506,703.60</t>
  </si>
  <si>
    <t>374,400.00</t>
  </si>
  <si>
    <t>132,303.60</t>
  </si>
  <si>
    <t>1541</t>
  </si>
  <si>
    <t>902.11</t>
  </si>
  <si>
    <t>1,293,715.95</t>
  </si>
  <si>
    <t>917,400.00</t>
  </si>
  <si>
    <t>376,315.95</t>
  </si>
  <si>
    <t>29.1</t>
  </si>
  <si>
    <t>IN00406449</t>
  </si>
  <si>
    <t>1542</t>
  </si>
  <si>
    <t>4,517.04</t>
  </si>
  <si>
    <t>6,477,887.06</t>
  </si>
  <si>
    <t>4,593,600.00</t>
  </si>
  <si>
    <t>1,884,287.06</t>
  </si>
  <si>
    <t>1543</t>
  </si>
  <si>
    <t>1,538.13</t>
  </si>
  <si>
    <t>2,205,832.23</t>
  </si>
  <si>
    <t>1,564,200.00</t>
  </si>
  <si>
    <t>641,632.23</t>
  </si>
  <si>
    <t>1544</t>
  </si>
  <si>
    <t>8.89</t>
  </si>
  <si>
    <t>1,057.91</t>
  </si>
  <si>
    <t>1,517,148.73</t>
  </si>
  <si>
    <t>817,887.00</t>
  </si>
  <si>
    <t>699,261.73</t>
  </si>
  <si>
    <t>46.1</t>
  </si>
  <si>
    <t>1545</t>
  </si>
  <si>
    <t>2,633,007.60</t>
  </si>
  <si>
    <t>2,000,127.26</t>
  </si>
  <si>
    <t>632,880.34</t>
  </si>
  <si>
    <t>1546</t>
  </si>
  <si>
    <t>CMXC02-CPrR</t>
  </si>
  <si>
    <t>(Renew) 지우개 원스텝 마일드 클렌징 패드 60EA</t>
  </si>
  <si>
    <t>800.04</t>
  </si>
  <si>
    <t>1,147,337.36</t>
  </si>
  <si>
    <t>870,100.00</t>
  </si>
  <si>
    <t>277,237.36</t>
  </si>
  <si>
    <t>1547</t>
  </si>
  <si>
    <t>6.94</t>
  </si>
  <si>
    <t>1,943.20</t>
  </si>
  <si>
    <t>2,786,743.12</t>
  </si>
  <si>
    <t>2,087,272.71</t>
  </si>
  <si>
    <t>699,470.41</t>
  </si>
  <si>
    <t>1548</t>
  </si>
  <si>
    <t>3,000</t>
  </si>
  <si>
    <t>20,640.00</t>
  </si>
  <si>
    <t>29,599,824.00</t>
  </si>
  <si>
    <t>19,363,636.20</t>
  </si>
  <si>
    <t>10,236,187.80</t>
  </si>
  <si>
    <t>34.6</t>
  </si>
  <si>
    <t>1549</t>
  </si>
  <si>
    <t>1,502.40</t>
  </si>
  <si>
    <t>2,154,591.84</t>
  </si>
  <si>
    <t>1,634,181.82</t>
  </si>
  <si>
    <t>520,410.02</t>
  </si>
  <si>
    <t>1550</t>
  </si>
  <si>
    <t>2,520</t>
  </si>
  <si>
    <t>3.45</t>
  </si>
  <si>
    <t>8,694.00</t>
  </si>
  <si>
    <t>12,468,065.40</t>
  </si>
  <si>
    <t>9,230,760.00</t>
  </si>
  <si>
    <t>3,237,305.40</t>
  </si>
  <si>
    <t>1551</t>
  </si>
  <si>
    <t>3,519.00</t>
  </si>
  <si>
    <t>5,046,597.90</t>
  </si>
  <si>
    <t>3,736,260.00</t>
  </si>
  <si>
    <t>1,310,337.90</t>
  </si>
  <si>
    <t>1552</t>
  </si>
  <si>
    <t>2,790.00</t>
  </si>
  <si>
    <t>4,001,139.00</t>
  </si>
  <si>
    <t>2,960,000.00</t>
  </si>
  <si>
    <t>1,041,139.00</t>
  </si>
  <si>
    <t>1553</t>
  </si>
  <si>
    <t>2,147.20</t>
  </si>
  <si>
    <t>3,079,299.52</t>
  </si>
  <si>
    <t>2,279,200.00</t>
  </si>
  <si>
    <t>800,099.52</t>
  </si>
  <si>
    <t>1554</t>
  </si>
  <si>
    <t>2,406.00</t>
  </si>
  <si>
    <t>3,450,444.60</t>
  </si>
  <si>
    <t>2,553,000.00</t>
  </si>
  <si>
    <t>897,444.60</t>
  </si>
  <si>
    <t>1555</t>
  </si>
  <si>
    <t>2,005.00</t>
  </si>
  <si>
    <t>2,875,370.50</t>
  </si>
  <si>
    <t>2,127,500.00</t>
  </si>
  <si>
    <t>747,870.50</t>
  </si>
  <si>
    <t>1556</t>
  </si>
  <si>
    <t>NBS02-T4</t>
  </si>
  <si>
    <t>4번 메이크업 찰떡 미네랄 토너 200ml</t>
  </si>
  <si>
    <t>63.30</t>
  </si>
  <si>
    <t>91,133.01</t>
  </si>
  <si>
    <t>19,133.01</t>
  </si>
  <si>
    <t>IN00406046</t>
  </si>
  <si>
    <t>1557</t>
  </si>
  <si>
    <t>NBS03-TP5R</t>
  </si>
  <si>
    <t>5번 글루타치온C 흔적 필름패드 70Pads</t>
  </si>
  <si>
    <t>1,455.83</t>
  </si>
  <si>
    <t>2,095,958.45</t>
  </si>
  <si>
    <t>1,654,800.00</t>
  </si>
  <si>
    <t>441,158.45</t>
  </si>
  <si>
    <t>1558</t>
  </si>
  <si>
    <t>NBS05-C1P</t>
  </si>
  <si>
    <t>1번 판토텐산 액티브 수딩크림 80ml</t>
  </si>
  <si>
    <t>7.92</t>
  </si>
  <si>
    <t>388.08</t>
  </si>
  <si>
    <t>558,718.78</t>
  </si>
  <si>
    <t>117,718.78</t>
  </si>
  <si>
    <t>1559</t>
  </si>
  <si>
    <t>NBS08-A5R</t>
  </si>
  <si>
    <t>(트리넥삼산 O) 5번 글루타치온C 흔적 앰플 30ml</t>
  </si>
  <si>
    <t>1,278.47</t>
  </si>
  <si>
    <t>1,840,613.26</t>
  </si>
  <si>
    <t>1,453,200.00</t>
  </si>
  <si>
    <t>387,413.26</t>
  </si>
  <si>
    <t>1560</t>
  </si>
  <si>
    <t>2026-01-29</t>
  </si>
  <si>
    <t>98.50</t>
  </si>
  <si>
    <t>9,850.00</t>
  </si>
  <si>
    <t>14,219,460.00</t>
  </si>
  <si>
    <t>2,969,460.00</t>
  </si>
  <si>
    <t>IN00406879</t>
  </si>
  <si>
    <t>1561</t>
  </si>
  <si>
    <t>MECU05-PROEXL</t>
  </si>
  <si>
    <t>에이지-알 부스터 프로_수출용_퍼플</t>
  </si>
  <si>
    <t>1562</t>
  </si>
  <si>
    <t>24,625.00</t>
  </si>
  <si>
    <t>35,548,650.00</t>
  </si>
  <si>
    <t>28,125,000.00</t>
  </si>
  <si>
    <t>7,423,650.00</t>
  </si>
  <si>
    <t>1563</t>
  </si>
  <si>
    <t>1564</t>
  </si>
  <si>
    <t>NBP07-M09</t>
  </si>
  <si>
    <t>(4매입) 9번 나드 바이오 리프팅 풀페이스팩 (+땡김)</t>
  </si>
  <si>
    <t>94.95</t>
  </si>
  <si>
    <t>136,699.52</t>
  </si>
  <si>
    <t>28,699.52</t>
  </si>
  <si>
    <t>IN00406045</t>
  </si>
  <si>
    <t>1565</t>
  </si>
  <si>
    <t>NBP07-M55ea</t>
  </si>
  <si>
    <t>[5매입] 5번 비타민C 뿌려만든 글루타치온 필름팩</t>
  </si>
  <si>
    <t>166.32</t>
  </si>
  <si>
    <t>239,450.90</t>
  </si>
  <si>
    <t>189,000.00</t>
  </si>
  <si>
    <t>50,450.90</t>
  </si>
  <si>
    <t>1566</t>
  </si>
  <si>
    <t>NBS01-ESS09</t>
  </si>
  <si>
    <t>9번 나드 바이오 리프팅 원액 에센스(미국용)</t>
  </si>
  <si>
    <t>380.00</t>
  </si>
  <si>
    <t>547,086.00</t>
  </si>
  <si>
    <t>432,000.00</t>
  </si>
  <si>
    <t>115,086.00</t>
  </si>
  <si>
    <t>1567</t>
  </si>
  <si>
    <t>162.25</t>
  </si>
  <si>
    <t>229,875.80</t>
  </si>
  <si>
    <t>165,000.00</t>
  </si>
  <si>
    <t>64,875.80</t>
  </si>
  <si>
    <t>IN00402593</t>
  </si>
  <si>
    <t>1568</t>
  </si>
  <si>
    <t>752.84</t>
  </si>
  <si>
    <t>1,066,623.71</t>
  </si>
  <si>
    <t>765,600.00</t>
  </si>
  <si>
    <t>301,023.71</t>
  </si>
  <si>
    <t>1569</t>
  </si>
  <si>
    <t>571.12</t>
  </si>
  <si>
    <t>809,162.82</t>
  </si>
  <si>
    <t>580,800.00</t>
  </si>
  <si>
    <t>228,362.82</t>
  </si>
  <si>
    <t>1570</t>
  </si>
  <si>
    <t>2,160.00</t>
  </si>
  <si>
    <t>3,060,288.00</t>
  </si>
  <si>
    <t>2,353,090.90</t>
  </si>
  <si>
    <t>707,197.10</t>
  </si>
  <si>
    <t>1571</t>
  </si>
  <si>
    <t>1,352.28</t>
  </si>
  <si>
    <t>1,915,910.30</t>
  </si>
  <si>
    <t>1,470,700.00</t>
  </si>
  <si>
    <t>445,210.30</t>
  </si>
  <si>
    <t>1572</t>
  </si>
  <si>
    <t>1,644.78</t>
  </si>
  <si>
    <t>2,330,324.30</t>
  </si>
  <si>
    <t>1,766,727.26</t>
  </si>
  <si>
    <t>563,597.04</t>
  </si>
  <si>
    <t>1573</t>
  </si>
  <si>
    <t>10,335.00</t>
  </si>
  <si>
    <t>14,642,628.00</t>
  </si>
  <si>
    <t>6,636.34</t>
  </si>
  <si>
    <t>9,954,506.49</t>
  </si>
  <si>
    <t>4,688,121.51</t>
  </si>
  <si>
    <t>32.0</t>
  </si>
  <si>
    <t>1574</t>
  </si>
  <si>
    <t>920.22</t>
  </si>
  <si>
    <t>1,303,767.70</t>
  </si>
  <si>
    <t>1,000,936.36</t>
  </si>
  <si>
    <t>302,831.33</t>
  </si>
  <si>
    <t>1575</t>
  </si>
  <si>
    <t>DRAS01-SCR</t>
  </si>
  <si>
    <t>[Renew] 비타민 C 부스팅 세럼 30ml</t>
  </si>
  <si>
    <t>5,644.00</t>
  </si>
  <si>
    <t>7,996,419.20</t>
  </si>
  <si>
    <t>1576</t>
  </si>
  <si>
    <t>MMS01-SB80</t>
  </si>
  <si>
    <t>병풀 추출물 세럼 80ml</t>
  </si>
  <si>
    <t>마리엔메이</t>
  </si>
  <si>
    <t>7.96</t>
  </si>
  <si>
    <t>796.00</t>
  </si>
  <si>
    <t>1,127,772.80</t>
  </si>
  <si>
    <t>7,650.00</t>
  </si>
  <si>
    <t>765,000.00</t>
  </si>
  <si>
    <t>362,772.80</t>
  </si>
  <si>
    <t>1577</t>
  </si>
  <si>
    <t>MMS06-IR</t>
  </si>
  <si>
    <t>(리뉴얼) 트라넥사믹산 + 글루타치온 아이크림 30g</t>
  </si>
  <si>
    <t>4,980.00</t>
  </si>
  <si>
    <t>1,215,120.00</t>
  </si>
  <si>
    <t>-1,215,120.00</t>
  </si>
  <si>
    <t>1578</t>
  </si>
  <si>
    <t>MMS14-ISETR</t>
  </si>
  <si>
    <t>(리뉴얼) 트라넥사믹산+글루타티온 아이크림 기획세트 (30g+12g x2)</t>
  </si>
  <si>
    <t>1,866.00</t>
  </si>
  <si>
    <t>2,643,748.80</t>
  </si>
  <si>
    <t>993,748.80</t>
  </si>
  <si>
    <t>37.6</t>
  </si>
  <si>
    <t>1579</t>
  </si>
  <si>
    <t>TKBCM11-LRC</t>
  </si>
  <si>
    <t>[체코용]파우더 크림 립밤 031 로즈 번</t>
  </si>
  <si>
    <t>3,280.00</t>
  </si>
  <si>
    <t>196,800.00</t>
  </si>
  <si>
    <t>-196,800.00</t>
  </si>
  <si>
    <t>1580</t>
  </si>
  <si>
    <t>2025-12-22</t>
  </si>
  <si>
    <t>867.20</t>
  </si>
  <si>
    <t>1,249,114.88</t>
  </si>
  <si>
    <t>5,836.00</t>
  </si>
  <si>
    <t>933,760.00</t>
  </si>
  <si>
    <t>315,354.88</t>
  </si>
  <si>
    <t>IN00396777</t>
  </si>
  <si>
    <t>1581</t>
  </si>
  <si>
    <t>437.00</t>
  </si>
  <si>
    <t>629,454.80</t>
  </si>
  <si>
    <t>475,454.54</t>
  </si>
  <si>
    <t>154,000.26</t>
  </si>
  <si>
    <t>1582</t>
  </si>
  <si>
    <t>CMXS01-SC</t>
  </si>
  <si>
    <t>더 리얼 시카 수딩크림 50ml</t>
  </si>
  <si>
    <t>494.68</t>
  </si>
  <si>
    <t>712,537.07</t>
  </si>
  <si>
    <t>6,480.00</t>
  </si>
  <si>
    <t>537,840.00</t>
  </si>
  <si>
    <t>174,697.07</t>
  </si>
  <si>
    <t>1583</t>
  </si>
  <si>
    <t>3,007.20</t>
  </si>
  <si>
    <t>4,331,570.88</t>
  </si>
  <si>
    <t>5,390.00</t>
  </si>
  <si>
    <t>2,263,800.00</t>
  </si>
  <si>
    <t>2,067,770.88</t>
  </si>
  <si>
    <t>47.7</t>
  </si>
  <si>
    <t>1584</t>
  </si>
  <si>
    <t>5.55</t>
  </si>
  <si>
    <t>1,942.50</t>
  </si>
  <si>
    <t>2,797,977.00</t>
  </si>
  <si>
    <t>2,115,909.08</t>
  </si>
  <si>
    <t>682,067.92</t>
  </si>
  <si>
    <t>1585</t>
  </si>
  <si>
    <t>3,031.60</t>
  </si>
  <si>
    <t>4,366,716.64</t>
  </si>
  <si>
    <t>3,287,999.97</t>
  </si>
  <si>
    <t>1,078,716.67</t>
  </si>
  <si>
    <t>1586</t>
  </si>
  <si>
    <t>280,878.00</t>
  </si>
  <si>
    <t>211,363.64</t>
  </si>
  <si>
    <t>69,514.36</t>
  </si>
  <si>
    <t>1587</t>
  </si>
  <si>
    <t>6,600</t>
  </si>
  <si>
    <t>28,908.00</t>
  </si>
  <si>
    <t>41,598,612.00</t>
  </si>
  <si>
    <t>51,216,000.00</t>
  </si>
  <si>
    <t>-9,617,388.00</t>
  </si>
  <si>
    <t>-23.1</t>
  </si>
  <si>
    <t>IN00396734</t>
  </si>
  <si>
    <t>1588</t>
  </si>
  <si>
    <t>ANC01-OCMD</t>
  </si>
  <si>
    <t>어성초 포어 컨트롤 클렌징 오일 마일드 200ml</t>
  </si>
  <si>
    <t>2,763.68</t>
  </si>
  <si>
    <t>3,976,935.52</t>
  </si>
  <si>
    <t>9,600.00</t>
  </si>
  <si>
    <t>3,532,800.00</t>
  </si>
  <si>
    <t>444,135.52</t>
  </si>
  <si>
    <t>1589</t>
  </si>
  <si>
    <t>2,643.52</t>
  </si>
  <si>
    <t>3,804,025.28</t>
  </si>
  <si>
    <t>3,900,160.00</t>
  </si>
  <si>
    <t>-96,134.72</t>
  </si>
  <si>
    <t>-2.5</t>
  </si>
  <si>
    <t>1590</t>
  </si>
  <si>
    <t>ANC01-OCMRR</t>
  </si>
  <si>
    <t>[미니어처] 어성초 포어 컨트롤 클렌징오일 V2 20ml</t>
  </si>
  <si>
    <t>1.00</t>
  </si>
  <si>
    <t>1,439.00</t>
  </si>
  <si>
    <t>2,770.00</t>
  </si>
  <si>
    <t>277,000.00</t>
  </si>
  <si>
    <t>-275,561.00</t>
  </si>
  <si>
    <t>-19,149.5</t>
  </si>
  <si>
    <t>1591</t>
  </si>
  <si>
    <t>6,412</t>
  </si>
  <si>
    <t>55,848.52</t>
  </si>
  <si>
    <t>80,366,020.28</t>
  </si>
  <si>
    <t>10,368.06</t>
  </si>
  <si>
    <t>13,886,020.28</t>
  </si>
  <si>
    <t>1592</t>
  </si>
  <si>
    <t>250,673.80</t>
  </si>
  <si>
    <t>221,600.00</t>
  </si>
  <si>
    <t>29,073.80</t>
  </si>
  <si>
    <t>1593</t>
  </si>
  <si>
    <t>8.76</t>
  </si>
  <si>
    <t>1,401.60</t>
  </si>
  <si>
    <t>2,016,902.40</t>
  </si>
  <si>
    <t>1,152,000.00</t>
  </si>
  <si>
    <t>864,902.40</t>
  </si>
  <si>
    <t>1594</t>
  </si>
  <si>
    <t>7.82</t>
  </si>
  <si>
    <t>3,440.80</t>
  </si>
  <si>
    <t>4,951,311.20</t>
  </si>
  <si>
    <t>4,400,000.00</t>
  </si>
  <si>
    <t>551,311.20</t>
  </si>
  <si>
    <t>1595</t>
  </si>
  <si>
    <t>490.40</t>
  </si>
  <si>
    <t>705,685.60</t>
  </si>
  <si>
    <t>257,685.60</t>
  </si>
  <si>
    <t>1596</t>
  </si>
  <si>
    <t>3,668.00</t>
  </si>
  <si>
    <t>5,278,252.00</t>
  </si>
  <si>
    <t>11,076.83</t>
  </si>
  <si>
    <t>4,430,730.00</t>
  </si>
  <si>
    <t>847,522.00</t>
  </si>
  <si>
    <t>1597</t>
  </si>
  <si>
    <t>ANP01-MR</t>
  </si>
  <si>
    <t>[리뉴얼] [1매입] 어성초 77 진정 마스크 25ml</t>
  </si>
  <si>
    <t>2.00</t>
  </si>
  <si>
    <t>2,878.00</t>
  </si>
  <si>
    <t>1,938.30</t>
  </si>
  <si>
    <t>387,660.00</t>
  </si>
  <si>
    <t>-384,782.00</t>
  </si>
  <si>
    <t>-13,369.8</t>
  </si>
  <si>
    <t>1598</t>
  </si>
  <si>
    <t>1.74</t>
  </si>
  <si>
    <t>696.00</t>
  </si>
  <si>
    <t>1,001,544.00</t>
  </si>
  <si>
    <t>888,000.00</t>
  </si>
  <si>
    <t>113,544.00</t>
  </si>
  <si>
    <t>1599</t>
  </si>
  <si>
    <t>ANP01-PKPR</t>
  </si>
  <si>
    <t>[리뉴얼] 어성초 모공 클레이 팩 100ml</t>
  </si>
  <si>
    <t>1,496,560.00</t>
  </si>
  <si>
    <t>344,560.00</t>
  </si>
  <si>
    <t>1600</t>
  </si>
  <si>
    <t>ANP04-PKB</t>
  </si>
  <si>
    <t>(리뉴얼코드확인) [1매입] 자작나무 수분 마스크 25ml</t>
  </si>
  <si>
    <t>1.33</t>
  </si>
  <si>
    <t>19,138.70</t>
  </si>
  <si>
    <t>1,600.00</t>
  </si>
  <si>
    <t>3,138.70</t>
  </si>
  <si>
    <t>1601</t>
  </si>
  <si>
    <t>459.00</t>
  </si>
  <si>
    <t>660,501.00</t>
  </si>
  <si>
    <t>1,916.20</t>
  </si>
  <si>
    <t>574,860.00</t>
  </si>
  <si>
    <t>85,641.00</t>
  </si>
  <si>
    <t>1602</t>
  </si>
  <si>
    <t>3,814.72</t>
  </si>
  <si>
    <t>5,489,382.08</t>
  </si>
  <si>
    <t>4,838,080.00</t>
  </si>
  <si>
    <t>651,302.08</t>
  </si>
  <si>
    <t>1603</t>
  </si>
  <si>
    <t>22,016.70</t>
  </si>
  <si>
    <t>6,016.70</t>
  </si>
  <si>
    <t>1604</t>
  </si>
  <si>
    <t>ANP07-MR</t>
  </si>
  <si>
    <t>(단종) [리뉴얼] [1매입] 비타민씨 잡티 세럼 마스크 25ml</t>
  </si>
  <si>
    <t>612.00</t>
  </si>
  <si>
    <t>880,668.00</t>
  </si>
  <si>
    <t>104,668.00</t>
  </si>
  <si>
    <t>1605</t>
  </si>
  <si>
    <t>ANP11-MCOL</t>
  </si>
  <si>
    <t>[4매입] 라이스 70 글로우 콜라겐 마스크</t>
  </si>
  <si>
    <t>3,993,600.00</t>
  </si>
  <si>
    <t>1,495,782.08</t>
  </si>
  <si>
    <t>1606</t>
  </si>
  <si>
    <t>ANS01-C</t>
  </si>
  <si>
    <t>어성초 70 수딩 크림 100ml</t>
  </si>
  <si>
    <t>12.68</t>
  </si>
  <si>
    <t>1,065.12</t>
  </si>
  <si>
    <t>1,532,707.68</t>
  </si>
  <si>
    <t>1,117,200.00</t>
  </si>
  <si>
    <t>415,507.68</t>
  </si>
  <si>
    <t>1607</t>
  </si>
  <si>
    <t>10.95</t>
  </si>
  <si>
    <t>2,628.00</t>
  </si>
  <si>
    <t>3,781,692.00</t>
  </si>
  <si>
    <t>421,692.00</t>
  </si>
  <si>
    <t>1608</t>
  </si>
  <si>
    <t>3,560</t>
  </si>
  <si>
    <t>32,787.60</t>
  </si>
  <si>
    <t>47,181,356.40</t>
  </si>
  <si>
    <t>11,422.13</t>
  </si>
  <si>
    <t>40,662,780.00</t>
  </si>
  <si>
    <t>6,518,576.40</t>
  </si>
  <si>
    <t>1609</t>
  </si>
  <si>
    <t>ANS01-T500</t>
  </si>
  <si>
    <t>(단종) 어성초 77% 진정 토너 500ml</t>
  </si>
  <si>
    <t>15.01</t>
  </si>
  <si>
    <t>3,302.20</t>
  </si>
  <si>
    <t>4,751,865.80</t>
  </si>
  <si>
    <t>16,364.00</t>
  </si>
  <si>
    <t>3,600,080.00</t>
  </si>
  <si>
    <t>1,151,785.80</t>
  </si>
  <si>
    <t>1610</t>
  </si>
  <si>
    <t>ANS01-TEU</t>
  </si>
  <si>
    <t>(리뉴얼코드확인) [EU] 어성초 77 토너 250ml (26.9.29)</t>
  </si>
  <si>
    <t>719.50</t>
  </si>
  <si>
    <t>363,650.00</t>
  </si>
  <si>
    <t>-362,930.50</t>
  </si>
  <si>
    <t>-50,442.0</t>
  </si>
  <si>
    <t>1611</t>
  </si>
  <si>
    <t>1,450.40</t>
  </si>
  <si>
    <t>2,087,125.60</t>
  </si>
  <si>
    <t>12,381.01</t>
  </si>
  <si>
    <t>1,832,390.00</t>
  </si>
  <si>
    <t>254,735.60</t>
  </si>
  <si>
    <t>1612</t>
  </si>
  <si>
    <t>ANS04-SR</t>
  </si>
  <si>
    <t>[리뉴얼] 자작나무 수분 부스팅 세럼 30ml</t>
  </si>
  <si>
    <t>1,282.38</t>
  </si>
  <si>
    <t>1,845,344.82</t>
  </si>
  <si>
    <t>1,447,200.00</t>
  </si>
  <si>
    <t>398,144.82</t>
  </si>
  <si>
    <t>1613</t>
  </si>
  <si>
    <t>1,026</t>
  </si>
  <si>
    <t>8,659.44</t>
  </si>
  <si>
    <t>12,460,934.16</t>
  </si>
  <si>
    <t>12,506,940.00</t>
  </si>
  <si>
    <t>-46,005.84</t>
  </si>
  <si>
    <t>-0.4</t>
  </si>
  <si>
    <t>1614</t>
  </si>
  <si>
    <t>1,842.00</t>
  </si>
  <si>
    <t>2,650,638.00</t>
  </si>
  <si>
    <t>2,326,000.00</t>
  </si>
  <si>
    <t>324,638.00</t>
  </si>
  <si>
    <t>1615</t>
  </si>
  <si>
    <t>9.67</t>
  </si>
  <si>
    <t>2,088.72</t>
  </si>
  <si>
    <t>3,005,668.08</t>
  </si>
  <si>
    <t>2,633,040.00</t>
  </si>
  <si>
    <t>372,628.08</t>
  </si>
  <si>
    <t>1616</t>
  </si>
  <si>
    <t>11.26</t>
  </si>
  <si>
    <t>2,252.00</t>
  </si>
  <si>
    <t>3,240,628.00</t>
  </si>
  <si>
    <t>1,024,628.00</t>
  </si>
  <si>
    <t>1617</t>
  </si>
  <si>
    <t>3,249.12</t>
  </si>
  <si>
    <t>4,675,483.68</t>
  </si>
  <si>
    <t>4,095,840.00</t>
  </si>
  <si>
    <t>579,643.68</t>
  </si>
  <si>
    <t>1618</t>
  </si>
  <si>
    <t>2,165</t>
  </si>
  <si>
    <t>9.56</t>
  </si>
  <si>
    <t>20,697.40</t>
  </si>
  <si>
    <t>29,783,558.60</t>
  </si>
  <si>
    <t>26,391,350.00</t>
  </si>
  <si>
    <t>3,392,208.60</t>
  </si>
  <si>
    <t>1619</t>
  </si>
  <si>
    <t>1,561</t>
  </si>
  <si>
    <t>14,923.16</t>
  </si>
  <si>
    <t>21,474,427.24</t>
  </si>
  <si>
    <t>143.50</t>
  </si>
  <si>
    <t>21,250,427.24</t>
  </si>
  <si>
    <t>99.0</t>
  </si>
  <si>
    <t>1620</t>
  </si>
  <si>
    <t>12.20</t>
  </si>
  <si>
    <t>4,880.00</t>
  </si>
  <si>
    <t>7,022,320.00</t>
  </si>
  <si>
    <t>6,240,000.00</t>
  </si>
  <si>
    <t>782,320.00</t>
  </si>
  <si>
    <t>1621</t>
  </si>
  <si>
    <t>12,517.20</t>
  </si>
  <si>
    <t>18,012,250.80</t>
  </si>
  <si>
    <t>16,005,600.00</t>
  </si>
  <si>
    <t>2,006,650.80</t>
  </si>
  <si>
    <t>1622</t>
  </si>
  <si>
    <t>ANS10-SR</t>
  </si>
  <si>
    <t>[리뉴얼] 나이아신아마이드 10% 트라넥사믹애씨드 4% 세럼 30ml</t>
  </si>
  <si>
    <t>0.54</t>
  </si>
  <si>
    <t>777.06</t>
  </si>
  <si>
    <t>626,400.00</t>
  </si>
  <si>
    <t>-625,622.94</t>
  </si>
  <si>
    <t>-80,511.5</t>
  </si>
  <si>
    <t>1623</t>
  </si>
  <si>
    <t>4,968</t>
  </si>
  <si>
    <t>9.07</t>
  </si>
  <si>
    <t>45,059.76</t>
  </si>
  <si>
    <t>64,840,994.64</t>
  </si>
  <si>
    <t>57,628,800.00</t>
  </si>
  <si>
    <t>7,212,194.64</t>
  </si>
  <si>
    <t>1624</t>
  </si>
  <si>
    <t>2,902.40</t>
  </si>
  <si>
    <t>4,176,553.60</t>
  </si>
  <si>
    <t>3,712,000.00</t>
  </si>
  <si>
    <t>464,553.60</t>
  </si>
  <si>
    <t>1625</t>
  </si>
  <si>
    <t>2,973.60</t>
  </si>
  <si>
    <t>4,279,010.40</t>
  </si>
  <si>
    <t>3,790,800.00</t>
  </si>
  <si>
    <t>488,210.40</t>
  </si>
  <si>
    <t>1626</t>
  </si>
  <si>
    <t>990.00</t>
  </si>
  <si>
    <t>1,424,610.00</t>
  </si>
  <si>
    <t>1,197,000.00</t>
  </si>
  <si>
    <t>227,610.00</t>
  </si>
  <si>
    <t>IN00396290</t>
  </si>
  <si>
    <t>1627</t>
  </si>
  <si>
    <t>JSMC02-PGR</t>
  </si>
  <si>
    <t>[Renew]꽃담 필링젤 100ml</t>
  </si>
  <si>
    <t>4.52</t>
  </si>
  <si>
    <t>3,191.12</t>
  </si>
  <si>
    <t>4,592,021.68</t>
  </si>
  <si>
    <t>3,854,760.00</t>
  </si>
  <si>
    <t>737,261.68</t>
  </si>
  <si>
    <t>1628</t>
  </si>
  <si>
    <t>9,035.00</t>
  </si>
  <si>
    <t>13,001,365.00</t>
  </si>
  <si>
    <t>10,920,000.00</t>
  </si>
  <si>
    <t>2,081,365.00</t>
  </si>
  <si>
    <t>1629</t>
  </si>
  <si>
    <t>937.50</t>
  </si>
  <si>
    <t>1,349,062.50</t>
  </si>
  <si>
    <t>215,062.50</t>
  </si>
  <si>
    <t>1630</t>
  </si>
  <si>
    <t>19,182.00</t>
  </si>
  <si>
    <t>27,602,898.00</t>
  </si>
  <si>
    <t>23,184,000.00</t>
  </si>
  <si>
    <t>4,418,898.00</t>
  </si>
  <si>
    <t>1631</t>
  </si>
  <si>
    <t>11.81</t>
  </si>
  <si>
    <t>1,771.50</t>
  </si>
  <si>
    <t>2,549,188.50</t>
  </si>
  <si>
    <t>2,142,000.00</t>
  </si>
  <si>
    <t>407,188.50</t>
  </si>
  <si>
    <t>1632</t>
  </si>
  <si>
    <t>5.91</t>
  </si>
  <si>
    <t>3,546.00</t>
  </si>
  <si>
    <t>5,102,694.00</t>
  </si>
  <si>
    <t>818,694.00</t>
  </si>
  <si>
    <t>1633</t>
  </si>
  <si>
    <t>4,137.00</t>
  </si>
  <si>
    <t>5,953,143.00</t>
  </si>
  <si>
    <t>955,143.00</t>
  </si>
  <si>
    <t>1634</t>
  </si>
  <si>
    <t>3,700</t>
  </si>
  <si>
    <t>21,867.00</t>
  </si>
  <si>
    <t>31,466,613.00</t>
  </si>
  <si>
    <t>26,418,000.00</t>
  </si>
  <si>
    <t>5,048,613.00</t>
  </si>
  <si>
    <t>1635</t>
  </si>
  <si>
    <t>1,668.00</t>
  </si>
  <si>
    <t>2,400,252.00</t>
  </si>
  <si>
    <t>384,252.00</t>
  </si>
  <si>
    <t>1636</t>
  </si>
  <si>
    <t>8,125.00</t>
  </si>
  <si>
    <t>11,691,875.00</t>
  </si>
  <si>
    <t>9,828,000.00</t>
  </si>
  <si>
    <t>1,863,875.00</t>
  </si>
  <si>
    <t>1637</t>
  </si>
  <si>
    <t>1638</t>
  </si>
  <si>
    <t>4,380.00</t>
  </si>
  <si>
    <t>6,302,820.00</t>
  </si>
  <si>
    <t>5,292,000.00</t>
  </si>
  <si>
    <t>1,010,820.00</t>
  </si>
  <si>
    <t>1639</t>
  </si>
  <si>
    <t>2025-12-18</t>
  </si>
  <si>
    <t>BODP04-MRC</t>
  </si>
  <si>
    <t>[4매입] 리쥬비네이팅 캐비어 PDRN 리얼 딥 마스크</t>
  </si>
  <si>
    <t>-299,280.50</t>
  </si>
  <si>
    <t>-41,595.6</t>
  </si>
  <si>
    <t>IN00396721</t>
  </si>
  <si>
    <t>1640</t>
  </si>
  <si>
    <t>BODS02-HAEU</t>
  </si>
  <si>
    <t>[EU]하이드로 세라놀 앰플 50ml</t>
  </si>
  <si>
    <t>0.21</t>
  </si>
  <si>
    <t>302.19</t>
  </si>
  <si>
    <t>-146,697.81</t>
  </si>
  <si>
    <t>-48,544.9</t>
  </si>
  <si>
    <t>1641</t>
  </si>
  <si>
    <t>BODS03-CCEU</t>
  </si>
  <si>
    <t>[EU]포어 타이트닝 콜라겐 크림 50ml</t>
  </si>
  <si>
    <t>0.07</t>
  </si>
  <si>
    <t>100.73</t>
  </si>
  <si>
    <t>49,000.00</t>
  </si>
  <si>
    <t>-48,899.27</t>
  </si>
  <si>
    <t>1642</t>
  </si>
  <si>
    <t>667.20</t>
  </si>
  <si>
    <t>960,100.80</t>
  </si>
  <si>
    <t>725,454.54</t>
  </si>
  <si>
    <t>234,646.26</t>
  </si>
  <si>
    <t>1643</t>
  </si>
  <si>
    <t>826.80</t>
  </si>
  <si>
    <t>1,189,765.20</t>
  </si>
  <si>
    <t>896,727.26</t>
  </si>
  <si>
    <t>293,037.94</t>
  </si>
  <si>
    <t>1644</t>
  </si>
  <si>
    <t>625.50</t>
  </si>
  <si>
    <t>900,094.50</t>
  </si>
  <si>
    <t>670,909.09</t>
  </si>
  <si>
    <t>229,185.41</t>
  </si>
  <si>
    <t>1645</t>
  </si>
  <si>
    <t>3,544.50</t>
  </si>
  <si>
    <t>5,100,535.50</t>
  </si>
  <si>
    <t>3,801,818.15</t>
  </si>
  <si>
    <t>1,298,717.35</t>
  </si>
  <si>
    <t>1646</t>
  </si>
  <si>
    <t>CMXS08-SC</t>
  </si>
  <si>
    <t>브라이트닝 모공잡티 선크림 50ml</t>
  </si>
  <si>
    <t>20.01</t>
  </si>
  <si>
    <t>28,794.39</t>
  </si>
  <si>
    <t>21,818.18</t>
  </si>
  <si>
    <t>6,976.21</t>
  </si>
  <si>
    <t>1647</t>
  </si>
  <si>
    <t>CTS09-MC</t>
  </si>
  <si>
    <t>마데카 크림 타임 리버스 50ml (시즌 7)</t>
  </si>
  <si>
    <t>센텔리안24</t>
  </si>
  <si>
    <t>5,111,328.00</t>
  </si>
  <si>
    <t>3,840,000.00</t>
  </si>
  <si>
    <t>1,271,328.00</t>
  </si>
  <si>
    <t>1648</t>
  </si>
  <si>
    <t>368.00</t>
  </si>
  <si>
    <t>529,552.00</t>
  </si>
  <si>
    <t>129,552.00</t>
  </si>
  <si>
    <t>1649</t>
  </si>
  <si>
    <t>5.18</t>
  </si>
  <si>
    <t>1,657.60</t>
  </si>
  <si>
    <t>2,385,286.40</t>
  </si>
  <si>
    <t>465,286.40</t>
  </si>
  <si>
    <t>1650</t>
  </si>
  <si>
    <t>1,471.20</t>
  </si>
  <si>
    <t>2,117,056.80</t>
  </si>
  <si>
    <t>413,056.80</t>
  </si>
  <si>
    <t>1651</t>
  </si>
  <si>
    <t>7.46</t>
  </si>
  <si>
    <t>3,655.40</t>
  </si>
  <si>
    <t>5,260,120.60</t>
  </si>
  <si>
    <t>4,214,000.00</t>
  </si>
  <si>
    <t>1,046,120.60</t>
  </si>
  <si>
    <t>1652</t>
  </si>
  <si>
    <t>8.56</t>
  </si>
  <si>
    <t>4,108.80</t>
  </si>
  <si>
    <t>5,912,563.20</t>
  </si>
  <si>
    <t>1,208,563.20</t>
  </si>
  <si>
    <t>1653</t>
  </si>
  <si>
    <t>561.00</t>
  </si>
  <si>
    <t>807,279.00</t>
  </si>
  <si>
    <t>650,000.00</t>
  </si>
  <si>
    <t>157,279.00</t>
  </si>
  <si>
    <t>1654</t>
  </si>
  <si>
    <t>1,947.00</t>
  </si>
  <si>
    <t>2,801,733.00</t>
  </si>
  <si>
    <t>2,250,000.00</t>
  </si>
  <si>
    <t>551,733.00</t>
  </si>
  <si>
    <t>1655</t>
  </si>
  <si>
    <t>530.40</t>
  </si>
  <si>
    <t>763,245.60</t>
  </si>
  <si>
    <t>148,045.60</t>
  </si>
  <si>
    <t>1656</t>
  </si>
  <si>
    <t>868.00</t>
  </si>
  <si>
    <t>1,249,052.00</t>
  </si>
  <si>
    <t>259,052.00</t>
  </si>
  <si>
    <t>1657</t>
  </si>
  <si>
    <t>5,706.00</t>
  </si>
  <si>
    <t>8,210,934.00</t>
  </si>
  <si>
    <t>6,480,000.00</t>
  </si>
  <si>
    <t>1,730,934.00</t>
  </si>
  <si>
    <t>1658</t>
  </si>
  <si>
    <t>1,497.30</t>
  </si>
  <si>
    <t>2,154,614.70</t>
  </si>
  <si>
    <t>1,927,800.00</t>
  </si>
  <si>
    <t>226,814.70</t>
  </si>
  <si>
    <t>10.5</t>
  </si>
  <si>
    <t>1659</t>
  </si>
  <si>
    <t>NBS01-S2</t>
  </si>
  <si>
    <t>2번 로즈 PDRN 콜라겐 플럼핑 세럼 30ml</t>
  </si>
  <si>
    <t>369.50</t>
  </si>
  <si>
    <t>531,710.50</t>
  </si>
  <si>
    <t>111,710.50</t>
  </si>
  <si>
    <t>1660</t>
  </si>
  <si>
    <t>NBS01-S3</t>
  </si>
  <si>
    <t>3번 블루 바이오 레티놀 모공 앰플 30ml</t>
  </si>
  <si>
    <t>792.00</t>
  </si>
  <si>
    <t>1,139,688.00</t>
  </si>
  <si>
    <t>239,688.00</t>
  </si>
  <si>
    <t>1661</t>
  </si>
  <si>
    <t>NBS02-PATCH9</t>
  </si>
  <si>
    <t>[5매입] 9번 나드 콜라겐 오버나잇 셀피 패치</t>
  </si>
  <si>
    <t>5.28</t>
  </si>
  <si>
    <t>844.80</t>
  </si>
  <si>
    <t>1,215,667.20</t>
  </si>
  <si>
    <t>255,667.20</t>
  </si>
  <si>
    <t>1662</t>
  </si>
  <si>
    <t>NBS02-T9</t>
  </si>
  <si>
    <t>9번 나드 피디알엔 글로우 트리트먼트 토너 150ml</t>
  </si>
  <si>
    <t>3,138.30</t>
  </si>
  <si>
    <t>4,516,013.70</t>
  </si>
  <si>
    <t>3,564,000.00</t>
  </si>
  <si>
    <t>952,013.70</t>
  </si>
  <si>
    <t>1663</t>
  </si>
  <si>
    <t>NBS07-MOC4ea</t>
  </si>
  <si>
    <t>(4매입) 2번 로즈 PDRN 콜라겐 랩핑 오버나잇 필름팩</t>
  </si>
  <si>
    <t>253.60</t>
  </si>
  <si>
    <t>364,930.40</t>
  </si>
  <si>
    <t>288,000.00</t>
  </si>
  <si>
    <t>76,930.40</t>
  </si>
  <si>
    <t>1664</t>
  </si>
  <si>
    <t>NLS05-As</t>
  </si>
  <si>
    <t>(샤쉐) 에이컨트롤 10% 아젤라익애씨드 세럼 샤쉐 2ml</t>
  </si>
  <si>
    <t>20.00</t>
  </si>
  <si>
    <t>28,780.00</t>
  </si>
  <si>
    <t>1665</t>
  </si>
  <si>
    <t>5.17</t>
  </si>
  <si>
    <t>1,292.50</t>
  </si>
  <si>
    <t>1,859,907.50</t>
  </si>
  <si>
    <t>1,500,000.00</t>
  </si>
  <si>
    <t>359,907.50</t>
  </si>
  <si>
    <t>1666</t>
  </si>
  <si>
    <t>NLS06-AKs</t>
  </si>
  <si>
    <t>(샤쉐)비 부스트 1% 코직애씨드 세럼 샤쉐 2ml</t>
  </si>
  <si>
    <t>121.00</t>
  </si>
  <si>
    <t>24,200.00</t>
  </si>
  <si>
    <t>-21,322.00</t>
  </si>
  <si>
    <t>-740.9</t>
  </si>
  <si>
    <t>1667</t>
  </si>
  <si>
    <t>10,000</t>
  </si>
  <si>
    <t>1,439,000.00</t>
  </si>
  <si>
    <t>93.78</t>
  </si>
  <si>
    <t>937,750.00</t>
  </si>
  <si>
    <t>501,250.00</t>
  </si>
  <si>
    <t>1668</t>
  </si>
  <si>
    <t>NLS06-As</t>
  </si>
  <si>
    <t>(샤쉐) 비부스트 10% 나이아신아마이드 세럼 2ml</t>
  </si>
  <si>
    <t>1669</t>
  </si>
  <si>
    <t>1670</t>
  </si>
  <si>
    <t>NLS06-TA</t>
  </si>
  <si>
    <t>(NLS06-TAR 확인) 비 부스트 1% 코직애씨드 토너 200ml</t>
  </si>
  <si>
    <t>889.60</t>
  </si>
  <si>
    <t>1,280,134.40</t>
  </si>
  <si>
    <t>272,134.40</t>
  </si>
  <si>
    <t>1671</t>
  </si>
  <si>
    <t>PRS02-CSUs</t>
  </si>
  <si>
    <t>(샘플) 원더 릴리프 센텔라 세럼 언센티드 1g</t>
  </si>
  <si>
    <t>6,345</t>
  </si>
  <si>
    <t>0.13</t>
  </si>
  <si>
    <t>824.85</t>
  </si>
  <si>
    <t>1,186,959.15</t>
  </si>
  <si>
    <t>110.00</t>
  </si>
  <si>
    <t>697,950.00</t>
  </si>
  <si>
    <t>489,009.15</t>
  </si>
  <si>
    <t>1672</t>
  </si>
  <si>
    <t>PRS04-Cs</t>
  </si>
  <si>
    <t>(샘플) 마이티 밤부 판테놀 크림 1ml</t>
  </si>
  <si>
    <t>1,300.00</t>
  </si>
  <si>
    <t>1,870,700.00</t>
  </si>
  <si>
    <t>1,100,000.00</t>
  </si>
  <si>
    <t>770,700.00</t>
  </si>
  <si>
    <t>1673</t>
  </si>
  <si>
    <t>2025-12-16</t>
  </si>
  <si>
    <t>11.12</t>
  </si>
  <si>
    <t>333.60</t>
  </si>
  <si>
    <t>480,517.44</t>
  </si>
  <si>
    <t>223,800.00</t>
  </si>
  <si>
    <t>256,717.44</t>
  </si>
  <si>
    <t>IN00397030</t>
  </si>
  <si>
    <t>1674</t>
  </si>
  <si>
    <t>323.40</t>
  </si>
  <si>
    <t>465,825.36</t>
  </si>
  <si>
    <t>323,400.00</t>
  </si>
  <si>
    <t>142,425.36</t>
  </si>
  <si>
    <t>1675</t>
  </si>
  <si>
    <t>8.17</t>
  </si>
  <si>
    <t>571.90</t>
  </si>
  <si>
    <t>823,764.76</t>
  </si>
  <si>
    <t>130,764.76</t>
  </si>
  <si>
    <t>1676</t>
  </si>
  <si>
    <t>778.00</t>
  </si>
  <si>
    <t>1,120,631.20</t>
  </si>
  <si>
    <t>520,631.20</t>
  </si>
  <si>
    <t>1677</t>
  </si>
  <si>
    <t>9.03</t>
  </si>
  <si>
    <t>650.16</t>
  </si>
  <si>
    <t>936,490.46</t>
  </si>
  <si>
    <t>360,490.46</t>
  </si>
  <si>
    <t>1678</t>
  </si>
  <si>
    <t>556.00</t>
  </si>
  <si>
    <t>800,862.40</t>
  </si>
  <si>
    <t>305,862.40</t>
  </si>
  <si>
    <t>38.2</t>
  </si>
  <si>
    <t>1679</t>
  </si>
  <si>
    <t>1680</t>
  </si>
  <si>
    <t>1681</t>
  </si>
  <si>
    <t>559.32</t>
  </si>
  <si>
    <t>805,644.53</t>
  </si>
  <si>
    <t>608,300.00</t>
  </si>
  <si>
    <t>197,344.53</t>
  </si>
  <si>
    <t>1682</t>
  </si>
  <si>
    <t>6.53</t>
  </si>
  <si>
    <t>1,240.70</t>
  </si>
  <si>
    <t>1,787,104.28</t>
  </si>
  <si>
    <t>1,338,636.36</t>
  </si>
  <si>
    <t>448,467.93</t>
  </si>
  <si>
    <t>1683</t>
  </si>
  <si>
    <t>CMXS01-EC</t>
  </si>
  <si>
    <t>노니 얼티밋 아이크림 20ml</t>
  </si>
  <si>
    <t>262.44</t>
  </si>
  <si>
    <t>378,018.58</t>
  </si>
  <si>
    <t>90,018.58</t>
  </si>
  <si>
    <t>1684</t>
  </si>
  <si>
    <t>1,370.80</t>
  </si>
  <si>
    <t>1,974,500.32</t>
  </si>
  <si>
    <t>1,490,400.00</t>
  </si>
  <si>
    <t>484,100.32</t>
  </si>
  <si>
    <t>1685</t>
  </si>
  <si>
    <t>7.18</t>
  </si>
  <si>
    <t>3,015.60</t>
  </si>
  <si>
    <t>4,343,670.24</t>
  </si>
  <si>
    <t>2,079,870.24</t>
  </si>
  <si>
    <t>1686</t>
  </si>
  <si>
    <t>1687</t>
  </si>
  <si>
    <t>1688</t>
  </si>
  <si>
    <t>298.42</t>
  </si>
  <si>
    <t>429,844.17</t>
  </si>
  <si>
    <t>320,545.45</t>
  </si>
  <si>
    <t>109,298.72</t>
  </si>
  <si>
    <t>1689</t>
  </si>
  <si>
    <t>5,512.00</t>
  </si>
  <si>
    <t>7,939,484.80</t>
  </si>
  <si>
    <t>5,308,800.00</t>
  </si>
  <si>
    <t>2,630,684.80</t>
  </si>
  <si>
    <t>1690</t>
  </si>
  <si>
    <t>438.20</t>
  </si>
  <si>
    <t>631,183.28</t>
  </si>
  <si>
    <t>476,636.36</t>
  </si>
  <si>
    <t>154,546.92</t>
  </si>
  <si>
    <t>1691</t>
  </si>
  <si>
    <t>1692</t>
  </si>
  <si>
    <t>DRAC01-FP</t>
  </si>
  <si>
    <t>프리미엄 퀵 스텝 세범 클렌저</t>
  </si>
  <si>
    <t>916.57</t>
  </si>
  <si>
    <t>1,320,227.43</t>
  </si>
  <si>
    <t>981,500.00</t>
  </si>
  <si>
    <t>338,727.43</t>
  </si>
  <si>
    <t>1693</t>
  </si>
  <si>
    <t>DRAC02-CCB</t>
  </si>
  <si>
    <t>퓨어 그라인딩 클렌징밤 50ml</t>
  </si>
  <si>
    <t>2,616.38</t>
  </si>
  <si>
    <t>3,768,633.75</t>
  </si>
  <si>
    <t>2,827,500.00</t>
  </si>
  <si>
    <t>941,133.75</t>
  </si>
  <si>
    <t>1694</t>
  </si>
  <si>
    <t>DRAC02-CCBP</t>
  </si>
  <si>
    <t>포어 리프레쉬 그라인딩 클렌징밤 50ml</t>
  </si>
  <si>
    <t>957.72</t>
  </si>
  <si>
    <t>1,379,499.89</t>
  </si>
  <si>
    <t>344,499.89</t>
  </si>
  <si>
    <t>1695</t>
  </si>
  <si>
    <t>DRAC02-FA</t>
  </si>
  <si>
    <t>아미노 애시드 젠틀 버블 클렌저 140ml</t>
  </si>
  <si>
    <t>1,160,962.40</t>
  </si>
  <si>
    <t>864,500.00</t>
  </si>
  <si>
    <t>296,462.40</t>
  </si>
  <si>
    <t>1696</t>
  </si>
  <si>
    <t>DRAC02-FG</t>
  </si>
  <si>
    <t>그린 릴리프 아미노 젤 클렌저 100ml</t>
  </si>
  <si>
    <t>417.12</t>
  </si>
  <si>
    <t>600,819.65</t>
  </si>
  <si>
    <t>450,300.00</t>
  </si>
  <si>
    <t>150,519.65</t>
  </si>
  <si>
    <t>1697</t>
  </si>
  <si>
    <t>DRAP01-MC</t>
  </si>
  <si>
    <t>[4매입]쿠션 베일 카밍 마스크</t>
  </si>
  <si>
    <t>280.00</t>
  </si>
  <si>
    <t>403,312.00</t>
  </si>
  <si>
    <t>5,400.00</t>
  </si>
  <si>
    <t>100,912.00</t>
  </si>
  <si>
    <t>1698</t>
  </si>
  <si>
    <t>DRAS01-CAS</t>
  </si>
  <si>
    <t>147 베리어 크림 50ml</t>
  </si>
  <si>
    <t>9.26</t>
  </si>
  <si>
    <t>5,648.60</t>
  </si>
  <si>
    <t>8,136,243.44</t>
  </si>
  <si>
    <t>6,899,100.00</t>
  </si>
  <si>
    <t>1,237,143.44</t>
  </si>
  <si>
    <t>1699</t>
  </si>
  <si>
    <t>DRAS01-CR</t>
  </si>
  <si>
    <t>래피드 펌 스컬팅 크림 45ml</t>
  </si>
  <si>
    <t>1,143.30</t>
  </si>
  <si>
    <t>1,646,809.32</t>
  </si>
  <si>
    <t>1,245,270.00</t>
  </si>
  <si>
    <t>401,539.32</t>
  </si>
  <si>
    <t>1700</t>
  </si>
  <si>
    <t>4,048</t>
  </si>
  <si>
    <t>37,484.48</t>
  </si>
  <si>
    <t>53,992,644.99</t>
  </si>
  <si>
    <t>45,782,880.00</t>
  </si>
  <si>
    <t>8,209,764.99</t>
  </si>
  <si>
    <t>1701</t>
  </si>
  <si>
    <t>18,520.00</t>
  </si>
  <si>
    <t>26,676,208.00</t>
  </si>
  <si>
    <t>22,620,000.00</t>
  </si>
  <si>
    <t>4,056,208.00</t>
  </si>
  <si>
    <t>1702</t>
  </si>
  <si>
    <t>DRAS01-GS</t>
  </si>
  <si>
    <t>젠틀 비타민 C 세럼 30ml</t>
  </si>
  <si>
    <t>2,430.24</t>
  </si>
  <si>
    <t>3,500,517.70</t>
  </si>
  <si>
    <t>8,003.52</t>
  </si>
  <si>
    <t>2,929,290.00</t>
  </si>
  <si>
    <t>571,227.70</t>
  </si>
  <si>
    <t>1703</t>
  </si>
  <si>
    <t>ISNC20-F</t>
  </si>
  <si>
    <t>(글로벌) 참마 비건 밀크 클렌저 220ml</t>
  </si>
  <si>
    <t>937.20</t>
  </si>
  <si>
    <t>1,349,942.88</t>
  </si>
  <si>
    <t>209,942.88</t>
  </si>
  <si>
    <t>1704</t>
  </si>
  <si>
    <t>ISNS11-T</t>
  </si>
  <si>
    <t>[단종] 알로에 수딩 토너 200ML</t>
  </si>
  <si>
    <t>113.30</t>
  </si>
  <si>
    <t>163,197.32</t>
  </si>
  <si>
    <t>6,270.00</t>
  </si>
  <si>
    <t>137,940.00</t>
  </si>
  <si>
    <t>25,257.32</t>
  </si>
  <si>
    <t>15.5</t>
  </si>
  <si>
    <t>1705</t>
  </si>
  <si>
    <t>ISNS18-PATCH</t>
  </si>
  <si>
    <t>(24패치) 어니언 뉴페어 스팟 패치 [베이직] (10mmx12ea 12mmx12ea)</t>
  </si>
  <si>
    <t>1.25</t>
  </si>
  <si>
    <t>187.50</t>
  </si>
  <si>
    <t>270,075.00</t>
  </si>
  <si>
    <t>1,520.00</t>
  </si>
  <si>
    <t>42,075.00</t>
  </si>
  <si>
    <t>1706</t>
  </si>
  <si>
    <t>ISNS18-PATCHO</t>
  </si>
  <si>
    <t>(15패치) 어니언 뉴페어 스팟 패치 [스킨 핏] (12mmx15ea)</t>
  </si>
  <si>
    <t>1707</t>
  </si>
  <si>
    <t>ISNS18-T</t>
  </si>
  <si>
    <t>어니언 뉴페어 에센스 토너_200ml</t>
  </si>
  <si>
    <t>7.19</t>
  </si>
  <si>
    <t>143.80</t>
  </si>
  <si>
    <t>207,129.52</t>
  </si>
  <si>
    <t>8,740.00</t>
  </si>
  <si>
    <t>32,329.52</t>
  </si>
  <si>
    <t>1708</t>
  </si>
  <si>
    <t>5,698,440.00</t>
  </si>
  <si>
    <t>4,788,000.00</t>
  </si>
  <si>
    <t>910,440.00</t>
  </si>
  <si>
    <t>IN00396289</t>
  </si>
  <si>
    <t>1709</t>
  </si>
  <si>
    <t>4,068.00</t>
  </si>
  <si>
    <t>5,853,852.00</t>
  </si>
  <si>
    <t>4,914,000.00</t>
  </si>
  <si>
    <t>939,852.00</t>
  </si>
  <si>
    <t>1710</t>
  </si>
  <si>
    <t>4,865.00</t>
  </si>
  <si>
    <t>7,000,735.00</t>
  </si>
  <si>
    <t>5,880,000.00</t>
  </si>
  <si>
    <t>1,120,735.00</t>
  </si>
  <si>
    <t>1711</t>
  </si>
  <si>
    <t>1,653.40</t>
  </si>
  <si>
    <t>2,379,242.60</t>
  </si>
  <si>
    <t>1,999,200.00</t>
  </si>
  <si>
    <t>380,042.60</t>
  </si>
  <si>
    <t>1712</t>
  </si>
  <si>
    <t>1,900</t>
  </si>
  <si>
    <t>11,229.00</t>
  </si>
  <si>
    <t>16,158,531.00</t>
  </si>
  <si>
    <t>13,566,000.00</t>
  </si>
  <si>
    <t>2,592,531.00</t>
  </si>
  <si>
    <t>1713</t>
  </si>
  <si>
    <t>3,600</t>
  </si>
  <si>
    <t>21,276.00</t>
  </si>
  <si>
    <t>30,616,164.00</t>
  </si>
  <si>
    <t>4,912,164.00</t>
  </si>
  <si>
    <t>1714</t>
  </si>
  <si>
    <t>6,250.00</t>
  </si>
  <si>
    <t>8,993,750.00</t>
  </si>
  <si>
    <t>7,560,000.00</t>
  </si>
  <si>
    <t>1,433,750.00</t>
  </si>
  <si>
    <t>1715</t>
  </si>
  <si>
    <t>1716</t>
  </si>
  <si>
    <t>365.00</t>
  </si>
  <si>
    <t>525,235.00</t>
  </si>
  <si>
    <t>84,235.00</t>
  </si>
  <si>
    <t>1717</t>
  </si>
  <si>
    <t>2025-12-12</t>
  </si>
  <si>
    <t>285.30</t>
  </si>
  <si>
    <t>410,717.88</t>
  </si>
  <si>
    <t>324,000.00</t>
  </si>
  <si>
    <t>86,717.88</t>
  </si>
  <si>
    <t>IN00394643</t>
  </si>
  <si>
    <t>1718</t>
  </si>
  <si>
    <t>NBS02-TSG</t>
  </si>
  <si>
    <t>(단종) 3번 결광가득 에센스 토너 200ml</t>
  </si>
  <si>
    <t>1719</t>
  </si>
  <si>
    <t>475.20</t>
  </si>
  <si>
    <t>684,097.92</t>
  </si>
  <si>
    <t>144,097.92</t>
  </si>
  <si>
    <t>1720</t>
  </si>
  <si>
    <t>NBSM06-SCPB</t>
  </si>
  <si>
    <t>(단종) 3번 도자기결 파데스킵 톤업베이지 50ml</t>
  </si>
  <si>
    <t>1,975.68</t>
  </si>
  <si>
    <t>2,844,188.93</t>
  </si>
  <si>
    <t>2,246,400.00</t>
  </si>
  <si>
    <t>597,788.93</t>
  </si>
  <si>
    <t>1721</t>
  </si>
  <si>
    <t>98.81</t>
  </si>
  <si>
    <t>29,643.00</t>
  </si>
  <si>
    <t>42,659,241.30</t>
  </si>
  <si>
    <t>33,750,000.00</t>
  </si>
  <si>
    <t>8,909,241.30</t>
  </si>
  <si>
    <t>IN00394641</t>
  </si>
  <si>
    <t>1722</t>
  </si>
  <si>
    <t>69,167.00</t>
  </si>
  <si>
    <t>99,538,229.70</t>
  </si>
  <si>
    <t>78,750,000.00</t>
  </si>
  <si>
    <t>20,788,229.70</t>
  </si>
  <si>
    <t>1723</t>
  </si>
  <si>
    <t>2025-12-11</t>
  </si>
  <si>
    <t>661.00</t>
  </si>
  <si>
    <t>951,575.60</t>
  </si>
  <si>
    <t>750,909.09</t>
  </si>
  <si>
    <t>200,666.51</t>
  </si>
  <si>
    <t>IN00394653</t>
  </si>
  <si>
    <t>1724</t>
  </si>
  <si>
    <t>55.90</t>
  </si>
  <si>
    <t>80,473.64</t>
  </si>
  <si>
    <t>56,136.36</t>
  </si>
  <si>
    <t>24,337.28</t>
  </si>
  <si>
    <t>1725</t>
  </si>
  <si>
    <t>74,283.36</t>
  </si>
  <si>
    <t>22,465.18</t>
  </si>
  <si>
    <t>1726</t>
  </si>
  <si>
    <t>26.70</t>
  </si>
  <si>
    <t>38,437.32</t>
  </si>
  <si>
    <t>1727</t>
  </si>
  <si>
    <t>267.30</t>
  </si>
  <si>
    <t>384,805.08</t>
  </si>
  <si>
    <t>291,600.00</t>
  </si>
  <si>
    <t>93,205.08</t>
  </si>
  <si>
    <t>1728</t>
  </si>
  <si>
    <t>826.20</t>
  </si>
  <si>
    <t>1,189,397.52</t>
  </si>
  <si>
    <t>901,309.08</t>
  </si>
  <si>
    <t>288,088.44</t>
  </si>
  <si>
    <t>1729</t>
  </si>
  <si>
    <t>1,276.50</t>
  </si>
  <si>
    <t>1,837,649.40</t>
  </si>
  <si>
    <t>802,649.40</t>
  </si>
  <si>
    <t>1730</t>
  </si>
  <si>
    <t>884.80</t>
  </si>
  <si>
    <t>1,273,758.08</t>
  </si>
  <si>
    <t>436,558.08</t>
  </si>
  <si>
    <t>1731</t>
  </si>
  <si>
    <t>1,244.80</t>
  </si>
  <si>
    <t>1,792,014.08</t>
  </si>
  <si>
    <t>1,136,000.00</t>
  </si>
  <si>
    <t>656,014.08</t>
  </si>
  <si>
    <t>1732</t>
  </si>
  <si>
    <t>1,067.20</t>
  </si>
  <si>
    <t>1,536,341.12</t>
  </si>
  <si>
    <t>1,168,000.00</t>
  </si>
  <si>
    <t>368,341.12</t>
  </si>
  <si>
    <t>1733</t>
  </si>
  <si>
    <t>ACS01-TLR</t>
  </si>
  <si>
    <t>(리뉴얼) 감초수 pH 밸런싱 클렌징 토너 150ml</t>
  </si>
  <si>
    <t>341.60</t>
  </si>
  <si>
    <t>491,767.36</t>
  </si>
  <si>
    <t>88,567.36</t>
  </si>
  <si>
    <t>1734</t>
  </si>
  <si>
    <t>766.80</t>
  </si>
  <si>
    <t>1,103,885.28</t>
  </si>
  <si>
    <t>792,000.00</t>
  </si>
  <si>
    <t>311,885.28</t>
  </si>
  <si>
    <t>1735</t>
  </si>
  <si>
    <t>3,834.00</t>
  </si>
  <si>
    <t>5,519,426.40</t>
  </si>
  <si>
    <t>3,960,000.00</t>
  </si>
  <si>
    <t>1,559,426.40</t>
  </si>
  <si>
    <t>1736</t>
  </si>
  <si>
    <t>575.10</t>
  </si>
  <si>
    <t>827,913.96</t>
  </si>
  <si>
    <t>594,000.00</t>
  </si>
  <si>
    <t>233,913.96</t>
  </si>
  <si>
    <t>1737</t>
  </si>
  <si>
    <t>525.00</t>
  </si>
  <si>
    <t>755,790.00</t>
  </si>
  <si>
    <t>412,380.00</t>
  </si>
  <si>
    <t>343,410.00</t>
  </si>
  <si>
    <t>45.4</t>
  </si>
  <si>
    <t>1738</t>
  </si>
  <si>
    <t>199.95</t>
  </si>
  <si>
    <t>287,848.02</t>
  </si>
  <si>
    <t>4,454.74</t>
  </si>
  <si>
    <t>191,553.64</t>
  </si>
  <si>
    <t>96,294.39</t>
  </si>
  <si>
    <t>1739</t>
  </si>
  <si>
    <t>1,023.00</t>
  </si>
  <si>
    <t>1,472,710.80</t>
  </si>
  <si>
    <t>979,999.99</t>
  </si>
  <si>
    <t>492,710.81</t>
  </si>
  <si>
    <t>1740</t>
  </si>
  <si>
    <t>2,470.40</t>
  </si>
  <si>
    <t>3,556,387.84</t>
  </si>
  <si>
    <t>676,387.84</t>
  </si>
  <si>
    <t>1741</t>
  </si>
  <si>
    <t>231.60</t>
  </si>
  <si>
    <t>333,411.36</t>
  </si>
  <si>
    <t>63,411.36</t>
  </si>
  <si>
    <t>1742</t>
  </si>
  <si>
    <t>386.00</t>
  </si>
  <si>
    <t>555,685.60</t>
  </si>
  <si>
    <t>105,685.60</t>
  </si>
  <si>
    <t>1743</t>
  </si>
  <si>
    <t>617.60</t>
  </si>
  <si>
    <t>889,096.96</t>
  </si>
  <si>
    <t>169,096.96</t>
  </si>
  <si>
    <t>1744</t>
  </si>
  <si>
    <t>347.40</t>
  </si>
  <si>
    <t>500,117.04</t>
  </si>
  <si>
    <t>405,000.00</t>
  </si>
  <si>
    <t>95,117.04</t>
  </si>
  <si>
    <t>1745</t>
  </si>
  <si>
    <t>1746</t>
  </si>
  <si>
    <t>1747</t>
  </si>
  <si>
    <t>391.20</t>
  </si>
  <si>
    <t>563,171.52</t>
  </si>
  <si>
    <t>144,262.43</t>
  </si>
  <si>
    <t>1748</t>
  </si>
  <si>
    <t>137.40</t>
  </si>
  <si>
    <t>197,801.04</t>
  </si>
  <si>
    <t>147,272.73</t>
  </si>
  <si>
    <t>50,528.31</t>
  </si>
  <si>
    <t>1749</t>
  </si>
  <si>
    <t>belifS08-S125</t>
  </si>
  <si>
    <t>뉴메로10 에센스 125ml</t>
  </si>
  <si>
    <t>빌리프</t>
  </si>
  <si>
    <t>19.34</t>
  </si>
  <si>
    <t>174.06</t>
  </si>
  <si>
    <t>250,576.78</t>
  </si>
  <si>
    <t>23,728.00</t>
  </si>
  <si>
    <t>213,552.00</t>
  </si>
  <si>
    <t>37,024.78</t>
  </si>
  <si>
    <t>1750</t>
  </si>
  <si>
    <t>2.85</t>
  </si>
  <si>
    <t>199.50</t>
  </si>
  <si>
    <t>287,200.20</t>
  </si>
  <si>
    <t>70,836.57</t>
  </si>
  <si>
    <t>1751</t>
  </si>
  <si>
    <t>258.00</t>
  </si>
  <si>
    <t>371,416.80</t>
  </si>
  <si>
    <t>276,400.00</t>
  </si>
  <si>
    <t>95,016.80</t>
  </si>
  <si>
    <t>1752</t>
  </si>
  <si>
    <t>2.66</t>
  </si>
  <si>
    <t>798.00</t>
  </si>
  <si>
    <t>1,148,800.80</t>
  </si>
  <si>
    <t>248,800.80</t>
  </si>
  <si>
    <t>1753</t>
  </si>
  <si>
    <t>109.40</t>
  </si>
  <si>
    <t>157,492.24</t>
  </si>
  <si>
    <t>117,727.27</t>
  </si>
  <si>
    <t>39,764.97</t>
  </si>
  <si>
    <t>1754</t>
  </si>
  <si>
    <t>88.60</t>
  </si>
  <si>
    <t>127,548.56</t>
  </si>
  <si>
    <t>96,000.00</t>
  </si>
  <si>
    <t>31,548.56</t>
  </si>
  <si>
    <t>1755</t>
  </si>
  <si>
    <t>BentonC20-F</t>
  </si>
  <si>
    <t>깊은 녹차 클렌징폼 120g</t>
  </si>
  <si>
    <t>3.68</t>
  </si>
  <si>
    <t>158,931.84</t>
  </si>
  <si>
    <t>38,931.84</t>
  </si>
  <si>
    <t>1756</t>
  </si>
  <si>
    <t>239.40</t>
  </si>
  <si>
    <t>344,640.24</t>
  </si>
  <si>
    <t>259,636.36</t>
  </si>
  <si>
    <t>85,003.88</t>
  </si>
  <si>
    <t>1757</t>
  </si>
  <si>
    <t>1.75</t>
  </si>
  <si>
    <t>87.50</t>
  </si>
  <si>
    <t>125,965.00</t>
  </si>
  <si>
    <t>95,454.55</t>
  </si>
  <si>
    <t>30,510.46</t>
  </si>
  <si>
    <t>1758</t>
  </si>
  <si>
    <t>BentonHS60-SP</t>
  </si>
  <si>
    <t>맥주 효모 샴푸 500ml</t>
  </si>
  <si>
    <t>740.00</t>
  </si>
  <si>
    <t>1,065,304.00</t>
  </si>
  <si>
    <t>803,636.36</t>
  </si>
  <si>
    <t>261,667.64</t>
  </si>
  <si>
    <t>1759</t>
  </si>
  <si>
    <t>175.72</t>
  </si>
  <si>
    <t>252,966.51</t>
  </si>
  <si>
    <t>8,181.99</t>
  </si>
  <si>
    <t>188,185.82</t>
  </si>
  <si>
    <t>64,780.69</t>
  </si>
  <si>
    <t>1760</t>
  </si>
  <si>
    <t>5.69</t>
  </si>
  <si>
    <t>284.50</t>
  </si>
  <si>
    <t>409,566.20</t>
  </si>
  <si>
    <t>99,338.93</t>
  </si>
  <si>
    <t>1761</t>
  </si>
  <si>
    <t>239,261.52</t>
  </si>
  <si>
    <t>181,363.64</t>
  </si>
  <si>
    <t>57,897.88</t>
  </si>
  <si>
    <t>1762</t>
  </si>
  <si>
    <t>1763</t>
  </si>
  <si>
    <t>330.40</t>
  </si>
  <si>
    <t>475,643.84</t>
  </si>
  <si>
    <t>118,643.84</t>
  </si>
  <si>
    <t>1764</t>
  </si>
  <si>
    <t>BentonS02-soothinggelR</t>
  </si>
  <si>
    <t>알로에 프로폴리스 수딩젤 100ml</t>
  </si>
  <si>
    <t>236.00</t>
  </si>
  <si>
    <t>339,745.60</t>
  </si>
  <si>
    <t>84,745.60</t>
  </si>
  <si>
    <t>1765</t>
  </si>
  <si>
    <t>BentonS02-T</t>
  </si>
  <si>
    <t>알로에 바하 스킨 토너 200ml</t>
  </si>
  <si>
    <t>4.84</t>
  </si>
  <si>
    <t>290.40</t>
  </si>
  <si>
    <t>418,059.84</t>
  </si>
  <si>
    <t>5,254.55</t>
  </si>
  <si>
    <t>315,272.72</t>
  </si>
  <si>
    <t>102,787.12</t>
  </si>
  <si>
    <t>1766</t>
  </si>
  <si>
    <t>864.00</t>
  </si>
  <si>
    <t>1,243,814.40</t>
  </si>
  <si>
    <t>942,545.44</t>
  </si>
  <si>
    <t>301,268.96</t>
  </si>
  <si>
    <t>1767</t>
  </si>
  <si>
    <t>617.40</t>
  </si>
  <si>
    <t>888,809.04</t>
  </si>
  <si>
    <t>659,454.54</t>
  </si>
  <si>
    <t>229,354.50</t>
  </si>
  <si>
    <t>1768</t>
  </si>
  <si>
    <t>81.70</t>
  </si>
  <si>
    <t>117,615.32</t>
  </si>
  <si>
    <t>89,090.91</t>
  </si>
  <si>
    <t>28,524.41</t>
  </si>
  <si>
    <t>1769</t>
  </si>
  <si>
    <t>4.96</t>
  </si>
  <si>
    <t>99.20</t>
  </si>
  <si>
    <t>142,808.32</t>
  </si>
  <si>
    <t>5,345.00</t>
  </si>
  <si>
    <t>106,900.00</t>
  </si>
  <si>
    <t>35,908.32</t>
  </si>
  <si>
    <t>1770</t>
  </si>
  <si>
    <t>BentonS20-SR</t>
  </si>
  <si>
    <t>깊은 녹차 세럼 35ml</t>
  </si>
  <si>
    <t>165.60</t>
  </si>
  <si>
    <t>238,397.76</t>
  </si>
  <si>
    <t>58,397.76</t>
  </si>
  <si>
    <t>1771</t>
  </si>
  <si>
    <t>148.80</t>
  </si>
  <si>
    <t>214,212.48</t>
  </si>
  <si>
    <t>160,350.00</t>
  </si>
  <si>
    <t>53,862.48</t>
  </si>
  <si>
    <t>1772</t>
  </si>
  <si>
    <t>7.50</t>
  </si>
  <si>
    <t>1,425.00</t>
  </si>
  <si>
    <t>2,051,430.00</t>
  </si>
  <si>
    <t>8,182.00</t>
  </si>
  <si>
    <t>1,554,580.00</t>
  </si>
  <si>
    <t>496,850.00</t>
  </si>
  <si>
    <t>1773</t>
  </si>
  <si>
    <t>4.17</t>
  </si>
  <si>
    <t>166.80</t>
  </si>
  <si>
    <t>240,125.28</t>
  </si>
  <si>
    <t>211,200.00</t>
  </si>
  <si>
    <t>28,925.28</t>
  </si>
  <si>
    <t>1774</t>
  </si>
  <si>
    <t>91.60</t>
  </si>
  <si>
    <t>131,867.36</t>
  </si>
  <si>
    <t>31,867.36</t>
  </si>
  <si>
    <t>1775</t>
  </si>
  <si>
    <t>BETS07-IR</t>
  </si>
  <si>
    <t>[리뉴얼] 비타비타 서클 제로 아이크림</t>
  </si>
  <si>
    <t>412.20</t>
  </si>
  <si>
    <t>593,403.12</t>
  </si>
  <si>
    <t>125,403.12</t>
  </si>
  <si>
    <t>1776</t>
  </si>
  <si>
    <t>2.98</t>
  </si>
  <si>
    <t>29.80</t>
  </si>
  <si>
    <t>42,900.08</t>
  </si>
  <si>
    <t>35,460.00</t>
  </si>
  <si>
    <t>7,440.08</t>
  </si>
  <si>
    <t>1777</t>
  </si>
  <si>
    <t>17.88</t>
  </si>
  <si>
    <t>25,740.05</t>
  </si>
  <si>
    <t>21,272.73</t>
  </si>
  <si>
    <t>4,467.32</t>
  </si>
  <si>
    <t>1778</t>
  </si>
  <si>
    <t>BNKP04-MAL1</t>
  </si>
  <si>
    <t>(리뉴얼코드확인) [1매입] 더 클린 비건 알로에 마스크</t>
  </si>
  <si>
    <t>25.20</t>
  </si>
  <si>
    <t>36,277.92</t>
  </si>
  <si>
    <t>29,520.00</t>
  </si>
  <si>
    <t>6,757.92</t>
  </si>
  <si>
    <t>1779</t>
  </si>
  <si>
    <t>14.00</t>
  </si>
  <si>
    <t>20,154.40</t>
  </si>
  <si>
    <t>16,400.00</t>
  </si>
  <si>
    <t>3,754.40</t>
  </si>
  <si>
    <t>1780</t>
  </si>
  <si>
    <t>8,061.76</t>
  </si>
  <si>
    <t>1,516.31</t>
  </si>
  <si>
    <t>1781</t>
  </si>
  <si>
    <t>19.50</t>
  </si>
  <si>
    <t>28,072.20</t>
  </si>
  <si>
    <t>11,672.20</t>
  </si>
  <si>
    <t>1782</t>
  </si>
  <si>
    <t>BNKP04-MP1</t>
  </si>
  <si>
    <t>(리뉴얼코드확인) [1매입] 더 클린 비건 마스크 펩타이드</t>
  </si>
  <si>
    <t>189,451.36</t>
  </si>
  <si>
    <t>327.41</t>
  </si>
  <si>
    <t>153,883.63</t>
  </si>
  <si>
    <t>35,567.73</t>
  </si>
  <si>
    <t>1783</t>
  </si>
  <si>
    <t>BNKP04-MS1</t>
  </si>
  <si>
    <t>(리뉴얼코드확인) [1매입] 더 클린 비건 시어버터 마스크</t>
  </si>
  <si>
    <t>19.60</t>
  </si>
  <si>
    <t>28,216.16</t>
  </si>
  <si>
    <t>22,960.00</t>
  </si>
  <si>
    <t>5,256.16</t>
  </si>
  <si>
    <t>1784</t>
  </si>
  <si>
    <t>BNKP04-MT1</t>
  </si>
  <si>
    <t>(리뉴얼코드확인) [1매입] 더 클린 비건 티트리 마스크</t>
  </si>
  <si>
    <t>72.80</t>
  </si>
  <si>
    <t>104,802.88</t>
  </si>
  <si>
    <t>19,711.98</t>
  </si>
  <si>
    <t>1785</t>
  </si>
  <si>
    <t>BNKP04-MV1</t>
  </si>
  <si>
    <t>(리뉴얼코드확인) [1매입] 더 클린 비건 비타민씨 마스크</t>
  </si>
  <si>
    <t>1,550</t>
  </si>
  <si>
    <t>434.00</t>
  </si>
  <si>
    <t>624,786.40</t>
  </si>
  <si>
    <t>327.46</t>
  </si>
  <si>
    <t>507,563.61</t>
  </si>
  <si>
    <t>117,222.80</t>
  </si>
  <si>
    <t>1786</t>
  </si>
  <si>
    <t>11.11</t>
  </si>
  <si>
    <t>111.10</t>
  </si>
  <si>
    <t>159,939.56</t>
  </si>
  <si>
    <t>74,600.00</t>
  </si>
  <si>
    <t>85,339.56</t>
  </si>
  <si>
    <t>1787</t>
  </si>
  <si>
    <t>BODP04-M</t>
  </si>
  <si>
    <t>[EN][4매입] 바이오 콜라겐 리얼 딥 마스크</t>
  </si>
  <si>
    <t>7,000</t>
  </si>
  <si>
    <t>54,460.00</t>
  </si>
  <si>
    <t>78,400,616.00</t>
  </si>
  <si>
    <t>42,000,000.00</t>
  </si>
  <si>
    <t>36,400,616.00</t>
  </si>
  <si>
    <t>1788</t>
  </si>
  <si>
    <t>2,139.50</t>
  </si>
  <si>
    <t>3,080,024.20</t>
  </si>
  <si>
    <t>1,430,024.20</t>
  </si>
  <si>
    <t>1789</t>
  </si>
  <si>
    <t>2,723.00</t>
  </si>
  <si>
    <t>3,920,030.80</t>
  </si>
  <si>
    <t>1,820,030.80</t>
  </si>
  <si>
    <t>1790</t>
  </si>
  <si>
    <t>BODS02-PAEU</t>
  </si>
  <si>
    <t>[EU]포어 타이트닝 콜라겐 앰플 50ml</t>
  </si>
  <si>
    <t>20.14</t>
  </si>
  <si>
    <t>181.26</t>
  </si>
  <si>
    <t>260,941.90</t>
  </si>
  <si>
    <t>63,000.00</t>
  </si>
  <si>
    <t>197,941.90</t>
  </si>
  <si>
    <t>75.9</t>
  </si>
  <si>
    <t>1791</t>
  </si>
  <si>
    <t>541.80</t>
  </si>
  <si>
    <t>779,975.28</t>
  </si>
  <si>
    <t>299,975.28</t>
  </si>
  <si>
    <t>1792</t>
  </si>
  <si>
    <t>BODS06-TPCn</t>
  </si>
  <si>
    <t>세라놀 겔 토너패드 60Pads</t>
  </si>
  <si>
    <t>2,709.00</t>
  </si>
  <si>
    <t>3,899,876.40</t>
  </si>
  <si>
    <t>1,499,876.40</t>
  </si>
  <si>
    <t>1793</t>
  </si>
  <si>
    <t>20.85</t>
  </si>
  <si>
    <t>30,015.66</t>
  </si>
  <si>
    <t>4,747.06</t>
  </si>
  <si>
    <t>23,735.30</t>
  </si>
  <si>
    <t>6,280.36</t>
  </si>
  <si>
    <t>1794</t>
  </si>
  <si>
    <t>G9S01-Cm</t>
  </si>
  <si>
    <t>화이트 인 모이스쳐 크림</t>
  </si>
  <si>
    <t>38.20</t>
  </si>
  <si>
    <t>54,992.72</t>
  </si>
  <si>
    <t>44,545.45</t>
  </si>
  <si>
    <t>10,447.27</t>
  </si>
  <si>
    <t>1795</t>
  </si>
  <si>
    <t>4.75</t>
  </si>
  <si>
    <t>95.00</t>
  </si>
  <si>
    <t>136,762.00</t>
  </si>
  <si>
    <t>110,000.00</t>
  </si>
  <si>
    <t>26,762.00</t>
  </si>
  <si>
    <t>1796</t>
  </si>
  <si>
    <t>G9S01-eyecream</t>
  </si>
  <si>
    <t>화이트인 밀크 캡슐 아이크림 30g</t>
  </si>
  <si>
    <t>190.00</t>
  </si>
  <si>
    <t>273,524.00</t>
  </si>
  <si>
    <t>236,363.64</t>
  </si>
  <si>
    <t>37,160.36</t>
  </si>
  <si>
    <t>13.6</t>
  </si>
  <si>
    <t>1797</t>
  </si>
  <si>
    <t>G9S01-toner</t>
  </si>
  <si>
    <t>화이트인 밀크 토너 300ml</t>
  </si>
  <si>
    <t>4.45</t>
  </si>
  <si>
    <t>64,062.20</t>
  </si>
  <si>
    <t>9,516.75</t>
  </si>
  <si>
    <t>1798</t>
  </si>
  <si>
    <t>G9S02-IP</t>
  </si>
  <si>
    <t>핑크 블러 하이드로겔 아이패치 120ea</t>
  </si>
  <si>
    <t>137.60</t>
  </si>
  <si>
    <t>198,088.96</t>
  </si>
  <si>
    <t>149,090.91</t>
  </si>
  <si>
    <t>48,998.05</t>
  </si>
  <si>
    <t>1799</t>
  </si>
  <si>
    <t>97.80</t>
  </si>
  <si>
    <t>140,792.88</t>
  </si>
  <si>
    <t>26,792.88</t>
  </si>
  <si>
    <t>1800</t>
  </si>
  <si>
    <t>229.83</t>
  </si>
  <si>
    <t>330,863.27</t>
  </si>
  <si>
    <t>267,900.00</t>
  </si>
  <si>
    <t>62,963.27</t>
  </si>
  <si>
    <t>1801</t>
  </si>
  <si>
    <t>1802</t>
  </si>
  <si>
    <t>HMBM21-BB27R</t>
  </si>
  <si>
    <t>모링가 세라마이드 비비크림 SPF30 PA++ 27 라이트 탄</t>
  </si>
  <si>
    <t>1803</t>
  </si>
  <si>
    <t>3.25</t>
  </si>
  <si>
    <t>97.50</t>
  </si>
  <si>
    <t>140,361.00</t>
  </si>
  <si>
    <t>29,088.27</t>
  </si>
  <si>
    <t>1804</t>
  </si>
  <si>
    <t>HMC01-NewBalmM</t>
  </si>
  <si>
    <t>올 클린 밤 만다린 120ml</t>
  </si>
  <si>
    <t>360.00</t>
  </si>
  <si>
    <t>518,256.00</t>
  </si>
  <si>
    <t>105,876.00</t>
  </si>
  <si>
    <t>1805</t>
  </si>
  <si>
    <t>1,020.00</t>
  </si>
  <si>
    <t>1,468,392.00</t>
  </si>
  <si>
    <t>6,530.00</t>
  </si>
  <si>
    <t>1,110,100.00</t>
  </si>
  <si>
    <t>358,292.00</t>
  </si>
  <si>
    <t>1806</t>
  </si>
  <si>
    <t>195.20</t>
  </si>
  <si>
    <t>281,009.92</t>
  </si>
  <si>
    <t>196,363.64</t>
  </si>
  <si>
    <t>84,646.28</t>
  </si>
  <si>
    <t>1807</t>
  </si>
  <si>
    <t>222.00</t>
  </si>
  <si>
    <t>319,591.20</t>
  </si>
  <si>
    <t>221,460.00</t>
  </si>
  <si>
    <t>98,131.20</t>
  </si>
  <si>
    <t>1808</t>
  </si>
  <si>
    <t>888.00</t>
  </si>
  <si>
    <t>1,278,364.80</t>
  </si>
  <si>
    <t>885,818.16</t>
  </si>
  <si>
    <t>392,546.64</t>
  </si>
  <si>
    <t>1809</t>
  </si>
  <si>
    <t>HMPBT-PKR</t>
  </si>
  <si>
    <t>(리뉴얼) 블랙티 마스크팩 110ml</t>
  </si>
  <si>
    <t>64.20</t>
  </si>
  <si>
    <t>92,422.32</t>
  </si>
  <si>
    <t>20,422.32</t>
  </si>
  <si>
    <t>1810</t>
  </si>
  <si>
    <t>132.20</t>
  </si>
  <si>
    <t>190,315.12</t>
  </si>
  <si>
    <t>57,951.48</t>
  </si>
  <si>
    <t>1811</t>
  </si>
  <si>
    <t>66.10</t>
  </si>
  <si>
    <t>95,157.56</t>
  </si>
  <si>
    <t>28,975.74</t>
  </si>
  <si>
    <t>1812</t>
  </si>
  <si>
    <t>HMS23-CMV</t>
  </si>
  <si>
    <t>알엑스 멀티 비타민 다크 스팟 크림 50ml</t>
  </si>
  <si>
    <t>75.00</t>
  </si>
  <si>
    <t>107,970.00</t>
  </si>
  <si>
    <t>75,272.73</t>
  </si>
  <si>
    <t>32,697.27</t>
  </si>
  <si>
    <t>1813</t>
  </si>
  <si>
    <t>611.00</t>
  </si>
  <si>
    <t>879,595.60</t>
  </si>
  <si>
    <t>620,000.00</t>
  </si>
  <si>
    <t>259,595.60</t>
  </si>
  <si>
    <t>1814</t>
  </si>
  <si>
    <t>116.60</t>
  </si>
  <si>
    <t>167,857.36</t>
  </si>
  <si>
    <t>117,100.00</t>
  </si>
  <si>
    <t>50,757.36</t>
  </si>
  <si>
    <t>1815</t>
  </si>
  <si>
    <t>HMS23-SABPR</t>
  </si>
  <si>
    <t>(리뉴얼) 알엑스 아하 바하 필링 세럼 35ml</t>
  </si>
  <si>
    <t>58.30</t>
  </si>
  <si>
    <t>83,928.68</t>
  </si>
  <si>
    <t>58,550.00</t>
  </si>
  <si>
    <t>25,378.68</t>
  </si>
  <si>
    <t>1816</t>
  </si>
  <si>
    <t>1817</t>
  </si>
  <si>
    <t>130,590.00</t>
  </si>
  <si>
    <t>-130,590.00</t>
  </si>
  <si>
    <t>1818</t>
  </si>
  <si>
    <t>IDCS01-Sr</t>
  </si>
  <si>
    <t>브라이트 사이드 업 30ml (리뉴얼)</t>
  </si>
  <si>
    <t>10.67</t>
  </si>
  <si>
    <t>320.10</t>
  </si>
  <si>
    <t>460,815.96</t>
  </si>
  <si>
    <t>11,753.00</t>
  </si>
  <si>
    <t>352,590.00</t>
  </si>
  <si>
    <t>108,225.96</t>
  </si>
  <si>
    <t>1819</t>
  </si>
  <si>
    <t>ISOP09-M1</t>
  </si>
  <si>
    <t>(리뉴얼코드확인)[1매] 블레미쉬 케어 마스크</t>
  </si>
  <si>
    <t>1.81</t>
  </si>
  <si>
    <t>10,422.70</t>
  </si>
  <si>
    <t>6,363.64</t>
  </si>
  <si>
    <t>4,059.07</t>
  </si>
  <si>
    <t>1820</t>
  </si>
  <si>
    <t>KAHIS01-Smb</t>
  </si>
  <si>
    <t>*KAHIS01-MR확인*링클 바운스 멀티 밤 9g</t>
  </si>
  <si>
    <t>560.00</t>
  </si>
  <si>
    <t>806,176.00</t>
  </si>
  <si>
    <t>14,891.00</t>
  </si>
  <si>
    <t>595,640.00</t>
  </si>
  <si>
    <t>210,536.00</t>
  </si>
  <si>
    <t>1821</t>
  </si>
  <si>
    <t>77.10</t>
  </si>
  <si>
    <t>110,993.16</t>
  </si>
  <si>
    <t>25,493.16</t>
  </si>
  <si>
    <t>1822</t>
  </si>
  <si>
    <t>47.80</t>
  </si>
  <si>
    <t>68,812.88</t>
  </si>
  <si>
    <t>45,090.91</t>
  </si>
  <si>
    <t>23,721.97</t>
  </si>
  <si>
    <t>1823</t>
  </si>
  <si>
    <t>MAFC02-OCr</t>
  </si>
  <si>
    <t>(리뉴얼)세이프 미 릴리프 모이스처 클렌징 오일 210ml</t>
  </si>
  <si>
    <t>71.70</t>
  </si>
  <si>
    <t>103,219.32</t>
  </si>
  <si>
    <t>24,673.87</t>
  </si>
  <si>
    <t>1824</t>
  </si>
  <si>
    <t>487.80</t>
  </si>
  <si>
    <t>702,236.88</t>
  </si>
  <si>
    <t>558,000.00</t>
  </si>
  <si>
    <t>144,236.88</t>
  </si>
  <si>
    <t>1825</t>
  </si>
  <si>
    <t>465.30</t>
  </si>
  <si>
    <t>669,845.88</t>
  </si>
  <si>
    <t>129,845.88</t>
  </si>
  <si>
    <t>1826</t>
  </si>
  <si>
    <t>175.50</t>
  </si>
  <si>
    <t>252,649.80</t>
  </si>
  <si>
    <t>200,000.00</t>
  </si>
  <si>
    <t>52,649.80</t>
  </si>
  <si>
    <t>1827</t>
  </si>
  <si>
    <t>114.60</t>
  </si>
  <si>
    <t>164,978.16</t>
  </si>
  <si>
    <t>36,796.34</t>
  </si>
  <si>
    <t>1828</t>
  </si>
  <si>
    <t>158.70</t>
  </si>
  <si>
    <t>228,464.52</t>
  </si>
  <si>
    <t>177,727.26</t>
  </si>
  <si>
    <t>50,737.26</t>
  </si>
  <si>
    <t>1829</t>
  </si>
  <si>
    <t>PTFP05-GSMM</t>
  </si>
  <si>
    <t>*모크라*[5매입]골드&amp;스네일 하이드로겔 마스크팩</t>
  </si>
  <si>
    <t>84.48</t>
  </si>
  <si>
    <t>121,617.41</t>
  </si>
  <si>
    <t>94,545.45</t>
  </si>
  <si>
    <t>27,071.95</t>
  </si>
  <si>
    <t>1830</t>
  </si>
  <si>
    <t>PTFP13-PKR</t>
  </si>
  <si>
    <t>*모크라*[5매입]카모마일 라이트닝 하이드로겔 페이스 마스크</t>
  </si>
  <si>
    <t>480,250.56</t>
  </si>
  <si>
    <t>109,341.47</t>
  </si>
  <si>
    <t>1831</t>
  </si>
  <si>
    <t>3.44</t>
  </si>
  <si>
    <t>34.40</t>
  </si>
  <si>
    <t>49,522.24</t>
  </si>
  <si>
    <t>11,340.42</t>
  </si>
  <si>
    <t>1832</t>
  </si>
  <si>
    <t>PYBS16-BW</t>
  </si>
  <si>
    <t>키즈 엔 베이비 워시 스위트오렌지 590ml</t>
  </si>
  <si>
    <t>46,211.16</t>
  </si>
  <si>
    <t>33,000.00</t>
  </si>
  <si>
    <t>13,211.16</t>
  </si>
  <si>
    <t>1833</t>
  </si>
  <si>
    <t>PYBS18-MHCR</t>
  </si>
  <si>
    <t>*리뉴얼 퀵 모이스쳐라이징 프로페셔널 핸드크림 50ml</t>
  </si>
  <si>
    <t>132.81</t>
  </si>
  <si>
    <t>191,193.28</t>
  </si>
  <si>
    <t>159,600.00</t>
  </si>
  <si>
    <t>31,593.28</t>
  </si>
  <si>
    <t>1834</t>
  </si>
  <si>
    <t>5.25</t>
  </si>
  <si>
    <t>831,369.00</t>
  </si>
  <si>
    <t>138,369.00</t>
  </si>
  <si>
    <t>1835</t>
  </si>
  <si>
    <t>1,155.00</t>
  </si>
  <si>
    <t>1,662,738.00</t>
  </si>
  <si>
    <t>276,738.00</t>
  </si>
  <si>
    <t>1836</t>
  </si>
  <si>
    <t>1,078.30</t>
  </si>
  <si>
    <t>1,552,320.68</t>
  </si>
  <si>
    <t>1,291,500.00</t>
  </si>
  <si>
    <t>260,820.68</t>
  </si>
  <si>
    <t>1837</t>
  </si>
  <si>
    <t>420.00</t>
  </si>
  <si>
    <t>604,632.00</t>
  </si>
  <si>
    <t>100,632.00</t>
  </si>
  <si>
    <t>1838</t>
  </si>
  <si>
    <t>PYC12-FACN</t>
  </si>
  <si>
    <t>(변경예정) 진정 아크네 클렌징폼 100ml</t>
  </si>
  <si>
    <t>3.21</t>
  </si>
  <si>
    <t>417.30</t>
  </si>
  <si>
    <t>600,745.08</t>
  </si>
  <si>
    <t>507,000.00</t>
  </si>
  <si>
    <t>93,745.08</t>
  </si>
  <si>
    <t>1839</t>
  </si>
  <si>
    <t>249.66</t>
  </si>
  <si>
    <t>359,410.54</t>
  </si>
  <si>
    <t>5,107.51</t>
  </si>
  <si>
    <t>291,128.00</t>
  </si>
  <si>
    <t>68,282.54</t>
  </si>
  <si>
    <t>1840</t>
  </si>
  <si>
    <t>1,540.00</t>
  </si>
  <si>
    <t>2,216,984.00</t>
  </si>
  <si>
    <t>1,848,000.00</t>
  </si>
  <si>
    <t>368,984.00</t>
  </si>
  <si>
    <t>1841</t>
  </si>
  <si>
    <t>513.70</t>
  </si>
  <si>
    <t>739,522.52</t>
  </si>
  <si>
    <t>5,498.18</t>
  </si>
  <si>
    <t>604,800.00</t>
  </si>
  <si>
    <t>134,722.52</t>
  </si>
  <si>
    <t>1842</t>
  </si>
  <si>
    <t>196,505.40</t>
  </si>
  <si>
    <t>32,705.40</t>
  </si>
  <si>
    <t>1843</t>
  </si>
  <si>
    <t>367.50</t>
  </si>
  <si>
    <t>529,053.00</t>
  </si>
  <si>
    <t>163,653.00</t>
  </si>
  <si>
    <t>1844</t>
  </si>
  <si>
    <t>214.82</t>
  </si>
  <si>
    <t>309,254.87</t>
  </si>
  <si>
    <t>51,654.87</t>
  </si>
  <si>
    <t>1845</t>
  </si>
  <si>
    <t>840.00</t>
  </si>
  <si>
    <t>1,209,264.00</t>
  </si>
  <si>
    <t>201,264.00</t>
  </si>
  <si>
    <t>1846</t>
  </si>
  <si>
    <t>941.80</t>
  </si>
  <si>
    <t>1,355,815.28</t>
  </si>
  <si>
    <t>1,130,500.00</t>
  </si>
  <si>
    <t>225,315.28</t>
  </si>
  <si>
    <t>1847</t>
  </si>
  <si>
    <t>3.79</t>
  </si>
  <si>
    <t>1,288.60</t>
  </si>
  <si>
    <t>1,855,068.56</t>
  </si>
  <si>
    <t>1,547,000.00</t>
  </si>
  <si>
    <t>308,068.56</t>
  </si>
  <si>
    <t>1848</t>
  </si>
  <si>
    <t>280.20</t>
  </si>
  <si>
    <t>403,375.92</t>
  </si>
  <si>
    <t>336,000.00</t>
  </si>
  <si>
    <t>67,375.92</t>
  </si>
  <si>
    <t>1849</t>
  </si>
  <si>
    <t>1,958.00</t>
  </si>
  <si>
    <t>2,818,736.80</t>
  </si>
  <si>
    <t>1,740,000.00</t>
  </si>
  <si>
    <t>1,078,736.80</t>
  </si>
  <si>
    <t>1850</t>
  </si>
  <si>
    <t>40.85</t>
  </si>
  <si>
    <t>58,807.66</t>
  </si>
  <si>
    <t>9,310.00</t>
  </si>
  <si>
    <t>46,550.00</t>
  </si>
  <si>
    <t>12,257.66</t>
  </si>
  <si>
    <t>1851</t>
  </si>
  <si>
    <t>1,587.80</t>
  </si>
  <si>
    <t>2,285,796.88</t>
  </si>
  <si>
    <t>1,904,000.00</t>
  </si>
  <si>
    <t>381,796.88</t>
  </si>
  <si>
    <t>1852</t>
  </si>
  <si>
    <t>788.00</t>
  </si>
  <si>
    <t>1,134,404.80</t>
  </si>
  <si>
    <t>189,404.80</t>
  </si>
  <si>
    <t>1853</t>
  </si>
  <si>
    <t>10.21</t>
  </si>
  <si>
    <t>3,063.00</t>
  </si>
  <si>
    <t>4,409,494.80</t>
  </si>
  <si>
    <t>3,675,000.00</t>
  </si>
  <si>
    <t>734,494.80</t>
  </si>
  <si>
    <t>1854</t>
  </si>
  <si>
    <t>1,583.13</t>
  </si>
  <si>
    <t>2,279,073.95</t>
  </si>
  <si>
    <t>5,532.27</t>
  </si>
  <si>
    <t>1,875,440.00</t>
  </si>
  <si>
    <t>403,633.95</t>
  </si>
  <si>
    <t>1855</t>
  </si>
  <si>
    <t>1,340</t>
  </si>
  <si>
    <t>1.17</t>
  </si>
  <si>
    <t>1,567.80</t>
  </si>
  <si>
    <t>2,257,004.88</t>
  </si>
  <si>
    <t>1,876,000.00</t>
  </si>
  <si>
    <t>381,004.88</t>
  </si>
  <si>
    <t>1856</t>
  </si>
  <si>
    <t>644.30</t>
  </si>
  <si>
    <t>927,534.28</t>
  </si>
  <si>
    <t>773,500.00</t>
  </si>
  <si>
    <t>154,034.28</t>
  </si>
  <si>
    <t>1857</t>
  </si>
  <si>
    <t>652.80</t>
  </si>
  <si>
    <t>939,770.88</t>
  </si>
  <si>
    <t>784,000.00</t>
  </si>
  <si>
    <t>155,770.88</t>
  </si>
  <si>
    <t>1858</t>
  </si>
  <si>
    <t>13.06</t>
  </si>
  <si>
    <t>522.40</t>
  </si>
  <si>
    <t>752,047.04</t>
  </si>
  <si>
    <t>112,047.04</t>
  </si>
  <si>
    <t>1859</t>
  </si>
  <si>
    <t>32.65</t>
  </si>
  <si>
    <t>783.60</t>
  </si>
  <si>
    <t>1,128,070.56</t>
  </si>
  <si>
    <t>168,070.56</t>
  </si>
  <si>
    <t>1860</t>
  </si>
  <si>
    <t>11.75</t>
  </si>
  <si>
    <t>470.00</t>
  </si>
  <si>
    <t>676,612.00</t>
  </si>
  <si>
    <t>100,612.00</t>
  </si>
  <si>
    <t>1861</t>
  </si>
  <si>
    <t>367.20</t>
  </si>
  <si>
    <t>528,621.12</t>
  </si>
  <si>
    <t>4,818.33</t>
  </si>
  <si>
    <t>433,650.00</t>
  </si>
  <si>
    <t>94,971.12</t>
  </si>
  <si>
    <t>1862</t>
  </si>
  <si>
    <t>88,053.00</t>
  </si>
  <si>
    <t>1863</t>
  </si>
  <si>
    <t>394.20</t>
  </si>
  <si>
    <t>567,490.32</t>
  </si>
  <si>
    <t>94,990.32</t>
  </si>
  <si>
    <t>1864</t>
  </si>
  <si>
    <t>1,541.10</t>
  </si>
  <si>
    <t>2,218,567.56</t>
  </si>
  <si>
    <t>370,567.56</t>
  </si>
  <si>
    <t>1865</t>
  </si>
  <si>
    <t>13.13</t>
  </si>
  <si>
    <t>1,969.50</t>
  </si>
  <si>
    <t>2,835,292.20</t>
  </si>
  <si>
    <t>2,362,500.00</t>
  </si>
  <si>
    <t>472,792.20</t>
  </si>
  <si>
    <t>1866</t>
  </si>
  <si>
    <t>140.00</t>
  </si>
  <si>
    <t>201,544.00</t>
  </si>
  <si>
    <t>43,544.00</t>
  </si>
  <si>
    <t>1867</t>
  </si>
  <si>
    <t>474,000.00</t>
  </si>
  <si>
    <t>130,632.00</t>
  </si>
  <si>
    <t>1868</t>
  </si>
  <si>
    <t>70.00</t>
  </si>
  <si>
    <t>100,772.00</t>
  </si>
  <si>
    <t>79,000.00</t>
  </si>
  <si>
    <t>21,772.00</t>
  </si>
  <si>
    <t>1869</t>
  </si>
  <si>
    <t>PYS16-E</t>
  </si>
  <si>
    <t>키즈 엔 베이비 페이스로션 스위트오렌지 200ml</t>
  </si>
  <si>
    <t>105.26</t>
  </si>
  <si>
    <t>151,532.30</t>
  </si>
  <si>
    <t>5,900.00</t>
  </si>
  <si>
    <t>112,100.00</t>
  </si>
  <si>
    <t>39,432.30</t>
  </si>
  <si>
    <t>1870</t>
  </si>
  <si>
    <t>26,422.32</t>
  </si>
  <si>
    <t>1871</t>
  </si>
  <si>
    <t>408.10</t>
  </si>
  <si>
    <t>587,500.76</t>
  </si>
  <si>
    <t>97,500.76</t>
  </si>
  <si>
    <t>1872</t>
  </si>
  <si>
    <t>47,857.36</t>
  </si>
  <si>
    <t>1873</t>
  </si>
  <si>
    <t>11.09</t>
  </si>
  <si>
    <t>887.20</t>
  </si>
  <si>
    <t>1,277,213.12</t>
  </si>
  <si>
    <t>12,346.26</t>
  </si>
  <si>
    <t>987,701.00</t>
  </si>
  <si>
    <t>289,512.12</t>
  </si>
  <si>
    <t>1874</t>
  </si>
  <si>
    <t>1,584.60</t>
  </si>
  <si>
    <t>2,281,190.16</t>
  </si>
  <si>
    <t>1,797,400.00</t>
  </si>
  <si>
    <t>483,790.16</t>
  </si>
  <si>
    <t>1875</t>
  </si>
  <si>
    <t>141.60</t>
  </si>
  <si>
    <t>203,847.36</t>
  </si>
  <si>
    <t>148,200.00</t>
  </si>
  <si>
    <t>55,647.36</t>
  </si>
  <si>
    <t>1876</t>
  </si>
  <si>
    <t>132,400.00</t>
  </si>
  <si>
    <t>35,457.36</t>
  </si>
  <si>
    <t>1877</t>
  </si>
  <si>
    <t>283.56</t>
  </si>
  <si>
    <t>408,212.98</t>
  </si>
  <si>
    <t>214,200.00</t>
  </si>
  <si>
    <t>194,012.98</t>
  </si>
  <si>
    <t>1878</t>
  </si>
  <si>
    <t>233.40</t>
  </si>
  <si>
    <t>336,002.64</t>
  </si>
  <si>
    <t>115,502.64</t>
  </si>
  <si>
    <t>1879</t>
  </si>
  <si>
    <t>1,244.60</t>
  </si>
  <si>
    <t>1,791,726.16</t>
  </si>
  <si>
    <t>1,250,200.00</t>
  </si>
  <si>
    <t>541,526.16</t>
  </si>
  <si>
    <t>1880</t>
  </si>
  <si>
    <t>9.72</t>
  </si>
  <si>
    <t>419,787.36</t>
  </si>
  <si>
    <t>204,900.00</t>
  </si>
  <si>
    <t>214,887.36</t>
  </si>
  <si>
    <t>51.2</t>
  </si>
  <si>
    <t>1881</t>
  </si>
  <si>
    <t>278.00</t>
  </si>
  <si>
    <t>400,208.80</t>
  </si>
  <si>
    <t>325,500.00</t>
  </si>
  <si>
    <t>74,708.80</t>
  </si>
  <si>
    <t>1882</t>
  </si>
  <si>
    <t>583.80</t>
  </si>
  <si>
    <t>840,438.48</t>
  </si>
  <si>
    <t>112,438.48</t>
  </si>
  <si>
    <t>1883</t>
  </si>
  <si>
    <t>959.10</t>
  </si>
  <si>
    <t>1,380,720.36</t>
  </si>
  <si>
    <t>1,255,800.00</t>
  </si>
  <si>
    <t>124,920.36</t>
  </si>
  <si>
    <t>1884</t>
  </si>
  <si>
    <t>355.60</t>
  </si>
  <si>
    <t>511,921.76</t>
  </si>
  <si>
    <t>175,921.76</t>
  </si>
  <si>
    <t>1885</t>
  </si>
  <si>
    <t>3,022.60</t>
  </si>
  <si>
    <t>4,351,334.96</t>
  </si>
  <si>
    <t>3,196,000.00</t>
  </si>
  <si>
    <t>1,155,334.96</t>
  </si>
  <si>
    <t>1886</t>
  </si>
  <si>
    <t>466.80</t>
  </si>
  <si>
    <t>672,005.28</t>
  </si>
  <si>
    <t>262,205.28</t>
  </si>
  <si>
    <t>1887</t>
  </si>
  <si>
    <t>208.50</t>
  </si>
  <si>
    <t>300,156.60</t>
  </si>
  <si>
    <t>95,256.60</t>
  </si>
  <si>
    <t>1888</t>
  </si>
  <si>
    <t>533.60</t>
  </si>
  <si>
    <t>768,170.56</t>
  </si>
  <si>
    <t>264,170.56</t>
  </si>
  <si>
    <t>1889</t>
  </si>
  <si>
    <t>8.22</t>
  </si>
  <si>
    <t>493.20</t>
  </si>
  <si>
    <t>710,010.72</t>
  </si>
  <si>
    <t>206,010.72</t>
  </si>
  <si>
    <t>1890</t>
  </si>
  <si>
    <t>207,900.00</t>
  </si>
  <si>
    <t>92,256.60</t>
  </si>
  <si>
    <t>1891</t>
  </si>
  <si>
    <t>11,550.00</t>
  </si>
  <si>
    <t>16,627,380.00</t>
  </si>
  <si>
    <t>11,952,500.00</t>
  </si>
  <si>
    <t>4,674,880.00</t>
  </si>
  <si>
    <t>1892</t>
  </si>
  <si>
    <t>1.06</t>
  </si>
  <si>
    <t>31.80</t>
  </si>
  <si>
    <t>45,779.28</t>
  </si>
  <si>
    <t>8,142.92</t>
  </si>
  <si>
    <t>1893</t>
  </si>
  <si>
    <t>secretKC08-Lemondtocr</t>
  </si>
  <si>
    <t>레몬 스파클링 필링 젤 150ml</t>
  </si>
  <si>
    <t>162.90</t>
  </si>
  <si>
    <t>234,510.84</t>
  </si>
  <si>
    <t>200,100.00</t>
  </si>
  <si>
    <t>34,410.84</t>
  </si>
  <si>
    <t>1894</t>
  </si>
  <si>
    <t>secretKS03-E</t>
  </si>
  <si>
    <t>스노우 화이트 밀키 로션 120g</t>
  </si>
  <si>
    <t>59.00</t>
  </si>
  <si>
    <t>84,936.40</t>
  </si>
  <si>
    <t>7,250.00</t>
  </si>
  <si>
    <t>72,500.00</t>
  </si>
  <si>
    <t>12,436.40</t>
  </si>
  <si>
    <t>14.6</t>
  </si>
  <si>
    <t>1895</t>
  </si>
  <si>
    <t>390.40</t>
  </si>
  <si>
    <t>562,019.84</t>
  </si>
  <si>
    <t>4,036.00</t>
  </si>
  <si>
    <t>322,880.00</t>
  </si>
  <si>
    <t>239,139.84</t>
  </si>
  <si>
    <t>1896</t>
  </si>
  <si>
    <t>154.44</t>
  </si>
  <si>
    <t>222,331.82</t>
  </si>
  <si>
    <t>46,831.82</t>
  </si>
  <si>
    <t>1897</t>
  </si>
  <si>
    <t>433.00</t>
  </si>
  <si>
    <t>623,346.80</t>
  </si>
  <si>
    <t>103,346.80</t>
  </si>
  <si>
    <t>1898</t>
  </si>
  <si>
    <t>166.26</t>
  </si>
  <si>
    <t>239,347.90</t>
  </si>
  <si>
    <t>62,547.90</t>
  </si>
  <si>
    <t>1899</t>
  </si>
  <si>
    <t>5.87</t>
  </si>
  <si>
    <t>46.96</t>
  </si>
  <si>
    <t>67,603.62</t>
  </si>
  <si>
    <t>49,920.00</t>
  </si>
  <si>
    <t>17,683.62</t>
  </si>
  <si>
    <t>1900</t>
  </si>
  <si>
    <t>570.60</t>
  </si>
  <si>
    <t>821,435.76</t>
  </si>
  <si>
    <t>648,000.00</t>
  </si>
  <si>
    <t>173,435.76</t>
  </si>
  <si>
    <t>IN00394644</t>
  </si>
  <si>
    <t>1901</t>
  </si>
  <si>
    <t>1,997.10</t>
  </si>
  <si>
    <t>2,875,025.16</t>
  </si>
  <si>
    <t>2,268,000.00</t>
  </si>
  <si>
    <t>607,025.16</t>
  </si>
  <si>
    <t>1902</t>
  </si>
  <si>
    <t>NBS03-TP5</t>
  </si>
  <si>
    <t>(NBS03-TP5R) 5번 글루타치온C 흔적 필름패드 70Pads</t>
  </si>
  <si>
    <t>591.20</t>
  </si>
  <si>
    <t>851,091.52</t>
  </si>
  <si>
    <t>672,000.00</t>
  </si>
  <si>
    <t>179,091.52</t>
  </si>
  <si>
    <t>1903</t>
  </si>
  <si>
    <t>950.40</t>
  </si>
  <si>
    <t>1,368,195.84</t>
  </si>
  <si>
    <t>288,195.84</t>
  </si>
  <si>
    <t>1904</t>
  </si>
  <si>
    <t>NBS08-A5</t>
  </si>
  <si>
    <t>(NBS08-A5R) 5번 글루타치온C 흔적 앰플샷 30ml</t>
  </si>
  <si>
    <t>915.04</t>
  </si>
  <si>
    <t>1,317,291.58</t>
  </si>
  <si>
    <t>940,800.00</t>
  </si>
  <si>
    <t>376,491.58</t>
  </si>
  <si>
    <t>1905</t>
  </si>
  <si>
    <t>NBSM06-HE1</t>
  </si>
  <si>
    <t>1번 청초 진정맑은 물막선크림 SPF50+ PA++++</t>
  </si>
  <si>
    <t>5,838.18</t>
  </si>
  <si>
    <t>525,436.36</t>
  </si>
  <si>
    <t>363,372.68</t>
  </si>
  <si>
    <t>1906</t>
  </si>
  <si>
    <t>288.12</t>
  </si>
  <si>
    <t>414,777.55</t>
  </si>
  <si>
    <t>87,177.55</t>
  </si>
  <si>
    <t>1907</t>
  </si>
  <si>
    <t>336.70</t>
  </si>
  <si>
    <t>484,544.97</t>
  </si>
  <si>
    <t>99,544.97</t>
  </si>
  <si>
    <t>IN00394640</t>
  </si>
  <si>
    <t>1908</t>
  </si>
  <si>
    <t>2,855.00</t>
  </si>
  <si>
    <t>4,108,630.50</t>
  </si>
  <si>
    <t>3,250,000.00</t>
  </si>
  <si>
    <t>858,630.50</t>
  </si>
  <si>
    <t>1909</t>
  </si>
  <si>
    <t>MECUP06-M</t>
  </si>
  <si>
    <t>(단종)[30매입] 슈퍼시카데일리퀵마스크</t>
  </si>
  <si>
    <t>480,083.76</t>
  </si>
  <si>
    <t>384,000.00</t>
  </si>
  <si>
    <t>96,083.76</t>
  </si>
  <si>
    <t>1910</t>
  </si>
  <si>
    <t>2,100.00</t>
  </si>
  <si>
    <t>3,022,110.00</t>
  </si>
  <si>
    <t>622,110.00</t>
  </si>
  <si>
    <t>1911</t>
  </si>
  <si>
    <t>MECUP14-M4EUP</t>
  </si>
  <si>
    <t>[EUP] 코직애씨드 터메릭 브라이트닝 겔 마스크 (4매입)</t>
  </si>
  <si>
    <t>757.20</t>
  </si>
  <si>
    <t>1,089,686.52</t>
  </si>
  <si>
    <t>6,400.00</t>
  </si>
  <si>
    <t>768,000.00</t>
  </si>
  <si>
    <t>321,686.52</t>
  </si>
  <si>
    <t>1912</t>
  </si>
  <si>
    <t>754.40</t>
  </si>
  <si>
    <t>1,085,657.04</t>
  </si>
  <si>
    <t>875,600.00</t>
  </si>
  <si>
    <t>210,057.04</t>
  </si>
  <si>
    <t>1913</t>
  </si>
  <si>
    <t>886.80</t>
  </si>
  <si>
    <t>1,276,193.88</t>
  </si>
  <si>
    <t>1,007,520.00</t>
  </si>
  <si>
    <t>268,673.88</t>
  </si>
  <si>
    <t>1914</t>
  </si>
  <si>
    <t>861.60</t>
  </si>
  <si>
    <t>1,239,928.56</t>
  </si>
  <si>
    <t>1,006,560.00</t>
  </si>
  <si>
    <t>233,368.56</t>
  </si>
  <si>
    <t>1915</t>
  </si>
  <si>
    <t>2,493,672.48</t>
  </si>
  <si>
    <t>2,001,600.00</t>
  </si>
  <si>
    <t>492,072.48</t>
  </si>
  <si>
    <t>1916</t>
  </si>
  <si>
    <t>1,734.00</t>
  </si>
  <si>
    <t>2,495,399.40</t>
  </si>
  <si>
    <t>2,030,000.00</t>
  </si>
  <si>
    <t>465,399.40</t>
  </si>
  <si>
    <t>1917</t>
  </si>
  <si>
    <t>MECUS08-A2000</t>
  </si>
  <si>
    <t>원데이 엑소좀 샷 모공 앰플 2000 30ml</t>
  </si>
  <si>
    <t>2,140.00</t>
  </si>
  <si>
    <t>3,079,674.00</t>
  </si>
  <si>
    <t>2,433,750.00</t>
  </si>
  <si>
    <t>645,924.00</t>
  </si>
  <si>
    <t>1918</t>
  </si>
  <si>
    <t>1,444.50</t>
  </si>
  <si>
    <t>2,078,779.95</t>
  </si>
  <si>
    <t>1,641,000.00</t>
  </si>
  <si>
    <t>437,779.95</t>
  </si>
  <si>
    <t>1919</t>
  </si>
  <si>
    <t>MECUS08-S</t>
  </si>
  <si>
    <t>제로 모공 원데이 세럼 30ml</t>
  </si>
  <si>
    <t>819.72</t>
  </si>
  <si>
    <t>1,179,659.05</t>
  </si>
  <si>
    <t>954,720.00</t>
  </si>
  <si>
    <t>224,939.05</t>
  </si>
  <si>
    <t>1920</t>
  </si>
  <si>
    <t>91.08</t>
  </si>
  <si>
    <t>131,073.23</t>
  </si>
  <si>
    <t>106,080.00</t>
  </si>
  <si>
    <t>24,993.23</t>
  </si>
  <si>
    <t>1921</t>
  </si>
  <si>
    <t>MECUS09-A</t>
  </si>
  <si>
    <t>딥 비타 씨 앰플 2.0 30g</t>
  </si>
  <si>
    <t>3,108,456.00</t>
  </si>
  <si>
    <t>12,450.00</t>
  </si>
  <si>
    <t>2,490,000.00</t>
  </si>
  <si>
    <t>618,456.00</t>
  </si>
  <si>
    <t>1922</t>
  </si>
  <si>
    <t>1,120</t>
  </si>
  <si>
    <t>10.33</t>
  </si>
  <si>
    <t>11,569.60</t>
  </si>
  <si>
    <t>16,649,811.36</t>
  </si>
  <si>
    <t>13,440,000.00</t>
  </si>
  <si>
    <t>3,209,811.36</t>
  </si>
  <si>
    <t>1923</t>
  </si>
  <si>
    <t>2,778.00</t>
  </si>
  <si>
    <t>3,997,819.80</t>
  </si>
  <si>
    <t>3,189,000.00</t>
  </si>
  <si>
    <t>808,819.80</t>
  </si>
  <si>
    <t>1924</t>
  </si>
  <si>
    <t>3,003.00</t>
  </si>
  <si>
    <t>4,321,617.30</t>
  </si>
  <si>
    <t>3,450,000.00</t>
  </si>
  <si>
    <t>871,617.30</t>
  </si>
  <si>
    <t>1925</t>
  </si>
  <si>
    <t>5.88</t>
  </si>
  <si>
    <t>1,269,286.20</t>
  </si>
  <si>
    <t>1,028,250.00</t>
  </si>
  <si>
    <t>241,036.20</t>
  </si>
  <si>
    <t>1926</t>
  </si>
  <si>
    <t>4,956.00</t>
  </si>
  <si>
    <t>7,132,179.60</t>
  </si>
  <si>
    <t>5,642,000.00</t>
  </si>
  <si>
    <t>1,490,179.60</t>
  </si>
  <si>
    <t>1927</t>
  </si>
  <si>
    <t>1,575.00</t>
  </si>
  <si>
    <t>2,266,582.50</t>
  </si>
  <si>
    <t>1,800,000.00</t>
  </si>
  <si>
    <t>466,582.50</t>
  </si>
  <si>
    <t>1928</t>
  </si>
  <si>
    <t>14,920.00</t>
  </si>
  <si>
    <t>21,471,372.00</t>
  </si>
  <si>
    <t>17,200,000.00</t>
  </si>
  <si>
    <t>4,271,372.00</t>
  </si>
  <si>
    <t>1929</t>
  </si>
  <si>
    <t>3,338.80</t>
  </si>
  <si>
    <t>4,804,867.08</t>
  </si>
  <si>
    <t>3,821,600.00</t>
  </si>
  <si>
    <t>983,267.08</t>
  </si>
  <si>
    <t>1930</t>
  </si>
  <si>
    <t>1,160</t>
  </si>
  <si>
    <t>8,073.60</t>
  </si>
  <si>
    <t>11,592,882.24</t>
  </si>
  <si>
    <t>9,744,000.00</t>
  </si>
  <si>
    <t>1,848,882.24</t>
  </si>
  <si>
    <t>IN00393803</t>
  </si>
  <si>
    <t>1931</t>
  </si>
  <si>
    <t>7,882.20</t>
  </si>
  <si>
    <t>11,318,050.98</t>
  </si>
  <si>
    <t>9,500,400.00</t>
  </si>
  <si>
    <t>1,817,650.98</t>
  </si>
  <si>
    <t>1932</t>
  </si>
  <si>
    <t>5,878.56</t>
  </si>
  <si>
    <t>8,441,024.30</t>
  </si>
  <si>
    <t>7,086,240.00</t>
  </si>
  <si>
    <t>1,354,784.30</t>
  </si>
  <si>
    <t>1933</t>
  </si>
  <si>
    <t>3,533.40</t>
  </si>
  <si>
    <t>5,073,609.06</t>
  </si>
  <si>
    <t>4,258,800.00</t>
  </si>
  <si>
    <t>814,809.06</t>
  </si>
  <si>
    <t>1934</t>
  </si>
  <si>
    <t>2,784.00</t>
  </si>
  <si>
    <t>3,997,545.60</t>
  </si>
  <si>
    <t>637,545.60</t>
  </si>
  <si>
    <t>1935</t>
  </si>
  <si>
    <t>12,076.80</t>
  </si>
  <si>
    <t>17,341,077.12</t>
  </si>
  <si>
    <t>14,565,600.00</t>
  </si>
  <si>
    <t>2,775,477.12</t>
  </si>
  <si>
    <t>1936</t>
  </si>
  <si>
    <t>5,040</t>
  </si>
  <si>
    <t>29,836.80</t>
  </si>
  <si>
    <t>42,842,661.12</t>
  </si>
  <si>
    <t>35,985,600.00</t>
  </si>
  <si>
    <t>6,857,061.12</t>
  </si>
  <si>
    <t>1937</t>
  </si>
  <si>
    <t>0.60</t>
  </si>
  <si>
    <t>861.54</t>
  </si>
  <si>
    <t>-427,538.46</t>
  </si>
  <si>
    <t>-49,624.9</t>
  </si>
  <si>
    <t>1938</t>
  </si>
  <si>
    <t>13,616.00</t>
  </si>
  <si>
    <t>19,551,214.40</t>
  </si>
  <si>
    <t>16,422,000.00</t>
  </si>
  <si>
    <t>3,129,214.40</t>
  </si>
  <si>
    <t>1939</t>
  </si>
  <si>
    <t>717.95</t>
  </si>
  <si>
    <t>-356,282.05</t>
  </si>
  <si>
    <t>1940</t>
  </si>
  <si>
    <t>4,012.80</t>
  </si>
  <si>
    <t>5,761,979.52</t>
  </si>
  <si>
    <t>923,579.52</t>
  </si>
  <si>
    <t>1941</t>
  </si>
  <si>
    <t>3,344.00</t>
  </si>
  <si>
    <t>4,801,649.60</t>
  </si>
  <si>
    <t>769,649.60</t>
  </si>
  <si>
    <t>1942</t>
  </si>
  <si>
    <t>5,401,855.80</t>
  </si>
  <si>
    <t>865,855.80</t>
  </si>
  <si>
    <t>1943</t>
  </si>
  <si>
    <t>3,781,299.06</t>
  </si>
  <si>
    <t>5,040.00</t>
  </si>
  <si>
    <t>2,116,800.00</t>
  </si>
  <si>
    <t>1,664,499.06</t>
  </si>
  <si>
    <t>44.0</t>
  </si>
  <si>
    <t>1944</t>
  </si>
  <si>
    <t>668.96</t>
  </si>
  <si>
    <t>960,559.66</t>
  </si>
  <si>
    <t>806,820.00</t>
  </si>
  <si>
    <t>153,739.66</t>
  </si>
  <si>
    <t>1945</t>
  </si>
  <si>
    <t>JSMS09-PATCH</t>
  </si>
  <si>
    <t>(리뉴얼예정) 인삼 레티날 탄력 아이패치 60매입</t>
  </si>
  <si>
    <t>3,340.80</t>
  </si>
  <si>
    <t>4,797,054.72</t>
  </si>
  <si>
    <t>765,054.72</t>
  </si>
  <si>
    <t>1946</t>
  </si>
  <si>
    <t>5,768.40</t>
  </si>
  <si>
    <t>8,282,845.56</t>
  </si>
  <si>
    <t>6,955,200.00</t>
  </si>
  <si>
    <t>1,327,645.56</t>
  </si>
  <si>
    <t>1947</t>
  </si>
  <si>
    <t>453,600.00</t>
  </si>
  <si>
    <t>-452,738.46</t>
  </si>
  <si>
    <t>-52,549.9</t>
  </si>
  <si>
    <t>1948</t>
  </si>
  <si>
    <t>9,960</t>
  </si>
  <si>
    <t>62,449.20</t>
  </si>
  <si>
    <t>89,670,806.28</t>
  </si>
  <si>
    <t>75,297,600.00</t>
  </si>
  <si>
    <t>14,373,206.28</t>
  </si>
  <si>
    <t>1949</t>
  </si>
  <si>
    <t>15,048.00</t>
  </si>
  <si>
    <t>21,607,423.20</t>
  </si>
  <si>
    <t>18,144,000.00</t>
  </si>
  <si>
    <t>3,463,423.20</t>
  </si>
  <si>
    <t>1950</t>
  </si>
  <si>
    <t>1,125.74</t>
  </si>
  <si>
    <t>1,616,450.07</t>
  </si>
  <si>
    <t>1,358,280.00</t>
  </si>
  <si>
    <t>258,170.07</t>
  </si>
  <si>
    <t>1951</t>
  </si>
  <si>
    <t>TKBSM05-CC2</t>
  </si>
  <si>
    <t>(1+1) Cotton Soft Sun Stick Mini</t>
  </si>
  <si>
    <t>431.52</t>
  </si>
  <si>
    <t>-269,568.48</t>
  </si>
  <si>
    <t>-62,469.5</t>
  </si>
  <si>
    <t>IN00391768</t>
  </si>
  <si>
    <t>1952</t>
  </si>
  <si>
    <t>5.67</t>
  </si>
  <si>
    <t>2,835.00</t>
  </si>
  <si>
    <t>4,077,864.00</t>
  </si>
  <si>
    <t>3,050,000.00</t>
  </si>
  <si>
    <t>1,027,864.00</t>
  </si>
  <si>
    <t>1953</t>
  </si>
  <si>
    <t>4,389.00</t>
  </si>
  <si>
    <t>6,313,137.60</t>
  </si>
  <si>
    <t>4,550,000.00</t>
  </si>
  <si>
    <t>1,763,137.60</t>
  </si>
  <si>
    <t>1954</t>
  </si>
  <si>
    <t>2025-12-10</t>
  </si>
  <si>
    <t>4,320.00</t>
  </si>
  <si>
    <t>6,216,912.00</t>
  </si>
  <si>
    <t>5,529,600.00</t>
  </si>
  <si>
    <t>687,312.00</t>
  </si>
  <si>
    <t>IN00394637</t>
  </si>
  <si>
    <t>1955</t>
  </si>
  <si>
    <t>3,343</t>
  </si>
  <si>
    <t>29,117.53</t>
  </si>
  <si>
    <t>41,903,037.42</t>
  </si>
  <si>
    <t>898.20</t>
  </si>
  <si>
    <t>3,002,680.00</t>
  </si>
  <si>
    <t>38,900,357.42</t>
  </si>
  <si>
    <t>92.8</t>
  </si>
  <si>
    <t>1956</t>
  </si>
  <si>
    <t>ANC01-Pad</t>
  </si>
  <si>
    <t>어성초 77 클리어패드 160ml (70매입)</t>
  </si>
  <si>
    <t>2,172.48</t>
  </si>
  <si>
    <t>3,126,415.97</t>
  </si>
  <si>
    <t>2,777,600.00</t>
  </si>
  <si>
    <t>348,815.97</t>
  </si>
  <si>
    <t>1957</t>
  </si>
  <si>
    <t>2,117,203.92</t>
  </si>
  <si>
    <t>254,803.92</t>
  </si>
  <si>
    <t>1958</t>
  </si>
  <si>
    <t>2,502.40</t>
  </si>
  <si>
    <t>3,601,203.84</t>
  </si>
  <si>
    <t>401,203.84</t>
  </si>
  <si>
    <t>1959</t>
  </si>
  <si>
    <t>882,168.30</t>
  </si>
  <si>
    <t>106,168.30</t>
  </si>
  <si>
    <t>1960</t>
  </si>
  <si>
    <t>12.26</t>
  </si>
  <si>
    <t>17,643.37</t>
  </si>
  <si>
    <t>5,740.00</t>
  </si>
  <si>
    <t>11,480.00</t>
  </si>
  <si>
    <t>6,163.37</t>
  </si>
  <si>
    <t>1961</t>
  </si>
  <si>
    <t>2,934.40</t>
  </si>
  <si>
    <t>4,222,895.04</t>
  </si>
  <si>
    <t>3,721,600.00</t>
  </si>
  <si>
    <t>501,295.04</t>
  </si>
  <si>
    <t>1962</t>
  </si>
  <si>
    <t>ANP01-MHNR</t>
  </si>
  <si>
    <t>(단종) [리뉴얼] [1매입] 어성초 크림마스크 나이트 솔루션 25ml</t>
  </si>
  <si>
    <t>250.00</t>
  </si>
  <si>
    <t>359,775.00</t>
  </si>
  <si>
    <t>39,775.00</t>
  </si>
  <si>
    <t>1963</t>
  </si>
  <si>
    <t>701,129.52</t>
  </si>
  <si>
    <t>621,600.00</t>
  </si>
  <si>
    <t>79,529.52</t>
  </si>
  <si>
    <t>1964</t>
  </si>
  <si>
    <t>695.50</t>
  </si>
  <si>
    <t>1,000,894.05</t>
  </si>
  <si>
    <t>770,400.00</t>
  </si>
  <si>
    <t>230,494.05</t>
  </si>
  <si>
    <t>1965</t>
  </si>
  <si>
    <t>397.80</t>
  </si>
  <si>
    <t>572,473.98</t>
  </si>
  <si>
    <t>156,473.98</t>
  </si>
  <si>
    <t>1966</t>
  </si>
  <si>
    <t>1,760.64</t>
  </si>
  <si>
    <t>2,533,737.02</t>
  </si>
  <si>
    <t>2,232,960.00</t>
  </si>
  <si>
    <t>300,777.02</t>
  </si>
  <si>
    <t>1967</t>
  </si>
  <si>
    <t>244.80</t>
  </si>
  <si>
    <t>352,291.68</t>
  </si>
  <si>
    <t>256,000.00</t>
  </si>
  <si>
    <t>96,291.68</t>
  </si>
  <si>
    <t>1968</t>
  </si>
  <si>
    <t>22,018.23</t>
  </si>
  <si>
    <t>2,618.23</t>
  </si>
  <si>
    <t>1969</t>
  </si>
  <si>
    <t>673.20</t>
  </si>
  <si>
    <t>968,802.12</t>
  </si>
  <si>
    <t>704,000.00</t>
  </si>
  <si>
    <t>264,802.12</t>
  </si>
  <si>
    <t>1970</t>
  </si>
  <si>
    <t>2,054.08</t>
  </si>
  <si>
    <t>2,956,026.53</t>
  </si>
  <si>
    <t>2,150,400.00</t>
  </si>
  <si>
    <t>805,626.53</t>
  </si>
  <si>
    <t>1971</t>
  </si>
  <si>
    <t>12.67</t>
  </si>
  <si>
    <t>1,254.33</t>
  </si>
  <si>
    <t>1,805,106.30</t>
  </si>
  <si>
    <t>15,200.00</t>
  </si>
  <si>
    <t>1,504,800.00</t>
  </si>
  <si>
    <t>300,306.30</t>
  </si>
  <si>
    <t>1972</t>
  </si>
  <si>
    <t>ANS01-CCRS</t>
  </si>
  <si>
    <t>센텔라 레드 스팟 크림 30g</t>
  </si>
  <si>
    <t>1,857.00</t>
  </si>
  <si>
    <t>2,672,408.70</t>
  </si>
  <si>
    <t>7,920.00</t>
  </si>
  <si>
    <t>296,408.70</t>
  </si>
  <si>
    <t>1973</t>
  </si>
  <si>
    <t>1,501.00</t>
  </si>
  <si>
    <t>2,160,089.10</t>
  </si>
  <si>
    <t>1,636,400.00</t>
  </si>
  <si>
    <t>523,689.10</t>
  </si>
  <si>
    <t>1974</t>
  </si>
  <si>
    <t>1,700</t>
  </si>
  <si>
    <t>14,178.00</t>
  </si>
  <si>
    <t>20,403,559.80</t>
  </si>
  <si>
    <t>12,364,100.00</t>
  </si>
  <si>
    <t>8,039,459.80</t>
  </si>
  <si>
    <t>1975</t>
  </si>
  <si>
    <t>980.00</t>
  </si>
  <si>
    <t>1,410,318.00</t>
  </si>
  <si>
    <t>12,300.00</t>
  </si>
  <si>
    <t>1,230,000.00</t>
  </si>
  <si>
    <t>180,318.00</t>
  </si>
  <si>
    <t>12.8</t>
  </si>
  <si>
    <t>1976</t>
  </si>
  <si>
    <t>957.00</t>
  </si>
  <si>
    <t>1,377,218.70</t>
  </si>
  <si>
    <t>297,218.70</t>
  </si>
  <si>
    <t>1977</t>
  </si>
  <si>
    <t>6,836.40</t>
  </si>
  <si>
    <t>9,838,263.24</t>
  </si>
  <si>
    <t>8,748,000.00</t>
  </si>
  <si>
    <t>1,090,263.24</t>
  </si>
  <si>
    <t>1978</t>
  </si>
  <si>
    <t>1,473.60</t>
  </si>
  <si>
    <t>2,120,657.76</t>
  </si>
  <si>
    <t>11,485.00</t>
  </si>
  <si>
    <t>1,837,600.00</t>
  </si>
  <si>
    <t>283,057.76</t>
  </si>
  <si>
    <t>1979</t>
  </si>
  <si>
    <t>1,624.56</t>
  </si>
  <si>
    <t>2,337,904.30</t>
  </si>
  <si>
    <t>2,047,920.00</t>
  </si>
  <si>
    <t>289,984.30</t>
  </si>
  <si>
    <t>1980</t>
  </si>
  <si>
    <t>1,801.60</t>
  </si>
  <si>
    <t>2,592,682.56</t>
  </si>
  <si>
    <t>1,772,800.00</t>
  </si>
  <si>
    <t>819,882.56</t>
  </si>
  <si>
    <t>1981</t>
  </si>
  <si>
    <t>5,405.40</t>
  </si>
  <si>
    <t>7,778,911.14</t>
  </si>
  <si>
    <t>12,800.00</t>
  </si>
  <si>
    <t>6,912,000.00</t>
  </si>
  <si>
    <t>866,911.14</t>
  </si>
  <si>
    <t>1982</t>
  </si>
  <si>
    <t>1,856.64</t>
  </si>
  <si>
    <t>2,671,890.62</t>
  </si>
  <si>
    <t>12,138.02</t>
  </si>
  <si>
    <t>2,330,500.00</t>
  </si>
  <si>
    <t>341,390.62</t>
  </si>
  <si>
    <t>1983</t>
  </si>
  <si>
    <t>1,228.00</t>
  </si>
  <si>
    <t>1,767,214.80</t>
  </si>
  <si>
    <t>215,214.80</t>
  </si>
  <si>
    <t>1984</t>
  </si>
  <si>
    <t>2,862</t>
  </si>
  <si>
    <t>27,360.72</t>
  </si>
  <si>
    <t>39,374,812.15</t>
  </si>
  <si>
    <t>34,887,780.00</t>
  </si>
  <si>
    <t>4,487,032.15</t>
  </si>
  <si>
    <t>1985</t>
  </si>
  <si>
    <t>3,050.00</t>
  </si>
  <si>
    <t>4,389,255.00</t>
  </si>
  <si>
    <t>3,900,000.00</t>
  </si>
  <si>
    <t>489,255.00</t>
  </si>
  <si>
    <t>1986</t>
  </si>
  <si>
    <t>9,882.00</t>
  </si>
  <si>
    <t>14,221,186.20</t>
  </si>
  <si>
    <t>12,636,000.00</t>
  </si>
  <si>
    <t>1,585,186.20</t>
  </si>
  <si>
    <t>1987</t>
  </si>
  <si>
    <t>3,025</t>
  </si>
  <si>
    <t>27,436.75</t>
  </si>
  <si>
    <t>39,484,226.92</t>
  </si>
  <si>
    <t>35,090,000.00</t>
  </si>
  <si>
    <t>4,394,226.92</t>
  </si>
  <si>
    <t>1988</t>
  </si>
  <si>
    <t>3,958,964.10</t>
  </si>
  <si>
    <t>469,964.10</t>
  </si>
  <si>
    <t>1989</t>
  </si>
  <si>
    <t>2,302.50</t>
  </si>
  <si>
    <t>3,313,527.75</t>
  </si>
  <si>
    <t>406,027.75</t>
  </si>
  <si>
    <t>1990</t>
  </si>
  <si>
    <t>2,539.60</t>
  </si>
  <si>
    <t>3,654,738.36</t>
  </si>
  <si>
    <t>3,248,000.00</t>
  </si>
  <si>
    <t>406,738.36</t>
  </si>
  <si>
    <t>1991</t>
  </si>
  <si>
    <t>826.00</t>
  </si>
  <si>
    <t>1,188,696.60</t>
  </si>
  <si>
    <t>108,696.60</t>
  </si>
  <si>
    <t>1992</t>
  </si>
  <si>
    <t>6,856.92</t>
  </si>
  <si>
    <t>9,867,793.57</t>
  </si>
  <si>
    <t>7,673,400.00</t>
  </si>
  <si>
    <t>2,194,393.57</t>
  </si>
  <si>
    <t>1993</t>
  </si>
  <si>
    <t>1,140</t>
  </si>
  <si>
    <t>10,499.40</t>
  </si>
  <si>
    <t>15,109,686.54</t>
  </si>
  <si>
    <t>13,258,200.00</t>
  </si>
  <si>
    <t>1,851,486.54</t>
  </si>
  <si>
    <t>1994</t>
  </si>
  <si>
    <t>3,931.20</t>
  </si>
  <si>
    <t>5,657,389.92</t>
  </si>
  <si>
    <t>5,024,880.00</t>
  </si>
  <si>
    <t>632,509.92</t>
  </si>
  <si>
    <t>1995</t>
  </si>
  <si>
    <t>1,760</t>
  </si>
  <si>
    <t>12,232.00</t>
  </si>
  <si>
    <t>17,603,071.20</t>
  </si>
  <si>
    <t>14,784,000.00</t>
  </si>
  <si>
    <t>2,819,071.20</t>
  </si>
  <si>
    <t>IN00394636</t>
  </si>
  <si>
    <t>1996</t>
  </si>
  <si>
    <t>2,460</t>
  </si>
  <si>
    <t>11,119.20</t>
  </si>
  <si>
    <t>16,001,640.72</t>
  </si>
  <si>
    <t>13,431,600.00</t>
  </si>
  <si>
    <t>2,570,040.72</t>
  </si>
  <si>
    <t>1997</t>
  </si>
  <si>
    <t>3,326.40</t>
  </si>
  <si>
    <t>4,787,022.24</t>
  </si>
  <si>
    <t>765,102.24</t>
  </si>
  <si>
    <t>1998</t>
  </si>
  <si>
    <t>6,873</t>
  </si>
  <si>
    <t>31,065.96</t>
  </si>
  <si>
    <t>44,707,023.04</t>
  </si>
  <si>
    <t>37,526,580.00</t>
  </si>
  <si>
    <t>7,180,443.04</t>
  </si>
  <si>
    <t>1999</t>
  </si>
  <si>
    <t>1,946.00</t>
  </si>
  <si>
    <t>2,800,488.60</t>
  </si>
  <si>
    <t>2,352,000.00</t>
  </si>
  <si>
    <t>448,488.60</t>
  </si>
  <si>
    <t>2000</t>
  </si>
  <si>
    <t>15,589.20</t>
  </si>
  <si>
    <t>22,434,417.72</t>
  </si>
  <si>
    <t>18,849,600.00</t>
  </si>
  <si>
    <t>3,584,817.72</t>
  </si>
  <si>
    <t>2001</t>
  </si>
  <si>
    <t>17,730.00</t>
  </si>
  <si>
    <t>25,515,243.00</t>
  </si>
  <si>
    <t>21,420,000.00</t>
  </si>
  <si>
    <t>4,095,243.00</t>
  </si>
  <si>
    <t>2002</t>
  </si>
  <si>
    <t>6,004.80</t>
  </si>
  <si>
    <t>8,641,507.68</t>
  </si>
  <si>
    <t>7,257,600.00</t>
  </si>
  <si>
    <t>1,383,907.68</t>
  </si>
  <si>
    <t>2003</t>
  </si>
  <si>
    <t>5,337.60</t>
  </si>
  <si>
    <t>7,681,340.16</t>
  </si>
  <si>
    <t>6,451,200.00</t>
  </si>
  <si>
    <t>1,230,140.16</t>
  </si>
  <si>
    <t>2004</t>
  </si>
  <si>
    <t>8,994,375.00</t>
  </si>
  <si>
    <t>1,434,375.00</t>
  </si>
  <si>
    <t>2005</t>
  </si>
  <si>
    <t>960,167.52</t>
  </si>
  <si>
    <t>806,400.00</t>
  </si>
  <si>
    <t>153,767.52</t>
  </si>
  <si>
    <t>2006</t>
  </si>
  <si>
    <t>5,756,400.00</t>
  </si>
  <si>
    <t>918,000.00</t>
  </si>
  <si>
    <t>2007</t>
  </si>
  <si>
    <t>584.00</t>
  </si>
  <si>
    <t>840,434.40</t>
  </si>
  <si>
    <t>705,600.00</t>
  </si>
  <si>
    <t>134,834.40</t>
  </si>
  <si>
    <t>2008</t>
  </si>
  <si>
    <t>2025-12-02</t>
  </si>
  <si>
    <t>cosHS89-S</t>
  </si>
  <si>
    <t>펩타이드-132울트라퍼펙트 헤어본딩 오일세럼 28ml</t>
  </si>
  <si>
    <t>430.44</t>
  </si>
  <si>
    <t>7,955.00</t>
  </si>
  <si>
    <t>238,650.00</t>
  </si>
  <si>
    <t>-238,219.56</t>
  </si>
  <si>
    <t>-55,343.3</t>
  </si>
  <si>
    <t>IN00393515</t>
  </si>
  <si>
    <t>2009</t>
  </si>
  <si>
    <t>688.70</t>
  </si>
  <si>
    <t>422,400.00</t>
  </si>
  <si>
    <t>-421,711.30</t>
  </si>
  <si>
    <t>-61,232.6</t>
  </si>
  <si>
    <t>2010</t>
  </si>
  <si>
    <t>MMS01-11KIT</t>
  </si>
  <si>
    <t>세럼 11종 키트</t>
  </si>
  <si>
    <t>0.05</t>
  </si>
  <si>
    <t>71.74</t>
  </si>
  <si>
    <t>2011</t>
  </si>
  <si>
    <t>-164,569.56</t>
  </si>
  <si>
    <t>-38,232.9</t>
  </si>
  <si>
    <t>2012</t>
  </si>
  <si>
    <t>cosP90-M</t>
  </si>
  <si>
    <t>(3EA) 5 피디알엔 히알루론산 바이탈 하이드레이팅 하이드로겔 마스크</t>
  </si>
  <si>
    <t>5.51</t>
  </si>
  <si>
    <t>551.00</t>
  </si>
  <si>
    <t>795,368.50</t>
  </si>
  <si>
    <t>195,368.50</t>
  </si>
  <si>
    <t>IN00392548</t>
  </si>
  <si>
    <t>2013</t>
  </si>
  <si>
    <t>844.00</t>
  </si>
  <si>
    <t>1,218,314.00</t>
  </si>
  <si>
    <t>920,000.00</t>
  </si>
  <si>
    <t>298,314.00</t>
  </si>
  <si>
    <t>2014</t>
  </si>
  <si>
    <t>991.00</t>
  </si>
  <si>
    <t>1,430,508.50</t>
  </si>
  <si>
    <t>350,508.50</t>
  </si>
  <si>
    <t>2015</t>
  </si>
  <si>
    <t>9.18</t>
  </si>
  <si>
    <t>918.00</t>
  </si>
  <si>
    <t>1,325,133.00</t>
  </si>
  <si>
    <t>1,000,000.00</t>
  </si>
  <si>
    <t>325,133.00</t>
  </si>
  <si>
    <t>2016</t>
  </si>
  <si>
    <t>0.20</t>
  </si>
  <si>
    <t>288.70</t>
  </si>
  <si>
    <t>-109,711.30</t>
  </si>
  <si>
    <t>-38,001.8</t>
  </si>
  <si>
    <t>2017</t>
  </si>
  <si>
    <t>564.00</t>
  </si>
  <si>
    <t>803,136.00</t>
  </si>
  <si>
    <t>179,136.00</t>
  </si>
  <si>
    <t>IN00391764</t>
  </si>
  <si>
    <t>2018</t>
  </si>
  <si>
    <t>3.64</t>
  </si>
  <si>
    <t>211.12</t>
  </si>
  <si>
    <t>300,634.88</t>
  </si>
  <si>
    <t>221,454.54</t>
  </si>
  <si>
    <t>79,180.34</t>
  </si>
  <si>
    <t>2019</t>
  </si>
  <si>
    <t>GUHS01-SPrr</t>
  </si>
  <si>
    <t>(P65)(단종예정) 데미지 테라피 샴푸 EX (GB) 500ml</t>
  </si>
  <si>
    <t>그로우어스</t>
  </si>
  <si>
    <t>142.40</t>
  </si>
  <si>
    <t>-77,857.60</t>
  </si>
  <si>
    <t>-54,675.3</t>
  </si>
  <si>
    <t>2020</t>
  </si>
  <si>
    <t>GUHS01-TNWr</t>
  </si>
  <si>
    <t>(단종예정) 데미지 테라피 노워시 트리트먼트 EX (GB) 250ml</t>
  </si>
  <si>
    <t>2021</t>
  </si>
  <si>
    <t>GUHS01-TR</t>
  </si>
  <si>
    <t>(단종) 데미지 테라피 트리트먼트 EX 220g</t>
  </si>
  <si>
    <t>-65,857.60</t>
  </si>
  <si>
    <t>-46,248.3</t>
  </si>
  <si>
    <t>2022</t>
  </si>
  <si>
    <t>2,470.00</t>
  </si>
  <si>
    <t>3,517,280.00</t>
  </si>
  <si>
    <t>2,763,800.00</t>
  </si>
  <si>
    <t>753,480.00</t>
  </si>
  <si>
    <t>2023</t>
  </si>
  <si>
    <t>288.00</t>
  </si>
  <si>
    <t>410,112.00</t>
  </si>
  <si>
    <t>86,112.00</t>
  </si>
  <si>
    <t>2024</t>
  </si>
  <si>
    <t>107.70</t>
  </si>
  <si>
    <t>153,364.80</t>
  </si>
  <si>
    <t>126,000.00</t>
  </si>
  <si>
    <t>27,364.80</t>
  </si>
  <si>
    <t>2025</t>
  </si>
  <si>
    <t>8.08</t>
  </si>
  <si>
    <t>575,296.00</t>
  </si>
  <si>
    <t>102,796.00</t>
  </si>
  <si>
    <t>2026</t>
  </si>
  <si>
    <t>182.40</t>
  </si>
  <si>
    <t>259,737.60</t>
  </si>
  <si>
    <t>91,737.60</t>
  </si>
  <si>
    <t>35.3</t>
  </si>
  <si>
    <t>2027</t>
  </si>
  <si>
    <t>4.06</t>
  </si>
  <si>
    <t>56.84</t>
  </si>
  <si>
    <t>80,940.16</t>
  </si>
  <si>
    <t>17,940.16</t>
  </si>
  <si>
    <t>2028</t>
  </si>
  <si>
    <t>185.85</t>
  </si>
  <si>
    <t>264,650.40</t>
  </si>
  <si>
    <t>220,909.09</t>
  </si>
  <si>
    <t>43,741.31</t>
  </si>
  <si>
    <t>2029</t>
  </si>
  <si>
    <t>275.50</t>
  </si>
  <si>
    <t>392,312.00</t>
  </si>
  <si>
    <t>5,864.00</t>
  </si>
  <si>
    <t>293,200.00</t>
  </si>
  <si>
    <t>99,112.00</t>
  </si>
  <si>
    <t>2030</t>
  </si>
  <si>
    <t>1,417.50</t>
  </si>
  <si>
    <t>2,018,520.00</t>
  </si>
  <si>
    <t>1,525,000.00</t>
  </si>
  <si>
    <t>493,520.00</t>
  </si>
  <si>
    <t>2031</t>
  </si>
  <si>
    <t>3,135.00</t>
  </si>
  <si>
    <t>4,464,240.00</t>
  </si>
  <si>
    <t>1,214,240.00</t>
  </si>
  <si>
    <t>2032</t>
  </si>
  <si>
    <t>VTS21-S100s</t>
  </si>
  <si>
    <t>100 리들샷 스틱파우치 (2ml*10ea)</t>
  </si>
  <si>
    <t>3.34</t>
  </si>
  <si>
    <t>273.88</t>
  </si>
  <si>
    <t>390,005.12</t>
  </si>
  <si>
    <t>3,818.00</t>
  </si>
  <si>
    <t>313,076.00</t>
  </si>
  <si>
    <t>76,929.12</t>
  </si>
  <si>
    <t>2033</t>
  </si>
  <si>
    <t>2025-11-25</t>
  </si>
  <si>
    <t>8.45</t>
  </si>
  <si>
    <t>380.25</t>
  </si>
  <si>
    <t>547,369.88</t>
  </si>
  <si>
    <t>401,318.18</t>
  </si>
  <si>
    <t>146,051.69</t>
  </si>
  <si>
    <t>IN00389875</t>
  </si>
  <si>
    <t>2034</t>
  </si>
  <si>
    <t>2,067.00</t>
  </si>
  <si>
    <t>2,975,446.50</t>
  </si>
  <si>
    <t>1,936,363.62</t>
  </si>
  <si>
    <t>1,039,082.88</t>
  </si>
  <si>
    <t>2035</t>
  </si>
  <si>
    <t>3,539.20</t>
  </si>
  <si>
    <t>5,094,678.40</t>
  </si>
  <si>
    <t>4,233,600.00</t>
  </si>
  <si>
    <t>861,078.40</t>
  </si>
  <si>
    <t>2036</t>
  </si>
  <si>
    <t>PRM02-BB13</t>
  </si>
  <si>
    <t>(통합) 원더 릴리프 센텔라 비비크림 13호 네츄럴 아이보리 30ml</t>
  </si>
  <si>
    <t>5.31</t>
  </si>
  <si>
    <t>1,486.80</t>
  </si>
  <si>
    <t>2,140,248.60</t>
  </si>
  <si>
    <t>1,211,635.60</t>
  </si>
  <si>
    <t>928,613.00</t>
  </si>
  <si>
    <t>2037</t>
  </si>
  <si>
    <t>PRM02-BB23</t>
  </si>
  <si>
    <t>(통합) 원더 릴리프 센텔라 비비크림 23호 네츄럴 베이지 30ml</t>
  </si>
  <si>
    <t>2038</t>
  </si>
  <si>
    <t>4,807.93</t>
  </si>
  <si>
    <t>989.93</t>
  </si>
  <si>
    <t>2039</t>
  </si>
  <si>
    <t>VTS29-T</t>
  </si>
  <si>
    <t>티엑스토닝 토너 200ML</t>
  </si>
  <si>
    <t>57.19</t>
  </si>
  <si>
    <t>82,325.01</t>
  </si>
  <si>
    <t>4,181.71</t>
  </si>
  <si>
    <t>29,272.00</t>
  </si>
  <si>
    <t>53,053.01</t>
  </si>
  <si>
    <t>64.4</t>
  </si>
  <si>
    <t>2040</t>
  </si>
  <si>
    <t>138.00</t>
  </si>
  <si>
    <t>197,781.60</t>
  </si>
  <si>
    <t>101,781.60</t>
  </si>
  <si>
    <t>51.5</t>
  </si>
  <si>
    <t>IN00388963</t>
  </si>
  <si>
    <t>2041</t>
  </si>
  <si>
    <t>3.06</t>
  </si>
  <si>
    <t>153.00</t>
  </si>
  <si>
    <t>219,279.60</t>
  </si>
  <si>
    <t>177,272.73</t>
  </si>
  <si>
    <t>42,006.88</t>
  </si>
  <si>
    <t>2042</t>
  </si>
  <si>
    <t>44.90</t>
  </si>
  <si>
    <t>64,350.68</t>
  </si>
  <si>
    <t>46,800.00</t>
  </si>
  <si>
    <t>17,550.68</t>
  </si>
  <si>
    <t>2043</t>
  </si>
  <si>
    <t>429.96</t>
  </si>
  <si>
    <t>-238,220.04</t>
  </si>
  <si>
    <t>-55,405.2</t>
  </si>
  <si>
    <t>2044</t>
  </si>
  <si>
    <t>cosHS89-SP</t>
  </si>
  <si>
    <t>펩타이드-132울트라퍼펙트 헤어본딩 샴푸 200ml</t>
  </si>
  <si>
    <t>286.64</t>
  </si>
  <si>
    <t>159,100.00</t>
  </si>
  <si>
    <t>-158,813.36</t>
  </si>
  <si>
    <t>2045</t>
  </si>
  <si>
    <t>cosHS89-TT</t>
  </si>
  <si>
    <t>펩타이드-132 울트라퍼펙트 헤어본딩 트리트먼트 120ml</t>
  </si>
  <si>
    <t>2046</t>
  </si>
  <si>
    <t>129.20</t>
  </si>
  <si>
    <t>185,169.44</t>
  </si>
  <si>
    <t>75,169.44</t>
  </si>
  <si>
    <t>2047</t>
  </si>
  <si>
    <t>7.02</t>
  </si>
  <si>
    <t>2,246.40</t>
  </si>
  <si>
    <t>3,219,540.48</t>
  </si>
  <si>
    <t>2,688,000.00</t>
  </si>
  <si>
    <t>531,540.48</t>
  </si>
  <si>
    <t>2048</t>
  </si>
  <si>
    <t>6,840.00</t>
  </si>
  <si>
    <t>9,803,088.00</t>
  </si>
  <si>
    <t>8,190,000.00</t>
  </si>
  <si>
    <t>1,613,088.00</t>
  </si>
  <si>
    <t>2049</t>
  </si>
  <si>
    <t>8.43</t>
  </si>
  <si>
    <t>3,372.00</t>
  </si>
  <si>
    <t>4,832,750.40</t>
  </si>
  <si>
    <t>800,750.40</t>
  </si>
  <si>
    <t>2050</t>
  </si>
  <si>
    <t>1,432.80</t>
  </si>
  <si>
    <t>2,053,488.96</t>
  </si>
  <si>
    <t>1,713,600.00</t>
  </si>
  <si>
    <t>339,888.96</t>
  </si>
  <si>
    <t>2051</t>
  </si>
  <si>
    <t>423,940.56</t>
  </si>
  <si>
    <t>93,940.56</t>
  </si>
  <si>
    <t>2052</t>
  </si>
  <si>
    <t>5.75</t>
  </si>
  <si>
    <t>1,840.00</t>
  </si>
  <si>
    <t>2,637,088.00</t>
  </si>
  <si>
    <t>2,048,000.00</t>
  </si>
  <si>
    <t>589,088.00</t>
  </si>
  <si>
    <t>2053</t>
  </si>
  <si>
    <t>NBP07-MIS5ea</t>
  </si>
  <si>
    <t>[5매입] 4번 SOS 응급진정 얼음장팩</t>
  </si>
  <si>
    <t>4.00</t>
  </si>
  <si>
    <t>256.00</t>
  </si>
  <si>
    <t>366,899.20</t>
  </si>
  <si>
    <t>78,899.20</t>
  </si>
  <si>
    <t>2054</t>
  </si>
  <si>
    <t>576.00</t>
  </si>
  <si>
    <t>825,523.20</t>
  </si>
  <si>
    <t>177,523.20</t>
  </si>
  <si>
    <t>2055</t>
  </si>
  <si>
    <t>1,998.72</t>
  </si>
  <si>
    <t>2,864,565.50</t>
  </si>
  <si>
    <t>618,165.50</t>
  </si>
  <si>
    <t>2056</t>
  </si>
  <si>
    <t>PRS02-CCUm</t>
  </si>
  <si>
    <t>(미니) 원더 릴리프 센텔라 크림 언센티드 15ml</t>
  </si>
  <si>
    <t>1,433.20</t>
  </si>
  <si>
    <t>2,227.27</t>
  </si>
  <si>
    <t>222,727.00</t>
  </si>
  <si>
    <t>-221,293.80</t>
  </si>
  <si>
    <t>-15,440.5</t>
  </si>
  <si>
    <t>2057</t>
  </si>
  <si>
    <t>8.79</t>
  </si>
  <si>
    <t>949.32</t>
  </si>
  <si>
    <t>1,360,565.42</t>
  </si>
  <si>
    <t>962,181.72</t>
  </si>
  <si>
    <t>398,383.70</t>
  </si>
  <si>
    <t>2058</t>
  </si>
  <si>
    <t>PRS19-S</t>
  </si>
  <si>
    <t>(통합) 아젤라익 애씨드 10 코직 티트리 세럼 30ml</t>
  </si>
  <si>
    <t>1,687.68</t>
  </si>
  <si>
    <t>2,418,782.98</t>
  </si>
  <si>
    <t>1,710,545.28</t>
  </si>
  <si>
    <t>708,237.70</t>
  </si>
  <si>
    <t>2059</t>
  </si>
  <si>
    <t>PRS20-S</t>
  </si>
  <si>
    <t>(통합) 트라넥사믹애씨드 6 나이아신아마이드 10 레티날 세럼 30ml</t>
  </si>
  <si>
    <t>6,728.22</t>
  </si>
  <si>
    <t>1,291,818.05</t>
  </si>
  <si>
    <t>1,126,964.93</t>
  </si>
  <si>
    <t>46.6</t>
  </si>
  <si>
    <t>2060</t>
  </si>
  <si>
    <t>12.06</t>
  </si>
  <si>
    <t>241.20</t>
  </si>
  <si>
    <t>345,687.84</t>
  </si>
  <si>
    <t>57,687.84</t>
  </si>
  <si>
    <t>2061</t>
  </si>
  <si>
    <t>11.38</t>
  </si>
  <si>
    <t>227.60</t>
  </si>
  <si>
    <t>326,196.32</t>
  </si>
  <si>
    <t>248,727.27</t>
  </si>
  <si>
    <t>77,469.05</t>
  </si>
  <si>
    <t>2062</t>
  </si>
  <si>
    <t>311.50</t>
  </si>
  <si>
    <t>446,441.80</t>
  </si>
  <si>
    <t>82,441.80</t>
  </si>
  <si>
    <t>2063</t>
  </si>
  <si>
    <t>187.65</t>
  </si>
  <si>
    <t>268,939.98</t>
  </si>
  <si>
    <t>48,030.89</t>
  </si>
  <si>
    <t>2064</t>
  </si>
  <si>
    <t>796,859.20</t>
  </si>
  <si>
    <t>586,400.00</t>
  </si>
  <si>
    <t>210,459.20</t>
  </si>
  <si>
    <t>2065</t>
  </si>
  <si>
    <t>2025-11-17</t>
  </si>
  <si>
    <t>1,441.92</t>
  </si>
  <si>
    <t>2,028,204.67</t>
  </si>
  <si>
    <t>7,855.00</t>
  </si>
  <si>
    <t>1,508,160.00</t>
  </si>
  <si>
    <t>520,044.67</t>
  </si>
  <si>
    <t>IN00384387</t>
  </si>
  <si>
    <t>2066</t>
  </si>
  <si>
    <t>480.48</t>
  </si>
  <si>
    <t>675,843.17</t>
  </si>
  <si>
    <t>502,692.54</t>
  </si>
  <si>
    <t>173,150.63</t>
  </si>
  <si>
    <t>2067</t>
  </si>
  <si>
    <t>4.69</t>
  </si>
  <si>
    <t>225.12</t>
  </si>
  <si>
    <t>316,653.79</t>
  </si>
  <si>
    <t>4,910.00</t>
  </si>
  <si>
    <t>235,680.00</t>
  </si>
  <si>
    <t>80,973.79</t>
  </si>
  <si>
    <t>2068</t>
  </si>
  <si>
    <t>10.15</t>
  </si>
  <si>
    <t>101.50</t>
  </si>
  <si>
    <t>142,769.90</t>
  </si>
  <si>
    <t>31,497.17</t>
  </si>
  <si>
    <t>2069</t>
  </si>
  <si>
    <t>2025-11-07</t>
  </si>
  <si>
    <t>12,851.48</t>
  </si>
  <si>
    <t>2,591.48</t>
  </si>
  <si>
    <t>IN00387125</t>
  </si>
  <si>
    <t>2070</t>
  </si>
  <si>
    <t>750.00</t>
  </si>
  <si>
    <t>1,044,900.00</t>
  </si>
  <si>
    <t>864,000.00</t>
  </si>
  <si>
    <t>180,900.00</t>
  </si>
  <si>
    <t>IN00386163</t>
  </si>
  <si>
    <t>2071</t>
  </si>
  <si>
    <t>822,545.28</t>
  </si>
  <si>
    <t>228,545.28</t>
  </si>
  <si>
    <t>2072</t>
  </si>
  <si>
    <t>5,248.00</t>
  </si>
  <si>
    <t>7,311,513.60</t>
  </si>
  <si>
    <t>5,280,000.00</t>
  </si>
  <si>
    <t>2,031,513.60</t>
  </si>
  <si>
    <t>2073</t>
  </si>
  <si>
    <t>1,705.60</t>
  </si>
  <si>
    <t>2,376,241.92</t>
  </si>
  <si>
    <t>1,716,000.00</t>
  </si>
  <si>
    <t>660,241.92</t>
  </si>
  <si>
    <t>2074</t>
  </si>
  <si>
    <t>1,706.20</t>
  </si>
  <si>
    <t>2,377,077.84</t>
  </si>
  <si>
    <t>1,305,870.00</t>
  </si>
  <si>
    <t>1,071,207.84</t>
  </si>
  <si>
    <t>45.1</t>
  </si>
  <si>
    <t>2075</t>
  </si>
  <si>
    <t>1,760.46</t>
  </si>
  <si>
    <t>2,452,672.87</t>
  </si>
  <si>
    <t>1,630,363.62</t>
  </si>
  <si>
    <t>822,309.26</t>
  </si>
  <si>
    <t>2076</t>
  </si>
  <si>
    <t>165,512.16</t>
  </si>
  <si>
    <t>30,512.16</t>
  </si>
  <si>
    <t>18.4</t>
  </si>
  <si>
    <t>2077</t>
  </si>
  <si>
    <t>662,048.64</t>
  </si>
  <si>
    <t>122,048.64</t>
  </si>
  <si>
    <t>2078</t>
  </si>
  <si>
    <t>39.60</t>
  </si>
  <si>
    <t>55,170.72</t>
  </si>
  <si>
    <t>10,170.72</t>
  </si>
  <si>
    <t>2079</t>
  </si>
  <si>
    <t>198.00</t>
  </si>
  <si>
    <t>275,853.60</t>
  </si>
  <si>
    <t>50,853.60</t>
  </si>
  <si>
    <t>2080</t>
  </si>
  <si>
    <t>2081</t>
  </si>
  <si>
    <t>203,407.20</t>
  </si>
  <si>
    <t>154,545.45</t>
  </si>
  <si>
    <t>48,861.75</t>
  </si>
  <si>
    <t>2082</t>
  </si>
  <si>
    <t>2.89</t>
  </si>
  <si>
    <t>28.90</t>
  </si>
  <si>
    <t>40,263.48</t>
  </si>
  <si>
    <t>31,909.09</t>
  </si>
  <si>
    <t>8,354.39</t>
  </si>
  <si>
    <t>2083</t>
  </si>
  <si>
    <t>5.49</t>
  </si>
  <si>
    <t>274.50</t>
  </si>
  <si>
    <t>382,433.40</t>
  </si>
  <si>
    <t>294,318.18</t>
  </si>
  <si>
    <t>88,115.22</t>
  </si>
  <si>
    <t>2084</t>
  </si>
  <si>
    <t>72.00</t>
  </si>
  <si>
    <t>100,310.40</t>
  </si>
  <si>
    <t>76,363.64</t>
  </si>
  <si>
    <t>23,946.76</t>
  </si>
  <si>
    <t>2085</t>
  </si>
  <si>
    <t>BentonS01-ContentEssenceR</t>
  </si>
  <si>
    <t>스네일비 하이콘텐트 에센스 100ml</t>
  </si>
  <si>
    <t>934.40</t>
  </si>
  <si>
    <t>1,301,806.08</t>
  </si>
  <si>
    <t>1,018,181.81</t>
  </si>
  <si>
    <t>283,624.27</t>
  </si>
  <si>
    <t>2086</t>
  </si>
  <si>
    <t>280.40</t>
  </si>
  <si>
    <t>390,653.28</t>
  </si>
  <si>
    <t>296,727.27</t>
  </si>
  <si>
    <t>93,926.01</t>
  </si>
  <si>
    <t>2087</t>
  </si>
  <si>
    <t>BentonS04-ECmini</t>
  </si>
  <si>
    <t>(디럭스) 퍼먼테이션 아이크림 10g</t>
  </si>
  <si>
    <t>2.05</t>
  </si>
  <si>
    <t>41.00</t>
  </si>
  <si>
    <t>57,121.20</t>
  </si>
  <si>
    <t>1,309.09</t>
  </si>
  <si>
    <t>30,939.38</t>
  </si>
  <si>
    <t>54.2</t>
  </si>
  <si>
    <t>2088</t>
  </si>
  <si>
    <t>87.80</t>
  </si>
  <si>
    <t>122,322.96</t>
  </si>
  <si>
    <t>33,232.05</t>
  </si>
  <si>
    <t>2089</t>
  </si>
  <si>
    <t>101.80</t>
  </si>
  <si>
    <t>141,827.76</t>
  </si>
  <si>
    <t>5,346.00</t>
  </si>
  <si>
    <t>106,920.00</t>
  </si>
  <si>
    <t>34,907.76</t>
  </si>
  <si>
    <t>2090</t>
  </si>
  <si>
    <t>BETC05-F</t>
  </si>
  <si>
    <t>바하플러스 포어 제로 클렌징폼 150g</t>
  </si>
  <si>
    <t>205.60</t>
  </si>
  <si>
    <t>286,441.92</t>
  </si>
  <si>
    <t>2,727.27</t>
  </si>
  <si>
    <t>68,260.10</t>
  </si>
  <si>
    <t>2091</t>
  </si>
  <si>
    <t>599.20</t>
  </si>
  <si>
    <t>834,805.44</t>
  </si>
  <si>
    <t>739,200.00</t>
  </si>
  <si>
    <t>95,605.44</t>
  </si>
  <si>
    <t>2092</t>
  </si>
  <si>
    <t>4,546.00</t>
  </si>
  <si>
    <t>636,440.00</t>
  </si>
  <si>
    <t>198,365.44</t>
  </si>
  <si>
    <t>2093</t>
  </si>
  <si>
    <t>128.40</t>
  </si>
  <si>
    <t>178,886.88</t>
  </si>
  <si>
    <t>136,380.00</t>
  </si>
  <si>
    <t>42,506.88</t>
  </si>
  <si>
    <t>2094</t>
  </si>
  <si>
    <t>94.00</t>
  </si>
  <si>
    <t>130,960.80</t>
  </si>
  <si>
    <t>30,960.80</t>
  </si>
  <si>
    <t>2095</t>
  </si>
  <si>
    <t>BltS02-TT9E</t>
  </si>
  <si>
    <t>바이탈 트리트먼트 9 에센셜 시즈 150ml</t>
  </si>
  <si>
    <t>13.34</t>
  </si>
  <si>
    <t>266.80</t>
  </si>
  <si>
    <t>371,705.76</t>
  </si>
  <si>
    <t>13,000.00</t>
  </si>
  <si>
    <t>260,000.00</t>
  </si>
  <si>
    <t>111,705.76</t>
  </si>
  <si>
    <t>2096</t>
  </si>
  <si>
    <t>0.29</t>
  </si>
  <si>
    <t>217.50</t>
  </si>
  <si>
    <t>303,021.00</t>
  </si>
  <si>
    <t>245,454.53</t>
  </si>
  <si>
    <t>57,566.48</t>
  </si>
  <si>
    <t>2097</t>
  </si>
  <si>
    <t>11.40</t>
  </si>
  <si>
    <t>456.00</t>
  </si>
  <si>
    <t>635,299.20</t>
  </si>
  <si>
    <t>298,400.00</t>
  </si>
  <si>
    <t>336,899.20</t>
  </si>
  <si>
    <t>53.0</t>
  </si>
  <si>
    <t>2098</t>
  </si>
  <si>
    <t>975.24</t>
  </si>
  <si>
    <t>2099</t>
  </si>
  <si>
    <t>203.60</t>
  </si>
  <si>
    <t>283,655.52</t>
  </si>
  <si>
    <t>171,600.00</t>
  </si>
  <si>
    <t>112,055.52</t>
  </si>
  <si>
    <t>39.5</t>
  </si>
  <si>
    <t>2100</t>
  </si>
  <si>
    <t>42.80</t>
  </si>
  <si>
    <t>59,628.96</t>
  </si>
  <si>
    <t>48,190.00</t>
  </si>
  <si>
    <t>11,438.96</t>
  </si>
  <si>
    <t>2101</t>
  </si>
  <si>
    <t>45.60</t>
  </si>
  <si>
    <t>63,529.92</t>
  </si>
  <si>
    <t>54,550.00</t>
  </si>
  <si>
    <t>8,979.92</t>
  </si>
  <si>
    <t>14.1</t>
  </si>
  <si>
    <t>2102</t>
  </si>
  <si>
    <t>301.20</t>
  </si>
  <si>
    <t>419,631.84</t>
  </si>
  <si>
    <t>77,631.84</t>
  </si>
  <si>
    <t>2103</t>
  </si>
  <si>
    <t>33.40</t>
  </si>
  <si>
    <t>46,532.88</t>
  </si>
  <si>
    <t>9,441.97</t>
  </si>
  <si>
    <t>2104</t>
  </si>
  <si>
    <t>HMC20-F</t>
  </si>
  <si>
    <t>말차 바이옴 아미노 아크네 클렌징 폼 150g</t>
  </si>
  <si>
    <t>108,390.96</t>
  </si>
  <si>
    <t>4,328.00</t>
  </si>
  <si>
    <t>86,560.00</t>
  </si>
  <si>
    <t>21,830.96</t>
  </si>
  <si>
    <t>2105</t>
  </si>
  <si>
    <t>720.10</t>
  </si>
  <si>
    <t>1,003,243.32</t>
  </si>
  <si>
    <t>701,272.71</t>
  </si>
  <si>
    <t>301,970.61</t>
  </si>
  <si>
    <t>2106</t>
  </si>
  <si>
    <t>183,623.76</t>
  </si>
  <si>
    <t>144,000.00</t>
  </si>
  <si>
    <t>39,623.76</t>
  </si>
  <si>
    <t>2107</t>
  </si>
  <si>
    <t>229,599.36</t>
  </si>
  <si>
    <t>8,037.00</t>
  </si>
  <si>
    <t>160,740.00</t>
  </si>
  <si>
    <t>68,859.36</t>
  </si>
  <si>
    <t>30.0</t>
  </si>
  <si>
    <t>2108</t>
  </si>
  <si>
    <t>135.80</t>
  </si>
  <si>
    <t>189,196.56</t>
  </si>
  <si>
    <t>6,619.00</t>
  </si>
  <si>
    <t>132,380.00</t>
  </si>
  <si>
    <t>56,816.56</t>
  </si>
  <si>
    <t>2109</t>
  </si>
  <si>
    <t>159.60</t>
  </si>
  <si>
    <t>222,354.72</t>
  </si>
  <si>
    <t>64,534.72</t>
  </si>
  <si>
    <t>2110</t>
  </si>
  <si>
    <t>HMS21-CMHHC</t>
  </si>
  <si>
    <t>(단종)모링가 세라마이드 히알루론산 하이드레이팅 크림 50ml</t>
  </si>
  <si>
    <t>697.60</t>
  </si>
  <si>
    <t>971,896.32</t>
  </si>
  <si>
    <t>291,096.32</t>
  </si>
  <si>
    <t>2111</t>
  </si>
  <si>
    <t>81.30</t>
  </si>
  <si>
    <t>113,267.16</t>
  </si>
  <si>
    <t>79,454.55</t>
  </si>
  <si>
    <t>33,812.62</t>
  </si>
  <si>
    <t>2112</t>
  </si>
  <si>
    <t>166,905.36</t>
  </si>
  <si>
    <t>5,854.55</t>
  </si>
  <si>
    <t>117,090.91</t>
  </si>
  <si>
    <t>49,814.45</t>
  </si>
  <si>
    <t>2113</t>
  </si>
  <si>
    <t>1.85</t>
  </si>
  <si>
    <t>37.00</t>
  </si>
  <si>
    <t>51,548.40</t>
  </si>
  <si>
    <t>19,730.22</t>
  </si>
  <si>
    <t>2114</t>
  </si>
  <si>
    <t>819.00</t>
  </si>
  <si>
    <t>1,141,030.80</t>
  </si>
  <si>
    <t>910,000.00</t>
  </si>
  <si>
    <t>231,030.80</t>
  </si>
  <si>
    <t>2115</t>
  </si>
  <si>
    <t>71.20</t>
  </si>
  <si>
    <t>99,195.84</t>
  </si>
  <si>
    <t>19,195.84</t>
  </si>
  <si>
    <t>2116</t>
  </si>
  <si>
    <t>4,479.24</t>
  </si>
  <si>
    <t>6,240,477.17</t>
  </si>
  <si>
    <t>5,017,140.00</t>
  </si>
  <si>
    <t>1,223,337.17</t>
  </si>
  <si>
    <t>2117</t>
  </si>
  <si>
    <t>115.00</t>
  </si>
  <si>
    <t>160,218.00</t>
  </si>
  <si>
    <t>128,000.00</t>
  </si>
  <si>
    <t>32,218.00</t>
  </si>
  <si>
    <t>2118</t>
  </si>
  <si>
    <t>7.58</t>
  </si>
  <si>
    <t>682.20</t>
  </si>
  <si>
    <t>950,441.04</t>
  </si>
  <si>
    <t>755,640.00</t>
  </si>
  <si>
    <t>194,801.04</t>
  </si>
  <si>
    <t>2119</t>
  </si>
  <si>
    <t>247.20</t>
  </si>
  <si>
    <t>344,399.04</t>
  </si>
  <si>
    <t>65,999.04</t>
  </si>
  <si>
    <t>2120</t>
  </si>
  <si>
    <t>215.40</t>
  </si>
  <si>
    <t>300,095.28</t>
  </si>
  <si>
    <t>60,095.28</t>
  </si>
  <si>
    <t>2121</t>
  </si>
  <si>
    <t>737.00</t>
  </si>
  <si>
    <t>1,026,788.40</t>
  </si>
  <si>
    <t>838,800.00</t>
  </si>
  <si>
    <t>187,988.40</t>
  </si>
  <si>
    <t>2122</t>
  </si>
  <si>
    <t>1,352.40</t>
  </si>
  <si>
    <t>1,884,163.68</t>
  </si>
  <si>
    <t>1,495,000.00</t>
  </si>
  <si>
    <t>389,163.68</t>
  </si>
  <si>
    <t>2123</t>
  </si>
  <si>
    <t>1,733,976.72</t>
  </si>
  <si>
    <t>1,421,000.00</t>
  </si>
  <si>
    <t>312,976.72</t>
  </si>
  <si>
    <t>2124</t>
  </si>
  <si>
    <t>1,492.60</t>
  </si>
  <si>
    <t>2,079,490.32</t>
  </si>
  <si>
    <t>1,654,950.00</t>
  </si>
  <si>
    <t>424,540.32</t>
  </si>
  <si>
    <t>2125</t>
  </si>
  <si>
    <t>1,580.80</t>
  </si>
  <si>
    <t>2,202,370.56</t>
  </si>
  <si>
    <t>1,750,400.00</t>
  </si>
  <si>
    <t>451,970.56</t>
  </si>
  <si>
    <t>2126</t>
  </si>
  <si>
    <t>9.38</t>
  </si>
  <si>
    <t>750.40</t>
  </si>
  <si>
    <t>1,045,457.28</t>
  </si>
  <si>
    <t>854,400.00</t>
  </si>
  <si>
    <t>191,057.28</t>
  </si>
  <si>
    <t>2127</t>
  </si>
  <si>
    <t>1,083,909.60</t>
  </si>
  <si>
    <t>884,000.00</t>
  </si>
  <si>
    <t>199,909.60</t>
  </si>
  <si>
    <t>2128</t>
  </si>
  <si>
    <t>8.73</t>
  </si>
  <si>
    <t>3,841.20</t>
  </si>
  <si>
    <t>5,351,559.84</t>
  </si>
  <si>
    <t>4,324,760.00</t>
  </si>
  <si>
    <t>1,026,799.84</t>
  </si>
  <si>
    <t>2129</t>
  </si>
  <si>
    <t>9.60</t>
  </si>
  <si>
    <t>1,920.00</t>
  </si>
  <si>
    <t>2,674,944.00</t>
  </si>
  <si>
    <t>2,130,000.00</t>
  </si>
  <si>
    <t>544,944.00</t>
  </si>
  <si>
    <t>2130</t>
  </si>
  <si>
    <t>1,379.40</t>
  </si>
  <si>
    <t>1,921,780.08</t>
  </si>
  <si>
    <t>1,531,400.00</t>
  </si>
  <si>
    <t>390,380.08</t>
  </si>
  <si>
    <t>2131</t>
  </si>
  <si>
    <t>5.39</t>
  </si>
  <si>
    <t>1,778.70</t>
  </si>
  <si>
    <t>2,478,084.84</t>
  </si>
  <si>
    <t>1,980,000.00</t>
  </si>
  <si>
    <t>498,084.84</t>
  </si>
  <si>
    <t>2132</t>
  </si>
  <si>
    <t>215.60</t>
  </si>
  <si>
    <t>300,373.92</t>
  </si>
  <si>
    <t>60,373.92</t>
  </si>
  <si>
    <t>2133</t>
  </si>
  <si>
    <t>7.65</t>
  </si>
  <si>
    <t>639,478.80</t>
  </si>
  <si>
    <t>516,000.00</t>
  </si>
  <si>
    <t>123,478.80</t>
  </si>
  <si>
    <t>2134</t>
  </si>
  <si>
    <t>5.04</t>
  </si>
  <si>
    <t>421,303.68</t>
  </si>
  <si>
    <t>337,200.00</t>
  </si>
  <si>
    <t>84,103.68</t>
  </si>
  <si>
    <t>2135</t>
  </si>
  <si>
    <t>26.24</t>
  </si>
  <si>
    <t>36,557.57</t>
  </si>
  <si>
    <t>2136</t>
  </si>
  <si>
    <t>NBS01-ESS09N</t>
  </si>
  <si>
    <t>9번 엔엠엔 바이오 리프팅 원액에센스 (미국 제외)</t>
  </si>
  <si>
    <t>8,150,220.00</t>
  </si>
  <si>
    <t>1,670,220.00</t>
  </si>
  <si>
    <t>2137</t>
  </si>
  <si>
    <t>2,600.00</t>
  </si>
  <si>
    <t>3,622,320.00</t>
  </si>
  <si>
    <t>742,320.00</t>
  </si>
  <si>
    <t>2138</t>
  </si>
  <si>
    <t>774,619.20</t>
  </si>
  <si>
    <t>585,000.00</t>
  </si>
  <si>
    <t>189,619.20</t>
  </si>
  <si>
    <t>2139</t>
  </si>
  <si>
    <t>NHS58-HPreu</t>
  </si>
  <si>
    <t>(유럽) 아르간 에센셜 모이스처 리페어링 헤어마스크 200ml</t>
  </si>
  <si>
    <t>4.12</t>
  </si>
  <si>
    <t>700.40</t>
  </si>
  <si>
    <t>975,797.28</t>
  </si>
  <si>
    <t>4,905.00</t>
  </si>
  <si>
    <t>833,850.00</t>
  </si>
  <si>
    <t>141,947.28</t>
  </si>
  <si>
    <t>2140</t>
  </si>
  <si>
    <t>159.00</t>
  </si>
  <si>
    <t>221,518.80</t>
  </si>
  <si>
    <t>41,518.80</t>
  </si>
  <si>
    <t>2141</t>
  </si>
  <si>
    <t>NLS06-TP</t>
  </si>
  <si>
    <t>(NLS06-TPR 확인) 비 부스트 코직애씨드 글로우 토너 패드 (80매)</t>
  </si>
  <si>
    <t>1,619.20</t>
  </si>
  <si>
    <t>2,255,869.44</t>
  </si>
  <si>
    <t>415,869.44</t>
  </si>
  <si>
    <t>2142</t>
  </si>
  <si>
    <t>NS58-DCHErreu</t>
  </si>
  <si>
    <t>(유럽) 아르간 에센셜 모이스처 헤어 오일 80ml</t>
  </si>
  <si>
    <t>135.90</t>
  </si>
  <si>
    <t>189,335.88</t>
  </si>
  <si>
    <t>162,000.00</t>
  </si>
  <si>
    <t>27,335.88</t>
  </si>
  <si>
    <t>2143</t>
  </si>
  <si>
    <t>2.39</t>
  </si>
  <si>
    <t>310.70</t>
  </si>
  <si>
    <t>432,867.24</t>
  </si>
  <si>
    <t>68,867.24</t>
  </si>
  <si>
    <t>2144</t>
  </si>
  <si>
    <t>48,373.92</t>
  </si>
  <si>
    <t>2145</t>
  </si>
  <si>
    <t>700,222.32</t>
  </si>
  <si>
    <t>112,222.32</t>
  </si>
  <si>
    <t>2146</t>
  </si>
  <si>
    <t>47.90</t>
  </si>
  <si>
    <t>66,734.28</t>
  </si>
  <si>
    <t>56,000.00</t>
  </si>
  <si>
    <t>10,734.28</t>
  </si>
  <si>
    <t>2147</t>
  </si>
  <si>
    <t>8,015.88</t>
  </si>
  <si>
    <t>2148</t>
  </si>
  <si>
    <t>574.40</t>
  </si>
  <si>
    <t>800,254.08</t>
  </si>
  <si>
    <t>128,254.08</t>
  </si>
  <si>
    <t>2149</t>
  </si>
  <si>
    <t>154,000.00</t>
  </si>
  <si>
    <t>29,623.76</t>
  </si>
  <si>
    <t>2150</t>
  </si>
  <si>
    <t>95.80</t>
  </si>
  <si>
    <t>133,468.56</t>
  </si>
  <si>
    <t>35,468.56</t>
  </si>
  <si>
    <t>2151</t>
  </si>
  <si>
    <t>333,810.72</t>
  </si>
  <si>
    <t>53,810.72</t>
  </si>
  <si>
    <t>2152</t>
  </si>
  <si>
    <t>789.80</t>
  </si>
  <si>
    <t>1,100,349.36</t>
  </si>
  <si>
    <t>334,749.36</t>
  </si>
  <si>
    <t>2153</t>
  </si>
  <si>
    <t>622.40</t>
  </si>
  <si>
    <t>867,127.68</t>
  </si>
  <si>
    <t>139,127.68</t>
  </si>
  <si>
    <t>2154</t>
  </si>
  <si>
    <t>140,000.00</t>
  </si>
  <si>
    <t>26,905.36</t>
  </si>
  <si>
    <t>2155</t>
  </si>
  <si>
    <t>9.58</t>
  </si>
  <si>
    <t>191.60</t>
  </si>
  <si>
    <t>266,937.12</t>
  </si>
  <si>
    <t>42,937.12</t>
  </si>
  <si>
    <t>2156</t>
  </si>
  <si>
    <t>167.60</t>
  </si>
  <si>
    <t>233,500.32</t>
  </si>
  <si>
    <t>196,000.00</t>
  </si>
  <si>
    <t>37,500.32</t>
  </si>
  <si>
    <t>2157</t>
  </si>
  <si>
    <t>125.80</t>
  </si>
  <si>
    <t>175,264.56</t>
  </si>
  <si>
    <t>121,800.00</t>
  </si>
  <si>
    <t>53,464.56</t>
  </si>
  <si>
    <t>2158</t>
  </si>
  <si>
    <t>734,077.08</t>
  </si>
  <si>
    <t>5,294.55</t>
  </si>
  <si>
    <t>582,400.00</t>
  </si>
  <si>
    <t>151,677.08</t>
  </si>
  <si>
    <t>2159</t>
  </si>
  <si>
    <t>194.50</t>
  </si>
  <si>
    <t>270,977.40</t>
  </si>
  <si>
    <t>188,500.00</t>
  </si>
  <si>
    <t>82,477.40</t>
  </si>
  <si>
    <t>2160</t>
  </si>
  <si>
    <t>13.40</t>
  </si>
  <si>
    <t>268.00</t>
  </si>
  <si>
    <t>373,377.60</t>
  </si>
  <si>
    <t>143,377.60</t>
  </si>
  <si>
    <t>38.4</t>
  </si>
  <si>
    <t>2161</t>
  </si>
  <si>
    <t>33.50</t>
  </si>
  <si>
    <t>2,345.00</t>
  </si>
  <si>
    <t>3,267,054.00</t>
  </si>
  <si>
    <t>36,700.00</t>
  </si>
  <si>
    <t>2,569,000.00</t>
  </si>
  <si>
    <t>698,054.00</t>
  </si>
  <si>
    <t>2162</t>
  </si>
  <si>
    <t>107.80</t>
  </si>
  <si>
    <t>150,186.96</t>
  </si>
  <si>
    <t>24,186.96</t>
  </si>
  <si>
    <t>2163</t>
  </si>
  <si>
    <t>21,468.56</t>
  </si>
  <si>
    <t>2164</t>
  </si>
  <si>
    <t>89.80</t>
  </si>
  <si>
    <t>125,109.36</t>
  </si>
  <si>
    <t>35,109.36</t>
  </si>
  <si>
    <t>2165</t>
  </si>
  <si>
    <t>13.47</t>
  </si>
  <si>
    <t>1,347.00</t>
  </si>
  <si>
    <t>1,876,640.40</t>
  </si>
  <si>
    <t>301,640.40</t>
  </si>
  <si>
    <t>2166</t>
  </si>
  <si>
    <t>335.20</t>
  </si>
  <si>
    <t>467,000.64</t>
  </si>
  <si>
    <t>75,000.64</t>
  </si>
  <si>
    <t>2167</t>
  </si>
  <si>
    <t>143.60</t>
  </si>
  <si>
    <t>200,063.52</t>
  </si>
  <si>
    <t>42,063.52</t>
  </si>
  <si>
    <t>2168</t>
  </si>
  <si>
    <t>71.80</t>
  </si>
  <si>
    <t>100,031.76</t>
  </si>
  <si>
    <t>21,031.76</t>
  </si>
  <si>
    <t>2169</t>
  </si>
  <si>
    <t>396,365.40</t>
  </si>
  <si>
    <t>295,000.00</t>
  </si>
  <si>
    <t>101,365.40</t>
  </si>
  <si>
    <t>2170</t>
  </si>
  <si>
    <t>599.00</t>
  </si>
  <si>
    <t>834,526.80</t>
  </si>
  <si>
    <t>234,526.80</t>
  </si>
  <si>
    <t>2171</t>
  </si>
  <si>
    <t>872.90</t>
  </si>
  <si>
    <t>1,216,124.28</t>
  </si>
  <si>
    <t>956,945.45</t>
  </si>
  <si>
    <t>259,178.83</t>
  </si>
  <si>
    <t>2172</t>
  </si>
  <si>
    <t>10.18</t>
  </si>
  <si>
    <t>425,483.28</t>
  </si>
  <si>
    <t>333,818.18</t>
  </si>
  <si>
    <t>91,665.10</t>
  </si>
  <si>
    <t>2173</t>
  </si>
  <si>
    <t>1,968.00</t>
  </si>
  <si>
    <t>2,741,817.60</t>
  </si>
  <si>
    <t>581,817.60</t>
  </si>
  <si>
    <t>2174</t>
  </si>
  <si>
    <t>97.00</t>
  </si>
  <si>
    <t>135,140.40</t>
  </si>
  <si>
    <t>36,340.40</t>
  </si>
  <si>
    <t>26.9</t>
  </si>
  <si>
    <t>2175</t>
  </si>
  <si>
    <t>59.90</t>
  </si>
  <si>
    <t>83,452.68</t>
  </si>
  <si>
    <t>17,252.68</t>
  </si>
  <si>
    <t>2176</t>
  </si>
  <si>
    <t>446,500.00</t>
  </si>
  <si>
    <t>188,799.20</t>
  </si>
  <si>
    <t>2177</t>
  </si>
  <si>
    <t>99.80</t>
  </si>
  <si>
    <t>139,041.36</t>
  </si>
  <si>
    <t>68,300.00</t>
  </si>
  <si>
    <t>70,741.36</t>
  </si>
  <si>
    <t>50.9</t>
  </si>
  <si>
    <t>2178</t>
  </si>
  <si>
    <t>158,824.80</t>
  </si>
  <si>
    <t>6,444.90</t>
  </si>
  <si>
    <t>128,898.00</t>
  </si>
  <si>
    <t>29,926.80</t>
  </si>
  <si>
    <t>2179</t>
  </si>
  <si>
    <t>188.10</t>
  </si>
  <si>
    <t>262,060.92</t>
  </si>
  <si>
    <t>228,800.00</t>
  </si>
  <si>
    <t>33,260.92</t>
  </si>
  <si>
    <t>2180</t>
  </si>
  <si>
    <t>84.40</t>
  </si>
  <si>
    <t>117,586.08</t>
  </si>
  <si>
    <t>33,586.08</t>
  </si>
  <si>
    <t>2181</t>
  </si>
  <si>
    <t>60.60</t>
  </si>
  <si>
    <t>84,427.92</t>
  </si>
  <si>
    <t>11,927.92</t>
  </si>
  <si>
    <t>2182</t>
  </si>
  <si>
    <t>secretKS05-C</t>
  </si>
  <si>
    <t>스타팅 트리트먼트 크림 50g</t>
  </si>
  <si>
    <t>8.00</t>
  </si>
  <si>
    <t>80.00</t>
  </si>
  <si>
    <t>111,456.00</t>
  </si>
  <si>
    <t>15,756.00</t>
  </si>
  <si>
    <t>2183</t>
  </si>
  <si>
    <t>1,102.20</t>
  </si>
  <si>
    <t>1,535,585.04</t>
  </si>
  <si>
    <t>4,036.38</t>
  </si>
  <si>
    <t>888,003.81</t>
  </si>
  <si>
    <t>647,581.23</t>
  </si>
  <si>
    <t>42.2</t>
  </si>
  <si>
    <t>2184</t>
  </si>
  <si>
    <t>251.00</t>
  </si>
  <si>
    <t>349,693.20</t>
  </si>
  <si>
    <t>89,693.20</t>
  </si>
  <si>
    <t>2185</t>
  </si>
  <si>
    <t>WDPA16-34Happy70</t>
  </si>
  <si>
    <t>드레스 &amp; 리빙 클리어 퍼퓸 No.34 올웨이즈 해피 70ml</t>
  </si>
  <si>
    <t>더블유드레스룸</t>
  </si>
  <si>
    <t>1.82</t>
  </si>
  <si>
    <t>45.50</t>
  </si>
  <si>
    <t>63,390.60</t>
  </si>
  <si>
    <t>1,546.00</t>
  </si>
  <si>
    <t>38,650.00</t>
  </si>
  <si>
    <t>24,740.60</t>
  </si>
  <si>
    <t>2186</t>
  </si>
  <si>
    <t>3.10</t>
  </si>
  <si>
    <t>4,358.91</t>
  </si>
  <si>
    <t>-615,641.09</t>
  </si>
  <si>
    <t>-14,123.7</t>
  </si>
  <si>
    <t>IN00384785</t>
  </si>
  <si>
    <t>2187</t>
  </si>
  <si>
    <t>ANC01-PadEU</t>
  </si>
  <si>
    <t>(리뉴얼코드확인) [EU] 어성초 77 클리어패드 160ml</t>
  </si>
  <si>
    <t>438.00</t>
  </si>
  <si>
    <t>615,871.80</t>
  </si>
  <si>
    <t>8,146.00</t>
  </si>
  <si>
    <t>407,300.00</t>
  </si>
  <si>
    <t>208,571.80</t>
  </si>
  <si>
    <t>2188</t>
  </si>
  <si>
    <t>600.80</t>
  </si>
  <si>
    <t>844,784.88</t>
  </si>
  <si>
    <t>76,784.88</t>
  </si>
  <si>
    <t>2189</t>
  </si>
  <si>
    <t>240.32</t>
  </si>
  <si>
    <t>337,913.95</t>
  </si>
  <si>
    <t>307,200.00</t>
  </si>
  <si>
    <t>30,713.95</t>
  </si>
  <si>
    <t>2190</t>
  </si>
  <si>
    <t>500.00</t>
  </si>
  <si>
    <t>703,050.00</t>
  </si>
  <si>
    <t>63,050.00</t>
  </si>
  <si>
    <t>2191</t>
  </si>
  <si>
    <t>1,201.60</t>
  </si>
  <si>
    <t>1,689,569.76</t>
  </si>
  <si>
    <t>1,536,000.00</t>
  </si>
  <si>
    <t>153,569.76</t>
  </si>
  <si>
    <t>2192</t>
  </si>
  <si>
    <t>11.89</t>
  </si>
  <si>
    <t>998.76</t>
  </si>
  <si>
    <t>1,404,356.44</t>
  </si>
  <si>
    <t>15,177.38</t>
  </si>
  <si>
    <t>1,274,900.00</t>
  </si>
  <si>
    <t>129,456.44</t>
  </si>
  <si>
    <t>9.2</t>
  </si>
  <si>
    <t>2193</t>
  </si>
  <si>
    <t>1,584,393.48</t>
  </si>
  <si>
    <t>1,440,000.00</t>
  </si>
  <si>
    <t>144,393.48</t>
  </si>
  <si>
    <t>2194</t>
  </si>
  <si>
    <t>912.60</t>
  </si>
  <si>
    <t>1,283,206.86</t>
  </si>
  <si>
    <t>1,166,400.00</t>
  </si>
  <si>
    <t>116,806.86</t>
  </si>
  <si>
    <t>2195</t>
  </si>
  <si>
    <t>362.80</t>
  </si>
  <si>
    <t>510,133.08</t>
  </si>
  <si>
    <t>464,000.00</t>
  </si>
  <si>
    <t>46,133.08</t>
  </si>
  <si>
    <t>2196</t>
  </si>
  <si>
    <t>4.62</t>
  </si>
  <si>
    <t>4,677,251.04</t>
  </si>
  <si>
    <t>3,931,200.00</t>
  </si>
  <si>
    <t>746,051.04</t>
  </si>
  <si>
    <t>2197</t>
  </si>
  <si>
    <t>1,364.80</t>
  </si>
  <si>
    <t>1,919,045.28</t>
  </si>
  <si>
    <t>1,612,800.00</t>
  </si>
  <si>
    <t>306,245.28</t>
  </si>
  <si>
    <t>2198</t>
  </si>
  <si>
    <t>1,024.00</t>
  </si>
  <si>
    <t>1,439,846.40</t>
  </si>
  <si>
    <t>1,209,600.00</t>
  </si>
  <si>
    <t>230,246.40</t>
  </si>
  <si>
    <t>2199</t>
  </si>
  <si>
    <t>1,152.00</t>
  </si>
  <si>
    <t>1,619,827.20</t>
  </si>
  <si>
    <t>259,027.20</t>
  </si>
  <si>
    <t>2200</t>
  </si>
  <si>
    <t>417.90</t>
  </si>
  <si>
    <t>587,818.14</t>
  </si>
  <si>
    <t>432,740.00</t>
  </si>
  <si>
    <t>155,078.14</t>
  </si>
  <si>
    <t>IN00384386</t>
  </si>
  <si>
    <t>2201</t>
  </si>
  <si>
    <t>CMXP01-Mc5</t>
  </si>
  <si>
    <t>(리뉴얼코드확인) [5매입]시카 카밍 앰플 마스크</t>
  </si>
  <si>
    <t>77.44</t>
  </si>
  <si>
    <t>108,927.10</t>
  </si>
  <si>
    <t>5,064.00</t>
  </si>
  <si>
    <t>81,024.00</t>
  </si>
  <si>
    <t>27,903.10</t>
  </si>
  <si>
    <t>2202</t>
  </si>
  <si>
    <t>534,859.65</t>
  </si>
  <si>
    <t>133,541.47</t>
  </si>
  <si>
    <t>2203</t>
  </si>
  <si>
    <t>CMXS06-C</t>
  </si>
  <si>
    <t>듀얼배리어 스킨웨어러블 크림 50ml</t>
  </si>
  <si>
    <t>1,582.20</t>
  </si>
  <si>
    <t>2,225,522.52</t>
  </si>
  <si>
    <t>9,091.00</t>
  </si>
  <si>
    <t>1,636,380.00</t>
  </si>
  <si>
    <t>589,142.52</t>
  </si>
  <si>
    <t>2204</t>
  </si>
  <si>
    <t>CMXS09-SETEP01</t>
  </si>
  <si>
    <t>EP) 셀리맥스 레티날 부스터 더블 기획</t>
  </si>
  <si>
    <t>12.80</t>
  </si>
  <si>
    <t>8,192.00</t>
  </si>
  <si>
    <t>11,522,867.20</t>
  </si>
  <si>
    <t>13,500.00</t>
  </si>
  <si>
    <t>8,640,000.00</t>
  </si>
  <si>
    <t>2,882,867.20</t>
  </si>
  <si>
    <t>2205</t>
  </si>
  <si>
    <t>4,608.00</t>
  </si>
  <si>
    <t>6,481,612.80</t>
  </si>
  <si>
    <t>4,860,000.00</t>
  </si>
  <si>
    <t>1,621,612.80</t>
  </si>
  <si>
    <t>2206</t>
  </si>
  <si>
    <t>10.77</t>
  </si>
  <si>
    <t>538.50</t>
  </si>
  <si>
    <t>748,030.35</t>
  </si>
  <si>
    <t>363,030.35</t>
  </si>
  <si>
    <t>48.5</t>
  </si>
  <si>
    <t>IN00382533</t>
  </si>
  <si>
    <t>2207</t>
  </si>
  <si>
    <t>PeriPCM01-AD007US</t>
  </si>
  <si>
    <t>(글로벌) 잉크 더 에어리 벨벳 007 심장폭격 (AD)</t>
  </si>
  <si>
    <t>165,025.08</t>
  </si>
  <si>
    <t>36,843.26</t>
  </si>
  <si>
    <t>2208</t>
  </si>
  <si>
    <t>2025-10-29</t>
  </si>
  <si>
    <t>cosS02-C</t>
  </si>
  <si>
    <t>어드벤스드 스네일 92 올인원 크림 100g</t>
  </si>
  <si>
    <t>94,956.24</t>
  </si>
  <si>
    <t>8,637.00</t>
  </si>
  <si>
    <t>86,370.00</t>
  </si>
  <si>
    <t>8,586.24</t>
  </si>
  <si>
    <t>IN00378816</t>
  </si>
  <si>
    <t>2209</t>
  </si>
  <si>
    <t>cosS58-C</t>
  </si>
  <si>
    <t>더 레티놀 0.1 크림 20ml</t>
  </si>
  <si>
    <t>182.20</t>
  </si>
  <si>
    <t>250,014.84</t>
  </si>
  <si>
    <t>11,364.00</t>
  </si>
  <si>
    <t>227,280.00</t>
  </si>
  <si>
    <t>22,734.84</t>
  </si>
  <si>
    <t>2210</t>
  </si>
  <si>
    <t>7,500</t>
  </si>
  <si>
    <t>60,825.00</t>
  </si>
  <si>
    <t>83,464,065.00</t>
  </si>
  <si>
    <t>45,000,000.00</t>
  </si>
  <si>
    <t>38,464,065.00</t>
  </si>
  <si>
    <t>IN00378809</t>
  </si>
  <si>
    <t>2211</t>
  </si>
  <si>
    <t>765.00</t>
  </si>
  <si>
    <t>1,049,733.00</t>
  </si>
  <si>
    <t>855,000.00</t>
  </si>
  <si>
    <t>194,733.00</t>
  </si>
  <si>
    <t>2212</t>
  </si>
  <si>
    <t>510.00</t>
  </si>
  <si>
    <t>699,822.00</t>
  </si>
  <si>
    <t>570,000.00</t>
  </si>
  <si>
    <t>129,822.00</t>
  </si>
  <si>
    <t>2213</t>
  </si>
  <si>
    <t>489,875.40</t>
  </si>
  <si>
    <t>90,875.40</t>
  </si>
  <si>
    <t>2214</t>
  </si>
  <si>
    <t>101.70</t>
  </si>
  <si>
    <t>139,552.74</t>
  </si>
  <si>
    <t>3,710.00</t>
  </si>
  <si>
    <t>111,300.00</t>
  </si>
  <si>
    <t>28,252.74</t>
  </si>
  <si>
    <t>2215</t>
  </si>
  <si>
    <t>1,395,527.40</t>
  </si>
  <si>
    <t>1,113,000.00</t>
  </si>
  <si>
    <t>282,527.40</t>
  </si>
  <si>
    <t>2216</t>
  </si>
  <si>
    <t>HMC01-NewBalm50</t>
  </si>
  <si>
    <t>올 클린 밤 50ml</t>
  </si>
  <si>
    <t>1,448.00</t>
  </si>
  <si>
    <t>1,986,945.60</t>
  </si>
  <si>
    <t>4,182.00</t>
  </si>
  <si>
    <t>1,672,800.00</t>
  </si>
  <si>
    <t>314,145.60</t>
  </si>
  <si>
    <t>2217</t>
  </si>
  <si>
    <t>HMC01-NewBalm50M</t>
  </si>
  <si>
    <t>올 클린 밤 만다린 50ml</t>
  </si>
  <si>
    <t>263.20</t>
  </si>
  <si>
    <t>361,163.04</t>
  </si>
  <si>
    <t>292,740.00</t>
  </si>
  <si>
    <t>68,423.04</t>
  </si>
  <si>
    <t>2218</t>
  </si>
  <si>
    <t>3,125.00</t>
  </si>
  <si>
    <t>4,288,125.00</t>
  </si>
  <si>
    <t>3,436,500.00</t>
  </si>
  <si>
    <t>851,625.00</t>
  </si>
  <si>
    <t>2219</t>
  </si>
  <si>
    <t>5,625.00</t>
  </si>
  <si>
    <t>7,718,625.00</t>
  </si>
  <si>
    <t>6,185,700.00</t>
  </si>
  <si>
    <t>1,532,925.00</t>
  </si>
  <si>
    <t>2220</t>
  </si>
  <si>
    <t>237.00</t>
  </si>
  <si>
    <t>325,211.40</t>
  </si>
  <si>
    <t>259,680.00</t>
  </si>
  <si>
    <t>65,531.40</t>
  </si>
  <si>
    <t>2221</t>
  </si>
  <si>
    <t>660.40</t>
  </si>
  <si>
    <t>906,200.88</t>
  </si>
  <si>
    <t>638,300.00</t>
  </si>
  <si>
    <t>267,900.88</t>
  </si>
  <si>
    <t>2222</t>
  </si>
  <si>
    <t>3,006.00</t>
  </si>
  <si>
    <t>4,124,833.20</t>
  </si>
  <si>
    <t>3,321,900.00</t>
  </si>
  <si>
    <t>802,933.20</t>
  </si>
  <si>
    <t>2223</t>
  </si>
  <si>
    <t>HMM02-Cushion23R</t>
  </si>
  <si>
    <t>아트리스 퍼펙트 쿠션 SPF50+ PA+++ 23호 내추럴 베이지 13g</t>
  </si>
  <si>
    <t>11.07</t>
  </si>
  <si>
    <t>15,190.25</t>
  </si>
  <si>
    <t>12,364.00</t>
  </si>
  <si>
    <t>2,826.25</t>
  </si>
  <si>
    <t>2224</t>
  </si>
  <si>
    <t>HMM02-GlowbaseRR</t>
  </si>
  <si>
    <t>(리뉴얼 예정) 아트리스 글로우 베이스 40ml SPF50+ PA++++</t>
  </si>
  <si>
    <t>6.05</t>
  </si>
  <si>
    <t>1,815.00</t>
  </si>
  <si>
    <t>2,490,543.00</t>
  </si>
  <si>
    <t>2,010,000.00</t>
  </si>
  <si>
    <t>480,543.00</t>
  </si>
  <si>
    <t>2225</t>
  </si>
  <si>
    <t>638.40</t>
  </si>
  <si>
    <t>876,012.48</t>
  </si>
  <si>
    <t>2,910.00</t>
  </si>
  <si>
    <t>698,400.00</t>
  </si>
  <si>
    <t>177,612.48</t>
  </si>
  <si>
    <t>2226</t>
  </si>
  <si>
    <t>267.60</t>
  </si>
  <si>
    <t>367,200.72</t>
  </si>
  <si>
    <t>79,200.72</t>
  </si>
  <si>
    <t>2227</t>
  </si>
  <si>
    <t>797.40</t>
  </si>
  <si>
    <t>1,094,192.28</t>
  </si>
  <si>
    <t>765,900.00</t>
  </si>
  <si>
    <t>328,292.28</t>
  </si>
  <si>
    <t>2228</t>
  </si>
  <si>
    <t>5.50</t>
  </si>
  <si>
    <t>495.00</t>
  </si>
  <si>
    <t>679,239.00</t>
  </si>
  <si>
    <t>474,570.00</t>
  </si>
  <si>
    <t>204,669.00</t>
  </si>
  <si>
    <t>2229</t>
  </si>
  <si>
    <t>229,706.28</t>
  </si>
  <si>
    <t>68,966.28</t>
  </si>
  <si>
    <t>2230</t>
  </si>
  <si>
    <t>551.20</t>
  </si>
  <si>
    <t>756,356.64</t>
  </si>
  <si>
    <t>529,520.00</t>
  </si>
  <si>
    <t>226,836.64</t>
  </si>
  <si>
    <t>2231</t>
  </si>
  <si>
    <t>482.30</t>
  </si>
  <si>
    <t>661,812.06</t>
  </si>
  <si>
    <t>463,330.00</t>
  </si>
  <si>
    <t>198,482.06</t>
  </si>
  <si>
    <t>2232</t>
  </si>
  <si>
    <t>391.00</t>
  </si>
  <si>
    <t>536,530.20</t>
  </si>
  <si>
    <t>7,528.00</t>
  </si>
  <si>
    <t>376,400.00</t>
  </si>
  <si>
    <t>160,130.20</t>
  </si>
  <si>
    <t>2233</t>
  </si>
  <si>
    <t>764.40</t>
  </si>
  <si>
    <t>1,048,909.68</t>
  </si>
  <si>
    <t>744,000.00</t>
  </si>
  <si>
    <t>304,909.68</t>
  </si>
  <si>
    <t>2234</t>
  </si>
  <si>
    <t>1,361.60</t>
  </si>
  <si>
    <t>1,868,387.52</t>
  </si>
  <si>
    <t>936,800.00</t>
  </si>
  <si>
    <t>931,587.52</t>
  </si>
  <si>
    <t>49.9</t>
  </si>
  <si>
    <t>2235</t>
  </si>
  <si>
    <t>KSCS01-CEU</t>
  </si>
  <si>
    <t>(글로벌) 서울 1988 레티날 발효쌀 크림</t>
  </si>
  <si>
    <t>케이시크릿</t>
  </si>
  <si>
    <t>658.66</t>
  </si>
  <si>
    <t>9,240.00</t>
  </si>
  <si>
    <t>443,520.00</t>
  </si>
  <si>
    <t>-442,861.34</t>
  </si>
  <si>
    <t>-67,237.1</t>
  </si>
  <si>
    <t>2236</t>
  </si>
  <si>
    <t>KSCS01-CSEU</t>
  </si>
  <si>
    <t>(글로벌) 서울 1988 스네일 93 크림</t>
  </si>
  <si>
    <t>823.32</t>
  </si>
  <si>
    <t>-474,376.68</t>
  </si>
  <si>
    <t>-57,617.5</t>
  </si>
  <si>
    <t>2237</t>
  </si>
  <si>
    <t>KSCS01-IEU</t>
  </si>
  <si>
    <t>(글로벌) 서울 1988 레티날 발효콩 아이크림</t>
  </si>
  <si>
    <t>960.54</t>
  </si>
  <si>
    <t>554,400.00</t>
  </si>
  <si>
    <t>-553,439.46</t>
  </si>
  <si>
    <t>2238</t>
  </si>
  <si>
    <t>KSCS01-SEU</t>
  </si>
  <si>
    <t>(글로벌) 서울 1988 스네일 97 에센스</t>
  </si>
  <si>
    <t>740.99</t>
  </si>
  <si>
    <t>427,680.00</t>
  </si>
  <si>
    <t>-426,939.01</t>
  </si>
  <si>
    <t>2239</t>
  </si>
  <si>
    <t>KSCS01-SREU</t>
  </si>
  <si>
    <t>(글로벌) 서울 1988 레티날 흑삼 세럼</t>
  </si>
  <si>
    <t>2240</t>
  </si>
  <si>
    <t>37,200.00</t>
  </si>
  <si>
    <t>51,045,840.00</t>
  </si>
  <si>
    <t>41,040,000.00</t>
  </si>
  <si>
    <t>10,005,840.00</t>
  </si>
  <si>
    <t>2241</t>
  </si>
  <si>
    <t>1,580.00</t>
  </si>
  <si>
    <t>2,168,076.00</t>
  </si>
  <si>
    <t>1,768,000.00</t>
  </si>
  <si>
    <t>400,076.00</t>
  </si>
  <si>
    <t>2242</t>
  </si>
  <si>
    <t>2,500</t>
  </si>
  <si>
    <t>22,175.00</t>
  </si>
  <si>
    <t>30,428,535.00</t>
  </si>
  <si>
    <t>24,572,500.00</t>
  </si>
  <si>
    <t>5,856,035.00</t>
  </si>
  <si>
    <t>2243</t>
  </si>
  <si>
    <t>3,282.00</t>
  </si>
  <si>
    <t>4,503,560.40</t>
  </si>
  <si>
    <t>3,735,000.00</t>
  </si>
  <si>
    <t>768,560.40</t>
  </si>
  <si>
    <t>2244</t>
  </si>
  <si>
    <t>10.76</t>
  </si>
  <si>
    <t>5,380.00</t>
  </si>
  <si>
    <t>7,382,436.00</t>
  </si>
  <si>
    <t>10,560.00</t>
  </si>
  <si>
    <t>2,102,436.00</t>
  </si>
  <si>
    <t>2245</t>
  </si>
  <si>
    <t>10.43</t>
  </si>
  <si>
    <t>3,129.00</t>
  </si>
  <si>
    <t>4,293,613.80</t>
  </si>
  <si>
    <t>843,613.80</t>
  </si>
  <si>
    <t>2246</t>
  </si>
  <si>
    <t>6,825.00</t>
  </si>
  <si>
    <t>9,365,265.00</t>
  </si>
  <si>
    <t>7,455,000.00</t>
  </si>
  <si>
    <t>1,910,265.00</t>
  </si>
  <si>
    <t>2247</t>
  </si>
  <si>
    <t>13,048.00</t>
  </si>
  <si>
    <t>17,904,465.60</t>
  </si>
  <si>
    <t>14,490,000.00</t>
  </si>
  <si>
    <t>3,414,465.60</t>
  </si>
  <si>
    <t>2248</t>
  </si>
  <si>
    <t>2,735.00</t>
  </si>
  <si>
    <t>3,752,967.00</t>
  </si>
  <si>
    <t>3,000,000.00</t>
  </si>
  <si>
    <t>752,967.00</t>
  </si>
  <si>
    <t>2249</t>
  </si>
  <si>
    <t>4.34</t>
  </si>
  <si>
    <t>3,906.00</t>
  </si>
  <si>
    <t>5,359,813.20</t>
  </si>
  <si>
    <t>4,257,000.00</t>
  </si>
  <si>
    <t>1,102,813.20</t>
  </si>
  <si>
    <t>2250</t>
  </si>
  <si>
    <t>432.96</t>
  </si>
  <si>
    <t>594,107.71</t>
  </si>
  <si>
    <t>4,782.82</t>
  </si>
  <si>
    <t>420,888.00</t>
  </si>
  <si>
    <t>173,219.71</t>
  </si>
  <si>
    <t>2251</t>
  </si>
  <si>
    <t>6.08</t>
  </si>
  <si>
    <t>139.84</t>
  </si>
  <si>
    <t>191,888.45</t>
  </si>
  <si>
    <t>5,958.00</t>
  </si>
  <si>
    <t>137,034.00</t>
  </si>
  <si>
    <t>54,854.45</t>
  </si>
  <si>
    <t>2252</t>
  </si>
  <si>
    <t>2,740.96</t>
  </si>
  <si>
    <t>3,761,145.31</t>
  </si>
  <si>
    <t>2,643,280.00</t>
  </si>
  <si>
    <t>1,117,865.31</t>
  </si>
  <si>
    <t>2253</t>
  </si>
  <si>
    <t>10.13</t>
  </si>
  <si>
    <t>607.80</t>
  </si>
  <si>
    <t>834,023.16</t>
  </si>
  <si>
    <t>424,223.16</t>
  </si>
  <si>
    <t>2254</t>
  </si>
  <si>
    <t>289.50</t>
  </si>
  <si>
    <t>397,251.90</t>
  </si>
  <si>
    <t>5,859.00</t>
  </si>
  <si>
    <t>292,950.00</t>
  </si>
  <si>
    <t>104,301.90</t>
  </si>
  <si>
    <t>2255</t>
  </si>
  <si>
    <t>2,604.00</t>
  </si>
  <si>
    <t>3,573,208.80</t>
  </si>
  <si>
    <t>3,276,000.00</t>
  </si>
  <si>
    <t>297,208.80</t>
  </si>
  <si>
    <t>8.3</t>
  </si>
  <si>
    <t>2256</t>
  </si>
  <si>
    <t>2.75</t>
  </si>
  <si>
    <t>1,650.00</t>
  </si>
  <si>
    <t>2,264,130.00</t>
  </si>
  <si>
    <t>122,130.00</t>
  </si>
  <si>
    <t>5.4</t>
  </si>
  <si>
    <t>2257</t>
  </si>
  <si>
    <t>6,482.00</t>
  </si>
  <si>
    <t>8,894,600.40</t>
  </si>
  <si>
    <t>6,580,000.00</t>
  </si>
  <si>
    <t>2,314,600.40</t>
  </si>
  <si>
    <t>2258</t>
  </si>
  <si>
    <t>579.20</t>
  </si>
  <si>
    <t>794,778.24</t>
  </si>
  <si>
    <t>6,309.21</t>
  </si>
  <si>
    <t>504,737.00</t>
  </si>
  <si>
    <t>290,041.24</t>
  </si>
  <si>
    <t>2259</t>
  </si>
  <si>
    <t>1,042.50</t>
  </si>
  <si>
    <t>1,430,518.50</t>
  </si>
  <si>
    <t>485,518.50</t>
  </si>
  <si>
    <t>2260</t>
  </si>
  <si>
    <t>8.57</t>
  </si>
  <si>
    <t>1,199.80</t>
  </si>
  <si>
    <t>1,646,365.56</t>
  </si>
  <si>
    <t>470,365.56</t>
  </si>
  <si>
    <t>2261</t>
  </si>
  <si>
    <t>362.00</t>
  </si>
  <si>
    <t>496,736.40</t>
  </si>
  <si>
    <t>346,500.00</t>
  </si>
  <si>
    <t>150,236.40</t>
  </si>
  <si>
    <t>2262</t>
  </si>
  <si>
    <t>4,800</t>
  </si>
  <si>
    <t>33,024.00</t>
  </si>
  <si>
    <t>45,315,532.80</t>
  </si>
  <si>
    <t>15,809,932.80</t>
  </si>
  <si>
    <t>2263</t>
  </si>
  <si>
    <t>2,082.80</t>
  </si>
  <si>
    <t>2,877,596.48</t>
  </si>
  <si>
    <t>2,361,600.00</t>
  </si>
  <si>
    <t>515,996.48</t>
  </si>
  <si>
    <t>IN00378805</t>
  </si>
  <si>
    <t>2264</t>
  </si>
  <si>
    <t>5,869.20</t>
  </si>
  <si>
    <t>8,108,886.72</t>
  </si>
  <si>
    <t>6,570,000.00</t>
  </si>
  <si>
    <t>1,538,886.72</t>
  </si>
  <si>
    <t>2265</t>
  </si>
  <si>
    <t>1,648.20</t>
  </si>
  <si>
    <t>2,277,153.12</t>
  </si>
  <si>
    <t>1,845,000.00</t>
  </si>
  <si>
    <t>432,153.12</t>
  </si>
  <si>
    <t>2266</t>
  </si>
  <si>
    <t>844.20</t>
  </si>
  <si>
    <t>1,166,346.72</t>
  </si>
  <si>
    <t>221,346.72</t>
  </si>
  <si>
    <t>2267</t>
  </si>
  <si>
    <t>1,246.20</t>
  </si>
  <si>
    <t>1,721,749.92</t>
  </si>
  <si>
    <t>1,395,000.00</t>
  </si>
  <si>
    <t>326,749.92</t>
  </si>
  <si>
    <t>2268</t>
  </si>
  <si>
    <t>683.40</t>
  </si>
  <si>
    <t>944,185.44</t>
  </si>
  <si>
    <t>179,185.44</t>
  </si>
  <si>
    <t>2269</t>
  </si>
  <si>
    <t>522.60</t>
  </si>
  <si>
    <t>722,024.16</t>
  </si>
  <si>
    <t>137,024.16</t>
  </si>
  <si>
    <t>2270</t>
  </si>
  <si>
    <t>908.52</t>
  </si>
  <si>
    <t>1,255,211.23</t>
  </si>
  <si>
    <t>1,017,000.00</t>
  </si>
  <si>
    <t>238,211.23</t>
  </si>
  <si>
    <t>2271</t>
  </si>
  <si>
    <t>BentonBS05-BL</t>
  </si>
  <si>
    <t>시어버터&amp;코코넛 바디 로션 250ml</t>
  </si>
  <si>
    <t>1,082,621.76</t>
  </si>
  <si>
    <t>6,800.00</t>
  </si>
  <si>
    <t>816,000.00</t>
  </si>
  <si>
    <t>266,621.76</t>
  </si>
  <si>
    <t>2272</t>
  </si>
  <si>
    <t>BentonBS57-AL</t>
  </si>
  <si>
    <t>세라마이드 카밍 아토 바디 로션 300ml</t>
  </si>
  <si>
    <t>570.64</t>
  </si>
  <si>
    <t>788,396.22</t>
  </si>
  <si>
    <t>334,796.22</t>
  </si>
  <si>
    <t>42.5</t>
  </si>
  <si>
    <t>2273</t>
  </si>
  <si>
    <t>1,102.46</t>
  </si>
  <si>
    <t>1,523,158.74</t>
  </si>
  <si>
    <t>1,194,000.00</t>
  </si>
  <si>
    <t>329,158.74</t>
  </si>
  <si>
    <t>2274</t>
  </si>
  <si>
    <t>460.80</t>
  </si>
  <si>
    <t>636,641.28</t>
  </si>
  <si>
    <t>156,641.28</t>
  </si>
  <si>
    <t>2275</t>
  </si>
  <si>
    <t>535.20</t>
  </si>
  <si>
    <t>739,432.32</t>
  </si>
  <si>
    <t>519,272.72</t>
  </si>
  <si>
    <t>220,159.60</t>
  </si>
  <si>
    <t>2276</t>
  </si>
  <si>
    <t>BentonHS03-S</t>
  </si>
  <si>
    <t>어니스트 두피 영양제 토닉 앰플</t>
  </si>
  <si>
    <t>18.47</t>
  </si>
  <si>
    <t>313.99</t>
  </si>
  <si>
    <t>433,808.58</t>
  </si>
  <si>
    <t>197,200.00</t>
  </si>
  <si>
    <t>236,608.58</t>
  </si>
  <si>
    <t>54.5</t>
  </si>
  <si>
    <t>2277</t>
  </si>
  <si>
    <t>5.94</t>
  </si>
  <si>
    <t>1,782.00</t>
  </si>
  <si>
    <t>2,462,011.20</t>
  </si>
  <si>
    <t>6,364.00</t>
  </si>
  <si>
    <t>1,909,200.00</t>
  </si>
  <si>
    <t>552,811.20</t>
  </si>
  <si>
    <t>2278</t>
  </si>
  <si>
    <t>1,159.20</t>
  </si>
  <si>
    <t>1,601,550.72</t>
  </si>
  <si>
    <t>1,173,000.00</t>
  </si>
  <si>
    <t>428,550.72</t>
  </si>
  <si>
    <t>2279</t>
  </si>
  <si>
    <t>907.20</t>
  </si>
  <si>
    <t>1,253,387.52</t>
  </si>
  <si>
    <t>5,255.00</t>
  </si>
  <si>
    <t>945,900.00</t>
  </si>
  <si>
    <t>307,487.52</t>
  </si>
  <si>
    <t>2280</t>
  </si>
  <si>
    <t>3,144.30</t>
  </si>
  <si>
    <t>4,344,164.88</t>
  </si>
  <si>
    <t>5,891.00</t>
  </si>
  <si>
    <t>2,768,770.00</t>
  </si>
  <si>
    <t>1,575,394.88</t>
  </si>
  <si>
    <t>36.3</t>
  </si>
  <si>
    <t>2281</t>
  </si>
  <si>
    <t>2.08</t>
  </si>
  <si>
    <t>258,635.52</t>
  </si>
  <si>
    <t>1,310.00</t>
  </si>
  <si>
    <t>117,900.00</t>
  </si>
  <si>
    <t>140,735.52</t>
  </si>
  <si>
    <t>54.4</t>
  </si>
  <si>
    <t>2282</t>
  </si>
  <si>
    <t>7.72</t>
  </si>
  <si>
    <t>1,775.60</t>
  </si>
  <si>
    <t>2,453,168.96</t>
  </si>
  <si>
    <t>7,328.00</t>
  </si>
  <si>
    <t>1,685,440.00</t>
  </si>
  <si>
    <t>767,728.96</t>
  </si>
  <si>
    <t>2283</t>
  </si>
  <si>
    <t>356.80</t>
  </si>
  <si>
    <t>492,954.88</t>
  </si>
  <si>
    <t>4,710.00</t>
  </si>
  <si>
    <t>376,800.00</t>
  </si>
  <si>
    <t>116,154.88</t>
  </si>
  <si>
    <t>2284</t>
  </si>
  <si>
    <t>534,600.00</t>
  </si>
  <si>
    <t>204,832.32</t>
  </si>
  <si>
    <t>27.7</t>
  </si>
  <si>
    <t>2285</t>
  </si>
  <si>
    <t>149.93</t>
  </si>
  <si>
    <t>207,143.29</t>
  </si>
  <si>
    <t>155,034.00</t>
  </si>
  <si>
    <t>52,109.29</t>
  </si>
  <si>
    <t>2286</t>
  </si>
  <si>
    <t>476,652.00</t>
  </si>
  <si>
    <t>116,652.00</t>
  </si>
  <si>
    <t>2287</t>
  </si>
  <si>
    <t>568.70</t>
  </si>
  <si>
    <t>785,715.92</t>
  </si>
  <si>
    <t>588,060.00</t>
  </si>
  <si>
    <t>197,655.92</t>
  </si>
  <si>
    <t>2288</t>
  </si>
  <si>
    <t>2,152.20</t>
  </si>
  <si>
    <t>2,973,479.52</t>
  </si>
  <si>
    <t>2,002,600.00</t>
  </si>
  <si>
    <t>970,879.52</t>
  </si>
  <si>
    <t>32.7</t>
  </si>
  <si>
    <t>2289</t>
  </si>
  <si>
    <t>BentonSM59-Csun</t>
  </si>
  <si>
    <t>시카수분선세럼 50ml [SPF50/PA++++]</t>
  </si>
  <si>
    <t>624.40</t>
  </si>
  <si>
    <t>862,671.04</t>
  </si>
  <si>
    <t>5,992.00</t>
  </si>
  <si>
    <t>419,440.00</t>
  </si>
  <si>
    <t>443,231.04</t>
  </si>
  <si>
    <t>51.4</t>
  </si>
  <si>
    <t>2290</t>
  </si>
  <si>
    <t>2.61</t>
  </si>
  <si>
    <t>339.30</t>
  </si>
  <si>
    <t>468,776.88</t>
  </si>
  <si>
    <t>2,728.00</t>
  </si>
  <si>
    <t>354,640.00</t>
  </si>
  <si>
    <t>114,136.88</t>
  </si>
  <si>
    <t>2291</t>
  </si>
  <si>
    <t>3.11</t>
  </si>
  <si>
    <t>933.00</t>
  </si>
  <si>
    <t>1,289,032.80</t>
  </si>
  <si>
    <t>1,063,800.00</t>
  </si>
  <si>
    <t>225,232.80</t>
  </si>
  <si>
    <t>2292</t>
  </si>
  <si>
    <t>223.44</t>
  </si>
  <si>
    <t>308,704.70</t>
  </si>
  <si>
    <t>229,320.00</t>
  </si>
  <si>
    <t>79,384.70</t>
  </si>
  <si>
    <t>2293</t>
  </si>
  <si>
    <t>229.10</t>
  </si>
  <si>
    <t>316,524.56</t>
  </si>
  <si>
    <t>259,120.00</t>
  </si>
  <si>
    <t>57,404.56</t>
  </si>
  <si>
    <t>2294</t>
  </si>
  <si>
    <t>197.49</t>
  </si>
  <si>
    <t>272,852.18</t>
  </si>
  <si>
    <t>223,368.00</t>
  </si>
  <si>
    <t>49,484.18</t>
  </si>
  <si>
    <t>2295</t>
  </si>
  <si>
    <t>0.41</t>
  </si>
  <si>
    <t>49.20</t>
  </si>
  <si>
    <t>67,974.72</t>
  </si>
  <si>
    <t>39,360.00</t>
  </si>
  <si>
    <t>28,614.72</t>
  </si>
  <si>
    <t>2296</t>
  </si>
  <si>
    <t>89.90</t>
  </si>
  <si>
    <t>124,205.84</t>
  </si>
  <si>
    <t>101,680.00</t>
  </si>
  <si>
    <t>22,525.84</t>
  </si>
  <si>
    <t>2297</t>
  </si>
  <si>
    <t>20.30</t>
  </si>
  <si>
    <t>28,046.48</t>
  </si>
  <si>
    <t>5,086.48</t>
  </si>
  <si>
    <t>2298</t>
  </si>
  <si>
    <t>303.80</t>
  </si>
  <si>
    <t>419,730.08</t>
  </si>
  <si>
    <t>337,330.00</t>
  </si>
  <si>
    <t>82,400.08</t>
  </si>
  <si>
    <t>2299</t>
  </si>
  <si>
    <t>127.36</t>
  </si>
  <si>
    <t>175,960.58</t>
  </si>
  <si>
    <t>142,560.00</t>
  </si>
  <si>
    <t>33,400.58</t>
  </si>
  <si>
    <t>2300</t>
  </si>
  <si>
    <t>362,462.76</t>
  </si>
  <si>
    <t>291,500.00</t>
  </si>
  <si>
    <t>70,962.76</t>
  </si>
  <si>
    <t>2301</t>
  </si>
  <si>
    <t>381.15</t>
  </si>
  <si>
    <t>526,596.84</t>
  </si>
  <si>
    <t>5,910.00</t>
  </si>
  <si>
    <t>455,070.00</t>
  </si>
  <si>
    <t>71,526.84</t>
  </si>
  <si>
    <t>2302</t>
  </si>
  <si>
    <t>277.80</t>
  </si>
  <si>
    <t>383,808.48</t>
  </si>
  <si>
    <t>327,300.00</t>
  </si>
  <si>
    <t>56,508.48</t>
  </si>
  <si>
    <t>2303</t>
  </si>
  <si>
    <t>107.55</t>
  </si>
  <si>
    <t>148,591.08</t>
  </si>
  <si>
    <t>7,455.00</t>
  </si>
  <si>
    <t>111,825.00</t>
  </si>
  <si>
    <t>36,766.08</t>
  </si>
  <si>
    <t>2304</t>
  </si>
  <si>
    <t>IDCP02-PKc</t>
  </si>
  <si>
    <t>케이크 마이 데이 100ml</t>
  </si>
  <si>
    <t>10.08</t>
  </si>
  <si>
    <t>231.84</t>
  </si>
  <si>
    <t>320,310.14</t>
  </si>
  <si>
    <t>250,286.00</t>
  </si>
  <si>
    <t>70,024.14</t>
  </si>
  <si>
    <t>2305</t>
  </si>
  <si>
    <t>IDCP02-PKm</t>
  </si>
  <si>
    <t>마차 무드 100ml</t>
  </si>
  <si>
    <t>100.80</t>
  </si>
  <si>
    <t>139,265.28</t>
  </si>
  <si>
    <t>30,445.28</t>
  </si>
  <si>
    <t>2306</t>
  </si>
  <si>
    <t>JayP02-R</t>
  </si>
  <si>
    <t>해외용 로젤티 아이 겔 패치 60매입</t>
  </si>
  <si>
    <t>제이준</t>
  </si>
  <si>
    <t>21.72</t>
  </si>
  <si>
    <t>30,008.35</t>
  </si>
  <si>
    <t>26,000.00</t>
  </si>
  <si>
    <t>4,008.35</t>
  </si>
  <si>
    <t>2307</t>
  </si>
  <si>
    <t>LGSM02-SCP</t>
  </si>
  <si>
    <t>셀러스 선 젤 플러스 40ml</t>
  </si>
  <si>
    <t>8.28</t>
  </si>
  <si>
    <t>248.40</t>
  </si>
  <si>
    <t>343,189.44</t>
  </si>
  <si>
    <t>8,982.00</t>
  </si>
  <si>
    <t>269,460.00</t>
  </si>
  <si>
    <t>73,729.44</t>
  </si>
  <si>
    <t>2308</t>
  </si>
  <si>
    <t>249.00</t>
  </si>
  <si>
    <t>344,018.40</t>
  </si>
  <si>
    <t>4,510.00</t>
  </si>
  <si>
    <t>225,500.00</t>
  </si>
  <si>
    <t>118,518.40</t>
  </si>
  <si>
    <t>2309</t>
  </si>
  <si>
    <t>412,822.08</t>
  </si>
  <si>
    <t>314,200.00</t>
  </si>
  <si>
    <t>98,622.08</t>
  </si>
  <si>
    <t>2310</t>
  </si>
  <si>
    <t>278.72</t>
  </si>
  <si>
    <t>385,079.55</t>
  </si>
  <si>
    <t>252,512.00</t>
  </si>
  <si>
    <t>132,567.55</t>
  </si>
  <si>
    <t>2311</t>
  </si>
  <si>
    <t>4.18</t>
  </si>
  <si>
    <t>1,905,779.04</t>
  </si>
  <si>
    <t>1,618,650.00</t>
  </si>
  <si>
    <t>287,129.04</t>
  </si>
  <si>
    <t>2312</t>
  </si>
  <si>
    <t>1,110</t>
  </si>
  <si>
    <t>6,271.50</t>
  </si>
  <si>
    <t>8,664,704.40</t>
  </si>
  <si>
    <t>4,971.17</t>
  </si>
  <si>
    <t>5,518,000.00</t>
  </si>
  <si>
    <t>3,146,704.40</t>
  </si>
  <si>
    <t>2313</t>
  </si>
  <si>
    <t>700.70</t>
  </si>
  <si>
    <t>968,087.12</t>
  </si>
  <si>
    <t>780,000.00</t>
  </si>
  <si>
    <t>188,087.12</t>
  </si>
  <si>
    <t>2314</t>
  </si>
  <si>
    <t>2,860.00</t>
  </si>
  <si>
    <t>3,951,376.00</t>
  </si>
  <si>
    <t>751,376.00</t>
  </si>
  <si>
    <t>2315</t>
  </si>
  <si>
    <t>NLS08-EC</t>
  </si>
  <si>
    <t>에버유스 듀얼이펙트 아이크림 20ml</t>
  </si>
  <si>
    <t>1,075.50</t>
  </si>
  <si>
    <t>1,485,910.80</t>
  </si>
  <si>
    <t>1,170,000.00</t>
  </si>
  <si>
    <t>315,910.80</t>
  </si>
  <si>
    <t>2316</t>
  </si>
  <si>
    <t>3.66</t>
  </si>
  <si>
    <t>219.60</t>
  </si>
  <si>
    <t>303,399.36</t>
  </si>
  <si>
    <t>63,399.36</t>
  </si>
  <si>
    <t>2317</t>
  </si>
  <si>
    <t>4.60</t>
  </si>
  <si>
    <t>230.00</t>
  </si>
  <si>
    <t>317,768.00</t>
  </si>
  <si>
    <t>47,768.00</t>
  </si>
  <si>
    <t>15.0</t>
  </si>
  <si>
    <t>2318</t>
  </si>
  <si>
    <t>secretKC-Lemondtoc</t>
  </si>
  <si>
    <t>레몬 스파클링 필링 젤 120ml</t>
  </si>
  <si>
    <t>836.40</t>
  </si>
  <si>
    <t>1,155,570.24</t>
  </si>
  <si>
    <t>986,000.00</t>
  </si>
  <si>
    <t>169,570.24</t>
  </si>
  <si>
    <t>2319</t>
  </si>
  <si>
    <t>secretKP03-P</t>
  </si>
  <si>
    <t>스노우 화이트 밀키 팩 200g</t>
  </si>
  <si>
    <t>1,309.10</t>
  </si>
  <si>
    <t>1,808,652.56</t>
  </si>
  <si>
    <t>1,487,700.00</t>
  </si>
  <si>
    <t>320,952.56</t>
  </si>
  <si>
    <t>2320</t>
  </si>
  <si>
    <t>secretKP05-Mst10RR</t>
  </si>
  <si>
    <t>(리뉴얼,10매입)스타팅 트리트먼트 에센셜 마스크 시트</t>
  </si>
  <si>
    <t>450.18</t>
  </si>
  <si>
    <t>621,968.69</t>
  </si>
  <si>
    <t>530,700.00</t>
  </si>
  <si>
    <t>91,268.69</t>
  </si>
  <si>
    <t>2321</t>
  </si>
  <si>
    <t>413.60</t>
  </si>
  <si>
    <t>571,429.76</t>
  </si>
  <si>
    <t>84,229.76</t>
  </si>
  <si>
    <t>2322</t>
  </si>
  <si>
    <t>861.00</t>
  </si>
  <si>
    <t>1,189,557.60</t>
  </si>
  <si>
    <t>1,015,000.00</t>
  </si>
  <si>
    <t>174,557.60</t>
  </si>
  <si>
    <t>2323</t>
  </si>
  <si>
    <t>452.00</t>
  </si>
  <si>
    <t>624,483.20</t>
  </si>
  <si>
    <t>104,483.20</t>
  </si>
  <si>
    <t>2324</t>
  </si>
  <si>
    <t>102.00</t>
  </si>
  <si>
    <t>140,923.20</t>
  </si>
  <si>
    <t>36,923.20</t>
  </si>
  <si>
    <t>2325</t>
  </si>
  <si>
    <t>2326</t>
  </si>
  <si>
    <t>122.20</t>
  </si>
  <si>
    <t>168,831.52</t>
  </si>
  <si>
    <t>124,800.00</t>
  </si>
  <si>
    <t>44,031.52</t>
  </si>
  <si>
    <t>2327</t>
  </si>
  <si>
    <t>2025-10-28</t>
  </si>
  <si>
    <t>4,511</t>
  </si>
  <si>
    <t>20,344.61</t>
  </si>
  <si>
    <t>27,768,358.19</t>
  </si>
  <si>
    <t>25,261,600.00</t>
  </si>
  <si>
    <t>2,506,758.19</t>
  </si>
  <si>
    <t>IN00378404</t>
  </si>
  <si>
    <t>2328</t>
  </si>
  <si>
    <t>3,107.39</t>
  </si>
  <si>
    <t>4,241,276.61</t>
  </si>
  <si>
    <t>3,858,400.00</t>
  </si>
  <si>
    <t>382,876.61</t>
  </si>
  <si>
    <t>2329</t>
  </si>
  <si>
    <t>1,104</t>
  </si>
  <si>
    <t>7.74</t>
  </si>
  <si>
    <t>8,544.96</t>
  </si>
  <si>
    <t>11,663,015.90</t>
  </si>
  <si>
    <t>10,598,400.00</t>
  </si>
  <si>
    <t>1,064,615.90</t>
  </si>
  <si>
    <t>2330</t>
  </si>
  <si>
    <t>1.61</t>
  </si>
  <si>
    <t>322.00</t>
  </si>
  <si>
    <t>439,497.80</t>
  </si>
  <si>
    <t>39,497.80</t>
  </si>
  <si>
    <t>2331</t>
  </si>
  <si>
    <t>4,211</t>
  </si>
  <si>
    <t>29,855.99</t>
  </si>
  <si>
    <t>40,750,440.75</t>
  </si>
  <si>
    <t>37,056,800.00</t>
  </si>
  <si>
    <t>3,693,640.75</t>
  </si>
  <si>
    <t>2332</t>
  </si>
  <si>
    <t>4,176.01</t>
  </si>
  <si>
    <t>5,699,836.05</t>
  </si>
  <si>
    <t>5,183,200.00</t>
  </si>
  <si>
    <t>516,636.05</t>
  </si>
  <si>
    <t>2333</t>
  </si>
  <si>
    <t>2,481.50</t>
  </si>
  <si>
    <t>3,386,999.35</t>
  </si>
  <si>
    <t>306,999.35</t>
  </si>
  <si>
    <t>2334</t>
  </si>
  <si>
    <t>17,337.60</t>
  </si>
  <si>
    <t>23,664,090.24</t>
  </si>
  <si>
    <t>15,640,320.00</t>
  </si>
  <si>
    <t>8,023,770.24</t>
  </si>
  <si>
    <t>2335</t>
  </si>
  <si>
    <t>7,415.20</t>
  </si>
  <si>
    <t>10,121,006.48</t>
  </si>
  <si>
    <t>9,200,000.00</t>
  </si>
  <si>
    <t>921,006.48</t>
  </si>
  <si>
    <t>2336</t>
  </si>
  <si>
    <t>2,706.00</t>
  </si>
  <si>
    <t>3,693,419.40</t>
  </si>
  <si>
    <t>333,419.40</t>
  </si>
  <si>
    <t>2337</t>
  </si>
  <si>
    <t>451.00</t>
  </si>
  <si>
    <t>615,569.90</t>
  </si>
  <si>
    <t>560,000.00</t>
  </si>
  <si>
    <t>55,569.90</t>
  </si>
  <si>
    <t>2338</t>
  </si>
  <si>
    <t>774.00</t>
  </si>
  <si>
    <t>1,056,432.60</t>
  </si>
  <si>
    <t>96,432.60</t>
  </si>
  <si>
    <t>2339</t>
  </si>
  <si>
    <t>5,459.60</t>
  </si>
  <si>
    <t>-634,540.40</t>
  </si>
  <si>
    <t>-11,622.5</t>
  </si>
  <si>
    <t>2340</t>
  </si>
  <si>
    <t>13,103.04</t>
  </si>
  <si>
    <t>-1,522,896.96</t>
  </si>
  <si>
    <t>2341</t>
  </si>
  <si>
    <t>-794,540.40</t>
  </si>
  <si>
    <t>-14,553.1</t>
  </si>
  <si>
    <t>2342</t>
  </si>
  <si>
    <t>644.00</t>
  </si>
  <si>
    <t>878,995.60</t>
  </si>
  <si>
    <t>78,995.60</t>
  </si>
  <si>
    <t>2343</t>
  </si>
  <si>
    <t>3,016.00</t>
  </si>
  <si>
    <t>4,116,538.40</t>
  </si>
  <si>
    <t>372,538.40</t>
  </si>
  <si>
    <t>2344</t>
  </si>
  <si>
    <t>1.29</t>
  </si>
  <si>
    <t>1,032.00</t>
  </si>
  <si>
    <t>1,408,576.80</t>
  </si>
  <si>
    <t>128,576.80</t>
  </si>
  <si>
    <t>2345</t>
  </si>
  <si>
    <t>2346</t>
  </si>
  <si>
    <t>1,548.00</t>
  </si>
  <si>
    <t>2,112,865.20</t>
  </si>
  <si>
    <t>192,865.20</t>
  </si>
  <si>
    <t>2347</t>
  </si>
  <si>
    <t>2348</t>
  </si>
  <si>
    <t>2349</t>
  </si>
  <si>
    <t>2350</t>
  </si>
  <si>
    <t>6,551.52</t>
  </si>
  <si>
    <t>-761,448.48</t>
  </si>
  <si>
    <t>2351</t>
  </si>
  <si>
    <t>567.60</t>
  </si>
  <si>
    <t>774,717.24</t>
  </si>
  <si>
    <t>70,717.24</t>
  </si>
  <si>
    <t>2352</t>
  </si>
  <si>
    <t>1,628</t>
  </si>
  <si>
    <t>12,600.72</t>
  </si>
  <si>
    <t>17,198,722.73</t>
  </si>
  <si>
    <t>15,628,800.00</t>
  </si>
  <si>
    <t>1,569,922.73</t>
  </si>
  <si>
    <t>2353</t>
  </si>
  <si>
    <t>1,269.36</t>
  </si>
  <si>
    <t>1,732,549.46</t>
  </si>
  <si>
    <t>1,574,400.00</t>
  </si>
  <si>
    <t>158,149.46</t>
  </si>
  <si>
    <t>2354</t>
  </si>
  <si>
    <t>ANS01-A</t>
  </si>
  <si>
    <t>어성초 80 앰플 30ml</t>
  </si>
  <si>
    <t>10.64</t>
  </si>
  <si>
    <t>3,447.36</t>
  </si>
  <si>
    <t>4,705,301.66</t>
  </si>
  <si>
    <t>12,152.34</t>
  </si>
  <si>
    <t>3,937,356.75</t>
  </si>
  <si>
    <t>767,944.91</t>
  </si>
  <si>
    <t>2355</t>
  </si>
  <si>
    <t>12.25</t>
  </si>
  <si>
    <t>3,087.00</t>
  </si>
  <si>
    <t>4,213,446.30</t>
  </si>
  <si>
    <t>3,830,400.00</t>
  </si>
  <si>
    <t>383,046.30</t>
  </si>
  <si>
    <t>2356</t>
  </si>
  <si>
    <t>1,914.00</t>
  </si>
  <si>
    <t>2,612,418.60</t>
  </si>
  <si>
    <t>236,418.60</t>
  </si>
  <si>
    <t>2357</t>
  </si>
  <si>
    <t>11.28</t>
  </si>
  <si>
    <t>5,076.00</t>
  </si>
  <si>
    <t>6,928,232.40</t>
  </si>
  <si>
    <t>628,232.40</t>
  </si>
  <si>
    <t>2358</t>
  </si>
  <si>
    <t>32,240.00</t>
  </si>
  <si>
    <t>44,004,376.00</t>
  </si>
  <si>
    <t>40,000,000.00</t>
  </si>
  <si>
    <t>4,004,376.00</t>
  </si>
  <si>
    <t>2359</t>
  </si>
  <si>
    <t>14.51</t>
  </si>
  <si>
    <t>7,255.00</t>
  </si>
  <si>
    <t>9,902,349.50</t>
  </si>
  <si>
    <t>8,182,000.00</t>
  </si>
  <si>
    <t>1,720,349.50</t>
  </si>
  <si>
    <t>2360</t>
  </si>
  <si>
    <t>2,729.80</t>
  </si>
  <si>
    <t>1,454,600.00</t>
  </si>
  <si>
    <t>-1,451,870.20</t>
  </si>
  <si>
    <t>-53,186.0</t>
  </si>
  <si>
    <t>2361</t>
  </si>
  <si>
    <t>3,481.20</t>
  </si>
  <si>
    <t>4,751,489.88</t>
  </si>
  <si>
    <t>431,489.88</t>
  </si>
  <si>
    <t>2362</t>
  </si>
  <si>
    <t>2,818.80</t>
  </si>
  <si>
    <t>3,847,380.12</t>
  </si>
  <si>
    <t>3,499,200.00</t>
  </si>
  <si>
    <t>348,180.12</t>
  </si>
  <si>
    <t>2363</t>
  </si>
  <si>
    <t>ANS06-EN</t>
  </si>
  <si>
    <t>(리뉴얼코드확인) 복숭아 77 나이아신 컨디셔닝 밀크 150ml</t>
  </si>
  <si>
    <t>1,044.00</t>
  </si>
  <si>
    <t>1,424,955.60</t>
  </si>
  <si>
    <t>290,955.60</t>
  </si>
  <si>
    <t>2364</t>
  </si>
  <si>
    <t>1,512</t>
  </si>
  <si>
    <t>13,154.40</t>
  </si>
  <si>
    <t>17,954,440.56</t>
  </si>
  <si>
    <t>16,329,600.00</t>
  </si>
  <si>
    <t>1,624,840.56</t>
  </si>
  <si>
    <t>2365</t>
  </si>
  <si>
    <t>2,579.20</t>
  </si>
  <si>
    <t>3,520,350.08</t>
  </si>
  <si>
    <t>320,350.08</t>
  </si>
  <si>
    <t>2366</t>
  </si>
  <si>
    <t>232,415.17</t>
  </si>
  <si>
    <t>21,215.17</t>
  </si>
  <si>
    <t>2367</t>
  </si>
  <si>
    <t>3,730.68</t>
  </si>
  <si>
    <t>5,092,005.13</t>
  </si>
  <si>
    <t>4,627,200.00</t>
  </si>
  <si>
    <t>464,805.13</t>
  </si>
  <si>
    <t>2368</t>
  </si>
  <si>
    <t>11.61</t>
  </si>
  <si>
    <t>3,715.20</t>
  </si>
  <si>
    <t>5,070,876.48</t>
  </si>
  <si>
    <t>4,608,000.00</t>
  </si>
  <si>
    <t>462,876.48</t>
  </si>
  <si>
    <t>2369</t>
  </si>
  <si>
    <t>10.32</t>
  </si>
  <si>
    <t>6,253.92</t>
  </si>
  <si>
    <t>8,535,975.41</t>
  </si>
  <si>
    <t>7,756,800.00</t>
  </si>
  <si>
    <t>779,175.41</t>
  </si>
  <si>
    <t>2370</t>
  </si>
  <si>
    <t>2,105.28</t>
  </si>
  <si>
    <t>2,873,496.67</t>
  </si>
  <si>
    <t>2,611,200.00</t>
  </si>
  <si>
    <t>262,296.67</t>
  </si>
  <si>
    <t>2371</t>
  </si>
  <si>
    <t>3,900.96</t>
  </si>
  <si>
    <t>5,324,420.30</t>
  </si>
  <si>
    <t>486,020.30</t>
  </si>
  <si>
    <t>2372</t>
  </si>
  <si>
    <t>5,387.04</t>
  </si>
  <si>
    <t>7,352,770.90</t>
  </si>
  <si>
    <t>6,681,600.00</t>
  </si>
  <si>
    <t>671,170.90</t>
  </si>
  <si>
    <t>2373</t>
  </si>
  <si>
    <t>ANS10-PATCH</t>
  </si>
  <si>
    <t>울트라 딘 스팟 커버 패치 75매</t>
  </si>
  <si>
    <t>5.48</t>
  </si>
  <si>
    <t>548.00</t>
  </si>
  <si>
    <t>747,965.20</t>
  </si>
  <si>
    <t>510,000.00</t>
  </si>
  <si>
    <t>237,965.20</t>
  </si>
  <si>
    <t>2374</t>
  </si>
  <si>
    <t>1,644.00</t>
  </si>
  <si>
    <t>2,243,895.60</t>
  </si>
  <si>
    <t>2,040,000.00</t>
  </si>
  <si>
    <t>203,895.60</t>
  </si>
  <si>
    <t>2375</t>
  </si>
  <si>
    <t>1,474.09</t>
  </si>
  <si>
    <t>-1,208,125.91</t>
  </si>
  <si>
    <t>-81,957.3</t>
  </si>
  <si>
    <t>2376</t>
  </si>
  <si>
    <t>5,022</t>
  </si>
  <si>
    <t>51,827.04</t>
  </si>
  <si>
    <t>70,738,726.90</t>
  </si>
  <si>
    <t>56,246,400.00</t>
  </si>
  <si>
    <t>14,492,326.90</t>
  </si>
  <si>
    <t>2377</t>
  </si>
  <si>
    <t>12.57</t>
  </si>
  <si>
    <t>6,285.00</t>
  </si>
  <si>
    <t>8,578,396.50</t>
  </si>
  <si>
    <t>15,194.40</t>
  </si>
  <si>
    <t>7,597,200.00</t>
  </si>
  <si>
    <t>981,196.50</t>
  </si>
  <si>
    <t>2378</t>
  </si>
  <si>
    <t>6,787.80</t>
  </si>
  <si>
    <t>9,264,668.22</t>
  </si>
  <si>
    <t>8,424,000.00</t>
  </si>
  <si>
    <t>840,668.22</t>
  </si>
  <si>
    <t>2379</t>
  </si>
  <si>
    <t>7,182</t>
  </si>
  <si>
    <t>67,151.70</t>
  </si>
  <si>
    <t>91,655,355.33</t>
  </si>
  <si>
    <t>72,897,300.00</t>
  </si>
  <si>
    <t>18,758,055.33</t>
  </si>
  <si>
    <t>2380</t>
  </si>
  <si>
    <t>3,224.00</t>
  </si>
  <si>
    <t>4,400,437.60</t>
  </si>
  <si>
    <t>3,800,000.00</t>
  </si>
  <si>
    <t>600,437.60</t>
  </si>
  <si>
    <t>2381</t>
  </si>
  <si>
    <t>5,610.00</t>
  </si>
  <si>
    <t>7,657,089.00</t>
  </si>
  <si>
    <t>6,960,000.00</t>
  </si>
  <si>
    <t>697,089.00</t>
  </si>
  <si>
    <t>2382</t>
  </si>
  <si>
    <t>7,124,778.00</t>
  </si>
  <si>
    <t>5,670,000.00</t>
  </si>
  <si>
    <t>1,454,778.00</t>
  </si>
  <si>
    <t>2383</t>
  </si>
  <si>
    <t>1,296</t>
  </si>
  <si>
    <t>12,117.60</t>
  </si>
  <si>
    <t>16,539,312.24</t>
  </si>
  <si>
    <t>13,154,400.00</t>
  </si>
  <si>
    <t>3,384,912.24</t>
  </si>
  <si>
    <t>2384</t>
  </si>
  <si>
    <t>15,314.00</t>
  </si>
  <si>
    <t>20,902,078.60</t>
  </si>
  <si>
    <t>19,000,000.00</t>
  </si>
  <si>
    <t>1,902,078.60</t>
  </si>
  <si>
    <t>2385</t>
  </si>
  <si>
    <t>1,934.40</t>
  </si>
  <si>
    <t>2,640,262.56</t>
  </si>
  <si>
    <t>240,262.56</t>
  </si>
  <si>
    <t>2386</t>
  </si>
  <si>
    <t>3,573.36</t>
  </si>
  <si>
    <t>4,877,279.06</t>
  </si>
  <si>
    <t>4,435,200.00</t>
  </si>
  <si>
    <t>442,079.06</t>
  </si>
  <si>
    <t>2387</t>
  </si>
  <si>
    <t>586.67</t>
  </si>
  <si>
    <t>800,100.55</t>
  </si>
  <si>
    <t>666,400.00</t>
  </si>
  <si>
    <t>133,700.55</t>
  </si>
  <si>
    <t>IN00377994</t>
  </si>
  <si>
    <t>2388</t>
  </si>
  <si>
    <t>1,316.31</t>
  </si>
  <si>
    <t>1,795,183.58</t>
  </si>
  <si>
    <t>299,983.58</t>
  </si>
  <si>
    <t>2389</t>
  </si>
  <si>
    <t>2,627.69</t>
  </si>
  <si>
    <t>3,583,643.62</t>
  </si>
  <si>
    <t>2,984,800.00</t>
  </si>
  <si>
    <t>598,843.62</t>
  </si>
  <si>
    <t>2390</t>
  </si>
  <si>
    <t>6.78</t>
  </si>
  <si>
    <t>271.20</t>
  </si>
  <si>
    <t>369,862.56</t>
  </si>
  <si>
    <t>264,000.00</t>
  </si>
  <si>
    <t>105,862.56</t>
  </si>
  <si>
    <t>2391</t>
  </si>
  <si>
    <t>1,329.60</t>
  </si>
  <si>
    <t>1,813,308.48</t>
  </si>
  <si>
    <t>301,308.48</t>
  </si>
  <si>
    <t>2392</t>
  </si>
  <si>
    <t>3,330.00</t>
  </si>
  <si>
    <t>4,541,454.00</t>
  </si>
  <si>
    <t>3,780,000.00</t>
  </si>
  <si>
    <t>761,454.00</t>
  </si>
  <si>
    <t>2393</t>
  </si>
  <si>
    <t>1,444.49</t>
  </si>
  <si>
    <t>1,969,995.46</t>
  </si>
  <si>
    <t>1,640,800.00</t>
  </si>
  <si>
    <t>329,195.46</t>
  </si>
  <si>
    <t>2394</t>
  </si>
  <si>
    <t>875.32</t>
  </si>
  <si>
    <t>1,193,761.42</t>
  </si>
  <si>
    <t>995,400.00</t>
  </si>
  <si>
    <t>198,361.42</t>
  </si>
  <si>
    <t>2395</t>
  </si>
  <si>
    <t>646.80</t>
  </si>
  <si>
    <t>882,105.84</t>
  </si>
  <si>
    <t>4,774.29</t>
  </si>
  <si>
    <t>668,400.00</t>
  </si>
  <si>
    <t>213,705.84</t>
  </si>
  <si>
    <t>2396</t>
  </si>
  <si>
    <t>555.00</t>
  </si>
  <si>
    <t>756,909.00</t>
  </si>
  <si>
    <t>126,909.00</t>
  </si>
  <si>
    <t>2397</t>
  </si>
  <si>
    <t>1,057.68</t>
  </si>
  <si>
    <t>1,442,463.98</t>
  </si>
  <si>
    <t>1,201,200.00</t>
  </si>
  <si>
    <t>241,263.98</t>
  </si>
  <si>
    <t>2398</t>
  </si>
  <si>
    <t>350.03</t>
  </si>
  <si>
    <t>477,370.91</t>
  </si>
  <si>
    <t>5,097.18</t>
  </si>
  <si>
    <t>361,900.00</t>
  </si>
  <si>
    <t>115,470.91</t>
  </si>
  <si>
    <t>2399</t>
  </si>
  <si>
    <t>881.40</t>
  </si>
  <si>
    <t>1,202,053.32</t>
  </si>
  <si>
    <t>201,053.32</t>
  </si>
  <si>
    <t>2400</t>
  </si>
  <si>
    <t>431.20</t>
  </si>
  <si>
    <t>588,070.56</t>
  </si>
  <si>
    <t>98,070.56</t>
  </si>
  <si>
    <t>2401</t>
  </si>
  <si>
    <t>PYP12-PKG</t>
  </si>
  <si>
    <t>진정 릴리프 젤 워시오프팩</t>
  </si>
  <si>
    <t>239,346.90</t>
  </si>
  <si>
    <t>5,985.00</t>
  </si>
  <si>
    <t>179,550.00</t>
  </si>
  <si>
    <t>59,796.90</t>
  </si>
  <si>
    <t>2402</t>
  </si>
  <si>
    <t>1,274.20</t>
  </si>
  <si>
    <t>1,737,753.96</t>
  </si>
  <si>
    <t>1,200,600.00</t>
  </si>
  <si>
    <t>537,153.96</t>
  </si>
  <si>
    <t>2403</t>
  </si>
  <si>
    <t>394.40</t>
  </si>
  <si>
    <t>537,882.72</t>
  </si>
  <si>
    <t>89,882.72</t>
  </si>
  <si>
    <t>2404</t>
  </si>
  <si>
    <t>1,404.10</t>
  </si>
  <si>
    <t>1,914,911.58</t>
  </si>
  <si>
    <t>1,596,000.00</t>
  </si>
  <si>
    <t>318,911.58</t>
  </si>
  <si>
    <t>2405</t>
  </si>
  <si>
    <t>264.00</t>
  </si>
  <si>
    <t>360,043.20</t>
  </si>
  <si>
    <t>111,223.20</t>
  </si>
  <si>
    <t>2406</t>
  </si>
  <si>
    <t>985.00</t>
  </si>
  <si>
    <t>1,343,343.00</t>
  </si>
  <si>
    <t>223,343.00</t>
  </si>
  <si>
    <t>2407</t>
  </si>
  <si>
    <t>10.34</t>
  </si>
  <si>
    <t>4,136.00</t>
  </si>
  <si>
    <t>5,640,676.80</t>
  </si>
  <si>
    <t>840,676.80</t>
  </si>
  <si>
    <t>2408</t>
  </si>
  <si>
    <t>PYS01-LS</t>
  </si>
  <si>
    <t>[리뉴얼 코드 확인/PYS01-LSR] 아토 수분강화 수딩젤 로션 150ml</t>
  </si>
  <si>
    <t>1,163.40</t>
  </si>
  <si>
    <t>1,586,644.92</t>
  </si>
  <si>
    <t>1,096,200.00</t>
  </si>
  <si>
    <t>490,444.92</t>
  </si>
  <si>
    <t>2409</t>
  </si>
  <si>
    <t>8.62</t>
  </si>
  <si>
    <t>689.60</t>
  </si>
  <si>
    <t>940,476.48</t>
  </si>
  <si>
    <t>649,600.00</t>
  </si>
  <si>
    <t>290,876.48</t>
  </si>
  <si>
    <t>2410</t>
  </si>
  <si>
    <t>1,674.50</t>
  </si>
  <si>
    <t>2,283,683.10</t>
  </si>
  <si>
    <t>379,683.10</t>
  </si>
  <si>
    <t>2411</t>
  </si>
  <si>
    <t>1,747.20</t>
  </si>
  <si>
    <t>2,382,831.36</t>
  </si>
  <si>
    <t>1,984,500.00</t>
  </si>
  <si>
    <t>398,331.36</t>
  </si>
  <si>
    <t>2412</t>
  </si>
  <si>
    <t>6.47</t>
  </si>
  <si>
    <t>647.00</t>
  </si>
  <si>
    <t>882,378.60</t>
  </si>
  <si>
    <t>735,000.00</t>
  </si>
  <si>
    <t>147,378.60</t>
  </si>
  <si>
    <t>2413</t>
  </si>
  <si>
    <t>5,048.00</t>
  </si>
  <si>
    <t>6,884,462.40</t>
  </si>
  <si>
    <t>5,600,000.00</t>
  </si>
  <si>
    <t>1,284,462.40</t>
  </si>
  <si>
    <t>2414</t>
  </si>
  <si>
    <t>2,216.00</t>
  </si>
  <si>
    <t>3,022,180.80</t>
  </si>
  <si>
    <t>2,520,000.00</t>
  </si>
  <si>
    <t>502,180.80</t>
  </si>
  <si>
    <t>2415</t>
  </si>
  <si>
    <t>PYS01-T</t>
  </si>
  <si>
    <t>(변경예정) 미스트 토너 100ml</t>
  </si>
  <si>
    <t>1,110.00</t>
  </si>
  <si>
    <t>1,513,818.00</t>
  </si>
  <si>
    <t>253,818.00</t>
  </si>
  <si>
    <t>2416</t>
  </si>
  <si>
    <t>3,327.75</t>
  </si>
  <si>
    <t>4,538,385.45</t>
  </si>
  <si>
    <t>758,385.45</t>
  </si>
  <si>
    <t>2417</t>
  </si>
  <si>
    <t>1.23</t>
  </si>
  <si>
    <t>2,952.00</t>
  </si>
  <si>
    <t>4,025,937.60</t>
  </si>
  <si>
    <t>665,937.60</t>
  </si>
  <si>
    <t>2418</t>
  </si>
  <si>
    <t>828.00</t>
  </si>
  <si>
    <t>1,129,226.40</t>
  </si>
  <si>
    <t>780,390.00</t>
  </si>
  <si>
    <t>348,836.40</t>
  </si>
  <si>
    <t>2419</t>
  </si>
  <si>
    <t>4.31</t>
  </si>
  <si>
    <t>1,724.00</t>
  </si>
  <si>
    <t>2,351,191.20</t>
  </si>
  <si>
    <t>1,960,000.00</t>
  </si>
  <si>
    <t>391,191.20</t>
  </si>
  <si>
    <t>2420</t>
  </si>
  <si>
    <t>17.23</t>
  </si>
  <si>
    <t>2,412.20</t>
  </si>
  <si>
    <t>3,289,758.36</t>
  </si>
  <si>
    <t>15,875.00</t>
  </si>
  <si>
    <t>2,222,500.00</t>
  </si>
  <si>
    <t>1,067,258.36</t>
  </si>
  <si>
    <t>32.4</t>
  </si>
  <si>
    <t>2421</t>
  </si>
  <si>
    <t>13.79</t>
  </si>
  <si>
    <t>689.50</t>
  </si>
  <si>
    <t>940,340.10</t>
  </si>
  <si>
    <t>140,340.10</t>
  </si>
  <si>
    <t>2422</t>
  </si>
  <si>
    <t>34.46</t>
  </si>
  <si>
    <t>5,169.00</t>
  </si>
  <si>
    <t>7,049,482.20</t>
  </si>
  <si>
    <t>29,000.00</t>
  </si>
  <si>
    <t>4,350,000.00</t>
  </si>
  <si>
    <t>2,699,482.20</t>
  </si>
  <si>
    <t>2423</t>
  </si>
  <si>
    <t>12.41</t>
  </si>
  <si>
    <t>620.50</t>
  </si>
  <si>
    <t>846,237.90</t>
  </si>
  <si>
    <t>13,230.00</t>
  </si>
  <si>
    <t>661,500.00</t>
  </si>
  <si>
    <t>184,737.90</t>
  </si>
  <si>
    <t>2424</t>
  </si>
  <si>
    <t>2,586.00</t>
  </si>
  <si>
    <t>3,526,786.80</t>
  </si>
  <si>
    <t>1,006,786.80</t>
  </si>
  <si>
    <t>2425</t>
  </si>
  <si>
    <t>88.64</t>
  </si>
  <si>
    <t>120,887.23</t>
  </si>
  <si>
    <t>86,400.00</t>
  </si>
  <si>
    <t>34,487.23</t>
  </si>
  <si>
    <t>2426</t>
  </si>
  <si>
    <t>2427</t>
  </si>
  <si>
    <t>554.40</t>
  </si>
  <si>
    <t>756,090.72</t>
  </si>
  <si>
    <t>126,090.72</t>
  </si>
  <si>
    <t>2428</t>
  </si>
  <si>
    <t>13.86</t>
  </si>
  <si>
    <t>2,162.16</t>
  </si>
  <si>
    <t>2,948,753.81</t>
  </si>
  <si>
    <t>2,457,000.00</t>
  </si>
  <si>
    <t>491,753.81</t>
  </si>
  <si>
    <t>2429</t>
  </si>
  <si>
    <t>806,278.56</t>
  </si>
  <si>
    <t>174,278.56</t>
  </si>
  <si>
    <t>2430</t>
  </si>
  <si>
    <t>1,209,417.84</t>
  </si>
  <si>
    <t>948,000.00</t>
  </si>
  <si>
    <t>261,417.84</t>
  </si>
  <si>
    <t>2431</t>
  </si>
  <si>
    <t>295.60</t>
  </si>
  <si>
    <t>403,139.28</t>
  </si>
  <si>
    <t>316,000.00</t>
  </si>
  <si>
    <t>87,139.28</t>
  </si>
  <si>
    <t>2432</t>
  </si>
  <si>
    <t>PYS16-C</t>
  </si>
  <si>
    <t>키즈 앤 베이비 크림 스위트오렌지 400ml</t>
  </si>
  <si>
    <t>915.30</t>
  </si>
  <si>
    <t>1,248,286.14</t>
  </si>
  <si>
    <t>904,500.00</t>
  </si>
  <si>
    <t>343,786.14</t>
  </si>
  <si>
    <t>2433</t>
  </si>
  <si>
    <t>184,931.28</t>
  </si>
  <si>
    <t>52,931.28</t>
  </si>
  <si>
    <t>2434</t>
  </si>
  <si>
    <t>PYS50-SET02</t>
  </si>
  <si>
    <t>*리뉴얼 전 편강 율 미니어처 4종세트 (에센스트너30ml + 모이스쳐세럼9ml +뉴트리션크림20ml + 약산성 모공 클렌징폼40ml)</t>
  </si>
  <si>
    <t>332.64</t>
  </si>
  <si>
    <t>453,654.43</t>
  </si>
  <si>
    <t>75,654.43</t>
  </si>
  <si>
    <t>2435</t>
  </si>
  <si>
    <t>PYSM01-StickR</t>
  </si>
  <si>
    <t>(변경예정) *리뉴얼 에어리 프로텍션 선스틱 17g</t>
  </si>
  <si>
    <t>123.20</t>
  </si>
  <si>
    <t>168,020.16</t>
  </si>
  <si>
    <t>118,000.00</t>
  </si>
  <si>
    <t>50,020.16</t>
  </si>
  <si>
    <t>2436</t>
  </si>
  <si>
    <t>PYSM10-SCMR</t>
  </si>
  <si>
    <t>*리뉴얼 아토 마일드 선크림 75ml</t>
  </si>
  <si>
    <t>246.40</t>
  </si>
  <si>
    <t>336,040.32</t>
  </si>
  <si>
    <t>96,040.32</t>
  </si>
  <si>
    <t>2437</t>
  </si>
  <si>
    <t>2025-10-23</t>
  </si>
  <si>
    <t>1,142,306.88</t>
  </si>
  <si>
    <t>939,600.00</t>
  </si>
  <si>
    <t>202,706.88</t>
  </si>
  <si>
    <t>IN00382935</t>
  </si>
  <si>
    <t>2438</t>
  </si>
  <si>
    <t>965.20</t>
  </si>
  <si>
    <t>1,333,520.32</t>
  </si>
  <si>
    <t>1,094,400.00</t>
  </si>
  <si>
    <t>239,120.32</t>
  </si>
  <si>
    <t>IN00378804</t>
  </si>
  <si>
    <t>2439</t>
  </si>
  <si>
    <t>111,080.64</t>
  </si>
  <si>
    <t>21,080.64</t>
  </si>
  <si>
    <t>2440</t>
  </si>
  <si>
    <t>763.80</t>
  </si>
  <si>
    <t>1,055,266.08</t>
  </si>
  <si>
    <t>200,266.08</t>
  </si>
  <si>
    <t>2441</t>
  </si>
  <si>
    <t>160.80</t>
  </si>
  <si>
    <t>222,161.28</t>
  </si>
  <si>
    <t>42,161.28</t>
  </si>
  <si>
    <t>2442</t>
  </si>
  <si>
    <t>333,241.92</t>
  </si>
  <si>
    <t>63,241.92</t>
  </si>
  <si>
    <t>2443</t>
  </si>
  <si>
    <t>603.00</t>
  </si>
  <si>
    <t>833,104.80</t>
  </si>
  <si>
    <t>158,104.80</t>
  </si>
  <si>
    <t>2444</t>
  </si>
  <si>
    <t>457.10</t>
  </si>
  <si>
    <t>631,529.36</t>
  </si>
  <si>
    <t>476,000.00</t>
  </si>
  <si>
    <t>155,529.36</t>
  </si>
  <si>
    <t>2445</t>
  </si>
  <si>
    <t>109.89</t>
  </si>
  <si>
    <t>151,824.02</t>
  </si>
  <si>
    <t>3,091.00</t>
  </si>
  <si>
    <t>114,367.00</t>
  </si>
  <si>
    <t>37,457.02</t>
  </si>
  <si>
    <t>2446</t>
  </si>
  <si>
    <t>341.88</t>
  </si>
  <si>
    <t>472,341.41</t>
  </si>
  <si>
    <t>255,670.00</t>
  </si>
  <si>
    <t>216,671.41</t>
  </si>
  <si>
    <t>45.9</t>
  </si>
  <si>
    <t>2447</t>
  </si>
  <si>
    <t>1,528.50</t>
  </si>
  <si>
    <t>2,111,775.60</t>
  </si>
  <si>
    <t>1,215,000.00</t>
  </si>
  <si>
    <t>896,775.60</t>
  </si>
  <si>
    <t>2448</t>
  </si>
  <si>
    <t>554.00</t>
  </si>
  <si>
    <t>765,406.40</t>
  </si>
  <si>
    <t>165,406.40</t>
  </si>
  <si>
    <t>2449</t>
  </si>
  <si>
    <t>268.80</t>
  </si>
  <si>
    <t>371,374.08</t>
  </si>
  <si>
    <t>91,374.08</t>
  </si>
  <si>
    <t>2450</t>
  </si>
  <si>
    <t>369,716.16</t>
  </si>
  <si>
    <t>4,327.62</t>
  </si>
  <si>
    <t>259,657.45</t>
  </si>
  <si>
    <t>110,058.71</t>
  </si>
  <si>
    <t>2451</t>
  </si>
  <si>
    <t>369.40</t>
  </si>
  <si>
    <t>510,363.04</t>
  </si>
  <si>
    <t>232,000.00</t>
  </si>
  <si>
    <t>278,363.04</t>
  </si>
  <si>
    <t>2452</t>
  </si>
  <si>
    <t>905,224.32</t>
  </si>
  <si>
    <t>663,000.00</t>
  </si>
  <si>
    <t>242,224.32</t>
  </si>
  <si>
    <t>2453</t>
  </si>
  <si>
    <t>504.00</t>
  </si>
  <si>
    <t>696,326.40</t>
  </si>
  <si>
    <t>525,500.00</t>
  </si>
  <si>
    <t>170,826.40</t>
  </si>
  <si>
    <t>2454</t>
  </si>
  <si>
    <t>2,007.00</t>
  </si>
  <si>
    <t>2,772,871.20</t>
  </si>
  <si>
    <t>1,767,300.00</t>
  </si>
  <si>
    <t>1,005,571.20</t>
  </si>
  <si>
    <t>2455</t>
  </si>
  <si>
    <t>104.00</t>
  </si>
  <si>
    <t>143,686.40</t>
  </si>
  <si>
    <t>65,500.00</t>
  </si>
  <si>
    <t>78,186.40</t>
  </si>
  <si>
    <t>2456</t>
  </si>
  <si>
    <t>926.40</t>
  </si>
  <si>
    <t>1,279,914.24</t>
  </si>
  <si>
    <t>879,360.00</t>
  </si>
  <si>
    <t>400,554.24</t>
  </si>
  <si>
    <t>2457</t>
  </si>
  <si>
    <t>223.00</t>
  </si>
  <si>
    <t>308,096.80</t>
  </si>
  <si>
    <t>235,500.00</t>
  </si>
  <si>
    <t>72,596.80</t>
  </si>
  <si>
    <t>2458</t>
  </si>
  <si>
    <t>178.40</t>
  </si>
  <si>
    <t>246,477.44</t>
  </si>
  <si>
    <t>68,277.44</t>
  </si>
  <si>
    <t>2459</t>
  </si>
  <si>
    <t>155.10</t>
  </si>
  <si>
    <t>214,286.16</t>
  </si>
  <si>
    <t>160,380.00</t>
  </si>
  <si>
    <t>53,906.16</t>
  </si>
  <si>
    <t>2460</t>
  </si>
  <si>
    <t>158,884.00</t>
  </si>
  <si>
    <t>38,884.00</t>
  </si>
  <si>
    <t>2461</t>
  </si>
  <si>
    <t>2462</t>
  </si>
  <si>
    <t>822.90</t>
  </si>
  <si>
    <t>1,136,918.64</t>
  </si>
  <si>
    <t>765,700.00</t>
  </si>
  <si>
    <t>371,218.64</t>
  </si>
  <si>
    <t>2463</t>
  </si>
  <si>
    <t>446.00</t>
  </si>
  <si>
    <t>616,193.60</t>
  </si>
  <si>
    <t>299,600.00</t>
  </si>
  <si>
    <t>316,593.60</t>
  </si>
  <si>
    <t>2464</t>
  </si>
  <si>
    <t>31.10</t>
  </si>
  <si>
    <t>42,967.76</t>
  </si>
  <si>
    <t>7,507.76</t>
  </si>
  <si>
    <t>2465</t>
  </si>
  <si>
    <t>228.00</t>
  </si>
  <si>
    <t>315,004.80</t>
  </si>
  <si>
    <t>81,004.80</t>
  </si>
  <si>
    <t>2466</t>
  </si>
  <si>
    <t>130.20</t>
  </si>
  <si>
    <t>179,884.32</t>
  </si>
  <si>
    <t>144,570.00</t>
  </si>
  <si>
    <t>35,314.32</t>
  </si>
  <si>
    <t>2467</t>
  </si>
  <si>
    <t>54,987.68</t>
  </si>
  <si>
    <t>44,550.00</t>
  </si>
  <si>
    <t>10,437.68</t>
  </si>
  <si>
    <t>2468</t>
  </si>
  <si>
    <t>273,556.80</t>
  </si>
  <si>
    <t>220,000.00</t>
  </si>
  <si>
    <t>53,556.80</t>
  </si>
  <si>
    <t>2469</t>
  </si>
  <si>
    <t>205,167.60</t>
  </si>
  <si>
    <t>177,300.00</t>
  </si>
  <si>
    <t>27,867.60</t>
  </si>
  <si>
    <t>2470</t>
  </si>
  <si>
    <t>92.60</t>
  </si>
  <si>
    <t>127,936.16</t>
  </si>
  <si>
    <t>109,100.00</t>
  </si>
  <si>
    <t>18,836.16</t>
  </si>
  <si>
    <t>2471</t>
  </si>
  <si>
    <t>215.10</t>
  </si>
  <si>
    <t>297,182.16</t>
  </si>
  <si>
    <t>223,650.00</t>
  </si>
  <si>
    <t>73,532.16</t>
  </si>
  <si>
    <t>2472</t>
  </si>
  <si>
    <t>417,795.84</t>
  </si>
  <si>
    <t>326,460.00</t>
  </si>
  <si>
    <t>91,335.84</t>
  </si>
  <si>
    <t>2473</t>
  </si>
  <si>
    <t>2474</t>
  </si>
  <si>
    <t>230,450.88</t>
  </si>
  <si>
    <t>176,295.00</t>
  </si>
  <si>
    <t>54,155.88</t>
  </si>
  <si>
    <t>2475</t>
  </si>
  <si>
    <t>225,062.64</t>
  </si>
  <si>
    <t>195,000.00</t>
  </si>
  <si>
    <t>30,062.64</t>
  </si>
  <si>
    <t>2476</t>
  </si>
  <si>
    <t>228,792.96</t>
  </si>
  <si>
    <t>179,640.00</t>
  </si>
  <si>
    <t>49,152.96</t>
  </si>
  <si>
    <t>2477</t>
  </si>
  <si>
    <t>206,411.04</t>
  </si>
  <si>
    <t>135,300.00</t>
  </si>
  <si>
    <t>71,111.04</t>
  </si>
  <si>
    <t>2478</t>
  </si>
  <si>
    <t>157,100.00</t>
  </si>
  <si>
    <t>49,311.04</t>
  </si>
  <si>
    <t>2479</t>
  </si>
  <si>
    <t>87.10</t>
  </si>
  <si>
    <t>120,337.36</t>
  </si>
  <si>
    <t>78,910.00</t>
  </si>
  <si>
    <t>41,427.36</t>
  </si>
  <si>
    <t>2480</t>
  </si>
  <si>
    <t>710.60</t>
  </si>
  <si>
    <t>981,764.96</t>
  </si>
  <si>
    <t>147,914.96</t>
  </si>
  <si>
    <t>2481</t>
  </si>
  <si>
    <t>1,525.50</t>
  </si>
  <si>
    <t>2,107,630.80</t>
  </si>
  <si>
    <t>1,674,000.00</t>
  </si>
  <si>
    <t>433,630.80</t>
  </si>
  <si>
    <t>2482</t>
  </si>
  <si>
    <t>269.50</t>
  </si>
  <si>
    <t>372,341.20</t>
  </si>
  <si>
    <t>72,341.20</t>
  </si>
  <si>
    <t>2483</t>
  </si>
  <si>
    <t>645.30</t>
  </si>
  <si>
    <t>891,546.48</t>
  </si>
  <si>
    <t>189,546.48</t>
  </si>
  <si>
    <t>2484</t>
  </si>
  <si>
    <t>202,266.24</t>
  </si>
  <si>
    <t>160,000.00</t>
  </si>
  <si>
    <t>42,266.24</t>
  </si>
  <si>
    <t>2485</t>
  </si>
  <si>
    <t>190,660.80</t>
  </si>
  <si>
    <t>28,660.80</t>
  </si>
  <si>
    <t>2486</t>
  </si>
  <si>
    <t>SEC01-F</t>
  </si>
  <si>
    <t>(SEC01-FR확인)그린토마토 딥 포어 클렌징 울트라 휘핑 폼 120g</t>
  </si>
  <si>
    <t>1.43</t>
  </si>
  <si>
    <t>157.30</t>
  </si>
  <si>
    <t>217,325.68</t>
  </si>
  <si>
    <t>1,473.00</t>
  </si>
  <si>
    <t>162,030.00</t>
  </si>
  <si>
    <t>55,295.68</t>
  </si>
  <si>
    <t>2487</t>
  </si>
  <si>
    <t>196.80</t>
  </si>
  <si>
    <t>271,898.88</t>
  </si>
  <si>
    <t>39,898.88</t>
  </si>
  <si>
    <t>2488</t>
  </si>
  <si>
    <t>51.66</t>
  </si>
  <si>
    <t>71,373.46</t>
  </si>
  <si>
    <t>60,900.00</t>
  </si>
  <si>
    <t>10,473.46</t>
  </si>
  <si>
    <t>2489</t>
  </si>
  <si>
    <t>369.00</t>
  </si>
  <si>
    <t>509,810.40</t>
  </si>
  <si>
    <t>435,000.00</t>
  </si>
  <si>
    <t>74,810.40</t>
  </si>
  <si>
    <t>2490</t>
  </si>
  <si>
    <t>167.97</t>
  </si>
  <si>
    <t>232,067.35</t>
  </si>
  <si>
    <t>4,037.00</t>
  </si>
  <si>
    <t>133,221.00</t>
  </si>
  <si>
    <t>98,846.35</t>
  </si>
  <si>
    <t>2491</t>
  </si>
  <si>
    <t>SES01-TP</t>
  </si>
  <si>
    <t>[60매입] 그린토마토 포어 필링 점보 패드</t>
  </si>
  <si>
    <t>521.00</t>
  </si>
  <si>
    <t>719,813.60</t>
  </si>
  <si>
    <t>509,100.00</t>
  </si>
  <si>
    <t>210,713.60</t>
  </si>
  <si>
    <t>2492</t>
  </si>
  <si>
    <t>374,689.92</t>
  </si>
  <si>
    <t>62,689.92</t>
  </si>
  <si>
    <t>2493</t>
  </si>
  <si>
    <t>2494</t>
  </si>
  <si>
    <t>2495</t>
  </si>
  <si>
    <t>2496</t>
  </si>
  <si>
    <t>BC03-CBMO20r</t>
  </si>
  <si>
    <t>클린 잇 제로 클렌징 밤 오리지널 100ml (2024)</t>
  </si>
  <si>
    <t>9.84</t>
  </si>
  <si>
    <t>4,920.00</t>
  </si>
  <si>
    <t>6,797,472.00</t>
  </si>
  <si>
    <t>4,000,000.00</t>
  </si>
  <si>
    <t>2,797,472.00</t>
  </si>
  <si>
    <t>IN00378803</t>
  </si>
  <si>
    <t>2497</t>
  </si>
  <si>
    <t>4,250</t>
  </si>
  <si>
    <t>34,467.50</t>
  </si>
  <si>
    <t>47,620,298.00</t>
  </si>
  <si>
    <t>25,500,000.00</t>
  </si>
  <si>
    <t>22,120,298.00</t>
  </si>
  <si>
    <t>2498</t>
  </si>
  <si>
    <t>634,154.40</t>
  </si>
  <si>
    <t>513,000.00</t>
  </si>
  <si>
    <t>121,154.40</t>
  </si>
  <si>
    <t>2499</t>
  </si>
  <si>
    <t>306.00</t>
  </si>
  <si>
    <t>422,769.60</t>
  </si>
  <si>
    <t>80,769.60</t>
  </si>
  <si>
    <t>2500</t>
  </si>
  <si>
    <t>281,846.40</t>
  </si>
  <si>
    <t>53,846.40</t>
  </si>
  <si>
    <t>2501</t>
  </si>
  <si>
    <t>181.00</t>
  </si>
  <si>
    <t>250,069.60</t>
  </si>
  <si>
    <t>209,100.00</t>
  </si>
  <si>
    <t>40,969.60</t>
  </si>
  <si>
    <t>2502</t>
  </si>
  <si>
    <t>406.40</t>
  </si>
  <si>
    <t>561,482.24</t>
  </si>
  <si>
    <t>392,800.00</t>
  </si>
  <si>
    <t>168,682.24</t>
  </si>
  <si>
    <t>2503</t>
  </si>
  <si>
    <t>664.20</t>
  </si>
  <si>
    <t>917,658.72</t>
  </si>
  <si>
    <t>741,840.00</t>
  </si>
  <si>
    <t>175,818.72</t>
  </si>
  <si>
    <t>2504</t>
  </si>
  <si>
    <t>206.70</t>
  </si>
  <si>
    <t>285,576.72</t>
  </si>
  <si>
    <t>198,570.00</t>
  </si>
  <si>
    <t>87,006.72</t>
  </si>
  <si>
    <t>2505</t>
  </si>
  <si>
    <t>445.90</t>
  </si>
  <si>
    <t>616,055.44</t>
  </si>
  <si>
    <t>182,055.44</t>
  </si>
  <si>
    <t>2506</t>
  </si>
  <si>
    <t>176.32</t>
  </si>
  <si>
    <t>243,603.71</t>
  </si>
  <si>
    <t>169,795.00</t>
  </si>
  <si>
    <t>73,808.71</t>
  </si>
  <si>
    <t>2507</t>
  </si>
  <si>
    <t>851.00</t>
  </si>
  <si>
    <t>1,175,741.60</t>
  </si>
  <si>
    <t>585,500.00</t>
  </si>
  <si>
    <t>590,241.60</t>
  </si>
  <si>
    <t>50.2</t>
  </si>
  <si>
    <t>2508</t>
  </si>
  <si>
    <t>893,618.88</t>
  </si>
  <si>
    <t>747,600.00</t>
  </si>
  <si>
    <t>146,018.88</t>
  </si>
  <si>
    <t>2509</t>
  </si>
  <si>
    <t>8,870.00</t>
  </si>
  <si>
    <t>12,254,792.00</t>
  </si>
  <si>
    <t>2,425,792.00</t>
  </si>
  <si>
    <t>2510</t>
  </si>
  <si>
    <t>1,750.40</t>
  </si>
  <si>
    <t>2,418,352.64</t>
  </si>
  <si>
    <t>1,992,000.00</t>
  </si>
  <si>
    <t>426,352.64</t>
  </si>
  <si>
    <t>2511</t>
  </si>
  <si>
    <t>2,047.50</t>
  </si>
  <si>
    <t>2,828,826.00</t>
  </si>
  <si>
    <t>2,236,500.00</t>
  </si>
  <si>
    <t>592,326.00</t>
  </si>
  <si>
    <t>2512</t>
  </si>
  <si>
    <t>121.60</t>
  </si>
  <si>
    <t>168,002.56</t>
  </si>
  <si>
    <t>119,160.00</t>
  </si>
  <si>
    <t>48,842.56</t>
  </si>
  <si>
    <t>2513</t>
  </si>
  <si>
    <t>2514</t>
  </si>
  <si>
    <t>1,203.80</t>
  </si>
  <si>
    <t>1,663,170.08</t>
  </si>
  <si>
    <t>1,160,900.00</t>
  </si>
  <si>
    <t>502,270.08</t>
  </si>
  <si>
    <t>2515</t>
  </si>
  <si>
    <t>303.90</t>
  </si>
  <si>
    <t>419,868.24</t>
  </si>
  <si>
    <t>214,968.24</t>
  </si>
  <si>
    <t>2516</t>
  </si>
  <si>
    <t>289.60</t>
  </si>
  <si>
    <t>400,111.36</t>
  </si>
  <si>
    <t>245,880.00</t>
  </si>
  <si>
    <t>154,231.36</t>
  </si>
  <si>
    <t>2517</t>
  </si>
  <si>
    <t>764.50</t>
  </si>
  <si>
    <t>1,056,233.20</t>
  </si>
  <si>
    <t>6,002.18</t>
  </si>
  <si>
    <t>660,240.00</t>
  </si>
  <si>
    <t>395,993.20</t>
  </si>
  <si>
    <t>37.5</t>
  </si>
  <si>
    <t>2518</t>
  </si>
  <si>
    <t>599.90</t>
  </si>
  <si>
    <t>828,821.84</t>
  </si>
  <si>
    <t>240,821.84</t>
  </si>
  <si>
    <t>2519</t>
  </si>
  <si>
    <t>300,083.52</t>
  </si>
  <si>
    <t>92,183.52</t>
  </si>
  <si>
    <t>2520</t>
  </si>
  <si>
    <t>1,376.00</t>
  </si>
  <si>
    <t>1,901,081.60</t>
  </si>
  <si>
    <t>1,229,400.00</t>
  </si>
  <si>
    <t>671,681.60</t>
  </si>
  <si>
    <t>2521</t>
  </si>
  <si>
    <t>2025-10-15</t>
  </si>
  <si>
    <t>belifC25-FJ</t>
  </si>
  <si>
    <t>아쿠아밤 젤리 클렌져 160ml</t>
  </si>
  <si>
    <t>90.08</t>
  </si>
  <si>
    <t>123,607.78</t>
  </si>
  <si>
    <t>IN00378808</t>
  </si>
  <si>
    <t>2522</t>
  </si>
  <si>
    <t>belifS06-BCR</t>
  </si>
  <si>
    <t>(북미_Renew) 모이스춰밤_클린 50ml</t>
  </si>
  <si>
    <t>16.89</t>
  </si>
  <si>
    <t>1,520.10</t>
  </si>
  <si>
    <t>2,085,881.22</t>
  </si>
  <si>
    <t>19,637.00</t>
  </si>
  <si>
    <t>1,767,330.00</t>
  </si>
  <si>
    <t>318,551.22</t>
  </si>
  <si>
    <t>15.3</t>
  </si>
  <si>
    <t>2523</t>
  </si>
  <si>
    <t>belifS21-I</t>
  </si>
  <si>
    <t>피트 미라클 리바이탈 아이크림 25ml</t>
  </si>
  <si>
    <t>21.82</t>
  </si>
  <si>
    <t>87.28</t>
  </si>
  <si>
    <t>119,765.62</t>
  </si>
  <si>
    <t>24,546.00</t>
  </si>
  <si>
    <t>98,184.00</t>
  </si>
  <si>
    <t>21,581.62</t>
  </si>
  <si>
    <t>2524</t>
  </si>
  <si>
    <t>belifS24-IBR</t>
  </si>
  <si>
    <t>[Renew]모이스춰라이징 아이 밤 25ml</t>
  </si>
  <si>
    <t>20.41</t>
  </si>
  <si>
    <t>61.23</t>
  </si>
  <si>
    <t>84,019.81</t>
  </si>
  <si>
    <t>23,319.00</t>
  </si>
  <si>
    <t>69,957.00</t>
  </si>
  <si>
    <t>14,062.81</t>
  </si>
  <si>
    <t>2525</t>
  </si>
  <si>
    <t>CMXS06-CEU</t>
  </si>
  <si>
    <t>[EU] 듀얼배리어 스킨웨어러블 크림 50ml</t>
  </si>
  <si>
    <t>1,616.40</t>
  </si>
  <si>
    <t>2,218,024.08</t>
  </si>
  <si>
    <t>581,644.08</t>
  </si>
  <si>
    <t>2526</t>
  </si>
  <si>
    <t>CMXS06-S</t>
  </si>
  <si>
    <t>듀얼배리어 부스팅 세럼 30ml</t>
  </si>
  <si>
    <t>919.52</t>
  </si>
  <si>
    <t>1,261,765.34</t>
  </si>
  <si>
    <t>8,364.00</t>
  </si>
  <si>
    <t>936,768.00</t>
  </si>
  <si>
    <t>324,997.34</t>
  </si>
  <si>
    <t>2527</t>
  </si>
  <si>
    <t>540,921.24</t>
  </si>
  <si>
    <t>6,637.00</t>
  </si>
  <si>
    <t>398,220.00</t>
  </si>
  <si>
    <t>142,701.24</t>
  </si>
  <si>
    <t>2528</t>
  </si>
  <si>
    <t>KLVP07-LipPKBR</t>
  </si>
  <si>
    <t>[R] 너리싱 케어 립 슬리핑 팩 베리 20g</t>
  </si>
  <si>
    <t>5,214.36</t>
  </si>
  <si>
    <t>504.36</t>
  </si>
  <si>
    <t>9.7</t>
  </si>
  <si>
    <t>2529</t>
  </si>
  <si>
    <t>MHS06-AWpf20</t>
  </si>
  <si>
    <t>울트라 화이트닝 퍼펙트 앰플 20ml</t>
  </si>
  <si>
    <t>미구하라</t>
  </si>
  <si>
    <t>401.88</t>
  </si>
  <si>
    <t>551,459.74</t>
  </si>
  <si>
    <t>324,564.00</t>
  </si>
  <si>
    <t>226,895.74</t>
  </si>
  <si>
    <t>41.1</t>
  </si>
  <si>
    <t>2530</t>
  </si>
  <si>
    <t>443.70</t>
  </si>
  <si>
    <t>605,118.06</t>
  </si>
  <si>
    <t>101,118.06</t>
  </si>
  <si>
    <t>IN00378542</t>
  </si>
  <si>
    <t>2531</t>
  </si>
  <si>
    <t>609.40</t>
  </si>
  <si>
    <t>831,099.72</t>
  </si>
  <si>
    <t>138,099.72</t>
  </si>
  <si>
    <t>2532</t>
  </si>
  <si>
    <t>2533</t>
  </si>
  <si>
    <t>147.90</t>
  </si>
  <si>
    <t>201,706.02</t>
  </si>
  <si>
    <t>33,706.02</t>
  </si>
  <si>
    <t>2534</t>
  </si>
  <si>
    <t>813.60</t>
  </si>
  <si>
    <t>1,109,587.68</t>
  </si>
  <si>
    <t>924,000.00</t>
  </si>
  <si>
    <t>185,587.68</t>
  </si>
  <si>
    <t>2535</t>
  </si>
  <si>
    <t>493.00</t>
  </si>
  <si>
    <t>672,353.40</t>
  </si>
  <si>
    <t>112,353.40</t>
  </si>
  <si>
    <t>2536</t>
  </si>
  <si>
    <t>7,540.00</t>
  </si>
  <si>
    <t>301,600.00</t>
  </si>
  <si>
    <t>68,262.56</t>
  </si>
  <si>
    <t>2537</t>
  </si>
  <si>
    <t>268,941.36</t>
  </si>
  <si>
    <t>44,941.36</t>
  </si>
  <si>
    <t>2538</t>
  </si>
  <si>
    <t>443.40</t>
  </si>
  <si>
    <t>604,708.92</t>
  </si>
  <si>
    <t>100,708.92</t>
  </si>
  <si>
    <t>2539</t>
  </si>
  <si>
    <t>1,636,560.00</t>
  </si>
  <si>
    <t>4,521.40</t>
  </si>
  <si>
    <t>1,356,420.00</t>
  </si>
  <si>
    <t>280,140.00</t>
  </si>
  <si>
    <t>2540</t>
  </si>
  <si>
    <t>197.00</t>
  </si>
  <si>
    <t>268,668.60</t>
  </si>
  <si>
    <t>44,668.60</t>
  </si>
  <si>
    <t>2541</t>
  </si>
  <si>
    <t>748.80</t>
  </si>
  <si>
    <t>1,021,213.44</t>
  </si>
  <si>
    <t>8,118.00</t>
  </si>
  <si>
    <t>730,620.00</t>
  </si>
  <si>
    <t>290,593.44</t>
  </si>
  <si>
    <t>2542</t>
  </si>
  <si>
    <t>388.20</t>
  </si>
  <si>
    <t>529,427.16</t>
  </si>
  <si>
    <t>88,427.16</t>
  </si>
  <si>
    <t>2543</t>
  </si>
  <si>
    <t>24.02</t>
  </si>
  <si>
    <t>1,465.22</t>
  </si>
  <si>
    <t>1,998,267.04</t>
  </si>
  <si>
    <t>2,390.16</t>
  </si>
  <si>
    <t>145,800.00</t>
  </si>
  <si>
    <t>1,852,467.04</t>
  </si>
  <si>
    <t>92.7</t>
  </si>
  <si>
    <t>2544</t>
  </si>
  <si>
    <t>1,145,592.00</t>
  </si>
  <si>
    <t>4,427.43</t>
  </si>
  <si>
    <t>929,760.00</t>
  </si>
  <si>
    <t>215,832.00</t>
  </si>
  <si>
    <t>2545</t>
  </si>
  <si>
    <t>275.80</t>
  </si>
  <si>
    <t>376,136.04</t>
  </si>
  <si>
    <t>11,725.00</t>
  </si>
  <si>
    <t>234,500.00</t>
  </si>
  <si>
    <t>141,636.04</t>
  </si>
  <si>
    <t>37.7</t>
  </si>
  <si>
    <t>2546</t>
  </si>
  <si>
    <t>2,067.60</t>
  </si>
  <si>
    <t>2,819,792.88</t>
  </si>
  <si>
    <t>31,750.00</t>
  </si>
  <si>
    <t>1,905,000.00</t>
  </si>
  <si>
    <t>914,792.88</t>
  </si>
  <si>
    <t>2547</t>
  </si>
  <si>
    <t>248.20</t>
  </si>
  <si>
    <t>338,495.16</t>
  </si>
  <si>
    <t>50,495.16</t>
  </si>
  <si>
    <t>2548</t>
  </si>
  <si>
    <t>277.00</t>
  </si>
  <si>
    <t>377,772.60</t>
  </si>
  <si>
    <t>5,976.00</t>
  </si>
  <si>
    <t>298,800.00</t>
  </si>
  <si>
    <t>78,972.60</t>
  </si>
  <si>
    <t>2549</t>
  </si>
  <si>
    <t>441,052.92</t>
  </si>
  <si>
    <t>367,500.00</t>
  </si>
  <si>
    <t>73,552.92</t>
  </si>
  <si>
    <t>2550</t>
  </si>
  <si>
    <t>415.80</t>
  </si>
  <si>
    <t>567,068.04</t>
  </si>
  <si>
    <t>94,568.04</t>
  </si>
  <si>
    <t>2551</t>
  </si>
  <si>
    <t>221.70</t>
  </si>
  <si>
    <t>302,354.46</t>
  </si>
  <si>
    <t>237,000.00</t>
  </si>
  <si>
    <t>65,354.46</t>
  </si>
  <si>
    <t>2552</t>
  </si>
  <si>
    <t>705,493.74</t>
  </si>
  <si>
    <t>553,000.00</t>
  </si>
  <si>
    <t>152,493.74</t>
  </si>
  <si>
    <t>2553</t>
  </si>
  <si>
    <t>48,020.16</t>
  </si>
  <si>
    <t>2554</t>
  </si>
  <si>
    <t>2025-09-12</t>
  </si>
  <si>
    <t>2,150</t>
  </si>
  <si>
    <t>15,415.50</t>
  </si>
  <si>
    <t>21,002,077.20</t>
  </si>
  <si>
    <t>18,920,000.00</t>
  </si>
  <si>
    <t>2,082,077.20</t>
  </si>
  <si>
    <t>9.9</t>
  </si>
  <si>
    <t>IN00371046</t>
  </si>
  <si>
    <t>2555</t>
  </si>
  <si>
    <t>0.96</t>
  </si>
  <si>
    <t>1,307.90</t>
  </si>
  <si>
    <t>844,800.00</t>
  </si>
  <si>
    <t>-843,492.10</t>
  </si>
  <si>
    <t>-64,491.9</t>
  </si>
  <si>
    <t>2556</t>
  </si>
  <si>
    <t>3,551.80</t>
  </si>
  <si>
    <t>4,838,972.32</t>
  </si>
  <si>
    <t>8,750.00</t>
  </si>
  <si>
    <t>3,762,500.00</t>
  </si>
  <si>
    <t>1,076,472.32</t>
  </si>
  <si>
    <t>2557</t>
  </si>
  <si>
    <t>1,089.92</t>
  </si>
  <si>
    <t>-698,910.08</t>
  </si>
  <si>
    <t>-64,124.9</t>
  </si>
  <si>
    <t>2558</t>
  </si>
  <si>
    <t>1,384,743.36</t>
  </si>
  <si>
    <t>1,232,000.00</t>
  </si>
  <si>
    <t>152,743.36</t>
  </si>
  <si>
    <t>2559</t>
  </si>
  <si>
    <t>1,309.00</t>
  </si>
  <si>
    <t>1,783,381.60</t>
  </si>
  <si>
    <t>1,584,000.00</t>
  </si>
  <si>
    <t>199,381.60</t>
  </si>
  <si>
    <t>2560</t>
  </si>
  <si>
    <t>12.55</t>
  </si>
  <si>
    <t>1,129.50</t>
  </si>
  <si>
    <t>1,538,830.80</t>
  </si>
  <si>
    <t>1,368,000.00</t>
  </si>
  <si>
    <t>170,830.80</t>
  </si>
  <si>
    <t>2561</t>
  </si>
  <si>
    <t>ANS01-EDR</t>
  </si>
  <si>
    <t>[리뉴얼] 어성초 70 데일리 로션 200ml</t>
  </si>
  <si>
    <t>6,553,144.00</t>
  </si>
  <si>
    <t>5,824,000.00</t>
  </si>
  <si>
    <t>729,144.00</t>
  </si>
  <si>
    <t>2562</t>
  </si>
  <si>
    <t>14.86</t>
  </si>
  <si>
    <t>3,715.00</t>
  </si>
  <si>
    <t>5,061,316.00</t>
  </si>
  <si>
    <t>4,091,000.00</t>
  </si>
  <si>
    <t>970,316.00</t>
  </si>
  <si>
    <t>2563</t>
  </si>
  <si>
    <t>3,389.60</t>
  </si>
  <si>
    <t>4,617,991.04</t>
  </si>
  <si>
    <t>4,104,000.00</t>
  </si>
  <si>
    <t>513,991.04</t>
  </si>
  <si>
    <t>2564</t>
  </si>
  <si>
    <t>495.60</t>
  </si>
  <si>
    <t>675,205.44</t>
  </si>
  <si>
    <t>75,205.44</t>
  </si>
  <si>
    <t>2565</t>
  </si>
  <si>
    <t>1,070.10</t>
  </si>
  <si>
    <t>1,457,904.24</t>
  </si>
  <si>
    <t>13,720.00</t>
  </si>
  <si>
    <t>1,234,800.00</t>
  </si>
  <si>
    <t>223,104.24</t>
  </si>
  <si>
    <t>2566</t>
  </si>
  <si>
    <t>3,092.70</t>
  </si>
  <si>
    <t>4,213,494.48</t>
  </si>
  <si>
    <t>469,494.48</t>
  </si>
  <si>
    <t>2567</t>
  </si>
  <si>
    <t>ANS10-NPadSet</t>
  </si>
  <si>
    <t>NIACINAMIDE 10% TXA 3 SERUM PAD 60EA + [RENEW] NIACINAMIDE10% + TXA 4% SERUM 30mL</t>
  </si>
  <si>
    <t>681.20</t>
  </si>
  <si>
    <t>19,654.00</t>
  </si>
  <si>
    <t>982,700.00</t>
  </si>
  <si>
    <t>-982,018.80</t>
  </si>
  <si>
    <t>-144,160.1</t>
  </si>
  <si>
    <t>2568</t>
  </si>
  <si>
    <t>2,900</t>
  </si>
  <si>
    <t>10.57</t>
  </si>
  <si>
    <t>30,653.00</t>
  </si>
  <si>
    <t>41,761,647.20</t>
  </si>
  <si>
    <t>32,480,000.00</t>
  </si>
  <si>
    <t>9,281,647.20</t>
  </si>
  <si>
    <t>2569</t>
  </si>
  <si>
    <t>735.70</t>
  </si>
  <si>
    <t>-604,064.30</t>
  </si>
  <si>
    <t>-82,107.9</t>
  </si>
  <si>
    <t>2570</t>
  </si>
  <si>
    <t>12.88</t>
  </si>
  <si>
    <t>3,091.20</t>
  </si>
  <si>
    <t>4,211,450.88</t>
  </si>
  <si>
    <t>467,450.88</t>
  </si>
  <si>
    <t>2571</t>
  </si>
  <si>
    <t>1,600</t>
  </si>
  <si>
    <t>15,328.00</t>
  </si>
  <si>
    <t>20,882,867.20</t>
  </si>
  <si>
    <t>16,240,000.00</t>
  </si>
  <si>
    <t>4,642,867.20</t>
  </si>
  <si>
    <t>2572</t>
  </si>
  <si>
    <t>3,544.60</t>
  </si>
  <si>
    <t>4,829,163.04</t>
  </si>
  <si>
    <t>4,292,000.00</t>
  </si>
  <si>
    <t>537,163.04</t>
  </si>
  <si>
    <t>2573</t>
  </si>
  <si>
    <t>2,497.60</t>
  </si>
  <si>
    <t>3,402,730.24</t>
  </si>
  <si>
    <t>756,730.24</t>
  </si>
  <si>
    <t>2574</t>
  </si>
  <si>
    <t>4,543.00</t>
  </si>
  <si>
    <t>6,189,383.20</t>
  </si>
  <si>
    <t>5,500,000.00</t>
  </si>
  <si>
    <t>689,383.20</t>
  </si>
  <si>
    <t>2575</t>
  </si>
  <si>
    <t>2025-09-08</t>
  </si>
  <si>
    <t>4,855.20</t>
  </si>
  <si>
    <t>6,591,905.04</t>
  </si>
  <si>
    <t>5,569,200.00</t>
  </si>
  <si>
    <t>1,022,705.04</t>
  </si>
  <si>
    <t>IN00370758</t>
  </si>
  <si>
    <t>2576</t>
  </si>
  <si>
    <t>12.45</t>
  </si>
  <si>
    <t>8,217.00</t>
  </si>
  <si>
    <t>11,156,220.90</t>
  </si>
  <si>
    <t>9,424,800.00</t>
  </si>
  <si>
    <t>1,731,420.90</t>
  </si>
  <si>
    <t>2577</t>
  </si>
  <si>
    <t>814.62</t>
  </si>
  <si>
    <t>-427,585.38</t>
  </si>
  <si>
    <t>-52,488.9</t>
  </si>
  <si>
    <t>2578</t>
  </si>
  <si>
    <t>4,080</t>
  </si>
  <si>
    <t>25,377.60</t>
  </si>
  <si>
    <t>34,455,167.52</t>
  </si>
  <si>
    <t>29,131,200.00</t>
  </si>
  <si>
    <t>5,323,967.52</t>
  </si>
  <si>
    <t>2579</t>
  </si>
  <si>
    <t>JSMS01-SRVR</t>
  </si>
  <si>
    <t>[리뉴얼] 인삼스네일세럼 30ml</t>
  </si>
  <si>
    <t>4,354.00</t>
  </si>
  <si>
    <t>5,911,425.80</t>
  </si>
  <si>
    <t>913,425.80</t>
  </si>
  <si>
    <t>2580</t>
  </si>
  <si>
    <t>6,590.00</t>
  </si>
  <si>
    <t>8,947,243.00</t>
  </si>
  <si>
    <t>1,387,243.00</t>
  </si>
  <si>
    <t>2581</t>
  </si>
  <si>
    <t>-452,785.38</t>
  </si>
  <si>
    <t>-55,582.4</t>
  </si>
  <si>
    <t>2582</t>
  </si>
  <si>
    <t>23,280</t>
  </si>
  <si>
    <t>153,415.20</t>
  </si>
  <si>
    <t>208,291,817.04</t>
  </si>
  <si>
    <t>175,996,800.00</t>
  </si>
  <si>
    <t>32,295,017.04</t>
  </si>
  <si>
    <t>2583</t>
  </si>
  <si>
    <t>15,816.00</t>
  </si>
  <si>
    <t>21,473,383.20</t>
  </si>
  <si>
    <t>3,329,383.20</t>
  </si>
  <si>
    <t>2584</t>
  </si>
  <si>
    <t>7.69</t>
  </si>
  <si>
    <t>1,614.90</t>
  </si>
  <si>
    <t>2,192,549.73</t>
  </si>
  <si>
    <t>1,852,200.00</t>
  </si>
  <si>
    <t>340,349.73</t>
  </si>
  <si>
    <t>2585</t>
  </si>
  <si>
    <t>KDHS01-SPAV</t>
  </si>
  <si>
    <t>허니 앤 마카다미아 네이처 샴푸 엠버바닐라 500ml</t>
  </si>
  <si>
    <t>쿤달</t>
  </si>
  <si>
    <t>271.54</t>
  </si>
  <si>
    <t>92,000.00</t>
  </si>
  <si>
    <t>-91,728.46</t>
  </si>
  <si>
    <t>-33,780.8</t>
  </si>
  <si>
    <t>2586</t>
  </si>
  <si>
    <t>KDHS01-SPBB</t>
  </si>
  <si>
    <t>허니 앤 마카다미아 네이처 샴푸 블랙베리 베이 500ml</t>
  </si>
  <si>
    <t>2587</t>
  </si>
  <si>
    <t>KDHS02-SPCB</t>
  </si>
  <si>
    <t>카페인 샴푸 체리블라썸 500ml</t>
  </si>
  <si>
    <t>-107,728.46</t>
  </si>
  <si>
    <t>-39,673.1</t>
  </si>
  <si>
    <t>2588</t>
  </si>
  <si>
    <t>KDHS03-TTCB</t>
  </si>
  <si>
    <t>허니 앤 마카다미아 프로틴 트리트먼트 체리블라썸 500ml</t>
  </si>
  <si>
    <t>4,612.00</t>
  </si>
  <si>
    <t>92,240.00</t>
  </si>
  <si>
    <t>-91,968.46</t>
  </si>
  <si>
    <t>-33,869.2</t>
  </si>
  <si>
    <t>2589</t>
  </si>
  <si>
    <t>TKB06-KG</t>
  </si>
  <si>
    <t>미니 선 스틱 키링(초록색)</t>
  </si>
  <si>
    <t>1.50</t>
  </si>
  <si>
    <t>2,036.55</t>
  </si>
  <si>
    <t>-297,963.45</t>
  </si>
  <si>
    <t>-14,630.8</t>
  </si>
  <si>
    <t>2590</t>
  </si>
  <si>
    <t>TKB06-KSB</t>
  </si>
  <si>
    <t>미니 선 스틱 키링(하늘색)</t>
  </si>
  <si>
    <t>2591</t>
  </si>
  <si>
    <t>TKB06-KY</t>
  </si>
  <si>
    <t>미니 선 스틱 키링(노란색)</t>
  </si>
  <si>
    <t>2592</t>
  </si>
  <si>
    <t>TKBSM05-Stickma</t>
  </si>
  <si>
    <t>미니 시카 쿨링 선 스틱</t>
  </si>
  <si>
    <t>2,715.40</t>
  </si>
  <si>
    <t>-897,284.60</t>
  </si>
  <si>
    <t>-33,044.3</t>
  </si>
  <si>
    <t>2593</t>
  </si>
  <si>
    <t>TKBSM05-Stickmc</t>
  </si>
  <si>
    <t>미니 코튼 소프트 선 스틱</t>
  </si>
  <si>
    <t>2594</t>
  </si>
  <si>
    <t>2595</t>
  </si>
  <si>
    <t>JSMC02-CB</t>
  </si>
  <si>
    <t>(단종예정) 맑은쌀 약산성 클렌징바 100g</t>
  </si>
  <si>
    <t>1,317.00</t>
  </si>
  <si>
    <t>1,798,495.20</t>
  </si>
  <si>
    <t>286,495.20</t>
  </si>
  <si>
    <t>IN00370475</t>
  </si>
  <si>
    <t>2596</t>
  </si>
  <si>
    <t>3,163.20</t>
  </si>
  <si>
    <t>4,319,665.92</t>
  </si>
  <si>
    <t>3,628,800.00</t>
  </si>
  <si>
    <t>690,865.92</t>
  </si>
  <si>
    <t>2597</t>
  </si>
  <si>
    <t>1,080</t>
  </si>
  <si>
    <t>7,117.20</t>
  </si>
  <si>
    <t>9,719,248.32</t>
  </si>
  <si>
    <t>8,164,800.00</t>
  </si>
  <si>
    <t>1,554,448.32</t>
  </si>
  <si>
    <t>2598</t>
  </si>
  <si>
    <t>0.35</t>
  </si>
  <si>
    <t>477.96</t>
  </si>
  <si>
    <t>4,434.86</t>
  </si>
  <si>
    <t>155,220.00</t>
  </si>
  <si>
    <t>-154,742.04</t>
  </si>
  <si>
    <t>-32,375.5</t>
  </si>
  <si>
    <t>2599</t>
  </si>
  <si>
    <t>1,098.00</t>
  </si>
  <si>
    <t>1,499,428.80</t>
  </si>
  <si>
    <t>1,336,500.00</t>
  </si>
  <si>
    <t>162,928.80</t>
  </si>
  <si>
    <t>IN00369755</t>
  </si>
  <si>
    <t>2600</t>
  </si>
  <si>
    <t>2025-08-11</t>
  </si>
  <si>
    <t>260,980.38</t>
  </si>
  <si>
    <t>6,455.00</t>
  </si>
  <si>
    <t>193,650.00</t>
  </si>
  <si>
    <t>67,330.38</t>
  </si>
  <si>
    <t>IN00362599</t>
  </si>
  <si>
    <t>2601</t>
  </si>
  <si>
    <t>197.40</t>
  </si>
  <si>
    <t>268,740.36</t>
  </si>
  <si>
    <t>199,110.00</t>
  </si>
  <si>
    <t>69,630.36</t>
  </si>
  <si>
    <t>2602</t>
  </si>
  <si>
    <t>68.07</t>
  </si>
  <si>
    <t>27,500.00</t>
  </si>
  <si>
    <t>-27,431.93</t>
  </si>
  <si>
    <t>-40,299.6</t>
  </si>
  <si>
    <t>2603</t>
  </si>
  <si>
    <t>19,800.00</t>
  </si>
  <si>
    <t>-19,731.93</t>
  </si>
  <si>
    <t>-28,987.7</t>
  </si>
  <si>
    <t>2604</t>
  </si>
  <si>
    <t>21,450.00</t>
  </si>
  <si>
    <t>-21,381.93</t>
  </si>
  <si>
    <t>-31,411.7</t>
  </si>
  <si>
    <t>2605</t>
  </si>
  <si>
    <t>152.70</t>
  </si>
  <si>
    <t>207,885.78</t>
  </si>
  <si>
    <t>42,885.78</t>
  </si>
  <si>
    <t>2606</t>
  </si>
  <si>
    <t>220.20</t>
  </si>
  <si>
    <t>299,780.28</t>
  </si>
  <si>
    <t>59,780.28</t>
  </si>
  <si>
    <t>2607</t>
  </si>
  <si>
    <t>5.37</t>
  </si>
  <si>
    <t>161.10</t>
  </si>
  <si>
    <t>219,321.54</t>
  </si>
  <si>
    <t>27,321.54</t>
  </si>
  <si>
    <t>2608</t>
  </si>
  <si>
    <t>234.30</t>
  </si>
  <si>
    <t>318,976.02</t>
  </si>
  <si>
    <t>251,880.00</t>
  </si>
  <si>
    <t>67,096.02</t>
  </si>
  <si>
    <t>2609</t>
  </si>
  <si>
    <t>191.10</t>
  </si>
  <si>
    <t>260,163.54</t>
  </si>
  <si>
    <t>208,800.00</t>
  </si>
  <si>
    <t>51,363.54</t>
  </si>
  <si>
    <t>2610</t>
  </si>
  <si>
    <t>7.41</t>
  </si>
  <si>
    <t>222.30</t>
  </si>
  <si>
    <t>302,639.22</t>
  </si>
  <si>
    <t>62,639.22</t>
  </si>
  <si>
    <t>2611</t>
  </si>
  <si>
    <t>227.70</t>
  </si>
  <si>
    <t>309,990.78</t>
  </si>
  <si>
    <t>251,640.00</t>
  </si>
  <si>
    <t>58,350.78</t>
  </si>
  <si>
    <t>2612</t>
  </si>
  <si>
    <t>181.80</t>
  </si>
  <si>
    <t>247,502.52</t>
  </si>
  <si>
    <t>52,502.52</t>
  </si>
  <si>
    <t>2613</t>
  </si>
  <si>
    <t>274.80</t>
  </si>
  <si>
    <t>374,112.72</t>
  </si>
  <si>
    <t>304,500.00</t>
  </si>
  <si>
    <t>69,612.72</t>
  </si>
  <si>
    <t>2614</t>
  </si>
  <si>
    <t>281.40</t>
  </si>
  <si>
    <t>383,097.96</t>
  </si>
  <si>
    <t>320,400.00</t>
  </si>
  <si>
    <t>62,697.96</t>
  </si>
  <si>
    <t>2615</t>
  </si>
  <si>
    <t>293.70</t>
  </si>
  <si>
    <t>399,843.18</t>
  </si>
  <si>
    <t>318,900.00</t>
  </si>
  <si>
    <t>80,943.18</t>
  </si>
  <si>
    <t>2616</t>
  </si>
  <si>
    <t>236.40</t>
  </si>
  <si>
    <t>321,834.96</t>
  </si>
  <si>
    <t>63,834.96</t>
  </si>
  <si>
    <t>2617</t>
  </si>
  <si>
    <t>155.70</t>
  </si>
  <si>
    <t>211,969.98</t>
  </si>
  <si>
    <t>168,600.00</t>
  </si>
  <si>
    <t>43,369.98</t>
  </si>
  <si>
    <t>2618</t>
  </si>
  <si>
    <t>544.56</t>
  </si>
  <si>
    <t>2619</t>
  </si>
  <si>
    <t>SFBS110-BWLR</t>
  </si>
  <si>
    <t>[리뉴얼] 레몬버베나바디워시본품(R22) 450ml</t>
  </si>
  <si>
    <t>스킨푸드</t>
  </si>
  <si>
    <t>180.00</t>
  </si>
  <si>
    <t>245,052.00</t>
  </si>
  <si>
    <t>6,255.00</t>
  </si>
  <si>
    <t>187,650.00</t>
  </si>
  <si>
    <t>57,402.00</t>
  </si>
  <si>
    <t>2620</t>
  </si>
  <si>
    <t>SFBS63-GR</t>
  </si>
  <si>
    <t>[리뉴얼] 시어버터퍼퓸드핸드크림(자몽향)(R22)</t>
  </si>
  <si>
    <t>1.87</t>
  </si>
  <si>
    <t>56.10</t>
  </si>
  <si>
    <t>76,374.54</t>
  </si>
  <si>
    <t>1,955.00</t>
  </si>
  <si>
    <t>58,650.00</t>
  </si>
  <si>
    <t>17,724.54</t>
  </si>
  <si>
    <t>2621</t>
  </si>
  <si>
    <t>SFBS63-HRR</t>
  </si>
  <si>
    <t>[리뉴얼] 시어버터퍼퓸드핸드크림(허니향)(R22)30ml</t>
  </si>
  <si>
    <t>2622</t>
  </si>
  <si>
    <t>SFBS63-PRR</t>
  </si>
  <si>
    <t>[리뉴얼] 시어버터퍼퓸드핸드크림(피치향)(R22)30ml</t>
  </si>
  <si>
    <t>2623</t>
  </si>
  <si>
    <t>SFC22-FRRR</t>
  </si>
  <si>
    <t>(Renew) 블랙슈가퍼펙트스크럽폼 180g(R25)</t>
  </si>
  <si>
    <t>157.50</t>
  </si>
  <si>
    <t>214,420.50</t>
  </si>
  <si>
    <t>164,190.00</t>
  </si>
  <si>
    <t>50,230.50</t>
  </si>
  <si>
    <t>2624</t>
  </si>
  <si>
    <t>SFC71-F</t>
  </si>
  <si>
    <t>캐롯 카로틴 밸런싱 클렌징 폼 150ml</t>
  </si>
  <si>
    <t>2625</t>
  </si>
  <si>
    <t>SFP110-LFM</t>
  </si>
  <si>
    <t>레몬딜버터푸드마스크 120g</t>
  </si>
  <si>
    <t>168.60</t>
  </si>
  <si>
    <t>229,532.04</t>
  </si>
  <si>
    <t>175,920.00</t>
  </si>
  <si>
    <t>53,612.04</t>
  </si>
  <si>
    <t>2626</t>
  </si>
  <si>
    <t>SFP118-PK</t>
  </si>
  <si>
    <t>에이콘 포어 펩타이드 데일리 마스크 270g</t>
  </si>
  <si>
    <t>10.12</t>
  </si>
  <si>
    <t>303.60</t>
  </si>
  <si>
    <t>413,321.04</t>
  </si>
  <si>
    <t>10,555.00</t>
  </si>
  <si>
    <t>316,650.00</t>
  </si>
  <si>
    <t>96,671.04</t>
  </si>
  <si>
    <t>2627</t>
  </si>
  <si>
    <t>SFP71-MC</t>
  </si>
  <si>
    <t>캐롯 카로틴 마스크 (1매입)</t>
  </si>
  <si>
    <t>1.12</t>
  </si>
  <si>
    <t>45,743.04</t>
  </si>
  <si>
    <t>1,173.00</t>
  </si>
  <si>
    <t>35,190.00</t>
  </si>
  <si>
    <t>10,553.04</t>
  </si>
  <si>
    <t>2628</t>
  </si>
  <si>
    <t>SFP71-PK</t>
  </si>
  <si>
    <t>캐롯 카로틴 데일리 마스크 270g</t>
  </si>
  <si>
    <t>2629</t>
  </si>
  <si>
    <t>SFP98-PK</t>
  </si>
  <si>
    <t>유자 씨 비타 데일리 마스크 270g</t>
  </si>
  <si>
    <t>242.88</t>
  </si>
  <si>
    <t>330,656.83</t>
  </si>
  <si>
    <t>253,320.00</t>
  </si>
  <si>
    <t>77,336.83</t>
  </si>
  <si>
    <t>2630</t>
  </si>
  <si>
    <t>60.72</t>
  </si>
  <si>
    <t>82,664.21</t>
  </si>
  <si>
    <t>63,330.00</t>
  </si>
  <si>
    <t>19,334.21</t>
  </si>
  <si>
    <t>2631</t>
  </si>
  <si>
    <t>SFS118-TP</t>
  </si>
  <si>
    <t>에이콘 포어 펩타이드 패드 (60매)</t>
  </si>
  <si>
    <t>9.74</t>
  </si>
  <si>
    <t>292.20</t>
  </si>
  <si>
    <t>397,801.08</t>
  </si>
  <si>
    <t>10,164.00</t>
  </si>
  <si>
    <t>304,920.00</t>
  </si>
  <si>
    <t>92,881.08</t>
  </si>
  <si>
    <t>2632</t>
  </si>
  <si>
    <t>SFS119-TP</t>
  </si>
  <si>
    <t>포테이토마데카소사이드수딩패드</t>
  </si>
  <si>
    <t>2633</t>
  </si>
  <si>
    <t>SFS122-TP</t>
  </si>
  <si>
    <t>판토테닉워터파슬리클리어패드 250g(60매)</t>
  </si>
  <si>
    <t>2634</t>
  </si>
  <si>
    <t>SFS71-ARR</t>
  </si>
  <si>
    <t>(Renew) (R24)캐롯카로틴모이스트이펙터 55ml</t>
  </si>
  <si>
    <t>2635</t>
  </si>
  <si>
    <t>SFS71-T</t>
  </si>
  <si>
    <t>캐롯 카로틴 수딩 토너 300ml</t>
  </si>
  <si>
    <t>269.70</t>
  </si>
  <si>
    <t>367,169.58</t>
  </si>
  <si>
    <t>9,382.00</t>
  </si>
  <si>
    <t>281,460.00</t>
  </si>
  <si>
    <t>85,709.58</t>
  </si>
  <si>
    <t>2636</t>
  </si>
  <si>
    <t>SFS88-BP</t>
  </si>
  <si>
    <t>라이스 브라이트닝 패드 60EA</t>
  </si>
  <si>
    <t>2637</t>
  </si>
  <si>
    <t>SFS88-BS</t>
  </si>
  <si>
    <t>라이스 브라이트닝 세럼 55ml</t>
  </si>
  <si>
    <t>7.49</t>
  </si>
  <si>
    <t>217.21</t>
  </si>
  <si>
    <t>295,709.69</t>
  </si>
  <si>
    <t>7,819.00</t>
  </si>
  <si>
    <t>226,751.00</t>
  </si>
  <si>
    <t>68,958.69</t>
  </si>
  <si>
    <t>2638</t>
  </si>
  <si>
    <t>10,196.89</t>
  </si>
  <si>
    <t>2,377.89</t>
  </si>
  <si>
    <t>2639</t>
  </si>
  <si>
    <t>SFS88-BT</t>
  </si>
  <si>
    <t>라이스 브라이트닝 토너 160ml</t>
  </si>
  <si>
    <t>202.20</t>
  </si>
  <si>
    <t>275,275.08</t>
  </si>
  <si>
    <t>7,037.00</t>
  </si>
  <si>
    <t>211,110.00</t>
  </si>
  <si>
    <t>64,165.08</t>
  </si>
  <si>
    <t>2640</t>
  </si>
  <si>
    <t>SFS98-SY</t>
  </si>
  <si>
    <t>유자 씨 잡티 맑음 세럼 50ml</t>
  </si>
  <si>
    <t>179,105.78</t>
  </si>
  <si>
    <t>137,215.00</t>
  </si>
  <si>
    <t>41,890.78</t>
  </si>
  <si>
    <t>2641</t>
  </si>
  <si>
    <t>172.04</t>
  </si>
  <si>
    <t>234,215.26</t>
  </si>
  <si>
    <t>179,435.00</t>
  </si>
  <si>
    <t>54,780.26</t>
  </si>
  <si>
    <t>2642</t>
  </si>
  <si>
    <t>404.73</t>
  </si>
  <si>
    <t>-194,595.27</t>
  </si>
  <si>
    <t>-48,080.3</t>
  </si>
  <si>
    <t>IN00361213</t>
  </si>
  <si>
    <t>2643</t>
  </si>
  <si>
    <t>1,778.40</t>
  </si>
  <si>
    <t>2,399,239.44</t>
  </si>
  <si>
    <t>599,239.44</t>
  </si>
  <si>
    <t>2644</t>
  </si>
  <si>
    <t>269.82</t>
  </si>
  <si>
    <t>-149,730.18</t>
  </si>
  <si>
    <t>-55,492.6</t>
  </si>
  <si>
    <t>2645</t>
  </si>
  <si>
    <t>-107,730.18</t>
  </si>
  <si>
    <t>-39,926.7</t>
  </si>
  <si>
    <t>2646</t>
  </si>
  <si>
    <t>9.89</t>
  </si>
  <si>
    <t>11,868.00</t>
  </si>
  <si>
    <t>16,011,118.80</t>
  </si>
  <si>
    <t>13,572,000.00</t>
  </si>
  <si>
    <t>2,439,118.80</t>
  </si>
  <si>
    <t>2647</t>
  </si>
  <si>
    <t>1,185.00</t>
  </si>
  <si>
    <t>1,598,683.50</t>
  </si>
  <si>
    <t>1,209,000.00</t>
  </si>
  <si>
    <t>389,683.50</t>
  </si>
  <si>
    <t>2648</t>
  </si>
  <si>
    <t>162,400.00</t>
  </si>
  <si>
    <t>-162,130.18</t>
  </si>
  <si>
    <t>-60,088.3</t>
  </si>
  <si>
    <t>2649</t>
  </si>
  <si>
    <t>3,784.00</t>
  </si>
  <si>
    <t>5,104,994.40</t>
  </si>
  <si>
    <t>4,466,000.00</t>
  </si>
  <si>
    <t>638,994.40</t>
  </si>
  <si>
    <t>2650</t>
  </si>
  <si>
    <t>DRASM06-SCA</t>
  </si>
  <si>
    <t>아쿠아 글로잉 선스크린 45ml</t>
  </si>
  <si>
    <t>7,750.00</t>
  </si>
  <si>
    <t>155,000.00</t>
  </si>
  <si>
    <t>-154,730.18</t>
  </si>
  <si>
    <t>-57,345.7</t>
  </si>
  <si>
    <t>2651</t>
  </si>
  <si>
    <t>DRASM06-SCG</t>
  </si>
  <si>
    <t>그린티 프레쉬 선스크린 45ml</t>
  </si>
  <si>
    <t>2652</t>
  </si>
  <si>
    <t>6,656.00</t>
  </si>
  <si>
    <t>8,979,609.60</t>
  </si>
  <si>
    <t>7,147,920.00</t>
  </si>
  <si>
    <t>1,831,689.60</t>
  </si>
  <si>
    <t>2653</t>
  </si>
  <si>
    <t>2025-07-24</t>
  </si>
  <si>
    <t>256.20</t>
  </si>
  <si>
    <t>343,154.28</t>
  </si>
  <si>
    <t>7,410.00</t>
  </si>
  <si>
    <t>222,300.00</t>
  </si>
  <si>
    <t>120,854.28</t>
  </si>
  <si>
    <t>IN00359825</t>
  </si>
  <si>
    <t>2654</t>
  </si>
  <si>
    <t>11.17</t>
  </si>
  <si>
    <t>55.85</t>
  </si>
  <si>
    <t>74,805.49</t>
  </si>
  <si>
    <t>48,450.00</t>
  </si>
  <si>
    <t>26,355.49</t>
  </si>
  <si>
    <t>2655</t>
  </si>
  <si>
    <t>315.30</t>
  </si>
  <si>
    <t>422,312.82</t>
  </si>
  <si>
    <t>273,600.00</t>
  </si>
  <si>
    <t>148,712.82</t>
  </si>
  <si>
    <t>2656</t>
  </si>
  <si>
    <t>11.83</t>
  </si>
  <si>
    <t>177.45</t>
  </si>
  <si>
    <t>237,676.53</t>
  </si>
  <si>
    <t>153,900.00</t>
  </si>
  <si>
    <t>83,776.53</t>
  </si>
  <si>
    <t>2657</t>
  </si>
  <si>
    <t>369,674.40</t>
  </si>
  <si>
    <t>239,400.00</t>
  </si>
  <si>
    <t>130,274.40</t>
  </si>
  <si>
    <t>2658</t>
  </si>
  <si>
    <t>6,402.33</t>
  </si>
  <si>
    <t>1,402.33</t>
  </si>
  <si>
    <t>2659</t>
  </si>
  <si>
    <t>19.12</t>
  </si>
  <si>
    <t>25,609.33</t>
  </si>
  <si>
    <t>5,609.33</t>
  </si>
  <si>
    <t>2660</t>
  </si>
  <si>
    <t>1,277.12</t>
  </si>
  <si>
    <t>1,708,786.56</t>
  </si>
  <si>
    <t>1,381,500.00</t>
  </si>
  <si>
    <t>327,286.56</t>
  </si>
  <si>
    <t>IN00358752</t>
  </si>
  <si>
    <t>2661</t>
  </si>
  <si>
    <t>752.96</t>
  </si>
  <si>
    <t>1,007,460.48</t>
  </si>
  <si>
    <t>814,500.00</t>
  </si>
  <si>
    <t>192,960.48</t>
  </si>
  <si>
    <t>2662</t>
  </si>
  <si>
    <t>798.72</t>
  </si>
  <si>
    <t>1,068,687.36</t>
  </si>
  <si>
    <t>204,687.36</t>
  </si>
  <si>
    <t>2663</t>
  </si>
  <si>
    <t>-135,000.00</t>
  </si>
  <si>
    <t>2664</t>
  </si>
  <si>
    <t>574,002.00</t>
  </si>
  <si>
    <t>124,002.00</t>
  </si>
  <si>
    <t>2665</t>
  </si>
  <si>
    <t>BentonP01-ContentmaskR</t>
  </si>
  <si>
    <t>[1매입] 스네일 비 하이 컨텐트 마스크팩</t>
  </si>
  <si>
    <t>0.77</t>
  </si>
  <si>
    <t>206,052.00</t>
  </si>
  <si>
    <t>42,252.00</t>
  </si>
  <si>
    <t>2666</t>
  </si>
  <si>
    <t>BentonP10-MR</t>
  </si>
  <si>
    <t>센텔라 시카 마스크팩 10매</t>
  </si>
  <si>
    <t>8.23</t>
  </si>
  <si>
    <t>205.75</t>
  </si>
  <si>
    <t>275,293.50</t>
  </si>
  <si>
    <t>204,550.00</t>
  </si>
  <si>
    <t>70,743.50</t>
  </si>
  <si>
    <t>2667</t>
  </si>
  <si>
    <t>1,532.50</t>
  </si>
  <si>
    <t>2,050,485.00</t>
  </si>
  <si>
    <t>1,591,000.00</t>
  </si>
  <si>
    <t>459,485.00</t>
  </si>
  <si>
    <t>2668</t>
  </si>
  <si>
    <t>6.54</t>
  </si>
  <si>
    <t>2,616.00</t>
  </si>
  <si>
    <t>3,500,208.00</t>
  </si>
  <si>
    <t>4,950.00</t>
  </si>
  <si>
    <t>1,520,208.00</t>
  </si>
  <si>
    <t>2669</t>
  </si>
  <si>
    <t>688.00</t>
  </si>
  <si>
    <t>920,544.00</t>
  </si>
  <si>
    <t>580,000.00</t>
  </si>
  <si>
    <t>340,544.00</t>
  </si>
  <si>
    <t>37.0</t>
  </si>
  <si>
    <t>2670</t>
  </si>
  <si>
    <t>2671</t>
  </si>
  <si>
    <t>341,190.00</t>
  </si>
  <si>
    <t>278,800.00</t>
  </si>
  <si>
    <t>62,390.00</t>
  </si>
  <si>
    <t>2672</t>
  </si>
  <si>
    <t>147.00</t>
  </si>
  <si>
    <t>196,686.00</t>
  </si>
  <si>
    <t>35,966.00</t>
  </si>
  <si>
    <t>2673</t>
  </si>
  <si>
    <t>135.00</t>
  </si>
  <si>
    <t>180,630.00</t>
  </si>
  <si>
    <t>147,600.00</t>
  </si>
  <si>
    <t>33,030.00</t>
  </si>
  <si>
    <t>2674</t>
  </si>
  <si>
    <t>105.00</t>
  </si>
  <si>
    <t>140,490.00</t>
  </si>
  <si>
    <t>114,800.00</t>
  </si>
  <si>
    <t>25,690.00</t>
  </si>
  <si>
    <t>2675</t>
  </si>
  <si>
    <t>481,680.00</t>
  </si>
  <si>
    <t>393,600.00</t>
  </si>
  <si>
    <t>88,080.00</t>
  </si>
  <si>
    <t>2676</t>
  </si>
  <si>
    <t>393,372.00</t>
  </si>
  <si>
    <t>321,440.00</t>
  </si>
  <si>
    <t>71,932.00</t>
  </si>
  <si>
    <t>2677</t>
  </si>
  <si>
    <t>0.42</t>
  </si>
  <si>
    <t>58,490.00</t>
  </si>
  <si>
    <t>2678</t>
  </si>
  <si>
    <t>100,350.00</t>
  </si>
  <si>
    <t>18,350.00</t>
  </si>
  <si>
    <t>2679</t>
  </si>
  <si>
    <t>120,420.00</t>
  </si>
  <si>
    <t>98,400.00</t>
  </si>
  <si>
    <t>22,020.00</t>
  </si>
  <si>
    <t>2680</t>
  </si>
  <si>
    <t>2681</t>
  </si>
  <si>
    <t>2682</t>
  </si>
  <si>
    <t>600.00</t>
  </si>
  <si>
    <t>802,800.00</t>
  </si>
  <si>
    <t>656,000.00</t>
  </si>
  <si>
    <t>146,800.00</t>
  </si>
  <si>
    <t>2683</t>
  </si>
  <si>
    <t>CMXS02-TP</t>
  </si>
  <si>
    <t>지우개 시카 바하 블레미쉬 토너 패드 (60pads)</t>
  </si>
  <si>
    <t>1,472.00</t>
  </si>
  <si>
    <t>1,969,536.00</t>
  </si>
  <si>
    <t>1,540,000.00</t>
  </si>
  <si>
    <t>429,536.00</t>
  </si>
  <si>
    <t>2684</t>
  </si>
  <si>
    <t>ECM04-L04</t>
  </si>
  <si>
    <t>디어달링 오일틴트 04</t>
  </si>
  <si>
    <t>84,600.00</t>
  </si>
  <si>
    <t>-84,600.00</t>
  </si>
  <si>
    <t>2685</t>
  </si>
  <si>
    <t>ECM04-L05</t>
  </si>
  <si>
    <t>디어달링 오일틴트 05</t>
  </si>
  <si>
    <t>89,300.00</t>
  </si>
  <si>
    <t>-89,300.00</t>
  </si>
  <si>
    <t>2686</t>
  </si>
  <si>
    <t>HLSC01-FVRR</t>
  </si>
  <si>
    <t>올데이 비타민 클린&amp;마일드 페이셜 클렌저 150ml (본품)</t>
  </si>
  <si>
    <t>주미소</t>
  </si>
  <si>
    <t>1,205.00</t>
  </si>
  <si>
    <t>1,612,290.00</t>
  </si>
  <si>
    <t>1,300,000.00</t>
  </si>
  <si>
    <t>312,290.00</t>
  </si>
  <si>
    <t>2687</t>
  </si>
  <si>
    <t>HLSS01-SP</t>
  </si>
  <si>
    <t>(단종) 올데이 비타민 퓨어 C 5.5 글로우 세럼 30ml (본품)</t>
  </si>
  <si>
    <t>2,514.00</t>
  </si>
  <si>
    <t>3,363,732.00</t>
  </si>
  <si>
    <t>1,113,732.00</t>
  </si>
  <si>
    <t>2688</t>
  </si>
  <si>
    <t>1,264.80</t>
  </si>
  <si>
    <t>1,692,302.40</t>
  </si>
  <si>
    <t>324,302.40</t>
  </si>
  <si>
    <t>2689</t>
  </si>
  <si>
    <t>1,498,560.00</t>
  </si>
  <si>
    <t>1,187,200.00</t>
  </si>
  <si>
    <t>311,360.00</t>
  </si>
  <si>
    <t>2690</t>
  </si>
  <si>
    <t>897.60</t>
  </si>
  <si>
    <t>1,200,988.80</t>
  </si>
  <si>
    <t>2691</t>
  </si>
  <si>
    <t>933.60</t>
  </si>
  <si>
    <t>1,249,156.80</t>
  </si>
  <si>
    <t>2692</t>
  </si>
  <si>
    <t>2,067.20</t>
  </si>
  <si>
    <t>2,765,913.60</t>
  </si>
  <si>
    <t>2,199,360.00</t>
  </si>
  <si>
    <t>566,553.60</t>
  </si>
  <si>
    <t>2693</t>
  </si>
  <si>
    <t>1,033.60</t>
  </si>
  <si>
    <t>1,382,956.80</t>
  </si>
  <si>
    <t>1,099,680.00</t>
  </si>
  <si>
    <t>283,276.80</t>
  </si>
  <si>
    <t>2694</t>
  </si>
  <si>
    <t>3.46</t>
  </si>
  <si>
    <t>3,114.00</t>
  </si>
  <si>
    <t>4,166,532.00</t>
  </si>
  <si>
    <t>2,455,200.00</t>
  </si>
  <si>
    <t>1,711,332.00</t>
  </si>
  <si>
    <t>2695</t>
  </si>
  <si>
    <t>1,038.00</t>
  </si>
  <si>
    <t>1,388,844.00</t>
  </si>
  <si>
    <t>3,361.67</t>
  </si>
  <si>
    <t>1,008,501.00</t>
  </si>
  <si>
    <t>380,343.00</t>
  </si>
  <si>
    <t>27.4</t>
  </si>
  <si>
    <t>2696</t>
  </si>
  <si>
    <t>HMM02-Cushion21R</t>
  </si>
  <si>
    <t>아트리스 퍼펙트 쿠션 SPF50+ PA+++ 21호 라이트베이지</t>
  </si>
  <si>
    <t>11.45</t>
  </si>
  <si>
    <t>389.30</t>
  </si>
  <si>
    <t>520,883.40</t>
  </si>
  <si>
    <t>420,376.00</t>
  </si>
  <si>
    <t>100,507.40</t>
  </si>
  <si>
    <t>2697</t>
  </si>
  <si>
    <t>2,676,000.00</t>
  </si>
  <si>
    <t>2,144,000.00</t>
  </si>
  <si>
    <t>532,000.00</t>
  </si>
  <si>
    <t>2698</t>
  </si>
  <si>
    <t>550.00</t>
  </si>
  <si>
    <t>735,900.00</t>
  </si>
  <si>
    <t>582,000.00</t>
  </si>
  <si>
    <t>2699</t>
  </si>
  <si>
    <t>15.08</t>
  </si>
  <si>
    <t>6,032.00</t>
  </si>
  <si>
    <t>8,070,816.00</t>
  </si>
  <si>
    <t>5,956,400.00</t>
  </si>
  <si>
    <t>2,114,416.00</t>
  </si>
  <si>
    <t>2700</t>
  </si>
  <si>
    <t>3,844.00</t>
  </si>
  <si>
    <t>5,143,272.00</t>
  </si>
  <si>
    <t>1,039,272.00</t>
  </si>
  <si>
    <t>2701</t>
  </si>
  <si>
    <t>-195,000.00</t>
  </si>
  <si>
    <t>2702</t>
  </si>
  <si>
    <t>MECUS08-TPR</t>
  </si>
  <si>
    <t>[용기변경 전]제로 모공 패드 2.0 (70pcs)</t>
  </si>
  <si>
    <t>458.00</t>
  </si>
  <si>
    <t>612,804.00</t>
  </si>
  <si>
    <t>491,450.00</t>
  </si>
  <si>
    <t>121,354.00</t>
  </si>
  <si>
    <t>2703</t>
  </si>
  <si>
    <t>2,001.60</t>
  </si>
  <si>
    <t>2,678,140.80</t>
  </si>
  <si>
    <t>518,140.80</t>
  </si>
  <si>
    <t>2704</t>
  </si>
  <si>
    <t>10.78</t>
  </si>
  <si>
    <t>1,724.80</t>
  </si>
  <si>
    <t>2,307,782.40</t>
  </si>
  <si>
    <t>467,782.40</t>
  </si>
  <si>
    <t>2705</t>
  </si>
  <si>
    <t>10,400.40</t>
  </si>
  <si>
    <t>13,915,735.20</t>
  </si>
  <si>
    <t>11,178,000.00</t>
  </si>
  <si>
    <t>2,737,735.20</t>
  </si>
  <si>
    <t>2706</t>
  </si>
  <si>
    <t>379.80</t>
  </si>
  <si>
    <t>508,172.40</t>
  </si>
  <si>
    <t>411,300.00</t>
  </si>
  <si>
    <t>96,872.40</t>
  </si>
  <si>
    <t>2707</t>
  </si>
  <si>
    <t>MMS05-TCm</t>
  </si>
  <si>
    <t>(미니) 비건 시카 티트리 아하 파하 블레미쉬 토너 30ml</t>
  </si>
  <si>
    <t>1.15</t>
  </si>
  <si>
    <t>621.00</t>
  </si>
  <si>
    <t>830,898.00</t>
  </si>
  <si>
    <t>301,698.00</t>
  </si>
  <si>
    <t>2708</t>
  </si>
  <si>
    <t>4.22</t>
  </si>
  <si>
    <t>211.00</t>
  </si>
  <si>
    <t>282,318.00</t>
  </si>
  <si>
    <t>72,318.00</t>
  </si>
  <si>
    <t>2709</t>
  </si>
  <si>
    <t>1,126.00</t>
  </si>
  <si>
    <t>1,506,588.00</t>
  </si>
  <si>
    <t>386,588.00</t>
  </si>
  <si>
    <t>2710</t>
  </si>
  <si>
    <t>3.16</t>
  </si>
  <si>
    <t>2,114,040.00</t>
  </si>
  <si>
    <t>539,040.00</t>
  </si>
  <si>
    <t>2711</t>
  </si>
  <si>
    <t>500.65</t>
  </si>
  <si>
    <t>669,869.70</t>
  </si>
  <si>
    <t>137,869.70</t>
  </si>
  <si>
    <t>2712</t>
  </si>
  <si>
    <t>553.35</t>
  </si>
  <si>
    <t>740,382.30</t>
  </si>
  <si>
    <t>152,382.30</t>
  </si>
  <si>
    <t>2713</t>
  </si>
  <si>
    <t>7.73</t>
  </si>
  <si>
    <t>340.12</t>
  </si>
  <si>
    <t>455,080.56</t>
  </si>
  <si>
    <t>303,600.00</t>
  </si>
  <si>
    <t>151,480.56</t>
  </si>
  <si>
    <t>2714</t>
  </si>
  <si>
    <t>PYMA01-pad</t>
  </si>
  <si>
    <t>(사용X) *리뉴얼 전 [160매] 1/3 코튼 패드 (펄프-레이온)</t>
  </si>
  <si>
    <t>1.27</t>
  </si>
  <si>
    <t>508.00</t>
  </si>
  <si>
    <t>679,704.00</t>
  </si>
  <si>
    <t>1,215.00</t>
  </si>
  <si>
    <t>486,000.00</t>
  </si>
  <si>
    <t>193,704.00</t>
  </si>
  <si>
    <t>2715</t>
  </si>
  <si>
    <t>PYP01-MHR</t>
  </si>
  <si>
    <t>*리뉴얼 (10매입) 고보습 에센스 마스크팩</t>
  </si>
  <si>
    <t>3,163.50</t>
  </si>
  <si>
    <t>4,232,763.00</t>
  </si>
  <si>
    <t>1,082,763.00</t>
  </si>
  <si>
    <t>2716</t>
  </si>
  <si>
    <t>1,582.50</t>
  </si>
  <si>
    <t>2,117,385.00</t>
  </si>
  <si>
    <t>1,305,000.00</t>
  </si>
  <si>
    <t>812,385.00</t>
  </si>
  <si>
    <t>2717</t>
  </si>
  <si>
    <t>4,756.00</t>
  </si>
  <si>
    <t>6,363,528.00</t>
  </si>
  <si>
    <t>1,563,528.00</t>
  </si>
  <si>
    <t>2718</t>
  </si>
  <si>
    <t>2719</t>
  </si>
  <si>
    <t>3,165.00</t>
  </si>
  <si>
    <t>4,234,770.00</t>
  </si>
  <si>
    <t>1,084,770.00</t>
  </si>
  <si>
    <t>2720</t>
  </si>
  <si>
    <t>1,055.00</t>
  </si>
  <si>
    <t>1,411,590.00</t>
  </si>
  <si>
    <t>361,590.00</t>
  </si>
  <si>
    <t>2721</t>
  </si>
  <si>
    <t>1.41</t>
  </si>
  <si>
    <t>987.00</t>
  </si>
  <si>
    <t>1,320,606.00</t>
  </si>
  <si>
    <t>1,399.80</t>
  </si>
  <si>
    <t>979,860.00</t>
  </si>
  <si>
    <t>340,746.00</t>
  </si>
  <si>
    <t>2722</t>
  </si>
  <si>
    <t>984.00</t>
  </si>
  <si>
    <t>1,316,592.00</t>
  </si>
  <si>
    <t>980,000.00</t>
  </si>
  <si>
    <t>336,592.00</t>
  </si>
  <si>
    <t>2723</t>
  </si>
  <si>
    <t>19.82</t>
  </si>
  <si>
    <t>3,964.00</t>
  </si>
  <si>
    <t>5,303,832.00</t>
  </si>
  <si>
    <t>1,303,832.00</t>
  </si>
  <si>
    <t>2724</t>
  </si>
  <si>
    <t>1,933.56</t>
  </si>
  <si>
    <t>2,587,103.28</t>
  </si>
  <si>
    <t>4,868.83</t>
  </si>
  <si>
    <t>1,913,450.00</t>
  </si>
  <si>
    <t>673,653.28</t>
  </si>
  <si>
    <t>2725</t>
  </si>
  <si>
    <t>927.60</t>
  </si>
  <si>
    <t>1,241,128.80</t>
  </si>
  <si>
    <t>6,283.75</t>
  </si>
  <si>
    <t>754,050.00</t>
  </si>
  <si>
    <t>487,078.80</t>
  </si>
  <si>
    <t>39.2</t>
  </si>
  <si>
    <t>2726</t>
  </si>
  <si>
    <t>811.65</t>
  </si>
  <si>
    <t>1,085,987.70</t>
  </si>
  <si>
    <t>392,987.70</t>
  </si>
  <si>
    <t>2727</t>
  </si>
  <si>
    <t>546,588.00</t>
  </si>
  <si>
    <t>2728</t>
  </si>
  <si>
    <t>2,970</t>
  </si>
  <si>
    <t>11,553.30</t>
  </si>
  <si>
    <t>15,458,315.40</t>
  </si>
  <si>
    <t>13,365,000.00</t>
  </si>
  <si>
    <t>2,093,315.40</t>
  </si>
  <si>
    <t>2729</t>
  </si>
  <si>
    <t>2,559.30</t>
  </si>
  <si>
    <t>3,424,343.40</t>
  </si>
  <si>
    <t>859,343.40</t>
  </si>
  <si>
    <t>2730</t>
  </si>
  <si>
    <t>942.90</t>
  </si>
  <si>
    <t>1,261,600.20</t>
  </si>
  <si>
    <t>169,600.20</t>
  </si>
  <si>
    <t>2731</t>
  </si>
  <si>
    <t>2.84</t>
  </si>
  <si>
    <t>1,908.48</t>
  </si>
  <si>
    <t>2,553,546.24</t>
  </si>
  <si>
    <t>2,399,040.00</t>
  </si>
  <si>
    <t>154,506.24</t>
  </si>
  <si>
    <t>6.1</t>
  </si>
  <si>
    <t>2732</t>
  </si>
  <si>
    <t>5,364.80</t>
  </si>
  <si>
    <t>7,178,102.40</t>
  </si>
  <si>
    <t>5,264,000.00</t>
  </si>
  <si>
    <t>1,914,102.40</t>
  </si>
  <si>
    <t>2733</t>
  </si>
  <si>
    <t>17,064.00</t>
  </si>
  <si>
    <t>22,831,632.00</t>
  </si>
  <si>
    <t>6,151.41</t>
  </si>
  <si>
    <t>14,763,390.00</t>
  </si>
  <si>
    <t>8,068,242.00</t>
  </si>
  <si>
    <t>2734</t>
  </si>
  <si>
    <t>5.34</t>
  </si>
  <si>
    <t>2,050.56</t>
  </si>
  <si>
    <t>2,743,649.28</t>
  </si>
  <si>
    <t>2,338,560.00</t>
  </si>
  <si>
    <t>405,089.28</t>
  </si>
  <si>
    <t>2735</t>
  </si>
  <si>
    <t>512.64</t>
  </si>
  <si>
    <t>685,912.32</t>
  </si>
  <si>
    <t>584,640.00</t>
  </si>
  <si>
    <t>101,272.32</t>
  </si>
  <si>
    <t>2736</t>
  </si>
  <si>
    <t>1,308.78</t>
  </si>
  <si>
    <t>1,751,147.64</t>
  </si>
  <si>
    <t>1,492,920.00</t>
  </si>
  <si>
    <t>258,227.64</t>
  </si>
  <si>
    <t>2737</t>
  </si>
  <si>
    <t>222,720.00</t>
  </si>
  <si>
    <t>-222,720.00</t>
  </si>
  <si>
    <t>2738</t>
  </si>
  <si>
    <t>SEP03-M4ea</t>
  </si>
  <si>
    <t>[SEP03-M4ear확인/4매입] 딥 콜라겐 파워 부스팅 마스크 37g</t>
  </si>
  <si>
    <t>4,635.00</t>
  </si>
  <si>
    <t>6,201,630.00</t>
  </si>
  <si>
    <t>4,581,900.00</t>
  </si>
  <si>
    <t>1,619,730.00</t>
  </si>
  <si>
    <t>2739</t>
  </si>
  <si>
    <t>4,377.50</t>
  </si>
  <si>
    <t>5,857,095.00</t>
  </si>
  <si>
    <t>4,327,350.00</t>
  </si>
  <si>
    <t>1,529,745.00</t>
  </si>
  <si>
    <t>2740</t>
  </si>
  <si>
    <t>772.50</t>
  </si>
  <si>
    <t>1,033,605.00</t>
  </si>
  <si>
    <t>763,650.00</t>
  </si>
  <si>
    <t>269,955.00</t>
  </si>
  <si>
    <t>2741</t>
  </si>
  <si>
    <t>223.38</t>
  </si>
  <si>
    <t>298,882.44</t>
  </si>
  <si>
    <t>3,782.00</t>
  </si>
  <si>
    <t>192,882.00</t>
  </si>
  <si>
    <t>106,000.44</t>
  </si>
  <si>
    <t>35.5</t>
  </si>
  <si>
    <t>2742</t>
  </si>
  <si>
    <t>TKBSM05-Sample2</t>
  </si>
  <si>
    <t>(최신/샘플)바이오 워터리 선크림 SPF50+ PA++++ 1.5ml</t>
  </si>
  <si>
    <t>9,299</t>
  </si>
  <si>
    <t>150.00</t>
  </si>
  <si>
    <t>1,394,850.00</t>
  </si>
  <si>
    <t>-1,394,850.00</t>
  </si>
  <si>
    <t>2743</t>
  </si>
  <si>
    <t>168,412.20</t>
  </si>
  <si>
    <t>42,412.20</t>
  </si>
  <si>
    <t>IN00357343</t>
  </si>
  <si>
    <t>2744</t>
  </si>
  <si>
    <t>0.93</t>
  </si>
  <si>
    <t>27.90</t>
  </si>
  <si>
    <t>37,469.70</t>
  </si>
  <si>
    <t>25,920.00</t>
  </si>
  <si>
    <t>11,549.70</t>
  </si>
  <si>
    <t>2745</t>
  </si>
  <si>
    <t>AbibP02-MMAr</t>
  </si>
  <si>
    <t>[1매입] 껌딱지 시트 마스크 마데카소사이드 스티커 (2023)</t>
  </si>
  <si>
    <t>821.00</t>
  </si>
  <si>
    <t>24,630.00</t>
  </si>
  <si>
    <t>12,839.70</t>
  </si>
  <si>
    <t>2746</t>
  </si>
  <si>
    <t>2747</t>
  </si>
  <si>
    <t>38,678.40</t>
  </si>
  <si>
    <t>916.00</t>
  </si>
  <si>
    <t>27,480.00</t>
  </si>
  <si>
    <t>11,198.40</t>
  </si>
  <si>
    <t>2748</t>
  </si>
  <si>
    <t>41.84</t>
  </si>
  <si>
    <t>56,191.12</t>
  </si>
  <si>
    <t>5,302.00</t>
  </si>
  <si>
    <t>42,416.00</t>
  </si>
  <si>
    <t>13,775.12</t>
  </si>
  <si>
    <t>2749</t>
  </si>
  <si>
    <t>AbibP19-MS</t>
  </si>
  <si>
    <t>[1매입] 콜라겐 겔 마스크_수분초 젤리 35g</t>
  </si>
  <si>
    <t>1.31</t>
  </si>
  <si>
    <t>39.30</t>
  </si>
  <si>
    <t>52,779.90</t>
  </si>
  <si>
    <t>1,326.00</t>
  </si>
  <si>
    <t>39,780.00</t>
  </si>
  <si>
    <t>12,999.90</t>
  </si>
  <si>
    <t>2750</t>
  </si>
  <si>
    <t>2751</t>
  </si>
  <si>
    <t>290,490.90</t>
  </si>
  <si>
    <t>7,568.00</t>
  </si>
  <si>
    <t>227,040.00</t>
  </si>
  <si>
    <t>63,450.90</t>
  </si>
  <si>
    <t>2752</t>
  </si>
  <si>
    <t>161.04</t>
  </si>
  <si>
    <t>216,276.72</t>
  </si>
  <si>
    <t>151,800.00</t>
  </si>
  <si>
    <t>64,476.72</t>
  </si>
  <si>
    <t>2753</t>
  </si>
  <si>
    <t>58.56</t>
  </si>
  <si>
    <t>78,646.08</t>
  </si>
  <si>
    <t>55,200.00</t>
  </si>
  <si>
    <t>23,446.08</t>
  </si>
  <si>
    <t>2754</t>
  </si>
  <si>
    <t>288,879.30</t>
  </si>
  <si>
    <t>2755</t>
  </si>
  <si>
    <t>368,653.50</t>
  </si>
  <si>
    <t>207,000.00</t>
  </si>
  <si>
    <t>161,653.50</t>
  </si>
  <si>
    <t>43.8</t>
  </si>
  <si>
    <t>2756</t>
  </si>
  <si>
    <t>203.70</t>
  </si>
  <si>
    <t>273,569.10</t>
  </si>
  <si>
    <t>179,400.00</t>
  </si>
  <si>
    <t>94,169.10</t>
  </si>
  <si>
    <t>2757</t>
  </si>
  <si>
    <t>250.80</t>
  </si>
  <si>
    <t>336,824.40</t>
  </si>
  <si>
    <t>213,000.00</t>
  </si>
  <si>
    <t>123,824.40</t>
  </si>
  <si>
    <t>2758</t>
  </si>
  <si>
    <t>219,000.00</t>
  </si>
  <si>
    <t>69,879.30</t>
  </si>
  <si>
    <t>2759</t>
  </si>
  <si>
    <t>AbibSM10-HEr</t>
  </si>
  <si>
    <t>어성초 선 에센스 카밍 드롭 50ml (2023)</t>
  </si>
  <si>
    <t>224.10</t>
  </si>
  <si>
    <t>300,966.30</t>
  </si>
  <si>
    <t>7,672.00</t>
  </si>
  <si>
    <t>230,160.00</t>
  </si>
  <si>
    <t>70,806.30</t>
  </si>
  <si>
    <t>2760</t>
  </si>
  <si>
    <t>115.80</t>
  </si>
  <si>
    <t>155,519.40</t>
  </si>
  <si>
    <t>40,319.40</t>
  </si>
  <si>
    <t>2761</t>
  </si>
  <si>
    <t>285.95</t>
  </si>
  <si>
    <t>384,030.85</t>
  </si>
  <si>
    <t>313,600.00</t>
  </si>
  <si>
    <t>70,430.85</t>
  </si>
  <si>
    <t>2762</t>
  </si>
  <si>
    <t>233.28</t>
  </si>
  <si>
    <t>313,295.04</t>
  </si>
  <si>
    <t>57,295.04</t>
  </si>
  <si>
    <t>2763</t>
  </si>
  <si>
    <t>6.87</t>
  </si>
  <si>
    <t>1,236.60</t>
  </si>
  <si>
    <t>1,660,753.80</t>
  </si>
  <si>
    <t>965,520.00</t>
  </si>
  <si>
    <t>695,233.80</t>
  </si>
  <si>
    <t>2764</t>
  </si>
  <si>
    <t>2,476.80</t>
  </si>
  <si>
    <t>3,326,342.40</t>
  </si>
  <si>
    <t>950,342.40</t>
  </si>
  <si>
    <t>2765</t>
  </si>
  <si>
    <t>472,753.80</t>
  </si>
  <si>
    <t>2766</t>
  </si>
  <si>
    <t>2,302.56</t>
  </si>
  <si>
    <t>3,092,338.08</t>
  </si>
  <si>
    <t>1,484,568.00</t>
  </si>
  <si>
    <t>1,607,770.08</t>
  </si>
  <si>
    <t>52.0</t>
  </si>
  <si>
    <t>2767</t>
  </si>
  <si>
    <t>ARMBS10-Br3</t>
  </si>
  <si>
    <t>로즈마리 스칼프 스크럽 165g</t>
  </si>
  <si>
    <t>아로마티카</t>
  </si>
  <si>
    <t>267.90</t>
  </si>
  <si>
    <t>359,789.70</t>
  </si>
  <si>
    <t>7,231.50</t>
  </si>
  <si>
    <t>216,945.00</t>
  </si>
  <si>
    <t>142,844.70</t>
  </si>
  <si>
    <t>39.7</t>
  </si>
  <si>
    <t>2768</t>
  </si>
  <si>
    <t>ARMBS17-BWLM500</t>
  </si>
  <si>
    <t>서렌 바디워시 라벤더&amp;마조람 500ml</t>
  </si>
  <si>
    <t>15.43</t>
  </si>
  <si>
    <t>246.88</t>
  </si>
  <si>
    <t>331,559.84</t>
  </si>
  <si>
    <t>15,525.00</t>
  </si>
  <si>
    <t>248,400.00</t>
  </si>
  <si>
    <t>83,159.84</t>
  </si>
  <si>
    <t>2769</t>
  </si>
  <si>
    <t>46.29</t>
  </si>
  <si>
    <t>62,167.47</t>
  </si>
  <si>
    <t>46,575.00</t>
  </si>
  <si>
    <t>15,592.47</t>
  </si>
  <si>
    <t>2770</t>
  </si>
  <si>
    <t>ARMBS19-BWPS</t>
  </si>
  <si>
    <t>퓨어 앤 소프트 여성청결제 170ml</t>
  </si>
  <si>
    <t>226.80</t>
  </si>
  <si>
    <t>304,592.40</t>
  </si>
  <si>
    <t>5,854.00</t>
  </si>
  <si>
    <t>175,620.00</t>
  </si>
  <si>
    <t>128,972.40</t>
  </si>
  <si>
    <t>42.3</t>
  </si>
  <si>
    <t>2771</t>
  </si>
  <si>
    <t>ARMHS04-TS180</t>
  </si>
  <si>
    <t>티트리 퓨리파잉 샴푸 180ml</t>
  </si>
  <si>
    <t>228.30</t>
  </si>
  <si>
    <t>306,606.90</t>
  </si>
  <si>
    <t>5,463.00</t>
  </si>
  <si>
    <t>163,890.00</t>
  </si>
  <si>
    <t>142,716.90</t>
  </si>
  <si>
    <t>2772</t>
  </si>
  <si>
    <t>ARMHS10-S180</t>
  </si>
  <si>
    <t>로즈마리 스칼프 스케일링 샴푸 180ml</t>
  </si>
  <si>
    <t>302.70</t>
  </si>
  <si>
    <t>406,526.10</t>
  </si>
  <si>
    <t>172,800.00</t>
  </si>
  <si>
    <t>233,726.10</t>
  </si>
  <si>
    <t>57.5</t>
  </si>
  <si>
    <t>2773</t>
  </si>
  <si>
    <t>ARMHS10-Sr</t>
  </si>
  <si>
    <t>로즈마리 스칼프 스케일링 샴푸 400ml (리뉴얼)</t>
  </si>
  <si>
    <t>14.64</t>
  </si>
  <si>
    <t>439.20</t>
  </si>
  <si>
    <t>589,845.60</t>
  </si>
  <si>
    <t>280,800.00</t>
  </si>
  <si>
    <t>309,045.60</t>
  </si>
  <si>
    <t>52.4</t>
  </si>
  <si>
    <t>2774</t>
  </si>
  <si>
    <t>ARMHS34-TT</t>
  </si>
  <si>
    <t>리츄얼 헤어오일 라벤더&amp;패츌리 50ml</t>
  </si>
  <si>
    <t>12.35</t>
  </si>
  <si>
    <t>370.50</t>
  </si>
  <si>
    <t>497,581.50</t>
  </si>
  <si>
    <t>8,326.00</t>
  </si>
  <si>
    <t>249,780.00</t>
  </si>
  <si>
    <t>247,801.50</t>
  </si>
  <si>
    <t>49.8</t>
  </si>
  <si>
    <t>2775</t>
  </si>
  <si>
    <t>ARMS10-Svital</t>
  </si>
  <si>
    <t>바이탈라이징 로즈마리 컨센트레이티드 에센스 100ml</t>
  </si>
  <si>
    <t>13.39</t>
  </si>
  <si>
    <t>401.70</t>
  </si>
  <si>
    <t>539,483.10</t>
  </si>
  <si>
    <t>12,995.00</t>
  </si>
  <si>
    <t>389,850.00</t>
  </si>
  <si>
    <t>149,633.10</t>
  </si>
  <si>
    <t>2776</t>
  </si>
  <si>
    <t>6.12</t>
  </si>
  <si>
    <t>171.36</t>
  </si>
  <si>
    <t>230,136.48</t>
  </si>
  <si>
    <t>62,136.48</t>
  </si>
  <si>
    <t>2777</t>
  </si>
  <si>
    <t>19.09</t>
  </si>
  <si>
    <t>381.80</t>
  </si>
  <si>
    <t>512,757.40</t>
  </si>
  <si>
    <t>280,757.40</t>
  </si>
  <si>
    <t>54.8</t>
  </si>
  <si>
    <t>2778</t>
  </si>
  <si>
    <t>238.80</t>
  </si>
  <si>
    <t>320,708.40</t>
  </si>
  <si>
    <t>241,110.00</t>
  </si>
  <si>
    <t>79,598.40</t>
  </si>
  <si>
    <t>2779</t>
  </si>
  <si>
    <t>23.10</t>
  </si>
  <si>
    <t>31,023.30</t>
  </si>
  <si>
    <t>24,570.00</t>
  </si>
  <si>
    <t>6,453.30</t>
  </si>
  <si>
    <t>2780</t>
  </si>
  <si>
    <t>57.47</t>
  </si>
  <si>
    <t>77,182.21</t>
  </si>
  <si>
    <t>57,274.00</t>
  </si>
  <si>
    <t>19,908.21</t>
  </si>
  <si>
    <t>2781</t>
  </si>
  <si>
    <t>BentonP14-PKp</t>
  </si>
  <si>
    <t>구아바 70 스킨토너 진정 패드팩 (70매,리필)</t>
  </si>
  <si>
    <t>187.88</t>
  </si>
  <si>
    <t>252,322.84</t>
  </si>
  <si>
    <t>6,382.00</t>
  </si>
  <si>
    <t>140,404.00</t>
  </si>
  <si>
    <t>111,918.84</t>
  </si>
  <si>
    <t>2782</t>
  </si>
  <si>
    <t>183.60</t>
  </si>
  <si>
    <t>246,574.80</t>
  </si>
  <si>
    <t>190,920.00</t>
  </si>
  <si>
    <t>55,654.80</t>
  </si>
  <si>
    <t>2783</t>
  </si>
  <si>
    <t>7.97</t>
  </si>
  <si>
    <t>239.10</t>
  </si>
  <si>
    <t>321,111.30</t>
  </si>
  <si>
    <t>80,001.30</t>
  </si>
  <si>
    <t>2784</t>
  </si>
  <si>
    <t>BentonS01-KIT</t>
  </si>
  <si>
    <t>스네일비 하이콘텐트 스타터키트(디럭스 구성)</t>
  </si>
  <si>
    <t>234,487.80</t>
  </si>
  <si>
    <t>2785</t>
  </si>
  <si>
    <t>7.35</t>
  </si>
  <si>
    <t>220.50</t>
  </si>
  <si>
    <t>296,131.50</t>
  </si>
  <si>
    <t>6,982.00</t>
  </si>
  <si>
    <t>209,460.00</t>
  </si>
  <si>
    <t>86,671.50</t>
  </si>
  <si>
    <t>2786</t>
  </si>
  <si>
    <t>BentonS04-T</t>
  </si>
  <si>
    <t>(단종 예정) 퍼먼테이션 갈락토미 세스 99 스킨토너 150ml</t>
  </si>
  <si>
    <t>209.70</t>
  </si>
  <si>
    <t>281,627.10</t>
  </si>
  <si>
    <t>72,167.10</t>
  </si>
  <si>
    <t>2787</t>
  </si>
  <si>
    <t>344,076.60</t>
  </si>
  <si>
    <t>178,710.00</t>
  </si>
  <si>
    <t>165,366.60</t>
  </si>
  <si>
    <t>2788</t>
  </si>
  <si>
    <t>354.90</t>
  </si>
  <si>
    <t>476,630.70</t>
  </si>
  <si>
    <t>245,460.00</t>
  </si>
  <si>
    <t>231,170.70</t>
  </si>
  <si>
    <t>2789</t>
  </si>
  <si>
    <t>4.48</t>
  </si>
  <si>
    <t>134.40</t>
  </si>
  <si>
    <t>180,499.20</t>
  </si>
  <si>
    <t>158,400.00</t>
  </si>
  <si>
    <t>22,099.20</t>
  </si>
  <si>
    <t>2790</t>
  </si>
  <si>
    <t>44,119.20</t>
  </si>
  <si>
    <t>2791</t>
  </si>
  <si>
    <t>BETP06-PKR</t>
  </si>
  <si>
    <t>(리뉴얼) 어성초 오투 버블 워시 오프 마스크팩 50g</t>
  </si>
  <si>
    <t>154.50</t>
  </si>
  <si>
    <t>207,493.50</t>
  </si>
  <si>
    <t>5,440.00</t>
  </si>
  <si>
    <t>163,200.00</t>
  </si>
  <si>
    <t>44,293.50</t>
  </si>
  <si>
    <t>2792</t>
  </si>
  <si>
    <t>BETS07-I</t>
  </si>
  <si>
    <t>[리뉴얼예정]비타비타 서클 제로 아이크림</t>
  </si>
  <si>
    <t>157.80</t>
  </si>
  <si>
    <t>211,925.40</t>
  </si>
  <si>
    <t>55,925.40</t>
  </si>
  <si>
    <t>2793</t>
  </si>
  <si>
    <t>BETS08-S</t>
  </si>
  <si>
    <t>비건 레티날 바쿠치올 세럼 20ml</t>
  </si>
  <si>
    <t>255.30</t>
  </si>
  <si>
    <t>342,867.90</t>
  </si>
  <si>
    <t>259,110.00</t>
  </si>
  <si>
    <t>83,757.90</t>
  </si>
  <si>
    <t>2794</t>
  </si>
  <si>
    <t>BETS08-T</t>
  </si>
  <si>
    <t>비건 레드니스 바쿠치올 수딩 토너 250ml</t>
  </si>
  <si>
    <t>5,230.00</t>
  </si>
  <si>
    <t>156,900.00</t>
  </si>
  <si>
    <t>50,593.50</t>
  </si>
  <si>
    <t>2795</t>
  </si>
  <si>
    <t>BETSM04-RSCR</t>
  </si>
  <si>
    <t>(리뉴얼) 세범 제로 알로에라이스 비건 선크림 50ml SPF 50+, PA++++</t>
  </si>
  <si>
    <t>4.26</t>
  </si>
  <si>
    <t>255.60</t>
  </si>
  <si>
    <t>343,270.80</t>
  </si>
  <si>
    <t>259,140.00</t>
  </si>
  <si>
    <t>84,130.80</t>
  </si>
  <si>
    <t>2796</t>
  </si>
  <si>
    <t>BODC07-Fr</t>
  </si>
  <si>
    <t>[단종]수딩 베리어 클렌징 폼 120ml</t>
  </si>
  <si>
    <t>10.45</t>
  </si>
  <si>
    <t>271.70</t>
  </si>
  <si>
    <t>364,893.10</t>
  </si>
  <si>
    <t>9,460.00</t>
  </si>
  <si>
    <t>245,960.00</t>
  </si>
  <si>
    <t>118,933.10</t>
  </si>
  <si>
    <t>32.6</t>
  </si>
  <si>
    <t>2797</t>
  </si>
  <si>
    <t>421,030.50</t>
  </si>
  <si>
    <t>283,800.00</t>
  </si>
  <si>
    <t>137,230.50</t>
  </si>
  <si>
    <t>2798</t>
  </si>
  <si>
    <t>156,824.40</t>
  </si>
  <si>
    <t>2799</t>
  </si>
  <si>
    <t>2800</t>
  </si>
  <si>
    <t>BODS01-FT</t>
  </si>
  <si>
    <t>퍼스트 시너지 토너 150ml</t>
  </si>
  <si>
    <t>197,230.50</t>
  </si>
  <si>
    <t>46.8</t>
  </si>
  <si>
    <t>2801</t>
  </si>
  <si>
    <t>BODS01-ST</t>
  </si>
  <si>
    <t>마이크로 듀얼 세럼 토너 150ml</t>
  </si>
  <si>
    <t>360,998.40</t>
  </si>
  <si>
    <t>169,898.40</t>
  </si>
  <si>
    <t>2802</t>
  </si>
  <si>
    <t>BODS02-GA</t>
  </si>
  <si>
    <t>[단종] 스킨 글로우 바이탈 앰플 50ml</t>
  </si>
  <si>
    <t>20.90</t>
  </si>
  <si>
    <t>627.00</t>
  </si>
  <si>
    <t>842,061.00</t>
  </si>
  <si>
    <t>16,010.00</t>
  </si>
  <si>
    <t>480,300.00</t>
  </si>
  <si>
    <t>361,761.00</t>
  </si>
  <si>
    <t>43.0</t>
  </si>
  <si>
    <t>2803</t>
  </si>
  <si>
    <t>BODS02-HA</t>
  </si>
  <si>
    <t>[단종] 하이드로 세라놀 앰플 50ml</t>
  </si>
  <si>
    <t>2804</t>
  </si>
  <si>
    <t>BODS02-PA</t>
  </si>
  <si>
    <t>[리뉴얼 예정] 콜라겐 앰플 50ml</t>
  </si>
  <si>
    <t>21.65</t>
  </si>
  <si>
    <t>1,299.00</t>
  </si>
  <si>
    <t>1,744,557.00</t>
  </si>
  <si>
    <t>15,970.00</t>
  </si>
  <si>
    <t>958,200.00</t>
  </si>
  <si>
    <t>786,357.00</t>
  </si>
  <si>
    <t>2805</t>
  </si>
  <si>
    <t>BODS03-CC</t>
  </si>
  <si>
    <t>[단종] 콜라겐 크림 50ml</t>
  </si>
  <si>
    <t>19.78</t>
  </si>
  <si>
    <t>593.40</t>
  </si>
  <si>
    <t>796,936.20</t>
  </si>
  <si>
    <t>13,810.00</t>
  </si>
  <si>
    <t>414,300.00</t>
  </si>
  <si>
    <t>382,636.20</t>
  </si>
  <si>
    <t>48.0</t>
  </si>
  <si>
    <t>2806</t>
  </si>
  <si>
    <t>17.92</t>
  </si>
  <si>
    <t>537.60</t>
  </si>
  <si>
    <t>721,996.80</t>
  </si>
  <si>
    <t>384,900.00</t>
  </si>
  <si>
    <t>337,096.80</t>
  </si>
  <si>
    <t>46.7</t>
  </si>
  <si>
    <t>2807</t>
  </si>
  <si>
    <t>291.30</t>
  </si>
  <si>
    <t>391,215.90</t>
  </si>
  <si>
    <t>151,215.90</t>
  </si>
  <si>
    <t>38.7</t>
  </si>
  <si>
    <t>2808</t>
  </si>
  <si>
    <t>2809</t>
  </si>
  <si>
    <t>171.30</t>
  </si>
  <si>
    <t>230,055.90</t>
  </si>
  <si>
    <t>5,837.00</t>
  </si>
  <si>
    <t>175,110.00</t>
  </si>
  <si>
    <t>54,945.90</t>
  </si>
  <si>
    <t>2810</t>
  </si>
  <si>
    <t>CMXC01-BF</t>
  </si>
  <si>
    <t>(리뉴얼코드확인) 노니 아크네 버블 클렌저 155ml</t>
  </si>
  <si>
    <t>193.50</t>
  </si>
  <si>
    <t>259,870.50</t>
  </si>
  <si>
    <t>6,537.00</t>
  </si>
  <si>
    <t>196,110.00</t>
  </si>
  <si>
    <t>63,760.50</t>
  </si>
  <si>
    <t>2811</t>
  </si>
  <si>
    <t>128.70</t>
  </si>
  <si>
    <t>172,844.10</t>
  </si>
  <si>
    <t>4,755.00</t>
  </si>
  <si>
    <t>142,650.00</t>
  </si>
  <si>
    <t>30,194.10</t>
  </si>
  <si>
    <t>2812</t>
  </si>
  <si>
    <t>231,000.00</t>
  </si>
  <si>
    <t>69,966.30</t>
  </si>
  <si>
    <t>2813</t>
  </si>
  <si>
    <t>112.80</t>
  </si>
  <si>
    <t>151,490.40</t>
  </si>
  <si>
    <t>3,855.00</t>
  </si>
  <si>
    <t>115,650.00</t>
  </si>
  <si>
    <t>35,840.40</t>
  </si>
  <si>
    <t>2814</t>
  </si>
  <si>
    <t>7,046.00</t>
  </si>
  <si>
    <t>211,380.00</t>
  </si>
  <si>
    <t>77,499.30</t>
  </si>
  <si>
    <t>2815</t>
  </si>
  <si>
    <t>165.30</t>
  </si>
  <si>
    <t>221,997.90</t>
  </si>
  <si>
    <t>5,728.00</t>
  </si>
  <si>
    <t>171,840.00</t>
  </si>
  <si>
    <t>50,157.90</t>
  </si>
  <si>
    <t>2816</t>
  </si>
  <si>
    <t>10.71</t>
  </si>
  <si>
    <t>431,505.90</t>
  </si>
  <si>
    <t>191,505.90</t>
  </si>
  <si>
    <t>2817</t>
  </si>
  <si>
    <t>271,151.70</t>
  </si>
  <si>
    <t>194,400.00</t>
  </si>
  <si>
    <t>76,751.70</t>
  </si>
  <si>
    <t>2818</t>
  </si>
  <si>
    <t>317,485.20</t>
  </si>
  <si>
    <t>86,485.20</t>
  </si>
  <si>
    <t>2819</t>
  </si>
  <si>
    <t>6,046.00</t>
  </si>
  <si>
    <t>181,380.00</t>
  </si>
  <si>
    <t>65,194.80</t>
  </si>
  <si>
    <t>2820</t>
  </si>
  <si>
    <t>394,842.00</t>
  </si>
  <si>
    <t>7,473.00</t>
  </si>
  <si>
    <t>224,190.00</t>
  </si>
  <si>
    <t>170,652.00</t>
  </si>
  <si>
    <t>2821</t>
  </si>
  <si>
    <t>229.50</t>
  </si>
  <si>
    <t>308,218.50</t>
  </si>
  <si>
    <t>2822</t>
  </si>
  <si>
    <t>252,618.30</t>
  </si>
  <si>
    <t>58,968.30</t>
  </si>
  <si>
    <t>2823</t>
  </si>
  <si>
    <t>6,810.00</t>
  </si>
  <si>
    <t>204,300.00</t>
  </si>
  <si>
    <t>66,851.70</t>
  </si>
  <si>
    <t>2824</t>
  </si>
  <si>
    <t>282,030.00</t>
  </si>
  <si>
    <t>70,650.00</t>
  </si>
  <si>
    <t>2825</t>
  </si>
  <si>
    <t>7.10</t>
  </si>
  <si>
    <t>710.00</t>
  </si>
  <si>
    <t>953,530.00</t>
  </si>
  <si>
    <t>795,500.00</t>
  </si>
  <si>
    <t>158,030.00</t>
  </si>
  <si>
    <t>2826</t>
  </si>
  <si>
    <t>397,750.00</t>
  </si>
  <si>
    <t>-397,750.00</t>
  </si>
  <si>
    <t>2827</t>
  </si>
  <si>
    <t>2828</t>
  </si>
  <si>
    <t>2829</t>
  </si>
  <si>
    <t>2830</t>
  </si>
  <si>
    <t>2831</t>
  </si>
  <si>
    <t>DEWYP02-Mcal</t>
  </si>
  <si>
    <t>픽앤퀵 카밍 풀 마스크 [30매입]</t>
  </si>
  <si>
    <t>듀이트리</t>
  </si>
  <si>
    <t>129.78</t>
  </si>
  <si>
    <t>174,294.54</t>
  </si>
  <si>
    <t>131,733.00</t>
  </si>
  <si>
    <t>42,561.54</t>
  </si>
  <si>
    <t>2832</t>
  </si>
  <si>
    <t>296,534.40</t>
  </si>
  <si>
    <t>243,600.00</t>
  </si>
  <si>
    <t>52,934.40</t>
  </si>
  <si>
    <t>2833</t>
  </si>
  <si>
    <t>DRAS01-SMN</t>
  </si>
  <si>
    <t>나이아신 퓨리티 세럼 30ml</t>
  </si>
  <si>
    <t>240.30</t>
  </si>
  <si>
    <t>322,722.90</t>
  </si>
  <si>
    <t>79,122.90</t>
  </si>
  <si>
    <t>2834</t>
  </si>
  <si>
    <t>DRAS01-SN</t>
  </si>
  <si>
    <t>내추럴 래디언스 에센스 30ml</t>
  </si>
  <si>
    <t>132.00</t>
  </si>
  <si>
    <t>177,276.00</t>
  </si>
  <si>
    <t>4,370.00</t>
  </si>
  <si>
    <t>131,100.00</t>
  </si>
  <si>
    <t>46,176.00</t>
  </si>
  <si>
    <t>2835</t>
  </si>
  <si>
    <t>DRAS01-SR</t>
  </si>
  <si>
    <t>스킨 릴리프 에센스 30ml</t>
  </si>
  <si>
    <t>2836</t>
  </si>
  <si>
    <t>EC55-W150rr</t>
  </si>
  <si>
    <t>순정약산성 6.5 휩클렌저 150ml (23AD)</t>
  </si>
  <si>
    <t>168.00</t>
  </si>
  <si>
    <t>225,624.00</t>
  </si>
  <si>
    <t>5,827.00</t>
  </si>
  <si>
    <t>174,810.00</t>
  </si>
  <si>
    <t>50,814.00</t>
  </si>
  <si>
    <t>2837</t>
  </si>
  <si>
    <t>ECM04-GA</t>
  </si>
  <si>
    <t>디어 달링 워터 틴트 05 그레이프 에이드</t>
  </si>
  <si>
    <t>75,342.30</t>
  </si>
  <si>
    <t>2,137.00</t>
  </si>
  <si>
    <t>64,110.00</t>
  </si>
  <si>
    <t>11,232.30</t>
  </si>
  <si>
    <t>2838</t>
  </si>
  <si>
    <t>ECM04-L01</t>
  </si>
  <si>
    <t>디어달링 오일틴트 01</t>
  </si>
  <si>
    <t>4.11</t>
  </si>
  <si>
    <t>123.30</t>
  </si>
  <si>
    <t>165,591.90</t>
  </si>
  <si>
    <t>141,000.00</t>
  </si>
  <si>
    <t>24,591.90</t>
  </si>
  <si>
    <t>2839</t>
  </si>
  <si>
    <t>ECM04-L02</t>
  </si>
  <si>
    <t>디어달링 오일틴트 02</t>
  </si>
  <si>
    <t>2840</t>
  </si>
  <si>
    <t>ECM04-L03</t>
  </si>
  <si>
    <t>디어달링 오일틴트 03</t>
  </si>
  <si>
    <t>69.87</t>
  </si>
  <si>
    <t>93,835.41</t>
  </si>
  <si>
    <t>79,900.00</t>
  </si>
  <si>
    <t>13,935.41</t>
  </si>
  <si>
    <t>2841</t>
  </si>
  <si>
    <t>53.43</t>
  </si>
  <si>
    <t>71,756.49</t>
  </si>
  <si>
    <t>61,100.00</t>
  </si>
  <si>
    <t>10,656.49</t>
  </si>
  <si>
    <t>2842</t>
  </si>
  <si>
    <t>ECM04-L06</t>
  </si>
  <si>
    <t>디어달링 오일틴트 06</t>
  </si>
  <si>
    <t>61.65</t>
  </si>
  <si>
    <t>82,795.95</t>
  </si>
  <si>
    <t>70,500.00</t>
  </si>
  <si>
    <t>12,295.95</t>
  </si>
  <si>
    <t>2843</t>
  </si>
  <si>
    <t>ECM04-RGA</t>
  </si>
  <si>
    <t>디어 달링 워터 틴트 04 레드자몽 에이드</t>
  </si>
  <si>
    <t>2,138.00</t>
  </si>
  <si>
    <t>64,140.00</t>
  </si>
  <si>
    <t>11,202.30</t>
  </si>
  <si>
    <t>2844</t>
  </si>
  <si>
    <t>ECM04-WG01</t>
  </si>
  <si>
    <t>(24AD) 디어달링 워터젤 틴트 1호 낑깡 레드 5g</t>
  </si>
  <si>
    <t>89.70</t>
  </si>
  <si>
    <t>120,467.10</t>
  </si>
  <si>
    <t>3,419.00</t>
  </si>
  <si>
    <t>102,570.00</t>
  </si>
  <si>
    <t>17,897.10</t>
  </si>
  <si>
    <t>2845</t>
  </si>
  <si>
    <t>ECM04-WG02</t>
  </si>
  <si>
    <t>(24AD) 디어달링 워터젤 틴트 2호 앵두레드 5g</t>
  </si>
  <si>
    <t>2846</t>
  </si>
  <si>
    <t>ECM04-WG03</t>
  </si>
  <si>
    <t>(24AD) 디어달링 워터젤 틴트 3호 리얼레드 5g</t>
  </si>
  <si>
    <t>2847</t>
  </si>
  <si>
    <t>ECM04-WG07</t>
  </si>
  <si>
    <t>(24AD) 디어달링 워터젤 틴트 7호 통팥레드 5g</t>
  </si>
  <si>
    <t>2848</t>
  </si>
  <si>
    <t>ECM04-WG08</t>
  </si>
  <si>
    <t>(24AD) 디어달링 워터젤 틴트8호 수박레드 5g</t>
  </si>
  <si>
    <t>2849</t>
  </si>
  <si>
    <t>ECM102-K01R</t>
  </si>
  <si>
    <t>(23AD) 컬 픽스 마스카라 01 블랙 8g</t>
  </si>
  <si>
    <t>179.10</t>
  </si>
  <si>
    <t>240,531.30</t>
  </si>
  <si>
    <t>6,837.00</t>
  </si>
  <si>
    <t>205,110.00</t>
  </si>
  <si>
    <t>35,421.30</t>
  </si>
  <si>
    <t>2850</t>
  </si>
  <si>
    <t>ECM102-K02Re</t>
  </si>
  <si>
    <t>(25AD) 컬 픽스 마스카라 02 브라운 8g</t>
  </si>
  <si>
    <t>179.40</t>
  </si>
  <si>
    <t>240,934.20</t>
  </si>
  <si>
    <t>35,824.20</t>
  </si>
  <si>
    <t>2851</t>
  </si>
  <si>
    <t>ECM102-K03</t>
  </si>
  <si>
    <t>(23AD) 컬 픽스 마스카라 03 그레이브라운 8g</t>
  </si>
  <si>
    <t>2852</t>
  </si>
  <si>
    <t>ECM102-K04</t>
  </si>
  <si>
    <t>(24AD) 컬 픽스 마스카라 04 가닥볼륨 8g</t>
  </si>
  <si>
    <t>2853</t>
  </si>
  <si>
    <t>ECM61-KPrR</t>
  </si>
  <si>
    <t>닥터마스카라 픽서 포 퍼펙트 래쉬 (23AD)</t>
  </si>
  <si>
    <t>2854</t>
  </si>
  <si>
    <t>ECM61-KSrr</t>
  </si>
  <si>
    <t>(23AD) 닥터 마스카라 픽서 포 슈퍼 롱 래쉬 6g</t>
  </si>
  <si>
    <t>2855</t>
  </si>
  <si>
    <t>ECM90-LG01</t>
  </si>
  <si>
    <t>글로우 픽싱틴트 01 퓨어 코랄 3.8g</t>
  </si>
  <si>
    <t>62.76</t>
  </si>
  <si>
    <t>84,286.68</t>
  </si>
  <si>
    <t>5,982.00</t>
  </si>
  <si>
    <t>71,784.00</t>
  </si>
  <si>
    <t>12,502.68</t>
  </si>
  <si>
    <t>2856</t>
  </si>
  <si>
    <t>ECM90-LG01M</t>
  </si>
  <si>
    <t>(23AD) 픽싱 틴트 1호 아날로그 로즈</t>
  </si>
  <si>
    <t>139,860.00</t>
  </si>
  <si>
    <t>40,639.20</t>
  </si>
  <si>
    <t>2857</t>
  </si>
  <si>
    <t>ECM90-LG02</t>
  </si>
  <si>
    <t>글로우 픽싱틴트 02 멜로우 핑크 3.8g</t>
  </si>
  <si>
    <t>156.90</t>
  </si>
  <si>
    <t>210,716.70</t>
  </si>
  <si>
    <t>179,460.00</t>
  </si>
  <si>
    <t>31,256.70</t>
  </si>
  <si>
    <t>2858</t>
  </si>
  <si>
    <t>ECM90-LG02M</t>
  </si>
  <si>
    <t>(23AD) 픽싱 틴트 2호 빈티지 레드</t>
  </si>
  <si>
    <t>22.40</t>
  </si>
  <si>
    <t>30,083.20</t>
  </si>
  <si>
    <t>5,128.00</t>
  </si>
  <si>
    <t>25,640.00</t>
  </si>
  <si>
    <t>4,443.20</t>
  </si>
  <si>
    <t>2859</t>
  </si>
  <si>
    <t>ECM90-LG03M</t>
  </si>
  <si>
    <t>(23AD) 픽싱 틴트 3호 멜로우 피치</t>
  </si>
  <si>
    <t>44.80</t>
  </si>
  <si>
    <t>60,166.40</t>
  </si>
  <si>
    <t>51,280.00</t>
  </si>
  <si>
    <t>8,886.40</t>
  </si>
  <si>
    <t>2860</t>
  </si>
  <si>
    <t>85.12</t>
  </si>
  <si>
    <t>114,316.16</t>
  </si>
  <si>
    <t>97,432.00</t>
  </si>
  <si>
    <t>16,884.16</t>
  </si>
  <si>
    <t>2861</t>
  </si>
  <si>
    <t>ECM90-LG04</t>
  </si>
  <si>
    <t>글로우 픽싱틴트 04 칠링 레드 3.8g</t>
  </si>
  <si>
    <t>20.92</t>
  </si>
  <si>
    <t>28,095.56</t>
  </si>
  <si>
    <t>23,928.00</t>
  </si>
  <si>
    <t>4,167.56</t>
  </si>
  <si>
    <t>2862</t>
  </si>
  <si>
    <t>245.81</t>
  </si>
  <si>
    <t>330,122.83</t>
  </si>
  <si>
    <t>281,154.00</t>
  </si>
  <si>
    <t>48,968.83</t>
  </si>
  <si>
    <t>2863</t>
  </si>
  <si>
    <t>ECM90-LG04M</t>
  </si>
  <si>
    <t>(23AD) 픽싱 틴트 4호 진저 밀크티</t>
  </si>
  <si>
    <t>71.68</t>
  </si>
  <si>
    <t>96,266.24</t>
  </si>
  <si>
    <t>74,592.00</t>
  </si>
  <si>
    <t>21,674.24</t>
  </si>
  <si>
    <t>2864</t>
  </si>
  <si>
    <t>24,066.56</t>
  </si>
  <si>
    <t>4,789.09</t>
  </si>
  <si>
    <t>19,156.36</t>
  </si>
  <si>
    <t>4,910.20</t>
  </si>
  <si>
    <t>2865</t>
  </si>
  <si>
    <t>ECM90-LG05</t>
  </si>
  <si>
    <t>글로우 픽싱틴트 05 모브먼트 3.8g</t>
  </si>
  <si>
    <t>2866</t>
  </si>
  <si>
    <t>ECM90-LG05M</t>
  </si>
  <si>
    <t>(23AD) 픽싱 틴트 5호 미드나잇 모브</t>
  </si>
  <si>
    <t>153,840.00</t>
  </si>
  <si>
    <t>26,659.20</t>
  </si>
  <si>
    <t>2867</t>
  </si>
  <si>
    <t>ECM90-LG06</t>
  </si>
  <si>
    <t>글로우 픽싱틴트 06 피치 블렌디드 3.8g</t>
  </si>
  <si>
    <t>52.30</t>
  </si>
  <si>
    <t>70,238.90</t>
  </si>
  <si>
    <t>59,820.00</t>
  </si>
  <si>
    <t>10,418.90</t>
  </si>
  <si>
    <t>2868</t>
  </si>
  <si>
    <t>ECM90-LG06M</t>
  </si>
  <si>
    <t>(23AD) 픽싱 틴트 6호 소프트월넛</t>
  </si>
  <si>
    <t>2869</t>
  </si>
  <si>
    <t>ECM90-LG07</t>
  </si>
  <si>
    <t>글로우 픽싱틴트 07 콜드 푸시아 3.8g</t>
  </si>
  <si>
    <t>10.46</t>
  </si>
  <si>
    <t>14,047.78</t>
  </si>
  <si>
    <t>11,964.00</t>
  </si>
  <si>
    <t>2,083.78</t>
  </si>
  <si>
    <t>2870</t>
  </si>
  <si>
    <t>ECM90-LG07M</t>
  </si>
  <si>
    <t>(23AD) 픽싱 틴트 7호 크랜베리 플럼</t>
  </si>
  <si>
    <t>35.84</t>
  </si>
  <si>
    <t>48,133.12</t>
  </si>
  <si>
    <t>41,024.00</t>
  </si>
  <si>
    <t>7,109.12</t>
  </si>
  <si>
    <t>2871</t>
  </si>
  <si>
    <t>98.56</t>
  </si>
  <si>
    <t>132,366.08</t>
  </si>
  <si>
    <t>112,816.00</t>
  </si>
  <si>
    <t>19,550.08</t>
  </si>
  <si>
    <t>2872</t>
  </si>
  <si>
    <t>ECM90-LG08M</t>
  </si>
  <si>
    <t>(23AD) 픽싱 틴트 8호 더스티 베이지</t>
  </si>
  <si>
    <t>2873</t>
  </si>
  <si>
    <t>ECM90-LG10M</t>
  </si>
  <si>
    <t>(23AD) 픽싱 틴트 10호 스모키체리</t>
  </si>
  <si>
    <t>2874</t>
  </si>
  <si>
    <t>ECM90-LG11M</t>
  </si>
  <si>
    <t>(23AD) 픽싱 틴트 11호 로즈블렌딩</t>
  </si>
  <si>
    <t>2875</t>
  </si>
  <si>
    <t>ECM90-LG12M</t>
  </si>
  <si>
    <t>(23AD) 픽싱 틴트 12호 살몬브릭</t>
  </si>
  <si>
    <t>2876</t>
  </si>
  <si>
    <t>EM115-PowderR23</t>
  </si>
  <si>
    <t>(23AD) 제로피지 드라잉 파우더 4g</t>
  </si>
  <si>
    <t>2.80</t>
  </si>
  <si>
    <t>84.00</t>
  </si>
  <si>
    <t>112,812.00</t>
  </si>
  <si>
    <t>3,205.00</t>
  </si>
  <si>
    <t>96,150.00</t>
  </si>
  <si>
    <t>16,662.00</t>
  </si>
  <si>
    <t>2877</t>
  </si>
  <si>
    <t>ES01-S21</t>
  </si>
  <si>
    <t>수분가득 콜라겐 에센스 80ml 2021</t>
  </si>
  <si>
    <t>186.60</t>
  </si>
  <si>
    <t>250,603.80</t>
  </si>
  <si>
    <t>9,711.00</t>
  </si>
  <si>
    <t>194,220.00</t>
  </si>
  <si>
    <t>56,383.80</t>
  </si>
  <si>
    <t>2878</t>
  </si>
  <si>
    <t>8,091.00</t>
  </si>
  <si>
    <t>242,730.00</t>
  </si>
  <si>
    <t>58,236.30</t>
  </si>
  <si>
    <t>2879</t>
  </si>
  <si>
    <t>2880</t>
  </si>
  <si>
    <t>10.53</t>
  </si>
  <si>
    <t>315.90</t>
  </si>
  <si>
    <t>424,253.70</t>
  </si>
  <si>
    <t>10,105.00</t>
  </si>
  <si>
    <t>303,150.00</t>
  </si>
  <si>
    <t>121,103.70</t>
  </si>
  <si>
    <t>2881</t>
  </si>
  <si>
    <t>goodalS06-SR40US</t>
  </si>
  <si>
    <t>(리뉴얼코드확인) (글로벌) 청귤비타C잡티케어세럼 40ml</t>
  </si>
  <si>
    <t>11.13</t>
  </si>
  <si>
    <t>10,239.60</t>
  </si>
  <si>
    <t>13,751,782.80</t>
  </si>
  <si>
    <t>11,273.00</t>
  </si>
  <si>
    <t>10,371,160.00</t>
  </si>
  <si>
    <t>3,380,622.80</t>
  </si>
  <si>
    <t>2882</t>
  </si>
  <si>
    <t>HGS11-Sr</t>
  </si>
  <si>
    <t>(리뉴얼) 오운 비건 카밍 세럼 50ml</t>
  </si>
  <si>
    <t>휘게</t>
  </si>
  <si>
    <t>93,875.70</t>
  </si>
  <si>
    <t>39,325.70</t>
  </si>
  <si>
    <t>2883</t>
  </si>
  <si>
    <t>HLSS01-SD</t>
  </si>
  <si>
    <t>[디럭스] 워터풀 히알루로닉 세럼 20ml</t>
  </si>
  <si>
    <t>2.91</t>
  </si>
  <si>
    <t>87.30</t>
  </si>
  <si>
    <t>117,243.90</t>
  </si>
  <si>
    <t>2884</t>
  </si>
  <si>
    <t>HLSS04-CS</t>
  </si>
  <si>
    <t>스네일 뮤신 88 + 펩타이드 크림 100ml</t>
  </si>
  <si>
    <t>45,966.30</t>
  </si>
  <si>
    <t>2885</t>
  </si>
  <si>
    <t>40,925.40</t>
  </si>
  <si>
    <t>2886</t>
  </si>
  <si>
    <t>2887</t>
  </si>
  <si>
    <t>HMBM21-BB28R</t>
  </si>
  <si>
    <t>모링가 세라마이드 비비크림 SPF30 PA++ 28 탄</t>
  </si>
  <si>
    <t>3,515.00</t>
  </si>
  <si>
    <t>105,450.00</t>
  </si>
  <si>
    <t>106,475.40</t>
  </si>
  <si>
    <t>2888</t>
  </si>
  <si>
    <t>HMBM21-BB29R</t>
  </si>
  <si>
    <t>모링가 세라마이드 비비크림 SPF30 PA++ 29 다크 올리브</t>
  </si>
  <si>
    <t>2889</t>
  </si>
  <si>
    <t>HMBM21-BB31R</t>
  </si>
  <si>
    <t>모링가 세라마이드 비비크림 SPF30 PA++ 31 딥</t>
  </si>
  <si>
    <t>2890</t>
  </si>
  <si>
    <t>231.90</t>
  </si>
  <si>
    <t>311,441.70</t>
  </si>
  <si>
    <t>236,730.00</t>
  </si>
  <si>
    <t>74,711.70</t>
  </si>
  <si>
    <t>2891</t>
  </si>
  <si>
    <t>154.60</t>
  </si>
  <si>
    <t>207,627.80</t>
  </si>
  <si>
    <t>49,807.80</t>
  </si>
  <si>
    <t>2892</t>
  </si>
  <si>
    <t>HMS21-CMCEM</t>
  </si>
  <si>
    <t>(단종) 모링가 세라마이드 콜라겐 인리치드 모이스처라이저 120ml</t>
  </si>
  <si>
    <t>9.14</t>
  </si>
  <si>
    <t>274.20</t>
  </si>
  <si>
    <t>368,250.60</t>
  </si>
  <si>
    <t>255,300.00</t>
  </si>
  <si>
    <t>112,950.60</t>
  </si>
  <si>
    <t>2893</t>
  </si>
  <si>
    <t>HMS21-CMCEMEV</t>
  </si>
  <si>
    <t>[시딩용]모링가 세라마이드 콜라겐 인리치드 모이스처라이저 120ML</t>
  </si>
  <si>
    <t>11.30</t>
  </si>
  <si>
    <t>45,527.70</t>
  </si>
  <si>
    <t>3,182.00</t>
  </si>
  <si>
    <t>9,546.00</t>
  </si>
  <si>
    <t>35,981.70</t>
  </si>
  <si>
    <t>79.0</t>
  </si>
  <si>
    <t>2894</t>
  </si>
  <si>
    <t>2895</t>
  </si>
  <si>
    <t>HMSM21-SC</t>
  </si>
  <si>
    <t>(리뉴얼 예정)모링가 세라마이드 히알루론산 하이드레이팅 워터리 선스크린 50ml</t>
  </si>
  <si>
    <t>216.90</t>
  </si>
  <si>
    <t>291,296.70</t>
  </si>
  <si>
    <t>204,000.00</t>
  </si>
  <si>
    <t>87,296.70</t>
  </si>
  <si>
    <t>2896</t>
  </si>
  <si>
    <t>223,206.60</t>
  </si>
  <si>
    <t>45,006.60</t>
  </si>
  <si>
    <t>2897</t>
  </si>
  <si>
    <t>ISNS19-A</t>
  </si>
  <si>
    <t>(단종) 머그워트 카밍 앰플 50ml</t>
  </si>
  <si>
    <t>10.75</t>
  </si>
  <si>
    <t>322.50</t>
  </si>
  <si>
    <t>433,117.50</t>
  </si>
  <si>
    <t>12,160.00</t>
  </si>
  <si>
    <t>364,800.00</t>
  </si>
  <si>
    <t>68,317.50</t>
  </si>
  <si>
    <t>2898</t>
  </si>
  <si>
    <t>ISNSM15-SCHR</t>
  </si>
  <si>
    <t>*리뉴얼 히아루론산 네추럴 선크림 50ml</t>
  </si>
  <si>
    <t>297,743.10</t>
  </si>
  <si>
    <t>8,360.00</t>
  </si>
  <si>
    <t>250,800.00</t>
  </si>
  <si>
    <t>46,943.10</t>
  </si>
  <si>
    <t>2899</t>
  </si>
  <si>
    <t>IUC10-F</t>
  </si>
  <si>
    <t>카렌듈라 밸런싱 폼 젤 클렌저 150ml</t>
  </si>
  <si>
    <t>2900</t>
  </si>
  <si>
    <t>IUHS12-O</t>
  </si>
  <si>
    <t>(단종)아르간 너리싱 헤어 오일 100ml</t>
  </si>
  <si>
    <t>7.94</t>
  </si>
  <si>
    <t>119.10</t>
  </si>
  <si>
    <t>159,951.30</t>
  </si>
  <si>
    <t>121,500.00</t>
  </si>
  <si>
    <t>38,451.30</t>
  </si>
  <si>
    <t>2901</t>
  </si>
  <si>
    <t>IUSM04-SC</t>
  </si>
  <si>
    <t>베타 글루칸 베리어 선스크린 60ml</t>
  </si>
  <si>
    <t>5,318,280.00</t>
  </si>
  <si>
    <t>3,550,000.00</t>
  </si>
  <si>
    <t>1,768,280.00</t>
  </si>
  <si>
    <t>2902</t>
  </si>
  <si>
    <t>4,560.00</t>
  </si>
  <si>
    <t>136,800.00</t>
  </si>
  <si>
    <t>75,125.40</t>
  </si>
  <si>
    <t>35.4</t>
  </si>
  <si>
    <t>2903</t>
  </si>
  <si>
    <t>279.25</t>
  </si>
  <si>
    <t>375,032.75</t>
  </si>
  <si>
    <t>242,250.00</t>
  </si>
  <si>
    <t>132,782.75</t>
  </si>
  <si>
    <t>2904</t>
  </si>
  <si>
    <t>13.80</t>
  </si>
  <si>
    <t>414.00</t>
  </si>
  <si>
    <t>556,002.00</t>
  </si>
  <si>
    <t>12,308.67</t>
  </si>
  <si>
    <t>369,260.00</t>
  </si>
  <si>
    <t>186,742.00</t>
  </si>
  <si>
    <t>2905</t>
  </si>
  <si>
    <t>307,800.00</t>
  </si>
  <si>
    <t>168,830.70</t>
  </si>
  <si>
    <t>2906</t>
  </si>
  <si>
    <t>502,819.20</t>
  </si>
  <si>
    <t>10,830.00</t>
  </si>
  <si>
    <t>324,900.00</t>
  </si>
  <si>
    <t>177,919.20</t>
  </si>
  <si>
    <t>2907</t>
  </si>
  <si>
    <t>238,315.35</t>
  </si>
  <si>
    <t>76,315.35</t>
  </si>
  <si>
    <t>2908</t>
  </si>
  <si>
    <t>370,668.00</t>
  </si>
  <si>
    <t>133,938.00</t>
  </si>
  <si>
    <t>36.1</t>
  </si>
  <si>
    <t>2909</t>
  </si>
  <si>
    <t>183.90</t>
  </si>
  <si>
    <t>246,977.70</t>
  </si>
  <si>
    <t>51,977.70</t>
  </si>
  <si>
    <t>2910</t>
  </si>
  <si>
    <t>279.30</t>
  </si>
  <si>
    <t>375,099.90</t>
  </si>
  <si>
    <t>70,599.90</t>
  </si>
  <si>
    <t>2911</t>
  </si>
  <si>
    <t>292,050.00</t>
  </si>
  <si>
    <t>78,618.00</t>
  </si>
  <si>
    <t>2912</t>
  </si>
  <si>
    <t>10.35</t>
  </si>
  <si>
    <t>310.50</t>
  </si>
  <si>
    <t>417,001.50</t>
  </si>
  <si>
    <t>88,801.50</t>
  </si>
  <si>
    <t>2913</t>
  </si>
  <si>
    <t>241,800.00</t>
  </si>
  <si>
    <t>64,806.90</t>
  </si>
  <si>
    <t>2914</t>
  </si>
  <si>
    <t>5.64</t>
  </si>
  <si>
    <t>169.20</t>
  </si>
  <si>
    <t>227,235.60</t>
  </si>
  <si>
    <t>5,949.33</t>
  </si>
  <si>
    <t>178,480.00</t>
  </si>
  <si>
    <t>48,755.60</t>
  </si>
  <si>
    <t>2915</t>
  </si>
  <si>
    <t>MM37-EssenceSun</t>
  </si>
  <si>
    <t>올 어라운드 세이프 블록 에센스 선 50ml [주력]</t>
  </si>
  <si>
    <t>미샤</t>
  </si>
  <si>
    <t>147,300.00</t>
  </si>
  <si>
    <t>82,755.90</t>
  </si>
  <si>
    <t>36.0</t>
  </si>
  <si>
    <t>2916</t>
  </si>
  <si>
    <t>MMBS04-BM</t>
  </si>
  <si>
    <t>시어버터 앤 라이스 브랜 바디크림 250ml</t>
  </si>
  <si>
    <t>295,500.00</t>
  </si>
  <si>
    <t>95,715.90</t>
  </si>
  <si>
    <t>2917</t>
  </si>
  <si>
    <t>MMBS04-HC3</t>
  </si>
  <si>
    <t>서울 에디션 핸드크림 트리오 세트 (30ml*3ea)</t>
  </si>
  <si>
    <t>249.30</t>
  </si>
  <si>
    <t>334,809.90</t>
  </si>
  <si>
    <t>8,440.00</t>
  </si>
  <si>
    <t>253,200.00</t>
  </si>
  <si>
    <t>81,609.90</t>
  </si>
  <si>
    <t>2918</t>
  </si>
  <si>
    <t>MMBS04-HCb</t>
  </si>
  <si>
    <t>베르가모트 앤 페어 핸드 크림 50ml</t>
  </si>
  <si>
    <t>91.80</t>
  </si>
  <si>
    <t>123,287.40</t>
  </si>
  <si>
    <t>91,500.00</t>
  </si>
  <si>
    <t>31,787.40</t>
  </si>
  <si>
    <t>2919</t>
  </si>
  <si>
    <t>MMBS04-HCm</t>
  </si>
  <si>
    <t>뮤게 앤 로투스 핸드 크림 50ml</t>
  </si>
  <si>
    <t>2920</t>
  </si>
  <si>
    <t>MMBS04-HCs</t>
  </si>
  <si>
    <t>시어버터 앤 라이스브랜 핸드 크림 50ml</t>
  </si>
  <si>
    <t>2921</t>
  </si>
  <si>
    <t>MMC03-OC</t>
  </si>
  <si>
    <t>라이스 글루타티온 라하 클렌징 오일 200ml</t>
  </si>
  <si>
    <t>257.10</t>
  </si>
  <si>
    <t>345,285.30</t>
  </si>
  <si>
    <t>7,710.00</t>
  </si>
  <si>
    <t>231,300.00</t>
  </si>
  <si>
    <t>113,985.30</t>
  </si>
  <si>
    <t>33.0</t>
  </si>
  <si>
    <t>2922</t>
  </si>
  <si>
    <t>MMP07-PBm</t>
  </si>
  <si>
    <t>(단종) (튜브형) 비건 블랙베리 콤플렉스 글로우 워시오프팩 30g</t>
  </si>
  <si>
    <t>2.51</t>
  </si>
  <si>
    <t>75.30</t>
  </si>
  <si>
    <t>101,127.90</t>
  </si>
  <si>
    <t>2923</t>
  </si>
  <si>
    <t>MMS01-CS</t>
  </si>
  <si>
    <t>레티놀 0.1% 바쿠치올 시카 세럼 80ml</t>
  </si>
  <si>
    <t>311,844.60</t>
  </si>
  <si>
    <t>7,930.00</t>
  </si>
  <si>
    <t>237,900.00</t>
  </si>
  <si>
    <t>73,944.60</t>
  </si>
  <si>
    <t>2924</t>
  </si>
  <si>
    <t>MMS01-RVS</t>
  </si>
  <si>
    <t>라이스 나이아신 10% 트리플 비타민 세럼 80ml</t>
  </si>
  <si>
    <t>224.70</t>
  </si>
  <si>
    <t>301,772.10</t>
  </si>
  <si>
    <t>7,670.00</t>
  </si>
  <si>
    <t>230,100.00</t>
  </si>
  <si>
    <t>71,672.10</t>
  </si>
  <si>
    <t>2925</t>
  </si>
  <si>
    <t>MMS02-CBT</t>
  </si>
  <si>
    <t>(단종예정) (튜브) 이데베논 블랙베리 인텐스 크림 100g</t>
  </si>
  <si>
    <t>306,204.00</t>
  </si>
  <si>
    <t>7,480.00</t>
  </si>
  <si>
    <t>224,400.00</t>
  </si>
  <si>
    <t>81,804.00</t>
  </si>
  <si>
    <t>2926</t>
  </si>
  <si>
    <t>MMS02-CST</t>
  </si>
  <si>
    <t>(단종) (튜브) 센서티브 수딩 젤 크림 100g</t>
  </si>
  <si>
    <t>294,922.80</t>
  </si>
  <si>
    <t>216,000.00</t>
  </si>
  <si>
    <t>78,922.80</t>
  </si>
  <si>
    <t>2927</t>
  </si>
  <si>
    <t>NLC05-F</t>
  </si>
  <si>
    <t>(NLC05-FR 확인) 에이컨트롤 어성초 BHA 클렌져 120ml</t>
  </si>
  <si>
    <t>132.90</t>
  </si>
  <si>
    <t>178,484.70</t>
  </si>
  <si>
    <t>4,400.00</t>
  </si>
  <si>
    <t>46,484.70</t>
  </si>
  <si>
    <t>2928</t>
  </si>
  <si>
    <t>177.30</t>
  </si>
  <si>
    <t>238,113.90</t>
  </si>
  <si>
    <t>64,113.90</t>
  </si>
  <si>
    <t>2929</t>
  </si>
  <si>
    <t>2930</t>
  </si>
  <si>
    <t>198.90</t>
  </si>
  <si>
    <t>267,122.70</t>
  </si>
  <si>
    <t>87,122.70</t>
  </si>
  <si>
    <t>2931</t>
  </si>
  <si>
    <t>248,186.40</t>
  </si>
  <si>
    <t>59,186.40</t>
  </si>
  <si>
    <t>2932</t>
  </si>
  <si>
    <t>192.30</t>
  </si>
  <si>
    <t>258,258.90</t>
  </si>
  <si>
    <t>69,258.90</t>
  </si>
  <si>
    <t>2933</t>
  </si>
  <si>
    <t>PRBS16-BMC</t>
  </si>
  <si>
    <t>루미너스 모이스처 시어버터 바디 로션 코튼 드림라이트 300ml</t>
  </si>
  <si>
    <t>406,123.20</t>
  </si>
  <si>
    <t>286,380.00</t>
  </si>
  <si>
    <t>119,743.20</t>
  </si>
  <si>
    <t>2934</t>
  </si>
  <si>
    <t>PRBS16-BMM</t>
  </si>
  <si>
    <t>루미너스 모이스처 시어버터 바디 로션 미드나잇 로맨스 300ml</t>
  </si>
  <si>
    <t>2935</t>
  </si>
  <si>
    <t>PRBS16-BMO</t>
  </si>
  <si>
    <t>루미너스 모이스처 시어버터 바디 로션 오션 브리즈 300ml</t>
  </si>
  <si>
    <t>2936</t>
  </si>
  <si>
    <t>-1,100,000.00</t>
  </si>
  <si>
    <t>2937</t>
  </si>
  <si>
    <t>PRS04-S</t>
  </si>
  <si>
    <t>(PRS04-SEU) 마이티 밤부 판테놀 세럼 30ml</t>
  </si>
  <si>
    <t>8.74</t>
  </si>
  <si>
    <t>352,134.60</t>
  </si>
  <si>
    <t>8,273.00</t>
  </si>
  <si>
    <t>248,190.00</t>
  </si>
  <si>
    <t>103,944.60</t>
  </si>
  <si>
    <t>2938</t>
  </si>
  <si>
    <t>PRS05-S</t>
  </si>
  <si>
    <t>(통합) 갈락토 나이아신 97 파워 에센스 60ml</t>
  </si>
  <si>
    <t>2939</t>
  </si>
  <si>
    <t>874.00</t>
  </si>
  <si>
    <t>1,173,782.00</t>
  </si>
  <si>
    <t>7,521.00</t>
  </si>
  <si>
    <t>752,100.00</t>
  </si>
  <si>
    <t>421,682.00</t>
  </si>
  <si>
    <t>2940</t>
  </si>
  <si>
    <t>PTFC28-F</t>
  </si>
  <si>
    <t>*PTFC28-FM확인*클래리파잉 아하 젤 클렌저 100g</t>
  </si>
  <si>
    <t>104.70</t>
  </si>
  <si>
    <t>140,612.10</t>
  </si>
  <si>
    <t>106,380.00</t>
  </si>
  <si>
    <t>34,232.10</t>
  </si>
  <si>
    <t>2941</t>
  </si>
  <si>
    <t>PTFP03-HP</t>
  </si>
  <si>
    <t>*PTFP03-HPM확인*드라이 에센스 손 팩 2sheets</t>
  </si>
  <si>
    <t>0.72</t>
  </si>
  <si>
    <t>21.60</t>
  </si>
  <si>
    <t>29,008.80</t>
  </si>
  <si>
    <t>755.00</t>
  </si>
  <si>
    <t>22,650.00</t>
  </si>
  <si>
    <t>6,358.80</t>
  </si>
  <si>
    <t>2942</t>
  </si>
  <si>
    <t>PTFP19-MM</t>
  </si>
  <si>
    <t>*모크라*[5매입]골드 하이드로겔 마스크 팩</t>
  </si>
  <si>
    <t>170.10</t>
  </si>
  <si>
    <t>228,444.30</t>
  </si>
  <si>
    <t>51,144.30</t>
  </si>
  <si>
    <t>2943</t>
  </si>
  <si>
    <t>PTFP23-MM</t>
  </si>
  <si>
    <t>*모크라*[5매입]아티초크 수딩 하이드로겔 페이스 마스크</t>
  </si>
  <si>
    <t>71.64</t>
  </si>
  <si>
    <t>96,212.52</t>
  </si>
  <si>
    <t>74,184.00</t>
  </si>
  <si>
    <t>22,028.52</t>
  </si>
  <si>
    <t>2944</t>
  </si>
  <si>
    <t>PTFP26-MM</t>
  </si>
  <si>
    <t>*모크라*[5매입] 카카오 에너자이징 하이드로겔 페이스 마스크</t>
  </si>
  <si>
    <t>185,460.00</t>
  </si>
  <si>
    <t>55,071.30</t>
  </si>
  <si>
    <t>2945</t>
  </si>
  <si>
    <t>4,969.10</t>
  </si>
  <si>
    <t>2946</t>
  </si>
  <si>
    <t>119.50</t>
  </si>
  <si>
    <t>160,488.50</t>
  </si>
  <si>
    <t>125,000.00</t>
  </si>
  <si>
    <t>35,488.50</t>
  </si>
  <si>
    <t>2947</t>
  </si>
  <si>
    <t>PYBS01-AL290R</t>
  </si>
  <si>
    <t>(단종, 바코드 변경 후) 아토 로션 블루라벨 290ml</t>
  </si>
  <si>
    <t>200.10</t>
  </si>
  <si>
    <t>268,734.30</t>
  </si>
  <si>
    <t>165,300.00</t>
  </si>
  <si>
    <t>103,434.30</t>
  </si>
  <si>
    <t>2948</t>
  </si>
  <si>
    <t>38,519.40</t>
  </si>
  <si>
    <t>2949</t>
  </si>
  <si>
    <t>157,500.00</t>
  </si>
  <si>
    <t>54,425.40</t>
  </si>
  <si>
    <t>2950</t>
  </si>
  <si>
    <t>PYHS15-TTphm</t>
  </si>
  <si>
    <t>약산성 두피 트리트먼트 290ml</t>
  </si>
  <si>
    <t>197.05</t>
  </si>
  <si>
    <t>264,638.15</t>
  </si>
  <si>
    <t>68,638.15</t>
  </si>
  <si>
    <t>2951</t>
  </si>
  <si>
    <t>PYHS16-SP</t>
  </si>
  <si>
    <t>*리뉴얼 전 키즈 엔 베이비 샴푸 스위트오렌지 590ml</t>
  </si>
  <si>
    <t>311,038.80</t>
  </si>
  <si>
    <t>113,038.80</t>
  </si>
  <si>
    <t>2952</t>
  </si>
  <si>
    <t>185.24</t>
  </si>
  <si>
    <t>248,777.32</t>
  </si>
  <si>
    <t>96,977.32</t>
  </si>
  <si>
    <t>2953</t>
  </si>
  <si>
    <t>168.30</t>
  </si>
  <si>
    <t>226,026.90</t>
  </si>
  <si>
    <t>68,526.90</t>
  </si>
  <si>
    <t>2954</t>
  </si>
  <si>
    <t>22,999.20</t>
  </si>
  <si>
    <t>2955</t>
  </si>
  <si>
    <t>45,499.20</t>
  </si>
  <si>
    <t>2956</t>
  </si>
  <si>
    <t>1,077.60</t>
  </si>
  <si>
    <t>1,447,216.80</t>
  </si>
  <si>
    <t>756,000.00</t>
  </si>
  <si>
    <t>691,216.80</t>
  </si>
  <si>
    <t>2957</t>
  </si>
  <si>
    <t>598.00</t>
  </si>
  <si>
    <t>803,114.00</t>
  </si>
  <si>
    <t>152,114.00</t>
  </si>
  <si>
    <t>2958</t>
  </si>
  <si>
    <t>259.84</t>
  </si>
  <si>
    <t>348,965.12</t>
  </si>
  <si>
    <t>47,365.12</t>
  </si>
  <si>
    <t>2959</t>
  </si>
  <si>
    <t>838.00</t>
  </si>
  <si>
    <t>1,125,434.00</t>
  </si>
  <si>
    <t>442,434.00</t>
  </si>
  <si>
    <t>2960</t>
  </si>
  <si>
    <t>5,670.00</t>
  </si>
  <si>
    <t>170,100.00</t>
  </si>
  <si>
    <t>130,866.30</t>
  </si>
  <si>
    <t>43.5</t>
  </si>
  <si>
    <t>2961</t>
  </si>
  <si>
    <t>9.93</t>
  </si>
  <si>
    <t>297.90</t>
  </si>
  <si>
    <t>400,079.70</t>
  </si>
  <si>
    <t>10,364.00</t>
  </si>
  <si>
    <t>310,920.00</t>
  </si>
  <si>
    <t>89,159.70</t>
  </si>
  <si>
    <t>2962</t>
  </si>
  <si>
    <t>238.20</t>
  </si>
  <si>
    <t>319,902.60</t>
  </si>
  <si>
    <t>71,712.60</t>
  </si>
  <si>
    <t>2963</t>
  </si>
  <si>
    <t>RVTSM07-SCDMR</t>
  </si>
  <si>
    <t>(Renew) 인텐스 모이스처 선크림 50ml</t>
  </si>
  <si>
    <t>254.91</t>
  </si>
  <si>
    <t>342,344.13</t>
  </si>
  <si>
    <t>9,810.00</t>
  </si>
  <si>
    <t>284,490.00</t>
  </si>
  <si>
    <t>57,854.13</t>
  </si>
  <si>
    <t>2964</t>
  </si>
  <si>
    <t>secretKC08-F200</t>
  </si>
  <si>
    <t>레몬 스파클링 클렌징 폼 200g</t>
  </si>
  <si>
    <t>152.40</t>
  </si>
  <si>
    <t>204,673.20</t>
  </si>
  <si>
    <t>30,673.20</t>
  </si>
  <si>
    <t>2965</t>
  </si>
  <si>
    <t>secretKC08-Oil</t>
  </si>
  <si>
    <t>레몬 스파클링 클렌징 오일</t>
  </si>
  <si>
    <t>190.50</t>
  </si>
  <si>
    <t>255,841.50</t>
  </si>
  <si>
    <t>217,500.00</t>
  </si>
  <si>
    <t>38,341.50</t>
  </si>
  <si>
    <t>2966</t>
  </si>
  <si>
    <t>secretKHS30-lpt</t>
  </si>
  <si>
    <t>2023)소패스트 뮤코팅 실크 단백질 트리트먼트 500g</t>
  </si>
  <si>
    <t>243.60</t>
  </si>
  <si>
    <t>327,154.80</t>
  </si>
  <si>
    <t>87,154.80</t>
  </si>
  <si>
    <t>2967</t>
  </si>
  <si>
    <t>secretKS05-I</t>
  </si>
  <si>
    <t>스타팅 트리트먼트 아이 크림</t>
  </si>
  <si>
    <t>154.57</t>
  </si>
  <si>
    <t>207,587.51</t>
  </si>
  <si>
    <t>176,610.00</t>
  </si>
  <si>
    <t>30,977.51</t>
  </si>
  <si>
    <t>2968</t>
  </si>
  <si>
    <t>secretKS23-Ca150</t>
  </si>
  <si>
    <t>히알루론아쿠아소프트크림 150g</t>
  </si>
  <si>
    <t>144.60</t>
  </si>
  <si>
    <t>194,197.80</t>
  </si>
  <si>
    <t>28,897.80</t>
  </si>
  <si>
    <t>2969</t>
  </si>
  <si>
    <t>5.14</t>
  </si>
  <si>
    <t>207,090.60</t>
  </si>
  <si>
    <t>152,730.00</t>
  </si>
  <si>
    <t>54,360.60</t>
  </si>
  <si>
    <t>2970</t>
  </si>
  <si>
    <t>SESALOM04-SPrimerR</t>
  </si>
  <si>
    <t>(Renew) 스킨 라이어 프라이머 30ml</t>
  </si>
  <si>
    <t>엘리자베카</t>
  </si>
  <si>
    <t>151.20</t>
  </si>
  <si>
    <t>203,061.60</t>
  </si>
  <si>
    <t>3,273.00</t>
  </si>
  <si>
    <t>98,190.00</t>
  </si>
  <si>
    <t>104,871.60</t>
  </si>
  <si>
    <t>51.6</t>
  </si>
  <si>
    <t>2971</t>
  </si>
  <si>
    <t>SESALOS02-BUSTC</t>
  </si>
  <si>
    <t>밀키피기 슈퍼 엘라스틱 바스트 크림 100g</t>
  </si>
  <si>
    <t>10.22</t>
  </si>
  <si>
    <t>13,725.46</t>
  </si>
  <si>
    <t>5,182.00</t>
  </si>
  <si>
    <t>3,361.46</t>
  </si>
  <si>
    <t>2972</t>
  </si>
  <si>
    <t>56.21</t>
  </si>
  <si>
    <t>75,490.03</t>
  </si>
  <si>
    <t>57,002.00</t>
  </si>
  <si>
    <t>18,488.03</t>
  </si>
  <si>
    <t>2973</t>
  </si>
  <si>
    <t>SESALOS02-Ew</t>
  </si>
  <si>
    <t>스킨 라이어 모이스쳐 화이트닝 크림 100ml</t>
  </si>
  <si>
    <t>7.66</t>
  </si>
  <si>
    <t>229.80</t>
  </si>
  <si>
    <t>308,621.40</t>
  </si>
  <si>
    <t>4,728.00</t>
  </si>
  <si>
    <t>141,840.00</t>
  </si>
  <si>
    <t>166,781.40</t>
  </si>
  <si>
    <t>54.0</t>
  </si>
  <si>
    <t>2974</t>
  </si>
  <si>
    <t>SESALOS05-NWBECR</t>
  </si>
  <si>
    <t>(P.65)(Renew) 황금 금사연둥지 하얀폭탄 아이크림 30ml</t>
  </si>
  <si>
    <t>107,235.60</t>
  </si>
  <si>
    <t>2975</t>
  </si>
  <si>
    <t>10.28</t>
  </si>
  <si>
    <t>215.88</t>
  </si>
  <si>
    <t>289,926.84</t>
  </si>
  <si>
    <t>221,655.00</t>
  </si>
  <si>
    <t>68,271.84</t>
  </si>
  <si>
    <t>2976</t>
  </si>
  <si>
    <t>34.20</t>
  </si>
  <si>
    <t>45,930.60</t>
  </si>
  <si>
    <t>10,740.60</t>
  </si>
  <si>
    <t>2977</t>
  </si>
  <si>
    <t>308.40</t>
  </si>
  <si>
    <t>414,181.20</t>
  </si>
  <si>
    <t>97,531.20</t>
  </si>
  <si>
    <t>2978</t>
  </si>
  <si>
    <t>2979</t>
  </si>
  <si>
    <t>9.90</t>
  </si>
  <si>
    <t>297.00</t>
  </si>
  <si>
    <t>398,871.00</t>
  </si>
  <si>
    <t>93,951.00</t>
  </si>
  <si>
    <t>2980</t>
  </si>
  <si>
    <t>237.60</t>
  </si>
  <si>
    <t>319,096.80</t>
  </si>
  <si>
    <t>243,936.00</t>
  </si>
  <si>
    <t>75,160.80</t>
  </si>
  <si>
    <t>2981</t>
  </si>
  <si>
    <t>213.36</t>
  </si>
  <si>
    <t>286,542.48</t>
  </si>
  <si>
    <t>218,932.00</t>
  </si>
  <si>
    <t>67,610.48</t>
  </si>
  <si>
    <t>2982</t>
  </si>
  <si>
    <t>205.80</t>
  </si>
  <si>
    <t>276,389.40</t>
  </si>
  <si>
    <t>65,279.40</t>
  </si>
  <si>
    <t>2983</t>
  </si>
  <si>
    <t>185.04</t>
  </si>
  <si>
    <t>248,508.72</t>
  </si>
  <si>
    <t>189,990.00</t>
  </si>
  <si>
    <t>58,518.72</t>
  </si>
  <si>
    <t>2984</t>
  </si>
  <si>
    <t>TPBS03-AWMR</t>
  </si>
  <si>
    <t>(단종) 워터풀 모이스트 밸런스 히알루론산 100 30ml</t>
  </si>
  <si>
    <t>더 플랜트 베이스 (P'lab)</t>
  </si>
  <si>
    <t>56.40</t>
  </si>
  <si>
    <t>75,745.20</t>
  </si>
  <si>
    <t>31,195.20</t>
  </si>
  <si>
    <t>2985</t>
  </si>
  <si>
    <t>2025-07-09</t>
  </si>
  <si>
    <t>622.00</t>
  </si>
  <si>
    <t>829,872.40</t>
  </si>
  <si>
    <t>618,200.00</t>
  </si>
  <si>
    <t>211,672.40</t>
  </si>
  <si>
    <t>IN00355472</t>
  </si>
  <si>
    <t>2986</t>
  </si>
  <si>
    <t>10.73</t>
  </si>
  <si>
    <t>139.49</t>
  </si>
  <si>
    <t>186,107.56</t>
  </si>
  <si>
    <t>118,183.00</t>
  </si>
  <si>
    <t>67,924.56</t>
  </si>
  <si>
    <t>2987</t>
  </si>
  <si>
    <t>3,810.56</t>
  </si>
  <si>
    <t>5,084,049.15</t>
  </si>
  <si>
    <t>4,088,864.00</t>
  </si>
  <si>
    <t>995,185.15</t>
  </si>
  <si>
    <t>2988</t>
  </si>
  <si>
    <t>291.20</t>
  </si>
  <si>
    <t>389,276.16</t>
  </si>
  <si>
    <t>74,276.16</t>
  </si>
  <si>
    <t>IN00351858</t>
  </si>
  <si>
    <t>2989</t>
  </si>
  <si>
    <t>728.00</t>
  </si>
  <si>
    <t>973,190.40</t>
  </si>
  <si>
    <t>787,500.00</t>
  </si>
  <si>
    <t>185,690.40</t>
  </si>
  <si>
    <t>2990</t>
  </si>
  <si>
    <t>143.00</t>
  </si>
  <si>
    <t>191,162.40</t>
  </si>
  <si>
    <t>41,162.40</t>
  </si>
  <si>
    <t>2991</t>
  </si>
  <si>
    <t>303.00</t>
  </si>
  <si>
    <t>405,050.40</t>
  </si>
  <si>
    <t>3,191.00</t>
  </si>
  <si>
    <t>319,100.00</t>
  </si>
  <si>
    <t>85,950.40</t>
  </si>
  <si>
    <t>2992</t>
  </si>
  <si>
    <t>144.80</t>
  </si>
  <si>
    <t>193,568.64</t>
  </si>
  <si>
    <t>4,512.00</t>
  </si>
  <si>
    <t>90,240.00</t>
  </si>
  <si>
    <t>103,328.64</t>
  </si>
  <si>
    <t>2993</t>
  </si>
  <si>
    <t>142.56</t>
  </si>
  <si>
    <t>190,574.21</t>
  </si>
  <si>
    <t>46,574.21</t>
  </si>
  <si>
    <t>2994</t>
  </si>
  <si>
    <t>1.89</t>
  </si>
  <si>
    <t>252,655.20</t>
  </si>
  <si>
    <t>1,910.00</t>
  </si>
  <si>
    <t>191,000.00</t>
  </si>
  <si>
    <t>61,655.20</t>
  </si>
  <si>
    <t>2995</t>
  </si>
  <si>
    <t>BentonP02-AMR</t>
  </si>
  <si>
    <t>알로에 수딩 마스크팩 10매</t>
  </si>
  <si>
    <t>2,460.50</t>
  </si>
  <si>
    <t>3,289,196.40</t>
  </si>
  <si>
    <t>6,976.00</t>
  </si>
  <si>
    <t>2,441,600.00</t>
  </si>
  <si>
    <t>847,596.40</t>
  </si>
  <si>
    <t>2996</t>
  </si>
  <si>
    <t>740.70</t>
  </si>
  <si>
    <t>990,167.76</t>
  </si>
  <si>
    <t>736,380.00</t>
  </si>
  <si>
    <t>253,787.76</t>
  </si>
  <si>
    <t>2997</t>
  </si>
  <si>
    <t>291.50</t>
  </si>
  <si>
    <t>389,677.20</t>
  </si>
  <si>
    <t>2,519.00</t>
  </si>
  <si>
    <t>125,950.00</t>
  </si>
  <si>
    <t>263,727.20</t>
  </si>
  <si>
    <t>67.7</t>
  </si>
  <si>
    <t>2998</t>
  </si>
  <si>
    <t>797.00</t>
  </si>
  <si>
    <t>1,065,429.60</t>
  </si>
  <si>
    <t>803,700.00</t>
  </si>
  <si>
    <t>261,729.60</t>
  </si>
  <si>
    <t>2999</t>
  </si>
  <si>
    <t>736.00</t>
  </si>
  <si>
    <t>983,884.80</t>
  </si>
  <si>
    <t>7,419.00</t>
  </si>
  <si>
    <t>741,900.00</t>
  </si>
  <si>
    <t>241,984.80</t>
  </si>
  <si>
    <t>3000</t>
  </si>
  <si>
    <t>143.83</t>
  </si>
  <si>
    <t>192,271.94</t>
  </si>
  <si>
    <t>143,032.00</t>
  </si>
  <si>
    <t>49,239.94</t>
  </si>
  <si>
    <t>3001</t>
  </si>
  <si>
    <t>613.17</t>
  </si>
  <si>
    <t>819,685.66</t>
  </si>
  <si>
    <t>609,768.00</t>
  </si>
  <si>
    <t>209,917.66</t>
  </si>
  <si>
    <t>3002</t>
  </si>
  <si>
    <t>2.15</t>
  </si>
  <si>
    <t>107.50</t>
  </si>
  <si>
    <t>143,706.00</t>
  </si>
  <si>
    <t>1,091.00</t>
  </si>
  <si>
    <t>89,156.00</t>
  </si>
  <si>
    <t>62.0</t>
  </si>
  <si>
    <t>3003</t>
  </si>
  <si>
    <t>491,942.40</t>
  </si>
  <si>
    <t>349,100.00</t>
  </si>
  <si>
    <t>142,842.40</t>
  </si>
  <si>
    <t>3004</t>
  </si>
  <si>
    <t>BentonS10-CSR</t>
  </si>
  <si>
    <t>(단종)굿바이 레드니스 센텔라 시카 스팟크림 15g</t>
  </si>
  <si>
    <t>4.61</t>
  </si>
  <si>
    <t>156.74</t>
  </si>
  <si>
    <t>209,530.03</t>
  </si>
  <si>
    <t>160,140.00</t>
  </si>
  <si>
    <t>49,390.03</t>
  </si>
  <si>
    <t>3005</t>
  </si>
  <si>
    <t>9.22</t>
  </si>
  <si>
    <t>461.00</t>
  </si>
  <si>
    <t>616,264.80</t>
  </si>
  <si>
    <t>170,764.80</t>
  </si>
  <si>
    <t>3006</t>
  </si>
  <si>
    <t>184.40</t>
  </si>
  <si>
    <t>246,505.92</t>
  </si>
  <si>
    <t>6,771.60</t>
  </si>
  <si>
    <t>135,432.00</t>
  </si>
  <si>
    <t>111,073.92</t>
  </si>
  <si>
    <t>3007</t>
  </si>
  <si>
    <t>267.00</t>
  </si>
  <si>
    <t>356,925.60</t>
  </si>
  <si>
    <t>3,742.00</t>
  </si>
  <si>
    <t>187,100.00</t>
  </si>
  <si>
    <t>169,825.60</t>
  </si>
  <si>
    <t>47.6</t>
  </si>
  <si>
    <t>3008</t>
  </si>
  <si>
    <t>297.50</t>
  </si>
  <si>
    <t>397,698.00</t>
  </si>
  <si>
    <t>97,698.00</t>
  </si>
  <si>
    <t>3009</t>
  </si>
  <si>
    <t>392,618.16</t>
  </si>
  <si>
    <t>294,030.00</t>
  </si>
  <si>
    <t>98,588.16</t>
  </si>
  <si>
    <t>3010</t>
  </si>
  <si>
    <t>321,233.04</t>
  </si>
  <si>
    <t>240,570.00</t>
  </si>
  <si>
    <t>80,663.04</t>
  </si>
  <si>
    <t>3011</t>
  </si>
  <si>
    <t>1,342.40</t>
  </si>
  <si>
    <t>1,794,520.32</t>
  </si>
  <si>
    <t>950,400.00</t>
  </si>
  <si>
    <t>844,120.32</t>
  </si>
  <si>
    <t>3012</t>
  </si>
  <si>
    <t>327.00</t>
  </si>
  <si>
    <t>437,133.60</t>
  </si>
  <si>
    <t>189,633.60</t>
  </si>
  <si>
    <t>3013</t>
  </si>
  <si>
    <t>2.69</t>
  </si>
  <si>
    <t>269.00</t>
  </si>
  <si>
    <t>359,599.20</t>
  </si>
  <si>
    <t>272,800.00</t>
  </si>
  <si>
    <t>86,799.20</t>
  </si>
  <si>
    <t>3014</t>
  </si>
  <si>
    <t>5.16</t>
  </si>
  <si>
    <t>103.20</t>
  </si>
  <si>
    <t>137,957.76</t>
  </si>
  <si>
    <t>108,800.00</t>
  </si>
  <si>
    <t>29,157.76</t>
  </si>
  <si>
    <t>3015</t>
  </si>
  <si>
    <t>224.50</t>
  </si>
  <si>
    <t>300,111.60</t>
  </si>
  <si>
    <t>227,300.00</t>
  </si>
  <si>
    <t>72,811.60</t>
  </si>
  <si>
    <t>3016</t>
  </si>
  <si>
    <t>4.94</t>
  </si>
  <si>
    <t>247.00</t>
  </si>
  <si>
    <t>330,189.60</t>
  </si>
  <si>
    <t>80,189.60</t>
  </si>
  <si>
    <t>3017</t>
  </si>
  <si>
    <t>104,600.00</t>
  </si>
  <si>
    <t>33,357.76</t>
  </si>
  <si>
    <t>3018</t>
  </si>
  <si>
    <t>214,556.40</t>
  </si>
  <si>
    <t>37,256.40</t>
  </si>
  <si>
    <t>3019</t>
  </si>
  <si>
    <t>193,301.28</t>
  </si>
  <si>
    <t>158,096.00</t>
  </si>
  <si>
    <t>35,205.28</t>
  </si>
  <si>
    <t>3020</t>
  </si>
  <si>
    <t>120.00</t>
  </si>
  <si>
    <t>160,416.00</t>
  </si>
  <si>
    <t>131,200.00</t>
  </si>
  <si>
    <t>29,216.00</t>
  </si>
  <si>
    <t>3021</t>
  </si>
  <si>
    <t>140,364.00</t>
  </si>
  <si>
    <t>25,564.00</t>
  </si>
  <si>
    <t>3022</t>
  </si>
  <si>
    <t>120,312.00</t>
  </si>
  <si>
    <t>21,912.00</t>
  </si>
  <si>
    <t>3023</t>
  </si>
  <si>
    <t>66.00</t>
  </si>
  <si>
    <t>88,228.80</t>
  </si>
  <si>
    <t>72,160.00</t>
  </si>
  <si>
    <t>16,068.80</t>
  </si>
  <si>
    <t>3024</t>
  </si>
  <si>
    <t>112,291.20</t>
  </si>
  <si>
    <t>65,600.00</t>
  </si>
  <si>
    <t>46,691.20</t>
  </si>
  <si>
    <t>3025</t>
  </si>
  <si>
    <t>100,260.00</t>
  </si>
  <si>
    <t>18,260.00</t>
  </si>
  <si>
    <t>3026</t>
  </si>
  <si>
    <t>12,031.20</t>
  </si>
  <si>
    <t>9,840.00</t>
  </si>
  <si>
    <t>3027</t>
  </si>
  <si>
    <t>10.47</t>
  </si>
  <si>
    <t>209.40</t>
  </si>
  <si>
    <t>279,925.92</t>
  </si>
  <si>
    <t>189,200.00</t>
  </si>
  <si>
    <t>90,725.92</t>
  </si>
  <si>
    <t>3028</t>
  </si>
  <si>
    <t>600,223.20</t>
  </si>
  <si>
    <t>318,500.00</t>
  </si>
  <si>
    <t>281,723.20</t>
  </si>
  <si>
    <t>3029</t>
  </si>
  <si>
    <t>1,440,535.68</t>
  </si>
  <si>
    <t>764,400.00</t>
  </si>
  <si>
    <t>676,135.68</t>
  </si>
  <si>
    <t>3030</t>
  </si>
  <si>
    <t>20.95</t>
  </si>
  <si>
    <t>1,047.50</t>
  </si>
  <si>
    <t>1,400,298.00</t>
  </si>
  <si>
    <t>800,500.00</t>
  </si>
  <si>
    <t>599,798.00</t>
  </si>
  <si>
    <t>42.8</t>
  </si>
  <si>
    <t>3031</t>
  </si>
  <si>
    <t>419.00</t>
  </si>
  <si>
    <t>560,119.20</t>
  </si>
  <si>
    <t>320,200.00</t>
  </si>
  <si>
    <t>239,919.20</t>
  </si>
  <si>
    <t>3032</t>
  </si>
  <si>
    <t>1,982.00</t>
  </si>
  <si>
    <t>2,649,537.60</t>
  </si>
  <si>
    <t>1,381,000.00</t>
  </si>
  <si>
    <t>1,268,537.60</t>
  </si>
  <si>
    <t>3033</t>
  </si>
  <si>
    <t>17.95</t>
  </si>
  <si>
    <t>1,795.00</t>
  </si>
  <si>
    <t>2,399,556.00</t>
  </si>
  <si>
    <t>1,283,000.00</t>
  </si>
  <si>
    <t>1,116,556.00</t>
  </si>
  <si>
    <t>3034</t>
  </si>
  <si>
    <t>147,582.72</t>
  </si>
  <si>
    <t>114,560.00</t>
  </si>
  <si>
    <t>33,022.72</t>
  </si>
  <si>
    <t>3035</t>
  </si>
  <si>
    <t>159.40</t>
  </si>
  <si>
    <t>213,085.92</t>
  </si>
  <si>
    <t>141,820.00</t>
  </si>
  <si>
    <t>71,265.92</t>
  </si>
  <si>
    <t>33.4</t>
  </si>
  <si>
    <t>3036</t>
  </si>
  <si>
    <t>CMXS01-ER</t>
  </si>
  <si>
    <t>(Renew) 노니 하이드라 퍼밍 로션 150ml</t>
  </si>
  <si>
    <t>156.40</t>
  </si>
  <si>
    <t>209,075.52</t>
  </si>
  <si>
    <t>8,728.00</t>
  </si>
  <si>
    <t>148,376.00</t>
  </si>
  <si>
    <t>60,699.52</t>
  </si>
  <si>
    <t>3037</t>
  </si>
  <si>
    <t>27.60</t>
  </si>
  <si>
    <t>36,895.68</t>
  </si>
  <si>
    <t>26,184.00</t>
  </si>
  <si>
    <t>10,711.68</t>
  </si>
  <si>
    <t>3038</t>
  </si>
  <si>
    <t>CMXS01-TN150REU</t>
  </si>
  <si>
    <t>[EU] (Renew) 노니 수분 밸런싱 토너 150ml</t>
  </si>
  <si>
    <t>767.00</t>
  </si>
  <si>
    <t>1,025,325.60</t>
  </si>
  <si>
    <t>818,200.00</t>
  </si>
  <si>
    <t>207,125.60</t>
  </si>
  <si>
    <t>3039</t>
  </si>
  <si>
    <t>397.01</t>
  </si>
  <si>
    <t>530,722.97</t>
  </si>
  <si>
    <t>336,367.00</t>
  </si>
  <si>
    <t>194,355.97</t>
  </si>
  <si>
    <t>3040</t>
  </si>
  <si>
    <t>407.00</t>
  </si>
  <si>
    <t>544,077.60</t>
  </si>
  <si>
    <t>418,200.00</t>
  </si>
  <si>
    <t>125,877.60</t>
  </si>
  <si>
    <t>3041</t>
  </si>
  <si>
    <t>172,714.56</t>
  </si>
  <si>
    <t>132,740.00</t>
  </si>
  <si>
    <t>39,974.56</t>
  </si>
  <si>
    <t>3042</t>
  </si>
  <si>
    <t>DEWYP02-Maq</t>
  </si>
  <si>
    <t>픽앤퀵 화장발 마스크</t>
  </si>
  <si>
    <t>352.83</t>
  </si>
  <si>
    <t>471,663.14</t>
  </si>
  <si>
    <t>357,561.00</t>
  </si>
  <si>
    <t>114,102.14</t>
  </si>
  <si>
    <t>3043</t>
  </si>
  <si>
    <t>263.50</t>
  </si>
  <si>
    <t>352,246.80</t>
  </si>
  <si>
    <t>263,650.00</t>
  </si>
  <si>
    <t>88,596.80</t>
  </si>
  <si>
    <t>3044</t>
  </si>
  <si>
    <t>22.45</t>
  </si>
  <si>
    <t>30,011.16</t>
  </si>
  <si>
    <t>24,095.00</t>
  </si>
  <si>
    <t>5,916.16</t>
  </si>
  <si>
    <t>3045</t>
  </si>
  <si>
    <t>202.05</t>
  </si>
  <si>
    <t>270,100.44</t>
  </si>
  <si>
    <t>216,855.00</t>
  </si>
  <si>
    <t>53,245.44</t>
  </si>
  <si>
    <t>3046</t>
  </si>
  <si>
    <t>205.50</t>
  </si>
  <si>
    <t>274,712.40</t>
  </si>
  <si>
    <t>222,750.00</t>
  </si>
  <si>
    <t>51,962.40</t>
  </si>
  <si>
    <t>3047</t>
  </si>
  <si>
    <t>342,220.80</t>
  </si>
  <si>
    <t>67,220.80</t>
  </si>
  <si>
    <t>3048</t>
  </si>
  <si>
    <t>276.48</t>
  </si>
  <si>
    <t>369,598.46</t>
  </si>
  <si>
    <t>319,140.00</t>
  </si>
  <si>
    <t>50,458.46</t>
  </si>
  <si>
    <t>13.7</t>
  </si>
  <si>
    <t>3049</t>
  </si>
  <si>
    <t>G9S01-serum</t>
  </si>
  <si>
    <t>화이트인 밀크 캡슐 세럼 50ml</t>
  </si>
  <si>
    <t>229.00</t>
  </si>
  <si>
    <t>306,127.20</t>
  </si>
  <si>
    <t>56,127.20</t>
  </si>
  <si>
    <t>3050</t>
  </si>
  <si>
    <t>239.50</t>
  </si>
  <si>
    <t>320,163.60</t>
  </si>
  <si>
    <t>272,750.00</t>
  </si>
  <si>
    <t>47,413.60</t>
  </si>
  <si>
    <t>3051</t>
  </si>
  <si>
    <t>4.44</t>
  </si>
  <si>
    <t>444.00</t>
  </si>
  <si>
    <t>593,539.20</t>
  </si>
  <si>
    <t>148,039.20</t>
  </si>
  <si>
    <t>3052</t>
  </si>
  <si>
    <t>HBUBS7-BM</t>
  </si>
  <si>
    <t>살몬 프루티 센텔라 바디 크림 300g</t>
  </si>
  <si>
    <t>헤브블루</t>
  </si>
  <si>
    <t>10.03</t>
  </si>
  <si>
    <t>200.60</t>
  </si>
  <si>
    <t>268,162.08</t>
  </si>
  <si>
    <t>8,761.00</t>
  </si>
  <si>
    <t>175,220.00</t>
  </si>
  <si>
    <t>92,942.08</t>
  </si>
  <si>
    <t>34.7</t>
  </si>
  <si>
    <t>3053</t>
  </si>
  <si>
    <t>HBUBS7-BW</t>
  </si>
  <si>
    <t>살몬 프루티 센텔라 바디 워시 300g</t>
  </si>
  <si>
    <t>243,030.24</t>
  </si>
  <si>
    <t>83,030.24</t>
  </si>
  <si>
    <t>3054</t>
  </si>
  <si>
    <t>HBUC1-OC</t>
  </si>
  <si>
    <t>[단종] 살몬 케어링 센텔라 라이트 클렌징 오일 240ml</t>
  </si>
  <si>
    <t>163.00</t>
  </si>
  <si>
    <t>217,898.40</t>
  </si>
  <si>
    <t>161,820.00</t>
  </si>
  <si>
    <t>56,078.40</t>
  </si>
  <si>
    <t>3055</t>
  </si>
  <si>
    <t>HBUHS7-TT</t>
  </si>
  <si>
    <t>살몬 풀케라틴 센텔라 헤어 트리트먼트 300ml</t>
  </si>
  <si>
    <t>225.60</t>
  </si>
  <si>
    <t>301,582.08</t>
  </si>
  <si>
    <t>109,582.08</t>
  </si>
  <si>
    <t>3056</t>
  </si>
  <si>
    <t>HBUMA8-SB</t>
  </si>
  <si>
    <t>소프트 커브 스프레드 브러쉬</t>
  </si>
  <si>
    <t>1.94</t>
  </si>
  <si>
    <t>51,867.84</t>
  </si>
  <si>
    <t>1,728.00</t>
  </si>
  <si>
    <t>34,560.00</t>
  </si>
  <si>
    <t>17,307.84</t>
  </si>
  <si>
    <t>3057</t>
  </si>
  <si>
    <t>HBUMA8-SP</t>
  </si>
  <si>
    <t>무표백 생분해 스트레치 100% 코튼패드 60ea</t>
  </si>
  <si>
    <t>60.40</t>
  </si>
  <si>
    <t>80,742.72</t>
  </si>
  <si>
    <t>2,637.00</t>
  </si>
  <si>
    <t>52,740.00</t>
  </si>
  <si>
    <t>28,002.72</t>
  </si>
  <si>
    <t>3058</t>
  </si>
  <si>
    <t>HBUS1-A</t>
  </si>
  <si>
    <t>살몬 케어링 센텔라 앰플 30ml</t>
  </si>
  <si>
    <t>137.20</t>
  </si>
  <si>
    <t>183,408.96</t>
  </si>
  <si>
    <t>5,819.00</t>
  </si>
  <si>
    <t>116,380.00</t>
  </si>
  <si>
    <t>67,028.96</t>
  </si>
  <si>
    <t>3059</t>
  </si>
  <si>
    <t>HBUS1-C</t>
  </si>
  <si>
    <t>살몬 케어링 센텔라 크림 100ml</t>
  </si>
  <si>
    <t>167,634.72</t>
  </si>
  <si>
    <t>5,441.00</t>
  </si>
  <si>
    <t>58,814.72</t>
  </si>
  <si>
    <t>35.1</t>
  </si>
  <si>
    <t>3060</t>
  </si>
  <si>
    <t>HBUS1-KIT</t>
  </si>
  <si>
    <t>살몬 케어링 센텔라 스페셜 트래블 키트 백</t>
  </si>
  <si>
    <t>10.96</t>
  </si>
  <si>
    <t>219.20</t>
  </si>
  <si>
    <t>293,026.56</t>
  </si>
  <si>
    <t>10,900.00</t>
  </si>
  <si>
    <t>218,000.00</t>
  </si>
  <si>
    <t>75,026.56</t>
  </si>
  <si>
    <t>3061</t>
  </si>
  <si>
    <t>HBUSM4-SE</t>
  </si>
  <si>
    <t>(단종) 블랙 유자 빈 워터 선 에센스 50ml</t>
  </si>
  <si>
    <t>116,000.00</t>
  </si>
  <si>
    <t>67,408.96</t>
  </si>
  <si>
    <t>3062</t>
  </si>
  <si>
    <t>HLSC01-F</t>
  </si>
  <si>
    <t>포어 퓨리파잉 살리실산 포밍 클렌저 120g</t>
  </si>
  <si>
    <t>579.00</t>
  </si>
  <si>
    <t>774,007.20</t>
  </si>
  <si>
    <t>214,007.20</t>
  </si>
  <si>
    <t>3063</t>
  </si>
  <si>
    <t>HLSC01-F150</t>
  </si>
  <si>
    <t>워터풀 히알루로닉 클렌징폼 150ML</t>
  </si>
  <si>
    <t>35,582.72</t>
  </si>
  <si>
    <t>3064</t>
  </si>
  <si>
    <t>964.00</t>
  </si>
  <si>
    <t>1,288,675.20</t>
  </si>
  <si>
    <t>1,040,000.00</t>
  </si>
  <si>
    <t>248,675.20</t>
  </si>
  <si>
    <t>3065</t>
  </si>
  <si>
    <t>HLSS01-CHt</t>
  </si>
  <si>
    <t>워터풀 히알루론산 크림 100ml (본품) (튜브)</t>
  </si>
  <si>
    <t>214,957.44</t>
  </si>
  <si>
    <t>136,000.00</t>
  </si>
  <si>
    <t>78,957.44</t>
  </si>
  <si>
    <t>3066</t>
  </si>
  <si>
    <t>HLSS01-SA</t>
  </si>
  <si>
    <t>안티옥시던트 글로우 페이셜 에센스 40 ml</t>
  </si>
  <si>
    <t>1,120,238.40</t>
  </si>
  <si>
    <t>320,238.40</t>
  </si>
  <si>
    <t>3067</t>
  </si>
  <si>
    <t>2,095.00</t>
  </si>
  <si>
    <t>2,800,596.00</t>
  </si>
  <si>
    <t>925,596.00</t>
  </si>
  <si>
    <t>3068</t>
  </si>
  <si>
    <t>HLSS01-TH</t>
  </si>
  <si>
    <t>워터풀 히알루론산 토너 250ml (본품)</t>
  </si>
  <si>
    <t>429,781.20</t>
  </si>
  <si>
    <t>340,000.00</t>
  </si>
  <si>
    <t>89,781.20</t>
  </si>
  <si>
    <t>3069</t>
  </si>
  <si>
    <t>HLSSM01-SCW</t>
  </si>
  <si>
    <t>워터풀 히알루론산 선크림 50ml (본품)</t>
  </si>
  <si>
    <t>354.00</t>
  </si>
  <si>
    <t>473,227.20</t>
  </si>
  <si>
    <t>198,227.20</t>
  </si>
  <si>
    <t>3070</t>
  </si>
  <si>
    <t>790.50</t>
  </si>
  <si>
    <t>1,056,740.40</t>
  </si>
  <si>
    <t>201,740.40</t>
  </si>
  <si>
    <t>3071</t>
  </si>
  <si>
    <t>93,576.00</t>
  </si>
  <si>
    <t>74,200.00</t>
  </si>
  <si>
    <t>19,376.00</t>
  </si>
  <si>
    <t>3072</t>
  </si>
  <si>
    <t>467,880.00</t>
  </si>
  <si>
    <t>371,000.00</t>
  </si>
  <si>
    <t>96,880.00</t>
  </si>
  <si>
    <t>3073</t>
  </si>
  <si>
    <t>749,944.80</t>
  </si>
  <si>
    <t>3074</t>
  </si>
  <si>
    <t>583.50</t>
  </si>
  <si>
    <t>780,022.80</t>
  </si>
  <si>
    <t>3075</t>
  </si>
  <si>
    <t>646.00</t>
  </si>
  <si>
    <t>863,572.80</t>
  </si>
  <si>
    <t>687,300.00</t>
  </si>
  <si>
    <t>176,272.80</t>
  </si>
  <si>
    <t>3076</t>
  </si>
  <si>
    <t>272,707.20</t>
  </si>
  <si>
    <t>216,400.00</t>
  </si>
  <si>
    <t>56,307.20</t>
  </si>
  <si>
    <t>3077</t>
  </si>
  <si>
    <t>350,910.00</t>
  </si>
  <si>
    <t>245,500.00</t>
  </si>
  <si>
    <t>105,410.00</t>
  </si>
  <si>
    <t>3078</t>
  </si>
  <si>
    <t>34.60</t>
  </si>
  <si>
    <t>46,253.28</t>
  </si>
  <si>
    <t>36,910.00</t>
  </si>
  <si>
    <t>9,343.28</t>
  </si>
  <si>
    <t>3079</t>
  </si>
  <si>
    <t>647,545.92</t>
  </si>
  <si>
    <t>130,805.92</t>
  </si>
  <si>
    <t>3080</t>
  </si>
  <si>
    <t>3081</t>
  </si>
  <si>
    <t>HMHS23-SP400</t>
  </si>
  <si>
    <t>알엑스 아미노 비오틴 리바이탈라이징 샴푸 400ml</t>
  </si>
  <si>
    <t>202,926.24</t>
  </si>
  <si>
    <t>61,106.24</t>
  </si>
  <si>
    <t>3082</t>
  </si>
  <si>
    <t>HMHS23-TT</t>
  </si>
  <si>
    <t>알엑스 아미노 케라틴 히트 프로텍팅 리브인 트리트먼트 150ml</t>
  </si>
  <si>
    <t>171,645.12</t>
  </si>
  <si>
    <t>51,645.12</t>
  </si>
  <si>
    <t>3083</t>
  </si>
  <si>
    <t>612,254.40</t>
  </si>
  <si>
    <t>494,560.00</t>
  </si>
  <si>
    <t>117,694.40</t>
  </si>
  <si>
    <t>3084</t>
  </si>
  <si>
    <t>1,145.00</t>
  </si>
  <si>
    <t>1,530,636.00</t>
  </si>
  <si>
    <t>1,236,400.00</t>
  </si>
  <si>
    <t>294,236.00</t>
  </si>
  <si>
    <t>3085</t>
  </si>
  <si>
    <t>1,250.00</t>
  </si>
  <si>
    <t>1,671,000.00</t>
  </si>
  <si>
    <t>1,340,000.00</t>
  </si>
  <si>
    <t>331,000.00</t>
  </si>
  <si>
    <t>3086</t>
  </si>
  <si>
    <t>735,240.00</t>
  </si>
  <si>
    <t>153,240.00</t>
  </si>
  <si>
    <t>3087</t>
  </si>
  <si>
    <t>HMPBT-PK</t>
  </si>
  <si>
    <t>(HMPBT-PKR 확인) 블랙티 마스크팩 110ml</t>
  </si>
  <si>
    <t>206,669.28</t>
  </si>
  <si>
    <t>62,669.28</t>
  </si>
  <si>
    <t>3088</t>
  </si>
  <si>
    <t>1,224,508.80</t>
  </si>
  <si>
    <t>373,508.80</t>
  </si>
  <si>
    <t>3089</t>
  </si>
  <si>
    <t>8.65</t>
  </si>
  <si>
    <t>865.00</t>
  </si>
  <si>
    <t>1,156,332.00</t>
  </si>
  <si>
    <t>352,632.00</t>
  </si>
  <si>
    <t>3090</t>
  </si>
  <si>
    <t>HMS16-IR</t>
  </si>
  <si>
    <t>마린케어 아이 크림 30ml</t>
  </si>
  <si>
    <t>183.20</t>
  </si>
  <si>
    <t>244,901.76</t>
  </si>
  <si>
    <t>74,701.76</t>
  </si>
  <si>
    <t>3091</t>
  </si>
  <si>
    <t>712.00</t>
  </si>
  <si>
    <t>951,801.60</t>
  </si>
  <si>
    <t>661,900.00</t>
  </si>
  <si>
    <t>289,901.60</t>
  </si>
  <si>
    <t>3092</t>
  </si>
  <si>
    <t>356.00</t>
  </si>
  <si>
    <t>475,900.80</t>
  </si>
  <si>
    <t>330,950.00</t>
  </si>
  <si>
    <t>144,950.80</t>
  </si>
  <si>
    <t>3093</t>
  </si>
  <si>
    <t>799,406.40</t>
  </si>
  <si>
    <t>5,637.00</t>
  </si>
  <si>
    <t>563,700.00</t>
  </si>
  <si>
    <t>235,706.40</t>
  </si>
  <si>
    <t>3094</t>
  </si>
  <si>
    <t>540,067.20</t>
  </si>
  <si>
    <t>163,667.20</t>
  </si>
  <si>
    <t>3095</t>
  </si>
  <si>
    <t>3096</t>
  </si>
  <si>
    <t>426.50</t>
  </si>
  <si>
    <t>570,145.20</t>
  </si>
  <si>
    <t>397,300.00</t>
  </si>
  <si>
    <t>172,845.20</t>
  </si>
  <si>
    <t>3097</t>
  </si>
  <si>
    <t>175,922.88</t>
  </si>
  <si>
    <t>124,000.00</t>
  </si>
  <si>
    <t>51,922.88</t>
  </si>
  <si>
    <t>3098</t>
  </si>
  <si>
    <t>314.00</t>
  </si>
  <si>
    <t>419,755.20</t>
  </si>
  <si>
    <t>292,750.00</t>
  </si>
  <si>
    <t>127,005.20</t>
  </si>
  <si>
    <t>3099</t>
  </si>
  <si>
    <t>HMS23-SABP</t>
  </si>
  <si>
    <t>(HMS23-SABPR 확인) 알엑스 아하 바하 필링 세럼 35ml</t>
  </si>
  <si>
    <t>167,902.08</t>
  </si>
  <si>
    <t>50,802.08</t>
  </si>
  <si>
    <t>3100</t>
  </si>
  <si>
    <t>3101</t>
  </si>
  <si>
    <t>3102</t>
  </si>
  <si>
    <t>IDCA05-GWP</t>
  </si>
  <si>
    <t>(단종)아이듀케어 파우치</t>
  </si>
  <si>
    <t>191,964.48</t>
  </si>
  <si>
    <t>3103</t>
  </si>
  <si>
    <t>IDCMA05-HBb</t>
  </si>
  <si>
    <t>(단종)브라운 베어 헤어밴드</t>
  </si>
  <si>
    <t>607.00</t>
  </si>
  <si>
    <t>811,437.60</t>
  </si>
  <si>
    <t>435,300.00</t>
  </si>
  <si>
    <t>376,137.60</t>
  </si>
  <si>
    <t>3104</t>
  </si>
  <si>
    <t>IDCMA05-HBbc</t>
  </si>
  <si>
    <t>(단종)블랙 고양이 헤어밴드</t>
  </si>
  <si>
    <t>303.50</t>
  </si>
  <si>
    <t>405,718.80</t>
  </si>
  <si>
    <t>217,650.00</t>
  </si>
  <si>
    <t>188,068.80</t>
  </si>
  <si>
    <t>3105</t>
  </si>
  <si>
    <t>4,524.00</t>
  </si>
  <si>
    <t>6,047,683.20</t>
  </si>
  <si>
    <t>4,467,300.00</t>
  </si>
  <si>
    <t>1,580,383.20</t>
  </si>
  <si>
    <t>3106</t>
  </si>
  <si>
    <t>171.20</t>
  </si>
  <si>
    <t>228,860.16</t>
  </si>
  <si>
    <t>72,860.16</t>
  </si>
  <si>
    <t>3107</t>
  </si>
  <si>
    <t>51.50</t>
  </si>
  <si>
    <t>68,845.20</t>
  </si>
  <si>
    <t>45,100.00</t>
  </si>
  <si>
    <t>23,745.20</t>
  </si>
  <si>
    <t>3108</t>
  </si>
  <si>
    <t>3109</t>
  </si>
  <si>
    <t>MAFC02-OC</t>
  </si>
  <si>
    <t>(MAFC02-OCr확인)세이프 미 릴리프 모이스처 클렌징 오일 210ml</t>
  </si>
  <si>
    <t>154.40</t>
  </si>
  <si>
    <t>206,401.92</t>
  </si>
  <si>
    <t>49,301.92</t>
  </si>
  <si>
    <t>3110</t>
  </si>
  <si>
    <t>MAFS02-A</t>
  </si>
  <si>
    <t>(단종예정) 세이프 미 릴리프 모이스처 그린 앰플 50ml</t>
  </si>
  <si>
    <t>240,891.36</t>
  </si>
  <si>
    <t>83,071.36</t>
  </si>
  <si>
    <t>3111</t>
  </si>
  <si>
    <t>306.34</t>
  </si>
  <si>
    <t>409,515.31</t>
  </si>
  <si>
    <t>268,294.00</t>
  </si>
  <si>
    <t>141,221.31</t>
  </si>
  <si>
    <t>3112</t>
  </si>
  <si>
    <t>106.37</t>
  </si>
  <si>
    <t>42,548.00</t>
  </si>
  <si>
    <t>56,878,166.40</t>
  </si>
  <si>
    <t>11,878,166.40</t>
  </si>
  <si>
    <t>3113</t>
  </si>
  <si>
    <t>MECU05-PROMP</t>
  </si>
  <si>
    <t>에이지알 부스터 프로 미니 핑크</t>
  </si>
  <si>
    <t>53.82</t>
  </si>
  <si>
    <t>10,764.00</t>
  </si>
  <si>
    <t>14,389,315.20</t>
  </si>
  <si>
    <t>57,500.00</t>
  </si>
  <si>
    <t>11,500,000.00</t>
  </si>
  <si>
    <t>2,889,315.20</t>
  </si>
  <si>
    <t>3114</t>
  </si>
  <si>
    <t>4,433.44</t>
  </si>
  <si>
    <t>5,926,622.59</t>
  </si>
  <si>
    <t>4,757,236.00</t>
  </si>
  <si>
    <t>1,169,386.59</t>
  </si>
  <si>
    <t>3115</t>
  </si>
  <si>
    <t>864,642.24</t>
  </si>
  <si>
    <t>690,000.00</t>
  </si>
  <si>
    <t>174,642.24</t>
  </si>
  <si>
    <t>3116</t>
  </si>
  <si>
    <t>5,200.20</t>
  </si>
  <si>
    <t>6,951,627.36</t>
  </si>
  <si>
    <t>5,589,000.00</t>
  </si>
  <si>
    <t>1,362,627.36</t>
  </si>
  <si>
    <t>3117</t>
  </si>
  <si>
    <t>628.00</t>
  </si>
  <si>
    <t>839,510.40</t>
  </si>
  <si>
    <t>239,510.40</t>
  </si>
  <si>
    <t>3118</t>
  </si>
  <si>
    <t>167.20</t>
  </si>
  <si>
    <t>223,512.96</t>
  </si>
  <si>
    <t>63,512.96</t>
  </si>
  <si>
    <t>28.4</t>
  </si>
  <si>
    <t>3119</t>
  </si>
  <si>
    <t>204,530.40</t>
  </si>
  <si>
    <t>48,530.40</t>
  </si>
  <si>
    <t>3120</t>
  </si>
  <si>
    <t>NLSM02-SC</t>
  </si>
  <si>
    <t>[리뉴얼재고] 이센셜즈 유브이 쉴드 수딩 선크림 SPF 50+ PA++++</t>
  </si>
  <si>
    <t>92.20</t>
  </si>
  <si>
    <t>123,252.96</t>
  </si>
  <si>
    <t>43,252.96</t>
  </si>
  <si>
    <t>3121</t>
  </si>
  <si>
    <t>386.50</t>
  </si>
  <si>
    <t>516,673.20</t>
  </si>
  <si>
    <t>186,673.20</t>
  </si>
  <si>
    <t>3122</t>
  </si>
  <si>
    <t>778.59</t>
  </si>
  <si>
    <t>1,040,819.11</t>
  </si>
  <si>
    <t>774,900.00</t>
  </si>
  <si>
    <t>265,919.11</t>
  </si>
  <si>
    <t>3123</t>
  </si>
  <si>
    <t>487.41</t>
  </si>
  <si>
    <t>651,569.69</t>
  </si>
  <si>
    <t>431,200.00</t>
  </si>
  <si>
    <t>220,369.69</t>
  </si>
  <si>
    <t>3124</t>
  </si>
  <si>
    <t>316.00</t>
  </si>
  <si>
    <t>422,428.80</t>
  </si>
  <si>
    <t>107,428.80</t>
  </si>
  <si>
    <t>3125</t>
  </si>
  <si>
    <t>221.34</t>
  </si>
  <si>
    <t>295,887.31</t>
  </si>
  <si>
    <t>106,887.31</t>
  </si>
  <si>
    <t>3126</t>
  </si>
  <si>
    <t>569.16</t>
  </si>
  <si>
    <t>760,853.09</t>
  </si>
  <si>
    <t>156,053.09</t>
  </si>
  <si>
    <t>3127</t>
  </si>
  <si>
    <t>563.00</t>
  </si>
  <si>
    <t>752,618.40</t>
  </si>
  <si>
    <t>192,618.40</t>
  </si>
  <si>
    <t>3128</t>
  </si>
  <si>
    <t>773.00</t>
  </si>
  <si>
    <t>1,033,346.40</t>
  </si>
  <si>
    <t>770,000.00</t>
  </si>
  <si>
    <t>263,346.40</t>
  </si>
  <si>
    <t>3129</t>
  </si>
  <si>
    <t>PYHS15-TTph</t>
  </si>
  <si>
    <t>*리뉴얼 전 약산성 두피 트리트먼트 500ml</t>
  </si>
  <si>
    <t>347.85</t>
  </si>
  <si>
    <t>465,005.88</t>
  </si>
  <si>
    <t>7,646.67</t>
  </si>
  <si>
    <t>344,100.00</t>
  </si>
  <si>
    <t>120,905.88</t>
  </si>
  <si>
    <t>3130</t>
  </si>
  <si>
    <t>75,261.84</t>
  </si>
  <si>
    <t>19,261.84</t>
  </si>
  <si>
    <t>3131</t>
  </si>
  <si>
    <t>254,660.40</t>
  </si>
  <si>
    <t>65,660.40</t>
  </si>
  <si>
    <t>3132</t>
  </si>
  <si>
    <t>703.00</t>
  </si>
  <si>
    <t>939,770.40</t>
  </si>
  <si>
    <t>359,770.40</t>
  </si>
  <si>
    <t>3133</t>
  </si>
  <si>
    <t>140.60</t>
  </si>
  <si>
    <t>187,954.08</t>
  </si>
  <si>
    <t>47,954.08</t>
  </si>
  <si>
    <t>3134</t>
  </si>
  <si>
    <t>6.68</t>
  </si>
  <si>
    <t>334.00</t>
  </si>
  <si>
    <t>446,491.20</t>
  </si>
  <si>
    <t>332,500.00</t>
  </si>
  <si>
    <t>113,991.20</t>
  </si>
  <si>
    <t>3135</t>
  </si>
  <si>
    <t>1,266.00</t>
  </si>
  <si>
    <t>1,692,388.80</t>
  </si>
  <si>
    <t>648,388.80</t>
  </si>
  <si>
    <t>3136</t>
  </si>
  <si>
    <t>281.50</t>
  </si>
  <si>
    <t>376,309.20</t>
  </si>
  <si>
    <t>96,309.20</t>
  </si>
  <si>
    <t>3137</t>
  </si>
  <si>
    <t>PYS01-Gel</t>
  </si>
  <si>
    <t>(X)밸런싱 젤 100ml</t>
  </si>
  <si>
    <t>562.50</t>
  </si>
  <si>
    <t>751,950.00</t>
  </si>
  <si>
    <t>191,950.00</t>
  </si>
  <si>
    <t>3138</t>
  </si>
  <si>
    <t>1,783.50</t>
  </si>
  <si>
    <t>2,384,182.80</t>
  </si>
  <si>
    <t>584,182.80</t>
  </si>
  <si>
    <t>3139</t>
  </si>
  <si>
    <t>3140</t>
  </si>
  <si>
    <t>1,315,411.20</t>
  </si>
  <si>
    <t>335,411.20</t>
  </si>
  <si>
    <t>3141</t>
  </si>
  <si>
    <t>738.00</t>
  </si>
  <si>
    <t>986,558.40</t>
  </si>
  <si>
    <t>251,558.40</t>
  </si>
  <si>
    <t>3142</t>
  </si>
  <si>
    <t>2,532.00</t>
  </si>
  <si>
    <t>3,384,777.60</t>
  </si>
  <si>
    <t>864,777.60</t>
  </si>
  <si>
    <t>3143</t>
  </si>
  <si>
    <t>27.42</t>
  </si>
  <si>
    <t>2,742.00</t>
  </si>
  <si>
    <t>3,665,505.60</t>
  </si>
  <si>
    <t>2,430,000.00</t>
  </si>
  <si>
    <t>1,235,505.60</t>
  </si>
  <si>
    <t>33.7</t>
  </si>
  <si>
    <t>3144</t>
  </si>
  <si>
    <t>1,128,259.20</t>
  </si>
  <si>
    <t>288,259.20</t>
  </si>
  <si>
    <t>3145</t>
  </si>
  <si>
    <t>2,973.00</t>
  </si>
  <si>
    <t>3,974,306.40</t>
  </si>
  <si>
    <t>974,306.40</t>
  </si>
  <si>
    <t>3146</t>
  </si>
  <si>
    <t>14.27</t>
  </si>
  <si>
    <t>285.40</t>
  </si>
  <si>
    <t>381,522.72</t>
  </si>
  <si>
    <t>93,522.72</t>
  </si>
  <si>
    <t>3147</t>
  </si>
  <si>
    <t>633.00</t>
  </si>
  <si>
    <t>846,194.40</t>
  </si>
  <si>
    <t>216,194.40</t>
  </si>
  <si>
    <t>3148</t>
  </si>
  <si>
    <t>3149</t>
  </si>
  <si>
    <t>105.40</t>
  </si>
  <si>
    <t>140,898.72</t>
  </si>
  <si>
    <t>105,000.00</t>
  </si>
  <si>
    <t>35,898.72</t>
  </si>
  <si>
    <t>3150</t>
  </si>
  <si>
    <t>349.32</t>
  </si>
  <si>
    <t>466,970.98</t>
  </si>
  <si>
    <t>347,900.00</t>
  </si>
  <si>
    <t>119,070.98</t>
  </si>
  <si>
    <t>3151</t>
  </si>
  <si>
    <t>142.68</t>
  </si>
  <si>
    <t>190,734.62</t>
  </si>
  <si>
    <t>142,100.00</t>
  </si>
  <si>
    <t>48,634.62</t>
  </si>
  <si>
    <t>3152</t>
  </si>
  <si>
    <t>92.76</t>
  </si>
  <si>
    <t>124,001.57</t>
  </si>
  <si>
    <t>44,801.57</t>
  </si>
  <si>
    <t>3153</t>
  </si>
  <si>
    <t>3154</t>
  </si>
  <si>
    <t>239,770.40</t>
  </si>
  <si>
    <t>3155</t>
  </si>
  <si>
    <t>305,458.80</t>
  </si>
  <si>
    <t>276,000.00</t>
  </si>
  <si>
    <t>29,458.80</t>
  </si>
  <si>
    <t>9.6</t>
  </si>
  <si>
    <t>3156</t>
  </si>
  <si>
    <t>351.50</t>
  </si>
  <si>
    <t>469,885.20</t>
  </si>
  <si>
    <t>174,885.20</t>
  </si>
  <si>
    <t>37.2</t>
  </si>
  <si>
    <t>3157</t>
  </si>
  <si>
    <t>67,954.08</t>
  </si>
  <si>
    <t>3158</t>
  </si>
  <si>
    <t>28.15</t>
  </si>
  <si>
    <t>37,630.92</t>
  </si>
  <si>
    <t>13,630.92</t>
  </si>
  <si>
    <t>3159</t>
  </si>
  <si>
    <t>1,097.85</t>
  </si>
  <si>
    <t>1,467,605.88</t>
  </si>
  <si>
    <t>5,538.46</t>
  </si>
  <si>
    <t>387,605.88</t>
  </si>
  <si>
    <t>3160</t>
  </si>
  <si>
    <t>2,160</t>
  </si>
  <si>
    <t>8,402.40</t>
  </si>
  <si>
    <t>11,232,328.32</t>
  </si>
  <si>
    <t>9,720,000.00</t>
  </si>
  <si>
    <t>1,512,328.32</t>
  </si>
  <si>
    <t>3161</t>
  </si>
  <si>
    <t>120,044.64</t>
  </si>
  <si>
    <t>30,044.64</t>
  </si>
  <si>
    <t>3162</t>
  </si>
  <si>
    <t>RLP01-MRR</t>
  </si>
  <si>
    <t>*리뉴얼 (10매입) 1025 독도 수분 워터겔 마스크 30ml</t>
  </si>
  <si>
    <t>11.97</t>
  </si>
  <si>
    <t>119.70</t>
  </si>
  <si>
    <t>160,014.96</t>
  </si>
  <si>
    <t>91,714.96</t>
  </si>
  <si>
    <t>57.3</t>
  </si>
  <si>
    <t>3163</t>
  </si>
  <si>
    <t>RLP01-PKen</t>
  </si>
  <si>
    <t>*(X)1025 독도 수면팩_100ml (본품)</t>
  </si>
  <si>
    <t>527.52</t>
  </si>
  <si>
    <t>705,188.74</t>
  </si>
  <si>
    <t>175,988.74</t>
  </si>
  <si>
    <t>3164</t>
  </si>
  <si>
    <t>100.48</t>
  </si>
  <si>
    <t>134,321.66</t>
  </si>
  <si>
    <t>100,800.00</t>
  </si>
  <si>
    <t>33,521.66</t>
  </si>
  <si>
    <t>3165</t>
  </si>
  <si>
    <t>RLP01-PKMen</t>
  </si>
  <si>
    <t>(X)(튜브)1025 독도 머드팩 100ml(본품)</t>
  </si>
  <si>
    <t>509.00</t>
  </si>
  <si>
    <t>680,431.20</t>
  </si>
  <si>
    <t>451,200.00</t>
  </si>
  <si>
    <t>229,231.20</t>
  </si>
  <si>
    <t>3166</t>
  </si>
  <si>
    <t>523.50</t>
  </si>
  <si>
    <t>699,814.80</t>
  </si>
  <si>
    <t>341,500.00</t>
  </si>
  <si>
    <t>358,314.80</t>
  </si>
  <si>
    <t>3167</t>
  </si>
  <si>
    <t>949,128.00</t>
  </si>
  <si>
    <t>892,500.00</t>
  </si>
  <si>
    <t>56,628.00</t>
  </si>
  <si>
    <t>3168</t>
  </si>
  <si>
    <t>1,151,786.88</t>
  </si>
  <si>
    <t>395,786.88</t>
  </si>
  <si>
    <t>3169</t>
  </si>
  <si>
    <t>958.00</t>
  </si>
  <si>
    <t>1,280,654.40</t>
  </si>
  <si>
    <t>340,654.40</t>
  </si>
  <si>
    <t>3170</t>
  </si>
  <si>
    <t>299.20</t>
  </si>
  <si>
    <t>399,970.56</t>
  </si>
  <si>
    <t>139,970.56</t>
  </si>
  <si>
    <t>35.0</t>
  </si>
  <si>
    <t>3171</t>
  </si>
  <si>
    <t>359.00</t>
  </si>
  <si>
    <t>479,911.20</t>
  </si>
  <si>
    <t>164,911.20</t>
  </si>
  <si>
    <t>3172</t>
  </si>
  <si>
    <t>886.00</t>
  </si>
  <si>
    <t>1,184,404.80</t>
  </si>
  <si>
    <t>384,404.80</t>
  </si>
  <si>
    <t>3173</t>
  </si>
  <si>
    <t>RLS07-PATCHen</t>
  </si>
  <si>
    <t>(X)소나무 진정 시카 패드 50매 (본품)</t>
  </si>
  <si>
    <t>37.40</t>
  </si>
  <si>
    <t>49,996.32</t>
  </si>
  <si>
    <t>16,996.32</t>
  </si>
  <si>
    <t>34.0</t>
  </si>
  <si>
    <t>3174</t>
  </si>
  <si>
    <t>254.50</t>
  </si>
  <si>
    <t>340,215.60</t>
  </si>
  <si>
    <t>50,215.60</t>
  </si>
  <si>
    <t>3175</t>
  </si>
  <si>
    <t>763.50</t>
  </si>
  <si>
    <t>1,020,646.80</t>
  </si>
  <si>
    <t>150,646.80</t>
  </si>
  <si>
    <t>3176</t>
  </si>
  <si>
    <t>58.74</t>
  </si>
  <si>
    <t>78,523.63</t>
  </si>
  <si>
    <t>66,990.00</t>
  </si>
  <si>
    <t>11,533.63</t>
  </si>
  <si>
    <t>3177</t>
  </si>
  <si>
    <t>636.00</t>
  </si>
  <si>
    <t>850,204.80</t>
  </si>
  <si>
    <t>725,000.00</t>
  </si>
  <si>
    <t>125,204.80</t>
  </si>
  <si>
    <t>3178</t>
  </si>
  <si>
    <t>2,313.50</t>
  </si>
  <si>
    <t>3,092,686.80</t>
  </si>
  <si>
    <t>2,639,000.00</t>
  </si>
  <si>
    <t>453,686.80</t>
  </si>
  <si>
    <t>3179</t>
  </si>
  <si>
    <t>secretKS17-Ttea</t>
  </si>
  <si>
    <t>(단종예정) 티트리 리프레쉬 카밍 토너 248ml</t>
  </si>
  <si>
    <t>203.50</t>
  </si>
  <si>
    <t>272,038.80</t>
  </si>
  <si>
    <t>40,038.80</t>
  </si>
  <si>
    <t>3180</t>
  </si>
  <si>
    <t>secretKS17-Twitch</t>
  </si>
  <si>
    <t>(단종예정) 위치하젤 포어 클리어 토너 248ml</t>
  </si>
  <si>
    <t>40.70</t>
  </si>
  <si>
    <t>54,407.76</t>
  </si>
  <si>
    <t>46,400.00</t>
  </si>
  <si>
    <t>8,007.76</t>
  </si>
  <si>
    <t>3181</t>
  </si>
  <si>
    <t>162.80</t>
  </si>
  <si>
    <t>217,631.04</t>
  </si>
  <si>
    <t>185,600.00</t>
  </si>
  <si>
    <t>32,031.04</t>
  </si>
  <si>
    <t>3182</t>
  </si>
  <si>
    <t>7,210.00</t>
  </si>
  <si>
    <t>9,638,328.00</t>
  </si>
  <si>
    <t>7,127,400.00</t>
  </si>
  <si>
    <t>2,510,928.00</t>
  </si>
  <si>
    <t>3183</t>
  </si>
  <si>
    <t>SISSII-CE</t>
  </si>
  <si>
    <t>인리치드 바이 네이처 크림 50ml</t>
  </si>
  <si>
    <t>시오리스</t>
  </si>
  <si>
    <t>14.21</t>
  </si>
  <si>
    <t>284.20</t>
  </si>
  <si>
    <t>379,918.56</t>
  </si>
  <si>
    <t>12,920.00</t>
  </si>
  <si>
    <t>258,400.00</t>
  </si>
  <si>
    <t>121,518.56</t>
  </si>
  <si>
    <t>3184</t>
  </si>
  <si>
    <t>113.20</t>
  </si>
  <si>
    <t>151,325.76</t>
  </si>
  <si>
    <t>89,100.00</t>
  </si>
  <si>
    <t>62,225.76</t>
  </si>
  <si>
    <t>3185</t>
  </si>
  <si>
    <t>WDPA16-09M70</t>
  </si>
  <si>
    <t>드레스 &amp; 리빙 클리어 퍼퓸 No.09 고고 망고 70ml</t>
  </si>
  <si>
    <t>1.91</t>
  </si>
  <si>
    <t>95.50</t>
  </si>
  <si>
    <t>127,664.40</t>
  </si>
  <si>
    <t>1,978.00</t>
  </si>
  <si>
    <t>98,900.00</t>
  </si>
  <si>
    <t>28,764.40</t>
  </si>
  <si>
    <t>3186</t>
  </si>
  <si>
    <t>77,300.00</t>
  </si>
  <si>
    <t>50,364.40</t>
  </si>
  <si>
    <t>3187</t>
  </si>
  <si>
    <t>WDPA16-49Pea70</t>
  </si>
  <si>
    <t>드레스 &amp; 리빙 클리어 퍼퓸 No.49 피치 블러썸 70ml</t>
  </si>
  <si>
    <t>1.65</t>
  </si>
  <si>
    <t>165.00</t>
  </si>
  <si>
    <t>220,572.00</t>
  </si>
  <si>
    <t>197,800.00</t>
  </si>
  <si>
    <t>22,772.00</t>
  </si>
  <si>
    <t>3188</t>
  </si>
  <si>
    <t>WDPA16-Setcpr</t>
  </si>
  <si>
    <t>(renew) 드레스퍼퓸 인기향 30ml 10종 세트</t>
  </si>
  <si>
    <t>9.10</t>
  </si>
  <si>
    <t>910.00</t>
  </si>
  <si>
    <t>1,216,488.00</t>
  </si>
  <si>
    <t>10,273.00</t>
  </si>
  <si>
    <t>1,027,300.00</t>
  </si>
  <si>
    <t>189,188.00</t>
  </si>
  <si>
    <t>3189</t>
  </si>
  <si>
    <t>2025-06-25</t>
  </si>
  <si>
    <t>2,800</t>
  </si>
  <si>
    <t>9.97</t>
  </si>
  <si>
    <t>27,916.00</t>
  </si>
  <si>
    <t>37,100,364.00</t>
  </si>
  <si>
    <t>31,668,000.00</t>
  </si>
  <si>
    <t>5,432,364.00</t>
  </si>
  <si>
    <t>IN00349102</t>
  </si>
  <si>
    <t>3190</t>
  </si>
  <si>
    <t>11.95</t>
  </si>
  <si>
    <t>1,912.00</t>
  </si>
  <si>
    <t>2,541,048.00</t>
  </si>
  <si>
    <t>1,934,400.00</t>
  </si>
  <si>
    <t>606,648.00</t>
  </si>
  <si>
    <t>3191</t>
  </si>
  <si>
    <t>DRAS01-CRR</t>
  </si>
  <si>
    <t>345 릴리프 크림 50ml</t>
  </si>
  <si>
    <t>17,000</t>
  </si>
  <si>
    <t>225,252,210.00</t>
  </si>
  <si>
    <t>192,270,000.00</t>
  </si>
  <si>
    <t>32,982,210.00</t>
  </si>
  <si>
    <t>3192</t>
  </si>
  <si>
    <t>11.20</t>
  </si>
  <si>
    <t>4,480.00</t>
  </si>
  <si>
    <t>5,953,920.00</t>
  </si>
  <si>
    <t>4,509,200.00</t>
  </si>
  <si>
    <t>1,444,720.00</t>
  </si>
  <si>
    <t>3193</t>
  </si>
  <si>
    <t>HMC01-balm5mlR</t>
  </si>
  <si>
    <t>(단종) (미니) 올 클린 밤 블리스터 5ml</t>
  </si>
  <si>
    <t>0.43</t>
  </si>
  <si>
    <t>860.00</t>
  </si>
  <si>
    <t>1,142,940.00</t>
  </si>
  <si>
    <t>455.00</t>
  </si>
  <si>
    <t>232,940.00</t>
  </si>
  <si>
    <t>3194</t>
  </si>
  <si>
    <t>HMC01-balmM5ml</t>
  </si>
  <si>
    <t>(단종) (미니) 올 클린 밤 만다린 블리스터 5ml</t>
  </si>
  <si>
    <t>3195</t>
  </si>
  <si>
    <t>MMS02-CBm</t>
  </si>
  <si>
    <t>(미니) 이데베논 블랙베리 인텐스 크림 12g</t>
  </si>
  <si>
    <t>2,126,400.00</t>
  </si>
  <si>
    <t>216.46</t>
  </si>
  <si>
    <t>432,920.00</t>
  </si>
  <si>
    <t>1,693,480.00</t>
  </si>
  <si>
    <t>79.6</t>
  </si>
  <si>
    <t>3196</t>
  </si>
  <si>
    <t>MMS02-CSm</t>
  </si>
  <si>
    <t>(미니) 센서티브 수딩 젤 크림 12g</t>
  </si>
  <si>
    <t>0.76</t>
  </si>
  <si>
    <t>2,020,080.00</t>
  </si>
  <si>
    <t>3197</t>
  </si>
  <si>
    <t>1,679.00</t>
  </si>
  <si>
    <t>2,231,391.00</t>
  </si>
  <si>
    <t>1,430,800.00</t>
  </si>
  <si>
    <t>800,591.00</t>
  </si>
  <si>
    <t>3198</t>
  </si>
  <si>
    <t>0.11</t>
  </si>
  <si>
    <t>1,100.00</t>
  </si>
  <si>
    <t>1,461,900.00</t>
  </si>
  <si>
    <t>461,900.00</t>
  </si>
  <si>
    <t>3199</t>
  </si>
  <si>
    <t>1,210,000.00</t>
  </si>
  <si>
    <t>251,900.00</t>
  </si>
  <si>
    <t>3200</t>
  </si>
  <si>
    <t>11.00</t>
  </si>
  <si>
    <t>14,619.00</t>
  </si>
  <si>
    <t>4,619.00</t>
  </si>
  <si>
    <t>3201</t>
  </si>
  <si>
    <t>PTFP01-IPspM</t>
  </si>
  <si>
    <t>*모크라*[샘플]골드 하이드로겔 아이패치(2ea)</t>
  </si>
  <si>
    <t>0.67</t>
  </si>
  <si>
    <t>373,980.60</t>
  </si>
  <si>
    <t>700.00</t>
  </si>
  <si>
    <t>79,980.60</t>
  </si>
  <si>
    <t>3202</t>
  </si>
  <si>
    <t>71,234.40</t>
  </si>
  <si>
    <t>15,234.40</t>
  </si>
  <si>
    <t>3203</t>
  </si>
  <si>
    <t>PYS01-Skit01</t>
  </si>
  <si>
    <t>4종 샘플 파우치 (업라인) (에센스 토너, 모이스쳐세럼, 밸런싱 젤, 뉴트리션 크림)</t>
  </si>
  <si>
    <t>0.31</t>
  </si>
  <si>
    <t>1,550.00</t>
  </si>
  <si>
    <t>2,059,950.00</t>
  </si>
  <si>
    <t>739,950.00</t>
  </si>
  <si>
    <t>3204</t>
  </si>
  <si>
    <t>PYS01-Skit02</t>
  </si>
  <si>
    <t>4종 샘플 파우치2 (다운라인) (미스트 토너, 모이스처 앰플, 클렌징폼, 모이스처 크림)</t>
  </si>
  <si>
    <t>3205</t>
  </si>
  <si>
    <t>PYS01-Skit03</t>
  </si>
  <si>
    <t>아토라인 4종 샘플샤쉐(아토크림 블루라벨 + 아토 모이스처수딩젤 로션+ 아토 고보습 베이비 오일 + 아토 로션 블루라벨)</t>
  </si>
  <si>
    <t>2,591,550.00</t>
  </si>
  <si>
    <t>1,271,550.00</t>
  </si>
  <si>
    <t>49.1</t>
  </si>
  <si>
    <t>3206</t>
  </si>
  <si>
    <t>PYS12-Skit04</t>
  </si>
  <si>
    <t>진정라인 4종 샘플샤쉐(진정 수분강화 토너+진정 수분 세럼+진정 수분 장벽 크림+진정 고보습 리페어 밤)</t>
  </si>
  <si>
    <t>3207</t>
  </si>
  <si>
    <t>PYS13-Tss</t>
  </si>
  <si>
    <t>얼티밋 3종 샘플샤쉐</t>
  </si>
  <si>
    <t>3208</t>
  </si>
  <si>
    <t>RLSM04-SCps</t>
  </si>
  <si>
    <t>(샘플) 자작나무 선크림 파우치 2ml</t>
  </si>
  <si>
    <t>0.09</t>
  </si>
  <si>
    <t>11,961.00</t>
  </si>
  <si>
    <t>3209</t>
  </si>
  <si>
    <t>3,900</t>
  </si>
  <si>
    <t>466,479.00</t>
  </si>
  <si>
    <t>3210</t>
  </si>
  <si>
    <t>TKBS03-CSampler</t>
  </si>
  <si>
    <t>[바코드 변경/샘플] 멀티 세라마이드 크림 1ml (샘플)</t>
  </si>
  <si>
    <t>0.15</t>
  </si>
  <si>
    <t>90.15</t>
  </si>
  <si>
    <t>119,809.35</t>
  </si>
  <si>
    <t>90,150.00</t>
  </si>
  <si>
    <t>29,659.35</t>
  </si>
  <si>
    <t>3211</t>
  </si>
  <si>
    <t>59.85</t>
  </si>
  <si>
    <t>79,540.65</t>
  </si>
  <si>
    <t>59,850.00</t>
  </si>
  <si>
    <t>19,690.65</t>
  </si>
  <si>
    <t>3212</t>
  </si>
  <si>
    <t>TKBS13-CT30</t>
  </si>
  <si>
    <t>[디럭스] 시카 칼밍 아쿠아 토너 30ML</t>
  </si>
  <si>
    <t>1,330.00</t>
  </si>
  <si>
    <t>1,767,570.00</t>
  </si>
  <si>
    <t>1,500.00</t>
  </si>
  <si>
    <t>267,570.00</t>
  </si>
  <si>
    <t>3213</t>
  </si>
  <si>
    <t>TKBSM05-Sample</t>
  </si>
  <si>
    <t>[샘플] 바이오 워터리 선크림 SPF50+ PA++++ 1.5ml</t>
  </si>
  <si>
    <t>91.13</t>
  </si>
  <si>
    <t>121,111.77</t>
  </si>
  <si>
    <t>105,150.00</t>
  </si>
  <si>
    <t>15,961.77</t>
  </si>
  <si>
    <t>13.2</t>
  </si>
  <si>
    <t>3214</t>
  </si>
  <si>
    <t>ARMS05-G1802</t>
  </si>
  <si>
    <t>수딩 알로에 베라 젤 180ml</t>
  </si>
  <si>
    <t>2.81</t>
  </si>
  <si>
    <t>84.30</t>
  </si>
  <si>
    <t>113,442.51</t>
  </si>
  <si>
    <t>87,300.00</t>
  </si>
  <si>
    <t>26,142.51</t>
  </si>
  <si>
    <t>IN00349103</t>
  </si>
  <si>
    <t>3215</t>
  </si>
  <si>
    <t>AXS04-SD</t>
  </si>
  <si>
    <t>잡티케어 글로우 세럼 50ml</t>
  </si>
  <si>
    <t>엑시스와이</t>
  </si>
  <si>
    <t>21,180.00</t>
  </si>
  <si>
    <t>28,501,926.00</t>
  </si>
  <si>
    <t>6,750.00</t>
  </si>
  <si>
    <t>20,250,000.00</t>
  </si>
  <si>
    <t>8,251,926.00</t>
  </si>
  <si>
    <t>3216</t>
  </si>
  <si>
    <t>2.72</t>
  </si>
  <si>
    <t>625.60</t>
  </si>
  <si>
    <t>841,869.92</t>
  </si>
  <si>
    <t>151,869.92</t>
  </si>
  <si>
    <t>3217</t>
  </si>
  <si>
    <t>BentonP04-M10R</t>
  </si>
  <si>
    <t>퍼먼테이션 마스크팩 10매입</t>
  </si>
  <si>
    <t>4,075.00</t>
  </si>
  <si>
    <t>5,483,727.50</t>
  </si>
  <si>
    <t>4,455,000.00</t>
  </si>
  <si>
    <t>1,028,727.50</t>
  </si>
  <si>
    <t>3218</t>
  </si>
  <si>
    <t>224.00</t>
  </si>
  <si>
    <t>301,436.80</t>
  </si>
  <si>
    <t>262,400.00</t>
  </si>
  <si>
    <t>39,036.80</t>
  </si>
  <si>
    <t>3219</t>
  </si>
  <si>
    <t>150,718.40</t>
  </si>
  <si>
    <t>19,518.40</t>
  </si>
  <si>
    <t>3220</t>
  </si>
  <si>
    <t>753,592.00</t>
  </si>
  <si>
    <t>97,592.00</t>
  </si>
  <si>
    <t>3221</t>
  </si>
  <si>
    <t>14,638.80</t>
  </si>
  <si>
    <t>3222</t>
  </si>
  <si>
    <t>3,300</t>
  </si>
  <si>
    <t>924.00</t>
  </si>
  <si>
    <t>1,243,426.80</t>
  </si>
  <si>
    <t>1,082,400.00</t>
  </si>
  <si>
    <t>161,026.80</t>
  </si>
  <si>
    <t>3223</t>
  </si>
  <si>
    <t>4,183.20</t>
  </si>
  <si>
    <t>5,629,332.24</t>
  </si>
  <si>
    <t>4,200,000.00</t>
  </si>
  <si>
    <t>1,429,332.24</t>
  </si>
  <si>
    <t>3224</t>
  </si>
  <si>
    <t>681.60</t>
  </si>
  <si>
    <t>917,229.12</t>
  </si>
  <si>
    <t>684,000.00</t>
  </si>
  <si>
    <t>233,229.12</t>
  </si>
  <si>
    <t>3225</t>
  </si>
  <si>
    <t>6,375.60</t>
  </si>
  <si>
    <t>8,579,644.92</t>
  </si>
  <si>
    <t>7,470,400.00</t>
  </si>
  <si>
    <t>1,109,244.92</t>
  </si>
  <si>
    <t>3226</t>
  </si>
  <si>
    <t>HBUS4-A</t>
  </si>
  <si>
    <t>팥 포어 타이트닝 포도 앰플 52ml</t>
  </si>
  <si>
    <t>233.45</t>
  </si>
  <si>
    <t>314,153.66</t>
  </si>
  <si>
    <t>5,804.00</t>
  </si>
  <si>
    <t>203,140.00</t>
  </si>
  <si>
    <t>111,013.66</t>
  </si>
  <si>
    <t>3227</t>
  </si>
  <si>
    <t>3.31</t>
  </si>
  <si>
    <t>827.50</t>
  </si>
  <si>
    <t>1,113,566.75</t>
  </si>
  <si>
    <t>922,750.00</t>
  </si>
  <si>
    <t>190,816.75</t>
  </si>
  <si>
    <t>3228</t>
  </si>
  <si>
    <t>1,320.60</t>
  </si>
  <si>
    <t>1,777,131.42</t>
  </si>
  <si>
    <t>1,562,400.00</t>
  </si>
  <si>
    <t>214,731.42</t>
  </si>
  <si>
    <t>3229</t>
  </si>
  <si>
    <t>213.00</t>
  </si>
  <si>
    <t>286,634.10</t>
  </si>
  <si>
    <t>34,634.10</t>
  </si>
  <si>
    <t>3230</t>
  </si>
  <si>
    <t>93.00</t>
  </si>
  <si>
    <t>125,150.10</t>
  </si>
  <si>
    <t>109,200.00</t>
  </si>
  <si>
    <t>15,950.10</t>
  </si>
  <si>
    <t>3231</t>
  </si>
  <si>
    <t>JSMS01-4SET</t>
  </si>
  <si>
    <t>(단종) 한방 세럼 디스커버리 4종 키트(인삼스네일세럼 10ml+쌀겨수 맑은 세럼 10ml+광채프로폴리스세럼 10ml+ 산들녹차세럼 10ml)</t>
  </si>
  <si>
    <t>574.80</t>
  </si>
  <si>
    <t>773,508.36</t>
  </si>
  <si>
    <t>11,340.00</t>
  </si>
  <si>
    <t>680,400.00</t>
  </si>
  <si>
    <t>93,108.36</t>
  </si>
  <si>
    <t>3232</t>
  </si>
  <si>
    <t>8,622.00</t>
  </si>
  <si>
    <t>11,602,625.40</t>
  </si>
  <si>
    <t>10,206,000.00</t>
  </si>
  <si>
    <t>1,396,625.40</t>
  </si>
  <si>
    <t>3233</t>
  </si>
  <si>
    <t>12,780.00</t>
  </si>
  <si>
    <t>17,198,046.00</t>
  </si>
  <si>
    <t>15,120,000.00</t>
  </si>
  <si>
    <t>2,078,046.00</t>
  </si>
  <si>
    <t>3234</t>
  </si>
  <si>
    <t>1,388,762.40</t>
  </si>
  <si>
    <t>238,762.40</t>
  </si>
  <si>
    <t>3235</t>
  </si>
  <si>
    <t>251,915.04</t>
  </si>
  <si>
    <t>3236</t>
  </si>
  <si>
    <t>1,224,587.00</t>
  </si>
  <si>
    <t>454,587.00</t>
  </si>
  <si>
    <t>37.1</t>
  </si>
  <si>
    <t>3237</t>
  </si>
  <si>
    <t>3.00</t>
  </si>
  <si>
    <t>1,130,388.00</t>
  </si>
  <si>
    <t>248,388.00</t>
  </si>
  <si>
    <t>3238</t>
  </si>
  <si>
    <t>121.44</t>
  </si>
  <si>
    <t>163,421.81</t>
  </si>
  <si>
    <t>51,421.81</t>
  </si>
  <si>
    <t>31.5</t>
  </si>
  <si>
    <t>3239</t>
  </si>
  <si>
    <t>2,404.00</t>
  </si>
  <si>
    <t>3,235,062.80</t>
  </si>
  <si>
    <t>715,062.80</t>
  </si>
  <si>
    <t>3240</t>
  </si>
  <si>
    <t>30.05</t>
  </si>
  <si>
    <t>40,438.29</t>
  </si>
  <si>
    <t>31,500.00</t>
  </si>
  <si>
    <t>8,938.29</t>
  </si>
  <si>
    <t>3241</t>
  </si>
  <si>
    <t>1,614,840.00</t>
  </si>
  <si>
    <t>1,056,000.00</t>
  </si>
  <si>
    <t>558,840.00</t>
  </si>
  <si>
    <t>3242</t>
  </si>
  <si>
    <t>1,073,868.60</t>
  </si>
  <si>
    <t>233,868.60</t>
  </si>
  <si>
    <t>3243</t>
  </si>
  <si>
    <t>266.00</t>
  </si>
  <si>
    <t>357,956.20</t>
  </si>
  <si>
    <t>77,956.20</t>
  </si>
  <si>
    <t>3244</t>
  </si>
  <si>
    <t>968,904.00</t>
  </si>
  <si>
    <t>633,600.00</t>
  </si>
  <si>
    <t>335,304.00</t>
  </si>
  <si>
    <t>3245</t>
  </si>
  <si>
    <t>VTS21-S300</t>
  </si>
  <si>
    <t>리들샷300</t>
  </si>
  <si>
    <t>15.00</t>
  </si>
  <si>
    <t>9,689,040.00</t>
  </si>
  <si>
    <t>15,636.00</t>
  </si>
  <si>
    <t>7,505,280.00</t>
  </si>
  <si>
    <t>2,183,760.00</t>
  </si>
  <si>
    <t>3246</t>
  </si>
  <si>
    <t>14,823.00</t>
  </si>
  <si>
    <t>21,299,168.70</t>
  </si>
  <si>
    <t>18,042,750.00</t>
  </si>
  <si>
    <t>3,256,418.70</t>
  </si>
  <si>
    <t>IN00345462</t>
  </si>
  <si>
    <t>3247</t>
  </si>
  <si>
    <t>CMXS01-AN30R</t>
  </si>
  <si>
    <t>(Renew) 노니 에너지 앰플 30ml</t>
  </si>
  <si>
    <t>30,804.00</t>
  </si>
  <si>
    <t>44,262,267.60</t>
  </si>
  <si>
    <t>8,733.11</t>
  </si>
  <si>
    <t>35,631,090.00</t>
  </si>
  <si>
    <t>8,631,177.60</t>
  </si>
  <si>
    <t>3248</t>
  </si>
  <si>
    <t>2,200</t>
  </si>
  <si>
    <t>7,084.00</t>
  </si>
  <si>
    <t>10,178,999.60</t>
  </si>
  <si>
    <t>8,120,200.00</t>
  </si>
  <si>
    <t>2,058,799.60</t>
  </si>
  <si>
    <t>3249</t>
  </si>
  <si>
    <t>2,128</t>
  </si>
  <si>
    <t>13,321.28</t>
  </si>
  <si>
    <t>19,141,347.23</t>
  </si>
  <si>
    <t>16,087,680.00</t>
  </si>
  <si>
    <t>3,053,667.23</t>
  </si>
  <si>
    <t>3250</t>
  </si>
  <si>
    <t>17,978.50</t>
  </si>
  <si>
    <t>25,833,306.65</t>
  </si>
  <si>
    <t>18,265,500.00</t>
  </si>
  <si>
    <t>7,567,806.65</t>
  </si>
  <si>
    <t>3251</t>
  </si>
  <si>
    <t>2,056</t>
  </si>
  <si>
    <t>14,124.72</t>
  </si>
  <si>
    <t>20,295,810.17</t>
  </si>
  <si>
    <t>7,158.79</t>
  </si>
  <si>
    <t>14,718,480.00</t>
  </si>
  <si>
    <t>5,577,330.17</t>
  </si>
  <si>
    <t>3252</t>
  </si>
  <si>
    <t>7,421.00</t>
  </si>
  <si>
    <t>10,663,234.90</t>
  </si>
  <si>
    <t>9,225,000.00</t>
  </si>
  <si>
    <t>1,438,234.90</t>
  </si>
  <si>
    <t>3253</t>
  </si>
  <si>
    <t>2025-06-04</t>
  </si>
  <si>
    <t>20,961.00</t>
  </si>
  <si>
    <t>-2,979,039.00</t>
  </si>
  <si>
    <t>-14,212.3</t>
  </si>
  <si>
    <t>IN00341807</t>
  </si>
  <si>
    <t>3254</t>
  </si>
  <si>
    <t>2.74</t>
  </si>
  <si>
    <t>301.40</t>
  </si>
  <si>
    <t>421,176.36</t>
  </si>
  <si>
    <t>91,176.36</t>
  </si>
  <si>
    <t>3255</t>
  </si>
  <si>
    <t>CMXC03-CO20E</t>
  </si>
  <si>
    <t>(파우치X) 더마네이처 프레시 블랙헤드 호호바 클렌징 오일 20ml (Miniature)</t>
  </si>
  <si>
    <t>0.79</t>
  </si>
  <si>
    <t>1,303.50</t>
  </si>
  <si>
    <t>1,821,510.90</t>
  </si>
  <si>
    <t>1,425,600.00</t>
  </si>
  <si>
    <t>395,910.90</t>
  </si>
  <si>
    <t>3256</t>
  </si>
  <si>
    <t>HLSS01-ESR</t>
  </si>
  <si>
    <t>[리뉴얼]블랙헤드 멜팅 소프트너 150ml 압출 면봉 기획세트(화장솜 40매+면봉 10개)</t>
  </si>
  <si>
    <t>7.14</t>
  </si>
  <si>
    <t>7,854.00</t>
  </si>
  <si>
    <t>10,975,179.60</t>
  </si>
  <si>
    <t>8,800,000.00</t>
  </si>
  <si>
    <t>2,175,179.60</t>
  </si>
  <si>
    <t>3257</t>
  </si>
  <si>
    <t>HLSS01-SRR</t>
  </si>
  <si>
    <t>[Renew] 올데이 비타민 브라이트닝&amp;밸런싱 페이셜 세럼 30ml</t>
  </si>
  <si>
    <t>12,189.00</t>
  </si>
  <si>
    <t>17,032,908.60</t>
  </si>
  <si>
    <t>10,880,000.00</t>
  </si>
  <si>
    <t>6,152,908.60</t>
  </si>
  <si>
    <t>3258</t>
  </si>
  <si>
    <t>732.00</t>
  </si>
  <si>
    <t>1,022,896.80</t>
  </si>
  <si>
    <t>850,000.00</t>
  </si>
  <si>
    <t>172,896.80</t>
  </si>
  <si>
    <t>3259</t>
  </si>
  <si>
    <t>HLSS04-S</t>
  </si>
  <si>
    <t>스네일 뮤신 95 + 펩타이드 페이셜 에센스 140ml (본품)</t>
  </si>
  <si>
    <t>8.18</t>
  </si>
  <si>
    <t>2,454.00</t>
  </si>
  <si>
    <t>3,429,219.60</t>
  </si>
  <si>
    <t>1,179,219.60</t>
  </si>
  <si>
    <t>3260</t>
  </si>
  <si>
    <t>HLSS04-S50</t>
  </si>
  <si>
    <t>스네일 뮤신 95 + 펩타이드 페이셜 에센스 50ml</t>
  </si>
  <si>
    <t>2,205.00</t>
  </si>
  <si>
    <t>3,081,267.00</t>
  </si>
  <si>
    <t>2,205,000.00</t>
  </si>
  <si>
    <t>876,267.00</t>
  </si>
  <si>
    <t>3261</t>
  </si>
  <si>
    <t>HMC01-FGmini</t>
  </si>
  <si>
    <t>(미니) 올 클린 그린폼 30ml</t>
  </si>
  <si>
    <t>1,610</t>
  </si>
  <si>
    <t>1.03</t>
  </si>
  <si>
    <t>1,658.30</t>
  </si>
  <si>
    <t>2,317,308.42</t>
  </si>
  <si>
    <t>1,127,000.00</t>
  </si>
  <si>
    <t>1,190,308.42</t>
  </si>
  <si>
    <t>3262</t>
  </si>
  <si>
    <t>HMC20-oilM</t>
  </si>
  <si>
    <t>(단종)(미니) 말차 바이옴 퍼펙트 클렌징 오일 17ml</t>
  </si>
  <si>
    <t>1.72</t>
  </si>
  <si>
    <t>961,411.20</t>
  </si>
  <si>
    <t>618,400.00</t>
  </si>
  <si>
    <t>343,011.20</t>
  </si>
  <si>
    <t>3263</t>
  </si>
  <si>
    <t>2,064.00</t>
  </si>
  <si>
    <t>2,884,233.60</t>
  </si>
  <si>
    <t>3264</t>
  </si>
  <si>
    <t>3,500</t>
  </si>
  <si>
    <t>16,135.00</t>
  </si>
  <si>
    <t>22,547,049.00</t>
  </si>
  <si>
    <t>19,110,000.00</t>
  </si>
  <si>
    <t>3,437,049.00</t>
  </si>
  <si>
    <t>3265</t>
  </si>
  <si>
    <t>257,680.56</t>
  </si>
  <si>
    <t>218,400.00</t>
  </si>
  <si>
    <t>39,280.56</t>
  </si>
  <si>
    <t>3266</t>
  </si>
  <si>
    <t>902.40</t>
  </si>
  <si>
    <t>1,261,013.76</t>
  </si>
  <si>
    <t>202,613.76</t>
  </si>
  <si>
    <t>3267</t>
  </si>
  <si>
    <t>101.82</t>
  </si>
  <si>
    <t>30,546.00</t>
  </si>
  <si>
    <t>42,684,980.40</t>
  </si>
  <si>
    <t>8,934,980.40</t>
  </si>
  <si>
    <t>3268</t>
  </si>
  <si>
    <t>MECU05-PROEXP_EU</t>
  </si>
  <si>
    <t>[EU]AGE-R BOOSTER PRO EX PINK</t>
  </si>
  <si>
    <t>8,145.60</t>
  </si>
  <si>
    <t>11,382,661.44</t>
  </si>
  <si>
    <t>2,382,661.44</t>
  </si>
  <si>
    <t>3269</t>
  </si>
  <si>
    <t>51.51</t>
  </si>
  <si>
    <t>1,545.30</t>
  </si>
  <si>
    <t>2,159,402.22</t>
  </si>
  <si>
    <t>1,725,000.00</t>
  </si>
  <si>
    <t>434,402.22</t>
  </si>
  <si>
    <t>3270</t>
  </si>
  <si>
    <t>MECU05-PROMW</t>
  </si>
  <si>
    <t>에이지알 부스터 프로 미니 화이트</t>
  </si>
  <si>
    <t>6,181.20</t>
  </si>
  <si>
    <t>8,637,608.88</t>
  </si>
  <si>
    <t>6,900,000.00</t>
  </si>
  <si>
    <t>1,737,608.88</t>
  </si>
  <si>
    <t>3271</t>
  </si>
  <si>
    <t>3,200</t>
  </si>
  <si>
    <t>29,440.00</t>
  </si>
  <si>
    <t>41,139,456.00</t>
  </si>
  <si>
    <t>32,832,000.00</t>
  </si>
  <si>
    <t>8,307,456.00</t>
  </si>
  <si>
    <t>3272</t>
  </si>
  <si>
    <t>782.00</t>
  </si>
  <si>
    <t>1,092,766.80</t>
  </si>
  <si>
    <t>208,766.80</t>
  </si>
  <si>
    <t>3273</t>
  </si>
  <si>
    <t>10,524.00</t>
  </si>
  <si>
    <t>14,706,237.60</t>
  </si>
  <si>
    <t>11,794,800.00</t>
  </si>
  <si>
    <t>2,911,437.60</t>
  </si>
  <si>
    <t>3274</t>
  </si>
  <si>
    <t>10.83</t>
  </si>
  <si>
    <t>1,624.50</t>
  </si>
  <si>
    <t>2,270,076.30</t>
  </si>
  <si>
    <t>1,867,500.00</t>
  </si>
  <si>
    <t>402,576.30</t>
  </si>
  <si>
    <t>3275</t>
  </si>
  <si>
    <t>2,220</t>
  </si>
  <si>
    <t>23,643.00</t>
  </si>
  <si>
    <t>33,038,728.20</t>
  </si>
  <si>
    <t>26,640,000.00</t>
  </si>
  <si>
    <t>6,398,728.20</t>
  </si>
  <si>
    <t>3276</t>
  </si>
  <si>
    <t>2,300,000.00</t>
  </si>
  <si>
    <t>584,233.60</t>
  </si>
  <si>
    <t>3277</t>
  </si>
  <si>
    <t>9.65</t>
  </si>
  <si>
    <t>10,518,229.80</t>
  </si>
  <si>
    <t>8,307,000.00</t>
  </si>
  <si>
    <t>2,211,229.80</t>
  </si>
  <si>
    <t>3278</t>
  </si>
  <si>
    <t>6,544.80</t>
  </si>
  <si>
    <t>9,145,703.52</t>
  </si>
  <si>
    <t>7,403,400.00</t>
  </si>
  <si>
    <t>1,742,303.52</t>
  </si>
  <si>
    <t>3279</t>
  </si>
  <si>
    <t>2,020.20</t>
  </si>
  <si>
    <t>2,823,027.48</t>
  </si>
  <si>
    <t>2,226,000.00</t>
  </si>
  <si>
    <t>597,027.48</t>
  </si>
  <si>
    <t>3280</t>
  </si>
  <si>
    <t>MMS01-Sample01</t>
  </si>
  <si>
    <t>(단종) 어성초 티트리 라인 3Step 샤쉐 (클렌징폼1.5g+세럼1.5g+크림1.5g)</t>
  </si>
  <si>
    <t>5,800</t>
  </si>
  <si>
    <t>0.26</t>
  </si>
  <si>
    <t>1,508.00</t>
  </si>
  <si>
    <t>2,107,279.20</t>
  </si>
  <si>
    <t>3281</t>
  </si>
  <si>
    <t>2,151,996.00</t>
  </si>
  <si>
    <t>4.74</t>
  </si>
  <si>
    <t>9,480.00</t>
  </si>
  <si>
    <t>2,142,516.00</t>
  </si>
  <si>
    <t>99.6</t>
  </si>
  <si>
    <t>3282</t>
  </si>
  <si>
    <t>3,450</t>
  </si>
  <si>
    <t>0.73</t>
  </si>
  <si>
    <t>2,518.50</t>
  </si>
  <si>
    <t>3,519,351.90</t>
  </si>
  <si>
    <t>440.58</t>
  </si>
  <si>
    <t>1,520,000.00</t>
  </si>
  <si>
    <t>1,999,351.90</t>
  </si>
  <si>
    <t>56.8</t>
  </si>
  <si>
    <t>3283</t>
  </si>
  <si>
    <t>1.10</t>
  </si>
  <si>
    <t>1,291,197.60</t>
  </si>
  <si>
    <t>823,200.00</t>
  </si>
  <si>
    <t>467,997.60</t>
  </si>
  <si>
    <t>3284</t>
  </si>
  <si>
    <t>814.00</t>
  </si>
  <si>
    <t>1,137,483.60</t>
  </si>
  <si>
    <t>725,200.00</t>
  </si>
  <si>
    <t>412,283.60</t>
  </si>
  <si>
    <t>3285</t>
  </si>
  <si>
    <t>1,006,128.00</t>
  </si>
  <si>
    <t>372,528.00</t>
  </si>
  <si>
    <t>3286</t>
  </si>
  <si>
    <t>6,400</t>
  </si>
  <si>
    <t>2,683,008.00</t>
  </si>
  <si>
    <t>1,689,600.00</t>
  </si>
  <si>
    <t>993,408.00</t>
  </si>
  <si>
    <t>3287</t>
  </si>
  <si>
    <t>PYS06-Skit04</t>
  </si>
  <si>
    <t>블랙티 4종 샘플 샤쉐(블랙티 딥 인퓨전 토너+블랙티 부스팅 세럼+블랙티 인리치드 크림+블랙티 타임 리버스 아이크림)</t>
  </si>
  <si>
    <t>0.99</t>
  </si>
  <si>
    <t>6,336.00</t>
  </si>
  <si>
    <t>8,853,926.40</t>
  </si>
  <si>
    <t>7,164,326.40</t>
  </si>
  <si>
    <t>80.9</t>
  </si>
  <si>
    <t>3288</t>
  </si>
  <si>
    <t>1,440.00</t>
  </si>
  <si>
    <t>2,012,256.00</t>
  </si>
  <si>
    <t>3289</t>
  </si>
  <si>
    <t>480.00</t>
  </si>
  <si>
    <t>670,752.00</t>
  </si>
  <si>
    <t>3290</t>
  </si>
  <si>
    <t>WDBS98-HNm40</t>
  </si>
  <si>
    <t>퍼퓸 핸드크림 미니어쳐 No.40 시크앰버 20ml</t>
  </si>
  <si>
    <t>1,634,958.00</t>
  </si>
  <si>
    <t>1,296.00</t>
  </si>
  <si>
    <t>1,296,000.00</t>
  </si>
  <si>
    <t>338,958.00</t>
  </si>
  <si>
    <t>3291</t>
  </si>
  <si>
    <t>2,313.18</t>
  </si>
  <si>
    <t>3,258,114.03</t>
  </si>
  <si>
    <t>2,736,720.00</t>
  </si>
  <si>
    <t>521,394.03</t>
  </si>
  <si>
    <t>IN00342049</t>
  </si>
  <si>
    <t>3292</t>
  </si>
  <si>
    <t>126,765.00</t>
  </si>
  <si>
    <t>32,265.00</t>
  </si>
  <si>
    <t>3293</t>
  </si>
  <si>
    <t>2,241.00</t>
  </si>
  <si>
    <t>3,129,780.60</t>
  </si>
  <si>
    <t>2,592,000.00</t>
  </si>
  <si>
    <t>537,780.60</t>
  </si>
  <si>
    <t>IN00340190</t>
  </si>
  <si>
    <t>3294</t>
  </si>
  <si>
    <t>462.40</t>
  </si>
  <si>
    <t>645,787.84</t>
  </si>
  <si>
    <t>135,787.84</t>
  </si>
  <si>
    <t>3295</t>
  </si>
  <si>
    <t>203,903.60</t>
  </si>
  <si>
    <t>40,103.60</t>
  </si>
  <si>
    <t>3296</t>
  </si>
  <si>
    <t>815,614.40</t>
  </si>
  <si>
    <t>655,200.00</t>
  </si>
  <si>
    <t>160,414.40</t>
  </si>
  <si>
    <t>3297</t>
  </si>
  <si>
    <t>372,612.88</t>
  </si>
  <si>
    <t>92,612.88</t>
  </si>
  <si>
    <t>3298</t>
  </si>
  <si>
    <t>93,153.22</t>
  </si>
  <si>
    <t>70,000.00</t>
  </si>
  <si>
    <t>23,153.22</t>
  </si>
  <si>
    <t>3299</t>
  </si>
  <si>
    <t>1,222.50</t>
  </si>
  <si>
    <t>1,707,343.50</t>
  </si>
  <si>
    <t>370,843.50</t>
  </si>
  <si>
    <t>3300</t>
  </si>
  <si>
    <t>469,257.60</t>
  </si>
  <si>
    <t>75,657.60</t>
  </si>
  <si>
    <t>3301</t>
  </si>
  <si>
    <t>9,195.00</t>
  </si>
  <si>
    <t>12,841,737.00</t>
  </si>
  <si>
    <t>10,309,500.00</t>
  </si>
  <si>
    <t>2,532,237.00</t>
  </si>
  <si>
    <t>3302</t>
  </si>
  <si>
    <t>122.60</t>
  </si>
  <si>
    <t>171,223.16</t>
  </si>
  <si>
    <t>137,460.00</t>
  </si>
  <si>
    <t>33,763.16</t>
  </si>
  <si>
    <t>3303</t>
  </si>
  <si>
    <t>4,860.00</t>
  </si>
  <si>
    <t>6,787,476.00</t>
  </si>
  <si>
    <t>4,745,700.00</t>
  </si>
  <si>
    <t>2,041,776.00</t>
  </si>
  <si>
    <t>3304</t>
  </si>
  <si>
    <t>324.00</t>
  </si>
  <si>
    <t>452,498.40</t>
  </si>
  <si>
    <t>316,380.00</t>
  </si>
  <si>
    <t>136,118.40</t>
  </si>
  <si>
    <t>3305</t>
  </si>
  <si>
    <t>14,910.00</t>
  </si>
  <si>
    <t>20,823,306.00</t>
  </si>
  <si>
    <t>17,640,000.00</t>
  </si>
  <si>
    <t>3,183,306.00</t>
  </si>
  <si>
    <t>3306</t>
  </si>
  <si>
    <t>142.00</t>
  </si>
  <si>
    <t>198,317.20</t>
  </si>
  <si>
    <t>30,317.20</t>
  </si>
  <si>
    <t>3307</t>
  </si>
  <si>
    <t>1,022.40</t>
  </si>
  <si>
    <t>1,427,883.84</t>
  </si>
  <si>
    <t>3,171.00</t>
  </si>
  <si>
    <t>761,040.00</t>
  </si>
  <si>
    <t>666,843.84</t>
  </si>
  <si>
    <t>3308</t>
  </si>
  <si>
    <t>9,436.00</t>
  </si>
  <si>
    <t>13,178,317.60</t>
  </si>
  <si>
    <t>11,172,000.00</t>
  </si>
  <si>
    <t>2,006,317.60</t>
  </si>
  <si>
    <t>3309</t>
  </si>
  <si>
    <t>376,523.36</t>
  </si>
  <si>
    <t>57,323.36</t>
  </si>
  <si>
    <t>3310</t>
  </si>
  <si>
    <t>8,759.00</t>
  </si>
  <si>
    <t>12,232,819.40</t>
  </si>
  <si>
    <t>10,374,000.00</t>
  </si>
  <si>
    <t>1,858,819.40</t>
  </si>
  <si>
    <t>3311</t>
  </si>
  <si>
    <t>12,070.00</t>
  </si>
  <si>
    <t>16,856,962.00</t>
  </si>
  <si>
    <t>14,280,000.00</t>
  </si>
  <si>
    <t>2,576,962.00</t>
  </si>
  <si>
    <t>3312</t>
  </si>
  <si>
    <t>3313</t>
  </si>
  <si>
    <t>13,419.00</t>
  </si>
  <si>
    <t>18,740,975.40</t>
  </si>
  <si>
    <t>15,876,000.00</t>
  </si>
  <si>
    <t>2,864,975.40</t>
  </si>
  <si>
    <t>3314</t>
  </si>
  <si>
    <t>9,000</t>
  </si>
  <si>
    <t>76,680.00</t>
  </si>
  <si>
    <t>107,091,288.00</t>
  </si>
  <si>
    <t>90,720,000.00</t>
  </si>
  <si>
    <t>16,371,288.00</t>
  </si>
  <si>
    <t>3315</t>
  </si>
  <si>
    <t>12.07</t>
  </si>
  <si>
    <t>25,347.00</t>
  </si>
  <si>
    <t>35,399,620.20</t>
  </si>
  <si>
    <t>29,988,000.00</t>
  </si>
  <si>
    <t>5,411,620.20</t>
  </si>
  <si>
    <t>3316</t>
  </si>
  <si>
    <t>6,030.00</t>
  </si>
  <si>
    <t>8,421,498.00</t>
  </si>
  <si>
    <t>7,140,000.00</t>
  </si>
  <si>
    <t>1,281,498.00</t>
  </si>
  <si>
    <t>3317</t>
  </si>
  <si>
    <t>482.40</t>
  </si>
  <si>
    <t>673,719.84</t>
  </si>
  <si>
    <t>571,200.00</t>
  </si>
  <si>
    <t>102,519.84</t>
  </si>
  <si>
    <t>3318</t>
  </si>
  <si>
    <t>10,251.00</t>
  </si>
  <si>
    <t>14,316,546.60</t>
  </si>
  <si>
    <t>12,138,000.00</t>
  </si>
  <si>
    <t>2,178,546.60</t>
  </si>
  <si>
    <t>3319</t>
  </si>
  <si>
    <t>18,090.00</t>
  </si>
  <si>
    <t>25,264,494.00</t>
  </si>
  <si>
    <t>3,844,494.00</t>
  </si>
  <si>
    <t>3320</t>
  </si>
  <si>
    <t>3321</t>
  </si>
  <si>
    <t>20,502.00</t>
  </si>
  <si>
    <t>28,633,093.20</t>
  </si>
  <si>
    <t>24,276,000.00</t>
  </si>
  <si>
    <t>4,357,093.20</t>
  </si>
  <si>
    <t>3322</t>
  </si>
  <si>
    <t>1,800</t>
  </si>
  <si>
    <t>10,854.00</t>
  </si>
  <si>
    <t>15,158,696.40</t>
  </si>
  <si>
    <t>12,852,000.00</t>
  </si>
  <si>
    <t>2,306,696.40</t>
  </si>
  <si>
    <t>3323</t>
  </si>
  <si>
    <t>1,638</t>
  </si>
  <si>
    <t>10,466.82</t>
  </si>
  <si>
    <t>14,617,960.81</t>
  </si>
  <si>
    <t>7,421.54</t>
  </si>
  <si>
    <t>12,156,480.00</t>
  </si>
  <si>
    <t>2,461,480.81</t>
  </si>
  <si>
    <t>3324</t>
  </si>
  <si>
    <t>6,390.00</t>
  </si>
  <si>
    <t>8,924,274.00</t>
  </si>
  <si>
    <t>1,364,274.00</t>
  </si>
  <si>
    <t>3325</t>
  </si>
  <si>
    <t>5,112.00</t>
  </si>
  <si>
    <t>7,139,419.20</t>
  </si>
  <si>
    <t>6,048,000.00</t>
  </si>
  <si>
    <t>1,091,419.20</t>
  </si>
  <si>
    <t>3326</t>
  </si>
  <si>
    <t>356,970.96</t>
  </si>
  <si>
    <t>54,570.96</t>
  </si>
  <si>
    <t>3327</t>
  </si>
  <si>
    <t>7,236.00</t>
  </si>
  <si>
    <t>10,105,797.60</t>
  </si>
  <si>
    <t>8,568,000.00</t>
  </si>
  <si>
    <t>1,537,797.60</t>
  </si>
  <si>
    <t>3328</t>
  </si>
  <si>
    <t>18,531.00</t>
  </si>
  <si>
    <t>25,880,394.60</t>
  </si>
  <si>
    <t>4,882.72</t>
  </si>
  <si>
    <t>14,159,880.00</t>
  </si>
  <si>
    <t>11,720,514.60</t>
  </si>
  <si>
    <t>45.3</t>
  </si>
  <si>
    <t>3329</t>
  </si>
  <si>
    <t>127.80</t>
  </si>
  <si>
    <t>178,485.48</t>
  </si>
  <si>
    <t>151,200.00</t>
  </si>
  <si>
    <t>27,285.48</t>
  </si>
  <si>
    <t>3330</t>
  </si>
  <si>
    <t>3331</t>
  </si>
  <si>
    <t>127,800.00</t>
  </si>
  <si>
    <t>178,485,480.00</t>
  </si>
  <si>
    <t>27,285,480.00</t>
  </si>
  <si>
    <t>3332</t>
  </si>
  <si>
    <t>7.45</t>
  </si>
  <si>
    <t>7,450.00</t>
  </si>
  <si>
    <t>10,404,670.00</t>
  </si>
  <si>
    <t>8,820,000.00</t>
  </si>
  <si>
    <t>1,584,670.00</t>
  </si>
  <si>
    <t>3333</t>
  </si>
  <si>
    <t>4,872.00</t>
  </si>
  <si>
    <t>6,804,235.20</t>
  </si>
  <si>
    <t>4,960,000.00</t>
  </si>
  <si>
    <t>1,844,235.20</t>
  </si>
  <si>
    <t>3334</t>
  </si>
  <si>
    <t>213.60</t>
  </si>
  <si>
    <t>298,313.76</t>
  </si>
  <si>
    <t>74,313.76</t>
  </si>
  <si>
    <t>3335</t>
  </si>
  <si>
    <t>4,272.00</t>
  </si>
  <si>
    <t>5,966,275.20</t>
  </si>
  <si>
    <t>4,480,000.00</t>
  </si>
  <si>
    <t>1,486,275.20</t>
  </si>
  <si>
    <t>3336</t>
  </si>
  <si>
    <t>3,910,480.00</t>
  </si>
  <si>
    <t>2,940,000.00</t>
  </si>
  <si>
    <t>970,480.00</t>
  </si>
  <si>
    <t>3337</t>
  </si>
  <si>
    <t>111,728.00</t>
  </si>
  <si>
    <t>27,728.00</t>
  </si>
  <si>
    <t>3338</t>
  </si>
  <si>
    <t>1,156,384.80</t>
  </si>
  <si>
    <t>869,400.00</t>
  </si>
  <si>
    <t>286,984.80</t>
  </si>
  <si>
    <t>3339</t>
  </si>
  <si>
    <t>3340</t>
  </si>
  <si>
    <t>221.90</t>
  </si>
  <si>
    <t>309,905.54</t>
  </si>
  <si>
    <t>232,750.00</t>
  </si>
  <si>
    <t>77,155.54</t>
  </si>
  <si>
    <t>3341</t>
  </si>
  <si>
    <t>3,487.00</t>
  </si>
  <si>
    <t>4,869,944.20</t>
  </si>
  <si>
    <t>3,657,500.00</t>
  </si>
  <si>
    <t>1,212,444.20</t>
  </si>
  <si>
    <t>3342</t>
  </si>
  <si>
    <t>10.68</t>
  </si>
  <si>
    <t>640.80</t>
  </si>
  <si>
    <t>894,941.28</t>
  </si>
  <si>
    <t>222,941.28</t>
  </si>
  <si>
    <t>3343</t>
  </si>
  <si>
    <t>5,340.00</t>
  </si>
  <si>
    <t>7,457,844.00</t>
  </si>
  <si>
    <t>1,857,844.00</t>
  </si>
  <si>
    <t>3344</t>
  </si>
  <si>
    <t>11.68</t>
  </si>
  <si>
    <t>5,256.00</t>
  </si>
  <si>
    <t>7,340,529.60</t>
  </si>
  <si>
    <t>5,512,500.00</t>
  </si>
  <si>
    <t>1,828,029.60</t>
  </si>
  <si>
    <t>3345</t>
  </si>
  <si>
    <t>350.40</t>
  </si>
  <si>
    <t>489,368.64</t>
  </si>
  <si>
    <t>121,868.64</t>
  </si>
  <si>
    <t>3346</t>
  </si>
  <si>
    <t>7.53</t>
  </si>
  <si>
    <t>15,060.00</t>
  </si>
  <si>
    <t>21,032,796.00</t>
  </si>
  <si>
    <t>14,000,000.00</t>
  </si>
  <si>
    <t>7,032,796.00</t>
  </si>
  <si>
    <t>3347</t>
  </si>
  <si>
    <t>-211,200.00</t>
  </si>
  <si>
    <t>3348</t>
  </si>
  <si>
    <t>3349</t>
  </si>
  <si>
    <t>3350</t>
  </si>
  <si>
    <t>2,128.00</t>
  </si>
  <si>
    <t>2,971,964.80</t>
  </si>
  <si>
    <t>2,240,000.00</t>
  </si>
  <si>
    <t>731,964.80</t>
  </si>
  <si>
    <t>3351</t>
  </si>
  <si>
    <t>7,200</t>
  </si>
  <si>
    <t>1,900,800.00</t>
  </si>
  <si>
    <t>-1,900,800.00</t>
  </si>
  <si>
    <t>3352</t>
  </si>
  <si>
    <t>5,600</t>
  </si>
  <si>
    <t>3353</t>
  </si>
  <si>
    <t>TKBS12-I</t>
  </si>
  <si>
    <t>[사용X] 콜라겐 브라이트닝 아이 젤 크림</t>
  </si>
  <si>
    <t>2,412.00</t>
  </si>
  <si>
    <t>3,368,599.20</t>
  </si>
  <si>
    <t>1,128,599.20</t>
  </si>
  <si>
    <t>3354</t>
  </si>
  <si>
    <t>231,926.16</t>
  </si>
  <si>
    <t>174,600.00</t>
  </si>
  <si>
    <t>57,326.16</t>
  </si>
  <si>
    <t>IN00341808</t>
  </si>
  <si>
    <t>3355</t>
  </si>
  <si>
    <t>407,727.84</t>
  </si>
  <si>
    <t>313,800.00</t>
  </si>
  <si>
    <t>93,927.84</t>
  </si>
  <si>
    <t>3356</t>
  </si>
  <si>
    <t>BLC01-FRB</t>
  </si>
  <si>
    <t>(리브랜딩) 시카 베리어 젠틀 모닝 클렌저 120ml</t>
  </si>
  <si>
    <t>3.07</t>
  </si>
  <si>
    <t>614.00</t>
  </si>
  <si>
    <t>844,618.40</t>
  </si>
  <si>
    <t>709,200.00</t>
  </si>
  <si>
    <t>135,418.40</t>
  </si>
  <si>
    <t>3357</t>
  </si>
  <si>
    <t>541.20</t>
  </si>
  <si>
    <t>744,474.72</t>
  </si>
  <si>
    <t>561,600.00</t>
  </si>
  <si>
    <t>182,874.72</t>
  </si>
  <si>
    <t>3358</t>
  </si>
  <si>
    <t>3,780</t>
  </si>
  <si>
    <t>30,769.20</t>
  </si>
  <si>
    <t>42,326,111.52</t>
  </si>
  <si>
    <t>22,680,000.00</t>
  </si>
  <si>
    <t>19,646,111.52</t>
  </si>
  <si>
    <t>3359</t>
  </si>
  <si>
    <t>592.50</t>
  </si>
  <si>
    <t>815,043.00</t>
  </si>
  <si>
    <t>167,043.00</t>
  </si>
  <si>
    <t>3360</t>
  </si>
  <si>
    <t>9,285,300.00</t>
  </si>
  <si>
    <t>8,120,000.00</t>
  </si>
  <si>
    <t>1,165,300.00</t>
  </si>
  <si>
    <t>3361</t>
  </si>
  <si>
    <t>ES55-C60RR</t>
  </si>
  <si>
    <t>(23AD) 순정 2x 베리어 보습크림 60ml</t>
  </si>
  <si>
    <t>6,674.40</t>
  </si>
  <si>
    <t>9,181,304.64</t>
  </si>
  <si>
    <t>6,457.00</t>
  </si>
  <si>
    <t>6,973,560.00</t>
  </si>
  <si>
    <t>2,207,744.64</t>
  </si>
  <si>
    <t>3362</t>
  </si>
  <si>
    <t>234.00</t>
  </si>
  <si>
    <t>321,890.40</t>
  </si>
  <si>
    <t>210,264.00</t>
  </si>
  <si>
    <t>111,626.40</t>
  </si>
  <si>
    <t>3363</t>
  </si>
  <si>
    <t>211.92</t>
  </si>
  <si>
    <t>291,517.15</t>
  </si>
  <si>
    <t>99,517.15</t>
  </si>
  <si>
    <t>3364</t>
  </si>
  <si>
    <t>HBUC1-F</t>
  </si>
  <si>
    <t>살몬 케어링 센텔라 버블 폼클렌저 200ml</t>
  </si>
  <si>
    <t>389.76</t>
  </si>
  <si>
    <t>536,153.86</t>
  </si>
  <si>
    <t>7,182.00</t>
  </si>
  <si>
    <t>344,736.00</t>
  </si>
  <si>
    <t>191,417.86</t>
  </si>
  <si>
    <t>3365</t>
  </si>
  <si>
    <t>490,263.84</t>
  </si>
  <si>
    <t>364,095.00</t>
  </si>
  <si>
    <t>126,168.84</t>
  </si>
  <si>
    <t>3366</t>
  </si>
  <si>
    <t>13.76</t>
  </si>
  <si>
    <t>-9,586.24</t>
  </si>
  <si>
    <t>-69,687.7</t>
  </si>
  <si>
    <t>3367</t>
  </si>
  <si>
    <t>-1,714.24</t>
  </si>
  <si>
    <t>-12,461.8</t>
  </si>
  <si>
    <t>3368</t>
  </si>
  <si>
    <t>-2,623.24</t>
  </si>
  <si>
    <t>-19,069.8</t>
  </si>
  <si>
    <t>3369</t>
  </si>
  <si>
    <t>HBUP4-PK</t>
  </si>
  <si>
    <t>(단종)팥 포어 펩타민 워시 오프팩 100g</t>
  </si>
  <si>
    <t>292.32</t>
  </si>
  <si>
    <t>402,115.39</t>
  </si>
  <si>
    <t>263,466.00</t>
  </si>
  <si>
    <t>138,649.39</t>
  </si>
  <si>
    <t>3370</t>
  </si>
  <si>
    <t>420.21</t>
  </si>
  <si>
    <t>578,040.88</t>
  </si>
  <si>
    <t>366,597.00</t>
  </si>
  <si>
    <t>211,443.88</t>
  </si>
  <si>
    <t>3371</t>
  </si>
  <si>
    <t>263,702.52</t>
  </si>
  <si>
    <t>83,702.52</t>
  </si>
  <si>
    <t>3372</t>
  </si>
  <si>
    <t>HBUS1-T</t>
  </si>
  <si>
    <t>살몬 케어링 센텔라 토너 200ml</t>
  </si>
  <si>
    <t>482,147.80</t>
  </si>
  <si>
    <t>168,497.80</t>
  </si>
  <si>
    <t>3373</t>
  </si>
  <si>
    <t>HBUS2-C</t>
  </si>
  <si>
    <t>피톤 스쿠아 히알 블루 젤 크림 110ml</t>
  </si>
  <si>
    <t>367,010.08</t>
  </si>
  <si>
    <t>232,160.00</t>
  </si>
  <si>
    <t>134,850.08</t>
  </si>
  <si>
    <t>3374</t>
  </si>
  <si>
    <t>HBUS3-C</t>
  </si>
  <si>
    <t>펜타베리 판테놀 리페어 크림 50ml</t>
  </si>
  <si>
    <t>535.92</t>
  </si>
  <si>
    <t>737,211.55</t>
  </si>
  <si>
    <t>478,808.00</t>
  </si>
  <si>
    <t>258,403.55</t>
  </si>
  <si>
    <t>3375</t>
  </si>
  <si>
    <t>HBUS3-T</t>
  </si>
  <si>
    <t>[70매입] 펜타베리 판테놀 리페어 필 패드</t>
  </si>
  <si>
    <t>9.86</t>
  </si>
  <si>
    <t>354.96</t>
  </si>
  <si>
    <t>488,282.98</t>
  </si>
  <si>
    <t>164,282.98</t>
  </si>
  <si>
    <t>3376</t>
  </si>
  <si>
    <t>354,044.00</t>
  </si>
  <si>
    <t>-354,044.00</t>
  </si>
  <si>
    <t>3377</t>
  </si>
  <si>
    <t>HBUS4-AI</t>
  </si>
  <si>
    <t>블랙 유자 빈 리프팅 오토 아이크림 15ml</t>
  </si>
  <si>
    <t>1,521.90</t>
  </si>
  <si>
    <t>2,093,525.64</t>
  </si>
  <si>
    <t>1,364,580.00</t>
  </si>
  <si>
    <t>728,945.64</t>
  </si>
  <si>
    <t>3378</t>
  </si>
  <si>
    <t>HBUS4-I</t>
  </si>
  <si>
    <t>블랙 유자 빈 리프팅 아이크림 15ml</t>
  </si>
  <si>
    <t>3.47</t>
  </si>
  <si>
    <t>624.60</t>
  </si>
  <si>
    <t>859,199.76</t>
  </si>
  <si>
    <t>319,199.76</t>
  </si>
  <si>
    <t>3379</t>
  </si>
  <si>
    <t>HBUS4-S</t>
  </si>
  <si>
    <t>[단종] 블랙 유자 빈 스킨 부스터 세럼 42ml</t>
  </si>
  <si>
    <t>438.48</t>
  </si>
  <si>
    <t>603,173.09</t>
  </si>
  <si>
    <t>395,199.00</t>
  </si>
  <si>
    <t>207,974.09</t>
  </si>
  <si>
    <t>3380</t>
  </si>
  <si>
    <t>-5,800.00</t>
  </si>
  <si>
    <t>3381</t>
  </si>
  <si>
    <t>673.67</t>
  </si>
  <si>
    <t>926,700.45</t>
  </si>
  <si>
    <t>585,800.00</t>
  </si>
  <si>
    <t>340,900.45</t>
  </si>
  <si>
    <t>3382</t>
  </si>
  <si>
    <t>3,585.00</t>
  </si>
  <si>
    <t>4,931,526.00</t>
  </si>
  <si>
    <t>1,731,526.00</t>
  </si>
  <si>
    <t>3383</t>
  </si>
  <si>
    <t>2,045.00</t>
  </si>
  <si>
    <t>2,813,102.00</t>
  </si>
  <si>
    <t>938,102.00</t>
  </si>
  <si>
    <t>3384</t>
  </si>
  <si>
    <t>2,166,570.00</t>
  </si>
  <si>
    <t>591,570.00</t>
  </si>
  <si>
    <t>3385</t>
  </si>
  <si>
    <t>834.30</t>
  </si>
  <si>
    <t>1,147,663.08</t>
  </si>
  <si>
    <t>580,663.08</t>
  </si>
  <si>
    <t>50.6</t>
  </si>
  <si>
    <t>3386</t>
  </si>
  <si>
    <t>1,419,619.20</t>
  </si>
  <si>
    <t>927,600.00</t>
  </si>
  <si>
    <t>492,019.20</t>
  </si>
  <si>
    <t>3387</t>
  </si>
  <si>
    <t>ISNS11-GM</t>
  </si>
  <si>
    <t>알로에 수딩젤 촉촉한타임 150ML</t>
  </si>
  <si>
    <t>3.54</t>
  </si>
  <si>
    <t>389,569.92</t>
  </si>
  <si>
    <t>4,180.00</t>
  </si>
  <si>
    <t>334,400.00</t>
  </si>
  <si>
    <t>55,169.92</t>
  </si>
  <si>
    <t>14.2</t>
  </si>
  <si>
    <t>3388</t>
  </si>
  <si>
    <t>3,640.00</t>
  </si>
  <si>
    <t>5,007,184.00</t>
  </si>
  <si>
    <t>3389</t>
  </si>
  <si>
    <t>889,738.08</t>
  </si>
  <si>
    <t>663,600.00</t>
  </si>
  <si>
    <t>226,138.08</t>
  </si>
  <si>
    <t>3390</t>
  </si>
  <si>
    <t>853,559.80</t>
  </si>
  <si>
    <t>3391</t>
  </si>
  <si>
    <t>682.00</t>
  </si>
  <si>
    <t>938,159.20</t>
  </si>
  <si>
    <t>607,600.00</t>
  </si>
  <si>
    <t>330,559.20</t>
  </si>
  <si>
    <t>3392</t>
  </si>
  <si>
    <t>25,200</t>
  </si>
  <si>
    <t>2,520.00</t>
  </si>
  <si>
    <t>3,466,512.00</t>
  </si>
  <si>
    <t>946,512.00</t>
  </si>
  <si>
    <t>3393</t>
  </si>
  <si>
    <t>15,000</t>
  </si>
  <si>
    <t>2,063,400.00</t>
  </si>
  <si>
    <t>1,815,000.00</t>
  </si>
  <si>
    <t>3394</t>
  </si>
  <si>
    <t>3395</t>
  </si>
  <si>
    <t>PRS02-CTUs</t>
  </si>
  <si>
    <t>(샘플) 원더 릴리프 센텔라 토너 언센티드 1g</t>
  </si>
  <si>
    <t>8,144</t>
  </si>
  <si>
    <t>1,058.72</t>
  </si>
  <si>
    <t>1,456,375.23</t>
  </si>
  <si>
    <t>895,840.00</t>
  </si>
  <si>
    <t>560,535.23</t>
  </si>
  <si>
    <t>3396</t>
  </si>
  <si>
    <t>PRSM02-SCss</t>
  </si>
  <si>
    <t>(샘플) 원더 릴리프 센텔라 데일리 선 로션</t>
  </si>
  <si>
    <t>325.00</t>
  </si>
  <si>
    <t>447,070.00</t>
  </si>
  <si>
    <t>172,070.00</t>
  </si>
  <si>
    <t>3397</t>
  </si>
  <si>
    <t>PYS01-ET30</t>
  </si>
  <si>
    <t>(변경예정) (미니어쳐) 에센스 토너 30ml</t>
  </si>
  <si>
    <t>1.18</t>
  </si>
  <si>
    <t>1,062.00</t>
  </si>
  <si>
    <t>1,460,887.20</t>
  </si>
  <si>
    <t>437.78</t>
  </si>
  <si>
    <t>394,000.00</t>
  </si>
  <si>
    <t>1,066,887.20</t>
  </si>
  <si>
    <t>73.0</t>
  </si>
  <si>
    <t>3398</t>
  </si>
  <si>
    <t>2,971,296.00</t>
  </si>
  <si>
    <t>1,070,496.00</t>
  </si>
  <si>
    <t>3399</t>
  </si>
  <si>
    <t>3400</t>
  </si>
  <si>
    <t>0.37</t>
  </si>
  <si>
    <t>2,368.00</t>
  </si>
  <si>
    <t>3,257,420.80</t>
  </si>
  <si>
    <t>1,567,820.80</t>
  </si>
  <si>
    <t>3401</t>
  </si>
  <si>
    <t>7,128.00</t>
  </si>
  <si>
    <t>9,805,276.80</t>
  </si>
  <si>
    <t>7,904,476.80</t>
  </si>
  <si>
    <t>80.6</t>
  </si>
  <si>
    <t>3402</t>
  </si>
  <si>
    <t>659.40</t>
  </si>
  <si>
    <t>907,070.64</t>
  </si>
  <si>
    <t>686,000.00</t>
  </si>
  <si>
    <t>221,070.64</t>
  </si>
  <si>
    <t>3403</t>
  </si>
  <si>
    <t>990,432.00</t>
  </si>
  <si>
    <t>356,832.00</t>
  </si>
  <si>
    <t>3404</t>
  </si>
  <si>
    <t>1,650,720.00</t>
  </si>
  <si>
    <t>594,720.00</t>
  </si>
  <si>
    <t>3405</t>
  </si>
  <si>
    <t>3406</t>
  </si>
  <si>
    <t>1.38</t>
  </si>
  <si>
    <t>341,699.04</t>
  </si>
  <si>
    <t>265,140.00</t>
  </si>
  <si>
    <t>76,559.04</t>
  </si>
  <si>
    <t>3407</t>
  </si>
  <si>
    <t>829.44</t>
  </si>
  <si>
    <t>1,140,977.66</t>
  </si>
  <si>
    <t>871,992.00</t>
  </si>
  <si>
    <t>268,985.66</t>
  </si>
  <si>
    <t>3408</t>
  </si>
  <si>
    <t>320,239.68</t>
  </si>
  <si>
    <t>244,368.00</t>
  </si>
  <si>
    <t>75,871.68</t>
  </si>
  <si>
    <t>3409</t>
  </si>
  <si>
    <t>TKBS02-SSampler</t>
  </si>
  <si>
    <t>[바코드변경][샘플] 비피다 바이옴 에센스 1ml</t>
  </si>
  <si>
    <t>0.12</t>
  </si>
  <si>
    <t>1,800.00</t>
  </si>
  <si>
    <t>2,476,080.00</t>
  </si>
  <si>
    <t>226,080.00</t>
  </si>
  <si>
    <t>3410</t>
  </si>
  <si>
    <t>TKBS04-TSample</t>
  </si>
  <si>
    <t>[샘플] 코코넛 클레이 클렌징폼 2ml</t>
  </si>
  <si>
    <t>15,131.60</t>
  </si>
  <si>
    <t>-149,868.40</t>
  </si>
  <si>
    <t>-990.4</t>
  </si>
  <si>
    <t>3411</t>
  </si>
  <si>
    <t>TKBS12-TSampler</t>
  </si>
  <si>
    <t>[샘플]콜라겐 브라이트닝 아이 젤 크림 2ml</t>
  </si>
  <si>
    <t>5,100</t>
  </si>
  <si>
    <t>841,867.20</t>
  </si>
  <si>
    <t>76,867.20</t>
  </si>
  <si>
    <t>3412</t>
  </si>
  <si>
    <t>150,720.00</t>
  </si>
  <si>
    <t>3413</t>
  </si>
  <si>
    <t>TKBS13-T</t>
  </si>
  <si>
    <t>시카 카밍 아쿠아 토너 200ml</t>
  </si>
  <si>
    <t>4.87</t>
  </si>
  <si>
    <t>730.50</t>
  </si>
  <si>
    <t>1,004,875.80</t>
  </si>
  <si>
    <t>164,875.80</t>
  </si>
  <si>
    <t>3414</t>
  </si>
  <si>
    <t>TKBSM05-TSample</t>
  </si>
  <si>
    <t>[샘플] 비타 톤업 선크림 SPF50+ PA++++ 1.5ml</t>
  </si>
  <si>
    <t>1,788,280.00</t>
  </si>
  <si>
    <t>288,280.00</t>
  </si>
  <si>
    <t>3415</t>
  </si>
  <si>
    <t>VTS21-S100</t>
  </si>
  <si>
    <t>리들샷100</t>
  </si>
  <si>
    <t>1,008</t>
  </si>
  <si>
    <t>11,259.36</t>
  </si>
  <si>
    <t>15,488,375.62</t>
  </si>
  <si>
    <t>10,473.00</t>
  </si>
  <si>
    <t>10,556,784.00</t>
  </si>
  <si>
    <t>4,931,591.62</t>
  </si>
  <si>
    <t>3416</t>
  </si>
  <si>
    <t>15,120.00</t>
  </si>
  <si>
    <t>20,799,072.00</t>
  </si>
  <si>
    <t>8,903.83</t>
  </si>
  <si>
    <t>8,975,064.00</t>
  </si>
  <si>
    <t>11,824,008.00</t>
  </si>
  <si>
    <t>3417</t>
  </si>
  <si>
    <t>WDBS98-HNm30</t>
  </si>
  <si>
    <t>퍼퓸 핸드크림 미니어쳐 No.30 화이트 머스크 20ml</t>
  </si>
  <si>
    <t>725.40</t>
  </si>
  <si>
    <t>997,860.24</t>
  </si>
  <si>
    <t>803,520.00</t>
  </si>
  <si>
    <t>194,340.24</t>
  </si>
  <si>
    <t>3418</t>
  </si>
  <si>
    <t>3419</t>
  </si>
  <si>
    <t>2025-04-16</t>
  </si>
  <si>
    <t>DMYCM02-LP03</t>
  </si>
  <si>
    <t>라 피스테 립 틴트 LP03 로맨틱 4.1g</t>
  </si>
  <si>
    <t>디어메이</t>
  </si>
  <si>
    <t>3,910.00</t>
  </si>
  <si>
    <t>11,730.00</t>
  </si>
  <si>
    <t>-11,730.00</t>
  </si>
  <si>
    <t>IN00331142</t>
  </si>
  <si>
    <t>3420</t>
  </si>
  <si>
    <t>DMYCM02-LP05</t>
  </si>
  <si>
    <t>라 피스테 립 틴트 LP05 스태리 4.1g</t>
  </si>
  <si>
    <t>3421</t>
  </si>
  <si>
    <t>DMYCM04-LLP02</t>
  </si>
  <si>
    <t>2in1 플럼피 립라이너 P02피오니핑크</t>
  </si>
  <si>
    <t>2,546.00</t>
  </si>
  <si>
    <t>7,638.00</t>
  </si>
  <si>
    <t>-7,638.00</t>
  </si>
  <si>
    <t>3422</t>
  </si>
  <si>
    <t>DMYCM04-LLP03</t>
  </si>
  <si>
    <t>2in1 플럼피 립라이너 P03 소프트피치</t>
  </si>
  <si>
    <t>3423</t>
  </si>
  <si>
    <t>DMYCM05-CBLR04</t>
  </si>
  <si>
    <t>로스트리본 치크밤 LR04 로지 트루스 4g</t>
  </si>
  <si>
    <t>3,819.00</t>
  </si>
  <si>
    <t>11,457.00</t>
  </si>
  <si>
    <t>-11,457.00</t>
  </si>
  <si>
    <t>3424</t>
  </si>
  <si>
    <t>DMYCM05-LR01</t>
  </si>
  <si>
    <t>로스트리본 블러 틴트 LR01 로즈샤인 3.3g</t>
  </si>
  <si>
    <t>3425</t>
  </si>
  <si>
    <t>DMYCM05-LR05</t>
  </si>
  <si>
    <t>로스트리본 블러 틴트 LR05 스필티 3.3g</t>
  </si>
  <si>
    <t>3426</t>
  </si>
  <si>
    <t>DMYCM06-I01</t>
  </si>
  <si>
    <t>크런치 팝 슬림 펜 아이라이너 01 블랙</t>
  </si>
  <si>
    <t>2,819.00</t>
  </si>
  <si>
    <t>8,457.00</t>
  </si>
  <si>
    <t>-8,457.00</t>
  </si>
  <si>
    <t>3427</t>
  </si>
  <si>
    <t>DMYCM06-I02</t>
  </si>
  <si>
    <t>크런치 팝 슬림 펜 아이라이너 02 브라운</t>
  </si>
  <si>
    <t>3428</t>
  </si>
  <si>
    <t>DMYCM06-LB01</t>
  </si>
  <si>
    <t>시리얼 팝 밤 01 베리미</t>
  </si>
  <si>
    <t>3429</t>
  </si>
  <si>
    <t>DMYCM06-LB02</t>
  </si>
  <si>
    <t>시리얼 팝 밤 02 허니칩스</t>
  </si>
  <si>
    <t>3430</t>
  </si>
  <si>
    <t>DMYCM07-LP03</t>
  </si>
  <si>
    <t>퓨어 폴링 무드 립 팟 #03 어리틀노트 6.5g</t>
  </si>
  <si>
    <t>14,730.00</t>
  </si>
  <si>
    <t>-14,730.00</t>
  </si>
  <si>
    <t>3431</t>
  </si>
  <si>
    <t>DMYCM07-LP06</t>
  </si>
  <si>
    <t>퓨어 폴링 무드 립 팟 #06 큐티스트페어스 6.5g</t>
  </si>
  <si>
    <t>3432</t>
  </si>
  <si>
    <t>66,676,800.00</t>
  </si>
  <si>
    <t>56,550,000.00</t>
  </si>
  <si>
    <t>10,126,800.00</t>
  </si>
  <si>
    <t>3433</t>
  </si>
  <si>
    <t>16,800.00</t>
  </si>
  <si>
    <t>-16,800.00</t>
  </si>
  <si>
    <t>3434</t>
  </si>
  <si>
    <t>501.60</t>
  </si>
  <si>
    <t>720,799.20</t>
  </si>
  <si>
    <t>115,999.20</t>
  </si>
  <si>
    <t>3435</t>
  </si>
  <si>
    <t>6,780.00</t>
  </si>
  <si>
    <t>9,742,860.00</t>
  </si>
  <si>
    <t>1,552,860.00</t>
  </si>
  <si>
    <t>3436</t>
  </si>
  <si>
    <t>5,424.00</t>
  </si>
  <si>
    <t>7,794,288.00</t>
  </si>
  <si>
    <t>6,552,000.00</t>
  </si>
  <si>
    <t>1,242,288.00</t>
  </si>
  <si>
    <t>3437</t>
  </si>
  <si>
    <t>JSMP01-M10</t>
  </si>
  <si>
    <t>(리뉴얼코드사용)[10매입] 병풀 진정 마스크</t>
  </si>
  <si>
    <t>15,686.00</t>
  </si>
  <si>
    <t>22,540,782.00</t>
  </si>
  <si>
    <t>15,400,000.00</t>
  </si>
  <si>
    <t>7,140,782.00</t>
  </si>
  <si>
    <t>3438</t>
  </si>
  <si>
    <t>13,493,430.00</t>
  </si>
  <si>
    <t>2,153,430.00</t>
  </si>
  <si>
    <t>3439</t>
  </si>
  <si>
    <t>6,483,744.00</t>
  </si>
  <si>
    <t>5,443,200.00</t>
  </si>
  <si>
    <t>1,040,544.00</t>
  </si>
  <si>
    <t>3440</t>
  </si>
  <si>
    <t>17,702.00</t>
  </si>
  <si>
    <t>25,437,774.00</t>
  </si>
  <si>
    <t>21,369,600.00</t>
  </si>
  <si>
    <t>4,068,174.00</t>
  </si>
  <si>
    <t>3441</t>
  </si>
  <si>
    <t>5,678.40</t>
  </si>
  <si>
    <t>8,159,860.80</t>
  </si>
  <si>
    <t>6,854,400.00</t>
  </si>
  <si>
    <t>1,305,460.80</t>
  </si>
  <si>
    <t>3442</t>
  </si>
  <si>
    <t>23,443.20</t>
  </si>
  <si>
    <t>33,687,878.40</t>
  </si>
  <si>
    <t>28,274,400.00</t>
  </si>
  <si>
    <t>5,413,478.40</t>
  </si>
  <si>
    <t>3443</t>
  </si>
  <si>
    <t>2,960.00</t>
  </si>
  <si>
    <t>4,253,520.00</t>
  </si>
  <si>
    <t>3,570,000.00</t>
  </si>
  <si>
    <t>683,520.00</t>
  </si>
  <si>
    <t>3444</t>
  </si>
  <si>
    <t>23,680.00</t>
  </si>
  <si>
    <t>34,028,160.00</t>
  </si>
  <si>
    <t>28,560,000.00</t>
  </si>
  <si>
    <t>5,468,160.00</t>
  </si>
  <si>
    <t>3445</t>
  </si>
  <si>
    <t>8,288.00</t>
  </si>
  <si>
    <t>11,909,856.00</t>
  </si>
  <si>
    <t>5,916.00</t>
  </si>
  <si>
    <t>8,282,400.00</t>
  </si>
  <si>
    <t>3,627,456.00</t>
  </si>
  <si>
    <t>3446</t>
  </si>
  <si>
    <t>1,520</t>
  </si>
  <si>
    <t>12,692.00</t>
  </si>
  <si>
    <t>18,238,404.00</t>
  </si>
  <si>
    <t>15,321,600.00</t>
  </si>
  <si>
    <t>2,916,804.00</t>
  </si>
  <si>
    <t>3447</t>
  </si>
  <si>
    <t>2,504.00</t>
  </si>
  <si>
    <t>3,598,248.00</t>
  </si>
  <si>
    <t>3,024,000.00</t>
  </si>
  <si>
    <t>574,248.00</t>
  </si>
  <si>
    <t>3448</t>
  </si>
  <si>
    <t>2,253.60</t>
  </si>
  <si>
    <t>3,238,423.20</t>
  </si>
  <si>
    <t>2,721,600.00</t>
  </si>
  <si>
    <t>516,823.20</t>
  </si>
  <si>
    <t>3449</t>
  </si>
  <si>
    <t>2,841.60</t>
  </si>
  <si>
    <t>4,083,379.20</t>
  </si>
  <si>
    <t>3,427,200.00</t>
  </si>
  <si>
    <t>656,179.20</t>
  </si>
  <si>
    <t>3450</t>
  </si>
  <si>
    <t>10,016.00</t>
  </si>
  <si>
    <t>14,392,992.00</t>
  </si>
  <si>
    <t>12,096,000.00</t>
  </si>
  <si>
    <t>2,296,992.00</t>
  </si>
  <si>
    <t>3451</t>
  </si>
  <si>
    <t>10,200</t>
  </si>
  <si>
    <t>63,852.00</t>
  </si>
  <si>
    <t>91,755,324.00</t>
  </si>
  <si>
    <t>77,112,000.00</t>
  </si>
  <si>
    <t>14,643,324.00</t>
  </si>
  <si>
    <t>3452</t>
  </si>
  <si>
    <t>12,770.40</t>
  </si>
  <si>
    <t>18,351,064.80</t>
  </si>
  <si>
    <t>15,422,400.00</t>
  </si>
  <si>
    <t>2,928,664.80</t>
  </si>
  <si>
    <t>3453</t>
  </si>
  <si>
    <t>98.96</t>
  </si>
  <si>
    <t>1,979.20</t>
  </si>
  <si>
    <t>2,844,110.40</t>
  </si>
  <si>
    <t>594,110.40</t>
  </si>
  <si>
    <t>3454</t>
  </si>
  <si>
    <t>3455</t>
  </si>
  <si>
    <t>50.06</t>
  </si>
  <si>
    <t>1,501.80</t>
  </si>
  <si>
    <t>2,158,086.60</t>
  </si>
  <si>
    <t>433,086.60</t>
  </si>
  <si>
    <t>3456</t>
  </si>
  <si>
    <t>3457</t>
  </si>
  <si>
    <t>MMS01-Sample02</t>
  </si>
  <si>
    <t>(단종) 콜라겐 라인 3Step 샤쉐 (클렌징폼 1.5g+세럼1.5g+로션1.5g)</t>
  </si>
  <si>
    <t>224,172.00</t>
  </si>
  <si>
    <t>3458</t>
  </si>
  <si>
    <t>-80,000.00</t>
  </si>
  <si>
    <t>3459</t>
  </si>
  <si>
    <t>-78,000.00</t>
  </si>
  <si>
    <t>3460</t>
  </si>
  <si>
    <t>TKBM10-CU19W</t>
  </si>
  <si>
    <t>애플 듀이 핏 쿠션 19 크림</t>
  </si>
  <si>
    <t>7,020.00</t>
  </si>
  <si>
    <t>21,060.00</t>
  </si>
  <si>
    <t>-21,060.00</t>
  </si>
  <si>
    <t>3461</t>
  </si>
  <si>
    <t>3462</t>
  </si>
  <si>
    <t>TKBM10-CU21W</t>
  </si>
  <si>
    <t>애플 듀이 핏 쿠션 21W 바닐라</t>
  </si>
  <si>
    <t>3463</t>
  </si>
  <si>
    <t>TKBM10-CU23H</t>
  </si>
  <si>
    <t>애플 듀이 핏 쿠션 23 허니</t>
  </si>
  <si>
    <t>3464</t>
  </si>
  <si>
    <t>TKBM10-CU27T</t>
  </si>
  <si>
    <t>애플 듀이 핏 쿠션 27 토스트</t>
  </si>
  <si>
    <t>3465</t>
  </si>
  <si>
    <t>2025-04-10</t>
  </si>
  <si>
    <t>92,800.00</t>
  </si>
  <si>
    <t>133,335,040.00</t>
  </si>
  <si>
    <t>113,100,000.00</t>
  </si>
  <si>
    <t>20,235,040.00</t>
  </si>
  <si>
    <t>IN00330947</t>
  </si>
  <si>
    <t>3466</t>
  </si>
  <si>
    <t>2025-04-04</t>
  </si>
  <si>
    <t>25,368.00</t>
  </si>
  <si>
    <t>36,144,326.40</t>
  </si>
  <si>
    <t>28,728,000.00</t>
  </si>
  <si>
    <t>7,416,326.40</t>
  </si>
  <si>
    <t>IN00327604</t>
  </si>
  <si>
    <t>3467</t>
  </si>
  <si>
    <t>5,184.00</t>
  </si>
  <si>
    <t>7,386,163.20</t>
  </si>
  <si>
    <t>5,897,400.00</t>
  </si>
  <si>
    <t>1,488,763.20</t>
  </si>
  <si>
    <t>3468</t>
  </si>
  <si>
    <t>10.49</t>
  </si>
  <si>
    <t>21,399.60</t>
  </si>
  <si>
    <t>30,490,150.08</t>
  </si>
  <si>
    <t>24,480,000.00</t>
  </si>
  <si>
    <t>6,010,150.08</t>
  </si>
  <si>
    <t>3469</t>
  </si>
  <si>
    <t>10.16</t>
  </si>
  <si>
    <t>2,844.80</t>
  </si>
  <si>
    <t>4,053,271.04</t>
  </si>
  <si>
    <t>3,220,000.00</t>
  </si>
  <si>
    <t>833,271.04</t>
  </si>
  <si>
    <t>3470</t>
  </si>
  <si>
    <t>8,716.80</t>
  </si>
  <si>
    <t>12,419,696.64</t>
  </si>
  <si>
    <t>9,936,000.00</t>
  </si>
  <si>
    <t>2,483,696.64</t>
  </si>
  <si>
    <t>3471</t>
  </si>
  <si>
    <t>1,706.40</t>
  </si>
  <si>
    <t>2,431,278.72</t>
  </si>
  <si>
    <t>1,908,000.00</t>
  </si>
  <si>
    <t>523,278.72</t>
  </si>
  <si>
    <t>3472</t>
  </si>
  <si>
    <t>12,200</t>
  </si>
  <si>
    <t>3,172.00</t>
  </si>
  <si>
    <t>4,519,465.60</t>
  </si>
  <si>
    <t>117,564.00</t>
  </si>
  <si>
    <t>4,401,901.60</t>
  </si>
  <si>
    <t>97.4</t>
  </si>
  <si>
    <t>3473</t>
  </si>
  <si>
    <t>572.00</t>
  </si>
  <si>
    <t>814,985.60</t>
  </si>
  <si>
    <t>3474</t>
  </si>
  <si>
    <t>MMS01-Sample03</t>
  </si>
  <si>
    <t>(단종) 브라이트닝 라인 3Step 샤쉐 (클렌징 폼 1.5g+세럼 1.5g+아이크림 1.5g)</t>
  </si>
  <si>
    <t>2,444,956.80</t>
  </si>
  <si>
    <t>1,920,600.00</t>
  </si>
  <si>
    <t>524,356.80</t>
  </si>
  <si>
    <t>3475</t>
  </si>
  <si>
    <t>14,200</t>
  </si>
  <si>
    <t>1,420.00</t>
  </si>
  <si>
    <t>2,023,216.00</t>
  </si>
  <si>
    <t>1,420,000.00</t>
  </si>
  <si>
    <t>603,216.00</t>
  </si>
  <si>
    <t>3476</t>
  </si>
  <si>
    <t>3477</t>
  </si>
  <si>
    <t>PRS01-DCs</t>
  </si>
  <si>
    <t>(샘플) 하이드로 웨이브 딥 씨 크림</t>
  </si>
  <si>
    <t>1,667,016.00</t>
  </si>
  <si>
    <t>677,016.00</t>
  </si>
  <si>
    <t>3478</t>
  </si>
  <si>
    <t>11,000</t>
  </si>
  <si>
    <t>1,430.00</t>
  </si>
  <si>
    <t>2,037,464.00</t>
  </si>
  <si>
    <t>827,464.00</t>
  </si>
  <si>
    <t>3479</t>
  </si>
  <si>
    <t>PRSM13-SCs</t>
  </si>
  <si>
    <t>(샘플) 데일리 소프트 터치 선크림</t>
  </si>
  <si>
    <t>1,852,240.00</t>
  </si>
  <si>
    <t>752,240.00</t>
  </si>
  <si>
    <t>3480</t>
  </si>
  <si>
    <t>1,624.00</t>
  </si>
  <si>
    <t>2,313,875.20</t>
  </si>
  <si>
    <t>1,478,400.00</t>
  </si>
  <si>
    <t>835,475.20</t>
  </si>
  <si>
    <t>3481</t>
  </si>
  <si>
    <t>11,200</t>
  </si>
  <si>
    <t>3,248.00</t>
  </si>
  <si>
    <t>4,627,750.40</t>
  </si>
  <si>
    <t>2,956,800.00</t>
  </si>
  <si>
    <t>1,670,950.40</t>
  </si>
  <si>
    <t>3482</t>
  </si>
  <si>
    <t>3,153</t>
  </si>
  <si>
    <t>0.36</t>
  </si>
  <si>
    <t>1,135.08</t>
  </si>
  <si>
    <t>1,617,261.98</t>
  </si>
  <si>
    <t>832,392.00</t>
  </si>
  <si>
    <t>784,869.98</t>
  </si>
  <si>
    <t>3483</t>
  </si>
  <si>
    <t>1,782</t>
  </si>
  <si>
    <t>0.97</t>
  </si>
  <si>
    <t>1,728.54</t>
  </si>
  <si>
    <t>2,462,823.79</t>
  </si>
  <si>
    <t>470,448.00</t>
  </si>
  <si>
    <t>1,992,375.79</t>
  </si>
  <si>
    <t>3484</t>
  </si>
  <si>
    <t>2,328.00</t>
  </si>
  <si>
    <t>3,316,934.40</t>
  </si>
  <si>
    <t>2,683,334.40</t>
  </si>
  <si>
    <t>3485</t>
  </si>
  <si>
    <t>928.00</t>
  </si>
  <si>
    <t>1,322,214.40</t>
  </si>
  <si>
    <t>477,414.40</t>
  </si>
  <si>
    <t>3486</t>
  </si>
  <si>
    <t>1,392.00</t>
  </si>
  <si>
    <t>1,983,321.60</t>
  </si>
  <si>
    <t>1,267,200.00</t>
  </si>
  <si>
    <t>716,121.60</t>
  </si>
  <si>
    <t>3487</t>
  </si>
  <si>
    <t>RLC03-Fps</t>
  </si>
  <si>
    <t>(샘플) 해풍 쑥 진정 클렌저 2ml</t>
  </si>
  <si>
    <t>0.08</t>
  </si>
  <si>
    <t>248.00</t>
  </si>
  <si>
    <t>353,350.40</t>
  </si>
  <si>
    <t>3488</t>
  </si>
  <si>
    <t>TKBS07-TSampler</t>
  </si>
  <si>
    <t>[샘플]비타 베리 포어 토너 2ml</t>
  </si>
  <si>
    <t>312.00</t>
  </si>
  <si>
    <t>444,537.60</t>
  </si>
  <si>
    <t>390,000.00</t>
  </si>
  <si>
    <t>54,537.60</t>
  </si>
  <si>
    <t>3489</t>
  </si>
  <si>
    <t>3490</t>
  </si>
  <si>
    <t>9,600</t>
  </si>
  <si>
    <t>1,248.00</t>
  </si>
  <si>
    <t>1,778,150.40</t>
  </si>
  <si>
    <t>338,150.40</t>
  </si>
  <si>
    <t>3491</t>
  </si>
  <si>
    <t>92,612.00</t>
  </si>
  <si>
    <t>75,000.00</t>
  </si>
  <si>
    <t>17,612.00</t>
  </si>
  <si>
    <t>3492</t>
  </si>
  <si>
    <t>TKBSM05-TSampler</t>
  </si>
  <si>
    <t>[바코드변경][샘플]비타 톤업 선크림 SPF50+ PA++++ 1.5ml</t>
  </si>
  <si>
    <t>2,500,000.00</t>
  </si>
  <si>
    <t>-647,760.00</t>
  </si>
  <si>
    <t>-35.0</t>
  </si>
  <si>
    <t>3493</t>
  </si>
  <si>
    <t>2025-04-03</t>
  </si>
  <si>
    <t>HLSS01-PRSET</t>
  </si>
  <si>
    <t>Variable PR Kits (2)</t>
  </si>
  <si>
    <t>IN00326238</t>
  </si>
  <si>
    <t>3494</t>
  </si>
  <si>
    <t>6,177.60</t>
  </si>
  <si>
    <t>8,801,844.48</t>
  </si>
  <si>
    <t>257.73</t>
  </si>
  <si>
    <t>226,800.00</t>
  </si>
  <si>
    <t>8,575,044.48</t>
  </si>
  <si>
    <t>3495</t>
  </si>
  <si>
    <t>3,088.80</t>
  </si>
  <si>
    <t>4,400,922.24</t>
  </si>
  <si>
    <t>3,696,000.00</t>
  </si>
  <si>
    <t>704,922.24</t>
  </si>
  <si>
    <t>3496</t>
  </si>
  <si>
    <t>842.40</t>
  </si>
  <si>
    <t>1,200,251.52</t>
  </si>
  <si>
    <t>192,251.52</t>
  </si>
  <si>
    <t>3497</t>
  </si>
  <si>
    <t>4.21</t>
  </si>
  <si>
    <t>1,684.00</t>
  </si>
  <si>
    <t>2,399,363.20</t>
  </si>
  <si>
    <t>383,363.20</t>
  </si>
  <si>
    <t>3498</t>
  </si>
  <si>
    <t>6,019.20</t>
  </si>
  <si>
    <t>8,576,156.16</t>
  </si>
  <si>
    <t>7,207,200.00</t>
  </si>
  <si>
    <t>1,368,956.16</t>
  </si>
  <si>
    <t>3499</t>
  </si>
  <si>
    <t>2,736.00</t>
  </si>
  <si>
    <t>3,898,252.80</t>
  </si>
  <si>
    <t>622,252.80</t>
  </si>
  <si>
    <t>3500</t>
  </si>
  <si>
    <t>287.60</t>
  </si>
  <si>
    <t>409,772.48</t>
  </si>
  <si>
    <t>129,772.48</t>
  </si>
  <si>
    <t>3501</t>
  </si>
  <si>
    <t>13,507,104.00</t>
  </si>
  <si>
    <t>2,167,104.00</t>
  </si>
  <si>
    <t>3502</t>
  </si>
  <si>
    <t>20,208.00</t>
  </si>
  <si>
    <t>28,792,358.40</t>
  </si>
  <si>
    <t>24,192,000.00</t>
  </si>
  <si>
    <t>4,600,358.40</t>
  </si>
  <si>
    <t>3503</t>
  </si>
  <si>
    <t>11.93</t>
  </si>
  <si>
    <t>21,474.00</t>
  </si>
  <si>
    <t>30,596,155.20</t>
  </si>
  <si>
    <t>4,892,155.20</t>
  </si>
  <si>
    <t>3504</t>
  </si>
  <si>
    <t>7,080</t>
  </si>
  <si>
    <t>42,267.60</t>
  </si>
  <si>
    <t>60,222,876.48</t>
  </si>
  <si>
    <t>50,551,200.00</t>
  </si>
  <si>
    <t>9,671,676.48</t>
  </si>
  <si>
    <t>3505</t>
  </si>
  <si>
    <t>5,970.00</t>
  </si>
  <si>
    <t>8,506,056.00</t>
  </si>
  <si>
    <t>1,366,056.00</t>
  </si>
  <si>
    <t>3506</t>
  </si>
  <si>
    <t>4,179.00</t>
  </si>
  <si>
    <t>5,954,239.20</t>
  </si>
  <si>
    <t>956,239.20</t>
  </si>
  <si>
    <t>3507</t>
  </si>
  <si>
    <t>11,123.20</t>
  </si>
  <si>
    <t>15,848,335.36</t>
  </si>
  <si>
    <t>5,519.66</t>
  </si>
  <si>
    <t>9,714,600.00</t>
  </si>
  <si>
    <t>6,133,735.36</t>
  </si>
  <si>
    <t>3508</t>
  </si>
  <si>
    <t>5,042,652.16</t>
  </si>
  <si>
    <t>809,052.16</t>
  </si>
  <si>
    <t>3509</t>
  </si>
  <si>
    <t>5,056.00</t>
  </si>
  <si>
    <t>7,203,788.80</t>
  </si>
  <si>
    <t>1,155,788.80</t>
  </si>
  <si>
    <t>3510</t>
  </si>
  <si>
    <t>13,080</t>
  </si>
  <si>
    <t>82,665.60</t>
  </si>
  <si>
    <t>117,781,946.88</t>
  </si>
  <si>
    <t>98,884,800.00</t>
  </si>
  <si>
    <t>18,897,146.88</t>
  </si>
  <si>
    <t>3511</t>
  </si>
  <si>
    <t>3,520</t>
  </si>
  <si>
    <t>31,891.20</t>
  </si>
  <si>
    <t>45,438,581.76</t>
  </si>
  <si>
    <t>36,115,200.00</t>
  </si>
  <si>
    <t>9,323,381.76</t>
  </si>
  <si>
    <t>3512</t>
  </si>
  <si>
    <t>2,194,192.00</t>
  </si>
  <si>
    <t>426,192.00</t>
  </si>
  <si>
    <t>3513</t>
  </si>
  <si>
    <t>1,066.00</t>
  </si>
  <si>
    <t>1,518,836.80</t>
  </si>
  <si>
    <t>1,245,000.00</t>
  </si>
  <si>
    <t>273,836.80</t>
  </si>
  <si>
    <t>3514</t>
  </si>
  <si>
    <t>3515</t>
  </si>
  <si>
    <t>2,235.20</t>
  </si>
  <si>
    <t>3,184,712.96</t>
  </si>
  <si>
    <t>654,712.96</t>
  </si>
  <si>
    <t>3516</t>
  </si>
  <si>
    <t>6,537.60</t>
  </si>
  <si>
    <t>9,314,772.48</t>
  </si>
  <si>
    <t>7,452,000.00</t>
  </si>
  <si>
    <t>1,862,772.48</t>
  </si>
  <si>
    <t>3517</t>
  </si>
  <si>
    <t>2025-03-25</t>
  </si>
  <si>
    <t>9.47</t>
  </si>
  <si>
    <t>47,350.00</t>
  </si>
  <si>
    <t>66,735,090.00</t>
  </si>
  <si>
    <t>10,185,090.00</t>
  </si>
  <si>
    <t>IN00322708</t>
  </si>
  <si>
    <t>3518</t>
  </si>
  <si>
    <t>2025-03-20</t>
  </si>
  <si>
    <t>AbibC11-OCr</t>
  </si>
  <si>
    <t>(리뉴얼코드확인) 포어 클렌징오일_어성초 오일 워시 200ml (2023)</t>
  </si>
  <si>
    <t>IN00324063</t>
  </si>
  <si>
    <t>3519</t>
  </si>
  <si>
    <t>-33,600.00</t>
  </si>
  <si>
    <t>3520</t>
  </si>
  <si>
    <t>3.91</t>
  </si>
  <si>
    <t>2,127.04</t>
  </si>
  <si>
    <t>3,024,438.18</t>
  </si>
  <si>
    <t>2,448,000.00</t>
  </si>
  <si>
    <t>576,438.18</t>
  </si>
  <si>
    <t>3521</t>
  </si>
  <si>
    <t>492.66</t>
  </si>
  <si>
    <t>700,513.25</t>
  </si>
  <si>
    <t>133,513.25</t>
  </si>
  <si>
    <t>3522</t>
  </si>
  <si>
    <t>APLBP1-M</t>
  </si>
  <si>
    <t>(운영X,10매입운영) (1매) 글루타치온 나이아신아마이드 시트 마스크</t>
  </si>
  <si>
    <t>378.00</t>
  </si>
  <si>
    <t>537,478.20</t>
  </si>
  <si>
    <t>87,478.20</t>
  </si>
  <si>
    <t>3523</t>
  </si>
  <si>
    <t>3.94</t>
  </si>
  <si>
    <t>204.88</t>
  </si>
  <si>
    <t>291,318.87</t>
  </si>
  <si>
    <t>31,318.87</t>
  </si>
  <si>
    <t>10.8</t>
  </si>
  <si>
    <t>3524</t>
  </si>
  <si>
    <t>1,111,925.80</t>
  </si>
  <si>
    <t>211,925.80</t>
  </si>
  <si>
    <t>3525</t>
  </si>
  <si>
    <t>375.36</t>
  </si>
  <si>
    <t>533,724.38</t>
  </si>
  <si>
    <t>101,724.38</t>
  </si>
  <si>
    <t>3526</t>
  </si>
  <si>
    <t>406.64</t>
  </si>
  <si>
    <t>578,201.42</t>
  </si>
  <si>
    <t>110,201.42</t>
  </si>
  <si>
    <t>3527</t>
  </si>
  <si>
    <t>281.52</t>
  </si>
  <si>
    <t>400,293.29</t>
  </si>
  <si>
    <t>76,293.29</t>
  </si>
  <si>
    <t>3528</t>
  </si>
  <si>
    <t>226.78</t>
  </si>
  <si>
    <t>322,458.48</t>
  </si>
  <si>
    <t>261,000.00</t>
  </si>
  <si>
    <t>61,458.48</t>
  </si>
  <si>
    <t>3529</t>
  </si>
  <si>
    <t>1,564.00</t>
  </si>
  <si>
    <t>2,223,851.60</t>
  </si>
  <si>
    <t>423,851.60</t>
  </si>
  <si>
    <t>3530</t>
  </si>
  <si>
    <t>1,126.08</t>
  </si>
  <si>
    <t>1,601,173.15</t>
  </si>
  <si>
    <t>305,173.15</t>
  </si>
  <si>
    <t>3531</t>
  </si>
  <si>
    <t>APLBS07-A</t>
  </si>
  <si>
    <t>트라넥삼산 나이아신아마이드 앰플 세럼 40ml</t>
  </si>
  <si>
    <t>3532</t>
  </si>
  <si>
    <t>750.72</t>
  </si>
  <si>
    <t>1,067,448.77</t>
  </si>
  <si>
    <t>203,448.77</t>
  </si>
  <si>
    <t>3533</t>
  </si>
  <si>
    <t>234.60</t>
  </si>
  <si>
    <t>333,577.74</t>
  </si>
  <si>
    <t>63,577.74</t>
  </si>
  <si>
    <t>3534</t>
  </si>
  <si>
    <t>78.20</t>
  </si>
  <si>
    <t>111,192.58</t>
  </si>
  <si>
    <t>21,192.58</t>
  </si>
  <si>
    <t>3535</t>
  </si>
  <si>
    <t>555,962.90</t>
  </si>
  <si>
    <t>105,962.90</t>
  </si>
  <si>
    <t>3536</t>
  </si>
  <si>
    <t>3537</t>
  </si>
  <si>
    <t>889,540.64</t>
  </si>
  <si>
    <t>169,540.64</t>
  </si>
  <si>
    <t>3538</t>
  </si>
  <si>
    <t>-345,500.00</t>
  </si>
  <si>
    <t>3539</t>
  </si>
  <si>
    <t>-405,000.00</t>
  </si>
  <si>
    <t>3540</t>
  </si>
  <si>
    <t>BentonP14-PK</t>
  </si>
  <si>
    <t>구아바 70 스킨토너 진정 패드팩 (70매)</t>
  </si>
  <si>
    <t>3541</t>
  </si>
  <si>
    <t>BentonSM59-SD</t>
  </si>
  <si>
    <t>[디럭스] 시카 수분 선세럼 12ml</t>
  </si>
  <si>
    <t>3542</t>
  </si>
  <si>
    <t>ES01-Cr</t>
  </si>
  <si>
    <t>(단종) 수분가득 콜라겐 딥크림 75ml</t>
  </si>
  <si>
    <t>761.96</t>
  </si>
  <si>
    <t>1,083,430.92</t>
  </si>
  <si>
    <t>9,712.00</t>
  </si>
  <si>
    <t>835,232.00</t>
  </si>
  <si>
    <t>248,198.92</t>
  </si>
  <si>
    <t>3543</t>
  </si>
  <si>
    <t>1,085.40</t>
  </si>
  <si>
    <t>1,543,330.26</t>
  </si>
  <si>
    <t>7,264.00</t>
  </si>
  <si>
    <t>1,307,520.00</t>
  </si>
  <si>
    <t>235,810.26</t>
  </si>
  <si>
    <t>3544</t>
  </si>
  <si>
    <t>HLSS01-SR</t>
  </si>
  <si>
    <t>(사용금지)올데이 비타민 브라이트닝&amp;밸런싱 페이셜 세럼 30ml (본품)</t>
  </si>
  <si>
    <t>2,098.90</t>
  </si>
  <si>
    <t>2,984,425.91</t>
  </si>
  <si>
    <t>6,420.00</t>
  </si>
  <si>
    <t>1,938,840.00</t>
  </si>
  <si>
    <t>1,045,585.91</t>
  </si>
  <si>
    <t>3545</t>
  </si>
  <si>
    <t>IUS04-CM</t>
  </si>
  <si>
    <t>[디럭스] 베타글루칸 데일리 모이스쳐 크림 15ml</t>
  </si>
  <si>
    <t>3546</t>
  </si>
  <si>
    <t>IUS04-SM</t>
  </si>
  <si>
    <t>[디럭스] 베타글루칸 파워 모이스쳐 세럼 15ml</t>
  </si>
  <si>
    <t>3547</t>
  </si>
  <si>
    <t>120.60</t>
  </si>
  <si>
    <t>171,481.14</t>
  </si>
  <si>
    <t>142,800.00</t>
  </si>
  <si>
    <t>28,681.14</t>
  </si>
  <si>
    <t>3548</t>
  </si>
  <si>
    <t>MIXP10-PK1</t>
  </si>
  <si>
    <t>(소진후 10매입 운영) 두유패드 [16ml x 3sheet]</t>
  </si>
  <si>
    <t>믹순</t>
  </si>
  <si>
    <t>3549</t>
  </si>
  <si>
    <t>3550</t>
  </si>
  <si>
    <t>MS05-C5x</t>
  </si>
  <si>
    <t>(5세대) 타임 레볼루션 나이트 리페어 앰플 크림 5x 50ml [주력]</t>
  </si>
  <si>
    <t>14.66</t>
  </si>
  <si>
    <t>2,155.02</t>
  </si>
  <si>
    <t>3,064,222.94</t>
  </si>
  <si>
    <t>14,800.00</t>
  </si>
  <si>
    <t>2,175,600.00</t>
  </si>
  <si>
    <t>888,622.94</t>
  </si>
  <si>
    <t>3551</t>
  </si>
  <si>
    <t>NBP07-M11</t>
  </si>
  <si>
    <t>[1매입] No.1 수분흠뻑 스파광 삼림욕팩</t>
  </si>
  <si>
    <t>3552</t>
  </si>
  <si>
    <t>3,156.36</t>
  </si>
  <si>
    <t>4,488,028.28</t>
  </si>
  <si>
    <t>3,271,200.00</t>
  </si>
  <si>
    <t>1,216,828.28</t>
  </si>
  <si>
    <t>3553</t>
  </si>
  <si>
    <t>SEP03-MRRP</t>
  </si>
  <si>
    <t>*B2B FOC*[5SET] 딥 콜라겐 파워 부스팅 마스크 37g*4ea</t>
  </si>
  <si>
    <t>3554</t>
  </si>
  <si>
    <t>SLPS01-S</t>
  </si>
  <si>
    <t>수분 결 세럼 50ml</t>
  </si>
  <si>
    <t>슬로우퓨어</t>
  </si>
  <si>
    <t>19,092.00</t>
  </si>
  <si>
    <t>-19,092.00</t>
  </si>
  <si>
    <t>3555</t>
  </si>
  <si>
    <t>SLPS02-S</t>
  </si>
  <si>
    <t>광채 톤 세럼 50ml</t>
  </si>
  <si>
    <t>3556</t>
  </si>
  <si>
    <t>SLPS03-S</t>
  </si>
  <si>
    <t>모공 필 세럼 50ml</t>
  </si>
  <si>
    <t>3557</t>
  </si>
  <si>
    <t>SLPS04-S</t>
  </si>
  <si>
    <t>탄력 펌 세럼 50ml</t>
  </si>
  <si>
    <t>3558</t>
  </si>
  <si>
    <t>-15,600.00</t>
  </si>
  <si>
    <t>3559</t>
  </si>
  <si>
    <t>3560</t>
  </si>
  <si>
    <t>3561</t>
  </si>
  <si>
    <t>18,720.00</t>
  </si>
  <si>
    <t>-18,720.00</t>
  </si>
  <si>
    <t>3562</t>
  </si>
  <si>
    <t>TREHS01-TTSP</t>
  </si>
  <si>
    <t>(단종 예정) 콜라겐 부스트 스칼프 팩 200ml</t>
  </si>
  <si>
    <t>17,019.00</t>
  </si>
  <si>
    <t>-17,019.00</t>
  </si>
  <si>
    <t>3563</t>
  </si>
  <si>
    <t>IN00322709</t>
  </si>
  <si>
    <t>3564</t>
  </si>
  <si>
    <t>2025-03-12</t>
  </si>
  <si>
    <t>3.32</t>
  </si>
  <si>
    <t>332.00</t>
  </si>
  <si>
    <t>468,319.20</t>
  </si>
  <si>
    <t>4,464.20</t>
  </si>
  <si>
    <t>446,420.00</t>
  </si>
  <si>
    <t>21,899.20</t>
  </si>
  <si>
    <t>4.7</t>
  </si>
  <si>
    <t>IN00320413</t>
  </si>
  <si>
    <t>3565</t>
  </si>
  <si>
    <t>IN00318604</t>
  </si>
  <si>
    <t>3566</t>
  </si>
  <si>
    <t>1,702.08</t>
  </si>
  <si>
    <t>2,400,954.05</t>
  </si>
  <si>
    <t>1,944,000.00</t>
  </si>
  <si>
    <t>456,954.05</t>
  </si>
  <si>
    <t>3567</t>
  </si>
  <si>
    <t>3,025.92</t>
  </si>
  <si>
    <t>4,268,362.75</t>
  </si>
  <si>
    <t>3,456,000.00</t>
  </si>
  <si>
    <t>812,362.75</t>
  </si>
  <si>
    <t>3568</t>
  </si>
  <si>
    <t>6,669,316.80</t>
  </si>
  <si>
    <t>5,400,000.00</t>
  </si>
  <si>
    <t>1,269,316.80</t>
  </si>
  <si>
    <t>3569</t>
  </si>
  <si>
    <t>2,758.00</t>
  </si>
  <si>
    <t>3,890,434.80</t>
  </si>
  <si>
    <t>740,434.80</t>
  </si>
  <si>
    <t>3570</t>
  </si>
  <si>
    <t>2,364.00</t>
  </si>
  <si>
    <t>3,334,658.40</t>
  </si>
  <si>
    <t>634,658.40</t>
  </si>
  <si>
    <t>3571</t>
  </si>
  <si>
    <t>630.40</t>
  </si>
  <si>
    <t>889,242.24</t>
  </si>
  <si>
    <t>169,242.24</t>
  </si>
  <si>
    <t>3572</t>
  </si>
  <si>
    <t>1,111,552.80</t>
  </si>
  <si>
    <t>211,552.80</t>
  </si>
  <si>
    <t>3573</t>
  </si>
  <si>
    <t>118,490.40</t>
  </si>
  <si>
    <t>18,490.40</t>
  </si>
  <si>
    <t>3574</t>
  </si>
  <si>
    <t>289,003.73</t>
  </si>
  <si>
    <t>29,003.73</t>
  </si>
  <si>
    <t>3575</t>
  </si>
  <si>
    <t>3576</t>
  </si>
  <si>
    <t>3577</t>
  </si>
  <si>
    <t>3578</t>
  </si>
  <si>
    <t>378.24</t>
  </si>
  <si>
    <t>533,545.34</t>
  </si>
  <si>
    <t>101,545.34</t>
  </si>
  <si>
    <t>3579</t>
  </si>
  <si>
    <t>285.12</t>
  </si>
  <si>
    <t>402,190.27</t>
  </si>
  <si>
    <t>78,190.27</t>
  </si>
  <si>
    <t>3580</t>
  </si>
  <si>
    <t>1,379.00</t>
  </si>
  <si>
    <t>1,945,217.40</t>
  </si>
  <si>
    <t>370,217.40</t>
  </si>
  <si>
    <t>3581</t>
  </si>
  <si>
    <t>3582</t>
  </si>
  <si>
    <t>394.00</t>
  </si>
  <si>
    <t>555,776.40</t>
  </si>
  <si>
    <t>105,776.40</t>
  </si>
  <si>
    <t>3583</t>
  </si>
  <si>
    <t>3584</t>
  </si>
  <si>
    <t>3585</t>
  </si>
  <si>
    <t>3586</t>
  </si>
  <si>
    <t>709.20</t>
  </si>
  <si>
    <t>1,000,397.52</t>
  </si>
  <si>
    <t>810,000.00</t>
  </si>
  <si>
    <t>190,397.52</t>
  </si>
  <si>
    <t>3587</t>
  </si>
  <si>
    <t>3588</t>
  </si>
  <si>
    <t>315.20</t>
  </si>
  <si>
    <t>444,621.12</t>
  </si>
  <si>
    <t>84,621.12</t>
  </si>
  <si>
    <t>3589</t>
  </si>
  <si>
    <t>472.80</t>
  </si>
  <si>
    <t>666,931.68</t>
  </si>
  <si>
    <t>126,931.68</t>
  </si>
  <si>
    <t>3590</t>
  </si>
  <si>
    <t>3591</t>
  </si>
  <si>
    <t>614,457.36</t>
  </si>
  <si>
    <t>119,457.36</t>
  </si>
  <si>
    <t>3592</t>
  </si>
  <si>
    <t>514.80</t>
  </si>
  <si>
    <t>726,176.88</t>
  </si>
  <si>
    <t>141,176.88</t>
  </si>
  <si>
    <t>3593</t>
  </si>
  <si>
    <t>3594</t>
  </si>
  <si>
    <t>3595</t>
  </si>
  <si>
    <t>3596</t>
  </si>
  <si>
    <t>3597</t>
  </si>
  <si>
    <t>CMXP01-MN5</t>
  </si>
  <si>
    <t>(단종) [5매입]노니 에너지 앰플 마스크</t>
  </si>
  <si>
    <t>740,565.00</t>
  </si>
  <si>
    <t>5,682.00</t>
  </si>
  <si>
    <t>568,200.00</t>
  </si>
  <si>
    <t>172,365.00</t>
  </si>
  <si>
    <t>3598</t>
  </si>
  <si>
    <t>14,928.00</t>
  </si>
  <si>
    <t>21,057,436.80</t>
  </si>
  <si>
    <t>5,769.23</t>
  </si>
  <si>
    <t>11,826,676.80</t>
  </si>
  <si>
    <t>56.2</t>
  </si>
  <si>
    <t>3599</t>
  </si>
  <si>
    <t>5.78</t>
  </si>
  <si>
    <t>1,156.00</t>
  </si>
  <si>
    <t>1,630,653.60</t>
  </si>
  <si>
    <t>1,276,400.00</t>
  </si>
  <si>
    <t>354,253.60</t>
  </si>
  <si>
    <t>3600</t>
  </si>
  <si>
    <t>2,556.00</t>
  </si>
  <si>
    <t>3,605,493.60</t>
  </si>
  <si>
    <t>6,719.00</t>
  </si>
  <si>
    <t>2,687,600.00</t>
  </si>
  <si>
    <t>917,893.60</t>
  </si>
  <si>
    <t>3601</t>
  </si>
  <si>
    <t>ECM04-Cherryr</t>
  </si>
  <si>
    <t>디어 달링 워터 틴트 체리에이드 #02 2021</t>
  </si>
  <si>
    <t>1,239.00</t>
  </si>
  <si>
    <t>1,747,733.40</t>
  </si>
  <si>
    <t>1,495,900.00</t>
  </si>
  <si>
    <t>251,833.40</t>
  </si>
  <si>
    <t>3602</t>
  </si>
  <si>
    <t>ECM04-Strawberryr</t>
  </si>
  <si>
    <t>디어 달링 워터 틴트 1호 스트로베리 에이드 2021</t>
  </si>
  <si>
    <t>499,352.40</t>
  </si>
  <si>
    <t>427,400.00</t>
  </si>
  <si>
    <t>71,952.40</t>
  </si>
  <si>
    <t>3603</t>
  </si>
  <si>
    <t>EP01-M</t>
  </si>
  <si>
    <t>[1매입]에뛰드 수분가득 콜라겐 시트 마스크</t>
  </si>
  <si>
    <t>284.80</t>
  </si>
  <si>
    <t>401,738.88</t>
  </si>
  <si>
    <t>971.00</t>
  </si>
  <si>
    <t>310,720.00</t>
  </si>
  <si>
    <t>91,018.88</t>
  </si>
  <si>
    <t>3604</t>
  </si>
  <si>
    <t>160.20</t>
  </si>
  <si>
    <t>225,978.12</t>
  </si>
  <si>
    <t>174,780.00</t>
  </si>
  <si>
    <t>51,198.12</t>
  </si>
  <si>
    <t>3605</t>
  </si>
  <si>
    <t>EP146-AMCLGrr</t>
  </si>
  <si>
    <t>(23AD)0.2mm 테라피에어마스크_콜라겐 20ml</t>
  </si>
  <si>
    <t>0.53</t>
  </si>
  <si>
    <t>132.50</t>
  </si>
  <si>
    <t>186,904.50</t>
  </si>
  <si>
    <t>49,404.50</t>
  </si>
  <si>
    <t>3606</t>
  </si>
  <si>
    <t>450.50</t>
  </si>
  <si>
    <t>635,475.30</t>
  </si>
  <si>
    <t>467,500.00</t>
  </si>
  <si>
    <t>167,975.30</t>
  </si>
  <si>
    <t>3607</t>
  </si>
  <si>
    <t>EP146-AMSrr</t>
  </si>
  <si>
    <t>(23AD) 0.2mm 테라피에어마스크_달팽이 20ml</t>
  </si>
  <si>
    <t>7.42</t>
  </si>
  <si>
    <t>10,466.65</t>
  </si>
  <si>
    <t>2,766.65</t>
  </si>
  <si>
    <t>3608</t>
  </si>
  <si>
    <t>53.00</t>
  </si>
  <si>
    <t>74,761.80</t>
  </si>
  <si>
    <t>55,000.00</t>
  </si>
  <si>
    <t>19,761.80</t>
  </si>
  <si>
    <t>3609</t>
  </si>
  <si>
    <t>974.60</t>
  </si>
  <si>
    <t>1,374,770.76</t>
  </si>
  <si>
    <t>9,799.27</t>
  </si>
  <si>
    <t>1,077,920.00</t>
  </si>
  <si>
    <t>296,850.76</t>
  </si>
  <si>
    <t>3610</t>
  </si>
  <si>
    <t>11,577.60</t>
  </si>
  <si>
    <t>16,331,362.56</t>
  </si>
  <si>
    <t>13,946,880.00</t>
  </si>
  <si>
    <t>2,384,482.56</t>
  </si>
  <si>
    <t>3611</t>
  </si>
  <si>
    <t>ES84-01R</t>
  </si>
  <si>
    <t>(23AD) 마이 래쉬 세럼 9g</t>
  </si>
  <si>
    <t>2.30</t>
  </si>
  <si>
    <t>1,794.00</t>
  </si>
  <si>
    <t>2,530,616.40</t>
  </si>
  <si>
    <t>2,774.04</t>
  </si>
  <si>
    <t>2,163,750.00</t>
  </si>
  <si>
    <t>366,866.40</t>
  </si>
  <si>
    <t>3612</t>
  </si>
  <si>
    <t>1,196.00</t>
  </si>
  <si>
    <t>1,687,077.60</t>
  </si>
  <si>
    <t>1,444,560.00</t>
  </si>
  <si>
    <t>242,517.60</t>
  </si>
  <si>
    <t>3613</t>
  </si>
  <si>
    <t>1,586.00</t>
  </si>
  <si>
    <t>2,237,211.60</t>
  </si>
  <si>
    <t>737,211.60</t>
  </si>
  <si>
    <t>3614</t>
  </si>
  <si>
    <t>664.00</t>
  </si>
  <si>
    <t>936,638.40</t>
  </si>
  <si>
    <t>742,000.00</t>
  </si>
  <si>
    <t>194,638.40</t>
  </si>
  <si>
    <t>3615</t>
  </si>
  <si>
    <t>1,226.00</t>
  </si>
  <si>
    <t>1,729,395.60</t>
  </si>
  <si>
    <t>1,374,600.00</t>
  </si>
  <si>
    <t>354,795.60</t>
  </si>
  <si>
    <t>3616</t>
  </si>
  <si>
    <t>4,312.00</t>
  </si>
  <si>
    <t>6,082,507.20</t>
  </si>
  <si>
    <t>5,129.94</t>
  </si>
  <si>
    <t>4,103,950.00</t>
  </si>
  <si>
    <t>1,978,557.20</t>
  </si>
  <si>
    <t>3617</t>
  </si>
  <si>
    <t>11,344.00</t>
  </si>
  <si>
    <t>16,001,846.40</t>
  </si>
  <si>
    <t>2,561,846.40</t>
  </si>
  <si>
    <t>3618</t>
  </si>
  <si>
    <t>1,700.00</t>
  </si>
  <si>
    <t>2,398,020.00</t>
  </si>
  <si>
    <t>382,020.00</t>
  </si>
  <si>
    <t>3619</t>
  </si>
  <si>
    <t>2,700</t>
  </si>
  <si>
    <t>12,447.00</t>
  </si>
  <si>
    <t>17,557,738.20</t>
  </si>
  <si>
    <t>14,742,000.00</t>
  </si>
  <si>
    <t>2,815,738.20</t>
  </si>
  <si>
    <t>3620</t>
  </si>
  <si>
    <t>8,749.00</t>
  </si>
  <si>
    <t>12,341,339.40</t>
  </si>
  <si>
    <t>1,967,339.40</t>
  </si>
  <si>
    <t>3621</t>
  </si>
  <si>
    <t>7.27</t>
  </si>
  <si>
    <t>2,908.00</t>
  </si>
  <si>
    <t>4,102,024.80</t>
  </si>
  <si>
    <t>2,800,000.00</t>
  </si>
  <si>
    <t>1,302,024.80</t>
  </si>
  <si>
    <t>3622</t>
  </si>
  <si>
    <t>17,016.00</t>
  </si>
  <si>
    <t>24,002,769.60</t>
  </si>
  <si>
    <t>20,160,000.00</t>
  </si>
  <si>
    <t>3,842,769.60</t>
  </si>
  <si>
    <t>3623</t>
  </si>
  <si>
    <t>21,692.00</t>
  </si>
  <si>
    <t>30,598,735.20</t>
  </si>
  <si>
    <t>4,894,735.20</t>
  </si>
  <si>
    <t>3624</t>
  </si>
  <si>
    <t>6,699.00</t>
  </si>
  <si>
    <t>9,449,609.40</t>
  </si>
  <si>
    <t>1,511,609.40</t>
  </si>
  <si>
    <t>3625</t>
  </si>
  <si>
    <t>6,900</t>
  </si>
  <si>
    <t>58,719.00</t>
  </si>
  <si>
    <t>82,829,021.40</t>
  </si>
  <si>
    <t>69,552,000.00</t>
  </si>
  <si>
    <t>13,277,021.40</t>
  </si>
  <si>
    <t>3626</t>
  </si>
  <si>
    <t>12.05</t>
  </si>
  <si>
    <t>26,510.00</t>
  </si>
  <si>
    <t>37,395,006.00</t>
  </si>
  <si>
    <t>31,416,000.00</t>
  </si>
  <si>
    <t>5,979,006.00</t>
  </si>
  <si>
    <t>3627</t>
  </si>
  <si>
    <t>8,600</t>
  </si>
  <si>
    <t>51,858.00</t>
  </si>
  <si>
    <t>73,150,894.80</t>
  </si>
  <si>
    <t>61,404,000.00</t>
  </si>
  <si>
    <t>11,746,894.80</t>
  </si>
  <si>
    <t>3628</t>
  </si>
  <si>
    <t>10,207,101.60</t>
  </si>
  <si>
    <t>1,639,101.60</t>
  </si>
  <si>
    <t>3629</t>
  </si>
  <si>
    <t>9,648.00</t>
  </si>
  <si>
    <t>13,609,468.80</t>
  </si>
  <si>
    <t>11,424,000.00</t>
  </si>
  <si>
    <t>2,185,468.80</t>
  </si>
  <si>
    <t>3630</t>
  </si>
  <si>
    <t>29,426.40</t>
  </si>
  <si>
    <t>41,508,879.84</t>
  </si>
  <si>
    <t>34,843,200.00</t>
  </si>
  <si>
    <t>6,665,679.84</t>
  </si>
  <si>
    <t>3631</t>
  </si>
  <si>
    <t>13,869.00</t>
  </si>
  <si>
    <t>19,563,611.40</t>
  </si>
  <si>
    <t>3,141,611.40</t>
  </si>
  <si>
    <t>3632</t>
  </si>
  <si>
    <t>14,460,060.60</t>
  </si>
  <si>
    <t>2,322,060.60</t>
  </si>
  <si>
    <t>3633</t>
  </si>
  <si>
    <t>12,122.00</t>
  </si>
  <si>
    <t>17,099,293.20</t>
  </si>
  <si>
    <t>14,364,000.00</t>
  </si>
  <si>
    <t>2,735,293.20</t>
  </si>
  <si>
    <t>3634</t>
  </si>
  <si>
    <t>5,104.00</t>
  </si>
  <si>
    <t>7,199,702.40</t>
  </si>
  <si>
    <t>1,151,702.40</t>
  </si>
  <si>
    <t>3635</t>
  </si>
  <si>
    <t>3,828.00</t>
  </si>
  <si>
    <t>5,399,776.80</t>
  </si>
  <si>
    <t>863,776.80</t>
  </si>
  <si>
    <t>3636</t>
  </si>
  <si>
    <t>4,824.00</t>
  </si>
  <si>
    <t>6,804,734.40</t>
  </si>
  <si>
    <t>5,712,000.00</t>
  </si>
  <si>
    <t>1,092,734.40</t>
  </si>
  <si>
    <t>3637</t>
  </si>
  <si>
    <t>16,588.00</t>
  </si>
  <si>
    <t>23,399,032.80</t>
  </si>
  <si>
    <t>19,656,000.00</t>
  </si>
  <si>
    <t>3,743,032.80</t>
  </si>
  <si>
    <t>3638</t>
  </si>
  <si>
    <t>14,300</t>
  </si>
  <si>
    <t>91,234.00</t>
  </si>
  <si>
    <t>128,694,680.40</t>
  </si>
  <si>
    <t>108,108,000.00</t>
  </si>
  <si>
    <t>20,586,680.40</t>
  </si>
  <si>
    <t>3639</t>
  </si>
  <si>
    <t>19,778.00</t>
  </si>
  <si>
    <t>27,898,846.80</t>
  </si>
  <si>
    <t>23,436,000.00</t>
  </si>
  <si>
    <t>4,462,846.80</t>
  </si>
  <si>
    <t>3640</t>
  </si>
  <si>
    <t>KPRS1-MCs</t>
  </si>
  <si>
    <t>[GWP] 큐리페어 멜라 크림 4ml</t>
  </si>
  <si>
    <t>코페르</t>
  </si>
  <si>
    <t>3641</t>
  </si>
  <si>
    <t>KPRS1-set</t>
  </si>
  <si>
    <t>[GWP] 포에버 패스트 트라이얼 키트 1.5ml*5</t>
  </si>
  <si>
    <t>3642</t>
  </si>
  <si>
    <t>MBM115-BB21</t>
  </si>
  <si>
    <t>(리뉴얼코드확인)(동일코드: MM01-B21) M 퍼펙트 커버 비비 21호 화사한 베이지 SPF42 PA+++ 50ml [주력]</t>
  </si>
  <si>
    <t>1,743,501.60</t>
  </si>
  <si>
    <t>1,494,000.00</t>
  </si>
  <si>
    <t>249,501.60</t>
  </si>
  <si>
    <t>3643</t>
  </si>
  <si>
    <t>MP05-M5xrr</t>
  </si>
  <si>
    <t>[1매입] 타임 레볼루션 나이트 리페어 앰플 마스크 30g (2023)</t>
  </si>
  <si>
    <t>211,590.00</t>
  </si>
  <si>
    <t>1,719.00</t>
  </si>
  <si>
    <t>171,900.00</t>
  </si>
  <si>
    <t>39,690.00</t>
  </si>
  <si>
    <t>3644</t>
  </si>
  <si>
    <t>MP94-MA</t>
  </si>
  <si>
    <t>[1매입]에어리 밀착 시트 마스크 [알로에]</t>
  </si>
  <si>
    <t>528.00</t>
  </si>
  <si>
    <t>744,796.80</t>
  </si>
  <si>
    <t>382.00</t>
  </si>
  <si>
    <t>611,200.00</t>
  </si>
  <si>
    <t>133,596.80</t>
  </si>
  <si>
    <t>3645</t>
  </si>
  <si>
    <t>MP94-MC</t>
  </si>
  <si>
    <t>[1매입]에어리 밀착 시트 마스크 [오이]</t>
  </si>
  <si>
    <t>186,199.20</t>
  </si>
  <si>
    <t>152,800.00</t>
  </si>
  <si>
    <t>33,399.20</t>
  </si>
  <si>
    <t>3646</t>
  </si>
  <si>
    <t>MP94-MG</t>
  </si>
  <si>
    <t>[1매입]에어리 밀착 시트 마스크 [그린티]</t>
  </si>
  <si>
    <t>3647</t>
  </si>
  <si>
    <t>MP94-MH</t>
  </si>
  <si>
    <t>[1매입]에어리 밀착 시트 마스크 [꿀]</t>
  </si>
  <si>
    <t>3648</t>
  </si>
  <si>
    <t>MP94-ML</t>
  </si>
  <si>
    <t>[1매입]에어리 밀착 시트 마스크 [레몬]</t>
  </si>
  <si>
    <t>93,099.60</t>
  </si>
  <si>
    <t>76,400.00</t>
  </si>
  <si>
    <t>16,699.60</t>
  </si>
  <si>
    <t>3649</t>
  </si>
  <si>
    <t>MP94-MP</t>
  </si>
  <si>
    <t>[1매입]에어리 밀착 시트 마스크 [석류]</t>
  </si>
  <si>
    <t>139,649.40</t>
  </si>
  <si>
    <t>114,600.00</t>
  </si>
  <si>
    <t>25,049.40</t>
  </si>
  <si>
    <t>3650</t>
  </si>
  <si>
    <t>MP94-MPE</t>
  </si>
  <si>
    <t>[1매입]에어리 밀착 시트 마스크 [진주]</t>
  </si>
  <si>
    <t>3651</t>
  </si>
  <si>
    <t>MP94-MRG</t>
  </si>
  <si>
    <t>[1매입]에어리 밀착 시트 마스크 [홍삼]</t>
  </si>
  <si>
    <t>325,848.60</t>
  </si>
  <si>
    <t>267,400.00</t>
  </si>
  <si>
    <t>58,448.60</t>
  </si>
  <si>
    <t>3652</t>
  </si>
  <si>
    <t>MP94-MS</t>
  </si>
  <si>
    <t>[1매입]에어리 밀착 시트 마스크 [시어버터]</t>
  </si>
  <si>
    <t>3653</t>
  </si>
  <si>
    <t>MP94-MT</t>
  </si>
  <si>
    <t>[1매입]에어리 밀착 시트 마스크 [티트리]</t>
  </si>
  <si>
    <t>232,749.00</t>
  </si>
  <si>
    <t>41,749.00</t>
  </si>
  <si>
    <t>3654</t>
  </si>
  <si>
    <t>4,236.74</t>
  </si>
  <si>
    <t>5,976,345.44</t>
  </si>
  <si>
    <t>4,277,200.00</t>
  </si>
  <si>
    <t>1,699,145.44</t>
  </si>
  <si>
    <t>3655</t>
  </si>
  <si>
    <t>3656</t>
  </si>
  <si>
    <t>NBP07-M31</t>
  </si>
  <si>
    <t>[1매입] No.3 참은만큼 보들보들 결세럼팩</t>
  </si>
  <si>
    <t>3657</t>
  </si>
  <si>
    <t>NBP07-M51</t>
  </si>
  <si>
    <t>[1매입] 5번 비타민C 뿌려만든 글루타치온 필름팩</t>
  </si>
  <si>
    <t>3658</t>
  </si>
  <si>
    <t>PRC14-B</t>
  </si>
  <si>
    <t>(통합) 프롬 그린 아보카도 클렌징 밤 100ml</t>
  </si>
  <si>
    <t>7,637.00</t>
  </si>
  <si>
    <t>366,576.00</t>
  </si>
  <si>
    <t>-366,576.00</t>
  </si>
  <si>
    <t>3659</t>
  </si>
  <si>
    <t>PRC14-F</t>
  </si>
  <si>
    <t>(PRC14-FEU) 프롬 그린 딥 포밍 클렌저 150ml</t>
  </si>
  <si>
    <t>137,472.00</t>
  </si>
  <si>
    <t>-137,472.00</t>
  </si>
  <si>
    <t>3660</t>
  </si>
  <si>
    <t>PRC14-OC</t>
  </si>
  <si>
    <t>프롬 그린 클렌징 오일 200ml</t>
  </si>
  <si>
    <t>95,460.00</t>
  </si>
  <si>
    <t>-95,460.00</t>
  </si>
  <si>
    <t>3661</t>
  </si>
  <si>
    <t>PRC14-OCSET</t>
  </si>
  <si>
    <t>(통합) 프롬 그린 클렌징 오일 세트</t>
  </si>
  <si>
    <t>13,682.00</t>
  </si>
  <si>
    <t>177,866.00</t>
  </si>
  <si>
    <t>-177,866.00</t>
  </si>
  <si>
    <t>3662</t>
  </si>
  <si>
    <t>-160,380.00</t>
  </si>
  <si>
    <t>3663</t>
  </si>
  <si>
    <t>PYBS18-BHC</t>
  </si>
  <si>
    <t>*리뉴얼 전 스킨배리어 프로페셔널 핸드크림 50ml</t>
  </si>
  <si>
    <t>2.27</t>
  </si>
  <si>
    <t>681.00</t>
  </si>
  <si>
    <t>960,618.60</t>
  </si>
  <si>
    <t>120,618.60</t>
  </si>
  <si>
    <t>3664</t>
  </si>
  <si>
    <t>4.54</t>
  </si>
  <si>
    <t>908.00</t>
  </si>
  <si>
    <t>1,280,824.80</t>
  </si>
  <si>
    <t>160,824.80</t>
  </si>
  <si>
    <t>3665</t>
  </si>
  <si>
    <t>2.55</t>
  </si>
  <si>
    <t>1,438,812.00</t>
  </si>
  <si>
    <t>3,112.20</t>
  </si>
  <si>
    <t>1,244,880.00</t>
  </si>
  <si>
    <t>193,932.00</t>
  </si>
  <si>
    <t>3666</t>
  </si>
  <si>
    <t>2,040.00</t>
  </si>
  <si>
    <t>2,877,624.00</t>
  </si>
  <si>
    <t>357,624.00</t>
  </si>
  <si>
    <t>3667</t>
  </si>
  <si>
    <t>1,760,428.80</t>
  </si>
  <si>
    <t>220,428.80</t>
  </si>
  <si>
    <t>3668</t>
  </si>
  <si>
    <t>1,362.00</t>
  </si>
  <si>
    <t>1,921,237.20</t>
  </si>
  <si>
    <t>241,237.20</t>
  </si>
  <si>
    <t>3669</t>
  </si>
  <si>
    <t>8,085.00</t>
  </si>
  <si>
    <t>11,404,701.00</t>
  </si>
  <si>
    <t>8,265,000.00</t>
  </si>
  <si>
    <t>3,139,701.00</t>
  </si>
  <si>
    <t>3670</t>
  </si>
  <si>
    <t>-2,400,000.00</t>
  </si>
  <si>
    <t>3671</t>
  </si>
  <si>
    <t>5,442.00</t>
  </si>
  <si>
    <t>7,676,485.20</t>
  </si>
  <si>
    <t>10,332.80</t>
  </si>
  <si>
    <t>6,199,680.00</t>
  </si>
  <si>
    <t>1,476,805.20</t>
  </si>
  <si>
    <t>3672</t>
  </si>
  <si>
    <t>1,532.00</t>
  </si>
  <si>
    <t>2,161,039.20</t>
  </si>
  <si>
    <t>1,566,000.00</t>
  </si>
  <si>
    <t>595,039.20</t>
  </si>
  <si>
    <t>3673</t>
  </si>
  <si>
    <t>9.92</t>
  </si>
  <si>
    <t>5,952.00</t>
  </si>
  <si>
    <t>8,395,891.20</t>
  </si>
  <si>
    <t>7,350,000.00</t>
  </si>
  <si>
    <t>1,045,891.20</t>
  </si>
  <si>
    <t>3674</t>
  </si>
  <si>
    <t>PYS01-PATCH</t>
  </si>
  <si>
    <t>(X)(60매입) 블랙티 타임 리버스 아이패치</t>
  </si>
  <si>
    <t>10,773.00</t>
  </si>
  <si>
    <t>15,196,393.80</t>
  </si>
  <si>
    <t>13,300,000.00</t>
  </si>
  <si>
    <t>1,896,393.80</t>
  </si>
  <si>
    <t>3675</t>
  </si>
  <si>
    <t>PYS01-TEU100</t>
  </si>
  <si>
    <t>(유럽) 에센스 토너 100ml</t>
  </si>
  <si>
    <t>1,107.00</t>
  </si>
  <si>
    <t>1,561,534.20</t>
  </si>
  <si>
    <t>1,131,000.00</t>
  </si>
  <si>
    <t>430,534.20</t>
  </si>
  <si>
    <t>3676</t>
  </si>
  <si>
    <t>3,264.00</t>
  </si>
  <si>
    <t>4,604,198.40</t>
  </si>
  <si>
    <t>5,220.80</t>
  </si>
  <si>
    <t>4,176,640.00</t>
  </si>
  <si>
    <t>427,558.40</t>
  </si>
  <si>
    <t>9.3</t>
  </si>
  <si>
    <t>3677</t>
  </si>
  <si>
    <t>476.00</t>
  </si>
  <si>
    <t>671,445.60</t>
  </si>
  <si>
    <t>111,445.60</t>
  </si>
  <si>
    <t>3678</t>
  </si>
  <si>
    <t>377,000.00</t>
  </si>
  <si>
    <t>91,319.20</t>
  </si>
  <si>
    <t>3679</t>
  </si>
  <si>
    <t>6,800,000.00</t>
  </si>
  <si>
    <t>-6,800,000.00</t>
  </si>
  <si>
    <t>3680</t>
  </si>
  <si>
    <t>12.76</t>
  </si>
  <si>
    <t>3,599,851.20</t>
  </si>
  <si>
    <t>449,851.20</t>
  </si>
  <si>
    <t>3681</t>
  </si>
  <si>
    <t>RLC01-OCen</t>
  </si>
  <si>
    <t>(X)1025 독도 클렌징 오일 200ml (본품)</t>
  </si>
  <si>
    <t>2,445.00</t>
  </si>
  <si>
    <t>3,448,917.00</t>
  </si>
  <si>
    <t>1,198,917.00</t>
  </si>
  <si>
    <t>3682</t>
  </si>
  <si>
    <t>1,744.00</t>
  </si>
  <si>
    <t>2,460,086.40</t>
  </si>
  <si>
    <t>660,086.40</t>
  </si>
  <si>
    <t>3683</t>
  </si>
  <si>
    <t>2,178.00</t>
  </si>
  <si>
    <t>3,072,286.80</t>
  </si>
  <si>
    <t>1,072,286.80</t>
  </si>
  <si>
    <t>3684</t>
  </si>
  <si>
    <t>2,125.00</t>
  </si>
  <si>
    <t>2,997,525.00</t>
  </si>
  <si>
    <t>2,600,000.00</t>
  </si>
  <si>
    <t>397,525.00</t>
  </si>
  <si>
    <t>3685</t>
  </si>
  <si>
    <t>14,806.00</t>
  </si>
  <si>
    <t>20,885,343.60</t>
  </si>
  <si>
    <t>14,300,000.00</t>
  </si>
  <si>
    <t>6,585,343.60</t>
  </si>
  <si>
    <t>3686</t>
  </si>
  <si>
    <t>3687</t>
  </si>
  <si>
    <t>VTP21-M100</t>
  </si>
  <si>
    <t>[1매입] 리들샷 100 2스텝 마스크</t>
  </si>
  <si>
    <t>785,600.00</t>
  </si>
  <si>
    <t>-785,600.00</t>
  </si>
  <si>
    <t>3688</t>
  </si>
  <si>
    <t>VTP21-M700</t>
  </si>
  <si>
    <t>[1매입] 리들샷 700 2스텝 마스크</t>
  </si>
  <si>
    <t>1.60</t>
  </si>
  <si>
    <t>1,280.00</t>
  </si>
  <si>
    <t>1,805,568.00</t>
  </si>
  <si>
    <t>1,350.00</t>
  </si>
  <si>
    <t>725,568.00</t>
  </si>
  <si>
    <t>40.2</t>
  </si>
  <si>
    <t>3689</t>
  </si>
  <si>
    <t>14.63</t>
  </si>
  <si>
    <t>7,315.00</t>
  </si>
  <si>
    <t>10,318,539.00</t>
  </si>
  <si>
    <t>14,073.00</t>
  </si>
  <si>
    <t>7,036,500.00</t>
  </si>
  <si>
    <t>3,282,039.00</t>
  </si>
  <si>
    <t>3690</t>
  </si>
  <si>
    <t>VTS21-S50</t>
  </si>
  <si>
    <t>리들샷 50</t>
  </si>
  <si>
    <t>3,676.00</t>
  </si>
  <si>
    <t>5,185,365.60</t>
  </si>
  <si>
    <t>3,927,200.00</t>
  </si>
  <si>
    <t>1,258,165.60</t>
  </si>
  <si>
    <t>3691</t>
  </si>
  <si>
    <t>VTS21-S700</t>
  </si>
  <si>
    <t>리들샷700</t>
  </si>
  <si>
    <t>19.74</t>
  </si>
  <si>
    <t>7,896.00</t>
  </si>
  <si>
    <t>11,138,097.60</t>
  </si>
  <si>
    <t>21,091.00</t>
  </si>
  <si>
    <t>8,436,400.00</t>
  </si>
  <si>
    <t>2,701,697.60</t>
  </si>
  <si>
    <t>3692</t>
  </si>
  <si>
    <t>2025-03-11</t>
  </si>
  <si>
    <t>299.44</t>
  </si>
  <si>
    <t>418,976.45</t>
  </si>
  <si>
    <t>76,976.45</t>
  </si>
  <si>
    <t>IN00318602</t>
  </si>
  <si>
    <t>3693</t>
  </si>
  <si>
    <t>1,970.00</t>
  </si>
  <si>
    <t>2,756,424.00</t>
  </si>
  <si>
    <t>506,424.00</t>
  </si>
  <si>
    <t>3694</t>
  </si>
  <si>
    <t>3,782.40</t>
  </si>
  <si>
    <t>5,292,334.08</t>
  </si>
  <si>
    <t>972,334.08</t>
  </si>
  <si>
    <t>3695</t>
  </si>
  <si>
    <t>496.44</t>
  </si>
  <si>
    <t>694,618.85</t>
  </si>
  <si>
    <t>127,618.85</t>
  </si>
  <si>
    <t>3696</t>
  </si>
  <si>
    <t>705,196.80</t>
  </si>
  <si>
    <t>105,196.80</t>
  </si>
  <si>
    <t>3697</t>
  </si>
  <si>
    <t>1,102,569.60</t>
  </si>
  <si>
    <t>202,569.60</t>
  </si>
  <si>
    <t>3698</t>
  </si>
  <si>
    <t>756.48</t>
  </si>
  <si>
    <t>1,058,466.82</t>
  </si>
  <si>
    <t>194,466.82</t>
  </si>
  <si>
    <t>3699</t>
  </si>
  <si>
    <t>256.10</t>
  </si>
  <si>
    <t>358,335.12</t>
  </si>
  <si>
    <t>292,500.00</t>
  </si>
  <si>
    <t>65,835.12</t>
  </si>
  <si>
    <t>3700</t>
  </si>
  <si>
    <t>311.26</t>
  </si>
  <si>
    <t>435,514.99</t>
  </si>
  <si>
    <t>355,500.00</t>
  </si>
  <si>
    <t>80,014.99</t>
  </si>
  <si>
    <t>3701</t>
  </si>
  <si>
    <t>1,528.72</t>
  </si>
  <si>
    <t>2,138,985.02</t>
  </si>
  <si>
    <t>1,746,000.00</t>
  </si>
  <si>
    <t>392,985.02</t>
  </si>
  <si>
    <t>3702</t>
  </si>
  <si>
    <t>47.28</t>
  </si>
  <si>
    <t>66,154.18</t>
  </si>
  <si>
    <t>54,000.00</t>
  </si>
  <si>
    <t>12,154.18</t>
  </si>
  <si>
    <t>3703</t>
  </si>
  <si>
    <t>1,016.52</t>
  </si>
  <si>
    <t>1,422,314.78</t>
  </si>
  <si>
    <t>1,161,000.00</t>
  </si>
  <si>
    <t>261,314.78</t>
  </si>
  <si>
    <t>3704</t>
  </si>
  <si>
    <t>118.20</t>
  </si>
  <si>
    <t>165,385.44</t>
  </si>
  <si>
    <t>3705</t>
  </si>
  <si>
    <t>3706</t>
  </si>
  <si>
    <t>697.38</t>
  </si>
  <si>
    <t>975,774.10</t>
  </si>
  <si>
    <t>796,500.00</t>
  </si>
  <si>
    <t>179,274.10</t>
  </si>
  <si>
    <t>3707</t>
  </si>
  <si>
    <t>59.10</t>
  </si>
  <si>
    <t>82,692.72</t>
  </si>
  <si>
    <t>67,500.00</t>
  </si>
  <si>
    <t>15,192.72</t>
  </si>
  <si>
    <t>3708</t>
  </si>
  <si>
    <t>992,312.64</t>
  </si>
  <si>
    <t>182,312.64</t>
  </si>
  <si>
    <t>3709</t>
  </si>
  <si>
    <t>551,284.80</t>
  </si>
  <si>
    <t>101,284.80</t>
  </si>
  <si>
    <t>3710</t>
  </si>
  <si>
    <t>283.68</t>
  </si>
  <si>
    <t>396,925.06</t>
  </si>
  <si>
    <t>72,925.06</t>
  </si>
  <si>
    <t>3711</t>
  </si>
  <si>
    <t>11,025.70</t>
  </si>
  <si>
    <t>2,025.70</t>
  </si>
  <si>
    <t>3712</t>
  </si>
  <si>
    <t>622.52</t>
  </si>
  <si>
    <t>871,029.98</t>
  </si>
  <si>
    <t>711,000.00</t>
  </si>
  <si>
    <t>160,029.98</t>
  </si>
  <si>
    <t>3713</t>
  </si>
  <si>
    <t>8.05</t>
  </si>
  <si>
    <t>2,415.00</t>
  </si>
  <si>
    <t>3,379,068.00</t>
  </si>
  <si>
    <t>2,948,700.00</t>
  </si>
  <si>
    <t>430,368.00</t>
  </si>
  <si>
    <t>3714</t>
  </si>
  <si>
    <t>290.50</t>
  </si>
  <si>
    <t>406,467.60</t>
  </si>
  <si>
    <t>4,491.00</t>
  </si>
  <si>
    <t>314,370.00</t>
  </si>
  <si>
    <t>92,097.60</t>
  </si>
  <si>
    <t>3715</t>
  </si>
  <si>
    <t>581.00</t>
  </si>
  <si>
    <t>812,935.20</t>
  </si>
  <si>
    <t>628,740.00</t>
  </si>
  <si>
    <t>184,195.20</t>
  </si>
  <si>
    <t>3716</t>
  </si>
  <si>
    <t>2025-02-19</t>
  </si>
  <si>
    <t>HLSS01-SH</t>
  </si>
  <si>
    <t>워터풀 히알루론산 세럼 50ml (본품)</t>
  </si>
  <si>
    <t>-365,000.00</t>
  </si>
  <si>
    <t>IN00313980</t>
  </si>
  <si>
    <t>3717</t>
  </si>
  <si>
    <t>680,000.00</t>
  </si>
  <si>
    <t>-680,000.00</t>
  </si>
  <si>
    <t>3718</t>
  </si>
  <si>
    <t>MECUS06-TP</t>
  </si>
  <si>
    <t>(단종)[70pcs] 슈퍼시카 토너 패드</t>
  </si>
  <si>
    <t>794.00</t>
  </si>
  <si>
    <t>1,130,259.00</t>
  </si>
  <si>
    <t>9,061.00</t>
  </si>
  <si>
    <t>906,100.00</t>
  </si>
  <si>
    <t>224,159.00</t>
  </si>
  <si>
    <t>3719</t>
  </si>
  <si>
    <t>7.83</t>
  </si>
  <si>
    <t>2,505.60</t>
  </si>
  <si>
    <t>3,566,721.60</t>
  </si>
  <si>
    <t>3,145,280.00</t>
  </si>
  <si>
    <t>421,441.60</t>
  </si>
  <si>
    <t>3720</t>
  </si>
  <si>
    <t>585.60</t>
  </si>
  <si>
    <t>833,601.60</t>
  </si>
  <si>
    <t>113,601.60</t>
  </si>
  <si>
    <t>3721</t>
  </si>
  <si>
    <t>10.62</t>
  </si>
  <si>
    <t>2,548.80</t>
  </si>
  <si>
    <t>3,628,216.80</t>
  </si>
  <si>
    <t>2,760,000.00</t>
  </si>
  <si>
    <t>868,216.80</t>
  </si>
  <si>
    <t>3722</t>
  </si>
  <si>
    <t>MELC04-F</t>
  </si>
  <si>
    <t>비건 클래리파잉 폼 클렌저 100ml</t>
  </si>
  <si>
    <t>237.20</t>
  </si>
  <si>
    <t>337,654.20</t>
  </si>
  <si>
    <t>137,654.20</t>
  </si>
  <si>
    <t>3723</t>
  </si>
  <si>
    <t>MELS03-T290</t>
  </si>
  <si>
    <t>비건 밸런싱토너 290ml</t>
  </si>
  <si>
    <t>155.52</t>
  </si>
  <si>
    <t>221,382.72</t>
  </si>
  <si>
    <t>155,466.00</t>
  </si>
  <si>
    <t>65,916.72</t>
  </si>
  <si>
    <t>3724</t>
  </si>
  <si>
    <t>1,035.84</t>
  </si>
  <si>
    <t>1,474,518.24</t>
  </si>
  <si>
    <t>10,509.34</t>
  </si>
  <si>
    <t>1,008,897.00</t>
  </si>
  <si>
    <t>465,621.24</t>
  </si>
  <si>
    <t>3725</t>
  </si>
  <si>
    <t>14.50</t>
  </si>
  <si>
    <t>5,568.00</t>
  </si>
  <si>
    <t>7,926,048.00</t>
  </si>
  <si>
    <t>6,004,224.00</t>
  </si>
  <si>
    <t>1,921,824.00</t>
  </si>
  <si>
    <t>3726</t>
  </si>
  <si>
    <t>2,730.00</t>
  </si>
  <si>
    <t>3,886,155.00</t>
  </si>
  <si>
    <t>2,945,400.00</t>
  </si>
  <si>
    <t>940,755.00</t>
  </si>
  <si>
    <t>3727</t>
  </si>
  <si>
    <t>2025-02-17</t>
  </si>
  <si>
    <t>1,778,750.00</t>
  </si>
  <si>
    <t>338,750.00</t>
  </si>
  <si>
    <t>IN00311007</t>
  </si>
  <si>
    <t>3728</t>
  </si>
  <si>
    <t>18,000.00</t>
  </si>
  <si>
    <t>-18,000.00</t>
  </si>
  <si>
    <t>3729</t>
  </si>
  <si>
    <t>3730</t>
  </si>
  <si>
    <t>3731</t>
  </si>
  <si>
    <t>188.00</t>
  </si>
  <si>
    <t>267,524.00</t>
  </si>
  <si>
    <t>196,375.00</t>
  </si>
  <si>
    <t>71,149.00</t>
  </si>
  <si>
    <t>3732</t>
  </si>
  <si>
    <t>BARBS01-HB</t>
  </si>
  <si>
    <t>하이드레이팅 힐밤 40ml</t>
  </si>
  <si>
    <t>바렌</t>
  </si>
  <si>
    <t>17.94</t>
  </si>
  <si>
    <t>25,528.62</t>
  </si>
  <si>
    <t>3733</t>
  </si>
  <si>
    <t>BASBA-T</t>
  </si>
  <si>
    <t>센텔라 카밍 앰플 토너 200ml</t>
  </si>
  <si>
    <t>바르</t>
  </si>
  <si>
    <t>49.55</t>
  </si>
  <si>
    <t>70,509.65</t>
  </si>
  <si>
    <t>9,590.00</t>
  </si>
  <si>
    <t>47,950.00</t>
  </si>
  <si>
    <t>22,559.65</t>
  </si>
  <si>
    <t>3734</t>
  </si>
  <si>
    <t>BASBS-CG</t>
  </si>
  <si>
    <t>수퍼 그린 딥 에너지 크림 60ml</t>
  </si>
  <si>
    <t>7.87</t>
  </si>
  <si>
    <t>196.75</t>
  </si>
  <si>
    <t>279,975.25</t>
  </si>
  <si>
    <t>8,300.00</t>
  </si>
  <si>
    <t>207,500.00</t>
  </si>
  <si>
    <t>72,475.25</t>
  </si>
  <si>
    <t>3735</t>
  </si>
  <si>
    <t>657,995.20</t>
  </si>
  <si>
    <t>147,995.20</t>
  </si>
  <si>
    <t>3736</t>
  </si>
  <si>
    <t>1.79</t>
  </si>
  <si>
    <t>110.98</t>
  </si>
  <si>
    <t>157,924.54</t>
  </si>
  <si>
    <t>118,420.00</t>
  </si>
  <si>
    <t>39,504.54</t>
  </si>
  <si>
    <t>3737</t>
  </si>
  <si>
    <t>68.02</t>
  </si>
  <si>
    <t>96,792.46</t>
  </si>
  <si>
    <t>72,580.00</t>
  </si>
  <si>
    <t>24,212.46</t>
  </si>
  <si>
    <t>3738</t>
  </si>
  <si>
    <t>100.35</t>
  </si>
  <si>
    <t>142,798.05</t>
  </si>
  <si>
    <t>37,798.05</t>
  </si>
  <si>
    <t>3739</t>
  </si>
  <si>
    <t>876.00</t>
  </si>
  <si>
    <t>1,246,548.00</t>
  </si>
  <si>
    <t>482,898.00</t>
  </si>
  <si>
    <t>3740</t>
  </si>
  <si>
    <t>138.75</t>
  </si>
  <si>
    <t>197,441.25</t>
  </si>
  <si>
    <t>4,837.00</t>
  </si>
  <si>
    <t>120,925.00</t>
  </si>
  <si>
    <t>76,516.25</t>
  </si>
  <si>
    <t>3741</t>
  </si>
  <si>
    <t>175.25</t>
  </si>
  <si>
    <t>249,380.75</t>
  </si>
  <si>
    <t>148,400.00</t>
  </si>
  <si>
    <t>100,980.75</t>
  </si>
  <si>
    <t>3742</t>
  </si>
  <si>
    <t>BentonS01-T</t>
  </si>
  <si>
    <t>(단종)스네일비 얼티밋 토너 150ml</t>
  </si>
  <si>
    <t>228,391.50</t>
  </si>
  <si>
    <t>4,760.00</t>
  </si>
  <si>
    <t>109,391.50</t>
  </si>
  <si>
    <t>3743</t>
  </si>
  <si>
    <t>352,904.00</t>
  </si>
  <si>
    <t>97,904.00</t>
  </si>
  <si>
    <t>3744</t>
  </si>
  <si>
    <t>466.24</t>
  </si>
  <si>
    <t>663,459.52</t>
  </si>
  <si>
    <t>493,970.00</t>
  </si>
  <si>
    <t>169,489.52</t>
  </si>
  <si>
    <t>3745</t>
  </si>
  <si>
    <t>512,991.50</t>
  </si>
  <si>
    <t>136,591.50</t>
  </si>
  <si>
    <t>3746</t>
  </si>
  <si>
    <t>658.00</t>
  </si>
  <si>
    <t>936,334.00</t>
  </si>
  <si>
    <t>589,100.00</t>
  </si>
  <si>
    <t>347,234.00</t>
  </si>
  <si>
    <t>3747</t>
  </si>
  <si>
    <t>379.50</t>
  </si>
  <si>
    <t>540,028.50</t>
  </si>
  <si>
    <t>366,400.00</t>
  </si>
  <si>
    <t>173,628.50</t>
  </si>
  <si>
    <t>3748</t>
  </si>
  <si>
    <t>2.56</t>
  </si>
  <si>
    <t>64.00</t>
  </si>
  <si>
    <t>91,072.00</t>
  </si>
  <si>
    <t>68,200.00</t>
  </si>
  <si>
    <t>22,872.00</t>
  </si>
  <si>
    <t>3749</t>
  </si>
  <si>
    <t>BETP06-PK</t>
  </si>
  <si>
    <t>(리뉴얼예정) 어성초 오투 버블 워시 오프 마스크팩</t>
  </si>
  <si>
    <t>149.50</t>
  </si>
  <si>
    <t>212,738.50</t>
  </si>
  <si>
    <t>3750</t>
  </si>
  <si>
    <t>4.27</t>
  </si>
  <si>
    <t>106.75</t>
  </si>
  <si>
    <t>151,905.25</t>
  </si>
  <si>
    <t>113,650.00</t>
  </si>
  <si>
    <t>38,255.25</t>
  </si>
  <si>
    <t>3751</t>
  </si>
  <si>
    <t>235.00</t>
  </si>
  <si>
    <t>334,405.00</t>
  </si>
  <si>
    <t>84,405.00</t>
  </si>
  <si>
    <t>3752</t>
  </si>
  <si>
    <t>3.05</t>
  </si>
  <si>
    <t>76.25</t>
  </si>
  <si>
    <t>108,503.75</t>
  </si>
  <si>
    <t>88,650.00</t>
  </si>
  <si>
    <t>19,853.75</t>
  </si>
  <si>
    <t>3753</t>
  </si>
  <si>
    <t>152.50</t>
  </si>
  <si>
    <t>217,007.50</t>
  </si>
  <si>
    <t>39,707.50</t>
  </si>
  <si>
    <t>3754</t>
  </si>
  <si>
    <t>1,122.50</t>
  </si>
  <si>
    <t>1,597,317.50</t>
  </si>
  <si>
    <t>427,317.50</t>
  </si>
  <si>
    <t>3755</t>
  </si>
  <si>
    <t>9,961.00</t>
  </si>
  <si>
    <t>273.00</t>
  </si>
  <si>
    <t>3,136.00</t>
  </si>
  <si>
    <t>3756</t>
  </si>
  <si>
    <t>119,532.00</t>
  </si>
  <si>
    <t>37,632.00</t>
  </si>
  <si>
    <t>3757</t>
  </si>
  <si>
    <t>56.00</t>
  </si>
  <si>
    <t>79,688.00</t>
  </si>
  <si>
    <t>54,600.00</t>
  </si>
  <si>
    <t>25,088.00</t>
  </si>
  <si>
    <t>3758</t>
  </si>
  <si>
    <t>182.00</t>
  </si>
  <si>
    <t>258,986.00</t>
  </si>
  <si>
    <t>177,450.00</t>
  </si>
  <si>
    <t>81,536.00</t>
  </si>
  <si>
    <t>3759</t>
  </si>
  <si>
    <t>40.00</t>
  </si>
  <si>
    <t>56,920.00</t>
  </si>
  <si>
    <t>27,300.00</t>
  </si>
  <si>
    <t>29,620.00</t>
  </si>
  <si>
    <t>3760</t>
  </si>
  <si>
    <t>278,908.00</t>
  </si>
  <si>
    <t>87,808.00</t>
  </si>
  <si>
    <t>3761</t>
  </si>
  <si>
    <t>42.00</t>
  </si>
  <si>
    <t>59,766.00</t>
  </si>
  <si>
    <t>40,950.00</t>
  </si>
  <si>
    <t>18,816.00</t>
  </si>
  <si>
    <t>3762</t>
  </si>
  <si>
    <t>99,610.00</t>
  </si>
  <si>
    <t>68,250.00</t>
  </si>
  <si>
    <t>31,360.00</t>
  </si>
  <si>
    <t>3763</t>
  </si>
  <si>
    <t>11.24</t>
  </si>
  <si>
    <t>157.36</t>
  </si>
  <si>
    <t>223,923.28</t>
  </si>
  <si>
    <t>104,440.00</t>
  </si>
  <si>
    <t>119,483.28</t>
  </si>
  <si>
    <t>3764</t>
  </si>
  <si>
    <t>531.36</t>
  </si>
  <si>
    <t>756,125.28</t>
  </si>
  <si>
    <t>510,840.00</t>
  </si>
  <si>
    <t>245,285.28</t>
  </si>
  <si>
    <t>3765</t>
  </si>
  <si>
    <t>4,218.00</t>
  </si>
  <si>
    <t>6,002,214.00</t>
  </si>
  <si>
    <t>2,402,214.00</t>
  </si>
  <si>
    <t>3766</t>
  </si>
  <si>
    <t>3,374.40</t>
  </si>
  <si>
    <t>4,801,771.20</t>
  </si>
  <si>
    <t>1,921,771.20</t>
  </si>
  <si>
    <t>3767</t>
  </si>
  <si>
    <t>BODP04-MHS</t>
  </si>
  <si>
    <t>[EN][4매입]하이드로 세라놀 리얼 딥 마스크</t>
  </si>
  <si>
    <t>2,986.20</t>
  </si>
  <si>
    <t>4,249,362.60</t>
  </si>
  <si>
    <t>1,729,362.60</t>
  </si>
  <si>
    <t>40.7</t>
  </si>
  <si>
    <t>3768</t>
  </si>
  <si>
    <t>19.68</t>
  </si>
  <si>
    <t>1,400,232.00</t>
  </si>
  <si>
    <t>599,732.00</t>
  </si>
  <si>
    <t>3769</t>
  </si>
  <si>
    <t>18.62</t>
  </si>
  <si>
    <t>1,489.60</t>
  </si>
  <si>
    <t>2,119,700.80</t>
  </si>
  <si>
    <t>1,104,800.00</t>
  </si>
  <si>
    <t>1,014,900.80</t>
  </si>
  <si>
    <t>3770</t>
  </si>
  <si>
    <t>16.87</t>
  </si>
  <si>
    <t>1,349.60</t>
  </si>
  <si>
    <t>1,920,480.80</t>
  </si>
  <si>
    <t>1,026,400.00</t>
  </si>
  <si>
    <t>894,080.80</t>
  </si>
  <si>
    <t>3771</t>
  </si>
  <si>
    <t>CLIOCM98-C001</t>
  </si>
  <si>
    <t>버터밤크레용 기획세트 001 핑크포스터 (샤프너증정)</t>
  </si>
  <si>
    <t>클리오</t>
  </si>
  <si>
    <t>28,090.02</t>
  </si>
  <si>
    <t>3,544.02</t>
  </si>
  <si>
    <t>3772</t>
  </si>
  <si>
    <t>CLIOCM98-C004</t>
  </si>
  <si>
    <t>버터밤크레용 기획세트 004 모던아트베이지 (샤프너증정)</t>
  </si>
  <si>
    <t>3773</t>
  </si>
  <si>
    <t>CLIOCM98-C006</t>
  </si>
  <si>
    <t>버터밤크레용 기획세트 006 브리즈애플 (샤프너증정)</t>
  </si>
  <si>
    <t>13.16</t>
  </si>
  <si>
    <t>18,726.68</t>
  </si>
  <si>
    <t>2,362.68</t>
  </si>
  <si>
    <t>3774</t>
  </si>
  <si>
    <t>CLIOCM98-C008</t>
  </si>
  <si>
    <t>버터밤크레용 기획세트 008 팝아트베리 (샤프너증정)</t>
  </si>
  <si>
    <t>3775</t>
  </si>
  <si>
    <t>CLIOCM98-C009</t>
  </si>
  <si>
    <t>버터밤크레용 기획세트 009 젠틀크림피치 (샤프너증정)</t>
  </si>
  <si>
    <t>3776</t>
  </si>
  <si>
    <t>421,208.00</t>
  </si>
  <si>
    <t>309,100.00</t>
  </si>
  <si>
    <t>112,108.00</t>
  </si>
  <si>
    <t>3777</t>
  </si>
  <si>
    <t>45,455.00</t>
  </si>
  <si>
    <t>-45,455.00</t>
  </si>
  <si>
    <t>3778</t>
  </si>
  <si>
    <t>41,820.00</t>
  </si>
  <si>
    <t>-41,820.00</t>
  </si>
  <si>
    <t>3779</t>
  </si>
  <si>
    <t>13,274.00</t>
  </si>
  <si>
    <t>-13,274.00</t>
  </si>
  <si>
    <t>3780</t>
  </si>
  <si>
    <t>cosC05-Gel</t>
  </si>
  <si>
    <t>약산성 굿모닝 젤 클렌져 150ml</t>
  </si>
  <si>
    <t>3.52</t>
  </si>
  <si>
    <t>4,758,512.00</t>
  </si>
  <si>
    <t>4,275,000.00</t>
  </si>
  <si>
    <t>483,512.00</t>
  </si>
  <si>
    <t>10.2</t>
  </si>
  <si>
    <t>3781</t>
  </si>
  <si>
    <t>cosC05-OC</t>
  </si>
  <si>
    <t>약산성 나이아신아마이드 미셀라 클렌징 워터 400ml</t>
  </si>
  <si>
    <t>302.50</t>
  </si>
  <si>
    <t>430,457.50</t>
  </si>
  <si>
    <t>3782</t>
  </si>
  <si>
    <t>cosC05-PG</t>
  </si>
  <si>
    <t>약산성 굿나잇 소프트 필링 젤 120ml</t>
  </si>
  <si>
    <t>257,733.76</t>
  </si>
  <si>
    <t>7,228.00</t>
  </si>
  <si>
    <t>231,296.00</t>
  </si>
  <si>
    <t>26,437.76</t>
  </si>
  <si>
    <t>3783</t>
  </si>
  <si>
    <t>cosC08-SAclean</t>
  </si>
  <si>
    <t>살리실산 데일리 젠틀 클렌져 150ml</t>
  </si>
  <si>
    <t>1,936.00</t>
  </si>
  <si>
    <t>2,754,928.00</t>
  </si>
  <si>
    <t>2,475,000.00</t>
  </si>
  <si>
    <t>279,928.00</t>
  </si>
  <si>
    <t>3784</t>
  </si>
  <si>
    <t>cosC45-F</t>
  </si>
  <si>
    <t>하이드리움 트리플 히알루로닉 모이스처라이징 클렌저 150ml</t>
  </si>
  <si>
    <t>212.98</t>
  </si>
  <si>
    <t>303,070.54</t>
  </si>
  <si>
    <t>271,860.00</t>
  </si>
  <si>
    <t>31,210.54</t>
  </si>
  <si>
    <t>3785</t>
  </si>
  <si>
    <t>18.52</t>
  </si>
  <si>
    <t>26,353.96</t>
  </si>
  <si>
    <t>23,640.00</t>
  </si>
  <si>
    <t>2,713.96</t>
  </si>
  <si>
    <t>3786</t>
  </si>
  <si>
    <t>cosP01-mpatch</t>
  </si>
  <si>
    <t>아크네 핌플 마스터 패치 [1매]</t>
  </si>
  <si>
    <t>1,707,600.00</t>
  </si>
  <si>
    <t>1,591.00</t>
  </si>
  <si>
    <t>1,527,360.00</t>
  </si>
  <si>
    <t>180,240.00</t>
  </si>
  <si>
    <t>10.6</t>
  </si>
  <si>
    <t>3787</t>
  </si>
  <si>
    <t>4,425.00</t>
  </si>
  <si>
    <t>6,296,775.00</t>
  </si>
  <si>
    <t>5,632,140.00</t>
  </si>
  <si>
    <t>664,635.00</t>
  </si>
  <si>
    <t>3788</t>
  </si>
  <si>
    <t>cosP07-CpadN</t>
  </si>
  <si>
    <t>[NEW] 원스텝 오리지널 클리어 패드 70매/140ml</t>
  </si>
  <si>
    <t>747.60</t>
  </si>
  <si>
    <t>1,063,834.80</t>
  </si>
  <si>
    <t>954,600.00</t>
  </si>
  <si>
    <t>109,234.80</t>
  </si>
  <si>
    <t>3789</t>
  </si>
  <si>
    <t>cosP10-JumboR</t>
  </si>
  <si>
    <t>찹쌀 쫀쫀팩 60ml</t>
  </si>
  <si>
    <t>2,280.00</t>
  </si>
  <si>
    <t>3,244,440.00</t>
  </si>
  <si>
    <t>2,909,200.00</t>
  </si>
  <si>
    <t>335,240.00</t>
  </si>
  <si>
    <t>3790</t>
  </si>
  <si>
    <t>cosP21-PK</t>
  </si>
  <si>
    <t>풀핏 프로폴리스 허니 오버나이트 마스크 60ml</t>
  </si>
  <si>
    <t>6.76</t>
  </si>
  <si>
    <t>236.60</t>
  </si>
  <si>
    <t>336,681.80</t>
  </si>
  <si>
    <t>302,295.00</t>
  </si>
  <si>
    <t>34,386.80</t>
  </si>
  <si>
    <t>3791</t>
  </si>
  <si>
    <t>cosP28-PK</t>
  </si>
  <si>
    <t>포어리스 클래리파잉 차콜 마스크 110g</t>
  </si>
  <si>
    <t>641.00</t>
  </si>
  <si>
    <t>912,143.00</t>
  </si>
  <si>
    <t>93,943.00</t>
  </si>
  <si>
    <t>3792</t>
  </si>
  <si>
    <t>cosP34-BL</t>
  </si>
  <si>
    <t>밸런시움 세라마이드 립 버터 슬리핑 마스크 20 g</t>
  </si>
  <si>
    <t>783.00</t>
  </si>
  <si>
    <t>1,114,209.00</t>
  </si>
  <si>
    <t>3793</t>
  </si>
  <si>
    <t>cosP77-Patch</t>
  </si>
  <si>
    <t>클리어 핏 마스터 패치 (소마덤스팟-에스) (10mmx18ea)</t>
  </si>
  <si>
    <t>375.00</t>
  </si>
  <si>
    <t>533,625.00</t>
  </si>
  <si>
    <t>477,300.00</t>
  </si>
  <si>
    <t>56,325.00</t>
  </si>
  <si>
    <t>3794</t>
  </si>
  <si>
    <t>8,788.00</t>
  </si>
  <si>
    <t>12,505,324.00</t>
  </si>
  <si>
    <t>11,228,100.00</t>
  </si>
  <si>
    <t>1,277,224.00</t>
  </si>
  <si>
    <t>3795</t>
  </si>
  <si>
    <t>cosS02-E</t>
  </si>
  <si>
    <t>어드벤스드 스네일 펩타이드 아이 크림 25ml</t>
  </si>
  <si>
    <t>3,560.00</t>
  </si>
  <si>
    <t>5,065,880.00</t>
  </si>
  <si>
    <t>4,545,600.00</t>
  </si>
  <si>
    <t>520,280.00</t>
  </si>
  <si>
    <t>3796</t>
  </si>
  <si>
    <t>cosS02-Essence</t>
  </si>
  <si>
    <t>어드벤스드 스네일 96 뮤신 파워 에센스 100ml</t>
  </si>
  <si>
    <t>8,970.00</t>
  </si>
  <si>
    <t>12,764,310.00</t>
  </si>
  <si>
    <t>11,455,500.00</t>
  </si>
  <si>
    <t>1,308,810.00</t>
  </si>
  <si>
    <t>3797</t>
  </si>
  <si>
    <t>cosS02-PATCH</t>
  </si>
  <si>
    <t>어드벤스드 스네일 하이드로겔 아이 패치 60매</t>
  </si>
  <si>
    <t>1,710.00</t>
  </si>
  <si>
    <t>2,433,330.00</t>
  </si>
  <si>
    <t>10,910.00</t>
  </si>
  <si>
    <t>2,182,000.00</t>
  </si>
  <si>
    <t>251,330.00</t>
  </si>
  <si>
    <t>3798</t>
  </si>
  <si>
    <t>3799</t>
  </si>
  <si>
    <t>cosS03-Liquid</t>
  </si>
  <si>
    <t>AHA 7 화이트 헤드 파워 리퀴드 100ml</t>
  </si>
  <si>
    <t>832.50</t>
  </si>
  <si>
    <t>1,184,647.50</t>
  </si>
  <si>
    <t>1,063,650.00</t>
  </si>
  <si>
    <t>120,997.50</t>
  </si>
  <si>
    <t>3800</t>
  </si>
  <si>
    <t>cosS03-T</t>
  </si>
  <si>
    <t>아하바하 클래리파잉 트리트먼트 토너 150ml</t>
  </si>
  <si>
    <t>2,020.50</t>
  </si>
  <si>
    <t>2,875,171.50</t>
  </si>
  <si>
    <t>3801</t>
  </si>
  <si>
    <t>cosS04-Liquid</t>
  </si>
  <si>
    <t>BHA 블랙헤드 파워 리퀴드 100ml</t>
  </si>
  <si>
    <t>3,295.00</t>
  </si>
  <si>
    <t>4,688,785.00</t>
  </si>
  <si>
    <t>8,410.00</t>
  </si>
  <si>
    <t>4,205,000.00</t>
  </si>
  <si>
    <t>483,785.00</t>
  </si>
  <si>
    <t>3802</t>
  </si>
  <si>
    <t>164.75</t>
  </si>
  <si>
    <t>234,439.25</t>
  </si>
  <si>
    <t>3803</t>
  </si>
  <si>
    <t>cosS17-C</t>
  </si>
  <si>
    <t>히아루론산 인텐시브 크림 100g</t>
  </si>
  <si>
    <t>1,735.00</t>
  </si>
  <si>
    <t>2,468,905.00</t>
  </si>
  <si>
    <t>3804</t>
  </si>
  <si>
    <t>cosS17-Essence</t>
  </si>
  <si>
    <t>히아루론산 하이드라 파워 에센스 100ml</t>
  </si>
  <si>
    <t>329.50</t>
  </si>
  <si>
    <t>468,878.50</t>
  </si>
  <si>
    <t>420,500.00</t>
  </si>
  <si>
    <t>48,378.50</t>
  </si>
  <si>
    <t>3805</t>
  </si>
  <si>
    <t>cosS21-CL</t>
  </si>
  <si>
    <t>풀핏 프로폴리스 라이트 크림 65ml</t>
  </si>
  <si>
    <t>887.33</t>
  </si>
  <si>
    <t>1,262,670.59</t>
  </si>
  <si>
    <t>12,728.00</t>
  </si>
  <si>
    <t>1,132,792.00</t>
  </si>
  <si>
    <t>129,878.59</t>
  </si>
  <si>
    <t>3806</t>
  </si>
  <si>
    <t>cosS26-C</t>
  </si>
  <si>
    <t>밸런시움 컴포트 세라마이드 크림 80g</t>
  </si>
  <si>
    <t>8.19</t>
  </si>
  <si>
    <t>1,228.50</t>
  </si>
  <si>
    <t>1,748,155.50</t>
  </si>
  <si>
    <t>3807</t>
  </si>
  <si>
    <t>cosS45-EC</t>
  </si>
  <si>
    <t>하이드리움 모이스처 파워 인리치드 크림 50ml</t>
  </si>
  <si>
    <t>1,165,437.00</t>
  </si>
  <si>
    <t>10,455.00</t>
  </si>
  <si>
    <t>1,045,500.00</t>
  </si>
  <si>
    <t>119,937.00</t>
  </si>
  <si>
    <t>3808</t>
  </si>
  <si>
    <t>cosS45-GC</t>
  </si>
  <si>
    <t>하이드리움 그린티 아쿠아 수딩 젤 크림 50ml</t>
  </si>
  <si>
    <t>409.50</t>
  </si>
  <si>
    <t>582,718.50</t>
  </si>
  <si>
    <t>522,750.00</t>
  </si>
  <si>
    <t>59,968.50</t>
  </si>
  <si>
    <t>3809</t>
  </si>
  <si>
    <t>cosS45-MA</t>
  </si>
  <si>
    <t>하이드리움 트리플 히알루로닉 모이스처 앰플 40ml</t>
  </si>
  <si>
    <t>649.80</t>
  </si>
  <si>
    <t>924,665.40</t>
  </si>
  <si>
    <t>829,160.00</t>
  </si>
  <si>
    <t>95,505.40</t>
  </si>
  <si>
    <t>3810</t>
  </si>
  <si>
    <t>cosS55-PL</t>
  </si>
  <si>
    <t>투인원 포어리스 파워 리퀴드 100ml</t>
  </si>
  <si>
    <t>338.00</t>
  </si>
  <si>
    <t>480,974.00</t>
  </si>
  <si>
    <t>431,850.00</t>
  </si>
  <si>
    <t>49,124.00</t>
  </si>
  <si>
    <t>3811</t>
  </si>
  <si>
    <t>cosS56-PATCHb</t>
  </si>
  <si>
    <t>코스알엑스 마스터 패치 베이직_90pcs</t>
  </si>
  <si>
    <t>49.84</t>
  </si>
  <si>
    <t>70,922.32</t>
  </si>
  <si>
    <t>63,637.00</t>
  </si>
  <si>
    <t>7,285.32</t>
  </si>
  <si>
    <t>3812</t>
  </si>
  <si>
    <t>306.16</t>
  </si>
  <si>
    <t>435,665.68</t>
  </si>
  <si>
    <t>390,913.00</t>
  </si>
  <si>
    <t>44,752.68</t>
  </si>
  <si>
    <t>3813</t>
  </si>
  <si>
    <t>cosS56-PATCHX</t>
  </si>
  <si>
    <t>코스알엑스 마스터 패치 엑스라지_10pcs</t>
  </si>
  <si>
    <t>570.00</t>
  </si>
  <si>
    <t>811,110.00</t>
  </si>
  <si>
    <t>727,300.00</t>
  </si>
  <si>
    <t>83,810.00</t>
  </si>
  <si>
    <t>3814</t>
  </si>
  <si>
    <t>1,780.00</t>
  </si>
  <si>
    <t>2,532,940.00</t>
  </si>
  <si>
    <t>2,272,800.00</t>
  </si>
  <si>
    <t>260,140.00</t>
  </si>
  <si>
    <t>3815</t>
  </si>
  <si>
    <t>cosS58-OIL</t>
  </si>
  <si>
    <t>더 레티놀 0.5 오일 20ml</t>
  </si>
  <si>
    <t>694.20</t>
  </si>
  <si>
    <t>987,846.60</t>
  </si>
  <si>
    <t>886,392.00</t>
  </si>
  <si>
    <t>101,454.60</t>
  </si>
  <si>
    <t>3816</t>
  </si>
  <si>
    <t>53.40</t>
  </si>
  <si>
    <t>75,988.20</t>
  </si>
  <si>
    <t>68,184.00</t>
  </si>
  <si>
    <t>7,804.20</t>
  </si>
  <si>
    <t>3817</t>
  </si>
  <si>
    <t>2,367.40</t>
  </si>
  <si>
    <t>3,368,810.20</t>
  </si>
  <si>
    <t>3,022,824.00</t>
  </si>
  <si>
    <t>345,986.20</t>
  </si>
  <si>
    <t>3818</t>
  </si>
  <si>
    <t>cosS58-Sh</t>
  </si>
  <si>
    <t>더 히알루론산 3 세럼 20ml</t>
  </si>
  <si>
    <t>3819</t>
  </si>
  <si>
    <t>cosS58-Sn</t>
  </si>
  <si>
    <t>더 나이아신아마이드 15 세럼 20ml</t>
  </si>
  <si>
    <t>1,568,250.00</t>
  </si>
  <si>
    <t>179,905.50</t>
  </si>
  <si>
    <t>3820</t>
  </si>
  <si>
    <t>cosS58-SP</t>
  </si>
  <si>
    <t>더 6 펩타이드 스킨 부스터 세럼 150ml</t>
  </si>
  <si>
    <t>2,457.00</t>
  </si>
  <si>
    <t>3,496,311.00</t>
  </si>
  <si>
    <t>3,136,500.00</t>
  </si>
  <si>
    <t>359,811.00</t>
  </si>
  <si>
    <t>3821</t>
  </si>
  <si>
    <t>cosS58-Sv</t>
  </si>
  <si>
    <t>더 비타민씨 23 세럼 20g</t>
  </si>
  <si>
    <t>2,686.32</t>
  </si>
  <si>
    <t>3,822,633.36</t>
  </si>
  <si>
    <t>3,429,240.00</t>
  </si>
  <si>
    <t>393,393.36</t>
  </si>
  <si>
    <t>3822</t>
  </si>
  <si>
    <t>180.18</t>
  </si>
  <si>
    <t>256,396.14</t>
  </si>
  <si>
    <t>230,010.00</t>
  </si>
  <si>
    <t>26,386.14</t>
  </si>
  <si>
    <t>3823</t>
  </si>
  <si>
    <t>cosS58-Sv13</t>
  </si>
  <si>
    <t>더 비타민씨 13 세럼 20ml</t>
  </si>
  <si>
    <t>3824</t>
  </si>
  <si>
    <t>cosS88-C</t>
  </si>
  <si>
    <t>리프레쉬 아하바하비타민씨 데일리 크림 50ml</t>
  </si>
  <si>
    <t>3825</t>
  </si>
  <si>
    <t>cosS88-T150</t>
  </si>
  <si>
    <t>리프레쉬 아하바하비타민씨 데일리 토너 150ml</t>
  </si>
  <si>
    <t>379,941.00</t>
  </si>
  <si>
    <t>6,819.00</t>
  </si>
  <si>
    <t>340,950.00</t>
  </si>
  <si>
    <t>38,991.00</t>
  </si>
  <si>
    <t>3826</t>
  </si>
  <si>
    <t>cosSM59-SC</t>
  </si>
  <si>
    <t>(OTC ver.)비타민 E 바이탈라이징 선스크린 50ml</t>
  </si>
  <si>
    <t>116,543.70</t>
  </si>
  <si>
    <t>104,550.00</t>
  </si>
  <si>
    <t>11,993.70</t>
  </si>
  <si>
    <t>3827</t>
  </si>
  <si>
    <t>590.00</t>
  </si>
  <si>
    <t>839,570.00</t>
  </si>
  <si>
    <t>627,300.00</t>
  </si>
  <si>
    <t>212,270.00</t>
  </si>
  <si>
    <t>3828</t>
  </si>
  <si>
    <t>1,272</t>
  </si>
  <si>
    <t>11,918.64</t>
  </si>
  <si>
    <t>16,960,224.72</t>
  </si>
  <si>
    <t>14,386,320.00</t>
  </si>
  <si>
    <t>2,573,904.72</t>
  </si>
  <si>
    <t>3829</t>
  </si>
  <si>
    <t>2,246</t>
  </si>
  <si>
    <t>21,045.02</t>
  </si>
  <si>
    <t>29,947,063.46</t>
  </si>
  <si>
    <t>25,402,260.00</t>
  </si>
  <si>
    <t>4,544,803.46</t>
  </si>
  <si>
    <t>3830</t>
  </si>
  <si>
    <t>6,482</t>
  </si>
  <si>
    <t>60,736.34</t>
  </si>
  <si>
    <t>86,427,811.82</t>
  </si>
  <si>
    <t>73,311,420.00</t>
  </si>
  <si>
    <t>13,116,391.82</t>
  </si>
  <si>
    <t>3831</t>
  </si>
  <si>
    <t>FSP05-MCEr</t>
  </si>
  <si>
    <t>(리뉴얼코드확인 (1매입) 리얼 깔라만시 에센스 마스크</t>
  </si>
  <si>
    <t>팜스테이</t>
  </si>
  <si>
    <t>0.17</t>
  </si>
  <si>
    <t>1.70</t>
  </si>
  <si>
    <t>2,419.10</t>
  </si>
  <si>
    <t>164.00</t>
  </si>
  <si>
    <t>1,640.00</t>
  </si>
  <si>
    <t>779.10</t>
  </si>
  <si>
    <t>3832</t>
  </si>
  <si>
    <t>FSP05-MMAr</t>
  </si>
  <si>
    <t>(리뉴얼코드확인) (1매입) 리얼 망고 에센스 마스크</t>
  </si>
  <si>
    <t>6,047.75</t>
  </si>
  <si>
    <t>160.00</t>
  </si>
  <si>
    <t>2,047.75</t>
  </si>
  <si>
    <t>3833</t>
  </si>
  <si>
    <t>FSS33-A</t>
  </si>
  <si>
    <t>티트리 바이옴 카밍 앰플</t>
  </si>
  <si>
    <t>9,733.32</t>
  </si>
  <si>
    <t>5,551.32</t>
  </si>
  <si>
    <t>57.0</t>
  </si>
  <si>
    <t>3834</t>
  </si>
  <si>
    <t>FSS33-TEC</t>
  </si>
  <si>
    <t>티트리 바이옴 카밍 아이크림 50ml</t>
  </si>
  <si>
    <t>99.75</t>
  </si>
  <si>
    <t>141,944.25</t>
  </si>
  <si>
    <t>79,550.00</t>
  </si>
  <si>
    <t>62,394.25</t>
  </si>
  <si>
    <t>3835</t>
  </si>
  <si>
    <t>FSS33-WC</t>
  </si>
  <si>
    <t>티트리 바이옴 카밍 워터 크림 80ml</t>
  </si>
  <si>
    <t>179.50</t>
  </si>
  <si>
    <t>255,428.50</t>
  </si>
  <si>
    <t>141,778.50</t>
  </si>
  <si>
    <t>55.5</t>
  </si>
  <si>
    <t>3836</t>
  </si>
  <si>
    <t>FSS35-A</t>
  </si>
  <si>
    <t>시트러스 유자 바이탈라이징 앰플 250ml</t>
  </si>
  <si>
    <t>136.64</t>
  </si>
  <si>
    <t>194,438.72</t>
  </si>
  <si>
    <t>66,438.72</t>
  </si>
  <si>
    <t>3837</t>
  </si>
  <si>
    <t>FSS35-C</t>
  </si>
  <si>
    <t>시트러스 유자 바이탈라이징 크림 100g</t>
  </si>
  <si>
    <t>10.26</t>
  </si>
  <si>
    <t>14,599.98</t>
  </si>
  <si>
    <t>5,053.98</t>
  </si>
  <si>
    <t>3838</t>
  </si>
  <si>
    <t>FSS35-E</t>
  </si>
  <si>
    <t>시트러스 유자 바이탈라이징 에멀전 280ml</t>
  </si>
  <si>
    <t>2.21</t>
  </si>
  <si>
    <t>22.10</t>
  </si>
  <si>
    <t>31,448.30</t>
  </si>
  <si>
    <t>19,200.00</t>
  </si>
  <si>
    <t>12,248.30</t>
  </si>
  <si>
    <t>3839</t>
  </si>
  <si>
    <t>FSS35-S</t>
  </si>
  <si>
    <t>시트러스 유자 바이탈라이징 세럼 100ml</t>
  </si>
  <si>
    <t>23.94</t>
  </si>
  <si>
    <t>34,066.62</t>
  </si>
  <si>
    <t>21,000.00</t>
  </si>
  <si>
    <t>13,066.62</t>
  </si>
  <si>
    <t>3840</t>
  </si>
  <si>
    <t>FWCM05-IS02</t>
  </si>
  <si>
    <t>모어무드 아이팔레트 2호 모어 댄 코랄 11.5g</t>
  </si>
  <si>
    <t>12.54</t>
  </si>
  <si>
    <t>17,844.42</t>
  </si>
  <si>
    <t>5,594.42</t>
  </si>
  <si>
    <t>3841</t>
  </si>
  <si>
    <t>25.08</t>
  </si>
  <si>
    <t>35,688.84</t>
  </si>
  <si>
    <t>24,500.00</t>
  </si>
  <si>
    <t>11,188.84</t>
  </si>
  <si>
    <t>3842</t>
  </si>
  <si>
    <t>GGC03-F</t>
  </si>
  <si>
    <t>하이드레이팅 진저 워터 폼 클렌저 150ml</t>
  </si>
  <si>
    <t>진저6</t>
  </si>
  <si>
    <t>3843</t>
  </si>
  <si>
    <t>GGS01-T</t>
  </si>
  <si>
    <t>라이크 화이트 블라썸 에센스 토너 150ml</t>
  </si>
  <si>
    <t>3844</t>
  </si>
  <si>
    <t>GGS02-C</t>
  </si>
  <si>
    <t>액티브 워터크림 50ml</t>
  </si>
  <si>
    <t>3845</t>
  </si>
  <si>
    <t>35,910.00</t>
  </si>
  <si>
    <t>-35,910.00</t>
  </si>
  <si>
    <t>3846</t>
  </si>
  <si>
    <t>31,365.00</t>
  </si>
  <si>
    <t>-31,365.00</t>
  </si>
  <si>
    <t>3847</t>
  </si>
  <si>
    <t>27,205.00</t>
  </si>
  <si>
    <t>-27,205.00</t>
  </si>
  <si>
    <t>3848</t>
  </si>
  <si>
    <t>3849</t>
  </si>
  <si>
    <t>29,020.00</t>
  </si>
  <si>
    <t>-29,020.00</t>
  </si>
  <si>
    <t>3850</t>
  </si>
  <si>
    <t>3851</t>
  </si>
  <si>
    <t>-45,000.00</t>
  </si>
  <si>
    <t>3852</t>
  </si>
  <si>
    <t>3853</t>
  </si>
  <si>
    <t>3854</t>
  </si>
  <si>
    <t>-15,000.00</t>
  </si>
  <si>
    <t>3855</t>
  </si>
  <si>
    <t>3856</t>
  </si>
  <si>
    <t>HGS01-M2</t>
  </si>
  <si>
    <t>올인원 미스트 100ml</t>
  </si>
  <si>
    <t>72.20</t>
  </si>
  <si>
    <t>102,740.60</t>
  </si>
  <si>
    <t>3857</t>
  </si>
  <si>
    <t>188.75</t>
  </si>
  <si>
    <t>268,591.25</t>
  </si>
  <si>
    <t>170,000.00</t>
  </si>
  <si>
    <t>98,591.25</t>
  </si>
  <si>
    <t>3858</t>
  </si>
  <si>
    <t>6.85</t>
  </si>
  <si>
    <t>315.10</t>
  </si>
  <si>
    <t>448,387.30</t>
  </si>
  <si>
    <t>368,000.00</t>
  </si>
  <si>
    <t>80,387.30</t>
  </si>
  <si>
    <t>3859</t>
  </si>
  <si>
    <t>342.50</t>
  </si>
  <si>
    <t>487,377.50</t>
  </si>
  <si>
    <t>87,377.50</t>
  </si>
  <si>
    <t>3860</t>
  </si>
  <si>
    <t>HLSS04-CSm</t>
  </si>
  <si>
    <t>(단종)스네일 뮤신 88 + 펩타이드 크림 30ml</t>
  </si>
  <si>
    <t>3.63</t>
  </si>
  <si>
    <t>726.00</t>
  </si>
  <si>
    <t>1,033,098.00</t>
  </si>
  <si>
    <t>253,098.00</t>
  </si>
  <si>
    <t>3861</t>
  </si>
  <si>
    <t>HLSSM03-SCa</t>
  </si>
  <si>
    <t>(단종) 어썬 에어리핏 선크림 SPF 50ml (본품)</t>
  </si>
  <si>
    <t>1,114.00</t>
  </si>
  <si>
    <t>1,585,222.00</t>
  </si>
  <si>
    <t>1,180,000.00</t>
  </si>
  <si>
    <t>405,222.00</t>
  </si>
  <si>
    <t>3862</t>
  </si>
  <si>
    <t>329.00</t>
  </si>
  <si>
    <t>468,167.00</t>
  </si>
  <si>
    <t>183,167.00</t>
  </si>
  <si>
    <t>3863</t>
  </si>
  <si>
    <t>3864</t>
  </si>
  <si>
    <t>3865</t>
  </si>
  <si>
    <t>486,666.00</t>
  </si>
  <si>
    <t>115,666.00</t>
  </si>
  <si>
    <t>3866</t>
  </si>
  <si>
    <t>961.50</t>
  </si>
  <si>
    <t>1,368,214.50</t>
  </si>
  <si>
    <t>1,030,950.00</t>
  </si>
  <si>
    <t>337,264.50</t>
  </si>
  <si>
    <t>3867</t>
  </si>
  <si>
    <t>4,487.00</t>
  </si>
  <si>
    <t>6,385,001.00</t>
  </si>
  <si>
    <t>4,811,100.00</t>
  </si>
  <si>
    <t>1,573,901.00</t>
  </si>
  <si>
    <t>3868</t>
  </si>
  <si>
    <t>104.75</t>
  </si>
  <si>
    <t>149,059.25</t>
  </si>
  <si>
    <t>108,200.00</t>
  </si>
  <si>
    <t>40,859.25</t>
  </si>
  <si>
    <t>3869</t>
  </si>
  <si>
    <t>3870</t>
  </si>
  <si>
    <t>1,135,554.00</t>
  </si>
  <si>
    <t>738,200.00</t>
  </si>
  <si>
    <t>397,354.00</t>
  </si>
  <si>
    <t>3871</t>
  </si>
  <si>
    <t>21,273.00</t>
  </si>
  <si>
    <t>-21,273.00</t>
  </si>
  <si>
    <t>3872</t>
  </si>
  <si>
    <t>3873</t>
  </si>
  <si>
    <t>569.00</t>
  </si>
  <si>
    <t>809,687.00</t>
  </si>
  <si>
    <t>191,487.00</t>
  </si>
  <si>
    <t>3874</t>
  </si>
  <si>
    <t>262.00</t>
  </si>
  <si>
    <t>372,826.00</t>
  </si>
  <si>
    <t>291,000.00</t>
  </si>
  <si>
    <t>81,826.00</t>
  </si>
  <si>
    <t>3875</t>
  </si>
  <si>
    <t>108,167.00</t>
  </si>
  <si>
    <t>3876</t>
  </si>
  <si>
    <t>HMS01-TKRR</t>
  </si>
  <si>
    <t>(단종) 클렌징 키트</t>
  </si>
  <si>
    <t>364,999.50</t>
  </si>
  <si>
    <t>3,637.00</t>
  </si>
  <si>
    <t>181,850.00</t>
  </si>
  <si>
    <t>183,149.50</t>
  </si>
  <si>
    <t>3877</t>
  </si>
  <si>
    <t>1,368.00</t>
  </si>
  <si>
    <t>1,946,664.00</t>
  </si>
  <si>
    <t>1,418,400.00</t>
  </si>
  <si>
    <t>528,264.00</t>
  </si>
  <si>
    <t>3878</t>
  </si>
  <si>
    <t>209.25</t>
  </si>
  <si>
    <t>297,762.75</t>
  </si>
  <si>
    <t>165,475.00</t>
  </si>
  <si>
    <t>132,287.75</t>
  </si>
  <si>
    <t>3879</t>
  </si>
  <si>
    <t>140,925.00</t>
  </si>
  <si>
    <t>71,813.50</t>
  </si>
  <si>
    <t>3880</t>
  </si>
  <si>
    <t>22,584.00</t>
  </si>
  <si>
    <t>-22,584.00</t>
  </si>
  <si>
    <t>3881</t>
  </si>
  <si>
    <t>3882</t>
  </si>
  <si>
    <t>23,838.00</t>
  </si>
  <si>
    <t>-23,838.00</t>
  </si>
  <si>
    <t>3883</t>
  </si>
  <si>
    <t>18,600.00</t>
  </si>
  <si>
    <t>-18,600.00</t>
  </si>
  <si>
    <t>3884</t>
  </si>
  <si>
    <t>17,565.00</t>
  </si>
  <si>
    <t>-17,565.00</t>
  </si>
  <si>
    <t>3885</t>
  </si>
  <si>
    <t>3886</t>
  </si>
  <si>
    <t>3887</t>
  </si>
  <si>
    <t>3888</t>
  </si>
  <si>
    <t>HNCM03-IP03</t>
  </si>
  <si>
    <t>뉴 뎁스 아이섀도우 팔레트 03 라이크 어 씬 9.8g</t>
  </si>
  <si>
    <t>힌스</t>
  </si>
  <si>
    <t>12.61</t>
  </si>
  <si>
    <t>37.83</t>
  </si>
  <si>
    <t>53,832.09</t>
  </si>
  <si>
    <t>13,650.00</t>
  </si>
  <si>
    <t>12,882.09</t>
  </si>
  <si>
    <t>3889</t>
  </si>
  <si>
    <t>IDCC06-F</t>
  </si>
  <si>
    <t>(단종)나마스테 키튼 150ml</t>
  </si>
  <si>
    <t>97.76</t>
  </si>
  <si>
    <t>139,112.48</t>
  </si>
  <si>
    <t>8,235.15</t>
  </si>
  <si>
    <t>107,057.00</t>
  </si>
  <si>
    <t>32,055.48</t>
  </si>
  <si>
    <t>3890</t>
  </si>
  <si>
    <t>578.00</t>
  </si>
  <si>
    <t>822,494.00</t>
  </si>
  <si>
    <t>387,194.00</t>
  </si>
  <si>
    <t>3891</t>
  </si>
  <si>
    <t>867.00</t>
  </si>
  <si>
    <t>1,233,741.00</t>
  </si>
  <si>
    <t>652,950.00</t>
  </si>
  <si>
    <t>580,791.00</t>
  </si>
  <si>
    <t>3892</t>
  </si>
  <si>
    <t>289.00</t>
  </si>
  <si>
    <t>411,247.00</t>
  </si>
  <si>
    <t>4,327.40</t>
  </si>
  <si>
    <t>216,370.00</t>
  </si>
  <si>
    <t>194,877.00</t>
  </si>
  <si>
    <t>3893</t>
  </si>
  <si>
    <t>247.75</t>
  </si>
  <si>
    <t>352,548.25</t>
  </si>
  <si>
    <t>272,050.00</t>
  </si>
  <si>
    <t>80,498.25</t>
  </si>
  <si>
    <t>3894</t>
  </si>
  <si>
    <t>IDCP03-PKsr</t>
  </si>
  <si>
    <t>슈가 키튼 80ml</t>
  </si>
  <si>
    <t>9.23</t>
  </si>
  <si>
    <t>315,222.96</t>
  </si>
  <si>
    <t>240,264.00</t>
  </si>
  <si>
    <t>74,958.96</t>
  </si>
  <si>
    <t>3895</t>
  </si>
  <si>
    <t>ISNP10-PKMR</t>
  </si>
  <si>
    <t>머그워트 카밍 클레이 마스크 100ML</t>
  </si>
  <si>
    <t>192,143.00</t>
  </si>
  <si>
    <t>3896</t>
  </si>
  <si>
    <t>ISNP10-PKR</t>
  </si>
  <si>
    <t>(단종) 리얼 로즈 카밍 마스크 100ML</t>
  </si>
  <si>
    <t>160.25</t>
  </si>
  <si>
    <t>228,035.75</t>
  </si>
  <si>
    <t>48,035.75</t>
  </si>
  <si>
    <t>3897</t>
  </si>
  <si>
    <t>ISNS01-ACR</t>
  </si>
  <si>
    <t>히아루론산 아쿠아 젤 크림 100ml</t>
  </si>
  <si>
    <t>1,602.50</t>
  </si>
  <si>
    <t>2,280,357.50</t>
  </si>
  <si>
    <t>480,357.50</t>
  </si>
  <si>
    <t>3898</t>
  </si>
  <si>
    <t>ISNS01-TbR</t>
  </si>
  <si>
    <t>히아루론산 토너 400ml</t>
  </si>
  <si>
    <t>232.25</t>
  </si>
  <si>
    <t>330,491.75</t>
  </si>
  <si>
    <t>10,440.00</t>
  </si>
  <si>
    <t>69,491.75</t>
  </si>
  <si>
    <t>3899</t>
  </si>
  <si>
    <t>ISNS01-Tp</t>
  </si>
  <si>
    <t>히아루론산 토너 플러스 200ml</t>
  </si>
  <si>
    <t>153.84</t>
  </si>
  <si>
    <t>218,914.32</t>
  </si>
  <si>
    <t>46,114.32</t>
  </si>
  <si>
    <t>3900</t>
  </si>
  <si>
    <t>96.15</t>
  </si>
  <si>
    <t>136,821.45</t>
  </si>
  <si>
    <t>28,821.45</t>
  </si>
  <si>
    <t>3901</t>
  </si>
  <si>
    <t>ISNS01-TR</t>
  </si>
  <si>
    <t>히아루론산 토너 200ml</t>
  </si>
  <si>
    <t>51.30</t>
  </si>
  <si>
    <t>72,999.90</t>
  </si>
  <si>
    <t>15,399.90</t>
  </si>
  <si>
    <t>3902</t>
  </si>
  <si>
    <t>ISNS07-A</t>
  </si>
  <si>
    <t>씨-나이아신 토닝 앰플 50ml</t>
  </si>
  <si>
    <t>328.50</t>
  </si>
  <si>
    <t>467,455.50</t>
  </si>
  <si>
    <t>7,380.00</t>
  </si>
  <si>
    <t>369,000.00</t>
  </si>
  <si>
    <t>98,455.50</t>
  </si>
  <si>
    <t>3903</t>
  </si>
  <si>
    <t>90,161.28</t>
  </si>
  <si>
    <t>71,280.00</t>
  </si>
  <si>
    <t>18,881.28</t>
  </si>
  <si>
    <t>3904</t>
  </si>
  <si>
    <t>ISNS12-A</t>
  </si>
  <si>
    <t>TW-리얼 비피다 앰플 50ML</t>
  </si>
  <si>
    <t>7.85</t>
  </si>
  <si>
    <t>392.50</t>
  </si>
  <si>
    <t>558,527.50</t>
  </si>
  <si>
    <t>117,527.50</t>
  </si>
  <si>
    <t>3905</t>
  </si>
  <si>
    <t>ISNS12-I</t>
  </si>
  <si>
    <t>[리뉴얼예정] TW-리얼 아이크림 30ML</t>
  </si>
  <si>
    <t>134.50</t>
  </si>
  <si>
    <t>191,393.50</t>
  </si>
  <si>
    <t>6,048.00</t>
  </si>
  <si>
    <t>40,193.50</t>
  </si>
  <si>
    <t>3906</t>
  </si>
  <si>
    <t>1.28</t>
  </si>
  <si>
    <t>128.00</t>
  </si>
  <si>
    <t>182,144.00</t>
  </si>
  <si>
    <t>38,144.00</t>
  </si>
  <si>
    <t>3907</t>
  </si>
  <si>
    <t>184.25</t>
  </si>
  <si>
    <t>262,187.75</t>
  </si>
  <si>
    <t>8,280.00</t>
  </si>
  <si>
    <t>55,187.75</t>
  </si>
  <si>
    <t>3908</t>
  </si>
  <si>
    <t>ISNS20-T</t>
  </si>
  <si>
    <t>참마 비건_밀크_보습 토너_200ml</t>
  </si>
  <si>
    <t>3909</t>
  </si>
  <si>
    <t>133.50</t>
  </si>
  <si>
    <t>189,970.50</t>
  </si>
  <si>
    <t>162,500.00</t>
  </si>
  <si>
    <t>27,470.50</t>
  </si>
  <si>
    <t>3910</t>
  </si>
  <si>
    <t>1,398.00</t>
  </si>
  <si>
    <t>1,989,354.00</t>
  </si>
  <si>
    <t>309,354.00</t>
  </si>
  <si>
    <t>3911</t>
  </si>
  <si>
    <t>1,434.00</t>
  </si>
  <si>
    <t>2,040,582.00</t>
  </si>
  <si>
    <t>640,582.00</t>
  </si>
  <si>
    <t>3912</t>
  </si>
  <si>
    <t>7,689.00</t>
  </si>
  <si>
    <t>10,941,447.00</t>
  </si>
  <si>
    <t>9,240,000.00</t>
  </si>
  <si>
    <t>1,701,447.00</t>
  </si>
  <si>
    <t>3913</t>
  </si>
  <si>
    <t>6,919.00</t>
  </si>
  <si>
    <t>9,845,737.00</t>
  </si>
  <si>
    <t>8,316,000.00</t>
  </si>
  <si>
    <t>1,529,737.00</t>
  </si>
  <si>
    <t>3914</t>
  </si>
  <si>
    <t>41,950.00</t>
  </si>
  <si>
    <t>59,694,850.00</t>
  </si>
  <si>
    <t>50,400,000.00</t>
  </si>
  <si>
    <t>9,294,850.00</t>
  </si>
  <si>
    <t>3915</t>
  </si>
  <si>
    <t>6,539.50</t>
  </si>
  <si>
    <t>9,305,708.50</t>
  </si>
  <si>
    <t>1,451,708.50</t>
  </si>
  <si>
    <t>3916</t>
  </si>
  <si>
    <t>1,508.76</t>
  </si>
  <si>
    <t>2,146,965.48</t>
  </si>
  <si>
    <t>1,813,560.00</t>
  </si>
  <si>
    <t>333,405.48</t>
  </si>
  <si>
    <t>3917</t>
  </si>
  <si>
    <t>867.24</t>
  </si>
  <si>
    <t>1,234,082.52</t>
  </si>
  <si>
    <t>3918</t>
  </si>
  <si>
    <t>17,820.00</t>
  </si>
  <si>
    <t>25,357,860.00</t>
  </si>
  <si>
    <t>3,937,860.00</t>
  </si>
  <si>
    <t>3919</t>
  </si>
  <si>
    <t>6,534.00</t>
  </si>
  <si>
    <t>9,297,882.00</t>
  </si>
  <si>
    <t>1,443,882.00</t>
  </si>
  <si>
    <t>3920</t>
  </si>
  <si>
    <t>5,071,572.00</t>
  </si>
  <si>
    <t>787,572.00</t>
  </si>
  <si>
    <t>3921</t>
  </si>
  <si>
    <t>5,661.00</t>
  </si>
  <si>
    <t>8,055,603.00</t>
  </si>
  <si>
    <t>6,804,000.00</t>
  </si>
  <si>
    <t>1,251,603.00</t>
  </si>
  <si>
    <t>3922</t>
  </si>
  <si>
    <t>KLVP07-LipPKB</t>
  </si>
  <si>
    <t>너리싱 케어 립 슬리핑 팩 베리</t>
  </si>
  <si>
    <t>319,463.50</t>
  </si>
  <si>
    <t>83,963.50</t>
  </si>
  <si>
    <t>3923</t>
  </si>
  <si>
    <t>3924</t>
  </si>
  <si>
    <t>638,927.00</t>
  </si>
  <si>
    <t>471,000.00</t>
  </si>
  <si>
    <t>167,927.00</t>
  </si>
  <si>
    <t>3925</t>
  </si>
  <si>
    <t>8.03</t>
  </si>
  <si>
    <t>803.00</t>
  </si>
  <si>
    <t>1,142,669.00</t>
  </si>
  <si>
    <t>236,569.00</t>
  </si>
  <si>
    <t>3926</t>
  </si>
  <si>
    <t>MHC10-F</t>
  </si>
  <si>
    <t>그린티 카밍 에센스 클렌징 폼 오리진 120ml</t>
  </si>
  <si>
    <t>78,691.90</t>
  </si>
  <si>
    <t>60,000.00</t>
  </si>
  <si>
    <t>18,691.90</t>
  </si>
  <si>
    <t>3927</t>
  </si>
  <si>
    <t>27.65</t>
  </si>
  <si>
    <t>39,345.95</t>
  </si>
  <si>
    <t>9,345.95</t>
  </si>
  <si>
    <t>3928</t>
  </si>
  <si>
    <t>MHP05-AAntiER</t>
  </si>
  <si>
    <t>안티 링클 이펙트 앰플 오리진 35ml</t>
  </si>
  <si>
    <t>186,128.40</t>
  </si>
  <si>
    <t>133,650.00</t>
  </si>
  <si>
    <t>52,478.40</t>
  </si>
  <si>
    <t>3929</t>
  </si>
  <si>
    <t>305.20</t>
  </si>
  <si>
    <t>434,299.60</t>
  </si>
  <si>
    <t>311,850.00</t>
  </si>
  <si>
    <t>122,449.60</t>
  </si>
  <si>
    <t>3930</t>
  </si>
  <si>
    <t>MHS03-MB3Ar</t>
  </si>
  <si>
    <t>[단종예정] 빅3스텝 안티링클 마스크 팩 오리진 1매입</t>
  </si>
  <si>
    <t>62.30</t>
  </si>
  <si>
    <t>88,652.90</t>
  </si>
  <si>
    <t>900.00</t>
  </si>
  <si>
    <t>25,652.90</t>
  </si>
  <si>
    <t>3931</t>
  </si>
  <si>
    <t>37,994.10</t>
  </si>
  <si>
    <t>10,994.10</t>
  </si>
  <si>
    <t>3932</t>
  </si>
  <si>
    <t>MHS05-SF</t>
  </si>
  <si>
    <t>안티링클 퍼스트 에센스 오리진 120ml</t>
  </si>
  <si>
    <t>320.50</t>
  </si>
  <si>
    <t>456,071.50</t>
  </si>
  <si>
    <t>6,546.00</t>
  </si>
  <si>
    <t>128,771.50</t>
  </si>
  <si>
    <t>3933</t>
  </si>
  <si>
    <t>383.00</t>
  </si>
  <si>
    <t>545,009.00</t>
  </si>
  <si>
    <t>390,950.00</t>
  </si>
  <si>
    <t>154,059.00</t>
  </si>
  <si>
    <t>3934</t>
  </si>
  <si>
    <t>MHS08-AAQ</t>
  </si>
  <si>
    <t>아쿠아 밸런스 앰플 35ml</t>
  </si>
  <si>
    <t>187.00</t>
  </si>
  <si>
    <t>266,101.00</t>
  </si>
  <si>
    <t>190,925.00</t>
  </si>
  <si>
    <t>75,176.00</t>
  </si>
  <si>
    <t>3935</t>
  </si>
  <si>
    <t>MHS10-EG</t>
  </si>
  <si>
    <t>그린티 카밍 에센스크림 오리진 80ml</t>
  </si>
  <si>
    <t>74.80</t>
  </si>
  <si>
    <t>106,440.40</t>
  </si>
  <si>
    <t>76,370.00</t>
  </si>
  <si>
    <t>30,070.40</t>
  </si>
  <si>
    <t>3936</t>
  </si>
  <si>
    <t>82.28</t>
  </si>
  <si>
    <t>117,084.44</t>
  </si>
  <si>
    <t>84,007.00</t>
  </si>
  <si>
    <t>33,077.44</t>
  </si>
  <si>
    <t>3937</t>
  </si>
  <si>
    <t>2,608,359.00</t>
  </si>
  <si>
    <t>1,860,000.00</t>
  </si>
  <si>
    <t>748,359.00</t>
  </si>
  <si>
    <t>3938</t>
  </si>
  <si>
    <t>299.00</t>
  </si>
  <si>
    <t>425,477.00</t>
  </si>
  <si>
    <t>125,477.00</t>
  </si>
  <si>
    <t>3939</t>
  </si>
  <si>
    <t>nooniS09-ABLip</t>
  </si>
  <si>
    <t>애플베리 립 마스크 12g</t>
  </si>
  <si>
    <t>누니</t>
  </si>
  <si>
    <t>7,388.00</t>
  </si>
  <si>
    <t>22,164.00</t>
  </si>
  <si>
    <t>5,926.02</t>
  </si>
  <si>
    <t>3940</t>
  </si>
  <si>
    <t>nooniS09-ACLip</t>
  </si>
  <si>
    <t>단종 애플체리 립 마스크 12g</t>
  </si>
  <si>
    <t>3941</t>
  </si>
  <si>
    <t>nooniS09-ACOIL</t>
  </si>
  <si>
    <t>애플체리 립 오일 3.7ml</t>
  </si>
  <si>
    <t>21.95</t>
  </si>
  <si>
    <t>31,234.85</t>
  </si>
  <si>
    <t>4,925.00</t>
  </si>
  <si>
    <t>6,609.85</t>
  </si>
  <si>
    <t>3942</t>
  </si>
  <si>
    <t>nooniS09-APOIL</t>
  </si>
  <si>
    <t>애플플럼 립 오일 3.7ml</t>
  </si>
  <si>
    <t>3943</t>
  </si>
  <si>
    <t>nooniS09-AWLip</t>
  </si>
  <si>
    <t>단종 애플와인 립 마스크 12g</t>
  </si>
  <si>
    <t>3944</t>
  </si>
  <si>
    <t>nooniS09-Lip</t>
  </si>
  <si>
    <t>애플버터 립 마스크 12g</t>
  </si>
  <si>
    <t>33.15</t>
  </si>
  <si>
    <t>47,172.45</t>
  </si>
  <si>
    <t>36,940.00</t>
  </si>
  <si>
    <t>10,232.45</t>
  </si>
  <si>
    <t>3945</t>
  </si>
  <si>
    <t>nooniS09-OILbr</t>
  </si>
  <si>
    <t>애플베리 립 오일 3.7ml</t>
  </si>
  <si>
    <t>3946</t>
  </si>
  <si>
    <t>nooniS09-OILcc</t>
  </si>
  <si>
    <t>애플코코 립 오일 3.7ml (단종)</t>
  </si>
  <si>
    <t>13.17</t>
  </si>
  <si>
    <t>18,740.91</t>
  </si>
  <si>
    <t>14,775.00</t>
  </si>
  <si>
    <t>3,965.91</t>
  </si>
  <si>
    <t>3947</t>
  </si>
  <si>
    <t>nooniS09-OILt</t>
  </si>
  <si>
    <t>애플티 립 오일 3.7ml (단종)</t>
  </si>
  <si>
    <t>3948</t>
  </si>
  <si>
    <t>288.50</t>
  </si>
  <si>
    <t>410,535.50</t>
  </si>
  <si>
    <t>286,400.00</t>
  </si>
  <si>
    <t>124,135.50</t>
  </si>
  <si>
    <t>3949</t>
  </si>
  <si>
    <t>1,602.00</t>
  </si>
  <si>
    <t>2,279,646.00</t>
  </si>
  <si>
    <t>688,646.00</t>
  </si>
  <si>
    <t>3950</t>
  </si>
  <si>
    <t>PRM02-BB21</t>
  </si>
  <si>
    <t>(통합) 원더 릴리프 센텔라 비비크림 21호 라이트 베이지 30ml</t>
  </si>
  <si>
    <t>545.00</t>
  </si>
  <si>
    <t>775,535.00</t>
  </si>
  <si>
    <t>432,800.00</t>
  </si>
  <si>
    <t>342,735.00</t>
  </si>
  <si>
    <t>44.2</t>
  </si>
  <si>
    <t>3951</t>
  </si>
  <si>
    <t>PRS01-DC</t>
  </si>
  <si>
    <t>(통합) 하이드로 웨이브 딥 씨 크림 50ml</t>
  </si>
  <si>
    <t>1,201.50</t>
  </si>
  <si>
    <t>1,709,734.50</t>
  </si>
  <si>
    <t>1,193,250.00</t>
  </si>
  <si>
    <t>516,484.50</t>
  </si>
  <si>
    <t>3952</t>
  </si>
  <si>
    <t>PRS02-CCU</t>
  </si>
  <si>
    <t>(P.65/통합) 원더 릴리프 센텔라 크림 언센티드 50ml</t>
  </si>
  <si>
    <t>2,403.00</t>
  </si>
  <si>
    <t>3,419,469.00</t>
  </si>
  <si>
    <t>2,386,500.00</t>
  </si>
  <si>
    <t>1,032,969.00</t>
  </si>
  <si>
    <t>3953</t>
  </si>
  <si>
    <t>PRS02-CEU</t>
  </si>
  <si>
    <t>(P.65/통합)원더 릴리프 아이크림 언센티드 30ml</t>
  </si>
  <si>
    <t>462.84</t>
  </si>
  <si>
    <t>658,621.32</t>
  </si>
  <si>
    <t>459,496.00</t>
  </si>
  <si>
    <t>199,125.32</t>
  </si>
  <si>
    <t>3954</t>
  </si>
  <si>
    <t>3,588.00</t>
  </si>
  <si>
    <t>5,105,724.00</t>
  </si>
  <si>
    <t>1,541,724.00</t>
  </si>
  <si>
    <t>3955</t>
  </si>
  <si>
    <t>PRS02-CTU</t>
  </si>
  <si>
    <t>(통합) 원더 릴리프 센텔라 토너 언센티드 200ml</t>
  </si>
  <si>
    <t>448.50</t>
  </si>
  <si>
    <t>638,215.50</t>
  </si>
  <si>
    <t>192,715.50</t>
  </si>
  <si>
    <t>3956</t>
  </si>
  <si>
    <t>PRS02-SETm</t>
  </si>
  <si>
    <t>원더 릴리프 센텔라 언센티드 미니 키트 (세럼15ml+토너30ml+크림15ml)</t>
  </si>
  <si>
    <t>1,009.50</t>
  </si>
  <si>
    <t>1,436,518.50</t>
  </si>
  <si>
    <t>6,682.00</t>
  </si>
  <si>
    <t>1,002,300.00</t>
  </si>
  <si>
    <t>434,218.50</t>
  </si>
  <si>
    <t>3957</t>
  </si>
  <si>
    <t>PRS06-S</t>
  </si>
  <si>
    <t>(통합) 퍼먼티드 컴플렉스 94 부스팅 에센스 150ml</t>
  </si>
  <si>
    <t>208.25</t>
  </si>
  <si>
    <t>296,339.75</t>
  </si>
  <si>
    <t>206,825.00</t>
  </si>
  <si>
    <t>89,514.75</t>
  </si>
  <si>
    <t>3958</t>
  </si>
  <si>
    <t>PRS07-GEL</t>
  </si>
  <si>
    <t>(단종,사용x)오트 인 카밍 젤 크림 100ml</t>
  </si>
  <si>
    <t>609.00</t>
  </si>
  <si>
    <t>866,607.00</t>
  </si>
  <si>
    <t>604,600.00</t>
  </si>
  <si>
    <t>262,007.00</t>
  </si>
  <si>
    <t>3959</t>
  </si>
  <si>
    <t>PRS08-E</t>
  </si>
  <si>
    <t>(PRS16-E) 더마이드 릴리프 베리어 모이스처라이저 100ml</t>
  </si>
  <si>
    <t>1,730.00</t>
  </si>
  <si>
    <t>2,461,790.00</t>
  </si>
  <si>
    <t>571,790.00</t>
  </si>
  <si>
    <t>3960</t>
  </si>
  <si>
    <t>PRS08-SP</t>
  </si>
  <si>
    <t>(PRS08-SPEU) 더마이드 시카 베리어 슬리핑팩 80ml</t>
  </si>
  <si>
    <t>1,048,751.00</t>
  </si>
  <si>
    <t>7,319.00</t>
  </si>
  <si>
    <t>731,900.00</t>
  </si>
  <si>
    <t>316,851.00</t>
  </si>
  <si>
    <t>3961</t>
  </si>
  <si>
    <t>PRS09-S</t>
  </si>
  <si>
    <t>(PRS09-SEU) 퓨어 비타민 씨 세럼 60ml</t>
  </si>
  <si>
    <t>7.05</t>
  </si>
  <si>
    <t>1,762.50</t>
  </si>
  <si>
    <t>2,508,037.50</t>
  </si>
  <si>
    <t>758,037.50</t>
  </si>
  <si>
    <t>3962</t>
  </si>
  <si>
    <t>PRS11-S</t>
  </si>
  <si>
    <t>(통합) 타임리스 블룸 바쿠치올 세럼 30ml</t>
  </si>
  <si>
    <t>480.50</t>
  </si>
  <si>
    <t>683,751.50</t>
  </si>
  <si>
    <t>3963</t>
  </si>
  <si>
    <t>416.50</t>
  </si>
  <si>
    <t>592,679.50</t>
  </si>
  <si>
    <t>413,650.00</t>
  </si>
  <si>
    <t>179,029.50</t>
  </si>
  <si>
    <t>3964</t>
  </si>
  <si>
    <t>346.56</t>
  </si>
  <si>
    <t>493,154.88</t>
  </si>
  <si>
    <t>425,600.00</t>
  </si>
  <si>
    <t>67,554.88</t>
  </si>
  <si>
    <t>3965</t>
  </si>
  <si>
    <t>PYBS10-BMpsb</t>
  </si>
  <si>
    <t>(X) 아토 판테놀 세라마이드 밤크림 30ml</t>
  </si>
  <si>
    <t>285.00</t>
  </si>
  <si>
    <t>405,555.00</t>
  </si>
  <si>
    <t>115,555.00</t>
  </si>
  <si>
    <t>3966</t>
  </si>
  <si>
    <t>PYC01-CCD</t>
  </si>
  <si>
    <t>(X)딥 클리어 클렌징밤 100ml</t>
  </si>
  <si>
    <t>338.58</t>
  </si>
  <si>
    <t>481,799.34</t>
  </si>
  <si>
    <t>344,520.00</t>
  </si>
  <si>
    <t>137,279.34</t>
  </si>
  <si>
    <t>3967</t>
  </si>
  <si>
    <t>174.42</t>
  </si>
  <si>
    <t>248,199.66</t>
  </si>
  <si>
    <t>190,400.00</t>
  </si>
  <si>
    <t>57,799.66</t>
  </si>
  <si>
    <t>3968</t>
  </si>
  <si>
    <t>PYC01-peeling</t>
  </si>
  <si>
    <t>(X)필링젤 100ml</t>
  </si>
  <si>
    <t>973,332.00</t>
  </si>
  <si>
    <t>696,000.00</t>
  </si>
  <si>
    <t>277,332.00</t>
  </si>
  <si>
    <t>3969</t>
  </si>
  <si>
    <t>427.00</t>
  </si>
  <si>
    <t>607,621.00</t>
  </si>
  <si>
    <t>47,621.00</t>
  </si>
  <si>
    <t>7.8</t>
  </si>
  <si>
    <t>3970</t>
  </si>
  <si>
    <t>1,197.00</t>
  </si>
  <si>
    <t>1,703,331.00</t>
  </si>
  <si>
    <t>359,331.00</t>
  </si>
  <si>
    <t>3971</t>
  </si>
  <si>
    <t>1,338,331.50</t>
  </si>
  <si>
    <t>303,331.50</t>
  </si>
  <si>
    <t>3972</t>
  </si>
  <si>
    <t>446,110.50</t>
  </si>
  <si>
    <t>345,000.00</t>
  </si>
  <si>
    <t>101,110.50</t>
  </si>
  <si>
    <t>3973</t>
  </si>
  <si>
    <t>PYP01-PKSleep</t>
  </si>
  <si>
    <t>(X)슬리핑 마스크 120ml</t>
  </si>
  <si>
    <t>231,110.00</t>
  </si>
  <si>
    <t>3974</t>
  </si>
  <si>
    <t>541.00</t>
  </si>
  <si>
    <t>769,843.00</t>
  </si>
  <si>
    <t>104,843.00</t>
  </si>
  <si>
    <t>3975</t>
  </si>
  <si>
    <t>270.50</t>
  </si>
  <si>
    <t>384,921.50</t>
  </si>
  <si>
    <t>52,421.50</t>
  </si>
  <si>
    <t>3976</t>
  </si>
  <si>
    <t>131,110.50</t>
  </si>
  <si>
    <t>29.4</t>
  </si>
  <si>
    <t>3977</t>
  </si>
  <si>
    <t>2,705.00</t>
  </si>
  <si>
    <t>3,849,215.00</t>
  </si>
  <si>
    <t>2,755,000.00</t>
  </si>
  <si>
    <t>1,094,215.00</t>
  </si>
  <si>
    <t>3978</t>
  </si>
  <si>
    <t>1,579,530.00</t>
  </si>
  <si>
    <t>1,365,000.00</t>
  </si>
  <si>
    <t>214,530.00</t>
  </si>
  <si>
    <t>3979</t>
  </si>
  <si>
    <t>PYS01-gel60</t>
  </si>
  <si>
    <t>(X)밸런싱 젤 60ml</t>
  </si>
  <si>
    <t>235,221.90</t>
  </si>
  <si>
    <t>168,200.00</t>
  </si>
  <si>
    <t>67,021.90</t>
  </si>
  <si>
    <t>3980</t>
  </si>
  <si>
    <t>170,333.10</t>
  </si>
  <si>
    <t>122,850.00</t>
  </si>
  <si>
    <t>47,483.10</t>
  </si>
  <si>
    <t>3981</t>
  </si>
  <si>
    <t>PYS01-I</t>
  </si>
  <si>
    <t>*리뉴얼 전 아이크림 (1ml X 50매)</t>
  </si>
  <si>
    <t>512.50</t>
  </si>
  <si>
    <t>729,287.50</t>
  </si>
  <si>
    <t>329,287.50</t>
  </si>
  <si>
    <t>45.2</t>
  </si>
  <si>
    <t>3982</t>
  </si>
  <si>
    <t>PYS01-IBT</t>
  </si>
  <si>
    <t>(X) 블랙티 타임 리버스 아이크림 25ml</t>
  </si>
  <si>
    <t>693,330.00</t>
  </si>
  <si>
    <t>3983</t>
  </si>
  <si>
    <t>283,888.50</t>
  </si>
  <si>
    <t>8,160.00</t>
  </si>
  <si>
    <t>79,888.50</t>
  </si>
  <si>
    <t>3984</t>
  </si>
  <si>
    <t>769.00</t>
  </si>
  <si>
    <t>1,094,287.00</t>
  </si>
  <si>
    <t>783,000.00</t>
  </si>
  <si>
    <t>311,287.00</t>
  </si>
  <si>
    <t>3985</t>
  </si>
  <si>
    <t>PYS01-Oilb</t>
  </si>
  <si>
    <t>아토 고보습 베이비오일 190ml</t>
  </si>
  <si>
    <t>137,888.70</t>
  </si>
  <si>
    <t>39,288.70</t>
  </si>
  <si>
    <t>3986</t>
  </si>
  <si>
    <t>11,355,540.00</t>
  </si>
  <si>
    <t>1,555,540.00</t>
  </si>
  <si>
    <t>3987</t>
  </si>
  <si>
    <t>1,240.00</t>
  </si>
  <si>
    <t>1,764,520.00</t>
  </si>
  <si>
    <t>588,520.00</t>
  </si>
  <si>
    <t>3988</t>
  </si>
  <si>
    <t>4.10</t>
  </si>
  <si>
    <t>1,845.00</t>
  </si>
  <si>
    <t>2,625,435.00</t>
  </si>
  <si>
    <t>105,435.00</t>
  </si>
  <si>
    <t>4.0</t>
  </si>
  <si>
    <t>3989</t>
  </si>
  <si>
    <t>499.50</t>
  </si>
  <si>
    <t>710,788.50</t>
  </si>
  <si>
    <t>565,500.00</t>
  </si>
  <si>
    <t>145,288.50</t>
  </si>
  <si>
    <t>3990</t>
  </si>
  <si>
    <t>14.24</t>
  </si>
  <si>
    <t>1,424.00</t>
  </si>
  <si>
    <t>2,026,352.00</t>
  </si>
  <si>
    <t>26,352.00</t>
  </si>
  <si>
    <t>1.3</t>
  </si>
  <si>
    <t>3991</t>
  </si>
  <si>
    <t>11.39</t>
  </si>
  <si>
    <t>569.50</t>
  </si>
  <si>
    <t>810,398.50</t>
  </si>
  <si>
    <t>10,398.50</t>
  </si>
  <si>
    <t>3992</t>
  </si>
  <si>
    <t>PYS12-C</t>
  </si>
  <si>
    <t>(변경예정) 진정 마데카소사이드 스팟크림 30ml</t>
  </si>
  <si>
    <t>3.13</t>
  </si>
  <si>
    <t>313.00</t>
  </si>
  <si>
    <t>445,399.00</t>
  </si>
  <si>
    <t>3,300.00</t>
  </si>
  <si>
    <t>115,399.00</t>
  </si>
  <si>
    <t>3993</t>
  </si>
  <si>
    <t>648,888.00</t>
  </si>
  <si>
    <t>88,888.00</t>
  </si>
  <si>
    <t>3994</t>
  </si>
  <si>
    <t>156.75</t>
  </si>
  <si>
    <t>223,055.25</t>
  </si>
  <si>
    <t>6,550.00</t>
  </si>
  <si>
    <t>163,750.00</t>
  </si>
  <si>
    <t>59,305.25</t>
  </si>
  <si>
    <t>3995</t>
  </si>
  <si>
    <t>213.50</t>
  </si>
  <si>
    <t>303,810.50</t>
  </si>
  <si>
    <t>78,810.50</t>
  </si>
  <si>
    <t>3996</t>
  </si>
  <si>
    <t>12.82</t>
  </si>
  <si>
    <t>1,923.00</t>
  </si>
  <si>
    <t>2,736,429.00</t>
  </si>
  <si>
    <t>8,610.00</t>
  </si>
  <si>
    <t>1,444,929.00</t>
  </si>
  <si>
    <t>52.8</t>
  </si>
  <si>
    <t>3997</t>
  </si>
  <si>
    <t>0.25</t>
  </si>
  <si>
    <t>1,138,400.00</t>
  </si>
  <si>
    <t>293,600.00</t>
  </si>
  <si>
    <t>3998</t>
  </si>
  <si>
    <t>567,777.00</t>
  </si>
  <si>
    <t>4,240.00</t>
  </si>
  <si>
    <t>424,000.00</t>
  </si>
  <si>
    <t>143,777.00</t>
  </si>
  <si>
    <t>3999</t>
  </si>
  <si>
    <t>243,333.00</t>
  </si>
  <si>
    <t>197,500.00</t>
  </si>
  <si>
    <t>45,833.00</t>
  </si>
  <si>
    <t>4000</t>
  </si>
  <si>
    <t>335,000.00</t>
  </si>
  <si>
    <t>111,110.50</t>
  </si>
  <si>
    <t>4001</t>
  </si>
  <si>
    <t>54.10</t>
  </si>
  <si>
    <t>76,984.30</t>
  </si>
  <si>
    <t>58,900.00</t>
  </si>
  <si>
    <t>18,084.30</t>
  </si>
  <si>
    <t>4002</t>
  </si>
  <si>
    <t>81.15</t>
  </si>
  <si>
    <t>115,476.45</t>
  </si>
  <si>
    <t>88,500.00</t>
  </si>
  <si>
    <t>26,976.45</t>
  </si>
  <si>
    <t>4003</t>
  </si>
  <si>
    <t>58,055.25</t>
  </si>
  <si>
    <t>4004</t>
  </si>
  <si>
    <t>855.00</t>
  </si>
  <si>
    <t>1,216,665.00</t>
  </si>
  <si>
    <t>885,000.00</t>
  </si>
  <si>
    <t>331,665.00</t>
  </si>
  <si>
    <t>4005</t>
  </si>
  <si>
    <t>4006</t>
  </si>
  <si>
    <t>PYS19-VT150</t>
  </si>
  <si>
    <t>(변경예정) 브라이트닝 비타 토너 150ml</t>
  </si>
  <si>
    <t>6,428.00</t>
  </si>
  <si>
    <t>642,800.00</t>
  </si>
  <si>
    <t>168,310.00</t>
  </si>
  <si>
    <t>4007</t>
  </si>
  <si>
    <t>94,921.50</t>
  </si>
  <si>
    <t>4008</t>
  </si>
  <si>
    <t>RBC01-FCR220</t>
  </si>
  <si>
    <t>(단종) [Renew] 크림 클렌징 폼 220ml</t>
  </si>
  <si>
    <t>457.30</t>
  </si>
  <si>
    <t>650,737.90</t>
  </si>
  <si>
    <t>500,735.00</t>
  </si>
  <si>
    <t>150,002.90</t>
  </si>
  <si>
    <t>4009</t>
  </si>
  <si>
    <t>RBC04-FR</t>
  </si>
  <si>
    <t>[Renew] 리얼베리어 컨트롤-T 클렌징폼 200ml</t>
  </si>
  <si>
    <t>172.00</t>
  </si>
  <si>
    <t>244,756.00</t>
  </si>
  <si>
    <t>188,200.00</t>
  </si>
  <si>
    <t>56,556.00</t>
  </si>
  <si>
    <t>4010</t>
  </si>
  <si>
    <t>RBS03-ARR</t>
  </si>
  <si>
    <t>[Renew] 리얼베리어 익스트림 크림 앰플 50ml</t>
  </si>
  <si>
    <t>418.50</t>
  </si>
  <si>
    <t>595,525.50</t>
  </si>
  <si>
    <t>9,164.00</t>
  </si>
  <si>
    <t>458,200.00</t>
  </si>
  <si>
    <t>137,325.50</t>
  </si>
  <si>
    <t>4011</t>
  </si>
  <si>
    <t>RNCM05-L06</t>
  </si>
  <si>
    <t>쥬시 래스팅 틴트 06.피그피그</t>
  </si>
  <si>
    <t>롬앤</t>
  </si>
  <si>
    <t>370.00</t>
  </si>
  <si>
    <t>526,510.00</t>
  </si>
  <si>
    <t>136,510.00</t>
  </si>
  <si>
    <t>4012</t>
  </si>
  <si>
    <t>RNCM05-L18</t>
  </si>
  <si>
    <t>쥬시 래스팅 틴트 18. 멀드 피치</t>
  </si>
  <si>
    <t>185.00</t>
  </si>
  <si>
    <t>263,255.00</t>
  </si>
  <si>
    <t>68,255.00</t>
  </si>
  <si>
    <t>4013</t>
  </si>
  <si>
    <t>RNCM05-L19</t>
  </si>
  <si>
    <t>쥬시 래스팅 틴트 19. 아몬드 로즈</t>
  </si>
  <si>
    <t>4014</t>
  </si>
  <si>
    <t>RNCM05-L20</t>
  </si>
  <si>
    <t>쥬시 래스팅 틴트 20. 다크 코코넛</t>
  </si>
  <si>
    <t>4015</t>
  </si>
  <si>
    <t>RNCM11-L02</t>
  </si>
  <si>
    <t>제로 벨벳 틴트 02.조이풀</t>
  </si>
  <si>
    <t>92.50</t>
  </si>
  <si>
    <t>131,627.50</t>
  </si>
  <si>
    <t>97,500.00</t>
  </si>
  <si>
    <t>34,127.50</t>
  </si>
  <si>
    <t>4016</t>
  </si>
  <si>
    <t>RNCM11-L04</t>
  </si>
  <si>
    <t>제로 벨벳 틴트 04.번트하트</t>
  </si>
  <si>
    <t>4017</t>
  </si>
  <si>
    <t>RNCM11-L06</t>
  </si>
  <si>
    <t>제로 벨벳 틴트 06.딥소울</t>
  </si>
  <si>
    <t>4018</t>
  </si>
  <si>
    <t>RNCM11-L07</t>
  </si>
  <si>
    <t>제로 벨벳 틴트 07.피즈</t>
  </si>
  <si>
    <t>4019</t>
  </si>
  <si>
    <t>RNCM11-L13</t>
  </si>
  <si>
    <t>제로 벨벳 틴트 13.베리 케이크</t>
  </si>
  <si>
    <t>4020</t>
  </si>
  <si>
    <t>RNCM11-L19</t>
  </si>
  <si>
    <t>제로 벨벳 틴트 19. 얼그레이 숄</t>
  </si>
  <si>
    <t>3,971.00</t>
  </si>
  <si>
    <t>99,275.00</t>
  </si>
  <si>
    <t>32,352.50</t>
  </si>
  <si>
    <t>4021</t>
  </si>
  <si>
    <t>RNCM11-L24</t>
  </si>
  <si>
    <t>제로 벨벳 틴트 24. 페이드 레드</t>
  </si>
  <si>
    <t>4022</t>
  </si>
  <si>
    <t>RNCM11-L25</t>
  </si>
  <si>
    <t>제로 벨벳 틴트 25. 너드 핑크</t>
  </si>
  <si>
    <t>4,056.20</t>
  </si>
  <si>
    <t>101,405.00</t>
  </si>
  <si>
    <t>30,222.50</t>
  </si>
  <si>
    <t>4023</t>
  </si>
  <si>
    <t>RNCM29-LT02</t>
  </si>
  <si>
    <t>베어 물 틴트 02 태피 플롯</t>
  </si>
  <si>
    <t>3.37</t>
  </si>
  <si>
    <t>10.11</t>
  </si>
  <si>
    <t>14,386.53</t>
  </si>
  <si>
    <t>3,928.00</t>
  </si>
  <si>
    <t>11,784.00</t>
  </si>
  <si>
    <t>2,602.53</t>
  </si>
  <si>
    <t>4024</t>
  </si>
  <si>
    <t>RNM29-CU02</t>
  </si>
  <si>
    <t>베어 워터 쿠션 02. 퓨어 21</t>
  </si>
  <si>
    <t>229,100.00</t>
  </si>
  <si>
    <t>54,788.50</t>
  </si>
  <si>
    <t>4025</t>
  </si>
  <si>
    <t>RNM29-CU03</t>
  </si>
  <si>
    <t>베어 워터 쿠션 03. 내추럴21</t>
  </si>
  <si>
    <t>4026</t>
  </si>
  <si>
    <t>82.08</t>
  </si>
  <si>
    <t>116,799.84</t>
  </si>
  <si>
    <t>19,599.84</t>
  </si>
  <si>
    <t>4027</t>
  </si>
  <si>
    <t>513.00</t>
  </si>
  <si>
    <t>729,999.00</t>
  </si>
  <si>
    <t>652,500.00</t>
  </si>
  <si>
    <t>77,499.00</t>
  </si>
  <si>
    <t>4028</t>
  </si>
  <si>
    <t>1,363,234.00</t>
  </si>
  <si>
    <t>1,218,000.00</t>
  </si>
  <si>
    <t>145,234.00</t>
  </si>
  <si>
    <t>4029</t>
  </si>
  <si>
    <t>80.30</t>
  </si>
  <si>
    <t>114,266.90</t>
  </si>
  <si>
    <t>102,080.00</t>
  </si>
  <si>
    <t>12,186.90</t>
  </si>
  <si>
    <t>4030</t>
  </si>
  <si>
    <t>4031</t>
  </si>
  <si>
    <t>SESALOP01-L</t>
  </si>
  <si>
    <t>그린피기 콜라겐 젤라팩 100g</t>
  </si>
  <si>
    <t>111.25</t>
  </si>
  <si>
    <t>158,308.75</t>
  </si>
  <si>
    <t>4,637.00</t>
  </si>
  <si>
    <t>115,925.00</t>
  </si>
  <si>
    <t>42,383.75</t>
  </si>
  <si>
    <t>4032</t>
  </si>
  <si>
    <t>SFC22-COILRR</t>
  </si>
  <si>
    <t>(리뉴얼코드확인) (N23)블랙 슈가 퍼펙트 클렌징 오일 200ml</t>
  </si>
  <si>
    <t>296.70</t>
  </si>
  <si>
    <t>422,204.10</t>
  </si>
  <si>
    <t>297,130.00</t>
  </si>
  <si>
    <t>125,074.10</t>
  </si>
  <si>
    <t>4033</t>
  </si>
  <si>
    <t>SFCM55-EUR</t>
  </si>
  <si>
    <t>(리뉴얼코드확인) 아보카도 &amp; 슈가 립 스크럽(14g)</t>
  </si>
  <si>
    <t>3.27</t>
  </si>
  <si>
    <t>22.89</t>
  </si>
  <si>
    <t>32,572.47</t>
  </si>
  <si>
    <t>24,633.00</t>
  </si>
  <si>
    <t>7,939.47</t>
  </si>
  <si>
    <t>4034</t>
  </si>
  <si>
    <t>SFCM55-LR</t>
  </si>
  <si>
    <t>(리뉴얼코드확인) 아보카도 &amp; 올리브 립 밤 12g</t>
  </si>
  <si>
    <t>145.50</t>
  </si>
  <si>
    <t>207,046.50</t>
  </si>
  <si>
    <t>3,128.00</t>
  </si>
  <si>
    <t>156,400.00</t>
  </si>
  <si>
    <t>50,646.50</t>
  </si>
  <si>
    <t>4035</t>
  </si>
  <si>
    <t>SFM02-MFPRR</t>
  </si>
  <si>
    <t>(리뉴얼코드확인) 피치뽀송멀티피니시파우더 15g(대)(N23)</t>
  </si>
  <si>
    <t>482.60</t>
  </si>
  <si>
    <t>686,739.80</t>
  </si>
  <si>
    <t>519,935.00</t>
  </si>
  <si>
    <t>166,804.80</t>
  </si>
  <si>
    <t>4036</t>
  </si>
  <si>
    <t>SFP116-PKS</t>
  </si>
  <si>
    <t>딸기슈가 푸드마스크 120g</t>
  </si>
  <si>
    <t>136.25</t>
  </si>
  <si>
    <t>193,883.75</t>
  </si>
  <si>
    <t>146,600.00</t>
  </si>
  <si>
    <t>47,283.75</t>
  </si>
  <si>
    <t>4037</t>
  </si>
  <si>
    <t>SFP81-MPK</t>
  </si>
  <si>
    <t>(리뉴얼코드확인) 수비드 마스크시트(호박) 1매</t>
  </si>
  <si>
    <t>10.00</t>
  </si>
  <si>
    <t>14,230.00</t>
  </si>
  <si>
    <t>430.00</t>
  </si>
  <si>
    <t>10,750.00</t>
  </si>
  <si>
    <t>3,480.00</t>
  </si>
  <si>
    <t>4038</t>
  </si>
  <si>
    <t>SFS19-PropolisS</t>
  </si>
  <si>
    <t>로열허니 프로폴리스 인리치 에센스 50ml</t>
  </si>
  <si>
    <t>11.62</t>
  </si>
  <si>
    <t>104.58</t>
  </si>
  <si>
    <t>148,817.34</t>
  </si>
  <si>
    <t>12,510.00</t>
  </si>
  <si>
    <t>112,590.00</t>
  </si>
  <si>
    <t>36,227.34</t>
  </si>
  <si>
    <t>4039</t>
  </si>
  <si>
    <t>185.92</t>
  </si>
  <si>
    <t>264,564.16</t>
  </si>
  <si>
    <t>200,160.00</t>
  </si>
  <si>
    <t>64,404.16</t>
  </si>
  <si>
    <t>4040</t>
  </si>
  <si>
    <t>SFS98-CR</t>
  </si>
  <si>
    <t>(리뉴얼)유자 씨 잡티 맑음 크림 70ml</t>
  </si>
  <si>
    <t>209.16</t>
  </si>
  <si>
    <t>297,634.68</t>
  </si>
  <si>
    <t>225,180.00</t>
  </si>
  <si>
    <t>72,454.68</t>
  </si>
  <si>
    <t>4041</t>
  </si>
  <si>
    <t>SICSI-F</t>
  </si>
  <si>
    <t>데이 바이 데이 클렌징 젤 150ml</t>
  </si>
  <si>
    <t>25.65</t>
  </si>
  <si>
    <t>36,499.95</t>
  </si>
  <si>
    <t>24,480.00</t>
  </si>
  <si>
    <t>12,019.95</t>
  </si>
  <si>
    <t>32.9</t>
  </si>
  <si>
    <t>4042</t>
  </si>
  <si>
    <t>STUPAD04-BP</t>
  </si>
  <si>
    <t>(단종)브러쉬&amp;퍼프 클렌저 패드</t>
  </si>
  <si>
    <t>스튜디오 17</t>
  </si>
  <si>
    <t>4043</t>
  </si>
  <si>
    <t>135,333.00</t>
  </si>
  <si>
    <t>4044</t>
  </si>
  <si>
    <t>TKBC04-OC</t>
  </si>
  <si>
    <t>[사용금지X]칼라민 포어 컨트롤 클렌징 오일 200ml</t>
  </si>
  <si>
    <t>629.00</t>
  </si>
  <si>
    <t>895,067.00</t>
  </si>
  <si>
    <t>235,067.00</t>
  </si>
  <si>
    <t>4045</t>
  </si>
  <si>
    <t>TKBCM08-LR</t>
  </si>
  <si>
    <t>[리뉴얼]비타민 너리싱 립밤</t>
  </si>
  <si>
    <t>189.50</t>
  </si>
  <si>
    <t>269,658.50</t>
  </si>
  <si>
    <t>69,658.50</t>
  </si>
  <si>
    <t>4046</t>
  </si>
  <si>
    <t>379.00</t>
  </si>
  <si>
    <t>539,317.00</t>
  </si>
  <si>
    <t>410,000.00</t>
  </si>
  <si>
    <t>129,317.00</t>
  </si>
  <si>
    <t>4047</t>
  </si>
  <si>
    <t>TKBCM10-L2R</t>
  </si>
  <si>
    <t>[리뉴얼]글래스 틴티드 립밤 012 Better Pink</t>
  </si>
  <si>
    <t>4,008.00</t>
  </si>
  <si>
    <t>200,400.00</t>
  </si>
  <si>
    <t>69,258.50</t>
  </si>
  <si>
    <t>4048</t>
  </si>
  <si>
    <t>TKBCM10-L3R</t>
  </si>
  <si>
    <t>[리뉴얼]글래스 틴티드 립밤 013 Tangerine Red</t>
  </si>
  <si>
    <t>120,599.25</t>
  </si>
  <si>
    <t>20,599.25</t>
  </si>
  <si>
    <t>4049</t>
  </si>
  <si>
    <t>4050</t>
  </si>
  <si>
    <t>TKBCM11-L2R</t>
  </si>
  <si>
    <t>[리뉴얼]파우더 크림 립밤 032 Rose Petal</t>
  </si>
  <si>
    <t>4051</t>
  </si>
  <si>
    <t>TKBCM11-LR</t>
  </si>
  <si>
    <t>[리뉴얼]파우더 크림 립밤 031 Rose Burn</t>
  </si>
  <si>
    <t>389.00</t>
  </si>
  <si>
    <t>553,547.00</t>
  </si>
  <si>
    <t>153,547.00</t>
  </si>
  <si>
    <t>4052</t>
  </si>
  <si>
    <t>73,524.00</t>
  </si>
  <si>
    <t>4053</t>
  </si>
  <si>
    <t>TKBS03-C</t>
  </si>
  <si>
    <t>멀티 세라마이드 크림 50mL</t>
  </si>
  <si>
    <t>352.50</t>
  </si>
  <si>
    <t>501,607.50</t>
  </si>
  <si>
    <t>7,280.00</t>
  </si>
  <si>
    <t>137,607.50</t>
  </si>
  <si>
    <t>4054</t>
  </si>
  <si>
    <t>TKBS07-LipM</t>
  </si>
  <si>
    <t>비타 글레이즈드 립 마스크 20ml</t>
  </si>
  <si>
    <t>498.00</t>
  </si>
  <si>
    <t>708,654.00</t>
  </si>
  <si>
    <t>5,660.00</t>
  </si>
  <si>
    <t>566,000.00</t>
  </si>
  <si>
    <t>142,654.00</t>
  </si>
  <si>
    <t>4055</t>
  </si>
  <si>
    <t>TKBS07-T</t>
  </si>
  <si>
    <t>비타 베리 포어 토너 150mL</t>
  </si>
  <si>
    <t>95,477.00</t>
  </si>
  <si>
    <t>4056</t>
  </si>
  <si>
    <t>TMP10-Mask(aloe)</t>
  </si>
  <si>
    <t>[1매입] I'm Aloe 마스크시트 21g</t>
  </si>
  <si>
    <t>토니모리</t>
  </si>
  <si>
    <t>13,518.50</t>
  </si>
  <si>
    <t>11,375.00</t>
  </si>
  <si>
    <t>2,143.50</t>
  </si>
  <si>
    <t>4057</t>
  </si>
  <si>
    <t>TMP10-Mask(avocado)</t>
  </si>
  <si>
    <t>[1매입] I'm Avocado 마스크시트 21g</t>
  </si>
  <si>
    <t>4058</t>
  </si>
  <si>
    <t>TMP10-Mask(lemon)</t>
  </si>
  <si>
    <t>[1매입] I'm Lemon 마스크시트 21g</t>
  </si>
  <si>
    <t>15.20</t>
  </si>
  <si>
    <t>21,629.60</t>
  </si>
  <si>
    <t>18,200.00</t>
  </si>
  <si>
    <t>3,429.60</t>
  </si>
  <si>
    <t>4059</t>
  </si>
  <si>
    <t>5,407.40</t>
  </si>
  <si>
    <t>857.40</t>
  </si>
  <si>
    <t>4060</t>
  </si>
  <si>
    <t>TMP10-Mask(makgeoli)</t>
  </si>
  <si>
    <t>[1매입] I'm Makgeoil 마스크시트 21g</t>
  </si>
  <si>
    <t>4061</t>
  </si>
  <si>
    <t>TMP10-Mask(pome)</t>
  </si>
  <si>
    <t>[1매입] I'm Pomegranate 마스크시트 21g</t>
  </si>
  <si>
    <t>4062</t>
  </si>
  <si>
    <t>TMP10-Mask(rice)</t>
  </si>
  <si>
    <t>[1매입] I'm Rice 마스크시트 21g</t>
  </si>
  <si>
    <t>4063</t>
  </si>
  <si>
    <t>TMP10-Mask(teatree)</t>
  </si>
  <si>
    <t>[1매입] I'm Teatree 마스크시트 21g</t>
  </si>
  <si>
    <t>12,977.76</t>
  </si>
  <si>
    <t>10,920.00</t>
  </si>
  <si>
    <t>2,057.76</t>
  </si>
  <si>
    <t>4064</t>
  </si>
  <si>
    <t>540.74</t>
  </si>
  <si>
    <t>85.74</t>
  </si>
  <si>
    <t>4065</t>
  </si>
  <si>
    <t>VTP04-SM30</t>
  </si>
  <si>
    <t>(30매입) VT 시카 데일리 수딩 마스크</t>
  </si>
  <si>
    <t>176.25</t>
  </si>
  <si>
    <t>250,803.75</t>
  </si>
  <si>
    <t>60,803.75</t>
  </si>
  <si>
    <t>4066</t>
  </si>
  <si>
    <t>VTS04-C</t>
  </si>
  <si>
    <t>VT 시카 크림 50ml</t>
  </si>
  <si>
    <t>444.50</t>
  </si>
  <si>
    <t>632,523.50</t>
  </si>
  <si>
    <t>9,455.00</t>
  </si>
  <si>
    <t>472,750.00</t>
  </si>
  <si>
    <t>159,773.50</t>
  </si>
  <si>
    <t>4067</t>
  </si>
  <si>
    <t>VTS04-PAD</t>
  </si>
  <si>
    <t>(60매입) VT 시카 마일드 토너 패드</t>
  </si>
  <si>
    <t>117.50</t>
  </si>
  <si>
    <t>167,202.50</t>
  </si>
  <si>
    <t>4,909.00</t>
  </si>
  <si>
    <t>122,725.00</t>
  </si>
  <si>
    <t>44,477.50</t>
  </si>
  <si>
    <t>4068</t>
  </si>
  <si>
    <t>91.00</t>
  </si>
  <si>
    <t>129,493.00</t>
  </si>
  <si>
    <t>52,193.00</t>
  </si>
  <si>
    <t>40.3</t>
  </si>
  <si>
    <t>4069</t>
  </si>
  <si>
    <t>WDPA16-45Mor70</t>
  </si>
  <si>
    <t>드레스 &amp; 리빙 클리어 퍼퓸 No.45 모닝 레인 70ml</t>
  </si>
  <si>
    <t>1.57</t>
  </si>
  <si>
    <t>157.00</t>
  </si>
  <si>
    <t>223,411.00</t>
  </si>
  <si>
    <t>25,611.00</t>
  </si>
  <si>
    <t>4070</t>
  </si>
  <si>
    <t>78.50</t>
  </si>
  <si>
    <t>111,705.50</t>
  </si>
  <si>
    <t>12,805.50</t>
  </si>
  <si>
    <t>4071</t>
  </si>
  <si>
    <t>616,159.00</t>
  </si>
  <si>
    <t>513,650.00</t>
  </si>
  <si>
    <t>102,509.00</t>
  </si>
  <si>
    <t>4072</t>
  </si>
  <si>
    <t>2025-01-08</t>
  </si>
  <si>
    <t>IUC06-PI</t>
  </si>
  <si>
    <t>라임 모이스쳐 마일드 필링 젤 90ml</t>
  </si>
  <si>
    <t>940.00</t>
  </si>
  <si>
    <t>400,606.00</t>
  </si>
  <si>
    <t>IN00301493</t>
  </si>
  <si>
    <t>4073</t>
  </si>
  <si>
    <t>IUC07-F</t>
  </si>
  <si>
    <t>센텔라 버블 클렌징 폼 150ml</t>
  </si>
  <si>
    <t>1,116.00</t>
  </si>
  <si>
    <t>1,567,868.40</t>
  </si>
  <si>
    <t>1,062,000.00</t>
  </si>
  <si>
    <t>505,868.40</t>
  </si>
  <si>
    <t>32.3</t>
  </si>
  <si>
    <t>4074</t>
  </si>
  <si>
    <t>IUC07-MF</t>
  </si>
  <si>
    <t>센텔라 마일드 클렌징 폼 120ml</t>
  </si>
  <si>
    <t>704.00</t>
  </si>
  <si>
    <t>989,049.60</t>
  </si>
  <si>
    <t>317,049.60</t>
  </si>
  <si>
    <t>32.1</t>
  </si>
  <si>
    <t>4075</t>
  </si>
  <si>
    <t>IUP08-PKS</t>
  </si>
  <si>
    <t>프로폴리스 비타민 슬리핑 마스크 60ml</t>
  </si>
  <si>
    <t>4,636,170.00</t>
  </si>
  <si>
    <t>3,300,000.00</t>
  </si>
  <si>
    <t>1,336,170.00</t>
  </si>
  <si>
    <t>4076</t>
  </si>
  <si>
    <t>IUS01-T</t>
  </si>
  <si>
    <t>*단종* 로즈 갈락토미세스 에센셜 토너 200ml</t>
  </si>
  <si>
    <t>462.00</t>
  </si>
  <si>
    <t>649,063.80</t>
  </si>
  <si>
    <t>199,063.80</t>
  </si>
  <si>
    <t>4077</t>
  </si>
  <si>
    <t>IUS02-T</t>
  </si>
  <si>
    <t>*단종* 비타민 히아루론산 바이탈라이징 토너 200ml</t>
  </si>
  <si>
    <t>1,820,750.40</t>
  </si>
  <si>
    <t>1,350,000.00</t>
  </si>
  <si>
    <t>470,750.40</t>
  </si>
  <si>
    <t>4078</t>
  </si>
  <si>
    <t>IUS04-CEU</t>
  </si>
  <si>
    <t>[EU] 베타 글루칸 데일리 모이스처 크림 60ml</t>
  </si>
  <si>
    <t>4079</t>
  </si>
  <si>
    <t>IUS04-S</t>
  </si>
  <si>
    <t>베타 글루칸 파워 모이스처 세럼 50ml</t>
  </si>
  <si>
    <t>1,230,692.40</t>
  </si>
  <si>
    <t>414,692.40</t>
  </si>
  <si>
    <t>4080</t>
  </si>
  <si>
    <t>IUS07-AC</t>
  </si>
  <si>
    <t>센텔라 카밍 AC 스팟 크림 20ml</t>
  </si>
  <si>
    <t>1,160.00</t>
  </si>
  <si>
    <t>1,629,684.00</t>
  </si>
  <si>
    <t>529,684.00</t>
  </si>
  <si>
    <t>4081</t>
  </si>
  <si>
    <t>IUS07-C</t>
  </si>
  <si>
    <t>센텔라 카밍 젤 크림 60ml</t>
  </si>
  <si>
    <t>977,810.40</t>
  </si>
  <si>
    <t>317,810.40</t>
  </si>
  <si>
    <t>4082</t>
  </si>
  <si>
    <t>IUS07-MSET</t>
  </si>
  <si>
    <t>센텔라 미니 세트 (센텔라 카밍 젤 크림 15ml+티트리 릴리프 토너 25ml+티트리 릴리프 세럼 15ml )</t>
  </si>
  <si>
    <t>1,264,410.00</t>
  </si>
  <si>
    <t>394,410.00</t>
  </si>
  <si>
    <t>31.2</t>
  </si>
  <si>
    <t>4083</t>
  </si>
  <si>
    <t>IUS10-O</t>
  </si>
  <si>
    <t>카렌듈라 컴플리트 클렌징오일 200ml</t>
  </si>
  <si>
    <t>2,820</t>
  </si>
  <si>
    <t>21,150.00</t>
  </si>
  <si>
    <t>29,713,635.00</t>
  </si>
  <si>
    <t>21,996,000.00</t>
  </si>
  <si>
    <t>7,717,635.00</t>
  </si>
  <si>
    <t>4084</t>
  </si>
  <si>
    <t>457,435.44</t>
  </si>
  <si>
    <t>386,100.00</t>
  </si>
  <si>
    <t>71,335.44</t>
  </si>
  <si>
    <t>4085</t>
  </si>
  <si>
    <t>3,203,172.00</t>
  </si>
  <si>
    <t>503,172.00</t>
  </si>
  <si>
    <t>15.7</t>
  </si>
  <si>
    <t>4086</t>
  </si>
  <si>
    <t>300.85</t>
  </si>
  <si>
    <t>422,664.17</t>
  </si>
  <si>
    <t>356,400.00</t>
  </si>
  <si>
    <t>66,264.16</t>
  </si>
  <si>
    <t>4087</t>
  </si>
  <si>
    <t>113.80</t>
  </si>
  <si>
    <t>159,877.62</t>
  </si>
  <si>
    <t>24,877.62</t>
  </si>
  <si>
    <t>4088</t>
  </si>
  <si>
    <t>WDPA16-49Green70</t>
  </si>
  <si>
    <t>드레스 &amp; 리빙 클리어 퍼퓸 No.50 그린 애플 70ml</t>
  </si>
  <si>
    <t>3,835,377.00</t>
  </si>
  <si>
    <t>2,319,000.00</t>
  </si>
  <si>
    <t>1,516,377.00</t>
  </si>
  <si>
    <t>4089</t>
  </si>
  <si>
    <t>2025-01-07</t>
  </si>
  <si>
    <t>AbibS11-kit</t>
  </si>
  <si>
    <t>어성초 카밍 트라이얼 키트(어성초폼30ml+어성초토너30ml+어성초테카세럼15ml+어성초크림20ml)</t>
  </si>
  <si>
    <t>IN00301491</t>
  </si>
  <si>
    <t>4090</t>
  </si>
  <si>
    <t>ARMHS10-HM</t>
  </si>
  <si>
    <t>(리뉴얼코드확인) 로즈마리 액티브브이 안티헤어로스 토닉 100ml</t>
  </si>
  <si>
    <t>751.20</t>
  </si>
  <si>
    <t>1,066,478.64</t>
  </si>
  <si>
    <t>9,154.00</t>
  </si>
  <si>
    <t>732,320.00</t>
  </si>
  <si>
    <t>334,158.64</t>
  </si>
  <si>
    <t>4091</t>
  </si>
  <si>
    <t>ARMS01-oil</t>
  </si>
  <si>
    <t>(단종) 유기농 로즈 힙 오일 30ml</t>
  </si>
  <si>
    <t>119.76</t>
  </si>
  <si>
    <t>170,023.27</t>
  </si>
  <si>
    <t>8,625.00</t>
  </si>
  <si>
    <t>103,500.00</t>
  </si>
  <si>
    <t>66,523.27</t>
  </si>
  <si>
    <t>4092</t>
  </si>
  <si>
    <t>457.05</t>
  </si>
  <si>
    <t>648,873.89</t>
  </si>
  <si>
    <t>153,873.89</t>
  </si>
  <si>
    <t>4093</t>
  </si>
  <si>
    <t>4094</t>
  </si>
  <si>
    <t>BentonS01-SRps4</t>
  </si>
  <si>
    <t>샘플) 스네일비얼티밋세럼플러스 1.2g*4 (파우치 샘플)</t>
  </si>
  <si>
    <t>4095</t>
  </si>
  <si>
    <t>212.28</t>
  </si>
  <si>
    <t>301,373.92</t>
  </si>
  <si>
    <t>218,312.00</t>
  </si>
  <si>
    <t>83,061.92</t>
  </si>
  <si>
    <t>4096</t>
  </si>
  <si>
    <t>4097</t>
  </si>
  <si>
    <t>DRCS07-S</t>
  </si>
  <si>
    <t>퓨어 VC 멜라이트 부스팅 에센스 145ml</t>
  </si>
  <si>
    <t>닥터슈라클</t>
  </si>
  <si>
    <t>4098</t>
  </si>
  <si>
    <t>391,837.20</t>
  </si>
  <si>
    <t>111,837.20</t>
  </si>
  <si>
    <t>4099</t>
  </si>
  <si>
    <t>HLSC01-Fs</t>
  </si>
  <si>
    <t>포어 퓨리파잉 살리실산 포밍 클렌저 1ml</t>
  </si>
  <si>
    <t>4100</t>
  </si>
  <si>
    <t>HLSS01-CH</t>
  </si>
  <si>
    <t>워터풀 히알루론산 크림 50ml (본품)</t>
  </si>
  <si>
    <t>1,044,899.20</t>
  </si>
  <si>
    <t>534,899.20</t>
  </si>
  <si>
    <t>4101</t>
  </si>
  <si>
    <t>159.80</t>
  </si>
  <si>
    <t>226,868.06</t>
  </si>
  <si>
    <t>66,868.06</t>
  </si>
  <si>
    <t>4102</t>
  </si>
  <si>
    <t>11,908,443.60</t>
  </si>
  <si>
    <t>6,452.92</t>
  </si>
  <si>
    <t>7,743,500.00</t>
  </si>
  <si>
    <t>4,164,943.60</t>
  </si>
  <si>
    <t>4103</t>
  </si>
  <si>
    <t>HLSS01-SV</t>
  </si>
  <si>
    <t>(단종)올데이 비타민 VC-IP 1.0 퍼밍 세럼 30ml (본품)</t>
  </si>
  <si>
    <t>1,598.00</t>
  </si>
  <si>
    <t>2,268,680.60</t>
  </si>
  <si>
    <t>768,680.60</t>
  </si>
  <si>
    <t>4104</t>
  </si>
  <si>
    <t>61.40</t>
  </si>
  <si>
    <t>87,169.58</t>
  </si>
  <si>
    <t>68,000.00</t>
  </si>
  <si>
    <t>19,169.58</t>
  </si>
  <si>
    <t>4105</t>
  </si>
  <si>
    <t>1,132,920.60</t>
  </si>
  <si>
    <t>392,920.60</t>
  </si>
  <si>
    <t>4106</t>
  </si>
  <si>
    <t>HNA16-MR</t>
  </si>
  <si>
    <t>(비매품) 미니 퍼 손거울</t>
  </si>
  <si>
    <t>4107</t>
  </si>
  <si>
    <t>HNCM01-LPB</t>
  </si>
  <si>
    <t>올 오버 립 펜슬 바운드리스</t>
  </si>
  <si>
    <t>4108</t>
  </si>
  <si>
    <t>HNCM02-LTkit</t>
  </si>
  <si>
    <t>(비매품) 트루 디멘션 래디언스 밤 트라이얼 키트</t>
  </si>
  <si>
    <t>4109</t>
  </si>
  <si>
    <t>HNMA17-MS</t>
  </si>
  <si>
    <t>나이트 크림 괄사</t>
  </si>
  <si>
    <t>4110</t>
  </si>
  <si>
    <t>HNS17-NCs</t>
  </si>
  <si>
    <t>(비매품) 킹스베리 비타 나이트 크림 3ml</t>
  </si>
  <si>
    <t>4111</t>
  </si>
  <si>
    <t>870.00</t>
  </si>
  <si>
    <t>1,235,139.00</t>
  </si>
  <si>
    <t>825,000.00</t>
  </si>
  <si>
    <t>410,139.00</t>
  </si>
  <si>
    <t>4112</t>
  </si>
  <si>
    <t>JSMS01-Sgset</t>
  </si>
  <si>
    <t>Glow Serum : Propolis+Niacinamide + Relief Sun 10ml</t>
  </si>
  <si>
    <t>699,720.00</t>
  </si>
  <si>
    <t>-699,720.00</t>
  </si>
  <si>
    <t>4113</t>
  </si>
  <si>
    <t>LCM49-LipTreatment</t>
  </si>
  <si>
    <t>립 트리트먼트 밤 10g</t>
  </si>
  <si>
    <t>16,937.02</t>
  </si>
  <si>
    <t>12,500.00</t>
  </si>
  <si>
    <t>4,437.02</t>
  </si>
  <si>
    <t>4114</t>
  </si>
  <si>
    <t>12,422,375.00</t>
  </si>
  <si>
    <t>3,422,375.00</t>
  </si>
  <si>
    <t>4115</t>
  </si>
  <si>
    <t>4116</t>
  </si>
  <si>
    <t>MMA11-BRR</t>
  </si>
  <si>
    <t>(단종) 빅 실리콘 브러쉬</t>
  </si>
  <si>
    <t>0.68</t>
  </si>
  <si>
    <t>124.44</t>
  </si>
  <si>
    <t>176,667.47</t>
  </si>
  <si>
    <t>690.00</t>
  </si>
  <si>
    <t>126,270.00</t>
  </si>
  <si>
    <t>50,397.47</t>
  </si>
  <si>
    <t>4117</t>
  </si>
  <si>
    <t>MS05-A5x</t>
  </si>
  <si>
    <t>(5세대) 타임 레볼루션 나이트리페어 앰플 파이브엑스 50ml [주력]</t>
  </si>
  <si>
    <t>13.93</t>
  </si>
  <si>
    <t>474,634.10</t>
  </si>
  <si>
    <t>13,791.00</t>
  </si>
  <si>
    <t>330,984.00</t>
  </si>
  <si>
    <t>143,650.10</t>
  </si>
  <si>
    <t>4118</t>
  </si>
  <si>
    <t>NLS06-SET</t>
  </si>
  <si>
    <t>앰플 세트 (B-Boost 10% Niacinamide Serum 30ml + A-Control Azelaic Acid Serum 30ml)</t>
  </si>
  <si>
    <t>4119</t>
  </si>
  <si>
    <t>PTFP10-LM</t>
  </si>
  <si>
    <t>*PTFP10-LMM확인*오일 블라썸 립마스크 동백오일 15g</t>
  </si>
  <si>
    <t>292.50</t>
  </si>
  <si>
    <t>415,262.25</t>
  </si>
  <si>
    <t>4,364.00</t>
  </si>
  <si>
    <t>87,962.25</t>
  </si>
  <si>
    <t>4120</t>
  </si>
  <si>
    <t>PTFP10-ML</t>
  </si>
  <si>
    <t>오일 블라썸 립 마스크(씨벅톤 오일) 15g</t>
  </si>
  <si>
    <t>4.23</t>
  </si>
  <si>
    <t>54.99</t>
  </si>
  <si>
    <t>78,069.30</t>
  </si>
  <si>
    <t>56,732.00</t>
  </si>
  <si>
    <t>21,337.30</t>
  </si>
  <si>
    <t>4121</t>
  </si>
  <si>
    <t>11.54</t>
  </si>
  <si>
    <t>657.78</t>
  </si>
  <si>
    <t>933,850.27</t>
  </si>
  <si>
    <t>708,909.00</t>
  </si>
  <si>
    <t>224,941.27</t>
  </si>
  <si>
    <t>4122</t>
  </si>
  <si>
    <t>SFM02-PSRR</t>
  </si>
  <si>
    <t>(리뉴얼코드확인) 피치뽀송멀티피니시파우더 5g (N23)</t>
  </si>
  <si>
    <t>2.58</t>
  </si>
  <si>
    <t>141.90</t>
  </si>
  <si>
    <t>201,455.43</t>
  </si>
  <si>
    <t>2,737.00</t>
  </si>
  <si>
    <t>150,535.00</t>
  </si>
  <si>
    <t>50,920.43</t>
  </si>
  <si>
    <t>4123</t>
  </si>
  <si>
    <t>TIRS01-CML</t>
  </si>
  <si>
    <t>밀크 스킨 토너 라이트 150ml</t>
  </si>
  <si>
    <t>291.52</t>
  </si>
  <si>
    <t>413,870.94</t>
  </si>
  <si>
    <t>10,546.00</t>
  </si>
  <si>
    <t>337,472.00</t>
  </si>
  <si>
    <t>76,398.94</t>
  </si>
  <si>
    <t>4124</t>
  </si>
  <si>
    <t>VTS21-S100m</t>
  </si>
  <si>
    <t>(단종) 리들샷 100 앰플러(7EA)</t>
  </si>
  <si>
    <t>4125</t>
  </si>
  <si>
    <t>BR-EU</t>
  </si>
  <si>
    <t>JSMSM07-SEU</t>
  </si>
  <si>
    <t>[EU] 산들 쑥 선스틱 18g</t>
  </si>
  <si>
    <t>IN00347431</t>
  </si>
  <si>
    <t>Month</t>
  </si>
  <si>
    <t>Period</t>
  </si>
  <si>
    <t>Revenue_KRW</t>
  </si>
  <si>
    <t>Qty_num</t>
  </si>
  <si>
    <t>Profit_KRW</t>
  </si>
  <si>
    <t>Type</t>
  </si>
  <si>
    <t>Beauty of Joseon</t>
  </si>
  <si>
    <t>medicube</t>
  </si>
  <si>
    <t>Anua</t>
  </si>
  <si>
    <t>COSRX</t>
  </si>
  <si>
    <t>Round Lab</t>
  </si>
  <si>
    <t>Celimax</t>
  </si>
  <si>
    <t>Pyunkang Yul</t>
  </si>
  <si>
    <t>BIODANCE</t>
  </si>
  <si>
    <t>Arencia</t>
  </si>
  <si>
    <t>Dr.Rejuol</t>
  </si>
  <si>
    <t>Heimish</t>
  </si>
  <si>
    <t>Dr.Elsia</t>
  </si>
  <si>
    <t>Abib</t>
  </si>
  <si>
    <t>APLB</t>
  </si>
  <si>
    <t>Purito Seoul</t>
  </si>
  <si>
    <t>TIRTIR</t>
  </si>
  <si>
    <t>Benton</t>
  </si>
  <si>
    <t>Etude</t>
  </si>
  <si>
    <t>Petitfee</t>
  </si>
  <si>
    <t>Barulab</t>
  </si>
  <si>
    <t>Laneige</t>
  </si>
  <si>
    <t>Nineless</t>
  </si>
  <si>
    <t>Klavuu</t>
  </si>
  <si>
    <t>Lagom</t>
  </si>
  <si>
    <t>I'm From</t>
  </si>
  <si>
    <t>KAHI</t>
  </si>
  <si>
    <t>Real Barrier</t>
  </si>
  <si>
    <t>A'PIEU</t>
  </si>
  <si>
    <t>TOCOBO</t>
  </si>
  <si>
    <t>numbuzin</t>
  </si>
  <si>
    <t>Rovectin</t>
  </si>
  <si>
    <t>Ceverry</t>
  </si>
  <si>
    <t>G9SKIN</t>
  </si>
  <si>
    <t>Atopalm</t>
  </si>
  <si>
    <t>Goodal</t>
  </si>
  <si>
    <t>Sungbun Editor</t>
  </si>
  <si>
    <t>B.LAB</t>
  </si>
  <si>
    <t>Marie en May</t>
  </si>
  <si>
    <t>MOEV</t>
  </si>
  <si>
    <t>Tricell</t>
  </si>
  <si>
    <t>Secret Key</t>
  </si>
  <si>
    <t>Frankly</t>
  </si>
  <si>
    <t>Tiam</t>
  </si>
  <si>
    <t>Tfit</t>
  </si>
  <si>
    <t>B the Skin</t>
  </si>
  <si>
    <t>Isntree</t>
  </si>
  <si>
    <t>Idewcare</t>
  </si>
  <si>
    <t>VT Cosmetics</t>
  </si>
  <si>
    <t>Acwell</t>
  </si>
  <si>
    <t>Melixir</t>
  </si>
  <si>
    <t>Nature Republic</t>
  </si>
  <si>
    <t>ONE THING</t>
  </si>
  <si>
    <t>Kaine</t>
  </si>
  <si>
    <t>Blithe</t>
  </si>
  <si>
    <t>banila co</t>
  </si>
  <si>
    <t>SNP</t>
  </si>
  <si>
    <t>make p:rem</t>
  </si>
  <si>
    <t>ELROEL</t>
  </si>
  <si>
    <t>peripera</t>
  </si>
  <si>
    <t>fwee</t>
  </si>
  <si>
    <t>isoi</t>
  </si>
  <si>
    <t>House of Hur</t>
  </si>
  <si>
    <t>Narca</t>
  </si>
  <si>
    <t>JUMISO</t>
  </si>
  <si>
    <t>iUNIK</t>
  </si>
  <si>
    <t>Axis-Y</t>
  </si>
  <si>
    <t>MISSHA</t>
  </si>
  <si>
    <t>Have Blue</t>
  </si>
  <si>
    <t>W.DRESSROOM</t>
  </si>
  <si>
    <t>SKINFOOD</t>
  </si>
  <si>
    <t>Aromatica</t>
  </si>
  <si>
    <t>Elizavecca</t>
  </si>
  <si>
    <t>TONYMOLY</t>
  </si>
  <si>
    <t>Sioris</t>
  </si>
  <si>
    <t>Deer May</t>
  </si>
  <si>
    <t>mixsoon</t>
  </si>
  <si>
    <t>Studio 17</t>
  </si>
  <si>
    <t>Dr.Suracle</t>
  </si>
  <si>
    <t>BRAND COMPARISON — H1 2025 vs H1 2026 (Revenue in KRW, sorted by H1'26 revenue)</t>
  </si>
  <si>
    <t>#</t>
  </si>
  <si>
    <t>Brand (EN)</t>
  </si>
  <si>
    <t>Brand (source)</t>
  </si>
  <si>
    <t>Rev H1'25</t>
  </si>
  <si>
    <t>Rev H1'26</t>
  </si>
  <si>
    <t>Δ Rev</t>
  </si>
  <si>
    <t>YoY %</t>
  </si>
  <si>
    <t>Units'25</t>
  </si>
  <si>
    <t>Units'26</t>
  </si>
  <si>
    <t>Profit'26</t>
  </si>
  <si>
    <t>Margin'26</t>
  </si>
  <si>
    <t>Free units'26</t>
  </si>
  <si>
    <t>Status</t>
  </si>
  <si>
    <t>MOARS — H1 Sales Review &amp; Comparison: 2025 vs 2026</t>
  </si>
  <si>
    <t>Client: MOARS (ships to Netherlands) · Currency: KRW (converted amount / 환산금액) · Period: Jan–Jun · Purpose: H1 retrospective &amp; H2 insight · Source: {worksheet}</t>
  </si>
  <si>
    <t>KEY METRICS</t>
  </si>
  <si>
    <t>Metric</t>
  </si>
  <si>
    <t>H1 2025</t>
  </si>
  <si>
    <t>H1 2026</t>
  </si>
  <si>
    <t>Δ</t>
  </si>
  <si>
    <t>Total Revenue (KRW)</t>
  </si>
  <si>
    <t>Gross Profit (KRW)</t>
  </si>
  <si>
    <t>Gross Margin %</t>
  </si>
  <si>
    <t>Units Sold</t>
  </si>
  <si>
    <t>Transactions (line items)</t>
  </si>
  <si>
    <t>Active Brands (rev &gt; 0)</t>
  </si>
  <si>
    <t>Free Units (Sample + FOC)</t>
  </si>
  <si>
    <t>MONTHLY REVENUE TREND (KRW)</t>
  </si>
  <si>
    <t>Jan</t>
  </si>
  <si>
    <t>Feb</t>
  </si>
  <si>
    <t>Mar</t>
  </si>
  <si>
    <t>Apr</t>
  </si>
  <si>
    <t>May</t>
  </si>
  <si>
    <t>Jun</t>
  </si>
  <si>
    <t>H1 Total</t>
  </si>
  <si>
    <t>[Chart data — Top 10 brands]</t>
  </si>
  <si>
    <t>Brand</t>
  </si>
  <si>
    <t>[Chart data — Biggest movers by Δ Revenue]</t>
  </si>
  <si>
    <t>Δ Revenue</t>
  </si>
  <si>
    <t>H1 2026 REVIEW — MEETING PREP: WHAT YOU MUST KNOW</t>
  </si>
  <si>
    <t>MOARS (Netherlands) · Jan–Jun 2026 vs Jan–Jun 2025 · Revenue in KRW (converted amount) · Source: {worksheet} → see 'H1 Analysis' for detail</t>
  </si>
  <si>
    <t>1.  HEADLINE</t>
  </si>
  <si>
    <t>2.  WHAT'S DRIVING GROWTH</t>
  </si>
  <si>
    <t>•  Second wave of breakout brands (all +250% or more): COSRX, Round Lab, BIODANCE, and Celimax (Celimax also carries the best margin among leaders at ~35%).</t>
  </si>
  <si>
    <t>•  New brands introduced in H1'26 contributing real revenue: Arencia (~160M) and Dr.Rejuol (~137M), plus smaller additions (Lagom, G9SKIN).</t>
  </si>
  <si>
    <t>3.  RISKS &amp; WATCH-OUTS</t>
  </si>
  <si>
    <t>•  Steep decliners &amp; exits: VT Cosmetics -98%; brands that went to zero in H1'26 include JUMISO (~72M in H1'25), Axis-Y (~29M), MISSHA, W.DRESSROOM, Have Blue. Confirm these were intentional (discontinued) vs. lost business.</t>
  </si>
  <si>
    <t>•  Growth leans on young/volatile brands (medicube, Anua, COSRX). High growth % comes off small H1'25 bases — sustainability into H2 is the key unknown.</t>
  </si>
  <si>
    <t>4.  FOC &amp; SAMPLING</t>
  </si>
  <si>
    <t>•  The MIX of free goods changed: H1'25 was almost entirely product samples (36,542 units, no FOC). H1'26 samples fell to 435 units, replaced by targeted FOC trade incentives (6,788 units).</t>
  </si>
  <si>
    <t>•  H1'26 FOC (sales-incentive) units are concentrated in just 3 brands: Pyunkang Yul 3,750, Klavuu 2,550, Dr.Rejuol 488. Worth confirming the ROI / intent of these incentives.</t>
  </si>
  <si>
    <t>5.  QUESTIONS / TALKING POINTS FOR H2</t>
  </si>
  <si>
    <t>•  Can medicube, Anua, COSRX, Round Lab, BIODANCE sustain momentum, or is this pipeline fill / one-off stocking?</t>
  </si>
  <si>
    <t>•  Is the Dr.Elsia decline recoverable, and what replaces its H1'25 volume?</t>
  </si>
  <si>
    <t>•  Given units down but revenue up — is this deliberate premiumization, or price/FX effects we should validate?</t>
  </si>
  <si>
    <t>•  Reduce concentration risk: which mid-tier brands (Celimax, BIODANCE, Round Lab) should we push in H2?</t>
  </si>
  <si>
    <t>•  H2'25 (Jul–Dec) was strong in the source data — set H2'26 targets against that comparable, not against H1.</t>
  </si>
  <si>
    <t>Data notes: All shipments are to one destination (Netherlands / MOARS). Revenue uses converted amount (환산금액, KRW); source amounts were stored as text and converted via helper columns AA:AF on {worksheet}. English brand names are best-effort mappings of the Korean source names (kept in 'H1 Analysis' col C for traceability).</t>
  </si>
  <si>
    <t>MOARS 상반기 매출 요약 · 특이점 (2025 vs 2026)</t>
  </si>
  <si>
    <t>고객사: MOARS (네덜란드) · 기간: 1~6월 · 매출: 환산금액(KRW) · 출처: {worksheet} · 상세: 'H1 Analysis' 참고</t>
  </si>
  <si>
    <t>총매출 (H1'26, KRW)</t>
  </si>
  <si>
    <t>매출총이익 (KRW)</t>
  </si>
  <si>
    <t>이익률</t>
  </si>
  <si>
    <t>판매수량 (개)</t>
  </si>
  <si>
    <t>거래 건수</t>
  </si>
  <si>
    <t>무상수량 (샘플+FOC)</t>
  </si>
  <si>
    <t>[차트 데이터 — H1'26 매출 구성]</t>
  </si>
  <si>
    <t>H1'26 매출</t>
  </si>
  <si>
    <t>기타 (Others)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</si>
</sst>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#,##0;\(#,##0\);&quot;-&quot;"/>
    <numFmt numFmtId="181" formatCode="0.0%;\(0.0%\);&quot;-&quot;"/>
    <numFmt numFmtId="182" formatCode="#,##0,,&quot;M&quot;"/>
    <numFmt numFmtId="183" formatCode="0.0%"/>
  </numFmts>
  <fonts count="3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1F3864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b/>
      <sz val="16"/>
      <color rgb="FF1F3864"/>
      <name val="맑은 고딕"/>
      <family val="2"/>
      <charset val="129"/>
      <scheme val="minor"/>
    </font>
    <font>
      <sz val="10"/>
      <color rgb="FF595959"/>
      <name val="맑은 고딕"/>
      <family val="2"/>
      <charset val="129"/>
      <scheme val="minor"/>
    </font>
    <font>
      <i/>
      <sz val="10"/>
      <color rgb="FF595959"/>
      <name val="맑은 고딕"/>
      <family val="2"/>
      <charset val="129"/>
      <scheme val="minor"/>
    </font>
    <font>
      <i/>
      <sz val="11"/>
      <color rgb="FF808080"/>
      <name val="맑은 고딕"/>
      <family val="2"/>
      <charset val="129"/>
      <scheme val="minor"/>
    </font>
    <font>
      <b/>
      <sz val="15"/>
      <color rgb="FFFFFFFF"/>
      <name val="맑은 고딕"/>
      <family val="2"/>
      <charset val="129"/>
      <scheme val="minor"/>
    </font>
    <font>
      <i/>
      <sz val="11"/>
      <color rgb="FF595959"/>
      <name val="맑은 고딕"/>
      <family val="2"/>
      <charset val="129"/>
      <scheme val="minor"/>
    </font>
    <font>
      <b/>
      <sz val="12"/>
      <color rgb="FFFFFFFF"/>
      <name val="맑은 고딕"/>
      <family val="2"/>
      <charset val="129"/>
      <scheme val="minor"/>
    </font>
    <font>
      <i/>
      <sz val="9"/>
      <color rgb="FF808080"/>
      <name val="맑은 고딕"/>
      <family val="2"/>
      <charset val="129"/>
      <scheme val="minor"/>
    </font>
    <font>
      <b/>
      <sz val="22"/>
      <color rgb="FF1F3864"/>
      <name val="맑은 고딕"/>
      <family val="2"/>
      <charset val="129"/>
      <scheme val="minor"/>
    </font>
    <font>
      <b/>
      <sz val="11"/>
      <color rgb="FF2E7D32"/>
      <name val="맑은 고딕"/>
      <family val="2"/>
      <charset val="129"/>
      <scheme val="minor"/>
    </font>
    <font>
      <b/>
      <sz val="11"/>
      <color rgb="FFC00000"/>
      <name val="맑은 고딕"/>
      <family val="2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4823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49" fontId="0" fillId="0" borderId="10" xfId="0" applyNumberForma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49" fontId="19" fillId="0" borderId="10" xfId="0" applyNumberFormat="1" applyFont="1" applyBorder="1" applyAlignment="1">
      <alignment horizontal="center" vertical="center" wrapText="1"/>
    </xf>
    <xf numFmtId="49" fontId="19" fillId="33" borderId="11" xfId="0" applyNumberFormat="1" applyFont="1" applyFill="1" applyBorder="1" applyAlignment="1">
      <alignment horizontal="center" vertical="center" wrapText="1"/>
    </xf>
    <xf numFmtId="0" fontId="16" fillId="33" borderId="0" xfId="0" applyFont="1" applyFill="1">
      <alignment vertical="center"/>
    </xf>
    <xf numFmtId="0" fontId="16" fillId="33" borderId="0" xfId="0" applyFont="1" applyFill="1" applyBorder="1">
      <alignment vertical="center"/>
    </xf>
    <xf numFmtId="0" fontId="21" fillId="0" borderId="0" xfId="0" applyFon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22" fillId="34" borderId="12" xfId="0" applyFont="1" applyFill="1" applyBorder="1" applyAlignment="1">
      <alignment horizontal="center" vertical="center"/>
    </xf>
    <xf numFmtId="0" fontId="22" fillId="34" borderId="12" xfId="0" applyFont="1" applyFill="1" applyBorder="1">
      <alignment vertical="center"/>
    </xf>
    <xf numFmtId="0" fontId="22" fillId="34" borderId="12" xfId="0" applyFont="1" applyFill="1" applyBorder="1" applyAlignment="1">
      <alignment horizontal="right" vertical="center"/>
    </xf>
    <xf numFmtId="0" fontId="23" fillId="0" borderId="0" xfId="0" applyFont="1">
      <alignment vertical="center"/>
    </xf>
    <xf numFmtId="0" fontId="25" fillId="0" borderId="0" xfId="0" applyFont="1">
      <alignment vertical="center"/>
    </xf>
    <xf numFmtId="180" fontId="0" fillId="0" borderId="14" xfId="0" applyNumberFormat="1" applyBorder="1">
      <alignment vertical="center"/>
    </xf>
    <xf numFmtId="181" fontId="0" fillId="0" borderId="14" xfId="0" applyNumberFormat="1" applyBorder="1">
      <alignment vertical="center"/>
    </xf>
    <xf numFmtId="180" fontId="0" fillId="0" borderId="15" xfId="0" applyNumberFormat="1" applyBorder="1">
      <alignment vertical="center"/>
    </xf>
    <xf numFmtId="181" fontId="0" fillId="0" borderId="15" xfId="0" applyNumberFormat="1" applyBorder="1">
      <alignment vertical="center"/>
    </xf>
    <xf numFmtId="0" fontId="22" fillId="34" borderId="0" xfId="0" applyFont="1" applyFill="1" applyBorder="1">
      <alignment vertical="center"/>
    </xf>
    <xf numFmtId="0" fontId="22" fillId="34" borderId="0" xfId="0" applyFont="1" applyFill="1" applyBorder="1" applyAlignment="1">
      <alignment horizontal="right" vertical="center"/>
    </xf>
    <xf numFmtId="180" fontId="0" fillId="0" borderId="16" xfId="0" applyNumberFormat="1" applyBorder="1">
      <alignment vertical="center"/>
    </xf>
    <xf numFmtId="181" fontId="0" fillId="0" borderId="16" xfId="0" applyNumberFormat="1" applyBorder="1">
      <alignment vertical="center"/>
    </xf>
    <xf numFmtId="0" fontId="16" fillId="0" borderId="14" xfId="0" applyFont="1" applyBorder="1">
      <alignment vertical="center"/>
    </xf>
    <xf numFmtId="0" fontId="16" fillId="0" borderId="15" xfId="0" applyFont="1" applyBorder="1">
      <alignment vertical="center"/>
    </xf>
    <xf numFmtId="0" fontId="16" fillId="0" borderId="16" xfId="0" applyFont="1" applyBorder="1">
      <alignment vertical="center"/>
    </xf>
    <xf numFmtId="0" fontId="21" fillId="0" borderId="0" xfId="0" applyFont="1" applyFill="1" applyBorder="1">
      <alignment vertical="center"/>
    </xf>
    <xf numFmtId="0" fontId="16" fillId="0" borderId="13" xfId="0" applyFont="1" applyBorder="1">
      <alignment vertical="center"/>
    </xf>
    <xf numFmtId="180" fontId="16" fillId="0" borderId="13" xfId="0" applyNumberFormat="1" applyFont="1" applyBorder="1">
      <alignment vertical="center"/>
    </xf>
    <xf numFmtId="181" fontId="16" fillId="0" borderId="13" xfId="0" applyNumberFormat="1" applyFont="1" applyBorder="1">
      <alignment vertical="center"/>
    </xf>
    <xf numFmtId="0" fontId="26" fillId="0" borderId="0" xfId="0" applyFont="1">
      <alignment vertical="center"/>
    </xf>
    <xf numFmtId="0" fontId="0" fillId="0" borderId="0" xfId="0" applyAlignment="1">
      <alignment horizontal="center" vertical="center"/>
    </xf>
    <xf numFmtId="0" fontId="27" fillId="34" borderId="0" xfId="0" applyFont="1" applyFill="1" applyAlignment="1">
      <alignment vertical="top" wrapText="1"/>
    </xf>
    <xf numFmtId="0" fontId="2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9" fillId="35" borderId="0" xfId="0" applyFont="1" applyFill="1" applyAlignment="1">
      <alignment vertical="top" wrapText="1"/>
    </xf>
    <xf numFmtId="0" fontId="29" fillId="36" borderId="0" xfId="0" applyFont="1" applyFill="1" applyAlignment="1">
      <alignment vertical="top" wrapText="1"/>
    </xf>
    <xf numFmtId="0" fontId="29" fillId="37" borderId="0" xfId="0" applyFont="1" applyFill="1" applyAlignment="1">
      <alignment vertical="top" wrapText="1"/>
    </xf>
    <xf numFmtId="0" fontId="30" fillId="0" borderId="0" xfId="0" applyFont="1" applyAlignment="1">
      <alignment vertical="top" wrapText="1"/>
    </xf>
    <xf numFmtId="0" fontId="0" fillId="0" borderId="0" xfId="0">
      <alignment vertical="center"/>
    </xf>
    <xf numFmtId="0" fontId="23" fillId="0" borderId="0" xfId="0" applyFont="1">
      <alignment vertical="center"/>
    </xf>
    <xf numFmtId="0" fontId="28" fillId="0" borderId="0" xfId="0" applyFont="1">
      <alignment vertical="center"/>
    </xf>
    <xf numFmtId="0" fontId="0" fillId="0" borderId="12" xfId="0" applyBorder="1">
      <alignment vertical="center"/>
    </xf>
    <xf numFmtId="0" fontId="24" fillId="0" borderId="0" xfId="0" applyFont="1" applyAlignment="1">
      <alignment horizontal="center" vertical="center"/>
    </xf>
    <xf numFmtId="182" fontId="31" fillId="0" borderId="0" xfId="0" applyNumberFormat="1" applyFont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183" fontId="31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0" borderId="12" xfId="0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6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833C00"/>
      </font>
      <fill>
        <patternFill patternType="solid">
          <fgColor indexed="64"/>
          <bgColor rgb="FFFCE4D6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Top 10 Brands by H1'26 Revenue (KRW): 2025 vs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'H1 Analysis'!$B$121</c:f>
              <c:strCache>
                <c:ptCount val="1"/>
                <c:pt idx="0">
                  <c:v>H1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'H1 Analysis'!$A$122:$A$131</c:f>
              <c:strCache>
                <c:ptCount val="10"/>
                <c:pt idx="0">
                  <c:v>Beauty of Joseon</c:v>
                </c:pt>
                <c:pt idx="1">
                  <c:v>medicube</c:v>
                </c:pt>
                <c:pt idx="2">
                  <c:v>Anua</c:v>
                </c:pt>
                <c:pt idx="3">
                  <c:v>COSRX</c:v>
                </c:pt>
                <c:pt idx="4">
                  <c:v>Round Lab</c:v>
                </c:pt>
                <c:pt idx="5">
                  <c:v>Celimax</c:v>
                </c:pt>
                <c:pt idx="6">
                  <c:v>Pyunkang Yul</c:v>
                </c:pt>
                <c:pt idx="7">
                  <c:v>BIODANCE</c:v>
                </c:pt>
                <c:pt idx="8">
                  <c:v>Arencia</c:v>
                </c:pt>
                <c:pt idx="9">
                  <c:v>Dr.Rejuol</c:v>
                </c:pt>
              </c:strCache>
            </c:strRef>
          </c:cat>
          <c:val>
            <c:numRef>
              <c:f>'H1 Analysis'!$B$122:$B$131</c:f>
              <c:numCache>
                <c:formatCode>#,##0;\(#,##0\);"-"</c:formatCode>
                <c:ptCount val="10"/>
                <c:pt idx="0">
                  <c:v>2104813777.6500003</c:v>
                </c:pt>
                <c:pt idx="1">
                  <c:v>392622936.80000007</c:v>
                </c:pt>
                <c:pt idx="2">
                  <c:v>20961</c:v>
                </c:pt>
                <c:pt idx="3">
                  <c:v>97689803.800000012</c:v>
                </c:pt>
                <c:pt idx="4">
                  <c:v>48847212.380000003</c:v>
                </c:pt>
                <c:pt idx="5">
                  <c:v>74354178.499999985</c:v>
                </c:pt>
                <c:pt idx="6">
                  <c:v>276576947.2299999</c:v>
                </c:pt>
                <c:pt idx="7">
                  <c:v>63799921.480000004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80-4B95-BD87-05591CDA771A}"/>
            </c:ext>
          </c:extLst>
        </c:ser>
        <c:ser>
          <c:idx val="1"/>
          <c:order val="1"/>
          <c:tx>
            <c:strRef>
              <c:f>'H1 Analysis'!$C$121</c:f>
              <c:strCache>
                <c:ptCount val="1"/>
                <c:pt idx="0">
                  <c:v>H1 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'H1 Analysis'!$A$122:$A$131</c:f>
              <c:strCache>
                <c:ptCount val="10"/>
                <c:pt idx="0">
                  <c:v>Beauty of Joseon</c:v>
                </c:pt>
                <c:pt idx="1">
                  <c:v>medicube</c:v>
                </c:pt>
                <c:pt idx="2">
                  <c:v>Anua</c:v>
                </c:pt>
                <c:pt idx="3">
                  <c:v>COSRX</c:v>
                </c:pt>
                <c:pt idx="4">
                  <c:v>Round Lab</c:v>
                </c:pt>
                <c:pt idx="5">
                  <c:v>Celimax</c:v>
                </c:pt>
                <c:pt idx="6">
                  <c:v>Pyunkang Yul</c:v>
                </c:pt>
                <c:pt idx="7">
                  <c:v>BIODANCE</c:v>
                </c:pt>
                <c:pt idx="8">
                  <c:v>Arencia</c:v>
                </c:pt>
                <c:pt idx="9">
                  <c:v>Dr.Rejuol</c:v>
                </c:pt>
              </c:strCache>
            </c:strRef>
          </c:cat>
          <c:val>
            <c:numRef>
              <c:f>'H1 Analysis'!$C$122:$C$131</c:f>
              <c:numCache>
                <c:formatCode>#,##0;\(#,##0\);"-"</c:formatCode>
                <c:ptCount val="10"/>
                <c:pt idx="0">
                  <c:v>2270193372.6100001</c:v>
                </c:pt>
                <c:pt idx="1">
                  <c:v>1981058783.7300003</c:v>
                </c:pt>
                <c:pt idx="2">
                  <c:v>1415591084.6399996</c:v>
                </c:pt>
                <c:pt idx="3">
                  <c:v>436028264.33000016</c:v>
                </c:pt>
                <c:pt idx="4">
                  <c:v>316037137.59000003</c:v>
                </c:pt>
                <c:pt idx="5">
                  <c:v>282168784.41000003</c:v>
                </c:pt>
                <c:pt idx="6">
                  <c:v>272130838.95999998</c:v>
                </c:pt>
                <c:pt idx="7">
                  <c:v>251654437.13000003</c:v>
                </c:pt>
                <c:pt idx="8">
                  <c:v>159601451.77999997</c:v>
                </c:pt>
                <c:pt idx="9">
                  <c:v>136670443.43000001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80-4B95-BD87-05591CDA7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684943"/>
        <c:axId val="82698383"/>
      </c:barChart>
      <c:catAx>
        <c:axId val="8268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698383"/>
        <c:crosses val="autoZero"/>
        <c:auto val="1"/>
        <c:lblAlgn val="ctr"/>
        <c:lblOffset val="100"/>
        <c:noMultiLvlLbl val="0"/>
      </c:catAx>
      <c:valAx>
        <c:axId val="8269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68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Biggest Movers by </a:t>
            </a:r>
            <a:r>
              <a:rPr lang="el-GR" altLang="ko-KR"/>
              <a:t>Δ </a:t>
            </a:r>
            <a:r>
              <a:rPr lang="en-US" altLang="ko-KR"/>
              <a:t>Revenue (KRW) — Gainers &amp; Decliners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'H1 Analysis'!$F$121</c:f>
              <c:strCache>
                <c:ptCount val="1"/>
                <c:pt idx="0">
                  <c:v>Δ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'H1 Analysis'!$E$122:$E$132</c:f>
              <c:strCache>
                <c:ptCount val="11"/>
                <c:pt idx="0">
                  <c:v>medicube</c:v>
                </c:pt>
                <c:pt idx="1">
                  <c:v>Anua</c:v>
                </c:pt>
                <c:pt idx="2">
                  <c:v>COSRX</c:v>
                </c:pt>
                <c:pt idx="3">
                  <c:v>Round Lab</c:v>
                </c:pt>
                <c:pt idx="4">
                  <c:v>Celimax</c:v>
                </c:pt>
                <c:pt idx="5">
                  <c:v>BIODANCE</c:v>
                </c:pt>
                <c:pt idx="6">
                  <c:v>Dr.Elsia</c:v>
                </c:pt>
                <c:pt idx="7">
                  <c:v>VT Cosmetics</c:v>
                </c:pt>
                <c:pt idx="8">
                  <c:v>JUMISO</c:v>
                </c:pt>
                <c:pt idx="9">
                  <c:v>iUNIK</c:v>
                </c:pt>
                <c:pt idx="10">
                  <c:v>Marie en May</c:v>
                </c:pt>
              </c:strCache>
            </c:strRef>
          </c:cat>
          <c:val>
            <c:numRef>
              <c:f>'H1 Analysis'!$F$122:$F$132</c:f>
              <c:numCache>
                <c:formatCode>#,##0;\(#,##0\);"-"</c:formatCode>
                <c:ptCount val="11"/>
                <c:pt idx="0">
                  <c:v>1588435846.9300003</c:v>
                </c:pt>
                <c:pt idx="1">
                  <c:v>1415570123.6399996</c:v>
                </c:pt>
                <c:pt idx="2">
                  <c:v>338338460.53000015</c:v>
                </c:pt>
                <c:pt idx="3">
                  <c:v>267189925.21000004</c:v>
                </c:pt>
                <c:pt idx="4">
                  <c:v>207814605.91000003</c:v>
                </c:pt>
                <c:pt idx="5">
                  <c:v>187854515.65000004</c:v>
                </c:pt>
                <c:pt idx="6">
                  <c:v>-679446562.07999992</c:v>
                </c:pt>
                <c:pt idx="7">
                  <c:v>-87346885.349999994</c:v>
                </c:pt>
                <c:pt idx="8">
                  <c:v>-71557802</c:v>
                </c:pt>
                <c:pt idx="9">
                  <c:v>-51671049</c:v>
                </c:pt>
                <c:pt idx="10">
                  <c:v>-28934461.289999999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E-43F3-92E5-EA6A2997C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4837247"/>
        <c:axId val="12892239"/>
      </c:barChart>
      <c:catAx>
        <c:axId val="1314837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92239"/>
        <c:crosses val="autoZero"/>
        <c:auto val="1"/>
        <c:lblAlgn val="ctr"/>
        <c:lblOffset val="100"/>
        <c:noMultiLvlLbl val="0"/>
      </c:catAx>
      <c:valAx>
        <c:axId val="1289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483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Monthly Revenue Trend — H1 2025 vs H1 2026 (KRW)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2025</c:v>
          </c:tx>
          <c:spPr>
            <a:ln w="28575" cap="rnd">
              <a:solidFill>
                <a:srgbClr val="8EA9DB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'H1 Analysis'!$A$16:$A$21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'H1 Analysis'!$B$16:$B$21</c:f>
              <c:numCache>
                <c:formatCode>#,##0;\(#,##0\);"-"</c:formatCode>
                <c:ptCount val="6"/>
                <c:pt idx="0">
                  <c:v>94130265.569999978</c:v>
                </c:pt>
                <c:pt idx="1">
                  <c:v>564774254.18999982</c:v>
                </c:pt>
                <c:pt idx="2">
                  <c:v>1058785047.1900007</c:v>
                </c:pt>
                <c:pt idx="3">
                  <c:v>1090351570.8900001</c:v>
                </c:pt>
                <c:pt idx="4">
                  <c:v>882259131.27999985</c:v>
                </c:pt>
                <c:pt idx="5">
                  <c:v>832511533.90000021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3-4011-839D-AC175F964520}"/>
            </c:ext>
          </c:extLst>
        </c:ser>
        <c:ser>
          <c:idx val="1"/>
          <c:order val="1"/>
          <c:tx>
            <c:v>2026</c:v>
          </c:tx>
          <c:spPr>
            <a:ln w="28575" cap="rnd">
              <a:solidFill>
                <a:srgbClr val="C55A1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'H1 Analysis'!$A$16:$A$21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'H1 Analysis'!$C$16:$C$21</c:f>
              <c:numCache>
                <c:formatCode>#,##0;\(#,##0\);"-"</c:formatCode>
                <c:ptCount val="6"/>
                <c:pt idx="0">
                  <c:v>455554539.78999966</c:v>
                </c:pt>
                <c:pt idx="1">
                  <c:v>1158720597.7400002</c:v>
                </c:pt>
                <c:pt idx="2">
                  <c:v>1915975118.2100003</c:v>
                </c:pt>
                <c:pt idx="3">
                  <c:v>889053117.29999995</c:v>
                </c:pt>
                <c:pt idx="4">
                  <c:v>1284503008.8300002</c:v>
                </c:pt>
                <c:pt idx="5">
                  <c:v>2448883430.2100015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43-4011-839D-AC175F964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68335"/>
        <c:axId val="15868815"/>
      </c:lineChart>
      <c:catAx>
        <c:axId val="1586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868815"/>
        <c:crosses val="autoZero"/>
        <c:auto val="1"/>
        <c:lblAlgn val="ctr"/>
        <c:lblOffset val="100"/>
        <c:noMultiLvlLbl val="0"/>
      </c:catAx>
      <c:valAx>
        <c:axId val="1586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86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월별 매출 추이 </a:t>
            </a:r>
            <a:r>
              <a:rPr lang="en-US" altLang="ko-KR"/>
              <a:t>(KRW)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2025</c:v>
          </c:tx>
          <c:spPr>
            <a:ln w="28575" cap="rnd">
              <a:solidFill>
                <a:srgbClr val="8EA9DB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'H1 Analysis'!$A$16:$A$21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'H1 Analysis'!$B$16:$B$21</c:f>
              <c:numCache>
                <c:formatCode>#,##0;\(#,##0\);"-"</c:formatCode>
                <c:ptCount val="6"/>
                <c:pt idx="0">
                  <c:v>94130265.569999978</c:v>
                </c:pt>
                <c:pt idx="1">
                  <c:v>564774254.18999982</c:v>
                </c:pt>
                <c:pt idx="2">
                  <c:v>1058785047.1900007</c:v>
                </c:pt>
                <c:pt idx="3">
                  <c:v>1090351570.8900001</c:v>
                </c:pt>
                <c:pt idx="4">
                  <c:v>882259131.27999985</c:v>
                </c:pt>
                <c:pt idx="5">
                  <c:v>832511533.90000021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9B-4C2E-B5C1-10046BAA37E4}"/>
            </c:ext>
          </c:extLst>
        </c:ser>
        <c:ser>
          <c:idx val="1"/>
          <c:order val="1"/>
          <c:tx>
            <c:v>2026</c:v>
          </c:tx>
          <c:spPr>
            <a:ln w="28575" cap="rnd">
              <a:solidFill>
                <a:srgbClr val="C55A1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'H1 Analysis'!$A$16:$A$21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'H1 Analysis'!$C$16:$C$21</c:f>
              <c:numCache>
                <c:formatCode>#,##0;\(#,##0\);"-"</c:formatCode>
                <c:ptCount val="6"/>
                <c:pt idx="0">
                  <c:v>455554539.78999966</c:v>
                </c:pt>
                <c:pt idx="1">
                  <c:v>1158720597.7400002</c:v>
                </c:pt>
                <c:pt idx="2">
                  <c:v>1915975118.2100003</c:v>
                </c:pt>
                <c:pt idx="3">
                  <c:v>889053117.29999995</c:v>
                </c:pt>
                <c:pt idx="4">
                  <c:v>1284503008.8300002</c:v>
                </c:pt>
                <c:pt idx="5">
                  <c:v>2448883430.2100015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9B-4C2E-B5C1-10046BAA3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71311"/>
        <c:axId val="77271791"/>
      </c:lineChart>
      <c:catAx>
        <c:axId val="7727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271791"/>
        <c:crosses val="autoZero"/>
        <c:auto val="1"/>
        <c:lblAlgn val="ctr"/>
        <c:lblOffset val="100"/>
        <c:noMultiLvlLbl val="0"/>
      </c:catAx>
      <c:valAx>
        <c:axId val="7727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27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Top 10 </a:t>
            </a:r>
            <a:r>
              <a:rPr lang="ko-KR" altLang="en-US"/>
              <a:t>브랜드</a:t>
            </a:r>
            <a:r>
              <a:rPr lang="en-US" altLang="ko-KR"/>
              <a:t>: H1'25 vs H1'26 (KRW)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'H1 Analysis'!$B$121</c:f>
              <c:strCache>
                <c:ptCount val="1"/>
                <c:pt idx="0">
                  <c:v>H1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'H1 Analysis'!$A$122:$A$131</c:f>
              <c:strCache>
                <c:ptCount val="10"/>
                <c:pt idx="0">
                  <c:v>Beauty of Joseon</c:v>
                </c:pt>
                <c:pt idx="1">
                  <c:v>medicube</c:v>
                </c:pt>
                <c:pt idx="2">
                  <c:v>Anua</c:v>
                </c:pt>
                <c:pt idx="3">
                  <c:v>COSRX</c:v>
                </c:pt>
                <c:pt idx="4">
                  <c:v>Round Lab</c:v>
                </c:pt>
                <c:pt idx="5">
                  <c:v>Celimax</c:v>
                </c:pt>
                <c:pt idx="6">
                  <c:v>Pyunkang Yul</c:v>
                </c:pt>
                <c:pt idx="7">
                  <c:v>BIODANCE</c:v>
                </c:pt>
                <c:pt idx="8">
                  <c:v>Arencia</c:v>
                </c:pt>
                <c:pt idx="9">
                  <c:v>Dr.Rejuol</c:v>
                </c:pt>
              </c:strCache>
            </c:strRef>
          </c:cat>
          <c:val>
            <c:numRef>
              <c:f>'H1 Analysis'!$B$122:$B$131</c:f>
              <c:numCache>
                <c:formatCode>#,##0;\(#,##0\);"-"</c:formatCode>
                <c:ptCount val="10"/>
                <c:pt idx="0">
                  <c:v>2104813777.6500003</c:v>
                </c:pt>
                <c:pt idx="1">
                  <c:v>392622936.80000007</c:v>
                </c:pt>
                <c:pt idx="2">
                  <c:v>20961</c:v>
                </c:pt>
                <c:pt idx="3">
                  <c:v>97689803.800000012</c:v>
                </c:pt>
                <c:pt idx="4">
                  <c:v>48847212.380000003</c:v>
                </c:pt>
                <c:pt idx="5">
                  <c:v>74354178.499999985</c:v>
                </c:pt>
                <c:pt idx="6">
                  <c:v>276576947.2299999</c:v>
                </c:pt>
                <c:pt idx="7">
                  <c:v>63799921.480000004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96-4D71-A1EC-FF486E2309C1}"/>
            </c:ext>
          </c:extLst>
        </c:ser>
        <c:ser>
          <c:idx val="1"/>
          <c:order val="1"/>
          <c:tx>
            <c:strRef>
              <c:f>'H1 Analysis'!$C$121</c:f>
              <c:strCache>
                <c:ptCount val="1"/>
                <c:pt idx="0">
                  <c:v>H1 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'H1 Analysis'!$A$122:$A$131</c:f>
              <c:strCache>
                <c:ptCount val="10"/>
                <c:pt idx="0">
                  <c:v>Beauty of Joseon</c:v>
                </c:pt>
                <c:pt idx="1">
                  <c:v>medicube</c:v>
                </c:pt>
                <c:pt idx="2">
                  <c:v>Anua</c:v>
                </c:pt>
                <c:pt idx="3">
                  <c:v>COSRX</c:v>
                </c:pt>
                <c:pt idx="4">
                  <c:v>Round Lab</c:v>
                </c:pt>
                <c:pt idx="5">
                  <c:v>Celimax</c:v>
                </c:pt>
                <c:pt idx="6">
                  <c:v>Pyunkang Yul</c:v>
                </c:pt>
                <c:pt idx="7">
                  <c:v>BIODANCE</c:v>
                </c:pt>
                <c:pt idx="8">
                  <c:v>Arencia</c:v>
                </c:pt>
                <c:pt idx="9">
                  <c:v>Dr.Rejuol</c:v>
                </c:pt>
              </c:strCache>
            </c:strRef>
          </c:cat>
          <c:val>
            <c:numRef>
              <c:f>'H1 Analysis'!$C$122:$C$131</c:f>
              <c:numCache>
                <c:formatCode>#,##0;\(#,##0\);"-"</c:formatCode>
                <c:ptCount val="10"/>
                <c:pt idx="0">
                  <c:v>2270193372.6100001</c:v>
                </c:pt>
                <c:pt idx="1">
                  <c:v>1981058783.7300003</c:v>
                </c:pt>
                <c:pt idx="2">
                  <c:v>1415591084.6399996</c:v>
                </c:pt>
                <c:pt idx="3">
                  <c:v>436028264.33000016</c:v>
                </c:pt>
                <c:pt idx="4">
                  <c:v>316037137.59000003</c:v>
                </c:pt>
                <c:pt idx="5">
                  <c:v>282168784.41000003</c:v>
                </c:pt>
                <c:pt idx="6">
                  <c:v>272130838.95999998</c:v>
                </c:pt>
                <c:pt idx="7">
                  <c:v>251654437.13000003</c:v>
                </c:pt>
                <c:pt idx="8">
                  <c:v>159601451.77999997</c:v>
                </c:pt>
                <c:pt idx="9">
                  <c:v>136670443.43000001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96-4D71-A1EC-FF486E230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9724815"/>
        <c:axId val="1729731055"/>
      </c:barChart>
      <c:catAx>
        <c:axId val="172972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9731055"/>
        <c:crosses val="autoZero"/>
        <c:auto val="1"/>
        <c:lblAlgn val="ctr"/>
        <c:lblOffset val="100"/>
        <c:noMultiLvlLbl val="0"/>
      </c:catAx>
      <c:valAx>
        <c:axId val="172973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972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증감 브랜드 </a:t>
            </a:r>
            <a:r>
              <a:rPr lang="en-US" altLang="ko-KR"/>
              <a:t>(</a:t>
            </a:r>
            <a:r>
              <a:rPr lang="el-GR" altLang="ko-KR"/>
              <a:t>Δ </a:t>
            </a:r>
            <a:r>
              <a:rPr lang="ko-KR" altLang="en-US"/>
              <a:t>매출</a:t>
            </a:r>
            <a:r>
              <a:rPr lang="en-US" altLang="ko-KR"/>
              <a:t>, KRW)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'H1 Analysis'!$F$121</c:f>
              <c:strCache>
                <c:ptCount val="1"/>
                <c:pt idx="0">
                  <c:v>Δ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'H1 Analysis'!$E$122:$E$132</c:f>
              <c:strCache>
                <c:ptCount val="11"/>
                <c:pt idx="0">
                  <c:v>medicube</c:v>
                </c:pt>
                <c:pt idx="1">
                  <c:v>Anua</c:v>
                </c:pt>
                <c:pt idx="2">
                  <c:v>COSRX</c:v>
                </c:pt>
                <c:pt idx="3">
                  <c:v>Round Lab</c:v>
                </c:pt>
                <c:pt idx="4">
                  <c:v>Celimax</c:v>
                </c:pt>
                <c:pt idx="5">
                  <c:v>BIODANCE</c:v>
                </c:pt>
                <c:pt idx="6">
                  <c:v>Dr.Elsia</c:v>
                </c:pt>
                <c:pt idx="7">
                  <c:v>VT Cosmetics</c:v>
                </c:pt>
                <c:pt idx="8">
                  <c:v>JUMISO</c:v>
                </c:pt>
                <c:pt idx="9">
                  <c:v>iUNIK</c:v>
                </c:pt>
                <c:pt idx="10">
                  <c:v>Marie en May</c:v>
                </c:pt>
              </c:strCache>
            </c:strRef>
          </c:cat>
          <c:val>
            <c:numRef>
              <c:f>'H1 Analysis'!$F$122:$F$132</c:f>
              <c:numCache>
                <c:formatCode>#,##0;\(#,##0\);"-"</c:formatCode>
                <c:ptCount val="11"/>
                <c:pt idx="0">
                  <c:v>1588435846.9300003</c:v>
                </c:pt>
                <c:pt idx="1">
                  <c:v>1415570123.6399996</c:v>
                </c:pt>
                <c:pt idx="2">
                  <c:v>338338460.53000015</c:v>
                </c:pt>
                <c:pt idx="3">
                  <c:v>267189925.21000004</c:v>
                </c:pt>
                <c:pt idx="4">
                  <c:v>207814605.91000003</c:v>
                </c:pt>
                <c:pt idx="5">
                  <c:v>187854515.65000004</c:v>
                </c:pt>
                <c:pt idx="6">
                  <c:v>-679446562.07999992</c:v>
                </c:pt>
                <c:pt idx="7">
                  <c:v>-87346885.349999994</c:v>
                </c:pt>
                <c:pt idx="8">
                  <c:v>-71557802</c:v>
                </c:pt>
                <c:pt idx="9">
                  <c:v>-51671049</c:v>
                </c:pt>
                <c:pt idx="10">
                  <c:v>-28934461.289999999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0-4868-92C4-065F7FA77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9736335"/>
        <c:axId val="1729725295"/>
      </c:barChart>
      <c:catAx>
        <c:axId val="1729736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9725295"/>
        <c:crosses val="autoZero"/>
        <c:auto val="1"/>
        <c:lblAlgn val="ctr"/>
        <c:lblOffset val="100"/>
        <c:noMultiLvlLbl val="0"/>
      </c:catAx>
      <c:valAx>
        <c:axId val="172972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973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H1'26 </a:t>
            </a:r>
            <a:r>
              <a:rPr lang="ko-KR" altLang="en-US"/>
              <a:t>매출 구성 </a:t>
            </a:r>
            <a:r>
              <a:rPr lang="en-US" altLang="ko-KR"/>
              <a:t>(</a:t>
            </a:r>
            <a:r>
              <a:rPr lang="ko-KR" altLang="en-US"/>
              <a:t>상위 </a:t>
            </a:r>
            <a:r>
              <a:rPr lang="en-US" altLang="ko-KR"/>
              <a:t>6 + </a:t>
            </a:r>
            <a:r>
              <a:rPr lang="ko-KR" altLang="en-US"/>
              <a:t>기타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'요약·특이점 (KR)'!$C$63</c:f>
              <c:strCache>
                <c:ptCount val="1"/>
                <c:pt idx="0">
                  <c:v>H1'26 매출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'요약·특이점 (KR)'!$B$64:$B$70</c:f>
              <c:strCache>
                <c:ptCount val="7"/>
                <c:pt idx="0">
                  <c:v>Beauty of Joseon</c:v>
                </c:pt>
                <c:pt idx="1">
                  <c:v>medicube</c:v>
                </c:pt>
                <c:pt idx="2">
                  <c:v>Anua</c:v>
                </c:pt>
                <c:pt idx="3">
                  <c:v>COSRX</c:v>
                </c:pt>
                <c:pt idx="4">
                  <c:v>Round Lab</c:v>
                </c:pt>
                <c:pt idx="5">
                  <c:v>Celimax</c:v>
                </c:pt>
                <c:pt idx="6">
                  <c:v>기타 (Others)</c:v>
                </c:pt>
              </c:strCache>
            </c:strRef>
          </c:cat>
          <c:val>
            <c:numRef>
              <c:f>'요약·특이점 (KR)'!$C$64:$C$70</c:f>
              <c:numCache>
                <c:formatCode>General</c:formatCode>
                <c:ptCount val="7"/>
                <c:pt idx="0">
                  <c:v>2270193372.6100001</c:v>
                </c:pt>
                <c:pt idx="1">
                  <c:v>1981058783.7300003</c:v>
                </c:pt>
                <c:pt idx="2">
                  <c:v>1415591084.6399996</c:v>
                </c:pt>
                <c:pt idx="3">
                  <c:v>436028264.33000016</c:v>
                </c:pt>
                <c:pt idx="4">
                  <c:v>316037137.59000003</c:v>
                </c:pt>
                <c:pt idx="5">
                  <c:v>282168784.41000003</c:v>
                </c:pt>
                <c:pt idx="6">
                  <c:v>1451612384.7700043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0-48DD-BE5E-AB165486E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16</xdr:row>
      <xdr:rowOff>0</xdr:rowOff>
    </xdr:from>
    <xdr:to>
      <xdr:col>22</xdr:col>
      <xdr:colOff>0</xdr:colOff>
      <xdr:row>33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C49A318-4F74-4527-88A2-DF1F58813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33</xdr:row>
      <xdr:rowOff>0</xdr:rowOff>
    </xdr:from>
    <xdr:to>
      <xdr:col>22</xdr:col>
      <xdr:colOff>0</xdr:colOff>
      <xdr:row>52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6AE5D1E-4439-C390-12CD-584CCB46F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22</xdr:col>
      <xdr:colOff>0</xdr:colOff>
      <xdr:row>16</xdr:row>
      <xdr:rowOff>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854DAD3-B81A-CBF9-01C1-8336C22CD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25A8845-FBB1-E088-666C-7B3AFE83B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10</xdr:row>
      <xdr:rowOff>190500</xdr:rowOff>
    </xdr:from>
    <xdr:to>
      <xdr:col>15</xdr:col>
      <xdr:colOff>76200</xdr:colOff>
      <xdr:row>27</xdr:row>
      <xdr:rowOff>190500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F82E376-3DDE-29CE-E0EA-50FFE6473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8</xdr:col>
      <xdr:colOff>0</xdr:colOff>
      <xdr:row>46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D835736-6A5D-CD25-E239-C13B803BE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14</xdr:col>
      <xdr:colOff>0</xdr:colOff>
      <xdr:row>46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212E83F-83C2-1F43-46B2-6F9DD6D4A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EA8F8A8-7028-45F0-B6CA-3E3AAFCF6DB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12271b0-01fd-48b5-b496-c67695eda556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C0D23-0389-4151-8203-B64C58789DDA}">
  <dimension ref="A1:AF4127"/>
  <sheetViews>
    <sheetView workbookViewId="0"/>
  </sheetViews>
  <sheetFormatPr defaultRowHeight="16.5" x14ac:dyDescent="0.3"/>
  <cols>
    <col min="1" max="1" width="17.125" bestFit="1" customWidth="1"/>
    <col min="2" max="2" width="13.875" bestFit="1" customWidth="1"/>
    <col min="3" max="3" width="4.375" bestFit="1" customWidth="1"/>
    <col min="4" max="4" width="6.125" bestFit="1" customWidth="1"/>
    <col min="5" max="5" width="9.75" bestFit="1" customWidth="1"/>
    <col min="6" max="6" width="6.375" bestFit="1" customWidth="1"/>
    <col min="7" max="7" width="7.25" bestFit="1" customWidth="1"/>
    <col min="8" max="8" width="10.25" bestFit="1" customWidth="1"/>
    <col min="9" max="9" width="14.375" bestFit="1" customWidth="1"/>
    <col min="10" max="10" width="12.25" bestFit="1" customWidth="1"/>
    <col min="11" max="11" width="24.25" bestFit="1" customWidth="1"/>
    <col min="12" max="12" width="36" bestFit="1" customWidth="1"/>
    <col min="13" max="13" width="20.25" bestFit="1" customWidth="1"/>
    <col min="14" max="14" width="4.75" bestFit="1" customWidth="1"/>
    <col min="15" max="15" width="6.25" bestFit="1" customWidth="1"/>
    <col min="16" max="16" width="8" bestFit="1" customWidth="1"/>
    <col min="17" max="17" width="9.25" bestFit="1" customWidth="1"/>
    <col min="18" max="18" width="4.75" bestFit="1" customWidth="1"/>
    <col min="19" max="19" width="12.5" bestFit="1" customWidth="1"/>
    <col min="20" max="20" width="9.25" bestFit="1" customWidth="1"/>
    <col min="21" max="21" width="12.5" bestFit="1" customWidth="1"/>
    <col min="22" max="22" width="11.5" bestFit="1" customWidth="1"/>
    <col min="23" max="23" width="28" bestFit="1" customWidth="1"/>
    <col min="25" max="25" width="10.25" bestFit="1" customWidth="1"/>
  </cols>
  <sheetData>
    <row r="1" spans="1:32" ht="17.25" thickBot="1" x14ac:dyDescent="0.35">
      <c r="A1" s="2" t="s">
        <v>0</v>
      </c>
    </row>
    <row r="2" spans="1:32" ht="17.25" thickBo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AA2" s="4" t="s">
        <v>23070</v>
      </c>
      <c r="AB2" s="4" t="s">
        <v>23071</v>
      </c>
      <c r="AC2" s="5" t="s">
        <v>23072</v>
      </c>
      <c r="AD2" s="5" t="s">
        <v>23073</v>
      </c>
      <c r="AE2" s="5" t="s">
        <v>23074</v>
      </c>
      <c r="AF2" s="6" t="s">
        <v>23075</v>
      </c>
    </row>
    <row r="3" spans="1:32" ht="17.25" thickBot="1" x14ac:dyDescent="0.3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1"/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40</v>
      </c>
      <c r="R3" s="2" t="s">
        <v>40</v>
      </c>
      <c r="S3" s="2" t="s">
        <v>40</v>
      </c>
      <c r="T3" s="2" t="s">
        <v>40</v>
      </c>
      <c r="U3" s="2" t="s">
        <v>40</v>
      </c>
      <c r="V3" s="2" t="s">
        <v>40</v>
      </c>
      <c r="W3" s="2" t="s">
        <v>41</v>
      </c>
      <c r="X3" s="2" t="s">
        <v>42</v>
      </c>
      <c r="Y3" s="2" t="s">
        <v>43</v>
      </c>
      <c r="AA3" t="str">
        <f>LEFT(E3,7)</f>
        <v>2025-09</v>
      </c>
      <c r="AB3" t="str">
        <f>IF(AND($AA3&gt;="2025-01",$AA3&lt;="2025-06"),"H1_2025",IF(AND($AA3&gt;="2026-01",$AA3&lt;="2026-06"),"H1_2026",""))</f>
        <v/>
      </c>
      <c r="AC3">
        <f>IFERROR(VALUE(SUBSTITUTE(S3,",","")),0)</f>
        <v>0</v>
      </c>
      <c r="AD3">
        <f>IFERROR(VALUE(SUBSTITUTE(O3,",","")),0)</f>
        <v>4050</v>
      </c>
      <c r="AE3">
        <f>IFERROR(VALUE(SUBSTITUTE(V3,",","")),0)</f>
        <v>0</v>
      </c>
      <c r="AF3" t="str">
        <f>IF(ISNUMBER(SEARCH("FOC",W3)),"FOC",IF(ISNUMBER(SEARCH("샘플",W3)),"Sample","Paid"))</f>
        <v>Sample</v>
      </c>
    </row>
    <row r="4" spans="1:32" ht="17.25" thickBot="1" x14ac:dyDescent="0.35">
      <c r="A4" s="2" t="s">
        <v>44</v>
      </c>
      <c r="B4" s="2" t="s">
        <v>27</v>
      </c>
      <c r="C4" s="2" t="s">
        <v>28</v>
      </c>
      <c r="D4" s="2" t="s">
        <v>29</v>
      </c>
      <c r="E4" s="2" t="s">
        <v>45</v>
      </c>
      <c r="F4" s="2" t="s">
        <v>31</v>
      </c>
      <c r="G4" s="2" t="s">
        <v>32</v>
      </c>
      <c r="H4" s="1"/>
      <c r="I4" s="2" t="s">
        <v>33</v>
      </c>
      <c r="J4" s="2" t="s">
        <v>34</v>
      </c>
      <c r="K4" s="2" t="s">
        <v>46</v>
      </c>
      <c r="L4" s="2" t="s">
        <v>47</v>
      </c>
      <c r="M4" s="2" t="s">
        <v>48</v>
      </c>
      <c r="N4" s="2" t="s">
        <v>38</v>
      </c>
      <c r="O4" s="2" t="s">
        <v>49</v>
      </c>
      <c r="P4" s="2" t="s">
        <v>40</v>
      </c>
      <c r="Q4" s="2" t="s">
        <v>40</v>
      </c>
      <c r="R4" s="2" t="s">
        <v>40</v>
      </c>
      <c r="S4" s="2" t="s">
        <v>40</v>
      </c>
      <c r="T4" s="2" t="s">
        <v>40</v>
      </c>
      <c r="U4" s="2" t="s">
        <v>40</v>
      </c>
      <c r="V4" s="2" t="s">
        <v>40</v>
      </c>
      <c r="W4" s="2" t="s">
        <v>41</v>
      </c>
      <c r="X4" s="2" t="s">
        <v>42</v>
      </c>
      <c r="Y4" s="2" t="s">
        <v>50</v>
      </c>
      <c r="AA4" t="str">
        <f t="shared" ref="AA4:AA67" si="0">LEFT(E4,7)</f>
        <v>2025-06</v>
      </c>
      <c r="AB4" t="str">
        <f t="shared" ref="AB4:AB67" si="1">IF(AND($AA4&gt;="2025-01",$AA4&lt;="2025-06"),"H1_2025",IF(AND($AA4&gt;="2026-01",$AA4&lt;="2026-06"),"H1_2026",""))</f>
        <v>H1_2025</v>
      </c>
      <c r="AC4">
        <f t="shared" ref="AC4:AC67" si="2">IFERROR(VALUE(SUBSTITUTE(S4,",","")),0)</f>
        <v>0</v>
      </c>
      <c r="AD4">
        <f t="shared" ref="AD4:AD67" si="3">IFERROR(VALUE(SUBSTITUTE(O4,",","")),0)</f>
        <v>11</v>
      </c>
      <c r="AE4">
        <f t="shared" ref="AE4:AE67" si="4">IFERROR(VALUE(SUBSTITUTE(V4,",","")),0)</f>
        <v>0</v>
      </c>
      <c r="AF4" t="str">
        <f t="shared" ref="AF4:AF67" si="5">IF(ISNUMBER(SEARCH("FOC",W4)),"FOC",IF(ISNUMBER(SEARCH("샘플",W4)),"Sample","Paid"))</f>
        <v>Sample</v>
      </c>
    </row>
    <row r="5" spans="1:32" ht="17.25" thickBot="1" x14ac:dyDescent="0.35">
      <c r="A5" s="2" t="s">
        <v>51</v>
      </c>
      <c r="B5" s="2" t="s">
        <v>27</v>
      </c>
      <c r="C5" s="2" t="s">
        <v>28</v>
      </c>
      <c r="D5" s="2" t="s">
        <v>29</v>
      </c>
      <c r="E5" s="2" t="s">
        <v>45</v>
      </c>
      <c r="F5" s="2" t="s">
        <v>31</v>
      </c>
      <c r="G5" s="2" t="s">
        <v>32</v>
      </c>
      <c r="H5" s="1"/>
      <c r="I5" s="2" t="s">
        <v>33</v>
      </c>
      <c r="J5" s="2" t="s">
        <v>34</v>
      </c>
      <c r="K5" s="2" t="s">
        <v>52</v>
      </c>
      <c r="L5" s="2" t="s">
        <v>53</v>
      </c>
      <c r="M5" s="2" t="s">
        <v>48</v>
      </c>
      <c r="N5" s="2" t="s">
        <v>38</v>
      </c>
      <c r="O5" s="2" t="s">
        <v>49</v>
      </c>
      <c r="P5" s="2" t="s">
        <v>40</v>
      </c>
      <c r="Q5" s="2" t="s">
        <v>40</v>
      </c>
      <c r="R5" s="2" t="s">
        <v>40</v>
      </c>
      <c r="S5" s="2" t="s">
        <v>40</v>
      </c>
      <c r="T5" s="2" t="s">
        <v>40</v>
      </c>
      <c r="U5" s="2" t="s">
        <v>40</v>
      </c>
      <c r="V5" s="2" t="s">
        <v>40</v>
      </c>
      <c r="W5" s="2" t="s">
        <v>41</v>
      </c>
      <c r="X5" s="2" t="s">
        <v>42</v>
      </c>
      <c r="Y5" s="2" t="s">
        <v>50</v>
      </c>
      <c r="AA5" t="str">
        <f t="shared" si="0"/>
        <v>2025-06</v>
      </c>
      <c r="AB5" t="str">
        <f t="shared" si="1"/>
        <v>H1_2025</v>
      </c>
      <c r="AC5">
        <f t="shared" si="2"/>
        <v>0</v>
      </c>
      <c r="AD5">
        <f t="shared" si="3"/>
        <v>11</v>
      </c>
      <c r="AE5">
        <f t="shared" si="4"/>
        <v>0</v>
      </c>
      <c r="AF5" t="str">
        <f t="shared" si="5"/>
        <v>Sample</v>
      </c>
    </row>
    <row r="6" spans="1:32" ht="17.25" thickBot="1" x14ac:dyDescent="0.35">
      <c r="A6" s="2" t="s">
        <v>54</v>
      </c>
      <c r="B6" s="2" t="s">
        <v>27</v>
      </c>
      <c r="C6" s="2" t="s">
        <v>28</v>
      </c>
      <c r="D6" s="2" t="s">
        <v>29</v>
      </c>
      <c r="E6" s="2" t="s">
        <v>45</v>
      </c>
      <c r="F6" s="2" t="s">
        <v>31</v>
      </c>
      <c r="G6" s="2" t="s">
        <v>32</v>
      </c>
      <c r="H6" s="1"/>
      <c r="I6" s="2" t="s">
        <v>33</v>
      </c>
      <c r="J6" s="2" t="s">
        <v>34</v>
      </c>
      <c r="K6" s="2" t="s">
        <v>55</v>
      </c>
      <c r="L6" s="2" t="s">
        <v>56</v>
      </c>
      <c r="M6" s="2" t="s">
        <v>48</v>
      </c>
      <c r="N6" s="2" t="s">
        <v>38</v>
      </c>
      <c r="O6" s="2" t="s">
        <v>49</v>
      </c>
      <c r="P6" s="2" t="s">
        <v>40</v>
      </c>
      <c r="Q6" s="2" t="s">
        <v>40</v>
      </c>
      <c r="R6" s="2" t="s">
        <v>40</v>
      </c>
      <c r="S6" s="2" t="s">
        <v>40</v>
      </c>
      <c r="T6" s="2" t="s">
        <v>40</v>
      </c>
      <c r="U6" s="2" t="s">
        <v>40</v>
      </c>
      <c r="V6" s="2" t="s">
        <v>40</v>
      </c>
      <c r="W6" s="2" t="s">
        <v>41</v>
      </c>
      <c r="X6" s="2" t="s">
        <v>42</v>
      </c>
      <c r="Y6" s="2" t="s">
        <v>50</v>
      </c>
      <c r="AA6" t="str">
        <f t="shared" si="0"/>
        <v>2025-06</v>
      </c>
      <c r="AB6" t="str">
        <f t="shared" si="1"/>
        <v>H1_2025</v>
      </c>
      <c r="AC6">
        <f t="shared" si="2"/>
        <v>0</v>
      </c>
      <c r="AD6">
        <f t="shared" si="3"/>
        <v>11</v>
      </c>
      <c r="AE6">
        <f t="shared" si="4"/>
        <v>0</v>
      </c>
      <c r="AF6" t="str">
        <f t="shared" si="5"/>
        <v>Sample</v>
      </c>
    </row>
    <row r="7" spans="1:32" ht="17.25" thickBot="1" x14ac:dyDescent="0.35">
      <c r="A7" s="2" t="s">
        <v>57</v>
      </c>
      <c r="B7" s="2" t="s">
        <v>27</v>
      </c>
      <c r="C7" s="2" t="s">
        <v>28</v>
      </c>
      <c r="D7" s="2" t="s">
        <v>29</v>
      </c>
      <c r="E7" s="2" t="s">
        <v>45</v>
      </c>
      <c r="F7" s="2" t="s">
        <v>31</v>
      </c>
      <c r="G7" s="2" t="s">
        <v>32</v>
      </c>
      <c r="H7" s="1"/>
      <c r="I7" s="2" t="s">
        <v>33</v>
      </c>
      <c r="J7" s="2" t="s">
        <v>34</v>
      </c>
      <c r="K7" s="2" t="s">
        <v>58</v>
      </c>
      <c r="L7" s="2" t="s">
        <v>59</v>
      </c>
      <c r="M7" s="2" t="s">
        <v>48</v>
      </c>
      <c r="N7" s="2" t="s">
        <v>38</v>
      </c>
      <c r="O7" s="2" t="s">
        <v>49</v>
      </c>
      <c r="P7" s="2" t="s">
        <v>40</v>
      </c>
      <c r="Q7" s="2" t="s">
        <v>40</v>
      </c>
      <c r="R7" s="2" t="s">
        <v>40</v>
      </c>
      <c r="S7" s="2" t="s">
        <v>40</v>
      </c>
      <c r="T7" s="2" t="s">
        <v>40</v>
      </c>
      <c r="U7" s="2" t="s">
        <v>40</v>
      </c>
      <c r="V7" s="2" t="s">
        <v>40</v>
      </c>
      <c r="W7" s="2" t="s">
        <v>41</v>
      </c>
      <c r="X7" s="2" t="s">
        <v>42</v>
      </c>
      <c r="Y7" s="2" t="s">
        <v>50</v>
      </c>
      <c r="AA7" t="str">
        <f t="shared" si="0"/>
        <v>2025-06</v>
      </c>
      <c r="AB7" t="str">
        <f t="shared" si="1"/>
        <v>H1_2025</v>
      </c>
      <c r="AC7">
        <f t="shared" si="2"/>
        <v>0</v>
      </c>
      <c r="AD7">
        <f t="shared" si="3"/>
        <v>11</v>
      </c>
      <c r="AE7">
        <f t="shared" si="4"/>
        <v>0</v>
      </c>
      <c r="AF7" t="str">
        <f t="shared" si="5"/>
        <v>Sample</v>
      </c>
    </row>
    <row r="8" spans="1:32" ht="27.75" thickBot="1" x14ac:dyDescent="0.35">
      <c r="A8" s="2" t="s">
        <v>60</v>
      </c>
      <c r="B8" s="2" t="s">
        <v>27</v>
      </c>
      <c r="C8" s="2" t="s">
        <v>28</v>
      </c>
      <c r="D8" s="2" t="s">
        <v>29</v>
      </c>
      <c r="E8" s="2" t="s">
        <v>45</v>
      </c>
      <c r="F8" s="2" t="s">
        <v>31</v>
      </c>
      <c r="G8" s="2" t="s">
        <v>32</v>
      </c>
      <c r="H8" s="1"/>
      <c r="I8" s="2" t="s">
        <v>33</v>
      </c>
      <c r="J8" s="2" t="s">
        <v>34</v>
      </c>
      <c r="K8" s="2" t="s">
        <v>61</v>
      </c>
      <c r="L8" s="2" t="s">
        <v>62</v>
      </c>
      <c r="M8" s="2" t="s">
        <v>48</v>
      </c>
      <c r="N8" s="2" t="s">
        <v>38</v>
      </c>
      <c r="O8" s="2" t="s">
        <v>49</v>
      </c>
      <c r="P8" s="2" t="s">
        <v>40</v>
      </c>
      <c r="Q8" s="2" t="s">
        <v>40</v>
      </c>
      <c r="R8" s="2" t="s">
        <v>40</v>
      </c>
      <c r="S8" s="2" t="s">
        <v>40</v>
      </c>
      <c r="T8" s="2" t="s">
        <v>40</v>
      </c>
      <c r="U8" s="2" t="s">
        <v>40</v>
      </c>
      <c r="V8" s="2" t="s">
        <v>40</v>
      </c>
      <c r="W8" s="2" t="s">
        <v>41</v>
      </c>
      <c r="X8" s="2" t="s">
        <v>42</v>
      </c>
      <c r="Y8" s="2" t="s">
        <v>50</v>
      </c>
      <c r="AA8" t="str">
        <f t="shared" si="0"/>
        <v>2025-06</v>
      </c>
      <c r="AB8" t="str">
        <f t="shared" si="1"/>
        <v>H1_2025</v>
      </c>
      <c r="AC8">
        <f t="shared" si="2"/>
        <v>0</v>
      </c>
      <c r="AD8">
        <f t="shared" si="3"/>
        <v>11</v>
      </c>
      <c r="AE8">
        <f t="shared" si="4"/>
        <v>0</v>
      </c>
      <c r="AF8" t="str">
        <f t="shared" si="5"/>
        <v>Sample</v>
      </c>
    </row>
    <row r="9" spans="1:32" ht="17.25" thickBot="1" x14ac:dyDescent="0.35">
      <c r="A9" s="2" t="s">
        <v>63</v>
      </c>
      <c r="B9" s="2" t="s">
        <v>27</v>
      </c>
      <c r="C9" s="2" t="s">
        <v>28</v>
      </c>
      <c r="D9" s="2" t="s">
        <v>29</v>
      </c>
      <c r="E9" s="2" t="s">
        <v>45</v>
      </c>
      <c r="F9" s="2" t="s">
        <v>31</v>
      </c>
      <c r="G9" s="2" t="s">
        <v>32</v>
      </c>
      <c r="H9" s="1"/>
      <c r="I9" s="2" t="s">
        <v>33</v>
      </c>
      <c r="J9" s="2" t="s">
        <v>34</v>
      </c>
      <c r="K9" s="2" t="s">
        <v>64</v>
      </c>
      <c r="L9" s="2" t="s">
        <v>65</v>
      </c>
      <c r="M9" s="2" t="s">
        <v>48</v>
      </c>
      <c r="N9" s="2" t="s">
        <v>38</v>
      </c>
      <c r="O9" s="2" t="s">
        <v>49</v>
      </c>
      <c r="P9" s="2" t="s">
        <v>40</v>
      </c>
      <c r="Q9" s="2" t="s">
        <v>40</v>
      </c>
      <c r="R9" s="2" t="s">
        <v>40</v>
      </c>
      <c r="S9" s="2" t="s">
        <v>40</v>
      </c>
      <c r="T9" s="2" t="s">
        <v>40</v>
      </c>
      <c r="U9" s="2" t="s">
        <v>40</v>
      </c>
      <c r="V9" s="2" t="s">
        <v>40</v>
      </c>
      <c r="W9" s="2" t="s">
        <v>41</v>
      </c>
      <c r="X9" s="2" t="s">
        <v>42</v>
      </c>
      <c r="Y9" s="2" t="s">
        <v>50</v>
      </c>
      <c r="AA9" t="str">
        <f t="shared" si="0"/>
        <v>2025-06</v>
      </c>
      <c r="AB9" t="str">
        <f t="shared" si="1"/>
        <v>H1_2025</v>
      </c>
      <c r="AC9">
        <f t="shared" si="2"/>
        <v>0</v>
      </c>
      <c r="AD9">
        <f t="shared" si="3"/>
        <v>11</v>
      </c>
      <c r="AE9">
        <f t="shared" si="4"/>
        <v>0</v>
      </c>
      <c r="AF9" t="str">
        <f t="shared" si="5"/>
        <v>Sample</v>
      </c>
    </row>
    <row r="10" spans="1:32" ht="27.75" thickBot="1" x14ac:dyDescent="0.35">
      <c r="A10" s="2" t="s">
        <v>66</v>
      </c>
      <c r="B10" s="2" t="s">
        <v>27</v>
      </c>
      <c r="C10" s="2" t="s">
        <v>28</v>
      </c>
      <c r="D10" s="2" t="s">
        <v>29</v>
      </c>
      <c r="E10" s="2" t="s">
        <v>67</v>
      </c>
      <c r="F10" s="2" t="s">
        <v>31</v>
      </c>
      <c r="G10" s="2" t="s">
        <v>32</v>
      </c>
      <c r="H10" s="1"/>
      <c r="I10" s="2" t="s">
        <v>33</v>
      </c>
      <c r="J10" s="2" t="s">
        <v>34</v>
      </c>
      <c r="K10" s="2" t="s">
        <v>68</v>
      </c>
      <c r="L10" s="2" t="s">
        <v>69</v>
      </c>
      <c r="M10" s="2" t="s">
        <v>70</v>
      </c>
      <c r="N10" s="2" t="s">
        <v>38</v>
      </c>
      <c r="O10" s="2" t="s">
        <v>71</v>
      </c>
      <c r="P10" s="2" t="s">
        <v>40</v>
      </c>
      <c r="Q10" s="2" t="s">
        <v>40</v>
      </c>
      <c r="R10" s="2" t="s">
        <v>40</v>
      </c>
      <c r="S10" s="2" t="s">
        <v>40</v>
      </c>
      <c r="T10" s="2" t="s">
        <v>72</v>
      </c>
      <c r="U10" s="2" t="s">
        <v>73</v>
      </c>
      <c r="V10" s="2" t="s">
        <v>74</v>
      </c>
      <c r="W10" s="2" t="s">
        <v>41</v>
      </c>
      <c r="X10" s="2" t="s">
        <v>42</v>
      </c>
      <c r="Y10" s="2" t="s">
        <v>75</v>
      </c>
      <c r="AA10" t="str">
        <f t="shared" si="0"/>
        <v>2025-06</v>
      </c>
      <c r="AB10" t="str">
        <f t="shared" si="1"/>
        <v>H1_2025</v>
      </c>
      <c r="AC10">
        <f t="shared" si="2"/>
        <v>0</v>
      </c>
      <c r="AD10">
        <f t="shared" si="3"/>
        <v>2000</v>
      </c>
      <c r="AE10">
        <f t="shared" si="4"/>
        <v>-73820</v>
      </c>
      <c r="AF10" t="str">
        <f t="shared" si="5"/>
        <v>Sample</v>
      </c>
    </row>
    <row r="11" spans="1:32" ht="17.25" thickBot="1" x14ac:dyDescent="0.35">
      <c r="A11" s="2" t="s">
        <v>76</v>
      </c>
      <c r="B11" s="2" t="s">
        <v>27</v>
      </c>
      <c r="C11" s="2" t="s">
        <v>28</v>
      </c>
      <c r="D11" s="2" t="s">
        <v>29</v>
      </c>
      <c r="E11" s="2" t="s">
        <v>67</v>
      </c>
      <c r="F11" s="2" t="s">
        <v>31</v>
      </c>
      <c r="G11" s="2" t="s">
        <v>32</v>
      </c>
      <c r="H11" s="1"/>
      <c r="I11" s="2" t="s">
        <v>33</v>
      </c>
      <c r="J11" s="2" t="s">
        <v>34</v>
      </c>
      <c r="K11" s="2" t="s">
        <v>77</v>
      </c>
      <c r="L11" s="2" t="s">
        <v>78</v>
      </c>
      <c r="M11" s="2" t="s">
        <v>48</v>
      </c>
      <c r="N11" s="2" t="s">
        <v>38</v>
      </c>
      <c r="O11" s="2" t="s">
        <v>71</v>
      </c>
      <c r="P11" s="2" t="s">
        <v>40</v>
      </c>
      <c r="Q11" s="2" t="s">
        <v>40</v>
      </c>
      <c r="R11" s="2" t="s">
        <v>40</v>
      </c>
      <c r="S11" s="2" t="s">
        <v>40</v>
      </c>
      <c r="T11" s="2" t="s">
        <v>40</v>
      </c>
      <c r="U11" s="2" t="s">
        <v>40</v>
      </c>
      <c r="V11" s="2" t="s">
        <v>40</v>
      </c>
      <c r="W11" s="2" t="s">
        <v>41</v>
      </c>
      <c r="X11" s="2" t="s">
        <v>42</v>
      </c>
      <c r="Y11" s="2" t="s">
        <v>75</v>
      </c>
      <c r="AA11" t="str">
        <f t="shared" si="0"/>
        <v>2025-06</v>
      </c>
      <c r="AB11" t="str">
        <f t="shared" si="1"/>
        <v>H1_2025</v>
      </c>
      <c r="AC11">
        <f t="shared" si="2"/>
        <v>0</v>
      </c>
      <c r="AD11">
        <f t="shared" si="3"/>
        <v>2000</v>
      </c>
      <c r="AE11">
        <f t="shared" si="4"/>
        <v>0</v>
      </c>
      <c r="AF11" t="str">
        <f t="shared" si="5"/>
        <v>Sample</v>
      </c>
    </row>
    <row r="12" spans="1:32" ht="27.75" thickBot="1" x14ac:dyDescent="0.35">
      <c r="A12" s="2" t="s">
        <v>79</v>
      </c>
      <c r="B12" s="2" t="s">
        <v>27</v>
      </c>
      <c r="C12" s="2" t="s">
        <v>28</v>
      </c>
      <c r="D12" s="2" t="s">
        <v>29</v>
      </c>
      <c r="E12" s="2" t="s">
        <v>67</v>
      </c>
      <c r="F12" s="2" t="s">
        <v>31</v>
      </c>
      <c r="G12" s="2" t="s">
        <v>32</v>
      </c>
      <c r="H12" s="1"/>
      <c r="I12" s="2" t="s">
        <v>33</v>
      </c>
      <c r="J12" s="2" t="s">
        <v>34</v>
      </c>
      <c r="K12" s="2" t="s">
        <v>80</v>
      </c>
      <c r="L12" s="2" t="s">
        <v>81</v>
      </c>
      <c r="M12" s="2" t="s">
        <v>37</v>
      </c>
      <c r="N12" s="2" t="s">
        <v>38</v>
      </c>
      <c r="O12" s="2" t="s">
        <v>71</v>
      </c>
      <c r="P12" s="2" t="s">
        <v>40</v>
      </c>
      <c r="Q12" s="2" t="s">
        <v>40</v>
      </c>
      <c r="R12" s="2" t="s">
        <v>40</v>
      </c>
      <c r="S12" s="2" t="s">
        <v>40</v>
      </c>
      <c r="T12" s="2" t="s">
        <v>40</v>
      </c>
      <c r="U12" s="2" t="s">
        <v>40</v>
      </c>
      <c r="V12" s="2" t="s">
        <v>40</v>
      </c>
      <c r="W12" s="2" t="s">
        <v>41</v>
      </c>
      <c r="X12" s="2" t="s">
        <v>42</v>
      </c>
      <c r="Y12" s="2" t="s">
        <v>75</v>
      </c>
      <c r="AA12" t="str">
        <f t="shared" si="0"/>
        <v>2025-06</v>
      </c>
      <c r="AB12" t="str">
        <f t="shared" si="1"/>
        <v>H1_2025</v>
      </c>
      <c r="AC12">
        <f t="shared" si="2"/>
        <v>0</v>
      </c>
      <c r="AD12">
        <f t="shared" si="3"/>
        <v>2000</v>
      </c>
      <c r="AE12">
        <f t="shared" si="4"/>
        <v>0</v>
      </c>
      <c r="AF12" t="str">
        <f t="shared" si="5"/>
        <v>Sample</v>
      </c>
    </row>
    <row r="13" spans="1:32" ht="17.25" thickBot="1" x14ac:dyDescent="0.35">
      <c r="A13" s="2" t="s">
        <v>49</v>
      </c>
      <c r="B13" s="2" t="s">
        <v>27</v>
      </c>
      <c r="C13" s="2" t="s">
        <v>28</v>
      </c>
      <c r="D13" s="2" t="s">
        <v>29</v>
      </c>
      <c r="E13" s="2" t="s">
        <v>67</v>
      </c>
      <c r="F13" s="2" t="s">
        <v>31</v>
      </c>
      <c r="G13" s="2" t="s">
        <v>32</v>
      </c>
      <c r="H13" s="1"/>
      <c r="I13" s="2" t="s">
        <v>33</v>
      </c>
      <c r="J13" s="2" t="s">
        <v>34</v>
      </c>
      <c r="K13" s="2" t="s">
        <v>82</v>
      </c>
      <c r="L13" s="2" t="s">
        <v>83</v>
      </c>
      <c r="M13" s="2" t="s">
        <v>84</v>
      </c>
      <c r="N13" s="2" t="s">
        <v>38</v>
      </c>
      <c r="O13" s="2" t="s">
        <v>71</v>
      </c>
      <c r="P13" s="2" t="s">
        <v>40</v>
      </c>
      <c r="Q13" s="2" t="s">
        <v>40</v>
      </c>
      <c r="R13" s="2" t="s">
        <v>40</v>
      </c>
      <c r="S13" s="2" t="s">
        <v>40</v>
      </c>
      <c r="T13" s="2" t="s">
        <v>40</v>
      </c>
      <c r="U13" s="2" t="s">
        <v>40</v>
      </c>
      <c r="V13" s="2" t="s">
        <v>40</v>
      </c>
      <c r="W13" s="2" t="s">
        <v>41</v>
      </c>
      <c r="X13" s="2" t="s">
        <v>42</v>
      </c>
      <c r="Y13" s="2" t="s">
        <v>75</v>
      </c>
      <c r="AA13" t="str">
        <f t="shared" si="0"/>
        <v>2025-06</v>
      </c>
      <c r="AB13" t="str">
        <f t="shared" si="1"/>
        <v>H1_2025</v>
      </c>
      <c r="AC13">
        <f t="shared" si="2"/>
        <v>0</v>
      </c>
      <c r="AD13">
        <f t="shared" si="3"/>
        <v>2000</v>
      </c>
      <c r="AE13">
        <f t="shared" si="4"/>
        <v>0</v>
      </c>
      <c r="AF13" t="str">
        <f t="shared" si="5"/>
        <v>Sample</v>
      </c>
    </row>
    <row r="14" spans="1:32" ht="17.25" thickBot="1" x14ac:dyDescent="0.35">
      <c r="A14" s="2" t="s">
        <v>85</v>
      </c>
      <c r="B14" s="2" t="s">
        <v>27</v>
      </c>
      <c r="C14" s="2" t="s">
        <v>28</v>
      </c>
      <c r="D14" s="2" t="s">
        <v>29</v>
      </c>
      <c r="E14" s="2" t="s">
        <v>86</v>
      </c>
      <c r="F14" s="2" t="s">
        <v>31</v>
      </c>
      <c r="G14" s="2" t="s">
        <v>32</v>
      </c>
      <c r="H14" s="1"/>
      <c r="I14" s="2" t="s">
        <v>33</v>
      </c>
      <c r="J14" s="2" t="s">
        <v>34</v>
      </c>
      <c r="K14" s="2" t="s">
        <v>87</v>
      </c>
      <c r="L14" s="2" t="s">
        <v>88</v>
      </c>
      <c r="M14" s="2" t="s">
        <v>89</v>
      </c>
      <c r="N14" s="2" t="s">
        <v>38</v>
      </c>
      <c r="O14" s="2" t="s">
        <v>90</v>
      </c>
      <c r="P14" s="2" t="s">
        <v>40</v>
      </c>
      <c r="Q14" s="2" t="s">
        <v>40</v>
      </c>
      <c r="R14" s="2" t="s">
        <v>40</v>
      </c>
      <c r="S14" s="2" t="s">
        <v>40</v>
      </c>
      <c r="T14" s="2" t="s">
        <v>40</v>
      </c>
      <c r="U14" s="2" t="s">
        <v>40</v>
      </c>
      <c r="V14" s="2" t="s">
        <v>40</v>
      </c>
      <c r="W14" s="2" t="s">
        <v>41</v>
      </c>
      <c r="X14" s="2" t="s">
        <v>42</v>
      </c>
      <c r="Y14" s="2" t="s">
        <v>91</v>
      </c>
      <c r="AA14" t="str">
        <f t="shared" si="0"/>
        <v>2025-05</v>
      </c>
      <c r="AB14" t="str">
        <f t="shared" si="1"/>
        <v>H1_2025</v>
      </c>
      <c r="AC14">
        <f t="shared" si="2"/>
        <v>0</v>
      </c>
      <c r="AD14">
        <f t="shared" si="3"/>
        <v>1220</v>
      </c>
      <c r="AE14">
        <f t="shared" si="4"/>
        <v>0</v>
      </c>
      <c r="AF14" t="str">
        <f t="shared" si="5"/>
        <v>Sample</v>
      </c>
    </row>
    <row r="15" spans="1:32" ht="17.25" thickBot="1" x14ac:dyDescent="0.35">
      <c r="A15" s="2" t="s">
        <v>92</v>
      </c>
      <c r="B15" s="2" t="s">
        <v>27</v>
      </c>
      <c r="C15" s="2" t="s">
        <v>28</v>
      </c>
      <c r="D15" s="2" t="s">
        <v>29</v>
      </c>
      <c r="E15" s="2" t="s">
        <v>93</v>
      </c>
      <c r="F15" s="2" t="s">
        <v>31</v>
      </c>
      <c r="G15" s="2" t="s">
        <v>32</v>
      </c>
      <c r="H15" s="1"/>
      <c r="I15" s="2" t="s">
        <v>33</v>
      </c>
      <c r="J15" s="2" t="s">
        <v>34</v>
      </c>
      <c r="K15" s="2" t="s">
        <v>87</v>
      </c>
      <c r="L15" s="2" t="s">
        <v>88</v>
      </c>
      <c r="M15" s="2" t="s">
        <v>89</v>
      </c>
      <c r="N15" s="2" t="s">
        <v>38</v>
      </c>
      <c r="O15" s="2" t="s">
        <v>94</v>
      </c>
      <c r="P15" s="2" t="s">
        <v>40</v>
      </c>
      <c r="Q15" s="2" t="s">
        <v>40</v>
      </c>
      <c r="R15" s="2" t="s">
        <v>40</v>
      </c>
      <c r="S15" s="2" t="s">
        <v>40</v>
      </c>
      <c r="T15" s="2" t="s">
        <v>40</v>
      </c>
      <c r="U15" s="2" t="s">
        <v>40</v>
      </c>
      <c r="V15" s="2" t="s">
        <v>40</v>
      </c>
      <c r="W15" s="2" t="s">
        <v>41</v>
      </c>
      <c r="X15" s="2" t="s">
        <v>42</v>
      </c>
      <c r="Y15" s="2" t="s">
        <v>95</v>
      </c>
      <c r="AA15" t="str">
        <f t="shared" si="0"/>
        <v>2025-05</v>
      </c>
      <c r="AB15" t="str">
        <f t="shared" si="1"/>
        <v>H1_2025</v>
      </c>
      <c r="AC15">
        <f t="shared" si="2"/>
        <v>0</v>
      </c>
      <c r="AD15">
        <f t="shared" si="3"/>
        <v>850</v>
      </c>
      <c r="AE15">
        <f t="shared" si="4"/>
        <v>0</v>
      </c>
      <c r="AF15" t="str">
        <f t="shared" si="5"/>
        <v>Sample</v>
      </c>
    </row>
    <row r="16" spans="1:32" ht="27.75" thickBot="1" x14ac:dyDescent="0.35">
      <c r="A16" s="2" t="s">
        <v>96</v>
      </c>
      <c r="B16" s="2" t="s">
        <v>27</v>
      </c>
      <c r="C16" s="2" t="s">
        <v>28</v>
      </c>
      <c r="D16" s="2" t="s">
        <v>97</v>
      </c>
      <c r="E16" s="2" t="s">
        <v>98</v>
      </c>
      <c r="F16" s="2" t="s">
        <v>99</v>
      </c>
      <c r="G16" s="2" t="s">
        <v>32</v>
      </c>
      <c r="H16" s="1"/>
      <c r="I16" s="2" t="s">
        <v>33</v>
      </c>
      <c r="J16" s="2" t="s">
        <v>34</v>
      </c>
      <c r="K16" s="2" t="s">
        <v>100</v>
      </c>
      <c r="L16" s="2" t="s">
        <v>101</v>
      </c>
      <c r="M16" s="2" t="s">
        <v>102</v>
      </c>
      <c r="N16" s="2" t="s">
        <v>38</v>
      </c>
      <c r="O16" s="2" t="s">
        <v>103</v>
      </c>
      <c r="P16" s="2" t="s">
        <v>104</v>
      </c>
      <c r="Q16" s="2" t="s">
        <v>105</v>
      </c>
      <c r="R16" s="2" t="s">
        <v>40</v>
      </c>
      <c r="S16" s="2" t="s">
        <v>106</v>
      </c>
      <c r="T16" s="2" t="s">
        <v>107</v>
      </c>
      <c r="U16" s="2" t="s">
        <v>108</v>
      </c>
      <c r="V16" s="2" t="s">
        <v>109</v>
      </c>
      <c r="W16" s="2" t="s">
        <v>110</v>
      </c>
      <c r="X16" s="2" t="s">
        <v>111</v>
      </c>
      <c r="Y16" s="2" t="s">
        <v>112</v>
      </c>
      <c r="AA16" t="str">
        <f t="shared" si="0"/>
        <v>2026-06</v>
      </c>
      <c r="AB16" t="str">
        <f t="shared" si="1"/>
        <v>H1_2026</v>
      </c>
      <c r="AC16">
        <f t="shared" si="2"/>
        <v>355.51</v>
      </c>
      <c r="AD16">
        <f t="shared" si="3"/>
        <v>24</v>
      </c>
      <c r="AE16">
        <f t="shared" si="4"/>
        <v>-134044.49</v>
      </c>
      <c r="AF16" t="str">
        <f t="shared" si="5"/>
        <v>FOC</v>
      </c>
    </row>
    <row r="17" spans="1:32" ht="27.75" thickBot="1" x14ac:dyDescent="0.35">
      <c r="A17" s="2" t="s">
        <v>113</v>
      </c>
      <c r="B17" s="2" t="s">
        <v>27</v>
      </c>
      <c r="C17" s="2" t="s">
        <v>28</v>
      </c>
      <c r="D17" s="2" t="s">
        <v>97</v>
      </c>
      <c r="E17" s="2" t="s">
        <v>98</v>
      </c>
      <c r="F17" s="2" t="s">
        <v>99</v>
      </c>
      <c r="G17" s="2" t="s">
        <v>32</v>
      </c>
      <c r="H17" s="1"/>
      <c r="I17" s="2" t="s">
        <v>33</v>
      </c>
      <c r="J17" s="2" t="s">
        <v>34</v>
      </c>
      <c r="K17" s="2" t="s">
        <v>100</v>
      </c>
      <c r="L17" s="2" t="s">
        <v>101</v>
      </c>
      <c r="M17" s="2" t="s">
        <v>102</v>
      </c>
      <c r="N17" s="2" t="s">
        <v>38</v>
      </c>
      <c r="O17" s="2" t="s">
        <v>114</v>
      </c>
      <c r="P17" s="2" t="s">
        <v>115</v>
      </c>
      <c r="Q17" s="2" t="s">
        <v>116</v>
      </c>
      <c r="R17" s="2" t="s">
        <v>40</v>
      </c>
      <c r="S17" s="2" t="s">
        <v>117</v>
      </c>
      <c r="T17" s="2" t="s">
        <v>107</v>
      </c>
      <c r="U17" s="2" t="s">
        <v>118</v>
      </c>
      <c r="V17" s="2" t="s">
        <v>119</v>
      </c>
      <c r="W17" s="1"/>
      <c r="X17" s="2" t="s">
        <v>120</v>
      </c>
      <c r="Y17" s="2" t="s">
        <v>112</v>
      </c>
      <c r="AA17" t="str">
        <f t="shared" si="0"/>
        <v>2026-06</v>
      </c>
      <c r="AB17" t="str">
        <f t="shared" si="1"/>
        <v>H1_2026</v>
      </c>
      <c r="AC17">
        <f t="shared" si="2"/>
        <v>2072634.96</v>
      </c>
      <c r="AD17">
        <f t="shared" si="3"/>
        <v>240</v>
      </c>
      <c r="AE17">
        <f t="shared" si="4"/>
        <v>728634.96</v>
      </c>
      <c r="AF17" t="str">
        <f t="shared" si="5"/>
        <v>Paid</v>
      </c>
    </row>
    <row r="18" spans="1:32" ht="27.75" thickBot="1" x14ac:dyDescent="0.35">
      <c r="A18" s="2" t="s">
        <v>121</v>
      </c>
      <c r="B18" s="2" t="s">
        <v>27</v>
      </c>
      <c r="C18" s="2" t="s">
        <v>28</v>
      </c>
      <c r="D18" s="2" t="s">
        <v>97</v>
      </c>
      <c r="E18" s="2" t="s">
        <v>98</v>
      </c>
      <c r="F18" s="2" t="s">
        <v>99</v>
      </c>
      <c r="G18" s="2" t="s">
        <v>32</v>
      </c>
      <c r="H18" s="1"/>
      <c r="I18" s="2" t="s">
        <v>33</v>
      </c>
      <c r="J18" s="2" t="s">
        <v>34</v>
      </c>
      <c r="K18" s="2" t="s">
        <v>122</v>
      </c>
      <c r="L18" s="2" t="s">
        <v>123</v>
      </c>
      <c r="M18" s="2" t="s">
        <v>102</v>
      </c>
      <c r="N18" s="2" t="s">
        <v>38</v>
      </c>
      <c r="O18" s="2" t="s">
        <v>54</v>
      </c>
      <c r="P18" s="2" t="s">
        <v>104</v>
      </c>
      <c r="Q18" s="2" t="s">
        <v>124</v>
      </c>
      <c r="R18" s="2" t="s">
        <v>40</v>
      </c>
      <c r="S18" s="2" t="s">
        <v>125</v>
      </c>
      <c r="T18" s="2" t="s">
        <v>126</v>
      </c>
      <c r="U18" s="2" t="s">
        <v>127</v>
      </c>
      <c r="V18" s="2" t="s">
        <v>128</v>
      </c>
      <c r="W18" s="2" t="s">
        <v>110</v>
      </c>
      <c r="X18" s="2" t="s">
        <v>129</v>
      </c>
      <c r="Y18" s="2" t="s">
        <v>112</v>
      </c>
      <c r="AA18" t="str">
        <f t="shared" si="0"/>
        <v>2026-06</v>
      </c>
      <c r="AB18" t="str">
        <f t="shared" si="1"/>
        <v>H1_2026</v>
      </c>
      <c r="AC18">
        <f t="shared" si="2"/>
        <v>59.25</v>
      </c>
      <c r="AD18">
        <f t="shared" si="3"/>
        <v>4</v>
      </c>
      <c r="AE18">
        <f t="shared" si="4"/>
        <v>-25140.75</v>
      </c>
      <c r="AF18" t="str">
        <f t="shared" si="5"/>
        <v>FOC</v>
      </c>
    </row>
    <row r="19" spans="1:32" ht="27.75" thickBot="1" x14ac:dyDescent="0.35">
      <c r="A19" s="2" t="s">
        <v>130</v>
      </c>
      <c r="B19" s="2" t="s">
        <v>27</v>
      </c>
      <c r="C19" s="2" t="s">
        <v>28</v>
      </c>
      <c r="D19" s="2" t="s">
        <v>97</v>
      </c>
      <c r="E19" s="2" t="s">
        <v>98</v>
      </c>
      <c r="F19" s="2" t="s">
        <v>99</v>
      </c>
      <c r="G19" s="2" t="s">
        <v>32</v>
      </c>
      <c r="H19" s="1"/>
      <c r="I19" s="2" t="s">
        <v>33</v>
      </c>
      <c r="J19" s="2" t="s">
        <v>34</v>
      </c>
      <c r="K19" s="2" t="s">
        <v>122</v>
      </c>
      <c r="L19" s="2" t="s">
        <v>123</v>
      </c>
      <c r="M19" s="2" t="s">
        <v>102</v>
      </c>
      <c r="N19" s="2" t="s">
        <v>38</v>
      </c>
      <c r="O19" s="2" t="s">
        <v>131</v>
      </c>
      <c r="P19" s="2" t="s">
        <v>132</v>
      </c>
      <c r="Q19" s="2" t="s">
        <v>133</v>
      </c>
      <c r="R19" s="2" t="s">
        <v>40</v>
      </c>
      <c r="S19" s="2" t="s">
        <v>134</v>
      </c>
      <c r="T19" s="2" t="s">
        <v>126</v>
      </c>
      <c r="U19" s="2" t="s">
        <v>135</v>
      </c>
      <c r="V19" s="2" t="s">
        <v>136</v>
      </c>
      <c r="W19" s="1"/>
      <c r="X19" s="2" t="s">
        <v>137</v>
      </c>
      <c r="Y19" s="2" t="s">
        <v>112</v>
      </c>
      <c r="AA19" t="str">
        <f t="shared" si="0"/>
        <v>2026-06</v>
      </c>
      <c r="AB19" t="str">
        <f t="shared" si="1"/>
        <v>H1_2026</v>
      </c>
      <c r="AC19">
        <f t="shared" si="2"/>
        <v>431947.08</v>
      </c>
      <c r="AD19">
        <f t="shared" si="3"/>
        <v>40</v>
      </c>
      <c r="AE19">
        <f t="shared" si="4"/>
        <v>179947.08</v>
      </c>
      <c r="AF19" t="str">
        <f t="shared" si="5"/>
        <v>Paid</v>
      </c>
    </row>
    <row r="20" spans="1:32" ht="17.25" thickBot="1" x14ac:dyDescent="0.35">
      <c r="A20" s="2" t="s">
        <v>138</v>
      </c>
      <c r="B20" s="2" t="s">
        <v>27</v>
      </c>
      <c r="C20" s="2" t="s">
        <v>28</v>
      </c>
      <c r="D20" s="2" t="s">
        <v>97</v>
      </c>
      <c r="E20" s="2" t="s">
        <v>98</v>
      </c>
      <c r="F20" s="2" t="s">
        <v>99</v>
      </c>
      <c r="G20" s="2" t="s">
        <v>32</v>
      </c>
      <c r="H20" s="1"/>
      <c r="I20" s="2" t="s">
        <v>33</v>
      </c>
      <c r="J20" s="2" t="s">
        <v>34</v>
      </c>
      <c r="K20" s="2" t="s">
        <v>139</v>
      </c>
      <c r="L20" s="2" t="s">
        <v>140</v>
      </c>
      <c r="M20" s="2" t="s">
        <v>102</v>
      </c>
      <c r="N20" s="2" t="s">
        <v>38</v>
      </c>
      <c r="O20" s="2" t="s">
        <v>141</v>
      </c>
      <c r="P20" s="2" t="s">
        <v>104</v>
      </c>
      <c r="Q20" s="2" t="s">
        <v>142</v>
      </c>
      <c r="R20" s="2" t="s">
        <v>40</v>
      </c>
      <c r="S20" s="2" t="s">
        <v>143</v>
      </c>
      <c r="T20" s="2" t="s">
        <v>144</v>
      </c>
      <c r="U20" s="2" t="s">
        <v>145</v>
      </c>
      <c r="V20" s="2" t="s">
        <v>146</v>
      </c>
      <c r="W20" s="2" t="s">
        <v>110</v>
      </c>
      <c r="X20" s="2" t="s">
        <v>147</v>
      </c>
      <c r="Y20" s="2" t="s">
        <v>112</v>
      </c>
      <c r="AA20" t="str">
        <f t="shared" si="0"/>
        <v>2026-06</v>
      </c>
      <c r="AB20" t="str">
        <f t="shared" si="1"/>
        <v>H1_2026</v>
      </c>
      <c r="AC20">
        <f t="shared" si="2"/>
        <v>444.39</v>
      </c>
      <c r="AD20">
        <f t="shared" si="3"/>
        <v>30</v>
      </c>
      <c r="AE20">
        <f t="shared" si="4"/>
        <v>-449555.61</v>
      </c>
      <c r="AF20" t="str">
        <f t="shared" si="5"/>
        <v>FOC</v>
      </c>
    </row>
    <row r="21" spans="1:32" ht="17.25" thickBot="1" x14ac:dyDescent="0.35">
      <c r="A21" s="2" t="s">
        <v>148</v>
      </c>
      <c r="B21" s="2" t="s">
        <v>27</v>
      </c>
      <c r="C21" s="2" t="s">
        <v>28</v>
      </c>
      <c r="D21" s="2" t="s">
        <v>97</v>
      </c>
      <c r="E21" s="2" t="s">
        <v>98</v>
      </c>
      <c r="F21" s="2" t="s">
        <v>99</v>
      </c>
      <c r="G21" s="2" t="s">
        <v>32</v>
      </c>
      <c r="H21" s="1"/>
      <c r="I21" s="2" t="s">
        <v>33</v>
      </c>
      <c r="J21" s="2" t="s">
        <v>34</v>
      </c>
      <c r="K21" s="2" t="s">
        <v>139</v>
      </c>
      <c r="L21" s="2" t="s">
        <v>140</v>
      </c>
      <c r="M21" s="2" t="s">
        <v>102</v>
      </c>
      <c r="N21" s="2" t="s">
        <v>38</v>
      </c>
      <c r="O21" s="2" t="s">
        <v>149</v>
      </c>
      <c r="P21" s="2" t="s">
        <v>150</v>
      </c>
      <c r="Q21" s="2" t="s">
        <v>151</v>
      </c>
      <c r="R21" s="2" t="s">
        <v>40</v>
      </c>
      <c r="S21" s="2" t="s">
        <v>152</v>
      </c>
      <c r="T21" s="2" t="s">
        <v>144</v>
      </c>
      <c r="U21" s="2" t="s">
        <v>153</v>
      </c>
      <c r="V21" s="2" t="s">
        <v>154</v>
      </c>
      <c r="W21" s="1"/>
      <c r="X21" s="2" t="s">
        <v>155</v>
      </c>
      <c r="Y21" s="2" t="s">
        <v>112</v>
      </c>
      <c r="AA21" t="str">
        <f t="shared" si="0"/>
        <v>2026-06</v>
      </c>
      <c r="AB21" t="str">
        <f t="shared" si="1"/>
        <v>H1_2026</v>
      </c>
      <c r="AC21">
        <f t="shared" si="2"/>
        <v>5590426.2000000002</v>
      </c>
      <c r="AD21">
        <f t="shared" si="3"/>
        <v>300</v>
      </c>
      <c r="AE21">
        <f t="shared" si="4"/>
        <v>1090426.2</v>
      </c>
      <c r="AF21" t="str">
        <f t="shared" si="5"/>
        <v>Paid</v>
      </c>
    </row>
    <row r="22" spans="1:32" ht="17.25" thickBot="1" x14ac:dyDescent="0.35">
      <c r="A22" s="2" t="s">
        <v>156</v>
      </c>
      <c r="B22" s="2" t="s">
        <v>27</v>
      </c>
      <c r="C22" s="2" t="s">
        <v>28</v>
      </c>
      <c r="D22" s="2" t="s">
        <v>97</v>
      </c>
      <c r="E22" s="2" t="s">
        <v>98</v>
      </c>
      <c r="F22" s="2" t="s">
        <v>99</v>
      </c>
      <c r="G22" s="2" t="s">
        <v>32</v>
      </c>
      <c r="H22" s="1"/>
      <c r="I22" s="2" t="s">
        <v>33</v>
      </c>
      <c r="J22" s="2" t="s">
        <v>34</v>
      </c>
      <c r="K22" s="2" t="s">
        <v>157</v>
      </c>
      <c r="L22" s="2" t="s">
        <v>158</v>
      </c>
      <c r="M22" s="2" t="s">
        <v>102</v>
      </c>
      <c r="N22" s="2" t="s">
        <v>38</v>
      </c>
      <c r="O22" s="2" t="s">
        <v>159</v>
      </c>
      <c r="P22" s="2" t="s">
        <v>104</v>
      </c>
      <c r="Q22" s="2" t="s">
        <v>160</v>
      </c>
      <c r="R22" s="2" t="s">
        <v>40</v>
      </c>
      <c r="S22" s="2" t="s">
        <v>161</v>
      </c>
      <c r="T22" s="2" t="s">
        <v>162</v>
      </c>
      <c r="U22" s="2" t="s">
        <v>163</v>
      </c>
      <c r="V22" s="2" t="s">
        <v>164</v>
      </c>
      <c r="W22" s="2" t="s">
        <v>110</v>
      </c>
      <c r="X22" s="2" t="s">
        <v>165</v>
      </c>
      <c r="Y22" s="2" t="s">
        <v>112</v>
      </c>
      <c r="AA22" t="str">
        <f t="shared" si="0"/>
        <v>2026-06</v>
      </c>
      <c r="AB22" t="str">
        <f t="shared" si="1"/>
        <v>H1_2026</v>
      </c>
      <c r="AC22">
        <f t="shared" si="2"/>
        <v>1185.04</v>
      </c>
      <c r="AD22">
        <f t="shared" si="3"/>
        <v>80</v>
      </c>
      <c r="AE22">
        <f t="shared" si="4"/>
        <v>-898814.96</v>
      </c>
      <c r="AF22" t="str">
        <f t="shared" si="5"/>
        <v>FOC</v>
      </c>
    </row>
    <row r="23" spans="1:32" ht="17.25" thickBot="1" x14ac:dyDescent="0.35">
      <c r="A23" s="2" t="s">
        <v>166</v>
      </c>
      <c r="B23" s="2" t="s">
        <v>27</v>
      </c>
      <c r="C23" s="2" t="s">
        <v>28</v>
      </c>
      <c r="D23" s="2" t="s">
        <v>97</v>
      </c>
      <c r="E23" s="2" t="s">
        <v>98</v>
      </c>
      <c r="F23" s="2" t="s">
        <v>99</v>
      </c>
      <c r="G23" s="2" t="s">
        <v>32</v>
      </c>
      <c r="H23" s="1"/>
      <c r="I23" s="2" t="s">
        <v>33</v>
      </c>
      <c r="J23" s="2" t="s">
        <v>34</v>
      </c>
      <c r="K23" s="2" t="s">
        <v>157</v>
      </c>
      <c r="L23" s="2" t="s">
        <v>158</v>
      </c>
      <c r="M23" s="2" t="s">
        <v>102</v>
      </c>
      <c r="N23" s="2" t="s">
        <v>38</v>
      </c>
      <c r="O23" s="2" t="s">
        <v>167</v>
      </c>
      <c r="P23" s="2" t="s">
        <v>168</v>
      </c>
      <c r="Q23" s="2" t="s">
        <v>169</v>
      </c>
      <c r="R23" s="2" t="s">
        <v>40</v>
      </c>
      <c r="S23" s="2" t="s">
        <v>170</v>
      </c>
      <c r="T23" s="2" t="s">
        <v>162</v>
      </c>
      <c r="U23" s="2" t="s">
        <v>171</v>
      </c>
      <c r="V23" s="2" t="s">
        <v>172</v>
      </c>
      <c r="W23" s="1"/>
      <c r="X23" s="2" t="s">
        <v>173</v>
      </c>
      <c r="Y23" s="2" t="s">
        <v>112</v>
      </c>
      <c r="AA23" t="str">
        <f t="shared" si="0"/>
        <v>2026-06</v>
      </c>
      <c r="AB23" t="str">
        <f t="shared" si="1"/>
        <v>H1_2026</v>
      </c>
      <c r="AC23">
        <f t="shared" si="2"/>
        <v>15761032</v>
      </c>
      <c r="AD23">
        <f t="shared" si="3"/>
        <v>800</v>
      </c>
      <c r="AE23">
        <f t="shared" si="4"/>
        <v>6761032</v>
      </c>
      <c r="AF23" t="str">
        <f t="shared" si="5"/>
        <v>Paid</v>
      </c>
    </row>
    <row r="24" spans="1:32" ht="17.25" thickBot="1" x14ac:dyDescent="0.35">
      <c r="A24" s="2" t="s">
        <v>174</v>
      </c>
      <c r="B24" s="2" t="s">
        <v>27</v>
      </c>
      <c r="C24" s="2" t="s">
        <v>28</v>
      </c>
      <c r="D24" s="2" t="s">
        <v>97</v>
      </c>
      <c r="E24" s="2" t="s">
        <v>98</v>
      </c>
      <c r="F24" s="2" t="s">
        <v>99</v>
      </c>
      <c r="G24" s="2" t="s">
        <v>32</v>
      </c>
      <c r="H24" s="1"/>
      <c r="I24" s="2" t="s">
        <v>33</v>
      </c>
      <c r="J24" s="2" t="s">
        <v>34</v>
      </c>
      <c r="K24" s="2" t="s">
        <v>175</v>
      </c>
      <c r="L24" s="2" t="s">
        <v>176</v>
      </c>
      <c r="M24" s="2" t="s">
        <v>102</v>
      </c>
      <c r="N24" s="2" t="s">
        <v>38</v>
      </c>
      <c r="O24" s="2" t="s">
        <v>177</v>
      </c>
      <c r="P24" s="2" t="s">
        <v>178</v>
      </c>
      <c r="Q24" s="2" t="s">
        <v>179</v>
      </c>
      <c r="R24" s="2" t="s">
        <v>40</v>
      </c>
      <c r="S24" s="2" t="s">
        <v>180</v>
      </c>
      <c r="T24" s="2" t="s">
        <v>181</v>
      </c>
      <c r="U24" s="2" t="s">
        <v>182</v>
      </c>
      <c r="V24" s="2" t="s">
        <v>183</v>
      </c>
      <c r="W24" s="1"/>
      <c r="X24" s="2" t="s">
        <v>184</v>
      </c>
      <c r="Y24" s="2" t="s">
        <v>112</v>
      </c>
      <c r="AA24" t="str">
        <f t="shared" si="0"/>
        <v>2026-06</v>
      </c>
      <c r="AB24" t="str">
        <f t="shared" si="1"/>
        <v>H1_2026</v>
      </c>
      <c r="AC24">
        <f t="shared" si="2"/>
        <v>21016684.399999999</v>
      </c>
      <c r="AD24">
        <f t="shared" si="3"/>
        <v>400</v>
      </c>
      <c r="AE24">
        <f t="shared" si="4"/>
        <v>8216684.4000000004</v>
      </c>
      <c r="AF24" t="str">
        <f t="shared" si="5"/>
        <v>Paid</v>
      </c>
    </row>
    <row r="25" spans="1:32" ht="17.25" thickBot="1" x14ac:dyDescent="0.35">
      <c r="A25" s="2" t="s">
        <v>185</v>
      </c>
      <c r="B25" s="2" t="s">
        <v>27</v>
      </c>
      <c r="C25" s="2" t="s">
        <v>28</v>
      </c>
      <c r="D25" s="2" t="s">
        <v>97</v>
      </c>
      <c r="E25" s="2" t="s">
        <v>98</v>
      </c>
      <c r="F25" s="2" t="s">
        <v>99</v>
      </c>
      <c r="G25" s="2" t="s">
        <v>32</v>
      </c>
      <c r="H25" s="1"/>
      <c r="I25" s="2" t="s">
        <v>33</v>
      </c>
      <c r="J25" s="2" t="s">
        <v>34</v>
      </c>
      <c r="K25" s="2" t="s">
        <v>175</v>
      </c>
      <c r="L25" s="2" t="s">
        <v>176</v>
      </c>
      <c r="M25" s="2" t="s">
        <v>102</v>
      </c>
      <c r="N25" s="2" t="s">
        <v>38</v>
      </c>
      <c r="O25" s="2" t="s">
        <v>131</v>
      </c>
      <c r="P25" s="2" t="s">
        <v>104</v>
      </c>
      <c r="Q25" s="2" t="s">
        <v>186</v>
      </c>
      <c r="R25" s="2" t="s">
        <v>40</v>
      </c>
      <c r="S25" s="2" t="s">
        <v>187</v>
      </c>
      <c r="T25" s="2" t="s">
        <v>181</v>
      </c>
      <c r="U25" s="2" t="s">
        <v>188</v>
      </c>
      <c r="V25" s="2" t="s">
        <v>189</v>
      </c>
      <c r="W25" s="2" t="s">
        <v>110</v>
      </c>
      <c r="X25" s="2" t="s">
        <v>190</v>
      </c>
      <c r="Y25" s="2" t="s">
        <v>112</v>
      </c>
      <c r="AA25" t="str">
        <f t="shared" si="0"/>
        <v>2026-06</v>
      </c>
      <c r="AB25" t="str">
        <f t="shared" si="1"/>
        <v>H1_2026</v>
      </c>
      <c r="AC25">
        <f t="shared" si="2"/>
        <v>592.52</v>
      </c>
      <c r="AD25">
        <f t="shared" si="3"/>
        <v>40</v>
      </c>
      <c r="AE25">
        <f t="shared" si="4"/>
        <v>-1279407.48</v>
      </c>
      <c r="AF25" t="str">
        <f t="shared" si="5"/>
        <v>FOC</v>
      </c>
    </row>
    <row r="26" spans="1:32" ht="17.25" thickBot="1" x14ac:dyDescent="0.35">
      <c r="A26" s="2" t="s">
        <v>103</v>
      </c>
      <c r="B26" s="2" t="s">
        <v>27</v>
      </c>
      <c r="C26" s="2" t="s">
        <v>28</v>
      </c>
      <c r="D26" s="2" t="s">
        <v>97</v>
      </c>
      <c r="E26" s="2" t="s">
        <v>191</v>
      </c>
      <c r="F26" s="2" t="s">
        <v>99</v>
      </c>
      <c r="G26" s="2" t="s">
        <v>32</v>
      </c>
      <c r="H26" s="1"/>
      <c r="I26" s="2" t="s">
        <v>33</v>
      </c>
      <c r="J26" s="2" t="s">
        <v>34</v>
      </c>
      <c r="K26" s="2" t="s">
        <v>192</v>
      </c>
      <c r="L26" s="2" t="s">
        <v>193</v>
      </c>
      <c r="M26" s="2" t="s">
        <v>194</v>
      </c>
      <c r="N26" s="2" t="s">
        <v>38</v>
      </c>
      <c r="O26" s="2" t="s">
        <v>103</v>
      </c>
      <c r="P26" s="2" t="s">
        <v>195</v>
      </c>
      <c r="Q26" s="2" t="s">
        <v>196</v>
      </c>
      <c r="R26" s="2" t="s">
        <v>40</v>
      </c>
      <c r="S26" s="2" t="s">
        <v>197</v>
      </c>
      <c r="T26" s="2" t="s">
        <v>198</v>
      </c>
      <c r="U26" s="2" t="s">
        <v>199</v>
      </c>
      <c r="V26" s="2" t="s">
        <v>200</v>
      </c>
      <c r="W26" s="1"/>
      <c r="X26" s="2" t="s">
        <v>201</v>
      </c>
      <c r="Y26" s="2" t="s">
        <v>202</v>
      </c>
      <c r="AA26" t="str">
        <f t="shared" si="0"/>
        <v>2026-06</v>
      </c>
      <c r="AB26" t="str">
        <f t="shared" si="1"/>
        <v>H1_2026</v>
      </c>
      <c r="AC26">
        <f t="shared" si="2"/>
        <v>299347.01</v>
      </c>
      <c r="AD26">
        <f t="shared" si="3"/>
        <v>24</v>
      </c>
      <c r="AE26">
        <f t="shared" si="4"/>
        <v>72437.919999999998</v>
      </c>
      <c r="AF26" t="str">
        <f t="shared" si="5"/>
        <v>Paid</v>
      </c>
    </row>
    <row r="27" spans="1:32" ht="27.75" thickBot="1" x14ac:dyDescent="0.35">
      <c r="A27" s="2" t="s">
        <v>203</v>
      </c>
      <c r="B27" s="2" t="s">
        <v>27</v>
      </c>
      <c r="C27" s="2" t="s">
        <v>28</v>
      </c>
      <c r="D27" s="2" t="s">
        <v>97</v>
      </c>
      <c r="E27" s="2" t="s">
        <v>191</v>
      </c>
      <c r="F27" s="2" t="s">
        <v>99</v>
      </c>
      <c r="G27" s="2" t="s">
        <v>32</v>
      </c>
      <c r="H27" s="1"/>
      <c r="I27" s="2" t="s">
        <v>33</v>
      </c>
      <c r="J27" s="2" t="s">
        <v>34</v>
      </c>
      <c r="K27" s="2" t="s">
        <v>204</v>
      </c>
      <c r="L27" s="2" t="s">
        <v>205</v>
      </c>
      <c r="M27" s="2" t="s">
        <v>102</v>
      </c>
      <c r="N27" s="2" t="s">
        <v>38</v>
      </c>
      <c r="O27" s="2" t="s">
        <v>206</v>
      </c>
      <c r="P27" s="2" t="s">
        <v>150</v>
      </c>
      <c r="Q27" s="2" t="s">
        <v>207</v>
      </c>
      <c r="R27" s="2" t="s">
        <v>40</v>
      </c>
      <c r="S27" s="2" t="s">
        <v>208</v>
      </c>
      <c r="T27" s="2" t="s">
        <v>209</v>
      </c>
      <c r="U27" s="2" t="s">
        <v>210</v>
      </c>
      <c r="V27" s="2" t="s">
        <v>211</v>
      </c>
      <c r="W27" s="1"/>
      <c r="X27" s="2" t="s">
        <v>212</v>
      </c>
      <c r="Y27" s="2" t="s">
        <v>202</v>
      </c>
      <c r="AA27" t="str">
        <f t="shared" si="0"/>
        <v>2026-06</v>
      </c>
      <c r="AB27" t="str">
        <f t="shared" si="1"/>
        <v>H1_2026</v>
      </c>
      <c r="AC27">
        <f t="shared" si="2"/>
        <v>9362036</v>
      </c>
      <c r="AD27">
        <f t="shared" si="3"/>
        <v>500</v>
      </c>
      <c r="AE27">
        <f t="shared" si="4"/>
        <v>4682036</v>
      </c>
      <c r="AF27" t="str">
        <f t="shared" si="5"/>
        <v>Paid</v>
      </c>
    </row>
    <row r="28" spans="1:32" ht="27.75" thickBot="1" x14ac:dyDescent="0.35">
      <c r="A28" s="2" t="s">
        <v>213</v>
      </c>
      <c r="B28" s="2" t="s">
        <v>27</v>
      </c>
      <c r="C28" s="2" t="s">
        <v>28</v>
      </c>
      <c r="D28" s="2" t="s">
        <v>97</v>
      </c>
      <c r="E28" s="2" t="s">
        <v>191</v>
      </c>
      <c r="F28" s="2" t="s">
        <v>99</v>
      </c>
      <c r="G28" s="2" t="s">
        <v>32</v>
      </c>
      <c r="H28" s="1"/>
      <c r="I28" s="2" t="s">
        <v>33</v>
      </c>
      <c r="J28" s="2" t="s">
        <v>34</v>
      </c>
      <c r="K28" s="2" t="s">
        <v>204</v>
      </c>
      <c r="L28" s="2" t="s">
        <v>205</v>
      </c>
      <c r="M28" s="2" t="s">
        <v>102</v>
      </c>
      <c r="N28" s="2" t="s">
        <v>38</v>
      </c>
      <c r="O28" s="2" t="s">
        <v>214</v>
      </c>
      <c r="P28" s="2" t="s">
        <v>104</v>
      </c>
      <c r="Q28" s="2" t="s">
        <v>215</v>
      </c>
      <c r="R28" s="2" t="s">
        <v>40</v>
      </c>
      <c r="S28" s="2" t="s">
        <v>216</v>
      </c>
      <c r="T28" s="2" t="s">
        <v>209</v>
      </c>
      <c r="U28" s="2" t="s">
        <v>217</v>
      </c>
      <c r="V28" s="2" t="s">
        <v>218</v>
      </c>
      <c r="W28" s="2" t="s">
        <v>110</v>
      </c>
      <c r="X28" s="2" t="s">
        <v>219</v>
      </c>
      <c r="Y28" s="2" t="s">
        <v>202</v>
      </c>
      <c r="AA28" t="str">
        <f t="shared" si="0"/>
        <v>2026-06</v>
      </c>
      <c r="AB28" t="str">
        <f t="shared" si="1"/>
        <v>H1_2026</v>
      </c>
      <c r="AC28">
        <f t="shared" si="2"/>
        <v>744.2</v>
      </c>
      <c r="AD28">
        <f t="shared" si="3"/>
        <v>50</v>
      </c>
      <c r="AE28">
        <f t="shared" si="4"/>
        <v>-467255.8</v>
      </c>
      <c r="AF28" t="str">
        <f t="shared" si="5"/>
        <v>FOC</v>
      </c>
    </row>
    <row r="29" spans="1:32" ht="17.25" thickBot="1" x14ac:dyDescent="0.35">
      <c r="A29" s="2" t="s">
        <v>220</v>
      </c>
      <c r="B29" s="2" t="s">
        <v>27</v>
      </c>
      <c r="C29" s="2" t="s">
        <v>28</v>
      </c>
      <c r="D29" s="2" t="s">
        <v>97</v>
      </c>
      <c r="E29" s="2" t="s">
        <v>191</v>
      </c>
      <c r="F29" s="2" t="s">
        <v>99</v>
      </c>
      <c r="G29" s="2" t="s">
        <v>32</v>
      </c>
      <c r="H29" s="1"/>
      <c r="I29" s="2" t="s">
        <v>33</v>
      </c>
      <c r="J29" s="2" t="s">
        <v>34</v>
      </c>
      <c r="K29" s="2" t="s">
        <v>157</v>
      </c>
      <c r="L29" s="2" t="s">
        <v>158</v>
      </c>
      <c r="M29" s="2" t="s">
        <v>102</v>
      </c>
      <c r="N29" s="2" t="s">
        <v>38</v>
      </c>
      <c r="O29" s="2" t="s">
        <v>221</v>
      </c>
      <c r="P29" s="2" t="s">
        <v>104</v>
      </c>
      <c r="Q29" s="2" t="s">
        <v>222</v>
      </c>
      <c r="R29" s="2" t="s">
        <v>40</v>
      </c>
      <c r="S29" s="2" t="s">
        <v>223</v>
      </c>
      <c r="T29" s="2" t="s">
        <v>162</v>
      </c>
      <c r="U29" s="2" t="s">
        <v>224</v>
      </c>
      <c r="V29" s="2" t="s">
        <v>225</v>
      </c>
      <c r="W29" s="2" t="s">
        <v>110</v>
      </c>
      <c r="X29" s="2" t="s">
        <v>226</v>
      </c>
      <c r="Y29" s="2" t="s">
        <v>202</v>
      </c>
      <c r="AA29" t="str">
        <f t="shared" si="0"/>
        <v>2026-06</v>
      </c>
      <c r="AB29" t="str">
        <f t="shared" si="1"/>
        <v>H1_2026</v>
      </c>
      <c r="AC29">
        <f t="shared" si="2"/>
        <v>2083.7600000000002</v>
      </c>
      <c r="AD29">
        <f t="shared" si="3"/>
        <v>140</v>
      </c>
      <c r="AE29">
        <f t="shared" si="4"/>
        <v>-1572916.24</v>
      </c>
      <c r="AF29" t="str">
        <f t="shared" si="5"/>
        <v>FOC</v>
      </c>
    </row>
    <row r="30" spans="1:32" ht="17.25" thickBot="1" x14ac:dyDescent="0.35">
      <c r="A30" s="2" t="s">
        <v>227</v>
      </c>
      <c r="B30" s="2" t="s">
        <v>27</v>
      </c>
      <c r="C30" s="2" t="s">
        <v>28</v>
      </c>
      <c r="D30" s="2" t="s">
        <v>97</v>
      </c>
      <c r="E30" s="2" t="s">
        <v>191</v>
      </c>
      <c r="F30" s="2" t="s">
        <v>99</v>
      </c>
      <c r="G30" s="2" t="s">
        <v>32</v>
      </c>
      <c r="H30" s="1"/>
      <c r="I30" s="2" t="s">
        <v>33</v>
      </c>
      <c r="J30" s="2" t="s">
        <v>34</v>
      </c>
      <c r="K30" s="2" t="s">
        <v>157</v>
      </c>
      <c r="L30" s="2" t="s">
        <v>158</v>
      </c>
      <c r="M30" s="2" t="s">
        <v>102</v>
      </c>
      <c r="N30" s="2" t="s">
        <v>38</v>
      </c>
      <c r="O30" s="2" t="s">
        <v>228</v>
      </c>
      <c r="P30" s="2" t="s">
        <v>168</v>
      </c>
      <c r="Q30" s="2" t="s">
        <v>229</v>
      </c>
      <c r="R30" s="2" t="s">
        <v>40</v>
      </c>
      <c r="S30" s="2" t="s">
        <v>230</v>
      </c>
      <c r="T30" s="2" t="s">
        <v>162</v>
      </c>
      <c r="U30" s="2" t="s">
        <v>231</v>
      </c>
      <c r="V30" s="2" t="s">
        <v>232</v>
      </c>
      <c r="W30" s="1"/>
      <c r="X30" s="2" t="s">
        <v>233</v>
      </c>
      <c r="Y30" s="2" t="s">
        <v>202</v>
      </c>
      <c r="AA30" t="str">
        <f t="shared" si="0"/>
        <v>2026-06</v>
      </c>
      <c r="AB30" t="str">
        <f t="shared" si="1"/>
        <v>H1_2026</v>
      </c>
      <c r="AC30">
        <f t="shared" si="2"/>
        <v>27714008</v>
      </c>
      <c r="AD30">
        <f t="shared" si="3"/>
        <v>1400</v>
      </c>
      <c r="AE30">
        <f t="shared" si="4"/>
        <v>11964008</v>
      </c>
      <c r="AF30" t="str">
        <f t="shared" si="5"/>
        <v>Paid</v>
      </c>
    </row>
    <row r="31" spans="1:32" ht="17.25" thickBot="1" x14ac:dyDescent="0.35">
      <c r="A31" s="2" t="s">
        <v>234</v>
      </c>
      <c r="B31" s="2" t="s">
        <v>27</v>
      </c>
      <c r="C31" s="2" t="s">
        <v>28</v>
      </c>
      <c r="D31" s="2" t="s">
        <v>97</v>
      </c>
      <c r="E31" s="2" t="s">
        <v>191</v>
      </c>
      <c r="F31" s="2" t="s">
        <v>99</v>
      </c>
      <c r="G31" s="2" t="s">
        <v>32</v>
      </c>
      <c r="H31" s="1"/>
      <c r="I31" s="2" t="s">
        <v>33</v>
      </c>
      <c r="J31" s="2" t="s">
        <v>34</v>
      </c>
      <c r="K31" s="2" t="s">
        <v>175</v>
      </c>
      <c r="L31" s="2" t="s">
        <v>176</v>
      </c>
      <c r="M31" s="2" t="s">
        <v>102</v>
      </c>
      <c r="N31" s="2" t="s">
        <v>38</v>
      </c>
      <c r="O31" s="2" t="s">
        <v>159</v>
      </c>
      <c r="P31" s="2" t="s">
        <v>104</v>
      </c>
      <c r="Q31" s="2" t="s">
        <v>160</v>
      </c>
      <c r="R31" s="2" t="s">
        <v>40</v>
      </c>
      <c r="S31" s="2" t="s">
        <v>235</v>
      </c>
      <c r="T31" s="2" t="s">
        <v>181</v>
      </c>
      <c r="U31" s="2" t="s">
        <v>236</v>
      </c>
      <c r="V31" s="2" t="s">
        <v>237</v>
      </c>
      <c r="W31" s="2" t="s">
        <v>110</v>
      </c>
      <c r="X31" s="2" t="s">
        <v>238</v>
      </c>
      <c r="Y31" s="2" t="s">
        <v>202</v>
      </c>
      <c r="AA31" t="str">
        <f t="shared" si="0"/>
        <v>2026-06</v>
      </c>
      <c r="AB31" t="str">
        <f t="shared" si="1"/>
        <v>H1_2026</v>
      </c>
      <c r="AC31">
        <f t="shared" si="2"/>
        <v>1190.72</v>
      </c>
      <c r="AD31">
        <f t="shared" si="3"/>
        <v>80</v>
      </c>
      <c r="AE31">
        <f t="shared" si="4"/>
        <v>-2558809.2799999998</v>
      </c>
      <c r="AF31" t="str">
        <f t="shared" si="5"/>
        <v>FOC</v>
      </c>
    </row>
    <row r="32" spans="1:32" ht="17.25" thickBot="1" x14ac:dyDescent="0.35">
      <c r="A32" s="2" t="s">
        <v>141</v>
      </c>
      <c r="B32" s="2" t="s">
        <v>27</v>
      </c>
      <c r="C32" s="2" t="s">
        <v>28</v>
      </c>
      <c r="D32" s="2" t="s">
        <v>97</v>
      </c>
      <c r="E32" s="2" t="s">
        <v>191</v>
      </c>
      <c r="F32" s="2" t="s">
        <v>99</v>
      </c>
      <c r="G32" s="2" t="s">
        <v>32</v>
      </c>
      <c r="H32" s="1"/>
      <c r="I32" s="2" t="s">
        <v>33</v>
      </c>
      <c r="J32" s="2" t="s">
        <v>34</v>
      </c>
      <c r="K32" s="2" t="s">
        <v>175</v>
      </c>
      <c r="L32" s="2" t="s">
        <v>176</v>
      </c>
      <c r="M32" s="2" t="s">
        <v>102</v>
      </c>
      <c r="N32" s="2" t="s">
        <v>38</v>
      </c>
      <c r="O32" s="2" t="s">
        <v>167</v>
      </c>
      <c r="P32" s="2" t="s">
        <v>178</v>
      </c>
      <c r="Q32" s="2" t="s">
        <v>239</v>
      </c>
      <c r="R32" s="2" t="s">
        <v>40</v>
      </c>
      <c r="S32" s="2" t="s">
        <v>240</v>
      </c>
      <c r="T32" s="2" t="s">
        <v>181</v>
      </c>
      <c r="U32" s="2" t="s">
        <v>241</v>
      </c>
      <c r="V32" s="2" t="s">
        <v>242</v>
      </c>
      <c r="W32" s="1"/>
      <c r="X32" s="2" t="s">
        <v>243</v>
      </c>
      <c r="Y32" s="2" t="s">
        <v>202</v>
      </c>
      <c r="AA32" t="str">
        <f t="shared" si="0"/>
        <v>2026-06</v>
      </c>
      <c r="AB32" t="str">
        <f t="shared" si="1"/>
        <v>H1_2026</v>
      </c>
      <c r="AC32">
        <f t="shared" si="2"/>
        <v>42234838.399999999</v>
      </c>
      <c r="AD32">
        <f t="shared" si="3"/>
        <v>800</v>
      </c>
      <c r="AE32">
        <f t="shared" si="4"/>
        <v>16634838.4</v>
      </c>
      <c r="AF32" t="str">
        <f t="shared" si="5"/>
        <v>Paid</v>
      </c>
    </row>
    <row r="33" spans="1:32" ht="17.25" thickBot="1" x14ac:dyDescent="0.35">
      <c r="A33" s="2" t="s">
        <v>244</v>
      </c>
      <c r="B33" s="2" t="s">
        <v>27</v>
      </c>
      <c r="C33" s="2" t="s">
        <v>28</v>
      </c>
      <c r="D33" s="2" t="s">
        <v>97</v>
      </c>
      <c r="E33" s="2" t="s">
        <v>191</v>
      </c>
      <c r="F33" s="2" t="s">
        <v>99</v>
      </c>
      <c r="G33" s="2" t="s">
        <v>32</v>
      </c>
      <c r="H33" s="1"/>
      <c r="I33" s="2" t="s">
        <v>33</v>
      </c>
      <c r="J33" s="2" t="s">
        <v>34</v>
      </c>
      <c r="K33" s="2" t="s">
        <v>245</v>
      </c>
      <c r="L33" s="2" t="s">
        <v>246</v>
      </c>
      <c r="M33" s="2" t="s">
        <v>102</v>
      </c>
      <c r="N33" s="2" t="s">
        <v>38</v>
      </c>
      <c r="O33" s="2" t="s">
        <v>131</v>
      </c>
      <c r="P33" s="2" t="s">
        <v>104</v>
      </c>
      <c r="Q33" s="2" t="s">
        <v>186</v>
      </c>
      <c r="R33" s="2" t="s">
        <v>40</v>
      </c>
      <c r="S33" s="2" t="s">
        <v>247</v>
      </c>
      <c r="T33" s="2" t="s">
        <v>248</v>
      </c>
      <c r="U33" s="2" t="s">
        <v>249</v>
      </c>
      <c r="V33" s="2" t="s">
        <v>250</v>
      </c>
      <c r="W33" s="2" t="s">
        <v>110</v>
      </c>
      <c r="X33" s="2" t="s">
        <v>251</v>
      </c>
      <c r="Y33" s="2" t="s">
        <v>202</v>
      </c>
      <c r="AA33" t="str">
        <f t="shared" si="0"/>
        <v>2026-06</v>
      </c>
      <c r="AB33" t="str">
        <f t="shared" si="1"/>
        <v>H1_2026</v>
      </c>
      <c r="AC33">
        <f t="shared" si="2"/>
        <v>595.36</v>
      </c>
      <c r="AD33">
        <f t="shared" si="3"/>
        <v>40</v>
      </c>
      <c r="AE33">
        <f t="shared" si="4"/>
        <v>-739404.64</v>
      </c>
      <c r="AF33" t="str">
        <f t="shared" si="5"/>
        <v>FOC</v>
      </c>
    </row>
    <row r="34" spans="1:32" ht="17.25" thickBot="1" x14ac:dyDescent="0.35">
      <c r="A34" s="2" t="s">
        <v>252</v>
      </c>
      <c r="B34" s="2" t="s">
        <v>27</v>
      </c>
      <c r="C34" s="2" t="s">
        <v>28</v>
      </c>
      <c r="D34" s="2" t="s">
        <v>97</v>
      </c>
      <c r="E34" s="2" t="s">
        <v>191</v>
      </c>
      <c r="F34" s="2" t="s">
        <v>99</v>
      </c>
      <c r="G34" s="2" t="s">
        <v>32</v>
      </c>
      <c r="H34" s="1"/>
      <c r="I34" s="2" t="s">
        <v>33</v>
      </c>
      <c r="J34" s="2" t="s">
        <v>34</v>
      </c>
      <c r="K34" s="2" t="s">
        <v>245</v>
      </c>
      <c r="L34" s="2" t="s">
        <v>246</v>
      </c>
      <c r="M34" s="2" t="s">
        <v>102</v>
      </c>
      <c r="N34" s="2" t="s">
        <v>38</v>
      </c>
      <c r="O34" s="2" t="s">
        <v>177</v>
      </c>
      <c r="P34" s="2" t="s">
        <v>253</v>
      </c>
      <c r="Q34" s="2" t="s">
        <v>254</v>
      </c>
      <c r="R34" s="2" t="s">
        <v>40</v>
      </c>
      <c r="S34" s="2" t="s">
        <v>255</v>
      </c>
      <c r="T34" s="2" t="s">
        <v>248</v>
      </c>
      <c r="U34" s="2" t="s">
        <v>256</v>
      </c>
      <c r="V34" s="2" t="s">
        <v>257</v>
      </c>
      <c r="W34" s="1"/>
      <c r="X34" s="2" t="s">
        <v>258</v>
      </c>
      <c r="Y34" s="2" t="s">
        <v>202</v>
      </c>
      <c r="AA34" t="str">
        <f t="shared" si="0"/>
        <v>2026-06</v>
      </c>
      <c r="AB34" t="str">
        <f t="shared" si="1"/>
        <v>H1_2026</v>
      </c>
      <c r="AC34">
        <f t="shared" si="2"/>
        <v>9216172.8000000007</v>
      </c>
      <c r="AD34">
        <f t="shared" si="3"/>
        <v>400</v>
      </c>
      <c r="AE34">
        <f t="shared" si="4"/>
        <v>1816172.8</v>
      </c>
      <c r="AF34" t="str">
        <f t="shared" si="5"/>
        <v>Paid</v>
      </c>
    </row>
    <row r="35" spans="1:32" ht="27.75" thickBot="1" x14ac:dyDescent="0.35">
      <c r="A35" s="2" t="s">
        <v>259</v>
      </c>
      <c r="B35" s="2" t="s">
        <v>27</v>
      </c>
      <c r="C35" s="2" t="s">
        <v>28</v>
      </c>
      <c r="D35" s="2" t="s">
        <v>97</v>
      </c>
      <c r="E35" s="2" t="s">
        <v>260</v>
      </c>
      <c r="F35" s="2" t="s">
        <v>99</v>
      </c>
      <c r="G35" s="2" t="s">
        <v>32</v>
      </c>
      <c r="H35" s="1"/>
      <c r="I35" s="2" t="s">
        <v>33</v>
      </c>
      <c r="J35" s="2" t="s">
        <v>34</v>
      </c>
      <c r="K35" s="2" t="s">
        <v>261</v>
      </c>
      <c r="L35" s="2" t="s">
        <v>262</v>
      </c>
      <c r="M35" s="2" t="s">
        <v>263</v>
      </c>
      <c r="N35" s="2" t="s">
        <v>38</v>
      </c>
      <c r="O35" s="2" t="s">
        <v>44</v>
      </c>
      <c r="P35" s="2" t="s">
        <v>264</v>
      </c>
      <c r="Q35" s="2" t="s">
        <v>265</v>
      </c>
      <c r="R35" s="2" t="s">
        <v>40</v>
      </c>
      <c r="S35" s="2" t="s">
        <v>266</v>
      </c>
      <c r="T35" s="2" t="s">
        <v>267</v>
      </c>
      <c r="U35" s="2" t="s">
        <v>268</v>
      </c>
      <c r="V35" s="2" t="s">
        <v>269</v>
      </c>
      <c r="W35" s="1"/>
      <c r="X35" s="2" t="s">
        <v>270</v>
      </c>
      <c r="Y35" s="2" t="s">
        <v>271</v>
      </c>
      <c r="AA35" t="str">
        <f t="shared" si="0"/>
        <v>2026-06</v>
      </c>
      <c r="AB35" t="str">
        <f t="shared" si="1"/>
        <v>H1_2026</v>
      </c>
      <c r="AC35">
        <f t="shared" si="2"/>
        <v>18389.28</v>
      </c>
      <c r="AD35">
        <f t="shared" si="3"/>
        <v>2</v>
      </c>
      <c r="AE35">
        <f t="shared" si="4"/>
        <v>5189.28</v>
      </c>
      <c r="AF35" t="str">
        <f t="shared" si="5"/>
        <v>Paid</v>
      </c>
    </row>
    <row r="36" spans="1:32" ht="17.25" thickBot="1" x14ac:dyDescent="0.35">
      <c r="A36" s="2" t="s">
        <v>272</v>
      </c>
      <c r="B36" s="2" t="s">
        <v>27</v>
      </c>
      <c r="C36" s="2" t="s">
        <v>28</v>
      </c>
      <c r="D36" s="2" t="s">
        <v>97</v>
      </c>
      <c r="E36" s="2" t="s">
        <v>260</v>
      </c>
      <c r="F36" s="2" t="s">
        <v>99</v>
      </c>
      <c r="G36" s="2" t="s">
        <v>32</v>
      </c>
      <c r="H36" s="1"/>
      <c r="I36" s="2" t="s">
        <v>33</v>
      </c>
      <c r="J36" s="2" t="s">
        <v>34</v>
      </c>
      <c r="K36" s="2" t="s">
        <v>273</v>
      </c>
      <c r="L36" s="2" t="s">
        <v>274</v>
      </c>
      <c r="M36" s="2" t="s">
        <v>263</v>
      </c>
      <c r="N36" s="2" t="s">
        <v>38</v>
      </c>
      <c r="O36" s="2" t="s">
        <v>275</v>
      </c>
      <c r="P36" s="2" t="s">
        <v>264</v>
      </c>
      <c r="Q36" s="2" t="s">
        <v>276</v>
      </c>
      <c r="R36" s="2" t="s">
        <v>40</v>
      </c>
      <c r="S36" s="2" t="s">
        <v>277</v>
      </c>
      <c r="T36" s="2" t="s">
        <v>267</v>
      </c>
      <c r="U36" s="2" t="s">
        <v>278</v>
      </c>
      <c r="V36" s="2" t="s">
        <v>279</v>
      </c>
      <c r="W36" s="1"/>
      <c r="X36" s="2" t="s">
        <v>270</v>
      </c>
      <c r="Y36" s="2" t="s">
        <v>271</v>
      </c>
      <c r="AA36" t="str">
        <f t="shared" si="0"/>
        <v>2026-06</v>
      </c>
      <c r="AB36" t="str">
        <f t="shared" si="1"/>
        <v>H1_2026</v>
      </c>
      <c r="AC36">
        <f t="shared" si="2"/>
        <v>5332891.2</v>
      </c>
      <c r="AD36">
        <f t="shared" si="3"/>
        <v>580</v>
      </c>
      <c r="AE36">
        <f t="shared" si="4"/>
        <v>1504891.2</v>
      </c>
      <c r="AF36" t="str">
        <f t="shared" si="5"/>
        <v>Paid</v>
      </c>
    </row>
    <row r="37" spans="1:32" ht="17.25" thickBot="1" x14ac:dyDescent="0.35">
      <c r="A37" s="2" t="s">
        <v>280</v>
      </c>
      <c r="B37" s="2" t="s">
        <v>27</v>
      </c>
      <c r="C37" s="2" t="s">
        <v>28</v>
      </c>
      <c r="D37" s="2" t="s">
        <v>97</v>
      </c>
      <c r="E37" s="2" t="s">
        <v>260</v>
      </c>
      <c r="F37" s="2" t="s">
        <v>99</v>
      </c>
      <c r="G37" s="2" t="s">
        <v>32</v>
      </c>
      <c r="H37" s="1"/>
      <c r="I37" s="2" t="s">
        <v>33</v>
      </c>
      <c r="J37" s="2" t="s">
        <v>34</v>
      </c>
      <c r="K37" s="2" t="s">
        <v>281</v>
      </c>
      <c r="L37" s="2" t="s">
        <v>282</v>
      </c>
      <c r="M37" s="2" t="s">
        <v>263</v>
      </c>
      <c r="N37" s="2" t="s">
        <v>38</v>
      </c>
      <c r="O37" s="2" t="s">
        <v>283</v>
      </c>
      <c r="P37" s="2" t="s">
        <v>284</v>
      </c>
      <c r="Q37" s="2" t="s">
        <v>285</v>
      </c>
      <c r="R37" s="2" t="s">
        <v>40</v>
      </c>
      <c r="S37" s="2" t="s">
        <v>286</v>
      </c>
      <c r="T37" s="2" t="s">
        <v>287</v>
      </c>
      <c r="U37" s="2" t="s">
        <v>288</v>
      </c>
      <c r="V37" s="2" t="s">
        <v>289</v>
      </c>
      <c r="W37" s="1"/>
      <c r="X37" s="2" t="s">
        <v>290</v>
      </c>
      <c r="Y37" s="2" t="s">
        <v>271</v>
      </c>
      <c r="AA37" t="str">
        <f t="shared" si="0"/>
        <v>2026-06</v>
      </c>
      <c r="AB37" t="str">
        <f t="shared" si="1"/>
        <v>H1_2026</v>
      </c>
      <c r="AC37">
        <f t="shared" si="2"/>
        <v>6992936.2999999998</v>
      </c>
      <c r="AD37">
        <f t="shared" si="3"/>
        <v>610</v>
      </c>
      <c r="AE37">
        <f t="shared" si="4"/>
        <v>2722936.3</v>
      </c>
      <c r="AF37" t="str">
        <f t="shared" si="5"/>
        <v>Paid</v>
      </c>
    </row>
    <row r="38" spans="1:32" ht="17.25" thickBot="1" x14ac:dyDescent="0.35">
      <c r="A38" s="2" t="s">
        <v>291</v>
      </c>
      <c r="B38" s="2" t="s">
        <v>27</v>
      </c>
      <c r="C38" s="2" t="s">
        <v>28</v>
      </c>
      <c r="D38" s="2" t="s">
        <v>97</v>
      </c>
      <c r="E38" s="2" t="s">
        <v>260</v>
      </c>
      <c r="F38" s="2" t="s">
        <v>99</v>
      </c>
      <c r="G38" s="2" t="s">
        <v>32</v>
      </c>
      <c r="H38" s="1"/>
      <c r="I38" s="2" t="s">
        <v>33</v>
      </c>
      <c r="J38" s="2" t="s">
        <v>34</v>
      </c>
      <c r="K38" s="2" t="s">
        <v>292</v>
      </c>
      <c r="L38" s="2" t="s">
        <v>293</v>
      </c>
      <c r="M38" s="2" t="s">
        <v>263</v>
      </c>
      <c r="N38" s="2" t="s">
        <v>38</v>
      </c>
      <c r="O38" s="2" t="s">
        <v>294</v>
      </c>
      <c r="P38" s="2" t="s">
        <v>284</v>
      </c>
      <c r="Q38" s="2" t="s">
        <v>295</v>
      </c>
      <c r="R38" s="2" t="s">
        <v>40</v>
      </c>
      <c r="S38" s="2" t="s">
        <v>296</v>
      </c>
      <c r="T38" s="2" t="s">
        <v>297</v>
      </c>
      <c r="U38" s="2" t="s">
        <v>298</v>
      </c>
      <c r="V38" s="2" t="s">
        <v>299</v>
      </c>
      <c r="W38" s="1"/>
      <c r="X38" s="2" t="s">
        <v>300</v>
      </c>
      <c r="Y38" s="2" t="s">
        <v>271</v>
      </c>
      <c r="AA38" t="str">
        <f t="shared" si="0"/>
        <v>2026-06</v>
      </c>
      <c r="AB38" t="str">
        <f t="shared" si="1"/>
        <v>H1_2026</v>
      </c>
      <c r="AC38">
        <f t="shared" si="2"/>
        <v>29805958</v>
      </c>
      <c r="AD38">
        <f t="shared" si="3"/>
        <v>2600</v>
      </c>
      <c r="AE38">
        <f t="shared" si="4"/>
        <v>9005958</v>
      </c>
      <c r="AF38" t="str">
        <f t="shared" si="5"/>
        <v>Paid</v>
      </c>
    </row>
    <row r="39" spans="1:32" ht="27.75" thickBot="1" x14ac:dyDescent="0.35">
      <c r="A39" s="2" t="s">
        <v>301</v>
      </c>
      <c r="B39" s="2" t="s">
        <v>27</v>
      </c>
      <c r="C39" s="2" t="s">
        <v>28</v>
      </c>
      <c r="D39" s="2" t="s">
        <v>97</v>
      </c>
      <c r="E39" s="2" t="s">
        <v>260</v>
      </c>
      <c r="F39" s="2" t="s">
        <v>99</v>
      </c>
      <c r="G39" s="2" t="s">
        <v>32</v>
      </c>
      <c r="H39" s="1"/>
      <c r="I39" s="2" t="s">
        <v>33</v>
      </c>
      <c r="J39" s="2" t="s">
        <v>34</v>
      </c>
      <c r="K39" s="2" t="s">
        <v>302</v>
      </c>
      <c r="L39" s="2" t="s">
        <v>303</v>
      </c>
      <c r="M39" s="2" t="s">
        <v>304</v>
      </c>
      <c r="N39" s="2" t="s">
        <v>38</v>
      </c>
      <c r="O39" s="2" t="s">
        <v>305</v>
      </c>
      <c r="P39" s="2" t="s">
        <v>306</v>
      </c>
      <c r="Q39" s="2" t="s">
        <v>307</v>
      </c>
      <c r="R39" s="2" t="s">
        <v>40</v>
      </c>
      <c r="S39" s="2" t="s">
        <v>308</v>
      </c>
      <c r="T39" s="2" t="s">
        <v>309</v>
      </c>
      <c r="U39" s="2" t="s">
        <v>310</v>
      </c>
      <c r="V39" s="2" t="s">
        <v>311</v>
      </c>
      <c r="W39" s="1"/>
      <c r="X39" s="2" t="s">
        <v>312</v>
      </c>
      <c r="Y39" s="2" t="s">
        <v>271</v>
      </c>
      <c r="AA39" t="str">
        <f t="shared" si="0"/>
        <v>2026-06</v>
      </c>
      <c r="AB39" t="str">
        <f t="shared" si="1"/>
        <v>H1_2026</v>
      </c>
      <c r="AC39">
        <f t="shared" si="2"/>
        <v>86232609.049999997</v>
      </c>
      <c r="AD39">
        <f t="shared" si="3"/>
        <v>9770</v>
      </c>
      <c r="AE39">
        <f t="shared" si="4"/>
        <v>10417409.050000001</v>
      </c>
      <c r="AF39" t="str">
        <f t="shared" si="5"/>
        <v>Paid</v>
      </c>
    </row>
    <row r="40" spans="1:32" ht="27.75" thickBot="1" x14ac:dyDescent="0.35">
      <c r="A40" s="2" t="s">
        <v>313</v>
      </c>
      <c r="B40" s="2" t="s">
        <v>27</v>
      </c>
      <c r="C40" s="2" t="s">
        <v>28</v>
      </c>
      <c r="D40" s="2" t="s">
        <v>97</v>
      </c>
      <c r="E40" s="2" t="s">
        <v>260</v>
      </c>
      <c r="F40" s="2" t="s">
        <v>99</v>
      </c>
      <c r="G40" s="2" t="s">
        <v>32</v>
      </c>
      <c r="H40" s="1"/>
      <c r="I40" s="2" t="s">
        <v>33</v>
      </c>
      <c r="J40" s="2" t="s">
        <v>34</v>
      </c>
      <c r="K40" s="2" t="s">
        <v>314</v>
      </c>
      <c r="L40" s="2" t="s">
        <v>315</v>
      </c>
      <c r="M40" s="2" t="s">
        <v>304</v>
      </c>
      <c r="N40" s="2" t="s">
        <v>38</v>
      </c>
      <c r="O40" s="2" t="s">
        <v>316</v>
      </c>
      <c r="P40" s="2" t="s">
        <v>317</v>
      </c>
      <c r="Q40" s="2" t="s">
        <v>318</v>
      </c>
      <c r="R40" s="2" t="s">
        <v>40</v>
      </c>
      <c r="S40" s="2" t="s">
        <v>319</v>
      </c>
      <c r="T40" s="2" t="s">
        <v>309</v>
      </c>
      <c r="U40" s="2" t="s">
        <v>320</v>
      </c>
      <c r="V40" s="2" t="s">
        <v>321</v>
      </c>
      <c r="W40" s="1"/>
      <c r="X40" s="2" t="s">
        <v>322</v>
      </c>
      <c r="Y40" s="2" t="s">
        <v>271</v>
      </c>
      <c r="AA40" t="str">
        <f t="shared" si="0"/>
        <v>2026-06</v>
      </c>
      <c r="AB40" t="str">
        <f t="shared" si="1"/>
        <v>H1_2026</v>
      </c>
      <c r="AC40">
        <f t="shared" si="2"/>
        <v>2568163.15</v>
      </c>
      <c r="AD40">
        <f t="shared" si="3"/>
        <v>290</v>
      </c>
      <c r="AE40">
        <f t="shared" si="4"/>
        <v>317763.15000000002</v>
      </c>
      <c r="AF40" t="str">
        <f t="shared" si="5"/>
        <v>Paid</v>
      </c>
    </row>
    <row r="41" spans="1:32" ht="17.25" thickBot="1" x14ac:dyDescent="0.35">
      <c r="A41" s="2" t="s">
        <v>323</v>
      </c>
      <c r="B41" s="2" t="s">
        <v>27</v>
      </c>
      <c r="C41" s="2" t="s">
        <v>28</v>
      </c>
      <c r="D41" s="2" t="s">
        <v>97</v>
      </c>
      <c r="E41" s="2" t="s">
        <v>260</v>
      </c>
      <c r="F41" s="2" t="s">
        <v>99</v>
      </c>
      <c r="G41" s="2" t="s">
        <v>32</v>
      </c>
      <c r="H41" s="1"/>
      <c r="I41" s="2" t="s">
        <v>33</v>
      </c>
      <c r="J41" s="2" t="s">
        <v>34</v>
      </c>
      <c r="K41" s="2" t="s">
        <v>324</v>
      </c>
      <c r="L41" s="2" t="s">
        <v>325</v>
      </c>
      <c r="M41" s="2" t="s">
        <v>304</v>
      </c>
      <c r="N41" s="2" t="s">
        <v>38</v>
      </c>
      <c r="O41" s="2" t="s">
        <v>326</v>
      </c>
      <c r="P41" s="2" t="s">
        <v>327</v>
      </c>
      <c r="Q41" s="2" t="s">
        <v>328</v>
      </c>
      <c r="R41" s="2" t="s">
        <v>40</v>
      </c>
      <c r="S41" s="2" t="s">
        <v>329</v>
      </c>
      <c r="T41" s="2" t="s">
        <v>330</v>
      </c>
      <c r="U41" s="2" t="s">
        <v>331</v>
      </c>
      <c r="V41" s="2" t="s">
        <v>332</v>
      </c>
      <c r="W41" s="1"/>
      <c r="X41" s="2" t="s">
        <v>333</v>
      </c>
      <c r="Y41" s="2" t="s">
        <v>271</v>
      </c>
      <c r="AA41" t="str">
        <f t="shared" si="0"/>
        <v>2026-06</v>
      </c>
      <c r="AB41" t="str">
        <f t="shared" si="1"/>
        <v>H1_2026</v>
      </c>
      <c r="AC41">
        <f t="shared" si="2"/>
        <v>132542356.45</v>
      </c>
      <c r="AD41">
        <f t="shared" si="3"/>
        <v>10570</v>
      </c>
      <c r="AE41">
        <f t="shared" si="4"/>
        <v>73641076.450000003</v>
      </c>
      <c r="AF41" t="str">
        <f t="shared" si="5"/>
        <v>Paid</v>
      </c>
    </row>
    <row r="42" spans="1:32" ht="17.25" thickBot="1" x14ac:dyDescent="0.35">
      <c r="A42" s="2" t="s">
        <v>131</v>
      </c>
      <c r="B42" s="2" t="s">
        <v>27</v>
      </c>
      <c r="C42" s="2" t="s">
        <v>28</v>
      </c>
      <c r="D42" s="2" t="s">
        <v>97</v>
      </c>
      <c r="E42" s="2" t="s">
        <v>260</v>
      </c>
      <c r="F42" s="2" t="s">
        <v>99</v>
      </c>
      <c r="G42" s="2" t="s">
        <v>32</v>
      </c>
      <c r="H42" s="1"/>
      <c r="I42" s="2" t="s">
        <v>33</v>
      </c>
      <c r="J42" s="2" t="s">
        <v>34</v>
      </c>
      <c r="K42" s="2" t="s">
        <v>334</v>
      </c>
      <c r="L42" s="2" t="s">
        <v>335</v>
      </c>
      <c r="M42" s="2" t="s">
        <v>304</v>
      </c>
      <c r="N42" s="2" t="s">
        <v>38</v>
      </c>
      <c r="O42" s="2" t="s">
        <v>149</v>
      </c>
      <c r="P42" s="2" t="s">
        <v>306</v>
      </c>
      <c r="Q42" s="2" t="s">
        <v>336</v>
      </c>
      <c r="R42" s="2" t="s">
        <v>40</v>
      </c>
      <c r="S42" s="2" t="s">
        <v>337</v>
      </c>
      <c r="T42" s="2" t="s">
        <v>309</v>
      </c>
      <c r="U42" s="2" t="s">
        <v>338</v>
      </c>
      <c r="V42" s="2" t="s">
        <v>339</v>
      </c>
      <c r="W42" s="1"/>
      <c r="X42" s="2" t="s">
        <v>312</v>
      </c>
      <c r="Y42" s="2" t="s">
        <v>271</v>
      </c>
      <c r="AA42" t="str">
        <f t="shared" si="0"/>
        <v>2026-06</v>
      </c>
      <c r="AB42" t="str">
        <f t="shared" si="1"/>
        <v>H1_2026</v>
      </c>
      <c r="AC42">
        <f t="shared" si="2"/>
        <v>2647879.5</v>
      </c>
      <c r="AD42">
        <f t="shared" si="3"/>
        <v>300</v>
      </c>
      <c r="AE42">
        <f t="shared" si="4"/>
        <v>319879.5</v>
      </c>
      <c r="AF42" t="str">
        <f t="shared" si="5"/>
        <v>Paid</v>
      </c>
    </row>
    <row r="43" spans="1:32" ht="17.25" thickBot="1" x14ac:dyDescent="0.35">
      <c r="A43" s="2" t="s">
        <v>340</v>
      </c>
      <c r="B43" s="2" t="s">
        <v>27</v>
      </c>
      <c r="C43" s="2" t="s">
        <v>28</v>
      </c>
      <c r="D43" s="2" t="s">
        <v>97</v>
      </c>
      <c r="E43" s="2" t="s">
        <v>260</v>
      </c>
      <c r="F43" s="2" t="s">
        <v>99</v>
      </c>
      <c r="G43" s="2" t="s">
        <v>32</v>
      </c>
      <c r="H43" s="1"/>
      <c r="I43" s="2" t="s">
        <v>33</v>
      </c>
      <c r="J43" s="2" t="s">
        <v>34</v>
      </c>
      <c r="K43" s="2" t="s">
        <v>341</v>
      </c>
      <c r="L43" s="2" t="s">
        <v>342</v>
      </c>
      <c r="M43" s="2" t="s">
        <v>304</v>
      </c>
      <c r="N43" s="2" t="s">
        <v>38</v>
      </c>
      <c r="O43" s="2" t="s">
        <v>343</v>
      </c>
      <c r="P43" s="2" t="s">
        <v>344</v>
      </c>
      <c r="Q43" s="2" t="s">
        <v>345</v>
      </c>
      <c r="R43" s="2" t="s">
        <v>40</v>
      </c>
      <c r="S43" s="2" t="s">
        <v>346</v>
      </c>
      <c r="T43" s="2" t="s">
        <v>347</v>
      </c>
      <c r="U43" s="2" t="s">
        <v>348</v>
      </c>
      <c r="V43" s="2" t="s">
        <v>349</v>
      </c>
      <c r="W43" s="1"/>
      <c r="X43" s="2" t="s">
        <v>350</v>
      </c>
      <c r="Y43" s="2" t="s">
        <v>271</v>
      </c>
      <c r="AA43" t="str">
        <f t="shared" si="0"/>
        <v>2026-06</v>
      </c>
      <c r="AB43" t="str">
        <f t="shared" si="1"/>
        <v>H1_2026</v>
      </c>
      <c r="AC43">
        <f t="shared" si="2"/>
        <v>7532679.3499999996</v>
      </c>
      <c r="AD43">
        <f t="shared" si="3"/>
        <v>670</v>
      </c>
      <c r="AE43">
        <f t="shared" si="4"/>
        <v>852779.35</v>
      </c>
      <c r="AF43" t="str">
        <f t="shared" si="5"/>
        <v>Paid</v>
      </c>
    </row>
    <row r="44" spans="1:32" ht="27.75" thickBot="1" x14ac:dyDescent="0.35">
      <c r="A44" s="2" t="s">
        <v>351</v>
      </c>
      <c r="B44" s="2" t="s">
        <v>27</v>
      </c>
      <c r="C44" s="2" t="s">
        <v>28</v>
      </c>
      <c r="D44" s="2" t="s">
        <v>97</v>
      </c>
      <c r="E44" s="2" t="s">
        <v>260</v>
      </c>
      <c r="F44" s="2" t="s">
        <v>99</v>
      </c>
      <c r="G44" s="2" t="s">
        <v>32</v>
      </c>
      <c r="H44" s="1"/>
      <c r="I44" s="2" t="s">
        <v>33</v>
      </c>
      <c r="J44" s="2" t="s">
        <v>34</v>
      </c>
      <c r="K44" s="2" t="s">
        <v>352</v>
      </c>
      <c r="L44" s="2" t="s">
        <v>353</v>
      </c>
      <c r="M44" s="2" t="s">
        <v>304</v>
      </c>
      <c r="N44" s="2" t="s">
        <v>38</v>
      </c>
      <c r="O44" s="2" t="s">
        <v>354</v>
      </c>
      <c r="P44" s="2" t="s">
        <v>306</v>
      </c>
      <c r="Q44" s="2" t="s">
        <v>355</v>
      </c>
      <c r="R44" s="2" t="s">
        <v>40</v>
      </c>
      <c r="S44" s="2" t="s">
        <v>356</v>
      </c>
      <c r="T44" s="2" t="s">
        <v>309</v>
      </c>
      <c r="U44" s="2" t="s">
        <v>357</v>
      </c>
      <c r="V44" s="2" t="s">
        <v>358</v>
      </c>
      <c r="W44" s="1"/>
      <c r="X44" s="2" t="s">
        <v>312</v>
      </c>
      <c r="Y44" s="2" t="s">
        <v>271</v>
      </c>
      <c r="AA44" t="str">
        <f t="shared" si="0"/>
        <v>2026-06</v>
      </c>
      <c r="AB44" t="str">
        <f t="shared" si="1"/>
        <v>H1_2026</v>
      </c>
      <c r="AC44">
        <f t="shared" si="2"/>
        <v>6266648.1500000004</v>
      </c>
      <c r="AD44">
        <f t="shared" si="3"/>
        <v>710</v>
      </c>
      <c r="AE44">
        <f t="shared" si="4"/>
        <v>757048.15</v>
      </c>
      <c r="AF44" t="str">
        <f t="shared" si="5"/>
        <v>Paid</v>
      </c>
    </row>
    <row r="45" spans="1:32" ht="27.75" thickBot="1" x14ac:dyDescent="0.35">
      <c r="A45" s="2" t="s">
        <v>359</v>
      </c>
      <c r="B45" s="2" t="s">
        <v>27</v>
      </c>
      <c r="C45" s="2" t="s">
        <v>28</v>
      </c>
      <c r="D45" s="2" t="s">
        <v>97</v>
      </c>
      <c r="E45" s="2" t="s">
        <v>260</v>
      </c>
      <c r="F45" s="2" t="s">
        <v>99</v>
      </c>
      <c r="G45" s="2" t="s">
        <v>32</v>
      </c>
      <c r="H45" s="1"/>
      <c r="I45" s="2" t="s">
        <v>33</v>
      </c>
      <c r="J45" s="2" t="s">
        <v>34</v>
      </c>
      <c r="K45" s="2" t="s">
        <v>360</v>
      </c>
      <c r="L45" s="2" t="s">
        <v>361</v>
      </c>
      <c r="M45" s="2" t="s">
        <v>304</v>
      </c>
      <c r="N45" s="2" t="s">
        <v>38</v>
      </c>
      <c r="O45" s="2" t="s">
        <v>362</v>
      </c>
      <c r="P45" s="2" t="s">
        <v>306</v>
      </c>
      <c r="Q45" s="2" t="s">
        <v>363</v>
      </c>
      <c r="R45" s="2" t="s">
        <v>40</v>
      </c>
      <c r="S45" s="2" t="s">
        <v>364</v>
      </c>
      <c r="T45" s="2" t="s">
        <v>309</v>
      </c>
      <c r="U45" s="2" t="s">
        <v>365</v>
      </c>
      <c r="V45" s="2" t="s">
        <v>366</v>
      </c>
      <c r="W45" s="1"/>
      <c r="X45" s="2" t="s">
        <v>312</v>
      </c>
      <c r="Y45" s="2" t="s">
        <v>271</v>
      </c>
      <c r="AA45" t="str">
        <f t="shared" si="0"/>
        <v>2026-06</v>
      </c>
      <c r="AB45" t="str">
        <f t="shared" si="1"/>
        <v>H1_2026</v>
      </c>
      <c r="AC45">
        <f t="shared" si="2"/>
        <v>2824404.8</v>
      </c>
      <c r="AD45">
        <f t="shared" si="3"/>
        <v>320</v>
      </c>
      <c r="AE45">
        <f t="shared" si="4"/>
        <v>341204.8</v>
      </c>
      <c r="AF45" t="str">
        <f t="shared" si="5"/>
        <v>Paid</v>
      </c>
    </row>
    <row r="46" spans="1:32" ht="17.25" thickBot="1" x14ac:dyDescent="0.35">
      <c r="A46" s="2" t="s">
        <v>367</v>
      </c>
      <c r="B46" s="2" t="s">
        <v>27</v>
      </c>
      <c r="C46" s="2" t="s">
        <v>28</v>
      </c>
      <c r="D46" s="2" t="s">
        <v>97</v>
      </c>
      <c r="E46" s="2" t="s">
        <v>260</v>
      </c>
      <c r="F46" s="2" t="s">
        <v>99</v>
      </c>
      <c r="G46" s="2" t="s">
        <v>32</v>
      </c>
      <c r="H46" s="1"/>
      <c r="I46" s="2" t="s">
        <v>33</v>
      </c>
      <c r="J46" s="2" t="s">
        <v>34</v>
      </c>
      <c r="K46" s="2" t="s">
        <v>368</v>
      </c>
      <c r="L46" s="2" t="s">
        <v>369</v>
      </c>
      <c r="M46" s="2" t="s">
        <v>304</v>
      </c>
      <c r="N46" s="2" t="s">
        <v>38</v>
      </c>
      <c r="O46" s="2" t="s">
        <v>370</v>
      </c>
      <c r="P46" s="2" t="s">
        <v>371</v>
      </c>
      <c r="Q46" s="2" t="s">
        <v>372</v>
      </c>
      <c r="R46" s="2" t="s">
        <v>40</v>
      </c>
      <c r="S46" s="2" t="s">
        <v>373</v>
      </c>
      <c r="T46" s="2" t="s">
        <v>374</v>
      </c>
      <c r="U46" s="2" t="s">
        <v>375</v>
      </c>
      <c r="V46" s="2" t="s">
        <v>376</v>
      </c>
      <c r="W46" s="1"/>
      <c r="X46" s="2" t="s">
        <v>377</v>
      </c>
      <c r="Y46" s="2" t="s">
        <v>271</v>
      </c>
      <c r="AA46" t="str">
        <f t="shared" si="0"/>
        <v>2026-06</v>
      </c>
      <c r="AB46" t="str">
        <f t="shared" si="1"/>
        <v>H1_2026</v>
      </c>
      <c r="AC46">
        <f t="shared" si="2"/>
        <v>6337228.7999999998</v>
      </c>
      <c r="AD46">
        <f t="shared" si="3"/>
        <v>480</v>
      </c>
      <c r="AE46">
        <f t="shared" si="4"/>
        <v>754828.80000000005</v>
      </c>
      <c r="AF46" t="str">
        <f t="shared" si="5"/>
        <v>Paid</v>
      </c>
    </row>
    <row r="47" spans="1:32" ht="27.75" thickBot="1" x14ac:dyDescent="0.35">
      <c r="A47" s="2" t="s">
        <v>378</v>
      </c>
      <c r="B47" s="2" t="s">
        <v>27</v>
      </c>
      <c r="C47" s="2" t="s">
        <v>28</v>
      </c>
      <c r="D47" s="2" t="s">
        <v>97</v>
      </c>
      <c r="E47" s="2" t="s">
        <v>260</v>
      </c>
      <c r="F47" s="2" t="s">
        <v>99</v>
      </c>
      <c r="G47" s="2" t="s">
        <v>32</v>
      </c>
      <c r="H47" s="1"/>
      <c r="I47" s="2" t="s">
        <v>33</v>
      </c>
      <c r="J47" s="2" t="s">
        <v>34</v>
      </c>
      <c r="K47" s="2" t="s">
        <v>379</v>
      </c>
      <c r="L47" s="2" t="s">
        <v>380</v>
      </c>
      <c r="M47" s="2" t="s">
        <v>304</v>
      </c>
      <c r="N47" s="2" t="s">
        <v>38</v>
      </c>
      <c r="O47" s="2" t="s">
        <v>114</v>
      </c>
      <c r="P47" s="2" t="s">
        <v>381</v>
      </c>
      <c r="Q47" s="2" t="s">
        <v>382</v>
      </c>
      <c r="R47" s="2" t="s">
        <v>40</v>
      </c>
      <c r="S47" s="2" t="s">
        <v>383</v>
      </c>
      <c r="T47" s="2" t="s">
        <v>384</v>
      </c>
      <c r="U47" s="2" t="s">
        <v>385</v>
      </c>
      <c r="V47" s="2" t="s">
        <v>386</v>
      </c>
      <c r="W47" s="1"/>
      <c r="X47" s="2" t="s">
        <v>387</v>
      </c>
      <c r="Y47" s="2" t="s">
        <v>271</v>
      </c>
      <c r="AA47" t="str">
        <f t="shared" si="0"/>
        <v>2026-06</v>
      </c>
      <c r="AB47" t="str">
        <f t="shared" si="1"/>
        <v>H1_2026</v>
      </c>
      <c r="AC47">
        <f t="shared" si="2"/>
        <v>526923.6</v>
      </c>
      <c r="AD47">
        <f t="shared" si="3"/>
        <v>240</v>
      </c>
      <c r="AE47">
        <f t="shared" si="4"/>
        <v>61323.6</v>
      </c>
      <c r="AF47" t="str">
        <f t="shared" si="5"/>
        <v>Paid</v>
      </c>
    </row>
    <row r="48" spans="1:32" ht="17.25" thickBot="1" x14ac:dyDescent="0.35">
      <c r="A48" s="2" t="s">
        <v>388</v>
      </c>
      <c r="B48" s="2" t="s">
        <v>27</v>
      </c>
      <c r="C48" s="2" t="s">
        <v>28</v>
      </c>
      <c r="D48" s="2" t="s">
        <v>97</v>
      </c>
      <c r="E48" s="2" t="s">
        <v>260</v>
      </c>
      <c r="F48" s="2" t="s">
        <v>99</v>
      </c>
      <c r="G48" s="2" t="s">
        <v>32</v>
      </c>
      <c r="H48" s="1"/>
      <c r="I48" s="2" t="s">
        <v>33</v>
      </c>
      <c r="J48" s="2" t="s">
        <v>34</v>
      </c>
      <c r="K48" s="2" t="s">
        <v>389</v>
      </c>
      <c r="L48" s="2" t="s">
        <v>390</v>
      </c>
      <c r="M48" s="2" t="s">
        <v>304</v>
      </c>
      <c r="N48" s="2" t="s">
        <v>38</v>
      </c>
      <c r="O48" s="2" t="s">
        <v>391</v>
      </c>
      <c r="P48" s="2" t="s">
        <v>392</v>
      </c>
      <c r="Q48" s="2" t="s">
        <v>393</v>
      </c>
      <c r="R48" s="2" t="s">
        <v>40</v>
      </c>
      <c r="S48" s="2" t="s">
        <v>394</v>
      </c>
      <c r="T48" s="2" t="s">
        <v>395</v>
      </c>
      <c r="U48" s="2" t="s">
        <v>396</v>
      </c>
      <c r="V48" s="2" t="s">
        <v>397</v>
      </c>
      <c r="W48" s="1"/>
      <c r="X48" s="2" t="s">
        <v>398</v>
      </c>
      <c r="Y48" s="2" t="s">
        <v>271</v>
      </c>
      <c r="AA48" t="str">
        <f t="shared" si="0"/>
        <v>2026-06</v>
      </c>
      <c r="AB48" t="str">
        <f t="shared" si="1"/>
        <v>H1_2026</v>
      </c>
      <c r="AC48">
        <f t="shared" si="2"/>
        <v>846083.7</v>
      </c>
      <c r="AD48">
        <f t="shared" si="3"/>
        <v>60</v>
      </c>
      <c r="AE48">
        <f t="shared" si="4"/>
        <v>101483.7</v>
      </c>
      <c r="AF48" t="str">
        <f t="shared" si="5"/>
        <v>Paid</v>
      </c>
    </row>
    <row r="49" spans="1:32" ht="17.25" thickBot="1" x14ac:dyDescent="0.35">
      <c r="A49" s="2" t="s">
        <v>399</v>
      </c>
      <c r="B49" s="2" t="s">
        <v>27</v>
      </c>
      <c r="C49" s="2" t="s">
        <v>28</v>
      </c>
      <c r="D49" s="2" t="s">
        <v>97</v>
      </c>
      <c r="E49" s="2" t="s">
        <v>260</v>
      </c>
      <c r="F49" s="2" t="s">
        <v>99</v>
      </c>
      <c r="G49" s="2" t="s">
        <v>32</v>
      </c>
      <c r="H49" s="1"/>
      <c r="I49" s="2" t="s">
        <v>33</v>
      </c>
      <c r="J49" s="2" t="s">
        <v>34</v>
      </c>
      <c r="K49" s="2" t="s">
        <v>400</v>
      </c>
      <c r="L49" s="2" t="s">
        <v>401</v>
      </c>
      <c r="M49" s="2" t="s">
        <v>304</v>
      </c>
      <c r="N49" s="2" t="s">
        <v>38</v>
      </c>
      <c r="O49" s="2" t="s">
        <v>131</v>
      </c>
      <c r="P49" s="2" t="s">
        <v>402</v>
      </c>
      <c r="Q49" s="2" t="s">
        <v>403</v>
      </c>
      <c r="R49" s="2" t="s">
        <v>40</v>
      </c>
      <c r="S49" s="2" t="s">
        <v>404</v>
      </c>
      <c r="T49" s="2" t="s">
        <v>374</v>
      </c>
      <c r="U49" s="2" t="s">
        <v>405</v>
      </c>
      <c r="V49" s="2" t="s">
        <v>406</v>
      </c>
      <c r="W49" s="1"/>
      <c r="X49" s="2" t="s">
        <v>312</v>
      </c>
      <c r="Y49" s="2" t="s">
        <v>271</v>
      </c>
      <c r="AA49" t="str">
        <f t="shared" si="0"/>
        <v>2026-06</v>
      </c>
      <c r="AB49" t="str">
        <f t="shared" si="1"/>
        <v>H1_2026</v>
      </c>
      <c r="AC49">
        <f t="shared" si="2"/>
        <v>529281.19999999995</v>
      </c>
      <c r="AD49">
        <f t="shared" si="3"/>
        <v>40</v>
      </c>
      <c r="AE49">
        <f t="shared" si="4"/>
        <v>64081.2</v>
      </c>
      <c r="AF49" t="str">
        <f t="shared" si="5"/>
        <v>Paid</v>
      </c>
    </row>
    <row r="50" spans="1:32" ht="27.75" thickBot="1" x14ac:dyDescent="0.35">
      <c r="A50" s="2" t="s">
        <v>407</v>
      </c>
      <c r="B50" s="2" t="s">
        <v>27</v>
      </c>
      <c r="C50" s="2" t="s">
        <v>28</v>
      </c>
      <c r="D50" s="2" t="s">
        <v>97</v>
      </c>
      <c r="E50" s="2" t="s">
        <v>260</v>
      </c>
      <c r="F50" s="2" t="s">
        <v>99</v>
      </c>
      <c r="G50" s="2" t="s">
        <v>32</v>
      </c>
      <c r="H50" s="1"/>
      <c r="I50" s="2" t="s">
        <v>33</v>
      </c>
      <c r="J50" s="2" t="s">
        <v>34</v>
      </c>
      <c r="K50" s="2" t="s">
        <v>408</v>
      </c>
      <c r="L50" s="2" t="s">
        <v>409</v>
      </c>
      <c r="M50" s="2" t="s">
        <v>304</v>
      </c>
      <c r="N50" s="2" t="s">
        <v>38</v>
      </c>
      <c r="O50" s="2" t="s">
        <v>391</v>
      </c>
      <c r="P50" s="2" t="s">
        <v>410</v>
      </c>
      <c r="Q50" s="2" t="s">
        <v>411</v>
      </c>
      <c r="R50" s="2" t="s">
        <v>40</v>
      </c>
      <c r="S50" s="2" t="s">
        <v>412</v>
      </c>
      <c r="T50" s="2" t="s">
        <v>413</v>
      </c>
      <c r="U50" s="2" t="s">
        <v>414</v>
      </c>
      <c r="V50" s="2" t="s">
        <v>415</v>
      </c>
      <c r="W50" s="1"/>
      <c r="X50" s="2" t="s">
        <v>387</v>
      </c>
      <c r="Y50" s="2" t="s">
        <v>271</v>
      </c>
      <c r="AA50" t="str">
        <f t="shared" si="0"/>
        <v>2026-06</v>
      </c>
      <c r="AB50" t="str">
        <f t="shared" si="1"/>
        <v>H1_2026</v>
      </c>
      <c r="AC50">
        <f t="shared" si="2"/>
        <v>939798.3</v>
      </c>
      <c r="AD50">
        <f t="shared" si="3"/>
        <v>60</v>
      </c>
      <c r="AE50">
        <f t="shared" si="4"/>
        <v>108798.3</v>
      </c>
      <c r="AF50" t="str">
        <f t="shared" si="5"/>
        <v>Paid</v>
      </c>
    </row>
    <row r="51" spans="1:32" ht="17.25" thickBot="1" x14ac:dyDescent="0.35">
      <c r="A51" s="2" t="s">
        <v>416</v>
      </c>
      <c r="B51" s="2" t="s">
        <v>27</v>
      </c>
      <c r="C51" s="2" t="s">
        <v>28</v>
      </c>
      <c r="D51" s="2" t="s">
        <v>97</v>
      </c>
      <c r="E51" s="2" t="s">
        <v>260</v>
      </c>
      <c r="F51" s="2" t="s">
        <v>99</v>
      </c>
      <c r="G51" s="2" t="s">
        <v>32</v>
      </c>
      <c r="H51" s="1"/>
      <c r="I51" s="2" t="s">
        <v>33</v>
      </c>
      <c r="J51" s="2" t="s">
        <v>34</v>
      </c>
      <c r="K51" s="2" t="s">
        <v>417</v>
      </c>
      <c r="L51" s="2" t="s">
        <v>418</v>
      </c>
      <c r="M51" s="2" t="s">
        <v>304</v>
      </c>
      <c r="N51" s="2" t="s">
        <v>38</v>
      </c>
      <c r="O51" s="2" t="s">
        <v>185</v>
      </c>
      <c r="P51" s="2" t="s">
        <v>419</v>
      </c>
      <c r="Q51" s="2" t="s">
        <v>420</v>
      </c>
      <c r="R51" s="2" t="s">
        <v>40</v>
      </c>
      <c r="S51" s="2" t="s">
        <v>421</v>
      </c>
      <c r="T51" s="2" t="s">
        <v>422</v>
      </c>
      <c r="U51" s="2" t="s">
        <v>423</v>
      </c>
      <c r="V51" s="2" t="s">
        <v>424</v>
      </c>
      <c r="W51" s="1"/>
      <c r="X51" s="2" t="s">
        <v>425</v>
      </c>
      <c r="Y51" s="2" t="s">
        <v>271</v>
      </c>
      <c r="AA51" t="str">
        <f t="shared" si="0"/>
        <v>2026-06</v>
      </c>
      <c r="AB51" t="str">
        <f t="shared" si="1"/>
        <v>H1_2026</v>
      </c>
      <c r="AC51">
        <f t="shared" si="2"/>
        <v>316876.18</v>
      </c>
      <c r="AD51">
        <f t="shared" si="3"/>
        <v>23</v>
      </c>
      <c r="AE51">
        <f t="shared" si="4"/>
        <v>36506.17</v>
      </c>
      <c r="AF51" t="str">
        <f t="shared" si="5"/>
        <v>Paid</v>
      </c>
    </row>
    <row r="52" spans="1:32" ht="17.25" thickBot="1" x14ac:dyDescent="0.35">
      <c r="A52" s="2" t="s">
        <v>214</v>
      </c>
      <c r="B52" s="2" t="s">
        <v>27</v>
      </c>
      <c r="C52" s="2" t="s">
        <v>28</v>
      </c>
      <c r="D52" s="2" t="s">
        <v>97</v>
      </c>
      <c r="E52" s="2" t="s">
        <v>260</v>
      </c>
      <c r="F52" s="2" t="s">
        <v>99</v>
      </c>
      <c r="G52" s="2" t="s">
        <v>32</v>
      </c>
      <c r="H52" s="1"/>
      <c r="I52" s="2" t="s">
        <v>33</v>
      </c>
      <c r="J52" s="2" t="s">
        <v>34</v>
      </c>
      <c r="K52" s="2" t="s">
        <v>426</v>
      </c>
      <c r="L52" s="2" t="s">
        <v>427</v>
      </c>
      <c r="M52" s="2" t="s">
        <v>304</v>
      </c>
      <c r="N52" s="2" t="s">
        <v>38</v>
      </c>
      <c r="O52" s="2" t="s">
        <v>428</v>
      </c>
      <c r="P52" s="2" t="s">
        <v>429</v>
      </c>
      <c r="Q52" s="2" t="s">
        <v>430</v>
      </c>
      <c r="R52" s="2" t="s">
        <v>40</v>
      </c>
      <c r="S52" s="2" t="s">
        <v>431</v>
      </c>
      <c r="T52" s="2" t="s">
        <v>374</v>
      </c>
      <c r="U52" s="2" t="s">
        <v>432</v>
      </c>
      <c r="V52" s="2" t="s">
        <v>433</v>
      </c>
      <c r="W52" s="1"/>
      <c r="X52" s="2" t="s">
        <v>434</v>
      </c>
      <c r="Y52" s="2" t="s">
        <v>271</v>
      </c>
      <c r="AA52" t="str">
        <f t="shared" si="0"/>
        <v>2026-06</v>
      </c>
      <c r="AB52" t="str">
        <f t="shared" si="1"/>
        <v>H1_2026</v>
      </c>
      <c r="AC52">
        <f t="shared" si="2"/>
        <v>3311691.25</v>
      </c>
      <c r="AD52">
        <f t="shared" si="3"/>
        <v>250</v>
      </c>
      <c r="AE52">
        <f t="shared" si="4"/>
        <v>404191.25</v>
      </c>
      <c r="AF52" t="str">
        <f t="shared" si="5"/>
        <v>Paid</v>
      </c>
    </row>
    <row r="53" spans="1:32" ht="27.75" thickBot="1" x14ac:dyDescent="0.35">
      <c r="A53" s="2" t="s">
        <v>435</v>
      </c>
      <c r="B53" s="2" t="s">
        <v>27</v>
      </c>
      <c r="C53" s="2" t="s">
        <v>28</v>
      </c>
      <c r="D53" s="2" t="s">
        <v>97</v>
      </c>
      <c r="E53" s="2" t="s">
        <v>260</v>
      </c>
      <c r="F53" s="2" t="s">
        <v>99</v>
      </c>
      <c r="G53" s="2" t="s">
        <v>32</v>
      </c>
      <c r="H53" s="1"/>
      <c r="I53" s="2" t="s">
        <v>33</v>
      </c>
      <c r="J53" s="2" t="s">
        <v>34</v>
      </c>
      <c r="K53" s="2" t="s">
        <v>436</v>
      </c>
      <c r="L53" s="2" t="s">
        <v>437</v>
      </c>
      <c r="M53" s="2" t="s">
        <v>304</v>
      </c>
      <c r="N53" s="2" t="s">
        <v>38</v>
      </c>
      <c r="O53" s="2" t="s">
        <v>438</v>
      </c>
      <c r="P53" s="2" t="s">
        <v>439</v>
      </c>
      <c r="Q53" s="2" t="s">
        <v>440</v>
      </c>
      <c r="R53" s="2" t="s">
        <v>40</v>
      </c>
      <c r="S53" s="2" t="s">
        <v>441</v>
      </c>
      <c r="T53" s="2" t="s">
        <v>422</v>
      </c>
      <c r="U53" s="2" t="s">
        <v>442</v>
      </c>
      <c r="V53" s="2" t="s">
        <v>443</v>
      </c>
      <c r="W53" s="1"/>
      <c r="X53" s="2" t="s">
        <v>444</v>
      </c>
      <c r="Y53" s="2" t="s">
        <v>271</v>
      </c>
      <c r="AA53" t="str">
        <f t="shared" si="0"/>
        <v>2026-06</v>
      </c>
      <c r="AB53" t="str">
        <f t="shared" si="1"/>
        <v>H1_2026</v>
      </c>
      <c r="AC53">
        <f t="shared" si="2"/>
        <v>8772482.25</v>
      </c>
      <c r="AD53">
        <f t="shared" si="3"/>
        <v>630</v>
      </c>
      <c r="AE53">
        <f t="shared" si="4"/>
        <v>1092782.25</v>
      </c>
      <c r="AF53" t="str">
        <f t="shared" si="5"/>
        <v>Paid</v>
      </c>
    </row>
    <row r="54" spans="1:32" ht="27.75" thickBot="1" x14ac:dyDescent="0.35">
      <c r="A54" s="2" t="s">
        <v>445</v>
      </c>
      <c r="B54" s="2" t="s">
        <v>27</v>
      </c>
      <c r="C54" s="2" t="s">
        <v>28</v>
      </c>
      <c r="D54" s="2" t="s">
        <v>97</v>
      </c>
      <c r="E54" s="2" t="s">
        <v>260</v>
      </c>
      <c r="F54" s="2" t="s">
        <v>99</v>
      </c>
      <c r="G54" s="2" t="s">
        <v>32</v>
      </c>
      <c r="H54" s="1"/>
      <c r="I54" s="2" t="s">
        <v>33</v>
      </c>
      <c r="J54" s="2" t="s">
        <v>34</v>
      </c>
      <c r="K54" s="2" t="s">
        <v>446</v>
      </c>
      <c r="L54" s="2" t="s">
        <v>447</v>
      </c>
      <c r="M54" s="2" t="s">
        <v>304</v>
      </c>
      <c r="N54" s="2" t="s">
        <v>38</v>
      </c>
      <c r="O54" s="2" t="s">
        <v>448</v>
      </c>
      <c r="P54" s="2" t="s">
        <v>449</v>
      </c>
      <c r="Q54" s="2" t="s">
        <v>450</v>
      </c>
      <c r="R54" s="2" t="s">
        <v>40</v>
      </c>
      <c r="S54" s="2" t="s">
        <v>451</v>
      </c>
      <c r="T54" s="2" t="s">
        <v>452</v>
      </c>
      <c r="U54" s="2" t="s">
        <v>453</v>
      </c>
      <c r="V54" s="2" t="s">
        <v>454</v>
      </c>
      <c r="W54" s="1"/>
      <c r="X54" s="2" t="s">
        <v>312</v>
      </c>
      <c r="Y54" s="2" t="s">
        <v>271</v>
      </c>
      <c r="AA54" t="str">
        <f t="shared" si="0"/>
        <v>2026-06</v>
      </c>
      <c r="AB54" t="str">
        <f t="shared" si="1"/>
        <v>H1_2026</v>
      </c>
      <c r="AC54">
        <f t="shared" si="2"/>
        <v>9826771.5</v>
      </c>
      <c r="AD54">
        <f t="shared" si="3"/>
        <v>780</v>
      </c>
      <c r="AE54">
        <f t="shared" si="4"/>
        <v>1184371.5</v>
      </c>
      <c r="AF54" t="str">
        <f t="shared" si="5"/>
        <v>Paid</v>
      </c>
    </row>
    <row r="55" spans="1:32" ht="17.25" thickBot="1" x14ac:dyDescent="0.35">
      <c r="A55" s="2" t="s">
        <v>455</v>
      </c>
      <c r="B55" s="2" t="s">
        <v>27</v>
      </c>
      <c r="C55" s="2" t="s">
        <v>28</v>
      </c>
      <c r="D55" s="2" t="s">
        <v>97</v>
      </c>
      <c r="E55" s="2" t="s">
        <v>260</v>
      </c>
      <c r="F55" s="2" t="s">
        <v>99</v>
      </c>
      <c r="G55" s="2" t="s">
        <v>32</v>
      </c>
      <c r="H55" s="1"/>
      <c r="I55" s="2" t="s">
        <v>33</v>
      </c>
      <c r="J55" s="2" t="s">
        <v>34</v>
      </c>
      <c r="K55" s="2" t="s">
        <v>456</v>
      </c>
      <c r="L55" s="2" t="s">
        <v>457</v>
      </c>
      <c r="M55" s="2" t="s">
        <v>304</v>
      </c>
      <c r="N55" s="2" t="s">
        <v>38</v>
      </c>
      <c r="O55" s="2" t="s">
        <v>458</v>
      </c>
      <c r="P55" s="2" t="s">
        <v>439</v>
      </c>
      <c r="Q55" s="2" t="s">
        <v>459</v>
      </c>
      <c r="R55" s="2" t="s">
        <v>40</v>
      </c>
      <c r="S55" s="2" t="s">
        <v>460</v>
      </c>
      <c r="T55" s="2" t="s">
        <v>422</v>
      </c>
      <c r="U55" s="2" t="s">
        <v>461</v>
      </c>
      <c r="V55" s="2" t="s">
        <v>462</v>
      </c>
      <c r="W55" s="1"/>
      <c r="X55" s="2" t="s">
        <v>444</v>
      </c>
      <c r="Y55" s="2" t="s">
        <v>271</v>
      </c>
      <c r="AA55" t="str">
        <f t="shared" si="0"/>
        <v>2026-06</v>
      </c>
      <c r="AB55" t="str">
        <f t="shared" si="1"/>
        <v>H1_2026</v>
      </c>
      <c r="AC55">
        <f t="shared" si="2"/>
        <v>3119104.8</v>
      </c>
      <c r="AD55">
        <f t="shared" si="3"/>
        <v>224</v>
      </c>
      <c r="AE55">
        <f t="shared" si="4"/>
        <v>388544.8</v>
      </c>
      <c r="AF55" t="str">
        <f t="shared" si="5"/>
        <v>Paid</v>
      </c>
    </row>
    <row r="56" spans="1:32" ht="27.75" thickBot="1" x14ac:dyDescent="0.35">
      <c r="A56" s="2" t="s">
        <v>463</v>
      </c>
      <c r="B56" s="2" t="s">
        <v>27</v>
      </c>
      <c r="C56" s="2" t="s">
        <v>28</v>
      </c>
      <c r="D56" s="2" t="s">
        <v>97</v>
      </c>
      <c r="E56" s="2" t="s">
        <v>260</v>
      </c>
      <c r="F56" s="2" t="s">
        <v>99</v>
      </c>
      <c r="G56" s="2" t="s">
        <v>32</v>
      </c>
      <c r="H56" s="1"/>
      <c r="I56" s="2" t="s">
        <v>33</v>
      </c>
      <c r="J56" s="2" t="s">
        <v>34</v>
      </c>
      <c r="K56" s="2" t="s">
        <v>464</v>
      </c>
      <c r="L56" s="2" t="s">
        <v>465</v>
      </c>
      <c r="M56" s="2" t="s">
        <v>304</v>
      </c>
      <c r="N56" s="2" t="s">
        <v>38</v>
      </c>
      <c r="O56" s="2" t="s">
        <v>466</v>
      </c>
      <c r="P56" s="2" t="s">
        <v>439</v>
      </c>
      <c r="Q56" s="2" t="s">
        <v>467</v>
      </c>
      <c r="R56" s="2" t="s">
        <v>40</v>
      </c>
      <c r="S56" s="2" t="s">
        <v>468</v>
      </c>
      <c r="T56" s="2" t="s">
        <v>422</v>
      </c>
      <c r="U56" s="2" t="s">
        <v>469</v>
      </c>
      <c r="V56" s="2" t="s">
        <v>470</v>
      </c>
      <c r="W56" s="1"/>
      <c r="X56" s="2" t="s">
        <v>444</v>
      </c>
      <c r="Y56" s="2" t="s">
        <v>271</v>
      </c>
      <c r="AA56" t="str">
        <f t="shared" si="0"/>
        <v>2026-06</v>
      </c>
      <c r="AB56" t="str">
        <f t="shared" si="1"/>
        <v>H1_2026</v>
      </c>
      <c r="AC56">
        <f t="shared" si="2"/>
        <v>974720.25</v>
      </c>
      <c r="AD56">
        <f t="shared" si="3"/>
        <v>70</v>
      </c>
      <c r="AE56">
        <f t="shared" si="4"/>
        <v>121420.25</v>
      </c>
      <c r="AF56" t="str">
        <f t="shared" si="5"/>
        <v>Paid</v>
      </c>
    </row>
    <row r="57" spans="1:32" ht="27.75" thickBot="1" x14ac:dyDescent="0.35">
      <c r="A57" s="2" t="s">
        <v>471</v>
      </c>
      <c r="B57" s="2" t="s">
        <v>27</v>
      </c>
      <c r="C57" s="2" t="s">
        <v>28</v>
      </c>
      <c r="D57" s="2" t="s">
        <v>97</v>
      </c>
      <c r="E57" s="2" t="s">
        <v>260</v>
      </c>
      <c r="F57" s="2" t="s">
        <v>99</v>
      </c>
      <c r="G57" s="2" t="s">
        <v>32</v>
      </c>
      <c r="H57" s="1"/>
      <c r="I57" s="2" t="s">
        <v>33</v>
      </c>
      <c r="J57" s="2" t="s">
        <v>34</v>
      </c>
      <c r="K57" s="2" t="s">
        <v>472</v>
      </c>
      <c r="L57" s="2" t="s">
        <v>473</v>
      </c>
      <c r="M57" s="2" t="s">
        <v>304</v>
      </c>
      <c r="N57" s="2" t="s">
        <v>38</v>
      </c>
      <c r="O57" s="2" t="s">
        <v>474</v>
      </c>
      <c r="P57" s="2" t="s">
        <v>475</v>
      </c>
      <c r="Q57" s="2" t="s">
        <v>476</v>
      </c>
      <c r="R57" s="2" t="s">
        <v>40</v>
      </c>
      <c r="S57" s="2" t="s">
        <v>477</v>
      </c>
      <c r="T57" s="2" t="s">
        <v>309</v>
      </c>
      <c r="U57" s="2" t="s">
        <v>478</v>
      </c>
      <c r="V57" s="2" t="s">
        <v>479</v>
      </c>
      <c r="W57" s="1"/>
      <c r="X57" s="2" t="s">
        <v>434</v>
      </c>
      <c r="Y57" s="2" t="s">
        <v>271</v>
      </c>
      <c r="AA57" t="str">
        <f t="shared" si="0"/>
        <v>2026-06</v>
      </c>
      <c r="AB57" t="str">
        <f t="shared" si="1"/>
        <v>H1_2026</v>
      </c>
      <c r="AC57">
        <f t="shared" si="2"/>
        <v>3447990</v>
      </c>
      <c r="AD57">
        <f t="shared" si="3"/>
        <v>390</v>
      </c>
      <c r="AE57">
        <f t="shared" si="4"/>
        <v>421590</v>
      </c>
      <c r="AF57" t="str">
        <f t="shared" si="5"/>
        <v>Paid</v>
      </c>
    </row>
    <row r="58" spans="1:32" ht="27.75" thickBot="1" x14ac:dyDescent="0.35">
      <c r="A58" s="2" t="s">
        <v>480</v>
      </c>
      <c r="B58" s="2" t="s">
        <v>27</v>
      </c>
      <c r="C58" s="2" t="s">
        <v>28</v>
      </c>
      <c r="D58" s="2" t="s">
        <v>97</v>
      </c>
      <c r="E58" s="2" t="s">
        <v>260</v>
      </c>
      <c r="F58" s="2" t="s">
        <v>99</v>
      </c>
      <c r="G58" s="2" t="s">
        <v>32</v>
      </c>
      <c r="H58" s="1"/>
      <c r="I58" s="2" t="s">
        <v>33</v>
      </c>
      <c r="J58" s="2" t="s">
        <v>34</v>
      </c>
      <c r="K58" s="2" t="s">
        <v>481</v>
      </c>
      <c r="L58" s="2" t="s">
        <v>482</v>
      </c>
      <c r="M58" s="2" t="s">
        <v>304</v>
      </c>
      <c r="N58" s="2" t="s">
        <v>38</v>
      </c>
      <c r="O58" s="2" t="s">
        <v>483</v>
      </c>
      <c r="P58" s="2" t="s">
        <v>484</v>
      </c>
      <c r="Q58" s="2" t="s">
        <v>485</v>
      </c>
      <c r="R58" s="2" t="s">
        <v>40</v>
      </c>
      <c r="S58" s="2" t="s">
        <v>486</v>
      </c>
      <c r="T58" s="2" t="s">
        <v>422</v>
      </c>
      <c r="U58" s="2" t="s">
        <v>487</v>
      </c>
      <c r="V58" s="2" t="s">
        <v>488</v>
      </c>
      <c r="W58" s="1"/>
      <c r="X58" s="2" t="s">
        <v>489</v>
      </c>
      <c r="Y58" s="2" t="s">
        <v>271</v>
      </c>
      <c r="AA58" t="str">
        <f t="shared" si="0"/>
        <v>2026-06</v>
      </c>
      <c r="AB58" t="str">
        <f t="shared" si="1"/>
        <v>H1_2026</v>
      </c>
      <c r="AC58">
        <f t="shared" si="2"/>
        <v>172306374.80000001</v>
      </c>
      <c r="AD58">
        <f t="shared" si="3"/>
        <v>12520</v>
      </c>
      <c r="AE58">
        <f t="shared" si="4"/>
        <v>19687574.800000001</v>
      </c>
      <c r="AF58" t="str">
        <f t="shared" si="5"/>
        <v>Paid</v>
      </c>
    </row>
    <row r="59" spans="1:32" ht="27.75" thickBot="1" x14ac:dyDescent="0.35">
      <c r="A59" s="2" t="s">
        <v>490</v>
      </c>
      <c r="B59" s="2" t="s">
        <v>27</v>
      </c>
      <c r="C59" s="2" t="s">
        <v>28</v>
      </c>
      <c r="D59" s="2" t="s">
        <v>97</v>
      </c>
      <c r="E59" s="2" t="s">
        <v>260</v>
      </c>
      <c r="F59" s="2" t="s">
        <v>99</v>
      </c>
      <c r="G59" s="2" t="s">
        <v>32</v>
      </c>
      <c r="H59" s="1"/>
      <c r="I59" s="2" t="s">
        <v>33</v>
      </c>
      <c r="J59" s="2" t="s">
        <v>34</v>
      </c>
      <c r="K59" s="2" t="s">
        <v>491</v>
      </c>
      <c r="L59" s="2" t="s">
        <v>492</v>
      </c>
      <c r="M59" s="2" t="s">
        <v>304</v>
      </c>
      <c r="N59" s="2" t="s">
        <v>38</v>
      </c>
      <c r="O59" s="2" t="s">
        <v>493</v>
      </c>
      <c r="P59" s="2" t="s">
        <v>494</v>
      </c>
      <c r="Q59" s="2" t="s">
        <v>495</v>
      </c>
      <c r="R59" s="2" t="s">
        <v>40</v>
      </c>
      <c r="S59" s="2" t="s">
        <v>496</v>
      </c>
      <c r="T59" s="2" t="s">
        <v>497</v>
      </c>
      <c r="U59" s="2" t="s">
        <v>498</v>
      </c>
      <c r="V59" s="2" t="s">
        <v>499</v>
      </c>
      <c r="W59" s="1"/>
      <c r="X59" s="2" t="s">
        <v>387</v>
      </c>
      <c r="Y59" s="2" t="s">
        <v>271</v>
      </c>
      <c r="AA59" t="str">
        <f t="shared" si="0"/>
        <v>2026-06</v>
      </c>
      <c r="AB59" t="str">
        <f t="shared" si="1"/>
        <v>H1_2026</v>
      </c>
      <c r="AC59">
        <f t="shared" si="2"/>
        <v>7370741.7000000002</v>
      </c>
      <c r="AD59">
        <f t="shared" si="3"/>
        <v>420</v>
      </c>
      <c r="AE59">
        <f t="shared" si="4"/>
        <v>856541.7</v>
      </c>
      <c r="AF59" t="str">
        <f t="shared" si="5"/>
        <v>Paid</v>
      </c>
    </row>
    <row r="60" spans="1:32" ht="17.25" thickBot="1" x14ac:dyDescent="0.35">
      <c r="A60" s="2" t="s">
        <v>500</v>
      </c>
      <c r="B60" s="2" t="s">
        <v>27</v>
      </c>
      <c r="C60" s="2" t="s">
        <v>28</v>
      </c>
      <c r="D60" s="2" t="s">
        <v>97</v>
      </c>
      <c r="E60" s="2" t="s">
        <v>260</v>
      </c>
      <c r="F60" s="2" t="s">
        <v>99</v>
      </c>
      <c r="G60" s="2" t="s">
        <v>32</v>
      </c>
      <c r="H60" s="1"/>
      <c r="I60" s="2" t="s">
        <v>33</v>
      </c>
      <c r="J60" s="2" t="s">
        <v>34</v>
      </c>
      <c r="K60" s="2" t="s">
        <v>501</v>
      </c>
      <c r="L60" s="2" t="s">
        <v>502</v>
      </c>
      <c r="M60" s="2" t="s">
        <v>304</v>
      </c>
      <c r="N60" s="2" t="s">
        <v>38</v>
      </c>
      <c r="O60" s="2" t="s">
        <v>503</v>
      </c>
      <c r="P60" s="2" t="s">
        <v>371</v>
      </c>
      <c r="Q60" s="2" t="s">
        <v>504</v>
      </c>
      <c r="R60" s="2" t="s">
        <v>40</v>
      </c>
      <c r="S60" s="2" t="s">
        <v>505</v>
      </c>
      <c r="T60" s="2" t="s">
        <v>374</v>
      </c>
      <c r="U60" s="2" t="s">
        <v>506</v>
      </c>
      <c r="V60" s="2" t="s">
        <v>507</v>
      </c>
      <c r="W60" s="1"/>
      <c r="X60" s="2" t="s">
        <v>377</v>
      </c>
      <c r="Y60" s="2" t="s">
        <v>271</v>
      </c>
      <c r="AA60" t="str">
        <f t="shared" si="0"/>
        <v>2026-06</v>
      </c>
      <c r="AB60" t="str">
        <f t="shared" si="1"/>
        <v>H1_2026</v>
      </c>
      <c r="AC60">
        <f t="shared" si="2"/>
        <v>4092793.6</v>
      </c>
      <c r="AD60">
        <f t="shared" si="3"/>
        <v>310</v>
      </c>
      <c r="AE60">
        <f t="shared" si="4"/>
        <v>487493.6</v>
      </c>
      <c r="AF60" t="str">
        <f t="shared" si="5"/>
        <v>Paid</v>
      </c>
    </row>
    <row r="61" spans="1:32" ht="17.25" thickBot="1" x14ac:dyDescent="0.35">
      <c r="A61" s="2" t="s">
        <v>508</v>
      </c>
      <c r="B61" s="2" t="s">
        <v>27</v>
      </c>
      <c r="C61" s="2" t="s">
        <v>28</v>
      </c>
      <c r="D61" s="2" t="s">
        <v>97</v>
      </c>
      <c r="E61" s="2" t="s">
        <v>260</v>
      </c>
      <c r="F61" s="2" t="s">
        <v>99</v>
      </c>
      <c r="G61" s="2" t="s">
        <v>32</v>
      </c>
      <c r="H61" s="1"/>
      <c r="I61" s="2" t="s">
        <v>33</v>
      </c>
      <c r="J61" s="2" t="s">
        <v>34</v>
      </c>
      <c r="K61" s="2" t="s">
        <v>509</v>
      </c>
      <c r="L61" s="2" t="s">
        <v>510</v>
      </c>
      <c r="M61" s="2" t="s">
        <v>304</v>
      </c>
      <c r="N61" s="2" t="s">
        <v>38</v>
      </c>
      <c r="O61" s="2" t="s">
        <v>474</v>
      </c>
      <c r="P61" s="2" t="s">
        <v>429</v>
      </c>
      <c r="Q61" s="2" t="s">
        <v>511</v>
      </c>
      <c r="R61" s="2" t="s">
        <v>40</v>
      </c>
      <c r="S61" s="2" t="s">
        <v>512</v>
      </c>
      <c r="T61" s="2" t="s">
        <v>374</v>
      </c>
      <c r="U61" s="2" t="s">
        <v>513</v>
      </c>
      <c r="V61" s="2" t="s">
        <v>514</v>
      </c>
      <c r="W61" s="1"/>
      <c r="X61" s="2" t="s">
        <v>434</v>
      </c>
      <c r="Y61" s="2" t="s">
        <v>271</v>
      </c>
      <c r="AA61" t="str">
        <f t="shared" si="0"/>
        <v>2026-06</v>
      </c>
      <c r="AB61" t="str">
        <f t="shared" si="1"/>
        <v>H1_2026</v>
      </c>
      <c r="AC61">
        <f t="shared" si="2"/>
        <v>5166238.3499999996</v>
      </c>
      <c r="AD61">
        <f t="shared" si="3"/>
        <v>390</v>
      </c>
      <c r="AE61">
        <f t="shared" si="4"/>
        <v>630538.35</v>
      </c>
      <c r="AF61" t="str">
        <f t="shared" si="5"/>
        <v>Paid</v>
      </c>
    </row>
    <row r="62" spans="1:32" ht="27.75" thickBot="1" x14ac:dyDescent="0.35">
      <c r="A62" s="2" t="s">
        <v>391</v>
      </c>
      <c r="B62" s="2" t="s">
        <v>27</v>
      </c>
      <c r="C62" s="2" t="s">
        <v>28</v>
      </c>
      <c r="D62" s="2" t="s">
        <v>97</v>
      </c>
      <c r="E62" s="2" t="s">
        <v>260</v>
      </c>
      <c r="F62" s="2" t="s">
        <v>99</v>
      </c>
      <c r="G62" s="2" t="s">
        <v>32</v>
      </c>
      <c r="H62" s="1"/>
      <c r="I62" s="2" t="s">
        <v>33</v>
      </c>
      <c r="J62" s="2" t="s">
        <v>34</v>
      </c>
      <c r="K62" s="2" t="s">
        <v>515</v>
      </c>
      <c r="L62" s="2" t="s">
        <v>516</v>
      </c>
      <c r="M62" s="2" t="s">
        <v>304</v>
      </c>
      <c r="N62" s="2" t="s">
        <v>38</v>
      </c>
      <c r="O62" s="2" t="s">
        <v>517</v>
      </c>
      <c r="P62" s="2" t="s">
        <v>518</v>
      </c>
      <c r="Q62" s="2" t="s">
        <v>519</v>
      </c>
      <c r="R62" s="2" t="s">
        <v>40</v>
      </c>
      <c r="S62" s="2" t="s">
        <v>520</v>
      </c>
      <c r="T62" s="2" t="s">
        <v>452</v>
      </c>
      <c r="U62" s="2" t="s">
        <v>521</v>
      </c>
      <c r="V62" s="2" t="s">
        <v>522</v>
      </c>
      <c r="W62" s="1"/>
      <c r="X62" s="2" t="s">
        <v>523</v>
      </c>
      <c r="Y62" s="2" t="s">
        <v>271</v>
      </c>
      <c r="AA62" t="str">
        <f t="shared" si="0"/>
        <v>2026-06</v>
      </c>
      <c r="AB62" t="str">
        <f t="shared" si="1"/>
        <v>H1_2026</v>
      </c>
      <c r="AC62">
        <f t="shared" si="2"/>
        <v>1566625.2</v>
      </c>
      <c r="AD62">
        <f t="shared" si="3"/>
        <v>120</v>
      </c>
      <c r="AE62">
        <f t="shared" si="4"/>
        <v>237025.2</v>
      </c>
      <c r="AF62" t="str">
        <f t="shared" si="5"/>
        <v>Paid</v>
      </c>
    </row>
    <row r="63" spans="1:32" ht="17.25" thickBot="1" x14ac:dyDescent="0.35">
      <c r="A63" s="2" t="s">
        <v>524</v>
      </c>
      <c r="B63" s="2" t="s">
        <v>27</v>
      </c>
      <c r="C63" s="2" t="s">
        <v>28</v>
      </c>
      <c r="D63" s="2" t="s">
        <v>97</v>
      </c>
      <c r="E63" s="2" t="s">
        <v>260</v>
      </c>
      <c r="F63" s="2" t="s">
        <v>99</v>
      </c>
      <c r="G63" s="2" t="s">
        <v>32</v>
      </c>
      <c r="H63" s="1"/>
      <c r="I63" s="2" t="s">
        <v>33</v>
      </c>
      <c r="J63" s="2" t="s">
        <v>34</v>
      </c>
      <c r="K63" s="2" t="s">
        <v>525</v>
      </c>
      <c r="L63" s="2" t="s">
        <v>526</v>
      </c>
      <c r="M63" s="2" t="s">
        <v>304</v>
      </c>
      <c r="N63" s="2" t="s">
        <v>38</v>
      </c>
      <c r="O63" s="2" t="s">
        <v>527</v>
      </c>
      <c r="P63" s="2" t="s">
        <v>528</v>
      </c>
      <c r="Q63" s="2" t="s">
        <v>529</v>
      </c>
      <c r="R63" s="2" t="s">
        <v>40</v>
      </c>
      <c r="S63" s="2" t="s">
        <v>530</v>
      </c>
      <c r="T63" s="2" t="s">
        <v>531</v>
      </c>
      <c r="U63" s="2" t="s">
        <v>532</v>
      </c>
      <c r="V63" s="2" t="s">
        <v>533</v>
      </c>
      <c r="W63" s="1"/>
      <c r="X63" s="2" t="s">
        <v>350</v>
      </c>
      <c r="Y63" s="2" t="s">
        <v>271</v>
      </c>
      <c r="AA63" t="str">
        <f t="shared" si="0"/>
        <v>2026-06</v>
      </c>
      <c r="AB63" t="str">
        <f t="shared" si="1"/>
        <v>H1_2026</v>
      </c>
      <c r="AC63">
        <f t="shared" si="2"/>
        <v>736337.42</v>
      </c>
      <c r="AD63">
        <f t="shared" si="3"/>
        <v>62</v>
      </c>
      <c r="AE63">
        <f t="shared" si="4"/>
        <v>83477.42</v>
      </c>
      <c r="AF63" t="str">
        <f t="shared" si="5"/>
        <v>Paid</v>
      </c>
    </row>
    <row r="64" spans="1:32" ht="27.75" thickBot="1" x14ac:dyDescent="0.35">
      <c r="A64" s="2" t="s">
        <v>527</v>
      </c>
      <c r="B64" s="2" t="s">
        <v>27</v>
      </c>
      <c r="C64" s="2" t="s">
        <v>28</v>
      </c>
      <c r="D64" s="2" t="s">
        <v>97</v>
      </c>
      <c r="E64" s="2" t="s">
        <v>260</v>
      </c>
      <c r="F64" s="2" t="s">
        <v>99</v>
      </c>
      <c r="G64" s="2" t="s">
        <v>32</v>
      </c>
      <c r="H64" s="1"/>
      <c r="I64" s="2" t="s">
        <v>33</v>
      </c>
      <c r="J64" s="2" t="s">
        <v>34</v>
      </c>
      <c r="K64" s="2" t="s">
        <v>534</v>
      </c>
      <c r="L64" s="2" t="s">
        <v>535</v>
      </c>
      <c r="M64" s="2" t="s">
        <v>304</v>
      </c>
      <c r="N64" s="2" t="s">
        <v>38</v>
      </c>
      <c r="O64" s="2" t="s">
        <v>536</v>
      </c>
      <c r="P64" s="2" t="s">
        <v>439</v>
      </c>
      <c r="Q64" s="2" t="s">
        <v>537</v>
      </c>
      <c r="R64" s="2" t="s">
        <v>40</v>
      </c>
      <c r="S64" s="2" t="s">
        <v>538</v>
      </c>
      <c r="T64" s="2" t="s">
        <v>422</v>
      </c>
      <c r="U64" s="2" t="s">
        <v>539</v>
      </c>
      <c r="V64" s="2" t="s">
        <v>540</v>
      </c>
      <c r="W64" s="1"/>
      <c r="X64" s="2" t="s">
        <v>444</v>
      </c>
      <c r="Y64" s="2" t="s">
        <v>271</v>
      </c>
      <c r="AA64" t="str">
        <f t="shared" si="0"/>
        <v>2026-06</v>
      </c>
      <c r="AB64" t="str">
        <f t="shared" si="1"/>
        <v>H1_2026</v>
      </c>
      <c r="AC64">
        <f t="shared" si="2"/>
        <v>12671363.25</v>
      </c>
      <c r="AD64">
        <f t="shared" si="3"/>
        <v>910</v>
      </c>
      <c r="AE64">
        <f t="shared" si="4"/>
        <v>1578463.25</v>
      </c>
      <c r="AF64" t="str">
        <f t="shared" si="5"/>
        <v>Paid</v>
      </c>
    </row>
    <row r="65" spans="1:32" ht="17.25" thickBot="1" x14ac:dyDescent="0.35">
      <c r="A65" s="2" t="s">
        <v>541</v>
      </c>
      <c r="B65" s="2" t="s">
        <v>27</v>
      </c>
      <c r="C65" s="2" t="s">
        <v>28</v>
      </c>
      <c r="D65" s="2" t="s">
        <v>97</v>
      </c>
      <c r="E65" s="2" t="s">
        <v>260</v>
      </c>
      <c r="F65" s="2" t="s">
        <v>99</v>
      </c>
      <c r="G65" s="2" t="s">
        <v>32</v>
      </c>
      <c r="H65" s="1"/>
      <c r="I65" s="2" t="s">
        <v>33</v>
      </c>
      <c r="J65" s="2" t="s">
        <v>34</v>
      </c>
      <c r="K65" s="2" t="s">
        <v>542</v>
      </c>
      <c r="L65" s="2" t="s">
        <v>543</v>
      </c>
      <c r="M65" s="2" t="s">
        <v>304</v>
      </c>
      <c r="N65" s="2" t="s">
        <v>38</v>
      </c>
      <c r="O65" s="2" t="s">
        <v>544</v>
      </c>
      <c r="P65" s="2" t="s">
        <v>429</v>
      </c>
      <c r="Q65" s="2" t="s">
        <v>545</v>
      </c>
      <c r="R65" s="2" t="s">
        <v>40</v>
      </c>
      <c r="S65" s="2" t="s">
        <v>546</v>
      </c>
      <c r="T65" s="2" t="s">
        <v>374</v>
      </c>
      <c r="U65" s="2" t="s">
        <v>547</v>
      </c>
      <c r="V65" s="2" t="s">
        <v>548</v>
      </c>
      <c r="W65" s="1"/>
      <c r="X65" s="2" t="s">
        <v>434</v>
      </c>
      <c r="Y65" s="2" t="s">
        <v>271</v>
      </c>
      <c r="AA65" t="str">
        <f t="shared" si="0"/>
        <v>2026-06</v>
      </c>
      <c r="AB65" t="str">
        <f t="shared" si="1"/>
        <v>H1_2026</v>
      </c>
      <c r="AC65">
        <f t="shared" si="2"/>
        <v>40097957.659999996</v>
      </c>
      <c r="AD65">
        <f t="shared" si="3"/>
        <v>3027</v>
      </c>
      <c r="AE65">
        <f t="shared" si="4"/>
        <v>4893947.66</v>
      </c>
      <c r="AF65" t="str">
        <f t="shared" si="5"/>
        <v>Paid</v>
      </c>
    </row>
    <row r="66" spans="1:32" ht="17.25" thickBot="1" x14ac:dyDescent="0.35">
      <c r="A66" s="2" t="s">
        <v>549</v>
      </c>
      <c r="B66" s="2" t="s">
        <v>27</v>
      </c>
      <c r="C66" s="2" t="s">
        <v>28</v>
      </c>
      <c r="D66" s="2" t="s">
        <v>97</v>
      </c>
      <c r="E66" s="2" t="s">
        <v>260</v>
      </c>
      <c r="F66" s="2" t="s">
        <v>99</v>
      </c>
      <c r="G66" s="2" t="s">
        <v>32</v>
      </c>
      <c r="H66" s="1"/>
      <c r="I66" s="2" t="s">
        <v>33</v>
      </c>
      <c r="J66" s="2" t="s">
        <v>34</v>
      </c>
      <c r="K66" s="2" t="s">
        <v>550</v>
      </c>
      <c r="L66" s="2" t="s">
        <v>551</v>
      </c>
      <c r="M66" s="2" t="s">
        <v>304</v>
      </c>
      <c r="N66" s="2" t="s">
        <v>38</v>
      </c>
      <c r="O66" s="2" t="s">
        <v>552</v>
      </c>
      <c r="P66" s="2" t="s">
        <v>344</v>
      </c>
      <c r="Q66" s="2" t="s">
        <v>553</v>
      </c>
      <c r="R66" s="2" t="s">
        <v>40</v>
      </c>
      <c r="S66" s="2" t="s">
        <v>554</v>
      </c>
      <c r="T66" s="2" t="s">
        <v>347</v>
      </c>
      <c r="U66" s="2" t="s">
        <v>555</v>
      </c>
      <c r="V66" s="2" t="s">
        <v>556</v>
      </c>
      <c r="W66" s="1"/>
      <c r="X66" s="2" t="s">
        <v>350</v>
      </c>
      <c r="Y66" s="2" t="s">
        <v>271</v>
      </c>
      <c r="AA66" t="str">
        <f t="shared" si="0"/>
        <v>2026-06</v>
      </c>
      <c r="AB66" t="str">
        <f t="shared" si="1"/>
        <v>H1_2026</v>
      </c>
      <c r="AC66">
        <f t="shared" si="2"/>
        <v>9219100.0999999996</v>
      </c>
      <c r="AD66">
        <f t="shared" si="3"/>
        <v>820</v>
      </c>
      <c r="AE66">
        <f t="shared" si="4"/>
        <v>1043700.1</v>
      </c>
      <c r="AF66" t="str">
        <f t="shared" si="5"/>
        <v>Paid</v>
      </c>
    </row>
    <row r="67" spans="1:32" ht="17.25" thickBot="1" x14ac:dyDescent="0.35">
      <c r="A67" s="2" t="s">
        <v>557</v>
      </c>
      <c r="B67" s="2" t="s">
        <v>27</v>
      </c>
      <c r="C67" s="2" t="s">
        <v>28</v>
      </c>
      <c r="D67" s="2" t="s">
        <v>97</v>
      </c>
      <c r="E67" s="2" t="s">
        <v>260</v>
      </c>
      <c r="F67" s="2" t="s">
        <v>99</v>
      </c>
      <c r="G67" s="2" t="s">
        <v>32</v>
      </c>
      <c r="H67" s="1"/>
      <c r="I67" s="2" t="s">
        <v>33</v>
      </c>
      <c r="J67" s="2" t="s">
        <v>34</v>
      </c>
      <c r="K67" s="2" t="s">
        <v>558</v>
      </c>
      <c r="L67" s="2" t="s">
        <v>559</v>
      </c>
      <c r="M67" s="2" t="s">
        <v>304</v>
      </c>
      <c r="N67" s="2" t="s">
        <v>38</v>
      </c>
      <c r="O67" s="2" t="s">
        <v>560</v>
      </c>
      <c r="P67" s="2" t="s">
        <v>561</v>
      </c>
      <c r="Q67" s="2" t="s">
        <v>562</v>
      </c>
      <c r="R67" s="2" t="s">
        <v>40</v>
      </c>
      <c r="S67" s="2" t="s">
        <v>563</v>
      </c>
      <c r="T67" s="2" t="s">
        <v>347</v>
      </c>
      <c r="U67" s="2" t="s">
        <v>564</v>
      </c>
      <c r="V67" s="2" t="s">
        <v>565</v>
      </c>
      <c r="W67" s="1"/>
      <c r="X67" s="2" t="s">
        <v>566</v>
      </c>
      <c r="Y67" s="2" t="s">
        <v>271</v>
      </c>
      <c r="AA67" t="str">
        <f t="shared" si="0"/>
        <v>2026-06</v>
      </c>
      <c r="AB67" t="str">
        <f t="shared" si="1"/>
        <v>H1_2026</v>
      </c>
      <c r="AC67">
        <f t="shared" si="2"/>
        <v>7288667.75</v>
      </c>
      <c r="AD67">
        <f t="shared" si="3"/>
        <v>650</v>
      </c>
      <c r="AE67">
        <f t="shared" si="4"/>
        <v>808167.75</v>
      </c>
      <c r="AF67" t="str">
        <f t="shared" si="5"/>
        <v>Paid</v>
      </c>
    </row>
    <row r="68" spans="1:32" ht="17.25" thickBot="1" x14ac:dyDescent="0.35">
      <c r="A68" s="2" t="s">
        <v>567</v>
      </c>
      <c r="B68" s="2" t="s">
        <v>27</v>
      </c>
      <c r="C68" s="2" t="s">
        <v>28</v>
      </c>
      <c r="D68" s="2" t="s">
        <v>97</v>
      </c>
      <c r="E68" s="2" t="s">
        <v>260</v>
      </c>
      <c r="F68" s="2" t="s">
        <v>99</v>
      </c>
      <c r="G68" s="2" t="s">
        <v>32</v>
      </c>
      <c r="H68" s="1"/>
      <c r="I68" s="2" t="s">
        <v>33</v>
      </c>
      <c r="J68" s="2" t="s">
        <v>34</v>
      </c>
      <c r="K68" s="2" t="s">
        <v>568</v>
      </c>
      <c r="L68" s="2" t="s">
        <v>569</v>
      </c>
      <c r="M68" s="2" t="s">
        <v>570</v>
      </c>
      <c r="N68" s="2" t="s">
        <v>38</v>
      </c>
      <c r="O68" s="2" t="s">
        <v>571</v>
      </c>
      <c r="P68" s="2" t="s">
        <v>572</v>
      </c>
      <c r="Q68" s="2" t="s">
        <v>573</v>
      </c>
      <c r="R68" s="2" t="s">
        <v>40</v>
      </c>
      <c r="S68" s="2" t="s">
        <v>574</v>
      </c>
      <c r="T68" s="2" t="s">
        <v>575</v>
      </c>
      <c r="U68" s="2" t="s">
        <v>576</v>
      </c>
      <c r="V68" s="2" t="s">
        <v>577</v>
      </c>
      <c r="W68" s="1"/>
      <c r="X68" s="2" t="s">
        <v>578</v>
      </c>
      <c r="Y68" s="2" t="s">
        <v>271</v>
      </c>
      <c r="AA68" t="str">
        <f t="shared" ref="AA68:AA131" si="6">LEFT(E68,7)</f>
        <v>2026-06</v>
      </c>
      <c r="AB68" t="str">
        <f t="shared" ref="AB68:AB131" si="7">IF(AND($AA68&gt;="2025-01",$AA68&lt;="2025-06"),"H1_2025",IF(AND($AA68&gt;="2026-01",$AA68&lt;="2026-06"),"H1_2026",""))</f>
        <v>H1_2026</v>
      </c>
      <c r="AC68">
        <f t="shared" ref="AC68:AC131" si="8">IFERROR(VALUE(SUBSTITUTE(S68,",","")),0)</f>
        <v>744706.9</v>
      </c>
      <c r="AD68">
        <f t="shared" ref="AD68:AD131" si="9">IFERROR(VALUE(SUBSTITUTE(O68,",","")),0)</f>
        <v>1330</v>
      </c>
      <c r="AE68">
        <f t="shared" ref="AE68:AE131" si="10">IFERROR(VALUE(SUBSTITUTE(V68,",","")),0)</f>
        <v>309434.21000000002</v>
      </c>
      <c r="AF68" t="str">
        <f t="shared" ref="AF68:AF131" si="11">IF(ISNUMBER(SEARCH("FOC",W68)),"FOC",IF(ISNUMBER(SEARCH("샘플",W68)),"Sample","Paid"))</f>
        <v>Paid</v>
      </c>
    </row>
    <row r="69" spans="1:32" ht="17.25" thickBot="1" x14ac:dyDescent="0.35">
      <c r="A69" s="2" t="s">
        <v>579</v>
      </c>
      <c r="B69" s="2" t="s">
        <v>27</v>
      </c>
      <c r="C69" s="2" t="s">
        <v>28</v>
      </c>
      <c r="D69" s="2" t="s">
        <v>97</v>
      </c>
      <c r="E69" s="2" t="s">
        <v>260</v>
      </c>
      <c r="F69" s="2" t="s">
        <v>99</v>
      </c>
      <c r="G69" s="2" t="s">
        <v>32</v>
      </c>
      <c r="H69" s="1"/>
      <c r="I69" s="2" t="s">
        <v>33</v>
      </c>
      <c r="J69" s="2" t="s">
        <v>34</v>
      </c>
      <c r="K69" s="2" t="s">
        <v>580</v>
      </c>
      <c r="L69" s="2" t="s">
        <v>581</v>
      </c>
      <c r="M69" s="2" t="s">
        <v>570</v>
      </c>
      <c r="N69" s="2" t="s">
        <v>38</v>
      </c>
      <c r="O69" s="2" t="s">
        <v>582</v>
      </c>
      <c r="P69" s="2" t="s">
        <v>572</v>
      </c>
      <c r="Q69" s="2" t="s">
        <v>583</v>
      </c>
      <c r="R69" s="2" t="s">
        <v>40</v>
      </c>
      <c r="S69" s="2" t="s">
        <v>584</v>
      </c>
      <c r="T69" s="2" t="s">
        <v>575</v>
      </c>
      <c r="U69" s="2" t="s">
        <v>585</v>
      </c>
      <c r="V69" s="2" t="s">
        <v>586</v>
      </c>
      <c r="W69" s="1"/>
      <c r="X69" s="2" t="s">
        <v>578</v>
      </c>
      <c r="Y69" s="2" t="s">
        <v>271</v>
      </c>
      <c r="AA69" t="str">
        <f t="shared" si="6"/>
        <v>2026-06</v>
      </c>
      <c r="AB69" t="str">
        <f t="shared" si="7"/>
        <v>H1_2026</v>
      </c>
      <c r="AC69">
        <f t="shared" si="8"/>
        <v>675275.58</v>
      </c>
      <c r="AD69">
        <f t="shared" si="9"/>
        <v>1206</v>
      </c>
      <c r="AE69">
        <f t="shared" si="10"/>
        <v>280584.7</v>
      </c>
      <c r="AF69" t="str">
        <f t="shared" si="11"/>
        <v>Paid</v>
      </c>
    </row>
    <row r="70" spans="1:32" ht="17.25" thickBot="1" x14ac:dyDescent="0.35">
      <c r="A70" s="2" t="s">
        <v>587</v>
      </c>
      <c r="B70" s="2" t="s">
        <v>27</v>
      </c>
      <c r="C70" s="2" t="s">
        <v>28</v>
      </c>
      <c r="D70" s="2" t="s">
        <v>97</v>
      </c>
      <c r="E70" s="2" t="s">
        <v>260</v>
      </c>
      <c r="F70" s="2" t="s">
        <v>99</v>
      </c>
      <c r="G70" s="2" t="s">
        <v>32</v>
      </c>
      <c r="H70" s="1"/>
      <c r="I70" s="2" t="s">
        <v>33</v>
      </c>
      <c r="J70" s="2" t="s">
        <v>34</v>
      </c>
      <c r="K70" s="2" t="s">
        <v>588</v>
      </c>
      <c r="L70" s="2" t="s">
        <v>589</v>
      </c>
      <c r="M70" s="2" t="s">
        <v>570</v>
      </c>
      <c r="N70" s="2" t="s">
        <v>38</v>
      </c>
      <c r="O70" s="2" t="s">
        <v>448</v>
      </c>
      <c r="P70" s="2" t="s">
        <v>572</v>
      </c>
      <c r="Q70" s="2" t="s">
        <v>590</v>
      </c>
      <c r="R70" s="2" t="s">
        <v>40</v>
      </c>
      <c r="S70" s="2" t="s">
        <v>591</v>
      </c>
      <c r="T70" s="2" t="s">
        <v>575</v>
      </c>
      <c r="U70" s="2" t="s">
        <v>592</v>
      </c>
      <c r="V70" s="2" t="s">
        <v>593</v>
      </c>
      <c r="W70" s="1"/>
      <c r="X70" s="2" t="s">
        <v>578</v>
      </c>
      <c r="Y70" s="2" t="s">
        <v>271</v>
      </c>
      <c r="AA70" t="str">
        <f t="shared" si="6"/>
        <v>2026-06</v>
      </c>
      <c r="AB70" t="str">
        <f t="shared" si="7"/>
        <v>H1_2026</v>
      </c>
      <c r="AC70">
        <f t="shared" si="8"/>
        <v>436745.4</v>
      </c>
      <c r="AD70">
        <f t="shared" si="9"/>
        <v>780</v>
      </c>
      <c r="AE70">
        <f t="shared" si="10"/>
        <v>181472.69</v>
      </c>
      <c r="AF70" t="str">
        <f t="shared" si="11"/>
        <v>Paid</v>
      </c>
    </row>
    <row r="71" spans="1:32" ht="27.75" thickBot="1" x14ac:dyDescent="0.35">
      <c r="A71" s="2" t="s">
        <v>594</v>
      </c>
      <c r="B71" s="2" t="s">
        <v>27</v>
      </c>
      <c r="C71" s="2" t="s">
        <v>28</v>
      </c>
      <c r="D71" s="2" t="s">
        <v>97</v>
      </c>
      <c r="E71" s="2" t="s">
        <v>260</v>
      </c>
      <c r="F71" s="2" t="s">
        <v>99</v>
      </c>
      <c r="G71" s="2" t="s">
        <v>32</v>
      </c>
      <c r="H71" s="1"/>
      <c r="I71" s="2" t="s">
        <v>33</v>
      </c>
      <c r="J71" s="2" t="s">
        <v>34</v>
      </c>
      <c r="K71" s="2" t="s">
        <v>595</v>
      </c>
      <c r="L71" s="2" t="s">
        <v>596</v>
      </c>
      <c r="M71" s="2" t="s">
        <v>570</v>
      </c>
      <c r="N71" s="2" t="s">
        <v>38</v>
      </c>
      <c r="O71" s="2" t="s">
        <v>283</v>
      </c>
      <c r="P71" s="2" t="s">
        <v>572</v>
      </c>
      <c r="Q71" s="2" t="s">
        <v>597</v>
      </c>
      <c r="R71" s="2" t="s">
        <v>40</v>
      </c>
      <c r="S71" s="2" t="s">
        <v>598</v>
      </c>
      <c r="T71" s="2" t="s">
        <v>575</v>
      </c>
      <c r="U71" s="2" t="s">
        <v>599</v>
      </c>
      <c r="V71" s="2" t="s">
        <v>600</v>
      </c>
      <c r="W71" s="1"/>
      <c r="X71" s="2" t="s">
        <v>578</v>
      </c>
      <c r="Y71" s="2" t="s">
        <v>271</v>
      </c>
      <c r="AA71" t="str">
        <f t="shared" si="6"/>
        <v>2026-06</v>
      </c>
      <c r="AB71" t="str">
        <f t="shared" si="7"/>
        <v>H1_2026</v>
      </c>
      <c r="AC71">
        <f t="shared" si="8"/>
        <v>341557.3</v>
      </c>
      <c r="AD71">
        <f t="shared" si="9"/>
        <v>610</v>
      </c>
      <c r="AE71">
        <f t="shared" si="10"/>
        <v>141920.95000000001</v>
      </c>
      <c r="AF71" t="str">
        <f t="shared" si="11"/>
        <v>Paid</v>
      </c>
    </row>
    <row r="72" spans="1:32" ht="17.25" thickBot="1" x14ac:dyDescent="0.35">
      <c r="A72" s="2" t="s">
        <v>466</v>
      </c>
      <c r="B72" s="2" t="s">
        <v>27</v>
      </c>
      <c r="C72" s="2" t="s">
        <v>28</v>
      </c>
      <c r="D72" s="2" t="s">
        <v>97</v>
      </c>
      <c r="E72" s="2" t="s">
        <v>260</v>
      </c>
      <c r="F72" s="2" t="s">
        <v>99</v>
      </c>
      <c r="G72" s="2" t="s">
        <v>32</v>
      </c>
      <c r="H72" s="1"/>
      <c r="I72" s="2" t="s">
        <v>33</v>
      </c>
      <c r="J72" s="2" t="s">
        <v>34</v>
      </c>
      <c r="K72" s="2" t="s">
        <v>601</v>
      </c>
      <c r="L72" s="2" t="s">
        <v>602</v>
      </c>
      <c r="M72" s="2" t="s">
        <v>570</v>
      </c>
      <c r="N72" s="2" t="s">
        <v>38</v>
      </c>
      <c r="O72" s="2" t="s">
        <v>167</v>
      </c>
      <c r="P72" s="2" t="s">
        <v>572</v>
      </c>
      <c r="Q72" s="2" t="s">
        <v>603</v>
      </c>
      <c r="R72" s="2" t="s">
        <v>40</v>
      </c>
      <c r="S72" s="2" t="s">
        <v>604</v>
      </c>
      <c r="T72" s="2" t="s">
        <v>575</v>
      </c>
      <c r="U72" s="2" t="s">
        <v>605</v>
      </c>
      <c r="V72" s="2" t="s">
        <v>606</v>
      </c>
      <c r="W72" s="1"/>
      <c r="X72" s="2" t="s">
        <v>578</v>
      </c>
      <c r="Y72" s="2" t="s">
        <v>271</v>
      </c>
      <c r="AA72" t="str">
        <f t="shared" si="6"/>
        <v>2026-06</v>
      </c>
      <c r="AB72" t="str">
        <f t="shared" si="7"/>
        <v>H1_2026</v>
      </c>
      <c r="AC72">
        <f t="shared" si="8"/>
        <v>447944</v>
      </c>
      <c r="AD72">
        <f t="shared" si="9"/>
        <v>800</v>
      </c>
      <c r="AE72">
        <f t="shared" si="10"/>
        <v>186125.84</v>
      </c>
      <c r="AF72" t="str">
        <f t="shared" si="11"/>
        <v>Paid</v>
      </c>
    </row>
    <row r="73" spans="1:32" ht="17.25" thickBot="1" x14ac:dyDescent="0.35">
      <c r="A73" s="2" t="s">
        <v>607</v>
      </c>
      <c r="B73" s="2" t="s">
        <v>27</v>
      </c>
      <c r="C73" s="2" t="s">
        <v>28</v>
      </c>
      <c r="D73" s="2" t="s">
        <v>97</v>
      </c>
      <c r="E73" s="2" t="s">
        <v>260</v>
      </c>
      <c r="F73" s="2" t="s">
        <v>99</v>
      </c>
      <c r="G73" s="2" t="s">
        <v>32</v>
      </c>
      <c r="H73" s="1"/>
      <c r="I73" s="2" t="s">
        <v>33</v>
      </c>
      <c r="J73" s="2" t="s">
        <v>34</v>
      </c>
      <c r="K73" s="2" t="s">
        <v>608</v>
      </c>
      <c r="L73" s="2" t="s">
        <v>609</v>
      </c>
      <c r="M73" s="2" t="s">
        <v>570</v>
      </c>
      <c r="N73" s="2" t="s">
        <v>38</v>
      </c>
      <c r="O73" s="2" t="s">
        <v>610</v>
      </c>
      <c r="P73" s="2" t="s">
        <v>572</v>
      </c>
      <c r="Q73" s="2" t="s">
        <v>611</v>
      </c>
      <c r="R73" s="2" t="s">
        <v>40</v>
      </c>
      <c r="S73" s="2" t="s">
        <v>612</v>
      </c>
      <c r="T73" s="2" t="s">
        <v>575</v>
      </c>
      <c r="U73" s="2" t="s">
        <v>613</v>
      </c>
      <c r="V73" s="2" t="s">
        <v>614</v>
      </c>
      <c r="W73" s="1"/>
      <c r="X73" s="2" t="s">
        <v>578</v>
      </c>
      <c r="Y73" s="2" t="s">
        <v>271</v>
      </c>
      <c r="AA73" t="str">
        <f t="shared" si="6"/>
        <v>2026-06</v>
      </c>
      <c r="AB73" t="str">
        <f t="shared" si="7"/>
        <v>H1_2026</v>
      </c>
      <c r="AC73">
        <f t="shared" si="8"/>
        <v>251968.5</v>
      </c>
      <c r="AD73">
        <f t="shared" si="9"/>
        <v>450</v>
      </c>
      <c r="AE73">
        <f t="shared" si="10"/>
        <v>104695.79</v>
      </c>
      <c r="AF73" t="str">
        <f t="shared" si="11"/>
        <v>Paid</v>
      </c>
    </row>
    <row r="74" spans="1:32" ht="17.25" thickBot="1" x14ac:dyDescent="0.35">
      <c r="A74" s="2" t="s">
        <v>615</v>
      </c>
      <c r="B74" s="2" t="s">
        <v>27</v>
      </c>
      <c r="C74" s="2" t="s">
        <v>28</v>
      </c>
      <c r="D74" s="2" t="s">
        <v>97</v>
      </c>
      <c r="E74" s="2" t="s">
        <v>260</v>
      </c>
      <c r="F74" s="2" t="s">
        <v>99</v>
      </c>
      <c r="G74" s="2" t="s">
        <v>32</v>
      </c>
      <c r="H74" s="1"/>
      <c r="I74" s="2" t="s">
        <v>33</v>
      </c>
      <c r="J74" s="2" t="s">
        <v>34</v>
      </c>
      <c r="K74" s="2" t="s">
        <v>616</v>
      </c>
      <c r="L74" s="2" t="s">
        <v>617</v>
      </c>
      <c r="M74" s="2" t="s">
        <v>570</v>
      </c>
      <c r="N74" s="2" t="s">
        <v>38</v>
      </c>
      <c r="O74" s="2" t="s">
        <v>618</v>
      </c>
      <c r="P74" s="2" t="s">
        <v>572</v>
      </c>
      <c r="Q74" s="2" t="s">
        <v>619</v>
      </c>
      <c r="R74" s="2" t="s">
        <v>40</v>
      </c>
      <c r="S74" s="2" t="s">
        <v>620</v>
      </c>
      <c r="T74" s="2" t="s">
        <v>575</v>
      </c>
      <c r="U74" s="2" t="s">
        <v>621</v>
      </c>
      <c r="V74" s="2" t="s">
        <v>622</v>
      </c>
      <c r="W74" s="1"/>
      <c r="X74" s="2" t="s">
        <v>578</v>
      </c>
      <c r="Y74" s="2" t="s">
        <v>271</v>
      </c>
      <c r="AA74" t="str">
        <f t="shared" si="6"/>
        <v>2026-06</v>
      </c>
      <c r="AB74" t="str">
        <f t="shared" si="7"/>
        <v>H1_2026</v>
      </c>
      <c r="AC74">
        <f t="shared" si="8"/>
        <v>403149.6</v>
      </c>
      <c r="AD74">
        <f t="shared" si="9"/>
        <v>720</v>
      </c>
      <c r="AE74">
        <f t="shared" si="10"/>
        <v>167513.26</v>
      </c>
      <c r="AF74" t="str">
        <f t="shared" si="11"/>
        <v>Paid</v>
      </c>
    </row>
    <row r="75" spans="1:32" ht="17.25" thickBot="1" x14ac:dyDescent="0.35">
      <c r="A75" s="2" t="s">
        <v>623</v>
      </c>
      <c r="B75" s="2" t="s">
        <v>27</v>
      </c>
      <c r="C75" s="2" t="s">
        <v>28</v>
      </c>
      <c r="D75" s="2" t="s">
        <v>97</v>
      </c>
      <c r="E75" s="2" t="s">
        <v>260</v>
      </c>
      <c r="F75" s="2" t="s">
        <v>99</v>
      </c>
      <c r="G75" s="2" t="s">
        <v>32</v>
      </c>
      <c r="H75" s="1"/>
      <c r="I75" s="2" t="s">
        <v>33</v>
      </c>
      <c r="J75" s="2" t="s">
        <v>34</v>
      </c>
      <c r="K75" s="2" t="s">
        <v>624</v>
      </c>
      <c r="L75" s="2" t="s">
        <v>625</v>
      </c>
      <c r="M75" s="2" t="s">
        <v>570</v>
      </c>
      <c r="N75" s="2" t="s">
        <v>38</v>
      </c>
      <c r="O75" s="2" t="s">
        <v>626</v>
      </c>
      <c r="P75" s="2" t="s">
        <v>572</v>
      </c>
      <c r="Q75" s="2" t="s">
        <v>627</v>
      </c>
      <c r="R75" s="2" t="s">
        <v>40</v>
      </c>
      <c r="S75" s="2" t="s">
        <v>628</v>
      </c>
      <c r="T75" s="2" t="s">
        <v>575</v>
      </c>
      <c r="U75" s="2" t="s">
        <v>629</v>
      </c>
      <c r="V75" s="2" t="s">
        <v>630</v>
      </c>
      <c r="W75" s="1"/>
      <c r="X75" s="2" t="s">
        <v>578</v>
      </c>
      <c r="Y75" s="2" t="s">
        <v>271</v>
      </c>
      <c r="AA75" t="str">
        <f t="shared" si="6"/>
        <v>2026-06</v>
      </c>
      <c r="AB75" t="str">
        <f t="shared" si="7"/>
        <v>H1_2026</v>
      </c>
      <c r="AC75">
        <f t="shared" si="8"/>
        <v>5901662.2000000002</v>
      </c>
      <c r="AD75">
        <f t="shared" si="9"/>
        <v>10540</v>
      </c>
      <c r="AE75">
        <f t="shared" si="10"/>
        <v>2452207.94</v>
      </c>
      <c r="AF75" t="str">
        <f t="shared" si="11"/>
        <v>Paid</v>
      </c>
    </row>
    <row r="76" spans="1:32" ht="27.75" thickBot="1" x14ac:dyDescent="0.35">
      <c r="A76" s="2" t="s">
        <v>631</v>
      </c>
      <c r="B76" s="2" t="s">
        <v>27</v>
      </c>
      <c r="C76" s="2" t="s">
        <v>28</v>
      </c>
      <c r="D76" s="2" t="s">
        <v>97</v>
      </c>
      <c r="E76" s="2" t="s">
        <v>260</v>
      </c>
      <c r="F76" s="2" t="s">
        <v>99</v>
      </c>
      <c r="G76" s="2" t="s">
        <v>32</v>
      </c>
      <c r="H76" s="1"/>
      <c r="I76" s="2" t="s">
        <v>33</v>
      </c>
      <c r="J76" s="2" t="s">
        <v>34</v>
      </c>
      <c r="K76" s="2" t="s">
        <v>632</v>
      </c>
      <c r="L76" s="2" t="s">
        <v>633</v>
      </c>
      <c r="M76" s="2" t="s">
        <v>634</v>
      </c>
      <c r="N76" s="2" t="s">
        <v>38</v>
      </c>
      <c r="O76" s="2" t="s">
        <v>391</v>
      </c>
      <c r="P76" s="2" t="s">
        <v>635</v>
      </c>
      <c r="Q76" s="2" t="s">
        <v>636</v>
      </c>
      <c r="R76" s="2" t="s">
        <v>40</v>
      </c>
      <c r="S76" s="2" t="s">
        <v>637</v>
      </c>
      <c r="T76" s="2" t="s">
        <v>638</v>
      </c>
      <c r="U76" s="2" t="s">
        <v>639</v>
      </c>
      <c r="V76" s="2" t="s">
        <v>640</v>
      </c>
      <c r="W76" s="1"/>
      <c r="X76" s="2" t="s">
        <v>641</v>
      </c>
      <c r="Y76" s="2" t="s">
        <v>271</v>
      </c>
      <c r="AA76" t="str">
        <f t="shared" si="6"/>
        <v>2026-06</v>
      </c>
      <c r="AB76" t="str">
        <f t="shared" si="7"/>
        <v>H1_2026</v>
      </c>
      <c r="AC76">
        <f t="shared" si="8"/>
        <v>960132.6</v>
      </c>
      <c r="AD76">
        <f t="shared" si="9"/>
        <v>60</v>
      </c>
      <c r="AE76">
        <f t="shared" si="10"/>
        <v>512532.6</v>
      </c>
      <c r="AF76" t="str">
        <f t="shared" si="11"/>
        <v>Paid</v>
      </c>
    </row>
    <row r="77" spans="1:32" ht="17.25" thickBot="1" x14ac:dyDescent="0.35">
      <c r="A77" s="2" t="s">
        <v>642</v>
      </c>
      <c r="B77" s="2" t="s">
        <v>27</v>
      </c>
      <c r="C77" s="2" t="s">
        <v>28</v>
      </c>
      <c r="D77" s="2" t="s">
        <v>97</v>
      </c>
      <c r="E77" s="2" t="s">
        <v>260</v>
      </c>
      <c r="F77" s="2" t="s">
        <v>99</v>
      </c>
      <c r="G77" s="2" t="s">
        <v>32</v>
      </c>
      <c r="H77" s="1"/>
      <c r="I77" s="2" t="s">
        <v>33</v>
      </c>
      <c r="J77" s="2" t="s">
        <v>34</v>
      </c>
      <c r="K77" s="2" t="s">
        <v>643</v>
      </c>
      <c r="L77" s="2" t="s">
        <v>644</v>
      </c>
      <c r="M77" s="2" t="s">
        <v>634</v>
      </c>
      <c r="N77" s="2" t="s">
        <v>38</v>
      </c>
      <c r="O77" s="2" t="s">
        <v>645</v>
      </c>
      <c r="P77" s="2" t="s">
        <v>646</v>
      </c>
      <c r="Q77" s="2" t="s">
        <v>647</v>
      </c>
      <c r="R77" s="2" t="s">
        <v>40</v>
      </c>
      <c r="S77" s="2" t="s">
        <v>648</v>
      </c>
      <c r="T77" s="2" t="s">
        <v>267</v>
      </c>
      <c r="U77" s="2" t="s">
        <v>649</v>
      </c>
      <c r="V77" s="2" t="s">
        <v>650</v>
      </c>
      <c r="W77" s="1"/>
      <c r="X77" s="2" t="s">
        <v>651</v>
      </c>
      <c r="Y77" s="2" t="s">
        <v>271</v>
      </c>
      <c r="AA77" t="str">
        <f t="shared" si="6"/>
        <v>2026-06</v>
      </c>
      <c r="AB77" t="str">
        <f t="shared" si="7"/>
        <v>H1_2026</v>
      </c>
      <c r="AC77">
        <f t="shared" si="8"/>
        <v>1615692.75</v>
      </c>
      <c r="AD77">
        <f t="shared" si="9"/>
        <v>170</v>
      </c>
      <c r="AE77">
        <f t="shared" si="10"/>
        <v>493692.75</v>
      </c>
      <c r="AF77" t="str">
        <f t="shared" si="11"/>
        <v>Paid</v>
      </c>
    </row>
    <row r="78" spans="1:32" ht="17.25" thickBot="1" x14ac:dyDescent="0.35">
      <c r="A78" s="2" t="s">
        <v>652</v>
      </c>
      <c r="B78" s="2" t="s">
        <v>27</v>
      </c>
      <c r="C78" s="2" t="s">
        <v>28</v>
      </c>
      <c r="D78" s="2" t="s">
        <v>97</v>
      </c>
      <c r="E78" s="2" t="s">
        <v>260</v>
      </c>
      <c r="F78" s="2" t="s">
        <v>99</v>
      </c>
      <c r="G78" s="2" t="s">
        <v>32</v>
      </c>
      <c r="H78" s="1"/>
      <c r="I78" s="2" t="s">
        <v>33</v>
      </c>
      <c r="J78" s="2" t="s">
        <v>34</v>
      </c>
      <c r="K78" s="2" t="s">
        <v>653</v>
      </c>
      <c r="L78" s="2" t="s">
        <v>654</v>
      </c>
      <c r="M78" s="2" t="s">
        <v>634</v>
      </c>
      <c r="N78" s="2" t="s">
        <v>38</v>
      </c>
      <c r="O78" s="2" t="s">
        <v>114</v>
      </c>
      <c r="P78" s="2" t="s">
        <v>655</v>
      </c>
      <c r="Q78" s="2" t="s">
        <v>656</v>
      </c>
      <c r="R78" s="2" t="s">
        <v>40</v>
      </c>
      <c r="S78" s="2" t="s">
        <v>657</v>
      </c>
      <c r="T78" s="2" t="s">
        <v>658</v>
      </c>
      <c r="U78" s="2" t="s">
        <v>659</v>
      </c>
      <c r="V78" s="2" t="s">
        <v>660</v>
      </c>
      <c r="W78" s="1"/>
      <c r="X78" s="2" t="s">
        <v>661</v>
      </c>
      <c r="Y78" s="2" t="s">
        <v>271</v>
      </c>
      <c r="AA78" t="str">
        <f t="shared" si="6"/>
        <v>2026-06</v>
      </c>
      <c r="AB78" t="str">
        <f t="shared" si="7"/>
        <v>H1_2026</v>
      </c>
      <c r="AC78">
        <f t="shared" si="8"/>
        <v>2822047.2</v>
      </c>
      <c r="AD78">
        <f t="shared" si="9"/>
        <v>240</v>
      </c>
      <c r="AE78">
        <f t="shared" si="10"/>
        <v>446047.2</v>
      </c>
      <c r="AF78" t="str">
        <f t="shared" si="11"/>
        <v>Paid</v>
      </c>
    </row>
    <row r="79" spans="1:32" ht="17.25" thickBot="1" x14ac:dyDescent="0.35">
      <c r="A79" s="2" t="s">
        <v>662</v>
      </c>
      <c r="B79" s="2" t="s">
        <v>27</v>
      </c>
      <c r="C79" s="2" t="s">
        <v>28</v>
      </c>
      <c r="D79" s="2" t="s">
        <v>97</v>
      </c>
      <c r="E79" s="2" t="s">
        <v>260</v>
      </c>
      <c r="F79" s="2" t="s">
        <v>99</v>
      </c>
      <c r="G79" s="2" t="s">
        <v>32</v>
      </c>
      <c r="H79" s="1"/>
      <c r="I79" s="2" t="s">
        <v>33</v>
      </c>
      <c r="J79" s="2" t="s">
        <v>34</v>
      </c>
      <c r="K79" s="2" t="s">
        <v>663</v>
      </c>
      <c r="L79" s="2" t="s">
        <v>664</v>
      </c>
      <c r="M79" s="2" t="s">
        <v>634</v>
      </c>
      <c r="N79" s="2" t="s">
        <v>38</v>
      </c>
      <c r="O79" s="2" t="s">
        <v>665</v>
      </c>
      <c r="P79" s="2" t="s">
        <v>666</v>
      </c>
      <c r="Q79" s="2" t="s">
        <v>667</v>
      </c>
      <c r="R79" s="2" t="s">
        <v>40</v>
      </c>
      <c r="S79" s="2" t="s">
        <v>668</v>
      </c>
      <c r="T79" s="2" t="s">
        <v>669</v>
      </c>
      <c r="U79" s="2" t="s">
        <v>670</v>
      </c>
      <c r="V79" s="2" t="s">
        <v>671</v>
      </c>
      <c r="W79" s="1"/>
      <c r="X79" s="2" t="s">
        <v>672</v>
      </c>
      <c r="Y79" s="2" t="s">
        <v>271</v>
      </c>
      <c r="AA79" t="str">
        <f t="shared" si="6"/>
        <v>2026-06</v>
      </c>
      <c r="AB79" t="str">
        <f t="shared" si="7"/>
        <v>H1_2026</v>
      </c>
      <c r="AC79">
        <f t="shared" si="8"/>
        <v>2351706</v>
      </c>
      <c r="AD79">
        <f t="shared" si="9"/>
        <v>210</v>
      </c>
      <c r="AE79">
        <f t="shared" si="10"/>
        <v>1091706</v>
      </c>
      <c r="AF79" t="str">
        <f t="shared" si="11"/>
        <v>Paid</v>
      </c>
    </row>
    <row r="80" spans="1:32" ht="27.75" thickBot="1" x14ac:dyDescent="0.35">
      <c r="A80" s="2" t="s">
        <v>673</v>
      </c>
      <c r="B80" s="2" t="s">
        <v>27</v>
      </c>
      <c r="C80" s="2" t="s">
        <v>28</v>
      </c>
      <c r="D80" s="2" t="s">
        <v>97</v>
      </c>
      <c r="E80" s="2" t="s">
        <v>260</v>
      </c>
      <c r="F80" s="2" t="s">
        <v>99</v>
      </c>
      <c r="G80" s="2" t="s">
        <v>32</v>
      </c>
      <c r="H80" s="1"/>
      <c r="I80" s="2" t="s">
        <v>33</v>
      </c>
      <c r="J80" s="2" t="s">
        <v>34</v>
      </c>
      <c r="K80" s="2" t="s">
        <v>674</v>
      </c>
      <c r="L80" s="2" t="s">
        <v>675</v>
      </c>
      <c r="M80" s="2" t="s">
        <v>634</v>
      </c>
      <c r="N80" s="2" t="s">
        <v>38</v>
      </c>
      <c r="O80" s="2" t="s">
        <v>676</v>
      </c>
      <c r="P80" s="2" t="s">
        <v>666</v>
      </c>
      <c r="Q80" s="2" t="s">
        <v>677</v>
      </c>
      <c r="R80" s="2" t="s">
        <v>40</v>
      </c>
      <c r="S80" s="2" t="s">
        <v>678</v>
      </c>
      <c r="T80" s="2" t="s">
        <v>669</v>
      </c>
      <c r="U80" s="2" t="s">
        <v>679</v>
      </c>
      <c r="V80" s="2" t="s">
        <v>680</v>
      </c>
      <c r="W80" s="1"/>
      <c r="X80" s="2" t="s">
        <v>672</v>
      </c>
      <c r="Y80" s="2" t="s">
        <v>271</v>
      </c>
      <c r="AA80" t="str">
        <f t="shared" si="6"/>
        <v>2026-06</v>
      </c>
      <c r="AB80" t="str">
        <f t="shared" si="7"/>
        <v>H1_2026</v>
      </c>
      <c r="AC80">
        <f t="shared" si="8"/>
        <v>4143482</v>
      </c>
      <c r="AD80">
        <f t="shared" si="9"/>
        <v>370</v>
      </c>
      <c r="AE80">
        <f t="shared" si="10"/>
        <v>1923482</v>
      </c>
      <c r="AF80" t="str">
        <f t="shared" si="11"/>
        <v>Paid</v>
      </c>
    </row>
    <row r="81" spans="1:32" ht="17.25" thickBot="1" x14ac:dyDescent="0.35">
      <c r="A81" s="2" t="s">
        <v>681</v>
      </c>
      <c r="B81" s="2" t="s">
        <v>27</v>
      </c>
      <c r="C81" s="2" t="s">
        <v>28</v>
      </c>
      <c r="D81" s="2" t="s">
        <v>97</v>
      </c>
      <c r="E81" s="2" t="s">
        <v>260</v>
      </c>
      <c r="F81" s="2" t="s">
        <v>99</v>
      </c>
      <c r="G81" s="2" t="s">
        <v>32</v>
      </c>
      <c r="H81" s="1"/>
      <c r="I81" s="2" t="s">
        <v>33</v>
      </c>
      <c r="J81" s="2" t="s">
        <v>34</v>
      </c>
      <c r="K81" s="2" t="s">
        <v>682</v>
      </c>
      <c r="L81" s="2" t="s">
        <v>683</v>
      </c>
      <c r="M81" s="2" t="s">
        <v>634</v>
      </c>
      <c r="N81" s="2" t="s">
        <v>38</v>
      </c>
      <c r="O81" s="2" t="s">
        <v>141</v>
      </c>
      <c r="P81" s="2" t="s">
        <v>684</v>
      </c>
      <c r="Q81" s="2" t="s">
        <v>685</v>
      </c>
      <c r="R81" s="2" t="s">
        <v>40</v>
      </c>
      <c r="S81" s="2" t="s">
        <v>686</v>
      </c>
      <c r="T81" s="2" t="s">
        <v>687</v>
      </c>
      <c r="U81" s="2" t="s">
        <v>688</v>
      </c>
      <c r="V81" s="2" t="s">
        <v>689</v>
      </c>
      <c r="W81" s="1"/>
      <c r="X81" s="2" t="s">
        <v>690</v>
      </c>
      <c r="Y81" s="2" t="s">
        <v>271</v>
      </c>
      <c r="AA81" t="str">
        <f t="shared" si="6"/>
        <v>2026-06</v>
      </c>
      <c r="AB81" t="str">
        <f t="shared" si="7"/>
        <v>H1_2026</v>
      </c>
      <c r="AC81">
        <f t="shared" si="8"/>
        <v>359828.7</v>
      </c>
      <c r="AD81">
        <f t="shared" si="9"/>
        <v>30</v>
      </c>
      <c r="AE81">
        <f t="shared" si="10"/>
        <v>168728.7</v>
      </c>
      <c r="AF81" t="str">
        <f t="shared" si="11"/>
        <v>Paid</v>
      </c>
    </row>
    <row r="82" spans="1:32" ht="17.25" thickBot="1" x14ac:dyDescent="0.35">
      <c r="A82" s="2" t="s">
        <v>159</v>
      </c>
      <c r="B82" s="2" t="s">
        <v>27</v>
      </c>
      <c r="C82" s="2" t="s">
        <v>28</v>
      </c>
      <c r="D82" s="2" t="s">
        <v>97</v>
      </c>
      <c r="E82" s="2" t="s">
        <v>260</v>
      </c>
      <c r="F82" s="2" t="s">
        <v>99</v>
      </c>
      <c r="G82" s="2" t="s">
        <v>32</v>
      </c>
      <c r="H82" s="1"/>
      <c r="I82" s="2" t="s">
        <v>33</v>
      </c>
      <c r="J82" s="2" t="s">
        <v>34</v>
      </c>
      <c r="K82" s="2" t="s">
        <v>691</v>
      </c>
      <c r="L82" s="2" t="s">
        <v>692</v>
      </c>
      <c r="M82" s="2" t="s">
        <v>634</v>
      </c>
      <c r="N82" s="2" t="s">
        <v>38</v>
      </c>
      <c r="O82" s="2" t="s">
        <v>221</v>
      </c>
      <c r="P82" s="2" t="s">
        <v>635</v>
      </c>
      <c r="Q82" s="2" t="s">
        <v>693</v>
      </c>
      <c r="R82" s="2" t="s">
        <v>40</v>
      </c>
      <c r="S82" s="2" t="s">
        <v>694</v>
      </c>
      <c r="T82" s="2" t="s">
        <v>658</v>
      </c>
      <c r="U82" s="2" t="s">
        <v>695</v>
      </c>
      <c r="V82" s="2" t="s">
        <v>696</v>
      </c>
      <c r="W82" s="1"/>
      <c r="X82" s="2" t="s">
        <v>697</v>
      </c>
      <c r="Y82" s="2" t="s">
        <v>271</v>
      </c>
      <c r="AA82" t="str">
        <f t="shared" si="6"/>
        <v>2026-06</v>
      </c>
      <c r="AB82" t="str">
        <f t="shared" si="7"/>
        <v>H1_2026</v>
      </c>
      <c r="AC82">
        <f t="shared" si="8"/>
        <v>2240309.4</v>
      </c>
      <c r="AD82">
        <f t="shared" si="9"/>
        <v>140</v>
      </c>
      <c r="AE82">
        <f t="shared" si="10"/>
        <v>854309.4</v>
      </c>
      <c r="AF82" t="str">
        <f t="shared" si="11"/>
        <v>Paid</v>
      </c>
    </row>
    <row r="83" spans="1:32" ht="17.25" thickBot="1" x14ac:dyDescent="0.35">
      <c r="A83" s="2" t="s">
        <v>698</v>
      </c>
      <c r="B83" s="2" t="s">
        <v>27</v>
      </c>
      <c r="C83" s="2" t="s">
        <v>28</v>
      </c>
      <c r="D83" s="2" t="s">
        <v>97</v>
      </c>
      <c r="E83" s="2" t="s">
        <v>260</v>
      </c>
      <c r="F83" s="2" t="s">
        <v>99</v>
      </c>
      <c r="G83" s="2" t="s">
        <v>32</v>
      </c>
      <c r="H83" s="1"/>
      <c r="I83" s="2" t="s">
        <v>33</v>
      </c>
      <c r="J83" s="2" t="s">
        <v>34</v>
      </c>
      <c r="K83" s="2" t="s">
        <v>699</v>
      </c>
      <c r="L83" s="2" t="s">
        <v>700</v>
      </c>
      <c r="M83" s="2" t="s">
        <v>701</v>
      </c>
      <c r="N83" s="2" t="s">
        <v>38</v>
      </c>
      <c r="O83" s="2" t="s">
        <v>702</v>
      </c>
      <c r="P83" s="2" t="s">
        <v>703</v>
      </c>
      <c r="Q83" s="2" t="s">
        <v>704</v>
      </c>
      <c r="R83" s="2" t="s">
        <v>40</v>
      </c>
      <c r="S83" s="2" t="s">
        <v>705</v>
      </c>
      <c r="T83" s="2" t="s">
        <v>706</v>
      </c>
      <c r="U83" s="2" t="s">
        <v>707</v>
      </c>
      <c r="V83" s="2" t="s">
        <v>708</v>
      </c>
      <c r="W83" s="1"/>
      <c r="X83" s="2" t="s">
        <v>709</v>
      </c>
      <c r="Y83" s="2" t="s">
        <v>271</v>
      </c>
      <c r="AA83" t="str">
        <f t="shared" si="6"/>
        <v>2026-06</v>
      </c>
      <c r="AB83" t="str">
        <f t="shared" si="7"/>
        <v>H1_2026</v>
      </c>
      <c r="AC83">
        <f t="shared" si="8"/>
        <v>13506837.75</v>
      </c>
      <c r="AD83">
        <f t="shared" si="9"/>
        <v>1350</v>
      </c>
      <c r="AE83">
        <f t="shared" si="10"/>
        <v>2166837.75</v>
      </c>
      <c r="AF83" t="str">
        <f t="shared" si="11"/>
        <v>Paid</v>
      </c>
    </row>
    <row r="84" spans="1:32" ht="17.25" thickBot="1" x14ac:dyDescent="0.35">
      <c r="A84" s="2" t="s">
        <v>710</v>
      </c>
      <c r="B84" s="2" t="s">
        <v>27</v>
      </c>
      <c r="C84" s="2" t="s">
        <v>28</v>
      </c>
      <c r="D84" s="2" t="s">
        <v>97</v>
      </c>
      <c r="E84" s="2" t="s">
        <v>260</v>
      </c>
      <c r="F84" s="2" t="s">
        <v>99</v>
      </c>
      <c r="G84" s="2" t="s">
        <v>32</v>
      </c>
      <c r="H84" s="1"/>
      <c r="I84" s="2" t="s">
        <v>33</v>
      </c>
      <c r="J84" s="2" t="s">
        <v>34</v>
      </c>
      <c r="K84" s="2" t="s">
        <v>711</v>
      </c>
      <c r="L84" s="2" t="s">
        <v>712</v>
      </c>
      <c r="M84" s="2" t="s">
        <v>701</v>
      </c>
      <c r="N84" s="2" t="s">
        <v>38</v>
      </c>
      <c r="O84" s="2" t="s">
        <v>713</v>
      </c>
      <c r="P84" s="2" t="s">
        <v>684</v>
      </c>
      <c r="Q84" s="2" t="s">
        <v>714</v>
      </c>
      <c r="R84" s="2" t="s">
        <v>40</v>
      </c>
      <c r="S84" s="2" t="s">
        <v>715</v>
      </c>
      <c r="T84" s="2" t="s">
        <v>716</v>
      </c>
      <c r="U84" s="2" t="s">
        <v>717</v>
      </c>
      <c r="V84" s="2" t="s">
        <v>718</v>
      </c>
      <c r="W84" s="1"/>
      <c r="X84" s="2" t="s">
        <v>709</v>
      </c>
      <c r="Y84" s="2" t="s">
        <v>271</v>
      </c>
      <c r="AA84" t="str">
        <f t="shared" si="6"/>
        <v>2026-06</v>
      </c>
      <c r="AB84" t="str">
        <f t="shared" si="7"/>
        <v>H1_2026</v>
      </c>
      <c r="AC84">
        <f t="shared" si="8"/>
        <v>100032378.59999999</v>
      </c>
      <c r="AD84">
        <f t="shared" si="9"/>
        <v>8340</v>
      </c>
      <c r="AE84">
        <f t="shared" si="10"/>
        <v>15965178.6</v>
      </c>
      <c r="AF84" t="str">
        <f t="shared" si="11"/>
        <v>Paid</v>
      </c>
    </row>
    <row r="85" spans="1:32" ht="17.25" thickBot="1" x14ac:dyDescent="0.35">
      <c r="A85" s="2" t="s">
        <v>719</v>
      </c>
      <c r="B85" s="2" t="s">
        <v>27</v>
      </c>
      <c r="C85" s="2" t="s">
        <v>28</v>
      </c>
      <c r="D85" s="2" t="s">
        <v>97</v>
      </c>
      <c r="E85" s="2" t="s">
        <v>260</v>
      </c>
      <c r="F85" s="2" t="s">
        <v>99</v>
      </c>
      <c r="G85" s="2" t="s">
        <v>32</v>
      </c>
      <c r="H85" s="1"/>
      <c r="I85" s="2" t="s">
        <v>33</v>
      </c>
      <c r="J85" s="2" t="s">
        <v>34</v>
      </c>
      <c r="K85" s="2" t="s">
        <v>720</v>
      </c>
      <c r="L85" s="2" t="s">
        <v>721</v>
      </c>
      <c r="M85" s="2" t="s">
        <v>701</v>
      </c>
      <c r="N85" s="2" t="s">
        <v>38</v>
      </c>
      <c r="O85" s="2" t="s">
        <v>722</v>
      </c>
      <c r="P85" s="2" t="s">
        <v>723</v>
      </c>
      <c r="Q85" s="2" t="s">
        <v>724</v>
      </c>
      <c r="R85" s="2" t="s">
        <v>40</v>
      </c>
      <c r="S85" s="2" t="s">
        <v>725</v>
      </c>
      <c r="T85" s="2" t="s">
        <v>726</v>
      </c>
      <c r="U85" s="2" t="s">
        <v>727</v>
      </c>
      <c r="V85" s="2" t="s">
        <v>728</v>
      </c>
      <c r="W85" s="1"/>
      <c r="X85" s="2" t="s">
        <v>709</v>
      </c>
      <c r="Y85" s="2" t="s">
        <v>271</v>
      </c>
      <c r="AA85" t="str">
        <f t="shared" si="6"/>
        <v>2026-06</v>
      </c>
      <c r="AB85" t="str">
        <f t="shared" si="7"/>
        <v>H1_2026</v>
      </c>
      <c r="AC85">
        <f t="shared" si="8"/>
        <v>10449074.76</v>
      </c>
      <c r="AD85">
        <f t="shared" si="9"/>
        <v>1229</v>
      </c>
      <c r="AE85">
        <f t="shared" si="10"/>
        <v>1674014.76</v>
      </c>
      <c r="AF85" t="str">
        <f t="shared" si="11"/>
        <v>Paid</v>
      </c>
    </row>
    <row r="86" spans="1:32" ht="17.25" thickBot="1" x14ac:dyDescent="0.35">
      <c r="A86" s="2" t="s">
        <v>729</v>
      </c>
      <c r="B86" s="2" t="s">
        <v>27</v>
      </c>
      <c r="C86" s="2" t="s">
        <v>28</v>
      </c>
      <c r="D86" s="2" t="s">
        <v>97</v>
      </c>
      <c r="E86" s="2" t="s">
        <v>260</v>
      </c>
      <c r="F86" s="2" t="s">
        <v>99</v>
      </c>
      <c r="G86" s="2" t="s">
        <v>32</v>
      </c>
      <c r="H86" s="1"/>
      <c r="I86" s="2" t="s">
        <v>33</v>
      </c>
      <c r="J86" s="2" t="s">
        <v>34</v>
      </c>
      <c r="K86" s="2" t="s">
        <v>730</v>
      </c>
      <c r="L86" s="2" t="s">
        <v>731</v>
      </c>
      <c r="M86" s="2" t="s">
        <v>701</v>
      </c>
      <c r="N86" s="2" t="s">
        <v>38</v>
      </c>
      <c r="O86" s="2" t="s">
        <v>732</v>
      </c>
      <c r="P86" s="2" t="s">
        <v>684</v>
      </c>
      <c r="Q86" s="2" t="s">
        <v>733</v>
      </c>
      <c r="R86" s="2" t="s">
        <v>40</v>
      </c>
      <c r="S86" s="2" t="s">
        <v>734</v>
      </c>
      <c r="T86" s="2" t="s">
        <v>716</v>
      </c>
      <c r="U86" s="2" t="s">
        <v>735</v>
      </c>
      <c r="V86" s="2" t="s">
        <v>736</v>
      </c>
      <c r="W86" s="1"/>
      <c r="X86" s="2" t="s">
        <v>709</v>
      </c>
      <c r="Y86" s="2" t="s">
        <v>271</v>
      </c>
      <c r="AA86" t="str">
        <f t="shared" si="6"/>
        <v>2026-06</v>
      </c>
      <c r="AB86" t="str">
        <f t="shared" si="7"/>
        <v>H1_2026</v>
      </c>
      <c r="AC86">
        <f t="shared" si="8"/>
        <v>44162975.780000001</v>
      </c>
      <c r="AD86">
        <f t="shared" si="9"/>
        <v>3682</v>
      </c>
      <c r="AE86">
        <f t="shared" si="10"/>
        <v>7048415.7800000003</v>
      </c>
      <c r="AF86" t="str">
        <f t="shared" si="11"/>
        <v>Paid</v>
      </c>
    </row>
    <row r="87" spans="1:32" ht="17.25" thickBot="1" x14ac:dyDescent="0.35">
      <c r="A87" s="2" t="s">
        <v>737</v>
      </c>
      <c r="B87" s="2" t="s">
        <v>27</v>
      </c>
      <c r="C87" s="2" t="s">
        <v>28</v>
      </c>
      <c r="D87" s="2" t="s">
        <v>97</v>
      </c>
      <c r="E87" s="2" t="s">
        <v>260</v>
      </c>
      <c r="F87" s="2" t="s">
        <v>99</v>
      </c>
      <c r="G87" s="2" t="s">
        <v>32</v>
      </c>
      <c r="H87" s="1"/>
      <c r="I87" s="2" t="s">
        <v>33</v>
      </c>
      <c r="J87" s="2" t="s">
        <v>34</v>
      </c>
      <c r="K87" s="2" t="s">
        <v>738</v>
      </c>
      <c r="L87" s="2" t="s">
        <v>739</v>
      </c>
      <c r="M87" s="2" t="s">
        <v>701</v>
      </c>
      <c r="N87" s="2" t="s">
        <v>38</v>
      </c>
      <c r="O87" s="2" t="s">
        <v>740</v>
      </c>
      <c r="P87" s="2" t="s">
        <v>684</v>
      </c>
      <c r="Q87" s="2" t="s">
        <v>741</v>
      </c>
      <c r="R87" s="2" t="s">
        <v>40</v>
      </c>
      <c r="S87" s="2" t="s">
        <v>742</v>
      </c>
      <c r="T87" s="2" t="s">
        <v>716</v>
      </c>
      <c r="U87" s="2" t="s">
        <v>743</v>
      </c>
      <c r="V87" s="2" t="s">
        <v>744</v>
      </c>
      <c r="W87" s="1"/>
      <c r="X87" s="2" t="s">
        <v>709</v>
      </c>
      <c r="Y87" s="2" t="s">
        <v>271</v>
      </c>
      <c r="AA87" t="str">
        <f t="shared" si="6"/>
        <v>2026-06</v>
      </c>
      <c r="AB87" t="str">
        <f t="shared" si="7"/>
        <v>H1_2026</v>
      </c>
      <c r="AC87">
        <f t="shared" si="8"/>
        <v>17223800.440000001</v>
      </c>
      <c r="AD87">
        <f t="shared" si="9"/>
        <v>1436</v>
      </c>
      <c r="AE87">
        <f t="shared" si="10"/>
        <v>2748920.44</v>
      </c>
      <c r="AF87" t="str">
        <f t="shared" si="11"/>
        <v>Paid</v>
      </c>
    </row>
    <row r="88" spans="1:32" ht="17.25" thickBot="1" x14ac:dyDescent="0.35">
      <c r="A88" s="2" t="s">
        <v>745</v>
      </c>
      <c r="B88" s="2" t="s">
        <v>27</v>
      </c>
      <c r="C88" s="2" t="s">
        <v>28</v>
      </c>
      <c r="D88" s="2" t="s">
        <v>97</v>
      </c>
      <c r="E88" s="2" t="s">
        <v>260</v>
      </c>
      <c r="F88" s="2" t="s">
        <v>99</v>
      </c>
      <c r="G88" s="2" t="s">
        <v>32</v>
      </c>
      <c r="H88" s="1"/>
      <c r="I88" s="2" t="s">
        <v>33</v>
      </c>
      <c r="J88" s="2" t="s">
        <v>34</v>
      </c>
      <c r="K88" s="2" t="s">
        <v>746</v>
      </c>
      <c r="L88" s="2" t="s">
        <v>747</v>
      </c>
      <c r="M88" s="2" t="s">
        <v>701</v>
      </c>
      <c r="N88" s="2" t="s">
        <v>38</v>
      </c>
      <c r="O88" s="2" t="s">
        <v>748</v>
      </c>
      <c r="P88" s="2" t="s">
        <v>684</v>
      </c>
      <c r="Q88" s="2" t="s">
        <v>749</v>
      </c>
      <c r="R88" s="2" t="s">
        <v>40</v>
      </c>
      <c r="S88" s="2" t="s">
        <v>750</v>
      </c>
      <c r="T88" s="2" t="s">
        <v>716</v>
      </c>
      <c r="U88" s="2" t="s">
        <v>751</v>
      </c>
      <c r="V88" s="2" t="s">
        <v>752</v>
      </c>
      <c r="W88" s="1"/>
      <c r="X88" s="2" t="s">
        <v>709</v>
      </c>
      <c r="Y88" s="2" t="s">
        <v>271</v>
      </c>
      <c r="AA88" t="str">
        <f t="shared" si="6"/>
        <v>2026-06</v>
      </c>
      <c r="AB88" t="str">
        <f t="shared" si="7"/>
        <v>H1_2026</v>
      </c>
      <c r="AC88">
        <f t="shared" si="8"/>
        <v>3358401.2</v>
      </c>
      <c r="AD88">
        <f t="shared" si="9"/>
        <v>280</v>
      </c>
      <c r="AE88">
        <f t="shared" si="10"/>
        <v>536001.19999999995</v>
      </c>
      <c r="AF88" t="str">
        <f t="shared" si="11"/>
        <v>Paid</v>
      </c>
    </row>
    <row r="89" spans="1:32" ht="17.25" thickBot="1" x14ac:dyDescent="0.35">
      <c r="A89" s="2" t="s">
        <v>753</v>
      </c>
      <c r="B89" s="2" t="s">
        <v>27</v>
      </c>
      <c r="C89" s="2" t="s">
        <v>28</v>
      </c>
      <c r="D89" s="2" t="s">
        <v>97</v>
      </c>
      <c r="E89" s="2" t="s">
        <v>260</v>
      </c>
      <c r="F89" s="2" t="s">
        <v>99</v>
      </c>
      <c r="G89" s="2" t="s">
        <v>32</v>
      </c>
      <c r="H89" s="1"/>
      <c r="I89" s="2" t="s">
        <v>33</v>
      </c>
      <c r="J89" s="2" t="s">
        <v>34</v>
      </c>
      <c r="K89" s="2" t="s">
        <v>754</v>
      </c>
      <c r="L89" s="2" t="s">
        <v>755</v>
      </c>
      <c r="M89" s="2" t="s">
        <v>701</v>
      </c>
      <c r="N89" s="2" t="s">
        <v>38</v>
      </c>
      <c r="O89" s="2" t="s">
        <v>221</v>
      </c>
      <c r="P89" s="2" t="s">
        <v>756</v>
      </c>
      <c r="Q89" s="2" t="s">
        <v>757</v>
      </c>
      <c r="R89" s="2" t="s">
        <v>40</v>
      </c>
      <c r="S89" s="2" t="s">
        <v>758</v>
      </c>
      <c r="T89" s="2" t="s">
        <v>759</v>
      </c>
      <c r="U89" s="2" t="s">
        <v>760</v>
      </c>
      <c r="V89" s="2" t="s">
        <v>761</v>
      </c>
      <c r="W89" s="1"/>
      <c r="X89" s="2" t="s">
        <v>709</v>
      </c>
      <c r="Y89" s="2" t="s">
        <v>271</v>
      </c>
      <c r="AA89" t="str">
        <f t="shared" si="6"/>
        <v>2026-06</v>
      </c>
      <c r="AB89" t="str">
        <f t="shared" si="7"/>
        <v>H1_2026</v>
      </c>
      <c r="AC89">
        <f t="shared" si="8"/>
        <v>1260431.8999999999</v>
      </c>
      <c r="AD89">
        <f t="shared" si="9"/>
        <v>140</v>
      </c>
      <c r="AE89">
        <f t="shared" si="10"/>
        <v>202031.9</v>
      </c>
      <c r="AF89" t="str">
        <f t="shared" si="11"/>
        <v>Paid</v>
      </c>
    </row>
    <row r="90" spans="1:32" ht="17.25" thickBot="1" x14ac:dyDescent="0.35">
      <c r="A90" s="2" t="s">
        <v>762</v>
      </c>
      <c r="B90" s="2" t="s">
        <v>27</v>
      </c>
      <c r="C90" s="2" t="s">
        <v>28</v>
      </c>
      <c r="D90" s="2" t="s">
        <v>97</v>
      </c>
      <c r="E90" s="2" t="s">
        <v>260</v>
      </c>
      <c r="F90" s="2" t="s">
        <v>99</v>
      </c>
      <c r="G90" s="2" t="s">
        <v>32</v>
      </c>
      <c r="H90" s="1"/>
      <c r="I90" s="2" t="s">
        <v>33</v>
      </c>
      <c r="J90" s="2" t="s">
        <v>34</v>
      </c>
      <c r="K90" s="2" t="s">
        <v>763</v>
      </c>
      <c r="L90" s="2" t="s">
        <v>764</v>
      </c>
      <c r="M90" s="2" t="s">
        <v>701</v>
      </c>
      <c r="N90" s="2" t="s">
        <v>38</v>
      </c>
      <c r="O90" s="2" t="s">
        <v>131</v>
      </c>
      <c r="P90" s="2" t="s">
        <v>756</v>
      </c>
      <c r="Q90" s="2" t="s">
        <v>765</v>
      </c>
      <c r="R90" s="2" t="s">
        <v>40</v>
      </c>
      <c r="S90" s="2" t="s">
        <v>766</v>
      </c>
      <c r="T90" s="2" t="s">
        <v>759</v>
      </c>
      <c r="U90" s="2" t="s">
        <v>767</v>
      </c>
      <c r="V90" s="2" t="s">
        <v>768</v>
      </c>
      <c r="W90" s="1"/>
      <c r="X90" s="2" t="s">
        <v>709</v>
      </c>
      <c r="Y90" s="2" t="s">
        <v>271</v>
      </c>
      <c r="AA90" t="str">
        <f t="shared" si="6"/>
        <v>2026-06</v>
      </c>
      <c r="AB90" t="str">
        <f t="shared" si="7"/>
        <v>H1_2026</v>
      </c>
      <c r="AC90">
        <f t="shared" si="8"/>
        <v>360123.4</v>
      </c>
      <c r="AD90">
        <f t="shared" si="9"/>
        <v>40</v>
      </c>
      <c r="AE90">
        <f t="shared" si="10"/>
        <v>57723.4</v>
      </c>
      <c r="AF90" t="str">
        <f t="shared" si="11"/>
        <v>Paid</v>
      </c>
    </row>
    <row r="91" spans="1:32" ht="17.25" thickBot="1" x14ac:dyDescent="0.35">
      <c r="A91" s="2" t="s">
        <v>769</v>
      </c>
      <c r="B91" s="2" t="s">
        <v>27</v>
      </c>
      <c r="C91" s="2" t="s">
        <v>28</v>
      </c>
      <c r="D91" s="2" t="s">
        <v>97</v>
      </c>
      <c r="E91" s="2" t="s">
        <v>260</v>
      </c>
      <c r="F91" s="2" t="s">
        <v>99</v>
      </c>
      <c r="G91" s="2" t="s">
        <v>32</v>
      </c>
      <c r="H91" s="1"/>
      <c r="I91" s="2" t="s">
        <v>33</v>
      </c>
      <c r="J91" s="2" t="s">
        <v>34</v>
      </c>
      <c r="K91" s="2" t="s">
        <v>770</v>
      </c>
      <c r="L91" s="2" t="s">
        <v>771</v>
      </c>
      <c r="M91" s="2" t="s">
        <v>772</v>
      </c>
      <c r="N91" s="2" t="s">
        <v>38</v>
      </c>
      <c r="O91" s="2" t="s">
        <v>773</v>
      </c>
      <c r="P91" s="2" t="s">
        <v>774</v>
      </c>
      <c r="Q91" s="2" t="s">
        <v>775</v>
      </c>
      <c r="R91" s="2" t="s">
        <v>40</v>
      </c>
      <c r="S91" s="2" t="s">
        <v>776</v>
      </c>
      <c r="T91" s="2" t="s">
        <v>287</v>
      </c>
      <c r="U91" s="2" t="s">
        <v>777</v>
      </c>
      <c r="V91" s="2" t="s">
        <v>778</v>
      </c>
      <c r="W91" s="1"/>
      <c r="X91" s="2" t="s">
        <v>155</v>
      </c>
      <c r="Y91" s="2" t="s">
        <v>271</v>
      </c>
      <c r="AA91" t="str">
        <f t="shared" si="6"/>
        <v>2026-06</v>
      </c>
      <c r="AB91" t="str">
        <f t="shared" si="7"/>
        <v>H1_2026</v>
      </c>
      <c r="AC91">
        <f t="shared" si="8"/>
        <v>1738730</v>
      </c>
      <c r="AD91">
        <f t="shared" si="9"/>
        <v>200</v>
      </c>
      <c r="AE91">
        <f t="shared" si="10"/>
        <v>338730</v>
      </c>
      <c r="AF91" t="str">
        <f t="shared" si="11"/>
        <v>Paid</v>
      </c>
    </row>
    <row r="92" spans="1:32" ht="17.25" thickBot="1" x14ac:dyDescent="0.35">
      <c r="A92" s="2" t="s">
        <v>779</v>
      </c>
      <c r="B92" s="2" t="s">
        <v>27</v>
      </c>
      <c r="C92" s="2" t="s">
        <v>28</v>
      </c>
      <c r="D92" s="2" t="s">
        <v>97</v>
      </c>
      <c r="E92" s="2" t="s">
        <v>260</v>
      </c>
      <c r="F92" s="2" t="s">
        <v>99</v>
      </c>
      <c r="G92" s="2" t="s">
        <v>32</v>
      </c>
      <c r="H92" s="1"/>
      <c r="I92" s="2" t="s">
        <v>33</v>
      </c>
      <c r="J92" s="2" t="s">
        <v>34</v>
      </c>
      <c r="K92" s="2" t="s">
        <v>780</v>
      </c>
      <c r="L92" s="2" t="s">
        <v>781</v>
      </c>
      <c r="M92" s="2" t="s">
        <v>772</v>
      </c>
      <c r="N92" s="2" t="s">
        <v>38</v>
      </c>
      <c r="O92" s="2" t="s">
        <v>428</v>
      </c>
      <c r="P92" s="2" t="s">
        <v>774</v>
      </c>
      <c r="Q92" s="2" t="s">
        <v>782</v>
      </c>
      <c r="R92" s="2" t="s">
        <v>40</v>
      </c>
      <c r="S92" s="2" t="s">
        <v>783</v>
      </c>
      <c r="T92" s="2" t="s">
        <v>287</v>
      </c>
      <c r="U92" s="2" t="s">
        <v>784</v>
      </c>
      <c r="V92" s="2" t="s">
        <v>785</v>
      </c>
      <c r="W92" s="1"/>
      <c r="X92" s="2" t="s">
        <v>155</v>
      </c>
      <c r="Y92" s="2" t="s">
        <v>271</v>
      </c>
      <c r="AA92" t="str">
        <f t="shared" si="6"/>
        <v>2026-06</v>
      </c>
      <c r="AB92" t="str">
        <f t="shared" si="7"/>
        <v>H1_2026</v>
      </c>
      <c r="AC92">
        <f t="shared" si="8"/>
        <v>2173412.5</v>
      </c>
      <c r="AD92">
        <f t="shared" si="9"/>
        <v>250</v>
      </c>
      <c r="AE92">
        <f t="shared" si="10"/>
        <v>423412.5</v>
      </c>
      <c r="AF92" t="str">
        <f t="shared" si="11"/>
        <v>Paid</v>
      </c>
    </row>
    <row r="93" spans="1:32" ht="17.25" thickBot="1" x14ac:dyDescent="0.35">
      <c r="A93" s="2" t="s">
        <v>786</v>
      </c>
      <c r="B93" s="2" t="s">
        <v>27</v>
      </c>
      <c r="C93" s="2" t="s">
        <v>28</v>
      </c>
      <c r="D93" s="2" t="s">
        <v>97</v>
      </c>
      <c r="E93" s="2" t="s">
        <v>260</v>
      </c>
      <c r="F93" s="2" t="s">
        <v>99</v>
      </c>
      <c r="G93" s="2" t="s">
        <v>32</v>
      </c>
      <c r="H93" s="1"/>
      <c r="I93" s="2" t="s">
        <v>33</v>
      </c>
      <c r="J93" s="2" t="s">
        <v>34</v>
      </c>
      <c r="K93" s="2" t="s">
        <v>787</v>
      </c>
      <c r="L93" s="2" t="s">
        <v>788</v>
      </c>
      <c r="M93" s="2" t="s">
        <v>772</v>
      </c>
      <c r="N93" s="2" t="s">
        <v>38</v>
      </c>
      <c r="O93" s="2" t="s">
        <v>789</v>
      </c>
      <c r="P93" s="2" t="s">
        <v>790</v>
      </c>
      <c r="Q93" s="2" t="s">
        <v>791</v>
      </c>
      <c r="R93" s="2" t="s">
        <v>40</v>
      </c>
      <c r="S93" s="2" t="s">
        <v>792</v>
      </c>
      <c r="T93" s="2" t="s">
        <v>793</v>
      </c>
      <c r="U93" s="2" t="s">
        <v>794</v>
      </c>
      <c r="V93" s="2" t="s">
        <v>795</v>
      </c>
      <c r="W93" s="1"/>
      <c r="X93" s="2" t="s">
        <v>796</v>
      </c>
      <c r="Y93" s="2" t="s">
        <v>271</v>
      </c>
      <c r="AA93" t="str">
        <f t="shared" si="6"/>
        <v>2026-06</v>
      </c>
      <c r="AB93" t="str">
        <f t="shared" si="7"/>
        <v>H1_2026</v>
      </c>
      <c r="AC93">
        <f t="shared" si="8"/>
        <v>2052880.2</v>
      </c>
      <c r="AD93">
        <f t="shared" si="9"/>
        <v>1620</v>
      </c>
      <c r="AE93">
        <f t="shared" si="10"/>
        <v>432880.2</v>
      </c>
      <c r="AF93" t="str">
        <f t="shared" si="11"/>
        <v>Paid</v>
      </c>
    </row>
    <row r="94" spans="1:32" ht="17.25" thickBot="1" x14ac:dyDescent="0.35">
      <c r="A94" s="2" t="s">
        <v>797</v>
      </c>
      <c r="B94" s="2" t="s">
        <v>27</v>
      </c>
      <c r="C94" s="2" t="s">
        <v>28</v>
      </c>
      <c r="D94" s="2" t="s">
        <v>97</v>
      </c>
      <c r="E94" s="2" t="s">
        <v>260</v>
      </c>
      <c r="F94" s="2" t="s">
        <v>99</v>
      </c>
      <c r="G94" s="2" t="s">
        <v>32</v>
      </c>
      <c r="H94" s="1"/>
      <c r="I94" s="2" t="s">
        <v>33</v>
      </c>
      <c r="J94" s="2" t="s">
        <v>34</v>
      </c>
      <c r="K94" s="2" t="s">
        <v>798</v>
      </c>
      <c r="L94" s="2" t="s">
        <v>799</v>
      </c>
      <c r="M94" s="2" t="s">
        <v>772</v>
      </c>
      <c r="N94" s="2" t="s">
        <v>38</v>
      </c>
      <c r="O94" s="2" t="s">
        <v>800</v>
      </c>
      <c r="P94" s="2" t="s">
        <v>801</v>
      </c>
      <c r="Q94" s="2" t="s">
        <v>802</v>
      </c>
      <c r="R94" s="2" t="s">
        <v>40</v>
      </c>
      <c r="S94" s="2" t="s">
        <v>803</v>
      </c>
      <c r="T94" s="2" t="s">
        <v>287</v>
      </c>
      <c r="U94" s="2" t="s">
        <v>804</v>
      </c>
      <c r="V94" s="2" t="s">
        <v>805</v>
      </c>
      <c r="W94" s="1"/>
      <c r="X94" s="2" t="s">
        <v>806</v>
      </c>
      <c r="Y94" s="2" t="s">
        <v>271</v>
      </c>
      <c r="AA94" t="str">
        <f t="shared" si="6"/>
        <v>2026-06</v>
      </c>
      <c r="AB94" t="str">
        <f t="shared" si="7"/>
        <v>H1_2026</v>
      </c>
      <c r="AC94">
        <f t="shared" si="8"/>
        <v>7238716.0999999996</v>
      </c>
      <c r="AD94">
        <f t="shared" si="9"/>
        <v>770</v>
      </c>
      <c r="AE94">
        <f t="shared" si="10"/>
        <v>1848716.1</v>
      </c>
      <c r="AF94" t="str">
        <f t="shared" si="11"/>
        <v>Paid</v>
      </c>
    </row>
    <row r="95" spans="1:32" ht="17.25" thickBot="1" x14ac:dyDescent="0.35">
      <c r="A95" s="2" t="s">
        <v>807</v>
      </c>
      <c r="B95" s="2" t="s">
        <v>27</v>
      </c>
      <c r="C95" s="2" t="s">
        <v>28</v>
      </c>
      <c r="D95" s="2" t="s">
        <v>97</v>
      </c>
      <c r="E95" s="2" t="s">
        <v>260</v>
      </c>
      <c r="F95" s="2" t="s">
        <v>99</v>
      </c>
      <c r="G95" s="2" t="s">
        <v>32</v>
      </c>
      <c r="H95" s="1"/>
      <c r="I95" s="2" t="s">
        <v>33</v>
      </c>
      <c r="J95" s="2" t="s">
        <v>34</v>
      </c>
      <c r="K95" s="2" t="s">
        <v>808</v>
      </c>
      <c r="L95" s="2" t="s">
        <v>809</v>
      </c>
      <c r="M95" s="2" t="s">
        <v>772</v>
      </c>
      <c r="N95" s="2" t="s">
        <v>38</v>
      </c>
      <c r="O95" s="2" t="s">
        <v>810</v>
      </c>
      <c r="P95" s="2" t="s">
        <v>811</v>
      </c>
      <c r="Q95" s="2" t="s">
        <v>812</v>
      </c>
      <c r="R95" s="2" t="s">
        <v>40</v>
      </c>
      <c r="S95" s="2" t="s">
        <v>813</v>
      </c>
      <c r="T95" s="2" t="s">
        <v>814</v>
      </c>
      <c r="U95" s="2" t="s">
        <v>815</v>
      </c>
      <c r="V95" s="2" t="s">
        <v>816</v>
      </c>
      <c r="W95" s="1"/>
      <c r="X95" s="2" t="s">
        <v>817</v>
      </c>
      <c r="Y95" s="2" t="s">
        <v>271</v>
      </c>
      <c r="AA95" t="str">
        <f t="shared" si="6"/>
        <v>2026-06</v>
      </c>
      <c r="AB95" t="str">
        <f t="shared" si="7"/>
        <v>H1_2026</v>
      </c>
      <c r="AC95">
        <f t="shared" si="8"/>
        <v>76380935.400000006</v>
      </c>
      <c r="AD95">
        <f t="shared" si="9"/>
        <v>5610</v>
      </c>
      <c r="AE95">
        <f t="shared" si="10"/>
        <v>18822335.399999999</v>
      </c>
      <c r="AF95" t="str">
        <f t="shared" si="11"/>
        <v>Paid</v>
      </c>
    </row>
    <row r="96" spans="1:32" ht="17.25" thickBot="1" x14ac:dyDescent="0.35">
      <c r="A96" s="2" t="s">
        <v>818</v>
      </c>
      <c r="B96" s="2" t="s">
        <v>27</v>
      </c>
      <c r="C96" s="2" t="s">
        <v>28</v>
      </c>
      <c r="D96" s="2" t="s">
        <v>97</v>
      </c>
      <c r="E96" s="2" t="s">
        <v>260</v>
      </c>
      <c r="F96" s="2" t="s">
        <v>99</v>
      </c>
      <c r="G96" s="2" t="s">
        <v>32</v>
      </c>
      <c r="H96" s="1"/>
      <c r="I96" s="2" t="s">
        <v>33</v>
      </c>
      <c r="J96" s="2" t="s">
        <v>34</v>
      </c>
      <c r="K96" s="2" t="s">
        <v>819</v>
      </c>
      <c r="L96" s="2" t="s">
        <v>820</v>
      </c>
      <c r="M96" s="2" t="s">
        <v>772</v>
      </c>
      <c r="N96" s="2" t="s">
        <v>38</v>
      </c>
      <c r="O96" s="2" t="s">
        <v>821</v>
      </c>
      <c r="P96" s="2" t="s">
        <v>822</v>
      </c>
      <c r="Q96" s="2" t="s">
        <v>823</v>
      </c>
      <c r="R96" s="2" t="s">
        <v>40</v>
      </c>
      <c r="S96" s="2" t="s">
        <v>824</v>
      </c>
      <c r="T96" s="2" t="s">
        <v>297</v>
      </c>
      <c r="U96" s="2" t="s">
        <v>825</v>
      </c>
      <c r="V96" s="2" t="s">
        <v>826</v>
      </c>
      <c r="W96" s="1"/>
      <c r="X96" s="2" t="s">
        <v>827</v>
      </c>
      <c r="Y96" s="2" t="s">
        <v>271</v>
      </c>
      <c r="AA96" t="str">
        <f t="shared" si="6"/>
        <v>2026-06</v>
      </c>
      <c r="AB96" t="str">
        <f t="shared" si="7"/>
        <v>H1_2026</v>
      </c>
      <c r="AC96">
        <f t="shared" si="8"/>
        <v>49184251.200000003</v>
      </c>
      <c r="AD96">
        <f t="shared" si="9"/>
        <v>4880</v>
      </c>
      <c r="AE96">
        <f t="shared" si="10"/>
        <v>10144251.199999999</v>
      </c>
      <c r="AF96" t="str">
        <f t="shared" si="11"/>
        <v>Paid</v>
      </c>
    </row>
    <row r="97" spans="1:32" ht="17.25" thickBot="1" x14ac:dyDescent="0.35">
      <c r="A97" s="2" t="s">
        <v>828</v>
      </c>
      <c r="B97" s="2" t="s">
        <v>27</v>
      </c>
      <c r="C97" s="2" t="s">
        <v>28</v>
      </c>
      <c r="D97" s="2" t="s">
        <v>97</v>
      </c>
      <c r="E97" s="2" t="s">
        <v>260</v>
      </c>
      <c r="F97" s="2" t="s">
        <v>99</v>
      </c>
      <c r="G97" s="2" t="s">
        <v>32</v>
      </c>
      <c r="H97" s="1"/>
      <c r="I97" s="2" t="s">
        <v>33</v>
      </c>
      <c r="J97" s="2" t="s">
        <v>34</v>
      </c>
      <c r="K97" s="2" t="s">
        <v>829</v>
      </c>
      <c r="L97" s="2" t="s">
        <v>830</v>
      </c>
      <c r="M97" s="2" t="s">
        <v>772</v>
      </c>
      <c r="N97" s="2" t="s">
        <v>38</v>
      </c>
      <c r="O97" s="2" t="s">
        <v>831</v>
      </c>
      <c r="P97" s="2" t="s">
        <v>832</v>
      </c>
      <c r="Q97" s="2" t="s">
        <v>833</v>
      </c>
      <c r="R97" s="2" t="s">
        <v>40</v>
      </c>
      <c r="S97" s="2" t="s">
        <v>834</v>
      </c>
      <c r="T97" s="2" t="s">
        <v>835</v>
      </c>
      <c r="U97" s="2" t="s">
        <v>836</v>
      </c>
      <c r="V97" s="2" t="s">
        <v>837</v>
      </c>
      <c r="W97" s="1"/>
      <c r="X97" s="2" t="s">
        <v>838</v>
      </c>
      <c r="Y97" s="2" t="s">
        <v>271</v>
      </c>
      <c r="AA97" t="str">
        <f t="shared" si="6"/>
        <v>2026-06</v>
      </c>
      <c r="AB97" t="str">
        <f t="shared" si="7"/>
        <v>H1_2026</v>
      </c>
      <c r="AC97">
        <f t="shared" si="8"/>
        <v>13836165</v>
      </c>
      <c r="AD97">
        <f t="shared" si="9"/>
        <v>1000</v>
      </c>
      <c r="AE97">
        <f t="shared" si="10"/>
        <v>2891165</v>
      </c>
      <c r="AF97" t="str">
        <f t="shared" si="11"/>
        <v>Paid</v>
      </c>
    </row>
    <row r="98" spans="1:32" ht="17.25" thickBot="1" x14ac:dyDescent="0.35">
      <c r="A98" s="2" t="s">
        <v>839</v>
      </c>
      <c r="B98" s="2" t="s">
        <v>27</v>
      </c>
      <c r="C98" s="2" t="s">
        <v>28</v>
      </c>
      <c r="D98" s="2" t="s">
        <v>97</v>
      </c>
      <c r="E98" s="2" t="s">
        <v>260</v>
      </c>
      <c r="F98" s="2" t="s">
        <v>99</v>
      </c>
      <c r="G98" s="2" t="s">
        <v>32</v>
      </c>
      <c r="H98" s="1"/>
      <c r="I98" s="2" t="s">
        <v>33</v>
      </c>
      <c r="J98" s="2" t="s">
        <v>34</v>
      </c>
      <c r="K98" s="2" t="s">
        <v>840</v>
      </c>
      <c r="L98" s="2" t="s">
        <v>841</v>
      </c>
      <c r="M98" s="2" t="s">
        <v>772</v>
      </c>
      <c r="N98" s="2" t="s">
        <v>38</v>
      </c>
      <c r="O98" s="2" t="s">
        <v>214</v>
      </c>
      <c r="P98" s="2" t="s">
        <v>822</v>
      </c>
      <c r="Q98" s="2" t="s">
        <v>842</v>
      </c>
      <c r="R98" s="2" t="s">
        <v>40</v>
      </c>
      <c r="S98" s="2" t="s">
        <v>843</v>
      </c>
      <c r="T98" s="2" t="s">
        <v>297</v>
      </c>
      <c r="U98" s="2" t="s">
        <v>844</v>
      </c>
      <c r="V98" s="2" t="s">
        <v>845</v>
      </c>
      <c r="W98" s="1"/>
      <c r="X98" s="2" t="s">
        <v>827</v>
      </c>
      <c r="Y98" s="2" t="s">
        <v>271</v>
      </c>
      <c r="AA98" t="str">
        <f t="shared" si="6"/>
        <v>2026-06</v>
      </c>
      <c r="AB98" t="str">
        <f t="shared" si="7"/>
        <v>H1_2026</v>
      </c>
      <c r="AC98">
        <f t="shared" si="8"/>
        <v>503937</v>
      </c>
      <c r="AD98">
        <f t="shared" si="9"/>
        <v>50</v>
      </c>
      <c r="AE98">
        <f t="shared" si="10"/>
        <v>103937</v>
      </c>
      <c r="AF98" t="str">
        <f t="shared" si="11"/>
        <v>Paid</v>
      </c>
    </row>
    <row r="99" spans="1:32" ht="17.25" thickBot="1" x14ac:dyDescent="0.35">
      <c r="A99" s="2" t="s">
        <v>846</v>
      </c>
      <c r="B99" s="2" t="s">
        <v>27</v>
      </c>
      <c r="C99" s="2" t="s">
        <v>28</v>
      </c>
      <c r="D99" s="2" t="s">
        <v>97</v>
      </c>
      <c r="E99" s="2" t="s">
        <v>260</v>
      </c>
      <c r="F99" s="2" t="s">
        <v>99</v>
      </c>
      <c r="G99" s="2" t="s">
        <v>32</v>
      </c>
      <c r="H99" s="1"/>
      <c r="I99" s="2" t="s">
        <v>33</v>
      </c>
      <c r="J99" s="2" t="s">
        <v>34</v>
      </c>
      <c r="K99" s="2" t="s">
        <v>847</v>
      </c>
      <c r="L99" s="2" t="s">
        <v>848</v>
      </c>
      <c r="M99" s="2" t="s">
        <v>772</v>
      </c>
      <c r="N99" s="2" t="s">
        <v>38</v>
      </c>
      <c r="O99" s="2" t="s">
        <v>849</v>
      </c>
      <c r="P99" s="2" t="s">
        <v>850</v>
      </c>
      <c r="Q99" s="2" t="s">
        <v>851</v>
      </c>
      <c r="R99" s="2" t="s">
        <v>40</v>
      </c>
      <c r="S99" s="2" t="s">
        <v>852</v>
      </c>
      <c r="T99" s="2" t="s">
        <v>853</v>
      </c>
      <c r="U99" s="2" t="s">
        <v>854</v>
      </c>
      <c r="V99" s="2" t="s">
        <v>855</v>
      </c>
      <c r="W99" s="1"/>
      <c r="X99" s="2" t="s">
        <v>856</v>
      </c>
      <c r="Y99" s="2" t="s">
        <v>271</v>
      </c>
      <c r="AA99" t="str">
        <f t="shared" si="6"/>
        <v>2026-06</v>
      </c>
      <c r="AB99" t="str">
        <f t="shared" si="7"/>
        <v>H1_2026</v>
      </c>
      <c r="AC99">
        <f t="shared" si="8"/>
        <v>1912013.6</v>
      </c>
      <c r="AD99">
        <f t="shared" si="9"/>
        <v>160</v>
      </c>
      <c r="AE99">
        <f t="shared" si="10"/>
        <v>569933.6</v>
      </c>
      <c r="AF99" t="str">
        <f t="shared" si="11"/>
        <v>Paid</v>
      </c>
    </row>
    <row r="100" spans="1:32" ht="17.25" thickBot="1" x14ac:dyDescent="0.35">
      <c r="A100" s="2" t="s">
        <v>857</v>
      </c>
      <c r="B100" s="2" t="s">
        <v>27</v>
      </c>
      <c r="C100" s="2" t="s">
        <v>28</v>
      </c>
      <c r="D100" s="2" t="s">
        <v>97</v>
      </c>
      <c r="E100" s="2" t="s">
        <v>260</v>
      </c>
      <c r="F100" s="2" t="s">
        <v>99</v>
      </c>
      <c r="G100" s="2" t="s">
        <v>32</v>
      </c>
      <c r="H100" s="1"/>
      <c r="I100" s="2" t="s">
        <v>33</v>
      </c>
      <c r="J100" s="2" t="s">
        <v>34</v>
      </c>
      <c r="K100" s="2" t="s">
        <v>858</v>
      </c>
      <c r="L100" s="2" t="s">
        <v>859</v>
      </c>
      <c r="M100" s="2" t="s">
        <v>772</v>
      </c>
      <c r="N100" s="2" t="s">
        <v>38</v>
      </c>
      <c r="O100" s="2" t="s">
        <v>860</v>
      </c>
      <c r="P100" s="2" t="s">
        <v>861</v>
      </c>
      <c r="Q100" s="2" t="s">
        <v>862</v>
      </c>
      <c r="R100" s="2" t="s">
        <v>40</v>
      </c>
      <c r="S100" s="2" t="s">
        <v>863</v>
      </c>
      <c r="T100" s="2" t="s">
        <v>864</v>
      </c>
      <c r="U100" s="2" t="s">
        <v>865</v>
      </c>
      <c r="V100" s="2" t="s">
        <v>866</v>
      </c>
      <c r="W100" s="1"/>
      <c r="X100" s="2" t="s">
        <v>155</v>
      </c>
      <c r="Y100" s="2" t="s">
        <v>271</v>
      </c>
      <c r="AA100" t="str">
        <f t="shared" si="6"/>
        <v>2026-06</v>
      </c>
      <c r="AB100" t="str">
        <f t="shared" si="7"/>
        <v>H1_2026</v>
      </c>
      <c r="AC100">
        <f t="shared" si="8"/>
        <v>8008767.2000000002</v>
      </c>
      <c r="AD100">
        <f t="shared" si="9"/>
        <v>860</v>
      </c>
      <c r="AE100">
        <f t="shared" si="10"/>
        <v>1558767.2</v>
      </c>
      <c r="AF100" t="str">
        <f t="shared" si="11"/>
        <v>Paid</v>
      </c>
    </row>
    <row r="101" spans="1:32" ht="17.25" thickBot="1" x14ac:dyDescent="0.35">
      <c r="A101" s="2" t="s">
        <v>867</v>
      </c>
      <c r="B101" s="2" t="s">
        <v>27</v>
      </c>
      <c r="C101" s="2" t="s">
        <v>28</v>
      </c>
      <c r="D101" s="2" t="s">
        <v>97</v>
      </c>
      <c r="E101" s="2" t="s">
        <v>260</v>
      </c>
      <c r="F101" s="2" t="s">
        <v>99</v>
      </c>
      <c r="G101" s="2" t="s">
        <v>32</v>
      </c>
      <c r="H101" s="1"/>
      <c r="I101" s="2" t="s">
        <v>33</v>
      </c>
      <c r="J101" s="2" t="s">
        <v>34</v>
      </c>
      <c r="K101" s="2" t="s">
        <v>868</v>
      </c>
      <c r="L101" s="2" t="s">
        <v>869</v>
      </c>
      <c r="M101" s="2" t="s">
        <v>772</v>
      </c>
      <c r="N101" s="2" t="s">
        <v>38</v>
      </c>
      <c r="O101" s="2" t="s">
        <v>560</v>
      </c>
      <c r="P101" s="2" t="s">
        <v>870</v>
      </c>
      <c r="Q101" s="2" t="s">
        <v>871</v>
      </c>
      <c r="R101" s="2" t="s">
        <v>40</v>
      </c>
      <c r="S101" s="2" t="s">
        <v>872</v>
      </c>
      <c r="T101" s="2" t="s">
        <v>873</v>
      </c>
      <c r="U101" s="2" t="s">
        <v>874</v>
      </c>
      <c r="V101" s="2" t="s">
        <v>875</v>
      </c>
      <c r="W101" s="1"/>
      <c r="X101" s="2" t="s">
        <v>876</v>
      </c>
      <c r="Y101" s="2" t="s">
        <v>271</v>
      </c>
      <c r="AA101" t="str">
        <f t="shared" si="6"/>
        <v>2026-06</v>
      </c>
      <c r="AB101" t="str">
        <f t="shared" si="7"/>
        <v>H1_2026</v>
      </c>
      <c r="AC101">
        <f t="shared" si="8"/>
        <v>8160243</v>
      </c>
      <c r="AD101">
        <f t="shared" si="9"/>
        <v>650</v>
      </c>
      <c r="AE101">
        <f t="shared" si="10"/>
        <v>2739243</v>
      </c>
      <c r="AF101" t="str">
        <f t="shared" si="11"/>
        <v>Paid</v>
      </c>
    </row>
    <row r="102" spans="1:32" ht="17.25" thickBot="1" x14ac:dyDescent="0.35">
      <c r="A102" s="2" t="s">
        <v>877</v>
      </c>
      <c r="B102" s="2" t="s">
        <v>27</v>
      </c>
      <c r="C102" s="2" t="s">
        <v>28</v>
      </c>
      <c r="D102" s="2" t="s">
        <v>97</v>
      </c>
      <c r="E102" s="2" t="s">
        <v>260</v>
      </c>
      <c r="F102" s="2" t="s">
        <v>99</v>
      </c>
      <c r="G102" s="2" t="s">
        <v>32</v>
      </c>
      <c r="H102" s="1"/>
      <c r="I102" s="2" t="s">
        <v>33</v>
      </c>
      <c r="J102" s="2" t="s">
        <v>34</v>
      </c>
      <c r="K102" s="2" t="s">
        <v>878</v>
      </c>
      <c r="L102" s="2" t="s">
        <v>879</v>
      </c>
      <c r="M102" s="2" t="s">
        <v>772</v>
      </c>
      <c r="N102" s="2" t="s">
        <v>38</v>
      </c>
      <c r="O102" s="2" t="s">
        <v>779</v>
      </c>
      <c r="P102" s="2" t="s">
        <v>880</v>
      </c>
      <c r="Q102" s="2" t="s">
        <v>881</v>
      </c>
      <c r="R102" s="2" t="s">
        <v>40</v>
      </c>
      <c r="S102" s="2" t="s">
        <v>882</v>
      </c>
      <c r="T102" s="2" t="s">
        <v>883</v>
      </c>
      <c r="U102" s="2" t="s">
        <v>884</v>
      </c>
      <c r="V102" s="2" t="s">
        <v>885</v>
      </c>
      <c r="W102" s="1"/>
      <c r="X102" s="2" t="s">
        <v>886</v>
      </c>
      <c r="Y102" s="2" t="s">
        <v>271</v>
      </c>
      <c r="AA102" t="str">
        <f t="shared" si="6"/>
        <v>2026-06</v>
      </c>
      <c r="AB102" t="str">
        <f t="shared" si="7"/>
        <v>H1_2026</v>
      </c>
      <c r="AC102">
        <f t="shared" si="8"/>
        <v>1247907.1499999999</v>
      </c>
      <c r="AD102">
        <f t="shared" si="9"/>
        <v>90</v>
      </c>
      <c r="AE102">
        <f t="shared" si="10"/>
        <v>334407.15000000002</v>
      </c>
      <c r="AF102" t="str">
        <f t="shared" si="11"/>
        <v>Paid</v>
      </c>
    </row>
    <row r="103" spans="1:32" ht="17.25" thickBot="1" x14ac:dyDescent="0.35">
      <c r="A103" s="2" t="s">
        <v>887</v>
      </c>
      <c r="B103" s="2" t="s">
        <v>27</v>
      </c>
      <c r="C103" s="2" t="s">
        <v>28</v>
      </c>
      <c r="D103" s="2" t="s">
        <v>97</v>
      </c>
      <c r="E103" s="2" t="s">
        <v>260</v>
      </c>
      <c r="F103" s="2" t="s">
        <v>99</v>
      </c>
      <c r="G103" s="2" t="s">
        <v>32</v>
      </c>
      <c r="H103" s="1"/>
      <c r="I103" s="2" t="s">
        <v>33</v>
      </c>
      <c r="J103" s="2" t="s">
        <v>34</v>
      </c>
      <c r="K103" s="2" t="s">
        <v>888</v>
      </c>
      <c r="L103" s="2" t="s">
        <v>889</v>
      </c>
      <c r="M103" s="2" t="s">
        <v>772</v>
      </c>
      <c r="N103" s="2" t="s">
        <v>38</v>
      </c>
      <c r="O103" s="2" t="s">
        <v>890</v>
      </c>
      <c r="P103" s="2" t="s">
        <v>891</v>
      </c>
      <c r="Q103" s="2" t="s">
        <v>892</v>
      </c>
      <c r="R103" s="2" t="s">
        <v>40</v>
      </c>
      <c r="S103" s="2" t="s">
        <v>893</v>
      </c>
      <c r="T103" s="2" t="s">
        <v>894</v>
      </c>
      <c r="U103" s="2" t="s">
        <v>895</v>
      </c>
      <c r="V103" s="2" t="s">
        <v>896</v>
      </c>
      <c r="W103" s="1"/>
      <c r="X103" s="2" t="s">
        <v>897</v>
      </c>
      <c r="Y103" s="2" t="s">
        <v>271</v>
      </c>
      <c r="AA103" t="str">
        <f t="shared" si="6"/>
        <v>2026-06</v>
      </c>
      <c r="AB103" t="str">
        <f t="shared" si="7"/>
        <v>H1_2026</v>
      </c>
      <c r="AC103">
        <f t="shared" si="8"/>
        <v>4065091.8</v>
      </c>
      <c r="AD103">
        <f t="shared" si="9"/>
        <v>330</v>
      </c>
      <c r="AE103">
        <f t="shared" si="10"/>
        <v>852541.8</v>
      </c>
      <c r="AF103" t="str">
        <f t="shared" si="11"/>
        <v>Paid</v>
      </c>
    </row>
    <row r="104" spans="1:32" ht="17.25" thickBot="1" x14ac:dyDescent="0.35">
      <c r="A104" s="2" t="s">
        <v>898</v>
      </c>
      <c r="B104" s="2" t="s">
        <v>27</v>
      </c>
      <c r="C104" s="2" t="s">
        <v>28</v>
      </c>
      <c r="D104" s="2" t="s">
        <v>97</v>
      </c>
      <c r="E104" s="2" t="s">
        <v>260</v>
      </c>
      <c r="F104" s="2" t="s">
        <v>99</v>
      </c>
      <c r="G104" s="2" t="s">
        <v>32</v>
      </c>
      <c r="H104" s="1"/>
      <c r="I104" s="2" t="s">
        <v>33</v>
      </c>
      <c r="J104" s="2" t="s">
        <v>34</v>
      </c>
      <c r="K104" s="2" t="s">
        <v>899</v>
      </c>
      <c r="L104" s="2" t="s">
        <v>900</v>
      </c>
      <c r="M104" s="2" t="s">
        <v>772</v>
      </c>
      <c r="N104" s="2" t="s">
        <v>38</v>
      </c>
      <c r="O104" s="2" t="s">
        <v>316</v>
      </c>
      <c r="P104" s="2" t="s">
        <v>880</v>
      </c>
      <c r="Q104" s="2" t="s">
        <v>901</v>
      </c>
      <c r="R104" s="2" t="s">
        <v>40</v>
      </c>
      <c r="S104" s="2" t="s">
        <v>902</v>
      </c>
      <c r="T104" s="2" t="s">
        <v>903</v>
      </c>
      <c r="U104" s="2" t="s">
        <v>904</v>
      </c>
      <c r="V104" s="2" t="s">
        <v>905</v>
      </c>
      <c r="W104" s="1"/>
      <c r="X104" s="2" t="s">
        <v>796</v>
      </c>
      <c r="Y104" s="2" t="s">
        <v>271</v>
      </c>
      <c r="AA104" t="str">
        <f t="shared" si="6"/>
        <v>2026-06</v>
      </c>
      <c r="AB104" t="str">
        <f t="shared" si="7"/>
        <v>H1_2026</v>
      </c>
      <c r="AC104">
        <f t="shared" si="8"/>
        <v>4021034.15</v>
      </c>
      <c r="AD104">
        <f t="shared" si="9"/>
        <v>290</v>
      </c>
      <c r="AE104">
        <f t="shared" si="10"/>
        <v>848434.15</v>
      </c>
      <c r="AF104" t="str">
        <f t="shared" si="11"/>
        <v>Paid</v>
      </c>
    </row>
    <row r="105" spans="1:32" ht="17.25" thickBot="1" x14ac:dyDescent="0.35">
      <c r="A105" s="2" t="s">
        <v>906</v>
      </c>
      <c r="B105" s="2" t="s">
        <v>27</v>
      </c>
      <c r="C105" s="2" t="s">
        <v>28</v>
      </c>
      <c r="D105" s="2" t="s">
        <v>97</v>
      </c>
      <c r="E105" s="2" t="s">
        <v>260</v>
      </c>
      <c r="F105" s="2" t="s">
        <v>99</v>
      </c>
      <c r="G105" s="2" t="s">
        <v>32</v>
      </c>
      <c r="H105" s="1"/>
      <c r="I105" s="2" t="s">
        <v>33</v>
      </c>
      <c r="J105" s="2" t="s">
        <v>34</v>
      </c>
      <c r="K105" s="2" t="s">
        <v>907</v>
      </c>
      <c r="L105" s="2" t="s">
        <v>908</v>
      </c>
      <c r="M105" s="2" t="s">
        <v>772</v>
      </c>
      <c r="N105" s="2" t="s">
        <v>38</v>
      </c>
      <c r="O105" s="2" t="s">
        <v>909</v>
      </c>
      <c r="P105" s="2" t="s">
        <v>910</v>
      </c>
      <c r="Q105" s="2" t="s">
        <v>911</v>
      </c>
      <c r="R105" s="2" t="s">
        <v>40</v>
      </c>
      <c r="S105" s="2" t="s">
        <v>912</v>
      </c>
      <c r="T105" s="2" t="s">
        <v>913</v>
      </c>
      <c r="U105" s="2" t="s">
        <v>914</v>
      </c>
      <c r="V105" s="2" t="s">
        <v>915</v>
      </c>
      <c r="W105" s="1"/>
      <c r="X105" s="2" t="s">
        <v>916</v>
      </c>
      <c r="Y105" s="2" t="s">
        <v>271</v>
      </c>
      <c r="AA105" t="str">
        <f t="shared" si="6"/>
        <v>2026-06</v>
      </c>
      <c r="AB105" t="str">
        <f t="shared" si="7"/>
        <v>H1_2026</v>
      </c>
      <c r="AC105">
        <f t="shared" si="8"/>
        <v>19677855.75</v>
      </c>
      <c r="AD105">
        <f t="shared" si="9"/>
        <v>1450</v>
      </c>
      <c r="AE105">
        <f t="shared" si="10"/>
        <v>4191855.75</v>
      </c>
      <c r="AF105" t="str">
        <f t="shared" si="11"/>
        <v>Paid</v>
      </c>
    </row>
    <row r="106" spans="1:32" ht="17.25" thickBot="1" x14ac:dyDescent="0.35">
      <c r="A106" s="2" t="s">
        <v>917</v>
      </c>
      <c r="B106" s="2" t="s">
        <v>27</v>
      </c>
      <c r="C106" s="2" t="s">
        <v>28</v>
      </c>
      <c r="D106" s="2" t="s">
        <v>97</v>
      </c>
      <c r="E106" s="2" t="s">
        <v>260</v>
      </c>
      <c r="F106" s="2" t="s">
        <v>99</v>
      </c>
      <c r="G106" s="2" t="s">
        <v>32</v>
      </c>
      <c r="H106" s="1"/>
      <c r="I106" s="2" t="s">
        <v>33</v>
      </c>
      <c r="J106" s="2" t="s">
        <v>34</v>
      </c>
      <c r="K106" s="2" t="s">
        <v>918</v>
      </c>
      <c r="L106" s="2" t="s">
        <v>919</v>
      </c>
      <c r="M106" s="2" t="s">
        <v>772</v>
      </c>
      <c r="N106" s="2" t="s">
        <v>38</v>
      </c>
      <c r="O106" s="2" t="s">
        <v>920</v>
      </c>
      <c r="P106" s="2" t="s">
        <v>910</v>
      </c>
      <c r="Q106" s="2" t="s">
        <v>921</v>
      </c>
      <c r="R106" s="2" t="s">
        <v>40</v>
      </c>
      <c r="S106" s="2" t="s">
        <v>922</v>
      </c>
      <c r="T106" s="2" t="s">
        <v>913</v>
      </c>
      <c r="U106" s="2" t="s">
        <v>923</v>
      </c>
      <c r="V106" s="2" t="s">
        <v>924</v>
      </c>
      <c r="W106" s="1"/>
      <c r="X106" s="2" t="s">
        <v>916</v>
      </c>
      <c r="Y106" s="2" t="s">
        <v>271</v>
      </c>
      <c r="AA106" t="str">
        <f t="shared" si="6"/>
        <v>2026-06</v>
      </c>
      <c r="AB106" t="str">
        <f t="shared" si="7"/>
        <v>H1_2026</v>
      </c>
      <c r="AC106">
        <f t="shared" si="8"/>
        <v>6378339.4500000002</v>
      </c>
      <c r="AD106">
        <f t="shared" si="9"/>
        <v>470</v>
      </c>
      <c r="AE106">
        <f t="shared" si="10"/>
        <v>1358739.45</v>
      </c>
      <c r="AF106" t="str">
        <f t="shared" si="11"/>
        <v>Paid</v>
      </c>
    </row>
    <row r="107" spans="1:32" ht="17.25" thickBot="1" x14ac:dyDescent="0.35">
      <c r="A107" s="2" t="s">
        <v>925</v>
      </c>
      <c r="B107" s="2" t="s">
        <v>27</v>
      </c>
      <c r="C107" s="2" t="s">
        <v>28</v>
      </c>
      <c r="D107" s="2" t="s">
        <v>97</v>
      </c>
      <c r="E107" s="2" t="s">
        <v>260</v>
      </c>
      <c r="F107" s="2" t="s">
        <v>99</v>
      </c>
      <c r="G107" s="2" t="s">
        <v>32</v>
      </c>
      <c r="H107" s="1"/>
      <c r="I107" s="2" t="s">
        <v>33</v>
      </c>
      <c r="J107" s="2" t="s">
        <v>34</v>
      </c>
      <c r="K107" s="2" t="s">
        <v>926</v>
      </c>
      <c r="L107" s="2" t="s">
        <v>927</v>
      </c>
      <c r="M107" s="2" t="s">
        <v>772</v>
      </c>
      <c r="N107" s="2" t="s">
        <v>38</v>
      </c>
      <c r="O107" s="2" t="s">
        <v>928</v>
      </c>
      <c r="P107" s="2" t="s">
        <v>801</v>
      </c>
      <c r="Q107" s="2" t="s">
        <v>929</v>
      </c>
      <c r="R107" s="2" t="s">
        <v>40</v>
      </c>
      <c r="S107" s="2" t="s">
        <v>930</v>
      </c>
      <c r="T107" s="2" t="s">
        <v>931</v>
      </c>
      <c r="U107" s="2" t="s">
        <v>932</v>
      </c>
      <c r="V107" s="2" t="s">
        <v>933</v>
      </c>
      <c r="W107" s="1"/>
      <c r="X107" s="2" t="s">
        <v>934</v>
      </c>
      <c r="Y107" s="2" t="s">
        <v>271</v>
      </c>
      <c r="AA107" t="str">
        <f t="shared" si="6"/>
        <v>2026-06</v>
      </c>
      <c r="AB107" t="str">
        <f t="shared" si="7"/>
        <v>H1_2026</v>
      </c>
      <c r="AC107">
        <f t="shared" si="8"/>
        <v>4324427.8</v>
      </c>
      <c r="AD107">
        <f t="shared" si="9"/>
        <v>460</v>
      </c>
      <c r="AE107">
        <f t="shared" si="10"/>
        <v>1058427.8</v>
      </c>
      <c r="AF107" t="str">
        <f t="shared" si="11"/>
        <v>Paid</v>
      </c>
    </row>
    <row r="108" spans="1:32" ht="17.25" thickBot="1" x14ac:dyDescent="0.35">
      <c r="A108" s="2" t="s">
        <v>935</v>
      </c>
      <c r="B108" s="2" t="s">
        <v>27</v>
      </c>
      <c r="C108" s="2" t="s">
        <v>28</v>
      </c>
      <c r="D108" s="2" t="s">
        <v>97</v>
      </c>
      <c r="E108" s="2" t="s">
        <v>260</v>
      </c>
      <c r="F108" s="2" t="s">
        <v>99</v>
      </c>
      <c r="G108" s="2" t="s">
        <v>32</v>
      </c>
      <c r="H108" s="1"/>
      <c r="I108" s="2" t="s">
        <v>33</v>
      </c>
      <c r="J108" s="2" t="s">
        <v>34</v>
      </c>
      <c r="K108" s="2" t="s">
        <v>936</v>
      </c>
      <c r="L108" s="2" t="s">
        <v>937</v>
      </c>
      <c r="M108" s="2" t="s">
        <v>772</v>
      </c>
      <c r="N108" s="2" t="s">
        <v>38</v>
      </c>
      <c r="O108" s="2" t="s">
        <v>938</v>
      </c>
      <c r="P108" s="2" t="s">
        <v>939</v>
      </c>
      <c r="Q108" s="2" t="s">
        <v>940</v>
      </c>
      <c r="R108" s="2" t="s">
        <v>40</v>
      </c>
      <c r="S108" s="2" t="s">
        <v>941</v>
      </c>
      <c r="T108" s="2" t="s">
        <v>942</v>
      </c>
      <c r="U108" s="2" t="s">
        <v>943</v>
      </c>
      <c r="V108" s="2" t="s">
        <v>944</v>
      </c>
      <c r="W108" s="1"/>
      <c r="X108" s="2" t="s">
        <v>258</v>
      </c>
      <c r="Y108" s="2" t="s">
        <v>271</v>
      </c>
      <c r="AA108" t="str">
        <f t="shared" si="6"/>
        <v>2026-06</v>
      </c>
      <c r="AB108" t="str">
        <f t="shared" si="7"/>
        <v>H1_2026</v>
      </c>
      <c r="AC108">
        <f t="shared" si="8"/>
        <v>61468820.700000003</v>
      </c>
      <c r="AD108">
        <f t="shared" si="9"/>
        <v>5020</v>
      </c>
      <c r="AE108">
        <f t="shared" si="10"/>
        <v>12127240.699999999</v>
      </c>
      <c r="AF108" t="str">
        <f t="shared" si="11"/>
        <v>Paid</v>
      </c>
    </row>
    <row r="109" spans="1:32" ht="17.25" thickBot="1" x14ac:dyDescent="0.35">
      <c r="A109" s="2" t="s">
        <v>945</v>
      </c>
      <c r="B109" s="2" t="s">
        <v>27</v>
      </c>
      <c r="C109" s="2" t="s">
        <v>28</v>
      </c>
      <c r="D109" s="2" t="s">
        <v>97</v>
      </c>
      <c r="E109" s="2" t="s">
        <v>260</v>
      </c>
      <c r="F109" s="2" t="s">
        <v>99</v>
      </c>
      <c r="G109" s="2" t="s">
        <v>32</v>
      </c>
      <c r="H109" s="1"/>
      <c r="I109" s="2" t="s">
        <v>33</v>
      </c>
      <c r="J109" s="2" t="s">
        <v>34</v>
      </c>
      <c r="K109" s="2" t="s">
        <v>946</v>
      </c>
      <c r="L109" s="2" t="s">
        <v>947</v>
      </c>
      <c r="M109" s="2" t="s">
        <v>772</v>
      </c>
      <c r="N109" s="2" t="s">
        <v>38</v>
      </c>
      <c r="O109" s="2" t="s">
        <v>948</v>
      </c>
      <c r="P109" s="2" t="s">
        <v>949</v>
      </c>
      <c r="Q109" s="2" t="s">
        <v>950</v>
      </c>
      <c r="R109" s="2" t="s">
        <v>40</v>
      </c>
      <c r="S109" s="2" t="s">
        <v>951</v>
      </c>
      <c r="T109" s="2" t="s">
        <v>952</v>
      </c>
      <c r="U109" s="2" t="s">
        <v>953</v>
      </c>
      <c r="V109" s="2" t="s">
        <v>954</v>
      </c>
      <c r="W109" s="1"/>
      <c r="X109" s="2" t="s">
        <v>955</v>
      </c>
      <c r="Y109" s="2" t="s">
        <v>271</v>
      </c>
      <c r="AA109" t="str">
        <f t="shared" si="6"/>
        <v>2026-06</v>
      </c>
      <c r="AB109" t="str">
        <f t="shared" si="7"/>
        <v>H1_2026</v>
      </c>
      <c r="AC109">
        <f t="shared" si="8"/>
        <v>57278628.75</v>
      </c>
      <c r="AD109">
        <f t="shared" si="9"/>
        <v>3650</v>
      </c>
      <c r="AE109">
        <f t="shared" si="10"/>
        <v>13478628.75</v>
      </c>
      <c r="AF109" t="str">
        <f t="shared" si="11"/>
        <v>Paid</v>
      </c>
    </row>
    <row r="110" spans="1:32" ht="17.25" thickBot="1" x14ac:dyDescent="0.35">
      <c r="A110" s="2" t="s">
        <v>956</v>
      </c>
      <c r="B110" s="2" t="s">
        <v>27</v>
      </c>
      <c r="C110" s="2" t="s">
        <v>28</v>
      </c>
      <c r="D110" s="2" t="s">
        <v>97</v>
      </c>
      <c r="E110" s="2" t="s">
        <v>260</v>
      </c>
      <c r="F110" s="2" t="s">
        <v>99</v>
      </c>
      <c r="G110" s="2" t="s">
        <v>32</v>
      </c>
      <c r="H110" s="1"/>
      <c r="I110" s="2" t="s">
        <v>33</v>
      </c>
      <c r="J110" s="2" t="s">
        <v>34</v>
      </c>
      <c r="K110" s="2" t="s">
        <v>957</v>
      </c>
      <c r="L110" s="2" t="s">
        <v>958</v>
      </c>
      <c r="M110" s="2" t="s">
        <v>772</v>
      </c>
      <c r="N110" s="2" t="s">
        <v>38</v>
      </c>
      <c r="O110" s="2" t="s">
        <v>748</v>
      </c>
      <c r="P110" s="2" t="s">
        <v>959</v>
      </c>
      <c r="Q110" s="2" t="s">
        <v>960</v>
      </c>
      <c r="R110" s="2" t="s">
        <v>40</v>
      </c>
      <c r="S110" s="2" t="s">
        <v>961</v>
      </c>
      <c r="T110" s="2" t="s">
        <v>962</v>
      </c>
      <c r="U110" s="2" t="s">
        <v>963</v>
      </c>
      <c r="V110" s="2" t="s">
        <v>964</v>
      </c>
      <c r="W110" s="1"/>
      <c r="X110" s="2" t="s">
        <v>965</v>
      </c>
      <c r="Y110" s="2" t="s">
        <v>271</v>
      </c>
      <c r="AA110" t="str">
        <f t="shared" si="6"/>
        <v>2026-06</v>
      </c>
      <c r="AB110" t="str">
        <f t="shared" si="7"/>
        <v>H1_2026</v>
      </c>
      <c r="AC110">
        <f t="shared" si="8"/>
        <v>3997900.2</v>
      </c>
      <c r="AD110">
        <f t="shared" si="9"/>
        <v>280</v>
      </c>
      <c r="AE110">
        <f t="shared" si="10"/>
        <v>1021500.2</v>
      </c>
      <c r="AF110" t="str">
        <f t="shared" si="11"/>
        <v>Paid</v>
      </c>
    </row>
    <row r="111" spans="1:32" ht="17.25" thickBot="1" x14ac:dyDescent="0.35">
      <c r="A111" s="2" t="s">
        <v>966</v>
      </c>
      <c r="B111" s="2" t="s">
        <v>27</v>
      </c>
      <c r="C111" s="2" t="s">
        <v>28</v>
      </c>
      <c r="D111" s="2" t="s">
        <v>97</v>
      </c>
      <c r="E111" s="2" t="s">
        <v>260</v>
      </c>
      <c r="F111" s="2" t="s">
        <v>99</v>
      </c>
      <c r="G111" s="2" t="s">
        <v>32</v>
      </c>
      <c r="H111" s="1"/>
      <c r="I111" s="2" t="s">
        <v>33</v>
      </c>
      <c r="J111" s="2" t="s">
        <v>34</v>
      </c>
      <c r="K111" s="2" t="s">
        <v>967</v>
      </c>
      <c r="L111" s="2" t="s">
        <v>968</v>
      </c>
      <c r="M111" s="2" t="s">
        <v>772</v>
      </c>
      <c r="N111" s="2" t="s">
        <v>38</v>
      </c>
      <c r="O111" s="2" t="s">
        <v>969</v>
      </c>
      <c r="P111" s="2" t="s">
        <v>970</v>
      </c>
      <c r="Q111" s="2" t="s">
        <v>971</v>
      </c>
      <c r="R111" s="2" t="s">
        <v>40</v>
      </c>
      <c r="S111" s="2" t="s">
        <v>972</v>
      </c>
      <c r="T111" s="2" t="s">
        <v>973</v>
      </c>
      <c r="U111" s="2" t="s">
        <v>974</v>
      </c>
      <c r="V111" s="2" t="s">
        <v>975</v>
      </c>
      <c r="W111" s="1"/>
      <c r="X111" s="2" t="s">
        <v>976</v>
      </c>
      <c r="Y111" s="2" t="s">
        <v>271</v>
      </c>
      <c r="AA111" t="str">
        <f t="shared" si="6"/>
        <v>2026-06</v>
      </c>
      <c r="AB111" t="str">
        <f t="shared" si="7"/>
        <v>H1_2026</v>
      </c>
      <c r="AC111">
        <f t="shared" si="8"/>
        <v>10519905.9</v>
      </c>
      <c r="AD111">
        <f t="shared" si="9"/>
        <v>730</v>
      </c>
      <c r="AE111">
        <f t="shared" si="10"/>
        <v>2124905.9</v>
      </c>
      <c r="AF111" t="str">
        <f t="shared" si="11"/>
        <v>Paid</v>
      </c>
    </row>
    <row r="112" spans="1:32" ht="17.25" thickBot="1" x14ac:dyDescent="0.35">
      <c r="A112" s="2" t="s">
        <v>977</v>
      </c>
      <c r="B112" s="2" t="s">
        <v>27</v>
      </c>
      <c r="C112" s="2" t="s">
        <v>28</v>
      </c>
      <c r="D112" s="2" t="s">
        <v>97</v>
      </c>
      <c r="E112" s="2" t="s">
        <v>260</v>
      </c>
      <c r="F112" s="2" t="s">
        <v>99</v>
      </c>
      <c r="G112" s="2" t="s">
        <v>32</v>
      </c>
      <c r="H112" s="1"/>
      <c r="I112" s="2" t="s">
        <v>33</v>
      </c>
      <c r="J112" s="2" t="s">
        <v>34</v>
      </c>
      <c r="K112" s="2" t="s">
        <v>978</v>
      </c>
      <c r="L112" s="2" t="s">
        <v>979</v>
      </c>
      <c r="M112" s="2" t="s">
        <v>772</v>
      </c>
      <c r="N112" s="2" t="s">
        <v>38</v>
      </c>
      <c r="O112" s="2" t="s">
        <v>980</v>
      </c>
      <c r="P112" s="2" t="s">
        <v>880</v>
      </c>
      <c r="Q112" s="2" t="s">
        <v>981</v>
      </c>
      <c r="R112" s="2" t="s">
        <v>40</v>
      </c>
      <c r="S112" s="2" t="s">
        <v>982</v>
      </c>
      <c r="T112" s="2" t="s">
        <v>983</v>
      </c>
      <c r="U112" s="2" t="s">
        <v>984</v>
      </c>
      <c r="V112" s="2" t="s">
        <v>985</v>
      </c>
      <c r="W112" s="1"/>
      <c r="X112" s="2" t="s">
        <v>986</v>
      </c>
      <c r="Y112" s="2" t="s">
        <v>271</v>
      </c>
      <c r="AA112" t="str">
        <f t="shared" si="6"/>
        <v>2026-06</v>
      </c>
      <c r="AB112" t="str">
        <f t="shared" si="7"/>
        <v>H1_2026</v>
      </c>
      <c r="AC112">
        <f t="shared" si="8"/>
        <v>18163981.850000001</v>
      </c>
      <c r="AD112">
        <f t="shared" si="9"/>
        <v>1310</v>
      </c>
      <c r="AE112">
        <f t="shared" si="10"/>
        <v>4212481.8499999996</v>
      </c>
      <c r="AF112" t="str">
        <f t="shared" si="11"/>
        <v>Paid</v>
      </c>
    </row>
    <row r="113" spans="1:32" ht="17.25" thickBot="1" x14ac:dyDescent="0.35">
      <c r="A113" s="2" t="s">
        <v>987</v>
      </c>
      <c r="B113" s="2" t="s">
        <v>27</v>
      </c>
      <c r="C113" s="2" t="s">
        <v>28</v>
      </c>
      <c r="D113" s="2" t="s">
        <v>97</v>
      </c>
      <c r="E113" s="2" t="s">
        <v>260</v>
      </c>
      <c r="F113" s="2" t="s">
        <v>99</v>
      </c>
      <c r="G113" s="2" t="s">
        <v>32</v>
      </c>
      <c r="H113" s="1"/>
      <c r="I113" s="2" t="s">
        <v>33</v>
      </c>
      <c r="J113" s="2" t="s">
        <v>34</v>
      </c>
      <c r="K113" s="2" t="s">
        <v>988</v>
      </c>
      <c r="L113" s="2" t="s">
        <v>989</v>
      </c>
      <c r="M113" s="2" t="s">
        <v>772</v>
      </c>
      <c r="N113" s="2" t="s">
        <v>38</v>
      </c>
      <c r="O113" s="2" t="s">
        <v>990</v>
      </c>
      <c r="P113" s="2" t="s">
        <v>991</v>
      </c>
      <c r="Q113" s="2" t="s">
        <v>992</v>
      </c>
      <c r="R113" s="2" t="s">
        <v>40</v>
      </c>
      <c r="S113" s="2" t="s">
        <v>993</v>
      </c>
      <c r="T113" s="2" t="s">
        <v>994</v>
      </c>
      <c r="U113" s="2" t="s">
        <v>995</v>
      </c>
      <c r="V113" s="2" t="s">
        <v>996</v>
      </c>
      <c r="W113" s="1"/>
      <c r="X113" s="2" t="s">
        <v>997</v>
      </c>
      <c r="Y113" s="2" t="s">
        <v>271</v>
      </c>
      <c r="AA113" t="str">
        <f t="shared" si="6"/>
        <v>2026-06</v>
      </c>
      <c r="AB113" t="str">
        <f t="shared" si="7"/>
        <v>H1_2026</v>
      </c>
      <c r="AC113">
        <f t="shared" si="8"/>
        <v>26651489.199999999</v>
      </c>
      <c r="AD113">
        <f t="shared" si="9"/>
        <v>1840</v>
      </c>
      <c r="AE113">
        <f t="shared" si="10"/>
        <v>7607489.2000000002</v>
      </c>
      <c r="AF113" t="str">
        <f t="shared" si="11"/>
        <v>Paid</v>
      </c>
    </row>
    <row r="114" spans="1:32" ht="17.25" thickBot="1" x14ac:dyDescent="0.35">
      <c r="A114" s="2" t="s">
        <v>998</v>
      </c>
      <c r="B114" s="2" t="s">
        <v>27</v>
      </c>
      <c r="C114" s="2" t="s">
        <v>28</v>
      </c>
      <c r="D114" s="2" t="s">
        <v>97</v>
      </c>
      <c r="E114" s="2" t="s">
        <v>260</v>
      </c>
      <c r="F114" s="2" t="s">
        <v>99</v>
      </c>
      <c r="G114" s="2" t="s">
        <v>32</v>
      </c>
      <c r="H114" s="1"/>
      <c r="I114" s="2" t="s">
        <v>33</v>
      </c>
      <c r="J114" s="2" t="s">
        <v>34</v>
      </c>
      <c r="K114" s="2" t="s">
        <v>999</v>
      </c>
      <c r="L114" s="2" t="s">
        <v>1000</v>
      </c>
      <c r="M114" s="2" t="s">
        <v>772</v>
      </c>
      <c r="N114" s="2" t="s">
        <v>38</v>
      </c>
      <c r="O114" s="2" t="s">
        <v>354</v>
      </c>
      <c r="P114" s="2" t="s">
        <v>1001</v>
      </c>
      <c r="Q114" s="2" t="s">
        <v>1002</v>
      </c>
      <c r="R114" s="2" t="s">
        <v>40</v>
      </c>
      <c r="S114" s="2" t="s">
        <v>1003</v>
      </c>
      <c r="T114" s="2" t="s">
        <v>864</v>
      </c>
      <c r="U114" s="2" t="s">
        <v>1004</v>
      </c>
      <c r="V114" s="2" t="s">
        <v>1005</v>
      </c>
      <c r="W114" s="1"/>
      <c r="X114" s="2" t="s">
        <v>1006</v>
      </c>
      <c r="Y114" s="2" t="s">
        <v>271</v>
      </c>
      <c r="AA114" t="str">
        <f t="shared" si="6"/>
        <v>2026-06</v>
      </c>
      <c r="AB114" t="str">
        <f t="shared" si="7"/>
        <v>H1_2026</v>
      </c>
      <c r="AC114">
        <f t="shared" si="8"/>
        <v>7176829.0999999996</v>
      </c>
      <c r="AD114">
        <f t="shared" si="9"/>
        <v>710</v>
      </c>
      <c r="AE114">
        <f t="shared" si="10"/>
        <v>1851829.1</v>
      </c>
      <c r="AF114" t="str">
        <f t="shared" si="11"/>
        <v>Paid</v>
      </c>
    </row>
    <row r="115" spans="1:32" ht="17.25" thickBot="1" x14ac:dyDescent="0.35">
      <c r="A115" s="2" t="s">
        <v>1007</v>
      </c>
      <c r="B115" s="2" t="s">
        <v>27</v>
      </c>
      <c r="C115" s="2" t="s">
        <v>28</v>
      </c>
      <c r="D115" s="2" t="s">
        <v>97</v>
      </c>
      <c r="E115" s="2" t="s">
        <v>260</v>
      </c>
      <c r="F115" s="2" t="s">
        <v>99</v>
      </c>
      <c r="G115" s="2" t="s">
        <v>32</v>
      </c>
      <c r="H115" s="1"/>
      <c r="I115" s="2" t="s">
        <v>33</v>
      </c>
      <c r="J115" s="2" t="s">
        <v>34</v>
      </c>
      <c r="K115" s="2" t="s">
        <v>1008</v>
      </c>
      <c r="L115" s="2" t="s">
        <v>1009</v>
      </c>
      <c r="M115" s="2" t="s">
        <v>772</v>
      </c>
      <c r="N115" s="2" t="s">
        <v>38</v>
      </c>
      <c r="O115" s="2" t="s">
        <v>428</v>
      </c>
      <c r="P115" s="2" t="s">
        <v>1010</v>
      </c>
      <c r="Q115" s="2" t="s">
        <v>1011</v>
      </c>
      <c r="R115" s="2" t="s">
        <v>40</v>
      </c>
      <c r="S115" s="2" t="s">
        <v>1012</v>
      </c>
      <c r="T115" s="2" t="s">
        <v>1013</v>
      </c>
      <c r="U115" s="2" t="s">
        <v>1014</v>
      </c>
      <c r="V115" s="2" t="s">
        <v>1015</v>
      </c>
      <c r="W115" s="1"/>
      <c r="X115" s="2" t="s">
        <v>1016</v>
      </c>
      <c r="Y115" s="2" t="s">
        <v>271</v>
      </c>
      <c r="AA115" t="str">
        <f t="shared" si="6"/>
        <v>2026-06</v>
      </c>
      <c r="AB115" t="str">
        <f t="shared" si="7"/>
        <v>H1_2026</v>
      </c>
      <c r="AC115">
        <f t="shared" si="8"/>
        <v>3002256.25</v>
      </c>
      <c r="AD115">
        <f t="shared" si="9"/>
        <v>250</v>
      </c>
      <c r="AE115">
        <f t="shared" si="10"/>
        <v>877256.25</v>
      </c>
      <c r="AF115" t="str">
        <f t="shared" si="11"/>
        <v>Paid</v>
      </c>
    </row>
    <row r="116" spans="1:32" ht="17.25" thickBot="1" x14ac:dyDescent="0.35">
      <c r="A116" s="2" t="s">
        <v>1017</v>
      </c>
      <c r="B116" s="2" t="s">
        <v>27</v>
      </c>
      <c r="C116" s="2" t="s">
        <v>28</v>
      </c>
      <c r="D116" s="2" t="s">
        <v>97</v>
      </c>
      <c r="E116" s="2" t="s">
        <v>260</v>
      </c>
      <c r="F116" s="2" t="s">
        <v>99</v>
      </c>
      <c r="G116" s="2" t="s">
        <v>32</v>
      </c>
      <c r="H116" s="1"/>
      <c r="I116" s="2" t="s">
        <v>33</v>
      </c>
      <c r="J116" s="2" t="s">
        <v>34</v>
      </c>
      <c r="K116" s="2" t="s">
        <v>1018</v>
      </c>
      <c r="L116" s="2" t="s">
        <v>1019</v>
      </c>
      <c r="M116" s="2" t="s">
        <v>772</v>
      </c>
      <c r="N116" s="2" t="s">
        <v>38</v>
      </c>
      <c r="O116" s="2" t="s">
        <v>1020</v>
      </c>
      <c r="P116" s="2" t="s">
        <v>822</v>
      </c>
      <c r="Q116" s="2" t="s">
        <v>1021</v>
      </c>
      <c r="R116" s="2" t="s">
        <v>40</v>
      </c>
      <c r="S116" s="2" t="s">
        <v>1022</v>
      </c>
      <c r="T116" s="2" t="s">
        <v>864</v>
      </c>
      <c r="U116" s="2" t="s">
        <v>1023</v>
      </c>
      <c r="V116" s="2" t="s">
        <v>1024</v>
      </c>
      <c r="W116" s="1"/>
      <c r="X116" s="2" t="s">
        <v>965</v>
      </c>
      <c r="Y116" s="2" t="s">
        <v>271</v>
      </c>
      <c r="AA116" t="str">
        <f t="shared" si="6"/>
        <v>2026-06</v>
      </c>
      <c r="AB116" t="str">
        <f t="shared" si="7"/>
        <v>H1_2026</v>
      </c>
      <c r="AC116">
        <f t="shared" si="8"/>
        <v>16629921</v>
      </c>
      <c r="AD116">
        <f t="shared" si="9"/>
        <v>1650</v>
      </c>
      <c r="AE116">
        <f t="shared" si="10"/>
        <v>4254921</v>
      </c>
      <c r="AF116" t="str">
        <f t="shared" si="11"/>
        <v>Paid</v>
      </c>
    </row>
    <row r="117" spans="1:32" ht="17.25" thickBot="1" x14ac:dyDescent="0.35">
      <c r="A117" s="2" t="s">
        <v>1025</v>
      </c>
      <c r="B117" s="2" t="s">
        <v>27</v>
      </c>
      <c r="C117" s="2" t="s">
        <v>28</v>
      </c>
      <c r="D117" s="2" t="s">
        <v>97</v>
      </c>
      <c r="E117" s="2" t="s">
        <v>260</v>
      </c>
      <c r="F117" s="2" t="s">
        <v>99</v>
      </c>
      <c r="G117" s="2" t="s">
        <v>32</v>
      </c>
      <c r="H117" s="1"/>
      <c r="I117" s="2" t="s">
        <v>33</v>
      </c>
      <c r="J117" s="2" t="s">
        <v>34</v>
      </c>
      <c r="K117" s="2" t="s">
        <v>1026</v>
      </c>
      <c r="L117" s="2" t="s">
        <v>1027</v>
      </c>
      <c r="M117" s="2" t="s">
        <v>772</v>
      </c>
      <c r="N117" s="2" t="s">
        <v>38</v>
      </c>
      <c r="O117" s="2" t="s">
        <v>354</v>
      </c>
      <c r="P117" s="2" t="s">
        <v>1028</v>
      </c>
      <c r="Q117" s="2" t="s">
        <v>1029</v>
      </c>
      <c r="R117" s="2" t="s">
        <v>40</v>
      </c>
      <c r="S117" s="2" t="s">
        <v>1030</v>
      </c>
      <c r="T117" s="2" t="s">
        <v>864</v>
      </c>
      <c r="U117" s="2" t="s">
        <v>1004</v>
      </c>
      <c r="V117" s="2" t="s">
        <v>1031</v>
      </c>
      <c r="W117" s="1"/>
      <c r="X117" s="2" t="s">
        <v>827</v>
      </c>
      <c r="Y117" s="2" t="s">
        <v>271</v>
      </c>
      <c r="AA117" t="str">
        <f t="shared" si="6"/>
        <v>2026-06</v>
      </c>
      <c r="AB117" t="str">
        <f t="shared" si="7"/>
        <v>H1_2026</v>
      </c>
      <c r="AC117">
        <f t="shared" si="8"/>
        <v>6706045.8499999996</v>
      </c>
      <c r="AD117">
        <f t="shared" si="9"/>
        <v>710</v>
      </c>
      <c r="AE117">
        <f t="shared" si="10"/>
        <v>1381045.85</v>
      </c>
      <c r="AF117" t="str">
        <f t="shared" si="11"/>
        <v>Paid</v>
      </c>
    </row>
    <row r="118" spans="1:32" ht="17.25" thickBot="1" x14ac:dyDescent="0.35">
      <c r="A118" s="2" t="s">
        <v>1032</v>
      </c>
      <c r="B118" s="2" t="s">
        <v>27</v>
      </c>
      <c r="C118" s="2" t="s">
        <v>28</v>
      </c>
      <c r="D118" s="2" t="s">
        <v>97</v>
      </c>
      <c r="E118" s="2" t="s">
        <v>260</v>
      </c>
      <c r="F118" s="2" t="s">
        <v>99</v>
      </c>
      <c r="G118" s="2" t="s">
        <v>32</v>
      </c>
      <c r="H118" s="1"/>
      <c r="I118" s="2" t="s">
        <v>33</v>
      </c>
      <c r="J118" s="2" t="s">
        <v>34</v>
      </c>
      <c r="K118" s="2" t="s">
        <v>1033</v>
      </c>
      <c r="L118" s="2" t="s">
        <v>1034</v>
      </c>
      <c r="M118" s="2" t="s">
        <v>772</v>
      </c>
      <c r="N118" s="2" t="s">
        <v>38</v>
      </c>
      <c r="O118" s="2" t="s">
        <v>1035</v>
      </c>
      <c r="P118" s="2" t="s">
        <v>1036</v>
      </c>
      <c r="Q118" s="2" t="s">
        <v>1037</v>
      </c>
      <c r="R118" s="2" t="s">
        <v>40</v>
      </c>
      <c r="S118" s="2" t="s">
        <v>1038</v>
      </c>
      <c r="T118" s="2" t="s">
        <v>1039</v>
      </c>
      <c r="U118" s="2" t="s">
        <v>1040</v>
      </c>
      <c r="V118" s="2" t="s">
        <v>1041</v>
      </c>
      <c r="W118" s="1"/>
      <c r="X118" s="2" t="s">
        <v>1042</v>
      </c>
      <c r="Y118" s="2" t="s">
        <v>271</v>
      </c>
      <c r="AA118" t="str">
        <f t="shared" si="6"/>
        <v>2026-06</v>
      </c>
      <c r="AB118" t="str">
        <f t="shared" si="7"/>
        <v>H1_2026</v>
      </c>
      <c r="AC118">
        <f t="shared" si="8"/>
        <v>39947174.399999999</v>
      </c>
      <c r="AD118">
        <f t="shared" si="9"/>
        <v>3530</v>
      </c>
      <c r="AE118">
        <f t="shared" si="10"/>
        <v>9589174.4000000004</v>
      </c>
      <c r="AF118" t="str">
        <f t="shared" si="11"/>
        <v>Paid</v>
      </c>
    </row>
    <row r="119" spans="1:32" ht="17.25" thickBot="1" x14ac:dyDescent="0.35">
      <c r="A119" s="2" t="s">
        <v>1043</v>
      </c>
      <c r="B119" s="2" t="s">
        <v>27</v>
      </c>
      <c r="C119" s="2" t="s">
        <v>28</v>
      </c>
      <c r="D119" s="2" t="s">
        <v>97</v>
      </c>
      <c r="E119" s="2" t="s">
        <v>260</v>
      </c>
      <c r="F119" s="2" t="s">
        <v>99</v>
      </c>
      <c r="G119" s="2" t="s">
        <v>32</v>
      </c>
      <c r="H119" s="1"/>
      <c r="I119" s="2" t="s">
        <v>33</v>
      </c>
      <c r="J119" s="2" t="s">
        <v>34</v>
      </c>
      <c r="K119" s="2" t="s">
        <v>1044</v>
      </c>
      <c r="L119" s="2" t="s">
        <v>1045</v>
      </c>
      <c r="M119" s="2" t="s">
        <v>772</v>
      </c>
      <c r="N119" s="2" t="s">
        <v>38</v>
      </c>
      <c r="O119" s="2" t="s">
        <v>1046</v>
      </c>
      <c r="P119" s="2" t="s">
        <v>1047</v>
      </c>
      <c r="Q119" s="2" t="s">
        <v>1048</v>
      </c>
      <c r="R119" s="2" t="s">
        <v>40</v>
      </c>
      <c r="S119" s="2" t="s">
        <v>1049</v>
      </c>
      <c r="T119" s="2" t="s">
        <v>864</v>
      </c>
      <c r="U119" s="2" t="s">
        <v>1050</v>
      </c>
      <c r="V119" s="2" t="s">
        <v>1051</v>
      </c>
      <c r="W119" s="1"/>
      <c r="X119" s="2" t="s">
        <v>1052</v>
      </c>
      <c r="Y119" s="2" t="s">
        <v>271</v>
      </c>
      <c r="AA119" t="str">
        <f t="shared" si="6"/>
        <v>2026-06</v>
      </c>
      <c r="AB119" t="str">
        <f t="shared" si="7"/>
        <v>H1_2026</v>
      </c>
      <c r="AC119">
        <f t="shared" si="8"/>
        <v>10736952.449999999</v>
      </c>
      <c r="AD119">
        <f t="shared" si="9"/>
        <v>1070</v>
      </c>
      <c r="AE119">
        <f t="shared" si="10"/>
        <v>2711952.45</v>
      </c>
      <c r="AF119" t="str">
        <f t="shared" si="11"/>
        <v>Paid</v>
      </c>
    </row>
    <row r="120" spans="1:32" ht="17.25" thickBot="1" x14ac:dyDescent="0.35">
      <c r="A120" s="2" t="s">
        <v>1053</v>
      </c>
      <c r="B120" s="2" t="s">
        <v>27</v>
      </c>
      <c r="C120" s="2" t="s">
        <v>28</v>
      </c>
      <c r="D120" s="2" t="s">
        <v>97</v>
      </c>
      <c r="E120" s="2" t="s">
        <v>260</v>
      </c>
      <c r="F120" s="2" t="s">
        <v>99</v>
      </c>
      <c r="G120" s="2" t="s">
        <v>32</v>
      </c>
      <c r="H120" s="1"/>
      <c r="I120" s="2" t="s">
        <v>33</v>
      </c>
      <c r="J120" s="2" t="s">
        <v>34</v>
      </c>
      <c r="K120" s="2" t="s">
        <v>1054</v>
      </c>
      <c r="L120" s="2" t="s">
        <v>1055</v>
      </c>
      <c r="M120" s="2" t="s">
        <v>772</v>
      </c>
      <c r="N120" s="2" t="s">
        <v>38</v>
      </c>
      <c r="O120" s="2" t="s">
        <v>1056</v>
      </c>
      <c r="P120" s="2" t="s">
        <v>1057</v>
      </c>
      <c r="Q120" s="2" t="s">
        <v>1058</v>
      </c>
      <c r="R120" s="2" t="s">
        <v>40</v>
      </c>
      <c r="S120" s="2" t="s">
        <v>1059</v>
      </c>
      <c r="T120" s="2" t="s">
        <v>1060</v>
      </c>
      <c r="U120" s="2" t="s">
        <v>1061</v>
      </c>
      <c r="V120" s="2" t="s">
        <v>1062</v>
      </c>
      <c r="W120" s="1"/>
      <c r="X120" s="2" t="s">
        <v>1063</v>
      </c>
      <c r="Y120" s="2" t="s">
        <v>271</v>
      </c>
      <c r="AA120" t="str">
        <f t="shared" si="6"/>
        <v>2026-06</v>
      </c>
      <c r="AB120" t="str">
        <f t="shared" si="7"/>
        <v>H1_2026</v>
      </c>
      <c r="AC120">
        <f t="shared" si="8"/>
        <v>8843357.5999999996</v>
      </c>
      <c r="AD120">
        <f t="shared" si="9"/>
        <v>880</v>
      </c>
      <c r="AE120">
        <f t="shared" si="10"/>
        <v>3897757.6</v>
      </c>
      <c r="AF120" t="str">
        <f t="shared" si="11"/>
        <v>Paid</v>
      </c>
    </row>
    <row r="121" spans="1:32" ht="17.25" thickBot="1" x14ac:dyDescent="0.35">
      <c r="A121" s="2" t="s">
        <v>1064</v>
      </c>
      <c r="B121" s="2" t="s">
        <v>27</v>
      </c>
      <c r="C121" s="2" t="s">
        <v>28</v>
      </c>
      <c r="D121" s="2" t="s">
        <v>97</v>
      </c>
      <c r="E121" s="2" t="s">
        <v>260</v>
      </c>
      <c r="F121" s="2" t="s">
        <v>99</v>
      </c>
      <c r="G121" s="2" t="s">
        <v>32</v>
      </c>
      <c r="H121" s="1"/>
      <c r="I121" s="2" t="s">
        <v>33</v>
      </c>
      <c r="J121" s="2" t="s">
        <v>34</v>
      </c>
      <c r="K121" s="2" t="s">
        <v>1065</v>
      </c>
      <c r="L121" s="2" t="s">
        <v>1066</v>
      </c>
      <c r="M121" s="2" t="s">
        <v>772</v>
      </c>
      <c r="N121" s="2" t="s">
        <v>38</v>
      </c>
      <c r="O121" s="2" t="s">
        <v>1067</v>
      </c>
      <c r="P121" s="2" t="s">
        <v>1068</v>
      </c>
      <c r="Q121" s="2" t="s">
        <v>1069</v>
      </c>
      <c r="R121" s="2" t="s">
        <v>40</v>
      </c>
      <c r="S121" s="2" t="s">
        <v>1070</v>
      </c>
      <c r="T121" s="2" t="s">
        <v>864</v>
      </c>
      <c r="U121" s="2" t="s">
        <v>1071</v>
      </c>
      <c r="V121" s="2" t="s">
        <v>1072</v>
      </c>
      <c r="W121" s="1"/>
      <c r="X121" s="2" t="s">
        <v>1073</v>
      </c>
      <c r="Y121" s="2" t="s">
        <v>271</v>
      </c>
      <c r="AA121" t="str">
        <f t="shared" si="6"/>
        <v>2026-06</v>
      </c>
      <c r="AB121" t="str">
        <f t="shared" si="7"/>
        <v>H1_2026</v>
      </c>
      <c r="AC121">
        <f t="shared" si="8"/>
        <v>18578919.449999999</v>
      </c>
      <c r="AD121">
        <f t="shared" si="9"/>
        <v>1830</v>
      </c>
      <c r="AE121">
        <f t="shared" si="10"/>
        <v>4853919.45</v>
      </c>
      <c r="AF121" t="str">
        <f t="shared" si="11"/>
        <v>Paid</v>
      </c>
    </row>
    <row r="122" spans="1:32" ht="17.25" thickBot="1" x14ac:dyDescent="0.35">
      <c r="A122" s="2" t="s">
        <v>517</v>
      </c>
      <c r="B122" s="2" t="s">
        <v>27</v>
      </c>
      <c r="C122" s="2" t="s">
        <v>28</v>
      </c>
      <c r="D122" s="2" t="s">
        <v>97</v>
      </c>
      <c r="E122" s="2" t="s">
        <v>260</v>
      </c>
      <c r="F122" s="2" t="s">
        <v>99</v>
      </c>
      <c r="G122" s="2" t="s">
        <v>32</v>
      </c>
      <c r="H122" s="1"/>
      <c r="I122" s="2" t="s">
        <v>33</v>
      </c>
      <c r="J122" s="2" t="s">
        <v>34</v>
      </c>
      <c r="K122" s="2" t="s">
        <v>1074</v>
      </c>
      <c r="L122" s="2" t="s">
        <v>1075</v>
      </c>
      <c r="M122" s="2" t="s">
        <v>772</v>
      </c>
      <c r="N122" s="2" t="s">
        <v>38</v>
      </c>
      <c r="O122" s="2" t="s">
        <v>1056</v>
      </c>
      <c r="P122" s="2" t="s">
        <v>1076</v>
      </c>
      <c r="Q122" s="2" t="s">
        <v>1077</v>
      </c>
      <c r="R122" s="2" t="s">
        <v>40</v>
      </c>
      <c r="S122" s="2" t="s">
        <v>1078</v>
      </c>
      <c r="T122" s="2" t="s">
        <v>1079</v>
      </c>
      <c r="U122" s="2" t="s">
        <v>1080</v>
      </c>
      <c r="V122" s="2" t="s">
        <v>1081</v>
      </c>
      <c r="W122" s="1"/>
      <c r="X122" s="2" t="s">
        <v>1082</v>
      </c>
      <c r="Y122" s="2" t="s">
        <v>271</v>
      </c>
      <c r="AA122" t="str">
        <f t="shared" si="6"/>
        <v>2026-06</v>
      </c>
      <c r="AB122" t="str">
        <f t="shared" si="7"/>
        <v>H1_2026</v>
      </c>
      <c r="AC122">
        <f t="shared" si="8"/>
        <v>8856324.4000000004</v>
      </c>
      <c r="AD122">
        <f t="shared" si="9"/>
        <v>880</v>
      </c>
      <c r="AE122">
        <f t="shared" si="10"/>
        <v>2089124.4</v>
      </c>
      <c r="AF122" t="str">
        <f t="shared" si="11"/>
        <v>Paid</v>
      </c>
    </row>
    <row r="123" spans="1:32" ht="17.25" thickBot="1" x14ac:dyDescent="0.35">
      <c r="A123" s="2" t="s">
        <v>1083</v>
      </c>
      <c r="B123" s="2" t="s">
        <v>27</v>
      </c>
      <c r="C123" s="2" t="s">
        <v>28</v>
      </c>
      <c r="D123" s="2" t="s">
        <v>97</v>
      </c>
      <c r="E123" s="2" t="s">
        <v>260</v>
      </c>
      <c r="F123" s="2" t="s">
        <v>99</v>
      </c>
      <c r="G123" s="2" t="s">
        <v>32</v>
      </c>
      <c r="H123" s="1"/>
      <c r="I123" s="2" t="s">
        <v>33</v>
      </c>
      <c r="J123" s="2" t="s">
        <v>34</v>
      </c>
      <c r="K123" s="2" t="s">
        <v>1084</v>
      </c>
      <c r="L123" s="2" t="s">
        <v>1085</v>
      </c>
      <c r="M123" s="2" t="s">
        <v>772</v>
      </c>
      <c r="N123" s="2" t="s">
        <v>38</v>
      </c>
      <c r="O123" s="2" t="s">
        <v>1086</v>
      </c>
      <c r="P123" s="2" t="s">
        <v>402</v>
      </c>
      <c r="Q123" s="2" t="s">
        <v>1087</v>
      </c>
      <c r="R123" s="2" t="s">
        <v>40</v>
      </c>
      <c r="S123" s="2" t="s">
        <v>1088</v>
      </c>
      <c r="T123" s="2" t="s">
        <v>658</v>
      </c>
      <c r="U123" s="2" t="s">
        <v>1089</v>
      </c>
      <c r="V123" s="2" t="s">
        <v>1090</v>
      </c>
      <c r="W123" s="1"/>
      <c r="X123" s="2" t="s">
        <v>1091</v>
      </c>
      <c r="Y123" s="2" t="s">
        <v>271</v>
      </c>
      <c r="AA123" t="str">
        <f t="shared" si="6"/>
        <v>2026-06</v>
      </c>
      <c r="AB123" t="str">
        <f t="shared" si="7"/>
        <v>H1_2026</v>
      </c>
      <c r="AC123">
        <f t="shared" si="8"/>
        <v>9924022.5</v>
      </c>
      <c r="AD123">
        <f t="shared" si="9"/>
        <v>750</v>
      </c>
      <c r="AE123">
        <f t="shared" si="10"/>
        <v>2499022.5</v>
      </c>
      <c r="AF123" t="str">
        <f t="shared" si="11"/>
        <v>Paid</v>
      </c>
    </row>
    <row r="124" spans="1:32" ht="17.25" thickBot="1" x14ac:dyDescent="0.35">
      <c r="A124" s="2" t="s">
        <v>1092</v>
      </c>
      <c r="B124" s="2" t="s">
        <v>27</v>
      </c>
      <c r="C124" s="2" t="s">
        <v>28</v>
      </c>
      <c r="D124" s="2" t="s">
        <v>97</v>
      </c>
      <c r="E124" s="2" t="s">
        <v>260</v>
      </c>
      <c r="F124" s="2" t="s">
        <v>99</v>
      </c>
      <c r="G124" s="2" t="s">
        <v>32</v>
      </c>
      <c r="H124" s="1"/>
      <c r="I124" s="2" t="s">
        <v>33</v>
      </c>
      <c r="J124" s="2" t="s">
        <v>34</v>
      </c>
      <c r="K124" s="2" t="s">
        <v>1093</v>
      </c>
      <c r="L124" s="2" t="s">
        <v>1094</v>
      </c>
      <c r="M124" s="2" t="s">
        <v>37</v>
      </c>
      <c r="N124" s="2" t="s">
        <v>38</v>
      </c>
      <c r="O124" s="2" t="s">
        <v>503</v>
      </c>
      <c r="P124" s="2" t="s">
        <v>1095</v>
      </c>
      <c r="Q124" s="2" t="s">
        <v>1096</v>
      </c>
      <c r="R124" s="2" t="s">
        <v>40</v>
      </c>
      <c r="S124" s="2" t="s">
        <v>1097</v>
      </c>
      <c r="T124" s="2" t="s">
        <v>126</v>
      </c>
      <c r="U124" s="2" t="s">
        <v>1098</v>
      </c>
      <c r="V124" s="2" t="s">
        <v>1099</v>
      </c>
      <c r="W124" s="1"/>
      <c r="X124" s="2" t="s">
        <v>1100</v>
      </c>
      <c r="Y124" s="2" t="s">
        <v>271</v>
      </c>
      <c r="AA124" t="str">
        <f t="shared" si="6"/>
        <v>2026-06</v>
      </c>
      <c r="AB124" t="str">
        <f t="shared" si="7"/>
        <v>H1_2026</v>
      </c>
      <c r="AC124">
        <f t="shared" si="8"/>
        <v>2343307.0499999998</v>
      </c>
      <c r="AD124">
        <f t="shared" si="9"/>
        <v>310</v>
      </c>
      <c r="AE124">
        <f t="shared" si="10"/>
        <v>390307.05</v>
      </c>
      <c r="AF124" t="str">
        <f t="shared" si="11"/>
        <v>Paid</v>
      </c>
    </row>
    <row r="125" spans="1:32" ht="17.25" thickBot="1" x14ac:dyDescent="0.35">
      <c r="A125" s="2" t="s">
        <v>1101</v>
      </c>
      <c r="B125" s="2" t="s">
        <v>27</v>
      </c>
      <c r="C125" s="2" t="s">
        <v>28</v>
      </c>
      <c r="D125" s="2" t="s">
        <v>97</v>
      </c>
      <c r="E125" s="2" t="s">
        <v>260</v>
      </c>
      <c r="F125" s="2" t="s">
        <v>99</v>
      </c>
      <c r="G125" s="2" t="s">
        <v>32</v>
      </c>
      <c r="H125" s="1"/>
      <c r="I125" s="2" t="s">
        <v>33</v>
      </c>
      <c r="J125" s="2" t="s">
        <v>34</v>
      </c>
      <c r="K125" s="2" t="s">
        <v>1102</v>
      </c>
      <c r="L125" s="2" t="s">
        <v>1103</v>
      </c>
      <c r="M125" s="2" t="s">
        <v>37</v>
      </c>
      <c r="N125" s="2" t="s">
        <v>38</v>
      </c>
      <c r="O125" s="2" t="s">
        <v>1104</v>
      </c>
      <c r="P125" s="2" t="s">
        <v>1105</v>
      </c>
      <c r="Q125" s="2" t="s">
        <v>1106</v>
      </c>
      <c r="R125" s="2" t="s">
        <v>40</v>
      </c>
      <c r="S125" s="2" t="s">
        <v>1107</v>
      </c>
      <c r="T125" s="2" t="s">
        <v>107</v>
      </c>
      <c r="U125" s="2" t="s">
        <v>1108</v>
      </c>
      <c r="V125" s="2" t="s">
        <v>1109</v>
      </c>
      <c r="W125" s="1"/>
      <c r="X125" s="2" t="s">
        <v>1100</v>
      </c>
      <c r="Y125" s="2" t="s">
        <v>271</v>
      </c>
      <c r="AA125" t="str">
        <f t="shared" si="6"/>
        <v>2026-06</v>
      </c>
      <c r="AB125" t="str">
        <f t="shared" si="7"/>
        <v>H1_2026</v>
      </c>
      <c r="AC125">
        <f t="shared" si="8"/>
        <v>1303517.04</v>
      </c>
      <c r="AD125">
        <f t="shared" si="9"/>
        <v>194</v>
      </c>
      <c r="AE125">
        <f t="shared" si="10"/>
        <v>217117.04</v>
      </c>
      <c r="AF125" t="str">
        <f t="shared" si="11"/>
        <v>Paid</v>
      </c>
    </row>
    <row r="126" spans="1:32" ht="17.25" thickBot="1" x14ac:dyDescent="0.35">
      <c r="A126" s="2" t="s">
        <v>1110</v>
      </c>
      <c r="B126" s="2" t="s">
        <v>27</v>
      </c>
      <c r="C126" s="2" t="s">
        <v>28</v>
      </c>
      <c r="D126" s="2" t="s">
        <v>97</v>
      </c>
      <c r="E126" s="2" t="s">
        <v>260</v>
      </c>
      <c r="F126" s="2" t="s">
        <v>99</v>
      </c>
      <c r="G126" s="2" t="s">
        <v>32</v>
      </c>
      <c r="H126" s="1"/>
      <c r="I126" s="2" t="s">
        <v>33</v>
      </c>
      <c r="J126" s="2" t="s">
        <v>34</v>
      </c>
      <c r="K126" s="2" t="s">
        <v>1111</v>
      </c>
      <c r="L126" s="2" t="s">
        <v>1112</v>
      </c>
      <c r="M126" s="2" t="s">
        <v>37</v>
      </c>
      <c r="N126" s="2" t="s">
        <v>38</v>
      </c>
      <c r="O126" s="2" t="s">
        <v>1113</v>
      </c>
      <c r="P126" s="2" t="s">
        <v>1114</v>
      </c>
      <c r="Q126" s="2" t="s">
        <v>1115</v>
      </c>
      <c r="R126" s="2" t="s">
        <v>40</v>
      </c>
      <c r="S126" s="2" t="s">
        <v>1116</v>
      </c>
      <c r="T126" s="2" t="s">
        <v>1117</v>
      </c>
      <c r="U126" s="2" t="s">
        <v>1118</v>
      </c>
      <c r="V126" s="2" t="s">
        <v>1119</v>
      </c>
      <c r="W126" s="1"/>
      <c r="X126" s="2" t="s">
        <v>1120</v>
      </c>
      <c r="Y126" s="2" t="s">
        <v>271</v>
      </c>
      <c r="AA126" t="str">
        <f t="shared" si="6"/>
        <v>2026-06</v>
      </c>
      <c r="AB126" t="str">
        <f t="shared" si="7"/>
        <v>H1_2026</v>
      </c>
      <c r="AC126">
        <f t="shared" si="8"/>
        <v>2044923.3</v>
      </c>
      <c r="AD126">
        <f t="shared" si="9"/>
        <v>540</v>
      </c>
      <c r="AE126">
        <f t="shared" si="10"/>
        <v>343923.3</v>
      </c>
      <c r="AF126" t="str">
        <f t="shared" si="11"/>
        <v>Paid</v>
      </c>
    </row>
    <row r="127" spans="1:32" ht="17.25" thickBot="1" x14ac:dyDescent="0.35">
      <c r="A127" s="2" t="s">
        <v>1121</v>
      </c>
      <c r="B127" s="2" t="s">
        <v>27</v>
      </c>
      <c r="C127" s="2" t="s">
        <v>28</v>
      </c>
      <c r="D127" s="2" t="s">
        <v>97</v>
      </c>
      <c r="E127" s="2" t="s">
        <v>260</v>
      </c>
      <c r="F127" s="2" t="s">
        <v>99</v>
      </c>
      <c r="G127" s="2" t="s">
        <v>32</v>
      </c>
      <c r="H127" s="1"/>
      <c r="I127" s="2" t="s">
        <v>33</v>
      </c>
      <c r="J127" s="2" t="s">
        <v>34</v>
      </c>
      <c r="K127" s="2" t="s">
        <v>1122</v>
      </c>
      <c r="L127" s="2" t="s">
        <v>1123</v>
      </c>
      <c r="M127" s="2" t="s">
        <v>37</v>
      </c>
      <c r="N127" s="2" t="s">
        <v>38</v>
      </c>
      <c r="O127" s="2" t="s">
        <v>779</v>
      </c>
      <c r="P127" s="2" t="s">
        <v>1124</v>
      </c>
      <c r="Q127" s="2" t="s">
        <v>1125</v>
      </c>
      <c r="R127" s="2" t="s">
        <v>40</v>
      </c>
      <c r="S127" s="2" t="s">
        <v>1126</v>
      </c>
      <c r="T127" s="2" t="s">
        <v>1127</v>
      </c>
      <c r="U127" s="2" t="s">
        <v>1128</v>
      </c>
      <c r="V127" s="2" t="s">
        <v>1129</v>
      </c>
      <c r="W127" s="1"/>
      <c r="X127" s="2" t="s">
        <v>709</v>
      </c>
      <c r="Y127" s="2" t="s">
        <v>271</v>
      </c>
      <c r="AA127" t="str">
        <f t="shared" si="6"/>
        <v>2026-06</v>
      </c>
      <c r="AB127" t="str">
        <f t="shared" si="7"/>
        <v>H1_2026</v>
      </c>
      <c r="AC127">
        <f t="shared" si="8"/>
        <v>567592.19999999995</v>
      </c>
      <c r="AD127">
        <f t="shared" si="9"/>
        <v>90</v>
      </c>
      <c r="AE127">
        <f t="shared" si="10"/>
        <v>90592.2</v>
      </c>
      <c r="AF127" t="str">
        <f t="shared" si="11"/>
        <v>Paid</v>
      </c>
    </row>
    <row r="128" spans="1:32" ht="17.25" thickBot="1" x14ac:dyDescent="0.35">
      <c r="A128" s="2" t="s">
        <v>1130</v>
      </c>
      <c r="B128" s="2" t="s">
        <v>27</v>
      </c>
      <c r="C128" s="2" t="s">
        <v>28</v>
      </c>
      <c r="D128" s="2" t="s">
        <v>97</v>
      </c>
      <c r="E128" s="2" t="s">
        <v>260</v>
      </c>
      <c r="F128" s="2" t="s">
        <v>99</v>
      </c>
      <c r="G128" s="2" t="s">
        <v>32</v>
      </c>
      <c r="H128" s="1"/>
      <c r="I128" s="2" t="s">
        <v>33</v>
      </c>
      <c r="J128" s="2" t="s">
        <v>34</v>
      </c>
      <c r="K128" s="2" t="s">
        <v>1131</v>
      </c>
      <c r="L128" s="2" t="s">
        <v>1132</v>
      </c>
      <c r="M128" s="2" t="s">
        <v>37</v>
      </c>
      <c r="N128" s="2" t="s">
        <v>38</v>
      </c>
      <c r="O128" s="2" t="s">
        <v>748</v>
      </c>
      <c r="P128" s="2" t="s">
        <v>1133</v>
      </c>
      <c r="Q128" s="2" t="s">
        <v>1134</v>
      </c>
      <c r="R128" s="2" t="s">
        <v>40</v>
      </c>
      <c r="S128" s="2" t="s">
        <v>1135</v>
      </c>
      <c r="T128" s="2" t="s">
        <v>1136</v>
      </c>
      <c r="U128" s="2" t="s">
        <v>1137</v>
      </c>
      <c r="V128" s="2" t="s">
        <v>1138</v>
      </c>
      <c r="W128" s="1"/>
      <c r="X128" s="2" t="s">
        <v>1100</v>
      </c>
      <c r="Y128" s="2" t="s">
        <v>271</v>
      </c>
      <c r="AA128" t="str">
        <f t="shared" si="6"/>
        <v>2026-06</v>
      </c>
      <c r="AB128" t="str">
        <f t="shared" si="7"/>
        <v>H1_2026</v>
      </c>
      <c r="AC128">
        <f t="shared" si="8"/>
        <v>1411023.6</v>
      </c>
      <c r="AD128">
        <f t="shared" si="9"/>
        <v>280</v>
      </c>
      <c r="AE128">
        <f t="shared" si="10"/>
        <v>235023.6</v>
      </c>
      <c r="AF128" t="str">
        <f t="shared" si="11"/>
        <v>Paid</v>
      </c>
    </row>
    <row r="129" spans="1:32" ht="17.25" thickBot="1" x14ac:dyDescent="0.35">
      <c r="A129" s="2" t="s">
        <v>1139</v>
      </c>
      <c r="B129" s="2" t="s">
        <v>27</v>
      </c>
      <c r="C129" s="2" t="s">
        <v>28</v>
      </c>
      <c r="D129" s="2" t="s">
        <v>97</v>
      </c>
      <c r="E129" s="2" t="s">
        <v>260</v>
      </c>
      <c r="F129" s="2" t="s">
        <v>99</v>
      </c>
      <c r="G129" s="2" t="s">
        <v>32</v>
      </c>
      <c r="H129" s="1"/>
      <c r="I129" s="2" t="s">
        <v>33</v>
      </c>
      <c r="J129" s="2" t="s">
        <v>34</v>
      </c>
      <c r="K129" s="2" t="s">
        <v>1140</v>
      </c>
      <c r="L129" s="2" t="s">
        <v>1141</v>
      </c>
      <c r="M129" s="2" t="s">
        <v>37</v>
      </c>
      <c r="N129" s="2" t="s">
        <v>38</v>
      </c>
      <c r="O129" s="2" t="s">
        <v>148</v>
      </c>
      <c r="P129" s="2" t="s">
        <v>1124</v>
      </c>
      <c r="Q129" s="2" t="s">
        <v>1142</v>
      </c>
      <c r="R129" s="2" t="s">
        <v>40</v>
      </c>
      <c r="S129" s="2" t="s">
        <v>1143</v>
      </c>
      <c r="T129" s="2" t="s">
        <v>1144</v>
      </c>
      <c r="U129" s="2" t="s">
        <v>1145</v>
      </c>
      <c r="V129" s="2" t="s">
        <v>1146</v>
      </c>
      <c r="W129" s="1"/>
      <c r="X129" s="2" t="s">
        <v>806</v>
      </c>
      <c r="Y129" s="2" t="s">
        <v>271</v>
      </c>
      <c r="AA129" t="str">
        <f t="shared" si="6"/>
        <v>2026-06</v>
      </c>
      <c r="AB129" t="str">
        <f t="shared" si="7"/>
        <v>H1_2026</v>
      </c>
      <c r="AC129">
        <f t="shared" si="8"/>
        <v>119825.02</v>
      </c>
      <c r="AD129">
        <f t="shared" si="9"/>
        <v>19</v>
      </c>
      <c r="AE129">
        <f t="shared" si="10"/>
        <v>30575.02</v>
      </c>
      <c r="AF129" t="str">
        <f t="shared" si="11"/>
        <v>Paid</v>
      </c>
    </row>
    <row r="130" spans="1:32" ht="17.25" thickBot="1" x14ac:dyDescent="0.35">
      <c r="A130" s="2" t="s">
        <v>1147</v>
      </c>
      <c r="B130" s="2" t="s">
        <v>27</v>
      </c>
      <c r="C130" s="2" t="s">
        <v>28</v>
      </c>
      <c r="D130" s="2" t="s">
        <v>97</v>
      </c>
      <c r="E130" s="2" t="s">
        <v>260</v>
      </c>
      <c r="F130" s="2" t="s">
        <v>99</v>
      </c>
      <c r="G130" s="2" t="s">
        <v>32</v>
      </c>
      <c r="H130" s="1"/>
      <c r="I130" s="2" t="s">
        <v>33</v>
      </c>
      <c r="J130" s="2" t="s">
        <v>34</v>
      </c>
      <c r="K130" s="2" t="s">
        <v>1148</v>
      </c>
      <c r="L130" s="2" t="s">
        <v>1149</v>
      </c>
      <c r="M130" s="2" t="s">
        <v>37</v>
      </c>
      <c r="N130" s="2" t="s">
        <v>38</v>
      </c>
      <c r="O130" s="2" t="s">
        <v>1150</v>
      </c>
      <c r="P130" s="2" t="s">
        <v>1105</v>
      </c>
      <c r="Q130" s="2" t="s">
        <v>1151</v>
      </c>
      <c r="R130" s="2" t="s">
        <v>40</v>
      </c>
      <c r="S130" s="2" t="s">
        <v>1152</v>
      </c>
      <c r="T130" s="2" t="s">
        <v>107</v>
      </c>
      <c r="U130" s="2" t="s">
        <v>1153</v>
      </c>
      <c r="V130" s="2" t="s">
        <v>1154</v>
      </c>
      <c r="W130" s="1"/>
      <c r="X130" s="2" t="s">
        <v>1100</v>
      </c>
      <c r="Y130" s="2" t="s">
        <v>271</v>
      </c>
      <c r="AA130" t="str">
        <f t="shared" si="6"/>
        <v>2026-06</v>
      </c>
      <c r="AB130" t="str">
        <f t="shared" si="7"/>
        <v>H1_2026</v>
      </c>
      <c r="AC130">
        <f t="shared" si="8"/>
        <v>873490.8</v>
      </c>
      <c r="AD130">
        <f t="shared" si="9"/>
        <v>130</v>
      </c>
      <c r="AE130">
        <f t="shared" si="10"/>
        <v>145490.79999999999</v>
      </c>
      <c r="AF130" t="str">
        <f t="shared" si="11"/>
        <v>Paid</v>
      </c>
    </row>
    <row r="131" spans="1:32" ht="17.25" thickBot="1" x14ac:dyDescent="0.35">
      <c r="A131" s="2" t="s">
        <v>1155</v>
      </c>
      <c r="B131" s="2" t="s">
        <v>27</v>
      </c>
      <c r="C131" s="2" t="s">
        <v>28</v>
      </c>
      <c r="D131" s="2" t="s">
        <v>97</v>
      </c>
      <c r="E131" s="2" t="s">
        <v>260</v>
      </c>
      <c r="F131" s="2" t="s">
        <v>99</v>
      </c>
      <c r="G131" s="2" t="s">
        <v>32</v>
      </c>
      <c r="H131" s="1"/>
      <c r="I131" s="2" t="s">
        <v>33</v>
      </c>
      <c r="J131" s="2" t="s">
        <v>34</v>
      </c>
      <c r="K131" s="2" t="s">
        <v>1156</v>
      </c>
      <c r="L131" s="2" t="s">
        <v>1157</v>
      </c>
      <c r="M131" s="2" t="s">
        <v>37</v>
      </c>
      <c r="N131" s="2" t="s">
        <v>38</v>
      </c>
      <c r="O131" s="2" t="s">
        <v>1158</v>
      </c>
      <c r="P131" s="2" t="s">
        <v>392</v>
      </c>
      <c r="Q131" s="2" t="s">
        <v>1159</v>
      </c>
      <c r="R131" s="2" t="s">
        <v>40</v>
      </c>
      <c r="S131" s="2" t="s">
        <v>1160</v>
      </c>
      <c r="T131" s="2" t="s">
        <v>1161</v>
      </c>
      <c r="U131" s="2" t="s">
        <v>1162</v>
      </c>
      <c r="V131" s="2" t="s">
        <v>1163</v>
      </c>
      <c r="W131" s="1"/>
      <c r="X131" s="2" t="s">
        <v>806</v>
      </c>
      <c r="Y131" s="2" t="s">
        <v>271</v>
      </c>
      <c r="AA131" t="str">
        <f t="shared" si="6"/>
        <v>2026-06</v>
      </c>
      <c r="AB131" t="str">
        <f t="shared" si="7"/>
        <v>H1_2026</v>
      </c>
      <c r="AC131">
        <f t="shared" si="8"/>
        <v>2538251.1</v>
      </c>
      <c r="AD131">
        <f t="shared" si="9"/>
        <v>180</v>
      </c>
      <c r="AE131">
        <f t="shared" si="10"/>
        <v>648251.1</v>
      </c>
      <c r="AF131" t="str">
        <f t="shared" si="11"/>
        <v>Paid</v>
      </c>
    </row>
    <row r="132" spans="1:32" ht="17.25" thickBot="1" x14ac:dyDescent="0.35">
      <c r="A132" s="2" t="s">
        <v>1150</v>
      </c>
      <c r="B132" s="2" t="s">
        <v>27</v>
      </c>
      <c r="C132" s="2" t="s">
        <v>28</v>
      </c>
      <c r="D132" s="2" t="s">
        <v>97</v>
      </c>
      <c r="E132" s="2" t="s">
        <v>260</v>
      </c>
      <c r="F132" s="2" t="s">
        <v>99</v>
      </c>
      <c r="G132" s="2" t="s">
        <v>32</v>
      </c>
      <c r="H132" s="1"/>
      <c r="I132" s="2" t="s">
        <v>33</v>
      </c>
      <c r="J132" s="2" t="s">
        <v>34</v>
      </c>
      <c r="K132" s="2" t="s">
        <v>1164</v>
      </c>
      <c r="L132" s="2" t="s">
        <v>1165</v>
      </c>
      <c r="M132" s="2" t="s">
        <v>37</v>
      </c>
      <c r="N132" s="2" t="s">
        <v>38</v>
      </c>
      <c r="O132" s="2" t="s">
        <v>773</v>
      </c>
      <c r="P132" s="2" t="s">
        <v>1095</v>
      </c>
      <c r="Q132" s="2" t="s">
        <v>1166</v>
      </c>
      <c r="R132" s="2" t="s">
        <v>40</v>
      </c>
      <c r="S132" s="2" t="s">
        <v>1167</v>
      </c>
      <c r="T132" s="2" t="s">
        <v>1168</v>
      </c>
      <c r="U132" s="2" t="s">
        <v>1169</v>
      </c>
      <c r="V132" s="2" t="s">
        <v>1170</v>
      </c>
      <c r="W132" s="1"/>
      <c r="X132" s="2" t="s">
        <v>1171</v>
      </c>
      <c r="Y132" s="2" t="s">
        <v>271</v>
      </c>
      <c r="AA132" t="str">
        <f t="shared" ref="AA132:AA195" si="12">LEFT(E132,7)</f>
        <v>2026-06</v>
      </c>
      <c r="AB132" t="str">
        <f t="shared" ref="AB132:AB195" si="13">IF(AND($AA132&gt;="2025-01",$AA132&lt;="2025-06"),"H1_2025",IF(AND($AA132&gt;="2026-01",$AA132&lt;="2026-06"),"H1_2026",""))</f>
        <v>H1_2026</v>
      </c>
      <c r="AC132">
        <f t="shared" ref="AC132:AC195" si="14">IFERROR(VALUE(SUBSTITUTE(S132,",","")),0)</f>
        <v>1511811</v>
      </c>
      <c r="AD132">
        <f t="shared" ref="AD132:AD195" si="15">IFERROR(VALUE(SUBSTITUTE(O132,",","")),0)</f>
        <v>200</v>
      </c>
      <c r="AE132">
        <f t="shared" ref="AE132:AE195" si="16">IFERROR(VALUE(SUBSTITUTE(V132,",","")),0)</f>
        <v>467811</v>
      </c>
      <c r="AF132" t="str">
        <f t="shared" ref="AF132:AF195" si="17">IF(ISNUMBER(SEARCH("FOC",W132)),"FOC",IF(ISNUMBER(SEARCH("샘플",W132)),"Sample","Paid"))</f>
        <v>Paid</v>
      </c>
    </row>
    <row r="133" spans="1:32" ht="17.25" thickBot="1" x14ac:dyDescent="0.35">
      <c r="A133" s="2" t="s">
        <v>1172</v>
      </c>
      <c r="B133" s="2" t="s">
        <v>27</v>
      </c>
      <c r="C133" s="2" t="s">
        <v>28</v>
      </c>
      <c r="D133" s="2" t="s">
        <v>97</v>
      </c>
      <c r="E133" s="2" t="s">
        <v>260</v>
      </c>
      <c r="F133" s="2" t="s">
        <v>99</v>
      </c>
      <c r="G133" s="2" t="s">
        <v>32</v>
      </c>
      <c r="H133" s="1"/>
      <c r="I133" s="2" t="s">
        <v>33</v>
      </c>
      <c r="J133" s="2" t="s">
        <v>34</v>
      </c>
      <c r="K133" s="2" t="s">
        <v>1173</v>
      </c>
      <c r="L133" s="2" t="s">
        <v>1174</v>
      </c>
      <c r="M133" s="2" t="s">
        <v>37</v>
      </c>
      <c r="N133" s="2" t="s">
        <v>38</v>
      </c>
      <c r="O133" s="2" t="s">
        <v>779</v>
      </c>
      <c r="P133" s="2" t="s">
        <v>1175</v>
      </c>
      <c r="Q133" s="2" t="s">
        <v>1176</v>
      </c>
      <c r="R133" s="2" t="s">
        <v>40</v>
      </c>
      <c r="S133" s="2" t="s">
        <v>1177</v>
      </c>
      <c r="T133" s="2" t="s">
        <v>1178</v>
      </c>
      <c r="U133" s="2" t="s">
        <v>1179</v>
      </c>
      <c r="V133" s="2" t="s">
        <v>1180</v>
      </c>
      <c r="W133" s="1"/>
      <c r="X133" s="2" t="s">
        <v>1100</v>
      </c>
      <c r="Y133" s="2" t="s">
        <v>271</v>
      </c>
      <c r="AA133" t="str">
        <f t="shared" si="12"/>
        <v>2026-06</v>
      </c>
      <c r="AB133" t="str">
        <f t="shared" si="13"/>
        <v>H1_2026</v>
      </c>
      <c r="AC133">
        <f t="shared" si="14"/>
        <v>831496.05</v>
      </c>
      <c r="AD133">
        <f t="shared" si="15"/>
        <v>90</v>
      </c>
      <c r="AE133">
        <f t="shared" si="16"/>
        <v>138496.04999999999</v>
      </c>
      <c r="AF133" t="str">
        <f t="shared" si="17"/>
        <v>Paid</v>
      </c>
    </row>
    <row r="134" spans="1:32" ht="17.25" thickBot="1" x14ac:dyDescent="0.35">
      <c r="A134" s="2" t="s">
        <v>1181</v>
      </c>
      <c r="B134" s="2" t="s">
        <v>27</v>
      </c>
      <c r="C134" s="2" t="s">
        <v>28</v>
      </c>
      <c r="D134" s="2" t="s">
        <v>97</v>
      </c>
      <c r="E134" s="2" t="s">
        <v>260</v>
      </c>
      <c r="F134" s="2" t="s">
        <v>99</v>
      </c>
      <c r="G134" s="2" t="s">
        <v>32</v>
      </c>
      <c r="H134" s="1"/>
      <c r="I134" s="2" t="s">
        <v>33</v>
      </c>
      <c r="J134" s="2" t="s">
        <v>34</v>
      </c>
      <c r="K134" s="2" t="s">
        <v>1182</v>
      </c>
      <c r="L134" s="2" t="s">
        <v>1183</v>
      </c>
      <c r="M134" s="2" t="s">
        <v>37</v>
      </c>
      <c r="N134" s="2" t="s">
        <v>38</v>
      </c>
      <c r="O134" s="2" t="s">
        <v>729</v>
      </c>
      <c r="P134" s="2" t="s">
        <v>1105</v>
      </c>
      <c r="Q134" s="2" t="s">
        <v>1184</v>
      </c>
      <c r="R134" s="2" t="s">
        <v>40</v>
      </c>
      <c r="S134" s="2" t="s">
        <v>1185</v>
      </c>
      <c r="T134" s="2" t="s">
        <v>107</v>
      </c>
      <c r="U134" s="2" t="s">
        <v>1186</v>
      </c>
      <c r="V134" s="2" t="s">
        <v>1187</v>
      </c>
      <c r="W134" s="1"/>
      <c r="X134" s="2" t="s">
        <v>1100</v>
      </c>
      <c r="Y134" s="2" t="s">
        <v>271</v>
      </c>
      <c r="AA134" t="str">
        <f t="shared" si="12"/>
        <v>2026-06</v>
      </c>
      <c r="AB134" t="str">
        <f t="shared" si="13"/>
        <v>H1_2026</v>
      </c>
      <c r="AC134">
        <f t="shared" si="14"/>
        <v>564409.43999999994</v>
      </c>
      <c r="AD134">
        <f t="shared" si="15"/>
        <v>84</v>
      </c>
      <c r="AE134">
        <f t="shared" si="16"/>
        <v>94009.44</v>
      </c>
      <c r="AF134" t="str">
        <f t="shared" si="17"/>
        <v>Paid</v>
      </c>
    </row>
    <row r="135" spans="1:32" ht="17.25" thickBot="1" x14ac:dyDescent="0.35">
      <c r="A135" s="2" t="s">
        <v>1188</v>
      </c>
      <c r="B135" s="2" t="s">
        <v>27</v>
      </c>
      <c r="C135" s="2" t="s">
        <v>28</v>
      </c>
      <c r="D135" s="2" t="s">
        <v>97</v>
      </c>
      <c r="E135" s="2" t="s">
        <v>260</v>
      </c>
      <c r="F135" s="2" t="s">
        <v>99</v>
      </c>
      <c r="G135" s="2" t="s">
        <v>32</v>
      </c>
      <c r="H135" s="1"/>
      <c r="I135" s="2" t="s">
        <v>33</v>
      </c>
      <c r="J135" s="2" t="s">
        <v>34</v>
      </c>
      <c r="K135" s="2" t="s">
        <v>1189</v>
      </c>
      <c r="L135" s="2" t="s">
        <v>1190</v>
      </c>
      <c r="M135" s="2" t="s">
        <v>37</v>
      </c>
      <c r="N135" s="2" t="s">
        <v>38</v>
      </c>
      <c r="O135" s="2" t="s">
        <v>206</v>
      </c>
      <c r="P135" s="2" t="s">
        <v>392</v>
      </c>
      <c r="Q135" s="2" t="s">
        <v>1191</v>
      </c>
      <c r="R135" s="2" t="s">
        <v>40</v>
      </c>
      <c r="S135" s="2" t="s">
        <v>1192</v>
      </c>
      <c r="T135" s="2" t="s">
        <v>952</v>
      </c>
      <c r="U135" s="2" t="s">
        <v>1193</v>
      </c>
      <c r="V135" s="2" t="s">
        <v>1194</v>
      </c>
      <c r="W135" s="1"/>
      <c r="X135" s="2" t="s">
        <v>1195</v>
      </c>
      <c r="Y135" s="2" t="s">
        <v>271</v>
      </c>
      <c r="AA135" t="str">
        <f t="shared" si="12"/>
        <v>2026-06</v>
      </c>
      <c r="AB135" t="str">
        <f t="shared" si="13"/>
        <v>H1_2026</v>
      </c>
      <c r="AC135">
        <f t="shared" si="14"/>
        <v>7050697.5</v>
      </c>
      <c r="AD135">
        <f t="shared" si="15"/>
        <v>500</v>
      </c>
      <c r="AE135">
        <f t="shared" si="16"/>
        <v>1050697.5</v>
      </c>
      <c r="AF135" t="str">
        <f t="shared" si="17"/>
        <v>Paid</v>
      </c>
    </row>
    <row r="136" spans="1:32" ht="17.25" thickBot="1" x14ac:dyDescent="0.35">
      <c r="A136" s="2" t="s">
        <v>1196</v>
      </c>
      <c r="B136" s="2" t="s">
        <v>27</v>
      </c>
      <c r="C136" s="2" t="s">
        <v>28</v>
      </c>
      <c r="D136" s="2" t="s">
        <v>97</v>
      </c>
      <c r="E136" s="2" t="s">
        <v>260</v>
      </c>
      <c r="F136" s="2" t="s">
        <v>99</v>
      </c>
      <c r="G136" s="2" t="s">
        <v>32</v>
      </c>
      <c r="H136" s="1"/>
      <c r="I136" s="2" t="s">
        <v>33</v>
      </c>
      <c r="J136" s="2" t="s">
        <v>34</v>
      </c>
      <c r="K136" s="2" t="s">
        <v>1197</v>
      </c>
      <c r="L136" s="2" t="s">
        <v>1198</v>
      </c>
      <c r="M136" s="2" t="s">
        <v>37</v>
      </c>
      <c r="N136" s="2" t="s">
        <v>38</v>
      </c>
      <c r="O136" s="2" t="s">
        <v>79</v>
      </c>
      <c r="P136" s="2" t="s">
        <v>655</v>
      </c>
      <c r="Q136" s="2" t="s">
        <v>1199</v>
      </c>
      <c r="R136" s="2" t="s">
        <v>40</v>
      </c>
      <c r="S136" s="2" t="s">
        <v>1200</v>
      </c>
      <c r="T136" s="2" t="s">
        <v>1201</v>
      </c>
      <c r="U136" s="2" t="s">
        <v>1202</v>
      </c>
      <c r="V136" s="2" t="s">
        <v>1203</v>
      </c>
      <c r="W136" s="1"/>
      <c r="X136" s="2" t="s">
        <v>1100</v>
      </c>
      <c r="Y136" s="2" t="s">
        <v>271</v>
      </c>
      <c r="AA136" t="str">
        <f t="shared" si="12"/>
        <v>2026-06</v>
      </c>
      <c r="AB136" t="str">
        <f t="shared" si="13"/>
        <v>H1_2026</v>
      </c>
      <c r="AC136">
        <f t="shared" si="14"/>
        <v>117585.3</v>
      </c>
      <c r="AD136">
        <f t="shared" si="15"/>
        <v>10</v>
      </c>
      <c r="AE136">
        <f t="shared" si="16"/>
        <v>19585.3</v>
      </c>
      <c r="AF136" t="str">
        <f t="shared" si="17"/>
        <v>Paid</v>
      </c>
    </row>
    <row r="137" spans="1:32" ht="17.25" thickBot="1" x14ac:dyDescent="0.35">
      <c r="A137" s="2" t="s">
        <v>1204</v>
      </c>
      <c r="B137" s="2" t="s">
        <v>27</v>
      </c>
      <c r="C137" s="2" t="s">
        <v>28</v>
      </c>
      <c r="D137" s="2" t="s">
        <v>97</v>
      </c>
      <c r="E137" s="2" t="s">
        <v>260</v>
      </c>
      <c r="F137" s="2" t="s">
        <v>99</v>
      </c>
      <c r="G137" s="2" t="s">
        <v>32</v>
      </c>
      <c r="H137" s="1"/>
      <c r="I137" s="2" t="s">
        <v>33</v>
      </c>
      <c r="J137" s="2" t="s">
        <v>34</v>
      </c>
      <c r="K137" s="2" t="s">
        <v>1205</v>
      </c>
      <c r="L137" s="2" t="s">
        <v>1206</v>
      </c>
      <c r="M137" s="2" t="s">
        <v>37</v>
      </c>
      <c r="N137" s="2" t="s">
        <v>38</v>
      </c>
      <c r="O137" s="2" t="s">
        <v>79</v>
      </c>
      <c r="P137" s="2" t="s">
        <v>1207</v>
      </c>
      <c r="Q137" s="2" t="s">
        <v>1208</v>
      </c>
      <c r="R137" s="2" t="s">
        <v>40</v>
      </c>
      <c r="S137" s="2" t="s">
        <v>1209</v>
      </c>
      <c r="T137" s="2" t="s">
        <v>1210</v>
      </c>
      <c r="U137" s="2" t="s">
        <v>1211</v>
      </c>
      <c r="V137" s="2" t="s">
        <v>1212</v>
      </c>
      <c r="W137" s="1"/>
      <c r="X137" s="2" t="s">
        <v>1100</v>
      </c>
      <c r="Y137" s="2" t="s">
        <v>271</v>
      </c>
      <c r="AA137" t="str">
        <f t="shared" si="12"/>
        <v>2026-06</v>
      </c>
      <c r="AB137" t="str">
        <f t="shared" si="13"/>
        <v>H1_2026</v>
      </c>
      <c r="AC137">
        <f t="shared" si="14"/>
        <v>113459.5</v>
      </c>
      <c r="AD137">
        <f t="shared" si="15"/>
        <v>10</v>
      </c>
      <c r="AE137">
        <f t="shared" si="16"/>
        <v>18959.5</v>
      </c>
      <c r="AF137" t="str">
        <f t="shared" si="17"/>
        <v>Paid</v>
      </c>
    </row>
    <row r="138" spans="1:32" ht="17.25" thickBot="1" x14ac:dyDescent="0.35">
      <c r="A138" s="2" t="s">
        <v>1213</v>
      </c>
      <c r="B138" s="2" t="s">
        <v>27</v>
      </c>
      <c r="C138" s="2" t="s">
        <v>28</v>
      </c>
      <c r="D138" s="2" t="s">
        <v>97</v>
      </c>
      <c r="E138" s="2" t="s">
        <v>260</v>
      </c>
      <c r="F138" s="2" t="s">
        <v>99</v>
      </c>
      <c r="G138" s="2" t="s">
        <v>32</v>
      </c>
      <c r="H138" s="1"/>
      <c r="I138" s="2" t="s">
        <v>33</v>
      </c>
      <c r="J138" s="2" t="s">
        <v>34</v>
      </c>
      <c r="K138" s="2" t="s">
        <v>1214</v>
      </c>
      <c r="L138" s="2" t="s">
        <v>1215</v>
      </c>
      <c r="M138" s="2" t="s">
        <v>37</v>
      </c>
      <c r="N138" s="2" t="s">
        <v>38</v>
      </c>
      <c r="O138" s="2" t="s">
        <v>1216</v>
      </c>
      <c r="P138" s="2" t="s">
        <v>1217</v>
      </c>
      <c r="Q138" s="2" t="s">
        <v>1218</v>
      </c>
      <c r="R138" s="2" t="s">
        <v>40</v>
      </c>
      <c r="S138" s="2" t="s">
        <v>1219</v>
      </c>
      <c r="T138" s="2" t="s">
        <v>287</v>
      </c>
      <c r="U138" s="2" t="s">
        <v>1220</v>
      </c>
      <c r="V138" s="2" t="s">
        <v>1221</v>
      </c>
      <c r="W138" s="1"/>
      <c r="X138" s="2" t="s">
        <v>1222</v>
      </c>
      <c r="Y138" s="2" t="s">
        <v>271</v>
      </c>
      <c r="AA138" t="str">
        <f t="shared" si="12"/>
        <v>2026-06</v>
      </c>
      <c r="AB138" t="str">
        <f t="shared" si="13"/>
        <v>H1_2026</v>
      </c>
      <c r="AC138">
        <f t="shared" si="14"/>
        <v>13209043.4</v>
      </c>
      <c r="AD138">
        <f t="shared" si="15"/>
        <v>1535</v>
      </c>
      <c r="AE138">
        <f t="shared" si="16"/>
        <v>2464043.4</v>
      </c>
      <c r="AF138" t="str">
        <f t="shared" si="17"/>
        <v>Paid</v>
      </c>
    </row>
    <row r="139" spans="1:32" ht="17.25" thickBot="1" x14ac:dyDescent="0.35">
      <c r="A139" s="2" t="s">
        <v>1223</v>
      </c>
      <c r="B139" s="2" t="s">
        <v>27</v>
      </c>
      <c r="C139" s="2" t="s">
        <v>28</v>
      </c>
      <c r="D139" s="2" t="s">
        <v>97</v>
      </c>
      <c r="E139" s="2" t="s">
        <v>260</v>
      </c>
      <c r="F139" s="2" t="s">
        <v>99</v>
      </c>
      <c r="G139" s="2" t="s">
        <v>32</v>
      </c>
      <c r="H139" s="1"/>
      <c r="I139" s="2" t="s">
        <v>33</v>
      </c>
      <c r="J139" s="2" t="s">
        <v>34</v>
      </c>
      <c r="K139" s="2" t="s">
        <v>1224</v>
      </c>
      <c r="L139" s="2" t="s">
        <v>1225</v>
      </c>
      <c r="M139" s="2" t="s">
        <v>37</v>
      </c>
      <c r="N139" s="2" t="s">
        <v>38</v>
      </c>
      <c r="O139" s="2" t="s">
        <v>665</v>
      </c>
      <c r="P139" s="2" t="s">
        <v>1095</v>
      </c>
      <c r="Q139" s="2" t="s">
        <v>1226</v>
      </c>
      <c r="R139" s="2" t="s">
        <v>40</v>
      </c>
      <c r="S139" s="2" t="s">
        <v>1227</v>
      </c>
      <c r="T139" s="2" t="s">
        <v>126</v>
      </c>
      <c r="U139" s="2" t="s">
        <v>1228</v>
      </c>
      <c r="V139" s="2" t="s">
        <v>1229</v>
      </c>
      <c r="W139" s="1"/>
      <c r="X139" s="2" t="s">
        <v>1100</v>
      </c>
      <c r="Y139" s="2" t="s">
        <v>271</v>
      </c>
      <c r="AA139" t="str">
        <f t="shared" si="12"/>
        <v>2026-06</v>
      </c>
      <c r="AB139" t="str">
        <f t="shared" si="13"/>
        <v>H1_2026</v>
      </c>
      <c r="AC139">
        <f t="shared" si="14"/>
        <v>1587401.55</v>
      </c>
      <c r="AD139">
        <f t="shared" si="15"/>
        <v>210</v>
      </c>
      <c r="AE139">
        <f t="shared" si="16"/>
        <v>264401.55</v>
      </c>
      <c r="AF139" t="str">
        <f t="shared" si="17"/>
        <v>Paid</v>
      </c>
    </row>
    <row r="140" spans="1:32" ht="27.75" thickBot="1" x14ac:dyDescent="0.35">
      <c r="A140" s="2" t="s">
        <v>1230</v>
      </c>
      <c r="B140" s="2" t="s">
        <v>27</v>
      </c>
      <c r="C140" s="2" t="s">
        <v>28</v>
      </c>
      <c r="D140" s="2" t="s">
        <v>97</v>
      </c>
      <c r="E140" s="2" t="s">
        <v>260</v>
      </c>
      <c r="F140" s="2" t="s">
        <v>99</v>
      </c>
      <c r="G140" s="2" t="s">
        <v>32</v>
      </c>
      <c r="H140" s="1"/>
      <c r="I140" s="2" t="s">
        <v>33</v>
      </c>
      <c r="J140" s="2" t="s">
        <v>34</v>
      </c>
      <c r="K140" s="2" t="s">
        <v>1231</v>
      </c>
      <c r="L140" s="2" t="s">
        <v>1232</v>
      </c>
      <c r="M140" s="2" t="s">
        <v>37</v>
      </c>
      <c r="N140" s="2" t="s">
        <v>38</v>
      </c>
      <c r="O140" s="2" t="s">
        <v>44</v>
      </c>
      <c r="P140" s="2" t="s">
        <v>1233</v>
      </c>
      <c r="Q140" s="2" t="s">
        <v>1234</v>
      </c>
      <c r="R140" s="2" t="s">
        <v>40</v>
      </c>
      <c r="S140" s="2" t="s">
        <v>1235</v>
      </c>
      <c r="T140" s="2" t="s">
        <v>1236</v>
      </c>
      <c r="U140" s="2" t="s">
        <v>1237</v>
      </c>
      <c r="V140" s="2" t="s">
        <v>1238</v>
      </c>
      <c r="W140" s="1"/>
      <c r="X140" s="2" t="s">
        <v>1239</v>
      </c>
      <c r="Y140" s="2" t="s">
        <v>271</v>
      </c>
      <c r="AA140" t="str">
        <f t="shared" si="12"/>
        <v>2026-06</v>
      </c>
      <c r="AB140" t="str">
        <f t="shared" si="13"/>
        <v>H1_2026</v>
      </c>
      <c r="AC140">
        <f t="shared" si="14"/>
        <v>65511.81</v>
      </c>
      <c r="AD140">
        <f t="shared" si="15"/>
        <v>2</v>
      </c>
      <c r="AE140">
        <f t="shared" si="16"/>
        <v>8811.81</v>
      </c>
      <c r="AF140" t="str">
        <f t="shared" si="17"/>
        <v>Paid</v>
      </c>
    </row>
    <row r="141" spans="1:32" ht="17.25" thickBot="1" x14ac:dyDescent="0.35">
      <c r="A141" s="2" t="s">
        <v>1240</v>
      </c>
      <c r="B141" s="2" t="s">
        <v>27</v>
      </c>
      <c r="C141" s="2" t="s">
        <v>28</v>
      </c>
      <c r="D141" s="2" t="s">
        <v>97</v>
      </c>
      <c r="E141" s="2" t="s">
        <v>260</v>
      </c>
      <c r="F141" s="2" t="s">
        <v>99</v>
      </c>
      <c r="G141" s="2" t="s">
        <v>32</v>
      </c>
      <c r="H141" s="1"/>
      <c r="I141" s="2" t="s">
        <v>33</v>
      </c>
      <c r="J141" s="2" t="s">
        <v>34</v>
      </c>
      <c r="K141" s="2" t="s">
        <v>1241</v>
      </c>
      <c r="L141" s="2" t="s">
        <v>1242</v>
      </c>
      <c r="M141" s="2" t="s">
        <v>37</v>
      </c>
      <c r="N141" s="2" t="s">
        <v>38</v>
      </c>
      <c r="O141" s="2" t="s">
        <v>94</v>
      </c>
      <c r="P141" s="2" t="s">
        <v>1105</v>
      </c>
      <c r="Q141" s="2" t="s">
        <v>1243</v>
      </c>
      <c r="R141" s="2" t="s">
        <v>40</v>
      </c>
      <c r="S141" s="2" t="s">
        <v>1244</v>
      </c>
      <c r="T141" s="2" t="s">
        <v>107</v>
      </c>
      <c r="U141" s="2" t="s">
        <v>1245</v>
      </c>
      <c r="V141" s="2" t="s">
        <v>1246</v>
      </c>
      <c r="W141" s="1"/>
      <c r="X141" s="2" t="s">
        <v>1100</v>
      </c>
      <c r="Y141" s="2" t="s">
        <v>271</v>
      </c>
      <c r="AA141" t="str">
        <f t="shared" si="12"/>
        <v>2026-06</v>
      </c>
      <c r="AB141" t="str">
        <f t="shared" si="13"/>
        <v>H1_2026</v>
      </c>
      <c r="AC141">
        <f t="shared" si="14"/>
        <v>5711286</v>
      </c>
      <c r="AD141">
        <f t="shared" si="15"/>
        <v>850</v>
      </c>
      <c r="AE141">
        <f t="shared" si="16"/>
        <v>951286</v>
      </c>
      <c r="AF141" t="str">
        <f t="shared" si="17"/>
        <v>Paid</v>
      </c>
    </row>
    <row r="142" spans="1:32" ht="17.25" thickBot="1" x14ac:dyDescent="0.35">
      <c r="A142" s="2" t="s">
        <v>221</v>
      </c>
      <c r="B142" s="2" t="s">
        <v>27</v>
      </c>
      <c r="C142" s="2" t="s">
        <v>28</v>
      </c>
      <c r="D142" s="2" t="s">
        <v>97</v>
      </c>
      <c r="E142" s="2" t="s">
        <v>260</v>
      </c>
      <c r="F142" s="2" t="s">
        <v>99</v>
      </c>
      <c r="G142" s="2" t="s">
        <v>32</v>
      </c>
      <c r="H142" s="1"/>
      <c r="I142" s="2" t="s">
        <v>33</v>
      </c>
      <c r="J142" s="2" t="s">
        <v>34</v>
      </c>
      <c r="K142" s="2" t="s">
        <v>1247</v>
      </c>
      <c r="L142" s="2" t="s">
        <v>1248</v>
      </c>
      <c r="M142" s="2" t="s">
        <v>37</v>
      </c>
      <c r="N142" s="2" t="s">
        <v>38</v>
      </c>
      <c r="O142" s="2" t="s">
        <v>1249</v>
      </c>
      <c r="P142" s="2" t="s">
        <v>1250</v>
      </c>
      <c r="Q142" s="2" t="s">
        <v>1251</v>
      </c>
      <c r="R142" s="2" t="s">
        <v>40</v>
      </c>
      <c r="S142" s="2" t="s">
        <v>1252</v>
      </c>
      <c r="T142" s="2" t="s">
        <v>1253</v>
      </c>
      <c r="U142" s="2" t="s">
        <v>1254</v>
      </c>
      <c r="V142" s="2" t="s">
        <v>1255</v>
      </c>
      <c r="W142" s="1"/>
      <c r="X142" s="2" t="s">
        <v>1100</v>
      </c>
      <c r="Y142" s="2" t="s">
        <v>271</v>
      </c>
      <c r="AA142" t="str">
        <f t="shared" si="12"/>
        <v>2026-06</v>
      </c>
      <c r="AB142" t="str">
        <f t="shared" si="13"/>
        <v>H1_2026</v>
      </c>
      <c r="AC142">
        <f t="shared" si="14"/>
        <v>3537637.74</v>
      </c>
      <c r="AD142">
        <f t="shared" si="15"/>
        <v>2106</v>
      </c>
      <c r="AE142">
        <f t="shared" si="16"/>
        <v>589237.74</v>
      </c>
      <c r="AF142" t="str">
        <f t="shared" si="17"/>
        <v>Paid</v>
      </c>
    </row>
    <row r="143" spans="1:32" ht="17.25" thickBot="1" x14ac:dyDescent="0.35">
      <c r="A143" s="2" t="s">
        <v>1256</v>
      </c>
      <c r="B143" s="2" t="s">
        <v>27</v>
      </c>
      <c r="C143" s="2" t="s">
        <v>28</v>
      </c>
      <c r="D143" s="2" t="s">
        <v>97</v>
      </c>
      <c r="E143" s="2" t="s">
        <v>260</v>
      </c>
      <c r="F143" s="2" t="s">
        <v>99</v>
      </c>
      <c r="G143" s="2" t="s">
        <v>32</v>
      </c>
      <c r="H143" s="1"/>
      <c r="I143" s="2" t="s">
        <v>33</v>
      </c>
      <c r="J143" s="2" t="s">
        <v>34</v>
      </c>
      <c r="K143" s="2" t="s">
        <v>1257</v>
      </c>
      <c r="L143" s="2" t="s">
        <v>1258</v>
      </c>
      <c r="M143" s="2" t="s">
        <v>37</v>
      </c>
      <c r="N143" s="2" t="s">
        <v>38</v>
      </c>
      <c r="O143" s="2" t="s">
        <v>114</v>
      </c>
      <c r="P143" s="2" t="s">
        <v>1259</v>
      </c>
      <c r="Q143" s="2" t="s">
        <v>1260</v>
      </c>
      <c r="R143" s="2" t="s">
        <v>40</v>
      </c>
      <c r="S143" s="2" t="s">
        <v>1261</v>
      </c>
      <c r="T143" s="2" t="s">
        <v>1262</v>
      </c>
      <c r="U143" s="2" t="s">
        <v>1263</v>
      </c>
      <c r="V143" s="2" t="s">
        <v>1264</v>
      </c>
      <c r="W143" s="1"/>
      <c r="X143" s="2" t="s">
        <v>1120</v>
      </c>
      <c r="Y143" s="2" t="s">
        <v>271</v>
      </c>
      <c r="AA143" t="str">
        <f t="shared" si="12"/>
        <v>2026-06</v>
      </c>
      <c r="AB143" t="str">
        <f t="shared" si="13"/>
        <v>H1_2026</v>
      </c>
      <c r="AC143">
        <f t="shared" si="14"/>
        <v>1312004.3999999999</v>
      </c>
      <c r="AD143">
        <f t="shared" si="15"/>
        <v>240</v>
      </c>
      <c r="AE143">
        <f t="shared" si="16"/>
        <v>220004.4</v>
      </c>
      <c r="AF143" t="str">
        <f t="shared" si="17"/>
        <v>Paid</v>
      </c>
    </row>
    <row r="144" spans="1:32" ht="17.25" thickBot="1" x14ac:dyDescent="0.35">
      <c r="A144" s="2" t="s">
        <v>1265</v>
      </c>
      <c r="B144" s="2" t="s">
        <v>27</v>
      </c>
      <c r="C144" s="2" t="s">
        <v>28</v>
      </c>
      <c r="D144" s="2" t="s">
        <v>97</v>
      </c>
      <c r="E144" s="2" t="s">
        <v>260</v>
      </c>
      <c r="F144" s="2" t="s">
        <v>99</v>
      </c>
      <c r="G144" s="2" t="s">
        <v>32</v>
      </c>
      <c r="H144" s="1"/>
      <c r="I144" s="2" t="s">
        <v>33</v>
      </c>
      <c r="J144" s="2" t="s">
        <v>34</v>
      </c>
      <c r="K144" s="2" t="s">
        <v>1266</v>
      </c>
      <c r="L144" s="2" t="s">
        <v>1267</v>
      </c>
      <c r="M144" s="2" t="s">
        <v>37</v>
      </c>
      <c r="N144" s="2" t="s">
        <v>38</v>
      </c>
      <c r="O144" s="2" t="s">
        <v>1158</v>
      </c>
      <c r="P144" s="2" t="s">
        <v>1268</v>
      </c>
      <c r="Q144" s="2" t="s">
        <v>1269</v>
      </c>
      <c r="R144" s="2" t="s">
        <v>40</v>
      </c>
      <c r="S144" s="2" t="s">
        <v>1270</v>
      </c>
      <c r="T144" s="2" t="s">
        <v>1271</v>
      </c>
      <c r="U144" s="2" t="s">
        <v>1272</v>
      </c>
      <c r="V144" s="2" t="s">
        <v>1273</v>
      </c>
      <c r="W144" s="1"/>
      <c r="X144" s="2" t="s">
        <v>1100</v>
      </c>
      <c r="Y144" s="2" t="s">
        <v>271</v>
      </c>
      <c r="AA144" t="str">
        <f t="shared" si="12"/>
        <v>2026-06</v>
      </c>
      <c r="AB144" t="str">
        <f t="shared" si="13"/>
        <v>H1_2026</v>
      </c>
      <c r="AC144">
        <f t="shared" si="14"/>
        <v>1058267.7</v>
      </c>
      <c r="AD144">
        <f t="shared" si="15"/>
        <v>180</v>
      </c>
      <c r="AE144">
        <f t="shared" si="16"/>
        <v>176267.7</v>
      </c>
      <c r="AF144" t="str">
        <f t="shared" si="17"/>
        <v>Paid</v>
      </c>
    </row>
    <row r="145" spans="1:32" ht="17.25" thickBot="1" x14ac:dyDescent="0.35">
      <c r="A145" s="2" t="s">
        <v>1274</v>
      </c>
      <c r="B145" s="2" t="s">
        <v>27</v>
      </c>
      <c r="C145" s="2" t="s">
        <v>28</v>
      </c>
      <c r="D145" s="2" t="s">
        <v>97</v>
      </c>
      <c r="E145" s="2" t="s">
        <v>260</v>
      </c>
      <c r="F145" s="2" t="s">
        <v>99</v>
      </c>
      <c r="G145" s="2" t="s">
        <v>32</v>
      </c>
      <c r="H145" s="1"/>
      <c r="I145" s="2" t="s">
        <v>33</v>
      </c>
      <c r="J145" s="2" t="s">
        <v>34</v>
      </c>
      <c r="K145" s="2" t="s">
        <v>1275</v>
      </c>
      <c r="L145" s="2" t="s">
        <v>1276</v>
      </c>
      <c r="M145" s="2" t="s">
        <v>37</v>
      </c>
      <c r="N145" s="2" t="s">
        <v>38</v>
      </c>
      <c r="O145" s="2" t="s">
        <v>1158</v>
      </c>
      <c r="P145" s="2" t="s">
        <v>1277</v>
      </c>
      <c r="Q145" s="2" t="s">
        <v>1278</v>
      </c>
      <c r="R145" s="2" t="s">
        <v>40</v>
      </c>
      <c r="S145" s="2" t="s">
        <v>1279</v>
      </c>
      <c r="T145" s="2" t="s">
        <v>1280</v>
      </c>
      <c r="U145" s="2" t="s">
        <v>1281</v>
      </c>
      <c r="V145" s="2" t="s">
        <v>1282</v>
      </c>
      <c r="W145" s="1"/>
      <c r="X145" s="2" t="s">
        <v>1195</v>
      </c>
      <c r="Y145" s="2" t="s">
        <v>271</v>
      </c>
      <c r="AA145" t="str">
        <f t="shared" si="12"/>
        <v>2026-06</v>
      </c>
      <c r="AB145" t="str">
        <f t="shared" si="13"/>
        <v>H1_2026</v>
      </c>
      <c r="AC145">
        <f t="shared" si="14"/>
        <v>4230418.5</v>
      </c>
      <c r="AD145">
        <f t="shared" si="15"/>
        <v>180</v>
      </c>
      <c r="AE145">
        <f t="shared" si="16"/>
        <v>630418.5</v>
      </c>
      <c r="AF145" t="str">
        <f t="shared" si="17"/>
        <v>Paid</v>
      </c>
    </row>
    <row r="146" spans="1:32" ht="17.25" thickBot="1" x14ac:dyDescent="0.35">
      <c r="A146" s="2" t="s">
        <v>1283</v>
      </c>
      <c r="B146" s="2" t="s">
        <v>27</v>
      </c>
      <c r="C146" s="2" t="s">
        <v>28</v>
      </c>
      <c r="D146" s="2" t="s">
        <v>97</v>
      </c>
      <c r="E146" s="2" t="s">
        <v>260</v>
      </c>
      <c r="F146" s="2" t="s">
        <v>99</v>
      </c>
      <c r="G146" s="2" t="s">
        <v>32</v>
      </c>
      <c r="H146" s="1"/>
      <c r="I146" s="2" t="s">
        <v>33</v>
      </c>
      <c r="J146" s="2" t="s">
        <v>34</v>
      </c>
      <c r="K146" s="2" t="s">
        <v>1284</v>
      </c>
      <c r="L146" s="2" t="s">
        <v>1285</v>
      </c>
      <c r="M146" s="2" t="s">
        <v>37</v>
      </c>
      <c r="N146" s="2" t="s">
        <v>38</v>
      </c>
      <c r="O146" s="2" t="s">
        <v>362</v>
      </c>
      <c r="P146" s="2" t="s">
        <v>1268</v>
      </c>
      <c r="Q146" s="2" t="s">
        <v>1286</v>
      </c>
      <c r="R146" s="2" t="s">
        <v>40</v>
      </c>
      <c r="S146" s="2" t="s">
        <v>1287</v>
      </c>
      <c r="T146" s="2" t="s">
        <v>1271</v>
      </c>
      <c r="U146" s="2" t="s">
        <v>1288</v>
      </c>
      <c r="V146" s="2" t="s">
        <v>1289</v>
      </c>
      <c r="W146" s="1"/>
      <c r="X146" s="2" t="s">
        <v>1100</v>
      </c>
      <c r="Y146" s="2" t="s">
        <v>271</v>
      </c>
      <c r="AA146" t="str">
        <f t="shared" si="12"/>
        <v>2026-06</v>
      </c>
      <c r="AB146" t="str">
        <f t="shared" si="13"/>
        <v>H1_2026</v>
      </c>
      <c r="AC146">
        <f t="shared" si="14"/>
        <v>1881364.8</v>
      </c>
      <c r="AD146">
        <f t="shared" si="15"/>
        <v>320</v>
      </c>
      <c r="AE146">
        <f t="shared" si="16"/>
        <v>313364.8</v>
      </c>
      <c r="AF146" t="str">
        <f t="shared" si="17"/>
        <v>Paid</v>
      </c>
    </row>
    <row r="147" spans="1:32" ht="17.25" thickBot="1" x14ac:dyDescent="0.35">
      <c r="A147" s="2" t="s">
        <v>1290</v>
      </c>
      <c r="B147" s="2" t="s">
        <v>27</v>
      </c>
      <c r="C147" s="2" t="s">
        <v>28</v>
      </c>
      <c r="D147" s="2" t="s">
        <v>97</v>
      </c>
      <c r="E147" s="2" t="s">
        <v>260</v>
      </c>
      <c r="F147" s="2" t="s">
        <v>99</v>
      </c>
      <c r="G147" s="2" t="s">
        <v>32</v>
      </c>
      <c r="H147" s="1"/>
      <c r="I147" s="2" t="s">
        <v>33</v>
      </c>
      <c r="J147" s="2" t="s">
        <v>34</v>
      </c>
      <c r="K147" s="2" t="s">
        <v>1291</v>
      </c>
      <c r="L147" s="2" t="s">
        <v>1292</v>
      </c>
      <c r="M147" s="2" t="s">
        <v>37</v>
      </c>
      <c r="N147" s="2" t="s">
        <v>38</v>
      </c>
      <c r="O147" s="2" t="s">
        <v>1293</v>
      </c>
      <c r="P147" s="2" t="s">
        <v>1095</v>
      </c>
      <c r="Q147" s="2" t="s">
        <v>1294</v>
      </c>
      <c r="R147" s="2" t="s">
        <v>40</v>
      </c>
      <c r="S147" s="2" t="s">
        <v>1295</v>
      </c>
      <c r="T147" s="2" t="s">
        <v>1296</v>
      </c>
      <c r="U147" s="2" t="s">
        <v>1297</v>
      </c>
      <c r="V147" s="2" t="s">
        <v>1298</v>
      </c>
      <c r="W147" s="1"/>
      <c r="X147" s="2" t="s">
        <v>1299</v>
      </c>
      <c r="Y147" s="2" t="s">
        <v>271</v>
      </c>
      <c r="AA147" t="str">
        <f t="shared" si="12"/>
        <v>2026-06</v>
      </c>
      <c r="AB147" t="str">
        <f t="shared" si="13"/>
        <v>H1_2026</v>
      </c>
      <c r="AC147">
        <f t="shared" si="14"/>
        <v>1534488.17</v>
      </c>
      <c r="AD147">
        <f t="shared" si="15"/>
        <v>203</v>
      </c>
      <c r="AE147">
        <f t="shared" si="16"/>
        <v>283488.17</v>
      </c>
      <c r="AF147" t="str">
        <f t="shared" si="17"/>
        <v>Paid</v>
      </c>
    </row>
    <row r="148" spans="1:32" ht="17.25" thickBot="1" x14ac:dyDescent="0.35">
      <c r="A148" s="2" t="s">
        <v>1300</v>
      </c>
      <c r="B148" s="2" t="s">
        <v>27</v>
      </c>
      <c r="C148" s="2" t="s">
        <v>28</v>
      </c>
      <c r="D148" s="2" t="s">
        <v>97</v>
      </c>
      <c r="E148" s="2" t="s">
        <v>260</v>
      </c>
      <c r="F148" s="2" t="s">
        <v>99</v>
      </c>
      <c r="G148" s="2" t="s">
        <v>32</v>
      </c>
      <c r="H148" s="1"/>
      <c r="I148" s="2" t="s">
        <v>33</v>
      </c>
      <c r="J148" s="2" t="s">
        <v>34</v>
      </c>
      <c r="K148" s="2" t="s">
        <v>1301</v>
      </c>
      <c r="L148" s="2" t="s">
        <v>1302</v>
      </c>
      <c r="M148" s="2" t="s">
        <v>37</v>
      </c>
      <c r="N148" s="2" t="s">
        <v>38</v>
      </c>
      <c r="O148" s="2" t="s">
        <v>998</v>
      </c>
      <c r="P148" s="2" t="s">
        <v>1105</v>
      </c>
      <c r="Q148" s="2" t="s">
        <v>1303</v>
      </c>
      <c r="R148" s="2" t="s">
        <v>40</v>
      </c>
      <c r="S148" s="2" t="s">
        <v>1304</v>
      </c>
      <c r="T148" s="2" t="s">
        <v>107</v>
      </c>
      <c r="U148" s="2" t="s">
        <v>1305</v>
      </c>
      <c r="V148" s="2" t="s">
        <v>1306</v>
      </c>
      <c r="W148" s="1"/>
      <c r="X148" s="2" t="s">
        <v>1100</v>
      </c>
      <c r="Y148" s="2" t="s">
        <v>271</v>
      </c>
      <c r="AA148" t="str">
        <f t="shared" si="12"/>
        <v>2026-06</v>
      </c>
      <c r="AB148" t="str">
        <f t="shared" si="13"/>
        <v>H1_2026</v>
      </c>
      <c r="AC148">
        <f t="shared" si="14"/>
        <v>752545.92</v>
      </c>
      <c r="AD148">
        <f t="shared" si="15"/>
        <v>112</v>
      </c>
      <c r="AE148">
        <f t="shared" si="16"/>
        <v>125345.92</v>
      </c>
      <c r="AF148" t="str">
        <f t="shared" si="17"/>
        <v>Paid</v>
      </c>
    </row>
    <row r="149" spans="1:32" ht="27.75" thickBot="1" x14ac:dyDescent="0.35">
      <c r="A149" s="2" t="s">
        <v>1307</v>
      </c>
      <c r="B149" s="2" t="s">
        <v>27</v>
      </c>
      <c r="C149" s="2" t="s">
        <v>28</v>
      </c>
      <c r="D149" s="2" t="s">
        <v>97</v>
      </c>
      <c r="E149" s="2" t="s">
        <v>260</v>
      </c>
      <c r="F149" s="2" t="s">
        <v>99</v>
      </c>
      <c r="G149" s="2" t="s">
        <v>32</v>
      </c>
      <c r="H149" s="1"/>
      <c r="I149" s="2" t="s">
        <v>33</v>
      </c>
      <c r="J149" s="2" t="s">
        <v>34</v>
      </c>
      <c r="K149" s="2" t="s">
        <v>1308</v>
      </c>
      <c r="L149" s="2" t="s">
        <v>1309</v>
      </c>
      <c r="M149" s="2" t="s">
        <v>37</v>
      </c>
      <c r="N149" s="2" t="s">
        <v>38</v>
      </c>
      <c r="O149" s="2" t="s">
        <v>1310</v>
      </c>
      <c r="P149" s="2" t="s">
        <v>1311</v>
      </c>
      <c r="Q149" s="2" t="s">
        <v>1312</v>
      </c>
      <c r="R149" s="2" t="s">
        <v>40</v>
      </c>
      <c r="S149" s="2" t="s">
        <v>1313</v>
      </c>
      <c r="T149" s="2" t="s">
        <v>1314</v>
      </c>
      <c r="U149" s="2" t="s">
        <v>1315</v>
      </c>
      <c r="V149" s="2" t="s">
        <v>1316</v>
      </c>
      <c r="W149" s="1"/>
      <c r="X149" s="2" t="s">
        <v>986</v>
      </c>
      <c r="Y149" s="2" t="s">
        <v>271</v>
      </c>
      <c r="AA149" t="str">
        <f t="shared" si="12"/>
        <v>2026-06</v>
      </c>
      <c r="AB149" t="str">
        <f t="shared" si="13"/>
        <v>H1_2026</v>
      </c>
      <c r="AC149">
        <f t="shared" si="14"/>
        <v>3478520.92</v>
      </c>
      <c r="AD149">
        <f t="shared" si="15"/>
        <v>184</v>
      </c>
      <c r="AE149">
        <f t="shared" si="16"/>
        <v>805520.92</v>
      </c>
      <c r="AF149" t="str">
        <f t="shared" si="17"/>
        <v>Paid</v>
      </c>
    </row>
    <row r="150" spans="1:32" ht="17.25" thickBot="1" x14ac:dyDescent="0.35">
      <c r="A150" s="2" t="s">
        <v>1317</v>
      </c>
      <c r="B150" s="2" t="s">
        <v>27</v>
      </c>
      <c r="C150" s="2" t="s">
        <v>28</v>
      </c>
      <c r="D150" s="2" t="s">
        <v>97</v>
      </c>
      <c r="E150" s="2" t="s">
        <v>260</v>
      </c>
      <c r="F150" s="2" t="s">
        <v>99</v>
      </c>
      <c r="G150" s="2" t="s">
        <v>32</v>
      </c>
      <c r="H150" s="1"/>
      <c r="I150" s="2" t="s">
        <v>33</v>
      </c>
      <c r="J150" s="2" t="s">
        <v>34</v>
      </c>
      <c r="K150" s="2" t="s">
        <v>1318</v>
      </c>
      <c r="L150" s="2" t="s">
        <v>1319</v>
      </c>
      <c r="M150" s="2" t="s">
        <v>37</v>
      </c>
      <c r="N150" s="2" t="s">
        <v>38</v>
      </c>
      <c r="O150" s="2" t="s">
        <v>159</v>
      </c>
      <c r="P150" s="2" t="s">
        <v>1268</v>
      </c>
      <c r="Q150" s="2" t="s">
        <v>1320</v>
      </c>
      <c r="R150" s="2" t="s">
        <v>40</v>
      </c>
      <c r="S150" s="2" t="s">
        <v>1321</v>
      </c>
      <c r="T150" s="2" t="s">
        <v>1271</v>
      </c>
      <c r="U150" s="2" t="s">
        <v>1322</v>
      </c>
      <c r="V150" s="2" t="s">
        <v>1323</v>
      </c>
      <c r="W150" s="1"/>
      <c r="X150" s="2" t="s">
        <v>1100</v>
      </c>
      <c r="Y150" s="2" t="s">
        <v>271</v>
      </c>
      <c r="AA150" t="str">
        <f t="shared" si="12"/>
        <v>2026-06</v>
      </c>
      <c r="AB150" t="str">
        <f t="shared" si="13"/>
        <v>H1_2026</v>
      </c>
      <c r="AC150">
        <f t="shared" si="14"/>
        <v>470341.2</v>
      </c>
      <c r="AD150">
        <f t="shared" si="15"/>
        <v>80</v>
      </c>
      <c r="AE150">
        <f t="shared" si="16"/>
        <v>78341.2</v>
      </c>
      <c r="AF150" t="str">
        <f t="shared" si="17"/>
        <v>Paid</v>
      </c>
    </row>
    <row r="151" spans="1:32" ht="17.25" thickBot="1" x14ac:dyDescent="0.35">
      <c r="A151" s="2" t="s">
        <v>1324</v>
      </c>
      <c r="B151" s="2" t="s">
        <v>27</v>
      </c>
      <c r="C151" s="2" t="s">
        <v>28</v>
      </c>
      <c r="D151" s="2" t="s">
        <v>97</v>
      </c>
      <c r="E151" s="2" t="s">
        <v>260</v>
      </c>
      <c r="F151" s="2" t="s">
        <v>99</v>
      </c>
      <c r="G151" s="2" t="s">
        <v>32</v>
      </c>
      <c r="H151" s="1"/>
      <c r="I151" s="2" t="s">
        <v>33</v>
      </c>
      <c r="J151" s="2" t="s">
        <v>34</v>
      </c>
      <c r="K151" s="2" t="s">
        <v>1325</v>
      </c>
      <c r="L151" s="2" t="s">
        <v>1326</v>
      </c>
      <c r="M151" s="2" t="s">
        <v>37</v>
      </c>
      <c r="N151" s="2" t="s">
        <v>38</v>
      </c>
      <c r="O151" s="2" t="s">
        <v>159</v>
      </c>
      <c r="P151" s="2" t="s">
        <v>822</v>
      </c>
      <c r="Q151" s="2" t="s">
        <v>1327</v>
      </c>
      <c r="R151" s="2" t="s">
        <v>40</v>
      </c>
      <c r="S151" s="2" t="s">
        <v>1328</v>
      </c>
      <c r="T151" s="2" t="s">
        <v>1329</v>
      </c>
      <c r="U151" s="2" t="s">
        <v>1330</v>
      </c>
      <c r="V151" s="2" t="s">
        <v>1331</v>
      </c>
      <c r="W151" s="1"/>
      <c r="X151" s="2" t="s">
        <v>1332</v>
      </c>
      <c r="Y151" s="2" t="s">
        <v>271</v>
      </c>
      <c r="AA151" t="str">
        <f t="shared" si="12"/>
        <v>2026-06</v>
      </c>
      <c r="AB151" t="str">
        <f t="shared" si="13"/>
        <v>H1_2026</v>
      </c>
      <c r="AC151">
        <f t="shared" si="14"/>
        <v>806299.2</v>
      </c>
      <c r="AD151">
        <f t="shared" si="15"/>
        <v>80</v>
      </c>
      <c r="AE151">
        <f t="shared" si="16"/>
        <v>214299.2</v>
      </c>
      <c r="AF151" t="str">
        <f t="shared" si="17"/>
        <v>Paid</v>
      </c>
    </row>
    <row r="152" spans="1:32" ht="17.25" thickBot="1" x14ac:dyDescent="0.35">
      <c r="A152" s="2" t="s">
        <v>1333</v>
      </c>
      <c r="B152" s="2" t="s">
        <v>27</v>
      </c>
      <c r="C152" s="2" t="s">
        <v>28</v>
      </c>
      <c r="D152" s="2" t="s">
        <v>97</v>
      </c>
      <c r="E152" s="2" t="s">
        <v>260</v>
      </c>
      <c r="F152" s="2" t="s">
        <v>99</v>
      </c>
      <c r="G152" s="2" t="s">
        <v>32</v>
      </c>
      <c r="H152" s="1"/>
      <c r="I152" s="2" t="s">
        <v>33</v>
      </c>
      <c r="J152" s="2" t="s">
        <v>34</v>
      </c>
      <c r="K152" s="2" t="s">
        <v>1334</v>
      </c>
      <c r="L152" s="2" t="s">
        <v>1335</v>
      </c>
      <c r="M152" s="2" t="s">
        <v>37</v>
      </c>
      <c r="N152" s="2" t="s">
        <v>38</v>
      </c>
      <c r="O152" s="2" t="s">
        <v>113</v>
      </c>
      <c r="P152" s="2" t="s">
        <v>1175</v>
      </c>
      <c r="Q152" s="2" t="s">
        <v>1336</v>
      </c>
      <c r="R152" s="2" t="s">
        <v>40</v>
      </c>
      <c r="S152" s="2" t="s">
        <v>1337</v>
      </c>
      <c r="T152" s="2" t="s">
        <v>267</v>
      </c>
      <c r="U152" s="2" t="s">
        <v>1338</v>
      </c>
      <c r="V152" s="2" t="s">
        <v>1339</v>
      </c>
      <c r="W152" s="1"/>
      <c r="X152" s="2" t="s">
        <v>1340</v>
      </c>
      <c r="Y152" s="2" t="s">
        <v>271</v>
      </c>
      <c r="AA152" t="str">
        <f t="shared" si="12"/>
        <v>2026-06</v>
      </c>
      <c r="AB152" t="str">
        <f t="shared" si="13"/>
        <v>H1_2026</v>
      </c>
      <c r="AC152">
        <f t="shared" si="14"/>
        <v>138582.67000000001</v>
      </c>
      <c r="AD152">
        <f t="shared" si="15"/>
        <v>15</v>
      </c>
      <c r="AE152">
        <f t="shared" si="16"/>
        <v>39582.67</v>
      </c>
      <c r="AF152" t="str">
        <f t="shared" si="17"/>
        <v>Paid</v>
      </c>
    </row>
    <row r="153" spans="1:32" ht="17.25" thickBot="1" x14ac:dyDescent="0.35">
      <c r="A153" s="2" t="s">
        <v>1341</v>
      </c>
      <c r="B153" s="2" t="s">
        <v>27</v>
      </c>
      <c r="C153" s="2" t="s">
        <v>28</v>
      </c>
      <c r="D153" s="2" t="s">
        <v>97</v>
      </c>
      <c r="E153" s="2" t="s">
        <v>260</v>
      </c>
      <c r="F153" s="2" t="s">
        <v>99</v>
      </c>
      <c r="G153" s="2" t="s">
        <v>32</v>
      </c>
      <c r="H153" s="1"/>
      <c r="I153" s="2" t="s">
        <v>33</v>
      </c>
      <c r="J153" s="2" t="s">
        <v>34</v>
      </c>
      <c r="K153" s="2" t="s">
        <v>1342</v>
      </c>
      <c r="L153" s="2" t="s">
        <v>1343</v>
      </c>
      <c r="M153" s="2" t="s">
        <v>37</v>
      </c>
      <c r="N153" s="2" t="s">
        <v>38</v>
      </c>
      <c r="O153" s="2" t="s">
        <v>807</v>
      </c>
      <c r="P153" s="2" t="s">
        <v>1344</v>
      </c>
      <c r="Q153" s="2" t="s">
        <v>1345</v>
      </c>
      <c r="R153" s="2" t="s">
        <v>40</v>
      </c>
      <c r="S153" s="2" t="s">
        <v>1346</v>
      </c>
      <c r="T153" s="2" t="s">
        <v>287</v>
      </c>
      <c r="U153" s="2" t="s">
        <v>1347</v>
      </c>
      <c r="V153" s="2" t="s">
        <v>1348</v>
      </c>
      <c r="W153" s="1"/>
      <c r="X153" s="2" t="s">
        <v>1100</v>
      </c>
      <c r="Y153" s="2" t="s">
        <v>271</v>
      </c>
      <c r="AA153" t="str">
        <f t="shared" si="12"/>
        <v>2026-06</v>
      </c>
      <c r="AB153" t="str">
        <f t="shared" si="13"/>
        <v>H1_2026</v>
      </c>
      <c r="AC153">
        <f t="shared" si="14"/>
        <v>781102.35</v>
      </c>
      <c r="AD153">
        <f t="shared" si="15"/>
        <v>93</v>
      </c>
      <c r="AE153">
        <f t="shared" si="16"/>
        <v>130102.35</v>
      </c>
      <c r="AF153" t="str">
        <f t="shared" si="17"/>
        <v>Paid</v>
      </c>
    </row>
    <row r="154" spans="1:32" ht="17.25" thickBot="1" x14ac:dyDescent="0.35">
      <c r="A154" s="2" t="s">
        <v>1349</v>
      </c>
      <c r="B154" s="2" t="s">
        <v>27</v>
      </c>
      <c r="C154" s="2" t="s">
        <v>28</v>
      </c>
      <c r="D154" s="2" t="s">
        <v>97</v>
      </c>
      <c r="E154" s="2" t="s">
        <v>260</v>
      </c>
      <c r="F154" s="2" t="s">
        <v>99</v>
      </c>
      <c r="G154" s="2" t="s">
        <v>32</v>
      </c>
      <c r="H154" s="1"/>
      <c r="I154" s="2" t="s">
        <v>33</v>
      </c>
      <c r="J154" s="2" t="s">
        <v>34</v>
      </c>
      <c r="K154" s="2" t="s">
        <v>82</v>
      </c>
      <c r="L154" s="2" t="s">
        <v>83</v>
      </c>
      <c r="M154" s="2" t="s">
        <v>84</v>
      </c>
      <c r="N154" s="2" t="s">
        <v>38</v>
      </c>
      <c r="O154" s="2" t="s">
        <v>1350</v>
      </c>
      <c r="P154" s="2" t="s">
        <v>1351</v>
      </c>
      <c r="Q154" s="2" t="s">
        <v>1352</v>
      </c>
      <c r="R154" s="2" t="s">
        <v>40</v>
      </c>
      <c r="S154" s="2" t="s">
        <v>1353</v>
      </c>
      <c r="T154" s="2" t="s">
        <v>1354</v>
      </c>
      <c r="U154" s="2" t="s">
        <v>1355</v>
      </c>
      <c r="V154" s="2" t="s">
        <v>1356</v>
      </c>
      <c r="W154" s="1"/>
      <c r="X154" s="2" t="s">
        <v>1357</v>
      </c>
      <c r="Y154" s="2" t="s">
        <v>271</v>
      </c>
      <c r="AA154" t="str">
        <f t="shared" si="12"/>
        <v>2026-06</v>
      </c>
      <c r="AB154" t="str">
        <f t="shared" si="13"/>
        <v>H1_2026</v>
      </c>
      <c r="AC154">
        <f t="shared" si="14"/>
        <v>24379941.600000001</v>
      </c>
      <c r="AD154">
        <f t="shared" si="15"/>
        <v>3830</v>
      </c>
      <c r="AE154">
        <f t="shared" si="16"/>
        <v>6264041.5999999996</v>
      </c>
      <c r="AF154" t="str">
        <f t="shared" si="17"/>
        <v>Paid</v>
      </c>
    </row>
    <row r="155" spans="1:32" ht="17.25" thickBot="1" x14ac:dyDescent="0.35">
      <c r="A155" s="2" t="s">
        <v>1358</v>
      </c>
      <c r="B155" s="2" t="s">
        <v>27</v>
      </c>
      <c r="C155" s="2" t="s">
        <v>28</v>
      </c>
      <c r="D155" s="2" t="s">
        <v>97</v>
      </c>
      <c r="E155" s="2" t="s">
        <v>260</v>
      </c>
      <c r="F155" s="2" t="s">
        <v>99</v>
      </c>
      <c r="G155" s="2" t="s">
        <v>32</v>
      </c>
      <c r="H155" s="1"/>
      <c r="I155" s="2" t="s">
        <v>33</v>
      </c>
      <c r="J155" s="2" t="s">
        <v>34</v>
      </c>
      <c r="K155" s="2" t="s">
        <v>1359</v>
      </c>
      <c r="L155" s="2" t="s">
        <v>1360</v>
      </c>
      <c r="M155" s="2" t="s">
        <v>84</v>
      </c>
      <c r="N155" s="2" t="s">
        <v>38</v>
      </c>
      <c r="O155" s="2" t="s">
        <v>214</v>
      </c>
      <c r="P155" s="2" t="s">
        <v>1361</v>
      </c>
      <c r="Q155" s="2" t="s">
        <v>1362</v>
      </c>
      <c r="R155" s="2" t="s">
        <v>40</v>
      </c>
      <c r="S155" s="2" t="s">
        <v>1363</v>
      </c>
      <c r="T155" s="2" t="s">
        <v>1364</v>
      </c>
      <c r="U155" s="2" t="s">
        <v>1365</v>
      </c>
      <c r="V155" s="2" t="s">
        <v>1366</v>
      </c>
      <c r="W155" s="1"/>
      <c r="X155" s="2" t="s">
        <v>806</v>
      </c>
      <c r="Y155" s="2" t="s">
        <v>271</v>
      </c>
      <c r="AA155" t="str">
        <f t="shared" si="12"/>
        <v>2026-06</v>
      </c>
      <c r="AB155" t="str">
        <f t="shared" si="13"/>
        <v>H1_2026</v>
      </c>
      <c r="AC155">
        <f t="shared" si="14"/>
        <v>352166.5</v>
      </c>
      <c r="AD155">
        <f t="shared" si="15"/>
        <v>50</v>
      </c>
      <c r="AE155">
        <f t="shared" si="16"/>
        <v>89666.5</v>
      </c>
      <c r="AF155" t="str">
        <f t="shared" si="17"/>
        <v>Paid</v>
      </c>
    </row>
    <row r="156" spans="1:32" ht="17.25" thickBot="1" x14ac:dyDescent="0.35">
      <c r="A156" s="2" t="s">
        <v>1367</v>
      </c>
      <c r="B156" s="2" t="s">
        <v>27</v>
      </c>
      <c r="C156" s="2" t="s">
        <v>28</v>
      </c>
      <c r="D156" s="2" t="s">
        <v>97</v>
      </c>
      <c r="E156" s="2" t="s">
        <v>260</v>
      </c>
      <c r="F156" s="2" t="s">
        <v>99</v>
      </c>
      <c r="G156" s="2" t="s">
        <v>32</v>
      </c>
      <c r="H156" s="1"/>
      <c r="I156" s="2" t="s">
        <v>33</v>
      </c>
      <c r="J156" s="2" t="s">
        <v>34</v>
      </c>
      <c r="K156" s="2" t="s">
        <v>1368</v>
      </c>
      <c r="L156" s="2" t="s">
        <v>1369</v>
      </c>
      <c r="M156" s="2" t="s">
        <v>84</v>
      </c>
      <c r="N156" s="2" t="s">
        <v>38</v>
      </c>
      <c r="O156" s="2" t="s">
        <v>1370</v>
      </c>
      <c r="P156" s="2" t="s">
        <v>1124</v>
      </c>
      <c r="Q156" s="2" t="s">
        <v>1371</v>
      </c>
      <c r="R156" s="2" t="s">
        <v>40</v>
      </c>
      <c r="S156" s="2" t="s">
        <v>1372</v>
      </c>
      <c r="T156" s="2" t="s">
        <v>1354</v>
      </c>
      <c r="U156" s="2" t="s">
        <v>1373</v>
      </c>
      <c r="V156" s="2" t="s">
        <v>1374</v>
      </c>
      <c r="W156" s="1"/>
      <c r="X156" s="2" t="s">
        <v>1375</v>
      </c>
      <c r="Y156" s="2" t="s">
        <v>271</v>
      </c>
      <c r="AA156" t="str">
        <f t="shared" si="12"/>
        <v>2026-06</v>
      </c>
      <c r="AB156" t="str">
        <f t="shared" si="13"/>
        <v>H1_2026</v>
      </c>
      <c r="AC156">
        <f t="shared" si="14"/>
        <v>8955343.5999999996</v>
      </c>
      <c r="AD156">
        <f t="shared" si="15"/>
        <v>1420</v>
      </c>
      <c r="AE156">
        <f t="shared" si="16"/>
        <v>2238743.6</v>
      </c>
      <c r="AF156" t="str">
        <f t="shared" si="17"/>
        <v>Paid</v>
      </c>
    </row>
    <row r="157" spans="1:32" ht="17.25" thickBot="1" x14ac:dyDescent="0.35">
      <c r="A157" s="2" t="s">
        <v>1376</v>
      </c>
      <c r="B157" s="2" t="s">
        <v>27</v>
      </c>
      <c r="C157" s="2" t="s">
        <v>28</v>
      </c>
      <c r="D157" s="2" t="s">
        <v>97</v>
      </c>
      <c r="E157" s="2" t="s">
        <v>260</v>
      </c>
      <c r="F157" s="2" t="s">
        <v>99</v>
      </c>
      <c r="G157" s="2" t="s">
        <v>32</v>
      </c>
      <c r="H157" s="1"/>
      <c r="I157" s="2" t="s">
        <v>33</v>
      </c>
      <c r="J157" s="2" t="s">
        <v>34</v>
      </c>
      <c r="K157" s="2" t="s">
        <v>1377</v>
      </c>
      <c r="L157" s="2" t="s">
        <v>1378</v>
      </c>
      <c r="M157" s="2" t="s">
        <v>84</v>
      </c>
      <c r="N157" s="2" t="s">
        <v>38</v>
      </c>
      <c r="O157" s="2" t="s">
        <v>466</v>
      </c>
      <c r="P157" s="2" t="s">
        <v>1379</v>
      </c>
      <c r="Q157" s="2" t="s">
        <v>1380</v>
      </c>
      <c r="R157" s="2" t="s">
        <v>40</v>
      </c>
      <c r="S157" s="2" t="s">
        <v>1381</v>
      </c>
      <c r="T157" s="2" t="s">
        <v>1382</v>
      </c>
      <c r="U157" s="2" t="s">
        <v>1383</v>
      </c>
      <c r="V157" s="2" t="s">
        <v>1384</v>
      </c>
      <c r="W157" s="1"/>
      <c r="X157" s="2" t="s">
        <v>806</v>
      </c>
      <c r="Y157" s="2" t="s">
        <v>271</v>
      </c>
      <c r="AA157" t="str">
        <f t="shared" si="12"/>
        <v>2026-06</v>
      </c>
      <c r="AB157" t="str">
        <f t="shared" si="13"/>
        <v>H1_2026</v>
      </c>
      <c r="AC157">
        <f t="shared" si="14"/>
        <v>464152.5</v>
      </c>
      <c r="AD157">
        <f t="shared" si="15"/>
        <v>70</v>
      </c>
      <c r="AE157">
        <f t="shared" si="16"/>
        <v>118352.5</v>
      </c>
      <c r="AF157" t="str">
        <f t="shared" si="17"/>
        <v>Paid</v>
      </c>
    </row>
    <row r="158" spans="1:32" ht="17.25" thickBot="1" x14ac:dyDescent="0.35">
      <c r="A158" s="2" t="s">
        <v>1385</v>
      </c>
      <c r="B158" s="2" t="s">
        <v>27</v>
      </c>
      <c r="C158" s="2" t="s">
        <v>28</v>
      </c>
      <c r="D158" s="2" t="s">
        <v>97</v>
      </c>
      <c r="E158" s="2" t="s">
        <v>260</v>
      </c>
      <c r="F158" s="2" t="s">
        <v>99</v>
      </c>
      <c r="G158" s="2" t="s">
        <v>32</v>
      </c>
      <c r="H158" s="1"/>
      <c r="I158" s="2" t="s">
        <v>33</v>
      </c>
      <c r="J158" s="2" t="s">
        <v>34</v>
      </c>
      <c r="K158" s="2" t="s">
        <v>1386</v>
      </c>
      <c r="L158" s="2" t="s">
        <v>1387</v>
      </c>
      <c r="M158" s="2" t="s">
        <v>84</v>
      </c>
      <c r="N158" s="2" t="s">
        <v>38</v>
      </c>
      <c r="O158" s="2" t="s">
        <v>131</v>
      </c>
      <c r="P158" s="2" t="s">
        <v>306</v>
      </c>
      <c r="Q158" s="2" t="s">
        <v>1388</v>
      </c>
      <c r="R158" s="2" t="s">
        <v>40</v>
      </c>
      <c r="S158" s="2" t="s">
        <v>1389</v>
      </c>
      <c r="T158" s="2" t="s">
        <v>1390</v>
      </c>
      <c r="U158" s="2" t="s">
        <v>1391</v>
      </c>
      <c r="V158" s="2" t="s">
        <v>1392</v>
      </c>
      <c r="W158" s="1"/>
      <c r="X158" s="2" t="s">
        <v>1375</v>
      </c>
      <c r="Y158" s="2" t="s">
        <v>271</v>
      </c>
      <c r="AA158" t="str">
        <f t="shared" si="12"/>
        <v>2026-06</v>
      </c>
      <c r="AB158" t="str">
        <f t="shared" si="13"/>
        <v>H1_2026</v>
      </c>
      <c r="AC158">
        <f t="shared" si="14"/>
        <v>353050.6</v>
      </c>
      <c r="AD158">
        <f t="shared" si="15"/>
        <v>40</v>
      </c>
      <c r="AE158">
        <f t="shared" si="16"/>
        <v>88250.6</v>
      </c>
      <c r="AF158" t="str">
        <f t="shared" si="17"/>
        <v>Paid</v>
      </c>
    </row>
    <row r="159" spans="1:32" ht="17.25" thickBot="1" x14ac:dyDescent="0.35">
      <c r="A159" s="2" t="s">
        <v>1393</v>
      </c>
      <c r="B159" s="2" t="s">
        <v>27</v>
      </c>
      <c r="C159" s="2" t="s">
        <v>28</v>
      </c>
      <c r="D159" s="2" t="s">
        <v>97</v>
      </c>
      <c r="E159" s="2" t="s">
        <v>260</v>
      </c>
      <c r="F159" s="2" t="s">
        <v>99</v>
      </c>
      <c r="G159" s="2" t="s">
        <v>32</v>
      </c>
      <c r="H159" s="1"/>
      <c r="I159" s="2" t="s">
        <v>33</v>
      </c>
      <c r="J159" s="2" t="s">
        <v>34</v>
      </c>
      <c r="K159" s="2" t="s">
        <v>1394</v>
      </c>
      <c r="L159" s="2" t="s">
        <v>1395</v>
      </c>
      <c r="M159" s="2" t="s">
        <v>84</v>
      </c>
      <c r="N159" s="2" t="s">
        <v>38</v>
      </c>
      <c r="O159" s="2" t="s">
        <v>159</v>
      </c>
      <c r="P159" s="2" t="s">
        <v>1396</v>
      </c>
      <c r="Q159" s="2" t="s">
        <v>1397</v>
      </c>
      <c r="R159" s="2" t="s">
        <v>40</v>
      </c>
      <c r="S159" s="2" t="s">
        <v>1398</v>
      </c>
      <c r="T159" s="2" t="s">
        <v>1399</v>
      </c>
      <c r="U159" s="2" t="s">
        <v>1400</v>
      </c>
      <c r="V159" s="2" t="s">
        <v>1401</v>
      </c>
      <c r="W159" s="1"/>
      <c r="X159" s="2" t="s">
        <v>1375</v>
      </c>
      <c r="Y159" s="2" t="s">
        <v>271</v>
      </c>
      <c r="AA159" t="str">
        <f t="shared" si="12"/>
        <v>2026-06</v>
      </c>
      <c r="AB159" t="str">
        <f t="shared" si="13"/>
        <v>H1_2026</v>
      </c>
      <c r="AC159">
        <f t="shared" si="14"/>
        <v>783902</v>
      </c>
      <c r="AD159">
        <f t="shared" si="15"/>
        <v>80</v>
      </c>
      <c r="AE159">
        <f t="shared" si="16"/>
        <v>195902</v>
      </c>
      <c r="AF159" t="str">
        <f t="shared" si="17"/>
        <v>Paid</v>
      </c>
    </row>
    <row r="160" spans="1:32" ht="17.25" thickBot="1" x14ac:dyDescent="0.35">
      <c r="A160" s="2" t="s">
        <v>1402</v>
      </c>
      <c r="B160" s="2" t="s">
        <v>27</v>
      </c>
      <c r="C160" s="2" t="s">
        <v>28</v>
      </c>
      <c r="D160" s="2" t="s">
        <v>97</v>
      </c>
      <c r="E160" s="2" t="s">
        <v>260</v>
      </c>
      <c r="F160" s="2" t="s">
        <v>99</v>
      </c>
      <c r="G160" s="2" t="s">
        <v>32</v>
      </c>
      <c r="H160" s="1"/>
      <c r="I160" s="2" t="s">
        <v>33</v>
      </c>
      <c r="J160" s="2" t="s">
        <v>34</v>
      </c>
      <c r="K160" s="2" t="s">
        <v>1403</v>
      </c>
      <c r="L160" s="2" t="s">
        <v>1404</v>
      </c>
      <c r="M160" s="2" t="s">
        <v>84</v>
      </c>
      <c r="N160" s="2" t="s">
        <v>38</v>
      </c>
      <c r="O160" s="2" t="s">
        <v>474</v>
      </c>
      <c r="P160" s="2" t="s">
        <v>1405</v>
      </c>
      <c r="Q160" s="2" t="s">
        <v>1406</v>
      </c>
      <c r="R160" s="2" t="s">
        <v>40</v>
      </c>
      <c r="S160" s="2" t="s">
        <v>1407</v>
      </c>
      <c r="T160" s="2" t="s">
        <v>1408</v>
      </c>
      <c r="U160" s="2" t="s">
        <v>1409</v>
      </c>
      <c r="V160" s="2" t="s">
        <v>1410</v>
      </c>
      <c r="W160" s="1"/>
      <c r="X160" s="2" t="s">
        <v>817</v>
      </c>
      <c r="Y160" s="2" t="s">
        <v>271</v>
      </c>
      <c r="AA160" t="str">
        <f t="shared" si="12"/>
        <v>2026-06</v>
      </c>
      <c r="AB160" t="str">
        <f t="shared" si="13"/>
        <v>H1_2026</v>
      </c>
      <c r="AC160">
        <f t="shared" si="14"/>
        <v>4620306.5999999996</v>
      </c>
      <c r="AD160">
        <f t="shared" si="15"/>
        <v>390</v>
      </c>
      <c r="AE160">
        <f t="shared" si="16"/>
        <v>1137606.6000000001</v>
      </c>
      <c r="AF160" t="str">
        <f t="shared" si="17"/>
        <v>Paid</v>
      </c>
    </row>
    <row r="161" spans="1:32" ht="17.25" thickBot="1" x14ac:dyDescent="0.35">
      <c r="A161" s="2" t="s">
        <v>1411</v>
      </c>
      <c r="B161" s="2" t="s">
        <v>27</v>
      </c>
      <c r="C161" s="2" t="s">
        <v>28</v>
      </c>
      <c r="D161" s="2" t="s">
        <v>97</v>
      </c>
      <c r="E161" s="2" t="s">
        <v>260</v>
      </c>
      <c r="F161" s="2" t="s">
        <v>99</v>
      </c>
      <c r="G161" s="2" t="s">
        <v>32</v>
      </c>
      <c r="H161" s="1"/>
      <c r="I161" s="2" t="s">
        <v>33</v>
      </c>
      <c r="J161" s="2" t="s">
        <v>34</v>
      </c>
      <c r="K161" s="2" t="s">
        <v>1412</v>
      </c>
      <c r="L161" s="2" t="s">
        <v>1413</v>
      </c>
      <c r="M161" s="2" t="s">
        <v>84</v>
      </c>
      <c r="N161" s="2" t="s">
        <v>38</v>
      </c>
      <c r="O161" s="2" t="s">
        <v>877</v>
      </c>
      <c r="P161" s="2" t="s">
        <v>1414</v>
      </c>
      <c r="Q161" s="2" t="s">
        <v>1415</v>
      </c>
      <c r="R161" s="2" t="s">
        <v>40</v>
      </c>
      <c r="S161" s="2" t="s">
        <v>1416</v>
      </c>
      <c r="T161" s="2" t="s">
        <v>1417</v>
      </c>
      <c r="U161" s="2" t="s">
        <v>1418</v>
      </c>
      <c r="V161" s="2" t="s">
        <v>1419</v>
      </c>
      <c r="W161" s="1"/>
      <c r="X161" s="2" t="s">
        <v>1375</v>
      </c>
      <c r="Y161" s="2" t="s">
        <v>271</v>
      </c>
      <c r="AA161" t="str">
        <f t="shared" si="12"/>
        <v>2026-06</v>
      </c>
      <c r="AB161" t="str">
        <f t="shared" si="13"/>
        <v>H1_2026</v>
      </c>
      <c r="AC161">
        <f t="shared" si="14"/>
        <v>910623</v>
      </c>
      <c r="AD161">
        <f t="shared" si="15"/>
        <v>100</v>
      </c>
      <c r="AE161">
        <f t="shared" si="16"/>
        <v>227623</v>
      </c>
      <c r="AF161" t="str">
        <f t="shared" si="17"/>
        <v>Paid</v>
      </c>
    </row>
    <row r="162" spans="1:32" ht="17.25" thickBot="1" x14ac:dyDescent="0.35">
      <c r="A162" s="2" t="s">
        <v>849</v>
      </c>
      <c r="B162" s="2" t="s">
        <v>27</v>
      </c>
      <c r="C162" s="2" t="s">
        <v>28</v>
      </c>
      <c r="D162" s="2" t="s">
        <v>97</v>
      </c>
      <c r="E162" s="2" t="s">
        <v>260</v>
      </c>
      <c r="F162" s="2" t="s">
        <v>99</v>
      </c>
      <c r="G162" s="2" t="s">
        <v>32</v>
      </c>
      <c r="H162" s="1"/>
      <c r="I162" s="2" t="s">
        <v>33</v>
      </c>
      <c r="J162" s="2" t="s">
        <v>34</v>
      </c>
      <c r="K162" s="2" t="s">
        <v>1420</v>
      </c>
      <c r="L162" s="2" t="s">
        <v>1421</v>
      </c>
      <c r="M162" s="2" t="s">
        <v>84</v>
      </c>
      <c r="N162" s="2" t="s">
        <v>38</v>
      </c>
      <c r="O162" s="2" t="s">
        <v>977</v>
      </c>
      <c r="P162" s="2" t="s">
        <v>1217</v>
      </c>
      <c r="Q162" s="2" t="s">
        <v>1422</v>
      </c>
      <c r="R162" s="2" t="s">
        <v>40</v>
      </c>
      <c r="S162" s="2" t="s">
        <v>1423</v>
      </c>
      <c r="T162" s="2" t="s">
        <v>1424</v>
      </c>
      <c r="U162" s="2" t="s">
        <v>1425</v>
      </c>
      <c r="V162" s="2" t="s">
        <v>1426</v>
      </c>
      <c r="W162" s="1"/>
      <c r="X162" s="2" t="s">
        <v>1427</v>
      </c>
      <c r="Y162" s="2" t="s">
        <v>271</v>
      </c>
      <c r="AA162" t="str">
        <f t="shared" si="12"/>
        <v>2026-06</v>
      </c>
      <c r="AB162" t="str">
        <f t="shared" si="13"/>
        <v>H1_2026</v>
      </c>
      <c r="AC162">
        <f t="shared" si="14"/>
        <v>946576.4</v>
      </c>
      <c r="AD162">
        <f t="shared" si="15"/>
        <v>110</v>
      </c>
      <c r="AE162">
        <f t="shared" si="16"/>
        <v>230476.4</v>
      </c>
      <c r="AF162" t="str">
        <f t="shared" si="17"/>
        <v>Paid</v>
      </c>
    </row>
    <row r="163" spans="1:32" ht="17.25" thickBot="1" x14ac:dyDescent="0.35">
      <c r="A163" s="2" t="s">
        <v>1428</v>
      </c>
      <c r="B163" s="2" t="s">
        <v>27</v>
      </c>
      <c r="C163" s="2" t="s">
        <v>28</v>
      </c>
      <c r="D163" s="2" t="s">
        <v>97</v>
      </c>
      <c r="E163" s="2" t="s">
        <v>260</v>
      </c>
      <c r="F163" s="2" t="s">
        <v>99</v>
      </c>
      <c r="G163" s="2" t="s">
        <v>32</v>
      </c>
      <c r="H163" s="1"/>
      <c r="I163" s="2" t="s">
        <v>33</v>
      </c>
      <c r="J163" s="2" t="s">
        <v>34</v>
      </c>
      <c r="K163" s="2" t="s">
        <v>1429</v>
      </c>
      <c r="L163" s="2" t="s">
        <v>1430</v>
      </c>
      <c r="M163" s="2" t="s">
        <v>84</v>
      </c>
      <c r="N163" s="2" t="s">
        <v>38</v>
      </c>
      <c r="O163" s="2" t="s">
        <v>221</v>
      </c>
      <c r="P163" s="2" t="s">
        <v>1431</v>
      </c>
      <c r="Q163" s="2" t="s">
        <v>1432</v>
      </c>
      <c r="R163" s="2" t="s">
        <v>40</v>
      </c>
      <c r="S163" s="2" t="s">
        <v>1433</v>
      </c>
      <c r="T163" s="2" t="s">
        <v>1434</v>
      </c>
      <c r="U163" s="2" t="s">
        <v>1435</v>
      </c>
      <c r="V163" s="2" t="s">
        <v>1436</v>
      </c>
      <c r="W163" s="1"/>
      <c r="X163" s="2" t="s">
        <v>1437</v>
      </c>
      <c r="Y163" s="2" t="s">
        <v>271</v>
      </c>
      <c r="AA163" t="str">
        <f t="shared" si="12"/>
        <v>2026-06</v>
      </c>
      <c r="AB163" t="str">
        <f t="shared" si="13"/>
        <v>H1_2026</v>
      </c>
      <c r="AC163">
        <f t="shared" si="14"/>
        <v>1932937.3</v>
      </c>
      <c r="AD163">
        <f t="shared" si="15"/>
        <v>140</v>
      </c>
      <c r="AE163">
        <f t="shared" si="16"/>
        <v>476937.3</v>
      </c>
      <c r="AF163" t="str">
        <f t="shared" si="17"/>
        <v>Paid</v>
      </c>
    </row>
    <row r="164" spans="1:32" ht="17.25" thickBot="1" x14ac:dyDescent="0.35">
      <c r="A164" s="2" t="s">
        <v>1438</v>
      </c>
      <c r="B164" s="2" t="s">
        <v>27</v>
      </c>
      <c r="C164" s="2" t="s">
        <v>28</v>
      </c>
      <c r="D164" s="2" t="s">
        <v>97</v>
      </c>
      <c r="E164" s="2" t="s">
        <v>260</v>
      </c>
      <c r="F164" s="2" t="s">
        <v>99</v>
      </c>
      <c r="G164" s="2" t="s">
        <v>32</v>
      </c>
      <c r="H164" s="1"/>
      <c r="I164" s="2" t="s">
        <v>33</v>
      </c>
      <c r="J164" s="2" t="s">
        <v>34</v>
      </c>
      <c r="K164" s="2" t="s">
        <v>1439</v>
      </c>
      <c r="L164" s="2" t="s">
        <v>1440</v>
      </c>
      <c r="M164" s="2" t="s">
        <v>84</v>
      </c>
      <c r="N164" s="2" t="s">
        <v>38</v>
      </c>
      <c r="O164" s="2" t="s">
        <v>275</v>
      </c>
      <c r="P164" s="2" t="s">
        <v>1441</v>
      </c>
      <c r="Q164" s="2" t="s">
        <v>1442</v>
      </c>
      <c r="R164" s="2" t="s">
        <v>40</v>
      </c>
      <c r="S164" s="2" t="s">
        <v>1443</v>
      </c>
      <c r="T164" s="2" t="s">
        <v>1444</v>
      </c>
      <c r="U164" s="2" t="s">
        <v>1445</v>
      </c>
      <c r="V164" s="2" t="s">
        <v>1446</v>
      </c>
      <c r="W164" s="1"/>
      <c r="X164" s="2" t="s">
        <v>1357</v>
      </c>
      <c r="Y164" s="2" t="s">
        <v>271</v>
      </c>
      <c r="AA164" t="str">
        <f t="shared" si="12"/>
        <v>2026-06</v>
      </c>
      <c r="AB164" t="str">
        <f t="shared" si="13"/>
        <v>H1_2026</v>
      </c>
      <c r="AC164">
        <f t="shared" si="14"/>
        <v>4264603.7</v>
      </c>
      <c r="AD164">
        <f t="shared" si="15"/>
        <v>580</v>
      </c>
      <c r="AE164">
        <f t="shared" si="16"/>
        <v>1097803.7</v>
      </c>
      <c r="AF164" t="str">
        <f t="shared" si="17"/>
        <v>Paid</v>
      </c>
    </row>
    <row r="165" spans="1:32" ht="17.25" thickBot="1" x14ac:dyDescent="0.35">
      <c r="A165" s="2" t="s">
        <v>1447</v>
      </c>
      <c r="B165" s="2" t="s">
        <v>27</v>
      </c>
      <c r="C165" s="2" t="s">
        <v>28</v>
      </c>
      <c r="D165" s="2" t="s">
        <v>97</v>
      </c>
      <c r="E165" s="2" t="s">
        <v>260</v>
      </c>
      <c r="F165" s="2" t="s">
        <v>99</v>
      </c>
      <c r="G165" s="2" t="s">
        <v>32</v>
      </c>
      <c r="H165" s="1"/>
      <c r="I165" s="2" t="s">
        <v>33</v>
      </c>
      <c r="J165" s="2" t="s">
        <v>34</v>
      </c>
      <c r="K165" s="2" t="s">
        <v>1448</v>
      </c>
      <c r="L165" s="2" t="s">
        <v>1449</v>
      </c>
      <c r="M165" s="2" t="s">
        <v>84</v>
      </c>
      <c r="N165" s="2" t="s">
        <v>38</v>
      </c>
      <c r="O165" s="2" t="s">
        <v>1450</v>
      </c>
      <c r="P165" s="2" t="s">
        <v>1451</v>
      </c>
      <c r="Q165" s="2" t="s">
        <v>1452</v>
      </c>
      <c r="R165" s="2" t="s">
        <v>40</v>
      </c>
      <c r="S165" s="2" t="s">
        <v>1453</v>
      </c>
      <c r="T165" s="2" t="s">
        <v>1454</v>
      </c>
      <c r="U165" s="2" t="s">
        <v>1455</v>
      </c>
      <c r="V165" s="2" t="s">
        <v>1456</v>
      </c>
      <c r="W165" s="1"/>
      <c r="X165" s="2" t="s">
        <v>1457</v>
      </c>
      <c r="Y165" s="2" t="s">
        <v>271</v>
      </c>
      <c r="AA165" t="str">
        <f t="shared" si="12"/>
        <v>2026-06</v>
      </c>
      <c r="AB165" t="str">
        <f t="shared" si="13"/>
        <v>H1_2026</v>
      </c>
      <c r="AC165">
        <f t="shared" si="14"/>
        <v>4222756.3</v>
      </c>
      <c r="AD165">
        <f t="shared" si="15"/>
        <v>890</v>
      </c>
      <c r="AE165">
        <f t="shared" si="16"/>
        <v>1045456.3</v>
      </c>
      <c r="AF165" t="str">
        <f t="shared" si="17"/>
        <v>Paid</v>
      </c>
    </row>
    <row r="166" spans="1:32" ht="17.25" thickBot="1" x14ac:dyDescent="0.35">
      <c r="A166" s="2" t="s">
        <v>1458</v>
      </c>
      <c r="B166" s="2" t="s">
        <v>27</v>
      </c>
      <c r="C166" s="2" t="s">
        <v>28</v>
      </c>
      <c r="D166" s="2" t="s">
        <v>97</v>
      </c>
      <c r="E166" s="2" t="s">
        <v>260</v>
      </c>
      <c r="F166" s="2" t="s">
        <v>99</v>
      </c>
      <c r="G166" s="2" t="s">
        <v>32</v>
      </c>
      <c r="H166" s="1"/>
      <c r="I166" s="2" t="s">
        <v>33</v>
      </c>
      <c r="J166" s="2" t="s">
        <v>34</v>
      </c>
      <c r="K166" s="2" t="s">
        <v>1459</v>
      </c>
      <c r="L166" s="2" t="s">
        <v>1460</v>
      </c>
      <c r="M166" s="2" t="s">
        <v>84</v>
      </c>
      <c r="N166" s="2" t="s">
        <v>38</v>
      </c>
      <c r="O166" s="2" t="s">
        <v>156</v>
      </c>
      <c r="P166" s="2" t="s">
        <v>1175</v>
      </c>
      <c r="Q166" s="2" t="s">
        <v>1461</v>
      </c>
      <c r="R166" s="2" t="s">
        <v>40</v>
      </c>
      <c r="S166" s="2" t="s">
        <v>1462</v>
      </c>
      <c r="T166" s="2" t="s">
        <v>1417</v>
      </c>
      <c r="U166" s="2" t="s">
        <v>1463</v>
      </c>
      <c r="V166" s="2" t="s">
        <v>1464</v>
      </c>
      <c r="W166" s="1"/>
      <c r="X166" s="2" t="s">
        <v>1073</v>
      </c>
      <c r="Y166" s="2" t="s">
        <v>271</v>
      </c>
      <c r="AA166" t="str">
        <f t="shared" si="12"/>
        <v>2026-06</v>
      </c>
      <c r="AB166" t="str">
        <f t="shared" si="13"/>
        <v>H1_2026</v>
      </c>
      <c r="AC166">
        <f t="shared" si="14"/>
        <v>184776.9</v>
      </c>
      <c r="AD166">
        <f t="shared" si="15"/>
        <v>20</v>
      </c>
      <c r="AE166">
        <f t="shared" si="16"/>
        <v>48176.9</v>
      </c>
      <c r="AF166" t="str">
        <f t="shared" si="17"/>
        <v>Paid</v>
      </c>
    </row>
    <row r="167" spans="1:32" ht="17.25" thickBot="1" x14ac:dyDescent="0.35">
      <c r="A167" s="2" t="s">
        <v>1465</v>
      </c>
      <c r="B167" s="2" t="s">
        <v>27</v>
      </c>
      <c r="C167" s="2" t="s">
        <v>28</v>
      </c>
      <c r="D167" s="2" t="s">
        <v>97</v>
      </c>
      <c r="E167" s="2" t="s">
        <v>260</v>
      </c>
      <c r="F167" s="2" t="s">
        <v>99</v>
      </c>
      <c r="G167" s="2" t="s">
        <v>32</v>
      </c>
      <c r="H167" s="1"/>
      <c r="I167" s="2" t="s">
        <v>33</v>
      </c>
      <c r="J167" s="2" t="s">
        <v>34</v>
      </c>
      <c r="K167" s="2" t="s">
        <v>1466</v>
      </c>
      <c r="L167" s="2" t="s">
        <v>1467</v>
      </c>
      <c r="M167" s="2" t="s">
        <v>84</v>
      </c>
      <c r="N167" s="2" t="s">
        <v>38</v>
      </c>
      <c r="O167" s="2" t="s">
        <v>391</v>
      </c>
      <c r="P167" s="2" t="s">
        <v>756</v>
      </c>
      <c r="Q167" s="2" t="s">
        <v>1468</v>
      </c>
      <c r="R167" s="2" t="s">
        <v>40</v>
      </c>
      <c r="S167" s="2" t="s">
        <v>1469</v>
      </c>
      <c r="T167" s="2" t="s">
        <v>1417</v>
      </c>
      <c r="U167" s="2" t="s">
        <v>1470</v>
      </c>
      <c r="V167" s="2" t="s">
        <v>1471</v>
      </c>
      <c r="W167" s="1"/>
      <c r="X167" s="2" t="s">
        <v>1472</v>
      </c>
      <c r="Y167" s="2" t="s">
        <v>271</v>
      </c>
      <c r="AA167" t="str">
        <f t="shared" si="12"/>
        <v>2026-06</v>
      </c>
      <c r="AB167" t="str">
        <f t="shared" si="13"/>
        <v>H1_2026</v>
      </c>
      <c r="AC167">
        <f t="shared" si="14"/>
        <v>540185.1</v>
      </c>
      <c r="AD167">
        <f t="shared" si="15"/>
        <v>60</v>
      </c>
      <c r="AE167">
        <f t="shared" si="16"/>
        <v>130385.1</v>
      </c>
      <c r="AF167" t="str">
        <f t="shared" si="17"/>
        <v>Paid</v>
      </c>
    </row>
    <row r="168" spans="1:32" ht="17.25" thickBot="1" x14ac:dyDescent="0.35">
      <c r="A168" s="2" t="s">
        <v>1473</v>
      </c>
      <c r="B168" s="2" t="s">
        <v>27</v>
      </c>
      <c r="C168" s="2" t="s">
        <v>28</v>
      </c>
      <c r="D168" s="2" t="s">
        <v>97</v>
      </c>
      <c r="E168" s="2" t="s">
        <v>260</v>
      </c>
      <c r="F168" s="2" t="s">
        <v>99</v>
      </c>
      <c r="G168" s="2" t="s">
        <v>32</v>
      </c>
      <c r="H168" s="1"/>
      <c r="I168" s="2" t="s">
        <v>33</v>
      </c>
      <c r="J168" s="2" t="s">
        <v>34</v>
      </c>
      <c r="K168" s="2" t="s">
        <v>1474</v>
      </c>
      <c r="L168" s="2" t="s">
        <v>1475</v>
      </c>
      <c r="M168" s="2" t="s">
        <v>84</v>
      </c>
      <c r="N168" s="2" t="s">
        <v>38</v>
      </c>
      <c r="O168" s="2" t="s">
        <v>1476</v>
      </c>
      <c r="P168" s="2" t="s">
        <v>1344</v>
      </c>
      <c r="Q168" s="2" t="s">
        <v>1477</v>
      </c>
      <c r="R168" s="2" t="s">
        <v>40</v>
      </c>
      <c r="S168" s="2" t="s">
        <v>1478</v>
      </c>
      <c r="T168" s="2" t="s">
        <v>126</v>
      </c>
      <c r="U168" s="2" t="s">
        <v>1479</v>
      </c>
      <c r="V168" s="2" t="s">
        <v>1480</v>
      </c>
      <c r="W168" s="1"/>
      <c r="X168" s="2" t="s">
        <v>1375</v>
      </c>
      <c r="Y168" s="2" t="s">
        <v>271</v>
      </c>
      <c r="AA168" t="str">
        <f t="shared" si="12"/>
        <v>2026-06</v>
      </c>
      <c r="AB168" t="str">
        <f t="shared" si="13"/>
        <v>H1_2026</v>
      </c>
      <c r="AC168">
        <f t="shared" si="14"/>
        <v>2183727</v>
      </c>
      <c r="AD168">
        <f t="shared" si="15"/>
        <v>260</v>
      </c>
      <c r="AE168">
        <f t="shared" si="16"/>
        <v>545727</v>
      </c>
      <c r="AF168" t="str">
        <f t="shared" si="17"/>
        <v>Paid</v>
      </c>
    </row>
    <row r="169" spans="1:32" ht="17.25" thickBot="1" x14ac:dyDescent="0.35">
      <c r="A169" s="2" t="s">
        <v>1481</v>
      </c>
      <c r="B169" s="2" t="s">
        <v>27</v>
      </c>
      <c r="C169" s="2" t="s">
        <v>28</v>
      </c>
      <c r="D169" s="2" t="s">
        <v>97</v>
      </c>
      <c r="E169" s="2" t="s">
        <v>260</v>
      </c>
      <c r="F169" s="2" t="s">
        <v>99</v>
      </c>
      <c r="G169" s="2" t="s">
        <v>32</v>
      </c>
      <c r="H169" s="1"/>
      <c r="I169" s="2" t="s">
        <v>33</v>
      </c>
      <c r="J169" s="2" t="s">
        <v>34</v>
      </c>
      <c r="K169" s="2" t="s">
        <v>1482</v>
      </c>
      <c r="L169" s="2" t="s">
        <v>1483</v>
      </c>
      <c r="M169" s="2" t="s">
        <v>84</v>
      </c>
      <c r="N169" s="2" t="s">
        <v>38</v>
      </c>
      <c r="O169" s="2" t="s">
        <v>877</v>
      </c>
      <c r="P169" s="2" t="s">
        <v>666</v>
      </c>
      <c r="Q169" s="2" t="s">
        <v>1484</v>
      </c>
      <c r="R169" s="2" t="s">
        <v>40</v>
      </c>
      <c r="S169" s="2" t="s">
        <v>1485</v>
      </c>
      <c r="T169" s="2" t="s">
        <v>706</v>
      </c>
      <c r="U169" s="2" t="s">
        <v>1486</v>
      </c>
      <c r="V169" s="2" t="s">
        <v>1487</v>
      </c>
      <c r="W169" s="1"/>
      <c r="X169" s="2" t="s">
        <v>1375</v>
      </c>
      <c r="Y169" s="2" t="s">
        <v>271</v>
      </c>
      <c r="AA169" t="str">
        <f t="shared" si="12"/>
        <v>2026-06</v>
      </c>
      <c r="AB169" t="str">
        <f t="shared" si="13"/>
        <v>H1_2026</v>
      </c>
      <c r="AC169">
        <f t="shared" si="14"/>
        <v>1119860</v>
      </c>
      <c r="AD169">
        <f t="shared" si="15"/>
        <v>100</v>
      </c>
      <c r="AE169">
        <f t="shared" si="16"/>
        <v>279860</v>
      </c>
      <c r="AF169" t="str">
        <f t="shared" si="17"/>
        <v>Paid</v>
      </c>
    </row>
    <row r="170" spans="1:32" ht="17.25" thickBot="1" x14ac:dyDescent="0.35">
      <c r="A170" s="2" t="s">
        <v>1488</v>
      </c>
      <c r="B170" s="2" t="s">
        <v>27</v>
      </c>
      <c r="C170" s="2" t="s">
        <v>28</v>
      </c>
      <c r="D170" s="2" t="s">
        <v>97</v>
      </c>
      <c r="E170" s="2" t="s">
        <v>260</v>
      </c>
      <c r="F170" s="2" t="s">
        <v>99</v>
      </c>
      <c r="G170" s="2" t="s">
        <v>32</v>
      </c>
      <c r="H170" s="1"/>
      <c r="I170" s="2" t="s">
        <v>33</v>
      </c>
      <c r="J170" s="2" t="s">
        <v>34</v>
      </c>
      <c r="K170" s="2" t="s">
        <v>1489</v>
      </c>
      <c r="L170" s="2" t="s">
        <v>1490</v>
      </c>
      <c r="M170" s="2" t="s">
        <v>84</v>
      </c>
      <c r="N170" s="2" t="s">
        <v>38</v>
      </c>
      <c r="O170" s="2" t="s">
        <v>631</v>
      </c>
      <c r="P170" s="2" t="s">
        <v>1344</v>
      </c>
      <c r="Q170" s="2" t="s">
        <v>1491</v>
      </c>
      <c r="R170" s="2" t="s">
        <v>40</v>
      </c>
      <c r="S170" s="2" t="s">
        <v>1492</v>
      </c>
      <c r="T170" s="2" t="s">
        <v>126</v>
      </c>
      <c r="U170" s="2" t="s">
        <v>1493</v>
      </c>
      <c r="V170" s="2" t="s">
        <v>1494</v>
      </c>
      <c r="W170" s="1"/>
      <c r="X170" s="2" t="s">
        <v>1375</v>
      </c>
      <c r="Y170" s="2" t="s">
        <v>271</v>
      </c>
      <c r="AA170" t="str">
        <f t="shared" si="12"/>
        <v>2026-06</v>
      </c>
      <c r="AB170" t="str">
        <f t="shared" si="13"/>
        <v>H1_2026</v>
      </c>
      <c r="AC170">
        <f t="shared" si="14"/>
        <v>621522.30000000005</v>
      </c>
      <c r="AD170">
        <f t="shared" si="15"/>
        <v>74</v>
      </c>
      <c r="AE170">
        <f t="shared" si="16"/>
        <v>155322.29999999999</v>
      </c>
      <c r="AF170" t="str">
        <f t="shared" si="17"/>
        <v>Paid</v>
      </c>
    </row>
    <row r="171" spans="1:32" ht="17.25" thickBot="1" x14ac:dyDescent="0.35">
      <c r="A171" s="2" t="s">
        <v>1495</v>
      </c>
      <c r="B171" s="2" t="s">
        <v>27</v>
      </c>
      <c r="C171" s="2" t="s">
        <v>28</v>
      </c>
      <c r="D171" s="2" t="s">
        <v>97</v>
      </c>
      <c r="E171" s="2" t="s">
        <v>260</v>
      </c>
      <c r="F171" s="2" t="s">
        <v>99</v>
      </c>
      <c r="G171" s="2" t="s">
        <v>32</v>
      </c>
      <c r="H171" s="1"/>
      <c r="I171" s="2" t="s">
        <v>33</v>
      </c>
      <c r="J171" s="2" t="s">
        <v>34</v>
      </c>
      <c r="K171" s="2" t="s">
        <v>1496</v>
      </c>
      <c r="L171" s="2" t="s">
        <v>1497</v>
      </c>
      <c r="M171" s="2" t="s">
        <v>84</v>
      </c>
      <c r="N171" s="2" t="s">
        <v>38</v>
      </c>
      <c r="O171" s="2" t="s">
        <v>156</v>
      </c>
      <c r="P171" s="2" t="s">
        <v>1498</v>
      </c>
      <c r="Q171" s="2" t="s">
        <v>1499</v>
      </c>
      <c r="R171" s="2" t="s">
        <v>40</v>
      </c>
      <c r="S171" s="2" t="s">
        <v>1500</v>
      </c>
      <c r="T171" s="2" t="s">
        <v>1501</v>
      </c>
      <c r="U171" s="2" t="s">
        <v>1502</v>
      </c>
      <c r="V171" s="2" t="s">
        <v>1503</v>
      </c>
      <c r="W171" s="1"/>
      <c r="X171" s="2" t="s">
        <v>1504</v>
      </c>
      <c r="Y171" s="2" t="s">
        <v>271</v>
      </c>
      <c r="AA171" t="str">
        <f t="shared" si="12"/>
        <v>2026-06</v>
      </c>
      <c r="AB171" t="str">
        <f t="shared" si="13"/>
        <v>H1_2026</v>
      </c>
      <c r="AC171">
        <f t="shared" si="14"/>
        <v>185071.6</v>
      </c>
      <c r="AD171">
        <f t="shared" si="15"/>
        <v>20</v>
      </c>
      <c r="AE171">
        <f t="shared" si="16"/>
        <v>46471.6</v>
      </c>
      <c r="AF171" t="str">
        <f t="shared" si="17"/>
        <v>Paid</v>
      </c>
    </row>
    <row r="172" spans="1:32" ht="17.25" thickBot="1" x14ac:dyDescent="0.35">
      <c r="A172" s="2" t="s">
        <v>645</v>
      </c>
      <c r="B172" s="2" t="s">
        <v>27</v>
      </c>
      <c r="C172" s="2" t="s">
        <v>28</v>
      </c>
      <c r="D172" s="2" t="s">
        <v>97</v>
      </c>
      <c r="E172" s="2" t="s">
        <v>260</v>
      </c>
      <c r="F172" s="2" t="s">
        <v>99</v>
      </c>
      <c r="G172" s="2" t="s">
        <v>32</v>
      </c>
      <c r="H172" s="1"/>
      <c r="I172" s="2" t="s">
        <v>33</v>
      </c>
      <c r="J172" s="2" t="s">
        <v>34</v>
      </c>
      <c r="K172" s="2" t="s">
        <v>1505</v>
      </c>
      <c r="L172" s="2" t="s">
        <v>1506</v>
      </c>
      <c r="M172" s="2" t="s">
        <v>84</v>
      </c>
      <c r="N172" s="2" t="s">
        <v>38</v>
      </c>
      <c r="O172" s="2" t="s">
        <v>1507</v>
      </c>
      <c r="P172" s="2" t="s">
        <v>756</v>
      </c>
      <c r="Q172" s="2" t="s">
        <v>1508</v>
      </c>
      <c r="R172" s="2" t="s">
        <v>40</v>
      </c>
      <c r="S172" s="2" t="s">
        <v>1509</v>
      </c>
      <c r="T172" s="2" t="s">
        <v>1510</v>
      </c>
      <c r="U172" s="2" t="s">
        <v>1511</v>
      </c>
      <c r="V172" s="2" t="s">
        <v>1512</v>
      </c>
      <c r="W172" s="1"/>
      <c r="X172" s="2" t="s">
        <v>1513</v>
      </c>
      <c r="Y172" s="2" t="s">
        <v>271</v>
      </c>
      <c r="AA172" t="str">
        <f t="shared" si="12"/>
        <v>2026-06</v>
      </c>
      <c r="AB172" t="str">
        <f t="shared" si="13"/>
        <v>H1_2026</v>
      </c>
      <c r="AC172">
        <f t="shared" si="14"/>
        <v>61941224.799999997</v>
      </c>
      <c r="AD172">
        <f t="shared" si="15"/>
        <v>6880</v>
      </c>
      <c r="AE172">
        <f t="shared" si="16"/>
        <v>19649864.800000001</v>
      </c>
      <c r="AF172" t="str">
        <f t="shared" si="17"/>
        <v>Paid</v>
      </c>
    </row>
    <row r="173" spans="1:32" ht="17.25" thickBot="1" x14ac:dyDescent="0.35">
      <c r="A173" s="2" t="s">
        <v>1514</v>
      </c>
      <c r="B173" s="2" t="s">
        <v>27</v>
      </c>
      <c r="C173" s="2" t="s">
        <v>28</v>
      </c>
      <c r="D173" s="2" t="s">
        <v>97</v>
      </c>
      <c r="E173" s="2" t="s">
        <v>1515</v>
      </c>
      <c r="F173" s="2" t="s">
        <v>99</v>
      </c>
      <c r="G173" s="2" t="s">
        <v>32</v>
      </c>
      <c r="H173" s="1"/>
      <c r="I173" s="2" t="s">
        <v>33</v>
      </c>
      <c r="J173" s="2" t="s">
        <v>34</v>
      </c>
      <c r="K173" s="2" t="s">
        <v>1516</v>
      </c>
      <c r="L173" s="2" t="s">
        <v>1517</v>
      </c>
      <c r="M173" s="2" t="s">
        <v>1518</v>
      </c>
      <c r="N173" s="2" t="s">
        <v>38</v>
      </c>
      <c r="O173" s="2" t="s">
        <v>1519</v>
      </c>
      <c r="P173" s="2" t="s">
        <v>1520</v>
      </c>
      <c r="Q173" s="2" t="s">
        <v>1521</v>
      </c>
      <c r="R173" s="2" t="s">
        <v>40</v>
      </c>
      <c r="S173" s="2" t="s">
        <v>1522</v>
      </c>
      <c r="T173" s="2" t="s">
        <v>1523</v>
      </c>
      <c r="U173" s="2" t="s">
        <v>1524</v>
      </c>
      <c r="V173" s="2" t="s">
        <v>1525</v>
      </c>
      <c r="W173" s="1"/>
      <c r="X173" s="2" t="s">
        <v>1427</v>
      </c>
      <c r="Y173" s="2" t="s">
        <v>1526</v>
      </c>
      <c r="AA173" t="str">
        <f t="shared" si="12"/>
        <v>2026-06</v>
      </c>
      <c r="AB173" t="str">
        <f t="shared" si="13"/>
        <v>H1_2026</v>
      </c>
      <c r="AC173">
        <f t="shared" si="14"/>
        <v>2593421.2799999998</v>
      </c>
      <c r="AD173">
        <f t="shared" si="15"/>
        <v>360</v>
      </c>
      <c r="AE173">
        <f t="shared" si="16"/>
        <v>629621.28</v>
      </c>
      <c r="AF173" t="str">
        <f t="shared" si="17"/>
        <v>Paid</v>
      </c>
    </row>
    <row r="174" spans="1:32" ht="17.25" thickBot="1" x14ac:dyDescent="0.35">
      <c r="A174" s="2" t="s">
        <v>1527</v>
      </c>
      <c r="B174" s="2" t="s">
        <v>27</v>
      </c>
      <c r="C174" s="2" t="s">
        <v>28</v>
      </c>
      <c r="D174" s="2" t="s">
        <v>97</v>
      </c>
      <c r="E174" s="2" t="s">
        <v>1515</v>
      </c>
      <c r="F174" s="2" t="s">
        <v>99</v>
      </c>
      <c r="G174" s="2" t="s">
        <v>32</v>
      </c>
      <c r="H174" s="1"/>
      <c r="I174" s="2" t="s">
        <v>33</v>
      </c>
      <c r="J174" s="2" t="s">
        <v>34</v>
      </c>
      <c r="K174" s="2" t="s">
        <v>1528</v>
      </c>
      <c r="L174" s="2" t="s">
        <v>1529</v>
      </c>
      <c r="M174" s="2" t="s">
        <v>1518</v>
      </c>
      <c r="N174" s="2" t="s">
        <v>38</v>
      </c>
      <c r="O174" s="2" t="s">
        <v>1530</v>
      </c>
      <c r="P174" s="2" t="s">
        <v>1531</v>
      </c>
      <c r="Q174" s="2" t="s">
        <v>1532</v>
      </c>
      <c r="R174" s="2" t="s">
        <v>40</v>
      </c>
      <c r="S174" s="2" t="s">
        <v>1533</v>
      </c>
      <c r="T174" s="2" t="s">
        <v>1534</v>
      </c>
      <c r="U174" s="2" t="s">
        <v>1535</v>
      </c>
      <c r="V174" s="2" t="s">
        <v>1536</v>
      </c>
      <c r="W174" s="1"/>
      <c r="X174" s="2" t="s">
        <v>1427</v>
      </c>
      <c r="Y174" s="2" t="s">
        <v>1526</v>
      </c>
      <c r="AA174" t="str">
        <f t="shared" si="12"/>
        <v>2026-06</v>
      </c>
      <c r="AB174" t="str">
        <f t="shared" si="13"/>
        <v>H1_2026</v>
      </c>
      <c r="AC174">
        <f t="shared" si="14"/>
        <v>5250484.8</v>
      </c>
      <c r="AD174">
        <f t="shared" si="15"/>
        <v>405</v>
      </c>
      <c r="AE174">
        <f t="shared" si="16"/>
        <v>1274194.8</v>
      </c>
      <c r="AF174" t="str">
        <f t="shared" si="17"/>
        <v>Paid</v>
      </c>
    </row>
    <row r="175" spans="1:32" ht="17.25" thickBot="1" x14ac:dyDescent="0.35">
      <c r="A175" s="2" t="s">
        <v>1537</v>
      </c>
      <c r="B175" s="2" t="s">
        <v>27</v>
      </c>
      <c r="C175" s="2" t="s">
        <v>28</v>
      </c>
      <c r="D175" s="2" t="s">
        <v>97</v>
      </c>
      <c r="E175" s="2" t="s">
        <v>1515</v>
      </c>
      <c r="F175" s="2" t="s">
        <v>99</v>
      </c>
      <c r="G175" s="2" t="s">
        <v>32</v>
      </c>
      <c r="H175" s="1"/>
      <c r="I175" s="2" t="s">
        <v>33</v>
      </c>
      <c r="J175" s="2" t="s">
        <v>34</v>
      </c>
      <c r="K175" s="2" t="s">
        <v>281</v>
      </c>
      <c r="L175" s="2" t="s">
        <v>282</v>
      </c>
      <c r="M175" s="2" t="s">
        <v>263</v>
      </c>
      <c r="N175" s="2" t="s">
        <v>38</v>
      </c>
      <c r="O175" s="2" t="s">
        <v>1538</v>
      </c>
      <c r="P175" s="2" t="s">
        <v>284</v>
      </c>
      <c r="Q175" s="2" t="s">
        <v>1539</v>
      </c>
      <c r="R175" s="2" t="s">
        <v>40</v>
      </c>
      <c r="S175" s="2" t="s">
        <v>1540</v>
      </c>
      <c r="T175" s="2" t="s">
        <v>287</v>
      </c>
      <c r="U175" s="2" t="s">
        <v>1541</v>
      </c>
      <c r="V175" s="2" t="s">
        <v>1542</v>
      </c>
      <c r="W175" s="1"/>
      <c r="X175" s="2" t="s">
        <v>290</v>
      </c>
      <c r="Y175" s="2" t="s">
        <v>1543</v>
      </c>
      <c r="AA175" t="str">
        <f t="shared" si="12"/>
        <v>2026-06</v>
      </c>
      <c r="AB175" t="str">
        <f t="shared" si="13"/>
        <v>H1_2026</v>
      </c>
      <c r="AC175">
        <f t="shared" si="14"/>
        <v>5044085.2</v>
      </c>
      <c r="AD175">
        <f t="shared" si="15"/>
        <v>440</v>
      </c>
      <c r="AE175">
        <f t="shared" si="16"/>
        <v>1964085.2</v>
      </c>
      <c r="AF175" t="str">
        <f t="shared" si="17"/>
        <v>Paid</v>
      </c>
    </row>
    <row r="176" spans="1:32" ht="17.25" thickBot="1" x14ac:dyDescent="0.35">
      <c r="A176" s="2" t="s">
        <v>1544</v>
      </c>
      <c r="B176" s="2" t="s">
        <v>27</v>
      </c>
      <c r="C176" s="2" t="s">
        <v>28</v>
      </c>
      <c r="D176" s="2" t="s">
        <v>97</v>
      </c>
      <c r="E176" s="2" t="s">
        <v>1515</v>
      </c>
      <c r="F176" s="2" t="s">
        <v>99</v>
      </c>
      <c r="G176" s="2" t="s">
        <v>32</v>
      </c>
      <c r="H176" s="1"/>
      <c r="I176" s="2" t="s">
        <v>33</v>
      </c>
      <c r="J176" s="2" t="s">
        <v>34</v>
      </c>
      <c r="K176" s="2" t="s">
        <v>292</v>
      </c>
      <c r="L176" s="2" t="s">
        <v>293</v>
      </c>
      <c r="M176" s="2" t="s">
        <v>263</v>
      </c>
      <c r="N176" s="2" t="s">
        <v>38</v>
      </c>
      <c r="O176" s="2" t="s">
        <v>990</v>
      </c>
      <c r="P176" s="2" t="s">
        <v>284</v>
      </c>
      <c r="Q176" s="2" t="s">
        <v>1545</v>
      </c>
      <c r="R176" s="2" t="s">
        <v>40</v>
      </c>
      <c r="S176" s="2" t="s">
        <v>1546</v>
      </c>
      <c r="T176" s="2" t="s">
        <v>297</v>
      </c>
      <c r="U176" s="2" t="s">
        <v>1547</v>
      </c>
      <c r="V176" s="2" t="s">
        <v>1548</v>
      </c>
      <c r="W176" s="1"/>
      <c r="X176" s="2" t="s">
        <v>300</v>
      </c>
      <c r="Y176" s="2" t="s">
        <v>1543</v>
      </c>
      <c r="AA176" t="str">
        <f t="shared" si="12"/>
        <v>2026-06</v>
      </c>
      <c r="AB176" t="str">
        <f t="shared" si="13"/>
        <v>H1_2026</v>
      </c>
      <c r="AC176">
        <f t="shared" si="14"/>
        <v>21093447.199999999</v>
      </c>
      <c r="AD176">
        <f t="shared" si="15"/>
        <v>1840</v>
      </c>
      <c r="AE176">
        <f t="shared" si="16"/>
        <v>6373447.2000000002</v>
      </c>
      <c r="AF176" t="str">
        <f t="shared" si="17"/>
        <v>Paid</v>
      </c>
    </row>
    <row r="177" spans="1:32" ht="27.75" thickBot="1" x14ac:dyDescent="0.35">
      <c r="A177" s="2" t="s">
        <v>1549</v>
      </c>
      <c r="B177" s="2" t="s">
        <v>27</v>
      </c>
      <c r="C177" s="2" t="s">
        <v>28</v>
      </c>
      <c r="D177" s="2" t="s">
        <v>97</v>
      </c>
      <c r="E177" s="2" t="s">
        <v>1515</v>
      </c>
      <c r="F177" s="2" t="s">
        <v>99</v>
      </c>
      <c r="G177" s="2" t="s">
        <v>32</v>
      </c>
      <c r="H177" s="1"/>
      <c r="I177" s="2" t="s">
        <v>33</v>
      </c>
      <c r="J177" s="2" t="s">
        <v>34</v>
      </c>
      <c r="K177" s="2" t="s">
        <v>360</v>
      </c>
      <c r="L177" s="2" t="s">
        <v>361</v>
      </c>
      <c r="M177" s="2" t="s">
        <v>304</v>
      </c>
      <c r="N177" s="2" t="s">
        <v>38</v>
      </c>
      <c r="O177" s="2" t="s">
        <v>156</v>
      </c>
      <c r="P177" s="2" t="s">
        <v>306</v>
      </c>
      <c r="Q177" s="2" t="s">
        <v>1550</v>
      </c>
      <c r="R177" s="2" t="s">
        <v>40</v>
      </c>
      <c r="S177" s="2" t="s">
        <v>1551</v>
      </c>
      <c r="T177" s="2" t="s">
        <v>309</v>
      </c>
      <c r="U177" s="2" t="s">
        <v>1552</v>
      </c>
      <c r="V177" s="2" t="s">
        <v>1553</v>
      </c>
      <c r="W177" s="1"/>
      <c r="X177" s="2" t="s">
        <v>312</v>
      </c>
      <c r="Y177" s="2" t="s">
        <v>1543</v>
      </c>
      <c r="AA177" t="str">
        <f t="shared" si="12"/>
        <v>2026-06</v>
      </c>
      <c r="AB177" t="str">
        <f t="shared" si="13"/>
        <v>H1_2026</v>
      </c>
      <c r="AC177">
        <f t="shared" si="14"/>
        <v>176525.3</v>
      </c>
      <c r="AD177">
        <f t="shared" si="15"/>
        <v>20</v>
      </c>
      <c r="AE177">
        <f t="shared" si="16"/>
        <v>21325.3</v>
      </c>
      <c r="AF177" t="str">
        <f t="shared" si="17"/>
        <v>Paid</v>
      </c>
    </row>
    <row r="178" spans="1:32" ht="17.25" thickBot="1" x14ac:dyDescent="0.35">
      <c r="A178" s="2" t="s">
        <v>1554</v>
      </c>
      <c r="B178" s="2" t="s">
        <v>27</v>
      </c>
      <c r="C178" s="2" t="s">
        <v>28</v>
      </c>
      <c r="D178" s="2" t="s">
        <v>97</v>
      </c>
      <c r="E178" s="2" t="s">
        <v>1515</v>
      </c>
      <c r="F178" s="2" t="s">
        <v>99</v>
      </c>
      <c r="G178" s="2" t="s">
        <v>32</v>
      </c>
      <c r="H178" s="1"/>
      <c r="I178" s="2" t="s">
        <v>33</v>
      </c>
      <c r="J178" s="2" t="s">
        <v>34</v>
      </c>
      <c r="K178" s="2" t="s">
        <v>456</v>
      </c>
      <c r="L178" s="2" t="s">
        <v>457</v>
      </c>
      <c r="M178" s="2" t="s">
        <v>304</v>
      </c>
      <c r="N178" s="2" t="s">
        <v>38</v>
      </c>
      <c r="O178" s="2" t="s">
        <v>214</v>
      </c>
      <c r="P178" s="2" t="s">
        <v>439</v>
      </c>
      <c r="Q178" s="2" t="s">
        <v>1555</v>
      </c>
      <c r="R178" s="2" t="s">
        <v>40</v>
      </c>
      <c r="S178" s="2" t="s">
        <v>1556</v>
      </c>
      <c r="T178" s="2" t="s">
        <v>422</v>
      </c>
      <c r="U178" s="2" t="s">
        <v>1557</v>
      </c>
      <c r="V178" s="2" t="s">
        <v>1558</v>
      </c>
      <c r="W178" s="1"/>
      <c r="X178" s="2" t="s">
        <v>444</v>
      </c>
      <c r="Y178" s="2" t="s">
        <v>1543</v>
      </c>
      <c r="AA178" t="str">
        <f t="shared" si="12"/>
        <v>2026-06</v>
      </c>
      <c r="AB178" t="str">
        <f t="shared" si="13"/>
        <v>H1_2026</v>
      </c>
      <c r="AC178">
        <f t="shared" si="14"/>
        <v>696228.75</v>
      </c>
      <c r="AD178">
        <f t="shared" si="15"/>
        <v>50</v>
      </c>
      <c r="AE178">
        <f t="shared" si="16"/>
        <v>86728.75</v>
      </c>
      <c r="AF178" t="str">
        <f t="shared" si="17"/>
        <v>Paid</v>
      </c>
    </row>
    <row r="179" spans="1:32" ht="27.75" thickBot="1" x14ac:dyDescent="0.35">
      <c r="A179" s="2" t="s">
        <v>1559</v>
      </c>
      <c r="B179" s="2" t="s">
        <v>27</v>
      </c>
      <c r="C179" s="2" t="s">
        <v>28</v>
      </c>
      <c r="D179" s="2" t="s">
        <v>97</v>
      </c>
      <c r="E179" s="2" t="s">
        <v>1515</v>
      </c>
      <c r="F179" s="2" t="s">
        <v>99</v>
      </c>
      <c r="G179" s="2" t="s">
        <v>32</v>
      </c>
      <c r="H179" s="1"/>
      <c r="I179" s="2" t="s">
        <v>33</v>
      </c>
      <c r="J179" s="2" t="s">
        <v>34</v>
      </c>
      <c r="K179" s="2" t="s">
        <v>481</v>
      </c>
      <c r="L179" s="2" t="s">
        <v>482</v>
      </c>
      <c r="M179" s="2" t="s">
        <v>304</v>
      </c>
      <c r="N179" s="2" t="s">
        <v>38</v>
      </c>
      <c r="O179" s="2" t="s">
        <v>1560</v>
      </c>
      <c r="P179" s="2" t="s">
        <v>484</v>
      </c>
      <c r="Q179" s="2" t="s">
        <v>1561</v>
      </c>
      <c r="R179" s="2" t="s">
        <v>40</v>
      </c>
      <c r="S179" s="2" t="s">
        <v>1562</v>
      </c>
      <c r="T179" s="2" t="s">
        <v>422</v>
      </c>
      <c r="U179" s="2" t="s">
        <v>1563</v>
      </c>
      <c r="V179" s="2" t="s">
        <v>1564</v>
      </c>
      <c r="W179" s="1"/>
      <c r="X179" s="2" t="s">
        <v>489</v>
      </c>
      <c r="Y179" s="2" t="s">
        <v>1543</v>
      </c>
      <c r="AA179" t="str">
        <f t="shared" si="12"/>
        <v>2026-06</v>
      </c>
      <c r="AB179" t="str">
        <f t="shared" si="13"/>
        <v>H1_2026</v>
      </c>
      <c r="AC179">
        <f t="shared" si="14"/>
        <v>52435086.899999999</v>
      </c>
      <c r="AD179">
        <f t="shared" si="15"/>
        <v>3810</v>
      </c>
      <c r="AE179">
        <f t="shared" si="16"/>
        <v>5991186.9000000004</v>
      </c>
      <c r="AF179" t="str">
        <f t="shared" si="17"/>
        <v>Paid</v>
      </c>
    </row>
    <row r="180" spans="1:32" ht="17.25" thickBot="1" x14ac:dyDescent="0.35">
      <c r="A180" s="2" t="s">
        <v>1565</v>
      </c>
      <c r="B180" s="2" t="s">
        <v>27</v>
      </c>
      <c r="C180" s="2" t="s">
        <v>28</v>
      </c>
      <c r="D180" s="2" t="s">
        <v>97</v>
      </c>
      <c r="E180" s="2" t="s">
        <v>1515</v>
      </c>
      <c r="F180" s="2" t="s">
        <v>99</v>
      </c>
      <c r="G180" s="2" t="s">
        <v>32</v>
      </c>
      <c r="H180" s="1"/>
      <c r="I180" s="2" t="s">
        <v>33</v>
      </c>
      <c r="J180" s="2" t="s">
        <v>34</v>
      </c>
      <c r="K180" s="2" t="s">
        <v>1566</v>
      </c>
      <c r="L180" s="2" t="s">
        <v>1567</v>
      </c>
      <c r="M180" s="2" t="s">
        <v>304</v>
      </c>
      <c r="N180" s="2" t="s">
        <v>38</v>
      </c>
      <c r="O180" s="2" t="s">
        <v>1568</v>
      </c>
      <c r="P180" s="2" t="s">
        <v>494</v>
      </c>
      <c r="Q180" s="2" t="s">
        <v>1569</v>
      </c>
      <c r="R180" s="2" t="s">
        <v>40</v>
      </c>
      <c r="S180" s="2" t="s">
        <v>1570</v>
      </c>
      <c r="T180" s="2" t="s">
        <v>497</v>
      </c>
      <c r="U180" s="2" t="s">
        <v>1571</v>
      </c>
      <c r="V180" s="2" t="s">
        <v>1572</v>
      </c>
      <c r="W180" s="1"/>
      <c r="X180" s="2" t="s">
        <v>387</v>
      </c>
      <c r="Y180" s="2" t="s">
        <v>1543</v>
      </c>
      <c r="AA180" t="str">
        <f t="shared" si="12"/>
        <v>2026-06</v>
      </c>
      <c r="AB180" t="str">
        <f t="shared" si="13"/>
        <v>H1_2026</v>
      </c>
      <c r="AC180">
        <f t="shared" si="14"/>
        <v>11214057.02</v>
      </c>
      <c r="AD180">
        <f t="shared" si="15"/>
        <v>639</v>
      </c>
      <c r="AE180">
        <f t="shared" si="16"/>
        <v>1303167.02</v>
      </c>
      <c r="AF180" t="str">
        <f t="shared" si="17"/>
        <v>Paid</v>
      </c>
    </row>
    <row r="181" spans="1:32" ht="17.25" thickBot="1" x14ac:dyDescent="0.35">
      <c r="A181" s="2" t="s">
        <v>1573</v>
      </c>
      <c r="B181" s="2" t="s">
        <v>27</v>
      </c>
      <c r="C181" s="2" t="s">
        <v>28</v>
      </c>
      <c r="D181" s="2" t="s">
        <v>97</v>
      </c>
      <c r="E181" s="2" t="s">
        <v>1515</v>
      </c>
      <c r="F181" s="2" t="s">
        <v>99</v>
      </c>
      <c r="G181" s="2" t="s">
        <v>32</v>
      </c>
      <c r="H181" s="1"/>
      <c r="I181" s="2" t="s">
        <v>33</v>
      </c>
      <c r="J181" s="2" t="s">
        <v>34</v>
      </c>
      <c r="K181" s="2" t="s">
        <v>542</v>
      </c>
      <c r="L181" s="2" t="s">
        <v>543</v>
      </c>
      <c r="M181" s="2" t="s">
        <v>304</v>
      </c>
      <c r="N181" s="2" t="s">
        <v>38</v>
      </c>
      <c r="O181" s="2" t="s">
        <v>1574</v>
      </c>
      <c r="P181" s="2" t="s">
        <v>429</v>
      </c>
      <c r="Q181" s="2" t="s">
        <v>1575</v>
      </c>
      <c r="R181" s="2" t="s">
        <v>40</v>
      </c>
      <c r="S181" s="2" t="s">
        <v>1576</v>
      </c>
      <c r="T181" s="2" t="s">
        <v>374</v>
      </c>
      <c r="U181" s="2" t="s">
        <v>1577</v>
      </c>
      <c r="V181" s="2" t="s">
        <v>1578</v>
      </c>
      <c r="W181" s="1"/>
      <c r="X181" s="2" t="s">
        <v>434</v>
      </c>
      <c r="Y181" s="2" t="s">
        <v>1543</v>
      </c>
      <c r="AA181" t="str">
        <f t="shared" si="12"/>
        <v>2026-06</v>
      </c>
      <c r="AB181" t="str">
        <f t="shared" si="13"/>
        <v>H1_2026</v>
      </c>
      <c r="AC181">
        <f t="shared" si="14"/>
        <v>7020785.4500000002</v>
      </c>
      <c r="AD181">
        <f t="shared" si="15"/>
        <v>530</v>
      </c>
      <c r="AE181">
        <f t="shared" si="16"/>
        <v>856885.45</v>
      </c>
      <c r="AF181" t="str">
        <f t="shared" si="17"/>
        <v>Paid</v>
      </c>
    </row>
    <row r="182" spans="1:32" ht="17.25" thickBot="1" x14ac:dyDescent="0.35">
      <c r="A182" s="2" t="s">
        <v>1158</v>
      </c>
      <c r="B182" s="2" t="s">
        <v>27</v>
      </c>
      <c r="C182" s="2" t="s">
        <v>28</v>
      </c>
      <c r="D182" s="2" t="s">
        <v>97</v>
      </c>
      <c r="E182" s="2" t="s">
        <v>1515</v>
      </c>
      <c r="F182" s="2" t="s">
        <v>99</v>
      </c>
      <c r="G182" s="2" t="s">
        <v>32</v>
      </c>
      <c r="H182" s="1"/>
      <c r="I182" s="2" t="s">
        <v>33</v>
      </c>
      <c r="J182" s="2" t="s">
        <v>34</v>
      </c>
      <c r="K182" s="2" t="s">
        <v>568</v>
      </c>
      <c r="L182" s="2" t="s">
        <v>569</v>
      </c>
      <c r="M182" s="2" t="s">
        <v>570</v>
      </c>
      <c r="N182" s="2" t="s">
        <v>38</v>
      </c>
      <c r="O182" s="2" t="s">
        <v>645</v>
      </c>
      <c r="P182" s="2" t="s">
        <v>572</v>
      </c>
      <c r="Q182" s="2" t="s">
        <v>1579</v>
      </c>
      <c r="R182" s="2" t="s">
        <v>40</v>
      </c>
      <c r="S182" s="2" t="s">
        <v>1580</v>
      </c>
      <c r="T182" s="2" t="s">
        <v>575</v>
      </c>
      <c r="U182" s="2" t="s">
        <v>1581</v>
      </c>
      <c r="V182" s="2" t="s">
        <v>1582</v>
      </c>
      <c r="W182" s="1"/>
      <c r="X182" s="2" t="s">
        <v>578</v>
      </c>
      <c r="Y182" s="2" t="s">
        <v>1543</v>
      </c>
      <c r="AA182" t="str">
        <f t="shared" si="12"/>
        <v>2026-06</v>
      </c>
      <c r="AB182" t="str">
        <f t="shared" si="13"/>
        <v>H1_2026</v>
      </c>
      <c r="AC182">
        <f t="shared" si="14"/>
        <v>95188.1</v>
      </c>
      <c r="AD182">
        <f t="shared" si="15"/>
        <v>170</v>
      </c>
      <c r="AE182">
        <f t="shared" si="16"/>
        <v>39551.74</v>
      </c>
      <c r="AF182" t="str">
        <f t="shared" si="17"/>
        <v>Paid</v>
      </c>
    </row>
    <row r="183" spans="1:32" ht="17.25" thickBot="1" x14ac:dyDescent="0.35">
      <c r="A183" s="2" t="s">
        <v>1583</v>
      </c>
      <c r="B183" s="2" t="s">
        <v>27</v>
      </c>
      <c r="C183" s="2" t="s">
        <v>28</v>
      </c>
      <c r="D183" s="2" t="s">
        <v>97</v>
      </c>
      <c r="E183" s="2" t="s">
        <v>1515</v>
      </c>
      <c r="F183" s="2" t="s">
        <v>99</v>
      </c>
      <c r="G183" s="2" t="s">
        <v>32</v>
      </c>
      <c r="H183" s="1"/>
      <c r="I183" s="2" t="s">
        <v>33</v>
      </c>
      <c r="J183" s="2" t="s">
        <v>34</v>
      </c>
      <c r="K183" s="2" t="s">
        <v>580</v>
      </c>
      <c r="L183" s="2" t="s">
        <v>581</v>
      </c>
      <c r="M183" s="2" t="s">
        <v>570</v>
      </c>
      <c r="N183" s="2" t="s">
        <v>38</v>
      </c>
      <c r="O183" s="2" t="s">
        <v>849</v>
      </c>
      <c r="P183" s="2" t="s">
        <v>572</v>
      </c>
      <c r="Q183" s="2" t="s">
        <v>1584</v>
      </c>
      <c r="R183" s="2" t="s">
        <v>40</v>
      </c>
      <c r="S183" s="2" t="s">
        <v>1585</v>
      </c>
      <c r="T183" s="2" t="s">
        <v>575</v>
      </c>
      <c r="U183" s="2" t="s">
        <v>1586</v>
      </c>
      <c r="V183" s="2" t="s">
        <v>1587</v>
      </c>
      <c r="W183" s="1"/>
      <c r="X183" s="2" t="s">
        <v>578</v>
      </c>
      <c r="Y183" s="2" t="s">
        <v>1543</v>
      </c>
      <c r="AA183" t="str">
        <f t="shared" si="12"/>
        <v>2026-06</v>
      </c>
      <c r="AB183" t="str">
        <f t="shared" si="13"/>
        <v>H1_2026</v>
      </c>
      <c r="AC183">
        <f t="shared" si="14"/>
        <v>89588.800000000003</v>
      </c>
      <c r="AD183">
        <f t="shared" si="15"/>
        <v>160</v>
      </c>
      <c r="AE183">
        <f t="shared" si="16"/>
        <v>37225.17</v>
      </c>
      <c r="AF183" t="str">
        <f t="shared" si="17"/>
        <v>Paid</v>
      </c>
    </row>
    <row r="184" spans="1:32" ht="27.75" thickBot="1" x14ac:dyDescent="0.35">
      <c r="A184" s="2" t="s">
        <v>1588</v>
      </c>
      <c r="B184" s="2" t="s">
        <v>27</v>
      </c>
      <c r="C184" s="2" t="s">
        <v>28</v>
      </c>
      <c r="D184" s="2" t="s">
        <v>97</v>
      </c>
      <c r="E184" s="2" t="s">
        <v>1515</v>
      </c>
      <c r="F184" s="2" t="s">
        <v>99</v>
      </c>
      <c r="G184" s="2" t="s">
        <v>32</v>
      </c>
      <c r="H184" s="1"/>
      <c r="I184" s="2" t="s">
        <v>33</v>
      </c>
      <c r="J184" s="2" t="s">
        <v>34</v>
      </c>
      <c r="K184" s="2" t="s">
        <v>595</v>
      </c>
      <c r="L184" s="2" t="s">
        <v>596</v>
      </c>
      <c r="M184" s="2" t="s">
        <v>570</v>
      </c>
      <c r="N184" s="2" t="s">
        <v>38</v>
      </c>
      <c r="O184" s="2" t="s">
        <v>159</v>
      </c>
      <c r="P184" s="2" t="s">
        <v>572</v>
      </c>
      <c r="Q184" s="2" t="s">
        <v>1589</v>
      </c>
      <c r="R184" s="2" t="s">
        <v>40</v>
      </c>
      <c r="S184" s="2" t="s">
        <v>1590</v>
      </c>
      <c r="T184" s="2" t="s">
        <v>575</v>
      </c>
      <c r="U184" s="2" t="s">
        <v>1591</v>
      </c>
      <c r="V184" s="2" t="s">
        <v>1592</v>
      </c>
      <c r="W184" s="1"/>
      <c r="X184" s="2" t="s">
        <v>578</v>
      </c>
      <c r="Y184" s="2" t="s">
        <v>1543</v>
      </c>
      <c r="AA184" t="str">
        <f t="shared" si="12"/>
        <v>2026-06</v>
      </c>
      <c r="AB184" t="str">
        <f t="shared" si="13"/>
        <v>H1_2026</v>
      </c>
      <c r="AC184">
        <f t="shared" si="14"/>
        <v>44794.400000000001</v>
      </c>
      <c r="AD184">
        <f t="shared" si="15"/>
        <v>80</v>
      </c>
      <c r="AE184">
        <f t="shared" si="16"/>
        <v>18612.580000000002</v>
      </c>
      <c r="AF184" t="str">
        <f t="shared" si="17"/>
        <v>Paid</v>
      </c>
    </row>
    <row r="185" spans="1:32" ht="27.75" thickBot="1" x14ac:dyDescent="0.35">
      <c r="A185" s="2" t="s">
        <v>1593</v>
      </c>
      <c r="B185" s="2" t="s">
        <v>27</v>
      </c>
      <c r="C185" s="2" t="s">
        <v>28</v>
      </c>
      <c r="D185" s="2" t="s">
        <v>97</v>
      </c>
      <c r="E185" s="2" t="s">
        <v>1515</v>
      </c>
      <c r="F185" s="2" t="s">
        <v>99</v>
      </c>
      <c r="G185" s="2" t="s">
        <v>32</v>
      </c>
      <c r="H185" s="1"/>
      <c r="I185" s="2" t="s">
        <v>33</v>
      </c>
      <c r="J185" s="2" t="s">
        <v>34</v>
      </c>
      <c r="K185" s="2" t="s">
        <v>1594</v>
      </c>
      <c r="L185" s="2" t="s">
        <v>1595</v>
      </c>
      <c r="M185" s="2" t="s">
        <v>570</v>
      </c>
      <c r="N185" s="2" t="s">
        <v>38</v>
      </c>
      <c r="O185" s="2" t="s">
        <v>167</v>
      </c>
      <c r="P185" s="2" t="s">
        <v>572</v>
      </c>
      <c r="Q185" s="2" t="s">
        <v>603</v>
      </c>
      <c r="R185" s="2" t="s">
        <v>40</v>
      </c>
      <c r="S185" s="2" t="s">
        <v>604</v>
      </c>
      <c r="T185" s="2" t="s">
        <v>575</v>
      </c>
      <c r="U185" s="2" t="s">
        <v>605</v>
      </c>
      <c r="V185" s="2" t="s">
        <v>606</v>
      </c>
      <c r="W185" s="1"/>
      <c r="X185" s="2" t="s">
        <v>578</v>
      </c>
      <c r="Y185" s="2" t="s">
        <v>1543</v>
      </c>
      <c r="AA185" t="str">
        <f t="shared" si="12"/>
        <v>2026-06</v>
      </c>
      <c r="AB185" t="str">
        <f t="shared" si="13"/>
        <v>H1_2026</v>
      </c>
      <c r="AC185">
        <f t="shared" si="14"/>
        <v>447944</v>
      </c>
      <c r="AD185">
        <f t="shared" si="15"/>
        <v>800</v>
      </c>
      <c r="AE185">
        <f t="shared" si="16"/>
        <v>186125.84</v>
      </c>
      <c r="AF185" t="str">
        <f t="shared" si="17"/>
        <v>Paid</v>
      </c>
    </row>
    <row r="186" spans="1:32" ht="17.25" thickBot="1" x14ac:dyDescent="0.35">
      <c r="A186" s="2" t="s">
        <v>1310</v>
      </c>
      <c r="B186" s="2" t="s">
        <v>27</v>
      </c>
      <c r="C186" s="2" t="s">
        <v>28</v>
      </c>
      <c r="D186" s="2" t="s">
        <v>97</v>
      </c>
      <c r="E186" s="2" t="s">
        <v>1515</v>
      </c>
      <c r="F186" s="2" t="s">
        <v>99</v>
      </c>
      <c r="G186" s="2" t="s">
        <v>32</v>
      </c>
      <c r="H186" s="1"/>
      <c r="I186" s="2" t="s">
        <v>33</v>
      </c>
      <c r="J186" s="2" t="s">
        <v>34</v>
      </c>
      <c r="K186" s="2" t="s">
        <v>608</v>
      </c>
      <c r="L186" s="2" t="s">
        <v>609</v>
      </c>
      <c r="M186" s="2" t="s">
        <v>570</v>
      </c>
      <c r="N186" s="2" t="s">
        <v>38</v>
      </c>
      <c r="O186" s="2" t="s">
        <v>79</v>
      </c>
      <c r="P186" s="2" t="s">
        <v>572</v>
      </c>
      <c r="Q186" s="2" t="s">
        <v>1596</v>
      </c>
      <c r="R186" s="2" t="s">
        <v>40</v>
      </c>
      <c r="S186" s="2" t="s">
        <v>1597</v>
      </c>
      <c r="T186" s="2" t="s">
        <v>575</v>
      </c>
      <c r="U186" s="2" t="s">
        <v>1598</v>
      </c>
      <c r="V186" s="2" t="s">
        <v>1599</v>
      </c>
      <c r="W186" s="1"/>
      <c r="X186" s="2" t="s">
        <v>578</v>
      </c>
      <c r="Y186" s="2" t="s">
        <v>1543</v>
      </c>
      <c r="AA186" t="str">
        <f t="shared" si="12"/>
        <v>2026-06</v>
      </c>
      <c r="AB186" t="str">
        <f t="shared" si="13"/>
        <v>H1_2026</v>
      </c>
      <c r="AC186">
        <f t="shared" si="14"/>
        <v>5599.3</v>
      </c>
      <c r="AD186">
        <f t="shared" si="15"/>
        <v>10</v>
      </c>
      <c r="AE186">
        <f t="shared" si="16"/>
        <v>2326.5700000000002</v>
      </c>
      <c r="AF186" t="str">
        <f t="shared" si="17"/>
        <v>Paid</v>
      </c>
    </row>
    <row r="187" spans="1:32" ht="17.25" thickBot="1" x14ac:dyDescent="0.35">
      <c r="A187" s="2" t="s">
        <v>1600</v>
      </c>
      <c r="B187" s="2" t="s">
        <v>27</v>
      </c>
      <c r="C187" s="2" t="s">
        <v>28</v>
      </c>
      <c r="D187" s="2" t="s">
        <v>97</v>
      </c>
      <c r="E187" s="2" t="s">
        <v>1515</v>
      </c>
      <c r="F187" s="2" t="s">
        <v>99</v>
      </c>
      <c r="G187" s="2" t="s">
        <v>32</v>
      </c>
      <c r="H187" s="1"/>
      <c r="I187" s="2" t="s">
        <v>33</v>
      </c>
      <c r="J187" s="2" t="s">
        <v>34</v>
      </c>
      <c r="K187" s="2" t="s">
        <v>616</v>
      </c>
      <c r="L187" s="2" t="s">
        <v>617</v>
      </c>
      <c r="M187" s="2" t="s">
        <v>570</v>
      </c>
      <c r="N187" s="2" t="s">
        <v>38</v>
      </c>
      <c r="O187" s="2" t="s">
        <v>466</v>
      </c>
      <c r="P187" s="2" t="s">
        <v>572</v>
      </c>
      <c r="Q187" s="2" t="s">
        <v>1601</v>
      </c>
      <c r="R187" s="2" t="s">
        <v>40</v>
      </c>
      <c r="S187" s="2" t="s">
        <v>1602</v>
      </c>
      <c r="T187" s="2" t="s">
        <v>575</v>
      </c>
      <c r="U187" s="2" t="s">
        <v>1603</v>
      </c>
      <c r="V187" s="2" t="s">
        <v>1604</v>
      </c>
      <c r="W187" s="1"/>
      <c r="X187" s="2" t="s">
        <v>578</v>
      </c>
      <c r="Y187" s="2" t="s">
        <v>1543</v>
      </c>
      <c r="AA187" t="str">
        <f t="shared" si="12"/>
        <v>2026-06</v>
      </c>
      <c r="AB187" t="str">
        <f t="shared" si="13"/>
        <v>H1_2026</v>
      </c>
      <c r="AC187">
        <f t="shared" si="14"/>
        <v>39195.1</v>
      </c>
      <c r="AD187">
        <f t="shared" si="15"/>
        <v>70</v>
      </c>
      <c r="AE187">
        <f t="shared" si="16"/>
        <v>16286.01</v>
      </c>
      <c r="AF187" t="str">
        <f t="shared" si="17"/>
        <v>Paid</v>
      </c>
    </row>
    <row r="188" spans="1:32" ht="17.25" thickBot="1" x14ac:dyDescent="0.35">
      <c r="A188" s="2" t="s">
        <v>1605</v>
      </c>
      <c r="B188" s="2" t="s">
        <v>27</v>
      </c>
      <c r="C188" s="2" t="s">
        <v>28</v>
      </c>
      <c r="D188" s="2" t="s">
        <v>97</v>
      </c>
      <c r="E188" s="2" t="s">
        <v>1515</v>
      </c>
      <c r="F188" s="2" t="s">
        <v>99</v>
      </c>
      <c r="G188" s="2" t="s">
        <v>32</v>
      </c>
      <c r="H188" s="1"/>
      <c r="I188" s="2" t="s">
        <v>33</v>
      </c>
      <c r="J188" s="2" t="s">
        <v>34</v>
      </c>
      <c r="K188" s="2" t="s">
        <v>624</v>
      </c>
      <c r="L188" s="2" t="s">
        <v>625</v>
      </c>
      <c r="M188" s="2" t="s">
        <v>570</v>
      </c>
      <c r="N188" s="2" t="s">
        <v>38</v>
      </c>
      <c r="O188" s="2" t="s">
        <v>1606</v>
      </c>
      <c r="P188" s="2" t="s">
        <v>572</v>
      </c>
      <c r="Q188" s="2" t="s">
        <v>1607</v>
      </c>
      <c r="R188" s="2" t="s">
        <v>40</v>
      </c>
      <c r="S188" s="2" t="s">
        <v>1608</v>
      </c>
      <c r="T188" s="2" t="s">
        <v>575</v>
      </c>
      <c r="U188" s="2" t="s">
        <v>1609</v>
      </c>
      <c r="V188" s="2" t="s">
        <v>1610</v>
      </c>
      <c r="W188" s="1"/>
      <c r="X188" s="2" t="s">
        <v>578</v>
      </c>
      <c r="Y188" s="2" t="s">
        <v>1543</v>
      </c>
      <c r="AA188" t="str">
        <f t="shared" si="12"/>
        <v>2026-06</v>
      </c>
      <c r="AB188" t="str">
        <f t="shared" si="13"/>
        <v>H1_2026</v>
      </c>
      <c r="AC188">
        <f t="shared" si="14"/>
        <v>716710.40000000002</v>
      </c>
      <c r="AD188">
        <f t="shared" si="15"/>
        <v>1280</v>
      </c>
      <c r="AE188">
        <f t="shared" si="16"/>
        <v>297801.34000000003</v>
      </c>
      <c r="AF188" t="str">
        <f t="shared" si="17"/>
        <v>Paid</v>
      </c>
    </row>
    <row r="189" spans="1:32" ht="27.75" thickBot="1" x14ac:dyDescent="0.35">
      <c r="A189" s="2" t="s">
        <v>1611</v>
      </c>
      <c r="B189" s="2" t="s">
        <v>27</v>
      </c>
      <c r="C189" s="2" t="s">
        <v>28</v>
      </c>
      <c r="D189" s="2" t="s">
        <v>97</v>
      </c>
      <c r="E189" s="2" t="s">
        <v>1515</v>
      </c>
      <c r="F189" s="2" t="s">
        <v>99</v>
      </c>
      <c r="G189" s="2" t="s">
        <v>32</v>
      </c>
      <c r="H189" s="1"/>
      <c r="I189" s="2" t="s">
        <v>33</v>
      </c>
      <c r="J189" s="2" t="s">
        <v>34</v>
      </c>
      <c r="K189" s="2" t="s">
        <v>632</v>
      </c>
      <c r="L189" s="2" t="s">
        <v>633</v>
      </c>
      <c r="M189" s="2" t="s">
        <v>634</v>
      </c>
      <c r="N189" s="2" t="s">
        <v>38</v>
      </c>
      <c r="O189" s="2" t="s">
        <v>156</v>
      </c>
      <c r="P189" s="2" t="s">
        <v>635</v>
      </c>
      <c r="Q189" s="2" t="s">
        <v>1612</v>
      </c>
      <c r="R189" s="2" t="s">
        <v>40</v>
      </c>
      <c r="S189" s="2" t="s">
        <v>1613</v>
      </c>
      <c r="T189" s="2" t="s">
        <v>638</v>
      </c>
      <c r="U189" s="2" t="s">
        <v>1614</v>
      </c>
      <c r="V189" s="2" t="s">
        <v>1615</v>
      </c>
      <c r="W189" s="1"/>
      <c r="X189" s="2" t="s">
        <v>641</v>
      </c>
      <c r="Y189" s="2" t="s">
        <v>1543</v>
      </c>
      <c r="AA189" t="str">
        <f t="shared" si="12"/>
        <v>2026-06</v>
      </c>
      <c r="AB189" t="str">
        <f t="shared" si="13"/>
        <v>H1_2026</v>
      </c>
      <c r="AC189">
        <f t="shared" si="14"/>
        <v>320044.2</v>
      </c>
      <c r="AD189">
        <f t="shared" si="15"/>
        <v>20</v>
      </c>
      <c r="AE189">
        <f t="shared" si="16"/>
        <v>170844.2</v>
      </c>
      <c r="AF189" t="str">
        <f t="shared" si="17"/>
        <v>Paid</v>
      </c>
    </row>
    <row r="190" spans="1:32" ht="17.25" thickBot="1" x14ac:dyDescent="0.35">
      <c r="A190" s="2" t="s">
        <v>1616</v>
      </c>
      <c r="B190" s="2" t="s">
        <v>27</v>
      </c>
      <c r="C190" s="2" t="s">
        <v>28</v>
      </c>
      <c r="D190" s="2" t="s">
        <v>97</v>
      </c>
      <c r="E190" s="2" t="s">
        <v>1515</v>
      </c>
      <c r="F190" s="2" t="s">
        <v>99</v>
      </c>
      <c r="G190" s="2" t="s">
        <v>32</v>
      </c>
      <c r="H190" s="1"/>
      <c r="I190" s="2" t="s">
        <v>33</v>
      </c>
      <c r="J190" s="2" t="s">
        <v>34</v>
      </c>
      <c r="K190" s="2" t="s">
        <v>653</v>
      </c>
      <c r="L190" s="2" t="s">
        <v>654</v>
      </c>
      <c r="M190" s="2" t="s">
        <v>634</v>
      </c>
      <c r="N190" s="2" t="s">
        <v>38</v>
      </c>
      <c r="O190" s="2" t="s">
        <v>214</v>
      </c>
      <c r="P190" s="2" t="s">
        <v>655</v>
      </c>
      <c r="Q190" s="2" t="s">
        <v>1617</v>
      </c>
      <c r="R190" s="2" t="s">
        <v>40</v>
      </c>
      <c r="S190" s="2" t="s">
        <v>1618</v>
      </c>
      <c r="T190" s="2" t="s">
        <v>658</v>
      </c>
      <c r="U190" s="2" t="s">
        <v>1619</v>
      </c>
      <c r="V190" s="2" t="s">
        <v>1620</v>
      </c>
      <c r="W190" s="1"/>
      <c r="X190" s="2" t="s">
        <v>661</v>
      </c>
      <c r="Y190" s="2" t="s">
        <v>1543</v>
      </c>
      <c r="AA190" t="str">
        <f t="shared" si="12"/>
        <v>2026-06</v>
      </c>
      <c r="AB190" t="str">
        <f t="shared" si="13"/>
        <v>H1_2026</v>
      </c>
      <c r="AC190">
        <f t="shared" si="14"/>
        <v>587926.5</v>
      </c>
      <c r="AD190">
        <f t="shared" si="15"/>
        <v>50</v>
      </c>
      <c r="AE190">
        <f t="shared" si="16"/>
        <v>92926.5</v>
      </c>
      <c r="AF190" t="str">
        <f t="shared" si="17"/>
        <v>Paid</v>
      </c>
    </row>
    <row r="191" spans="1:32" ht="17.25" thickBot="1" x14ac:dyDescent="0.35">
      <c r="A191" s="2" t="s">
        <v>1621</v>
      </c>
      <c r="B191" s="2" t="s">
        <v>27</v>
      </c>
      <c r="C191" s="2" t="s">
        <v>28</v>
      </c>
      <c r="D191" s="2" t="s">
        <v>97</v>
      </c>
      <c r="E191" s="2" t="s">
        <v>1515</v>
      </c>
      <c r="F191" s="2" t="s">
        <v>99</v>
      </c>
      <c r="G191" s="2" t="s">
        <v>32</v>
      </c>
      <c r="H191" s="1"/>
      <c r="I191" s="2" t="s">
        <v>33</v>
      </c>
      <c r="J191" s="2" t="s">
        <v>34</v>
      </c>
      <c r="K191" s="2" t="s">
        <v>1622</v>
      </c>
      <c r="L191" s="2" t="s">
        <v>1623</v>
      </c>
      <c r="M191" s="2" t="s">
        <v>1624</v>
      </c>
      <c r="N191" s="2" t="s">
        <v>38</v>
      </c>
      <c r="O191" s="2" t="s">
        <v>51</v>
      </c>
      <c r="P191" s="2" t="s">
        <v>1625</v>
      </c>
      <c r="Q191" s="2" t="s">
        <v>1626</v>
      </c>
      <c r="R191" s="2" t="s">
        <v>40</v>
      </c>
      <c r="S191" s="2" t="s">
        <v>1627</v>
      </c>
      <c r="T191" s="2" t="s">
        <v>1628</v>
      </c>
      <c r="U191" s="2" t="s">
        <v>1629</v>
      </c>
      <c r="V191" s="2" t="s">
        <v>1630</v>
      </c>
      <c r="W191" s="1"/>
      <c r="X191" s="2" t="s">
        <v>1437</v>
      </c>
      <c r="Y191" s="2" t="s">
        <v>1543</v>
      </c>
      <c r="AA191" t="str">
        <f t="shared" si="12"/>
        <v>2026-06</v>
      </c>
      <c r="AB191" t="str">
        <f t="shared" si="13"/>
        <v>H1_2026</v>
      </c>
      <c r="AC191">
        <f t="shared" si="14"/>
        <v>32269.65</v>
      </c>
      <c r="AD191">
        <f t="shared" si="15"/>
        <v>3</v>
      </c>
      <c r="AE191">
        <f t="shared" si="16"/>
        <v>7969.65</v>
      </c>
      <c r="AF191" t="str">
        <f t="shared" si="17"/>
        <v>Paid</v>
      </c>
    </row>
    <row r="192" spans="1:32" ht="17.25" thickBot="1" x14ac:dyDescent="0.35">
      <c r="A192" s="2" t="s">
        <v>1631</v>
      </c>
      <c r="B192" s="2" t="s">
        <v>27</v>
      </c>
      <c r="C192" s="2" t="s">
        <v>28</v>
      </c>
      <c r="D192" s="2" t="s">
        <v>97</v>
      </c>
      <c r="E192" s="2" t="s">
        <v>1515</v>
      </c>
      <c r="F192" s="2" t="s">
        <v>99</v>
      </c>
      <c r="G192" s="2" t="s">
        <v>32</v>
      </c>
      <c r="H192" s="1"/>
      <c r="I192" s="2" t="s">
        <v>33</v>
      </c>
      <c r="J192" s="2" t="s">
        <v>34</v>
      </c>
      <c r="K192" s="2" t="s">
        <v>730</v>
      </c>
      <c r="L192" s="2" t="s">
        <v>731</v>
      </c>
      <c r="M192" s="2" t="s">
        <v>701</v>
      </c>
      <c r="N192" s="2" t="s">
        <v>38</v>
      </c>
      <c r="O192" s="2" t="s">
        <v>1574</v>
      </c>
      <c r="P192" s="2" t="s">
        <v>684</v>
      </c>
      <c r="Q192" s="2" t="s">
        <v>1632</v>
      </c>
      <c r="R192" s="2" t="s">
        <v>40</v>
      </c>
      <c r="S192" s="2" t="s">
        <v>1633</v>
      </c>
      <c r="T192" s="2" t="s">
        <v>716</v>
      </c>
      <c r="U192" s="2" t="s">
        <v>1634</v>
      </c>
      <c r="V192" s="2" t="s">
        <v>1635</v>
      </c>
      <c r="W192" s="1"/>
      <c r="X192" s="2" t="s">
        <v>709</v>
      </c>
      <c r="Y192" s="2" t="s">
        <v>1543</v>
      </c>
      <c r="AA192" t="str">
        <f t="shared" si="12"/>
        <v>2026-06</v>
      </c>
      <c r="AB192" t="str">
        <f t="shared" si="13"/>
        <v>H1_2026</v>
      </c>
      <c r="AC192">
        <f t="shared" si="14"/>
        <v>6356973.7000000002</v>
      </c>
      <c r="AD192">
        <f t="shared" si="15"/>
        <v>530</v>
      </c>
      <c r="AE192">
        <f t="shared" si="16"/>
        <v>1014573.7</v>
      </c>
      <c r="AF192" t="str">
        <f t="shared" si="17"/>
        <v>Paid</v>
      </c>
    </row>
    <row r="193" spans="1:32" ht="17.25" thickBot="1" x14ac:dyDescent="0.35">
      <c r="A193" s="2" t="s">
        <v>1636</v>
      </c>
      <c r="B193" s="2" t="s">
        <v>27</v>
      </c>
      <c r="C193" s="2" t="s">
        <v>28</v>
      </c>
      <c r="D193" s="2" t="s">
        <v>97</v>
      </c>
      <c r="E193" s="2" t="s">
        <v>1515</v>
      </c>
      <c r="F193" s="2" t="s">
        <v>99</v>
      </c>
      <c r="G193" s="2" t="s">
        <v>32</v>
      </c>
      <c r="H193" s="1"/>
      <c r="I193" s="2" t="s">
        <v>33</v>
      </c>
      <c r="J193" s="2" t="s">
        <v>34</v>
      </c>
      <c r="K193" s="2" t="s">
        <v>738</v>
      </c>
      <c r="L193" s="2" t="s">
        <v>739</v>
      </c>
      <c r="M193" s="2" t="s">
        <v>701</v>
      </c>
      <c r="N193" s="2" t="s">
        <v>38</v>
      </c>
      <c r="O193" s="2" t="s">
        <v>890</v>
      </c>
      <c r="P193" s="2" t="s">
        <v>684</v>
      </c>
      <c r="Q193" s="2" t="s">
        <v>1637</v>
      </c>
      <c r="R193" s="2" t="s">
        <v>40</v>
      </c>
      <c r="S193" s="2" t="s">
        <v>1638</v>
      </c>
      <c r="T193" s="2" t="s">
        <v>716</v>
      </c>
      <c r="U193" s="2" t="s">
        <v>1639</v>
      </c>
      <c r="V193" s="2" t="s">
        <v>1640</v>
      </c>
      <c r="W193" s="1"/>
      <c r="X193" s="2" t="s">
        <v>709</v>
      </c>
      <c r="Y193" s="2" t="s">
        <v>1543</v>
      </c>
      <c r="AA193" t="str">
        <f t="shared" si="12"/>
        <v>2026-06</v>
      </c>
      <c r="AB193" t="str">
        <f t="shared" si="13"/>
        <v>H1_2026</v>
      </c>
      <c r="AC193">
        <f t="shared" si="14"/>
        <v>3958115.7</v>
      </c>
      <c r="AD193">
        <f t="shared" si="15"/>
        <v>330</v>
      </c>
      <c r="AE193">
        <f t="shared" si="16"/>
        <v>631715.69999999995</v>
      </c>
      <c r="AF193" t="str">
        <f t="shared" si="17"/>
        <v>Paid</v>
      </c>
    </row>
    <row r="194" spans="1:32" ht="17.25" thickBot="1" x14ac:dyDescent="0.35">
      <c r="A194" s="2" t="s">
        <v>1641</v>
      </c>
      <c r="B194" s="2" t="s">
        <v>27</v>
      </c>
      <c r="C194" s="2" t="s">
        <v>28</v>
      </c>
      <c r="D194" s="2" t="s">
        <v>97</v>
      </c>
      <c r="E194" s="2" t="s">
        <v>1515</v>
      </c>
      <c r="F194" s="2" t="s">
        <v>99</v>
      </c>
      <c r="G194" s="2" t="s">
        <v>32</v>
      </c>
      <c r="H194" s="1"/>
      <c r="I194" s="2" t="s">
        <v>33</v>
      </c>
      <c r="J194" s="2" t="s">
        <v>34</v>
      </c>
      <c r="K194" s="2" t="s">
        <v>1642</v>
      </c>
      <c r="L194" s="2" t="s">
        <v>1643</v>
      </c>
      <c r="M194" s="2" t="s">
        <v>701</v>
      </c>
      <c r="N194" s="2" t="s">
        <v>38</v>
      </c>
      <c r="O194" s="2" t="s">
        <v>1644</v>
      </c>
      <c r="P194" s="2" t="s">
        <v>1175</v>
      </c>
      <c r="Q194" s="2" t="s">
        <v>1645</v>
      </c>
      <c r="R194" s="2" t="s">
        <v>40</v>
      </c>
      <c r="S194" s="2" t="s">
        <v>1646</v>
      </c>
      <c r="T194" s="2" t="s">
        <v>1647</v>
      </c>
      <c r="U194" s="2" t="s">
        <v>1648</v>
      </c>
      <c r="V194" s="2" t="s">
        <v>1649</v>
      </c>
      <c r="W194" s="1"/>
      <c r="X194" s="2" t="s">
        <v>1650</v>
      </c>
      <c r="Y194" s="2" t="s">
        <v>1543</v>
      </c>
      <c r="AA194" t="str">
        <f t="shared" si="12"/>
        <v>2026-06</v>
      </c>
      <c r="AB194" t="str">
        <f t="shared" si="13"/>
        <v>H1_2026</v>
      </c>
      <c r="AC194">
        <f t="shared" si="14"/>
        <v>11086614</v>
      </c>
      <c r="AD194">
        <f t="shared" si="15"/>
        <v>1200</v>
      </c>
      <c r="AE194">
        <f t="shared" si="16"/>
        <v>7593894</v>
      </c>
      <c r="AF194" t="str">
        <f t="shared" si="17"/>
        <v>Paid</v>
      </c>
    </row>
    <row r="195" spans="1:32" ht="17.25" thickBot="1" x14ac:dyDescent="0.35">
      <c r="A195" s="2" t="s">
        <v>1651</v>
      </c>
      <c r="B195" s="2" t="s">
        <v>27</v>
      </c>
      <c r="C195" s="2" t="s">
        <v>28</v>
      </c>
      <c r="D195" s="2" t="s">
        <v>97</v>
      </c>
      <c r="E195" s="2" t="s">
        <v>1515</v>
      </c>
      <c r="F195" s="2" t="s">
        <v>99</v>
      </c>
      <c r="G195" s="2" t="s">
        <v>32</v>
      </c>
      <c r="H195" s="1"/>
      <c r="I195" s="2" t="s">
        <v>33</v>
      </c>
      <c r="J195" s="2" t="s">
        <v>34</v>
      </c>
      <c r="K195" s="2" t="s">
        <v>787</v>
      </c>
      <c r="L195" s="2" t="s">
        <v>788</v>
      </c>
      <c r="M195" s="2" t="s">
        <v>772</v>
      </c>
      <c r="N195" s="2" t="s">
        <v>38</v>
      </c>
      <c r="O195" s="2" t="s">
        <v>428</v>
      </c>
      <c r="P195" s="2" t="s">
        <v>790</v>
      </c>
      <c r="Q195" s="2" t="s">
        <v>1652</v>
      </c>
      <c r="R195" s="2" t="s">
        <v>40</v>
      </c>
      <c r="S195" s="2" t="s">
        <v>1653</v>
      </c>
      <c r="T195" s="2" t="s">
        <v>793</v>
      </c>
      <c r="U195" s="2" t="s">
        <v>1654</v>
      </c>
      <c r="V195" s="2" t="s">
        <v>1655</v>
      </c>
      <c r="W195" s="1"/>
      <c r="X195" s="2" t="s">
        <v>796</v>
      </c>
      <c r="Y195" s="2" t="s">
        <v>1543</v>
      </c>
      <c r="AA195" t="str">
        <f t="shared" si="12"/>
        <v>2026-06</v>
      </c>
      <c r="AB195" t="str">
        <f t="shared" si="13"/>
        <v>H1_2026</v>
      </c>
      <c r="AC195">
        <f t="shared" si="14"/>
        <v>316802.5</v>
      </c>
      <c r="AD195">
        <f t="shared" si="15"/>
        <v>250</v>
      </c>
      <c r="AE195">
        <f t="shared" si="16"/>
        <v>66802.5</v>
      </c>
      <c r="AF195" t="str">
        <f t="shared" si="17"/>
        <v>Paid</v>
      </c>
    </row>
    <row r="196" spans="1:32" ht="17.25" thickBot="1" x14ac:dyDescent="0.35">
      <c r="A196" s="2" t="s">
        <v>1104</v>
      </c>
      <c r="B196" s="2" t="s">
        <v>27</v>
      </c>
      <c r="C196" s="2" t="s">
        <v>28</v>
      </c>
      <c r="D196" s="2" t="s">
        <v>97</v>
      </c>
      <c r="E196" s="2" t="s">
        <v>1515</v>
      </c>
      <c r="F196" s="2" t="s">
        <v>99</v>
      </c>
      <c r="G196" s="2" t="s">
        <v>32</v>
      </c>
      <c r="H196" s="1"/>
      <c r="I196" s="2" t="s">
        <v>33</v>
      </c>
      <c r="J196" s="2" t="s">
        <v>34</v>
      </c>
      <c r="K196" s="2" t="s">
        <v>798</v>
      </c>
      <c r="L196" s="2" t="s">
        <v>799</v>
      </c>
      <c r="M196" s="2" t="s">
        <v>772</v>
      </c>
      <c r="N196" s="2" t="s">
        <v>38</v>
      </c>
      <c r="O196" s="2" t="s">
        <v>773</v>
      </c>
      <c r="P196" s="2" t="s">
        <v>801</v>
      </c>
      <c r="Q196" s="2" t="s">
        <v>1656</v>
      </c>
      <c r="R196" s="2" t="s">
        <v>40</v>
      </c>
      <c r="S196" s="2" t="s">
        <v>1657</v>
      </c>
      <c r="T196" s="2" t="s">
        <v>287</v>
      </c>
      <c r="U196" s="2" t="s">
        <v>777</v>
      </c>
      <c r="V196" s="2" t="s">
        <v>1658</v>
      </c>
      <c r="W196" s="1"/>
      <c r="X196" s="2" t="s">
        <v>806</v>
      </c>
      <c r="Y196" s="2" t="s">
        <v>1543</v>
      </c>
      <c r="AA196" t="str">
        <f t="shared" ref="AA196:AA259" si="18">LEFT(E196,7)</f>
        <v>2026-06</v>
      </c>
      <c r="AB196" t="str">
        <f t="shared" ref="AB196:AB259" si="19">IF(AND($AA196&gt;="2025-01",$AA196&lt;="2025-06"),"H1_2025",IF(AND($AA196&gt;="2026-01",$AA196&lt;="2026-06"),"H1_2026",""))</f>
        <v>H1_2026</v>
      </c>
      <c r="AC196">
        <f t="shared" ref="AC196:AC259" si="20">IFERROR(VALUE(SUBSTITUTE(S196,",","")),0)</f>
        <v>1880186</v>
      </c>
      <c r="AD196">
        <f t="shared" ref="AD196:AD259" si="21">IFERROR(VALUE(SUBSTITUTE(O196,",","")),0)</f>
        <v>200</v>
      </c>
      <c r="AE196">
        <f t="shared" ref="AE196:AE259" si="22">IFERROR(VALUE(SUBSTITUTE(V196,",","")),0)</f>
        <v>480186</v>
      </c>
      <c r="AF196" t="str">
        <f t="shared" ref="AF196:AF259" si="23">IF(ISNUMBER(SEARCH("FOC",W196)),"FOC",IF(ISNUMBER(SEARCH("샘플",W196)),"Sample","Paid"))</f>
        <v>Paid</v>
      </c>
    </row>
    <row r="197" spans="1:32" ht="17.25" thickBot="1" x14ac:dyDescent="0.35">
      <c r="A197" s="2" t="s">
        <v>1659</v>
      </c>
      <c r="B197" s="2" t="s">
        <v>27</v>
      </c>
      <c r="C197" s="2" t="s">
        <v>28</v>
      </c>
      <c r="D197" s="2" t="s">
        <v>97</v>
      </c>
      <c r="E197" s="2" t="s">
        <v>1515</v>
      </c>
      <c r="F197" s="2" t="s">
        <v>99</v>
      </c>
      <c r="G197" s="2" t="s">
        <v>32</v>
      </c>
      <c r="H197" s="1"/>
      <c r="I197" s="2" t="s">
        <v>33</v>
      </c>
      <c r="J197" s="2" t="s">
        <v>34</v>
      </c>
      <c r="K197" s="2" t="s">
        <v>819</v>
      </c>
      <c r="L197" s="2" t="s">
        <v>820</v>
      </c>
      <c r="M197" s="2" t="s">
        <v>772</v>
      </c>
      <c r="N197" s="2" t="s">
        <v>38</v>
      </c>
      <c r="O197" s="2" t="s">
        <v>493</v>
      </c>
      <c r="P197" s="2" t="s">
        <v>822</v>
      </c>
      <c r="Q197" s="2" t="s">
        <v>1660</v>
      </c>
      <c r="R197" s="2" t="s">
        <v>40</v>
      </c>
      <c r="S197" s="2" t="s">
        <v>1661</v>
      </c>
      <c r="T197" s="2" t="s">
        <v>297</v>
      </c>
      <c r="U197" s="2" t="s">
        <v>1662</v>
      </c>
      <c r="V197" s="2" t="s">
        <v>1663</v>
      </c>
      <c r="W197" s="1"/>
      <c r="X197" s="2" t="s">
        <v>827</v>
      </c>
      <c r="Y197" s="2" t="s">
        <v>1543</v>
      </c>
      <c r="AA197" t="str">
        <f t="shared" si="18"/>
        <v>2026-06</v>
      </c>
      <c r="AB197" t="str">
        <f t="shared" si="19"/>
        <v>H1_2026</v>
      </c>
      <c r="AC197">
        <f t="shared" si="20"/>
        <v>4233070.8</v>
      </c>
      <c r="AD197">
        <f t="shared" si="21"/>
        <v>420</v>
      </c>
      <c r="AE197">
        <f t="shared" si="22"/>
        <v>873070.8</v>
      </c>
      <c r="AF197" t="str">
        <f t="shared" si="23"/>
        <v>Paid</v>
      </c>
    </row>
    <row r="198" spans="1:32" ht="17.25" thickBot="1" x14ac:dyDescent="0.35">
      <c r="A198" s="2" t="s">
        <v>1664</v>
      </c>
      <c r="B198" s="2" t="s">
        <v>27</v>
      </c>
      <c r="C198" s="2" t="s">
        <v>28</v>
      </c>
      <c r="D198" s="2" t="s">
        <v>97</v>
      </c>
      <c r="E198" s="2" t="s">
        <v>1515</v>
      </c>
      <c r="F198" s="2" t="s">
        <v>99</v>
      </c>
      <c r="G198" s="2" t="s">
        <v>32</v>
      </c>
      <c r="H198" s="1"/>
      <c r="I198" s="2" t="s">
        <v>33</v>
      </c>
      <c r="J198" s="2" t="s">
        <v>34</v>
      </c>
      <c r="K198" s="2" t="s">
        <v>829</v>
      </c>
      <c r="L198" s="2" t="s">
        <v>830</v>
      </c>
      <c r="M198" s="2" t="s">
        <v>772</v>
      </c>
      <c r="N198" s="2" t="s">
        <v>38</v>
      </c>
      <c r="O198" s="2" t="s">
        <v>779</v>
      </c>
      <c r="P198" s="2" t="s">
        <v>832</v>
      </c>
      <c r="Q198" s="2" t="s">
        <v>1665</v>
      </c>
      <c r="R198" s="2" t="s">
        <v>40</v>
      </c>
      <c r="S198" s="2" t="s">
        <v>1666</v>
      </c>
      <c r="T198" s="2" t="s">
        <v>835</v>
      </c>
      <c r="U198" s="2" t="s">
        <v>1667</v>
      </c>
      <c r="V198" s="2" t="s">
        <v>1668</v>
      </c>
      <c r="W198" s="1"/>
      <c r="X198" s="2" t="s">
        <v>838</v>
      </c>
      <c r="Y198" s="2" t="s">
        <v>1543</v>
      </c>
      <c r="AA198" t="str">
        <f t="shared" si="18"/>
        <v>2026-06</v>
      </c>
      <c r="AB198" t="str">
        <f t="shared" si="19"/>
        <v>H1_2026</v>
      </c>
      <c r="AC198">
        <f t="shared" si="20"/>
        <v>1245254.8500000001</v>
      </c>
      <c r="AD198">
        <f t="shared" si="21"/>
        <v>90</v>
      </c>
      <c r="AE198">
        <f t="shared" si="22"/>
        <v>260204.85</v>
      </c>
      <c r="AF198" t="str">
        <f t="shared" si="23"/>
        <v>Paid</v>
      </c>
    </row>
    <row r="199" spans="1:32" ht="17.25" thickBot="1" x14ac:dyDescent="0.35">
      <c r="A199" s="2" t="s">
        <v>1669</v>
      </c>
      <c r="B199" s="2" t="s">
        <v>27</v>
      </c>
      <c r="C199" s="2" t="s">
        <v>28</v>
      </c>
      <c r="D199" s="2" t="s">
        <v>97</v>
      </c>
      <c r="E199" s="2" t="s">
        <v>1515</v>
      </c>
      <c r="F199" s="2" t="s">
        <v>99</v>
      </c>
      <c r="G199" s="2" t="s">
        <v>32</v>
      </c>
      <c r="H199" s="1"/>
      <c r="I199" s="2" t="s">
        <v>33</v>
      </c>
      <c r="J199" s="2" t="s">
        <v>34</v>
      </c>
      <c r="K199" s="2" t="s">
        <v>868</v>
      </c>
      <c r="L199" s="2" t="s">
        <v>869</v>
      </c>
      <c r="M199" s="2" t="s">
        <v>772</v>
      </c>
      <c r="N199" s="2" t="s">
        <v>38</v>
      </c>
      <c r="O199" s="2" t="s">
        <v>391</v>
      </c>
      <c r="P199" s="2" t="s">
        <v>870</v>
      </c>
      <c r="Q199" s="2" t="s">
        <v>1670</v>
      </c>
      <c r="R199" s="2" t="s">
        <v>40</v>
      </c>
      <c r="S199" s="2" t="s">
        <v>1671</v>
      </c>
      <c r="T199" s="2" t="s">
        <v>873</v>
      </c>
      <c r="U199" s="2" t="s">
        <v>1672</v>
      </c>
      <c r="V199" s="2" t="s">
        <v>1673</v>
      </c>
      <c r="W199" s="1"/>
      <c r="X199" s="2" t="s">
        <v>876</v>
      </c>
      <c r="Y199" s="2" t="s">
        <v>1543</v>
      </c>
      <c r="AA199" t="str">
        <f t="shared" si="18"/>
        <v>2026-06</v>
      </c>
      <c r="AB199" t="str">
        <f t="shared" si="19"/>
        <v>H1_2026</v>
      </c>
      <c r="AC199">
        <f t="shared" si="20"/>
        <v>753253.2</v>
      </c>
      <c r="AD199">
        <f t="shared" si="21"/>
        <v>60</v>
      </c>
      <c r="AE199">
        <f t="shared" si="22"/>
        <v>252853.2</v>
      </c>
      <c r="AF199" t="str">
        <f t="shared" si="23"/>
        <v>Paid</v>
      </c>
    </row>
    <row r="200" spans="1:32" ht="17.25" thickBot="1" x14ac:dyDescent="0.35">
      <c r="A200" s="2" t="s">
        <v>1674</v>
      </c>
      <c r="B200" s="2" t="s">
        <v>27</v>
      </c>
      <c r="C200" s="2" t="s">
        <v>28</v>
      </c>
      <c r="D200" s="2" t="s">
        <v>97</v>
      </c>
      <c r="E200" s="2" t="s">
        <v>1515</v>
      </c>
      <c r="F200" s="2" t="s">
        <v>99</v>
      </c>
      <c r="G200" s="2" t="s">
        <v>32</v>
      </c>
      <c r="H200" s="1"/>
      <c r="I200" s="2" t="s">
        <v>33</v>
      </c>
      <c r="J200" s="2" t="s">
        <v>34</v>
      </c>
      <c r="K200" s="2" t="s">
        <v>926</v>
      </c>
      <c r="L200" s="2" t="s">
        <v>927</v>
      </c>
      <c r="M200" s="2" t="s">
        <v>772</v>
      </c>
      <c r="N200" s="2" t="s">
        <v>38</v>
      </c>
      <c r="O200" s="2" t="s">
        <v>114</v>
      </c>
      <c r="P200" s="2" t="s">
        <v>801</v>
      </c>
      <c r="Q200" s="2" t="s">
        <v>1675</v>
      </c>
      <c r="R200" s="2" t="s">
        <v>40</v>
      </c>
      <c r="S200" s="2" t="s">
        <v>1676</v>
      </c>
      <c r="T200" s="2" t="s">
        <v>931</v>
      </c>
      <c r="U200" s="2" t="s">
        <v>1677</v>
      </c>
      <c r="V200" s="2" t="s">
        <v>1678</v>
      </c>
      <c r="W200" s="1"/>
      <c r="X200" s="2" t="s">
        <v>934</v>
      </c>
      <c r="Y200" s="2" t="s">
        <v>1543</v>
      </c>
      <c r="AA200" t="str">
        <f t="shared" si="18"/>
        <v>2026-06</v>
      </c>
      <c r="AB200" t="str">
        <f t="shared" si="19"/>
        <v>H1_2026</v>
      </c>
      <c r="AC200">
        <f t="shared" si="20"/>
        <v>2256223.2000000002</v>
      </c>
      <c r="AD200">
        <f t="shared" si="21"/>
        <v>240</v>
      </c>
      <c r="AE200">
        <f t="shared" si="22"/>
        <v>552223.19999999995</v>
      </c>
      <c r="AF200" t="str">
        <f t="shared" si="23"/>
        <v>Paid</v>
      </c>
    </row>
    <row r="201" spans="1:32" ht="17.25" thickBot="1" x14ac:dyDescent="0.35">
      <c r="A201" s="2" t="s">
        <v>1679</v>
      </c>
      <c r="B201" s="2" t="s">
        <v>27</v>
      </c>
      <c r="C201" s="2" t="s">
        <v>28</v>
      </c>
      <c r="D201" s="2" t="s">
        <v>97</v>
      </c>
      <c r="E201" s="2" t="s">
        <v>1515</v>
      </c>
      <c r="F201" s="2" t="s">
        <v>99</v>
      </c>
      <c r="G201" s="2" t="s">
        <v>32</v>
      </c>
      <c r="H201" s="1"/>
      <c r="I201" s="2" t="s">
        <v>33</v>
      </c>
      <c r="J201" s="2" t="s">
        <v>34</v>
      </c>
      <c r="K201" s="2" t="s">
        <v>1074</v>
      </c>
      <c r="L201" s="2" t="s">
        <v>1075</v>
      </c>
      <c r="M201" s="2" t="s">
        <v>772</v>
      </c>
      <c r="N201" s="2" t="s">
        <v>38</v>
      </c>
      <c r="O201" s="2" t="s">
        <v>159</v>
      </c>
      <c r="P201" s="2" t="s">
        <v>1076</v>
      </c>
      <c r="Q201" s="2" t="s">
        <v>1680</v>
      </c>
      <c r="R201" s="2" t="s">
        <v>40</v>
      </c>
      <c r="S201" s="2" t="s">
        <v>1681</v>
      </c>
      <c r="T201" s="2" t="s">
        <v>1079</v>
      </c>
      <c r="U201" s="2" t="s">
        <v>1682</v>
      </c>
      <c r="V201" s="2" t="s">
        <v>1683</v>
      </c>
      <c r="W201" s="1"/>
      <c r="X201" s="2" t="s">
        <v>1082</v>
      </c>
      <c r="Y201" s="2" t="s">
        <v>1543</v>
      </c>
      <c r="AA201" t="str">
        <f t="shared" si="18"/>
        <v>2026-06</v>
      </c>
      <c r="AB201" t="str">
        <f t="shared" si="19"/>
        <v>H1_2026</v>
      </c>
      <c r="AC201">
        <f t="shared" si="20"/>
        <v>805120.4</v>
      </c>
      <c r="AD201">
        <f t="shared" si="21"/>
        <v>80</v>
      </c>
      <c r="AE201">
        <f t="shared" si="22"/>
        <v>189920.4</v>
      </c>
      <c r="AF201" t="str">
        <f t="shared" si="23"/>
        <v>Paid</v>
      </c>
    </row>
    <row r="202" spans="1:32" ht="17.25" thickBot="1" x14ac:dyDescent="0.35">
      <c r="A202" s="2" t="s">
        <v>773</v>
      </c>
      <c r="B202" s="2" t="s">
        <v>27</v>
      </c>
      <c r="C202" s="2" t="s">
        <v>28</v>
      </c>
      <c r="D202" s="2" t="s">
        <v>97</v>
      </c>
      <c r="E202" s="2" t="s">
        <v>1515</v>
      </c>
      <c r="F202" s="2" t="s">
        <v>99</v>
      </c>
      <c r="G202" s="2" t="s">
        <v>32</v>
      </c>
      <c r="H202" s="1"/>
      <c r="I202" s="2" t="s">
        <v>33</v>
      </c>
      <c r="J202" s="2" t="s">
        <v>34</v>
      </c>
      <c r="K202" s="2" t="s">
        <v>1684</v>
      </c>
      <c r="L202" s="2" t="s">
        <v>1685</v>
      </c>
      <c r="M202" s="2" t="s">
        <v>1686</v>
      </c>
      <c r="N202" s="2" t="s">
        <v>38</v>
      </c>
      <c r="O202" s="2" t="s">
        <v>857</v>
      </c>
      <c r="P202" s="2" t="s">
        <v>1687</v>
      </c>
      <c r="Q202" s="2" t="s">
        <v>1688</v>
      </c>
      <c r="R202" s="2" t="s">
        <v>40</v>
      </c>
      <c r="S202" s="2" t="s">
        <v>1689</v>
      </c>
      <c r="T202" s="2" t="s">
        <v>1690</v>
      </c>
      <c r="U202" s="2" t="s">
        <v>1691</v>
      </c>
      <c r="V202" s="2" t="s">
        <v>1692</v>
      </c>
      <c r="W202" s="1"/>
      <c r="X202" s="2" t="s">
        <v>1693</v>
      </c>
      <c r="Y202" s="2" t="s">
        <v>1543</v>
      </c>
      <c r="AA202" t="str">
        <f t="shared" si="18"/>
        <v>2026-06</v>
      </c>
      <c r="AB202" t="str">
        <f t="shared" si="19"/>
        <v>H1_2026</v>
      </c>
      <c r="AC202">
        <f t="shared" si="20"/>
        <v>632485.14</v>
      </c>
      <c r="AD202">
        <f t="shared" si="21"/>
        <v>98</v>
      </c>
      <c r="AE202">
        <f t="shared" si="22"/>
        <v>106848.78</v>
      </c>
      <c r="AF202" t="str">
        <f t="shared" si="23"/>
        <v>Paid</v>
      </c>
    </row>
    <row r="203" spans="1:32" ht="17.25" thickBot="1" x14ac:dyDescent="0.35">
      <c r="A203" s="2" t="s">
        <v>1694</v>
      </c>
      <c r="B203" s="2" t="s">
        <v>27</v>
      </c>
      <c r="C203" s="2" t="s">
        <v>28</v>
      </c>
      <c r="D203" s="2" t="s">
        <v>97</v>
      </c>
      <c r="E203" s="2" t="s">
        <v>1515</v>
      </c>
      <c r="F203" s="2" t="s">
        <v>99</v>
      </c>
      <c r="G203" s="2" t="s">
        <v>32</v>
      </c>
      <c r="H203" s="1"/>
      <c r="I203" s="2" t="s">
        <v>33</v>
      </c>
      <c r="J203" s="2" t="s">
        <v>34</v>
      </c>
      <c r="K203" s="2" t="s">
        <v>1695</v>
      </c>
      <c r="L203" s="2" t="s">
        <v>1696</v>
      </c>
      <c r="M203" s="2" t="s">
        <v>1686</v>
      </c>
      <c r="N203" s="2" t="s">
        <v>38</v>
      </c>
      <c r="O203" s="2" t="s">
        <v>79</v>
      </c>
      <c r="P203" s="2" t="s">
        <v>1697</v>
      </c>
      <c r="Q203" s="2" t="s">
        <v>1698</v>
      </c>
      <c r="R203" s="2" t="s">
        <v>40</v>
      </c>
      <c r="S203" s="2" t="s">
        <v>1699</v>
      </c>
      <c r="T203" s="2" t="s">
        <v>1700</v>
      </c>
      <c r="U203" s="2" t="s">
        <v>1701</v>
      </c>
      <c r="V203" s="2" t="s">
        <v>1702</v>
      </c>
      <c r="W203" s="1"/>
      <c r="X203" s="2" t="s">
        <v>1082</v>
      </c>
      <c r="Y203" s="2" t="s">
        <v>1543</v>
      </c>
      <c r="AA203" t="str">
        <f t="shared" si="18"/>
        <v>2026-06</v>
      </c>
      <c r="AB203" t="str">
        <f t="shared" si="19"/>
        <v>H1_2026</v>
      </c>
      <c r="AC203">
        <f t="shared" si="20"/>
        <v>49951.65</v>
      </c>
      <c r="AD203">
        <f t="shared" si="21"/>
        <v>10</v>
      </c>
      <c r="AE203">
        <f t="shared" si="22"/>
        <v>11769.83</v>
      </c>
      <c r="AF203" t="str">
        <f t="shared" si="23"/>
        <v>Paid</v>
      </c>
    </row>
    <row r="204" spans="1:32" ht="17.25" thickBot="1" x14ac:dyDescent="0.35">
      <c r="A204" s="2" t="s">
        <v>1703</v>
      </c>
      <c r="B204" s="2" t="s">
        <v>27</v>
      </c>
      <c r="C204" s="2" t="s">
        <v>28</v>
      </c>
      <c r="D204" s="2" t="s">
        <v>97</v>
      </c>
      <c r="E204" s="2" t="s">
        <v>1515</v>
      </c>
      <c r="F204" s="2" t="s">
        <v>99</v>
      </c>
      <c r="G204" s="2" t="s">
        <v>32</v>
      </c>
      <c r="H204" s="1"/>
      <c r="I204" s="2" t="s">
        <v>33</v>
      </c>
      <c r="J204" s="2" t="s">
        <v>34</v>
      </c>
      <c r="K204" s="2" t="s">
        <v>1704</v>
      </c>
      <c r="L204" s="2" t="s">
        <v>1705</v>
      </c>
      <c r="M204" s="2" t="s">
        <v>37</v>
      </c>
      <c r="N204" s="2" t="s">
        <v>38</v>
      </c>
      <c r="O204" s="2" t="s">
        <v>141</v>
      </c>
      <c r="P204" s="2" t="s">
        <v>1706</v>
      </c>
      <c r="Q204" s="2" t="s">
        <v>1707</v>
      </c>
      <c r="R204" s="2" t="s">
        <v>40</v>
      </c>
      <c r="S204" s="2" t="s">
        <v>1708</v>
      </c>
      <c r="T204" s="2" t="s">
        <v>1709</v>
      </c>
      <c r="U204" s="2" t="s">
        <v>1710</v>
      </c>
      <c r="V204" s="2" t="s">
        <v>1711</v>
      </c>
      <c r="W204" s="1"/>
      <c r="X204" s="2" t="s">
        <v>1100</v>
      </c>
      <c r="Y204" s="2" t="s">
        <v>1543</v>
      </c>
      <c r="AA204" t="str">
        <f t="shared" si="18"/>
        <v>2026-06</v>
      </c>
      <c r="AB204" t="str">
        <f t="shared" si="19"/>
        <v>H1_2026</v>
      </c>
      <c r="AC204">
        <f t="shared" si="20"/>
        <v>100787.4</v>
      </c>
      <c r="AD204">
        <f t="shared" si="21"/>
        <v>30</v>
      </c>
      <c r="AE204">
        <f t="shared" si="22"/>
        <v>16787.400000000001</v>
      </c>
      <c r="AF204" t="str">
        <f t="shared" si="23"/>
        <v>Paid</v>
      </c>
    </row>
    <row r="205" spans="1:32" ht="17.25" thickBot="1" x14ac:dyDescent="0.35">
      <c r="A205" s="2" t="s">
        <v>1293</v>
      </c>
      <c r="B205" s="2" t="s">
        <v>27</v>
      </c>
      <c r="C205" s="2" t="s">
        <v>28</v>
      </c>
      <c r="D205" s="2" t="s">
        <v>97</v>
      </c>
      <c r="E205" s="2" t="s">
        <v>1515</v>
      </c>
      <c r="F205" s="2" t="s">
        <v>99</v>
      </c>
      <c r="G205" s="2" t="s">
        <v>32</v>
      </c>
      <c r="H205" s="1"/>
      <c r="I205" s="2" t="s">
        <v>33</v>
      </c>
      <c r="J205" s="2" t="s">
        <v>34</v>
      </c>
      <c r="K205" s="2" t="s">
        <v>1156</v>
      </c>
      <c r="L205" s="2" t="s">
        <v>1157</v>
      </c>
      <c r="M205" s="2" t="s">
        <v>37</v>
      </c>
      <c r="N205" s="2" t="s">
        <v>38</v>
      </c>
      <c r="O205" s="2" t="s">
        <v>214</v>
      </c>
      <c r="P205" s="2" t="s">
        <v>392</v>
      </c>
      <c r="Q205" s="2" t="s">
        <v>1712</v>
      </c>
      <c r="R205" s="2" t="s">
        <v>40</v>
      </c>
      <c r="S205" s="2" t="s">
        <v>1713</v>
      </c>
      <c r="T205" s="2" t="s">
        <v>1161</v>
      </c>
      <c r="U205" s="2" t="s">
        <v>1714</v>
      </c>
      <c r="V205" s="2" t="s">
        <v>1715</v>
      </c>
      <c r="W205" s="1"/>
      <c r="X205" s="2" t="s">
        <v>806</v>
      </c>
      <c r="Y205" s="2" t="s">
        <v>1543</v>
      </c>
      <c r="AA205" t="str">
        <f t="shared" si="18"/>
        <v>2026-06</v>
      </c>
      <c r="AB205" t="str">
        <f t="shared" si="19"/>
        <v>H1_2026</v>
      </c>
      <c r="AC205">
        <f t="shared" si="20"/>
        <v>705069.75</v>
      </c>
      <c r="AD205">
        <f t="shared" si="21"/>
        <v>50</v>
      </c>
      <c r="AE205">
        <f t="shared" si="22"/>
        <v>180069.75</v>
      </c>
      <c r="AF205" t="str">
        <f t="shared" si="23"/>
        <v>Paid</v>
      </c>
    </row>
    <row r="206" spans="1:32" ht="17.25" thickBot="1" x14ac:dyDescent="0.35">
      <c r="A206" s="2" t="s">
        <v>1716</v>
      </c>
      <c r="B206" s="2" t="s">
        <v>27</v>
      </c>
      <c r="C206" s="2" t="s">
        <v>28</v>
      </c>
      <c r="D206" s="2" t="s">
        <v>97</v>
      </c>
      <c r="E206" s="2" t="s">
        <v>1515</v>
      </c>
      <c r="F206" s="2" t="s">
        <v>99</v>
      </c>
      <c r="G206" s="2" t="s">
        <v>32</v>
      </c>
      <c r="H206" s="1"/>
      <c r="I206" s="2" t="s">
        <v>33</v>
      </c>
      <c r="J206" s="2" t="s">
        <v>34</v>
      </c>
      <c r="K206" s="2" t="s">
        <v>1173</v>
      </c>
      <c r="L206" s="2" t="s">
        <v>1174</v>
      </c>
      <c r="M206" s="2" t="s">
        <v>37</v>
      </c>
      <c r="N206" s="2" t="s">
        <v>38</v>
      </c>
      <c r="O206" s="2" t="s">
        <v>214</v>
      </c>
      <c r="P206" s="2" t="s">
        <v>1175</v>
      </c>
      <c r="Q206" s="2" t="s">
        <v>1717</v>
      </c>
      <c r="R206" s="2" t="s">
        <v>40</v>
      </c>
      <c r="S206" s="2" t="s">
        <v>1718</v>
      </c>
      <c r="T206" s="2" t="s">
        <v>1178</v>
      </c>
      <c r="U206" s="2" t="s">
        <v>1719</v>
      </c>
      <c r="V206" s="2" t="s">
        <v>1720</v>
      </c>
      <c r="W206" s="1"/>
      <c r="X206" s="2" t="s">
        <v>1100</v>
      </c>
      <c r="Y206" s="2" t="s">
        <v>1543</v>
      </c>
      <c r="AA206" t="str">
        <f t="shared" si="18"/>
        <v>2026-06</v>
      </c>
      <c r="AB206" t="str">
        <f t="shared" si="19"/>
        <v>H1_2026</v>
      </c>
      <c r="AC206">
        <f t="shared" si="20"/>
        <v>461942.25</v>
      </c>
      <c r="AD206">
        <f t="shared" si="21"/>
        <v>50</v>
      </c>
      <c r="AE206">
        <f t="shared" si="22"/>
        <v>76942.25</v>
      </c>
      <c r="AF206" t="str">
        <f t="shared" si="23"/>
        <v>Paid</v>
      </c>
    </row>
    <row r="207" spans="1:32" ht="17.25" thickBot="1" x14ac:dyDescent="0.35">
      <c r="A207" s="2" t="s">
        <v>1721</v>
      </c>
      <c r="B207" s="2" t="s">
        <v>27</v>
      </c>
      <c r="C207" s="2" t="s">
        <v>28</v>
      </c>
      <c r="D207" s="2" t="s">
        <v>97</v>
      </c>
      <c r="E207" s="2" t="s">
        <v>1515</v>
      </c>
      <c r="F207" s="2" t="s">
        <v>99</v>
      </c>
      <c r="G207" s="2" t="s">
        <v>32</v>
      </c>
      <c r="H207" s="1"/>
      <c r="I207" s="2" t="s">
        <v>33</v>
      </c>
      <c r="J207" s="2" t="s">
        <v>34</v>
      </c>
      <c r="K207" s="2" t="s">
        <v>1182</v>
      </c>
      <c r="L207" s="2" t="s">
        <v>1183</v>
      </c>
      <c r="M207" s="2" t="s">
        <v>37</v>
      </c>
      <c r="N207" s="2" t="s">
        <v>38</v>
      </c>
      <c r="O207" s="2" t="s">
        <v>645</v>
      </c>
      <c r="P207" s="2" t="s">
        <v>1105</v>
      </c>
      <c r="Q207" s="2" t="s">
        <v>1722</v>
      </c>
      <c r="R207" s="2" t="s">
        <v>40</v>
      </c>
      <c r="S207" s="2" t="s">
        <v>1723</v>
      </c>
      <c r="T207" s="2" t="s">
        <v>107</v>
      </c>
      <c r="U207" s="2" t="s">
        <v>1724</v>
      </c>
      <c r="V207" s="2" t="s">
        <v>1725</v>
      </c>
      <c r="W207" s="1"/>
      <c r="X207" s="2" t="s">
        <v>1100</v>
      </c>
      <c r="Y207" s="2" t="s">
        <v>1543</v>
      </c>
      <c r="AA207" t="str">
        <f t="shared" si="18"/>
        <v>2026-06</v>
      </c>
      <c r="AB207" t="str">
        <f t="shared" si="19"/>
        <v>H1_2026</v>
      </c>
      <c r="AC207">
        <f t="shared" si="20"/>
        <v>1142257.2</v>
      </c>
      <c r="AD207">
        <f t="shared" si="21"/>
        <v>170</v>
      </c>
      <c r="AE207">
        <f t="shared" si="22"/>
        <v>190257.2</v>
      </c>
      <c r="AF207" t="str">
        <f t="shared" si="23"/>
        <v>Paid</v>
      </c>
    </row>
    <row r="208" spans="1:32" ht="17.25" thickBot="1" x14ac:dyDescent="0.35">
      <c r="A208" s="2" t="s">
        <v>1726</v>
      </c>
      <c r="B208" s="2" t="s">
        <v>27</v>
      </c>
      <c r="C208" s="2" t="s">
        <v>28</v>
      </c>
      <c r="D208" s="2" t="s">
        <v>97</v>
      </c>
      <c r="E208" s="2" t="s">
        <v>1515</v>
      </c>
      <c r="F208" s="2" t="s">
        <v>99</v>
      </c>
      <c r="G208" s="2" t="s">
        <v>32</v>
      </c>
      <c r="H208" s="1"/>
      <c r="I208" s="2" t="s">
        <v>33</v>
      </c>
      <c r="J208" s="2" t="s">
        <v>34</v>
      </c>
      <c r="K208" s="2" t="s">
        <v>1224</v>
      </c>
      <c r="L208" s="2" t="s">
        <v>1225</v>
      </c>
      <c r="M208" s="2" t="s">
        <v>37</v>
      </c>
      <c r="N208" s="2" t="s">
        <v>38</v>
      </c>
      <c r="O208" s="2" t="s">
        <v>214</v>
      </c>
      <c r="P208" s="2" t="s">
        <v>1095</v>
      </c>
      <c r="Q208" s="2" t="s">
        <v>1727</v>
      </c>
      <c r="R208" s="2" t="s">
        <v>40</v>
      </c>
      <c r="S208" s="2" t="s">
        <v>1728</v>
      </c>
      <c r="T208" s="2" t="s">
        <v>126</v>
      </c>
      <c r="U208" s="2" t="s">
        <v>1729</v>
      </c>
      <c r="V208" s="2" t="s">
        <v>1730</v>
      </c>
      <c r="W208" s="1"/>
      <c r="X208" s="2" t="s">
        <v>1100</v>
      </c>
      <c r="Y208" s="2" t="s">
        <v>1543</v>
      </c>
      <c r="AA208" t="str">
        <f t="shared" si="18"/>
        <v>2026-06</v>
      </c>
      <c r="AB208" t="str">
        <f t="shared" si="19"/>
        <v>H1_2026</v>
      </c>
      <c r="AC208">
        <f t="shared" si="20"/>
        <v>377952.75</v>
      </c>
      <c r="AD208">
        <f t="shared" si="21"/>
        <v>50</v>
      </c>
      <c r="AE208">
        <f t="shared" si="22"/>
        <v>62952.75</v>
      </c>
      <c r="AF208" t="str">
        <f t="shared" si="23"/>
        <v>Paid</v>
      </c>
    </row>
    <row r="209" spans="1:32" ht="27.75" thickBot="1" x14ac:dyDescent="0.35">
      <c r="A209" s="2" t="s">
        <v>1731</v>
      </c>
      <c r="B209" s="2" t="s">
        <v>27</v>
      </c>
      <c r="C209" s="2" t="s">
        <v>28</v>
      </c>
      <c r="D209" s="2" t="s">
        <v>97</v>
      </c>
      <c r="E209" s="2" t="s">
        <v>1515</v>
      </c>
      <c r="F209" s="2" t="s">
        <v>99</v>
      </c>
      <c r="G209" s="2" t="s">
        <v>32</v>
      </c>
      <c r="H209" s="1"/>
      <c r="I209" s="2" t="s">
        <v>33</v>
      </c>
      <c r="J209" s="2" t="s">
        <v>34</v>
      </c>
      <c r="K209" s="2" t="s">
        <v>1231</v>
      </c>
      <c r="L209" s="2" t="s">
        <v>1232</v>
      </c>
      <c r="M209" s="2" t="s">
        <v>37</v>
      </c>
      <c r="N209" s="2" t="s">
        <v>38</v>
      </c>
      <c r="O209" s="2" t="s">
        <v>877</v>
      </c>
      <c r="P209" s="2" t="s">
        <v>1233</v>
      </c>
      <c r="Q209" s="2" t="s">
        <v>1732</v>
      </c>
      <c r="R209" s="2" t="s">
        <v>40</v>
      </c>
      <c r="S209" s="2" t="s">
        <v>1733</v>
      </c>
      <c r="T209" s="2" t="s">
        <v>1236</v>
      </c>
      <c r="U209" s="2" t="s">
        <v>1734</v>
      </c>
      <c r="V209" s="2" t="s">
        <v>1735</v>
      </c>
      <c r="W209" s="1"/>
      <c r="X209" s="2" t="s">
        <v>1239</v>
      </c>
      <c r="Y209" s="2" t="s">
        <v>1543</v>
      </c>
      <c r="AA209" t="str">
        <f t="shared" si="18"/>
        <v>2026-06</v>
      </c>
      <c r="AB209" t="str">
        <f t="shared" si="19"/>
        <v>H1_2026</v>
      </c>
      <c r="AC209">
        <f t="shared" si="20"/>
        <v>3275590.5</v>
      </c>
      <c r="AD209">
        <f t="shared" si="21"/>
        <v>100</v>
      </c>
      <c r="AE209">
        <f t="shared" si="22"/>
        <v>440590.5</v>
      </c>
      <c r="AF209" t="str">
        <f t="shared" si="23"/>
        <v>Paid</v>
      </c>
    </row>
    <row r="210" spans="1:32" ht="17.25" thickBot="1" x14ac:dyDescent="0.35">
      <c r="A210" s="2" t="s">
        <v>1736</v>
      </c>
      <c r="B210" s="2" t="s">
        <v>27</v>
      </c>
      <c r="C210" s="2" t="s">
        <v>28</v>
      </c>
      <c r="D210" s="2" t="s">
        <v>97</v>
      </c>
      <c r="E210" s="2" t="s">
        <v>1515</v>
      </c>
      <c r="F210" s="2" t="s">
        <v>99</v>
      </c>
      <c r="G210" s="2" t="s">
        <v>32</v>
      </c>
      <c r="H210" s="1"/>
      <c r="I210" s="2" t="s">
        <v>33</v>
      </c>
      <c r="J210" s="2" t="s">
        <v>34</v>
      </c>
      <c r="K210" s="2" t="s">
        <v>1325</v>
      </c>
      <c r="L210" s="2" t="s">
        <v>1326</v>
      </c>
      <c r="M210" s="2" t="s">
        <v>37</v>
      </c>
      <c r="N210" s="2" t="s">
        <v>38</v>
      </c>
      <c r="O210" s="2" t="s">
        <v>779</v>
      </c>
      <c r="P210" s="2" t="s">
        <v>822</v>
      </c>
      <c r="Q210" s="2" t="s">
        <v>1737</v>
      </c>
      <c r="R210" s="2" t="s">
        <v>40</v>
      </c>
      <c r="S210" s="2" t="s">
        <v>1738</v>
      </c>
      <c r="T210" s="2" t="s">
        <v>1329</v>
      </c>
      <c r="U210" s="2" t="s">
        <v>1739</v>
      </c>
      <c r="V210" s="2" t="s">
        <v>1740</v>
      </c>
      <c r="W210" s="1"/>
      <c r="X210" s="2" t="s">
        <v>1332</v>
      </c>
      <c r="Y210" s="2" t="s">
        <v>1543</v>
      </c>
      <c r="AA210" t="str">
        <f t="shared" si="18"/>
        <v>2026-06</v>
      </c>
      <c r="AB210" t="str">
        <f t="shared" si="19"/>
        <v>H1_2026</v>
      </c>
      <c r="AC210">
        <f t="shared" si="20"/>
        <v>907086.6</v>
      </c>
      <c r="AD210">
        <f t="shared" si="21"/>
        <v>90</v>
      </c>
      <c r="AE210">
        <f t="shared" si="22"/>
        <v>241086.6</v>
      </c>
      <c r="AF210" t="str">
        <f t="shared" si="23"/>
        <v>Paid</v>
      </c>
    </row>
    <row r="211" spans="1:32" ht="17.25" thickBot="1" x14ac:dyDescent="0.35">
      <c r="A211" s="2" t="s">
        <v>1741</v>
      </c>
      <c r="B211" s="2" t="s">
        <v>27</v>
      </c>
      <c r="C211" s="2" t="s">
        <v>28</v>
      </c>
      <c r="D211" s="2" t="s">
        <v>97</v>
      </c>
      <c r="E211" s="2" t="s">
        <v>1515</v>
      </c>
      <c r="F211" s="2" t="s">
        <v>99</v>
      </c>
      <c r="G211" s="2" t="s">
        <v>32</v>
      </c>
      <c r="H211" s="1"/>
      <c r="I211" s="2" t="s">
        <v>33</v>
      </c>
      <c r="J211" s="2" t="s">
        <v>34</v>
      </c>
      <c r="K211" s="2" t="s">
        <v>1742</v>
      </c>
      <c r="L211" s="2" t="s">
        <v>1743</v>
      </c>
      <c r="M211" s="2" t="s">
        <v>84</v>
      </c>
      <c r="N211" s="2" t="s">
        <v>38</v>
      </c>
      <c r="O211" s="2" t="s">
        <v>391</v>
      </c>
      <c r="P211" s="2" t="s">
        <v>1744</v>
      </c>
      <c r="Q211" s="2" t="s">
        <v>1745</v>
      </c>
      <c r="R211" s="2" t="s">
        <v>40</v>
      </c>
      <c r="S211" s="2" t="s">
        <v>1746</v>
      </c>
      <c r="T211" s="2" t="s">
        <v>1747</v>
      </c>
      <c r="U211" s="2" t="s">
        <v>1748</v>
      </c>
      <c r="V211" s="2" t="s">
        <v>1749</v>
      </c>
      <c r="W211" s="1"/>
      <c r="X211" s="2" t="s">
        <v>1457</v>
      </c>
      <c r="Y211" s="2" t="s">
        <v>1543</v>
      </c>
      <c r="AA211" t="str">
        <f t="shared" si="18"/>
        <v>2026-06</v>
      </c>
      <c r="AB211" t="str">
        <f t="shared" si="19"/>
        <v>H1_2026</v>
      </c>
      <c r="AC211">
        <f t="shared" si="20"/>
        <v>717889.2</v>
      </c>
      <c r="AD211">
        <f t="shared" si="21"/>
        <v>60</v>
      </c>
      <c r="AE211">
        <f t="shared" si="22"/>
        <v>177889.2</v>
      </c>
      <c r="AF211" t="str">
        <f t="shared" si="23"/>
        <v>Paid</v>
      </c>
    </row>
    <row r="212" spans="1:32" ht="17.25" thickBot="1" x14ac:dyDescent="0.35">
      <c r="A212" s="2" t="s">
        <v>665</v>
      </c>
      <c r="B212" s="2" t="s">
        <v>27</v>
      </c>
      <c r="C212" s="2" t="s">
        <v>28</v>
      </c>
      <c r="D212" s="2" t="s">
        <v>97</v>
      </c>
      <c r="E212" s="2" t="s">
        <v>1515</v>
      </c>
      <c r="F212" s="2" t="s">
        <v>99</v>
      </c>
      <c r="G212" s="2" t="s">
        <v>32</v>
      </c>
      <c r="H212" s="1"/>
      <c r="I212" s="2" t="s">
        <v>33</v>
      </c>
      <c r="J212" s="2" t="s">
        <v>34</v>
      </c>
      <c r="K212" s="2" t="s">
        <v>1377</v>
      </c>
      <c r="L212" s="2" t="s">
        <v>1378</v>
      </c>
      <c r="M212" s="2" t="s">
        <v>84</v>
      </c>
      <c r="N212" s="2" t="s">
        <v>38</v>
      </c>
      <c r="O212" s="2" t="s">
        <v>156</v>
      </c>
      <c r="P212" s="2" t="s">
        <v>1379</v>
      </c>
      <c r="Q212" s="2" t="s">
        <v>1750</v>
      </c>
      <c r="R212" s="2" t="s">
        <v>40</v>
      </c>
      <c r="S212" s="2" t="s">
        <v>1751</v>
      </c>
      <c r="T212" s="2" t="s">
        <v>1382</v>
      </c>
      <c r="U212" s="2" t="s">
        <v>1752</v>
      </c>
      <c r="V212" s="2" t="s">
        <v>1753</v>
      </c>
      <c r="W212" s="1"/>
      <c r="X212" s="2" t="s">
        <v>806</v>
      </c>
      <c r="Y212" s="2" t="s">
        <v>1543</v>
      </c>
      <c r="AA212" t="str">
        <f t="shared" si="18"/>
        <v>2026-06</v>
      </c>
      <c r="AB212" t="str">
        <f t="shared" si="19"/>
        <v>H1_2026</v>
      </c>
      <c r="AC212">
        <f t="shared" si="20"/>
        <v>132615</v>
      </c>
      <c r="AD212">
        <f t="shared" si="21"/>
        <v>20</v>
      </c>
      <c r="AE212">
        <f t="shared" si="22"/>
        <v>33815</v>
      </c>
      <c r="AF212" t="str">
        <f t="shared" si="23"/>
        <v>Paid</v>
      </c>
    </row>
    <row r="213" spans="1:32" ht="27.75" thickBot="1" x14ac:dyDescent="0.35">
      <c r="A213" s="2" t="s">
        <v>1754</v>
      </c>
      <c r="B213" s="2" t="s">
        <v>27</v>
      </c>
      <c r="C213" s="2" t="s">
        <v>28</v>
      </c>
      <c r="D213" s="2" t="s">
        <v>97</v>
      </c>
      <c r="E213" s="2" t="s">
        <v>1515</v>
      </c>
      <c r="F213" s="2" t="s">
        <v>99</v>
      </c>
      <c r="G213" s="2" t="s">
        <v>32</v>
      </c>
      <c r="H213" s="1"/>
      <c r="I213" s="2" t="s">
        <v>33</v>
      </c>
      <c r="J213" s="2" t="s">
        <v>34</v>
      </c>
      <c r="K213" s="2" t="s">
        <v>1755</v>
      </c>
      <c r="L213" s="2" t="s">
        <v>1756</v>
      </c>
      <c r="M213" s="2" t="s">
        <v>1757</v>
      </c>
      <c r="N213" s="2" t="s">
        <v>38</v>
      </c>
      <c r="O213" s="2" t="s">
        <v>214</v>
      </c>
      <c r="P213" s="2" t="s">
        <v>1758</v>
      </c>
      <c r="Q213" s="2" t="s">
        <v>1759</v>
      </c>
      <c r="R213" s="2" t="s">
        <v>40</v>
      </c>
      <c r="S213" s="2" t="s">
        <v>1760</v>
      </c>
      <c r="T213" s="2" t="s">
        <v>1761</v>
      </c>
      <c r="U213" s="2" t="s">
        <v>1762</v>
      </c>
      <c r="V213" s="2" t="s">
        <v>1763</v>
      </c>
      <c r="W213" s="1"/>
      <c r="X213" s="2" t="s">
        <v>1764</v>
      </c>
      <c r="Y213" s="2" t="s">
        <v>1543</v>
      </c>
      <c r="AA213" t="str">
        <f t="shared" si="18"/>
        <v>2026-06</v>
      </c>
      <c r="AB213" t="str">
        <f t="shared" si="19"/>
        <v>H1_2026</v>
      </c>
      <c r="AC213">
        <f t="shared" si="20"/>
        <v>341115.25</v>
      </c>
      <c r="AD213">
        <f t="shared" si="21"/>
        <v>50</v>
      </c>
      <c r="AE213">
        <f t="shared" si="22"/>
        <v>86569.8</v>
      </c>
      <c r="AF213" t="str">
        <f t="shared" si="23"/>
        <v>Paid</v>
      </c>
    </row>
    <row r="214" spans="1:32" ht="27.75" thickBot="1" x14ac:dyDescent="0.35">
      <c r="A214" s="2" t="s">
        <v>1765</v>
      </c>
      <c r="B214" s="2" t="s">
        <v>27</v>
      </c>
      <c r="C214" s="2" t="s">
        <v>28</v>
      </c>
      <c r="D214" s="2" t="s">
        <v>97</v>
      </c>
      <c r="E214" s="2" t="s">
        <v>1515</v>
      </c>
      <c r="F214" s="2" t="s">
        <v>99</v>
      </c>
      <c r="G214" s="2" t="s">
        <v>32</v>
      </c>
      <c r="H214" s="1"/>
      <c r="I214" s="2" t="s">
        <v>33</v>
      </c>
      <c r="J214" s="2" t="s">
        <v>34</v>
      </c>
      <c r="K214" s="2" t="s">
        <v>1766</v>
      </c>
      <c r="L214" s="2" t="s">
        <v>1767</v>
      </c>
      <c r="M214" s="2" t="s">
        <v>1757</v>
      </c>
      <c r="N214" s="2" t="s">
        <v>38</v>
      </c>
      <c r="O214" s="2" t="s">
        <v>849</v>
      </c>
      <c r="P214" s="2" t="s">
        <v>1768</v>
      </c>
      <c r="Q214" s="2" t="s">
        <v>1769</v>
      </c>
      <c r="R214" s="2" t="s">
        <v>40</v>
      </c>
      <c r="S214" s="2" t="s">
        <v>1770</v>
      </c>
      <c r="T214" s="2" t="s">
        <v>1771</v>
      </c>
      <c r="U214" s="2" t="s">
        <v>1772</v>
      </c>
      <c r="V214" s="2" t="s">
        <v>1773</v>
      </c>
      <c r="W214" s="1"/>
      <c r="X214" s="2" t="s">
        <v>1774</v>
      </c>
      <c r="Y214" s="2" t="s">
        <v>1543</v>
      </c>
      <c r="AA214" t="str">
        <f t="shared" si="18"/>
        <v>2026-06</v>
      </c>
      <c r="AB214" t="str">
        <f t="shared" si="19"/>
        <v>H1_2026</v>
      </c>
      <c r="AC214">
        <f t="shared" si="20"/>
        <v>1011410.4</v>
      </c>
      <c r="AD214">
        <f t="shared" si="21"/>
        <v>160</v>
      </c>
      <c r="AE214">
        <f t="shared" si="22"/>
        <v>240530.4</v>
      </c>
      <c r="AF214" t="str">
        <f t="shared" si="23"/>
        <v>Paid</v>
      </c>
    </row>
    <row r="215" spans="1:32" ht="27.75" thickBot="1" x14ac:dyDescent="0.35">
      <c r="A215" s="2" t="s">
        <v>1775</v>
      </c>
      <c r="B215" s="2" t="s">
        <v>27</v>
      </c>
      <c r="C215" s="2" t="s">
        <v>28</v>
      </c>
      <c r="D215" s="2" t="s">
        <v>97</v>
      </c>
      <c r="E215" s="2" t="s">
        <v>1515</v>
      </c>
      <c r="F215" s="2" t="s">
        <v>99</v>
      </c>
      <c r="G215" s="2" t="s">
        <v>32</v>
      </c>
      <c r="H215" s="1"/>
      <c r="I215" s="2" t="s">
        <v>33</v>
      </c>
      <c r="J215" s="2" t="s">
        <v>34</v>
      </c>
      <c r="K215" s="2" t="s">
        <v>1776</v>
      </c>
      <c r="L215" s="2" t="s">
        <v>1777</v>
      </c>
      <c r="M215" s="2" t="s">
        <v>1757</v>
      </c>
      <c r="N215" s="2" t="s">
        <v>38</v>
      </c>
      <c r="O215" s="2" t="s">
        <v>517</v>
      </c>
      <c r="P215" s="2" t="s">
        <v>1778</v>
      </c>
      <c r="Q215" s="2" t="s">
        <v>1779</v>
      </c>
      <c r="R215" s="2" t="s">
        <v>40</v>
      </c>
      <c r="S215" s="2" t="s">
        <v>1780</v>
      </c>
      <c r="T215" s="2" t="s">
        <v>1690</v>
      </c>
      <c r="U215" s="2" t="s">
        <v>1781</v>
      </c>
      <c r="V215" s="2" t="s">
        <v>1782</v>
      </c>
      <c r="W215" s="1"/>
      <c r="X215" s="2" t="s">
        <v>1357</v>
      </c>
      <c r="Y215" s="2" t="s">
        <v>1543</v>
      </c>
      <c r="AA215" t="str">
        <f t="shared" si="18"/>
        <v>2026-06</v>
      </c>
      <c r="AB215" t="str">
        <f t="shared" si="19"/>
        <v>H1_2026</v>
      </c>
      <c r="AC215">
        <f t="shared" si="20"/>
        <v>866418</v>
      </c>
      <c r="AD215">
        <f t="shared" si="21"/>
        <v>120</v>
      </c>
      <c r="AE215">
        <f t="shared" si="22"/>
        <v>222781.64</v>
      </c>
      <c r="AF215" t="str">
        <f t="shared" si="23"/>
        <v>Paid</v>
      </c>
    </row>
    <row r="216" spans="1:32" ht="17.25" thickBot="1" x14ac:dyDescent="0.35">
      <c r="A216" s="2" t="s">
        <v>1783</v>
      </c>
      <c r="B216" s="2" t="s">
        <v>27</v>
      </c>
      <c r="C216" s="2" t="s">
        <v>28</v>
      </c>
      <c r="D216" s="2" t="s">
        <v>97</v>
      </c>
      <c r="E216" s="2" t="s">
        <v>1784</v>
      </c>
      <c r="F216" s="2" t="s">
        <v>99</v>
      </c>
      <c r="G216" s="2" t="s">
        <v>32</v>
      </c>
      <c r="H216" s="1"/>
      <c r="I216" s="2" t="s">
        <v>33</v>
      </c>
      <c r="J216" s="2" t="s">
        <v>34</v>
      </c>
      <c r="K216" s="2" t="s">
        <v>1785</v>
      </c>
      <c r="L216" s="2" t="s">
        <v>1786</v>
      </c>
      <c r="M216" s="2" t="s">
        <v>1787</v>
      </c>
      <c r="N216" s="2" t="s">
        <v>38</v>
      </c>
      <c r="O216" s="2" t="s">
        <v>1788</v>
      </c>
      <c r="P216" s="2" t="s">
        <v>1789</v>
      </c>
      <c r="Q216" s="2" t="s">
        <v>1790</v>
      </c>
      <c r="R216" s="2" t="s">
        <v>40</v>
      </c>
      <c r="S216" s="2" t="s">
        <v>1791</v>
      </c>
      <c r="T216" s="2" t="s">
        <v>1792</v>
      </c>
      <c r="U216" s="2" t="s">
        <v>1793</v>
      </c>
      <c r="V216" s="2" t="s">
        <v>1794</v>
      </c>
      <c r="W216" s="1"/>
      <c r="X216" s="2" t="s">
        <v>1795</v>
      </c>
      <c r="Y216" s="2" t="s">
        <v>1796</v>
      </c>
      <c r="AA216" t="str">
        <f t="shared" si="18"/>
        <v>2026-06</v>
      </c>
      <c r="AB216" t="str">
        <f t="shared" si="19"/>
        <v>H1_2026</v>
      </c>
      <c r="AC216">
        <f t="shared" si="20"/>
        <v>25420790</v>
      </c>
      <c r="AD216">
        <f t="shared" si="21"/>
        <v>4850</v>
      </c>
      <c r="AE216">
        <f t="shared" si="22"/>
        <v>2625790</v>
      </c>
      <c r="AF216" t="str">
        <f t="shared" si="23"/>
        <v>Paid</v>
      </c>
    </row>
    <row r="217" spans="1:32" ht="17.25" thickBot="1" x14ac:dyDescent="0.35">
      <c r="A217" s="2" t="s">
        <v>1797</v>
      </c>
      <c r="B217" s="2" t="s">
        <v>27</v>
      </c>
      <c r="C217" s="2" t="s">
        <v>28</v>
      </c>
      <c r="D217" s="2" t="s">
        <v>97</v>
      </c>
      <c r="E217" s="2" t="s">
        <v>1784</v>
      </c>
      <c r="F217" s="2" t="s">
        <v>99</v>
      </c>
      <c r="G217" s="2" t="s">
        <v>32</v>
      </c>
      <c r="H217" s="1"/>
      <c r="I217" s="2" t="s">
        <v>33</v>
      </c>
      <c r="J217" s="2" t="s">
        <v>34</v>
      </c>
      <c r="K217" s="2" t="s">
        <v>754</v>
      </c>
      <c r="L217" s="2" t="s">
        <v>755</v>
      </c>
      <c r="M217" s="2" t="s">
        <v>701</v>
      </c>
      <c r="N217" s="2" t="s">
        <v>38</v>
      </c>
      <c r="O217" s="2" t="s">
        <v>1788</v>
      </c>
      <c r="P217" s="2" t="s">
        <v>1798</v>
      </c>
      <c r="Q217" s="2" t="s">
        <v>1799</v>
      </c>
      <c r="R217" s="2" t="s">
        <v>40</v>
      </c>
      <c r="S217" s="2" t="s">
        <v>1800</v>
      </c>
      <c r="T217" s="2" t="s">
        <v>759</v>
      </c>
      <c r="U217" s="2" t="s">
        <v>1801</v>
      </c>
      <c r="V217" s="2" t="s">
        <v>1802</v>
      </c>
      <c r="W217" s="1"/>
      <c r="X217" s="2" t="s">
        <v>1803</v>
      </c>
      <c r="Y217" s="2" t="s">
        <v>1796</v>
      </c>
      <c r="AA217" t="str">
        <f t="shared" si="18"/>
        <v>2026-06</v>
      </c>
      <c r="AB217" t="str">
        <f t="shared" si="19"/>
        <v>H1_2026</v>
      </c>
      <c r="AC217">
        <f t="shared" si="20"/>
        <v>39001760</v>
      </c>
      <c r="AD217">
        <f t="shared" si="21"/>
        <v>4850</v>
      </c>
      <c r="AE217">
        <f t="shared" si="22"/>
        <v>2335760</v>
      </c>
      <c r="AF217" t="str">
        <f t="shared" si="23"/>
        <v>Paid</v>
      </c>
    </row>
    <row r="218" spans="1:32" ht="17.25" thickBot="1" x14ac:dyDescent="0.35">
      <c r="A218" s="2" t="s">
        <v>1804</v>
      </c>
      <c r="B218" s="2" t="s">
        <v>27</v>
      </c>
      <c r="C218" s="2" t="s">
        <v>28</v>
      </c>
      <c r="D218" s="2" t="s">
        <v>97</v>
      </c>
      <c r="E218" s="2" t="s">
        <v>1784</v>
      </c>
      <c r="F218" s="2" t="s">
        <v>99</v>
      </c>
      <c r="G218" s="2" t="s">
        <v>32</v>
      </c>
      <c r="H218" s="1"/>
      <c r="I218" s="2" t="s">
        <v>33</v>
      </c>
      <c r="J218" s="2" t="s">
        <v>34</v>
      </c>
      <c r="K218" s="2" t="s">
        <v>1805</v>
      </c>
      <c r="L218" s="2" t="s">
        <v>1806</v>
      </c>
      <c r="M218" s="2" t="s">
        <v>1807</v>
      </c>
      <c r="N218" s="2" t="s">
        <v>38</v>
      </c>
      <c r="O218" s="2" t="s">
        <v>1808</v>
      </c>
      <c r="P218" s="2" t="s">
        <v>40</v>
      </c>
      <c r="Q218" s="2" t="s">
        <v>40</v>
      </c>
      <c r="R218" s="2" t="s">
        <v>40</v>
      </c>
      <c r="S218" s="2" t="s">
        <v>40</v>
      </c>
      <c r="T218" s="2" t="s">
        <v>1809</v>
      </c>
      <c r="U218" s="2" t="s">
        <v>1810</v>
      </c>
      <c r="V218" s="2" t="s">
        <v>1811</v>
      </c>
      <c r="W218" s="2" t="s">
        <v>110</v>
      </c>
      <c r="X218" s="2" t="s">
        <v>42</v>
      </c>
      <c r="Y218" s="2" t="s">
        <v>1796</v>
      </c>
      <c r="AA218" t="str">
        <f t="shared" si="18"/>
        <v>2026-06</v>
      </c>
      <c r="AB218" t="str">
        <f t="shared" si="19"/>
        <v>H1_2026</v>
      </c>
      <c r="AC218">
        <f t="shared" si="20"/>
        <v>0</v>
      </c>
      <c r="AD218">
        <f t="shared" si="21"/>
        <v>2550</v>
      </c>
      <c r="AE218">
        <f t="shared" si="22"/>
        <v>-922981.82</v>
      </c>
      <c r="AF218" t="str">
        <f t="shared" si="23"/>
        <v>FOC</v>
      </c>
    </row>
    <row r="219" spans="1:32" ht="17.25" thickBot="1" x14ac:dyDescent="0.35">
      <c r="A219" s="2" t="s">
        <v>1812</v>
      </c>
      <c r="B219" s="2" t="s">
        <v>27</v>
      </c>
      <c r="C219" s="2" t="s">
        <v>28</v>
      </c>
      <c r="D219" s="2" t="s">
        <v>97</v>
      </c>
      <c r="E219" s="2" t="s">
        <v>1784</v>
      </c>
      <c r="F219" s="2" t="s">
        <v>99</v>
      </c>
      <c r="G219" s="2" t="s">
        <v>32</v>
      </c>
      <c r="H219" s="1"/>
      <c r="I219" s="2" t="s">
        <v>33</v>
      </c>
      <c r="J219" s="2" t="s">
        <v>34</v>
      </c>
      <c r="K219" s="2" t="s">
        <v>1805</v>
      </c>
      <c r="L219" s="2" t="s">
        <v>1806</v>
      </c>
      <c r="M219" s="2" t="s">
        <v>1807</v>
      </c>
      <c r="N219" s="2" t="s">
        <v>38</v>
      </c>
      <c r="O219" s="2" t="s">
        <v>1813</v>
      </c>
      <c r="P219" s="2" t="s">
        <v>1814</v>
      </c>
      <c r="Q219" s="2" t="s">
        <v>1815</v>
      </c>
      <c r="R219" s="2" t="s">
        <v>40</v>
      </c>
      <c r="S219" s="2" t="s">
        <v>1816</v>
      </c>
      <c r="T219" s="2" t="s">
        <v>1817</v>
      </c>
      <c r="U219" s="2" t="s">
        <v>1818</v>
      </c>
      <c r="V219" s="2" t="s">
        <v>1819</v>
      </c>
      <c r="W219" s="1"/>
      <c r="X219" s="2" t="s">
        <v>201</v>
      </c>
      <c r="Y219" s="2" t="s">
        <v>1796</v>
      </c>
      <c r="AA219" t="str">
        <f t="shared" si="18"/>
        <v>2026-06</v>
      </c>
      <c r="AB219" t="str">
        <f t="shared" si="19"/>
        <v>H1_2026</v>
      </c>
      <c r="AC219">
        <f t="shared" si="20"/>
        <v>10007484</v>
      </c>
      <c r="AD219">
        <f t="shared" si="21"/>
        <v>2300</v>
      </c>
      <c r="AE219">
        <f t="shared" si="22"/>
        <v>2425847.7200000002</v>
      </c>
      <c r="AF219" t="str">
        <f t="shared" si="23"/>
        <v>Paid</v>
      </c>
    </row>
    <row r="220" spans="1:32" ht="17.25" thickBot="1" x14ac:dyDescent="0.35">
      <c r="A220" s="2" t="s">
        <v>1820</v>
      </c>
      <c r="B220" s="2" t="s">
        <v>27</v>
      </c>
      <c r="C220" s="2" t="s">
        <v>28</v>
      </c>
      <c r="D220" s="2" t="s">
        <v>97</v>
      </c>
      <c r="E220" s="2" t="s">
        <v>1784</v>
      </c>
      <c r="F220" s="2" t="s">
        <v>99</v>
      </c>
      <c r="G220" s="2" t="s">
        <v>32</v>
      </c>
      <c r="H220" s="1"/>
      <c r="I220" s="2" t="s">
        <v>33</v>
      </c>
      <c r="J220" s="2" t="s">
        <v>34</v>
      </c>
      <c r="K220" s="2" t="s">
        <v>808</v>
      </c>
      <c r="L220" s="2" t="s">
        <v>809</v>
      </c>
      <c r="M220" s="2" t="s">
        <v>772</v>
      </c>
      <c r="N220" s="2" t="s">
        <v>38</v>
      </c>
      <c r="O220" s="2" t="s">
        <v>1788</v>
      </c>
      <c r="P220" s="2" t="s">
        <v>1821</v>
      </c>
      <c r="Q220" s="2" t="s">
        <v>1822</v>
      </c>
      <c r="R220" s="2" t="s">
        <v>40</v>
      </c>
      <c r="S220" s="2" t="s">
        <v>1823</v>
      </c>
      <c r="T220" s="2" t="s">
        <v>814</v>
      </c>
      <c r="U220" s="2" t="s">
        <v>1824</v>
      </c>
      <c r="V220" s="2" t="s">
        <v>1825</v>
      </c>
      <c r="W220" s="1"/>
      <c r="X220" s="2" t="s">
        <v>1826</v>
      </c>
      <c r="Y220" s="2" t="s">
        <v>1796</v>
      </c>
      <c r="AA220" t="str">
        <f t="shared" si="18"/>
        <v>2026-06</v>
      </c>
      <c r="AB220" t="str">
        <f t="shared" si="19"/>
        <v>H1_2026</v>
      </c>
      <c r="AC220">
        <f t="shared" si="20"/>
        <v>58154410</v>
      </c>
      <c r="AD220">
        <f t="shared" si="21"/>
        <v>4850</v>
      </c>
      <c r="AE220">
        <f t="shared" si="22"/>
        <v>8393410</v>
      </c>
      <c r="AF220" t="str">
        <f t="shared" si="23"/>
        <v>Paid</v>
      </c>
    </row>
    <row r="221" spans="1:32" ht="17.25" thickBot="1" x14ac:dyDescent="0.35">
      <c r="A221" s="2" t="s">
        <v>1827</v>
      </c>
      <c r="B221" s="2" t="s">
        <v>27</v>
      </c>
      <c r="C221" s="2" t="s">
        <v>28</v>
      </c>
      <c r="D221" s="2" t="s">
        <v>97</v>
      </c>
      <c r="E221" s="2" t="s">
        <v>1784</v>
      </c>
      <c r="F221" s="2" t="s">
        <v>99</v>
      </c>
      <c r="G221" s="2" t="s">
        <v>32</v>
      </c>
      <c r="H221" s="1"/>
      <c r="I221" s="2" t="s">
        <v>33</v>
      </c>
      <c r="J221" s="2" t="s">
        <v>34</v>
      </c>
      <c r="K221" s="2" t="s">
        <v>1828</v>
      </c>
      <c r="L221" s="2" t="s">
        <v>1829</v>
      </c>
      <c r="M221" s="2" t="s">
        <v>48</v>
      </c>
      <c r="N221" s="2" t="s">
        <v>38</v>
      </c>
      <c r="O221" s="2" t="s">
        <v>1788</v>
      </c>
      <c r="P221" s="2" t="s">
        <v>1830</v>
      </c>
      <c r="Q221" s="2" t="s">
        <v>1831</v>
      </c>
      <c r="R221" s="2" t="s">
        <v>40</v>
      </c>
      <c r="S221" s="2" t="s">
        <v>1832</v>
      </c>
      <c r="T221" s="2" t="s">
        <v>1833</v>
      </c>
      <c r="U221" s="2" t="s">
        <v>1834</v>
      </c>
      <c r="V221" s="2" t="s">
        <v>1835</v>
      </c>
      <c r="W221" s="1"/>
      <c r="X221" s="2" t="s">
        <v>1120</v>
      </c>
      <c r="Y221" s="2" t="s">
        <v>1796</v>
      </c>
      <c r="AA221" t="str">
        <f t="shared" si="18"/>
        <v>2026-06</v>
      </c>
      <c r="AB221" t="str">
        <f t="shared" si="19"/>
        <v>H1_2026</v>
      </c>
      <c r="AC221">
        <f t="shared" si="20"/>
        <v>39558928</v>
      </c>
      <c r="AD221">
        <f t="shared" si="21"/>
        <v>4850</v>
      </c>
      <c r="AE221">
        <f t="shared" si="22"/>
        <v>6638565.54</v>
      </c>
      <c r="AF221" t="str">
        <f t="shared" si="23"/>
        <v>Paid</v>
      </c>
    </row>
    <row r="222" spans="1:32" ht="17.25" thickBot="1" x14ac:dyDescent="0.35">
      <c r="A222" s="2" t="s">
        <v>1836</v>
      </c>
      <c r="B222" s="2" t="s">
        <v>27</v>
      </c>
      <c r="C222" s="2" t="s">
        <v>28</v>
      </c>
      <c r="D222" s="2" t="s">
        <v>97</v>
      </c>
      <c r="E222" s="2" t="s">
        <v>1784</v>
      </c>
      <c r="F222" s="2" t="s">
        <v>99</v>
      </c>
      <c r="G222" s="2" t="s">
        <v>32</v>
      </c>
      <c r="H222" s="1"/>
      <c r="I222" s="2" t="s">
        <v>33</v>
      </c>
      <c r="J222" s="2" t="s">
        <v>34</v>
      </c>
      <c r="K222" s="2" t="s">
        <v>1189</v>
      </c>
      <c r="L222" s="2" t="s">
        <v>1190</v>
      </c>
      <c r="M222" s="2" t="s">
        <v>37</v>
      </c>
      <c r="N222" s="2" t="s">
        <v>38</v>
      </c>
      <c r="O222" s="2" t="s">
        <v>1837</v>
      </c>
      <c r="P222" s="2" t="s">
        <v>1838</v>
      </c>
      <c r="Q222" s="2" t="s">
        <v>1839</v>
      </c>
      <c r="R222" s="2" t="s">
        <v>40</v>
      </c>
      <c r="S222" s="2" t="s">
        <v>1840</v>
      </c>
      <c r="T222" s="2" t="s">
        <v>952</v>
      </c>
      <c r="U222" s="2" t="s">
        <v>1841</v>
      </c>
      <c r="V222" s="2" t="s">
        <v>1842</v>
      </c>
      <c r="W222" s="1"/>
      <c r="X222" s="2" t="s">
        <v>1843</v>
      </c>
      <c r="Y222" s="2" t="s">
        <v>1796</v>
      </c>
      <c r="AA222" t="str">
        <f t="shared" si="18"/>
        <v>2026-06</v>
      </c>
      <c r="AB222" t="str">
        <f t="shared" si="19"/>
        <v>H1_2026</v>
      </c>
      <c r="AC222">
        <f t="shared" si="20"/>
        <v>15401100</v>
      </c>
      <c r="AD222">
        <f t="shared" si="21"/>
        <v>1100</v>
      </c>
      <c r="AE222">
        <f t="shared" si="22"/>
        <v>2201100</v>
      </c>
      <c r="AF222" t="str">
        <f t="shared" si="23"/>
        <v>Paid</v>
      </c>
    </row>
    <row r="223" spans="1:32" ht="17.25" thickBot="1" x14ac:dyDescent="0.35">
      <c r="A223" s="2" t="s">
        <v>1844</v>
      </c>
      <c r="B223" s="2" t="s">
        <v>27</v>
      </c>
      <c r="C223" s="2" t="s">
        <v>28</v>
      </c>
      <c r="D223" s="2" t="s">
        <v>97</v>
      </c>
      <c r="E223" s="2" t="s">
        <v>1784</v>
      </c>
      <c r="F223" s="2" t="s">
        <v>99</v>
      </c>
      <c r="G223" s="2" t="s">
        <v>32</v>
      </c>
      <c r="H223" s="1"/>
      <c r="I223" s="2" t="s">
        <v>33</v>
      </c>
      <c r="J223" s="2" t="s">
        <v>34</v>
      </c>
      <c r="K223" s="2" t="s">
        <v>1189</v>
      </c>
      <c r="L223" s="2" t="s">
        <v>1190</v>
      </c>
      <c r="M223" s="2" t="s">
        <v>37</v>
      </c>
      <c r="N223" s="2" t="s">
        <v>38</v>
      </c>
      <c r="O223" s="2" t="s">
        <v>1845</v>
      </c>
      <c r="P223" s="2" t="s">
        <v>40</v>
      </c>
      <c r="Q223" s="2" t="s">
        <v>40</v>
      </c>
      <c r="R223" s="2" t="s">
        <v>40</v>
      </c>
      <c r="S223" s="2" t="s">
        <v>40</v>
      </c>
      <c r="T223" s="2" t="s">
        <v>1846</v>
      </c>
      <c r="U223" s="2" t="s">
        <v>1847</v>
      </c>
      <c r="V223" s="2" t="s">
        <v>1848</v>
      </c>
      <c r="W223" s="2" t="s">
        <v>110</v>
      </c>
      <c r="X223" s="2" t="s">
        <v>42</v>
      </c>
      <c r="Y223" s="2" t="s">
        <v>1796</v>
      </c>
      <c r="AA223" t="str">
        <f t="shared" si="18"/>
        <v>2026-06</v>
      </c>
      <c r="AB223" t="str">
        <f t="shared" si="19"/>
        <v>H1_2026</v>
      </c>
      <c r="AC223">
        <f t="shared" si="20"/>
        <v>0</v>
      </c>
      <c r="AD223">
        <f t="shared" si="21"/>
        <v>3750</v>
      </c>
      <c r="AE223">
        <f t="shared" si="22"/>
        <v>-593400</v>
      </c>
      <c r="AF223" t="str">
        <f t="shared" si="23"/>
        <v>FOC</v>
      </c>
    </row>
    <row r="224" spans="1:32" ht="17.25" thickBot="1" x14ac:dyDescent="0.35">
      <c r="A224" s="2" t="s">
        <v>1849</v>
      </c>
      <c r="B224" s="2" t="s">
        <v>27</v>
      </c>
      <c r="C224" s="2" t="s">
        <v>28</v>
      </c>
      <c r="D224" s="2" t="s">
        <v>97</v>
      </c>
      <c r="E224" s="2" t="s">
        <v>1784</v>
      </c>
      <c r="F224" s="2" t="s">
        <v>99</v>
      </c>
      <c r="G224" s="2" t="s">
        <v>32</v>
      </c>
      <c r="H224" s="1"/>
      <c r="I224" s="2" t="s">
        <v>33</v>
      </c>
      <c r="J224" s="2" t="s">
        <v>34</v>
      </c>
      <c r="K224" s="2" t="s">
        <v>1785</v>
      </c>
      <c r="L224" s="2" t="s">
        <v>1786</v>
      </c>
      <c r="M224" s="2" t="s">
        <v>1787</v>
      </c>
      <c r="N224" s="2" t="s">
        <v>38</v>
      </c>
      <c r="O224" s="2" t="s">
        <v>773</v>
      </c>
      <c r="P224" s="2" t="s">
        <v>1789</v>
      </c>
      <c r="Q224" s="2" t="s">
        <v>1850</v>
      </c>
      <c r="R224" s="2" t="s">
        <v>40</v>
      </c>
      <c r="S224" s="2" t="s">
        <v>1851</v>
      </c>
      <c r="T224" s="2" t="s">
        <v>1792</v>
      </c>
      <c r="U224" s="2" t="s">
        <v>1852</v>
      </c>
      <c r="V224" s="2" t="s">
        <v>1853</v>
      </c>
      <c r="W224" s="1"/>
      <c r="X224" s="2" t="s">
        <v>1795</v>
      </c>
      <c r="Y224" s="2" t="s">
        <v>1854</v>
      </c>
      <c r="AA224" t="str">
        <f t="shared" si="18"/>
        <v>2026-06</v>
      </c>
      <c r="AB224" t="str">
        <f t="shared" si="19"/>
        <v>H1_2026</v>
      </c>
      <c r="AC224">
        <f t="shared" si="20"/>
        <v>1048280</v>
      </c>
      <c r="AD224">
        <f t="shared" si="21"/>
        <v>200</v>
      </c>
      <c r="AE224">
        <f t="shared" si="22"/>
        <v>108280</v>
      </c>
      <c r="AF224" t="str">
        <f t="shared" si="23"/>
        <v>Paid</v>
      </c>
    </row>
    <row r="225" spans="1:32" ht="17.25" thickBot="1" x14ac:dyDescent="0.35">
      <c r="A225" s="2" t="s">
        <v>1855</v>
      </c>
      <c r="B225" s="2" t="s">
        <v>27</v>
      </c>
      <c r="C225" s="2" t="s">
        <v>28</v>
      </c>
      <c r="D225" s="2" t="s">
        <v>97</v>
      </c>
      <c r="E225" s="2" t="s">
        <v>1784</v>
      </c>
      <c r="F225" s="2" t="s">
        <v>99</v>
      </c>
      <c r="G225" s="2" t="s">
        <v>32</v>
      </c>
      <c r="H225" s="1"/>
      <c r="I225" s="2" t="s">
        <v>33</v>
      </c>
      <c r="J225" s="2" t="s">
        <v>34</v>
      </c>
      <c r="K225" s="2" t="s">
        <v>754</v>
      </c>
      <c r="L225" s="2" t="s">
        <v>755</v>
      </c>
      <c r="M225" s="2" t="s">
        <v>701</v>
      </c>
      <c r="N225" s="2" t="s">
        <v>38</v>
      </c>
      <c r="O225" s="2" t="s">
        <v>773</v>
      </c>
      <c r="P225" s="2" t="s">
        <v>1798</v>
      </c>
      <c r="Q225" s="2" t="s">
        <v>1856</v>
      </c>
      <c r="R225" s="2" t="s">
        <v>40</v>
      </c>
      <c r="S225" s="2" t="s">
        <v>1857</v>
      </c>
      <c r="T225" s="2" t="s">
        <v>759</v>
      </c>
      <c r="U225" s="2" t="s">
        <v>1858</v>
      </c>
      <c r="V225" s="2" t="s">
        <v>1859</v>
      </c>
      <c r="W225" s="1"/>
      <c r="X225" s="2" t="s">
        <v>1803</v>
      </c>
      <c r="Y225" s="2" t="s">
        <v>1854</v>
      </c>
      <c r="AA225" t="str">
        <f t="shared" si="18"/>
        <v>2026-06</v>
      </c>
      <c r="AB225" t="str">
        <f t="shared" si="19"/>
        <v>H1_2026</v>
      </c>
      <c r="AC225">
        <f t="shared" si="20"/>
        <v>1608320</v>
      </c>
      <c r="AD225">
        <f t="shared" si="21"/>
        <v>200</v>
      </c>
      <c r="AE225">
        <f t="shared" si="22"/>
        <v>96320</v>
      </c>
      <c r="AF225" t="str">
        <f t="shared" si="23"/>
        <v>Paid</v>
      </c>
    </row>
    <row r="226" spans="1:32" ht="17.25" thickBot="1" x14ac:dyDescent="0.35">
      <c r="A226" s="2" t="s">
        <v>458</v>
      </c>
      <c r="B226" s="2" t="s">
        <v>27</v>
      </c>
      <c r="C226" s="2" t="s">
        <v>28</v>
      </c>
      <c r="D226" s="2" t="s">
        <v>97</v>
      </c>
      <c r="E226" s="2" t="s">
        <v>1784</v>
      </c>
      <c r="F226" s="2" t="s">
        <v>99</v>
      </c>
      <c r="G226" s="2" t="s">
        <v>32</v>
      </c>
      <c r="H226" s="1"/>
      <c r="I226" s="2" t="s">
        <v>33</v>
      </c>
      <c r="J226" s="2" t="s">
        <v>34</v>
      </c>
      <c r="K226" s="2" t="s">
        <v>1805</v>
      </c>
      <c r="L226" s="2" t="s">
        <v>1806</v>
      </c>
      <c r="M226" s="2" t="s">
        <v>1807</v>
      </c>
      <c r="N226" s="2" t="s">
        <v>38</v>
      </c>
      <c r="O226" s="2" t="s">
        <v>773</v>
      </c>
      <c r="P226" s="2" t="s">
        <v>1814</v>
      </c>
      <c r="Q226" s="2" t="s">
        <v>1860</v>
      </c>
      <c r="R226" s="2" t="s">
        <v>40</v>
      </c>
      <c r="S226" s="2" t="s">
        <v>1861</v>
      </c>
      <c r="T226" s="2" t="s">
        <v>1862</v>
      </c>
      <c r="U226" s="2" t="s">
        <v>1863</v>
      </c>
      <c r="V226" s="2" t="s">
        <v>1864</v>
      </c>
      <c r="W226" s="1"/>
      <c r="X226" s="2" t="s">
        <v>1865</v>
      </c>
      <c r="Y226" s="2" t="s">
        <v>1854</v>
      </c>
      <c r="AA226" t="str">
        <f t="shared" si="18"/>
        <v>2026-06</v>
      </c>
      <c r="AB226" t="str">
        <f t="shared" si="19"/>
        <v>H1_2026</v>
      </c>
      <c r="AC226">
        <f t="shared" si="20"/>
        <v>870216</v>
      </c>
      <c r="AD226">
        <f t="shared" si="21"/>
        <v>200</v>
      </c>
      <c r="AE226">
        <f t="shared" si="22"/>
        <v>857030.55</v>
      </c>
      <c r="AF226" t="str">
        <f t="shared" si="23"/>
        <v>Paid</v>
      </c>
    </row>
    <row r="227" spans="1:32" ht="17.25" thickBot="1" x14ac:dyDescent="0.35">
      <c r="A227" s="2" t="s">
        <v>1866</v>
      </c>
      <c r="B227" s="2" t="s">
        <v>27</v>
      </c>
      <c r="C227" s="2" t="s">
        <v>28</v>
      </c>
      <c r="D227" s="2" t="s">
        <v>97</v>
      </c>
      <c r="E227" s="2" t="s">
        <v>1784</v>
      </c>
      <c r="F227" s="2" t="s">
        <v>99</v>
      </c>
      <c r="G227" s="2" t="s">
        <v>32</v>
      </c>
      <c r="H227" s="1"/>
      <c r="I227" s="2" t="s">
        <v>33</v>
      </c>
      <c r="J227" s="2" t="s">
        <v>34</v>
      </c>
      <c r="K227" s="2" t="s">
        <v>808</v>
      </c>
      <c r="L227" s="2" t="s">
        <v>809</v>
      </c>
      <c r="M227" s="2" t="s">
        <v>772</v>
      </c>
      <c r="N227" s="2" t="s">
        <v>38</v>
      </c>
      <c r="O227" s="2" t="s">
        <v>773</v>
      </c>
      <c r="P227" s="2" t="s">
        <v>1821</v>
      </c>
      <c r="Q227" s="2" t="s">
        <v>1867</v>
      </c>
      <c r="R227" s="2" t="s">
        <v>40</v>
      </c>
      <c r="S227" s="2" t="s">
        <v>1868</v>
      </c>
      <c r="T227" s="2" t="s">
        <v>814</v>
      </c>
      <c r="U227" s="2" t="s">
        <v>1869</v>
      </c>
      <c r="V227" s="2" t="s">
        <v>1870</v>
      </c>
      <c r="W227" s="1"/>
      <c r="X227" s="2" t="s">
        <v>1826</v>
      </c>
      <c r="Y227" s="2" t="s">
        <v>1854</v>
      </c>
      <c r="AA227" t="str">
        <f t="shared" si="18"/>
        <v>2026-06</v>
      </c>
      <c r="AB227" t="str">
        <f t="shared" si="19"/>
        <v>H1_2026</v>
      </c>
      <c r="AC227">
        <f t="shared" si="20"/>
        <v>2398120</v>
      </c>
      <c r="AD227">
        <f t="shared" si="21"/>
        <v>200</v>
      </c>
      <c r="AE227">
        <f t="shared" si="22"/>
        <v>346120</v>
      </c>
      <c r="AF227" t="str">
        <f t="shared" si="23"/>
        <v>Paid</v>
      </c>
    </row>
    <row r="228" spans="1:32" ht="17.25" thickBot="1" x14ac:dyDescent="0.35">
      <c r="A228" s="2" t="s">
        <v>1871</v>
      </c>
      <c r="B228" s="2" t="s">
        <v>27</v>
      </c>
      <c r="C228" s="2" t="s">
        <v>28</v>
      </c>
      <c r="D228" s="2" t="s">
        <v>97</v>
      </c>
      <c r="E228" s="2" t="s">
        <v>1784</v>
      </c>
      <c r="F228" s="2" t="s">
        <v>99</v>
      </c>
      <c r="G228" s="2" t="s">
        <v>32</v>
      </c>
      <c r="H228" s="1"/>
      <c r="I228" s="2" t="s">
        <v>33</v>
      </c>
      <c r="J228" s="2" t="s">
        <v>34</v>
      </c>
      <c r="K228" s="2" t="s">
        <v>1828</v>
      </c>
      <c r="L228" s="2" t="s">
        <v>1829</v>
      </c>
      <c r="M228" s="2" t="s">
        <v>48</v>
      </c>
      <c r="N228" s="2" t="s">
        <v>38</v>
      </c>
      <c r="O228" s="2" t="s">
        <v>773</v>
      </c>
      <c r="P228" s="2" t="s">
        <v>1830</v>
      </c>
      <c r="Q228" s="2" t="s">
        <v>1872</v>
      </c>
      <c r="R228" s="2" t="s">
        <v>40</v>
      </c>
      <c r="S228" s="2" t="s">
        <v>1873</v>
      </c>
      <c r="T228" s="2" t="s">
        <v>1874</v>
      </c>
      <c r="U228" s="2" t="s">
        <v>1875</v>
      </c>
      <c r="V228" s="2" t="s">
        <v>1876</v>
      </c>
      <c r="W228" s="1"/>
      <c r="X228" s="2" t="s">
        <v>1877</v>
      </c>
      <c r="Y228" s="2" t="s">
        <v>1854</v>
      </c>
      <c r="AA228" t="str">
        <f t="shared" si="18"/>
        <v>2026-06</v>
      </c>
      <c r="AB228" t="str">
        <f t="shared" si="19"/>
        <v>H1_2026</v>
      </c>
      <c r="AC228">
        <f t="shared" si="20"/>
        <v>1631296</v>
      </c>
      <c r="AD228">
        <f t="shared" si="21"/>
        <v>200</v>
      </c>
      <c r="AE228">
        <f t="shared" si="22"/>
        <v>-150522</v>
      </c>
      <c r="AF228" t="str">
        <f t="shared" si="23"/>
        <v>Paid</v>
      </c>
    </row>
    <row r="229" spans="1:32" ht="17.25" thickBot="1" x14ac:dyDescent="0.35">
      <c r="A229" s="2" t="s">
        <v>1878</v>
      </c>
      <c r="B229" s="2" t="s">
        <v>27</v>
      </c>
      <c r="C229" s="2" t="s">
        <v>28</v>
      </c>
      <c r="D229" s="2" t="s">
        <v>97</v>
      </c>
      <c r="E229" s="2" t="s">
        <v>1784</v>
      </c>
      <c r="F229" s="2" t="s">
        <v>99</v>
      </c>
      <c r="G229" s="2" t="s">
        <v>32</v>
      </c>
      <c r="H229" s="1"/>
      <c r="I229" s="2" t="s">
        <v>33</v>
      </c>
      <c r="J229" s="2" t="s">
        <v>34</v>
      </c>
      <c r="K229" s="2" t="s">
        <v>1189</v>
      </c>
      <c r="L229" s="2" t="s">
        <v>1190</v>
      </c>
      <c r="M229" s="2" t="s">
        <v>37</v>
      </c>
      <c r="N229" s="2" t="s">
        <v>38</v>
      </c>
      <c r="O229" s="2" t="s">
        <v>773</v>
      </c>
      <c r="P229" s="2" t="s">
        <v>1838</v>
      </c>
      <c r="Q229" s="2" t="s">
        <v>1879</v>
      </c>
      <c r="R229" s="2" t="s">
        <v>40</v>
      </c>
      <c r="S229" s="2" t="s">
        <v>1880</v>
      </c>
      <c r="T229" s="2" t="s">
        <v>952</v>
      </c>
      <c r="U229" s="2" t="s">
        <v>1881</v>
      </c>
      <c r="V229" s="2" t="s">
        <v>1882</v>
      </c>
      <c r="W229" s="1"/>
      <c r="X229" s="2" t="s">
        <v>1843</v>
      </c>
      <c r="Y229" s="2" t="s">
        <v>1854</v>
      </c>
      <c r="AA229" t="str">
        <f t="shared" si="18"/>
        <v>2026-06</v>
      </c>
      <c r="AB229" t="str">
        <f t="shared" si="19"/>
        <v>H1_2026</v>
      </c>
      <c r="AC229">
        <f t="shared" si="20"/>
        <v>2800200</v>
      </c>
      <c r="AD229">
        <f t="shared" si="21"/>
        <v>200</v>
      </c>
      <c r="AE229">
        <f t="shared" si="22"/>
        <v>400200</v>
      </c>
      <c r="AF229" t="str">
        <f t="shared" si="23"/>
        <v>Paid</v>
      </c>
    </row>
    <row r="230" spans="1:32" ht="27.75" thickBot="1" x14ac:dyDescent="0.35">
      <c r="A230" s="2" t="s">
        <v>1883</v>
      </c>
      <c r="B230" s="2" t="s">
        <v>27</v>
      </c>
      <c r="C230" s="2" t="s">
        <v>28</v>
      </c>
      <c r="D230" s="2" t="s">
        <v>97</v>
      </c>
      <c r="E230" s="2" t="s">
        <v>1884</v>
      </c>
      <c r="F230" s="2" t="s">
        <v>99</v>
      </c>
      <c r="G230" s="2" t="s">
        <v>32</v>
      </c>
      <c r="H230" s="1"/>
      <c r="I230" s="2" t="s">
        <v>33</v>
      </c>
      <c r="J230" s="2" t="s">
        <v>34</v>
      </c>
      <c r="K230" s="2" t="s">
        <v>1885</v>
      </c>
      <c r="L230" s="2" t="s">
        <v>1886</v>
      </c>
      <c r="M230" s="2" t="s">
        <v>1887</v>
      </c>
      <c r="N230" s="2" t="s">
        <v>38</v>
      </c>
      <c r="O230" s="2" t="s">
        <v>1519</v>
      </c>
      <c r="P230" s="2" t="s">
        <v>756</v>
      </c>
      <c r="Q230" s="2" t="s">
        <v>1888</v>
      </c>
      <c r="R230" s="2" t="s">
        <v>40</v>
      </c>
      <c r="S230" s="2" t="s">
        <v>1889</v>
      </c>
      <c r="T230" s="2" t="s">
        <v>1890</v>
      </c>
      <c r="U230" s="2" t="s">
        <v>1891</v>
      </c>
      <c r="V230" s="2" t="s">
        <v>1892</v>
      </c>
      <c r="W230" s="1"/>
      <c r="X230" s="2" t="s">
        <v>1893</v>
      </c>
      <c r="Y230" s="2" t="s">
        <v>1894</v>
      </c>
      <c r="AA230" t="str">
        <f t="shared" si="18"/>
        <v>2026-06</v>
      </c>
      <c r="AB230" t="str">
        <f t="shared" si="19"/>
        <v>H1_2026</v>
      </c>
      <c r="AC230">
        <f t="shared" si="20"/>
        <v>3241110.6</v>
      </c>
      <c r="AD230">
        <f t="shared" si="21"/>
        <v>360</v>
      </c>
      <c r="AE230">
        <f t="shared" si="22"/>
        <v>843510.6</v>
      </c>
      <c r="AF230" t="str">
        <f t="shared" si="23"/>
        <v>Paid</v>
      </c>
    </row>
    <row r="231" spans="1:32" ht="17.25" thickBot="1" x14ac:dyDescent="0.35">
      <c r="A231" s="2" t="s">
        <v>1895</v>
      </c>
      <c r="B231" s="2" t="s">
        <v>27</v>
      </c>
      <c r="C231" s="2" t="s">
        <v>28</v>
      </c>
      <c r="D231" s="2" t="s">
        <v>97</v>
      </c>
      <c r="E231" s="2" t="s">
        <v>1884</v>
      </c>
      <c r="F231" s="2" t="s">
        <v>99</v>
      </c>
      <c r="G231" s="2" t="s">
        <v>32</v>
      </c>
      <c r="H231" s="1"/>
      <c r="I231" s="2" t="s">
        <v>33</v>
      </c>
      <c r="J231" s="2" t="s">
        <v>34</v>
      </c>
      <c r="K231" s="2" t="s">
        <v>1896</v>
      </c>
      <c r="L231" s="2" t="s">
        <v>1897</v>
      </c>
      <c r="M231" s="2" t="s">
        <v>1887</v>
      </c>
      <c r="N231" s="2" t="s">
        <v>38</v>
      </c>
      <c r="O231" s="2" t="s">
        <v>729</v>
      </c>
      <c r="P231" s="2" t="s">
        <v>1898</v>
      </c>
      <c r="Q231" s="2" t="s">
        <v>1899</v>
      </c>
      <c r="R231" s="2" t="s">
        <v>40</v>
      </c>
      <c r="S231" s="2" t="s">
        <v>1900</v>
      </c>
      <c r="T231" s="2" t="s">
        <v>1901</v>
      </c>
      <c r="U231" s="2" t="s">
        <v>1902</v>
      </c>
      <c r="V231" s="2" t="s">
        <v>1903</v>
      </c>
      <c r="W231" s="1"/>
      <c r="X231" s="2" t="s">
        <v>1893</v>
      </c>
      <c r="Y231" s="2" t="s">
        <v>1894</v>
      </c>
      <c r="AA231" t="str">
        <f t="shared" si="18"/>
        <v>2026-06</v>
      </c>
      <c r="AB231" t="str">
        <f t="shared" si="19"/>
        <v>H1_2026</v>
      </c>
      <c r="AC231">
        <f t="shared" si="20"/>
        <v>415880.64</v>
      </c>
      <c r="AD231">
        <f t="shared" si="21"/>
        <v>84</v>
      </c>
      <c r="AE231">
        <f t="shared" si="22"/>
        <v>108188.64</v>
      </c>
      <c r="AF231" t="str">
        <f t="shared" si="23"/>
        <v>Paid</v>
      </c>
    </row>
    <row r="232" spans="1:32" ht="27.75" thickBot="1" x14ac:dyDescent="0.35">
      <c r="A232" s="2" t="s">
        <v>1904</v>
      </c>
      <c r="B232" s="2" t="s">
        <v>27</v>
      </c>
      <c r="C232" s="2" t="s">
        <v>28</v>
      </c>
      <c r="D232" s="2" t="s">
        <v>97</v>
      </c>
      <c r="E232" s="2" t="s">
        <v>1884</v>
      </c>
      <c r="F232" s="2" t="s">
        <v>99</v>
      </c>
      <c r="G232" s="2" t="s">
        <v>32</v>
      </c>
      <c r="H232" s="1"/>
      <c r="I232" s="2" t="s">
        <v>33</v>
      </c>
      <c r="J232" s="2" t="s">
        <v>34</v>
      </c>
      <c r="K232" s="2" t="s">
        <v>1905</v>
      </c>
      <c r="L232" s="2" t="s">
        <v>1906</v>
      </c>
      <c r="M232" s="2" t="s">
        <v>1887</v>
      </c>
      <c r="N232" s="2" t="s">
        <v>38</v>
      </c>
      <c r="O232" s="2" t="s">
        <v>1333</v>
      </c>
      <c r="P232" s="2" t="s">
        <v>1907</v>
      </c>
      <c r="Q232" s="2" t="s">
        <v>467</v>
      </c>
      <c r="R232" s="2" t="s">
        <v>40</v>
      </c>
      <c r="S232" s="2" t="s">
        <v>468</v>
      </c>
      <c r="T232" s="2" t="s">
        <v>1908</v>
      </c>
      <c r="U232" s="2" t="s">
        <v>1909</v>
      </c>
      <c r="V232" s="2" t="s">
        <v>1910</v>
      </c>
      <c r="W232" s="1"/>
      <c r="X232" s="2" t="s">
        <v>1893</v>
      </c>
      <c r="Y232" s="2" t="s">
        <v>1894</v>
      </c>
      <c r="AA232" t="str">
        <f t="shared" si="18"/>
        <v>2026-06</v>
      </c>
      <c r="AB232" t="str">
        <f t="shared" si="19"/>
        <v>H1_2026</v>
      </c>
      <c r="AC232">
        <f t="shared" si="20"/>
        <v>974720.25</v>
      </c>
      <c r="AD232">
        <f t="shared" si="21"/>
        <v>150</v>
      </c>
      <c r="AE232">
        <f t="shared" si="22"/>
        <v>253220.25</v>
      </c>
      <c r="AF232" t="str">
        <f t="shared" si="23"/>
        <v>Paid</v>
      </c>
    </row>
    <row r="233" spans="1:32" ht="27.75" thickBot="1" x14ac:dyDescent="0.35">
      <c r="A233" s="2" t="s">
        <v>1911</v>
      </c>
      <c r="B233" s="2" t="s">
        <v>27</v>
      </c>
      <c r="C233" s="2" t="s">
        <v>28</v>
      </c>
      <c r="D233" s="2" t="s">
        <v>97</v>
      </c>
      <c r="E233" s="2" t="s">
        <v>1884</v>
      </c>
      <c r="F233" s="2" t="s">
        <v>99</v>
      </c>
      <c r="G233" s="2" t="s">
        <v>32</v>
      </c>
      <c r="H233" s="1"/>
      <c r="I233" s="2" t="s">
        <v>33</v>
      </c>
      <c r="J233" s="2" t="s">
        <v>34</v>
      </c>
      <c r="K233" s="2" t="s">
        <v>1912</v>
      </c>
      <c r="L233" s="2" t="s">
        <v>1913</v>
      </c>
      <c r="M233" s="2" t="s">
        <v>1887</v>
      </c>
      <c r="N233" s="2" t="s">
        <v>38</v>
      </c>
      <c r="O233" s="2" t="s">
        <v>1914</v>
      </c>
      <c r="P233" s="2" t="s">
        <v>1915</v>
      </c>
      <c r="Q233" s="2" t="s">
        <v>1916</v>
      </c>
      <c r="R233" s="2" t="s">
        <v>40</v>
      </c>
      <c r="S233" s="2" t="s">
        <v>1917</v>
      </c>
      <c r="T233" s="2" t="s">
        <v>1918</v>
      </c>
      <c r="U233" s="2" t="s">
        <v>1919</v>
      </c>
      <c r="V233" s="2" t="s">
        <v>1920</v>
      </c>
      <c r="W233" s="1"/>
      <c r="X233" s="2" t="s">
        <v>976</v>
      </c>
      <c r="Y233" s="2" t="s">
        <v>1894</v>
      </c>
      <c r="AA233" t="str">
        <f t="shared" si="18"/>
        <v>2026-06</v>
      </c>
      <c r="AB233" t="str">
        <f t="shared" si="19"/>
        <v>H1_2026</v>
      </c>
      <c r="AC233">
        <f t="shared" si="20"/>
        <v>2705346</v>
      </c>
      <c r="AD233">
        <f t="shared" si="21"/>
        <v>900</v>
      </c>
      <c r="AE233">
        <f t="shared" si="22"/>
        <v>545346</v>
      </c>
      <c r="AF233" t="str">
        <f t="shared" si="23"/>
        <v>Paid</v>
      </c>
    </row>
    <row r="234" spans="1:32" ht="17.25" thickBot="1" x14ac:dyDescent="0.35">
      <c r="A234" s="2" t="s">
        <v>1921</v>
      </c>
      <c r="B234" s="2" t="s">
        <v>27</v>
      </c>
      <c r="C234" s="2" t="s">
        <v>28</v>
      </c>
      <c r="D234" s="2" t="s">
        <v>97</v>
      </c>
      <c r="E234" s="2" t="s">
        <v>1884</v>
      </c>
      <c r="F234" s="2" t="s">
        <v>99</v>
      </c>
      <c r="G234" s="2" t="s">
        <v>32</v>
      </c>
      <c r="H234" s="1"/>
      <c r="I234" s="2" t="s">
        <v>33</v>
      </c>
      <c r="J234" s="2" t="s">
        <v>34</v>
      </c>
      <c r="K234" s="2" t="s">
        <v>1922</v>
      </c>
      <c r="L234" s="2" t="s">
        <v>1923</v>
      </c>
      <c r="M234" s="2" t="s">
        <v>1887</v>
      </c>
      <c r="N234" s="2" t="s">
        <v>38</v>
      </c>
      <c r="O234" s="2" t="s">
        <v>1924</v>
      </c>
      <c r="P234" s="2" t="s">
        <v>646</v>
      </c>
      <c r="Q234" s="2" t="s">
        <v>1925</v>
      </c>
      <c r="R234" s="2" t="s">
        <v>40</v>
      </c>
      <c r="S234" s="2" t="s">
        <v>1926</v>
      </c>
      <c r="T234" s="2" t="s">
        <v>1927</v>
      </c>
      <c r="U234" s="2" t="s">
        <v>1928</v>
      </c>
      <c r="V234" s="2" t="s">
        <v>1929</v>
      </c>
      <c r="W234" s="1"/>
      <c r="X234" s="2" t="s">
        <v>1893</v>
      </c>
      <c r="Y234" s="2" t="s">
        <v>1894</v>
      </c>
      <c r="AA234" t="str">
        <f t="shared" si="18"/>
        <v>2026-06</v>
      </c>
      <c r="AB234" t="str">
        <f t="shared" si="19"/>
        <v>H1_2026</v>
      </c>
      <c r="AC234">
        <f t="shared" si="20"/>
        <v>18627987</v>
      </c>
      <c r="AD234">
        <f t="shared" si="21"/>
        <v>1960</v>
      </c>
      <c r="AE234">
        <f t="shared" si="22"/>
        <v>4849187</v>
      </c>
      <c r="AF234" t="str">
        <f t="shared" si="23"/>
        <v>Paid</v>
      </c>
    </row>
    <row r="235" spans="1:32" ht="27.75" thickBot="1" x14ac:dyDescent="0.35">
      <c r="A235" s="2" t="s">
        <v>1930</v>
      </c>
      <c r="B235" s="2" t="s">
        <v>27</v>
      </c>
      <c r="C235" s="2" t="s">
        <v>28</v>
      </c>
      <c r="D235" s="2" t="s">
        <v>97</v>
      </c>
      <c r="E235" s="2" t="s">
        <v>1884</v>
      </c>
      <c r="F235" s="2" t="s">
        <v>99</v>
      </c>
      <c r="G235" s="2" t="s">
        <v>32</v>
      </c>
      <c r="H235" s="1"/>
      <c r="I235" s="2" t="s">
        <v>33</v>
      </c>
      <c r="J235" s="2" t="s">
        <v>34</v>
      </c>
      <c r="K235" s="2" t="s">
        <v>1931</v>
      </c>
      <c r="L235" s="2" t="s">
        <v>1932</v>
      </c>
      <c r="M235" s="2" t="s">
        <v>1887</v>
      </c>
      <c r="N235" s="2" t="s">
        <v>38</v>
      </c>
      <c r="O235" s="2" t="s">
        <v>1674</v>
      </c>
      <c r="P235" s="2" t="s">
        <v>1933</v>
      </c>
      <c r="Q235" s="2" t="s">
        <v>1934</v>
      </c>
      <c r="R235" s="2" t="s">
        <v>40</v>
      </c>
      <c r="S235" s="2" t="s">
        <v>1935</v>
      </c>
      <c r="T235" s="2" t="s">
        <v>1936</v>
      </c>
      <c r="U235" s="2" t="s">
        <v>1937</v>
      </c>
      <c r="V235" s="2" t="s">
        <v>1938</v>
      </c>
      <c r="W235" s="1"/>
      <c r="X235" s="2" t="s">
        <v>1893</v>
      </c>
      <c r="Y235" s="2" t="s">
        <v>1894</v>
      </c>
      <c r="AA235" t="str">
        <f t="shared" si="18"/>
        <v>2026-06</v>
      </c>
      <c r="AB235" t="str">
        <f t="shared" si="19"/>
        <v>H1_2026</v>
      </c>
      <c r="AC235">
        <f t="shared" si="20"/>
        <v>2474065.44</v>
      </c>
      <c r="AD235">
        <f t="shared" si="21"/>
        <v>198</v>
      </c>
      <c r="AE235">
        <f t="shared" si="22"/>
        <v>642565.43999999994</v>
      </c>
      <c r="AF235" t="str">
        <f t="shared" si="23"/>
        <v>Paid</v>
      </c>
    </row>
    <row r="236" spans="1:32" ht="27.75" thickBot="1" x14ac:dyDescent="0.35">
      <c r="A236" s="2" t="s">
        <v>1939</v>
      </c>
      <c r="B236" s="2" t="s">
        <v>27</v>
      </c>
      <c r="C236" s="2" t="s">
        <v>28</v>
      </c>
      <c r="D236" s="2" t="s">
        <v>97</v>
      </c>
      <c r="E236" s="2" t="s">
        <v>1884</v>
      </c>
      <c r="F236" s="2" t="s">
        <v>99</v>
      </c>
      <c r="G236" s="2" t="s">
        <v>32</v>
      </c>
      <c r="H236" s="1"/>
      <c r="I236" s="2" t="s">
        <v>33</v>
      </c>
      <c r="J236" s="2" t="s">
        <v>34</v>
      </c>
      <c r="K236" s="2" t="s">
        <v>1940</v>
      </c>
      <c r="L236" s="2" t="s">
        <v>1941</v>
      </c>
      <c r="M236" s="2" t="s">
        <v>1887</v>
      </c>
      <c r="N236" s="2" t="s">
        <v>38</v>
      </c>
      <c r="O236" s="2" t="s">
        <v>1942</v>
      </c>
      <c r="P236" s="2" t="s">
        <v>1344</v>
      </c>
      <c r="Q236" s="2" t="s">
        <v>1943</v>
      </c>
      <c r="R236" s="2" t="s">
        <v>40</v>
      </c>
      <c r="S236" s="2" t="s">
        <v>1944</v>
      </c>
      <c r="T236" s="2" t="s">
        <v>1945</v>
      </c>
      <c r="U236" s="2" t="s">
        <v>1946</v>
      </c>
      <c r="V236" s="2" t="s">
        <v>1947</v>
      </c>
      <c r="W236" s="1"/>
      <c r="X236" s="2" t="s">
        <v>1893</v>
      </c>
      <c r="Y236" s="2" t="s">
        <v>1894</v>
      </c>
      <c r="AA236" t="str">
        <f t="shared" si="18"/>
        <v>2026-06</v>
      </c>
      <c r="AB236" t="str">
        <f t="shared" si="19"/>
        <v>H1_2026</v>
      </c>
      <c r="AC236">
        <f t="shared" si="20"/>
        <v>46194225</v>
      </c>
      <c r="AD236">
        <f t="shared" si="21"/>
        <v>5500</v>
      </c>
      <c r="AE236">
        <f t="shared" si="22"/>
        <v>12006225</v>
      </c>
      <c r="AF236" t="str">
        <f t="shared" si="23"/>
        <v>Paid</v>
      </c>
    </row>
    <row r="237" spans="1:32" ht="27.75" thickBot="1" x14ac:dyDescent="0.35">
      <c r="A237" s="2" t="s">
        <v>1948</v>
      </c>
      <c r="B237" s="2" t="s">
        <v>27</v>
      </c>
      <c r="C237" s="2" t="s">
        <v>28</v>
      </c>
      <c r="D237" s="2" t="s">
        <v>97</v>
      </c>
      <c r="E237" s="2" t="s">
        <v>1884</v>
      </c>
      <c r="F237" s="2" t="s">
        <v>99</v>
      </c>
      <c r="G237" s="2" t="s">
        <v>32</v>
      </c>
      <c r="H237" s="1"/>
      <c r="I237" s="2" t="s">
        <v>33</v>
      </c>
      <c r="J237" s="2" t="s">
        <v>34</v>
      </c>
      <c r="K237" s="2" t="s">
        <v>1949</v>
      </c>
      <c r="L237" s="2" t="s">
        <v>1950</v>
      </c>
      <c r="M237" s="2" t="s">
        <v>1887</v>
      </c>
      <c r="N237" s="2" t="s">
        <v>38</v>
      </c>
      <c r="O237" s="2" t="s">
        <v>1951</v>
      </c>
      <c r="P237" s="2" t="s">
        <v>1952</v>
      </c>
      <c r="Q237" s="2" t="s">
        <v>1953</v>
      </c>
      <c r="R237" s="2" t="s">
        <v>40</v>
      </c>
      <c r="S237" s="2" t="s">
        <v>1954</v>
      </c>
      <c r="T237" s="2" t="s">
        <v>1955</v>
      </c>
      <c r="U237" s="2" t="s">
        <v>1956</v>
      </c>
      <c r="V237" s="2" t="s">
        <v>1957</v>
      </c>
      <c r="W237" s="1"/>
      <c r="X237" s="2" t="s">
        <v>806</v>
      </c>
      <c r="Y237" s="2" t="s">
        <v>1894</v>
      </c>
      <c r="AA237" t="str">
        <f t="shared" si="18"/>
        <v>2026-06</v>
      </c>
      <c r="AB237" t="str">
        <f t="shared" si="19"/>
        <v>H1_2026</v>
      </c>
      <c r="AC237">
        <f t="shared" si="20"/>
        <v>7152369</v>
      </c>
      <c r="AD237">
        <f t="shared" si="21"/>
        <v>600</v>
      </c>
      <c r="AE237">
        <f t="shared" si="22"/>
        <v>1824369</v>
      </c>
      <c r="AF237" t="str">
        <f t="shared" si="23"/>
        <v>Paid</v>
      </c>
    </row>
    <row r="238" spans="1:32" ht="27.75" thickBot="1" x14ac:dyDescent="0.35">
      <c r="A238" s="2" t="s">
        <v>1958</v>
      </c>
      <c r="B238" s="2" t="s">
        <v>27</v>
      </c>
      <c r="C238" s="2" t="s">
        <v>28</v>
      </c>
      <c r="D238" s="2" t="s">
        <v>97</v>
      </c>
      <c r="E238" s="2" t="s">
        <v>1884</v>
      </c>
      <c r="F238" s="2" t="s">
        <v>99</v>
      </c>
      <c r="G238" s="2" t="s">
        <v>32</v>
      </c>
      <c r="H238" s="1"/>
      <c r="I238" s="2" t="s">
        <v>33</v>
      </c>
      <c r="J238" s="2" t="s">
        <v>34</v>
      </c>
      <c r="K238" s="2" t="s">
        <v>1959</v>
      </c>
      <c r="L238" s="2" t="s">
        <v>1960</v>
      </c>
      <c r="M238" s="2" t="s">
        <v>1887</v>
      </c>
      <c r="N238" s="2" t="s">
        <v>38</v>
      </c>
      <c r="O238" s="2" t="s">
        <v>1519</v>
      </c>
      <c r="P238" s="2" t="s">
        <v>1961</v>
      </c>
      <c r="Q238" s="2" t="s">
        <v>1962</v>
      </c>
      <c r="R238" s="2" t="s">
        <v>40</v>
      </c>
      <c r="S238" s="2" t="s">
        <v>1963</v>
      </c>
      <c r="T238" s="2" t="s">
        <v>1964</v>
      </c>
      <c r="U238" s="2" t="s">
        <v>1965</v>
      </c>
      <c r="V238" s="2" t="s">
        <v>1966</v>
      </c>
      <c r="W238" s="1"/>
      <c r="X238" s="2" t="s">
        <v>1893</v>
      </c>
      <c r="Y238" s="2" t="s">
        <v>1894</v>
      </c>
      <c r="AA238" t="str">
        <f t="shared" si="18"/>
        <v>2026-06</v>
      </c>
      <c r="AB238" t="str">
        <f t="shared" si="19"/>
        <v>H1_2026</v>
      </c>
      <c r="AC238">
        <f t="shared" si="20"/>
        <v>5580439.2000000002</v>
      </c>
      <c r="AD238">
        <f t="shared" si="21"/>
        <v>360</v>
      </c>
      <c r="AE238">
        <f t="shared" si="22"/>
        <v>1451239.2</v>
      </c>
      <c r="AF238" t="str">
        <f t="shared" si="23"/>
        <v>Paid</v>
      </c>
    </row>
    <row r="239" spans="1:32" ht="17.25" thickBot="1" x14ac:dyDescent="0.35">
      <c r="A239" s="2" t="s">
        <v>1967</v>
      </c>
      <c r="B239" s="2" t="s">
        <v>27</v>
      </c>
      <c r="C239" s="2" t="s">
        <v>28</v>
      </c>
      <c r="D239" s="2" t="s">
        <v>97</v>
      </c>
      <c r="E239" s="2" t="s">
        <v>1884</v>
      </c>
      <c r="F239" s="2" t="s">
        <v>99</v>
      </c>
      <c r="G239" s="2" t="s">
        <v>32</v>
      </c>
      <c r="H239" s="1"/>
      <c r="I239" s="2" t="s">
        <v>33</v>
      </c>
      <c r="J239" s="2" t="s">
        <v>34</v>
      </c>
      <c r="K239" s="2" t="s">
        <v>1968</v>
      </c>
      <c r="L239" s="2" t="s">
        <v>1969</v>
      </c>
      <c r="M239" s="2" t="s">
        <v>1887</v>
      </c>
      <c r="N239" s="2" t="s">
        <v>38</v>
      </c>
      <c r="O239" s="2" t="s">
        <v>1113</v>
      </c>
      <c r="P239" s="2" t="s">
        <v>1970</v>
      </c>
      <c r="Q239" s="2" t="s">
        <v>1971</v>
      </c>
      <c r="R239" s="2" t="s">
        <v>40</v>
      </c>
      <c r="S239" s="2" t="s">
        <v>1972</v>
      </c>
      <c r="T239" s="2" t="s">
        <v>1973</v>
      </c>
      <c r="U239" s="2" t="s">
        <v>1974</v>
      </c>
      <c r="V239" s="2" t="s">
        <v>1975</v>
      </c>
      <c r="W239" s="1"/>
      <c r="X239" s="2" t="s">
        <v>806</v>
      </c>
      <c r="Y239" s="2" t="s">
        <v>1894</v>
      </c>
      <c r="AA239" t="str">
        <f t="shared" si="18"/>
        <v>2026-06</v>
      </c>
      <c r="AB239" t="str">
        <f t="shared" si="19"/>
        <v>H1_2026</v>
      </c>
      <c r="AC239">
        <f t="shared" si="20"/>
        <v>4185329.4</v>
      </c>
      <c r="AD239">
        <f t="shared" si="21"/>
        <v>540</v>
      </c>
      <c r="AE239">
        <f t="shared" si="22"/>
        <v>1068449.3999999999</v>
      </c>
      <c r="AF239" t="str">
        <f t="shared" si="23"/>
        <v>Paid</v>
      </c>
    </row>
    <row r="240" spans="1:32" ht="27.75" thickBot="1" x14ac:dyDescent="0.35">
      <c r="A240" s="2" t="s">
        <v>1976</v>
      </c>
      <c r="B240" s="2" t="s">
        <v>27</v>
      </c>
      <c r="C240" s="2" t="s">
        <v>28</v>
      </c>
      <c r="D240" s="2" t="s">
        <v>97</v>
      </c>
      <c r="E240" s="2" t="s">
        <v>1884</v>
      </c>
      <c r="F240" s="2" t="s">
        <v>99</v>
      </c>
      <c r="G240" s="2" t="s">
        <v>32</v>
      </c>
      <c r="H240" s="1"/>
      <c r="I240" s="2" t="s">
        <v>33</v>
      </c>
      <c r="J240" s="2" t="s">
        <v>34</v>
      </c>
      <c r="K240" s="2" t="s">
        <v>1977</v>
      </c>
      <c r="L240" s="2" t="s">
        <v>1978</v>
      </c>
      <c r="M240" s="2" t="s">
        <v>1887</v>
      </c>
      <c r="N240" s="2" t="s">
        <v>38</v>
      </c>
      <c r="O240" s="2" t="s">
        <v>1979</v>
      </c>
      <c r="P240" s="2" t="s">
        <v>1124</v>
      </c>
      <c r="Q240" s="2" t="s">
        <v>1980</v>
      </c>
      <c r="R240" s="2" t="s">
        <v>40</v>
      </c>
      <c r="S240" s="2" t="s">
        <v>1981</v>
      </c>
      <c r="T240" s="2" t="s">
        <v>1982</v>
      </c>
      <c r="U240" s="2" t="s">
        <v>1983</v>
      </c>
      <c r="V240" s="2" t="s">
        <v>1984</v>
      </c>
      <c r="W240" s="1"/>
      <c r="X240" s="2" t="s">
        <v>1073</v>
      </c>
      <c r="Y240" s="2" t="s">
        <v>1894</v>
      </c>
      <c r="AA240" t="str">
        <f t="shared" si="18"/>
        <v>2026-06</v>
      </c>
      <c r="AB240" t="str">
        <f t="shared" si="19"/>
        <v>H1_2026</v>
      </c>
      <c r="AC240">
        <f t="shared" si="20"/>
        <v>9081475.1999999993</v>
      </c>
      <c r="AD240">
        <f t="shared" si="21"/>
        <v>1440</v>
      </c>
      <c r="AE240">
        <f t="shared" si="22"/>
        <v>2368195.2000000002</v>
      </c>
      <c r="AF240" t="str">
        <f t="shared" si="23"/>
        <v>Paid</v>
      </c>
    </row>
    <row r="241" spans="1:32" ht="17.25" thickBot="1" x14ac:dyDescent="0.35">
      <c r="A241" s="2" t="s">
        <v>1985</v>
      </c>
      <c r="B241" s="2" t="s">
        <v>27</v>
      </c>
      <c r="C241" s="2" t="s">
        <v>28</v>
      </c>
      <c r="D241" s="2" t="s">
        <v>97</v>
      </c>
      <c r="E241" s="2" t="s">
        <v>1884</v>
      </c>
      <c r="F241" s="2" t="s">
        <v>99</v>
      </c>
      <c r="G241" s="2" t="s">
        <v>32</v>
      </c>
      <c r="H241" s="1"/>
      <c r="I241" s="2" t="s">
        <v>33</v>
      </c>
      <c r="J241" s="2" t="s">
        <v>34</v>
      </c>
      <c r="K241" s="2" t="s">
        <v>1986</v>
      </c>
      <c r="L241" s="2" t="s">
        <v>1987</v>
      </c>
      <c r="M241" s="2" t="s">
        <v>1887</v>
      </c>
      <c r="N241" s="2" t="s">
        <v>38</v>
      </c>
      <c r="O241" s="2" t="s">
        <v>1988</v>
      </c>
      <c r="P241" s="2" t="s">
        <v>1498</v>
      </c>
      <c r="Q241" s="2" t="s">
        <v>1989</v>
      </c>
      <c r="R241" s="2" t="s">
        <v>40</v>
      </c>
      <c r="S241" s="2" t="s">
        <v>1990</v>
      </c>
      <c r="T241" s="2" t="s">
        <v>1991</v>
      </c>
      <c r="U241" s="2" t="s">
        <v>1992</v>
      </c>
      <c r="V241" s="2" t="s">
        <v>1993</v>
      </c>
      <c r="W241" s="1"/>
      <c r="X241" s="2" t="s">
        <v>1893</v>
      </c>
      <c r="Y241" s="2" t="s">
        <v>1894</v>
      </c>
      <c r="AA241" t="str">
        <f t="shared" si="18"/>
        <v>2026-06</v>
      </c>
      <c r="AB241" t="str">
        <f t="shared" si="19"/>
        <v>H1_2026</v>
      </c>
      <c r="AC241">
        <f t="shared" si="20"/>
        <v>16101229.199999999</v>
      </c>
      <c r="AD241">
        <f t="shared" si="21"/>
        <v>1740</v>
      </c>
      <c r="AE241">
        <f t="shared" si="22"/>
        <v>4190929.2</v>
      </c>
      <c r="AF241" t="str">
        <f t="shared" si="23"/>
        <v>Paid</v>
      </c>
    </row>
    <row r="242" spans="1:32" ht="17.25" thickBot="1" x14ac:dyDescent="0.35">
      <c r="A242" s="2" t="s">
        <v>114</v>
      </c>
      <c r="B242" s="2" t="s">
        <v>27</v>
      </c>
      <c r="C242" s="2" t="s">
        <v>28</v>
      </c>
      <c r="D242" s="2" t="s">
        <v>97</v>
      </c>
      <c r="E242" s="2" t="s">
        <v>1884</v>
      </c>
      <c r="F242" s="2" t="s">
        <v>99</v>
      </c>
      <c r="G242" s="2" t="s">
        <v>32</v>
      </c>
      <c r="H242" s="1"/>
      <c r="I242" s="2" t="s">
        <v>33</v>
      </c>
      <c r="J242" s="2" t="s">
        <v>34</v>
      </c>
      <c r="K242" s="2" t="s">
        <v>1994</v>
      </c>
      <c r="L242" s="2" t="s">
        <v>1995</v>
      </c>
      <c r="M242" s="2" t="s">
        <v>1887</v>
      </c>
      <c r="N242" s="2" t="s">
        <v>38</v>
      </c>
      <c r="O242" s="2" t="s">
        <v>1113</v>
      </c>
      <c r="P242" s="2" t="s">
        <v>1175</v>
      </c>
      <c r="Q242" s="2" t="s">
        <v>1996</v>
      </c>
      <c r="R242" s="2" t="s">
        <v>40</v>
      </c>
      <c r="S242" s="2" t="s">
        <v>1997</v>
      </c>
      <c r="T242" s="2" t="s">
        <v>1329</v>
      </c>
      <c r="U242" s="2" t="s">
        <v>1998</v>
      </c>
      <c r="V242" s="2" t="s">
        <v>1999</v>
      </c>
      <c r="W242" s="1"/>
      <c r="X242" s="2" t="s">
        <v>2000</v>
      </c>
      <c r="Y242" s="2" t="s">
        <v>1894</v>
      </c>
      <c r="AA242" t="str">
        <f t="shared" si="18"/>
        <v>2026-06</v>
      </c>
      <c r="AB242" t="str">
        <f t="shared" si="19"/>
        <v>H1_2026</v>
      </c>
      <c r="AC242">
        <f t="shared" si="20"/>
        <v>4988976.3</v>
      </c>
      <c r="AD242">
        <f t="shared" si="21"/>
        <v>540</v>
      </c>
      <c r="AE242">
        <f t="shared" si="22"/>
        <v>992976.3</v>
      </c>
      <c r="AF242" t="str">
        <f t="shared" si="23"/>
        <v>Paid</v>
      </c>
    </row>
    <row r="243" spans="1:32" ht="17.25" thickBot="1" x14ac:dyDescent="0.35">
      <c r="A243" s="2" t="s">
        <v>2001</v>
      </c>
      <c r="B243" s="2" t="s">
        <v>27</v>
      </c>
      <c r="C243" s="2" t="s">
        <v>28</v>
      </c>
      <c r="D243" s="2" t="s">
        <v>97</v>
      </c>
      <c r="E243" s="2" t="s">
        <v>1884</v>
      </c>
      <c r="F243" s="2" t="s">
        <v>99</v>
      </c>
      <c r="G243" s="2" t="s">
        <v>32</v>
      </c>
      <c r="H243" s="1"/>
      <c r="I243" s="2" t="s">
        <v>33</v>
      </c>
      <c r="J243" s="2" t="s">
        <v>34</v>
      </c>
      <c r="K243" s="2" t="s">
        <v>2002</v>
      </c>
      <c r="L243" s="2" t="s">
        <v>2003</v>
      </c>
      <c r="M243" s="2" t="s">
        <v>1887</v>
      </c>
      <c r="N243" s="2" t="s">
        <v>38</v>
      </c>
      <c r="O243" s="2" t="s">
        <v>2004</v>
      </c>
      <c r="P243" s="2" t="s">
        <v>2005</v>
      </c>
      <c r="Q243" s="2" t="s">
        <v>2006</v>
      </c>
      <c r="R243" s="2" t="s">
        <v>40</v>
      </c>
      <c r="S243" s="2" t="s">
        <v>2007</v>
      </c>
      <c r="T243" s="2" t="s">
        <v>2008</v>
      </c>
      <c r="U243" s="2" t="s">
        <v>2009</v>
      </c>
      <c r="V243" s="2" t="s">
        <v>2010</v>
      </c>
      <c r="W243" s="1"/>
      <c r="X243" s="2" t="s">
        <v>1893</v>
      </c>
      <c r="Y243" s="2" t="s">
        <v>1894</v>
      </c>
      <c r="AA243" t="str">
        <f t="shared" si="18"/>
        <v>2026-06</v>
      </c>
      <c r="AB243" t="str">
        <f t="shared" si="19"/>
        <v>H1_2026</v>
      </c>
      <c r="AC243">
        <f t="shared" si="20"/>
        <v>4703412</v>
      </c>
      <c r="AD243">
        <f t="shared" si="21"/>
        <v>336</v>
      </c>
      <c r="AE243">
        <f t="shared" si="22"/>
        <v>1222452</v>
      </c>
      <c r="AF243" t="str">
        <f t="shared" si="23"/>
        <v>Paid</v>
      </c>
    </row>
    <row r="244" spans="1:32" ht="27.75" thickBot="1" x14ac:dyDescent="0.35">
      <c r="A244" s="2" t="s">
        <v>2011</v>
      </c>
      <c r="B244" s="2" t="s">
        <v>27</v>
      </c>
      <c r="C244" s="2" t="s">
        <v>28</v>
      </c>
      <c r="D244" s="2" t="s">
        <v>97</v>
      </c>
      <c r="E244" s="2" t="s">
        <v>1884</v>
      </c>
      <c r="F244" s="2" t="s">
        <v>99</v>
      </c>
      <c r="G244" s="2" t="s">
        <v>32</v>
      </c>
      <c r="H244" s="1"/>
      <c r="I244" s="2" t="s">
        <v>33</v>
      </c>
      <c r="J244" s="2" t="s">
        <v>34</v>
      </c>
      <c r="K244" s="2" t="s">
        <v>2012</v>
      </c>
      <c r="L244" s="2" t="s">
        <v>2013</v>
      </c>
      <c r="M244" s="2" t="s">
        <v>1887</v>
      </c>
      <c r="N244" s="2" t="s">
        <v>38</v>
      </c>
      <c r="O244" s="2" t="s">
        <v>2014</v>
      </c>
      <c r="P244" s="2" t="s">
        <v>2015</v>
      </c>
      <c r="Q244" s="2" t="s">
        <v>2016</v>
      </c>
      <c r="R244" s="2" t="s">
        <v>40</v>
      </c>
      <c r="S244" s="2" t="s">
        <v>2017</v>
      </c>
      <c r="T244" s="2" t="s">
        <v>2018</v>
      </c>
      <c r="U244" s="2" t="s">
        <v>1956</v>
      </c>
      <c r="V244" s="2" t="s">
        <v>2019</v>
      </c>
      <c r="W244" s="1"/>
      <c r="X244" s="2" t="s">
        <v>2020</v>
      </c>
      <c r="Y244" s="2" t="s">
        <v>1894</v>
      </c>
      <c r="AA244" t="str">
        <f t="shared" si="18"/>
        <v>2026-06</v>
      </c>
      <c r="AB244" t="str">
        <f t="shared" si="19"/>
        <v>H1_2026</v>
      </c>
      <c r="AC244">
        <f t="shared" si="20"/>
        <v>7185964.7999999998</v>
      </c>
      <c r="AD244">
        <f t="shared" si="21"/>
        <v>960</v>
      </c>
      <c r="AE244">
        <f t="shared" si="22"/>
        <v>1857964.8</v>
      </c>
      <c r="AF244" t="str">
        <f t="shared" si="23"/>
        <v>Paid</v>
      </c>
    </row>
    <row r="245" spans="1:32" ht="27.75" thickBot="1" x14ac:dyDescent="0.35">
      <c r="A245" s="2" t="s">
        <v>2021</v>
      </c>
      <c r="B245" s="2" t="s">
        <v>27</v>
      </c>
      <c r="C245" s="2" t="s">
        <v>28</v>
      </c>
      <c r="D245" s="2" t="s">
        <v>97</v>
      </c>
      <c r="E245" s="2" t="s">
        <v>1884</v>
      </c>
      <c r="F245" s="2" t="s">
        <v>99</v>
      </c>
      <c r="G245" s="2" t="s">
        <v>32</v>
      </c>
      <c r="H245" s="1"/>
      <c r="I245" s="2" t="s">
        <v>33</v>
      </c>
      <c r="J245" s="2" t="s">
        <v>34</v>
      </c>
      <c r="K245" s="2" t="s">
        <v>2022</v>
      </c>
      <c r="L245" s="2" t="s">
        <v>2023</v>
      </c>
      <c r="M245" s="2" t="s">
        <v>1887</v>
      </c>
      <c r="N245" s="2" t="s">
        <v>38</v>
      </c>
      <c r="O245" s="2" t="s">
        <v>1979</v>
      </c>
      <c r="P245" s="2" t="s">
        <v>646</v>
      </c>
      <c r="Q245" s="2" t="s">
        <v>2024</v>
      </c>
      <c r="R245" s="2" t="s">
        <v>40</v>
      </c>
      <c r="S245" s="2" t="s">
        <v>2025</v>
      </c>
      <c r="T245" s="2" t="s">
        <v>1927</v>
      </c>
      <c r="U245" s="2" t="s">
        <v>2026</v>
      </c>
      <c r="V245" s="2" t="s">
        <v>2027</v>
      </c>
      <c r="W245" s="1"/>
      <c r="X245" s="2" t="s">
        <v>1893</v>
      </c>
      <c r="Y245" s="2" t="s">
        <v>1894</v>
      </c>
      <c r="AA245" t="str">
        <f t="shared" si="18"/>
        <v>2026-06</v>
      </c>
      <c r="AB245" t="str">
        <f t="shared" si="19"/>
        <v>H1_2026</v>
      </c>
      <c r="AC245">
        <f t="shared" si="20"/>
        <v>13685868</v>
      </c>
      <c r="AD245">
        <f t="shared" si="21"/>
        <v>1440</v>
      </c>
      <c r="AE245">
        <f t="shared" si="22"/>
        <v>3562668</v>
      </c>
      <c r="AF245" t="str">
        <f t="shared" si="23"/>
        <v>Paid</v>
      </c>
    </row>
    <row r="246" spans="1:32" ht="17.25" thickBot="1" x14ac:dyDescent="0.35">
      <c r="A246" s="2" t="s">
        <v>2028</v>
      </c>
      <c r="B246" s="2" t="s">
        <v>27</v>
      </c>
      <c r="C246" s="2" t="s">
        <v>28</v>
      </c>
      <c r="D246" s="2" t="s">
        <v>97</v>
      </c>
      <c r="E246" s="2" t="s">
        <v>1884</v>
      </c>
      <c r="F246" s="2" t="s">
        <v>99</v>
      </c>
      <c r="G246" s="2" t="s">
        <v>32</v>
      </c>
      <c r="H246" s="1"/>
      <c r="I246" s="2" t="s">
        <v>33</v>
      </c>
      <c r="J246" s="2" t="s">
        <v>34</v>
      </c>
      <c r="K246" s="2" t="s">
        <v>2029</v>
      </c>
      <c r="L246" s="2" t="s">
        <v>2030</v>
      </c>
      <c r="M246" s="2" t="s">
        <v>1887</v>
      </c>
      <c r="N246" s="2" t="s">
        <v>38</v>
      </c>
      <c r="O246" s="2" t="s">
        <v>391</v>
      </c>
      <c r="P246" s="2" t="s">
        <v>2031</v>
      </c>
      <c r="Q246" s="2" t="s">
        <v>2032</v>
      </c>
      <c r="R246" s="2" t="s">
        <v>40</v>
      </c>
      <c r="S246" s="2" t="s">
        <v>2033</v>
      </c>
      <c r="T246" s="2" t="s">
        <v>2018</v>
      </c>
      <c r="U246" s="2" t="s">
        <v>2034</v>
      </c>
      <c r="V246" s="2" t="s">
        <v>2035</v>
      </c>
      <c r="W246" s="1"/>
      <c r="X246" s="2" t="s">
        <v>1893</v>
      </c>
      <c r="Y246" s="2" t="s">
        <v>1894</v>
      </c>
      <c r="AA246" t="str">
        <f t="shared" si="18"/>
        <v>2026-06</v>
      </c>
      <c r="AB246" t="str">
        <f t="shared" si="19"/>
        <v>H1_2026</v>
      </c>
      <c r="AC246">
        <f t="shared" si="20"/>
        <v>450006.9</v>
      </c>
      <c r="AD246">
        <f t="shared" si="21"/>
        <v>60</v>
      </c>
      <c r="AE246">
        <f t="shared" si="22"/>
        <v>117006.9</v>
      </c>
      <c r="AF246" t="str">
        <f t="shared" si="23"/>
        <v>Paid</v>
      </c>
    </row>
    <row r="247" spans="1:32" ht="17.25" thickBot="1" x14ac:dyDescent="0.35">
      <c r="A247" s="2" t="s">
        <v>2036</v>
      </c>
      <c r="B247" s="2" t="s">
        <v>27</v>
      </c>
      <c r="C247" s="2" t="s">
        <v>28</v>
      </c>
      <c r="D247" s="2" t="s">
        <v>97</v>
      </c>
      <c r="E247" s="2" t="s">
        <v>1884</v>
      </c>
      <c r="F247" s="2" t="s">
        <v>99</v>
      </c>
      <c r="G247" s="2" t="s">
        <v>32</v>
      </c>
      <c r="H247" s="1"/>
      <c r="I247" s="2" t="s">
        <v>33</v>
      </c>
      <c r="J247" s="2" t="s">
        <v>34</v>
      </c>
      <c r="K247" s="2" t="s">
        <v>2037</v>
      </c>
      <c r="L247" s="2" t="s">
        <v>2038</v>
      </c>
      <c r="M247" s="2" t="s">
        <v>1887</v>
      </c>
      <c r="N247" s="2" t="s">
        <v>38</v>
      </c>
      <c r="O247" s="2" t="s">
        <v>831</v>
      </c>
      <c r="P247" s="2" t="s">
        <v>2039</v>
      </c>
      <c r="Q247" s="2" t="s">
        <v>2040</v>
      </c>
      <c r="R247" s="2" t="s">
        <v>40</v>
      </c>
      <c r="S247" s="2" t="s">
        <v>2041</v>
      </c>
      <c r="T247" s="2" t="s">
        <v>2042</v>
      </c>
      <c r="U247" s="2" t="s">
        <v>2043</v>
      </c>
      <c r="V247" s="2" t="s">
        <v>2044</v>
      </c>
      <c r="W247" s="1"/>
      <c r="X247" s="2" t="s">
        <v>1073</v>
      </c>
      <c r="Y247" s="2" t="s">
        <v>1894</v>
      </c>
      <c r="AA247" t="str">
        <f t="shared" si="18"/>
        <v>2026-06</v>
      </c>
      <c r="AB247" t="str">
        <f t="shared" si="19"/>
        <v>H1_2026</v>
      </c>
      <c r="AC247">
        <f t="shared" si="20"/>
        <v>1753465</v>
      </c>
      <c r="AD247">
        <f t="shared" si="21"/>
        <v>1000</v>
      </c>
      <c r="AE247">
        <f t="shared" si="22"/>
        <v>458465</v>
      </c>
      <c r="AF247" t="str">
        <f t="shared" si="23"/>
        <v>Paid</v>
      </c>
    </row>
    <row r="248" spans="1:32" ht="17.25" thickBot="1" x14ac:dyDescent="0.35">
      <c r="A248" s="2" t="s">
        <v>2045</v>
      </c>
      <c r="B248" s="2" t="s">
        <v>27</v>
      </c>
      <c r="C248" s="2" t="s">
        <v>28</v>
      </c>
      <c r="D248" s="2" t="s">
        <v>97</v>
      </c>
      <c r="E248" s="2" t="s">
        <v>1884</v>
      </c>
      <c r="F248" s="2" t="s">
        <v>99</v>
      </c>
      <c r="G248" s="2" t="s">
        <v>32</v>
      </c>
      <c r="H248" s="1"/>
      <c r="I248" s="2" t="s">
        <v>33</v>
      </c>
      <c r="J248" s="2" t="s">
        <v>34</v>
      </c>
      <c r="K248" s="2" t="s">
        <v>2046</v>
      </c>
      <c r="L248" s="2" t="s">
        <v>2047</v>
      </c>
      <c r="M248" s="2" t="s">
        <v>1887</v>
      </c>
      <c r="N248" s="2" t="s">
        <v>38</v>
      </c>
      <c r="O248" s="2" t="s">
        <v>2048</v>
      </c>
      <c r="P248" s="2" t="s">
        <v>1697</v>
      </c>
      <c r="Q248" s="2" t="s">
        <v>2049</v>
      </c>
      <c r="R248" s="2" t="s">
        <v>40</v>
      </c>
      <c r="S248" s="2" t="s">
        <v>2050</v>
      </c>
      <c r="T248" s="2" t="s">
        <v>2051</v>
      </c>
      <c r="U248" s="2" t="s">
        <v>2052</v>
      </c>
      <c r="V248" s="2" t="s">
        <v>2053</v>
      </c>
      <c r="W248" s="1"/>
      <c r="X248" s="2" t="s">
        <v>2020</v>
      </c>
      <c r="Y248" s="2" t="s">
        <v>1894</v>
      </c>
      <c r="AA248" t="str">
        <f t="shared" si="18"/>
        <v>2026-06</v>
      </c>
      <c r="AB248" t="str">
        <f t="shared" si="19"/>
        <v>H1_2026</v>
      </c>
      <c r="AC248">
        <f t="shared" si="20"/>
        <v>4195938.5999999996</v>
      </c>
      <c r="AD248">
        <f t="shared" si="21"/>
        <v>840</v>
      </c>
      <c r="AE248">
        <f t="shared" si="22"/>
        <v>1087938.6000000001</v>
      </c>
      <c r="AF248" t="str">
        <f t="shared" si="23"/>
        <v>Paid</v>
      </c>
    </row>
    <row r="249" spans="1:32" ht="17.25" thickBot="1" x14ac:dyDescent="0.35">
      <c r="A249" s="2" t="s">
        <v>2054</v>
      </c>
      <c r="B249" s="2" t="s">
        <v>27</v>
      </c>
      <c r="C249" s="2" t="s">
        <v>28</v>
      </c>
      <c r="D249" s="2" t="s">
        <v>97</v>
      </c>
      <c r="E249" s="2" t="s">
        <v>1884</v>
      </c>
      <c r="F249" s="2" t="s">
        <v>99</v>
      </c>
      <c r="G249" s="2" t="s">
        <v>32</v>
      </c>
      <c r="H249" s="1"/>
      <c r="I249" s="2" t="s">
        <v>33</v>
      </c>
      <c r="J249" s="2" t="s">
        <v>34</v>
      </c>
      <c r="K249" s="2" t="s">
        <v>2055</v>
      </c>
      <c r="L249" s="2" t="s">
        <v>2056</v>
      </c>
      <c r="M249" s="2" t="s">
        <v>1887</v>
      </c>
      <c r="N249" s="2" t="s">
        <v>38</v>
      </c>
      <c r="O249" s="2" t="s">
        <v>2057</v>
      </c>
      <c r="P249" s="2" t="s">
        <v>1933</v>
      </c>
      <c r="Q249" s="2" t="s">
        <v>2058</v>
      </c>
      <c r="R249" s="2" t="s">
        <v>40</v>
      </c>
      <c r="S249" s="2" t="s">
        <v>2059</v>
      </c>
      <c r="T249" s="2" t="s">
        <v>1936</v>
      </c>
      <c r="U249" s="2" t="s">
        <v>2060</v>
      </c>
      <c r="V249" s="2" t="s">
        <v>2061</v>
      </c>
      <c r="W249" s="1"/>
      <c r="X249" s="2" t="s">
        <v>1893</v>
      </c>
      <c r="Y249" s="2" t="s">
        <v>1894</v>
      </c>
      <c r="AA249" t="str">
        <f t="shared" si="18"/>
        <v>2026-06</v>
      </c>
      <c r="AB249" t="str">
        <f t="shared" si="19"/>
        <v>H1_2026</v>
      </c>
      <c r="AC249">
        <f t="shared" si="20"/>
        <v>4373348</v>
      </c>
      <c r="AD249">
        <f t="shared" si="21"/>
        <v>350</v>
      </c>
      <c r="AE249">
        <f t="shared" si="22"/>
        <v>1135848</v>
      </c>
      <c r="AF249" t="str">
        <f t="shared" si="23"/>
        <v>Paid</v>
      </c>
    </row>
    <row r="250" spans="1:32" ht="17.25" thickBot="1" x14ac:dyDescent="0.35">
      <c r="A250" s="2" t="s">
        <v>2062</v>
      </c>
      <c r="B250" s="2" t="s">
        <v>27</v>
      </c>
      <c r="C250" s="2" t="s">
        <v>28</v>
      </c>
      <c r="D250" s="2" t="s">
        <v>97</v>
      </c>
      <c r="E250" s="2" t="s">
        <v>1884</v>
      </c>
      <c r="F250" s="2" t="s">
        <v>99</v>
      </c>
      <c r="G250" s="2" t="s">
        <v>32</v>
      </c>
      <c r="H250" s="1"/>
      <c r="I250" s="2" t="s">
        <v>33</v>
      </c>
      <c r="J250" s="2" t="s">
        <v>34</v>
      </c>
      <c r="K250" s="2" t="s">
        <v>2063</v>
      </c>
      <c r="L250" s="2" t="s">
        <v>2064</v>
      </c>
      <c r="M250" s="2" t="s">
        <v>1887</v>
      </c>
      <c r="N250" s="2" t="s">
        <v>38</v>
      </c>
      <c r="O250" s="2" t="s">
        <v>2065</v>
      </c>
      <c r="P250" s="2" t="s">
        <v>2066</v>
      </c>
      <c r="Q250" s="2" t="s">
        <v>2067</v>
      </c>
      <c r="R250" s="2" t="s">
        <v>40</v>
      </c>
      <c r="S250" s="2" t="s">
        <v>2068</v>
      </c>
      <c r="T250" s="2" t="s">
        <v>2069</v>
      </c>
      <c r="U250" s="2" t="s">
        <v>2070</v>
      </c>
      <c r="V250" s="2" t="s">
        <v>2071</v>
      </c>
      <c r="W250" s="1"/>
      <c r="X250" s="2" t="s">
        <v>2072</v>
      </c>
      <c r="Y250" s="2" t="s">
        <v>1894</v>
      </c>
      <c r="AA250" t="str">
        <f t="shared" si="18"/>
        <v>2026-06</v>
      </c>
      <c r="AB250" t="str">
        <f t="shared" si="19"/>
        <v>H1_2026</v>
      </c>
      <c r="AC250">
        <f t="shared" si="20"/>
        <v>17435159.280000001</v>
      </c>
      <c r="AD250">
        <f t="shared" si="21"/>
        <v>1584</v>
      </c>
      <c r="AE250">
        <f t="shared" si="22"/>
        <v>3495959.28</v>
      </c>
      <c r="AF250" t="str">
        <f t="shared" si="23"/>
        <v>Paid</v>
      </c>
    </row>
    <row r="251" spans="1:32" ht="17.25" thickBot="1" x14ac:dyDescent="0.35">
      <c r="A251" s="2" t="s">
        <v>2073</v>
      </c>
      <c r="B251" s="2" t="s">
        <v>27</v>
      </c>
      <c r="C251" s="2" t="s">
        <v>28</v>
      </c>
      <c r="D251" s="2" t="s">
        <v>97</v>
      </c>
      <c r="E251" s="2" t="s">
        <v>1884</v>
      </c>
      <c r="F251" s="2" t="s">
        <v>99</v>
      </c>
      <c r="G251" s="2" t="s">
        <v>32</v>
      </c>
      <c r="H251" s="1"/>
      <c r="I251" s="2" t="s">
        <v>33</v>
      </c>
      <c r="J251" s="2" t="s">
        <v>34</v>
      </c>
      <c r="K251" s="2" t="s">
        <v>2074</v>
      </c>
      <c r="L251" s="2" t="s">
        <v>2075</v>
      </c>
      <c r="M251" s="2" t="s">
        <v>1887</v>
      </c>
      <c r="N251" s="2" t="s">
        <v>38</v>
      </c>
      <c r="O251" s="2" t="s">
        <v>159</v>
      </c>
      <c r="P251" s="2" t="s">
        <v>2076</v>
      </c>
      <c r="Q251" s="2" t="s">
        <v>2077</v>
      </c>
      <c r="R251" s="2" t="s">
        <v>40</v>
      </c>
      <c r="S251" s="2" t="s">
        <v>2078</v>
      </c>
      <c r="T251" s="2" t="s">
        <v>2079</v>
      </c>
      <c r="U251" s="2" t="s">
        <v>2080</v>
      </c>
      <c r="V251" s="2" t="s">
        <v>2081</v>
      </c>
      <c r="W251" s="1"/>
      <c r="X251" s="2" t="s">
        <v>1893</v>
      </c>
      <c r="Y251" s="2" t="s">
        <v>1894</v>
      </c>
      <c r="AA251" t="str">
        <f t="shared" si="18"/>
        <v>2026-06</v>
      </c>
      <c r="AB251" t="str">
        <f t="shared" si="19"/>
        <v>H1_2026</v>
      </c>
      <c r="AC251">
        <f t="shared" si="20"/>
        <v>919464</v>
      </c>
      <c r="AD251">
        <f t="shared" si="21"/>
        <v>80</v>
      </c>
      <c r="AE251">
        <f t="shared" si="22"/>
        <v>238664</v>
      </c>
      <c r="AF251" t="str">
        <f t="shared" si="23"/>
        <v>Paid</v>
      </c>
    </row>
    <row r="252" spans="1:32" ht="17.25" thickBot="1" x14ac:dyDescent="0.35">
      <c r="A252" s="2" t="s">
        <v>428</v>
      </c>
      <c r="B252" s="2" t="s">
        <v>27</v>
      </c>
      <c r="C252" s="2" t="s">
        <v>28</v>
      </c>
      <c r="D252" s="2" t="s">
        <v>97</v>
      </c>
      <c r="E252" s="2" t="s">
        <v>1884</v>
      </c>
      <c r="F252" s="2" t="s">
        <v>99</v>
      </c>
      <c r="G252" s="2" t="s">
        <v>32</v>
      </c>
      <c r="H252" s="1"/>
      <c r="I252" s="2" t="s">
        <v>33</v>
      </c>
      <c r="J252" s="2" t="s">
        <v>34</v>
      </c>
      <c r="K252" s="2" t="s">
        <v>2082</v>
      </c>
      <c r="L252" s="2" t="s">
        <v>2083</v>
      </c>
      <c r="M252" s="2" t="s">
        <v>1887</v>
      </c>
      <c r="N252" s="2" t="s">
        <v>38</v>
      </c>
      <c r="O252" s="2" t="s">
        <v>221</v>
      </c>
      <c r="P252" s="2" t="s">
        <v>2076</v>
      </c>
      <c r="Q252" s="2" t="s">
        <v>2084</v>
      </c>
      <c r="R252" s="2" t="s">
        <v>40</v>
      </c>
      <c r="S252" s="2" t="s">
        <v>2085</v>
      </c>
      <c r="T252" s="2" t="s">
        <v>2079</v>
      </c>
      <c r="U252" s="2" t="s">
        <v>2086</v>
      </c>
      <c r="V252" s="2" t="s">
        <v>2087</v>
      </c>
      <c r="W252" s="1"/>
      <c r="X252" s="2" t="s">
        <v>1893</v>
      </c>
      <c r="Y252" s="2" t="s">
        <v>1894</v>
      </c>
      <c r="AA252" t="str">
        <f t="shared" si="18"/>
        <v>2026-06</v>
      </c>
      <c r="AB252" t="str">
        <f t="shared" si="19"/>
        <v>H1_2026</v>
      </c>
      <c r="AC252">
        <f t="shared" si="20"/>
        <v>1609062</v>
      </c>
      <c r="AD252">
        <f t="shared" si="21"/>
        <v>140</v>
      </c>
      <c r="AE252">
        <f t="shared" si="22"/>
        <v>417662</v>
      </c>
      <c r="AF252" t="str">
        <f t="shared" si="23"/>
        <v>Paid</v>
      </c>
    </row>
    <row r="253" spans="1:32" ht="17.25" thickBot="1" x14ac:dyDescent="0.35">
      <c r="A253" s="2" t="s">
        <v>2088</v>
      </c>
      <c r="B253" s="2" t="s">
        <v>27</v>
      </c>
      <c r="C253" s="2" t="s">
        <v>28</v>
      </c>
      <c r="D253" s="2" t="s">
        <v>97</v>
      </c>
      <c r="E253" s="2" t="s">
        <v>1884</v>
      </c>
      <c r="F253" s="2" t="s">
        <v>99</v>
      </c>
      <c r="G253" s="2" t="s">
        <v>32</v>
      </c>
      <c r="H253" s="1"/>
      <c r="I253" s="2" t="s">
        <v>33</v>
      </c>
      <c r="J253" s="2" t="s">
        <v>34</v>
      </c>
      <c r="K253" s="2" t="s">
        <v>2089</v>
      </c>
      <c r="L253" s="2" t="s">
        <v>2090</v>
      </c>
      <c r="M253" s="2" t="s">
        <v>1887</v>
      </c>
      <c r="N253" s="2" t="s">
        <v>38</v>
      </c>
      <c r="O253" s="2" t="s">
        <v>2091</v>
      </c>
      <c r="P253" s="2" t="s">
        <v>2076</v>
      </c>
      <c r="Q253" s="2" t="s">
        <v>2092</v>
      </c>
      <c r="R253" s="2" t="s">
        <v>40</v>
      </c>
      <c r="S253" s="2" t="s">
        <v>2093</v>
      </c>
      <c r="T253" s="2" t="s">
        <v>2079</v>
      </c>
      <c r="U253" s="2" t="s">
        <v>2094</v>
      </c>
      <c r="V253" s="2" t="s">
        <v>2095</v>
      </c>
      <c r="W253" s="1"/>
      <c r="X253" s="2" t="s">
        <v>1893</v>
      </c>
      <c r="Y253" s="2" t="s">
        <v>1894</v>
      </c>
      <c r="AA253" t="str">
        <f t="shared" si="18"/>
        <v>2026-06</v>
      </c>
      <c r="AB253" t="str">
        <f t="shared" si="19"/>
        <v>H1_2026</v>
      </c>
      <c r="AC253">
        <f t="shared" si="20"/>
        <v>15630888</v>
      </c>
      <c r="AD253">
        <f t="shared" si="21"/>
        <v>1360</v>
      </c>
      <c r="AE253">
        <f t="shared" si="22"/>
        <v>4057288</v>
      </c>
      <c r="AF253" t="str">
        <f t="shared" si="23"/>
        <v>Paid</v>
      </c>
    </row>
    <row r="254" spans="1:32" ht="17.25" thickBot="1" x14ac:dyDescent="0.35">
      <c r="A254" s="2" t="s">
        <v>2096</v>
      </c>
      <c r="B254" s="2" t="s">
        <v>27</v>
      </c>
      <c r="C254" s="2" t="s">
        <v>28</v>
      </c>
      <c r="D254" s="2" t="s">
        <v>97</v>
      </c>
      <c r="E254" s="2" t="s">
        <v>1884</v>
      </c>
      <c r="F254" s="2" t="s">
        <v>99</v>
      </c>
      <c r="G254" s="2" t="s">
        <v>32</v>
      </c>
      <c r="H254" s="1"/>
      <c r="I254" s="2" t="s">
        <v>33</v>
      </c>
      <c r="J254" s="2" t="s">
        <v>34</v>
      </c>
      <c r="K254" s="2" t="s">
        <v>2097</v>
      </c>
      <c r="L254" s="2" t="s">
        <v>2098</v>
      </c>
      <c r="M254" s="2" t="s">
        <v>1887</v>
      </c>
      <c r="N254" s="2" t="s">
        <v>38</v>
      </c>
      <c r="O254" s="2" t="s">
        <v>159</v>
      </c>
      <c r="P254" s="2" t="s">
        <v>756</v>
      </c>
      <c r="Q254" s="2" t="s">
        <v>2099</v>
      </c>
      <c r="R254" s="2" t="s">
        <v>40</v>
      </c>
      <c r="S254" s="2" t="s">
        <v>2100</v>
      </c>
      <c r="T254" s="2" t="s">
        <v>2101</v>
      </c>
      <c r="U254" s="2" t="s">
        <v>2102</v>
      </c>
      <c r="V254" s="2" t="s">
        <v>2103</v>
      </c>
      <c r="W254" s="1"/>
      <c r="X254" s="2" t="s">
        <v>2104</v>
      </c>
      <c r="Y254" s="2" t="s">
        <v>1894</v>
      </c>
      <c r="AA254" t="str">
        <f t="shared" si="18"/>
        <v>2026-06</v>
      </c>
      <c r="AB254" t="str">
        <f t="shared" si="19"/>
        <v>H1_2026</v>
      </c>
      <c r="AC254">
        <f t="shared" si="20"/>
        <v>720246.8</v>
      </c>
      <c r="AD254">
        <f t="shared" si="21"/>
        <v>80</v>
      </c>
      <c r="AE254">
        <f t="shared" si="22"/>
        <v>144246.79999999999</v>
      </c>
      <c r="AF254" t="str">
        <f t="shared" si="23"/>
        <v>Paid</v>
      </c>
    </row>
    <row r="255" spans="1:32" ht="17.25" thickBot="1" x14ac:dyDescent="0.35">
      <c r="A255" s="2" t="s">
        <v>2105</v>
      </c>
      <c r="B255" s="2" t="s">
        <v>27</v>
      </c>
      <c r="C255" s="2" t="s">
        <v>28</v>
      </c>
      <c r="D255" s="2" t="s">
        <v>97</v>
      </c>
      <c r="E255" s="2" t="s">
        <v>1884</v>
      </c>
      <c r="F255" s="2" t="s">
        <v>99</v>
      </c>
      <c r="G255" s="2" t="s">
        <v>32</v>
      </c>
      <c r="H255" s="1"/>
      <c r="I255" s="2" t="s">
        <v>33</v>
      </c>
      <c r="J255" s="2" t="s">
        <v>34</v>
      </c>
      <c r="K255" s="2" t="s">
        <v>2106</v>
      </c>
      <c r="L255" s="2" t="s">
        <v>2107</v>
      </c>
      <c r="M255" s="2" t="s">
        <v>1887</v>
      </c>
      <c r="N255" s="2" t="s">
        <v>38</v>
      </c>
      <c r="O255" s="2" t="s">
        <v>2108</v>
      </c>
      <c r="P255" s="2" t="s">
        <v>1933</v>
      </c>
      <c r="Q255" s="2" t="s">
        <v>2109</v>
      </c>
      <c r="R255" s="2" t="s">
        <v>40</v>
      </c>
      <c r="S255" s="2" t="s">
        <v>2110</v>
      </c>
      <c r="T255" s="2" t="s">
        <v>2111</v>
      </c>
      <c r="U255" s="2" t="s">
        <v>2112</v>
      </c>
      <c r="V255" s="2" t="s">
        <v>2113</v>
      </c>
      <c r="W255" s="1"/>
      <c r="X255" s="2" t="s">
        <v>2104</v>
      </c>
      <c r="Y255" s="2" t="s">
        <v>1894</v>
      </c>
      <c r="AA255" t="str">
        <f t="shared" si="18"/>
        <v>2026-06</v>
      </c>
      <c r="AB255" t="str">
        <f t="shared" si="19"/>
        <v>H1_2026</v>
      </c>
      <c r="AC255">
        <f t="shared" si="20"/>
        <v>12995091.199999999</v>
      </c>
      <c r="AD255">
        <f t="shared" si="21"/>
        <v>1040</v>
      </c>
      <c r="AE255">
        <f t="shared" si="22"/>
        <v>2595091.2000000002</v>
      </c>
      <c r="AF255" t="str">
        <f t="shared" si="23"/>
        <v>Paid</v>
      </c>
    </row>
    <row r="256" spans="1:32" ht="17.25" thickBot="1" x14ac:dyDescent="0.35">
      <c r="A256" s="2" t="s">
        <v>2114</v>
      </c>
      <c r="B256" s="2" t="s">
        <v>27</v>
      </c>
      <c r="C256" s="2" t="s">
        <v>28</v>
      </c>
      <c r="D256" s="2" t="s">
        <v>97</v>
      </c>
      <c r="E256" s="2" t="s">
        <v>1884</v>
      </c>
      <c r="F256" s="2" t="s">
        <v>99</v>
      </c>
      <c r="G256" s="2" t="s">
        <v>32</v>
      </c>
      <c r="H256" s="1"/>
      <c r="I256" s="2" t="s">
        <v>33</v>
      </c>
      <c r="J256" s="2" t="s">
        <v>34</v>
      </c>
      <c r="K256" s="2" t="s">
        <v>2115</v>
      </c>
      <c r="L256" s="2" t="s">
        <v>2116</v>
      </c>
      <c r="M256" s="2" t="s">
        <v>1887</v>
      </c>
      <c r="N256" s="2" t="s">
        <v>38</v>
      </c>
      <c r="O256" s="2" t="s">
        <v>662</v>
      </c>
      <c r="P256" s="2" t="s">
        <v>1933</v>
      </c>
      <c r="Q256" s="2" t="s">
        <v>2117</v>
      </c>
      <c r="R256" s="2" t="s">
        <v>40</v>
      </c>
      <c r="S256" s="2" t="s">
        <v>2118</v>
      </c>
      <c r="T256" s="2" t="s">
        <v>1936</v>
      </c>
      <c r="U256" s="2" t="s">
        <v>2119</v>
      </c>
      <c r="V256" s="2" t="s">
        <v>2120</v>
      </c>
      <c r="W256" s="1"/>
      <c r="X256" s="2" t="s">
        <v>1893</v>
      </c>
      <c r="Y256" s="2" t="s">
        <v>1894</v>
      </c>
      <c r="AA256" t="str">
        <f t="shared" si="18"/>
        <v>2026-06</v>
      </c>
      <c r="AB256" t="str">
        <f t="shared" si="19"/>
        <v>H1_2026</v>
      </c>
      <c r="AC256">
        <f t="shared" si="20"/>
        <v>962136.56</v>
      </c>
      <c r="AD256">
        <f t="shared" si="21"/>
        <v>77</v>
      </c>
      <c r="AE256">
        <f t="shared" si="22"/>
        <v>249886.56</v>
      </c>
      <c r="AF256" t="str">
        <f t="shared" si="23"/>
        <v>Paid</v>
      </c>
    </row>
    <row r="257" spans="1:32" ht="27.75" thickBot="1" x14ac:dyDescent="0.35">
      <c r="A257" s="2" t="s">
        <v>2121</v>
      </c>
      <c r="B257" s="2" t="s">
        <v>27</v>
      </c>
      <c r="C257" s="2" t="s">
        <v>28</v>
      </c>
      <c r="D257" s="2" t="s">
        <v>97</v>
      </c>
      <c r="E257" s="2" t="s">
        <v>1884</v>
      </c>
      <c r="F257" s="2" t="s">
        <v>99</v>
      </c>
      <c r="G257" s="2" t="s">
        <v>32</v>
      </c>
      <c r="H257" s="1"/>
      <c r="I257" s="2" t="s">
        <v>33</v>
      </c>
      <c r="J257" s="2" t="s">
        <v>34</v>
      </c>
      <c r="K257" s="2" t="s">
        <v>2122</v>
      </c>
      <c r="L257" s="2" t="s">
        <v>2123</v>
      </c>
      <c r="M257" s="2" t="s">
        <v>1887</v>
      </c>
      <c r="N257" s="2" t="s">
        <v>38</v>
      </c>
      <c r="O257" s="2" t="s">
        <v>177</v>
      </c>
      <c r="P257" s="2" t="s">
        <v>2124</v>
      </c>
      <c r="Q257" s="2" t="s">
        <v>2125</v>
      </c>
      <c r="R257" s="2" t="s">
        <v>40</v>
      </c>
      <c r="S257" s="2" t="s">
        <v>2126</v>
      </c>
      <c r="T257" s="2" t="s">
        <v>2127</v>
      </c>
      <c r="U257" s="2" t="s">
        <v>2128</v>
      </c>
      <c r="V257" s="2" t="s">
        <v>2129</v>
      </c>
      <c r="W257" s="1"/>
      <c r="X257" s="2" t="s">
        <v>2104</v>
      </c>
      <c r="Y257" s="2" t="s">
        <v>1894</v>
      </c>
      <c r="AA257" t="str">
        <f t="shared" si="18"/>
        <v>2026-06</v>
      </c>
      <c r="AB257" t="str">
        <f t="shared" si="19"/>
        <v>H1_2026</v>
      </c>
      <c r="AC257">
        <f t="shared" si="20"/>
        <v>5398904</v>
      </c>
      <c r="AD257">
        <f t="shared" si="21"/>
        <v>400</v>
      </c>
      <c r="AE257">
        <f t="shared" si="22"/>
        <v>1078904</v>
      </c>
      <c r="AF257" t="str">
        <f t="shared" si="23"/>
        <v>Paid</v>
      </c>
    </row>
    <row r="258" spans="1:32" ht="17.25" thickBot="1" x14ac:dyDescent="0.35">
      <c r="A258" s="2" t="s">
        <v>2130</v>
      </c>
      <c r="B258" s="2" t="s">
        <v>27</v>
      </c>
      <c r="C258" s="2" t="s">
        <v>28</v>
      </c>
      <c r="D258" s="2" t="s">
        <v>97</v>
      </c>
      <c r="E258" s="2" t="s">
        <v>1884</v>
      </c>
      <c r="F258" s="2" t="s">
        <v>99</v>
      </c>
      <c r="G258" s="2" t="s">
        <v>32</v>
      </c>
      <c r="H258" s="1"/>
      <c r="I258" s="2" t="s">
        <v>33</v>
      </c>
      <c r="J258" s="2" t="s">
        <v>34</v>
      </c>
      <c r="K258" s="2" t="s">
        <v>2131</v>
      </c>
      <c r="L258" s="2" t="s">
        <v>2132</v>
      </c>
      <c r="M258" s="2" t="s">
        <v>1887</v>
      </c>
      <c r="N258" s="2" t="s">
        <v>38</v>
      </c>
      <c r="O258" s="2" t="s">
        <v>956</v>
      </c>
      <c r="P258" s="2" t="s">
        <v>1933</v>
      </c>
      <c r="Q258" s="2" t="s">
        <v>2133</v>
      </c>
      <c r="R258" s="2" t="s">
        <v>40</v>
      </c>
      <c r="S258" s="2" t="s">
        <v>2134</v>
      </c>
      <c r="T258" s="2" t="s">
        <v>2111</v>
      </c>
      <c r="U258" s="2" t="s">
        <v>2135</v>
      </c>
      <c r="V258" s="2" t="s">
        <v>2136</v>
      </c>
      <c r="W258" s="1"/>
      <c r="X258" s="2" t="s">
        <v>2104</v>
      </c>
      <c r="Y258" s="2" t="s">
        <v>1894</v>
      </c>
      <c r="AA258" t="str">
        <f t="shared" si="18"/>
        <v>2026-06</v>
      </c>
      <c r="AB258" t="str">
        <f t="shared" si="19"/>
        <v>H1_2026</v>
      </c>
      <c r="AC258">
        <f t="shared" si="20"/>
        <v>1349490.24</v>
      </c>
      <c r="AD258">
        <f t="shared" si="21"/>
        <v>108</v>
      </c>
      <c r="AE258">
        <f t="shared" si="22"/>
        <v>269490.24</v>
      </c>
      <c r="AF258" t="str">
        <f t="shared" si="23"/>
        <v>Paid</v>
      </c>
    </row>
    <row r="259" spans="1:32" ht="17.25" thickBot="1" x14ac:dyDescent="0.35">
      <c r="A259" s="2" t="s">
        <v>2137</v>
      </c>
      <c r="B259" s="2" t="s">
        <v>27</v>
      </c>
      <c r="C259" s="2" t="s">
        <v>28</v>
      </c>
      <c r="D259" s="2" t="s">
        <v>97</v>
      </c>
      <c r="E259" s="2" t="s">
        <v>1884</v>
      </c>
      <c r="F259" s="2" t="s">
        <v>99</v>
      </c>
      <c r="G259" s="2" t="s">
        <v>32</v>
      </c>
      <c r="H259" s="1"/>
      <c r="I259" s="2" t="s">
        <v>33</v>
      </c>
      <c r="J259" s="2" t="s">
        <v>34</v>
      </c>
      <c r="K259" s="2" t="s">
        <v>2138</v>
      </c>
      <c r="L259" s="2" t="s">
        <v>2139</v>
      </c>
      <c r="M259" s="2" t="s">
        <v>2140</v>
      </c>
      <c r="N259" s="2" t="s">
        <v>38</v>
      </c>
      <c r="O259" s="2" t="s">
        <v>2141</v>
      </c>
      <c r="P259" s="2" t="s">
        <v>2142</v>
      </c>
      <c r="Q259" s="2" t="s">
        <v>2143</v>
      </c>
      <c r="R259" s="2" t="s">
        <v>40</v>
      </c>
      <c r="S259" s="2" t="s">
        <v>2144</v>
      </c>
      <c r="T259" s="2" t="s">
        <v>2145</v>
      </c>
      <c r="U259" s="2" t="s">
        <v>2146</v>
      </c>
      <c r="V259" s="2" t="s">
        <v>2147</v>
      </c>
      <c r="W259" s="1"/>
      <c r="X259" s="2" t="s">
        <v>806</v>
      </c>
      <c r="Y259" s="2" t="s">
        <v>2148</v>
      </c>
      <c r="AA259" t="str">
        <f t="shared" si="18"/>
        <v>2026-06</v>
      </c>
      <c r="AB259" t="str">
        <f t="shared" si="19"/>
        <v>H1_2026</v>
      </c>
      <c r="AC259">
        <f t="shared" si="20"/>
        <v>4130015.28</v>
      </c>
      <c r="AD259">
        <f t="shared" si="21"/>
        <v>410</v>
      </c>
      <c r="AE259">
        <f t="shared" si="22"/>
        <v>1051317.01</v>
      </c>
      <c r="AF259" t="str">
        <f t="shared" si="23"/>
        <v>Paid</v>
      </c>
    </row>
    <row r="260" spans="1:32" ht="17.25" thickBot="1" x14ac:dyDescent="0.35">
      <c r="A260" s="2" t="s">
        <v>2149</v>
      </c>
      <c r="B260" s="2" t="s">
        <v>27</v>
      </c>
      <c r="C260" s="2" t="s">
        <v>28</v>
      </c>
      <c r="D260" s="2" t="s">
        <v>97</v>
      </c>
      <c r="E260" s="2" t="s">
        <v>1884</v>
      </c>
      <c r="F260" s="2" t="s">
        <v>99</v>
      </c>
      <c r="G260" s="2" t="s">
        <v>32</v>
      </c>
      <c r="H260" s="1"/>
      <c r="I260" s="2" t="s">
        <v>33</v>
      </c>
      <c r="J260" s="2" t="s">
        <v>34</v>
      </c>
      <c r="K260" s="2" t="s">
        <v>2150</v>
      </c>
      <c r="L260" s="2" t="s">
        <v>2151</v>
      </c>
      <c r="M260" s="2" t="s">
        <v>2140</v>
      </c>
      <c r="N260" s="2" t="s">
        <v>38</v>
      </c>
      <c r="O260" s="2" t="s">
        <v>1904</v>
      </c>
      <c r="P260" s="2" t="s">
        <v>2152</v>
      </c>
      <c r="Q260" s="2" t="s">
        <v>2153</v>
      </c>
      <c r="R260" s="2" t="s">
        <v>40</v>
      </c>
      <c r="S260" s="2" t="s">
        <v>2154</v>
      </c>
      <c r="T260" s="2" t="s">
        <v>40</v>
      </c>
      <c r="U260" s="2" t="s">
        <v>40</v>
      </c>
      <c r="V260" s="2" t="s">
        <v>2154</v>
      </c>
      <c r="W260" s="1"/>
      <c r="X260" s="2" t="s">
        <v>2155</v>
      </c>
      <c r="Y260" s="2" t="s">
        <v>2148</v>
      </c>
      <c r="AA260" t="str">
        <f t="shared" ref="AA260:AA323" si="24">LEFT(E260,7)</f>
        <v>2026-06</v>
      </c>
      <c r="AB260" t="str">
        <f t="shared" ref="AB260:AB323" si="25">IF(AND($AA260&gt;="2025-01",$AA260&lt;="2025-06"),"H1_2025",IF(AND($AA260&gt;="2026-01",$AA260&lt;="2026-06"),"H1_2026",""))</f>
        <v>H1_2026</v>
      </c>
      <c r="AC260">
        <f t="shared" ref="AC260:AC323" si="26">IFERROR(VALUE(SUBSTITUTE(S260,",","")),0)</f>
        <v>1286402.8799999999</v>
      </c>
      <c r="AD260">
        <f t="shared" ref="AD260:AD323" si="27">IFERROR(VALUE(SUBSTITUTE(O260,",","")),0)</f>
        <v>230</v>
      </c>
      <c r="AE260">
        <f t="shared" ref="AE260:AE323" si="28">IFERROR(VALUE(SUBSTITUTE(V260,",","")),0)</f>
        <v>1286402.8799999999</v>
      </c>
      <c r="AF260" t="str">
        <f t="shared" ref="AF260:AF323" si="29">IF(ISNUMBER(SEARCH("FOC",W260)),"FOC",IF(ISNUMBER(SEARCH("샘플",W260)),"Sample","Paid"))</f>
        <v>Paid</v>
      </c>
    </row>
    <row r="261" spans="1:32" ht="27.75" thickBot="1" x14ac:dyDescent="0.35">
      <c r="A261" s="2" t="s">
        <v>2156</v>
      </c>
      <c r="B261" s="2" t="s">
        <v>27</v>
      </c>
      <c r="C261" s="2" t="s">
        <v>28</v>
      </c>
      <c r="D261" s="2" t="s">
        <v>97</v>
      </c>
      <c r="E261" s="2" t="s">
        <v>1884</v>
      </c>
      <c r="F261" s="2" t="s">
        <v>99</v>
      </c>
      <c r="G261" s="2" t="s">
        <v>32</v>
      </c>
      <c r="H261" s="1"/>
      <c r="I261" s="2" t="s">
        <v>33</v>
      </c>
      <c r="J261" s="2" t="s">
        <v>34</v>
      </c>
      <c r="K261" s="2" t="s">
        <v>2157</v>
      </c>
      <c r="L261" s="2" t="s">
        <v>2158</v>
      </c>
      <c r="M261" s="2" t="s">
        <v>2140</v>
      </c>
      <c r="N261" s="2" t="s">
        <v>38</v>
      </c>
      <c r="O261" s="2" t="s">
        <v>213</v>
      </c>
      <c r="P261" s="2" t="s">
        <v>2159</v>
      </c>
      <c r="Q261" s="2" t="s">
        <v>2160</v>
      </c>
      <c r="R261" s="2" t="s">
        <v>40</v>
      </c>
      <c r="S261" s="2" t="s">
        <v>2161</v>
      </c>
      <c r="T261" s="2" t="s">
        <v>2162</v>
      </c>
      <c r="U261" s="2" t="s">
        <v>2163</v>
      </c>
      <c r="V261" s="2" t="s">
        <v>2164</v>
      </c>
      <c r="W261" s="1"/>
      <c r="X261" s="2" t="s">
        <v>2165</v>
      </c>
      <c r="Y261" s="2" t="s">
        <v>2148</v>
      </c>
      <c r="AA261" t="str">
        <f t="shared" si="24"/>
        <v>2026-06</v>
      </c>
      <c r="AB261" t="str">
        <f t="shared" si="25"/>
        <v>H1_2026</v>
      </c>
      <c r="AC261">
        <f t="shared" si="26"/>
        <v>263758.25</v>
      </c>
      <c r="AD261">
        <f t="shared" si="27"/>
        <v>26</v>
      </c>
      <c r="AE261">
        <f t="shared" si="28"/>
        <v>60012.79</v>
      </c>
      <c r="AF261" t="str">
        <f t="shared" si="29"/>
        <v>Paid</v>
      </c>
    </row>
    <row r="262" spans="1:32" ht="27.75" thickBot="1" x14ac:dyDescent="0.35">
      <c r="A262" s="2" t="s">
        <v>1476</v>
      </c>
      <c r="B262" s="2" t="s">
        <v>27</v>
      </c>
      <c r="C262" s="2" t="s">
        <v>28</v>
      </c>
      <c r="D262" s="2" t="s">
        <v>97</v>
      </c>
      <c r="E262" s="2" t="s">
        <v>1884</v>
      </c>
      <c r="F262" s="2" t="s">
        <v>99</v>
      </c>
      <c r="G262" s="2" t="s">
        <v>32</v>
      </c>
      <c r="H262" s="1"/>
      <c r="I262" s="2" t="s">
        <v>33</v>
      </c>
      <c r="J262" s="2" t="s">
        <v>34</v>
      </c>
      <c r="K262" s="2" t="s">
        <v>2166</v>
      </c>
      <c r="L262" s="2" t="s">
        <v>2167</v>
      </c>
      <c r="M262" s="2" t="s">
        <v>2140</v>
      </c>
      <c r="N262" s="2" t="s">
        <v>38</v>
      </c>
      <c r="O262" s="2" t="s">
        <v>214</v>
      </c>
      <c r="P262" s="2" t="s">
        <v>2168</v>
      </c>
      <c r="Q262" s="2" t="s">
        <v>2169</v>
      </c>
      <c r="R262" s="2" t="s">
        <v>40</v>
      </c>
      <c r="S262" s="2" t="s">
        <v>2170</v>
      </c>
      <c r="T262" s="2" t="s">
        <v>2171</v>
      </c>
      <c r="U262" s="2" t="s">
        <v>2172</v>
      </c>
      <c r="V262" s="2" t="s">
        <v>2173</v>
      </c>
      <c r="W262" s="1"/>
      <c r="X262" s="2" t="s">
        <v>1052</v>
      </c>
      <c r="Y262" s="2" t="s">
        <v>2148</v>
      </c>
      <c r="AA262" t="str">
        <f t="shared" si="24"/>
        <v>2026-06</v>
      </c>
      <c r="AB262" t="str">
        <f t="shared" si="25"/>
        <v>H1_2026</v>
      </c>
      <c r="AC262">
        <f t="shared" si="26"/>
        <v>57785.4</v>
      </c>
      <c r="AD262">
        <f t="shared" si="27"/>
        <v>50</v>
      </c>
      <c r="AE262">
        <f t="shared" si="28"/>
        <v>14603.59</v>
      </c>
      <c r="AF262" t="str">
        <f t="shared" si="29"/>
        <v>Paid</v>
      </c>
    </row>
    <row r="263" spans="1:32" ht="27.75" thickBot="1" x14ac:dyDescent="0.35">
      <c r="A263" s="2" t="s">
        <v>2174</v>
      </c>
      <c r="B263" s="2" t="s">
        <v>27</v>
      </c>
      <c r="C263" s="2" t="s">
        <v>28</v>
      </c>
      <c r="D263" s="2" t="s">
        <v>97</v>
      </c>
      <c r="E263" s="2" t="s">
        <v>1884</v>
      </c>
      <c r="F263" s="2" t="s">
        <v>99</v>
      </c>
      <c r="G263" s="2" t="s">
        <v>32</v>
      </c>
      <c r="H263" s="1"/>
      <c r="I263" s="2" t="s">
        <v>33</v>
      </c>
      <c r="J263" s="2" t="s">
        <v>34</v>
      </c>
      <c r="K263" s="2" t="s">
        <v>2175</v>
      </c>
      <c r="L263" s="2" t="s">
        <v>2176</v>
      </c>
      <c r="M263" s="2" t="s">
        <v>2140</v>
      </c>
      <c r="N263" s="2" t="s">
        <v>38</v>
      </c>
      <c r="O263" s="2" t="s">
        <v>1150</v>
      </c>
      <c r="P263" s="2" t="s">
        <v>2168</v>
      </c>
      <c r="Q263" s="2" t="s">
        <v>2177</v>
      </c>
      <c r="R263" s="2" t="s">
        <v>40</v>
      </c>
      <c r="S263" s="2" t="s">
        <v>2178</v>
      </c>
      <c r="T263" s="2" t="s">
        <v>40</v>
      </c>
      <c r="U263" s="2" t="s">
        <v>40</v>
      </c>
      <c r="V263" s="2" t="s">
        <v>2178</v>
      </c>
      <c r="W263" s="1"/>
      <c r="X263" s="2" t="s">
        <v>2155</v>
      </c>
      <c r="Y263" s="2" t="s">
        <v>2148</v>
      </c>
      <c r="AA263" t="str">
        <f t="shared" si="24"/>
        <v>2026-06</v>
      </c>
      <c r="AB263" t="str">
        <f t="shared" si="25"/>
        <v>H1_2026</v>
      </c>
      <c r="AC263">
        <f t="shared" si="26"/>
        <v>150242.04</v>
      </c>
      <c r="AD263">
        <f t="shared" si="27"/>
        <v>130</v>
      </c>
      <c r="AE263">
        <f t="shared" si="28"/>
        <v>150242.04</v>
      </c>
      <c r="AF263" t="str">
        <f t="shared" si="29"/>
        <v>Paid</v>
      </c>
    </row>
    <row r="264" spans="1:32" ht="27.75" thickBot="1" x14ac:dyDescent="0.35">
      <c r="A264" s="2" t="s">
        <v>2179</v>
      </c>
      <c r="B264" s="2" t="s">
        <v>27</v>
      </c>
      <c r="C264" s="2" t="s">
        <v>28</v>
      </c>
      <c r="D264" s="2" t="s">
        <v>97</v>
      </c>
      <c r="E264" s="2" t="s">
        <v>1884</v>
      </c>
      <c r="F264" s="2" t="s">
        <v>99</v>
      </c>
      <c r="G264" s="2" t="s">
        <v>32</v>
      </c>
      <c r="H264" s="1"/>
      <c r="I264" s="2" t="s">
        <v>33</v>
      </c>
      <c r="J264" s="2" t="s">
        <v>34</v>
      </c>
      <c r="K264" s="2" t="s">
        <v>2180</v>
      </c>
      <c r="L264" s="2" t="s">
        <v>2181</v>
      </c>
      <c r="M264" s="2" t="s">
        <v>2140</v>
      </c>
      <c r="N264" s="2" t="s">
        <v>38</v>
      </c>
      <c r="O264" s="2" t="s">
        <v>867</v>
      </c>
      <c r="P264" s="2" t="s">
        <v>2182</v>
      </c>
      <c r="Q264" s="2" t="s">
        <v>2183</v>
      </c>
      <c r="R264" s="2" t="s">
        <v>40</v>
      </c>
      <c r="S264" s="2" t="s">
        <v>2184</v>
      </c>
      <c r="T264" s="2" t="s">
        <v>2185</v>
      </c>
      <c r="U264" s="2" t="s">
        <v>2186</v>
      </c>
      <c r="V264" s="2" t="s">
        <v>2187</v>
      </c>
      <c r="W264" s="1"/>
      <c r="X264" s="2" t="s">
        <v>2188</v>
      </c>
      <c r="Y264" s="2" t="s">
        <v>2148</v>
      </c>
      <c r="AA264" t="str">
        <f t="shared" si="24"/>
        <v>2026-06</v>
      </c>
      <c r="AB264" t="str">
        <f t="shared" si="25"/>
        <v>H1_2026</v>
      </c>
      <c r="AC264">
        <f t="shared" si="26"/>
        <v>942158.84</v>
      </c>
      <c r="AD264">
        <f t="shared" si="27"/>
        <v>99</v>
      </c>
      <c r="AE264">
        <f t="shared" si="28"/>
        <v>279353.84000000003</v>
      </c>
      <c r="AF264" t="str">
        <f t="shared" si="29"/>
        <v>Paid</v>
      </c>
    </row>
    <row r="265" spans="1:32" ht="17.25" thickBot="1" x14ac:dyDescent="0.35">
      <c r="A265" s="2" t="s">
        <v>2189</v>
      </c>
      <c r="B265" s="2" t="s">
        <v>27</v>
      </c>
      <c r="C265" s="2" t="s">
        <v>28</v>
      </c>
      <c r="D265" s="2" t="s">
        <v>97</v>
      </c>
      <c r="E265" s="2" t="s">
        <v>1884</v>
      </c>
      <c r="F265" s="2" t="s">
        <v>99</v>
      </c>
      <c r="G265" s="2" t="s">
        <v>32</v>
      </c>
      <c r="H265" s="1"/>
      <c r="I265" s="2" t="s">
        <v>33</v>
      </c>
      <c r="J265" s="2" t="s">
        <v>34</v>
      </c>
      <c r="K265" s="2" t="s">
        <v>2190</v>
      </c>
      <c r="L265" s="2" t="s">
        <v>2191</v>
      </c>
      <c r="M265" s="2" t="s">
        <v>2140</v>
      </c>
      <c r="N265" s="2" t="s">
        <v>38</v>
      </c>
      <c r="O265" s="2" t="s">
        <v>1333</v>
      </c>
      <c r="P265" s="2" t="s">
        <v>2192</v>
      </c>
      <c r="Q265" s="2" t="s">
        <v>2193</v>
      </c>
      <c r="R265" s="2" t="s">
        <v>40</v>
      </c>
      <c r="S265" s="2" t="s">
        <v>2194</v>
      </c>
      <c r="T265" s="2" t="s">
        <v>2195</v>
      </c>
      <c r="U265" s="2" t="s">
        <v>2196</v>
      </c>
      <c r="V265" s="2" t="s">
        <v>2197</v>
      </c>
      <c r="W265" s="1"/>
      <c r="X265" s="2" t="s">
        <v>2198</v>
      </c>
      <c r="Y265" s="2" t="s">
        <v>2148</v>
      </c>
      <c r="AA265" t="str">
        <f t="shared" si="24"/>
        <v>2026-06</v>
      </c>
      <c r="AB265" t="str">
        <f t="shared" si="25"/>
        <v>H1_2026</v>
      </c>
      <c r="AC265">
        <f t="shared" si="26"/>
        <v>1050838.2</v>
      </c>
      <c r="AD265">
        <f t="shared" si="27"/>
        <v>150</v>
      </c>
      <c r="AE265">
        <f t="shared" si="28"/>
        <v>199888.2</v>
      </c>
      <c r="AF265" t="str">
        <f t="shared" si="29"/>
        <v>Paid</v>
      </c>
    </row>
    <row r="266" spans="1:32" ht="17.25" thickBot="1" x14ac:dyDescent="0.35">
      <c r="A266" s="2" t="s">
        <v>2199</v>
      </c>
      <c r="B266" s="2" t="s">
        <v>27</v>
      </c>
      <c r="C266" s="2" t="s">
        <v>28</v>
      </c>
      <c r="D266" s="2" t="s">
        <v>97</v>
      </c>
      <c r="E266" s="2" t="s">
        <v>1884</v>
      </c>
      <c r="F266" s="2" t="s">
        <v>99</v>
      </c>
      <c r="G266" s="2" t="s">
        <v>32</v>
      </c>
      <c r="H266" s="1"/>
      <c r="I266" s="2" t="s">
        <v>33</v>
      </c>
      <c r="J266" s="2" t="s">
        <v>34</v>
      </c>
      <c r="K266" s="2" t="s">
        <v>2200</v>
      </c>
      <c r="L266" s="2" t="s">
        <v>2201</v>
      </c>
      <c r="M266" s="2" t="s">
        <v>2140</v>
      </c>
      <c r="N266" s="2" t="s">
        <v>38</v>
      </c>
      <c r="O266" s="2" t="s">
        <v>2202</v>
      </c>
      <c r="P266" s="2" t="s">
        <v>2203</v>
      </c>
      <c r="Q266" s="2" t="s">
        <v>2204</v>
      </c>
      <c r="R266" s="2" t="s">
        <v>40</v>
      </c>
      <c r="S266" s="2" t="s">
        <v>2205</v>
      </c>
      <c r="T266" s="2" t="s">
        <v>2206</v>
      </c>
      <c r="U266" s="2" t="s">
        <v>2207</v>
      </c>
      <c r="V266" s="2" t="s">
        <v>2208</v>
      </c>
      <c r="W266" s="1"/>
      <c r="X266" s="2" t="s">
        <v>817</v>
      </c>
      <c r="Y266" s="2" t="s">
        <v>2148</v>
      </c>
      <c r="AA266" t="str">
        <f t="shared" si="24"/>
        <v>2026-06</v>
      </c>
      <c r="AB266" t="str">
        <f t="shared" si="25"/>
        <v>H1_2026</v>
      </c>
      <c r="AC266">
        <f t="shared" si="26"/>
        <v>21619587</v>
      </c>
      <c r="AD266">
        <f t="shared" si="27"/>
        <v>2090</v>
      </c>
      <c r="AE266">
        <f t="shared" si="28"/>
        <v>5317587</v>
      </c>
      <c r="AF266" t="str">
        <f t="shared" si="29"/>
        <v>Paid</v>
      </c>
    </row>
    <row r="267" spans="1:32" ht="17.25" thickBot="1" x14ac:dyDescent="0.35">
      <c r="A267" s="2" t="s">
        <v>2209</v>
      </c>
      <c r="B267" s="2" t="s">
        <v>27</v>
      </c>
      <c r="C267" s="2" t="s">
        <v>28</v>
      </c>
      <c r="D267" s="2" t="s">
        <v>97</v>
      </c>
      <c r="E267" s="2" t="s">
        <v>1884</v>
      </c>
      <c r="F267" s="2" t="s">
        <v>99</v>
      </c>
      <c r="G267" s="2" t="s">
        <v>32</v>
      </c>
      <c r="H267" s="1"/>
      <c r="I267" s="2" t="s">
        <v>33</v>
      </c>
      <c r="J267" s="2" t="s">
        <v>34</v>
      </c>
      <c r="K267" s="2" t="s">
        <v>2210</v>
      </c>
      <c r="L267" s="2" t="s">
        <v>2211</v>
      </c>
      <c r="M267" s="2" t="s">
        <v>2140</v>
      </c>
      <c r="N267" s="2" t="s">
        <v>38</v>
      </c>
      <c r="O267" s="2" t="s">
        <v>466</v>
      </c>
      <c r="P267" s="2" t="s">
        <v>666</v>
      </c>
      <c r="Q267" s="2" t="s">
        <v>1397</v>
      </c>
      <c r="R267" s="2" t="s">
        <v>40</v>
      </c>
      <c r="S267" s="2" t="s">
        <v>2212</v>
      </c>
      <c r="T267" s="2" t="s">
        <v>2213</v>
      </c>
      <c r="U267" s="2" t="s">
        <v>2214</v>
      </c>
      <c r="V267" s="2" t="s">
        <v>2215</v>
      </c>
      <c r="W267" s="1"/>
      <c r="X267" s="2" t="s">
        <v>2216</v>
      </c>
      <c r="Y267" s="2" t="s">
        <v>2148</v>
      </c>
      <c r="AA267" t="str">
        <f t="shared" si="24"/>
        <v>2026-06</v>
      </c>
      <c r="AB267" t="str">
        <f t="shared" si="25"/>
        <v>H1_2026</v>
      </c>
      <c r="AC267">
        <f t="shared" si="26"/>
        <v>759057.6</v>
      </c>
      <c r="AD267">
        <f t="shared" si="27"/>
        <v>70</v>
      </c>
      <c r="AE267">
        <f t="shared" si="28"/>
        <v>214966.7</v>
      </c>
      <c r="AF267" t="str">
        <f t="shared" si="29"/>
        <v>Paid</v>
      </c>
    </row>
    <row r="268" spans="1:32" ht="17.25" thickBot="1" x14ac:dyDescent="0.35">
      <c r="A268" s="2" t="s">
        <v>2217</v>
      </c>
      <c r="B268" s="2" t="s">
        <v>27</v>
      </c>
      <c r="C268" s="2" t="s">
        <v>28</v>
      </c>
      <c r="D268" s="2" t="s">
        <v>97</v>
      </c>
      <c r="E268" s="2" t="s">
        <v>1884</v>
      </c>
      <c r="F268" s="2" t="s">
        <v>99</v>
      </c>
      <c r="G268" s="2" t="s">
        <v>32</v>
      </c>
      <c r="H268" s="1"/>
      <c r="I268" s="2" t="s">
        <v>33</v>
      </c>
      <c r="J268" s="2" t="s">
        <v>34</v>
      </c>
      <c r="K268" s="2" t="s">
        <v>2218</v>
      </c>
      <c r="L268" s="2" t="s">
        <v>2219</v>
      </c>
      <c r="M268" s="2" t="s">
        <v>2140</v>
      </c>
      <c r="N268" s="2" t="s">
        <v>38</v>
      </c>
      <c r="O268" s="2" t="s">
        <v>159</v>
      </c>
      <c r="P268" s="2" t="s">
        <v>2220</v>
      </c>
      <c r="Q268" s="2" t="s">
        <v>2221</v>
      </c>
      <c r="R268" s="2" t="s">
        <v>40</v>
      </c>
      <c r="S268" s="2" t="s">
        <v>2222</v>
      </c>
      <c r="T268" s="2" t="s">
        <v>2223</v>
      </c>
      <c r="U268" s="2" t="s">
        <v>2224</v>
      </c>
      <c r="V268" s="2" t="s">
        <v>2225</v>
      </c>
      <c r="W268" s="1"/>
      <c r="X268" s="2" t="s">
        <v>2226</v>
      </c>
      <c r="Y268" s="2" t="s">
        <v>2148</v>
      </c>
      <c r="AA268" t="str">
        <f t="shared" si="24"/>
        <v>2026-06</v>
      </c>
      <c r="AB268" t="str">
        <f t="shared" si="25"/>
        <v>H1_2026</v>
      </c>
      <c r="AC268">
        <f t="shared" si="26"/>
        <v>768189.12</v>
      </c>
      <c r="AD268">
        <f t="shared" si="27"/>
        <v>80</v>
      </c>
      <c r="AE268">
        <f t="shared" si="28"/>
        <v>142734.57999999999</v>
      </c>
      <c r="AF268" t="str">
        <f t="shared" si="29"/>
        <v>Paid</v>
      </c>
    </row>
    <row r="269" spans="1:32" ht="17.25" thickBot="1" x14ac:dyDescent="0.35">
      <c r="A269" s="2" t="s">
        <v>2227</v>
      </c>
      <c r="B269" s="2" t="s">
        <v>27</v>
      </c>
      <c r="C269" s="2" t="s">
        <v>28</v>
      </c>
      <c r="D269" s="2" t="s">
        <v>97</v>
      </c>
      <c r="E269" s="2" t="s">
        <v>1884</v>
      </c>
      <c r="F269" s="2" t="s">
        <v>99</v>
      </c>
      <c r="G269" s="2" t="s">
        <v>32</v>
      </c>
      <c r="H269" s="1"/>
      <c r="I269" s="2" t="s">
        <v>33</v>
      </c>
      <c r="J269" s="2" t="s">
        <v>34</v>
      </c>
      <c r="K269" s="2" t="s">
        <v>2228</v>
      </c>
      <c r="L269" s="2" t="s">
        <v>2229</v>
      </c>
      <c r="M269" s="2" t="s">
        <v>2140</v>
      </c>
      <c r="N269" s="2" t="s">
        <v>38</v>
      </c>
      <c r="O269" s="2" t="s">
        <v>214</v>
      </c>
      <c r="P269" s="2" t="s">
        <v>2230</v>
      </c>
      <c r="Q269" s="2" t="s">
        <v>2231</v>
      </c>
      <c r="R269" s="2" t="s">
        <v>40</v>
      </c>
      <c r="S269" s="2" t="s">
        <v>2232</v>
      </c>
      <c r="T269" s="2" t="s">
        <v>2233</v>
      </c>
      <c r="U269" s="2" t="s">
        <v>2234</v>
      </c>
      <c r="V269" s="2" t="s">
        <v>2235</v>
      </c>
      <c r="W269" s="1"/>
      <c r="X269" s="2" t="s">
        <v>322</v>
      </c>
      <c r="Y269" s="2" t="s">
        <v>2148</v>
      </c>
      <c r="AA269" t="str">
        <f t="shared" si="24"/>
        <v>2026-06</v>
      </c>
      <c r="AB269" t="str">
        <f t="shared" si="25"/>
        <v>H1_2026</v>
      </c>
      <c r="AC269">
        <f t="shared" si="26"/>
        <v>413772</v>
      </c>
      <c r="AD269">
        <f t="shared" si="27"/>
        <v>50</v>
      </c>
      <c r="AE269">
        <f t="shared" si="28"/>
        <v>51499.28</v>
      </c>
      <c r="AF269" t="str">
        <f t="shared" si="29"/>
        <v>Paid</v>
      </c>
    </row>
    <row r="270" spans="1:32" ht="17.25" thickBot="1" x14ac:dyDescent="0.35">
      <c r="A270" s="2" t="s">
        <v>2236</v>
      </c>
      <c r="B270" s="2" t="s">
        <v>27</v>
      </c>
      <c r="C270" s="2" t="s">
        <v>28</v>
      </c>
      <c r="D270" s="2" t="s">
        <v>97</v>
      </c>
      <c r="E270" s="2" t="s">
        <v>1884</v>
      </c>
      <c r="F270" s="2" t="s">
        <v>99</v>
      </c>
      <c r="G270" s="2" t="s">
        <v>32</v>
      </c>
      <c r="H270" s="1"/>
      <c r="I270" s="2" t="s">
        <v>33</v>
      </c>
      <c r="J270" s="2" t="s">
        <v>34</v>
      </c>
      <c r="K270" s="2" t="s">
        <v>2237</v>
      </c>
      <c r="L270" s="2" t="s">
        <v>2238</v>
      </c>
      <c r="M270" s="2" t="s">
        <v>2140</v>
      </c>
      <c r="N270" s="2" t="s">
        <v>38</v>
      </c>
      <c r="O270" s="2" t="s">
        <v>779</v>
      </c>
      <c r="P270" s="2" t="s">
        <v>666</v>
      </c>
      <c r="Q270" s="2" t="s">
        <v>2239</v>
      </c>
      <c r="R270" s="2" t="s">
        <v>40</v>
      </c>
      <c r="S270" s="2" t="s">
        <v>2240</v>
      </c>
      <c r="T270" s="2" t="s">
        <v>2213</v>
      </c>
      <c r="U270" s="2" t="s">
        <v>2241</v>
      </c>
      <c r="V270" s="2" t="s">
        <v>2242</v>
      </c>
      <c r="W270" s="1"/>
      <c r="X270" s="2" t="s">
        <v>2216</v>
      </c>
      <c r="Y270" s="2" t="s">
        <v>2148</v>
      </c>
      <c r="AA270" t="str">
        <f t="shared" si="24"/>
        <v>2026-06</v>
      </c>
      <c r="AB270" t="str">
        <f t="shared" si="25"/>
        <v>H1_2026</v>
      </c>
      <c r="AC270">
        <f t="shared" si="26"/>
        <v>975931.2</v>
      </c>
      <c r="AD270">
        <f t="shared" si="27"/>
        <v>90</v>
      </c>
      <c r="AE270">
        <f t="shared" si="28"/>
        <v>276385.75</v>
      </c>
      <c r="AF270" t="str">
        <f t="shared" si="29"/>
        <v>Paid</v>
      </c>
    </row>
    <row r="271" spans="1:32" ht="17.25" thickBot="1" x14ac:dyDescent="0.35">
      <c r="A271" s="2" t="s">
        <v>2243</v>
      </c>
      <c r="B271" s="2" t="s">
        <v>27</v>
      </c>
      <c r="C271" s="2" t="s">
        <v>28</v>
      </c>
      <c r="D271" s="2" t="s">
        <v>97</v>
      </c>
      <c r="E271" s="2" t="s">
        <v>1884</v>
      </c>
      <c r="F271" s="2" t="s">
        <v>99</v>
      </c>
      <c r="G271" s="2" t="s">
        <v>32</v>
      </c>
      <c r="H271" s="1"/>
      <c r="I271" s="2" t="s">
        <v>33</v>
      </c>
      <c r="J271" s="2" t="s">
        <v>34</v>
      </c>
      <c r="K271" s="2" t="s">
        <v>2244</v>
      </c>
      <c r="L271" s="2" t="s">
        <v>2245</v>
      </c>
      <c r="M271" s="2" t="s">
        <v>2140</v>
      </c>
      <c r="N271" s="2" t="s">
        <v>38</v>
      </c>
      <c r="O271" s="2" t="s">
        <v>748</v>
      </c>
      <c r="P271" s="2" t="s">
        <v>2246</v>
      </c>
      <c r="Q271" s="2" t="s">
        <v>2247</v>
      </c>
      <c r="R271" s="2" t="s">
        <v>40</v>
      </c>
      <c r="S271" s="2" t="s">
        <v>2248</v>
      </c>
      <c r="T271" s="2" t="s">
        <v>2249</v>
      </c>
      <c r="U271" s="2" t="s">
        <v>2250</v>
      </c>
      <c r="V271" s="2" t="s">
        <v>2251</v>
      </c>
      <c r="W271" s="1"/>
      <c r="X271" s="2" t="s">
        <v>398</v>
      </c>
      <c r="Y271" s="2" t="s">
        <v>2148</v>
      </c>
      <c r="AA271" t="str">
        <f t="shared" si="24"/>
        <v>2026-06</v>
      </c>
      <c r="AB271" t="str">
        <f t="shared" si="25"/>
        <v>H1_2026</v>
      </c>
      <c r="AC271">
        <f t="shared" si="26"/>
        <v>2257197.6</v>
      </c>
      <c r="AD271">
        <f t="shared" si="27"/>
        <v>280</v>
      </c>
      <c r="AE271">
        <f t="shared" si="28"/>
        <v>271743.08</v>
      </c>
      <c r="AF271" t="str">
        <f t="shared" si="29"/>
        <v>Paid</v>
      </c>
    </row>
    <row r="272" spans="1:32" ht="17.25" thickBot="1" x14ac:dyDescent="0.35">
      <c r="A272" s="2" t="s">
        <v>2252</v>
      </c>
      <c r="B272" s="2" t="s">
        <v>27</v>
      </c>
      <c r="C272" s="2" t="s">
        <v>28</v>
      </c>
      <c r="D272" s="2" t="s">
        <v>97</v>
      </c>
      <c r="E272" s="2" t="s">
        <v>1884</v>
      </c>
      <c r="F272" s="2" t="s">
        <v>99</v>
      </c>
      <c r="G272" s="2" t="s">
        <v>32</v>
      </c>
      <c r="H272" s="1"/>
      <c r="I272" s="2" t="s">
        <v>33</v>
      </c>
      <c r="J272" s="2" t="s">
        <v>34</v>
      </c>
      <c r="K272" s="2" t="s">
        <v>2253</v>
      </c>
      <c r="L272" s="2" t="s">
        <v>2254</v>
      </c>
      <c r="M272" s="2" t="s">
        <v>2140</v>
      </c>
      <c r="N272" s="2" t="s">
        <v>38</v>
      </c>
      <c r="O272" s="2" t="s">
        <v>141</v>
      </c>
      <c r="P272" s="2" t="s">
        <v>2220</v>
      </c>
      <c r="Q272" s="2" t="s">
        <v>2255</v>
      </c>
      <c r="R272" s="2" t="s">
        <v>40</v>
      </c>
      <c r="S272" s="2" t="s">
        <v>2256</v>
      </c>
      <c r="T272" s="2" t="s">
        <v>297</v>
      </c>
      <c r="U272" s="2" t="s">
        <v>2257</v>
      </c>
      <c r="V272" s="2" t="s">
        <v>2258</v>
      </c>
      <c r="W272" s="1"/>
      <c r="X272" s="2" t="s">
        <v>1100</v>
      </c>
      <c r="Y272" s="2" t="s">
        <v>2148</v>
      </c>
      <c r="AA272" t="str">
        <f t="shared" si="24"/>
        <v>2026-06</v>
      </c>
      <c r="AB272" t="str">
        <f t="shared" si="25"/>
        <v>H1_2026</v>
      </c>
      <c r="AC272">
        <f t="shared" si="26"/>
        <v>288070.92</v>
      </c>
      <c r="AD272">
        <f t="shared" si="27"/>
        <v>30</v>
      </c>
      <c r="AE272">
        <f t="shared" si="28"/>
        <v>48070.92</v>
      </c>
      <c r="AF272" t="str">
        <f t="shared" si="29"/>
        <v>Paid</v>
      </c>
    </row>
    <row r="273" spans="1:32" ht="17.25" thickBot="1" x14ac:dyDescent="0.35">
      <c r="A273" s="2" t="s">
        <v>2259</v>
      </c>
      <c r="B273" s="2" t="s">
        <v>27</v>
      </c>
      <c r="C273" s="2" t="s">
        <v>28</v>
      </c>
      <c r="D273" s="2" t="s">
        <v>97</v>
      </c>
      <c r="E273" s="2" t="s">
        <v>1884</v>
      </c>
      <c r="F273" s="2" t="s">
        <v>99</v>
      </c>
      <c r="G273" s="2" t="s">
        <v>32</v>
      </c>
      <c r="H273" s="1"/>
      <c r="I273" s="2" t="s">
        <v>33</v>
      </c>
      <c r="J273" s="2" t="s">
        <v>34</v>
      </c>
      <c r="K273" s="2" t="s">
        <v>2260</v>
      </c>
      <c r="L273" s="2" t="s">
        <v>2261</v>
      </c>
      <c r="M273" s="2" t="s">
        <v>2140</v>
      </c>
      <c r="N273" s="2" t="s">
        <v>38</v>
      </c>
      <c r="O273" s="2" t="s">
        <v>131</v>
      </c>
      <c r="P273" s="2" t="s">
        <v>2262</v>
      </c>
      <c r="Q273" s="2" t="s">
        <v>2263</v>
      </c>
      <c r="R273" s="2" t="s">
        <v>40</v>
      </c>
      <c r="S273" s="2" t="s">
        <v>2264</v>
      </c>
      <c r="T273" s="2" t="s">
        <v>2223</v>
      </c>
      <c r="U273" s="2" t="s">
        <v>2265</v>
      </c>
      <c r="V273" s="2" t="s">
        <v>2266</v>
      </c>
      <c r="W273" s="1"/>
      <c r="X273" s="2" t="s">
        <v>827</v>
      </c>
      <c r="Y273" s="2" t="s">
        <v>2148</v>
      </c>
      <c r="AA273" t="str">
        <f t="shared" si="24"/>
        <v>2026-06</v>
      </c>
      <c r="AB273" t="str">
        <f t="shared" si="25"/>
        <v>H1_2026</v>
      </c>
      <c r="AC273">
        <f t="shared" si="26"/>
        <v>393796.8</v>
      </c>
      <c r="AD273">
        <f t="shared" si="27"/>
        <v>40</v>
      </c>
      <c r="AE273">
        <f t="shared" si="28"/>
        <v>81069.53</v>
      </c>
      <c r="AF273" t="str">
        <f t="shared" si="29"/>
        <v>Paid</v>
      </c>
    </row>
    <row r="274" spans="1:32" ht="17.25" thickBot="1" x14ac:dyDescent="0.35">
      <c r="A274" s="2" t="s">
        <v>2267</v>
      </c>
      <c r="B274" s="2" t="s">
        <v>27</v>
      </c>
      <c r="C274" s="2" t="s">
        <v>28</v>
      </c>
      <c r="D274" s="2" t="s">
        <v>97</v>
      </c>
      <c r="E274" s="2" t="s">
        <v>1884</v>
      </c>
      <c r="F274" s="2" t="s">
        <v>99</v>
      </c>
      <c r="G274" s="2" t="s">
        <v>32</v>
      </c>
      <c r="H274" s="1"/>
      <c r="I274" s="2" t="s">
        <v>33</v>
      </c>
      <c r="J274" s="2" t="s">
        <v>34</v>
      </c>
      <c r="K274" s="2" t="s">
        <v>2268</v>
      </c>
      <c r="L274" s="2" t="s">
        <v>2269</v>
      </c>
      <c r="M274" s="2" t="s">
        <v>2270</v>
      </c>
      <c r="N274" s="2" t="s">
        <v>38</v>
      </c>
      <c r="O274" s="2" t="s">
        <v>2271</v>
      </c>
      <c r="P274" s="2" t="s">
        <v>2272</v>
      </c>
      <c r="Q274" s="2" t="s">
        <v>2273</v>
      </c>
      <c r="R274" s="2" t="s">
        <v>40</v>
      </c>
      <c r="S274" s="2" t="s">
        <v>2274</v>
      </c>
      <c r="T274" s="2" t="s">
        <v>2275</v>
      </c>
      <c r="U274" s="2" t="s">
        <v>2276</v>
      </c>
      <c r="V274" s="2" t="s">
        <v>2277</v>
      </c>
      <c r="W274" s="1"/>
      <c r="X274" s="2" t="s">
        <v>2278</v>
      </c>
      <c r="Y274" s="2" t="s">
        <v>2148</v>
      </c>
      <c r="AA274" t="str">
        <f t="shared" si="24"/>
        <v>2026-06</v>
      </c>
      <c r="AB274" t="str">
        <f t="shared" si="25"/>
        <v>H1_2026</v>
      </c>
      <c r="AC274">
        <f t="shared" si="26"/>
        <v>17250012</v>
      </c>
      <c r="AD274">
        <f t="shared" si="27"/>
        <v>3100</v>
      </c>
      <c r="AE274">
        <f t="shared" si="28"/>
        <v>3300012</v>
      </c>
      <c r="AF274" t="str">
        <f t="shared" si="29"/>
        <v>Paid</v>
      </c>
    </row>
    <row r="275" spans="1:32" ht="17.25" thickBot="1" x14ac:dyDescent="0.35">
      <c r="A275" s="2" t="s">
        <v>2279</v>
      </c>
      <c r="B275" s="2" t="s">
        <v>27</v>
      </c>
      <c r="C275" s="2" t="s">
        <v>28</v>
      </c>
      <c r="D275" s="2" t="s">
        <v>97</v>
      </c>
      <c r="E275" s="2" t="s">
        <v>1884</v>
      </c>
      <c r="F275" s="2" t="s">
        <v>99</v>
      </c>
      <c r="G275" s="2" t="s">
        <v>32</v>
      </c>
      <c r="H275" s="1"/>
      <c r="I275" s="2" t="s">
        <v>33</v>
      </c>
      <c r="J275" s="2" t="s">
        <v>34</v>
      </c>
      <c r="K275" s="2" t="s">
        <v>2280</v>
      </c>
      <c r="L275" s="2" t="s">
        <v>2281</v>
      </c>
      <c r="M275" s="2" t="s">
        <v>2270</v>
      </c>
      <c r="N275" s="2" t="s">
        <v>38</v>
      </c>
      <c r="O275" s="2" t="s">
        <v>2282</v>
      </c>
      <c r="P275" s="2" t="s">
        <v>2272</v>
      </c>
      <c r="Q275" s="2" t="s">
        <v>2283</v>
      </c>
      <c r="R275" s="2" t="s">
        <v>40</v>
      </c>
      <c r="S275" s="2" t="s">
        <v>2284</v>
      </c>
      <c r="T275" s="2" t="s">
        <v>2275</v>
      </c>
      <c r="U275" s="2" t="s">
        <v>2285</v>
      </c>
      <c r="V275" s="2" t="s">
        <v>2286</v>
      </c>
      <c r="W275" s="1"/>
      <c r="X275" s="2" t="s">
        <v>2278</v>
      </c>
      <c r="Y275" s="2" t="s">
        <v>2148</v>
      </c>
      <c r="AA275" t="str">
        <f t="shared" si="24"/>
        <v>2026-06</v>
      </c>
      <c r="AB275" t="str">
        <f t="shared" si="25"/>
        <v>H1_2026</v>
      </c>
      <c r="AC275">
        <f t="shared" si="26"/>
        <v>3444437.88</v>
      </c>
      <c r="AD275">
        <f t="shared" si="27"/>
        <v>619</v>
      </c>
      <c r="AE275">
        <f t="shared" si="28"/>
        <v>658937.88</v>
      </c>
      <c r="AF275" t="str">
        <f t="shared" si="29"/>
        <v>Paid</v>
      </c>
    </row>
    <row r="276" spans="1:32" ht="27.75" thickBot="1" x14ac:dyDescent="0.35">
      <c r="A276" s="2" t="s">
        <v>2287</v>
      </c>
      <c r="B276" s="2" t="s">
        <v>27</v>
      </c>
      <c r="C276" s="2" t="s">
        <v>28</v>
      </c>
      <c r="D276" s="2" t="s">
        <v>97</v>
      </c>
      <c r="E276" s="2" t="s">
        <v>1884</v>
      </c>
      <c r="F276" s="2" t="s">
        <v>99</v>
      </c>
      <c r="G276" s="2" t="s">
        <v>32</v>
      </c>
      <c r="H276" s="1"/>
      <c r="I276" s="2" t="s">
        <v>33</v>
      </c>
      <c r="J276" s="2" t="s">
        <v>34</v>
      </c>
      <c r="K276" s="2" t="s">
        <v>2288</v>
      </c>
      <c r="L276" s="2" t="s">
        <v>2289</v>
      </c>
      <c r="M276" s="2" t="s">
        <v>2270</v>
      </c>
      <c r="N276" s="2" t="s">
        <v>38</v>
      </c>
      <c r="O276" s="2" t="s">
        <v>748</v>
      </c>
      <c r="P276" s="2" t="s">
        <v>2272</v>
      </c>
      <c r="Q276" s="2" t="s">
        <v>2084</v>
      </c>
      <c r="R276" s="2" t="s">
        <v>40</v>
      </c>
      <c r="S276" s="2" t="s">
        <v>2290</v>
      </c>
      <c r="T276" s="2" t="s">
        <v>2275</v>
      </c>
      <c r="U276" s="2" t="s">
        <v>670</v>
      </c>
      <c r="V276" s="2" t="s">
        <v>2291</v>
      </c>
      <c r="W276" s="1"/>
      <c r="X276" s="2" t="s">
        <v>2278</v>
      </c>
      <c r="Y276" s="2" t="s">
        <v>2148</v>
      </c>
      <c r="AA276" t="str">
        <f t="shared" si="24"/>
        <v>2026-06</v>
      </c>
      <c r="AB276" t="str">
        <f t="shared" si="25"/>
        <v>H1_2026</v>
      </c>
      <c r="AC276">
        <f t="shared" si="26"/>
        <v>1558065.6</v>
      </c>
      <c r="AD276">
        <f t="shared" si="27"/>
        <v>280</v>
      </c>
      <c r="AE276">
        <f t="shared" si="28"/>
        <v>298065.59999999998</v>
      </c>
      <c r="AF276" t="str">
        <f t="shared" si="29"/>
        <v>Paid</v>
      </c>
    </row>
    <row r="277" spans="1:32" ht="17.25" thickBot="1" x14ac:dyDescent="0.35">
      <c r="A277" s="2" t="s">
        <v>2292</v>
      </c>
      <c r="B277" s="2" t="s">
        <v>27</v>
      </c>
      <c r="C277" s="2" t="s">
        <v>28</v>
      </c>
      <c r="D277" s="2" t="s">
        <v>97</v>
      </c>
      <c r="E277" s="2" t="s">
        <v>1884</v>
      </c>
      <c r="F277" s="2" t="s">
        <v>99</v>
      </c>
      <c r="G277" s="2" t="s">
        <v>32</v>
      </c>
      <c r="H277" s="1"/>
      <c r="I277" s="2" t="s">
        <v>33</v>
      </c>
      <c r="J277" s="2" t="s">
        <v>34</v>
      </c>
      <c r="K277" s="2" t="s">
        <v>2293</v>
      </c>
      <c r="L277" s="2" t="s">
        <v>2294</v>
      </c>
      <c r="M277" s="2" t="s">
        <v>2270</v>
      </c>
      <c r="N277" s="2" t="s">
        <v>38</v>
      </c>
      <c r="O277" s="2" t="s">
        <v>458</v>
      </c>
      <c r="P277" s="2" t="s">
        <v>2272</v>
      </c>
      <c r="Q277" s="2" t="s">
        <v>2295</v>
      </c>
      <c r="R277" s="2" t="s">
        <v>40</v>
      </c>
      <c r="S277" s="2" t="s">
        <v>2296</v>
      </c>
      <c r="T277" s="2" t="s">
        <v>2275</v>
      </c>
      <c r="U277" s="2" t="s">
        <v>2297</v>
      </c>
      <c r="V277" s="2" t="s">
        <v>2298</v>
      </c>
      <c r="W277" s="1"/>
      <c r="X277" s="2" t="s">
        <v>2278</v>
      </c>
      <c r="Y277" s="2" t="s">
        <v>2148</v>
      </c>
      <c r="AA277" t="str">
        <f t="shared" si="24"/>
        <v>2026-06</v>
      </c>
      <c r="AB277" t="str">
        <f t="shared" si="25"/>
        <v>H1_2026</v>
      </c>
      <c r="AC277">
        <f t="shared" si="26"/>
        <v>1246452.48</v>
      </c>
      <c r="AD277">
        <f t="shared" si="27"/>
        <v>224</v>
      </c>
      <c r="AE277">
        <f t="shared" si="28"/>
        <v>238452.48000000001</v>
      </c>
      <c r="AF277" t="str">
        <f t="shared" si="29"/>
        <v>Paid</v>
      </c>
    </row>
    <row r="278" spans="1:32" ht="17.25" thickBot="1" x14ac:dyDescent="0.35">
      <c r="A278" s="2" t="s">
        <v>2299</v>
      </c>
      <c r="B278" s="2" t="s">
        <v>27</v>
      </c>
      <c r="C278" s="2" t="s">
        <v>28</v>
      </c>
      <c r="D278" s="2" t="s">
        <v>97</v>
      </c>
      <c r="E278" s="2" t="s">
        <v>1884</v>
      </c>
      <c r="F278" s="2" t="s">
        <v>99</v>
      </c>
      <c r="G278" s="2" t="s">
        <v>32</v>
      </c>
      <c r="H278" s="1"/>
      <c r="I278" s="2" t="s">
        <v>33</v>
      </c>
      <c r="J278" s="2" t="s">
        <v>34</v>
      </c>
      <c r="K278" s="2" t="s">
        <v>2300</v>
      </c>
      <c r="L278" s="2" t="s">
        <v>2301</v>
      </c>
      <c r="M278" s="2" t="s">
        <v>2270</v>
      </c>
      <c r="N278" s="2" t="s">
        <v>38</v>
      </c>
      <c r="O278" s="2" t="s">
        <v>877</v>
      </c>
      <c r="P278" s="2" t="s">
        <v>2272</v>
      </c>
      <c r="Q278" s="2" t="s">
        <v>2302</v>
      </c>
      <c r="R278" s="2" t="s">
        <v>40</v>
      </c>
      <c r="S278" s="2" t="s">
        <v>2303</v>
      </c>
      <c r="T278" s="2" t="s">
        <v>2275</v>
      </c>
      <c r="U278" s="2" t="s">
        <v>145</v>
      </c>
      <c r="V278" s="2" t="s">
        <v>2304</v>
      </c>
      <c r="W278" s="1"/>
      <c r="X278" s="2" t="s">
        <v>2278</v>
      </c>
      <c r="Y278" s="2" t="s">
        <v>2148</v>
      </c>
      <c r="AA278" t="str">
        <f t="shared" si="24"/>
        <v>2026-06</v>
      </c>
      <c r="AB278" t="str">
        <f t="shared" si="25"/>
        <v>H1_2026</v>
      </c>
      <c r="AC278">
        <f t="shared" si="26"/>
        <v>556452</v>
      </c>
      <c r="AD278">
        <f t="shared" si="27"/>
        <v>100</v>
      </c>
      <c r="AE278">
        <f t="shared" si="28"/>
        <v>106452</v>
      </c>
      <c r="AF278" t="str">
        <f t="shared" si="29"/>
        <v>Paid</v>
      </c>
    </row>
    <row r="279" spans="1:32" ht="17.25" thickBot="1" x14ac:dyDescent="0.35">
      <c r="A279" s="2" t="s">
        <v>2305</v>
      </c>
      <c r="B279" s="2" t="s">
        <v>27</v>
      </c>
      <c r="C279" s="2" t="s">
        <v>28</v>
      </c>
      <c r="D279" s="2" t="s">
        <v>97</v>
      </c>
      <c r="E279" s="2" t="s">
        <v>1884</v>
      </c>
      <c r="F279" s="2" t="s">
        <v>99</v>
      </c>
      <c r="G279" s="2" t="s">
        <v>32</v>
      </c>
      <c r="H279" s="1"/>
      <c r="I279" s="2" t="s">
        <v>33</v>
      </c>
      <c r="J279" s="2" t="s">
        <v>34</v>
      </c>
      <c r="K279" s="2" t="s">
        <v>2306</v>
      </c>
      <c r="L279" s="2" t="s">
        <v>2307</v>
      </c>
      <c r="M279" s="2" t="s">
        <v>2270</v>
      </c>
      <c r="N279" s="2" t="s">
        <v>38</v>
      </c>
      <c r="O279" s="2" t="s">
        <v>1514</v>
      </c>
      <c r="P279" s="2" t="s">
        <v>2272</v>
      </c>
      <c r="Q279" s="2" t="s">
        <v>2308</v>
      </c>
      <c r="R279" s="2" t="s">
        <v>40</v>
      </c>
      <c r="S279" s="2" t="s">
        <v>2309</v>
      </c>
      <c r="T279" s="2" t="s">
        <v>2275</v>
      </c>
      <c r="U279" s="2" t="s">
        <v>2310</v>
      </c>
      <c r="V279" s="2" t="s">
        <v>2311</v>
      </c>
      <c r="W279" s="1"/>
      <c r="X279" s="2" t="s">
        <v>2278</v>
      </c>
      <c r="Y279" s="2" t="s">
        <v>2148</v>
      </c>
      <c r="AA279" t="str">
        <f t="shared" si="24"/>
        <v>2026-06</v>
      </c>
      <c r="AB279" t="str">
        <f t="shared" si="25"/>
        <v>H1_2026</v>
      </c>
      <c r="AC279">
        <f t="shared" si="26"/>
        <v>951532.92</v>
      </c>
      <c r="AD279">
        <f t="shared" si="27"/>
        <v>171</v>
      </c>
      <c r="AE279">
        <f t="shared" si="28"/>
        <v>182032.92</v>
      </c>
      <c r="AF279" t="str">
        <f t="shared" si="29"/>
        <v>Paid</v>
      </c>
    </row>
    <row r="280" spans="1:32" ht="17.25" thickBot="1" x14ac:dyDescent="0.35">
      <c r="A280" s="2" t="s">
        <v>2312</v>
      </c>
      <c r="B280" s="2" t="s">
        <v>27</v>
      </c>
      <c r="C280" s="2" t="s">
        <v>28</v>
      </c>
      <c r="D280" s="2" t="s">
        <v>97</v>
      </c>
      <c r="E280" s="2" t="s">
        <v>1884</v>
      </c>
      <c r="F280" s="2" t="s">
        <v>99</v>
      </c>
      <c r="G280" s="2" t="s">
        <v>32</v>
      </c>
      <c r="H280" s="1"/>
      <c r="I280" s="2" t="s">
        <v>33</v>
      </c>
      <c r="J280" s="2" t="s">
        <v>34</v>
      </c>
      <c r="K280" s="2" t="s">
        <v>2313</v>
      </c>
      <c r="L280" s="2" t="s">
        <v>2314</v>
      </c>
      <c r="M280" s="2" t="s">
        <v>2270</v>
      </c>
      <c r="N280" s="2" t="s">
        <v>38</v>
      </c>
      <c r="O280" s="2" t="s">
        <v>920</v>
      </c>
      <c r="P280" s="2" t="s">
        <v>2272</v>
      </c>
      <c r="Q280" s="2" t="s">
        <v>2315</v>
      </c>
      <c r="R280" s="2" t="s">
        <v>40</v>
      </c>
      <c r="S280" s="2" t="s">
        <v>2316</v>
      </c>
      <c r="T280" s="2" t="s">
        <v>2275</v>
      </c>
      <c r="U280" s="2" t="s">
        <v>2317</v>
      </c>
      <c r="V280" s="2" t="s">
        <v>2318</v>
      </c>
      <c r="W280" s="1"/>
      <c r="X280" s="2" t="s">
        <v>2278</v>
      </c>
      <c r="Y280" s="2" t="s">
        <v>2148</v>
      </c>
      <c r="AA280" t="str">
        <f t="shared" si="24"/>
        <v>2026-06</v>
      </c>
      <c r="AB280" t="str">
        <f t="shared" si="25"/>
        <v>H1_2026</v>
      </c>
      <c r="AC280">
        <f t="shared" si="26"/>
        <v>2615324.4</v>
      </c>
      <c r="AD280">
        <f t="shared" si="27"/>
        <v>470</v>
      </c>
      <c r="AE280">
        <f t="shared" si="28"/>
        <v>500324.4</v>
      </c>
      <c r="AF280" t="str">
        <f t="shared" si="29"/>
        <v>Paid</v>
      </c>
    </row>
    <row r="281" spans="1:32" ht="17.25" thickBot="1" x14ac:dyDescent="0.35">
      <c r="A281" s="2" t="s">
        <v>2319</v>
      </c>
      <c r="B281" s="2" t="s">
        <v>27</v>
      </c>
      <c r="C281" s="2" t="s">
        <v>28</v>
      </c>
      <c r="D281" s="2" t="s">
        <v>97</v>
      </c>
      <c r="E281" s="2" t="s">
        <v>1884</v>
      </c>
      <c r="F281" s="2" t="s">
        <v>99</v>
      </c>
      <c r="G281" s="2" t="s">
        <v>32</v>
      </c>
      <c r="H281" s="1"/>
      <c r="I281" s="2" t="s">
        <v>33</v>
      </c>
      <c r="J281" s="2" t="s">
        <v>34</v>
      </c>
      <c r="K281" s="2" t="s">
        <v>2320</v>
      </c>
      <c r="L281" s="2" t="s">
        <v>2321</v>
      </c>
      <c r="M281" s="2" t="s">
        <v>2270</v>
      </c>
      <c r="N281" s="2" t="s">
        <v>38</v>
      </c>
      <c r="O281" s="2" t="s">
        <v>114</v>
      </c>
      <c r="P281" s="2" t="s">
        <v>2272</v>
      </c>
      <c r="Q281" s="2" t="s">
        <v>2322</v>
      </c>
      <c r="R281" s="2" t="s">
        <v>40</v>
      </c>
      <c r="S281" s="2" t="s">
        <v>2323</v>
      </c>
      <c r="T281" s="2" t="s">
        <v>2275</v>
      </c>
      <c r="U281" s="2" t="s">
        <v>2135</v>
      </c>
      <c r="V281" s="2" t="s">
        <v>2324</v>
      </c>
      <c r="W281" s="1"/>
      <c r="X281" s="2" t="s">
        <v>2278</v>
      </c>
      <c r="Y281" s="2" t="s">
        <v>2148</v>
      </c>
      <c r="AA281" t="str">
        <f t="shared" si="24"/>
        <v>2026-06</v>
      </c>
      <c r="AB281" t="str">
        <f t="shared" si="25"/>
        <v>H1_2026</v>
      </c>
      <c r="AC281">
        <f t="shared" si="26"/>
        <v>1335484.8</v>
      </c>
      <c r="AD281">
        <f t="shared" si="27"/>
        <v>240</v>
      </c>
      <c r="AE281">
        <f t="shared" si="28"/>
        <v>255484.79999999999</v>
      </c>
      <c r="AF281" t="str">
        <f t="shared" si="29"/>
        <v>Paid</v>
      </c>
    </row>
    <row r="282" spans="1:32" ht="27.75" thickBot="1" x14ac:dyDescent="0.35">
      <c r="A282" s="2" t="s">
        <v>748</v>
      </c>
      <c r="B282" s="2" t="s">
        <v>27</v>
      </c>
      <c r="C282" s="2" t="s">
        <v>28</v>
      </c>
      <c r="D282" s="2" t="s">
        <v>97</v>
      </c>
      <c r="E282" s="2" t="s">
        <v>1884</v>
      </c>
      <c r="F282" s="2" t="s">
        <v>99</v>
      </c>
      <c r="G282" s="2" t="s">
        <v>32</v>
      </c>
      <c r="H282" s="1"/>
      <c r="I282" s="2" t="s">
        <v>33</v>
      </c>
      <c r="J282" s="2" t="s">
        <v>34</v>
      </c>
      <c r="K282" s="2" t="s">
        <v>2325</v>
      </c>
      <c r="L282" s="2" t="s">
        <v>2326</v>
      </c>
      <c r="M282" s="2" t="s">
        <v>2270</v>
      </c>
      <c r="N282" s="2" t="s">
        <v>38</v>
      </c>
      <c r="O282" s="2" t="s">
        <v>76</v>
      </c>
      <c r="P282" s="2" t="s">
        <v>2272</v>
      </c>
      <c r="Q282" s="2" t="s">
        <v>2327</v>
      </c>
      <c r="R282" s="2" t="s">
        <v>40</v>
      </c>
      <c r="S282" s="2" t="s">
        <v>2328</v>
      </c>
      <c r="T282" s="2" t="s">
        <v>2275</v>
      </c>
      <c r="U282" s="2" t="s">
        <v>2329</v>
      </c>
      <c r="V282" s="2" t="s">
        <v>2330</v>
      </c>
      <c r="W282" s="1"/>
      <c r="X282" s="2" t="s">
        <v>2278</v>
      </c>
      <c r="Y282" s="2" t="s">
        <v>2148</v>
      </c>
      <c r="AA282" t="str">
        <f t="shared" si="24"/>
        <v>2026-06</v>
      </c>
      <c r="AB282" t="str">
        <f t="shared" si="25"/>
        <v>H1_2026</v>
      </c>
      <c r="AC282">
        <f t="shared" si="26"/>
        <v>50080.68</v>
      </c>
      <c r="AD282">
        <f t="shared" si="27"/>
        <v>9</v>
      </c>
      <c r="AE282">
        <f t="shared" si="28"/>
        <v>9580.68</v>
      </c>
      <c r="AF282" t="str">
        <f t="shared" si="29"/>
        <v>Paid</v>
      </c>
    </row>
    <row r="283" spans="1:32" ht="17.25" thickBot="1" x14ac:dyDescent="0.35">
      <c r="A283" s="2" t="s">
        <v>2331</v>
      </c>
      <c r="B283" s="2" t="s">
        <v>27</v>
      </c>
      <c r="C283" s="2" t="s">
        <v>28</v>
      </c>
      <c r="D283" s="2" t="s">
        <v>97</v>
      </c>
      <c r="E283" s="2" t="s">
        <v>1884</v>
      </c>
      <c r="F283" s="2" t="s">
        <v>99</v>
      </c>
      <c r="G283" s="2" t="s">
        <v>32</v>
      </c>
      <c r="H283" s="1"/>
      <c r="I283" s="2" t="s">
        <v>33</v>
      </c>
      <c r="J283" s="2" t="s">
        <v>34</v>
      </c>
      <c r="K283" s="2" t="s">
        <v>2332</v>
      </c>
      <c r="L283" s="2" t="s">
        <v>2333</v>
      </c>
      <c r="M283" s="2" t="s">
        <v>2270</v>
      </c>
      <c r="N283" s="2" t="s">
        <v>38</v>
      </c>
      <c r="O283" s="2" t="s">
        <v>114</v>
      </c>
      <c r="P283" s="2" t="s">
        <v>2272</v>
      </c>
      <c r="Q283" s="2" t="s">
        <v>2322</v>
      </c>
      <c r="R283" s="2" t="s">
        <v>40</v>
      </c>
      <c r="S283" s="2" t="s">
        <v>2323</v>
      </c>
      <c r="T283" s="2" t="s">
        <v>2275</v>
      </c>
      <c r="U283" s="2" t="s">
        <v>2135</v>
      </c>
      <c r="V283" s="2" t="s">
        <v>2324</v>
      </c>
      <c r="W283" s="1"/>
      <c r="X283" s="2" t="s">
        <v>2278</v>
      </c>
      <c r="Y283" s="2" t="s">
        <v>2148</v>
      </c>
      <c r="AA283" t="str">
        <f t="shared" si="24"/>
        <v>2026-06</v>
      </c>
      <c r="AB283" t="str">
        <f t="shared" si="25"/>
        <v>H1_2026</v>
      </c>
      <c r="AC283">
        <f t="shared" si="26"/>
        <v>1335484.8</v>
      </c>
      <c r="AD283">
        <f t="shared" si="27"/>
        <v>240</v>
      </c>
      <c r="AE283">
        <f t="shared" si="28"/>
        <v>255484.79999999999</v>
      </c>
      <c r="AF283" t="str">
        <f t="shared" si="29"/>
        <v>Paid</v>
      </c>
    </row>
    <row r="284" spans="1:32" ht="17.25" thickBot="1" x14ac:dyDescent="0.35">
      <c r="A284" s="2" t="s">
        <v>2334</v>
      </c>
      <c r="B284" s="2" t="s">
        <v>27</v>
      </c>
      <c r="C284" s="2" t="s">
        <v>28</v>
      </c>
      <c r="D284" s="2" t="s">
        <v>97</v>
      </c>
      <c r="E284" s="2" t="s">
        <v>1884</v>
      </c>
      <c r="F284" s="2" t="s">
        <v>99</v>
      </c>
      <c r="G284" s="2" t="s">
        <v>32</v>
      </c>
      <c r="H284" s="1"/>
      <c r="I284" s="2" t="s">
        <v>33</v>
      </c>
      <c r="J284" s="2" t="s">
        <v>34</v>
      </c>
      <c r="K284" s="2" t="s">
        <v>2335</v>
      </c>
      <c r="L284" s="2" t="s">
        <v>2336</v>
      </c>
      <c r="M284" s="2" t="s">
        <v>2270</v>
      </c>
      <c r="N284" s="2" t="s">
        <v>38</v>
      </c>
      <c r="O284" s="2" t="s">
        <v>2337</v>
      </c>
      <c r="P284" s="2" t="s">
        <v>2272</v>
      </c>
      <c r="Q284" s="2" t="s">
        <v>1732</v>
      </c>
      <c r="R284" s="2" t="s">
        <v>40</v>
      </c>
      <c r="S284" s="2" t="s">
        <v>2338</v>
      </c>
      <c r="T284" s="2" t="s">
        <v>2275</v>
      </c>
      <c r="U284" s="2" t="s">
        <v>2339</v>
      </c>
      <c r="V284" s="2" t="s">
        <v>2340</v>
      </c>
      <c r="W284" s="1"/>
      <c r="X284" s="2" t="s">
        <v>2278</v>
      </c>
      <c r="Y284" s="2" t="s">
        <v>2148</v>
      </c>
      <c r="AA284" t="str">
        <f t="shared" si="24"/>
        <v>2026-06</v>
      </c>
      <c r="AB284" t="str">
        <f t="shared" si="25"/>
        <v>H1_2026</v>
      </c>
      <c r="AC284">
        <f t="shared" si="26"/>
        <v>3171776.4</v>
      </c>
      <c r="AD284">
        <f t="shared" si="27"/>
        <v>570</v>
      </c>
      <c r="AE284">
        <f t="shared" si="28"/>
        <v>606776.4</v>
      </c>
      <c r="AF284" t="str">
        <f t="shared" si="29"/>
        <v>Paid</v>
      </c>
    </row>
    <row r="285" spans="1:32" ht="27.75" thickBot="1" x14ac:dyDescent="0.35">
      <c r="A285" s="2" t="s">
        <v>2341</v>
      </c>
      <c r="B285" s="2" t="s">
        <v>27</v>
      </c>
      <c r="C285" s="2" t="s">
        <v>28</v>
      </c>
      <c r="D285" s="2" t="s">
        <v>97</v>
      </c>
      <c r="E285" s="2" t="s">
        <v>1884</v>
      </c>
      <c r="F285" s="2" t="s">
        <v>99</v>
      </c>
      <c r="G285" s="2" t="s">
        <v>32</v>
      </c>
      <c r="H285" s="1"/>
      <c r="I285" s="2" t="s">
        <v>33</v>
      </c>
      <c r="J285" s="2" t="s">
        <v>34</v>
      </c>
      <c r="K285" s="2" t="s">
        <v>2342</v>
      </c>
      <c r="L285" s="2" t="s">
        <v>2343</v>
      </c>
      <c r="M285" s="2" t="s">
        <v>2270</v>
      </c>
      <c r="N285" s="2" t="s">
        <v>38</v>
      </c>
      <c r="O285" s="2" t="s">
        <v>1265</v>
      </c>
      <c r="P285" s="2" t="s">
        <v>2272</v>
      </c>
      <c r="Q285" s="2" t="s">
        <v>2344</v>
      </c>
      <c r="R285" s="2" t="s">
        <v>40</v>
      </c>
      <c r="S285" s="2" t="s">
        <v>2345</v>
      </c>
      <c r="T285" s="2" t="s">
        <v>2275</v>
      </c>
      <c r="U285" s="2" t="s">
        <v>2346</v>
      </c>
      <c r="V285" s="2" t="s">
        <v>2347</v>
      </c>
      <c r="W285" s="1"/>
      <c r="X285" s="2" t="s">
        <v>2278</v>
      </c>
      <c r="Y285" s="2" t="s">
        <v>2148</v>
      </c>
      <c r="AA285" t="str">
        <f t="shared" si="24"/>
        <v>2026-06</v>
      </c>
      <c r="AB285" t="str">
        <f t="shared" si="25"/>
        <v>H1_2026</v>
      </c>
      <c r="AC285">
        <f t="shared" si="26"/>
        <v>790161.84</v>
      </c>
      <c r="AD285">
        <f t="shared" si="27"/>
        <v>142</v>
      </c>
      <c r="AE285">
        <f t="shared" si="28"/>
        <v>151161.84</v>
      </c>
      <c r="AF285" t="str">
        <f t="shared" si="29"/>
        <v>Paid</v>
      </c>
    </row>
    <row r="286" spans="1:32" ht="17.25" thickBot="1" x14ac:dyDescent="0.35">
      <c r="A286" s="2" t="s">
        <v>2348</v>
      </c>
      <c r="B286" s="2" t="s">
        <v>27</v>
      </c>
      <c r="C286" s="2" t="s">
        <v>28</v>
      </c>
      <c r="D286" s="2" t="s">
        <v>97</v>
      </c>
      <c r="E286" s="2" t="s">
        <v>1884</v>
      </c>
      <c r="F286" s="2" t="s">
        <v>99</v>
      </c>
      <c r="G286" s="2" t="s">
        <v>32</v>
      </c>
      <c r="H286" s="1"/>
      <c r="I286" s="2" t="s">
        <v>33</v>
      </c>
      <c r="J286" s="2" t="s">
        <v>34</v>
      </c>
      <c r="K286" s="2" t="s">
        <v>2349</v>
      </c>
      <c r="L286" s="2" t="s">
        <v>2350</v>
      </c>
      <c r="M286" s="2" t="s">
        <v>2270</v>
      </c>
      <c r="N286" s="2" t="s">
        <v>38</v>
      </c>
      <c r="O286" s="2" t="s">
        <v>1731</v>
      </c>
      <c r="P286" s="2" t="s">
        <v>2272</v>
      </c>
      <c r="Q286" s="2" t="s">
        <v>2351</v>
      </c>
      <c r="R286" s="2" t="s">
        <v>40</v>
      </c>
      <c r="S286" s="2" t="s">
        <v>2352</v>
      </c>
      <c r="T286" s="2" t="s">
        <v>2275</v>
      </c>
      <c r="U286" s="2" t="s">
        <v>2353</v>
      </c>
      <c r="V286" s="2" t="s">
        <v>2354</v>
      </c>
      <c r="W286" s="1"/>
      <c r="X286" s="2" t="s">
        <v>2278</v>
      </c>
      <c r="Y286" s="2" t="s">
        <v>2148</v>
      </c>
      <c r="AA286" t="str">
        <f t="shared" si="24"/>
        <v>2026-06</v>
      </c>
      <c r="AB286" t="str">
        <f t="shared" si="25"/>
        <v>H1_2026</v>
      </c>
      <c r="AC286">
        <f t="shared" si="26"/>
        <v>1151855.6399999999</v>
      </c>
      <c r="AD286">
        <f t="shared" si="27"/>
        <v>207</v>
      </c>
      <c r="AE286">
        <f t="shared" si="28"/>
        <v>220355.64</v>
      </c>
      <c r="AF286" t="str">
        <f t="shared" si="29"/>
        <v>Paid</v>
      </c>
    </row>
    <row r="287" spans="1:32" ht="27.75" thickBot="1" x14ac:dyDescent="0.35">
      <c r="A287" s="2" t="s">
        <v>2355</v>
      </c>
      <c r="B287" s="2" t="s">
        <v>27</v>
      </c>
      <c r="C287" s="2" t="s">
        <v>28</v>
      </c>
      <c r="D287" s="2" t="s">
        <v>97</v>
      </c>
      <c r="E287" s="2" t="s">
        <v>1884</v>
      </c>
      <c r="F287" s="2" t="s">
        <v>99</v>
      </c>
      <c r="G287" s="2" t="s">
        <v>32</v>
      </c>
      <c r="H287" s="1"/>
      <c r="I287" s="2" t="s">
        <v>33</v>
      </c>
      <c r="J287" s="2" t="s">
        <v>34</v>
      </c>
      <c r="K287" s="2" t="s">
        <v>2356</v>
      </c>
      <c r="L287" s="2" t="s">
        <v>2357</v>
      </c>
      <c r="M287" s="2" t="s">
        <v>2270</v>
      </c>
      <c r="N287" s="2" t="s">
        <v>38</v>
      </c>
      <c r="O287" s="2" t="s">
        <v>1385</v>
      </c>
      <c r="P287" s="2" t="s">
        <v>2272</v>
      </c>
      <c r="Q287" s="2" t="s">
        <v>2358</v>
      </c>
      <c r="R287" s="2" t="s">
        <v>40</v>
      </c>
      <c r="S287" s="2" t="s">
        <v>2359</v>
      </c>
      <c r="T287" s="2" t="s">
        <v>2275</v>
      </c>
      <c r="U287" s="2" t="s">
        <v>2360</v>
      </c>
      <c r="V287" s="2" t="s">
        <v>2361</v>
      </c>
      <c r="W287" s="1"/>
      <c r="X287" s="2" t="s">
        <v>2278</v>
      </c>
      <c r="Y287" s="2" t="s">
        <v>2148</v>
      </c>
      <c r="AA287" t="str">
        <f t="shared" si="24"/>
        <v>2026-06</v>
      </c>
      <c r="AB287" t="str">
        <f t="shared" si="25"/>
        <v>H1_2026</v>
      </c>
      <c r="AC287">
        <f t="shared" si="26"/>
        <v>868065.12</v>
      </c>
      <c r="AD287">
        <f t="shared" si="27"/>
        <v>156</v>
      </c>
      <c r="AE287">
        <f t="shared" si="28"/>
        <v>166065.12</v>
      </c>
      <c r="AF287" t="str">
        <f t="shared" si="29"/>
        <v>Paid</v>
      </c>
    </row>
    <row r="288" spans="1:32" ht="27.75" thickBot="1" x14ac:dyDescent="0.35">
      <c r="A288" s="2" t="s">
        <v>2362</v>
      </c>
      <c r="B288" s="2" t="s">
        <v>27</v>
      </c>
      <c r="C288" s="2" t="s">
        <v>28</v>
      </c>
      <c r="D288" s="2" t="s">
        <v>97</v>
      </c>
      <c r="E288" s="2" t="s">
        <v>1884</v>
      </c>
      <c r="F288" s="2" t="s">
        <v>99</v>
      </c>
      <c r="G288" s="2" t="s">
        <v>32</v>
      </c>
      <c r="H288" s="1"/>
      <c r="I288" s="2" t="s">
        <v>33</v>
      </c>
      <c r="J288" s="2" t="s">
        <v>34</v>
      </c>
      <c r="K288" s="2" t="s">
        <v>2363</v>
      </c>
      <c r="L288" s="2" t="s">
        <v>2364</v>
      </c>
      <c r="M288" s="2" t="s">
        <v>2270</v>
      </c>
      <c r="N288" s="2" t="s">
        <v>38</v>
      </c>
      <c r="O288" s="2" t="s">
        <v>1616</v>
      </c>
      <c r="P288" s="2" t="s">
        <v>2272</v>
      </c>
      <c r="Q288" s="2" t="s">
        <v>2365</v>
      </c>
      <c r="R288" s="2" t="s">
        <v>40</v>
      </c>
      <c r="S288" s="2" t="s">
        <v>2366</v>
      </c>
      <c r="T288" s="2" t="s">
        <v>2275</v>
      </c>
      <c r="U288" s="2" t="s">
        <v>2367</v>
      </c>
      <c r="V288" s="2" t="s">
        <v>2368</v>
      </c>
      <c r="W288" s="1"/>
      <c r="X288" s="2" t="s">
        <v>2278</v>
      </c>
      <c r="Y288" s="2" t="s">
        <v>2148</v>
      </c>
      <c r="AA288" t="str">
        <f t="shared" si="24"/>
        <v>2026-06</v>
      </c>
      <c r="AB288" t="str">
        <f t="shared" si="25"/>
        <v>H1_2026</v>
      </c>
      <c r="AC288">
        <f t="shared" si="26"/>
        <v>1046129.76</v>
      </c>
      <c r="AD288">
        <f t="shared" si="27"/>
        <v>188</v>
      </c>
      <c r="AE288">
        <f t="shared" si="28"/>
        <v>200129.76</v>
      </c>
      <c r="AF288" t="str">
        <f t="shared" si="29"/>
        <v>Paid</v>
      </c>
    </row>
    <row r="289" spans="1:32" ht="17.25" thickBot="1" x14ac:dyDescent="0.35">
      <c r="A289" s="2" t="s">
        <v>2369</v>
      </c>
      <c r="B289" s="2" t="s">
        <v>27</v>
      </c>
      <c r="C289" s="2" t="s">
        <v>28</v>
      </c>
      <c r="D289" s="2" t="s">
        <v>97</v>
      </c>
      <c r="E289" s="2" t="s">
        <v>1884</v>
      </c>
      <c r="F289" s="2" t="s">
        <v>99</v>
      </c>
      <c r="G289" s="2" t="s">
        <v>32</v>
      </c>
      <c r="H289" s="1"/>
      <c r="I289" s="2" t="s">
        <v>33</v>
      </c>
      <c r="J289" s="2" t="s">
        <v>34</v>
      </c>
      <c r="K289" s="2" t="s">
        <v>2370</v>
      </c>
      <c r="L289" s="2" t="s">
        <v>2371</v>
      </c>
      <c r="M289" s="2" t="s">
        <v>2372</v>
      </c>
      <c r="N289" s="2" t="s">
        <v>38</v>
      </c>
      <c r="O289" s="2" t="s">
        <v>54</v>
      </c>
      <c r="P289" s="2" t="s">
        <v>2373</v>
      </c>
      <c r="Q289" s="2" t="s">
        <v>2374</v>
      </c>
      <c r="R289" s="2" t="s">
        <v>40</v>
      </c>
      <c r="S289" s="2" t="s">
        <v>2375</v>
      </c>
      <c r="T289" s="2" t="s">
        <v>2376</v>
      </c>
      <c r="U289" s="2" t="s">
        <v>2377</v>
      </c>
      <c r="V289" s="2" t="s">
        <v>2378</v>
      </c>
      <c r="W289" s="1"/>
      <c r="X289" s="2" t="s">
        <v>965</v>
      </c>
      <c r="Y289" s="2" t="s">
        <v>2148</v>
      </c>
      <c r="AA289" t="str">
        <f t="shared" si="24"/>
        <v>2026-06</v>
      </c>
      <c r="AB289" t="str">
        <f t="shared" si="25"/>
        <v>H1_2026</v>
      </c>
      <c r="AC289">
        <f t="shared" si="26"/>
        <v>42233.279999999999</v>
      </c>
      <c r="AD289">
        <f t="shared" si="27"/>
        <v>4</v>
      </c>
      <c r="AE289">
        <f t="shared" si="28"/>
        <v>10815.1</v>
      </c>
      <c r="AF289" t="str">
        <f t="shared" si="29"/>
        <v>Paid</v>
      </c>
    </row>
    <row r="290" spans="1:32" ht="17.25" thickBot="1" x14ac:dyDescent="0.35">
      <c r="A290" s="2" t="s">
        <v>2379</v>
      </c>
      <c r="B290" s="2" t="s">
        <v>27</v>
      </c>
      <c r="C290" s="2" t="s">
        <v>28</v>
      </c>
      <c r="D290" s="2" t="s">
        <v>97</v>
      </c>
      <c r="E290" s="2" t="s">
        <v>1884</v>
      </c>
      <c r="F290" s="2" t="s">
        <v>99</v>
      </c>
      <c r="G290" s="2" t="s">
        <v>32</v>
      </c>
      <c r="H290" s="1"/>
      <c r="I290" s="2" t="s">
        <v>33</v>
      </c>
      <c r="J290" s="2" t="s">
        <v>34</v>
      </c>
      <c r="K290" s="2" t="s">
        <v>2380</v>
      </c>
      <c r="L290" s="2" t="s">
        <v>2381</v>
      </c>
      <c r="M290" s="2" t="s">
        <v>2372</v>
      </c>
      <c r="N290" s="2" t="s">
        <v>38</v>
      </c>
      <c r="O290" s="2" t="s">
        <v>214</v>
      </c>
      <c r="P290" s="2" t="s">
        <v>1758</v>
      </c>
      <c r="Q290" s="2" t="s">
        <v>1759</v>
      </c>
      <c r="R290" s="2" t="s">
        <v>40</v>
      </c>
      <c r="S290" s="2" t="s">
        <v>2382</v>
      </c>
      <c r="T290" s="2" t="s">
        <v>2383</v>
      </c>
      <c r="U290" s="2" t="s">
        <v>2384</v>
      </c>
      <c r="V290" s="2" t="s">
        <v>2385</v>
      </c>
      <c r="W290" s="1"/>
      <c r="X290" s="2" t="s">
        <v>1357</v>
      </c>
      <c r="Y290" s="2" t="s">
        <v>2148</v>
      </c>
      <c r="AA290" t="str">
        <f t="shared" si="24"/>
        <v>2026-06</v>
      </c>
      <c r="AB290" t="str">
        <f t="shared" si="25"/>
        <v>H1_2026</v>
      </c>
      <c r="AC290">
        <f t="shared" si="26"/>
        <v>330304.2</v>
      </c>
      <c r="AD290">
        <f t="shared" si="27"/>
        <v>50</v>
      </c>
      <c r="AE290">
        <f t="shared" si="28"/>
        <v>84849.66</v>
      </c>
      <c r="AF290" t="str">
        <f t="shared" si="29"/>
        <v>Paid</v>
      </c>
    </row>
    <row r="291" spans="1:32" ht="17.25" thickBot="1" x14ac:dyDescent="0.35">
      <c r="A291" s="2" t="s">
        <v>2386</v>
      </c>
      <c r="B291" s="2" t="s">
        <v>27</v>
      </c>
      <c r="C291" s="2" t="s">
        <v>28</v>
      </c>
      <c r="D291" s="2" t="s">
        <v>97</v>
      </c>
      <c r="E291" s="2" t="s">
        <v>1884</v>
      </c>
      <c r="F291" s="2" t="s">
        <v>99</v>
      </c>
      <c r="G291" s="2" t="s">
        <v>32</v>
      </c>
      <c r="H291" s="1"/>
      <c r="I291" s="2" t="s">
        <v>33</v>
      </c>
      <c r="J291" s="2" t="s">
        <v>34</v>
      </c>
      <c r="K291" s="2" t="s">
        <v>2387</v>
      </c>
      <c r="L291" s="2" t="s">
        <v>2388</v>
      </c>
      <c r="M291" s="2" t="s">
        <v>2389</v>
      </c>
      <c r="N291" s="2" t="s">
        <v>38</v>
      </c>
      <c r="O291" s="2" t="s">
        <v>773</v>
      </c>
      <c r="P291" s="2" t="s">
        <v>2390</v>
      </c>
      <c r="Q291" s="2" t="s">
        <v>2391</v>
      </c>
      <c r="R291" s="2" t="s">
        <v>40</v>
      </c>
      <c r="S291" s="2" t="s">
        <v>2392</v>
      </c>
      <c r="T291" s="2" t="s">
        <v>2393</v>
      </c>
      <c r="U291" s="2" t="s">
        <v>2394</v>
      </c>
      <c r="V291" s="2" t="s">
        <v>2395</v>
      </c>
      <c r="W291" s="1"/>
      <c r="X291" s="2" t="s">
        <v>934</v>
      </c>
      <c r="Y291" s="2" t="s">
        <v>2148</v>
      </c>
      <c r="AA291" t="str">
        <f t="shared" si="24"/>
        <v>2026-06</v>
      </c>
      <c r="AB291" t="str">
        <f t="shared" si="25"/>
        <v>H1_2026</v>
      </c>
      <c r="AC291">
        <f t="shared" si="26"/>
        <v>818983.2</v>
      </c>
      <c r="AD291">
        <f t="shared" si="27"/>
        <v>200</v>
      </c>
      <c r="AE291">
        <f t="shared" si="28"/>
        <v>200801.4</v>
      </c>
      <c r="AF291" t="str">
        <f t="shared" si="29"/>
        <v>Paid</v>
      </c>
    </row>
    <row r="292" spans="1:32" ht="17.25" thickBot="1" x14ac:dyDescent="0.35">
      <c r="A292" s="2" t="s">
        <v>316</v>
      </c>
      <c r="B292" s="2" t="s">
        <v>27</v>
      </c>
      <c r="C292" s="2" t="s">
        <v>28</v>
      </c>
      <c r="D292" s="2" t="s">
        <v>97</v>
      </c>
      <c r="E292" s="2" t="s">
        <v>1884</v>
      </c>
      <c r="F292" s="2" t="s">
        <v>99</v>
      </c>
      <c r="G292" s="2" t="s">
        <v>32</v>
      </c>
      <c r="H292" s="1"/>
      <c r="I292" s="2" t="s">
        <v>33</v>
      </c>
      <c r="J292" s="2" t="s">
        <v>34</v>
      </c>
      <c r="K292" s="2" t="s">
        <v>2396</v>
      </c>
      <c r="L292" s="2" t="s">
        <v>2397</v>
      </c>
      <c r="M292" s="2" t="s">
        <v>2389</v>
      </c>
      <c r="N292" s="2" t="s">
        <v>38</v>
      </c>
      <c r="O292" s="2" t="s">
        <v>977</v>
      </c>
      <c r="P292" s="2" t="s">
        <v>2398</v>
      </c>
      <c r="Q292" s="2" t="s">
        <v>2399</v>
      </c>
      <c r="R292" s="2" t="s">
        <v>40</v>
      </c>
      <c r="S292" s="2" t="s">
        <v>2400</v>
      </c>
      <c r="T292" s="2" t="s">
        <v>2401</v>
      </c>
      <c r="U292" s="2" t="s">
        <v>2402</v>
      </c>
      <c r="V292" s="2" t="s">
        <v>2403</v>
      </c>
      <c r="W292" s="1"/>
      <c r="X292" s="2" t="s">
        <v>806</v>
      </c>
      <c r="Y292" s="2" t="s">
        <v>2148</v>
      </c>
      <c r="AA292" t="str">
        <f t="shared" si="24"/>
        <v>2026-06</v>
      </c>
      <c r="AB292" t="str">
        <f t="shared" si="25"/>
        <v>H1_2026</v>
      </c>
      <c r="AC292">
        <f t="shared" si="26"/>
        <v>1020162</v>
      </c>
      <c r="AD292">
        <f t="shared" si="27"/>
        <v>110</v>
      </c>
      <c r="AE292">
        <f t="shared" si="28"/>
        <v>260062</v>
      </c>
      <c r="AF292" t="str">
        <f t="shared" si="29"/>
        <v>Paid</v>
      </c>
    </row>
    <row r="293" spans="1:32" ht="17.25" thickBot="1" x14ac:dyDescent="0.35">
      <c r="A293" s="2" t="s">
        <v>2404</v>
      </c>
      <c r="B293" s="2" t="s">
        <v>27</v>
      </c>
      <c r="C293" s="2" t="s">
        <v>28</v>
      </c>
      <c r="D293" s="2" t="s">
        <v>97</v>
      </c>
      <c r="E293" s="2" t="s">
        <v>1884</v>
      </c>
      <c r="F293" s="2" t="s">
        <v>99</v>
      </c>
      <c r="G293" s="2" t="s">
        <v>32</v>
      </c>
      <c r="H293" s="1"/>
      <c r="I293" s="2" t="s">
        <v>33</v>
      </c>
      <c r="J293" s="2" t="s">
        <v>34</v>
      </c>
      <c r="K293" s="2" t="s">
        <v>2405</v>
      </c>
      <c r="L293" s="2" t="s">
        <v>2406</v>
      </c>
      <c r="M293" s="2" t="s">
        <v>2389</v>
      </c>
      <c r="N293" s="2" t="s">
        <v>38</v>
      </c>
      <c r="O293" s="2" t="s">
        <v>2407</v>
      </c>
      <c r="P293" s="2" t="s">
        <v>2408</v>
      </c>
      <c r="Q293" s="2" t="s">
        <v>2409</v>
      </c>
      <c r="R293" s="2" t="s">
        <v>40</v>
      </c>
      <c r="S293" s="2" t="s">
        <v>2410</v>
      </c>
      <c r="T293" s="2" t="s">
        <v>2411</v>
      </c>
      <c r="U293" s="2" t="s">
        <v>2412</v>
      </c>
      <c r="V293" s="2" t="s">
        <v>2413</v>
      </c>
      <c r="W293" s="1"/>
      <c r="X293" s="2" t="s">
        <v>817</v>
      </c>
      <c r="Y293" s="2" t="s">
        <v>2148</v>
      </c>
      <c r="AA293" t="str">
        <f t="shared" si="24"/>
        <v>2026-06</v>
      </c>
      <c r="AB293" t="str">
        <f t="shared" si="25"/>
        <v>H1_2026</v>
      </c>
      <c r="AC293">
        <f t="shared" si="26"/>
        <v>2153597.65</v>
      </c>
      <c r="AD293">
        <f t="shared" si="27"/>
        <v>541</v>
      </c>
      <c r="AE293">
        <f t="shared" si="28"/>
        <v>530597.65</v>
      </c>
      <c r="AF293" t="str">
        <f t="shared" si="29"/>
        <v>Paid</v>
      </c>
    </row>
    <row r="294" spans="1:32" ht="17.25" thickBot="1" x14ac:dyDescent="0.35">
      <c r="A294" s="2" t="s">
        <v>2414</v>
      </c>
      <c r="B294" s="2" t="s">
        <v>27</v>
      </c>
      <c r="C294" s="2" t="s">
        <v>28</v>
      </c>
      <c r="D294" s="2" t="s">
        <v>97</v>
      </c>
      <c r="E294" s="2" t="s">
        <v>1884</v>
      </c>
      <c r="F294" s="2" t="s">
        <v>99</v>
      </c>
      <c r="G294" s="2" t="s">
        <v>32</v>
      </c>
      <c r="H294" s="1"/>
      <c r="I294" s="2" t="s">
        <v>33</v>
      </c>
      <c r="J294" s="2" t="s">
        <v>34</v>
      </c>
      <c r="K294" s="2" t="s">
        <v>2415</v>
      </c>
      <c r="L294" s="2" t="s">
        <v>2416</v>
      </c>
      <c r="M294" s="2" t="s">
        <v>2389</v>
      </c>
      <c r="N294" s="2" t="s">
        <v>38</v>
      </c>
      <c r="O294" s="2" t="s">
        <v>156</v>
      </c>
      <c r="P294" s="2" t="s">
        <v>2417</v>
      </c>
      <c r="Q294" s="2" t="s">
        <v>2418</v>
      </c>
      <c r="R294" s="2" t="s">
        <v>40</v>
      </c>
      <c r="S294" s="2" t="s">
        <v>2419</v>
      </c>
      <c r="T294" s="2" t="s">
        <v>40</v>
      </c>
      <c r="U294" s="2" t="s">
        <v>40</v>
      </c>
      <c r="V294" s="2" t="s">
        <v>2419</v>
      </c>
      <c r="W294" s="1"/>
      <c r="X294" s="2" t="s">
        <v>2155</v>
      </c>
      <c r="Y294" s="2" t="s">
        <v>2148</v>
      </c>
      <c r="AA294" t="str">
        <f t="shared" si="24"/>
        <v>2026-06</v>
      </c>
      <c r="AB294" t="str">
        <f t="shared" si="25"/>
        <v>H1_2026</v>
      </c>
      <c r="AC294">
        <f t="shared" si="26"/>
        <v>160086.96</v>
      </c>
      <c r="AD294">
        <f t="shared" si="27"/>
        <v>20</v>
      </c>
      <c r="AE294">
        <f t="shared" si="28"/>
        <v>160086.96</v>
      </c>
      <c r="AF294" t="str">
        <f t="shared" si="29"/>
        <v>Paid</v>
      </c>
    </row>
    <row r="295" spans="1:32" ht="17.25" thickBot="1" x14ac:dyDescent="0.35">
      <c r="A295" s="2" t="s">
        <v>2420</v>
      </c>
      <c r="B295" s="2" t="s">
        <v>27</v>
      </c>
      <c r="C295" s="2" t="s">
        <v>28</v>
      </c>
      <c r="D295" s="2" t="s">
        <v>97</v>
      </c>
      <c r="E295" s="2" t="s">
        <v>1884</v>
      </c>
      <c r="F295" s="2" t="s">
        <v>99</v>
      </c>
      <c r="G295" s="2" t="s">
        <v>32</v>
      </c>
      <c r="H295" s="1"/>
      <c r="I295" s="2" t="s">
        <v>33</v>
      </c>
      <c r="J295" s="2" t="s">
        <v>34</v>
      </c>
      <c r="K295" s="2" t="s">
        <v>2421</v>
      </c>
      <c r="L295" s="2" t="s">
        <v>2422</v>
      </c>
      <c r="M295" s="2" t="s">
        <v>2389</v>
      </c>
      <c r="N295" s="2" t="s">
        <v>38</v>
      </c>
      <c r="O295" s="2" t="s">
        <v>977</v>
      </c>
      <c r="P295" s="2" t="s">
        <v>2423</v>
      </c>
      <c r="Q295" s="2" t="s">
        <v>2424</v>
      </c>
      <c r="R295" s="2" t="s">
        <v>40</v>
      </c>
      <c r="S295" s="2" t="s">
        <v>2425</v>
      </c>
      <c r="T295" s="2" t="s">
        <v>2426</v>
      </c>
      <c r="U295" s="2" t="s">
        <v>2427</v>
      </c>
      <c r="V295" s="2" t="s">
        <v>2428</v>
      </c>
      <c r="W295" s="1"/>
      <c r="X295" s="2" t="s">
        <v>2429</v>
      </c>
      <c r="Y295" s="2" t="s">
        <v>2148</v>
      </c>
      <c r="AA295" t="str">
        <f t="shared" si="24"/>
        <v>2026-06</v>
      </c>
      <c r="AB295" t="str">
        <f t="shared" si="25"/>
        <v>H1_2026</v>
      </c>
      <c r="AC295">
        <f t="shared" si="26"/>
        <v>464566.08</v>
      </c>
      <c r="AD295">
        <f t="shared" si="27"/>
        <v>110</v>
      </c>
      <c r="AE295">
        <f t="shared" si="28"/>
        <v>113566.09</v>
      </c>
      <c r="AF295" t="str">
        <f t="shared" si="29"/>
        <v>Paid</v>
      </c>
    </row>
    <row r="296" spans="1:32" ht="17.25" thickBot="1" x14ac:dyDescent="0.35">
      <c r="A296" s="2" t="s">
        <v>2430</v>
      </c>
      <c r="B296" s="2" t="s">
        <v>27</v>
      </c>
      <c r="C296" s="2" t="s">
        <v>28</v>
      </c>
      <c r="D296" s="2" t="s">
        <v>97</v>
      </c>
      <c r="E296" s="2" t="s">
        <v>1884</v>
      </c>
      <c r="F296" s="2" t="s">
        <v>99</v>
      </c>
      <c r="G296" s="2" t="s">
        <v>32</v>
      </c>
      <c r="H296" s="1"/>
      <c r="I296" s="2" t="s">
        <v>33</v>
      </c>
      <c r="J296" s="2" t="s">
        <v>34</v>
      </c>
      <c r="K296" s="2" t="s">
        <v>2431</v>
      </c>
      <c r="L296" s="2" t="s">
        <v>2432</v>
      </c>
      <c r="M296" s="2" t="s">
        <v>2389</v>
      </c>
      <c r="N296" s="2" t="s">
        <v>38</v>
      </c>
      <c r="O296" s="2" t="s">
        <v>159</v>
      </c>
      <c r="P296" s="2" t="s">
        <v>2433</v>
      </c>
      <c r="Q296" s="2" t="s">
        <v>2434</v>
      </c>
      <c r="R296" s="2" t="s">
        <v>40</v>
      </c>
      <c r="S296" s="2" t="s">
        <v>2435</v>
      </c>
      <c r="T296" s="2" t="s">
        <v>2436</v>
      </c>
      <c r="U296" s="2" t="s">
        <v>2437</v>
      </c>
      <c r="V296" s="2" t="s">
        <v>2438</v>
      </c>
      <c r="W296" s="1"/>
      <c r="X296" s="2" t="s">
        <v>1052</v>
      </c>
      <c r="Y296" s="2" t="s">
        <v>2148</v>
      </c>
      <c r="AA296" t="str">
        <f t="shared" si="24"/>
        <v>2026-06</v>
      </c>
      <c r="AB296" t="str">
        <f t="shared" si="25"/>
        <v>H1_2026</v>
      </c>
      <c r="AC296">
        <f t="shared" si="26"/>
        <v>630074.88</v>
      </c>
      <c r="AD296">
        <f t="shared" si="27"/>
        <v>80</v>
      </c>
      <c r="AE296">
        <f t="shared" si="28"/>
        <v>159165.79</v>
      </c>
      <c r="AF296" t="str">
        <f t="shared" si="29"/>
        <v>Paid</v>
      </c>
    </row>
    <row r="297" spans="1:32" ht="17.25" thickBot="1" x14ac:dyDescent="0.35">
      <c r="A297" s="2" t="s">
        <v>2439</v>
      </c>
      <c r="B297" s="2" t="s">
        <v>27</v>
      </c>
      <c r="C297" s="2" t="s">
        <v>28</v>
      </c>
      <c r="D297" s="2" t="s">
        <v>97</v>
      </c>
      <c r="E297" s="2" t="s">
        <v>1884</v>
      </c>
      <c r="F297" s="2" t="s">
        <v>99</v>
      </c>
      <c r="G297" s="2" t="s">
        <v>32</v>
      </c>
      <c r="H297" s="1"/>
      <c r="I297" s="2" t="s">
        <v>33</v>
      </c>
      <c r="J297" s="2" t="s">
        <v>34</v>
      </c>
      <c r="K297" s="2" t="s">
        <v>2440</v>
      </c>
      <c r="L297" s="2" t="s">
        <v>2441</v>
      </c>
      <c r="M297" s="2" t="s">
        <v>2389</v>
      </c>
      <c r="N297" s="2" t="s">
        <v>38</v>
      </c>
      <c r="O297" s="2" t="s">
        <v>156</v>
      </c>
      <c r="P297" s="2" t="s">
        <v>2442</v>
      </c>
      <c r="Q297" s="2" t="s">
        <v>2443</v>
      </c>
      <c r="R297" s="2" t="s">
        <v>40</v>
      </c>
      <c r="S297" s="2" t="s">
        <v>2444</v>
      </c>
      <c r="T297" s="2" t="s">
        <v>2445</v>
      </c>
      <c r="U297" s="2" t="s">
        <v>2446</v>
      </c>
      <c r="V297" s="2" t="s">
        <v>2447</v>
      </c>
      <c r="W297" s="1"/>
      <c r="X297" s="2" t="s">
        <v>2448</v>
      </c>
      <c r="Y297" s="2" t="s">
        <v>2148</v>
      </c>
      <c r="AA297" t="str">
        <f t="shared" si="24"/>
        <v>2026-06</v>
      </c>
      <c r="AB297" t="str">
        <f t="shared" si="25"/>
        <v>H1_2026</v>
      </c>
      <c r="AC297">
        <f t="shared" si="26"/>
        <v>127555.92</v>
      </c>
      <c r="AD297">
        <f t="shared" si="27"/>
        <v>20</v>
      </c>
      <c r="AE297">
        <f t="shared" si="28"/>
        <v>103555.92</v>
      </c>
      <c r="AF297" t="str">
        <f t="shared" si="29"/>
        <v>Paid</v>
      </c>
    </row>
    <row r="298" spans="1:32" ht="17.25" thickBot="1" x14ac:dyDescent="0.35">
      <c r="A298" s="2" t="s">
        <v>2449</v>
      </c>
      <c r="B298" s="2" t="s">
        <v>27</v>
      </c>
      <c r="C298" s="2" t="s">
        <v>28</v>
      </c>
      <c r="D298" s="2" t="s">
        <v>97</v>
      </c>
      <c r="E298" s="2" t="s">
        <v>1884</v>
      </c>
      <c r="F298" s="2" t="s">
        <v>99</v>
      </c>
      <c r="G298" s="2" t="s">
        <v>32</v>
      </c>
      <c r="H298" s="1"/>
      <c r="I298" s="2" t="s">
        <v>33</v>
      </c>
      <c r="J298" s="2" t="s">
        <v>34</v>
      </c>
      <c r="K298" s="2" t="s">
        <v>2450</v>
      </c>
      <c r="L298" s="2" t="s">
        <v>2451</v>
      </c>
      <c r="M298" s="2" t="s">
        <v>2389</v>
      </c>
      <c r="N298" s="2" t="s">
        <v>38</v>
      </c>
      <c r="O298" s="2" t="s">
        <v>156</v>
      </c>
      <c r="P298" s="2" t="s">
        <v>2452</v>
      </c>
      <c r="Q298" s="2" t="s">
        <v>2453</v>
      </c>
      <c r="R298" s="2" t="s">
        <v>40</v>
      </c>
      <c r="S298" s="2" t="s">
        <v>2454</v>
      </c>
      <c r="T298" s="2" t="s">
        <v>2455</v>
      </c>
      <c r="U298" s="2" t="s">
        <v>2456</v>
      </c>
      <c r="V298" s="2" t="s">
        <v>2457</v>
      </c>
      <c r="W298" s="1"/>
      <c r="X298" s="2" t="s">
        <v>817</v>
      </c>
      <c r="Y298" s="2" t="s">
        <v>2148</v>
      </c>
      <c r="AA298" t="str">
        <f t="shared" si="24"/>
        <v>2026-06</v>
      </c>
      <c r="AB298" t="str">
        <f t="shared" si="25"/>
        <v>H1_2026</v>
      </c>
      <c r="AC298">
        <f t="shared" si="26"/>
        <v>114714.72</v>
      </c>
      <c r="AD298">
        <f t="shared" si="27"/>
        <v>20</v>
      </c>
      <c r="AE298">
        <f t="shared" si="28"/>
        <v>28169.27</v>
      </c>
      <c r="AF298" t="str">
        <f t="shared" si="29"/>
        <v>Paid</v>
      </c>
    </row>
    <row r="299" spans="1:32" ht="17.25" thickBot="1" x14ac:dyDescent="0.35">
      <c r="A299" s="2" t="s">
        <v>2458</v>
      </c>
      <c r="B299" s="2" t="s">
        <v>27</v>
      </c>
      <c r="C299" s="2" t="s">
        <v>28</v>
      </c>
      <c r="D299" s="2" t="s">
        <v>97</v>
      </c>
      <c r="E299" s="2" t="s">
        <v>1884</v>
      </c>
      <c r="F299" s="2" t="s">
        <v>99</v>
      </c>
      <c r="G299" s="2" t="s">
        <v>32</v>
      </c>
      <c r="H299" s="1"/>
      <c r="I299" s="2" t="s">
        <v>33</v>
      </c>
      <c r="J299" s="2" t="s">
        <v>34</v>
      </c>
      <c r="K299" s="2" t="s">
        <v>2459</v>
      </c>
      <c r="L299" s="2" t="s">
        <v>2460</v>
      </c>
      <c r="M299" s="2" t="s">
        <v>2389</v>
      </c>
      <c r="N299" s="2" t="s">
        <v>38</v>
      </c>
      <c r="O299" s="2" t="s">
        <v>1333</v>
      </c>
      <c r="P299" s="2" t="s">
        <v>2461</v>
      </c>
      <c r="Q299" s="2" t="s">
        <v>2462</v>
      </c>
      <c r="R299" s="2" t="s">
        <v>40</v>
      </c>
      <c r="S299" s="2" t="s">
        <v>2463</v>
      </c>
      <c r="T299" s="2" t="s">
        <v>2464</v>
      </c>
      <c r="U299" s="2" t="s">
        <v>2465</v>
      </c>
      <c r="V299" s="2" t="s">
        <v>2466</v>
      </c>
      <c r="W299" s="1"/>
      <c r="X299" s="2" t="s">
        <v>2429</v>
      </c>
      <c r="Y299" s="2" t="s">
        <v>2148</v>
      </c>
      <c r="AA299" t="str">
        <f t="shared" si="24"/>
        <v>2026-06</v>
      </c>
      <c r="AB299" t="str">
        <f t="shared" si="25"/>
        <v>H1_2026</v>
      </c>
      <c r="AC299">
        <f t="shared" si="26"/>
        <v>378815.4</v>
      </c>
      <c r="AD299">
        <f t="shared" si="27"/>
        <v>150</v>
      </c>
      <c r="AE299">
        <f t="shared" si="28"/>
        <v>92451.77</v>
      </c>
      <c r="AF299" t="str">
        <f t="shared" si="29"/>
        <v>Paid</v>
      </c>
    </row>
    <row r="300" spans="1:32" ht="17.25" thickBot="1" x14ac:dyDescent="0.35">
      <c r="A300" s="2" t="s">
        <v>2467</v>
      </c>
      <c r="B300" s="2" t="s">
        <v>27</v>
      </c>
      <c r="C300" s="2" t="s">
        <v>28</v>
      </c>
      <c r="D300" s="2" t="s">
        <v>97</v>
      </c>
      <c r="E300" s="2" t="s">
        <v>1884</v>
      </c>
      <c r="F300" s="2" t="s">
        <v>99</v>
      </c>
      <c r="G300" s="2" t="s">
        <v>32</v>
      </c>
      <c r="H300" s="1"/>
      <c r="I300" s="2" t="s">
        <v>33</v>
      </c>
      <c r="J300" s="2" t="s">
        <v>34</v>
      </c>
      <c r="K300" s="2" t="s">
        <v>2468</v>
      </c>
      <c r="L300" s="2" t="s">
        <v>2469</v>
      </c>
      <c r="M300" s="2" t="s">
        <v>2389</v>
      </c>
      <c r="N300" s="2" t="s">
        <v>38</v>
      </c>
      <c r="O300" s="2" t="s">
        <v>977</v>
      </c>
      <c r="P300" s="2" t="s">
        <v>2470</v>
      </c>
      <c r="Q300" s="2" t="s">
        <v>2471</v>
      </c>
      <c r="R300" s="2" t="s">
        <v>40</v>
      </c>
      <c r="S300" s="2" t="s">
        <v>2472</v>
      </c>
      <c r="T300" s="2" t="s">
        <v>2473</v>
      </c>
      <c r="U300" s="2" t="s">
        <v>2474</v>
      </c>
      <c r="V300" s="2" t="s">
        <v>2475</v>
      </c>
      <c r="W300" s="1"/>
      <c r="X300" s="2" t="s">
        <v>965</v>
      </c>
      <c r="Y300" s="2" t="s">
        <v>2148</v>
      </c>
      <c r="AA300" t="str">
        <f t="shared" si="24"/>
        <v>2026-06</v>
      </c>
      <c r="AB300" t="str">
        <f t="shared" si="25"/>
        <v>H1_2026</v>
      </c>
      <c r="AC300">
        <f t="shared" si="26"/>
        <v>1210069.08</v>
      </c>
      <c r="AD300">
        <f t="shared" si="27"/>
        <v>110</v>
      </c>
      <c r="AE300">
        <f t="shared" si="28"/>
        <v>310069.09000000003</v>
      </c>
      <c r="AF300" t="str">
        <f t="shared" si="29"/>
        <v>Paid</v>
      </c>
    </row>
    <row r="301" spans="1:32" ht="17.25" thickBot="1" x14ac:dyDescent="0.35">
      <c r="A301" s="2" t="s">
        <v>2476</v>
      </c>
      <c r="B301" s="2" t="s">
        <v>27</v>
      </c>
      <c r="C301" s="2" t="s">
        <v>28</v>
      </c>
      <c r="D301" s="2" t="s">
        <v>97</v>
      </c>
      <c r="E301" s="2" t="s">
        <v>1884</v>
      </c>
      <c r="F301" s="2" t="s">
        <v>99</v>
      </c>
      <c r="G301" s="2" t="s">
        <v>32</v>
      </c>
      <c r="H301" s="1"/>
      <c r="I301" s="2" t="s">
        <v>33</v>
      </c>
      <c r="J301" s="2" t="s">
        <v>34</v>
      </c>
      <c r="K301" s="2" t="s">
        <v>2477</v>
      </c>
      <c r="L301" s="2" t="s">
        <v>2478</v>
      </c>
      <c r="M301" s="2" t="s">
        <v>2389</v>
      </c>
      <c r="N301" s="2" t="s">
        <v>38</v>
      </c>
      <c r="O301" s="2" t="s">
        <v>977</v>
      </c>
      <c r="P301" s="2" t="s">
        <v>2479</v>
      </c>
      <c r="Q301" s="2" t="s">
        <v>2480</v>
      </c>
      <c r="R301" s="2" t="s">
        <v>40</v>
      </c>
      <c r="S301" s="2" t="s">
        <v>2481</v>
      </c>
      <c r="T301" s="2" t="s">
        <v>2482</v>
      </c>
      <c r="U301" s="2" t="s">
        <v>2483</v>
      </c>
      <c r="V301" s="2" t="s">
        <v>2484</v>
      </c>
      <c r="W301" s="1"/>
      <c r="X301" s="2" t="s">
        <v>201</v>
      </c>
      <c r="Y301" s="2" t="s">
        <v>2148</v>
      </c>
      <c r="AA301" t="str">
        <f t="shared" si="24"/>
        <v>2026-06</v>
      </c>
      <c r="AB301" t="str">
        <f t="shared" si="25"/>
        <v>H1_2026</v>
      </c>
      <c r="AC301">
        <f t="shared" si="26"/>
        <v>900881.52</v>
      </c>
      <c r="AD301">
        <f t="shared" si="27"/>
        <v>110</v>
      </c>
      <c r="AE301">
        <f t="shared" si="28"/>
        <v>218381.53</v>
      </c>
      <c r="AF301" t="str">
        <f t="shared" si="29"/>
        <v>Paid</v>
      </c>
    </row>
    <row r="302" spans="1:32" ht="17.25" thickBot="1" x14ac:dyDescent="0.35">
      <c r="A302" s="2" t="s">
        <v>149</v>
      </c>
      <c r="B302" s="2" t="s">
        <v>27</v>
      </c>
      <c r="C302" s="2" t="s">
        <v>28</v>
      </c>
      <c r="D302" s="2" t="s">
        <v>97</v>
      </c>
      <c r="E302" s="2" t="s">
        <v>1884</v>
      </c>
      <c r="F302" s="2" t="s">
        <v>99</v>
      </c>
      <c r="G302" s="2" t="s">
        <v>32</v>
      </c>
      <c r="H302" s="1"/>
      <c r="I302" s="2" t="s">
        <v>33</v>
      </c>
      <c r="J302" s="2" t="s">
        <v>34</v>
      </c>
      <c r="K302" s="2" t="s">
        <v>2485</v>
      </c>
      <c r="L302" s="2" t="s">
        <v>2486</v>
      </c>
      <c r="M302" s="2" t="s">
        <v>2389</v>
      </c>
      <c r="N302" s="2" t="s">
        <v>38</v>
      </c>
      <c r="O302" s="2" t="s">
        <v>291</v>
      </c>
      <c r="P302" s="2" t="s">
        <v>2487</v>
      </c>
      <c r="Q302" s="2" t="s">
        <v>2488</v>
      </c>
      <c r="R302" s="2" t="s">
        <v>40</v>
      </c>
      <c r="S302" s="2" t="s">
        <v>2489</v>
      </c>
      <c r="T302" s="2" t="s">
        <v>2490</v>
      </c>
      <c r="U302" s="2" t="s">
        <v>2491</v>
      </c>
      <c r="V302" s="2" t="s">
        <v>2492</v>
      </c>
      <c r="W302" s="1"/>
      <c r="X302" s="2" t="s">
        <v>201</v>
      </c>
      <c r="Y302" s="2" t="s">
        <v>2148</v>
      </c>
      <c r="AA302" t="str">
        <f t="shared" si="24"/>
        <v>2026-06</v>
      </c>
      <c r="AB302" t="str">
        <f t="shared" si="25"/>
        <v>H1_2026</v>
      </c>
      <c r="AC302">
        <f t="shared" si="26"/>
        <v>287129.23</v>
      </c>
      <c r="AD302">
        <f t="shared" si="27"/>
        <v>36</v>
      </c>
      <c r="AE302">
        <f t="shared" si="28"/>
        <v>69492.87</v>
      </c>
      <c r="AF302" t="str">
        <f t="shared" si="29"/>
        <v>Paid</v>
      </c>
    </row>
    <row r="303" spans="1:32" ht="17.25" thickBot="1" x14ac:dyDescent="0.35">
      <c r="A303" s="2" t="s">
        <v>2493</v>
      </c>
      <c r="B303" s="2" t="s">
        <v>27</v>
      </c>
      <c r="C303" s="2" t="s">
        <v>28</v>
      </c>
      <c r="D303" s="2" t="s">
        <v>97</v>
      </c>
      <c r="E303" s="2" t="s">
        <v>1884</v>
      </c>
      <c r="F303" s="2" t="s">
        <v>99</v>
      </c>
      <c r="G303" s="2" t="s">
        <v>32</v>
      </c>
      <c r="H303" s="1"/>
      <c r="I303" s="2" t="s">
        <v>33</v>
      </c>
      <c r="J303" s="2" t="s">
        <v>34</v>
      </c>
      <c r="K303" s="2" t="s">
        <v>2494</v>
      </c>
      <c r="L303" s="2" t="s">
        <v>2495</v>
      </c>
      <c r="M303" s="2" t="s">
        <v>2389</v>
      </c>
      <c r="N303" s="2" t="s">
        <v>38</v>
      </c>
      <c r="O303" s="2" t="s">
        <v>779</v>
      </c>
      <c r="P303" s="2" t="s">
        <v>2487</v>
      </c>
      <c r="Q303" s="2" t="s">
        <v>2496</v>
      </c>
      <c r="R303" s="2" t="s">
        <v>40</v>
      </c>
      <c r="S303" s="2" t="s">
        <v>2497</v>
      </c>
      <c r="T303" s="2" t="s">
        <v>2490</v>
      </c>
      <c r="U303" s="2" t="s">
        <v>2498</v>
      </c>
      <c r="V303" s="2" t="s">
        <v>2499</v>
      </c>
      <c r="W303" s="1"/>
      <c r="X303" s="2" t="s">
        <v>201</v>
      </c>
      <c r="Y303" s="2" t="s">
        <v>2148</v>
      </c>
      <c r="AA303" t="str">
        <f t="shared" si="24"/>
        <v>2026-06</v>
      </c>
      <c r="AB303" t="str">
        <f t="shared" si="25"/>
        <v>H1_2026</v>
      </c>
      <c r="AC303">
        <f t="shared" si="26"/>
        <v>717823.08</v>
      </c>
      <c r="AD303">
        <f t="shared" si="27"/>
        <v>90</v>
      </c>
      <c r="AE303">
        <f t="shared" si="28"/>
        <v>173732.17</v>
      </c>
      <c r="AF303" t="str">
        <f t="shared" si="29"/>
        <v>Paid</v>
      </c>
    </row>
    <row r="304" spans="1:32" ht="27.75" thickBot="1" x14ac:dyDescent="0.35">
      <c r="A304" s="2" t="s">
        <v>2500</v>
      </c>
      <c r="B304" s="2" t="s">
        <v>27</v>
      </c>
      <c r="C304" s="2" t="s">
        <v>28</v>
      </c>
      <c r="D304" s="2" t="s">
        <v>97</v>
      </c>
      <c r="E304" s="2" t="s">
        <v>1884</v>
      </c>
      <c r="F304" s="2" t="s">
        <v>99</v>
      </c>
      <c r="G304" s="2" t="s">
        <v>32</v>
      </c>
      <c r="H304" s="1"/>
      <c r="I304" s="2" t="s">
        <v>33</v>
      </c>
      <c r="J304" s="2" t="s">
        <v>34</v>
      </c>
      <c r="K304" s="2" t="s">
        <v>2501</v>
      </c>
      <c r="L304" s="2" t="s">
        <v>2502</v>
      </c>
      <c r="M304" s="2" t="s">
        <v>2389</v>
      </c>
      <c r="N304" s="2" t="s">
        <v>38</v>
      </c>
      <c r="O304" s="2" t="s">
        <v>131</v>
      </c>
      <c r="P304" s="2" t="s">
        <v>2066</v>
      </c>
      <c r="Q304" s="2" t="s">
        <v>2503</v>
      </c>
      <c r="R304" s="2" t="s">
        <v>40</v>
      </c>
      <c r="S304" s="2" t="s">
        <v>2504</v>
      </c>
      <c r="T304" s="2" t="s">
        <v>2505</v>
      </c>
      <c r="U304" s="2" t="s">
        <v>2506</v>
      </c>
      <c r="V304" s="2" t="s">
        <v>2507</v>
      </c>
      <c r="W304" s="1"/>
      <c r="X304" s="2" t="s">
        <v>817</v>
      </c>
      <c r="Y304" s="2" t="s">
        <v>2148</v>
      </c>
      <c r="AA304" t="str">
        <f t="shared" si="24"/>
        <v>2026-06</v>
      </c>
      <c r="AB304" t="str">
        <f t="shared" si="25"/>
        <v>H1_2026</v>
      </c>
      <c r="AC304">
        <f t="shared" si="26"/>
        <v>426327.84</v>
      </c>
      <c r="AD304">
        <f t="shared" si="27"/>
        <v>40</v>
      </c>
      <c r="AE304">
        <f t="shared" si="28"/>
        <v>104873.3</v>
      </c>
      <c r="AF304" t="str">
        <f t="shared" si="29"/>
        <v>Paid</v>
      </c>
    </row>
    <row r="305" spans="1:32" ht="17.25" thickBot="1" x14ac:dyDescent="0.35">
      <c r="A305" s="2" t="s">
        <v>2508</v>
      </c>
      <c r="B305" s="2" t="s">
        <v>27</v>
      </c>
      <c r="C305" s="2" t="s">
        <v>28</v>
      </c>
      <c r="D305" s="2" t="s">
        <v>97</v>
      </c>
      <c r="E305" s="2" t="s">
        <v>1884</v>
      </c>
      <c r="F305" s="2" t="s">
        <v>99</v>
      </c>
      <c r="G305" s="2" t="s">
        <v>32</v>
      </c>
      <c r="H305" s="1"/>
      <c r="I305" s="2" t="s">
        <v>33</v>
      </c>
      <c r="J305" s="2" t="s">
        <v>34</v>
      </c>
      <c r="K305" s="2" t="s">
        <v>2509</v>
      </c>
      <c r="L305" s="2" t="s">
        <v>2510</v>
      </c>
      <c r="M305" s="2" t="s">
        <v>2389</v>
      </c>
      <c r="N305" s="2" t="s">
        <v>38</v>
      </c>
      <c r="O305" s="2" t="s">
        <v>214</v>
      </c>
      <c r="P305" s="2" t="s">
        <v>2262</v>
      </c>
      <c r="Q305" s="2" t="s">
        <v>2511</v>
      </c>
      <c r="R305" s="2" t="s">
        <v>40</v>
      </c>
      <c r="S305" s="2" t="s">
        <v>2512</v>
      </c>
      <c r="T305" s="2" t="s">
        <v>2513</v>
      </c>
      <c r="U305" s="2" t="s">
        <v>2514</v>
      </c>
      <c r="V305" s="2" t="s">
        <v>2515</v>
      </c>
      <c r="W305" s="1"/>
      <c r="X305" s="2" t="s">
        <v>817</v>
      </c>
      <c r="Y305" s="2" t="s">
        <v>2148</v>
      </c>
      <c r="AA305" t="str">
        <f t="shared" si="24"/>
        <v>2026-06</v>
      </c>
      <c r="AB305" t="str">
        <f t="shared" si="25"/>
        <v>H1_2026</v>
      </c>
      <c r="AC305">
        <f t="shared" si="26"/>
        <v>492246</v>
      </c>
      <c r="AD305">
        <f t="shared" si="27"/>
        <v>50</v>
      </c>
      <c r="AE305">
        <f t="shared" si="28"/>
        <v>121336.91</v>
      </c>
      <c r="AF305" t="str">
        <f t="shared" si="29"/>
        <v>Paid</v>
      </c>
    </row>
    <row r="306" spans="1:32" ht="17.25" thickBot="1" x14ac:dyDescent="0.35">
      <c r="A306" s="2" t="s">
        <v>2516</v>
      </c>
      <c r="B306" s="2" t="s">
        <v>27</v>
      </c>
      <c r="C306" s="2" t="s">
        <v>28</v>
      </c>
      <c r="D306" s="2" t="s">
        <v>97</v>
      </c>
      <c r="E306" s="2" t="s">
        <v>1884</v>
      </c>
      <c r="F306" s="2" t="s">
        <v>99</v>
      </c>
      <c r="G306" s="2" t="s">
        <v>32</v>
      </c>
      <c r="H306" s="1"/>
      <c r="I306" s="2" t="s">
        <v>33</v>
      </c>
      <c r="J306" s="2" t="s">
        <v>34</v>
      </c>
      <c r="K306" s="2" t="s">
        <v>2517</v>
      </c>
      <c r="L306" s="2" t="s">
        <v>2518</v>
      </c>
      <c r="M306" s="2" t="s">
        <v>2389</v>
      </c>
      <c r="N306" s="2" t="s">
        <v>38</v>
      </c>
      <c r="O306" s="2" t="s">
        <v>214</v>
      </c>
      <c r="P306" s="2" t="s">
        <v>2519</v>
      </c>
      <c r="Q306" s="2" t="s">
        <v>2520</v>
      </c>
      <c r="R306" s="2" t="s">
        <v>40</v>
      </c>
      <c r="S306" s="2" t="s">
        <v>2521</v>
      </c>
      <c r="T306" s="2" t="s">
        <v>2522</v>
      </c>
      <c r="U306" s="2" t="s">
        <v>2523</v>
      </c>
      <c r="V306" s="2" t="s">
        <v>2524</v>
      </c>
      <c r="W306" s="1"/>
      <c r="X306" s="2" t="s">
        <v>1504</v>
      </c>
      <c r="Y306" s="2" t="s">
        <v>2148</v>
      </c>
      <c r="AA306" t="str">
        <f t="shared" si="24"/>
        <v>2026-06</v>
      </c>
      <c r="AB306" t="str">
        <f t="shared" si="25"/>
        <v>H1_2026</v>
      </c>
      <c r="AC306">
        <f t="shared" si="26"/>
        <v>340291.8</v>
      </c>
      <c r="AD306">
        <f t="shared" si="27"/>
        <v>50</v>
      </c>
      <c r="AE306">
        <f t="shared" si="28"/>
        <v>85291.8</v>
      </c>
      <c r="AF306" t="str">
        <f t="shared" si="29"/>
        <v>Paid</v>
      </c>
    </row>
    <row r="307" spans="1:32" ht="17.25" thickBot="1" x14ac:dyDescent="0.35">
      <c r="A307" s="2" t="s">
        <v>2525</v>
      </c>
      <c r="B307" s="2" t="s">
        <v>27</v>
      </c>
      <c r="C307" s="2" t="s">
        <v>28</v>
      </c>
      <c r="D307" s="2" t="s">
        <v>97</v>
      </c>
      <c r="E307" s="2" t="s">
        <v>1884</v>
      </c>
      <c r="F307" s="2" t="s">
        <v>99</v>
      </c>
      <c r="G307" s="2" t="s">
        <v>32</v>
      </c>
      <c r="H307" s="1"/>
      <c r="I307" s="2" t="s">
        <v>33</v>
      </c>
      <c r="J307" s="2" t="s">
        <v>34</v>
      </c>
      <c r="K307" s="2" t="s">
        <v>2526</v>
      </c>
      <c r="L307" s="2" t="s">
        <v>2527</v>
      </c>
      <c r="M307" s="2" t="s">
        <v>2389</v>
      </c>
      <c r="N307" s="2" t="s">
        <v>38</v>
      </c>
      <c r="O307" s="2" t="s">
        <v>1631</v>
      </c>
      <c r="P307" s="2" t="s">
        <v>2528</v>
      </c>
      <c r="Q307" s="2" t="s">
        <v>2529</v>
      </c>
      <c r="R307" s="2" t="s">
        <v>40</v>
      </c>
      <c r="S307" s="2" t="s">
        <v>2530</v>
      </c>
      <c r="T307" s="2" t="s">
        <v>2531</v>
      </c>
      <c r="U307" s="2" t="s">
        <v>2532</v>
      </c>
      <c r="V307" s="2" t="s">
        <v>2533</v>
      </c>
      <c r="W307" s="1"/>
      <c r="X307" s="2" t="s">
        <v>965</v>
      </c>
      <c r="Y307" s="2" t="s">
        <v>2148</v>
      </c>
      <c r="AA307" t="str">
        <f t="shared" si="24"/>
        <v>2026-06</v>
      </c>
      <c r="AB307" t="str">
        <f t="shared" si="25"/>
        <v>H1_2026</v>
      </c>
      <c r="AC307">
        <f t="shared" si="26"/>
        <v>1922042.28</v>
      </c>
      <c r="AD307">
        <f t="shared" si="27"/>
        <v>190</v>
      </c>
      <c r="AE307">
        <f t="shared" si="28"/>
        <v>491860.47</v>
      </c>
      <c r="AF307" t="str">
        <f t="shared" si="29"/>
        <v>Paid</v>
      </c>
    </row>
    <row r="308" spans="1:32" ht="17.25" thickBot="1" x14ac:dyDescent="0.35">
      <c r="A308" s="2" t="s">
        <v>2534</v>
      </c>
      <c r="B308" s="2" t="s">
        <v>27</v>
      </c>
      <c r="C308" s="2" t="s">
        <v>28</v>
      </c>
      <c r="D308" s="2" t="s">
        <v>97</v>
      </c>
      <c r="E308" s="2" t="s">
        <v>1884</v>
      </c>
      <c r="F308" s="2" t="s">
        <v>99</v>
      </c>
      <c r="G308" s="2" t="s">
        <v>32</v>
      </c>
      <c r="H308" s="1"/>
      <c r="I308" s="2" t="s">
        <v>33</v>
      </c>
      <c r="J308" s="2" t="s">
        <v>34</v>
      </c>
      <c r="K308" s="2" t="s">
        <v>2535</v>
      </c>
      <c r="L308" s="2" t="s">
        <v>2536</v>
      </c>
      <c r="M308" s="2" t="s">
        <v>2389</v>
      </c>
      <c r="N308" s="2" t="s">
        <v>38</v>
      </c>
      <c r="O308" s="2" t="s">
        <v>214</v>
      </c>
      <c r="P308" s="2" t="s">
        <v>2537</v>
      </c>
      <c r="Q308" s="2" t="s">
        <v>2538</v>
      </c>
      <c r="R308" s="2" t="s">
        <v>40</v>
      </c>
      <c r="S308" s="2" t="s">
        <v>2539</v>
      </c>
      <c r="T308" s="2" t="s">
        <v>2540</v>
      </c>
      <c r="U308" s="2" t="s">
        <v>2541</v>
      </c>
      <c r="V308" s="2" t="s">
        <v>2542</v>
      </c>
      <c r="W308" s="1"/>
      <c r="X308" s="2" t="s">
        <v>201</v>
      </c>
      <c r="Y308" s="2" t="s">
        <v>2148</v>
      </c>
      <c r="AA308" t="str">
        <f t="shared" si="24"/>
        <v>2026-06</v>
      </c>
      <c r="AB308" t="str">
        <f t="shared" si="25"/>
        <v>H1_2026</v>
      </c>
      <c r="AC308">
        <f t="shared" si="26"/>
        <v>388803</v>
      </c>
      <c r="AD308">
        <f t="shared" si="27"/>
        <v>50</v>
      </c>
      <c r="AE308">
        <f t="shared" si="28"/>
        <v>94257.55</v>
      </c>
      <c r="AF308" t="str">
        <f t="shared" si="29"/>
        <v>Paid</v>
      </c>
    </row>
    <row r="309" spans="1:32" ht="17.25" thickBot="1" x14ac:dyDescent="0.35">
      <c r="A309" s="2" t="s">
        <v>2543</v>
      </c>
      <c r="B309" s="2" t="s">
        <v>27</v>
      </c>
      <c r="C309" s="2" t="s">
        <v>28</v>
      </c>
      <c r="D309" s="2" t="s">
        <v>97</v>
      </c>
      <c r="E309" s="2" t="s">
        <v>1884</v>
      </c>
      <c r="F309" s="2" t="s">
        <v>99</v>
      </c>
      <c r="G309" s="2" t="s">
        <v>32</v>
      </c>
      <c r="H309" s="1"/>
      <c r="I309" s="2" t="s">
        <v>33</v>
      </c>
      <c r="J309" s="2" t="s">
        <v>34</v>
      </c>
      <c r="K309" s="2" t="s">
        <v>2544</v>
      </c>
      <c r="L309" s="2" t="s">
        <v>2545</v>
      </c>
      <c r="M309" s="2" t="s">
        <v>2389</v>
      </c>
      <c r="N309" s="2" t="s">
        <v>38</v>
      </c>
      <c r="O309" s="2" t="s">
        <v>131</v>
      </c>
      <c r="P309" s="2" t="s">
        <v>2546</v>
      </c>
      <c r="Q309" s="2" t="s">
        <v>2547</v>
      </c>
      <c r="R309" s="2" t="s">
        <v>40</v>
      </c>
      <c r="S309" s="2" t="s">
        <v>2548</v>
      </c>
      <c r="T309" s="2" t="s">
        <v>2549</v>
      </c>
      <c r="U309" s="2" t="s">
        <v>2550</v>
      </c>
      <c r="V309" s="2" t="s">
        <v>2551</v>
      </c>
      <c r="W309" s="1"/>
      <c r="X309" s="2" t="s">
        <v>1006</v>
      </c>
      <c r="Y309" s="2" t="s">
        <v>2148</v>
      </c>
      <c r="AA309" t="str">
        <f t="shared" si="24"/>
        <v>2026-06</v>
      </c>
      <c r="AB309" t="str">
        <f t="shared" si="25"/>
        <v>H1_2026</v>
      </c>
      <c r="AC309">
        <f t="shared" si="26"/>
        <v>394938.24</v>
      </c>
      <c r="AD309">
        <f t="shared" si="27"/>
        <v>40</v>
      </c>
      <c r="AE309">
        <f t="shared" si="28"/>
        <v>101847.33</v>
      </c>
      <c r="AF309" t="str">
        <f t="shared" si="29"/>
        <v>Paid</v>
      </c>
    </row>
    <row r="310" spans="1:32" ht="17.25" thickBot="1" x14ac:dyDescent="0.35">
      <c r="A310" s="2" t="s">
        <v>2552</v>
      </c>
      <c r="B310" s="2" t="s">
        <v>27</v>
      </c>
      <c r="C310" s="2" t="s">
        <v>28</v>
      </c>
      <c r="D310" s="2" t="s">
        <v>97</v>
      </c>
      <c r="E310" s="2" t="s">
        <v>1884</v>
      </c>
      <c r="F310" s="2" t="s">
        <v>99</v>
      </c>
      <c r="G310" s="2" t="s">
        <v>32</v>
      </c>
      <c r="H310" s="1"/>
      <c r="I310" s="2" t="s">
        <v>33</v>
      </c>
      <c r="J310" s="2" t="s">
        <v>34</v>
      </c>
      <c r="K310" s="2" t="s">
        <v>2553</v>
      </c>
      <c r="L310" s="2" t="s">
        <v>2554</v>
      </c>
      <c r="M310" s="2" t="s">
        <v>2389</v>
      </c>
      <c r="N310" s="2" t="s">
        <v>38</v>
      </c>
      <c r="O310" s="2" t="s">
        <v>79</v>
      </c>
      <c r="P310" s="2" t="s">
        <v>2555</v>
      </c>
      <c r="Q310" s="2" t="s">
        <v>2556</v>
      </c>
      <c r="R310" s="2" t="s">
        <v>40</v>
      </c>
      <c r="S310" s="2" t="s">
        <v>2557</v>
      </c>
      <c r="T310" s="2" t="s">
        <v>2558</v>
      </c>
      <c r="U310" s="2" t="s">
        <v>2559</v>
      </c>
      <c r="V310" s="2" t="s">
        <v>2560</v>
      </c>
      <c r="W310" s="1"/>
      <c r="X310" s="2" t="s">
        <v>1764</v>
      </c>
      <c r="Y310" s="2" t="s">
        <v>2148</v>
      </c>
      <c r="AA310" t="str">
        <f t="shared" si="24"/>
        <v>2026-06</v>
      </c>
      <c r="AB310" t="str">
        <f t="shared" si="25"/>
        <v>H1_2026</v>
      </c>
      <c r="AC310">
        <f t="shared" si="26"/>
        <v>93598.080000000002</v>
      </c>
      <c r="AD310">
        <f t="shared" si="27"/>
        <v>10</v>
      </c>
      <c r="AE310">
        <f t="shared" si="28"/>
        <v>23779.9</v>
      </c>
      <c r="AF310" t="str">
        <f t="shared" si="29"/>
        <v>Paid</v>
      </c>
    </row>
    <row r="311" spans="1:32" ht="17.25" thickBot="1" x14ac:dyDescent="0.35">
      <c r="A311" s="2" t="s">
        <v>2561</v>
      </c>
      <c r="B311" s="2" t="s">
        <v>27</v>
      </c>
      <c r="C311" s="2" t="s">
        <v>28</v>
      </c>
      <c r="D311" s="2" t="s">
        <v>97</v>
      </c>
      <c r="E311" s="2" t="s">
        <v>1884</v>
      </c>
      <c r="F311" s="2" t="s">
        <v>99</v>
      </c>
      <c r="G311" s="2" t="s">
        <v>32</v>
      </c>
      <c r="H311" s="1"/>
      <c r="I311" s="2" t="s">
        <v>33</v>
      </c>
      <c r="J311" s="2" t="s">
        <v>34</v>
      </c>
      <c r="K311" s="2" t="s">
        <v>2562</v>
      </c>
      <c r="L311" s="2" t="s">
        <v>2563</v>
      </c>
      <c r="M311" s="2" t="s">
        <v>2389</v>
      </c>
      <c r="N311" s="2" t="s">
        <v>38</v>
      </c>
      <c r="O311" s="2" t="s">
        <v>399</v>
      </c>
      <c r="P311" s="2" t="s">
        <v>2564</v>
      </c>
      <c r="Q311" s="2" t="s">
        <v>2565</v>
      </c>
      <c r="R311" s="2" t="s">
        <v>40</v>
      </c>
      <c r="S311" s="2" t="s">
        <v>2566</v>
      </c>
      <c r="T311" s="2" t="s">
        <v>2567</v>
      </c>
      <c r="U311" s="2" t="s">
        <v>2568</v>
      </c>
      <c r="V311" s="2" t="s">
        <v>2569</v>
      </c>
      <c r="W311" s="1"/>
      <c r="X311" s="2" t="s">
        <v>1052</v>
      </c>
      <c r="Y311" s="2" t="s">
        <v>2148</v>
      </c>
      <c r="AA311" t="str">
        <f t="shared" si="24"/>
        <v>2026-06</v>
      </c>
      <c r="AB311" t="str">
        <f t="shared" si="25"/>
        <v>H1_2026</v>
      </c>
      <c r="AC311">
        <f t="shared" si="26"/>
        <v>296403.43</v>
      </c>
      <c r="AD311">
        <f t="shared" si="27"/>
        <v>47</v>
      </c>
      <c r="AE311">
        <f t="shared" si="28"/>
        <v>75076.160000000003</v>
      </c>
      <c r="AF311" t="str">
        <f t="shared" si="29"/>
        <v>Paid</v>
      </c>
    </row>
    <row r="312" spans="1:32" ht="17.25" thickBot="1" x14ac:dyDescent="0.35">
      <c r="A312" s="2" t="s">
        <v>503</v>
      </c>
      <c r="B312" s="2" t="s">
        <v>27</v>
      </c>
      <c r="C312" s="2" t="s">
        <v>28</v>
      </c>
      <c r="D312" s="2" t="s">
        <v>97</v>
      </c>
      <c r="E312" s="2" t="s">
        <v>1884</v>
      </c>
      <c r="F312" s="2" t="s">
        <v>99</v>
      </c>
      <c r="G312" s="2" t="s">
        <v>32</v>
      </c>
      <c r="H312" s="1"/>
      <c r="I312" s="2" t="s">
        <v>33</v>
      </c>
      <c r="J312" s="2" t="s">
        <v>34</v>
      </c>
      <c r="K312" s="2" t="s">
        <v>2570</v>
      </c>
      <c r="L312" s="2" t="s">
        <v>2571</v>
      </c>
      <c r="M312" s="2" t="s">
        <v>2389</v>
      </c>
      <c r="N312" s="2" t="s">
        <v>38</v>
      </c>
      <c r="O312" s="2" t="s">
        <v>214</v>
      </c>
      <c r="P312" s="2" t="s">
        <v>2572</v>
      </c>
      <c r="Q312" s="2" t="s">
        <v>2573</v>
      </c>
      <c r="R312" s="2" t="s">
        <v>40</v>
      </c>
      <c r="S312" s="2" t="s">
        <v>2574</v>
      </c>
      <c r="T312" s="2" t="s">
        <v>1874</v>
      </c>
      <c r="U312" s="2" t="s">
        <v>2575</v>
      </c>
      <c r="V312" s="2" t="s">
        <v>2576</v>
      </c>
      <c r="W312" s="1"/>
      <c r="X312" s="2" t="s">
        <v>201</v>
      </c>
      <c r="Y312" s="2" t="s">
        <v>2148</v>
      </c>
      <c r="AA312" t="str">
        <f t="shared" si="24"/>
        <v>2026-06</v>
      </c>
      <c r="AB312" t="str">
        <f t="shared" si="25"/>
        <v>H1_2026</v>
      </c>
      <c r="AC312">
        <f t="shared" si="26"/>
        <v>587841.6</v>
      </c>
      <c r="AD312">
        <f t="shared" si="27"/>
        <v>50</v>
      </c>
      <c r="AE312">
        <f t="shared" si="28"/>
        <v>142387.06</v>
      </c>
      <c r="AF312" t="str">
        <f t="shared" si="29"/>
        <v>Paid</v>
      </c>
    </row>
    <row r="313" spans="1:32" ht="17.25" thickBot="1" x14ac:dyDescent="0.35">
      <c r="A313" s="2" t="s">
        <v>2577</v>
      </c>
      <c r="B313" s="2" t="s">
        <v>27</v>
      </c>
      <c r="C313" s="2" t="s">
        <v>28</v>
      </c>
      <c r="D313" s="2" t="s">
        <v>97</v>
      </c>
      <c r="E313" s="2" t="s">
        <v>1884</v>
      </c>
      <c r="F313" s="2" t="s">
        <v>99</v>
      </c>
      <c r="G313" s="2" t="s">
        <v>32</v>
      </c>
      <c r="H313" s="1"/>
      <c r="I313" s="2" t="s">
        <v>33</v>
      </c>
      <c r="J313" s="2" t="s">
        <v>34</v>
      </c>
      <c r="K313" s="2" t="s">
        <v>2578</v>
      </c>
      <c r="L313" s="2" t="s">
        <v>2579</v>
      </c>
      <c r="M313" s="2" t="s">
        <v>2389</v>
      </c>
      <c r="N313" s="2" t="s">
        <v>38</v>
      </c>
      <c r="O313" s="2" t="s">
        <v>407</v>
      </c>
      <c r="P313" s="2" t="s">
        <v>2182</v>
      </c>
      <c r="Q313" s="2" t="s">
        <v>2580</v>
      </c>
      <c r="R313" s="2" t="s">
        <v>40</v>
      </c>
      <c r="S313" s="2" t="s">
        <v>2581</v>
      </c>
      <c r="T313" s="2" t="s">
        <v>2582</v>
      </c>
      <c r="U313" s="2" t="s">
        <v>2583</v>
      </c>
      <c r="V313" s="2" t="s">
        <v>2584</v>
      </c>
      <c r="W313" s="1"/>
      <c r="X313" s="2" t="s">
        <v>1504</v>
      </c>
      <c r="Y313" s="2" t="s">
        <v>2148</v>
      </c>
      <c r="AA313" t="str">
        <f t="shared" si="24"/>
        <v>2026-06</v>
      </c>
      <c r="AB313" t="str">
        <f t="shared" si="25"/>
        <v>H1_2026</v>
      </c>
      <c r="AC313">
        <f t="shared" si="26"/>
        <v>456804.29</v>
      </c>
      <c r="AD313">
        <f t="shared" si="27"/>
        <v>48</v>
      </c>
      <c r="AE313">
        <f t="shared" si="28"/>
        <v>114700.65</v>
      </c>
      <c r="AF313" t="str">
        <f t="shared" si="29"/>
        <v>Paid</v>
      </c>
    </row>
    <row r="314" spans="1:32" ht="17.25" thickBot="1" x14ac:dyDescent="0.35">
      <c r="A314" s="2" t="s">
        <v>2585</v>
      </c>
      <c r="B314" s="2" t="s">
        <v>27</v>
      </c>
      <c r="C314" s="2" t="s">
        <v>28</v>
      </c>
      <c r="D314" s="2" t="s">
        <v>97</v>
      </c>
      <c r="E314" s="2" t="s">
        <v>1884</v>
      </c>
      <c r="F314" s="2" t="s">
        <v>99</v>
      </c>
      <c r="G314" s="2" t="s">
        <v>32</v>
      </c>
      <c r="H314" s="1"/>
      <c r="I314" s="2" t="s">
        <v>33</v>
      </c>
      <c r="J314" s="2" t="s">
        <v>34</v>
      </c>
      <c r="K314" s="2" t="s">
        <v>2586</v>
      </c>
      <c r="L314" s="2" t="s">
        <v>2587</v>
      </c>
      <c r="M314" s="2" t="s">
        <v>2389</v>
      </c>
      <c r="N314" s="2" t="s">
        <v>38</v>
      </c>
      <c r="O314" s="2" t="s">
        <v>391</v>
      </c>
      <c r="P314" s="2" t="s">
        <v>2588</v>
      </c>
      <c r="Q314" s="2" t="s">
        <v>2589</v>
      </c>
      <c r="R314" s="2" t="s">
        <v>40</v>
      </c>
      <c r="S314" s="2" t="s">
        <v>2590</v>
      </c>
      <c r="T314" s="2" t="s">
        <v>2591</v>
      </c>
      <c r="U314" s="2" t="s">
        <v>2592</v>
      </c>
      <c r="V314" s="2" t="s">
        <v>2593</v>
      </c>
      <c r="W314" s="1"/>
      <c r="X314" s="2" t="s">
        <v>1504</v>
      </c>
      <c r="Y314" s="2" t="s">
        <v>2148</v>
      </c>
      <c r="AA314" t="str">
        <f t="shared" si="24"/>
        <v>2026-06</v>
      </c>
      <c r="AB314" t="str">
        <f t="shared" si="25"/>
        <v>H1_2026</v>
      </c>
      <c r="AC314">
        <f t="shared" si="26"/>
        <v>428040</v>
      </c>
      <c r="AD314">
        <f t="shared" si="27"/>
        <v>60</v>
      </c>
      <c r="AE314">
        <f t="shared" si="28"/>
        <v>107312.73</v>
      </c>
      <c r="AF314" t="str">
        <f t="shared" si="29"/>
        <v>Paid</v>
      </c>
    </row>
    <row r="315" spans="1:32" ht="17.25" thickBot="1" x14ac:dyDescent="0.35">
      <c r="A315" s="2" t="s">
        <v>2594</v>
      </c>
      <c r="B315" s="2" t="s">
        <v>27</v>
      </c>
      <c r="C315" s="2" t="s">
        <v>28</v>
      </c>
      <c r="D315" s="2" t="s">
        <v>97</v>
      </c>
      <c r="E315" s="2" t="s">
        <v>1884</v>
      </c>
      <c r="F315" s="2" t="s">
        <v>99</v>
      </c>
      <c r="G315" s="2" t="s">
        <v>32</v>
      </c>
      <c r="H315" s="1"/>
      <c r="I315" s="2" t="s">
        <v>33</v>
      </c>
      <c r="J315" s="2" t="s">
        <v>34</v>
      </c>
      <c r="K315" s="2" t="s">
        <v>2595</v>
      </c>
      <c r="L315" s="2" t="s">
        <v>2596</v>
      </c>
      <c r="M315" s="2" t="s">
        <v>2389</v>
      </c>
      <c r="N315" s="2" t="s">
        <v>38</v>
      </c>
      <c r="O315" s="2" t="s">
        <v>466</v>
      </c>
      <c r="P315" s="2" t="s">
        <v>2588</v>
      </c>
      <c r="Q315" s="2" t="s">
        <v>2597</v>
      </c>
      <c r="R315" s="2" t="s">
        <v>40</v>
      </c>
      <c r="S315" s="2" t="s">
        <v>2598</v>
      </c>
      <c r="T315" s="2" t="s">
        <v>2591</v>
      </c>
      <c r="U315" s="2" t="s">
        <v>2599</v>
      </c>
      <c r="V315" s="2" t="s">
        <v>2600</v>
      </c>
      <c r="W315" s="1"/>
      <c r="X315" s="2" t="s">
        <v>1504</v>
      </c>
      <c r="Y315" s="2" t="s">
        <v>2148</v>
      </c>
      <c r="AA315" t="str">
        <f t="shared" si="24"/>
        <v>2026-06</v>
      </c>
      <c r="AB315" t="str">
        <f t="shared" si="25"/>
        <v>H1_2026</v>
      </c>
      <c r="AC315">
        <f t="shared" si="26"/>
        <v>499380</v>
      </c>
      <c r="AD315">
        <f t="shared" si="27"/>
        <v>70</v>
      </c>
      <c r="AE315">
        <f t="shared" si="28"/>
        <v>125198.19</v>
      </c>
      <c r="AF315" t="str">
        <f t="shared" si="29"/>
        <v>Paid</v>
      </c>
    </row>
    <row r="316" spans="1:32" ht="17.25" thickBot="1" x14ac:dyDescent="0.35">
      <c r="A316" s="2" t="s">
        <v>2601</v>
      </c>
      <c r="B316" s="2" t="s">
        <v>27</v>
      </c>
      <c r="C316" s="2" t="s">
        <v>28</v>
      </c>
      <c r="D316" s="2" t="s">
        <v>97</v>
      </c>
      <c r="E316" s="2" t="s">
        <v>1884</v>
      </c>
      <c r="F316" s="2" t="s">
        <v>99</v>
      </c>
      <c r="G316" s="2" t="s">
        <v>32</v>
      </c>
      <c r="H316" s="1"/>
      <c r="I316" s="2" t="s">
        <v>33</v>
      </c>
      <c r="J316" s="2" t="s">
        <v>34</v>
      </c>
      <c r="K316" s="2" t="s">
        <v>2602</v>
      </c>
      <c r="L316" s="2" t="s">
        <v>2603</v>
      </c>
      <c r="M316" s="2" t="s">
        <v>2389</v>
      </c>
      <c r="N316" s="2" t="s">
        <v>38</v>
      </c>
      <c r="O316" s="2" t="s">
        <v>159</v>
      </c>
      <c r="P316" s="2" t="s">
        <v>2604</v>
      </c>
      <c r="Q316" s="2" t="s">
        <v>2605</v>
      </c>
      <c r="R316" s="2" t="s">
        <v>40</v>
      </c>
      <c r="S316" s="2" t="s">
        <v>2606</v>
      </c>
      <c r="T316" s="2" t="s">
        <v>2473</v>
      </c>
      <c r="U316" s="2" t="s">
        <v>2607</v>
      </c>
      <c r="V316" s="2" t="s">
        <v>2608</v>
      </c>
      <c r="W316" s="1"/>
      <c r="X316" s="2" t="s">
        <v>201</v>
      </c>
      <c r="Y316" s="2" t="s">
        <v>2148</v>
      </c>
      <c r="AA316" t="str">
        <f t="shared" si="24"/>
        <v>2026-06</v>
      </c>
      <c r="AB316" t="str">
        <f t="shared" si="25"/>
        <v>H1_2026</v>
      </c>
      <c r="AC316">
        <f t="shared" si="26"/>
        <v>864070.08</v>
      </c>
      <c r="AD316">
        <f t="shared" si="27"/>
        <v>80</v>
      </c>
      <c r="AE316">
        <f t="shared" si="28"/>
        <v>209524.63</v>
      </c>
      <c r="AF316" t="str">
        <f t="shared" si="29"/>
        <v>Paid</v>
      </c>
    </row>
    <row r="317" spans="1:32" ht="17.25" thickBot="1" x14ac:dyDescent="0.35">
      <c r="A317" s="2" t="s">
        <v>2609</v>
      </c>
      <c r="B317" s="2" t="s">
        <v>27</v>
      </c>
      <c r="C317" s="2" t="s">
        <v>28</v>
      </c>
      <c r="D317" s="2" t="s">
        <v>97</v>
      </c>
      <c r="E317" s="2" t="s">
        <v>1884</v>
      </c>
      <c r="F317" s="2" t="s">
        <v>99</v>
      </c>
      <c r="G317" s="2" t="s">
        <v>32</v>
      </c>
      <c r="H317" s="1"/>
      <c r="I317" s="2" t="s">
        <v>33</v>
      </c>
      <c r="J317" s="2" t="s">
        <v>34</v>
      </c>
      <c r="K317" s="2" t="s">
        <v>2610</v>
      </c>
      <c r="L317" s="2" t="s">
        <v>2611</v>
      </c>
      <c r="M317" s="2" t="s">
        <v>2389</v>
      </c>
      <c r="N317" s="2" t="s">
        <v>38</v>
      </c>
      <c r="O317" s="2" t="s">
        <v>998</v>
      </c>
      <c r="P317" s="2" t="s">
        <v>2612</v>
      </c>
      <c r="Q317" s="2" t="s">
        <v>2613</v>
      </c>
      <c r="R317" s="2" t="s">
        <v>40</v>
      </c>
      <c r="S317" s="2" t="s">
        <v>2614</v>
      </c>
      <c r="T317" s="2" t="s">
        <v>2615</v>
      </c>
      <c r="U317" s="2" t="s">
        <v>2616</v>
      </c>
      <c r="V317" s="2" t="s">
        <v>2617</v>
      </c>
      <c r="W317" s="1"/>
      <c r="X317" s="2" t="s">
        <v>2618</v>
      </c>
      <c r="Y317" s="2" t="s">
        <v>2148</v>
      </c>
      <c r="AA317" t="str">
        <f t="shared" si="24"/>
        <v>2026-06</v>
      </c>
      <c r="AB317" t="str">
        <f t="shared" si="25"/>
        <v>H1_2026</v>
      </c>
      <c r="AC317">
        <f t="shared" si="26"/>
        <v>806998.08</v>
      </c>
      <c r="AD317">
        <f t="shared" si="27"/>
        <v>112</v>
      </c>
      <c r="AE317">
        <f t="shared" si="28"/>
        <v>141718.07999999999</v>
      </c>
      <c r="AF317" t="str">
        <f t="shared" si="29"/>
        <v>Paid</v>
      </c>
    </row>
    <row r="318" spans="1:32" ht="27.75" thickBot="1" x14ac:dyDescent="0.35">
      <c r="A318" s="2" t="s">
        <v>2619</v>
      </c>
      <c r="B318" s="2" t="s">
        <v>27</v>
      </c>
      <c r="C318" s="2" t="s">
        <v>28</v>
      </c>
      <c r="D318" s="2" t="s">
        <v>97</v>
      </c>
      <c r="E318" s="2" t="s">
        <v>1884</v>
      </c>
      <c r="F318" s="2" t="s">
        <v>99</v>
      </c>
      <c r="G318" s="2" t="s">
        <v>32</v>
      </c>
      <c r="H318" s="1"/>
      <c r="I318" s="2" t="s">
        <v>33</v>
      </c>
      <c r="J318" s="2" t="s">
        <v>34</v>
      </c>
      <c r="K318" s="2" t="s">
        <v>2620</v>
      </c>
      <c r="L318" s="2" t="s">
        <v>2621</v>
      </c>
      <c r="M318" s="2" t="s">
        <v>2389</v>
      </c>
      <c r="N318" s="2" t="s">
        <v>38</v>
      </c>
      <c r="O318" s="2" t="s">
        <v>797</v>
      </c>
      <c r="P318" s="2" t="s">
        <v>2622</v>
      </c>
      <c r="Q318" s="2" t="s">
        <v>2623</v>
      </c>
      <c r="R318" s="2" t="s">
        <v>40</v>
      </c>
      <c r="S318" s="2" t="s">
        <v>2624</v>
      </c>
      <c r="T318" s="2" t="s">
        <v>2625</v>
      </c>
      <c r="U318" s="2" t="s">
        <v>2626</v>
      </c>
      <c r="V318" s="2" t="s">
        <v>2627</v>
      </c>
      <c r="W318" s="1"/>
      <c r="X318" s="2" t="s">
        <v>2429</v>
      </c>
      <c r="Y318" s="2" t="s">
        <v>2148</v>
      </c>
      <c r="AA318" t="str">
        <f t="shared" si="24"/>
        <v>2026-06</v>
      </c>
      <c r="AB318" t="str">
        <f t="shared" si="25"/>
        <v>H1_2026</v>
      </c>
      <c r="AC318">
        <f t="shared" si="26"/>
        <v>716710.18</v>
      </c>
      <c r="AD318">
        <f t="shared" si="27"/>
        <v>92</v>
      </c>
      <c r="AE318">
        <f t="shared" si="28"/>
        <v>174830.18</v>
      </c>
      <c r="AF318" t="str">
        <f t="shared" si="29"/>
        <v>Paid</v>
      </c>
    </row>
    <row r="319" spans="1:32" ht="27.75" thickBot="1" x14ac:dyDescent="0.35">
      <c r="A319" s="2" t="s">
        <v>2628</v>
      </c>
      <c r="B319" s="2" t="s">
        <v>27</v>
      </c>
      <c r="C319" s="2" t="s">
        <v>28</v>
      </c>
      <c r="D319" s="2" t="s">
        <v>97</v>
      </c>
      <c r="E319" s="2" t="s">
        <v>1884</v>
      </c>
      <c r="F319" s="2" t="s">
        <v>99</v>
      </c>
      <c r="G319" s="2" t="s">
        <v>32</v>
      </c>
      <c r="H319" s="1"/>
      <c r="I319" s="2" t="s">
        <v>33</v>
      </c>
      <c r="J319" s="2" t="s">
        <v>34</v>
      </c>
      <c r="K319" s="2" t="s">
        <v>2629</v>
      </c>
      <c r="L319" s="2" t="s">
        <v>2630</v>
      </c>
      <c r="M319" s="2" t="s">
        <v>2631</v>
      </c>
      <c r="N319" s="2" t="s">
        <v>38</v>
      </c>
      <c r="O319" s="2" t="s">
        <v>391</v>
      </c>
      <c r="P319" s="2" t="s">
        <v>2632</v>
      </c>
      <c r="Q319" s="2" t="s">
        <v>2633</v>
      </c>
      <c r="R319" s="2" t="s">
        <v>40</v>
      </c>
      <c r="S319" s="2" t="s">
        <v>2634</v>
      </c>
      <c r="T319" s="2" t="s">
        <v>2635</v>
      </c>
      <c r="U319" s="2" t="s">
        <v>2636</v>
      </c>
      <c r="V319" s="2" t="s">
        <v>2637</v>
      </c>
      <c r="W319" s="1"/>
      <c r="X319" s="2" t="s">
        <v>2638</v>
      </c>
      <c r="Y319" s="2" t="s">
        <v>2148</v>
      </c>
      <c r="AA319" t="str">
        <f t="shared" si="24"/>
        <v>2026-06</v>
      </c>
      <c r="AB319" t="str">
        <f t="shared" si="25"/>
        <v>H1_2026</v>
      </c>
      <c r="AC319">
        <f t="shared" si="26"/>
        <v>257680.08</v>
      </c>
      <c r="AD319">
        <f t="shared" si="27"/>
        <v>60</v>
      </c>
      <c r="AE319">
        <f t="shared" si="28"/>
        <v>44952.81</v>
      </c>
      <c r="AF319" t="str">
        <f t="shared" si="29"/>
        <v>Paid</v>
      </c>
    </row>
    <row r="320" spans="1:32" ht="17.25" thickBot="1" x14ac:dyDescent="0.35">
      <c r="A320" s="2" t="s">
        <v>2639</v>
      </c>
      <c r="B320" s="2" t="s">
        <v>27</v>
      </c>
      <c r="C320" s="2" t="s">
        <v>28</v>
      </c>
      <c r="D320" s="2" t="s">
        <v>97</v>
      </c>
      <c r="E320" s="2" t="s">
        <v>1884</v>
      </c>
      <c r="F320" s="2" t="s">
        <v>99</v>
      </c>
      <c r="G320" s="2" t="s">
        <v>32</v>
      </c>
      <c r="H320" s="1"/>
      <c r="I320" s="2" t="s">
        <v>33</v>
      </c>
      <c r="J320" s="2" t="s">
        <v>34</v>
      </c>
      <c r="K320" s="2" t="s">
        <v>2640</v>
      </c>
      <c r="L320" s="2" t="s">
        <v>2641</v>
      </c>
      <c r="M320" s="2" t="s">
        <v>2631</v>
      </c>
      <c r="N320" s="2" t="s">
        <v>38</v>
      </c>
      <c r="O320" s="2" t="s">
        <v>2642</v>
      </c>
      <c r="P320" s="2" t="s">
        <v>2632</v>
      </c>
      <c r="Q320" s="2" t="s">
        <v>2643</v>
      </c>
      <c r="R320" s="2" t="s">
        <v>40</v>
      </c>
      <c r="S320" s="2" t="s">
        <v>2644</v>
      </c>
      <c r="T320" s="2" t="s">
        <v>2635</v>
      </c>
      <c r="U320" s="2" t="s">
        <v>2250</v>
      </c>
      <c r="V320" s="2" t="s">
        <v>2645</v>
      </c>
      <c r="W320" s="1"/>
      <c r="X320" s="2" t="s">
        <v>2638</v>
      </c>
      <c r="Y320" s="2" t="s">
        <v>2148</v>
      </c>
      <c r="AA320" t="str">
        <f t="shared" si="24"/>
        <v>2026-06</v>
      </c>
      <c r="AB320" t="str">
        <f t="shared" si="25"/>
        <v>H1_2026</v>
      </c>
      <c r="AC320">
        <f t="shared" si="26"/>
        <v>2405014.08</v>
      </c>
      <c r="AD320">
        <f t="shared" si="27"/>
        <v>560</v>
      </c>
      <c r="AE320">
        <f t="shared" si="28"/>
        <v>419559.56</v>
      </c>
      <c r="AF320" t="str">
        <f t="shared" si="29"/>
        <v>Paid</v>
      </c>
    </row>
    <row r="321" spans="1:32" ht="17.25" thickBot="1" x14ac:dyDescent="0.35">
      <c r="A321" s="2" t="s">
        <v>2646</v>
      </c>
      <c r="B321" s="2" t="s">
        <v>27</v>
      </c>
      <c r="C321" s="2" t="s">
        <v>28</v>
      </c>
      <c r="D321" s="2" t="s">
        <v>97</v>
      </c>
      <c r="E321" s="2" t="s">
        <v>1884</v>
      </c>
      <c r="F321" s="2" t="s">
        <v>99</v>
      </c>
      <c r="G321" s="2" t="s">
        <v>32</v>
      </c>
      <c r="H321" s="1"/>
      <c r="I321" s="2" t="s">
        <v>33</v>
      </c>
      <c r="J321" s="2" t="s">
        <v>34</v>
      </c>
      <c r="K321" s="2" t="s">
        <v>2647</v>
      </c>
      <c r="L321" s="2" t="s">
        <v>2648</v>
      </c>
      <c r="M321" s="2" t="s">
        <v>2631</v>
      </c>
      <c r="N321" s="2" t="s">
        <v>38</v>
      </c>
      <c r="O321" s="2" t="s">
        <v>141</v>
      </c>
      <c r="P321" s="2" t="s">
        <v>2564</v>
      </c>
      <c r="Q321" s="2" t="s">
        <v>2649</v>
      </c>
      <c r="R321" s="2" t="s">
        <v>40</v>
      </c>
      <c r="S321" s="2" t="s">
        <v>2650</v>
      </c>
      <c r="T321" s="2" t="s">
        <v>2651</v>
      </c>
      <c r="U321" s="2" t="s">
        <v>2652</v>
      </c>
      <c r="V321" s="2" t="s">
        <v>2653</v>
      </c>
      <c r="W321" s="1"/>
      <c r="X321" s="2" t="s">
        <v>1006</v>
      </c>
      <c r="Y321" s="2" t="s">
        <v>2148</v>
      </c>
      <c r="AA321" t="str">
        <f t="shared" si="24"/>
        <v>2026-06</v>
      </c>
      <c r="AB321" t="str">
        <f t="shared" si="25"/>
        <v>H1_2026</v>
      </c>
      <c r="AC321">
        <f t="shared" si="26"/>
        <v>189193.68</v>
      </c>
      <c r="AD321">
        <f t="shared" si="27"/>
        <v>30</v>
      </c>
      <c r="AE321">
        <f t="shared" si="28"/>
        <v>48793.68</v>
      </c>
      <c r="AF321" t="str">
        <f t="shared" si="29"/>
        <v>Paid</v>
      </c>
    </row>
    <row r="322" spans="1:32" ht="17.25" thickBot="1" x14ac:dyDescent="0.35">
      <c r="A322" s="2" t="s">
        <v>362</v>
      </c>
      <c r="B322" s="2" t="s">
        <v>27</v>
      </c>
      <c r="C322" s="2" t="s">
        <v>28</v>
      </c>
      <c r="D322" s="2" t="s">
        <v>97</v>
      </c>
      <c r="E322" s="2" t="s">
        <v>1884</v>
      </c>
      <c r="F322" s="2" t="s">
        <v>99</v>
      </c>
      <c r="G322" s="2" t="s">
        <v>32</v>
      </c>
      <c r="H322" s="1"/>
      <c r="I322" s="2" t="s">
        <v>33</v>
      </c>
      <c r="J322" s="2" t="s">
        <v>34</v>
      </c>
      <c r="K322" s="2" t="s">
        <v>580</v>
      </c>
      <c r="L322" s="2" t="s">
        <v>581</v>
      </c>
      <c r="M322" s="2" t="s">
        <v>570</v>
      </c>
      <c r="N322" s="2" t="s">
        <v>38</v>
      </c>
      <c r="O322" s="2" t="s">
        <v>2654</v>
      </c>
      <c r="P322" s="2" t="s">
        <v>2655</v>
      </c>
      <c r="Q322" s="2" t="s">
        <v>2656</v>
      </c>
      <c r="R322" s="2" t="s">
        <v>40</v>
      </c>
      <c r="S322" s="2" t="s">
        <v>2657</v>
      </c>
      <c r="T322" s="2" t="s">
        <v>575</v>
      </c>
      <c r="U322" s="2" t="s">
        <v>2658</v>
      </c>
      <c r="V322" s="2" t="s">
        <v>2659</v>
      </c>
      <c r="W322" s="1"/>
      <c r="X322" s="2" t="s">
        <v>2660</v>
      </c>
      <c r="Y322" s="2" t="s">
        <v>2148</v>
      </c>
      <c r="AA322" t="str">
        <f t="shared" si="24"/>
        <v>2026-06</v>
      </c>
      <c r="AB322" t="str">
        <f t="shared" si="25"/>
        <v>H1_2026</v>
      </c>
      <c r="AC322">
        <f t="shared" si="26"/>
        <v>375048.65</v>
      </c>
      <c r="AD322">
        <f t="shared" si="27"/>
        <v>674</v>
      </c>
      <c r="AE322">
        <f t="shared" si="28"/>
        <v>154466.85</v>
      </c>
      <c r="AF322" t="str">
        <f t="shared" si="29"/>
        <v>Paid</v>
      </c>
    </row>
    <row r="323" spans="1:32" ht="27.75" thickBot="1" x14ac:dyDescent="0.35">
      <c r="A323" s="2" t="s">
        <v>2661</v>
      </c>
      <c r="B323" s="2" t="s">
        <v>27</v>
      </c>
      <c r="C323" s="2" t="s">
        <v>28</v>
      </c>
      <c r="D323" s="2" t="s">
        <v>97</v>
      </c>
      <c r="E323" s="2" t="s">
        <v>1884</v>
      </c>
      <c r="F323" s="2" t="s">
        <v>99</v>
      </c>
      <c r="G323" s="2" t="s">
        <v>32</v>
      </c>
      <c r="H323" s="1"/>
      <c r="I323" s="2" t="s">
        <v>33</v>
      </c>
      <c r="J323" s="2" t="s">
        <v>34</v>
      </c>
      <c r="K323" s="2" t="s">
        <v>2662</v>
      </c>
      <c r="L323" s="2" t="s">
        <v>2663</v>
      </c>
      <c r="M323" s="2" t="s">
        <v>570</v>
      </c>
      <c r="N323" s="2" t="s">
        <v>38</v>
      </c>
      <c r="O323" s="2" t="s">
        <v>1538</v>
      </c>
      <c r="P323" s="2" t="s">
        <v>2655</v>
      </c>
      <c r="Q323" s="2" t="s">
        <v>2664</v>
      </c>
      <c r="R323" s="2" t="s">
        <v>40</v>
      </c>
      <c r="S323" s="2" t="s">
        <v>2665</v>
      </c>
      <c r="T323" s="2" t="s">
        <v>575</v>
      </c>
      <c r="U323" s="2" t="s">
        <v>2666</v>
      </c>
      <c r="V323" s="2" t="s">
        <v>2667</v>
      </c>
      <c r="W323" s="1"/>
      <c r="X323" s="2" t="s">
        <v>2660</v>
      </c>
      <c r="Y323" s="2" t="s">
        <v>2148</v>
      </c>
      <c r="AA323" t="str">
        <f t="shared" si="24"/>
        <v>2026-06</v>
      </c>
      <c r="AB323" t="str">
        <f t="shared" si="25"/>
        <v>H1_2026</v>
      </c>
      <c r="AC323">
        <f t="shared" si="26"/>
        <v>244838.88</v>
      </c>
      <c r="AD323">
        <f t="shared" si="27"/>
        <v>440</v>
      </c>
      <c r="AE323">
        <f t="shared" si="28"/>
        <v>100838.89</v>
      </c>
      <c r="AF323" t="str">
        <f t="shared" si="29"/>
        <v>Paid</v>
      </c>
    </row>
    <row r="324" spans="1:32" ht="17.25" thickBot="1" x14ac:dyDescent="0.35">
      <c r="A324" s="2" t="s">
        <v>2668</v>
      </c>
      <c r="B324" s="2" t="s">
        <v>27</v>
      </c>
      <c r="C324" s="2" t="s">
        <v>28</v>
      </c>
      <c r="D324" s="2" t="s">
        <v>97</v>
      </c>
      <c r="E324" s="2" t="s">
        <v>1884</v>
      </c>
      <c r="F324" s="2" t="s">
        <v>99</v>
      </c>
      <c r="G324" s="2" t="s">
        <v>32</v>
      </c>
      <c r="H324" s="1"/>
      <c r="I324" s="2" t="s">
        <v>33</v>
      </c>
      <c r="J324" s="2" t="s">
        <v>34</v>
      </c>
      <c r="K324" s="2" t="s">
        <v>601</v>
      </c>
      <c r="L324" s="2" t="s">
        <v>602</v>
      </c>
      <c r="M324" s="2" t="s">
        <v>570</v>
      </c>
      <c r="N324" s="2" t="s">
        <v>38</v>
      </c>
      <c r="O324" s="2" t="s">
        <v>1411</v>
      </c>
      <c r="P324" s="2" t="s">
        <v>2655</v>
      </c>
      <c r="Q324" s="2" t="s">
        <v>2669</v>
      </c>
      <c r="R324" s="2" t="s">
        <v>40</v>
      </c>
      <c r="S324" s="2" t="s">
        <v>2670</v>
      </c>
      <c r="T324" s="2" t="s">
        <v>575</v>
      </c>
      <c r="U324" s="2" t="s">
        <v>2671</v>
      </c>
      <c r="V324" s="2" t="s">
        <v>2672</v>
      </c>
      <c r="W324" s="1"/>
      <c r="X324" s="2" t="s">
        <v>2660</v>
      </c>
      <c r="Y324" s="2" t="s">
        <v>2148</v>
      </c>
      <c r="AA324" t="str">
        <f t="shared" ref="AA324:AA387" si="30">LEFT(E324,7)</f>
        <v>2026-06</v>
      </c>
      <c r="AB324" t="str">
        <f t="shared" ref="AB324:AB387" si="31">IF(AND($AA324&gt;="2025-01",$AA324&lt;="2025-06"),"H1_2025",IF(AND($AA324&gt;="2026-01",$AA324&lt;="2026-06"),"H1_2026",""))</f>
        <v>H1_2026</v>
      </c>
      <c r="AC324">
        <f t="shared" ref="AC324:AC387" si="32">IFERROR(VALUE(SUBSTITUTE(S324,",","")),0)</f>
        <v>88475.87</v>
      </c>
      <c r="AD324">
        <f t="shared" ref="AD324:AD387" si="33">IFERROR(VALUE(SUBSTITUTE(O324,",","")),0)</f>
        <v>159</v>
      </c>
      <c r="AE324">
        <f t="shared" ref="AE324:AE387" si="34">IFERROR(VALUE(SUBSTITUTE(V324,",","")),0)</f>
        <v>36439.51</v>
      </c>
      <c r="AF324" t="str">
        <f t="shared" ref="AF324:AF387" si="35">IF(ISNUMBER(SEARCH("FOC",W324)),"FOC",IF(ISNUMBER(SEARCH("샘플",W324)),"Sample","Paid"))</f>
        <v>Paid</v>
      </c>
    </row>
    <row r="325" spans="1:32" ht="17.25" thickBot="1" x14ac:dyDescent="0.35">
      <c r="A325" s="2" t="s">
        <v>2673</v>
      </c>
      <c r="B325" s="2" t="s">
        <v>27</v>
      </c>
      <c r="C325" s="2" t="s">
        <v>28</v>
      </c>
      <c r="D325" s="2" t="s">
        <v>97</v>
      </c>
      <c r="E325" s="2" t="s">
        <v>1884</v>
      </c>
      <c r="F325" s="2" t="s">
        <v>99</v>
      </c>
      <c r="G325" s="2" t="s">
        <v>32</v>
      </c>
      <c r="H325" s="1"/>
      <c r="I325" s="2" t="s">
        <v>33</v>
      </c>
      <c r="J325" s="2" t="s">
        <v>34</v>
      </c>
      <c r="K325" s="2" t="s">
        <v>616</v>
      </c>
      <c r="L325" s="2" t="s">
        <v>617</v>
      </c>
      <c r="M325" s="2" t="s">
        <v>570</v>
      </c>
      <c r="N325" s="2" t="s">
        <v>38</v>
      </c>
      <c r="O325" s="2" t="s">
        <v>618</v>
      </c>
      <c r="P325" s="2" t="s">
        <v>2655</v>
      </c>
      <c r="Q325" s="2" t="s">
        <v>2674</v>
      </c>
      <c r="R325" s="2" t="s">
        <v>40</v>
      </c>
      <c r="S325" s="2" t="s">
        <v>2675</v>
      </c>
      <c r="T325" s="2" t="s">
        <v>575</v>
      </c>
      <c r="U325" s="2" t="s">
        <v>621</v>
      </c>
      <c r="V325" s="2" t="s">
        <v>2676</v>
      </c>
      <c r="W325" s="1"/>
      <c r="X325" s="2" t="s">
        <v>2660</v>
      </c>
      <c r="Y325" s="2" t="s">
        <v>2148</v>
      </c>
      <c r="AA325" t="str">
        <f t="shared" si="30"/>
        <v>2026-06</v>
      </c>
      <c r="AB325" t="str">
        <f t="shared" si="31"/>
        <v>H1_2026</v>
      </c>
      <c r="AC325">
        <f t="shared" si="32"/>
        <v>400645.44</v>
      </c>
      <c r="AD325">
        <f t="shared" si="33"/>
        <v>720</v>
      </c>
      <c r="AE325">
        <f t="shared" si="34"/>
        <v>165009.1</v>
      </c>
      <c r="AF325" t="str">
        <f t="shared" si="35"/>
        <v>Paid</v>
      </c>
    </row>
    <row r="326" spans="1:32" ht="17.25" thickBot="1" x14ac:dyDescent="0.35">
      <c r="A326" s="2" t="s">
        <v>2677</v>
      </c>
      <c r="B326" s="2" t="s">
        <v>27</v>
      </c>
      <c r="C326" s="2" t="s">
        <v>28</v>
      </c>
      <c r="D326" s="2" t="s">
        <v>97</v>
      </c>
      <c r="E326" s="2" t="s">
        <v>1884</v>
      </c>
      <c r="F326" s="2" t="s">
        <v>99</v>
      </c>
      <c r="G326" s="2" t="s">
        <v>32</v>
      </c>
      <c r="H326" s="1"/>
      <c r="I326" s="2" t="s">
        <v>33</v>
      </c>
      <c r="J326" s="2" t="s">
        <v>34</v>
      </c>
      <c r="K326" s="2" t="s">
        <v>2678</v>
      </c>
      <c r="L326" s="2" t="s">
        <v>2679</v>
      </c>
      <c r="M326" s="2" t="s">
        <v>2680</v>
      </c>
      <c r="N326" s="2" t="s">
        <v>38</v>
      </c>
      <c r="O326" s="2" t="s">
        <v>214</v>
      </c>
      <c r="P326" s="2" t="s">
        <v>2681</v>
      </c>
      <c r="Q326" s="2" t="s">
        <v>2682</v>
      </c>
      <c r="R326" s="2" t="s">
        <v>40</v>
      </c>
      <c r="S326" s="2" t="s">
        <v>2683</v>
      </c>
      <c r="T326" s="2" t="s">
        <v>2684</v>
      </c>
      <c r="U326" s="2" t="s">
        <v>2685</v>
      </c>
      <c r="V326" s="2" t="s">
        <v>2686</v>
      </c>
      <c r="W326" s="1"/>
      <c r="X326" s="2" t="s">
        <v>2687</v>
      </c>
      <c r="Y326" s="2" t="s">
        <v>2148</v>
      </c>
      <c r="AA326" t="str">
        <f t="shared" si="30"/>
        <v>2026-06</v>
      </c>
      <c r="AB326" t="str">
        <f t="shared" si="31"/>
        <v>H1_2026</v>
      </c>
      <c r="AC326">
        <f t="shared" si="32"/>
        <v>453009</v>
      </c>
      <c r="AD326">
        <f t="shared" si="33"/>
        <v>50</v>
      </c>
      <c r="AE326">
        <f t="shared" si="34"/>
        <v>178009</v>
      </c>
      <c r="AF326" t="str">
        <f t="shared" si="35"/>
        <v>Paid</v>
      </c>
    </row>
    <row r="327" spans="1:32" ht="17.25" thickBot="1" x14ac:dyDescent="0.35">
      <c r="A327" s="2" t="s">
        <v>2688</v>
      </c>
      <c r="B327" s="2" t="s">
        <v>27</v>
      </c>
      <c r="C327" s="2" t="s">
        <v>28</v>
      </c>
      <c r="D327" s="2" t="s">
        <v>97</v>
      </c>
      <c r="E327" s="2" t="s">
        <v>1884</v>
      </c>
      <c r="F327" s="2" t="s">
        <v>99</v>
      </c>
      <c r="G327" s="2" t="s">
        <v>32</v>
      </c>
      <c r="H327" s="1"/>
      <c r="I327" s="2" t="s">
        <v>33</v>
      </c>
      <c r="J327" s="2" t="s">
        <v>34</v>
      </c>
      <c r="K327" s="2" t="s">
        <v>2689</v>
      </c>
      <c r="L327" s="2" t="s">
        <v>2690</v>
      </c>
      <c r="M327" s="2" t="s">
        <v>2680</v>
      </c>
      <c r="N327" s="2" t="s">
        <v>38</v>
      </c>
      <c r="O327" s="2" t="s">
        <v>159</v>
      </c>
      <c r="P327" s="2" t="s">
        <v>2691</v>
      </c>
      <c r="Q327" s="2" t="s">
        <v>2692</v>
      </c>
      <c r="R327" s="2" t="s">
        <v>40</v>
      </c>
      <c r="S327" s="2" t="s">
        <v>2693</v>
      </c>
      <c r="T327" s="2" t="s">
        <v>2694</v>
      </c>
      <c r="U327" s="2" t="s">
        <v>2695</v>
      </c>
      <c r="V327" s="2" t="s">
        <v>2696</v>
      </c>
      <c r="W327" s="1"/>
      <c r="X327" s="2" t="s">
        <v>2697</v>
      </c>
      <c r="Y327" s="2" t="s">
        <v>2148</v>
      </c>
      <c r="AA327" t="str">
        <f t="shared" si="30"/>
        <v>2026-06</v>
      </c>
      <c r="AB327" t="str">
        <f t="shared" si="31"/>
        <v>H1_2026</v>
      </c>
      <c r="AC327">
        <f t="shared" si="32"/>
        <v>533052.48</v>
      </c>
      <c r="AD327">
        <f t="shared" si="33"/>
        <v>80</v>
      </c>
      <c r="AE327">
        <f t="shared" si="34"/>
        <v>216252.48</v>
      </c>
      <c r="AF327" t="str">
        <f t="shared" si="35"/>
        <v>Paid</v>
      </c>
    </row>
    <row r="328" spans="1:32" ht="17.25" thickBot="1" x14ac:dyDescent="0.35">
      <c r="A328" s="2" t="s">
        <v>2698</v>
      </c>
      <c r="B328" s="2" t="s">
        <v>27</v>
      </c>
      <c r="C328" s="2" t="s">
        <v>28</v>
      </c>
      <c r="D328" s="2" t="s">
        <v>97</v>
      </c>
      <c r="E328" s="2" t="s">
        <v>1884</v>
      </c>
      <c r="F328" s="2" t="s">
        <v>99</v>
      </c>
      <c r="G328" s="2" t="s">
        <v>32</v>
      </c>
      <c r="H328" s="1"/>
      <c r="I328" s="2" t="s">
        <v>33</v>
      </c>
      <c r="J328" s="2" t="s">
        <v>34</v>
      </c>
      <c r="K328" s="2" t="s">
        <v>2699</v>
      </c>
      <c r="L328" s="2" t="s">
        <v>2700</v>
      </c>
      <c r="M328" s="2" t="s">
        <v>2680</v>
      </c>
      <c r="N328" s="2" t="s">
        <v>38</v>
      </c>
      <c r="O328" s="2" t="s">
        <v>156</v>
      </c>
      <c r="P328" s="2" t="s">
        <v>2588</v>
      </c>
      <c r="Q328" s="2" t="s">
        <v>2701</v>
      </c>
      <c r="R328" s="2" t="s">
        <v>40</v>
      </c>
      <c r="S328" s="2" t="s">
        <v>2702</v>
      </c>
      <c r="T328" s="2" t="s">
        <v>2703</v>
      </c>
      <c r="U328" s="2" t="s">
        <v>2704</v>
      </c>
      <c r="V328" s="2" t="s">
        <v>2705</v>
      </c>
      <c r="W328" s="1"/>
      <c r="X328" s="2" t="s">
        <v>2706</v>
      </c>
      <c r="Y328" s="2" t="s">
        <v>2148</v>
      </c>
      <c r="AA328" t="str">
        <f t="shared" si="30"/>
        <v>2026-06</v>
      </c>
      <c r="AB328" t="str">
        <f t="shared" si="31"/>
        <v>H1_2026</v>
      </c>
      <c r="AC328">
        <f t="shared" si="32"/>
        <v>142680</v>
      </c>
      <c r="AD328">
        <f t="shared" si="33"/>
        <v>20</v>
      </c>
      <c r="AE328">
        <f t="shared" si="34"/>
        <v>56880</v>
      </c>
      <c r="AF328" t="str">
        <f t="shared" si="35"/>
        <v>Paid</v>
      </c>
    </row>
    <row r="329" spans="1:32" ht="17.25" thickBot="1" x14ac:dyDescent="0.35">
      <c r="A329" s="2" t="s">
        <v>2707</v>
      </c>
      <c r="B329" s="2" t="s">
        <v>27</v>
      </c>
      <c r="C329" s="2" t="s">
        <v>28</v>
      </c>
      <c r="D329" s="2" t="s">
        <v>97</v>
      </c>
      <c r="E329" s="2" t="s">
        <v>1884</v>
      </c>
      <c r="F329" s="2" t="s">
        <v>99</v>
      </c>
      <c r="G329" s="2" t="s">
        <v>32</v>
      </c>
      <c r="H329" s="1"/>
      <c r="I329" s="2" t="s">
        <v>33</v>
      </c>
      <c r="J329" s="2" t="s">
        <v>34</v>
      </c>
      <c r="K329" s="2" t="s">
        <v>2708</v>
      </c>
      <c r="L329" s="2" t="s">
        <v>2709</v>
      </c>
      <c r="M329" s="2" t="s">
        <v>2710</v>
      </c>
      <c r="N329" s="2" t="s">
        <v>38</v>
      </c>
      <c r="O329" s="2" t="s">
        <v>51</v>
      </c>
      <c r="P329" s="2" t="s">
        <v>2711</v>
      </c>
      <c r="Q329" s="2" t="s">
        <v>2712</v>
      </c>
      <c r="R329" s="2" t="s">
        <v>40</v>
      </c>
      <c r="S329" s="2" t="s">
        <v>2713</v>
      </c>
      <c r="T329" s="2" t="s">
        <v>2714</v>
      </c>
      <c r="U329" s="2" t="s">
        <v>2715</v>
      </c>
      <c r="V329" s="2" t="s">
        <v>2716</v>
      </c>
      <c r="W329" s="1"/>
      <c r="X329" s="2" t="s">
        <v>1375</v>
      </c>
      <c r="Y329" s="2" t="s">
        <v>2148</v>
      </c>
      <c r="AA329" t="str">
        <f t="shared" si="30"/>
        <v>2026-06</v>
      </c>
      <c r="AB329" t="str">
        <f t="shared" si="31"/>
        <v>H1_2026</v>
      </c>
      <c r="AC329">
        <f t="shared" si="32"/>
        <v>21102.37</v>
      </c>
      <c r="AD329">
        <f t="shared" si="33"/>
        <v>3</v>
      </c>
      <c r="AE329">
        <f t="shared" si="34"/>
        <v>5284.19</v>
      </c>
      <c r="AF329" t="str">
        <f t="shared" si="35"/>
        <v>Paid</v>
      </c>
    </row>
    <row r="330" spans="1:32" ht="17.25" thickBot="1" x14ac:dyDescent="0.35">
      <c r="A330" s="2" t="s">
        <v>2717</v>
      </c>
      <c r="B330" s="2" t="s">
        <v>27</v>
      </c>
      <c r="C330" s="2" t="s">
        <v>28</v>
      </c>
      <c r="D330" s="2" t="s">
        <v>97</v>
      </c>
      <c r="E330" s="2" t="s">
        <v>1884</v>
      </c>
      <c r="F330" s="2" t="s">
        <v>99</v>
      </c>
      <c r="G330" s="2" t="s">
        <v>32</v>
      </c>
      <c r="H330" s="1"/>
      <c r="I330" s="2" t="s">
        <v>33</v>
      </c>
      <c r="J330" s="2" t="s">
        <v>34</v>
      </c>
      <c r="K330" s="2" t="s">
        <v>2718</v>
      </c>
      <c r="L330" s="2" t="s">
        <v>2719</v>
      </c>
      <c r="M330" s="2" t="s">
        <v>2710</v>
      </c>
      <c r="N330" s="2" t="s">
        <v>38</v>
      </c>
      <c r="O330" s="2" t="s">
        <v>797</v>
      </c>
      <c r="P330" s="2" t="s">
        <v>2720</v>
      </c>
      <c r="Q330" s="2" t="s">
        <v>2721</v>
      </c>
      <c r="R330" s="2" t="s">
        <v>40</v>
      </c>
      <c r="S330" s="2" t="s">
        <v>2722</v>
      </c>
      <c r="T330" s="2" t="s">
        <v>2723</v>
      </c>
      <c r="U330" s="2" t="s">
        <v>2724</v>
      </c>
      <c r="V330" s="2" t="s">
        <v>2725</v>
      </c>
      <c r="W330" s="1"/>
      <c r="X330" s="2" t="s">
        <v>2278</v>
      </c>
      <c r="Y330" s="2" t="s">
        <v>2148</v>
      </c>
      <c r="AA330" t="str">
        <f t="shared" si="30"/>
        <v>2026-06</v>
      </c>
      <c r="AB330" t="str">
        <f t="shared" si="31"/>
        <v>H1_2026</v>
      </c>
      <c r="AC330">
        <f t="shared" si="32"/>
        <v>920171.86</v>
      </c>
      <c r="AD330">
        <f t="shared" si="33"/>
        <v>92</v>
      </c>
      <c r="AE330">
        <f t="shared" si="34"/>
        <v>175808.23</v>
      </c>
      <c r="AF330" t="str">
        <f t="shared" si="35"/>
        <v>Paid</v>
      </c>
    </row>
    <row r="331" spans="1:32" ht="17.25" thickBot="1" x14ac:dyDescent="0.35">
      <c r="A331" s="2" t="s">
        <v>2726</v>
      </c>
      <c r="B331" s="2" t="s">
        <v>27</v>
      </c>
      <c r="C331" s="2" t="s">
        <v>28</v>
      </c>
      <c r="D331" s="2" t="s">
        <v>97</v>
      </c>
      <c r="E331" s="2" t="s">
        <v>1884</v>
      </c>
      <c r="F331" s="2" t="s">
        <v>99</v>
      </c>
      <c r="G331" s="2" t="s">
        <v>32</v>
      </c>
      <c r="H331" s="1"/>
      <c r="I331" s="2" t="s">
        <v>33</v>
      </c>
      <c r="J331" s="2" t="s">
        <v>34</v>
      </c>
      <c r="K331" s="2" t="s">
        <v>2727</v>
      </c>
      <c r="L331" s="2" t="s">
        <v>2728</v>
      </c>
      <c r="M331" s="2" t="s">
        <v>2710</v>
      </c>
      <c r="N331" s="2" t="s">
        <v>38</v>
      </c>
      <c r="O331" s="2" t="s">
        <v>945</v>
      </c>
      <c r="P331" s="2" t="s">
        <v>2720</v>
      </c>
      <c r="Q331" s="2" t="s">
        <v>2729</v>
      </c>
      <c r="R331" s="2" t="s">
        <v>40</v>
      </c>
      <c r="S331" s="2" t="s">
        <v>2730</v>
      </c>
      <c r="T331" s="2" t="s">
        <v>2723</v>
      </c>
      <c r="U331" s="2" t="s">
        <v>2731</v>
      </c>
      <c r="V331" s="2" t="s">
        <v>2732</v>
      </c>
      <c r="W331" s="1"/>
      <c r="X331" s="2" t="s">
        <v>2278</v>
      </c>
      <c r="Y331" s="2" t="s">
        <v>2148</v>
      </c>
      <c r="AA331" t="str">
        <f t="shared" si="30"/>
        <v>2026-06</v>
      </c>
      <c r="AB331" t="str">
        <f t="shared" si="31"/>
        <v>H1_2026</v>
      </c>
      <c r="AC331">
        <f t="shared" si="32"/>
        <v>1070199.8799999999</v>
      </c>
      <c r="AD331">
        <f t="shared" si="33"/>
        <v>107</v>
      </c>
      <c r="AE331">
        <f t="shared" si="34"/>
        <v>204472.61</v>
      </c>
      <c r="AF331" t="str">
        <f t="shared" si="35"/>
        <v>Paid</v>
      </c>
    </row>
    <row r="332" spans="1:32" ht="17.25" thickBot="1" x14ac:dyDescent="0.35">
      <c r="A332" s="2" t="s">
        <v>890</v>
      </c>
      <c r="B332" s="2" t="s">
        <v>27</v>
      </c>
      <c r="C332" s="2" t="s">
        <v>28</v>
      </c>
      <c r="D332" s="2" t="s">
        <v>97</v>
      </c>
      <c r="E332" s="2" t="s">
        <v>1884</v>
      </c>
      <c r="F332" s="2" t="s">
        <v>99</v>
      </c>
      <c r="G332" s="2" t="s">
        <v>32</v>
      </c>
      <c r="H332" s="1"/>
      <c r="I332" s="2" t="s">
        <v>33</v>
      </c>
      <c r="J332" s="2" t="s">
        <v>34</v>
      </c>
      <c r="K332" s="2" t="s">
        <v>2733</v>
      </c>
      <c r="L332" s="2" t="s">
        <v>2734</v>
      </c>
      <c r="M332" s="2" t="s">
        <v>2710</v>
      </c>
      <c r="N332" s="2" t="s">
        <v>38</v>
      </c>
      <c r="O332" s="2" t="s">
        <v>214</v>
      </c>
      <c r="P332" s="2" t="s">
        <v>2735</v>
      </c>
      <c r="Q332" s="2" t="s">
        <v>2736</v>
      </c>
      <c r="R332" s="2" t="s">
        <v>40</v>
      </c>
      <c r="S332" s="2" t="s">
        <v>2737</v>
      </c>
      <c r="T332" s="2" t="s">
        <v>2738</v>
      </c>
      <c r="U332" s="2" t="s">
        <v>2739</v>
      </c>
      <c r="V332" s="2" t="s">
        <v>2740</v>
      </c>
      <c r="W332" s="1"/>
      <c r="X332" s="2" t="s">
        <v>934</v>
      </c>
      <c r="Y332" s="2" t="s">
        <v>2148</v>
      </c>
      <c r="AA332" t="str">
        <f t="shared" si="30"/>
        <v>2026-06</v>
      </c>
      <c r="AB332" t="str">
        <f t="shared" si="31"/>
        <v>H1_2026</v>
      </c>
      <c r="AC332">
        <f t="shared" si="32"/>
        <v>704839.2</v>
      </c>
      <c r="AD332">
        <f t="shared" si="33"/>
        <v>50</v>
      </c>
      <c r="AE332">
        <f t="shared" si="34"/>
        <v>173021.02</v>
      </c>
      <c r="AF332" t="str">
        <f t="shared" si="35"/>
        <v>Paid</v>
      </c>
    </row>
    <row r="333" spans="1:32" ht="27.75" thickBot="1" x14ac:dyDescent="0.35">
      <c r="A333" s="2" t="s">
        <v>2741</v>
      </c>
      <c r="B333" s="2" t="s">
        <v>27</v>
      </c>
      <c r="C333" s="2" t="s">
        <v>28</v>
      </c>
      <c r="D333" s="2" t="s">
        <v>97</v>
      </c>
      <c r="E333" s="2" t="s">
        <v>1884</v>
      </c>
      <c r="F333" s="2" t="s">
        <v>99</v>
      </c>
      <c r="G333" s="2" t="s">
        <v>32</v>
      </c>
      <c r="H333" s="1"/>
      <c r="I333" s="2" t="s">
        <v>33</v>
      </c>
      <c r="J333" s="2" t="s">
        <v>34</v>
      </c>
      <c r="K333" s="2" t="s">
        <v>2742</v>
      </c>
      <c r="L333" s="2" t="s">
        <v>2743</v>
      </c>
      <c r="M333" s="2" t="s">
        <v>2710</v>
      </c>
      <c r="N333" s="2" t="s">
        <v>38</v>
      </c>
      <c r="O333" s="2" t="s">
        <v>500</v>
      </c>
      <c r="P333" s="2" t="s">
        <v>2744</v>
      </c>
      <c r="Q333" s="2" t="s">
        <v>2745</v>
      </c>
      <c r="R333" s="2" t="s">
        <v>40</v>
      </c>
      <c r="S333" s="2" t="s">
        <v>2746</v>
      </c>
      <c r="T333" s="2" t="s">
        <v>2747</v>
      </c>
      <c r="U333" s="2" t="s">
        <v>2748</v>
      </c>
      <c r="V333" s="2" t="s">
        <v>2749</v>
      </c>
      <c r="W333" s="1"/>
      <c r="X333" s="2" t="s">
        <v>1375</v>
      </c>
      <c r="Y333" s="2" t="s">
        <v>2148</v>
      </c>
      <c r="AA333" t="str">
        <f t="shared" si="30"/>
        <v>2026-06</v>
      </c>
      <c r="AB333" t="str">
        <f t="shared" si="31"/>
        <v>H1_2026</v>
      </c>
      <c r="AC333">
        <f t="shared" si="32"/>
        <v>344258.3</v>
      </c>
      <c r="AD333">
        <f t="shared" si="33"/>
        <v>58</v>
      </c>
      <c r="AE333">
        <f t="shared" si="34"/>
        <v>85894.67</v>
      </c>
      <c r="AF333" t="str">
        <f t="shared" si="35"/>
        <v>Paid</v>
      </c>
    </row>
    <row r="334" spans="1:32" ht="27.75" thickBot="1" x14ac:dyDescent="0.35">
      <c r="A334" s="2" t="s">
        <v>2750</v>
      </c>
      <c r="B334" s="2" t="s">
        <v>27</v>
      </c>
      <c r="C334" s="2" t="s">
        <v>28</v>
      </c>
      <c r="D334" s="2" t="s">
        <v>97</v>
      </c>
      <c r="E334" s="2" t="s">
        <v>1884</v>
      </c>
      <c r="F334" s="2" t="s">
        <v>99</v>
      </c>
      <c r="G334" s="2" t="s">
        <v>32</v>
      </c>
      <c r="H334" s="1"/>
      <c r="I334" s="2" t="s">
        <v>33</v>
      </c>
      <c r="J334" s="2" t="s">
        <v>34</v>
      </c>
      <c r="K334" s="2" t="s">
        <v>2751</v>
      </c>
      <c r="L334" s="2" t="s">
        <v>2752</v>
      </c>
      <c r="M334" s="2" t="s">
        <v>70</v>
      </c>
      <c r="N334" s="2" t="s">
        <v>38</v>
      </c>
      <c r="O334" s="2" t="s">
        <v>1904</v>
      </c>
      <c r="P334" s="2" t="s">
        <v>2711</v>
      </c>
      <c r="Q334" s="2" t="s">
        <v>2753</v>
      </c>
      <c r="R334" s="2" t="s">
        <v>40</v>
      </c>
      <c r="S334" s="2" t="s">
        <v>2754</v>
      </c>
      <c r="T334" s="2" t="s">
        <v>2755</v>
      </c>
      <c r="U334" s="2" t="s">
        <v>2756</v>
      </c>
      <c r="V334" s="2" t="s">
        <v>2757</v>
      </c>
      <c r="W334" s="1"/>
      <c r="X334" s="2" t="s">
        <v>2198</v>
      </c>
      <c r="Y334" s="2" t="s">
        <v>2148</v>
      </c>
      <c r="AA334" t="str">
        <f t="shared" si="30"/>
        <v>2026-06</v>
      </c>
      <c r="AB334" t="str">
        <f t="shared" si="31"/>
        <v>H1_2026</v>
      </c>
      <c r="AC334">
        <f t="shared" si="32"/>
        <v>1617848.52</v>
      </c>
      <c r="AD334">
        <f t="shared" si="33"/>
        <v>230</v>
      </c>
      <c r="AE334">
        <f t="shared" si="34"/>
        <v>306848.52</v>
      </c>
      <c r="AF334" t="str">
        <f t="shared" si="35"/>
        <v>Paid</v>
      </c>
    </row>
    <row r="335" spans="1:32" ht="27.75" thickBot="1" x14ac:dyDescent="0.35">
      <c r="A335" s="2" t="s">
        <v>2758</v>
      </c>
      <c r="B335" s="2" t="s">
        <v>27</v>
      </c>
      <c r="C335" s="2" t="s">
        <v>28</v>
      </c>
      <c r="D335" s="2" t="s">
        <v>97</v>
      </c>
      <c r="E335" s="2" t="s">
        <v>1884</v>
      </c>
      <c r="F335" s="2" t="s">
        <v>99</v>
      </c>
      <c r="G335" s="2" t="s">
        <v>32</v>
      </c>
      <c r="H335" s="1"/>
      <c r="I335" s="2" t="s">
        <v>33</v>
      </c>
      <c r="J335" s="2" t="s">
        <v>34</v>
      </c>
      <c r="K335" s="2" t="s">
        <v>2759</v>
      </c>
      <c r="L335" s="2" t="s">
        <v>2760</v>
      </c>
      <c r="M335" s="2" t="s">
        <v>70</v>
      </c>
      <c r="N335" s="2" t="s">
        <v>38</v>
      </c>
      <c r="O335" s="2" t="s">
        <v>316</v>
      </c>
      <c r="P335" s="2" t="s">
        <v>2711</v>
      </c>
      <c r="Q335" s="2" t="s">
        <v>2761</v>
      </c>
      <c r="R335" s="2" t="s">
        <v>40</v>
      </c>
      <c r="S335" s="2" t="s">
        <v>2762</v>
      </c>
      <c r="T335" s="2" t="s">
        <v>2755</v>
      </c>
      <c r="U335" s="2" t="s">
        <v>2763</v>
      </c>
      <c r="V335" s="2" t="s">
        <v>2764</v>
      </c>
      <c r="W335" s="1"/>
      <c r="X335" s="2" t="s">
        <v>2198</v>
      </c>
      <c r="Y335" s="2" t="s">
        <v>2148</v>
      </c>
      <c r="AA335" t="str">
        <f t="shared" si="30"/>
        <v>2026-06</v>
      </c>
      <c r="AB335" t="str">
        <f t="shared" si="31"/>
        <v>H1_2026</v>
      </c>
      <c r="AC335">
        <f t="shared" si="32"/>
        <v>2039895.96</v>
      </c>
      <c r="AD335">
        <f t="shared" si="33"/>
        <v>290</v>
      </c>
      <c r="AE335">
        <f t="shared" si="34"/>
        <v>386895.96</v>
      </c>
      <c r="AF335" t="str">
        <f t="shared" si="35"/>
        <v>Paid</v>
      </c>
    </row>
    <row r="336" spans="1:32" ht="27.75" thickBot="1" x14ac:dyDescent="0.35">
      <c r="A336" s="2" t="s">
        <v>2765</v>
      </c>
      <c r="B336" s="2" t="s">
        <v>27</v>
      </c>
      <c r="C336" s="2" t="s">
        <v>28</v>
      </c>
      <c r="D336" s="2" t="s">
        <v>97</v>
      </c>
      <c r="E336" s="2" t="s">
        <v>1884</v>
      </c>
      <c r="F336" s="2" t="s">
        <v>99</v>
      </c>
      <c r="G336" s="2" t="s">
        <v>32</v>
      </c>
      <c r="H336" s="1"/>
      <c r="I336" s="2" t="s">
        <v>33</v>
      </c>
      <c r="J336" s="2" t="s">
        <v>34</v>
      </c>
      <c r="K336" s="2" t="s">
        <v>2766</v>
      </c>
      <c r="L336" s="2" t="s">
        <v>2767</v>
      </c>
      <c r="M336" s="2" t="s">
        <v>70</v>
      </c>
      <c r="N336" s="2" t="s">
        <v>38</v>
      </c>
      <c r="O336" s="2" t="s">
        <v>645</v>
      </c>
      <c r="P336" s="2" t="s">
        <v>2711</v>
      </c>
      <c r="Q336" s="2" t="s">
        <v>2768</v>
      </c>
      <c r="R336" s="2" t="s">
        <v>40</v>
      </c>
      <c r="S336" s="2" t="s">
        <v>2769</v>
      </c>
      <c r="T336" s="2" t="s">
        <v>2755</v>
      </c>
      <c r="U336" s="2" t="s">
        <v>2770</v>
      </c>
      <c r="V336" s="2" t="s">
        <v>2771</v>
      </c>
      <c r="W336" s="1"/>
      <c r="X336" s="2" t="s">
        <v>2198</v>
      </c>
      <c r="Y336" s="2" t="s">
        <v>2148</v>
      </c>
      <c r="AA336" t="str">
        <f t="shared" si="30"/>
        <v>2026-06</v>
      </c>
      <c r="AB336" t="str">
        <f t="shared" si="31"/>
        <v>H1_2026</v>
      </c>
      <c r="AC336">
        <f t="shared" si="32"/>
        <v>1195801.08</v>
      </c>
      <c r="AD336">
        <f t="shared" si="33"/>
        <v>170</v>
      </c>
      <c r="AE336">
        <f t="shared" si="34"/>
        <v>226801.08</v>
      </c>
      <c r="AF336" t="str">
        <f t="shared" si="35"/>
        <v>Paid</v>
      </c>
    </row>
    <row r="337" spans="1:32" ht="17.25" thickBot="1" x14ac:dyDescent="0.35">
      <c r="A337" s="2" t="s">
        <v>2772</v>
      </c>
      <c r="B337" s="2" t="s">
        <v>27</v>
      </c>
      <c r="C337" s="2" t="s">
        <v>28</v>
      </c>
      <c r="D337" s="2" t="s">
        <v>97</v>
      </c>
      <c r="E337" s="2" t="s">
        <v>1884</v>
      </c>
      <c r="F337" s="2" t="s">
        <v>99</v>
      </c>
      <c r="G337" s="2" t="s">
        <v>32</v>
      </c>
      <c r="H337" s="1"/>
      <c r="I337" s="2" t="s">
        <v>33</v>
      </c>
      <c r="J337" s="2" t="s">
        <v>34</v>
      </c>
      <c r="K337" s="2" t="s">
        <v>2773</v>
      </c>
      <c r="L337" s="2" t="s">
        <v>2774</v>
      </c>
      <c r="M337" s="2" t="s">
        <v>70</v>
      </c>
      <c r="N337" s="2" t="s">
        <v>38</v>
      </c>
      <c r="O337" s="2" t="s">
        <v>131</v>
      </c>
      <c r="P337" s="2" t="s">
        <v>2775</v>
      </c>
      <c r="Q337" s="2" t="s">
        <v>2776</v>
      </c>
      <c r="R337" s="2" t="s">
        <v>40</v>
      </c>
      <c r="S337" s="2" t="s">
        <v>2777</v>
      </c>
      <c r="T337" s="2" t="s">
        <v>2778</v>
      </c>
      <c r="U337" s="2" t="s">
        <v>2779</v>
      </c>
      <c r="V337" s="2" t="s">
        <v>2780</v>
      </c>
      <c r="W337" s="1"/>
      <c r="X337" s="2" t="s">
        <v>2781</v>
      </c>
      <c r="Y337" s="2" t="s">
        <v>2148</v>
      </c>
      <c r="AA337" t="str">
        <f t="shared" si="30"/>
        <v>2026-06</v>
      </c>
      <c r="AB337" t="str">
        <f t="shared" si="31"/>
        <v>H1_2026</v>
      </c>
      <c r="AC337">
        <f t="shared" si="32"/>
        <v>187196.16</v>
      </c>
      <c r="AD337">
        <f t="shared" si="33"/>
        <v>40</v>
      </c>
      <c r="AE337">
        <f t="shared" si="34"/>
        <v>38832.519999999997</v>
      </c>
      <c r="AF337" t="str">
        <f t="shared" si="35"/>
        <v>Paid</v>
      </c>
    </row>
    <row r="338" spans="1:32" ht="17.25" thickBot="1" x14ac:dyDescent="0.35">
      <c r="A338" s="2" t="s">
        <v>2004</v>
      </c>
      <c r="B338" s="2" t="s">
        <v>27</v>
      </c>
      <c r="C338" s="2" t="s">
        <v>28</v>
      </c>
      <c r="D338" s="2" t="s">
        <v>97</v>
      </c>
      <c r="E338" s="2" t="s">
        <v>1884</v>
      </c>
      <c r="F338" s="2" t="s">
        <v>99</v>
      </c>
      <c r="G338" s="2" t="s">
        <v>32</v>
      </c>
      <c r="H338" s="1"/>
      <c r="I338" s="2" t="s">
        <v>33</v>
      </c>
      <c r="J338" s="2" t="s">
        <v>34</v>
      </c>
      <c r="K338" s="2" t="s">
        <v>2782</v>
      </c>
      <c r="L338" s="2" t="s">
        <v>2783</v>
      </c>
      <c r="M338" s="2" t="s">
        <v>70</v>
      </c>
      <c r="N338" s="2" t="s">
        <v>38</v>
      </c>
      <c r="O338" s="2" t="s">
        <v>1878</v>
      </c>
      <c r="P338" s="2" t="s">
        <v>2775</v>
      </c>
      <c r="Q338" s="2" t="s">
        <v>2784</v>
      </c>
      <c r="R338" s="2" t="s">
        <v>40</v>
      </c>
      <c r="S338" s="2" t="s">
        <v>2785</v>
      </c>
      <c r="T338" s="2" t="s">
        <v>2778</v>
      </c>
      <c r="U338" s="2" t="s">
        <v>2786</v>
      </c>
      <c r="V338" s="2" t="s">
        <v>2787</v>
      </c>
      <c r="W338" s="1"/>
      <c r="X338" s="2" t="s">
        <v>2781</v>
      </c>
      <c r="Y338" s="2" t="s">
        <v>2148</v>
      </c>
      <c r="AA338" t="str">
        <f t="shared" si="30"/>
        <v>2026-06</v>
      </c>
      <c r="AB338" t="str">
        <f t="shared" si="31"/>
        <v>H1_2026</v>
      </c>
      <c r="AC338">
        <f t="shared" si="32"/>
        <v>1062338.21</v>
      </c>
      <c r="AD338">
        <f t="shared" si="33"/>
        <v>227</v>
      </c>
      <c r="AE338">
        <f t="shared" si="34"/>
        <v>220374.57</v>
      </c>
      <c r="AF338" t="str">
        <f t="shared" si="35"/>
        <v>Paid</v>
      </c>
    </row>
    <row r="339" spans="1:32" ht="17.25" thickBot="1" x14ac:dyDescent="0.35">
      <c r="A339" s="2" t="s">
        <v>2788</v>
      </c>
      <c r="B339" s="2" t="s">
        <v>27</v>
      </c>
      <c r="C339" s="2" t="s">
        <v>28</v>
      </c>
      <c r="D339" s="2" t="s">
        <v>97</v>
      </c>
      <c r="E339" s="2" t="s">
        <v>1884</v>
      </c>
      <c r="F339" s="2" t="s">
        <v>99</v>
      </c>
      <c r="G339" s="2" t="s">
        <v>32</v>
      </c>
      <c r="H339" s="1"/>
      <c r="I339" s="2" t="s">
        <v>33</v>
      </c>
      <c r="J339" s="2" t="s">
        <v>34</v>
      </c>
      <c r="K339" s="2" t="s">
        <v>2789</v>
      </c>
      <c r="L339" s="2" t="s">
        <v>2790</v>
      </c>
      <c r="M339" s="2" t="s">
        <v>70</v>
      </c>
      <c r="N339" s="2" t="s">
        <v>38</v>
      </c>
      <c r="O339" s="2" t="s">
        <v>990</v>
      </c>
      <c r="P339" s="2" t="s">
        <v>2791</v>
      </c>
      <c r="Q339" s="2" t="s">
        <v>2792</v>
      </c>
      <c r="R339" s="2" t="s">
        <v>40</v>
      </c>
      <c r="S339" s="2" t="s">
        <v>2793</v>
      </c>
      <c r="T339" s="2" t="s">
        <v>2794</v>
      </c>
      <c r="U339" s="2" t="s">
        <v>2795</v>
      </c>
      <c r="V339" s="2" t="s">
        <v>2796</v>
      </c>
      <c r="W339" s="1"/>
      <c r="X339" s="2" t="s">
        <v>2797</v>
      </c>
      <c r="Y339" s="2" t="s">
        <v>2148</v>
      </c>
      <c r="AA339" t="str">
        <f t="shared" si="30"/>
        <v>2026-06</v>
      </c>
      <c r="AB339" t="str">
        <f t="shared" si="31"/>
        <v>H1_2026</v>
      </c>
      <c r="AC339">
        <f t="shared" si="32"/>
        <v>15909390.720000001</v>
      </c>
      <c r="AD339">
        <f t="shared" si="33"/>
        <v>1840</v>
      </c>
      <c r="AE339">
        <f t="shared" si="34"/>
        <v>3263572.67</v>
      </c>
      <c r="AF339" t="str">
        <f t="shared" si="35"/>
        <v>Paid</v>
      </c>
    </row>
    <row r="340" spans="1:32" ht="27.75" thickBot="1" x14ac:dyDescent="0.35">
      <c r="A340" s="2" t="s">
        <v>2798</v>
      </c>
      <c r="B340" s="2" t="s">
        <v>27</v>
      </c>
      <c r="C340" s="2" t="s">
        <v>28</v>
      </c>
      <c r="D340" s="2" t="s">
        <v>97</v>
      </c>
      <c r="E340" s="2" t="s">
        <v>1884</v>
      </c>
      <c r="F340" s="2" t="s">
        <v>99</v>
      </c>
      <c r="G340" s="2" t="s">
        <v>32</v>
      </c>
      <c r="H340" s="1"/>
      <c r="I340" s="2" t="s">
        <v>33</v>
      </c>
      <c r="J340" s="2" t="s">
        <v>34</v>
      </c>
      <c r="K340" s="2" t="s">
        <v>2799</v>
      </c>
      <c r="L340" s="2" t="s">
        <v>2800</v>
      </c>
      <c r="M340" s="2" t="s">
        <v>70</v>
      </c>
      <c r="N340" s="2" t="s">
        <v>38</v>
      </c>
      <c r="O340" s="2" t="s">
        <v>1150</v>
      </c>
      <c r="P340" s="2" t="s">
        <v>2801</v>
      </c>
      <c r="Q340" s="2" t="s">
        <v>2802</v>
      </c>
      <c r="R340" s="2" t="s">
        <v>40</v>
      </c>
      <c r="S340" s="2" t="s">
        <v>2803</v>
      </c>
      <c r="T340" s="2" t="s">
        <v>2383</v>
      </c>
      <c r="U340" s="2" t="s">
        <v>2804</v>
      </c>
      <c r="V340" s="2" t="s">
        <v>2805</v>
      </c>
      <c r="W340" s="1"/>
      <c r="X340" s="2" t="s">
        <v>2806</v>
      </c>
      <c r="Y340" s="2" t="s">
        <v>2148</v>
      </c>
      <c r="AA340" t="str">
        <f t="shared" si="30"/>
        <v>2026-06</v>
      </c>
      <c r="AB340" t="str">
        <f t="shared" si="31"/>
        <v>H1_2026</v>
      </c>
      <c r="AC340">
        <f t="shared" si="32"/>
        <v>912581.28</v>
      </c>
      <c r="AD340">
        <f t="shared" si="33"/>
        <v>130</v>
      </c>
      <c r="AE340">
        <f t="shared" si="34"/>
        <v>274399.46000000002</v>
      </c>
      <c r="AF340" t="str">
        <f t="shared" si="35"/>
        <v>Paid</v>
      </c>
    </row>
    <row r="341" spans="1:32" ht="27.75" thickBot="1" x14ac:dyDescent="0.35">
      <c r="A341" s="2" t="s">
        <v>2807</v>
      </c>
      <c r="B341" s="2" t="s">
        <v>27</v>
      </c>
      <c r="C341" s="2" t="s">
        <v>28</v>
      </c>
      <c r="D341" s="2" t="s">
        <v>97</v>
      </c>
      <c r="E341" s="2" t="s">
        <v>1884</v>
      </c>
      <c r="F341" s="2" t="s">
        <v>99</v>
      </c>
      <c r="G341" s="2" t="s">
        <v>32</v>
      </c>
      <c r="H341" s="1"/>
      <c r="I341" s="2" t="s">
        <v>33</v>
      </c>
      <c r="J341" s="2" t="s">
        <v>34</v>
      </c>
      <c r="K341" s="2" t="s">
        <v>2808</v>
      </c>
      <c r="L341" s="2" t="s">
        <v>2809</v>
      </c>
      <c r="M341" s="2" t="s">
        <v>70</v>
      </c>
      <c r="N341" s="2" t="s">
        <v>38</v>
      </c>
      <c r="O341" s="2" t="s">
        <v>665</v>
      </c>
      <c r="P341" s="2" t="s">
        <v>2810</v>
      </c>
      <c r="Q341" s="2" t="s">
        <v>2811</v>
      </c>
      <c r="R341" s="2" t="s">
        <v>40</v>
      </c>
      <c r="S341" s="2" t="s">
        <v>2812</v>
      </c>
      <c r="T341" s="2" t="s">
        <v>2813</v>
      </c>
      <c r="U341" s="2" t="s">
        <v>2814</v>
      </c>
      <c r="V341" s="2" t="s">
        <v>2815</v>
      </c>
      <c r="W341" s="1"/>
      <c r="X341" s="2" t="s">
        <v>651</v>
      </c>
      <c r="Y341" s="2" t="s">
        <v>2148</v>
      </c>
      <c r="AA341" t="str">
        <f t="shared" si="30"/>
        <v>2026-06</v>
      </c>
      <c r="AB341" t="str">
        <f t="shared" si="31"/>
        <v>H1_2026</v>
      </c>
      <c r="AC341">
        <f t="shared" si="32"/>
        <v>1117612.44</v>
      </c>
      <c r="AD341">
        <f t="shared" si="33"/>
        <v>210</v>
      </c>
      <c r="AE341">
        <f t="shared" si="34"/>
        <v>342521.55</v>
      </c>
      <c r="AF341" t="str">
        <f t="shared" si="35"/>
        <v>Paid</v>
      </c>
    </row>
    <row r="342" spans="1:32" ht="27.75" thickBot="1" x14ac:dyDescent="0.35">
      <c r="A342" s="2" t="s">
        <v>2816</v>
      </c>
      <c r="B342" s="2" t="s">
        <v>27</v>
      </c>
      <c r="C342" s="2" t="s">
        <v>28</v>
      </c>
      <c r="D342" s="2" t="s">
        <v>97</v>
      </c>
      <c r="E342" s="2" t="s">
        <v>1884</v>
      </c>
      <c r="F342" s="2" t="s">
        <v>99</v>
      </c>
      <c r="G342" s="2" t="s">
        <v>32</v>
      </c>
      <c r="H342" s="1"/>
      <c r="I342" s="2" t="s">
        <v>33</v>
      </c>
      <c r="J342" s="2" t="s">
        <v>34</v>
      </c>
      <c r="K342" s="2" t="s">
        <v>2817</v>
      </c>
      <c r="L342" s="2" t="s">
        <v>2818</v>
      </c>
      <c r="M342" s="2" t="s">
        <v>70</v>
      </c>
      <c r="N342" s="2" t="s">
        <v>38</v>
      </c>
      <c r="O342" s="2" t="s">
        <v>2819</v>
      </c>
      <c r="P342" s="2" t="s">
        <v>2810</v>
      </c>
      <c r="Q342" s="2" t="s">
        <v>2820</v>
      </c>
      <c r="R342" s="2" t="s">
        <v>40</v>
      </c>
      <c r="S342" s="2" t="s">
        <v>2821</v>
      </c>
      <c r="T342" s="2" t="s">
        <v>2822</v>
      </c>
      <c r="U342" s="2" t="s">
        <v>2823</v>
      </c>
      <c r="V342" s="2" t="s">
        <v>2824</v>
      </c>
      <c r="W342" s="1"/>
      <c r="X342" s="2" t="s">
        <v>955</v>
      </c>
      <c r="Y342" s="2" t="s">
        <v>2148</v>
      </c>
      <c r="AA342" t="str">
        <f t="shared" si="30"/>
        <v>2026-06</v>
      </c>
      <c r="AB342" t="str">
        <f t="shared" si="31"/>
        <v>H1_2026</v>
      </c>
      <c r="AC342">
        <f t="shared" si="32"/>
        <v>4044692.64</v>
      </c>
      <c r="AD342">
        <f t="shared" si="33"/>
        <v>760</v>
      </c>
      <c r="AE342">
        <f t="shared" si="34"/>
        <v>949419.97</v>
      </c>
      <c r="AF342" t="str">
        <f t="shared" si="35"/>
        <v>Paid</v>
      </c>
    </row>
    <row r="343" spans="1:32" ht="27.75" thickBot="1" x14ac:dyDescent="0.35">
      <c r="A343" s="2" t="s">
        <v>2825</v>
      </c>
      <c r="B343" s="2" t="s">
        <v>27</v>
      </c>
      <c r="C343" s="2" t="s">
        <v>28</v>
      </c>
      <c r="D343" s="2" t="s">
        <v>97</v>
      </c>
      <c r="E343" s="2" t="s">
        <v>1884</v>
      </c>
      <c r="F343" s="2" t="s">
        <v>99</v>
      </c>
      <c r="G343" s="2" t="s">
        <v>32</v>
      </c>
      <c r="H343" s="1"/>
      <c r="I343" s="2" t="s">
        <v>33</v>
      </c>
      <c r="J343" s="2" t="s">
        <v>34</v>
      </c>
      <c r="K343" s="2" t="s">
        <v>2826</v>
      </c>
      <c r="L343" s="2" t="s">
        <v>2827</v>
      </c>
      <c r="M343" s="2" t="s">
        <v>70</v>
      </c>
      <c r="N343" s="2" t="s">
        <v>38</v>
      </c>
      <c r="O343" s="2" t="s">
        <v>2828</v>
      </c>
      <c r="P343" s="2" t="s">
        <v>2829</v>
      </c>
      <c r="Q343" s="2" t="s">
        <v>2830</v>
      </c>
      <c r="R343" s="2" t="s">
        <v>40</v>
      </c>
      <c r="S343" s="2" t="s">
        <v>2831</v>
      </c>
      <c r="T343" s="2" t="s">
        <v>2832</v>
      </c>
      <c r="U343" s="2" t="s">
        <v>2833</v>
      </c>
      <c r="V343" s="2" t="s">
        <v>2834</v>
      </c>
      <c r="W343" s="1"/>
      <c r="X343" s="2" t="s">
        <v>2000</v>
      </c>
      <c r="Y343" s="2" t="s">
        <v>2148</v>
      </c>
      <c r="AA343" t="str">
        <f t="shared" si="30"/>
        <v>2026-06</v>
      </c>
      <c r="AB343" t="str">
        <f t="shared" si="31"/>
        <v>H1_2026</v>
      </c>
      <c r="AC343">
        <f t="shared" si="32"/>
        <v>3302613.96</v>
      </c>
      <c r="AD343">
        <f t="shared" si="33"/>
        <v>395</v>
      </c>
      <c r="AE343">
        <f t="shared" si="34"/>
        <v>656113.96</v>
      </c>
      <c r="AF343" t="str">
        <f t="shared" si="35"/>
        <v>Paid</v>
      </c>
    </row>
    <row r="344" spans="1:32" ht="17.25" thickBot="1" x14ac:dyDescent="0.35">
      <c r="A344" s="2" t="s">
        <v>2835</v>
      </c>
      <c r="B344" s="2" t="s">
        <v>27</v>
      </c>
      <c r="C344" s="2" t="s">
        <v>28</v>
      </c>
      <c r="D344" s="2" t="s">
        <v>97</v>
      </c>
      <c r="E344" s="2" t="s">
        <v>1884</v>
      </c>
      <c r="F344" s="2" t="s">
        <v>99</v>
      </c>
      <c r="G344" s="2" t="s">
        <v>32</v>
      </c>
      <c r="H344" s="1"/>
      <c r="I344" s="2" t="s">
        <v>33</v>
      </c>
      <c r="J344" s="2" t="s">
        <v>34</v>
      </c>
      <c r="K344" s="2" t="s">
        <v>2836</v>
      </c>
      <c r="L344" s="2" t="s">
        <v>2837</v>
      </c>
      <c r="M344" s="2" t="s">
        <v>70</v>
      </c>
      <c r="N344" s="2" t="s">
        <v>38</v>
      </c>
      <c r="O344" s="2" t="s">
        <v>159</v>
      </c>
      <c r="P344" s="2" t="s">
        <v>2838</v>
      </c>
      <c r="Q344" s="2" t="s">
        <v>1769</v>
      </c>
      <c r="R344" s="2" t="s">
        <v>40</v>
      </c>
      <c r="S344" s="2" t="s">
        <v>2839</v>
      </c>
      <c r="T344" s="2" t="s">
        <v>2840</v>
      </c>
      <c r="U344" s="2" t="s">
        <v>2841</v>
      </c>
      <c r="V344" s="2" t="s">
        <v>2842</v>
      </c>
      <c r="W344" s="1"/>
      <c r="X344" s="2" t="s">
        <v>2843</v>
      </c>
      <c r="Y344" s="2" t="s">
        <v>2148</v>
      </c>
      <c r="AA344" t="str">
        <f t="shared" si="30"/>
        <v>2026-06</v>
      </c>
      <c r="AB344" t="str">
        <f t="shared" si="31"/>
        <v>H1_2026</v>
      </c>
      <c r="AC344">
        <f t="shared" si="32"/>
        <v>979355.52</v>
      </c>
      <c r="AD344">
        <f t="shared" si="33"/>
        <v>80</v>
      </c>
      <c r="AE344">
        <f t="shared" si="34"/>
        <v>455719.16</v>
      </c>
      <c r="AF344" t="str">
        <f t="shared" si="35"/>
        <v>Paid</v>
      </c>
    </row>
    <row r="345" spans="1:32" ht="27.75" thickBot="1" x14ac:dyDescent="0.35">
      <c r="A345" s="2" t="s">
        <v>2844</v>
      </c>
      <c r="B345" s="2" t="s">
        <v>27</v>
      </c>
      <c r="C345" s="2" t="s">
        <v>28</v>
      </c>
      <c r="D345" s="2" t="s">
        <v>97</v>
      </c>
      <c r="E345" s="2" t="s">
        <v>1884</v>
      </c>
      <c r="F345" s="2" t="s">
        <v>99</v>
      </c>
      <c r="G345" s="2" t="s">
        <v>32</v>
      </c>
      <c r="H345" s="1"/>
      <c r="I345" s="2" t="s">
        <v>33</v>
      </c>
      <c r="J345" s="2" t="s">
        <v>34</v>
      </c>
      <c r="K345" s="2" t="s">
        <v>2845</v>
      </c>
      <c r="L345" s="2" t="s">
        <v>2846</v>
      </c>
      <c r="M345" s="2" t="s">
        <v>70</v>
      </c>
      <c r="N345" s="2" t="s">
        <v>38</v>
      </c>
      <c r="O345" s="2" t="s">
        <v>2847</v>
      </c>
      <c r="P345" s="2" t="s">
        <v>2848</v>
      </c>
      <c r="Q345" s="2" t="s">
        <v>2849</v>
      </c>
      <c r="R345" s="2" t="s">
        <v>40</v>
      </c>
      <c r="S345" s="2" t="s">
        <v>2850</v>
      </c>
      <c r="T345" s="2" t="s">
        <v>2851</v>
      </c>
      <c r="U345" s="2" t="s">
        <v>2852</v>
      </c>
      <c r="V345" s="2" t="s">
        <v>2853</v>
      </c>
      <c r="W345" s="1"/>
      <c r="X345" s="2" t="s">
        <v>955</v>
      </c>
      <c r="Y345" s="2" t="s">
        <v>2148</v>
      </c>
      <c r="AA345" t="str">
        <f t="shared" si="30"/>
        <v>2026-06</v>
      </c>
      <c r="AB345" t="str">
        <f t="shared" si="31"/>
        <v>H1_2026</v>
      </c>
      <c r="AC345">
        <f t="shared" si="32"/>
        <v>9886297.1999999993</v>
      </c>
      <c r="AD345">
        <f t="shared" si="33"/>
        <v>1300</v>
      </c>
      <c r="AE345">
        <f t="shared" si="34"/>
        <v>2322660.86</v>
      </c>
      <c r="AF345" t="str">
        <f t="shared" si="35"/>
        <v>Paid</v>
      </c>
    </row>
    <row r="346" spans="1:32" ht="17.25" thickBot="1" x14ac:dyDescent="0.35">
      <c r="A346" s="2" t="s">
        <v>2854</v>
      </c>
      <c r="B346" s="2" t="s">
        <v>27</v>
      </c>
      <c r="C346" s="2" t="s">
        <v>28</v>
      </c>
      <c r="D346" s="2" t="s">
        <v>97</v>
      </c>
      <c r="E346" s="2" t="s">
        <v>1884</v>
      </c>
      <c r="F346" s="2" t="s">
        <v>99</v>
      </c>
      <c r="G346" s="2" t="s">
        <v>32</v>
      </c>
      <c r="H346" s="1"/>
      <c r="I346" s="2" t="s">
        <v>33</v>
      </c>
      <c r="J346" s="2" t="s">
        <v>34</v>
      </c>
      <c r="K346" s="2" t="s">
        <v>2855</v>
      </c>
      <c r="L346" s="2" t="s">
        <v>2856</v>
      </c>
      <c r="M346" s="2" t="s">
        <v>70</v>
      </c>
      <c r="N346" s="2" t="s">
        <v>38</v>
      </c>
      <c r="O346" s="2" t="s">
        <v>156</v>
      </c>
      <c r="P346" s="2" t="s">
        <v>2857</v>
      </c>
      <c r="Q346" s="2" t="s">
        <v>2858</v>
      </c>
      <c r="R346" s="2" t="s">
        <v>40</v>
      </c>
      <c r="S346" s="2" t="s">
        <v>2859</v>
      </c>
      <c r="T346" s="2" t="s">
        <v>2860</v>
      </c>
      <c r="U346" s="2" t="s">
        <v>2861</v>
      </c>
      <c r="V346" s="2" t="s">
        <v>2862</v>
      </c>
      <c r="W346" s="1"/>
      <c r="X346" s="2" t="s">
        <v>2863</v>
      </c>
      <c r="Y346" s="2" t="s">
        <v>2148</v>
      </c>
      <c r="AA346" t="str">
        <f t="shared" si="30"/>
        <v>2026-06</v>
      </c>
      <c r="AB346" t="str">
        <f t="shared" si="31"/>
        <v>H1_2026</v>
      </c>
      <c r="AC346">
        <f t="shared" si="32"/>
        <v>231141.6</v>
      </c>
      <c r="AD346">
        <f t="shared" si="33"/>
        <v>20</v>
      </c>
      <c r="AE346">
        <f t="shared" si="34"/>
        <v>70421.600000000006</v>
      </c>
      <c r="AF346" t="str">
        <f t="shared" si="35"/>
        <v>Paid</v>
      </c>
    </row>
    <row r="347" spans="1:32" ht="27.75" thickBot="1" x14ac:dyDescent="0.35">
      <c r="A347" s="2" t="s">
        <v>2864</v>
      </c>
      <c r="B347" s="2" t="s">
        <v>27</v>
      </c>
      <c r="C347" s="2" t="s">
        <v>28</v>
      </c>
      <c r="D347" s="2" t="s">
        <v>97</v>
      </c>
      <c r="E347" s="2" t="s">
        <v>1884</v>
      </c>
      <c r="F347" s="2" t="s">
        <v>99</v>
      </c>
      <c r="G347" s="2" t="s">
        <v>32</v>
      </c>
      <c r="H347" s="1"/>
      <c r="I347" s="2" t="s">
        <v>33</v>
      </c>
      <c r="J347" s="2" t="s">
        <v>34</v>
      </c>
      <c r="K347" s="2" t="s">
        <v>2865</v>
      </c>
      <c r="L347" s="2" t="s">
        <v>2866</v>
      </c>
      <c r="M347" s="2" t="s">
        <v>70</v>
      </c>
      <c r="N347" s="2" t="s">
        <v>38</v>
      </c>
      <c r="O347" s="2" t="s">
        <v>79</v>
      </c>
      <c r="P347" s="2" t="s">
        <v>2182</v>
      </c>
      <c r="Q347" s="2" t="s">
        <v>2867</v>
      </c>
      <c r="R347" s="2" t="s">
        <v>40</v>
      </c>
      <c r="S347" s="2" t="s">
        <v>2868</v>
      </c>
      <c r="T347" s="2" t="s">
        <v>2869</v>
      </c>
      <c r="U347" s="2" t="s">
        <v>2870</v>
      </c>
      <c r="V347" s="2" t="s">
        <v>2871</v>
      </c>
      <c r="W347" s="1"/>
      <c r="X347" s="2" t="s">
        <v>2863</v>
      </c>
      <c r="Y347" s="2" t="s">
        <v>2148</v>
      </c>
      <c r="AA347" t="str">
        <f t="shared" si="30"/>
        <v>2026-06</v>
      </c>
      <c r="AB347" t="str">
        <f t="shared" si="31"/>
        <v>H1_2026</v>
      </c>
      <c r="AC347">
        <f t="shared" si="32"/>
        <v>95167.56</v>
      </c>
      <c r="AD347">
        <f t="shared" si="33"/>
        <v>10</v>
      </c>
      <c r="AE347">
        <f t="shared" si="34"/>
        <v>28985.74</v>
      </c>
      <c r="AF347" t="str">
        <f t="shared" si="35"/>
        <v>Paid</v>
      </c>
    </row>
    <row r="348" spans="1:32" ht="17.25" thickBot="1" x14ac:dyDescent="0.35">
      <c r="A348" s="2" t="s">
        <v>2872</v>
      </c>
      <c r="B348" s="2" t="s">
        <v>27</v>
      </c>
      <c r="C348" s="2" t="s">
        <v>28</v>
      </c>
      <c r="D348" s="2" t="s">
        <v>97</v>
      </c>
      <c r="E348" s="2" t="s">
        <v>1884</v>
      </c>
      <c r="F348" s="2" t="s">
        <v>99</v>
      </c>
      <c r="G348" s="2" t="s">
        <v>32</v>
      </c>
      <c r="H348" s="1"/>
      <c r="I348" s="2" t="s">
        <v>33</v>
      </c>
      <c r="J348" s="2" t="s">
        <v>34</v>
      </c>
      <c r="K348" s="2" t="s">
        <v>2873</v>
      </c>
      <c r="L348" s="2" t="s">
        <v>2874</v>
      </c>
      <c r="M348" s="2" t="s">
        <v>70</v>
      </c>
      <c r="N348" s="2" t="s">
        <v>38</v>
      </c>
      <c r="O348" s="2" t="s">
        <v>156</v>
      </c>
      <c r="P348" s="2" t="s">
        <v>2182</v>
      </c>
      <c r="Q348" s="2" t="s">
        <v>2875</v>
      </c>
      <c r="R348" s="2" t="s">
        <v>40</v>
      </c>
      <c r="S348" s="2" t="s">
        <v>2876</v>
      </c>
      <c r="T348" s="2" t="s">
        <v>2869</v>
      </c>
      <c r="U348" s="2" t="s">
        <v>2877</v>
      </c>
      <c r="V348" s="2" t="s">
        <v>2878</v>
      </c>
      <c r="W348" s="1"/>
      <c r="X348" s="2" t="s">
        <v>2863</v>
      </c>
      <c r="Y348" s="2" t="s">
        <v>2148</v>
      </c>
      <c r="AA348" t="str">
        <f t="shared" si="30"/>
        <v>2026-06</v>
      </c>
      <c r="AB348" t="str">
        <f t="shared" si="31"/>
        <v>H1_2026</v>
      </c>
      <c r="AC348">
        <f t="shared" si="32"/>
        <v>190335.12</v>
      </c>
      <c r="AD348">
        <f t="shared" si="33"/>
        <v>20</v>
      </c>
      <c r="AE348">
        <f t="shared" si="34"/>
        <v>57971.48</v>
      </c>
      <c r="AF348" t="str">
        <f t="shared" si="35"/>
        <v>Paid</v>
      </c>
    </row>
    <row r="349" spans="1:32" ht="27.75" thickBot="1" x14ac:dyDescent="0.35">
      <c r="A349" s="2" t="s">
        <v>2879</v>
      </c>
      <c r="B349" s="2" t="s">
        <v>27</v>
      </c>
      <c r="C349" s="2" t="s">
        <v>28</v>
      </c>
      <c r="D349" s="2" t="s">
        <v>97</v>
      </c>
      <c r="E349" s="2" t="s">
        <v>1884</v>
      </c>
      <c r="F349" s="2" t="s">
        <v>99</v>
      </c>
      <c r="G349" s="2" t="s">
        <v>32</v>
      </c>
      <c r="H349" s="1"/>
      <c r="I349" s="2" t="s">
        <v>33</v>
      </c>
      <c r="J349" s="2" t="s">
        <v>34</v>
      </c>
      <c r="K349" s="2" t="s">
        <v>2880</v>
      </c>
      <c r="L349" s="2" t="s">
        <v>2881</v>
      </c>
      <c r="M349" s="2" t="s">
        <v>70</v>
      </c>
      <c r="N349" s="2" t="s">
        <v>38</v>
      </c>
      <c r="O349" s="2" t="s">
        <v>391</v>
      </c>
      <c r="P349" s="2" t="s">
        <v>2417</v>
      </c>
      <c r="Q349" s="2" t="s">
        <v>2882</v>
      </c>
      <c r="R349" s="2" t="s">
        <v>40</v>
      </c>
      <c r="S349" s="2" t="s">
        <v>2883</v>
      </c>
      <c r="T349" s="2" t="s">
        <v>2884</v>
      </c>
      <c r="U349" s="2" t="s">
        <v>2514</v>
      </c>
      <c r="V349" s="2" t="s">
        <v>2885</v>
      </c>
      <c r="W349" s="1"/>
      <c r="X349" s="2" t="s">
        <v>2165</v>
      </c>
      <c r="Y349" s="2" t="s">
        <v>2148</v>
      </c>
      <c r="AA349" t="str">
        <f t="shared" si="30"/>
        <v>2026-06</v>
      </c>
      <c r="AB349" t="str">
        <f t="shared" si="31"/>
        <v>H1_2026</v>
      </c>
      <c r="AC349">
        <f t="shared" si="32"/>
        <v>480260.88</v>
      </c>
      <c r="AD349">
        <f t="shared" si="33"/>
        <v>60</v>
      </c>
      <c r="AE349">
        <f t="shared" si="34"/>
        <v>109351.79</v>
      </c>
      <c r="AF349" t="str">
        <f t="shared" si="35"/>
        <v>Paid</v>
      </c>
    </row>
    <row r="350" spans="1:32" ht="17.25" thickBot="1" x14ac:dyDescent="0.35">
      <c r="A350" s="2" t="s">
        <v>2886</v>
      </c>
      <c r="B350" s="2" t="s">
        <v>27</v>
      </c>
      <c r="C350" s="2" t="s">
        <v>28</v>
      </c>
      <c r="D350" s="2" t="s">
        <v>97</v>
      </c>
      <c r="E350" s="2" t="s">
        <v>1884</v>
      </c>
      <c r="F350" s="2" t="s">
        <v>99</v>
      </c>
      <c r="G350" s="2" t="s">
        <v>32</v>
      </c>
      <c r="H350" s="1"/>
      <c r="I350" s="2" t="s">
        <v>33</v>
      </c>
      <c r="J350" s="2" t="s">
        <v>34</v>
      </c>
      <c r="K350" s="2" t="s">
        <v>2887</v>
      </c>
      <c r="L350" s="2" t="s">
        <v>2888</v>
      </c>
      <c r="M350" s="2" t="s">
        <v>70</v>
      </c>
      <c r="N350" s="2" t="s">
        <v>38</v>
      </c>
      <c r="O350" s="2" t="s">
        <v>185</v>
      </c>
      <c r="P350" s="2" t="s">
        <v>2604</v>
      </c>
      <c r="Q350" s="2" t="s">
        <v>2889</v>
      </c>
      <c r="R350" s="2" t="s">
        <v>40</v>
      </c>
      <c r="S350" s="2" t="s">
        <v>2890</v>
      </c>
      <c r="T350" s="2" t="s">
        <v>2891</v>
      </c>
      <c r="U350" s="2" t="s">
        <v>2892</v>
      </c>
      <c r="V350" s="2" t="s">
        <v>2893</v>
      </c>
      <c r="W350" s="1"/>
      <c r="X350" s="2" t="s">
        <v>2894</v>
      </c>
      <c r="Y350" s="2" t="s">
        <v>2148</v>
      </c>
      <c r="AA350" t="str">
        <f t="shared" si="30"/>
        <v>2026-06</v>
      </c>
      <c r="AB350" t="str">
        <f t="shared" si="31"/>
        <v>H1_2026</v>
      </c>
      <c r="AC350">
        <f t="shared" si="32"/>
        <v>248420.15</v>
      </c>
      <c r="AD350">
        <f t="shared" si="33"/>
        <v>23</v>
      </c>
      <c r="AE350">
        <f t="shared" si="34"/>
        <v>75299.149999999994</v>
      </c>
      <c r="AF350" t="str">
        <f t="shared" si="35"/>
        <v>Paid</v>
      </c>
    </row>
    <row r="351" spans="1:32" ht="17.25" thickBot="1" x14ac:dyDescent="0.35">
      <c r="A351" s="2" t="s">
        <v>2895</v>
      </c>
      <c r="B351" s="2" t="s">
        <v>27</v>
      </c>
      <c r="C351" s="2" t="s">
        <v>28</v>
      </c>
      <c r="D351" s="2" t="s">
        <v>97</v>
      </c>
      <c r="E351" s="2" t="s">
        <v>1884</v>
      </c>
      <c r="F351" s="2" t="s">
        <v>99</v>
      </c>
      <c r="G351" s="2" t="s">
        <v>32</v>
      </c>
      <c r="H351" s="1"/>
      <c r="I351" s="2" t="s">
        <v>33</v>
      </c>
      <c r="J351" s="2" t="s">
        <v>34</v>
      </c>
      <c r="K351" s="2" t="s">
        <v>2896</v>
      </c>
      <c r="L351" s="2" t="s">
        <v>2897</v>
      </c>
      <c r="M351" s="2" t="s">
        <v>70</v>
      </c>
      <c r="N351" s="2" t="s">
        <v>38</v>
      </c>
      <c r="O351" s="2" t="s">
        <v>141</v>
      </c>
      <c r="P351" s="2" t="s">
        <v>2898</v>
      </c>
      <c r="Q351" s="2" t="s">
        <v>2899</v>
      </c>
      <c r="R351" s="2" t="s">
        <v>40</v>
      </c>
      <c r="S351" s="2" t="s">
        <v>2900</v>
      </c>
      <c r="T351" s="2" t="s">
        <v>2901</v>
      </c>
      <c r="U351" s="2" t="s">
        <v>2902</v>
      </c>
      <c r="V351" s="2" t="s">
        <v>2903</v>
      </c>
      <c r="W351" s="1"/>
      <c r="X351" s="2" t="s">
        <v>2894</v>
      </c>
      <c r="Y351" s="2" t="s">
        <v>2148</v>
      </c>
      <c r="AA351" t="str">
        <f t="shared" si="30"/>
        <v>2026-06</v>
      </c>
      <c r="AB351" t="str">
        <f t="shared" si="31"/>
        <v>H1_2026</v>
      </c>
      <c r="AC351">
        <f t="shared" si="32"/>
        <v>342003.96</v>
      </c>
      <c r="AD351">
        <f t="shared" si="33"/>
        <v>30</v>
      </c>
      <c r="AE351">
        <f t="shared" si="34"/>
        <v>103653.96</v>
      </c>
      <c r="AF351" t="str">
        <f t="shared" si="35"/>
        <v>Paid</v>
      </c>
    </row>
    <row r="352" spans="1:32" ht="27.75" thickBot="1" x14ac:dyDescent="0.35">
      <c r="A352" s="2" t="s">
        <v>2057</v>
      </c>
      <c r="B352" s="2" t="s">
        <v>27</v>
      </c>
      <c r="C352" s="2" t="s">
        <v>28</v>
      </c>
      <c r="D352" s="2" t="s">
        <v>97</v>
      </c>
      <c r="E352" s="2" t="s">
        <v>1884</v>
      </c>
      <c r="F352" s="2" t="s">
        <v>99</v>
      </c>
      <c r="G352" s="2" t="s">
        <v>32</v>
      </c>
      <c r="H352" s="1"/>
      <c r="I352" s="2" t="s">
        <v>33</v>
      </c>
      <c r="J352" s="2" t="s">
        <v>34</v>
      </c>
      <c r="K352" s="2" t="s">
        <v>2904</v>
      </c>
      <c r="L352" s="2" t="s">
        <v>2905</v>
      </c>
      <c r="M352" s="2" t="s">
        <v>70</v>
      </c>
      <c r="N352" s="2" t="s">
        <v>38</v>
      </c>
      <c r="O352" s="2" t="s">
        <v>1158</v>
      </c>
      <c r="P352" s="2" t="s">
        <v>2906</v>
      </c>
      <c r="Q352" s="2" t="s">
        <v>2907</v>
      </c>
      <c r="R352" s="2" t="s">
        <v>40</v>
      </c>
      <c r="S352" s="2" t="s">
        <v>2908</v>
      </c>
      <c r="T352" s="2" t="s">
        <v>2909</v>
      </c>
      <c r="U352" s="2" t="s">
        <v>2910</v>
      </c>
      <c r="V352" s="2" t="s">
        <v>2911</v>
      </c>
      <c r="W352" s="1"/>
      <c r="X352" s="2" t="s">
        <v>2912</v>
      </c>
      <c r="Y352" s="2" t="s">
        <v>2148</v>
      </c>
      <c r="AA352" t="str">
        <f t="shared" si="30"/>
        <v>2026-06</v>
      </c>
      <c r="AB352" t="str">
        <f t="shared" si="31"/>
        <v>H1_2026</v>
      </c>
      <c r="AC352">
        <f t="shared" si="32"/>
        <v>1584604.08</v>
      </c>
      <c r="AD352">
        <f t="shared" si="33"/>
        <v>180</v>
      </c>
      <c r="AE352">
        <f t="shared" si="34"/>
        <v>468604.08</v>
      </c>
      <c r="AF352" t="str">
        <f t="shared" si="35"/>
        <v>Paid</v>
      </c>
    </row>
    <row r="353" spans="1:32" ht="17.25" thickBot="1" x14ac:dyDescent="0.35">
      <c r="A353" s="2" t="s">
        <v>2913</v>
      </c>
      <c r="B353" s="2" t="s">
        <v>27</v>
      </c>
      <c r="C353" s="2" t="s">
        <v>28</v>
      </c>
      <c r="D353" s="2" t="s">
        <v>97</v>
      </c>
      <c r="E353" s="2" t="s">
        <v>1884</v>
      </c>
      <c r="F353" s="2" t="s">
        <v>99</v>
      </c>
      <c r="G353" s="2" t="s">
        <v>32</v>
      </c>
      <c r="H353" s="1"/>
      <c r="I353" s="2" t="s">
        <v>33</v>
      </c>
      <c r="J353" s="2" t="s">
        <v>34</v>
      </c>
      <c r="K353" s="2" t="s">
        <v>2914</v>
      </c>
      <c r="L353" s="2" t="s">
        <v>2915</v>
      </c>
      <c r="M353" s="2" t="s">
        <v>70</v>
      </c>
      <c r="N353" s="2" t="s">
        <v>38</v>
      </c>
      <c r="O353" s="2" t="s">
        <v>323</v>
      </c>
      <c r="P353" s="2" t="s">
        <v>2916</v>
      </c>
      <c r="Q353" s="2" t="s">
        <v>2917</v>
      </c>
      <c r="R353" s="2" t="s">
        <v>40</v>
      </c>
      <c r="S353" s="2" t="s">
        <v>2918</v>
      </c>
      <c r="T353" s="2" t="s">
        <v>2919</v>
      </c>
      <c r="U353" s="2" t="s">
        <v>2920</v>
      </c>
      <c r="V353" s="2" t="s">
        <v>2921</v>
      </c>
      <c r="W353" s="1"/>
      <c r="X353" s="2" t="s">
        <v>2894</v>
      </c>
      <c r="Y353" s="2" t="s">
        <v>2148</v>
      </c>
      <c r="AA353" t="str">
        <f t="shared" si="30"/>
        <v>2026-06</v>
      </c>
      <c r="AB353" t="str">
        <f t="shared" si="31"/>
        <v>H1_2026</v>
      </c>
      <c r="AC353">
        <f t="shared" si="32"/>
        <v>327750.23</v>
      </c>
      <c r="AD353">
        <f t="shared" si="33"/>
        <v>39</v>
      </c>
      <c r="AE353">
        <f t="shared" si="34"/>
        <v>99405.23</v>
      </c>
      <c r="AF353" t="str">
        <f t="shared" si="35"/>
        <v>Paid</v>
      </c>
    </row>
    <row r="354" spans="1:32" ht="17.25" thickBot="1" x14ac:dyDescent="0.35">
      <c r="A354" s="2" t="s">
        <v>2922</v>
      </c>
      <c r="B354" s="2" t="s">
        <v>27</v>
      </c>
      <c r="C354" s="2" t="s">
        <v>28</v>
      </c>
      <c r="D354" s="2" t="s">
        <v>97</v>
      </c>
      <c r="E354" s="2" t="s">
        <v>1884</v>
      </c>
      <c r="F354" s="2" t="s">
        <v>99</v>
      </c>
      <c r="G354" s="2" t="s">
        <v>32</v>
      </c>
      <c r="H354" s="1"/>
      <c r="I354" s="2" t="s">
        <v>33</v>
      </c>
      <c r="J354" s="2" t="s">
        <v>34</v>
      </c>
      <c r="K354" s="2" t="s">
        <v>2923</v>
      </c>
      <c r="L354" s="2" t="s">
        <v>2924</v>
      </c>
      <c r="M354" s="2" t="s">
        <v>70</v>
      </c>
      <c r="N354" s="2" t="s">
        <v>38</v>
      </c>
      <c r="O354" s="2" t="s">
        <v>131</v>
      </c>
      <c r="P354" s="2" t="s">
        <v>2916</v>
      </c>
      <c r="Q354" s="2" t="s">
        <v>2925</v>
      </c>
      <c r="R354" s="2" t="s">
        <v>40</v>
      </c>
      <c r="S354" s="2" t="s">
        <v>2926</v>
      </c>
      <c r="T354" s="2" t="s">
        <v>2927</v>
      </c>
      <c r="U354" s="2" t="s">
        <v>2928</v>
      </c>
      <c r="V354" s="2" t="s">
        <v>2929</v>
      </c>
      <c r="W354" s="1"/>
      <c r="X354" s="2" t="s">
        <v>2894</v>
      </c>
      <c r="Y354" s="2" t="s">
        <v>2148</v>
      </c>
      <c r="AA354" t="str">
        <f t="shared" si="30"/>
        <v>2026-06</v>
      </c>
      <c r="AB354" t="str">
        <f t="shared" si="31"/>
        <v>H1_2026</v>
      </c>
      <c r="AC354">
        <f t="shared" si="32"/>
        <v>336154.08</v>
      </c>
      <c r="AD354">
        <f t="shared" si="33"/>
        <v>40</v>
      </c>
      <c r="AE354">
        <f t="shared" si="34"/>
        <v>101963.17</v>
      </c>
      <c r="AF354" t="str">
        <f t="shared" si="35"/>
        <v>Paid</v>
      </c>
    </row>
    <row r="355" spans="1:32" ht="17.25" thickBot="1" x14ac:dyDescent="0.35">
      <c r="A355" s="2" t="s">
        <v>2930</v>
      </c>
      <c r="B355" s="2" t="s">
        <v>27</v>
      </c>
      <c r="C355" s="2" t="s">
        <v>28</v>
      </c>
      <c r="D355" s="2" t="s">
        <v>97</v>
      </c>
      <c r="E355" s="2" t="s">
        <v>1884</v>
      </c>
      <c r="F355" s="2" t="s">
        <v>99</v>
      </c>
      <c r="G355" s="2" t="s">
        <v>32</v>
      </c>
      <c r="H355" s="1"/>
      <c r="I355" s="2" t="s">
        <v>33</v>
      </c>
      <c r="J355" s="2" t="s">
        <v>34</v>
      </c>
      <c r="K355" s="2" t="s">
        <v>2931</v>
      </c>
      <c r="L355" s="2" t="s">
        <v>2932</v>
      </c>
      <c r="M355" s="2" t="s">
        <v>2933</v>
      </c>
      <c r="N355" s="2" t="s">
        <v>38</v>
      </c>
      <c r="O355" s="2" t="s">
        <v>131</v>
      </c>
      <c r="P355" s="2" t="s">
        <v>2934</v>
      </c>
      <c r="Q355" s="2" t="s">
        <v>2935</v>
      </c>
      <c r="R355" s="2" t="s">
        <v>40</v>
      </c>
      <c r="S355" s="2" t="s">
        <v>2936</v>
      </c>
      <c r="T355" s="2" t="s">
        <v>2249</v>
      </c>
      <c r="U355" s="2" t="s">
        <v>2937</v>
      </c>
      <c r="V355" s="2" t="s">
        <v>2938</v>
      </c>
      <c r="W355" s="1"/>
      <c r="X355" s="2" t="s">
        <v>2939</v>
      </c>
      <c r="Y355" s="2" t="s">
        <v>2148</v>
      </c>
      <c r="AA355" t="str">
        <f t="shared" si="30"/>
        <v>2026-06</v>
      </c>
      <c r="AB355" t="str">
        <f t="shared" si="31"/>
        <v>H1_2026</v>
      </c>
      <c r="AC355">
        <f t="shared" si="32"/>
        <v>384665.28</v>
      </c>
      <c r="AD355">
        <f t="shared" si="33"/>
        <v>40</v>
      </c>
      <c r="AE355">
        <f t="shared" si="34"/>
        <v>101028.92</v>
      </c>
      <c r="AF355" t="str">
        <f t="shared" si="35"/>
        <v>Paid</v>
      </c>
    </row>
    <row r="356" spans="1:32" ht="17.25" thickBot="1" x14ac:dyDescent="0.35">
      <c r="A356" s="2" t="s">
        <v>2940</v>
      </c>
      <c r="B356" s="2" t="s">
        <v>27</v>
      </c>
      <c r="C356" s="2" t="s">
        <v>28</v>
      </c>
      <c r="D356" s="2" t="s">
        <v>97</v>
      </c>
      <c r="E356" s="2" t="s">
        <v>1884</v>
      </c>
      <c r="F356" s="2" t="s">
        <v>99</v>
      </c>
      <c r="G356" s="2" t="s">
        <v>32</v>
      </c>
      <c r="H356" s="1"/>
      <c r="I356" s="2" t="s">
        <v>33</v>
      </c>
      <c r="J356" s="2" t="s">
        <v>34</v>
      </c>
      <c r="K356" s="2" t="s">
        <v>2941</v>
      </c>
      <c r="L356" s="2" t="s">
        <v>2942</v>
      </c>
      <c r="M356" s="2" t="s">
        <v>2933</v>
      </c>
      <c r="N356" s="2" t="s">
        <v>38</v>
      </c>
      <c r="O356" s="2" t="s">
        <v>455</v>
      </c>
      <c r="P356" s="2" t="s">
        <v>2943</v>
      </c>
      <c r="Q356" s="2" t="s">
        <v>2944</v>
      </c>
      <c r="R356" s="2" t="s">
        <v>40</v>
      </c>
      <c r="S356" s="2" t="s">
        <v>2945</v>
      </c>
      <c r="T356" s="2" t="s">
        <v>2946</v>
      </c>
      <c r="U356" s="2" t="s">
        <v>2947</v>
      </c>
      <c r="V356" s="2" t="s">
        <v>2948</v>
      </c>
      <c r="W356" s="1"/>
      <c r="X356" s="2" t="s">
        <v>2939</v>
      </c>
      <c r="Y356" s="2" t="s">
        <v>2148</v>
      </c>
      <c r="AA356" t="str">
        <f t="shared" si="30"/>
        <v>2026-06</v>
      </c>
      <c r="AB356" t="str">
        <f t="shared" si="31"/>
        <v>H1_2026</v>
      </c>
      <c r="AC356">
        <f t="shared" si="32"/>
        <v>313824.65999999997</v>
      </c>
      <c r="AD356">
        <f t="shared" si="33"/>
        <v>53</v>
      </c>
      <c r="AE356">
        <f t="shared" si="34"/>
        <v>82551.94</v>
      </c>
      <c r="AF356" t="str">
        <f t="shared" si="35"/>
        <v>Paid</v>
      </c>
    </row>
    <row r="357" spans="1:32" ht="17.25" thickBot="1" x14ac:dyDescent="0.35">
      <c r="A357" s="2" t="s">
        <v>2949</v>
      </c>
      <c r="B357" s="2" t="s">
        <v>27</v>
      </c>
      <c r="C357" s="2" t="s">
        <v>28</v>
      </c>
      <c r="D357" s="2" t="s">
        <v>97</v>
      </c>
      <c r="E357" s="2" t="s">
        <v>1884</v>
      </c>
      <c r="F357" s="2" t="s">
        <v>99</v>
      </c>
      <c r="G357" s="2" t="s">
        <v>32</v>
      </c>
      <c r="H357" s="1"/>
      <c r="I357" s="2" t="s">
        <v>33</v>
      </c>
      <c r="J357" s="2" t="s">
        <v>34</v>
      </c>
      <c r="K357" s="2" t="s">
        <v>2950</v>
      </c>
      <c r="L357" s="2" t="s">
        <v>2951</v>
      </c>
      <c r="M357" s="2" t="s">
        <v>2933</v>
      </c>
      <c r="N357" s="2" t="s">
        <v>38</v>
      </c>
      <c r="O357" s="2" t="s">
        <v>220</v>
      </c>
      <c r="P357" s="2" t="s">
        <v>2952</v>
      </c>
      <c r="Q357" s="2" t="s">
        <v>2953</v>
      </c>
      <c r="R357" s="2" t="s">
        <v>40</v>
      </c>
      <c r="S357" s="2" t="s">
        <v>2954</v>
      </c>
      <c r="T357" s="2" t="s">
        <v>2955</v>
      </c>
      <c r="U357" s="2" t="s">
        <v>2956</v>
      </c>
      <c r="V357" s="2" t="s">
        <v>2957</v>
      </c>
      <c r="W357" s="1"/>
      <c r="X357" s="2" t="s">
        <v>2958</v>
      </c>
      <c r="Y357" s="2" t="s">
        <v>2148</v>
      </c>
      <c r="AA357" t="str">
        <f t="shared" si="30"/>
        <v>2026-06</v>
      </c>
      <c r="AB357" t="str">
        <f t="shared" si="31"/>
        <v>H1_2026</v>
      </c>
      <c r="AC357">
        <f t="shared" si="32"/>
        <v>339778.15</v>
      </c>
      <c r="AD357">
        <f t="shared" si="33"/>
        <v>27</v>
      </c>
      <c r="AE357">
        <f t="shared" si="34"/>
        <v>78148.149999999994</v>
      </c>
      <c r="AF357" t="str">
        <f t="shared" si="35"/>
        <v>Paid</v>
      </c>
    </row>
    <row r="358" spans="1:32" ht="17.25" thickBot="1" x14ac:dyDescent="0.35">
      <c r="A358" s="2" t="s">
        <v>2959</v>
      </c>
      <c r="B358" s="2" t="s">
        <v>27</v>
      </c>
      <c r="C358" s="2" t="s">
        <v>28</v>
      </c>
      <c r="D358" s="2" t="s">
        <v>97</v>
      </c>
      <c r="E358" s="2" t="s">
        <v>1884</v>
      </c>
      <c r="F358" s="2" t="s">
        <v>99</v>
      </c>
      <c r="G358" s="2" t="s">
        <v>32</v>
      </c>
      <c r="H358" s="1"/>
      <c r="I358" s="2" t="s">
        <v>33</v>
      </c>
      <c r="J358" s="2" t="s">
        <v>34</v>
      </c>
      <c r="K358" s="2" t="s">
        <v>2960</v>
      </c>
      <c r="L358" s="2" t="s">
        <v>2961</v>
      </c>
      <c r="M358" s="2" t="s">
        <v>2933</v>
      </c>
      <c r="N358" s="2" t="s">
        <v>38</v>
      </c>
      <c r="O358" s="2" t="s">
        <v>244</v>
      </c>
      <c r="P358" s="2" t="s">
        <v>2962</v>
      </c>
      <c r="Q358" s="2" t="s">
        <v>2963</v>
      </c>
      <c r="R358" s="2" t="s">
        <v>40</v>
      </c>
      <c r="S358" s="2" t="s">
        <v>2964</v>
      </c>
      <c r="T358" s="2" t="s">
        <v>2965</v>
      </c>
      <c r="U358" s="2" t="s">
        <v>2966</v>
      </c>
      <c r="V358" s="2" t="s">
        <v>2967</v>
      </c>
      <c r="W358" s="1"/>
      <c r="X358" s="2" t="s">
        <v>2958</v>
      </c>
      <c r="Y358" s="2" t="s">
        <v>2148</v>
      </c>
      <c r="AA358" t="str">
        <f t="shared" si="30"/>
        <v>2026-06</v>
      </c>
      <c r="AB358" t="str">
        <f t="shared" si="31"/>
        <v>H1_2026</v>
      </c>
      <c r="AC358">
        <f t="shared" si="32"/>
        <v>481673.41</v>
      </c>
      <c r="AD358">
        <f t="shared" si="33"/>
        <v>31</v>
      </c>
      <c r="AE358">
        <f t="shared" si="34"/>
        <v>110603.41</v>
      </c>
      <c r="AF358" t="str">
        <f t="shared" si="35"/>
        <v>Paid</v>
      </c>
    </row>
    <row r="359" spans="1:32" ht="17.25" thickBot="1" x14ac:dyDescent="0.35">
      <c r="A359" s="2" t="s">
        <v>2968</v>
      </c>
      <c r="B359" s="2" t="s">
        <v>27</v>
      </c>
      <c r="C359" s="2" t="s">
        <v>28</v>
      </c>
      <c r="D359" s="2" t="s">
        <v>97</v>
      </c>
      <c r="E359" s="2" t="s">
        <v>1884</v>
      </c>
      <c r="F359" s="2" t="s">
        <v>99</v>
      </c>
      <c r="G359" s="2" t="s">
        <v>32</v>
      </c>
      <c r="H359" s="1"/>
      <c r="I359" s="2" t="s">
        <v>33</v>
      </c>
      <c r="J359" s="2" t="s">
        <v>34</v>
      </c>
      <c r="K359" s="2" t="s">
        <v>2969</v>
      </c>
      <c r="L359" s="2" t="s">
        <v>2970</v>
      </c>
      <c r="M359" s="2" t="s">
        <v>2933</v>
      </c>
      <c r="N359" s="2" t="s">
        <v>38</v>
      </c>
      <c r="O359" s="2" t="s">
        <v>138</v>
      </c>
      <c r="P359" s="2" t="s">
        <v>484</v>
      </c>
      <c r="Q359" s="2" t="s">
        <v>2971</v>
      </c>
      <c r="R359" s="2" t="s">
        <v>40</v>
      </c>
      <c r="S359" s="2" t="s">
        <v>2972</v>
      </c>
      <c r="T359" s="2" t="s">
        <v>2973</v>
      </c>
      <c r="U359" s="2" t="s">
        <v>2974</v>
      </c>
      <c r="V359" s="2" t="s">
        <v>2975</v>
      </c>
      <c r="W359" s="1"/>
      <c r="X359" s="2" t="s">
        <v>2976</v>
      </c>
      <c r="Y359" s="2" t="s">
        <v>2148</v>
      </c>
      <c r="AA359" t="str">
        <f t="shared" si="30"/>
        <v>2026-06</v>
      </c>
      <c r="AB359" t="str">
        <f t="shared" si="31"/>
        <v>H1_2026</v>
      </c>
      <c r="AC359">
        <f t="shared" si="32"/>
        <v>239873.62</v>
      </c>
      <c r="AD359">
        <f t="shared" si="33"/>
        <v>18</v>
      </c>
      <c r="AE359">
        <f t="shared" si="34"/>
        <v>16007.62</v>
      </c>
      <c r="AF359" t="str">
        <f t="shared" si="35"/>
        <v>Paid</v>
      </c>
    </row>
    <row r="360" spans="1:32" ht="17.25" thickBot="1" x14ac:dyDescent="0.35">
      <c r="A360" s="2" t="s">
        <v>2977</v>
      </c>
      <c r="B360" s="2" t="s">
        <v>27</v>
      </c>
      <c r="C360" s="2" t="s">
        <v>28</v>
      </c>
      <c r="D360" s="2" t="s">
        <v>97</v>
      </c>
      <c r="E360" s="2" t="s">
        <v>1884</v>
      </c>
      <c r="F360" s="2" t="s">
        <v>99</v>
      </c>
      <c r="G360" s="2" t="s">
        <v>32</v>
      </c>
      <c r="H360" s="1"/>
      <c r="I360" s="2" t="s">
        <v>33</v>
      </c>
      <c r="J360" s="2" t="s">
        <v>34</v>
      </c>
      <c r="K360" s="2" t="s">
        <v>2978</v>
      </c>
      <c r="L360" s="2" t="s">
        <v>2979</v>
      </c>
      <c r="M360" s="2" t="s">
        <v>2933</v>
      </c>
      <c r="N360" s="2" t="s">
        <v>38</v>
      </c>
      <c r="O360" s="2" t="s">
        <v>779</v>
      </c>
      <c r="P360" s="2" t="s">
        <v>2980</v>
      </c>
      <c r="Q360" s="2" t="s">
        <v>2981</v>
      </c>
      <c r="R360" s="2" t="s">
        <v>40</v>
      </c>
      <c r="S360" s="2" t="s">
        <v>2982</v>
      </c>
      <c r="T360" s="2" t="s">
        <v>2983</v>
      </c>
      <c r="U360" s="2" t="s">
        <v>2984</v>
      </c>
      <c r="V360" s="2" t="s">
        <v>2985</v>
      </c>
      <c r="W360" s="1"/>
      <c r="X360" s="2" t="s">
        <v>2939</v>
      </c>
      <c r="Y360" s="2" t="s">
        <v>2148</v>
      </c>
      <c r="AA360" t="str">
        <f t="shared" si="30"/>
        <v>2026-06</v>
      </c>
      <c r="AB360" t="str">
        <f t="shared" si="31"/>
        <v>H1_2026</v>
      </c>
      <c r="AC360">
        <f t="shared" si="32"/>
        <v>1264858.2</v>
      </c>
      <c r="AD360">
        <f t="shared" si="33"/>
        <v>90</v>
      </c>
      <c r="AE360">
        <f t="shared" si="34"/>
        <v>332130.93</v>
      </c>
      <c r="AF360" t="str">
        <f t="shared" si="35"/>
        <v>Paid</v>
      </c>
    </row>
    <row r="361" spans="1:32" ht="17.25" thickBot="1" x14ac:dyDescent="0.35">
      <c r="A361" s="2" t="s">
        <v>2986</v>
      </c>
      <c r="B361" s="2" t="s">
        <v>27</v>
      </c>
      <c r="C361" s="2" t="s">
        <v>28</v>
      </c>
      <c r="D361" s="2" t="s">
        <v>97</v>
      </c>
      <c r="E361" s="2" t="s">
        <v>1884</v>
      </c>
      <c r="F361" s="2" t="s">
        <v>99</v>
      </c>
      <c r="G361" s="2" t="s">
        <v>32</v>
      </c>
      <c r="H361" s="1"/>
      <c r="I361" s="2" t="s">
        <v>33</v>
      </c>
      <c r="J361" s="2" t="s">
        <v>34</v>
      </c>
      <c r="K361" s="2" t="s">
        <v>2987</v>
      </c>
      <c r="L361" s="2" t="s">
        <v>2988</v>
      </c>
      <c r="M361" s="2" t="s">
        <v>2933</v>
      </c>
      <c r="N361" s="2" t="s">
        <v>38</v>
      </c>
      <c r="O361" s="2" t="s">
        <v>227</v>
      </c>
      <c r="P361" s="2" t="s">
        <v>2989</v>
      </c>
      <c r="Q361" s="2" t="s">
        <v>2990</v>
      </c>
      <c r="R361" s="2" t="s">
        <v>40</v>
      </c>
      <c r="S361" s="2" t="s">
        <v>2991</v>
      </c>
      <c r="T361" s="2" t="s">
        <v>2992</v>
      </c>
      <c r="U361" s="2" t="s">
        <v>2993</v>
      </c>
      <c r="V361" s="2" t="s">
        <v>2994</v>
      </c>
      <c r="W361" s="1"/>
      <c r="X361" s="2" t="s">
        <v>2958</v>
      </c>
      <c r="Y361" s="2" t="s">
        <v>2148</v>
      </c>
      <c r="AA361" t="str">
        <f t="shared" si="30"/>
        <v>2026-06</v>
      </c>
      <c r="AB361" t="str">
        <f t="shared" si="31"/>
        <v>H1_2026</v>
      </c>
      <c r="AC361">
        <f t="shared" si="32"/>
        <v>331588.32</v>
      </c>
      <c r="AD361">
        <f t="shared" si="33"/>
        <v>28</v>
      </c>
      <c r="AE361">
        <f t="shared" si="34"/>
        <v>76228.320000000007</v>
      </c>
      <c r="AF361" t="str">
        <f t="shared" si="35"/>
        <v>Paid</v>
      </c>
    </row>
    <row r="362" spans="1:32" ht="17.25" thickBot="1" x14ac:dyDescent="0.35">
      <c r="A362" s="2" t="s">
        <v>1519</v>
      </c>
      <c r="B362" s="2" t="s">
        <v>27</v>
      </c>
      <c r="C362" s="2" t="s">
        <v>28</v>
      </c>
      <c r="D362" s="2" t="s">
        <v>97</v>
      </c>
      <c r="E362" s="2" t="s">
        <v>1884</v>
      </c>
      <c r="F362" s="2" t="s">
        <v>99</v>
      </c>
      <c r="G362" s="2" t="s">
        <v>32</v>
      </c>
      <c r="H362" s="1"/>
      <c r="I362" s="2" t="s">
        <v>33</v>
      </c>
      <c r="J362" s="2" t="s">
        <v>34</v>
      </c>
      <c r="K362" s="2" t="s">
        <v>2995</v>
      </c>
      <c r="L362" s="2" t="s">
        <v>2996</v>
      </c>
      <c r="M362" s="2" t="s">
        <v>2933</v>
      </c>
      <c r="N362" s="2" t="s">
        <v>38</v>
      </c>
      <c r="O362" s="2" t="s">
        <v>174</v>
      </c>
      <c r="P362" s="2" t="s">
        <v>484</v>
      </c>
      <c r="Q362" s="2" t="s">
        <v>2997</v>
      </c>
      <c r="R362" s="2" t="s">
        <v>40</v>
      </c>
      <c r="S362" s="2" t="s">
        <v>2998</v>
      </c>
      <c r="T362" s="2" t="s">
        <v>814</v>
      </c>
      <c r="U362" s="2" t="s">
        <v>2999</v>
      </c>
      <c r="V362" s="2" t="s">
        <v>3000</v>
      </c>
      <c r="W362" s="1"/>
      <c r="X362" s="2" t="s">
        <v>2958</v>
      </c>
      <c r="Y362" s="2" t="s">
        <v>2148</v>
      </c>
      <c r="AA362" t="str">
        <f t="shared" si="30"/>
        <v>2026-06</v>
      </c>
      <c r="AB362" t="str">
        <f t="shared" si="31"/>
        <v>H1_2026</v>
      </c>
      <c r="AC362">
        <f t="shared" si="32"/>
        <v>293178.86</v>
      </c>
      <c r="AD362">
        <f t="shared" si="33"/>
        <v>22</v>
      </c>
      <c r="AE362">
        <f t="shared" si="34"/>
        <v>67458.86</v>
      </c>
      <c r="AF362" t="str">
        <f t="shared" si="35"/>
        <v>Paid</v>
      </c>
    </row>
    <row r="363" spans="1:32" ht="17.25" thickBot="1" x14ac:dyDescent="0.35">
      <c r="A363" s="2" t="s">
        <v>3001</v>
      </c>
      <c r="B363" s="2" t="s">
        <v>27</v>
      </c>
      <c r="C363" s="2" t="s">
        <v>28</v>
      </c>
      <c r="D363" s="2" t="s">
        <v>97</v>
      </c>
      <c r="E363" s="2" t="s">
        <v>1884</v>
      </c>
      <c r="F363" s="2" t="s">
        <v>99</v>
      </c>
      <c r="G363" s="2" t="s">
        <v>32</v>
      </c>
      <c r="H363" s="1"/>
      <c r="I363" s="2" t="s">
        <v>33</v>
      </c>
      <c r="J363" s="2" t="s">
        <v>34</v>
      </c>
      <c r="K363" s="2" t="s">
        <v>3002</v>
      </c>
      <c r="L363" s="2" t="s">
        <v>3003</v>
      </c>
      <c r="M363" s="2" t="s">
        <v>2933</v>
      </c>
      <c r="N363" s="2" t="s">
        <v>38</v>
      </c>
      <c r="O363" s="2" t="s">
        <v>79</v>
      </c>
      <c r="P363" s="2" t="s">
        <v>284</v>
      </c>
      <c r="Q363" s="2" t="s">
        <v>3004</v>
      </c>
      <c r="R363" s="2" t="s">
        <v>40</v>
      </c>
      <c r="S363" s="2" t="s">
        <v>3005</v>
      </c>
      <c r="T363" s="2" t="s">
        <v>3006</v>
      </c>
      <c r="U363" s="2" t="s">
        <v>3007</v>
      </c>
      <c r="V363" s="2" t="s">
        <v>3008</v>
      </c>
      <c r="W363" s="1"/>
      <c r="X363" s="2" t="s">
        <v>2958</v>
      </c>
      <c r="Y363" s="2" t="s">
        <v>2148</v>
      </c>
      <c r="AA363" t="str">
        <f t="shared" si="30"/>
        <v>2026-06</v>
      </c>
      <c r="AB363" t="str">
        <f t="shared" si="31"/>
        <v>H1_2026</v>
      </c>
      <c r="AC363">
        <f t="shared" si="32"/>
        <v>111005.04</v>
      </c>
      <c r="AD363">
        <f t="shared" si="33"/>
        <v>10</v>
      </c>
      <c r="AE363">
        <f t="shared" si="34"/>
        <v>25505.040000000001</v>
      </c>
      <c r="AF363" t="str">
        <f t="shared" si="35"/>
        <v>Paid</v>
      </c>
    </row>
    <row r="364" spans="1:32" ht="17.25" thickBot="1" x14ac:dyDescent="0.35">
      <c r="A364" s="2" t="s">
        <v>3009</v>
      </c>
      <c r="B364" s="2" t="s">
        <v>27</v>
      </c>
      <c r="C364" s="2" t="s">
        <v>28</v>
      </c>
      <c r="D364" s="2" t="s">
        <v>97</v>
      </c>
      <c r="E364" s="2" t="s">
        <v>1884</v>
      </c>
      <c r="F364" s="2" t="s">
        <v>99</v>
      </c>
      <c r="G364" s="2" t="s">
        <v>32</v>
      </c>
      <c r="H364" s="1"/>
      <c r="I364" s="2" t="s">
        <v>33</v>
      </c>
      <c r="J364" s="2" t="s">
        <v>34</v>
      </c>
      <c r="K364" s="2" t="s">
        <v>3010</v>
      </c>
      <c r="L364" s="2" t="s">
        <v>3011</v>
      </c>
      <c r="M364" s="2" t="s">
        <v>2933</v>
      </c>
      <c r="N364" s="2" t="s">
        <v>38</v>
      </c>
      <c r="O364" s="2" t="s">
        <v>214</v>
      </c>
      <c r="P364" s="2" t="s">
        <v>3012</v>
      </c>
      <c r="Q364" s="2" t="s">
        <v>3013</v>
      </c>
      <c r="R364" s="2" t="s">
        <v>40</v>
      </c>
      <c r="S364" s="2" t="s">
        <v>3014</v>
      </c>
      <c r="T364" s="2" t="s">
        <v>3015</v>
      </c>
      <c r="U364" s="2" t="s">
        <v>3016</v>
      </c>
      <c r="V364" s="2" t="s">
        <v>3017</v>
      </c>
      <c r="W364" s="1"/>
      <c r="X364" s="2" t="s">
        <v>2958</v>
      </c>
      <c r="Y364" s="2" t="s">
        <v>2148</v>
      </c>
      <c r="AA364" t="str">
        <f t="shared" si="30"/>
        <v>2026-06</v>
      </c>
      <c r="AB364" t="str">
        <f t="shared" si="31"/>
        <v>H1_2026</v>
      </c>
      <c r="AC364">
        <f t="shared" si="32"/>
        <v>517928.4</v>
      </c>
      <c r="AD364">
        <f t="shared" si="33"/>
        <v>50</v>
      </c>
      <c r="AE364">
        <f t="shared" si="34"/>
        <v>118928.4</v>
      </c>
      <c r="AF364" t="str">
        <f t="shared" si="35"/>
        <v>Paid</v>
      </c>
    </row>
    <row r="365" spans="1:32" ht="17.25" thickBot="1" x14ac:dyDescent="0.35">
      <c r="A365" s="2" t="s">
        <v>3018</v>
      </c>
      <c r="B365" s="2" t="s">
        <v>27</v>
      </c>
      <c r="C365" s="2" t="s">
        <v>28</v>
      </c>
      <c r="D365" s="2" t="s">
        <v>97</v>
      </c>
      <c r="E365" s="2" t="s">
        <v>1884</v>
      </c>
      <c r="F365" s="2" t="s">
        <v>99</v>
      </c>
      <c r="G365" s="2" t="s">
        <v>32</v>
      </c>
      <c r="H365" s="1"/>
      <c r="I365" s="2" t="s">
        <v>33</v>
      </c>
      <c r="J365" s="2" t="s">
        <v>34</v>
      </c>
      <c r="K365" s="2" t="s">
        <v>3019</v>
      </c>
      <c r="L365" s="2" t="s">
        <v>3020</v>
      </c>
      <c r="M365" s="2" t="s">
        <v>2933</v>
      </c>
      <c r="N365" s="2" t="s">
        <v>38</v>
      </c>
      <c r="O365" s="2" t="s">
        <v>391</v>
      </c>
      <c r="P365" s="2" t="s">
        <v>3012</v>
      </c>
      <c r="Q365" s="2" t="s">
        <v>3021</v>
      </c>
      <c r="R365" s="2" t="s">
        <v>40</v>
      </c>
      <c r="S365" s="2" t="s">
        <v>3022</v>
      </c>
      <c r="T365" s="2" t="s">
        <v>3023</v>
      </c>
      <c r="U365" s="2" t="s">
        <v>3024</v>
      </c>
      <c r="V365" s="2" t="s">
        <v>3025</v>
      </c>
      <c r="W365" s="1"/>
      <c r="X365" s="2" t="s">
        <v>3026</v>
      </c>
      <c r="Y365" s="2" t="s">
        <v>2148</v>
      </c>
      <c r="AA365" t="str">
        <f t="shared" si="30"/>
        <v>2026-06</v>
      </c>
      <c r="AB365" t="str">
        <f t="shared" si="31"/>
        <v>H1_2026</v>
      </c>
      <c r="AC365">
        <f t="shared" si="32"/>
        <v>621514.07999999996</v>
      </c>
      <c r="AD365">
        <f t="shared" si="33"/>
        <v>60</v>
      </c>
      <c r="AE365">
        <f t="shared" si="34"/>
        <v>501514.08</v>
      </c>
      <c r="AF365" t="str">
        <f t="shared" si="35"/>
        <v>Paid</v>
      </c>
    </row>
    <row r="366" spans="1:32" ht="27.75" thickBot="1" x14ac:dyDescent="0.35">
      <c r="A366" s="2" t="s">
        <v>3027</v>
      </c>
      <c r="B366" s="2" t="s">
        <v>27</v>
      </c>
      <c r="C366" s="2" t="s">
        <v>28</v>
      </c>
      <c r="D366" s="2" t="s">
        <v>97</v>
      </c>
      <c r="E366" s="2" t="s">
        <v>1884</v>
      </c>
      <c r="F366" s="2" t="s">
        <v>99</v>
      </c>
      <c r="G366" s="2" t="s">
        <v>32</v>
      </c>
      <c r="H366" s="1"/>
      <c r="I366" s="2" t="s">
        <v>33</v>
      </c>
      <c r="J366" s="2" t="s">
        <v>34</v>
      </c>
      <c r="K366" s="2" t="s">
        <v>3028</v>
      </c>
      <c r="L366" s="2" t="s">
        <v>3029</v>
      </c>
      <c r="M366" s="2" t="s">
        <v>3030</v>
      </c>
      <c r="N366" s="2" t="s">
        <v>38</v>
      </c>
      <c r="O366" s="2" t="s">
        <v>214</v>
      </c>
      <c r="P366" s="2" t="s">
        <v>3031</v>
      </c>
      <c r="Q366" s="2" t="s">
        <v>3032</v>
      </c>
      <c r="R366" s="2" t="s">
        <v>40</v>
      </c>
      <c r="S366" s="2" t="s">
        <v>3033</v>
      </c>
      <c r="T366" s="2" t="s">
        <v>3034</v>
      </c>
      <c r="U366" s="2" t="s">
        <v>3035</v>
      </c>
      <c r="V366" s="2" t="s">
        <v>3036</v>
      </c>
      <c r="W366" s="1"/>
      <c r="X366" s="2" t="s">
        <v>3037</v>
      </c>
      <c r="Y366" s="2" t="s">
        <v>2148</v>
      </c>
      <c r="AA366" t="str">
        <f t="shared" si="30"/>
        <v>2026-06</v>
      </c>
      <c r="AB366" t="str">
        <f t="shared" si="31"/>
        <v>H1_2026</v>
      </c>
      <c r="AC366">
        <f t="shared" si="32"/>
        <v>343858.8</v>
      </c>
      <c r="AD366">
        <f t="shared" si="33"/>
        <v>50</v>
      </c>
      <c r="AE366">
        <f t="shared" si="34"/>
        <v>118404.25</v>
      </c>
      <c r="AF366" t="str">
        <f t="shared" si="35"/>
        <v>Paid</v>
      </c>
    </row>
    <row r="367" spans="1:32" ht="27.75" thickBot="1" x14ac:dyDescent="0.35">
      <c r="A367" s="2" t="s">
        <v>3038</v>
      </c>
      <c r="B367" s="2" t="s">
        <v>27</v>
      </c>
      <c r="C367" s="2" t="s">
        <v>28</v>
      </c>
      <c r="D367" s="2" t="s">
        <v>97</v>
      </c>
      <c r="E367" s="2" t="s">
        <v>1884</v>
      </c>
      <c r="F367" s="2" t="s">
        <v>99</v>
      </c>
      <c r="G367" s="2" t="s">
        <v>32</v>
      </c>
      <c r="H367" s="1"/>
      <c r="I367" s="2" t="s">
        <v>33</v>
      </c>
      <c r="J367" s="2" t="s">
        <v>34</v>
      </c>
      <c r="K367" s="2" t="s">
        <v>3039</v>
      </c>
      <c r="L367" s="2" t="s">
        <v>3040</v>
      </c>
      <c r="M367" s="2" t="s">
        <v>3030</v>
      </c>
      <c r="N367" s="2" t="s">
        <v>38</v>
      </c>
      <c r="O367" s="2" t="s">
        <v>60</v>
      </c>
      <c r="P367" s="2" t="s">
        <v>3041</v>
      </c>
      <c r="Q367" s="2" t="s">
        <v>3042</v>
      </c>
      <c r="R367" s="2" t="s">
        <v>40</v>
      </c>
      <c r="S367" s="2" t="s">
        <v>3043</v>
      </c>
      <c r="T367" s="2" t="s">
        <v>3044</v>
      </c>
      <c r="U367" s="2" t="s">
        <v>3045</v>
      </c>
      <c r="V367" s="2" t="s">
        <v>3046</v>
      </c>
      <c r="W367" s="1"/>
      <c r="X367" s="2" t="s">
        <v>3047</v>
      </c>
      <c r="Y367" s="2" t="s">
        <v>2148</v>
      </c>
      <c r="AA367" t="str">
        <f t="shared" si="30"/>
        <v>2026-06</v>
      </c>
      <c r="AB367" t="str">
        <f t="shared" si="31"/>
        <v>H1_2026</v>
      </c>
      <c r="AC367">
        <f t="shared" si="32"/>
        <v>72253.149999999994</v>
      </c>
      <c r="AD367">
        <f t="shared" si="33"/>
        <v>6</v>
      </c>
      <c r="AE367">
        <f t="shared" si="34"/>
        <v>24907.7</v>
      </c>
      <c r="AF367" t="str">
        <f t="shared" si="35"/>
        <v>Paid</v>
      </c>
    </row>
    <row r="368" spans="1:32" ht="17.25" thickBot="1" x14ac:dyDescent="0.35">
      <c r="A368" s="2" t="s">
        <v>3048</v>
      </c>
      <c r="B368" s="2" t="s">
        <v>27</v>
      </c>
      <c r="C368" s="2" t="s">
        <v>28</v>
      </c>
      <c r="D368" s="2" t="s">
        <v>97</v>
      </c>
      <c r="E368" s="2" t="s">
        <v>1884</v>
      </c>
      <c r="F368" s="2" t="s">
        <v>99</v>
      </c>
      <c r="G368" s="2" t="s">
        <v>32</v>
      </c>
      <c r="H368" s="1"/>
      <c r="I368" s="2" t="s">
        <v>33</v>
      </c>
      <c r="J368" s="2" t="s">
        <v>34</v>
      </c>
      <c r="K368" s="2" t="s">
        <v>3049</v>
      </c>
      <c r="L368" s="2" t="s">
        <v>3050</v>
      </c>
      <c r="M368" s="2" t="s">
        <v>3051</v>
      </c>
      <c r="N368" s="2" t="s">
        <v>38</v>
      </c>
      <c r="O368" s="2" t="s">
        <v>221</v>
      </c>
      <c r="P368" s="2" t="s">
        <v>2801</v>
      </c>
      <c r="Q368" s="2" t="s">
        <v>3052</v>
      </c>
      <c r="R368" s="2" t="s">
        <v>40</v>
      </c>
      <c r="S368" s="2" t="s">
        <v>3053</v>
      </c>
      <c r="T368" s="2" t="s">
        <v>3054</v>
      </c>
      <c r="U368" s="2" t="s">
        <v>3055</v>
      </c>
      <c r="V368" s="2" t="s">
        <v>3056</v>
      </c>
      <c r="W368" s="1"/>
      <c r="X368" s="2" t="s">
        <v>2939</v>
      </c>
      <c r="Y368" s="2" t="s">
        <v>2148</v>
      </c>
      <c r="AA368" t="str">
        <f t="shared" si="30"/>
        <v>2026-06</v>
      </c>
      <c r="AB368" t="str">
        <f t="shared" si="31"/>
        <v>H1_2026</v>
      </c>
      <c r="AC368">
        <f t="shared" si="32"/>
        <v>982779.84</v>
      </c>
      <c r="AD368">
        <f t="shared" si="33"/>
        <v>140</v>
      </c>
      <c r="AE368">
        <f t="shared" si="34"/>
        <v>258470.76</v>
      </c>
      <c r="AF368" t="str">
        <f t="shared" si="35"/>
        <v>Paid</v>
      </c>
    </row>
    <row r="369" spans="1:32" ht="17.25" thickBot="1" x14ac:dyDescent="0.35">
      <c r="A369" s="2" t="s">
        <v>3057</v>
      </c>
      <c r="B369" s="2" t="s">
        <v>27</v>
      </c>
      <c r="C369" s="2" t="s">
        <v>28</v>
      </c>
      <c r="D369" s="2" t="s">
        <v>97</v>
      </c>
      <c r="E369" s="2" t="s">
        <v>1884</v>
      </c>
      <c r="F369" s="2" t="s">
        <v>99</v>
      </c>
      <c r="G369" s="2" t="s">
        <v>32</v>
      </c>
      <c r="H369" s="1"/>
      <c r="I369" s="2" t="s">
        <v>33</v>
      </c>
      <c r="J369" s="2" t="s">
        <v>34</v>
      </c>
      <c r="K369" s="2" t="s">
        <v>3058</v>
      </c>
      <c r="L369" s="2" t="s">
        <v>3059</v>
      </c>
      <c r="M369" s="2" t="s">
        <v>3051</v>
      </c>
      <c r="N369" s="2" t="s">
        <v>38</v>
      </c>
      <c r="O369" s="2" t="s">
        <v>517</v>
      </c>
      <c r="P369" s="2" t="s">
        <v>2801</v>
      </c>
      <c r="Q369" s="2" t="s">
        <v>3060</v>
      </c>
      <c r="R369" s="2" t="s">
        <v>40</v>
      </c>
      <c r="S369" s="2" t="s">
        <v>3061</v>
      </c>
      <c r="T369" s="2" t="s">
        <v>3054</v>
      </c>
      <c r="U369" s="2" t="s">
        <v>3062</v>
      </c>
      <c r="V369" s="2" t="s">
        <v>3063</v>
      </c>
      <c r="W369" s="1"/>
      <c r="X369" s="2" t="s">
        <v>2939</v>
      </c>
      <c r="Y369" s="2" t="s">
        <v>2148</v>
      </c>
      <c r="AA369" t="str">
        <f t="shared" si="30"/>
        <v>2026-06</v>
      </c>
      <c r="AB369" t="str">
        <f t="shared" si="31"/>
        <v>H1_2026</v>
      </c>
      <c r="AC369">
        <f t="shared" si="32"/>
        <v>842382.72</v>
      </c>
      <c r="AD369">
        <f t="shared" si="33"/>
        <v>120</v>
      </c>
      <c r="AE369">
        <f t="shared" si="34"/>
        <v>221546.36</v>
      </c>
      <c r="AF369" t="str">
        <f t="shared" si="35"/>
        <v>Paid</v>
      </c>
    </row>
    <row r="370" spans="1:32" ht="27.75" thickBot="1" x14ac:dyDescent="0.35">
      <c r="A370" s="2" t="s">
        <v>3064</v>
      </c>
      <c r="B370" s="2" t="s">
        <v>27</v>
      </c>
      <c r="C370" s="2" t="s">
        <v>28</v>
      </c>
      <c r="D370" s="2" t="s">
        <v>97</v>
      </c>
      <c r="E370" s="2" t="s">
        <v>1884</v>
      </c>
      <c r="F370" s="2" t="s">
        <v>99</v>
      </c>
      <c r="G370" s="2" t="s">
        <v>32</v>
      </c>
      <c r="H370" s="1"/>
      <c r="I370" s="2" t="s">
        <v>33</v>
      </c>
      <c r="J370" s="2" t="s">
        <v>34</v>
      </c>
      <c r="K370" s="2" t="s">
        <v>3065</v>
      </c>
      <c r="L370" s="2" t="s">
        <v>3066</v>
      </c>
      <c r="M370" s="2" t="s">
        <v>3067</v>
      </c>
      <c r="N370" s="2" t="s">
        <v>38</v>
      </c>
      <c r="O370" s="2" t="s">
        <v>3068</v>
      </c>
      <c r="P370" s="2" t="s">
        <v>3069</v>
      </c>
      <c r="Q370" s="2" t="s">
        <v>3070</v>
      </c>
      <c r="R370" s="2" t="s">
        <v>40</v>
      </c>
      <c r="S370" s="2" t="s">
        <v>3071</v>
      </c>
      <c r="T370" s="2" t="s">
        <v>2909</v>
      </c>
      <c r="U370" s="2" t="s">
        <v>3072</v>
      </c>
      <c r="V370" s="2" t="s">
        <v>3073</v>
      </c>
      <c r="W370" s="1"/>
      <c r="X370" s="2" t="s">
        <v>827</v>
      </c>
      <c r="Y370" s="2" t="s">
        <v>2148</v>
      </c>
      <c r="AA370" t="str">
        <f t="shared" si="30"/>
        <v>2026-06</v>
      </c>
      <c r="AB370" t="str">
        <f t="shared" si="31"/>
        <v>H1_2026</v>
      </c>
      <c r="AC370">
        <f t="shared" si="32"/>
        <v>5463217.2000000002</v>
      </c>
      <c r="AD370">
        <f t="shared" si="33"/>
        <v>700</v>
      </c>
      <c r="AE370">
        <f t="shared" si="34"/>
        <v>1123217.2</v>
      </c>
      <c r="AF370" t="str">
        <f t="shared" si="35"/>
        <v>Paid</v>
      </c>
    </row>
    <row r="371" spans="1:32" ht="27.75" thickBot="1" x14ac:dyDescent="0.35">
      <c r="A371" s="2" t="s">
        <v>3074</v>
      </c>
      <c r="B371" s="2" t="s">
        <v>27</v>
      </c>
      <c r="C371" s="2" t="s">
        <v>28</v>
      </c>
      <c r="D371" s="2" t="s">
        <v>97</v>
      </c>
      <c r="E371" s="2" t="s">
        <v>1884</v>
      </c>
      <c r="F371" s="2" t="s">
        <v>99</v>
      </c>
      <c r="G371" s="2" t="s">
        <v>32</v>
      </c>
      <c r="H371" s="1"/>
      <c r="I371" s="2" t="s">
        <v>33</v>
      </c>
      <c r="J371" s="2" t="s">
        <v>34</v>
      </c>
      <c r="K371" s="2" t="s">
        <v>3075</v>
      </c>
      <c r="L371" s="2" t="s">
        <v>3076</v>
      </c>
      <c r="M371" s="2" t="s">
        <v>3067</v>
      </c>
      <c r="N371" s="2" t="s">
        <v>38</v>
      </c>
      <c r="O371" s="2" t="s">
        <v>1631</v>
      </c>
      <c r="P371" s="2" t="s">
        <v>2612</v>
      </c>
      <c r="Q371" s="2" t="s">
        <v>3077</v>
      </c>
      <c r="R371" s="2" t="s">
        <v>40</v>
      </c>
      <c r="S371" s="2" t="s">
        <v>3078</v>
      </c>
      <c r="T371" s="2" t="s">
        <v>3079</v>
      </c>
      <c r="U371" s="2" t="s">
        <v>3080</v>
      </c>
      <c r="V371" s="2" t="s">
        <v>3081</v>
      </c>
      <c r="W371" s="1"/>
      <c r="X371" s="2" t="s">
        <v>155</v>
      </c>
      <c r="Y371" s="2" t="s">
        <v>2148</v>
      </c>
      <c r="AA371" t="str">
        <f t="shared" si="30"/>
        <v>2026-06</v>
      </c>
      <c r="AB371" t="str">
        <f t="shared" si="31"/>
        <v>H1_2026</v>
      </c>
      <c r="AC371">
        <f t="shared" si="32"/>
        <v>1369014.6</v>
      </c>
      <c r="AD371">
        <f t="shared" si="33"/>
        <v>190</v>
      </c>
      <c r="AE371">
        <f t="shared" si="34"/>
        <v>267014.59999999998</v>
      </c>
      <c r="AF371" t="str">
        <f t="shared" si="35"/>
        <v>Paid</v>
      </c>
    </row>
    <row r="372" spans="1:32" ht="27.75" thickBot="1" x14ac:dyDescent="0.35">
      <c r="A372" s="2" t="s">
        <v>676</v>
      </c>
      <c r="B372" s="2" t="s">
        <v>27</v>
      </c>
      <c r="C372" s="2" t="s">
        <v>28</v>
      </c>
      <c r="D372" s="2" t="s">
        <v>97</v>
      </c>
      <c r="E372" s="2" t="s">
        <v>1884</v>
      </c>
      <c r="F372" s="2" t="s">
        <v>99</v>
      </c>
      <c r="G372" s="2" t="s">
        <v>32</v>
      </c>
      <c r="H372" s="1"/>
      <c r="I372" s="2" t="s">
        <v>33</v>
      </c>
      <c r="J372" s="2" t="s">
        <v>34</v>
      </c>
      <c r="K372" s="2" t="s">
        <v>3082</v>
      </c>
      <c r="L372" s="2" t="s">
        <v>3083</v>
      </c>
      <c r="M372" s="2" t="s">
        <v>3067</v>
      </c>
      <c r="N372" s="2" t="s">
        <v>38</v>
      </c>
      <c r="O372" s="2" t="s">
        <v>517</v>
      </c>
      <c r="P372" s="2" t="s">
        <v>3084</v>
      </c>
      <c r="Q372" s="2" t="s">
        <v>3085</v>
      </c>
      <c r="R372" s="2" t="s">
        <v>40</v>
      </c>
      <c r="S372" s="2" t="s">
        <v>3086</v>
      </c>
      <c r="T372" s="2" t="s">
        <v>669</v>
      </c>
      <c r="U372" s="2" t="s">
        <v>3087</v>
      </c>
      <c r="V372" s="2" t="s">
        <v>3088</v>
      </c>
      <c r="W372" s="1"/>
      <c r="X372" s="2" t="s">
        <v>3089</v>
      </c>
      <c r="Y372" s="2" t="s">
        <v>2148</v>
      </c>
      <c r="AA372" t="str">
        <f t="shared" si="30"/>
        <v>2026-06</v>
      </c>
      <c r="AB372" t="str">
        <f t="shared" si="31"/>
        <v>H1_2026</v>
      </c>
      <c r="AC372">
        <f t="shared" si="32"/>
        <v>892035.36</v>
      </c>
      <c r="AD372">
        <f t="shared" si="33"/>
        <v>120</v>
      </c>
      <c r="AE372">
        <f t="shared" si="34"/>
        <v>172035.36</v>
      </c>
      <c r="AF372" t="str">
        <f t="shared" si="35"/>
        <v>Paid</v>
      </c>
    </row>
    <row r="373" spans="1:32" ht="27.75" thickBot="1" x14ac:dyDescent="0.35">
      <c r="A373" s="2" t="s">
        <v>3090</v>
      </c>
      <c r="B373" s="2" t="s">
        <v>27</v>
      </c>
      <c r="C373" s="2" t="s">
        <v>28</v>
      </c>
      <c r="D373" s="2" t="s">
        <v>97</v>
      </c>
      <c r="E373" s="2" t="s">
        <v>1884</v>
      </c>
      <c r="F373" s="2" t="s">
        <v>99</v>
      </c>
      <c r="G373" s="2" t="s">
        <v>32</v>
      </c>
      <c r="H373" s="1"/>
      <c r="I373" s="2" t="s">
        <v>33</v>
      </c>
      <c r="J373" s="2" t="s">
        <v>34</v>
      </c>
      <c r="K373" s="2" t="s">
        <v>3091</v>
      </c>
      <c r="L373" s="2" t="s">
        <v>3092</v>
      </c>
      <c r="M373" s="2" t="s">
        <v>3067</v>
      </c>
      <c r="N373" s="2" t="s">
        <v>38</v>
      </c>
      <c r="O373" s="2" t="s">
        <v>370</v>
      </c>
      <c r="P373" s="2" t="s">
        <v>3084</v>
      </c>
      <c r="Q373" s="2" t="s">
        <v>3093</v>
      </c>
      <c r="R373" s="2" t="s">
        <v>40</v>
      </c>
      <c r="S373" s="2" t="s">
        <v>3094</v>
      </c>
      <c r="T373" s="2" t="s">
        <v>669</v>
      </c>
      <c r="U373" s="2" t="s">
        <v>3095</v>
      </c>
      <c r="V373" s="2" t="s">
        <v>3096</v>
      </c>
      <c r="W373" s="1"/>
      <c r="X373" s="2" t="s">
        <v>3089</v>
      </c>
      <c r="Y373" s="2" t="s">
        <v>2148</v>
      </c>
      <c r="AA373" t="str">
        <f t="shared" si="30"/>
        <v>2026-06</v>
      </c>
      <c r="AB373" t="str">
        <f t="shared" si="31"/>
        <v>H1_2026</v>
      </c>
      <c r="AC373">
        <f t="shared" si="32"/>
        <v>3568141.44</v>
      </c>
      <c r="AD373">
        <f t="shared" si="33"/>
        <v>480</v>
      </c>
      <c r="AE373">
        <f t="shared" si="34"/>
        <v>688141.44</v>
      </c>
      <c r="AF373" t="str">
        <f t="shared" si="35"/>
        <v>Paid</v>
      </c>
    </row>
    <row r="374" spans="1:32" ht="27.75" thickBot="1" x14ac:dyDescent="0.35">
      <c r="A374" s="2" t="s">
        <v>3097</v>
      </c>
      <c r="B374" s="2" t="s">
        <v>27</v>
      </c>
      <c r="C374" s="2" t="s">
        <v>28</v>
      </c>
      <c r="D374" s="2" t="s">
        <v>97</v>
      </c>
      <c r="E374" s="2" t="s">
        <v>1884</v>
      </c>
      <c r="F374" s="2" t="s">
        <v>99</v>
      </c>
      <c r="G374" s="2" t="s">
        <v>32</v>
      </c>
      <c r="H374" s="1"/>
      <c r="I374" s="2" t="s">
        <v>33</v>
      </c>
      <c r="J374" s="2" t="s">
        <v>34</v>
      </c>
      <c r="K374" s="2" t="s">
        <v>3098</v>
      </c>
      <c r="L374" s="2" t="s">
        <v>3099</v>
      </c>
      <c r="M374" s="2" t="s">
        <v>3067</v>
      </c>
      <c r="N374" s="2" t="s">
        <v>38</v>
      </c>
      <c r="O374" s="2" t="s">
        <v>213</v>
      </c>
      <c r="P374" s="2" t="s">
        <v>115</v>
      </c>
      <c r="Q374" s="2" t="s">
        <v>3100</v>
      </c>
      <c r="R374" s="2" t="s">
        <v>40</v>
      </c>
      <c r="S374" s="2" t="s">
        <v>3101</v>
      </c>
      <c r="T374" s="2" t="s">
        <v>126</v>
      </c>
      <c r="U374" s="2" t="s">
        <v>3102</v>
      </c>
      <c r="V374" s="2" t="s">
        <v>3103</v>
      </c>
      <c r="W374" s="1"/>
      <c r="X374" s="2" t="s">
        <v>1427</v>
      </c>
      <c r="Y374" s="2" t="s">
        <v>2148</v>
      </c>
      <c r="AA374" t="str">
        <f t="shared" si="30"/>
        <v>2026-06</v>
      </c>
      <c r="AB374" t="str">
        <f t="shared" si="31"/>
        <v>H1_2026</v>
      </c>
      <c r="AC374">
        <f t="shared" si="32"/>
        <v>216274.34</v>
      </c>
      <c r="AD374">
        <f t="shared" si="33"/>
        <v>26</v>
      </c>
      <c r="AE374">
        <f t="shared" si="34"/>
        <v>52474.34</v>
      </c>
      <c r="AF374" t="str">
        <f t="shared" si="35"/>
        <v>Paid</v>
      </c>
    </row>
    <row r="375" spans="1:32" ht="27.75" thickBot="1" x14ac:dyDescent="0.35">
      <c r="A375" s="2" t="s">
        <v>3104</v>
      </c>
      <c r="B375" s="2" t="s">
        <v>27</v>
      </c>
      <c r="C375" s="2" t="s">
        <v>28</v>
      </c>
      <c r="D375" s="2" t="s">
        <v>97</v>
      </c>
      <c r="E375" s="2" t="s">
        <v>1884</v>
      </c>
      <c r="F375" s="2" t="s">
        <v>99</v>
      </c>
      <c r="G375" s="2" t="s">
        <v>32</v>
      </c>
      <c r="H375" s="1"/>
      <c r="I375" s="2" t="s">
        <v>33</v>
      </c>
      <c r="J375" s="2" t="s">
        <v>34</v>
      </c>
      <c r="K375" s="2" t="s">
        <v>3105</v>
      </c>
      <c r="L375" s="2" t="s">
        <v>3106</v>
      </c>
      <c r="M375" s="2" t="s">
        <v>3067</v>
      </c>
      <c r="N375" s="2" t="s">
        <v>38</v>
      </c>
      <c r="O375" s="2" t="s">
        <v>849</v>
      </c>
      <c r="P375" s="2" t="s">
        <v>3107</v>
      </c>
      <c r="Q375" s="2" t="s">
        <v>3108</v>
      </c>
      <c r="R375" s="2" t="s">
        <v>40</v>
      </c>
      <c r="S375" s="2" t="s">
        <v>3109</v>
      </c>
      <c r="T375" s="2" t="s">
        <v>3110</v>
      </c>
      <c r="U375" s="2" t="s">
        <v>3111</v>
      </c>
      <c r="V375" s="2" t="s">
        <v>3112</v>
      </c>
      <c r="W375" s="1"/>
      <c r="X375" s="2" t="s">
        <v>897</v>
      </c>
      <c r="Y375" s="2" t="s">
        <v>2148</v>
      </c>
      <c r="AA375" t="str">
        <f t="shared" si="30"/>
        <v>2026-06</v>
      </c>
      <c r="AB375" t="str">
        <f t="shared" si="31"/>
        <v>H1_2026</v>
      </c>
      <c r="AC375">
        <f t="shared" si="32"/>
        <v>810422.4</v>
      </c>
      <c r="AD375">
        <f t="shared" si="33"/>
        <v>160</v>
      </c>
      <c r="AE375">
        <f t="shared" si="34"/>
        <v>170422.39999999999</v>
      </c>
      <c r="AF375" t="str">
        <f t="shared" si="35"/>
        <v>Paid</v>
      </c>
    </row>
    <row r="376" spans="1:32" ht="17.25" thickBot="1" x14ac:dyDescent="0.35">
      <c r="A376" s="2" t="s">
        <v>3113</v>
      </c>
      <c r="B376" s="2" t="s">
        <v>27</v>
      </c>
      <c r="C376" s="2" t="s">
        <v>28</v>
      </c>
      <c r="D376" s="2" t="s">
        <v>97</v>
      </c>
      <c r="E376" s="2" t="s">
        <v>1884</v>
      </c>
      <c r="F376" s="2" t="s">
        <v>99</v>
      </c>
      <c r="G376" s="2" t="s">
        <v>32</v>
      </c>
      <c r="H376" s="1"/>
      <c r="I376" s="2" t="s">
        <v>33</v>
      </c>
      <c r="J376" s="2" t="s">
        <v>34</v>
      </c>
      <c r="K376" s="2" t="s">
        <v>3114</v>
      </c>
      <c r="L376" s="2" t="s">
        <v>3115</v>
      </c>
      <c r="M376" s="2" t="s">
        <v>3116</v>
      </c>
      <c r="N376" s="2" t="s">
        <v>38</v>
      </c>
      <c r="O376" s="2" t="s">
        <v>524</v>
      </c>
      <c r="P376" s="2" t="s">
        <v>2829</v>
      </c>
      <c r="Q376" s="2" t="s">
        <v>3117</v>
      </c>
      <c r="R376" s="2" t="s">
        <v>40</v>
      </c>
      <c r="S376" s="2" t="s">
        <v>3118</v>
      </c>
      <c r="T376" s="2" t="s">
        <v>267</v>
      </c>
      <c r="U376" s="2" t="s">
        <v>3119</v>
      </c>
      <c r="V376" s="2" t="s">
        <v>3120</v>
      </c>
      <c r="W376" s="1"/>
      <c r="X376" s="2" t="s">
        <v>796</v>
      </c>
      <c r="Y376" s="2" t="s">
        <v>2148</v>
      </c>
      <c r="AA376" t="str">
        <f t="shared" si="30"/>
        <v>2026-06</v>
      </c>
      <c r="AB376" t="str">
        <f t="shared" si="31"/>
        <v>H1_2026</v>
      </c>
      <c r="AC376">
        <f t="shared" si="32"/>
        <v>510023.93</v>
      </c>
      <c r="AD376">
        <f t="shared" si="33"/>
        <v>61</v>
      </c>
      <c r="AE376">
        <f t="shared" si="34"/>
        <v>107423.93</v>
      </c>
      <c r="AF376" t="str">
        <f t="shared" si="35"/>
        <v>Paid</v>
      </c>
    </row>
    <row r="377" spans="1:32" ht="17.25" thickBot="1" x14ac:dyDescent="0.35">
      <c r="A377" s="2" t="s">
        <v>3121</v>
      </c>
      <c r="B377" s="2" t="s">
        <v>27</v>
      </c>
      <c r="C377" s="2" t="s">
        <v>28</v>
      </c>
      <c r="D377" s="2" t="s">
        <v>97</v>
      </c>
      <c r="E377" s="2" t="s">
        <v>1884</v>
      </c>
      <c r="F377" s="2" t="s">
        <v>99</v>
      </c>
      <c r="G377" s="2" t="s">
        <v>32</v>
      </c>
      <c r="H377" s="1"/>
      <c r="I377" s="2" t="s">
        <v>33</v>
      </c>
      <c r="J377" s="2" t="s">
        <v>34</v>
      </c>
      <c r="K377" s="2" t="s">
        <v>3122</v>
      </c>
      <c r="L377" s="2" t="s">
        <v>3123</v>
      </c>
      <c r="M377" s="2" t="s">
        <v>3116</v>
      </c>
      <c r="N377" s="2" t="s">
        <v>38</v>
      </c>
      <c r="O377" s="2" t="s">
        <v>166</v>
      </c>
      <c r="P377" s="2" t="s">
        <v>2810</v>
      </c>
      <c r="Q377" s="2" t="s">
        <v>3124</v>
      </c>
      <c r="R377" s="2" t="s">
        <v>40</v>
      </c>
      <c r="S377" s="2" t="s">
        <v>3125</v>
      </c>
      <c r="T377" s="2" t="s">
        <v>1136</v>
      </c>
      <c r="U377" s="2" t="s">
        <v>3126</v>
      </c>
      <c r="V377" s="2" t="s">
        <v>3127</v>
      </c>
      <c r="W377" s="1"/>
      <c r="X377" s="2" t="s">
        <v>796</v>
      </c>
      <c r="Y377" s="2" t="s">
        <v>2148</v>
      </c>
      <c r="AA377" t="str">
        <f t="shared" si="30"/>
        <v>2026-06</v>
      </c>
      <c r="AB377" t="str">
        <f t="shared" si="31"/>
        <v>H1_2026</v>
      </c>
      <c r="AC377">
        <f t="shared" si="32"/>
        <v>111761.24</v>
      </c>
      <c r="AD377">
        <f t="shared" si="33"/>
        <v>21</v>
      </c>
      <c r="AE377">
        <f t="shared" si="34"/>
        <v>23561.24</v>
      </c>
      <c r="AF377" t="str">
        <f t="shared" si="35"/>
        <v>Paid</v>
      </c>
    </row>
    <row r="378" spans="1:32" ht="17.25" thickBot="1" x14ac:dyDescent="0.35">
      <c r="A378" s="2" t="s">
        <v>3128</v>
      </c>
      <c r="B378" s="2" t="s">
        <v>27</v>
      </c>
      <c r="C378" s="2" t="s">
        <v>28</v>
      </c>
      <c r="D378" s="2" t="s">
        <v>97</v>
      </c>
      <c r="E378" s="2" t="s">
        <v>1884</v>
      </c>
      <c r="F378" s="2" t="s">
        <v>99</v>
      </c>
      <c r="G378" s="2" t="s">
        <v>32</v>
      </c>
      <c r="H378" s="1"/>
      <c r="I378" s="2" t="s">
        <v>33</v>
      </c>
      <c r="J378" s="2" t="s">
        <v>34</v>
      </c>
      <c r="K378" s="2" t="s">
        <v>3129</v>
      </c>
      <c r="L378" s="2" t="s">
        <v>3130</v>
      </c>
      <c r="M378" s="2" t="s">
        <v>3131</v>
      </c>
      <c r="N378" s="2" t="s">
        <v>38</v>
      </c>
      <c r="O378" s="2" t="s">
        <v>92</v>
      </c>
      <c r="P378" s="2" t="s">
        <v>3132</v>
      </c>
      <c r="Q378" s="2" t="s">
        <v>3133</v>
      </c>
      <c r="R378" s="2" t="s">
        <v>40</v>
      </c>
      <c r="S378" s="2" t="s">
        <v>3134</v>
      </c>
      <c r="T378" s="2" t="s">
        <v>3135</v>
      </c>
      <c r="U378" s="2" t="s">
        <v>3136</v>
      </c>
      <c r="V378" s="2" t="s">
        <v>3137</v>
      </c>
      <c r="W378" s="1"/>
      <c r="X378" s="2" t="s">
        <v>3138</v>
      </c>
      <c r="Y378" s="2" t="s">
        <v>2148</v>
      </c>
      <c r="AA378" t="str">
        <f t="shared" si="30"/>
        <v>2026-06</v>
      </c>
      <c r="AB378" t="str">
        <f t="shared" si="31"/>
        <v>H1_2026</v>
      </c>
      <c r="AC378">
        <f t="shared" si="32"/>
        <v>163782.37</v>
      </c>
      <c r="AD378">
        <f t="shared" si="33"/>
        <v>13</v>
      </c>
      <c r="AE378">
        <f t="shared" si="34"/>
        <v>36146.01</v>
      </c>
      <c r="AF378" t="str">
        <f t="shared" si="35"/>
        <v>Paid</v>
      </c>
    </row>
    <row r="379" spans="1:32" ht="17.25" thickBot="1" x14ac:dyDescent="0.35">
      <c r="A379" s="2" t="s">
        <v>3139</v>
      </c>
      <c r="B379" s="2" t="s">
        <v>27</v>
      </c>
      <c r="C379" s="2" t="s">
        <v>28</v>
      </c>
      <c r="D379" s="2" t="s">
        <v>97</v>
      </c>
      <c r="E379" s="2" t="s">
        <v>1884</v>
      </c>
      <c r="F379" s="2" t="s">
        <v>99</v>
      </c>
      <c r="G379" s="2" t="s">
        <v>32</v>
      </c>
      <c r="H379" s="1"/>
      <c r="I379" s="2" t="s">
        <v>33</v>
      </c>
      <c r="J379" s="2" t="s">
        <v>34</v>
      </c>
      <c r="K379" s="2" t="s">
        <v>3140</v>
      </c>
      <c r="L379" s="2" t="s">
        <v>3141</v>
      </c>
      <c r="M379" s="2" t="s">
        <v>3131</v>
      </c>
      <c r="N379" s="2" t="s">
        <v>38</v>
      </c>
      <c r="O379" s="2" t="s">
        <v>887</v>
      </c>
      <c r="P379" s="2" t="s">
        <v>3142</v>
      </c>
      <c r="Q379" s="2" t="s">
        <v>3143</v>
      </c>
      <c r="R379" s="2" t="s">
        <v>40</v>
      </c>
      <c r="S379" s="2" t="s">
        <v>3144</v>
      </c>
      <c r="T379" s="2" t="s">
        <v>3145</v>
      </c>
      <c r="U379" s="2" t="s">
        <v>3146</v>
      </c>
      <c r="V379" s="2" t="s">
        <v>3147</v>
      </c>
      <c r="W379" s="1"/>
      <c r="X379" s="2" t="s">
        <v>3138</v>
      </c>
      <c r="Y379" s="2" t="s">
        <v>2148</v>
      </c>
      <c r="AA379" t="str">
        <f t="shared" si="30"/>
        <v>2026-06</v>
      </c>
      <c r="AB379" t="str">
        <f t="shared" si="31"/>
        <v>H1_2026</v>
      </c>
      <c r="AC379">
        <f t="shared" si="32"/>
        <v>1612555.09</v>
      </c>
      <c r="AD379">
        <f t="shared" si="33"/>
        <v>101</v>
      </c>
      <c r="AE379">
        <f t="shared" si="34"/>
        <v>356482.37</v>
      </c>
      <c r="AF379" t="str">
        <f t="shared" si="35"/>
        <v>Paid</v>
      </c>
    </row>
    <row r="380" spans="1:32" ht="17.25" thickBot="1" x14ac:dyDescent="0.35">
      <c r="A380" s="2" t="s">
        <v>3148</v>
      </c>
      <c r="B380" s="2" t="s">
        <v>27</v>
      </c>
      <c r="C380" s="2" t="s">
        <v>28</v>
      </c>
      <c r="D380" s="2" t="s">
        <v>97</v>
      </c>
      <c r="E380" s="2" t="s">
        <v>1884</v>
      </c>
      <c r="F380" s="2" t="s">
        <v>99</v>
      </c>
      <c r="G380" s="2" t="s">
        <v>32</v>
      </c>
      <c r="H380" s="1"/>
      <c r="I380" s="2" t="s">
        <v>33</v>
      </c>
      <c r="J380" s="2" t="s">
        <v>34</v>
      </c>
      <c r="K380" s="2" t="s">
        <v>3149</v>
      </c>
      <c r="L380" s="2" t="s">
        <v>3150</v>
      </c>
      <c r="M380" s="2" t="s">
        <v>3131</v>
      </c>
      <c r="N380" s="2" t="s">
        <v>38</v>
      </c>
      <c r="O380" s="2" t="s">
        <v>753</v>
      </c>
      <c r="P380" s="2" t="s">
        <v>3151</v>
      </c>
      <c r="Q380" s="2" t="s">
        <v>3152</v>
      </c>
      <c r="R380" s="2" t="s">
        <v>40</v>
      </c>
      <c r="S380" s="2" t="s">
        <v>3153</v>
      </c>
      <c r="T380" s="2" t="s">
        <v>3154</v>
      </c>
      <c r="U380" s="2" t="s">
        <v>3155</v>
      </c>
      <c r="V380" s="2" t="s">
        <v>3156</v>
      </c>
      <c r="W380" s="1"/>
      <c r="X380" s="2" t="s">
        <v>3138</v>
      </c>
      <c r="Y380" s="2" t="s">
        <v>2148</v>
      </c>
      <c r="AA380" t="str">
        <f t="shared" si="30"/>
        <v>2026-06</v>
      </c>
      <c r="AB380" t="str">
        <f t="shared" si="31"/>
        <v>H1_2026</v>
      </c>
      <c r="AC380">
        <f t="shared" si="32"/>
        <v>1242557.32</v>
      </c>
      <c r="AD380">
        <f t="shared" si="33"/>
        <v>87</v>
      </c>
      <c r="AE380">
        <f t="shared" si="34"/>
        <v>274484.59000000003</v>
      </c>
      <c r="AF380" t="str">
        <f t="shared" si="35"/>
        <v>Paid</v>
      </c>
    </row>
    <row r="381" spans="1:32" ht="17.25" thickBot="1" x14ac:dyDescent="0.35">
      <c r="A381" s="2" t="s">
        <v>3157</v>
      </c>
      <c r="B381" s="2" t="s">
        <v>27</v>
      </c>
      <c r="C381" s="2" t="s">
        <v>28</v>
      </c>
      <c r="D381" s="2" t="s">
        <v>97</v>
      </c>
      <c r="E381" s="2" t="s">
        <v>1884</v>
      </c>
      <c r="F381" s="2" t="s">
        <v>99</v>
      </c>
      <c r="G381" s="2" t="s">
        <v>32</v>
      </c>
      <c r="H381" s="1"/>
      <c r="I381" s="2" t="s">
        <v>33</v>
      </c>
      <c r="J381" s="2" t="s">
        <v>34</v>
      </c>
      <c r="K381" s="2" t="s">
        <v>3158</v>
      </c>
      <c r="L381" s="2" t="s">
        <v>3159</v>
      </c>
      <c r="M381" s="2" t="s">
        <v>3160</v>
      </c>
      <c r="N381" s="2" t="s">
        <v>38</v>
      </c>
      <c r="O381" s="2" t="s">
        <v>221</v>
      </c>
      <c r="P381" s="2" t="s">
        <v>2546</v>
      </c>
      <c r="Q381" s="2" t="s">
        <v>3161</v>
      </c>
      <c r="R381" s="2" t="s">
        <v>40</v>
      </c>
      <c r="S381" s="2" t="s">
        <v>3162</v>
      </c>
      <c r="T381" s="2" t="s">
        <v>3163</v>
      </c>
      <c r="U381" s="2" t="s">
        <v>3164</v>
      </c>
      <c r="V381" s="2" t="s">
        <v>3165</v>
      </c>
      <c r="W381" s="1"/>
      <c r="X381" s="2" t="s">
        <v>3166</v>
      </c>
      <c r="Y381" s="2" t="s">
        <v>2148</v>
      </c>
      <c r="AA381" t="str">
        <f t="shared" si="30"/>
        <v>2026-06</v>
      </c>
      <c r="AB381" t="str">
        <f t="shared" si="31"/>
        <v>H1_2026</v>
      </c>
      <c r="AC381">
        <f t="shared" si="32"/>
        <v>1382283.84</v>
      </c>
      <c r="AD381">
        <f t="shared" si="33"/>
        <v>140</v>
      </c>
      <c r="AE381">
        <f t="shared" si="34"/>
        <v>682283.84</v>
      </c>
      <c r="AF381" t="str">
        <f t="shared" si="35"/>
        <v>Paid</v>
      </c>
    </row>
    <row r="382" spans="1:32" ht="27.75" thickBot="1" x14ac:dyDescent="0.35">
      <c r="A382" s="2" t="s">
        <v>3167</v>
      </c>
      <c r="B382" s="2" t="s">
        <v>27</v>
      </c>
      <c r="C382" s="2" t="s">
        <v>28</v>
      </c>
      <c r="D382" s="2" t="s">
        <v>97</v>
      </c>
      <c r="E382" s="2" t="s">
        <v>1884</v>
      </c>
      <c r="F382" s="2" t="s">
        <v>99</v>
      </c>
      <c r="G382" s="2" t="s">
        <v>32</v>
      </c>
      <c r="H382" s="1"/>
      <c r="I382" s="2" t="s">
        <v>33</v>
      </c>
      <c r="J382" s="2" t="s">
        <v>34</v>
      </c>
      <c r="K382" s="2" t="s">
        <v>3168</v>
      </c>
      <c r="L382" s="2" t="s">
        <v>3169</v>
      </c>
      <c r="M382" s="2" t="s">
        <v>3160</v>
      </c>
      <c r="N382" s="2" t="s">
        <v>38</v>
      </c>
      <c r="O382" s="2" t="s">
        <v>141</v>
      </c>
      <c r="P382" s="2" t="s">
        <v>3170</v>
      </c>
      <c r="Q382" s="2" t="s">
        <v>3171</v>
      </c>
      <c r="R382" s="2" t="s">
        <v>40</v>
      </c>
      <c r="S382" s="2" t="s">
        <v>3172</v>
      </c>
      <c r="T382" s="2" t="s">
        <v>3173</v>
      </c>
      <c r="U382" s="2" t="s">
        <v>3174</v>
      </c>
      <c r="V382" s="2" t="s">
        <v>3175</v>
      </c>
      <c r="W382" s="1"/>
      <c r="X382" s="2" t="s">
        <v>3176</v>
      </c>
      <c r="Y382" s="2" t="s">
        <v>2148</v>
      </c>
      <c r="AA382" t="str">
        <f t="shared" si="30"/>
        <v>2026-06</v>
      </c>
      <c r="AB382" t="str">
        <f t="shared" si="31"/>
        <v>H1_2026</v>
      </c>
      <c r="AC382">
        <f t="shared" si="32"/>
        <v>45800.28</v>
      </c>
      <c r="AD382">
        <f t="shared" si="33"/>
        <v>30</v>
      </c>
      <c r="AE382">
        <f t="shared" si="34"/>
        <v>8163.92</v>
      </c>
      <c r="AF382" t="str">
        <f t="shared" si="35"/>
        <v>Paid</v>
      </c>
    </row>
    <row r="383" spans="1:32" ht="17.25" thickBot="1" x14ac:dyDescent="0.35">
      <c r="A383" s="2" t="s">
        <v>3177</v>
      </c>
      <c r="B383" s="2" t="s">
        <v>27</v>
      </c>
      <c r="C383" s="2" t="s">
        <v>28</v>
      </c>
      <c r="D383" s="2" t="s">
        <v>97</v>
      </c>
      <c r="E383" s="2" t="s">
        <v>1884</v>
      </c>
      <c r="F383" s="2" t="s">
        <v>99</v>
      </c>
      <c r="G383" s="2" t="s">
        <v>32</v>
      </c>
      <c r="H383" s="1"/>
      <c r="I383" s="2" t="s">
        <v>33</v>
      </c>
      <c r="J383" s="2" t="s">
        <v>34</v>
      </c>
      <c r="K383" s="2" t="s">
        <v>3178</v>
      </c>
      <c r="L383" s="2" t="s">
        <v>3179</v>
      </c>
      <c r="M383" s="2" t="s">
        <v>3160</v>
      </c>
      <c r="N383" s="2" t="s">
        <v>38</v>
      </c>
      <c r="O383" s="2" t="s">
        <v>977</v>
      </c>
      <c r="P383" s="2" t="s">
        <v>939</v>
      </c>
      <c r="Q383" s="2" t="s">
        <v>3180</v>
      </c>
      <c r="R383" s="2" t="s">
        <v>40</v>
      </c>
      <c r="S383" s="2" t="s">
        <v>3181</v>
      </c>
      <c r="T383" s="2" t="s">
        <v>2884</v>
      </c>
      <c r="U383" s="2" t="s">
        <v>3182</v>
      </c>
      <c r="V383" s="2" t="s">
        <v>3183</v>
      </c>
      <c r="W383" s="1"/>
      <c r="X383" s="2" t="s">
        <v>3184</v>
      </c>
      <c r="Y383" s="2" t="s">
        <v>2148</v>
      </c>
      <c r="AA383" t="str">
        <f t="shared" si="30"/>
        <v>2026-06</v>
      </c>
      <c r="AB383" t="str">
        <f t="shared" si="31"/>
        <v>H1_2026</v>
      </c>
      <c r="AC383">
        <f t="shared" si="32"/>
        <v>1304237.8799999999</v>
      </c>
      <c r="AD383">
        <f t="shared" si="33"/>
        <v>110</v>
      </c>
      <c r="AE383">
        <f t="shared" si="34"/>
        <v>624237.89</v>
      </c>
      <c r="AF383" t="str">
        <f t="shared" si="35"/>
        <v>Paid</v>
      </c>
    </row>
    <row r="384" spans="1:32" ht="17.25" thickBot="1" x14ac:dyDescent="0.35">
      <c r="A384" s="2" t="s">
        <v>3185</v>
      </c>
      <c r="B384" s="2" t="s">
        <v>27</v>
      </c>
      <c r="C384" s="2" t="s">
        <v>28</v>
      </c>
      <c r="D384" s="2" t="s">
        <v>97</v>
      </c>
      <c r="E384" s="2" t="s">
        <v>1884</v>
      </c>
      <c r="F384" s="2" t="s">
        <v>99</v>
      </c>
      <c r="G384" s="2" t="s">
        <v>32</v>
      </c>
      <c r="H384" s="1"/>
      <c r="I384" s="2" t="s">
        <v>33</v>
      </c>
      <c r="J384" s="2" t="s">
        <v>34</v>
      </c>
      <c r="K384" s="2" t="s">
        <v>3186</v>
      </c>
      <c r="L384" s="2" t="s">
        <v>3187</v>
      </c>
      <c r="M384" s="2" t="s">
        <v>3160</v>
      </c>
      <c r="N384" s="2" t="s">
        <v>38</v>
      </c>
      <c r="O384" s="2" t="s">
        <v>49</v>
      </c>
      <c r="P384" s="2" t="s">
        <v>3188</v>
      </c>
      <c r="Q384" s="2" t="s">
        <v>3189</v>
      </c>
      <c r="R384" s="2" t="s">
        <v>40</v>
      </c>
      <c r="S384" s="2" t="s">
        <v>3190</v>
      </c>
      <c r="T384" s="2" t="s">
        <v>3191</v>
      </c>
      <c r="U384" s="2" t="s">
        <v>3192</v>
      </c>
      <c r="V384" s="2" t="s">
        <v>3193</v>
      </c>
      <c r="W384" s="1"/>
      <c r="X384" s="2" t="s">
        <v>3194</v>
      </c>
      <c r="Y384" s="2" t="s">
        <v>2148</v>
      </c>
      <c r="AA384" t="str">
        <f t="shared" si="30"/>
        <v>2026-06</v>
      </c>
      <c r="AB384" t="str">
        <f t="shared" si="31"/>
        <v>H1_2026</v>
      </c>
      <c r="AC384">
        <f t="shared" si="32"/>
        <v>190220.98</v>
      </c>
      <c r="AD384">
        <f t="shared" si="33"/>
        <v>11</v>
      </c>
      <c r="AE384">
        <f t="shared" si="34"/>
        <v>90220.98</v>
      </c>
      <c r="AF384" t="str">
        <f t="shared" si="35"/>
        <v>Paid</v>
      </c>
    </row>
    <row r="385" spans="1:32" ht="17.25" thickBot="1" x14ac:dyDescent="0.35">
      <c r="A385" s="2" t="s">
        <v>3195</v>
      </c>
      <c r="B385" s="2" t="s">
        <v>27</v>
      </c>
      <c r="C385" s="2" t="s">
        <v>28</v>
      </c>
      <c r="D385" s="2" t="s">
        <v>97</v>
      </c>
      <c r="E385" s="2" t="s">
        <v>1884</v>
      </c>
      <c r="F385" s="2" t="s">
        <v>99</v>
      </c>
      <c r="G385" s="2" t="s">
        <v>32</v>
      </c>
      <c r="H385" s="1"/>
      <c r="I385" s="2" t="s">
        <v>33</v>
      </c>
      <c r="J385" s="2" t="s">
        <v>34</v>
      </c>
      <c r="K385" s="2" t="s">
        <v>3196</v>
      </c>
      <c r="L385" s="2" t="s">
        <v>3197</v>
      </c>
      <c r="M385" s="2" t="s">
        <v>3198</v>
      </c>
      <c r="N385" s="2" t="s">
        <v>38</v>
      </c>
      <c r="O385" s="2" t="s">
        <v>114</v>
      </c>
      <c r="P385" s="2" t="s">
        <v>3199</v>
      </c>
      <c r="Q385" s="2" t="s">
        <v>3200</v>
      </c>
      <c r="R385" s="2" t="s">
        <v>40</v>
      </c>
      <c r="S385" s="2" t="s">
        <v>3201</v>
      </c>
      <c r="T385" s="2" t="s">
        <v>3202</v>
      </c>
      <c r="U385" s="2" t="s">
        <v>3203</v>
      </c>
      <c r="V385" s="2" t="s">
        <v>3204</v>
      </c>
      <c r="W385" s="1"/>
      <c r="X385" s="2" t="s">
        <v>3205</v>
      </c>
      <c r="Y385" s="2" t="s">
        <v>2148</v>
      </c>
      <c r="AA385" t="str">
        <f t="shared" si="30"/>
        <v>2026-06</v>
      </c>
      <c r="AB385" t="str">
        <f t="shared" si="31"/>
        <v>H1_2026</v>
      </c>
      <c r="AC385">
        <f t="shared" si="32"/>
        <v>2201837.7599999998</v>
      </c>
      <c r="AD385">
        <f t="shared" si="33"/>
        <v>240</v>
      </c>
      <c r="AE385">
        <f t="shared" si="34"/>
        <v>322637.76</v>
      </c>
      <c r="AF385" t="str">
        <f t="shared" si="35"/>
        <v>Paid</v>
      </c>
    </row>
    <row r="386" spans="1:32" ht="17.25" thickBot="1" x14ac:dyDescent="0.35">
      <c r="A386" s="2" t="s">
        <v>3206</v>
      </c>
      <c r="B386" s="2" t="s">
        <v>27</v>
      </c>
      <c r="C386" s="2" t="s">
        <v>28</v>
      </c>
      <c r="D386" s="2" t="s">
        <v>97</v>
      </c>
      <c r="E386" s="2" t="s">
        <v>1884</v>
      </c>
      <c r="F386" s="2" t="s">
        <v>99</v>
      </c>
      <c r="G386" s="2" t="s">
        <v>32</v>
      </c>
      <c r="H386" s="1"/>
      <c r="I386" s="2" t="s">
        <v>33</v>
      </c>
      <c r="J386" s="2" t="s">
        <v>34</v>
      </c>
      <c r="K386" s="2" t="s">
        <v>3207</v>
      </c>
      <c r="L386" s="2" t="s">
        <v>3208</v>
      </c>
      <c r="M386" s="2" t="s">
        <v>3209</v>
      </c>
      <c r="N386" s="2" t="s">
        <v>38</v>
      </c>
      <c r="O386" s="2" t="s">
        <v>391</v>
      </c>
      <c r="P386" s="2" t="s">
        <v>3210</v>
      </c>
      <c r="Q386" s="2" t="s">
        <v>3211</v>
      </c>
      <c r="R386" s="2" t="s">
        <v>40</v>
      </c>
      <c r="S386" s="2" t="s">
        <v>3212</v>
      </c>
      <c r="T386" s="2" t="s">
        <v>3213</v>
      </c>
      <c r="U386" s="2" t="s">
        <v>3214</v>
      </c>
      <c r="V386" s="2" t="s">
        <v>3215</v>
      </c>
      <c r="W386" s="1"/>
      <c r="X386" s="2" t="s">
        <v>3216</v>
      </c>
      <c r="Y386" s="2" t="s">
        <v>2148</v>
      </c>
      <c r="AA386" t="str">
        <f t="shared" si="30"/>
        <v>2026-06</v>
      </c>
      <c r="AB386" t="str">
        <f t="shared" si="31"/>
        <v>H1_2026</v>
      </c>
      <c r="AC386">
        <f t="shared" si="32"/>
        <v>374106.96</v>
      </c>
      <c r="AD386">
        <f t="shared" si="33"/>
        <v>60</v>
      </c>
      <c r="AE386">
        <f t="shared" si="34"/>
        <v>62106.96</v>
      </c>
      <c r="AF386" t="str">
        <f t="shared" si="35"/>
        <v>Paid</v>
      </c>
    </row>
    <row r="387" spans="1:32" ht="17.25" thickBot="1" x14ac:dyDescent="0.35">
      <c r="A387" s="2" t="s">
        <v>3217</v>
      </c>
      <c r="B387" s="2" t="s">
        <v>27</v>
      </c>
      <c r="C387" s="2" t="s">
        <v>28</v>
      </c>
      <c r="D387" s="2" t="s">
        <v>97</v>
      </c>
      <c r="E387" s="2" t="s">
        <v>1884</v>
      </c>
      <c r="F387" s="2" t="s">
        <v>99</v>
      </c>
      <c r="G387" s="2" t="s">
        <v>32</v>
      </c>
      <c r="H387" s="1"/>
      <c r="I387" s="2" t="s">
        <v>33</v>
      </c>
      <c r="J387" s="2" t="s">
        <v>34</v>
      </c>
      <c r="K387" s="2" t="s">
        <v>3218</v>
      </c>
      <c r="L387" s="2" t="s">
        <v>3219</v>
      </c>
      <c r="M387" s="2" t="s">
        <v>3209</v>
      </c>
      <c r="N387" s="2" t="s">
        <v>38</v>
      </c>
      <c r="O387" s="2" t="s">
        <v>517</v>
      </c>
      <c r="P387" s="2" t="s">
        <v>3210</v>
      </c>
      <c r="Q387" s="2" t="s">
        <v>3220</v>
      </c>
      <c r="R387" s="2" t="s">
        <v>40</v>
      </c>
      <c r="S387" s="2" t="s">
        <v>3221</v>
      </c>
      <c r="T387" s="2" t="s">
        <v>3213</v>
      </c>
      <c r="U387" s="2" t="s">
        <v>3222</v>
      </c>
      <c r="V387" s="2" t="s">
        <v>3223</v>
      </c>
      <c r="W387" s="1"/>
      <c r="X387" s="2" t="s">
        <v>3216</v>
      </c>
      <c r="Y387" s="2" t="s">
        <v>2148</v>
      </c>
      <c r="AA387" t="str">
        <f t="shared" si="30"/>
        <v>2026-06</v>
      </c>
      <c r="AB387" t="str">
        <f t="shared" si="31"/>
        <v>H1_2026</v>
      </c>
      <c r="AC387">
        <f t="shared" si="32"/>
        <v>748213.92</v>
      </c>
      <c r="AD387">
        <f t="shared" si="33"/>
        <v>120</v>
      </c>
      <c r="AE387">
        <f t="shared" si="34"/>
        <v>124213.92</v>
      </c>
      <c r="AF387" t="str">
        <f t="shared" si="35"/>
        <v>Paid</v>
      </c>
    </row>
    <row r="388" spans="1:32" ht="17.25" thickBot="1" x14ac:dyDescent="0.35">
      <c r="A388" s="2" t="s">
        <v>3224</v>
      </c>
      <c r="B388" s="2" t="s">
        <v>27</v>
      </c>
      <c r="C388" s="2" t="s">
        <v>28</v>
      </c>
      <c r="D388" s="2" t="s">
        <v>97</v>
      </c>
      <c r="E388" s="2" t="s">
        <v>1884</v>
      </c>
      <c r="F388" s="2" t="s">
        <v>99</v>
      </c>
      <c r="G388" s="2" t="s">
        <v>32</v>
      </c>
      <c r="H388" s="1"/>
      <c r="I388" s="2" t="s">
        <v>33</v>
      </c>
      <c r="J388" s="2" t="s">
        <v>34</v>
      </c>
      <c r="K388" s="2" t="s">
        <v>3225</v>
      </c>
      <c r="L388" s="2" t="s">
        <v>3226</v>
      </c>
      <c r="M388" s="2" t="s">
        <v>3227</v>
      </c>
      <c r="N388" s="2" t="s">
        <v>38</v>
      </c>
      <c r="O388" s="2" t="s">
        <v>131</v>
      </c>
      <c r="P388" s="2" t="s">
        <v>2711</v>
      </c>
      <c r="Q388" s="2" t="s">
        <v>3228</v>
      </c>
      <c r="R388" s="2" t="s">
        <v>40</v>
      </c>
      <c r="S388" s="2" t="s">
        <v>3229</v>
      </c>
      <c r="T388" s="2" t="s">
        <v>3213</v>
      </c>
      <c r="U388" s="2" t="s">
        <v>3230</v>
      </c>
      <c r="V388" s="2" t="s">
        <v>3231</v>
      </c>
      <c r="W388" s="1"/>
      <c r="X388" s="2" t="s">
        <v>1073</v>
      </c>
      <c r="Y388" s="2" t="s">
        <v>2148</v>
      </c>
      <c r="AA388" t="str">
        <f t="shared" ref="AA388:AA451" si="36">LEFT(E388,7)</f>
        <v>2026-06</v>
      </c>
      <c r="AB388" t="str">
        <f t="shared" ref="AB388:AB451" si="37">IF(AND($AA388&gt;="2025-01",$AA388&lt;="2025-06"),"H1_2025",IF(AND($AA388&gt;="2026-01",$AA388&lt;="2026-06"),"H1_2026",""))</f>
        <v>H1_2026</v>
      </c>
      <c r="AC388">
        <f t="shared" ref="AC388:AC451" si="38">IFERROR(VALUE(SUBSTITUTE(S388,",","")),0)</f>
        <v>281364.96000000002</v>
      </c>
      <c r="AD388">
        <f t="shared" ref="AD388:AD451" si="39">IFERROR(VALUE(SUBSTITUTE(O388,",","")),0)</f>
        <v>40</v>
      </c>
      <c r="AE388">
        <f t="shared" ref="AE388:AE451" si="40">IFERROR(VALUE(SUBSTITUTE(V388,",","")),0)</f>
        <v>73364.960000000006</v>
      </c>
      <c r="AF388" t="str">
        <f t="shared" ref="AF388:AF451" si="41">IF(ISNUMBER(SEARCH("FOC",W388)),"FOC",IF(ISNUMBER(SEARCH("샘플",W388)),"Sample","Paid"))</f>
        <v>Paid</v>
      </c>
    </row>
    <row r="389" spans="1:32" ht="17.25" thickBot="1" x14ac:dyDescent="0.35">
      <c r="A389" s="2" t="s">
        <v>3232</v>
      </c>
      <c r="B389" s="2" t="s">
        <v>27</v>
      </c>
      <c r="C389" s="2" t="s">
        <v>28</v>
      </c>
      <c r="D389" s="2" t="s">
        <v>97</v>
      </c>
      <c r="E389" s="2" t="s">
        <v>1884</v>
      </c>
      <c r="F389" s="2" t="s">
        <v>99</v>
      </c>
      <c r="G389" s="2" t="s">
        <v>32</v>
      </c>
      <c r="H389" s="1"/>
      <c r="I389" s="2" t="s">
        <v>33</v>
      </c>
      <c r="J389" s="2" t="s">
        <v>34</v>
      </c>
      <c r="K389" s="2" t="s">
        <v>3233</v>
      </c>
      <c r="L389" s="2" t="s">
        <v>3234</v>
      </c>
      <c r="M389" s="2" t="s">
        <v>3227</v>
      </c>
      <c r="N389" s="2" t="s">
        <v>38</v>
      </c>
      <c r="O389" s="2" t="s">
        <v>466</v>
      </c>
      <c r="P389" s="2" t="s">
        <v>2711</v>
      </c>
      <c r="Q389" s="2" t="s">
        <v>3235</v>
      </c>
      <c r="R389" s="2" t="s">
        <v>40</v>
      </c>
      <c r="S389" s="2" t="s">
        <v>3236</v>
      </c>
      <c r="T389" s="2" t="s">
        <v>3213</v>
      </c>
      <c r="U389" s="2" t="s">
        <v>3237</v>
      </c>
      <c r="V389" s="2" t="s">
        <v>3238</v>
      </c>
      <c r="W389" s="1"/>
      <c r="X389" s="2" t="s">
        <v>1073</v>
      </c>
      <c r="Y389" s="2" t="s">
        <v>2148</v>
      </c>
      <c r="AA389" t="str">
        <f t="shared" si="36"/>
        <v>2026-06</v>
      </c>
      <c r="AB389" t="str">
        <f t="shared" si="37"/>
        <v>H1_2026</v>
      </c>
      <c r="AC389">
        <f t="shared" si="38"/>
        <v>492388.68</v>
      </c>
      <c r="AD389">
        <f t="shared" si="39"/>
        <v>70</v>
      </c>
      <c r="AE389">
        <f t="shared" si="40"/>
        <v>128388.68</v>
      </c>
      <c r="AF389" t="str">
        <f t="shared" si="41"/>
        <v>Paid</v>
      </c>
    </row>
    <row r="390" spans="1:32" ht="17.25" thickBot="1" x14ac:dyDescent="0.35">
      <c r="A390" s="2" t="s">
        <v>3239</v>
      </c>
      <c r="B390" s="2" t="s">
        <v>27</v>
      </c>
      <c r="C390" s="2" t="s">
        <v>28</v>
      </c>
      <c r="D390" s="2" t="s">
        <v>97</v>
      </c>
      <c r="E390" s="2" t="s">
        <v>1884</v>
      </c>
      <c r="F390" s="2" t="s">
        <v>99</v>
      </c>
      <c r="G390" s="2" t="s">
        <v>32</v>
      </c>
      <c r="H390" s="1"/>
      <c r="I390" s="2" t="s">
        <v>33</v>
      </c>
      <c r="J390" s="2" t="s">
        <v>34</v>
      </c>
      <c r="K390" s="2" t="s">
        <v>3240</v>
      </c>
      <c r="L390" s="2" t="s">
        <v>3241</v>
      </c>
      <c r="M390" s="2" t="s">
        <v>3227</v>
      </c>
      <c r="N390" s="2" t="s">
        <v>38</v>
      </c>
      <c r="O390" s="2" t="s">
        <v>156</v>
      </c>
      <c r="P390" s="2" t="s">
        <v>2711</v>
      </c>
      <c r="Q390" s="2" t="s">
        <v>3242</v>
      </c>
      <c r="R390" s="2" t="s">
        <v>40</v>
      </c>
      <c r="S390" s="2" t="s">
        <v>3243</v>
      </c>
      <c r="T390" s="2" t="s">
        <v>3213</v>
      </c>
      <c r="U390" s="2" t="s">
        <v>3244</v>
      </c>
      <c r="V390" s="2" t="s">
        <v>3245</v>
      </c>
      <c r="W390" s="1"/>
      <c r="X390" s="2" t="s">
        <v>1073</v>
      </c>
      <c r="Y390" s="2" t="s">
        <v>2148</v>
      </c>
      <c r="AA390" t="str">
        <f t="shared" si="36"/>
        <v>2026-06</v>
      </c>
      <c r="AB390" t="str">
        <f t="shared" si="37"/>
        <v>H1_2026</v>
      </c>
      <c r="AC390">
        <f t="shared" si="38"/>
        <v>140682.48000000001</v>
      </c>
      <c r="AD390">
        <f t="shared" si="39"/>
        <v>20</v>
      </c>
      <c r="AE390">
        <f t="shared" si="40"/>
        <v>36682.480000000003</v>
      </c>
      <c r="AF390" t="str">
        <f t="shared" si="41"/>
        <v>Paid</v>
      </c>
    </row>
    <row r="391" spans="1:32" ht="17.25" thickBot="1" x14ac:dyDescent="0.35">
      <c r="A391" s="2" t="s">
        <v>3246</v>
      </c>
      <c r="B391" s="2" t="s">
        <v>27</v>
      </c>
      <c r="C391" s="2" t="s">
        <v>28</v>
      </c>
      <c r="D391" s="2" t="s">
        <v>97</v>
      </c>
      <c r="E391" s="2" t="s">
        <v>3247</v>
      </c>
      <c r="F391" s="2" t="s">
        <v>99</v>
      </c>
      <c r="G391" s="2" t="s">
        <v>32</v>
      </c>
      <c r="H391" s="1"/>
      <c r="I391" s="2" t="s">
        <v>33</v>
      </c>
      <c r="J391" s="2" t="s">
        <v>34</v>
      </c>
      <c r="K391" s="2" t="s">
        <v>2138</v>
      </c>
      <c r="L391" s="2" t="s">
        <v>2139</v>
      </c>
      <c r="M391" s="2" t="s">
        <v>2140</v>
      </c>
      <c r="N391" s="2" t="s">
        <v>38</v>
      </c>
      <c r="O391" s="2" t="s">
        <v>773</v>
      </c>
      <c r="P391" s="2" t="s">
        <v>2142</v>
      </c>
      <c r="Q391" s="2" t="s">
        <v>3248</v>
      </c>
      <c r="R391" s="2" t="s">
        <v>40</v>
      </c>
      <c r="S391" s="2" t="s">
        <v>3249</v>
      </c>
      <c r="T391" s="2" t="s">
        <v>2145</v>
      </c>
      <c r="U391" s="2" t="s">
        <v>3250</v>
      </c>
      <c r="V391" s="2" t="s">
        <v>3251</v>
      </c>
      <c r="W391" s="1"/>
      <c r="X391" s="2" t="s">
        <v>2020</v>
      </c>
      <c r="Y391" s="2" t="s">
        <v>3252</v>
      </c>
      <c r="AA391" t="str">
        <f t="shared" si="36"/>
        <v>2026-06</v>
      </c>
      <c r="AB391" t="str">
        <f t="shared" si="37"/>
        <v>H1_2026</v>
      </c>
      <c r="AC391">
        <f t="shared" si="38"/>
        <v>2027632</v>
      </c>
      <c r="AD391">
        <f t="shared" si="39"/>
        <v>200</v>
      </c>
      <c r="AE391">
        <f t="shared" si="40"/>
        <v>525828.44999999995</v>
      </c>
      <c r="AF391" t="str">
        <f t="shared" si="41"/>
        <v>Paid</v>
      </c>
    </row>
    <row r="392" spans="1:32" ht="17.25" thickBot="1" x14ac:dyDescent="0.35">
      <c r="A392" s="2" t="s">
        <v>474</v>
      </c>
      <c r="B392" s="2" t="s">
        <v>27</v>
      </c>
      <c r="C392" s="2" t="s">
        <v>28</v>
      </c>
      <c r="D392" s="2" t="s">
        <v>97</v>
      </c>
      <c r="E392" s="2" t="s">
        <v>3247</v>
      </c>
      <c r="F392" s="2" t="s">
        <v>99</v>
      </c>
      <c r="G392" s="2" t="s">
        <v>32</v>
      </c>
      <c r="H392" s="1"/>
      <c r="I392" s="2" t="s">
        <v>33</v>
      </c>
      <c r="J392" s="2" t="s">
        <v>34</v>
      </c>
      <c r="K392" s="2" t="s">
        <v>2150</v>
      </c>
      <c r="L392" s="2" t="s">
        <v>2151</v>
      </c>
      <c r="M392" s="2" t="s">
        <v>2140</v>
      </c>
      <c r="N392" s="2" t="s">
        <v>38</v>
      </c>
      <c r="O392" s="2" t="s">
        <v>517</v>
      </c>
      <c r="P392" s="2" t="s">
        <v>2152</v>
      </c>
      <c r="Q392" s="2" t="s">
        <v>3253</v>
      </c>
      <c r="R392" s="2" t="s">
        <v>40</v>
      </c>
      <c r="S392" s="2" t="s">
        <v>3254</v>
      </c>
      <c r="T392" s="2" t="s">
        <v>40</v>
      </c>
      <c r="U392" s="2" t="s">
        <v>40</v>
      </c>
      <c r="V392" s="2" t="s">
        <v>3254</v>
      </c>
      <c r="W392" s="1"/>
      <c r="X392" s="2" t="s">
        <v>2155</v>
      </c>
      <c r="Y392" s="2" t="s">
        <v>3252</v>
      </c>
      <c r="AA392" t="str">
        <f t="shared" si="36"/>
        <v>2026-06</v>
      </c>
      <c r="AB392" t="str">
        <f t="shared" si="37"/>
        <v>H1_2026</v>
      </c>
      <c r="AC392">
        <f t="shared" si="38"/>
        <v>675494.40000000002</v>
      </c>
      <c r="AD392">
        <f t="shared" si="39"/>
        <v>120</v>
      </c>
      <c r="AE392">
        <f t="shared" si="40"/>
        <v>675494.40000000002</v>
      </c>
      <c r="AF392" t="str">
        <f t="shared" si="41"/>
        <v>Paid</v>
      </c>
    </row>
    <row r="393" spans="1:32" ht="27.75" thickBot="1" x14ac:dyDescent="0.35">
      <c r="A393" s="2" t="s">
        <v>3255</v>
      </c>
      <c r="B393" s="2" t="s">
        <v>27</v>
      </c>
      <c r="C393" s="2" t="s">
        <v>28</v>
      </c>
      <c r="D393" s="2" t="s">
        <v>97</v>
      </c>
      <c r="E393" s="2" t="s">
        <v>3247</v>
      </c>
      <c r="F393" s="2" t="s">
        <v>99</v>
      </c>
      <c r="G393" s="2" t="s">
        <v>32</v>
      </c>
      <c r="H393" s="1"/>
      <c r="I393" s="2" t="s">
        <v>33</v>
      </c>
      <c r="J393" s="2" t="s">
        <v>34</v>
      </c>
      <c r="K393" s="2" t="s">
        <v>2157</v>
      </c>
      <c r="L393" s="2" t="s">
        <v>2158</v>
      </c>
      <c r="M393" s="2" t="s">
        <v>2140</v>
      </c>
      <c r="N393" s="2" t="s">
        <v>38</v>
      </c>
      <c r="O393" s="2" t="s">
        <v>213</v>
      </c>
      <c r="P393" s="2" t="s">
        <v>2142</v>
      </c>
      <c r="Q393" s="2" t="s">
        <v>3256</v>
      </c>
      <c r="R393" s="2" t="s">
        <v>40</v>
      </c>
      <c r="S393" s="2" t="s">
        <v>3257</v>
      </c>
      <c r="T393" s="2" t="s">
        <v>2162</v>
      </c>
      <c r="U393" s="2" t="s">
        <v>2163</v>
      </c>
      <c r="V393" s="2" t="s">
        <v>3258</v>
      </c>
      <c r="W393" s="1"/>
      <c r="X393" s="2" t="s">
        <v>3259</v>
      </c>
      <c r="Y393" s="2" t="s">
        <v>3252</v>
      </c>
      <c r="AA393" t="str">
        <f t="shared" si="36"/>
        <v>2026-06</v>
      </c>
      <c r="AB393" t="str">
        <f t="shared" si="37"/>
        <v>H1_2026</v>
      </c>
      <c r="AC393">
        <f t="shared" si="38"/>
        <v>263592.15999999997</v>
      </c>
      <c r="AD393">
        <f t="shared" si="39"/>
        <v>26</v>
      </c>
      <c r="AE393">
        <f t="shared" si="40"/>
        <v>59846.71</v>
      </c>
      <c r="AF393" t="str">
        <f t="shared" si="41"/>
        <v>Paid</v>
      </c>
    </row>
    <row r="394" spans="1:32" ht="27.75" thickBot="1" x14ac:dyDescent="0.35">
      <c r="A394" s="2" t="s">
        <v>3260</v>
      </c>
      <c r="B394" s="2" t="s">
        <v>27</v>
      </c>
      <c r="C394" s="2" t="s">
        <v>28</v>
      </c>
      <c r="D394" s="2" t="s">
        <v>97</v>
      </c>
      <c r="E394" s="2" t="s">
        <v>3247</v>
      </c>
      <c r="F394" s="2" t="s">
        <v>99</v>
      </c>
      <c r="G394" s="2" t="s">
        <v>32</v>
      </c>
      <c r="H394" s="1"/>
      <c r="I394" s="2" t="s">
        <v>33</v>
      </c>
      <c r="J394" s="2" t="s">
        <v>34</v>
      </c>
      <c r="K394" s="2" t="s">
        <v>2180</v>
      </c>
      <c r="L394" s="2" t="s">
        <v>2181</v>
      </c>
      <c r="M394" s="2" t="s">
        <v>2140</v>
      </c>
      <c r="N394" s="2" t="s">
        <v>38</v>
      </c>
      <c r="O394" s="2" t="s">
        <v>351</v>
      </c>
      <c r="P394" s="2" t="s">
        <v>2182</v>
      </c>
      <c r="Q394" s="2" t="s">
        <v>3261</v>
      </c>
      <c r="R394" s="2" t="s">
        <v>40</v>
      </c>
      <c r="S394" s="2" t="s">
        <v>3262</v>
      </c>
      <c r="T394" s="2" t="s">
        <v>2185</v>
      </c>
      <c r="U394" s="2" t="s">
        <v>3263</v>
      </c>
      <c r="V394" s="2" t="s">
        <v>3264</v>
      </c>
      <c r="W394" s="1"/>
      <c r="X394" s="2" t="s">
        <v>2806</v>
      </c>
      <c r="Y394" s="2" t="s">
        <v>3252</v>
      </c>
      <c r="AA394" t="str">
        <f t="shared" si="36"/>
        <v>2026-06</v>
      </c>
      <c r="AB394" t="str">
        <f t="shared" si="37"/>
        <v>H1_2026</v>
      </c>
      <c r="AC394">
        <f t="shared" si="38"/>
        <v>402281.04</v>
      </c>
      <c r="AD394">
        <f t="shared" si="39"/>
        <v>42</v>
      </c>
      <c r="AE394">
        <f t="shared" si="40"/>
        <v>121091.04</v>
      </c>
      <c r="AF394" t="str">
        <f t="shared" si="41"/>
        <v>Paid</v>
      </c>
    </row>
    <row r="395" spans="1:32" ht="17.25" thickBot="1" x14ac:dyDescent="0.35">
      <c r="A395" s="2" t="s">
        <v>3265</v>
      </c>
      <c r="B395" s="2" t="s">
        <v>27</v>
      </c>
      <c r="C395" s="2" t="s">
        <v>28</v>
      </c>
      <c r="D395" s="2" t="s">
        <v>97</v>
      </c>
      <c r="E395" s="2" t="s">
        <v>3247</v>
      </c>
      <c r="F395" s="2" t="s">
        <v>99</v>
      </c>
      <c r="G395" s="2" t="s">
        <v>32</v>
      </c>
      <c r="H395" s="1"/>
      <c r="I395" s="2" t="s">
        <v>33</v>
      </c>
      <c r="J395" s="2" t="s">
        <v>34</v>
      </c>
      <c r="K395" s="2" t="s">
        <v>2190</v>
      </c>
      <c r="L395" s="2" t="s">
        <v>2191</v>
      </c>
      <c r="M395" s="2" t="s">
        <v>2140</v>
      </c>
      <c r="N395" s="2" t="s">
        <v>38</v>
      </c>
      <c r="O395" s="2" t="s">
        <v>156</v>
      </c>
      <c r="P395" s="2" t="s">
        <v>2192</v>
      </c>
      <c r="Q395" s="2" t="s">
        <v>3266</v>
      </c>
      <c r="R395" s="2" t="s">
        <v>40</v>
      </c>
      <c r="S395" s="2" t="s">
        <v>3267</v>
      </c>
      <c r="T395" s="2" t="s">
        <v>2195</v>
      </c>
      <c r="U395" s="2" t="s">
        <v>3268</v>
      </c>
      <c r="V395" s="2" t="s">
        <v>3269</v>
      </c>
      <c r="W395" s="1"/>
      <c r="X395" s="2" t="s">
        <v>155</v>
      </c>
      <c r="Y395" s="2" t="s">
        <v>3252</v>
      </c>
      <c r="AA395" t="str">
        <f t="shared" si="36"/>
        <v>2026-06</v>
      </c>
      <c r="AB395" t="str">
        <f t="shared" si="37"/>
        <v>H1_2026</v>
      </c>
      <c r="AC395">
        <f t="shared" si="38"/>
        <v>141015.20000000001</v>
      </c>
      <c r="AD395">
        <f t="shared" si="39"/>
        <v>20</v>
      </c>
      <c r="AE395">
        <f t="shared" si="40"/>
        <v>27555.200000000001</v>
      </c>
      <c r="AF395" t="str">
        <f t="shared" si="41"/>
        <v>Paid</v>
      </c>
    </row>
    <row r="396" spans="1:32" ht="17.25" thickBot="1" x14ac:dyDescent="0.35">
      <c r="A396" s="2" t="s">
        <v>3270</v>
      </c>
      <c r="B396" s="2" t="s">
        <v>27</v>
      </c>
      <c r="C396" s="2" t="s">
        <v>28</v>
      </c>
      <c r="D396" s="2" t="s">
        <v>97</v>
      </c>
      <c r="E396" s="2" t="s">
        <v>3247</v>
      </c>
      <c r="F396" s="2" t="s">
        <v>99</v>
      </c>
      <c r="G396" s="2" t="s">
        <v>32</v>
      </c>
      <c r="H396" s="1"/>
      <c r="I396" s="2" t="s">
        <v>33</v>
      </c>
      <c r="J396" s="2" t="s">
        <v>34</v>
      </c>
      <c r="K396" s="2" t="s">
        <v>2200</v>
      </c>
      <c r="L396" s="2" t="s">
        <v>2201</v>
      </c>
      <c r="M396" s="2" t="s">
        <v>2140</v>
      </c>
      <c r="N396" s="2" t="s">
        <v>38</v>
      </c>
      <c r="O396" s="2" t="s">
        <v>3271</v>
      </c>
      <c r="P396" s="2" t="s">
        <v>2203</v>
      </c>
      <c r="Q396" s="2" t="s">
        <v>3272</v>
      </c>
      <c r="R396" s="2" t="s">
        <v>40</v>
      </c>
      <c r="S396" s="2" t="s">
        <v>3273</v>
      </c>
      <c r="T396" s="2" t="s">
        <v>2206</v>
      </c>
      <c r="U396" s="2" t="s">
        <v>3274</v>
      </c>
      <c r="V396" s="2" t="s">
        <v>3275</v>
      </c>
      <c r="W396" s="1"/>
      <c r="X396" s="2" t="s">
        <v>1504</v>
      </c>
      <c r="Y396" s="2" t="s">
        <v>3252</v>
      </c>
      <c r="AA396" t="str">
        <f t="shared" si="36"/>
        <v>2026-06</v>
      </c>
      <c r="AB396" t="str">
        <f t="shared" si="37"/>
        <v>H1_2026</v>
      </c>
      <c r="AC396">
        <f t="shared" si="38"/>
        <v>9578120</v>
      </c>
      <c r="AD396">
        <f t="shared" si="39"/>
        <v>920</v>
      </c>
      <c r="AE396">
        <f t="shared" si="40"/>
        <v>2402120</v>
      </c>
      <c r="AF396" t="str">
        <f t="shared" si="41"/>
        <v>Paid</v>
      </c>
    </row>
    <row r="397" spans="1:32" ht="17.25" thickBot="1" x14ac:dyDescent="0.35">
      <c r="A397" s="2" t="s">
        <v>2828</v>
      </c>
      <c r="B397" s="2" t="s">
        <v>27</v>
      </c>
      <c r="C397" s="2" t="s">
        <v>28</v>
      </c>
      <c r="D397" s="2" t="s">
        <v>97</v>
      </c>
      <c r="E397" s="2" t="s">
        <v>3247</v>
      </c>
      <c r="F397" s="2" t="s">
        <v>99</v>
      </c>
      <c r="G397" s="2" t="s">
        <v>32</v>
      </c>
      <c r="H397" s="1"/>
      <c r="I397" s="2" t="s">
        <v>33</v>
      </c>
      <c r="J397" s="2" t="s">
        <v>34</v>
      </c>
      <c r="K397" s="2" t="s">
        <v>2244</v>
      </c>
      <c r="L397" s="2" t="s">
        <v>2245</v>
      </c>
      <c r="M397" s="2" t="s">
        <v>2140</v>
      </c>
      <c r="N397" s="2" t="s">
        <v>38</v>
      </c>
      <c r="O397" s="2" t="s">
        <v>131</v>
      </c>
      <c r="P397" s="2" t="s">
        <v>2246</v>
      </c>
      <c r="Q397" s="2" t="s">
        <v>3276</v>
      </c>
      <c r="R397" s="2" t="s">
        <v>40</v>
      </c>
      <c r="S397" s="2" t="s">
        <v>3277</v>
      </c>
      <c r="T397" s="2" t="s">
        <v>2249</v>
      </c>
      <c r="U397" s="2" t="s">
        <v>2937</v>
      </c>
      <c r="V397" s="2" t="s">
        <v>3278</v>
      </c>
      <c r="W397" s="1"/>
      <c r="X397" s="2" t="s">
        <v>3279</v>
      </c>
      <c r="Y397" s="2" t="s">
        <v>3252</v>
      </c>
      <c r="AA397" t="str">
        <f t="shared" si="36"/>
        <v>2026-06</v>
      </c>
      <c r="AB397" t="str">
        <f t="shared" si="37"/>
        <v>H1_2026</v>
      </c>
      <c r="AC397">
        <f t="shared" si="38"/>
        <v>324536</v>
      </c>
      <c r="AD397">
        <f t="shared" si="39"/>
        <v>40</v>
      </c>
      <c r="AE397">
        <f t="shared" si="40"/>
        <v>40899.64</v>
      </c>
      <c r="AF397" t="str">
        <f t="shared" si="41"/>
        <v>Paid</v>
      </c>
    </row>
    <row r="398" spans="1:32" ht="17.25" thickBot="1" x14ac:dyDescent="0.35">
      <c r="A398" s="2" t="s">
        <v>3280</v>
      </c>
      <c r="B398" s="2" t="s">
        <v>27</v>
      </c>
      <c r="C398" s="2" t="s">
        <v>28</v>
      </c>
      <c r="D398" s="2" t="s">
        <v>97</v>
      </c>
      <c r="E398" s="2" t="s">
        <v>3247</v>
      </c>
      <c r="F398" s="2" t="s">
        <v>99</v>
      </c>
      <c r="G398" s="2" t="s">
        <v>32</v>
      </c>
      <c r="H398" s="1"/>
      <c r="I398" s="2" t="s">
        <v>33</v>
      </c>
      <c r="J398" s="2" t="s">
        <v>34</v>
      </c>
      <c r="K398" s="2" t="s">
        <v>3281</v>
      </c>
      <c r="L398" s="2" t="s">
        <v>3282</v>
      </c>
      <c r="M398" s="2" t="s">
        <v>263</v>
      </c>
      <c r="N398" s="2" t="s">
        <v>38</v>
      </c>
      <c r="O398" s="2" t="s">
        <v>877</v>
      </c>
      <c r="P398" s="2" t="s">
        <v>3283</v>
      </c>
      <c r="Q398" s="2" t="s">
        <v>3284</v>
      </c>
      <c r="R398" s="2" t="s">
        <v>40</v>
      </c>
      <c r="S398" s="2" t="s">
        <v>3285</v>
      </c>
      <c r="T398" s="2" t="s">
        <v>297</v>
      </c>
      <c r="U398" s="2" t="s">
        <v>3286</v>
      </c>
      <c r="V398" s="2" t="s">
        <v>3287</v>
      </c>
      <c r="W398" s="1"/>
      <c r="X398" s="2" t="s">
        <v>1472</v>
      </c>
      <c r="Y398" s="2" t="s">
        <v>3252</v>
      </c>
      <c r="AA398" t="str">
        <f t="shared" si="36"/>
        <v>2026-06</v>
      </c>
      <c r="AB398" t="str">
        <f t="shared" si="37"/>
        <v>H1_2026</v>
      </c>
      <c r="AC398">
        <f t="shared" si="38"/>
        <v>1054024</v>
      </c>
      <c r="AD398">
        <f t="shared" si="39"/>
        <v>100</v>
      </c>
      <c r="AE398">
        <f t="shared" si="40"/>
        <v>254024</v>
      </c>
      <c r="AF398" t="str">
        <f t="shared" si="41"/>
        <v>Paid</v>
      </c>
    </row>
    <row r="399" spans="1:32" ht="17.25" thickBot="1" x14ac:dyDescent="0.35">
      <c r="A399" s="2" t="s">
        <v>3288</v>
      </c>
      <c r="B399" s="2" t="s">
        <v>27</v>
      </c>
      <c r="C399" s="2" t="s">
        <v>28</v>
      </c>
      <c r="D399" s="2" t="s">
        <v>97</v>
      </c>
      <c r="E399" s="2" t="s">
        <v>3247</v>
      </c>
      <c r="F399" s="2" t="s">
        <v>99</v>
      </c>
      <c r="G399" s="2" t="s">
        <v>32</v>
      </c>
      <c r="H399" s="1"/>
      <c r="I399" s="2" t="s">
        <v>33</v>
      </c>
      <c r="J399" s="2" t="s">
        <v>34</v>
      </c>
      <c r="K399" s="2" t="s">
        <v>3289</v>
      </c>
      <c r="L399" s="2" t="s">
        <v>3290</v>
      </c>
      <c r="M399" s="2" t="s">
        <v>263</v>
      </c>
      <c r="N399" s="2" t="s">
        <v>38</v>
      </c>
      <c r="O399" s="2" t="s">
        <v>877</v>
      </c>
      <c r="P399" s="2" t="s">
        <v>3283</v>
      </c>
      <c r="Q399" s="2" t="s">
        <v>3284</v>
      </c>
      <c r="R399" s="2" t="s">
        <v>40</v>
      </c>
      <c r="S399" s="2" t="s">
        <v>3285</v>
      </c>
      <c r="T399" s="2" t="s">
        <v>297</v>
      </c>
      <c r="U399" s="2" t="s">
        <v>3286</v>
      </c>
      <c r="V399" s="2" t="s">
        <v>3287</v>
      </c>
      <c r="W399" s="1"/>
      <c r="X399" s="2" t="s">
        <v>1472</v>
      </c>
      <c r="Y399" s="2" t="s">
        <v>3252</v>
      </c>
      <c r="AA399" t="str">
        <f t="shared" si="36"/>
        <v>2026-06</v>
      </c>
      <c r="AB399" t="str">
        <f t="shared" si="37"/>
        <v>H1_2026</v>
      </c>
      <c r="AC399">
        <f t="shared" si="38"/>
        <v>1054024</v>
      </c>
      <c r="AD399">
        <f t="shared" si="39"/>
        <v>100</v>
      </c>
      <c r="AE399">
        <f t="shared" si="40"/>
        <v>254024</v>
      </c>
      <c r="AF399" t="str">
        <f t="shared" si="41"/>
        <v>Paid</v>
      </c>
    </row>
    <row r="400" spans="1:32" ht="17.25" thickBot="1" x14ac:dyDescent="0.35">
      <c r="A400" s="2" t="s">
        <v>3291</v>
      </c>
      <c r="B400" s="2" t="s">
        <v>27</v>
      </c>
      <c r="C400" s="2" t="s">
        <v>28</v>
      </c>
      <c r="D400" s="2" t="s">
        <v>97</v>
      </c>
      <c r="E400" s="2" t="s">
        <v>3247</v>
      </c>
      <c r="F400" s="2" t="s">
        <v>99</v>
      </c>
      <c r="G400" s="2" t="s">
        <v>32</v>
      </c>
      <c r="H400" s="1"/>
      <c r="I400" s="2" t="s">
        <v>33</v>
      </c>
      <c r="J400" s="2" t="s">
        <v>34</v>
      </c>
      <c r="K400" s="2" t="s">
        <v>3292</v>
      </c>
      <c r="L400" s="2" t="s">
        <v>3293</v>
      </c>
      <c r="M400" s="2" t="s">
        <v>263</v>
      </c>
      <c r="N400" s="2" t="s">
        <v>38</v>
      </c>
      <c r="O400" s="2" t="s">
        <v>877</v>
      </c>
      <c r="P400" s="2" t="s">
        <v>2898</v>
      </c>
      <c r="Q400" s="2" t="s">
        <v>3294</v>
      </c>
      <c r="R400" s="2" t="s">
        <v>40</v>
      </c>
      <c r="S400" s="2" t="s">
        <v>3295</v>
      </c>
      <c r="T400" s="2" t="s">
        <v>297</v>
      </c>
      <c r="U400" s="2" t="s">
        <v>3286</v>
      </c>
      <c r="V400" s="2" t="s">
        <v>3296</v>
      </c>
      <c r="W400" s="1"/>
      <c r="X400" s="2" t="s">
        <v>2894</v>
      </c>
      <c r="Y400" s="2" t="s">
        <v>3252</v>
      </c>
      <c r="AA400" t="str">
        <f t="shared" si="36"/>
        <v>2026-06</v>
      </c>
      <c r="AB400" t="str">
        <f t="shared" si="37"/>
        <v>H1_2026</v>
      </c>
      <c r="AC400">
        <f t="shared" si="38"/>
        <v>1147364</v>
      </c>
      <c r="AD400">
        <f t="shared" si="39"/>
        <v>100</v>
      </c>
      <c r="AE400">
        <f t="shared" si="40"/>
        <v>347364</v>
      </c>
      <c r="AF400" t="str">
        <f t="shared" si="41"/>
        <v>Paid</v>
      </c>
    </row>
    <row r="401" spans="1:32" ht="17.25" thickBot="1" x14ac:dyDescent="0.35">
      <c r="A401" s="2" t="s">
        <v>3297</v>
      </c>
      <c r="B401" s="2" t="s">
        <v>27</v>
      </c>
      <c r="C401" s="2" t="s">
        <v>28</v>
      </c>
      <c r="D401" s="2" t="s">
        <v>97</v>
      </c>
      <c r="E401" s="2" t="s">
        <v>3247</v>
      </c>
      <c r="F401" s="2" t="s">
        <v>99</v>
      </c>
      <c r="G401" s="2" t="s">
        <v>32</v>
      </c>
      <c r="H401" s="1"/>
      <c r="I401" s="2" t="s">
        <v>33</v>
      </c>
      <c r="J401" s="2" t="s">
        <v>34</v>
      </c>
      <c r="K401" s="2" t="s">
        <v>3298</v>
      </c>
      <c r="L401" s="2" t="s">
        <v>3299</v>
      </c>
      <c r="M401" s="2" t="s">
        <v>263</v>
      </c>
      <c r="N401" s="2" t="s">
        <v>38</v>
      </c>
      <c r="O401" s="2" t="s">
        <v>877</v>
      </c>
      <c r="P401" s="2" t="s">
        <v>3300</v>
      </c>
      <c r="Q401" s="2" t="s">
        <v>3301</v>
      </c>
      <c r="R401" s="2" t="s">
        <v>40</v>
      </c>
      <c r="S401" s="2" t="s">
        <v>3302</v>
      </c>
      <c r="T401" s="2" t="s">
        <v>669</v>
      </c>
      <c r="U401" s="2" t="s">
        <v>3303</v>
      </c>
      <c r="V401" s="2" t="s">
        <v>3304</v>
      </c>
      <c r="W401" s="1"/>
      <c r="X401" s="2" t="s">
        <v>3305</v>
      </c>
      <c r="Y401" s="2" t="s">
        <v>3252</v>
      </c>
      <c r="AA401" t="str">
        <f t="shared" si="36"/>
        <v>2026-06</v>
      </c>
      <c r="AB401" t="str">
        <f t="shared" si="37"/>
        <v>H1_2026</v>
      </c>
      <c r="AC401">
        <f t="shared" si="38"/>
        <v>775440</v>
      </c>
      <c r="AD401">
        <f t="shared" si="39"/>
        <v>100</v>
      </c>
      <c r="AE401">
        <f t="shared" si="40"/>
        <v>175440</v>
      </c>
      <c r="AF401" t="str">
        <f t="shared" si="41"/>
        <v>Paid</v>
      </c>
    </row>
    <row r="402" spans="1:32" ht="17.25" thickBot="1" x14ac:dyDescent="0.35">
      <c r="A402" s="2" t="s">
        <v>177</v>
      </c>
      <c r="B402" s="2" t="s">
        <v>27</v>
      </c>
      <c r="C402" s="2" t="s">
        <v>28</v>
      </c>
      <c r="D402" s="2" t="s">
        <v>97</v>
      </c>
      <c r="E402" s="2" t="s">
        <v>3247</v>
      </c>
      <c r="F402" s="2" t="s">
        <v>99</v>
      </c>
      <c r="G402" s="2" t="s">
        <v>32</v>
      </c>
      <c r="H402" s="1"/>
      <c r="I402" s="2" t="s">
        <v>33</v>
      </c>
      <c r="J402" s="2" t="s">
        <v>34</v>
      </c>
      <c r="K402" s="2" t="s">
        <v>2268</v>
      </c>
      <c r="L402" s="2" t="s">
        <v>2269</v>
      </c>
      <c r="M402" s="2" t="s">
        <v>2270</v>
      </c>
      <c r="N402" s="2" t="s">
        <v>38</v>
      </c>
      <c r="O402" s="2" t="s">
        <v>2091</v>
      </c>
      <c r="P402" s="2" t="s">
        <v>2272</v>
      </c>
      <c r="Q402" s="2" t="s">
        <v>3306</v>
      </c>
      <c r="R402" s="2" t="s">
        <v>40</v>
      </c>
      <c r="S402" s="2" t="s">
        <v>3307</v>
      </c>
      <c r="T402" s="2" t="s">
        <v>2275</v>
      </c>
      <c r="U402" s="2" t="s">
        <v>3308</v>
      </c>
      <c r="V402" s="2" t="s">
        <v>3309</v>
      </c>
      <c r="W402" s="1"/>
      <c r="X402" s="2" t="s">
        <v>3310</v>
      </c>
      <c r="Y402" s="2" t="s">
        <v>3252</v>
      </c>
      <c r="AA402" t="str">
        <f t="shared" si="36"/>
        <v>2026-06</v>
      </c>
      <c r="AB402" t="str">
        <f t="shared" si="37"/>
        <v>H1_2026</v>
      </c>
      <c r="AC402">
        <f t="shared" si="38"/>
        <v>7616544</v>
      </c>
      <c r="AD402">
        <f t="shared" si="39"/>
        <v>1360</v>
      </c>
      <c r="AE402">
        <f t="shared" si="40"/>
        <v>1496544</v>
      </c>
      <c r="AF402" t="str">
        <f t="shared" si="41"/>
        <v>Paid</v>
      </c>
    </row>
    <row r="403" spans="1:32" ht="17.25" thickBot="1" x14ac:dyDescent="0.35">
      <c r="A403" s="2" t="s">
        <v>3311</v>
      </c>
      <c r="B403" s="2" t="s">
        <v>27</v>
      </c>
      <c r="C403" s="2" t="s">
        <v>28</v>
      </c>
      <c r="D403" s="2" t="s">
        <v>97</v>
      </c>
      <c r="E403" s="2" t="s">
        <v>3247</v>
      </c>
      <c r="F403" s="2" t="s">
        <v>99</v>
      </c>
      <c r="G403" s="2" t="s">
        <v>32</v>
      </c>
      <c r="H403" s="1"/>
      <c r="I403" s="2" t="s">
        <v>33</v>
      </c>
      <c r="J403" s="2" t="s">
        <v>34</v>
      </c>
      <c r="K403" s="2" t="s">
        <v>2300</v>
      </c>
      <c r="L403" s="2" t="s">
        <v>2301</v>
      </c>
      <c r="M403" s="2" t="s">
        <v>2270</v>
      </c>
      <c r="N403" s="2" t="s">
        <v>38</v>
      </c>
      <c r="O403" s="2" t="s">
        <v>214</v>
      </c>
      <c r="P403" s="2" t="s">
        <v>2272</v>
      </c>
      <c r="Q403" s="2" t="s">
        <v>3312</v>
      </c>
      <c r="R403" s="2" t="s">
        <v>40</v>
      </c>
      <c r="S403" s="2" t="s">
        <v>3313</v>
      </c>
      <c r="T403" s="2" t="s">
        <v>2275</v>
      </c>
      <c r="U403" s="2" t="s">
        <v>3314</v>
      </c>
      <c r="V403" s="2" t="s">
        <v>3315</v>
      </c>
      <c r="W403" s="1"/>
      <c r="X403" s="2" t="s">
        <v>3310</v>
      </c>
      <c r="Y403" s="2" t="s">
        <v>3252</v>
      </c>
      <c r="AA403" t="str">
        <f t="shared" si="36"/>
        <v>2026-06</v>
      </c>
      <c r="AB403" t="str">
        <f t="shared" si="37"/>
        <v>H1_2026</v>
      </c>
      <c r="AC403">
        <f t="shared" si="38"/>
        <v>280020</v>
      </c>
      <c r="AD403">
        <f t="shared" si="39"/>
        <v>50</v>
      </c>
      <c r="AE403">
        <f t="shared" si="40"/>
        <v>55020</v>
      </c>
      <c r="AF403" t="str">
        <f t="shared" si="41"/>
        <v>Paid</v>
      </c>
    </row>
    <row r="404" spans="1:32" ht="17.25" thickBot="1" x14ac:dyDescent="0.35">
      <c r="A404" s="2" t="s">
        <v>3316</v>
      </c>
      <c r="B404" s="2" t="s">
        <v>27</v>
      </c>
      <c r="C404" s="2" t="s">
        <v>28</v>
      </c>
      <c r="D404" s="2" t="s">
        <v>97</v>
      </c>
      <c r="E404" s="2" t="s">
        <v>3247</v>
      </c>
      <c r="F404" s="2" t="s">
        <v>99</v>
      </c>
      <c r="G404" s="2" t="s">
        <v>32</v>
      </c>
      <c r="H404" s="1"/>
      <c r="I404" s="2" t="s">
        <v>33</v>
      </c>
      <c r="J404" s="2" t="s">
        <v>34</v>
      </c>
      <c r="K404" s="2" t="s">
        <v>3317</v>
      </c>
      <c r="L404" s="2" t="s">
        <v>3318</v>
      </c>
      <c r="M404" s="2" t="s">
        <v>2270</v>
      </c>
      <c r="N404" s="2" t="s">
        <v>38</v>
      </c>
      <c r="O404" s="2" t="s">
        <v>60</v>
      </c>
      <c r="P404" s="2" t="s">
        <v>2272</v>
      </c>
      <c r="Q404" s="2" t="s">
        <v>3319</v>
      </c>
      <c r="R404" s="2" t="s">
        <v>40</v>
      </c>
      <c r="S404" s="2" t="s">
        <v>3320</v>
      </c>
      <c r="T404" s="2" t="s">
        <v>2275</v>
      </c>
      <c r="U404" s="2" t="s">
        <v>3321</v>
      </c>
      <c r="V404" s="2" t="s">
        <v>3322</v>
      </c>
      <c r="W404" s="1"/>
      <c r="X404" s="2" t="s">
        <v>3310</v>
      </c>
      <c r="Y404" s="2" t="s">
        <v>3252</v>
      </c>
      <c r="AA404" t="str">
        <f t="shared" si="36"/>
        <v>2026-06</v>
      </c>
      <c r="AB404" t="str">
        <f t="shared" si="37"/>
        <v>H1_2026</v>
      </c>
      <c r="AC404">
        <f t="shared" si="38"/>
        <v>33602.400000000001</v>
      </c>
      <c r="AD404">
        <f t="shared" si="39"/>
        <v>6</v>
      </c>
      <c r="AE404">
        <f t="shared" si="40"/>
        <v>6602.4</v>
      </c>
      <c r="AF404" t="str">
        <f t="shared" si="41"/>
        <v>Paid</v>
      </c>
    </row>
    <row r="405" spans="1:32" ht="17.25" thickBot="1" x14ac:dyDescent="0.35">
      <c r="A405" s="2" t="s">
        <v>3323</v>
      </c>
      <c r="B405" s="2" t="s">
        <v>27</v>
      </c>
      <c r="C405" s="2" t="s">
        <v>28</v>
      </c>
      <c r="D405" s="2" t="s">
        <v>97</v>
      </c>
      <c r="E405" s="2" t="s">
        <v>3247</v>
      </c>
      <c r="F405" s="2" t="s">
        <v>99</v>
      </c>
      <c r="G405" s="2" t="s">
        <v>32</v>
      </c>
      <c r="H405" s="1"/>
      <c r="I405" s="2" t="s">
        <v>33</v>
      </c>
      <c r="J405" s="2" t="s">
        <v>34</v>
      </c>
      <c r="K405" s="2" t="s">
        <v>2306</v>
      </c>
      <c r="L405" s="2" t="s">
        <v>2307</v>
      </c>
      <c r="M405" s="2" t="s">
        <v>2270</v>
      </c>
      <c r="N405" s="2" t="s">
        <v>38</v>
      </c>
      <c r="O405" s="2" t="s">
        <v>1820</v>
      </c>
      <c r="P405" s="2" t="s">
        <v>2272</v>
      </c>
      <c r="Q405" s="2" t="s">
        <v>3324</v>
      </c>
      <c r="R405" s="2" t="s">
        <v>40</v>
      </c>
      <c r="S405" s="2" t="s">
        <v>3325</v>
      </c>
      <c r="T405" s="2" t="s">
        <v>2275</v>
      </c>
      <c r="U405" s="2" t="s">
        <v>3326</v>
      </c>
      <c r="V405" s="2" t="s">
        <v>3327</v>
      </c>
      <c r="W405" s="1"/>
      <c r="X405" s="2" t="s">
        <v>3310</v>
      </c>
      <c r="Y405" s="2" t="s">
        <v>3252</v>
      </c>
      <c r="AA405" t="str">
        <f t="shared" si="36"/>
        <v>2026-06</v>
      </c>
      <c r="AB405" t="str">
        <f t="shared" si="37"/>
        <v>H1_2026</v>
      </c>
      <c r="AC405">
        <f t="shared" si="38"/>
        <v>1220887.2</v>
      </c>
      <c r="AD405">
        <f t="shared" si="39"/>
        <v>218</v>
      </c>
      <c r="AE405">
        <f t="shared" si="40"/>
        <v>239887.2</v>
      </c>
      <c r="AF405" t="str">
        <f t="shared" si="41"/>
        <v>Paid</v>
      </c>
    </row>
    <row r="406" spans="1:32" ht="17.25" thickBot="1" x14ac:dyDescent="0.35">
      <c r="A406" s="2" t="s">
        <v>3328</v>
      </c>
      <c r="B406" s="2" t="s">
        <v>27</v>
      </c>
      <c r="C406" s="2" t="s">
        <v>28</v>
      </c>
      <c r="D406" s="2" t="s">
        <v>97</v>
      </c>
      <c r="E406" s="2" t="s">
        <v>3247</v>
      </c>
      <c r="F406" s="2" t="s">
        <v>99</v>
      </c>
      <c r="G406" s="2" t="s">
        <v>32</v>
      </c>
      <c r="H406" s="1"/>
      <c r="I406" s="2" t="s">
        <v>33</v>
      </c>
      <c r="J406" s="2" t="s">
        <v>34</v>
      </c>
      <c r="K406" s="2" t="s">
        <v>2313</v>
      </c>
      <c r="L406" s="2" t="s">
        <v>2314</v>
      </c>
      <c r="M406" s="2" t="s">
        <v>2270</v>
      </c>
      <c r="N406" s="2" t="s">
        <v>38</v>
      </c>
      <c r="O406" s="2" t="s">
        <v>131</v>
      </c>
      <c r="P406" s="2" t="s">
        <v>2272</v>
      </c>
      <c r="Q406" s="2" t="s">
        <v>3329</v>
      </c>
      <c r="R406" s="2" t="s">
        <v>40</v>
      </c>
      <c r="S406" s="2" t="s">
        <v>3330</v>
      </c>
      <c r="T406" s="2" t="s">
        <v>2275</v>
      </c>
      <c r="U406" s="2" t="s">
        <v>3331</v>
      </c>
      <c r="V406" s="2" t="s">
        <v>3332</v>
      </c>
      <c r="W406" s="1"/>
      <c r="X406" s="2" t="s">
        <v>3310</v>
      </c>
      <c r="Y406" s="2" t="s">
        <v>3252</v>
      </c>
      <c r="AA406" t="str">
        <f t="shared" si="36"/>
        <v>2026-06</v>
      </c>
      <c r="AB406" t="str">
        <f t="shared" si="37"/>
        <v>H1_2026</v>
      </c>
      <c r="AC406">
        <f t="shared" si="38"/>
        <v>224016</v>
      </c>
      <c r="AD406">
        <f t="shared" si="39"/>
        <v>40</v>
      </c>
      <c r="AE406">
        <f t="shared" si="40"/>
        <v>44016</v>
      </c>
      <c r="AF406" t="str">
        <f t="shared" si="41"/>
        <v>Paid</v>
      </c>
    </row>
    <row r="407" spans="1:32" ht="17.25" thickBot="1" x14ac:dyDescent="0.35">
      <c r="A407" s="2" t="s">
        <v>1530</v>
      </c>
      <c r="B407" s="2" t="s">
        <v>27</v>
      </c>
      <c r="C407" s="2" t="s">
        <v>28</v>
      </c>
      <c r="D407" s="2" t="s">
        <v>97</v>
      </c>
      <c r="E407" s="2" t="s">
        <v>3247</v>
      </c>
      <c r="F407" s="2" t="s">
        <v>99</v>
      </c>
      <c r="G407" s="2" t="s">
        <v>32</v>
      </c>
      <c r="H407" s="1"/>
      <c r="I407" s="2" t="s">
        <v>33</v>
      </c>
      <c r="J407" s="2" t="s">
        <v>34</v>
      </c>
      <c r="K407" s="2" t="s">
        <v>2320</v>
      </c>
      <c r="L407" s="2" t="s">
        <v>2321</v>
      </c>
      <c r="M407" s="2" t="s">
        <v>2270</v>
      </c>
      <c r="N407" s="2" t="s">
        <v>38</v>
      </c>
      <c r="O407" s="2" t="s">
        <v>213</v>
      </c>
      <c r="P407" s="2" t="s">
        <v>2272</v>
      </c>
      <c r="Q407" s="2" t="s">
        <v>3333</v>
      </c>
      <c r="R407" s="2" t="s">
        <v>40</v>
      </c>
      <c r="S407" s="2" t="s">
        <v>3334</v>
      </c>
      <c r="T407" s="2" t="s">
        <v>2275</v>
      </c>
      <c r="U407" s="2" t="s">
        <v>3335</v>
      </c>
      <c r="V407" s="2" t="s">
        <v>3336</v>
      </c>
      <c r="W407" s="1"/>
      <c r="X407" s="2" t="s">
        <v>3310</v>
      </c>
      <c r="Y407" s="2" t="s">
        <v>3252</v>
      </c>
      <c r="AA407" t="str">
        <f t="shared" si="36"/>
        <v>2026-06</v>
      </c>
      <c r="AB407" t="str">
        <f t="shared" si="37"/>
        <v>H1_2026</v>
      </c>
      <c r="AC407">
        <f t="shared" si="38"/>
        <v>145610.4</v>
      </c>
      <c r="AD407">
        <f t="shared" si="39"/>
        <v>26</v>
      </c>
      <c r="AE407">
        <f t="shared" si="40"/>
        <v>28610.400000000001</v>
      </c>
      <c r="AF407" t="str">
        <f t="shared" si="41"/>
        <v>Paid</v>
      </c>
    </row>
    <row r="408" spans="1:32" ht="17.25" thickBot="1" x14ac:dyDescent="0.35">
      <c r="A408" s="2" t="s">
        <v>3337</v>
      </c>
      <c r="B408" s="2" t="s">
        <v>27</v>
      </c>
      <c r="C408" s="2" t="s">
        <v>28</v>
      </c>
      <c r="D408" s="2" t="s">
        <v>97</v>
      </c>
      <c r="E408" s="2" t="s">
        <v>3247</v>
      </c>
      <c r="F408" s="2" t="s">
        <v>99</v>
      </c>
      <c r="G408" s="2" t="s">
        <v>32</v>
      </c>
      <c r="H408" s="1"/>
      <c r="I408" s="2" t="s">
        <v>33</v>
      </c>
      <c r="J408" s="2" t="s">
        <v>34</v>
      </c>
      <c r="K408" s="2" t="s">
        <v>2320</v>
      </c>
      <c r="L408" s="2" t="s">
        <v>2321</v>
      </c>
      <c r="M408" s="2" t="s">
        <v>2270</v>
      </c>
      <c r="N408" s="2" t="s">
        <v>38</v>
      </c>
      <c r="O408" s="2" t="s">
        <v>367</v>
      </c>
      <c r="P408" s="2" t="s">
        <v>3338</v>
      </c>
      <c r="Q408" s="2" t="s">
        <v>3339</v>
      </c>
      <c r="R408" s="2" t="s">
        <v>40</v>
      </c>
      <c r="S408" s="2" t="s">
        <v>3340</v>
      </c>
      <c r="T408" s="2" t="s">
        <v>2275</v>
      </c>
      <c r="U408" s="2" t="s">
        <v>3341</v>
      </c>
      <c r="V408" s="2" t="s">
        <v>3342</v>
      </c>
      <c r="W408" s="1"/>
      <c r="X408" s="2" t="s">
        <v>2198</v>
      </c>
      <c r="Y408" s="2" t="s">
        <v>3252</v>
      </c>
      <c r="AA408" t="str">
        <f t="shared" si="36"/>
        <v>2026-06</v>
      </c>
      <c r="AB408" t="str">
        <f t="shared" si="37"/>
        <v>H1_2026</v>
      </c>
      <c r="AC408">
        <f t="shared" si="38"/>
        <v>244522.08</v>
      </c>
      <c r="AD408">
        <f t="shared" si="39"/>
        <v>44</v>
      </c>
      <c r="AE408">
        <f t="shared" si="40"/>
        <v>46522.080000000002</v>
      </c>
      <c r="AF408" t="str">
        <f t="shared" si="41"/>
        <v>Paid</v>
      </c>
    </row>
    <row r="409" spans="1:32" ht="27.75" thickBot="1" x14ac:dyDescent="0.35">
      <c r="A409" s="2" t="s">
        <v>3343</v>
      </c>
      <c r="B409" s="2" t="s">
        <v>27</v>
      </c>
      <c r="C409" s="2" t="s">
        <v>28</v>
      </c>
      <c r="D409" s="2" t="s">
        <v>97</v>
      </c>
      <c r="E409" s="2" t="s">
        <v>3247</v>
      </c>
      <c r="F409" s="2" t="s">
        <v>99</v>
      </c>
      <c r="G409" s="2" t="s">
        <v>32</v>
      </c>
      <c r="H409" s="1"/>
      <c r="I409" s="2" t="s">
        <v>33</v>
      </c>
      <c r="J409" s="2" t="s">
        <v>34</v>
      </c>
      <c r="K409" s="2" t="s">
        <v>2325</v>
      </c>
      <c r="L409" s="2" t="s">
        <v>2326</v>
      </c>
      <c r="M409" s="2" t="s">
        <v>2270</v>
      </c>
      <c r="N409" s="2" t="s">
        <v>38</v>
      </c>
      <c r="O409" s="2" t="s">
        <v>76</v>
      </c>
      <c r="P409" s="2" t="s">
        <v>3338</v>
      </c>
      <c r="Q409" s="2" t="s">
        <v>3344</v>
      </c>
      <c r="R409" s="2" t="s">
        <v>40</v>
      </c>
      <c r="S409" s="2" t="s">
        <v>3345</v>
      </c>
      <c r="T409" s="2" t="s">
        <v>2275</v>
      </c>
      <c r="U409" s="2" t="s">
        <v>2329</v>
      </c>
      <c r="V409" s="2" t="s">
        <v>3346</v>
      </c>
      <c r="W409" s="1"/>
      <c r="X409" s="2" t="s">
        <v>2198</v>
      </c>
      <c r="Y409" s="2" t="s">
        <v>3252</v>
      </c>
      <c r="AA409" t="str">
        <f t="shared" si="36"/>
        <v>2026-06</v>
      </c>
      <c r="AB409" t="str">
        <f t="shared" si="37"/>
        <v>H1_2026</v>
      </c>
      <c r="AC409">
        <f t="shared" si="38"/>
        <v>50015.88</v>
      </c>
      <c r="AD409">
        <f t="shared" si="39"/>
        <v>9</v>
      </c>
      <c r="AE409">
        <f t="shared" si="40"/>
        <v>9515.8799999999992</v>
      </c>
      <c r="AF409" t="str">
        <f t="shared" si="41"/>
        <v>Paid</v>
      </c>
    </row>
    <row r="410" spans="1:32" ht="17.25" thickBot="1" x14ac:dyDescent="0.35">
      <c r="A410" s="2" t="s">
        <v>3347</v>
      </c>
      <c r="B410" s="2" t="s">
        <v>27</v>
      </c>
      <c r="C410" s="2" t="s">
        <v>28</v>
      </c>
      <c r="D410" s="2" t="s">
        <v>97</v>
      </c>
      <c r="E410" s="2" t="s">
        <v>3247</v>
      </c>
      <c r="F410" s="2" t="s">
        <v>99</v>
      </c>
      <c r="G410" s="2" t="s">
        <v>32</v>
      </c>
      <c r="H410" s="1"/>
      <c r="I410" s="2" t="s">
        <v>33</v>
      </c>
      <c r="J410" s="2" t="s">
        <v>34</v>
      </c>
      <c r="K410" s="2" t="s">
        <v>2332</v>
      </c>
      <c r="L410" s="2" t="s">
        <v>2333</v>
      </c>
      <c r="M410" s="2" t="s">
        <v>2270</v>
      </c>
      <c r="N410" s="2" t="s">
        <v>38</v>
      </c>
      <c r="O410" s="2" t="s">
        <v>877</v>
      </c>
      <c r="P410" s="2" t="s">
        <v>2272</v>
      </c>
      <c r="Q410" s="2" t="s">
        <v>2302</v>
      </c>
      <c r="R410" s="2" t="s">
        <v>40</v>
      </c>
      <c r="S410" s="2" t="s">
        <v>3348</v>
      </c>
      <c r="T410" s="2" t="s">
        <v>2275</v>
      </c>
      <c r="U410" s="2" t="s">
        <v>145</v>
      </c>
      <c r="V410" s="2" t="s">
        <v>3349</v>
      </c>
      <c r="W410" s="1"/>
      <c r="X410" s="2" t="s">
        <v>3310</v>
      </c>
      <c r="Y410" s="2" t="s">
        <v>3252</v>
      </c>
      <c r="AA410" t="str">
        <f t="shared" si="36"/>
        <v>2026-06</v>
      </c>
      <c r="AB410" t="str">
        <f t="shared" si="37"/>
        <v>H1_2026</v>
      </c>
      <c r="AC410">
        <f t="shared" si="38"/>
        <v>560040</v>
      </c>
      <c r="AD410">
        <f t="shared" si="39"/>
        <v>100</v>
      </c>
      <c r="AE410">
        <f t="shared" si="40"/>
        <v>110040</v>
      </c>
      <c r="AF410" t="str">
        <f t="shared" si="41"/>
        <v>Paid</v>
      </c>
    </row>
    <row r="411" spans="1:32" ht="17.25" thickBot="1" x14ac:dyDescent="0.35">
      <c r="A411" s="2" t="s">
        <v>3350</v>
      </c>
      <c r="B411" s="2" t="s">
        <v>27</v>
      </c>
      <c r="C411" s="2" t="s">
        <v>28</v>
      </c>
      <c r="D411" s="2" t="s">
        <v>97</v>
      </c>
      <c r="E411" s="2" t="s">
        <v>3247</v>
      </c>
      <c r="F411" s="2" t="s">
        <v>99</v>
      </c>
      <c r="G411" s="2" t="s">
        <v>32</v>
      </c>
      <c r="H411" s="1"/>
      <c r="I411" s="2" t="s">
        <v>33</v>
      </c>
      <c r="J411" s="2" t="s">
        <v>34</v>
      </c>
      <c r="K411" s="2" t="s">
        <v>2335</v>
      </c>
      <c r="L411" s="2" t="s">
        <v>2336</v>
      </c>
      <c r="M411" s="2" t="s">
        <v>2270</v>
      </c>
      <c r="N411" s="2" t="s">
        <v>38</v>
      </c>
      <c r="O411" s="2" t="s">
        <v>428</v>
      </c>
      <c r="P411" s="2" t="s">
        <v>2272</v>
      </c>
      <c r="Q411" s="2" t="s">
        <v>3351</v>
      </c>
      <c r="R411" s="2" t="s">
        <v>40</v>
      </c>
      <c r="S411" s="2" t="s">
        <v>3352</v>
      </c>
      <c r="T411" s="2" t="s">
        <v>2275</v>
      </c>
      <c r="U411" s="2" t="s">
        <v>3353</v>
      </c>
      <c r="V411" s="2" t="s">
        <v>3354</v>
      </c>
      <c r="W411" s="1"/>
      <c r="X411" s="2" t="s">
        <v>3310</v>
      </c>
      <c r="Y411" s="2" t="s">
        <v>3252</v>
      </c>
      <c r="AA411" t="str">
        <f t="shared" si="36"/>
        <v>2026-06</v>
      </c>
      <c r="AB411" t="str">
        <f t="shared" si="37"/>
        <v>H1_2026</v>
      </c>
      <c r="AC411">
        <f t="shared" si="38"/>
        <v>1400100</v>
      </c>
      <c r="AD411">
        <f t="shared" si="39"/>
        <v>250</v>
      </c>
      <c r="AE411">
        <f t="shared" si="40"/>
        <v>275100</v>
      </c>
      <c r="AF411" t="str">
        <f t="shared" si="41"/>
        <v>Paid</v>
      </c>
    </row>
    <row r="412" spans="1:32" ht="27.75" thickBot="1" x14ac:dyDescent="0.35">
      <c r="A412" s="2" t="s">
        <v>2141</v>
      </c>
      <c r="B412" s="2" t="s">
        <v>27</v>
      </c>
      <c r="C412" s="2" t="s">
        <v>28</v>
      </c>
      <c r="D412" s="2" t="s">
        <v>97</v>
      </c>
      <c r="E412" s="2" t="s">
        <v>3247</v>
      </c>
      <c r="F412" s="2" t="s">
        <v>99</v>
      </c>
      <c r="G412" s="2" t="s">
        <v>32</v>
      </c>
      <c r="H412" s="1"/>
      <c r="I412" s="2" t="s">
        <v>33</v>
      </c>
      <c r="J412" s="2" t="s">
        <v>34</v>
      </c>
      <c r="K412" s="2" t="s">
        <v>2342</v>
      </c>
      <c r="L412" s="2" t="s">
        <v>2343</v>
      </c>
      <c r="M412" s="2" t="s">
        <v>2270</v>
      </c>
      <c r="N412" s="2" t="s">
        <v>38</v>
      </c>
      <c r="O412" s="2" t="s">
        <v>141</v>
      </c>
      <c r="P412" s="2" t="s">
        <v>2272</v>
      </c>
      <c r="Q412" s="2" t="s">
        <v>3355</v>
      </c>
      <c r="R412" s="2" t="s">
        <v>40</v>
      </c>
      <c r="S412" s="2" t="s">
        <v>3356</v>
      </c>
      <c r="T412" s="2" t="s">
        <v>2275</v>
      </c>
      <c r="U412" s="2" t="s">
        <v>3357</v>
      </c>
      <c r="V412" s="2" t="s">
        <v>3358</v>
      </c>
      <c r="W412" s="1"/>
      <c r="X412" s="2" t="s">
        <v>3310</v>
      </c>
      <c r="Y412" s="2" t="s">
        <v>3252</v>
      </c>
      <c r="AA412" t="str">
        <f t="shared" si="36"/>
        <v>2026-06</v>
      </c>
      <c r="AB412" t="str">
        <f t="shared" si="37"/>
        <v>H1_2026</v>
      </c>
      <c r="AC412">
        <f t="shared" si="38"/>
        <v>168012</v>
      </c>
      <c r="AD412">
        <f t="shared" si="39"/>
        <v>30</v>
      </c>
      <c r="AE412">
        <f t="shared" si="40"/>
        <v>33012</v>
      </c>
      <c r="AF412" t="str">
        <f t="shared" si="41"/>
        <v>Paid</v>
      </c>
    </row>
    <row r="413" spans="1:32" ht="17.25" thickBot="1" x14ac:dyDescent="0.35">
      <c r="A413" s="2" t="s">
        <v>3359</v>
      </c>
      <c r="B413" s="2" t="s">
        <v>27</v>
      </c>
      <c r="C413" s="2" t="s">
        <v>28</v>
      </c>
      <c r="D413" s="2" t="s">
        <v>97</v>
      </c>
      <c r="E413" s="2" t="s">
        <v>3247</v>
      </c>
      <c r="F413" s="2" t="s">
        <v>99</v>
      </c>
      <c r="G413" s="2" t="s">
        <v>32</v>
      </c>
      <c r="H413" s="1"/>
      <c r="I413" s="2" t="s">
        <v>33</v>
      </c>
      <c r="J413" s="2" t="s">
        <v>34</v>
      </c>
      <c r="K413" s="2" t="s">
        <v>2349</v>
      </c>
      <c r="L413" s="2" t="s">
        <v>2350</v>
      </c>
      <c r="M413" s="2" t="s">
        <v>2270</v>
      </c>
      <c r="N413" s="2" t="s">
        <v>38</v>
      </c>
      <c r="O413" s="2" t="s">
        <v>141</v>
      </c>
      <c r="P413" s="2" t="s">
        <v>2272</v>
      </c>
      <c r="Q413" s="2" t="s">
        <v>3355</v>
      </c>
      <c r="R413" s="2" t="s">
        <v>40</v>
      </c>
      <c r="S413" s="2" t="s">
        <v>3356</v>
      </c>
      <c r="T413" s="2" t="s">
        <v>2275</v>
      </c>
      <c r="U413" s="2" t="s">
        <v>3357</v>
      </c>
      <c r="V413" s="2" t="s">
        <v>3358</v>
      </c>
      <c r="W413" s="1"/>
      <c r="X413" s="2" t="s">
        <v>3310</v>
      </c>
      <c r="Y413" s="2" t="s">
        <v>3252</v>
      </c>
      <c r="AA413" t="str">
        <f t="shared" si="36"/>
        <v>2026-06</v>
      </c>
      <c r="AB413" t="str">
        <f t="shared" si="37"/>
        <v>H1_2026</v>
      </c>
      <c r="AC413">
        <f t="shared" si="38"/>
        <v>168012</v>
      </c>
      <c r="AD413">
        <f t="shared" si="39"/>
        <v>30</v>
      </c>
      <c r="AE413">
        <f t="shared" si="40"/>
        <v>33012</v>
      </c>
      <c r="AF413" t="str">
        <f t="shared" si="41"/>
        <v>Paid</v>
      </c>
    </row>
    <row r="414" spans="1:32" ht="27.75" thickBot="1" x14ac:dyDescent="0.35">
      <c r="A414" s="2" t="s">
        <v>3360</v>
      </c>
      <c r="B414" s="2" t="s">
        <v>27</v>
      </c>
      <c r="C414" s="2" t="s">
        <v>28</v>
      </c>
      <c r="D414" s="2" t="s">
        <v>97</v>
      </c>
      <c r="E414" s="2" t="s">
        <v>3247</v>
      </c>
      <c r="F414" s="2" t="s">
        <v>99</v>
      </c>
      <c r="G414" s="2" t="s">
        <v>32</v>
      </c>
      <c r="H414" s="1"/>
      <c r="I414" s="2" t="s">
        <v>33</v>
      </c>
      <c r="J414" s="2" t="s">
        <v>34</v>
      </c>
      <c r="K414" s="2" t="s">
        <v>2356</v>
      </c>
      <c r="L414" s="2" t="s">
        <v>2357</v>
      </c>
      <c r="M414" s="2" t="s">
        <v>2270</v>
      </c>
      <c r="N414" s="2" t="s">
        <v>38</v>
      </c>
      <c r="O414" s="2" t="s">
        <v>214</v>
      </c>
      <c r="P414" s="2" t="s">
        <v>2272</v>
      </c>
      <c r="Q414" s="2" t="s">
        <v>3312</v>
      </c>
      <c r="R414" s="2" t="s">
        <v>40</v>
      </c>
      <c r="S414" s="2" t="s">
        <v>3313</v>
      </c>
      <c r="T414" s="2" t="s">
        <v>2275</v>
      </c>
      <c r="U414" s="2" t="s">
        <v>3314</v>
      </c>
      <c r="V414" s="2" t="s">
        <v>3315</v>
      </c>
      <c r="W414" s="1"/>
      <c r="X414" s="2" t="s">
        <v>3310</v>
      </c>
      <c r="Y414" s="2" t="s">
        <v>3252</v>
      </c>
      <c r="AA414" t="str">
        <f t="shared" si="36"/>
        <v>2026-06</v>
      </c>
      <c r="AB414" t="str">
        <f t="shared" si="37"/>
        <v>H1_2026</v>
      </c>
      <c r="AC414">
        <f t="shared" si="38"/>
        <v>280020</v>
      </c>
      <c r="AD414">
        <f t="shared" si="39"/>
        <v>50</v>
      </c>
      <c r="AE414">
        <f t="shared" si="40"/>
        <v>55020</v>
      </c>
      <c r="AF414" t="str">
        <f t="shared" si="41"/>
        <v>Paid</v>
      </c>
    </row>
    <row r="415" spans="1:32" ht="27.75" thickBot="1" x14ac:dyDescent="0.35">
      <c r="A415" s="2" t="s">
        <v>3361</v>
      </c>
      <c r="B415" s="2" t="s">
        <v>27</v>
      </c>
      <c r="C415" s="2" t="s">
        <v>28</v>
      </c>
      <c r="D415" s="2" t="s">
        <v>97</v>
      </c>
      <c r="E415" s="2" t="s">
        <v>3247</v>
      </c>
      <c r="F415" s="2" t="s">
        <v>99</v>
      </c>
      <c r="G415" s="2" t="s">
        <v>32</v>
      </c>
      <c r="H415" s="1"/>
      <c r="I415" s="2" t="s">
        <v>33</v>
      </c>
      <c r="J415" s="2" t="s">
        <v>34</v>
      </c>
      <c r="K415" s="2" t="s">
        <v>2363</v>
      </c>
      <c r="L415" s="2" t="s">
        <v>2364</v>
      </c>
      <c r="M415" s="2" t="s">
        <v>2270</v>
      </c>
      <c r="N415" s="2" t="s">
        <v>38</v>
      </c>
      <c r="O415" s="2" t="s">
        <v>517</v>
      </c>
      <c r="P415" s="2" t="s">
        <v>2272</v>
      </c>
      <c r="Q415" s="2" t="s">
        <v>3362</v>
      </c>
      <c r="R415" s="2" t="s">
        <v>40</v>
      </c>
      <c r="S415" s="2" t="s">
        <v>3363</v>
      </c>
      <c r="T415" s="2" t="s">
        <v>2275</v>
      </c>
      <c r="U415" s="2" t="s">
        <v>1748</v>
      </c>
      <c r="V415" s="2" t="s">
        <v>3364</v>
      </c>
      <c r="W415" s="1"/>
      <c r="X415" s="2" t="s">
        <v>3310</v>
      </c>
      <c r="Y415" s="2" t="s">
        <v>3252</v>
      </c>
      <c r="AA415" t="str">
        <f t="shared" si="36"/>
        <v>2026-06</v>
      </c>
      <c r="AB415" t="str">
        <f t="shared" si="37"/>
        <v>H1_2026</v>
      </c>
      <c r="AC415">
        <f t="shared" si="38"/>
        <v>672048</v>
      </c>
      <c r="AD415">
        <f t="shared" si="39"/>
        <v>120</v>
      </c>
      <c r="AE415">
        <f t="shared" si="40"/>
        <v>132048</v>
      </c>
      <c r="AF415" t="str">
        <f t="shared" si="41"/>
        <v>Paid</v>
      </c>
    </row>
    <row r="416" spans="1:32" ht="17.25" thickBot="1" x14ac:dyDescent="0.35">
      <c r="A416" s="2" t="s">
        <v>3365</v>
      </c>
      <c r="B416" s="2" t="s">
        <v>27</v>
      </c>
      <c r="C416" s="2" t="s">
        <v>28</v>
      </c>
      <c r="D416" s="2" t="s">
        <v>97</v>
      </c>
      <c r="E416" s="2" t="s">
        <v>3247</v>
      </c>
      <c r="F416" s="2" t="s">
        <v>99</v>
      </c>
      <c r="G416" s="2" t="s">
        <v>32</v>
      </c>
      <c r="H416" s="1"/>
      <c r="I416" s="2" t="s">
        <v>33</v>
      </c>
      <c r="J416" s="2" t="s">
        <v>34</v>
      </c>
      <c r="K416" s="2" t="s">
        <v>3366</v>
      </c>
      <c r="L416" s="2" t="s">
        <v>3367</v>
      </c>
      <c r="M416" s="2" t="s">
        <v>2372</v>
      </c>
      <c r="N416" s="2" t="s">
        <v>38</v>
      </c>
      <c r="O416" s="2" t="s">
        <v>49</v>
      </c>
      <c r="P416" s="2" t="s">
        <v>3368</v>
      </c>
      <c r="Q416" s="2" t="s">
        <v>3369</v>
      </c>
      <c r="R416" s="2" t="s">
        <v>40</v>
      </c>
      <c r="S416" s="2" t="s">
        <v>3370</v>
      </c>
      <c r="T416" s="2" t="s">
        <v>3371</v>
      </c>
      <c r="U416" s="2" t="s">
        <v>3372</v>
      </c>
      <c r="V416" s="2" t="s">
        <v>3373</v>
      </c>
      <c r="W416" s="1"/>
      <c r="X416" s="2" t="s">
        <v>1073</v>
      </c>
      <c r="Y416" s="2" t="s">
        <v>3252</v>
      </c>
      <c r="AA416" t="str">
        <f t="shared" si="36"/>
        <v>2026-06</v>
      </c>
      <c r="AB416" t="str">
        <f t="shared" si="37"/>
        <v>H1_2026</v>
      </c>
      <c r="AC416">
        <f t="shared" si="38"/>
        <v>155906.51999999999</v>
      </c>
      <c r="AD416">
        <f t="shared" si="39"/>
        <v>11</v>
      </c>
      <c r="AE416">
        <f t="shared" si="40"/>
        <v>40706.519999999997</v>
      </c>
      <c r="AF416" t="str">
        <f t="shared" si="41"/>
        <v>Paid</v>
      </c>
    </row>
    <row r="417" spans="1:32" ht="17.25" thickBot="1" x14ac:dyDescent="0.35">
      <c r="A417" s="2" t="s">
        <v>3374</v>
      </c>
      <c r="B417" s="2" t="s">
        <v>27</v>
      </c>
      <c r="C417" s="2" t="s">
        <v>28</v>
      </c>
      <c r="D417" s="2" t="s">
        <v>97</v>
      </c>
      <c r="E417" s="2" t="s">
        <v>3247</v>
      </c>
      <c r="F417" s="2" t="s">
        <v>99</v>
      </c>
      <c r="G417" s="2" t="s">
        <v>32</v>
      </c>
      <c r="H417" s="1"/>
      <c r="I417" s="2" t="s">
        <v>33</v>
      </c>
      <c r="J417" s="2" t="s">
        <v>34</v>
      </c>
      <c r="K417" s="2" t="s">
        <v>2387</v>
      </c>
      <c r="L417" s="2" t="s">
        <v>2388</v>
      </c>
      <c r="M417" s="2" t="s">
        <v>2389</v>
      </c>
      <c r="N417" s="2" t="s">
        <v>38</v>
      </c>
      <c r="O417" s="2" t="s">
        <v>466</v>
      </c>
      <c r="P417" s="2" t="s">
        <v>2390</v>
      </c>
      <c r="Q417" s="2" t="s">
        <v>3375</v>
      </c>
      <c r="R417" s="2" t="s">
        <v>40</v>
      </c>
      <c r="S417" s="2" t="s">
        <v>3376</v>
      </c>
      <c r="T417" s="2" t="s">
        <v>2393</v>
      </c>
      <c r="U417" s="2" t="s">
        <v>3377</v>
      </c>
      <c r="V417" s="2" t="s">
        <v>3378</v>
      </c>
      <c r="W417" s="1"/>
      <c r="X417" s="2" t="s">
        <v>1375</v>
      </c>
      <c r="Y417" s="2" t="s">
        <v>3252</v>
      </c>
      <c r="AA417" t="str">
        <f t="shared" si="36"/>
        <v>2026-06</v>
      </c>
      <c r="AB417" t="str">
        <f t="shared" si="37"/>
        <v>H1_2026</v>
      </c>
      <c r="AC417">
        <f t="shared" si="38"/>
        <v>288492.40000000002</v>
      </c>
      <c r="AD417">
        <f t="shared" si="39"/>
        <v>70</v>
      </c>
      <c r="AE417">
        <f t="shared" si="40"/>
        <v>72128.77</v>
      </c>
      <c r="AF417" t="str">
        <f t="shared" si="41"/>
        <v>Paid</v>
      </c>
    </row>
    <row r="418" spans="1:32" ht="17.25" thickBot="1" x14ac:dyDescent="0.35">
      <c r="A418" s="2" t="s">
        <v>3379</v>
      </c>
      <c r="B418" s="2" t="s">
        <v>27</v>
      </c>
      <c r="C418" s="2" t="s">
        <v>28</v>
      </c>
      <c r="D418" s="2" t="s">
        <v>97</v>
      </c>
      <c r="E418" s="2" t="s">
        <v>3247</v>
      </c>
      <c r="F418" s="2" t="s">
        <v>99</v>
      </c>
      <c r="G418" s="2" t="s">
        <v>32</v>
      </c>
      <c r="H418" s="1"/>
      <c r="I418" s="2" t="s">
        <v>33</v>
      </c>
      <c r="J418" s="2" t="s">
        <v>34</v>
      </c>
      <c r="K418" s="2" t="s">
        <v>2396</v>
      </c>
      <c r="L418" s="2" t="s">
        <v>2397</v>
      </c>
      <c r="M418" s="2" t="s">
        <v>2389</v>
      </c>
      <c r="N418" s="2" t="s">
        <v>38</v>
      </c>
      <c r="O418" s="2" t="s">
        <v>79</v>
      </c>
      <c r="P418" s="2" t="s">
        <v>2398</v>
      </c>
      <c r="Q418" s="2" t="s">
        <v>3380</v>
      </c>
      <c r="R418" s="2" t="s">
        <v>40</v>
      </c>
      <c r="S418" s="2" t="s">
        <v>3381</v>
      </c>
      <c r="T418" s="2" t="s">
        <v>2401</v>
      </c>
      <c r="U418" s="2" t="s">
        <v>3382</v>
      </c>
      <c r="V418" s="2" t="s">
        <v>3383</v>
      </c>
      <c r="W418" s="1"/>
      <c r="X418" s="2" t="s">
        <v>1893</v>
      </c>
      <c r="Y418" s="2" t="s">
        <v>3252</v>
      </c>
      <c r="AA418" t="str">
        <f t="shared" si="36"/>
        <v>2026-06</v>
      </c>
      <c r="AB418" t="str">
        <f t="shared" si="37"/>
        <v>H1_2026</v>
      </c>
      <c r="AC418">
        <f t="shared" si="38"/>
        <v>93340</v>
      </c>
      <c r="AD418">
        <f t="shared" si="39"/>
        <v>10</v>
      </c>
      <c r="AE418">
        <f t="shared" si="40"/>
        <v>24240</v>
      </c>
      <c r="AF418" t="str">
        <f t="shared" si="41"/>
        <v>Paid</v>
      </c>
    </row>
    <row r="419" spans="1:32" ht="17.25" thickBot="1" x14ac:dyDescent="0.35">
      <c r="A419" s="2" t="s">
        <v>3384</v>
      </c>
      <c r="B419" s="2" t="s">
        <v>27</v>
      </c>
      <c r="C419" s="2" t="s">
        <v>28</v>
      </c>
      <c r="D419" s="2" t="s">
        <v>97</v>
      </c>
      <c r="E419" s="2" t="s">
        <v>3247</v>
      </c>
      <c r="F419" s="2" t="s">
        <v>99</v>
      </c>
      <c r="G419" s="2" t="s">
        <v>32</v>
      </c>
      <c r="H419" s="1"/>
      <c r="I419" s="2" t="s">
        <v>33</v>
      </c>
      <c r="J419" s="2" t="s">
        <v>34</v>
      </c>
      <c r="K419" s="2" t="s">
        <v>2405</v>
      </c>
      <c r="L419" s="2" t="s">
        <v>2406</v>
      </c>
      <c r="M419" s="2" t="s">
        <v>2389</v>
      </c>
      <c r="N419" s="2" t="s">
        <v>38</v>
      </c>
      <c r="O419" s="2" t="s">
        <v>676</v>
      </c>
      <c r="P419" s="2" t="s">
        <v>2408</v>
      </c>
      <c r="Q419" s="2" t="s">
        <v>3385</v>
      </c>
      <c r="R419" s="2" t="s">
        <v>40</v>
      </c>
      <c r="S419" s="2" t="s">
        <v>3386</v>
      </c>
      <c r="T419" s="2" t="s">
        <v>2411</v>
      </c>
      <c r="U419" s="2" t="s">
        <v>3387</v>
      </c>
      <c r="V419" s="2" t="s">
        <v>3388</v>
      </c>
      <c r="W419" s="1"/>
      <c r="X419" s="2" t="s">
        <v>1504</v>
      </c>
      <c r="Y419" s="2" t="s">
        <v>3252</v>
      </c>
      <c r="AA419" t="str">
        <f t="shared" si="36"/>
        <v>2026-06</v>
      </c>
      <c r="AB419" t="str">
        <f t="shared" si="37"/>
        <v>H1_2026</v>
      </c>
      <c r="AC419">
        <f t="shared" si="38"/>
        <v>1482382.8</v>
      </c>
      <c r="AD419">
        <f t="shared" si="39"/>
        <v>370</v>
      </c>
      <c r="AE419">
        <f t="shared" si="40"/>
        <v>372382.8</v>
      </c>
      <c r="AF419" t="str">
        <f t="shared" si="41"/>
        <v>Paid</v>
      </c>
    </row>
    <row r="420" spans="1:32" ht="17.25" thickBot="1" x14ac:dyDescent="0.35">
      <c r="A420" s="2" t="s">
        <v>3389</v>
      </c>
      <c r="B420" s="2" t="s">
        <v>27</v>
      </c>
      <c r="C420" s="2" t="s">
        <v>28</v>
      </c>
      <c r="D420" s="2" t="s">
        <v>97</v>
      </c>
      <c r="E420" s="2" t="s">
        <v>3247</v>
      </c>
      <c r="F420" s="2" t="s">
        <v>99</v>
      </c>
      <c r="G420" s="2" t="s">
        <v>32</v>
      </c>
      <c r="H420" s="1"/>
      <c r="I420" s="2" t="s">
        <v>33</v>
      </c>
      <c r="J420" s="2" t="s">
        <v>34</v>
      </c>
      <c r="K420" s="2" t="s">
        <v>2459</v>
      </c>
      <c r="L420" s="2" t="s">
        <v>2460</v>
      </c>
      <c r="M420" s="2" t="s">
        <v>2389</v>
      </c>
      <c r="N420" s="2" t="s">
        <v>38</v>
      </c>
      <c r="O420" s="2" t="s">
        <v>156</v>
      </c>
      <c r="P420" s="2" t="s">
        <v>2461</v>
      </c>
      <c r="Q420" s="2" t="s">
        <v>3390</v>
      </c>
      <c r="R420" s="2" t="s">
        <v>40</v>
      </c>
      <c r="S420" s="2" t="s">
        <v>3391</v>
      </c>
      <c r="T420" s="2" t="s">
        <v>2464</v>
      </c>
      <c r="U420" s="2" t="s">
        <v>1701</v>
      </c>
      <c r="V420" s="2" t="s">
        <v>3392</v>
      </c>
      <c r="W420" s="1"/>
      <c r="X420" s="2" t="s">
        <v>3393</v>
      </c>
      <c r="Y420" s="2" t="s">
        <v>3252</v>
      </c>
      <c r="AA420" t="str">
        <f t="shared" si="36"/>
        <v>2026-06</v>
      </c>
      <c r="AB420" t="str">
        <f t="shared" si="37"/>
        <v>H1_2026</v>
      </c>
      <c r="AC420">
        <f t="shared" si="38"/>
        <v>50834.400000000001</v>
      </c>
      <c r="AD420">
        <f t="shared" si="39"/>
        <v>20</v>
      </c>
      <c r="AE420">
        <f t="shared" si="40"/>
        <v>12652.58</v>
      </c>
      <c r="AF420" t="str">
        <f t="shared" si="41"/>
        <v>Paid</v>
      </c>
    </row>
    <row r="421" spans="1:32" ht="17.25" thickBot="1" x14ac:dyDescent="0.35">
      <c r="A421" s="2" t="s">
        <v>3394</v>
      </c>
      <c r="B421" s="2" t="s">
        <v>27</v>
      </c>
      <c r="C421" s="2" t="s">
        <v>28</v>
      </c>
      <c r="D421" s="2" t="s">
        <v>97</v>
      </c>
      <c r="E421" s="2" t="s">
        <v>3247</v>
      </c>
      <c r="F421" s="2" t="s">
        <v>99</v>
      </c>
      <c r="G421" s="2" t="s">
        <v>32</v>
      </c>
      <c r="H421" s="1"/>
      <c r="I421" s="2" t="s">
        <v>33</v>
      </c>
      <c r="J421" s="2" t="s">
        <v>34</v>
      </c>
      <c r="K421" s="2" t="s">
        <v>2468</v>
      </c>
      <c r="L421" s="2" t="s">
        <v>2469</v>
      </c>
      <c r="M421" s="2" t="s">
        <v>2389</v>
      </c>
      <c r="N421" s="2" t="s">
        <v>38</v>
      </c>
      <c r="O421" s="2" t="s">
        <v>156</v>
      </c>
      <c r="P421" s="2" t="s">
        <v>2470</v>
      </c>
      <c r="Q421" s="2" t="s">
        <v>3395</v>
      </c>
      <c r="R421" s="2" t="s">
        <v>40</v>
      </c>
      <c r="S421" s="2" t="s">
        <v>3396</v>
      </c>
      <c r="T421" s="2" t="s">
        <v>2473</v>
      </c>
      <c r="U421" s="2" t="s">
        <v>3397</v>
      </c>
      <c r="V421" s="2" t="s">
        <v>3398</v>
      </c>
      <c r="W421" s="1"/>
      <c r="X421" s="2" t="s">
        <v>1073</v>
      </c>
      <c r="Y421" s="2" t="s">
        <v>3252</v>
      </c>
      <c r="AA421" t="str">
        <f t="shared" si="36"/>
        <v>2026-06</v>
      </c>
      <c r="AB421" t="str">
        <f t="shared" si="37"/>
        <v>H1_2026</v>
      </c>
      <c r="AC421">
        <f t="shared" si="38"/>
        <v>221431.2</v>
      </c>
      <c r="AD421">
        <f t="shared" si="39"/>
        <v>20</v>
      </c>
      <c r="AE421">
        <f t="shared" si="40"/>
        <v>57794.84</v>
      </c>
      <c r="AF421" t="str">
        <f t="shared" si="41"/>
        <v>Paid</v>
      </c>
    </row>
    <row r="422" spans="1:32" ht="17.25" thickBot="1" x14ac:dyDescent="0.35">
      <c r="A422" s="2" t="s">
        <v>493</v>
      </c>
      <c r="B422" s="2" t="s">
        <v>27</v>
      </c>
      <c r="C422" s="2" t="s">
        <v>28</v>
      </c>
      <c r="D422" s="2" t="s">
        <v>97</v>
      </c>
      <c r="E422" s="2" t="s">
        <v>3247</v>
      </c>
      <c r="F422" s="2" t="s">
        <v>99</v>
      </c>
      <c r="G422" s="2" t="s">
        <v>32</v>
      </c>
      <c r="H422" s="1"/>
      <c r="I422" s="2" t="s">
        <v>33</v>
      </c>
      <c r="J422" s="2" t="s">
        <v>34</v>
      </c>
      <c r="K422" s="2" t="s">
        <v>2477</v>
      </c>
      <c r="L422" s="2" t="s">
        <v>2478</v>
      </c>
      <c r="M422" s="2" t="s">
        <v>2389</v>
      </c>
      <c r="N422" s="2" t="s">
        <v>38</v>
      </c>
      <c r="O422" s="2" t="s">
        <v>214</v>
      </c>
      <c r="P422" s="2" t="s">
        <v>2479</v>
      </c>
      <c r="Q422" s="2" t="s">
        <v>3399</v>
      </c>
      <c r="R422" s="2" t="s">
        <v>40</v>
      </c>
      <c r="S422" s="2" t="s">
        <v>3400</v>
      </c>
      <c r="T422" s="2" t="s">
        <v>2482</v>
      </c>
      <c r="U422" s="2" t="s">
        <v>3401</v>
      </c>
      <c r="V422" s="2" t="s">
        <v>3402</v>
      </c>
      <c r="W422" s="1"/>
      <c r="X422" s="2" t="s">
        <v>1437</v>
      </c>
      <c r="Y422" s="2" t="s">
        <v>3252</v>
      </c>
      <c r="AA422" t="str">
        <f t="shared" si="36"/>
        <v>2026-06</v>
      </c>
      <c r="AB422" t="str">
        <f t="shared" si="37"/>
        <v>H1_2026</v>
      </c>
      <c r="AC422">
        <f t="shared" si="38"/>
        <v>412132</v>
      </c>
      <c r="AD422">
        <f t="shared" si="39"/>
        <v>50</v>
      </c>
      <c r="AE422">
        <f t="shared" si="40"/>
        <v>101904.73</v>
      </c>
      <c r="AF422" t="str">
        <f t="shared" si="41"/>
        <v>Paid</v>
      </c>
    </row>
    <row r="423" spans="1:32" ht="17.25" thickBot="1" x14ac:dyDescent="0.35">
      <c r="A423" s="2" t="s">
        <v>3403</v>
      </c>
      <c r="B423" s="2" t="s">
        <v>27</v>
      </c>
      <c r="C423" s="2" t="s">
        <v>28</v>
      </c>
      <c r="D423" s="2" t="s">
        <v>97</v>
      </c>
      <c r="E423" s="2" t="s">
        <v>3247</v>
      </c>
      <c r="F423" s="2" t="s">
        <v>99</v>
      </c>
      <c r="G423" s="2" t="s">
        <v>32</v>
      </c>
      <c r="H423" s="1"/>
      <c r="I423" s="2" t="s">
        <v>33</v>
      </c>
      <c r="J423" s="2" t="s">
        <v>34</v>
      </c>
      <c r="K423" s="2" t="s">
        <v>2485</v>
      </c>
      <c r="L423" s="2" t="s">
        <v>2486</v>
      </c>
      <c r="M423" s="2" t="s">
        <v>2389</v>
      </c>
      <c r="N423" s="2" t="s">
        <v>38</v>
      </c>
      <c r="O423" s="2" t="s">
        <v>214</v>
      </c>
      <c r="P423" s="2" t="s">
        <v>2487</v>
      </c>
      <c r="Q423" s="2" t="s">
        <v>3404</v>
      </c>
      <c r="R423" s="2" t="s">
        <v>40</v>
      </c>
      <c r="S423" s="2" t="s">
        <v>3405</v>
      </c>
      <c r="T423" s="2" t="s">
        <v>2490</v>
      </c>
      <c r="U423" s="2" t="s">
        <v>3406</v>
      </c>
      <c r="V423" s="2" t="s">
        <v>3407</v>
      </c>
      <c r="W423" s="1"/>
      <c r="X423" s="2" t="s">
        <v>1437</v>
      </c>
      <c r="Y423" s="2" t="s">
        <v>3252</v>
      </c>
      <c r="AA423" t="str">
        <f t="shared" si="36"/>
        <v>2026-06</v>
      </c>
      <c r="AB423" t="str">
        <f t="shared" si="37"/>
        <v>H1_2026</v>
      </c>
      <c r="AC423">
        <f t="shared" si="38"/>
        <v>401362</v>
      </c>
      <c r="AD423">
        <f t="shared" si="39"/>
        <v>50</v>
      </c>
      <c r="AE423">
        <f t="shared" si="40"/>
        <v>99089.279999999999</v>
      </c>
      <c r="AF423" t="str">
        <f t="shared" si="41"/>
        <v>Paid</v>
      </c>
    </row>
    <row r="424" spans="1:32" ht="17.25" thickBot="1" x14ac:dyDescent="0.35">
      <c r="A424" s="2" t="s">
        <v>3408</v>
      </c>
      <c r="B424" s="2" t="s">
        <v>27</v>
      </c>
      <c r="C424" s="2" t="s">
        <v>28</v>
      </c>
      <c r="D424" s="2" t="s">
        <v>97</v>
      </c>
      <c r="E424" s="2" t="s">
        <v>3247</v>
      </c>
      <c r="F424" s="2" t="s">
        <v>99</v>
      </c>
      <c r="G424" s="2" t="s">
        <v>32</v>
      </c>
      <c r="H424" s="1"/>
      <c r="I424" s="2" t="s">
        <v>33</v>
      </c>
      <c r="J424" s="2" t="s">
        <v>34</v>
      </c>
      <c r="K424" s="2" t="s">
        <v>2494</v>
      </c>
      <c r="L424" s="2" t="s">
        <v>2495</v>
      </c>
      <c r="M424" s="2" t="s">
        <v>2389</v>
      </c>
      <c r="N424" s="2" t="s">
        <v>38</v>
      </c>
      <c r="O424" s="2" t="s">
        <v>131</v>
      </c>
      <c r="P424" s="2" t="s">
        <v>2487</v>
      </c>
      <c r="Q424" s="2" t="s">
        <v>3409</v>
      </c>
      <c r="R424" s="2" t="s">
        <v>40</v>
      </c>
      <c r="S424" s="2" t="s">
        <v>3410</v>
      </c>
      <c r="T424" s="2" t="s">
        <v>2490</v>
      </c>
      <c r="U424" s="2" t="s">
        <v>3411</v>
      </c>
      <c r="V424" s="2" t="s">
        <v>3412</v>
      </c>
      <c r="W424" s="1"/>
      <c r="X424" s="2" t="s">
        <v>1437</v>
      </c>
      <c r="Y424" s="2" t="s">
        <v>3252</v>
      </c>
      <c r="AA424" t="str">
        <f t="shared" si="36"/>
        <v>2026-06</v>
      </c>
      <c r="AB424" t="str">
        <f t="shared" si="37"/>
        <v>H1_2026</v>
      </c>
      <c r="AC424">
        <f t="shared" si="38"/>
        <v>321089.59999999998</v>
      </c>
      <c r="AD424">
        <f t="shared" si="39"/>
        <v>40</v>
      </c>
      <c r="AE424">
        <f t="shared" si="40"/>
        <v>79271.42</v>
      </c>
      <c r="AF424" t="str">
        <f t="shared" si="41"/>
        <v>Paid</v>
      </c>
    </row>
    <row r="425" spans="1:32" ht="17.25" thickBot="1" x14ac:dyDescent="0.35">
      <c r="A425" s="2" t="s">
        <v>3413</v>
      </c>
      <c r="B425" s="2" t="s">
        <v>27</v>
      </c>
      <c r="C425" s="2" t="s">
        <v>28</v>
      </c>
      <c r="D425" s="2" t="s">
        <v>97</v>
      </c>
      <c r="E425" s="2" t="s">
        <v>3247</v>
      </c>
      <c r="F425" s="2" t="s">
        <v>99</v>
      </c>
      <c r="G425" s="2" t="s">
        <v>32</v>
      </c>
      <c r="H425" s="1"/>
      <c r="I425" s="2" t="s">
        <v>33</v>
      </c>
      <c r="J425" s="2" t="s">
        <v>34</v>
      </c>
      <c r="K425" s="2" t="s">
        <v>2526</v>
      </c>
      <c r="L425" s="2" t="s">
        <v>2527</v>
      </c>
      <c r="M425" s="2" t="s">
        <v>2389</v>
      </c>
      <c r="N425" s="2" t="s">
        <v>38</v>
      </c>
      <c r="O425" s="2" t="s">
        <v>141</v>
      </c>
      <c r="P425" s="2" t="s">
        <v>2528</v>
      </c>
      <c r="Q425" s="2" t="s">
        <v>3414</v>
      </c>
      <c r="R425" s="2" t="s">
        <v>40</v>
      </c>
      <c r="S425" s="2" t="s">
        <v>3415</v>
      </c>
      <c r="T425" s="2" t="s">
        <v>2531</v>
      </c>
      <c r="U425" s="2" t="s">
        <v>3416</v>
      </c>
      <c r="V425" s="2" t="s">
        <v>3417</v>
      </c>
      <c r="W425" s="1"/>
      <c r="X425" s="2" t="s">
        <v>1073</v>
      </c>
      <c r="Y425" s="2" t="s">
        <v>3252</v>
      </c>
      <c r="AA425" t="str">
        <f t="shared" si="36"/>
        <v>2026-06</v>
      </c>
      <c r="AB425" t="str">
        <f t="shared" si="37"/>
        <v>H1_2026</v>
      </c>
      <c r="AC425">
        <f t="shared" si="38"/>
        <v>305437.2</v>
      </c>
      <c r="AD425">
        <f t="shared" si="39"/>
        <v>30</v>
      </c>
      <c r="AE425">
        <f t="shared" si="40"/>
        <v>79619.02</v>
      </c>
      <c r="AF425" t="str">
        <f t="shared" si="41"/>
        <v>Paid</v>
      </c>
    </row>
    <row r="426" spans="1:32" ht="17.25" thickBot="1" x14ac:dyDescent="0.35">
      <c r="A426" s="2" t="s">
        <v>3418</v>
      </c>
      <c r="B426" s="2" t="s">
        <v>27</v>
      </c>
      <c r="C426" s="2" t="s">
        <v>28</v>
      </c>
      <c r="D426" s="2" t="s">
        <v>97</v>
      </c>
      <c r="E426" s="2" t="s">
        <v>3247</v>
      </c>
      <c r="F426" s="2" t="s">
        <v>99</v>
      </c>
      <c r="G426" s="2" t="s">
        <v>32</v>
      </c>
      <c r="H426" s="1"/>
      <c r="I426" s="2" t="s">
        <v>33</v>
      </c>
      <c r="J426" s="2" t="s">
        <v>34</v>
      </c>
      <c r="K426" s="2" t="s">
        <v>2562</v>
      </c>
      <c r="L426" s="2" t="s">
        <v>2563</v>
      </c>
      <c r="M426" s="2" t="s">
        <v>2389</v>
      </c>
      <c r="N426" s="2" t="s">
        <v>38</v>
      </c>
      <c r="O426" s="2" t="s">
        <v>399</v>
      </c>
      <c r="P426" s="2" t="s">
        <v>3419</v>
      </c>
      <c r="Q426" s="2" t="s">
        <v>3420</v>
      </c>
      <c r="R426" s="2" t="s">
        <v>40</v>
      </c>
      <c r="S426" s="2" t="s">
        <v>3421</v>
      </c>
      <c r="T426" s="2" t="s">
        <v>2567</v>
      </c>
      <c r="U426" s="2" t="s">
        <v>2568</v>
      </c>
      <c r="V426" s="2" t="s">
        <v>3422</v>
      </c>
      <c r="W426" s="1"/>
      <c r="X426" s="2" t="s">
        <v>1052</v>
      </c>
      <c r="Y426" s="2" t="s">
        <v>3252</v>
      </c>
      <c r="AA426" t="str">
        <f t="shared" si="36"/>
        <v>2026-06</v>
      </c>
      <c r="AB426" t="str">
        <f t="shared" si="37"/>
        <v>H1_2026</v>
      </c>
      <c r="AC426">
        <f t="shared" si="38"/>
        <v>296289.88</v>
      </c>
      <c r="AD426">
        <f t="shared" si="39"/>
        <v>47</v>
      </c>
      <c r="AE426">
        <f t="shared" si="40"/>
        <v>74962.61</v>
      </c>
      <c r="AF426" t="str">
        <f t="shared" si="41"/>
        <v>Paid</v>
      </c>
    </row>
    <row r="427" spans="1:32" ht="17.25" thickBot="1" x14ac:dyDescent="0.35">
      <c r="A427" s="2" t="s">
        <v>3423</v>
      </c>
      <c r="B427" s="2" t="s">
        <v>27</v>
      </c>
      <c r="C427" s="2" t="s">
        <v>28</v>
      </c>
      <c r="D427" s="2" t="s">
        <v>97</v>
      </c>
      <c r="E427" s="2" t="s">
        <v>3247</v>
      </c>
      <c r="F427" s="2" t="s">
        <v>99</v>
      </c>
      <c r="G427" s="2" t="s">
        <v>32</v>
      </c>
      <c r="H427" s="1"/>
      <c r="I427" s="2" t="s">
        <v>33</v>
      </c>
      <c r="J427" s="2" t="s">
        <v>34</v>
      </c>
      <c r="K427" s="2" t="s">
        <v>2578</v>
      </c>
      <c r="L427" s="2" t="s">
        <v>2579</v>
      </c>
      <c r="M427" s="2" t="s">
        <v>2389</v>
      </c>
      <c r="N427" s="2" t="s">
        <v>38</v>
      </c>
      <c r="O427" s="2" t="s">
        <v>407</v>
      </c>
      <c r="P427" s="2" t="s">
        <v>3424</v>
      </c>
      <c r="Q427" s="2" t="s">
        <v>3425</v>
      </c>
      <c r="R427" s="2" t="s">
        <v>40</v>
      </c>
      <c r="S427" s="2" t="s">
        <v>3426</v>
      </c>
      <c r="T427" s="2" t="s">
        <v>3427</v>
      </c>
      <c r="U427" s="2" t="s">
        <v>3428</v>
      </c>
      <c r="V427" s="2" t="s">
        <v>3429</v>
      </c>
      <c r="W427" s="1"/>
      <c r="X427" s="2" t="s">
        <v>1504</v>
      </c>
      <c r="Y427" s="2" t="s">
        <v>3252</v>
      </c>
      <c r="AA427" t="str">
        <f t="shared" si="36"/>
        <v>2026-06</v>
      </c>
      <c r="AB427" t="str">
        <f t="shared" si="37"/>
        <v>H1_2026</v>
      </c>
      <c r="AC427">
        <f t="shared" si="38"/>
        <v>456992.64</v>
      </c>
      <c r="AD427">
        <f t="shared" si="39"/>
        <v>48</v>
      </c>
      <c r="AE427">
        <f t="shared" si="40"/>
        <v>114883.55</v>
      </c>
      <c r="AF427" t="str">
        <f t="shared" si="41"/>
        <v>Paid</v>
      </c>
    </row>
    <row r="428" spans="1:32" ht="17.25" thickBot="1" x14ac:dyDescent="0.35">
      <c r="A428" s="2" t="s">
        <v>3430</v>
      </c>
      <c r="B428" s="2" t="s">
        <v>27</v>
      </c>
      <c r="C428" s="2" t="s">
        <v>28</v>
      </c>
      <c r="D428" s="2" t="s">
        <v>97</v>
      </c>
      <c r="E428" s="2" t="s">
        <v>3247</v>
      </c>
      <c r="F428" s="2" t="s">
        <v>99</v>
      </c>
      <c r="G428" s="2" t="s">
        <v>32</v>
      </c>
      <c r="H428" s="1"/>
      <c r="I428" s="2" t="s">
        <v>33</v>
      </c>
      <c r="J428" s="2" t="s">
        <v>34</v>
      </c>
      <c r="K428" s="2" t="s">
        <v>2578</v>
      </c>
      <c r="L428" s="2" t="s">
        <v>2579</v>
      </c>
      <c r="M428" s="2" t="s">
        <v>2389</v>
      </c>
      <c r="N428" s="2" t="s">
        <v>38</v>
      </c>
      <c r="O428" s="2" t="s">
        <v>220</v>
      </c>
      <c r="P428" s="2" t="s">
        <v>2182</v>
      </c>
      <c r="Q428" s="2" t="s">
        <v>3431</v>
      </c>
      <c r="R428" s="2" t="s">
        <v>40</v>
      </c>
      <c r="S428" s="2" t="s">
        <v>3432</v>
      </c>
      <c r="T428" s="2" t="s">
        <v>3433</v>
      </c>
      <c r="U428" s="2" t="s">
        <v>3434</v>
      </c>
      <c r="V428" s="2" t="s">
        <v>3435</v>
      </c>
      <c r="W428" s="1"/>
      <c r="X428" s="2" t="s">
        <v>965</v>
      </c>
      <c r="Y428" s="2" t="s">
        <v>3252</v>
      </c>
      <c r="AA428" t="str">
        <f t="shared" si="36"/>
        <v>2026-06</v>
      </c>
      <c r="AB428" t="str">
        <f t="shared" si="37"/>
        <v>H1_2026</v>
      </c>
      <c r="AC428">
        <f t="shared" si="38"/>
        <v>258609.24</v>
      </c>
      <c r="AD428">
        <f t="shared" si="39"/>
        <v>27</v>
      </c>
      <c r="AE428">
        <f t="shared" si="40"/>
        <v>66180.240000000005</v>
      </c>
      <c r="AF428" t="str">
        <f t="shared" si="41"/>
        <v>Paid</v>
      </c>
    </row>
    <row r="429" spans="1:32" ht="17.25" thickBot="1" x14ac:dyDescent="0.35">
      <c r="A429" s="2" t="s">
        <v>3436</v>
      </c>
      <c r="B429" s="2" t="s">
        <v>27</v>
      </c>
      <c r="C429" s="2" t="s">
        <v>28</v>
      </c>
      <c r="D429" s="2" t="s">
        <v>97</v>
      </c>
      <c r="E429" s="2" t="s">
        <v>3247</v>
      </c>
      <c r="F429" s="2" t="s">
        <v>99</v>
      </c>
      <c r="G429" s="2" t="s">
        <v>32</v>
      </c>
      <c r="H429" s="1"/>
      <c r="I429" s="2" t="s">
        <v>33</v>
      </c>
      <c r="J429" s="2" t="s">
        <v>34</v>
      </c>
      <c r="K429" s="2" t="s">
        <v>3437</v>
      </c>
      <c r="L429" s="2" t="s">
        <v>3438</v>
      </c>
      <c r="M429" s="2" t="s">
        <v>2389</v>
      </c>
      <c r="N429" s="2" t="s">
        <v>38</v>
      </c>
      <c r="O429" s="2" t="s">
        <v>113</v>
      </c>
      <c r="P429" s="2" t="s">
        <v>2246</v>
      </c>
      <c r="Q429" s="2" t="s">
        <v>3439</v>
      </c>
      <c r="R429" s="2" t="s">
        <v>40</v>
      </c>
      <c r="S429" s="2" t="s">
        <v>3440</v>
      </c>
      <c r="T429" s="2" t="s">
        <v>3441</v>
      </c>
      <c r="U429" s="2" t="s">
        <v>3442</v>
      </c>
      <c r="V429" s="2" t="s">
        <v>3443</v>
      </c>
      <c r="W429" s="1"/>
      <c r="X429" s="2" t="s">
        <v>1332</v>
      </c>
      <c r="Y429" s="2" t="s">
        <v>3252</v>
      </c>
      <c r="AA429" t="str">
        <f t="shared" si="36"/>
        <v>2026-06</v>
      </c>
      <c r="AB429" t="str">
        <f t="shared" si="37"/>
        <v>H1_2026</v>
      </c>
      <c r="AC429">
        <f t="shared" si="38"/>
        <v>121701</v>
      </c>
      <c r="AD429">
        <f t="shared" si="39"/>
        <v>15</v>
      </c>
      <c r="AE429">
        <f t="shared" si="40"/>
        <v>32346</v>
      </c>
      <c r="AF429" t="str">
        <f t="shared" si="41"/>
        <v>Paid</v>
      </c>
    </row>
    <row r="430" spans="1:32" ht="17.25" thickBot="1" x14ac:dyDescent="0.35">
      <c r="A430" s="2" t="s">
        <v>3444</v>
      </c>
      <c r="B430" s="2" t="s">
        <v>27</v>
      </c>
      <c r="C430" s="2" t="s">
        <v>28</v>
      </c>
      <c r="D430" s="2" t="s">
        <v>97</v>
      </c>
      <c r="E430" s="2" t="s">
        <v>3247</v>
      </c>
      <c r="F430" s="2" t="s">
        <v>99</v>
      </c>
      <c r="G430" s="2" t="s">
        <v>32</v>
      </c>
      <c r="H430" s="1"/>
      <c r="I430" s="2" t="s">
        <v>33</v>
      </c>
      <c r="J430" s="2" t="s">
        <v>34</v>
      </c>
      <c r="K430" s="2" t="s">
        <v>2586</v>
      </c>
      <c r="L430" s="2" t="s">
        <v>2587</v>
      </c>
      <c r="M430" s="2" t="s">
        <v>2389</v>
      </c>
      <c r="N430" s="2" t="s">
        <v>38</v>
      </c>
      <c r="O430" s="2" t="s">
        <v>79</v>
      </c>
      <c r="P430" s="2" t="s">
        <v>2588</v>
      </c>
      <c r="Q430" s="2" t="s">
        <v>3445</v>
      </c>
      <c r="R430" s="2" t="s">
        <v>40</v>
      </c>
      <c r="S430" s="2" t="s">
        <v>3446</v>
      </c>
      <c r="T430" s="2" t="s">
        <v>2591</v>
      </c>
      <c r="U430" s="2" t="s">
        <v>3447</v>
      </c>
      <c r="V430" s="2" t="s">
        <v>3448</v>
      </c>
      <c r="W430" s="1"/>
      <c r="X430" s="2" t="s">
        <v>965</v>
      </c>
      <c r="Y430" s="2" t="s">
        <v>3252</v>
      </c>
      <c r="AA430" t="str">
        <f t="shared" si="36"/>
        <v>2026-06</v>
      </c>
      <c r="AB430" t="str">
        <f t="shared" si="37"/>
        <v>H1_2026</v>
      </c>
      <c r="AC430">
        <f t="shared" si="38"/>
        <v>71800</v>
      </c>
      <c r="AD430">
        <f t="shared" si="39"/>
        <v>10</v>
      </c>
      <c r="AE430">
        <f t="shared" si="40"/>
        <v>18345.46</v>
      </c>
      <c r="AF430" t="str">
        <f t="shared" si="41"/>
        <v>Paid</v>
      </c>
    </row>
    <row r="431" spans="1:32" ht="17.25" thickBot="1" x14ac:dyDescent="0.35">
      <c r="A431" s="2" t="s">
        <v>3449</v>
      </c>
      <c r="B431" s="2" t="s">
        <v>27</v>
      </c>
      <c r="C431" s="2" t="s">
        <v>28</v>
      </c>
      <c r="D431" s="2" t="s">
        <v>97</v>
      </c>
      <c r="E431" s="2" t="s">
        <v>3247</v>
      </c>
      <c r="F431" s="2" t="s">
        <v>99</v>
      </c>
      <c r="G431" s="2" t="s">
        <v>32</v>
      </c>
      <c r="H431" s="1"/>
      <c r="I431" s="2" t="s">
        <v>33</v>
      </c>
      <c r="J431" s="2" t="s">
        <v>34</v>
      </c>
      <c r="K431" s="2" t="s">
        <v>2610</v>
      </c>
      <c r="L431" s="2" t="s">
        <v>2611</v>
      </c>
      <c r="M431" s="2" t="s">
        <v>2389</v>
      </c>
      <c r="N431" s="2" t="s">
        <v>38</v>
      </c>
      <c r="O431" s="2" t="s">
        <v>159</v>
      </c>
      <c r="P431" s="2" t="s">
        <v>2612</v>
      </c>
      <c r="Q431" s="2" t="s">
        <v>3450</v>
      </c>
      <c r="R431" s="2" t="s">
        <v>40</v>
      </c>
      <c r="S431" s="2" t="s">
        <v>3451</v>
      </c>
      <c r="T431" s="2" t="s">
        <v>2615</v>
      </c>
      <c r="U431" s="2" t="s">
        <v>3452</v>
      </c>
      <c r="V431" s="2" t="s">
        <v>3453</v>
      </c>
      <c r="W431" s="1"/>
      <c r="X431" s="2" t="s">
        <v>3454</v>
      </c>
      <c r="Y431" s="2" t="s">
        <v>3252</v>
      </c>
      <c r="AA431" t="str">
        <f t="shared" si="36"/>
        <v>2026-06</v>
      </c>
      <c r="AB431" t="str">
        <f t="shared" si="37"/>
        <v>H1_2026</v>
      </c>
      <c r="AC431">
        <f t="shared" si="38"/>
        <v>580144</v>
      </c>
      <c r="AD431">
        <f t="shared" si="39"/>
        <v>80</v>
      </c>
      <c r="AE431">
        <f t="shared" si="40"/>
        <v>104944</v>
      </c>
      <c r="AF431" t="str">
        <f t="shared" si="41"/>
        <v>Paid</v>
      </c>
    </row>
    <row r="432" spans="1:32" ht="27.75" thickBot="1" x14ac:dyDescent="0.35">
      <c r="A432" s="2" t="s">
        <v>3455</v>
      </c>
      <c r="B432" s="2" t="s">
        <v>27</v>
      </c>
      <c r="C432" s="2" t="s">
        <v>28</v>
      </c>
      <c r="D432" s="2" t="s">
        <v>97</v>
      </c>
      <c r="E432" s="2" t="s">
        <v>3247</v>
      </c>
      <c r="F432" s="2" t="s">
        <v>99</v>
      </c>
      <c r="G432" s="2" t="s">
        <v>32</v>
      </c>
      <c r="H432" s="1"/>
      <c r="I432" s="2" t="s">
        <v>33</v>
      </c>
      <c r="J432" s="2" t="s">
        <v>34</v>
      </c>
      <c r="K432" s="2" t="s">
        <v>2620</v>
      </c>
      <c r="L432" s="2" t="s">
        <v>2621</v>
      </c>
      <c r="M432" s="2" t="s">
        <v>2389</v>
      </c>
      <c r="N432" s="2" t="s">
        <v>38</v>
      </c>
      <c r="O432" s="2" t="s">
        <v>797</v>
      </c>
      <c r="P432" s="2" t="s">
        <v>3456</v>
      </c>
      <c r="Q432" s="2" t="s">
        <v>3457</v>
      </c>
      <c r="R432" s="2" t="s">
        <v>40</v>
      </c>
      <c r="S432" s="2" t="s">
        <v>3458</v>
      </c>
      <c r="T432" s="2" t="s">
        <v>2625</v>
      </c>
      <c r="U432" s="2" t="s">
        <v>2626</v>
      </c>
      <c r="V432" s="2" t="s">
        <v>3459</v>
      </c>
      <c r="W432" s="1"/>
      <c r="X432" s="2" t="s">
        <v>1427</v>
      </c>
      <c r="Y432" s="2" t="s">
        <v>3252</v>
      </c>
      <c r="AA432" t="str">
        <f t="shared" si="36"/>
        <v>2026-06</v>
      </c>
      <c r="AB432" t="str">
        <f t="shared" si="37"/>
        <v>H1_2026</v>
      </c>
      <c r="AC432">
        <f t="shared" si="38"/>
        <v>716047.04</v>
      </c>
      <c r="AD432">
        <f t="shared" si="39"/>
        <v>92</v>
      </c>
      <c r="AE432">
        <f t="shared" si="40"/>
        <v>174167.04000000001</v>
      </c>
      <c r="AF432" t="str">
        <f t="shared" si="41"/>
        <v>Paid</v>
      </c>
    </row>
    <row r="433" spans="1:32" ht="27.75" thickBot="1" x14ac:dyDescent="0.35">
      <c r="A433" s="2" t="s">
        <v>3460</v>
      </c>
      <c r="B433" s="2" t="s">
        <v>27</v>
      </c>
      <c r="C433" s="2" t="s">
        <v>28</v>
      </c>
      <c r="D433" s="2" t="s">
        <v>97</v>
      </c>
      <c r="E433" s="2" t="s">
        <v>3247</v>
      </c>
      <c r="F433" s="2" t="s">
        <v>99</v>
      </c>
      <c r="G433" s="2" t="s">
        <v>32</v>
      </c>
      <c r="H433" s="1"/>
      <c r="I433" s="2" t="s">
        <v>33</v>
      </c>
      <c r="J433" s="2" t="s">
        <v>34</v>
      </c>
      <c r="K433" s="2" t="s">
        <v>2629</v>
      </c>
      <c r="L433" s="2" t="s">
        <v>2630</v>
      </c>
      <c r="M433" s="2" t="s">
        <v>2631</v>
      </c>
      <c r="N433" s="2" t="s">
        <v>38</v>
      </c>
      <c r="O433" s="2" t="s">
        <v>141</v>
      </c>
      <c r="P433" s="2" t="s">
        <v>2632</v>
      </c>
      <c r="Q433" s="2" t="s">
        <v>3461</v>
      </c>
      <c r="R433" s="2" t="s">
        <v>40</v>
      </c>
      <c r="S433" s="2" t="s">
        <v>3462</v>
      </c>
      <c r="T433" s="2" t="s">
        <v>2635</v>
      </c>
      <c r="U433" s="2" t="s">
        <v>3463</v>
      </c>
      <c r="V433" s="2" t="s">
        <v>3464</v>
      </c>
      <c r="W433" s="1"/>
      <c r="X433" s="2" t="s">
        <v>3465</v>
      </c>
      <c r="Y433" s="2" t="s">
        <v>3252</v>
      </c>
      <c r="AA433" t="str">
        <f t="shared" si="36"/>
        <v>2026-06</v>
      </c>
      <c r="AB433" t="str">
        <f t="shared" si="37"/>
        <v>H1_2026</v>
      </c>
      <c r="AC433">
        <f t="shared" si="38"/>
        <v>129670.8</v>
      </c>
      <c r="AD433">
        <f t="shared" si="39"/>
        <v>30</v>
      </c>
      <c r="AE433">
        <f t="shared" si="40"/>
        <v>23307.17</v>
      </c>
      <c r="AF433" t="str">
        <f t="shared" si="41"/>
        <v>Paid</v>
      </c>
    </row>
    <row r="434" spans="1:32" ht="17.25" thickBot="1" x14ac:dyDescent="0.35">
      <c r="A434" s="2" t="s">
        <v>3466</v>
      </c>
      <c r="B434" s="2" t="s">
        <v>27</v>
      </c>
      <c r="C434" s="2" t="s">
        <v>28</v>
      </c>
      <c r="D434" s="2" t="s">
        <v>97</v>
      </c>
      <c r="E434" s="2" t="s">
        <v>3247</v>
      </c>
      <c r="F434" s="2" t="s">
        <v>99</v>
      </c>
      <c r="G434" s="2" t="s">
        <v>32</v>
      </c>
      <c r="H434" s="1"/>
      <c r="I434" s="2" t="s">
        <v>33</v>
      </c>
      <c r="J434" s="2" t="s">
        <v>34</v>
      </c>
      <c r="K434" s="2" t="s">
        <v>2640</v>
      </c>
      <c r="L434" s="2" t="s">
        <v>2641</v>
      </c>
      <c r="M434" s="2" t="s">
        <v>2631</v>
      </c>
      <c r="N434" s="2" t="s">
        <v>38</v>
      </c>
      <c r="O434" s="2" t="s">
        <v>428</v>
      </c>
      <c r="P434" s="2" t="s">
        <v>2632</v>
      </c>
      <c r="Q434" s="2" t="s">
        <v>3467</v>
      </c>
      <c r="R434" s="2" t="s">
        <v>40</v>
      </c>
      <c r="S434" s="2" t="s">
        <v>3468</v>
      </c>
      <c r="T434" s="2" t="s">
        <v>2635</v>
      </c>
      <c r="U434" s="2" t="s">
        <v>3469</v>
      </c>
      <c r="V434" s="2" t="s">
        <v>3470</v>
      </c>
      <c r="W434" s="1"/>
      <c r="X434" s="2" t="s">
        <v>3465</v>
      </c>
      <c r="Y434" s="2" t="s">
        <v>3252</v>
      </c>
      <c r="AA434" t="str">
        <f t="shared" si="36"/>
        <v>2026-06</v>
      </c>
      <c r="AB434" t="str">
        <f t="shared" si="37"/>
        <v>H1_2026</v>
      </c>
      <c r="AC434">
        <f t="shared" si="38"/>
        <v>1080590</v>
      </c>
      <c r="AD434">
        <f t="shared" si="39"/>
        <v>250</v>
      </c>
      <c r="AE434">
        <f t="shared" si="40"/>
        <v>194226.38</v>
      </c>
      <c r="AF434" t="str">
        <f t="shared" si="41"/>
        <v>Paid</v>
      </c>
    </row>
    <row r="435" spans="1:32" ht="27.75" thickBot="1" x14ac:dyDescent="0.35">
      <c r="A435" s="2" t="s">
        <v>3471</v>
      </c>
      <c r="B435" s="2" t="s">
        <v>27</v>
      </c>
      <c r="C435" s="2" t="s">
        <v>28</v>
      </c>
      <c r="D435" s="2" t="s">
        <v>97</v>
      </c>
      <c r="E435" s="2" t="s">
        <v>3247</v>
      </c>
      <c r="F435" s="2" t="s">
        <v>99</v>
      </c>
      <c r="G435" s="2" t="s">
        <v>32</v>
      </c>
      <c r="H435" s="1"/>
      <c r="I435" s="2" t="s">
        <v>33</v>
      </c>
      <c r="J435" s="2" t="s">
        <v>34</v>
      </c>
      <c r="K435" s="2" t="s">
        <v>3472</v>
      </c>
      <c r="L435" s="2" t="s">
        <v>3473</v>
      </c>
      <c r="M435" s="2" t="s">
        <v>3474</v>
      </c>
      <c r="N435" s="2" t="s">
        <v>38</v>
      </c>
      <c r="O435" s="2" t="s">
        <v>174</v>
      </c>
      <c r="P435" s="2" t="s">
        <v>3475</v>
      </c>
      <c r="Q435" s="2" t="s">
        <v>3476</v>
      </c>
      <c r="R435" s="2" t="s">
        <v>40</v>
      </c>
      <c r="S435" s="2" t="s">
        <v>3477</v>
      </c>
      <c r="T435" s="2" t="s">
        <v>1628</v>
      </c>
      <c r="U435" s="2" t="s">
        <v>3478</v>
      </c>
      <c r="V435" s="2" t="s">
        <v>3479</v>
      </c>
      <c r="W435" s="1"/>
      <c r="X435" s="2" t="s">
        <v>3480</v>
      </c>
      <c r="Y435" s="2" t="s">
        <v>3252</v>
      </c>
      <c r="AA435" t="str">
        <f t="shared" si="36"/>
        <v>2026-06</v>
      </c>
      <c r="AB435" t="str">
        <f t="shared" si="37"/>
        <v>H1_2026</v>
      </c>
      <c r="AC435">
        <f t="shared" si="38"/>
        <v>701658.32</v>
      </c>
      <c r="AD435">
        <f t="shared" si="39"/>
        <v>22</v>
      </c>
      <c r="AE435">
        <f t="shared" si="40"/>
        <v>523458.32</v>
      </c>
      <c r="AF435" t="str">
        <f t="shared" si="41"/>
        <v>Paid</v>
      </c>
    </row>
    <row r="436" spans="1:32" ht="17.25" thickBot="1" x14ac:dyDescent="0.35">
      <c r="A436" s="2" t="s">
        <v>3481</v>
      </c>
      <c r="B436" s="2" t="s">
        <v>27</v>
      </c>
      <c r="C436" s="2" t="s">
        <v>28</v>
      </c>
      <c r="D436" s="2" t="s">
        <v>97</v>
      </c>
      <c r="E436" s="2" t="s">
        <v>3247</v>
      </c>
      <c r="F436" s="2" t="s">
        <v>99</v>
      </c>
      <c r="G436" s="2" t="s">
        <v>32</v>
      </c>
      <c r="H436" s="1"/>
      <c r="I436" s="2" t="s">
        <v>33</v>
      </c>
      <c r="J436" s="2" t="s">
        <v>34</v>
      </c>
      <c r="K436" s="2" t="s">
        <v>580</v>
      </c>
      <c r="L436" s="2" t="s">
        <v>581</v>
      </c>
      <c r="M436" s="2" t="s">
        <v>570</v>
      </c>
      <c r="N436" s="2" t="s">
        <v>38</v>
      </c>
      <c r="O436" s="2" t="s">
        <v>849</v>
      </c>
      <c r="P436" s="2" t="s">
        <v>2655</v>
      </c>
      <c r="Q436" s="2" t="s">
        <v>3482</v>
      </c>
      <c r="R436" s="2" t="s">
        <v>40</v>
      </c>
      <c r="S436" s="2" t="s">
        <v>3483</v>
      </c>
      <c r="T436" s="2" t="s">
        <v>575</v>
      </c>
      <c r="U436" s="2" t="s">
        <v>1586</v>
      </c>
      <c r="V436" s="2" t="s">
        <v>3484</v>
      </c>
      <c r="W436" s="1"/>
      <c r="X436" s="2" t="s">
        <v>578</v>
      </c>
      <c r="Y436" s="2" t="s">
        <v>3252</v>
      </c>
      <c r="AA436" t="str">
        <f t="shared" si="36"/>
        <v>2026-06</v>
      </c>
      <c r="AB436" t="str">
        <f t="shared" si="37"/>
        <v>H1_2026</v>
      </c>
      <c r="AC436">
        <f t="shared" si="38"/>
        <v>89606.399999999994</v>
      </c>
      <c r="AD436">
        <f t="shared" si="39"/>
        <v>160</v>
      </c>
      <c r="AE436">
        <f t="shared" si="40"/>
        <v>37242.769999999997</v>
      </c>
      <c r="AF436" t="str">
        <f t="shared" si="41"/>
        <v>Paid</v>
      </c>
    </row>
    <row r="437" spans="1:32" ht="27.75" thickBot="1" x14ac:dyDescent="0.35">
      <c r="A437" s="2" t="s">
        <v>3485</v>
      </c>
      <c r="B437" s="2" t="s">
        <v>27</v>
      </c>
      <c r="C437" s="2" t="s">
        <v>28</v>
      </c>
      <c r="D437" s="2" t="s">
        <v>97</v>
      </c>
      <c r="E437" s="2" t="s">
        <v>3247</v>
      </c>
      <c r="F437" s="2" t="s">
        <v>99</v>
      </c>
      <c r="G437" s="2" t="s">
        <v>32</v>
      </c>
      <c r="H437" s="1"/>
      <c r="I437" s="2" t="s">
        <v>33</v>
      </c>
      <c r="J437" s="2" t="s">
        <v>34</v>
      </c>
      <c r="K437" s="2" t="s">
        <v>1594</v>
      </c>
      <c r="L437" s="2" t="s">
        <v>1595</v>
      </c>
      <c r="M437" s="2" t="s">
        <v>570</v>
      </c>
      <c r="N437" s="2" t="s">
        <v>38</v>
      </c>
      <c r="O437" s="2" t="s">
        <v>1837</v>
      </c>
      <c r="P437" s="2" t="s">
        <v>2655</v>
      </c>
      <c r="Q437" s="2" t="s">
        <v>3486</v>
      </c>
      <c r="R437" s="2" t="s">
        <v>40</v>
      </c>
      <c r="S437" s="2" t="s">
        <v>3487</v>
      </c>
      <c r="T437" s="2" t="s">
        <v>575</v>
      </c>
      <c r="U437" s="2" t="s">
        <v>3488</v>
      </c>
      <c r="V437" s="2" t="s">
        <v>3489</v>
      </c>
      <c r="W437" s="1"/>
      <c r="X437" s="2" t="s">
        <v>578</v>
      </c>
      <c r="Y437" s="2" t="s">
        <v>3252</v>
      </c>
      <c r="AA437" t="str">
        <f t="shared" si="36"/>
        <v>2026-06</v>
      </c>
      <c r="AB437" t="str">
        <f t="shared" si="37"/>
        <v>H1_2026</v>
      </c>
      <c r="AC437">
        <f t="shared" si="38"/>
        <v>616044</v>
      </c>
      <c r="AD437">
        <f t="shared" si="39"/>
        <v>1100</v>
      </c>
      <c r="AE437">
        <f t="shared" si="40"/>
        <v>256044.03</v>
      </c>
      <c r="AF437" t="str">
        <f t="shared" si="41"/>
        <v>Paid</v>
      </c>
    </row>
    <row r="438" spans="1:32" ht="27.75" thickBot="1" x14ac:dyDescent="0.35">
      <c r="A438" s="2" t="s">
        <v>3490</v>
      </c>
      <c r="B438" s="2" t="s">
        <v>27</v>
      </c>
      <c r="C438" s="2" t="s">
        <v>28</v>
      </c>
      <c r="D438" s="2" t="s">
        <v>97</v>
      </c>
      <c r="E438" s="2" t="s">
        <v>3247</v>
      </c>
      <c r="F438" s="2" t="s">
        <v>99</v>
      </c>
      <c r="G438" s="2" t="s">
        <v>32</v>
      </c>
      <c r="H438" s="1"/>
      <c r="I438" s="2" t="s">
        <v>33</v>
      </c>
      <c r="J438" s="2" t="s">
        <v>34</v>
      </c>
      <c r="K438" s="2" t="s">
        <v>2662</v>
      </c>
      <c r="L438" s="2" t="s">
        <v>2663</v>
      </c>
      <c r="M438" s="2" t="s">
        <v>570</v>
      </c>
      <c r="N438" s="2" t="s">
        <v>38</v>
      </c>
      <c r="O438" s="2" t="s">
        <v>1158</v>
      </c>
      <c r="P438" s="2" t="s">
        <v>2655</v>
      </c>
      <c r="Q438" s="2" t="s">
        <v>3491</v>
      </c>
      <c r="R438" s="2" t="s">
        <v>40</v>
      </c>
      <c r="S438" s="2" t="s">
        <v>3492</v>
      </c>
      <c r="T438" s="2" t="s">
        <v>575</v>
      </c>
      <c r="U438" s="2" t="s">
        <v>3493</v>
      </c>
      <c r="V438" s="2" t="s">
        <v>3494</v>
      </c>
      <c r="W438" s="1"/>
      <c r="X438" s="2" t="s">
        <v>578</v>
      </c>
      <c r="Y438" s="2" t="s">
        <v>3252</v>
      </c>
      <c r="AA438" t="str">
        <f t="shared" si="36"/>
        <v>2026-06</v>
      </c>
      <c r="AB438" t="str">
        <f t="shared" si="37"/>
        <v>H1_2026</v>
      </c>
      <c r="AC438">
        <f t="shared" si="38"/>
        <v>100807.2</v>
      </c>
      <c r="AD438">
        <f t="shared" si="39"/>
        <v>180</v>
      </c>
      <c r="AE438">
        <f t="shared" si="40"/>
        <v>41898.11</v>
      </c>
      <c r="AF438" t="str">
        <f t="shared" si="41"/>
        <v>Paid</v>
      </c>
    </row>
    <row r="439" spans="1:32" ht="17.25" thickBot="1" x14ac:dyDescent="0.35">
      <c r="A439" s="2" t="s">
        <v>3495</v>
      </c>
      <c r="B439" s="2" t="s">
        <v>27</v>
      </c>
      <c r="C439" s="2" t="s">
        <v>28</v>
      </c>
      <c r="D439" s="2" t="s">
        <v>97</v>
      </c>
      <c r="E439" s="2" t="s">
        <v>3247</v>
      </c>
      <c r="F439" s="2" t="s">
        <v>99</v>
      </c>
      <c r="G439" s="2" t="s">
        <v>32</v>
      </c>
      <c r="H439" s="1"/>
      <c r="I439" s="2" t="s">
        <v>33</v>
      </c>
      <c r="J439" s="2" t="s">
        <v>34</v>
      </c>
      <c r="K439" s="2" t="s">
        <v>616</v>
      </c>
      <c r="L439" s="2" t="s">
        <v>617</v>
      </c>
      <c r="M439" s="2" t="s">
        <v>570</v>
      </c>
      <c r="N439" s="2" t="s">
        <v>38</v>
      </c>
      <c r="O439" s="2" t="s">
        <v>466</v>
      </c>
      <c r="P439" s="2" t="s">
        <v>2655</v>
      </c>
      <c r="Q439" s="2" t="s">
        <v>3496</v>
      </c>
      <c r="R439" s="2" t="s">
        <v>40</v>
      </c>
      <c r="S439" s="2" t="s">
        <v>3497</v>
      </c>
      <c r="T439" s="2" t="s">
        <v>575</v>
      </c>
      <c r="U439" s="2" t="s">
        <v>1603</v>
      </c>
      <c r="V439" s="2" t="s">
        <v>3498</v>
      </c>
      <c r="W439" s="1"/>
      <c r="X439" s="2" t="s">
        <v>578</v>
      </c>
      <c r="Y439" s="2" t="s">
        <v>3252</v>
      </c>
      <c r="AA439" t="str">
        <f t="shared" si="36"/>
        <v>2026-06</v>
      </c>
      <c r="AB439" t="str">
        <f t="shared" si="37"/>
        <v>H1_2026</v>
      </c>
      <c r="AC439">
        <f t="shared" si="38"/>
        <v>39202.800000000003</v>
      </c>
      <c r="AD439">
        <f t="shared" si="39"/>
        <v>70</v>
      </c>
      <c r="AE439">
        <f t="shared" si="40"/>
        <v>16293.71</v>
      </c>
      <c r="AF439" t="str">
        <f t="shared" si="41"/>
        <v>Paid</v>
      </c>
    </row>
    <row r="440" spans="1:32" ht="17.25" thickBot="1" x14ac:dyDescent="0.35">
      <c r="A440" s="2" t="s">
        <v>3499</v>
      </c>
      <c r="B440" s="2" t="s">
        <v>27</v>
      </c>
      <c r="C440" s="2" t="s">
        <v>28</v>
      </c>
      <c r="D440" s="2" t="s">
        <v>97</v>
      </c>
      <c r="E440" s="2" t="s">
        <v>3247</v>
      </c>
      <c r="F440" s="2" t="s">
        <v>99</v>
      </c>
      <c r="G440" s="2" t="s">
        <v>32</v>
      </c>
      <c r="H440" s="1"/>
      <c r="I440" s="2" t="s">
        <v>33</v>
      </c>
      <c r="J440" s="2" t="s">
        <v>34</v>
      </c>
      <c r="K440" s="2" t="s">
        <v>624</v>
      </c>
      <c r="L440" s="2" t="s">
        <v>625</v>
      </c>
      <c r="M440" s="2" t="s">
        <v>570</v>
      </c>
      <c r="N440" s="2" t="s">
        <v>38</v>
      </c>
      <c r="O440" s="2" t="s">
        <v>131</v>
      </c>
      <c r="P440" s="2" t="s">
        <v>2655</v>
      </c>
      <c r="Q440" s="2" t="s">
        <v>3500</v>
      </c>
      <c r="R440" s="2" t="s">
        <v>40</v>
      </c>
      <c r="S440" s="2" t="s">
        <v>3501</v>
      </c>
      <c r="T440" s="2" t="s">
        <v>575</v>
      </c>
      <c r="U440" s="2" t="s">
        <v>3502</v>
      </c>
      <c r="V440" s="2" t="s">
        <v>3503</v>
      </c>
      <c r="W440" s="1"/>
      <c r="X440" s="2" t="s">
        <v>578</v>
      </c>
      <c r="Y440" s="2" t="s">
        <v>3252</v>
      </c>
      <c r="AA440" t="str">
        <f t="shared" si="36"/>
        <v>2026-06</v>
      </c>
      <c r="AB440" t="str">
        <f t="shared" si="37"/>
        <v>H1_2026</v>
      </c>
      <c r="AC440">
        <f t="shared" si="38"/>
        <v>22401.599999999999</v>
      </c>
      <c r="AD440">
        <f t="shared" si="39"/>
        <v>40</v>
      </c>
      <c r="AE440">
        <f t="shared" si="40"/>
        <v>9310.69</v>
      </c>
      <c r="AF440" t="str">
        <f t="shared" si="41"/>
        <v>Paid</v>
      </c>
    </row>
    <row r="441" spans="1:32" ht="17.25" thickBot="1" x14ac:dyDescent="0.35">
      <c r="A441" s="2" t="s">
        <v>3504</v>
      </c>
      <c r="B441" s="2" t="s">
        <v>27</v>
      </c>
      <c r="C441" s="2" t="s">
        <v>28</v>
      </c>
      <c r="D441" s="2" t="s">
        <v>97</v>
      </c>
      <c r="E441" s="2" t="s">
        <v>3247</v>
      </c>
      <c r="F441" s="2" t="s">
        <v>99</v>
      </c>
      <c r="G441" s="2" t="s">
        <v>32</v>
      </c>
      <c r="H441" s="1"/>
      <c r="I441" s="2" t="s">
        <v>33</v>
      </c>
      <c r="J441" s="2" t="s">
        <v>34</v>
      </c>
      <c r="K441" s="2" t="s">
        <v>2689</v>
      </c>
      <c r="L441" s="2" t="s">
        <v>2690</v>
      </c>
      <c r="M441" s="2" t="s">
        <v>2680</v>
      </c>
      <c r="N441" s="2" t="s">
        <v>38</v>
      </c>
      <c r="O441" s="2" t="s">
        <v>156</v>
      </c>
      <c r="P441" s="2" t="s">
        <v>2691</v>
      </c>
      <c r="Q441" s="2" t="s">
        <v>3505</v>
      </c>
      <c r="R441" s="2" t="s">
        <v>40</v>
      </c>
      <c r="S441" s="2" t="s">
        <v>3506</v>
      </c>
      <c r="T441" s="2" t="s">
        <v>2694</v>
      </c>
      <c r="U441" s="2" t="s">
        <v>3507</v>
      </c>
      <c r="V441" s="2" t="s">
        <v>3508</v>
      </c>
      <c r="W441" s="1"/>
      <c r="X441" s="2" t="s">
        <v>3509</v>
      </c>
      <c r="Y441" s="2" t="s">
        <v>3252</v>
      </c>
      <c r="AA441" t="str">
        <f t="shared" si="36"/>
        <v>2026-06</v>
      </c>
      <c r="AB441" t="str">
        <f t="shared" si="37"/>
        <v>H1_2026</v>
      </c>
      <c r="AC441">
        <f t="shared" si="38"/>
        <v>134122.4</v>
      </c>
      <c r="AD441">
        <f t="shared" si="39"/>
        <v>20</v>
      </c>
      <c r="AE441">
        <f t="shared" si="40"/>
        <v>54922.400000000001</v>
      </c>
      <c r="AF441" t="str">
        <f t="shared" si="41"/>
        <v>Paid</v>
      </c>
    </row>
    <row r="442" spans="1:32" ht="17.25" thickBot="1" x14ac:dyDescent="0.35">
      <c r="A442" s="2" t="s">
        <v>1538</v>
      </c>
      <c r="B442" s="2" t="s">
        <v>27</v>
      </c>
      <c r="C442" s="2" t="s">
        <v>28</v>
      </c>
      <c r="D442" s="2" t="s">
        <v>97</v>
      </c>
      <c r="E442" s="2" t="s">
        <v>3247</v>
      </c>
      <c r="F442" s="2" t="s">
        <v>99</v>
      </c>
      <c r="G442" s="2" t="s">
        <v>32</v>
      </c>
      <c r="H442" s="1"/>
      <c r="I442" s="2" t="s">
        <v>33</v>
      </c>
      <c r="J442" s="2" t="s">
        <v>34</v>
      </c>
      <c r="K442" s="2" t="s">
        <v>2718</v>
      </c>
      <c r="L442" s="2" t="s">
        <v>2719</v>
      </c>
      <c r="M442" s="2" t="s">
        <v>2710</v>
      </c>
      <c r="N442" s="2" t="s">
        <v>38</v>
      </c>
      <c r="O442" s="2" t="s">
        <v>214</v>
      </c>
      <c r="P442" s="2" t="s">
        <v>2720</v>
      </c>
      <c r="Q442" s="2" t="s">
        <v>3510</v>
      </c>
      <c r="R442" s="2" t="s">
        <v>40</v>
      </c>
      <c r="S442" s="2" t="s">
        <v>3511</v>
      </c>
      <c r="T442" s="2" t="s">
        <v>2723</v>
      </c>
      <c r="U442" s="2" t="s">
        <v>3512</v>
      </c>
      <c r="V442" s="2" t="s">
        <v>3513</v>
      </c>
      <c r="W442" s="1"/>
      <c r="X442" s="2" t="s">
        <v>3310</v>
      </c>
      <c r="Y442" s="2" t="s">
        <v>3252</v>
      </c>
      <c r="AA442" t="str">
        <f t="shared" si="36"/>
        <v>2026-06</v>
      </c>
      <c r="AB442" t="str">
        <f t="shared" si="37"/>
        <v>H1_2026</v>
      </c>
      <c r="AC442">
        <f t="shared" si="38"/>
        <v>503318</v>
      </c>
      <c r="AD442">
        <f t="shared" si="39"/>
        <v>50</v>
      </c>
      <c r="AE442">
        <f t="shared" si="40"/>
        <v>98772.55</v>
      </c>
      <c r="AF442" t="str">
        <f t="shared" si="41"/>
        <v>Paid</v>
      </c>
    </row>
    <row r="443" spans="1:32" ht="17.25" thickBot="1" x14ac:dyDescent="0.35">
      <c r="A443" s="2" t="s">
        <v>3514</v>
      </c>
      <c r="B443" s="2" t="s">
        <v>27</v>
      </c>
      <c r="C443" s="2" t="s">
        <v>28</v>
      </c>
      <c r="D443" s="2" t="s">
        <v>97</v>
      </c>
      <c r="E443" s="2" t="s">
        <v>3247</v>
      </c>
      <c r="F443" s="2" t="s">
        <v>99</v>
      </c>
      <c r="G443" s="2" t="s">
        <v>32</v>
      </c>
      <c r="H443" s="1"/>
      <c r="I443" s="2" t="s">
        <v>33</v>
      </c>
      <c r="J443" s="2" t="s">
        <v>34</v>
      </c>
      <c r="K443" s="2" t="s">
        <v>2733</v>
      </c>
      <c r="L443" s="2" t="s">
        <v>2734</v>
      </c>
      <c r="M443" s="2" t="s">
        <v>2710</v>
      </c>
      <c r="N443" s="2" t="s">
        <v>38</v>
      </c>
      <c r="O443" s="2" t="s">
        <v>79</v>
      </c>
      <c r="P443" s="2" t="s">
        <v>2735</v>
      </c>
      <c r="Q443" s="2" t="s">
        <v>3515</v>
      </c>
      <c r="R443" s="2" t="s">
        <v>40</v>
      </c>
      <c r="S443" s="2" t="s">
        <v>3516</v>
      </c>
      <c r="T443" s="2" t="s">
        <v>2738</v>
      </c>
      <c r="U443" s="2" t="s">
        <v>3463</v>
      </c>
      <c r="V443" s="2" t="s">
        <v>3517</v>
      </c>
      <c r="W443" s="1"/>
      <c r="X443" s="2" t="s">
        <v>1375</v>
      </c>
      <c r="Y443" s="2" t="s">
        <v>3252</v>
      </c>
      <c r="AA443" t="str">
        <f t="shared" si="36"/>
        <v>2026-06</v>
      </c>
      <c r="AB443" t="str">
        <f t="shared" si="37"/>
        <v>H1_2026</v>
      </c>
      <c r="AC443">
        <f t="shared" si="38"/>
        <v>141876.79999999999</v>
      </c>
      <c r="AD443">
        <f t="shared" si="39"/>
        <v>10</v>
      </c>
      <c r="AE443">
        <f t="shared" si="40"/>
        <v>35513.160000000003</v>
      </c>
      <c r="AF443" t="str">
        <f t="shared" si="41"/>
        <v>Paid</v>
      </c>
    </row>
    <row r="444" spans="1:32" ht="17.25" thickBot="1" x14ac:dyDescent="0.35">
      <c r="A444" s="2" t="s">
        <v>3518</v>
      </c>
      <c r="B444" s="2" t="s">
        <v>27</v>
      </c>
      <c r="C444" s="2" t="s">
        <v>28</v>
      </c>
      <c r="D444" s="2" t="s">
        <v>97</v>
      </c>
      <c r="E444" s="2" t="s">
        <v>3247</v>
      </c>
      <c r="F444" s="2" t="s">
        <v>99</v>
      </c>
      <c r="G444" s="2" t="s">
        <v>32</v>
      </c>
      <c r="H444" s="1"/>
      <c r="I444" s="2" t="s">
        <v>33</v>
      </c>
      <c r="J444" s="2" t="s">
        <v>34</v>
      </c>
      <c r="K444" s="2" t="s">
        <v>3519</v>
      </c>
      <c r="L444" s="2" t="s">
        <v>3520</v>
      </c>
      <c r="M444" s="2" t="s">
        <v>2710</v>
      </c>
      <c r="N444" s="2" t="s">
        <v>38</v>
      </c>
      <c r="O444" s="2" t="s">
        <v>203</v>
      </c>
      <c r="P444" s="2" t="s">
        <v>3521</v>
      </c>
      <c r="Q444" s="2" t="s">
        <v>3522</v>
      </c>
      <c r="R444" s="2" t="s">
        <v>40</v>
      </c>
      <c r="S444" s="2" t="s">
        <v>3523</v>
      </c>
      <c r="T444" s="2" t="s">
        <v>2684</v>
      </c>
      <c r="U444" s="2" t="s">
        <v>3524</v>
      </c>
      <c r="V444" s="2" t="s">
        <v>3525</v>
      </c>
      <c r="W444" s="1"/>
      <c r="X444" s="2" t="s">
        <v>2104</v>
      </c>
      <c r="Y444" s="2" t="s">
        <v>3252</v>
      </c>
      <c r="AA444" t="str">
        <f t="shared" si="36"/>
        <v>2026-06</v>
      </c>
      <c r="AB444" t="str">
        <f t="shared" si="37"/>
        <v>H1_2026</v>
      </c>
      <c r="AC444">
        <f t="shared" si="38"/>
        <v>171961</v>
      </c>
      <c r="AD444">
        <f t="shared" si="39"/>
        <v>25</v>
      </c>
      <c r="AE444">
        <f t="shared" si="40"/>
        <v>34461</v>
      </c>
      <c r="AF444" t="str">
        <f t="shared" si="41"/>
        <v>Paid</v>
      </c>
    </row>
    <row r="445" spans="1:32" ht="27.75" thickBot="1" x14ac:dyDescent="0.35">
      <c r="A445" s="2" t="s">
        <v>3526</v>
      </c>
      <c r="B445" s="2" t="s">
        <v>27</v>
      </c>
      <c r="C445" s="2" t="s">
        <v>28</v>
      </c>
      <c r="D445" s="2" t="s">
        <v>97</v>
      </c>
      <c r="E445" s="2" t="s">
        <v>3247</v>
      </c>
      <c r="F445" s="2" t="s">
        <v>99</v>
      </c>
      <c r="G445" s="2" t="s">
        <v>32</v>
      </c>
      <c r="H445" s="1"/>
      <c r="I445" s="2" t="s">
        <v>33</v>
      </c>
      <c r="J445" s="2" t="s">
        <v>34</v>
      </c>
      <c r="K445" s="2" t="s">
        <v>2742</v>
      </c>
      <c r="L445" s="2" t="s">
        <v>2743</v>
      </c>
      <c r="M445" s="2" t="s">
        <v>2710</v>
      </c>
      <c r="N445" s="2" t="s">
        <v>38</v>
      </c>
      <c r="O445" s="2" t="s">
        <v>252</v>
      </c>
      <c r="P445" s="2" t="s">
        <v>2744</v>
      </c>
      <c r="Q445" s="2" t="s">
        <v>3527</v>
      </c>
      <c r="R445" s="2" t="s">
        <v>40</v>
      </c>
      <c r="S445" s="2" t="s">
        <v>3528</v>
      </c>
      <c r="T445" s="2" t="s">
        <v>2747</v>
      </c>
      <c r="U445" s="2" t="s">
        <v>3529</v>
      </c>
      <c r="V445" s="2" t="s">
        <v>3530</v>
      </c>
      <c r="W445" s="1"/>
      <c r="X445" s="2" t="s">
        <v>1764</v>
      </c>
      <c r="Y445" s="2" t="s">
        <v>3252</v>
      </c>
      <c r="AA445" t="str">
        <f t="shared" si="36"/>
        <v>2026-06</v>
      </c>
      <c r="AB445" t="str">
        <f t="shared" si="37"/>
        <v>H1_2026</v>
      </c>
      <c r="AC445">
        <f t="shared" si="38"/>
        <v>191160.32000000001</v>
      </c>
      <c r="AD445">
        <f t="shared" si="39"/>
        <v>32</v>
      </c>
      <c r="AE445">
        <f t="shared" si="40"/>
        <v>48614.87</v>
      </c>
      <c r="AF445" t="str">
        <f t="shared" si="41"/>
        <v>Paid</v>
      </c>
    </row>
    <row r="446" spans="1:32" ht="27.75" thickBot="1" x14ac:dyDescent="0.35">
      <c r="A446" s="2" t="s">
        <v>3531</v>
      </c>
      <c r="B446" s="2" t="s">
        <v>27</v>
      </c>
      <c r="C446" s="2" t="s">
        <v>28</v>
      </c>
      <c r="D446" s="2" t="s">
        <v>97</v>
      </c>
      <c r="E446" s="2" t="s">
        <v>3247</v>
      </c>
      <c r="F446" s="2" t="s">
        <v>99</v>
      </c>
      <c r="G446" s="2" t="s">
        <v>32</v>
      </c>
      <c r="H446" s="1"/>
      <c r="I446" s="2" t="s">
        <v>33</v>
      </c>
      <c r="J446" s="2" t="s">
        <v>34</v>
      </c>
      <c r="K446" s="2" t="s">
        <v>2742</v>
      </c>
      <c r="L446" s="2" t="s">
        <v>2743</v>
      </c>
      <c r="M446" s="2" t="s">
        <v>2710</v>
      </c>
      <c r="N446" s="2" t="s">
        <v>38</v>
      </c>
      <c r="O446" s="2" t="s">
        <v>121</v>
      </c>
      <c r="P446" s="2" t="s">
        <v>3532</v>
      </c>
      <c r="Q446" s="2" t="s">
        <v>3533</v>
      </c>
      <c r="R446" s="2" t="s">
        <v>40</v>
      </c>
      <c r="S446" s="2" t="s">
        <v>3534</v>
      </c>
      <c r="T446" s="2" t="s">
        <v>2747</v>
      </c>
      <c r="U446" s="2" t="s">
        <v>3535</v>
      </c>
      <c r="V446" s="2" t="s">
        <v>3536</v>
      </c>
      <c r="W446" s="1"/>
      <c r="X446" s="2" t="s">
        <v>1504</v>
      </c>
      <c r="Y446" s="2" t="s">
        <v>3252</v>
      </c>
      <c r="AA446" t="str">
        <f t="shared" si="36"/>
        <v>2026-06</v>
      </c>
      <c r="AB446" t="str">
        <f t="shared" si="37"/>
        <v>H1_2026</v>
      </c>
      <c r="AC446">
        <f t="shared" si="38"/>
        <v>95120.639999999999</v>
      </c>
      <c r="AD446">
        <f t="shared" si="39"/>
        <v>16</v>
      </c>
      <c r="AE446">
        <f t="shared" si="40"/>
        <v>23847.91</v>
      </c>
      <c r="AF446" t="str">
        <f t="shared" si="41"/>
        <v>Paid</v>
      </c>
    </row>
    <row r="447" spans="1:32" ht="27.75" thickBot="1" x14ac:dyDescent="0.35">
      <c r="A447" s="2" t="s">
        <v>3537</v>
      </c>
      <c r="B447" s="2" t="s">
        <v>27</v>
      </c>
      <c r="C447" s="2" t="s">
        <v>28</v>
      </c>
      <c r="D447" s="2" t="s">
        <v>97</v>
      </c>
      <c r="E447" s="2" t="s">
        <v>3247</v>
      </c>
      <c r="F447" s="2" t="s">
        <v>99</v>
      </c>
      <c r="G447" s="2" t="s">
        <v>32</v>
      </c>
      <c r="H447" s="1"/>
      <c r="I447" s="2" t="s">
        <v>33</v>
      </c>
      <c r="J447" s="2" t="s">
        <v>34</v>
      </c>
      <c r="K447" s="2" t="s">
        <v>3538</v>
      </c>
      <c r="L447" s="2" t="s">
        <v>3539</v>
      </c>
      <c r="M447" s="2" t="s">
        <v>70</v>
      </c>
      <c r="N447" s="2" t="s">
        <v>38</v>
      </c>
      <c r="O447" s="2" t="s">
        <v>63</v>
      </c>
      <c r="P447" s="2" t="s">
        <v>2711</v>
      </c>
      <c r="Q447" s="2" t="s">
        <v>3540</v>
      </c>
      <c r="R447" s="2" t="s">
        <v>40</v>
      </c>
      <c r="S447" s="2" t="s">
        <v>3541</v>
      </c>
      <c r="T447" s="2" t="s">
        <v>2755</v>
      </c>
      <c r="U447" s="2" t="s">
        <v>3542</v>
      </c>
      <c r="V447" s="2" t="s">
        <v>3543</v>
      </c>
      <c r="W447" s="1"/>
      <c r="X447" s="2" t="s">
        <v>155</v>
      </c>
      <c r="Y447" s="2" t="s">
        <v>3252</v>
      </c>
      <c r="AA447" t="str">
        <f t="shared" si="36"/>
        <v>2026-06</v>
      </c>
      <c r="AB447" t="str">
        <f t="shared" si="37"/>
        <v>H1_2026</v>
      </c>
      <c r="AC447">
        <f t="shared" si="38"/>
        <v>49556.36</v>
      </c>
      <c r="AD447">
        <f t="shared" si="39"/>
        <v>7</v>
      </c>
      <c r="AE447">
        <f t="shared" si="40"/>
        <v>9656.36</v>
      </c>
      <c r="AF447" t="str">
        <f t="shared" si="41"/>
        <v>Paid</v>
      </c>
    </row>
    <row r="448" spans="1:32" ht="27.75" thickBot="1" x14ac:dyDescent="0.35">
      <c r="A448" s="2" t="s">
        <v>3544</v>
      </c>
      <c r="B448" s="2" t="s">
        <v>27</v>
      </c>
      <c r="C448" s="2" t="s">
        <v>28</v>
      </c>
      <c r="D448" s="2" t="s">
        <v>97</v>
      </c>
      <c r="E448" s="2" t="s">
        <v>3247</v>
      </c>
      <c r="F448" s="2" t="s">
        <v>99</v>
      </c>
      <c r="G448" s="2" t="s">
        <v>32</v>
      </c>
      <c r="H448" s="1"/>
      <c r="I448" s="2" t="s">
        <v>33</v>
      </c>
      <c r="J448" s="2" t="s">
        <v>34</v>
      </c>
      <c r="K448" s="2" t="s">
        <v>2751</v>
      </c>
      <c r="L448" s="2" t="s">
        <v>2752</v>
      </c>
      <c r="M448" s="2" t="s">
        <v>70</v>
      </c>
      <c r="N448" s="2" t="s">
        <v>38</v>
      </c>
      <c r="O448" s="2" t="s">
        <v>391</v>
      </c>
      <c r="P448" s="2" t="s">
        <v>2711</v>
      </c>
      <c r="Q448" s="2" t="s">
        <v>3545</v>
      </c>
      <c r="R448" s="2" t="s">
        <v>40</v>
      </c>
      <c r="S448" s="2" t="s">
        <v>3546</v>
      </c>
      <c r="T448" s="2" t="s">
        <v>2755</v>
      </c>
      <c r="U448" s="2" t="s">
        <v>3547</v>
      </c>
      <c r="V448" s="2" t="s">
        <v>3548</v>
      </c>
      <c r="W448" s="1"/>
      <c r="X448" s="2" t="s">
        <v>155</v>
      </c>
      <c r="Y448" s="2" t="s">
        <v>3252</v>
      </c>
      <c r="AA448" t="str">
        <f t="shared" si="36"/>
        <v>2026-06</v>
      </c>
      <c r="AB448" t="str">
        <f t="shared" si="37"/>
        <v>H1_2026</v>
      </c>
      <c r="AC448">
        <f t="shared" si="38"/>
        <v>424768.8</v>
      </c>
      <c r="AD448">
        <f t="shared" si="39"/>
        <v>60</v>
      </c>
      <c r="AE448">
        <f t="shared" si="40"/>
        <v>82768.800000000003</v>
      </c>
      <c r="AF448" t="str">
        <f t="shared" si="41"/>
        <v>Paid</v>
      </c>
    </row>
    <row r="449" spans="1:32" ht="27.75" thickBot="1" x14ac:dyDescent="0.35">
      <c r="A449" s="2" t="s">
        <v>3549</v>
      </c>
      <c r="B449" s="2" t="s">
        <v>27</v>
      </c>
      <c r="C449" s="2" t="s">
        <v>28</v>
      </c>
      <c r="D449" s="2" t="s">
        <v>97</v>
      </c>
      <c r="E449" s="2" t="s">
        <v>3247</v>
      </c>
      <c r="F449" s="2" t="s">
        <v>99</v>
      </c>
      <c r="G449" s="2" t="s">
        <v>32</v>
      </c>
      <c r="H449" s="1"/>
      <c r="I449" s="2" t="s">
        <v>33</v>
      </c>
      <c r="J449" s="2" t="s">
        <v>34</v>
      </c>
      <c r="K449" s="2" t="s">
        <v>2759</v>
      </c>
      <c r="L449" s="2" t="s">
        <v>2760</v>
      </c>
      <c r="M449" s="2" t="s">
        <v>70</v>
      </c>
      <c r="N449" s="2" t="s">
        <v>38</v>
      </c>
      <c r="O449" s="2" t="s">
        <v>221</v>
      </c>
      <c r="P449" s="2" t="s">
        <v>2711</v>
      </c>
      <c r="Q449" s="2" t="s">
        <v>3550</v>
      </c>
      <c r="R449" s="2" t="s">
        <v>40</v>
      </c>
      <c r="S449" s="2" t="s">
        <v>3551</v>
      </c>
      <c r="T449" s="2" t="s">
        <v>2755</v>
      </c>
      <c r="U449" s="2" t="s">
        <v>3552</v>
      </c>
      <c r="V449" s="2" t="s">
        <v>3553</v>
      </c>
      <c r="W449" s="1"/>
      <c r="X449" s="2" t="s">
        <v>155</v>
      </c>
      <c r="Y449" s="2" t="s">
        <v>3252</v>
      </c>
      <c r="AA449" t="str">
        <f t="shared" si="36"/>
        <v>2026-06</v>
      </c>
      <c r="AB449" t="str">
        <f t="shared" si="37"/>
        <v>H1_2026</v>
      </c>
      <c r="AC449">
        <f t="shared" si="38"/>
        <v>991127.2</v>
      </c>
      <c r="AD449">
        <f t="shared" si="39"/>
        <v>140</v>
      </c>
      <c r="AE449">
        <f t="shared" si="40"/>
        <v>193127.2</v>
      </c>
      <c r="AF449" t="str">
        <f t="shared" si="41"/>
        <v>Paid</v>
      </c>
    </row>
    <row r="450" spans="1:32" ht="27.75" thickBot="1" x14ac:dyDescent="0.35">
      <c r="A450" s="2" t="s">
        <v>3554</v>
      </c>
      <c r="B450" s="2" t="s">
        <v>27</v>
      </c>
      <c r="C450" s="2" t="s">
        <v>28</v>
      </c>
      <c r="D450" s="2" t="s">
        <v>97</v>
      </c>
      <c r="E450" s="2" t="s">
        <v>3247</v>
      </c>
      <c r="F450" s="2" t="s">
        <v>99</v>
      </c>
      <c r="G450" s="2" t="s">
        <v>32</v>
      </c>
      <c r="H450" s="1"/>
      <c r="I450" s="2" t="s">
        <v>33</v>
      </c>
      <c r="J450" s="2" t="s">
        <v>34</v>
      </c>
      <c r="K450" s="2" t="s">
        <v>2766</v>
      </c>
      <c r="L450" s="2" t="s">
        <v>2767</v>
      </c>
      <c r="M450" s="2" t="s">
        <v>70</v>
      </c>
      <c r="N450" s="2" t="s">
        <v>38</v>
      </c>
      <c r="O450" s="2" t="s">
        <v>391</v>
      </c>
      <c r="P450" s="2" t="s">
        <v>2711</v>
      </c>
      <c r="Q450" s="2" t="s">
        <v>3545</v>
      </c>
      <c r="R450" s="2" t="s">
        <v>40</v>
      </c>
      <c r="S450" s="2" t="s">
        <v>3546</v>
      </c>
      <c r="T450" s="2" t="s">
        <v>2755</v>
      </c>
      <c r="U450" s="2" t="s">
        <v>3547</v>
      </c>
      <c r="V450" s="2" t="s">
        <v>3548</v>
      </c>
      <c r="W450" s="1"/>
      <c r="X450" s="2" t="s">
        <v>155</v>
      </c>
      <c r="Y450" s="2" t="s">
        <v>3252</v>
      </c>
      <c r="AA450" t="str">
        <f t="shared" si="36"/>
        <v>2026-06</v>
      </c>
      <c r="AB450" t="str">
        <f t="shared" si="37"/>
        <v>H1_2026</v>
      </c>
      <c r="AC450">
        <f t="shared" si="38"/>
        <v>424768.8</v>
      </c>
      <c r="AD450">
        <f t="shared" si="39"/>
        <v>60</v>
      </c>
      <c r="AE450">
        <f t="shared" si="40"/>
        <v>82768.800000000003</v>
      </c>
      <c r="AF450" t="str">
        <f t="shared" si="41"/>
        <v>Paid</v>
      </c>
    </row>
    <row r="451" spans="1:32" ht="17.25" thickBot="1" x14ac:dyDescent="0.35">
      <c r="A451" s="2" t="s">
        <v>3555</v>
      </c>
      <c r="B451" s="2" t="s">
        <v>27</v>
      </c>
      <c r="C451" s="2" t="s">
        <v>28</v>
      </c>
      <c r="D451" s="2" t="s">
        <v>97</v>
      </c>
      <c r="E451" s="2" t="s">
        <v>3247</v>
      </c>
      <c r="F451" s="2" t="s">
        <v>99</v>
      </c>
      <c r="G451" s="2" t="s">
        <v>32</v>
      </c>
      <c r="H451" s="1"/>
      <c r="I451" s="2" t="s">
        <v>33</v>
      </c>
      <c r="J451" s="2" t="s">
        <v>34</v>
      </c>
      <c r="K451" s="2" t="s">
        <v>2782</v>
      </c>
      <c r="L451" s="2" t="s">
        <v>2783</v>
      </c>
      <c r="M451" s="2" t="s">
        <v>70</v>
      </c>
      <c r="N451" s="2" t="s">
        <v>38</v>
      </c>
      <c r="O451" s="2" t="s">
        <v>1878</v>
      </c>
      <c r="P451" s="2" t="s">
        <v>3556</v>
      </c>
      <c r="Q451" s="2" t="s">
        <v>3557</v>
      </c>
      <c r="R451" s="2" t="s">
        <v>40</v>
      </c>
      <c r="S451" s="2" t="s">
        <v>3558</v>
      </c>
      <c r="T451" s="2" t="s">
        <v>2778</v>
      </c>
      <c r="U451" s="2" t="s">
        <v>2786</v>
      </c>
      <c r="V451" s="2" t="s">
        <v>3559</v>
      </c>
      <c r="W451" s="1"/>
      <c r="X451" s="2" t="s">
        <v>3560</v>
      </c>
      <c r="Y451" s="2" t="s">
        <v>3252</v>
      </c>
      <c r="AA451" t="str">
        <f t="shared" si="36"/>
        <v>2026-06</v>
      </c>
      <c r="AB451" t="str">
        <f t="shared" si="37"/>
        <v>H1_2026</v>
      </c>
      <c r="AC451">
        <f t="shared" si="38"/>
        <v>1062668.72</v>
      </c>
      <c r="AD451">
        <f t="shared" si="39"/>
        <v>227</v>
      </c>
      <c r="AE451">
        <f t="shared" si="40"/>
        <v>220705.09</v>
      </c>
      <c r="AF451" t="str">
        <f t="shared" si="41"/>
        <v>Paid</v>
      </c>
    </row>
    <row r="452" spans="1:32" ht="17.25" thickBot="1" x14ac:dyDescent="0.35">
      <c r="A452" s="2" t="s">
        <v>610</v>
      </c>
      <c r="B452" s="2" t="s">
        <v>27</v>
      </c>
      <c r="C452" s="2" t="s">
        <v>28</v>
      </c>
      <c r="D452" s="2" t="s">
        <v>97</v>
      </c>
      <c r="E452" s="2" t="s">
        <v>3247</v>
      </c>
      <c r="F452" s="2" t="s">
        <v>99</v>
      </c>
      <c r="G452" s="2" t="s">
        <v>32</v>
      </c>
      <c r="H452" s="1"/>
      <c r="I452" s="2" t="s">
        <v>33</v>
      </c>
      <c r="J452" s="2" t="s">
        <v>34</v>
      </c>
      <c r="K452" s="2" t="s">
        <v>2789</v>
      </c>
      <c r="L452" s="2" t="s">
        <v>2790</v>
      </c>
      <c r="M452" s="2" t="s">
        <v>70</v>
      </c>
      <c r="N452" s="2" t="s">
        <v>38</v>
      </c>
      <c r="O452" s="2" t="s">
        <v>3561</v>
      </c>
      <c r="P452" s="2" t="s">
        <v>2791</v>
      </c>
      <c r="Q452" s="2" t="s">
        <v>3562</v>
      </c>
      <c r="R452" s="2" t="s">
        <v>40</v>
      </c>
      <c r="S452" s="2" t="s">
        <v>3563</v>
      </c>
      <c r="T452" s="2" t="s">
        <v>2794</v>
      </c>
      <c r="U452" s="2" t="s">
        <v>3564</v>
      </c>
      <c r="V452" s="2" t="s">
        <v>3565</v>
      </c>
      <c r="W452" s="1"/>
      <c r="X452" s="2" t="s">
        <v>897</v>
      </c>
      <c r="Y452" s="2" t="s">
        <v>3252</v>
      </c>
      <c r="AA452" t="str">
        <f t="shared" ref="AA452:AA515" si="42">LEFT(E452,7)</f>
        <v>2026-06</v>
      </c>
      <c r="AB452" t="str">
        <f t="shared" ref="AB452:AB515" si="43">IF(AND($AA452&gt;="2025-01",$AA452&lt;="2025-06"),"H1_2025",IF(AND($AA452&gt;="2026-01",$AA452&lt;="2026-06"),"H1_2026",""))</f>
        <v>H1_2026</v>
      </c>
      <c r="AC452">
        <f t="shared" ref="AC452:AC515" si="44">IFERROR(VALUE(SUBSTITUTE(S452,",","")),0)</f>
        <v>5134274.4000000004</v>
      </c>
      <c r="AD452">
        <f t="shared" ref="AD452:AD515" si="45">IFERROR(VALUE(SUBSTITUTE(O452,",","")),0)</f>
        <v>590</v>
      </c>
      <c r="AE452">
        <f t="shared" ref="AE452:AE515" si="46">IFERROR(VALUE(SUBSTITUTE(V452,",","")),0)</f>
        <v>1079365.3500000001</v>
      </c>
      <c r="AF452" t="str">
        <f t="shared" ref="AF452:AF515" si="47">IF(ISNUMBER(SEARCH("FOC",W452)),"FOC",IF(ISNUMBER(SEARCH("샘플",W452)),"Sample","Paid"))</f>
        <v>Paid</v>
      </c>
    </row>
    <row r="453" spans="1:32" ht="27.75" thickBot="1" x14ac:dyDescent="0.35">
      <c r="A453" s="2" t="s">
        <v>3566</v>
      </c>
      <c r="B453" s="2" t="s">
        <v>27</v>
      </c>
      <c r="C453" s="2" t="s">
        <v>28</v>
      </c>
      <c r="D453" s="2" t="s">
        <v>97</v>
      </c>
      <c r="E453" s="2" t="s">
        <v>3247</v>
      </c>
      <c r="F453" s="2" t="s">
        <v>99</v>
      </c>
      <c r="G453" s="2" t="s">
        <v>32</v>
      </c>
      <c r="H453" s="1"/>
      <c r="I453" s="2" t="s">
        <v>33</v>
      </c>
      <c r="J453" s="2" t="s">
        <v>34</v>
      </c>
      <c r="K453" s="2" t="s">
        <v>68</v>
      </c>
      <c r="L453" s="2" t="s">
        <v>69</v>
      </c>
      <c r="M453" s="2" t="s">
        <v>70</v>
      </c>
      <c r="N453" s="2" t="s">
        <v>38</v>
      </c>
      <c r="O453" s="2" t="s">
        <v>3567</v>
      </c>
      <c r="P453" s="2" t="s">
        <v>3568</v>
      </c>
      <c r="Q453" s="2" t="s">
        <v>3569</v>
      </c>
      <c r="R453" s="2" t="s">
        <v>40</v>
      </c>
      <c r="S453" s="2" t="s">
        <v>3570</v>
      </c>
      <c r="T453" s="2" t="s">
        <v>2813</v>
      </c>
      <c r="U453" s="2" t="s">
        <v>3571</v>
      </c>
      <c r="V453" s="2" t="s">
        <v>3572</v>
      </c>
      <c r="W453" s="1"/>
      <c r="X453" s="2" t="s">
        <v>2863</v>
      </c>
      <c r="Y453" s="2" t="s">
        <v>3252</v>
      </c>
      <c r="AA453" t="str">
        <f t="shared" si="42"/>
        <v>2026-06</v>
      </c>
      <c r="AB453" t="str">
        <f t="shared" si="43"/>
        <v>H1_2026</v>
      </c>
      <c r="AC453">
        <f t="shared" si="44"/>
        <v>3597036.4</v>
      </c>
      <c r="AD453">
        <f t="shared" si="45"/>
        <v>677</v>
      </c>
      <c r="AE453">
        <f t="shared" si="46"/>
        <v>1098291.01</v>
      </c>
      <c r="AF453" t="str">
        <f t="shared" si="47"/>
        <v>Paid</v>
      </c>
    </row>
    <row r="454" spans="1:32" ht="27.75" thickBot="1" x14ac:dyDescent="0.35">
      <c r="A454" s="2" t="s">
        <v>3573</v>
      </c>
      <c r="B454" s="2" t="s">
        <v>27</v>
      </c>
      <c r="C454" s="2" t="s">
        <v>28</v>
      </c>
      <c r="D454" s="2" t="s">
        <v>97</v>
      </c>
      <c r="E454" s="2" t="s">
        <v>3247</v>
      </c>
      <c r="F454" s="2" t="s">
        <v>99</v>
      </c>
      <c r="G454" s="2" t="s">
        <v>32</v>
      </c>
      <c r="H454" s="1"/>
      <c r="I454" s="2" t="s">
        <v>33</v>
      </c>
      <c r="J454" s="2" t="s">
        <v>34</v>
      </c>
      <c r="K454" s="2" t="s">
        <v>2817</v>
      </c>
      <c r="L454" s="2" t="s">
        <v>2818</v>
      </c>
      <c r="M454" s="2" t="s">
        <v>70</v>
      </c>
      <c r="N454" s="2" t="s">
        <v>38</v>
      </c>
      <c r="O454" s="2" t="s">
        <v>391</v>
      </c>
      <c r="P454" s="2" t="s">
        <v>2810</v>
      </c>
      <c r="Q454" s="2" t="s">
        <v>3574</v>
      </c>
      <c r="R454" s="2" t="s">
        <v>40</v>
      </c>
      <c r="S454" s="2" t="s">
        <v>3575</v>
      </c>
      <c r="T454" s="2" t="s">
        <v>2822</v>
      </c>
      <c r="U454" s="2" t="s">
        <v>3576</v>
      </c>
      <c r="V454" s="2" t="s">
        <v>3577</v>
      </c>
      <c r="W454" s="1"/>
      <c r="X454" s="2" t="s">
        <v>1042</v>
      </c>
      <c r="Y454" s="2" t="s">
        <v>3252</v>
      </c>
      <c r="AA454" t="str">
        <f t="shared" si="42"/>
        <v>2026-06</v>
      </c>
      <c r="AB454" t="str">
        <f t="shared" si="43"/>
        <v>H1_2026</v>
      </c>
      <c r="AC454">
        <f t="shared" si="44"/>
        <v>321376.8</v>
      </c>
      <c r="AD454">
        <f t="shared" si="45"/>
        <v>60</v>
      </c>
      <c r="AE454">
        <f t="shared" si="46"/>
        <v>77013.17</v>
      </c>
      <c r="AF454" t="str">
        <f t="shared" si="47"/>
        <v>Paid</v>
      </c>
    </row>
    <row r="455" spans="1:32" ht="27.75" thickBot="1" x14ac:dyDescent="0.35">
      <c r="A455" s="2" t="s">
        <v>3578</v>
      </c>
      <c r="B455" s="2" t="s">
        <v>27</v>
      </c>
      <c r="C455" s="2" t="s">
        <v>28</v>
      </c>
      <c r="D455" s="2" t="s">
        <v>97</v>
      </c>
      <c r="E455" s="2" t="s">
        <v>3247</v>
      </c>
      <c r="F455" s="2" t="s">
        <v>99</v>
      </c>
      <c r="G455" s="2" t="s">
        <v>32</v>
      </c>
      <c r="H455" s="1"/>
      <c r="I455" s="2" t="s">
        <v>33</v>
      </c>
      <c r="J455" s="2" t="s">
        <v>34</v>
      </c>
      <c r="K455" s="2" t="s">
        <v>2826</v>
      </c>
      <c r="L455" s="2" t="s">
        <v>2827</v>
      </c>
      <c r="M455" s="2" t="s">
        <v>70</v>
      </c>
      <c r="N455" s="2" t="s">
        <v>38</v>
      </c>
      <c r="O455" s="2" t="s">
        <v>2828</v>
      </c>
      <c r="P455" s="2" t="s">
        <v>3579</v>
      </c>
      <c r="Q455" s="2" t="s">
        <v>3580</v>
      </c>
      <c r="R455" s="2" t="s">
        <v>40</v>
      </c>
      <c r="S455" s="2" t="s">
        <v>3581</v>
      </c>
      <c r="T455" s="2" t="s">
        <v>2832</v>
      </c>
      <c r="U455" s="2" t="s">
        <v>2833</v>
      </c>
      <c r="V455" s="2" t="s">
        <v>3582</v>
      </c>
      <c r="W455" s="1"/>
      <c r="X455" s="2" t="s">
        <v>3583</v>
      </c>
      <c r="Y455" s="2" t="s">
        <v>3252</v>
      </c>
      <c r="AA455" t="str">
        <f t="shared" si="42"/>
        <v>2026-06</v>
      </c>
      <c r="AB455" t="str">
        <f t="shared" si="43"/>
        <v>H1_2026</v>
      </c>
      <c r="AC455">
        <f t="shared" si="44"/>
        <v>3301220.4</v>
      </c>
      <c r="AD455">
        <f t="shared" si="45"/>
        <v>395</v>
      </c>
      <c r="AE455">
        <f t="shared" si="46"/>
        <v>654720.4</v>
      </c>
      <c r="AF455" t="str">
        <f t="shared" si="47"/>
        <v>Paid</v>
      </c>
    </row>
    <row r="456" spans="1:32" ht="27.75" thickBot="1" x14ac:dyDescent="0.35">
      <c r="A456" s="2" t="s">
        <v>3584</v>
      </c>
      <c r="B456" s="2" t="s">
        <v>27</v>
      </c>
      <c r="C456" s="2" t="s">
        <v>28</v>
      </c>
      <c r="D456" s="2" t="s">
        <v>97</v>
      </c>
      <c r="E456" s="2" t="s">
        <v>3247</v>
      </c>
      <c r="F456" s="2" t="s">
        <v>99</v>
      </c>
      <c r="G456" s="2" t="s">
        <v>32</v>
      </c>
      <c r="H456" s="1"/>
      <c r="I456" s="2" t="s">
        <v>33</v>
      </c>
      <c r="J456" s="2" t="s">
        <v>34</v>
      </c>
      <c r="K456" s="2" t="s">
        <v>2826</v>
      </c>
      <c r="L456" s="2" t="s">
        <v>2827</v>
      </c>
      <c r="M456" s="2" t="s">
        <v>70</v>
      </c>
      <c r="N456" s="2" t="s">
        <v>38</v>
      </c>
      <c r="O456" s="2" t="s">
        <v>96</v>
      </c>
      <c r="P456" s="2" t="s">
        <v>2829</v>
      </c>
      <c r="Q456" s="2" t="s">
        <v>3585</v>
      </c>
      <c r="R456" s="2" t="s">
        <v>40</v>
      </c>
      <c r="S456" s="2" t="s">
        <v>3586</v>
      </c>
      <c r="T456" s="2" t="s">
        <v>2832</v>
      </c>
      <c r="U456" s="2" t="s">
        <v>3587</v>
      </c>
      <c r="V456" s="2" t="s">
        <v>3588</v>
      </c>
      <c r="W456" s="1"/>
      <c r="X456" s="2" t="s">
        <v>3589</v>
      </c>
      <c r="Y456" s="2" t="s">
        <v>3252</v>
      </c>
      <c r="AA456" t="str">
        <f t="shared" si="42"/>
        <v>2026-06</v>
      </c>
      <c r="AB456" t="str">
        <f t="shared" si="43"/>
        <v>H1_2026</v>
      </c>
      <c r="AC456">
        <f t="shared" si="44"/>
        <v>117809.44</v>
      </c>
      <c r="AD456">
        <f t="shared" si="45"/>
        <v>14</v>
      </c>
      <c r="AE456">
        <f t="shared" si="46"/>
        <v>24009.439999999999</v>
      </c>
      <c r="AF456" t="str">
        <f t="shared" si="47"/>
        <v>Paid</v>
      </c>
    </row>
    <row r="457" spans="1:32" ht="17.25" thickBot="1" x14ac:dyDescent="0.35">
      <c r="A457" s="2" t="s">
        <v>3590</v>
      </c>
      <c r="B457" s="2" t="s">
        <v>27</v>
      </c>
      <c r="C457" s="2" t="s">
        <v>28</v>
      </c>
      <c r="D457" s="2" t="s">
        <v>97</v>
      </c>
      <c r="E457" s="2" t="s">
        <v>3247</v>
      </c>
      <c r="F457" s="2" t="s">
        <v>99</v>
      </c>
      <c r="G457" s="2" t="s">
        <v>32</v>
      </c>
      <c r="H457" s="1"/>
      <c r="I457" s="2" t="s">
        <v>33</v>
      </c>
      <c r="J457" s="2" t="s">
        <v>34</v>
      </c>
      <c r="K457" s="2" t="s">
        <v>3591</v>
      </c>
      <c r="L457" s="2" t="s">
        <v>3592</v>
      </c>
      <c r="M457" s="2" t="s">
        <v>70</v>
      </c>
      <c r="N457" s="2" t="s">
        <v>38</v>
      </c>
      <c r="O457" s="2" t="s">
        <v>76</v>
      </c>
      <c r="P457" s="2" t="s">
        <v>3593</v>
      </c>
      <c r="Q457" s="2" t="s">
        <v>3594</v>
      </c>
      <c r="R457" s="2" t="s">
        <v>40</v>
      </c>
      <c r="S457" s="2" t="s">
        <v>3595</v>
      </c>
      <c r="T457" s="2" t="s">
        <v>3596</v>
      </c>
      <c r="U457" s="2" t="s">
        <v>1591</v>
      </c>
      <c r="V457" s="2" t="s">
        <v>3597</v>
      </c>
      <c r="W457" s="1"/>
      <c r="X457" s="2" t="s">
        <v>651</v>
      </c>
      <c r="Y457" s="2" t="s">
        <v>3252</v>
      </c>
      <c r="AA457" t="str">
        <f t="shared" si="42"/>
        <v>2026-06</v>
      </c>
      <c r="AB457" t="str">
        <f t="shared" si="43"/>
        <v>H1_2026</v>
      </c>
      <c r="AC457">
        <f t="shared" si="44"/>
        <v>37738.080000000002</v>
      </c>
      <c r="AD457">
        <f t="shared" si="45"/>
        <v>9</v>
      </c>
      <c r="AE457">
        <f t="shared" si="46"/>
        <v>11556.26</v>
      </c>
      <c r="AF457" t="str">
        <f t="shared" si="47"/>
        <v>Paid</v>
      </c>
    </row>
    <row r="458" spans="1:32" ht="27.75" thickBot="1" x14ac:dyDescent="0.35">
      <c r="A458" s="2" t="s">
        <v>3598</v>
      </c>
      <c r="B458" s="2" t="s">
        <v>27</v>
      </c>
      <c r="C458" s="2" t="s">
        <v>28</v>
      </c>
      <c r="D458" s="2" t="s">
        <v>97</v>
      </c>
      <c r="E458" s="2" t="s">
        <v>3247</v>
      </c>
      <c r="F458" s="2" t="s">
        <v>99</v>
      </c>
      <c r="G458" s="2" t="s">
        <v>32</v>
      </c>
      <c r="H458" s="1"/>
      <c r="I458" s="2" t="s">
        <v>33</v>
      </c>
      <c r="J458" s="2" t="s">
        <v>34</v>
      </c>
      <c r="K458" s="2" t="s">
        <v>2845</v>
      </c>
      <c r="L458" s="2" t="s">
        <v>2846</v>
      </c>
      <c r="M458" s="2" t="s">
        <v>70</v>
      </c>
      <c r="N458" s="2" t="s">
        <v>38</v>
      </c>
      <c r="O458" s="2" t="s">
        <v>1158</v>
      </c>
      <c r="P458" s="2" t="s">
        <v>2848</v>
      </c>
      <c r="Q458" s="2" t="s">
        <v>3599</v>
      </c>
      <c r="R458" s="2" t="s">
        <v>40</v>
      </c>
      <c r="S458" s="2" t="s">
        <v>3600</v>
      </c>
      <c r="T458" s="2" t="s">
        <v>2851</v>
      </c>
      <c r="U458" s="2" t="s">
        <v>3601</v>
      </c>
      <c r="V458" s="2" t="s">
        <v>3602</v>
      </c>
      <c r="W458" s="1"/>
      <c r="X458" s="2" t="s">
        <v>1042</v>
      </c>
      <c r="Y458" s="2" t="s">
        <v>3252</v>
      </c>
      <c r="AA458" t="str">
        <f t="shared" si="42"/>
        <v>2026-06</v>
      </c>
      <c r="AB458" t="str">
        <f t="shared" si="43"/>
        <v>H1_2026</v>
      </c>
      <c r="AC458">
        <f t="shared" si="44"/>
        <v>1377698.4</v>
      </c>
      <c r="AD458">
        <f t="shared" si="45"/>
        <v>180</v>
      </c>
      <c r="AE458">
        <f t="shared" si="46"/>
        <v>330425.68</v>
      </c>
      <c r="AF458" t="str">
        <f t="shared" si="47"/>
        <v>Paid</v>
      </c>
    </row>
    <row r="459" spans="1:32" ht="17.25" thickBot="1" x14ac:dyDescent="0.35">
      <c r="A459" s="2" t="s">
        <v>3603</v>
      </c>
      <c r="B459" s="2" t="s">
        <v>27</v>
      </c>
      <c r="C459" s="2" t="s">
        <v>28</v>
      </c>
      <c r="D459" s="2" t="s">
        <v>97</v>
      </c>
      <c r="E459" s="2" t="s">
        <v>3247</v>
      </c>
      <c r="F459" s="2" t="s">
        <v>99</v>
      </c>
      <c r="G459" s="2" t="s">
        <v>32</v>
      </c>
      <c r="H459" s="1"/>
      <c r="I459" s="2" t="s">
        <v>33</v>
      </c>
      <c r="J459" s="2" t="s">
        <v>34</v>
      </c>
      <c r="K459" s="2" t="s">
        <v>2855</v>
      </c>
      <c r="L459" s="2" t="s">
        <v>2856</v>
      </c>
      <c r="M459" s="2" t="s">
        <v>70</v>
      </c>
      <c r="N459" s="2" t="s">
        <v>38</v>
      </c>
      <c r="O459" s="2" t="s">
        <v>156</v>
      </c>
      <c r="P459" s="2" t="s">
        <v>2857</v>
      </c>
      <c r="Q459" s="2" t="s">
        <v>2858</v>
      </c>
      <c r="R459" s="2" t="s">
        <v>40</v>
      </c>
      <c r="S459" s="2" t="s">
        <v>3604</v>
      </c>
      <c r="T459" s="2" t="s">
        <v>2860</v>
      </c>
      <c r="U459" s="2" t="s">
        <v>2861</v>
      </c>
      <c r="V459" s="2" t="s">
        <v>3605</v>
      </c>
      <c r="W459" s="1"/>
      <c r="X459" s="2" t="s">
        <v>1171</v>
      </c>
      <c r="Y459" s="2" t="s">
        <v>3252</v>
      </c>
      <c r="AA459" t="str">
        <f t="shared" si="42"/>
        <v>2026-06</v>
      </c>
      <c r="AB459" t="str">
        <f t="shared" si="43"/>
        <v>H1_2026</v>
      </c>
      <c r="AC459">
        <f t="shared" si="44"/>
        <v>232632</v>
      </c>
      <c r="AD459">
        <f t="shared" si="45"/>
        <v>20</v>
      </c>
      <c r="AE459">
        <f t="shared" si="46"/>
        <v>71912</v>
      </c>
      <c r="AF459" t="str">
        <f t="shared" si="47"/>
        <v>Paid</v>
      </c>
    </row>
    <row r="460" spans="1:32" ht="27.75" thickBot="1" x14ac:dyDescent="0.35">
      <c r="A460" s="2" t="s">
        <v>3606</v>
      </c>
      <c r="B460" s="2" t="s">
        <v>27</v>
      </c>
      <c r="C460" s="2" t="s">
        <v>28</v>
      </c>
      <c r="D460" s="2" t="s">
        <v>97</v>
      </c>
      <c r="E460" s="2" t="s">
        <v>3247</v>
      </c>
      <c r="F460" s="2" t="s">
        <v>99</v>
      </c>
      <c r="G460" s="2" t="s">
        <v>32</v>
      </c>
      <c r="H460" s="1"/>
      <c r="I460" s="2" t="s">
        <v>33</v>
      </c>
      <c r="J460" s="2" t="s">
        <v>34</v>
      </c>
      <c r="K460" s="2" t="s">
        <v>2880</v>
      </c>
      <c r="L460" s="2" t="s">
        <v>2881</v>
      </c>
      <c r="M460" s="2" t="s">
        <v>70</v>
      </c>
      <c r="N460" s="2" t="s">
        <v>38</v>
      </c>
      <c r="O460" s="2" t="s">
        <v>156</v>
      </c>
      <c r="P460" s="2" t="s">
        <v>2417</v>
      </c>
      <c r="Q460" s="2" t="s">
        <v>2418</v>
      </c>
      <c r="R460" s="2" t="s">
        <v>40</v>
      </c>
      <c r="S460" s="2" t="s">
        <v>3607</v>
      </c>
      <c r="T460" s="2" t="s">
        <v>2884</v>
      </c>
      <c r="U460" s="2" t="s">
        <v>3608</v>
      </c>
      <c r="V460" s="2" t="s">
        <v>3609</v>
      </c>
      <c r="W460" s="1"/>
      <c r="X460" s="2" t="s">
        <v>3610</v>
      </c>
      <c r="Y460" s="2" t="s">
        <v>3252</v>
      </c>
      <c r="AA460" t="str">
        <f t="shared" si="42"/>
        <v>2026-06</v>
      </c>
      <c r="AB460" t="str">
        <f t="shared" si="43"/>
        <v>H1_2026</v>
      </c>
      <c r="AC460">
        <f t="shared" si="44"/>
        <v>161119.20000000001</v>
      </c>
      <c r="AD460">
        <f t="shared" si="45"/>
        <v>20</v>
      </c>
      <c r="AE460">
        <f t="shared" si="46"/>
        <v>37482.839999999997</v>
      </c>
      <c r="AF460" t="str">
        <f t="shared" si="47"/>
        <v>Paid</v>
      </c>
    </row>
    <row r="461" spans="1:32" ht="17.25" thickBot="1" x14ac:dyDescent="0.35">
      <c r="A461" s="2" t="s">
        <v>3611</v>
      </c>
      <c r="B461" s="2" t="s">
        <v>27</v>
      </c>
      <c r="C461" s="2" t="s">
        <v>28</v>
      </c>
      <c r="D461" s="2" t="s">
        <v>97</v>
      </c>
      <c r="E461" s="2" t="s">
        <v>3247</v>
      </c>
      <c r="F461" s="2" t="s">
        <v>99</v>
      </c>
      <c r="G461" s="2" t="s">
        <v>32</v>
      </c>
      <c r="H461" s="1"/>
      <c r="I461" s="2" t="s">
        <v>33</v>
      </c>
      <c r="J461" s="2" t="s">
        <v>34</v>
      </c>
      <c r="K461" s="2" t="s">
        <v>2887</v>
      </c>
      <c r="L461" s="2" t="s">
        <v>2888</v>
      </c>
      <c r="M461" s="2" t="s">
        <v>70</v>
      </c>
      <c r="N461" s="2" t="s">
        <v>38</v>
      </c>
      <c r="O461" s="2" t="s">
        <v>185</v>
      </c>
      <c r="P461" s="2" t="s">
        <v>3612</v>
      </c>
      <c r="Q461" s="2" t="s">
        <v>3613</v>
      </c>
      <c r="R461" s="2" t="s">
        <v>40</v>
      </c>
      <c r="S461" s="2" t="s">
        <v>3614</v>
      </c>
      <c r="T461" s="2" t="s">
        <v>2891</v>
      </c>
      <c r="U461" s="2" t="s">
        <v>2892</v>
      </c>
      <c r="V461" s="2" t="s">
        <v>3615</v>
      </c>
      <c r="W461" s="1"/>
      <c r="X461" s="2" t="s">
        <v>2894</v>
      </c>
      <c r="Y461" s="2" t="s">
        <v>3252</v>
      </c>
      <c r="AA461" t="str">
        <f t="shared" si="42"/>
        <v>2026-06</v>
      </c>
      <c r="AB461" t="str">
        <f t="shared" si="43"/>
        <v>H1_2026</v>
      </c>
      <c r="AC461">
        <f t="shared" si="44"/>
        <v>248370.56</v>
      </c>
      <c r="AD461">
        <f t="shared" si="45"/>
        <v>23</v>
      </c>
      <c r="AE461">
        <f t="shared" si="46"/>
        <v>75249.56</v>
      </c>
      <c r="AF461" t="str">
        <f t="shared" si="47"/>
        <v>Paid</v>
      </c>
    </row>
    <row r="462" spans="1:32" ht="17.25" thickBot="1" x14ac:dyDescent="0.35">
      <c r="A462" s="2" t="s">
        <v>928</v>
      </c>
      <c r="B462" s="2" t="s">
        <v>27</v>
      </c>
      <c r="C462" s="2" t="s">
        <v>28</v>
      </c>
      <c r="D462" s="2" t="s">
        <v>97</v>
      </c>
      <c r="E462" s="2" t="s">
        <v>3247</v>
      </c>
      <c r="F462" s="2" t="s">
        <v>99</v>
      </c>
      <c r="G462" s="2" t="s">
        <v>32</v>
      </c>
      <c r="H462" s="1"/>
      <c r="I462" s="2" t="s">
        <v>33</v>
      </c>
      <c r="J462" s="2" t="s">
        <v>34</v>
      </c>
      <c r="K462" s="2" t="s">
        <v>2914</v>
      </c>
      <c r="L462" s="2" t="s">
        <v>2915</v>
      </c>
      <c r="M462" s="2" t="s">
        <v>70</v>
      </c>
      <c r="N462" s="2" t="s">
        <v>38</v>
      </c>
      <c r="O462" s="2" t="s">
        <v>92</v>
      </c>
      <c r="P462" s="2" t="s">
        <v>2916</v>
      </c>
      <c r="Q462" s="2" t="s">
        <v>3616</v>
      </c>
      <c r="R462" s="2" t="s">
        <v>40</v>
      </c>
      <c r="S462" s="2" t="s">
        <v>3617</v>
      </c>
      <c r="T462" s="2" t="s">
        <v>2919</v>
      </c>
      <c r="U462" s="2" t="s">
        <v>3618</v>
      </c>
      <c r="V462" s="2" t="s">
        <v>3619</v>
      </c>
      <c r="W462" s="1"/>
      <c r="X462" s="2" t="s">
        <v>3620</v>
      </c>
      <c r="Y462" s="2" t="s">
        <v>3252</v>
      </c>
      <c r="AA462" t="str">
        <f t="shared" si="42"/>
        <v>2026-06</v>
      </c>
      <c r="AB462" t="str">
        <f t="shared" si="43"/>
        <v>H1_2026</v>
      </c>
      <c r="AC462">
        <f t="shared" si="44"/>
        <v>109954.52</v>
      </c>
      <c r="AD462">
        <f t="shared" si="45"/>
        <v>13</v>
      </c>
      <c r="AE462">
        <f t="shared" si="46"/>
        <v>33839.519999999997</v>
      </c>
      <c r="AF462" t="str">
        <f t="shared" si="47"/>
        <v>Paid</v>
      </c>
    </row>
    <row r="463" spans="1:32" ht="17.25" thickBot="1" x14ac:dyDescent="0.35">
      <c r="A463" s="2" t="s">
        <v>3621</v>
      </c>
      <c r="B463" s="2" t="s">
        <v>27</v>
      </c>
      <c r="C463" s="2" t="s">
        <v>28</v>
      </c>
      <c r="D463" s="2" t="s">
        <v>97</v>
      </c>
      <c r="E463" s="2" t="s">
        <v>3247</v>
      </c>
      <c r="F463" s="2" t="s">
        <v>99</v>
      </c>
      <c r="G463" s="2" t="s">
        <v>32</v>
      </c>
      <c r="H463" s="1"/>
      <c r="I463" s="2" t="s">
        <v>33</v>
      </c>
      <c r="J463" s="2" t="s">
        <v>34</v>
      </c>
      <c r="K463" s="2" t="s">
        <v>2914</v>
      </c>
      <c r="L463" s="2" t="s">
        <v>2915</v>
      </c>
      <c r="M463" s="2" t="s">
        <v>70</v>
      </c>
      <c r="N463" s="2" t="s">
        <v>38</v>
      </c>
      <c r="O463" s="2" t="s">
        <v>323</v>
      </c>
      <c r="P463" s="2" t="s">
        <v>3622</v>
      </c>
      <c r="Q463" s="2" t="s">
        <v>3623</v>
      </c>
      <c r="R463" s="2" t="s">
        <v>40</v>
      </c>
      <c r="S463" s="2" t="s">
        <v>3624</v>
      </c>
      <c r="T463" s="2" t="s">
        <v>2919</v>
      </c>
      <c r="U463" s="2" t="s">
        <v>2920</v>
      </c>
      <c r="V463" s="2" t="s">
        <v>3625</v>
      </c>
      <c r="W463" s="1"/>
      <c r="X463" s="2" t="s">
        <v>2894</v>
      </c>
      <c r="Y463" s="2" t="s">
        <v>3252</v>
      </c>
      <c r="AA463" t="str">
        <f t="shared" si="42"/>
        <v>2026-06</v>
      </c>
      <c r="AB463" t="str">
        <f t="shared" si="43"/>
        <v>H1_2026</v>
      </c>
      <c r="AC463">
        <f t="shared" si="44"/>
        <v>327623.40000000002</v>
      </c>
      <c r="AD463">
        <f t="shared" si="45"/>
        <v>39</v>
      </c>
      <c r="AE463">
        <f t="shared" si="46"/>
        <v>99278.399999999994</v>
      </c>
      <c r="AF463" t="str">
        <f t="shared" si="47"/>
        <v>Paid</v>
      </c>
    </row>
    <row r="464" spans="1:32" ht="17.25" thickBot="1" x14ac:dyDescent="0.35">
      <c r="A464" s="2" t="s">
        <v>3626</v>
      </c>
      <c r="B464" s="2" t="s">
        <v>27</v>
      </c>
      <c r="C464" s="2" t="s">
        <v>28</v>
      </c>
      <c r="D464" s="2" t="s">
        <v>97</v>
      </c>
      <c r="E464" s="2" t="s">
        <v>3247</v>
      </c>
      <c r="F464" s="2" t="s">
        <v>99</v>
      </c>
      <c r="G464" s="2" t="s">
        <v>32</v>
      </c>
      <c r="H464" s="1"/>
      <c r="I464" s="2" t="s">
        <v>33</v>
      </c>
      <c r="J464" s="2" t="s">
        <v>34</v>
      </c>
      <c r="K464" s="2" t="s">
        <v>3627</v>
      </c>
      <c r="L464" s="2" t="s">
        <v>3628</v>
      </c>
      <c r="M464" s="2" t="s">
        <v>3629</v>
      </c>
      <c r="N464" s="2" t="s">
        <v>38</v>
      </c>
      <c r="O464" s="2" t="s">
        <v>156</v>
      </c>
      <c r="P464" s="2" t="s">
        <v>3630</v>
      </c>
      <c r="Q464" s="2" t="s">
        <v>3631</v>
      </c>
      <c r="R464" s="2" t="s">
        <v>40</v>
      </c>
      <c r="S464" s="2" t="s">
        <v>3632</v>
      </c>
      <c r="T464" s="2" t="s">
        <v>3633</v>
      </c>
      <c r="U464" s="2" t="s">
        <v>3634</v>
      </c>
      <c r="V464" s="2" t="s">
        <v>3635</v>
      </c>
      <c r="W464" s="1"/>
      <c r="X464" s="2" t="s">
        <v>3636</v>
      </c>
      <c r="Y464" s="2" t="s">
        <v>3252</v>
      </c>
      <c r="AA464" t="str">
        <f t="shared" si="42"/>
        <v>2026-06</v>
      </c>
      <c r="AB464" t="str">
        <f t="shared" si="43"/>
        <v>H1_2026</v>
      </c>
      <c r="AC464">
        <f t="shared" si="44"/>
        <v>230334.4</v>
      </c>
      <c r="AD464">
        <f t="shared" si="45"/>
        <v>20</v>
      </c>
      <c r="AE464">
        <f t="shared" si="46"/>
        <v>30116.22</v>
      </c>
      <c r="AF464" t="str">
        <f t="shared" si="47"/>
        <v>Paid</v>
      </c>
    </row>
    <row r="465" spans="1:32" ht="17.25" thickBot="1" x14ac:dyDescent="0.35">
      <c r="A465" s="2" t="s">
        <v>3637</v>
      </c>
      <c r="B465" s="2" t="s">
        <v>27</v>
      </c>
      <c r="C465" s="2" t="s">
        <v>28</v>
      </c>
      <c r="D465" s="2" t="s">
        <v>97</v>
      </c>
      <c r="E465" s="2" t="s">
        <v>3247</v>
      </c>
      <c r="F465" s="2" t="s">
        <v>99</v>
      </c>
      <c r="G465" s="2" t="s">
        <v>32</v>
      </c>
      <c r="H465" s="1"/>
      <c r="I465" s="2" t="s">
        <v>33</v>
      </c>
      <c r="J465" s="2" t="s">
        <v>34</v>
      </c>
      <c r="K465" s="2" t="s">
        <v>2941</v>
      </c>
      <c r="L465" s="2" t="s">
        <v>2942</v>
      </c>
      <c r="M465" s="2" t="s">
        <v>2933</v>
      </c>
      <c r="N465" s="2" t="s">
        <v>38</v>
      </c>
      <c r="O465" s="2" t="s">
        <v>214</v>
      </c>
      <c r="P465" s="2" t="s">
        <v>2943</v>
      </c>
      <c r="Q465" s="2" t="s">
        <v>3638</v>
      </c>
      <c r="R465" s="2" t="s">
        <v>40</v>
      </c>
      <c r="S465" s="2" t="s">
        <v>3639</v>
      </c>
      <c r="T465" s="2" t="s">
        <v>2946</v>
      </c>
      <c r="U465" s="2" t="s">
        <v>3640</v>
      </c>
      <c r="V465" s="2" t="s">
        <v>3641</v>
      </c>
      <c r="W465" s="1"/>
      <c r="X465" s="2" t="s">
        <v>886</v>
      </c>
      <c r="Y465" s="2" t="s">
        <v>3252</v>
      </c>
      <c r="AA465" t="str">
        <f t="shared" si="42"/>
        <v>2026-06</v>
      </c>
      <c r="AB465" t="str">
        <f t="shared" si="43"/>
        <v>H1_2026</v>
      </c>
      <c r="AC465">
        <f t="shared" si="44"/>
        <v>297970</v>
      </c>
      <c r="AD465">
        <f t="shared" si="45"/>
        <v>50</v>
      </c>
      <c r="AE465">
        <f t="shared" si="46"/>
        <v>79788.19</v>
      </c>
      <c r="AF465" t="str">
        <f t="shared" si="47"/>
        <v>Paid</v>
      </c>
    </row>
    <row r="466" spans="1:32" ht="17.25" thickBot="1" x14ac:dyDescent="0.35">
      <c r="A466" s="2" t="s">
        <v>3642</v>
      </c>
      <c r="B466" s="2" t="s">
        <v>27</v>
      </c>
      <c r="C466" s="2" t="s">
        <v>28</v>
      </c>
      <c r="D466" s="2" t="s">
        <v>97</v>
      </c>
      <c r="E466" s="2" t="s">
        <v>3247</v>
      </c>
      <c r="F466" s="2" t="s">
        <v>99</v>
      </c>
      <c r="G466" s="2" t="s">
        <v>32</v>
      </c>
      <c r="H466" s="1"/>
      <c r="I466" s="2" t="s">
        <v>33</v>
      </c>
      <c r="J466" s="2" t="s">
        <v>34</v>
      </c>
      <c r="K466" s="2" t="s">
        <v>2950</v>
      </c>
      <c r="L466" s="2" t="s">
        <v>2951</v>
      </c>
      <c r="M466" s="2" t="s">
        <v>2933</v>
      </c>
      <c r="N466" s="2" t="s">
        <v>38</v>
      </c>
      <c r="O466" s="2" t="s">
        <v>391</v>
      </c>
      <c r="P466" s="2" t="s">
        <v>2952</v>
      </c>
      <c r="Q466" s="2" t="s">
        <v>3643</v>
      </c>
      <c r="R466" s="2" t="s">
        <v>40</v>
      </c>
      <c r="S466" s="2" t="s">
        <v>3644</v>
      </c>
      <c r="T466" s="2" t="s">
        <v>2955</v>
      </c>
      <c r="U466" s="2" t="s">
        <v>3645</v>
      </c>
      <c r="V466" s="2" t="s">
        <v>3646</v>
      </c>
      <c r="W466" s="1"/>
      <c r="X466" s="2" t="s">
        <v>955</v>
      </c>
      <c r="Y466" s="2" t="s">
        <v>3252</v>
      </c>
      <c r="AA466" t="str">
        <f t="shared" si="42"/>
        <v>2026-06</v>
      </c>
      <c r="AB466" t="str">
        <f t="shared" si="43"/>
        <v>H1_2026</v>
      </c>
      <c r="AC466">
        <f t="shared" si="44"/>
        <v>759931.2</v>
      </c>
      <c r="AD466">
        <f t="shared" si="45"/>
        <v>60</v>
      </c>
      <c r="AE466">
        <f t="shared" si="46"/>
        <v>178531.20000000001</v>
      </c>
      <c r="AF466" t="str">
        <f t="shared" si="47"/>
        <v>Paid</v>
      </c>
    </row>
    <row r="467" spans="1:32" ht="17.25" thickBot="1" x14ac:dyDescent="0.35">
      <c r="A467" s="2" t="s">
        <v>3647</v>
      </c>
      <c r="B467" s="2" t="s">
        <v>27</v>
      </c>
      <c r="C467" s="2" t="s">
        <v>28</v>
      </c>
      <c r="D467" s="2" t="s">
        <v>97</v>
      </c>
      <c r="E467" s="2" t="s">
        <v>3247</v>
      </c>
      <c r="F467" s="2" t="s">
        <v>99</v>
      </c>
      <c r="G467" s="2" t="s">
        <v>32</v>
      </c>
      <c r="H467" s="1"/>
      <c r="I467" s="2" t="s">
        <v>33</v>
      </c>
      <c r="J467" s="2" t="s">
        <v>34</v>
      </c>
      <c r="K467" s="2" t="s">
        <v>2960</v>
      </c>
      <c r="L467" s="2" t="s">
        <v>2961</v>
      </c>
      <c r="M467" s="2" t="s">
        <v>2933</v>
      </c>
      <c r="N467" s="2" t="s">
        <v>38</v>
      </c>
      <c r="O467" s="2" t="s">
        <v>85</v>
      </c>
      <c r="P467" s="2" t="s">
        <v>2962</v>
      </c>
      <c r="Q467" s="2" t="s">
        <v>3648</v>
      </c>
      <c r="R467" s="2" t="s">
        <v>40</v>
      </c>
      <c r="S467" s="2" t="s">
        <v>3649</v>
      </c>
      <c r="T467" s="2" t="s">
        <v>2965</v>
      </c>
      <c r="U467" s="2" t="s">
        <v>3650</v>
      </c>
      <c r="V467" s="2" t="s">
        <v>3651</v>
      </c>
      <c r="W467" s="1"/>
      <c r="X467" s="2" t="s">
        <v>955</v>
      </c>
      <c r="Y467" s="2" t="s">
        <v>3252</v>
      </c>
      <c r="AA467" t="str">
        <f t="shared" si="42"/>
        <v>2026-06</v>
      </c>
      <c r="AB467" t="str">
        <f t="shared" si="43"/>
        <v>H1_2026</v>
      </c>
      <c r="AC467">
        <f t="shared" si="44"/>
        <v>187656.48</v>
      </c>
      <c r="AD467">
        <f t="shared" si="45"/>
        <v>12</v>
      </c>
      <c r="AE467">
        <f t="shared" si="46"/>
        <v>44016.480000000003</v>
      </c>
      <c r="AF467" t="str">
        <f t="shared" si="47"/>
        <v>Paid</v>
      </c>
    </row>
    <row r="468" spans="1:32" ht="17.25" thickBot="1" x14ac:dyDescent="0.35">
      <c r="A468" s="2" t="s">
        <v>3652</v>
      </c>
      <c r="B468" s="2" t="s">
        <v>27</v>
      </c>
      <c r="C468" s="2" t="s">
        <v>28</v>
      </c>
      <c r="D468" s="2" t="s">
        <v>97</v>
      </c>
      <c r="E468" s="2" t="s">
        <v>3247</v>
      </c>
      <c r="F468" s="2" t="s">
        <v>99</v>
      </c>
      <c r="G468" s="2" t="s">
        <v>32</v>
      </c>
      <c r="H468" s="1"/>
      <c r="I468" s="2" t="s">
        <v>33</v>
      </c>
      <c r="J468" s="2" t="s">
        <v>34</v>
      </c>
      <c r="K468" s="2" t="s">
        <v>2969</v>
      </c>
      <c r="L468" s="2" t="s">
        <v>2970</v>
      </c>
      <c r="M468" s="2" t="s">
        <v>2933</v>
      </c>
      <c r="N468" s="2" t="s">
        <v>38</v>
      </c>
      <c r="O468" s="2" t="s">
        <v>79</v>
      </c>
      <c r="P468" s="2" t="s">
        <v>484</v>
      </c>
      <c r="Q468" s="2" t="s">
        <v>3505</v>
      </c>
      <c r="R468" s="2" t="s">
        <v>40</v>
      </c>
      <c r="S468" s="2" t="s">
        <v>3506</v>
      </c>
      <c r="T468" s="2" t="s">
        <v>2973</v>
      </c>
      <c r="U468" s="2" t="s">
        <v>3653</v>
      </c>
      <c r="V468" s="2" t="s">
        <v>3654</v>
      </c>
      <c r="W468" s="1"/>
      <c r="X468" s="2" t="s">
        <v>3655</v>
      </c>
      <c r="Y468" s="2" t="s">
        <v>3252</v>
      </c>
      <c r="AA468" t="str">
        <f t="shared" si="42"/>
        <v>2026-06</v>
      </c>
      <c r="AB468" t="str">
        <f t="shared" si="43"/>
        <v>H1_2026</v>
      </c>
      <c r="AC468">
        <f t="shared" si="44"/>
        <v>134122.4</v>
      </c>
      <c r="AD468">
        <f t="shared" si="45"/>
        <v>10</v>
      </c>
      <c r="AE468">
        <f t="shared" si="46"/>
        <v>9752.4</v>
      </c>
      <c r="AF468" t="str">
        <f t="shared" si="47"/>
        <v>Paid</v>
      </c>
    </row>
    <row r="469" spans="1:32" ht="17.25" thickBot="1" x14ac:dyDescent="0.35">
      <c r="A469" s="2" t="s">
        <v>3656</v>
      </c>
      <c r="B469" s="2" t="s">
        <v>27</v>
      </c>
      <c r="C469" s="2" t="s">
        <v>28</v>
      </c>
      <c r="D469" s="2" t="s">
        <v>97</v>
      </c>
      <c r="E469" s="2" t="s">
        <v>3247</v>
      </c>
      <c r="F469" s="2" t="s">
        <v>99</v>
      </c>
      <c r="G469" s="2" t="s">
        <v>32</v>
      </c>
      <c r="H469" s="1"/>
      <c r="I469" s="2" t="s">
        <v>33</v>
      </c>
      <c r="J469" s="2" t="s">
        <v>34</v>
      </c>
      <c r="K469" s="2" t="s">
        <v>2978</v>
      </c>
      <c r="L469" s="2" t="s">
        <v>2979</v>
      </c>
      <c r="M469" s="2" t="s">
        <v>2933</v>
      </c>
      <c r="N469" s="2" t="s">
        <v>38</v>
      </c>
      <c r="O469" s="2" t="s">
        <v>141</v>
      </c>
      <c r="P469" s="2" t="s">
        <v>2980</v>
      </c>
      <c r="Q469" s="2" t="s">
        <v>3657</v>
      </c>
      <c r="R469" s="2" t="s">
        <v>40</v>
      </c>
      <c r="S469" s="2" t="s">
        <v>3658</v>
      </c>
      <c r="T469" s="2" t="s">
        <v>2983</v>
      </c>
      <c r="U469" s="2" t="s">
        <v>3659</v>
      </c>
      <c r="V469" s="2" t="s">
        <v>3660</v>
      </c>
      <c r="W469" s="1"/>
      <c r="X469" s="2" t="s">
        <v>3661</v>
      </c>
      <c r="Y469" s="2" t="s">
        <v>3252</v>
      </c>
      <c r="AA469" t="str">
        <f t="shared" si="42"/>
        <v>2026-06</v>
      </c>
      <c r="AB469" t="str">
        <f t="shared" si="43"/>
        <v>H1_2026</v>
      </c>
      <c r="AC469">
        <f t="shared" si="44"/>
        <v>424338</v>
      </c>
      <c r="AD469">
        <f t="shared" si="45"/>
        <v>30</v>
      </c>
      <c r="AE469">
        <f t="shared" si="46"/>
        <v>113428.91</v>
      </c>
      <c r="AF469" t="str">
        <f t="shared" si="47"/>
        <v>Paid</v>
      </c>
    </row>
    <row r="470" spans="1:32" ht="17.25" thickBot="1" x14ac:dyDescent="0.35">
      <c r="A470" s="2" t="s">
        <v>3662</v>
      </c>
      <c r="B470" s="2" t="s">
        <v>27</v>
      </c>
      <c r="C470" s="2" t="s">
        <v>28</v>
      </c>
      <c r="D470" s="2" t="s">
        <v>97</v>
      </c>
      <c r="E470" s="2" t="s">
        <v>3247</v>
      </c>
      <c r="F470" s="2" t="s">
        <v>99</v>
      </c>
      <c r="G470" s="2" t="s">
        <v>32</v>
      </c>
      <c r="H470" s="1"/>
      <c r="I470" s="2" t="s">
        <v>33</v>
      </c>
      <c r="J470" s="2" t="s">
        <v>34</v>
      </c>
      <c r="K470" s="2" t="s">
        <v>2987</v>
      </c>
      <c r="L470" s="2" t="s">
        <v>2988</v>
      </c>
      <c r="M470" s="2" t="s">
        <v>2933</v>
      </c>
      <c r="N470" s="2" t="s">
        <v>38</v>
      </c>
      <c r="O470" s="2" t="s">
        <v>227</v>
      </c>
      <c r="P470" s="2" t="s">
        <v>3663</v>
      </c>
      <c r="Q470" s="2" t="s">
        <v>3664</v>
      </c>
      <c r="R470" s="2" t="s">
        <v>40</v>
      </c>
      <c r="S470" s="2" t="s">
        <v>3665</v>
      </c>
      <c r="T470" s="2" t="s">
        <v>2992</v>
      </c>
      <c r="U470" s="2" t="s">
        <v>2993</v>
      </c>
      <c r="V470" s="2" t="s">
        <v>3666</v>
      </c>
      <c r="W470" s="1"/>
      <c r="X470" s="2" t="s">
        <v>2958</v>
      </c>
      <c r="Y470" s="2" t="s">
        <v>3252</v>
      </c>
      <c r="AA470" t="str">
        <f t="shared" si="42"/>
        <v>2026-06</v>
      </c>
      <c r="AB470" t="str">
        <f t="shared" si="43"/>
        <v>H1_2026</v>
      </c>
      <c r="AC470">
        <f t="shared" si="44"/>
        <v>331716</v>
      </c>
      <c r="AD470">
        <f t="shared" si="45"/>
        <v>28</v>
      </c>
      <c r="AE470">
        <f t="shared" si="46"/>
        <v>76356</v>
      </c>
      <c r="AF470" t="str">
        <f t="shared" si="47"/>
        <v>Paid</v>
      </c>
    </row>
    <row r="471" spans="1:32" ht="17.25" thickBot="1" x14ac:dyDescent="0.35">
      <c r="A471" s="2" t="s">
        <v>3667</v>
      </c>
      <c r="B471" s="2" t="s">
        <v>27</v>
      </c>
      <c r="C471" s="2" t="s">
        <v>28</v>
      </c>
      <c r="D471" s="2" t="s">
        <v>97</v>
      </c>
      <c r="E471" s="2" t="s">
        <v>3247</v>
      </c>
      <c r="F471" s="2" t="s">
        <v>99</v>
      </c>
      <c r="G471" s="2" t="s">
        <v>32</v>
      </c>
      <c r="H471" s="1"/>
      <c r="I471" s="2" t="s">
        <v>33</v>
      </c>
      <c r="J471" s="2" t="s">
        <v>34</v>
      </c>
      <c r="K471" s="2" t="s">
        <v>2995</v>
      </c>
      <c r="L471" s="2" t="s">
        <v>2996</v>
      </c>
      <c r="M471" s="2" t="s">
        <v>2933</v>
      </c>
      <c r="N471" s="2" t="s">
        <v>38</v>
      </c>
      <c r="O471" s="2" t="s">
        <v>174</v>
      </c>
      <c r="P471" s="2" t="s">
        <v>3668</v>
      </c>
      <c r="Q471" s="2" t="s">
        <v>3669</v>
      </c>
      <c r="R471" s="2" t="s">
        <v>40</v>
      </c>
      <c r="S471" s="2" t="s">
        <v>3670</v>
      </c>
      <c r="T471" s="2" t="s">
        <v>814</v>
      </c>
      <c r="U471" s="2" t="s">
        <v>2999</v>
      </c>
      <c r="V471" s="2" t="s">
        <v>3671</v>
      </c>
      <c r="W471" s="1"/>
      <c r="X471" s="2" t="s">
        <v>2958</v>
      </c>
      <c r="Y471" s="2" t="s">
        <v>3252</v>
      </c>
      <c r="AA471" t="str">
        <f t="shared" si="42"/>
        <v>2026-06</v>
      </c>
      <c r="AB471" t="str">
        <f t="shared" si="43"/>
        <v>H1_2026</v>
      </c>
      <c r="AC471">
        <f t="shared" si="44"/>
        <v>293173.76000000001</v>
      </c>
      <c r="AD471">
        <f t="shared" si="45"/>
        <v>22</v>
      </c>
      <c r="AE471">
        <f t="shared" si="46"/>
        <v>67453.759999999995</v>
      </c>
      <c r="AF471" t="str">
        <f t="shared" si="47"/>
        <v>Paid</v>
      </c>
    </row>
    <row r="472" spans="1:32" ht="17.25" thickBot="1" x14ac:dyDescent="0.35">
      <c r="A472" s="2" t="s">
        <v>920</v>
      </c>
      <c r="B472" s="2" t="s">
        <v>27</v>
      </c>
      <c r="C472" s="2" t="s">
        <v>28</v>
      </c>
      <c r="D472" s="2" t="s">
        <v>97</v>
      </c>
      <c r="E472" s="2" t="s">
        <v>3247</v>
      </c>
      <c r="F472" s="2" t="s">
        <v>99</v>
      </c>
      <c r="G472" s="2" t="s">
        <v>32</v>
      </c>
      <c r="H472" s="1"/>
      <c r="I472" s="2" t="s">
        <v>33</v>
      </c>
      <c r="J472" s="2" t="s">
        <v>34</v>
      </c>
      <c r="K472" s="2" t="s">
        <v>3010</v>
      </c>
      <c r="L472" s="2" t="s">
        <v>3011</v>
      </c>
      <c r="M472" s="2" t="s">
        <v>2933</v>
      </c>
      <c r="N472" s="2" t="s">
        <v>38</v>
      </c>
      <c r="O472" s="2" t="s">
        <v>85</v>
      </c>
      <c r="P472" s="2" t="s">
        <v>3012</v>
      </c>
      <c r="Q472" s="2" t="s">
        <v>3672</v>
      </c>
      <c r="R472" s="2" t="s">
        <v>40</v>
      </c>
      <c r="S472" s="2" t="s">
        <v>3673</v>
      </c>
      <c r="T472" s="2" t="s">
        <v>3015</v>
      </c>
      <c r="U472" s="2" t="s">
        <v>3674</v>
      </c>
      <c r="V472" s="2" t="s">
        <v>3675</v>
      </c>
      <c r="W472" s="1"/>
      <c r="X472" s="2" t="s">
        <v>955</v>
      </c>
      <c r="Y472" s="2" t="s">
        <v>3252</v>
      </c>
      <c r="AA472" t="str">
        <f t="shared" si="42"/>
        <v>2026-06</v>
      </c>
      <c r="AB472" t="str">
        <f t="shared" si="43"/>
        <v>H1_2026</v>
      </c>
      <c r="AC472">
        <f t="shared" si="44"/>
        <v>125104.32000000001</v>
      </c>
      <c r="AD472">
        <f t="shared" si="45"/>
        <v>12</v>
      </c>
      <c r="AE472">
        <f t="shared" si="46"/>
        <v>29344.32</v>
      </c>
      <c r="AF472" t="str">
        <f t="shared" si="47"/>
        <v>Paid</v>
      </c>
    </row>
    <row r="473" spans="1:32" ht="17.25" thickBot="1" x14ac:dyDescent="0.35">
      <c r="A473" s="2" t="s">
        <v>3676</v>
      </c>
      <c r="B473" s="2" t="s">
        <v>27</v>
      </c>
      <c r="C473" s="2" t="s">
        <v>28</v>
      </c>
      <c r="D473" s="2" t="s">
        <v>97</v>
      </c>
      <c r="E473" s="2" t="s">
        <v>3247</v>
      </c>
      <c r="F473" s="2" t="s">
        <v>99</v>
      </c>
      <c r="G473" s="2" t="s">
        <v>32</v>
      </c>
      <c r="H473" s="1"/>
      <c r="I473" s="2" t="s">
        <v>33</v>
      </c>
      <c r="J473" s="2" t="s">
        <v>34</v>
      </c>
      <c r="K473" s="2" t="s">
        <v>3010</v>
      </c>
      <c r="L473" s="2" t="s">
        <v>3011</v>
      </c>
      <c r="M473" s="2" t="s">
        <v>2933</v>
      </c>
      <c r="N473" s="2" t="s">
        <v>38</v>
      </c>
      <c r="O473" s="2" t="s">
        <v>214</v>
      </c>
      <c r="P473" s="2" t="s">
        <v>3677</v>
      </c>
      <c r="Q473" s="2" t="s">
        <v>3678</v>
      </c>
      <c r="R473" s="2" t="s">
        <v>40</v>
      </c>
      <c r="S473" s="2" t="s">
        <v>3679</v>
      </c>
      <c r="T473" s="2" t="s">
        <v>3015</v>
      </c>
      <c r="U473" s="2" t="s">
        <v>3016</v>
      </c>
      <c r="V473" s="2" t="s">
        <v>3680</v>
      </c>
      <c r="W473" s="1"/>
      <c r="X473" s="2" t="s">
        <v>3681</v>
      </c>
      <c r="Y473" s="2" t="s">
        <v>3252</v>
      </c>
      <c r="AA473" t="str">
        <f t="shared" si="42"/>
        <v>2026-06</v>
      </c>
      <c r="AB473" t="str">
        <f t="shared" si="43"/>
        <v>H1_2026</v>
      </c>
      <c r="AC473">
        <f t="shared" si="44"/>
        <v>517678</v>
      </c>
      <c r="AD473">
        <f t="shared" si="45"/>
        <v>50</v>
      </c>
      <c r="AE473">
        <f t="shared" si="46"/>
        <v>118678</v>
      </c>
      <c r="AF473" t="str">
        <f t="shared" si="47"/>
        <v>Paid</v>
      </c>
    </row>
    <row r="474" spans="1:32" ht="17.25" thickBot="1" x14ac:dyDescent="0.35">
      <c r="A474" s="2" t="s">
        <v>3682</v>
      </c>
      <c r="B474" s="2" t="s">
        <v>27</v>
      </c>
      <c r="C474" s="2" t="s">
        <v>28</v>
      </c>
      <c r="D474" s="2" t="s">
        <v>97</v>
      </c>
      <c r="E474" s="2" t="s">
        <v>3247</v>
      </c>
      <c r="F474" s="2" t="s">
        <v>99</v>
      </c>
      <c r="G474" s="2" t="s">
        <v>32</v>
      </c>
      <c r="H474" s="1"/>
      <c r="I474" s="2" t="s">
        <v>33</v>
      </c>
      <c r="J474" s="2" t="s">
        <v>34</v>
      </c>
      <c r="K474" s="2" t="s">
        <v>3019</v>
      </c>
      <c r="L474" s="2" t="s">
        <v>3020</v>
      </c>
      <c r="M474" s="2" t="s">
        <v>2933</v>
      </c>
      <c r="N474" s="2" t="s">
        <v>38</v>
      </c>
      <c r="O474" s="2" t="s">
        <v>156</v>
      </c>
      <c r="P474" s="2" t="s">
        <v>3012</v>
      </c>
      <c r="Q474" s="2" t="s">
        <v>3683</v>
      </c>
      <c r="R474" s="2" t="s">
        <v>40</v>
      </c>
      <c r="S474" s="2" t="s">
        <v>3684</v>
      </c>
      <c r="T474" s="2" t="s">
        <v>3023</v>
      </c>
      <c r="U474" s="2" t="s">
        <v>3685</v>
      </c>
      <c r="V474" s="2" t="s">
        <v>3686</v>
      </c>
      <c r="W474" s="1"/>
      <c r="X474" s="2" t="s">
        <v>3687</v>
      </c>
      <c r="Y474" s="2" t="s">
        <v>3252</v>
      </c>
      <c r="AA474" t="str">
        <f t="shared" si="42"/>
        <v>2026-06</v>
      </c>
      <c r="AB474" t="str">
        <f t="shared" si="43"/>
        <v>H1_2026</v>
      </c>
      <c r="AC474">
        <f t="shared" si="44"/>
        <v>208507.2</v>
      </c>
      <c r="AD474">
        <f t="shared" si="45"/>
        <v>20</v>
      </c>
      <c r="AE474">
        <f t="shared" si="46"/>
        <v>168507.2</v>
      </c>
      <c r="AF474" t="str">
        <f t="shared" si="47"/>
        <v>Paid</v>
      </c>
    </row>
    <row r="475" spans="1:32" ht="27.75" thickBot="1" x14ac:dyDescent="0.35">
      <c r="A475" s="2" t="s">
        <v>3688</v>
      </c>
      <c r="B475" s="2" t="s">
        <v>27</v>
      </c>
      <c r="C475" s="2" t="s">
        <v>28</v>
      </c>
      <c r="D475" s="2" t="s">
        <v>97</v>
      </c>
      <c r="E475" s="2" t="s">
        <v>3247</v>
      </c>
      <c r="F475" s="2" t="s">
        <v>99</v>
      </c>
      <c r="G475" s="2" t="s">
        <v>32</v>
      </c>
      <c r="H475" s="1"/>
      <c r="I475" s="2" t="s">
        <v>33</v>
      </c>
      <c r="J475" s="2" t="s">
        <v>34</v>
      </c>
      <c r="K475" s="2" t="s">
        <v>3039</v>
      </c>
      <c r="L475" s="2" t="s">
        <v>3040</v>
      </c>
      <c r="M475" s="2" t="s">
        <v>3030</v>
      </c>
      <c r="N475" s="2" t="s">
        <v>38</v>
      </c>
      <c r="O475" s="2" t="s">
        <v>60</v>
      </c>
      <c r="P475" s="2" t="s">
        <v>195</v>
      </c>
      <c r="Q475" s="2" t="s">
        <v>3689</v>
      </c>
      <c r="R475" s="2" t="s">
        <v>40</v>
      </c>
      <c r="S475" s="2" t="s">
        <v>3690</v>
      </c>
      <c r="T475" s="2" t="s">
        <v>3044</v>
      </c>
      <c r="U475" s="2" t="s">
        <v>3045</v>
      </c>
      <c r="V475" s="2" t="s">
        <v>3691</v>
      </c>
      <c r="W475" s="1"/>
      <c r="X475" s="2" t="s">
        <v>3037</v>
      </c>
      <c r="Y475" s="2" t="s">
        <v>3252</v>
      </c>
      <c r="AA475" t="str">
        <f t="shared" si="42"/>
        <v>2026-06</v>
      </c>
      <c r="AB475" t="str">
        <f t="shared" si="43"/>
        <v>H1_2026</v>
      </c>
      <c r="AC475">
        <f t="shared" si="44"/>
        <v>72202.080000000002</v>
      </c>
      <c r="AD475">
        <f t="shared" si="45"/>
        <v>6</v>
      </c>
      <c r="AE475">
        <f t="shared" si="46"/>
        <v>24856.63</v>
      </c>
      <c r="AF475" t="str">
        <f t="shared" si="47"/>
        <v>Paid</v>
      </c>
    </row>
    <row r="476" spans="1:32" ht="17.25" thickBot="1" x14ac:dyDescent="0.35">
      <c r="A476" s="2" t="s">
        <v>3692</v>
      </c>
      <c r="B476" s="2" t="s">
        <v>27</v>
      </c>
      <c r="C476" s="2" t="s">
        <v>28</v>
      </c>
      <c r="D476" s="2" t="s">
        <v>97</v>
      </c>
      <c r="E476" s="2" t="s">
        <v>3247</v>
      </c>
      <c r="F476" s="2" t="s">
        <v>99</v>
      </c>
      <c r="G476" s="2" t="s">
        <v>32</v>
      </c>
      <c r="H476" s="1"/>
      <c r="I476" s="2" t="s">
        <v>33</v>
      </c>
      <c r="J476" s="2" t="s">
        <v>34</v>
      </c>
      <c r="K476" s="2" t="s">
        <v>3049</v>
      </c>
      <c r="L476" s="2" t="s">
        <v>3050</v>
      </c>
      <c r="M476" s="2" t="s">
        <v>3051</v>
      </c>
      <c r="N476" s="2" t="s">
        <v>38</v>
      </c>
      <c r="O476" s="2" t="s">
        <v>156</v>
      </c>
      <c r="P476" s="2" t="s">
        <v>2801</v>
      </c>
      <c r="Q476" s="2" t="s">
        <v>3693</v>
      </c>
      <c r="R476" s="2" t="s">
        <v>40</v>
      </c>
      <c r="S476" s="2" t="s">
        <v>3694</v>
      </c>
      <c r="T476" s="2" t="s">
        <v>3054</v>
      </c>
      <c r="U476" s="2" t="s">
        <v>3695</v>
      </c>
      <c r="V476" s="2" t="s">
        <v>3696</v>
      </c>
      <c r="W476" s="1"/>
      <c r="X476" s="2" t="s">
        <v>886</v>
      </c>
      <c r="Y476" s="2" t="s">
        <v>3252</v>
      </c>
      <c r="AA476" t="str">
        <f t="shared" si="42"/>
        <v>2026-06</v>
      </c>
      <c r="AB476" t="str">
        <f t="shared" si="43"/>
        <v>H1_2026</v>
      </c>
      <c r="AC476">
        <f t="shared" si="44"/>
        <v>141302.39999999999</v>
      </c>
      <c r="AD476">
        <f t="shared" si="45"/>
        <v>20</v>
      </c>
      <c r="AE476">
        <f t="shared" si="46"/>
        <v>37829.67</v>
      </c>
      <c r="AF476" t="str">
        <f t="shared" si="47"/>
        <v>Paid</v>
      </c>
    </row>
    <row r="477" spans="1:32" ht="17.25" thickBot="1" x14ac:dyDescent="0.35">
      <c r="A477" s="2" t="s">
        <v>3697</v>
      </c>
      <c r="B477" s="2" t="s">
        <v>27</v>
      </c>
      <c r="C477" s="2" t="s">
        <v>28</v>
      </c>
      <c r="D477" s="2" t="s">
        <v>97</v>
      </c>
      <c r="E477" s="2" t="s">
        <v>3247</v>
      </c>
      <c r="F477" s="2" t="s">
        <v>99</v>
      </c>
      <c r="G477" s="2" t="s">
        <v>32</v>
      </c>
      <c r="H477" s="1"/>
      <c r="I477" s="2" t="s">
        <v>33</v>
      </c>
      <c r="J477" s="2" t="s">
        <v>34</v>
      </c>
      <c r="K477" s="2" t="s">
        <v>3058</v>
      </c>
      <c r="L477" s="2" t="s">
        <v>3059</v>
      </c>
      <c r="M477" s="2" t="s">
        <v>3051</v>
      </c>
      <c r="N477" s="2" t="s">
        <v>38</v>
      </c>
      <c r="O477" s="2" t="s">
        <v>156</v>
      </c>
      <c r="P477" s="2" t="s">
        <v>2801</v>
      </c>
      <c r="Q477" s="2" t="s">
        <v>3693</v>
      </c>
      <c r="R477" s="2" t="s">
        <v>40</v>
      </c>
      <c r="S477" s="2" t="s">
        <v>3694</v>
      </c>
      <c r="T477" s="2" t="s">
        <v>3054</v>
      </c>
      <c r="U477" s="2" t="s">
        <v>3695</v>
      </c>
      <c r="V477" s="2" t="s">
        <v>3696</v>
      </c>
      <c r="W477" s="1"/>
      <c r="X477" s="2" t="s">
        <v>886</v>
      </c>
      <c r="Y477" s="2" t="s">
        <v>3252</v>
      </c>
      <c r="AA477" t="str">
        <f t="shared" si="42"/>
        <v>2026-06</v>
      </c>
      <c r="AB477" t="str">
        <f t="shared" si="43"/>
        <v>H1_2026</v>
      </c>
      <c r="AC477">
        <f t="shared" si="44"/>
        <v>141302.39999999999</v>
      </c>
      <c r="AD477">
        <f t="shared" si="45"/>
        <v>20</v>
      </c>
      <c r="AE477">
        <f t="shared" si="46"/>
        <v>37829.67</v>
      </c>
      <c r="AF477" t="str">
        <f t="shared" si="47"/>
        <v>Paid</v>
      </c>
    </row>
    <row r="478" spans="1:32" ht="27.75" thickBot="1" x14ac:dyDescent="0.35">
      <c r="A478" s="2" t="s">
        <v>3698</v>
      </c>
      <c r="B478" s="2" t="s">
        <v>27</v>
      </c>
      <c r="C478" s="2" t="s">
        <v>28</v>
      </c>
      <c r="D478" s="2" t="s">
        <v>97</v>
      </c>
      <c r="E478" s="2" t="s">
        <v>3247</v>
      </c>
      <c r="F478" s="2" t="s">
        <v>99</v>
      </c>
      <c r="G478" s="2" t="s">
        <v>32</v>
      </c>
      <c r="H478" s="1"/>
      <c r="I478" s="2" t="s">
        <v>33</v>
      </c>
      <c r="J478" s="2" t="s">
        <v>34</v>
      </c>
      <c r="K478" s="2" t="s">
        <v>3075</v>
      </c>
      <c r="L478" s="2" t="s">
        <v>3076</v>
      </c>
      <c r="M478" s="2" t="s">
        <v>3067</v>
      </c>
      <c r="N478" s="2" t="s">
        <v>38</v>
      </c>
      <c r="O478" s="2" t="s">
        <v>466</v>
      </c>
      <c r="P478" s="2" t="s">
        <v>2612</v>
      </c>
      <c r="Q478" s="2" t="s">
        <v>3699</v>
      </c>
      <c r="R478" s="2" t="s">
        <v>40</v>
      </c>
      <c r="S478" s="2" t="s">
        <v>3700</v>
      </c>
      <c r="T478" s="2" t="s">
        <v>3079</v>
      </c>
      <c r="U478" s="2" t="s">
        <v>3701</v>
      </c>
      <c r="V478" s="2" t="s">
        <v>3702</v>
      </c>
      <c r="W478" s="1"/>
      <c r="X478" s="2" t="s">
        <v>2104</v>
      </c>
      <c r="Y478" s="2" t="s">
        <v>3252</v>
      </c>
      <c r="AA478" t="str">
        <f t="shared" si="42"/>
        <v>2026-06</v>
      </c>
      <c r="AB478" t="str">
        <f t="shared" si="43"/>
        <v>H1_2026</v>
      </c>
      <c r="AC478">
        <f t="shared" si="44"/>
        <v>507626</v>
      </c>
      <c r="AD478">
        <f t="shared" si="45"/>
        <v>70</v>
      </c>
      <c r="AE478">
        <f t="shared" si="46"/>
        <v>101626</v>
      </c>
      <c r="AF478" t="str">
        <f t="shared" si="47"/>
        <v>Paid</v>
      </c>
    </row>
    <row r="479" spans="1:32" ht="27.75" thickBot="1" x14ac:dyDescent="0.35">
      <c r="A479" s="2" t="s">
        <v>3703</v>
      </c>
      <c r="B479" s="2" t="s">
        <v>27</v>
      </c>
      <c r="C479" s="2" t="s">
        <v>28</v>
      </c>
      <c r="D479" s="2" t="s">
        <v>97</v>
      </c>
      <c r="E479" s="2" t="s">
        <v>3247</v>
      </c>
      <c r="F479" s="2" t="s">
        <v>99</v>
      </c>
      <c r="G479" s="2" t="s">
        <v>32</v>
      </c>
      <c r="H479" s="1"/>
      <c r="I479" s="2" t="s">
        <v>33</v>
      </c>
      <c r="J479" s="2" t="s">
        <v>34</v>
      </c>
      <c r="K479" s="2" t="s">
        <v>3091</v>
      </c>
      <c r="L479" s="2" t="s">
        <v>3092</v>
      </c>
      <c r="M479" s="2" t="s">
        <v>3067</v>
      </c>
      <c r="N479" s="2" t="s">
        <v>38</v>
      </c>
      <c r="O479" s="2" t="s">
        <v>849</v>
      </c>
      <c r="P479" s="2" t="s">
        <v>3084</v>
      </c>
      <c r="Q479" s="2" t="s">
        <v>3704</v>
      </c>
      <c r="R479" s="2" t="s">
        <v>40</v>
      </c>
      <c r="S479" s="2" t="s">
        <v>3705</v>
      </c>
      <c r="T479" s="2" t="s">
        <v>669</v>
      </c>
      <c r="U479" s="2" t="s">
        <v>3706</v>
      </c>
      <c r="V479" s="2" t="s">
        <v>3707</v>
      </c>
      <c r="W479" s="1"/>
      <c r="X479" s="2" t="s">
        <v>3583</v>
      </c>
      <c r="Y479" s="2" t="s">
        <v>3252</v>
      </c>
      <c r="AA479" t="str">
        <f t="shared" si="42"/>
        <v>2026-06</v>
      </c>
      <c r="AB479" t="str">
        <f t="shared" si="43"/>
        <v>H1_2026</v>
      </c>
      <c r="AC479">
        <f t="shared" si="44"/>
        <v>1197049.6000000001</v>
      </c>
      <c r="AD479">
        <f t="shared" si="45"/>
        <v>160</v>
      </c>
      <c r="AE479">
        <f t="shared" si="46"/>
        <v>237049.60000000001</v>
      </c>
      <c r="AF479" t="str">
        <f t="shared" si="47"/>
        <v>Paid</v>
      </c>
    </row>
    <row r="480" spans="1:32" ht="27.75" thickBot="1" x14ac:dyDescent="0.35">
      <c r="A480" s="2" t="s">
        <v>3708</v>
      </c>
      <c r="B480" s="2" t="s">
        <v>27</v>
      </c>
      <c r="C480" s="2" t="s">
        <v>28</v>
      </c>
      <c r="D480" s="2" t="s">
        <v>97</v>
      </c>
      <c r="E480" s="2" t="s">
        <v>3247</v>
      </c>
      <c r="F480" s="2" t="s">
        <v>99</v>
      </c>
      <c r="G480" s="2" t="s">
        <v>32</v>
      </c>
      <c r="H480" s="1"/>
      <c r="I480" s="2" t="s">
        <v>33</v>
      </c>
      <c r="J480" s="2" t="s">
        <v>34</v>
      </c>
      <c r="K480" s="2" t="s">
        <v>3098</v>
      </c>
      <c r="L480" s="2" t="s">
        <v>3099</v>
      </c>
      <c r="M480" s="2" t="s">
        <v>3067</v>
      </c>
      <c r="N480" s="2" t="s">
        <v>38</v>
      </c>
      <c r="O480" s="2" t="s">
        <v>213</v>
      </c>
      <c r="P480" s="2" t="s">
        <v>3709</v>
      </c>
      <c r="Q480" s="2" t="s">
        <v>3710</v>
      </c>
      <c r="R480" s="2" t="s">
        <v>40</v>
      </c>
      <c r="S480" s="2" t="s">
        <v>3711</v>
      </c>
      <c r="T480" s="2" t="s">
        <v>126</v>
      </c>
      <c r="U480" s="2" t="s">
        <v>3102</v>
      </c>
      <c r="V480" s="2" t="s">
        <v>3712</v>
      </c>
      <c r="W480" s="1"/>
      <c r="X480" s="2" t="s">
        <v>201</v>
      </c>
      <c r="Y480" s="2" t="s">
        <v>3252</v>
      </c>
      <c r="AA480" t="str">
        <f t="shared" si="42"/>
        <v>2026-06</v>
      </c>
      <c r="AB480" t="str">
        <f t="shared" si="43"/>
        <v>H1_2026</v>
      </c>
      <c r="AC480">
        <f t="shared" si="44"/>
        <v>216175.44</v>
      </c>
      <c r="AD480">
        <f t="shared" si="45"/>
        <v>26</v>
      </c>
      <c r="AE480">
        <f t="shared" si="46"/>
        <v>52375.44</v>
      </c>
      <c r="AF480" t="str">
        <f t="shared" si="47"/>
        <v>Paid</v>
      </c>
    </row>
    <row r="481" spans="1:32" ht="17.25" thickBot="1" x14ac:dyDescent="0.35">
      <c r="A481" s="2" t="s">
        <v>3713</v>
      </c>
      <c r="B481" s="2" t="s">
        <v>27</v>
      </c>
      <c r="C481" s="2" t="s">
        <v>28</v>
      </c>
      <c r="D481" s="2" t="s">
        <v>97</v>
      </c>
      <c r="E481" s="2" t="s">
        <v>3247</v>
      </c>
      <c r="F481" s="2" t="s">
        <v>99</v>
      </c>
      <c r="G481" s="2" t="s">
        <v>32</v>
      </c>
      <c r="H481" s="1"/>
      <c r="I481" s="2" t="s">
        <v>33</v>
      </c>
      <c r="J481" s="2" t="s">
        <v>34</v>
      </c>
      <c r="K481" s="2" t="s">
        <v>3122</v>
      </c>
      <c r="L481" s="2" t="s">
        <v>3123</v>
      </c>
      <c r="M481" s="2" t="s">
        <v>3116</v>
      </c>
      <c r="N481" s="2" t="s">
        <v>38</v>
      </c>
      <c r="O481" s="2" t="s">
        <v>166</v>
      </c>
      <c r="P481" s="2" t="s">
        <v>3568</v>
      </c>
      <c r="Q481" s="2" t="s">
        <v>3714</v>
      </c>
      <c r="R481" s="2" t="s">
        <v>40</v>
      </c>
      <c r="S481" s="2" t="s">
        <v>3715</v>
      </c>
      <c r="T481" s="2" t="s">
        <v>1136</v>
      </c>
      <c r="U481" s="2" t="s">
        <v>3126</v>
      </c>
      <c r="V481" s="2" t="s">
        <v>3716</v>
      </c>
      <c r="W481" s="1"/>
      <c r="X481" s="2" t="s">
        <v>897</v>
      </c>
      <c r="Y481" s="2" t="s">
        <v>3252</v>
      </c>
      <c r="AA481" t="str">
        <f t="shared" si="42"/>
        <v>2026-06</v>
      </c>
      <c r="AB481" t="str">
        <f t="shared" si="43"/>
        <v>H1_2026</v>
      </c>
      <c r="AC481">
        <f t="shared" si="44"/>
        <v>111577.2</v>
      </c>
      <c r="AD481">
        <f t="shared" si="45"/>
        <v>21</v>
      </c>
      <c r="AE481">
        <f t="shared" si="46"/>
        <v>23377.200000000001</v>
      </c>
      <c r="AF481" t="str">
        <f t="shared" si="47"/>
        <v>Paid</v>
      </c>
    </row>
    <row r="482" spans="1:32" ht="17.25" thickBot="1" x14ac:dyDescent="0.35">
      <c r="A482" s="2" t="s">
        <v>370</v>
      </c>
      <c r="B482" s="2" t="s">
        <v>27</v>
      </c>
      <c r="C482" s="2" t="s">
        <v>28</v>
      </c>
      <c r="D482" s="2" t="s">
        <v>97</v>
      </c>
      <c r="E482" s="2" t="s">
        <v>3247</v>
      </c>
      <c r="F482" s="2" t="s">
        <v>99</v>
      </c>
      <c r="G482" s="2" t="s">
        <v>32</v>
      </c>
      <c r="H482" s="1"/>
      <c r="I482" s="2" t="s">
        <v>33</v>
      </c>
      <c r="J482" s="2" t="s">
        <v>34</v>
      </c>
      <c r="K482" s="2" t="s">
        <v>1684</v>
      </c>
      <c r="L482" s="2" t="s">
        <v>1685</v>
      </c>
      <c r="M482" s="2" t="s">
        <v>1686</v>
      </c>
      <c r="N482" s="2" t="s">
        <v>38</v>
      </c>
      <c r="O482" s="2" t="s">
        <v>3717</v>
      </c>
      <c r="P482" s="2" t="s">
        <v>3718</v>
      </c>
      <c r="Q482" s="2" t="s">
        <v>3719</v>
      </c>
      <c r="R482" s="2" t="s">
        <v>40</v>
      </c>
      <c r="S482" s="2" t="s">
        <v>3720</v>
      </c>
      <c r="T482" s="2" t="s">
        <v>1690</v>
      </c>
      <c r="U482" s="2" t="s">
        <v>3721</v>
      </c>
      <c r="V482" s="2" t="s">
        <v>3722</v>
      </c>
      <c r="W482" s="1"/>
      <c r="X482" s="2" t="s">
        <v>1120</v>
      </c>
      <c r="Y482" s="2" t="s">
        <v>3252</v>
      </c>
      <c r="AA482" t="str">
        <f t="shared" si="42"/>
        <v>2026-06</v>
      </c>
      <c r="AB482" t="str">
        <f t="shared" si="43"/>
        <v>H1_2026</v>
      </c>
      <c r="AC482">
        <f t="shared" si="44"/>
        <v>4913101.68</v>
      </c>
      <c r="AD482">
        <f t="shared" si="45"/>
        <v>762</v>
      </c>
      <c r="AE482">
        <f t="shared" si="46"/>
        <v>826010.82</v>
      </c>
      <c r="AF482" t="str">
        <f t="shared" si="47"/>
        <v>Paid</v>
      </c>
    </row>
    <row r="483" spans="1:32" ht="17.25" thickBot="1" x14ac:dyDescent="0.35">
      <c r="A483" s="2" t="s">
        <v>3723</v>
      </c>
      <c r="B483" s="2" t="s">
        <v>27</v>
      </c>
      <c r="C483" s="2" t="s">
        <v>28</v>
      </c>
      <c r="D483" s="2" t="s">
        <v>97</v>
      </c>
      <c r="E483" s="2" t="s">
        <v>3247</v>
      </c>
      <c r="F483" s="2" t="s">
        <v>99</v>
      </c>
      <c r="G483" s="2" t="s">
        <v>32</v>
      </c>
      <c r="H483" s="1"/>
      <c r="I483" s="2" t="s">
        <v>33</v>
      </c>
      <c r="J483" s="2" t="s">
        <v>34</v>
      </c>
      <c r="K483" s="2" t="s">
        <v>3724</v>
      </c>
      <c r="L483" s="2" t="s">
        <v>3725</v>
      </c>
      <c r="M483" s="2" t="s">
        <v>1686</v>
      </c>
      <c r="N483" s="2" t="s">
        <v>38</v>
      </c>
      <c r="O483" s="2" t="s">
        <v>1631</v>
      </c>
      <c r="P483" s="2" t="s">
        <v>3718</v>
      </c>
      <c r="Q483" s="2" t="s">
        <v>3726</v>
      </c>
      <c r="R483" s="2" t="s">
        <v>40</v>
      </c>
      <c r="S483" s="2" t="s">
        <v>3727</v>
      </c>
      <c r="T483" s="2" t="s">
        <v>3728</v>
      </c>
      <c r="U483" s="2" t="s">
        <v>3729</v>
      </c>
      <c r="V483" s="2" t="s">
        <v>3730</v>
      </c>
      <c r="W483" s="1"/>
      <c r="X483" s="2" t="s">
        <v>1120</v>
      </c>
      <c r="Y483" s="2" t="s">
        <v>3252</v>
      </c>
      <c r="AA483" t="str">
        <f t="shared" si="42"/>
        <v>2026-06</v>
      </c>
      <c r="AB483" t="str">
        <f t="shared" si="43"/>
        <v>H1_2026</v>
      </c>
      <c r="AC483">
        <f t="shared" si="44"/>
        <v>1225051.6000000001</v>
      </c>
      <c r="AD483">
        <f t="shared" si="45"/>
        <v>190</v>
      </c>
      <c r="AE483">
        <f t="shared" si="46"/>
        <v>205891.6</v>
      </c>
      <c r="AF483" t="str">
        <f t="shared" si="47"/>
        <v>Paid</v>
      </c>
    </row>
    <row r="484" spans="1:32" ht="27.75" thickBot="1" x14ac:dyDescent="0.35">
      <c r="A484" s="2" t="s">
        <v>3731</v>
      </c>
      <c r="B484" s="2" t="s">
        <v>27</v>
      </c>
      <c r="C484" s="2" t="s">
        <v>28</v>
      </c>
      <c r="D484" s="2" t="s">
        <v>97</v>
      </c>
      <c r="E484" s="2" t="s">
        <v>3247</v>
      </c>
      <c r="F484" s="2" t="s">
        <v>99</v>
      </c>
      <c r="G484" s="2" t="s">
        <v>32</v>
      </c>
      <c r="H484" s="1"/>
      <c r="I484" s="2" t="s">
        <v>33</v>
      </c>
      <c r="J484" s="2" t="s">
        <v>34</v>
      </c>
      <c r="K484" s="2" t="s">
        <v>3732</v>
      </c>
      <c r="L484" s="2" t="s">
        <v>3733</v>
      </c>
      <c r="M484" s="2" t="s">
        <v>1686</v>
      </c>
      <c r="N484" s="2" t="s">
        <v>38</v>
      </c>
      <c r="O484" s="2" t="s">
        <v>131</v>
      </c>
      <c r="P484" s="2" t="s">
        <v>3718</v>
      </c>
      <c r="Q484" s="2" t="s">
        <v>3734</v>
      </c>
      <c r="R484" s="2" t="s">
        <v>40</v>
      </c>
      <c r="S484" s="2" t="s">
        <v>3735</v>
      </c>
      <c r="T484" s="2" t="s">
        <v>3736</v>
      </c>
      <c r="U484" s="2" t="s">
        <v>3737</v>
      </c>
      <c r="V484" s="2" t="s">
        <v>3738</v>
      </c>
      <c r="W484" s="1"/>
      <c r="X484" s="2" t="s">
        <v>3310</v>
      </c>
      <c r="Y484" s="2" t="s">
        <v>3252</v>
      </c>
      <c r="AA484" t="str">
        <f t="shared" si="42"/>
        <v>2026-06</v>
      </c>
      <c r="AB484" t="str">
        <f t="shared" si="43"/>
        <v>H1_2026</v>
      </c>
      <c r="AC484">
        <f t="shared" si="44"/>
        <v>257905.6</v>
      </c>
      <c r="AD484">
        <f t="shared" si="45"/>
        <v>40</v>
      </c>
      <c r="AE484">
        <f t="shared" si="46"/>
        <v>50632.88</v>
      </c>
      <c r="AF484" t="str">
        <f t="shared" si="47"/>
        <v>Paid</v>
      </c>
    </row>
    <row r="485" spans="1:32" ht="17.25" thickBot="1" x14ac:dyDescent="0.35">
      <c r="A485" s="2" t="s">
        <v>3739</v>
      </c>
      <c r="B485" s="2" t="s">
        <v>27</v>
      </c>
      <c r="C485" s="2" t="s">
        <v>28</v>
      </c>
      <c r="D485" s="2" t="s">
        <v>97</v>
      </c>
      <c r="E485" s="2" t="s">
        <v>3247</v>
      </c>
      <c r="F485" s="2" t="s">
        <v>99</v>
      </c>
      <c r="G485" s="2" t="s">
        <v>32</v>
      </c>
      <c r="H485" s="1"/>
      <c r="I485" s="2" t="s">
        <v>33</v>
      </c>
      <c r="J485" s="2" t="s">
        <v>34</v>
      </c>
      <c r="K485" s="2" t="s">
        <v>3740</v>
      </c>
      <c r="L485" s="2" t="s">
        <v>3741</v>
      </c>
      <c r="M485" s="2" t="s">
        <v>1686</v>
      </c>
      <c r="N485" s="2" t="s">
        <v>38</v>
      </c>
      <c r="O485" s="2" t="s">
        <v>391</v>
      </c>
      <c r="P485" s="2" t="s">
        <v>3742</v>
      </c>
      <c r="Q485" s="2" t="s">
        <v>3743</v>
      </c>
      <c r="R485" s="2" t="s">
        <v>40</v>
      </c>
      <c r="S485" s="2" t="s">
        <v>3744</v>
      </c>
      <c r="T485" s="2" t="s">
        <v>3745</v>
      </c>
      <c r="U485" s="2" t="s">
        <v>3746</v>
      </c>
      <c r="V485" s="2" t="s">
        <v>3747</v>
      </c>
      <c r="W485" s="1"/>
      <c r="X485" s="2" t="s">
        <v>3089</v>
      </c>
      <c r="Y485" s="2" t="s">
        <v>3252</v>
      </c>
      <c r="AA485" t="str">
        <f t="shared" si="42"/>
        <v>2026-06</v>
      </c>
      <c r="AB485" t="str">
        <f t="shared" si="43"/>
        <v>H1_2026</v>
      </c>
      <c r="AC485">
        <f t="shared" si="44"/>
        <v>59450.400000000001</v>
      </c>
      <c r="AD485">
        <f t="shared" si="45"/>
        <v>60</v>
      </c>
      <c r="AE485">
        <f t="shared" si="46"/>
        <v>11450.4</v>
      </c>
      <c r="AF485" t="str">
        <f t="shared" si="47"/>
        <v>Paid</v>
      </c>
    </row>
    <row r="486" spans="1:32" ht="27.75" thickBot="1" x14ac:dyDescent="0.35">
      <c r="A486" s="2" t="s">
        <v>3748</v>
      </c>
      <c r="B486" s="2" t="s">
        <v>27</v>
      </c>
      <c r="C486" s="2" t="s">
        <v>28</v>
      </c>
      <c r="D486" s="2" t="s">
        <v>97</v>
      </c>
      <c r="E486" s="2" t="s">
        <v>3247</v>
      </c>
      <c r="F486" s="2" t="s">
        <v>99</v>
      </c>
      <c r="G486" s="2" t="s">
        <v>32</v>
      </c>
      <c r="H486" s="1"/>
      <c r="I486" s="2" t="s">
        <v>33</v>
      </c>
      <c r="J486" s="2" t="s">
        <v>34</v>
      </c>
      <c r="K486" s="2" t="s">
        <v>3749</v>
      </c>
      <c r="L486" s="2" t="s">
        <v>3750</v>
      </c>
      <c r="M486" s="2" t="s">
        <v>1686</v>
      </c>
      <c r="N486" s="2" t="s">
        <v>38</v>
      </c>
      <c r="O486" s="2" t="s">
        <v>1150</v>
      </c>
      <c r="P486" s="2" t="s">
        <v>2519</v>
      </c>
      <c r="Q486" s="2" t="s">
        <v>3751</v>
      </c>
      <c r="R486" s="2" t="s">
        <v>40</v>
      </c>
      <c r="S486" s="2" t="s">
        <v>3752</v>
      </c>
      <c r="T486" s="2" t="s">
        <v>3753</v>
      </c>
      <c r="U486" s="2" t="s">
        <v>3754</v>
      </c>
      <c r="V486" s="2" t="s">
        <v>3755</v>
      </c>
      <c r="W486" s="1"/>
      <c r="X486" s="2" t="s">
        <v>3756</v>
      </c>
      <c r="Y486" s="2" t="s">
        <v>3252</v>
      </c>
      <c r="AA486" t="str">
        <f t="shared" si="42"/>
        <v>2026-06</v>
      </c>
      <c r="AB486" t="str">
        <f t="shared" si="43"/>
        <v>H1_2026</v>
      </c>
      <c r="AC486">
        <f t="shared" si="44"/>
        <v>890463.6</v>
      </c>
      <c r="AD486">
        <f t="shared" si="45"/>
        <v>130</v>
      </c>
      <c r="AE486">
        <f t="shared" si="46"/>
        <v>157783.6</v>
      </c>
      <c r="AF486" t="str">
        <f t="shared" si="47"/>
        <v>Paid</v>
      </c>
    </row>
    <row r="487" spans="1:32" ht="27.75" thickBot="1" x14ac:dyDescent="0.35">
      <c r="A487" s="2" t="s">
        <v>3757</v>
      </c>
      <c r="B487" s="2" t="s">
        <v>27</v>
      </c>
      <c r="C487" s="2" t="s">
        <v>28</v>
      </c>
      <c r="D487" s="2" t="s">
        <v>97</v>
      </c>
      <c r="E487" s="2" t="s">
        <v>3247</v>
      </c>
      <c r="F487" s="2" t="s">
        <v>99</v>
      </c>
      <c r="G487" s="2" t="s">
        <v>32</v>
      </c>
      <c r="H487" s="1"/>
      <c r="I487" s="2" t="s">
        <v>33</v>
      </c>
      <c r="J487" s="2" t="s">
        <v>34</v>
      </c>
      <c r="K487" s="2" t="s">
        <v>3758</v>
      </c>
      <c r="L487" s="2" t="s">
        <v>3759</v>
      </c>
      <c r="M487" s="2" t="s">
        <v>1686</v>
      </c>
      <c r="N487" s="2" t="s">
        <v>38</v>
      </c>
      <c r="O487" s="2" t="s">
        <v>141</v>
      </c>
      <c r="P487" s="2" t="s">
        <v>2519</v>
      </c>
      <c r="Q487" s="2" t="s">
        <v>3760</v>
      </c>
      <c r="R487" s="2" t="s">
        <v>40</v>
      </c>
      <c r="S487" s="2" t="s">
        <v>3761</v>
      </c>
      <c r="T487" s="2" t="s">
        <v>3762</v>
      </c>
      <c r="U487" s="2" t="s">
        <v>3763</v>
      </c>
      <c r="V487" s="2" t="s">
        <v>3764</v>
      </c>
      <c r="W487" s="1"/>
      <c r="X487" s="2" t="s">
        <v>3756</v>
      </c>
      <c r="Y487" s="2" t="s">
        <v>3252</v>
      </c>
      <c r="AA487" t="str">
        <f t="shared" si="42"/>
        <v>2026-06</v>
      </c>
      <c r="AB487" t="str">
        <f t="shared" si="43"/>
        <v>H1_2026</v>
      </c>
      <c r="AC487">
        <f t="shared" si="44"/>
        <v>205491.6</v>
      </c>
      <c r="AD487">
        <f t="shared" si="45"/>
        <v>30</v>
      </c>
      <c r="AE487">
        <f t="shared" si="46"/>
        <v>36400.69</v>
      </c>
      <c r="AF487" t="str">
        <f t="shared" si="47"/>
        <v>Paid</v>
      </c>
    </row>
    <row r="488" spans="1:32" ht="27.75" thickBot="1" x14ac:dyDescent="0.35">
      <c r="A488" s="2" t="s">
        <v>3765</v>
      </c>
      <c r="B488" s="2" t="s">
        <v>27</v>
      </c>
      <c r="C488" s="2" t="s">
        <v>28</v>
      </c>
      <c r="D488" s="2" t="s">
        <v>97</v>
      </c>
      <c r="E488" s="2" t="s">
        <v>3247</v>
      </c>
      <c r="F488" s="2" t="s">
        <v>99</v>
      </c>
      <c r="G488" s="2" t="s">
        <v>32</v>
      </c>
      <c r="H488" s="1"/>
      <c r="I488" s="2" t="s">
        <v>33</v>
      </c>
      <c r="J488" s="2" t="s">
        <v>34</v>
      </c>
      <c r="K488" s="2" t="s">
        <v>3766</v>
      </c>
      <c r="L488" s="2" t="s">
        <v>3767</v>
      </c>
      <c r="M488" s="2" t="s">
        <v>1686</v>
      </c>
      <c r="N488" s="2" t="s">
        <v>38</v>
      </c>
      <c r="O488" s="2" t="s">
        <v>466</v>
      </c>
      <c r="P488" s="2" t="s">
        <v>2519</v>
      </c>
      <c r="Q488" s="2" t="s">
        <v>3768</v>
      </c>
      <c r="R488" s="2" t="s">
        <v>40</v>
      </c>
      <c r="S488" s="2" t="s">
        <v>3769</v>
      </c>
      <c r="T488" s="2" t="s">
        <v>3762</v>
      </c>
      <c r="U488" s="2" t="s">
        <v>3770</v>
      </c>
      <c r="V488" s="2" t="s">
        <v>3771</v>
      </c>
      <c r="W488" s="1"/>
      <c r="X488" s="2" t="s">
        <v>3756</v>
      </c>
      <c r="Y488" s="2" t="s">
        <v>3252</v>
      </c>
      <c r="AA488" t="str">
        <f t="shared" si="42"/>
        <v>2026-06</v>
      </c>
      <c r="AB488" t="str">
        <f t="shared" si="43"/>
        <v>H1_2026</v>
      </c>
      <c r="AC488">
        <f t="shared" si="44"/>
        <v>479480.4</v>
      </c>
      <c r="AD488">
        <f t="shared" si="45"/>
        <v>70</v>
      </c>
      <c r="AE488">
        <f t="shared" si="46"/>
        <v>84934.95</v>
      </c>
      <c r="AF488" t="str">
        <f t="shared" si="47"/>
        <v>Paid</v>
      </c>
    </row>
    <row r="489" spans="1:32" ht="27.75" thickBot="1" x14ac:dyDescent="0.35">
      <c r="A489" s="2" t="s">
        <v>3772</v>
      </c>
      <c r="B489" s="2" t="s">
        <v>27</v>
      </c>
      <c r="C489" s="2" t="s">
        <v>28</v>
      </c>
      <c r="D489" s="2" t="s">
        <v>97</v>
      </c>
      <c r="E489" s="2" t="s">
        <v>3247</v>
      </c>
      <c r="F489" s="2" t="s">
        <v>99</v>
      </c>
      <c r="G489" s="2" t="s">
        <v>32</v>
      </c>
      <c r="H489" s="1"/>
      <c r="I489" s="2" t="s">
        <v>33</v>
      </c>
      <c r="J489" s="2" t="s">
        <v>34</v>
      </c>
      <c r="K489" s="2" t="s">
        <v>3773</v>
      </c>
      <c r="L489" s="2" t="s">
        <v>3774</v>
      </c>
      <c r="M489" s="2" t="s">
        <v>1686</v>
      </c>
      <c r="N489" s="2" t="s">
        <v>38</v>
      </c>
      <c r="O489" s="2" t="s">
        <v>221</v>
      </c>
      <c r="P489" s="2" t="s">
        <v>2417</v>
      </c>
      <c r="Q489" s="2" t="s">
        <v>3775</v>
      </c>
      <c r="R489" s="2" t="s">
        <v>40</v>
      </c>
      <c r="S489" s="2" t="s">
        <v>3776</v>
      </c>
      <c r="T489" s="2" t="s">
        <v>3777</v>
      </c>
      <c r="U489" s="2" t="s">
        <v>3778</v>
      </c>
      <c r="V489" s="2" t="s">
        <v>3779</v>
      </c>
      <c r="W489" s="1"/>
      <c r="X489" s="2" t="s">
        <v>3610</v>
      </c>
      <c r="Y489" s="2" t="s">
        <v>3252</v>
      </c>
      <c r="AA489" t="str">
        <f t="shared" si="42"/>
        <v>2026-06</v>
      </c>
      <c r="AB489" t="str">
        <f t="shared" si="43"/>
        <v>H1_2026</v>
      </c>
      <c r="AC489">
        <f t="shared" si="44"/>
        <v>1127834.3999999999</v>
      </c>
      <c r="AD489">
        <f t="shared" si="45"/>
        <v>140</v>
      </c>
      <c r="AE489">
        <f t="shared" si="46"/>
        <v>262354.40000000002</v>
      </c>
      <c r="AF489" t="str">
        <f t="shared" si="47"/>
        <v>Paid</v>
      </c>
    </row>
    <row r="490" spans="1:32" ht="17.25" thickBot="1" x14ac:dyDescent="0.35">
      <c r="A490" s="2" t="s">
        <v>3780</v>
      </c>
      <c r="B490" s="2" t="s">
        <v>27</v>
      </c>
      <c r="C490" s="2" t="s">
        <v>28</v>
      </c>
      <c r="D490" s="2" t="s">
        <v>97</v>
      </c>
      <c r="E490" s="2" t="s">
        <v>3247</v>
      </c>
      <c r="F490" s="2" t="s">
        <v>99</v>
      </c>
      <c r="G490" s="2" t="s">
        <v>32</v>
      </c>
      <c r="H490" s="1"/>
      <c r="I490" s="2" t="s">
        <v>33</v>
      </c>
      <c r="J490" s="2" t="s">
        <v>34</v>
      </c>
      <c r="K490" s="2" t="s">
        <v>3781</v>
      </c>
      <c r="L490" s="2" t="s">
        <v>3782</v>
      </c>
      <c r="M490" s="2" t="s">
        <v>3131</v>
      </c>
      <c r="N490" s="2" t="s">
        <v>38</v>
      </c>
      <c r="O490" s="2" t="s">
        <v>85</v>
      </c>
      <c r="P490" s="2" t="s">
        <v>3783</v>
      </c>
      <c r="Q490" s="2" t="s">
        <v>3784</v>
      </c>
      <c r="R490" s="2" t="s">
        <v>40</v>
      </c>
      <c r="S490" s="2" t="s">
        <v>3785</v>
      </c>
      <c r="T490" s="2" t="s">
        <v>3135</v>
      </c>
      <c r="U490" s="2" t="s">
        <v>3786</v>
      </c>
      <c r="V490" s="2" t="s">
        <v>3787</v>
      </c>
      <c r="W490" s="1"/>
      <c r="X490" s="2" t="s">
        <v>3788</v>
      </c>
      <c r="Y490" s="2" t="s">
        <v>3252</v>
      </c>
      <c r="AA490" t="str">
        <f t="shared" si="42"/>
        <v>2026-06</v>
      </c>
      <c r="AB490" t="str">
        <f t="shared" si="43"/>
        <v>H1_2026</v>
      </c>
      <c r="AC490">
        <f t="shared" si="44"/>
        <v>151124.64000000001</v>
      </c>
      <c r="AD490">
        <f t="shared" si="45"/>
        <v>12</v>
      </c>
      <c r="AE490">
        <f t="shared" si="46"/>
        <v>33306.46</v>
      </c>
      <c r="AF490" t="str">
        <f t="shared" si="47"/>
        <v>Paid</v>
      </c>
    </row>
    <row r="491" spans="1:32" ht="17.25" thickBot="1" x14ac:dyDescent="0.35">
      <c r="A491" s="2" t="s">
        <v>3789</v>
      </c>
      <c r="B491" s="2" t="s">
        <v>27</v>
      </c>
      <c r="C491" s="2" t="s">
        <v>28</v>
      </c>
      <c r="D491" s="2" t="s">
        <v>97</v>
      </c>
      <c r="E491" s="2" t="s">
        <v>3247</v>
      </c>
      <c r="F491" s="2" t="s">
        <v>99</v>
      </c>
      <c r="G491" s="2" t="s">
        <v>32</v>
      </c>
      <c r="H491" s="1"/>
      <c r="I491" s="2" t="s">
        <v>33</v>
      </c>
      <c r="J491" s="2" t="s">
        <v>34</v>
      </c>
      <c r="K491" s="2" t="s">
        <v>3129</v>
      </c>
      <c r="L491" s="2" t="s">
        <v>3130</v>
      </c>
      <c r="M491" s="2" t="s">
        <v>3131</v>
      </c>
      <c r="N491" s="2" t="s">
        <v>38</v>
      </c>
      <c r="O491" s="2" t="s">
        <v>92</v>
      </c>
      <c r="P491" s="2" t="s">
        <v>3783</v>
      </c>
      <c r="Q491" s="2" t="s">
        <v>3790</v>
      </c>
      <c r="R491" s="2" t="s">
        <v>40</v>
      </c>
      <c r="S491" s="2" t="s">
        <v>3791</v>
      </c>
      <c r="T491" s="2" t="s">
        <v>3135</v>
      </c>
      <c r="U491" s="2" t="s">
        <v>3136</v>
      </c>
      <c r="V491" s="2" t="s">
        <v>3792</v>
      </c>
      <c r="W491" s="1"/>
      <c r="X491" s="2" t="s">
        <v>3788</v>
      </c>
      <c r="Y491" s="2" t="s">
        <v>3252</v>
      </c>
      <c r="AA491" t="str">
        <f t="shared" si="42"/>
        <v>2026-06</v>
      </c>
      <c r="AB491" t="str">
        <f t="shared" si="43"/>
        <v>H1_2026</v>
      </c>
      <c r="AC491">
        <f t="shared" si="44"/>
        <v>163718.35999999999</v>
      </c>
      <c r="AD491">
        <f t="shared" si="45"/>
        <v>13</v>
      </c>
      <c r="AE491">
        <f t="shared" si="46"/>
        <v>36082</v>
      </c>
      <c r="AF491" t="str">
        <f t="shared" si="47"/>
        <v>Paid</v>
      </c>
    </row>
    <row r="492" spans="1:32" ht="17.25" thickBot="1" x14ac:dyDescent="0.35">
      <c r="A492" s="2" t="s">
        <v>3793</v>
      </c>
      <c r="B492" s="2" t="s">
        <v>27</v>
      </c>
      <c r="C492" s="2" t="s">
        <v>28</v>
      </c>
      <c r="D492" s="2" t="s">
        <v>97</v>
      </c>
      <c r="E492" s="2" t="s">
        <v>3247</v>
      </c>
      <c r="F492" s="2" t="s">
        <v>99</v>
      </c>
      <c r="G492" s="2" t="s">
        <v>32</v>
      </c>
      <c r="H492" s="1"/>
      <c r="I492" s="2" t="s">
        <v>33</v>
      </c>
      <c r="J492" s="2" t="s">
        <v>34</v>
      </c>
      <c r="K492" s="2" t="s">
        <v>3140</v>
      </c>
      <c r="L492" s="2" t="s">
        <v>3141</v>
      </c>
      <c r="M492" s="2" t="s">
        <v>3131</v>
      </c>
      <c r="N492" s="2" t="s">
        <v>38</v>
      </c>
      <c r="O492" s="2" t="s">
        <v>1150</v>
      </c>
      <c r="P492" s="2" t="s">
        <v>3142</v>
      </c>
      <c r="Q492" s="2" t="s">
        <v>3794</v>
      </c>
      <c r="R492" s="2" t="s">
        <v>40</v>
      </c>
      <c r="S492" s="2" t="s">
        <v>3795</v>
      </c>
      <c r="T492" s="2" t="s">
        <v>3145</v>
      </c>
      <c r="U492" s="2" t="s">
        <v>3796</v>
      </c>
      <c r="V492" s="2" t="s">
        <v>3797</v>
      </c>
      <c r="W492" s="1"/>
      <c r="X492" s="2" t="s">
        <v>3305</v>
      </c>
      <c r="Y492" s="2" t="s">
        <v>3252</v>
      </c>
      <c r="AA492" t="str">
        <f t="shared" si="42"/>
        <v>2026-06</v>
      </c>
      <c r="AB492" t="str">
        <f t="shared" si="43"/>
        <v>H1_2026</v>
      </c>
      <c r="AC492">
        <f t="shared" si="44"/>
        <v>2088949.2</v>
      </c>
      <c r="AD492">
        <f t="shared" si="45"/>
        <v>130</v>
      </c>
      <c r="AE492">
        <f t="shared" si="46"/>
        <v>472221.93</v>
      </c>
      <c r="AF492" t="str">
        <f t="shared" si="47"/>
        <v>Paid</v>
      </c>
    </row>
    <row r="493" spans="1:32" ht="17.25" thickBot="1" x14ac:dyDescent="0.35">
      <c r="A493" s="2" t="s">
        <v>3798</v>
      </c>
      <c r="B493" s="2" t="s">
        <v>27</v>
      </c>
      <c r="C493" s="2" t="s">
        <v>28</v>
      </c>
      <c r="D493" s="2" t="s">
        <v>97</v>
      </c>
      <c r="E493" s="2" t="s">
        <v>3247</v>
      </c>
      <c r="F493" s="2" t="s">
        <v>99</v>
      </c>
      <c r="G493" s="2" t="s">
        <v>32</v>
      </c>
      <c r="H493" s="1"/>
      <c r="I493" s="2" t="s">
        <v>33</v>
      </c>
      <c r="J493" s="2" t="s">
        <v>34</v>
      </c>
      <c r="K493" s="2" t="s">
        <v>3149</v>
      </c>
      <c r="L493" s="2" t="s">
        <v>3150</v>
      </c>
      <c r="M493" s="2" t="s">
        <v>3131</v>
      </c>
      <c r="N493" s="2" t="s">
        <v>38</v>
      </c>
      <c r="O493" s="2" t="s">
        <v>79</v>
      </c>
      <c r="P493" s="2" t="s">
        <v>3151</v>
      </c>
      <c r="Q493" s="2" t="s">
        <v>3799</v>
      </c>
      <c r="R493" s="2" t="s">
        <v>40</v>
      </c>
      <c r="S493" s="2" t="s">
        <v>3800</v>
      </c>
      <c r="T493" s="2" t="s">
        <v>3154</v>
      </c>
      <c r="U493" s="2" t="s">
        <v>3801</v>
      </c>
      <c r="V493" s="2" t="s">
        <v>3802</v>
      </c>
      <c r="W493" s="1"/>
      <c r="X493" s="2" t="s">
        <v>3305</v>
      </c>
      <c r="Y493" s="2" t="s">
        <v>3252</v>
      </c>
      <c r="AA493" t="str">
        <f t="shared" si="42"/>
        <v>2026-06</v>
      </c>
      <c r="AB493" t="str">
        <f t="shared" si="43"/>
        <v>H1_2026</v>
      </c>
      <c r="AC493">
        <f t="shared" si="44"/>
        <v>143743.6</v>
      </c>
      <c r="AD493">
        <f t="shared" si="45"/>
        <v>10</v>
      </c>
      <c r="AE493">
        <f t="shared" si="46"/>
        <v>32470.87</v>
      </c>
      <c r="AF493" t="str">
        <f t="shared" si="47"/>
        <v>Paid</v>
      </c>
    </row>
    <row r="494" spans="1:32" ht="17.25" thickBot="1" x14ac:dyDescent="0.35">
      <c r="A494" s="2" t="s">
        <v>3803</v>
      </c>
      <c r="B494" s="2" t="s">
        <v>27</v>
      </c>
      <c r="C494" s="2" t="s">
        <v>28</v>
      </c>
      <c r="D494" s="2" t="s">
        <v>97</v>
      </c>
      <c r="E494" s="2" t="s">
        <v>3247</v>
      </c>
      <c r="F494" s="2" t="s">
        <v>99</v>
      </c>
      <c r="G494" s="2" t="s">
        <v>32</v>
      </c>
      <c r="H494" s="1"/>
      <c r="I494" s="2" t="s">
        <v>33</v>
      </c>
      <c r="J494" s="2" t="s">
        <v>34</v>
      </c>
      <c r="K494" s="2" t="s">
        <v>3158</v>
      </c>
      <c r="L494" s="2" t="s">
        <v>3159</v>
      </c>
      <c r="M494" s="2" t="s">
        <v>3160</v>
      </c>
      <c r="N494" s="2" t="s">
        <v>38</v>
      </c>
      <c r="O494" s="2" t="s">
        <v>466</v>
      </c>
      <c r="P494" s="2" t="s">
        <v>2546</v>
      </c>
      <c r="Q494" s="2" t="s">
        <v>3804</v>
      </c>
      <c r="R494" s="2" t="s">
        <v>40</v>
      </c>
      <c r="S494" s="2" t="s">
        <v>3805</v>
      </c>
      <c r="T494" s="2" t="s">
        <v>3163</v>
      </c>
      <c r="U494" s="2" t="s">
        <v>3806</v>
      </c>
      <c r="V494" s="2" t="s">
        <v>3807</v>
      </c>
      <c r="W494" s="1"/>
      <c r="X494" s="2" t="s">
        <v>3808</v>
      </c>
      <c r="Y494" s="2" t="s">
        <v>3252</v>
      </c>
      <c r="AA494" t="str">
        <f t="shared" si="42"/>
        <v>2026-06</v>
      </c>
      <c r="AB494" t="str">
        <f t="shared" si="43"/>
        <v>H1_2026</v>
      </c>
      <c r="AC494">
        <f t="shared" si="44"/>
        <v>695598.4</v>
      </c>
      <c r="AD494">
        <f t="shared" si="45"/>
        <v>70</v>
      </c>
      <c r="AE494">
        <f t="shared" si="46"/>
        <v>345598.4</v>
      </c>
      <c r="AF494" t="str">
        <f t="shared" si="47"/>
        <v>Paid</v>
      </c>
    </row>
    <row r="495" spans="1:32" ht="17.25" thickBot="1" x14ac:dyDescent="0.35">
      <c r="A495" s="2" t="s">
        <v>3809</v>
      </c>
      <c r="B495" s="2" t="s">
        <v>27</v>
      </c>
      <c r="C495" s="2" t="s">
        <v>28</v>
      </c>
      <c r="D495" s="2" t="s">
        <v>97</v>
      </c>
      <c r="E495" s="2" t="s">
        <v>3247</v>
      </c>
      <c r="F495" s="2" t="s">
        <v>99</v>
      </c>
      <c r="G495" s="2" t="s">
        <v>32</v>
      </c>
      <c r="H495" s="1"/>
      <c r="I495" s="2" t="s">
        <v>33</v>
      </c>
      <c r="J495" s="2" t="s">
        <v>34</v>
      </c>
      <c r="K495" s="2" t="s">
        <v>3178</v>
      </c>
      <c r="L495" s="2" t="s">
        <v>3179</v>
      </c>
      <c r="M495" s="2" t="s">
        <v>3160</v>
      </c>
      <c r="N495" s="2" t="s">
        <v>38</v>
      </c>
      <c r="O495" s="2" t="s">
        <v>131</v>
      </c>
      <c r="P495" s="2" t="s">
        <v>939</v>
      </c>
      <c r="Q495" s="2" t="s">
        <v>3810</v>
      </c>
      <c r="R495" s="2" t="s">
        <v>40</v>
      </c>
      <c r="S495" s="2" t="s">
        <v>3811</v>
      </c>
      <c r="T495" s="2" t="s">
        <v>2884</v>
      </c>
      <c r="U495" s="2" t="s">
        <v>3812</v>
      </c>
      <c r="V495" s="2" t="s">
        <v>3813</v>
      </c>
      <c r="W495" s="1"/>
      <c r="X495" s="2" t="s">
        <v>3814</v>
      </c>
      <c r="Y495" s="2" t="s">
        <v>3252</v>
      </c>
      <c r="AA495" t="str">
        <f t="shared" si="42"/>
        <v>2026-06</v>
      </c>
      <c r="AB495" t="str">
        <f t="shared" si="43"/>
        <v>H1_2026</v>
      </c>
      <c r="AC495">
        <f t="shared" si="44"/>
        <v>477326.4</v>
      </c>
      <c r="AD495">
        <f t="shared" si="45"/>
        <v>40</v>
      </c>
      <c r="AE495">
        <f t="shared" si="46"/>
        <v>230053.68</v>
      </c>
      <c r="AF495" t="str">
        <f t="shared" si="47"/>
        <v>Paid</v>
      </c>
    </row>
    <row r="496" spans="1:32" ht="17.25" thickBot="1" x14ac:dyDescent="0.35">
      <c r="A496" s="2" t="s">
        <v>3815</v>
      </c>
      <c r="B496" s="2" t="s">
        <v>27</v>
      </c>
      <c r="C496" s="2" t="s">
        <v>28</v>
      </c>
      <c r="D496" s="2" t="s">
        <v>97</v>
      </c>
      <c r="E496" s="2" t="s">
        <v>3247</v>
      </c>
      <c r="F496" s="2" t="s">
        <v>99</v>
      </c>
      <c r="G496" s="2" t="s">
        <v>32</v>
      </c>
      <c r="H496" s="1"/>
      <c r="I496" s="2" t="s">
        <v>33</v>
      </c>
      <c r="J496" s="2" t="s">
        <v>34</v>
      </c>
      <c r="K496" s="2" t="s">
        <v>3186</v>
      </c>
      <c r="L496" s="2" t="s">
        <v>3187</v>
      </c>
      <c r="M496" s="2" t="s">
        <v>3160</v>
      </c>
      <c r="N496" s="2" t="s">
        <v>38</v>
      </c>
      <c r="O496" s="2" t="s">
        <v>214</v>
      </c>
      <c r="P496" s="2" t="s">
        <v>3188</v>
      </c>
      <c r="Q496" s="2" t="s">
        <v>1860</v>
      </c>
      <c r="R496" s="2" t="s">
        <v>40</v>
      </c>
      <c r="S496" s="2" t="s">
        <v>1861</v>
      </c>
      <c r="T496" s="2" t="s">
        <v>3191</v>
      </c>
      <c r="U496" s="2" t="s">
        <v>3816</v>
      </c>
      <c r="V496" s="2" t="s">
        <v>3817</v>
      </c>
      <c r="W496" s="1"/>
      <c r="X496" s="2" t="s">
        <v>3818</v>
      </c>
      <c r="Y496" s="2" t="s">
        <v>3252</v>
      </c>
      <c r="AA496" t="str">
        <f t="shared" si="42"/>
        <v>2026-06</v>
      </c>
      <c r="AB496" t="str">
        <f t="shared" si="43"/>
        <v>H1_2026</v>
      </c>
      <c r="AC496">
        <f t="shared" si="44"/>
        <v>870216</v>
      </c>
      <c r="AD496">
        <f t="shared" si="45"/>
        <v>50</v>
      </c>
      <c r="AE496">
        <f t="shared" si="46"/>
        <v>415670.55</v>
      </c>
      <c r="AF496" t="str">
        <f t="shared" si="47"/>
        <v>Paid</v>
      </c>
    </row>
    <row r="497" spans="1:32" ht="17.25" thickBot="1" x14ac:dyDescent="0.35">
      <c r="A497" s="2" t="s">
        <v>3819</v>
      </c>
      <c r="B497" s="2" t="s">
        <v>27</v>
      </c>
      <c r="C497" s="2" t="s">
        <v>28</v>
      </c>
      <c r="D497" s="2" t="s">
        <v>97</v>
      </c>
      <c r="E497" s="2" t="s">
        <v>3247</v>
      </c>
      <c r="F497" s="2" t="s">
        <v>99</v>
      </c>
      <c r="G497" s="2" t="s">
        <v>32</v>
      </c>
      <c r="H497" s="1"/>
      <c r="I497" s="2" t="s">
        <v>33</v>
      </c>
      <c r="J497" s="2" t="s">
        <v>34</v>
      </c>
      <c r="K497" s="2" t="s">
        <v>3196</v>
      </c>
      <c r="L497" s="2" t="s">
        <v>3197</v>
      </c>
      <c r="M497" s="2" t="s">
        <v>3198</v>
      </c>
      <c r="N497" s="2" t="s">
        <v>38</v>
      </c>
      <c r="O497" s="2" t="s">
        <v>214</v>
      </c>
      <c r="P497" s="2" t="s">
        <v>3199</v>
      </c>
      <c r="Q497" s="2" t="s">
        <v>3820</v>
      </c>
      <c r="R497" s="2" t="s">
        <v>40</v>
      </c>
      <c r="S497" s="2" t="s">
        <v>3821</v>
      </c>
      <c r="T497" s="2" t="s">
        <v>3202</v>
      </c>
      <c r="U497" s="2" t="s">
        <v>3822</v>
      </c>
      <c r="V497" s="2" t="s">
        <v>3823</v>
      </c>
      <c r="W497" s="1"/>
      <c r="X497" s="2" t="s">
        <v>3824</v>
      </c>
      <c r="Y497" s="2" t="s">
        <v>3252</v>
      </c>
      <c r="AA497" t="str">
        <f t="shared" si="42"/>
        <v>2026-06</v>
      </c>
      <c r="AB497" t="str">
        <f t="shared" si="43"/>
        <v>H1_2026</v>
      </c>
      <c r="AC497">
        <f t="shared" si="44"/>
        <v>461674</v>
      </c>
      <c r="AD497">
        <f t="shared" si="45"/>
        <v>50</v>
      </c>
      <c r="AE497">
        <f t="shared" si="46"/>
        <v>70174</v>
      </c>
      <c r="AF497" t="str">
        <f t="shared" si="47"/>
        <v>Paid</v>
      </c>
    </row>
    <row r="498" spans="1:32" ht="17.25" thickBot="1" x14ac:dyDescent="0.35">
      <c r="A498" s="2" t="s">
        <v>3825</v>
      </c>
      <c r="B498" s="2" t="s">
        <v>27</v>
      </c>
      <c r="C498" s="2" t="s">
        <v>28</v>
      </c>
      <c r="D498" s="2" t="s">
        <v>97</v>
      </c>
      <c r="E498" s="2" t="s">
        <v>3826</v>
      </c>
      <c r="F498" s="2" t="s">
        <v>99</v>
      </c>
      <c r="G498" s="2" t="s">
        <v>32</v>
      </c>
      <c r="H498" s="1"/>
      <c r="I498" s="2" t="s">
        <v>33</v>
      </c>
      <c r="J498" s="2" t="s">
        <v>34</v>
      </c>
      <c r="K498" s="2" t="s">
        <v>1922</v>
      </c>
      <c r="L498" s="2" t="s">
        <v>1923</v>
      </c>
      <c r="M498" s="2" t="s">
        <v>1887</v>
      </c>
      <c r="N498" s="2" t="s">
        <v>38</v>
      </c>
      <c r="O498" s="2" t="s">
        <v>228</v>
      </c>
      <c r="P498" s="2" t="s">
        <v>646</v>
      </c>
      <c r="Q498" s="2" t="s">
        <v>3827</v>
      </c>
      <c r="R498" s="2" t="s">
        <v>40</v>
      </c>
      <c r="S498" s="2" t="s">
        <v>3828</v>
      </c>
      <c r="T498" s="2" t="s">
        <v>1927</v>
      </c>
      <c r="U498" s="2" t="s">
        <v>3829</v>
      </c>
      <c r="V498" s="2" t="s">
        <v>3830</v>
      </c>
      <c r="W498" s="1"/>
      <c r="X498" s="2" t="s">
        <v>1893</v>
      </c>
      <c r="Y498" s="2" t="s">
        <v>3831</v>
      </c>
      <c r="AA498" t="str">
        <f t="shared" si="42"/>
        <v>2026-05</v>
      </c>
      <c r="AB498" t="str">
        <f t="shared" si="43"/>
        <v>H1_2026</v>
      </c>
      <c r="AC498">
        <f t="shared" si="44"/>
        <v>13305705</v>
      </c>
      <c r="AD498">
        <f t="shared" si="45"/>
        <v>1400</v>
      </c>
      <c r="AE498">
        <f t="shared" si="46"/>
        <v>3463705</v>
      </c>
      <c r="AF498" t="str">
        <f t="shared" si="47"/>
        <v>Paid</v>
      </c>
    </row>
    <row r="499" spans="1:32" ht="27.75" thickBot="1" x14ac:dyDescent="0.35">
      <c r="A499" s="2" t="s">
        <v>3832</v>
      </c>
      <c r="B499" s="2" t="s">
        <v>27</v>
      </c>
      <c r="C499" s="2" t="s">
        <v>28</v>
      </c>
      <c r="D499" s="2" t="s">
        <v>97</v>
      </c>
      <c r="E499" s="2" t="s">
        <v>3826</v>
      </c>
      <c r="F499" s="2" t="s">
        <v>99</v>
      </c>
      <c r="G499" s="2" t="s">
        <v>32</v>
      </c>
      <c r="H499" s="1"/>
      <c r="I499" s="2" t="s">
        <v>33</v>
      </c>
      <c r="J499" s="2" t="s">
        <v>34</v>
      </c>
      <c r="K499" s="2" t="s">
        <v>1940</v>
      </c>
      <c r="L499" s="2" t="s">
        <v>1941</v>
      </c>
      <c r="M499" s="2" t="s">
        <v>1887</v>
      </c>
      <c r="N499" s="2" t="s">
        <v>38</v>
      </c>
      <c r="O499" s="2" t="s">
        <v>206</v>
      </c>
      <c r="P499" s="2" t="s">
        <v>1344</v>
      </c>
      <c r="Q499" s="2" t="s">
        <v>3833</v>
      </c>
      <c r="R499" s="2" t="s">
        <v>40</v>
      </c>
      <c r="S499" s="2" t="s">
        <v>3834</v>
      </c>
      <c r="T499" s="2" t="s">
        <v>1945</v>
      </c>
      <c r="U499" s="2" t="s">
        <v>2052</v>
      </c>
      <c r="V499" s="2" t="s">
        <v>3835</v>
      </c>
      <c r="W499" s="1"/>
      <c r="X499" s="2" t="s">
        <v>1893</v>
      </c>
      <c r="Y499" s="2" t="s">
        <v>3831</v>
      </c>
      <c r="AA499" t="str">
        <f t="shared" si="42"/>
        <v>2026-05</v>
      </c>
      <c r="AB499" t="str">
        <f t="shared" si="43"/>
        <v>H1_2026</v>
      </c>
      <c r="AC499">
        <f t="shared" si="44"/>
        <v>4199475</v>
      </c>
      <c r="AD499">
        <f t="shared" si="45"/>
        <v>500</v>
      </c>
      <c r="AE499">
        <f t="shared" si="46"/>
        <v>1091475</v>
      </c>
      <c r="AF499" t="str">
        <f t="shared" si="47"/>
        <v>Paid</v>
      </c>
    </row>
    <row r="500" spans="1:32" ht="27.75" thickBot="1" x14ac:dyDescent="0.35">
      <c r="A500" s="2" t="s">
        <v>3836</v>
      </c>
      <c r="B500" s="2" t="s">
        <v>27</v>
      </c>
      <c r="C500" s="2" t="s">
        <v>28</v>
      </c>
      <c r="D500" s="2" t="s">
        <v>97</v>
      </c>
      <c r="E500" s="2" t="s">
        <v>3826</v>
      </c>
      <c r="F500" s="2" t="s">
        <v>99</v>
      </c>
      <c r="G500" s="2" t="s">
        <v>32</v>
      </c>
      <c r="H500" s="1"/>
      <c r="I500" s="2" t="s">
        <v>33</v>
      </c>
      <c r="J500" s="2" t="s">
        <v>34</v>
      </c>
      <c r="K500" s="2" t="s">
        <v>1949</v>
      </c>
      <c r="L500" s="2" t="s">
        <v>1950</v>
      </c>
      <c r="M500" s="2" t="s">
        <v>1887</v>
      </c>
      <c r="N500" s="2" t="s">
        <v>38</v>
      </c>
      <c r="O500" s="2" t="s">
        <v>3068</v>
      </c>
      <c r="P500" s="2" t="s">
        <v>1952</v>
      </c>
      <c r="Q500" s="2" t="s">
        <v>3837</v>
      </c>
      <c r="R500" s="2" t="s">
        <v>40</v>
      </c>
      <c r="S500" s="2" t="s">
        <v>3838</v>
      </c>
      <c r="T500" s="2" t="s">
        <v>1955</v>
      </c>
      <c r="U500" s="2" t="s">
        <v>3839</v>
      </c>
      <c r="V500" s="2" t="s">
        <v>3840</v>
      </c>
      <c r="W500" s="1"/>
      <c r="X500" s="2" t="s">
        <v>806</v>
      </c>
      <c r="Y500" s="2" t="s">
        <v>3831</v>
      </c>
      <c r="AA500" t="str">
        <f t="shared" si="42"/>
        <v>2026-05</v>
      </c>
      <c r="AB500" t="str">
        <f t="shared" si="43"/>
        <v>H1_2026</v>
      </c>
      <c r="AC500">
        <f t="shared" si="44"/>
        <v>8344430.5</v>
      </c>
      <c r="AD500">
        <f t="shared" si="45"/>
        <v>700</v>
      </c>
      <c r="AE500">
        <f t="shared" si="46"/>
        <v>2128430.5</v>
      </c>
      <c r="AF500" t="str">
        <f t="shared" si="47"/>
        <v>Paid</v>
      </c>
    </row>
    <row r="501" spans="1:32" ht="17.25" thickBot="1" x14ac:dyDescent="0.35">
      <c r="A501" s="2" t="s">
        <v>3841</v>
      </c>
      <c r="B501" s="2" t="s">
        <v>27</v>
      </c>
      <c r="C501" s="2" t="s">
        <v>28</v>
      </c>
      <c r="D501" s="2" t="s">
        <v>97</v>
      </c>
      <c r="E501" s="2" t="s">
        <v>3826</v>
      </c>
      <c r="F501" s="2" t="s">
        <v>99</v>
      </c>
      <c r="G501" s="2" t="s">
        <v>32</v>
      </c>
      <c r="H501" s="1"/>
      <c r="I501" s="2" t="s">
        <v>33</v>
      </c>
      <c r="J501" s="2" t="s">
        <v>34</v>
      </c>
      <c r="K501" s="2" t="s">
        <v>1986</v>
      </c>
      <c r="L501" s="2" t="s">
        <v>1987</v>
      </c>
      <c r="M501" s="2" t="s">
        <v>1887</v>
      </c>
      <c r="N501" s="2" t="s">
        <v>38</v>
      </c>
      <c r="O501" s="2" t="s">
        <v>149</v>
      </c>
      <c r="P501" s="2" t="s">
        <v>1498</v>
      </c>
      <c r="Q501" s="2" t="s">
        <v>3842</v>
      </c>
      <c r="R501" s="2" t="s">
        <v>40</v>
      </c>
      <c r="S501" s="2" t="s">
        <v>3843</v>
      </c>
      <c r="T501" s="2" t="s">
        <v>1991</v>
      </c>
      <c r="U501" s="2" t="s">
        <v>3844</v>
      </c>
      <c r="V501" s="2" t="s">
        <v>3845</v>
      </c>
      <c r="W501" s="1"/>
      <c r="X501" s="2" t="s">
        <v>1893</v>
      </c>
      <c r="Y501" s="2" t="s">
        <v>3831</v>
      </c>
      <c r="AA501" t="str">
        <f t="shared" si="42"/>
        <v>2026-05</v>
      </c>
      <c r="AB501" t="str">
        <f t="shared" si="43"/>
        <v>H1_2026</v>
      </c>
      <c r="AC501">
        <f t="shared" si="44"/>
        <v>2776074</v>
      </c>
      <c r="AD501">
        <f t="shared" si="45"/>
        <v>300</v>
      </c>
      <c r="AE501">
        <f t="shared" si="46"/>
        <v>722574</v>
      </c>
      <c r="AF501" t="str">
        <f t="shared" si="47"/>
        <v>Paid</v>
      </c>
    </row>
    <row r="502" spans="1:32" ht="17.25" thickBot="1" x14ac:dyDescent="0.35">
      <c r="A502" s="2" t="s">
        <v>206</v>
      </c>
      <c r="B502" s="2" t="s">
        <v>27</v>
      </c>
      <c r="C502" s="2" t="s">
        <v>28</v>
      </c>
      <c r="D502" s="2" t="s">
        <v>97</v>
      </c>
      <c r="E502" s="2" t="s">
        <v>3826</v>
      </c>
      <c r="F502" s="2" t="s">
        <v>99</v>
      </c>
      <c r="G502" s="2" t="s">
        <v>32</v>
      </c>
      <c r="H502" s="1"/>
      <c r="I502" s="2" t="s">
        <v>33</v>
      </c>
      <c r="J502" s="2" t="s">
        <v>34</v>
      </c>
      <c r="K502" s="2" t="s">
        <v>2037</v>
      </c>
      <c r="L502" s="2" t="s">
        <v>2038</v>
      </c>
      <c r="M502" s="2" t="s">
        <v>1887</v>
      </c>
      <c r="N502" s="2" t="s">
        <v>38</v>
      </c>
      <c r="O502" s="2" t="s">
        <v>206</v>
      </c>
      <c r="P502" s="2" t="s">
        <v>2039</v>
      </c>
      <c r="Q502" s="2" t="s">
        <v>3846</v>
      </c>
      <c r="R502" s="2" t="s">
        <v>40</v>
      </c>
      <c r="S502" s="2" t="s">
        <v>3847</v>
      </c>
      <c r="T502" s="2" t="s">
        <v>2042</v>
      </c>
      <c r="U502" s="2" t="s">
        <v>3848</v>
      </c>
      <c r="V502" s="2" t="s">
        <v>3849</v>
      </c>
      <c r="W502" s="1"/>
      <c r="X502" s="2" t="s">
        <v>1073</v>
      </c>
      <c r="Y502" s="2" t="s">
        <v>3831</v>
      </c>
      <c r="AA502" t="str">
        <f t="shared" si="42"/>
        <v>2026-05</v>
      </c>
      <c r="AB502" t="str">
        <f t="shared" si="43"/>
        <v>H1_2026</v>
      </c>
      <c r="AC502">
        <f t="shared" si="44"/>
        <v>876732.5</v>
      </c>
      <c r="AD502">
        <f t="shared" si="45"/>
        <v>500</v>
      </c>
      <c r="AE502">
        <f t="shared" si="46"/>
        <v>229232.5</v>
      </c>
      <c r="AF502" t="str">
        <f t="shared" si="47"/>
        <v>Paid</v>
      </c>
    </row>
    <row r="503" spans="1:32" ht="17.25" thickBot="1" x14ac:dyDescent="0.35">
      <c r="A503" s="2" t="s">
        <v>3850</v>
      </c>
      <c r="B503" s="2" t="s">
        <v>27</v>
      </c>
      <c r="C503" s="2" t="s">
        <v>28</v>
      </c>
      <c r="D503" s="2" t="s">
        <v>97</v>
      </c>
      <c r="E503" s="2" t="s">
        <v>3826</v>
      </c>
      <c r="F503" s="2" t="s">
        <v>99</v>
      </c>
      <c r="G503" s="2" t="s">
        <v>32</v>
      </c>
      <c r="H503" s="1"/>
      <c r="I503" s="2" t="s">
        <v>33</v>
      </c>
      <c r="J503" s="2" t="s">
        <v>34</v>
      </c>
      <c r="K503" s="2" t="s">
        <v>2046</v>
      </c>
      <c r="L503" s="2" t="s">
        <v>2047</v>
      </c>
      <c r="M503" s="2" t="s">
        <v>1887</v>
      </c>
      <c r="N503" s="2" t="s">
        <v>38</v>
      </c>
      <c r="O503" s="2" t="s">
        <v>149</v>
      </c>
      <c r="P503" s="2" t="s">
        <v>1697</v>
      </c>
      <c r="Q503" s="2" t="s">
        <v>3851</v>
      </c>
      <c r="R503" s="2" t="s">
        <v>40</v>
      </c>
      <c r="S503" s="2" t="s">
        <v>3852</v>
      </c>
      <c r="T503" s="2" t="s">
        <v>2051</v>
      </c>
      <c r="U503" s="2" t="s">
        <v>3387</v>
      </c>
      <c r="V503" s="2" t="s">
        <v>3853</v>
      </c>
      <c r="W503" s="1"/>
      <c r="X503" s="2" t="s">
        <v>2020</v>
      </c>
      <c r="Y503" s="2" t="s">
        <v>3831</v>
      </c>
      <c r="AA503" t="str">
        <f t="shared" si="42"/>
        <v>2026-05</v>
      </c>
      <c r="AB503" t="str">
        <f t="shared" si="43"/>
        <v>H1_2026</v>
      </c>
      <c r="AC503">
        <f t="shared" si="44"/>
        <v>1498549.5</v>
      </c>
      <c r="AD503">
        <f t="shared" si="45"/>
        <v>300</v>
      </c>
      <c r="AE503">
        <f t="shared" si="46"/>
        <v>388549.5</v>
      </c>
      <c r="AF503" t="str">
        <f t="shared" si="47"/>
        <v>Paid</v>
      </c>
    </row>
    <row r="504" spans="1:32" ht="17.25" thickBot="1" x14ac:dyDescent="0.35">
      <c r="A504" s="2" t="s">
        <v>3854</v>
      </c>
      <c r="B504" s="2" t="s">
        <v>27</v>
      </c>
      <c r="C504" s="2" t="s">
        <v>28</v>
      </c>
      <c r="D504" s="2" t="s">
        <v>97</v>
      </c>
      <c r="E504" s="2" t="s">
        <v>3826</v>
      </c>
      <c r="F504" s="2" t="s">
        <v>99</v>
      </c>
      <c r="G504" s="2" t="s">
        <v>32</v>
      </c>
      <c r="H504" s="1"/>
      <c r="I504" s="2" t="s">
        <v>33</v>
      </c>
      <c r="J504" s="2" t="s">
        <v>34</v>
      </c>
      <c r="K504" s="2" t="s">
        <v>2082</v>
      </c>
      <c r="L504" s="2" t="s">
        <v>2083</v>
      </c>
      <c r="M504" s="2" t="s">
        <v>1887</v>
      </c>
      <c r="N504" s="2" t="s">
        <v>38</v>
      </c>
      <c r="O504" s="2" t="s">
        <v>206</v>
      </c>
      <c r="P504" s="2" t="s">
        <v>2076</v>
      </c>
      <c r="Q504" s="2" t="s">
        <v>3855</v>
      </c>
      <c r="R504" s="2" t="s">
        <v>40</v>
      </c>
      <c r="S504" s="2" t="s">
        <v>3856</v>
      </c>
      <c r="T504" s="2" t="s">
        <v>2079</v>
      </c>
      <c r="U504" s="2" t="s">
        <v>3857</v>
      </c>
      <c r="V504" s="2" t="s">
        <v>3858</v>
      </c>
      <c r="W504" s="1"/>
      <c r="X504" s="2" t="s">
        <v>1893</v>
      </c>
      <c r="Y504" s="2" t="s">
        <v>3831</v>
      </c>
      <c r="AA504" t="str">
        <f t="shared" si="42"/>
        <v>2026-05</v>
      </c>
      <c r="AB504" t="str">
        <f t="shared" si="43"/>
        <v>H1_2026</v>
      </c>
      <c r="AC504">
        <f t="shared" si="44"/>
        <v>5746650</v>
      </c>
      <c r="AD504">
        <f t="shared" si="45"/>
        <v>500</v>
      </c>
      <c r="AE504">
        <f t="shared" si="46"/>
        <v>1491650</v>
      </c>
      <c r="AF504" t="str">
        <f t="shared" si="47"/>
        <v>Paid</v>
      </c>
    </row>
    <row r="505" spans="1:32" ht="17.25" thickBot="1" x14ac:dyDescent="0.35">
      <c r="A505" s="2" t="s">
        <v>3859</v>
      </c>
      <c r="B505" s="2" t="s">
        <v>27</v>
      </c>
      <c r="C505" s="2" t="s">
        <v>28</v>
      </c>
      <c r="D505" s="2" t="s">
        <v>97</v>
      </c>
      <c r="E505" s="2" t="s">
        <v>3826</v>
      </c>
      <c r="F505" s="2" t="s">
        <v>99</v>
      </c>
      <c r="G505" s="2" t="s">
        <v>32</v>
      </c>
      <c r="H505" s="1"/>
      <c r="I505" s="2" t="s">
        <v>33</v>
      </c>
      <c r="J505" s="2" t="s">
        <v>34</v>
      </c>
      <c r="K505" s="2" t="s">
        <v>2089</v>
      </c>
      <c r="L505" s="2" t="s">
        <v>2090</v>
      </c>
      <c r="M505" s="2" t="s">
        <v>1887</v>
      </c>
      <c r="N505" s="2" t="s">
        <v>38</v>
      </c>
      <c r="O505" s="2" t="s">
        <v>773</v>
      </c>
      <c r="P505" s="2" t="s">
        <v>2076</v>
      </c>
      <c r="Q505" s="2" t="s">
        <v>3860</v>
      </c>
      <c r="R505" s="2" t="s">
        <v>40</v>
      </c>
      <c r="S505" s="2" t="s">
        <v>3861</v>
      </c>
      <c r="T505" s="2" t="s">
        <v>2079</v>
      </c>
      <c r="U505" s="2" t="s">
        <v>3862</v>
      </c>
      <c r="V505" s="2" t="s">
        <v>3863</v>
      </c>
      <c r="W505" s="1"/>
      <c r="X505" s="2" t="s">
        <v>1893</v>
      </c>
      <c r="Y505" s="2" t="s">
        <v>3831</v>
      </c>
      <c r="AA505" t="str">
        <f t="shared" si="42"/>
        <v>2026-05</v>
      </c>
      <c r="AB505" t="str">
        <f t="shared" si="43"/>
        <v>H1_2026</v>
      </c>
      <c r="AC505">
        <f t="shared" si="44"/>
        <v>2298660</v>
      </c>
      <c r="AD505">
        <f t="shared" si="45"/>
        <v>200</v>
      </c>
      <c r="AE505">
        <f t="shared" si="46"/>
        <v>596660</v>
      </c>
      <c r="AF505" t="str">
        <f t="shared" si="47"/>
        <v>Paid</v>
      </c>
    </row>
    <row r="506" spans="1:32" ht="27.75" thickBot="1" x14ac:dyDescent="0.35">
      <c r="A506" s="2" t="s">
        <v>3864</v>
      </c>
      <c r="B506" s="2" t="s">
        <v>27</v>
      </c>
      <c r="C506" s="2" t="s">
        <v>28</v>
      </c>
      <c r="D506" s="2" t="s">
        <v>97</v>
      </c>
      <c r="E506" s="2" t="s">
        <v>3826</v>
      </c>
      <c r="F506" s="2" t="s">
        <v>3865</v>
      </c>
      <c r="G506" s="2" t="s">
        <v>32</v>
      </c>
      <c r="H506" s="1"/>
      <c r="I506" s="2" t="s">
        <v>33</v>
      </c>
      <c r="J506" s="2" t="s">
        <v>34</v>
      </c>
      <c r="K506" s="2" t="s">
        <v>3866</v>
      </c>
      <c r="L506" s="2" t="s">
        <v>3867</v>
      </c>
      <c r="M506" s="2" t="s">
        <v>1887</v>
      </c>
      <c r="N506" s="2" t="s">
        <v>38</v>
      </c>
      <c r="O506" s="2" t="s">
        <v>3097</v>
      </c>
      <c r="P506" s="2" t="s">
        <v>3868</v>
      </c>
      <c r="Q506" s="2" t="s">
        <v>3869</v>
      </c>
      <c r="R506" s="2" t="s">
        <v>40</v>
      </c>
      <c r="S506" s="2" t="s">
        <v>3870</v>
      </c>
      <c r="T506" s="2" t="s">
        <v>3871</v>
      </c>
      <c r="U506" s="2" t="s">
        <v>3872</v>
      </c>
      <c r="V506" s="2" t="s">
        <v>3873</v>
      </c>
      <c r="W506" s="1"/>
      <c r="X506" s="2" t="s">
        <v>1893</v>
      </c>
      <c r="Y506" s="2" t="s">
        <v>3874</v>
      </c>
      <c r="AA506" t="str">
        <f t="shared" si="42"/>
        <v>2026-05</v>
      </c>
      <c r="AB506" t="str">
        <f t="shared" si="43"/>
        <v>H1_2026</v>
      </c>
      <c r="AC506">
        <f t="shared" si="44"/>
        <v>4094016.24</v>
      </c>
      <c r="AD506">
        <f t="shared" si="45"/>
        <v>372</v>
      </c>
      <c r="AE506">
        <f t="shared" si="46"/>
        <v>1065936.24</v>
      </c>
      <c r="AF506" t="str">
        <f t="shared" si="47"/>
        <v>Paid</v>
      </c>
    </row>
    <row r="507" spans="1:32" ht="27.75" thickBot="1" x14ac:dyDescent="0.35">
      <c r="A507" s="2" t="s">
        <v>3875</v>
      </c>
      <c r="B507" s="2" t="s">
        <v>27</v>
      </c>
      <c r="C507" s="2" t="s">
        <v>28</v>
      </c>
      <c r="D507" s="2" t="s">
        <v>97</v>
      </c>
      <c r="E507" s="2" t="s">
        <v>3826</v>
      </c>
      <c r="F507" s="2" t="s">
        <v>3865</v>
      </c>
      <c r="G507" s="2" t="s">
        <v>32</v>
      </c>
      <c r="H507" s="1"/>
      <c r="I507" s="2" t="s">
        <v>33</v>
      </c>
      <c r="J507" s="2" t="s">
        <v>34</v>
      </c>
      <c r="K507" s="2" t="s">
        <v>3876</v>
      </c>
      <c r="L507" s="2" t="s">
        <v>3877</v>
      </c>
      <c r="M507" s="2" t="s">
        <v>1887</v>
      </c>
      <c r="N507" s="2" t="s">
        <v>38</v>
      </c>
      <c r="O507" s="2" t="s">
        <v>1017</v>
      </c>
      <c r="P507" s="2" t="s">
        <v>3878</v>
      </c>
      <c r="Q507" s="2" t="s">
        <v>3879</v>
      </c>
      <c r="R507" s="2" t="s">
        <v>40</v>
      </c>
      <c r="S507" s="2" t="s">
        <v>3880</v>
      </c>
      <c r="T507" s="2" t="s">
        <v>1955</v>
      </c>
      <c r="U507" s="2" t="s">
        <v>3881</v>
      </c>
      <c r="V507" s="2" t="s">
        <v>3882</v>
      </c>
      <c r="W507" s="1"/>
      <c r="X507" s="2" t="s">
        <v>1893</v>
      </c>
      <c r="Y507" s="2" t="s">
        <v>3874</v>
      </c>
      <c r="AA507" t="str">
        <f t="shared" si="42"/>
        <v>2026-05</v>
      </c>
      <c r="AB507" t="str">
        <f t="shared" si="43"/>
        <v>H1_2026</v>
      </c>
      <c r="AC507">
        <f t="shared" si="44"/>
        <v>1367927.61</v>
      </c>
      <c r="AD507">
        <f t="shared" si="45"/>
        <v>114</v>
      </c>
      <c r="AE507">
        <f t="shared" si="46"/>
        <v>355607.61</v>
      </c>
      <c r="AF507" t="str">
        <f t="shared" si="47"/>
        <v>Paid</v>
      </c>
    </row>
    <row r="508" spans="1:32" ht="17.25" thickBot="1" x14ac:dyDescent="0.35">
      <c r="A508" s="2" t="s">
        <v>3883</v>
      </c>
      <c r="B508" s="2" t="s">
        <v>27</v>
      </c>
      <c r="C508" s="2" t="s">
        <v>28</v>
      </c>
      <c r="D508" s="2" t="s">
        <v>97</v>
      </c>
      <c r="E508" s="2" t="s">
        <v>3884</v>
      </c>
      <c r="F508" s="2" t="s">
        <v>99</v>
      </c>
      <c r="G508" s="2" t="s">
        <v>32</v>
      </c>
      <c r="H508" s="1"/>
      <c r="I508" s="2" t="s">
        <v>33</v>
      </c>
      <c r="J508" s="2" t="s">
        <v>34</v>
      </c>
      <c r="K508" s="2" t="s">
        <v>3885</v>
      </c>
      <c r="L508" s="2" t="s">
        <v>3886</v>
      </c>
      <c r="M508" s="2" t="s">
        <v>701</v>
      </c>
      <c r="N508" s="2" t="s">
        <v>38</v>
      </c>
      <c r="O508" s="2" t="s">
        <v>3887</v>
      </c>
      <c r="P508" s="2" t="s">
        <v>3888</v>
      </c>
      <c r="Q508" s="2" t="s">
        <v>3889</v>
      </c>
      <c r="R508" s="2" t="s">
        <v>40</v>
      </c>
      <c r="S508" s="2" t="s">
        <v>3890</v>
      </c>
      <c r="T508" s="2" t="s">
        <v>706</v>
      </c>
      <c r="U508" s="2" t="s">
        <v>3891</v>
      </c>
      <c r="V508" s="2" t="s">
        <v>3892</v>
      </c>
      <c r="W508" s="1"/>
      <c r="X508" s="2" t="s">
        <v>709</v>
      </c>
      <c r="Y508" s="2" t="s">
        <v>3893</v>
      </c>
      <c r="AA508" t="str">
        <f t="shared" si="42"/>
        <v>2026-05</v>
      </c>
      <c r="AB508" t="str">
        <f t="shared" si="43"/>
        <v>H1_2026</v>
      </c>
      <c r="AC508">
        <f t="shared" si="44"/>
        <v>39178675.200000003</v>
      </c>
      <c r="AD508">
        <f t="shared" si="45"/>
        <v>3920</v>
      </c>
      <c r="AE508">
        <f t="shared" si="46"/>
        <v>6250675.2000000002</v>
      </c>
      <c r="AF508" t="str">
        <f t="shared" si="47"/>
        <v>Paid</v>
      </c>
    </row>
    <row r="509" spans="1:32" ht="17.25" thickBot="1" x14ac:dyDescent="0.35">
      <c r="A509" s="2" t="s">
        <v>3894</v>
      </c>
      <c r="B509" s="2" t="s">
        <v>27</v>
      </c>
      <c r="C509" s="2" t="s">
        <v>28</v>
      </c>
      <c r="D509" s="2" t="s">
        <v>97</v>
      </c>
      <c r="E509" s="2" t="s">
        <v>3884</v>
      </c>
      <c r="F509" s="2" t="s">
        <v>99</v>
      </c>
      <c r="G509" s="2" t="s">
        <v>32</v>
      </c>
      <c r="H509" s="1"/>
      <c r="I509" s="2" t="s">
        <v>33</v>
      </c>
      <c r="J509" s="2" t="s">
        <v>34</v>
      </c>
      <c r="K509" s="2" t="s">
        <v>3895</v>
      </c>
      <c r="L509" s="2" t="s">
        <v>3896</v>
      </c>
      <c r="M509" s="2" t="s">
        <v>701</v>
      </c>
      <c r="N509" s="2" t="s">
        <v>38</v>
      </c>
      <c r="O509" s="2" t="s">
        <v>3897</v>
      </c>
      <c r="P509" s="2" t="s">
        <v>3898</v>
      </c>
      <c r="Q509" s="2" t="s">
        <v>3899</v>
      </c>
      <c r="R509" s="2" t="s">
        <v>40</v>
      </c>
      <c r="S509" s="2" t="s">
        <v>3900</v>
      </c>
      <c r="T509" s="2" t="s">
        <v>1444</v>
      </c>
      <c r="U509" s="2" t="s">
        <v>3901</v>
      </c>
      <c r="V509" s="2" t="s">
        <v>3902</v>
      </c>
      <c r="W509" s="1"/>
      <c r="X509" s="2" t="s">
        <v>3903</v>
      </c>
      <c r="Y509" s="2" t="s">
        <v>3893</v>
      </c>
      <c r="AA509" t="str">
        <f t="shared" si="42"/>
        <v>2026-05</v>
      </c>
      <c r="AB509" t="str">
        <f t="shared" si="43"/>
        <v>H1_2026</v>
      </c>
      <c r="AC509">
        <f t="shared" si="44"/>
        <v>46641423.600000001</v>
      </c>
      <c r="AD509">
        <f t="shared" si="45"/>
        <v>7170</v>
      </c>
      <c r="AE509">
        <f t="shared" si="46"/>
        <v>7493223.5999999996</v>
      </c>
      <c r="AF509" t="str">
        <f t="shared" si="47"/>
        <v>Paid</v>
      </c>
    </row>
    <row r="510" spans="1:32" ht="17.25" thickBot="1" x14ac:dyDescent="0.35">
      <c r="A510" s="2" t="s">
        <v>3904</v>
      </c>
      <c r="B510" s="2" t="s">
        <v>27</v>
      </c>
      <c r="C510" s="2" t="s">
        <v>28</v>
      </c>
      <c r="D510" s="2" t="s">
        <v>97</v>
      </c>
      <c r="E510" s="2" t="s">
        <v>3884</v>
      </c>
      <c r="F510" s="2" t="s">
        <v>99</v>
      </c>
      <c r="G510" s="2" t="s">
        <v>32</v>
      </c>
      <c r="H510" s="1"/>
      <c r="I510" s="2" t="s">
        <v>33</v>
      </c>
      <c r="J510" s="2" t="s">
        <v>34</v>
      </c>
      <c r="K510" s="2" t="s">
        <v>3905</v>
      </c>
      <c r="L510" s="2" t="s">
        <v>3906</v>
      </c>
      <c r="M510" s="2" t="s">
        <v>701</v>
      </c>
      <c r="N510" s="2" t="s">
        <v>38</v>
      </c>
      <c r="O510" s="2" t="s">
        <v>3907</v>
      </c>
      <c r="P510" s="2" t="s">
        <v>3908</v>
      </c>
      <c r="Q510" s="2" t="s">
        <v>3909</v>
      </c>
      <c r="R510" s="2" t="s">
        <v>40</v>
      </c>
      <c r="S510" s="2" t="s">
        <v>3910</v>
      </c>
      <c r="T510" s="2" t="s">
        <v>3015</v>
      </c>
      <c r="U510" s="2" t="s">
        <v>3911</v>
      </c>
      <c r="V510" s="2" t="s">
        <v>3912</v>
      </c>
      <c r="W510" s="1"/>
      <c r="X510" s="2" t="s">
        <v>3903</v>
      </c>
      <c r="Y510" s="2" t="s">
        <v>3893</v>
      </c>
      <c r="AA510" t="str">
        <f t="shared" si="42"/>
        <v>2026-05</v>
      </c>
      <c r="AB510" t="str">
        <f t="shared" si="43"/>
        <v>H1_2026</v>
      </c>
      <c r="AC510">
        <f t="shared" si="44"/>
        <v>26522632.800000001</v>
      </c>
      <c r="AD510">
        <f t="shared" si="45"/>
        <v>2790</v>
      </c>
      <c r="AE510">
        <f t="shared" si="46"/>
        <v>4258432.8</v>
      </c>
      <c r="AF510" t="str">
        <f t="shared" si="47"/>
        <v>Paid</v>
      </c>
    </row>
    <row r="511" spans="1:32" ht="17.25" thickBot="1" x14ac:dyDescent="0.35">
      <c r="A511" s="2" t="s">
        <v>3913</v>
      </c>
      <c r="B511" s="2" t="s">
        <v>27</v>
      </c>
      <c r="C511" s="2" t="s">
        <v>28</v>
      </c>
      <c r="D511" s="2" t="s">
        <v>97</v>
      </c>
      <c r="E511" s="2" t="s">
        <v>3884</v>
      </c>
      <c r="F511" s="2" t="s">
        <v>99</v>
      </c>
      <c r="G511" s="2" t="s">
        <v>32</v>
      </c>
      <c r="H511" s="1"/>
      <c r="I511" s="2" t="s">
        <v>33</v>
      </c>
      <c r="J511" s="2" t="s">
        <v>34</v>
      </c>
      <c r="K511" s="2" t="s">
        <v>699</v>
      </c>
      <c r="L511" s="2" t="s">
        <v>700</v>
      </c>
      <c r="M511" s="2" t="s">
        <v>701</v>
      </c>
      <c r="N511" s="2" t="s">
        <v>38</v>
      </c>
      <c r="O511" s="2" t="s">
        <v>3914</v>
      </c>
      <c r="P511" s="2" t="s">
        <v>3888</v>
      </c>
      <c r="Q511" s="2" t="s">
        <v>3915</v>
      </c>
      <c r="R511" s="2" t="s">
        <v>40</v>
      </c>
      <c r="S511" s="2" t="s">
        <v>3916</v>
      </c>
      <c r="T511" s="2" t="s">
        <v>3917</v>
      </c>
      <c r="U511" s="2" t="s">
        <v>3918</v>
      </c>
      <c r="V511" s="2" t="s">
        <v>3919</v>
      </c>
      <c r="W511" s="1"/>
      <c r="X511" s="2" t="s">
        <v>3920</v>
      </c>
      <c r="Y511" s="2" t="s">
        <v>3893</v>
      </c>
      <c r="AA511" t="str">
        <f t="shared" si="42"/>
        <v>2026-05</v>
      </c>
      <c r="AB511" t="str">
        <f t="shared" si="43"/>
        <v>H1_2026</v>
      </c>
      <c r="AC511">
        <f t="shared" si="44"/>
        <v>6976202.8799999999</v>
      </c>
      <c r="AD511">
        <f t="shared" si="45"/>
        <v>698</v>
      </c>
      <c r="AE511">
        <f t="shared" si="46"/>
        <v>6707402.8799999999</v>
      </c>
      <c r="AF511" t="str">
        <f t="shared" si="47"/>
        <v>Paid</v>
      </c>
    </row>
    <row r="512" spans="1:32" ht="17.25" thickBot="1" x14ac:dyDescent="0.35">
      <c r="A512" s="2" t="s">
        <v>3921</v>
      </c>
      <c r="B512" s="2" t="s">
        <v>27</v>
      </c>
      <c r="C512" s="2" t="s">
        <v>28</v>
      </c>
      <c r="D512" s="2" t="s">
        <v>97</v>
      </c>
      <c r="E512" s="2" t="s">
        <v>3884</v>
      </c>
      <c r="F512" s="2" t="s">
        <v>99</v>
      </c>
      <c r="G512" s="2" t="s">
        <v>32</v>
      </c>
      <c r="H512" s="1"/>
      <c r="I512" s="2" t="s">
        <v>33</v>
      </c>
      <c r="J512" s="2" t="s">
        <v>34</v>
      </c>
      <c r="K512" s="2" t="s">
        <v>3922</v>
      </c>
      <c r="L512" s="2" t="s">
        <v>3923</v>
      </c>
      <c r="M512" s="2" t="s">
        <v>701</v>
      </c>
      <c r="N512" s="2" t="s">
        <v>38</v>
      </c>
      <c r="O512" s="2" t="s">
        <v>3924</v>
      </c>
      <c r="P512" s="2" t="s">
        <v>1175</v>
      </c>
      <c r="Q512" s="2" t="s">
        <v>3925</v>
      </c>
      <c r="R512" s="2" t="s">
        <v>40</v>
      </c>
      <c r="S512" s="2" t="s">
        <v>3926</v>
      </c>
      <c r="T512" s="2" t="s">
        <v>759</v>
      </c>
      <c r="U512" s="2" t="s">
        <v>3927</v>
      </c>
      <c r="V512" s="2" t="s">
        <v>3928</v>
      </c>
      <c r="W512" s="1"/>
      <c r="X512" s="2" t="s">
        <v>709</v>
      </c>
      <c r="Y512" s="2" t="s">
        <v>3893</v>
      </c>
      <c r="AA512" t="str">
        <f t="shared" si="42"/>
        <v>2026-05</v>
      </c>
      <c r="AB512" t="str">
        <f t="shared" si="43"/>
        <v>H1_2026</v>
      </c>
      <c r="AC512">
        <f t="shared" si="44"/>
        <v>30612648</v>
      </c>
      <c r="AD512">
        <f t="shared" si="45"/>
        <v>3400</v>
      </c>
      <c r="AE512">
        <f t="shared" si="46"/>
        <v>4908648</v>
      </c>
      <c r="AF512" t="str">
        <f t="shared" si="47"/>
        <v>Paid</v>
      </c>
    </row>
    <row r="513" spans="1:32" ht="17.25" thickBot="1" x14ac:dyDescent="0.35">
      <c r="A513" s="2" t="s">
        <v>3929</v>
      </c>
      <c r="B513" s="2" t="s">
        <v>27</v>
      </c>
      <c r="C513" s="2" t="s">
        <v>28</v>
      </c>
      <c r="D513" s="2" t="s">
        <v>97</v>
      </c>
      <c r="E513" s="2" t="s">
        <v>3884</v>
      </c>
      <c r="F513" s="2" t="s">
        <v>99</v>
      </c>
      <c r="G513" s="2" t="s">
        <v>32</v>
      </c>
      <c r="H513" s="1"/>
      <c r="I513" s="2" t="s">
        <v>33</v>
      </c>
      <c r="J513" s="2" t="s">
        <v>34</v>
      </c>
      <c r="K513" s="2" t="s">
        <v>3930</v>
      </c>
      <c r="L513" s="2" t="s">
        <v>3931</v>
      </c>
      <c r="M513" s="2" t="s">
        <v>701</v>
      </c>
      <c r="N513" s="2" t="s">
        <v>38</v>
      </c>
      <c r="O513" s="2" t="s">
        <v>3932</v>
      </c>
      <c r="P513" s="2" t="s">
        <v>3933</v>
      </c>
      <c r="Q513" s="2" t="s">
        <v>3934</v>
      </c>
      <c r="R513" s="2" t="s">
        <v>40</v>
      </c>
      <c r="S513" s="2" t="s">
        <v>3935</v>
      </c>
      <c r="T513" s="2" t="s">
        <v>3936</v>
      </c>
      <c r="U513" s="2" t="s">
        <v>3937</v>
      </c>
      <c r="V513" s="2" t="s">
        <v>3938</v>
      </c>
      <c r="W513" s="1"/>
      <c r="X513" s="2" t="s">
        <v>709</v>
      </c>
      <c r="Y513" s="2" t="s">
        <v>3893</v>
      </c>
      <c r="AA513" t="str">
        <f t="shared" si="42"/>
        <v>2026-05</v>
      </c>
      <c r="AB513" t="str">
        <f t="shared" si="43"/>
        <v>H1_2026</v>
      </c>
      <c r="AC513">
        <f t="shared" si="44"/>
        <v>123436262.40000001</v>
      </c>
      <c r="AD513">
        <f t="shared" si="45"/>
        <v>7260</v>
      </c>
      <c r="AE513">
        <f t="shared" si="46"/>
        <v>19763462.399999999</v>
      </c>
      <c r="AF513" t="str">
        <f t="shared" si="47"/>
        <v>Paid</v>
      </c>
    </row>
    <row r="514" spans="1:32" ht="17.25" thickBot="1" x14ac:dyDescent="0.35">
      <c r="A514" s="2" t="s">
        <v>3939</v>
      </c>
      <c r="B514" s="2" t="s">
        <v>27</v>
      </c>
      <c r="C514" s="2" t="s">
        <v>28</v>
      </c>
      <c r="D514" s="2" t="s">
        <v>97</v>
      </c>
      <c r="E514" s="2" t="s">
        <v>3884</v>
      </c>
      <c r="F514" s="2" t="s">
        <v>99</v>
      </c>
      <c r="G514" s="2" t="s">
        <v>32</v>
      </c>
      <c r="H514" s="1"/>
      <c r="I514" s="2" t="s">
        <v>33</v>
      </c>
      <c r="J514" s="2" t="s">
        <v>34</v>
      </c>
      <c r="K514" s="2" t="s">
        <v>3940</v>
      </c>
      <c r="L514" s="2" t="s">
        <v>3941</v>
      </c>
      <c r="M514" s="2" t="s">
        <v>701</v>
      </c>
      <c r="N514" s="2" t="s">
        <v>38</v>
      </c>
      <c r="O514" s="2" t="s">
        <v>3942</v>
      </c>
      <c r="P514" s="2" t="s">
        <v>3943</v>
      </c>
      <c r="Q514" s="2" t="s">
        <v>3944</v>
      </c>
      <c r="R514" s="2" t="s">
        <v>40</v>
      </c>
      <c r="S514" s="2" t="s">
        <v>3945</v>
      </c>
      <c r="T514" s="2" t="s">
        <v>726</v>
      </c>
      <c r="U514" s="2" t="s">
        <v>3946</v>
      </c>
      <c r="V514" s="2" t="s">
        <v>3947</v>
      </c>
      <c r="W514" s="1"/>
      <c r="X514" s="2" t="s">
        <v>709</v>
      </c>
      <c r="Y514" s="2" t="s">
        <v>3893</v>
      </c>
      <c r="AA514" t="str">
        <f t="shared" si="42"/>
        <v>2026-05</v>
      </c>
      <c r="AB514" t="str">
        <f t="shared" si="43"/>
        <v>H1_2026</v>
      </c>
      <c r="AC514">
        <f t="shared" si="44"/>
        <v>145539174.40000001</v>
      </c>
      <c r="AD514">
        <f t="shared" si="45"/>
        <v>17120</v>
      </c>
      <c r="AE514">
        <f t="shared" si="46"/>
        <v>23302374.399999999</v>
      </c>
      <c r="AF514" t="str">
        <f t="shared" si="47"/>
        <v>Paid</v>
      </c>
    </row>
    <row r="515" spans="1:32" ht="17.25" thickBot="1" x14ac:dyDescent="0.35">
      <c r="A515" s="2" t="s">
        <v>3948</v>
      </c>
      <c r="B515" s="2" t="s">
        <v>27</v>
      </c>
      <c r="C515" s="2" t="s">
        <v>28</v>
      </c>
      <c r="D515" s="2" t="s">
        <v>97</v>
      </c>
      <c r="E515" s="2" t="s">
        <v>3884</v>
      </c>
      <c r="F515" s="2" t="s">
        <v>99</v>
      </c>
      <c r="G515" s="2" t="s">
        <v>32</v>
      </c>
      <c r="H515" s="1"/>
      <c r="I515" s="2" t="s">
        <v>33</v>
      </c>
      <c r="J515" s="2" t="s">
        <v>34</v>
      </c>
      <c r="K515" s="2" t="s">
        <v>3949</v>
      </c>
      <c r="L515" s="2" t="s">
        <v>3950</v>
      </c>
      <c r="M515" s="2" t="s">
        <v>701</v>
      </c>
      <c r="N515" s="2" t="s">
        <v>38</v>
      </c>
      <c r="O515" s="2" t="s">
        <v>3951</v>
      </c>
      <c r="P515" s="2" t="s">
        <v>3943</v>
      </c>
      <c r="Q515" s="2" t="s">
        <v>3952</v>
      </c>
      <c r="R515" s="2" t="s">
        <v>40</v>
      </c>
      <c r="S515" s="2" t="s">
        <v>3953</v>
      </c>
      <c r="T515" s="2" t="s">
        <v>726</v>
      </c>
      <c r="U515" s="2" t="s">
        <v>3954</v>
      </c>
      <c r="V515" s="2" t="s">
        <v>3955</v>
      </c>
      <c r="W515" s="1"/>
      <c r="X515" s="2" t="s">
        <v>709</v>
      </c>
      <c r="Y515" s="2" t="s">
        <v>3893</v>
      </c>
      <c r="AA515" t="str">
        <f t="shared" si="42"/>
        <v>2026-05</v>
      </c>
      <c r="AB515" t="str">
        <f t="shared" si="43"/>
        <v>H1_2026</v>
      </c>
      <c r="AC515">
        <f t="shared" si="44"/>
        <v>18447430.399999999</v>
      </c>
      <c r="AD515">
        <f t="shared" si="45"/>
        <v>2170</v>
      </c>
      <c r="AE515">
        <f t="shared" si="46"/>
        <v>2953630.4</v>
      </c>
      <c r="AF515" t="str">
        <f t="shared" si="47"/>
        <v>Paid</v>
      </c>
    </row>
    <row r="516" spans="1:32" ht="17.25" thickBot="1" x14ac:dyDescent="0.35">
      <c r="A516" s="2" t="s">
        <v>3956</v>
      </c>
      <c r="B516" s="2" t="s">
        <v>27</v>
      </c>
      <c r="C516" s="2" t="s">
        <v>28</v>
      </c>
      <c r="D516" s="2" t="s">
        <v>97</v>
      </c>
      <c r="E516" s="2" t="s">
        <v>3884</v>
      </c>
      <c r="F516" s="2" t="s">
        <v>99</v>
      </c>
      <c r="G516" s="2" t="s">
        <v>32</v>
      </c>
      <c r="H516" s="1"/>
      <c r="I516" s="2" t="s">
        <v>33</v>
      </c>
      <c r="J516" s="2" t="s">
        <v>34</v>
      </c>
      <c r="K516" s="2" t="s">
        <v>3957</v>
      </c>
      <c r="L516" s="2" t="s">
        <v>3958</v>
      </c>
      <c r="M516" s="2" t="s">
        <v>701</v>
      </c>
      <c r="N516" s="2" t="s">
        <v>38</v>
      </c>
      <c r="O516" s="2" t="s">
        <v>948</v>
      </c>
      <c r="P516" s="2" t="s">
        <v>3943</v>
      </c>
      <c r="Q516" s="2" t="s">
        <v>3959</v>
      </c>
      <c r="R516" s="2" t="s">
        <v>40</v>
      </c>
      <c r="S516" s="2" t="s">
        <v>3960</v>
      </c>
      <c r="T516" s="2" t="s">
        <v>3961</v>
      </c>
      <c r="U516" s="2" t="s">
        <v>3954</v>
      </c>
      <c r="V516" s="2" t="s">
        <v>3962</v>
      </c>
      <c r="W516" s="1"/>
      <c r="X516" s="2" t="s">
        <v>3963</v>
      </c>
      <c r="Y516" s="2" t="s">
        <v>3893</v>
      </c>
      <c r="AA516" t="str">
        <f t="shared" ref="AA516:AA579" si="48">LEFT(E516,7)</f>
        <v>2026-05</v>
      </c>
      <c r="AB516" t="str">
        <f t="shared" ref="AB516:AB579" si="49">IF(AND($AA516&gt;="2025-01",$AA516&lt;="2025-06"),"H1_2025",IF(AND($AA516&gt;="2026-01",$AA516&lt;="2026-06"),"H1_2026",""))</f>
        <v>H1_2026</v>
      </c>
      <c r="AC516">
        <f t="shared" ref="AC516:AC579" si="50">IFERROR(VALUE(SUBSTITUTE(S516,",","")),0)</f>
        <v>31029088</v>
      </c>
      <c r="AD516">
        <f t="shared" ref="AD516:AD579" si="51">IFERROR(VALUE(SUBSTITUTE(O516,",","")),0)</f>
        <v>3650</v>
      </c>
      <c r="AE516">
        <f t="shared" ref="AE516:AE579" si="52">IFERROR(VALUE(SUBSTITUTE(V516,",","")),0)</f>
        <v>15535288</v>
      </c>
      <c r="AF516" t="str">
        <f t="shared" ref="AF516:AF579" si="53">IF(ISNUMBER(SEARCH("FOC",W516)),"FOC",IF(ISNUMBER(SEARCH("샘플",W516)),"Sample","Paid"))</f>
        <v>Paid</v>
      </c>
    </row>
    <row r="517" spans="1:32" ht="17.25" thickBot="1" x14ac:dyDescent="0.35">
      <c r="A517" s="2" t="s">
        <v>3964</v>
      </c>
      <c r="B517" s="2" t="s">
        <v>27</v>
      </c>
      <c r="C517" s="2" t="s">
        <v>28</v>
      </c>
      <c r="D517" s="2" t="s">
        <v>97</v>
      </c>
      <c r="E517" s="2" t="s">
        <v>3884</v>
      </c>
      <c r="F517" s="2" t="s">
        <v>99</v>
      </c>
      <c r="G517" s="2" t="s">
        <v>32</v>
      </c>
      <c r="H517" s="1"/>
      <c r="I517" s="2" t="s">
        <v>33</v>
      </c>
      <c r="J517" s="2" t="s">
        <v>34</v>
      </c>
      <c r="K517" s="2" t="s">
        <v>746</v>
      </c>
      <c r="L517" s="2" t="s">
        <v>747</v>
      </c>
      <c r="M517" s="2" t="s">
        <v>701</v>
      </c>
      <c r="N517" s="2" t="s">
        <v>38</v>
      </c>
      <c r="O517" s="2" t="s">
        <v>2108</v>
      </c>
      <c r="P517" s="2" t="s">
        <v>891</v>
      </c>
      <c r="Q517" s="2" t="s">
        <v>3965</v>
      </c>
      <c r="R517" s="2" t="s">
        <v>40</v>
      </c>
      <c r="S517" s="2" t="s">
        <v>3966</v>
      </c>
      <c r="T517" s="2" t="s">
        <v>716</v>
      </c>
      <c r="U517" s="2" t="s">
        <v>3967</v>
      </c>
      <c r="V517" s="2" t="s">
        <v>3968</v>
      </c>
      <c r="W517" s="1"/>
      <c r="X517" s="2" t="s">
        <v>709</v>
      </c>
      <c r="Y517" s="2" t="s">
        <v>3893</v>
      </c>
      <c r="AA517" t="str">
        <f t="shared" si="48"/>
        <v>2026-05</v>
      </c>
      <c r="AB517" t="str">
        <f t="shared" si="49"/>
        <v>H1_2026</v>
      </c>
      <c r="AC517">
        <f t="shared" si="50"/>
        <v>12485158.4</v>
      </c>
      <c r="AD517">
        <f t="shared" si="51"/>
        <v>1040</v>
      </c>
      <c r="AE517">
        <f t="shared" si="52"/>
        <v>2001958.4</v>
      </c>
      <c r="AF517" t="str">
        <f t="shared" si="53"/>
        <v>Paid</v>
      </c>
    </row>
    <row r="518" spans="1:32" ht="17.25" thickBot="1" x14ac:dyDescent="0.35">
      <c r="A518" s="2" t="s">
        <v>3969</v>
      </c>
      <c r="B518" s="2" t="s">
        <v>27</v>
      </c>
      <c r="C518" s="2" t="s">
        <v>28</v>
      </c>
      <c r="D518" s="2" t="s">
        <v>97</v>
      </c>
      <c r="E518" s="2" t="s">
        <v>3884</v>
      </c>
      <c r="F518" s="2" t="s">
        <v>99</v>
      </c>
      <c r="G518" s="2" t="s">
        <v>32</v>
      </c>
      <c r="H518" s="1"/>
      <c r="I518" s="2" t="s">
        <v>33</v>
      </c>
      <c r="J518" s="2" t="s">
        <v>34</v>
      </c>
      <c r="K518" s="2" t="s">
        <v>3970</v>
      </c>
      <c r="L518" s="2" t="s">
        <v>3971</v>
      </c>
      <c r="M518" s="2" t="s">
        <v>701</v>
      </c>
      <c r="N518" s="2" t="s">
        <v>38</v>
      </c>
      <c r="O518" s="2" t="s">
        <v>3972</v>
      </c>
      <c r="P518" s="2" t="s">
        <v>1175</v>
      </c>
      <c r="Q518" s="2" t="s">
        <v>3973</v>
      </c>
      <c r="R518" s="2" t="s">
        <v>40</v>
      </c>
      <c r="S518" s="2" t="s">
        <v>3974</v>
      </c>
      <c r="T518" s="2" t="s">
        <v>759</v>
      </c>
      <c r="U518" s="2" t="s">
        <v>3975</v>
      </c>
      <c r="V518" s="2" t="s">
        <v>3976</v>
      </c>
      <c r="W518" s="1"/>
      <c r="X518" s="2" t="s">
        <v>709</v>
      </c>
      <c r="Y518" s="2" t="s">
        <v>3893</v>
      </c>
      <c r="AA518" t="str">
        <f t="shared" si="48"/>
        <v>2026-05</v>
      </c>
      <c r="AB518" t="str">
        <f t="shared" si="49"/>
        <v>H1_2026</v>
      </c>
      <c r="AC518">
        <f t="shared" si="50"/>
        <v>29262090</v>
      </c>
      <c r="AD518">
        <f t="shared" si="51"/>
        <v>3250</v>
      </c>
      <c r="AE518">
        <f t="shared" si="52"/>
        <v>4692090</v>
      </c>
      <c r="AF518" t="str">
        <f t="shared" si="53"/>
        <v>Paid</v>
      </c>
    </row>
    <row r="519" spans="1:32" ht="17.25" thickBot="1" x14ac:dyDescent="0.35">
      <c r="A519" s="2" t="s">
        <v>3977</v>
      </c>
      <c r="B519" s="2" t="s">
        <v>27</v>
      </c>
      <c r="C519" s="2" t="s">
        <v>28</v>
      </c>
      <c r="D519" s="2" t="s">
        <v>97</v>
      </c>
      <c r="E519" s="2" t="s">
        <v>3884</v>
      </c>
      <c r="F519" s="2" t="s">
        <v>99</v>
      </c>
      <c r="G519" s="2" t="s">
        <v>32</v>
      </c>
      <c r="H519" s="1"/>
      <c r="I519" s="2" t="s">
        <v>33</v>
      </c>
      <c r="J519" s="2" t="s">
        <v>34</v>
      </c>
      <c r="K519" s="2" t="s">
        <v>3978</v>
      </c>
      <c r="L519" s="2" t="s">
        <v>3979</v>
      </c>
      <c r="M519" s="2" t="s">
        <v>701</v>
      </c>
      <c r="N519" s="2" t="s">
        <v>38</v>
      </c>
      <c r="O519" s="2" t="s">
        <v>3980</v>
      </c>
      <c r="P519" s="2" t="s">
        <v>1175</v>
      </c>
      <c r="Q519" s="2" t="s">
        <v>3981</v>
      </c>
      <c r="R519" s="2" t="s">
        <v>40</v>
      </c>
      <c r="S519" s="2" t="s">
        <v>3982</v>
      </c>
      <c r="T519" s="2" t="s">
        <v>759</v>
      </c>
      <c r="U519" s="2" t="s">
        <v>3983</v>
      </c>
      <c r="V519" s="2" t="s">
        <v>3984</v>
      </c>
      <c r="W519" s="1"/>
      <c r="X519" s="2" t="s">
        <v>709</v>
      </c>
      <c r="Y519" s="2" t="s">
        <v>3893</v>
      </c>
      <c r="AA519" t="str">
        <f t="shared" si="48"/>
        <v>2026-05</v>
      </c>
      <c r="AB519" t="str">
        <f t="shared" si="49"/>
        <v>H1_2026</v>
      </c>
      <c r="AC519">
        <f t="shared" si="50"/>
        <v>18457626</v>
      </c>
      <c r="AD519">
        <f t="shared" si="51"/>
        <v>2050</v>
      </c>
      <c r="AE519">
        <f t="shared" si="52"/>
        <v>2959626</v>
      </c>
      <c r="AF519" t="str">
        <f t="shared" si="53"/>
        <v>Paid</v>
      </c>
    </row>
    <row r="520" spans="1:32" ht="17.25" thickBot="1" x14ac:dyDescent="0.35">
      <c r="A520" s="2" t="s">
        <v>3985</v>
      </c>
      <c r="B520" s="2" t="s">
        <v>27</v>
      </c>
      <c r="C520" s="2" t="s">
        <v>28</v>
      </c>
      <c r="D520" s="2" t="s">
        <v>97</v>
      </c>
      <c r="E520" s="2" t="s">
        <v>3884</v>
      </c>
      <c r="F520" s="2" t="s">
        <v>99</v>
      </c>
      <c r="G520" s="2" t="s">
        <v>32</v>
      </c>
      <c r="H520" s="1"/>
      <c r="I520" s="2" t="s">
        <v>33</v>
      </c>
      <c r="J520" s="2" t="s">
        <v>34</v>
      </c>
      <c r="K520" s="2" t="s">
        <v>3986</v>
      </c>
      <c r="L520" s="2" t="s">
        <v>3987</v>
      </c>
      <c r="M520" s="2" t="s">
        <v>701</v>
      </c>
      <c r="N520" s="2" t="s">
        <v>38</v>
      </c>
      <c r="O520" s="2" t="s">
        <v>2091</v>
      </c>
      <c r="P520" s="2" t="s">
        <v>3943</v>
      </c>
      <c r="Q520" s="2" t="s">
        <v>3988</v>
      </c>
      <c r="R520" s="2" t="s">
        <v>40</v>
      </c>
      <c r="S520" s="2" t="s">
        <v>3989</v>
      </c>
      <c r="T520" s="2" t="s">
        <v>726</v>
      </c>
      <c r="U520" s="2" t="s">
        <v>3990</v>
      </c>
      <c r="V520" s="2" t="s">
        <v>3991</v>
      </c>
      <c r="W520" s="1"/>
      <c r="X520" s="2" t="s">
        <v>709</v>
      </c>
      <c r="Y520" s="2" t="s">
        <v>3893</v>
      </c>
      <c r="AA520" t="str">
        <f t="shared" si="48"/>
        <v>2026-05</v>
      </c>
      <c r="AB520" t="str">
        <f t="shared" si="49"/>
        <v>H1_2026</v>
      </c>
      <c r="AC520">
        <f t="shared" si="50"/>
        <v>11561523.199999999</v>
      </c>
      <c r="AD520">
        <f t="shared" si="51"/>
        <v>1360</v>
      </c>
      <c r="AE520">
        <f t="shared" si="52"/>
        <v>1851123.2</v>
      </c>
      <c r="AF520" t="str">
        <f t="shared" si="53"/>
        <v>Paid</v>
      </c>
    </row>
    <row r="521" spans="1:32" ht="17.25" thickBot="1" x14ac:dyDescent="0.35">
      <c r="A521" s="2" t="s">
        <v>3992</v>
      </c>
      <c r="B521" s="2" t="s">
        <v>27</v>
      </c>
      <c r="C521" s="2" t="s">
        <v>28</v>
      </c>
      <c r="D521" s="2" t="s">
        <v>97</v>
      </c>
      <c r="E521" s="2" t="s">
        <v>3884</v>
      </c>
      <c r="F521" s="2" t="s">
        <v>99</v>
      </c>
      <c r="G521" s="2" t="s">
        <v>32</v>
      </c>
      <c r="H521" s="1"/>
      <c r="I521" s="2" t="s">
        <v>33</v>
      </c>
      <c r="J521" s="2" t="s">
        <v>34</v>
      </c>
      <c r="K521" s="2" t="s">
        <v>763</v>
      </c>
      <c r="L521" s="2" t="s">
        <v>764</v>
      </c>
      <c r="M521" s="2" t="s">
        <v>701</v>
      </c>
      <c r="N521" s="2" t="s">
        <v>38</v>
      </c>
      <c r="O521" s="2" t="s">
        <v>3993</v>
      </c>
      <c r="P521" s="2" t="s">
        <v>1175</v>
      </c>
      <c r="Q521" s="2" t="s">
        <v>3994</v>
      </c>
      <c r="R521" s="2" t="s">
        <v>40</v>
      </c>
      <c r="S521" s="2" t="s">
        <v>3995</v>
      </c>
      <c r="T521" s="2" t="s">
        <v>759</v>
      </c>
      <c r="U521" s="2" t="s">
        <v>3996</v>
      </c>
      <c r="V521" s="2" t="s">
        <v>3997</v>
      </c>
      <c r="W521" s="1"/>
      <c r="X521" s="2" t="s">
        <v>709</v>
      </c>
      <c r="Y521" s="2" t="s">
        <v>3893</v>
      </c>
      <c r="AA521" t="str">
        <f t="shared" si="48"/>
        <v>2026-05</v>
      </c>
      <c r="AB521" t="str">
        <f t="shared" si="49"/>
        <v>H1_2026</v>
      </c>
      <c r="AC521">
        <f t="shared" si="50"/>
        <v>18637700.399999999</v>
      </c>
      <c r="AD521">
        <f t="shared" si="51"/>
        <v>2070</v>
      </c>
      <c r="AE521">
        <f t="shared" si="52"/>
        <v>2988500.4</v>
      </c>
      <c r="AF521" t="str">
        <f t="shared" si="53"/>
        <v>Paid</v>
      </c>
    </row>
    <row r="522" spans="1:32" ht="17.25" thickBot="1" x14ac:dyDescent="0.35">
      <c r="A522" s="2" t="s">
        <v>3998</v>
      </c>
      <c r="B522" s="2" t="s">
        <v>27</v>
      </c>
      <c r="C522" s="2" t="s">
        <v>28</v>
      </c>
      <c r="D522" s="2" t="s">
        <v>97</v>
      </c>
      <c r="E522" s="2" t="s">
        <v>3999</v>
      </c>
      <c r="F522" s="2" t="s">
        <v>99</v>
      </c>
      <c r="G522" s="2" t="s">
        <v>32</v>
      </c>
      <c r="H522" s="1"/>
      <c r="I522" s="2" t="s">
        <v>33</v>
      </c>
      <c r="J522" s="2" t="s">
        <v>34</v>
      </c>
      <c r="K522" s="2" t="s">
        <v>3885</v>
      </c>
      <c r="L522" s="2" t="s">
        <v>3886</v>
      </c>
      <c r="M522" s="2" t="s">
        <v>701</v>
      </c>
      <c r="N522" s="2" t="s">
        <v>38</v>
      </c>
      <c r="O522" s="2" t="s">
        <v>1086</v>
      </c>
      <c r="P522" s="2" t="s">
        <v>3888</v>
      </c>
      <c r="Q522" s="2" t="s">
        <v>1168</v>
      </c>
      <c r="R522" s="2" t="s">
        <v>40</v>
      </c>
      <c r="S522" s="2" t="s">
        <v>4000</v>
      </c>
      <c r="T522" s="2" t="s">
        <v>706</v>
      </c>
      <c r="U522" s="2" t="s">
        <v>4001</v>
      </c>
      <c r="V522" s="2" t="s">
        <v>4002</v>
      </c>
      <c r="W522" s="1"/>
      <c r="X522" s="2" t="s">
        <v>709</v>
      </c>
      <c r="Y522" s="2" t="s">
        <v>4003</v>
      </c>
      <c r="AA522" t="str">
        <f t="shared" si="48"/>
        <v>2026-05</v>
      </c>
      <c r="AB522" t="str">
        <f t="shared" si="49"/>
        <v>H1_2026</v>
      </c>
      <c r="AC522">
        <f t="shared" si="50"/>
        <v>7495920</v>
      </c>
      <c r="AD522">
        <f t="shared" si="51"/>
        <v>750</v>
      </c>
      <c r="AE522">
        <f t="shared" si="52"/>
        <v>1195920</v>
      </c>
      <c r="AF522" t="str">
        <f t="shared" si="53"/>
        <v>Paid</v>
      </c>
    </row>
    <row r="523" spans="1:32" ht="17.25" thickBot="1" x14ac:dyDescent="0.35">
      <c r="A523" s="2" t="s">
        <v>4004</v>
      </c>
      <c r="B523" s="2" t="s">
        <v>27</v>
      </c>
      <c r="C523" s="2" t="s">
        <v>28</v>
      </c>
      <c r="D523" s="2" t="s">
        <v>97</v>
      </c>
      <c r="E523" s="2" t="s">
        <v>3999</v>
      </c>
      <c r="F523" s="2" t="s">
        <v>99</v>
      </c>
      <c r="G523" s="2" t="s">
        <v>32</v>
      </c>
      <c r="H523" s="1"/>
      <c r="I523" s="2" t="s">
        <v>33</v>
      </c>
      <c r="J523" s="2" t="s">
        <v>34</v>
      </c>
      <c r="K523" s="2" t="s">
        <v>3895</v>
      </c>
      <c r="L523" s="2" t="s">
        <v>3896</v>
      </c>
      <c r="M523" s="2" t="s">
        <v>701</v>
      </c>
      <c r="N523" s="2" t="s">
        <v>38</v>
      </c>
      <c r="O523" s="2" t="s">
        <v>4005</v>
      </c>
      <c r="P523" s="2" t="s">
        <v>3898</v>
      </c>
      <c r="Q523" s="2" t="s">
        <v>4006</v>
      </c>
      <c r="R523" s="2" t="s">
        <v>40</v>
      </c>
      <c r="S523" s="2" t="s">
        <v>4007</v>
      </c>
      <c r="T523" s="2" t="s">
        <v>1444</v>
      </c>
      <c r="U523" s="2" t="s">
        <v>4008</v>
      </c>
      <c r="V523" s="2" t="s">
        <v>4009</v>
      </c>
      <c r="W523" s="1"/>
      <c r="X523" s="2" t="s">
        <v>3903</v>
      </c>
      <c r="Y523" s="2" t="s">
        <v>4003</v>
      </c>
      <c r="AA523" t="str">
        <f t="shared" si="48"/>
        <v>2026-05</v>
      </c>
      <c r="AB523" t="str">
        <f t="shared" si="49"/>
        <v>H1_2026</v>
      </c>
      <c r="AC523">
        <f t="shared" si="50"/>
        <v>18409376.399999999</v>
      </c>
      <c r="AD523">
        <f t="shared" si="51"/>
        <v>2830</v>
      </c>
      <c r="AE523">
        <f t="shared" si="52"/>
        <v>2957576.4</v>
      </c>
      <c r="AF523" t="str">
        <f t="shared" si="53"/>
        <v>Paid</v>
      </c>
    </row>
    <row r="524" spans="1:32" ht="17.25" thickBot="1" x14ac:dyDescent="0.35">
      <c r="A524" s="2" t="s">
        <v>4010</v>
      </c>
      <c r="B524" s="2" t="s">
        <v>27</v>
      </c>
      <c r="C524" s="2" t="s">
        <v>28</v>
      </c>
      <c r="D524" s="2" t="s">
        <v>97</v>
      </c>
      <c r="E524" s="2" t="s">
        <v>3999</v>
      </c>
      <c r="F524" s="2" t="s">
        <v>99</v>
      </c>
      <c r="G524" s="2" t="s">
        <v>32</v>
      </c>
      <c r="H524" s="1"/>
      <c r="I524" s="2" t="s">
        <v>33</v>
      </c>
      <c r="J524" s="2" t="s">
        <v>34</v>
      </c>
      <c r="K524" s="2" t="s">
        <v>3905</v>
      </c>
      <c r="L524" s="2" t="s">
        <v>3906</v>
      </c>
      <c r="M524" s="2" t="s">
        <v>701</v>
      </c>
      <c r="N524" s="2" t="s">
        <v>38</v>
      </c>
      <c r="O524" s="2" t="s">
        <v>3167</v>
      </c>
      <c r="P524" s="2" t="s">
        <v>3908</v>
      </c>
      <c r="Q524" s="2" t="s">
        <v>4011</v>
      </c>
      <c r="R524" s="2" t="s">
        <v>40</v>
      </c>
      <c r="S524" s="2" t="s">
        <v>4012</v>
      </c>
      <c r="T524" s="2" t="s">
        <v>3015</v>
      </c>
      <c r="U524" s="2" t="s">
        <v>4013</v>
      </c>
      <c r="V524" s="2" t="s">
        <v>4014</v>
      </c>
      <c r="W524" s="1"/>
      <c r="X524" s="2" t="s">
        <v>3903</v>
      </c>
      <c r="Y524" s="2" t="s">
        <v>4003</v>
      </c>
      <c r="AA524" t="str">
        <f t="shared" si="48"/>
        <v>2026-05</v>
      </c>
      <c r="AB524" t="str">
        <f t="shared" si="49"/>
        <v>H1_2026</v>
      </c>
      <c r="AC524">
        <f t="shared" si="50"/>
        <v>3612401.6</v>
      </c>
      <c r="AD524">
        <f t="shared" si="51"/>
        <v>380</v>
      </c>
      <c r="AE524">
        <f t="shared" si="52"/>
        <v>580001.6</v>
      </c>
      <c r="AF524" t="str">
        <f t="shared" si="53"/>
        <v>Paid</v>
      </c>
    </row>
    <row r="525" spans="1:32" ht="17.25" thickBot="1" x14ac:dyDescent="0.35">
      <c r="A525" s="2" t="s">
        <v>4015</v>
      </c>
      <c r="B525" s="2" t="s">
        <v>27</v>
      </c>
      <c r="C525" s="2" t="s">
        <v>28</v>
      </c>
      <c r="D525" s="2" t="s">
        <v>97</v>
      </c>
      <c r="E525" s="2" t="s">
        <v>3999</v>
      </c>
      <c r="F525" s="2" t="s">
        <v>99</v>
      </c>
      <c r="G525" s="2" t="s">
        <v>32</v>
      </c>
      <c r="H525" s="1"/>
      <c r="I525" s="2" t="s">
        <v>33</v>
      </c>
      <c r="J525" s="2" t="s">
        <v>34</v>
      </c>
      <c r="K525" s="2" t="s">
        <v>3922</v>
      </c>
      <c r="L525" s="2" t="s">
        <v>3923</v>
      </c>
      <c r="M525" s="2" t="s">
        <v>701</v>
      </c>
      <c r="N525" s="2" t="s">
        <v>38</v>
      </c>
      <c r="O525" s="2" t="s">
        <v>493</v>
      </c>
      <c r="P525" s="2" t="s">
        <v>1175</v>
      </c>
      <c r="Q525" s="2" t="s">
        <v>4016</v>
      </c>
      <c r="R525" s="2" t="s">
        <v>40</v>
      </c>
      <c r="S525" s="2" t="s">
        <v>4017</v>
      </c>
      <c r="T525" s="2" t="s">
        <v>759</v>
      </c>
      <c r="U525" s="2" t="s">
        <v>4018</v>
      </c>
      <c r="V525" s="2" t="s">
        <v>4019</v>
      </c>
      <c r="W525" s="1"/>
      <c r="X525" s="2" t="s">
        <v>709</v>
      </c>
      <c r="Y525" s="2" t="s">
        <v>4003</v>
      </c>
      <c r="AA525" t="str">
        <f t="shared" si="48"/>
        <v>2026-05</v>
      </c>
      <c r="AB525" t="str">
        <f t="shared" si="49"/>
        <v>H1_2026</v>
      </c>
      <c r="AC525">
        <f t="shared" si="50"/>
        <v>3781562.4</v>
      </c>
      <c r="AD525">
        <f t="shared" si="51"/>
        <v>420</v>
      </c>
      <c r="AE525">
        <f t="shared" si="52"/>
        <v>606362.4</v>
      </c>
      <c r="AF525" t="str">
        <f t="shared" si="53"/>
        <v>Paid</v>
      </c>
    </row>
    <row r="526" spans="1:32" ht="17.25" thickBot="1" x14ac:dyDescent="0.35">
      <c r="A526" s="2" t="s">
        <v>4020</v>
      </c>
      <c r="B526" s="2" t="s">
        <v>27</v>
      </c>
      <c r="C526" s="2" t="s">
        <v>28</v>
      </c>
      <c r="D526" s="2" t="s">
        <v>97</v>
      </c>
      <c r="E526" s="2" t="s">
        <v>3999</v>
      </c>
      <c r="F526" s="2" t="s">
        <v>99</v>
      </c>
      <c r="G526" s="2" t="s">
        <v>32</v>
      </c>
      <c r="H526" s="1"/>
      <c r="I526" s="2" t="s">
        <v>33</v>
      </c>
      <c r="J526" s="2" t="s">
        <v>34</v>
      </c>
      <c r="K526" s="2" t="s">
        <v>3930</v>
      </c>
      <c r="L526" s="2" t="s">
        <v>3931</v>
      </c>
      <c r="M526" s="2" t="s">
        <v>701</v>
      </c>
      <c r="N526" s="2" t="s">
        <v>38</v>
      </c>
      <c r="O526" s="2" t="s">
        <v>4021</v>
      </c>
      <c r="P526" s="2" t="s">
        <v>3933</v>
      </c>
      <c r="Q526" s="2" t="s">
        <v>4022</v>
      </c>
      <c r="R526" s="2" t="s">
        <v>40</v>
      </c>
      <c r="S526" s="2" t="s">
        <v>4023</v>
      </c>
      <c r="T526" s="2" t="s">
        <v>3936</v>
      </c>
      <c r="U526" s="2" t="s">
        <v>4024</v>
      </c>
      <c r="V526" s="2" t="s">
        <v>4025</v>
      </c>
      <c r="W526" s="1"/>
      <c r="X526" s="2" t="s">
        <v>709</v>
      </c>
      <c r="Y526" s="2" t="s">
        <v>4003</v>
      </c>
      <c r="AA526" t="str">
        <f t="shared" si="48"/>
        <v>2026-05</v>
      </c>
      <c r="AB526" t="str">
        <f t="shared" si="49"/>
        <v>H1_2026</v>
      </c>
      <c r="AC526">
        <f t="shared" si="50"/>
        <v>36214771.200000003</v>
      </c>
      <c r="AD526">
        <f t="shared" si="51"/>
        <v>2130</v>
      </c>
      <c r="AE526">
        <f t="shared" si="52"/>
        <v>5798371.2000000002</v>
      </c>
      <c r="AF526" t="str">
        <f t="shared" si="53"/>
        <v>Paid</v>
      </c>
    </row>
    <row r="527" spans="1:32" ht="17.25" thickBot="1" x14ac:dyDescent="0.35">
      <c r="A527" s="2" t="s">
        <v>4026</v>
      </c>
      <c r="B527" s="2" t="s">
        <v>27</v>
      </c>
      <c r="C527" s="2" t="s">
        <v>28</v>
      </c>
      <c r="D527" s="2" t="s">
        <v>97</v>
      </c>
      <c r="E527" s="2" t="s">
        <v>3999</v>
      </c>
      <c r="F527" s="2" t="s">
        <v>99</v>
      </c>
      <c r="G527" s="2" t="s">
        <v>32</v>
      </c>
      <c r="H527" s="1"/>
      <c r="I527" s="2" t="s">
        <v>33</v>
      </c>
      <c r="J527" s="2" t="s">
        <v>34</v>
      </c>
      <c r="K527" s="2" t="s">
        <v>3940</v>
      </c>
      <c r="L527" s="2" t="s">
        <v>3941</v>
      </c>
      <c r="M527" s="2" t="s">
        <v>701</v>
      </c>
      <c r="N527" s="2" t="s">
        <v>38</v>
      </c>
      <c r="O527" s="2" t="s">
        <v>4027</v>
      </c>
      <c r="P527" s="2" t="s">
        <v>3943</v>
      </c>
      <c r="Q527" s="2" t="s">
        <v>4028</v>
      </c>
      <c r="R527" s="2" t="s">
        <v>40</v>
      </c>
      <c r="S527" s="2" t="s">
        <v>4029</v>
      </c>
      <c r="T527" s="2" t="s">
        <v>726</v>
      </c>
      <c r="U527" s="2" t="s">
        <v>4030</v>
      </c>
      <c r="V527" s="2" t="s">
        <v>4031</v>
      </c>
      <c r="W527" s="1"/>
      <c r="X527" s="2" t="s">
        <v>709</v>
      </c>
      <c r="Y527" s="2" t="s">
        <v>4003</v>
      </c>
      <c r="AA527" t="str">
        <f t="shared" si="48"/>
        <v>2026-05</v>
      </c>
      <c r="AB527" t="str">
        <f t="shared" si="49"/>
        <v>H1_2026</v>
      </c>
      <c r="AC527">
        <f t="shared" si="50"/>
        <v>35449670.399999999</v>
      </c>
      <c r="AD527">
        <f t="shared" si="51"/>
        <v>4170</v>
      </c>
      <c r="AE527">
        <f t="shared" si="52"/>
        <v>5675870.4000000004</v>
      </c>
      <c r="AF527" t="str">
        <f t="shared" si="53"/>
        <v>Paid</v>
      </c>
    </row>
    <row r="528" spans="1:32" ht="17.25" thickBot="1" x14ac:dyDescent="0.35">
      <c r="A528" s="2" t="s">
        <v>4032</v>
      </c>
      <c r="B528" s="2" t="s">
        <v>27</v>
      </c>
      <c r="C528" s="2" t="s">
        <v>28</v>
      </c>
      <c r="D528" s="2" t="s">
        <v>97</v>
      </c>
      <c r="E528" s="2" t="s">
        <v>3999</v>
      </c>
      <c r="F528" s="2" t="s">
        <v>99</v>
      </c>
      <c r="G528" s="2" t="s">
        <v>32</v>
      </c>
      <c r="H528" s="1"/>
      <c r="I528" s="2" t="s">
        <v>33</v>
      </c>
      <c r="J528" s="2" t="s">
        <v>34</v>
      </c>
      <c r="K528" s="2" t="s">
        <v>3949</v>
      </c>
      <c r="L528" s="2" t="s">
        <v>3950</v>
      </c>
      <c r="M528" s="2" t="s">
        <v>701</v>
      </c>
      <c r="N528" s="2" t="s">
        <v>38</v>
      </c>
      <c r="O528" s="2" t="s">
        <v>1951</v>
      </c>
      <c r="P528" s="2" t="s">
        <v>3943</v>
      </c>
      <c r="Q528" s="2" t="s">
        <v>4033</v>
      </c>
      <c r="R528" s="2" t="s">
        <v>40</v>
      </c>
      <c r="S528" s="2" t="s">
        <v>4034</v>
      </c>
      <c r="T528" s="2" t="s">
        <v>726</v>
      </c>
      <c r="U528" s="2" t="s">
        <v>4035</v>
      </c>
      <c r="V528" s="2" t="s">
        <v>4036</v>
      </c>
      <c r="W528" s="1"/>
      <c r="X528" s="2" t="s">
        <v>709</v>
      </c>
      <c r="Y528" s="2" t="s">
        <v>4003</v>
      </c>
      <c r="AA528" t="str">
        <f t="shared" si="48"/>
        <v>2026-05</v>
      </c>
      <c r="AB528" t="str">
        <f t="shared" si="49"/>
        <v>H1_2026</v>
      </c>
      <c r="AC528">
        <f t="shared" si="50"/>
        <v>5100672</v>
      </c>
      <c r="AD528">
        <f t="shared" si="51"/>
        <v>600</v>
      </c>
      <c r="AE528">
        <f t="shared" si="52"/>
        <v>816672</v>
      </c>
      <c r="AF528" t="str">
        <f t="shared" si="53"/>
        <v>Paid</v>
      </c>
    </row>
    <row r="529" spans="1:32" ht="17.25" thickBot="1" x14ac:dyDescent="0.35">
      <c r="A529" s="2" t="s">
        <v>4037</v>
      </c>
      <c r="B529" s="2" t="s">
        <v>27</v>
      </c>
      <c r="C529" s="2" t="s">
        <v>28</v>
      </c>
      <c r="D529" s="2" t="s">
        <v>97</v>
      </c>
      <c r="E529" s="2" t="s">
        <v>3999</v>
      </c>
      <c r="F529" s="2" t="s">
        <v>99</v>
      </c>
      <c r="G529" s="2" t="s">
        <v>32</v>
      </c>
      <c r="H529" s="1"/>
      <c r="I529" s="2" t="s">
        <v>33</v>
      </c>
      <c r="J529" s="2" t="s">
        <v>34</v>
      </c>
      <c r="K529" s="2" t="s">
        <v>3957</v>
      </c>
      <c r="L529" s="2" t="s">
        <v>3958</v>
      </c>
      <c r="M529" s="2" t="s">
        <v>701</v>
      </c>
      <c r="N529" s="2" t="s">
        <v>38</v>
      </c>
      <c r="O529" s="2" t="s">
        <v>4038</v>
      </c>
      <c r="P529" s="2" t="s">
        <v>3943</v>
      </c>
      <c r="Q529" s="2" t="s">
        <v>1955</v>
      </c>
      <c r="R529" s="2" t="s">
        <v>40</v>
      </c>
      <c r="S529" s="2" t="s">
        <v>4039</v>
      </c>
      <c r="T529" s="2" t="s">
        <v>726</v>
      </c>
      <c r="U529" s="2" t="s">
        <v>4040</v>
      </c>
      <c r="V529" s="2" t="s">
        <v>4041</v>
      </c>
      <c r="W529" s="1"/>
      <c r="X529" s="2" t="s">
        <v>709</v>
      </c>
      <c r="Y529" s="2" t="s">
        <v>4003</v>
      </c>
      <c r="AA529" t="str">
        <f t="shared" si="48"/>
        <v>2026-05</v>
      </c>
      <c r="AB529" t="str">
        <f t="shared" si="49"/>
        <v>H1_2026</v>
      </c>
      <c r="AC529">
        <f t="shared" si="50"/>
        <v>12751680</v>
      </c>
      <c r="AD529">
        <f t="shared" si="51"/>
        <v>1500</v>
      </c>
      <c r="AE529">
        <f t="shared" si="52"/>
        <v>2041680</v>
      </c>
      <c r="AF529" t="str">
        <f t="shared" si="53"/>
        <v>Paid</v>
      </c>
    </row>
    <row r="530" spans="1:32" ht="17.25" thickBot="1" x14ac:dyDescent="0.35">
      <c r="A530" s="2" t="s">
        <v>4042</v>
      </c>
      <c r="B530" s="2" t="s">
        <v>27</v>
      </c>
      <c r="C530" s="2" t="s">
        <v>28</v>
      </c>
      <c r="D530" s="2" t="s">
        <v>97</v>
      </c>
      <c r="E530" s="2" t="s">
        <v>3999</v>
      </c>
      <c r="F530" s="2" t="s">
        <v>99</v>
      </c>
      <c r="G530" s="2" t="s">
        <v>32</v>
      </c>
      <c r="H530" s="1"/>
      <c r="I530" s="2" t="s">
        <v>33</v>
      </c>
      <c r="J530" s="2" t="s">
        <v>34</v>
      </c>
      <c r="K530" s="2" t="s">
        <v>3970</v>
      </c>
      <c r="L530" s="2" t="s">
        <v>3971</v>
      </c>
      <c r="M530" s="2" t="s">
        <v>701</v>
      </c>
      <c r="N530" s="2" t="s">
        <v>38</v>
      </c>
      <c r="O530" s="2" t="s">
        <v>4043</v>
      </c>
      <c r="P530" s="2" t="s">
        <v>1175</v>
      </c>
      <c r="Q530" s="2" t="s">
        <v>4044</v>
      </c>
      <c r="R530" s="2" t="s">
        <v>40</v>
      </c>
      <c r="S530" s="2" t="s">
        <v>4045</v>
      </c>
      <c r="T530" s="2" t="s">
        <v>759</v>
      </c>
      <c r="U530" s="2" t="s">
        <v>4046</v>
      </c>
      <c r="V530" s="2" t="s">
        <v>4047</v>
      </c>
      <c r="W530" s="1"/>
      <c r="X530" s="2" t="s">
        <v>709</v>
      </c>
      <c r="Y530" s="2" t="s">
        <v>4003</v>
      </c>
      <c r="AA530" t="str">
        <f t="shared" si="48"/>
        <v>2026-05</v>
      </c>
      <c r="AB530" t="str">
        <f t="shared" si="49"/>
        <v>H1_2026</v>
      </c>
      <c r="AC530">
        <f t="shared" si="50"/>
        <v>7293013.2000000002</v>
      </c>
      <c r="AD530">
        <f t="shared" si="51"/>
        <v>810</v>
      </c>
      <c r="AE530">
        <f t="shared" si="52"/>
        <v>1169413.2</v>
      </c>
      <c r="AF530" t="str">
        <f t="shared" si="53"/>
        <v>Paid</v>
      </c>
    </row>
    <row r="531" spans="1:32" ht="17.25" thickBot="1" x14ac:dyDescent="0.35">
      <c r="A531" s="2" t="s">
        <v>4048</v>
      </c>
      <c r="B531" s="2" t="s">
        <v>27</v>
      </c>
      <c r="C531" s="2" t="s">
        <v>28</v>
      </c>
      <c r="D531" s="2" t="s">
        <v>97</v>
      </c>
      <c r="E531" s="2" t="s">
        <v>3999</v>
      </c>
      <c r="F531" s="2" t="s">
        <v>99</v>
      </c>
      <c r="G531" s="2" t="s">
        <v>32</v>
      </c>
      <c r="H531" s="1"/>
      <c r="I531" s="2" t="s">
        <v>33</v>
      </c>
      <c r="J531" s="2" t="s">
        <v>34</v>
      </c>
      <c r="K531" s="2" t="s">
        <v>3978</v>
      </c>
      <c r="L531" s="2" t="s">
        <v>3979</v>
      </c>
      <c r="M531" s="2" t="s">
        <v>701</v>
      </c>
      <c r="N531" s="2" t="s">
        <v>38</v>
      </c>
      <c r="O531" s="2" t="s">
        <v>1056</v>
      </c>
      <c r="P531" s="2" t="s">
        <v>1175</v>
      </c>
      <c r="Q531" s="2" t="s">
        <v>4049</v>
      </c>
      <c r="R531" s="2" t="s">
        <v>40</v>
      </c>
      <c r="S531" s="2" t="s">
        <v>4050</v>
      </c>
      <c r="T531" s="2" t="s">
        <v>759</v>
      </c>
      <c r="U531" s="2" t="s">
        <v>4051</v>
      </c>
      <c r="V531" s="2" t="s">
        <v>4052</v>
      </c>
      <c r="W531" s="1"/>
      <c r="X531" s="2" t="s">
        <v>709</v>
      </c>
      <c r="Y531" s="2" t="s">
        <v>4003</v>
      </c>
      <c r="AA531" t="str">
        <f t="shared" si="48"/>
        <v>2026-05</v>
      </c>
      <c r="AB531" t="str">
        <f t="shared" si="49"/>
        <v>H1_2026</v>
      </c>
      <c r="AC531">
        <f t="shared" si="50"/>
        <v>7923273.5999999996</v>
      </c>
      <c r="AD531">
        <f t="shared" si="51"/>
        <v>880</v>
      </c>
      <c r="AE531">
        <f t="shared" si="52"/>
        <v>1270473.6000000001</v>
      </c>
      <c r="AF531" t="str">
        <f t="shared" si="53"/>
        <v>Paid</v>
      </c>
    </row>
    <row r="532" spans="1:32" ht="17.25" thickBot="1" x14ac:dyDescent="0.35">
      <c r="A532" s="2" t="s">
        <v>1574</v>
      </c>
      <c r="B532" s="2" t="s">
        <v>27</v>
      </c>
      <c r="C532" s="2" t="s">
        <v>28</v>
      </c>
      <c r="D532" s="2" t="s">
        <v>97</v>
      </c>
      <c r="E532" s="2" t="s">
        <v>3999</v>
      </c>
      <c r="F532" s="2" t="s">
        <v>99</v>
      </c>
      <c r="G532" s="2" t="s">
        <v>32</v>
      </c>
      <c r="H532" s="1"/>
      <c r="I532" s="2" t="s">
        <v>33</v>
      </c>
      <c r="J532" s="2" t="s">
        <v>34</v>
      </c>
      <c r="K532" s="2" t="s">
        <v>3986</v>
      </c>
      <c r="L532" s="2" t="s">
        <v>3987</v>
      </c>
      <c r="M532" s="2" t="s">
        <v>701</v>
      </c>
      <c r="N532" s="2" t="s">
        <v>38</v>
      </c>
      <c r="O532" s="2" t="s">
        <v>214</v>
      </c>
      <c r="P532" s="2" t="s">
        <v>3943</v>
      </c>
      <c r="Q532" s="2" t="s">
        <v>4053</v>
      </c>
      <c r="R532" s="2" t="s">
        <v>40</v>
      </c>
      <c r="S532" s="2" t="s">
        <v>4054</v>
      </c>
      <c r="T532" s="2" t="s">
        <v>726</v>
      </c>
      <c r="U532" s="2" t="s">
        <v>4055</v>
      </c>
      <c r="V532" s="2" t="s">
        <v>4056</v>
      </c>
      <c r="W532" s="1"/>
      <c r="X532" s="2" t="s">
        <v>709</v>
      </c>
      <c r="Y532" s="2" t="s">
        <v>4003</v>
      </c>
      <c r="AA532" t="str">
        <f t="shared" si="48"/>
        <v>2026-05</v>
      </c>
      <c r="AB532" t="str">
        <f t="shared" si="49"/>
        <v>H1_2026</v>
      </c>
      <c r="AC532">
        <f t="shared" si="50"/>
        <v>425056</v>
      </c>
      <c r="AD532">
        <f t="shared" si="51"/>
        <v>50</v>
      </c>
      <c r="AE532">
        <f t="shared" si="52"/>
        <v>68056</v>
      </c>
      <c r="AF532" t="str">
        <f t="shared" si="53"/>
        <v>Paid</v>
      </c>
    </row>
    <row r="533" spans="1:32" ht="17.25" thickBot="1" x14ac:dyDescent="0.35">
      <c r="A533" s="2" t="s">
        <v>4057</v>
      </c>
      <c r="B533" s="2" t="s">
        <v>27</v>
      </c>
      <c r="C533" s="2" t="s">
        <v>28</v>
      </c>
      <c r="D533" s="2" t="s">
        <v>97</v>
      </c>
      <c r="E533" s="2" t="s">
        <v>3999</v>
      </c>
      <c r="F533" s="2" t="s">
        <v>99</v>
      </c>
      <c r="G533" s="2" t="s">
        <v>32</v>
      </c>
      <c r="H533" s="1"/>
      <c r="I533" s="2" t="s">
        <v>33</v>
      </c>
      <c r="J533" s="2" t="s">
        <v>34</v>
      </c>
      <c r="K533" s="2" t="s">
        <v>763</v>
      </c>
      <c r="L533" s="2" t="s">
        <v>764</v>
      </c>
      <c r="M533" s="2" t="s">
        <v>701</v>
      </c>
      <c r="N533" s="2" t="s">
        <v>38</v>
      </c>
      <c r="O533" s="2" t="s">
        <v>4058</v>
      </c>
      <c r="P533" s="2" t="s">
        <v>1175</v>
      </c>
      <c r="Q533" s="2" t="s">
        <v>4059</v>
      </c>
      <c r="R533" s="2" t="s">
        <v>40</v>
      </c>
      <c r="S533" s="2" t="s">
        <v>4060</v>
      </c>
      <c r="T533" s="2" t="s">
        <v>759</v>
      </c>
      <c r="U533" s="2" t="s">
        <v>4061</v>
      </c>
      <c r="V533" s="2" t="s">
        <v>4062</v>
      </c>
      <c r="W533" s="1"/>
      <c r="X533" s="2" t="s">
        <v>709</v>
      </c>
      <c r="Y533" s="2" t="s">
        <v>4003</v>
      </c>
      <c r="AA533" t="str">
        <f t="shared" si="48"/>
        <v>2026-05</v>
      </c>
      <c r="AB533" t="str">
        <f t="shared" si="49"/>
        <v>H1_2026</v>
      </c>
      <c r="AC533">
        <f t="shared" si="50"/>
        <v>9453906</v>
      </c>
      <c r="AD533">
        <f t="shared" si="51"/>
        <v>1050</v>
      </c>
      <c r="AE533">
        <f t="shared" si="52"/>
        <v>1515906</v>
      </c>
      <c r="AF533" t="str">
        <f t="shared" si="53"/>
        <v>Paid</v>
      </c>
    </row>
    <row r="534" spans="1:32" ht="27.75" thickBot="1" x14ac:dyDescent="0.35">
      <c r="A534" s="2" t="s">
        <v>4063</v>
      </c>
      <c r="B534" s="2" t="s">
        <v>27</v>
      </c>
      <c r="C534" s="2" t="s">
        <v>28</v>
      </c>
      <c r="D534" s="2" t="s">
        <v>97</v>
      </c>
      <c r="E534" s="2" t="s">
        <v>3999</v>
      </c>
      <c r="F534" s="2" t="s">
        <v>99</v>
      </c>
      <c r="G534" s="2" t="s">
        <v>32</v>
      </c>
      <c r="H534" s="1"/>
      <c r="I534" s="2" t="s">
        <v>33</v>
      </c>
      <c r="J534" s="2" t="s">
        <v>34</v>
      </c>
      <c r="K534" s="2" t="s">
        <v>314</v>
      </c>
      <c r="L534" s="2" t="s">
        <v>315</v>
      </c>
      <c r="M534" s="2" t="s">
        <v>304</v>
      </c>
      <c r="N534" s="2" t="s">
        <v>38</v>
      </c>
      <c r="O534" s="2" t="s">
        <v>391</v>
      </c>
      <c r="P534" s="2" t="s">
        <v>4064</v>
      </c>
      <c r="Q534" s="2" t="s">
        <v>4065</v>
      </c>
      <c r="R534" s="2" t="s">
        <v>40</v>
      </c>
      <c r="S534" s="2" t="s">
        <v>4066</v>
      </c>
      <c r="T534" s="2" t="s">
        <v>309</v>
      </c>
      <c r="U534" s="2" t="s">
        <v>385</v>
      </c>
      <c r="V534" s="2" t="s">
        <v>4067</v>
      </c>
      <c r="W534" s="1"/>
      <c r="X534" s="2" t="s">
        <v>4068</v>
      </c>
      <c r="Y534" s="2" t="s">
        <v>4069</v>
      </c>
      <c r="AA534" t="str">
        <f t="shared" si="48"/>
        <v>2026-05</v>
      </c>
      <c r="AB534" t="str">
        <f t="shared" si="49"/>
        <v>H1_2026</v>
      </c>
      <c r="AC534">
        <f t="shared" si="50"/>
        <v>530769.6</v>
      </c>
      <c r="AD534">
        <f t="shared" si="51"/>
        <v>60</v>
      </c>
      <c r="AE534">
        <f t="shared" si="52"/>
        <v>65169.599999999999</v>
      </c>
      <c r="AF534" t="str">
        <f t="shared" si="53"/>
        <v>Paid</v>
      </c>
    </row>
    <row r="535" spans="1:32" ht="17.25" thickBot="1" x14ac:dyDescent="0.35">
      <c r="A535" s="2" t="s">
        <v>4070</v>
      </c>
      <c r="B535" s="2" t="s">
        <v>27</v>
      </c>
      <c r="C535" s="2" t="s">
        <v>28</v>
      </c>
      <c r="D535" s="2" t="s">
        <v>97</v>
      </c>
      <c r="E535" s="2" t="s">
        <v>3999</v>
      </c>
      <c r="F535" s="2" t="s">
        <v>99</v>
      </c>
      <c r="G535" s="2" t="s">
        <v>32</v>
      </c>
      <c r="H535" s="1"/>
      <c r="I535" s="2" t="s">
        <v>33</v>
      </c>
      <c r="J535" s="2" t="s">
        <v>34</v>
      </c>
      <c r="K535" s="2" t="s">
        <v>334</v>
      </c>
      <c r="L535" s="2" t="s">
        <v>335</v>
      </c>
      <c r="M535" s="2" t="s">
        <v>304</v>
      </c>
      <c r="N535" s="2" t="s">
        <v>38</v>
      </c>
      <c r="O535" s="2" t="s">
        <v>221</v>
      </c>
      <c r="P535" s="2" t="s">
        <v>1414</v>
      </c>
      <c r="Q535" s="2" t="s">
        <v>4071</v>
      </c>
      <c r="R535" s="2" t="s">
        <v>40</v>
      </c>
      <c r="S535" s="2" t="s">
        <v>4072</v>
      </c>
      <c r="T535" s="2" t="s">
        <v>309</v>
      </c>
      <c r="U535" s="2" t="s">
        <v>1108</v>
      </c>
      <c r="V535" s="2" t="s">
        <v>4073</v>
      </c>
      <c r="W535" s="1"/>
      <c r="X535" s="2" t="s">
        <v>398</v>
      </c>
      <c r="Y535" s="2" t="s">
        <v>4069</v>
      </c>
      <c r="AA535" t="str">
        <f t="shared" si="48"/>
        <v>2026-05</v>
      </c>
      <c r="AB535" t="str">
        <f t="shared" si="49"/>
        <v>H1_2026</v>
      </c>
      <c r="AC535">
        <f t="shared" si="50"/>
        <v>1234467.3600000001</v>
      </c>
      <c r="AD535">
        <f t="shared" si="51"/>
        <v>140</v>
      </c>
      <c r="AE535">
        <f t="shared" si="52"/>
        <v>148067.35999999999</v>
      </c>
      <c r="AF535" t="str">
        <f t="shared" si="53"/>
        <v>Paid</v>
      </c>
    </row>
    <row r="536" spans="1:32" ht="17.25" thickBot="1" x14ac:dyDescent="0.35">
      <c r="A536" s="2" t="s">
        <v>4074</v>
      </c>
      <c r="B536" s="2" t="s">
        <v>27</v>
      </c>
      <c r="C536" s="2" t="s">
        <v>28</v>
      </c>
      <c r="D536" s="2" t="s">
        <v>97</v>
      </c>
      <c r="E536" s="2" t="s">
        <v>3999</v>
      </c>
      <c r="F536" s="2" t="s">
        <v>99</v>
      </c>
      <c r="G536" s="2" t="s">
        <v>32</v>
      </c>
      <c r="H536" s="1"/>
      <c r="I536" s="2" t="s">
        <v>33</v>
      </c>
      <c r="J536" s="2" t="s">
        <v>34</v>
      </c>
      <c r="K536" s="2" t="s">
        <v>341</v>
      </c>
      <c r="L536" s="2" t="s">
        <v>342</v>
      </c>
      <c r="M536" s="2" t="s">
        <v>304</v>
      </c>
      <c r="N536" s="2" t="s">
        <v>38</v>
      </c>
      <c r="O536" s="2" t="s">
        <v>977</v>
      </c>
      <c r="P536" s="2" t="s">
        <v>4075</v>
      </c>
      <c r="Q536" s="2" t="s">
        <v>4076</v>
      </c>
      <c r="R536" s="2" t="s">
        <v>40</v>
      </c>
      <c r="S536" s="2" t="s">
        <v>4077</v>
      </c>
      <c r="T536" s="2" t="s">
        <v>4078</v>
      </c>
      <c r="U536" s="2" t="s">
        <v>4079</v>
      </c>
      <c r="V536" s="2" t="s">
        <v>4080</v>
      </c>
      <c r="W536" s="1"/>
      <c r="X536" s="2" t="s">
        <v>4081</v>
      </c>
      <c r="Y536" s="2" t="s">
        <v>4069</v>
      </c>
      <c r="AA536" t="str">
        <f t="shared" si="48"/>
        <v>2026-05</v>
      </c>
      <c r="AB536" t="str">
        <f t="shared" si="49"/>
        <v>H1_2026</v>
      </c>
      <c r="AC536">
        <f t="shared" si="50"/>
        <v>1236750.24</v>
      </c>
      <c r="AD536">
        <f t="shared" si="51"/>
        <v>110</v>
      </c>
      <c r="AE536">
        <f t="shared" si="52"/>
        <v>189850.23999999999</v>
      </c>
      <c r="AF536" t="str">
        <f t="shared" si="53"/>
        <v>Paid</v>
      </c>
    </row>
    <row r="537" spans="1:32" ht="27.75" thickBot="1" x14ac:dyDescent="0.35">
      <c r="A537" s="2" t="s">
        <v>4082</v>
      </c>
      <c r="B537" s="2" t="s">
        <v>27</v>
      </c>
      <c r="C537" s="2" t="s">
        <v>28</v>
      </c>
      <c r="D537" s="2" t="s">
        <v>97</v>
      </c>
      <c r="E537" s="2" t="s">
        <v>3999</v>
      </c>
      <c r="F537" s="2" t="s">
        <v>99</v>
      </c>
      <c r="G537" s="2" t="s">
        <v>32</v>
      </c>
      <c r="H537" s="1"/>
      <c r="I537" s="2" t="s">
        <v>33</v>
      </c>
      <c r="J537" s="2" t="s">
        <v>34</v>
      </c>
      <c r="K537" s="2" t="s">
        <v>352</v>
      </c>
      <c r="L537" s="2" t="s">
        <v>353</v>
      </c>
      <c r="M537" s="2" t="s">
        <v>304</v>
      </c>
      <c r="N537" s="2" t="s">
        <v>38</v>
      </c>
      <c r="O537" s="2" t="s">
        <v>280</v>
      </c>
      <c r="P537" s="2" t="s">
        <v>1414</v>
      </c>
      <c r="Q537" s="2" t="s">
        <v>4083</v>
      </c>
      <c r="R537" s="2" t="s">
        <v>40</v>
      </c>
      <c r="S537" s="2" t="s">
        <v>4084</v>
      </c>
      <c r="T537" s="2" t="s">
        <v>309</v>
      </c>
      <c r="U537" s="2" t="s">
        <v>4085</v>
      </c>
      <c r="V537" s="2" t="s">
        <v>4086</v>
      </c>
      <c r="W537" s="1"/>
      <c r="X537" s="2" t="s">
        <v>398</v>
      </c>
      <c r="Y537" s="2" t="s">
        <v>4069</v>
      </c>
      <c r="AA537" t="str">
        <f t="shared" si="48"/>
        <v>2026-05</v>
      </c>
      <c r="AB537" t="str">
        <f t="shared" si="49"/>
        <v>H1_2026</v>
      </c>
      <c r="AC537">
        <f t="shared" si="50"/>
        <v>308616.84000000003</v>
      </c>
      <c r="AD537">
        <f t="shared" si="51"/>
        <v>35</v>
      </c>
      <c r="AE537">
        <f t="shared" si="52"/>
        <v>37016.839999999997</v>
      </c>
      <c r="AF537" t="str">
        <f t="shared" si="53"/>
        <v>Paid</v>
      </c>
    </row>
    <row r="538" spans="1:32" ht="27.75" thickBot="1" x14ac:dyDescent="0.35">
      <c r="A538" s="2" t="s">
        <v>4087</v>
      </c>
      <c r="B538" s="2" t="s">
        <v>27</v>
      </c>
      <c r="C538" s="2" t="s">
        <v>28</v>
      </c>
      <c r="D538" s="2" t="s">
        <v>97</v>
      </c>
      <c r="E538" s="2" t="s">
        <v>3999</v>
      </c>
      <c r="F538" s="2" t="s">
        <v>99</v>
      </c>
      <c r="G538" s="2" t="s">
        <v>32</v>
      </c>
      <c r="H538" s="1"/>
      <c r="I538" s="2" t="s">
        <v>33</v>
      </c>
      <c r="J538" s="2" t="s">
        <v>34</v>
      </c>
      <c r="K538" s="2" t="s">
        <v>360</v>
      </c>
      <c r="L538" s="2" t="s">
        <v>361</v>
      </c>
      <c r="M538" s="2" t="s">
        <v>304</v>
      </c>
      <c r="N538" s="2" t="s">
        <v>38</v>
      </c>
      <c r="O538" s="2" t="s">
        <v>79</v>
      </c>
      <c r="P538" s="2" t="s">
        <v>1414</v>
      </c>
      <c r="Q538" s="2" t="s">
        <v>4088</v>
      </c>
      <c r="R538" s="2" t="s">
        <v>40</v>
      </c>
      <c r="S538" s="2" t="s">
        <v>4089</v>
      </c>
      <c r="T538" s="2" t="s">
        <v>309</v>
      </c>
      <c r="U538" s="2" t="s">
        <v>4090</v>
      </c>
      <c r="V538" s="2" t="s">
        <v>4091</v>
      </c>
      <c r="W538" s="1"/>
      <c r="X538" s="2" t="s">
        <v>398</v>
      </c>
      <c r="Y538" s="2" t="s">
        <v>4069</v>
      </c>
      <c r="AA538" t="str">
        <f t="shared" si="48"/>
        <v>2026-05</v>
      </c>
      <c r="AB538" t="str">
        <f t="shared" si="49"/>
        <v>H1_2026</v>
      </c>
      <c r="AC538">
        <f t="shared" si="50"/>
        <v>88176.24</v>
      </c>
      <c r="AD538">
        <f t="shared" si="51"/>
        <v>10</v>
      </c>
      <c r="AE538">
        <f t="shared" si="52"/>
        <v>10576.24</v>
      </c>
      <c r="AF538" t="str">
        <f t="shared" si="53"/>
        <v>Paid</v>
      </c>
    </row>
    <row r="539" spans="1:32" ht="17.25" thickBot="1" x14ac:dyDescent="0.35">
      <c r="A539" s="2" t="s">
        <v>4092</v>
      </c>
      <c r="B539" s="2" t="s">
        <v>27</v>
      </c>
      <c r="C539" s="2" t="s">
        <v>28</v>
      </c>
      <c r="D539" s="2" t="s">
        <v>97</v>
      </c>
      <c r="E539" s="2" t="s">
        <v>3999</v>
      </c>
      <c r="F539" s="2" t="s">
        <v>99</v>
      </c>
      <c r="G539" s="2" t="s">
        <v>32</v>
      </c>
      <c r="H539" s="1"/>
      <c r="I539" s="2" t="s">
        <v>33</v>
      </c>
      <c r="J539" s="2" t="s">
        <v>34</v>
      </c>
      <c r="K539" s="2" t="s">
        <v>4093</v>
      </c>
      <c r="L539" s="2" t="s">
        <v>4094</v>
      </c>
      <c r="M539" s="2" t="s">
        <v>304</v>
      </c>
      <c r="N539" s="2" t="s">
        <v>38</v>
      </c>
      <c r="O539" s="2" t="s">
        <v>645</v>
      </c>
      <c r="P539" s="2" t="s">
        <v>4095</v>
      </c>
      <c r="Q539" s="2" t="s">
        <v>4096</v>
      </c>
      <c r="R539" s="2" t="s">
        <v>40</v>
      </c>
      <c r="S539" s="2" t="s">
        <v>4097</v>
      </c>
      <c r="T539" s="2" t="s">
        <v>384</v>
      </c>
      <c r="U539" s="2" t="s">
        <v>4098</v>
      </c>
      <c r="V539" s="2" t="s">
        <v>4099</v>
      </c>
      <c r="W539" s="1"/>
      <c r="X539" s="2" t="s">
        <v>4100</v>
      </c>
      <c r="Y539" s="2" t="s">
        <v>4069</v>
      </c>
      <c r="AA539" t="str">
        <f t="shared" si="48"/>
        <v>2026-05</v>
      </c>
      <c r="AB539" t="str">
        <f t="shared" si="49"/>
        <v>H1_2026</v>
      </c>
      <c r="AC539">
        <f t="shared" si="50"/>
        <v>373536.24</v>
      </c>
      <c r="AD539">
        <f t="shared" si="51"/>
        <v>170</v>
      </c>
      <c r="AE539">
        <f t="shared" si="52"/>
        <v>43736.24</v>
      </c>
      <c r="AF539" t="str">
        <f t="shared" si="53"/>
        <v>Paid</v>
      </c>
    </row>
    <row r="540" spans="1:32" ht="17.25" thickBot="1" x14ac:dyDescent="0.35">
      <c r="A540" s="2" t="s">
        <v>4101</v>
      </c>
      <c r="B540" s="2" t="s">
        <v>27</v>
      </c>
      <c r="C540" s="2" t="s">
        <v>28</v>
      </c>
      <c r="D540" s="2" t="s">
        <v>97</v>
      </c>
      <c r="E540" s="2" t="s">
        <v>3999</v>
      </c>
      <c r="F540" s="2" t="s">
        <v>99</v>
      </c>
      <c r="G540" s="2" t="s">
        <v>32</v>
      </c>
      <c r="H540" s="1"/>
      <c r="I540" s="2" t="s">
        <v>33</v>
      </c>
      <c r="J540" s="2" t="s">
        <v>34</v>
      </c>
      <c r="K540" s="2" t="s">
        <v>4102</v>
      </c>
      <c r="L540" s="2" t="s">
        <v>4103</v>
      </c>
      <c r="M540" s="2" t="s">
        <v>304</v>
      </c>
      <c r="N540" s="2" t="s">
        <v>38</v>
      </c>
      <c r="O540" s="2" t="s">
        <v>466</v>
      </c>
      <c r="P540" s="2" t="s">
        <v>4104</v>
      </c>
      <c r="Q540" s="2" t="s">
        <v>4105</v>
      </c>
      <c r="R540" s="2" t="s">
        <v>40</v>
      </c>
      <c r="S540" s="2" t="s">
        <v>4106</v>
      </c>
      <c r="T540" s="2" t="s">
        <v>413</v>
      </c>
      <c r="U540" s="2" t="s">
        <v>4107</v>
      </c>
      <c r="V540" s="2" t="s">
        <v>4108</v>
      </c>
      <c r="W540" s="1"/>
      <c r="X540" s="2" t="s">
        <v>444</v>
      </c>
      <c r="Y540" s="2" t="s">
        <v>4069</v>
      </c>
      <c r="AA540" t="str">
        <f t="shared" si="48"/>
        <v>2026-05</v>
      </c>
      <c r="AB540" t="str">
        <f t="shared" si="49"/>
        <v>H1_2026</v>
      </c>
      <c r="AC540">
        <f t="shared" si="50"/>
        <v>1108623.6000000001</v>
      </c>
      <c r="AD540">
        <f t="shared" si="51"/>
        <v>70</v>
      </c>
      <c r="AE540">
        <f t="shared" si="52"/>
        <v>139123.6</v>
      </c>
      <c r="AF540" t="str">
        <f t="shared" si="53"/>
        <v>Paid</v>
      </c>
    </row>
    <row r="541" spans="1:32" ht="17.25" thickBot="1" x14ac:dyDescent="0.35">
      <c r="A541" s="2" t="s">
        <v>4109</v>
      </c>
      <c r="B541" s="2" t="s">
        <v>27</v>
      </c>
      <c r="C541" s="2" t="s">
        <v>28</v>
      </c>
      <c r="D541" s="2" t="s">
        <v>97</v>
      </c>
      <c r="E541" s="2" t="s">
        <v>3999</v>
      </c>
      <c r="F541" s="2" t="s">
        <v>99</v>
      </c>
      <c r="G541" s="2" t="s">
        <v>32</v>
      </c>
      <c r="H541" s="1"/>
      <c r="I541" s="2" t="s">
        <v>33</v>
      </c>
      <c r="J541" s="2" t="s">
        <v>34</v>
      </c>
      <c r="K541" s="2" t="s">
        <v>4110</v>
      </c>
      <c r="L541" s="2" t="s">
        <v>4111</v>
      </c>
      <c r="M541" s="2" t="s">
        <v>304</v>
      </c>
      <c r="N541" s="2" t="s">
        <v>38</v>
      </c>
      <c r="O541" s="2" t="s">
        <v>79</v>
      </c>
      <c r="P541" s="2" t="s">
        <v>4112</v>
      </c>
      <c r="Q541" s="2" t="s">
        <v>4113</v>
      </c>
      <c r="R541" s="2" t="s">
        <v>40</v>
      </c>
      <c r="S541" s="2" t="s">
        <v>4114</v>
      </c>
      <c r="T541" s="2" t="s">
        <v>413</v>
      </c>
      <c r="U541" s="2" t="s">
        <v>4115</v>
      </c>
      <c r="V541" s="2" t="s">
        <v>4116</v>
      </c>
      <c r="W541" s="1"/>
      <c r="X541" s="2" t="s">
        <v>312</v>
      </c>
      <c r="Y541" s="2" t="s">
        <v>4069</v>
      </c>
      <c r="AA541" t="str">
        <f t="shared" si="48"/>
        <v>2026-05</v>
      </c>
      <c r="AB541" t="str">
        <f t="shared" si="49"/>
        <v>H1_2026</v>
      </c>
      <c r="AC541">
        <f t="shared" si="50"/>
        <v>157518.72</v>
      </c>
      <c r="AD541">
        <f t="shared" si="51"/>
        <v>10</v>
      </c>
      <c r="AE541">
        <f t="shared" si="52"/>
        <v>19018.72</v>
      </c>
      <c r="AF541" t="str">
        <f t="shared" si="53"/>
        <v>Paid</v>
      </c>
    </row>
    <row r="542" spans="1:32" ht="17.25" thickBot="1" x14ac:dyDescent="0.35">
      <c r="A542" s="2" t="s">
        <v>1113</v>
      </c>
      <c r="B542" s="2" t="s">
        <v>27</v>
      </c>
      <c r="C542" s="2" t="s">
        <v>28</v>
      </c>
      <c r="D542" s="2" t="s">
        <v>97</v>
      </c>
      <c r="E542" s="2" t="s">
        <v>3999</v>
      </c>
      <c r="F542" s="2" t="s">
        <v>99</v>
      </c>
      <c r="G542" s="2" t="s">
        <v>32</v>
      </c>
      <c r="H542" s="1"/>
      <c r="I542" s="2" t="s">
        <v>33</v>
      </c>
      <c r="J542" s="2" t="s">
        <v>34</v>
      </c>
      <c r="K542" s="2" t="s">
        <v>426</v>
      </c>
      <c r="L542" s="2" t="s">
        <v>427</v>
      </c>
      <c r="M542" s="2" t="s">
        <v>304</v>
      </c>
      <c r="N542" s="2" t="s">
        <v>38</v>
      </c>
      <c r="O542" s="2" t="s">
        <v>779</v>
      </c>
      <c r="P542" s="2" t="s">
        <v>4117</v>
      </c>
      <c r="Q542" s="2" t="s">
        <v>4118</v>
      </c>
      <c r="R542" s="2" t="s">
        <v>40</v>
      </c>
      <c r="S542" s="2" t="s">
        <v>4119</v>
      </c>
      <c r="T542" s="2" t="s">
        <v>374</v>
      </c>
      <c r="U542" s="2" t="s">
        <v>4120</v>
      </c>
      <c r="V542" s="2" t="s">
        <v>4121</v>
      </c>
      <c r="W542" s="1"/>
      <c r="X542" s="2" t="s">
        <v>4068</v>
      </c>
      <c r="Y542" s="2" t="s">
        <v>4069</v>
      </c>
      <c r="AA542" t="str">
        <f t="shared" si="48"/>
        <v>2026-05</v>
      </c>
      <c r="AB542" t="str">
        <f t="shared" si="49"/>
        <v>H1_2026</v>
      </c>
      <c r="AC542">
        <f t="shared" si="50"/>
        <v>1192947.48</v>
      </c>
      <c r="AD542">
        <f t="shared" si="51"/>
        <v>90</v>
      </c>
      <c r="AE542">
        <f t="shared" si="52"/>
        <v>146247.48000000001</v>
      </c>
      <c r="AF542" t="str">
        <f t="shared" si="53"/>
        <v>Paid</v>
      </c>
    </row>
    <row r="543" spans="1:32" ht="27.75" thickBot="1" x14ac:dyDescent="0.35">
      <c r="A543" s="2" t="s">
        <v>2407</v>
      </c>
      <c r="B543" s="2" t="s">
        <v>27</v>
      </c>
      <c r="C543" s="2" t="s">
        <v>28</v>
      </c>
      <c r="D543" s="2" t="s">
        <v>97</v>
      </c>
      <c r="E543" s="2" t="s">
        <v>3999</v>
      </c>
      <c r="F543" s="2" t="s">
        <v>99</v>
      </c>
      <c r="G543" s="2" t="s">
        <v>32</v>
      </c>
      <c r="H543" s="1"/>
      <c r="I543" s="2" t="s">
        <v>33</v>
      </c>
      <c r="J543" s="2" t="s">
        <v>34</v>
      </c>
      <c r="K543" s="2" t="s">
        <v>436</v>
      </c>
      <c r="L543" s="2" t="s">
        <v>437</v>
      </c>
      <c r="M543" s="2" t="s">
        <v>304</v>
      </c>
      <c r="N543" s="2" t="s">
        <v>38</v>
      </c>
      <c r="O543" s="2" t="s">
        <v>877</v>
      </c>
      <c r="P543" s="2" t="s">
        <v>4122</v>
      </c>
      <c r="Q543" s="2" t="s">
        <v>4123</v>
      </c>
      <c r="R543" s="2" t="s">
        <v>40</v>
      </c>
      <c r="S543" s="2" t="s">
        <v>4124</v>
      </c>
      <c r="T543" s="2" t="s">
        <v>422</v>
      </c>
      <c r="U543" s="2" t="s">
        <v>4125</v>
      </c>
      <c r="V543" s="2" t="s">
        <v>4126</v>
      </c>
      <c r="W543" s="1"/>
      <c r="X543" s="2" t="s">
        <v>444</v>
      </c>
      <c r="Y543" s="2" t="s">
        <v>4069</v>
      </c>
      <c r="AA543" t="str">
        <f t="shared" si="48"/>
        <v>2026-05</v>
      </c>
      <c r="AB543" t="str">
        <f t="shared" si="49"/>
        <v>H1_2026</v>
      </c>
      <c r="AC543">
        <f t="shared" si="50"/>
        <v>1392556.8</v>
      </c>
      <c r="AD543">
        <f t="shared" si="51"/>
        <v>100</v>
      </c>
      <c r="AE543">
        <f t="shared" si="52"/>
        <v>173556.8</v>
      </c>
      <c r="AF543" t="str">
        <f t="shared" si="53"/>
        <v>Paid</v>
      </c>
    </row>
    <row r="544" spans="1:32" ht="27.75" thickBot="1" x14ac:dyDescent="0.35">
      <c r="A544" s="2" t="s">
        <v>4127</v>
      </c>
      <c r="B544" s="2" t="s">
        <v>27</v>
      </c>
      <c r="C544" s="2" t="s">
        <v>28</v>
      </c>
      <c r="D544" s="2" t="s">
        <v>97</v>
      </c>
      <c r="E544" s="2" t="s">
        <v>3999</v>
      </c>
      <c r="F544" s="2" t="s">
        <v>99</v>
      </c>
      <c r="G544" s="2" t="s">
        <v>32</v>
      </c>
      <c r="H544" s="1"/>
      <c r="I544" s="2" t="s">
        <v>33</v>
      </c>
      <c r="J544" s="2" t="s">
        <v>34</v>
      </c>
      <c r="K544" s="2" t="s">
        <v>446</v>
      </c>
      <c r="L544" s="2" t="s">
        <v>447</v>
      </c>
      <c r="M544" s="2" t="s">
        <v>304</v>
      </c>
      <c r="N544" s="2" t="s">
        <v>38</v>
      </c>
      <c r="O544" s="2" t="s">
        <v>177</v>
      </c>
      <c r="P544" s="2" t="s">
        <v>3132</v>
      </c>
      <c r="Q544" s="2" t="s">
        <v>4128</v>
      </c>
      <c r="R544" s="2" t="s">
        <v>40</v>
      </c>
      <c r="S544" s="2" t="s">
        <v>4129</v>
      </c>
      <c r="T544" s="2" t="s">
        <v>452</v>
      </c>
      <c r="U544" s="2" t="s">
        <v>4130</v>
      </c>
      <c r="V544" s="2" t="s">
        <v>4131</v>
      </c>
      <c r="W544" s="1"/>
      <c r="X544" s="2" t="s">
        <v>312</v>
      </c>
      <c r="Y544" s="2" t="s">
        <v>4069</v>
      </c>
      <c r="AA544" t="str">
        <f t="shared" si="48"/>
        <v>2026-05</v>
      </c>
      <c r="AB544" t="str">
        <f t="shared" si="49"/>
        <v>H1_2026</v>
      </c>
      <c r="AC544">
        <f t="shared" si="50"/>
        <v>5039457.5999999996</v>
      </c>
      <c r="AD544">
        <f t="shared" si="51"/>
        <v>400</v>
      </c>
      <c r="AE544">
        <f t="shared" si="52"/>
        <v>607457.6</v>
      </c>
      <c r="AF544" t="str">
        <f t="shared" si="53"/>
        <v>Paid</v>
      </c>
    </row>
    <row r="545" spans="1:32" ht="17.25" thickBot="1" x14ac:dyDescent="0.35">
      <c r="A545" s="2" t="s">
        <v>4132</v>
      </c>
      <c r="B545" s="2" t="s">
        <v>27</v>
      </c>
      <c r="C545" s="2" t="s">
        <v>28</v>
      </c>
      <c r="D545" s="2" t="s">
        <v>97</v>
      </c>
      <c r="E545" s="2" t="s">
        <v>3999</v>
      </c>
      <c r="F545" s="2" t="s">
        <v>99</v>
      </c>
      <c r="G545" s="2" t="s">
        <v>32</v>
      </c>
      <c r="H545" s="1"/>
      <c r="I545" s="2" t="s">
        <v>33</v>
      </c>
      <c r="J545" s="2" t="s">
        <v>34</v>
      </c>
      <c r="K545" s="2" t="s">
        <v>4133</v>
      </c>
      <c r="L545" s="2" t="s">
        <v>4134</v>
      </c>
      <c r="M545" s="2" t="s">
        <v>304</v>
      </c>
      <c r="N545" s="2" t="s">
        <v>38</v>
      </c>
      <c r="O545" s="2" t="s">
        <v>1204</v>
      </c>
      <c r="P545" s="2" t="s">
        <v>4135</v>
      </c>
      <c r="Q545" s="2" t="s">
        <v>4136</v>
      </c>
      <c r="R545" s="2" t="s">
        <v>40</v>
      </c>
      <c r="S545" s="2" t="s">
        <v>4137</v>
      </c>
      <c r="T545" s="2" t="s">
        <v>4138</v>
      </c>
      <c r="U545" s="2" t="s">
        <v>4139</v>
      </c>
      <c r="V545" s="2" t="s">
        <v>4140</v>
      </c>
      <c r="W545" s="1"/>
      <c r="X545" s="2" t="s">
        <v>387</v>
      </c>
      <c r="Y545" s="2" t="s">
        <v>4069</v>
      </c>
      <c r="AA545" t="str">
        <f t="shared" si="48"/>
        <v>2026-05</v>
      </c>
      <c r="AB545" t="str">
        <f t="shared" si="49"/>
        <v>H1_2026</v>
      </c>
      <c r="AC545">
        <f t="shared" si="50"/>
        <v>2030193.72</v>
      </c>
      <c r="AD545">
        <f t="shared" si="51"/>
        <v>135</v>
      </c>
      <c r="AE545">
        <f t="shared" si="52"/>
        <v>234693.72</v>
      </c>
      <c r="AF545" t="str">
        <f t="shared" si="53"/>
        <v>Paid</v>
      </c>
    </row>
    <row r="546" spans="1:32" ht="27.75" thickBot="1" x14ac:dyDescent="0.35">
      <c r="A546" s="2" t="s">
        <v>4141</v>
      </c>
      <c r="B546" s="2" t="s">
        <v>27</v>
      </c>
      <c r="C546" s="2" t="s">
        <v>28</v>
      </c>
      <c r="D546" s="2" t="s">
        <v>97</v>
      </c>
      <c r="E546" s="2" t="s">
        <v>3999</v>
      </c>
      <c r="F546" s="2" t="s">
        <v>99</v>
      </c>
      <c r="G546" s="2" t="s">
        <v>32</v>
      </c>
      <c r="H546" s="1"/>
      <c r="I546" s="2" t="s">
        <v>33</v>
      </c>
      <c r="J546" s="2" t="s">
        <v>34</v>
      </c>
      <c r="K546" s="2" t="s">
        <v>472</v>
      </c>
      <c r="L546" s="2" t="s">
        <v>473</v>
      </c>
      <c r="M546" s="2" t="s">
        <v>304</v>
      </c>
      <c r="N546" s="2" t="s">
        <v>38</v>
      </c>
      <c r="O546" s="2" t="s">
        <v>1150</v>
      </c>
      <c r="P546" s="2" t="s">
        <v>4064</v>
      </c>
      <c r="Q546" s="2" t="s">
        <v>4142</v>
      </c>
      <c r="R546" s="2" t="s">
        <v>40</v>
      </c>
      <c r="S546" s="2" t="s">
        <v>4143</v>
      </c>
      <c r="T546" s="2" t="s">
        <v>309</v>
      </c>
      <c r="U546" s="2" t="s">
        <v>4144</v>
      </c>
      <c r="V546" s="2" t="s">
        <v>4145</v>
      </c>
      <c r="W546" s="1"/>
      <c r="X546" s="2" t="s">
        <v>4068</v>
      </c>
      <c r="Y546" s="2" t="s">
        <v>4069</v>
      </c>
      <c r="AA546" t="str">
        <f t="shared" si="48"/>
        <v>2026-05</v>
      </c>
      <c r="AB546" t="str">
        <f t="shared" si="49"/>
        <v>H1_2026</v>
      </c>
      <c r="AC546">
        <f t="shared" si="50"/>
        <v>1150000.8</v>
      </c>
      <c r="AD546">
        <f t="shared" si="51"/>
        <v>130</v>
      </c>
      <c r="AE546">
        <f t="shared" si="52"/>
        <v>141200.79999999999</v>
      </c>
      <c r="AF546" t="str">
        <f t="shared" si="53"/>
        <v>Paid</v>
      </c>
    </row>
    <row r="547" spans="1:32" ht="27.75" thickBot="1" x14ac:dyDescent="0.35">
      <c r="A547" s="2" t="s">
        <v>4146</v>
      </c>
      <c r="B547" s="2" t="s">
        <v>27</v>
      </c>
      <c r="C547" s="2" t="s">
        <v>28</v>
      </c>
      <c r="D547" s="2" t="s">
        <v>97</v>
      </c>
      <c r="E547" s="2" t="s">
        <v>3999</v>
      </c>
      <c r="F547" s="2" t="s">
        <v>99</v>
      </c>
      <c r="G547" s="2" t="s">
        <v>32</v>
      </c>
      <c r="H547" s="1"/>
      <c r="I547" s="2" t="s">
        <v>33</v>
      </c>
      <c r="J547" s="2" t="s">
        <v>34</v>
      </c>
      <c r="K547" s="2" t="s">
        <v>481</v>
      </c>
      <c r="L547" s="2" t="s">
        <v>482</v>
      </c>
      <c r="M547" s="2" t="s">
        <v>304</v>
      </c>
      <c r="N547" s="2" t="s">
        <v>38</v>
      </c>
      <c r="O547" s="2" t="s">
        <v>4147</v>
      </c>
      <c r="P547" s="2" t="s">
        <v>4148</v>
      </c>
      <c r="Q547" s="2" t="s">
        <v>4149</v>
      </c>
      <c r="R547" s="2" t="s">
        <v>40</v>
      </c>
      <c r="S547" s="2" t="s">
        <v>4150</v>
      </c>
      <c r="T547" s="2" t="s">
        <v>422</v>
      </c>
      <c r="U547" s="2" t="s">
        <v>4151</v>
      </c>
      <c r="V547" s="2" t="s">
        <v>4152</v>
      </c>
      <c r="W547" s="1"/>
      <c r="X547" s="2" t="s">
        <v>489</v>
      </c>
      <c r="Y547" s="2" t="s">
        <v>4069</v>
      </c>
      <c r="AA547" t="str">
        <f t="shared" si="48"/>
        <v>2026-05</v>
      </c>
      <c r="AB547" t="str">
        <f t="shared" si="49"/>
        <v>H1_2026</v>
      </c>
      <c r="AC547">
        <f t="shared" si="50"/>
        <v>43188665.280000001</v>
      </c>
      <c r="AD547">
        <f t="shared" si="51"/>
        <v>3140</v>
      </c>
      <c r="AE547">
        <f t="shared" si="52"/>
        <v>4912065.28</v>
      </c>
      <c r="AF547" t="str">
        <f t="shared" si="53"/>
        <v>Paid</v>
      </c>
    </row>
    <row r="548" spans="1:32" ht="17.25" thickBot="1" x14ac:dyDescent="0.35">
      <c r="A548" s="2" t="s">
        <v>4153</v>
      </c>
      <c r="B548" s="2" t="s">
        <v>27</v>
      </c>
      <c r="C548" s="2" t="s">
        <v>28</v>
      </c>
      <c r="D548" s="2" t="s">
        <v>97</v>
      </c>
      <c r="E548" s="2" t="s">
        <v>3999</v>
      </c>
      <c r="F548" s="2" t="s">
        <v>99</v>
      </c>
      <c r="G548" s="2" t="s">
        <v>32</v>
      </c>
      <c r="H548" s="1"/>
      <c r="I548" s="2" t="s">
        <v>33</v>
      </c>
      <c r="J548" s="2" t="s">
        <v>34</v>
      </c>
      <c r="K548" s="2" t="s">
        <v>1566</v>
      </c>
      <c r="L548" s="2" t="s">
        <v>1567</v>
      </c>
      <c r="M548" s="2" t="s">
        <v>304</v>
      </c>
      <c r="N548" s="2" t="s">
        <v>38</v>
      </c>
      <c r="O548" s="2" t="s">
        <v>428</v>
      </c>
      <c r="P548" s="2" t="s">
        <v>4154</v>
      </c>
      <c r="Q548" s="2" t="s">
        <v>4155</v>
      </c>
      <c r="R548" s="2" t="s">
        <v>40</v>
      </c>
      <c r="S548" s="2" t="s">
        <v>4156</v>
      </c>
      <c r="T548" s="2" t="s">
        <v>497</v>
      </c>
      <c r="U548" s="2" t="s">
        <v>4157</v>
      </c>
      <c r="V548" s="2" t="s">
        <v>4158</v>
      </c>
      <c r="W548" s="1"/>
      <c r="X548" s="2" t="s">
        <v>387</v>
      </c>
      <c r="Y548" s="2" t="s">
        <v>4069</v>
      </c>
      <c r="AA548" t="str">
        <f t="shared" si="48"/>
        <v>2026-05</v>
      </c>
      <c r="AB548" t="str">
        <f t="shared" si="49"/>
        <v>H1_2026</v>
      </c>
      <c r="AC548">
        <f t="shared" si="50"/>
        <v>4387410</v>
      </c>
      <c r="AD548">
        <f t="shared" si="51"/>
        <v>250</v>
      </c>
      <c r="AE548">
        <f t="shared" si="52"/>
        <v>509910</v>
      </c>
      <c r="AF548" t="str">
        <f t="shared" si="53"/>
        <v>Paid</v>
      </c>
    </row>
    <row r="549" spans="1:32" ht="17.25" thickBot="1" x14ac:dyDescent="0.35">
      <c r="A549" s="2" t="s">
        <v>4159</v>
      </c>
      <c r="B549" s="2" t="s">
        <v>27</v>
      </c>
      <c r="C549" s="2" t="s">
        <v>28</v>
      </c>
      <c r="D549" s="2" t="s">
        <v>97</v>
      </c>
      <c r="E549" s="2" t="s">
        <v>3999</v>
      </c>
      <c r="F549" s="2" t="s">
        <v>99</v>
      </c>
      <c r="G549" s="2" t="s">
        <v>32</v>
      </c>
      <c r="H549" s="1"/>
      <c r="I549" s="2" t="s">
        <v>33</v>
      </c>
      <c r="J549" s="2" t="s">
        <v>34</v>
      </c>
      <c r="K549" s="2" t="s">
        <v>501</v>
      </c>
      <c r="L549" s="2" t="s">
        <v>502</v>
      </c>
      <c r="M549" s="2" t="s">
        <v>304</v>
      </c>
      <c r="N549" s="2" t="s">
        <v>38</v>
      </c>
      <c r="O549" s="2" t="s">
        <v>645</v>
      </c>
      <c r="P549" s="2" t="s">
        <v>4160</v>
      </c>
      <c r="Q549" s="2" t="s">
        <v>4161</v>
      </c>
      <c r="R549" s="2" t="s">
        <v>40</v>
      </c>
      <c r="S549" s="2" t="s">
        <v>4162</v>
      </c>
      <c r="T549" s="2" t="s">
        <v>374</v>
      </c>
      <c r="U549" s="2" t="s">
        <v>4163</v>
      </c>
      <c r="V549" s="2" t="s">
        <v>4164</v>
      </c>
      <c r="W549" s="1"/>
      <c r="X549" s="2" t="s">
        <v>377</v>
      </c>
      <c r="Y549" s="2" t="s">
        <v>4069</v>
      </c>
      <c r="AA549" t="str">
        <f t="shared" si="48"/>
        <v>2026-05</v>
      </c>
      <c r="AB549" t="str">
        <f t="shared" si="49"/>
        <v>H1_2026</v>
      </c>
      <c r="AC549">
        <f t="shared" si="50"/>
        <v>2243643</v>
      </c>
      <c r="AD549">
        <f t="shared" si="51"/>
        <v>170</v>
      </c>
      <c r="AE549">
        <f t="shared" si="52"/>
        <v>266543</v>
      </c>
      <c r="AF549" t="str">
        <f t="shared" si="53"/>
        <v>Paid</v>
      </c>
    </row>
    <row r="550" spans="1:32" ht="17.25" thickBot="1" x14ac:dyDescent="0.35">
      <c r="A550" s="2" t="s">
        <v>4165</v>
      </c>
      <c r="B550" s="2" t="s">
        <v>27</v>
      </c>
      <c r="C550" s="2" t="s">
        <v>28</v>
      </c>
      <c r="D550" s="2" t="s">
        <v>97</v>
      </c>
      <c r="E550" s="2" t="s">
        <v>3999</v>
      </c>
      <c r="F550" s="2" t="s">
        <v>99</v>
      </c>
      <c r="G550" s="2" t="s">
        <v>32</v>
      </c>
      <c r="H550" s="1"/>
      <c r="I550" s="2" t="s">
        <v>33</v>
      </c>
      <c r="J550" s="2" t="s">
        <v>34</v>
      </c>
      <c r="K550" s="2" t="s">
        <v>525</v>
      </c>
      <c r="L550" s="2" t="s">
        <v>526</v>
      </c>
      <c r="M550" s="2" t="s">
        <v>304</v>
      </c>
      <c r="N550" s="2" t="s">
        <v>38</v>
      </c>
      <c r="O550" s="2" t="s">
        <v>114</v>
      </c>
      <c r="P550" s="2" t="s">
        <v>3878</v>
      </c>
      <c r="Q550" s="2" t="s">
        <v>4166</v>
      </c>
      <c r="R550" s="2" t="s">
        <v>40</v>
      </c>
      <c r="S550" s="2" t="s">
        <v>4167</v>
      </c>
      <c r="T550" s="2" t="s">
        <v>531</v>
      </c>
      <c r="U550" s="2" t="s">
        <v>4168</v>
      </c>
      <c r="V550" s="2" t="s">
        <v>4169</v>
      </c>
      <c r="W550" s="1"/>
      <c r="X550" s="2" t="s">
        <v>489</v>
      </c>
      <c r="Y550" s="2" t="s">
        <v>4069</v>
      </c>
      <c r="AA550" t="str">
        <f t="shared" si="48"/>
        <v>2026-05</v>
      </c>
      <c r="AB550" t="str">
        <f t="shared" si="49"/>
        <v>H1_2026</v>
      </c>
      <c r="AC550">
        <f t="shared" si="50"/>
        <v>2852458.56</v>
      </c>
      <c r="AD550">
        <f t="shared" si="51"/>
        <v>240</v>
      </c>
      <c r="AE550">
        <f t="shared" si="52"/>
        <v>325258.56</v>
      </c>
      <c r="AF550" t="str">
        <f t="shared" si="53"/>
        <v>Paid</v>
      </c>
    </row>
    <row r="551" spans="1:32" ht="17.25" thickBot="1" x14ac:dyDescent="0.35">
      <c r="A551" s="2" t="s">
        <v>4170</v>
      </c>
      <c r="B551" s="2" t="s">
        <v>27</v>
      </c>
      <c r="C551" s="2" t="s">
        <v>28</v>
      </c>
      <c r="D551" s="2" t="s">
        <v>97</v>
      </c>
      <c r="E551" s="2" t="s">
        <v>3999</v>
      </c>
      <c r="F551" s="2" t="s">
        <v>99</v>
      </c>
      <c r="G551" s="2" t="s">
        <v>32</v>
      </c>
      <c r="H551" s="1"/>
      <c r="I551" s="2" t="s">
        <v>33</v>
      </c>
      <c r="J551" s="2" t="s">
        <v>34</v>
      </c>
      <c r="K551" s="2" t="s">
        <v>542</v>
      </c>
      <c r="L551" s="2" t="s">
        <v>543</v>
      </c>
      <c r="M551" s="2" t="s">
        <v>304</v>
      </c>
      <c r="N551" s="2" t="s">
        <v>38</v>
      </c>
      <c r="O551" s="2" t="s">
        <v>4171</v>
      </c>
      <c r="P551" s="2" t="s">
        <v>4117</v>
      </c>
      <c r="Q551" s="2" t="s">
        <v>4172</v>
      </c>
      <c r="R551" s="2" t="s">
        <v>40</v>
      </c>
      <c r="S551" s="2" t="s">
        <v>4173</v>
      </c>
      <c r="T551" s="2" t="s">
        <v>374</v>
      </c>
      <c r="U551" s="2" t="s">
        <v>4174</v>
      </c>
      <c r="V551" s="2" t="s">
        <v>4175</v>
      </c>
      <c r="W551" s="1"/>
      <c r="X551" s="2" t="s">
        <v>4068</v>
      </c>
      <c r="Y551" s="2" t="s">
        <v>4069</v>
      </c>
      <c r="AA551" t="str">
        <f t="shared" si="48"/>
        <v>2026-05</v>
      </c>
      <c r="AB551" t="str">
        <f t="shared" si="49"/>
        <v>H1_2026</v>
      </c>
      <c r="AC551">
        <f t="shared" si="50"/>
        <v>36053523.840000004</v>
      </c>
      <c r="AD551">
        <f t="shared" si="51"/>
        <v>2720</v>
      </c>
      <c r="AE551">
        <f t="shared" si="52"/>
        <v>4419923.84</v>
      </c>
      <c r="AF551" t="str">
        <f t="shared" si="53"/>
        <v>Paid</v>
      </c>
    </row>
    <row r="552" spans="1:32" ht="17.25" thickBot="1" x14ac:dyDescent="0.35">
      <c r="A552" s="2" t="s">
        <v>4176</v>
      </c>
      <c r="B552" s="2" t="s">
        <v>27</v>
      </c>
      <c r="C552" s="2" t="s">
        <v>28</v>
      </c>
      <c r="D552" s="2" t="s">
        <v>97</v>
      </c>
      <c r="E552" s="2" t="s">
        <v>3999</v>
      </c>
      <c r="F552" s="2" t="s">
        <v>99</v>
      </c>
      <c r="G552" s="2" t="s">
        <v>32</v>
      </c>
      <c r="H552" s="1"/>
      <c r="I552" s="2" t="s">
        <v>33</v>
      </c>
      <c r="J552" s="2" t="s">
        <v>34</v>
      </c>
      <c r="K552" s="2" t="s">
        <v>4177</v>
      </c>
      <c r="L552" s="2" t="s">
        <v>4178</v>
      </c>
      <c r="M552" s="2" t="s">
        <v>4179</v>
      </c>
      <c r="N552" s="2" t="s">
        <v>38</v>
      </c>
      <c r="O552" s="2" t="s">
        <v>131</v>
      </c>
      <c r="P552" s="2" t="s">
        <v>4180</v>
      </c>
      <c r="Q552" s="2" t="s">
        <v>4181</v>
      </c>
      <c r="R552" s="2" t="s">
        <v>40</v>
      </c>
      <c r="S552" s="2" t="s">
        <v>4182</v>
      </c>
      <c r="T552" s="2" t="s">
        <v>1178</v>
      </c>
      <c r="U552" s="2" t="s">
        <v>4183</v>
      </c>
      <c r="V552" s="2" t="s">
        <v>4184</v>
      </c>
      <c r="W552" s="1"/>
      <c r="X552" s="2" t="s">
        <v>4185</v>
      </c>
      <c r="Y552" s="2" t="s">
        <v>4069</v>
      </c>
      <c r="AA552" t="str">
        <f t="shared" si="48"/>
        <v>2026-05</v>
      </c>
      <c r="AB552" t="str">
        <f t="shared" si="49"/>
        <v>H1_2026</v>
      </c>
      <c r="AC552">
        <f t="shared" si="50"/>
        <v>592978.07999999996</v>
      </c>
      <c r="AD552">
        <f t="shared" si="51"/>
        <v>40</v>
      </c>
      <c r="AE552">
        <f t="shared" si="52"/>
        <v>284978.08</v>
      </c>
      <c r="AF552" t="str">
        <f t="shared" si="53"/>
        <v>Paid</v>
      </c>
    </row>
    <row r="553" spans="1:32" ht="17.25" thickBot="1" x14ac:dyDescent="0.35">
      <c r="A553" s="2" t="s">
        <v>4186</v>
      </c>
      <c r="B553" s="2" t="s">
        <v>27</v>
      </c>
      <c r="C553" s="2" t="s">
        <v>28</v>
      </c>
      <c r="D553" s="2" t="s">
        <v>97</v>
      </c>
      <c r="E553" s="2" t="s">
        <v>3999</v>
      </c>
      <c r="F553" s="2" t="s">
        <v>99</v>
      </c>
      <c r="G553" s="2" t="s">
        <v>32</v>
      </c>
      <c r="H553" s="1"/>
      <c r="I553" s="2" t="s">
        <v>33</v>
      </c>
      <c r="J553" s="2" t="s">
        <v>34</v>
      </c>
      <c r="K553" s="2" t="s">
        <v>4187</v>
      </c>
      <c r="L553" s="2" t="s">
        <v>4188</v>
      </c>
      <c r="M553" s="2" t="s">
        <v>4189</v>
      </c>
      <c r="N553" s="2" t="s">
        <v>38</v>
      </c>
      <c r="O553" s="2" t="s">
        <v>141</v>
      </c>
      <c r="P553" s="2" t="s">
        <v>4190</v>
      </c>
      <c r="Q553" s="2" t="s">
        <v>4191</v>
      </c>
      <c r="R553" s="2" t="s">
        <v>40</v>
      </c>
      <c r="S553" s="2" t="s">
        <v>4192</v>
      </c>
      <c r="T553" s="2" t="s">
        <v>169</v>
      </c>
      <c r="U553" s="2" t="s">
        <v>4193</v>
      </c>
      <c r="V553" s="2" t="s">
        <v>4194</v>
      </c>
      <c r="W553" s="1"/>
      <c r="X553" s="2" t="s">
        <v>4195</v>
      </c>
      <c r="Y553" s="2" t="s">
        <v>4069</v>
      </c>
      <c r="AA553" t="str">
        <f t="shared" si="48"/>
        <v>2026-05</v>
      </c>
      <c r="AB553" t="str">
        <f t="shared" si="49"/>
        <v>H1_2026</v>
      </c>
      <c r="AC553">
        <f t="shared" si="50"/>
        <v>374535</v>
      </c>
      <c r="AD553">
        <f t="shared" si="51"/>
        <v>30</v>
      </c>
      <c r="AE553">
        <f t="shared" si="52"/>
        <v>55335</v>
      </c>
      <c r="AF553" t="str">
        <f t="shared" si="53"/>
        <v>Paid</v>
      </c>
    </row>
    <row r="554" spans="1:32" ht="17.25" thickBot="1" x14ac:dyDescent="0.35">
      <c r="A554" s="2" t="s">
        <v>4196</v>
      </c>
      <c r="B554" s="2" t="s">
        <v>27</v>
      </c>
      <c r="C554" s="2" t="s">
        <v>28</v>
      </c>
      <c r="D554" s="2" t="s">
        <v>97</v>
      </c>
      <c r="E554" s="2" t="s">
        <v>3999</v>
      </c>
      <c r="F554" s="2" t="s">
        <v>99</v>
      </c>
      <c r="G554" s="2" t="s">
        <v>32</v>
      </c>
      <c r="H554" s="1"/>
      <c r="I554" s="2" t="s">
        <v>33</v>
      </c>
      <c r="J554" s="2" t="s">
        <v>34</v>
      </c>
      <c r="K554" s="2" t="s">
        <v>4197</v>
      </c>
      <c r="L554" s="2" t="s">
        <v>4198</v>
      </c>
      <c r="M554" s="2" t="s">
        <v>4189</v>
      </c>
      <c r="N554" s="2" t="s">
        <v>38</v>
      </c>
      <c r="O554" s="2" t="s">
        <v>141</v>
      </c>
      <c r="P554" s="2" t="s">
        <v>4190</v>
      </c>
      <c r="Q554" s="2" t="s">
        <v>4191</v>
      </c>
      <c r="R554" s="2" t="s">
        <v>40</v>
      </c>
      <c r="S554" s="2" t="s">
        <v>4192</v>
      </c>
      <c r="T554" s="2" t="s">
        <v>169</v>
      </c>
      <c r="U554" s="2" t="s">
        <v>4193</v>
      </c>
      <c r="V554" s="2" t="s">
        <v>4194</v>
      </c>
      <c r="W554" s="1"/>
      <c r="X554" s="2" t="s">
        <v>4195</v>
      </c>
      <c r="Y554" s="2" t="s">
        <v>4069</v>
      </c>
      <c r="AA554" t="str">
        <f t="shared" si="48"/>
        <v>2026-05</v>
      </c>
      <c r="AB554" t="str">
        <f t="shared" si="49"/>
        <v>H1_2026</v>
      </c>
      <c r="AC554">
        <f t="shared" si="50"/>
        <v>374535</v>
      </c>
      <c r="AD554">
        <f t="shared" si="51"/>
        <v>30</v>
      </c>
      <c r="AE554">
        <f t="shared" si="52"/>
        <v>55335</v>
      </c>
      <c r="AF554" t="str">
        <f t="shared" si="53"/>
        <v>Paid</v>
      </c>
    </row>
    <row r="555" spans="1:32" ht="17.25" thickBot="1" x14ac:dyDescent="0.35">
      <c r="A555" s="2" t="s">
        <v>4199</v>
      </c>
      <c r="B555" s="2" t="s">
        <v>27</v>
      </c>
      <c r="C555" s="2" t="s">
        <v>28</v>
      </c>
      <c r="D555" s="2" t="s">
        <v>97</v>
      </c>
      <c r="E555" s="2" t="s">
        <v>3999</v>
      </c>
      <c r="F555" s="2" t="s">
        <v>99</v>
      </c>
      <c r="G555" s="2" t="s">
        <v>32</v>
      </c>
      <c r="H555" s="1"/>
      <c r="I555" s="2" t="s">
        <v>33</v>
      </c>
      <c r="J555" s="2" t="s">
        <v>34</v>
      </c>
      <c r="K555" s="2" t="s">
        <v>4200</v>
      </c>
      <c r="L555" s="2" t="s">
        <v>4201</v>
      </c>
      <c r="M555" s="2" t="s">
        <v>4189</v>
      </c>
      <c r="N555" s="2" t="s">
        <v>38</v>
      </c>
      <c r="O555" s="2" t="s">
        <v>391</v>
      </c>
      <c r="P555" s="2" t="s">
        <v>2604</v>
      </c>
      <c r="Q555" s="2" t="s">
        <v>4202</v>
      </c>
      <c r="R555" s="2" t="s">
        <v>40</v>
      </c>
      <c r="S555" s="2" t="s">
        <v>4203</v>
      </c>
      <c r="T555" s="2" t="s">
        <v>2992</v>
      </c>
      <c r="U555" s="2" t="s">
        <v>4204</v>
      </c>
      <c r="V555" s="2" t="s">
        <v>4205</v>
      </c>
      <c r="W555" s="1"/>
      <c r="X555" s="2" t="s">
        <v>4206</v>
      </c>
      <c r="Y555" s="2" t="s">
        <v>4069</v>
      </c>
      <c r="AA555" t="str">
        <f t="shared" si="48"/>
        <v>2026-05</v>
      </c>
      <c r="AB555" t="str">
        <f t="shared" si="49"/>
        <v>H1_2026</v>
      </c>
      <c r="AC555">
        <f t="shared" si="50"/>
        <v>648052.56000000006</v>
      </c>
      <c r="AD555">
        <f t="shared" si="51"/>
        <v>60</v>
      </c>
      <c r="AE555">
        <f t="shared" si="52"/>
        <v>100852.56</v>
      </c>
      <c r="AF555" t="str">
        <f t="shared" si="53"/>
        <v>Paid</v>
      </c>
    </row>
    <row r="556" spans="1:32" ht="17.25" thickBot="1" x14ac:dyDescent="0.35">
      <c r="A556" s="2" t="s">
        <v>4207</v>
      </c>
      <c r="B556" s="2" t="s">
        <v>27</v>
      </c>
      <c r="C556" s="2" t="s">
        <v>28</v>
      </c>
      <c r="D556" s="2" t="s">
        <v>97</v>
      </c>
      <c r="E556" s="2" t="s">
        <v>3999</v>
      </c>
      <c r="F556" s="2" t="s">
        <v>99</v>
      </c>
      <c r="G556" s="2" t="s">
        <v>32</v>
      </c>
      <c r="H556" s="1"/>
      <c r="I556" s="2" t="s">
        <v>33</v>
      </c>
      <c r="J556" s="2" t="s">
        <v>34</v>
      </c>
      <c r="K556" s="2" t="s">
        <v>4208</v>
      </c>
      <c r="L556" s="2" t="s">
        <v>4209</v>
      </c>
      <c r="M556" s="2" t="s">
        <v>4189</v>
      </c>
      <c r="N556" s="2" t="s">
        <v>38</v>
      </c>
      <c r="O556" s="2" t="s">
        <v>130</v>
      </c>
      <c r="P556" s="2" t="s">
        <v>4210</v>
      </c>
      <c r="Q556" s="2" t="s">
        <v>4211</v>
      </c>
      <c r="R556" s="2" t="s">
        <v>40</v>
      </c>
      <c r="S556" s="2" t="s">
        <v>4212</v>
      </c>
      <c r="T556" s="2" t="s">
        <v>4213</v>
      </c>
      <c r="U556" s="2" t="s">
        <v>4214</v>
      </c>
      <c r="V556" s="2" t="s">
        <v>4215</v>
      </c>
      <c r="W556" s="1"/>
      <c r="X556" s="2" t="s">
        <v>4216</v>
      </c>
      <c r="Y556" s="2" t="s">
        <v>4069</v>
      </c>
      <c r="AA556" t="str">
        <f t="shared" si="48"/>
        <v>2026-05</v>
      </c>
      <c r="AB556" t="str">
        <f t="shared" si="49"/>
        <v>H1_2026</v>
      </c>
      <c r="AC556">
        <f t="shared" si="50"/>
        <v>244739</v>
      </c>
      <c r="AD556">
        <f t="shared" si="51"/>
        <v>17</v>
      </c>
      <c r="AE556">
        <f t="shared" si="52"/>
        <v>74499</v>
      </c>
      <c r="AF556" t="str">
        <f t="shared" si="53"/>
        <v>Paid</v>
      </c>
    </row>
    <row r="557" spans="1:32" ht="17.25" thickBot="1" x14ac:dyDescent="0.35">
      <c r="A557" s="2" t="s">
        <v>4217</v>
      </c>
      <c r="B557" s="2" t="s">
        <v>27</v>
      </c>
      <c r="C557" s="2" t="s">
        <v>28</v>
      </c>
      <c r="D557" s="2" t="s">
        <v>97</v>
      </c>
      <c r="E557" s="2" t="s">
        <v>3999</v>
      </c>
      <c r="F557" s="2" t="s">
        <v>99</v>
      </c>
      <c r="G557" s="2" t="s">
        <v>32</v>
      </c>
      <c r="H557" s="1"/>
      <c r="I557" s="2" t="s">
        <v>33</v>
      </c>
      <c r="J557" s="2" t="s">
        <v>34</v>
      </c>
      <c r="K557" s="2" t="s">
        <v>4218</v>
      </c>
      <c r="L557" s="2" t="s">
        <v>4219</v>
      </c>
      <c r="M557" s="2" t="s">
        <v>4220</v>
      </c>
      <c r="N557" s="2" t="s">
        <v>38</v>
      </c>
      <c r="O557" s="2" t="s">
        <v>4221</v>
      </c>
      <c r="P557" s="2" t="s">
        <v>4222</v>
      </c>
      <c r="Q557" s="2" t="s">
        <v>4223</v>
      </c>
      <c r="R557" s="2" t="s">
        <v>40</v>
      </c>
      <c r="S557" s="2" t="s">
        <v>4224</v>
      </c>
      <c r="T557" s="2" t="s">
        <v>4225</v>
      </c>
      <c r="U557" s="2" t="s">
        <v>4226</v>
      </c>
      <c r="V557" s="2" t="s">
        <v>4227</v>
      </c>
      <c r="W557" s="1"/>
      <c r="X557" s="2" t="s">
        <v>4228</v>
      </c>
      <c r="Y557" s="2" t="s">
        <v>4069</v>
      </c>
      <c r="AA557" t="str">
        <f t="shared" si="48"/>
        <v>2026-05</v>
      </c>
      <c r="AB557" t="str">
        <f t="shared" si="49"/>
        <v>H1_2026</v>
      </c>
      <c r="AC557">
        <f t="shared" si="50"/>
        <v>10405652.4</v>
      </c>
      <c r="AD557">
        <f t="shared" si="51"/>
        <v>1020</v>
      </c>
      <c r="AE557">
        <f t="shared" si="52"/>
        <v>1040197.94</v>
      </c>
      <c r="AF557" t="str">
        <f t="shared" si="53"/>
        <v>Paid</v>
      </c>
    </row>
    <row r="558" spans="1:32" ht="17.25" thickBot="1" x14ac:dyDescent="0.35">
      <c r="A558" s="2" t="s">
        <v>4229</v>
      </c>
      <c r="B558" s="2" t="s">
        <v>27</v>
      </c>
      <c r="C558" s="2" t="s">
        <v>28</v>
      </c>
      <c r="D558" s="2" t="s">
        <v>97</v>
      </c>
      <c r="E558" s="2" t="s">
        <v>3999</v>
      </c>
      <c r="F558" s="2" t="s">
        <v>99</v>
      </c>
      <c r="G558" s="2" t="s">
        <v>32</v>
      </c>
      <c r="H558" s="1"/>
      <c r="I558" s="2" t="s">
        <v>33</v>
      </c>
      <c r="J558" s="2" t="s">
        <v>34</v>
      </c>
      <c r="K558" s="2" t="s">
        <v>4230</v>
      </c>
      <c r="L558" s="2" t="s">
        <v>4231</v>
      </c>
      <c r="M558" s="2" t="s">
        <v>772</v>
      </c>
      <c r="N558" s="2" t="s">
        <v>38</v>
      </c>
      <c r="O558" s="2" t="s">
        <v>156</v>
      </c>
      <c r="P558" s="2" t="s">
        <v>4232</v>
      </c>
      <c r="Q558" s="2" t="s">
        <v>4233</v>
      </c>
      <c r="R558" s="2" t="s">
        <v>40</v>
      </c>
      <c r="S558" s="2" t="s">
        <v>4234</v>
      </c>
      <c r="T558" s="2" t="s">
        <v>1747</v>
      </c>
      <c r="U558" s="2" t="s">
        <v>3331</v>
      </c>
      <c r="V558" s="2" t="s">
        <v>4235</v>
      </c>
      <c r="W558" s="1"/>
      <c r="X558" s="2" t="s">
        <v>2226</v>
      </c>
      <c r="Y558" s="2" t="s">
        <v>4069</v>
      </c>
      <c r="AA558" t="str">
        <f t="shared" si="48"/>
        <v>2026-05</v>
      </c>
      <c r="AB558" t="str">
        <f t="shared" si="49"/>
        <v>H1_2026</v>
      </c>
      <c r="AC558">
        <f t="shared" si="50"/>
        <v>221154</v>
      </c>
      <c r="AD558">
        <f t="shared" si="51"/>
        <v>20</v>
      </c>
      <c r="AE558">
        <f t="shared" si="52"/>
        <v>41154</v>
      </c>
      <c r="AF558" t="str">
        <f t="shared" si="53"/>
        <v>Paid</v>
      </c>
    </row>
    <row r="559" spans="1:32" ht="17.25" thickBot="1" x14ac:dyDescent="0.35">
      <c r="A559" s="2" t="s">
        <v>4236</v>
      </c>
      <c r="B559" s="2" t="s">
        <v>27</v>
      </c>
      <c r="C559" s="2" t="s">
        <v>28</v>
      </c>
      <c r="D559" s="2" t="s">
        <v>97</v>
      </c>
      <c r="E559" s="2" t="s">
        <v>3999</v>
      </c>
      <c r="F559" s="2" t="s">
        <v>99</v>
      </c>
      <c r="G559" s="2" t="s">
        <v>32</v>
      </c>
      <c r="H559" s="1"/>
      <c r="I559" s="2" t="s">
        <v>33</v>
      </c>
      <c r="J559" s="2" t="s">
        <v>34</v>
      </c>
      <c r="K559" s="2" t="s">
        <v>770</v>
      </c>
      <c r="L559" s="2" t="s">
        <v>771</v>
      </c>
      <c r="M559" s="2" t="s">
        <v>772</v>
      </c>
      <c r="N559" s="2" t="s">
        <v>38</v>
      </c>
      <c r="O559" s="2" t="s">
        <v>466</v>
      </c>
      <c r="P559" s="2" t="s">
        <v>861</v>
      </c>
      <c r="Q559" s="2" t="s">
        <v>4237</v>
      </c>
      <c r="R559" s="2" t="s">
        <v>40</v>
      </c>
      <c r="S559" s="2" t="s">
        <v>4238</v>
      </c>
      <c r="T559" s="2" t="s">
        <v>287</v>
      </c>
      <c r="U559" s="2" t="s">
        <v>4239</v>
      </c>
      <c r="V559" s="2" t="s">
        <v>4240</v>
      </c>
      <c r="W559" s="1"/>
      <c r="X559" s="2" t="s">
        <v>4241</v>
      </c>
      <c r="Y559" s="2" t="s">
        <v>4069</v>
      </c>
      <c r="AA559" t="str">
        <f t="shared" si="48"/>
        <v>2026-05</v>
      </c>
      <c r="AB559" t="str">
        <f t="shared" si="49"/>
        <v>H1_2026</v>
      </c>
      <c r="AC559">
        <f t="shared" si="50"/>
        <v>631216.31999999995</v>
      </c>
      <c r="AD559">
        <f t="shared" si="51"/>
        <v>70</v>
      </c>
      <c r="AE559">
        <f t="shared" si="52"/>
        <v>141216.32000000001</v>
      </c>
      <c r="AF559" t="str">
        <f t="shared" si="53"/>
        <v>Paid</v>
      </c>
    </row>
    <row r="560" spans="1:32" ht="17.25" thickBot="1" x14ac:dyDescent="0.35">
      <c r="A560" s="2" t="s">
        <v>4242</v>
      </c>
      <c r="B560" s="2" t="s">
        <v>27</v>
      </c>
      <c r="C560" s="2" t="s">
        <v>28</v>
      </c>
      <c r="D560" s="2" t="s">
        <v>97</v>
      </c>
      <c r="E560" s="2" t="s">
        <v>3999</v>
      </c>
      <c r="F560" s="2" t="s">
        <v>99</v>
      </c>
      <c r="G560" s="2" t="s">
        <v>32</v>
      </c>
      <c r="H560" s="1"/>
      <c r="I560" s="2" t="s">
        <v>33</v>
      </c>
      <c r="J560" s="2" t="s">
        <v>34</v>
      </c>
      <c r="K560" s="2" t="s">
        <v>4243</v>
      </c>
      <c r="L560" s="2" t="s">
        <v>4244</v>
      </c>
      <c r="M560" s="2" t="s">
        <v>772</v>
      </c>
      <c r="N560" s="2" t="s">
        <v>38</v>
      </c>
      <c r="O560" s="2" t="s">
        <v>141</v>
      </c>
      <c r="P560" s="2" t="s">
        <v>4245</v>
      </c>
      <c r="Q560" s="2" t="s">
        <v>4246</v>
      </c>
      <c r="R560" s="2" t="s">
        <v>40</v>
      </c>
      <c r="S560" s="2" t="s">
        <v>4247</v>
      </c>
      <c r="T560" s="2" t="s">
        <v>287</v>
      </c>
      <c r="U560" s="2" t="s">
        <v>4248</v>
      </c>
      <c r="V560" s="2" t="s">
        <v>4249</v>
      </c>
      <c r="W560" s="1"/>
      <c r="X560" s="2" t="s">
        <v>986</v>
      </c>
      <c r="Y560" s="2" t="s">
        <v>4069</v>
      </c>
      <c r="AA560" t="str">
        <f t="shared" si="48"/>
        <v>2026-05</v>
      </c>
      <c r="AB560" t="str">
        <f t="shared" si="49"/>
        <v>H1_2026</v>
      </c>
      <c r="AC560">
        <f t="shared" si="50"/>
        <v>273517.56</v>
      </c>
      <c r="AD560">
        <f t="shared" si="51"/>
        <v>30</v>
      </c>
      <c r="AE560">
        <f t="shared" si="52"/>
        <v>63517.56</v>
      </c>
      <c r="AF560" t="str">
        <f t="shared" si="53"/>
        <v>Paid</v>
      </c>
    </row>
    <row r="561" spans="1:32" ht="17.25" thickBot="1" x14ac:dyDescent="0.35">
      <c r="A561" s="2" t="s">
        <v>4250</v>
      </c>
      <c r="B561" s="2" t="s">
        <v>27</v>
      </c>
      <c r="C561" s="2" t="s">
        <v>28</v>
      </c>
      <c r="D561" s="2" t="s">
        <v>97</v>
      </c>
      <c r="E561" s="2" t="s">
        <v>3999</v>
      </c>
      <c r="F561" s="2" t="s">
        <v>99</v>
      </c>
      <c r="G561" s="2" t="s">
        <v>32</v>
      </c>
      <c r="H561" s="1"/>
      <c r="I561" s="2" t="s">
        <v>33</v>
      </c>
      <c r="J561" s="2" t="s">
        <v>34</v>
      </c>
      <c r="K561" s="2" t="s">
        <v>787</v>
      </c>
      <c r="L561" s="2" t="s">
        <v>788</v>
      </c>
      <c r="M561" s="2" t="s">
        <v>772</v>
      </c>
      <c r="N561" s="2" t="s">
        <v>38</v>
      </c>
      <c r="O561" s="2" t="s">
        <v>980</v>
      </c>
      <c r="P561" s="2" t="s">
        <v>4251</v>
      </c>
      <c r="Q561" s="2" t="s">
        <v>4252</v>
      </c>
      <c r="R561" s="2" t="s">
        <v>40</v>
      </c>
      <c r="S561" s="2" t="s">
        <v>4253</v>
      </c>
      <c r="T561" s="2" t="s">
        <v>793</v>
      </c>
      <c r="U561" s="2" t="s">
        <v>4254</v>
      </c>
      <c r="V561" s="2" t="s">
        <v>4255</v>
      </c>
      <c r="W561" s="1"/>
      <c r="X561" s="2" t="s">
        <v>2958</v>
      </c>
      <c r="Y561" s="2" t="s">
        <v>4069</v>
      </c>
      <c r="AA561" t="str">
        <f t="shared" si="48"/>
        <v>2026-05</v>
      </c>
      <c r="AB561" t="str">
        <f t="shared" si="49"/>
        <v>H1_2026</v>
      </c>
      <c r="AC561">
        <f t="shared" si="50"/>
        <v>1700888.28</v>
      </c>
      <c r="AD561">
        <f t="shared" si="51"/>
        <v>1310</v>
      </c>
      <c r="AE561">
        <f t="shared" si="52"/>
        <v>390888.28</v>
      </c>
      <c r="AF561" t="str">
        <f t="shared" si="53"/>
        <v>Paid</v>
      </c>
    </row>
    <row r="562" spans="1:32" ht="17.25" thickBot="1" x14ac:dyDescent="0.35">
      <c r="A562" s="2" t="s">
        <v>2642</v>
      </c>
      <c r="B562" s="2" t="s">
        <v>27</v>
      </c>
      <c r="C562" s="2" t="s">
        <v>28</v>
      </c>
      <c r="D562" s="2" t="s">
        <v>97</v>
      </c>
      <c r="E562" s="2" t="s">
        <v>3999</v>
      </c>
      <c r="F562" s="2" t="s">
        <v>99</v>
      </c>
      <c r="G562" s="2" t="s">
        <v>32</v>
      </c>
      <c r="H562" s="1"/>
      <c r="I562" s="2" t="s">
        <v>33</v>
      </c>
      <c r="J562" s="2" t="s">
        <v>34</v>
      </c>
      <c r="K562" s="2" t="s">
        <v>4256</v>
      </c>
      <c r="L562" s="2" t="s">
        <v>4257</v>
      </c>
      <c r="M562" s="2" t="s">
        <v>772</v>
      </c>
      <c r="N562" s="2" t="s">
        <v>38</v>
      </c>
      <c r="O562" s="2" t="s">
        <v>141</v>
      </c>
      <c r="P562" s="2" t="s">
        <v>4258</v>
      </c>
      <c r="Q562" s="2" t="s">
        <v>4259</v>
      </c>
      <c r="R562" s="2" t="s">
        <v>40</v>
      </c>
      <c r="S562" s="2" t="s">
        <v>4260</v>
      </c>
      <c r="T562" s="2" t="s">
        <v>793</v>
      </c>
      <c r="U562" s="2" t="s">
        <v>4261</v>
      </c>
      <c r="V562" s="2" t="s">
        <v>4262</v>
      </c>
      <c r="W562" s="1"/>
      <c r="X562" s="2" t="s">
        <v>3138</v>
      </c>
      <c r="Y562" s="2" t="s">
        <v>4069</v>
      </c>
      <c r="AA562" t="str">
        <f t="shared" si="48"/>
        <v>2026-05</v>
      </c>
      <c r="AB562" t="str">
        <f t="shared" si="49"/>
        <v>H1_2026</v>
      </c>
      <c r="AC562">
        <f t="shared" si="50"/>
        <v>38523.599999999999</v>
      </c>
      <c r="AD562">
        <f t="shared" si="51"/>
        <v>30</v>
      </c>
      <c r="AE562">
        <f t="shared" si="52"/>
        <v>8523.6</v>
      </c>
      <c r="AF562" t="str">
        <f t="shared" si="53"/>
        <v>Paid</v>
      </c>
    </row>
    <row r="563" spans="1:32" ht="17.25" thickBot="1" x14ac:dyDescent="0.35">
      <c r="A563" s="2" t="s">
        <v>4263</v>
      </c>
      <c r="B563" s="2" t="s">
        <v>27</v>
      </c>
      <c r="C563" s="2" t="s">
        <v>28</v>
      </c>
      <c r="D563" s="2" t="s">
        <v>97</v>
      </c>
      <c r="E563" s="2" t="s">
        <v>3999</v>
      </c>
      <c r="F563" s="2" t="s">
        <v>99</v>
      </c>
      <c r="G563" s="2" t="s">
        <v>32</v>
      </c>
      <c r="H563" s="1"/>
      <c r="I563" s="2" t="s">
        <v>33</v>
      </c>
      <c r="J563" s="2" t="s">
        <v>34</v>
      </c>
      <c r="K563" s="2" t="s">
        <v>4264</v>
      </c>
      <c r="L563" s="2" t="s">
        <v>4265</v>
      </c>
      <c r="M563" s="2" t="s">
        <v>772</v>
      </c>
      <c r="N563" s="2" t="s">
        <v>38</v>
      </c>
      <c r="O563" s="2" t="s">
        <v>214</v>
      </c>
      <c r="P563" s="2" t="s">
        <v>4258</v>
      </c>
      <c r="Q563" s="2" t="s">
        <v>4266</v>
      </c>
      <c r="R563" s="2" t="s">
        <v>40</v>
      </c>
      <c r="S563" s="2" t="s">
        <v>4267</v>
      </c>
      <c r="T563" s="2" t="s">
        <v>793</v>
      </c>
      <c r="U563" s="2" t="s">
        <v>4268</v>
      </c>
      <c r="V563" s="2" t="s">
        <v>4269</v>
      </c>
      <c r="W563" s="1"/>
      <c r="X563" s="2" t="s">
        <v>3138</v>
      </c>
      <c r="Y563" s="2" t="s">
        <v>4069</v>
      </c>
      <c r="AA563" t="str">
        <f t="shared" si="48"/>
        <v>2026-05</v>
      </c>
      <c r="AB563" t="str">
        <f t="shared" si="49"/>
        <v>H1_2026</v>
      </c>
      <c r="AC563">
        <f t="shared" si="50"/>
        <v>64206</v>
      </c>
      <c r="AD563">
        <f t="shared" si="51"/>
        <v>50</v>
      </c>
      <c r="AE563">
        <f t="shared" si="52"/>
        <v>14206</v>
      </c>
      <c r="AF563" t="str">
        <f t="shared" si="53"/>
        <v>Paid</v>
      </c>
    </row>
    <row r="564" spans="1:32" ht="17.25" thickBot="1" x14ac:dyDescent="0.35">
      <c r="A564" s="2" t="s">
        <v>4270</v>
      </c>
      <c r="B564" s="2" t="s">
        <v>27</v>
      </c>
      <c r="C564" s="2" t="s">
        <v>28</v>
      </c>
      <c r="D564" s="2" t="s">
        <v>97</v>
      </c>
      <c r="E564" s="2" t="s">
        <v>3999</v>
      </c>
      <c r="F564" s="2" t="s">
        <v>99</v>
      </c>
      <c r="G564" s="2" t="s">
        <v>32</v>
      </c>
      <c r="H564" s="1"/>
      <c r="I564" s="2" t="s">
        <v>33</v>
      </c>
      <c r="J564" s="2" t="s">
        <v>34</v>
      </c>
      <c r="K564" s="2" t="s">
        <v>798</v>
      </c>
      <c r="L564" s="2" t="s">
        <v>799</v>
      </c>
      <c r="M564" s="2" t="s">
        <v>772</v>
      </c>
      <c r="N564" s="2" t="s">
        <v>38</v>
      </c>
      <c r="O564" s="2" t="s">
        <v>2057</v>
      </c>
      <c r="P564" s="2" t="s">
        <v>861</v>
      </c>
      <c r="Q564" s="2" t="s">
        <v>4271</v>
      </c>
      <c r="R564" s="2" t="s">
        <v>40</v>
      </c>
      <c r="S564" s="2" t="s">
        <v>4272</v>
      </c>
      <c r="T564" s="2" t="s">
        <v>287</v>
      </c>
      <c r="U564" s="2" t="s">
        <v>4273</v>
      </c>
      <c r="V564" s="2" t="s">
        <v>4274</v>
      </c>
      <c r="W564" s="1"/>
      <c r="X564" s="2" t="s">
        <v>4241</v>
      </c>
      <c r="Y564" s="2" t="s">
        <v>4069</v>
      </c>
      <c r="AA564" t="str">
        <f t="shared" si="48"/>
        <v>2026-05</v>
      </c>
      <c r="AB564" t="str">
        <f t="shared" si="49"/>
        <v>H1_2026</v>
      </c>
      <c r="AC564">
        <f t="shared" si="50"/>
        <v>3156081.6</v>
      </c>
      <c r="AD564">
        <f t="shared" si="51"/>
        <v>350</v>
      </c>
      <c r="AE564">
        <f t="shared" si="52"/>
        <v>706081.6</v>
      </c>
      <c r="AF564" t="str">
        <f t="shared" si="53"/>
        <v>Paid</v>
      </c>
    </row>
    <row r="565" spans="1:32" ht="17.25" thickBot="1" x14ac:dyDescent="0.35">
      <c r="A565" s="2" t="s">
        <v>4275</v>
      </c>
      <c r="B565" s="2" t="s">
        <v>27</v>
      </c>
      <c r="C565" s="2" t="s">
        <v>28</v>
      </c>
      <c r="D565" s="2" t="s">
        <v>97</v>
      </c>
      <c r="E565" s="2" t="s">
        <v>3999</v>
      </c>
      <c r="F565" s="2" t="s">
        <v>99</v>
      </c>
      <c r="G565" s="2" t="s">
        <v>32</v>
      </c>
      <c r="H565" s="1"/>
      <c r="I565" s="2" t="s">
        <v>33</v>
      </c>
      <c r="J565" s="2" t="s">
        <v>34</v>
      </c>
      <c r="K565" s="2" t="s">
        <v>808</v>
      </c>
      <c r="L565" s="2" t="s">
        <v>809</v>
      </c>
      <c r="M565" s="2" t="s">
        <v>772</v>
      </c>
      <c r="N565" s="2" t="s">
        <v>38</v>
      </c>
      <c r="O565" s="2" t="s">
        <v>4276</v>
      </c>
      <c r="P565" s="2" t="s">
        <v>4277</v>
      </c>
      <c r="Q565" s="2" t="s">
        <v>4278</v>
      </c>
      <c r="R565" s="2" t="s">
        <v>40</v>
      </c>
      <c r="S565" s="2" t="s">
        <v>4279</v>
      </c>
      <c r="T565" s="2" t="s">
        <v>814</v>
      </c>
      <c r="U565" s="2" t="s">
        <v>4280</v>
      </c>
      <c r="V565" s="2" t="s">
        <v>4281</v>
      </c>
      <c r="W565" s="1"/>
      <c r="X565" s="2" t="s">
        <v>4241</v>
      </c>
      <c r="Y565" s="2" t="s">
        <v>4069</v>
      </c>
      <c r="AA565" t="str">
        <f t="shared" si="48"/>
        <v>2026-05</v>
      </c>
      <c r="AB565" t="str">
        <f t="shared" si="49"/>
        <v>H1_2026</v>
      </c>
      <c r="AC565">
        <f t="shared" si="50"/>
        <v>26717400.719999999</v>
      </c>
      <c r="AD565">
        <f t="shared" si="51"/>
        <v>2020</v>
      </c>
      <c r="AE565">
        <f t="shared" si="52"/>
        <v>5992200.7199999997</v>
      </c>
      <c r="AF565" t="str">
        <f t="shared" si="53"/>
        <v>Paid</v>
      </c>
    </row>
    <row r="566" spans="1:32" ht="17.25" thickBot="1" x14ac:dyDescent="0.35">
      <c r="A566" s="2" t="s">
        <v>4282</v>
      </c>
      <c r="B566" s="2" t="s">
        <v>27</v>
      </c>
      <c r="C566" s="2" t="s">
        <v>28</v>
      </c>
      <c r="D566" s="2" t="s">
        <v>97</v>
      </c>
      <c r="E566" s="2" t="s">
        <v>3999</v>
      </c>
      <c r="F566" s="2" t="s">
        <v>99</v>
      </c>
      <c r="G566" s="2" t="s">
        <v>32</v>
      </c>
      <c r="H566" s="1"/>
      <c r="I566" s="2" t="s">
        <v>33</v>
      </c>
      <c r="J566" s="2" t="s">
        <v>34</v>
      </c>
      <c r="K566" s="2" t="s">
        <v>819</v>
      </c>
      <c r="L566" s="2" t="s">
        <v>820</v>
      </c>
      <c r="M566" s="2" t="s">
        <v>772</v>
      </c>
      <c r="N566" s="2" t="s">
        <v>38</v>
      </c>
      <c r="O566" s="2" t="s">
        <v>4283</v>
      </c>
      <c r="P566" s="2" t="s">
        <v>4284</v>
      </c>
      <c r="Q566" s="2" t="s">
        <v>4285</v>
      </c>
      <c r="R566" s="2" t="s">
        <v>40</v>
      </c>
      <c r="S566" s="2" t="s">
        <v>4286</v>
      </c>
      <c r="T566" s="2" t="s">
        <v>297</v>
      </c>
      <c r="U566" s="2" t="s">
        <v>4287</v>
      </c>
      <c r="V566" s="2" t="s">
        <v>4288</v>
      </c>
      <c r="W566" s="1"/>
      <c r="X566" s="2" t="s">
        <v>3305</v>
      </c>
      <c r="Y566" s="2" t="s">
        <v>4069</v>
      </c>
      <c r="AA566" t="str">
        <f t="shared" si="48"/>
        <v>2026-05</v>
      </c>
      <c r="AB566" t="str">
        <f t="shared" si="49"/>
        <v>H1_2026</v>
      </c>
      <c r="AC566">
        <f t="shared" si="50"/>
        <v>22106268.48</v>
      </c>
      <c r="AD566">
        <f t="shared" si="51"/>
        <v>2140</v>
      </c>
      <c r="AE566">
        <f t="shared" si="52"/>
        <v>4986268.4800000004</v>
      </c>
      <c r="AF566" t="str">
        <f t="shared" si="53"/>
        <v>Paid</v>
      </c>
    </row>
    <row r="567" spans="1:32" ht="17.25" thickBot="1" x14ac:dyDescent="0.35">
      <c r="A567" s="2" t="s">
        <v>4289</v>
      </c>
      <c r="B567" s="2" t="s">
        <v>27</v>
      </c>
      <c r="C567" s="2" t="s">
        <v>28</v>
      </c>
      <c r="D567" s="2" t="s">
        <v>97</v>
      </c>
      <c r="E567" s="2" t="s">
        <v>3999</v>
      </c>
      <c r="F567" s="2" t="s">
        <v>99</v>
      </c>
      <c r="G567" s="2" t="s">
        <v>32</v>
      </c>
      <c r="H567" s="1"/>
      <c r="I567" s="2" t="s">
        <v>33</v>
      </c>
      <c r="J567" s="2" t="s">
        <v>34</v>
      </c>
      <c r="K567" s="2" t="s">
        <v>829</v>
      </c>
      <c r="L567" s="2" t="s">
        <v>830</v>
      </c>
      <c r="M567" s="2" t="s">
        <v>772</v>
      </c>
      <c r="N567" s="2" t="s">
        <v>38</v>
      </c>
      <c r="O567" s="2" t="s">
        <v>1538</v>
      </c>
      <c r="P567" s="2" t="s">
        <v>2735</v>
      </c>
      <c r="Q567" s="2" t="s">
        <v>4290</v>
      </c>
      <c r="R567" s="2" t="s">
        <v>40</v>
      </c>
      <c r="S567" s="2" t="s">
        <v>4291</v>
      </c>
      <c r="T567" s="2" t="s">
        <v>835</v>
      </c>
      <c r="U567" s="2" t="s">
        <v>4292</v>
      </c>
      <c r="V567" s="2" t="s">
        <v>4293</v>
      </c>
      <c r="W567" s="1"/>
      <c r="X567" s="2" t="s">
        <v>4241</v>
      </c>
      <c r="Y567" s="2" t="s">
        <v>4069</v>
      </c>
      <c r="AA567" t="str">
        <f t="shared" si="48"/>
        <v>2026-05</v>
      </c>
      <c r="AB567" t="str">
        <f t="shared" si="49"/>
        <v>H1_2026</v>
      </c>
      <c r="AC567">
        <f t="shared" si="50"/>
        <v>6202584.96</v>
      </c>
      <c r="AD567">
        <f t="shared" si="51"/>
        <v>440</v>
      </c>
      <c r="AE567">
        <f t="shared" si="52"/>
        <v>1386784.96</v>
      </c>
      <c r="AF567" t="str">
        <f t="shared" si="53"/>
        <v>Paid</v>
      </c>
    </row>
    <row r="568" spans="1:32" ht="17.25" thickBot="1" x14ac:dyDescent="0.35">
      <c r="A568" s="2" t="s">
        <v>4294</v>
      </c>
      <c r="B568" s="2" t="s">
        <v>27</v>
      </c>
      <c r="C568" s="2" t="s">
        <v>28</v>
      </c>
      <c r="D568" s="2" t="s">
        <v>97</v>
      </c>
      <c r="E568" s="2" t="s">
        <v>3999</v>
      </c>
      <c r="F568" s="2" t="s">
        <v>99</v>
      </c>
      <c r="G568" s="2" t="s">
        <v>32</v>
      </c>
      <c r="H568" s="1"/>
      <c r="I568" s="2" t="s">
        <v>33</v>
      </c>
      <c r="J568" s="2" t="s">
        <v>34</v>
      </c>
      <c r="K568" s="2" t="s">
        <v>4295</v>
      </c>
      <c r="L568" s="2" t="s">
        <v>4296</v>
      </c>
      <c r="M568" s="2" t="s">
        <v>772</v>
      </c>
      <c r="N568" s="2" t="s">
        <v>38</v>
      </c>
      <c r="O568" s="2" t="s">
        <v>2816</v>
      </c>
      <c r="P568" s="2" t="s">
        <v>2262</v>
      </c>
      <c r="Q568" s="2" t="s">
        <v>4297</v>
      </c>
      <c r="R568" s="2" t="s">
        <v>40</v>
      </c>
      <c r="S568" s="2" t="s">
        <v>4298</v>
      </c>
      <c r="T568" s="2" t="s">
        <v>864</v>
      </c>
      <c r="U568" s="2" t="s">
        <v>4299</v>
      </c>
      <c r="V568" s="2" t="s">
        <v>4300</v>
      </c>
      <c r="W568" s="1"/>
      <c r="X568" s="2" t="s">
        <v>1774</v>
      </c>
      <c r="Y568" s="2" t="s">
        <v>4069</v>
      </c>
      <c r="AA568" t="str">
        <f t="shared" si="48"/>
        <v>2026-05</v>
      </c>
      <c r="AB568" t="str">
        <f t="shared" si="49"/>
        <v>H1_2026</v>
      </c>
      <c r="AC568">
        <f t="shared" si="50"/>
        <v>3347272.8</v>
      </c>
      <c r="AD568">
        <f t="shared" si="51"/>
        <v>340</v>
      </c>
      <c r="AE568">
        <f t="shared" si="52"/>
        <v>797272.8</v>
      </c>
      <c r="AF568" t="str">
        <f t="shared" si="53"/>
        <v>Paid</v>
      </c>
    </row>
    <row r="569" spans="1:32" ht="17.25" thickBot="1" x14ac:dyDescent="0.35">
      <c r="A569" s="2" t="s">
        <v>4301</v>
      </c>
      <c r="B569" s="2" t="s">
        <v>27</v>
      </c>
      <c r="C569" s="2" t="s">
        <v>28</v>
      </c>
      <c r="D569" s="2" t="s">
        <v>97</v>
      </c>
      <c r="E569" s="2" t="s">
        <v>3999</v>
      </c>
      <c r="F569" s="2" t="s">
        <v>99</v>
      </c>
      <c r="G569" s="2" t="s">
        <v>32</v>
      </c>
      <c r="H569" s="1"/>
      <c r="I569" s="2" t="s">
        <v>33</v>
      </c>
      <c r="J569" s="2" t="s">
        <v>34</v>
      </c>
      <c r="K569" s="2" t="s">
        <v>868</v>
      </c>
      <c r="L569" s="2" t="s">
        <v>869</v>
      </c>
      <c r="M569" s="2" t="s">
        <v>772</v>
      </c>
      <c r="N569" s="2" t="s">
        <v>38</v>
      </c>
      <c r="O569" s="2" t="s">
        <v>748</v>
      </c>
      <c r="P569" s="2" t="s">
        <v>4302</v>
      </c>
      <c r="Q569" s="2" t="s">
        <v>4303</v>
      </c>
      <c r="R569" s="2" t="s">
        <v>40</v>
      </c>
      <c r="S569" s="2" t="s">
        <v>4304</v>
      </c>
      <c r="T569" s="2" t="s">
        <v>873</v>
      </c>
      <c r="U569" s="2" t="s">
        <v>4305</v>
      </c>
      <c r="V569" s="2" t="s">
        <v>4306</v>
      </c>
      <c r="W569" s="1"/>
      <c r="X569" s="2" t="s">
        <v>2958</v>
      </c>
      <c r="Y569" s="2" t="s">
        <v>4069</v>
      </c>
      <c r="AA569" t="str">
        <f t="shared" si="48"/>
        <v>2026-05</v>
      </c>
      <c r="AB569" t="str">
        <f t="shared" si="49"/>
        <v>H1_2026</v>
      </c>
      <c r="AC569">
        <f t="shared" si="50"/>
        <v>3032235.36</v>
      </c>
      <c r="AD569">
        <f t="shared" si="51"/>
        <v>280</v>
      </c>
      <c r="AE569">
        <f t="shared" si="52"/>
        <v>697035.36</v>
      </c>
      <c r="AF569" t="str">
        <f t="shared" si="53"/>
        <v>Paid</v>
      </c>
    </row>
    <row r="570" spans="1:32" ht="17.25" thickBot="1" x14ac:dyDescent="0.35">
      <c r="A570" s="2" t="s">
        <v>4307</v>
      </c>
      <c r="B570" s="2" t="s">
        <v>27</v>
      </c>
      <c r="C570" s="2" t="s">
        <v>28</v>
      </c>
      <c r="D570" s="2" t="s">
        <v>97</v>
      </c>
      <c r="E570" s="2" t="s">
        <v>3999</v>
      </c>
      <c r="F570" s="2" t="s">
        <v>99</v>
      </c>
      <c r="G570" s="2" t="s">
        <v>32</v>
      </c>
      <c r="H570" s="1"/>
      <c r="I570" s="2" t="s">
        <v>33</v>
      </c>
      <c r="J570" s="2" t="s">
        <v>34</v>
      </c>
      <c r="K570" s="2" t="s">
        <v>4308</v>
      </c>
      <c r="L570" s="2" t="s">
        <v>4309</v>
      </c>
      <c r="M570" s="2" t="s">
        <v>772</v>
      </c>
      <c r="N570" s="2" t="s">
        <v>38</v>
      </c>
      <c r="O570" s="2" t="s">
        <v>141</v>
      </c>
      <c r="P570" s="2" t="s">
        <v>4310</v>
      </c>
      <c r="Q570" s="2" t="s">
        <v>4311</v>
      </c>
      <c r="R570" s="2" t="s">
        <v>40</v>
      </c>
      <c r="S570" s="2" t="s">
        <v>4312</v>
      </c>
      <c r="T570" s="2" t="s">
        <v>287</v>
      </c>
      <c r="U570" s="2" t="s">
        <v>4248</v>
      </c>
      <c r="V570" s="2" t="s">
        <v>4313</v>
      </c>
      <c r="W570" s="1"/>
      <c r="X570" s="2" t="s">
        <v>1073</v>
      </c>
      <c r="Y570" s="2" t="s">
        <v>4069</v>
      </c>
      <c r="AA570" t="str">
        <f t="shared" si="48"/>
        <v>2026-05</v>
      </c>
      <c r="AB570" t="str">
        <f t="shared" si="49"/>
        <v>H1_2026</v>
      </c>
      <c r="AC570">
        <f t="shared" si="50"/>
        <v>284218.56</v>
      </c>
      <c r="AD570">
        <f t="shared" si="51"/>
        <v>30</v>
      </c>
      <c r="AE570">
        <f t="shared" si="52"/>
        <v>74218.559999999998</v>
      </c>
      <c r="AF570" t="str">
        <f t="shared" si="53"/>
        <v>Paid</v>
      </c>
    </row>
    <row r="571" spans="1:32" ht="17.25" thickBot="1" x14ac:dyDescent="0.35">
      <c r="A571" s="2" t="s">
        <v>4314</v>
      </c>
      <c r="B571" s="2" t="s">
        <v>27</v>
      </c>
      <c r="C571" s="2" t="s">
        <v>28</v>
      </c>
      <c r="D571" s="2" t="s">
        <v>97</v>
      </c>
      <c r="E571" s="2" t="s">
        <v>3999</v>
      </c>
      <c r="F571" s="2" t="s">
        <v>99</v>
      </c>
      <c r="G571" s="2" t="s">
        <v>32</v>
      </c>
      <c r="H571" s="1"/>
      <c r="I571" s="2" t="s">
        <v>33</v>
      </c>
      <c r="J571" s="2" t="s">
        <v>34</v>
      </c>
      <c r="K571" s="2" t="s">
        <v>4315</v>
      </c>
      <c r="L571" s="2" t="s">
        <v>4316</v>
      </c>
      <c r="M571" s="2" t="s">
        <v>772</v>
      </c>
      <c r="N571" s="2" t="s">
        <v>38</v>
      </c>
      <c r="O571" s="2" t="s">
        <v>141</v>
      </c>
      <c r="P571" s="2" t="s">
        <v>4317</v>
      </c>
      <c r="Q571" s="2" t="s">
        <v>4318</v>
      </c>
      <c r="R571" s="2" t="s">
        <v>40</v>
      </c>
      <c r="S571" s="2" t="s">
        <v>4319</v>
      </c>
      <c r="T571" s="2" t="s">
        <v>903</v>
      </c>
      <c r="U571" s="2" t="s">
        <v>4320</v>
      </c>
      <c r="V571" s="2" t="s">
        <v>4321</v>
      </c>
      <c r="W571" s="1"/>
      <c r="X571" s="2" t="s">
        <v>3305</v>
      </c>
      <c r="Y571" s="2" t="s">
        <v>4069</v>
      </c>
      <c r="AA571" t="str">
        <f t="shared" si="48"/>
        <v>2026-05</v>
      </c>
      <c r="AB571" t="str">
        <f t="shared" si="49"/>
        <v>H1_2026</v>
      </c>
      <c r="AC571">
        <f t="shared" si="50"/>
        <v>424187.64</v>
      </c>
      <c r="AD571">
        <f t="shared" si="51"/>
        <v>30</v>
      </c>
      <c r="AE571">
        <f t="shared" si="52"/>
        <v>95987.64</v>
      </c>
      <c r="AF571" t="str">
        <f t="shared" si="53"/>
        <v>Paid</v>
      </c>
    </row>
    <row r="572" spans="1:32" ht="17.25" thickBot="1" x14ac:dyDescent="0.35">
      <c r="A572" s="2" t="s">
        <v>2337</v>
      </c>
      <c r="B572" s="2" t="s">
        <v>27</v>
      </c>
      <c r="C572" s="2" t="s">
        <v>28</v>
      </c>
      <c r="D572" s="2" t="s">
        <v>97</v>
      </c>
      <c r="E572" s="2" t="s">
        <v>3999</v>
      </c>
      <c r="F572" s="2" t="s">
        <v>99</v>
      </c>
      <c r="G572" s="2" t="s">
        <v>32</v>
      </c>
      <c r="H572" s="1"/>
      <c r="I572" s="2" t="s">
        <v>33</v>
      </c>
      <c r="J572" s="2" t="s">
        <v>34</v>
      </c>
      <c r="K572" s="2" t="s">
        <v>907</v>
      </c>
      <c r="L572" s="2" t="s">
        <v>908</v>
      </c>
      <c r="M572" s="2" t="s">
        <v>772</v>
      </c>
      <c r="N572" s="2" t="s">
        <v>38</v>
      </c>
      <c r="O572" s="2" t="s">
        <v>493</v>
      </c>
      <c r="P572" s="2" t="s">
        <v>4322</v>
      </c>
      <c r="Q572" s="2" t="s">
        <v>4323</v>
      </c>
      <c r="R572" s="2" t="s">
        <v>40</v>
      </c>
      <c r="S572" s="2" t="s">
        <v>4324</v>
      </c>
      <c r="T572" s="2" t="s">
        <v>913</v>
      </c>
      <c r="U572" s="2" t="s">
        <v>4325</v>
      </c>
      <c r="V572" s="2" t="s">
        <v>4326</v>
      </c>
      <c r="W572" s="1"/>
      <c r="X572" s="2" t="s">
        <v>955</v>
      </c>
      <c r="Y572" s="2" t="s">
        <v>4069</v>
      </c>
      <c r="AA572" t="str">
        <f t="shared" si="48"/>
        <v>2026-05</v>
      </c>
      <c r="AB572" t="str">
        <f t="shared" si="49"/>
        <v>H1_2026</v>
      </c>
      <c r="AC572">
        <f t="shared" si="50"/>
        <v>5866716.2400000002</v>
      </c>
      <c r="AD572">
        <f t="shared" si="51"/>
        <v>420</v>
      </c>
      <c r="AE572">
        <f t="shared" si="52"/>
        <v>1381116.24</v>
      </c>
      <c r="AF572" t="str">
        <f t="shared" si="53"/>
        <v>Paid</v>
      </c>
    </row>
    <row r="573" spans="1:32" ht="17.25" thickBot="1" x14ac:dyDescent="0.35">
      <c r="A573" s="2" t="s">
        <v>4327</v>
      </c>
      <c r="B573" s="2" t="s">
        <v>27</v>
      </c>
      <c r="C573" s="2" t="s">
        <v>28</v>
      </c>
      <c r="D573" s="2" t="s">
        <v>97</v>
      </c>
      <c r="E573" s="2" t="s">
        <v>3999</v>
      </c>
      <c r="F573" s="2" t="s">
        <v>99</v>
      </c>
      <c r="G573" s="2" t="s">
        <v>32</v>
      </c>
      <c r="H573" s="1"/>
      <c r="I573" s="2" t="s">
        <v>33</v>
      </c>
      <c r="J573" s="2" t="s">
        <v>34</v>
      </c>
      <c r="K573" s="2" t="s">
        <v>4328</v>
      </c>
      <c r="L573" s="2" t="s">
        <v>4329</v>
      </c>
      <c r="M573" s="2" t="s">
        <v>772</v>
      </c>
      <c r="N573" s="2" t="s">
        <v>38</v>
      </c>
      <c r="O573" s="2" t="s">
        <v>141</v>
      </c>
      <c r="P573" s="2" t="s">
        <v>4330</v>
      </c>
      <c r="Q573" s="2" t="s">
        <v>4331</v>
      </c>
      <c r="R573" s="2" t="s">
        <v>40</v>
      </c>
      <c r="S573" s="2" t="s">
        <v>4332</v>
      </c>
      <c r="T573" s="2" t="s">
        <v>4333</v>
      </c>
      <c r="U573" s="2" t="s">
        <v>4334</v>
      </c>
      <c r="V573" s="2" t="s">
        <v>4335</v>
      </c>
      <c r="W573" s="1"/>
      <c r="X573" s="2" t="s">
        <v>986</v>
      </c>
      <c r="Y573" s="2" t="s">
        <v>4069</v>
      </c>
      <c r="AA573" t="str">
        <f t="shared" si="48"/>
        <v>2026-05</v>
      </c>
      <c r="AB573" t="str">
        <f t="shared" si="49"/>
        <v>H1_2026</v>
      </c>
      <c r="AC573">
        <f t="shared" si="50"/>
        <v>320173.92</v>
      </c>
      <c r="AD573">
        <f t="shared" si="51"/>
        <v>30</v>
      </c>
      <c r="AE573">
        <f t="shared" si="52"/>
        <v>74173.919999999998</v>
      </c>
      <c r="AF573" t="str">
        <f t="shared" si="53"/>
        <v>Paid</v>
      </c>
    </row>
    <row r="574" spans="1:32" ht="17.25" thickBot="1" x14ac:dyDescent="0.35">
      <c r="A574" s="2" t="s">
        <v>4336</v>
      </c>
      <c r="B574" s="2" t="s">
        <v>27</v>
      </c>
      <c r="C574" s="2" t="s">
        <v>28</v>
      </c>
      <c r="D574" s="2" t="s">
        <v>97</v>
      </c>
      <c r="E574" s="2" t="s">
        <v>3999</v>
      </c>
      <c r="F574" s="2" t="s">
        <v>99</v>
      </c>
      <c r="G574" s="2" t="s">
        <v>32</v>
      </c>
      <c r="H574" s="1"/>
      <c r="I574" s="2" t="s">
        <v>33</v>
      </c>
      <c r="J574" s="2" t="s">
        <v>34</v>
      </c>
      <c r="K574" s="2" t="s">
        <v>926</v>
      </c>
      <c r="L574" s="2" t="s">
        <v>927</v>
      </c>
      <c r="M574" s="2" t="s">
        <v>772</v>
      </c>
      <c r="N574" s="2" t="s">
        <v>38</v>
      </c>
      <c r="O574" s="2" t="s">
        <v>665</v>
      </c>
      <c r="P574" s="2" t="s">
        <v>4337</v>
      </c>
      <c r="Q574" s="2" t="s">
        <v>4338</v>
      </c>
      <c r="R574" s="2" t="s">
        <v>40</v>
      </c>
      <c r="S574" s="2" t="s">
        <v>4339</v>
      </c>
      <c r="T574" s="2" t="s">
        <v>931</v>
      </c>
      <c r="U574" s="2" t="s">
        <v>4340</v>
      </c>
      <c r="V574" s="2" t="s">
        <v>4341</v>
      </c>
      <c r="W574" s="1"/>
      <c r="X574" s="2" t="s">
        <v>2958</v>
      </c>
      <c r="Y574" s="2" t="s">
        <v>4069</v>
      </c>
      <c r="AA574" t="str">
        <f t="shared" si="48"/>
        <v>2026-05</v>
      </c>
      <c r="AB574" t="str">
        <f t="shared" si="49"/>
        <v>H1_2026</v>
      </c>
      <c r="AC574">
        <f t="shared" si="50"/>
        <v>1935596.88</v>
      </c>
      <c r="AD574">
        <f t="shared" si="51"/>
        <v>210</v>
      </c>
      <c r="AE574">
        <f t="shared" si="52"/>
        <v>444596.88</v>
      </c>
      <c r="AF574" t="str">
        <f t="shared" si="53"/>
        <v>Paid</v>
      </c>
    </row>
    <row r="575" spans="1:32" ht="17.25" thickBot="1" x14ac:dyDescent="0.35">
      <c r="A575" s="2" t="s">
        <v>4342</v>
      </c>
      <c r="B575" s="2" t="s">
        <v>27</v>
      </c>
      <c r="C575" s="2" t="s">
        <v>28</v>
      </c>
      <c r="D575" s="2" t="s">
        <v>97</v>
      </c>
      <c r="E575" s="2" t="s">
        <v>3999</v>
      </c>
      <c r="F575" s="2" t="s">
        <v>99</v>
      </c>
      <c r="G575" s="2" t="s">
        <v>32</v>
      </c>
      <c r="H575" s="1"/>
      <c r="I575" s="2" t="s">
        <v>33</v>
      </c>
      <c r="J575" s="2" t="s">
        <v>34</v>
      </c>
      <c r="K575" s="2" t="s">
        <v>4343</v>
      </c>
      <c r="L575" s="2" t="s">
        <v>4344</v>
      </c>
      <c r="M575" s="2" t="s">
        <v>772</v>
      </c>
      <c r="N575" s="2" t="s">
        <v>38</v>
      </c>
      <c r="O575" s="2" t="s">
        <v>121</v>
      </c>
      <c r="P575" s="2" t="s">
        <v>1952</v>
      </c>
      <c r="Q575" s="2" t="s">
        <v>4345</v>
      </c>
      <c r="R575" s="2" t="s">
        <v>40</v>
      </c>
      <c r="S575" s="2" t="s">
        <v>4346</v>
      </c>
      <c r="T575" s="2" t="s">
        <v>4347</v>
      </c>
      <c r="U575" s="2" t="s">
        <v>4348</v>
      </c>
      <c r="V575" s="2" t="s">
        <v>4349</v>
      </c>
      <c r="W575" s="1"/>
      <c r="X575" s="2" t="s">
        <v>4350</v>
      </c>
      <c r="Y575" s="2" t="s">
        <v>4069</v>
      </c>
      <c r="AA575" t="str">
        <f t="shared" si="48"/>
        <v>2026-05</v>
      </c>
      <c r="AB575" t="str">
        <f t="shared" si="49"/>
        <v>H1_2026</v>
      </c>
      <c r="AC575">
        <f t="shared" si="50"/>
        <v>184684.99</v>
      </c>
      <c r="AD575">
        <f t="shared" si="51"/>
        <v>16</v>
      </c>
      <c r="AE575">
        <f t="shared" si="52"/>
        <v>43244.99</v>
      </c>
      <c r="AF575" t="str">
        <f t="shared" si="53"/>
        <v>Paid</v>
      </c>
    </row>
    <row r="576" spans="1:32" ht="17.25" thickBot="1" x14ac:dyDescent="0.35">
      <c r="A576" s="2" t="s">
        <v>4351</v>
      </c>
      <c r="B576" s="2" t="s">
        <v>27</v>
      </c>
      <c r="C576" s="2" t="s">
        <v>28</v>
      </c>
      <c r="D576" s="2" t="s">
        <v>97</v>
      </c>
      <c r="E576" s="2" t="s">
        <v>3999</v>
      </c>
      <c r="F576" s="2" t="s">
        <v>99</v>
      </c>
      <c r="G576" s="2" t="s">
        <v>32</v>
      </c>
      <c r="H576" s="1"/>
      <c r="I576" s="2" t="s">
        <v>33</v>
      </c>
      <c r="J576" s="2" t="s">
        <v>34</v>
      </c>
      <c r="K576" s="2" t="s">
        <v>936</v>
      </c>
      <c r="L576" s="2" t="s">
        <v>937</v>
      </c>
      <c r="M576" s="2" t="s">
        <v>772</v>
      </c>
      <c r="N576" s="2" t="s">
        <v>38</v>
      </c>
      <c r="O576" s="2" t="s">
        <v>1056</v>
      </c>
      <c r="P576" s="2" t="s">
        <v>4352</v>
      </c>
      <c r="Q576" s="2" t="s">
        <v>4353</v>
      </c>
      <c r="R576" s="2" t="s">
        <v>40</v>
      </c>
      <c r="S576" s="2" t="s">
        <v>4354</v>
      </c>
      <c r="T576" s="2" t="s">
        <v>942</v>
      </c>
      <c r="U576" s="2" t="s">
        <v>4355</v>
      </c>
      <c r="V576" s="2" t="s">
        <v>4356</v>
      </c>
      <c r="W576" s="1"/>
      <c r="X576" s="2" t="s">
        <v>3583</v>
      </c>
      <c r="Y576" s="2" t="s">
        <v>4069</v>
      </c>
      <c r="AA576" t="str">
        <f t="shared" si="48"/>
        <v>2026-05</v>
      </c>
      <c r="AB576" t="str">
        <f t="shared" si="49"/>
        <v>H1_2026</v>
      </c>
      <c r="AC576">
        <f t="shared" si="50"/>
        <v>10785466.560000001</v>
      </c>
      <c r="AD576">
        <f t="shared" si="51"/>
        <v>880</v>
      </c>
      <c r="AE576">
        <f t="shared" si="52"/>
        <v>2135946.56</v>
      </c>
      <c r="AF576" t="str">
        <f t="shared" si="53"/>
        <v>Paid</v>
      </c>
    </row>
    <row r="577" spans="1:32" ht="17.25" thickBot="1" x14ac:dyDescent="0.35">
      <c r="A577" s="2" t="s">
        <v>4357</v>
      </c>
      <c r="B577" s="2" t="s">
        <v>27</v>
      </c>
      <c r="C577" s="2" t="s">
        <v>28</v>
      </c>
      <c r="D577" s="2" t="s">
        <v>97</v>
      </c>
      <c r="E577" s="2" t="s">
        <v>3999</v>
      </c>
      <c r="F577" s="2" t="s">
        <v>99</v>
      </c>
      <c r="G577" s="2" t="s">
        <v>32</v>
      </c>
      <c r="H577" s="1"/>
      <c r="I577" s="2" t="s">
        <v>33</v>
      </c>
      <c r="J577" s="2" t="s">
        <v>34</v>
      </c>
      <c r="K577" s="2" t="s">
        <v>4358</v>
      </c>
      <c r="L577" s="2" t="s">
        <v>4359</v>
      </c>
      <c r="M577" s="2" t="s">
        <v>772</v>
      </c>
      <c r="N577" s="2" t="s">
        <v>38</v>
      </c>
      <c r="O577" s="2" t="s">
        <v>156</v>
      </c>
      <c r="P577" s="2" t="s">
        <v>4360</v>
      </c>
      <c r="Q577" s="2" t="s">
        <v>4361</v>
      </c>
      <c r="R577" s="2" t="s">
        <v>40</v>
      </c>
      <c r="S577" s="2" t="s">
        <v>4362</v>
      </c>
      <c r="T577" s="2" t="s">
        <v>4363</v>
      </c>
      <c r="U577" s="2" t="s">
        <v>4364</v>
      </c>
      <c r="V577" s="2" t="s">
        <v>4365</v>
      </c>
      <c r="W577" s="1"/>
      <c r="X577" s="2" t="s">
        <v>2165</v>
      </c>
      <c r="Y577" s="2" t="s">
        <v>4069</v>
      </c>
      <c r="AA577" t="str">
        <f t="shared" si="48"/>
        <v>2026-05</v>
      </c>
      <c r="AB577" t="str">
        <f t="shared" si="49"/>
        <v>H1_2026</v>
      </c>
      <c r="AC577">
        <f t="shared" si="50"/>
        <v>257109.36</v>
      </c>
      <c r="AD577">
        <f t="shared" si="51"/>
        <v>20</v>
      </c>
      <c r="AE577">
        <f t="shared" si="52"/>
        <v>58709.36</v>
      </c>
      <c r="AF577" t="str">
        <f t="shared" si="53"/>
        <v>Paid</v>
      </c>
    </row>
    <row r="578" spans="1:32" ht="17.25" thickBot="1" x14ac:dyDescent="0.35">
      <c r="A578" s="2" t="s">
        <v>4366</v>
      </c>
      <c r="B578" s="2" t="s">
        <v>27</v>
      </c>
      <c r="C578" s="2" t="s">
        <v>28</v>
      </c>
      <c r="D578" s="2" t="s">
        <v>97</v>
      </c>
      <c r="E578" s="2" t="s">
        <v>3999</v>
      </c>
      <c r="F578" s="2" t="s">
        <v>99</v>
      </c>
      <c r="G578" s="2" t="s">
        <v>32</v>
      </c>
      <c r="H578" s="1"/>
      <c r="I578" s="2" t="s">
        <v>33</v>
      </c>
      <c r="J578" s="2" t="s">
        <v>34</v>
      </c>
      <c r="K578" s="2" t="s">
        <v>4367</v>
      </c>
      <c r="L578" s="2" t="s">
        <v>4368</v>
      </c>
      <c r="M578" s="2" t="s">
        <v>772</v>
      </c>
      <c r="N578" s="2" t="s">
        <v>38</v>
      </c>
      <c r="O578" s="2" t="s">
        <v>156</v>
      </c>
      <c r="P578" s="2" t="s">
        <v>4360</v>
      </c>
      <c r="Q578" s="2" t="s">
        <v>4361</v>
      </c>
      <c r="R578" s="2" t="s">
        <v>40</v>
      </c>
      <c r="S578" s="2" t="s">
        <v>4362</v>
      </c>
      <c r="T578" s="2" t="s">
        <v>4363</v>
      </c>
      <c r="U578" s="2" t="s">
        <v>4364</v>
      </c>
      <c r="V578" s="2" t="s">
        <v>4365</v>
      </c>
      <c r="W578" s="1"/>
      <c r="X578" s="2" t="s">
        <v>2165</v>
      </c>
      <c r="Y578" s="2" t="s">
        <v>4069</v>
      </c>
      <c r="AA578" t="str">
        <f t="shared" si="48"/>
        <v>2026-05</v>
      </c>
      <c r="AB578" t="str">
        <f t="shared" si="49"/>
        <v>H1_2026</v>
      </c>
      <c r="AC578">
        <f t="shared" si="50"/>
        <v>257109.36</v>
      </c>
      <c r="AD578">
        <f t="shared" si="51"/>
        <v>20</v>
      </c>
      <c r="AE578">
        <f t="shared" si="52"/>
        <v>58709.36</v>
      </c>
      <c r="AF578" t="str">
        <f t="shared" si="53"/>
        <v>Paid</v>
      </c>
    </row>
    <row r="579" spans="1:32" ht="27.75" thickBot="1" x14ac:dyDescent="0.35">
      <c r="A579" s="2" t="s">
        <v>4369</v>
      </c>
      <c r="B579" s="2" t="s">
        <v>27</v>
      </c>
      <c r="C579" s="2" t="s">
        <v>28</v>
      </c>
      <c r="D579" s="2" t="s">
        <v>97</v>
      </c>
      <c r="E579" s="2" t="s">
        <v>3999</v>
      </c>
      <c r="F579" s="2" t="s">
        <v>99</v>
      </c>
      <c r="G579" s="2" t="s">
        <v>32</v>
      </c>
      <c r="H579" s="1"/>
      <c r="I579" s="2" t="s">
        <v>33</v>
      </c>
      <c r="J579" s="2" t="s">
        <v>34</v>
      </c>
      <c r="K579" s="2" t="s">
        <v>4370</v>
      </c>
      <c r="L579" s="2" t="s">
        <v>4371</v>
      </c>
      <c r="M579" s="2" t="s">
        <v>772</v>
      </c>
      <c r="N579" s="2" t="s">
        <v>38</v>
      </c>
      <c r="O579" s="2" t="s">
        <v>141</v>
      </c>
      <c r="P579" s="2" t="s">
        <v>132</v>
      </c>
      <c r="Q579" s="2" t="s">
        <v>4372</v>
      </c>
      <c r="R579" s="2" t="s">
        <v>40</v>
      </c>
      <c r="S579" s="2" t="s">
        <v>4373</v>
      </c>
      <c r="T579" s="2" t="s">
        <v>4374</v>
      </c>
      <c r="U579" s="2" t="s">
        <v>4375</v>
      </c>
      <c r="V579" s="2" t="s">
        <v>4376</v>
      </c>
      <c r="W579" s="1"/>
      <c r="X579" s="2" t="s">
        <v>3681</v>
      </c>
      <c r="Y579" s="2" t="s">
        <v>4069</v>
      </c>
      <c r="AA579" t="str">
        <f t="shared" si="48"/>
        <v>2026-05</v>
      </c>
      <c r="AB579" t="str">
        <f t="shared" si="49"/>
        <v>H1_2026</v>
      </c>
      <c r="AC579">
        <f t="shared" si="50"/>
        <v>312041.15999999997</v>
      </c>
      <c r="AD579">
        <f t="shared" si="51"/>
        <v>30</v>
      </c>
      <c r="AE579">
        <f t="shared" si="52"/>
        <v>71441.16</v>
      </c>
      <c r="AF579" t="str">
        <f t="shared" si="53"/>
        <v>Paid</v>
      </c>
    </row>
    <row r="580" spans="1:32" ht="17.25" thickBot="1" x14ac:dyDescent="0.35">
      <c r="A580" s="2" t="s">
        <v>4377</v>
      </c>
      <c r="B580" s="2" t="s">
        <v>27</v>
      </c>
      <c r="C580" s="2" t="s">
        <v>28</v>
      </c>
      <c r="D580" s="2" t="s">
        <v>97</v>
      </c>
      <c r="E580" s="2" t="s">
        <v>3999</v>
      </c>
      <c r="F580" s="2" t="s">
        <v>99</v>
      </c>
      <c r="G580" s="2" t="s">
        <v>32</v>
      </c>
      <c r="H580" s="1"/>
      <c r="I580" s="2" t="s">
        <v>33</v>
      </c>
      <c r="J580" s="2" t="s">
        <v>34</v>
      </c>
      <c r="K580" s="2" t="s">
        <v>967</v>
      </c>
      <c r="L580" s="2" t="s">
        <v>968</v>
      </c>
      <c r="M580" s="2" t="s">
        <v>772</v>
      </c>
      <c r="N580" s="2" t="s">
        <v>38</v>
      </c>
      <c r="O580" s="2" t="s">
        <v>779</v>
      </c>
      <c r="P580" s="2" t="s">
        <v>4378</v>
      </c>
      <c r="Q580" s="2" t="s">
        <v>4379</v>
      </c>
      <c r="R580" s="2" t="s">
        <v>40</v>
      </c>
      <c r="S580" s="2" t="s">
        <v>4380</v>
      </c>
      <c r="T580" s="2" t="s">
        <v>973</v>
      </c>
      <c r="U580" s="2" t="s">
        <v>4381</v>
      </c>
      <c r="V580" s="2" t="s">
        <v>4382</v>
      </c>
      <c r="W580" s="1"/>
      <c r="X580" s="2" t="s">
        <v>3610</v>
      </c>
      <c r="Y580" s="2" t="s">
        <v>4069</v>
      </c>
      <c r="AA580" t="str">
        <f t="shared" ref="AA580:AA643" si="54">LEFT(E580,7)</f>
        <v>2026-05</v>
      </c>
      <c r="AB580" t="str">
        <f t="shared" ref="AB580:AB643" si="55">IF(AND($AA580&gt;="2025-01",$AA580&lt;="2025-06"),"H1_2025",IF(AND($AA580&gt;="2026-01",$AA580&lt;="2026-06"),"H1_2026",""))</f>
        <v>H1_2026</v>
      </c>
      <c r="AC580">
        <f t="shared" ref="AC580:AC643" si="56">IFERROR(VALUE(SUBSTITUTE(S580,",","")),0)</f>
        <v>1349610.12</v>
      </c>
      <c r="AD580">
        <f t="shared" ref="AD580:AD643" si="57">IFERROR(VALUE(SUBSTITUTE(O580,",","")),0)</f>
        <v>90</v>
      </c>
      <c r="AE580">
        <f t="shared" ref="AE580:AE643" si="58">IFERROR(VALUE(SUBSTITUTE(V580,",","")),0)</f>
        <v>314610.12</v>
      </c>
      <c r="AF580" t="str">
        <f t="shared" ref="AF580:AF643" si="59">IF(ISNUMBER(SEARCH("FOC",W580)),"FOC",IF(ISNUMBER(SEARCH("샘플",W580)),"Sample","Paid"))</f>
        <v>Paid</v>
      </c>
    </row>
    <row r="581" spans="1:32" ht="17.25" thickBot="1" x14ac:dyDescent="0.35">
      <c r="A581" s="2" t="s">
        <v>4383</v>
      </c>
      <c r="B581" s="2" t="s">
        <v>27</v>
      </c>
      <c r="C581" s="2" t="s">
        <v>28</v>
      </c>
      <c r="D581" s="2" t="s">
        <v>97</v>
      </c>
      <c r="E581" s="2" t="s">
        <v>3999</v>
      </c>
      <c r="F581" s="2" t="s">
        <v>99</v>
      </c>
      <c r="G581" s="2" t="s">
        <v>32</v>
      </c>
      <c r="H581" s="1"/>
      <c r="I581" s="2" t="s">
        <v>33</v>
      </c>
      <c r="J581" s="2" t="s">
        <v>34</v>
      </c>
      <c r="K581" s="2" t="s">
        <v>988</v>
      </c>
      <c r="L581" s="2" t="s">
        <v>989</v>
      </c>
      <c r="M581" s="2" t="s">
        <v>772</v>
      </c>
      <c r="N581" s="2" t="s">
        <v>38</v>
      </c>
      <c r="O581" s="2" t="s">
        <v>4043</v>
      </c>
      <c r="P581" s="2" t="s">
        <v>4384</v>
      </c>
      <c r="Q581" s="2" t="s">
        <v>4385</v>
      </c>
      <c r="R581" s="2" t="s">
        <v>40</v>
      </c>
      <c r="S581" s="2" t="s">
        <v>4386</v>
      </c>
      <c r="T581" s="2" t="s">
        <v>994</v>
      </c>
      <c r="U581" s="2" t="s">
        <v>4387</v>
      </c>
      <c r="V581" s="2" t="s">
        <v>4388</v>
      </c>
      <c r="W581" s="1"/>
      <c r="X581" s="2" t="s">
        <v>955</v>
      </c>
      <c r="Y581" s="2" t="s">
        <v>4069</v>
      </c>
      <c r="AA581" t="str">
        <f t="shared" si="54"/>
        <v>2026-05</v>
      </c>
      <c r="AB581" t="str">
        <f t="shared" si="55"/>
        <v>H1_2026</v>
      </c>
      <c r="AC581">
        <f t="shared" si="56"/>
        <v>10956111.84</v>
      </c>
      <c r="AD581">
        <f t="shared" si="57"/>
        <v>810</v>
      </c>
      <c r="AE581">
        <f t="shared" si="58"/>
        <v>2572611.84</v>
      </c>
      <c r="AF581" t="str">
        <f t="shared" si="59"/>
        <v>Paid</v>
      </c>
    </row>
    <row r="582" spans="1:32" ht="17.25" thickBot="1" x14ac:dyDescent="0.35">
      <c r="A582" s="2" t="s">
        <v>275</v>
      </c>
      <c r="B582" s="2" t="s">
        <v>27</v>
      </c>
      <c r="C582" s="2" t="s">
        <v>28</v>
      </c>
      <c r="D582" s="2" t="s">
        <v>97</v>
      </c>
      <c r="E582" s="2" t="s">
        <v>3999</v>
      </c>
      <c r="F582" s="2" t="s">
        <v>99</v>
      </c>
      <c r="G582" s="2" t="s">
        <v>32</v>
      </c>
      <c r="H582" s="1"/>
      <c r="I582" s="2" t="s">
        <v>33</v>
      </c>
      <c r="J582" s="2" t="s">
        <v>34</v>
      </c>
      <c r="K582" s="2" t="s">
        <v>999</v>
      </c>
      <c r="L582" s="2" t="s">
        <v>1000</v>
      </c>
      <c r="M582" s="2" t="s">
        <v>772</v>
      </c>
      <c r="N582" s="2" t="s">
        <v>38</v>
      </c>
      <c r="O582" s="2" t="s">
        <v>428</v>
      </c>
      <c r="P582" s="2" t="s">
        <v>1068</v>
      </c>
      <c r="Q582" s="2" t="s">
        <v>4389</v>
      </c>
      <c r="R582" s="2" t="s">
        <v>40</v>
      </c>
      <c r="S582" s="2" t="s">
        <v>4390</v>
      </c>
      <c r="T582" s="2" t="s">
        <v>864</v>
      </c>
      <c r="U582" s="2" t="s">
        <v>4391</v>
      </c>
      <c r="V582" s="2" t="s">
        <v>4392</v>
      </c>
      <c r="W582" s="1"/>
      <c r="X582" s="2" t="s">
        <v>4393</v>
      </c>
      <c r="Y582" s="2" t="s">
        <v>4069</v>
      </c>
      <c r="AA582" t="str">
        <f t="shared" si="54"/>
        <v>2026-05</v>
      </c>
      <c r="AB582" t="str">
        <f t="shared" si="55"/>
        <v>H1_2026</v>
      </c>
      <c r="AC582">
        <f t="shared" si="56"/>
        <v>2457663</v>
      </c>
      <c r="AD582">
        <f t="shared" si="57"/>
        <v>250</v>
      </c>
      <c r="AE582">
        <f t="shared" si="58"/>
        <v>582663</v>
      </c>
      <c r="AF582" t="str">
        <f t="shared" si="59"/>
        <v>Paid</v>
      </c>
    </row>
    <row r="583" spans="1:32" ht="17.25" thickBot="1" x14ac:dyDescent="0.35">
      <c r="A583" s="2" t="s">
        <v>4394</v>
      </c>
      <c r="B583" s="2" t="s">
        <v>27</v>
      </c>
      <c r="C583" s="2" t="s">
        <v>28</v>
      </c>
      <c r="D583" s="2" t="s">
        <v>97</v>
      </c>
      <c r="E583" s="2" t="s">
        <v>3999</v>
      </c>
      <c r="F583" s="2" t="s">
        <v>99</v>
      </c>
      <c r="G583" s="2" t="s">
        <v>32</v>
      </c>
      <c r="H583" s="1"/>
      <c r="I583" s="2" t="s">
        <v>33</v>
      </c>
      <c r="J583" s="2" t="s">
        <v>34</v>
      </c>
      <c r="K583" s="2" t="s">
        <v>1018</v>
      </c>
      <c r="L583" s="2" t="s">
        <v>1019</v>
      </c>
      <c r="M583" s="2" t="s">
        <v>772</v>
      </c>
      <c r="N583" s="2" t="s">
        <v>38</v>
      </c>
      <c r="O583" s="2" t="s">
        <v>1574</v>
      </c>
      <c r="P583" s="2" t="s">
        <v>822</v>
      </c>
      <c r="Q583" s="2" t="s">
        <v>4395</v>
      </c>
      <c r="R583" s="2" t="s">
        <v>40</v>
      </c>
      <c r="S583" s="2" t="s">
        <v>4396</v>
      </c>
      <c r="T583" s="2" t="s">
        <v>864</v>
      </c>
      <c r="U583" s="2" t="s">
        <v>4397</v>
      </c>
      <c r="V583" s="2" t="s">
        <v>4398</v>
      </c>
      <c r="W583" s="1"/>
      <c r="X583" s="2" t="s">
        <v>986</v>
      </c>
      <c r="Y583" s="2" t="s">
        <v>4069</v>
      </c>
      <c r="AA583" t="str">
        <f t="shared" si="54"/>
        <v>2026-05</v>
      </c>
      <c r="AB583" t="str">
        <f t="shared" si="55"/>
        <v>H1_2026</v>
      </c>
      <c r="AC583">
        <f t="shared" si="56"/>
        <v>5172435.3600000003</v>
      </c>
      <c r="AD583">
        <f t="shared" si="57"/>
        <v>530</v>
      </c>
      <c r="AE583">
        <f t="shared" si="58"/>
        <v>1197435.3600000001</v>
      </c>
      <c r="AF583" t="str">
        <f t="shared" si="59"/>
        <v>Paid</v>
      </c>
    </row>
    <row r="584" spans="1:32" ht="17.25" thickBot="1" x14ac:dyDescent="0.35">
      <c r="A584" s="2" t="s">
        <v>4399</v>
      </c>
      <c r="B584" s="2" t="s">
        <v>27</v>
      </c>
      <c r="C584" s="2" t="s">
        <v>28</v>
      </c>
      <c r="D584" s="2" t="s">
        <v>97</v>
      </c>
      <c r="E584" s="2" t="s">
        <v>3999</v>
      </c>
      <c r="F584" s="2" t="s">
        <v>99</v>
      </c>
      <c r="G584" s="2" t="s">
        <v>32</v>
      </c>
      <c r="H584" s="1"/>
      <c r="I584" s="2" t="s">
        <v>33</v>
      </c>
      <c r="J584" s="2" t="s">
        <v>34</v>
      </c>
      <c r="K584" s="2" t="s">
        <v>1026</v>
      </c>
      <c r="L584" s="2" t="s">
        <v>1027</v>
      </c>
      <c r="M584" s="2" t="s">
        <v>772</v>
      </c>
      <c r="N584" s="2" t="s">
        <v>38</v>
      </c>
      <c r="O584" s="2" t="s">
        <v>493</v>
      </c>
      <c r="P584" s="2" t="s">
        <v>4400</v>
      </c>
      <c r="Q584" s="2" t="s">
        <v>4401</v>
      </c>
      <c r="R584" s="2" t="s">
        <v>40</v>
      </c>
      <c r="S584" s="2" t="s">
        <v>4402</v>
      </c>
      <c r="T584" s="2" t="s">
        <v>864</v>
      </c>
      <c r="U584" s="2" t="s">
        <v>4403</v>
      </c>
      <c r="V584" s="2" t="s">
        <v>4404</v>
      </c>
      <c r="W584" s="1"/>
      <c r="X584" s="2" t="s">
        <v>4241</v>
      </c>
      <c r="Y584" s="2" t="s">
        <v>4069</v>
      </c>
      <c r="AA584" t="str">
        <f t="shared" si="54"/>
        <v>2026-05</v>
      </c>
      <c r="AB584" t="str">
        <f t="shared" si="55"/>
        <v>H1_2026</v>
      </c>
      <c r="AC584">
        <f t="shared" si="56"/>
        <v>4056963.12</v>
      </c>
      <c r="AD584">
        <f t="shared" si="57"/>
        <v>420</v>
      </c>
      <c r="AE584">
        <f t="shared" si="58"/>
        <v>906963.12</v>
      </c>
      <c r="AF584" t="str">
        <f t="shared" si="59"/>
        <v>Paid</v>
      </c>
    </row>
    <row r="585" spans="1:32" ht="27.75" thickBot="1" x14ac:dyDescent="0.35">
      <c r="A585" s="2" t="s">
        <v>4405</v>
      </c>
      <c r="B585" s="2" t="s">
        <v>27</v>
      </c>
      <c r="C585" s="2" t="s">
        <v>28</v>
      </c>
      <c r="D585" s="2" t="s">
        <v>97</v>
      </c>
      <c r="E585" s="2" t="s">
        <v>3999</v>
      </c>
      <c r="F585" s="2" t="s">
        <v>99</v>
      </c>
      <c r="G585" s="2" t="s">
        <v>32</v>
      </c>
      <c r="H585" s="1"/>
      <c r="I585" s="2" t="s">
        <v>33</v>
      </c>
      <c r="J585" s="2" t="s">
        <v>34</v>
      </c>
      <c r="K585" s="2" t="s">
        <v>4406</v>
      </c>
      <c r="L585" s="2" t="s">
        <v>4407</v>
      </c>
      <c r="M585" s="2" t="s">
        <v>772</v>
      </c>
      <c r="N585" s="2" t="s">
        <v>38</v>
      </c>
      <c r="O585" s="2" t="s">
        <v>141</v>
      </c>
      <c r="P585" s="2" t="s">
        <v>1952</v>
      </c>
      <c r="Q585" s="2" t="s">
        <v>4408</v>
      </c>
      <c r="R585" s="2" t="s">
        <v>40</v>
      </c>
      <c r="S585" s="2" t="s">
        <v>4409</v>
      </c>
      <c r="T585" s="2" t="s">
        <v>1747</v>
      </c>
      <c r="U585" s="2" t="s">
        <v>4410</v>
      </c>
      <c r="V585" s="2" t="s">
        <v>4411</v>
      </c>
      <c r="W585" s="1"/>
      <c r="X585" s="2" t="s">
        <v>3788</v>
      </c>
      <c r="Y585" s="2" t="s">
        <v>4069</v>
      </c>
      <c r="AA585" t="str">
        <f t="shared" si="54"/>
        <v>2026-05</v>
      </c>
      <c r="AB585" t="str">
        <f t="shared" si="55"/>
        <v>H1_2026</v>
      </c>
      <c r="AC585">
        <f t="shared" si="56"/>
        <v>346284.36</v>
      </c>
      <c r="AD585">
        <f t="shared" si="57"/>
        <v>30</v>
      </c>
      <c r="AE585">
        <f t="shared" si="58"/>
        <v>76284.36</v>
      </c>
      <c r="AF585" t="str">
        <f t="shared" si="59"/>
        <v>Paid</v>
      </c>
    </row>
    <row r="586" spans="1:32" ht="27.75" thickBot="1" x14ac:dyDescent="0.35">
      <c r="A586" s="2" t="s">
        <v>4412</v>
      </c>
      <c r="B586" s="2" t="s">
        <v>27</v>
      </c>
      <c r="C586" s="2" t="s">
        <v>28</v>
      </c>
      <c r="D586" s="2" t="s">
        <v>97</v>
      </c>
      <c r="E586" s="2" t="s">
        <v>3999</v>
      </c>
      <c r="F586" s="2" t="s">
        <v>99</v>
      </c>
      <c r="G586" s="2" t="s">
        <v>32</v>
      </c>
      <c r="H586" s="1"/>
      <c r="I586" s="2" t="s">
        <v>33</v>
      </c>
      <c r="J586" s="2" t="s">
        <v>34</v>
      </c>
      <c r="K586" s="2" t="s">
        <v>4413</v>
      </c>
      <c r="L586" s="2" t="s">
        <v>4414</v>
      </c>
      <c r="M586" s="2" t="s">
        <v>772</v>
      </c>
      <c r="N586" s="2" t="s">
        <v>38</v>
      </c>
      <c r="O586" s="2" t="s">
        <v>141</v>
      </c>
      <c r="P586" s="2" t="s">
        <v>4415</v>
      </c>
      <c r="Q586" s="2" t="s">
        <v>4416</v>
      </c>
      <c r="R586" s="2" t="s">
        <v>40</v>
      </c>
      <c r="S586" s="2" t="s">
        <v>4417</v>
      </c>
      <c r="T586" s="2" t="s">
        <v>4418</v>
      </c>
      <c r="U586" s="2" t="s">
        <v>4419</v>
      </c>
      <c r="V586" s="2" t="s">
        <v>4420</v>
      </c>
      <c r="W586" s="1"/>
      <c r="X586" s="2" t="s">
        <v>4421</v>
      </c>
      <c r="Y586" s="2" t="s">
        <v>4069</v>
      </c>
      <c r="AA586" t="str">
        <f t="shared" si="54"/>
        <v>2026-05</v>
      </c>
      <c r="AB586" t="str">
        <f t="shared" si="55"/>
        <v>H1_2026</v>
      </c>
      <c r="AC586">
        <f t="shared" si="56"/>
        <v>363834</v>
      </c>
      <c r="AD586">
        <f t="shared" si="57"/>
        <v>30</v>
      </c>
      <c r="AE586">
        <f t="shared" si="58"/>
        <v>78834</v>
      </c>
      <c r="AF586" t="str">
        <f t="shared" si="59"/>
        <v>Paid</v>
      </c>
    </row>
    <row r="587" spans="1:32" ht="17.25" thickBot="1" x14ac:dyDescent="0.35">
      <c r="A587" s="2" t="s">
        <v>4422</v>
      </c>
      <c r="B587" s="2" t="s">
        <v>27</v>
      </c>
      <c r="C587" s="2" t="s">
        <v>28</v>
      </c>
      <c r="D587" s="2" t="s">
        <v>97</v>
      </c>
      <c r="E587" s="2" t="s">
        <v>3999</v>
      </c>
      <c r="F587" s="2" t="s">
        <v>99</v>
      </c>
      <c r="G587" s="2" t="s">
        <v>32</v>
      </c>
      <c r="H587" s="1"/>
      <c r="I587" s="2" t="s">
        <v>33</v>
      </c>
      <c r="J587" s="2" t="s">
        <v>34</v>
      </c>
      <c r="K587" s="2" t="s">
        <v>4423</v>
      </c>
      <c r="L587" s="2" t="s">
        <v>4424</v>
      </c>
      <c r="M587" s="2" t="s">
        <v>772</v>
      </c>
      <c r="N587" s="2" t="s">
        <v>38</v>
      </c>
      <c r="O587" s="2" t="s">
        <v>1130</v>
      </c>
      <c r="P587" s="2" t="s">
        <v>4425</v>
      </c>
      <c r="Q587" s="2" t="s">
        <v>4426</v>
      </c>
      <c r="R587" s="2" t="s">
        <v>40</v>
      </c>
      <c r="S587" s="2" t="s">
        <v>4427</v>
      </c>
      <c r="T587" s="2" t="s">
        <v>952</v>
      </c>
      <c r="U587" s="2" t="s">
        <v>1858</v>
      </c>
      <c r="V587" s="2" t="s">
        <v>4428</v>
      </c>
      <c r="W587" s="1"/>
      <c r="X587" s="2" t="s">
        <v>3610</v>
      </c>
      <c r="Y587" s="2" t="s">
        <v>4069</v>
      </c>
      <c r="AA587" t="str">
        <f t="shared" si="54"/>
        <v>2026-05</v>
      </c>
      <c r="AB587" t="str">
        <f t="shared" si="55"/>
        <v>H1_2026</v>
      </c>
      <c r="AC587">
        <f t="shared" si="56"/>
        <v>1972151.5</v>
      </c>
      <c r="AD587">
        <f t="shared" si="57"/>
        <v>126</v>
      </c>
      <c r="AE587">
        <f t="shared" si="58"/>
        <v>460151.5</v>
      </c>
      <c r="AF587" t="str">
        <f t="shared" si="59"/>
        <v>Paid</v>
      </c>
    </row>
    <row r="588" spans="1:32" ht="17.25" thickBot="1" x14ac:dyDescent="0.35">
      <c r="A588" s="2" t="s">
        <v>4429</v>
      </c>
      <c r="B588" s="2" t="s">
        <v>27</v>
      </c>
      <c r="C588" s="2" t="s">
        <v>28</v>
      </c>
      <c r="D588" s="2" t="s">
        <v>97</v>
      </c>
      <c r="E588" s="2" t="s">
        <v>3999</v>
      </c>
      <c r="F588" s="2" t="s">
        <v>99</v>
      </c>
      <c r="G588" s="2" t="s">
        <v>32</v>
      </c>
      <c r="H588" s="1"/>
      <c r="I588" s="2" t="s">
        <v>33</v>
      </c>
      <c r="J588" s="2" t="s">
        <v>34</v>
      </c>
      <c r="K588" s="2" t="s">
        <v>1044</v>
      </c>
      <c r="L588" s="2" t="s">
        <v>1045</v>
      </c>
      <c r="M588" s="2" t="s">
        <v>772</v>
      </c>
      <c r="N588" s="2" t="s">
        <v>38</v>
      </c>
      <c r="O588" s="2" t="s">
        <v>1150</v>
      </c>
      <c r="P588" s="2" t="s">
        <v>4430</v>
      </c>
      <c r="Q588" s="2" t="s">
        <v>4431</v>
      </c>
      <c r="R588" s="2" t="s">
        <v>40</v>
      </c>
      <c r="S588" s="2" t="s">
        <v>4432</v>
      </c>
      <c r="T588" s="2" t="s">
        <v>864</v>
      </c>
      <c r="U588" s="2" t="s">
        <v>4433</v>
      </c>
      <c r="V588" s="2" t="s">
        <v>4434</v>
      </c>
      <c r="W588" s="1"/>
      <c r="X588" s="2" t="s">
        <v>1082</v>
      </c>
      <c r="Y588" s="2" t="s">
        <v>4069</v>
      </c>
      <c r="AA588" t="str">
        <f t="shared" si="54"/>
        <v>2026-05</v>
      </c>
      <c r="AB588" t="str">
        <f t="shared" si="55"/>
        <v>H1_2026</v>
      </c>
      <c r="AC588">
        <f t="shared" si="56"/>
        <v>1276129.92</v>
      </c>
      <c r="AD588">
        <f t="shared" si="57"/>
        <v>130</v>
      </c>
      <c r="AE588">
        <f t="shared" si="58"/>
        <v>301129.92</v>
      </c>
      <c r="AF588" t="str">
        <f t="shared" si="59"/>
        <v>Paid</v>
      </c>
    </row>
    <row r="589" spans="1:32" ht="17.25" thickBot="1" x14ac:dyDescent="0.35">
      <c r="A589" s="2" t="s">
        <v>4435</v>
      </c>
      <c r="B589" s="2" t="s">
        <v>27</v>
      </c>
      <c r="C589" s="2" t="s">
        <v>28</v>
      </c>
      <c r="D589" s="2" t="s">
        <v>97</v>
      </c>
      <c r="E589" s="2" t="s">
        <v>3999</v>
      </c>
      <c r="F589" s="2" t="s">
        <v>99</v>
      </c>
      <c r="G589" s="2" t="s">
        <v>32</v>
      </c>
      <c r="H589" s="1"/>
      <c r="I589" s="2" t="s">
        <v>33</v>
      </c>
      <c r="J589" s="2" t="s">
        <v>34</v>
      </c>
      <c r="K589" s="2" t="s">
        <v>1065</v>
      </c>
      <c r="L589" s="2" t="s">
        <v>1066</v>
      </c>
      <c r="M589" s="2" t="s">
        <v>772</v>
      </c>
      <c r="N589" s="2" t="s">
        <v>38</v>
      </c>
      <c r="O589" s="2" t="s">
        <v>665</v>
      </c>
      <c r="P589" s="2" t="s">
        <v>1076</v>
      </c>
      <c r="Q589" s="2" t="s">
        <v>4436</v>
      </c>
      <c r="R589" s="2" t="s">
        <v>40</v>
      </c>
      <c r="S589" s="2" t="s">
        <v>4437</v>
      </c>
      <c r="T589" s="2" t="s">
        <v>864</v>
      </c>
      <c r="U589" s="2" t="s">
        <v>224</v>
      </c>
      <c r="V589" s="2" t="s">
        <v>4438</v>
      </c>
      <c r="W589" s="1"/>
      <c r="X589" s="2" t="s">
        <v>2958</v>
      </c>
      <c r="Y589" s="2" t="s">
        <v>4069</v>
      </c>
      <c r="AA589" t="str">
        <f t="shared" si="54"/>
        <v>2026-05</v>
      </c>
      <c r="AB589" t="str">
        <f t="shared" si="55"/>
        <v>H1_2026</v>
      </c>
      <c r="AC589">
        <f t="shared" si="56"/>
        <v>2046459.24</v>
      </c>
      <c r="AD589">
        <f t="shared" si="57"/>
        <v>210</v>
      </c>
      <c r="AE589">
        <f t="shared" si="58"/>
        <v>471459.24</v>
      </c>
      <c r="AF589" t="str">
        <f t="shared" si="59"/>
        <v>Paid</v>
      </c>
    </row>
    <row r="590" spans="1:32" ht="17.25" thickBot="1" x14ac:dyDescent="0.35">
      <c r="A590" s="2" t="s">
        <v>4439</v>
      </c>
      <c r="B590" s="2" t="s">
        <v>27</v>
      </c>
      <c r="C590" s="2" t="s">
        <v>28</v>
      </c>
      <c r="D590" s="2" t="s">
        <v>97</v>
      </c>
      <c r="E590" s="2" t="s">
        <v>3999</v>
      </c>
      <c r="F590" s="2" t="s">
        <v>99</v>
      </c>
      <c r="G590" s="2" t="s">
        <v>32</v>
      </c>
      <c r="H590" s="1"/>
      <c r="I590" s="2" t="s">
        <v>33</v>
      </c>
      <c r="J590" s="2" t="s">
        <v>34</v>
      </c>
      <c r="K590" s="2" t="s">
        <v>1074</v>
      </c>
      <c r="L590" s="2" t="s">
        <v>1075</v>
      </c>
      <c r="M590" s="2" t="s">
        <v>772</v>
      </c>
      <c r="N590" s="2" t="s">
        <v>38</v>
      </c>
      <c r="O590" s="2" t="s">
        <v>3167</v>
      </c>
      <c r="P590" s="2" t="s">
        <v>2142</v>
      </c>
      <c r="Q590" s="2" t="s">
        <v>4440</v>
      </c>
      <c r="R590" s="2" t="s">
        <v>40</v>
      </c>
      <c r="S590" s="2" t="s">
        <v>4441</v>
      </c>
      <c r="T590" s="2" t="s">
        <v>1079</v>
      </c>
      <c r="U590" s="2" t="s">
        <v>4442</v>
      </c>
      <c r="V590" s="2" t="s">
        <v>4443</v>
      </c>
      <c r="W590" s="1"/>
      <c r="X590" s="2" t="s">
        <v>4393</v>
      </c>
      <c r="Y590" s="2" t="s">
        <v>4069</v>
      </c>
      <c r="AA590" t="str">
        <f t="shared" si="54"/>
        <v>2026-05</v>
      </c>
      <c r="AB590" t="str">
        <f t="shared" si="55"/>
        <v>H1_2026</v>
      </c>
      <c r="AC590">
        <f t="shared" si="56"/>
        <v>3827819.04</v>
      </c>
      <c r="AD590">
        <f t="shared" si="57"/>
        <v>380</v>
      </c>
      <c r="AE590">
        <f t="shared" si="58"/>
        <v>905619.04</v>
      </c>
      <c r="AF590" t="str">
        <f t="shared" si="59"/>
        <v>Paid</v>
      </c>
    </row>
    <row r="591" spans="1:32" ht="17.25" thickBot="1" x14ac:dyDescent="0.35">
      <c r="A591" s="2" t="s">
        <v>4444</v>
      </c>
      <c r="B591" s="2" t="s">
        <v>27</v>
      </c>
      <c r="C591" s="2" t="s">
        <v>28</v>
      </c>
      <c r="D591" s="2" t="s">
        <v>97</v>
      </c>
      <c r="E591" s="2" t="s">
        <v>3999</v>
      </c>
      <c r="F591" s="2" t="s">
        <v>99</v>
      </c>
      <c r="G591" s="2" t="s">
        <v>32</v>
      </c>
      <c r="H591" s="1"/>
      <c r="I591" s="2" t="s">
        <v>33</v>
      </c>
      <c r="J591" s="2" t="s">
        <v>34</v>
      </c>
      <c r="K591" s="2" t="s">
        <v>1084</v>
      </c>
      <c r="L591" s="2" t="s">
        <v>1085</v>
      </c>
      <c r="M591" s="2" t="s">
        <v>772</v>
      </c>
      <c r="N591" s="2" t="s">
        <v>38</v>
      </c>
      <c r="O591" s="2" t="s">
        <v>517</v>
      </c>
      <c r="P591" s="2" t="s">
        <v>4445</v>
      </c>
      <c r="Q591" s="2" t="s">
        <v>4446</v>
      </c>
      <c r="R591" s="2" t="s">
        <v>40</v>
      </c>
      <c r="S591" s="2" t="s">
        <v>4447</v>
      </c>
      <c r="T591" s="2" t="s">
        <v>658</v>
      </c>
      <c r="U591" s="2" t="s">
        <v>4448</v>
      </c>
      <c r="V591" s="2" t="s">
        <v>4449</v>
      </c>
      <c r="W591" s="1"/>
      <c r="X591" s="2" t="s">
        <v>4450</v>
      </c>
      <c r="Y591" s="2" t="s">
        <v>4069</v>
      </c>
      <c r="AA591" t="str">
        <f t="shared" si="54"/>
        <v>2026-05</v>
      </c>
      <c r="AB591" t="str">
        <f t="shared" si="55"/>
        <v>H1_2026</v>
      </c>
      <c r="AC591">
        <f t="shared" si="56"/>
        <v>1528958.88</v>
      </c>
      <c r="AD591">
        <f t="shared" si="57"/>
        <v>120</v>
      </c>
      <c r="AE591">
        <f t="shared" si="58"/>
        <v>340958.88</v>
      </c>
      <c r="AF591" t="str">
        <f t="shared" si="59"/>
        <v>Paid</v>
      </c>
    </row>
    <row r="592" spans="1:32" ht="27.75" thickBot="1" x14ac:dyDescent="0.35">
      <c r="A592" s="2" t="s">
        <v>3561</v>
      </c>
      <c r="B592" s="2" t="s">
        <v>27</v>
      </c>
      <c r="C592" s="2" t="s">
        <v>28</v>
      </c>
      <c r="D592" s="2" t="s">
        <v>97</v>
      </c>
      <c r="E592" s="2" t="s">
        <v>3999</v>
      </c>
      <c r="F592" s="2" t="s">
        <v>99</v>
      </c>
      <c r="G592" s="2" t="s">
        <v>32</v>
      </c>
      <c r="H592" s="1"/>
      <c r="I592" s="2" t="s">
        <v>33</v>
      </c>
      <c r="J592" s="2" t="s">
        <v>34</v>
      </c>
      <c r="K592" s="2" t="s">
        <v>4451</v>
      </c>
      <c r="L592" s="2" t="s">
        <v>4452</v>
      </c>
      <c r="M592" s="2" t="s">
        <v>772</v>
      </c>
      <c r="N592" s="2" t="s">
        <v>38</v>
      </c>
      <c r="O592" s="2" t="s">
        <v>141</v>
      </c>
      <c r="P592" s="2" t="s">
        <v>4453</v>
      </c>
      <c r="Q592" s="2" t="s">
        <v>4454</v>
      </c>
      <c r="R592" s="2" t="s">
        <v>40</v>
      </c>
      <c r="S592" s="2" t="s">
        <v>4455</v>
      </c>
      <c r="T592" s="2" t="s">
        <v>1039</v>
      </c>
      <c r="U592" s="2" t="s">
        <v>4456</v>
      </c>
      <c r="V592" s="2" t="s">
        <v>4457</v>
      </c>
      <c r="W592" s="1"/>
      <c r="X592" s="2" t="s">
        <v>4450</v>
      </c>
      <c r="Y592" s="2" t="s">
        <v>4069</v>
      </c>
      <c r="AA592" t="str">
        <f t="shared" si="54"/>
        <v>2026-05</v>
      </c>
      <c r="AB592" t="str">
        <f t="shared" si="55"/>
        <v>H1_2026</v>
      </c>
      <c r="AC592">
        <f t="shared" si="56"/>
        <v>332159.03999999998</v>
      </c>
      <c r="AD592">
        <f t="shared" si="57"/>
        <v>30</v>
      </c>
      <c r="AE592">
        <f t="shared" si="58"/>
        <v>74159.039999999994</v>
      </c>
      <c r="AF592" t="str">
        <f t="shared" si="59"/>
        <v>Paid</v>
      </c>
    </row>
    <row r="593" spans="1:32" ht="27.75" thickBot="1" x14ac:dyDescent="0.35">
      <c r="A593" s="2" t="s">
        <v>4458</v>
      </c>
      <c r="B593" s="2" t="s">
        <v>27</v>
      </c>
      <c r="C593" s="2" t="s">
        <v>28</v>
      </c>
      <c r="D593" s="2" t="s">
        <v>97</v>
      </c>
      <c r="E593" s="2" t="s">
        <v>3999</v>
      </c>
      <c r="F593" s="2" t="s">
        <v>99</v>
      </c>
      <c r="G593" s="2" t="s">
        <v>32</v>
      </c>
      <c r="H593" s="1"/>
      <c r="I593" s="2" t="s">
        <v>33</v>
      </c>
      <c r="J593" s="2" t="s">
        <v>34</v>
      </c>
      <c r="K593" s="2" t="s">
        <v>4459</v>
      </c>
      <c r="L593" s="2" t="s">
        <v>4460</v>
      </c>
      <c r="M593" s="2" t="s">
        <v>772</v>
      </c>
      <c r="N593" s="2" t="s">
        <v>38</v>
      </c>
      <c r="O593" s="2" t="s">
        <v>141</v>
      </c>
      <c r="P593" s="2" t="s">
        <v>4461</v>
      </c>
      <c r="Q593" s="2" t="s">
        <v>4462</v>
      </c>
      <c r="R593" s="2" t="s">
        <v>40</v>
      </c>
      <c r="S593" s="2" t="s">
        <v>4463</v>
      </c>
      <c r="T593" s="2" t="s">
        <v>864</v>
      </c>
      <c r="U593" s="2" t="s">
        <v>3314</v>
      </c>
      <c r="V593" s="2" t="s">
        <v>4464</v>
      </c>
      <c r="W593" s="1"/>
      <c r="X593" s="2" t="s">
        <v>3138</v>
      </c>
      <c r="Y593" s="2" t="s">
        <v>4069</v>
      </c>
      <c r="AA593" t="str">
        <f t="shared" si="54"/>
        <v>2026-05</v>
      </c>
      <c r="AB593" t="str">
        <f t="shared" si="55"/>
        <v>H1_2026</v>
      </c>
      <c r="AC593">
        <f t="shared" si="56"/>
        <v>288927</v>
      </c>
      <c r="AD593">
        <f t="shared" si="57"/>
        <v>30</v>
      </c>
      <c r="AE593">
        <f t="shared" si="58"/>
        <v>63927</v>
      </c>
      <c r="AF593" t="str">
        <f t="shared" si="59"/>
        <v>Paid</v>
      </c>
    </row>
    <row r="594" spans="1:32" ht="17.25" thickBot="1" x14ac:dyDescent="0.35">
      <c r="A594" s="2" t="s">
        <v>4465</v>
      </c>
      <c r="B594" s="2" t="s">
        <v>27</v>
      </c>
      <c r="C594" s="2" t="s">
        <v>28</v>
      </c>
      <c r="D594" s="2" t="s">
        <v>97</v>
      </c>
      <c r="E594" s="2" t="s">
        <v>3999</v>
      </c>
      <c r="F594" s="2" t="s">
        <v>99</v>
      </c>
      <c r="G594" s="2" t="s">
        <v>32</v>
      </c>
      <c r="H594" s="1"/>
      <c r="I594" s="2" t="s">
        <v>33</v>
      </c>
      <c r="J594" s="2" t="s">
        <v>34</v>
      </c>
      <c r="K594" s="2" t="s">
        <v>4466</v>
      </c>
      <c r="L594" s="2" t="s">
        <v>4467</v>
      </c>
      <c r="M594" s="2" t="s">
        <v>772</v>
      </c>
      <c r="N594" s="2" t="s">
        <v>38</v>
      </c>
      <c r="O594" s="2" t="s">
        <v>156</v>
      </c>
      <c r="P594" s="2" t="s">
        <v>4468</v>
      </c>
      <c r="Q594" s="2" t="s">
        <v>4469</v>
      </c>
      <c r="R594" s="2" t="s">
        <v>40</v>
      </c>
      <c r="S594" s="2" t="s">
        <v>4470</v>
      </c>
      <c r="T594" s="2" t="s">
        <v>973</v>
      </c>
      <c r="U594" s="2" t="s">
        <v>4471</v>
      </c>
      <c r="V594" s="2" t="s">
        <v>4472</v>
      </c>
      <c r="W594" s="1"/>
      <c r="X594" s="2" t="s">
        <v>4241</v>
      </c>
      <c r="Y594" s="2" t="s">
        <v>4069</v>
      </c>
      <c r="AA594" t="str">
        <f t="shared" si="54"/>
        <v>2026-05</v>
      </c>
      <c r="AB594" t="str">
        <f t="shared" si="55"/>
        <v>H1_2026</v>
      </c>
      <c r="AC594">
        <f t="shared" si="56"/>
        <v>296203.68</v>
      </c>
      <c r="AD594">
        <f t="shared" si="57"/>
        <v>20</v>
      </c>
      <c r="AE594">
        <f t="shared" si="58"/>
        <v>66203.679999999993</v>
      </c>
      <c r="AF594" t="str">
        <f t="shared" si="59"/>
        <v>Paid</v>
      </c>
    </row>
    <row r="595" spans="1:32" ht="17.25" thickBot="1" x14ac:dyDescent="0.35">
      <c r="A595" s="2" t="s">
        <v>4473</v>
      </c>
      <c r="B595" s="2" t="s">
        <v>27</v>
      </c>
      <c r="C595" s="2" t="s">
        <v>28</v>
      </c>
      <c r="D595" s="2" t="s">
        <v>97</v>
      </c>
      <c r="E595" s="2" t="s">
        <v>3999</v>
      </c>
      <c r="F595" s="2" t="s">
        <v>99</v>
      </c>
      <c r="G595" s="2" t="s">
        <v>32</v>
      </c>
      <c r="H595" s="1"/>
      <c r="I595" s="2" t="s">
        <v>33</v>
      </c>
      <c r="J595" s="2" t="s">
        <v>34</v>
      </c>
      <c r="K595" s="2" t="s">
        <v>4474</v>
      </c>
      <c r="L595" s="2" t="s">
        <v>4475</v>
      </c>
      <c r="M595" s="2" t="s">
        <v>772</v>
      </c>
      <c r="N595" s="2" t="s">
        <v>38</v>
      </c>
      <c r="O595" s="2" t="s">
        <v>159</v>
      </c>
      <c r="P595" s="2" t="s">
        <v>2962</v>
      </c>
      <c r="Q595" s="2" t="s">
        <v>4476</v>
      </c>
      <c r="R595" s="2" t="s">
        <v>40</v>
      </c>
      <c r="S595" s="2" t="s">
        <v>4477</v>
      </c>
      <c r="T595" s="2" t="s">
        <v>952</v>
      </c>
      <c r="U595" s="2" t="s">
        <v>3706</v>
      </c>
      <c r="V595" s="2" t="s">
        <v>4478</v>
      </c>
      <c r="W595" s="1"/>
      <c r="X595" s="2" t="s">
        <v>2165</v>
      </c>
      <c r="Y595" s="2" t="s">
        <v>4069</v>
      </c>
      <c r="AA595" t="str">
        <f t="shared" si="54"/>
        <v>2026-05</v>
      </c>
      <c r="AB595" t="str">
        <f t="shared" si="55"/>
        <v>H1_2026</v>
      </c>
      <c r="AC595">
        <f t="shared" si="56"/>
        <v>1243028.1599999999</v>
      </c>
      <c r="AD595">
        <f t="shared" si="57"/>
        <v>80</v>
      </c>
      <c r="AE595">
        <f t="shared" si="58"/>
        <v>283028.15999999997</v>
      </c>
      <c r="AF595" t="str">
        <f t="shared" si="59"/>
        <v>Paid</v>
      </c>
    </row>
    <row r="596" spans="1:32" ht="17.25" thickBot="1" x14ac:dyDescent="0.35">
      <c r="A596" s="2" t="s">
        <v>4479</v>
      </c>
      <c r="B596" s="2" t="s">
        <v>27</v>
      </c>
      <c r="C596" s="2" t="s">
        <v>28</v>
      </c>
      <c r="D596" s="2" t="s">
        <v>97</v>
      </c>
      <c r="E596" s="2" t="s">
        <v>3999</v>
      </c>
      <c r="F596" s="2" t="s">
        <v>99</v>
      </c>
      <c r="G596" s="2" t="s">
        <v>32</v>
      </c>
      <c r="H596" s="1"/>
      <c r="I596" s="2" t="s">
        <v>33</v>
      </c>
      <c r="J596" s="2" t="s">
        <v>34</v>
      </c>
      <c r="K596" s="2" t="s">
        <v>4480</v>
      </c>
      <c r="L596" s="2" t="s">
        <v>4481</v>
      </c>
      <c r="M596" s="2" t="s">
        <v>772</v>
      </c>
      <c r="N596" s="2" t="s">
        <v>38</v>
      </c>
      <c r="O596" s="2" t="s">
        <v>141</v>
      </c>
      <c r="P596" s="2" t="s">
        <v>2962</v>
      </c>
      <c r="Q596" s="2" t="s">
        <v>4482</v>
      </c>
      <c r="R596" s="2" t="s">
        <v>40</v>
      </c>
      <c r="S596" s="2" t="s">
        <v>4483</v>
      </c>
      <c r="T596" s="2" t="s">
        <v>952</v>
      </c>
      <c r="U596" s="2" t="s">
        <v>4484</v>
      </c>
      <c r="V596" s="2" t="s">
        <v>4485</v>
      </c>
      <c r="W596" s="1"/>
      <c r="X596" s="2" t="s">
        <v>2165</v>
      </c>
      <c r="Y596" s="2" t="s">
        <v>4069</v>
      </c>
      <c r="AA596" t="str">
        <f t="shared" si="54"/>
        <v>2026-05</v>
      </c>
      <c r="AB596" t="str">
        <f t="shared" si="55"/>
        <v>H1_2026</v>
      </c>
      <c r="AC596">
        <f t="shared" si="56"/>
        <v>466135.56</v>
      </c>
      <c r="AD596">
        <f t="shared" si="57"/>
        <v>30</v>
      </c>
      <c r="AE596">
        <f t="shared" si="58"/>
        <v>106135.56</v>
      </c>
      <c r="AF596" t="str">
        <f t="shared" si="59"/>
        <v>Paid</v>
      </c>
    </row>
    <row r="597" spans="1:32" ht="17.25" thickBot="1" x14ac:dyDescent="0.35">
      <c r="A597" s="2" t="s">
        <v>4486</v>
      </c>
      <c r="B597" s="2" t="s">
        <v>27</v>
      </c>
      <c r="C597" s="2" t="s">
        <v>28</v>
      </c>
      <c r="D597" s="2" t="s">
        <v>97</v>
      </c>
      <c r="E597" s="2" t="s">
        <v>3999</v>
      </c>
      <c r="F597" s="2" t="s">
        <v>99</v>
      </c>
      <c r="G597" s="2" t="s">
        <v>32</v>
      </c>
      <c r="H597" s="1"/>
      <c r="I597" s="2" t="s">
        <v>33</v>
      </c>
      <c r="J597" s="2" t="s">
        <v>34</v>
      </c>
      <c r="K597" s="2" t="s">
        <v>4487</v>
      </c>
      <c r="L597" s="2" t="s">
        <v>4488</v>
      </c>
      <c r="M597" s="2" t="s">
        <v>772</v>
      </c>
      <c r="N597" s="2" t="s">
        <v>38</v>
      </c>
      <c r="O597" s="2" t="s">
        <v>141</v>
      </c>
      <c r="P597" s="2" t="s">
        <v>4489</v>
      </c>
      <c r="Q597" s="2" t="s">
        <v>4490</v>
      </c>
      <c r="R597" s="2" t="s">
        <v>40</v>
      </c>
      <c r="S597" s="2" t="s">
        <v>4491</v>
      </c>
      <c r="T597" s="2" t="s">
        <v>1161</v>
      </c>
      <c r="U597" s="2" t="s">
        <v>1729</v>
      </c>
      <c r="V597" s="2" t="s">
        <v>4492</v>
      </c>
      <c r="W597" s="1"/>
      <c r="X597" s="2" t="s">
        <v>3788</v>
      </c>
      <c r="Y597" s="2" t="s">
        <v>4069</v>
      </c>
      <c r="AA597" t="str">
        <f t="shared" si="54"/>
        <v>2026-05</v>
      </c>
      <c r="AB597" t="str">
        <f t="shared" si="55"/>
        <v>H1_2026</v>
      </c>
      <c r="AC597">
        <f t="shared" si="56"/>
        <v>404069.76</v>
      </c>
      <c r="AD597">
        <f t="shared" si="57"/>
        <v>30</v>
      </c>
      <c r="AE597">
        <f t="shared" si="58"/>
        <v>89069.759999999995</v>
      </c>
      <c r="AF597" t="str">
        <f t="shared" si="59"/>
        <v>Paid</v>
      </c>
    </row>
    <row r="598" spans="1:32" ht="17.25" thickBot="1" x14ac:dyDescent="0.35">
      <c r="A598" s="2" t="s">
        <v>4493</v>
      </c>
      <c r="B598" s="2" t="s">
        <v>27</v>
      </c>
      <c r="C598" s="2" t="s">
        <v>28</v>
      </c>
      <c r="D598" s="2" t="s">
        <v>97</v>
      </c>
      <c r="E598" s="2" t="s">
        <v>3999</v>
      </c>
      <c r="F598" s="2" t="s">
        <v>99</v>
      </c>
      <c r="G598" s="2" t="s">
        <v>32</v>
      </c>
      <c r="H598" s="1"/>
      <c r="I598" s="2" t="s">
        <v>33</v>
      </c>
      <c r="J598" s="2" t="s">
        <v>34</v>
      </c>
      <c r="K598" s="2" t="s">
        <v>4494</v>
      </c>
      <c r="L598" s="2" t="s">
        <v>4495</v>
      </c>
      <c r="M598" s="2" t="s">
        <v>772</v>
      </c>
      <c r="N598" s="2" t="s">
        <v>38</v>
      </c>
      <c r="O598" s="2" t="s">
        <v>141</v>
      </c>
      <c r="P598" s="2" t="s">
        <v>4317</v>
      </c>
      <c r="Q598" s="2" t="s">
        <v>4318</v>
      </c>
      <c r="R598" s="2" t="s">
        <v>40</v>
      </c>
      <c r="S598" s="2" t="s">
        <v>4319</v>
      </c>
      <c r="T598" s="2" t="s">
        <v>4496</v>
      </c>
      <c r="U598" s="2" t="s">
        <v>4497</v>
      </c>
      <c r="V598" s="2" t="s">
        <v>4498</v>
      </c>
      <c r="W598" s="1"/>
      <c r="X598" s="2" t="s">
        <v>4499</v>
      </c>
      <c r="Y598" s="2" t="s">
        <v>4069</v>
      </c>
      <c r="AA598" t="str">
        <f t="shared" si="54"/>
        <v>2026-05</v>
      </c>
      <c r="AB598" t="str">
        <f t="shared" si="55"/>
        <v>H1_2026</v>
      </c>
      <c r="AC598">
        <f t="shared" si="56"/>
        <v>424187.64</v>
      </c>
      <c r="AD598">
        <f t="shared" si="57"/>
        <v>30</v>
      </c>
      <c r="AE598">
        <f t="shared" si="58"/>
        <v>94187.64</v>
      </c>
      <c r="AF598" t="str">
        <f t="shared" si="59"/>
        <v>Paid</v>
      </c>
    </row>
    <row r="599" spans="1:32" ht="17.25" thickBot="1" x14ac:dyDescent="0.35">
      <c r="A599" s="2" t="s">
        <v>4500</v>
      </c>
      <c r="B599" s="2" t="s">
        <v>27</v>
      </c>
      <c r="C599" s="2" t="s">
        <v>28</v>
      </c>
      <c r="D599" s="2" t="s">
        <v>97</v>
      </c>
      <c r="E599" s="2" t="s">
        <v>3999</v>
      </c>
      <c r="F599" s="2" t="s">
        <v>99</v>
      </c>
      <c r="G599" s="2" t="s">
        <v>32</v>
      </c>
      <c r="H599" s="1"/>
      <c r="I599" s="2" t="s">
        <v>33</v>
      </c>
      <c r="J599" s="2" t="s">
        <v>34</v>
      </c>
      <c r="K599" s="2" t="s">
        <v>4501</v>
      </c>
      <c r="L599" s="2" t="s">
        <v>4502</v>
      </c>
      <c r="M599" s="2" t="s">
        <v>772</v>
      </c>
      <c r="N599" s="2" t="s">
        <v>38</v>
      </c>
      <c r="O599" s="2" t="s">
        <v>141</v>
      </c>
      <c r="P599" s="2" t="s">
        <v>4503</v>
      </c>
      <c r="Q599" s="2" t="s">
        <v>4504</v>
      </c>
      <c r="R599" s="2" t="s">
        <v>40</v>
      </c>
      <c r="S599" s="2" t="s">
        <v>4505</v>
      </c>
      <c r="T599" s="2" t="s">
        <v>864</v>
      </c>
      <c r="U599" s="2" t="s">
        <v>3314</v>
      </c>
      <c r="V599" s="2" t="s">
        <v>4506</v>
      </c>
      <c r="W599" s="1"/>
      <c r="X599" s="2" t="s">
        <v>3259</v>
      </c>
      <c r="Y599" s="2" t="s">
        <v>4069</v>
      </c>
      <c r="AA599" t="str">
        <f t="shared" si="54"/>
        <v>2026-05</v>
      </c>
      <c r="AB599" t="str">
        <f t="shared" si="55"/>
        <v>H1_2026</v>
      </c>
      <c r="AC599">
        <f t="shared" si="56"/>
        <v>291067.2</v>
      </c>
      <c r="AD599">
        <f t="shared" si="57"/>
        <v>30</v>
      </c>
      <c r="AE599">
        <f t="shared" si="58"/>
        <v>66067.199999999997</v>
      </c>
      <c r="AF599" t="str">
        <f t="shared" si="59"/>
        <v>Paid</v>
      </c>
    </row>
    <row r="600" spans="1:32" ht="17.25" thickBot="1" x14ac:dyDescent="0.35">
      <c r="A600" s="2" t="s">
        <v>4507</v>
      </c>
      <c r="B600" s="2" t="s">
        <v>27</v>
      </c>
      <c r="C600" s="2" t="s">
        <v>28</v>
      </c>
      <c r="D600" s="2" t="s">
        <v>97</v>
      </c>
      <c r="E600" s="2" t="s">
        <v>3999</v>
      </c>
      <c r="F600" s="2" t="s">
        <v>99</v>
      </c>
      <c r="G600" s="2" t="s">
        <v>32</v>
      </c>
      <c r="H600" s="1"/>
      <c r="I600" s="2" t="s">
        <v>33</v>
      </c>
      <c r="J600" s="2" t="s">
        <v>34</v>
      </c>
      <c r="K600" s="2" t="s">
        <v>82</v>
      </c>
      <c r="L600" s="2" t="s">
        <v>83</v>
      </c>
      <c r="M600" s="2" t="s">
        <v>84</v>
      </c>
      <c r="N600" s="2" t="s">
        <v>38</v>
      </c>
      <c r="O600" s="2" t="s">
        <v>1837</v>
      </c>
      <c r="P600" s="2" t="s">
        <v>4508</v>
      </c>
      <c r="Q600" s="2" t="s">
        <v>4509</v>
      </c>
      <c r="R600" s="2" t="s">
        <v>40</v>
      </c>
      <c r="S600" s="2" t="s">
        <v>4510</v>
      </c>
      <c r="T600" s="2" t="s">
        <v>1354</v>
      </c>
      <c r="U600" s="2" t="s">
        <v>4511</v>
      </c>
      <c r="V600" s="2" t="s">
        <v>4512</v>
      </c>
      <c r="W600" s="1"/>
      <c r="X600" s="2" t="s">
        <v>1357</v>
      </c>
      <c r="Y600" s="2" t="s">
        <v>4069</v>
      </c>
      <c r="AA600" t="str">
        <f t="shared" si="54"/>
        <v>2026-05</v>
      </c>
      <c r="AB600" t="str">
        <f t="shared" si="55"/>
        <v>H1_2026</v>
      </c>
      <c r="AC600">
        <f t="shared" si="56"/>
        <v>6999880.7999999998</v>
      </c>
      <c r="AD600">
        <f t="shared" si="57"/>
        <v>1100</v>
      </c>
      <c r="AE600">
        <f t="shared" si="58"/>
        <v>1796880.8</v>
      </c>
      <c r="AF600" t="str">
        <f t="shared" si="59"/>
        <v>Paid</v>
      </c>
    </row>
    <row r="601" spans="1:32" ht="17.25" thickBot="1" x14ac:dyDescent="0.35">
      <c r="A601" s="2" t="s">
        <v>4513</v>
      </c>
      <c r="B601" s="2" t="s">
        <v>27</v>
      </c>
      <c r="C601" s="2" t="s">
        <v>28</v>
      </c>
      <c r="D601" s="2" t="s">
        <v>97</v>
      </c>
      <c r="E601" s="2" t="s">
        <v>3999</v>
      </c>
      <c r="F601" s="2" t="s">
        <v>99</v>
      </c>
      <c r="G601" s="2" t="s">
        <v>32</v>
      </c>
      <c r="H601" s="1"/>
      <c r="I601" s="2" t="s">
        <v>33</v>
      </c>
      <c r="J601" s="2" t="s">
        <v>34</v>
      </c>
      <c r="K601" s="2" t="s">
        <v>1742</v>
      </c>
      <c r="L601" s="2" t="s">
        <v>1743</v>
      </c>
      <c r="M601" s="2" t="s">
        <v>84</v>
      </c>
      <c r="N601" s="2" t="s">
        <v>38</v>
      </c>
      <c r="O601" s="2" t="s">
        <v>1158</v>
      </c>
      <c r="P601" s="2" t="s">
        <v>195</v>
      </c>
      <c r="Q601" s="2" t="s">
        <v>4514</v>
      </c>
      <c r="R601" s="2" t="s">
        <v>40</v>
      </c>
      <c r="S601" s="2" t="s">
        <v>4515</v>
      </c>
      <c r="T601" s="2" t="s">
        <v>1747</v>
      </c>
      <c r="U601" s="2" t="s">
        <v>794</v>
      </c>
      <c r="V601" s="2" t="s">
        <v>4516</v>
      </c>
      <c r="W601" s="1"/>
      <c r="X601" s="2" t="s">
        <v>1437</v>
      </c>
      <c r="Y601" s="2" t="s">
        <v>4069</v>
      </c>
      <c r="AA601" t="str">
        <f t="shared" si="54"/>
        <v>2026-05</v>
      </c>
      <c r="AB601" t="str">
        <f t="shared" si="55"/>
        <v>H1_2026</v>
      </c>
      <c r="AC601">
        <f t="shared" si="56"/>
        <v>2152185.12</v>
      </c>
      <c r="AD601">
        <f t="shared" si="57"/>
        <v>180</v>
      </c>
      <c r="AE601">
        <f t="shared" si="58"/>
        <v>532185.12</v>
      </c>
      <c r="AF601" t="str">
        <f t="shared" si="59"/>
        <v>Paid</v>
      </c>
    </row>
    <row r="602" spans="1:32" ht="17.25" thickBot="1" x14ac:dyDescent="0.35">
      <c r="A602" s="2" t="s">
        <v>1951</v>
      </c>
      <c r="B602" s="2" t="s">
        <v>27</v>
      </c>
      <c r="C602" s="2" t="s">
        <v>28</v>
      </c>
      <c r="D602" s="2" t="s">
        <v>97</v>
      </c>
      <c r="E602" s="2" t="s">
        <v>3999</v>
      </c>
      <c r="F602" s="2" t="s">
        <v>99</v>
      </c>
      <c r="G602" s="2" t="s">
        <v>32</v>
      </c>
      <c r="H602" s="1"/>
      <c r="I602" s="2" t="s">
        <v>33</v>
      </c>
      <c r="J602" s="2" t="s">
        <v>34</v>
      </c>
      <c r="K602" s="2" t="s">
        <v>1368</v>
      </c>
      <c r="L602" s="2" t="s">
        <v>1369</v>
      </c>
      <c r="M602" s="2" t="s">
        <v>84</v>
      </c>
      <c r="N602" s="2" t="s">
        <v>38</v>
      </c>
      <c r="O602" s="2" t="s">
        <v>1951</v>
      </c>
      <c r="P602" s="2" t="s">
        <v>2564</v>
      </c>
      <c r="Q602" s="2" t="s">
        <v>4517</v>
      </c>
      <c r="R602" s="2" t="s">
        <v>40</v>
      </c>
      <c r="S602" s="2" t="s">
        <v>4518</v>
      </c>
      <c r="T602" s="2" t="s">
        <v>1354</v>
      </c>
      <c r="U602" s="2" t="s">
        <v>4519</v>
      </c>
      <c r="V602" s="2" t="s">
        <v>4520</v>
      </c>
      <c r="W602" s="1"/>
      <c r="X602" s="2" t="s">
        <v>1375</v>
      </c>
      <c r="Y602" s="2" t="s">
        <v>4069</v>
      </c>
      <c r="AA602" t="str">
        <f t="shared" si="54"/>
        <v>2026-05</v>
      </c>
      <c r="AB602" t="str">
        <f t="shared" si="55"/>
        <v>H1_2026</v>
      </c>
      <c r="AC602">
        <f t="shared" si="56"/>
        <v>3783873.6</v>
      </c>
      <c r="AD602">
        <f t="shared" si="57"/>
        <v>600</v>
      </c>
      <c r="AE602">
        <f t="shared" si="58"/>
        <v>945873.6</v>
      </c>
      <c r="AF602" t="str">
        <f t="shared" si="59"/>
        <v>Paid</v>
      </c>
    </row>
    <row r="603" spans="1:32" ht="17.25" thickBot="1" x14ac:dyDescent="0.35">
      <c r="A603" s="2" t="s">
        <v>4521</v>
      </c>
      <c r="B603" s="2" t="s">
        <v>27</v>
      </c>
      <c r="C603" s="2" t="s">
        <v>28</v>
      </c>
      <c r="D603" s="2" t="s">
        <v>97</v>
      </c>
      <c r="E603" s="2" t="s">
        <v>3999</v>
      </c>
      <c r="F603" s="2" t="s">
        <v>99</v>
      </c>
      <c r="G603" s="2" t="s">
        <v>32</v>
      </c>
      <c r="H603" s="1"/>
      <c r="I603" s="2" t="s">
        <v>33</v>
      </c>
      <c r="J603" s="2" t="s">
        <v>34</v>
      </c>
      <c r="K603" s="2" t="s">
        <v>1448</v>
      </c>
      <c r="L603" s="2" t="s">
        <v>1449</v>
      </c>
      <c r="M603" s="2" t="s">
        <v>84</v>
      </c>
      <c r="N603" s="2" t="s">
        <v>38</v>
      </c>
      <c r="O603" s="2" t="s">
        <v>316</v>
      </c>
      <c r="P603" s="2" t="s">
        <v>4522</v>
      </c>
      <c r="Q603" s="2" t="s">
        <v>4523</v>
      </c>
      <c r="R603" s="2" t="s">
        <v>40</v>
      </c>
      <c r="S603" s="2" t="s">
        <v>4524</v>
      </c>
      <c r="T603" s="2" t="s">
        <v>1454</v>
      </c>
      <c r="U603" s="2" t="s">
        <v>4525</v>
      </c>
      <c r="V603" s="2" t="s">
        <v>4526</v>
      </c>
      <c r="W603" s="1"/>
      <c r="X603" s="2" t="s">
        <v>3393</v>
      </c>
      <c r="Y603" s="2" t="s">
        <v>4069</v>
      </c>
      <c r="AA603" t="str">
        <f t="shared" si="54"/>
        <v>2026-05</v>
      </c>
      <c r="AB603" t="str">
        <f t="shared" si="55"/>
        <v>H1_2026</v>
      </c>
      <c r="AC603">
        <f t="shared" si="56"/>
        <v>1377860.76</v>
      </c>
      <c r="AD603">
        <f t="shared" si="57"/>
        <v>290</v>
      </c>
      <c r="AE603">
        <f t="shared" si="58"/>
        <v>342560.76</v>
      </c>
      <c r="AF603" t="str">
        <f t="shared" si="59"/>
        <v>Paid</v>
      </c>
    </row>
    <row r="604" spans="1:32" ht="17.25" thickBot="1" x14ac:dyDescent="0.35">
      <c r="A604" s="2" t="s">
        <v>4527</v>
      </c>
      <c r="B604" s="2" t="s">
        <v>27</v>
      </c>
      <c r="C604" s="2" t="s">
        <v>28</v>
      </c>
      <c r="D604" s="2" t="s">
        <v>97</v>
      </c>
      <c r="E604" s="2" t="s">
        <v>3999</v>
      </c>
      <c r="F604" s="2" t="s">
        <v>99</v>
      </c>
      <c r="G604" s="2" t="s">
        <v>32</v>
      </c>
      <c r="H604" s="1"/>
      <c r="I604" s="2" t="s">
        <v>33</v>
      </c>
      <c r="J604" s="2" t="s">
        <v>34</v>
      </c>
      <c r="K604" s="2" t="s">
        <v>4528</v>
      </c>
      <c r="L604" s="2" t="s">
        <v>4529</v>
      </c>
      <c r="M604" s="2" t="s">
        <v>84</v>
      </c>
      <c r="N604" s="2" t="s">
        <v>38</v>
      </c>
      <c r="O604" s="2" t="s">
        <v>1519</v>
      </c>
      <c r="P604" s="2" t="s">
        <v>4190</v>
      </c>
      <c r="Q604" s="2" t="s">
        <v>1117</v>
      </c>
      <c r="R604" s="2" t="s">
        <v>40</v>
      </c>
      <c r="S604" s="2" t="s">
        <v>4530</v>
      </c>
      <c r="T604" s="2" t="s">
        <v>4531</v>
      </c>
      <c r="U604" s="2" t="s">
        <v>4532</v>
      </c>
      <c r="V604" s="2" t="s">
        <v>4533</v>
      </c>
      <c r="W604" s="1"/>
      <c r="X604" s="2" t="s">
        <v>1437</v>
      </c>
      <c r="Y604" s="2" t="s">
        <v>4069</v>
      </c>
      <c r="AA604" t="str">
        <f t="shared" si="54"/>
        <v>2026-05</v>
      </c>
      <c r="AB604" t="str">
        <f t="shared" si="55"/>
        <v>H1_2026</v>
      </c>
      <c r="AC604">
        <f t="shared" si="56"/>
        <v>4494420</v>
      </c>
      <c r="AD604">
        <f t="shared" si="57"/>
        <v>360</v>
      </c>
      <c r="AE604">
        <f t="shared" si="58"/>
        <v>1110420</v>
      </c>
      <c r="AF604" t="str">
        <f t="shared" si="59"/>
        <v>Paid</v>
      </c>
    </row>
    <row r="605" spans="1:32" ht="17.25" thickBot="1" x14ac:dyDescent="0.35">
      <c r="A605" s="2" t="s">
        <v>4534</v>
      </c>
      <c r="B605" s="2" t="s">
        <v>27</v>
      </c>
      <c r="C605" s="2" t="s">
        <v>28</v>
      </c>
      <c r="D605" s="2" t="s">
        <v>97</v>
      </c>
      <c r="E605" s="2" t="s">
        <v>3999</v>
      </c>
      <c r="F605" s="2" t="s">
        <v>99</v>
      </c>
      <c r="G605" s="2" t="s">
        <v>32</v>
      </c>
      <c r="H605" s="1"/>
      <c r="I605" s="2" t="s">
        <v>33</v>
      </c>
      <c r="J605" s="2" t="s">
        <v>34</v>
      </c>
      <c r="K605" s="2" t="s">
        <v>1505</v>
      </c>
      <c r="L605" s="2" t="s">
        <v>1506</v>
      </c>
      <c r="M605" s="2" t="s">
        <v>84</v>
      </c>
      <c r="N605" s="2" t="s">
        <v>38</v>
      </c>
      <c r="O605" s="2" t="s">
        <v>4535</v>
      </c>
      <c r="P605" s="2" t="s">
        <v>4536</v>
      </c>
      <c r="Q605" s="2" t="s">
        <v>4537</v>
      </c>
      <c r="R605" s="2" t="s">
        <v>40</v>
      </c>
      <c r="S605" s="2" t="s">
        <v>4538</v>
      </c>
      <c r="T605" s="2" t="s">
        <v>1417</v>
      </c>
      <c r="U605" s="2" t="s">
        <v>4539</v>
      </c>
      <c r="V605" s="2" t="s">
        <v>4540</v>
      </c>
      <c r="W605" s="1"/>
      <c r="X605" s="2" t="s">
        <v>1472</v>
      </c>
      <c r="Y605" s="2" t="s">
        <v>4069</v>
      </c>
      <c r="AA605" t="str">
        <f t="shared" si="54"/>
        <v>2026-05</v>
      </c>
      <c r="AB605" t="str">
        <f t="shared" si="55"/>
        <v>H1_2026</v>
      </c>
      <c r="AC605">
        <f t="shared" si="56"/>
        <v>18906526.800000001</v>
      </c>
      <c r="AD605">
        <f t="shared" si="57"/>
        <v>2100</v>
      </c>
      <c r="AE605">
        <f t="shared" si="58"/>
        <v>4563526.8</v>
      </c>
      <c r="AF605" t="str">
        <f t="shared" si="59"/>
        <v>Paid</v>
      </c>
    </row>
    <row r="606" spans="1:32" ht="17.25" thickBot="1" x14ac:dyDescent="0.35">
      <c r="A606" s="2" t="s">
        <v>4541</v>
      </c>
      <c r="B606" s="2" t="s">
        <v>27</v>
      </c>
      <c r="C606" s="2" t="s">
        <v>28</v>
      </c>
      <c r="D606" s="2" t="s">
        <v>97</v>
      </c>
      <c r="E606" s="2" t="s">
        <v>3999</v>
      </c>
      <c r="F606" s="2" t="s">
        <v>99</v>
      </c>
      <c r="G606" s="2" t="s">
        <v>32</v>
      </c>
      <c r="H606" s="1"/>
      <c r="I606" s="2" t="s">
        <v>33</v>
      </c>
      <c r="J606" s="2" t="s">
        <v>34</v>
      </c>
      <c r="K606" s="2" t="s">
        <v>4542</v>
      </c>
      <c r="L606" s="2" t="s">
        <v>4543</v>
      </c>
      <c r="M606" s="2" t="s">
        <v>4544</v>
      </c>
      <c r="N606" s="2" t="s">
        <v>38</v>
      </c>
      <c r="O606" s="2" t="s">
        <v>141</v>
      </c>
      <c r="P606" s="2" t="s">
        <v>4545</v>
      </c>
      <c r="Q606" s="2" t="s">
        <v>4546</v>
      </c>
      <c r="R606" s="2" t="s">
        <v>40</v>
      </c>
      <c r="S606" s="2" t="s">
        <v>4547</v>
      </c>
      <c r="T606" s="2" t="s">
        <v>2206</v>
      </c>
      <c r="U606" s="2" t="s">
        <v>4548</v>
      </c>
      <c r="V606" s="2" t="s">
        <v>4549</v>
      </c>
      <c r="W606" s="1"/>
      <c r="X606" s="2" t="s">
        <v>4550</v>
      </c>
      <c r="Y606" s="2" t="s">
        <v>4069</v>
      </c>
      <c r="AA606" t="str">
        <f t="shared" si="54"/>
        <v>2026-05</v>
      </c>
      <c r="AB606" t="str">
        <f t="shared" si="55"/>
        <v>H1_2026</v>
      </c>
      <c r="AC606">
        <f t="shared" si="56"/>
        <v>299628</v>
      </c>
      <c r="AD606">
        <f t="shared" si="57"/>
        <v>30</v>
      </c>
      <c r="AE606">
        <f t="shared" si="58"/>
        <v>65628</v>
      </c>
      <c r="AF606" t="str">
        <f t="shared" si="59"/>
        <v>Paid</v>
      </c>
    </row>
    <row r="607" spans="1:32" ht="17.25" thickBot="1" x14ac:dyDescent="0.35">
      <c r="A607" s="2" t="s">
        <v>4551</v>
      </c>
      <c r="B607" s="2" t="s">
        <v>27</v>
      </c>
      <c r="C607" s="2" t="s">
        <v>28</v>
      </c>
      <c r="D607" s="2" t="s">
        <v>97</v>
      </c>
      <c r="E607" s="2" t="s">
        <v>4552</v>
      </c>
      <c r="F607" s="2" t="s">
        <v>99</v>
      </c>
      <c r="G607" s="2" t="s">
        <v>32</v>
      </c>
      <c r="H607" s="1"/>
      <c r="I607" s="2" t="s">
        <v>33</v>
      </c>
      <c r="J607" s="2" t="s">
        <v>34</v>
      </c>
      <c r="K607" s="2" t="s">
        <v>3895</v>
      </c>
      <c r="L607" s="2" t="s">
        <v>3896</v>
      </c>
      <c r="M607" s="2" t="s">
        <v>701</v>
      </c>
      <c r="N607" s="2" t="s">
        <v>38</v>
      </c>
      <c r="O607" s="2" t="s">
        <v>291</v>
      </c>
      <c r="P607" s="2" t="s">
        <v>1687</v>
      </c>
      <c r="Q607" s="2" t="s">
        <v>4553</v>
      </c>
      <c r="R607" s="2" t="s">
        <v>40</v>
      </c>
      <c r="S607" s="2" t="s">
        <v>4554</v>
      </c>
      <c r="T607" s="2" t="s">
        <v>1444</v>
      </c>
      <c r="U607" s="2" t="s">
        <v>4555</v>
      </c>
      <c r="V607" s="2" t="s">
        <v>4556</v>
      </c>
      <c r="W607" s="1"/>
      <c r="X607" s="2" t="s">
        <v>4557</v>
      </c>
      <c r="Y607" s="2" t="s">
        <v>4558</v>
      </c>
      <c r="AA607" t="str">
        <f t="shared" si="54"/>
        <v>2026-05</v>
      </c>
      <c r="AB607" t="str">
        <f t="shared" si="55"/>
        <v>H1_2026</v>
      </c>
      <c r="AC607">
        <f t="shared" si="56"/>
        <v>228021.05</v>
      </c>
      <c r="AD607">
        <f t="shared" si="57"/>
        <v>36</v>
      </c>
      <c r="AE607">
        <f t="shared" si="58"/>
        <v>31461.05</v>
      </c>
      <c r="AF607" t="str">
        <f t="shared" si="59"/>
        <v>Paid</v>
      </c>
    </row>
    <row r="608" spans="1:32" ht="17.25" thickBot="1" x14ac:dyDescent="0.35">
      <c r="A608" s="2" t="s">
        <v>4559</v>
      </c>
      <c r="B608" s="2" t="s">
        <v>27</v>
      </c>
      <c r="C608" s="2" t="s">
        <v>28</v>
      </c>
      <c r="D608" s="2" t="s">
        <v>97</v>
      </c>
      <c r="E608" s="2" t="s">
        <v>4552</v>
      </c>
      <c r="F608" s="2" t="s">
        <v>99</v>
      </c>
      <c r="G608" s="2" t="s">
        <v>32</v>
      </c>
      <c r="H608" s="1"/>
      <c r="I608" s="2" t="s">
        <v>33</v>
      </c>
      <c r="J608" s="2" t="s">
        <v>34</v>
      </c>
      <c r="K608" s="2" t="s">
        <v>3905</v>
      </c>
      <c r="L608" s="2" t="s">
        <v>3906</v>
      </c>
      <c r="M608" s="2" t="s">
        <v>701</v>
      </c>
      <c r="N608" s="2" t="s">
        <v>38</v>
      </c>
      <c r="O608" s="2" t="s">
        <v>1349</v>
      </c>
      <c r="P608" s="2" t="s">
        <v>4560</v>
      </c>
      <c r="Q608" s="2" t="s">
        <v>4561</v>
      </c>
      <c r="R608" s="2" t="s">
        <v>40</v>
      </c>
      <c r="S608" s="2" t="s">
        <v>4562</v>
      </c>
      <c r="T608" s="2" t="s">
        <v>3015</v>
      </c>
      <c r="U608" s="2" t="s">
        <v>4563</v>
      </c>
      <c r="V608" s="2" t="s">
        <v>4564</v>
      </c>
      <c r="W608" s="1"/>
      <c r="X608" s="2" t="s">
        <v>4557</v>
      </c>
      <c r="Y608" s="2" t="s">
        <v>4558</v>
      </c>
      <c r="AA608" t="str">
        <f t="shared" si="54"/>
        <v>2026-05</v>
      </c>
      <c r="AB608" t="str">
        <f t="shared" si="55"/>
        <v>H1_2026</v>
      </c>
      <c r="AC608">
        <f t="shared" si="56"/>
        <v>1406766.0800000001</v>
      </c>
      <c r="AD608">
        <f t="shared" si="57"/>
        <v>152</v>
      </c>
      <c r="AE608">
        <f t="shared" si="58"/>
        <v>193806.07999999999</v>
      </c>
      <c r="AF608" t="str">
        <f t="shared" si="59"/>
        <v>Paid</v>
      </c>
    </row>
    <row r="609" spans="1:32" ht="17.25" thickBot="1" x14ac:dyDescent="0.35">
      <c r="A609" s="2" t="s">
        <v>4565</v>
      </c>
      <c r="B609" s="2" t="s">
        <v>27</v>
      </c>
      <c r="C609" s="2" t="s">
        <v>28</v>
      </c>
      <c r="D609" s="2" t="s">
        <v>97</v>
      </c>
      <c r="E609" s="2" t="s">
        <v>4552</v>
      </c>
      <c r="F609" s="2" t="s">
        <v>99</v>
      </c>
      <c r="G609" s="2" t="s">
        <v>32</v>
      </c>
      <c r="H609" s="1"/>
      <c r="I609" s="2" t="s">
        <v>33</v>
      </c>
      <c r="J609" s="2" t="s">
        <v>34</v>
      </c>
      <c r="K609" s="2" t="s">
        <v>3922</v>
      </c>
      <c r="L609" s="2" t="s">
        <v>3923</v>
      </c>
      <c r="M609" s="2" t="s">
        <v>701</v>
      </c>
      <c r="N609" s="2" t="s">
        <v>38</v>
      </c>
      <c r="O609" s="2" t="s">
        <v>4566</v>
      </c>
      <c r="P609" s="2" t="s">
        <v>4567</v>
      </c>
      <c r="Q609" s="2" t="s">
        <v>4568</v>
      </c>
      <c r="R609" s="2" t="s">
        <v>40</v>
      </c>
      <c r="S609" s="2" t="s">
        <v>4569</v>
      </c>
      <c r="T609" s="2" t="s">
        <v>4570</v>
      </c>
      <c r="U609" s="2" t="s">
        <v>4571</v>
      </c>
      <c r="V609" s="2" t="s">
        <v>4572</v>
      </c>
      <c r="W609" s="1"/>
      <c r="X609" s="2" t="s">
        <v>4573</v>
      </c>
      <c r="Y609" s="2" t="s">
        <v>4558</v>
      </c>
      <c r="AA609" t="str">
        <f t="shared" si="54"/>
        <v>2026-05</v>
      </c>
      <c r="AB609" t="str">
        <f t="shared" si="55"/>
        <v>H1_2026</v>
      </c>
      <c r="AC609">
        <f t="shared" si="56"/>
        <v>10033056.26</v>
      </c>
      <c r="AD609">
        <f t="shared" si="57"/>
        <v>1143</v>
      </c>
      <c r="AE609">
        <f t="shared" si="58"/>
        <v>3395376.26</v>
      </c>
      <c r="AF609" t="str">
        <f t="shared" si="59"/>
        <v>Paid</v>
      </c>
    </row>
    <row r="610" spans="1:32" ht="17.25" thickBot="1" x14ac:dyDescent="0.35">
      <c r="A610" s="2" t="s">
        <v>4574</v>
      </c>
      <c r="B610" s="2" t="s">
        <v>27</v>
      </c>
      <c r="C610" s="2" t="s">
        <v>28</v>
      </c>
      <c r="D610" s="2" t="s">
        <v>97</v>
      </c>
      <c r="E610" s="2" t="s">
        <v>4552</v>
      </c>
      <c r="F610" s="2" t="s">
        <v>99</v>
      </c>
      <c r="G610" s="2" t="s">
        <v>32</v>
      </c>
      <c r="H610" s="1"/>
      <c r="I610" s="2" t="s">
        <v>33</v>
      </c>
      <c r="J610" s="2" t="s">
        <v>34</v>
      </c>
      <c r="K610" s="2" t="s">
        <v>3930</v>
      </c>
      <c r="L610" s="2" t="s">
        <v>3931</v>
      </c>
      <c r="M610" s="2" t="s">
        <v>701</v>
      </c>
      <c r="N610" s="2" t="s">
        <v>38</v>
      </c>
      <c r="O610" s="2" t="s">
        <v>4575</v>
      </c>
      <c r="P610" s="2" t="s">
        <v>4576</v>
      </c>
      <c r="Q610" s="2" t="s">
        <v>4577</v>
      </c>
      <c r="R610" s="2" t="s">
        <v>40</v>
      </c>
      <c r="S610" s="2" t="s">
        <v>4578</v>
      </c>
      <c r="T610" s="2" t="s">
        <v>4579</v>
      </c>
      <c r="U610" s="2" t="s">
        <v>4580</v>
      </c>
      <c r="V610" s="2" t="s">
        <v>4581</v>
      </c>
      <c r="W610" s="1"/>
      <c r="X610" s="2" t="s">
        <v>3824</v>
      </c>
      <c r="Y610" s="2" t="s">
        <v>4558</v>
      </c>
      <c r="AA610" t="str">
        <f t="shared" si="54"/>
        <v>2026-05</v>
      </c>
      <c r="AB610" t="str">
        <f t="shared" si="55"/>
        <v>H1_2026</v>
      </c>
      <c r="AC610">
        <f t="shared" si="56"/>
        <v>19555321.079999998</v>
      </c>
      <c r="AD610">
        <f t="shared" si="57"/>
        <v>1180</v>
      </c>
      <c r="AE610">
        <f t="shared" si="58"/>
        <v>2976241.08</v>
      </c>
      <c r="AF610" t="str">
        <f t="shared" si="59"/>
        <v>Paid</v>
      </c>
    </row>
    <row r="611" spans="1:32" ht="17.25" thickBot="1" x14ac:dyDescent="0.35">
      <c r="A611" s="2" t="s">
        <v>4582</v>
      </c>
      <c r="B611" s="2" t="s">
        <v>27</v>
      </c>
      <c r="C611" s="2" t="s">
        <v>28</v>
      </c>
      <c r="D611" s="2" t="s">
        <v>97</v>
      </c>
      <c r="E611" s="2" t="s">
        <v>4552</v>
      </c>
      <c r="F611" s="2" t="s">
        <v>99</v>
      </c>
      <c r="G611" s="2" t="s">
        <v>32</v>
      </c>
      <c r="H611" s="1"/>
      <c r="I611" s="2" t="s">
        <v>33</v>
      </c>
      <c r="J611" s="2" t="s">
        <v>34</v>
      </c>
      <c r="K611" s="2" t="s">
        <v>3949</v>
      </c>
      <c r="L611" s="2" t="s">
        <v>3950</v>
      </c>
      <c r="M611" s="2" t="s">
        <v>701</v>
      </c>
      <c r="N611" s="2" t="s">
        <v>38</v>
      </c>
      <c r="O611" s="2" t="s">
        <v>3757</v>
      </c>
      <c r="P611" s="2" t="s">
        <v>4583</v>
      </c>
      <c r="Q611" s="2" t="s">
        <v>4584</v>
      </c>
      <c r="R611" s="2" t="s">
        <v>40</v>
      </c>
      <c r="S611" s="2" t="s">
        <v>4585</v>
      </c>
      <c r="T611" s="2" t="s">
        <v>726</v>
      </c>
      <c r="U611" s="2" t="s">
        <v>4586</v>
      </c>
      <c r="V611" s="2" t="s">
        <v>4587</v>
      </c>
      <c r="W611" s="1"/>
      <c r="X611" s="2" t="s">
        <v>4557</v>
      </c>
      <c r="Y611" s="2" t="s">
        <v>4558</v>
      </c>
      <c r="AA611" t="str">
        <f t="shared" si="54"/>
        <v>2026-05</v>
      </c>
      <c r="AB611" t="str">
        <f t="shared" si="55"/>
        <v>H1_2026</v>
      </c>
      <c r="AC611">
        <f t="shared" si="56"/>
        <v>4018784.21</v>
      </c>
      <c r="AD611">
        <f t="shared" si="57"/>
        <v>485</v>
      </c>
      <c r="AE611">
        <f t="shared" si="58"/>
        <v>555884.21</v>
      </c>
      <c r="AF611" t="str">
        <f t="shared" si="59"/>
        <v>Paid</v>
      </c>
    </row>
    <row r="612" spans="1:32" ht="17.25" thickBot="1" x14ac:dyDescent="0.35">
      <c r="A612" s="2" t="s">
        <v>283</v>
      </c>
      <c r="B612" s="2" t="s">
        <v>27</v>
      </c>
      <c r="C612" s="2" t="s">
        <v>28</v>
      </c>
      <c r="D612" s="2" t="s">
        <v>97</v>
      </c>
      <c r="E612" s="2" t="s">
        <v>4552</v>
      </c>
      <c r="F612" s="2" t="s">
        <v>99</v>
      </c>
      <c r="G612" s="2" t="s">
        <v>32</v>
      </c>
      <c r="H612" s="1"/>
      <c r="I612" s="2" t="s">
        <v>33</v>
      </c>
      <c r="J612" s="2" t="s">
        <v>34</v>
      </c>
      <c r="K612" s="2" t="s">
        <v>738</v>
      </c>
      <c r="L612" s="2" t="s">
        <v>739</v>
      </c>
      <c r="M612" s="2" t="s">
        <v>701</v>
      </c>
      <c r="N612" s="2" t="s">
        <v>38</v>
      </c>
      <c r="O612" s="2" t="s">
        <v>44</v>
      </c>
      <c r="P612" s="2" t="s">
        <v>1952</v>
      </c>
      <c r="Q612" s="2" t="s">
        <v>4588</v>
      </c>
      <c r="R612" s="2" t="s">
        <v>40</v>
      </c>
      <c r="S612" s="2" t="s">
        <v>4589</v>
      </c>
      <c r="T612" s="2" t="s">
        <v>716</v>
      </c>
      <c r="U612" s="2" t="s">
        <v>4590</v>
      </c>
      <c r="V612" s="2" t="s">
        <v>4591</v>
      </c>
      <c r="W612" s="1"/>
      <c r="X612" s="2" t="s">
        <v>4557</v>
      </c>
      <c r="Y612" s="2" t="s">
        <v>4558</v>
      </c>
      <c r="AA612" t="str">
        <f t="shared" si="54"/>
        <v>2026-05</v>
      </c>
      <c r="AB612" t="str">
        <f t="shared" si="55"/>
        <v>H1_2026</v>
      </c>
      <c r="AC612">
        <f t="shared" si="56"/>
        <v>23397.9</v>
      </c>
      <c r="AD612">
        <f t="shared" si="57"/>
        <v>2</v>
      </c>
      <c r="AE612">
        <f t="shared" si="58"/>
        <v>3237.9</v>
      </c>
      <c r="AF612" t="str">
        <f t="shared" si="59"/>
        <v>Paid</v>
      </c>
    </row>
    <row r="613" spans="1:32" ht="17.25" thickBot="1" x14ac:dyDescent="0.35">
      <c r="A613" s="2" t="s">
        <v>4592</v>
      </c>
      <c r="B613" s="2" t="s">
        <v>27</v>
      </c>
      <c r="C613" s="2" t="s">
        <v>28</v>
      </c>
      <c r="D613" s="2" t="s">
        <v>97</v>
      </c>
      <c r="E613" s="2" t="s">
        <v>4552</v>
      </c>
      <c r="F613" s="2" t="s">
        <v>99</v>
      </c>
      <c r="G613" s="2" t="s">
        <v>32</v>
      </c>
      <c r="H613" s="1"/>
      <c r="I613" s="2" t="s">
        <v>33</v>
      </c>
      <c r="J613" s="2" t="s">
        <v>34</v>
      </c>
      <c r="K613" s="2" t="s">
        <v>3978</v>
      </c>
      <c r="L613" s="2" t="s">
        <v>3979</v>
      </c>
      <c r="M613" s="2" t="s">
        <v>701</v>
      </c>
      <c r="N613" s="2" t="s">
        <v>38</v>
      </c>
      <c r="O613" s="2" t="s">
        <v>2639</v>
      </c>
      <c r="P613" s="2" t="s">
        <v>4567</v>
      </c>
      <c r="Q613" s="2" t="s">
        <v>4593</v>
      </c>
      <c r="R613" s="2" t="s">
        <v>40</v>
      </c>
      <c r="S613" s="2" t="s">
        <v>4594</v>
      </c>
      <c r="T613" s="2" t="s">
        <v>759</v>
      </c>
      <c r="U613" s="2" t="s">
        <v>4595</v>
      </c>
      <c r="V613" s="2" t="s">
        <v>4596</v>
      </c>
      <c r="W613" s="1"/>
      <c r="X613" s="2" t="s">
        <v>4597</v>
      </c>
      <c r="Y613" s="2" t="s">
        <v>4558</v>
      </c>
      <c r="AA613" t="str">
        <f t="shared" si="54"/>
        <v>2026-05</v>
      </c>
      <c r="AB613" t="str">
        <f t="shared" si="55"/>
        <v>H1_2026</v>
      </c>
      <c r="AC613">
        <f t="shared" si="56"/>
        <v>2791348.99</v>
      </c>
      <c r="AD613">
        <f t="shared" si="57"/>
        <v>318</v>
      </c>
      <c r="AE613">
        <f t="shared" si="58"/>
        <v>387268.99</v>
      </c>
      <c r="AF613" t="str">
        <f t="shared" si="59"/>
        <v>Paid</v>
      </c>
    </row>
    <row r="614" spans="1:32" ht="17.25" thickBot="1" x14ac:dyDescent="0.35">
      <c r="A614" s="2" t="s">
        <v>4598</v>
      </c>
      <c r="B614" s="2" t="s">
        <v>27</v>
      </c>
      <c r="C614" s="2" t="s">
        <v>28</v>
      </c>
      <c r="D614" s="2" t="s">
        <v>97</v>
      </c>
      <c r="E614" s="2" t="s">
        <v>4552</v>
      </c>
      <c r="F614" s="2" t="s">
        <v>99</v>
      </c>
      <c r="G614" s="2" t="s">
        <v>32</v>
      </c>
      <c r="H614" s="1"/>
      <c r="I614" s="2" t="s">
        <v>33</v>
      </c>
      <c r="J614" s="2" t="s">
        <v>34</v>
      </c>
      <c r="K614" s="2" t="s">
        <v>3986</v>
      </c>
      <c r="L614" s="2" t="s">
        <v>3987</v>
      </c>
      <c r="M614" s="2" t="s">
        <v>701</v>
      </c>
      <c r="N614" s="2" t="s">
        <v>38</v>
      </c>
      <c r="O614" s="2" t="s">
        <v>945</v>
      </c>
      <c r="P614" s="2" t="s">
        <v>4583</v>
      </c>
      <c r="Q614" s="2" t="s">
        <v>4599</v>
      </c>
      <c r="R614" s="2" t="s">
        <v>40</v>
      </c>
      <c r="S614" s="2" t="s">
        <v>4600</v>
      </c>
      <c r="T614" s="2" t="s">
        <v>4601</v>
      </c>
      <c r="U614" s="2" t="s">
        <v>4602</v>
      </c>
      <c r="V614" s="2" t="s">
        <v>4603</v>
      </c>
      <c r="W614" s="1"/>
      <c r="X614" s="2" t="s">
        <v>4604</v>
      </c>
      <c r="Y614" s="2" t="s">
        <v>4558</v>
      </c>
      <c r="AA614" t="str">
        <f t="shared" si="54"/>
        <v>2026-05</v>
      </c>
      <c r="AB614" t="str">
        <f t="shared" si="55"/>
        <v>H1_2026</v>
      </c>
      <c r="AC614">
        <f t="shared" si="56"/>
        <v>886618.37</v>
      </c>
      <c r="AD614">
        <f t="shared" si="57"/>
        <v>107</v>
      </c>
      <c r="AE614">
        <f t="shared" si="58"/>
        <v>393958.37</v>
      </c>
      <c r="AF614" t="str">
        <f t="shared" si="59"/>
        <v>Paid</v>
      </c>
    </row>
    <row r="615" spans="1:32" ht="17.25" thickBot="1" x14ac:dyDescent="0.35">
      <c r="A615" s="2" t="s">
        <v>4605</v>
      </c>
      <c r="B615" s="2" t="s">
        <v>27</v>
      </c>
      <c r="C615" s="2" t="s">
        <v>28</v>
      </c>
      <c r="D615" s="2" t="s">
        <v>97</v>
      </c>
      <c r="E615" s="2" t="s">
        <v>4552</v>
      </c>
      <c r="F615" s="2" t="s">
        <v>99</v>
      </c>
      <c r="G615" s="2" t="s">
        <v>32</v>
      </c>
      <c r="H615" s="1"/>
      <c r="I615" s="2" t="s">
        <v>33</v>
      </c>
      <c r="J615" s="2" t="s">
        <v>34</v>
      </c>
      <c r="K615" s="2" t="s">
        <v>4606</v>
      </c>
      <c r="L615" s="2" t="s">
        <v>4607</v>
      </c>
      <c r="M615" s="2" t="s">
        <v>701</v>
      </c>
      <c r="N615" s="2" t="s">
        <v>38</v>
      </c>
      <c r="O615" s="2" t="s">
        <v>4608</v>
      </c>
      <c r="P615" s="2" t="s">
        <v>4567</v>
      </c>
      <c r="Q615" s="2" t="s">
        <v>4609</v>
      </c>
      <c r="R615" s="2" t="s">
        <v>40</v>
      </c>
      <c r="S615" s="2" t="s">
        <v>4610</v>
      </c>
      <c r="T615" s="2" t="s">
        <v>759</v>
      </c>
      <c r="U615" s="2" t="s">
        <v>4611</v>
      </c>
      <c r="V615" s="2" t="s">
        <v>4612</v>
      </c>
      <c r="W615" s="1"/>
      <c r="X615" s="2" t="s">
        <v>4597</v>
      </c>
      <c r="Y615" s="2" t="s">
        <v>4558</v>
      </c>
      <c r="AA615" t="str">
        <f t="shared" si="54"/>
        <v>2026-05</v>
      </c>
      <c r="AB615" t="str">
        <f t="shared" si="55"/>
        <v>H1_2026</v>
      </c>
      <c r="AC615">
        <f t="shared" si="56"/>
        <v>19223441.129999999</v>
      </c>
      <c r="AD615">
        <f t="shared" si="57"/>
        <v>2190</v>
      </c>
      <c r="AE615">
        <f t="shared" si="58"/>
        <v>2667041.13</v>
      </c>
      <c r="AF615" t="str">
        <f t="shared" si="59"/>
        <v>Paid</v>
      </c>
    </row>
    <row r="616" spans="1:32" ht="17.25" thickBot="1" x14ac:dyDescent="0.35">
      <c r="A616" s="2" t="s">
        <v>4613</v>
      </c>
      <c r="B616" s="2" t="s">
        <v>27</v>
      </c>
      <c r="C616" s="2" t="s">
        <v>28</v>
      </c>
      <c r="D616" s="2" t="s">
        <v>97</v>
      </c>
      <c r="E616" s="2" t="s">
        <v>4552</v>
      </c>
      <c r="F616" s="2" t="s">
        <v>99</v>
      </c>
      <c r="G616" s="2" t="s">
        <v>32</v>
      </c>
      <c r="H616" s="1"/>
      <c r="I616" s="2" t="s">
        <v>33</v>
      </c>
      <c r="J616" s="2" t="s">
        <v>34</v>
      </c>
      <c r="K616" s="2" t="s">
        <v>787</v>
      </c>
      <c r="L616" s="2" t="s">
        <v>788</v>
      </c>
      <c r="M616" s="2" t="s">
        <v>772</v>
      </c>
      <c r="N616" s="2" t="s">
        <v>38</v>
      </c>
      <c r="O616" s="2" t="s">
        <v>4614</v>
      </c>
      <c r="P616" s="2" t="s">
        <v>4615</v>
      </c>
      <c r="Q616" s="2" t="s">
        <v>4616</v>
      </c>
      <c r="R616" s="2" t="s">
        <v>40</v>
      </c>
      <c r="S616" s="2" t="s">
        <v>4617</v>
      </c>
      <c r="T616" s="2" t="s">
        <v>793</v>
      </c>
      <c r="U616" s="2" t="s">
        <v>4618</v>
      </c>
      <c r="V616" s="2" t="s">
        <v>4619</v>
      </c>
      <c r="W616" s="1"/>
      <c r="X616" s="2" t="s">
        <v>2226</v>
      </c>
      <c r="Y616" s="2" t="s">
        <v>4558</v>
      </c>
      <c r="AA616" t="str">
        <f t="shared" si="54"/>
        <v>2026-05</v>
      </c>
      <c r="AB616" t="str">
        <f t="shared" si="55"/>
        <v>H1_2026</v>
      </c>
      <c r="AC616">
        <f t="shared" si="56"/>
        <v>1655712.2</v>
      </c>
      <c r="AD616">
        <f t="shared" si="57"/>
        <v>1347</v>
      </c>
      <c r="AE616">
        <f t="shared" si="58"/>
        <v>308712.2</v>
      </c>
      <c r="AF616" t="str">
        <f t="shared" si="59"/>
        <v>Paid</v>
      </c>
    </row>
    <row r="617" spans="1:32" ht="17.25" thickBot="1" x14ac:dyDescent="0.35">
      <c r="A617" s="2" t="s">
        <v>4620</v>
      </c>
      <c r="B617" s="2" t="s">
        <v>27</v>
      </c>
      <c r="C617" s="2" t="s">
        <v>28</v>
      </c>
      <c r="D617" s="2" t="s">
        <v>97</v>
      </c>
      <c r="E617" s="2" t="s">
        <v>4552</v>
      </c>
      <c r="F617" s="2" t="s">
        <v>99</v>
      </c>
      <c r="G617" s="2" t="s">
        <v>32</v>
      </c>
      <c r="H617" s="1"/>
      <c r="I617" s="2" t="s">
        <v>33</v>
      </c>
      <c r="J617" s="2" t="s">
        <v>34</v>
      </c>
      <c r="K617" s="2" t="s">
        <v>926</v>
      </c>
      <c r="L617" s="2" t="s">
        <v>927</v>
      </c>
      <c r="M617" s="2" t="s">
        <v>772</v>
      </c>
      <c r="N617" s="2" t="s">
        <v>38</v>
      </c>
      <c r="O617" s="2" t="s">
        <v>63</v>
      </c>
      <c r="P617" s="2" t="s">
        <v>4621</v>
      </c>
      <c r="Q617" s="2" t="s">
        <v>4622</v>
      </c>
      <c r="R617" s="2" t="s">
        <v>40</v>
      </c>
      <c r="S617" s="2" t="s">
        <v>4623</v>
      </c>
      <c r="T617" s="2" t="s">
        <v>931</v>
      </c>
      <c r="U617" s="2" t="s">
        <v>4624</v>
      </c>
      <c r="V617" s="2" t="s">
        <v>4625</v>
      </c>
      <c r="W617" s="1"/>
      <c r="X617" s="2" t="s">
        <v>4626</v>
      </c>
      <c r="Y617" s="2" t="s">
        <v>4558</v>
      </c>
      <c r="AA617" t="str">
        <f t="shared" si="54"/>
        <v>2026-05</v>
      </c>
      <c r="AB617" t="str">
        <f t="shared" si="55"/>
        <v>H1_2026</v>
      </c>
      <c r="AC617">
        <f t="shared" si="56"/>
        <v>60230.07</v>
      </c>
      <c r="AD617">
        <f t="shared" si="57"/>
        <v>7</v>
      </c>
      <c r="AE617">
        <f t="shared" si="58"/>
        <v>10530.07</v>
      </c>
      <c r="AF617" t="str">
        <f t="shared" si="59"/>
        <v>Paid</v>
      </c>
    </row>
    <row r="618" spans="1:32" ht="17.25" thickBot="1" x14ac:dyDescent="0.35">
      <c r="A618" s="2" t="s">
        <v>4627</v>
      </c>
      <c r="B618" s="2" t="s">
        <v>27</v>
      </c>
      <c r="C618" s="2" t="s">
        <v>28</v>
      </c>
      <c r="D618" s="2" t="s">
        <v>97</v>
      </c>
      <c r="E618" s="2" t="s">
        <v>4552</v>
      </c>
      <c r="F618" s="2" t="s">
        <v>99</v>
      </c>
      <c r="G618" s="2" t="s">
        <v>32</v>
      </c>
      <c r="H618" s="1"/>
      <c r="I618" s="2" t="s">
        <v>33</v>
      </c>
      <c r="J618" s="2" t="s">
        <v>34</v>
      </c>
      <c r="K618" s="2" t="s">
        <v>4628</v>
      </c>
      <c r="L618" s="2" t="s">
        <v>4629</v>
      </c>
      <c r="M618" s="2" t="s">
        <v>772</v>
      </c>
      <c r="N618" s="2" t="s">
        <v>38</v>
      </c>
      <c r="O618" s="2" t="s">
        <v>1844</v>
      </c>
      <c r="P618" s="2" t="s">
        <v>4630</v>
      </c>
      <c r="Q618" s="2" t="s">
        <v>4631</v>
      </c>
      <c r="R618" s="2" t="s">
        <v>40</v>
      </c>
      <c r="S618" s="2" t="s">
        <v>4632</v>
      </c>
      <c r="T618" s="2" t="s">
        <v>864</v>
      </c>
      <c r="U618" s="2" t="s">
        <v>4633</v>
      </c>
      <c r="V618" s="2" t="s">
        <v>4634</v>
      </c>
      <c r="W618" s="1"/>
      <c r="X618" s="2" t="s">
        <v>2226</v>
      </c>
      <c r="Y618" s="2" t="s">
        <v>4558</v>
      </c>
      <c r="AA618" t="str">
        <f t="shared" si="54"/>
        <v>2026-05</v>
      </c>
      <c r="AB618" t="str">
        <f t="shared" si="55"/>
        <v>H1_2026</v>
      </c>
      <c r="AC618">
        <f t="shared" si="56"/>
        <v>2035776.2</v>
      </c>
      <c r="AD618">
        <f t="shared" si="57"/>
        <v>221</v>
      </c>
      <c r="AE618">
        <f t="shared" si="58"/>
        <v>378276.2</v>
      </c>
      <c r="AF618" t="str">
        <f t="shared" si="59"/>
        <v>Paid</v>
      </c>
    </row>
    <row r="619" spans="1:32" ht="17.25" thickBot="1" x14ac:dyDescent="0.35">
      <c r="A619" s="2" t="s">
        <v>4635</v>
      </c>
      <c r="B619" s="2" t="s">
        <v>27</v>
      </c>
      <c r="C619" s="2" t="s">
        <v>28</v>
      </c>
      <c r="D619" s="2" t="s">
        <v>97</v>
      </c>
      <c r="E619" s="2" t="s">
        <v>4552</v>
      </c>
      <c r="F619" s="2" t="s">
        <v>99</v>
      </c>
      <c r="G619" s="2" t="s">
        <v>32</v>
      </c>
      <c r="H619" s="1"/>
      <c r="I619" s="2" t="s">
        <v>33</v>
      </c>
      <c r="J619" s="2" t="s">
        <v>34</v>
      </c>
      <c r="K619" s="2" t="s">
        <v>4636</v>
      </c>
      <c r="L619" s="2" t="s">
        <v>4637</v>
      </c>
      <c r="M619" s="2" t="s">
        <v>37</v>
      </c>
      <c r="N619" s="2" t="s">
        <v>38</v>
      </c>
      <c r="O619" s="2" t="s">
        <v>1438</v>
      </c>
      <c r="P619" s="2" t="s">
        <v>4638</v>
      </c>
      <c r="Q619" s="2" t="s">
        <v>4639</v>
      </c>
      <c r="R619" s="2" t="s">
        <v>40</v>
      </c>
      <c r="S619" s="2" t="s">
        <v>4640</v>
      </c>
      <c r="T619" s="2" t="s">
        <v>107</v>
      </c>
      <c r="U619" s="2" t="s">
        <v>4641</v>
      </c>
      <c r="V619" s="2" t="s">
        <v>4642</v>
      </c>
      <c r="W619" s="1"/>
      <c r="X619" s="2" t="s">
        <v>1100</v>
      </c>
      <c r="Y619" s="2" t="s">
        <v>4558</v>
      </c>
      <c r="AA619" t="str">
        <f t="shared" si="54"/>
        <v>2026-05</v>
      </c>
      <c r="AB619" t="str">
        <f t="shared" si="55"/>
        <v>H1_2026</v>
      </c>
      <c r="AC619">
        <f t="shared" si="56"/>
        <v>1089347.1299999999</v>
      </c>
      <c r="AD619">
        <f t="shared" si="57"/>
        <v>162</v>
      </c>
      <c r="AE619">
        <f t="shared" si="58"/>
        <v>182147.13</v>
      </c>
      <c r="AF619" t="str">
        <f t="shared" si="59"/>
        <v>Paid</v>
      </c>
    </row>
    <row r="620" spans="1:32" ht="17.25" thickBot="1" x14ac:dyDescent="0.35">
      <c r="A620" s="2" t="s">
        <v>4643</v>
      </c>
      <c r="B620" s="2" t="s">
        <v>27</v>
      </c>
      <c r="C620" s="2" t="s">
        <v>28</v>
      </c>
      <c r="D620" s="2" t="s">
        <v>97</v>
      </c>
      <c r="E620" s="2" t="s">
        <v>4552</v>
      </c>
      <c r="F620" s="2" t="s">
        <v>99</v>
      </c>
      <c r="G620" s="2" t="s">
        <v>32</v>
      </c>
      <c r="H620" s="1"/>
      <c r="I620" s="2" t="s">
        <v>33</v>
      </c>
      <c r="J620" s="2" t="s">
        <v>34</v>
      </c>
      <c r="K620" s="2" t="s">
        <v>4644</v>
      </c>
      <c r="L620" s="2" t="s">
        <v>4645</v>
      </c>
      <c r="M620" s="2" t="s">
        <v>37</v>
      </c>
      <c r="N620" s="2" t="s">
        <v>38</v>
      </c>
      <c r="O620" s="2" t="s">
        <v>388</v>
      </c>
      <c r="P620" s="2" t="s">
        <v>4646</v>
      </c>
      <c r="Q620" s="2" t="s">
        <v>4647</v>
      </c>
      <c r="R620" s="2" t="s">
        <v>40</v>
      </c>
      <c r="S620" s="2" t="s">
        <v>4648</v>
      </c>
      <c r="T620" s="2" t="s">
        <v>3079</v>
      </c>
      <c r="U620" s="2" t="s">
        <v>4649</v>
      </c>
      <c r="V620" s="2" t="s">
        <v>4650</v>
      </c>
      <c r="W620" s="1"/>
      <c r="X620" s="2" t="s">
        <v>4651</v>
      </c>
      <c r="Y620" s="2" t="s">
        <v>4558</v>
      </c>
      <c r="AA620" t="str">
        <f t="shared" si="54"/>
        <v>2026-05</v>
      </c>
      <c r="AB620" t="str">
        <f t="shared" si="55"/>
        <v>H1_2026</v>
      </c>
      <c r="AC620">
        <f t="shared" si="56"/>
        <v>386484.69</v>
      </c>
      <c r="AD620">
        <f t="shared" si="57"/>
        <v>46</v>
      </c>
      <c r="AE620">
        <f t="shared" si="58"/>
        <v>119684.69</v>
      </c>
      <c r="AF620" t="str">
        <f t="shared" si="59"/>
        <v>Paid</v>
      </c>
    </row>
    <row r="621" spans="1:32" ht="17.25" thickBot="1" x14ac:dyDescent="0.35">
      <c r="A621" s="2" t="s">
        <v>2282</v>
      </c>
      <c r="B621" s="2" t="s">
        <v>27</v>
      </c>
      <c r="C621" s="2" t="s">
        <v>28</v>
      </c>
      <c r="D621" s="2" t="s">
        <v>97</v>
      </c>
      <c r="E621" s="2" t="s">
        <v>4552</v>
      </c>
      <c r="F621" s="2" t="s">
        <v>99</v>
      </c>
      <c r="G621" s="2" t="s">
        <v>32</v>
      </c>
      <c r="H621" s="1"/>
      <c r="I621" s="2" t="s">
        <v>33</v>
      </c>
      <c r="J621" s="2" t="s">
        <v>34</v>
      </c>
      <c r="K621" s="2" t="s">
        <v>1148</v>
      </c>
      <c r="L621" s="2" t="s">
        <v>1149</v>
      </c>
      <c r="M621" s="2" t="s">
        <v>37</v>
      </c>
      <c r="N621" s="2" t="s">
        <v>38</v>
      </c>
      <c r="O621" s="2" t="s">
        <v>85</v>
      </c>
      <c r="P621" s="2" t="s">
        <v>4638</v>
      </c>
      <c r="Q621" s="2" t="s">
        <v>4652</v>
      </c>
      <c r="R621" s="2" t="s">
        <v>40</v>
      </c>
      <c r="S621" s="2" t="s">
        <v>4653</v>
      </c>
      <c r="T621" s="2" t="s">
        <v>107</v>
      </c>
      <c r="U621" s="2" t="s">
        <v>4654</v>
      </c>
      <c r="V621" s="2" t="s">
        <v>4655</v>
      </c>
      <c r="W621" s="1"/>
      <c r="X621" s="2" t="s">
        <v>1100</v>
      </c>
      <c r="Y621" s="2" t="s">
        <v>4558</v>
      </c>
      <c r="AA621" t="str">
        <f t="shared" si="54"/>
        <v>2026-05</v>
      </c>
      <c r="AB621" t="str">
        <f t="shared" si="55"/>
        <v>H1_2026</v>
      </c>
      <c r="AC621">
        <f t="shared" si="56"/>
        <v>80692.38</v>
      </c>
      <c r="AD621">
        <f t="shared" si="57"/>
        <v>12</v>
      </c>
      <c r="AE621">
        <f t="shared" si="58"/>
        <v>13492.38</v>
      </c>
      <c r="AF621" t="str">
        <f t="shared" si="59"/>
        <v>Paid</v>
      </c>
    </row>
    <row r="622" spans="1:32" ht="17.25" thickBot="1" x14ac:dyDescent="0.35">
      <c r="A622" s="2" t="s">
        <v>4656</v>
      </c>
      <c r="B622" s="2" t="s">
        <v>27</v>
      </c>
      <c r="C622" s="2" t="s">
        <v>28</v>
      </c>
      <c r="D622" s="2" t="s">
        <v>97</v>
      </c>
      <c r="E622" s="2" t="s">
        <v>4552</v>
      </c>
      <c r="F622" s="2" t="s">
        <v>99</v>
      </c>
      <c r="G622" s="2" t="s">
        <v>32</v>
      </c>
      <c r="H622" s="1"/>
      <c r="I622" s="2" t="s">
        <v>33</v>
      </c>
      <c r="J622" s="2" t="s">
        <v>34</v>
      </c>
      <c r="K622" s="2" t="s">
        <v>4657</v>
      </c>
      <c r="L622" s="2" t="s">
        <v>4658</v>
      </c>
      <c r="M622" s="2" t="s">
        <v>37</v>
      </c>
      <c r="N622" s="2" t="s">
        <v>38</v>
      </c>
      <c r="O622" s="2" t="s">
        <v>527</v>
      </c>
      <c r="P622" s="2" t="s">
        <v>4646</v>
      </c>
      <c r="Q622" s="2" t="s">
        <v>4659</v>
      </c>
      <c r="R622" s="2" t="s">
        <v>40</v>
      </c>
      <c r="S622" s="2" t="s">
        <v>4660</v>
      </c>
      <c r="T622" s="2" t="s">
        <v>287</v>
      </c>
      <c r="U622" s="2" t="s">
        <v>4661</v>
      </c>
      <c r="V622" s="2" t="s">
        <v>4662</v>
      </c>
      <c r="W622" s="1"/>
      <c r="X622" s="2" t="s">
        <v>1100</v>
      </c>
      <c r="Y622" s="2" t="s">
        <v>4558</v>
      </c>
      <c r="AA622" t="str">
        <f t="shared" si="54"/>
        <v>2026-05</v>
      </c>
      <c r="AB622" t="str">
        <f t="shared" si="55"/>
        <v>H1_2026</v>
      </c>
      <c r="AC622">
        <f t="shared" si="56"/>
        <v>520914.14</v>
      </c>
      <c r="AD622">
        <f t="shared" si="57"/>
        <v>62</v>
      </c>
      <c r="AE622">
        <f t="shared" si="58"/>
        <v>86914.14</v>
      </c>
      <c r="AF622" t="str">
        <f t="shared" si="59"/>
        <v>Paid</v>
      </c>
    </row>
    <row r="623" spans="1:32" ht="17.25" thickBot="1" x14ac:dyDescent="0.35">
      <c r="A623" s="2" t="s">
        <v>4663</v>
      </c>
      <c r="B623" s="2" t="s">
        <v>27</v>
      </c>
      <c r="C623" s="2" t="s">
        <v>28</v>
      </c>
      <c r="D623" s="2" t="s">
        <v>97</v>
      </c>
      <c r="E623" s="2" t="s">
        <v>4552</v>
      </c>
      <c r="F623" s="2" t="s">
        <v>99</v>
      </c>
      <c r="G623" s="2" t="s">
        <v>32</v>
      </c>
      <c r="H623" s="1"/>
      <c r="I623" s="2" t="s">
        <v>33</v>
      </c>
      <c r="J623" s="2" t="s">
        <v>34</v>
      </c>
      <c r="K623" s="2" t="s">
        <v>4664</v>
      </c>
      <c r="L623" s="2" t="s">
        <v>4665</v>
      </c>
      <c r="M623" s="2" t="s">
        <v>37</v>
      </c>
      <c r="N623" s="2" t="s">
        <v>38</v>
      </c>
      <c r="O623" s="2" t="s">
        <v>85</v>
      </c>
      <c r="P623" s="2" t="s">
        <v>2433</v>
      </c>
      <c r="Q623" s="2" t="s">
        <v>3533</v>
      </c>
      <c r="R623" s="2" t="s">
        <v>40</v>
      </c>
      <c r="S623" s="2" t="s">
        <v>4666</v>
      </c>
      <c r="T623" s="2" t="s">
        <v>4667</v>
      </c>
      <c r="U623" s="2" t="s">
        <v>4668</v>
      </c>
      <c r="V623" s="2" t="s">
        <v>4669</v>
      </c>
      <c r="W623" s="1"/>
      <c r="X623" s="2" t="s">
        <v>1100</v>
      </c>
      <c r="Y623" s="2" t="s">
        <v>4558</v>
      </c>
      <c r="AA623" t="str">
        <f t="shared" si="54"/>
        <v>2026-05</v>
      </c>
      <c r="AB623" t="str">
        <f t="shared" si="55"/>
        <v>H1_2026</v>
      </c>
      <c r="AC623">
        <f t="shared" si="56"/>
        <v>95789.66</v>
      </c>
      <c r="AD623">
        <f t="shared" si="57"/>
        <v>12</v>
      </c>
      <c r="AE623">
        <f t="shared" si="58"/>
        <v>15989.66</v>
      </c>
      <c r="AF623" t="str">
        <f t="shared" si="59"/>
        <v>Paid</v>
      </c>
    </row>
    <row r="624" spans="1:32" ht="17.25" thickBot="1" x14ac:dyDescent="0.35">
      <c r="A624" s="2" t="s">
        <v>4670</v>
      </c>
      <c r="B624" s="2" t="s">
        <v>27</v>
      </c>
      <c r="C624" s="2" t="s">
        <v>28</v>
      </c>
      <c r="D624" s="2" t="s">
        <v>97</v>
      </c>
      <c r="E624" s="2" t="s">
        <v>4552</v>
      </c>
      <c r="F624" s="2" t="s">
        <v>99</v>
      </c>
      <c r="G624" s="2" t="s">
        <v>32</v>
      </c>
      <c r="H624" s="1"/>
      <c r="I624" s="2" t="s">
        <v>33</v>
      </c>
      <c r="J624" s="2" t="s">
        <v>34</v>
      </c>
      <c r="K624" s="2" t="s">
        <v>1164</v>
      </c>
      <c r="L624" s="2" t="s">
        <v>1165</v>
      </c>
      <c r="M624" s="2" t="s">
        <v>37</v>
      </c>
      <c r="N624" s="2" t="s">
        <v>38</v>
      </c>
      <c r="O624" s="2" t="s">
        <v>463</v>
      </c>
      <c r="P624" s="2" t="s">
        <v>4671</v>
      </c>
      <c r="Q624" s="2" t="s">
        <v>4672</v>
      </c>
      <c r="R624" s="2" t="s">
        <v>40</v>
      </c>
      <c r="S624" s="2" t="s">
        <v>4673</v>
      </c>
      <c r="T624" s="2" t="s">
        <v>1168</v>
      </c>
      <c r="U624" s="2" t="s">
        <v>4674</v>
      </c>
      <c r="V624" s="2" t="s">
        <v>4675</v>
      </c>
      <c r="W624" s="1"/>
      <c r="X624" s="2" t="s">
        <v>4651</v>
      </c>
      <c r="Y624" s="2" t="s">
        <v>4558</v>
      </c>
      <c r="AA624" t="str">
        <f t="shared" si="54"/>
        <v>2026-05</v>
      </c>
      <c r="AB624" t="str">
        <f t="shared" si="55"/>
        <v>H1_2026</v>
      </c>
      <c r="AC624">
        <f t="shared" si="56"/>
        <v>408407.56</v>
      </c>
      <c r="AD624">
        <f t="shared" si="57"/>
        <v>54</v>
      </c>
      <c r="AE624">
        <f t="shared" si="58"/>
        <v>126527.56</v>
      </c>
      <c r="AF624" t="str">
        <f t="shared" si="59"/>
        <v>Paid</v>
      </c>
    </row>
    <row r="625" spans="1:32" ht="17.25" thickBot="1" x14ac:dyDescent="0.35">
      <c r="A625" s="2" t="s">
        <v>4676</v>
      </c>
      <c r="B625" s="2" t="s">
        <v>27</v>
      </c>
      <c r="C625" s="2" t="s">
        <v>28</v>
      </c>
      <c r="D625" s="2" t="s">
        <v>97</v>
      </c>
      <c r="E625" s="2" t="s">
        <v>4552</v>
      </c>
      <c r="F625" s="2" t="s">
        <v>99</v>
      </c>
      <c r="G625" s="2" t="s">
        <v>32</v>
      </c>
      <c r="H625" s="1"/>
      <c r="I625" s="2" t="s">
        <v>33</v>
      </c>
      <c r="J625" s="2" t="s">
        <v>34</v>
      </c>
      <c r="K625" s="2" t="s">
        <v>1182</v>
      </c>
      <c r="L625" s="2" t="s">
        <v>1183</v>
      </c>
      <c r="M625" s="2" t="s">
        <v>37</v>
      </c>
      <c r="N625" s="2" t="s">
        <v>38</v>
      </c>
      <c r="O625" s="2" t="s">
        <v>291</v>
      </c>
      <c r="P625" s="2" t="s">
        <v>4638</v>
      </c>
      <c r="Q625" s="2" t="s">
        <v>4677</v>
      </c>
      <c r="R625" s="2" t="s">
        <v>40</v>
      </c>
      <c r="S625" s="2" t="s">
        <v>4678</v>
      </c>
      <c r="T625" s="2" t="s">
        <v>107</v>
      </c>
      <c r="U625" s="2" t="s">
        <v>4679</v>
      </c>
      <c r="V625" s="2" t="s">
        <v>4680</v>
      </c>
      <c r="W625" s="1"/>
      <c r="X625" s="2" t="s">
        <v>1100</v>
      </c>
      <c r="Y625" s="2" t="s">
        <v>4558</v>
      </c>
      <c r="AA625" t="str">
        <f t="shared" si="54"/>
        <v>2026-05</v>
      </c>
      <c r="AB625" t="str">
        <f t="shared" si="55"/>
        <v>H1_2026</v>
      </c>
      <c r="AC625">
        <f t="shared" si="56"/>
        <v>242077.14</v>
      </c>
      <c r="AD625">
        <f t="shared" si="57"/>
        <v>36</v>
      </c>
      <c r="AE625">
        <f t="shared" si="58"/>
        <v>40477.14</v>
      </c>
      <c r="AF625" t="str">
        <f t="shared" si="59"/>
        <v>Paid</v>
      </c>
    </row>
    <row r="626" spans="1:32" ht="17.25" thickBot="1" x14ac:dyDescent="0.35">
      <c r="A626" s="2" t="s">
        <v>4681</v>
      </c>
      <c r="B626" s="2" t="s">
        <v>27</v>
      </c>
      <c r="C626" s="2" t="s">
        <v>28</v>
      </c>
      <c r="D626" s="2" t="s">
        <v>97</v>
      </c>
      <c r="E626" s="2" t="s">
        <v>4552</v>
      </c>
      <c r="F626" s="2" t="s">
        <v>99</v>
      </c>
      <c r="G626" s="2" t="s">
        <v>32</v>
      </c>
      <c r="H626" s="1"/>
      <c r="I626" s="2" t="s">
        <v>33</v>
      </c>
      <c r="J626" s="2" t="s">
        <v>34</v>
      </c>
      <c r="K626" s="2" t="s">
        <v>1214</v>
      </c>
      <c r="L626" s="2" t="s">
        <v>1215</v>
      </c>
      <c r="M626" s="2" t="s">
        <v>37</v>
      </c>
      <c r="N626" s="2" t="s">
        <v>38</v>
      </c>
      <c r="O626" s="2" t="s">
        <v>3360</v>
      </c>
      <c r="P626" s="2" t="s">
        <v>4621</v>
      </c>
      <c r="Q626" s="2" t="s">
        <v>4682</v>
      </c>
      <c r="R626" s="2" t="s">
        <v>40</v>
      </c>
      <c r="S626" s="2" t="s">
        <v>4683</v>
      </c>
      <c r="T626" s="2" t="s">
        <v>287</v>
      </c>
      <c r="U626" s="2" t="s">
        <v>4684</v>
      </c>
      <c r="V626" s="2" t="s">
        <v>4685</v>
      </c>
      <c r="W626" s="1"/>
      <c r="X626" s="2" t="s">
        <v>2226</v>
      </c>
      <c r="Y626" s="2" t="s">
        <v>4558</v>
      </c>
      <c r="AA626" t="str">
        <f t="shared" si="54"/>
        <v>2026-05</v>
      </c>
      <c r="AB626" t="str">
        <f t="shared" si="55"/>
        <v>H1_2026</v>
      </c>
      <c r="AC626">
        <f t="shared" si="56"/>
        <v>3544969.54</v>
      </c>
      <c r="AD626">
        <f t="shared" si="57"/>
        <v>412</v>
      </c>
      <c r="AE626">
        <f t="shared" si="58"/>
        <v>660969.54</v>
      </c>
      <c r="AF626" t="str">
        <f t="shared" si="59"/>
        <v>Paid</v>
      </c>
    </row>
    <row r="627" spans="1:32" ht="17.25" thickBot="1" x14ac:dyDescent="0.35">
      <c r="A627" s="2" t="s">
        <v>4686</v>
      </c>
      <c r="B627" s="2" t="s">
        <v>27</v>
      </c>
      <c r="C627" s="2" t="s">
        <v>28</v>
      </c>
      <c r="D627" s="2" t="s">
        <v>97</v>
      </c>
      <c r="E627" s="2" t="s">
        <v>4552</v>
      </c>
      <c r="F627" s="2" t="s">
        <v>99</v>
      </c>
      <c r="G627" s="2" t="s">
        <v>32</v>
      </c>
      <c r="H627" s="1"/>
      <c r="I627" s="2" t="s">
        <v>33</v>
      </c>
      <c r="J627" s="2" t="s">
        <v>34</v>
      </c>
      <c r="K627" s="2" t="s">
        <v>1257</v>
      </c>
      <c r="L627" s="2" t="s">
        <v>1258</v>
      </c>
      <c r="M627" s="2" t="s">
        <v>37</v>
      </c>
      <c r="N627" s="2" t="s">
        <v>38</v>
      </c>
      <c r="O627" s="2" t="s">
        <v>313</v>
      </c>
      <c r="P627" s="2" t="s">
        <v>4687</v>
      </c>
      <c r="Q627" s="2" t="s">
        <v>4688</v>
      </c>
      <c r="R627" s="2" t="s">
        <v>40</v>
      </c>
      <c r="S627" s="2" t="s">
        <v>4689</v>
      </c>
      <c r="T627" s="2" t="s">
        <v>1262</v>
      </c>
      <c r="U627" s="2" t="s">
        <v>4690</v>
      </c>
      <c r="V627" s="2" t="s">
        <v>4691</v>
      </c>
      <c r="W627" s="1"/>
      <c r="X627" s="2" t="s">
        <v>1120</v>
      </c>
      <c r="Y627" s="2" t="s">
        <v>4558</v>
      </c>
      <c r="AA627" t="str">
        <f t="shared" si="54"/>
        <v>2026-05</v>
      </c>
      <c r="AB627" t="str">
        <f t="shared" si="55"/>
        <v>H1_2026</v>
      </c>
      <c r="AC627">
        <f t="shared" si="56"/>
        <v>207717.8</v>
      </c>
      <c r="AD627">
        <f t="shared" si="57"/>
        <v>38</v>
      </c>
      <c r="AE627">
        <f t="shared" si="58"/>
        <v>34817.800000000003</v>
      </c>
      <c r="AF627" t="str">
        <f t="shared" si="59"/>
        <v>Paid</v>
      </c>
    </row>
    <row r="628" spans="1:32" ht="17.25" thickBot="1" x14ac:dyDescent="0.35">
      <c r="A628" s="2" t="s">
        <v>4692</v>
      </c>
      <c r="B628" s="2" t="s">
        <v>27</v>
      </c>
      <c r="C628" s="2" t="s">
        <v>28</v>
      </c>
      <c r="D628" s="2" t="s">
        <v>97</v>
      </c>
      <c r="E628" s="2" t="s">
        <v>4552</v>
      </c>
      <c r="F628" s="2" t="s">
        <v>99</v>
      </c>
      <c r="G628" s="2" t="s">
        <v>32</v>
      </c>
      <c r="H628" s="1"/>
      <c r="I628" s="2" t="s">
        <v>33</v>
      </c>
      <c r="J628" s="2" t="s">
        <v>34</v>
      </c>
      <c r="K628" s="2" t="s">
        <v>4693</v>
      </c>
      <c r="L628" s="2" t="s">
        <v>4694</v>
      </c>
      <c r="M628" s="2" t="s">
        <v>37</v>
      </c>
      <c r="N628" s="2" t="s">
        <v>38</v>
      </c>
      <c r="O628" s="2" t="s">
        <v>1827</v>
      </c>
      <c r="P628" s="2" t="s">
        <v>4245</v>
      </c>
      <c r="Q628" s="2" t="s">
        <v>4695</v>
      </c>
      <c r="R628" s="2" t="s">
        <v>40</v>
      </c>
      <c r="S628" s="2" t="s">
        <v>4696</v>
      </c>
      <c r="T628" s="2" t="s">
        <v>1178</v>
      </c>
      <c r="U628" s="2" t="s">
        <v>4697</v>
      </c>
      <c r="V628" s="2" t="s">
        <v>4698</v>
      </c>
      <c r="W628" s="1"/>
      <c r="X628" s="2" t="s">
        <v>1100</v>
      </c>
      <c r="Y628" s="2" t="s">
        <v>4558</v>
      </c>
      <c r="AA628" t="str">
        <f t="shared" si="54"/>
        <v>2026-05</v>
      </c>
      <c r="AB628" t="str">
        <f t="shared" si="55"/>
        <v>H1_2026</v>
      </c>
      <c r="AC628">
        <f t="shared" si="56"/>
        <v>2023686.8</v>
      </c>
      <c r="AD628">
        <f t="shared" si="57"/>
        <v>219</v>
      </c>
      <c r="AE628">
        <f t="shared" si="58"/>
        <v>337386.8</v>
      </c>
      <c r="AF628" t="str">
        <f t="shared" si="59"/>
        <v>Paid</v>
      </c>
    </row>
    <row r="629" spans="1:32" ht="17.25" thickBot="1" x14ac:dyDescent="0.35">
      <c r="A629" s="2" t="s">
        <v>4699</v>
      </c>
      <c r="B629" s="2" t="s">
        <v>27</v>
      </c>
      <c r="C629" s="2" t="s">
        <v>28</v>
      </c>
      <c r="D629" s="2" t="s">
        <v>97</v>
      </c>
      <c r="E629" s="2" t="s">
        <v>4552</v>
      </c>
      <c r="F629" s="2" t="s">
        <v>99</v>
      </c>
      <c r="G629" s="2" t="s">
        <v>32</v>
      </c>
      <c r="H629" s="1"/>
      <c r="I629" s="2" t="s">
        <v>33</v>
      </c>
      <c r="J629" s="2" t="s">
        <v>34</v>
      </c>
      <c r="K629" s="2" t="s">
        <v>1325</v>
      </c>
      <c r="L629" s="2" t="s">
        <v>1326</v>
      </c>
      <c r="M629" s="2" t="s">
        <v>37</v>
      </c>
      <c r="N629" s="2" t="s">
        <v>38</v>
      </c>
      <c r="O629" s="2" t="s">
        <v>631</v>
      </c>
      <c r="P629" s="2" t="s">
        <v>4700</v>
      </c>
      <c r="Q629" s="2" t="s">
        <v>4701</v>
      </c>
      <c r="R629" s="2" t="s">
        <v>40</v>
      </c>
      <c r="S629" s="2" t="s">
        <v>4702</v>
      </c>
      <c r="T629" s="2" t="s">
        <v>1329</v>
      </c>
      <c r="U629" s="2" t="s">
        <v>4703</v>
      </c>
      <c r="V629" s="2" t="s">
        <v>4704</v>
      </c>
      <c r="W629" s="1"/>
      <c r="X629" s="2" t="s">
        <v>1332</v>
      </c>
      <c r="Y629" s="2" t="s">
        <v>4558</v>
      </c>
      <c r="AA629" t="str">
        <f t="shared" si="54"/>
        <v>2026-05</v>
      </c>
      <c r="AB629" t="str">
        <f t="shared" si="55"/>
        <v>H1_2026</v>
      </c>
      <c r="AC629">
        <f t="shared" si="56"/>
        <v>745869.46</v>
      </c>
      <c r="AD629">
        <f t="shared" si="57"/>
        <v>74</v>
      </c>
      <c r="AE629">
        <f t="shared" si="58"/>
        <v>198269.46</v>
      </c>
      <c r="AF629" t="str">
        <f t="shared" si="59"/>
        <v>Paid</v>
      </c>
    </row>
    <row r="630" spans="1:32" ht="17.25" thickBot="1" x14ac:dyDescent="0.35">
      <c r="A630" s="2" t="s">
        <v>4705</v>
      </c>
      <c r="B630" s="2" t="s">
        <v>27</v>
      </c>
      <c r="C630" s="2" t="s">
        <v>28</v>
      </c>
      <c r="D630" s="2" t="s">
        <v>97</v>
      </c>
      <c r="E630" s="2" t="s">
        <v>4552</v>
      </c>
      <c r="F630" s="2" t="s">
        <v>99</v>
      </c>
      <c r="G630" s="2" t="s">
        <v>32</v>
      </c>
      <c r="H630" s="1"/>
      <c r="I630" s="2" t="s">
        <v>33</v>
      </c>
      <c r="J630" s="2" t="s">
        <v>34</v>
      </c>
      <c r="K630" s="2" t="s">
        <v>4706</v>
      </c>
      <c r="L630" s="2" t="s">
        <v>4707</v>
      </c>
      <c r="M630" s="2" t="s">
        <v>37</v>
      </c>
      <c r="N630" s="2" t="s">
        <v>38</v>
      </c>
      <c r="O630" s="2" t="s">
        <v>987</v>
      </c>
      <c r="P630" s="2" t="s">
        <v>4646</v>
      </c>
      <c r="Q630" s="2" t="s">
        <v>4708</v>
      </c>
      <c r="R630" s="2" t="s">
        <v>40</v>
      </c>
      <c r="S630" s="2" t="s">
        <v>4709</v>
      </c>
      <c r="T630" s="2" t="s">
        <v>287</v>
      </c>
      <c r="U630" s="2" t="s">
        <v>4710</v>
      </c>
      <c r="V630" s="2" t="s">
        <v>4711</v>
      </c>
      <c r="W630" s="1"/>
      <c r="X630" s="2" t="s">
        <v>1100</v>
      </c>
      <c r="Y630" s="2" t="s">
        <v>4558</v>
      </c>
      <c r="AA630" t="str">
        <f t="shared" si="54"/>
        <v>2026-05</v>
      </c>
      <c r="AB630" t="str">
        <f t="shared" si="55"/>
        <v>H1_2026</v>
      </c>
      <c r="AC630">
        <f t="shared" si="56"/>
        <v>932604.35</v>
      </c>
      <c r="AD630">
        <f t="shared" si="57"/>
        <v>111</v>
      </c>
      <c r="AE630">
        <f t="shared" si="58"/>
        <v>155604.35</v>
      </c>
      <c r="AF630" t="str">
        <f t="shared" si="59"/>
        <v>Paid</v>
      </c>
    </row>
    <row r="631" spans="1:32" ht="17.25" thickBot="1" x14ac:dyDescent="0.35">
      <c r="A631" s="2" t="s">
        <v>4712</v>
      </c>
      <c r="B631" s="2" t="s">
        <v>27</v>
      </c>
      <c r="C631" s="2" t="s">
        <v>28</v>
      </c>
      <c r="D631" s="2" t="s">
        <v>97</v>
      </c>
      <c r="E631" s="2" t="s">
        <v>4552</v>
      </c>
      <c r="F631" s="2" t="s">
        <v>99</v>
      </c>
      <c r="G631" s="2" t="s">
        <v>32</v>
      </c>
      <c r="H631" s="1"/>
      <c r="I631" s="2" t="s">
        <v>33</v>
      </c>
      <c r="J631" s="2" t="s">
        <v>34</v>
      </c>
      <c r="K631" s="2" t="s">
        <v>1642</v>
      </c>
      <c r="L631" s="2" t="s">
        <v>1643</v>
      </c>
      <c r="M631" s="2" t="s">
        <v>701</v>
      </c>
      <c r="N631" s="2" t="s">
        <v>38</v>
      </c>
      <c r="O631" s="2" t="s">
        <v>4713</v>
      </c>
      <c r="P631" s="2" t="s">
        <v>4714</v>
      </c>
      <c r="Q631" s="2" t="s">
        <v>4715</v>
      </c>
      <c r="R631" s="2" t="s">
        <v>40</v>
      </c>
      <c r="S631" s="2" t="s">
        <v>4716</v>
      </c>
      <c r="T631" s="2" t="s">
        <v>759</v>
      </c>
      <c r="U631" s="2" t="s">
        <v>4717</v>
      </c>
      <c r="V631" s="2" t="s">
        <v>4718</v>
      </c>
      <c r="W631" s="1"/>
      <c r="X631" s="2" t="s">
        <v>4081</v>
      </c>
      <c r="Y631" s="2" t="s">
        <v>4719</v>
      </c>
      <c r="AA631" t="str">
        <f t="shared" si="54"/>
        <v>2026-05</v>
      </c>
      <c r="AB631" t="str">
        <f t="shared" si="55"/>
        <v>H1_2026</v>
      </c>
      <c r="AC631">
        <f t="shared" si="56"/>
        <v>178655780</v>
      </c>
      <c r="AD631">
        <f t="shared" si="57"/>
        <v>20000</v>
      </c>
      <c r="AE631">
        <f t="shared" si="58"/>
        <v>27455780</v>
      </c>
      <c r="AF631" t="str">
        <f t="shared" si="59"/>
        <v>Paid</v>
      </c>
    </row>
    <row r="632" spans="1:32" ht="17.25" thickBot="1" x14ac:dyDescent="0.35">
      <c r="A632" s="2" t="s">
        <v>438</v>
      </c>
      <c r="B632" s="2" t="s">
        <v>27</v>
      </c>
      <c r="C632" s="2" t="s">
        <v>28</v>
      </c>
      <c r="D632" s="2" t="s">
        <v>97</v>
      </c>
      <c r="E632" s="2" t="s">
        <v>4720</v>
      </c>
      <c r="F632" s="2" t="s">
        <v>99</v>
      </c>
      <c r="G632" s="2" t="s">
        <v>32</v>
      </c>
      <c r="H632" s="1"/>
      <c r="I632" s="2" t="s">
        <v>33</v>
      </c>
      <c r="J632" s="2" t="s">
        <v>34</v>
      </c>
      <c r="K632" s="2" t="s">
        <v>4721</v>
      </c>
      <c r="L632" s="2" t="s">
        <v>4722</v>
      </c>
      <c r="M632" s="2" t="s">
        <v>194</v>
      </c>
      <c r="N632" s="2" t="s">
        <v>38</v>
      </c>
      <c r="O632" s="2" t="s">
        <v>114</v>
      </c>
      <c r="P632" s="2" t="s">
        <v>4222</v>
      </c>
      <c r="Q632" s="2" t="s">
        <v>4723</v>
      </c>
      <c r="R632" s="2" t="s">
        <v>40</v>
      </c>
      <c r="S632" s="2" t="s">
        <v>4724</v>
      </c>
      <c r="T632" s="2" t="s">
        <v>297</v>
      </c>
      <c r="U632" s="2" t="s">
        <v>4725</v>
      </c>
      <c r="V632" s="2" t="s">
        <v>4726</v>
      </c>
      <c r="W632" s="1"/>
      <c r="X632" s="2" t="s">
        <v>3305</v>
      </c>
      <c r="Y632" s="2" t="s">
        <v>4727</v>
      </c>
      <c r="AA632" t="str">
        <f t="shared" si="54"/>
        <v>2026-04</v>
      </c>
      <c r="AB632" t="str">
        <f t="shared" si="55"/>
        <v>H1_2026</v>
      </c>
      <c r="AC632">
        <f t="shared" si="56"/>
        <v>2481507.6</v>
      </c>
      <c r="AD632">
        <f t="shared" si="57"/>
        <v>240</v>
      </c>
      <c r="AE632">
        <f t="shared" si="58"/>
        <v>561507.6</v>
      </c>
      <c r="AF632" t="str">
        <f t="shared" si="59"/>
        <v>Paid</v>
      </c>
    </row>
    <row r="633" spans="1:32" ht="17.25" thickBot="1" x14ac:dyDescent="0.35">
      <c r="A633" s="2" t="s">
        <v>4728</v>
      </c>
      <c r="B633" s="2" t="s">
        <v>27</v>
      </c>
      <c r="C633" s="2" t="s">
        <v>28</v>
      </c>
      <c r="D633" s="2" t="s">
        <v>97</v>
      </c>
      <c r="E633" s="2" t="s">
        <v>4720</v>
      </c>
      <c r="F633" s="2" t="s">
        <v>99</v>
      </c>
      <c r="G633" s="2" t="s">
        <v>32</v>
      </c>
      <c r="H633" s="1"/>
      <c r="I633" s="2" t="s">
        <v>33</v>
      </c>
      <c r="J633" s="2" t="s">
        <v>34</v>
      </c>
      <c r="K633" s="2" t="s">
        <v>1642</v>
      </c>
      <c r="L633" s="2" t="s">
        <v>1643</v>
      </c>
      <c r="M633" s="2" t="s">
        <v>701</v>
      </c>
      <c r="N633" s="2" t="s">
        <v>38</v>
      </c>
      <c r="O633" s="2" t="s">
        <v>4729</v>
      </c>
      <c r="P633" s="2" t="s">
        <v>4730</v>
      </c>
      <c r="Q633" s="2" t="s">
        <v>4731</v>
      </c>
      <c r="R633" s="2" t="s">
        <v>40</v>
      </c>
      <c r="S633" s="2" t="s">
        <v>4732</v>
      </c>
      <c r="T633" s="2" t="s">
        <v>759</v>
      </c>
      <c r="U633" s="2" t="s">
        <v>4733</v>
      </c>
      <c r="V633" s="2" t="s">
        <v>4734</v>
      </c>
      <c r="W633" s="1"/>
      <c r="X633" s="2" t="s">
        <v>709</v>
      </c>
      <c r="Y633" s="2" t="s">
        <v>4727</v>
      </c>
      <c r="AA633" t="str">
        <f t="shared" si="54"/>
        <v>2026-04</v>
      </c>
      <c r="AB633" t="str">
        <f t="shared" si="55"/>
        <v>H1_2026</v>
      </c>
      <c r="AC633">
        <f t="shared" si="56"/>
        <v>44973710</v>
      </c>
      <c r="AD633">
        <f t="shared" si="57"/>
        <v>5000</v>
      </c>
      <c r="AE633">
        <f t="shared" si="58"/>
        <v>7173710</v>
      </c>
      <c r="AF633" t="str">
        <f t="shared" si="59"/>
        <v>Paid</v>
      </c>
    </row>
    <row r="634" spans="1:32" ht="17.25" thickBot="1" x14ac:dyDescent="0.35">
      <c r="A634" s="2" t="s">
        <v>4735</v>
      </c>
      <c r="B634" s="2" t="s">
        <v>27</v>
      </c>
      <c r="C634" s="2" t="s">
        <v>28</v>
      </c>
      <c r="D634" s="2" t="s">
        <v>97</v>
      </c>
      <c r="E634" s="2" t="s">
        <v>4736</v>
      </c>
      <c r="F634" s="2" t="s">
        <v>99</v>
      </c>
      <c r="G634" s="2" t="s">
        <v>32</v>
      </c>
      <c r="H634" s="1"/>
      <c r="I634" s="2" t="s">
        <v>33</v>
      </c>
      <c r="J634" s="2" t="s">
        <v>34</v>
      </c>
      <c r="K634" s="2" t="s">
        <v>456</v>
      </c>
      <c r="L634" s="2" t="s">
        <v>457</v>
      </c>
      <c r="M634" s="2" t="s">
        <v>304</v>
      </c>
      <c r="N634" s="2" t="s">
        <v>38</v>
      </c>
      <c r="O634" s="2" t="s">
        <v>849</v>
      </c>
      <c r="P634" s="2" t="s">
        <v>4737</v>
      </c>
      <c r="Q634" s="2" t="s">
        <v>4738</v>
      </c>
      <c r="R634" s="2" t="s">
        <v>40</v>
      </c>
      <c r="S634" s="2" t="s">
        <v>4739</v>
      </c>
      <c r="T634" s="2" t="s">
        <v>422</v>
      </c>
      <c r="U634" s="2" t="s">
        <v>4740</v>
      </c>
      <c r="V634" s="2" t="s">
        <v>4741</v>
      </c>
      <c r="W634" s="1"/>
      <c r="X634" s="2" t="s">
        <v>322</v>
      </c>
      <c r="Y634" s="2" t="s">
        <v>4742</v>
      </c>
      <c r="AA634" t="str">
        <f t="shared" si="54"/>
        <v>2026-04</v>
      </c>
      <c r="AB634" t="str">
        <f t="shared" si="55"/>
        <v>H1_2026</v>
      </c>
      <c r="AC634">
        <f t="shared" si="56"/>
        <v>2227340.16</v>
      </c>
      <c r="AD634">
        <f t="shared" si="57"/>
        <v>160</v>
      </c>
      <c r="AE634">
        <f t="shared" si="58"/>
        <v>276940.15999999997</v>
      </c>
      <c r="AF634" t="str">
        <f t="shared" si="59"/>
        <v>Paid</v>
      </c>
    </row>
    <row r="635" spans="1:32" ht="27.75" thickBot="1" x14ac:dyDescent="0.35">
      <c r="A635" s="2" t="s">
        <v>4743</v>
      </c>
      <c r="B635" s="2" t="s">
        <v>27</v>
      </c>
      <c r="C635" s="2" t="s">
        <v>28</v>
      </c>
      <c r="D635" s="2" t="s">
        <v>97</v>
      </c>
      <c r="E635" s="2" t="s">
        <v>4736</v>
      </c>
      <c r="F635" s="2" t="s">
        <v>99</v>
      </c>
      <c r="G635" s="2" t="s">
        <v>32</v>
      </c>
      <c r="H635" s="1"/>
      <c r="I635" s="2" t="s">
        <v>33</v>
      </c>
      <c r="J635" s="2" t="s">
        <v>34</v>
      </c>
      <c r="K635" s="2" t="s">
        <v>314</v>
      </c>
      <c r="L635" s="2" t="s">
        <v>315</v>
      </c>
      <c r="M635" s="2" t="s">
        <v>304</v>
      </c>
      <c r="N635" s="2" t="s">
        <v>38</v>
      </c>
      <c r="O635" s="2" t="s">
        <v>615</v>
      </c>
      <c r="P635" s="2" t="s">
        <v>306</v>
      </c>
      <c r="Q635" s="2" t="s">
        <v>4744</v>
      </c>
      <c r="R635" s="2" t="s">
        <v>40</v>
      </c>
      <c r="S635" s="2" t="s">
        <v>4745</v>
      </c>
      <c r="T635" s="2" t="s">
        <v>309</v>
      </c>
      <c r="U635" s="2" t="s">
        <v>4746</v>
      </c>
      <c r="V635" s="2" t="s">
        <v>4747</v>
      </c>
      <c r="W635" s="1"/>
      <c r="X635" s="2" t="s">
        <v>4068</v>
      </c>
      <c r="Y635" s="2" t="s">
        <v>4748</v>
      </c>
      <c r="AA635" t="str">
        <f t="shared" si="54"/>
        <v>2026-04</v>
      </c>
      <c r="AB635" t="str">
        <f t="shared" si="55"/>
        <v>H1_2026</v>
      </c>
      <c r="AC635">
        <f t="shared" si="56"/>
        <v>637345.57999999996</v>
      </c>
      <c r="AD635">
        <f t="shared" si="57"/>
        <v>72</v>
      </c>
      <c r="AE635">
        <f t="shared" si="58"/>
        <v>78625.58</v>
      </c>
      <c r="AF635" t="str">
        <f t="shared" si="59"/>
        <v>Paid</v>
      </c>
    </row>
    <row r="636" spans="1:32" ht="27.75" thickBot="1" x14ac:dyDescent="0.35">
      <c r="A636" s="2" t="s">
        <v>4749</v>
      </c>
      <c r="B636" s="2" t="s">
        <v>27</v>
      </c>
      <c r="C636" s="2" t="s">
        <v>28</v>
      </c>
      <c r="D636" s="2" t="s">
        <v>97</v>
      </c>
      <c r="E636" s="2" t="s">
        <v>4736</v>
      </c>
      <c r="F636" s="2" t="s">
        <v>99</v>
      </c>
      <c r="G636" s="2" t="s">
        <v>32</v>
      </c>
      <c r="H636" s="1"/>
      <c r="I636" s="2" t="s">
        <v>33</v>
      </c>
      <c r="J636" s="2" t="s">
        <v>34</v>
      </c>
      <c r="K636" s="2" t="s">
        <v>360</v>
      </c>
      <c r="L636" s="2" t="s">
        <v>361</v>
      </c>
      <c r="M636" s="2" t="s">
        <v>304</v>
      </c>
      <c r="N636" s="2" t="s">
        <v>38</v>
      </c>
      <c r="O636" s="2" t="s">
        <v>857</v>
      </c>
      <c r="P636" s="2" t="s">
        <v>4750</v>
      </c>
      <c r="Q636" s="2" t="s">
        <v>4751</v>
      </c>
      <c r="R636" s="2" t="s">
        <v>40</v>
      </c>
      <c r="S636" s="2" t="s">
        <v>4752</v>
      </c>
      <c r="T636" s="2" t="s">
        <v>309</v>
      </c>
      <c r="U636" s="2" t="s">
        <v>4753</v>
      </c>
      <c r="V636" s="2" t="s">
        <v>4754</v>
      </c>
      <c r="W636" s="1"/>
      <c r="X636" s="2" t="s">
        <v>398</v>
      </c>
      <c r="Y636" s="2" t="s">
        <v>4748</v>
      </c>
      <c r="AA636" t="str">
        <f t="shared" si="54"/>
        <v>2026-04</v>
      </c>
      <c r="AB636" t="str">
        <f t="shared" si="55"/>
        <v>H1_2026</v>
      </c>
      <c r="AC636">
        <f t="shared" si="56"/>
        <v>864601.67</v>
      </c>
      <c r="AD636">
        <f t="shared" si="57"/>
        <v>98</v>
      </c>
      <c r="AE636">
        <f t="shared" si="58"/>
        <v>104121.67</v>
      </c>
      <c r="AF636" t="str">
        <f t="shared" si="59"/>
        <v>Paid</v>
      </c>
    </row>
    <row r="637" spans="1:32" ht="27.75" thickBot="1" x14ac:dyDescent="0.35">
      <c r="A637" s="2" t="s">
        <v>4755</v>
      </c>
      <c r="B637" s="2" t="s">
        <v>27</v>
      </c>
      <c r="C637" s="2" t="s">
        <v>28</v>
      </c>
      <c r="D637" s="2" t="s">
        <v>97</v>
      </c>
      <c r="E637" s="2" t="s">
        <v>4736</v>
      </c>
      <c r="F637" s="2" t="s">
        <v>99</v>
      </c>
      <c r="G637" s="2" t="s">
        <v>32</v>
      </c>
      <c r="H637" s="1"/>
      <c r="I637" s="2" t="s">
        <v>33</v>
      </c>
      <c r="J637" s="2" t="s">
        <v>34</v>
      </c>
      <c r="K637" s="2" t="s">
        <v>4756</v>
      </c>
      <c r="L637" s="2" t="s">
        <v>4757</v>
      </c>
      <c r="M637" s="2" t="s">
        <v>304</v>
      </c>
      <c r="N637" s="2" t="s">
        <v>38</v>
      </c>
      <c r="O637" s="2" t="s">
        <v>4758</v>
      </c>
      <c r="P637" s="2" t="s">
        <v>381</v>
      </c>
      <c r="Q637" s="2" t="s">
        <v>4759</v>
      </c>
      <c r="R637" s="2" t="s">
        <v>40</v>
      </c>
      <c r="S637" s="2" t="s">
        <v>4760</v>
      </c>
      <c r="T637" s="2" t="s">
        <v>384</v>
      </c>
      <c r="U637" s="2" t="s">
        <v>4761</v>
      </c>
      <c r="V637" s="2" t="s">
        <v>4762</v>
      </c>
      <c r="W637" s="1"/>
      <c r="X637" s="2" t="s">
        <v>377</v>
      </c>
      <c r="Y637" s="2" t="s">
        <v>4748</v>
      </c>
      <c r="AA637" t="str">
        <f t="shared" si="54"/>
        <v>2026-04</v>
      </c>
      <c r="AB637" t="str">
        <f t="shared" si="55"/>
        <v>H1_2026</v>
      </c>
      <c r="AC637">
        <f t="shared" si="56"/>
        <v>4793584.1900000004</v>
      </c>
      <c r="AD637">
        <f t="shared" si="57"/>
        <v>2177</v>
      </c>
      <c r="AE637">
        <f t="shared" si="58"/>
        <v>570204.18999999994</v>
      </c>
      <c r="AF637" t="str">
        <f t="shared" si="59"/>
        <v>Paid</v>
      </c>
    </row>
    <row r="638" spans="1:32" ht="17.25" thickBot="1" x14ac:dyDescent="0.35">
      <c r="A638" s="2" t="s">
        <v>4763</v>
      </c>
      <c r="B638" s="2" t="s">
        <v>27</v>
      </c>
      <c r="C638" s="2" t="s">
        <v>28</v>
      </c>
      <c r="D638" s="2" t="s">
        <v>97</v>
      </c>
      <c r="E638" s="2" t="s">
        <v>4736</v>
      </c>
      <c r="F638" s="2" t="s">
        <v>99</v>
      </c>
      <c r="G638" s="2" t="s">
        <v>32</v>
      </c>
      <c r="H638" s="1"/>
      <c r="I638" s="2" t="s">
        <v>33</v>
      </c>
      <c r="J638" s="2" t="s">
        <v>34</v>
      </c>
      <c r="K638" s="2" t="s">
        <v>4093</v>
      </c>
      <c r="L638" s="2" t="s">
        <v>4094</v>
      </c>
      <c r="M638" s="2" t="s">
        <v>304</v>
      </c>
      <c r="N638" s="2" t="s">
        <v>38</v>
      </c>
      <c r="O638" s="2" t="s">
        <v>4764</v>
      </c>
      <c r="P638" s="2" t="s">
        <v>381</v>
      </c>
      <c r="Q638" s="2" t="s">
        <v>4765</v>
      </c>
      <c r="R638" s="2" t="s">
        <v>40</v>
      </c>
      <c r="S638" s="2" t="s">
        <v>4766</v>
      </c>
      <c r="T638" s="2" t="s">
        <v>384</v>
      </c>
      <c r="U638" s="2" t="s">
        <v>4767</v>
      </c>
      <c r="V638" s="2" t="s">
        <v>4768</v>
      </c>
      <c r="W638" s="1"/>
      <c r="X638" s="2" t="s">
        <v>377</v>
      </c>
      <c r="Y638" s="2" t="s">
        <v>4748</v>
      </c>
      <c r="AA638" t="str">
        <f t="shared" si="54"/>
        <v>2026-04</v>
      </c>
      <c r="AB638" t="str">
        <f t="shared" si="55"/>
        <v>H1_2026</v>
      </c>
      <c r="AC638">
        <f t="shared" si="56"/>
        <v>1809979.88</v>
      </c>
      <c r="AD638">
        <f t="shared" si="57"/>
        <v>822</v>
      </c>
      <c r="AE638">
        <f t="shared" si="58"/>
        <v>215299.88</v>
      </c>
      <c r="AF638" t="str">
        <f t="shared" si="59"/>
        <v>Paid</v>
      </c>
    </row>
    <row r="639" spans="1:32" ht="17.25" thickBot="1" x14ac:dyDescent="0.35">
      <c r="A639" s="2" t="s">
        <v>4769</v>
      </c>
      <c r="B639" s="2" t="s">
        <v>27</v>
      </c>
      <c r="C639" s="2" t="s">
        <v>28</v>
      </c>
      <c r="D639" s="2" t="s">
        <v>97</v>
      </c>
      <c r="E639" s="2" t="s">
        <v>4736</v>
      </c>
      <c r="F639" s="2" t="s">
        <v>99</v>
      </c>
      <c r="G639" s="2" t="s">
        <v>32</v>
      </c>
      <c r="H639" s="1"/>
      <c r="I639" s="2" t="s">
        <v>33</v>
      </c>
      <c r="J639" s="2" t="s">
        <v>34</v>
      </c>
      <c r="K639" s="2" t="s">
        <v>4102</v>
      </c>
      <c r="L639" s="2" t="s">
        <v>4103</v>
      </c>
      <c r="M639" s="2" t="s">
        <v>304</v>
      </c>
      <c r="N639" s="2" t="s">
        <v>38</v>
      </c>
      <c r="O639" s="2" t="s">
        <v>323</v>
      </c>
      <c r="P639" s="2" t="s">
        <v>4770</v>
      </c>
      <c r="Q639" s="2" t="s">
        <v>4771</v>
      </c>
      <c r="R639" s="2" t="s">
        <v>40</v>
      </c>
      <c r="S639" s="2" t="s">
        <v>4772</v>
      </c>
      <c r="T639" s="2" t="s">
        <v>413</v>
      </c>
      <c r="U639" s="2" t="s">
        <v>4773</v>
      </c>
      <c r="V639" s="2" t="s">
        <v>4774</v>
      </c>
      <c r="W639" s="1"/>
      <c r="X639" s="2" t="s">
        <v>3279</v>
      </c>
      <c r="Y639" s="2" t="s">
        <v>4748</v>
      </c>
      <c r="AA639" t="str">
        <f t="shared" si="54"/>
        <v>2026-04</v>
      </c>
      <c r="AB639" t="str">
        <f t="shared" si="55"/>
        <v>H1_2026</v>
      </c>
      <c r="AC639">
        <f t="shared" si="56"/>
        <v>617838.62</v>
      </c>
      <c r="AD639">
        <f t="shared" si="57"/>
        <v>39</v>
      </c>
      <c r="AE639">
        <f t="shared" si="58"/>
        <v>77688.62</v>
      </c>
      <c r="AF639" t="str">
        <f t="shared" si="59"/>
        <v>Paid</v>
      </c>
    </row>
    <row r="640" spans="1:32" ht="17.25" thickBot="1" x14ac:dyDescent="0.35">
      <c r="A640" s="2" t="s">
        <v>4775</v>
      </c>
      <c r="B640" s="2" t="s">
        <v>27</v>
      </c>
      <c r="C640" s="2" t="s">
        <v>28</v>
      </c>
      <c r="D640" s="2" t="s">
        <v>97</v>
      </c>
      <c r="E640" s="2" t="s">
        <v>4736</v>
      </c>
      <c r="F640" s="2" t="s">
        <v>99</v>
      </c>
      <c r="G640" s="2" t="s">
        <v>32</v>
      </c>
      <c r="H640" s="1"/>
      <c r="I640" s="2" t="s">
        <v>33</v>
      </c>
      <c r="J640" s="2" t="s">
        <v>34</v>
      </c>
      <c r="K640" s="2" t="s">
        <v>4110</v>
      </c>
      <c r="L640" s="2" t="s">
        <v>4111</v>
      </c>
      <c r="M640" s="2" t="s">
        <v>304</v>
      </c>
      <c r="N640" s="2" t="s">
        <v>38</v>
      </c>
      <c r="O640" s="2" t="s">
        <v>130</v>
      </c>
      <c r="P640" s="2" t="s">
        <v>4776</v>
      </c>
      <c r="Q640" s="2" t="s">
        <v>4777</v>
      </c>
      <c r="R640" s="2" t="s">
        <v>40</v>
      </c>
      <c r="S640" s="2" t="s">
        <v>4778</v>
      </c>
      <c r="T640" s="2" t="s">
        <v>413</v>
      </c>
      <c r="U640" s="2" t="s">
        <v>4779</v>
      </c>
      <c r="V640" s="2" t="s">
        <v>4780</v>
      </c>
      <c r="W640" s="1"/>
      <c r="X640" s="2" t="s">
        <v>312</v>
      </c>
      <c r="Y640" s="2" t="s">
        <v>4748</v>
      </c>
      <c r="AA640" t="str">
        <f t="shared" si="54"/>
        <v>2026-04</v>
      </c>
      <c r="AB640" t="str">
        <f t="shared" si="55"/>
        <v>H1_2026</v>
      </c>
      <c r="AC640">
        <f t="shared" si="56"/>
        <v>267806.92</v>
      </c>
      <c r="AD640">
        <f t="shared" si="57"/>
        <v>17</v>
      </c>
      <c r="AE640">
        <f t="shared" si="58"/>
        <v>32356.92</v>
      </c>
      <c r="AF640" t="str">
        <f t="shared" si="59"/>
        <v>Paid</v>
      </c>
    </row>
    <row r="641" spans="1:32" ht="17.25" thickBot="1" x14ac:dyDescent="0.35">
      <c r="A641" s="2" t="s">
        <v>1568</v>
      </c>
      <c r="B641" s="2" t="s">
        <v>27</v>
      </c>
      <c r="C641" s="2" t="s">
        <v>28</v>
      </c>
      <c r="D641" s="2" t="s">
        <v>97</v>
      </c>
      <c r="E641" s="2" t="s">
        <v>4736</v>
      </c>
      <c r="F641" s="2" t="s">
        <v>99</v>
      </c>
      <c r="G641" s="2" t="s">
        <v>32</v>
      </c>
      <c r="H641" s="1"/>
      <c r="I641" s="2" t="s">
        <v>33</v>
      </c>
      <c r="J641" s="2" t="s">
        <v>34</v>
      </c>
      <c r="K641" s="2" t="s">
        <v>426</v>
      </c>
      <c r="L641" s="2" t="s">
        <v>427</v>
      </c>
      <c r="M641" s="2" t="s">
        <v>304</v>
      </c>
      <c r="N641" s="2" t="s">
        <v>38</v>
      </c>
      <c r="O641" s="2" t="s">
        <v>54</v>
      </c>
      <c r="P641" s="2" t="s">
        <v>4781</v>
      </c>
      <c r="Q641" s="2" t="s">
        <v>4782</v>
      </c>
      <c r="R641" s="2" t="s">
        <v>40</v>
      </c>
      <c r="S641" s="2" t="s">
        <v>4783</v>
      </c>
      <c r="T641" s="2" t="s">
        <v>4784</v>
      </c>
      <c r="U641" s="2" t="s">
        <v>4785</v>
      </c>
      <c r="V641" s="2" t="s">
        <v>4786</v>
      </c>
      <c r="W641" s="1"/>
      <c r="X641" s="2" t="s">
        <v>4787</v>
      </c>
      <c r="Y641" s="2" t="s">
        <v>4748</v>
      </c>
      <c r="AA641" t="str">
        <f t="shared" si="54"/>
        <v>2026-04</v>
      </c>
      <c r="AB641" t="str">
        <f t="shared" si="55"/>
        <v>H1_2026</v>
      </c>
      <c r="AC641">
        <f t="shared" si="56"/>
        <v>53023.46</v>
      </c>
      <c r="AD641">
        <f t="shared" si="57"/>
        <v>4</v>
      </c>
      <c r="AE641">
        <f t="shared" si="58"/>
        <v>18103.46</v>
      </c>
      <c r="AF641" t="str">
        <f t="shared" si="59"/>
        <v>Paid</v>
      </c>
    </row>
    <row r="642" spans="1:32" ht="27.75" thickBot="1" x14ac:dyDescent="0.35">
      <c r="A642" s="2" t="s">
        <v>4788</v>
      </c>
      <c r="B642" s="2" t="s">
        <v>27</v>
      </c>
      <c r="C642" s="2" t="s">
        <v>28</v>
      </c>
      <c r="D642" s="2" t="s">
        <v>97</v>
      </c>
      <c r="E642" s="2" t="s">
        <v>4736</v>
      </c>
      <c r="F642" s="2" t="s">
        <v>99</v>
      </c>
      <c r="G642" s="2" t="s">
        <v>32</v>
      </c>
      <c r="H642" s="1"/>
      <c r="I642" s="2" t="s">
        <v>33</v>
      </c>
      <c r="J642" s="2" t="s">
        <v>34</v>
      </c>
      <c r="K642" s="2" t="s">
        <v>436</v>
      </c>
      <c r="L642" s="2" t="s">
        <v>437</v>
      </c>
      <c r="M642" s="2" t="s">
        <v>304</v>
      </c>
      <c r="N642" s="2" t="s">
        <v>38</v>
      </c>
      <c r="O642" s="2" t="s">
        <v>3825</v>
      </c>
      <c r="P642" s="2" t="s">
        <v>4737</v>
      </c>
      <c r="Q642" s="2" t="s">
        <v>4789</v>
      </c>
      <c r="R642" s="2" t="s">
        <v>40</v>
      </c>
      <c r="S642" s="2" t="s">
        <v>4790</v>
      </c>
      <c r="T642" s="2" t="s">
        <v>422</v>
      </c>
      <c r="U642" s="2" t="s">
        <v>4791</v>
      </c>
      <c r="V642" s="2" t="s">
        <v>4792</v>
      </c>
      <c r="W642" s="1"/>
      <c r="X642" s="2" t="s">
        <v>322</v>
      </c>
      <c r="Y642" s="2" t="s">
        <v>4748</v>
      </c>
      <c r="AA642" t="str">
        <f t="shared" si="54"/>
        <v>2026-04</v>
      </c>
      <c r="AB642" t="str">
        <f t="shared" si="55"/>
        <v>H1_2026</v>
      </c>
      <c r="AC642">
        <f t="shared" si="56"/>
        <v>6904754.5</v>
      </c>
      <c r="AD642">
        <f t="shared" si="57"/>
        <v>496</v>
      </c>
      <c r="AE642">
        <f t="shared" si="58"/>
        <v>858514.5</v>
      </c>
      <c r="AF642" t="str">
        <f t="shared" si="59"/>
        <v>Paid</v>
      </c>
    </row>
    <row r="643" spans="1:32" ht="27.75" thickBot="1" x14ac:dyDescent="0.35">
      <c r="A643" s="2" t="s">
        <v>4793</v>
      </c>
      <c r="B643" s="2" t="s">
        <v>27</v>
      </c>
      <c r="C643" s="2" t="s">
        <v>28</v>
      </c>
      <c r="D643" s="2" t="s">
        <v>97</v>
      </c>
      <c r="E643" s="2" t="s">
        <v>4736</v>
      </c>
      <c r="F643" s="2" t="s">
        <v>99</v>
      </c>
      <c r="G643" s="2" t="s">
        <v>32</v>
      </c>
      <c r="H643" s="1"/>
      <c r="I643" s="2" t="s">
        <v>33</v>
      </c>
      <c r="J643" s="2" t="s">
        <v>34</v>
      </c>
      <c r="K643" s="2" t="s">
        <v>446</v>
      </c>
      <c r="L643" s="2" t="s">
        <v>447</v>
      </c>
      <c r="M643" s="2" t="s">
        <v>304</v>
      </c>
      <c r="N643" s="2" t="s">
        <v>38</v>
      </c>
      <c r="O643" s="2" t="s">
        <v>623</v>
      </c>
      <c r="P643" s="2" t="s">
        <v>4794</v>
      </c>
      <c r="Q643" s="2" t="s">
        <v>4795</v>
      </c>
      <c r="R643" s="2" t="s">
        <v>40</v>
      </c>
      <c r="S643" s="2" t="s">
        <v>4796</v>
      </c>
      <c r="T643" s="2" t="s">
        <v>452</v>
      </c>
      <c r="U643" s="2" t="s">
        <v>4797</v>
      </c>
      <c r="V643" s="2" t="s">
        <v>4798</v>
      </c>
      <c r="W643" s="1"/>
      <c r="X643" s="2" t="s">
        <v>312</v>
      </c>
      <c r="Y643" s="2" t="s">
        <v>4748</v>
      </c>
      <c r="AA643" t="str">
        <f t="shared" si="54"/>
        <v>2026-04</v>
      </c>
      <c r="AB643" t="str">
        <f t="shared" si="55"/>
        <v>H1_2026</v>
      </c>
      <c r="AC643">
        <f t="shared" si="56"/>
        <v>920211.28</v>
      </c>
      <c r="AD643">
        <f t="shared" si="57"/>
        <v>73</v>
      </c>
      <c r="AE643">
        <f t="shared" si="58"/>
        <v>111371.28</v>
      </c>
      <c r="AF643" t="str">
        <f t="shared" si="59"/>
        <v>Paid</v>
      </c>
    </row>
    <row r="644" spans="1:32" ht="27.75" thickBot="1" x14ac:dyDescent="0.35">
      <c r="A644" s="2" t="s">
        <v>4799</v>
      </c>
      <c r="B644" s="2" t="s">
        <v>27</v>
      </c>
      <c r="C644" s="2" t="s">
        <v>28</v>
      </c>
      <c r="D644" s="2" t="s">
        <v>97</v>
      </c>
      <c r="E644" s="2" t="s">
        <v>4736</v>
      </c>
      <c r="F644" s="2" t="s">
        <v>99</v>
      </c>
      <c r="G644" s="2" t="s">
        <v>32</v>
      </c>
      <c r="H644" s="1"/>
      <c r="I644" s="2" t="s">
        <v>33</v>
      </c>
      <c r="J644" s="2" t="s">
        <v>34</v>
      </c>
      <c r="K644" s="2" t="s">
        <v>481</v>
      </c>
      <c r="L644" s="2" t="s">
        <v>482</v>
      </c>
      <c r="M644" s="2" t="s">
        <v>304</v>
      </c>
      <c r="N644" s="2" t="s">
        <v>38</v>
      </c>
      <c r="O644" s="2" t="s">
        <v>4800</v>
      </c>
      <c r="P644" s="2" t="s">
        <v>4801</v>
      </c>
      <c r="Q644" s="2" t="s">
        <v>4802</v>
      </c>
      <c r="R644" s="2" t="s">
        <v>40</v>
      </c>
      <c r="S644" s="2" t="s">
        <v>4803</v>
      </c>
      <c r="T644" s="2" t="s">
        <v>422</v>
      </c>
      <c r="U644" s="2" t="s">
        <v>4804</v>
      </c>
      <c r="V644" s="2" t="s">
        <v>4805</v>
      </c>
      <c r="W644" s="1"/>
      <c r="X644" s="2" t="s">
        <v>489</v>
      </c>
      <c r="Y644" s="2" t="s">
        <v>4748</v>
      </c>
      <c r="AA644" t="str">
        <f t="shared" ref="AA644:AA707" si="60">LEFT(E644,7)</f>
        <v>2026-04</v>
      </c>
      <c r="AB644" t="str">
        <f t="shared" ref="AB644:AB707" si="61">IF(AND($AA644&gt;="2025-01",$AA644&lt;="2025-06"),"H1_2025",IF(AND($AA644&gt;="2026-01",$AA644&lt;="2026-06"),"H1_2026",""))</f>
        <v>H1_2026</v>
      </c>
      <c r="AC644">
        <f t="shared" ref="AC644:AC707" si="62">IFERROR(VALUE(SUBSTITUTE(S644,",","")),0)</f>
        <v>64003695.340000004</v>
      </c>
      <c r="AD644">
        <f t="shared" ref="AD644:AD707" si="63">IFERROR(VALUE(SUBSTITUTE(O644,",","")),0)</f>
        <v>4652</v>
      </c>
      <c r="AE644">
        <f t="shared" ref="AE644:AE707" si="64">IFERROR(VALUE(SUBSTITUTE(V644,",","")),0)</f>
        <v>7295815.3399999999</v>
      </c>
      <c r="AF644" t="str">
        <f t="shared" ref="AF644:AF707" si="65">IF(ISNUMBER(SEARCH("FOC",W644)),"FOC",IF(ISNUMBER(SEARCH("샘플",W644)),"Sample","Paid"))</f>
        <v>Paid</v>
      </c>
    </row>
    <row r="645" spans="1:32" ht="17.25" thickBot="1" x14ac:dyDescent="0.35">
      <c r="A645" s="2" t="s">
        <v>4806</v>
      </c>
      <c r="B645" s="2" t="s">
        <v>27</v>
      </c>
      <c r="C645" s="2" t="s">
        <v>28</v>
      </c>
      <c r="D645" s="2" t="s">
        <v>97</v>
      </c>
      <c r="E645" s="2" t="s">
        <v>4736</v>
      </c>
      <c r="F645" s="2" t="s">
        <v>99</v>
      </c>
      <c r="G645" s="2" t="s">
        <v>32</v>
      </c>
      <c r="H645" s="1"/>
      <c r="I645" s="2" t="s">
        <v>33</v>
      </c>
      <c r="J645" s="2" t="s">
        <v>34</v>
      </c>
      <c r="K645" s="2" t="s">
        <v>509</v>
      </c>
      <c r="L645" s="2" t="s">
        <v>510</v>
      </c>
      <c r="M645" s="2" t="s">
        <v>304</v>
      </c>
      <c r="N645" s="2" t="s">
        <v>38</v>
      </c>
      <c r="O645" s="2" t="s">
        <v>935</v>
      </c>
      <c r="P645" s="2" t="s">
        <v>4781</v>
      </c>
      <c r="Q645" s="2" t="s">
        <v>4807</v>
      </c>
      <c r="R645" s="2" t="s">
        <v>40</v>
      </c>
      <c r="S645" s="2" t="s">
        <v>4808</v>
      </c>
      <c r="T645" s="2" t="s">
        <v>374</v>
      </c>
      <c r="U645" s="2" t="s">
        <v>4809</v>
      </c>
      <c r="V645" s="2" t="s">
        <v>4810</v>
      </c>
      <c r="W645" s="1"/>
      <c r="X645" s="2" t="s">
        <v>4068</v>
      </c>
      <c r="Y645" s="2" t="s">
        <v>4748</v>
      </c>
      <c r="AA645" t="str">
        <f t="shared" si="60"/>
        <v>2026-04</v>
      </c>
      <c r="AB645" t="str">
        <f t="shared" si="61"/>
        <v>H1_2026</v>
      </c>
      <c r="AC645">
        <f t="shared" si="62"/>
        <v>1405121.8</v>
      </c>
      <c r="AD645">
        <f t="shared" si="63"/>
        <v>106</v>
      </c>
      <c r="AE645">
        <f t="shared" si="64"/>
        <v>172341.8</v>
      </c>
      <c r="AF645" t="str">
        <f t="shared" si="65"/>
        <v>Paid</v>
      </c>
    </row>
    <row r="646" spans="1:32" ht="17.25" thickBot="1" x14ac:dyDescent="0.35">
      <c r="A646" s="2" t="s">
        <v>4811</v>
      </c>
      <c r="B646" s="2" t="s">
        <v>27</v>
      </c>
      <c r="C646" s="2" t="s">
        <v>28</v>
      </c>
      <c r="D646" s="2" t="s">
        <v>97</v>
      </c>
      <c r="E646" s="2" t="s">
        <v>4736</v>
      </c>
      <c r="F646" s="2" t="s">
        <v>99</v>
      </c>
      <c r="G646" s="2" t="s">
        <v>32</v>
      </c>
      <c r="H646" s="1"/>
      <c r="I646" s="2" t="s">
        <v>33</v>
      </c>
      <c r="J646" s="2" t="s">
        <v>34</v>
      </c>
      <c r="K646" s="2" t="s">
        <v>525</v>
      </c>
      <c r="L646" s="2" t="s">
        <v>526</v>
      </c>
      <c r="M646" s="2" t="s">
        <v>304</v>
      </c>
      <c r="N646" s="2" t="s">
        <v>38</v>
      </c>
      <c r="O646" s="2" t="s">
        <v>779</v>
      </c>
      <c r="P646" s="2" t="s">
        <v>1405</v>
      </c>
      <c r="Q646" s="2" t="s">
        <v>4812</v>
      </c>
      <c r="R646" s="2" t="s">
        <v>40</v>
      </c>
      <c r="S646" s="2" t="s">
        <v>4813</v>
      </c>
      <c r="T646" s="2" t="s">
        <v>531</v>
      </c>
      <c r="U646" s="2" t="s">
        <v>4814</v>
      </c>
      <c r="V646" s="2" t="s">
        <v>4815</v>
      </c>
      <c r="W646" s="1"/>
      <c r="X646" s="2" t="s">
        <v>489</v>
      </c>
      <c r="Y646" s="2" t="s">
        <v>4748</v>
      </c>
      <c r="AA646" t="str">
        <f t="shared" si="60"/>
        <v>2026-04</v>
      </c>
      <c r="AB646" t="str">
        <f t="shared" si="61"/>
        <v>H1_2026</v>
      </c>
      <c r="AC646">
        <f t="shared" si="62"/>
        <v>1069336.08</v>
      </c>
      <c r="AD646">
        <f t="shared" si="63"/>
        <v>90</v>
      </c>
      <c r="AE646">
        <f t="shared" si="64"/>
        <v>121636.08</v>
      </c>
      <c r="AF646" t="str">
        <f t="shared" si="65"/>
        <v>Paid</v>
      </c>
    </row>
    <row r="647" spans="1:32" ht="27.75" thickBot="1" x14ac:dyDescent="0.35">
      <c r="A647" s="2" t="s">
        <v>4816</v>
      </c>
      <c r="B647" s="2" t="s">
        <v>27</v>
      </c>
      <c r="C647" s="2" t="s">
        <v>28</v>
      </c>
      <c r="D647" s="2" t="s">
        <v>97</v>
      </c>
      <c r="E647" s="2" t="s">
        <v>4817</v>
      </c>
      <c r="F647" s="2" t="s">
        <v>99</v>
      </c>
      <c r="G647" s="2" t="s">
        <v>32</v>
      </c>
      <c r="H647" s="1"/>
      <c r="I647" s="2" t="s">
        <v>33</v>
      </c>
      <c r="J647" s="2" t="s">
        <v>34</v>
      </c>
      <c r="K647" s="2" t="s">
        <v>4818</v>
      </c>
      <c r="L647" s="2" t="s">
        <v>4819</v>
      </c>
      <c r="M647" s="2" t="s">
        <v>1887</v>
      </c>
      <c r="N647" s="2" t="s">
        <v>38</v>
      </c>
      <c r="O647" s="2" t="s">
        <v>156</v>
      </c>
      <c r="P647" s="2" t="s">
        <v>284</v>
      </c>
      <c r="Q647" s="2" t="s">
        <v>4820</v>
      </c>
      <c r="R647" s="2" t="s">
        <v>40</v>
      </c>
      <c r="S647" s="2" t="s">
        <v>4821</v>
      </c>
      <c r="T647" s="2" t="s">
        <v>2079</v>
      </c>
      <c r="U647" s="2" t="s">
        <v>4822</v>
      </c>
      <c r="V647" s="2" t="s">
        <v>4823</v>
      </c>
      <c r="W647" s="1"/>
      <c r="X647" s="2" t="s">
        <v>1893</v>
      </c>
      <c r="Y647" s="2" t="s">
        <v>4824</v>
      </c>
      <c r="AA647" t="str">
        <f t="shared" si="60"/>
        <v>2026-04</v>
      </c>
      <c r="AB647" t="str">
        <f t="shared" si="61"/>
        <v>H1_2026</v>
      </c>
      <c r="AC647">
        <f t="shared" si="62"/>
        <v>229945.68</v>
      </c>
      <c r="AD647">
        <f t="shared" si="63"/>
        <v>20</v>
      </c>
      <c r="AE647">
        <f t="shared" si="64"/>
        <v>59745.68</v>
      </c>
      <c r="AF647" t="str">
        <f t="shared" si="65"/>
        <v>Paid</v>
      </c>
    </row>
    <row r="648" spans="1:32" ht="27.75" thickBot="1" x14ac:dyDescent="0.35">
      <c r="A648" s="2" t="s">
        <v>4825</v>
      </c>
      <c r="B648" s="2" t="s">
        <v>27</v>
      </c>
      <c r="C648" s="2" t="s">
        <v>28</v>
      </c>
      <c r="D648" s="2" t="s">
        <v>97</v>
      </c>
      <c r="E648" s="2" t="s">
        <v>4817</v>
      </c>
      <c r="F648" s="2" t="s">
        <v>99</v>
      </c>
      <c r="G648" s="2" t="s">
        <v>32</v>
      </c>
      <c r="H648" s="1"/>
      <c r="I648" s="2" t="s">
        <v>33</v>
      </c>
      <c r="J648" s="2" t="s">
        <v>34</v>
      </c>
      <c r="K648" s="2" t="s">
        <v>261</v>
      </c>
      <c r="L648" s="2" t="s">
        <v>262</v>
      </c>
      <c r="M648" s="2" t="s">
        <v>263</v>
      </c>
      <c r="N648" s="2" t="s">
        <v>38</v>
      </c>
      <c r="O648" s="2" t="s">
        <v>391</v>
      </c>
      <c r="P648" s="2" t="s">
        <v>4826</v>
      </c>
      <c r="Q648" s="2" t="s">
        <v>4827</v>
      </c>
      <c r="R648" s="2" t="s">
        <v>40</v>
      </c>
      <c r="S648" s="2" t="s">
        <v>4828</v>
      </c>
      <c r="T648" s="2" t="s">
        <v>267</v>
      </c>
      <c r="U648" s="2" t="s">
        <v>4829</v>
      </c>
      <c r="V648" s="2" t="s">
        <v>4830</v>
      </c>
      <c r="W648" s="1"/>
      <c r="X648" s="2" t="s">
        <v>270</v>
      </c>
      <c r="Y648" s="2" t="s">
        <v>4831</v>
      </c>
      <c r="AA648" t="str">
        <f t="shared" si="60"/>
        <v>2026-04</v>
      </c>
      <c r="AB648" t="str">
        <f t="shared" si="61"/>
        <v>H1_2026</v>
      </c>
      <c r="AC648">
        <f t="shared" si="62"/>
        <v>551831.76</v>
      </c>
      <c r="AD648">
        <f t="shared" si="63"/>
        <v>60</v>
      </c>
      <c r="AE648">
        <f t="shared" si="64"/>
        <v>155831.76</v>
      </c>
      <c r="AF648" t="str">
        <f t="shared" si="65"/>
        <v>Paid</v>
      </c>
    </row>
    <row r="649" spans="1:32" ht="17.25" thickBot="1" x14ac:dyDescent="0.35">
      <c r="A649" s="2" t="s">
        <v>4832</v>
      </c>
      <c r="B649" s="2" t="s">
        <v>27</v>
      </c>
      <c r="C649" s="2" t="s">
        <v>28</v>
      </c>
      <c r="D649" s="2" t="s">
        <v>97</v>
      </c>
      <c r="E649" s="2" t="s">
        <v>4817</v>
      </c>
      <c r="F649" s="2" t="s">
        <v>99</v>
      </c>
      <c r="G649" s="2" t="s">
        <v>32</v>
      </c>
      <c r="H649" s="1"/>
      <c r="I649" s="2" t="s">
        <v>33</v>
      </c>
      <c r="J649" s="2" t="s">
        <v>34</v>
      </c>
      <c r="K649" s="2" t="s">
        <v>273</v>
      </c>
      <c r="L649" s="2" t="s">
        <v>274</v>
      </c>
      <c r="M649" s="2" t="s">
        <v>263</v>
      </c>
      <c r="N649" s="2" t="s">
        <v>38</v>
      </c>
      <c r="O649" s="2" t="s">
        <v>773</v>
      </c>
      <c r="P649" s="2" t="s">
        <v>4826</v>
      </c>
      <c r="Q649" s="2" t="s">
        <v>4833</v>
      </c>
      <c r="R649" s="2" t="s">
        <v>40</v>
      </c>
      <c r="S649" s="2" t="s">
        <v>4834</v>
      </c>
      <c r="T649" s="2" t="s">
        <v>267</v>
      </c>
      <c r="U649" s="2" t="s">
        <v>4835</v>
      </c>
      <c r="V649" s="2" t="s">
        <v>4836</v>
      </c>
      <c r="W649" s="1"/>
      <c r="X649" s="2" t="s">
        <v>270</v>
      </c>
      <c r="Y649" s="2" t="s">
        <v>4831</v>
      </c>
      <c r="AA649" t="str">
        <f t="shared" si="60"/>
        <v>2026-04</v>
      </c>
      <c r="AB649" t="str">
        <f t="shared" si="61"/>
        <v>H1_2026</v>
      </c>
      <c r="AC649">
        <f t="shared" si="62"/>
        <v>1839439.2</v>
      </c>
      <c r="AD649">
        <f t="shared" si="63"/>
        <v>200</v>
      </c>
      <c r="AE649">
        <f t="shared" si="64"/>
        <v>519439.2</v>
      </c>
      <c r="AF649" t="str">
        <f t="shared" si="65"/>
        <v>Paid</v>
      </c>
    </row>
    <row r="650" spans="1:32" ht="27.75" thickBot="1" x14ac:dyDescent="0.35">
      <c r="A650" s="2" t="s">
        <v>4837</v>
      </c>
      <c r="B650" s="2" t="s">
        <v>27</v>
      </c>
      <c r="C650" s="2" t="s">
        <v>28</v>
      </c>
      <c r="D650" s="2" t="s">
        <v>97</v>
      </c>
      <c r="E650" s="2" t="s">
        <v>4817</v>
      </c>
      <c r="F650" s="2" t="s">
        <v>99</v>
      </c>
      <c r="G650" s="2" t="s">
        <v>32</v>
      </c>
      <c r="H650" s="1"/>
      <c r="I650" s="2" t="s">
        <v>33</v>
      </c>
      <c r="J650" s="2" t="s">
        <v>34</v>
      </c>
      <c r="K650" s="2" t="s">
        <v>4838</v>
      </c>
      <c r="L650" s="2" t="s">
        <v>4839</v>
      </c>
      <c r="M650" s="2" t="s">
        <v>263</v>
      </c>
      <c r="N650" s="2" t="s">
        <v>38</v>
      </c>
      <c r="O650" s="2" t="s">
        <v>156</v>
      </c>
      <c r="P650" s="2" t="s">
        <v>4826</v>
      </c>
      <c r="Q650" s="2" t="s">
        <v>4840</v>
      </c>
      <c r="R650" s="2" t="s">
        <v>40</v>
      </c>
      <c r="S650" s="2" t="s">
        <v>4841</v>
      </c>
      <c r="T650" s="2" t="s">
        <v>267</v>
      </c>
      <c r="U650" s="2" t="s">
        <v>4842</v>
      </c>
      <c r="V650" s="2" t="s">
        <v>4843</v>
      </c>
      <c r="W650" s="1"/>
      <c r="X650" s="2" t="s">
        <v>270</v>
      </c>
      <c r="Y650" s="2" t="s">
        <v>4831</v>
      </c>
      <c r="AA650" t="str">
        <f t="shared" si="60"/>
        <v>2026-04</v>
      </c>
      <c r="AB650" t="str">
        <f t="shared" si="61"/>
        <v>H1_2026</v>
      </c>
      <c r="AC650">
        <f t="shared" si="62"/>
        <v>183943.92</v>
      </c>
      <c r="AD650">
        <f t="shared" si="63"/>
        <v>20</v>
      </c>
      <c r="AE650">
        <f t="shared" si="64"/>
        <v>51943.92</v>
      </c>
      <c r="AF650" t="str">
        <f t="shared" si="65"/>
        <v>Paid</v>
      </c>
    </row>
    <row r="651" spans="1:32" ht="17.25" thickBot="1" x14ac:dyDescent="0.35">
      <c r="A651" s="2" t="s">
        <v>4844</v>
      </c>
      <c r="B651" s="2" t="s">
        <v>27</v>
      </c>
      <c r="C651" s="2" t="s">
        <v>28</v>
      </c>
      <c r="D651" s="2" t="s">
        <v>97</v>
      </c>
      <c r="E651" s="2" t="s">
        <v>4817</v>
      </c>
      <c r="F651" s="2" t="s">
        <v>99</v>
      </c>
      <c r="G651" s="2" t="s">
        <v>32</v>
      </c>
      <c r="H651" s="1"/>
      <c r="I651" s="2" t="s">
        <v>33</v>
      </c>
      <c r="J651" s="2" t="s">
        <v>34</v>
      </c>
      <c r="K651" s="2" t="s">
        <v>4845</v>
      </c>
      <c r="L651" s="2" t="s">
        <v>4846</v>
      </c>
      <c r="M651" s="2" t="s">
        <v>263</v>
      </c>
      <c r="N651" s="2" t="s">
        <v>38</v>
      </c>
      <c r="O651" s="2" t="s">
        <v>159</v>
      </c>
      <c r="P651" s="2" t="s">
        <v>4847</v>
      </c>
      <c r="Q651" s="2" t="s">
        <v>4848</v>
      </c>
      <c r="R651" s="2" t="s">
        <v>40</v>
      </c>
      <c r="S651" s="2" t="s">
        <v>4849</v>
      </c>
      <c r="T651" s="2" t="s">
        <v>4850</v>
      </c>
      <c r="U651" s="2" t="s">
        <v>4851</v>
      </c>
      <c r="V651" s="2" t="s">
        <v>4852</v>
      </c>
      <c r="W651" s="1"/>
      <c r="X651" s="2" t="s">
        <v>4853</v>
      </c>
      <c r="Y651" s="2" t="s">
        <v>4831</v>
      </c>
      <c r="AA651" t="str">
        <f t="shared" si="60"/>
        <v>2026-04</v>
      </c>
      <c r="AB651" t="str">
        <f t="shared" si="61"/>
        <v>H1_2026</v>
      </c>
      <c r="AC651">
        <f t="shared" si="62"/>
        <v>1041192</v>
      </c>
      <c r="AD651">
        <f t="shared" si="63"/>
        <v>80</v>
      </c>
      <c r="AE651">
        <f t="shared" si="64"/>
        <v>491352</v>
      </c>
      <c r="AF651" t="str">
        <f t="shared" si="65"/>
        <v>Paid</v>
      </c>
    </row>
    <row r="652" spans="1:32" ht="17.25" thickBot="1" x14ac:dyDescent="0.35">
      <c r="A652" s="2" t="s">
        <v>560</v>
      </c>
      <c r="B652" s="2" t="s">
        <v>27</v>
      </c>
      <c r="C652" s="2" t="s">
        <v>28</v>
      </c>
      <c r="D652" s="2" t="s">
        <v>97</v>
      </c>
      <c r="E652" s="2" t="s">
        <v>4817</v>
      </c>
      <c r="F652" s="2" t="s">
        <v>99</v>
      </c>
      <c r="G652" s="2" t="s">
        <v>32</v>
      </c>
      <c r="H652" s="1"/>
      <c r="I652" s="2" t="s">
        <v>33</v>
      </c>
      <c r="J652" s="2" t="s">
        <v>34</v>
      </c>
      <c r="K652" s="2" t="s">
        <v>281</v>
      </c>
      <c r="L652" s="2" t="s">
        <v>282</v>
      </c>
      <c r="M652" s="2" t="s">
        <v>263</v>
      </c>
      <c r="N652" s="2" t="s">
        <v>38</v>
      </c>
      <c r="O652" s="2" t="s">
        <v>206</v>
      </c>
      <c r="P652" s="2" t="s">
        <v>4854</v>
      </c>
      <c r="Q652" s="2" t="s">
        <v>4855</v>
      </c>
      <c r="R652" s="2" t="s">
        <v>40</v>
      </c>
      <c r="S652" s="2" t="s">
        <v>4856</v>
      </c>
      <c r="T652" s="2" t="s">
        <v>287</v>
      </c>
      <c r="U652" s="2" t="s">
        <v>4857</v>
      </c>
      <c r="V652" s="2" t="s">
        <v>4858</v>
      </c>
      <c r="W652" s="1"/>
      <c r="X652" s="2" t="s">
        <v>4859</v>
      </c>
      <c r="Y652" s="2" t="s">
        <v>4831</v>
      </c>
      <c r="AA652" t="str">
        <f t="shared" si="60"/>
        <v>2026-04</v>
      </c>
      <c r="AB652" t="str">
        <f t="shared" si="61"/>
        <v>H1_2026</v>
      </c>
      <c r="AC652">
        <f t="shared" si="62"/>
        <v>5733786.5</v>
      </c>
      <c r="AD652">
        <f t="shared" si="63"/>
        <v>500</v>
      </c>
      <c r="AE652">
        <f t="shared" si="64"/>
        <v>2233786.5</v>
      </c>
      <c r="AF652" t="str">
        <f t="shared" si="65"/>
        <v>Paid</v>
      </c>
    </row>
    <row r="653" spans="1:32" ht="17.25" thickBot="1" x14ac:dyDescent="0.35">
      <c r="A653" s="2" t="s">
        <v>4860</v>
      </c>
      <c r="B653" s="2" t="s">
        <v>27</v>
      </c>
      <c r="C653" s="2" t="s">
        <v>28</v>
      </c>
      <c r="D653" s="2" t="s">
        <v>97</v>
      </c>
      <c r="E653" s="2" t="s">
        <v>4817</v>
      </c>
      <c r="F653" s="2" t="s">
        <v>99</v>
      </c>
      <c r="G653" s="2" t="s">
        <v>32</v>
      </c>
      <c r="H653" s="1"/>
      <c r="I653" s="2" t="s">
        <v>33</v>
      </c>
      <c r="J653" s="2" t="s">
        <v>34</v>
      </c>
      <c r="K653" s="2" t="s">
        <v>292</v>
      </c>
      <c r="L653" s="2" t="s">
        <v>293</v>
      </c>
      <c r="M653" s="2" t="s">
        <v>263</v>
      </c>
      <c r="N653" s="2" t="s">
        <v>38</v>
      </c>
      <c r="O653" s="2" t="s">
        <v>4038</v>
      </c>
      <c r="P653" s="2" t="s">
        <v>4854</v>
      </c>
      <c r="Q653" s="2" t="s">
        <v>4861</v>
      </c>
      <c r="R653" s="2" t="s">
        <v>40</v>
      </c>
      <c r="S653" s="2" t="s">
        <v>4862</v>
      </c>
      <c r="T653" s="2" t="s">
        <v>4863</v>
      </c>
      <c r="U653" s="2" t="s">
        <v>4864</v>
      </c>
      <c r="V653" s="2" t="s">
        <v>4865</v>
      </c>
      <c r="W653" s="1"/>
      <c r="X653" s="2" t="s">
        <v>578</v>
      </c>
      <c r="Y653" s="2" t="s">
        <v>4831</v>
      </c>
      <c r="AA653" t="str">
        <f t="shared" si="60"/>
        <v>2026-04</v>
      </c>
      <c r="AB653" t="str">
        <f t="shared" si="61"/>
        <v>H1_2026</v>
      </c>
      <c r="AC653">
        <f t="shared" si="62"/>
        <v>17201359.5</v>
      </c>
      <c r="AD653">
        <f t="shared" si="63"/>
        <v>1500</v>
      </c>
      <c r="AE653">
        <f t="shared" si="64"/>
        <v>7156359.5</v>
      </c>
      <c r="AF653" t="str">
        <f t="shared" si="65"/>
        <v>Paid</v>
      </c>
    </row>
    <row r="654" spans="1:32" ht="17.25" thickBot="1" x14ac:dyDescent="0.35">
      <c r="A654" s="2" t="s">
        <v>4866</v>
      </c>
      <c r="B654" s="2" t="s">
        <v>27</v>
      </c>
      <c r="C654" s="2" t="s">
        <v>28</v>
      </c>
      <c r="D654" s="2" t="s">
        <v>97</v>
      </c>
      <c r="E654" s="2" t="s">
        <v>4817</v>
      </c>
      <c r="F654" s="2" t="s">
        <v>99</v>
      </c>
      <c r="G654" s="2" t="s">
        <v>32</v>
      </c>
      <c r="H654" s="1"/>
      <c r="I654" s="2" t="s">
        <v>33</v>
      </c>
      <c r="J654" s="2" t="s">
        <v>34</v>
      </c>
      <c r="K654" s="2" t="s">
        <v>4867</v>
      </c>
      <c r="L654" s="2" t="s">
        <v>4868</v>
      </c>
      <c r="M654" s="2" t="s">
        <v>1887</v>
      </c>
      <c r="N654" s="2" t="s">
        <v>38</v>
      </c>
      <c r="O654" s="2" t="s">
        <v>4422</v>
      </c>
      <c r="P654" s="2" t="s">
        <v>4869</v>
      </c>
      <c r="Q654" s="2" t="s">
        <v>4870</v>
      </c>
      <c r="R654" s="2" t="s">
        <v>40</v>
      </c>
      <c r="S654" s="2" t="s">
        <v>4871</v>
      </c>
      <c r="T654" s="2" t="s">
        <v>1901</v>
      </c>
      <c r="U654" s="2" t="s">
        <v>4872</v>
      </c>
      <c r="V654" s="2" t="s">
        <v>4873</v>
      </c>
      <c r="W654" s="1"/>
      <c r="X654" s="2" t="s">
        <v>2429</v>
      </c>
      <c r="Y654" s="2" t="s">
        <v>4831</v>
      </c>
      <c r="AA654" t="str">
        <f t="shared" si="60"/>
        <v>2026-04</v>
      </c>
      <c r="AB654" t="str">
        <f t="shared" si="61"/>
        <v>H1_2026</v>
      </c>
      <c r="AC654">
        <f t="shared" si="62"/>
        <v>2833994.48</v>
      </c>
      <c r="AD654">
        <f t="shared" si="63"/>
        <v>585</v>
      </c>
      <c r="AE654">
        <f t="shared" si="64"/>
        <v>691139.48</v>
      </c>
      <c r="AF654" t="str">
        <f t="shared" si="65"/>
        <v>Paid</v>
      </c>
    </row>
    <row r="655" spans="1:32" ht="17.25" thickBot="1" x14ac:dyDescent="0.35">
      <c r="A655" s="2" t="s">
        <v>4874</v>
      </c>
      <c r="B655" s="2" t="s">
        <v>27</v>
      </c>
      <c r="C655" s="2" t="s">
        <v>28</v>
      </c>
      <c r="D655" s="2" t="s">
        <v>97</v>
      </c>
      <c r="E655" s="2" t="s">
        <v>4817</v>
      </c>
      <c r="F655" s="2" t="s">
        <v>99</v>
      </c>
      <c r="G655" s="2" t="s">
        <v>32</v>
      </c>
      <c r="H655" s="1"/>
      <c r="I655" s="2" t="s">
        <v>33</v>
      </c>
      <c r="J655" s="2" t="s">
        <v>34</v>
      </c>
      <c r="K655" s="2" t="s">
        <v>4875</v>
      </c>
      <c r="L655" s="2" t="s">
        <v>4876</v>
      </c>
      <c r="M655" s="2" t="s">
        <v>1887</v>
      </c>
      <c r="N655" s="2" t="s">
        <v>38</v>
      </c>
      <c r="O655" s="2" t="s">
        <v>839</v>
      </c>
      <c r="P655" s="2" t="s">
        <v>4877</v>
      </c>
      <c r="Q655" s="2" t="s">
        <v>4878</v>
      </c>
      <c r="R655" s="2" t="s">
        <v>40</v>
      </c>
      <c r="S655" s="2" t="s">
        <v>4879</v>
      </c>
      <c r="T655" s="2" t="s">
        <v>3871</v>
      </c>
      <c r="U655" s="2" t="s">
        <v>4880</v>
      </c>
      <c r="V655" s="2" t="s">
        <v>4881</v>
      </c>
      <c r="W655" s="1"/>
      <c r="X655" s="2" t="s">
        <v>4882</v>
      </c>
      <c r="Y655" s="2" t="s">
        <v>4831</v>
      </c>
      <c r="AA655" t="str">
        <f t="shared" si="60"/>
        <v>2026-04</v>
      </c>
      <c r="AB655" t="str">
        <f t="shared" si="61"/>
        <v>H1_2026</v>
      </c>
      <c r="AC655">
        <f t="shared" si="62"/>
        <v>2067113.18</v>
      </c>
      <c r="AD655">
        <f t="shared" si="63"/>
        <v>96</v>
      </c>
      <c r="AE655">
        <f t="shared" si="64"/>
        <v>1285673.18</v>
      </c>
      <c r="AF655" t="str">
        <f t="shared" si="65"/>
        <v>Paid</v>
      </c>
    </row>
    <row r="656" spans="1:32" ht="17.25" thickBot="1" x14ac:dyDescent="0.35">
      <c r="A656" s="2" t="s">
        <v>4883</v>
      </c>
      <c r="B656" s="2" t="s">
        <v>27</v>
      </c>
      <c r="C656" s="2" t="s">
        <v>28</v>
      </c>
      <c r="D656" s="2" t="s">
        <v>97</v>
      </c>
      <c r="E656" s="2" t="s">
        <v>4817</v>
      </c>
      <c r="F656" s="2" t="s">
        <v>99</v>
      </c>
      <c r="G656" s="2" t="s">
        <v>32</v>
      </c>
      <c r="H656" s="1"/>
      <c r="I656" s="2" t="s">
        <v>33</v>
      </c>
      <c r="J656" s="2" t="s">
        <v>34</v>
      </c>
      <c r="K656" s="2" t="s">
        <v>4884</v>
      </c>
      <c r="L656" s="2" t="s">
        <v>4885</v>
      </c>
      <c r="M656" s="2" t="s">
        <v>1887</v>
      </c>
      <c r="N656" s="2" t="s">
        <v>38</v>
      </c>
      <c r="O656" s="2" t="s">
        <v>4886</v>
      </c>
      <c r="P656" s="2" t="s">
        <v>4887</v>
      </c>
      <c r="Q656" s="2" t="s">
        <v>4888</v>
      </c>
      <c r="R656" s="2" t="s">
        <v>40</v>
      </c>
      <c r="S656" s="2" t="s">
        <v>4889</v>
      </c>
      <c r="T656" s="2" t="s">
        <v>4890</v>
      </c>
      <c r="U656" s="2" t="s">
        <v>4891</v>
      </c>
      <c r="V656" s="2" t="s">
        <v>4892</v>
      </c>
      <c r="W656" s="1"/>
      <c r="X656" s="2" t="s">
        <v>1427</v>
      </c>
      <c r="Y656" s="2" t="s">
        <v>4831</v>
      </c>
      <c r="AA656" t="str">
        <f t="shared" si="60"/>
        <v>2026-04</v>
      </c>
      <c r="AB656" t="str">
        <f t="shared" si="61"/>
        <v>H1_2026</v>
      </c>
      <c r="AC656">
        <f t="shared" si="62"/>
        <v>7228822.5199999996</v>
      </c>
      <c r="AD656">
        <f t="shared" si="63"/>
        <v>924</v>
      </c>
      <c r="AE656">
        <f t="shared" si="64"/>
        <v>1758742.52</v>
      </c>
      <c r="AF656" t="str">
        <f t="shared" si="65"/>
        <v>Paid</v>
      </c>
    </row>
    <row r="657" spans="1:32" ht="27.75" thickBot="1" x14ac:dyDescent="0.35">
      <c r="A657" s="2" t="s">
        <v>4893</v>
      </c>
      <c r="B657" s="2" t="s">
        <v>27</v>
      </c>
      <c r="C657" s="2" t="s">
        <v>28</v>
      </c>
      <c r="D657" s="2" t="s">
        <v>97</v>
      </c>
      <c r="E657" s="2" t="s">
        <v>4817</v>
      </c>
      <c r="F657" s="2" t="s">
        <v>99</v>
      </c>
      <c r="G657" s="2" t="s">
        <v>32</v>
      </c>
      <c r="H657" s="1"/>
      <c r="I657" s="2" t="s">
        <v>33</v>
      </c>
      <c r="J657" s="2" t="s">
        <v>34</v>
      </c>
      <c r="K657" s="2" t="s">
        <v>4894</v>
      </c>
      <c r="L657" s="2" t="s">
        <v>4895</v>
      </c>
      <c r="M657" s="2" t="s">
        <v>1887</v>
      </c>
      <c r="N657" s="2" t="s">
        <v>38</v>
      </c>
      <c r="O657" s="2" t="s">
        <v>3206</v>
      </c>
      <c r="P657" s="2" t="s">
        <v>4877</v>
      </c>
      <c r="Q657" s="2" t="s">
        <v>4896</v>
      </c>
      <c r="R657" s="2" t="s">
        <v>40</v>
      </c>
      <c r="S657" s="2" t="s">
        <v>4897</v>
      </c>
      <c r="T657" s="2" t="s">
        <v>3871</v>
      </c>
      <c r="U657" s="2" t="s">
        <v>4898</v>
      </c>
      <c r="V657" s="2" t="s">
        <v>4899</v>
      </c>
      <c r="W657" s="1"/>
      <c r="X657" s="2" t="s">
        <v>4882</v>
      </c>
      <c r="Y657" s="2" t="s">
        <v>4831</v>
      </c>
      <c r="AA657" t="str">
        <f t="shared" si="60"/>
        <v>2026-04</v>
      </c>
      <c r="AB657" t="str">
        <f t="shared" si="61"/>
        <v>H1_2026</v>
      </c>
      <c r="AC657">
        <f t="shared" si="62"/>
        <v>8268452.7400000002</v>
      </c>
      <c r="AD657">
        <f t="shared" si="63"/>
        <v>384</v>
      </c>
      <c r="AE657">
        <f t="shared" si="64"/>
        <v>5142692.74</v>
      </c>
      <c r="AF657" t="str">
        <f t="shared" si="65"/>
        <v>Paid</v>
      </c>
    </row>
    <row r="658" spans="1:32" ht="27.75" thickBot="1" x14ac:dyDescent="0.35">
      <c r="A658" s="2" t="s">
        <v>4900</v>
      </c>
      <c r="B658" s="2" t="s">
        <v>27</v>
      </c>
      <c r="C658" s="2" t="s">
        <v>28</v>
      </c>
      <c r="D658" s="2" t="s">
        <v>97</v>
      </c>
      <c r="E658" s="2" t="s">
        <v>4817</v>
      </c>
      <c r="F658" s="2" t="s">
        <v>99</v>
      </c>
      <c r="G658" s="2" t="s">
        <v>32</v>
      </c>
      <c r="H658" s="1"/>
      <c r="I658" s="2" t="s">
        <v>33</v>
      </c>
      <c r="J658" s="2" t="s">
        <v>34</v>
      </c>
      <c r="K658" s="2" t="s">
        <v>4901</v>
      </c>
      <c r="L658" s="2" t="s">
        <v>4902</v>
      </c>
      <c r="M658" s="2" t="s">
        <v>1887</v>
      </c>
      <c r="N658" s="2" t="s">
        <v>38</v>
      </c>
      <c r="O658" s="2" t="s">
        <v>4479</v>
      </c>
      <c r="P658" s="2" t="s">
        <v>284</v>
      </c>
      <c r="Q658" s="2" t="s">
        <v>4903</v>
      </c>
      <c r="R658" s="2" t="s">
        <v>40</v>
      </c>
      <c r="S658" s="2" t="s">
        <v>4904</v>
      </c>
      <c r="T658" s="2" t="s">
        <v>4905</v>
      </c>
      <c r="U658" s="2" t="s">
        <v>4906</v>
      </c>
      <c r="V658" s="2" t="s">
        <v>4907</v>
      </c>
      <c r="W658" s="1"/>
      <c r="X658" s="2" t="s">
        <v>4908</v>
      </c>
      <c r="Y658" s="2" t="s">
        <v>4831</v>
      </c>
      <c r="AA658" t="str">
        <f t="shared" si="60"/>
        <v>2026-04</v>
      </c>
      <c r="AB658" t="str">
        <f t="shared" si="61"/>
        <v>H1_2026</v>
      </c>
      <c r="AC658">
        <f t="shared" si="62"/>
        <v>6682890.8499999996</v>
      </c>
      <c r="AD658">
        <f t="shared" si="63"/>
        <v>594</v>
      </c>
      <c r="AE658">
        <f t="shared" si="64"/>
        <v>1218090.8500000001</v>
      </c>
      <c r="AF658" t="str">
        <f t="shared" si="65"/>
        <v>Paid</v>
      </c>
    </row>
    <row r="659" spans="1:32" ht="17.25" thickBot="1" x14ac:dyDescent="0.35">
      <c r="A659" s="2" t="s">
        <v>4909</v>
      </c>
      <c r="B659" s="2" t="s">
        <v>27</v>
      </c>
      <c r="C659" s="2" t="s">
        <v>28</v>
      </c>
      <c r="D659" s="2" t="s">
        <v>97</v>
      </c>
      <c r="E659" s="2" t="s">
        <v>4817</v>
      </c>
      <c r="F659" s="2" t="s">
        <v>99</v>
      </c>
      <c r="G659" s="2" t="s">
        <v>32</v>
      </c>
      <c r="H659" s="1"/>
      <c r="I659" s="2" t="s">
        <v>33</v>
      </c>
      <c r="J659" s="2" t="s">
        <v>34</v>
      </c>
      <c r="K659" s="2" t="s">
        <v>4910</v>
      </c>
      <c r="L659" s="2" t="s">
        <v>4911</v>
      </c>
      <c r="M659" s="2" t="s">
        <v>1887</v>
      </c>
      <c r="N659" s="2" t="s">
        <v>38</v>
      </c>
      <c r="O659" s="2" t="s">
        <v>1158</v>
      </c>
      <c r="P659" s="2" t="s">
        <v>4912</v>
      </c>
      <c r="Q659" s="2" t="s">
        <v>4913</v>
      </c>
      <c r="R659" s="2" t="s">
        <v>40</v>
      </c>
      <c r="S659" s="2" t="s">
        <v>4914</v>
      </c>
      <c r="T659" s="2" t="s">
        <v>1991</v>
      </c>
      <c r="U659" s="2" t="s">
        <v>4915</v>
      </c>
      <c r="V659" s="2" t="s">
        <v>4916</v>
      </c>
      <c r="W659" s="1"/>
      <c r="X659" s="2" t="s">
        <v>2429</v>
      </c>
      <c r="Y659" s="2" t="s">
        <v>4831</v>
      </c>
      <c r="AA659" t="str">
        <f t="shared" si="60"/>
        <v>2026-04</v>
      </c>
      <c r="AB659" t="str">
        <f t="shared" si="61"/>
        <v>H1_2026</v>
      </c>
      <c r="AC659">
        <f t="shared" si="62"/>
        <v>1629465.48</v>
      </c>
      <c r="AD659">
        <f t="shared" si="63"/>
        <v>180</v>
      </c>
      <c r="AE659">
        <f t="shared" si="64"/>
        <v>397365.48</v>
      </c>
      <c r="AF659" t="str">
        <f t="shared" si="65"/>
        <v>Paid</v>
      </c>
    </row>
    <row r="660" spans="1:32" ht="17.25" thickBot="1" x14ac:dyDescent="0.35">
      <c r="A660" s="2" t="s">
        <v>4917</v>
      </c>
      <c r="B660" s="2" t="s">
        <v>27</v>
      </c>
      <c r="C660" s="2" t="s">
        <v>28</v>
      </c>
      <c r="D660" s="2" t="s">
        <v>97</v>
      </c>
      <c r="E660" s="2" t="s">
        <v>4817</v>
      </c>
      <c r="F660" s="2" t="s">
        <v>99</v>
      </c>
      <c r="G660" s="2" t="s">
        <v>32</v>
      </c>
      <c r="H660" s="1"/>
      <c r="I660" s="2" t="s">
        <v>33</v>
      </c>
      <c r="J660" s="2" t="s">
        <v>34</v>
      </c>
      <c r="K660" s="2" t="s">
        <v>4918</v>
      </c>
      <c r="L660" s="2" t="s">
        <v>4919</v>
      </c>
      <c r="M660" s="2" t="s">
        <v>1887</v>
      </c>
      <c r="N660" s="2" t="s">
        <v>38</v>
      </c>
      <c r="O660" s="2" t="s">
        <v>517</v>
      </c>
      <c r="P660" s="2" t="s">
        <v>4920</v>
      </c>
      <c r="Q660" s="2" t="s">
        <v>4921</v>
      </c>
      <c r="R660" s="2" t="s">
        <v>40</v>
      </c>
      <c r="S660" s="2" t="s">
        <v>4922</v>
      </c>
      <c r="T660" s="2" t="s">
        <v>1890</v>
      </c>
      <c r="U660" s="2" t="s">
        <v>4923</v>
      </c>
      <c r="V660" s="2" t="s">
        <v>4924</v>
      </c>
      <c r="W660" s="1"/>
      <c r="X660" s="2" t="s">
        <v>2429</v>
      </c>
      <c r="Y660" s="2" t="s">
        <v>4831</v>
      </c>
      <c r="AA660" t="str">
        <f t="shared" si="60"/>
        <v>2026-04</v>
      </c>
      <c r="AB660" t="str">
        <f t="shared" si="61"/>
        <v>H1_2026</v>
      </c>
      <c r="AC660">
        <f t="shared" si="62"/>
        <v>1056809.8799999999</v>
      </c>
      <c r="AD660">
        <f t="shared" si="63"/>
        <v>120</v>
      </c>
      <c r="AE660">
        <f t="shared" si="64"/>
        <v>257609.88</v>
      </c>
      <c r="AF660" t="str">
        <f t="shared" si="65"/>
        <v>Paid</v>
      </c>
    </row>
    <row r="661" spans="1:32" ht="17.25" thickBot="1" x14ac:dyDescent="0.35">
      <c r="A661" s="2" t="s">
        <v>4925</v>
      </c>
      <c r="B661" s="2" t="s">
        <v>27</v>
      </c>
      <c r="C661" s="2" t="s">
        <v>28</v>
      </c>
      <c r="D661" s="2" t="s">
        <v>97</v>
      </c>
      <c r="E661" s="2" t="s">
        <v>4817</v>
      </c>
      <c r="F661" s="2" t="s">
        <v>99</v>
      </c>
      <c r="G661" s="2" t="s">
        <v>32</v>
      </c>
      <c r="H661" s="1"/>
      <c r="I661" s="2" t="s">
        <v>33</v>
      </c>
      <c r="J661" s="2" t="s">
        <v>34</v>
      </c>
      <c r="K661" s="2" t="s">
        <v>4926</v>
      </c>
      <c r="L661" s="2" t="s">
        <v>4927</v>
      </c>
      <c r="M661" s="2" t="s">
        <v>1887</v>
      </c>
      <c r="N661" s="2" t="s">
        <v>38</v>
      </c>
      <c r="O661" s="2" t="s">
        <v>1988</v>
      </c>
      <c r="P661" s="2" t="s">
        <v>4928</v>
      </c>
      <c r="Q661" s="2" t="s">
        <v>4929</v>
      </c>
      <c r="R661" s="2" t="s">
        <v>40</v>
      </c>
      <c r="S661" s="2" t="s">
        <v>4930</v>
      </c>
      <c r="T661" s="2" t="s">
        <v>4931</v>
      </c>
      <c r="U661" s="2" t="s">
        <v>4932</v>
      </c>
      <c r="V661" s="2" t="s">
        <v>4933</v>
      </c>
      <c r="W661" s="1"/>
      <c r="X661" s="2" t="s">
        <v>4934</v>
      </c>
      <c r="Y661" s="2" t="s">
        <v>4831</v>
      </c>
      <c r="AA661" t="str">
        <f t="shared" si="60"/>
        <v>2026-04</v>
      </c>
      <c r="AB661" t="str">
        <f t="shared" si="61"/>
        <v>H1_2026</v>
      </c>
      <c r="AC661">
        <f t="shared" si="62"/>
        <v>16607012.4</v>
      </c>
      <c r="AD661">
        <f t="shared" si="63"/>
        <v>1740</v>
      </c>
      <c r="AE661">
        <f t="shared" si="64"/>
        <v>3033948.76</v>
      </c>
      <c r="AF661" t="str">
        <f t="shared" si="65"/>
        <v>Paid</v>
      </c>
    </row>
    <row r="662" spans="1:32" ht="17.25" thickBot="1" x14ac:dyDescent="0.35">
      <c r="A662" s="2" t="s">
        <v>4935</v>
      </c>
      <c r="B662" s="2" t="s">
        <v>27</v>
      </c>
      <c r="C662" s="2" t="s">
        <v>28</v>
      </c>
      <c r="D662" s="2" t="s">
        <v>97</v>
      </c>
      <c r="E662" s="2" t="s">
        <v>4817</v>
      </c>
      <c r="F662" s="2" t="s">
        <v>99</v>
      </c>
      <c r="G662" s="2" t="s">
        <v>32</v>
      </c>
      <c r="H662" s="1"/>
      <c r="I662" s="2" t="s">
        <v>33</v>
      </c>
      <c r="J662" s="2" t="s">
        <v>34</v>
      </c>
      <c r="K662" s="2" t="s">
        <v>4936</v>
      </c>
      <c r="L662" s="2" t="s">
        <v>4937</v>
      </c>
      <c r="M662" s="2" t="s">
        <v>1887</v>
      </c>
      <c r="N662" s="2" t="s">
        <v>38</v>
      </c>
      <c r="O662" s="2" t="s">
        <v>351</v>
      </c>
      <c r="P662" s="2" t="s">
        <v>4938</v>
      </c>
      <c r="Q662" s="2" t="s">
        <v>3768</v>
      </c>
      <c r="R662" s="2" t="s">
        <v>40</v>
      </c>
      <c r="S662" s="2" t="s">
        <v>4939</v>
      </c>
      <c r="T662" s="2" t="s">
        <v>4940</v>
      </c>
      <c r="U662" s="2" t="s">
        <v>4941</v>
      </c>
      <c r="V662" s="2" t="s">
        <v>4942</v>
      </c>
      <c r="W662" s="1"/>
      <c r="X662" s="2" t="s">
        <v>2429</v>
      </c>
      <c r="Y662" s="2" t="s">
        <v>4831</v>
      </c>
      <c r="AA662" t="str">
        <f t="shared" si="60"/>
        <v>2026-04</v>
      </c>
      <c r="AB662" t="str">
        <f t="shared" si="61"/>
        <v>H1_2026</v>
      </c>
      <c r="AC662">
        <f t="shared" si="62"/>
        <v>482852.79</v>
      </c>
      <c r="AD662">
        <f t="shared" si="63"/>
        <v>42</v>
      </c>
      <c r="AE662">
        <f t="shared" si="64"/>
        <v>117662.79</v>
      </c>
      <c r="AF662" t="str">
        <f t="shared" si="65"/>
        <v>Paid</v>
      </c>
    </row>
    <row r="663" spans="1:32" ht="27.75" thickBot="1" x14ac:dyDescent="0.35">
      <c r="A663" s="2" t="s">
        <v>4943</v>
      </c>
      <c r="B663" s="2" t="s">
        <v>27</v>
      </c>
      <c r="C663" s="2" t="s">
        <v>28</v>
      </c>
      <c r="D663" s="2" t="s">
        <v>97</v>
      </c>
      <c r="E663" s="2" t="s">
        <v>4817</v>
      </c>
      <c r="F663" s="2" t="s">
        <v>99</v>
      </c>
      <c r="G663" s="2" t="s">
        <v>32</v>
      </c>
      <c r="H663" s="1"/>
      <c r="I663" s="2" t="s">
        <v>33</v>
      </c>
      <c r="J663" s="2" t="s">
        <v>34</v>
      </c>
      <c r="K663" s="2" t="s">
        <v>3866</v>
      </c>
      <c r="L663" s="2" t="s">
        <v>3867</v>
      </c>
      <c r="M663" s="2" t="s">
        <v>1887</v>
      </c>
      <c r="N663" s="2" t="s">
        <v>38</v>
      </c>
      <c r="O663" s="2" t="s">
        <v>956</v>
      </c>
      <c r="P663" s="2" t="s">
        <v>4877</v>
      </c>
      <c r="Q663" s="2" t="s">
        <v>4944</v>
      </c>
      <c r="R663" s="2" t="s">
        <v>40</v>
      </c>
      <c r="S663" s="2" t="s">
        <v>4945</v>
      </c>
      <c r="T663" s="2" t="s">
        <v>3871</v>
      </c>
      <c r="U663" s="2" t="s">
        <v>4946</v>
      </c>
      <c r="V663" s="2" t="s">
        <v>4947</v>
      </c>
      <c r="W663" s="1"/>
      <c r="X663" s="2" t="s">
        <v>4882</v>
      </c>
      <c r="Y663" s="2" t="s">
        <v>4831</v>
      </c>
      <c r="AA663" t="str">
        <f t="shared" si="60"/>
        <v>2026-04</v>
      </c>
      <c r="AB663" t="str">
        <f t="shared" si="61"/>
        <v>H1_2026</v>
      </c>
      <c r="AC663">
        <f t="shared" si="62"/>
        <v>2325502.33</v>
      </c>
      <c r="AD663">
        <f t="shared" si="63"/>
        <v>108</v>
      </c>
      <c r="AE663">
        <f t="shared" si="64"/>
        <v>1446382.33</v>
      </c>
      <c r="AF663" t="str">
        <f t="shared" si="65"/>
        <v>Paid</v>
      </c>
    </row>
    <row r="664" spans="1:32" ht="27.75" thickBot="1" x14ac:dyDescent="0.35">
      <c r="A664" s="2" t="s">
        <v>4948</v>
      </c>
      <c r="B664" s="2" t="s">
        <v>27</v>
      </c>
      <c r="C664" s="2" t="s">
        <v>28</v>
      </c>
      <c r="D664" s="2" t="s">
        <v>97</v>
      </c>
      <c r="E664" s="2" t="s">
        <v>4817</v>
      </c>
      <c r="F664" s="2" t="s">
        <v>99</v>
      </c>
      <c r="G664" s="2" t="s">
        <v>32</v>
      </c>
      <c r="H664" s="1"/>
      <c r="I664" s="2" t="s">
        <v>33</v>
      </c>
      <c r="J664" s="2" t="s">
        <v>34</v>
      </c>
      <c r="K664" s="2" t="s">
        <v>3876</v>
      </c>
      <c r="L664" s="2" t="s">
        <v>3877</v>
      </c>
      <c r="M664" s="2" t="s">
        <v>1887</v>
      </c>
      <c r="N664" s="2" t="s">
        <v>38</v>
      </c>
      <c r="O664" s="2" t="s">
        <v>85</v>
      </c>
      <c r="P664" s="2" t="s">
        <v>4949</v>
      </c>
      <c r="Q664" s="2" t="s">
        <v>4950</v>
      </c>
      <c r="R664" s="2" t="s">
        <v>40</v>
      </c>
      <c r="S664" s="2" t="s">
        <v>4951</v>
      </c>
      <c r="T664" s="2" t="s">
        <v>1955</v>
      </c>
      <c r="U664" s="2" t="s">
        <v>4952</v>
      </c>
      <c r="V664" s="2" t="s">
        <v>4953</v>
      </c>
      <c r="W664" s="1"/>
      <c r="X664" s="2" t="s">
        <v>4882</v>
      </c>
      <c r="Y664" s="2" t="s">
        <v>4831</v>
      </c>
      <c r="AA664" t="str">
        <f t="shared" si="60"/>
        <v>2026-04</v>
      </c>
      <c r="AB664" t="str">
        <f t="shared" si="61"/>
        <v>H1_2026</v>
      </c>
      <c r="AC664">
        <f t="shared" si="62"/>
        <v>281815.96999999997</v>
      </c>
      <c r="AD664">
        <f t="shared" si="63"/>
        <v>12</v>
      </c>
      <c r="AE664">
        <f t="shared" si="64"/>
        <v>175255.97</v>
      </c>
      <c r="AF664" t="str">
        <f t="shared" si="65"/>
        <v>Paid</v>
      </c>
    </row>
    <row r="665" spans="1:32" ht="17.25" thickBot="1" x14ac:dyDescent="0.35">
      <c r="A665" s="2" t="s">
        <v>4954</v>
      </c>
      <c r="B665" s="2" t="s">
        <v>27</v>
      </c>
      <c r="C665" s="2" t="s">
        <v>28</v>
      </c>
      <c r="D665" s="2" t="s">
        <v>97</v>
      </c>
      <c r="E665" s="2" t="s">
        <v>4817</v>
      </c>
      <c r="F665" s="2" t="s">
        <v>99</v>
      </c>
      <c r="G665" s="2" t="s">
        <v>32</v>
      </c>
      <c r="H665" s="1"/>
      <c r="I665" s="2" t="s">
        <v>33</v>
      </c>
      <c r="J665" s="2" t="s">
        <v>34</v>
      </c>
      <c r="K665" s="2" t="s">
        <v>4955</v>
      </c>
      <c r="L665" s="2" t="s">
        <v>4956</v>
      </c>
      <c r="M665" s="2" t="s">
        <v>1887</v>
      </c>
      <c r="N665" s="2" t="s">
        <v>38</v>
      </c>
      <c r="O665" s="2" t="s">
        <v>391</v>
      </c>
      <c r="P665" s="2" t="s">
        <v>3199</v>
      </c>
      <c r="Q665" s="2" t="s">
        <v>4957</v>
      </c>
      <c r="R665" s="2" t="s">
        <v>40</v>
      </c>
      <c r="S665" s="2" t="s">
        <v>4958</v>
      </c>
      <c r="T665" s="2" t="s">
        <v>1927</v>
      </c>
      <c r="U665" s="2" t="s">
        <v>4959</v>
      </c>
      <c r="V665" s="2" t="s">
        <v>4960</v>
      </c>
      <c r="W665" s="1"/>
      <c r="X665" s="2" t="s">
        <v>2429</v>
      </c>
      <c r="Y665" s="2" t="s">
        <v>4831</v>
      </c>
      <c r="AA665" t="str">
        <f t="shared" si="60"/>
        <v>2026-04</v>
      </c>
      <c r="AB665" t="str">
        <f t="shared" si="61"/>
        <v>H1_2026</v>
      </c>
      <c r="AC665">
        <f t="shared" si="62"/>
        <v>557905.38</v>
      </c>
      <c r="AD665">
        <f t="shared" si="63"/>
        <v>60</v>
      </c>
      <c r="AE665">
        <f t="shared" si="64"/>
        <v>136105.38</v>
      </c>
      <c r="AF665" t="str">
        <f t="shared" si="65"/>
        <v>Paid</v>
      </c>
    </row>
    <row r="666" spans="1:32" ht="17.25" thickBot="1" x14ac:dyDescent="0.35">
      <c r="A666" s="2" t="s">
        <v>4961</v>
      </c>
      <c r="B666" s="2" t="s">
        <v>27</v>
      </c>
      <c r="C666" s="2" t="s">
        <v>28</v>
      </c>
      <c r="D666" s="2" t="s">
        <v>97</v>
      </c>
      <c r="E666" s="2" t="s">
        <v>4817</v>
      </c>
      <c r="F666" s="2" t="s">
        <v>99</v>
      </c>
      <c r="G666" s="2" t="s">
        <v>32</v>
      </c>
      <c r="H666" s="1"/>
      <c r="I666" s="2" t="s">
        <v>33</v>
      </c>
      <c r="J666" s="2" t="s">
        <v>34</v>
      </c>
      <c r="K666" s="2" t="s">
        <v>4962</v>
      </c>
      <c r="L666" s="2" t="s">
        <v>4963</v>
      </c>
      <c r="M666" s="2" t="s">
        <v>1887</v>
      </c>
      <c r="N666" s="2" t="s">
        <v>38</v>
      </c>
      <c r="O666" s="2" t="s">
        <v>159</v>
      </c>
      <c r="P666" s="2" t="s">
        <v>4964</v>
      </c>
      <c r="Q666" s="2" t="s">
        <v>4965</v>
      </c>
      <c r="R666" s="2" t="s">
        <v>40</v>
      </c>
      <c r="S666" s="2" t="s">
        <v>4966</v>
      </c>
      <c r="T666" s="2" t="s">
        <v>4967</v>
      </c>
      <c r="U666" s="2" t="s">
        <v>4968</v>
      </c>
      <c r="V666" s="2" t="s">
        <v>4969</v>
      </c>
      <c r="W666" s="1"/>
      <c r="X666" s="2" t="s">
        <v>2429</v>
      </c>
      <c r="Y666" s="2" t="s">
        <v>4831</v>
      </c>
      <c r="AA666" t="str">
        <f t="shared" si="60"/>
        <v>2026-04</v>
      </c>
      <c r="AB666" t="str">
        <f t="shared" si="61"/>
        <v>H1_2026</v>
      </c>
      <c r="AC666">
        <f t="shared" si="62"/>
        <v>500929.04</v>
      </c>
      <c r="AD666">
        <f t="shared" si="63"/>
        <v>80</v>
      </c>
      <c r="AE666">
        <f t="shared" si="64"/>
        <v>122049.04</v>
      </c>
      <c r="AF666" t="str">
        <f t="shared" si="65"/>
        <v>Paid</v>
      </c>
    </row>
    <row r="667" spans="1:32" ht="27.75" thickBot="1" x14ac:dyDescent="0.35">
      <c r="A667" s="2" t="s">
        <v>4970</v>
      </c>
      <c r="B667" s="2" t="s">
        <v>27</v>
      </c>
      <c r="C667" s="2" t="s">
        <v>28</v>
      </c>
      <c r="D667" s="2" t="s">
        <v>97</v>
      </c>
      <c r="E667" s="2" t="s">
        <v>4817</v>
      </c>
      <c r="F667" s="2" t="s">
        <v>99</v>
      </c>
      <c r="G667" s="2" t="s">
        <v>32</v>
      </c>
      <c r="H667" s="1"/>
      <c r="I667" s="2" t="s">
        <v>33</v>
      </c>
      <c r="J667" s="2" t="s">
        <v>34</v>
      </c>
      <c r="K667" s="2" t="s">
        <v>4818</v>
      </c>
      <c r="L667" s="2" t="s">
        <v>4819</v>
      </c>
      <c r="M667" s="2" t="s">
        <v>1887</v>
      </c>
      <c r="N667" s="2" t="s">
        <v>38</v>
      </c>
      <c r="O667" s="2" t="s">
        <v>156</v>
      </c>
      <c r="P667" s="2" t="s">
        <v>284</v>
      </c>
      <c r="Q667" s="2" t="s">
        <v>4820</v>
      </c>
      <c r="R667" s="2" t="s">
        <v>40</v>
      </c>
      <c r="S667" s="2" t="s">
        <v>4971</v>
      </c>
      <c r="T667" s="2" t="s">
        <v>2079</v>
      </c>
      <c r="U667" s="2" t="s">
        <v>4822</v>
      </c>
      <c r="V667" s="2" t="s">
        <v>4972</v>
      </c>
      <c r="W667" s="1"/>
      <c r="X667" s="2" t="s">
        <v>2429</v>
      </c>
      <c r="Y667" s="2" t="s">
        <v>4831</v>
      </c>
      <c r="AA667" t="str">
        <f t="shared" si="60"/>
        <v>2026-04</v>
      </c>
      <c r="AB667" t="str">
        <f t="shared" si="61"/>
        <v>H1_2026</v>
      </c>
      <c r="AC667">
        <f t="shared" si="62"/>
        <v>225013.16</v>
      </c>
      <c r="AD667">
        <f t="shared" si="63"/>
        <v>20</v>
      </c>
      <c r="AE667">
        <f t="shared" si="64"/>
        <v>54813.16</v>
      </c>
      <c r="AF667" t="str">
        <f t="shared" si="65"/>
        <v>Paid</v>
      </c>
    </row>
    <row r="668" spans="1:32" ht="17.25" thickBot="1" x14ac:dyDescent="0.35">
      <c r="A668" s="2" t="s">
        <v>4973</v>
      </c>
      <c r="B668" s="2" t="s">
        <v>27</v>
      </c>
      <c r="C668" s="2" t="s">
        <v>28</v>
      </c>
      <c r="D668" s="2" t="s">
        <v>97</v>
      </c>
      <c r="E668" s="2" t="s">
        <v>4974</v>
      </c>
      <c r="F668" s="2" t="s">
        <v>99</v>
      </c>
      <c r="G668" s="2" t="s">
        <v>32</v>
      </c>
      <c r="H668" s="1"/>
      <c r="I668" s="2" t="s">
        <v>33</v>
      </c>
      <c r="J668" s="2" t="s">
        <v>34</v>
      </c>
      <c r="K668" s="2" t="s">
        <v>281</v>
      </c>
      <c r="L668" s="2" t="s">
        <v>282</v>
      </c>
      <c r="M668" s="2" t="s">
        <v>263</v>
      </c>
      <c r="N668" s="2" t="s">
        <v>38</v>
      </c>
      <c r="O668" s="2" t="s">
        <v>610</v>
      </c>
      <c r="P668" s="2" t="s">
        <v>4854</v>
      </c>
      <c r="Q668" s="2" t="s">
        <v>4975</v>
      </c>
      <c r="R668" s="2" t="s">
        <v>40</v>
      </c>
      <c r="S668" s="2" t="s">
        <v>4976</v>
      </c>
      <c r="T668" s="2" t="s">
        <v>287</v>
      </c>
      <c r="U668" s="2" t="s">
        <v>4403</v>
      </c>
      <c r="V668" s="2" t="s">
        <v>4977</v>
      </c>
      <c r="W668" s="1"/>
      <c r="X668" s="2" t="s">
        <v>4859</v>
      </c>
      <c r="Y668" s="2" t="s">
        <v>4978</v>
      </c>
      <c r="AA668" t="str">
        <f t="shared" si="60"/>
        <v>2026-04</v>
      </c>
      <c r="AB668" t="str">
        <f t="shared" si="61"/>
        <v>H1_2026</v>
      </c>
      <c r="AC668">
        <f t="shared" si="62"/>
        <v>5160407.8499999996</v>
      </c>
      <c r="AD668">
        <f t="shared" si="63"/>
        <v>450</v>
      </c>
      <c r="AE668">
        <f t="shared" si="64"/>
        <v>2010407.85</v>
      </c>
      <c r="AF668" t="str">
        <f t="shared" si="65"/>
        <v>Paid</v>
      </c>
    </row>
    <row r="669" spans="1:32" ht="17.25" thickBot="1" x14ac:dyDescent="0.35">
      <c r="A669" s="2" t="s">
        <v>4979</v>
      </c>
      <c r="B669" s="2" t="s">
        <v>27</v>
      </c>
      <c r="C669" s="2" t="s">
        <v>28</v>
      </c>
      <c r="D669" s="2" t="s">
        <v>97</v>
      </c>
      <c r="E669" s="2" t="s">
        <v>4974</v>
      </c>
      <c r="F669" s="2" t="s">
        <v>99</v>
      </c>
      <c r="G669" s="2" t="s">
        <v>32</v>
      </c>
      <c r="H669" s="1"/>
      <c r="I669" s="2" t="s">
        <v>33</v>
      </c>
      <c r="J669" s="2" t="s">
        <v>34</v>
      </c>
      <c r="K669" s="2" t="s">
        <v>292</v>
      </c>
      <c r="L669" s="2" t="s">
        <v>293</v>
      </c>
      <c r="M669" s="2" t="s">
        <v>263</v>
      </c>
      <c r="N669" s="2" t="s">
        <v>38</v>
      </c>
      <c r="O669" s="2" t="s">
        <v>4038</v>
      </c>
      <c r="P669" s="2" t="s">
        <v>4854</v>
      </c>
      <c r="Q669" s="2" t="s">
        <v>4861</v>
      </c>
      <c r="R669" s="2" t="s">
        <v>40</v>
      </c>
      <c r="S669" s="2" t="s">
        <v>4862</v>
      </c>
      <c r="T669" s="2" t="s">
        <v>287</v>
      </c>
      <c r="U669" s="2" t="s">
        <v>4980</v>
      </c>
      <c r="V669" s="2" t="s">
        <v>4981</v>
      </c>
      <c r="W669" s="1"/>
      <c r="X669" s="2" t="s">
        <v>4859</v>
      </c>
      <c r="Y669" s="2" t="s">
        <v>4978</v>
      </c>
      <c r="AA669" t="str">
        <f t="shared" si="60"/>
        <v>2026-04</v>
      </c>
      <c r="AB669" t="str">
        <f t="shared" si="61"/>
        <v>H1_2026</v>
      </c>
      <c r="AC669">
        <f t="shared" si="62"/>
        <v>17201359.5</v>
      </c>
      <c r="AD669">
        <f t="shared" si="63"/>
        <v>1500</v>
      </c>
      <c r="AE669">
        <f t="shared" si="64"/>
        <v>6701359.5</v>
      </c>
      <c r="AF669" t="str">
        <f t="shared" si="65"/>
        <v>Paid</v>
      </c>
    </row>
    <row r="670" spans="1:32" ht="27.75" thickBot="1" x14ac:dyDescent="0.35">
      <c r="A670" s="2" t="s">
        <v>4982</v>
      </c>
      <c r="B670" s="2" t="s">
        <v>27</v>
      </c>
      <c r="C670" s="2" t="s">
        <v>28</v>
      </c>
      <c r="D670" s="2" t="s">
        <v>97</v>
      </c>
      <c r="E670" s="2" t="s">
        <v>4974</v>
      </c>
      <c r="F670" s="2" t="s">
        <v>99</v>
      </c>
      <c r="G670" s="2" t="s">
        <v>32</v>
      </c>
      <c r="H670" s="1"/>
      <c r="I670" s="2" t="s">
        <v>33</v>
      </c>
      <c r="J670" s="2" t="s">
        <v>34</v>
      </c>
      <c r="K670" s="2" t="s">
        <v>4983</v>
      </c>
      <c r="L670" s="2" t="s">
        <v>4984</v>
      </c>
      <c r="M670" s="2" t="s">
        <v>1887</v>
      </c>
      <c r="N670" s="2" t="s">
        <v>38</v>
      </c>
      <c r="O670" s="2" t="s">
        <v>351</v>
      </c>
      <c r="P670" s="2" t="s">
        <v>4985</v>
      </c>
      <c r="Q670" s="2" t="s">
        <v>4986</v>
      </c>
      <c r="R670" s="2" t="s">
        <v>40</v>
      </c>
      <c r="S670" s="2" t="s">
        <v>4987</v>
      </c>
      <c r="T670" s="2" t="s">
        <v>1908</v>
      </c>
      <c r="U670" s="2" t="s">
        <v>4988</v>
      </c>
      <c r="V670" s="2" t="s">
        <v>4989</v>
      </c>
      <c r="W670" s="1"/>
      <c r="X670" s="2" t="s">
        <v>2429</v>
      </c>
      <c r="Y670" s="2" t="s">
        <v>4978</v>
      </c>
      <c r="AA670" t="str">
        <f t="shared" si="60"/>
        <v>2026-04</v>
      </c>
      <c r="AB670" t="str">
        <f t="shared" si="61"/>
        <v>H1_2026</v>
      </c>
      <c r="AC670">
        <f t="shared" si="62"/>
        <v>267239.28000000003</v>
      </c>
      <c r="AD670">
        <f t="shared" si="63"/>
        <v>42</v>
      </c>
      <c r="AE670">
        <f t="shared" si="64"/>
        <v>65219.28</v>
      </c>
      <c r="AF670" t="str">
        <f t="shared" si="65"/>
        <v>Paid</v>
      </c>
    </row>
    <row r="671" spans="1:32" ht="27.75" thickBot="1" x14ac:dyDescent="0.35">
      <c r="A671" s="2" t="s">
        <v>4990</v>
      </c>
      <c r="B671" s="2" t="s">
        <v>27</v>
      </c>
      <c r="C671" s="2" t="s">
        <v>28</v>
      </c>
      <c r="D671" s="2" t="s">
        <v>97</v>
      </c>
      <c r="E671" s="2" t="s">
        <v>4974</v>
      </c>
      <c r="F671" s="2" t="s">
        <v>99</v>
      </c>
      <c r="G671" s="2" t="s">
        <v>32</v>
      </c>
      <c r="H671" s="1"/>
      <c r="I671" s="2" t="s">
        <v>33</v>
      </c>
      <c r="J671" s="2" t="s">
        <v>34</v>
      </c>
      <c r="K671" s="2" t="s">
        <v>4894</v>
      </c>
      <c r="L671" s="2" t="s">
        <v>4895</v>
      </c>
      <c r="M671" s="2" t="s">
        <v>1887</v>
      </c>
      <c r="N671" s="2" t="s">
        <v>38</v>
      </c>
      <c r="O671" s="2" t="s">
        <v>839</v>
      </c>
      <c r="P671" s="2" t="s">
        <v>4877</v>
      </c>
      <c r="Q671" s="2" t="s">
        <v>4878</v>
      </c>
      <c r="R671" s="2" t="s">
        <v>40</v>
      </c>
      <c r="S671" s="2" t="s">
        <v>4879</v>
      </c>
      <c r="T671" s="2" t="s">
        <v>3871</v>
      </c>
      <c r="U671" s="2" t="s">
        <v>4880</v>
      </c>
      <c r="V671" s="2" t="s">
        <v>4881</v>
      </c>
      <c r="W671" s="1"/>
      <c r="X671" s="2" t="s">
        <v>4882</v>
      </c>
      <c r="Y671" s="2" t="s">
        <v>4978</v>
      </c>
      <c r="AA671" t="str">
        <f t="shared" si="60"/>
        <v>2026-04</v>
      </c>
      <c r="AB671" t="str">
        <f t="shared" si="61"/>
        <v>H1_2026</v>
      </c>
      <c r="AC671">
        <f t="shared" si="62"/>
        <v>2067113.18</v>
      </c>
      <c r="AD671">
        <f t="shared" si="63"/>
        <v>96</v>
      </c>
      <c r="AE671">
        <f t="shared" si="64"/>
        <v>1285673.18</v>
      </c>
      <c r="AF671" t="str">
        <f t="shared" si="65"/>
        <v>Paid</v>
      </c>
    </row>
    <row r="672" spans="1:32" ht="27.75" thickBot="1" x14ac:dyDescent="0.35">
      <c r="A672" s="2" t="s">
        <v>343</v>
      </c>
      <c r="B672" s="2" t="s">
        <v>27</v>
      </c>
      <c r="C672" s="2" t="s">
        <v>28</v>
      </c>
      <c r="D672" s="2" t="s">
        <v>97</v>
      </c>
      <c r="E672" s="2" t="s">
        <v>4974</v>
      </c>
      <c r="F672" s="2" t="s">
        <v>99</v>
      </c>
      <c r="G672" s="2" t="s">
        <v>32</v>
      </c>
      <c r="H672" s="1"/>
      <c r="I672" s="2" t="s">
        <v>33</v>
      </c>
      <c r="J672" s="2" t="s">
        <v>34</v>
      </c>
      <c r="K672" s="2" t="s">
        <v>4901</v>
      </c>
      <c r="L672" s="2" t="s">
        <v>4902</v>
      </c>
      <c r="M672" s="2" t="s">
        <v>1887</v>
      </c>
      <c r="N672" s="2" t="s">
        <v>38</v>
      </c>
      <c r="O672" s="2" t="s">
        <v>2252</v>
      </c>
      <c r="P672" s="2" t="s">
        <v>284</v>
      </c>
      <c r="Q672" s="2" t="s">
        <v>4991</v>
      </c>
      <c r="R672" s="2" t="s">
        <v>40</v>
      </c>
      <c r="S672" s="2" t="s">
        <v>4992</v>
      </c>
      <c r="T672" s="2" t="s">
        <v>4905</v>
      </c>
      <c r="U672" s="2" t="s">
        <v>4993</v>
      </c>
      <c r="V672" s="2" t="s">
        <v>4994</v>
      </c>
      <c r="W672" s="1"/>
      <c r="X672" s="2" t="s">
        <v>4908</v>
      </c>
      <c r="Y672" s="2" t="s">
        <v>4978</v>
      </c>
      <c r="AA672" t="str">
        <f t="shared" si="60"/>
        <v>2026-04</v>
      </c>
      <c r="AB672" t="str">
        <f t="shared" si="61"/>
        <v>H1_2026</v>
      </c>
      <c r="AC672">
        <f t="shared" si="62"/>
        <v>3037677.66</v>
      </c>
      <c r="AD672">
        <f t="shared" si="63"/>
        <v>270</v>
      </c>
      <c r="AE672">
        <f t="shared" si="64"/>
        <v>553677.66</v>
      </c>
      <c r="AF672" t="str">
        <f t="shared" si="65"/>
        <v>Paid</v>
      </c>
    </row>
    <row r="673" spans="1:32" ht="17.25" thickBot="1" x14ac:dyDescent="0.35">
      <c r="A673" s="2" t="s">
        <v>4995</v>
      </c>
      <c r="B673" s="2" t="s">
        <v>27</v>
      </c>
      <c r="C673" s="2" t="s">
        <v>28</v>
      </c>
      <c r="D673" s="2" t="s">
        <v>97</v>
      </c>
      <c r="E673" s="2" t="s">
        <v>4974</v>
      </c>
      <c r="F673" s="2" t="s">
        <v>99</v>
      </c>
      <c r="G673" s="2" t="s">
        <v>32</v>
      </c>
      <c r="H673" s="1"/>
      <c r="I673" s="2" t="s">
        <v>33</v>
      </c>
      <c r="J673" s="2" t="s">
        <v>34</v>
      </c>
      <c r="K673" s="2" t="s">
        <v>4910</v>
      </c>
      <c r="L673" s="2" t="s">
        <v>4911</v>
      </c>
      <c r="M673" s="2" t="s">
        <v>1887</v>
      </c>
      <c r="N673" s="2" t="s">
        <v>38</v>
      </c>
      <c r="O673" s="2" t="s">
        <v>391</v>
      </c>
      <c r="P673" s="2" t="s">
        <v>4912</v>
      </c>
      <c r="Q673" s="2" t="s">
        <v>4996</v>
      </c>
      <c r="R673" s="2" t="s">
        <v>40</v>
      </c>
      <c r="S673" s="2" t="s">
        <v>4997</v>
      </c>
      <c r="T673" s="2" t="s">
        <v>1991</v>
      </c>
      <c r="U673" s="2" t="s">
        <v>4998</v>
      </c>
      <c r="V673" s="2" t="s">
        <v>4999</v>
      </c>
      <c r="W673" s="1"/>
      <c r="X673" s="2" t="s">
        <v>2429</v>
      </c>
      <c r="Y673" s="2" t="s">
        <v>4978</v>
      </c>
      <c r="AA673" t="str">
        <f t="shared" si="60"/>
        <v>2026-04</v>
      </c>
      <c r="AB673" t="str">
        <f t="shared" si="61"/>
        <v>H1_2026</v>
      </c>
      <c r="AC673">
        <f t="shared" si="62"/>
        <v>543155.16</v>
      </c>
      <c r="AD673">
        <f t="shared" si="63"/>
        <v>60</v>
      </c>
      <c r="AE673">
        <f t="shared" si="64"/>
        <v>132455.16</v>
      </c>
      <c r="AF673" t="str">
        <f t="shared" si="65"/>
        <v>Paid</v>
      </c>
    </row>
    <row r="674" spans="1:32" ht="17.25" thickBot="1" x14ac:dyDescent="0.35">
      <c r="A674" s="2" t="s">
        <v>5000</v>
      </c>
      <c r="B674" s="2" t="s">
        <v>27</v>
      </c>
      <c r="C674" s="2" t="s">
        <v>28</v>
      </c>
      <c r="D674" s="2" t="s">
        <v>97</v>
      </c>
      <c r="E674" s="2" t="s">
        <v>4974</v>
      </c>
      <c r="F674" s="2" t="s">
        <v>99</v>
      </c>
      <c r="G674" s="2" t="s">
        <v>32</v>
      </c>
      <c r="H674" s="1"/>
      <c r="I674" s="2" t="s">
        <v>33</v>
      </c>
      <c r="J674" s="2" t="s">
        <v>34</v>
      </c>
      <c r="K674" s="2" t="s">
        <v>4926</v>
      </c>
      <c r="L674" s="2" t="s">
        <v>4927</v>
      </c>
      <c r="M674" s="2" t="s">
        <v>1887</v>
      </c>
      <c r="N674" s="2" t="s">
        <v>38</v>
      </c>
      <c r="O674" s="2" t="s">
        <v>370</v>
      </c>
      <c r="P674" s="2" t="s">
        <v>4928</v>
      </c>
      <c r="Q674" s="2" t="s">
        <v>5001</v>
      </c>
      <c r="R674" s="2" t="s">
        <v>40</v>
      </c>
      <c r="S674" s="2" t="s">
        <v>5002</v>
      </c>
      <c r="T674" s="2" t="s">
        <v>2206</v>
      </c>
      <c r="U674" s="2" t="s">
        <v>5003</v>
      </c>
      <c r="V674" s="2" t="s">
        <v>5004</v>
      </c>
      <c r="W674" s="1"/>
      <c r="X674" s="2" t="s">
        <v>4934</v>
      </c>
      <c r="Y674" s="2" t="s">
        <v>4978</v>
      </c>
      <c r="AA674" t="str">
        <f t="shared" si="60"/>
        <v>2026-04</v>
      </c>
      <c r="AB674" t="str">
        <f t="shared" si="61"/>
        <v>H1_2026</v>
      </c>
      <c r="AC674">
        <f t="shared" si="62"/>
        <v>4581244.8</v>
      </c>
      <c r="AD674">
        <f t="shared" si="63"/>
        <v>480</v>
      </c>
      <c r="AE674">
        <f t="shared" si="64"/>
        <v>837244.8</v>
      </c>
      <c r="AF674" t="str">
        <f t="shared" si="65"/>
        <v>Paid</v>
      </c>
    </row>
    <row r="675" spans="1:32" ht="17.25" thickBot="1" x14ac:dyDescent="0.35">
      <c r="A675" s="2" t="s">
        <v>5005</v>
      </c>
      <c r="B675" s="2" t="s">
        <v>27</v>
      </c>
      <c r="C675" s="2" t="s">
        <v>28</v>
      </c>
      <c r="D675" s="2" t="s">
        <v>97</v>
      </c>
      <c r="E675" s="2" t="s">
        <v>4974</v>
      </c>
      <c r="F675" s="2" t="s">
        <v>99</v>
      </c>
      <c r="G675" s="2" t="s">
        <v>32</v>
      </c>
      <c r="H675" s="1"/>
      <c r="I675" s="2" t="s">
        <v>33</v>
      </c>
      <c r="J675" s="2" t="s">
        <v>34</v>
      </c>
      <c r="K675" s="2" t="s">
        <v>4936</v>
      </c>
      <c r="L675" s="2" t="s">
        <v>4937</v>
      </c>
      <c r="M675" s="2" t="s">
        <v>1887</v>
      </c>
      <c r="N675" s="2" t="s">
        <v>38</v>
      </c>
      <c r="O675" s="2" t="s">
        <v>351</v>
      </c>
      <c r="P675" s="2" t="s">
        <v>4938</v>
      </c>
      <c r="Q675" s="2" t="s">
        <v>3768</v>
      </c>
      <c r="R675" s="2" t="s">
        <v>40</v>
      </c>
      <c r="S675" s="2" t="s">
        <v>4939</v>
      </c>
      <c r="T675" s="2" t="s">
        <v>4940</v>
      </c>
      <c r="U675" s="2" t="s">
        <v>4941</v>
      </c>
      <c r="V675" s="2" t="s">
        <v>4942</v>
      </c>
      <c r="W675" s="1"/>
      <c r="X675" s="2" t="s">
        <v>2429</v>
      </c>
      <c r="Y675" s="2" t="s">
        <v>4978</v>
      </c>
      <c r="AA675" t="str">
        <f t="shared" si="60"/>
        <v>2026-04</v>
      </c>
      <c r="AB675" t="str">
        <f t="shared" si="61"/>
        <v>H1_2026</v>
      </c>
      <c r="AC675">
        <f t="shared" si="62"/>
        <v>482852.79</v>
      </c>
      <c r="AD675">
        <f t="shared" si="63"/>
        <v>42</v>
      </c>
      <c r="AE675">
        <f t="shared" si="64"/>
        <v>117662.79</v>
      </c>
      <c r="AF675" t="str">
        <f t="shared" si="65"/>
        <v>Paid</v>
      </c>
    </row>
    <row r="676" spans="1:32" ht="27.75" thickBot="1" x14ac:dyDescent="0.35">
      <c r="A676" s="2" t="s">
        <v>2654</v>
      </c>
      <c r="B676" s="2" t="s">
        <v>27</v>
      </c>
      <c r="C676" s="2" t="s">
        <v>28</v>
      </c>
      <c r="D676" s="2" t="s">
        <v>97</v>
      </c>
      <c r="E676" s="2" t="s">
        <v>4974</v>
      </c>
      <c r="F676" s="2" t="s">
        <v>99</v>
      </c>
      <c r="G676" s="2" t="s">
        <v>32</v>
      </c>
      <c r="H676" s="1"/>
      <c r="I676" s="2" t="s">
        <v>33</v>
      </c>
      <c r="J676" s="2" t="s">
        <v>34</v>
      </c>
      <c r="K676" s="2" t="s">
        <v>3866</v>
      </c>
      <c r="L676" s="2" t="s">
        <v>3867</v>
      </c>
      <c r="M676" s="2" t="s">
        <v>1887</v>
      </c>
      <c r="N676" s="2" t="s">
        <v>38</v>
      </c>
      <c r="O676" s="2" t="s">
        <v>1641</v>
      </c>
      <c r="P676" s="2" t="s">
        <v>4877</v>
      </c>
      <c r="Q676" s="2" t="s">
        <v>5006</v>
      </c>
      <c r="R676" s="2" t="s">
        <v>40</v>
      </c>
      <c r="S676" s="2" t="s">
        <v>5007</v>
      </c>
      <c r="T676" s="2" t="s">
        <v>3871</v>
      </c>
      <c r="U676" s="2" t="s">
        <v>5008</v>
      </c>
      <c r="V676" s="2" t="s">
        <v>5009</v>
      </c>
      <c r="W676" s="1"/>
      <c r="X676" s="2" t="s">
        <v>4882</v>
      </c>
      <c r="Y676" s="2" t="s">
        <v>4978</v>
      </c>
      <c r="AA676" t="str">
        <f t="shared" si="60"/>
        <v>2026-04</v>
      </c>
      <c r="AB676" t="str">
        <f t="shared" si="61"/>
        <v>H1_2026</v>
      </c>
      <c r="AC676">
        <f t="shared" si="62"/>
        <v>4134226.37</v>
      </c>
      <c r="AD676">
        <f t="shared" si="63"/>
        <v>192</v>
      </c>
      <c r="AE676">
        <f t="shared" si="64"/>
        <v>2571346.37</v>
      </c>
      <c r="AF676" t="str">
        <f t="shared" si="65"/>
        <v>Paid</v>
      </c>
    </row>
    <row r="677" spans="1:32" ht="27.75" thickBot="1" x14ac:dyDescent="0.35">
      <c r="A677" s="2" t="s">
        <v>5010</v>
      </c>
      <c r="B677" s="2" t="s">
        <v>27</v>
      </c>
      <c r="C677" s="2" t="s">
        <v>28</v>
      </c>
      <c r="D677" s="2" t="s">
        <v>97</v>
      </c>
      <c r="E677" s="2" t="s">
        <v>4974</v>
      </c>
      <c r="F677" s="2" t="s">
        <v>99</v>
      </c>
      <c r="G677" s="2" t="s">
        <v>32</v>
      </c>
      <c r="H677" s="1"/>
      <c r="I677" s="2" t="s">
        <v>33</v>
      </c>
      <c r="J677" s="2" t="s">
        <v>34</v>
      </c>
      <c r="K677" s="2" t="s">
        <v>5011</v>
      </c>
      <c r="L677" s="2" t="s">
        <v>5012</v>
      </c>
      <c r="M677" s="2" t="s">
        <v>1887</v>
      </c>
      <c r="N677" s="2" t="s">
        <v>38</v>
      </c>
      <c r="O677" s="2" t="s">
        <v>351</v>
      </c>
      <c r="P677" s="2" t="s">
        <v>1744</v>
      </c>
      <c r="Q677" s="2" t="s">
        <v>5013</v>
      </c>
      <c r="R677" s="2" t="s">
        <v>40</v>
      </c>
      <c r="S677" s="2" t="s">
        <v>5014</v>
      </c>
      <c r="T677" s="2" t="s">
        <v>1955</v>
      </c>
      <c r="U677" s="2" t="s">
        <v>5015</v>
      </c>
      <c r="V677" s="2" t="s">
        <v>5016</v>
      </c>
      <c r="W677" s="1"/>
      <c r="X677" s="2" t="s">
        <v>2429</v>
      </c>
      <c r="Y677" s="2" t="s">
        <v>4978</v>
      </c>
      <c r="AA677" t="str">
        <f t="shared" si="60"/>
        <v>2026-04</v>
      </c>
      <c r="AB677" t="str">
        <f t="shared" si="61"/>
        <v>H1_2026</v>
      </c>
      <c r="AC677">
        <f t="shared" si="62"/>
        <v>493177.94</v>
      </c>
      <c r="AD677">
        <f t="shared" si="63"/>
        <v>42</v>
      </c>
      <c r="AE677">
        <f t="shared" si="64"/>
        <v>120217.94</v>
      </c>
      <c r="AF677" t="str">
        <f t="shared" si="65"/>
        <v>Paid</v>
      </c>
    </row>
    <row r="678" spans="1:32" ht="17.25" thickBot="1" x14ac:dyDescent="0.35">
      <c r="A678" s="2" t="s">
        <v>5017</v>
      </c>
      <c r="B678" s="2" t="s">
        <v>27</v>
      </c>
      <c r="C678" s="2" t="s">
        <v>28</v>
      </c>
      <c r="D678" s="2" t="s">
        <v>97</v>
      </c>
      <c r="E678" s="2" t="s">
        <v>4974</v>
      </c>
      <c r="F678" s="2" t="s">
        <v>99</v>
      </c>
      <c r="G678" s="2" t="s">
        <v>32</v>
      </c>
      <c r="H678" s="1"/>
      <c r="I678" s="2" t="s">
        <v>33</v>
      </c>
      <c r="J678" s="2" t="s">
        <v>34</v>
      </c>
      <c r="K678" s="2" t="s">
        <v>4962</v>
      </c>
      <c r="L678" s="2" t="s">
        <v>4963</v>
      </c>
      <c r="M678" s="2" t="s">
        <v>1887</v>
      </c>
      <c r="N678" s="2" t="s">
        <v>38</v>
      </c>
      <c r="O678" s="2" t="s">
        <v>131</v>
      </c>
      <c r="P678" s="2" t="s">
        <v>4964</v>
      </c>
      <c r="Q678" s="2" t="s">
        <v>5018</v>
      </c>
      <c r="R678" s="2" t="s">
        <v>40</v>
      </c>
      <c r="S678" s="2" t="s">
        <v>5019</v>
      </c>
      <c r="T678" s="2" t="s">
        <v>4967</v>
      </c>
      <c r="U678" s="2" t="s">
        <v>5020</v>
      </c>
      <c r="V678" s="2" t="s">
        <v>5021</v>
      </c>
      <c r="W678" s="1"/>
      <c r="X678" s="2" t="s">
        <v>2429</v>
      </c>
      <c r="Y678" s="2" t="s">
        <v>4978</v>
      </c>
      <c r="AA678" t="str">
        <f t="shared" si="60"/>
        <v>2026-04</v>
      </c>
      <c r="AB678" t="str">
        <f t="shared" si="61"/>
        <v>H1_2026</v>
      </c>
      <c r="AC678">
        <f t="shared" si="62"/>
        <v>250464.52</v>
      </c>
      <c r="AD678">
        <f t="shared" si="63"/>
        <v>40</v>
      </c>
      <c r="AE678">
        <f t="shared" si="64"/>
        <v>61024.52</v>
      </c>
      <c r="AF678" t="str">
        <f t="shared" si="65"/>
        <v>Paid</v>
      </c>
    </row>
    <row r="679" spans="1:32" ht="17.25" thickBot="1" x14ac:dyDescent="0.35">
      <c r="A679" s="2" t="s">
        <v>3567</v>
      </c>
      <c r="B679" s="2" t="s">
        <v>27</v>
      </c>
      <c r="C679" s="2" t="s">
        <v>28</v>
      </c>
      <c r="D679" s="2" t="s">
        <v>97</v>
      </c>
      <c r="E679" s="2" t="s">
        <v>4974</v>
      </c>
      <c r="F679" s="2" t="s">
        <v>99</v>
      </c>
      <c r="G679" s="2" t="s">
        <v>32</v>
      </c>
      <c r="H679" s="1"/>
      <c r="I679" s="2" t="s">
        <v>33</v>
      </c>
      <c r="J679" s="2" t="s">
        <v>34</v>
      </c>
      <c r="K679" s="2" t="s">
        <v>5022</v>
      </c>
      <c r="L679" s="2" t="s">
        <v>5023</v>
      </c>
      <c r="M679" s="2" t="s">
        <v>772</v>
      </c>
      <c r="N679" s="2" t="s">
        <v>38</v>
      </c>
      <c r="O679" s="2" t="s">
        <v>1951</v>
      </c>
      <c r="P679" s="2" t="s">
        <v>5024</v>
      </c>
      <c r="Q679" s="2" t="s">
        <v>5025</v>
      </c>
      <c r="R679" s="2" t="s">
        <v>40</v>
      </c>
      <c r="S679" s="2" t="s">
        <v>5026</v>
      </c>
      <c r="T679" s="2" t="s">
        <v>5027</v>
      </c>
      <c r="U679" s="2" t="s">
        <v>5028</v>
      </c>
      <c r="V679" s="2" t="s">
        <v>5029</v>
      </c>
      <c r="W679" s="1"/>
      <c r="X679" s="2" t="s">
        <v>5030</v>
      </c>
      <c r="Y679" s="2" t="s">
        <v>4978</v>
      </c>
      <c r="AA679" t="str">
        <f t="shared" si="60"/>
        <v>2026-04</v>
      </c>
      <c r="AB679" t="str">
        <f t="shared" si="61"/>
        <v>H1_2026</v>
      </c>
      <c r="AC679">
        <f t="shared" si="62"/>
        <v>83503598.400000006</v>
      </c>
      <c r="AD679">
        <f t="shared" si="63"/>
        <v>600</v>
      </c>
      <c r="AE679">
        <f t="shared" si="64"/>
        <v>16003598.4</v>
      </c>
      <c r="AF679" t="str">
        <f t="shared" si="65"/>
        <v>Paid</v>
      </c>
    </row>
    <row r="680" spans="1:32" ht="17.25" thickBot="1" x14ac:dyDescent="0.35">
      <c r="A680" s="2" t="s">
        <v>5031</v>
      </c>
      <c r="B680" s="2" t="s">
        <v>27</v>
      </c>
      <c r="C680" s="2" t="s">
        <v>28</v>
      </c>
      <c r="D680" s="2" t="s">
        <v>97</v>
      </c>
      <c r="E680" s="2" t="s">
        <v>4974</v>
      </c>
      <c r="F680" s="2" t="s">
        <v>99</v>
      </c>
      <c r="G680" s="2" t="s">
        <v>32</v>
      </c>
      <c r="H680" s="1"/>
      <c r="I680" s="2" t="s">
        <v>33</v>
      </c>
      <c r="J680" s="2" t="s">
        <v>34</v>
      </c>
      <c r="K680" s="2" t="s">
        <v>5032</v>
      </c>
      <c r="L680" s="2" t="s">
        <v>5033</v>
      </c>
      <c r="M680" s="2" t="s">
        <v>772</v>
      </c>
      <c r="N680" s="2" t="s">
        <v>38</v>
      </c>
      <c r="O680" s="2" t="s">
        <v>877</v>
      </c>
      <c r="P680" s="2" t="s">
        <v>5024</v>
      </c>
      <c r="Q680" s="2" t="s">
        <v>5034</v>
      </c>
      <c r="R680" s="2" t="s">
        <v>40</v>
      </c>
      <c r="S680" s="2" t="s">
        <v>5035</v>
      </c>
      <c r="T680" s="2" t="s">
        <v>5027</v>
      </c>
      <c r="U680" s="2" t="s">
        <v>5036</v>
      </c>
      <c r="V680" s="2" t="s">
        <v>5037</v>
      </c>
      <c r="W680" s="1"/>
      <c r="X680" s="2" t="s">
        <v>5030</v>
      </c>
      <c r="Y680" s="2" t="s">
        <v>4978</v>
      </c>
      <c r="AA680" t="str">
        <f t="shared" si="60"/>
        <v>2026-04</v>
      </c>
      <c r="AB680" t="str">
        <f t="shared" si="61"/>
        <v>H1_2026</v>
      </c>
      <c r="AC680">
        <f t="shared" si="62"/>
        <v>13917266.4</v>
      </c>
      <c r="AD680">
        <f t="shared" si="63"/>
        <v>100</v>
      </c>
      <c r="AE680">
        <f t="shared" si="64"/>
        <v>2667266.4</v>
      </c>
      <c r="AF680" t="str">
        <f t="shared" si="65"/>
        <v>Paid</v>
      </c>
    </row>
    <row r="681" spans="1:32" ht="27.75" thickBot="1" x14ac:dyDescent="0.35">
      <c r="A681" s="2" t="s">
        <v>5038</v>
      </c>
      <c r="B681" s="2" t="s">
        <v>27</v>
      </c>
      <c r="C681" s="2" t="s">
        <v>28</v>
      </c>
      <c r="D681" s="2" t="s">
        <v>97</v>
      </c>
      <c r="E681" s="2" t="s">
        <v>5039</v>
      </c>
      <c r="F681" s="2" t="s">
        <v>99</v>
      </c>
      <c r="G681" s="2" t="s">
        <v>32</v>
      </c>
      <c r="H681" s="1"/>
      <c r="I681" s="2" t="s">
        <v>33</v>
      </c>
      <c r="J681" s="2" t="s">
        <v>34</v>
      </c>
      <c r="K681" s="2" t="s">
        <v>314</v>
      </c>
      <c r="L681" s="2" t="s">
        <v>315</v>
      </c>
      <c r="M681" s="2" t="s">
        <v>304</v>
      </c>
      <c r="N681" s="2" t="s">
        <v>38</v>
      </c>
      <c r="O681" s="2" t="s">
        <v>141</v>
      </c>
      <c r="P681" s="2" t="s">
        <v>306</v>
      </c>
      <c r="Q681" s="2" t="s">
        <v>5040</v>
      </c>
      <c r="R681" s="2" t="s">
        <v>40</v>
      </c>
      <c r="S681" s="2" t="s">
        <v>5041</v>
      </c>
      <c r="T681" s="2" t="s">
        <v>309</v>
      </c>
      <c r="U681" s="2" t="s">
        <v>5042</v>
      </c>
      <c r="V681" s="2" t="s">
        <v>5043</v>
      </c>
      <c r="W681" s="1"/>
      <c r="X681" s="2" t="s">
        <v>322</v>
      </c>
      <c r="Y681" s="2" t="s">
        <v>5044</v>
      </c>
      <c r="AA681" t="str">
        <f t="shared" si="60"/>
        <v>2026-04</v>
      </c>
      <c r="AB681" t="str">
        <f t="shared" si="61"/>
        <v>H1_2026</v>
      </c>
      <c r="AC681">
        <f t="shared" si="62"/>
        <v>265614.57</v>
      </c>
      <c r="AD681">
        <f t="shared" si="63"/>
        <v>30</v>
      </c>
      <c r="AE681">
        <f t="shared" si="64"/>
        <v>32814.57</v>
      </c>
      <c r="AF681" t="str">
        <f t="shared" si="65"/>
        <v>Paid</v>
      </c>
    </row>
    <row r="682" spans="1:32" ht="17.25" thickBot="1" x14ac:dyDescent="0.35">
      <c r="A682" s="2" t="s">
        <v>5045</v>
      </c>
      <c r="B682" s="2" t="s">
        <v>27</v>
      </c>
      <c r="C682" s="2" t="s">
        <v>28</v>
      </c>
      <c r="D682" s="2" t="s">
        <v>97</v>
      </c>
      <c r="E682" s="2" t="s">
        <v>5039</v>
      </c>
      <c r="F682" s="2" t="s">
        <v>99</v>
      </c>
      <c r="G682" s="2" t="s">
        <v>32</v>
      </c>
      <c r="H682" s="1"/>
      <c r="I682" s="2" t="s">
        <v>33</v>
      </c>
      <c r="J682" s="2" t="s">
        <v>34</v>
      </c>
      <c r="K682" s="2" t="s">
        <v>324</v>
      </c>
      <c r="L682" s="2" t="s">
        <v>325</v>
      </c>
      <c r="M682" s="2" t="s">
        <v>304</v>
      </c>
      <c r="N682" s="2" t="s">
        <v>38</v>
      </c>
      <c r="O682" s="2" t="s">
        <v>1644</v>
      </c>
      <c r="P682" s="2" t="s">
        <v>1933</v>
      </c>
      <c r="Q682" s="2" t="s">
        <v>5046</v>
      </c>
      <c r="R682" s="2" t="s">
        <v>40</v>
      </c>
      <c r="S682" s="2" t="s">
        <v>5047</v>
      </c>
      <c r="T682" s="2" t="s">
        <v>452</v>
      </c>
      <c r="U682" s="2" t="s">
        <v>5048</v>
      </c>
      <c r="V682" s="2" t="s">
        <v>5049</v>
      </c>
      <c r="W682" s="1"/>
      <c r="X682" s="2" t="s">
        <v>387</v>
      </c>
      <c r="Y682" s="2" t="s">
        <v>5044</v>
      </c>
      <c r="AA682" t="str">
        <f t="shared" si="60"/>
        <v>2026-04</v>
      </c>
      <c r="AB682" t="str">
        <f t="shared" si="61"/>
        <v>H1_2026</v>
      </c>
      <c r="AC682">
        <f t="shared" si="62"/>
        <v>15041145.6</v>
      </c>
      <c r="AD682">
        <f t="shared" si="63"/>
        <v>1200</v>
      </c>
      <c r="AE682">
        <f t="shared" si="64"/>
        <v>1745145.6</v>
      </c>
      <c r="AF682" t="str">
        <f t="shared" si="65"/>
        <v>Paid</v>
      </c>
    </row>
    <row r="683" spans="1:32" ht="17.25" thickBot="1" x14ac:dyDescent="0.35">
      <c r="A683" s="2" t="s">
        <v>5050</v>
      </c>
      <c r="B683" s="2" t="s">
        <v>27</v>
      </c>
      <c r="C683" s="2" t="s">
        <v>28</v>
      </c>
      <c r="D683" s="2" t="s">
        <v>97</v>
      </c>
      <c r="E683" s="2" t="s">
        <v>5039</v>
      </c>
      <c r="F683" s="2" t="s">
        <v>99</v>
      </c>
      <c r="G683" s="2" t="s">
        <v>32</v>
      </c>
      <c r="H683" s="1"/>
      <c r="I683" s="2" t="s">
        <v>33</v>
      </c>
      <c r="J683" s="2" t="s">
        <v>34</v>
      </c>
      <c r="K683" s="2" t="s">
        <v>334</v>
      </c>
      <c r="L683" s="2" t="s">
        <v>335</v>
      </c>
      <c r="M683" s="2" t="s">
        <v>304</v>
      </c>
      <c r="N683" s="2" t="s">
        <v>38</v>
      </c>
      <c r="O683" s="2" t="s">
        <v>652</v>
      </c>
      <c r="P683" s="2" t="s">
        <v>4750</v>
      </c>
      <c r="Q683" s="2" t="s">
        <v>5051</v>
      </c>
      <c r="R683" s="2" t="s">
        <v>40</v>
      </c>
      <c r="S683" s="2" t="s">
        <v>5052</v>
      </c>
      <c r="T683" s="2" t="s">
        <v>309</v>
      </c>
      <c r="U683" s="2" t="s">
        <v>5053</v>
      </c>
      <c r="V683" s="2" t="s">
        <v>5054</v>
      </c>
      <c r="W683" s="1"/>
      <c r="X683" s="2" t="s">
        <v>312</v>
      </c>
      <c r="Y683" s="2" t="s">
        <v>5044</v>
      </c>
      <c r="AA683" t="str">
        <f t="shared" si="60"/>
        <v>2026-04</v>
      </c>
      <c r="AB683" t="str">
        <f t="shared" si="61"/>
        <v>H1_2026</v>
      </c>
      <c r="AC683">
        <f t="shared" si="62"/>
        <v>670643.53</v>
      </c>
      <c r="AD683">
        <f t="shared" si="63"/>
        <v>76</v>
      </c>
      <c r="AE683">
        <f t="shared" si="64"/>
        <v>80883.53</v>
      </c>
      <c r="AF683" t="str">
        <f t="shared" si="65"/>
        <v>Paid</v>
      </c>
    </row>
    <row r="684" spans="1:32" ht="27.75" thickBot="1" x14ac:dyDescent="0.35">
      <c r="A684" s="2" t="s">
        <v>5055</v>
      </c>
      <c r="B684" s="2" t="s">
        <v>27</v>
      </c>
      <c r="C684" s="2" t="s">
        <v>28</v>
      </c>
      <c r="D684" s="2" t="s">
        <v>97</v>
      </c>
      <c r="E684" s="2" t="s">
        <v>5039</v>
      </c>
      <c r="F684" s="2" t="s">
        <v>99</v>
      </c>
      <c r="G684" s="2" t="s">
        <v>32</v>
      </c>
      <c r="H684" s="1"/>
      <c r="I684" s="2" t="s">
        <v>33</v>
      </c>
      <c r="J684" s="2" t="s">
        <v>34</v>
      </c>
      <c r="K684" s="2" t="s">
        <v>360</v>
      </c>
      <c r="L684" s="2" t="s">
        <v>361</v>
      </c>
      <c r="M684" s="2" t="s">
        <v>304</v>
      </c>
      <c r="N684" s="2" t="s">
        <v>38</v>
      </c>
      <c r="O684" s="2" t="s">
        <v>480</v>
      </c>
      <c r="P684" s="2" t="s">
        <v>4750</v>
      </c>
      <c r="Q684" s="2" t="s">
        <v>5056</v>
      </c>
      <c r="R684" s="2" t="s">
        <v>40</v>
      </c>
      <c r="S684" s="2" t="s">
        <v>5057</v>
      </c>
      <c r="T684" s="2" t="s">
        <v>309</v>
      </c>
      <c r="U684" s="2" t="s">
        <v>5058</v>
      </c>
      <c r="V684" s="2" t="s">
        <v>5059</v>
      </c>
      <c r="W684" s="1"/>
      <c r="X684" s="2" t="s">
        <v>312</v>
      </c>
      <c r="Y684" s="2" t="s">
        <v>5044</v>
      </c>
      <c r="AA684" t="str">
        <f t="shared" si="60"/>
        <v>2026-04</v>
      </c>
      <c r="AB684" t="str">
        <f t="shared" si="61"/>
        <v>H1_2026</v>
      </c>
      <c r="AC684">
        <f t="shared" si="62"/>
        <v>494158.39</v>
      </c>
      <c r="AD684">
        <f t="shared" si="63"/>
        <v>56</v>
      </c>
      <c r="AE684">
        <f t="shared" si="64"/>
        <v>59598.39</v>
      </c>
      <c r="AF684" t="str">
        <f t="shared" si="65"/>
        <v>Paid</v>
      </c>
    </row>
    <row r="685" spans="1:32" ht="27.75" thickBot="1" x14ac:dyDescent="0.35">
      <c r="A685" s="2" t="s">
        <v>5060</v>
      </c>
      <c r="B685" s="2" t="s">
        <v>27</v>
      </c>
      <c r="C685" s="2" t="s">
        <v>28</v>
      </c>
      <c r="D685" s="2" t="s">
        <v>97</v>
      </c>
      <c r="E685" s="2" t="s">
        <v>5039</v>
      </c>
      <c r="F685" s="2" t="s">
        <v>99</v>
      </c>
      <c r="G685" s="2" t="s">
        <v>32</v>
      </c>
      <c r="H685" s="1"/>
      <c r="I685" s="2" t="s">
        <v>33</v>
      </c>
      <c r="J685" s="2" t="s">
        <v>34</v>
      </c>
      <c r="K685" s="2" t="s">
        <v>4756</v>
      </c>
      <c r="L685" s="2" t="s">
        <v>4757</v>
      </c>
      <c r="M685" s="2" t="s">
        <v>304</v>
      </c>
      <c r="N685" s="2" t="s">
        <v>38</v>
      </c>
      <c r="O685" s="2" t="s">
        <v>5061</v>
      </c>
      <c r="P685" s="2" t="s">
        <v>381</v>
      </c>
      <c r="Q685" s="2" t="s">
        <v>5062</v>
      </c>
      <c r="R685" s="2" t="s">
        <v>40</v>
      </c>
      <c r="S685" s="2" t="s">
        <v>5063</v>
      </c>
      <c r="T685" s="2" t="s">
        <v>384</v>
      </c>
      <c r="U685" s="2" t="s">
        <v>5064</v>
      </c>
      <c r="V685" s="2" t="s">
        <v>5065</v>
      </c>
      <c r="W685" s="1"/>
      <c r="X685" s="2" t="s">
        <v>377</v>
      </c>
      <c r="Y685" s="2" t="s">
        <v>5044</v>
      </c>
      <c r="AA685" t="str">
        <f t="shared" si="60"/>
        <v>2026-04</v>
      </c>
      <c r="AB685" t="str">
        <f t="shared" si="61"/>
        <v>H1_2026</v>
      </c>
      <c r="AC685">
        <f t="shared" si="62"/>
        <v>1605527</v>
      </c>
      <c r="AD685">
        <f t="shared" si="63"/>
        <v>729</v>
      </c>
      <c r="AE685">
        <f t="shared" si="64"/>
        <v>191267</v>
      </c>
      <c r="AF685" t="str">
        <f t="shared" si="65"/>
        <v>Paid</v>
      </c>
    </row>
    <row r="686" spans="1:32" ht="17.25" thickBot="1" x14ac:dyDescent="0.35">
      <c r="A686" s="2" t="s">
        <v>5066</v>
      </c>
      <c r="B686" s="2" t="s">
        <v>27</v>
      </c>
      <c r="C686" s="2" t="s">
        <v>28</v>
      </c>
      <c r="D686" s="2" t="s">
        <v>97</v>
      </c>
      <c r="E686" s="2" t="s">
        <v>5039</v>
      </c>
      <c r="F686" s="2" t="s">
        <v>99</v>
      </c>
      <c r="G686" s="2" t="s">
        <v>32</v>
      </c>
      <c r="H686" s="1"/>
      <c r="I686" s="2" t="s">
        <v>33</v>
      </c>
      <c r="J686" s="2" t="s">
        <v>34</v>
      </c>
      <c r="K686" s="2" t="s">
        <v>4102</v>
      </c>
      <c r="L686" s="2" t="s">
        <v>4103</v>
      </c>
      <c r="M686" s="2" t="s">
        <v>304</v>
      </c>
      <c r="N686" s="2" t="s">
        <v>38</v>
      </c>
      <c r="O686" s="2" t="s">
        <v>259</v>
      </c>
      <c r="P686" s="2" t="s">
        <v>4770</v>
      </c>
      <c r="Q686" s="2" t="s">
        <v>5067</v>
      </c>
      <c r="R686" s="2" t="s">
        <v>40</v>
      </c>
      <c r="S686" s="2" t="s">
        <v>5068</v>
      </c>
      <c r="T686" s="2" t="s">
        <v>413</v>
      </c>
      <c r="U686" s="2" t="s">
        <v>5069</v>
      </c>
      <c r="V686" s="2" t="s">
        <v>5070</v>
      </c>
      <c r="W686" s="1"/>
      <c r="X686" s="2" t="s">
        <v>3279</v>
      </c>
      <c r="Y686" s="2" t="s">
        <v>5044</v>
      </c>
      <c r="AA686" t="str">
        <f t="shared" si="60"/>
        <v>2026-04</v>
      </c>
      <c r="AB686" t="str">
        <f t="shared" si="61"/>
        <v>H1_2026</v>
      </c>
      <c r="AC686">
        <f t="shared" si="62"/>
        <v>522892.66</v>
      </c>
      <c r="AD686">
        <f t="shared" si="63"/>
        <v>33</v>
      </c>
      <c r="AE686">
        <f t="shared" si="64"/>
        <v>65842.66</v>
      </c>
      <c r="AF686" t="str">
        <f t="shared" si="65"/>
        <v>Paid</v>
      </c>
    </row>
    <row r="687" spans="1:32" ht="17.25" thickBot="1" x14ac:dyDescent="0.35">
      <c r="A687" s="2" t="s">
        <v>5071</v>
      </c>
      <c r="B687" s="2" t="s">
        <v>27</v>
      </c>
      <c r="C687" s="2" t="s">
        <v>28</v>
      </c>
      <c r="D687" s="2" t="s">
        <v>97</v>
      </c>
      <c r="E687" s="2" t="s">
        <v>5039</v>
      </c>
      <c r="F687" s="2" t="s">
        <v>99</v>
      </c>
      <c r="G687" s="2" t="s">
        <v>32</v>
      </c>
      <c r="H687" s="1"/>
      <c r="I687" s="2" t="s">
        <v>33</v>
      </c>
      <c r="J687" s="2" t="s">
        <v>34</v>
      </c>
      <c r="K687" s="2" t="s">
        <v>426</v>
      </c>
      <c r="L687" s="2" t="s">
        <v>427</v>
      </c>
      <c r="M687" s="2" t="s">
        <v>304</v>
      </c>
      <c r="N687" s="2" t="s">
        <v>38</v>
      </c>
      <c r="O687" s="2" t="s">
        <v>607</v>
      </c>
      <c r="P687" s="2" t="s">
        <v>4781</v>
      </c>
      <c r="Q687" s="2" t="s">
        <v>5072</v>
      </c>
      <c r="R687" s="2" t="s">
        <v>40</v>
      </c>
      <c r="S687" s="2" t="s">
        <v>5073</v>
      </c>
      <c r="T687" s="2" t="s">
        <v>5074</v>
      </c>
      <c r="U687" s="2" t="s">
        <v>5075</v>
      </c>
      <c r="V687" s="2" t="s">
        <v>5076</v>
      </c>
      <c r="W687" s="1"/>
      <c r="X687" s="2" t="s">
        <v>5077</v>
      </c>
      <c r="Y687" s="2" t="s">
        <v>5044</v>
      </c>
      <c r="AA687" t="str">
        <f t="shared" si="60"/>
        <v>2026-04</v>
      </c>
      <c r="AB687" t="str">
        <f t="shared" si="61"/>
        <v>H1_2026</v>
      </c>
      <c r="AC687">
        <f t="shared" si="62"/>
        <v>941357.55</v>
      </c>
      <c r="AD687">
        <f t="shared" si="63"/>
        <v>71</v>
      </c>
      <c r="AE687">
        <f t="shared" si="64"/>
        <v>121427.55</v>
      </c>
      <c r="AF687" t="str">
        <f t="shared" si="65"/>
        <v>Paid</v>
      </c>
    </row>
    <row r="688" spans="1:32" ht="27.75" thickBot="1" x14ac:dyDescent="0.35">
      <c r="A688" s="2" t="s">
        <v>5078</v>
      </c>
      <c r="B688" s="2" t="s">
        <v>27</v>
      </c>
      <c r="C688" s="2" t="s">
        <v>28</v>
      </c>
      <c r="D688" s="2" t="s">
        <v>97</v>
      </c>
      <c r="E688" s="2" t="s">
        <v>5039</v>
      </c>
      <c r="F688" s="2" t="s">
        <v>99</v>
      </c>
      <c r="G688" s="2" t="s">
        <v>32</v>
      </c>
      <c r="H688" s="1"/>
      <c r="I688" s="2" t="s">
        <v>33</v>
      </c>
      <c r="J688" s="2" t="s">
        <v>34</v>
      </c>
      <c r="K688" s="2" t="s">
        <v>446</v>
      </c>
      <c r="L688" s="2" t="s">
        <v>447</v>
      </c>
      <c r="M688" s="2" t="s">
        <v>304</v>
      </c>
      <c r="N688" s="2" t="s">
        <v>38</v>
      </c>
      <c r="O688" s="2" t="s">
        <v>998</v>
      </c>
      <c r="P688" s="2" t="s">
        <v>4794</v>
      </c>
      <c r="Q688" s="2" t="s">
        <v>5079</v>
      </c>
      <c r="R688" s="2" t="s">
        <v>40</v>
      </c>
      <c r="S688" s="2" t="s">
        <v>5080</v>
      </c>
      <c r="T688" s="2" t="s">
        <v>452</v>
      </c>
      <c r="U688" s="2" t="s">
        <v>5081</v>
      </c>
      <c r="V688" s="2" t="s">
        <v>5082</v>
      </c>
      <c r="W688" s="1"/>
      <c r="X688" s="2" t="s">
        <v>312</v>
      </c>
      <c r="Y688" s="2" t="s">
        <v>5044</v>
      </c>
      <c r="AA688" t="str">
        <f t="shared" si="60"/>
        <v>2026-04</v>
      </c>
      <c r="AB688" t="str">
        <f t="shared" si="61"/>
        <v>H1_2026</v>
      </c>
      <c r="AC688">
        <f t="shared" si="62"/>
        <v>1412117.62</v>
      </c>
      <c r="AD688">
        <f t="shared" si="63"/>
        <v>112</v>
      </c>
      <c r="AE688">
        <f t="shared" si="64"/>
        <v>171157.62</v>
      </c>
      <c r="AF688" t="str">
        <f t="shared" si="65"/>
        <v>Paid</v>
      </c>
    </row>
    <row r="689" spans="1:32" ht="27.75" thickBot="1" x14ac:dyDescent="0.35">
      <c r="A689" s="2" t="s">
        <v>5083</v>
      </c>
      <c r="B689" s="2" t="s">
        <v>27</v>
      </c>
      <c r="C689" s="2" t="s">
        <v>28</v>
      </c>
      <c r="D689" s="2" t="s">
        <v>97</v>
      </c>
      <c r="E689" s="2" t="s">
        <v>5039</v>
      </c>
      <c r="F689" s="2" t="s">
        <v>99</v>
      </c>
      <c r="G689" s="2" t="s">
        <v>32</v>
      </c>
      <c r="H689" s="1"/>
      <c r="I689" s="2" t="s">
        <v>33</v>
      </c>
      <c r="J689" s="2" t="s">
        <v>34</v>
      </c>
      <c r="K689" s="2" t="s">
        <v>472</v>
      </c>
      <c r="L689" s="2" t="s">
        <v>473</v>
      </c>
      <c r="M689" s="2" t="s">
        <v>304</v>
      </c>
      <c r="N689" s="2" t="s">
        <v>38</v>
      </c>
      <c r="O689" s="2" t="s">
        <v>887</v>
      </c>
      <c r="P689" s="2" t="s">
        <v>5084</v>
      </c>
      <c r="Q689" s="2" t="s">
        <v>5085</v>
      </c>
      <c r="R689" s="2" t="s">
        <v>40</v>
      </c>
      <c r="S689" s="2" t="s">
        <v>5086</v>
      </c>
      <c r="T689" s="2" t="s">
        <v>309</v>
      </c>
      <c r="U689" s="2" t="s">
        <v>5087</v>
      </c>
      <c r="V689" s="2" t="s">
        <v>5088</v>
      </c>
      <c r="W689" s="1"/>
      <c r="X689" s="2" t="s">
        <v>434</v>
      </c>
      <c r="Y689" s="2" t="s">
        <v>5044</v>
      </c>
      <c r="AA689" t="str">
        <f t="shared" si="60"/>
        <v>2026-04</v>
      </c>
      <c r="AB689" t="str">
        <f t="shared" si="61"/>
        <v>H1_2026</v>
      </c>
      <c r="AC689">
        <f t="shared" si="62"/>
        <v>892742.84</v>
      </c>
      <c r="AD689">
        <f t="shared" si="63"/>
        <v>101</v>
      </c>
      <c r="AE689">
        <f t="shared" si="64"/>
        <v>108982.84</v>
      </c>
      <c r="AF689" t="str">
        <f t="shared" si="65"/>
        <v>Paid</v>
      </c>
    </row>
    <row r="690" spans="1:32" ht="17.25" thickBot="1" x14ac:dyDescent="0.35">
      <c r="A690" s="2" t="s">
        <v>5089</v>
      </c>
      <c r="B690" s="2" t="s">
        <v>27</v>
      </c>
      <c r="C690" s="2" t="s">
        <v>28</v>
      </c>
      <c r="D690" s="2" t="s">
        <v>97</v>
      </c>
      <c r="E690" s="2" t="s">
        <v>5039</v>
      </c>
      <c r="F690" s="2" t="s">
        <v>99</v>
      </c>
      <c r="G690" s="2" t="s">
        <v>32</v>
      </c>
      <c r="H690" s="1"/>
      <c r="I690" s="2" t="s">
        <v>33</v>
      </c>
      <c r="J690" s="2" t="s">
        <v>34</v>
      </c>
      <c r="K690" s="2" t="s">
        <v>501</v>
      </c>
      <c r="L690" s="2" t="s">
        <v>502</v>
      </c>
      <c r="M690" s="2" t="s">
        <v>304</v>
      </c>
      <c r="N690" s="2" t="s">
        <v>38</v>
      </c>
      <c r="O690" s="2" t="s">
        <v>769</v>
      </c>
      <c r="P690" s="2" t="s">
        <v>4445</v>
      </c>
      <c r="Q690" s="2" t="s">
        <v>5090</v>
      </c>
      <c r="R690" s="2" t="s">
        <v>40</v>
      </c>
      <c r="S690" s="2" t="s">
        <v>5091</v>
      </c>
      <c r="T690" s="2" t="s">
        <v>374</v>
      </c>
      <c r="U690" s="2" t="s">
        <v>5092</v>
      </c>
      <c r="V690" s="2" t="s">
        <v>5093</v>
      </c>
      <c r="W690" s="1"/>
      <c r="X690" s="2" t="s">
        <v>377</v>
      </c>
      <c r="Y690" s="2" t="s">
        <v>5044</v>
      </c>
      <c r="AA690" t="str">
        <f t="shared" si="60"/>
        <v>2026-04</v>
      </c>
      <c r="AB690" t="str">
        <f t="shared" si="61"/>
        <v>H1_2026</v>
      </c>
      <c r="AC690">
        <f t="shared" si="62"/>
        <v>1174749.54</v>
      </c>
      <c r="AD690">
        <f t="shared" si="63"/>
        <v>89</v>
      </c>
      <c r="AE690">
        <f t="shared" si="64"/>
        <v>139679.54</v>
      </c>
      <c r="AF690" t="str">
        <f t="shared" si="65"/>
        <v>Paid</v>
      </c>
    </row>
    <row r="691" spans="1:32" ht="17.25" thickBot="1" x14ac:dyDescent="0.35">
      <c r="A691" s="2" t="s">
        <v>5094</v>
      </c>
      <c r="B691" s="2" t="s">
        <v>27</v>
      </c>
      <c r="C691" s="2" t="s">
        <v>28</v>
      </c>
      <c r="D691" s="2" t="s">
        <v>97</v>
      </c>
      <c r="E691" s="2" t="s">
        <v>5039</v>
      </c>
      <c r="F691" s="2" t="s">
        <v>99</v>
      </c>
      <c r="G691" s="2" t="s">
        <v>32</v>
      </c>
      <c r="H691" s="1"/>
      <c r="I691" s="2" t="s">
        <v>33</v>
      </c>
      <c r="J691" s="2" t="s">
        <v>34</v>
      </c>
      <c r="K691" s="2" t="s">
        <v>525</v>
      </c>
      <c r="L691" s="2" t="s">
        <v>526</v>
      </c>
      <c r="M691" s="2" t="s">
        <v>304</v>
      </c>
      <c r="N691" s="2" t="s">
        <v>38</v>
      </c>
      <c r="O691" s="2" t="s">
        <v>719</v>
      </c>
      <c r="P691" s="2" t="s">
        <v>1405</v>
      </c>
      <c r="Q691" s="2" t="s">
        <v>5095</v>
      </c>
      <c r="R691" s="2" t="s">
        <v>40</v>
      </c>
      <c r="S691" s="2" t="s">
        <v>5096</v>
      </c>
      <c r="T691" s="2" t="s">
        <v>531</v>
      </c>
      <c r="U691" s="2" t="s">
        <v>5097</v>
      </c>
      <c r="V691" s="2" t="s">
        <v>5098</v>
      </c>
      <c r="W691" s="1"/>
      <c r="X691" s="2" t="s">
        <v>489</v>
      </c>
      <c r="Y691" s="2" t="s">
        <v>5044</v>
      </c>
      <c r="AA691" t="str">
        <f t="shared" si="60"/>
        <v>2026-04</v>
      </c>
      <c r="AB691" t="str">
        <f t="shared" si="61"/>
        <v>H1_2026</v>
      </c>
      <c r="AC691">
        <f t="shared" si="62"/>
        <v>986365.69</v>
      </c>
      <c r="AD691">
        <f t="shared" si="63"/>
        <v>83</v>
      </c>
      <c r="AE691">
        <f t="shared" si="64"/>
        <v>112375.69</v>
      </c>
      <c r="AF691" t="str">
        <f t="shared" si="65"/>
        <v>Paid</v>
      </c>
    </row>
    <row r="692" spans="1:32" ht="17.25" thickBot="1" x14ac:dyDescent="0.35">
      <c r="A692" s="2" t="s">
        <v>5099</v>
      </c>
      <c r="B692" s="2" t="s">
        <v>27</v>
      </c>
      <c r="C692" s="2" t="s">
        <v>28</v>
      </c>
      <c r="D692" s="2" t="s">
        <v>97</v>
      </c>
      <c r="E692" s="2" t="s">
        <v>5039</v>
      </c>
      <c r="F692" s="2" t="s">
        <v>99</v>
      </c>
      <c r="G692" s="2" t="s">
        <v>32</v>
      </c>
      <c r="H692" s="1"/>
      <c r="I692" s="2" t="s">
        <v>33</v>
      </c>
      <c r="J692" s="2" t="s">
        <v>34</v>
      </c>
      <c r="K692" s="2" t="s">
        <v>5100</v>
      </c>
      <c r="L692" s="2" t="s">
        <v>5101</v>
      </c>
      <c r="M692" s="2" t="s">
        <v>5102</v>
      </c>
      <c r="N692" s="2" t="s">
        <v>38</v>
      </c>
      <c r="O692" s="2" t="s">
        <v>710</v>
      </c>
      <c r="P692" s="2" t="s">
        <v>5103</v>
      </c>
      <c r="Q692" s="2" t="s">
        <v>5104</v>
      </c>
      <c r="R692" s="2" t="s">
        <v>40</v>
      </c>
      <c r="S692" s="2" t="s">
        <v>5105</v>
      </c>
      <c r="T692" s="2" t="s">
        <v>1523</v>
      </c>
      <c r="U692" s="2" t="s">
        <v>5106</v>
      </c>
      <c r="V692" s="2" t="s">
        <v>5107</v>
      </c>
      <c r="W692" s="1"/>
      <c r="X692" s="2" t="s">
        <v>5108</v>
      </c>
      <c r="Y692" s="2" t="s">
        <v>5044</v>
      </c>
      <c r="AA692" t="str">
        <f t="shared" si="60"/>
        <v>2026-04</v>
      </c>
      <c r="AB692" t="str">
        <f t="shared" si="61"/>
        <v>H1_2026</v>
      </c>
      <c r="AC692">
        <f t="shared" si="62"/>
        <v>652078.6</v>
      </c>
      <c r="AD692">
        <f t="shared" si="63"/>
        <v>82</v>
      </c>
      <c r="AE692">
        <f t="shared" si="64"/>
        <v>204768.6</v>
      </c>
      <c r="AF692" t="str">
        <f t="shared" si="65"/>
        <v>Paid</v>
      </c>
    </row>
    <row r="693" spans="1:32" ht="17.25" thickBot="1" x14ac:dyDescent="0.35">
      <c r="A693" s="2" t="s">
        <v>5109</v>
      </c>
      <c r="B693" s="2" t="s">
        <v>27</v>
      </c>
      <c r="C693" s="2" t="s">
        <v>28</v>
      </c>
      <c r="D693" s="2" t="s">
        <v>97</v>
      </c>
      <c r="E693" s="2" t="s">
        <v>5039</v>
      </c>
      <c r="F693" s="2" t="s">
        <v>99</v>
      </c>
      <c r="G693" s="2" t="s">
        <v>32</v>
      </c>
      <c r="H693" s="1"/>
      <c r="I693" s="2" t="s">
        <v>33</v>
      </c>
      <c r="J693" s="2" t="s">
        <v>34</v>
      </c>
      <c r="K693" s="2" t="s">
        <v>5110</v>
      </c>
      <c r="L693" s="2" t="s">
        <v>5111</v>
      </c>
      <c r="M693" s="2" t="s">
        <v>5102</v>
      </c>
      <c r="N693" s="2" t="s">
        <v>38</v>
      </c>
      <c r="O693" s="2" t="s">
        <v>227</v>
      </c>
      <c r="P693" s="2" t="s">
        <v>5112</v>
      </c>
      <c r="Q693" s="2" t="s">
        <v>5113</v>
      </c>
      <c r="R693" s="2" t="s">
        <v>40</v>
      </c>
      <c r="S693" s="2" t="s">
        <v>5114</v>
      </c>
      <c r="T693" s="2" t="s">
        <v>5115</v>
      </c>
      <c r="U693" s="2" t="s">
        <v>5116</v>
      </c>
      <c r="V693" s="2" t="s">
        <v>5117</v>
      </c>
      <c r="W693" s="1"/>
      <c r="X693" s="2" t="s">
        <v>2072</v>
      </c>
      <c r="Y693" s="2" t="s">
        <v>5044</v>
      </c>
      <c r="AA693" t="str">
        <f t="shared" si="60"/>
        <v>2026-04</v>
      </c>
      <c r="AB693" t="str">
        <f t="shared" si="61"/>
        <v>H1_2026</v>
      </c>
      <c r="AC693">
        <f t="shared" si="62"/>
        <v>205692.4</v>
      </c>
      <c r="AD693">
        <f t="shared" si="63"/>
        <v>28</v>
      </c>
      <c r="AE693">
        <f t="shared" si="64"/>
        <v>41248.400000000001</v>
      </c>
      <c r="AF693" t="str">
        <f t="shared" si="65"/>
        <v>Paid</v>
      </c>
    </row>
    <row r="694" spans="1:32" ht="17.25" thickBot="1" x14ac:dyDescent="0.35">
      <c r="A694" s="2" t="s">
        <v>5118</v>
      </c>
      <c r="B694" s="2" t="s">
        <v>27</v>
      </c>
      <c r="C694" s="2" t="s">
        <v>28</v>
      </c>
      <c r="D694" s="2" t="s">
        <v>97</v>
      </c>
      <c r="E694" s="2" t="s">
        <v>5039</v>
      </c>
      <c r="F694" s="2" t="s">
        <v>99</v>
      </c>
      <c r="G694" s="2" t="s">
        <v>32</v>
      </c>
      <c r="H694" s="1"/>
      <c r="I694" s="2" t="s">
        <v>33</v>
      </c>
      <c r="J694" s="2" t="s">
        <v>34</v>
      </c>
      <c r="K694" s="2" t="s">
        <v>5119</v>
      </c>
      <c r="L694" s="2" t="s">
        <v>5120</v>
      </c>
      <c r="M694" s="2" t="s">
        <v>5102</v>
      </c>
      <c r="N694" s="2" t="s">
        <v>38</v>
      </c>
      <c r="O694" s="2" t="s">
        <v>466</v>
      </c>
      <c r="P694" s="2" t="s">
        <v>5103</v>
      </c>
      <c r="Q694" s="2" t="s">
        <v>5121</v>
      </c>
      <c r="R694" s="2" t="s">
        <v>40</v>
      </c>
      <c r="S694" s="2" t="s">
        <v>5122</v>
      </c>
      <c r="T694" s="2" t="s">
        <v>1523</v>
      </c>
      <c r="U694" s="2" t="s">
        <v>5123</v>
      </c>
      <c r="V694" s="2" t="s">
        <v>5124</v>
      </c>
      <c r="W694" s="1"/>
      <c r="X694" s="2" t="s">
        <v>5108</v>
      </c>
      <c r="Y694" s="2" t="s">
        <v>5044</v>
      </c>
      <c r="AA694" t="str">
        <f t="shared" si="60"/>
        <v>2026-04</v>
      </c>
      <c r="AB694" t="str">
        <f t="shared" si="61"/>
        <v>H1_2026</v>
      </c>
      <c r="AC694">
        <f t="shared" si="62"/>
        <v>556652.46</v>
      </c>
      <c r="AD694">
        <f t="shared" si="63"/>
        <v>70</v>
      </c>
      <c r="AE694">
        <f t="shared" si="64"/>
        <v>174802.46</v>
      </c>
      <c r="AF694" t="str">
        <f t="shared" si="65"/>
        <v>Paid</v>
      </c>
    </row>
    <row r="695" spans="1:32" ht="17.25" thickBot="1" x14ac:dyDescent="0.35">
      <c r="A695" s="2" t="s">
        <v>5125</v>
      </c>
      <c r="B695" s="2" t="s">
        <v>27</v>
      </c>
      <c r="C695" s="2" t="s">
        <v>28</v>
      </c>
      <c r="D695" s="2" t="s">
        <v>97</v>
      </c>
      <c r="E695" s="2" t="s">
        <v>5039</v>
      </c>
      <c r="F695" s="2" t="s">
        <v>99</v>
      </c>
      <c r="G695" s="2" t="s">
        <v>32</v>
      </c>
      <c r="H695" s="1"/>
      <c r="I695" s="2" t="s">
        <v>33</v>
      </c>
      <c r="J695" s="2" t="s">
        <v>34</v>
      </c>
      <c r="K695" s="2" t="s">
        <v>643</v>
      </c>
      <c r="L695" s="2" t="s">
        <v>644</v>
      </c>
      <c r="M695" s="2" t="s">
        <v>634</v>
      </c>
      <c r="N695" s="2" t="s">
        <v>38</v>
      </c>
      <c r="O695" s="2" t="s">
        <v>877</v>
      </c>
      <c r="P695" s="2" t="s">
        <v>4560</v>
      </c>
      <c r="Q695" s="2" t="s">
        <v>5126</v>
      </c>
      <c r="R695" s="2" t="s">
        <v>40</v>
      </c>
      <c r="S695" s="2" t="s">
        <v>5127</v>
      </c>
      <c r="T695" s="2" t="s">
        <v>267</v>
      </c>
      <c r="U695" s="2" t="s">
        <v>5128</v>
      </c>
      <c r="V695" s="2" t="s">
        <v>5129</v>
      </c>
      <c r="W695" s="1"/>
      <c r="X695" s="2" t="s">
        <v>2863</v>
      </c>
      <c r="Y695" s="2" t="s">
        <v>5130</v>
      </c>
      <c r="AA695" t="str">
        <f t="shared" si="60"/>
        <v>2026-04</v>
      </c>
      <c r="AB695" t="str">
        <f t="shared" si="61"/>
        <v>H1_2026</v>
      </c>
      <c r="AC695">
        <f t="shared" si="62"/>
        <v>949376</v>
      </c>
      <c r="AD695">
        <f t="shared" si="63"/>
        <v>100</v>
      </c>
      <c r="AE695">
        <f t="shared" si="64"/>
        <v>289376</v>
      </c>
      <c r="AF695" t="str">
        <f t="shared" si="65"/>
        <v>Paid</v>
      </c>
    </row>
    <row r="696" spans="1:32" ht="17.25" thickBot="1" x14ac:dyDescent="0.35">
      <c r="A696" s="2" t="s">
        <v>5131</v>
      </c>
      <c r="B696" s="2" t="s">
        <v>27</v>
      </c>
      <c r="C696" s="2" t="s">
        <v>28</v>
      </c>
      <c r="D696" s="2" t="s">
        <v>97</v>
      </c>
      <c r="E696" s="2" t="s">
        <v>5039</v>
      </c>
      <c r="F696" s="2" t="s">
        <v>99</v>
      </c>
      <c r="G696" s="2" t="s">
        <v>32</v>
      </c>
      <c r="H696" s="1"/>
      <c r="I696" s="2" t="s">
        <v>33</v>
      </c>
      <c r="J696" s="2" t="s">
        <v>34</v>
      </c>
      <c r="K696" s="2" t="s">
        <v>653</v>
      </c>
      <c r="L696" s="2" t="s">
        <v>654</v>
      </c>
      <c r="M696" s="2" t="s">
        <v>634</v>
      </c>
      <c r="N696" s="2" t="s">
        <v>38</v>
      </c>
      <c r="O696" s="2" t="s">
        <v>607</v>
      </c>
      <c r="P696" s="2" t="s">
        <v>4854</v>
      </c>
      <c r="Q696" s="2" t="s">
        <v>5132</v>
      </c>
      <c r="R696" s="2" t="s">
        <v>40</v>
      </c>
      <c r="S696" s="2" t="s">
        <v>5133</v>
      </c>
      <c r="T696" s="2" t="s">
        <v>658</v>
      </c>
      <c r="U696" s="2" t="s">
        <v>5134</v>
      </c>
      <c r="V696" s="2" t="s">
        <v>5135</v>
      </c>
      <c r="W696" s="1"/>
      <c r="X696" s="2" t="s">
        <v>661</v>
      </c>
      <c r="Y696" s="2" t="s">
        <v>5130</v>
      </c>
      <c r="AA696" t="str">
        <f t="shared" si="60"/>
        <v>2026-04</v>
      </c>
      <c r="AB696" t="str">
        <f t="shared" si="61"/>
        <v>H1_2026</v>
      </c>
      <c r="AC696">
        <f t="shared" si="62"/>
        <v>835198.7</v>
      </c>
      <c r="AD696">
        <f t="shared" si="63"/>
        <v>71</v>
      </c>
      <c r="AE696">
        <f t="shared" si="64"/>
        <v>132298.70000000001</v>
      </c>
      <c r="AF696" t="str">
        <f t="shared" si="65"/>
        <v>Paid</v>
      </c>
    </row>
    <row r="697" spans="1:32" ht="17.25" thickBot="1" x14ac:dyDescent="0.35">
      <c r="A697" s="2" t="s">
        <v>5136</v>
      </c>
      <c r="B697" s="2" t="s">
        <v>27</v>
      </c>
      <c r="C697" s="2" t="s">
        <v>28</v>
      </c>
      <c r="D697" s="2" t="s">
        <v>97</v>
      </c>
      <c r="E697" s="2" t="s">
        <v>5039</v>
      </c>
      <c r="F697" s="2" t="s">
        <v>99</v>
      </c>
      <c r="G697" s="2" t="s">
        <v>32</v>
      </c>
      <c r="H697" s="1"/>
      <c r="I697" s="2" t="s">
        <v>33</v>
      </c>
      <c r="J697" s="2" t="s">
        <v>34</v>
      </c>
      <c r="K697" s="2" t="s">
        <v>5137</v>
      </c>
      <c r="L697" s="2" t="s">
        <v>5138</v>
      </c>
      <c r="M697" s="2" t="s">
        <v>634</v>
      </c>
      <c r="N697" s="2" t="s">
        <v>38</v>
      </c>
      <c r="O697" s="2" t="s">
        <v>4020</v>
      </c>
      <c r="P697" s="2" t="s">
        <v>5139</v>
      </c>
      <c r="Q697" s="2" t="s">
        <v>5140</v>
      </c>
      <c r="R697" s="2" t="s">
        <v>40</v>
      </c>
      <c r="S697" s="2" t="s">
        <v>5141</v>
      </c>
      <c r="T697" s="2" t="s">
        <v>669</v>
      </c>
      <c r="U697" s="2" t="s">
        <v>5142</v>
      </c>
      <c r="V697" s="2" t="s">
        <v>5143</v>
      </c>
      <c r="W697" s="1"/>
      <c r="X697" s="2" t="s">
        <v>672</v>
      </c>
      <c r="Y697" s="2" t="s">
        <v>5130</v>
      </c>
      <c r="AA697" t="str">
        <f t="shared" si="60"/>
        <v>2026-04</v>
      </c>
      <c r="AB697" t="str">
        <f t="shared" si="61"/>
        <v>H1_2026</v>
      </c>
      <c r="AC697">
        <f t="shared" si="62"/>
        <v>5868627.0800000001</v>
      </c>
      <c r="AD697">
        <f t="shared" si="63"/>
        <v>524</v>
      </c>
      <c r="AE697">
        <f t="shared" si="64"/>
        <v>2724627.08</v>
      </c>
      <c r="AF697" t="str">
        <f t="shared" si="65"/>
        <v>Paid</v>
      </c>
    </row>
    <row r="698" spans="1:32" ht="27.75" thickBot="1" x14ac:dyDescent="0.35">
      <c r="A698" s="2" t="s">
        <v>5144</v>
      </c>
      <c r="B698" s="2" t="s">
        <v>27</v>
      </c>
      <c r="C698" s="2" t="s">
        <v>28</v>
      </c>
      <c r="D698" s="2" t="s">
        <v>97</v>
      </c>
      <c r="E698" s="2" t="s">
        <v>5039</v>
      </c>
      <c r="F698" s="2" t="s">
        <v>99</v>
      </c>
      <c r="G698" s="2" t="s">
        <v>32</v>
      </c>
      <c r="H698" s="1"/>
      <c r="I698" s="2" t="s">
        <v>33</v>
      </c>
      <c r="J698" s="2" t="s">
        <v>34</v>
      </c>
      <c r="K698" s="2" t="s">
        <v>5145</v>
      </c>
      <c r="L698" s="2" t="s">
        <v>5146</v>
      </c>
      <c r="M698" s="2" t="s">
        <v>634</v>
      </c>
      <c r="N698" s="2" t="s">
        <v>38</v>
      </c>
      <c r="O698" s="2" t="s">
        <v>177</v>
      </c>
      <c r="P698" s="2" t="s">
        <v>5139</v>
      </c>
      <c r="Q698" s="2" t="s">
        <v>5147</v>
      </c>
      <c r="R698" s="2" t="s">
        <v>40</v>
      </c>
      <c r="S698" s="2" t="s">
        <v>5148</v>
      </c>
      <c r="T698" s="2" t="s">
        <v>669</v>
      </c>
      <c r="U698" s="2" t="s">
        <v>1881</v>
      </c>
      <c r="V698" s="2" t="s">
        <v>5149</v>
      </c>
      <c r="W698" s="1"/>
      <c r="X698" s="2" t="s">
        <v>672</v>
      </c>
      <c r="Y698" s="2" t="s">
        <v>5130</v>
      </c>
      <c r="AA698" t="str">
        <f t="shared" si="60"/>
        <v>2026-04</v>
      </c>
      <c r="AB698" t="str">
        <f t="shared" si="61"/>
        <v>H1_2026</v>
      </c>
      <c r="AC698">
        <f t="shared" si="62"/>
        <v>4479868</v>
      </c>
      <c r="AD698">
        <f t="shared" si="63"/>
        <v>400</v>
      </c>
      <c r="AE698">
        <f t="shared" si="64"/>
        <v>2079868</v>
      </c>
      <c r="AF698" t="str">
        <f t="shared" si="65"/>
        <v>Paid</v>
      </c>
    </row>
    <row r="699" spans="1:32" ht="17.25" thickBot="1" x14ac:dyDescent="0.35">
      <c r="A699" s="2" t="s">
        <v>5150</v>
      </c>
      <c r="B699" s="2" t="s">
        <v>27</v>
      </c>
      <c r="C699" s="2" t="s">
        <v>28</v>
      </c>
      <c r="D699" s="2" t="s">
        <v>97</v>
      </c>
      <c r="E699" s="2" t="s">
        <v>5039</v>
      </c>
      <c r="F699" s="2" t="s">
        <v>99</v>
      </c>
      <c r="G699" s="2" t="s">
        <v>32</v>
      </c>
      <c r="H699" s="1"/>
      <c r="I699" s="2" t="s">
        <v>33</v>
      </c>
      <c r="J699" s="2" t="s">
        <v>34</v>
      </c>
      <c r="K699" s="2" t="s">
        <v>682</v>
      </c>
      <c r="L699" s="2" t="s">
        <v>683</v>
      </c>
      <c r="M699" s="2" t="s">
        <v>634</v>
      </c>
      <c r="N699" s="2" t="s">
        <v>38</v>
      </c>
      <c r="O699" s="2" t="s">
        <v>57</v>
      </c>
      <c r="P699" s="2" t="s">
        <v>1952</v>
      </c>
      <c r="Q699" s="2" t="s">
        <v>5151</v>
      </c>
      <c r="R699" s="2" t="s">
        <v>40</v>
      </c>
      <c r="S699" s="2" t="s">
        <v>5152</v>
      </c>
      <c r="T699" s="2" t="s">
        <v>687</v>
      </c>
      <c r="U699" s="2" t="s">
        <v>5153</v>
      </c>
      <c r="V699" s="2" t="s">
        <v>5154</v>
      </c>
      <c r="W699" s="1"/>
      <c r="X699" s="2" t="s">
        <v>690</v>
      </c>
      <c r="Y699" s="2" t="s">
        <v>5130</v>
      </c>
      <c r="AA699" t="str">
        <f t="shared" si="60"/>
        <v>2026-04</v>
      </c>
      <c r="AB699" t="str">
        <f t="shared" si="61"/>
        <v>H1_2026</v>
      </c>
      <c r="AC699">
        <f t="shared" si="62"/>
        <v>60003.53</v>
      </c>
      <c r="AD699">
        <f t="shared" si="63"/>
        <v>5</v>
      </c>
      <c r="AE699">
        <f t="shared" si="64"/>
        <v>28153.53</v>
      </c>
      <c r="AF699" t="str">
        <f t="shared" si="65"/>
        <v>Paid</v>
      </c>
    </row>
    <row r="700" spans="1:32" ht="17.25" thickBot="1" x14ac:dyDescent="0.35">
      <c r="A700" s="2" t="s">
        <v>3914</v>
      </c>
      <c r="B700" s="2" t="s">
        <v>27</v>
      </c>
      <c r="C700" s="2" t="s">
        <v>28</v>
      </c>
      <c r="D700" s="2" t="s">
        <v>97</v>
      </c>
      <c r="E700" s="2" t="s">
        <v>5039</v>
      </c>
      <c r="F700" s="2" t="s">
        <v>99</v>
      </c>
      <c r="G700" s="2" t="s">
        <v>32</v>
      </c>
      <c r="H700" s="1"/>
      <c r="I700" s="2" t="s">
        <v>33</v>
      </c>
      <c r="J700" s="2" t="s">
        <v>34</v>
      </c>
      <c r="K700" s="2" t="s">
        <v>5155</v>
      </c>
      <c r="L700" s="2" t="s">
        <v>5156</v>
      </c>
      <c r="M700" s="2" t="s">
        <v>634</v>
      </c>
      <c r="N700" s="2" t="s">
        <v>38</v>
      </c>
      <c r="O700" s="2" t="s">
        <v>1967</v>
      </c>
      <c r="P700" s="2" t="s">
        <v>5157</v>
      </c>
      <c r="Q700" s="2" t="s">
        <v>5158</v>
      </c>
      <c r="R700" s="2" t="s">
        <v>40</v>
      </c>
      <c r="S700" s="2" t="s">
        <v>5159</v>
      </c>
      <c r="T700" s="2" t="s">
        <v>5160</v>
      </c>
      <c r="U700" s="2" t="s">
        <v>5161</v>
      </c>
      <c r="V700" s="2" t="s">
        <v>5162</v>
      </c>
      <c r="W700" s="1"/>
      <c r="X700" s="2" t="s">
        <v>4604</v>
      </c>
      <c r="Y700" s="2" t="s">
        <v>5130</v>
      </c>
      <c r="AA700" t="str">
        <f t="shared" si="60"/>
        <v>2026-04</v>
      </c>
      <c r="AB700" t="str">
        <f t="shared" si="61"/>
        <v>H1_2026</v>
      </c>
      <c r="AC700">
        <f t="shared" si="62"/>
        <v>3793394.98</v>
      </c>
      <c r="AD700">
        <f t="shared" si="63"/>
        <v>237</v>
      </c>
      <c r="AE700">
        <f t="shared" si="64"/>
        <v>1684094.98</v>
      </c>
      <c r="AF700" t="str">
        <f t="shared" si="65"/>
        <v>Paid</v>
      </c>
    </row>
    <row r="701" spans="1:32" ht="17.25" thickBot="1" x14ac:dyDescent="0.35">
      <c r="A701" s="2" t="s">
        <v>5163</v>
      </c>
      <c r="B701" s="2" t="s">
        <v>27</v>
      </c>
      <c r="C701" s="2" t="s">
        <v>28</v>
      </c>
      <c r="D701" s="2" t="s">
        <v>97</v>
      </c>
      <c r="E701" s="2" t="s">
        <v>5039</v>
      </c>
      <c r="F701" s="2" t="s">
        <v>99</v>
      </c>
      <c r="G701" s="2" t="s">
        <v>32</v>
      </c>
      <c r="H701" s="1"/>
      <c r="I701" s="2" t="s">
        <v>33</v>
      </c>
      <c r="J701" s="2" t="s">
        <v>34</v>
      </c>
      <c r="K701" s="2" t="s">
        <v>3895</v>
      </c>
      <c r="L701" s="2" t="s">
        <v>3896</v>
      </c>
      <c r="M701" s="2" t="s">
        <v>701</v>
      </c>
      <c r="N701" s="2" t="s">
        <v>38</v>
      </c>
      <c r="O701" s="2" t="s">
        <v>291</v>
      </c>
      <c r="P701" s="2" t="s">
        <v>1687</v>
      </c>
      <c r="Q701" s="2" t="s">
        <v>4553</v>
      </c>
      <c r="R701" s="2" t="s">
        <v>40</v>
      </c>
      <c r="S701" s="2" t="s">
        <v>5164</v>
      </c>
      <c r="T701" s="2" t="s">
        <v>1444</v>
      </c>
      <c r="U701" s="2" t="s">
        <v>4555</v>
      </c>
      <c r="V701" s="2" t="s">
        <v>5165</v>
      </c>
      <c r="W701" s="1"/>
      <c r="X701" s="2" t="s">
        <v>709</v>
      </c>
      <c r="Y701" s="2" t="s">
        <v>5130</v>
      </c>
      <c r="AA701" t="str">
        <f t="shared" si="60"/>
        <v>2026-04</v>
      </c>
      <c r="AB701" t="str">
        <f t="shared" si="61"/>
        <v>H1_2026</v>
      </c>
      <c r="AC701">
        <f t="shared" si="62"/>
        <v>233902.51</v>
      </c>
      <c r="AD701">
        <f t="shared" si="63"/>
        <v>36</v>
      </c>
      <c r="AE701">
        <f t="shared" si="64"/>
        <v>37342.51</v>
      </c>
      <c r="AF701" t="str">
        <f t="shared" si="65"/>
        <v>Paid</v>
      </c>
    </row>
    <row r="702" spans="1:32" ht="17.25" thickBot="1" x14ac:dyDescent="0.35">
      <c r="A702" s="2" t="s">
        <v>3068</v>
      </c>
      <c r="B702" s="2" t="s">
        <v>27</v>
      </c>
      <c r="C702" s="2" t="s">
        <v>28</v>
      </c>
      <c r="D702" s="2" t="s">
        <v>97</v>
      </c>
      <c r="E702" s="2" t="s">
        <v>5039</v>
      </c>
      <c r="F702" s="2" t="s">
        <v>99</v>
      </c>
      <c r="G702" s="2" t="s">
        <v>32</v>
      </c>
      <c r="H702" s="1"/>
      <c r="I702" s="2" t="s">
        <v>33</v>
      </c>
      <c r="J702" s="2" t="s">
        <v>34</v>
      </c>
      <c r="K702" s="2" t="s">
        <v>3905</v>
      </c>
      <c r="L702" s="2" t="s">
        <v>3906</v>
      </c>
      <c r="M702" s="2" t="s">
        <v>701</v>
      </c>
      <c r="N702" s="2" t="s">
        <v>38</v>
      </c>
      <c r="O702" s="2" t="s">
        <v>1349</v>
      </c>
      <c r="P702" s="2" t="s">
        <v>4560</v>
      </c>
      <c r="Q702" s="2" t="s">
        <v>4561</v>
      </c>
      <c r="R702" s="2" t="s">
        <v>40</v>
      </c>
      <c r="S702" s="2" t="s">
        <v>5166</v>
      </c>
      <c r="T702" s="2" t="s">
        <v>3015</v>
      </c>
      <c r="U702" s="2" t="s">
        <v>4563</v>
      </c>
      <c r="V702" s="2" t="s">
        <v>5167</v>
      </c>
      <c r="W702" s="1"/>
      <c r="X702" s="2" t="s">
        <v>5168</v>
      </c>
      <c r="Y702" s="2" t="s">
        <v>5130</v>
      </c>
      <c r="AA702" t="str">
        <f t="shared" si="60"/>
        <v>2026-04</v>
      </c>
      <c r="AB702" t="str">
        <f t="shared" si="61"/>
        <v>H1_2026</v>
      </c>
      <c r="AC702">
        <f t="shared" si="62"/>
        <v>1443051.52</v>
      </c>
      <c r="AD702">
        <f t="shared" si="63"/>
        <v>152</v>
      </c>
      <c r="AE702">
        <f t="shared" si="64"/>
        <v>230091.51999999999</v>
      </c>
      <c r="AF702" t="str">
        <f t="shared" si="65"/>
        <v>Paid</v>
      </c>
    </row>
    <row r="703" spans="1:32" ht="17.25" thickBot="1" x14ac:dyDescent="0.35">
      <c r="A703" s="2" t="s">
        <v>5169</v>
      </c>
      <c r="B703" s="2" t="s">
        <v>27</v>
      </c>
      <c r="C703" s="2" t="s">
        <v>28</v>
      </c>
      <c r="D703" s="2" t="s">
        <v>97</v>
      </c>
      <c r="E703" s="2" t="s">
        <v>5039</v>
      </c>
      <c r="F703" s="2" t="s">
        <v>99</v>
      </c>
      <c r="G703" s="2" t="s">
        <v>32</v>
      </c>
      <c r="H703" s="1"/>
      <c r="I703" s="2" t="s">
        <v>33</v>
      </c>
      <c r="J703" s="2" t="s">
        <v>34</v>
      </c>
      <c r="K703" s="2" t="s">
        <v>3922</v>
      </c>
      <c r="L703" s="2" t="s">
        <v>3923</v>
      </c>
      <c r="M703" s="2" t="s">
        <v>701</v>
      </c>
      <c r="N703" s="2" t="s">
        <v>38</v>
      </c>
      <c r="O703" s="2" t="s">
        <v>4566</v>
      </c>
      <c r="P703" s="2" t="s">
        <v>4567</v>
      </c>
      <c r="Q703" s="2" t="s">
        <v>4568</v>
      </c>
      <c r="R703" s="2" t="s">
        <v>40</v>
      </c>
      <c r="S703" s="2" t="s">
        <v>5170</v>
      </c>
      <c r="T703" s="2" t="s">
        <v>759</v>
      </c>
      <c r="U703" s="2" t="s">
        <v>5171</v>
      </c>
      <c r="V703" s="2" t="s">
        <v>5172</v>
      </c>
      <c r="W703" s="1"/>
      <c r="X703" s="2" t="s">
        <v>709</v>
      </c>
      <c r="Y703" s="2" t="s">
        <v>5130</v>
      </c>
      <c r="AA703" t="str">
        <f t="shared" si="60"/>
        <v>2026-04</v>
      </c>
      <c r="AB703" t="str">
        <f t="shared" si="61"/>
        <v>H1_2026</v>
      </c>
      <c r="AC703">
        <f t="shared" si="62"/>
        <v>10291844.029999999</v>
      </c>
      <c r="AD703">
        <f t="shared" si="63"/>
        <v>1143</v>
      </c>
      <c r="AE703">
        <f t="shared" si="64"/>
        <v>1650764.03</v>
      </c>
      <c r="AF703" t="str">
        <f t="shared" si="65"/>
        <v>Paid</v>
      </c>
    </row>
    <row r="704" spans="1:32" ht="17.25" thickBot="1" x14ac:dyDescent="0.35">
      <c r="A704" s="2" t="s">
        <v>5173</v>
      </c>
      <c r="B704" s="2" t="s">
        <v>27</v>
      </c>
      <c r="C704" s="2" t="s">
        <v>28</v>
      </c>
      <c r="D704" s="2" t="s">
        <v>97</v>
      </c>
      <c r="E704" s="2" t="s">
        <v>5039</v>
      </c>
      <c r="F704" s="2" t="s">
        <v>99</v>
      </c>
      <c r="G704" s="2" t="s">
        <v>32</v>
      </c>
      <c r="H704" s="1"/>
      <c r="I704" s="2" t="s">
        <v>33</v>
      </c>
      <c r="J704" s="2" t="s">
        <v>34</v>
      </c>
      <c r="K704" s="2" t="s">
        <v>3930</v>
      </c>
      <c r="L704" s="2" t="s">
        <v>3931</v>
      </c>
      <c r="M704" s="2" t="s">
        <v>701</v>
      </c>
      <c r="N704" s="2" t="s">
        <v>38</v>
      </c>
      <c r="O704" s="2" t="s">
        <v>4575</v>
      </c>
      <c r="P704" s="2" t="s">
        <v>4576</v>
      </c>
      <c r="Q704" s="2" t="s">
        <v>4577</v>
      </c>
      <c r="R704" s="2" t="s">
        <v>40</v>
      </c>
      <c r="S704" s="2" t="s">
        <v>5174</v>
      </c>
      <c r="T704" s="2" t="s">
        <v>3936</v>
      </c>
      <c r="U704" s="2" t="s">
        <v>5175</v>
      </c>
      <c r="V704" s="2" t="s">
        <v>5176</v>
      </c>
      <c r="W704" s="1"/>
      <c r="X704" s="2" t="s">
        <v>709</v>
      </c>
      <c r="Y704" s="2" t="s">
        <v>5130</v>
      </c>
      <c r="AA704" t="str">
        <f t="shared" si="60"/>
        <v>2026-04</v>
      </c>
      <c r="AB704" t="str">
        <f t="shared" si="61"/>
        <v>H1_2026</v>
      </c>
      <c r="AC704">
        <f t="shared" si="62"/>
        <v>20059721.52</v>
      </c>
      <c r="AD704">
        <f t="shared" si="63"/>
        <v>1180</v>
      </c>
      <c r="AE704">
        <f t="shared" si="64"/>
        <v>3209321.52</v>
      </c>
      <c r="AF704" t="str">
        <f t="shared" si="65"/>
        <v>Paid</v>
      </c>
    </row>
    <row r="705" spans="1:32" ht="17.25" thickBot="1" x14ac:dyDescent="0.35">
      <c r="A705" s="2" t="s">
        <v>5177</v>
      </c>
      <c r="B705" s="2" t="s">
        <v>27</v>
      </c>
      <c r="C705" s="2" t="s">
        <v>28</v>
      </c>
      <c r="D705" s="2" t="s">
        <v>97</v>
      </c>
      <c r="E705" s="2" t="s">
        <v>5039</v>
      </c>
      <c r="F705" s="2" t="s">
        <v>99</v>
      </c>
      <c r="G705" s="2" t="s">
        <v>32</v>
      </c>
      <c r="H705" s="1"/>
      <c r="I705" s="2" t="s">
        <v>33</v>
      </c>
      <c r="J705" s="2" t="s">
        <v>34</v>
      </c>
      <c r="K705" s="2" t="s">
        <v>3949</v>
      </c>
      <c r="L705" s="2" t="s">
        <v>3950</v>
      </c>
      <c r="M705" s="2" t="s">
        <v>701</v>
      </c>
      <c r="N705" s="2" t="s">
        <v>38</v>
      </c>
      <c r="O705" s="2" t="s">
        <v>3621</v>
      </c>
      <c r="P705" s="2" t="s">
        <v>4583</v>
      </c>
      <c r="Q705" s="2" t="s">
        <v>5178</v>
      </c>
      <c r="R705" s="2" t="s">
        <v>40</v>
      </c>
      <c r="S705" s="2" t="s">
        <v>5179</v>
      </c>
      <c r="T705" s="2" t="s">
        <v>726</v>
      </c>
      <c r="U705" s="2" t="s">
        <v>5180</v>
      </c>
      <c r="V705" s="2" t="s">
        <v>5181</v>
      </c>
      <c r="W705" s="1"/>
      <c r="X705" s="2" t="s">
        <v>709</v>
      </c>
      <c r="Y705" s="2" t="s">
        <v>5130</v>
      </c>
      <c r="AA705" t="str">
        <f t="shared" si="60"/>
        <v>2026-04</v>
      </c>
      <c r="AB705" t="str">
        <f t="shared" si="61"/>
        <v>H1_2026</v>
      </c>
      <c r="AC705">
        <f t="shared" si="62"/>
        <v>3918445.6</v>
      </c>
      <c r="AD705">
        <f t="shared" si="63"/>
        <v>461</v>
      </c>
      <c r="AE705">
        <f t="shared" si="64"/>
        <v>626905.59999999998</v>
      </c>
      <c r="AF705" t="str">
        <f t="shared" si="65"/>
        <v>Paid</v>
      </c>
    </row>
    <row r="706" spans="1:32" ht="17.25" thickBot="1" x14ac:dyDescent="0.35">
      <c r="A706" s="2" t="s">
        <v>5182</v>
      </c>
      <c r="B706" s="2" t="s">
        <v>27</v>
      </c>
      <c r="C706" s="2" t="s">
        <v>28</v>
      </c>
      <c r="D706" s="2" t="s">
        <v>97</v>
      </c>
      <c r="E706" s="2" t="s">
        <v>5039</v>
      </c>
      <c r="F706" s="2" t="s">
        <v>99</v>
      </c>
      <c r="G706" s="2" t="s">
        <v>32</v>
      </c>
      <c r="H706" s="1"/>
      <c r="I706" s="2" t="s">
        <v>33</v>
      </c>
      <c r="J706" s="2" t="s">
        <v>34</v>
      </c>
      <c r="K706" s="2" t="s">
        <v>730</v>
      </c>
      <c r="L706" s="2" t="s">
        <v>731</v>
      </c>
      <c r="M706" s="2" t="s">
        <v>701</v>
      </c>
      <c r="N706" s="2" t="s">
        <v>38</v>
      </c>
      <c r="O706" s="2" t="s">
        <v>5183</v>
      </c>
      <c r="P706" s="2" t="s">
        <v>1952</v>
      </c>
      <c r="Q706" s="2" t="s">
        <v>5184</v>
      </c>
      <c r="R706" s="2" t="s">
        <v>40</v>
      </c>
      <c r="S706" s="2" t="s">
        <v>5185</v>
      </c>
      <c r="T706" s="2" t="s">
        <v>716</v>
      </c>
      <c r="U706" s="2" t="s">
        <v>5186</v>
      </c>
      <c r="V706" s="2" t="s">
        <v>5187</v>
      </c>
      <c r="W706" s="1"/>
      <c r="X706" s="2" t="s">
        <v>709</v>
      </c>
      <c r="Y706" s="2" t="s">
        <v>5130</v>
      </c>
      <c r="AA706" t="str">
        <f t="shared" si="60"/>
        <v>2026-04</v>
      </c>
      <c r="AB706" t="str">
        <f t="shared" si="61"/>
        <v>H1_2026</v>
      </c>
      <c r="AC706">
        <f t="shared" si="62"/>
        <v>18565092.18</v>
      </c>
      <c r="AD706">
        <f t="shared" si="63"/>
        <v>1547</v>
      </c>
      <c r="AE706">
        <f t="shared" si="64"/>
        <v>2971332.18</v>
      </c>
      <c r="AF706" t="str">
        <f t="shared" si="65"/>
        <v>Paid</v>
      </c>
    </row>
    <row r="707" spans="1:32" ht="17.25" thickBot="1" x14ac:dyDescent="0.35">
      <c r="A707" s="2" t="s">
        <v>5188</v>
      </c>
      <c r="B707" s="2" t="s">
        <v>27</v>
      </c>
      <c r="C707" s="2" t="s">
        <v>28</v>
      </c>
      <c r="D707" s="2" t="s">
        <v>97</v>
      </c>
      <c r="E707" s="2" t="s">
        <v>5039</v>
      </c>
      <c r="F707" s="2" t="s">
        <v>99</v>
      </c>
      <c r="G707" s="2" t="s">
        <v>32</v>
      </c>
      <c r="H707" s="1"/>
      <c r="I707" s="2" t="s">
        <v>33</v>
      </c>
      <c r="J707" s="2" t="s">
        <v>34</v>
      </c>
      <c r="K707" s="2" t="s">
        <v>738</v>
      </c>
      <c r="L707" s="2" t="s">
        <v>739</v>
      </c>
      <c r="M707" s="2" t="s">
        <v>701</v>
      </c>
      <c r="N707" s="2" t="s">
        <v>38</v>
      </c>
      <c r="O707" s="2" t="s">
        <v>987</v>
      </c>
      <c r="P707" s="2" t="s">
        <v>1952</v>
      </c>
      <c r="Q707" s="2" t="s">
        <v>5189</v>
      </c>
      <c r="R707" s="2" t="s">
        <v>40</v>
      </c>
      <c r="S707" s="2" t="s">
        <v>5190</v>
      </c>
      <c r="T707" s="2" t="s">
        <v>5191</v>
      </c>
      <c r="U707" s="2" t="s">
        <v>5192</v>
      </c>
      <c r="V707" s="2" t="s">
        <v>5193</v>
      </c>
      <c r="W707" s="1"/>
      <c r="X707" s="2" t="s">
        <v>5194</v>
      </c>
      <c r="Y707" s="2" t="s">
        <v>5130</v>
      </c>
      <c r="AA707" t="str">
        <f t="shared" si="60"/>
        <v>2026-04</v>
      </c>
      <c r="AB707" t="str">
        <f t="shared" si="61"/>
        <v>H1_2026</v>
      </c>
      <c r="AC707">
        <f t="shared" si="62"/>
        <v>1332078.3700000001</v>
      </c>
      <c r="AD707">
        <f t="shared" si="63"/>
        <v>111</v>
      </c>
      <c r="AE707">
        <f t="shared" si="64"/>
        <v>1261518.3700000001</v>
      </c>
      <c r="AF707" t="str">
        <f t="shared" si="65"/>
        <v>Paid</v>
      </c>
    </row>
    <row r="708" spans="1:32" ht="17.25" thickBot="1" x14ac:dyDescent="0.35">
      <c r="A708" s="2" t="s">
        <v>5195</v>
      </c>
      <c r="B708" s="2" t="s">
        <v>27</v>
      </c>
      <c r="C708" s="2" t="s">
        <v>28</v>
      </c>
      <c r="D708" s="2" t="s">
        <v>97</v>
      </c>
      <c r="E708" s="2" t="s">
        <v>5039</v>
      </c>
      <c r="F708" s="2" t="s">
        <v>99</v>
      </c>
      <c r="G708" s="2" t="s">
        <v>32</v>
      </c>
      <c r="H708" s="1"/>
      <c r="I708" s="2" t="s">
        <v>33</v>
      </c>
      <c r="J708" s="2" t="s">
        <v>34</v>
      </c>
      <c r="K708" s="2" t="s">
        <v>3970</v>
      </c>
      <c r="L708" s="2" t="s">
        <v>3971</v>
      </c>
      <c r="M708" s="2" t="s">
        <v>701</v>
      </c>
      <c r="N708" s="2" t="s">
        <v>38</v>
      </c>
      <c r="O708" s="2" t="s">
        <v>4063</v>
      </c>
      <c r="P708" s="2" t="s">
        <v>4567</v>
      </c>
      <c r="Q708" s="2" t="s">
        <v>5196</v>
      </c>
      <c r="R708" s="2" t="s">
        <v>40</v>
      </c>
      <c r="S708" s="2" t="s">
        <v>5197</v>
      </c>
      <c r="T708" s="2" t="s">
        <v>759</v>
      </c>
      <c r="U708" s="2" t="s">
        <v>5198</v>
      </c>
      <c r="V708" s="2" t="s">
        <v>5199</v>
      </c>
      <c r="W708" s="1"/>
      <c r="X708" s="2" t="s">
        <v>709</v>
      </c>
      <c r="Y708" s="2" t="s">
        <v>5130</v>
      </c>
      <c r="AA708" t="str">
        <f t="shared" ref="AA708:AA771" si="66">LEFT(E708,7)</f>
        <v>2026-04</v>
      </c>
      <c r="AB708" t="str">
        <f t="shared" ref="AB708:AB771" si="67">IF(AND($AA708&gt;="2025-01",$AA708&lt;="2025-06"),"H1_2025",IF(AND($AA708&gt;="2026-01",$AA708&lt;="2026-06"),"H1_2026",""))</f>
        <v>H1_2026</v>
      </c>
      <c r="AC708">
        <f t="shared" ref="AC708:AC771" si="68">IFERROR(VALUE(SUBSTITUTE(S708,",","")),0)</f>
        <v>4790254.62</v>
      </c>
      <c r="AD708">
        <f t="shared" ref="AD708:AD771" si="69">IFERROR(VALUE(SUBSTITUTE(O708,",","")),0)</f>
        <v>532</v>
      </c>
      <c r="AE708">
        <f t="shared" ref="AE708:AE771" si="70">IFERROR(VALUE(SUBSTITUTE(V708,",","")),0)</f>
        <v>768334.62</v>
      </c>
      <c r="AF708" t="str">
        <f t="shared" ref="AF708:AF771" si="71">IF(ISNUMBER(SEARCH("FOC",W708)),"FOC",IF(ISNUMBER(SEARCH("샘플",W708)),"Sample","Paid"))</f>
        <v>Paid</v>
      </c>
    </row>
    <row r="709" spans="1:32" ht="17.25" thickBot="1" x14ac:dyDescent="0.35">
      <c r="A709" s="2" t="s">
        <v>5200</v>
      </c>
      <c r="B709" s="2" t="s">
        <v>27</v>
      </c>
      <c r="C709" s="2" t="s">
        <v>28</v>
      </c>
      <c r="D709" s="2" t="s">
        <v>97</v>
      </c>
      <c r="E709" s="2" t="s">
        <v>5039</v>
      </c>
      <c r="F709" s="2" t="s">
        <v>99</v>
      </c>
      <c r="G709" s="2" t="s">
        <v>32</v>
      </c>
      <c r="H709" s="1"/>
      <c r="I709" s="2" t="s">
        <v>33</v>
      </c>
      <c r="J709" s="2" t="s">
        <v>34</v>
      </c>
      <c r="K709" s="2" t="s">
        <v>3978</v>
      </c>
      <c r="L709" s="2" t="s">
        <v>3979</v>
      </c>
      <c r="M709" s="2" t="s">
        <v>701</v>
      </c>
      <c r="N709" s="2" t="s">
        <v>38</v>
      </c>
      <c r="O709" s="2" t="s">
        <v>2639</v>
      </c>
      <c r="P709" s="2" t="s">
        <v>4567</v>
      </c>
      <c r="Q709" s="2" t="s">
        <v>4593</v>
      </c>
      <c r="R709" s="2" t="s">
        <v>40</v>
      </c>
      <c r="S709" s="2" t="s">
        <v>5201</v>
      </c>
      <c r="T709" s="2" t="s">
        <v>759</v>
      </c>
      <c r="U709" s="2" t="s">
        <v>4595</v>
      </c>
      <c r="V709" s="2" t="s">
        <v>5202</v>
      </c>
      <c r="W709" s="1"/>
      <c r="X709" s="2" t="s">
        <v>709</v>
      </c>
      <c r="Y709" s="2" t="s">
        <v>5130</v>
      </c>
      <c r="AA709" t="str">
        <f t="shared" si="66"/>
        <v>2026-04</v>
      </c>
      <c r="AB709" t="str">
        <f t="shared" si="67"/>
        <v>H1_2026</v>
      </c>
      <c r="AC709">
        <f t="shared" si="68"/>
        <v>2863347.68</v>
      </c>
      <c r="AD709">
        <f t="shared" si="69"/>
        <v>318</v>
      </c>
      <c r="AE709">
        <f t="shared" si="70"/>
        <v>459267.68</v>
      </c>
      <c r="AF709" t="str">
        <f t="shared" si="71"/>
        <v>Paid</v>
      </c>
    </row>
    <row r="710" spans="1:32" ht="17.25" thickBot="1" x14ac:dyDescent="0.35">
      <c r="A710" s="2" t="s">
        <v>5203</v>
      </c>
      <c r="B710" s="2" t="s">
        <v>27</v>
      </c>
      <c r="C710" s="2" t="s">
        <v>28</v>
      </c>
      <c r="D710" s="2" t="s">
        <v>97</v>
      </c>
      <c r="E710" s="2" t="s">
        <v>5039</v>
      </c>
      <c r="F710" s="2" t="s">
        <v>99</v>
      </c>
      <c r="G710" s="2" t="s">
        <v>32</v>
      </c>
      <c r="H710" s="1"/>
      <c r="I710" s="2" t="s">
        <v>33</v>
      </c>
      <c r="J710" s="2" t="s">
        <v>34</v>
      </c>
      <c r="K710" s="2" t="s">
        <v>3986</v>
      </c>
      <c r="L710" s="2" t="s">
        <v>3987</v>
      </c>
      <c r="M710" s="2" t="s">
        <v>701</v>
      </c>
      <c r="N710" s="2" t="s">
        <v>38</v>
      </c>
      <c r="O710" s="2" t="s">
        <v>945</v>
      </c>
      <c r="P710" s="2" t="s">
        <v>4583</v>
      </c>
      <c r="Q710" s="2" t="s">
        <v>4599</v>
      </c>
      <c r="R710" s="2" t="s">
        <v>40</v>
      </c>
      <c r="S710" s="2" t="s">
        <v>5204</v>
      </c>
      <c r="T710" s="2" t="s">
        <v>726</v>
      </c>
      <c r="U710" s="2" t="s">
        <v>5205</v>
      </c>
      <c r="V710" s="2" t="s">
        <v>5206</v>
      </c>
      <c r="W710" s="1"/>
      <c r="X710" s="2" t="s">
        <v>709</v>
      </c>
      <c r="Y710" s="2" t="s">
        <v>5130</v>
      </c>
      <c r="AA710" t="str">
        <f t="shared" si="66"/>
        <v>2026-04</v>
      </c>
      <c r="AB710" t="str">
        <f t="shared" si="67"/>
        <v>H1_2026</v>
      </c>
      <c r="AC710">
        <f t="shared" si="68"/>
        <v>909487.37</v>
      </c>
      <c r="AD710">
        <f t="shared" si="69"/>
        <v>107</v>
      </c>
      <c r="AE710">
        <f t="shared" si="70"/>
        <v>145507.37</v>
      </c>
      <c r="AF710" t="str">
        <f t="shared" si="71"/>
        <v>Paid</v>
      </c>
    </row>
    <row r="711" spans="1:32" ht="17.25" thickBot="1" x14ac:dyDescent="0.35">
      <c r="A711" s="2" t="s">
        <v>5207</v>
      </c>
      <c r="B711" s="2" t="s">
        <v>27</v>
      </c>
      <c r="C711" s="2" t="s">
        <v>28</v>
      </c>
      <c r="D711" s="2" t="s">
        <v>97</v>
      </c>
      <c r="E711" s="2" t="s">
        <v>5039</v>
      </c>
      <c r="F711" s="2" t="s">
        <v>99</v>
      </c>
      <c r="G711" s="2" t="s">
        <v>32</v>
      </c>
      <c r="H711" s="1"/>
      <c r="I711" s="2" t="s">
        <v>33</v>
      </c>
      <c r="J711" s="2" t="s">
        <v>34</v>
      </c>
      <c r="K711" s="2" t="s">
        <v>770</v>
      </c>
      <c r="L711" s="2" t="s">
        <v>771</v>
      </c>
      <c r="M711" s="2" t="s">
        <v>772</v>
      </c>
      <c r="N711" s="2" t="s">
        <v>38</v>
      </c>
      <c r="O711" s="2" t="s">
        <v>131</v>
      </c>
      <c r="P711" s="2" t="s">
        <v>2829</v>
      </c>
      <c r="Q711" s="2" t="s">
        <v>5208</v>
      </c>
      <c r="R711" s="2" t="s">
        <v>40</v>
      </c>
      <c r="S711" s="2" t="s">
        <v>5209</v>
      </c>
      <c r="T711" s="2" t="s">
        <v>287</v>
      </c>
      <c r="U711" s="2" t="s">
        <v>5210</v>
      </c>
      <c r="V711" s="2" t="s">
        <v>5211</v>
      </c>
      <c r="W711" s="1"/>
      <c r="X711" s="2" t="s">
        <v>155</v>
      </c>
      <c r="Y711" s="2" t="s">
        <v>5130</v>
      </c>
      <c r="AA711" t="str">
        <f t="shared" si="66"/>
        <v>2026-04</v>
      </c>
      <c r="AB711" t="str">
        <f t="shared" si="67"/>
        <v>H1_2026</v>
      </c>
      <c r="AC711">
        <f t="shared" si="68"/>
        <v>347708.96</v>
      </c>
      <c r="AD711">
        <f t="shared" si="69"/>
        <v>40</v>
      </c>
      <c r="AE711">
        <f t="shared" si="70"/>
        <v>67708.960000000006</v>
      </c>
      <c r="AF711" t="str">
        <f t="shared" si="71"/>
        <v>Paid</v>
      </c>
    </row>
    <row r="712" spans="1:32" ht="17.25" thickBot="1" x14ac:dyDescent="0.35">
      <c r="A712" s="2" t="s">
        <v>354</v>
      </c>
      <c r="B712" s="2" t="s">
        <v>27</v>
      </c>
      <c r="C712" s="2" t="s">
        <v>28</v>
      </c>
      <c r="D712" s="2" t="s">
        <v>97</v>
      </c>
      <c r="E712" s="2" t="s">
        <v>5039</v>
      </c>
      <c r="F712" s="2" t="s">
        <v>99</v>
      </c>
      <c r="G712" s="2" t="s">
        <v>32</v>
      </c>
      <c r="H712" s="1"/>
      <c r="I712" s="2" t="s">
        <v>33</v>
      </c>
      <c r="J712" s="2" t="s">
        <v>34</v>
      </c>
      <c r="K712" s="2" t="s">
        <v>798</v>
      </c>
      <c r="L712" s="2" t="s">
        <v>799</v>
      </c>
      <c r="M712" s="2" t="s">
        <v>772</v>
      </c>
      <c r="N712" s="2" t="s">
        <v>38</v>
      </c>
      <c r="O712" s="2" t="s">
        <v>5212</v>
      </c>
      <c r="P712" s="2" t="s">
        <v>4621</v>
      </c>
      <c r="Q712" s="2" t="s">
        <v>5213</v>
      </c>
      <c r="R712" s="2" t="s">
        <v>40</v>
      </c>
      <c r="S712" s="2" t="s">
        <v>5214</v>
      </c>
      <c r="T712" s="2" t="s">
        <v>287</v>
      </c>
      <c r="U712" s="2" t="s">
        <v>5215</v>
      </c>
      <c r="V712" s="2" t="s">
        <v>5216</v>
      </c>
      <c r="W712" s="1"/>
      <c r="X712" s="2" t="s">
        <v>2781</v>
      </c>
      <c r="Y712" s="2" t="s">
        <v>5130</v>
      </c>
      <c r="AA712" t="str">
        <f t="shared" si="66"/>
        <v>2026-04</v>
      </c>
      <c r="AB712" t="str">
        <f t="shared" si="67"/>
        <v>H1_2026</v>
      </c>
      <c r="AC712">
        <f t="shared" si="68"/>
        <v>8499659.4900000002</v>
      </c>
      <c r="AD712">
        <f t="shared" si="69"/>
        <v>963</v>
      </c>
      <c r="AE712">
        <f t="shared" si="70"/>
        <v>1758659.49</v>
      </c>
      <c r="AF712" t="str">
        <f t="shared" si="71"/>
        <v>Paid</v>
      </c>
    </row>
    <row r="713" spans="1:32" ht="17.25" thickBot="1" x14ac:dyDescent="0.35">
      <c r="A713" s="2" t="s">
        <v>5217</v>
      </c>
      <c r="B713" s="2" t="s">
        <v>27</v>
      </c>
      <c r="C713" s="2" t="s">
        <v>28</v>
      </c>
      <c r="D713" s="2" t="s">
        <v>97</v>
      </c>
      <c r="E713" s="2" t="s">
        <v>5039</v>
      </c>
      <c r="F713" s="2" t="s">
        <v>99</v>
      </c>
      <c r="G713" s="2" t="s">
        <v>32</v>
      </c>
      <c r="H713" s="1"/>
      <c r="I713" s="2" t="s">
        <v>33</v>
      </c>
      <c r="J713" s="2" t="s">
        <v>34</v>
      </c>
      <c r="K713" s="2" t="s">
        <v>808</v>
      </c>
      <c r="L713" s="2" t="s">
        <v>809</v>
      </c>
      <c r="M713" s="2" t="s">
        <v>772</v>
      </c>
      <c r="N713" s="2" t="s">
        <v>38</v>
      </c>
      <c r="O713" s="2" t="s">
        <v>1664</v>
      </c>
      <c r="P713" s="2" t="s">
        <v>5218</v>
      </c>
      <c r="Q713" s="2" t="s">
        <v>5219</v>
      </c>
      <c r="R713" s="2" t="s">
        <v>40</v>
      </c>
      <c r="S713" s="2" t="s">
        <v>5220</v>
      </c>
      <c r="T713" s="2" t="s">
        <v>814</v>
      </c>
      <c r="U713" s="2" t="s">
        <v>5221</v>
      </c>
      <c r="V713" s="2" t="s">
        <v>5222</v>
      </c>
      <c r="W713" s="1"/>
      <c r="X713" s="2" t="s">
        <v>2072</v>
      </c>
      <c r="Y713" s="2" t="s">
        <v>5130</v>
      </c>
      <c r="AA713" t="str">
        <f t="shared" si="66"/>
        <v>2026-04</v>
      </c>
      <c r="AB713" t="str">
        <f t="shared" si="67"/>
        <v>H1_2026</v>
      </c>
      <c r="AC713">
        <f t="shared" si="68"/>
        <v>2517863.8199999998</v>
      </c>
      <c r="AD713">
        <f t="shared" si="69"/>
        <v>196</v>
      </c>
      <c r="AE713">
        <f t="shared" si="70"/>
        <v>506903.82</v>
      </c>
      <c r="AF713" t="str">
        <f t="shared" si="71"/>
        <v>Paid</v>
      </c>
    </row>
    <row r="714" spans="1:32" ht="17.25" thickBot="1" x14ac:dyDescent="0.35">
      <c r="A714" s="2" t="s">
        <v>5223</v>
      </c>
      <c r="B714" s="2" t="s">
        <v>27</v>
      </c>
      <c r="C714" s="2" t="s">
        <v>28</v>
      </c>
      <c r="D714" s="2" t="s">
        <v>97</v>
      </c>
      <c r="E714" s="2" t="s">
        <v>5039</v>
      </c>
      <c r="F714" s="2" t="s">
        <v>99</v>
      </c>
      <c r="G714" s="2" t="s">
        <v>32</v>
      </c>
      <c r="H714" s="1"/>
      <c r="I714" s="2" t="s">
        <v>33</v>
      </c>
      <c r="J714" s="2" t="s">
        <v>34</v>
      </c>
      <c r="K714" s="2" t="s">
        <v>847</v>
      </c>
      <c r="L714" s="2" t="s">
        <v>848</v>
      </c>
      <c r="M714" s="2" t="s">
        <v>772</v>
      </c>
      <c r="N714" s="2" t="s">
        <v>38</v>
      </c>
      <c r="O714" s="2" t="s">
        <v>220</v>
      </c>
      <c r="P714" s="2" t="s">
        <v>4700</v>
      </c>
      <c r="Q714" s="2" t="s">
        <v>5224</v>
      </c>
      <c r="R714" s="2" t="s">
        <v>40</v>
      </c>
      <c r="S714" s="2" t="s">
        <v>5225</v>
      </c>
      <c r="T714" s="2" t="s">
        <v>853</v>
      </c>
      <c r="U714" s="2" t="s">
        <v>5226</v>
      </c>
      <c r="V714" s="2" t="s">
        <v>5227</v>
      </c>
      <c r="W714" s="1"/>
      <c r="X714" s="2" t="s">
        <v>5228</v>
      </c>
      <c r="Y714" s="2" t="s">
        <v>5130</v>
      </c>
      <c r="AA714" t="str">
        <f t="shared" si="66"/>
        <v>2026-04</v>
      </c>
      <c r="AB714" t="str">
        <f t="shared" si="67"/>
        <v>H1_2026</v>
      </c>
      <c r="AC714">
        <f t="shared" si="68"/>
        <v>279161.05</v>
      </c>
      <c r="AD714">
        <f t="shared" si="69"/>
        <v>27</v>
      </c>
      <c r="AE714">
        <f t="shared" si="70"/>
        <v>52685.05</v>
      </c>
      <c r="AF714" t="str">
        <f t="shared" si="71"/>
        <v>Paid</v>
      </c>
    </row>
    <row r="715" spans="1:32" ht="17.25" thickBot="1" x14ac:dyDescent="0.35">
      <c r="A715" s="2" t="s">
        <v>5229</v>
      </c>
      <c r="B715" s="2" t="s">
        <v>27</v>
      </c>
      <c r="C715" s="2" t="s">
        <v>28</v>
      </c>
      <c r="D715" s="2" t="s">
        <v>97</v>
      </c>
      <c r="E715" s="2" t="s">
        <v>5039</v>
      </c>
      <c r="F715" s="2" t="s">
        <v>99</v>
      </c>
      <c r="G715" s="2" t="s">
        <v>32</v>
      </c>
      <c r="H715" s="1"/>
      <c r="I715" s="2" t="s">
        <v>33</v>
      </c>
      <c r="J715" s="2" t="s">
        <v>34</v>
      </c>
      <c r="K715" s="2" t="s">
        <v>888</v>
      </c>
      <c r="L715" s="2" t="s">
        <v>889</v>
      </c>
      <c r="M715" s="2" t="s">
        <v>772</v>
      </c>
      <c r="N715" s="2" t="s">
        <v>38</v>
      </c>
      <c r="O715" s="2" t="s">
        <v>956</v>
      </c>
      <c r="P715" s="2" t="s">
        <v>939</v>
      </c>
      <c r="Q715" s="2" t="s">
        <v>5230</v>
      </c>
      <c r="R715" s="2" t="s">
        <v>40</v>
      </c>
      <c r="S715" s="2" t="s">
        <v>5231</v>
      </c>
      <c r="T715" s="2" t="s">
        <v>894</v>
      </c>
      <c r="U715" s="2" t="s">
        <v>5232</v>
      </c>
      <c r="V715" s="2" t="s">
        <v>5233</v>
      </c>
      <c r="W715" s="1"/>
      <c r="X715" s="2" t="s">
        <v>897</v>
      </c>
      <c r="Y715" s="2" t="s">
        <v>5130</v>
      </c>
      <c r="AA715" t="str">
        <f t="shared" si="66"/>
        <v>2026-04</v>
      </c>
      <c r="AB715" t="str">
        <f t="shared" si="67"/>
        <v>H1_2026</v>
      </c>
      <c r="AC715">
        <f t="shared" si="68"/>
        <v>1331321.83</v>
      </c>
      <c r="AD715">
        <f t="shared" si="69"/>
        <v>108</v>
      </c>
      <c r="AE715">
        <f t="shared" si="70"/>
        <v>279941.83</v>
      </c>
      <c r="AF715" t="str">
        <f t="shared" si="71"/>
        <v>Paid</v>
      </c>
    </row>
    <row r="716" spans="1:32" ht="17.25" thickBot="1" x14ac:dyDescent="0.35">
      <c r="A716" s="2" t="s">
        <v>5234</v>
      </c>
      <c r="B716" s="2" t="s">
        <v>27</v>
      </c>
      <c r="C716" s="2" t="s">
        <v>28</v>
      </c>
      <c r="D716" s="2" t="s">
        <v>97</v>
      </c>
      <c r="E716" s="2" t="s">
        <v>5039</v>
      </c>
      <c r="F716" s="2" t="s">
        <v>99</v>
      </c>
      <c r="G716" s="2" t="s">
        <v>32</v>
      </c>
      <c r="H716" s="1"/>
      <c r="I716" s="2" t="s">
        <v>33</v>
      </c>
      <c r="J716" s="2" t="s">
        <v>34</v>
      </c>
      <c r="K716" s="2" t="s">
        <v>899</v>
      </c>
      <c r="L716" s="2" t="s">
        <v>900</v>
      </c>
      <c r="M716" s="2" t="s">
        <v>772</v>
      </c>
      <c r="N716" s="2" t="s">
        <v>38</v>
      </c>
      <c r="O716" s="2" t="s">
        <v>673</v>
      </c>
      <c r="P716" s="2" t="s">
        <v>484</v>
      </c>
      <c r="Q716" s="2" t="s">
        <v>5235</v>
      </c>
      <c r="R716" s="2" t="s">
        <v>40</v>
      </c>
      <c r="S716" s="2" t="s">
        <v>5236</v>
      </c>
      <c r="T716" s="2" t="s">
        <v>903</v>
      </c>
      <c r="U716" s="2" t="s">
        <v>5237</v>
      </c>
      <c r="V716" s="2" t="s">
        <v>5238</v>
      </c>
      <c r="W716" s="1"/>
      <c r="X716" s="2" t="s">
        <v>897</v>
      </c>
      <c r="Y716" s="2" t="s">
        <v>5130</v>
      </c>
      <c r="AA716" t="str">
        <f t="shared" si="66"/>
        <v>2026-04</v>
      </c>
      <c r="AB716" t="str">
        <f t="shared" si="67"/>
        <v>H1_2026</v>
      </c>
      <c r="AC716">
        <f t="shared" si="68"/>
        <v>1080686.57</v>
      </c>
      <c r="AD716">
        <f t="shared" si="69"/>
        <v>78</v>
      </c>
      <c r="AE716">
        <f t="shared" si="70"/>
        <v>227366.57</v>
      </c>
      <c r="AF716" t="str">
        <f t="shared" si="71"/>
        <v>Paid</v>
      </c>
    </row>
    <row r="717" spans="1:32" ht="17.25" thickBot="1" x14ac:dyDescent="0.35">
      <c r="A717" s="2" t="s">
        <v>5239</v>
      </c>
      <c r="B717" s="2" t="s">
        <v>27</v>
      </c>
      <c r="C717" s="2" t="s">
        <v>28</v>
      </c>
      <c r="D717" s="2" t="s">
        <v>97</v>
      </c>
      <c r="E717" s="2" t="s">
        <v>5039</v>
      </c>
      <c r="F717" s="2" t="s">
        <v>99</v>
      </c>
      <c r="G717" s="2" t="s">
        <v>32</v>
      </c>
      <c r="H717" s="1"/>
      <c r="I717" s="2" t="s">
        <v>33</v>
      </c>
      <c r="J717" s="2" t="s">
        <v>34</v>
      </c>
      <c r="K717" s="2" t="s">
        <v>918</v>
      </c>
      <c r="L717" s="2" t="s">
        <v>919</v>
      </c>
      <c r="M717" s="2" t="s">
        <v>772</v>
      </c>
      <c r="N717" s="2" t="s">
        <v>38</v>
      </c>
      <c r="O717" s="2" t="s">
        <v>1283</v>
      </c>
      <c r="P717" s="2" t="s">
        <v>5240</v>
      </c>
      <c r="Q717" s="2" t="s">
        <v>5241</v>
      </c>
      <c r="R717" s="2" t="s">
        <v>40</v>
      </c>
      <c r="S717" s="2" t="s">
        <v>5242</v>
      </c>
      <c r="T717" s="2" t="s">
        <v>913</v>
      </c>
      <c r="U717" s="2" t="s">
        <v>5243</v>
      </c>
      <c r="V717" s="2" t="s">
        <v>5244</v>
      </c>
      <c r="W717" s="1"/>
      <c r="X717" s="2" t="s">
        <v>5228</v>
      </c>
      <c r="Y717" s="2" t="s">
        <v>5130</v>
      </c>
      <c r="AA717" t="str">
        <f t="shared" si="66"/>
        <v>2026-04</v>
      </c>
      <c r="AB717" t="str">
        <f t="shared" si="67"/>
        <v>H1_2026</v>
      </c>
      <c r="AC717">
        <f t="shared" si="68"/>
        <v>1896853.25</v>
      </c>
      <c r="AD717">
        <f t="shared" si="69"/>
        <v>144</v>
      </c>
      <c r="AE717">
        <f t="shared" si="70"/>
        <v>358933.25</v>
      </c>
      <c r="AF717" t="str">
        <f t="shared" si="71"/>
        <v>Paid</v>
      </c>
    </row>
    <row r="718" spans="1:32" ht="17.25" thickBot="1" x14ac:dyDescent="0.35">
      <c r="A718" s="2" t="s">
        <v>5245</v>
      </c>
      <c r="B718" s="2" t="s">
        <v>27</v>
      </c>
      <c r="C718" s="2" t="s">
        <v>28</v>
      </c>
      <c r="D718" s="2" t="s">
        <v>97</v>
      </c>
      <c r="E718" s="2" t="s">
        <v>5039</v>
      </c>
      <c r="F718" s="2" t="s">
        <v>99</v>
      </c>
      <c r="G718" s="2" t="s">
        <v>32</v>
      </c>
      <c r="H718" s="1"/>
      <c r="I718" s="2" t="s">
        <v>33</v>
      </c>
      <c r="J718" s="2" t="s">
        <v>34</v>
      </c>
      <c r="K718" s="2" t="s">
        <v>4343</v>
      </c>
      <c r="L718" s="2" t="s">
        <v>4344</v>
      </c>
      <c r="M718" s="2" t="s">
        <v>772</v>
      </c>
      <c r="N718" s="2" t="s">
        <v>38</v>
      </c>
      <c r="O718" s="2" t="s">
        <v>156</v>
      </c>
      <c r="P718" s="2" t="s">
        <v>5246</v>
      </c>
      <c r="Q718" s="2" t="s">
        <v>5247</v>
      </c>
      <c r="R718" s="2" t="s">
        <v>40</v>
      </c>
      <c r="S718" s="2" t="s">
        <v>5248</v>
      </c>
      <c r="T718" s="2" t="s">
        <v>4347</v>
      </c>
      <c r="U718" s="2" t="s">
        <v>5249</v>
      </c>
      <c r="V718" s="2" t="s">
        <v>5250</v>
      </c>
      <c r="W718" s="1"/>
      <c r="X718" s="2" t="s">
        <v>2198</v>
      </c>
      <c r="Y718" s="2" t="s">
        <v>5130</v>
      </c>
      <c r="AA718" t="str">
        <f t="shared" si="66"/>
        <v>2026-04</v>
      </c>
      <c r="AB718" t="str">
        <f t="shared" si="67"/>
        <v>H1_2026</v>
      </c>
      <c r="AC718">
        <f t="shared" si="68"/>
        <v>218356.48000000001</v>
      </c>
      <c r="AD718">
        <f t="shared" si="69"/>
        <v>20</v>
      </c>
      <c r="AE718">
        <f t="shared" si="70"/>
        <v>41556.480000000003</v>
      </c>
      <c r="AF718" t="str">
        <f t="shared" si="71"/>
        <v>Paid</v>
      </c>
    </row>
    <row r="719" spans="1:32" ht="17.25" thickBot="1" x14ac:dyDescent="0.35">
      <c r="A719" s="2" t="s">
        <v>5251</v>
      </c>
      <c r="B719" s="2" t="s">
        <v>27</v>
      </c>
      <c r="C719" s="2" t="s">
        <v>28</v>
      </c>
      <c r="D719" s="2" t="s">
        <v>97</v>
      </c>
      <c r="E719" s="2" t="s">
        <v>5039</v>
      </c>
      <c r="F719" s="2" t="s">
        <v>99</v>
      </c>
      <c r="G719" s="2" t="s">
        <v>32</v>
      </c>
      <c r="H719" s="1"/>
      <c r="I719" s="2" t="s">
        <v>33</v>
      </c>
      <c r="J719" s="2" t="s">
        <v>34</v>
      </c>
      <c r="K719" s="2" t="s">
        <v>936</v>
      </c>
      <c r="L719" s="2" t="s">
        <v>937</v>
      </c>
      <c r="M719" s="2" t="s">
        <v>772</v>
      </c>
      <c r="N719" s="2" t="s">
        <v>38</v>
      </c>
      <c r="O719" s="2" t="s">
        <v>5252</v>
      </c>
      <c r="P719" s="2" t="s">
        <v>5253</v>
      </c>
      <c r="Q719" s="2" t="s">
        <v>5254</v>
      </c>
      <c r="R719" s="2" t="s">
        <v>40</v>
      </c>
      <c r="S719" s="2" t="s">
        <v>5255</v>
      </c>
      <c r="T719" s="2" t="s">
        <v>942</v>
      </c>
      <c r="U719" s="2" t="s">
        <v>5256</v>
      </c>
      <c r="V719" s="2" t="s">
        <v>5257</v>
      </c>
      <c r="W719" s="1"/>
      <c r="X719" s="2" t="s">
        <v>3583</v>
      </c>
      <c r="Y719" s="2" t="s">
        <v>5130</v>
      </c>
      <c r="AA719" t="str">
        <f t="shared" si="66"/>
        <v>2026-04</v>
      </c>
      <c r="AB719" t="str">
        <f t="shared" si="67"/>
        <v>H1_2026</v>
      </c>
      <c r="AC719">
        <f t="shared" si="68"/>
        <v>64168353.509999998</v>
      </c>
      <c r="AD719">
        <f t="shared" si="69"/>
        <v>5237</v>
      </c>
      <c r="AE719">
        <f t="shared" si="70"/>
        <v>12693880.51</v>
      </c>
      <c r="AF719" t="str">
        <f t="shared" si="71"/>
        <v>Paid</v>
      </c>
    </row>
    <row r="720" spans="1:32" ht="17.25" thickBot="1" x14ac:dyDescent="0.35">
      <c r="A720" s="2" t="s">
        <v>5258</v>
      </c>
      <c r="B720" s="2" t="s">
        <v>27</v>
      </c>
      <c r="C720" s="2" t="s">
        <v>28</v>
      </c>
      <c r="D720" s="2" t="s">
        <v>97</v>
      </c>
      <c r="E720" s="2" t="s">
        <v>5039</v>
      </c>
      <c r="F720" s="2" t="s">
        <v>99</v>
      </c>
      <c r="G720" s="2" t="s">
        <v>32</v>
      </c>
      <c r="H720" s="1"/>
      <c r="I720" s="2" t="s">
        <v>33</v>
      </c>
      <c r="J720" s="2" t="s">
        <v>34</v>
      </c>
      <c r="K720" s="2" t="s">
        <v>946</v>
      </c>
      <c r="L720" s="2" t="s">
        <v>947</v>
      </c>
      <c r="M720" s="2" t="s">
        <v>772</v>
      </c>
      <c r="N720" s="2" t="s">
        <v>38</v>
      </c>
      <c r="O720" s="2" t="s">
        <v>5259</v>
      </c>
      <c r="P720" s="2" t="s">
        <v>5260</v>
      </c>
      <c r="Q720" s="2" t="s">
        <v>5261</v>
      </c>
      <c r="R720" s="2" t="s">
        <v>40</v>
      </c>
      <c r="S720" s="2" t="s">
        <v>5262</v>
      </c>
      <c r="T720" s="2" t="s">
        <v>952</v>
      </c>
      <c r="U720" s="2" t="s">
        <v>5263</v>
      </c>
      <c r="V720" s="2" t="s">
        <v>5264</v>
      </c>
      <c r="W720" s="1"/>
      <c r="X720" s="2" t="s">
        <v>3089</v>
      </c>
      <c r="Y720" s="2" t="s">
        <v>5130</v>
      </c>
      <c r="AA720" t="str">
        <f t="shared" si="66"/>
        <v>2026-04</v>
      </c>
      <c r="AB720" t="str">
        <f t="shared" si="67"/>
        <v>H1_2026</v>
      </c>
      <c r="AC720">
        <f t="shared" si="68"/>
        <v>13897529.58</v>
      </c>
      <c r="AD720">
        <f t="shared" si="69"/>
        <v>935</v>
      </c>
      <c r="AE720">
        <f t="shared" si="70"/>
        <v>2677529.58</v>
      </c>
      <c r="AF720" t="str">
        <f t="shared" si="71"/>
        <v>Paid</v>
      </c>
    </row>
    <row r="721" spans="1:32" ht="17.25" thickBot="1" x14ac:dyDescent="0.35">
      <c r="A721" s="2" t="s">
        <v>5265</v>
      </c>
      <c r="B721" s="2" t="s">
        <v>27</v>
      </c>
      <c r="C721" s="2" t="s">
        <v>28</v>
      </c>
      <c r="D721" s="2" t="s">
        <v>97</v>
      </c>
      <c r="E721" s="2" t="s">
        <v>5039</v>
      </c>
      <c r="F721" s="2" t="s">
        <v>99</v>
      </c>
      <c r="G721" s="2" t="s">
        <v>32</v>
      </c>
      <c r="H721" s="1"/>
      <c r="I721" s="2" t="s">
        <v>33</v>
      </c>
      <c r="J721" s="2" t="s">
        <v>34</v>
      </c>
      <c r="K721" s="2" t="s">
        <v>967</v>
      </c>
      <c r="L721" s="2" t="s">
        <v>968</v>
      </c>
      <c r="M721" s="2" t="s">
        <v>772</v>
      </c>
      <c r="N721" s="2" t="s">
        <v>38</v>
      </c>
      <c r="O721" s="2" t="s">
        <v>966</v>
      </c>
      <c r="P721" s="2" t="s">
        <v>5266</v>
      </c>
      <c r="Q721" s="2" t="s">
        <v>5267</v>
      </c>
      <c r="R721" s="2" t="s">
        <v>40</v>
      </c>
      <c r="S721" s="2" t="s">
        <v>5268</v>
      </c>
      <c r="T721" s="2" t="s">
        <v>973</v>
      </c>
      <c r="U721" s="2" t="s">
        <v>5269</v>
      </c>
      <c r="V721" s="2" t="s">
        <v>5270</v>
      </c>
      <c r="W721" s="1"/>
      <c r="X721" s="2" t="s">
        <v>976</v>
      </c>
      <c r="Y721" s="2" t="s">
        <v>5130</v>
      </c>
      <c r="AA721" t="str">
        <f t="shared" si="66"/>
        <v>2026-04</v>
      </c>
      <c r="AB721" t="str">
        <f t="shared" si="67"/>
        <v>H1_2026</v>
      </c>
      <c r="AC721">
        <f t="shared" si="68"/>
        <v>1570015.73</v>
      </c>
      <c r="AD721">
        <f t="shared" si="69"/>
        <v>109</v>
      </c>
      <c r="AE721">
        <f t="shared" si="70"/>
        <v>316515.73</v>
      </c>
      <c r="AF721" t="str">
        <f t="shared" si="71"/>
        <v>Paid</v>
      </c>
    </row>
    <row r="722" spans="1:32" ht="17.25" thickBot="1" x14ac:dyDescent="0.35">
      <c r="A722" s="2" t="s">
        <v>618</v>
      </c>
      <c r="B722" s="2" t="s">
        <v>27</v>
      </c>
      <c r="C722" s="2" t="s">
        <v>28</v>
      </c>
      <c r="D722" s="2" t="s">
        <v>97</v>
      </c>
      <c r="E722" s="2" t="s">
        <v>5039</v>
      </c>
      <c r="F722" s="2" t="s">
        <v>99</v>
      </c>
      <c r="G722" s="2" t="s">
        <v>32</v>
      </c>
      <c r="H722" s="1"/>
      <c r="I722" s="2" t="s">
        <v>33</v>
      </c>
      <c r="J722" s="2" t="s">
        <v>34</v>
      </c>
      <c r="K722" s="2" t="s">
        <v>978</v>
      </c>
      <c r="L722" s="2" t="s">
        <v>979</v>
      </c>
      <c r="M722" s="2" t="s">
        <v>772</v>
      </c>
      <c r="N722" s="2" t="s">
        <v>38</v>
      </c>
      <c r="O722" s="2" t="s">
        <v>5271</v>
      </c>
      <c r="P722" s="2" t="s">
        <v>5272</v>
      </c>
      <c r="Q722" s="2" t="s">
        <v>5273</v>
      </c>
      <c r="R722" s="2" t="s">
        <v>40</v>
      </c>
      <c r="S722" s="2" t="s">
        <v>5274</v>
      </c>
      <c r="T722" s="2" t="s">
        <v>983</v>
      </c>
      <c r="U722" s="2" t="s">
        <v>5275</v>
      </c>
      <c r="V722" s="2" t="s">
        <v>5276</v>
      </c>
      <c r="W722" s="1"/>
      <c r="X722" s="2" t="s">
        <v>838</v>
      </c>
      <c r="Y722" s="2" t="s">
        <v>5130</v>
      </c>
      <c r="AA722" t="str">
        <f t="shared" si="66"/>
        <v>2026-04</v>
      </c>
      <c r="AB722" t="str">
        <f t="shared" si="67"/>
        <v>H1_2026</v>
      </c>
      <c r="AC722">
        <f t="shared" si="68"/>
        <v>19611260.030000001</v>
      </c>
      <c r="AD722">
        <f t="shared" si="69"/>
        <v>1456</v>
      </c>
      <c r="AE722">
        <f t="shared" si="70"/>
        <v>4104860.03</v>
      </c>
      <c r="AF722" t="str">
        <f t="shared" si="71"/>
        <v>Paid</v>
      </c>
    </row>
    <row r="723" spans="1:32" ht="17.25" thickBot="1" x14ac:dyDescent="0.35">
      <c r="A723" s="2" t="s">
        <v>5277</v>
      </c>
      <c r="B723" s="2" t="s">
        <v>27</v>
      </c>
      <c r="C723" s="2" t="s">
        <v>28</v>
      </c>
      <c r="D723" s="2" t="s">
        <v>97</v>
      </c>
      <c r="E723" s="2" t="s">
        <v>5039</v>
      </c>
      <c r="F723" s="2" t="s">
        <v>99</v>
      </c>
      <c r="G723" s="2" t="s">
        <v>32</v>
      </c>
      <c r="H723" s="1"/>
      <c r="I723" s="2" t="s">
        <v>33</v>
      </c>
      <c r="J723" s="2" t="s">
        <v>34</v>
      </c>
      <c r="K723" s="2" t="s">
        <v>988</v>
      </c>
      <c r="L723" s="2" t="s">
        <v>989</v>
      </c>
      <c r="M723" s="2" t="s">
        <v>772</v>
      </c>
      <c r="N723" s="2" t="s">
        <v>38</v>
      </c>
      <c r="O723" s="2" t="s">
        <v>1310</v>
      </c>
      <c r="P723" s="2" t="s">
        <v>5278</v>
      </c>
      <c r="Q723" s="2" t="s">
        <v>5279</v>
      </c>
      <c r="R723" s="2" t="s">
        <v>40</v>
      </c>
      <c r="S723" s="2" t="s">
        <v>5280</v>
      </c>
      <c r="T723" s="2" t="s">
        <v>994</v>
      </c>
      <c r="U723" s="2" t="s">
        <v>5281</v>
      </c>
      <c r="V723" s="2" t="s">
        <v>5282</v>
      </c>
      <c r="W723" s="1"/>
      <c r="X723" s="2" t="s">
        <v>3310</v>
      </c>
      <c r="Y723" s="2" t="s">
        <v>5130</v>
      </c>
      <c r="AA723" t="str">
        <f t="shared" si="66"/>
        <v>2026-04</v>
      </c>
      <c r="AB723" t="str">
        <f t="shared" si="67"/>
        <v>H1_2026</v>
      </c>
      <c r="AC723">
        <f t="shared" si="68"/>
        <v>2369167.81</v>
      </c>
      <c r="AD723">
        <f t="shared" si="69"/>
        <v>184</v>
      </c>
      <c r="AE723">
        <f t="shared" si="70"/>
        <v>464767.81</v>
      </c>
      <c r="AF723" t="str">
        <f t="shared" si="71"/>
        <v>Paid</v>
      </c>
    </row>
    <row r="724" spans="1:32" ht="17.25" thickBot="1" x14ac:dyDescent="0.35">
      <c r="A724" s="2" t="s">
        <v>5283</v>
      </c>
      <c r="B724" s="2" t="s">
        <v>27</v>
      </c>
      <c r="C724" s="2" t="s">
        <v>28</v>
      </c>
      <c r="D724" s="2" t="s">
        <v>97</v>
      </c>
      <c r="E724" s="2" t="s">
        <v>5039</v>
      </c>
      <c r="F724" s="2" t="s">
        <v>99</v>
      </c>
      <c r="G724" s="2" t="s">
        <v>32</v>
      </c>
      <c r="H724" s="1"/>
      <c r="I724" s="2" t="s">
        <v>33</v>
      </c>
      <c r="J724" s="2" t="s">
        <v>34</v>
      </c>
      <c r="K724" s="2" t="s">
        <v>999</v>
      </c>
      <c r="L724" s="2" t="s">
        <v>1000</v>
      </c>
      <c r="M724" s="2" t="s">
        <v>772</v>
      </c>
      <c r="N724" s="2" t="s">
        <v>38</v>
      </c>
      <c r="O724" s="2" t="s">
        <v>1621</v>
      </c>
      <c r="P724" s="2" t="s">
        <v>4912</v>
      </c>
      <c r="Q724" s="2" t="s">
        <v>5284</v>
      </c>
      <c r="R724" s="2" t="s">
        <v>40</v>
      </c>
      <c r="S724" s="2" t="s">
        <v>5285</v>
      </c>
      <c r="T724" s="2" t="s">
        <v>864</v>
      </c>
      <c r="U724" s="2" t="s">
        <v>5286</v>
      </c>
      <c r="V724" s="2" t="s">
        <v>5287</v>
      </c>
      <c r="W724" s="1"/>
      <c r="X724" s="2" t="s">
        <v>5030</v>
      </c>
      <c r="Y724" s="2" t="s">
        <v>5130</v>
      </c>
      <c r="AA724" t="str">
        <f t="shared" si="66"/>
        <v>2026-04</v>
      </c>
      <c r="AB724" t="str">
        <f t="shared" si="67"/>
        <v>H1_2026</v>
      </c>
      <c r="AC724">
        <f t="shared" si="68"/>
        <v>1755069.88</v>
      </c>
      <c r="AD724">
        <f t="shared" si="69"/>
        <v>189</v>
      </c>
      <c r="AE724">
        <f t="shared" si="70"/>
        <v>337569.88</v>
      </c>
      <c r="AF724" t="str">
        <f t="shared" si="71"/>
        <v>Paid</v>
      </c>
    </row>
    <row r="725" spans="1:32" ht="17.25" thickBot="1" x14ac:dyDescent="0.35">
      <c r="A725" s="2" t="s">
        <v>5288</v>
      </c>
      <c r="B725" s="2" t="s">
        <v>27</v>
      </c>
      <c r="C725" s="2" t="s">
        <v>28</v>
      </c>
      <c r="D725" s="2" t="s">
        <v>97</v>
      </c>
      <c r="E725" s="2" t="s">
        <v>5039</v>
      </c>
      <c r="F725" s="2" t="s">
        <v>99</v>
      </c>
      <c r="G725" s="2" t="s">
        <v>32</v>
      </c>
      <c r="H725" s="1"/>
      <c r="I725" s="2" t="s">
        <v>33</v>
      </c>
      <c r="J725" s="2" t="s">
        <v>34</v>
      </c>
      <c r="K725" s="2" t="s">
        <v>1008</v>
      </c>
      <c r="L725" s="2" t="s">
        <v>1009</v>
      </c>
      <c r="M725" s="2" t="s">
        <v>772</v>
      </c>
      <c r="N725" s="2" t="s">
        <v>38</v>
      </c>
      <c r="O725" s="2" t="s">
        <v>1121</v>
      </c>
      <c r="P725" s="2" t="s">
        <v>5289</v>
      </c>
      <c r="Q725" s="2" t="s">
        <v>5290</v>
      </c>
      <c r="R725" s="2" t="s">
        <v>40</v>
      </c>
      <c r="S725" s="2" t="s">
        <v>5291</v>
      </c>
      <c r="T725" s="2" t="s">
        <v>1013</v>
      </c>
      <c r="U725" s="2" t="s">
        <v>5292</v>
      </c>
      <c r="V725" s="2" t="s">
        <v>5293</v>
      </c>
      <c r="W725" s="1"/>
      <c r="X725" s="2" t="s">
        <v>155</v>
      </c>
      <c r="Y725" s="2" t="s">
        <v>5130</v>
      </c>
      <c r="AA725" t="str">
        <f t="shared" si="66"/>
        <v>2026-04</v>
      </c>
      <c r="AB725" t="str">
        <f t="shared" si="67"/>
        <v>H1_2026</v>
      </c>
      <c r="AC725">
        <f t="shared" si="68"/>
        <v>1320226</v>
      </c>
      <c r="AD725">
        <f t="shared" si="69"/>
        <v>125</v>
      </c>
      <c r="AE725">
        <f t="shared" si="70"/>
        <v>257726</v>
      </c>
      <c r="AF725" t="str">
        <f t="shared" si="71"/>
        <v>Paid</v>
      </c>
    </row>
    <row r="726" spans="1:32" ht="17.25" thickBot="1" x14ac:dyDescent="0.35">
      <c r="A726" s="2" t="s">
        <v>5294</v>
      </c>
      <c r="B726" s="2" t="s">
        <v>27</v>
      </c>
      <c r="C726" s="2" t="s">
        <v>28</v>
      </c>
      <c r="D726" s="2" t="s">
        <v>97</v>
      </c>
      <c r="E726" s="2" t="s">
        <v>5039</v>
      </c>
      <c r="F726" s="2" t="s">
        <v>99</v>
      </c>
      <c r="G726" s="2" t="s">
        <v>32</v>
      </c>
      <c r="H726" s="1"/>
      <c r="I726" s="2" t="s">
        <v>33</v>
      </c>
      <c r="J726" s="2" t="s">
        <v>34</v>
      </c>
      <c r="K726" s="2" t="s">
        <v>1026</v>
      </c>
      <c r="L726" s="2" t="s">
        <v>1027</v>
      </c>
      <c r="M726" s="2" t="s">
        <v>772</v>
      </c>
      <c r="N726" s="2" t="s">
        <v>38</v>
      </c>
      <c r="O726" s="2" t="s">
        <v>719</v>
      </c>
      <c r="P726" s="2" t="s">
        <v>4630</v>
      </c>
      <c r="Q726" s="2" t="s">
        <v>5295</v>
      </c>
      <c r="R726" s="2" t="s">
        <v>40</v>
      </c>
      <c r="S726" s="2" t="s">
        <v>5296</v>
      </c>
      <c r="T726" s="2" t="s">
        <v>864</v>
      </c>
      <c r="U726" s="2" t="s">
        <v>5297</v>
      </c>
      <c r="V726" s="2" t="s">
        <v>5298</v>
      </c>
      <c r="W726" s="1"/>
      <c r="X726" s="2" t="s">
        <v>827</v>
      </c>
      <c r="Y726" s="2" t="s">
        <v>5130</v>
      </c>
      <c r="AA726" t="str">
        <f t="shared" si="66"/>
        <v>2026-04</v>
      </c>
      <c r="AB726" t="str">
        <f t="shared" si="67"/>
        <v>H1_2026</v>
      </c>
      <c r="AC726">
        <f t="shared" si="68"/>
        <v>784288.41</v>
      </c>
      <c r="AD726">
        <f t="shared" si="69"/>
        <v>83</v>
      </c>
      <c r="AE726">
        <f t="shared" si="70"/>
        <v>161788.41</v>
      </c>
      <c r="AF726" t="str">
        <f t="shared" si="71"/>
        <v>Paid</v>
      </c>
    </row>
    <row r="727" spans="1:32" ht="17.25" thickBot="1" x14ac:dyDescent="0.35">
      <c r="A727" s="2" t="s">
        <v>5299</v>
      </c>
      <c r="B727" s="2" t="s">
        <v>27</v>
      </c>
      <c r="C727" s="2" t="s">
        <v>28</v>
      </c>
      <c r="D727" s="2" t="s">
        <v>97</v>
      </c>
      <c r="E727" s="2" t="s">
        <v>5039</v>
      </c>
      <c r="F727" s="2" t="s">
        <v>99</v>
      </c>
      <c r="G727" s="2" t="s">
        <v>32</v>
      </c>
      <c r="H727" s="1"/>
      <c r="I727" s="2" t="s">
        <v>33</v>
      </c>
      <c r="J727" s="2" t="s">
        <v>34</v>
      </c>
      <c r="K727" s="2" t="s">
        <v>1033</v>
      </c>
      <c r="L727" s="2" t="s">
        <v>1034</v>
      </c>
      <c r="M727" s="2" t="s">
        <v>772</v>
      </c>
      <c r="N727" s="2" t="s">
        <v>38</v>
      </c>
      <c r="O727" s="2" t="s">
        <v>5300</v>
      </c>
      <c r="P727" s="2" t="s">
        <v>5301</v>
      </c>
      <c r="Q727" s="2" t="s">
        <v>5302</v>
      </c>
      <c r="R727" s="2" t="s">
        <v>40</v>
      </c>
      <c r="S727" s="2" t="s">
        <v>5303</v>
      </c>
      <c r="T727" s="2" t="s">
        <v>1039</v>
      </c>
      <c r="U727" s="2" t="s">
        <v>5304</v>
      </c>
      <c r="V727" s="2" t="s">
        <v>5305</v>
      </c>
      <c r="W727" s="1"/>
      <c r="X727" s="2" t="s">
        <v>3583</v>
      </c>
      <c r="Y727" s="2" t="s">
        <v>5130</v>
      </c>
      <c r="AA727" t="str">
        <f t="shared" si="66"/>
        <v>2026-04</v>
      </c>
      <c r="AB727" t="str">
        <f t="shared" si="67"/>
        <v>H1_2026</v>
      </c>
      <c r="AC727">
        <f t="shared" si="68"/>
        <v>19208442.760000002</v>
      </c>
      <c r="AD727">
        <f t="shared" si="69"/>
        <v>1791</v>
      </c>
      <c r="AE727">
        <f t="shared" si="70"/>
        <v>3805842.76</v>
      </c>
      <c r="AF727" t="str">
        <f t="shared" si="71"/>
        <v>Paid</v>
      </c>
    </row>
    <row r="728" spans="1:32" ht="17.25" thickBot="1" x14ac:dyDescent="0.35">
      <c r="A728" s="2" t="s">
        <v>5306</v>
      </c>
      <c r="B728" s="2" t="s">
        <v>27</v>
      </c>
      <c r="C728" s="2" t="s">
        <v>28</v>
      </c>
      <c r="D728" s="2" t="s">
        <v>97</v>
      </c>
      <c r="E728" s="2" t="s">
        <v>5039</v>
      </c>
      <c r="F728" s="2" t="s">
        <v>99</v>
      </c>
      <c r="G728" s="2" t="s">
        <v>32</v>
      </c>
      <c r="H728" s="1"/>
      <c r="I728" s="2" t="s">
        <v>33</v>
      </c>
      <c r="J728" s="2" t="s">
        <v>34</v>
      </c>
      <c r="K728" s="2" t="s">
        <v>5307</v>
      </c>
      <c r="L728" s="2" t="s">
        <v>5308</v>
      </c>
      <c r="M728" s="2" t="s">
        <v>772</v>
      </c>
      <c r="N728" s="2" t="s">
        <v>38</v>
      </c>
      <c r="O728" s="2" t="s">
        <v>5309</v>
      </c>
      <c r="P728" s="2" t="s">
        <v>5310</v>
      </c>
      <c r="Q728" s="2" t="s">
        <v>5311</v>
      </c>
      <c r="R728" s="2" t="s">
        <v>40</v>
      </c>
      <c r="S728" s="2" t="s">
        <v>5312</v>
      </c>
      <c r="T728" s="2" t="s">
        <v>952</v>
      </c>
      <c r="U728" s="2" t="s">
        <v>5313</v>
      </c>
      <c r="V728" s="2" t="s">
        <v>5314</v>
      </c>
      <c r="W728" s="1"/>
      <c r="X728" s="2" t="s">
        <v>2000</v>
      </c>
      <c r="Y728" s="2" t="s">
        <v>5130</v>
      </c>
      <c r="AA728" t="str">
        <f t="shared" si="66"/>
        <v>2026-04</v>
      </c>
      <c r="AB728" t="str">
        <f t="shared" si="67"/>
        <v>H1_2026</v>
      </c>
      <c r="AC728">
        <f t="shared" si="68"/>
        <v>45531331.259999998</v>
      </c>
      <c r="AD728">
        <f t="shared" si="69"/>
        <v>3039</v>
      </c>
      <c r="AE728">
        <f t="shared" si="70"/>
        <v>9063331.2599999998</v>
      </c>
      <c r="AF728" t="str">
        <f t="shared" si="71"/>
        <v>Paid</v>
      </c>
    </row>
    <row r="729" spans="1:32" ht="17.25" thickBot="1" x14ac:dyDescent="0.35">
      <c r="A729" s="2" t="s">
        <v>5315</v>
      </c>
      <c r="B729" s="2" t="s">
        <v>27</v>
      </c>
      <c r="C729" s="2" t="s">
        <v>28</v>
      </c>
      <c r="D729" s="2" t="s">
        <v>97</v>
      </c>
      <c r="E729" s="2" t="s">
        <v>5039</v>
      </c>
      <c r="F729" s="2" t="s">
        <v>99</v>
      </c>
      <c r="G729" s="2" t="s">
        <v>32</v>
      </c>
      <c r="H729" s="1"/>
      <c r="I729" s="2" t="s">
        <v>33</v>
      </c>
      <c r="J729" s="2" t="s">
        <v>34</v>
      </c>
      <c r="K729" s="2" t="s">
        <v>1044</v>
      </c>
      <c r="L729" s="2" t="s">
        <v>1045</v>
      </c>
      <c r="M729" s="2" t="s">
        <v>772</v>
      </c>
      <c r="N729" s="2" t="s">
        <v>38</v>
      </c>
      <c r="O729" s="2" t="s">
        <v>5316</v>
      </c>
      <c r="P729" s="2" t="s">
        <v>861</v>
      </c>
      <c r="Q729" s="2" t="s">
        <v>5317</v>
      </c>
      <c r="R729" s="2" t="s">
        <v>40</v>
      </c>
      <c r="S729" s="2" t="s">
        <v>5318</v>
      </c>
      <c r="T729" s="2" t="s">
        <v>864</v>
      </c>
      <c r="U729" s="2" t="s">
        <v>5319</v>
      </c>
      <c r="V729" s="2" t="s">
        <v>5320</v>
      </c>
      <c r="W729" s="1"/>
      <c r="X729" s="2" t="s">
        <v>2104</v>
      </c>
      <c r="Y729" s="2" t="s">
        <v>5130</v>
      </c>
      <c r="AA729" t="str">
        <f t="shared" si="66"/>
        <v>2026-04</v>
      </c>
      <c r="AB729" t="str">
        <f t="shared" si="67"/>
        <v>H1_2026</v>
      </c>
      <c r="AC729">
        <f t="shared" si="68"/>
        <v>8840707.9800000004</v>
      </c>
      <c r="AD729">
        <f t="shared" si="69"/>
        <v>943</v>
      </c>
      <c r="AE729">
        <f t="shared" si="70"/>
        <v>1768207.98</v>
      </c>
      <c r="AF729" t="str">
        <f t="shared" si="71"/>
        <v>Paid</v>
      </c>
    </row>
    <row r="730" spans="1:32" ht="17.25" thickBot="1" x14ac:dyDescent="0.35">
      <c r="A730" s="2" t="s">
        <v>5321</v>
      </c>
      <c r="B730" s="2" t="s">
        <v>27</v>
      </c>
      <c r="C730" s="2" t="s">
        <v>28</v>
      </c>
      <c r="D730" s="2" t="s">
        <v>97</v>
      </c>
      <c r="E730" s="2" t="s">
        <v>5039</v>
      </c>
      <c r="F730" s="2" t="s">
        <v>99</v>
      </c>
      <c r="G730" s="2" t="s">
        <v>32</v>
      </c>
      <c r="H730" s="1"/>
      <c r="I730" s="2" t="s">
        <v>33</v>
      </c>
      <c r="J730" s="2" t="s">
        <v>34</v>
      </c>
      <c r="K730" s="2" t="s">
        <v>5322</v>
      </c>
      <c r="L730" s="2" t="s">
        <v>5323</v>
      </c>
      <c r="M730" s="2" t="s">
        <v>772</v>
      </c>
      <c r="N730" s="2" t="s">
        <v>38</v>
      </c>
      <c r="O730" s="2" t="s">
        <v>5324</v>
      </c>
      <c r="P730" s="2" t="s">
        <v>5325</v>
      </c>
      <c r="Q730" s="2" t="s">
        <v>5326</v>
      </c>
      <c r="R730" s="2" t="s">
        <v>40</v>
      </c>
      <c r="S730" s="2" t="s">
        <v>5327</v>
      </c>
      <c r="T730" s="2" t="s">
        <v>1060</v>
      </c>
      <c r="U730" s="2" t="s">
        <v>5328</v>
      </c>
      <c r="V730" s="2" t="s">
        <v>5329</v>
      </c>
      <c r="W730" s="1"/>
      <c r="X730" s="2" t="s">
        <v>3589</v>
      </c>
      <c r="Y730" s="2" t="s">
        <v>5130</v>
      </c>
      <c r="AA730" t="str">
        <f t="shared" si="66"/>
        <v>2026-04</v>
      </c>
      <c r="AB730" t="str">
        <f t="shared" si="67"/>
        <v>H1_2026</v>
      </c>
      <c r="AC730">
        <f t="shared" si="68"/>
        <v>5620543.2599999998</v>
      </c>
      <c r="AD730">
        <f t="shared" si="69"/>
        <v>796</v>
      </c>
      <c r="AE730">
        <f t="shared" si="70"/>
        <v>1147023.26</v>
      </c>
      <c r="AF730" t="str">
        <f t="shared" si="71"/>
        <v>Paid</v>
      </c>
    </row>
    <row r="731" spans="1:32" ht="17.25" thickBot="1" x14ac:dyDescent="0.35">
      <c r="A731" s="2" t="s">
        <v>5061</v>
      </c>
      <c r="B731" s="2" t="s">
        <v>27</v>
      </c>
      <c r="C731" s="2" t="s">
        <v>28</v>
      </c>
      <c r="D731" s="2" t="s">
        <v>97</v>
      </c>
      <c r="E731" s="2" t="s">
        <v>5039</v>
      </c>
      <c r="F731" s="2" t="s">
        <v>99</v>
      </c>
      <c r="G731" s="2" t="s">
        <v>32</v>
      </c>
      <c r="H731" s="1"/>
      <c r="I731" s="2" t="s">
        <v>33</v>
      </c>
      <c r="J731" s="2" t="s">
        <v>34</v>
      </c>
      <c r="K731" s="2" t="s">
        <v>1065</v>
      </c>
      <c r="L731" s="2" t="s">
        <v>1066</v>
      </c>
      <c r="M731" s="2" t="s">
        <v>772</v>
      </c>
      <c r="N731" s="2" t="s">
        <v>38</v>
      </c>
      <c r="O731" s="2" t="s">
        <v>5330</v>
      </c>
      <c r="P731" s="2" t="s">
        <v>5331</v>
      </c>
      <c r="Q731" s="2" t="s">
        <v>5332</v>
      </c>
      <c r="R731" s="2" t="s">
        <v>40</v>
      </c>
      <c r="S731" s="2" t="s">
        <v>5333</v>
      </c>
      <c r="T731" s="2" t="s">
        <v>864</v>
      </c>
      <c r="U731" s="2" t="s">
        <v>5334</v>
      </c>
      <c r="V731" s="2" t="s">
        <v>5335</v>
      </c>
      <c r="W731" s="1"/>
      <c r="X731" s="2" t="s">
        <v>3310</v>
      </c>
      <c r="Y731" s="2" t="s">
        <v>5130</v>
      </c>
      <c r="AA731" t="str">
        <f t="shared" si="66"/>
        <v>2026-04</v>
      </c>
      <c r="AB731" t="str">
        <f t="shared" si="67"/>
        <v>H1_2026</v>
      </c>
      <c r="AC731">
        <f t="shared" si="68"/>
        <v>16832377.140000001</v>
      </c>
      <c r="AD731">
        <f t="shared" si="69"/>
        <v>1804</v>
      </c>
      <c r="AE731">
        <f t="shared" si="70"/>
        <v>3302377.14</v>
      </c>
      <c r="AF731" t="str">
        <f t="shared" si="71"/>
        <v>Paid</v>
      </c>
    </row>
    <row r="732" spans="1:32" ht="17.25" thickBot="1" x14ac:dyDescent="0.35">
      <c r="A732" s="2" t="s">
        <v>969</v>
      </c>
      <c r="B732" s="2" t="s">
        <v>27</v>
      </c>
      <c r="C732" s="2" t="s">
        <v>28</v>
      </c>
      <c r="D732" s="2" t="s">
        <v>97</v>
      </c>
      <c r="E732" s="2" t="s">
        <v>5039</v>
      </c>
      <c r="F732" s="2" t="s">
        <v>99</v>
      </c>
      <c r="G732" s="2" t="s">
        <v>32</v>
      </c>
      <c r="H732" s="1"/>
      <c r="I732" s="2" t="s">
        <v>33</v>
      </c>
      <c r="J732" s="2" t="s">
        <v>34</v>
      </c>
      <c r="K732" s="2" t="s">
        <v>5336</v>
      </c>
      <c r="L732" s="2" t="s">
        <v>5337</v>
      </c>
      <c r="M732" s="2" t="s">
        <v>772</v>
      </c>
      <c r="N732" s="2" t="s">
        <v>38</v>
      </c>
      <c r="O732" s="2" t="s">
        <v>378</v>
      </c>
      <c r="P732" s="2" t="s">
        <v>5338</v>
      </c>
      <c r="Q732" s="2" t="s">
        <v>5339</v>
      </c>
      <c r="R732" s="2" t="s">
        <v>40</v>
      </c>
      <c r="S732" s="2" t="s">
        <v>5340</v>
      </c>
      <c r="T732" s="2" t="s">
        <v>5341</v>
      </c>
      <c r="U732" s="2" t="s">
        <v>5342</v>
      </c>
      <c r="V732" s="2" t="s">
        <v>5343</v>
      </c>
      <c r="W732" s="1"/>
      <c r="X732" s="2" t="s">
        <v>2072</v>
      </c>
      <c r="Y732" s="2" t="s">
        <v>5130</v>
      </c>
      <c r="AA732" t="str">
        <f t="shared" si="66"/>
        <v>2026-04</v>
      </c>
      <c r="AB732" t="str">
        <f t="shared" si="67"/>
        <v>H1_2026</v>
      </c>
      <c r="AC732">
        <f t="shared" si="68"/>
        <v>414536.13</v>
      </c>
      <c r="AD732">
        <f t="shared" si="69"/>
        <v>45</v>
      </c>
      <c r="AE732">
        <f t="shared" si="70"/>
        <v>83336.13</v>
      </c>
      <c r="AF732" t="str">
        <f t="shared" si="71"/>
        <v>Paid</v>
      </c>
    </row>
    <row r="733" spans="1:32" ht="17.25" thickBot="1" x14ac:dyDescent="0.35">
      <c r="A733" s="2" t="s">
        <v>5344</v>
      </c>
      <c r="B733" s="2" t="s">
        <v>27</v>
      </c>
      <c r="C733" s="2" t="s">
        <v>28</v>
      </c>
      <c r="D733" s="2" t="s">
        <v>97</v>
      </c>
      <c r="E733" s="2" t="s">
        <v>5039</v>
      </c>
      <c r="F733" s="2" t="s">
        <v>99</v>
      </c>
      <c r="G733" s="2" t="s">
        <v>32</v>
      </c>
      <c r="H733" s="1"/>
      <c r="I733" s="2" t="s">
        <v>33</v>
      </c>
      <c r="J733" s="2" t="s">
        <v>34</v>
      </c>
      <c r="K733" s="2" t="s">
        <v>1084</v>
      </c>
      <c r="L733" s="2" t="s">
        <v>1085</v>
      </c>
      <c r="M733" s="2" t="s">
        <v>772</v>
      </c>
      <c r="N733" s="2" t="s">
        <v>38</v>
      </c>
      <c r="O733" s="2" t="s">
        <v>560</v>
      </c>
      <c r="P733" s="2" t="s">
        <v>5345</v>
      </c>
      <c r="Q733" s="2" t="s">
        <v>5346</v>
      </c>
      <c r="R733" s="2" t="s">
        <v>40</v>
      </c>
      <c r="S733" s="2" t="s">
        <v>5347</v>
      </c>
      <c r="T733" s="2" t="s">
        <v>658</v>
      </c>
      <c r="U733" s="2" t="s">
        <v>5348</v>
      </c>
      <c r="V733" s="2" t="s">
        <v>5349</v>
      </c>
      <c r="W733" s="1"/>
      <c r="X733" s="2" t="s">
        <v>2781</v>
      </c>
      <c r="Y733" s="2" t="s">
        <v>5130</v>
      </c>
      <c r="AA733" t="str">
        <f t="shared" si="66"/>
        <v>2026-04</v>
      </c>
      <c r="AB733" t="str">
        <f t="shared" si="67"/>
        <v>H1_2026</v>
      </c>
      <c r="AC733">
        <f t="shared" si="68"/>
        <v>8118648.2000000002</v>
      </c>
      <c r="AD733">
        <f t="shared" si="69"/>
        <v>650</v>
      </c>
      <c r="AE733">
        <f t="shared" si="70"/>
        <v>1683648.2</v>
      </c>
      <c r="AF733" t="str">
        <f t="shared" si="71"/>
        <v>Paid</v>
      </c>
    </row>
    <row r="734" spans="1:32" ht="17.25" thickBot="1" x14ac:dyDescent="0.35">
      <c r="A734" s="2" t="s">
        <v>5350</v>
      </c>
      <c r="B734" s="2" t="s">
        <v>27</v>
      </c>
      <c r="C734" s="2" t="s">
        <v>28</v>
      </c>
      <c r="D734" s="2" t="s">
        <v>97</v>
      </c>
      <c r="E734" s="2" t="s">
        <v>5039</v>
      </c>
      <c r="F734" s="2" t="s">
        <v>99</v>
      </c>
      <c r="G734" s="2" t="s">
        <v>32</v>
      </c>
      <c r="H734" s="1"/>
      <c r="I734" s="2" t="s">
        <v>33</v>
      </c>
      <c r="J734" s="2" t="s">
        <v>34</v>
      </c>
      <c r="K734" s="2" t="s">
        <v>1093</v>
      </c>
      <c r="L734" s="2" t="s">
        <v>1094</v>
      </c>
      <c r="M734" s="2" t="s">
        <v>37</v>
      </c>
      <c r="N734" s="2" t="s">
        <v>38</v>
      </c>
      <c r="O734" s="2" t="s">
        <v>148</v>
      </c>
      <c r="P734" s="2" t="s">
        <v>5351</v>
      </c>
      <c r="Q734" s="2" t="s">
        <v>5352</v>
      </c>
      <c r="R734" s="2" t="s">
        <v>40</v>
      </c>
      <c r="S734" s="2" t="s">
        <v>5353</v>
      </c>
      <c r="T734" s="2" t="s">
        <v>126</v>
      </c>
      <c r="U734" s="2" t="s">
        <v>5354</v>
      </c>
      <c r="V734" s="2" t="s">
        <v>5355</v>
      </c>
      <c r="W734" s="1"/>
      <c r="X734" s="2" t="s">
        <v>1100</v>
      </c>
      <c r="Y734" s="2" t="s">
        <v>5130</v>
      </c>
      <c r="AA734" t="str">
        <f t="shared" si="66"/>
        <v>2026-04</v>
      </c>
      <c r="AB734" t="str">
        <f t="shared" si="67"/>
        <v>H1_2026</v>
      </c>
      <c r="AC734">
        <f t="shared" si="68"/>
        <v>143741.46</v>
      </c>
      <c r="AD734">
        <f t="shared" si="69"/>
        <v>19</v>
      </c>
      <c r="AE734">
        <f t="shared" si="70"/>
        <v>24041.46</v>
      </c>
      <c r="AF734" t="str">
        <f t="shared" si="71"/>
        <v>Paid</v>
      </c>
    </row>
    <row r="735" spans="1:32" ht="17.25" thickBot="1" x14ac:dyDescent="0.35">
      <c r="A735" s="2" t="s">
        <v>5356</v>
      </c>
      <c r="B735" s="2" t="s">
        <v>27</v>
      </c>
      <c r="C735" s="2" t="s">
        <v>28</v>
      </c>
      <c r="D735" s="2" t="s">
        <v>97</v>
      </c>
      <c r="E735" s="2" t="s">
        <v>5039</v>
      </c>
      <c r="F735" s="2" t="s">
        <v>99</v>
      </c>
      <c r="G735" s="2" t="s">
        <v>32</v>
      </c>
      <c r="H735" s="1"/>
      <c r="I735" s="2" t="s">
        <v>33</v>
      </c>
      <c r="J735" s="2" t="s">
        <v>34</v>
      </c>
      <c r="K735" s="2" t="s">
        <v>5357</v>
      </c>
      <c r="L735" s="2" t="s">
        <v>5358</v>
      </c>
      <c r="M735" s="2" t="s">
        <v>37</v>
      </c>
      <c r="N735" s="2" t="s">
        <v>38</v>
      </c>
      <c r="O735" s="2" t="s">
        <v>2673</v>
      </c>
      <c r="P735" s="2" t="s">
        <v>5359</v>
      </c>
      <c r="Q735" s="2" t="s">
        <v>5360</v>
      </c>
      <c r="R735" s="2" t="s">
        <v>40</v>
      </c>
      <c r="S735" s="2" t="s">
        <v>5361</v>
      </c>
      <c r="T735" s="2" t="s">
        <v>1136</v>
      </c>
      <c r="U735" s="2" t="s">
        <v>5362</v>
      </c>
      <c r="V735" s="2" t="s">
        <v>5363</v>
      </c>
      <c r="W735" s="1"/>
      <c r="X735" s="2" t="s">
        <v>1100</v>
      </c>
      <c r="Y735" s="2" t="s">
        <v>5130</v>
      </c>
      <c r="AA735" t="str">
        <f t="shared" si="66"/>
        <v>2026-04</v>
      </c>
      <c r="AB735" t="str">
        <f t="shared" si="67"/>
        <v>H1_2026</v>
      </c>
      <c r="AC735">
        <f t="shared" si="68"/>
        <v>1629069.88</v>
      </c>
      <c r="AD735">
        <f t="shared" si="69"/>
        <v>323</v>
      </c>
      <c r="AE735">
        <f t="shared" si="70"/>
        <v>272469.88</v>
      </c>
      <c r="AF735" t="str">
        <f t="shared" si="71"/>
        <v>Paid</v>
      </c>
    </row>
    <row r="736" spans="1:32" ht="17.25" thickBot="1" x14ac:dyDescent="0.35">
      <c r="A736" s="2" t="s">
        <v>5364</v>
      </c>
      <c r="B736" s="2" t="s">
        <v>27</v>
      </c>
      <c r="C736" s="2" t="s">
        <v>28</v>
      </c>
      <c r="D736" s="2" t="s">
        <v>97</v>
      </c>
      <c r="E736" s="2" t="s">
        <v>5039</v>
      </c>
      <c r="F736" s="2" t="s">
        <v>99</v>
      </c>
      <c r="G736" s="2" t="s">
        <v>32</v>
      </c>
      <c r="H736" s="1"/>
      <c r="I736" s="2" t="s">
        <v>33</v>
      </c>
      <c r="J736" s="2" t="s">
        <v>34</v>
      </c>
      <c r="K736" s="2" t="s">
        <v>1102</v>
      </c>
      <c r="L736" s="2" t="s">
        <v>1103</v>
      </c>
      <c r="M736" s="2" t="s">
        <v>37</v>
      </c>
      <c r="N736" s="2" t="s">
        <v>38</v>
      </c>
      <c r="O736" s="2" t="s">
        <v>2688</v>
      </c>
      <c r="P736" s="2" t="s">
        <v>3898</v>
      </c>
      <c r="Q736" s="2" t="s">
        <v>5365</v>
      </c>
      <c r="R736" s="2" t="s">
        <v>40</v>
      </c>
      <c r="S736" s="2" t="s">
        <v>5366</v>
      </c>
      <c r="T736" s="2" t="s">
        <v>107</v>
      </c>
      <c r="U736" s="2" t="s">
        <v>5367</v>
      </c>
      <c r="V736" s="2" t="s">
        <v>5368</v>
      </c>
      <c r="W736" s="1"/>
      <c r="X736" s="2" t="s">
        <v>1100</v>
      </c>
      <c r="Y736" s="2" t="s">
        <v>5130</v>
      </c>
      <c r="AA736" t="str">
        <f t="shared" si="66"/>
        <v>2026-04</v>
      </c>
      <c r="AB736" t="str">
        <f t="shared" si="67"/>
        <v>H1_2026</v>
      </c>
      <c r="AC736">
        <f t="shared" si="68"/>
        <v>2183935.65</v>
      </c>
      <c r="AD736">
        <f t="shared" si="69"/>
        <v>325</v>
      </c>
      <c r="AE736">
        <f t="shared" si="70"/>
        <v>363935.65</v>
      </c>
      <c r="AF736" t="str">
        <f t="shared" si="71"/>
        <v>Paid</v>
      </c>
    </row>
    <row r="737" spans="1:32" ht="17.25" thickBot="1" x14ac:dyDescent="0.35">
      <c r="A737" s="2" t="s">
        <v>5369</v>
      </c>
      <c r="B737" s="2" t="s">
        <v>27</v>
      </c>
      <c r="C737" s="2" t="s">
        <v>28</v>
      </c>
      <c r="D737" s="2" t="s">
        <v>97</v>
      </c>
      <c r="E737" s="2" t="s">
        <v>5039</v>
      </c>
      <c r="F737" s="2" t="s">
        <v>99</v>
      </c>
      <c r="G737" s="2" t="s">
        <v>32</v>
      </c>
      <c r="H737" s="1"/>
      <c r="I737" s="2" t="s">
        <v>33</v>
      </c>
      <c r="J737" s="2" t="s">
        <v>34</v>
      </c>
      <c r="K737" s="2" t="s">
        <v>1156</v>
      </c>
      <c r="L737" s="2" t="s">
        <v>1157</v>
      </c>
      <c r="M737" s="2" t="s">
        <v>37</v>
      </c>
      <c r="N737" s="2" t="s">
        <v>38</v>
      </c>
      <c r="O737" s="2" t="s">
        <v>76</v>
      </c>
      <c r="P737" s="2" t="s">
        <v>5370</v>
      </c>
      <c r="Q737" s="2" t="s">
        <v>5371</v>
      </c>
      <c r="R737" s="2" t="s">
        <v>40</v>
      </c>
      <c r="S737" s="2" t="s">
        <v>5372</v>
      </c>
      <c r="T737" s="2" t="s">
        <v>1161</v>
      </c>
      <c r="U737" s="2" t="s">
        <v>1211</v>
      </c>
      <c r="V737" s="2" t="s">
        <v>5373</v>
      </c>
      <c r="W737" s="1"/>
      <c r="X737" s="2" t="s">
        <v>965</v>
      </c>
      <c r="Y737" s="2" t="s">
        <v>5130</v>
      </c>
      <c r="AA737" t="str">
        <f t="shared" si="66"/>
        <v>2026-04</v>
      </c>
      <c r="AB737" t="str">
        <f t="shared" si="67"/>
        <v>H1_2026</v>
      </c>
      <c r="AC737">
        <f t="shared" si="68"/>
        <v>126964.21</v>
      </c>
      <c r="AD737">
        <f t="shared" si="69"/>
        <v>9</v>
      </c>
      <c r="AE737">
        <f t="shared" si="70"/>
        <v>32464.21</v>
      </c>
      <c r="AF737" t="str">
        <f t="shared" si="71"/>
        <v>Paid</v>
      </c>
    </row>
    <row r="738" spans="1:32" ht="27.75" thickBot="1" x14ac:dyDescent="0.35">
      <c r="A738" s="2" t="s">
        <v>5374</v>
      </c>
      <c r="B738" s="2" t="s">
        <v>27</v>
      </c>
      <c r="C738" s="2" t="s">
        <v>28</v>
      </c>
      <c r="D738" s="2" t="s">
        <v>97</v>
      </c>
      <c r="E738" s="2" t="s">
        <v>5039</v>
      </c>
      <c r="F738" s="2" t="s">
        <v>99</v>
      </c>
      <c r="G738" s="2" t="s">
        <v>32</v>
      </c>
      <c r="H738" s="1"/>
      <c r="I738" s="2" t="s">
        <v>33</v>
      </c>
      <c r="J738" s="2" t="s">
        <v>34</v>
      </c>
      <c r="K738" s="2" t="s">
        <v>80</v>
      </c>
      <c r="L738" s="2" t="s">
        <v>81</v>
      </c>
      <c r="M738" s="2" t="s">
        <v>37</v>
      </c>
      <c r="N738" s="2" t="s">
        <v>38</v>
      </c>
      <c r="O738" s="2" t="s">
        <v>113</v>
      </c>
      <c r="P738" s="2" t="s">
        <v>4621</v>
      </c>
      <c r="Q738" s="2" t="s">
        <v>5375</v>
      </c>
      <c r="R738" s="2" t="s">
        <v>40</v>
      </c>
      <c r="S738" s="2" t="s">
        <v>5376</v>
      </c>
      <c r="T738" s="2" t="s">
        <v>1399</v>
      </c>
      <c r="U738" s="2" t="s">
        <v>5377</v>
      </c>
      <c r="V738" s="2" t="s">
        <v>5378</v>
      </c>
      <c r="W738" s="1"/>
      <c r="X738" s="2" t="s">
        <v>1100</v>
      </c>
      <c r="Y738" s="2" t="s">
        <v>5130</v>
      </c>
      <c r="AA738" t="str">
        <f t="shared" si="66"/>
        <v>2026-04</v>
      </c>
      <c r="AB738" t="str">
        <f t="shared" si="67"/>
        <v>H1_2026</v>
      </c>
      <c r="AC738">
        <f t="shared" si="68"/>
        <v>132393.45000000001</v>
      </c>
      <c r="AD738">
        <f t="shared" si="69"/>
        <v>15</v>
      </c>
      <c r="AE738">
        <f t="shared" si="70"/>
        <v>22143.45</v>
      </c>
      <c r="AF738" t="str">
        <f t="shared" si="71"/>
        <v>Paid</v>
      </c>
    </row>
    <row r="739" spans="1:32" ht="17.25" thickBot="1" x14ac:dyDescent="0.35">
      <c r="A739" s="2" t="s">
        <v>5379</v>
      </c>
      <c r="B739" s="2" t="s">
        <v>27</v>
      </c>
      <c r="C739" s="2" t="s">
        <v>28</v>
      </c>
      <c r="D739" s="2" t="s">
        <v>97</v>
      </c>
      <c r="E739" s="2" t="s">
        <v>5039</v>
      </c>
      <c r="F739" s="2" t="s">
        <v>99</v>
      </c>
      <c r="G739" s="2" t="s">
        <v>32</v>
      </c>
      <c r="H739" s="1"/>
      <c r="I739" s="2" t="s">
        <v>33</v>
      </c>
      <c r="J739" s="2" t="s">
        <v>34</v>
      </c>
      <c r="K739" s="2" t="s">
        <v>1224</v>
      </c>
      <c r="L739" s="2" t="s">
        <v>1225</v>
      </c>
      <c r="M739" s="2" t="s">
        <v>37</v>
      </c>
      <c r="N739" s="2" t="s">
        <v>38</v>
      </c>
      <c r="O739" s="2" t="s">
        <v>698</v>
      </c>
      <c r="P739" s="2" t="s">
        <v>5351</v>
      </c>
      <c r="Q739" s="2" t="s">
        <v>5380</v>
      </c>
      <c r="R739" s="2" t="s">
        <v>40</v>
      </c>
      <c r="S739" s="2" t="s">
        <v>5381</v>
      </c>
      <c r="T739" s="2" t="s">
        <v>126</v>
      </c>
      <c r="U739" s="2" t="s">
        <v>5382</v>
      </c>
      <c r="V739" s="2" t="s">
        <v>5383</v>
      </c>
      <c r="W739" s="1"/>
      <c r="X739" s="2" t="s">
        <v>1100</v>
      </c>
      <c r="Y739" s="2" t="s">
        <v>5130</v>
      </c>
      <c r="AA739" t="str">
        <f t="shared" si="66"/>
        <v>2026-04</v>
      </c>
      <c r="AB739" t="str">
        <f t="shared" si="67"/>
        <v>H1_2026</v>
      </c>
      <c r="AC739">
        <f t="shared" si="68"/>
        <v>612792.54</v>
      </c>
      <c r="AD739">
        <f t="shared" si="69"/>
        <v>81</v>
      </c>
      <c r="AE739">
        <f t="shared" si="70"/>
        <v>102492.54</v>
      </c>
      <c r="AF739" t="str">
        <f t="shared" si="71"/>
        <v>Paid</v>
      </c>
    </row>
    <row r="740" spans="1:32" ht="17.25" thickBot="1" x14ac:dyDescent="0.35">
      <c r="A740" s="2" t="s">
        <v>5384</v>
      </c>
      <c r="B740" s="2" t="s">
        <v>27</v>
      </c>
      <c r="C740" s="2" t="s">
        <v>28</v>
      </c>
      <c r="D740" s="2" t="s">
        <v>97</v>
      </c>
      <c r="E740" s="2" t="s">
        <v>5039</v>
      </c>
      <c r="F740" s="2" t="s">
        <v>99</v>
      </c>
      <c r="G740" s="2" t="s">
        <v>32</v>
      </c>
      <c r="H740" s="1"/>
      <c r="I740" s="2" t="s">
        <v>33</v>
      </c>
      <c r="J740" s="2" t="s">
        <v>34</v>
      </c>
      <c r="K740" s="2" t="s">
        <v>1241</v>
      </c>
      <c r="L740" s="2" t="s">
        <v>1242</v>
      </c>
      <c r="M740" s="2" t="s">
        <v>37</v>
      </c>
      <c r="N740" s="2" t="s">
        <v>38</v>
      </c>
      <c r="O740" s="2" t="s">
        <v>66</v>
      </c>
      <c r="P740" s="2" t="s">
        <v>3898</v>
      </c>
      <c r="Q740" s="2" t="s">
        <v>5385</v>
      </c>
      <c r="R740" s="2" t="s">
        <v>40</v>
      </c>
      <c r="S740" s="2" t="s">
        <v>5386</v>
      </c>
      <c r="T740" s="2" t="s">
        <v>107</v>
      </c>
      <c r="U740" s="2" t="s">
        <v>5387</v>
      </c>
      <c r="V740" s="2" t="s">
        <v>5388</v>
      </c>
      <c r="W740" s="1"/>
      <c r="X740" s="2" t="s">
        <v>1100</v>
      </c>
      <c r="Y740" s="2" t="s">
        <v>5130</v>
      </c>
      <c r="AA740" t="str">
        <f t="shared" si="66"/>
        <v>2026-04</v>
      </c>
      <c r="AB740" t="str">
        <f t="shared" si="67"/>
        <v>H1_2026</v>
      </c>
      <c r="AC740">
        <f t="shared" si="68"/>
        <v>53758.42</v>
      </c>
      <c r="AD740">
        <f t="shared" si="69"/>
        <v>8</v>
      </c>
      <c r="AE740">
        <f t="shared" si="70"/>
        <v>8958.42</v>
      </c>
      <c r="AF740" t="str">
        <f t="shared" si="71"/>
        <v>Paid</v>
      </c>
    </row>
    <row r="741" spans="1:32" ht="17.25" thickBot="1" x14ac:dyDescent="0.35">
      <c r="A741" s="2" t="s">
        <v>5389</v>
      </c>
      <c r="B741" s="2" t="s">
        <v>27</v>
      </c>
      <c r="C741" s="2" t="s">
        <v>28</v>
      </c>
      <c r="D741" s="2" t="s">
        <v>97</v>
      </c>
      <c r="E741" s="2" t="s">
        <v>5039</v>
      </c>
      <c r="F741" s="2" t="s">
        <v>99</v>
      </c>
      <c r="G741" s="2" t="s">
        <v>32</v>
      </c>
      <c r="H741" s="1"/>
      <c r="I741" s="2" t="s">
        <v>33</v>
      </c>
      <c r="J741" s="2" t="s">
        <v>34</v>
      </c>
      <c r="K741" s="2" t="s">
        <v>1247</v>
      </c>
      <c r="L741" s="2" t="s">
        <v>1248</v>
      </c>
      <c r="M741" s="2" t="s">
        <v>37</v>
      </c>
      <c r="N741" s="2" t="s">
        <v>38</v>
      </c>
      <c r="O741" s="2" t="s">
        <v>5390</v>
      </c>
      <c r="P741" s="2" t="s">
        <v>5391</v>
      </c>
      <c r="Q741" s="2" t="s">
        <v>5392</v>
      </c>
      <c r="R741" s="2" t="s">
        <v>40</v>
      </c>
      <c r="S741" s="2" t="s">
        <v>5393</v>
      </c>
      <c r="T741" s="2" t="s">
        <v>1253</v>
      </c>
      <c r="U741" s="2" t="s">
        <v>5394</v>
      </c>
      <c r="V741" s="2" t="s">
        <v>5395</v>
      </c>
      <c r="W741" s="1"/>
      <c r="X741" s="2" t="s">
        <v>5396</v>
      </c>
      <c r="Y741" s="2" t="s">
        <v>5130</v>
      </c>
      <c r="AA741" t="str">
        <f t="shared" si="66"/>
        <v>2026-04</v>
      </c>
      <c r="AB741" t="str">
        <f t="shared" si="67"/>
        <v>H1_2026</v>
      </c>
      <c r="AC741">
        <f t="shared" si="68"/>
        <v>1324231.18</v>
      </c>
      <c r="AD741">
        <f t="shared" si="69"/>
        <v>790</v>
      </c>
      <c r="AE741">
        <f t="shared" si="70"/>
        <v>218231.18</v>
      </c>
      <c r="AF741" t="str">
        <f t="shared" si="71"/>
        <v>Paid</v>
      </c>
    </row>
    <row r="742" spans="1:32" ht="17.25" thickBot="1" x14ac:dyDescent="0.35">
      <c r="A742" s="2" t="s">
        <v>5397</v>
      </c>
      <c r="B742" s="2" t="s">
        <v>27</v>
      </c>
      <c r="C742" s="2" t="s">
        <v>28</v>
      </c>
      <c r="D742" s="2" t="s">
        <v>97</v>
      </c>
      <c r="E742" s="2" t="s">
        <v>5039</v>
      </c>
      <c r="F742" s="2" t="s">
        <v>99</v>
      </c>
      <c r="G742" s="2" t="s">
        <v>32</v>
      </c>
      <c r="H742" s="1"/>
      <c r="I742" s="2" t="s">
        <v>33</v>
      </c>
      <c r="J742" s="2" t="s">
        <v>34</v>
      </c>
      <c r="K742" s="2" t="s">
        <v>1266</v>
      </c>
      <c r="L742" s="2" t="s">
        <v>1267</v>
      </c>
      <c r="M742" s="2" t="s">
        <v>37</v>
      </c>
      <c r="N742" s="2" t="s">
        <v>38</v>
      </c>
      <c r="O742" s="2" t="s">
        <v>141</v>
      </c>
      <c r="P742" s="2" t="s">
        <v>5398</v>
      </c>
      <c r="Q742" s="2" t="s">
        <v>5399</v>
      </c>
      <c r="R742" s="2" t="s">
        <v>40</v>
      </c>
      <c r="S742" s="2" t="s">
        <v>5400</v>
      </c>
      <c r="T742" s="2" t="s">
        <v>1271</v>
      </c>
      <c r="U742" s="2" t="s">
        <v>5401</v>
      </c>
      <c r="V742" s="2" t="s">
        <v>5402</v>
      </c>
      <c r="W742" s="1"/>
      <c r="X742" s="2" t="s">
        <v>3216</v>
      </c>
      <c r="Y742" s="2" t="s">
        <v>5130</v>
      </c>
      <c r="AA742" t="str">
        <f t="shared" si="66"/>
        <v>2026-04</v>
      </c>
      <c r="AB742" t="str">
        <f t="shared" si="67"/>
        <v>H1_2026</v>
      </c>
      <c r="AC742">
        <f t="shared" si="68"/>
        <v>176227.92</v>
      </c>
      <c r="AD742">
        <f t="shared" si="69"/>
        <v>30</v>
      </c>
      <c r="AE742">
        <f t="shared" si="70"/>
        <v>29227.919999999998</v>
      </c>
      <c r="AF742" t="str">
        <f t="shared" si="71"/>
        <v>Paid</v>
      </c>
    </row>
    <row r="743" spans="1:32" ht="17.25" thickBot="1" x14ac:dyDescent="0.35">
      <c r="A743" s="2" t="s">
        <v>5403</v>
      </c>
      <c r="B743" s="2" t="s">
        <v>27</v>
      </c>
      <c r="C743" s="2" t="s">
        <v>28</v>
      </c>
      <c r="D743" s="2" t="s">
        <v>97</v>
      </c>
      <c r="E743" s="2" t="s">
        <v>5039</v>
      </c>
      <c r="F743" s="2" t="s">
        <v>99</v>
      </c>
      <c r="G743" s="2" t="s">
        <v>32</v>
      </c>
      <c r="H743" s="1"/>
      <c r="I743" s="2" t="s">
        <v>33</v>
      </c>
      <c r="J743" s="2" t="s">
        <v>34</v>
      </c>
      <c r="K743" s="2" t="s">
        <v>1275</v>
      </c>
      <c r="L743" s="2" t="s">
        <v>1276</v>
      </c>
      <c r="M743" s="2" t="s">
        <v>37</v>
      </c>
      <c r="N743" s="2" t="s">
        <v>38</v>
      </c>
      <c r="O743" s="2" t="s">
        <v>54</v>
      </c>
      <c r="P743" s="2" t="s">
        <v>5404</v>
      </c>
      <c r="Q743" s="2" t="s">
        <v>5405</v>
      </c>
      <c r="R743" s="2" t="s">
        <v>40</v>
      </c>
      <c r="S743" s="2" t="s">
        <v>5406</v>
      </c>
      <c r="T743" s="2" t="s">
        <v>1280</v>
      </c>
      <c r="U743" s="2" t="s">
        <v>5407</v>
      </c>
      <c r="V743" s="2" t="s">
        <v>5408</v>
      </c>
      <c r="W743" s="1"/>
      <c r="X743" s="2" t="s">
        <v>1195</v>
      </c>
      <c r="Y743" s="2" t="s">
        <v>5130</v>
      </c>
      <c r="AA743" t="str">
        <f t="shared" si="66"/>
        <v>2026-04</v>
      </c>
      <c r="AB743" t="str">
        <f t="shared" si="67"/>
        <v>H1_2026</v>
      </c>
      <c r="AC743">
        <f t="shared" si="68"/>
        <v>93988.22</v>
      </c>
      <c r="AD743">
        <f t="shared" si="69"/>
        <v>4</v>
      </c>
      <c r="AE743">
        <f t="shared" si="70"/>
        <v>13988.22</v>
      </c>
      <c r="AF743" t="str">
        <f t="shared" si="71"/>
        <v>Paid</v>
      </c>
    </row>
    <row r="744" spans="1:32" ht="17.25" thickBot="1" x14ac:dyDescent="0.35">
      <c r="A744" s="2" t="s">
        <v>5409</v>
      </c>
      <c r="B744" s="2" t="s">
        <v>27</v>
      </c>
      <c r="C744" s="2" t="s">
        <v>28</v>
      </c>
      <c r="D744" s="2" t="s">
        <v>97</v>
      </c>
      <c r="E744" s="2" t="s">
        <v>5039</v>
      </c>
      <c r="F744" s="2" t="s">
        <v>99</v>
      </c>
      <c r="G744" s="2" t="s">
        <v>32</v>
      </c>
      <c r="H744" s="1"/>
      <c r="I744" s="2" t="s">
        <v>33</v>
      </c>
      <c r="J744" s="2" t="s">
        <v>34</v>
      </c>
      <c r="K744" s="2" t="s">
        <v>1284</v>
      </c>
      <c r="L744" s="2" t="s">
        <v>1285</v>
      </c>
      <c r="M744" s="2" t="s">
        <v>37</v>
      </c>
      <c r="N744" s="2" t="s">
        <v>38</v>
      </c>
      <c r="O744" s="2" t="s">
        <v>587</v>
      </c>
      <c r="P744" s="2" t="s">
        <v>5398</v>
      </c>
      <c r="Q744" s="2" t="s">
        <v>5410</v>
      </c>
      <c r="R744" s="2" t="s">
        <v>40</v>
      </c>
      <c r="S744" s="2" t="s">
        <v>5411</v>
      </c>
      <c r="T744" s="2" t="s">
        <v>1271</v>
      </c>
      <c r="U744" s="2" t="s">
        <v>5412</v>
      </c>
      <c r="V744" s="2" t="s">
        <v>5413</v>
      </c>
      <c r="W744" s="1"/>
      <c r="X744" s="2" t="s">
        <v>3216</v>
      </c>
      <c r="Y744" s="2" t="s">
        <v>5130</v>
      </c>
      <c r="AA744" t="str">
        <f t="shared" si="66"/>
        <v>2026-04</v>
      </c>
      <c r="AB744" t="str">
        <f t="shared" si="67"/>
        <v>H1_2026</v>
      </c>
      <c r="AC744">
        <f t="shared" si="68"/>
        <v>399449.95</v>
      </c>
      <c r="AD744">
        <f t="shared" si="69"/>
        <v>68</v>
      </c>
      <c r="AE744">
        <f t="shared" si="70"/>
        <v>66249.95</v>
      </c>
      <c r="AF744" t="str">
        <f t="shared" si="71"/>
        <v>Paid</v>
      </c>
    </row>
    <row r="745" spans="1:32" ht="17.25" thickBot="1" x14ac:dyDescent="0.35">
      <c r="A745" s="2" t="s">
        <v>5414</v>
      </c>
      <c r="B745" s="2" t="s">
        <v>27</v>
      </c>
      <c r="C745" s="2" t="s">
        <v>28</v>
      </c>
      <c r="D745" s="2" t="s">
        <v>97</v>
      </c>
      <c r="E745" s="2" t="s">
        <v>5039</v>
      </c>
      <c r="F745" s="2" t="s">
        <v>99</v>
      </c>
      <c r="G745" s="2" t="s">
        <v>32</v>
      </c>
      <c r="H745" s="1"/>
      <c r="I745" s="2" t="s">
        <v>33</v>
      </c>
      <c r="J745" s="2" t="s">
        <v>34</v>
      </c>
      <c r="K745" s="2" t="s">
        <v>1301</v>
      </c>
      <c r="L745" s="2" t="s">
        <v>1302</v>
      </c>
      <c r="M745" s="2" t="s">
        <v>37</v>
      </c>
      <c r="N745" s="2" t="s">
        <v>38</v>
      </c>
      <c r="O745" s="2" t="s">
        <v>645</v>
      </c>
      <c r="P745" s="2" t="s">
        <v>3898</v>
      </c>
      <c r="Q745" s="2" t="s">
        <v>5415</v>
      </c>
      <c r="R745" s="2" t="s">
        <v>40</v>
      </c>
      <c r="S745" s="2" t="s">
        <v>5416</v>
      </c>
      <c r="T745" s="2" t="s">
        <v>107</v>
      </c>
      <c r="U745" s="2" t="s">
        <v>1724</v>
      </c>
      <c r="V745" s="2" t="s">
        <v>5417</v>
      </c>
      <c r="W745" s="1"/>
      <c r="X745" s="2" t="s">
        <v>1100</v>
      </c>
      <c r="Y745" s="2" t="s">
        <v>5130</v>
      </c>
      <c r="AA745" t="str">
        <f t="shared" si="66"/>
        <v>2026-04</v>
      </c>
      <c r="AB745" t="str">
        <f t="shared" si="67"/>
        <v>H1_2026</v>
      </c>
      <c r="AC745">
        <f t="shared" si="68"/>
        <v>1142366.3400000001</v>
      </c>
      <c r="AD745">
        <f t="shared" si="69"/>
        <v>170</v>
      </c>
      <c r="AE745">
        <f t="shared" si="70"/>
        <v>190366.34</v>
      </c>
      <c r="AF745" t="str">
        <f t="shared" si="71"/>
        <v>Paid</v>
      </c>
    </row>
    <row r="746" spans="1:32" ht="17.25" thickBot="1" x14ac:dyDescent="0.35">
      <c r="A746" s="2" t="s">
        <v>5418</v>
      </c>
      <c r="B746" s="2" t="s">
        <v>27</v>
      </c>
      <c r="C746" s="2" t="s">
        <v>28</v>
      </c>
      <c r="D746" s="2" t="s">
        <v>97</v>
      </c>
      <c r="E746" s="2" t="s">
        <v>5039</v>
      </c>
      <c r="F746" s="2" t="s">
        <v>99</v>
      </c>
      <c r="G746" s="2" t="s">
        <v>32</v>
      </c>
      <c r="H746" s="1"/>
      <c r="I746" s="2" t="s">
        <v>33</v>
      </c>
      <c r="J746" s="2" t="s">
        <v>34</v>
      </c>
      <c r="K746" s="2" t="s">
        <v>1318</v>
      </c>
      <c r="L746" s="2" t="s">
        <v>1319</v>
      </c>
      <c r="M746" s="2" t="s">
        <v>37</v>
      </c>
      <c r="N746" s="2" t="s">
        <v>38</v>
      </c>
      <c r="O746" s="2" t="s">
        <v>121</v>
      </c>
      <c r="P746" s="2" t="s">
        <v>5398</v>
      </c>
      <c r="Q746" s="2" t="s">
        <v>5405</v>
      </c>
      <c r="R746" s="2" t="s">
        <v>40</v>
      </c>
      <c r="S746" s="2" t="s">
        <v>5406</v>
      </c>
      <c r="T746" s="2" t="s">
        <v>1271</v>
      </c>
      <c r="U746" s="2" t="s">
        <v>5419</v>
      </c>
      <c r="V746" s="2" t="s">
        <v>5420</v>
      </c>
      <c r="W746" s="1"/>
      <c r="X746" s="2" t="s">
        <v>3216</v>
      </c>
      <c r="Y746" s="2" t="s">
        <v>5130</v>
      </c>
      <c r="AA746" t="str">
        <f t="shared" si="66"/>
        <v>2026-04</v>
      </c>
      <c r="AB746" t="str">
        <f t="shared" si="67"/>
        <v>H1_2026</v>
      </c>
      <c r="AC746">
        <f t="shared" si="68"/>
        <v>93988.22</v>
      </c>
      <c r="AD746">
        <f t="shared" si="69"/>
        <v>16</v>
      </c>
      <c r="AE746">
        <f t="shared" si="70"/>
        <v>15588.22</v>
      </c>
      <c r="AF746" t="str">
        <f t="shared" si="71"/>
        <v>Paid</v>
      </c>
    </row>
    <row r="747" spans="1:32" ht="17.25" thickBot="1" x14ac:dyDescent="0.35">
      <c r="A747" s="2" t="s">
        <v>5421</v>
      </c>
      <c r="B747" s="2" t="s">
        <v>27</v>
      </c>
      <c r="C747" s="2" t="s">
        <v>28</v>
      </c>
      <c r="D747" s="2" t="s">
        <v>97</v>
      </c>
      <c r="E747" s="2" t="s">
        <v>5039</v>
      </c>
      <c r="F747" s="2" t="s">
        <v>99</v>
      </c>
      <c r="G747" s="2" t="s">
        <v>32</v>
      </c>
      <c r="H747" s="1"/>
      <c r="I747" s="2" t="s">
        <v>33</v>
      </c>
      <c r="J747" s="2" t="s">
        <v>34</v>
      </c>
      <c r="K747" s="2" t="s">
        <v>5422</v>
      </c>
      <c r="L747" s="2" t="s">
        <v>5423</v>
      </c>
      <c r="M747" s="2" t="s">
        <v>37</v>
      </c>
      <c r="N747" s="2" t="s">
        <v>38</v>
      </c>
      <c r="O747" s="2" t="s">
        <v>76</v>
      </c>
      <c r="P747" s="2" t="s">
        <v>4503</v>
      </c>
      <c r="Q747" s="2" t="s">
        <v>5424</v>
      </c>
      <c r="R747" s="2" t="s">
        <v>40</v>
      </c>
      <c r="S747" s="2" t="s">
        <v>5425</v>
      </c>
      <c r="T747" s="2" t="s">
        <v>5426</v>
      </c>
      <c r="U747" s="2" t="s">
        <v>5427</v>
      </c>
      <c r="V747" s="2" t="s">
        <v>5428</v>
      </c>
      <c r="W747" s="1"/>
      <c r="X747" s="2" t="s">
        <v>4421</v>
      </c>
      <c r="Y747" s="2" t="s">
        <v>5130</v>
      </c>
      <c r="AA747" t="str">
        <f t="shared" si="66"/>
        <v>2026-04</v>
      </c>
      <c r="AB747" t="str">
        <f t="shared" si="67"/>
        <v>H1_2026</v>
      </c>
      <c r="AC747">
        <f t="shared" si="68"/>
        <v>90784.08</v>
      </c>
      <c r="AD747">
        <f t="shared" si="69"/>
        <v>9</v>
      </c>
      <c r="AE747">
        <f t="shared" si="70"/>
        <v>19684.080000000002</v>
      </c>
      <c r="AF747" t="str">
        <f t="shared" si="71"/>
        <v>Paid</v>
      </c>
    </row>
    <row r="748" spans="1:32" ht="17.25" thickBot="1" x14ac:dyDescent="0.35">
      <c r="A748" s="2" t="s">
        <v>5429</v>
      </c>
      <c r="B748" s="2" t="s">
        <v>27</v>
      </c>
      <c r="C748" s="2" t="s">
        <v>28</v>
      </c>
      <c r="D748" s="2" t="s">
        <v>97</v>
      </c>
      <c r="E748" s="2" t="s">
        <v>5039</v>
      </c>
      <c r="F748" s="2" t="s">
        <v>99</v>
      </c>
      <c r="G748" s="2" t="s">
        <v>32</v>
      </c>
      <c r="H748" s="1"/>
      <c r="I748" s="2" t="s">
        <v>33</v>
      </c>
      <c r="J748" s="2" t="s">
        <v>34</v>
      </c>
      <c r="K748" s="2" t="s">
        <v>5430</v>
      </c>
      <c r="L748" s="2" t="s">
        <v>5431</v>
      </c>
      <c r="M748" s="2" t="s">
        <v>37</v>
      </c>
      <c r="N748" s="2" t="s">
        <v>38</v>
      </c>
      <c r="O748" s="2" t="s">
        <v>79</v>
      </c>
      <c r="P748" s="2" t="s">
        <v>3898</v>
      </c>
      <c r="Q748" s="2" t="s">
        <v>5432</v>
      </c>
      <c r="R748" s="2" t="s">
        <v>40</v>
      </c>
      <c r="S748" s="2" t="s">
        <v>5433</v>
      </c>
      <c r="T748" s="2" t="s">
        <v>5434</v>
      </c>
      <c r="U748" s="2" t="s">
        <v>3746</v>
      </c>
      <c r="V748" s="2" t="s">
        <v>5435</v>
      </c>
      <c r="W748" s="1"/>
      <c r="X748" s="2" t="s">
        <v>1340</v>
      </c>
      <c r="Y748" s="2" t="s">
        <v>5130</v>
      </c>
      <c r="AA748" t="str">
        <f t="shared" si="66"/>
        <v>2026-04</v>
      </c>
      <c r="AB748" t="str">
        <f t="shared" si="67"/>
        <v>H1_2026</v>
      </c>
      <c r="AC748">
        <f t="shared" si="68"/>
        <v>67198.02</v>
      </c>
      <c r="AD748">
        <f t="shared" si="69"/>
        <v>10</v>
      </c>
      <c r="AE748">
        <f t="shared" si="70"/>
        <v>19198.02</v>
      </c>
      <c r="AF748" t="str">
        <f t="shared" si="71"/>
        <v>Paid</v>
      </c>
    </row>
    <row r="749" spans="1:32" ht="17.25" thickBot="1" x14ac:dyDescent="0.35">
      <c r="A749" s="2" t="s">
        <v>5436</v>
      </c>
      <c r="B749" s="2" t="s">
        <v>27</v>
      </c>
      <c r="C749" s="2" t="s">
        <v>28</v>
      </c>
      <c r="D749" s="2" t="s">
        <v>97</v>
      </c>
      <c r="E749" s="2" t="s">
        <v>5039</v>
      </c>
      <c r="F749" s="2" t="s">
        <v>99</v>
      </c>
      <c r="G749" s="2" t="s">
        <v>32</v>
      </c>
      <c r="H749" s="1"/>
      <c r="I749" s="2" t="s">
        <v>33</v>
      </c>
      <c r="J749" s="2" t="s">
        <v>34</v>
      </c>
      <c r="K749" s="2" t="s">
        <v>82</v>
      </c>
      <c r="L749" s="2" t="s">
        <v>83</v>
      </c>
      <c r="M749" s="2" t="s">
        <v>84</v>
      </c>
      <c r="N749" s="2" t="s">
        <v>38</v>
      </c>
      <c r="O749" s="2" t="s">
        <v>1855</v>
      </c>
      <c r="P749" s="2" t="s">
        <v>1768</v>
      </c>
      <c r="Q749" s="2" t="s">
        <v>5437</v>
      </c>
      <c r="R749" s="2" t="s">
        <v>40</v>
      </c>
      <c r="S749" s="2" t="s">
        <v>5438</v>
      </c>
      <c r="T749" s="2" t="s">
        <v>1354</v>
      </c>
      <c r="U749" s="2" t="s">
        <v>5439</v>
      </c>
      <c r="V749" s="2" t="s">
        <v>5440</v>
      </c>
      <c r="W749" s="1"/>
      <c r="X749" s="2" t="s">
        <v>1357</v>
      </c>
      <c r="Y749" s="2" t="s">
        <v>5130</v>
      </c>
      <c r="AA749" t="str">
        <f t="shared" si="66"/>
        <v>2026-04</v>
      </c>
      <c r="AB749" t="str">
        <f t="shared" si="67"/>
        <v>H1_2026</v>
      </c>
      <c r="AC749">
        <f t="shared" si="68"/>
        <v>1419124.28</v>
      </c>
      <c r="AD749">
        <f t="shared" si="69"/>
        <v>223</v>
      </c>
      <c r="AE749">
        <f t="shared" si="70"/>
        <v>364334.28</v>
      </c>
      <c r="AF749" t="str">
        <f t="shared" si="71"/>
        <v>Paid</v>
      </c>
    </row>
    <row r="750" spans="1:32" ht="17.25" thickBot="1" x14ac:dyDescent="0.35">
      <c r="A750" s="2" t="s">
        <v>5441</v>
      </c>
      <c r="B750" s="2" t="s">
        <v>27</v>
      </c>
      <c r="C750" s="2" t="s">
        <v>28</v>
      </c>
      <c r="D750" s="2" t="s">
        <v>97</v>
      </c>
      <c r="E750" s="2" t="s">
        <v>5039</v>
      </c>
      <c r="F750" s="2" t="s">
        <v>99</v>
      </c>
      <c r="G750" s="2" t="s">
        <v>32</v>
      </c>
      <c r="H750" s="1"/>
      <c r="I750" s="2" t="s">
        <v>33</v>
      </c>
      <c r="J750" s="2" t="s">
        <v>34</v>
      </c>
      <c r="K750" s="2" t="s">
        <v>1368</v>
      </c>
      <c r="L750" s="2" t="s">
        <v>1369</v>
      </c>
      <c r="M750" s="2" t="s">
        <v>84</v>
      </c>
      <c r="N750" s="2" t="s">
        <v>38</v>
      </c>
      <c r="O750" s="2" t="s">
        <v>5442</v>
      </c>
      <c r="P750" s="2" t="s">
        <v>5443</v>
      </c>
      <c r="Q750" s="2" t="s">
        <v>5444</v>
      </c>
      <c r="R750" s="2" t="s">
        <v>40</v>
      </c>
      <c r="S750" s="2" t="s">
        <v>5445</v>
      </c>
      <c r="T750" s="2" t="s">
        <v>1354</v>
      </c>
      <c r="U750" s="2" t="s">
        <v>5446</v>
      </c>
      <c r="V750" s="2" t="s">
        <v>5447</v>
      </c>
      <c r="W750" s="1"/>
      <c r="X750" s="2" t="s">
        <v>1375</v>
      </c>
      <c r="Y750" s="2" t="s">
        <v>5130</v>
      </c>
      <c r="AA750" t="str">
        <f t="shared" si="66"/>
        <v>2026-04</v>
      </c>
      <c r="AB750" t="str">
        <f t="shared" si="67"/>
        <v>H1_2026</v>
      </c>
      <c r="AC750">
        <f t="shared" si="68"/>
        <v>9872768.6999999993</v>
      </c>
      <c r="AD750">
        <f t="shared" si="69"/>
        <v>1566</v>
      </c>
      <c r="AE750">
        <f t="shared" si="70"/>
        <v>2465588.7000000002</v>
      </c>
      <c r="AF750" t="str">
        <f t="shared" si="71"/>
        <v>Paid</v>
      </c>
    </row>
    <row r="751" spans="1:32" ht="17.25" thickBot="1" x14ac:dyDescent="0.35">
      <c r="A751" s="2" t="s">
        <v>5448</v>
      </c>
      <c r="B751" s="2" t="s">
        <v>27</v>
      </c>
      <c r="C751" s="2" t="s">
        <v>28</v>
      </c>
      <c r="D751" s="2" t="s">
        <v>97</v>
      </c>
      <c r="E751" s="2" t="s">
        <v>5039</v>
      </c>
      <c r="F751" s="2" t="s">
        <v>99</v>
      </c>
      <c r="G751" s="2" t="s">
        <v>32</v>
      </c>
      <c r="H751" s="1"/>
      <c r="I751" s="2" t="s">
        <v>33</v>
      </c>
      <c r="J751" s="2" t="s">
        <v>34</v>
      </c>
      <c r="K751" s="2" t="s">
        <v>1386</v>
      </c>
      <c r="L751" s="2" t="s">
        <v>1387</v>
      </c>
      <c r="M751" s="2" t="s">
        <v>84</v>
      </c>
      <c r="N751" s="2" t="s">
        <v>38</v>
      </c>
      <c r="O751" s="2" t="s">
        <v>76</v>
      </c>
      <c r="P751" s="2" t="s">
        <v>4621</v>
      </c>
      <c r="Q751" s="2" t="s">
        <v>5449</v>
      </c>
      <c r="R751" s="2" t="s">
        <v>40</v>
      </c>
      <c r="S751" s="2" t="s">
        <v>5450</v>
      </c>
      <c r="T751" s="2" t="s">
        <v>1390</v>
      </c>
      <c r="U751" s="2" t="s">
        <v>5451</v>
      </c>
      <c r="V751" s="2" t="s">
        <v>5452</v>
      </c>
      <c r="W751" s="1"/>
      <c r="X751" s="2" t="s">
        <v>1375</v>
      </c>
      <c r="Y751" s="2" t="s">
        <v>5130</v>
      </c>
      <c r="AA751" t="str">
        <f t="shared" si="66"/>
        <v>2026-04</v>
      </c>
      <c r="AB751" t="str">
        <f t="shared" si="67"/>
        <v>H1_2026</v>
      </c>
      <c r="AC751">
        <f t="shared" si="68"/>
        <v>79436.070000000007</v>
      </c>
      <c r="AD751">
        <f t="shared" si="69"/>
        <v>9</v>
      </c>
      <c r="AE751">
        <f t="shared" si="70"/>
        <v>19856.07</v>
      </c>
      <c r="AF751" t="str">
        <f t="shared" si="71"/>
        <v>Paid</v>
      </c>
    </row>
    <row r="752" spans="1:32" ht="17.25" thickBot="1" x14ac:dyDescent="0.35">
      <c r="A752" s="2" t="s">
        <v>1086</v>
      </c>
      <c r="B752" s="2" t="s">
        <v>27</v>
      </c>
      <c r="C752" s="2" t="s">
        <v>28</v>
      </c>
      <c r="D752" s="2" t="s">
        <v>97</v>
      </c>
      <c r="E752" s="2" t="s">
        <v>5039</v>
      </c>
      <c r="F752" s="2" t="s">
        <v>99</v>
      </c>
      <c r="G752" s="2" t="s">
        <v>32</v>
      </c>
      <c r="H752" s="1"/>
      <c r="I752" s="2" t="s">
        <v>33</v>
      </c>
      <c r="J752" s="2" t="s">
        <v>34</v>
      </c>
      <c r="K752" s="2" t="s">
        <v>5453</v>
      </c>
      <c r="L752" s="2" t="s">
        <v>5454</v>
      </c>
      <c r="M752" s="2" t="s">
        <v>84</v>
      </c>
      <c r="N752" s="2" t="s">
        <v>38</v>
      </c>
      <c r="O752" s="2" t="s">
        <v>445</v>
      </c>
      <c r="P752" s="2" t="s">
        <v>5455</v>
      </c>
      <c r="Q752" s="2" t="s">
        <v>5456</v>
      </c>
      <c r="R752" s="2" t="s">
        <v>40</v>
      </c>
      <c r="S752" s="2" t="s">
        <v>5457</v>
      </c>
      <c r="T752" s="2" t="s">
        <v>126</v>
      </c>
      <c r="U752" s="2" t="s">
        <v>5458</v>
      </c>
      <c r="V752" s="2" t="s">
        <v>5459</v>
      </c>
      <c r="W752" s="1"/>
      <c r="X752" s="2" t="s">
        <v>1375</v>
      </c>
      <c r="Y752" s="2" t="s">
        <v>5130</v>
      </c>
      <c r="AA752" t="str">
        <f t="shared" si="66"/>
        <v>2026-04</v>
      </c>
      <c r="AB752" t="str">
        <f t="shared" si="67"/>
        <v>H1_2026</v>
      </c>
      <c r="AC752">
        <f t="shared" si="68"/>
        <v>436594.29</v>
      </c>
      <c r="AD752">
        <f t="shared" si="69"/>
        <v>52</v>
      </c>
      <c r="AE752">
        <f t="shared" si="70"/>
        <v>108994.29</v>
      </c>
      <c r="AF752" t="str">
        <f t="shared" si="71"/>
        <v>Paid</v>
      </c>
    </row>
    <row r="753" spans="1:32" ht="17.25" thickBot="1" x14ac:dyDescent="0.35">
      <c r="A753" s="2" t="s">
        <v>5460</v>
      </c>
      <c r="B753" s="2" t="s">
        <v>27</v>
      </c>
      <c r="C753" s="2" t="s">
        <v>28</v>
      </c>
      <c r="D753" s="2" t="s">
        <v>97</v>
      </c>
      <c r="E753" s="2" t="s">
        <v>5039</v>
      </c>
      <c r="F753" s="2" t="s">
        <v>99</v>
      </c>
      <c r="G753" s="2" t="s">
        <v>32</v>
      </c>
      <c r="H753" s="1"/>
      <c r="I753" s="2" t="s">
        <v>33</v>
      </c>
      <c r="J753" s="2" t="s">
        <v>34</v>
      </c>
      <c r="K753" s="2" t="s">
        <v>1394</v>
      </c>
      <c r="L753" s="2" t="s">
        <v>1395</v>
      </c>
      <c r="M753" s="2" t="s">
        <v>84</v>
      </c>
      <c r="N753" s="2" t="s">
        <v>38</v>
      </c>
      <c r="O753" s="2" t="s">
        <v>416</v>
      </c>
      <c r="P753" s="2" t="s">
        <v>5461</v>
      </c>
      <c r="Q753" s="2" t="s">
        <v>5462</v>
      </c>
      <c r="R753" s="2" t="s">
        <v>40</v>
      </c>
      <c r="S753" s="2" t="s">
        <v>5463</v>
      </c>
      <c r="T753" s="2" t="s">
        <v>1399</v>
      </c>
      <c r="U753" s="2" t="s">
        <v>5464</v>
      </c>
      <c r="V753" s="2" t="s">
        <v>5465</v>
      </c>
      <c r="W753" s="1"/>
      <c r="X753" s="2" t="s">
        <v>1375</v>
      </c>
      <c r="Y753" s="2" t="s">
        <v>5130</v>
      </c>
      <c r="AA753" t="str">
        <f t="shared" si="66"/>
        <v>2026-04</v>
      </c>
      <c r="AB753" t="str">
        <f t="shared" si="67"/>
        <v>H1_2026</v>
      </c>
      <c r="AC753">
        <f t="shared" si="68"/>
        <v>480458.43</v>
      </c>
      <c r="AD753">
        <f t="shared" si="69"/>
        <v>49</v>
      </c>
      <c r="AE753">
        <f t="shared" si="70"/>
        <v>120308.43</v>
      </c>
      <c r="AF753" t="str">
        <f t="shared" si="71"/>
        <v>Paid</v>
      </c>
    </row>
    <row r="754" spans="1:32" ht="17.25" thickBot="1" x14ac:dyDescent="0.35">
      <c r="A754" s="2" t="s">
        <v>5466</v>
      </c>
      <c r="B754" s="2" t="s">
        <v>27</v>
      </c>
      <c r="C754" s="2" t="s">
        <v>28</v>
      </c>
      <c r="D754" s="2" t="s">
        <v>97</v>
      </c>
      <c r="E754" s="2" t="s">
        <v>5039</v>
      </c>
      <c r="F754" s="2" t="s">
        <v>99</v>
      </c>
      <c r="G754" s="2" t="s">
        <v>32</v>
      </c>
      <c r="H754" s="1"/>
      <c r="I754" s="2" t="s">
        <v>33</v>
      </c>
      <c r="J754" s="2" t="s">
        <v>34</v>
      </c>
      <c r="K754" s="2" t="s">
        <v>1403</v>
      </c>
      <c r="L754" s="2" t="s">
        <v>1404</v>
      </c>
      <c r="M754" s="2" t="s">
        <v>84</v>
      </c>
      <c r="N754" s="2" t="s">
        <v>38</v>
      </c>
      <c r="O754" s="2" t="s">
        <v>1659</v>
      </c>
      <c r="P754" s="2" t="s">
        <v>655</v>
      </c>
      <c r="Q754" s="2" t="s">
        <v>5467</v>
      </c>
      <c r="R754" s="2" t="s">
        <v>40</v>
      </c>
      <c r="S754" s="2" t="s">
        <v>5468</v>
      </c>
      <c r="T754" s="2" t="s">
        <v>1408</v>
      </c>
      <c r="U754" s="2" t="s">
        <v>5469</v>
      </c>
      <c r="V754" s="2" t="s">
        <v>5470</v>
      </c>
      <c r="W754" s="1"/>
      <c r="X754" s="2" t="s">
        <v>817</v>
      </c>
      <c r="Y754" s="2" t="s">
        <v>5130</v>
      </c>
      <c r="AA754" t="str">
        <f t="shared" si="66"/>
        <v>2026-04</v>
      </c>
      <c r="AB754" t="str">
        <f t="shared" si="67"/>
        <v>H1_2026</v>
      </c>
      <c r="AC754">
        <f t="shared" si="68"/>
        <v>2308318.7400000002</v>
      </c>
      <c r="AD754">
        <f t="shared" si="69"/>
        <v>195</v>
      </c>
      <c r="AE754">
        <f t="shared" si="70"/>
        <v>566968.74</v>
      </c>
      <c r="AF754" t="str">
        <f t="shared" si="71"/>
        <v>Paid</v>
      </c>
    </row>
    <row r="755" spans="1:32" ht="17.25" thickBot="1" x14ac:dyDescent="0.35">
      <c r="A755" s="2" t="s">
        <v>5471</v>
      </c>
      <c r="B755" s="2" t="s">
        <v>27</v>
      </c>
      <c r="C755" s="2" t="s">
        <v>28</v>
      </c>
      <c r="D755" s="2" t="s">
        <v>97</v>
      </c>
      <c r="E755" s="2" t="s">
        <v>5039</v>
      </c>
      <c r="F755" s="2" t="s">
        <v>99</v>
      </c>
      <c r="G755" s="2" t="s">
        <v>32</v>
      </c>
      <c r="H755" s="1"/>
      <c r="I755" s="2" t="s">
        <v>33</v>
      </c>
      <c r="J755" s="2" t="s">
        <v>34</v>
      </c>
      <c r="K755" s="2" t="s">
        <v>1412</v>
      </c>
      <c r="L755" s="2" t="s">
        <v>1413</v>
      </c>
      <c r="M755" s="2" t="s">
        <v>84</v>
      </c>
      <c r="N755" s="2" t="s">
        <v>38</v>
      </c>
      <c r="O755" s="2" t="s">
        <v>557</v>
      </c>
      <c r="P755" s="2" t="s">
        <v>5472</v>
      </c>
      <c r="Q755" s="2" t="s">
        <v>5473</v>
      </c>
      <c r="R755" s="2" t="s">
        <v>40</v>
      </c>
      <c r="S755" s="2" t="s">
        <v>5474</v>
      </c>
      <c r="T755" s="2" t="s">
        <v>1417</v>
      </c>
      <c r="U755" s="2" t="s">
        <v>5475</v>
      </c>
      <c r="V755" s="2" t="s">
        <v>5476</v>
      </c>
      <c r="W755" s="1"/>
      <c r="X755" s="2" t="s">
        <v>3393</v>
      </c>
      <c r="Y755" s="2" t="s">
        <v>5130</v>
      </c>
      <c r="AA755" t="str">
        <f t="shared" si="66"/>
        <v>2026-04</v>
      </c>
      <c r="AB755" t="str">
        <f t="shared" si="67"/>
        <v>H1_2026</v>
      </c>
      <c r="AC755">
        <f t="shared" si="68"/>
        <v>591060.73</v>
      </c>
      <c r="AD755">
        <f t="shared" si="69"/>
        <v>65</v>
      </c>
      <c r="AE755">
        <f t="shared" si="70"/>
        <v>147110.73000000001</v>
      </c>
      <c r="AF755" t="str">
        <f t="shared" si="71"/>
        <v>Paid</v>
      </c>
    </row>
    <row r="756" spans="1:32" ht="17.25" thickBot="1" x14ac:dyDescent="0.35">
      <c r="A756" s="2" t="s">
        <v>5477</v>
      </c>
      <c r="B756" s="2" t="s">
        <v>27</v>
      </c>
      <c r="C756" s="2" t="s">
        <v>28</v>
      </c>
      <c r="D756" s="2" t="s">
        <v>97</v>
      </c>
      <c r="E756" s="2" t="s">
        <v>5039</v>
      </c>
      <c r="F756" s="2" t="s">
        <v>99</v>
      </c>
      <c r="G756" s="2" t="s">
        <v>32</v>
      </c>
      <c r="H756" s="1"/>
      <c r="I756" s="2" t="s">
        <v>33</v>
      </c>
      <c r="J756" s="2" t="s">
        <v>34</v>
      </c>
      <c r="K756" s="2" t="s">
        <v>1420</v>
      </c>
      <c r="L756" s="2" t="s">
        <v>1421</v>
      </c>
      <c r="M756" s="2" t="s">
        <v>84</v>
      </c>
      <c r="N756" s="2" t="s">
        <v>38</v>
      </c>
      <c r="O756" s="2" t="s">
        <v>85</v>
      </c>
      <c r="P756" s="2" t="s">
        <v>2230</v>
      </c>
      <c r="Q756" s="2" t="s">
        <v>5478</v>
      </c>
      <c r="R756" s="2" t="s">
        <v>40</v>
      </c>
      <c r="S756" s="2" t="s">
        <v>5479</v>
      </c>
      <c r="T756" s="2" t="s">
        <v>1424</v>
      </c>
      <c r="U756" s="2" t="s">
        <v>5480</v>
      </c>
      <c r="V756" s="2" t="s">
        <v>5481</v>
      </c>
      <c r="W756" s="1"/>
      <c r="X756" s="2" t="s">
        <v>1427</v>
      </c>
      <c r="Y756" s="2" t="s">
        <v>5130</v>
      </c>
      <c r="AA756" t="str">
        <f t="shared" si="66"/>
        <v>2026-04</v>
      </c>
      <c r="AB756" t="str">
        <f t="shared" si="67"/>
        <v>H1_2026</v>
      </c>
      <c r="AC756">
        <f t="shared" si="68"/>
        <v>103244.64</v>
      </c>
      <c r="AD756">
        <f t="shared" si="69"/>
        <v>12</v>
      </c>
      <c r="AE756">
        <f t="shared" si="70"/>
        <v>25124.639999999999</v>
      </c>
      <c r="AF756" t="str">
        <f t="shared" si="71"/>
        <v>Paid</v>
      </c>
    </row>
    <row r="757" spans="1:32" ht="17.25" thickBot="1" x14ac:dyDescent="0.35">
      <c r="A757" s="2" t="s">
        <v>5482</v>
      </c>
      <c r="B757" s="2" t="s">
        <v>27</v>
      </c>
      <c r="C757" s="2" t="s">
        <v>28</v>
      </c>
      <c r="D757" s="2" t="s">
        <v>97</v>
      </c>
      <c r="E757" s="2" t="s">
        <v>5039</v>
      </c>
      <c r="F757" s="2" t="s">
        <v>99</v>
      </c>
      <c r="G757" s="2" t="s">
        <v>32</v>
      </c>
      <c r="H757" s="1"/>
      <c r="I757" s="2" t="s">
        <v>33</v>
      </c>
      <c r="J757" s="2" t="s">
        <v>34</v>
      </c>
      <c r="K757" s="2" t="s">
        <v>1439</v>
      </c>
      <c r="L757" s="2" t="s">
        <v>1440</v>
      </c>
      <c r="M757" s="2" t="s">
        <v>84</v>
      </c>
      <c r="N757" s="2" t="s">
        <v>38</v>
      </c>
      <c r="O757" s="2" t="s">
        <v>455</v>
      </c>
      <c r="P757" s="2" t="s">
        <v>5483</v>
      </c>
      <c r="Q757" s="2" t="s">
        <v>5484</v>
      </c>
      <c r="R757" s="2" t="s">
        <v>40</v>
      </c>
      <c r="S757" s="2" t="s">
        <v>5485</v>
      </c>
      <c r="T757" s="2" t="s">
        <v>1444</v>
      </c>
      <c r="U757" s="2" t="s">
        <v>5486</v>
      </c>
      <c r="V757" s="2" t="s">
        <v>5487</v>
      </c>
      <c r="W757" s="1"/>
      <c r="X757" s="2" t="s">
        <v>965</v>
      </c>
      <c r="Y757" s="2" t="s">
        <v>5130</v>
      </c>
      <c r="AA757" t="str">
        <f t="shared" si="66"/>
        <v>2026-04</v>
      </c>
      <c r="AB757" t="str">
        <f t="shared" si="67"/>
        <v>H1_2026</v>
      </c>
      <c r="AC757">
        <f t="shared" si="68"/>
        <v>389169.99</v>
      </c>
      <c r="AD757">
        <f t="shared" si="69"/>
        <v>53</v>
      </c>
      <c r="AE757">
        <f t="shared" si="70"/>
        <v>99789.99</v>
      </c>
      <c r="AF757" t="str">
        <f t="shared" si="71"/>
        <v>Paid</v>
      </c>
    </row>
    <row r="758" spans="1:32" ht="17.25" thickBot="1" x14ac:dyDescent="0.35">
      <c r="A758" s="2" t="s">
        <v>5488</v>
      </c>
      <c r="B758" s="2" t="s">
        <v>27</v>
      </c>
      <c r="C758" s="2" t="s">
        <v>28</v>
      </c>
      <c r="D758" s="2" t="s">
        <v>97</v>
      </c>
      <c r="E758" s="2" t="s">
        <v>5039</v>
      </c>
      <c r="F758" s="2" t="s">
        <v>99</v>
      </c>
      <c r="G758" s="2" t="s">
        <v>32</v>
      </c>
      <c r="H758" s="1"/>
      <c r="I758" s="2" t="s">
        <v>33</v>
      </c>
      <c r="J758" s="2" t="s">
        <v>34</v>
      </c>
      <c r="K758" s="2" t="s">
        <v>1448</v>
      </c>
      <c r="L758" s="2" t="s">
        <v>1449</v>
      </c>
      <c r="M758" s="2" t="s">
        <v>84</v>
      </c>
      <c r="N758" s="2" t="s">
        <v>38</v>
      </c>
      <c r="O758" s="2" t="s">
        <v>867</v>
      </c>
      <c r="P758" s="2" t="s">
        <v>5489</v>
      </c>
      <c r="Q758" s="2" t="s">
        <v>5490</v>
      </c>
      <c r="R758" s="2" t="s">
        <v>40</v>
      </c>
      <c r="S758" s="2" t="s">
        <v>5491</v>
      </c>
      <c r="T758" s="2" t="s">
        <v>1454</v>
      </c>
      <c r="U758" s="2" t="s">
        <v>5492</v>
      </c>
      <c r="V758" s="2" t="s">
        <v>5493</v>
      </c>
      <c r="W758" s="1"/>
      <c r="X758" s="2" t="s">
        <v>1457</v>
      </c>
      <c r="Y758" s="2" t="s">
        <v>5130</v>
      </c>
      <c r="AA758" t="str">
        <f t="shared" si="66"/>
        <v>2026-04</v>
      </c>
      <c r="AB758" t="str">
        <f t="shared" si="67"/>
        <v>H1_2026</v>
      </c>
      <c r="AC758">
        <f t="shared" si="68"/>
        <v>469941.12</v>
      </c>
      <c r="AD758">
        <f t="shared" si="69"/>
        <v>99</v>
      </c>
      <c r="AE758">
        <f t="shared" si="70"/>
        <v>116511.12</v>
      </c>
      <c r="AF758" t="str">
        <f t="shared" si="71"/>
        <v>Paid</v>
      </c>
    </row>
    <row r="759" spans="1:32" ht="17.25" thickBot="1" x14ac:dyDescent="0.35">
      <c r="A759" s="2" t="s">
        <v>5494</v>
      </c>
      <c r="B759" s="2" t="s">
        <v>27</v>
      </c>
      <c r="C759" s="2" t="s">
        <v>28</v>
      </c>
      <c r="D759" s="2" t="s">
        <v>97</v>
      </c>
      <c r="E759" s="2" t="s">
        <v>5039</v>
      </c>
      <c r="F759" s="2" t="s">
        <v>99</v>
      </c>
      <c r="G759" s="2" t="s">
        <v>32</v>
      </c>
      <c r="H759" s="1"/>
      <c r="I759" s="2" t="s">
        <v>33</v>
      </c>
      <c r="J759" s="2" t="s">
        <v>34</v>
      </c>
      <c r="K759" s="2" t="s">
        <v>5495</v>
      </c>
      <c r="L759" s="2" t="s">
        <v>5496</v>
      </c>
      <c r="M759" s="2" t="s">
        <v>84</v>
      </c>
      <c r="N759" s="2" t="s">
        <v>38</v>
      </c>
      <c r="O759" s="2" t="s">
        <v>391</v>
      </c>
      <c r="P759" s="2" t="s">
        <v>5455</v>
      </c>
      <c r="Q759" s="2" t="s">
        <v>5497</v>
      </c>
      <c r="R759" s="2" t="s">
        <v>40</v>
      </c>
      <c r="S759" s="2" t="s">
        <v>5498</v>
      </c>
      <c r="T759" s="2" t="s">
        <v>126</v>
      </c>
      <c r="U759" s="2" t="s">
        <v>5499</v>
      </c>
      <c r="V759" s="2" t="s">
        <v>5500</v>
      </c>
      <c r="W759" s="1"/>
      <c r="X759" s="2" t="s">
        <v>1375</v>
      </c>
      <c r="Y759" s="2" t="s">
        <v>5130</v>
      </c>
      <c r="AA759" t="str">
        <f t="shared" si="66"/>
        <v>2026-04</v>
      </c>
      <c r="AB759" t="str">
        <f t="shared" si="67"/>
        <v>H1_2026</v>
      </c>
      <c r="AC759">
        <f t="shared" si="68"/>
        <v>503762.64</v>
      </c>
      <c r="AD759">
        <f t="shared" si="69"/>
        <v>60</v>
      </c>
      <c r="AE759">
        <f t="shared" si="70"/>
        <v>125762.64</v>
      </c>
      <c r="AF759" t="str">
        <f t="shared" si="71"/>
        <v>Paid</v>
      </c>
    </row>
    <row r="760" spans="1:32" ht="17.25" thickBot="1" x14ac:dyDescent="0.35">
      <c r="A760" s="2" t="s">
        <v>5501</v>
      </c>
      <c r="B760" s="2" t="s">
        <v>27</v>
      </c>
      <c r="C760" s="2" t="s">
        <v>28</v>
      </c>
      <c r="D760" s="2" t="s">
        <v>97</v>
      </c>
      <c r="E760" s="2" t="s">
        <v>5039</v>
      </c>
      <c r="F760" s="2" t="s">
        <v>99</v>
      </c>
      <c r="G760" s="2" t="s">
        <v>32</v>
      </c>
      <c r="H760" s="1"/>
      <c r="I760" s="2" t="s">
        <v>33</v>
      </c>
      <c r="J760" s="2" t="s">
        <v>34</v>
      </c>
      <c r="K760" s="2" t="s">
        <v>4528</v>
      </c>
      <c r="L760" s="2" t="s">
        <v>4529</v>
      </c>
      <c r="M760" s="2" t="s">
        <v>84</v>
      </c>
      <c r="N760" s="2" t="s">
        <v>38</v>
      </c>
      <c r="O760" s="2" t="s">
        <v>1025</v>
      </c>
      <c r="P760" s="2" t="s">
        <v>5502</v>
      </c>
      <c r="Q760" s="2" t="s">
        <v>5503</v>
      </c>
      <c r="R760" s="2" t="s">
        <v>40</v>
      </c>
      <c r="S760" s="2" t="s">
        <v>5504</v>
      </c>
      <c r="T760" s="2" t="s">
        <v>4531</v>
      </c>
      <c r="U760" s="2" t="s">
        <v>5505</v>
      </c>
      <c r="V760" s="2" t="s">
        <v>5506</v>
      </c>
      <c r="W760" s="1"/>
      <c r="X760" s="2" t="s">
        <v>1437</v>
      </c>
      <c r="Y760" s="2" t="s">
        <v>5130</v>
      </c>
      <c r="AA760" t="str">
        <f t="shared" si="66"/>
        <v>2026-04</v>
      </c>
      <c r="AB760" t="str">
        <f t="shared" si="67"/>
        <v>H1_2026</v>
      </c>
      <c r="AC760">
        <f t="shared" si="68"/>
        <v>1434670.31</v>
      </c>
      <c r="AD760">
        <f t="shared" si="69"/>
        <v>115</v>
      </c>
      <c r="AE760">
        <f t="shared" si="70"/>
        <v>353670.31</v>
      </c>
      <c r="AF760" t="str">
        <f t="shared" si="71"/>
        <v>Paid</v>
      </c>
    </row>
    <row r="761" spans="1:32" ht="17.25" thickBot="1" x14ac:dyDescent="0.35">
      <c r="A761" s="2" t="s">
        <v>5507</v>
      </c>
      <c r="B761" s="2" t="s">
        <v>27</v>
      </c>
      <c r="C761" s="2" t="s">
        <v>28</v>
      </c>
      <c r="D761" s="2" t="s">
        <v>97</v>
      </c>
      <c r="E761" s="2" t="s">
        <v>5039</v>
      </c>
      <c r="F761" s="2" t="s">
        <v>99</v>
      </c>
      <c r="G761" s="2" t="s">
        <v>32</v>
      </c>
      <c r="H761" s="1"/>
      <c r="I761" s="2" t="s">
        <v>33</v>
      </c>
      <c r="J761" s="2" t="s">
        <v>34</v>
      </c>
      <c r="K761" s="2" t="s">
        <v>1474</v>
      </c>
      <c r="L761" s="2" t="s">
        <v>1475</v>
      </c>
      <c r="M761" s="2" t="s">
        <v>84</v>
      </c>
      <c r="N761" s="2" t="s">
        <v>38</v>
      </c>
      <c r="O761" s="2" t="s">
        <v>1659</v>
      </c>
      <c r="P761" s="2" t="s">
        <v>5455</v>
      </c>
      <c r="Q761" s="2" t="s">
        <v>5508</v>
      </c>
      <c r="R761" s="2" t="s">
        <v>40</v>
      </c>
      <c r="S761" s="2" t="s">
        <v>5509</v>
      </c>
      <c r="T761" s="2" t="s">
        <v>126</v>
      </c>
      <c r="U761" s="2" t="s">
        <v>5510</v>
      </c>
      <c r="V761" s="2" t="s">
        <v>5511</v>
      </c>
      <c r="W761" s="1"/>
      <c r="X761" s="2" t="s">
        <v>1375</v>
      </c>
      <c r="Y761" s="2" t="s">
        <v>5130</v>
      </c>
      <c r="AA761" t="str">
        <f t="shared" si="66"/>
        <v>2026-04</v>
      </c>
      <c r="AB761" t="str">
        <f t="shared" si="67"/>
        <v>H1_2026</v>
      </c>
      <c r="AC761">
        <f t="shared" si="68"/>
        <v>1637228.58</v>
      </c>
      <c r="AD761">
        <f t="shared" si="69"/>
        <v>195</v>
      </c>
      <c r="AE761">
        <f t="shared" si="70"/>
        <v>408728.58</v>
      </c>
      <c r="AF761" t="str">
        <f t="shared" si="71"/>
        <v>Paid</v>
      </c>
    </row>
    <row r="762" spans="1:32" ht="17.25" thickBot="1" x14ac:dyDescent="0.35">
      <c r="A762" s="2" t="s">
        <v>2819</v>
      </c>
      <c r="B762" s="2" t="s">
        <v>27</v>
      </c>
      <c r="C762" s="2" t="s">
        <v>28</v>
      </c>
      <c r="D762" s="2" t="s">
        <v>97</v>
      </c>
      <c r="E762" s="2" t="s">
        <v>5039</v>
      </c>
      <c r="F762" s="2" t="s">
        <v>99</v>
      </c>
      <c r="G762" s="2" t="s">
        <v>32</v>
      </c>
      <c r="H762" s="1"/>
      <c r="I762" s="2" t="s">
        <v>33</v>
      </c>
      <c r="J762" s="2" t="s">
        <v>34</v>
      </c>
      <c r="K762" s="2" t="s">
        <v>1489</v>
      </c>
      <c r="L762" s="2" t="s">
        <v>1490</v>
      </c>
      <c r="M762" s="2" t="s">
        <v>84</v>
      </c>
      <c r="N762" s="2" t="s">
        <v>38</v>
      </c>
      <c r="O762" s="2" t="s">
        <v>185</v>
      </c>
      <c r="P762" s="2" t="s">
        <v>5455</v>
      </c>
      <c r="Q762" s="2" t="s">
        <v>5512</v>
      </c>
      <c r="R762" s="2" t="s">
        <v>40</v>
      </c>
      <c r="S762" s="2" t="s">
        <v>5513</v>
      </c>
      <c r="T762" s="2" t="s">
        <v>126</v>
      </c>
      <c r="U762" s="2" t="s">
        <v>5514</v>
      </c>
      <c r="V762" s="2" t="s">
        <v>5515</v>
      </c>
      <c r="W762" s="1"/>
      <c r="X762" s="2" t="s">
        <v>1375</v>
      </c>
      <c r="Y762" s="2" t="s">
        <v>5130</v>
      </c>
      <c r="AA762" t="str">
        <f t="shared" si="66"/>
        <v>2026-04</v>
      </c>
      <c r="AB762" t="str">
        <f t="shared" si="67"/>
        <v>H1_2026</v>
      </c>
      <c r="AC762">
        <f t="shared" si="68"/>
        <v>193109.01</v>
      </c>
      <c r="AD762">
        <f t="shared" si="69"/>
        <v>23</v>
      </c>
      <c r="AE762">
        <f t="shared" si="70"/>
        <v>48209.01</v>
      </c>
      <c r="AF762" t="str">
        <f t="shared" si="71"/>
        <v>Paid</v>
      </c>
    </row>
    <row r="763" spans="1:32" ht="17.25" thickBot="1" x14ac:dyDescent="0.35">
      <c r="A763" s="2" t="s">
        <v>5516</v>
      </c>
      <c r="B763" s="2" t="s">
        <v>27</v>
      </c>
      <c r="C763" s="2" t="s">
        <v>28</v>
      </c>
      <c r="D763" s="2" t="s">
        <v>97</v>
      </c>
      <c r="E763" s="2" t="s">
        <v>5039</v>
      </c>
      <c r="F763" s="2" t="s">
        <v>99</v>
      </c>
      <c r="G763" s="2" t="s">
        <v>32</v>
      </c>
      <c r="H763" s="1"/>
      <c r="I763" s="2" t="s">
        <v>33</v>
      </c>
      <c r="J763" s="2" t="s">
        <v>34</v>
      </c>
      <c r="K763" s="2" t="s">
        <v>5517</v>
      </c>
      <c r="L763" s="2" t="s">
        <v>5518</v>
      </c>
      <c r="M763" s="2" t="s">
        <v>84</v>
      </c>
      <c r="N763" s="2" t="s">
        <v>38</v>
      </c>
      <c r="O763" s="2" t="s">
        <v>642</v>
      </c>
      <c r="P763" s="2" t="s">
        <v>4583</v>
      </c>
      <c r="Q763" s="2" t="s">
        <v>5519</v>
      </c>
      <c r="R763" s="2" t="s">
        <v>40</v>
      </c>
      <c r="S763" s="2" t="s">
        <v>5520</v>
      </c>
      <c r="T763" s="2" t="s">
        <v>126</v>
      </c>
      <c r="U763" s="2" t="s">
        <v>5521</v>
      </c>
      <c r="V763" s="2" t="s">
        <v>5522</v>
      </c>
      <c r="W763" s="1"/>
      <c r="X763" s="2" t="s">
        <v>2020</v>
      </c>
      <c r="Y763" s="2" t="s">
        <v>5130</v>
      </c>
      <c r="AA763" t="str">
        <f t="shared" si="66"/>
        <v>2026-04</v>
      </c>
      <c r="AB763" t="str">
        <f t="shared" si="67"/>
        <v>H1_2026</v>
      </c>
      <c r="AC763">
        <f t="shared" si="68"/>
        <v>637491.15</v>
      </c>
      <c r="AD763">
        <f t="shared" si="69"/>
        <v>75</v>
      </c>
      <c r="AE763">
        <f t="shared" si="70"/>
        <v>164991.15</v>
      </c>
      <c r="AF763" t="str">
        <f t="shared" si="71"/>
        <v>Paid</v>
      </c>
    </row>
    <row r="764" spans="1:32" ht="17.25" thickBot="1" x14ac:dyDescent="0.35">
      <c r="A764" s="2" t="s">
        <v>3717</v>
      </c>
      <c r="B764" s="2" t="s">
        <v>27</v>
      </c>
      <c r="C764" s="2" t="s">
        <v>28</v>
      </c>
      <c r="D764" s="2" t="s">
        <v>97</v>
      </c>
      <c r="E764" s="2" t="s">
        <v>5039</v>
      </c>
      <c r="F764" s="2" t="s">
        <v>99</v>
      </c>
      <c r="G764" s="2" t="s">
        <v>32</v>
      </c>
      <c r="H764" s="1"/>
      <c r="I764" s="2" t="s">
        <v>33</v>
      </c>
      <c r="J764" s="2" t="s">
        <v>34</v>
      </c>
      <c r="K764" s="2" t="s">
        <v>643</v>
      </c>
      <c r="L764" s="2" t="s">
        <v>644</v>
      </c>
      <c r="M764" s="2" t="s">
        <v>634</v>
      </c>
      <c r="N764" s="2" t="s">
        <v>38</v>
      </c>
      <c r="O764" s="2" t="s">
        <v>877</v>
      </c>
      <c r="P764" s="2" t="s">
        <v>4560</v>
      </c>
      <c r="Q764" s="2" t="s">
        <v>5126</v>
      </c>
      <c r="R764" s="2" t="s">
        <v>40</v>
      </c>
      <c r="S764" s="2" t="s">
        <v>5127</v>
      </c>
      <c r="T764" s="2" t="s">
        <v>267</v>
      </c>
      <c r="U764" s="2" t="s">
        <v>5128</v>
      </c>
      <c r="V764" s="2" t="s">
        <v>5129</v>
      </c>
      <c r="W764" s="1"/>
      <c r="X764" s="2" t="s">
        <v>2863</v>
      </c>
      <c r="Y764" s="2" t="s">
        <v>5523</v>
      </c>
      <c r="AA764" t="str">
        <f t="shared" si="66"/>
        <v>2026-04</v>
      </c>
      <c r="AB764" t="str">
        <f t="shared" si="67"/>
        <v>H1_2026</v>
      </c>
      <c r="AC764">
        <f t="shared" si="68"/>
        <v>949376</v>
      </c>
      <c r="AD764">
        <f t="shared" si="69"/>
        <v>100</v>
      </c>
      <c r="AE764">
        <f t="shared" si="70"/>
        <v>289376</v>
      </c>
      <c r="AF764" t="str">
        <f t="shared" si="71"/>
        <v>Paid</v>
      </c>
    </row>
    <row r="765" spans="1:32" ht="17.25" thickBot="1" x14ac:dyDescent="0.35">
      <c r="A765" s="2" t="s">
        <v>5524</v>
      </c>
      <c r="B765" s="2" t="s">
        <v>27</v>
      </c>
      <c r="C765" s="2" t="s">
        <v>28</v>
      </c>
      <c r="D765" s="2" t="s">
        <v>97</v>
      </c>
      <c r="E765" s="2" t="s">
        <v>5039</v>
      </c>
      <c r="F765" s="2" t="s">
        <v>99</v>
      </c>
      <c r="G765" s="2" t="s">
        <v>32</v>
      </c>
      <c r="H765" s="1"/>
      <c r="I765" s="2" t="s">
        <v>33</v>
      </c>
      <c r="J765" s="2" t="s">
        <v>34</v>
      </c>
      <c r="K765" s="2" t="s">
        <v>653</v>
      </c>
      <c r="L765" s="2" t="s">
        <v>654</v>
      </c>
      <c r="M765" s="2" t="s">
        <v>634</v>
      </c>
      <c r="N765" s="2" t="s">
        <v>38</v>
      </c>
      <c r="O765" s="2" t="s">
        <v>607</v>
      </c>
      <c r="P765" s="2" t="s">
        <v>4854</v>
      </c>
      <c r="Q765" s="2" t="s">
        <v>5132</v>
      </c>
      <c r="R765" s="2" t="s">
        <v>40</v>
      </c>
      <c r="S765" s="2" t="s">
        <v>5133</v>
      </c>
      <c r="T765" s="2" t="s">
        <v>658</v>
      </c>
      <c r="U765" s="2" t="s">
        <v>5134</v>
      </c>
      <c r="V765" s="2" t="s">
        <v>5135</v>
      </c>
      <c r="W765" s="1"/>
      <c r="X765" s="2" t="s">
        <v>661</v>
      </c>
      <c r="Y765" s="2" t="s">
        <v>5523</v>
      </c>
      <c r="AA765" t="str">
        <f t="shared" si="66"/>
        <v>2026-04</v>
      </c>
      <c r="AB765" t="str">
        <f t="shared" si="67"/>
        <v>H1_2026</v>
      </c>
      <c r="AC765">
        <f t="shared" si="68"/>
        <v>835198.7</v>
      </c>
      <c r="AD765">
        <f t="shared" si="69"/>
        <v>71</v>
      </c>
      <c r="AE765">
        <f t="shared" si="70"/>
        <v>132298.70000000001</v>
      </c>
      <c r="AF765" t="str">
        <f t="shared" si="71"/>
        <v>Paid</v>
      </c>
    </row>
    <row r="766" spans="1:32" ht="17.25" thickBot="1" x14ac:dyDescent="0.35">
      <c r="A766" s="2" t="s">
        <v>5525</v>
      </c>
      <c r="B766" s="2" t="s">
        <v>27</v>
      </c>
      <c r="C766" s="2" t="s">
        <v>28</v>
      </c>
      <c r="D766" s="2" t="s">
        <v>97</v>
      </c>
      <c r="E766" s="2" t="s">
        <v>5039</v>
      </c>
      <c r="F766" s="2" t="s">
        <v>99</v>
      </c>
      <c r="G766" s="2" t="s">
        <v>32</v>
      </c>
      <c r="H766" s="1"/>
      <c r="I766" s="2" t="s">
        <v>33</v>
      </c>
      <c r="J766" s="2" t="s">
        <v>34</v>
      </c>
      <c r="K766" s="2" t="s">
        <v>5137</v>
      </c>
      <c r="L766" s="2" t="s">
        <v>5138</v>
      </c>
      <c r="M766" s="2" t="s">
        <v>634</v>
      </c>
      <c r="N766" s="2" t="s">
        <v>38</v>
      </c>
      <c r="O766" s="2" t="s">
        <v>5526</v>
      </c>
      <c r="P766" s="2" t="s">
        <v>5139</v>
      </c>
      <c r="Q766" s="2" t="s">
        <v>5527</v>
      </c>
      <c r="R766" s="2" t="s">
        <v>40</v>
      </c>
      <c r="S766" s="2" t="s">
        <v>5528</v>
      </c>
      <c r="T766" s="2" t="s">
        <v>669</v>
      </c>
      <c r="U766" s="2" t="s">
        <v>5529</v>
      </c>
      <c r="V766" s="2" t="s">
        <v>5530</v>
      </c>
      <c r="W766" s="1"/>
      <c r="X766" s="2" t="s">
        <v>672</v>
      </c>
      <c r="Y766" s="2" t="s">
        <v>5523</v>
      </c>
      <c r="AA766" t="str">
        <f t="shared" si="66"/>
        <v>2026-04</v>
      </c>
      <c r="AB766" t="str">
        <f t="shared" si="67"/>
        <v>H1_2026</v>
      </c>
      <c r="AC766">
        <f t="shared" si="68"/>
        <v>40430808.700000003</v>
      </c>
      <c r="AD766">
        <f t="shared" si="69"/>
        <v>3610</v>
      </c>
      <c r="AE766">
        <f t="shared" si="70"/>
        <v>18770808.699999999</v>
      </c>
      <c r="AF766" t="str">
        <f t="shared" si="71"/>
        <v>Paid</v>
      </c>
    </row>
    <row r="767" spans="1:32" ht="27.75" thickBot="1" x14ac:dyDescent="0.35">
      <c r="A767" s="2" t="s">
        <v>5531</v>
      </c>
      <c r="B767" s="2" t="s">
        <v>27</v>
      </c>
      <c r="C767" s="2" t="s">
        <v>28</v>
      </c>
      <c r="D767" s="2" t="s">
        <v>97</v>
      </c>
      <c r="E767" s="2" t="s">
        <v>5039</v>
      </c>
      <c r="F767" s="2" t="s">
        <v>99</v>
      </c>
      <c r="G767" s="2" t="s">
        <v>32</v>
      </c>
      <c r="H767" s="1"/>
      <c r="I767" s="2" t="s">
        <v>33</v>
      </c>
      <c r="J767" s="2" t="s">
        <v>34</v>
      </c>
      <c r="K767" s="2" t="s">
        <v>5145</v>
      </c>
      <c r="L767" s="2" t="s">
        <v>5146</v>
      </c>
      <c r="M767" s="2" t="s">
        <v>634</v>
      </c>
      <c r="N767" s="2" t="s">
        <v>38</v>
      </c>
      <c r="O767" s="2" t="s">
        <v>5532</v>
      </c>
      <c r="P767" s="2" t="s">
        <v>5139</v>
      </c>
      <c r="Q767" s="2" t="s">
        <v>5533</v>
      </c>
      <c r="R767" s="2" t="s">
        <v>40</v>
      </c>
      <c r="S767" s="2" t="s">
        <v>5534</v>
      </c>
      <c r="T767" s="2" t="s">
        <v>669</v>
      </c>
      <c r="U767" s="2" t="s">
        <v>5535</v>
      </c>
      <c r="V767" s="2" t="s">
        <v>5536</v>
      </c>
      <c r="W767" s="1"/>
      <c r="X767" s="2" t="s">
        <v>672</v>
      </c>
      <c r="Y767" s="2" t="s">
        <v>5523</v>
      </c>
      <c r="AA767" t="str">
        <f t="shared" si="66"/>
        <v>2026-04</v>
      </c>
      <c r="AB767" t="str">
        <f t="shared" si="67"/>
        <v>H1_2026</v>
      </c>
      <c r="AC767">
        <f t="shared" si="68"/>
        <v>13954788.82</v>
      </c>
      <c r="AD767">
        <f t="shared" si="69"/>
        <v>1246</v>
      </c>
      <c r="AE767">
        <f t="shared" si="70"/>
        <v>6478788.8200000003</v>
      </c>
      <c r="AF767" t="str">
        <f t="shared" si="71"/>
        <v>Paid</v>
      </c>
    </row>
    <row r="768" spans="1:32" ht="17.25" thickBot="1" x14ac:dyDescent="0.35">
      <c r="A768" s="2" t="s">
        <v>5537</v>
      </c>
      <c r="B768" s="2" t="s">
        <v>27</v>
      </c>
      <c r="C768" s="2" t="s">
        <v>28</v>
      </c>
      <c r="D768" s="2" t="s">
        <v>97</v>
      </c>
      <c r="E768" s="2" t="s">
        <v>5039</v>
      </c>
      <c r="F768" s="2" t="s">
        <v>99</v>
      </c>
      <c r="G768" s="2" t="s">
        <v>32</v>
      </c>
      <c r="H768" s="1"/>
      <c r="I768" s="2" t="s">
        <v>33</v>
      </c>
      <c r="J768" s="2" t="s">
        <v>34</v>
      </c>
      <c r="K768" s="2" t="s">
        <v>663</v>
      </c>
      <c r="L768" s="2" t="s">
        <v>664</v>
      </c>
      <c r="M768" s="2" t="s">
        <v>634</v>
      </c>
      <c r="N768" s="2" t="s">
        <v>38</v>
      </c>
      <c r="O768" s="2" t="s">
        <v>391</v>
      </c>
      <c r="P768" s="2" t="s">
        <v>5139</v>
      </c>
      <c r="Q768" s="2" t="s">
        <v>5538</v>
      </c>
      <c r="R768" s="2" t="s">
        <v>40</v>
      </c>
      <c r="S768" s="2" t="s">
        <v>5539</v>
      </c>
      <c r="T768" s="2" t="s">
        <v>669</v>
      </c>
      <c r="U768" s="2" t="s">
        <v>4484</v>
      </c>
      <c r="V768" s="2" t="s">
        <v>5540</v>
      </c>
      <c r="W768" s="1"/>
      <c r="X768" s="2" t="s">
        <v>672</v>
      </c>
      <c r="Y768" s="2" t="s">
        <v>5523</v>
      </c>
      <c r="AA768" t="str">
        <f t="shared" si="66"/>
        <v>2026-04</v>
      </c>
      <c r="AB768" t="str">
        <f t="shared" si="67"/>
        <v>H1_2026</v>
      </c>
      <c r="AC768">
        <f t="shared" si="68"/>
        <v>671980.2</v>
      </c>
      <c r="AD768">
        <f t="shared" si="69"/>
        <v>60</v>
      </c>
      <c r="AE768">
        <f t="shared" si="70"/>
        <v>311980.2</v>
      </c>
      <c r="AF768" t="str">
        <f t="shared" si="71"/>
        <v>Paid</v>
      </c>
    </row>
    <row r="769" spans="1:32" ht="27.75" thickBot="1" x14ac:dyDescent="0.35">
      <c r="A769" s="2" t="s">
        <v>5541</v>
      </c>
      <c r="B769" s="2" t="s">
        <v>27</v>
      </c>
      <c r="C769" s="2" t="s">
        <v>28</v>
      </c>
      <c r="D769" s="2" t="s">
        <v>97</v>
      </c>
      <c r="E769" s="2" t="s">
        <v>5039</v>
      </c>
      <c r="F769" s="2" t="s">
        <v>99</v>
      </c>
      <c r="G769" s="2" t="s">
        <v>32</v>
      </c>
      <c r="H769" s="1"/>
      <c r="I769" s="2" t="s">
        <v>33</v>
      </c>
      <c r="J769" s="2" t="s">
        <v>34</v>
      </c>
      <c r="K769" s="2" t="s">
        <v>674</v>
      </c>
      <c r="L769" s="2" t="s">
        <v>675</v>
      </c>
      <c r="M769" s="2" t="s">
        <v>634</v>
      </c>
      <c r="N769" s="2" t="s">
        <v>38</v>
      </c>
      <c r="O769" s="2" t="s">
        <v>214</v>
      </c>
      <c r="P769" s="2" t="s">
        <v>5139</v>
      </c>
      <c r="Q769" s="2" t="s">
        <v>5542</v>
      </c>
      <c r="R769" s="2" t="s">
        <v>40</v>
      </c>
      <c r="S769" s="2" t="s">
        <v>5543</v>
      </c>
      <c r="T769" s="2" t="s">
        <v>669</v>
      </c>
      <c r="U769" s="2" t="s">
        <v>5544</v>
      </c>
      <c r="V769" s="2" t="s">
        <v>5545</v>
      </c>
      <c r="W769" s="1"/>
      <c r="X769" s="2" t="s">
        <v>672</v>
      </c>
      <c r="Y769" s="2" t="s">
        <v>5523</v>
      </c>
      <c r="AA769" t="str">
        <f t="shared" si="66"/>
        <v>2026-04</v>
      </c>
      <c r="AB769" t="str">
        <f t="shared" si="67"/>
        <v>H1_2026</v>
      </c>
      <c r="AC769">
        <f t="shared" si="68"/>
        <v>559983.5</v>
      </c>
      <c r="AD769">
        <f t="shared" si="69"/>
        <v>50</v>
      </c>
      <c r="AE769">
        <f t="shared" si="70"/>
        <v>259983.5</v>
      </c>
      <c r="AF769" t="str">
        <f t="shared" si="71"/>
        <v>Paid</v>
      </c>
    </row>
    <row r="770" spans="1:32" ht="17.25" thickBot="1" x14ac:dyDescent="0.35">
      <c r="A770" s="2" t="s">
        <v>5546</v>
      </c>
      <c r="B770" s="2" t="s">
        <v>27</v>
      </c>
      <c r="C770" s="2" t="s">
        <v>28</v>
      </c>
      <c r="D770" s="2" t="s">
        <v>97</v>
      </c>
      <c r="E770" s="2" t="s">
        <v>5039</v>
      </c>
      <c r="F770" s="2" t="s">
        <v>99</v>
      </c>
      <c r="G770" s="2" t="s">
        <v>32</v>
      </c>
      <c r="H770" s="1"/>
      <c r="I770" s="2" t="s">
        <v>33</v>
      </c>
      <c r="J770" s="2" t="s">
        <v>34</v>
      </c>
      <c r="K770" s="2" t="s">
        <v>5547</v>
      </c>
      <c r="L770" s="2" t="s">
        <v>5548</v>
      </c>
      <c r="M770" s="2" t="s">
        <v>634</v>
      </c>
      <c r="N770" s="2" t="s">
        <v>38</v>
      </c>
      <c r="O770" s="2" t="s">
        <v>76</v>
      </c>
      <c r="P770" s="2" t="s">
        <v>4588</v>
      </c>
      <c r="Q770" s="2" t="s">
        <v>5549</v>
      </c>
      <c r="R770" s="2" t="s">
        <v>40</v>
      </c>
      <c r="S770" s="2" t="s">
        <v>5550</v>
      </c>
      <c r="T770" s="2" t="s">
        <v>5551</v>
      </c>
      <c r="U770" s="2" t="s">
        <v>5552</v>
      </c>
      <c r="V770" s="2" t="s">
        <v>5553</v>
      </c>
      <c r="W770" s="1"/>
      <c r="X770" s="2" t="s">
        <v>2843</v>
      </c>
      <c r="Y770" s="2" t="s">
        <v>5523</v>
      </c>
      <c r="AA770" t="str">
        <f t="shared" si="66"/>
        <v>2026-04</v>
      </c>
      <c r="AB770" t="str">
        <f t="shared" si="67"/>
        <v>H1_2026</v>
      </c>
      <c r="AC770">
        <f t="shared" si="68"/>
        <v>216012.71</v>
      </c>
      <c r="AD770">
        <f t="shared" si="69"/>
        <v>9</v>
      </c>
      <c r="AE770">
        <f t="shared" si="70"/>
        <v>100542.71</v>
      </c>
      <c r="AF770" t="str">
        <f t="shared" si="71"/>
        <v>Paid</v>
      </c>
    </row>
    <row r="771" spans="1:32" ht="17.25" thickBot="1" x14ac:dyDescent="0.35">
      <c r="A771" s="2" t="s">
        <v>5554</v>
      </c>
      <c r="B771" s="2" t="s">
        <v>27</v>
      </c>
      <c r="C771" s="2" t="s">
        <v>28</v>
      </c>
      <c r="D771" s="2" t="s">
        <v>97</v>
      </c>
      <c r="E771" s="2" t="s">
        <v>5039</v>
      </c>
      <c r="F771" s="2" t="s">
        <v>99</v>
      </c>
      <c r="G771" s="2" t="s">
        <v>32</v>
      </c>
      <c r="H771" s="1"/>
      <c r="I771" s="2" t="s">
        <v>33</v>
      </c>
      <c r="J771" s="2" t="s">
        <v>34</v>
      </c>
      <c r="K771" s="2" t="s">
        <v>5155</v>
      </c>
      <c r="L771" s="2" t="s">
        <v>5156</v>
      </c>
      <c r="M771" s="2" t="s">
        <v>634</v>
      </c>
      <c r="N771" s="2" t="s">
        <v>38</v>
      </c>
      <c r="O771" s="2" t="s">
        <v>1967</v>
      </c>
      <c r="P771" s="2" t="s">
        <v>5157</v>
      </c>
      <c r="Q771" s="2" t="s">
        <v>5158</v>
      </c>
      <c r="R771" s="2" t="s">
        <v>40</v>
      </c>
      <c r="S771" s="2" t="s">
        <v>5159</v>
      </c>
      <c r="T771" s="2" t="s">
        <v>5160</v>
      </c>
      <c r="U771" s="2" t="s">
        <v>5161</v>
      </c>
      <c r="V771" s="2" t="s">
        <v>5162</v>
      </c>
      <c r="W771" s="1"/>
      <c r="X771" s="2" t="s">
        <v>4604</v>
      </c>
      <c r="Y771" s="2" t="s">
        <v>5523</v>
      </c>
      <c r="AA771" t="str">
        <f t="shared" si="66"/>
        <v>2026-04</v>
      </c>
      <c r="AB771" t="str">
        <f t="shared" si="67"/>
        <v>H1_2026</v>
      </c>
      <c r="AC771">
        <f t="shared" si="68"/>
        <v>3793394.98</v>
      </c>
      <c r="AD771">
        <f t="shared" si="69"/>
        <v>237</v>
      </c>
      <c r="AE771">
        <f t="shared" si="70"/>
        <v>1684094.98</v>
      </c>
      <c r="AF771" t="str">
        <f t="shared" si="71"/>
        <v>Paid</v>
      </c>
    </row>
    <row r="772" spans="1:32" ht="17.25" thickBot="1" x14ac:dyDescent="0.35">
      <c r="A772" s="2" t="s">
        <v>800</v>
      </c>
      <c r="B772" s="2" t="s">
        <v>27</v>
      </c>
      <c r="C772" s="2" t="s">
        <v>28</v>
      </c>
      <c r="D772" s="2" t="s">
        <v>97</v>
      </c>
      <c r="E772" s="2" t="s">
        <v>5039</v>
      </c>
      <c r="F772" s="2" t="s">
        <v>99</v>
      </c>
      <c r="G772" s="2" t="s">
        <v>32</v>
      </c>
      <c r="H772" s="1"/>
      <c r="I772" s="2" t="s">
        <v>33</v>
      </c>
      <c r="J772" s="2" t="s">
        <v>34</v>
      </c>
      <c r="K772" s="2" t="s">
        <v>3895</v>
      </c>
      <c r="L772" s="2" t="s">
        <v>3896</v>
      </c>
      <c r="M772" s="2" t="s">
        <v>701</v>
      </c>
      <c r="N772" s="2" t="s">
        <v>38</v>
      </c>
      <c r="O772" s="2" t="s">
        <v>283</v>
      </c>
      <c r="P772" s="2" t="s">
        <v>1687</v>
      </c>
      <c r="Q772" s="2" t="s">
        <v>5555</v>
      </c>
      <c r="R772" s="2" t="s">
        <v>40</v>
      </c>
      <c r="S772" s="2" t="s">
        <v>5556</v>
      </c>
      <c r="T772" s="2" t="s">
        <v>1444</v>
      </c>
      <c r="U772" s="2" t="s">
        <v>5557</v>
      </c>
      <c r="V772" s="2" t="s">
        <v>5558</v>
      </c>
      <c r="W772" s="1"/>
      <c r="X772" s="2" t="s">
        <v>709</v>
      </c>
      <c r="Y772" s="2" t="s">
        <v>5523</v>
      </c>
      <c r="AA772" t="str">
        <f t="shared" ref="AA772:AA835" si="72">LEFT(E772,7)</f>
        <v>2026-04</v>
      </c>
      <c r="AB772" t="str">
        <f t="shared" ref="AB772:AB835" si="73">IF(AND($AA772&gt;="2025-01",$AA772&lt;="2025-06"),"H1_2025",IF(AND($AA772&gt;="2026-01",$AA772&lt;="2026-06"),"H1_2026",""))</f>
        <v>H1_2026</v>
      </c>
      <c r="AC772">
        <f t="shared" ref="AC772:AC835" si="74">IFERROR(VALUE(SUBSTITUTE(S772,",","")),0)</f>
        <v>3963348.12</v>
      </c>
      <c r="AD772">
        <f t="shared" ref="AD772:AD835" si="75">IFERROR(VALUE(SUBSTITUTE(O772,",","")),0)</f>
        <v>610</v>
      </c>
      <c r="AE772">
        <f t="shared" ref="AE772:AE835" si="76">IFERROR(VALUE(SUBSTITUTE(V772,",","")),0)</f>
        <v>632748.12</v>
      </c>
      <c r="AF772" t="str">
        <f t="shared" ref="AF772:AF835" si="77">IF(ISNUMBER(SEARCH("FOC",W772)),"FOC",IF(ISNUMBER(SEARCH("샘플",W772)),"Sample","Paid"))</f>
        <v>Paid</v>
      </c>
    </row>
    <row r="773" spans="1:32" ht="17.25" thickBot="1" x14ac:dyDescent="0.35">
      <c r="A773" s="2" t="s">
        <v>5559</v>
      </c>
      <c r="B773" s="2" t="s">
        <v>27</v>
      </c>
      <c r="C773" s="2" t="s">
        <v>28</v>
      </c>
      <c r="D773" s="2" t="s">
        <v>97</v>
      </c>
      <c r="E773" s="2" t="s">
        <v>5039</v>
      </c>
      <c r="F773" s="2" t="s">
        <v>99</v>
      </c>
      <c r="G773" s="2" t="s">
        <v>32</v>
      </c>
      <c r="H773" s="1"/>
      <c r="I773" s="2" t="s">
        <v>33</v>
      </c>
      <c r="J773" s="2" t="s">
        <v>34</v>
      </c>
      <c r="K773" s="2" t="s">
        <v>3922</v>
      </c>
      <c r="L773" s="2" t="s">
        <v>3923</v>
      </c>
      <c r="M773" s="2" t="s">
        <v>701</v>
      </c>
      <c r="N773" s="2" t="s">
        <v>38</v>
      </c>
      <c r="O773" s="2" t="s">
        <v>2282</v>
      </c>
      <c r="P773" s="2" t="s">
        <v>4567</v>
      </c>
      <c r="Q773" s="2" t="s">
        <v>5560</v>
      </c>
      <c r="R773" s="2" t="s">
        <v>40</v>
      </c>
      <c r="S773" s="2" t="s">
        <v>5561</v>
      </c>
      <c r="T773" s="2" t="s">
        <v>5562</v>
      </c>
      <c r="U773" s="2" t="s">
        <v>5563</v>
      </c>
      <c r="V773" s="2" t="s">
        <v>5564</v>
      </c>
      <c r="W773" s="1"/>
      <c r="X773" s="2" t="s">
        <v>5565</v>
      </c>
      <c r="Y773" s="2" t="s">
        <v>5523</v>
      </c>
      <c r="AA773" t="str">
        <f t="shared" si="72"/>
        <v>2026-04</v>
      </c>
      <c r="AB773" t="str">
        <f t="shared" si="73"/>
        <v>H1_2026</v>
      </c>
      <c r="AC773">
        <f t="shared" si="74"/>
        <v>5573623.3200000003</v>
      </c>
      <c r="AD773">
        <f t="shared" si="75"/>
        <v>619</v>
      </c>
      <c r="AE773">
        <f t="shared" si="76"/>
        <v>2133823.3199999998</v>
      </c>
      <c r="AF773" t="str">
        <f t="shared" si="77"/>
        <v>Paid</v>
      </c>
    </row>
    <row r="774" spans="1:32" ht="17.25" thickBot="1" x14ac:dyDescent="0.35">
      <c r="A774" s="2" t="s">
        <v>5566</v>
      </c>
      <c r="B774" s="2" t="s">
        <v>27</v>
      </c>
      <c r="C774" s="2" t="s">
        <v>28</v>
      </c>
      <c r="D774" s="2" t="s">
        <v>97</v>
      </c>
      <c r="E774" s="2" t="s">
        <v>5039</v>
      </c>
      <c r="F774" s="2" t="s">
        <v>99</v>
      </c>
      <c r="G774" s="2" t="s">
        <v>32</v>
      </c>
      <c r="H774" s="1"/>
      <c r="I774" s="2" t="s">
        <v>33</v>
      </c>
      <c r="J774" s="2" t="s">
        <v>34</v>
      </c>
      <c r="K774" s="2" t="s">
        <v>3930</v>
      </c>
      <c r="L774" s="2" t="s">
        <v>3931</v>
      </c>
      <c r="M774" s="2" t="s">
        <v>701</v>
      </c>
      <c r="N774" s="2" t="s">
        <v>38</v>
      </c>
      <c r="O774" s="2" t="s">
        <v>5567</v>
      </c>
      <c r="P774" s="2" t="s">
        <v>4576</v>
      </c>
      <c r="Q774" s="2" t="s">
        <v>5568</v>
      </c>
      <c r="R774" s="2" t="s">
        <v>40</v>
      </c>
      <c r="S774" s="2" t="s">
        <v>5569</v>
      </c>
      <c r="T774" s="2" t="s">
        <v>3936</v>
      </c>
      <c r="U774" s="2" t="s">
        <v>5570</v>
      </c>
      <c r="V774" s="2" t="s">
        <v>5571</v>
      </c>
      <c r="W774" s="1"/>
      <c r="X774" s="2" t="s">
        <v>709</v>
      </c>
      <c r="Y774" s="2" t="s">
        <v>5523</v>
      </c>
      <c r="AA774" t="str">
        <f t="shared" si="72"/>
        <v>2026-04</v>
      </c>
      <c r="AB774" t="str">
        <f t="shared" si="73"/>
        <v>H1_2026</v>
      </c>
      <c r="AC774">
        <f t="shared" si="74"/>
        <v>20093721.050000001</v>
      </c>
      <c r="AD774">
        <f t="shared" si="75"/>
        <v>1182</v>
      </c>
      <c r="AE774">
        <f t="shared" si="76"/>
        <v>3214761.05</v>
      </c>
      <c r="AF774" t="str">
        <f t="shared" si="77"/>
        <v>Paid</v>
      </c>
    </row>
    <row r="775" spans="1:32" ht="17.25" thickBot="1" x14ac:dyDescent="0.35">
      <c r="A775" s="2" t="s">
        <v>5572</v>
      </c>
      <c r="B775" s="2" t="s">
        <v>27</v>
      </c>
      <c r="C775" s="2" t="s">
        <v>28</v>
      </c>
      <c r="D775" s="2" t="s">
        <v>97</v>
      </c>
      <c r="E775" s="2" t="s">
        <v>5039</v>
      </c>
      <c r="F775" s="2" t="s">
        <v>99</v>
      </c>
      <c r="G775" s="2" t="s">
        <v>32</v>
      </c>
      <c r="H775" s="1"/>
      <c r="I775" s="2" t="s">
        <v>33</v>
      </c>
      <c r="J775" s="2" t="s">
        <v>34</v>
      </c>
      <c r="K775" s="2" t="s">
        <v>730</v>
      </c>
      <c r="L775" s="2" t="s">
        <v>731</v>
      </c>
      <c r="M775" s="2" t="s">
        <v>701</v>
      </c>
      <c r="N775" s="2" t="s">
        <v>38</v>
      </c>
      <c r="O775" s="2" t="s">
        <v>5573</v>
      </c>
      <c r="P775" s="2" t="s">
        <v>1952</v>
      </c>
      <c r="Q775" s="2" t="s">
        <v>5574</v>
      </c>
      <c r="R775" s="2" t="s">
        <v>40</v>
      </c>
      <c r="S775" s="2" t="s">
        <v>5575</v>
      </c>
      <c r="T775" s="2" t="s">
        <v>716</v>
      </c>
      <c r="U775" s="2" t="s">
        <v>5576</v>
      </c>
      <c r="V775" s="2" t="s">
        <v>5577</v>
      </c>
      <c r="W775" s="1"/>
      <c r="X775" s="2" t="s">
        <v>709</v>
      </c>
      <c r="Y775" s="2" t="s">
        <v>5523</v>
      </c>
      <c r="AA775" t="str">
        <f t="shared" si="72"/>
        <v>2026-04</v>
      </c>
      <c r="AB775" t="str">
        <f t="shared" si="73"/>
        <v>H1_2026</v>
      </c>
      <c r="AC775">
        <f t="shared" si="74"/>
        <v>15504912.15</v>
      </c>
      <c r="AD775">
        <f t="shared" si="75"/>
        <v>1292</v>
      </c>
      <c r="AE775">
        <f t="shared" si="76"/>
        <v>2481552.15</v>
      </c>
      <c r="AF775" t="str">
        <f t="shared" si="77"/>
        <v>Paid</v>
      </c>
    </row>
    <row r="776" spans="1:32" ht="17.25" thickBot="1" x14ac:dyDescent="0.35">
      <c r="A776" s="2" t="s">
        <v>5578</v>
      </c>
      <c r="B776" s="2" t="s">
        <v>27</v>
      </c>
      <c r="C776" s="2" t="s">
        <v>28</v>
      </c>
      <c r="D776" s="2" t="s">
        <v>97</v>
      </c>
      <c r="E776" s="2" t="s">
        <v>5039</v>
      </c>
      <c r="F776" s="2" t="s">
        <v>99</v>
      </c>
      <c r="G776" s="2" t="s">
        <v>32</v>
      </c>
      <c r="H776" s="1"/>
      <c r="I776" s="2" t="s">
        <v>33</v>
      </c>
      <c r="J776" s="2" t="s">
        <v>34</v>
      </c>
      <c r="K776" s="2" t="s">
        <v>738</v>
      </c>
      <c r="L776" s="2" t="s">
        <v>739</v>
      </c>
      <c r="M776" s="2" t="s">
        <v>701</v>
      </c>
      <c r="N776" s="2" t="s">
        <v>38</v>
      </c>
      <c r="O776" s="2" t="s">
        <v>4004</v>
      </c>
      <c r="P776" s="2" t="s">
        <v>1952</v>
      </c>
      <c r="Q776" s="2" t="s">
        <v>5579</v>
      </c>
      <c r="R776" s="2" t="s">
        <v>40</v>
      </c>
      <c r="S776" s="2" t="s">
        <v>5580</v>
      </c>
      <c r="T776" s="2" t="s">
        <v>716</v>
      </c>
      <c r="U776" s="2" t="s">
        <v>5581</v>
      </c>
      <c r="V776" s="2" t="s">
        <v>5582</v>
      </c>
      <c r="W776" s="1"/>
      <c r="X776" s="2" t="s">
        <v>709</v>
      </c>
      <c r="Y776" s="2" t="s">
        <v>5523</v>
      </c>
      <c r="AA776" t="str">
        <f t="shared" si="72"/>
        <v>2026-04</v>
      </c>
      <c r="AB776" t="str">
        <f t="shared" si="73"/>
        <v>H1_2026</v>
      </c>
      <c r="AC776">
        <f t="shared" si="74"/>
        <v>6252367.8300000001</v>
      </c>
      <c r="AD776">
        <f t="shared" si="75"/>
        <v>521</v>
      </c>
      <c r="AE776">
        <f t="shared" si="76"/>
        <v>1000687.83</v>
      </c>
      <c r="AF776" t="str">
        <f t="shared" si="77"/>
        <v>Paid</v>
      </c>
    </row>
    <row r="777" spans="1:32" ht="17.25" thickBot="1" x14ac:dyDescent="0.35">
      <c r="A777" s="2" t="s">
        <v>5583</v>
      </c>
      <c r="B777" s="2" t="s">
        <v>27</v>
      </c>
      <c r="C777" s="2" t="s">
        <v>28</v>
      </c>
      <c r="D777" s="2" t="s">
        <v>97</v>
      </c>
      <c r="E777" s="2" t="s">
        <v>5039</v>
      </c>
      <c r="F777" s="2" t="s">
        <v>99</v>
      </c>
      <c r="G777" s="2" t="s">
        <v>32</v>
      </c>
      <c r="H777" s="1"/>
      <c r="I777" s="2" t="s">
        <v>33</v>
      </c>
      <c r="J777" s="2" t="s">
        <v>34</v>
      </c>
      <c r="K777" s="2" t="s">
        <v>3970</v>
      </c>
      <c r="L777" s="2" t="s">
        <v>3971</v>
      </c>
      <c r="M777" s="2" t="s">
        <v>701</v>
      </c>
      <c r="N777" s="2" t="s">
        <v>38</v>
      </c>
      <c r="O777" s="2" t="s">
        <v>1158</v>
      </c>
      <c r="P777" s="2" t="s">
        <v>4567</v>
      </c>
      <c r="Q777" s="2" t="s">
        <v>5584</v>
      </c>
      <c r="R777" s="2" t="s">
        <v>40</v>
      </c>
      <c r="S777" s="2" t="s">
        <v>5585</v>
      </c>
      <c r="T777" s="2" t="s">
        <v>759</v>
      </c>
      <c r="U777" s="2" t="s">
        <v>5586</v>
      </c>
      <c r="V777" s="2" t="s">
        <v>5587</v>
      </c>
      <c r="W777" s="1"/>
      <c r="X777" s="2" t="s">
        <v>709</v>
      </c>
      <c r="Y777" s="2" t="s">
        <v>5523</v>
      </c>
      <c r="AA777" t="str">
        <f t="shared" si="72"/>
        <v>2026-04</v>
      </c>
      <c r="AB777" t="str">
        <f t="shared" si="73"/>
        <v>H1_2026</v>
      </c>
      <c r="AC777">
        <f t="shared" si="74"/>
        <v>1620762.84</v>
      </c>
      <c r="AD777">
        <f t="shared" si="75"/>
        <v>180</v>
      </c>
      <c r="AE777">
        <f t="shared" si="76"/>
        <v>259962.84</v>
      </c>
      <c r="AF777" t="str">
        <f t="shared" si="77"/>
        <v>Paid</v>
      </c>
    </row>
    <row r="778" spans="1:32" ht="17.25" thickBot="1" x14ac:dyDescent="0.35">
      <c r="A778" s="2" t="s">
        <v>5588</v>
      </c>
      <c r="B778" s="2" t="s">
        <v>27</v>
      </c>
      <c r="C778" s="2" t="s">
        <v>28</v>
      </c>
      <c r="D778" s="2" t="s">
        <v>97</v>
      </c>
      <c r="E778" s="2" t="s">
        <v>5039</v>
      </c>
      <c r="F778" s="2" t="s">
        <v>99</v>
      </c>
      <c r="G778" s="2" t="s">
        <v>32</v>
      </c>
      <c r="H778" s="1"/>
      <c r="I778" s="2" t="s">
        <v>33</v>
      </c>
      <c r="J778" s="2" t="s">
        <v>34</v>
      </c>
      <c r="K778" s="2" t="s">
        <v>3978</v>
      </c>
      <c r="L778" s="2" t="s">
        <v>3979</v>
      </c>
      <c r="M778" s="2" t="s">
        <v>701</v>
      </c>
      <c r="N778" s="2" t="s">
        <v>38</v>
      </c>
      <c r="O778" s="2" t="s">
        <v>3018</v>
      </c>
      <c r="P778" s="2" t="s">
        <v>4567</v>
      </c>
      <c r="Q778" s="2" t="s">
        <v>5589</v>
      </c>
      <c r="R778" s="2" t="s">
        <v>40</v>
      </c>
      <c r="S778" s="2" t="s">
        <v>5590</v>
      </c>
      <c r="T778" s="2" t="s">
        <v>759</v>
      </c>
      <c r="U778" s="2" t="s">
        <v>5591</v>
      </c>
      <c r="V778" s="2" t="s">
        <v>5592</v>
      </c>
      <c r="W778" s="1"/>
      <c r="X778" s="2" t="s">
        <v>709</v>
      </c>
      <c r="Y778" s="2" t="s">
        <v>5523</v>
      </c>
      <c r="AA778" t="str">
        <f t="shared" si="72"/>
        <v>2026-04</v>
      </c>
      <c r="AB778" t="str">
        <f t="shared" si="73"/>
        <v>H1_2026</v>
      </c>
      <c r="AC778">
        <f t="shared" si="74"/>
        <v>3268538.39</v>
      </c>
      <c r="AD778">
        <f t="shared" si="75"/>
        <v>363</v>
      </c>
      <c r="AE778">
        <f t="shared" si="76"/>
        <v>524258.39</v>
      </c>
      <c r="AF778" t="str">
        <f t="shared" si="77"/>
        <v>Paid</v>
      </c>
    </row>
    <row r="779" spans="1:32" ht="17.25" thickBot="1" x14ac:dyDescent="0.35">
      <c r="A779" s="2" t="s">
        <v>5593</v>
      </c>
      <c r="B779" s="2" t="s">
        <v>27</v>
      </c>
      <c r="C779" s="2" t="s">
        <v>28</v>
      </c>
      <c r="D779" s="2" t="s">
        <v>97</v>
      </c>
      <c r="E779" s="2" t="s">
        <v>5039</v>
      </c>
      <c r="F779" s="2" t="s">
        <v>99</v>
      </c>
      <c r="G779" s="2" t="s">
        <v>32</v>
      </c>
      <c r="H779" s="1"/>
      <c r="I779" s="2" t="s">
        <v>33</v>
      </c>
      <c r="J779" s="2" t="s">
        <v>34</v>
      </c>
      <c r="K779" s="2" t="s">
        <v>763</v>
      </c>
      <c r="L779" s="2" t="s">
        <v>764</v>
      </c>
      <c r="M779" s="2" t="s">
        <v>701</v>
      </c>
      <c r="N779" s="2" t="s">
        <v>38</v>
      </c>
      <c r="O779" s="2" t="s">
        <v>4236</v>
      </c>
      <c r="P779" s="2" t="s">
        <v>4567</v>
      </c>
      <c r="Q779" s="2" t="s">
        <v>5594</v>
      </c>
      <c r="R779" s="2" t="s">
        <v>40</v>
      </c>
      <c r="S779" s="2" t="s">
        <v>5595</v>
      </c>
      <c r="T779" s="2" t="s">
        <v>759</v>
      </c>
      <c r="U779" s="2" t="s">
        <v>5596</v>
      </c>
      <c r="V779" s="2" t="s">
        <v>5597</v>
      </c>
      <c r="W779" s="1"/>
      <c r="X779" s="2" t="s">
        <v>709</v>
      </c>
      <c r="Y779" s="2" t="s">
        <v>5523</v>
      </c>
      <c r="AA779" t="str">
        <f t="shared" si="72"/>
        <v>2026-04</v>
      </c>
      <c r="AB779" t="str">
        <f t="shared" si="73"/>
        <v>H1_2026</v>
      </c>
      <c r="AC779">
        <f t="shared" si="74"/>
        <v>5015360.57</v>
      </c>
      <c r="AD779">
        <f t="shared" si="75"/>
        <v>557</v>
      </c>
      <c r="AE779">
        <f t="shared" si="76"/>
        <v>804440.57</v>
      </c>
      <c r="AF779" t="str">
        <f t="shared" si="77"/>
        <v>Paid</v>
      </c>
    </row>
    <row r="780" spans="1:32" ht="17.25" thickBot="1" x14ac:dyDescent="0.35">
      <c r="A780" s="2" t="s">
        <v>5598</v>
      </c>
      <c r="B780" s="2" t="s">
        <v>27</v>
      </c>
      <c r="C780" s="2" t="s">
        <v>28</v>
      </c>
      <c r="D780" s="2" t="s">
        <v>97</v>
      </c>
      <c r="E780" s="2" t="s">
        <v>5039</v>
      </c>
      <c r="F780" s="2" t="s">
        <v>99</v>
      </c>
      <c r="G780" s="2" t="s">
        <v>32</v>
      </c>
      <c r="H780" s="1"/>
      <c r="I780" s="2" t="s">
        <v>33</v>
      </c>
      <c r="J780" s="2" t="s">
        <v>34</v>
      </c>
      <c r="K780" s="2" t="s">
        <v>798</v>
      </c>
      <c r="L780" s="2" t="s">
        <v>799</v>
      </c>
      <c r="M780" s="2" t="s">
        <v>772</v>
      </c>
      <c r="N780" s="2" t="s">
        <v>38</v>
      </c>
      <c r="O780" s="2" t="s">
        <v>3374</v>
      </c>
      <c r="P780" s="2" t="s">
        <v>4621</v>
      </c>
      <c r="Q780" s="2" t="s">
        <v>5599</v>
      </c>
      <c r="R780" s="2" t="s">
        <v>40</v>
      </c>
      <c r="S780" s="2" t="s">
        <v>5600</v>
      </c>
      <c r="T780" s="2" t="s">
        <v>287</v>
      </c>
      <c r="U780" s="2" t="s">
        <v>5601</v>
      </c>
      <c r="V780" s="2" t="s">
        <v>5602</v>
      </c>
      <c r="W780" s="1"/>
      <c r="X780" s="2" t="s">
        <v>2781</v>
      </c>
      <c r="Y780" s="2" t="s">
        <v>5523</v>
      </c>
      <c r="AA780" t="str">
        <f t="shared" si="72"/>
        <v>2026-04</v>
      </c>
      <c r="AB780" t="str">
        <f t="shared" si="73"/>
        <v>H1_2026</v>
      </c>
      <c r="AC780">
        <f t="shared" si="74"/>
        <v>3662885.45</v>
      </c>
      <c r="AD780">
        <f t="shared" si="75"/>
        <v>415</v>
      </c>
      <c r="AE780">
        <f t="shared" si="76"/>
        <v>757885.45</v>
      </c>
      <c r="AF780" t="str">
        <f t="shared" si="77"/>
        <v>Paid</v>
      </c>
    </row>
    <row r="781" spans="1:32" ht="17.25" thickBot="1" x14ac:dyDescent="0.35">
      <c r="A781" s="2" t="s">
        <v>5603</v>
      </c>
      <c r="B781" s="2" t="s">
        <v>27</v>
      </c>
      <c r="C781" s="2" t="s">
        <v>28</v>
      </c>
      <c r="D781" s="2" t="s">
        <v>97</v>
      </c>
      <c r="E781" s="2" t="s">
        <v>5039</v>
      </c>
      <c r="F781" s="2" t="s">
        <v>99</v>
      </c>
      <c r="G781" s="2" t="s">
        <v>32</v>
      </c>
      <c r="H781" s="1"/>
      <c r="I781" s="2" t="s">
        <v>33</v>
      </c>
      <c r="J781" s="2" t="s">
        <v>34</v>
      </c>
      <c r="K781" s="2" t="s">
        <v>988</v>
      </c>
      <c r="L781" s="2" t="s">
        <v>989</v>
      </c>
      <c r="M781" s="2" t="s">
        <v>772</v>
      </c>
      <c r="N781" s="2" t="s">
        <v>38</v>
      </c>
      <c r="O781" s="2" t="s">
        <v>2355</v>
      </c>
      <c r="P781" s="2" t="s">
        <v>5278</v>
      </c>
      <c r="Q781" s="2" t="s">
        <v>5604</v>
      </c>
      <c r="R781" s="2" t="s">
        <v>40</v>
      </c>
      <c r="S781" s="2" t="s">
        <v>5605</v>
      </c>
      <c r="T781" s="2" t="s">
        <v>994</v>
      </c>
      <c r="U781" s="2" t="s">
        <v>5606</v>
      </c>
      <c r="V781" s="2" t="s">
        <v>5607</v>
      </c>
      <c r="W781" s="1"/>
      <c r="X781" s="2" t="s">
        <v>3310</v>
      </c>
      <c r="Y781" s="2" t="s">
        <v>5523</v>
      </c>
      <c r="AA781" t="str">
        <f t="shared" si="72"/>
        <v>2026-04</v>
      </c>
      <c r="AB781" t="str">
        <f t="shared" si="73"/>
        <v>H1_2026</v>
      </c>
      <c r="AC781">
        <f t="shared" si="74"/>
        <v>3669634.92</v>
      </c>
      <c r="AD781">
        <f t="shared" si="75"/>
        <v>285</v>
      </c>
      <c r="AE781">
        <f t="shared" si="76"/>
        <v>719884.92</v>
      </c>
      <c r="AF781" t="str">
        <f t="shared" si="77"/>
        <v>Paid</v>
      </c>
    </row>
    <row r="782" spans="1:32" ht="17.25" thickBot="1" x14ac:dyDescent="0.35">
      <c r="A782" s="2" t="s">
        <v>448</v>
      </c>
      <c r="B782" s="2" t="s">
        <v>27</v>
      </c>
      <c r="C782" s="2" t="s">
        <v>28</v>
      </c>
      <c r="D782" s="2" t="s">
        <v>97</v>
      </c>
      <c r="E782" s="2" t="s">
        <v>5039</v>
      </c>
      <c r="F782" s="2" t="s">
        <v>99</v>
      </c>
      <c r="G782" s="2" t="s">
        <v>32</v>
      </c>
      <c r="H782" s="1"/>
      <c r="I782" s="2" t="s">
        <v>33</v>
      </c>
      <c r="J782" s="2" t="s">
        <v>34</v>
      </c>
      <c r="K782" s="2" t="s">
        <v>1026</v>
      </c>
      <c r="L782" s="2" t="s">
        <v>1027</v>
      </c>
      <c r="M782" s="2" t="s">
        <v>772</v>
      </c>
      <c r="N782" s="2" t="s">
        <v>38</v>
      </c>
      <c r="O782" s="2" t="s">
        <v>906</v>
      </c>
      <c r="P782" s="2" t="s">
        <v>4630</v>
      </c>
      <c r="Q782" s="2" t="s">
        <v>5608</v>
      </c>
      <c r="R782" s="2" t="s">
        <v>40</v>
      </c>
      <c r="S782" s="2" t="s">
        <v>5609</v>
      </c>
      <c r="T782" s="2" t="s">
        <v>864</v>
      </c>
      <c r="U782" s="2" t="s">
        <v>5610</v>
      </c>
      <c r="V782" s="2" t="s">
        <v>5611</v>
      </c>
      <c r="W782" s="1"/>
      <c r="X782" s="2" t="s">
        <v>827</v>
      </c>
      <c r="Y782" s="2" t="s">
        <v>5523</v>
      </c>
      <c r="AA782" t="str">
        <f t="shared" si="72"/>
        <v>2026-04</v>
      </c>
      <c r="AB782" t="str">
        <f t="shared" si="73"/>
        <v>H1_2026</v>
      </c>
      <c r="AC782">
        <f t="shared" si="74"/>
        <v>973273.57</v>
      </c>
      <c r="AD782">
        <f t="shared" si="75"/>
        <v>103</v>
      </c>
      <c r="AE782">
        <f t="shared" si="76"/>
        <v>200773.57</v>
      </c>
      <c r="AF782" t="str">
        <f t="shared" si="77"/>
        <v>Paid</v>
      </c>
    </row>
    <row r="783" spans="1:32" ht="17.25" thickBot="1" x14ac:dyDescent="0.35">
      <c r="A783" s="2" t="s">
        <v>5612</v>
      </c>
      <c r="B783" s="2" t="s">
        <v>27</v>
      </c>
      <c r="C783" s="2" t="s">
        <v>28</v>
      </c>
      <c r="D783" s="2" t="s">
        <v>97</v>
      </c>
      <c r="E783" s="2" t="s">
        <v>5039</v>
      </c>
      <c r="F783" s="2" t="s">
        <v>99</v>
      </c>
      <c r="G783" s="2" t="s">
        <v>32</v>
      </c>
      <c r="H783" s="1"/>
      <c r="I783" s="2" t="s">
        <v>33</v>
      </c>
      <c r="J783" s="2" t="s">
        <v>34</v>
      </c>
      <c r="K783" s="2" t="s">
        <v>5307</v>
      </c>
      <c r="L783" s="2" t="s">
        <v>5308</v>
      </c>
      <c r="M783" s="2" t="s">
        <v>772</v>
      </c>
      <c r="N783" s="2" t="s">
        <v>38</v>
      </c>
      <c r="O783" s="2" t="s">
        <v>5613</v>
      </c>
      <c r="P783" s="2" t="s">
        <v>5310</v>
      </c>
      <c r="Q783" s="2" t="s">
        <v>5614</v>
      </c>
      <c r="R783" s="2" t="s">
        <v>40</v>
      </c>
      <c r="S783" s="2" t="s">
        <v>5615</v>
      </c>
      <c r="T783" s="2" t="s">
        <v>952</v>
      </c>
      <c r="U783" s="2" t="s">
        <v>5616</v>
      </c>
      <c r="V783" s="2" t="s">
        <v>5617</v>
      </c>
      <c r="W783" s="1"/>
      <c r="X783" s="2" t="s">
        <v>2000</v>
      </c>
      <c r="Y783" s="2" t="s">
        <v>5523</v>
      </c>
      <c r="AA783" t="str">
        <f t="shared" si="72"/>
        <v>2026-04</v>
      </c>
      <c r="AB783" t="str">
        <f t="shared" si="73"/>
        <v>H1_2026</v>
      </c>
      <c r="AC783">
        <f t="shared" si="74"/>
        <v>22353651.280000001</v>
      </c>
      <c r="AD783">
        <f t="shared" si="75"/>
        <v>1492</v>
      </c>
      <c r="AE783">
        <f t="shared" si="76"/>
        <v>4449651.28</v>
      </c>
      <c r="AF783" t="str">
        <f t="shared" si="77"/>
        <v>Paid</v>
      </c>
    </row>
    <row r="784" spans="1:32" ht="17.25" thickBot="1" x14ac:dyDescent="0.35">
      <c r="A784" s="2" t="s">
        <v>5618</v>
      </c>
      <c r="B784" s="2" t="s">
        <v>27</v>
      </c>
      <c r="C784" s="2" t="s">
        <v>28</v>
      </c>
      <c r="D784" s="2" t="s">
        <v>97</v>
      </c>
      <c r="E784" s="2" t="s">
        <v>5039</v>
      </c>
      <c r="F784" s="2" t="s">
        <v>99</v>
      </c>
      <c r="G784" s="2" t="s">
        <v>32</v>
      </c>
      <c r="H784" s="1"/>
      <c r="I784" s="2" t="s">
        <v>33</v>
      </c>
      <c r="J784" s="2" t="s">
        <v>34</v>
      </c>
      <c r="K784" s="2" t="s">
        <v>1044</v>
      </c>
      <c r="L784" s="2" t="s">
        <v>1045</v>
      </c>
      <c r="M784" s="2" t="s">
        <v>772</v>
      </c>
      <c r="N784" s="2" t="s">
        <v>38</v>
      </c>
      <c r="O784" s="2" t="s">
        <v>3647</v>
      </c>
      <c r="P784" s="2" t="s">
        <v>861</v>
      </c>
      <c r="Q784" s="2" t="s">
        <v>5619</v>
      </c>
      <c r="R784" s="2" t="s">
        <v>40</v>
      </c>
      <c r="S784" s="2" t="s">
        <v>5620</v>
      </c>
      <c r="T784" s="2" t="s">
        <v>864</v>
      </c>
      <c r="U784" s="2" t="s">
        <v>5621</v>
      </c>
      <c r="V784" s="2" t="s">
        <v>5622</v>
      </c>
      <c r="W784" s="1"/>
      <c r="X784" s="2" t="s">
        <v>2104</v>
      </c>
      <c r="Y784" s="2" t="s">
        <v>5523</v>
      </c>
      <c r="AA784" t="str">
        <f t="shared" si="72"/>
        <v>2026-04</v>
      </c>
      <c r="AB784" t="str">
        <f t="shared" si="73"/>
        <v>H1_2026</v>
      </c>
      <c r="AC784">
        <f t="shared" si="74"/>
        <v>4359415.92</v>
      </c>
      <c r="AD784">
        <f t="shared" si="75"/>
        <v>465</v>
      </c>
      <c r="AE784">
        <f t="shared" si="76"/>
        <v>871915.92</v>
      </c>
      <c r="AF784" t="str">
        <f t="shared" si="77"/>
        <v>Paid</v>
      </c>
    </row>
    <row r="785" spans="1:32" ht="17.25" thickBot="1" x14ac:dyDescent="0.35">
      <c r="A785" s="2" t="s">
        <v>5623</v>
      </c>
      <c r="B785" s="2" t="s">
        <v>27</v>
      </c>
      <c r="C785" s="2" t="s">
        <v>28</v>
      </c>
      <c r="D785" s="2" t="s">
        <v>97</v>
      </c>
      <c r="E785" s="2" t="s">
        <v>5039</v>
      </c>
      <c r="F785" s="2" t="s">
        <v>99</v>
      </c>
      <c r="G785" s="2" t="s">
        <v>32</v>
      </c>
      <c r="H785" s="1"/>
      <c r="I785" s="2" t="s">
        <v>33</v>
      </c>
      <c r="J785" s="2" t="s">
        <v>34</v>
      </c>
      <c r="K785" s="2" t="s">
        <v>1065</v>
      </c>
      <c r="L785" s="2" t="s">
        <v>1066</v>
      </c>
      <c r="M785" s="2" t="s">
        <v>772</v>
      </c>
      <c r="N785" s="2" t="s">
        <v>38</v>
      </c>
      <c r="O785" s="2" t="s">
        <v>5624</v>
      </c>
      <c r="P785" s="2" t="s">
        <v>5331</v>
      </c>
      <c r="Q785" s="2" t="s">
        <v>5625</v>
      </c>
      <c r="R785" s="2" t="s">
        <v>40</v>
      </c>
      <c r="S785" s="2" t="s">
        <v>5626</v>
      </c>
      <c r="T785" s="2" t="s">
        <v>864</v>
      </c>
      <c r="U785" s="2" t="s">
        <v>5627</v>
      </c>
      <c r="V785" s="2" t="s">
        <v>5628</v>
      </c>
      <c r="W785" s="1"/>
      <c r="X785" s="2" t="s">
        <v>3310</v>
      </c>
      <c r="Y785" s="2" t="s">
        <v>5523</v>
      </c>
      <c r="AA785" t="str">
        <f t="shared" si="72"/>
        <v>2026-04</v>
      </c>
      <c r="AB785" t="str">
        <f t="shared" si="73"/>
        <v>H1_2026</v>
      </c>
      <c r="AC785">
        <f t="shared" si="74"/>
        <v>8285560.3700000001</v>
      </c>
      <c r="AD785">
        <f t="shared" si="75"/>
        <v>888</v>
      </c>
      <c r="AE785">
        <f t="shared" si="76"/>
        <v>1625560.37</v>
      </c>
      <c r="AF785" t="str">
        <f t="shared" si="77"/>
        <v>Paid</v>
      </c>
    </row>
    <row r="786" spans="1:32" ht="17.25" thickBot="1" x14ac:dyDescent="0.35">
      <c r="A786" s="2" t="s">
        <v>5629</v>
      </c>
      <c r="B786" s="2" t="s">
        <v>27</v>
      </c>
      <c r="C786" s="2" t="s">
        <v>28</v>
      </c>
      <c r="D786" s="2" t="s">
        <v>97</v>
      </c>
      <c r="E786" s="2" t="s">
        <v>5039</v>
      </c>
      <c r="F786" s="2" t="s">
        <v>99</v>
      </c>
      <c r="G786" s="2" t="s">
        <v>32</v>
      </c>
      <c r="H786" s="1"/>
      <c r="I786" s="2" t="s">
        <v>33</v>
      </c>
      <c r="J786" s="2" t="s">
        <v>34</v>
      </c>
      <c r="K786" s="2" t="s">
        <v>5630</v>
      </c>
      <c r="L786" s="2" t="s">
        <v>5631</v>
      </c>
      <c r="M786" s="2" t="s">
        <v>772</v>
      </c>
      <c r="N786" s="2" t="s">
        <v>38</v>
      </c>
      <c r="O786" s="2" t="s">
        <v>1621</v>
      </c>
      <c r="P786" s="2" t="s">
        <v>3199</v>
      </c>
      <c r="Q786" s="2" t="s">
        <v>5632</v>
      </c>
      <c r="R786" s="2" t="s">
        <v>40</v>
      </c>
      <c r="S786" s="2" t="s">
        <v>5633</v>
      </c>
      <c r="T786" s="2" t="s">
        <v>1079</v>
      </c>
      <c r="U786" s="2" t="s">
        <v>5634</v>
      </c>
      <c r="V786" s="2" t="s">
        <v>5635</v>
      </c>
      <c r="W786" s="1"/>
      <c r="X786" s="2" t="s">
        <v>5636</v>
      </c>
      <c r="Y786" s="2" t="s">
        <v>5523</v>
      </c>
      <c r="AA786" t="str">
        <f t="shared" si="72"/>
        <v>2026-04</v>
      </c>
      <c r="AB786" t="str">
        <f t="shared" si="73"/>
        <v>H1_2026</v>
      </c>
      <c r="AC786">
        <f t="shared" si="74"/>
        <v>1802731.52</v>
      </c>
      <c r="AD786">
        <f t="shared" si="75"/>
        <v>189</v>
      </c>
      <c r="AE786">
        <f t="shared" si="76"/>
        <v>349321.52</v>
      </c>
      <c r="AF786" t="str">
        <f t="shared" si="77"/>
        <v>Paid</v>
      </c>
    </row>
    <row r="787" spans="1:32" ht="17.25" thickBot="1" x14ac:dyDescent="0.35">
      <c r="A787" s="2" t="s">
        <v>5637</v>
      </c>
      <c r="B787" s="2" t="s">
        <v>27</v>
      </c>
      <c r="C787" s="2" t="s">
        <v>28</v>
      </c>
      <c r="D787" s="2" t="s">
        <v>97</v>
      </c>
      <c r="E787" s="2" t="s">
        <v>5039</v>
      </c>
      <c r="F787" s="2" t="s">
        <v>99</v>
      </c>
      <c r="G787" s="2" t="s">
        <v>32</v>
      </c>
      <c r="H787" s="1"/>
      <c r="I787" s="2" t="s">
        <v>33</v>
      </c>
      <c r="J787" s="2" t="s">
        <v>34</v>
      </c>
      <c r="K787" s="2" t="s">
        <v>1084</v>
      </c>
      <c r="L787" s="2" t="s">
        <v>1085</v>
      </c>
      <c r="M787" s="2" t="s">
        <v>772</v>
      </c>
      <c r="N787" s="2" t="s">
        <v>38</v>
      </c>
      <c r="O787" s="2" t="s">
        <v>2668</v>
      </c>
      <c r="P787" s="2" t="s">
        <v>5345</v>
      </c>
      <c r="Q787" s="2" t="s">
        <v>5638</v>
      </c>
      <c r="R787" s="2" t="s">
        <v>40</v>
      </c>
      <c r="S787" s="2" t="s">
        <v>5639</v>
      </c>
      <c r="T787" s="2" t="s">
        <v>658</v>
      </c>
      <c r="U787" s="2" t="s">
        <v>5640</v>
      </c>
      <c r="V787" s="2" t="s">
        <v>5641</v>
      </c>
      <c r="W787" s="1"/>
      <c r="X787" s="2" t="s">
        <v>2781</v>
      </c>
      <c r="Y787" s="2" t="s">
        <v>5523</v>
      </c>
      <c r="AA787" t="str">
        <f t="shared" si="72"/>
        <v>2026-04</v>
      </c>
      <c r="AB787" t="str">
        <f t="shared" si="73"/>
        <v>H1_2026</v>
      </c>
      <c r="AC787">
        <f t="shared" si="74"/>
        <v>4021853.42</v>
      </c>
      <c r="AD787">
        <f t="shared" si="75"/>
        <v>322</v>
      </c>
      <c r="AE787">
        <f t="shared" si="76"/>
        <v>834053.42</v>
      </c>
      <c r="AF787" t="str">
        <f t="shared" si="77"/>
        <v>Paid</v>
      </c>
    </row>
    <row r="788" spans="1:32" ht="17.25" thickBot="1" x14ac:dyDescent="0.35">
      <c r="A788" s="2" t="s">
        <v>5642</v>
      </c>
      <c r="B788" s="2" t="s">
        <v>27</v>
      </c>
      <c r="C788" s="2" t="s">
        <v>28</v>
      </c>
      <c r="D788" s="2" t="s">
        <v>97</v>
      </c>
      <c r="E788" s="2" t="s">
        <v>5039</v>
      </c>
      <c r="F788" s="2" t="s">
        <v>99</v>
      </c>
      <c r="G788" s="2" t="s">
        <v>32</v>
      </c>
      <c r="H788" s="1"/>
      <c r="I788" s="2" t="s">
        <v>33</v>
      </c>
      <c r="J788" s="2" t="s">
        <v>34</v>
      </c>
      <c r="K788" s="2" t="s">
        <v>1093</v>
      </c>
      <c r="L788" s="2" t="s">
        <v>1094</v>
      </c>
      <c r="M788" s="2" t="s">
        <v>37</v>
      </c>
      <c r="N788" s="2" t="s">
        <v>38</v>
      </c>
      <c r="O788" s="2" t="s">
        <v>92</v>
      </c>
      <c r="P788" s="2" t="s">
        <v>5351</v>
      </c>
      <c r="Q788" s="2" t="s">
        <v>5643</v>
      </c>
      <c r="R788" s="2" t="s">
        <v>40</v>
      </c>
      <c r="S788" s="2" t="s">
        <v>5644</v>
      </c>
      <c r="T788" s="2" t="s">
        <v>126</v>
      </c>
      <c r="U788" s="2" t="s">
        <v>5645</v>
      </c>
      <c r="V788" s="2" t="s">
        <v>5646</v>
      </c>
      <c r="W788" s="1"/>
      <c r="X788" s="2" t="s">
        <v>1100</v>
      </c>
      <c r="Y788" s="2" t="s">
        <v>5523</v>
      </c>
      <c r="AA788" t="str">
        <f t="shared" si="72"/>
        <v>2026-04</v>
      </c>
      <c r="AB788" t="str">
        <f t="shared" si="73"/>
        <v>H1_2026</v>
      </c>
      <c r="AC788">
        <f t="shared" si="74"/>
        <v>98349.42</v>
      </c>
      <c r="AD788">
        <f t="shared" si="75"/>
        <v>13</v>
      </c>
      <c r="AE788">
        <f t="shared" si="76"/>
        <v>16449.419999999998</v>
      </c>
      <c r="AF788" t="str">
        <f t="shared" si="77"/>
        <v>Paid</v>
      </c>
    </row>
    <row r="789" spans="1:32" ht="17.25" thickBot="1" x14ac:dyDescent="0.35">
      <c r="A789" s="2" t="s">
        <v>5647</v>
      </c>
      <c r="B789" s="2" t="s">
        <v>27</v>
      </c>
      <c r="C789" s="2" t="s">
        <v>28</v>
      </c>
      <c r="D789" s="2" t="s">
        <v>97</v>
      </c>
      <c r="E789" s="2" t="s">
        <v>5039</v>
      </c>
      <c r="F789" s="2" t="s">
        <v>99</v>
      </c>
      <c r="G789" s="2" t="s">
        <v>32</v>
      </c>
      <c r="H789" s="1"/>
      <c r="I789" s="2" t="s">
        <v>33</v>
      </c>
      <c r="J789" s="2" t="s">
        <v>34</v>
      </c>
      <c r="K789" s="2" t="s">
        <v>1102</v>
      </c>
      <c r="L789" s="2" t="s">
        <v>1103</v>
      </c>
      <c r="M789" s="2" t="s">
        <v>37</v>
      </c>
      <c r="N789" s="2" t="s">
        <v>38</v>
      </c>
      <c r="O789" s="2" t="s">
        <v>54</v>
      </c>
      <c r="P789" s="2" t="s">
        <v>3898</v>
      </c>
      <c r="Q789" s="2" t="s">
        <v>5648</v>
      </c>
      <c r="R789" s="2" t="s">
        <v>40</v>
      </c>
      <c r="S789" s="2" t="s">
        <v>5649</v>
      </c>
      <c r="T789" s="2" t="s">
        <v>107</v>
      </c>
      <c r="U789" s="2" t="s">
        <v>5650</v>
      </c>
      <c r="V789" s="2" t="s">
        <v>5651</v>
      </c>
      <c r="W789" s="1"/>
      <c r="X789" s="2" t="s">
        <v>1100</v>
      </c>
      <c r="Y789" s="2" t="s">
        <v>5523</v>
      </c>
      <c r="AA789" t="str">
        <f t="shared" si="72"/>
        <v>2026-04</v>
      </c>
      <c r="AB789" t="str">
        <f t="shared" si="73"/>
        <v>H1_2026</v>
      </c>
      <c r="AC789">
        <f t="shared" si="74"/>
        <v>26879.21</v>
      </c>
      <c r="AD789">
        <f t="shared" si="75"/>
        <v>4</v>
      </c>
      <c r="AE789">
        <f t="shared" si="76"/>
        <v>4479.21</v>
      </c>
      <c r="AF789" t="str">
        <f t="shared" si="77"/>
        <v>Paid</v>
      </c>
    </row>
    <row r="790" spans="1:32" ht="17.25" thickBot="1" x14ac:dyDescent="0.35">
      <c r="A790" s="2" t="s">
        <v>5652</v>
      </c>
      <c r="B790" s="2" t="s">
        <v>27</v>
      </c>
      <c r="C790" s="2" t="s">
        <v>28</v>
      </c>
      <c r="D790" s="2" t="s">
        <v>97</v>
      </c>
      <c r="E790" s="2" t="s">
        <v>5039</v>
      </c>
      <c r="F790" s="2" t="s">
        <v>99</v>
      </c>
      <c r="G790" s="2" t="s">
        <v>32</v>
      </c>
      <c r="H790" s="1"/>
      <c r="I790" s="2" t="s">
        <v>33</v>
      </c>
      <c r="J790" s="2" t="s">
        <v>34</v>
      </c>
      <c r="K790" s="2" t="s">
        <v>1140</v>
      </c>
      <c r="L790" s="2" t="s">
        <v>1141</v>
      </c>
      <c r="M790" s="2" t="s">
        <v>37</v>
      </c>
      <c r="N790" s="2" t="s">
        <v>38</v>
      </c>
      <c r="O790" s="2" t="s">
        <v>203</v>
      </c>
      <c r="P790" s="2" t="s">
        <v>5443</v>
      </c>
      <c r="Q790" s="2" t="s">
        <v>5653</v>
      </c>
      <c r="R790" s="2" t="s">
        <v>40</v>
      </c>
      <c r="S790" s="2" t="s">
        <v>5654</v>
      </c>
      <c r="T790" s="2" t="s">
        <v>1364</v>
      </c>
      <c r="U790" s="2" t="s">
        <v>5655</v>
      </c>
      <c r="V790" s="2" t="s">
        <v>5656</v>
      </c>
      <c r="W790" s="1"/>
      <c r="X790" s="2" t="s">
        <v>1100</v>
      </c>
      <c r="Y790" s="2" t="s">
        <v>5523</v>
      </c>
      <c r="AA790" t="str">
        <f t="shared" si="72"/>
        <v>2026-04</v>
      </c>
      <c r="AB790" t="str">
        <f t="shared" si="73"/>
        <v>H1_2026</v>
      </c>
      <c r="AC790">
        <f t="shared" si="74"/>
        <v>157611.25</v>
      </c>
      <c r="AD790">
        <f t="shared" si="75"/>
        <v>25</v>
      </c>
      <c r="AE790">
        <f t="shared" si="76"/>
        <v>26361.25</v>
      </c>
      <c r="AF790" t="str">
        <f t="shared" si="77"/>
        <v>Paid</v>
      </c>
    </row>
    <row r="791" spans="1:32" ht="17.25" thickBot="1" x14ac:dyDescent="0.35">
      <c r="A791" s="2" t="s">
        <v>5657</v>
      </c>
      <c r="B791" s="2" t="s">
        <v>27</v>
      </c>
      <c r="C791" s="2" t="s">
        <v>28</v>
      </c>
      <c r="D791" s="2" t="s">
        <v>97</v>
      </c>
      <c r="E791" s="2" t="s">
        <v>5039</v>
      </c>
      <c r="F791" s="2" t="s">
        <v>99</v>
      </c>
      <c r="G791" s="2" t="s">
        <v>32</v>
      </c>
      <c r="H791" s="1"/>
      <c r="I791" s="2" t="s">
        <v>33</v>
      </c>
      <c r="J791" s="2" t="s">
        <v>34</v>
      </c>
      <c r="K791" s="2" t="s">
        <v>4657</v>
      </c>
      <c r="L791" s="2" t="s">
        <v>4658</v>
      </c>
      <c r="M791" s="2" t="s">
        <v>37</v>
      </c>
      <c r="N791" s="2" t="s">
        <v>38</v>
      </c>
      <c r="O791" s="2" t="s">
        <v>26</v>
      </c>
      <c r="P791" s="2" t="s">
        <v>5455</v>
      </c>
      <c r="Q791" s="2" t="s">
        <v>5455</v>
      </c>
      <c r="R791" s="2" t="s">
        <v>40</v>
      </c>
      <c r="S791" s="2" t="s">
        <v>5658</v>
      </c>
      <c r="T791" s="2" t="s">
        <v>287</v>
      </c>
      <c r="U791" s="2" t="s">
        <v>287</v>
      </c>
      <c r="V791" s="2" t="s">
        <v>5659</v>
      </c>
      <c r="W791" s="1"/>
      <c r="X791" s="2" t="s">
        <v>3216</v>
      </c>
      <c r="Y791" s="2" t="s">
        <v>5523</v>
      </c>
      <c r="AA791" t="str">
        <f t="shared" si="72"/>
        <v>2026-04</v>
      </c>
      <c r="AB791" t="str">
        <f t="shared" si="73"/>
        <v>H1_2026</v>
      </c>
      <c r="AC791">
        <f t="shared" si="74"/>
        <v>8396.0400000000009</v>
      </c>
      <c r="AD791">
        <f t="shared" si="75"/>
        <v>1</v>
      </c>
      <c r="AE791">
        <f t="shared" si="76"/>
        <v>1396.04</v>
      </c>
      <c r="AF791" t="str">
        <f t="shared" si="77"/>
        <v>Paid</v>
      </c>
    </row>
    <row r="792" spans="1:32" ht="17.25" thickBot="1" x14ac:dyDescent="0.35">
      <c r="A792" s="2" t="s">
        <v>5390</v>
      </c>
      <c r="B792" s="2" t="s">
        <v>27</v>
      </c>
      <c r="C792" s="2" t="s">
        <v>28</v>
      </c>
      <c r="D792" s="2" t="s">
        <v>97</v>
      </c>
      <c r="E792" s="2" t="s">
        <v>5039</v>
      </c>
      <c r="F792" s="2" t="s">
        <v>99</v>
      </c>
      <c r="G792" s="2" t="s">
        <v>32</v>
      </c>
      <c r="H792" s="1"/>
      <c r="I792" s="2" t="s">
        <v>33</v>
      </c>
      <c r="J792" s="2" t="s">
        <v>34</v>
      </c>
      <c r="K792" s="2" t="s">
        <v>5660</v>
      </c>
      <c r="L792" s="2" t="s">
        <v>5661</v>
      </c>
      <c r="M792" s="2" t="s">
        <v>37</v>
      </c>
      <c r="N792" s="2" t="s">
        <v>38</v>
      </c>
      <c r="O792" s="2" t="s">
        <v>710</v>
      </c>
      <c r="P792" s="2" t="s">
        <v>4503</v>
      </c>
      <c r="Q792" s="2" t="s">
        <v>5662</v>
      </c>
      <c r="R792" s="2" t="s">
        <v>40</v>
      </c>
      <c r="S792" s="2" t="s">
        <v>5663</v>
      </c>
      <c r="T792" s="2" t="s">
        <v>706</v>
      </c>
      <c r="U792" s="2" t="s">
        <v>5664</v>
      </c>
      <c r="V792" s="2" t="s">
        <v>5665</v>
      </c>
      <c r="W792" s="1"/>
      <c r="X792" s="2" t="s">
        <v>1100</v>
      </c>
      <c r="Y792" s="2" t="s">
        <v>5523</v>
      </c>
      <c r="AA792" t="str">
        <f t="shared" si="72"/>
        <v>2026-04</v>
      </c>
      <c r="AB792" t="str">
        <f t="shared" si="73"/>
        <v>H1_2026</v>
      </c>
      <c r="AC792">
        <f t="shared" si="74"/>
        <v>827143.84</v>
      </c>
      <c r="AD792">
        <f t="shared" si="75"/>
        <v>82</v>
      </c>
      <c r="AE792">
        <f t="shared" si="76"/>
        <v>138343.84</v>
      </c>
      <c r="AF792" t="str">
        <f t="shared" si="77"/>
        <v>Paid</v>
      </c>
    </row>
    <row r="793" spans="1:32" ht="17.25" thickBot="1" x14ac:dyDescent="0.35">
      <c r="A793" s="2" t="s">
        <v>5666</v>
      </c>
      <c r="B793" s="2" t="s">
        <v>27</v>
      </c>
      <c r="C793" s="2" t="s">
        <v>28</v>
      </c>
      <c r="D793" s="2" t="s">
        <v>97</v>
      </c>
      <c r="E793" s="2" t="s">
        <v>5039</v>
      </c>
      <c r="F793" s="2" t="s">
        <v>99</v>
      </c>
      <c r="G793" s="2" t="s">
        <v>32</v>
      </c>
      <c r="H793" s="1"/>
      <c r="I793" s="2" t="s">
        <v>33</v>
      </c>
      <c r="J793" s="2" t="s">
        <v>34</v>
      </c>
      <c r="K793" s="2" t="s">
        <v>5667</v>
      </c>
      <c r="L793" s="2" t="s">
        <v>5668</v>
      </c>
      <c r="M793" s="2" t="s">
        <v>37</v>
      </c>
      <c r="N793" s="2" t="s">
        <v>38</v>
      </c>
      <c r="O793" s="2" t="s">
        <v>174</v>
      </c>
      <c r="P793" s="2" t="s">
        <v>5669</v>
      </c>
      <c r="Q793" s="2" t="s">
        <v>5670</v>
      </c>
      <c r="R793" s="2" t="s">
        <v>40</v>
      </c>
      <c r="S793" s="2" t="s">
        <v>5671</v>
      </c>
      <c r="T793" s="2" t="s">
        <v>5672</v>
      </c>
      <c r="U793" s="2" t="s">
        <v>5673</v>
      </c>
      <c r="V793" s="2" t="s">
        <v>5674</v>
      </c>
      <c r="W793" s="1"/>
      <c r="X793" s="2" t="s">
        <v>1100</v>
      </c>
      <c r="Y793" s="2" t="s">
        <v>5523</v>
      </c>
      <c r="AA793" t="str">
        <f t="shared" si="72"/>
        <v>2026-04</v>
      </c>
      <c r="AB793" t="str">
        <f t="shared" si="73"/>
        <v>H1_2026</v>
      </c>
      <c r="AC793">
        <f t="shared" si="74"/>
        <v>295671.28999999998</v>
      </c>
      <c r="AD793">
        <f t="shared" si="75"/>
        <v>22</v>
      </c>
      <c r="AE793">
        <f t="shared" si="76"/>
        <v>49271.29</v>
      </c>
      <c r="AF793" t="str">
        <f t="shared" si="77"/>
        <v>Paid</v>
      </c>
    </row>
    <row r="794" spans="1:32" ht="17.25" thickBot="1" x14ac:dyDescent="0.35">
      <c r="A794" s="2" t="s">
        <v>5675</v>
      </c>
      <c r="B794" s="2" t="s">
        <v>27</v>
      </c>
      <c r="C794" s="2" t="s">
        <v>28</v>
      </c>
      <c r="D794" s="2" t="s">
        <v>97</v>
      </c>
      <c r="E794" s="2" t="s">
        <v>5039</v>
      </c>
      <c r="F794" s="2" t="s">
        <v>99</v>
      </c>
      <c r="G794" s="2" t="s">
        <v>32</v>
      </c>
      <c r="H794" s="1"/>
      <c r="I794" s="2" t="s">
        <v>33</v>
      </c>
      <c r="J794" s="2" t="s">
        <v>34</v>
      </c>
      <c r="K794" s="2" t="s">
        <v>5676</v>
      </c>
      <c r="L794" s="2" t="s">
        <v>5677</v>
      </c>
      <c r="M794" s="2" t="s">
        <v>37</v>
      </c>
      <c r="N794" s="2" t="s">
        <v>38</v>
      </c>
      <c r="O794" s="2" t="s">
        <v>1223</v>
      </c>
      <c r="P794" s="2" t="s">
        <v>4317</v>
      </c>
      <c r="Q794" s="2" t="s">
        <v>5678</v>
      </c>
      <c r="R794" s="2" t="s">
        <v>40</v>
      </c>
      <c r="S794" s="2" t="s">
        <v>5679</v>
      </c>
      <c r="T794" s="2" t="s">
        <v>5680</v>
      </c>
      <c r="U794" s="2" t="s">
        <v>5681</v>
      </c>
      <c r="V794" s="2" t="s">
        <v>5682</v>
      </c>
      <c r="W794" s="1"/>
      <c r="X794" s="2" t="s">
        <v>1100</v>
      </c>
      <c r="Y794" s="2" t="s">
        <v>5523</v>
      </c>
      <c r="AA794" t="str">
        <f t="shared" si="72"/>
        <v>2026-04</v>
      </c>
      <c r="AB794" t="str">
        <f t="shared" si="73"/>
        <v>H1_2026</v>
      </c>
      <c r="AC794">
        <f t="shared" si="74"/>
        <v>2013967.68</v>
      </c>
      <c r="AD794">
        <f t="shared" si="75"/>
        <v>137</v>
      </c>
      <c r="AE794">
        <f t="shared" si="76"/>
        <v>335717.68</v>
      </c>
      <c r="AF794" t="str">
        <f t="shared" si="77"/>
        <v>Paid</v>
      </c>
    </row>
    <row r="795" spans="1:32" ht="27.75" thickBot="1" x14ac:dyDescent="0.35">
      <c r="A795" s="2" t="s">
        <v>5683</v>
      </c>
      <c r="B795" s="2" t="s">
        <v>27</v>
      </c>
      <c r="C795" s="2" t="s">
        <v>28</v>
      </c>
      <c r="D795" s="2" t="s">
        <v>97</v>
      </c>
      <c r="E795" s="2" t="s">
        <v>5039</v>
      </c>
      <c r="F795" s="2" t="s">
        <v>99</v>
      </c>
      <c r="G795" s="2" t="s">
        <v>32</v>
      </c>
      <c r="H795" s="1"/>
      <c r="I795" s="2" t="s">
        <v>33</v>
      </c>
      <c r="J795" s="2" t="s">
        <v>34</v>
      </c>
      <c r="K795" s="2" t="s">
        <v>80</v>
      </c>
      <c r="L795" s="2" t="s">
        <v>81</v>
      </c>
      <c r="M795" s="2" t="s">
        <v>37</v>
      </c>
      <c r="N795" s="2" t="s">
        <v>38</v>
      </c>
      <c r="O795" s="2" t="s">
        <v>471</v>
      </c>
      <c r="P795" s="2" t="s">
        <v>4621</v>
      </c>
      <c r="Q795" s="2" t="s">
        <v>5684</v>
      </c>
      <c r="R795" s="2" t="s">
        <v>40</v>
      </c>
      <c r="S795" s="2" t="s">
        <v>5685</v>
      </c>
      <c r="T795" s="2" t="s">
        <v>1399</v>
      </c>
      <c r="U795" s="2" t="s">
        <v>5686</v>
      </c>
      <c r="V795" s="2" t="s">
        <v>5687</v>
      </c>
      <c r="W795" s="1"/>
      <c r="X795" s="2" t="s">
        <v>1100</v>
      </c>
      <c r="Y795" s="2" t="s">
        <v>5523</v>
      </c>
      <c r="AA795" t="str">
        <f t="shared" si="72"/>
        <v>2026-04</v>
      </c>
      <c r="AB795" t="str">
        <f t="shared" si="73"/>
        <v>H1_2026</v>
      </c>
      <c r="AC795">
        <f t="shared" si="74"/>
        <v>485442.65</v>
      </c>
      <c r="AD795">
        <f t="shared" si="75"/>
        <v>55</v>
      </c>
      <c r="AE795">
        <f t="shared" si="76"/>
        <v>81192.649999999994</v>
      </c>
      <c r="AF795" t="str">
        <f t="shared" si="77"/>
        <v>Paid</v>
      </c>
    </row>
    <row r="796" spans="1:32" ht="17.25" thickBot="1" x14ac:dyDescent="0.35">
      <c r="A796" s="2" t="s">
        <v>5688</v>
      </c>
      <c r="B796" s="2" t="s">
        <v>27</v>
      </c>
      <c r="C796" s="2" t="s">
        <v>28</v>
      </c>
      <c r="D796" s="2" t="s">
        <v>97</v>
      </c>
      <c r="E796" s="2" t="s">
        <v>5039</v>
      </c>
      <c r="F796" s="2" t="s">
        <v>99</v>
      </c>
      <c r="G796" s="2" t="s">
        <v>32</v>
      </c>
      <c r="H796" s="1"/>
      <c r="I796" s="2" t="s">
        <v>33</v>
      </c>
      <c r="J796" s="2" t="s">
        <v>34</v>
      </c>
      <c r="K796" s="2" t="s">
        <v>1301</v>
      </c>
      <c r="L796" s="2" t="s">
        <v>1302</v>
      </c>
      <c r="M796" s="2" t="s">
        <v>37</v>
      </c>
      <c r="N796" s="2" t="s">
        <v>38</v>
      </c>
      <c r="O796" s="2" t="s">
        <v>388</v>
      </c>
      <c r="P796" s="2" t="s">
        <v>3898</v>
      </c>
      <c r="Q796" s="2" t="s">
        <v>5689</v>
      </c>
      <c r="R796" s="2" t="s">
        <v>40</v>
      </c>
      <c r="S796" s="2" t="s">
        <v>5690</v>
      </c>
      <c r="T796" s="2" t="s">
        <v>107</v>
      </c>
      <c r="U796" s="2" t="s">
        <v>5691</v>
      </c>
      <c r="V796" s="2" t="s">
        <v>5692</v>
      </c>
      <c r="W796" s="1"/>
      <c r="X796" s="2" t="s">
        <v>1100</v>
      </c>
      <c r="Y796" s="2" t="s">
        <v>5523</v>
      </c>
      <c r="AA796" t="str">
        <f t="shared" si="72"/>
        <v>2026-04</v>
      </c>
      <c r="AB796" t="str">
        <f t="shared" si="73"/>
        <v>H1_2026</v>
      </c>
      <c r="AC796">
        <f t="shared" si="74"/>
        <v>309110.89</v>
      </c>
      <c r="AD796">
        <f t="shared" si="75"/>
        <v>46</v>
      </c>
      <c r="AE796">
        <f t="shared" si="76"/>
        <v>51510.89</v>
      </c>
      <c r="AF796" t="str">
        <f t="shared" si="77"/>
        <v>Paid</v>
      </c>
    </row>
    <row r="797" spans="1:32" ht="17.25" thickBot="1" x14ac:dyDescent="0.35">
      <c r="A797" s="2" t="s">
        <v>5693</v>
      </c>
      <c r="B797" s="2" t="s">
        <v>27</v>
      </c>
      <c r="C797" s="2" t="s">
        <v>28</v>
      </c>
      <c r="D797" s="2" t="s">
        <v>97</v>
      </c>
      <c r="E797" s="2" t="s">
        <v>5039</v>
      </c>
      <c r="F797" s="2" t="s">
        <v>99</v>
      </c>
      <c r="G797" s="2" t="s">
        <v>32</v>
      </c>
      <c r="H797" s="1"/>
      <c r="I797" s="2" t="s">
        <v>33</v>
      </c>
      <c r="J797" s="2" t="s">
        <v>34</v>
      </c>
      <c r="K797" s="2" t="s">
        <v>5694</v>
      </c>
      <c r="L797" s="2" t="s">
        <v>5695</v>
      </c>
      <c r="M797" s="2" t="s">
        <v>37</v>
      </c>
      <c r="N797" s="2" t="s">
        <v>38</v>
      </c>
      <c r="O797" s="2" t="s">
        <v>121</v>
      </c>
      <c r="P797" s="2" t="s">
        <v>3898</v>
      </c>
      <c r="Q797" s="2" t="s">
        <v>5696</v>
      </c>
      <c r="R797" s="2" t="s">
        <v>40</v>
      </c>
      <c r="S797" s="2" t="s">
        <v>5697</v>
      </c>
      <c r="T797" s="2" t="s">
        <v>107</v>
      </c>
      <c r="U797" s="2" t="s">
        <v>5698</v>
      </c>
      <c r="V797" s="2" t="s">
        <v>5699</v>
      </c>
      <c r="W797" s="1"/>
      <c r="X797" s="2" t="s">
        <v>1100</v>
      </c>
      <c r="Y797" s="2" t="s">
        <v>5523</v>
      </c>
      <c r="AA797" t="str">
        <f t="shared" si="72"/>
        <v>2026-04</v>
      </c>
      <c r="AB797" t="str">
        <f t="shared" si="73"/>
        <v>H1_2026</v>
      </c>
      <c r="AC797">
        <f t="shared" si="74"/>
        <v>107516.83</v>
      </c>
      <c r="AD797">
        <f t="shared" si="75"/>
        <v>16</v>
      </c>
      <c r="AE797">
        <f t="shared" si="76"/>
        <v>17916.830000000002</v>
      </c>
      <c r="AF797" t="str">
        <f t="shared" si="77"/>
        <v>Paid</v>
      </c>
    </row>
    <row r="798" spans="1:32" ht="17.25" thickBot="1" x14ac:dyDescent="0.35">
      <c r="A798" s="2" t="s">
        <v>5324</v>
      </c>
      <c r="B798" s="2" t="s">
        <v>27</v>
      </c>
      <c r="C798" s="2" t="s">
        <v>28</v>
      </c>
      <c r="D798" s="2" t="s">
        <v>97</v>
      </c>
      <c r="E798" s="2" t="s">
        <v>5039</v>
      </c>
      <c r="F798" s="2" t="s">
        <v>99</v>
      </c>
      <c r="G798" s="2" t="s">
        <v>32</v>
      </c>
      <c r="H798" s="1"/>
      <c r="I798" s="2" t="s">
        <v>33</v>
      </c>
      <c r="J798" s="2" t="s">
        <v>34</v>
      </c>
      <c r="K798" s="2" t="s">
        <v>5700</v>
      </c>
      <c r="L798" s="2" t="s">
        <v>5701</v>
      </c>
      <c r="M798" s="2" t="s">
        <v>37</v>
      </c>
      <c r="N798" s="2" t="s">
        <v>38</v>
      </c>
      <c r="O798" s="2" t="s">
        <v>252</v>
      </c>
      <c r="P798" s="2" t="s">
        <v>5455</v>
      </c>
      <c r="Q798" s="2" t="s">
        <v>5702</v>
      </c>
      <c r="R798" s="2" t="s">
        <v>40</v>
      </c>
      <c r="S798" s="2" t="s">
        <v>5703</v>
      </c>
      <c r="T798" s="2" t="s">
        <v>287</v>
      </c>
      <c r="U798" s="2" t="s">
        <v>5704</v>
      </c>
      <c r="V798" s="2" t="s">
        <v>5705</v>
      </c>
      <c r="W798" s="1"/>
      <c r="X798" s="2" t="s">
        <v>3216</v>
      </c>
      <c r="Y798" s="2" t="s">
        <v>5523</v>
      </c>
      <c r="AA798" t="str">
        <f t="shared" si="72"/>
        <v>2026-04</v>
      </c>
      <c r="AB798" t="str">
        <f t="shared" si="73"/>
        <v>H1_2026</v>
      </c>
      <c r="AC798">
        <f t="shared" si="74"/>
        <v>268673.40999999997</v>
      </c>
      <c r="AD798">
        <f t="shared" si="75"/>
        <v>32</v>
      </c>
      <c r="AE798">
        <f t="shared" si="76"/>
        <v>44673.41</v>
      </c>
      <c r="AF798" t="str">
        <f t="shared" si="77"/>
        <v>Paid</v>
      </c>
    </row>
    <row r="799" spans="1:32" ht="17.25" thickBot="1" x14ac:dyDescent="0.35">
      <c r="A799" s="2" t="s">
        <v>5706</v>
      </c>
      <c r="B799" s="2" t="s">
        <v>27</v>
      </c>
      <c r="C799" s="2" t="s">
        <v>28</v>
      </c>
      <c r="D799" s="2" t="s">
        <v>97</v>
      </c>
      <c r="E799" s="2" t="s">
        <v>5039</v>
      </c>
      <c r="F799" s="2" t="s">
        <v>99</v>
      </c>
      <c r="G799" s="2" t="s">
        <v>32</v>
      </c>
      <c r="H799" s="1"/>
      <c r="I799" s="2" t="s">
        <v>33</v>
      </c>
      <c r="J799" s="2" t="s">
        <v>34</v>
      </c>
      <c r="K799" s="2" t="s">
        <v>5707</v>
      </c>
      <c r="L799" s="2" t="s">
        <v>5708</v>
      </c>
      <c r="M799" s="2" t="s">
        <v>37</v>
      </c>
      <c r="N799" s="2" t="s">
        <v>38</v>
      </c>
      <c r="O799" s="2" t="s">
        <v>174</v>
      </c>
      <c r="P799" s="2" t="s">
        <v>5455</v>
      </c>
      <c r="Q799" s="2" t="s">
        <v>5709</v>
      </c>
      <c r="R799" s="2" t="s">
        <v>40</v>
      </c>
      <c r="S799" s="2" t="s">
        <v>5710</v>
      </c>
      <c r="T799" s="2" t="s">
        <v>669</v>
      </c>
      <c r="U799" s="2" t="s">
        <v>4842</v>
      </c>
      <c r="V799" s="2" t="s">
        <v>5711</v>
      </c>
      <c r="W799" s="1"/>
      <c r="X799" s="2" t="s">
        <v>997</v>
      </c>
      <c r="Y799" s="2" t="s">
        <v>5523</v>
      </c>
      <c r="AA799" t="str">
        <f t="shared" si="72"/>
        <v>2026-04</v>
      </c>
      <c r="AB799" t="str">
        <f t="shared" si="73"/>
        <v>H1_2026</v>
      </c>
      <c r="AC799">
        <f t="shared" si="74"/>
        <v>184712.97</v>
      </c>
      <c r="AD799">
        <f t="shared" si="75"/>
        <v>22</v>
      </c>
      <c r="AE799">
        <f t="shared" si="76"/>
        <v>52712.97</v>
      </c>
      <c r="AF799" t="str">
        <f t="shared" si="77"/>
        <v>Paid</v>
      </c>
    </row>
    <row r="800" spans="1:32" ht="17.25" thickBot="1" x14ac:dyDescent="0.35">
      <c r="A800" s="2" t="s">
        <v>5712</v>
      </c>
      <c r="B800" s="2" t="s">
        <v>27</v>
      </c>
      <c r="C800" s="2" t="s">
        <v>28</v>
      </c>
      <c r="D800" s="2" t="s">
        <v>97</v>
      </c>
      <c r="E800" s="2" t="s">
        <v>5039</v>
      </c>
      <c r="F800" s="2" t="s">
        <v>99</v>
      </c>
      <c r="G800" s="2" t="s">
        <v>32</v>
      </c>
      <c r="H800" s="1"/>
      <c r="I800" s="2" t="s">
        <v>33</v>
      </c>
      <c r="J800" s="2" t="s">
        <v>34</v>
      </c>
      <c r="K800" s="2" t="s">
        <v>1368</v>
      </c>
      <c r="L800" s="2" t="s">
        <v>1369</v>
      </c>
      <c r="M800" s="2" t="s">
        <v>84</v>
      </c>
      <c r="N800" s="2" t="s">
        <v>38</v>
      </c>
      <c r="O800" s="2" t="s">
        <v>3239</v>
      </c>
      <c r="P800" s="2" t="s">
        <v>5443</v>
      </c>
      <c r="Q800" s="2" t="s">
        <v>5713</v>
      </c>
      <c r="R800" s="2" t="s">
        <v>40</v>
      </c>
      <c r="S800" s="2" t="s">
        <v>5714</v>
      </c>
      <c r="T800" s="2" t="s">
        <v>1354</v>
      </c>
      <c r="U800" s="2" t="s">
        <v>5715</v>
      </c>
      <c r="V800" s="2" t="s">
        <v>5716</v>
      </c>
      <c r="W800" s="1"/>
      <c r="X800" s="2" t="s">
        <v>1375</v>
      </c>
      <c r="Y800" s="2" t="s">
        <v>5523</v>
      </c>
      <c r="AA800" t="str">
        <f t="shared" si="72"/>
        <v>2026-04</v>
      </c>
      <c r="AB800" t="str">
        <f t="shared" si="73"/>
        <v>H1_2026</v>
      </c>
      <c r="AC800">
        <f t="shared" si="74"/>
        <v>2446126.6</v>
      </c>
      <c r="AD800">
        <f t="shared" si="75"/>
        <v>388</v>
      </c>
      <c r="AE800">
        <f t="shared" si="76"/>
        <v>610886.6</v>
      </c>
      <c r="AF800" t="str">
        <f t="shared" si="77"/>
        <v>Paid</v>
      </c>
    </row>
    <row r="801" spans="1:32" ht="17.25" thickBot="1" x14ac:dyDescent="0.35">
      <c r="A801" s="2" t="s">
        <v>5717</v>
      </c>
      <c r="B801" s="2" t="s">
        <v>27</v>
      </c>
      <c r="C801" s="2" t="s">
        <v>28</v>
      </c>
      <c r="D801" s="2" t="s">
        <v>97</v>
      </c>
      <c r="E801" s="2" t="s">
        <v>5039</v>
      </c>
      <c r="F801" s="2" t="s">
        <v>99</v>
      </c>
      <c r="G801" s="2" t="s">
        <v>32</v>
      </c>
      <c r="H801" s="1"/>
      <c r="I801" s="2" t="s">
        <v>33</v>
      </c>
      <c r="J801" s="2" t="s">
        <v>34</v>
      </c>
      <c r="K801" s="2" t="s">
        <v>5453</v>
      </c>
      <c r="L801" s="2" t="s">
        <v>5454</v>
      </c>
      <c r="M801" s="2" t="s">
        <v>84</v>
      </c>
      <c r="N801" s="2" t="s">
        <v>38</v>
      </c>
      <c r="O801" s="2" t="s">
        <v>113</v>
      </c>
      <c r="P801" s="2" t="s">
        <v>5455</v>
      </c>
      <c r="Q801" s="2" t="s">
        <v>5718</v>
      </c>
      <c r="R801" s="2" t="s">
        <v>40</v>
      </c>
      <c r="S801" s="2" t="s">
        <v>5719</v>
      </c>
      <c r="T801" s="2" t="s">
        <v>126</v>
      </c>
      <c r="U801" s="2" t="s">
        <v>1211</v>
      </c>
      <c r="V801" s="2" t="s">
        <v>5720</v>
      </c>
      <c r="W801" s="1"/>
      <c r="X801" s="2" t="s">
        <v>1375</v>
      </c>
      <c r="Y801" s="2" t="s">
        <v>5523</v>
      </c>
      <c r="AA801" t="str">
        <f t="shared" si="72"/>
        <v>2026-04</v>
      </c>
      <c r="AB801" t="str">
        <f t="shared" si="73"/>
        <v>H1_2026</v>
      </c>
      <c r="AC801">
        <f t="shared" si="74"/>
        <v>125940.66</v>
      </c>
      <c r="AD801">
        <f t="shared" si="75"/>
        <v>15</v>
      </c>
      <c r="AE801">
        <f t="shared" si="76"/>
        <v>31440.66</v>
      </c>
      <c r="AF801" t="str">
        <f t="shared" si="77"/>
        <v>Paid</v>
      </c>
    </row>
    <row r="802" spans="1:32" ht="17.25" thickBot="1" x14ac:dyDescent="0.35">
      <c r="A802" s="2" t="s">
        <v>167</v>
      </c>
      <c r="B802" s="2" t="s">
        <v>27</v>
      </c>
      <c r="C802" s="2" t="s">
        <v>28</v>
      </c>
      <c r="D802" s="2" t="s">
        <v>97</v>
      </c>
      <c r="E802" s="2" t="s">
        <v>5039</v>
      </c>
      <c r="F802" s="2" t="s">
        <v>99</v>
      </c>
      <c r="G802" s="2" t="s">
        <v>32</v>
      </c>
      <c r="H802" s="1"/>
      <c r="I802" s="2" t="s">
        <v>33</v>
      </c>
      <c r="J802" s="2" t="s">
        <v>34</v>
      </c>
      <c r="K802" s="2" t="s">
        <v>5721</v>
      </c>
      <c r="L802" s="2" t="s">
        <v>5722</v>
      </c>
      <c r="M802" s="2" t="s">
        <v>84</v>
      </c>
      <c r="N802" s="2" t="s">
        <v>38</v>
      </c>
      <c r="O802" s="2" t="s">
        <v>96</v>
      </c>
      <c r="P802" s="2" t="s">
        <v>5455</v>
      </c>
      <c r="Q802" s="2" t="s">
        <v>5723</v>
      </c>
      <c r="R802" s="2" t="s">
        <v>40</v>
      </c>
      <c r="S802" s="2" t="s">
        <v>5724</v>
      </c>
      <c r="T802" s="2" t="s">
        <v>126</v>
      </c>
      <c r="U802" s="2" t="s">
        <v>3126</v>
      </c>
      <c r="V802" s="2" t="s">
        <v>5725</v>
      </c>
      <c r="W802" s="1"/>
      <c r="X802" s="2" t="s">
        <v>1375</v>
      </c>
      <c r="Y802" s="2" t="s">
        <v>5523</v>
      </c>
      <c r="AA802" t="str">
        <f t="shared" si="72"/>
        <v>2026-04</v>
      </c>
      <c r="AB802" t="str">
        <f t="shared" si="73"/>
        <v>H1_2026</v>
      </c>
      <c r="AC802">
        <f t="shared" si="74"/>
        <v>117544.62</v>
      </c>
      <c r="AD802">
        <f t="shared" si="75"/>
        <v>14</v>
      </c>
      <c r="AE802">
        <f t="shared" si="76"/>
        <v>29344.62</v>
      </c>
      <c r="AF802" t="str">
        <f t="shared" si="77"/>
        <v>Paid</v>
      </c>
    </row>
    <row r="803" spans="1:32" ht="17.25" thickBot="1" x14ac:dyDescent="0.35">
      <c r="A803" s="2" t="s">
        <v>5726</v>
      </c>
      <c r="B803" s="2" t="s">
        <v>27</v>
      </c>
      <c r="C803" s="2" t="s">
        <v>28</v>
      </c>
      <c r="D803" s="2" t="s">
        <v>97</v>
      </c>
      <c r="E803" s="2" t="s">
        <v>5039</v>
      </c>
      <c r="F803" s="2" t="s">
        <v>99</v>
      </c>
      <c r="G803" s="2" t="s">
        <v>32</v>
      </c>
      <c r="H803" s="1"/>
      <c r="I803" s="2" t="s">
        <v>33</v>
      </c>
      <c r="J803" s="2" t="s">
        <v>34</v>
      </c>
      <c r="K803" s="2" t="s">
        <v>1448</v>
      </c>
      <c r="L803" s="2" t="s">
        <v>1449</v>
      </c>
      <c r="M803" s="2" t="s">
        <v>84</v>
      </c>
      <c r="N803" s="2" t="s">
        <v>38</v>
      </c>
      <c r="O803" s="2" t="s">
        <v>2872</v>
      </c>
      <c r="P803" s="2" t="s">
        <v>5489</v>
      </c>
      <c r="Q803" s="2" t="s">
        <v>5727</v>
      </c>
      <c r="R803" s="2" t="s">
        <v>40</v>
      </c>
      <c r="S803" s="2" t="s">
        <v>5728</v>
      </c>
      <c r="T803" s="2" t="s">
        <v>1454</v>
      </c>
      <c r="U803" s="2" t="s">
        <v>5729</v>
      </c>
      <c r="V803" s="2" t="s">
        <v>5730</v>
      </c>
      <c r="W803" s="1"/>
      <c r="X803" s="2" t="s">
        <v>1457</v>
      </c>
      <c r="Y803" s="2" t="s">
        <v>5523</v>
      </c>
      <c r="AA803" t="str">
        <f t="shared" si="72"/>
        <v>2026-04</v>
      </c>
      <c r="AB803" t="str">
        <f t="shared" si="73"/>
        <v>H1_2026</v>
      </c>
      <c r="AC803">
        <f t="shared" si="74"/>
        <v>1642420.48</v>
      </c>
      <c r="AD803">
        <f t="shared" si="75"/>
        <v>346</v>
      </c>
      <c r="AE803">
        <f t="shared" si="76"/>
        <v>407200.48</v>
      </c>
      <c r="AF803" t="str">
        <f t="shared" si="77"/>
        <v>Paid</v>
      </c>
    </row>
    <row r="804" spans="1:32" ht="17.25" thickBot="1" x14ac:dyDescent="0.35">
      <c r="A804" s="2" t="s">
        <v>5731</v>
      </c>
      <c r="B804" s="2" t="s">
        <v>27</v>
      </c>
      <c r="C804" s="2" t="s">
        <v>28</v>
      </c>
      <c r="D804" s="2" t="s">
        <v>97</v>
      </c>
      <c r="E804" s="2" t="s">
        <v>5039</v>
      </c>
      <c r="F804" s="2" t="s">
        <v>99</v>
      </c>
      <c r="G804" s="2" t="s">
        <v>32</v>
      </c>
      <c r="H804" s="1"/>
      <c r="I804" s="2" t="s">
        <v>33</v>
      </c>
      <c r="J804" s="2" t="s">
        <v>34</v>
      </c>
      <c r="K804" s="2" t="s">
        <v>4528</v>
      </c>
      <c r="L804" s="2" t="s">
        <v>4529</v>
      </c>
      <c r="M804" s="2" t="s">
        <v>84</v>
      </c>
      <c r="N804" s="2" t="s">
        <v>38</v>
      </c>
      <c r="O804" s="2" t="s">
        <v>416</v>
      </c>
      <c r="P804" s="2" t="s">
        <v>5502</v>
      </c>
      <c r="Q804" s="2" t="s">
        <v>5732</v>
      </c>
      <c r="R804" s="2" t="s">
        <v>40</v>
      </c>
      <c r="S804" s="2" t="s">
        <v>5733</v>
      </c>
      <c r="T804" s="2" t="s">
        <v>4531</v>
      </c>
      <c r="U804" s="2" t="s">
        <v>5734</v>
      </c>
      <c r="V804" s="2" t="s">
        <v>5735</v>
      </c>
      <c r="W804" s="1"/>
      <c r="X804" s="2" t="s">
        <v>1437</v>
      </c>
      <c r="Y804" s="2" t="s">
        <v>5523</v>
      </c>
      <c r="AA804" t="str">
        <f t="shared" si="72"/>
        <v>2026-04</v>
      </c>
      <c r="AB804" t="str">
        <f t="shared" si="73"/>
        <v>H1_2026</v>
      </c>
      <c r="AC804">
        <f t="shared" si="74"/>
        <v>611294.31000000006</v>
      </c>
      <c r="AD804">
        <f t="shared" si="75"/>
        <v>49</v>
      </c>
      <c r="AE804">
        <f t="shared" si="76"/>
        <v>150694.31</v>
      </c>
      <c r="AF804" t="str">
        <f t="shared" si="77"/>
        <v>Paid</v>
      </c>
    </row>
    <row r="805" spans="1:32" ht="17.25" thickBot="1" x14ac:dyDescent="0.35">
      <c r="A805" s="2" t="s">
        <v>5736</v>
      </c>
      <c r="B805" s="2" t="s">
        <v>27</v>
      </c>
      <c r="C805" s="2" t="s">
        <v>28</v>
      </c>
      <c r="D805" s="2" t="s">
        <v>97</v>
      </c>
      <c r="E805" s="2" t="s">
        <v>5039</v>
      </c>
      <c r="F805" s="2" t="s">
        <v>99</v>
      </c>
      <c r="G805" s="2" t="s">
        <v>32</v>
      </c>
      <c r="H805" s="1"/>
      <c r="I805" s="2" t="s">
        <v>33</v>
      </c>
      <c r="J805" s="2" t="s">
        <v>34</v>
      </c>
      <c r="K805" s="2" t="s">
        <v>1474</v>
      </c>
      <c r="L805" s="2" t="s">
        <v>1475</v>
      </c>
      <c r="M805" s="2" t="s">
        <v>84</v>
      </c>
      <c r="N805" s="2" t="s">
        <v>38</v>
      </c>
      <c r="O805" s="2" t="s">
        <v>96</v>
      </c>
      <c r="P805" s="2" t="s">
        <v>5455</v>
      </c>
      <c r="Q805" s="2" t="s">
        <v>5723</v>
      </c>
      <c r="R805" s="2" t="s">
        <v>40</v>
      </c>
      <c r="S805" s="2" t="s">
        <v>5724</v>
      </c>
      <c r="T805" s="2" t="s">
        <v>126</v>
      </c>
      <c r="U805" s="2" t="s">
        <v>3126</v>
      </c>
      <c r="V805" s="2" t="s">
        <v>5725</v>
      </c>
      <c r="W805" s="1"/>
      <c r="X805" s="2" t="s">
        <v>1375</v>
      </c>
      <c r="Y805" s="2" t="s">
        <v>5523</v>
      </c>
      <c r="AA805" t="str">
        <f t="shared" si="72"/>
        <v>2026-04</v>
      </c>
      <c r="AB805" t="str">
        <f t="shared" si="73"/>
        <v>H1_2026</v>
      </c>
      <c r="AC805">
        <f t="shared" si="74"/>
        <v>117544.62</v>
      </c>
      <c r="AD805">
        <f t="shared" si="75"/>
        <v>14</v>
      </c>
      <c r="AE805">
        <f t="shared" si="76"/>
        <v>29344.62</v>
      </c>
      <c r="AF805" t="str">
        <f t="shared" si="77"/>
        <v>Paid</v>
      </c>
    </row>
    <row r="806" spans="1:32" ht="17.25" thickBot="1" x14ac:dyDescent="0.35">
      <c r="A806" s="2" t="s">
        <v>5737</v>
      </c>
      <c r="B806" s="2" t="s">
        <v>27</v>
      </c>
      <c r="C806" s="2" t="s">
        <v>28</v>
      </c>
      <c r="D806" s="2" t="s">
        <v>97</v>
      </c>
      <c r="E806" s="2" t="s">
        <v>5039</v>
      </c>
      <c r="F806" s="2" t="s">
        <v>99</v>
      </c>
      <c r="G806" s="2" t="s">
        <v>32</v>
      </c>
      <c r="H806" s="1"/>
      <c r="I806" s="2" t="s">
        <v>33</v>
      </c>
      <c r="J806" s="2" t="s">
        <v>34</v>
      </c>
      <c r="K806" s="2" t="s">
        <v>2097</v>
      </c>
      <c r="L806" s="2" t="s">
        <v>2098</v>
      </c>
      <c r="M806" s="2" t="s">
        <v>1887</v>
      </c>
      <c r="N806" s="2" t="s">
        <v>38</v>
      </c>
      <c r="O806" s="2" t="s">
        <v>79</v>
      </c>
      <c r="P806" s="2" t="s">
        <v>4920</v>
      </c>
      <c r="Q806" s="2" t="s">
        <v>5738</v>
      </c>
      <c r="R806" s="2" t="s">
        <v>40</v>
      </c>
      <c r="S806" s="2" t="s">
        <v>5739</v>
      </c>
      <c r="T806" s="2" t="s">
        <v>2101</v>
      </c>
      <c r="U806" s="2" t="s">
        <v>5740</v>
      </c>
      <c r="V806" s="2" t="s">
        <v>5741</v>
      </c>
      <c r="W806" s="1"/>
      <c r="X806" s="2" t="s">
        <v>2104</v>
      </c>
      <c r="Y806" s="2" t="s">
        <v>5742</v>
      </c>
      <c r="AA806" t="str">
        <f t="shared" si="72"/>
        <v>2026-04</v>
      </c>
      <c r="AB806" t="str">
        <f t="shared" si="73"/>
        <v>H1_2026</v>
      </c>
      <c r="AC806">
        <f t="shared" si="74"/>
        <v>89998.02</v>
      </c>
      <c r="AD806">
        <f t="shared" si="75"/>
        <v>10</v>
      </c>
      <c r="AE806">
        <f t="shared" si="76"/>
        <v>17998.02</v>
      </c>
      <c r="AF806" t="str">
        <f t="shared" si="77"/>
        <v>Paid</v>
      </c>
    </row>
    <row r="807" spans="1:32" ht="27.75" thickBot="1" x14ac:dyDescent="0.35">
      <c r="A807" s="2" t="s">
        <v>5743</v>
      </c>
      <c r="B807" s="2" t="s">
        <v>27</v>
      </c>
      <c r="C807" s="2" t="s">
        <v>28</v>
      </c>
      <c r="D807" s="2" t="s">
        <v>97</v>
      </c>
      <c r="E807" s="2" t="s">
        <v>5039</v>
      </c>
      <c r="F807" s="2" t="s">
        <v>99</v>
      </c>
      <c r="G807" s="2" t="s">
        <v>32</v>
      </c>
      <c r="H807" s="1"/>
      <c r="I807" s="2" t="s">
        <v>33</v>
      </c>
      <c r="J807" s="2" t="s">
        <v>34</v>
      </c>
      <c r="K807" s="2" t="s">
        <v>4818</v>
      </c>
      <c r="L807" s="2" t="s">
        <v>4819</v>
      </c>
      <c r="M807" s="2" t="s">
        <v>1887</v>
      </c>
      <c r="N807" s="2" t="s">
        <v>38</v>
      </c>
      <c r="O807" s="2" t="s">
        <v>60</v>
      </c>
      <c r="P807" s="2" t="s">
        <v>4232</v>
      </c>
      <c r="Q807" s="2" t="s">
        <v>5744</v>
      </c>
      <c r="R807" s="2" t="s">
        <v>40</v>
      </c>
      <c r="S807" s="2" t="s">
        <v>5745</v>
      </c>
      <c r="T807" s="2" t="s">
        <v>2079</v>
      </c>
      <c r="U807" s="2" t="s">
        <v>5746</v>
      </c>
      <c r="V807" s="2" t="s">
        <v>5747</v>
      </c>
      <c r="W807" s="1"/>
      <c r="X807" s="2" t="s">
        <v>1357</v>
      </c>
      <c r="Y807" s="2" t="s">
        <v>5742</v>
      </c>
      <c r="AA807" t="str">
        <f t="shared" si="72"/>
        <v>2026-04</v>
      </c>
      <c r="AB807" t="str">
        <f t="shared" si="73"/>
        <v>H1_2026</v>
      </c>
      <c r="AC807">
        <f t="shared" si="74"/>
        <v>68717.7</v>
      </c>
      <c r="AD807">
        <f t="shared" si="75"/>
        <v>6</v>
      </c>
      <c r="AE807">
        <f t="shared" si="76"/>
        <v>17657.7</v>
      </c>
      <c r="AF807" t="str">
        <f t="shared" si="77"/>
        <v>Paid</v>
      </c>
    </row>
    <row r="808" spans="1:32" ht="27.75" thickBot="1" x14ac:dyDescent="0.35">
      <c r="A808" s="2" t="s">
        <v>5748</v>
      </c>
      <c r="B808" s="2" t="s">
        <v>27</v>
      </c>
      <c r="C808" s="2" t="s">
        <v>28</v>
      </c>
      <c r="D808" s="2" t="s">
        <v>97</v>
      </c>
      <c r="E808" s="2" t="s">
        <v>5039</v>
      </c>
      <c r="F808" s="2" t="s">
        <v>99</v>
      </c>
      <c r="G808" s="2" t="s">
        <v>32</v>
      </c>
      <c r="H808" s="1"/>
      <c r="I808" s="2" t="s">
        <v>33</v>
      </c>
      <c r="J808" s="2" t="s">
        <v>34</v>
      </c>
      <c r="K808" s="2" t="s">
        <v>4818</v>
      </c>
      <c r="L808" s="2" t="s">
        <v>4819</v>
      </c>
      <c r="M808" s="2" t="s">
        <v>1887</v>
      </c>
      <c r="N808" s="2" t="s">
        <v>38</v>
      </c>
      <c r="O808" s="2" t="s">
        <v>54</v>
      </c>
      <c r="P808" s="2" t="s">
        <v>4232</v>
      </c>
      <c r="Q808" s="2" t="s">
        <v>5749</v>
      </c>
      <c r="R808" s="2" t="s">
        <v>40</v>
      </c>
      <c r="S808" s="2" t="s">
        <v>5750</v>
      </c>
      <c r="T808" s="2" t="s">
        <v>2079</v>
      </c>
      <c r="U808" s="2" t="s">
        <v>5751</v>
      </c>
      <c r="V808" s="2" t="s">
        <v>5752</v>
      </c>
      <c r="W808" s="1"/>
      <c r="X808" s="2" t="s">
        <v>1357</v>
      </c>
      <c r="Y808" s="2" t="s">
        <v>5742</v>
      </c>
      <c r="AA808" t="str">
        <f t="shared" si="72"/>
        <v>2026-04</v>
      </c>
      <c r="AB808" t="str">
        <f t="shared" si="73"/>
        <v>H1_2026</v>
      </c>
      <c r="AC808">
        <f t="shared" si="74"/>
        <v>45811.8</v>
      </c>
      <c r="AD808">
        <f t="shared" si="75"/>
        <v>4</v>
      </c>
      <c r="AE808">
        <f t="shared" si="76"/>
        <v>11771.8</v>
      </c>
      <c r="AF808" t="str">
        <f t="shared" si="77"/>
        <v>Paid</v>
      </c>
    </row>
    <row r="809" spans="1:32" ht="27.75" thickBot="1" x14ac:dyDescent="0.35">
      <c r="A809" s="2" t="s">
        <v>5753</v>
      </c>
      <c r="B809" s="2" t="s">
        <v>27</v>
      </c>
      <c r="C809" s="2" t="s">
        <v>28</v>
      </c>
      <c r="D809" s="2" t="s">
        <v>97</v>
      </c>
      <c r="E809" s="2" t="s">
        <v>5039</v>
      </c>
      <c r="F809" s="2" t="s">
        <v>99</v>
      </c>
      <c r="G809" s="2" t="s">
        <v>32</v>
      </c>
      <c r="H809" s="1"/>
      <c r="I809" s="2" t="s">
        <v>33</v>
      </c>
      <c r="J809" s="2" t="s">
        <v>34</v>
      </c>
      <c r="K809" s="2" t="s">
        <v>4818</v>
      </c>
      <c r="L809" s="2" t="s">
        <v>4819</v>
      </c>
      <c r="M809" s="2" t="s">
        <v>1887</v>
      </c>
      <c r="N809" s="2" t="s">
        <v>38</v>
      </c>
      <c r="O809" s="2" t="s">
        <v>79</v>
      </c>
      <c r="P809" s="2" t="s">
        <v>4232</v>
      </c>
      <c r="Q809" s="2" t="s">
        <v>5754</v>
      </c>
      <c r="R809" s="2" t="s">
        <v>40</v>
      </c>
      <c r="S809" s="2" t="s">
        <v>5755</v>
      </c>
      <c r="T809" s="2" t="s">
        <v>2079</v>
      </c>
      <c r="U809" s="2" t="s">
        <v>5756</v>
      </c>
      <c r="V809" s="2" t="s">
        <v>5757</v>
      </c>
      <c r="W809" s="1"/>
      <c r="X809" s="2" t="s">
        <v>1357</v>
      </c>
      <c r="Y809" s="2" t="s">
        <v>5742</v>
      </c>
      <c r="AA809" t="str">
        <f t="shared" si="72"/>
        <v>2026-04</v>
      </c>
      <c r="AB809" t="str">
        <f t="shared" si="73"/>
        <v>H1_2026</v>
      </c>
      <c r="AC809">
        <f t="shared" si="74"/>
        <v>114529.5</v>
      </c>
      <c r="AD809">
        <f t="shared" si="75"/>
        <v>10</v>
      </c>
      <c r="AE809">
        <f t="shared" si="76"/>
        <v>29429.5</v>
      </c>
      <c r="AF809" t="str">
        <f t="shared" si="77"/>
        <v>Paid</v>
      </c>
    </row>
    <row r="810" spans="1:32" ht="27.75" thickBot="1" x14ac:dyDescent="0.35">
      <c r="A810" s="2" t="s">
        <v>5758</v>
      </c>
      <c r="B810" s="2" t="s">
        <v>27</v>
      </c>
      <c r="C810" s="2" t="s">
        <v>28</v>
      </c>
      <c r="D810" s="2" t="s">
        <v>97</v>
      </c>
      <c r="E810" s="2" t="s">
        <v>5759</v>
      </c>
      <c r="F810" s="2" t="s">
        <v>99</v>
      </c>
      <c r="G810" s="2" t="s">
        <v>32</v>
      </c>
      <c r="H810" s="1"/>
      <c r="I810" s="2" t="s">
        <v>33</v>
      </c>
      <c r="J810" s="2" t="s">
        <v>34</v>
      </c>
      <c r="K810" s="2" t="s">
        <v>302</v>
      </c>
      <c r="L810" s="2" t="s">
        <v>303</v>
      </c>
      <c r="M810" s="2" t="s">
        <v>304</v>
      </c>
      <c r="N810" s="2" t="s">
        <v>38</v>
      </c>
      <c r="O810" s="2" t="s">
        <v>5760</v>
      </c>
      <c r="P810" s="2" t="s">
        <v>4920</v>
      </c>
      <c r="Q810" s="2" t="s">
        <v>5761</v>
      </c>
      <c r="R810" s="2" t="s">
        <v>40</v>
      </c>
      <c r="S810" s="2" t="s">
        <v>5762</v>
      </c>
      <c r="T810" s="2" t="s">
        <v>5763</v>
      </c>
      <c r="U810" s="2" t="s">
        <v>5764</v>
      </c>
      <c r="V810" s="2" t="s">
        <v>5765</v>
      </c>
      <c r="W810" s="1"/>
      <c r="X810" s="2" t="s">
        <v>5766</v>
      </c>
      <c r="Y810" s="2" t="s">
        <v>5767</v>
      </c>
      <c r="AA810" t="str">
        <f t="shared" si="72"/>
        <v>2026-03</v>
      </c>
      <c r="AB810" t="str">
        <f t="shared" si="73"/>
        <v>H1_2026</v>
      </c>
      <c r="AC810">
        <f t="shared" si="74"/>
        <v>110431071.06999999</v>
      </c>
      <c r="AD810">
        <f t="shared" si="75"/>
        <v>12516</v>
      </c>
      <c r="AE810">
        <f t="shared" si="76"/>
        <v>18886351.07</v>
      </c>
      <c r="AF810" t="str">
        <f t="shared" si="77"/>
        <v>Paid</v>
      </c>
    </row>
    <row r="811" spans="1:32" ht="27.75" thickBot="1" x14ac:dyDescent="0.35">
      <c r="A811" s="2" t="s">
        <v>5768</v>
      </c>
      <c r="B811" s="2" t="s">
        <v>27</v>
      </c>
      <c r="C811" s="2" t="s">
        <v>28</v>
      </c>
      <c r="D811" s="2" t="s">
        <v>97</v>
      </c>
      <c r="E811" s="2" t="s">
        <v>5759</v>
      </c>
      <c r="F811" s="2" t="s">
        <v>99</v>
      </c>
      <c r="G811" s="2" t="s">
        <v>32</v>
      </c>
      <c r="H811" s="1"/>
      <c r="I811" s="2" t="s">
        <v>33</v>
      </c>
      <c r="J811" s="2" t="s">
        <v>34</v>
      </c>
      <c r="K811" s="2" t="s">
        <v>314</v>
      </c>
      <c r="L811" s="2" t="s">
        <v>315</v>
      </c>
      <c r="M811" s="2" t="s">
        <v>304</v>
      </c>
      <c r="N811" s="2" t="s">
        <v>38</v>
      </c>
      <c r="O811" s="2" t="s">
        <v>114</v>
      </c>
      <c r="P811" s="2" t="s">
        <v>756</v>
      </c>
      <c r="Q811" s="2" t="s">
        <v>5769</v>
      </c>
      <c r="R811" s="2" t="s">
        <v>40</v>
      </c>
      <c r="S811" s="2" t="s">
        <v>5770</v>
      </c>
      <c r="T811" s="2" t="s">
        <v>309</v>
      </c>
      <c r="U811" s="2" t="s">
        <v>5771</v>
      </c>
      <c r="V811" s="2" t="s">
        <v>5772</v>
      </c>
      <c r="W811" s="1"/>
      <c r="X811" s="2" t="s">
        <v>4068</v>
      </c>
      <c r="Y811" s="2" t="s">
        <v>5767</v>
      </c>
      <c r="AA811" t="str">
        <f t="shared" si="72"/>
        <v>2026-03</v>
      </c>
      <c r="AB811" t="str">
        <f t="shared" si="73"/>
        <v>H1_2026</v>
      </c>
      <c r="AC811">
        <f t="shared" si="74"/>
        <v>2124520.3199999998</v>
      </c>
      <c r="AD811">
        <f t="shared" si="75"/>
        <v>240</v>
      </c>
      <c r="AE811">
        <f t="shared" si="76"/>
        <v>262120.32000000001</v>
      </c>
      <c r="AF811" t="str">
        <f t="shared" si="77"/>
        <v>Paid</v>
      </c>
    </row>
    <row r="812" spans="1:32" ht="17.25" thickBot="1" x14ac:dyDescent="0.35">
      <c r="A812" s="2" t="s">
        <v>4043</v>
      </c>
      <c r="B812" s="2" t="s">
        <v>27</v>
      </c>
      <c r="C812" s="2" t="s">
        <v>28</v>
      </c>
      <c r="D812" s="2" t="s">
        <v>97</v>
      </c>
      <c r="E812" s="2" t="s">
        <v>5759</v>
      </c>
      <c r="F812" s="2" t="s">
        <v>99</v>
      </c>
      <c r="G812" s="2" t="s">
        <v>32</v>
      </c>
      <c r="H812" s="1"/>
      <c r="I812" s="2" t="s">
        <v>33</v>
      </c>
      <c r="J812" s="2" t="s">
        <v>34</v>
      </c>
      <c r="K812" s="2" t="s">
        <v>324</v>
      </c>
      <c r="L812" s="2" t="s">
        <v>325</v>
      </c>
      <c r="M812" s="2" t="s">
        <v>304</v>
      </c>
      <c r="N812" s="2" t="s">
        <v>38</v>
      </c>
      <c r="O812" s="2" t="s">
        <v>5773</v>
      </c>
      <c r="P812" s="2" t="s">
        <v>5218</v>
      </c>
      <c r="Q812" s="2" t="s">
        <v>5774</v>
      </c>
      <c r="R812" s="2" t="s">
        <v>40</v>
      </c>
      <c r="S812" s="2" t="s">
        <v>5775</v>
      </c>
      <c r="T812" s="2" t="s">
        <v>5776</v>
      </c>
      <c r="U812" s="2" t="s">
        <v>5777</v>
      </c>
      <c r="V812" s="2" t="s">
        <v>5778</v>
      </c>
      <c r="W812" s="1"/>
      <c r="X812" s="2" t="s">
        <v>5779</v>
      </c>
      <c r="Y812" s="2" t="s">
        <v>5767</v>
      </c>
      <c r="AA812" t="str">
        <f t="shared" si="72"/>
        <v>2026-03</v>
      </c>
      <c r="AB812" t="str">
        <f t="shared" si="73"/>
        <v>H1_2026</v>
      </c>
      <c r="AC812">
        <f t="shared" si="74"/>
        <v>91502412.140000001</v>
      </c>
      <c r="AD812">
        <f t="shared" si="75"/>
        <v>7293</v>
      </c>
      <c r="AE812">
        <f t="shared" si="76"/>
        <v>25022412.140000001</v>
      </c>
      <c r="AF812" t="str">
        <f t="shared" si="77"/>
        <v>Paid</v>
      </c>
    </row>
    <row r="813" spans="1:32" ht="27.75" thickBot="1" x14ac:dyDescent="0.35">
      <c r="A813" s="2" t="s">
        <v>5780</v>
      </c>
      <c r="B813" s="2" t="s">
        <v>27</v>
      </c>
      <c r="C813" s="2" t="s">
        <v>28</v>
      </c>
      <c r="D813" s="2" t="s">
        <v>97</v>
      </c>
      <c r="E813" s="2" t="s">
        <v>5759</v>
      </c>
      <c r="F813" s="2" t="s">
        <v>99</v>
      </c>
      <c r="G813" s="2" t="s">
        <v>32</v>
      </c>
      <c r="H813" s="1"/>
      <c r="I813" s="2" t="s">
        <v>33</v>
      </c>
      <c r="J813" s="2" t="s">
        <v>34</v>
      </c>
      <c r="K813" s="2" t="s">
        <v>352</v>
      </c>
      <c r="L813" s="2" t="s">
        <v>353</v>
      </c>
      <c r="M813" s="2" t="s">
        <v>304</v>
      </c>
      <c r="N813" s="2" t="s">
        <v>38</v>
      </c>
      <c r="O813" s="2" t="s">
        <v>1731</v>
      </c>
      <c r="P813" s="2" t="s">
        <v>4920</v>
      </c>
      <c r="Q813" s="2" t="s">
        <v>5781</v>
      </c>
      <c r="R813" s="2" t="s">
        <v>40</v>
      </c>
      <c r="S813" s="2" t="s">
        <v>5782</v>
      </c>
      <c r="T813" s="2" t="s">
        <v>309</v>
      </c>
      <c r="U813" s="2" t="s">
        <v>5783</v>
      </c>
      <c r="V813" s="2" t="s">
        <v>5784</v>
      </c>
      <c r="W813" s="1"/>
      <c r="X813" s="2" t="s">
        <v>398</v>
      </c>
      <c r="Y813" s="2" t="s">
        <v>5767</v>
      </c>
      <c r="AA813" t="str">
        <f t="shared" si="72"/>
        <v>2026-03</v>
      </c>
      <c r="AB813" t="str">
        <f t="shared" si="73"/>
        <v>H1_2026</v>
      </c>
      <c r="AC813">
        <f t="shared" si="74"/>
        <v>1826400.74</v>
      </c>
      <c r="AD813">
        <f t="shared" si="75"/>
        <v>207</v>
      </c>
      <c r="AE813">
        <f t="shared" si="76"/>
        <v>220080.74</v>
      </c>
      <c r="AF813" t="str">
        <f t="shared" si="77"/>
        <v>Paid</v>
      </c>
    </row>
    <row r="814" spans="1:32" ht="17.25" thickBot="1" x14ac:dyDescent="0.35">
      <c r="A814" s="2" t="s">
        <v>5785</v>
      </c>
      <c r="B814" s="2" t="s">
        <v>27</v>
      </c>
      <c r="C814" s="2" t="s">
        <v>28</v>
      </c>
      <c r="D814" s="2" t="s">
        <v>97</v>
      </c>
      <c r="E814" s="2" t="s">
        <v>5759</v>
      </c>
      <c r="F814" s="2" t="s">
        <v>99</v>
      </c>
      <c r="G814" s="2" t="s">
        <v>32</v>
      </c>
      <c r="H814" s="1"/>
      <c r="I814" s="2" t="s">
        <v>33</v>
      </c>
      <c r="J814" s="2" t="s">
        <v>34</v>
      </c>
      <c r="K814" s="2" t="s">
        <v>5786</v>
      </c>
      <c r="L814" s="2" t="s">
        <v>5787</v>
      </c>
      <c r="M814" s="2" t="s">
        <v>304</v>
      </c>
      <c r="N814" s="2" t="s">
        <v>38</v>
      </c>
      <c r="O814" s="2" t="s">
        <v>174</v>
      </c>
      <c r="P814" s="2" t="s">
        <v>5788</v>
      </c>
      <c r="Q814" s="2" t="s">
        <v>5789</v>
      </c>
      <c r="R814" s="2" t="s">
        <v>40</v>
      </c>
      <c r="S814" s="2" t="s">
        <v>5790</v>
      </c>
      <c r="T814" s="2" t="s">
        <v>374</v>
      </c>
      <c r="U814" s="2" t="s">
        <v>5791</v>
      </c>
      <c r="V814" s="2" t="s">
        <v>5792</v>
      </c>
      <c r="W814" s="1"/>
      <c r="X814" s="2" t="s">
        <v>4068</v>
      </c>
      <c r="Y814" s="2" t="s">
        <v>5767</v>
      </c>
      <c r="AA814" t="str">
        <f t="shared" si="72"/>
        <v>2026-03</v>
      </c>
      <c r="AB814" t="str">
        <f t="shared" si="73"/>
        <v>H1_2026</v>
      </c>
      <c r="AC814">
        <f t="shared" si="74"/>
        <v>291643.44</v>
      </c>
      <c r="AD814">
        <f t="shared" si="75"/>
        <v>22</v>
      </c>
      <c r="AE814">
        <f t="shared" si="76"/>
        <v>35783.440000000002</v>
      </c>
      <c r="AF814" t="str">
        <f t="shared" si="77"/>
        <v>Paid</v>
      </c>
    </row>
    <row r="815" spans="1:32" ht="27.75" thickBot="1" x14ac:dyDescent="0.35">
      <c r="A815" s="2" t="s">
        <v>5793</v>
      </c>
      <c r="B815" s="2" t="s">
        <v>27</v>
      </c>
      <c r="C815" s="2" t="s">
        <v>28</v>
      </c>
      <c r="D815" s="2" t="s">
        <v>97</v>
      </c>
      <c r="E815" s="2" t="s">
        <v>5759</v>
      </c>
      <c r="F815" s="2" t="s">
        <v>99</v>
      </c>
      <c r="G815" s="2" t="s">
        <v>32</v>
      </c>
      <c r="H815" s="1"/>
      <c r="I815" s="2" t="s">
        <v>33</v>
      </c>
      <c r="J815" s="2" t="s">
        <v>34</v>
      </c>
      <c r="K815" s="2" t="s">
        <v>436</v>
      </c>
      <c r="L815" s="2" t="s">
        <v>437</v>
      </c>
      <c r="M815" s="2" t="s">
        <v>304</v>
      </c>
      <c r="N815" s="2" t="s">
        <v>38</v>
      </c>
      <c r="O815" s="2" t="s">
        <v>3347</v>
      </c>
      <c r="P815" s="2" t="s">
        <v>5794</v>
      </c>
      <c r="Q815" s="2" t="s">
        <v>5795</v>
      </c>
      <c r="R815" s="2" t="s">
        <v>40</v>
      </c>
      <c r="S815" s="2" t="s">
        <v>5796</v>
      </c>
      <c r="T815" s="2" t="s">
        <v>422</v>
      </c>
      <c r="U815" s="2" t="s">
        <v>5797</v>
      </c>
      <c r="V815" s="2" t="s">
        <v>5798</v>
      </c>
      <c r="W815" s="1"/>
      <c r="X815" s="2" t="s">
        <v>322</v>
      </c>
      <c r="Y815" s="2" t="s">
        <v>5767</v>
      </c>
      <c r="AA815" t="str">
        <f t="shared" si="72"/>
        <v>2026-03</v>
      </c>
      <c r="AB815" t="str">
        <f t="shared" si="73"/>
        <v>H1_2026</v>
      </c>
      <c r="AC815">
        <f t="shared" si="74"/>
        <v>5680570.9400000004</v>
      </c>
      <c r="AD815">
        <f t="shared" si="75"/>
        <v>408</v>
      </c>
      <c r="AE815">
        <f t="shared" si="76"/>
        <v>707050.94</v>
      </c>
      <c r="AF815" t="str">
        <f t="shared" si="77"/>
        <v>Paid</v>
      </c>
    </row>
    <row r="816" spans="1:32" ht="27.75" thickBot="1" x14ac:dyDescent="0.35">
      <c r="A816" s="2" t="s">
        <v>5799</v>
      </c>
      <c r="B816" s="2" t="s">
        <v>27</v>
      </c>
      <c r="C816" s="2" t="s">
        <v>28</v>
      </c>
      <c r="D816" s="2" t="s">
        <v>97</v>
      </c>
      <c r="E816" s="2" t="s">
        <v>5759</v>
      </c>
      <c r="F816" s="2" t="s">
        <v>99</v>
      </c>
      <c r="G816" s="2" t="s">
        <v>32</v>
      </c>
      <c r="H816" s="1"/>
      <c r="I816" s="2" t="s">
        <v>33</v>
      </c>
      <c r="J816" s="2" t="s">
        <v>34</v>
      </c>
      <c r="K816" s="2" t="s">
        <v>491</v>
      </c>
      <c r="L816" s="2" t="s">
        <v>492</v>
      </c>
      <c r="M816" s="2" t="s">
        <v>304</v>
      </c>
      <c r="N816" s="2" t="s">
        <v>38</v>
      </c>
      <c r="O816" s="2" t="s">
        <v>4860</v>
      </c>
      <c r="P816" s="2" t="s">
        <v>5800</v>
      </c>
      <c r="Q816" s="2" t="s">
        <v>5801</v>
      </c>
      <c r="R816" s="2" t="s">
        <v>40</v>
      </c>
      <c r="S816" s="2" t="s">
        <v>5802</v>
      </c>
      <c r="T816" s="2" t="s">
        <v>497</v>
      </c>
      <c r="U816" s="2" t="s">
        <v>5803</v>
      </c>
      <c r="V816" s="2" t="s">
        <v>5804</v>
      </c>
      <c r="W816" s="1"/>
      <c r="X816" s="2" t="s">
        <v>387</v>
      </c>
      <c r="Y816" s="2" t="s">
        <v>5767</v>
      </c>
      <c r="AA816" t="str">
        <f t="shared" si="72"/>
        <v>2026-03</v>
      </c>
      <c r="AB816" t="str">
        <f t="shared" si="73"/>
        <v>H1_2026</v>
      </c>
      <c r="AC816">
        <f t="shared" si="74"/>
        <v>11421774.17</v>
      </c>
      <c r="AD816">
        <f t="shared" si="75"/>
        <v>651</v>
      </c>
      <c r="AE816">
        <f t="shared" si="76"/>
        <v>1324764.17</v>
      </c>
      <c r="AF816" t="str">
        <f t="shared" si="77"/>
        <v>Paid</v>
      </c>
    </row>
    <row r="817" spans="1:32" ht="27.75" thickBot="1" x14ac:dyDescent="0.35">
      <c r="A817" s="2" t="s">
        <v>5805</v>
      </c>
      <c r="B817" s="2" t="s">
        <v>27</v>
      </c>
      <c r="C817" s="2" t="s">
        <v>28</v>
      </c>
      <c r="D817" s="2" t="s">
        <v>97</v>
      </c>
      <c r="E817" s="2" t="s">
        <v>5759</v>
      </c>
      <c r="F817" s="2" t="s">
        <v>99</v>
      </c>
      <c r="G817" s="2" t="s">
        <v>32</v>
      </c>
      <c r="H817" s="1"/>
      <c r="I817" s="2" t="s">
        <v>33</v>
      </c>
      <c r="J817" s="2" t="s">
        <v>34</v>
      </c>
      <c r="K817" s="2" t="s">
        <v>534</v>
      </c>
      <c r="L817" s="2" t="s">
        <v>535</v>
      </c>
      <c r="M817" s="2" t="s">
        <v>304</v>
      </c>
      <c r="N817" s="2" t="s">
        <v>38</v>
      </c>
      <c r="O817" s="2" t="s">
        <v>4127</v>
      </c>
      <c r="P817" s="2" t="s">
        <v>5794</v>
      </c>
      <c r="Q817" s="2" t="s">
        <v>5806</v>
      </c>
      <c r="R817" s="2" t="s">
        <v>40</v>
      </c>
      <c r="S817" s="2" t="s">
        <v>5807</v>
      </c>
      <c r="T817" s="2" t="s">
        <v>422</v>
      </c>
      <c r="U817" s="2" t="s">
        <v>5808</v>
      </c>
      <c r="V817" s="2" t="s">
        <v>5809</v>
      </c>
      <c r="W817" s="1"/>
      <c r="X817" s="2" t="s">
        <v>322</v>
      </c>
      <c r="Y817" s="2" t="s">
        <v>5767</v>
      </c>
      <c r="AA817" t="str">
        <f t="shared" si="72"/>
        <v>2026-03</v>
      </c>
      <c r="AB817" t="str">
        <f t="shared" si="73"/>
        <v>H1_2026</v>
      </c>
      <c r="AC817">
        <f t="shared" si="74"/>
        <v>7546248.6600000001</v>
      </c>
      <c r="AD817">
        <f t="shared" si="75"/>
        <v>542</v>
      </c>
      <c r="AE817">
        <f t="shared" si="76"/>
        <v>939268.66</v>
      </c>
      <c r="AF817" t="str">
        <f t="shared" si="77"/>
        <v>Paid</v>
      </c>
    </row>
    <row r="818" spans="1:32" ht="17.25" thickBot="1" x14ac:dyDescent="0.35">
      <c r="A818" s="2" t="s">
        <v>5810</v>
      </c>
      <c r="B818" s="2" t="s">
        <v>27</v>
      </c>
      <c r="C818" s="2" t="s">
        <v>28</v>
      </c>
      <c r="D818" s="2" t="s">
        <v>97</v>
      </c>
      <c r="E818" s="2" t="s">
        <v>5759</v>
      </c>
      <c r="F818" s="2" t="s">
        <v>99</v>
      </c>
      <c r="G818" s="2" t="s">
        <v>32</v>
      </c>
      <c r="H818" s="1"/>
      <c r="I818" s="2" t="s">
        <v>33</v>
      </c>
      <c r="J818" s="2" t="s">
        <v>34</v>
      </c>
      <c r="K818" s="2" t="s">
        <v>550</v>
      </c>
      <c r="L818" s="2" t="s">
        <v>551</v>
      </c>
      <c r="M818" s="2" t="s">
        <v>304</v>
      </c>
      <c r="N818" s="2" t="s">
        <v>38</v>
      </c>
      <c r="O818" s="2" t="s">
        <v>3859</v>
      </c>
      <c r="P818" s="2" t="s">
        <v>5811</v>
      </c>
      <c r="Q818" s="2" t="s">
        <v>5812</v>
      </c>
      <c r="R818" s="2" t="s">
        <v>40</v>
      </c>
      <c r="S818" s="2" t="s">
        <v>5813</v>
      </c>
      <c r="T818" s="2" t="s">
        <v>347</v>
      </c>
      <c r="U818" s="2" t="s">
        <v>5814</v>
      </c>
      <c r="V818" s="2" t="s">
        <v>5815</v>
      </c>
      <c r="W818" s="1"/>
      <c r="X818" s="2" t="s">
        <v>489</v>
      </c>
      <c r="Y818" s="2" t="s">
        <v>5767</v>
      </c>
      <c r="AA818" t="str">
        <f t="shared" si="72"/>
        <v>2026-03</v>
      </c>
      <c r="AB818" t="str">
        <f t="shared" si="73"/>
        <v>H1_2026</v>
      </c>
      <c r="AC818">
        <f t="shared" si="74"/>
        <v>5662359.5300000003</v>
      </c>
      <c r="AD818">
        <f t="shared" si="75"/>
        <v>503</v>
      </c>
      <c r="AE818">
        <f t="shared" si="76"/>
        <v>647449.53</v>
      </c>
      <c r="AF818" t="str">
        <f t="shared" si="77"/>
        <v>Paid</v>
      </c>
    </row>
    <row r="819" spans="1:32" ht="27.75" thickBot="1" x14ac:dyDescent="0.35">
      <c r="A819" s="2" t="s">
        <v>5816</v>
      </c>
      <c r="B819" s="2" t="s">
        <v>27</v>
      </c>
      <c r="C819" s="2" t="s">
        <v>28</v>
      </c>
      <c r="D819" s="2" t="s">
        <v>97</v>
      </c>
      <c r="E819" s="2" t="s">
        <v>5759</v>
      </c>
      <c r="F819" s="2" t="s">
        <v>99</v>
      </c>
      <c r="G819" s="2" t="s">
        <v>32</v>
      </c>
      <c r="H819" s="1"/>
      <c r="I819" s="2" t="s">
        <v>33</v>
      </c>
      <c r="J819" s="2" t="s">
        <v>34</v>
      </c>
      <c r="K819" s="2" t="s">
        <v>1885</v>
      </c>
      <c r="L819" s="2" t="s">
        <v>1886</v>
      </c>
      <c r="M819" s="2" t="s">
        <v>1887</v>
      </c>
      <c r="N819" s="2" t="s">
        <v>38</v>
      </c>
      <c r="O819" s="2" t="s">
        <v>114</v>
      </c>
      <c r="P819" s="2" t="s">
        <v>5817</v>
      </c>
      <c r="Q819" s="2" t="s">
        <v>5818</v>
      </c>
      <c r="R819" s="2" t="s">
        <v>40</v>
      </c>
      <c r="S819" s="2" t="s">
        <v>5819</v>
      </c>
      <c r="T819" s="2" t="s">
        <v>1890</v>
      </c>
      <c r="U819" s="2" t="s">
        <v>5820</v>
      </c>
      <c r="V819" s="2" t="s">
        <v>5821</v>
      </c>
      <c r="W819" s="1"/>
      <c r="X819" s="2" t="s">
        <v>2020</v>
      </c>
      <c r="Y819" s="2" t="s">
        <v>5822</v>
      </c>
      <c r="AA819" t="str">
        <f t="shared" si="72"/>
        <v>2026-03</v>
      </c>
      <c r="AB819" t="str">
        <f t="shared" si="73"/>
        <v>H1_2026</v>
      </c>
      <c r="AC819">
        <f t="shared" si="74"/>
        <v>2158327.44</v>
      </c>
      <c r="AD819">
        <f t="shared" si="75"/>
        <v>240</v>
      </c>
      <c r="AE819">
        <f t="shared" si="76"/>
        <v>559927.43999999994</v>
      </c>
      <c r="AF819" t="str">
        <f t="shared" si="77"/>
        <v>Paid</v>
      </c>
    </row>
    <row r="820" spans="1:32" ht="17.25" thickBot="1" x14ac:dyDescent="0.35">
      <c r="A820" s="2" t="s">
        <v>5823</v>
      </c>
      <c r="B820" s="2" t="s">
        <v>27</v>
      </c>
      <c r="C820" s="2" t="s">
        <v>28</v>
      </c>
      <c r="D820" s="2" t="s">
        <v>97</v>
      </c>
      <c r="E820" s="2" t="s">
        <v>5759</v>
      </c>
      <c r="F820" s="2" t="s">
        <v>99</v>
      </c>
      <c r="G820" s="2" t="s">
        <v>32</v>
      </c>
      <c r="H820" s="1"/>
      <c r="I820" s="2" t="s">
        <v>33</v>
      </c>
      <c r="J820" s="2" t="s">
        <v>34</v>
      </c>
      <c r="K820" s="2" t="s">
        <v>1896</v>
      </c>
      <c r="L820" s="2" t="s">
        <v>1897</v>
      </c>
      <c r="M820" s="2" t="s">
        <v>1887</v>
      </c>
      <c r="N820" s="2" t="s">
        <v>38</v>
      </c>
      <c r="O820" s="2" t="s">
        <v>5824</v>
      </c>
      <c r="P820" s="2" t="s">
        <v>5825</v>
      </c>
      <c r="Q820" s="2" t="s">
        <v>5826</v>
      </c>
      <c r="R820" s="2" t="s">
        <v>40</v>
      </c>
      <c r="S820" s="2" t="s">
        <v>5827</v>
      </c>
      <c r="T820" s="2" t="s">
        <v>1901</v>
      </c>
      <c r="U820" s="2" t="s">
        <v>5828</v>
      </c>
      <c r="V820" s="2" t="s">
        <v>5829</v>
      </c>
      <c r="W820" s="1"/>
      <c r="X820" s="2" t="s">
        <v>2020</v>
      </c>
      <c r="Y820" s="2" t="s">
        <v>5822</v>
      </c>
      <c r="AA820" t="str">
        <f t="shared" si="72"/>
        <v>2026-03</v>
      </c>
      <c r="AB820" t="str">
        <f t="shared" si="73"/>
        <v>H1_2026</v>
      </c>
      <c r="AC820">
        <f t="shared" si="74"/>
        <v>25090982.699999999</v>
      </c>
      <c r="AD820">
        <f t="shared" si="75"/>
        <v>5075</v>
      </c>
      <c r="AE820">
        <f t="shared" si="76"/>
        <v>6501257.7000000002</v>
      </c>
      <c r="AF820" t="str">
        <f t="shared" si="77"/>
        <v>Paid</v>
      </c>
    </row>
    <row r="821" spans="1:32" ht="27.75" thickBot="1" x14ac:dyDescent="0.35">
      <c r="A821" s="2" t="s">
        <v>5830</v>
      </c>
      <c r="B821" s="2" t="s">
        <v>27</v>
      </c>
      <c r="C821" s="2" t="s">
        <v>28</v>
      </c>
      <c r="D821" s="2" t="s">
        <v>97</v>
      </c>
      <c r="E821" s="2" t="s">
        <v>5759</v>
      </c>
      <c r="F821" s="2" t="s">
        <v>99</v>
      </c>
      <c r="G821" s="2" t="s">
        <v>32</v>
      </c>
      <c r="H821" s="1"/>
      <c r="I821" s="2" t="s">
        <v>33</v>
      </c>
      <c r="J821" s="2" t="s">
        <v>34</v>
      </c>
      <c r="K821" s="2" t="s">
        <v>5831</v>
      </c>
      <c r="L821" s="2" t="s">
        <v>5832</v>
      </c>
      <c r="M821" s="2" t="s">
        <v>1887</v>
      </c>
      <c r="N821" s="2" t="s">
        <v>38</v>
      </c>
      <c r="O821" s="2" t="s">
        <v>474</v>
      </c>
      <c r="P821" s="2" t="s">
        <v>5833</v>
      </c>
      <c r="Q821" s="2" t="s">
        <v>5834</v>
      </c>
      <c r="R821" s="2" t="s">
        <v>40</v>
      </c>
      <c r="S821" s="2" t="s">
        <v>5835</v>
      </c>
      <c r="T821" s="2" t="s">
        <v>1908</v>
      </c>
      <c r="U821" s="2" t="s">
        <v>5836</v>
      </c>
      <c r="V821" s="2" t="s">
        <v>5837</v>
      </c>
      <c r="W821" s="1"/>
      <c r="X821" s="2" t="s">
        <v>1073</v>
      </c>
      <c r="Y821" s="2" t="s">
        <v>5822</v>
      </c>
      <c r="AA821" t="str">
        <f t="shared" si="72"/>
        <v>2026-03</v>
      </c>
      <c r="AB821" t="str">
        <f t="shared" si="73"/>
        <v>H1_2026</v>
      </c>
      <c r="AC821">
        <f t="shared" si="74"/>
        <v>2537654.34</v>
      </c>
      <c r="AD821">
        <f t="shared" si="75"/>
        <v>390</v>
      </c>
      <c r="AE821">
        <f t="shared" si="76"/>
        <v>661754.34</v>
      </c>
      <c r="AF821" t="str">
        <f t="shared" si="77"/>
        <v>Paid</v>
      </c>
    </row>
    <row r="822" spans="1:32" ht="27.75" thickBot="1" x14ac:dyDescent="0.35">
      <c r="A822" s="2" t="s">
        <v>552</v>
      </c>
      <c r="B822" s="2" t="s">
        <v>27</v>
      </c>
      <c r="C822" s="2" t="s">
        <v>28</v>
      </c>
      <c r="D822" s="2" t="s">
        <v>97</v>
      </c>
      <c r="E822" s="2" t="s">
        <v>5759</v>
      </c>
      <c r="F822" s="2" t="s">
        <v>99</v>
      </c>
      <c r="G822" s="2" t="s">
        <v>32</v>
      </c>
      <c r="H822" s="1"/>
      <c r="I822" s="2" t="s">
        <v>33</v>
      </c>
      <c r="J822" s="2" t="s">
        <v>34</v>
      </c>
      <c r="K822" s="2" t="s">
        <v>4983</v>
      </c>
      <c r="L822" s="2" t="s">
        <v>4984</v>
      </c>
      <c r="M822" s="2" t="s">
        <v>1887</v>
      </c>
      <c r="N822" s="2" t="s">
        <v>38</v>
      </c>
      <c r="O822" s="2" t="s">
        <v>1488</v>
      </c>
      <c r="P822" s="2" t="s">
        <v>4508</v>
      </c>
      <c r="Q822" s="2" t="s">
        <v>5838</v>
      </c>
      <c r="R822" s="2" t="s">
        <v>40</v>
      </c>
      <c r="S822" s="2" t="s">
        <v>5839</v>
      </c>
      <c r="T822" s="2" t="s">
        <v>1908</v>
      </c>
      <c r="U822" s="2" t="s">
        <v>5840</v>
      </c>
      <c r="V822" s="2" t="s">
        <v>5841</v>
      </c>
      <c r="W822" s="1"/>
      <c r="X822" s="2" t="s">
        <v>1472</v>
      </c>
      <c r="Y822" s="2" t="s">
        <v>5822</v>
      </c>
      <c r="AA822" t="str">
        <f t="shared" si="72"/>
        <v>2026-03</v>
      </c>
      <c r="AB822" t="str">
        <f t="shared" si="73"/>
        <v>H1_2026</v>
      </c>
      <c r="AC822">
        <f t="shared" si="74"/>
        <v>1064502.1000000001</v>
      </c>
      <c r="AD822">
        <f t="shared" si="75"/>
        <v>168</v>
      </c>
      <c r="AE822">
        <f t="shared" si="76"/>
        <v>256422.1</v>
      </c>
      <c r="AF822" t="str">
        <f t="shared" si="77"/>
        <v>Paid</v>
      </c>
    </row>
    <row r="823" spans="1:32" ht="27.75" thickBot="1" x14ac:dyDescent="0.35">
      <c r="A823" s="2" t="s">
        <v>5842</v>
      </c>
      <c r="B823" s="2" t="s">
        <v>27</v>
      </c>
      <c r="C823" s="2" t="s">
        <v>28</v>
      </c>
      <c r="D823" s="2" t="s">
        <v>97</v>
      </c>
      <c r="E823" s="2" t="s">
        <v>5759</v>
      </c>
      <c r="F823" s="2" t="s">
        <v>99</v>
      </c>
      <c r="G823" s="2" t="s">
        <v>32</v>
      </c>
      <c r="H823" s="1"/>
      <c r="I823" s="2" t="s">
        <v>33</v>
      </c>
      <c r="J823" s="2" t="s">
        <v>34</v>
      </c>
      <c r="K823" s="2" t="s">
        <v>5843</v>
      </c>
      <c r="L823" s="2" t="s">
        <v>5844</v>
      </c>
      <c r="M823" s="2" t="s">
        <v>1887</v>
      </c>
      <c r="N823" s="2" t="s">
        <v>38</v>
      </c>
      <c r="O823" s="2" t="s">
        <v>1181</v>
      </c>
      <c r="P823" s="2" t="s">
        <v>5845</v>
      </c>
      <c r="Q823" s="2" t="s">
        <v>5846</v>
      </c>
      <c r="R823" s="2" t="s">
        <v>40</v>
      </c>
      <c r="S823" s="2" t="s">
        <v>5847</v>
      </c>
      <c r="T823" s="2" t="s">
        <v>1927</v>
      </c>
      <c r="U823" s="2" t="s">
        <v>5848</v>
      </c>
      <c r="V823" s="2" t="s">
        <v>5849</v>
      </c>
      <c r="W823" s="1"/>
      <c r="X823" s="2" t="s">
        <v>1893</v>
      </c>
      <c r="Y823" s="2" t="s">
        <v>5822</v>
      </c>
      <c r="AA823" t="str">
        <f t="shared" si="72"/>
        <v>2026-03</v>
      </c>
      <c r="AB823" t="str">
        <f t="shared" si="73"/>
        <v>H1_2026</v>
      </c>
      <c r="AC823">
        <f t="shared" si="74"/>
        <v>1254591.76</v>
      </c>
      <c r="AD823">
        <f t="shared" si="75"/>
        <v>132</v>
      </c>
      <c r="AE823">
        <f t="shared" si="76"/>
        <v>326631.76</v>
      </c>
      <c r="AF823" t="str">
        <f t="shared" si="77"/>
        <v>Paid</v>
      </c>
    </row>
    <row r="824" spans="1:32" ht="17.25" thickBot="1" x14ac:dyDescent="0.35">
      <c r="A824" s="2" t="s">
        <v>4764</v>
      </c>
      <c r="B824" s="2" t="s">
        <v>27</v>
      </c>
      <c r="C824" s="2" t="s">
        <v>28</v>
      </c>
      <c r="D824" s="2" t="s">
        <v>97</v>
      </c>
      <c r="E824" s="2" t="s">
        <v>5759</v>
      </c>
      <c r="F824" s="2" t="s">
        <v>99</v>
      </c>
      <c r="G824" s="2" t="s">
        <v>32</v>
      </c>
      <c r="H824" s="1"/>
      <c r="I824" s="2" t="s">
        <v>33</v>
      </c>
      <c r="J824" s="2" t="s">
        <v>34</v>
      </c>
      <c r="K824" s="2" t="s">
        <v>5850</v>
      </c>
      <c r="L824" s="2" t="s">
        <v>5851</v>
      </c>
      <c r="M824" s="2" t="s">
        <v>1887</v>
      </c>
      <c r="N824" s="2" t="s">
        <v>38</v>
      </c>
      <c r="O824" s="2" t="s">
        <v>1951</v>
      </c>
      <c r="P824" s="2" t="s">
        <v>5852</v>
      </c>
      <c r="Q824" s="2" t="s">
        <v>5853</v>
      </c>
      <c r="R824" s="2" t="s">
        <v>40</v>
      </c>
      <c r="S824" s="2" t="s">
        <v>5854</v>
      </c>
      <c r="T824" s="2" t="s">
        <v>1982</v>
      </c>
      <c r="U824" s="2" t="s">
        <v>5855</v>
      </c>
      <c r="V824" s="2" t="s">
        <v>5856</v>
      </c>
      <c r="W824" s="1"/>
      <c r="X824" s="2" t="s">
        <v>2020</v>
      </c>
      <c r="Y824" s="2" t="s">
        <v>5822</v>
      </c>
      <c r="AA824" t="str">
        <f t="shared" si="72"/>
        <v>2026-03</v>
      </c>
      <c r="AB824" t="str">
        <f t="shared" si="73"/>
        <v>H1_2026</v>
      </c>
      <c r="AC824">
        <f t="shared" si="74"/>
        <v>3776220.6</v>
      </c>
      <c r="AD824">
        <f t="shared" si="75"/>
        <v>600</v>
      </c>
      <c r="AE824">
        <f t="shared" si="76"/>
        <v>979020.6</v>
      </c>
      <c r="AF824" t="str">
        <f t="shared" si="77"/>
        <v>Paid</v>
      </c>
    </row>
    <row r="825" spans="1:32" ht="17.25" thickBot="1" x14ac:dyDescent="0.35">
      <c r="A825" s="2" t="s">
        <v>5857</v>
      </c>
      <c r="B825" s="2" t="s">
        <v>27</v>
      </c>
      <c r="C825" s="2" t="s">
        <v>28</v>
      </c>
      <c r="D825" s="2" t="s">
        <v>97</v>
      </c>
      <c r="E825" s="2" t="s">
        <v>5759</v>
      </c>
      <c r="F825" s="2" t="s">
        <v>99</v>
      </c>
      <c r="G825" s="2" t="s">
        <v>32</v>
      </c>
      <c r="H825" s="1"/>
      <c r="I825" s="2" t="s">
        <v>33</v>
      </c>
      <c r="J825" s="2" t="s">
        <v>34</v>
      </c>
      <c r="K825" s="2" t="s">
        <v>4936</v>
      </c>
      <c r="L825" s="2" t="s">
        <v>4937</v>
      </c>
      <c r="M825" s="2" t="s">
        <v>1887</v>
      </c>
      <c r="N825" s="2" t="s">
        <v>38</v>
      </c>
      <c r="O825" s="2" t="s">
        <v>665</v>
      </c>
      <c r="P825" s="2" t="s">
        <v>5858</v>
      </c>
      <c r="Q825" s="2" t="s">
        <v>5859</v>
      </c>
      <c r="R825" s="2" t="s">
        <v>40</v>
      </c>
      <c r="S825" s="2" t="s">
        <v>5860</v>
      </c>
      <c r="T825" s="2" t="s">
        <v>4940</v>
      </c>
      <c r="U825" s="2" t="s">
        <v>5861</v>
      </c>
      <c r="V825" s="2" t="s">
        <v>5862</v>
      </c>
      <c r="W825" s="1"/>
      <c r="X825" s="2" t="s">
        <v>1893</v>
      </c>
      <c r="Y825" s="2" t="s">
        <v>5822</v>
      </c>
      <c r="AA825" t="str">
        <f t="shared" si="72"/>
        <v>2026-03</v>
      </c>
      <c r="AB825" t="str">
        <f t="shared" si="73"/>
        <v>H1_2026</v>
      </c>
      <c r="AC825">
        <f t="shared" si="74"/>
        <v>2467329.69</v>
      </c>
      <c r="AD825">
        <f t="shared" si="75"/>
        <v>210</v>
      </c>
      <c r="AE825">
        <f t="shared" si="76"/>
        <v>641379.68999999994</v>
      </c>
      <c r="AF825" t="str">
        <f t="shared" si="77"/>
        <v>Paid</v>
      </c>
    </row>
    <row r="826" spans="1:32" ht="27.75" thickBot="1" x14ac:dyDescent="0.35">
      <c r="A826" s="2" t="s">
        <v>5863</v>
      </c>
      <c r="B826" s="2" t="s">
        <v>27</v>
      </c>
      <c r="C826" s="2" t="s">
        <v>28</v>
      </c>
      <c r="D826" s="2" t="s">
        <v>97</v>
      </c>
      <c r="E826" s="2" t="s">
        <v>5759</v>
      </c>
      <c r="F826" s="2" t="s">
        <v>99</v>
      </c>
      <c r="G826" s="2" t="s">
        <v>32</v>
      </c>
      <c r="H826" s="1"/>
      <c r="I826" s="2" t="s">
        <v>33</v>
      </c>
      <c r="J826" s="2" t="s">
        <v>34</v>
      </c>
      <c r="K826" s="2" t="s">
        <v>5864</v>
      </c>
      <c r="L826" s="2" t="s">
        <v>5865</v>
      </c>
      <c r="M826" s="2" t="s">
        <v>1887</v>
      </c>
      <c r="N826" s="2" t="s">
        <v>38</v>
      </c>
      <c r="O826" s="2" t="s">
        <v>2096</v>
      </c>
      <c r="P826" s="2" t="s">
        <v>1952</v>
      </c>
      <c r="Q826" s="2" t="s">
        <v>5866</v>
      </c>
      <c r="R826" s="2" t="s">
        <v>40</v>
      </c>
      <c r="S826" s="2" t="s">
        <v>5867</v>
      </c>
      <c r="T826" s="2" t="s">
        <v>2079</v>
      </c>
      <c r="U826" s="2" t="s">
        <v>5868</v>
      </c>
      <c r="V826" s="2" t="s">
        <v>5869</v>
      </c>
      <c r="W826" s="1"/>
      <c r="X826" s="2" t="s">
        <v>1893</v>
      </c>
      <c r="Y826" s="2" t="s">
        <v>5822</v>
      </c>
      <c r="AA826" t="str">
        <f t="shared" si="72"/>
        <v>2026-03</v>
      </c>
      <c r="AB826" t="str">
        <f t="shared" si="73"/>
        <v>H1_2026</v>
      </c>
      <c r="AC826">
        <f t="shared" si="74"/>
        <v>2896352.68</v>
      </c>
      <c r="AD826">
        <f t="shared" si="75"/>
        <v>252</v>
      </c>
      <c r="AE826">
        <f t="shared" si="76"/>
        <v>751832.68</v>
      </c>
      <c r="AF826" t="str">
        <f t="shared" si="77"/>
        <v>Paid</v>
      </c>
    </row>
    <row r="827" spans="1:32" ht="27.75" thickBot="1" x14ac:dyDescent="0.35">
      <c r="A827" s="2" t="s">
        <v>5870</v>
      </c>
      <c r="B827" s="2" t="s">
        <v>27</v>
      </c>
      <c r="C827" s="2" t="s">
        <v>28</v>
      </c>
      <c r="D827" s="2" t="s">
        <v>97</v>
      </c>
      <c r="E827" s="2" t="s">
        <v>5759</v>
      </c>
      <c r="F827" s="2" t="s">
        <v>99</v>
      </c>
      <c r="G827" s="2" t="s">
        <v>32</v>
      </c>
      <c r="H827" s="1"/>
      <c r="I827" s="2" t="s">
        <v>33</v>
      </c>
      <c r="J827" s="2" t="s">
        <v>34</v>
      </c>
      <c r="K827" s="2" t="s">
        <v>5011</v>
      </c>
      <c r="L827" s="2" t="s">
        <v>5012</v>
      </c>
      <c r="M827" s="2" t="s">
        <v>1887</v>
      </c>
      <c r="N827" s="2" t="s">
        <v>38</v>
      </c>
      <c r="O827" s="2" t="s">
        <v>665</v>
      </c>
      <c r="P827" s="2" t="s">
        <v>2572</v>
      </c>
      <c r="Q827" s="2" t="s">
        <v>5871</v>
      </c>
      <c r="R827" s="2" t="s">
        <v>40</v>
      </c>
      <c r="S827" s="2" t="s">
        <v>5872</v>
      </c>
      <c r="T827" s="2" t="s">
        <v>1955</v>
      </c>
      <c r="U827" s="2" t="s">
        <v>5873</v>
      </c>
      <c r="V827" s="2" t="s">
        <v>5874</v>
      </c>
      <c r="W827" s="1"/>
      <c r="X827" s="2" t="s">
        <v>1472</v>
      </c>
      <c r="Y827" s="2" t="s">
        <v>5822</v>
      </c>
      <c r="AA827" t="str">
        <f t="shared" si="72"/>
        <v>2026-03</v>
      </c>
      <c r="AB827" t="str">
        <f t="shared" si="73"/>
        <v>H1_2026</v>
      </c>
      <c r="AC827">
        <f t="shared" si="74"/>
        <v>2458379.2799999998</v>
      </c>
      <c r="AD827">
        <f t="shared" si="75"/>
        <v>210</v>
      </c>
      <c r="AE827">
        <f t="shared" si="76"/>
        <v>593579.28</v>
      </c>
      <c r="AF827" t="str">
        <f t="shared" si="77"/>
        <v>Paid</v>
      </c>
    </row>
    <row r="828" spans="1:32" ht="17.25" thickBot="1" x14ac:dyDescent="0.35">
      <c r="A828" s="2" t="s">
        <v>5875</v>
      </c>
      <c r="B828" s="2" t="s">
        <v>27</v>
      </c>
      <c r="C828" s="2" t="s">
        <v>28</v>
      </c>
      <c r="D828" s="2" t="s">
        <v>97</v>
      </c>
      <c r="E828" s="2" t="s">
        <v>5759</v>
      </c>
      <c r="F828" s="2" t="s">
        <v>99</v>
      </c>
      <c r="G828" s="2" t="s">
        <v>32</v>
      </c>
      <c r="H828" s="1"/>
      <c r="I828" s="2" t="s">
        <v>33</v>
      </c>
      <c r="J828" s="2" t="s">
        <v>34</v>
      </c>
      <c r="K828" s="2" t="s">
        <v>2029</v>
      </c>
      <c r="L828" s="2" t="s">
        <v>2030</v>
      </c>
      <c r="M828" s="2" t="s">
        <v>1887</v>
      </c>
      <c r="N828" s="2" t="s">
        <v>38</v>
      </c>
      <c r="O828" s="2" t="s">
        <v>114</v>
      </c>
      <c r="P828" s="2" t="s">
        <v>5876</v>
      </c>
      <c r="Q828" s="2" t="s">
        <v>5877</v>
      </c>
      <c r="R828" s="2" t="s">
        <v>40</v>
      </c>
      <c r="S828" s="2" t="s">
        <v>5878</v>
      </c>
      <c r="T828" s="2" t="s">
        <v>2018</v>
      </c>
      <c r="U828" s="2" t="s">
        <v>5879</v>
      </c>
      <c r="V828" s="2" t="s">
        <v>5880</v>
      </c>
      <c r="W828" s="1"/>
      <c r="X828" s="2" t="s">
        <v>1472</v>
      </c>
      <c r="Y828" s="2" t="s">
        <v>5822</v>
      </c>
      <c r="AA828" t="str">
        <f t="shared" si="72"/>
        <v>2026-03</v>
      </c>
      <c r="AB828" t="str">
        <f t="shared" si="73"/>
        <v>H1_2026</v>
      </c>
      <c r="AC828">
        <f t="shared" si="74"/>
        <v>1755985.2</v>
      </c>
      <c r="AD828">
        <f t="shared" si="75"/>
        <v>240</v>
      </c>
      <c r="AE828">
        <f t="shared" si="76"/>
        <v>423985.2</v>
      </c>
      <c r="AF828" t="str">
        <f t="shared" si="77"/>
        <v>Paid</v>
      </c>
    </row>
    <row r="829" spans="1:32" ht="17.25" thickBot="1" x14ac:dyDescent="0.35">
      <c r="A829" s="2" t="s">
        <v>5881</v>
      </c>
      <c r="B829" s="2" t="s">
        <v>27</v>
      </c>
      <c r="C829" s="2" t="s">
        <v>28</v>
      </c>
      <c r="D829" s="2" t="s">
        <v>97</v>
      </c>
      <c r="E829" s="2" t="s">
        <v>5759</v>
      </c>
      <c r="F829" s="2" t="s">
        <v>99</v>
      </c>
      <c r="G829" s="2" t="s">
        <v>32</v>
      </c>
      <c r="H829" s="1"/>
      <c r="I829" s="2" t="s">
        <v>33</v>
      </c>
      <c r="J829" s="2" t="s">
        <v>34</v>
      </c>
      <c r="K829" s="2" t="s">
        <v>4955</v>
      </c>
      <c r="L829" s="2" t="s">
        <v>4956</v>
      </c>
      <c r="M829" s="2" t="s">
        <v>1887</v>
      </c>
      <c r="N829" s="2" t="s">
        <v>38</v>
      </c>
      <c r="O829" s="2" t="s">
        <v>517</v>
      </c>
      <c r="P829" s="2" t="s">
        <v>5882</v>
      </c>
      <c r="Q829" s="2" t="s">
        <v>5883</v>
      </c>
      <c r="R829" s="2" t="s">
        <v>40</v>
      </c>
      <c r="S829" s="2" t="s">
        <v>5884</v>
      </c>
      <c r="T829" s="2" t="s">
        <v>1927</v>
      </c>
      <c r="U829" s="2" t="s">
        <v>5885</v>
      </c>
      <c r="V829" s="2" t="s">
        <v>5886</v>
      </c>
      <c r="W829" s="1"/>
      <c r="X829" s="2" t="s">
        <v>1472</v>
      </c>
      <c r="Y829" s="2" t="s">
        <v>5822</v>
      </c>
      <c r="AA829" t="str">
        <f t="shared" si="72"/>
        <v>2026-03</v>
      </c>
      <c r="AB829" t="str">
        <f t="shared" si="73"/>
        <v>H1_2026</v>
      </c>
      <c r="AC829">
        <f t="shared" si="74"/>
        <v>1111555.68</v>
      </c>
      <c r="AD829">
        <f t="shared" si="75"/>
        <v>120</v>
      </c>
      <c r="AE829">
        <f t="shared" si="76"/>
        <v>267955.68</v>
      </c>
      <c r="AF829" t="str">
        <f t="shared" si="77"/>
        <v>Paid</v>
      </c>
    </row>
    <row r="830" spans="1:32" ht="17.25" thickBot="1" x14ac:dyDescent="0.35">
      <c r="A830" s="2" t="s">
        <v>5887</v>
      </c>
      <c r="B830" s="2" t="s">
        <v>27</v>
      </c>
      <c r="C830" s="2" t="s">
        <v>28</v>
      </c>
      <c r="D830" s="2" t="s">
        <v>97</v>
      </c>
      <c r="E830" s="2" t="s">
        <v>5759</v>
      </c>
      <c r="F830" s="2" t="s">
        <v>99</v>
      </c>
      <c r="G830" s="2" t="s">
        <v>32</v>
      </c>
      <c r="H830" s="1"/>
      <c r="I830" s="2" t="s">
        <v>33</v>
      </c>
      <c r="J830" s="2" t="s">
        <v>34</v>
      </c>
      <c r="K830" s="2" t="s">
        <v>5888</v>
      </c>
      <c r="L830" s="2" t="s">
        <v>5889</v>
      </c>
      <c r="M830" s="2" t="s">
        <v>1887</v>
      </c>
      <c r="N830" s="2" t="s">
        <v>38</v>
      </c>
      <c r="O830" s="2" t="s">
        <v>831</v>
      </c>
      <c r="P830" s="2" t="s">
        <v>5890</v>
      </c>
      <c r="Q830" s="2" t="s">
        <v>5891</v>
      </c>
      <c r="R830" s="2" t="s">
        <v>40</v>
      </c>
      <c r="S830" s="2" t="s">
        <v>5892</v>
      </c>
      <c r="T830" s="2" t="s">
        <v>1329</v>
      </c>
      <c r="U830" s="2" t="s">
        <v>256</v>
      </c>
      <c r="V830" s="2" t="s">
        <v>5893</v>
      </c>
      <c r="W830" s="1"/>
      <c r="X830" s="2" t="s">
        <v>1893</v>
      </c>
      <c r="Y830" s="2" t="s">
        <v>5822</v>
      </c>
      <c r="AA830" t="str">
        <f t="shared" si="72"/>
        <v>2026-03</v>
      </c>
      <c r="AB830" t="str">
        <f t="shared" si="73"/>
        <v>H1_2026</v>
      </c>
      <c r="AC830">
        <f t="shared" si="74"/>
        <v>10001728</v>
      </c>
      <c r="AD830">
        <f t="shared" si="75"/>
        <v>1000</v>
      </c>
      <c r="AE830">
        <f t="shared" si="76"/>
        <v>2601728</v>
      </c>
      <c r="AF830" t="str">
        <f t="shared" si="77"/>
        <v>Paid</v>
      </c>
    </row>
    <row r="831" spans="1:32" ht="17.25" thickBot="1" x14ac:dyDescent="0.35">
      <c r="A831" s="2" t="s">
        <v>5894</v>
      </c>
      <c r="B831" s="2" t="s">
        <v>27</v>
      </c>
      <c r="C831" s="2" t="s">
        <v>28</v>
      </c>
      <c r="D831" s="2" t="s">
        <v>97</v>
      </c>
      <c r="E831" s="2" t="s">
        <v>5759</v>
      </c>
      <c r="F831" s="2" t="s">
        <v>99</v>
      </c>
      <c r="G831" s="2" t="s">
        <v>32</v>
      </c>
      <c r="H831" s="1"/>
      <c r="I831" s="2" t="s">
        <v>33</v>
      </c>
      <c r="J831" s="2" t="s">
        <v>34</v>
      </c>
      <c r="K831" s="2" t="s">
        <v>2055</v>
      </c>
      <c r="L831" s="2" t="s">
        <v>2056</v>
      </c>
      <c r="M831" s="2" t="s">
        <v>1887</v>
      </c>
      <c r="N831" s="2" t="s">
        <v>38</v>
      </c>
      <c r="O831" s="2" t="s">
        <v>665</v>
      </c>
      <c r="P831" s="2" t="s">
        <v>1531</v>
      </c>
      <c r="Q831" s="2" t="s">
        <v>5895</v>
      </c>
      <c r="R831" s="2" t="s">
        <v>40</v>
      </c>
      <c r="S831" s="2" t="s">
        <v>5896</v>
      </c>
      <c r="T831" s="2" t="s">
        <v>1936</v>
      </c>
      <c r="U831" s="2" t="s">
        <v>5897</v>
      </c>
      <c r="V831" s="2" t="s">
        <v>5898</v>
      </c>
      <c r="W831" s="1"/>
      <c r="X831" s="2" t="s">
        <v>1893</v>
      </c>
      <c r="Y831" s="2" t="s">
        <v>5822</v>
      </c>
      <c r="AA831" t="str">
        <f t="shared" si="72"/>
        <v>2026-03</v>
      </c>
      <c r="AB831" t="str">
        <f t="shared" si="73"/>
        <v>H1_2026</v>
      </c>
      <c r="AC831">
        <f t="shared" si="74"/>
        <v>2625453.6</v>
      </c>
      <c r="AD831">
        <f t="shared" si="75"/>
        <v>210</v>
      </c>
      <c r="AE831">
        <f t="shared" si="76"/>
        <v>682953.6</v>
      </c>
      <c r="AF831" t="str">
        <f t="shared" si="77"/>
        <v>Paid</v>
      </c>
    </row>
    <row r="832" spans="1:32" ht="17.25" thickBot="1" x14ac:dyDescent="0.35">
      <c r="A832" s="2" t="s">
        <v>5899</v>
      </c>
      <c r="B832" s="2" t="s">
        <v>27</v>
      </c>
      <c r="C832" s="2" t="s">
        <v>28</v>
      </c>
      <c r="D832" s="2" t="s">
        <v>97</v>
      </c>
      <c r="E832" s="2" t="s">
        <v>5759</v>
      </c>
      <c r="F832" s="2" t="s">
        <v>99</v>
      </c>
      <c r="G832" s="2" t="s">
        <v>32</v>
      </c>
      <c r="H832" s="1"/>
      <c r="I832" s="2" t="s">
        <v>33</v>
      </c>
      <c r="J832" s="2" t="s">
        <v>34</v>
      </c>
      <c r="K832" s="2" t="s">
        <v>5900</v>
      </c>
      <c r="L832" s="2" t="s">
        <v>5901</v>
      </c>
      <c r="M832" s="2" t="s">
        <v>1887</v>
      </c>
      <c r="N832" s="2" t="s">
        <v>38</v>
      </c>
      <c r="O832" s="2" t="s">
        <v>773</v>
      </c>
      <c r="P832" s="2" t="s">
        <v>1952</v>
      </c>
      <c r="Q832" s="2" t="s">
        <v>5902</v>
      </c>
      <c r="R832" s="2" t="s">
        <v>40</v>
      </c>
      <c r="S832" s="2" t="s">
        <v>5903</v>
      </c>
      <c r="T832" s="2" t="s">
        <v>2079</v>
      </c>
      <c r="U832" s="2" t="s">
        <v>3862</v>
      </c>
      <c r="V832" s="2" t="s">
        <v>5904</v>
      </c>
      <c r="W832" s="1"/>
      <c r="X832" s="2" t="s">
        <v>1893</v>
      </c>
      <c r="Y832" s="2" t="s">
        <v>5822</v>
      </c>
      <c r="AA832" t="str">
        <f t="shared" si="72"/>
        <v>2026-03</v>
      </c>
      <c r="AB832" t="str">
        <f t="shared" si="73"/>
        <v>H1_2026</v>
      </c>
      <c r="AC832">
        <f t="shared" si="74"/>
        <v>2298692.6</v>
      </c>
      <c r="AD832">
        <f t="shared" si="75"/>
        <v>200</v>
      </c>
      <c r="AE832">
        <f t="shared" si="76"/>
        <v>596692.6</v>
      </c>
      <c r="AF832" t="str">
        <f t="shared" si="77"/>
        <v>Paid</v>
      </c>
    </row>
    <row r="833" spans="1:32" ht="17.25" thickBot="1" x14ac:dyDescent="0.35">
      <c r="A833" s="2" t="s">
        <v>5905</v>
      </c>
      <c r="B833" s="2" t="s">
        <v>27</v>
      </c>
      <c r="C833" s="2" t="s">
        <v>28</v>
      </c>
      <c r="D833" s="2" t="s">
        <v>97</v>
      </c>
      <c r="E833" s="2" t="s">
        <v>5759</v>
      </c>
      <c r="F833" s="2" t="s">
        <v>99</v>
      </c>
      <c r="G833" s="2" t="s">
        <v>32</v>
      </c>
      <c r="H833" s="1"/>
      <c r="I833" s="2" t="s">
        <v>33</v>
      </c>
      <c r="J833" s="2" t="s">
        <v>34</v>
      </c>
      <c r="K833" s="2" t="s">
        <v>2097</v>
      </c>
      <c r="L833" s="2" t="s">
        <v>2098</v>
      </c>
      <c r="M833" s="2" t="s">
        <v>1887</v>
      </c>
      <c r="N833" s="2" t="s">
        <v>38</v>
      </c>
      <c r="O833" s="2" t="s">
        <v>275</v>
      </c>
      <c r="P833" s="2" t="s">
        <v>5817</v>
      </c>
      <c r="Q833" s="2" t="s">
        <v>5906</v>
      </c>
      <c r="R833" s="2" t="s">
        <v>40</v>
      </c>
      <c r="S833" s="2" t="s">
        <v>5907</v>
      </c>
      <c r="T833" s="2" t="s">
        <v>2101</v>
      </c>
      <c r="U833" s="2" t="s">
        <v>5908</v>
      </c>
      <c r="V833" s="2" t="s">
        <v>5909</v>
      </c>
      <c r="W833" s="1"/>
      <c r="X833" s="2" t="s">
        <v>2000</v>
      </c>
      <c r="Y833" s="2" t="s">
        <v>5822</v>
      </c>
      <c r="AA833" t="str">
        <f t="shared" si="72"/>
        <v>2026-03</v>
      </c>
      <c r="AB833" t="str">
        <f t="shared" si="73"/>
        <v>H1_2026</v>
      </c>
      <c r="AC833">
        <f t="shared" si="74"/>
        <v>5215957.9800000004</v>
      </c>
      <c r="AD833">
        <f t="shared" si="75"/>
        <v>580</v>
      </c>
      <c r="AE833">
        <f t="shared" si="76"/>
        <v>1039957.98</v>
      </c>
      <c r="AF833" t="str">
        <f t="shared" si="77"/>
        <v>Paid</v>
      </c>
    </row>
    <row r="834" spans="1:32" ht="17.25" thickBot="1" x14ac:dyDescent="0.35">
      <c r="A834" s="2" t="s">
        <v>5910</v>
      </c>
      <c r="B834" s="2" t="s">
        <v>27</v>
      </c>
      <c r="C834" s="2" t="s">
        <v>28</v>
      </c>
      <c r="D834" s="2" t="s">
        <v>97</v>
      </c>
      <c r="E834" s="2" t="s">
        <v>5759</v>
      </c>
      <c r="F834" s="2" t="s">
        <v>99</v>
      </c>
      <c r="G834" s="2" t="s">
        <v>32</v>
      </c>
      <c r="H834" s="1"/>
      <c r="I834" s="2" t="s">
        <v>33</v>
      </c>
      <c r="J834" s="2" t="s">
        <v>34</v>
      </c>
      <c r="K834" s="2" t="s">
        <v>2106</v>
      </c>
      <c r="L834" s="2" t="s">
        <v>2107</v>
      </c>
      <c r="M834" s="2" t="s">
        <v>1887</v>
      </c>
      <c r="N834" s="2" t="s">
        <v>38</v>
      </c>
      <c r="O834" s="2" t="s">
        <v>800</v>
      </c>
      <c r="P834" s="2" t="s">
        <v>1531</v>
      </c>
      <c r="Q834" s="2" t="s">
        <v>5911</v>
      </c>
      <c r="R834" s="2" t="s">
        <v>40</v>
      </c>
      <c r="S834" s="2" t="s">
        <v>5912</v>
      </c>
      <c r="T834" s="2" t="s">
        <v>2111</v>
      </c>
      <c r="U834" s="2" t="s">
        <v>5913</v>
      </c>
      <c r="V834" s="2" t="s">
        <v>5914</v>
      </c>
      <c r="W834" s="1"/>
      <c r="X834" s="2" t="s">
        <v>2104</v>
      </c>
      <c r="Y834" s="2" t="s">
        <v>5822</v>
      </c>
      <c r="AA834" t="str">
        <f t="shared" si="72"/>
        <v>2026-03</v>
      </c>
      <c r="AB834" t="str">
        <f t="shared" si="73"/>
        <v>H1_2026</v>
      </c>
      <c r="AC834">
        <f t="shared" si="74"/>
        <v>9626663.1999999993</v>
      </c>
      <c r="AD834">
        <f t="shared" si="75"/>
        <v>770</v>
      </c>
      <c r="AE834">
        <f t="shared" si="76"/>
        <v>1926663.2</v>
      </c>
      <c r="AF834" t="str">
        <f t="shared" si="77"/>
        <v>Paid</v>
      </c>
    </row>
    <row r="835" spans="1:32" ht="27.75" thickBot="1" x14ac:dyDescent="0.35">
      <c r="A835" s="2" t="s">
        <v>5915</v>
      </c>
      <c r="B835" s="2" t="s">
        <v>27</v>
      </c>
      <c r="C835" s="2" t="s">
        <v>28</v>
      </c>
      <c r="D835" s="2" t="s">
        <v>97</v>
      </c>
      <c r="E835" s="2" t="s">
        <v>5759</v>
      </c>
      <c r="F835" s="2" t="s">
        <v>99</v>
      </c>
      <c r="G835" s="2" t="s">
        <v>32</v>
      </c>
      <c r="H835" s="1"/>
      <c r="I835" s="2" t="s">
        <v>33</v>
      </c>
      <c r="J835" s="2" t="s">
        <v>34</v>
      </c>
      <c r="K835" s="2" t="s">
        <v>4818</v>
      </c>
      <c r="L835" s="2" t="s">
        <v>4819</v>
      </c>
      <c r="M835" s="2" t="s">
        <v>1887</v>
      </c>
      <c r="N835" s="2" t="s">
        <v>38</v>
      </c>
      <c r="O835" s="2" t="s">
        <v>877</v>
      </c>
      <c r="P835" s="2" t="s">
        <v>5916</v>
      </c>
      <c r="Q835" s="2" t="s">
        <v>5917</v>
      </c>
      <c r="R835" s="2" t="s">
        <v>40</v>
      </c>
      <c r="S835" s="2" t="s">
        <v>5918</v>
      </c>
      <c r="T835" s="2" t="s">
        <v>2079</v>
      </c>
      <c r="U835" s="2" t="s">
        <v>5919</v>
      </c>
      <c r="V835" s="2" t="s">
        <v>5920</v>
      </c>
      <c r="W835" s="1"/>
      <c r="X835" s="2" t="s">
        <v>201</v>
      </c>
      <c r="Y835" s="2" t="s">
        <v>5822</v>
      </c>
      <c r="AA835" t="str">
        <f t="shared" si="72"/>
        <v>2026-03</v>
      </c>
      <c r="AB835" t="str">
        <f t="shared" si="73"/>
        <v>H1_2026</v>
      </c>
      <c r="AC835">
        <f t="shared" si="74"/>
        <v>1122353</v>
      </c>
      <c r="AD835">
        <f t="shared" si="75"/>
        <v>100</v>
      </c>
      <c r="AE835">
        <f t="shared" si="76"/>
        <v>271353</v>
      </c>
      <c r="AF835" t="str">
        <f t="shared" si="77"/>
        <v>Paid</v>
      </c>
    </row>
    <row r="836" spans="1:32" ht="27.75" thickBot="1" x14ac:dyDescent="0.35">
      <c r="A836" s="2" t="s">
        <v>5921</v>
      </c>
      <c r="B836" s="2" t="s">
        <v>27</v>
      </c>
      <c r="C836" s="2" t="s">
        <v>28</v>
      </c>
      <c r="D836" s="2" t="s">
        <v>97</v>
      </c>
      <c r="E836" s="2" t="s">
        <v>5922</v>
      </c>
      <c r="F836" s="2" t="s">
        <v>99</v>
      </c>
      <c r="G836" s="2" t="s">
        <v>32</v>
      </c>
      <c r="H836" s="1"/>
      <c r="I836" s="2" t="s">
        <v>33</v>
      </c>
      <c r="J836" s="2" t="s">
        <v>34</v>
      </c>
      <c r="K836" s="2" t="s">
        <v>261</v>
      </c>
      <c r="L836" s="2" t="s">
        <v>262</v>
      </c>
      <c r="M836" s="2" t="s">
        <v>263</v>
      </c>
      <c r="N836" s="2" t="s">
        <v>38</v>
      </c>
      <c r="O836" s="2" t="s">
        <v>1256</v>
      </c>
      <c r="P836" s="2" t="s">
        <v>801</v>
      </c>
      <c r="Q836" s="2" t="s">
        <v>5923</v>
      </c>
      <c r="R836" s="2" t="s">
        <v>40</v>
      </c>
      <c r="S836" s="2" t="s">
        <v>5924</v>
      </c>
      <c r="T836" s="2" t="s">
        <v>267</v>
      </c>
      <c r="U836" s="2" t="s">
        <v>5925</v>
      </c>
      <c r="V836" s="2" t="s">
        <v>5926</v>
      </c>
      <c r="W836" s="1"/>
      <c r="X836" s="2" t="s">
        <v>2216</v>
      </c>
      <c r="Y836" s="2" t="s">
        <v>5927</v>
      </c>
      <c r="AA836" t="str">
        <f t="shared" ref="AA836:AA899" si="78">LEFT(E836,7)</f>
        <v>2026-03</v>
      </c>
      <c r="AB836" t="str">
        <f t="shared" ref="AB836:AB899" si="79">IF(AND($AA836&gt;="2025-01",$AA836&lt;="2025-06"),"H1_2025",IF(AND($AA836&gt;="2026-01",$AA836&lt;="2026-06"),"H1_2026",""))</f>
        <v>H1_2026</v>
      </c>
      <c r="AC836">
        <f t="shared" ref="AC836:AC899" si="80">IFERROR(VALUE(SUBSTITUTE(S836,",","")),0)</f>
        <v>1297914.02</v>
      </c>
      <c r="AD836">
        <f t="shared" ref="AD836:AD899" si="81">IFERROR(VALUE(SUBSTITUTE(O836,",","")),0)</f>
        <v>141</v>
      </c>
      <c r="AE836">
        <f t="shared" ref="AE836:AE899" si="82">IFERROR(VALUE(SUBSTITUTE(V836,",","")),0)</f>
        <v>367314.02</v>
      </c>
      <c r="AF836" t="str">
        <f t="shared" ref="AF836:AF899" si="83">IF(ISNUMBER(SEARCH("FOC",W836)),"FOC",IF(ISNUMBER(SEARCH("샘플",W836)),"Sample","Paid"))</f>
        <v>Paid</v>
      </c>
    </row>
    <row r="837" spans="1:32" ht="17.25" thickBot="1" x14ac:dyDescent="0.35">
      <c r="A837" s="2" t="s">
        <v>5928</v>
      </c>
      <c r="B837" s="2" t="s">
        <v>27</v>
      </c>
      <c r="C837" s="2" t="s">
        <v>28</v>
      </c>
      <c r="D837" s="2" t="s">
        <v>97</v>
      </c>
      <c r="E837" s="2" t="s">
        <v>5922</v>
      </c>
      <c r="F837" s="2" t="s">
        <v>99</v>
      </c>
      <c r="G837" s="2" t="s">
        <v>32</v>
      </c>
      <c r="H837" s="1"/>
      <c r="I837" s="2" t="s">
        <v>33</v>
      </c>
      <c r="J837" s="2" t="s">
        <v>34</v>
      </c>
      <c r="K837" s="2" t="s">
        <v>273</v>
      </c>
      <c r="L837" s="2" t="s">
        <v>274</v>
      </c>
      <c r="M837" s="2" t="s">
        <v>263</v>
      </c>
      <c r="N837" s="2" t="s">
        <v>38</v>
      </c>
      <c r="O837" s="2" t="s">
        <v>5929</v>
      </c>
      <c r="P837" s="2" t="s">
        <v>801</v>
      </c>
      <c r="Q837" s="2" t="s">
        <v>5930</v>
      </c>
      <c r="R837" s="2" t="s">
        <v>40</v>
      </c>
      <c r="S837" s="2" t="s">
        <v>5931</v>
      </c>
      <c r="T837" s="2" t="s">
        <v>267</v>
      </c>
      <c r="U837" s="2" t="s">
        <v>5932</v>
      </c>
      <c r="V837" s="2" t="s">
        <v>5933</v>
      </c>
      <c r="W837" s="1"/>
      <c r="X837" s="2" t="s">
        <v>2216</v>
      </c>
      <c r="Y837" s="2" t="s">
        <v>5927</v>
      </c>
      <c r="AA837" t="str">
        <f t="shared" si="78"/>
        <v>2026-03</v>
      </c>
      <c r="AB837" t="str">
        <f t="shared" si="79"/>
        <v>H1_2026</v>
      </c>
      <c r="AC837">
        <f t="shared" si="80"/>
        <v>9361550.0899999999</v>
      </c>
      <c r="AD837">
        <f t="shared" si="81"/>
        <v>1017</v>
      </c>
      <c r="AE837">
        <f t="shared" si="82"/>
        <v>2649350.09</v>
      </c>
      <c r="AF837" t="str">
        <f t="shared" si="83"/>
        <v>Paid</v>
      </c>
    </row>
    <row r="838" spans="1:32" ht="27.75" thickBot="1" x14ac:dyDescent="0.35">
      <c r="A838" s="2" t="s">
        <v>5934</v>
      </c>
      <c r="B838" s="2" t="s">
        <v>27</v>
      </c>
      <c r="C838" s="2" t="s">
        <v>28</v>
      </c>
      <c r="D838" s="2" t="s">
        <v>97</v>
      </c>
      <c r="E838" s="2" t="s">
        <v>5922</v>
      </c>
      <c r="F838" s="2" t="s">
        <v>99</v>
      </c>
      <c r="G838" s="2" t="s">
        <v>32</v>
      </c>
      <c r="H838" s="1"/>
      <c r="I838" s="2" t="s">
        <v>33</v>
      </c>
      <c r="J838" s="2" t="s">
        <v>34</v>
      </c>
      <c r="K838" s="2" t="s">
        <v>4838</v>
      </c>
      <c r="L838" s="2" t="s">
        <v>4839</v>
      </c>
      <c r="M838" s="2" t="s">
        <v>263</v>
      </c>
      <c r="N838" s="2" t="s">
        <v>38</v>
      </c>
      <c r="O838" s="2" t="s">
        <v>1104</v>
      </c>
      <c r="P838" s="2" t="s">
        <v>801</v>
      </c>
      <c r="Q838" s="2" t="s">
        <v>5935</v>
      </c>
      <c r="R838" s="2" t="s">
        <v>40</v>
      </c>
      <c r="S838" s="2" t="s">
        <v>5936</v>
      </c>
      <c r="T838" s="2" t="s">
        <v>267</v>
      </c>
      <c r="U838" s="2" t="s">
        <v>5937</v>
      </c>
      <c r="V838" s="2" t="s">
        <v>5938</v>
      </c>
      <c r="W838" s="1"/>
      <c r="X838" s="2" t="s">
        <v>2216</v>
      </c>
      <c r="Y838" s="2" t="s">
        <v>5927</v>
      </c>
      <c r="AA838" t="str">
        <f t="shared" si="78"/>
        <v>2026-03</v>
      </c>
      <c r="AB838" t="str">
        <f t="shared" si="79"/>
        <v>H1_2026</v>
      </c>
      <c r="AC838">
        <f t="shared" si="80"/>
        <v>1785782.42</v>
      </c>
      <c r="AD838">
        <f t="shared" si="81"/>
        <v>194</v>
      </c>
      <c r="AE838">
        <f t="shared" si="82"/>
        <v>505382.42</v>
      </c>
      <c r="AF838" t="str">
        <f t="shared" si="83"/>
        <v>Paid</v>
      </c>
    </row>
    <row r="839" spans="1:32" ht="17.25" thickBot="1" x14ac:dyDescent="0.35">
      <c r="A839" s="2" t="s">
        <v>5939</v>
      </c>
      <c r="B839" s="2" t="s">
        <v>27</v>
      </c>
      <c r="C839" s="2" t="s">
        <v>28</v>
      </c>
      <c r="D839" s="2" t="s">
        <v>97</v>
      </c>
      <c r="E839" s="2" t="s">
        <v>5922</v>
      </c>
      <c r="F839" s="2" t="s">
        <v>99</v>
      </c>
      <c r="G839" s="2" t="s">
        <v>32</v>
      </c>
      <c r="H839" s="1"/>
      <c r="I839" s="2" t="s">
        <v>33</v>
      </c>
      <c r="J839" s="2" t="s">
        <v>34</v>
      </c>
      <c r="K839" s="2" t="s">
        <v>4845</v>
      </c>
      <c r="L839" s="2" t="s">
        <v>4846</v>
      </c>
      <c r="M839" s="2" t="s">
        <v>263</v>
      </c>
      <c r="N839" s="2" t="s">
        <v>38</v>
      </c>
      <c r="O839" s="2" t="s">
        <v>1716</v>
      </c>
      <c r="P839" s="2" t="s">
        <v>5940</v>
      </c>
      <c r="Q839" s="2" t="s">
        <v>5941</v>
      </c>
      <c r="R839" s="2" t="s">
        <v>40</v>
      </c>
      <c r="S839" s="2" t="s">
        <v>5942</v>
      </c>
      <c r="T839" s="2" t="s">
        <v>4850</v>
      </c>
      <c r="U839" s="2" t="s">
        <v>5943</v>
      </c>
      <c r="V839" s="2" t="s">
        <v>5944</v>
      </c>
      <c r="W839" s="1"/>
      <c r="X839" s="2" t="s">
        <v>4853</v>
      </c>
      <c r="Y839" s="2" t="s">
        <v>5927</v>
      </c>
      <c r="AA839" t="str">
        <f t="shared" si="78"/>
        <v>2026-03</v>
      </c>
      <c r="AB839" t="str">
        <f t="shared" si="79"/>
        <v>H1_2026</v>
      </c>
      <c r="AC839">
        <f t="shared" si="80"/>
        <v>2654867.42</v>
      </c>
      <c r="AD839">
        <f t="shared" si="81"/>
        <v>204</v>
      </c>
      <c r="AE839">
        <f t="shared" si="82"/>
        <v>1252775.42</v>
      </c>
      <c r="AF839" t="str">
        <f t="shared" si="83"/>
        <v>Paid</v>
      </c>
    </row>
    <row r="840" spans="1:32" ht="27.75" thickBot="1" x14ac:dyDescent="0.35">
      <c r="A840" s="2" t="s">
        <v>5945</v>
      </c>
      <c r="B840" s="2" t="s">
        <v>27</v>
      </c>
      <c r="C840" s="2" t="s">
        <v>28</v>
      </c>
      <c r="D840" s="2" t="s">
        <v>97</v>
      </c>
      <c r="E840" s="2" t="s">
        <v>5922</v>
      </c>
      <c r="F840" s="2" t="s">
        <v>99</v>
      </c>
      <c r="G840" s="2" t="s">
        <v>32</v>
      </c>
      <c r="H840" s="1"/>
      <c r="I840" s="2" t="s">
        <v>33</v>
      </c>
      <c r="J840" s="2" t="s">
        <v>34</v>
      </c>
      <c r="K840" s="2" t="s">
        <v>302</v>
      </c>
      <c r="L840" s="2" t="s">
        <v>303</v>
      </c>
      <c r="M840" s="2" t="s">
        <v>304</v>
      </c>
      <c r="N840" s="2" t="s">
        <v>38</v>
      </c>
      <c r="O840" s="2" t="s">
        <v>3748</v>
      </c>
      <c r="P840" s="2" t="s">
        <v>4920</v>
      </c>
      <c r="Q840" s="2" t="s">
        <v>5946</v>
      </c>
      <c r="R840" s="2" t="s">
        <v>40</v>
      </c>
      <c r="S840" s="2" t="s">
        <v>5947</v>
      </c>
      <c r="T840" s="2" t="s">
        <v>5948</v>
      </c>
      <c r="U840" s="2" t="s">
        <v>5949</v>
      </c>
      <c r="V840" s="2" t="s">
        <v>5950</v>
      </c>
      <c r="W840" s="1"/>
      <c r="X840" s="2" t="s">
        <v>4573</v>
      </c>
      <c r="Y840" s="2" t="s">
        <v>5927</v>
      </c>
      <c r="AA840" t="str">
        <f t="shared" si="78"/>
        <v>2026-03</v>
      </c>
      <c r="AB840" t="str">
        <f t="shared" si="79"/>
        <v>H1_2026</v>
      </c>
      <c r="AC840">
        <f t="shared" si="80"/>
        <v>4252739.57</v>
      </c>
      <c r="AD840">
        <f t="shared" si="81"/>
        <v>484</v>
      </c>
      <c r="AE840">
        <f t="shared" si="82"/>
        <v>1435859.57</v>
      </c>
      <c r="AF840" t="str">
        <f t="shared" si="83"/>
        <v>Paid</v>
      </c>
    </row>
    <row r="841" spans="1:32" ht="17.25" thickBot="1" x14ac:dyDescent="0.35">
      <c r="A841" s="2" t="s">
        <v>5951</v>
      </c>
      <c r="B841" s="2" t="s">
        <v>27</v>
      </c>
      <c r="C841" s="2" t="s">
        <v>28</v>
      </c>
      <c r="D841" s="2" t="s">
        <v>97</v>
      </c>
      <c r="E841" s="2" t="s">
        <v>5922</v>
      </c>
      <c r="F841" s="2" t="s">
        <v>99</v>
      </c>
      <c r="G841" s="2" t="s">
        <v>32</v>
      </c>
      <c r="H841" s="1"/>
      <c r="I841" s="2" t="s">
        <v>33</v>
      </c>
      <c r="J841" s="2" t="s">
        <v>34</v>
      </c>
      <c r="K841" s="2" t="s">
        <v>324</v>
      </c>
      <c r="L841" s="2" t="s">
        <v>325</v>
      </c>
      <c r="M841" s="2" t="s">
        <v>304</v>
      </c>
      <c r="N841" s="2" t="s">
        <v>38</v>
      </c>
      <c r="O841" s="2" t="s">
        <v>5952</v>
      </c>
      <c r="P841" s="2" t="s">
        <v>5218</v>
      </c>
      <c r="Q841" s="2" t="s">
        <v>5953</v>
      </c>
      <c r="R841" s="2" t="s">
        <v>40</v>
      </c>
      <c r="S841" s="2" t="s">
        <v>5954</v>
      </c>
      <c r="T841" s="2" t="s">
        <v>5955</v>
      </c>
      <c r="U841" s="2" t="s">
        <v>5956</v>
      </c>
      <c r="V841" s="2" t="s">
        <v>5957</v>
      </c>
      <c r="W841" s="1"/>
      <c r="X841" s="2" t="s">
        <v>5958</v>
      </c>
      <c r="Y841" s="2" t="s">
        <v>5927</v>
      </c>
      <c r="AA841" t="str">
        <f t="shared" si="78"/>
        <v>2026-03</v>
      </c>
      <c r="AB841" t="str">
        <f t="shared" si="79"/>
        <v>H1_2026</v>
      </c>
      <c r="AC841">
        <f t="shared" si="80"/>
        <v>19616597.359999999</v>
      </c>
      <c r="AD841">
        <f t="shared" si="81"/>
        <v>1570</v>
      </c>
      <c r="AE841">
        <f t="shared" si="82"/>
        <v>6569897.3600000003</v>
      </c>
      <c r="AF841" t="str">
        <f t="shared" si="83"/>
        <v>Paid</v>
      </c>
    </row>
    <row r="842" spans="1:32" ht="17.25" thickBot="1" x14ac:dyDescent="0.35">
      <c r="A842" s="2" t="s">
        <v>2048</v>
      </c>
      <c r="B842" s="2" t="s">
        <v>27</v>
      </c>
      <c r="C842" s="2" t="s">
        <v>28</v>
      </c>
      <c r="D842" s="2" t="s">
        <v>97</v>
      </c>
      <c r="E842" s="2" t="s">
        <v>5922</v>
      </c>
      <c r="F842" s="2" t="s">
        <v>99</v>
      </c>
      <c r="G842" s="2" t="s">
        <v>32</v>
      </c>
      <c r="H842" s="1"/>
      <c r="I842" s="2" t="s">
        <v>33</v>
      </c>
      <c r="J842" s="2" t="s">
        <v>34</v>
      </c>
      <c r="K842" s="2" t="s">
        <v>5959</v>
      </c>
      <c r="L842" s="2" t="s">
        <v>5960</v>
      </c>
      <c r="M842" s="2" t="s">
        <v>304</v>
      </c>
      <c r="N842" s="2" t="s">
        <v>38</v>
      </c>
      <c r="O842" s="2" t="s">
        <v>748</v>
      </c>
      <c r="P842" s="2" t="s">
        <v>5961</v>
      </c>
      <c r="Q842" s="2" t="s">
        <v>5962</v>
      </c>
      <c r="R842" s="2" t="s">
        <v>40</v>
      </c>
      <c r="S842" s="2" t="s">
        <v>5963</v>
      </c>
      <c r="T842" s="2" t="s">
        <v>452</v>
      </c>
      <c r="U842" s="2" t="s">
        <v>5964</v>
      </c>
      <c r="V842" s="2" t="s">
        <v>5965</v>
      </c>
      <c r="W842" s="1"/>
      <c r="X842" s="2" t="s">
        <v>4100</v>
      </c>
      <c r="Y842" s="2" t="s">
        <v>5927</v>
      </c>
      <c r="AA842" t="str">
        <f t="shared" si="78"/>
        <v>2026-03</v>
      </c>
      <c r="AB842" t="str">
        <f t="shared" si="79"/>
        <v>H1_2026</v>
      </c>
      <c r="AC842">
        <f t="shared" si="80"/>
        <v>3514660.8</v>
      </c>
      <c r="AD842">
        <f t="shared" si="81"/>
        <v>280</v>
      </c>
      <c r="AE842">
        <f t="shared" si="82"/>
        <v>412260.8</v>
      </c>
      <c r="AF842" t="str">
        <f t="shared" si="83"/>
        <v>Paid</v>
      </c>
    </row>
    <row r="843" spans="1:32" ht="17.25" thickBot="1" x14ac:dyDescent="0.35">
      <c r="A843" s="2" t="s">
        <v>5966</v>
      </c>
      <c r="B843" s="2" t="s">
        <v>27</v>
      </c>
      <c r="C843" s="2" t="s">
        <v>28</v>
      </c>
      <c r="D843" s="2" t="s">
        <v>97</v>
      </c>
      <c r="E843" s="2" t="s">
        <v>5922</v>
      </c>
      <c r="F843" s="2" t="s">
        <v>99</v>
      </c>
      <c r="G843" s="2" t="s">
        <v>32</v>
      </c>
      <c r="H843" s="1"/>
      <c r="I843" s="2" t="s">
        <v>33</v>
      </c>
      <c r="J843" s="2" t="s">
        <v>34</v>
      </c>
      <c r="K843" s="2" t="s">
        <v>334</v>
      </c>
      <c r="L843" s="2" t="s">
        <v>335</v>
      </c>
      <c r="M843" s="2" t="s">
        <v>304</v>
      </c>
      <c r="N843" s="2" t="s">
        <v>38</v>
      </c>
      <c r="O843" s="2" t="s">
        <v>2642</v>
      </c>
      <c r="P843" s="2" t="s">
        <v>4920</v>
      </c>
      <c r="Q843" s="2" t="s">
        <v>5967</v>
      </c>
      <c r="R843" s="2" t="s">
        <v>40</v>
      </c>
      <c r="S843" s="2" t="s">
        <v>5968</v>
      </c>
      <c r="T843" s="2" t="s">
        <v>309</v>
      </c>
      <c r="U843" s="2" t="s">
        <v>5969</v>
      </c>
      <c r="V843" s="2" t="s">
        <v>5970</v>
      </c>
      <c r="W843" s="1"/>
      <c r="X843" s="2" t="s">
        <v>4100</v>
      </c>
      <c r="Y843" s="2" t="s">
        <v>5927</v>
      </c>
      <c r="AA843" t="str">
        <f t="shared" si="78"/>
        <v>2026-03</v>
      </c>
      <c r="AB843" t="str">
        <f t="shared" si="79"/>
        <v>H1_2026</v>
      </c>
      <c r="AC843">
        <f t="shared" si="80"/>
        <v>4920525.12</v>
      </c>
      <c r="AD843">
        <f t="shared" si="81"/>
        <v>560</v>
      </c>
      <c r="AE843">
        <f t="shared" si="82"/>
        <v>574925.12</v>
      </c>
      <c r="AF843" t="str">
        <f t="shared" si="83"/>
        <v>Paid</v>
      </c>
    </row>
    <row r="844" spans="1:32" ht="17.25" thickBot="1" x14ac:dyDescent="0.35">
      <c r="A844" s="2" t="s">
        <v>5971</v>
      </c>
      <c r="B844" s="2" t="s">
        <v>27</v>
      </c>
      <c r="C844" s="2" t="s">
        <v>28</v>
      </c>
      <c r="D844" s="2" t="s">
        <v>97</v>
      </c>
      <c r="E844" s="2" t="s">
        <v>5922</v>
      </c>
      <c r="F844" s="2" t="s">
        <v>99</v>
      </c>
      <c r="G844" s="2" t="s">
        <v>32</v>
      </c>
      <c r="H844" s="1"/>
      <c r="I844" s="2" t="s">
        <v>33</v>
      </c>
      <c r="J844" s="2" t="s">
        <v>34</v>
      </c>
      <c r="K844" s="2" t="s">
        <v>341</v>
      </c>
      <c r="L844" s="2" t="s">
        <v>342</v>
      </c>
      <c r="M844" s="2" t="s">
        <v>304</v>
      </c>
      <c r="N844" s="2" t="s">
        <v>38</v>
      </c>
      <c r="O844" s="2" t="s">
        <v>2108</v>
      </c>
      <c r="P844" s="2" t="s">
        <v>5811</v>
      </c>
      <c r="Q844" s="2" t="s">
        <v>5972</v>
      </c>
      <c r="R844" s="2" t="s">
        <v>40</v>
      </c>
      <c r="S844" s="2" t="s">
        <v>5973</v>
      </c>
      <c r="T844" s="2" t="s">
        <v>347</v>
      </c>
      <c r="U844" s="2" t="s">
        <v>5974</v>
      </c>
      <c r="V844" s="2" t="s">
        <v>5975</v>
      </c>
      <c r="W844" s="1"/>
      <c r="X844" s="2" t="s">
        <v>566</v>
      </c>
      <c r="Y844" s="2" t="s">
        <v>5927</v>
      </c>
      <c r="AA844" t="str">
        <f t="shared" si="78"/>
        <v>2026-03</v>
      </c>
      <c r="AB844" t="str">
        <f t="shared" si="79"/>
        <v>H1_2026</v>
      </c>
      <c r="AC844">
        <f t="shared" si="80"/>
        <v>11658978.24</v>
      </c>
      <c r="AD844">
        <f t="shared" si="81"/>
        <v>1040</v>
      </c>
      <c r="AE844">
        <f t="shared" si="82"/>
        <v>1290178.24</v>
      </c>
      <c r="AF844" t="str">
        <f t="shared" si="83"/>
        <v>Paid</v>
      </c>
    </row>
    <row r="845" spans="1:32" ht="27.75" thickBot="1" x14ac:dyDescent="0.35">
      <c r="A845" s="2" t="s">
        <v>5976</v>
      </c>
      <c r="B845" s="2" t="s">
        <v>27</v>
      </c>
      <c r="C845" s="2" t="s">
        <v>28</v>
      </c>
      <c r="D845" s="2" t="s">
        <v>97</v>
      </c>
      <c r="E845" s="2" t="s">
        <v>5922</v>
      </c>
      <c r="F845" s="2" t="s">
        <v>99</v>
      </c>
      <c r="G845" s="2" t="s">
        <v>32</v>
      </c>
      <c r="H845" s="1"/>
      <c r="I845" s="2" t="s">
        <v>33</v>
      </c>
      <c r="J845" s="2" t="s">
        <v>34</v>
      </c>
      <c r="K845" s="2" t="s">
        <v>352</v>
      </c>
      <c r="L845" s="2" t="s">
        <v>353</v>
      </c>
      <c r="M845" s="2" t="s">
        <v>304</v>
      </c>
      <c r="N845" s="2" t="s">
        <v>38</v>
      </c>
      <c r="O845" s="2" t="s">
        <v>1651</v>
      </c>
      <c r="P845" s="2" t="s">
        <v>4920</v>
      </c>
      <c r="Q845" s="2" t="s">
        <v>5977</v>
      </c>
      <c r="R845" s="2" t="s">
        <v>40</v>
      </c>
      <c r="S845" s="2" t="s">
        <v>5978</v>
      </c>
      <c r="T845" s="2" t="s">
        <v>309</v>
      </c>
      <c r="U845" s="2" t="s">
        <v>5979</v>
      </c>
      <c r="V845" s="2" t="s">
        <v>5980</v>
      </c>
      <c r="W845" s="1"/>
      <c r="X845" s="2" t="s">
        <v>4100</v>
      </c>
      <c r="Y845" s="2" t="s">
        <v>5927</v>
      </c>
      <c r="AA845" t="str">
        <f t="shared" si="78"/>
        <v>2026-03</v>
      </c>
      <c r="AB845" t="str">
        <f t="shared" si="79"/>
        <v>H1_2026</v>
      </c>
      <c r="AC845">
        <f t="shared" si="80"/>
        <v>1695823.84</v>
      </c>
      <c r="AD845">
        <f t="shared" si="81"/>
        <v>193</v>
      </c>
      <c r="AE845">
        <f t="shared" si="82"/>
        <v>198143.84</v>
      </c>
      <c r="AF845" t="str">
        <f t="shared" si="83"/>
        <v>Paid</v>
      </c>
    </row>
    <row r="846" spans="1:32" ht="27.75" thickBot="1" x14ac:dyDescent="0.35">
      <c r="A846" s="2" t="s">
        <v>5981</v>
      </c>
      <c r="B846" s="2" t="s">
        <v>27</v>
      </c>
      <c r="C846" s="2" t="s">
        <v>28</v>
      </c>
      <c r="D846" s="2" t="s">
        <v>97</v>
      </c>
      <c r="E846" s="2" t="s">
        <v>5922</v>
      </c>
      <c r="F846" s="2" t="s">
        <v>99</v>
      </c>
      <c r="G846" s="2" t="s">
        <v>32</v>
      </c>
      <c r="H846" s="1"/>
      <c r="I846" s="2" t="s">
        <v>33</v>
      </c>
      <c r="J846" s="2" t="s">
        <v>34</v>
      </c>
      <c r="K846" s="2" t="s">
        <v>360</v>
      </c>
      <c r="L846" s="2" t="s">
        <v>361</v>
      </c>
      <c r="M846" s="2" t="s">
        <v>304</v>
      </c>
      <c r="N846" s="2" t="s">
        <v>38</v>
      </c>
      <c r="O846" s="2" t="s">
        <v>773</v>
      </c>
      <c r="P846" s="2" t="s">
        <v>4920</v>
      </c>
      <c r="Q846" s="2" t="s">
        <v>5982</v>
      </c>
      <c r="R846" s="2" t="s">
        <v>40</v>
      </c>
      <c r="S846" s="2" t="s">
        <v>5983</v>
      </c>
      <c r="T846" s="2" t="s">
        <v>309</v>
      </c>
      <c r="U846" s="2" t="s">
        <v>5984</v>
      </c>
      <c r="V846" s="2" t="s">
        <v>5985</v>
      </c>
      <c r="W846" s="1"/>
      <c r="X846" s="2" t="s">
        <v>4100</v>
      </c>
      <c r="Y846" s="2" t="s">
        <v>5927</v>
      </c>
      <c r="AA846" t="str">
        <f t="shared" si="78"/>
        <v>2026-03</v>
      </c>
      <c r="AB846" t="str">
        <f t="shared" si="79"/>
        <v>H1_2026</v>
      </c>
      <c r="AC846">
        <f t="shared" si="80"/>
        <v>1757330.4</v>
      </c>
      <c r="AD846">
        <f t="shared" si="81"/>
        <v>200</v>
      </c>
      <c r="AE846">
        <f t="shared" si="82"/>
        <v>205330.4</v>
      </c>
      <c r="AF846" t="str">
        <f t="shared" si="83"/>
        <v>Paid</v>
      </c>
    </row>
    <row r="847" spans="1:32" ht="27.75" thickBot="1" x14ac:dyDescent="0.35">
      <c r="A847" s="2" t="s">
        <v>5986</v>
      </c>
      <c r="B847" s="2" t="s">
        <v>27</v>
      </c>
      <c r="C847" s="2" t="s">
        <v>28</v>
      </c>
      <c r="D847" s="2" t="s">
        <v>97</v>
      </c>
      <c r="E847" s="2" t="s">
        <v>5922</v>
      </c>
      <c r="F847" s="2" t="s">
        <v>99</v>
      </c>
      <c r="G847" s="2" t="s">
        <v>32</v>
      </c>
      <c r="H847" s="1"/>
      <c r="I847" s="2" t="s">
        <v>33</v>
      </c>
      <c r="J847" s="2" t="s">
        <v>34</v>
      </c>
      <c r="K847" s="2" t="s">
        <v>5987</v>
      </c>
      <c r="L847" s="2" t="s">
        <v>5988</v>
      </c>
      <c r="M847" s="2" t="s">
        <v>304</v>
      </c>
      <c r="N847" s="2" t="s">
        <v>38</v>
      </c>
      <c r="O847" s="2" t="s">
        <v>877</v>
      </c>
      <c r="P847" s="2" t="s">
        <v>5989</v>
      </c>
      <c r="Q847" s="2" t="s">
        <v>5990</v>
      </c>
      <c r="R847" s="2" t="s">
        <v>40</v>
      </c>
      <c r="S847" s="2" t="s">
        <v>5991</v>
      </c>
      <c r="T847" s="2" t="s">
        <v>5992</v>
      </c>
      <c r="U847" s="2" t="s">
        <v>5993</v>
      </c>
      <c r="V847" s="2" t="s">
        <v>5994</v>
      </c>
      <c r="W847" s="1"/>
      <c r="X847" s="2" t="s">
        <v>566</v>
      </c>
      <c r="Y847" s="2" t="s">
        <v>5927</v>
      </c>
      <c r="AA847" t="str">
        <f t="shared" si="78"/>
        <v>2026-03</v>
      </c>
      <c r="AB847" t="str">
        <f t="shared" si="79"/>
        <v>H1_2026</v>
      </c>
      <c r="AC847">
        <f t="shared" si="80"/>
        <v>249604.4</v>
      </c>
      <c r="AD847">
        <f t="shared" si="81"/>
        <v>100</v>
      </c>
      <c r="AE847">
        <f t="shared" si="82"/>
        <v>27604.400000000001</v>
      </c>
      <c r="AF847" t="str">
        <f t="shared" si="83"/>
        <v>Paid</v>
      </c>
    </row>
    <row r="848" spans="1:32" ht="27.75" thickBot="1" x14ac:dyDescent="0.35">
      <c r="A848" s="2" t="s">
        <v>5995</v>
      </c>
      <c r="B848" s="2" t="s">
        <v>27</v>
      </c>
      <c r="C848" s="2" t="s">
        <v>28</v>
      </c>
      <c r="D848" s="2" t="s">
        <v>97</v>
      </c>
      <c r="E848" s="2" t="s">
        <v>5922</v>
      </c>
      <c r="F848" s="2" t="s">
        <v>99</v>
      </c>
      <c r="G848" s="2" t="s">
        <v>32</v>
      </c>
      <c r="H848" s="1"/>
      <c r="I848" s="2" t="s">
        <v>33</v>
      </c>
      <c r="J848" s="2" t="s">
        <v>34</v>
      </c>
      <c r="K848" s="2" t="s">
        <v>379</v>
      </c>
      <c r="L848" s="2" t="s">
        <v>380</v>
      </c>
      <c r="M848" s="2" t="s">
        <v>304</v>
      </c>
      <c r="N848" s="2" t="s">
        <v>38</v>
      </c>
      <c r="O848" s="2" t="s">
        <v>1113</v>
      </c>
      <c r="P848" s="2" t="s">
        <v>5996</v>
      </c>
      <c r="Q848" s="2" t="s">
        <v>5997</v>
      </c>
      <c r="R848" s="2" t="s">
        <v>40</v>
      </c>
      <c r="S848" s="2" t="s">
        <v>5998</v>
      </c>
      <c r="T848" s="2" t="s">
        <v>384</v>
      </c>
      <c r="U848" s="2" t="s">
        <v>5999</v>
      </c>
      <c r="V848" s="2" t="s">
        <v>6000</v>
      </c>
      <c r="W848" s="1"/>
      <c r="X848" s="2" t="s">
        <v>425</v>
      </c>
      <c r="Y848" s="2" t="s">
        <v>5927</v>
      </c>
      <c r="AA848" t="str">
        <f t="shared" si="78"/>
        <v>2026-03</v>
      </c>
      <c r="AB848" t="str">
        <f t="shared" si="79"/>
        <v>H1_2026</v>
      </c>
      <c r="AC848">
        <f t="shared" si="80"/>
        <v>1184250.24</v>
      </c>
      <c r="AD848">
        <f t="shared" si="81"/>
        <v>540</v>
      </c>
      <c r="AE848">
        <f t="shared" si="82"/>
        <v>136650.23999999999</v>
      </c>
      <c r="AF848" t="str">
        <f t="shared" si="83"/>
        <v>Paid</v>
      </c>
    </row>
    <row r="849" spans="1:32" ht="17.25" thickBot="1" x14ac:dyDescent="0.35">
      <c r="A849" s="2" t="s">
        <v>6001</v>
      </c>
      <c r="B849" s="2" t="s">
        <v>27</v>
      </c>
      <c r="C849" s="2" t="s">
        <v>28</v>
      </c>
      <c r="D849" s="2" t="s">
        <v>97</v>
      </c>
      <c r="E849" s="2" t="s">
        <v>5922</v>
      </c>
      <c r="F849" s="2" t="s">
        <v>99</v>
      </c>
      <c r="G849" s="2" t="s">
        <v>32</v>
      </c>
      <c r="H849" s="1"/>
      <c r="I849" s="2" t="s">
        <v>33</v>
      </c>
      <c r="J849" s="2" t="s">
        <v>34</v>
      </c>
      <c r="K849" s="2" t="s">
        <v>4093</v>
      </c>
      <c r="L849" s="2" t="s">
        <v>4094</v>
      </c>
      <c r="M849" s="2" t="s">
        <v>304</v>
      </c>
      <c r="N849" s="2" t="s">
        <v>38</v>
      </c>
      <c r="O849" s="2" t="s">
        <v>877</v>
      </c>
      <c r="P849" s="2" t="s">
        <v>5996</v>
      </c>
      <c r="Q849" s="2" t="s">
        <v>6002</v>
      </c>
      <c r="R849" s="2" t="s">
        <v>40</v>
      </c>
      <c r="S849" s="2" t="s">
        <v>6003</v>
      </c>
      <c r="T849" s="2" t="s">
        <v>384</v>
      </c>
      <c r="U849" s="2" t="s">
        <v>6004</v>
      </c>
      <c r="V849" s="2" t="s">
        <v>6005</v>
      </c>
      <c r="W849" s="1"/>
      <c r="X849" s="2" t="s">
        <v>425</v>
      </c>
      <c r="Y849" s="2" t="s">
        <v>5927</v>
      </c>
      <c r="AA849" t="str">
        <f t="shared" si="78"/>
        <v>2026-03</v>
      </c>
      <c r="AB849" t="str">
        <f t="shared" si="79"/>
        <v>H1_2026</v>
      </c>
      <c r="AC849">
        <f t="shared" si="80"/>
        <v>219305.60000000001</v>
      </c>
      <c r="AD849">
        <f t="shared" si="81"/>
        <v>100</v>
      </c>
      <c r="AE849">
        <f t="shared" si="82"/>
        <v>25305.599999999999</v>
      </c>
      <c r="AF849" t="str">
        <f t="shared" si="83"/>
        <v>Paid</v>
      </c>
    </row>
    <row r="850" spans="1:32" ht="17.25" thickBot="1" x14ac:dyDescent="0.35">
      <c r="A850" s="2" t="s">
        <v>6006</v>
      </c>
      <c r="B850" s="2" t="s">
        <v>27</v>
      </c>
      <c r="C850" s="2" t="s">
        <v>28</v>
      </c>
      <c r="D850" s="2" t="s">
        <v>97</v>
      </c>
      <c r="E850" s="2" t="s">
        <v>5922</v>
      </c>
      <c r="F850" s="2" t="s">
        <v>99</v>
      </c>
      <c r="G850" s="2" t="s">
        <v>32</v>
      </c>
      <c r="H850" s="1"/>
      <c r="I850" s="2" t="s">
        <v>33</v>
      </c>
      <c r="J850" s="2" t="s">
        <v>34</v>
      </c>
      <c r="K850" s="2" t="s">
        <v>4102</v>
      </c>
      <c r="L850" s="2" t="s">
        <v>4103</v>
      </c>
      <c r="M850" s="2" t="s">
        <v>304</v>
      </c>
      <c r="N850" s="2" t="s">
        <v>38</v>
      </c>
      <c r="O850" s="2" t="s">
        <v>2252</v>
      </c>
      <c r="P850" s="2" t="s">
        <v>6007</v>
      </c>
      <c r="Q850" s="2" t="s">
        <v>6008</v>
      </c>
      <c r="R850" s="2" t="s">
        <v>40</v>
      </c>
      <c r="S850" s="2" t="s">
        <v>6009</v>
      </c>
      <c r="T850" s="2" t="s">
        <v>413</v>
      </c>
      <c r="U850" s="2" t="s">
        <v>6010</v>
      </c>
      <c r="V850" s="2" t="s">
        <v>6011</v>
      </c>
      <c r="W850" s="1"/>
      <c r="X850" s="2" t="s">
        <v>434</v>
      </c>
      <c r="Y850" s="2" t="s">
        <v>5927</v>
      </c>
      <c r="AA850" t="str">
        <f t="shared" si="78"/>
        <v>2026-03</v>
      </c>
      <c r="AB850" t="str">
        <f t="shared" si="79"/>
        <v>H1_2026</v>
      </c>
      <c r="AC850">
        <f t="shared" si="80"/>
        <v>4257847.08</v>
      </c>
      <c r="AD850">
        <f t="shared" si="81"/>
        <v>270</v>
      </c>
      <c r="AE850">
        <f t="shared" si="82"/>
        <v>518347.08</v>
      </c>
      <c r="AF850" t="str">
        <f t="shared" si="83"/>
        <v>Paid</v>
      </c>
    </row>
    <row r="851" spans="1:32" ht="17.25" thickBot="1" x14ac:dyDescent="0.35">
      <c r="A851" s="2" t="s">
        <v>6012</v>
      </c>
      <c r="B851" s="2" t="s">
        <v>27</v>
      </c>
      <c r="C851" s="2" t="s">
        <v>28</v>
      </c>
      <c r="D851" s="2" t="s">
        <v>97</v>
      </c>
      <c r="E851" s="2" t="s">
        <v>5922</v>
      </c>
      <c r="F851" s="2" t="s">
        <v>99</v>
      </c>
      <c r="G851" s="2" t="s">
        <v>32</v>
      </c>
      <c r="H851" s="1"/>
      <c r="I851" s="2" t="s">
        <v>33</v>
      </c>
      <c r="J851" s="2" t="s">
        <v>34</v>
      </c>
      <c r="K851" s="2" t="s">
        <v>4110</v>
      </c>
      <c r="L851" s="2" t="s">
        <v>4111</v>
      </c>
      <c r="M851" s="2" t="s">
        <v>304</v>
      </c>
      <c r="N851" s="2" t="s">
        <v>38</v>
      </c>
      <c r="O851" s="2" t="s">
        <v>1056</v>
      </c>
      <c r="P851" s="2" t="s">
        <v>6013</v>
      </c>
      <c r="Q851" s="2" t="s">
        <v>6014</v>
      </c>
      <c r="R851" s="2" t="s">
        <v>40</v>
      </c>
      <c r="S851" s="2" t="s">
        <v>6015</v>
      </c>
      <c r="T851" s="2" t="s">
        <v>6016</v>
      </c>
      <c r="U851" s="2" t="s">
        <v>6017</v>
      </c>
      <c r="V851" s="2" t="s">
        <v>6018</v>
      </c>
      <c r="W851" s="1"/>
      <c r="X851" s="2" t="s">
        <v>489</v>
      </c>
      <c r="Y851" s="2" t="s">
        <v>5927</v>
      </c>
      <c r="AA851" t="str">
        <f t="shared" si="78"/>
        <v>2026-03</v>
      </c>
      <c r="AB851" t="str">
        <f t="shared" si="79"/>
        <v>H1_2026</v>
      </c>
      <c r="AC851">
        <f t="shared" si="80"/>
        <v>13801247.68</v>
      </c>
      <c r="AD851">
        <f t="shared" si="81"/>
        <v>880</v>
      </c>
      <c r="AE851">
        <f t="shared" si="82"/>
        <v>1575447.68</v>
      </c>
      <c r="AF851" t="str">
        <f t="shared" si="83"/>
        <v>Paid</v>
      </c>
    </row>
    <row r="852" spans="1:32" ht="17.25" thickBot="1" x14ac:dyDescent="0.35">
      <c r="A852" s="2" t="s">
        <v>94</v>
      </c>
      <c r="B852" s="2" t="s">
        <v>27</v>
      </c>
      <c r="C852" s="2" t="s">
        <v>28</v>
      </c>
      <c r="D852" s="2" t="s">
        <v>97</v>
      </c>
      <c r="E852" s="2" t="s">
        <v>5922</v>
      </c>
      <c r="F852" s="2" t="s">
        <v>99</v>
      </c>
      <c r="G852" s="2" t="s">
        <v>32</v>
      </c>
      <c r="H852" s="1"/>
      <c r="I852" s="2" t="s">
        <v>33</v>
      </c>
      <c r="J852" s="2" t="s">
        <v>34</v>
      </c>
      <c r="K852" s="2" t="s">
        <v>5786</v>
      </c>
      <c r="L852" s="2" t="s">
        <v>5787</v>
      </c>
      <c r="M852" s="2" t="s">
        <v>304</v>
      </c>
      <c r="N852" s="2" t="s">
        <v>38</v>
      </c>
      <c r="O852" s="2" t="s">
        <v>6019</v>
      </c>
      <c r="P852" s="2" t="s">
        <v>5788</v>
      </c>
      <c r="Q852" s="2" t="s">
        <v>6020</v>
      </c>
      <c r="R852" s="2" t="s">
        <v>40</v>
      </c>
      <c r="S852" s="2" t="s">
        <v>6021</v>
      </c>
      <c r="T852" s="2" t="s">
        <v>6022</v>
      </c>
      <c r="U852" s="2" t="s">
        <v>6023</v>
      </c>
      <c r="V852" s="2" t="s">
        <v>6024</v>
      </c>
      <c r="W852" s="1"/>
      <c r="X852" s="2" t="s">
        <v>1357</v>
      </c>
      <c r="Y852" s="2" t="s">
        <v>5927</v>
      </c>
      <c r="AA852" t="str">
        <f t="shared" si="78"/>
        <v>2026-03</v>
      </c>
      <c r="AB852" t="str">
        <f t="shared" si="79"/>
        <v>H1_2026</v>
      </c>
      <c r="AC852">
        <f t="shared" si="80"/>
        <v>50139752.759999998</v>
      </c>
      <c r="AD852">
        <f t="shared" si="81"/>
        <v>3798</v>
      </c>
      <c r="AE852">
        <f t="shared" si="82"/>
        <v>12871012.76</v>
      </c>
      <c r="AF852" t="str">
        <f t="shared" si="83"/>
        <v>Paid</v>
      </c>
    </row>
    <row r="853" spans="1:32" ht="27.75" thickBot="1" x14ac:dyDescent="0.35">
      <c r="A853" s="2" t="s">
        <v>6025</v>
      </c>
      <c r="B853" s="2" t="s">
        <v>27</v>
      </c>
      <c r="C853" s="2" t="s">
        <v>28</v>
      </c>
      <c r="D853" s="2" t="s">
        <v>97</v>
      </c>
      <c r="E853" s="2" t="s">
        <v>5922</v>
      </c>
      <c r="F853" s="2" t="s">
        <v>99</v>
      </c>
      <c r="G853" s="2" t="s">
        <v>32</v>
      </c>
      <c r="H853" s="1"/>
      <c r="I853" s="2" t="s">
        <v>33</v>
      </c>
      <c r="J853" s="2" t="s">
        <v>34</v>
      </c>
      <c r="K853" s="2" t="s">
        <v>6026</v>
      </c>
      <c r="L853" s="2" t="s">
        <v>6027</v>
      </c>
      <c r="M853" s="2" t="s">
        <v>304</v>
      </c>
      <c r="N853" s="2" t="s">
        <v>38</v>
      </c>
      <c r="O853" s="2" t="s">
        <v>49</v>
      </c>
      <c r="P853" s="2" t="s">
        <v>3888</v>
      </c>
      <c r="Q853" s="2" t="s">
        <v>6028</v>
      </c>
      <c r="R853" s="2" t="s">
        <v>40</v>
      </c>
      <c r="S853" s="2" t="s">
        <v>6029</v>
      </c>
      <c r="T853" s="2" t="s">
        <v>706</v>
      </c>
      <c r="U853" s="2" t="s">
        <v>6030</v>
      </c>
      <c r="V853" s="2" t="s">
        <v>6031</v>
      </c>
      <c r="W853" s="1"/>
      <c r="X853" s="2" t="s">
        <v>6032</v>
      </c>
      <c r="Y853" s="2" t="s">
        <v>5927</v>
      </c>
      <c r="AA853" t="str">
        <f t="shared" si="78"/>
        <v>2026-03</v>
      </c>
      <c r="AB853" t="str">
        <f t="shared" si="79"/>
        <v>H1_2026</v>
      </c>
      <c r="AC853">
        <f t="shared" si="80"/>
        <v>110460.77</v>
      </c>
      <c r="AD853">
        <f t="shared" si="81"/>
        <v>11</v>
      </c>
      <c r="AE853">
        <f t="shared" si="82"/>
        <v>18060.77</v>
      </c>
      <c r="AF853" t="str">
        <f t="shared" si="83"/>
        <v>Paid</v>
      </c>
    </row>
    <row r="854" spans="1:32" ht="17.25" thickBot="1" x14ac:dyDescent="0.35">
      <c r="A854" s="2" t="s">
        <v>6033</v>
      </c>
      <c r="B854" s="2" t="s">
        <v>27</v>
      </c>
      <c r="C854" s="2" t="s">
        <v>28</v>
      </c>
      <c r="D854" s="2" t="s">
        <v>97</v>
      </c>
      <c r="E854" s="2" t="s">
        <v>5922</v>
      </c>
      <c r="F854" s="2" t="s">
        <v>99</v>
      </c>
      <c r="G854" s="2" t="s">
        <v>32</v>
      </c>
      <c r="H854" s="1"/>
      <c r="I854" s="2" t="s">
        <v>33</v>
      </c>
      <c r="J854" s="2" t="s">
        <v>34</v>
      </c>
      <c r="K854" s="2" t="s">
        <v>400</v>
      </c>
      <c r="L854" s="2" t="s">
        <v>401</v>
      </c>
      <c r="M854" s="2" t="s">
        <v>304</v>
      </c>
      <c r="N854" s="2" t="s">
        <v>38</v>
      </c>
      <c r="O854" s="2" t="s">
        <v>517</v>
      </c>
      <c r="P854" s="2" t="s">
        <v>6034</v>
      </c>
      <c r="Q854" s="2" t="s">
        <v>6035</v>
      </c>
      <c r="R854" s="2" t="s">
        <v>40</v>
      </c>
      <c r="S854" s="2" t="s">
        <v>6036</v>
      </c>
      <c r="T854" s="2" t="s">
        <v>706</v>
      </c>
      <c r="U854" s="2" t="s">
        <v>2297</v>
      </c>
      <c r="V854" s="2" t="s">
        <v>6037</v>
      </c>
      <c r="W854" s="1"/>
      <c r="X854" s="2" t="s">
        <v>6038</v>
      </c>
      <c r="Y854" s="2" t="s">
        <v>5927</v>
      </c>
      <c r="AA854" t="str">
        <f t="shared" si="78"/>
        <v>2026-03</v>
      </c>
      <c r="AB854" t="str">
        <f t="shared" si="79"/>
        <v>H1_2026</v>
      </c>
      <c r="AC854">
        <f t="shared" si="80"/>
        <v>1580731.68</v>
      </c>
      <c r="AD854">
        <f t="shared" si="81"/>
        <v>120</v>
      </c>
      <c r="AE854">
        <f t="shared" si="82"/>
        <v>572731.68000000005</v>
      </c>
      <c r="AF854" t="str">
        <f t="shared" si="83"/>
        <v>Paid</v>
      </c>
    </row>
    <row r="855" spans="1:32" ht="27.75" thickBot="1" x14ac:dyDescent="0.35">
      <c r="A855" s="2" t="s">
        <v>6039</v>
      </c>
      <c r="B855" s="2" t="s">
        <v>27</v>
      </c>
      <c r="C855" s="2" t="s">
        <v>28</v>
      </c>
      <c r="D855" s="2" t="s">
        <v>97</v>
      </c>
      <c r="E855" s="2" t="s">
        <v>5922</v>
      </c>
      <c r="F855" s="2" t="s">
        <v>99</v>
      </c>
      <c r="G855" s="2" t="s">
        <v>32</v>
      </c>
      <c r="H855" s="1"/>
      <c r="I855" s="2" t="s">
        <v>33</v>
      </c>
      <c r="J855" s="2" t="s">
        <v>34</v>
      </c>
      <c r="K855" s="2" t="s">
        <v>408</v>
      </c>
      <c r="L855" s="2" t="s">
        <v>409</v>
      </c>
      <c r="M855" s="2" t="s">
        <v>304</v>
      </c>
      <c r="N855" s="2" t="s">
        <v>38</v>
      </c>
      <c r="O855" s="2" t="s">
        <v>748</v>
      </c>
      <c r="P855" s="2" t="s">
        <v>6040</v>
      </c>
      <c r="Q855" s="2" t="s">
        <v>6041</v>
      </c>
      <c r="R855" s="2" t="s">
        <v>40</v>
      </c>
      <c r="S855" s="2" t="s">
        <v>6042</v>
      </c>
      <c r="T855" s="2" t="s">
        <v>413</v>
      </c>
      <c r="U855" s="2" t="s">
        <v>6043</v>
      </c>
      <c r="V855" s="2" t="s">
        <v>6044</v>
      </c>
      <c r="W855" s="1"/>
      <c r="X855" s="2" t="s">
        <v>6045</v>
      </c>
      <c r="Y855" s="2" t="s">
        <v>5927</v>
      </c>
      <c r="AA855" t="str">
        <f t="shared" si="78"/>
        <v>2026-03</v>
      </c>
      <c r="AB855" t="str">
        <f t="shared" si="79"/>
        <v>H1_2026</v>
      </c>
      <c r="AC855">
        <f t="shared" si="80"/>
        <v>4367067.04</v>
      </c>
      <c r="AD855">
        <f t="shared" si="81"/>
        <v>280</v>
      </c>
      <c r="AE855">
        <f t="shared" si="82"/>
        <v>489067.04</v>
      </c>
      <c r="AF855" t="str">
        <f t="shared" si="83"/>
        <v>Paid</v>
      </c>
    </row>
    <row r="856" spans="1:32" ht="17.25" thickBot="1" x14ac:dyDescent="0.35">
      <c r="A856" s="2" t="s">
        <v>6046</v>
      </c>
      <c r="B856" s="2" t="s">
        <v>27</v>
      </c>
      <c r="C856" s="2" t="s">
        <v>28</v>
      </c>
      <c r="D856" s="2" t="s">
        <v>97</v>
      </c>
      <c r="E856" s="2" t="s">
        <v>5922</v>
      </c>
      <c r="F856" s="2" t="s">
        <v>99</v>
      </c>
      <c r="G856" s="2" t="s">
        <v>32</v>
      </c>
      <c r="H856" s="1"/>
      <c r="I856" s="2" t="s">
        <v>33</v>
      </c>
      <c r="J856" s="2" t="s">
        <v>34</v>
      </c>
      <c r="K856" s="2" t="s">
        <v>417</v>
      </c>
      <c r="L856" s="2" t="s">
        <v>418</v>
      </c>
      <c r="M856" s="2" t="s">
        <v>304</v>
      </c>
      <c r="N856" s="2" t="s">
        <v>38</v>
      </c>
      <c r="O856" s="2" t="s">
        <v>6047</v>
      </c>
      <c r="P856" s="2" t="s">
        <v>2005</v>
      </c>
      <c r="Q856" s="2" t="s">
        <v>1021</v>
      </c>
      <c r="R856" s="2" t="s">
        <v>40</v>
      </c>
      <c r="S856" s="2" t="s">
        <v>6048</v>
      </c>
      <c r="T856" s="2" t="s">
        <v>422</v>
      </c>
      <c r="U856" s="2" t="s">
        <v>6049</v>
      </c>
      <c r="V856" s="2" t="s">
        <v>6050</v>
      </c>
      <c r="W856" s="1"/>
      <c r="X856" s="2" t="s">
        <v>566</v>
      </c>
      <c r="Y856" s="2" t="s">
        <v>5927</v>
      </c>
      <c r="AA856" t="str">
        <f t="shared" si="78"/>
        <v>2026-03</v>
      </c>
      <c r="AB856" t="str">
        <f t="shared" si="79"/>
        <v>H1_2026</v>
      </c>
      <c r="AC856">
        <f t="shared" si="80"/>
        <v>16283440.800000001</v>
      </c>
      <c r="AD856">
        <f t="shared" si="81"/>
        <v>1188</v>
      </c>
      <c r="AE856">
        <f t="shared" si="82"/>
        <v>1801720.8</v>
      </c>
      <c r="AF856" t="str">
        <f t="shared" si="83"/>
        <v>Paid</v>
      </c>
    </row>
    <row r="857" spans="1:32" ht="17.25" thickBot="1" x14ac:dyDescent="0.35">
      <c r="A857" s="2" t="s">
        <v>6051</v>
      </c>
      <c r="B857" s="2" t="s">
        <v>27</v>
      </c>
      <c r="C857" s="2" t="s">
        <v>28</v>
      </c>
      <c r="D857" s="2" t="s">
        <v>97</v>
      </c>
      <c r="E857" s="2" t="s">
        <v>5922</v>
      </c>
      <c r="F857" s="2" t="s">
        <v>99</v>
      </c>
      <c r="G857" s="2" t="s">
        <v>32</v>
      </c>
      <c r="H857" s="1"/>
      <c r="I857" s="2" t="s">
        <v>33</v>
      </c>
      <c r="J857" s="2" t="s">
        <v>34</v>
      </c>
      <c r="K857" s="2" t="s">
        <v>426</v>
      </c>
      <c r="L857" s="2" t="s">
        <v>427</v>
      </c>
      <c r="M857" s="2" t="s">
        <v>304</v>
      </c>
      <c r="N857" s="2" t="s">
        <v>38</v>
      </c>
      <c r="O857" s="2" t="s">
        <v>618</v>
      </c>
      <c r="P857" s="2" t="s">
        <v>5788</v>
      </c>
      <c r="Q857" s="2" t="s">
        <v>6052</v>
      </c>
      <c r="R857" s="2" t="s">
        <v>40</v>
      </c>
      <c r="S857" s="2" t="s">
        <v>6053</v>
      </c>
      <c r="T857" s="2" t="s">
        <v>374</v>
      </c>
      <c r="U857" s="2" t="s">
        <v>6054</v>
      </c>
      <c r="V857" s="2" t="s">
        <v>6055</v>
      </c>
      <c r="W857" s="1"/>
      <c r="X857" s="2" t="s">
        <v>377</v>
      </c>
      <c r="Y857" s="2" t="s">
        <v>5927</v>
      </c>
      <c r="AA857" t="str">
        <f t="shared" si="78"/>
        <v>2026-03</v>
      </c>
      <c r="AB857" t="str">
        <f t="shared" si="79"/>
        <v>H1_2026</v>
      </c>
      <c r="AC857">
        <f t="shared" si="80"/>
        <v>9505166.4000000004</v>
      </c>
      <c r="AD857">
        <f t="shared" si="81"/>
        <v>720</v>
      </c>
      <c r="AE857">
        <f t="shared" si="82"/>
        <v>1131566.3999999999</v>
      </c>
      <c r="AF857" t="str">
        <f t="shared" si="83"/>
        <v>Paid</v>
      </c>
    </row>
    <row r="858" spans="1:32" ht="27.75" thickBot="1" x14ac:dyDescent="0.35">
      <c r="A858" s="2" t="s">
        <v>6056</v>
      </c>
      <c r="B858" s="2" t="s">
        <v>27</v>
      </c>
      <c r="C858" s="2" t="s">
        <v>28</v>
      </c>
      <c r="D858" s="2" t="s">
        <v>97</v>
      </c>
      <c r="E858" s="2" t="s">
        <v>5922</v>
      </c>
      <c r="F858" s="2" t="s">
        <v>99</v>
      </c>
      <c r="G858" s="2" t="s">
        <v>32</v>
      </c>
      <c r="H858" s="1"/>
      <c r="I858" s="2" t="s">
        <v>33</v>
      </c>
      <c r="J858" s="2" t="s">
        <v>34</v>
      </c>
      <c r="K858" s="2" t="s">
        <v>446</v>
      </c>
      <c r="L858" s="2" t="s">
        <v>447</v>
      </c>
      <c r="M858" s="2" t="s">
        <v>304</v>
      </c>
      <c r="N858" s="2" t="s">
        <v>38</v>
      </c>
      <c r="O858" s="2" t="s">
        <v>2819</v>
      </c>
      <c r="P858" s="2" t="s">
        <v>5961</v>
      </c>
      <c r="Q858" s="2" t="s">
        <v>6057</v>
      </c>
      <c r="R858" s="2" t="s">
        <v>40</v>
      </c>
      <c r="S858" s="2" t="s">
        <v>6058</v>
      </c>
      <c r="T858" s="2" t="s">
        <v>452</v>
      </c>
      <c r="U858" s="2" t="s">
        <v>6059</v>
      </c>
      <c r="V858" s="2" t="s">
        <v>6060</v>
      </c>
      <c r="W858" s="1"/>
      <c r="X858" s="2" t="s">
        <v>4100</v>
      </c>
      <c r="Y858" s="2" t="s">
        <v>5927</v>
      </c>
      <c r="AA858" t="str">
        <f t="shared" si="78"/>
        <v>2026-03</v>
      </c>
      <c r="AB858" t="str">
        <f t="shared" si="79"/>
        <v>H1_2026</v>
      </c>
      <c r="AC858">
        <f t="shared" si="80"/>
        <v>9539793.5999999996</v>
      </c>
      <c r="AD858">
        <f t="shared" si="81"/>
        <v>760</v>
      </c>
      <c r="AE858">
        <f t="shared" si="82"/>
        <v>1118993.6000000001</v>
      </c>
      <c r="AF858" t="str">
        <f t="shared" si="83"/>
        <v>Paid</v>
      </c>
    </row>
    <row r="859" spans="1:32" ht="17.25" thickBot="1" x14ac:dyDescent="0.35">
      <c r="A859" s="2" t="s">
        <v>6061</v>
      </c>
      <c r="B859" s="2" t="s">
        <v>27</v>
      </c>
      <c r="C859" s="2" t="s">
        <v>28</v>
      </c>
      <c r="D859" s="2" t="s">
        <v>97</v>
      </c>
      <c r="E859" s="2" t="s">
        <v>5922</v>
      </c>
      <c r="F859" s="2" t="s">
        <v>99</v>
      </c>
      <c r="G859" s="2" t="s">
        <v>32</v>
      </c>
      <c r="H859" s="1"/>
      <c r="I859" s="2" t="s">
        <v>33</v>
      </c>
      <c r="J859" s="2" t="s">
        <v>34</v>
      </c>
      <c r="K859" s="2" t="s">
        <v>456</v>
      </c>
      <c r="L859" s="2" t="s">
        <v>457</v>
      </c>
      <c r="M859" s="2" t="s">
        <v>304</v>
      </c>
      <c r="N859" s="2" t="s">
        <v>38</v>
      </c>
      <c r="O859" s="2" t="s">
        <v>1283</v>
      </c>
      <c r="P859" s="2" t="s">
        <v>5794</v>
      </c>
      <c r="Q859" s="2" t="s">
        <v>6062</v>
      </c>
      <c r="R859" s="2" t="s">
        <v>40</v>
      </c>
      <c r="S859" s="2" t="s">
        <v>6063</v>
      </c>
      <c r="T859" s="2" t="s">
        <v>422</v>
      </c>
      <c r="U859" s="2" t="s">
        <v>6064</v>
      </c>
      <c r="V859" s="2" t="s">
        <v>6065</v>
      </c>
      <c r="W859" s="1"/>
      <c r="X859" s="2" t="s">
        <v>312</v>
      </c>
      <c r="Y859" s="2" t="s">
        <v>5927</v>
      </c>
      <c r="AA859" t="str">
        <f t="shared" si="78"/>
        <v>2026-03</v>
      </c>
      <c r="AB859" t="str">
        <f t="shared" si="79"/>
        <v>H1_2026</v>
      </c>
      <c r="AC859">
        <f t="shared" si="80"/>
        <v>1996604.35</v>
      </c>
      <c r="AD859">
        <f t="shared" si="81"/>
        <v>144</v>
      </c>
      <c r="AE859">
        <f t="shared" si="82"/>
        <v>241244.35</v>
      </c>
      <c r="AF859" t="str">
        <f t="shared" si="83"/>
        <v>Paid</v>
      </c>
    </row>
    <row r="860" spans="1:32" ht="27.75" thickBot="1" x14ac:dyDescent="0.35">
      <c r="A860" s="2" t="s">
        <v>6066</v>
      </c>
      <c r="B860" s="2" t="s">
        <v>27</v>
      </c>
      <c r="C860" s="2" t="s">
        <v>28</v>
      </c>
      <c r="D860" s="2" t="s">
        <v>97</v>
      </c>
      <c r="E860" s="2" t="s">
        <v>5922</v>
      </c>
      <c r="F860" s="2" t="s">
        <v>99</v>
      </c>
      <c r="G860" s="2" t="s">
        <v>32</v>
      </c>
      <c r="H860" s="1"/>
      <c r="I860" s="2" t="s">
        <v>33</v>
      </c>
      <c r="J860" s="2" t="s">
        <v>34</v>
      </c>
      <c r="K860" s="2" t="s">
        <v>464</v>
      </c>
      <c r="L860" s="2" t="s">
        <v>465</v>
      </c>
      <c r="M860" s="2" t="s">
        <v>304</v>
      </c>
      <c r="N860" s="2" t="s">
        <v>38</v>
      </c>
      <c r="O860" s="2" t="s">
        <v>4366</v>
      </c>
      <c r="P860" s="2" t="s">
        <v>5794</v>
      </c>
      <c r="Q860" s="2" t="s">
        <v>6067</v>
      </c>
      <c r="R860" s="2" t="s">
        <v>40</v>
      </c>
      <c r="S860" s="2" t="s">
        <v>6068</v>
      </c>
      <c r="T860" s="2" t="s">
        <v>422</v>
      </c>
      <c r="U860" s="2" t="s">
        <v>6069</v>
      </c>
      <c r="V860" s="2" t="s">
        <v>6070</v>
      </c>
      <c r="W860" s="1"/>
      <c r="X860" s="2" t="s">
        <v>312</v>
      </c>
      <c r="Y860" s="2" t="s">
        <v>5927</v>
      </c>
      <c r="AA860" t="str">
        <f t="shared" si="78"/>
        <v>2026-03</v>
      </c>
      <c r="AB860" t="str">
        <f t="shared" si="79"/>
        <v>H1_2026</v>
      </c>
      <c r="AC860">
        <f t="shared" si="80"/>
        <v>7986417.4100000001</v>
      </c>
      <c r="AD860">
        <f t="shared" si="81"/>
        <v>576</v>
      </c>
      <c r="AE860">
        <f t="shared" si="82"/>
        <v>964977.41</v>
      </c>
      <c r="AF860" t="str">
        <f t="shared" si="83"/>
        <v>Paid</v>
      </c>
    </row>
    <row r="861" spans="1:32" ht="27.75" thickBot="1" x14ac:dyDescent="0.35">
      <c r="A861" s="2" t="s">
        <v>6071</v>
      </c>
      <c r="B861" s="2" t="s">
        <v>27</v>
      </c>
      <c r="C861" s="2" t="s">
        <v>28</v>
      </c>
      <c r="D861" s="2" t="s">
        <v>97</v>
      </c>
      <c r="E861" s="2" t="s">
        <v>5922</v>
      </c>
      <c r="F861" s="2" t="s">
        <v>99</v>
      </c>
      <c r="G861" s="2" t="s">
        <v>32</v>
      </c>
      <c r="H861" s="1"/>
      <c r="I861" s="2" t="s">
        <v>33</v>
      </c>
      <c r="J861" s="2" t="s">
        <v>34</v>
      </c>
      <c r="K861" s="2" t="s">
        <v>472</v>
      </c>
      <c r="L861" s="2" t="s">
        <v>473</v>
      </c>
      <c r="M861" s="2" t="s">
        <v>304</v>
      </c>
      <c r="N861" s="2" t="s">
        <v>38</v>
      </c>
      <c r="O861" s="2" t="s">
        <v>618</v>
      </c>
      <c r="P861" s="2" t="s">
        <v>6072</v>
      </c>
      <c r="Q861" s="2" t="s">
        <v>6073</v>
      </c>
      <c r="R861" s="2" t="s">
        <v>40</v>
      </c>
      <c r="S861" s="2" t="s">
        <v>6074</v>
      </c>
      <c r="T861" s="2" t="s">
        <v>309</v>
      </c>
      <c r="U861" s="2" t="s">
        <v>6075</v>
      </c>
      <c r="V861" s="2" t="s">
        <v>6076</v>
      </c>
      <c r="W861" s="1"/>
      <c r="X861" s="2" t="s">
        <v>6077</v>
      </c>
      <c r="Y861" s="2" t="s">
        <v>5927</v>
      </c>
      <c r="AA861" t="str">
        <f t="shared" si="78"/>
        <v>2026-03</v>
      </c>
      <c r="AB861" t="str">
        <f t="shared" si="79"/>
        <v>H1_2026</v>
      </c>
      <c r="AC861">
        <f t="shared" si="80"/>
        <v>6336777.5999999996</v>
      </c>
      <c r="AD861">
        <f t="shared" si="81"/>
        <v>720</v>
      </c>
      <c r="AE861">
        <f t="shared" si="82"/>
        <v>749577.6</v>
      </c>
      <c r="AF861" t="str">
        <f t="shared" si="83"/>
        <v>Paid</v>
      </c>
    </row>
    <row r="862" spans="1:32" ht="17.25" thickBot="1" x14ac:dyDescent="0.35">
      <c r="A862" s="2" t="s">
        <v>860</v>
      </c>
      <c r="B862" s="2" t="s">
        <v>27</v>
      </c>
      <c r="C862" s="2" t="s">
        <v>28</v>
      </c>
      <c r="D862" s="2" t="s">
        <v>97</v>
      </c>
      <c r="E862" s="2" t="s">
        <v>5922</v>
      </c>
      <c r="F862" s="2" t="s">
        <v>99</v>
      </c>
      <c r="G862" s="2" t="s">
        <v>32</v>
      </c>
      <c r="H862" s="1"/>
      <c r="I862" s="2" t="s">
        <v>33</v>
      </c>
      <c r="J862" s="2" t="s">
        <v>34</v>
      </c>
      <c r="K862" s="2" t="s">
        <v>501</v>
      </c>
      <c r="L862" s="2" t="s">
        <v>502</v>
      </c>
      <c r="M862" s="2" t="s">
        <v>304</v>
      </c>
      <c r="N862" s="2" t="s">
        <v>38</v>
      </c>
      <c r="O862" s="2" t="s">
        <v>1113</v>
      </c>
      <c r="P862" s="2" t="s">
        <v>6078</v>
      </c>
      <c r="Q862" s="2" t="s">
        <v>6079</v>
      </c>
      <c r="R862" s="2" t="s">
        <v>40</v>
      </c>
      <c r="S862" s="2" t="s">
        <v>6080</v>
      </c>
      <c r="T862" s="2" t="s">
        <v>374</v>
      </c>
      <c r="U862" s="2" t="s">
        <v>6081</v>
      </c>
      <c r="V862" s="2" t="s">
        <v>6082</v>
      </c>
      <c r="W862" s="1"/>
      <c r="X862" s="2" t="s">
        <v>425</v>
      </c>
      <c r="Y862" s="2" t="s">
        <v>5927</v>
      </c>
      <c r="AA862" t="str">
        <f t="shared" si="78"/>
        <v>2026-03</v>
      </c>
      <c r="AB862" t="str">
        <f t="shared" si="79"/>
        <v>H1_2026</v>
      </c>
      <c r="AC862">
        <f t="shared" si="80"/>
        <v>7097710.3200000003</v>
      </c>
      <c r="AD862">
        <f t="shared" si="81"/>
        <v>540</v>
      </c>
      <c r="AE862">
        <f t="shared" si="82"/>
        <v>817510.32</v>
      </c>
      <c r="AF862" t="str">
        <f t="shared" si="83"/>
        <v>Paid</v>
      </c>
    </row>
    <row r="863" spans="1:32" ht="17.25" thickBot="1" x14ac:dyDescent="0.35">
      <c r="A863" s="2" t="s">
        <v>6083</v>
      </c>
      <c r="B863" s="2" t="s">
        <v>27</v>
      </c>
      <c r="C863" s="2" t="s">
        <v>28</v>
      </c>
      <c r="D863" s="2" t="s">
        <v>97</v>
      </c>
      <c r="E863" s="2" t="s">
        <v>5922</v>
      </c>
      <c r="F863" s="2" t="s">
        <v>99</v>
      </c>
      <c r="G863" s="2" t="s">
        <v>32</v>
      </c>
      <c r="H863" s="1"/>
      <c r="I863" s="2" t="s">
        <v>33</v>
      </c>
      <c r="J863" s="2" t="s">
        <v>34</v>
      </c>
      <c r="K863" s="2" t="s">
        <v>509</v>
      </c>
      <c r="L863" s="2" t="s">
        <v>510</v>
      </c>
      <c r="M863" s="2" t="s">
        <v>304</v>
      </c>
      <c r="N863" s="2" t="s">
        <v>38</v>
      </c>
      <c r="O863" s="2" t="s">
        <v>221</v>
      </c>
      <c r="P863" s="2" t="s">
        <v>5788</v>
      </c>
      <c r="Q863" s="2" t="s">
        <v>6084</v>
      </c>
      <c r="R863" s="2" t="s">
        <v>40</v>
      </c>
      <c r="S863" s="2" t="s">
        <v>6085</v>
      </c>
      <c r="T863" s="2" t="s">
        <v>374</v>
      </c>
      <c r="U863" s="2" t="s">
        <v>6086</v>
      </c>
      <c r="V863" s="2" t="s">
        <v>6087</v>
      </c>
      <c r="W863" s="1"/>
      <c r="X863" s="2" t="s">
        <v>377</v>
      </c>
      <c r="Y863" s="2" t="s">
        <v>5927</v>
      </c>
      <c r="AA863" t="str">
        <f t="shared" si="78"/>
        <v>2026-03</v>
      </c>
      <c r="AB863" t="str">
        <f t="shared" si="79"/>
        <v>H1_2026</v>
      </c>
      <c r="AC863">
        <f t="shared" si="80"/>
        <v>1848226.8</v>
      </c>
      <c r="AD863">
        <f t="shared" si="81"/>
        <v>140</v>
      </c>
      <c r="AE863">
        <f t="shared" si="82"/>
        <v>220026.8</v>
      </c>
      <c r="AF863" t="str">
        <f t="shared" si="83"/>
        <v>Paid</v>
      </c>
    </row>
    <row r="864" spans="1:32" ht="17.25" thickBot="1" x14ac:dyDescent="0.35">
      <c r="A864" s="2" t="s">
        <v>6088</v>
      </c>
      <c r="B864" s="2" t="s">
        <v>27</v>
      </c>
      <c r="C864" s="2" t="s">
        <v>28</v>
      </c>
      <c r="D864" s="2" t="s">
        <v>97</v>
      </c>
      <c r="E864" s="2" t="s">
        <v>5922</v>
      </c>
      <c r="F864" s="2" t="s">
        <v>99</v>
      </c>
      <c r="G864" s="2" t="s">
        <v>32</v>
      </c>
      <c r="H864" s="1"/>
      <c r="I864" s="2" t="s">
        <v>33</v>
      </c>
      <c r="J864" s="2" t="s">
        <v>34</v>
      </c>
      <c r="K864" s="2" t="s">
        <v>525</v>
      </c>
      <c r="L864" s="2" t="s">
        <v>526</v>
      </c>
      <c r="M864" s="2" t="s">
        <v>304</v>
      </c>
      <c r="N864" s="2" t="s">
        <v>38</v>
      </c>
      <c r="O864" s="2" t="s">
        <v>2819</v>
      </c>
      <c r="P864" s="2" t="s">
        <v>6089</v>
      </c>
      <c r="Q864" s="2" t="s">
        <v>6090</v>
      </c>
      <c r="R864" s="2" t="s">
        <v>40</v>
      </c>
      <c r="S864" s="2" t="s">
        <v>6091</v>
      </c>
      <c r="T864" s="2" t="s">
        <v>6092</v>
      </c>
      <c r="U864" s="2" t="s">
        <v>6093</v>
      </c>
      <c r="V864" s="2" t="s">
        <v>6094</v>
      </c>
      <c r="W864" s="1"/>
      <c r="X864" s="2" t="s">
        <v>6095</v>
      </c>
      <c r="Y864" s="2" t="s">
        <v>5927</v>
      </c>
      <c r="AA864" t="str">
        <f t="shared" si="78"/>
        <v>2026-03</v>
      </c>
      <c r="AB864" t="str">
        <f t="shared" si="79"/>
        <v>H1_2026</v>
      </c>
      <c r="AC864">
        <f t="shared" si="80"/>
        <v>8991529.5999999996</v>
      </c>
      <c r="AD864">
        <f t="shared" si="81"/>
        <v>760</v>
      </c>
      <c r="AE864">
        <f t="shared" si="82"/>
        <v>976941.1</v>
      </c>
      <c r="AF864" t="str">
        <f t="shared" si="83"/>
        <v>Paid</v>
      </c>
    </row>
    <row r="865" spans="1:32" ht="27.75" thickBot="1" x14ac:dyDescent="0.35">
      <c r="A865" s="2" t="s">
        <v>6096</v>
      </c>
      <c r="B865" s="2" t="s">
        <v>27</v>
      </c>
      <c r="C865" s="2" t="s">
        <v>28</v>
      </c>
      <c r="D865" s="2" t="s">
        <v>97</v>
      </c>
      <c r="E865" s="2" t="s">
        <v>5922</v>
      </c>
      <c r="F865" s="2" t="s">
        <v>99</v>
      </c>
      <c r="G865" s="2" t="s">
        <v>32</v>
      </c>
      <c r="H865" s="1"/>
      <c r="I865" s="2" t="s">
        <v>33</v>
      </c>
      <c r="J865" s="2" t="s">
        <v>34</v>
      </c>
      <c r="K865" s="2" t="s">
        <v>534</v>
      </c>
      <c r="L865" s="2" t="s">
        <v>535</v>
      </c>
      <c r="M865" s="2" t="s">
        <v>304</v>
      </c>
      <c r="N865" s="2" t="s">
        <v>38</v>
      </c>
      <c r="O865" s="2" t="s">
        <v>6097</v>
      </c>
      <c r="P865" s="2" t="s">
        <v>5794</v>
      </c>
      <c r="Q865" s="2" t="s">
        <v>6098</v>
      </c>
      <c r="R865" s="2" t="s">
        <v>40</v>
      </c>
      <c r="S865" s="2" t="s">
        <v>6099</v>
      </c>
      <c r="T865" s="2" t="s">
        <v>6100</v>
      </c>
      <c r="U865" s="2" t="s">
        <v>6101</v>
      </c>
      <c r="V865" s="2" t="s">
        <v>6102</v>
      </c>
      <c r="W865" s="1"/>
      <c r="X865" s="2" t="s">
        <v>2000</v>
      </c>
      <c r="Y865" s="2" t="s">
        <v>5927</v>
      </c>
      <c r="AA865" t="str">
        <f t="shared" si="78"/>
        <v>2026-03</v>
      </c>
      <c r="AB865" t="str">
        <f t="shared" si="79"/>
        <v>H1_2026</v>
      </c>
      <c r="AC865">
        <f t="shared" si="80"/>
        <v>22434068.34</v>
      </c>
      <c r="AD865">
        <f t="shared" si="81"/>
        <v>1618</v>
      </c>
      <c r="AE865">
        <f t="shared" si="82"/>
        <v>4462308.34</v>
      </c>
      <c r="AF865" t="str">
        <f t="shared" si="83"/>
        <v>Paid</v>
      </c>
    </row>
    <row r="866" spans="1:32" ht="17.25" thickBot="1" x14ac:dyDescent="0.35">
      <c r="A866" s="2" t="s">
        <v>6103</v>
      </c>
      <c r="B866" s="2" t="s">
        <v>27</v>
      </c>
      <c r="C866" s="2" t="s">
        <v>28</v>
      </c>
      <c r="D866" s="2" t="s">
        <v>97</v>
      </c>
      <c r="E866" s="2" t="s">
        <v>5922</v>
      </c>
      <c r="F866" s="2" t="s">
        <v>99</v>
      </c>
      <c r="G866" s="2" t="s">
        <v>32</v>
      </c>
      <c r="H866" s="1"/>
      <c r="I866" s="2" t="s">
        <v>33</v>
      </c>
      <c r="J866" s="2" t="s">
        <v>34</v>
      </c>
      <c r="K866" s="2" t="s">
        <v>550</v>
      </c>
      <c r="L866" s="2" t="s">
        <v>551</v>
      </c>
      <c r="M866" s="2" t="s">
        <v>304</v>
      </c>
      <c r="N866" s="2" t="s">
        <v>38</v>
      </c>
      <c r="O866" s="2" t="s">
        <v>130</v>
      </c>
      <c r="P866" s="2" t="s">
        <v>5811</v>
      </c>
      <c r="Q866" s="2" t="s">
        <v>6104</v>
      </c>
      <c r="R866" s="2" t="s">
        <v>40</v>
      </c>
      <c r="S866" s="2" t="s">
        <v>6105</v>
      </c>
      <c r="T866" s="2" t="s">
        <v>347</v>
      </c>
      <c r="U866" s="2" t="s">
        <v>6106</v>
      </c>
      <c r="V866" s="2" t="s">
        <v>6107</v>
      </c>
      <c r="W866" s="1"/>
      <c r="X866" s="2" t="s">
        <v>566</v>
      </c>
      <c r="Y866" s="2" t="s">
        <v>5927</v>
      </c>
      <c r="AA866" t="str">
        <f t="shared" si="78"/>
        <v>2026-03</v>
      </c>
      <c r="AB866" t="str">
        <f t="shared" si="79"/>
        <v>H1_2026</v>
      </c>
      <c r="AC866">
        <f t="shared" si="80"/>
        <v>190579.45</v>
      </c>
      <c r="AD866">
        <f t="shared" si="81"/>
        <v>17</v>
      </c>
      <c r="AE866">
        <f t="shared" si="82"/>
        <v>21089.45</v>
      </c>
      <c r="AF866" t="str">
        <f t="shared" si="83"/>
        <v>Paid</v>
      </c>
    </row>
    <row r="867" spans="1:32" ht="17.25" thickBot="1" x14ac:dyDescent="0.35">
      <c r="A867" s="2" t="s">
        <v>6108</v>
      </c>
      <c r="B867" s="2" t="s">
        <v>27</v>
      </c>
      <c r="C867" s="2" t="s">
        <v>28</v>
      </c>
      <c r="D867" s="2" t="s">
        <v>97</v>
      </c>
      <c r="E867" s="2" t="s">
        <v>5922</v>
      </c>
      <c r="F867" s="2" t="s">
        <v>99</v>
      </c>
      <c r="G867" s="2" t="s">
        <v>32</v>
      </c>
      <c r="H867" s="1"/>
      <c r="I867" s="2" t="s">
        <v>33</v>
      </c>
      <c r="J867" s="2" t="s">
        <v>34</v>
      </c>
      <c r="K867" s="2" t="s">
        <v>5137</v>
      </c>
      <c r="L867" s="2" t="s">
        <v>5138</v>
      </c>
      <c r="M867" s="2" t="s">
        <v>634</v>
      </c>
      <c r="N867" s="2" t="s">
        <v>38</v>
      </c>
      <c r="O867" s="2" t="s">
        <v>6109</v>
      </c>
      <c r="P867" s="2" t="s">
        <v>4453</v>
      </c>
      <c r="Q867" s="2" t="s">
        <v>6110</v>
      </c>
      <c r="R867" s="2" t="s">
        <v>40</v>
      </c>
      <c r="S867" s="2" t="s">
        <v>6111</v>
      </c>
      <c r="T867" s="2" t="s">
        <v>669</v>
      </c>
      <c r="U867" s="2" t="s">
        <v>6112</v>
      </c>
      <c r="V867" s="2" t="s">
        <v>6113</v>
      </c>
      <c r="W867" s="1"/>
      <c r="X867" s="2" t="s">
        <v>672</v>
      </c>
      <c r="Y867" s="2" t="s">
        <v>5927</v>
      </c>
      <c r="AA867" t="str">
        <f t="shared" si="78"/>
        <v>2026-03</v>
      </c>
      <c r="AB867" t="str">
        <f t="shared" si="79"/>
        <v>H1_2026</v>
      </c>
      <c r="AC867">
        <f t="shared" si="80"/>
        <v>117917620.09999999</v>
      </c>
      <c r="AD867">
        <f t="shared" si="81"/>
        <v>10532</v>
      </c>
      <c r="AE867">
        <f t="shared" si="82"/>
        <v>54725620.100000001</v>
      </c>
      <c r="AF867" t="str">
        <f t="shared" si="83"/>
        <v>Paid</v>
      </c>
    </row>
    <row r="868" spans="1:32" ht="17.25" thickBot="1" x14ac:dyDescent="0.35">
      <c r="A868" s="2" t="s">
        <v>6114</v>
      </c>
      <c r="B868" s="2" t="s">
        <v>27</v>
      </c>
      <c r="C868" s="2" t="s">
        <v>28</v>
      </c>
      <c r="D868" s="2" t="s">
        <v>97</v>
      </c>
      <c r="E868" s="2" t="s">
        <v>5922</v>
      </c>
      <c r="F868" s="2" t="s">
        <v>99</v>
      </c>
      <c r="G868" s="2" t="s">
        <v>32</v>
      </c>
      <c r="H868" s="1"/>
      <c r="I868" s="2" t="s">
        <v>33</v>
      </c>
      <c r="J868" s="2" t="s">
        <v>34</v>
      </c>
      <c r="K868" s="2" t="s">
        <v>663</v>
      </c>
      <c r="L868" s="2" t="s">
        <v>664</v>
      </c>
      <c r="M868" s="2" t="s">
        <v>634</v>
      </c>
      <c r="N868" s="2" t="s">
        <v>38</v>
      </c>
      <c r="O868" s="2" t="s">
        <v>3998</v>
      </c>
      <c r="P868" s="2" t="s">
        <v>4453</v>
      </c>
      <c r="Q868" s="2" t="s">
        <v>6115</v>
      </c>
      <c r="R868" s="2" t="s">
        <v>40</v>
      </c>
      <c r="S868" s="2" t="s">
        <v>6116</v>
      </c>
      <c r="T868" s="2" t="s">
        <v>669</v>
      </c>
      <c r="U868" s="2" t="s">
        <v>6117</v>
      </c>
      <c r="V868" s="2" t="s">
        <v>6118</v>
      </c>
      <c r="W868" s="1"/>
      <c r="X868" s="2" t="s">
        <v>672</v>
      </c>
      <c r="Y868" s="2" t="s">
        <v>5927</v>
      </c>
      <c r="AA868" t="str">
        <f t="shared" si="78"/>
        <v>2026-03</v>
      </c>
      <c r="AB868" t="str">
        <f t="shared" si="79"/>
        <v>H1_2026</v>
      </c>
      <c r="AC868">
        <f t="shared" si="80"/>
        <v>5821986.5599999996</v>
      </c>
      <c r="AD868">
        <f t="shared" si="81"/>
        <v>520</v>
      </c>
      <c r="AE868">
        <f t="shared" si="82"/>
        <v>2701986.56</v>
      </c>
      <c r="AF868" t="str">
        <f t="shared" si="83"/>
        <v>Paid</v>
      </c>
    </row>
    <row r="869" spans="1:32" ht="27.75" thickBot="1" x14ac:dyDescent="0.35">
      <c r="A869" s="2" t="s">
        <v>6119</v>
      </c>
      <c r="B869" s="2" t="s">
        <v>27</v>
      </c>
      <c r="C869" s="2" t="s">
        <v>28</v>
      </c>
      <c r="D869" s="2" t="s">
        <v>97</v>
      </c>
      <c r="E869" s="2" t="s">
        <v>5922</v>
      </c>
      <c r="F869" s="2" t="s">
        <v>99</v>
      </c>
      <c r="G869" s="2" t="s">
        <v>32</v>
      </c>
      <c r="H869" s="1"/>
      <c r="I869" s="2" t="s">
        <v>33</v>
      </c>
      <c r="J869" s="2" t="s">
        <v>34</v>
      </c>
      <c r="K869" s="2" t="s">
        <v>674</v>
      </c>
      <c r="L869" s="2" t="s">
        <v>675</v>
      </c>
      <c r="M869" s="2" t="s">
        <v>634</v>
      </c>
      <c r="N869" s="2" t="s">
        <v>38</v>
      </c>
      <c r="O869" s="2" t="s">
        <v>167</v>
      </c>
      <c r="P869" s="2" t="s">
        <v>4453</v>
      </c>
      <c r="Q869" s="2" t="s">
        <v>6120</v>
      </c>
      <c r="R869" s="2" t="s">
        <v>40</v>
      </c>
      <c r="S869" s="2" t="s">
        <v>6121</v>
      </c>
      <c r="T869" s="2" t="s">
        <v>669</v>
      </c>
      <c r="U869" s="2" t="s">
        <v>6122</v>
      </c>
      <c r="V869" s="2" t="s">
        <v>6123</v>
      </c>
      <c r="W869" s="1"/>
      <c r="X869" s="2" t="s">
        <v>672</v>
      </c>
      <c r="Y869" s="2" t="s">
        <v>5927</v>
      </c>
      <c r="AA869" t="str">
        <f t="shared" si="78"/>
        <v>2026-03</v>
      </c>
      <c r="AB869" t="str">
        <f t="shared" si="79"/>
        <v>H1_2026</v>
      </c>
      <c r="AC869">
        <f t="shared" si="80"/>
        <v>8956902.4000000004</v>
      </c>
      <c r="AD869">
        <f t="shared" si="81"/>
        <v>800</v>
      </c>
      <c r="AE869">
        <f t="shared" si="82"/>
        <v>4156902.4</v>
      </c>
      <c r="AF869" t="str">
        <f t="shared" si="83"/>
        <v>Paid</v>
      </c>
    </row>
    <row r="870" spans="1:32" ht="17.25" thickBot="1" x14ac:dyDescent="0.35">
      <c r="A870" s="2" t="s">
        <v>6124</v>
      </c>
      <c r="B870" s="2" t="s">
        <v>27</v>
      </c>
      <c r="C870" s="2" t="s">
        <v>28</v>
      </c>
      <c r="D870" s="2" t="s">
        <v>97</v>
      </c>
      <c r="E870" s="2" t="s">
        <v>5922</v>
      </c>
      <c r="F870" s="2" t="s">
        <v>99</v>
      </c>
      <c r="G870" s="2" t="s">
        <v>32</v>
      </c>
      <c r="H870" s="1"/>
      <c r="I870" s="2" t="s">
        <v>33</v>
      </c>
      <c r="J870" s="2" t="s">
        <v>34</v>
      </c>
      <c r="K870" s="2" t="s">
        <v>682</v>
      </c>
      <c r="L870" s="2" t="s">
        <v>683</v>
      </c>
      <c r="M870" s="2" t="s">
        <v>634</v>
      </c>
      <c r="N870" s="2" t="s">
        <v>38</v>
      </c>
      <c r="O870" s="2" t="s">
        <v>340</v>
      </c>
      <c r="P870" s="2" t="s">
        <v>6125</v>
      </c>
      <c r="Q870" s="2" t="s">
        <v>6126</v>
      </c>
      <c r="R870" s="2" t="s">
        <v>40</v>
      </c>
      <c r="S870" s="2" t="s">
        <v>6127</v>
      </c>
      <c r="T870" s="2" t="s">
        <v>687</v>
      </c>
      <c r="U870" s="2" t="s">
        <v>6128</v>
      </c>
      <c r="V870" s="2" t="s">
        <v>6129</v>
      </c>
      <c r="W870" s="1"/>
      <c r="X870" s="2" t="s">
        <v>690</v>
      </c>
      <c r="Y870" s="2" t="s">
        <v>5927</v>
      </c>
      <c r="AA870" t="str">
        <f t="shared" si="78"/>
        <v>2026-03</v>
      </c>
      <c r="AB870" t="str">
        <f t="shared" si="79"/>
        <v>H1_2026</v>
      </c>
      <c r="AC870">
        <f t="shared" si="80"/>
        <v>492167.94</v>
      </c>
      <c r="AD870">
        <f t="shared" si="81"/>
        <v>41</v>
      </c>
      <c r="AE870">
        <f t="shared" si="82"/>
        <v>230997.94</v>
      </c>
      <c r="AF870" t="str">
        <f t="shared" si="83"/>
        <v>Paid</v>
      </c>
    </row>
    <row r="871" spans="1:32" ht="17.25" thickBot="1" x14ac:dyDescent="0.35">
      <c r="A871" s="2" t="s">
        <v>6130</v>
      </c>
      <c r="B871" s="2" t="s">
        <v>27</v>
      </c>
      <c r="C871" s="2" t="s">
        <v>28</v>
      </c>
      <c r="D871" s="2" t="s">
        <v>97</v>
      </c>
      <c r="E871" s="2" t="s">
        <v>5922</v>
      </c>
      <c r="F871" s="2" t="s">
        <v>99</v>
      </c>
      <c r="G871" s="2" t="s">
        <v>32</v>
      </c>
      <c r="H871" s="1"/>
      <c r="I871" s="2" t="s">
        <v>33</v>
      </c>
      <c r="J871" s="2" t="s">
        <v>34</v>
      </c>
      <c r="K871" s="2" t="s">
        <v>5547</v>
      </c>
      <c r="L871" s="2" t="s">
        <v>5548</v>
      </c>
      <c r="M871" s="2" t="s">
        <v>634</v>
      </c>
      <c r="N871" s="2" t="s">
        <v>38</v>
      </c>
      <c r="O871" s="2" t="s">
        <v>719</v>
      </c>
      <c r="P871" s="2" t="s">
        <v>6131</v>
      </c>
      <c r="Q871" s="2" t="s">
        <v>6132</v>
      </c>
      <c r="R871" s="2" t="s">
        <v>40</v>
      </c>
      <c r="S871" s="2" t="s">
        <v>6133</v>
      </c>
      <c r="T871" s="2" t="s">
        <v>5551</v>
      </c>
      <c r="U871" s="2" t="s">
        <v>6134</v>
      </c>
      <c r="V871" s="2" t="s">
        <v>6135</v>
      </c>
      <c r="W871" s="1"/>
      <c r="X871" s="2" t="s">
        <v>2843</v>
      </c>
      <c r="Y871" s="2" t="s">
        <v>5927</v>
      </c>
      <c r="AA871" t="str">
        <f t="shared" si="78"/>
        <v>2026-03</v>
      </c>
      <c r="AB871" t="str">
        <f t="shared" si="79"/>
        <v>H1_2026</v>
      </c>
      <c r="AC871">
        <f t="shared" si="80"/>
        <v>1991482.41</v>
      </c>
      <c r="AD871">
        <f t="shared" si="81"/>
        <v>83</v>
      </c>
      <c r="AE871">
        <f t="shared" si="82"/>
        <v>926592.41</v>
      </c>
      <c r="AF871" t="str">
        <f t="shared" si="83"/>
        <v>Paid</v>
      </c>
    </row>
    <row r="872" spans="1:32" ht="17.25" thickBot="1" x14ac:dyDescent="0.35">
      <c r="A872" s="2" t="s">
        <v>6136</v>
      </c>
      <c r="B872" s="2" t="s">
        <v>27</v>
      </c>
      <c r="C872" s="2" t="s">
        <v>28</v>
      </c>
      <c r="D872" s="2" t="s">
        <v>97</v>
      </c>
      <c r="E872" s="2" t="s">
        <v>5922</v>
      </c>
      <c r="F872" s="2" t="s">
        <v>99</v>
      </c>
      <c r="G872" s="2" t="s">
        <v>32</v>
      </c>
      <c r="H872" s="1"/>
      <c r="I872" s="2" t="s">
        <v>33</v>
      </c>
      <c r="J872" s="2" t="s">
        <v>34</v>
      </c>
      <c r="K872" s="2" t="s">
        <v>6137</v>
      </c>
      <c r="L872" s="2" t="s">
        <v>6138</v>
      </c>
      <c r="M872" s="2" t="s">
        <v>634</v>
      </c>
      <c r="N872" s="2" t="s">
        <v>38</v>
      </c>
      <c r="O872" s="2" t="s">
        <v>4422</v>
      </c>
      <c r="P872" s="2" t="s">
        <v>4360</v>
      </c>
      <c r="Q872" s="2" t="s">
        <v>6139</v>
      </c>
      <c r="R872" s="2" t="s">
        <v>40</v>
      </c>
      <c r="S872" s="2" t="s">
        <v>6140</v>
      </c>
      <c r="T872" s="2" t="s">
        <v>297</v>
      </c>
      <c r="U872" s="2" t="s">
        <v>210</v>
      </c>
      <c r="V872" s="2" t="s">
        <v>6141</v>
      </c>
      <c r="W872" s="1"/>
      <c r="X872" s="2" t="s">
        <v>6142</v>
      </c>
      <c r="Y872" s="2" t="s">
        <v>5927</v>
      </c>
      <c r="AA872" t="str">
        <f t="shared" si="78"/>
        <v>2026-03</v>
      </c>
      <c r="AB872" t="str">
        <f t="shared" si="79"/>
        <v>H1_2026</v>
      </c>
      <c r="AC872">
        <f t="shared" si="80"/>
        <v>7604782.3799999999</v>
      </c>
      <c r="AD872">
        <f t="shared" si="81"/>
        <v>585</v>
      </c>
      <c r="AE872">
        <f t="shared" si="82"/>
        <v>2924782.38</v>
      </c>
      <c r="AF872" t="str">
        <f t="shared" si="83"/>
        <v>Paid</v>
      </c>
    </row>
    <row r="873" spans="1:32" ht="17.25" thickBot="1" x14ac:dyDescent="0.35">
      <c r="A873" s="2" t="s">
        <v>6143</v>
      </c>
      <c r="B873" s="2" t="s">
        <v>27</v>
      </c>
      <c r="C873" s="2" t="s">
        <v>28</v>
      </c>
      <c r="D873" s="2" t="s">
        <v>97</v>
      </c>
      <c r="E873" s="2" t="s">
        <v>5922</v>
      </c>
      <c r="F873" s="2" t="s">
        <v>99</v>
      </c>
      <c r="G873" s="2" t="s">
        <v>32</v>
      </c>
      <c r="H873" s="1"/>
      <c r="I873" s="2" t="s">
        <v>33</v>
      </c>
      <c r="J873" s="2" t="s">
        <v>34</v>
      </c>
      <c r="K873" s="2" t="s">
        <v>6144</v>
      </c>
      <c r="L873" s="2" t="s">
        <v>6145</v>
      </c>
      <c r="M873" s="2" t="s">
        <v>6146</v>
      </c>
      <c r="N873" s="2" t="s">
        <v>38</v>
      </c>
      <c r="O873" s="2" t="s">
        <v>3018</v>
      </c>
      <c r="P873" s="2" t="s">
        <v>306</v>
      </c>
      <c r="Q873" s="2" t="s">
        <v>6147</v>
      </c>
      <c r="R873" s="2" t="s">
        <v>40</v>
      </c>
      <c r="S873" s="2" t="s">
        <v>6148</v>
      </c>
      <c r="T873" s="2" t="s">
        <v>6149</v>
      </c>
      <c r="U873" s="2" t="s">
        <v>6150</v>
      </c>
      <c r="V873" s="2" t="s">
        <v>6151</v>
      </c>
      <c r="W873" s="1"/>
      <c r="X873" s="2" t="s">
        <v>2429</v>
      </c>
      <c r="Y873" s="2" t="s">
        <v>5927</v>
      </c>
      <c r="AA873" t="str">
        <f t="shared" si="78"/>
        <v>2026-03</v>
      </c>
      <c r="AB873" t="str">
        <f t="shared" si="79"/>
        <v>H1_2026</v>
      </c>
      <c r="AC873">
        <f t="shared" si="80"/>
        <v>3137181.04</v>
      </c>
      <c r="AD873">
        <f t="shared" si="81"/>
        <v>363</v>
      </c>
      <c r="AE873">
        <f t="shared" si="82"/>
        <v>764481.05</v>
      </c>
      <c r="AF873" t="str">
        <f t="shared" si="83"/>
        <v>Paid</v>
      </c>
    </row>
    <row r="874" spans="1:32" ht="17.25" thickBot="1" x14ac:dyDescent="0.35">
      <c r="A874" s="2" t="s">
        <v>6152</v>
      </c>
      <c r="B874" s="2" t="s">
        <v>27</v>
      </c>
      <c r="C874" s="2" t="s">
        <v>28</v>
      </c>
      <c r="D874" s="2" t="s">
        <v>97</v>
      </c>
      <c r="E874" s="2" t="s">
        <v>5922</v>
      </c>
      <c r="F874" s="2" t="s">
        <v>99</v>
      </c>
      <c r="G874" s="2" t="s">
        <v>32</v>
      </c>
      <c r="H874" s="1"/>
      <c r="I874" s="2" t="s">
        <v>33</v>
      </c>
      <c r="J874" s="2" t="s">
        <v>34</v>
      </c>
      <c r="K874" s="2" t="s">
        <v>6153</v>
      </c>
      <c r="L874" s="2" t="s">
        <v>6154</v>
      </c>
      <c r="M874" s="2" t="s">
        <v>6146</v>
      </c>
      <c r="N874" s="2" t="s">
        <v>38</v>
      </c>
      <c r="O874" s="2" t="s">
        <v>291</v>
      </c>
      <c r="P874" s="2" t="s">
        <v>3210</v>
      </c>
      <c r="Q874" s="2" t="s">
        <v>6155</v>
      </c>
      <c r="R874" s="2" t="s">
        <v>40</v>
      </c>
      <c r="S874" s="2" t="s">
        <v>6156</v>
      </c>
      <c r="T874" s="2" t="s">
        <v>6157</v>
      </c>
      <c r="U874" s="2" t="s">
        <v>6158</v>
      </c>
      <c r="V874" s="2" t="s">
        <v>6159</v>
      </c>
      <c r="W874" s="1"/>
      <c r="X874" s="2" t="s">
        <v>817</v>
      </c>
      <c r="Y874" s="2" t="s">
        <v>5927</v>
      </c>
      <c r="AA874" t="str">
        <f t="shared" si="78"/>
        <v>2026-03</v>
      </c>
      <c r="AB874" t="str">
        <f t="shared" si="79"/>
        <v>H1_2026</v>
      </c>
      <c r="AC874">
        <f t="shared" si="80"/>
        <v>226981.3</v>
      </c>
      <c r="AD874">
        <f t="shared" si="81"/>
        <v>36</v>
      </c>
      <c r="AE874">
        <f t="shared" si="82"/>
        <v>55817.66</v>
      </c>
      <c r="AF874" t="str">
        <f t="shared" si="83"/>
        <v>Paid</v>
      </c>
    </row>
    <row r="875" spans="1:32" ht="17.25" thickBot="1" x14ac:dyDescent="0.35">
      <c r="A875" s="2" t="s">
        <v>6160</v>
      </c>
      <c r="B875" s="2" t="s">
        <v>27</v>
      </c>
      <c r="C875" s="2" t="s">
        <v>28</v>
      </c>
      <c r="D875" s="2" t="s">
        <v>97</v>
      </c>
      <c r="E875" s="2" t="s">
        <v>5922</v>
      </c>
      <c r="F875" s="2" t="s">
        <v>99</v>
      </c>
      <c r="G875" s="2" t="s">
        <v>32</v>
      </c>
      <c r="H875" s="1"/>
      <c r="I875" s="2" t="s">
        <v>33</v>
      </c>
      <c r="J875" s="2" t="s">
        <v>34</v>
      </c>
      <c r="K875" s="2" t="s">
        <v>6161</v>
      </c>
      <c r="L875" s="2" t="s">
        <v>6162</v>
      </c>
      <c r="M875" s="2" t="s">
        <v>6146</v>
      </c>
      <c r="N875" s="2" t="s">
        <v>38</v>
      </c>
      <c r="O875" s="2" t="s">
        <v>887</v>
      </c>
      <c r="P875" s="2" t="s">
        <v>6163</v>
      </c>
      <c r="Q875" s="2" t="s">
        <v>6164</v>
      </c>
      <c r="R875" s="2" t="s">
        <v>40</v>
      </c>
      <c r="S875" s="2" t="s">
        <v>6165</v>
      </c>
      <c r="T875" s="2" t="s">
        <v>6166</v>
      </c>
      <c r="U875" s="2" t="s">
        <v>6167</v>
      </c>
      <c r="V875" s="2" t="s">
        <v>6168</v>
      </c>
      <c r="W875" s="1"/>
      <c r="X875" s="2" t="s">
        <v>1375</v>
      </c>
      <c r="Y875" s="2" t="s">
        <v>5927</v>
      </c>
      <c r="AA875" t="str">
        <f t="shared" si="78"/>
        <v>2026-03</v>
      </c>
      <c r="AB875" t="str">
        <f t="shared" si="79"/>
        <v>H1_2026</v>
      </c>
      <c r="AC875">
        <f t="shared" si="80"/>
        <v>518773.17</v>
      </c>
      <c r="AD875">
        <f t="shared" si="81"/>
        <v>101</v>
      </c>
      <c r="AE875">
        <f t="shared" si="82"/>
        <v>129464.08</v>
      </c>
      <c r="AF875" t="str">
        <f t="shared" si="83"/>
        <v>Paid</v>
      </c>
    </row>
    <row r="876" spans="1:32" ht="27.75" thickBot="1" x14ac:dyDescent="0.35">
      <c r="A876" s="2" t="s">
        <v>6169</v>
      </c>
      <c r="B876" s="2" t="s">
        <v>27</v>
      </c>
      <c r="C876" s="2" t="s">
        <v>28</v>
      </c>
      <c r="D876" s="2" t="s">
        <v>97</v>
      </c>
      <c r="E876" s="2" t="s">
        <v>5922</v>
      </c>
      <c r="F876" s="2" t="s">
        <v>99</v>
      </c>
      <c r="G876" s="2" t="s">
        <v>32</v>
      </c>
      <c r="H876" s="1"/>
      <c r="I876" s="2" t="s">
        <v>33</v>
      </c>
      <c r="J876" s="2" t="s">
        <v>34</v>
      </c>
      <c r="K876" s="2" t="s">
        <v>6170</v>
      </c>
      <c r="L876" s="2" t="s">
        <v>6171</v>
      </c>
      <c r="M876" s="2" t="s">
        <v>6146</v>
      </c>
      <c r="N876" s="2" t="s">
        <v>38</v>
      </c>
      <c r="O876" s="2" t="s">
        <v>935</v>
      </c>
      <c r="P876" s="2" t="s">
        <v>723</v>
      </c>
      <c r="Q876" s="2" t="s">
        <v>6172</v>
      </c>
      <c r="R876" s="2" t="s">
        <v>40</v>
      </c>
      <c r="S876" s="2" t="s">
        <v>6173</v>
      </c>
      <c r="T876" s="2" t="s">
        <v>2884</v>
      </c>
      <c r="U876" s="2" t="s">
        <v>6174</v>
      </c>
      <c r="V876" s="2" t="s">
        <v>6175</v>
      </c>
      <c r="W876" s="1"/>
      <c r="X876" s="2" t="s">
        <v>1357</v>
      </c>
      <c r="Y876" s="2" t="s">
        <v>5927</v>
      </c>
      <c r="AA876" t="str">
        <f t="shared" si="78"/>
        <v>2026-03</v>
      </c>
      <c r="AB876" t="str">
        <f t="shared" si="79"/>
        <v>H1_2026</v>
      </c>
      <c r="AC876">
        <f t="shared" si="80"/>
        <v>882445.34</v>
      </c>
      <c r="AD876">
        <f t="shared" si="81"/>
        <v>106</v>
      </c>
      <c r="AE876">
        <f t="shared" si="82"/>
        <v>227172.62</v>
      </c>
      <c r="AF876" t="str">
        <f t="shared" si="83"/>
        <v>Paid</v>
      </c>
    </row>
    <row r="877" spans="1:32" ht="17.25" thickBot="1" x14ac:dyDescent="0.35">
      <c r="A877" s="2" t="s">
        <v>6176</v>
      </c>
      <c r="B877" s="2" t="s">
        <v>27</v>
      </c>
      <c r="C877" s="2" t="s">
        <v>28</v>
      </c>
      <c r="D877" s="2" t="s">
        <v>97</v>
      </c>
      <c r="E877" s="2" t="s">
        <v>5922</v>
      </c>
      <c r="F877" s="2" t="s">
        <v>99</v>
      </c>
      <c r="G877" s="2" t="s">
        <v>32</v>
      </c>
      <c r="H877" s="1"/>
      <c r="I877" s="2" t="s">
        <v>33</v>
      </c>
      <c r="J877" s="2" t="s">
        <v>34</v>
      </c>
      <c r="K877" s="2" t="s">
        <v>6177</v>
      </c>
      <c r="L877" s="2" t="s">
        <v>6178</v>
      </c>
      <c r="M877" s="2" t="s">
        <v>6146</v>
      </c>
      <c r="N877" s="2" t="s">
        <v>38</v>
      </c>
      <c r="O877" s="2" t="s">
        <v>1155</v>
      </c>
      <c r="P877" s="2" t="s">
        <v>5882</v>
      </c>
      <c r="Q877" s="2" t="s">
        <v>6179</v>
      </c>
      <c r="R877" s="2" t="s">
        <v>40</v>
      </c>
      <c r="S877" s="2" t="s">
        <v>6180</v>
      </c>
      <c r="T877" s="2" t="s">
        <v>6181</v>
      </c>
      <c r="U877" s="2" t="s">
        <v>6182</v>
      </c>
      <c r="V877" s="2" t="s">
        <v>6183</v>
      </c>
      <c r="W877" s="1"/>
      <c r="X877" s="2" t="s">
        <v>1504</v>
      </c>
      <c r="Y877" s="2" t="s">
        <v>5927</v>
      </c>
      <c r="AA877" t="str">
        <f t="shared" si="78"/>
        <v>2026-03</v>
      </c>
      <c r="AB877" t="str">
        <f t="shared" si="79"/>
        <v>H1_2026</v>
      </c>
      <c r="AC877">
        <f t="shared" si="80"/>
        <v>1213510.22</v>
      </c>
      <c r="AD877">
        <f t="shared" si="81"/>
        <v>129</v>
      </c>
      <c r="AE877">
        <f t="shared" si="82"/>
        <v>304646.59000000003</v>
      </c>
      <c r="AF877" t="str">
        <f t="shared" si="83"/>
        <v>Paid</v>
      </c>
    </row>
    <row r="878" spans="1:32" ht="17.25" thickBot="1" x14ac:dyDescent="0.35">
      <c r="A878" s="2" t="s">
        <v>6184</v>
      </c>
      <c r="B878" s="2" t="s">
        <v>27</v>
      </c>
      <c r="C878" s="2" t="s">
        <v>28</v>
      </c>
      <c r="D878" s="2" t="s">
        <v>97</v>
      </c>
      <c r="E878" s="2" t="s">
        <v>5922</v>
      </c>
      <c r="F878" s="2" t="s">
        <v>99</v>
      </c>
      <c r="G878" s="2" t="s">
        <v>32</v>
      </c>
      <c r="H878" s="1"/>
      <c r="I878" s="2" t="s">
        <v>33</v>
      </c>
      <c r="J878" s="2" t="s">
        <v>34</v>
      </c>
      <c r="K878" s="2" t="s">
        <v>6185</v>
      </c>
      <c r="L878" s="2" t="s">
        <v>6186</v>
      </c>
      <c r="M878" s="2" t="s">
        <v>6146</v>
      </c>
      <c r="N878" s="2" t="s">
        <v>38</v>
      </c>
      <c r="O878" s="2" t="s">
        <v>500</v>
      </c>
      <c r="P878" s="2" t="s">
        <v>6187</v>
      </c>
      <c r="Q878" s="2" t="s">
        <v>6188</v>
      </c>
      <c r="R878" s="2" t="s">
        <v>40</v>
      </c>
      <c r="S878" s="2" t="s">
        <v>6189</v>
      </c>
      <c r="T878" s="2" t="s">
        <v>6190</v>
      </c>
      <c r="U878" s="2" t="s">
        <v>6191</v>
      </c>
      <c r="V878" s="2" t="s">
        <v>6192</v>
      </c>
      <c r="W878" s="1"/>
      <c r="X878" s="2" t="s">
        <v>201</v>
      </c>
      <c r="Y878" s="2" t="s">
        <v>5927</v>
      </c>
      <c r="AA878" t="str">
        <f t="shared" si="78"/>
        <v>2026-03</v>
      </c>
      <c r="AB878" t="str">
        <f t="shared" si="79"/>
        <v>H1_2026</v>
      </c>
      <c r="AC878">
        <f t="shared" si="80"/>
        <v>438495.78</v>
      </c>
      <c r="AD878">
        <f t="shared" si="81"/>
        <v>58</v>
      </c>
      <c r="AE878">
        <f t="shared" si="82"/>
        <v>106313.96</v>
      </c>
      <c r="AF878" t="str">
        <f t="shared" si="83"/>
        <v>Paid</v>
      </c>
    </row>
    <row r="879" spans="1:32" ht="27.75" thickBot="1" x14ac:dyDescent="0.35">
      <c r="A879" s="2" t="s">
        <v>6193</v>
      </c>
      <c r="B879" s="2" t="s">
        <v>27</v>
      </c>
      <c r="C879" s="2" t="s">
        <v>28</v>
      </c>
      <c r="D879" s="2" t="s">
        <v>97</v>
      </c>
      <c r="E879" s="2" t="s">
        <v>5922</v>
      </c>
      <c r="F879" s="2" t="s">
        <v>99</v>
      </c>
      <c r="G879" s="2" t="s">
        <v>32</v>
      </c>
      <c r="H879" s="1"/>
      <c r="I879" s="2" t="s">
        <v>33</v>
      </c>
      <c r="J879" s="2" t="s">
        <v>34</v>
      </c>
      <c r="K879" s="2" t="s">
        <v>6194</v>
      </c>
      <c r="L879" s="2" t="s">
        <v>6195</v>
      </c>
      <c r="M879" s="2" t="s">
        <v>6146</v>
      </c>
      <c r="N879" s="2" t="s">
        <v>38</v>
      </c>
      <c r="O879" s="2" t="s">
        <v>388</v>
      </c>
      <c r="P879" s="2" t="s">
        <v>6196</v>
      </c>
      <c r="Q879" s="2" t="s">
        <v>6197</v>
      </c>
      <c r="R879" s="2" t="s">
        <v>40</v>
      </c>
      <c r="S879" s="2" t="s">
        <v>6198</v>
      </c>
      <c r="T879" s="2" t="s">
        <v>6199</v>
      </c>
      <c r="U879" s="2" t="s">
        <v>6200</v>
      </c>
      <c r="V879" s="2" t="s">
        <v>6201</v>
      </c>
      <c r="W879" s="1"/>
      <c r="X879" s="2" t="s">
        <v>1427</v>
      </c>
      <c r="Y879" s="2" t="s">
        <v>5927</v>
      </c>
      <c r="AA879" t="str">
        <f t="shared" si="78"/>
        <v>2026-03</v>
      </c>
      <c r="AB879" t="str">
        <f t="shared" si="79"/>
        <v>H1_2026</v>
      </c>
      <c r="AC879">
        <f t="shared" si="80"/>
        <v>430733.51</v>
      </c>
      <c r="AD879">
        <f t="shared" si="81"/>
        <v>46</v>
      </c>
      <c r="AE879">
        <f t="shared" si="82"/>
        <v>104547.51</v>
      </c>
      <c r="AF879" t="str">
        <f t="shared" si="83"/>
        <v>Paid</v>
      </c>
    </row>
    <row r="880" spans="1:32" ht="17.25" thickBot="1" x14ac:dyDescent="0.35">
      <c r="A880" s="2" t="s">
        <v>6202</v>
      </c>
      <c r="B880" s="2" t="s">
        <v>27</v>
      </c>
      <c r="C880" s="2" t="s">
        <v>28</v>
      </c>
      <c r="D880" s="2" t="s">
        <v>97</v>
      </c>
      <c r="E880" s="2" t="s">
        <v>5922</v>
      </c>
      <c r="F880" s="2" t="s">
        <v>99</v>
      </c>
      <c r="G880" s="2" t="s">
        <v>32</v>
      </c>
      <c r="H880" s="1"/>
      <c r="I880" s="2" t="s">
        <v>33</v>
      </c>
      <c r="J880" s="2" t="s">
        <v>34</v>
      </c>
      <c r="K880" s="2" t="s">
        <v>6203</v>
      </c>
      <c r="L880" s="2" t="s">
        <v>6204</v>
      </c>
      <c r="M880" s="2" t="s">
        <v>6146</v>
      </c>
      <c r="N880" s="2" t="s">
        <v>38</v>
      </c>
      <c r="O880" s="2" t="s">
        <v>131</v>
      </c>
      <c r="P880" s="2" t="s">
        <v>6205</v>
      </c>
      <c r="Q880" s="2" t="s">
        <v>6206</v>
      </c>
      <c r="R880" s="2" t="s">
        <v>40</v>
      </c>
      <c r="S880" s="2" t="s">
        <v>6207</v>
      </c>
      <c r="T880" s="2" t="s">
        <v>6208</v>
      </c>
      <c r="U880" s="2" t="s">
        <v>6209</v>
      </c>
      <c r="V880" s="2" t="s">
        <v>6210</v>
      </c>
      <c r="W880" s="1"/>
      <c r="X880" s="2" t="s">
        <v>1427</v>
      </c>
      <c r="Y880" s="2" t="s">
        <v>5927</v>
      </c>
      <c r="AA880" t="str">
        <f t="shared" si="78"/>
        <v>2026-03</v>
      </c>
      <c r="AB880" t="str">
        <f t="shared" si="79"/>
        <v>H1_2026</v>
      </c>
      <c r="AC880">
        <f t="shared" si="80"/>
        <v>470929.91999999998</v>
      </c>
      <c r="AD880">
        <f t="shared" si="81"/>
        <v>40</v>
      </c>
      <c r="AE880">
        <f t="shared" si="82"/>
        <v>114202.65</v>
      </c>
      <c r="AF880" t="str">
        <f t="shared" si="83"/>
        <v>Paid</v>
      </c>
    </row>
    <row r="881" spans="1:32" ht="17.25" thickBot="1" x14ac:dyDescent="0.35">
      <c r="A881" s="2" t="s">
        <v>6211</v>
      </c>
      <c r="B881" s="2" t="s">
        <v>27</v>
      </c>
      <c r="C881" s="2" t="s">
        <v>28</v>
      </c>
      <c r="D881" s="2" t="s">
        <v>97</v>
      </c>
      <c r="E881" s="2" t="s">
        <v>5922</v>
      </c>
      <c r="F881" s="2" t="s">
        <v>99</v>
      </c>
      <c r="G881" s="2" t="s">
        <v>32</v>
      </c>
      <c r="H881" s="1"/>
      <c r="I881" s="2" t="s">
        <v>33</v>
      </c>
      <c r="J881" s="2" t="s">
        <v>34</v>
      </c>
      <c r="K881" s="2" t="s">
        <v>6212</v>
      </c>
      <c r="L881" s="2" t="s">
        <v>6213</v>
      </c>
      <c r="M881" s="2" t="s">
        <v>6146</v>
      </c>
      <c r="N881" s="2" t="s">
        <v>38</v>
      </c>
      <c r="O881" s="2" t="s">
        <v>1121</v>
      </c>
      <c r="P881" s="2" t="s">
        <v>5455</v>
      </c>
      <c r="Q881" s="2" t="s">
        <v>6214</v>
      </c>
      <c r="R881" s="2" t="s">
        <v>40</v>
      </c>
      <c r="S881" s="2" t="s">
        <v>6215</v>
      </c>
      <c r="T881" s="2" t="s">
        <v>6216</v>
      </c>
      <c r="U881" s="2" t="s">
        <v>6217</v>
      </c>
      <c r="V881" s="2" t="s">
        <v>6218</v>
      </c>
      <c r="W881" s="1"/>
      <c r="X881" s="2" t="s">
        <v>4550</v>
      </c>
      <c r="Y881" s="2" t="s">
        <v>5927</v>
      </c>
      <c r="AA881" t="str">
        <f t="shared" si="78"/>
        <v>2026-03</v>
      </c>
      <c r="AB881" t="str">
        <f t="shared" si="79"/>
        <v>H1_2026</v>
      </c>
      <c r="AC881">
        <f t="shared" si="80"/>
        <v>1020781</v>
      </c>
      <c r="AD881">
        <f t="shared" si="81"/>
        <v>125</v>
      </c>
      <c r="AE881">
        <f t="shared" si="82"/>
        <v>223053.74</v>
      </c>
      <c r="AF881" t="str">
        <f t="shared" si="83"/>
        <v>Paid</v>
      </c>
    </row>
    <row r="882" spans="1:32" ht="17.25" thickBot="1" x14ac:dyDescent="0.35">
      <c r="A882" s="2" t="s">
        <v>1056</v>
      </c>
      <c r="B882" s="2" t="s">
        <v>27</v>
      </c>
      <c r="C882" s="2" t="s">
        <v>28</v>
      </c>
      <c r="D882" s="2" t="s">
        <v>97</v>
      </c>
      <c r="E882" s="2" t="s">
        <v>5922</v>
      </c>
      <c r="F882" s="2" t="s">
        <v>99</v>
      </c>
      <c r="G882" s="2" t="s">
        <v>32</v>
      </c>
      <c r="H882" s="1"/>
      <c r="I882" s="2" t="s">
        <v>33</v>
      </c>
      <c r="J882" s="2" t="s">
        <v>34</v>
      </c>
      <c r="K882" s="2" t="s">
        <v>6219</v>
      </c>
      <c r="L882" s="2" t="s">
        <v>6220</v>
      </c>
      <c r="M882" s="2" t="s">
        <v>6146</v>
      </c>
      <c r="N882" s="2" t="s">
        <v>38</v>
      </c>
      <c r="O882" s="2" t="s">
        <v>1703</v>
      </c>
      <c r="P882" s="2" t="s">
        <v>264</v>
      </c>
      <c r="Q882" s="2" t="s">
        <v>6221</v>
      </c>
      <c r="R882" s="2" t="s">
        <v>40</v>
      </c>
      <c r="S882" s="2" t="s">
        <v>6222</v>
      </c>
      <c r="T882" s="2" t="s">
        <v>6223</v>
      </c>
      <c r="U882" s="2" t="s">
        <v>6224</v>
      </c>
      <c r="V882" s="2" t="s">
        <v>6225</v>
      </c>
      <c r="W882" s="1"/>
      <c r="X882" s="2" t="s">
        <v>1764</v>
      </c>
      <c r="Y882" s="2" t="s">
        <v>5927</v>
      </c>
      <c r="AA882" t="str">
        <f t="shared" si="78"/>
        <v>2026-03</v>
      </c>
      <c r="AB882" t="str">
        <f t="shared" si="79"/>
        <v>H1_2026</v>
      </c>
      <c r="AC882">
        <f t="shared" si="80"/>
        <v>1818620.54</v>
      </c>
      <c r="AD882">
        <f t="shared" si="81"/>
        <v>202</v>
      </c>
      <c r="AE882">
        <f t="shared" si="82"/>
        <v>461547.82</v>
      </c>
      <c r="AF882" t="str">
        <f t="shared" si="83"/>
        <v>Paid</v>
      </c>
    </row>
    <row r="883" spans="1:32" ht="17.25" thickBot="1" x14ac:dyDescent="0.35">
      <c r="A883" s="2" t="s">
        <v>6226</v>
      </c>
      <c r="B883" s="2" t="s">
        <v>27</v>
      </c>
      <c r="C883" s="2" t="s">
        <v>28</v>
      </c>
      <c r="D883" s="2" t="s">
        <v>97</v>
      </c>
      <c r="E883" s="2" t="s">
        <v>5922</v>
      </c>
      <c r="F883" s="2" t="s">
        <v>99</v>
      </c>
      <c r="G883" s="2" t="s">
        <v>32</v>
      </c>
      <c r="H883" s="1"/>
      <c r="I883" s="2" t="s">
        <v>33</v>
      </c>
      <c r="J883" s="2" t="s">
        <v>34</v>
      </c>
      <c r="K883" s="2" t="s">
        <v>6227</v>
      </c>
      <c r="L883" s="2" t="s">
        <v>6228</v>
      </c>
      <c r="M883" s="2" t="s">
        <v>6146</v>
      </c>
      <c r="N883" s="2" t="s">
        <v>38</v>
      </c>
      <c r="O883" s="2" t="s">
        <v>4383</v>
      </c>
      <c r="P883" s="2" t="s">
        <v>6229</v>
      </c>
      <c r="Q883" s="2" t="s">
        <v>6230</v>
      </c>
      <c r="R883" s="2" t="s">
        <v>40</v>
      </c>
      <c r="S883" s="2" t="s">
        <v>6231</v>
      </c>
      <c r="T883" s="2" t="s">
        <v>1178</v>
      </c>
      <c r="U883" s="2" t="s">
        <v>6232</v>
      </c>
      <c r="V883" s="2" t="s">
        <v>6233</v>
      </c>
      <c r="W883" s="1"/>
      <c r="X883" s="2" t="s">
        <v>965</v>
      </c>
      <c r="Y883" s="2" t="s">
        <v>5927</v>
      </c>
      <c r="AA883" t="str">
        <f t="shared" si="78"/>
        <v>2026-03</v>
      </c>
      <c r="AB883" t="str">
        <f t="shared" si="79"/>
        <v>H1_2026</v>
      </c>
      <c r="AC883">
        <f t="shared" si="80"/>
        <v>5989683.2000000002</v>
      </c>
      <c r="AD883">
        <f t="shared" si="81"/>
        <v>579</v>
      </c>
      <c r="AE883">
        <f t="shared" si="82"/>
        <v>1531383.2</v>
      </c>
      <c r="AF883" t="str">
        <f t="shared" si="83"/>
        <v>Paid</v>
      </c>
    </row>
    <row r="884" spans="1:32" ht="17.25" thickBot="1" x14ac:dyDescent="0.35">
      <c r="A884" s="2" t="s">
        <v>6234</v>
      </c>
      <c r="B884" s="2" t="s">
        <v>27</v>
      </c>
      <c r="C884" s="2" t="s">
        <v>28</v>
      </c>
      <c r="D884" s="2" t="s">
        <v>97</v>
      </c>
      <c r="E884" s="2" t="s">
        <v>5922</v>
      </c>
      <c r="F884" s="2" t="s">
        <v>99</v>
      </c>
      <c r="G884" s="2" t="s">
        <v>32</v>
      </c>
      <c r="H884" s="1"/>
      <c r="I884" s="2" t="s">
        <v>33</v>
      </c>
      <c r="J884" s="2" t="s">
        <v>34</v>
      </c>
      <c r="K884" s="2" t="s">
        <v>6235</v>
      </c>
      <c r="L884" s="2" t="s">
        <v>6236</v>
      </c>
      <c r="M884" s="2" t="s">
        <v>6146</v>
      </c>
      <c r="N884" s="2" t="s">
        <v>38</v>
      </c>
      <c r="O884" s="2" t="s">
        <v>2913</v>
      </c>
      <c r="P884" s="2" t="s">
        <v>6237</v>
      </c>
      <c r="Q884" s="2" t="s">
        <v>6238</v>
      </c>
      <c r="R884" s="2" t="s">
        <v>40</v>
      </c>
      <c r="S884" s="2" t="s">
        <v>6239</v>
      </c>
      <c r="T884" s="2" t="s">
        <v>2490</v>
      </c>
      <c r="U884" s="2" t="s">
        <v>6240</v>
      </c>
      <c r="V884" s="2" t="s">
        <v>6241</v>
      </c>
      <c r="W884" s="1"/>
      <c r="X884" s="2" t="s">
        <v>2429</v>
      </c>
      <c r="Y884" s="2" t="s">
        <v>5927</v>
      </c>
      <c r="AA884" t="str">
        <f t="shared" si="78"/>
        <v>2026-03</v>
      </c>
      <c r="AB884" t="str">
        <f t="shared" si="79"/>
        <v>H1_2026</v>
      </c>
      <c r="AC884">
        <f t="shared" si="80"/>
        <v>2805582.31</v>
      </c>
      <c r="AD884">
        <f t="shared" si="81"/>
        <v>351</v>
      </c>
      <c r="AE884">
        <f t="shared" si="82"/>
        <v>683627.78</v>
      </c>
      <c r="AF884" t="str">
        <f t="shared" si="83"/>
        <v>Paid</v>
      </c>
    </row>
    <row r="885" spans="1:32" ht="17.25" thickBot="1" x14ac:dyDescent="0.35">
      <c r="A885" s="2" t="s">
        <v>6242</v>
      </c>
      <c r="B885" s="2" t="s">
        <v>27</v>
      </c>
      <c r="C885" s="2" t="s">
        <v>28</v>
      </c>
      <c r="D885" s="2" t="s">
        <v>97</v>
      </c>
      <c r="E885" s="2" t="s">
        <v>5922</v>
      </c>
      <c r="F885" s="2" t="s">
        <v>99</v>
      </c>
      <c r="G885" s="2" t="s">
        <v>32</v>
      </c>
      <c r="H885" s="1"/>
      <c r="I885" s="2" t="s">
        <v>33</v>
      </c>
      <c r="J885" s="2" t="s">
        <v>34</v>
      </c>
      <c r="K885" s="2" t="s">
        <v>6243</v>
      </c>
      <c r="L885" s="2" t="s">
        <v>6244</v>
      </c>
      <c r="M885" s="2" t="s">
        <v>6146</v>
      </c>
      <c r="N885" s="2" t="s">
        <v>38</v>
      </c>
      <c r="O885" s="2" t="s">
        <v>3113</v>
      </c>
      <c r="P885" s="2" t="s">
        <v>4430</v>
      </c>
      <c r="Q885" s="2" t="s">
        <v>6245</v>
      </c>
      <c r="R885" s="2" t="s">
        <v>40</v>
      </c>
      <c r="S885" s="2" t="s">
        <v>6246</v>
      </c>
      <c r="T885" s="2" t="s">
        <v>6247</v>
      </c>
      <c r="U885" s="2" t="s">
        <v>6248</v>
      </c>
      <c r="V885" s="2" t="s">
        <v>6249</v>
      </c>
      <c r="W885" s="1"/>
      <c r="X885" s="2" t="s">
        <v>1437</v>
      </c>
      <c r="Y885" s="2" t="s">
        <v>5927</v>
      </c>
      <c r="AA885" t="str">
        <f t="shared" si="78"/>
        <v>2026-03</v>
      </c>
      <c r="AB885" t="str">
        <f t="shared" si="79"/>
        <v>H1_2026</v>
      </c>
      <c r="AC885">
        <f t="shared" si="80"/>
        <v>3712497.54</v>
      </c>
      <c r="AD885">
        <f t="shared" si="81"/>
        <v>374</v>
      </c>
      <c r="AE885">
        <f t="shared" si="82"/>
        <v>917697.56</v>
      </c>
      <c r="AF885" t="str">
        <f t="shared" si="83"/>
        <v>Paid</v>
      </c>
    </row>
    <row r="886" spans="1:32" ht="17.25" thickBot="1" x14ac:dyDescent="0.35">
      <c r="A886" s="2" t="s">
        <v>6250</v>
      </c>
      <c r="B886" s="2" t="s">
        <v>27</v>
      </c>
      <c r="C886" s="2" t="s">
        <v>28</v>
      </c>
      <c r="D886" s="2" t="s">
        <v>97</v>
      </c>
      <c r="E886" s="2" t="s">
        <v>5922</v>
      </c>
      <c r="F886" s="2" t="s">
        <v>99</v>
      </c>
      <c r="G886" s="2" t="s">
        <v>32</v>
      </c>
      <c r="H886" s="1"/>
      <c r="I886" s="2" t="s">
        <v>33</v>
      </c>
      <c r="J886" s="2" t="s">
        <v>34</v>
      </c>
      <c r="K886" s="2" t="s">
        <v>6251</v>
      </c>
      <c r="L886" s="2" t="s">
        <v>6252</v>
      </c>
      <c r="M886" s="2" t="s">
        <v>6146</v>
      </c>
      <c r="N886" s="2" t="s">
        <v>38</v>
      </c>
      <c r="O886" s="2" t="s">
        <v>6253</v>
      </c>
      <c r="P886" s="2" t="s">
        <v>6254</v>
      </c>
      <c r="Q886" s="2" t="s">
        <v>6255</v>
      </c>
      <c r="R886" s="2" t="s">
        <v>40</v>
      </c>
      <c r="S886" s="2" t="s">
        <v>6256</v>
      </c>
      <c r="T886" s="2" t="s">
        <v>6257</v>
      </c>
      <c r="U886" s="2" t="s">
        <v>6258</v>
      </c>
      <c r="V886" s="2" t="s">
        <v>6259</v>
      </c>
      <c r="W886" s="1"/>
      <c r="X886" s="2" t="s">
        <v>6260</v>
      </c>
      <c r="Y886" s="2" t="s">
        <v>5927</v>
      </c>
      <c r="AA886" t="str">
        <f t="shared" si="78"/>
        <v>2026-03</v>
      </c>
      <c r="AB886" t="str">
        <f t="shared" si="79"/>
        <v>H1_2026</v>
      </c>
      <c r="AC886">
        <f t="shared" si="80"/>
        <v>10948471.380000001</v>
      </c>
      <c r="AD886">
        <f t="shared" si="81"/>
        <v>1095</v>
      </c>
      <c r="AE886">
        <f t="shared" si="82"/>
        <v>10777016.84</v>
      </c>
      <c r="AF886" t="str">
        <f t="shared" si="83"/>
        <v>Paid</v>
      </c>
    </row>
    <row r="887" spans="1:32" ht="17.25" thickBot="1" x14ac:dyDescent="0.35">
      <c r="A887" s="2" t="s">
        <v>6261</v>
      </c>
      <c r="B887" s="2" t="s">
        <v>27</v>
      </c>
      <c r="C887" s="2" t="s">
        <v>28</v>
      </c>
      <c r="D887" s="2" t="s">
        <v>97</v>
      </c>
      <c r="E887" s="2" t="s">
        <v>5922</v>
      </c>
      <c r="F887" s="2" t="s">
        <v>99</v>
      </c>
      <c r="G887" s="2" t="s">
        <v>32</v>
      </c>
      <c r="H887" s="1"/>
      <c r="I887" s="2" t="s">
        <v>33</v>
      </c>
      <c r="J887" s="2" t="s">
        <v>34</v>
      </c>
      <c r="K887" s="2" t="s">
        <v>6262</v>
      </c>
      <c r="L887" s="2" t="s">
        <v>6263</v>
      </c>
      <c r="M887" s="2" t="s">
        <v>6146</v>
      </c>
      <c r="N887" s="2" t="s">
        <v>38</v>
      </c>
      <c r="O887" s="2" t="s">
        <v>6264</v>
      </c>
      <c r="P887" s="2" t="s">
        <v>1001</v>
      </c>
      <c r="Q887" s="2" t="s">
        <v>6265</v>
      </c>
      <c r="R887" s="2" t="s">
        <v>40</v>
      </c>
      <c r="S887" s="2" t="s">
        <v>6266</v>
      </c>
      <c r="T887" s="2" t="s">
        <v>6267</v>
      </c>
      <c r="U887" s="2" t="s">
        <v>6268</v>
      </c>
      <c r="V887" s="2" t="s">
        <v>6269</v>
      </c>
      <c r="W887" s="1"/>
      <c r="X887" s="2" t="s">
        <v>6270</v>
      </c>
      <c r="Y887" s="2" t="s">
        <v>5927</v>
      </c>
      <c r="AA887" t="str">
        <f t="shared" si="78"/>
        <v>2026-03</v>
      </c>
      <c r="AB887" t="str">
        <f t="shared" si="79"/>
        <v>H1_2026</v>
      </c>
      <c r="AC887">
        <f t="shared" si="80"/>
        <v>138566512</v>
      </c>
      <c r="AD887">
        <f t="shared" si="81"/>
        <v>14000</v>
      </c>
      <c r="AE887">
        <f t="shared" si="82"/>
        <v>48202876.399999999</v>
      </c>
      <c r="AF887" t="str">
        <f t="shared" si="83"/>
        <v>Paid</v>
      </c>
    </row>
    <row r="888" spans="1:32" ht="17.25" thickBot="1" x14ac:dyDescent="0.35">
      <c r="A888" s="2" t="s">
        <v>6271</v>
      </c>
      <c r="B888" s="2" t="s">
        <v>27</v>
      </c>
      <c r="C888" s="2" t="s">
        <v>28</v>
      </c>
      <c r="D888" s="2" t="s">
        <v>97</v>
      </c>
      <c r="E888" s="2" t="s">
        <v>5922</v>
      </c>
      <c r="F888" s="2" t="s">
        <v>99</v>
      </c>
      <c r="G888" s="2" t="s">
        <v>32</v>
      </c>
      <c r="H888" s="1"/>
      <c r="I888" s="2" t="s">
        <v>33</v>
      </c>
      <c r="J888" s="2" t="s">
        <v>34</v>
      </c>
      <c r="K888" s="2" t="s">
        <v>6272</v>
      </c>
      <c r="L888" s="2" t="s">
        <v>6273</v>
      </c>
      <c r="M888" s="2" t="s">
        <v>6146</v>
      </c>
      <c r="N888" s="2" t="s">
        <v>38</v>
      </c>
      <c r="O888" s="2" t="s">
        <v>6274</v>
      </c>
      <c r="P888" s="2" t="s">
        <v>4430</v>
      </c>
      <c r="Q888" s="2" t="s">
        <v>6275</v>
      </c>
      <c r="R888" s="2" t="s">
        <v>40</v>
      </c>
      <c r="S888" s="2" t="s">
        <v>6276</v>
      </c>
      <c r="T888" s="2" t="s">
        <v>6277</v>
      </c>
      <c r="U888" s="2" t="s">
        <v>6278</v>
      </c>
      <c r="V888" s="2" t="s">
        <v>6279</v>
      </c>
      <c r="W888" s="1"/>
      <c r="X888" s="2" t="s">
        <v>6280</v>
      </c>
      <c r="Y888" s="2" t="s">
        <v>5927</v>
      </c>
      <c r="AA888" t="str">
        <f t="shared" si="78"/>
        <v>2026-03</v>
      </c>
      <c r="AB888" t="str">
        <f t="shared" si="79"/>
        <v>H1_2026</v>
      </c>
      <c r="AC888">
        <f t="shared" si="80"/>
        <v>15961754.109999999</v>
      </c>
      <c r="AD888">
        <f t="shared" si="81"/>
        <v>1608</v>
      </c>
      <c r="AE888">
        <f t="shared" si="82"/>
        <v>5291066.1100000003</v>
      </c>
      <c r="AF888" t="str">
        <f t="shared" si="83"/>
        <v>Paid</v>
      </c>
    </row>
    <row r="889" spans="1:32" ht="17.25" thickBot="1" x14ac:dyDescent="0.35">
      <c r="A889" s="2" t="s">
        <v>6281</v>
      </c>
      <c r="B889" s="2" t="s">
        <v>27</v>
      </c>
      <c r="C889" s="2" t="s">
        <v>28</v>
      </c>
      <c r="D889" s="2" t="s">
        <v>97</v>
      </c>
      <c r="E889" s="2" t="s">
        <v>5922</v>
      </c>
      <c r="F889" s="2" t="s">
        <v>99</v>
      </c>
      <c r="G889" s="2" t="s">
        <v>32</v>
      </c>
      <c r="H889" s="1"/>
      <c r="I889" s="2" t="s">
        <v>33</v>
      </c>
      <c r="J889" s="2" t="s">
        <v>34</v>
      </c>
      <c r="K889" s="2" t="s">
        <v>6282</v>
      </c>
      <c r="L889" s="2" t="s">
        <v>6283</v>
      </c>
      <c r="M889" s="2" t="s">
        <v>6146</v>
      </c>
      <c r="N889" s="2" t="s">
        <v>38</v>
      </c>
      <c r="O889" s="2" t="s">
        <v>214</v>
      </c>
      <c r="P889" s="2" t="s">
        <v>6284</v>
      </c>
      <c r="Q889" s="2" t="s">
        <v>6285</v>
      </c>
      <c r="R889" s="2" t="s">
        <v>40</v>
      </c>
      <c r="S889" s="2" t="s">
        <v>6286</v>
      </c>
      <c r="T889" s="2" t="s">
        <v>6287</v>
      </c>
      <c r="U889" s="2" t="s">
        <v>6288</v>
      </c>
      <c r="V889" s="2" t="s">
        <v>6289</v>
      </c>
      <c r="W889" s="1"/>
      <c r="X889" s="2" t="s">
        <v>934</v>
      </c>
      <c r="Y889" s="2" t="s">
        <v>5927</v>
      </c>
      <c r="AA889" t="str">
        <f t="shared" si="78"/>
        <v>2026-03</v>
      </c>
      <c r="AB889" t="str">
        <f t="shared" si="79"/>
        <v>H1_2026</v>
      </c>
      <c r="AC889">
        <f t="shared" si="80"/>
        <v>450875</v>
      </c>
      <c r="AD889">
        <f t="shared" si="81"/>
        <v>50</v>
      </c>
      <c r="AE889">
        <f t="shared" si="82"/>
        <v>110420.46</v>
      </c>
      <c r="AF889" t="str">
        <f t="shared" si="83"/>
        <v>Paid</v>
      </c>
    </row>
    <row r="890" spans="1:32" ht="17.25" thickBot="1" x14ac:dyDescent="0.35">
      <c r="A890" s="2" t="s">
        <v>5624</v>
      </c>
      <c r="B890" s="2" t="s">
        <v>27</v>
      </c>
      <c r="C890" s="2" t="s">
        <v>28</v>
      </c>
      <c r="D890" s="2" t="s">
        <v>97</v>
      </c>
      <c r="E890" s="2" t="s">
        <v>5922</v>
      </c>
      <c r="F890" s="2" t="s">
        <v>99</v>
      </c>
      <c r="G890" s="2" t="s">
        <v>32</v>
      </c>
      <c r="H890" s="1"/>
      <c r="I890" s="2" t="s">
        <v>33</v>
      </c>
      <c r="J890" s="2" t="s">
        <v>34</v>
      </c>
      <c r="K890" s="2" t="s">
        <v>6290</v>
      </c>
      <c r="L890" s="2" t="s">
        <v>6291</v>
      </c>
      <c r="M890" s="2" t="s">
        <v>6146</v>
      </c>
      <c r="N890" s="2" t="s">
        <v>38</v>
      </c>
      <c r="O890" s="2" t="s">
        <v>359</v>
      </c>
      <c r="P890" s="2" t="s">
        <v>6196</v>
      </c>
      <c r="Q890" s="2" t="s">
        <v>6292</v>
      </c>
      <c r="R890" s="2" t="s">
        <v>40</v>
      </c>
      <c r="S890" s="2" t="s">
        <v>6293</v>
      </c>
      <c r="T890" s="2" t="s">
        <v>6181</v>
      </c>
      <c r="U890" s="2" t="s">
        <v>6294</v>
      </c>
      <c r="V890" s="2" t="s">
        <v>6295</v>
      </c>
      <c r="W890" s="1"/>
      <c r="X890" s="2" t="s">
        <v>1457</v>
      </c>
      <c r="Y890" s="2" t="s">
        <v>5927</v>
      </c>
      <c r="AA890" t="str">
        <f t="shared" si="78"/>
        <v>2026-03</v>
      </c>
      <c r="AB890" t="str">
        <f t="shared" si="79"/>
        <v>H1_2026</v>
      </c>
      <c r="AC890">
        <f t="shared" si="80"/>
        <v>402642.2</v>
      </c>
      <c r="AD890">
        <f t="shared" si="81"/>
        <v>43</v>
      </c>
      <c r="AE890">
        <f t="shared" si="82"/>
        <v>99687.65</v>
      </c>
      <c r="AF890" t="str">
        <f t="shared" si="83"/>
        <v>Paid</v>
      </c>
    </row>
    <row r="891" spans="1:32" ht="17.25" thickBot="1" x14ac:dyDescent="0.35">
      <c r="A891" s="2" t="s">
        <v>6296</v>
      </c>
      <c r="B891" s="2" t="s">
        <v>27</v>
      </c>
      <c r="C891" s="2" t="s">
        <v>28</v>
      </c>
      <c r="D891" s="2" t="s">
        <v>97</v>
      </c>
      <c r="E891" s="2" t="s">
        <v>5922</v>
      </c>
      <c r="F891" s="2" t="s">
        <v>99</v>
      </c>
      <c r="G891" s="2" t="s">
        <v>32</v>
      </c>
      <c r="H891" s="1"/>
      <c r="I891" s="2" t="s">
        <v>33</v>
      </c>
      <c r="J891" s="2" t="s">
        <v>34</v>
      </c>
      <c r="K891" s="2" t="s">
        <v>3895</v>
      </c>
      <c r="L891" s="2" t="s">
        <v>3896</v>
      </c>
      <c r="M891" s="2" t="s">
        <v>701</v>
      </c>
      <c r="N891" s="2" t="s">
        <v>38</v>
      </c>
      <c r="O891" s="2" t="s">
        <v>4608</v>
      </c>
      <c r="P891" s="2" t="s">
        <v>6297</v>
      </c>
      <c r="Q891" s="2" t="s">
        <v>6298</v>
      </c>
      <c r="R891" s="2" t="s">
        <v>40</v>
      </c>
      <c r="S891" s="2" t="s">
        <v>6299</v>
      </c>
      <c r="T891" s="2" t="s">
        <v>1444</v>
      </c>
      <c r="U891" s="2" t="s">
        <v>6300</v>
      </c>
      <c r="V891" s="2" t="s">
        <v>6301</v>
      </c>
      <c r="W891" s="1"/>
      <c r="X891" s="2" t="s">
        <v>3903</v>
      </c>
      <c r="Y891" s="2" t="s">
        <v>5927</v>
      </c>
      <c r="AA891" t="str">
        <f t="shared" si="78"/>
        <v>2026-03</v>
      </c>
      <c r="AB891" t="str">
        <f t="shared" si="79"/>
        <v>H1_2026</v>
      </c>
      <c r="AC891">
        <f t="shared" si="80"/>
        <v>14250391.32</v>
      </c>
      <c r="AD891">
        <f t="shared" si="81"/>
        <v>2190</v>
      </c>
      <c r="AE891">
        <f t="shared" si="82"/>
        <v>2292991.3199999998</v>
      </c>
      <c r="AF891" t="str">
        <f t="shared" si="83"/>
        <v>Paid</v>
      </c>
    </row>
    <row r="892" spans="1:32" ht="17.25" thickBot="1" x14ac:dyDescent="0.35">
      <c r="A892" s="2" t="s">
        <v>1450</v>
      </c>
      <c r="B892" s="2" t="s">
        <v>27</v>
      </c>
      <c r="C892" s="2" t="s">
        <v>28</v>
      </c>
      <c r="D892" s="2" t="s">
        <v>97</v>
      </c>
      <c r="E892" s="2" t="s">
        <v>5922</v>
      </c>
      <c r="F892" s="2" t="s">
        <v>99</v>
      </c>
      <c r="G892" s="2" t="s">
        <v>32</v>
      </c>
      <c r="H892" s="1"/>
      <c r="I892" s="2" t="s">
        <v>33</v>
      </c>
      <c r="J892" s="2" t="s">
        <v>34</v>
      </c>
      <c r="K892" s="2" t="s">
        <v>3930</v>
      </c>
      <c r="L892" s="2" t="s">
        <v>3931</v>
      </c>
      <c r="M892" s="2" t="s">
        <v>701</v>
      </c>
      <c r="N892" s="2" t="s">
        <v>38</v>
      </c>
      <c r="O892" s="2" t="s">
        <v>6302</v>
      </c>
      <c r="P892" s="2" t="s">
        <v>6303</v>
      </c>
      <c r="Q892" s="2" t="s">
        <v>6304</v>
      </c>
      <c r="R892" s="2" t="s">
        <v>40</v>
      </c>
      <c r="S892" s="2" t="s">
        <v>6305</v>
      </c>
      <c r="T892" s="2" t="s">
        <v>3936</v>
      </c>
      <c r="U892" s="2" t="s">
        <v>6306</v>
      </c>
      <c r="V892" s="2" t="s">
        <v>6307</v>
      </c>
      <c r="W892" s="1"/>
      <c r="X892" s="2" t="s">
        <v>709</v>
      </c>
      <c r="Y892" s="2" t="s">
        <v>5927</v>
      </c>
      <c r="AA892" t="str">
        <f t="shared" si="78"/>
        <v>2026-03</v>
      </c>
      <c r="AB892" t="str">
        <f t="shared" si="79"/>
        <v>H1_2026</v>
      </c>
      <c r="AC892">
        <f t="shared" si="80"/>
        <v>39431146.880000003</v>
      </c>
      <c r="AD892">
        <f t="shared" si="81"/>
        <v>2320</v>
      </c>
      <c r="AE892">
        <f t="shared" si="82"/>
        <v>6301546.8799999999</v>
      </c>
      <c r="AF892" t="str">
        <f t="shared" si="83"/>
        <v>Paid</v>
      </c>
    </row>
    <row r="893" spans="1:32" ht="17.25" thickBot="1" x14ac:dyDescent="0.35">
      <c r="A893" s="2" t="s">
        <v>6308</v>
      </c>
      <c r="B893" s="2" t="s">
        <v>27</v>
      </c>
      <c r="C893" s="2" t="s">
        <v>28</v>
      </c>
      <c r="D893" s="2" t="s">
        <v>97</v>
      </c>
      <c r="E893" s="2" t="s">
        <v>5922</v>
      </c>
      <c r="F893" s="2" t="s">
        <v>99</v>
      </c>
      <c r="G893" s="2" t="s">
        <v>32</v>
      </c>
      <c r="H893" s="1"/>
      <c r="I893" s="2" t="s">
        <v>33</v>
      </c>
      <c r="J893" s="2" t="s">
        <v>34</v>
      </c>
      <c r="K893" s="2" t="s">
        <v>3970</v>
      </c>
      <c r="L893" s="2" t="s">
        <v>3971</v>
      </c>
      <c r="M893" s="2" t="s">
        <v>701</v>
      </c>
      <c r="N893" s="2" t="s">
        <v>38</v>
      </c>
      <c r="O893" s="2" t="s">
        <v>6309</v>
      </c>
      <c r="P893" s="2" t="s">
        <v>264</v>
      </c>
      <c r="Q893" s="2" t="s">
        <v>6310</v>
      </c>
      <c r="R893" s="2" t="s">
        <v>40</v>
      </c>
      <c r="S893" s="2" t="s">
        <v>6311</v>
      </c>
      <c r="T893" s="2" t="s">
        <v>759</v>
      </c>
      <c r="U893" s="2" t="s">
        <v>6312</v>
      </c>
      <c r="V893" s="2" t="s">
        <v>6313</v>
      </c>
      <c r="W893" s="1"/>
      <c r="X893" s="2" t="s">
        <v>709</v>
      </c>
      <c r="Y893" s="2" t="s">
        <v>5927</v>
      </c>
      <c r="AA893" t="str">
        <f t="shared" si="78"/>
        <v>2026-03</v>
      </c>
      <c r="AB893" t="str">
        <f t="shared" si="79"/>
        <v>H1_2026</v>
      </c>
      <c r="AC893">
        <f t="shared" si="80"/>
        <v>13144485.119999999</v>
      </c>
      <c r="AD893">
        <f t="shared" si="81"/>
        <v>1460</v>
      </c>
      <c r="AE893">
        <f t="shared" si="82"/>
        <v>2106885.1200000001</v>
      </c>
      <c r="AF893" t="str">
        <f t="shared" si="83"/>
        <v>Paid</v>
      </c>
    </row>
    <row r="894" spans="1:32" ht="17.25" thickBot="1" x14ac:dyDescent="0.35">
      <c r="A894" s="2" t="s">
        <v>6314</v>
      </c>
      <c r="B894" s="2" t="s">
        <v>27</v>
      </c>
      <c r="C894" s="2" t="s">
        <v>28</v>
      </c>
      <c r="D894" s="2" t="s">
        <v>97</v>
      </c>
      <c r="E894" s="2" t="s">
        <v>5922</v>
      </c>
      <c r="F894" s="2" t="s">
        <v>99</v>
      </c>
      <c r="G894" s="2" t="s">
        <v>32</v>
      </c>
      <c r="H894" s="1"/>
      <c r="I894" s="2" t="s">
        <v>33</v>
      </c>
      <c r="J894" s="2" t="s">
        <v>34</v>
      </c>
      <c r="K894" s="2" t="s">
        <v>754</v>
      </c>
      <c r="L894" s="2" t="s">
        <v>755</v>
      </c>
      <c r="M894" s="2" t="s">
        <v>701</v>
      </c>
      <c r="N894" s="2" t="s">
        <v>38</v>
      </c>
      <c r="O894" s="2" t="s">
        <v>1450</v>
      </c>
      <c r="P894" s="2" t="s">
        <v>264</v>
      </c>
      <c r="Q894" s="2" t="s">
        <v>6315</v>
      </c>
      <c r="R894" s="2" t="s">
        <v>40</v>
      </c>
      <c r="S894" s="2" t="s">
        <v>6316</v>
      </c>
      <c r="T894" s="2" t="s">
        <v>6317</v>
      </c>
      <c r="U894" s="2" t="s">
        <v>6318</v>
      </c>
      <c r="V894" s="2" t="s">
        <v>6319</v>
      </c>
      <c r="W894" s="1"/>
      <c r="X894" s="2" t="s">
        <v>6320</v>
      </c>
      <c r="Y894" s="2" t="s">
        <v>5927</v>
      </c>
      <c r="AA894" t="str">
        <f t="shared" si="78"/>
        <v>2026-03</v>
      </c>
      <c r="AB894" t="str">
        <f t="shared" si="79"/>
        <v>H1_2026</v>
      </c>
      <c r="AC894">
        <f t="shared" si="80"/>
        <v>8012734.0800000001</v>
      </c>
      <c r="AD894">
        <f t="shared" si="81"/>
        <v>890</v>
      </c>
      <c r="AE894">
        <f t="shared" si="82"/>
        <v>2796334.08</v>
      </c>
      <c r="AF894" t="str">
        <f t="shared" si="83"/>
        <v>Paid</v>
      </c>
    </row>
    <row r="895" spans="1:32" ht="17.25" thickBot="1" x14ac:dyDescent="0.35">
      <c r="A895" s="2" t="s">
        <v>6321</v>
      </c>
      <c r="B895" s="2" t="s">
        <v>27</v>
      </c>
      <c r="C895" s="2" t="s">
        <v>28</v>
      </c>
      <c r="D895" s="2" t="s">
        <v>97</v>
      </c>
      <c r="E895" s="2" t="s">
        <v>5922</v>
      </c>
      <c r="F895" s="2" t="s">
        <v>99</v>
      </c>
      <c r="G895" s="2" t="s">
        <v>32</v>
      </c>
      <c r="H895" s="1"/>
      <c r="I895" s="2" t="s">
        <v>33</v>
      </c>
      <c r="J895" s="2" t="s">
        <v>34</v>
      </c>
      <c r="K895" s="2" t="s">
        <v>3978</v>
      </c>
      <c r="L895" s="2" t="s">
        <v>3979</v>
      </c>
      <c r="M895" s="2" t="s">
        <v>701</v>
      </c>
      <c r="N895" s="2" t="s">
        <v>38</v>
      </c>
      <c r="O895" s="2" t="s">
        <v>493</v>
      </c>
      <c r="P895" s="2" t="s">
        <v>264</v>
      </c>
      <c r="Q895" s="2" t="s">
        <v>6322</v>
      </c>
      <c r="R895" s="2" t="s">
        <v>40</v>
      </c>
      <c r="S895" s="2" t="s">
        <v>6323</v>
      </c>
      <c r="T895" s="2" t="s">
        <v>759</v>
      </c>
      <c r="U895" s="2" t="s">
        <v>4018</v>
      </c>
      <c r="V895" s="2" t="s">
        <v>6324</v>
      </c>
      <c r="W895" s="1"/>
      <c r="X895" s="2" t="s">
        <v>709</v>
      </c>
      <c r="Y895" s="2" t="s">
        <v>5927</v>
      </c>
      <c r="AA895" t="str">
        <f t="shared" si="78"/>
        <v>2026-03</v>
      </c>
      <c r="AB895" t="str">
        <f t="shared" si="79"/>
        <v>H1_2026</v>
      </c>
      <c r="AC895">
        <f t="shared" si="80"/>
        <v>3781290.24</v>
      </c>
      <c r="AD895">
        <f t="shared" si="81"/>
        <v>420</v>
      </c>
      <c r="AE895">
        <f t="shared" si="82"/>
        <v>606090.23999999999</v>
      </c>
      <c r="AF895" t="str">
        <f t="shared" si="83"/>
        <v>Paid</v>
      </c>
    </row>
    <row r="896" spans="1:32" ht="17.25" thickBot="1" x14ac:dyDescent="0.35">
      <c r="A896" s="2" t="s">
        <v>6325</v>
      </c>
      <c r="B896" s="2" t="s">
        <v>27</v>
      </c>
      <c r="C896" s="2" t="s">
        <v>28</v>
      </c>
      <c r="D896" s="2" t="s">
        <v>97</v>
      </c>
      <c r="E896" s="2" t="s">
        <v>5922</v>
      </c>
      <c r="F896" s="2" t="s">
        <v>99</v>
      </c>
      <c r="G896" s="2" t="s">
        <v>32</v>
      </c>
      <c r="H896" s="1"/>
      <c r="I896" s="2" t="s">
        <v>33</v>
      </c>
      <c r="J896" s="2" t="s">
        <v>34</v>
      </c>
      <c r="K896" s="2" t="s">
        <v>3986</v>
      </c>
      <c r="L896" s="2" t="s">
        <v>3987</v>
      </c>
      <c r="M896" s="2" t="s">
        <v>701</v>
      </c>
      <c r="N896" s="2" t="s">
        <v>38</v>
      </c>
      <c r="O896" s="2" t="s">
        <v>890</v>
      </c>
      <c r="P896" s="2" t="s">
        <v>2916</v>
      </c>
      <c r="Q896" s="2" t="s">
        <v>6326</v>
      </c>
      <c r="R896" s="2" t="s">
        <v>40</v>
      </c>
      <c r="S896" s="2" t="s">
        <v>6327</v>
      </c>
      <c r="T896" s="2" t="s">
        <v>726</v>
      </c>
      <c r="U896" s="2" t="s">
        <v>6328</v>
      </c>
      <c r="V896" s="2" t="s">
        <v>6329</v>
      </c>
      <c r="W896" s="1"/>
      <c r="X896" s="2" t="s">
        <v>709</v>
      </c>
      <c r="Y896" s="2" t="s">
        <v>5927</v>
      </c>
      <c r="AA896" t="str">
        <f t="shared" si="78"/>
        <v>2026-03</v>
      </c>
      <c r="AB896" t="str">
        <f t="shared" si="79"/>
        <v>H1_2026</v>
      </c>
      <c r="AC896">
        <f t="shared" si="80"/>
        <v>2804370.36</v>
      </c>
      <c r="AD896">
        <f t="shared" si="81"/>
        <v>330</v>
      </c>
      <c r="AE896">
        <f t="shared" si="82"/>
        <v>448170.36</v>
      </c>
      <c r="AF896" t="str">
        <f t="shared" si="83"/>
        <v>Paid</v>
      </c>
    </row>
    <row r="897" spans="1:32" ht="17.25" thickBot="1" x14ac:dyDescent="0.35">
      <c r="A897" s="2" t="s">
        <v>6330</v>
      </c>
      <c r="B897" s="2" t="s">
        <v>27</v>
      </c>
      <c r="C897" s="2" t="s">
        <v>28</v>
      </c>
      <c r="D897" s="2" t="s">
        <v>97</v>
      </c>
      <c r="E897" s="2" t="s">
        <v>5922</v>
      </c>
      <c r="F897" s="2" t="s">
        <v>99</v>
      </c>
      <c r="G897" s="2" t="s">
        <v>32</v>
      </c>
      <c r="H897" s="1"/>
      <c r="I897" s="2" t="s">
        <v>33</v>
      </c>
      <c r="J897" s="2" t="s">
        <v>34</v>
      </c>
      <c r="K897" s="2" t="s">
        <v>6331</v>
      </c>
      <c r="L897" s="2" t="s">
        <v>6332</v>
      </c>
      <c r="M897" s="2" t="s">
        <v>701</v>
      </c>
      <c r="N897" s="2" t="s">
        <v>38</v>
      </c>
      <c r="O897" s="2" t="s">
        <v>2819</v>
      </c>
      <c r="P897" s="2" t="s">
        <v>264</v>
      </c>
      <c r="Q897" s="2" t="s">
        <v>6333</v>
      </c>
      <c r="R897" s="2" t="s">
        <v>40</v>
      </c>
      <c r="S897" s="2" t="s">
        <v>6334</v>
      </c>
      <c r="T897" s="2" t="s">
        <v>40</v>
      </c>
      <c r="U897" s="2" t="s">
        <v>40</v>
      </c>
      <c r="V897" s="2" t="s">
        <v>6334</v>
      </c>
      <c r="W897" s="1"/>
      <c r="X897" s="2" t="s">
        <v>2155</v>
      </c>
      <c r="Y897" s="2" t="s">
        <v>5927</v>
      </c>
      <c r="AA897" t="str">
        <f t="shared" si="78"/>
        <v>2026-03</v>
      </c>
      <c r="AB897" t="str">
        <f t="shared" si="79"/>
        <v>H1_2026</v>
      </c>
      <c r="AC897">
        <f t="shared" si="80"/>
        <v>6842334.7199999997</v>
      </c>
      <c r="AD897">
        <f t="shared" si="81"/>
        <v>760</v>
      </c>
      <c r="AE897">
        <f t="shared" si="82"/>
        <v>6842334.7199999997</v>
      </c>
      <c r="AF897" t="str">
        <f t="shared" si="83"/>
        <v>Paid</v>
      </c>
    </row>
    <row r="898" spans="1:32" ht="17.25" thickBot="1" x14ac:dyDescent="0.35">
      <c r="A898" s="2" t="s">
        <v>6335</v>
      </c>
      <c r="B898" s="2" t="s">
        <v>27</v>
      </c>
      <c r="C898" s="2" t="s">
        <v>28</v>
      </c>
      <c r="D898" s="2" t="s">
        <v>97</v>
      </c>
      <c r="E898" s="2" t="s">
        <v>5922</v>
      </c>
      <c r="F898" s="2" t="s">
        <v>99</v>
      </c>
      <c r="G898" s="2" t="s">
        <v>32</v>
      </c>
      <c r="H898" s="1"/>
      <c r="I898" s="2" t="s">
        <v>33</v>
      </c>
      <c r="J898" s="2" t="s">
        <v>34</v>
      </c>
      <c r="K898" s="2" t="s">
        <v>770</v>
      </c>
      <c r="L898" s="2" t="s">
        <v>771</v>
      </c>
      <c r="M898" s="2" t="s">
        <v>772</v>
      </c>
      <c r="N898" s="2" t="s">
        <v>38</v>
      </c>
      <c r="O898" s="2" t="s">
        <v>1527</v>
      </c>
      <c r="P898" s="2" t="s">
        <v>6336</v>
      </c>
      <c r="Q898" s="2" t="s">
        <v>6337</v>
      </c>
      <c r="R898" s="2" t="s">
        <v>40</v>
      </c>
      <c r="S898" s="2" t="s">
        <v>6338</v>
      </c>
      <c r="T898" s="2" t="s">
        <v>6339</v>
      </c>
      <c r="U898" s="2" t="s">
        <v>6340</v>
      </c>
      <c r="V898" s="2" t="s">
        <v>6341</v>
      </c>
      <c r="W898" s="1"/>
      <c r="X898" s="2" t="s">
        <v>6342</v>
      </c>
      <c r="Y898" s="2" t="s">
        <v>5927</v>
      </c>
      <c r="AA898" t="str">
        <f t="shared" si="78"/>
        <v>2026-03</v>
      </c>
      <c r="AB898" t="str">
        <f t="shared" si="79"/>
        <v>H1_2026</v>
      </c>
      <c r="AC898">
        <f t="shared" si="80"/>
        <v>1496414.45</v>
      </c>
      <c r="AD898">
        <f t="shared" si="81"/>
        <v>172</v>
      </c>
      <c r="AE898">
        <f t="shared" si="82"/>
        <v>346414.45</v>
      </c>
      <c r="AF898" t="str">
        <f t="shared" si="83"/>
        <v>Paid</v>
      </c>
    </row>
    <row r="899" spans="1:32" ht="17.25" thickBot="1" x14ac:dyDescent="0.35">
      <c r="A899" s="2" t="s">
        <v>6343</v>
      </c>
      <c r="B899" s="2" t="s">
        <v>27</v>
      </c>
      <c r="C899" s="2" t="s">
        <v>28</v>
      </c>
      <c r="D899" s="2" t="s">
        <v>97</v>
      </c>
      <c r="E899" s="2" t="s">
        <v>5922</v>
      </c>
      <c r="F899" s="2" t="s">
        <v>99</v>
      </c>
      <c r="G899" s="2" t="s">
        <v>32</v>
      </c>
      <c r="H899" s="1"/>
      <c r="I899" s="2" t="s">
        <v>33</v>
      </c>
      <c r="J899" s="2" t="s">
        <v>34</v>
      </c>
      <c r="K899" s="2" t="s">
        <v>808</v>
      </c>
      <c r="L899" s="2" t="s">
        <v>809</v>
      </c>
      <c r="M899" s="2" t="s">
        <v>772</v>
      </c>
      <c r="N899" s="2" t="s">
        <v>38</v>
      </c>
      <c r="O899" s="2" t="s">
        <v>6344</v>
      </c>
      <c r="P899" s="2" t="s">
        <v>6345</v>
      </c>
      <c r="Q899" s="2" t="s">
        <v>6346</v>
      </c>
      <c r="R899" s="2" t="s">
        <v>40</v>
      </c>
      <c r="S899" s="2" t="s">
        <v>6347</v>
      </c>
      <c r="T899" s="2" t="s">
        <v>814</v>
      </c>
      <c r="U899" s="2" t="s">
        <v>6348</v>
      </c>
      <c r="V899" s="2" t="s">
        <v>6349</v>
      </c>
      <c r="W899" s="1"/>
      <c r="X899" s="2" t="s">
        <v>976</v>
      </c>
      <c r="Y899" s="2" t="s">
        <v>5927</v>
      </c>
      <c r="AA899" t="str">
        <f t="shared" si="78"/>
        <v>2026-03</v>
      </c>
      <c r="AB899" t="str">
        <f t="shared" si="79"/>
        <v>H1_2026</v>
      </c>
      <c r="AC899">
        <f t="shared" si="80"/>
        <v>140521808.99000001</v>
      </c>
      <c r="AD899">
        <f t="shared" si="81"/>
        <v>10931</v>
      </c>
      <c r="AE899">
        <f t="shared" si="82"/>
        <v>28369748.989999998</v>
      </c>
      <c r="AF899" t="str">
        <f t="shared" si="83"/>
        <v>Paid</v>
      </c>
    </row>
    <row r="900" spans="1:32" ht="17.25" thickBot="1" x14ac:dyDescent="0.35">
      <c r="A900" s="2" t="s">
        <v>6350</v>
      </c>
      <c r="B900" s="2" t="s">
        <v>27</v>
      </c>
      <c r="C900" s="2" t="s">
        <v>28</v>
      </c>
      <c r="D900" s="2" t="s">
        <v>97</v>
      </c>
      <c r="E900" s="2" t="s">
        <v>5922</v>
      </c>
      <c r="F900" s="2" t="s">
        <v>99</v>
      </c>
      <c r="G900" s="2" t="s">
        <v>32</v>
      </c>
      <c r="H900" s="1"/>
      <c r="I900" s="2" t="s">
        <v>33</v>
      </c>
      <c r="J900" s="2" t="s">
        <v>34</v>
      </c>
      <c r="K900" s="2" t="s">
        <v>840</v>
      </c>
      <c r="L900" s="2" t="s">
        <v>841</v>
      </c>
      <c r="M900" s="2" t="s">
        <v>772</v>
      </c>
      <c r="N900" s="2" t="s">
        <v>38</v>
      </c>
      <c r="O900" s="2" t="s">
        <v>681</v>
      </c>
      <c r="P900" s="2" t="s">
        <v>6351</v>
      </c>
      <c r="Q900" s="2" t="s">
        <v>6352</v>
      </c>
      <c r="R900" s="2" t="s">
        <v>40</v>
      </c>
      <c r="S900" s="2" t="s">
        <v>6353</v>
      </c>
      <c r="T900" s="2" t="s">
        <v>297</v>
      </c>
      <c r="U900" s="2" t="s">
        <v>6354</v>
      </c>
      <c r="V900" s="2" t="s">
        <v>6355</v>
      </c>
      <c r="W900" s="1"/>
      <c r="X900" s="2" t="s">
        <v>2781</v>
      </c>
      <c r="Y900" s="2" t="s">
        <v>5927</v>
      </c>
      <c r="AA900" t="str">
        <f t="shared" ref="AA900:AA963" si="84">LEFT(E900,7)</f>
        <v>2026-03</v>
      </c>
      <c r="AB900" t="str">
        <f t="shared" ref="AB900:AB963" si="85">IF(AND($AA900&gt;="2025-01",$AA900&lt;="2025-06"),"H1_2025",IF(AND($AA900&gt;="2026-01",$AA900&lt;="2026-06"),"H1_2026",""))</f>
        <v>H1_2026</v>
      </c>
      <c r="AC900">
        <f t="shared" ref="AC900:AC963" si="86">IFERROR(VALUE(SUBSTITUTE(S900,",","")),0)</f>
        <v>796728.59</v>
      </c>
      <c r="AD900">
        <f t="shared" ref="AD900:AD963" si="87">IFERROR(VALUE(SUBSTITUTE(O900,",","")),0)</f>
        <v>79</v>
      </c>
      <c r="AE900">
        <f t="shared" ref="AE900:AE963" si="88">IFERROR(VALUE(SUBSTITUTE(V900,",","")),0)</f>
        <v>164728.59</v>
      </c>
      <c r="AF900" t="str">
        <f t="shared" ref="AF900:AF963" si="89">IF(ISNUMBER(SEARCH("FOC",W900)),"FOC",IF(ISNUMBER(SEARCH("샘플",W900)),"Sample","Paid"))</f>
        <v>Paid</v>
      </c>
    </row>
    <row r="901" spans="1:32" ht="17.25" thickBot="1" x14ac:dyDescent="0.35">
      <c r="A901" s="2" t="s">
        <v>6356</v>
      </c>
      <c r="B901" s="2" t="s">
        <v>27</v>
      </c>
      <c r="C901" s="2" t="s">
        <v>28</v>
      </c>
      <c r="D901" s="2" t="s">
        <v>97</v>
      </c>
      <c r="E901" s="2" t="s">
        <v>5922</v>
      </c>
      <c r="F901" s="2" t="s">
        <v>99</v>
      </c>
      <c r="G901" s="2" t="s">
        <v>32</v>
      </c>
      <c r="H901" s="1"/>
      <c r="I901" s="2" t="s">
        <v>33</v>
      </c>
      <c r="J901" s="2" t="s">
        <v>34</v>
      </c>
      <c r="K901" s="2" t="s">
        <v>847</v>
      </c>
      <c r="L901" s="2" t="s">
        <v>848</v>
      </c>
      <c r="M901" s="2" t="s">
        <v>772</v>
      </c>
      <c r="N901" s="2" t="s">
        <v>38</v>
      </c>
      <c r="O901" s="2" t="s">
        <v>174</v>
      </c>
      <c r="P901" s="2" t="s">
        <v>6357</v>
      </c>
      <c r="Q901" s="2" t="s">
        <v>6358</v>
      </c>
      <c r="R901" s="2" t="s">
        <v>40</v>
      </c>
      <c r="S901" s="2" t="s">
        <v>6359</v>
      </c>
      <c r="T901" s="2" t="s">
        <v>853</v>
      </c>
      <c r="U901" s="2" t="s">
        <v>6360</v>
      </c>
      <c r="V901" s="2" t="s">
        <v>6361</v>
      </c>
      <c r="W901" s="1"/>
      <c r="X901" s="2" t="s">
        <v>6362</v>
      </c>
      <c r="Y901" s="2" t="s">
        <v>5927</v>
      </c>
      <c r="AA901" t="str">
        <f t="shared" si="84"/>
        <v>2026-03</v>
      </c>
      <c r="AB901" t="str">
        <f t="shared" si="85"/>
        <v>H1_2026</v>
      </c>
      <c r="AC901">
        <f t="shared" si="86"/>
        <v>227269.86</v>
      </c>
      <c r="AD901">
        <f t="shared" si="87"/>
        <v>22</v>
      </c>
      <c r="AE901">
        <f t="shared" si="88"/>
        <v>42733.86</v>
      </c>
      <c r="AF901" t="str">
        <f t="shared" si="89"/>
        <v>Paid</v>
      </c>
    </row>
    <row r="902" spans="1:32" ht="17.25" thickBot="1" x14ac:dyDescent="0.35">
      <c r="A902" s="2" t="s">
        <v>1914</v>
      </c>
      <c r="B902" s="2" t="s">
        <v>27</v>
      </c>
      <c r="C902" s="2" t="s">
        <v>28</v>
      </c>
      <c r="D902" s="2" t="s">
        <v>97</v>
      </c>
      <c r="E902" s="2" t="s">
        <v>5922</v>
      </c>
      <c r="F902" s="2" t="s">
        <v>99</v>
      </c>
      <c r="G902" s="2" t="s">
        <v>32</v>
      </c>
      <c r="H902" s="1"/>
      <c r="I902" s="2" t="s">
        <v>33</v>
      </c>
      <c r="J902" s="2" t="s">
        <v>34</v>
      </c>
      <c r="K902" s="2" t="s">
        <v>868</v>
      </c>
      <c r="L902" s="2" t="s">
        <v>869</v>
      </c>
      <c r="M902" s="2" t="s">
        <v>772</v>
      </c>
      <c r="N902" s="2" t="s">
        <v>38</v>
      </c>
      <c r="O902" s="2" t="s">
        <v>57</v>
      </c>
      <c r="P902" s="2" t="s">
        <v>6363</v>
      </c>
      <c r="Q902" s="2" t="s">
        <v>6364</v>
      </c>
      <c r="R902" s="2" t="s">
        <v>40</v>
      </c>
      <c r="S902" s="2" t="s">
        <v>6365</v>
      </c>
      <c r="T902" s="2" t="s">
        <v>873</v>
      </c>
      <c r="U902" s="2" t="s">
        <v>6366</v>
      </c>
      <c r="V902" s="2" t="s">
        <v>6367</v>
      </c>
      <c r="W902" s="1"/>
      <c r="X902" s="2" t="s">
        <v>258</v>
      </c>
      <c r="Y902" s="2" t="s">
        <v>5927</v>
      </c>
      <c r="AA902" t="str">
        <f t="shared" si="84"/>
        <v>2026-03</v>
      </c>
      <c r="AB902" t="str">
        <f t="shared" si="85"/>
        <v>H1_2026</v>
      </c>
      <c r="AC902">
        <f t="shared" si="86"/>
        <v>51940.800000000003</v>
      </c>
      <c r="AD902">
        <f t="shared" si="87"/>
        <v>5</v>
      </c>
      <c r="AE902">
        <f t="shared" si="88"/>
        <v>10240.799999999999</v>
      </c>
      <c r="AF902" t="str">
        <f t="shared" si="89"/>
        <v>Paid</v>
      </c>
    </row>
    <row r="903" spans="1:32" ht="17.25" thickBot="1" x14ac:dyDescent="0.35">
      <c r="A903" s="2" t="s">
        <v>6368</v>
      </c>
      <c r="B903" s="2" t="s">
        <v>27</v>
      </c>
      <c r="C903" s="2" t="s">
        <v>28</v>
      </c>
      <c r="D903" s="2" t="s">
        <v>97</v>
      </c>
      <c r="E903" s="2" t="s">
        <v>5922</v>
      </c>
      <c r="F903" s="2" t="s">
        <v>99</v>
      </c>
      <c r="G903" s="2" t="s">
        <v>32</v>
      </c>
      <c r="H903" s="1"/>
      <c r="I903" s="2" t="s">
        <v>33</v>
      </c>
      <c r="J903" s="2" t="s">
        <v>34</v>
      </c>
      <c r="K903" s="2" t="s">
        <v>888</v>
      </c>
      <c r="L903" s="2" t="s">
        <v>889</v>
      </c>
      <c r="M903" s="2" t="s">
        <v>772</v>
      </c>
      <c r="N903" s="2" t="s">
        <v>38</v>
      </c>
      <c r="O903" s="2" t="s">
        <v>1694</v>
      </c>
      <c r="P903" s="2" t="s">
        <v>6369</v>
      </c>
      <c r="Q903" s="2" t="s">
        <v>6370</v>
      </c>
      <c r="R903" s="2" t="s">
        <v>40</v>
      </c>
      <c r="S903" s="2" t="s">
        <v>6371</v>
      </c>
      <c r="T903" s="2" t="s">
        <v>894</v>
      </c>
      <c r="U903" s="2" t="s">
        <v>6372</v>
      </c>
      <c r="V903" s="2" t="s">
        <v>6373</v>
      </c>
      <c r="W903" s="1"/>
      <c r="X903" s="2" t="s">
        <v>897</v>
      </c>
      <c r="Y903" s="2" t="s">
        <v>5927</v>
      </c>
      <c r="AA903" t="str">
        <f t="shared" si="84"/>
        <v>2026-03</v>
      </c>
      <c r="AB903" t="str">
        <f t="shared" si="85"/>
        <v>H1_2026</v>
      </c>
      <c r="AC903">
        <f t="shared" si="86"/>
        <v>2476623.91</v>
      </c>
      <c r="AD903">
        <f t="shared" si="87"/>
        <v>201</v>
      </c>
      <c r="AE903">
        <f t="shared" si="88"/>
        <v>519888.91</v>
      </c>
      <c r="AF903" t="str">
        <f t="shared" si="89"/>
        <v>Paid</v>
      </c>
    </row>
    <row r="904" spans="1:32" ht="17.25" thickBot="1" x14ac:dyDescent="0.35">
      <c r="A904" s="2" t="s">
        <v>6374</v>
      </c>
      <c r="B904" s="2" t="s">
        <v>27</v>
      </c>
      <c r="C904" s="2" t="s">
        <v>28</v>
      </c>
      <c r="D904" s="2" t="s">
        <v>97</v>
      </c>
      <c r="E904" s="2" t="s">
        <v>5922</v>
      </c>
      <c r="F904" s="2" t="s">
        <v>99</v>
      </c>
      <c r="G904" s="2" t="s">
        <v>32</v>
      </c>
      <c r="H904" s="1"/>
      <c r="I904" s="2" t="s">
        <v>33</v>
      </c>
      <c r="J904" s="2" t="s">
        <v>34</v>
      </c>
      <c r="K904" s="2" t="s">
        <v>899</v>
      </c>
      <c r="L904" s="2" t="s">
        <v>900</v>
      </c>
      <c r="M904" s="2" t="s">
        <v>772</v>
      </c>
      <c r="N904" s="2" t="s">
        <v>38</v>
      </c>
      <c r="O904" s="2" t="s">
        <v>54</v>
      </c>
      <c r="P904" s="2" t="s">
        <v>5794</v>
      </c>
      <c r="Q904" s="2" t="s">
        <v>6375</v>
      </c>
      <c r="R904" s="2" t="s">
        <v>40</v>
      </c>
      <c r="S904" s="2" t="s">
        <v>6376</v>
      </c>
      <c r="T904" s="2" t="s">
        <v>903</v>
      </c>
      <c r="U904" s="2" t="s">
        <v>6377</v>
      </c>
      <c r="V904" s="2" t="s">
        <v>6378</v>
      </c>
      <c r="W904" s="1"/>
      <c r="X904" s="2" t="s">
        <v>796</v>
      </c>
      <c r="Y904" s="2" t="s">
        <v>5927</v>
      </c>
      <c r="AA904" t="str">
        <f t="shared" si="84"/>
        <v>2026-03</v>
      </c>
      <c r="AB904" t="str">
        <f t="shared" si="85"/>
        <v>H1_2026</v>
      </c>
      <c r="AC904">
        <f t="shared" si="86"/>
        <v>55461.23</v>
      </c>
      <c r="AD904">
        <f t="shared" si="87"/>
        <v>4</v>
      </c>
      <c r="AE904">
        <f t="shared" si="88"/>
        <v>11701.23</v>
      </c>
      <c r="AF904" t="str">
        <f t="shared" si="89"/>
        <v>Paid</v>
      </c>
    </row>
    <row r="905" spans="1:32" ht="17.25" thickBot="1" x14ac:dyDescent="0.35">
      <c r="A905" s="2" t="s">
        <v>6379</v>
      </c>
      <c r="B905" s="2" t="s">
        <v>27</v>
      </c>
      <c r="C905" s="2" t="s">
        <v>28</v>
      </c>
      <c r="D905" s="2" t="s">
        <v>97</v>
      </c>
      <c r="E905" s="2" t="s">
        <v>5922</v>
      </c>
      <c r="F905" s="2" t="s">
        <v>99</v>
      </c>
      <c r="G905" s="2" t="s">
        <v>32</v>
      </c>
      <c r="H905" s="1"/>
      <c r="I905" s="2" t="s">
        <v>33</v>
      </c>
      <c r="J905" s="2" t="s">
        <v>34</v>
      </c>
      <c r="K905" s="2" t="s">
        <v>918</v>
      </c>
      <c r="L905" s="2" t="s">
        <v>919</v>
      </c>
      <c r="M905" s="2" t="s">
        <v>772</v>
      </c>
      <c r="N905" s="2" t="s">
        <v>38</v>
      </c>
      <c r="O905" s="2" t="s">
        <v>1121</v>
      </c>
      <c r="P905" s="2" t="s">
        <v>6034</v>
      </c>
      <c r="Q905" s="2" t="s">
        <v>6380</v>
      </c>
      <c r="R905" s="2" t="s">
        <v>40</v>
      </c>
      <c r="S905" s="2" t="s">
        <v>6381</v>
      </c>
      <c r="T905" s="2" t="s">
        <v>913</v>
      </c>
      <c r="U905" s="2" t="s">
        <v>6382</v>
      </c>
      <c r="V905" s="2" t="s">
        <v>6383</v>
      </c>
      <c r="W905" s="1"/>
      <c r="X905" s="2" t="s">
        <v>5228</v>
      </c>
      <c r="Y905" s="2" t="s">
        <v>5927</v>
      </c>
      <c r="AA905" t="str">
        <f t="shared" si="84"/>
        <v>2026-03</v>
      </c>
      <c r="AB905" t="str">
        <f t="shared" si="85"/>
        <v>H1_2026</v>
      </c>
      <c r="AC905">
        <f t="shared" si="86"/>
        <v>1646595.5</v>
      </c>
      <c r="AD905">
        <f t="shared" si="87"/>
        <v>125</v>
      </c>
      <c r="AE905">
        <f t="shared" si="88"/>
        <v>311595.5</v>
      </c>
      <c r="AF905" t="str">
        <f t="shared" si="89"/>
        <v>Paid</v>
      </c>
    </row>
    <row r="906" spans="1:32" ht="17.25" thickBot="1" x14ac:dyDescent="0.35">
      <c r="A906" s="2" t="s">
        <v>6384</v>
      </c>
      <c r="B906" s="2" t="s">
        <v>27</v>
      </c>
      <c r="C906" s="2" t="s">
        <v>28</v>
      </c>
      <c r="D906" s="2" t="s">
        <v>97</v>
      </c>
      <c r="E906" s="2" t="s">
        <v>5922</v>
      </c>
      <c r="F906" s="2" t="s">
        <v>99</v>
      </c>
      <c r="G906" s="2" t="s">
        <v>32</v>
      </c>
      <c r="H906" s="1"/>
      <c r="I906" s="2" t="s">
        <v>33</v>
      </c>
      <c r="J906" s="2" t="s">
        <v>34</v>
      </c>
      <c r="K906" s="2" t="s">
        <v>946</v>
      </c>
      <c r="L906" s="2" t="s">
        <v>947</v>
      </c>
      <c r="M906" s="2" t="s">
        <v>772</v>
      </c>
      <c r="N906" s="2" t="s">
        <v>38</v>
      </c>
      <c r="O906" s="2" t="s">
        <v>6385</v>
      </c>
      <c r="P906" s="2" t="s">
        <v>6386</v>
      </c>
      <c r="Q906" s="2" t="s">
        <v>6387</v>
      </c>
      <c r="R906" s="2" t="s">
        <v>40</v>
      </c>
      <c r="S906" s="2" t="s">
        <v>6388</v>
      </c>
      <c r="T906" s="2" t="s">
        <v>952</v>
      </c>
      <c r="U906" s="2" t="s">
        <v>6389</v>
      </c>
      <c r="V906" s="2" t="s">
        <v>6390</v>
      </c>
      <c r="W906" s="1"/>
      <c r="X906" s="2" t="s">
        <v>3089</v>
      </c>
      <c r="Y906" s="2" t="s">
        <v>5927</v>
      </c>
      <c r="AA906" t="str">
        <f t="shared" si="84"/>
        <v>2026-03</v>
      </c>
      <c r="AB906" t="str">
        <f t="shared" si="85"/>
        <v>H1_2026</v>
      </c>
      <c r="AC906">
        <f t="shared" si="86"/>
        <v>21785991.440000001</v>
      </c>
      <c r="AD906">
        <f t="shared" si="87"/>
        <v>1466</v>
      </c>
      <c r="AE906">
        <f t="shared" si="88"/>
        <v>4193991.44</v>
      </c>
      <c r="AF906" t="str">
        <f t="shared" si="89"/>
        <v>Paid</v>
      </c>
    </row>
    <row r="907" spans="1:32" ht="17.25" thickBot="1" x14ac:dyDescent="0.35">
      <c r="A907" s="2" t="s">
        <v>6391</v>
      </c>
      <c r="B907" s="2" t="s">
        <v>27</v>
      </c>
      <c r="C907" s="2" t="s">
        <v>28</v>
      </c>
      <c r="D907" s="2" t="s">
        <v>97</v>
      </c>
      <c r="E907" s="2" t="s">
        <v>5922</v>
      </c>
      <c r="F907" s="2" t="s">
        <v>99</v>
      </c>
      <c r="G907" s="2" t="s">
        <v>32</v>
      </c>
      <c r="H907" s="1"/>
      <c r="I907" s="2" t="s">
        <v>33</v>
      </c>
      <c r="J907" s="2" t="s">
        <v>34</v>
      </c>
      <c r="K907" s="2" t="s">
        <v>967</v>
      </c>
      <c r="L907" s="2" t="s">
        <v>968</v>
      </c>
      <c r="M907" s="2" t="s">
        <v>772</v>
      </c>
      <c r="N907" s="2" t="s">
        <v>38</v>
      </c>
      <c r="O907" s="2" t="s">
        <v>4092</v>
      </c>
      <c r="P907" s="2" t="s">
        <v>6392</v>
      </c>
      <c r="Q907" s="2" t="s">
        <v>6393</v>
      </c>
      <c r="R907" s="2" t="s">
        <v>40</v>
      </c>
      <c r="S907" s="2" t="s">
        <v>6394</v>
      </c>
      <c r="T907" s="2" t="s">
        <v>973</v>
      </c>
      <c r="U907" s="2" t="s">
        <v>6395</v>
      </c>
      <c r="V907" s="2" t="s">
        <v>6396</v>
      </c>
      <c r="W907" s="1"/>
      <c r="X907" s="2" t="s">
        <v>2072</v>
      </c>
      <c r="Y907" s="2" t="s">
        <v>5927</v>
      </c>
      <c r="AA907" t="str">
        <f t="shared" si="84"/>
        <v>2026-03</v>
      </c>
      <c r="AB907" t="str">
        <f t="shared" si="85"/>
        <v>H1_2026</v>
      </c>
      <c r="AC907">
        <f t="shared" si="86"/>
        <v>7732340.3300000001</v>
      </c>
      <c r="AD907">
        <f t="shared" si="87"/>
        <v>537</v>
      </c>
      <c r="AE907">
        <f t="shared" si="88"/>
        <v>1556840.33</v>
      </c>
      <c r="AF907" t="str">
        <f t="shared" si="89"/>
        <v>Paid</v>
      </c>
    </row>
    <row r="908" spans="1:32" ht="17.25" thickBot="1" x14ac:dyDescent="0.35">
      <c r="A908" s="2" t="s">
        <v>6397</v>
      </c>
      <c r="B908" s="2" t="s">
        <v>27</v>
      </c>
      <c r="C908" s="2" t="s">
        <v>28</v>
      </c>
      <c r="D908" s="2" t="s">
        <v>97</v>
      </c>
      <c r="E908" s="2" t="s">
        <v>5922</v>
      </c>
      <c r="F908" s="2" t="s">
        <v>99</v>
      </c>
      <c r="G908" s="2" t="s">
        <v>32</v>
      </c>
      <c r="H908" s="1"/>
      <c r="I908" s="2" t="s">
        <v>33</v>
      </c>
      <c r="J908" s="2" t="s">
        <v>34</v>
      </c>
      <c r="K908" s="2" t="s">
        <v>978</v>
      </c>
      <c r="L908" s="2" t="s">
        <v>979</v>
      </c>
      <c r="M908" s="2" t="s">
        <v>772</v>
      </c>
      <c r="N908" s="2" t="s">
        <v>38</v>
      </c>
      <c r="O908" s="2" t="s">
        <v>6398</v>
      </c>
      <c r="P908" s="2" t="s">
        <v>484</v>
      </c>
      <c r="Q908" s="2" t="s">
        <v>6399</v>
      </c>
      <c r="R908" s="2" t="s">
        <v>40</v>
      </c>
      <c r="S908" s="2" t="s">
        <v>6400</v>
      </c>
      <c r="T908" s="2" t="s">
        <v>983</v>
      </c>
      <c r="U908" s="2" t="s">
        <v>6401</v>
      </c>
      <c r="V908" s="2" t="s">
        <v>6402</v>
      </c>
      <c r="W908" s="1"/>
      <c r="X908" s="2" t="s">
        <v>897</v>
      </c>
      <c r="Y908" s="2" t="s">
        <v>5927</v>
      </c>
      <c r="AA908" t="str">
        <f t="shared" si="84"/>
        <v>2026-03</v>
      </c>
      <c r="AB908" t="str">
        <f t="shared" si="85"/>
        <v>H1_2026</v>
      </c>
      <c r="AC908">
        <f t="shared" si="86"/>
        <v>18246168.210000001</v>
      </c>
      <c r="AD908">
        <f t="shared" si="87"/>
        <v>1354</v>
      </c>
      <c r="AE908">
        <f t="shared" si="88"/>
        <v>3826068.21</v>
      </c>
      <c r="AF908" t="str">
        <f t="shared" si="89"/>
        <v>Paid</v>
      </c>
    </row>
    <row r="909" spans="1:32" ht="17.25" thickBot="1" x14ac:dyDescent="0.35">
      <c r="A909" s="2" t="s">
        <v>6403</v>
      </c>
      <c r="B909" s="2" t="s">
        <v>27</v>
      </c>
      <c r="C909" s="2" t="s">
        <v>28</v>
      </c>
      <c r="D909" s="2" t="s">
        <v>97</v>
      </c>
      <c r="E909" s="2" t="s">
        <v>5922</v>
      </c>
      <c r="F909" s="2" t="s">
        <v>99</v>
      </c>
      <c r="G909" s="2" t="s">
        <v>32</v>
      </c>
      <c r="H909" s="1"/>
      <c r="I909" s="2" t="s">
        <v>33</v>
      </c>
      <c r="J909" s="2" t="s">
        <v>34</v>
      </c>
      <c r="K909" s="2" t="s">
        <v>988</v>
      </c>
      <c r="L909" s="2" t="s">
        <v>989</v>
      </c>
      <c r="M909" s="2" t="s">
        <v>772</v>
      </c>
      <c r="N909" s="2" t="s">
        <v>38</v>
      </c>
      <c r="O909" s="2" t="s">
        <v>6404</v>
      </c>
      <c r="P909" s="2" t="s">
        <v>4445</v>
      </c>
      <c r="Q909" s="2" t="s">
        <v>6405</v>
      </c>
      <c r="R909" s="2" t="s">
        <v>40</v>
      </c>
      <c r="S909" s="2" t="s">
        <v>6406</v>
      </c>
      <c r="T909" s="2" t="s">
        <v>994</v>
      </c>
      <c r="U909" s="2" t="s">
        <v>6407</v>
      </c>
      <c r="V909" s="2" t="s">
        <v>6408</v>
      </c>
      <c r="W909" s="1"/>
      <c r="X909" s="2" t="s">
        <v>258</v>
      </c>
      <c r="Y909" s="2" t="s">
        <v>5927</v>
      </c>
      <c r="AA909" t="str">
        <f t="shared" si="84"/>
        <v>2026-03</v>
      </c>
      <c r="AB909" t="str">
        <f t="shared" si="85"/>
        <v>H1_2026</v>
      </c>
      <c r="AC909">
        <f t="shared" si="86"/>
        <v>33292783.140000001</v>
      </c>
      <c r="AD909">
        <f t="shared" si="87"/>
        <v>2584</v>
      </c>
      <c r="AE909">
        <f t="shared" si="88"/>
        <v>6548383.1399999997</v>
      </c>
      <c r="AF909" t="str">
        <f t="shared" si="89"/>
        <v>Paid</v>
      </c>
    </row>
    <row r="910" spans="1:32" ht="17.25" thickBot="1" x14ac:dyDescent="0.35">
      <c r="A910" s="2" t="s">
        <v>6409</v>
      </c>
      <c r="B910" s="2" t="s">
        <v>27</v>
      </c>
      <c r="C910" s="2" t="s">
        <v>28</v>
      </c>
      <c r="D910" s="2" t="s">
        <v>97</v>
      </c>
      <c r="E910" s="2" t="s">
        <v>5922</v>
      </c>
      <c r="F910" s="2" t="s">
        <v>99</v>
      </c>
      <c r="G910" s="2" t="s">
        <v>32</v>
      </c>
      <c r="H910" s="1"/>
      <c r="I910" s="2" t="s">
        <v>33</v>
      </c>
      <c r="J910" s="2" t="s">
        <v>34</v>
      </c>
      <c r="K910" s="2" t="s">
        <v>999</v>
      </c>
      <c r="L910" s="2" t="s">
        <v>1000</v>
      </c>
      <c r="M910" s="2" t="s">
        <v>772</v>
      </c>
      <c r="N910" s="2" t="s">
        <v>38</v>
      </c>
      <c r="O910" s="2" t="s">
        <v>5163</v>
      </c>
      <c r="P910" s="2" t="s">
        <v>3199</v>
      </c>
      <c r="Q910" s="2" t="s">
        <v>6410</v>
      </c>
      <c r="R910" s="2" t="s">
        <v>40</v>
      </c>
      <c r="S910" s="2" t="s">
        <v>6411</v>
      </c>
      <c r="T910" s="2" t="s">
        <v>864</v>
      </c>
      <c r="U910" s="2" t="s">
        <v>6412</v>
      </c>
      <c r="V910" s="2" t="s">
        <v>6413</v>
      </c>
      <c r="W910" s="1"/>
      <c r="X910" s="2" t="s">
        <v>5030</v>
      </c>
      <c r="Y910" s="2" t="s">
        <v>5927</v>
      </c>
      <c r="AA910" t="str">
        <f t="shared" si="84"/>
        <v>2026-03</v>
      </c>
      <c r="AB910" t="str">
        <f t="shared" si="85"/>
        <v>H1_2026</v>
      </c>
      <c r="AC910">
        <f t="shared" si="86"/>
        <v>6484765.5999999996</v>
      </c>
      <c r="AD910">
        <f t="shared" si="87"/>
        <v>699</v>
      </c>
      <c r="AE910">
        <f t="shared" si="88"/>
        <v>1242265.6000000001</v>
      </c>
      <c r="AF910" t="str">
        <f t="shared" si="89"/>
        <v>Paid</v>
      </c>
    </row>
    <row r="911" spans="1:32" ht="17.25" thickBot="1" x14ac:dyDescent="0.35">
      <c r="A911" s="2" t="s">
        <v>6414</v>
      </c>
      <c r="B911" s="2" t="s">
        <v>27</v>
      </c>
      <c r="C911" s="2" t="s">
        <v>28</v>
      </c>
      <c r="D911" s="2" t="s">
        <v>97</v>
      </c>
      <c r="E911" s="2" t="s">
        <v>5922</v>
      </c>
      <c r="F911" s="2" t="s">
        <v>99</v>
      </c>
      <c r="G911" s="2" t="s">
        <v>32</v>
      </c>
      <c r="H911" s="1"/>
      <c r="I911" s="2" t="s">
        <v>33</v>
      </c>
      <c r="J911" s="2" t="s">
        <v>34</v>
      </c>
      <c r="K911" s="2" t="s">
        <v>1008</v>
      </c>
      <c r="L911" s="2" t="s">
        <v>1009</v>
      </c>
      <c r="M911" s="2" t="s">
        <v>772</v>
      </c>
      <c r="N911" s="2" t="s">
        <v>38</v>
      </c>
      <c r="O911" s="2" t="s">
        <v>1871</v>
      </c>
      <c r="P911" s="2" t="s">
        <v>6415</v>
      </c>
      <c r="Q911" s="2" t="s">
        <v>6416</v>
      </c>
      <c r="R911" s="2" t="s">
        <v>40</v>
      </c>
      <c r="S911" s="2" t="s">
        <v>6417</v>
      </c>
      <c r="T911" s="2" t="s">
        <v>1013</v>
      </c>
      <c r="U911" s="2" t="s">
        <v>6418</v>
      </c>
      <c r="V911" s="2" t="s">
        <v>6419</v>
      </c>
      <c r="W911" s="1"/>
      <c r="X911" s="2" t="s">
        <v>155</v>
      </c>
      <c r="Y911" s="2" t="s">
        <v>5927</v>
      </c>
      <c r="AA911" t="str">
        <f t="shared" si="84"/>
        <v>2026-03</v>
      </c>
      <c r="AB911" t="str">
        <f t="shared" si="85"/>
        <v>H1_2026</v>
      </c>
      <c r="AC911">
        <f t="shared" si="86"/>
        <v>2386852.9</v>
      </c>
      <c r="AD911">
        <f t="shared" si="87"/>
        <v>226</v>
      </c>
      <c r="AE911">
        <f t="shared" si="88"/>
        <v>465852.9</v>
      </c>
      <c r="AF911" t="str">
        <f t="shared" si="89"/>
        <v>Paid</v>
      </c>
    </row>
    <row r="912" spans="1:32" ht="17.25" thickBot="1" x14ac:dyDescent="0.35">
      <c r="A912" s="2" t="s">
        <v>536</v>
      </c>
      <c r="B912" s="2" t="s">
        <v>27</v>
      </c>
      <c r="C912" s="2" t="s">
        <v>28</v>
      </c>
      <c r="D912" s="2" t="s">
        <v>97</v>
      </c>
      <c r="E912" s="2" t="s">
        <v>5922</v>
      </c>
      <c r="F912" s="2" t="s">
        <v>99</v>
      </c>
      <c r="G912" s="2" t="s">
        <v>32</v>
      </c>
      <c r="H912" s="1"/>
      <c r="I912" s="2" t="s">
        <v>33</v>
      </c>
      <c r="J912" s="2" t="s">
        <v>34</v>
      </c>
      <c r="K912" s="2" t="s">
        <v>6420</v>
      </c>
      <c r="L912" s="2" t="s">
        <v>6421</v>
      </c>
      <c r="M912" s="2" t="s">
        <v>772</v>
      </c>
      <c r="N912" s="2" t="s">
        <v>38</v>
      </c>
      <c r="O912" s="2" t="s">
        <v>2404</v>
      </c>
      <c r="P912" s="2" t="s">
        <v>6422</v>
      </c>
      <c r="Q912" s="2" t="s">
        <v>6423</v>
      </c>
      <c r="R912" s="2" t="s">
        <v>40</v>
      </c>
      <c r="S912" s="2" t="s">
        <v>6424</v>
      </c>
      <c r="T912" s="2" t="s">
        <v>864</v>
      </c>
      <c r="U912" s="2" t="s">
        <v>6425</v>
      </c>
      <c r="V912" s="2" t="s">
        <v>6426</v>
      </c>
      <c r="W912" s="1"/>
      <c r="X912" s="2" t="s">
        <v>827</v>
      </c>
      <c r="Y912" s="2" t="s">
        <v>5927</v>
      </c>
      <c r="AA912" t="str">
        <f t="shared" si="84"/>
        <v>2026-03</v>
      </c>
      <c r="AB912" t="str">
        <f t="shared" si="85"/>
        <v>H1_2026</v>
      </c>
      <c r="AC912">
        <f t="shared" si="86"/>
        <v>2750048.94</v>
      </c>
      <c r="AD912">
        <f t="shared" si="87"/>
        <v>291</v>
      </c>
      <c r="AE912">
        <f t="shared" si="88"/>
        <v>567548.93999999994</v>
      </c>
      <c r="AF912" t="str">
        <f t="shared" si="89"/>
        <v>Paid</v>
      </c>
    </row>
    <row r="913" spans="1:32" ht="17.25" thickBot="1" x14ac:dyDescent="0.35">
      <c r="A913" s="2" t="s">
        <v>6427</v>
      </c>
      <c r="B913" s="2" t="s">
        <v>27</v>
      </c>
      <c r="C913" s="2" t="s">
        <v>28</v>
      </c>
      <c r="D913" s="2" t="s">
        <v>97</v>
      </c>
      <c r="E913" s="2" t="s">
        <v>5922</v>
      </c>
      <c r="F913" s="2" t="s">
        <v>99</v>
      </c>
      <c r="G913" s="2" t="s">
        <v>32</v>
      </c>
      <c r="H913" s="1"/>
      <c r="I913" s="2" t="s">
        <v>33</v>
      </c>
      <c r="J913" s="2" t="s">
        <v>34</v>
      </c>
      <c r="K913" s="2" t="s">
        <v>1026</v>
      </c>
      <c r="L913" s="2" t="s">
        <v>1027</v>
      </c>
      <c r="M913" s="2" t="s">
        <v>772</v>
      </c>
      <c r="N913" s="2" t="s">
        <v>38</v>
      </c>
      <c r="O913" s="2" t="s">
        <v>6428</v>
      </c>
      <c r="P913" s="2" t="s">
        <v>6422</v>
      </c>
      <c r="Q913" s="2" t="s">
        <v>6429</v>
      </c>
      <c r="R913" s="2" t="s">
        <v>40</v>
      </c>
      <c r="S913" s="2" t="s">
        <v>6430</v>
      </c>
      <c r="T913" s="2" t="s">
        <v>864</v>
      </c>
      <c r="U913" s="2" t="s">
        <v>6431</v>
      </c>
      <c r="V913" s="2" t="s">
        <v>6432</v>
      </c>
      <c r="W913" s="1"/>
      <c r="X913" s="2" t="s">
        <v>827</v>
      </c>
      <c r="Y913" s="2" t="s">
        <v>5927</v>
      </c>
      <c r="AA913" t="str">
        <f t="shared" si="84"/>
        <v>2026-03</v>
      </c>
      <c r="AB913" t="str">
        <f t="shared" si="85"/>
        <v>H1_2026</v>
      </c>
      <c r="AC913">
        <f t="shared" si="86"/>
        <v>8807716.8800000008</v>
      </c>
      <c r="AD913">
        <f t="shared" si="87"/>
        <v>932</v>
      </c>
      <c r="AE913">
        <f t="shared" si="88"/>
        <v>1817716.88</v>
      </c>
      <c r="AF913" t="str">
        <f t="shared" si="89"/>
        <v>Paid</v>
      </c>
    </row>
    <row r="914" spans="1:32" ht="17.25" thickBot="1" x14ac:dyDescent="0.35">
      <c r="A914" s="2" t="s">
        <v>6433</v>
      </c>
      <c r="B914" s="2" t="s">
        <v>27</v>
      </c>
      <c r="C914" s="2" t="s">
        <v>28</v>
      </c>
      <c r="D914" s="2" t="s">
        <v>97</v>
      </c>
      <c r="E914" s="2" t="s">
        <v>5922</v>
      </c>
      <c r="F914" s="2" t="s">
        <v>99</v>
      </c>
      <c r="G914" s="2" t="s">
        <v>32</v>
      </c>
      <c r="H914" s="1"/>
      <c r="I914" s="2" t="s">
        <v>33</v>
      </c>
      <c r="J914" s="2" t="s">
        <v>34</v>
      </c>
      <c r="K914" s="2" t="s">
        <v>1033</v>
      </c>
      <c r="L914" s="2" t="s">
        <v>1034</v>
      </c>
      <c r="M914" s="2" t="s">
        <v>772</v>
      </c>
      <c r="N914" s="2" t="s">
        <v>38</v>
      </c>
      <c r="O914" s="2" t="s">
        <v>6434</v>
      </c>
      <c r="P914" s="2" t="s">
        <v>6435</v>
      </c>
      <c r="Q914" s="2" t="s">
        <v>6436</v>
      </c>
      <c r="R914" s="2" t="s">
        <v>40</v>
      </c>
      <c r="S914" s="2" t="s">
        <v>6437</v>
      </c>
      <c r="T914" s="2" t="s">
        <v>1039</v>
      </c>
      <c r="U914" s="2" t="s">
        <v>6438</v>
      </c>
      <c r="V914" s="2" t="s">
        <v>6439</v>
      </c>
      <c r="W914" s="1"/>
      <c r="X914" s="2" t="s">
        <v>2000</v>
      </c>
      <c r="Y914" s="2" t="s">
        <v>5927</v>
      </c>
      <c r="AA914" t="str">
        <f t="shared" si="84"/>
        <v>2026-03</v>
      </c>
      <c r="AB914" t="str">
        <f t="shared" si="85"/>
        <v>H1_2026</v>
      </c>
      <c r="AC914">
        <f t="shared" si="86"/>
        <v>15124814.689999999</v>
      </c>
      <c r="AD914">
        <f t="shared" si="87"/>
        <v>1409</v>
      </c>
      <c r="AE914">
        <f t="shared" si="88"/>
        <v>3007414.69</v>
      </c>
      <c r="AF914" t="str">
        <f t="shared" si="89"/>
        <v>Paid</v>
      </c>
    </row>
    <row r="915" spans="1:32" ht="17.25" thickBot="1" x14ac:dyDescent="0.35">
      <c r="A915" s="2" t="s">
        <v>6440</v>
      </c>
      <c r="B915" s="2" t="s">
        <v>27</v>
      </c>
      <c r="C915" s="2" t="s">
        <v>28</v>
      </c>
      <c r="D915" s="2" t="s">
        <v>97</v>
      </c>
      <c r="E915" s="2" t="s">
        <v>5922</v>
      </c>
      <c r="F915" s="2" t="s">
        <v>99</v>
      </c>
      <c r="G915" s="2" t="s">
        <v>32</v>
      </c>
      <c r="H915" s="1"/>
      <c r="I915" s="2" t="s">
        <v>33</v>
      </c>
      <c r="J915" s="2" t="s">
        <v>34</v>
      </c>
      <c r="K915" s="2" t="s">
        <v>6441</v>
      </c>
      <c r="L915" s="2" t="s">
        <v>6442</v>
      </c>
      <c r="M915" s="2" t="s">
        <v>772</v>
      </c>
      <c r="N915" s="2" t="s">
        <v>38</v>
      </c>
      <c r="O915" s="2" t="s">
        <v>177</v>
      </c>
      <c r="P915" s="2" t="s">
        <v>801</v>
      </c>
      <c r="Q915" s="2" t="s">
        <v>6443</v>
      </c>
      <c r="R915" s="2" t="s">
        <v>40</v>
      </c>
      <c r="S915" s="2" t="s">
        <v>6444</v>
      </c>
      <c r="T915" s="2" t="s">
        <v>5341</v>
      </c>
      <c r="U915" s="2" t="s">
        <v>6445</v>
      </c>
      <c r="V915" s="2" t="s">
        <v>6446</v>
      </c>
      <c r="W915" s="1"/>
      <c r="X915" s="2" t="s">
        <v>2104</v>
      </c>
      <c r="Y915" s="2" t="s">
        <v>5927</v>
      </c>
      <c r="AA915" t="str">
        <f t="shared" si="84"/>
        <v>2026-03</v>
      </c>
      <c r="AB915" t="str">
        <f t="shared" si="85"/>
        <v>H1_2026</v>
      </c>
      <c r="AC915">
        <f t="shared" si="86"/>
        <v>3682025.6</v>
      </c>
      <c r="AD915">
        <f t="shared" si="87"/>
        <v>400</v>
      </c>
      <c r="AE915">
        <f t="shared" si="88"/>
        <v>738025.6</v>
      </c>
      <c r="AF915" t="str">
        <f t="shared" si="89"/>
        <v>Paid</v>
      </c>
    </row>
    <row r="916" spans="1:32" ht="17.25" thickBot="1" x14ac:dyDescent="0.35">
      <c r="A916" s="2" t="s">
        <v>6447</v>
      </c>
      <c r="B916" s="2" t="s">
        <v>27</v>
      </c>
      <c r="C916" s="2" t="s">
        <v>28</v>
      </c>
      <c r="D916" s="2" t="s">
        <v>97</v>
      </c>
      <c r="E916" s="2" t="s">
        <v>5922</v>
      </c>
      <c r="F916" s="2" t="s">
        <v>99</v>
      </c>
      <c r="G916" s="2" t="s">
        <v>32</v>
      </c>
      <c r="H916" s="1"/>
      <c r="I916" s="2" t="s">
        <v>33</v>
      </c>
      <c r="J916" s="2" t="s">
        <v>34</v>
      </c>
      <c r="K916" s="2" t="s">
        <v>4636</v>
      </c>
      <c r="L916" s="2" t="s">
        <v>4637</v>
      </c>
      <c r="M916" s="2" t="s">
        <v>37</v>
      </c>
      <c r="N916" s="2" t="s">
        <v>38</v>
      </c>
      <c r="O916" s="2" t="s">
        <v>113</v>
      </c>
      <c r="P916" s="2" t="s">
        <v>6448</v>
      </c>
      <c r="Q916" s="2" t="s">
        <v>6449</v>
      </c>
      <c r="R916" s="2" t="s">
        <v>40</v>
      </c>
      <c r="S916" s="2" t="s">
        <v>6450</v>
      </c>
      <c r="T916" s="2" t="s">
        <v>107</v>
      </c>
      <c r="U916" s="2" t="s">
        <v>1710</v>
      </c>
      <c r="V916" s="2" t="s">
        <v>6451</v>
      </c>
      <c r="W916" s="1"/>
      <c r="X916" s="2" t="s">
        <v>1100</v>
      </c>
      <c r="Y916" s="2" t="s">
        <v>5927</v>
      </c>
      <c r="AA916" t="str">
        <f t="shared" si="84"/>
        <v>2026-03</v>
      </c>
      <c r="AB916" t="str">
        <f t="shared" si="85"/>
        <v>H1_2026</v>
      </c>
      <c r="AC916">
        <f t="shared" si="86"/>
        <v>100851.72</v>
      </c>
      <c r="AD916">
        <f t="shared" si="87"/>
        <v>15</v>
      </c>
      <c r="AE916">
        <f t="shared" si="88"/>
        <v>16851.72</v>
      </c>
      <c r="AF916" t="str">
        <f t="shared" si="89"/>
        <v>Paid</v>
      </c>
    </row>
    <row r="917" spans="1:32" ht="17.25" thickBot="1" x14ac:dyDescent="0.35">
      <c r="A917" s="2" t="s">
        <v>6452</v>
      </c>
      <c r="B917" s="2" t="s">
        <v>27</v>
      </c>
      <c r="C917" s="2" t="s">
        <v>28</v>
      </c>
      <c r="D917" s="2" t="s">
        <v>97</v>
      </c>
      <c r="E917" s="2" t="s">
        <v>5922</v>
      </c>
      <c r="F917" s="2" t="s">
        <v>99</v>
      </c>
      <c r="G917" s="2" t="s">
        <v>32</v>
      </c>
      <c r="H917" s="1"/>
      <c r="I917" s="2" t="s">
        <v>33</v>
      </c>
      <c r="J917" s="2" t="s">
        <v>34</v>
      </c>
      <c r="K917" s="2" t="s">
        <v>6453</v>
      </c>
      <c r="L917" s="2" t="s">
        <v>6454</v>
      </c>
      <c r="M917" s="2" t="s">
        <v>37</v>
      </c>
      <c r="N917" s="2" t="s">
        <v>38</v>
      </c>
      <c r="O917" s="2" t="s">
        <v>2048</v>
      </c>
      <c r="P917" s="2" t="s">
        <v>6448</v>
      </c>
      <c r="Q917" s="2" t="s">
        <v>6455</v>
      </c>
      <c r="R917" s="2" t="s">
        <v>40</v>
      </c>
      <c r="S917" s="2" t="s">
        <v>6456</v>
      </c>
      <c r="T917" s="2" t="s">
        <v>107</v>
      </c>
      <c r="U917" s="2" t="s">
        <v>6457</v>
      </c>
      <c r="V917" s="2" t="s">
        <v>6458</v>
      </c>
      <c r="W917" s="1"/>
      <c r="X917" s="2" t="s">
        <v>1100</v>
      </c>
      <c r="Y917" s="2" t="s">
        <v>5927</v>
      </c>
      <c r="AA917" t="str">
        <f t="shared" si="84"/>
        <v>2026-03</v>
      </c>
      <c r="AB917" t="str">
        <f t="shared" si="85"/>
        <v>H1_2026</v>
      </c>
      <c r="AC917">
        <f t="shared" si="86"/>
        <v>5647696.3200000003</v>
      </c>
      <c r="AD917">
        <f t="shared" si="87"/>
        <v>840</v>
      </c>
      <c r="AE917">
        <f t="shared" si="88"/>
        <v>943696.32</v>
      </c>
      <c r="AF917" t="str">
        <f t="shared" si="89"/>
        <v>Paid</v>
      </c>
    </row>
    <row r="918" spans="1:32" ht="17.25" thickBot="1" x14ac:dyDescent="0.35">
      <c r="A918" s="2" t="s">
        <v>6459</v>
      </c>
      <c r="B918" s="2" t="s">
        <v>27</v>
      </c>
      <c r="C918" s="2" t="s">
        <v>28</v>
      </c>
      <c r="D918" s="2" t="s">
        <v>97</v>
      </c>
      <c r="E918" s="2" t="s">
        <v>5922</v>
      </c>
      <c r="F918" s="2" t="s">
        <v>99</v>
      </c>
      <c r="G918" s="2" t="s">
        <v>32</v>
      </c>
      <c r="H918" s="1"/>
      <c r="I918" s="2" t="s">
        <v>33</v>
      </c>
      <c r="J918" s="2" t="s">
        <v>34</v>
      </c>
      <c r="K918" s="2" t="s">
        <v>1093</v>
      </c>
      <c r="L918" s="2" t="s">
        <v>1094</v>
      </c>
      <c r="M918" s="2" t="s">
        <v>37</v>
      </c>
      <c r="N918" s="2" t="s">
        <v>38</v>
      </c>
      <c r="O918" s="2" t="s">
        <v>114</v>
      </c>
      <c r="P918" s="2" t="s">
        <v>6187</v>
      </c>
      <c r="Q918" s="2" t="s">
        <v>6460</v>
      </c>
      <c r="R918" s="2" t="s">
        <v>40</v>
      </c>
      <c r="S918" s="2" t="s">
        <v>6461</v>
      </c>
      <c r="T918" s="2" t="s">
        <v>126</v>
      </c>
      <c r="U918" s="2" t="s">
        <v>1858</v>
      </c>
      <c r="V918" s="2" t="s">
        <v>6462</v>
      </c>
      <c r="W918" s="1"/>
      <c r="X918" s="2" t="s">
        <v>1100</v>
      </c>
      <c r="Y918" s="2" t="s">
        <v>5927</v>
      </c>
      <c r="AA918" t="str">
        <f t="shared" si="84"/>
        <v>2026-03</v>
      </c>
      <c r="AB918" t="str">
        <f t="shared" si="85"/>
        <v>H1_2026</v>
      </c>
      <c r="AC918">
        <f t="shared" si="86"/>
        <v>1814465.28</v>
      </c>
      <c r="AD918">
        <f t="shared" si="87"/>
        <v>240</v>
      </c>
      <c r="AE918">
        <f t="shared" si="88"/>
        <v>302465.28000000003</v>
      </c>
      <c r="AF918" t="str">
        <f t="shared" si="89"/>
        <v>Paid</v>
      </c>
    </row>
    <row r="919" spans="1:32" ht="17.25" thickBot="1" x14ac:dyDescent="0.35">
      <c r="A919" s="2" t="s">
        <v>6463</v>
      </c>
      <c r="B919" s="2" t="s">
        <v>27</v>
      </c>
      <c r="C919" s="2" t="s">
        <v>28</v>
      </c>
      <c r="D919" s="2" t="s">
        <v>97</v>
      </c>
      <c r="E919" s="2" t="s">
        <v>5922</v>
      </c>
      <c r="F919" s="2" t="s">
        <v>99</v>
      </c>
      <c r="G919" s="2" t="s">
        <v>32</v>
      </c>
      <c r="H919" s="1"/>
      <c r="I919" s="2" t="s">
        <v>33</v>
      </c>
      <c r="J919" s="2" t="s">
        <v>34</v>
      </c>
      <c r="K919" s="2" t="s">
        <v>5357</v>
      </c>
      <c r="L919" s="2" t="s">
        <v>5358</v>
      </c>
      <c r="M919" s="2" t="s">
        <v>37</v>
      </c>
      <c r="N919" s="2" t="s">
        <v>38</v>
      </c>
      <c r="O919" s="2" t="s">
        <v>1939</v>
      </c>
      <c r="P919" s="2" t="s">
        <v>6464</v>
      </c>
      <c r="Q919" s="2" t="s">
        <v>6465</v>
      </c>
      <c r="R919" s="2" t="s">
        <v>40</v>
      </c>
      <c r="S919" s="2" t="s">
        <v>6466</v>
      </c>
      <c r="T919" s="2" t="s">
        <v>1136</v>
      </c>
      <c r="U919" s="2" t="s">
        <v>6467</v>
      </c>
      <c r="V919" s="2" t="s">
        <v>6468</v>
      </c>
      <c r="W919" s="1"/>
      <c r="X919" s="2" t="s">
        <v>3216</v>
      </c>
      <c r="Y919" s="2" t="s">
        <v>5927</v>
      </c>
      <c r="AA919" t="str">
        <f t="shared" si="84"/>
        <v>2026-03</v>
      </c>
      <c r="AB919" t="str">
        <f t="shared" si="85"/>
        <v>H1_2026</v>
      </c>
      <c r="AC919">
        <f t="shared" si="86"/>
        <v>1178277.05</v>
      </c>
      <c r="AD919">
        <f t="shared" si="87"/>
        <v>234</v>
      </c>
      <c r="AE919">
        <f t="shared" si="88"/>
        <v>195477.05</v>
      </c>
      <c r="AF919" t="str">
        <f t="shared" si="89"/>
        <v>Paid</v>
      </c>
    </row>
    <row r="920" spans="1:32" ht="17.25" thickBot="1" x14ac:dyDescent="0.35">
      <c r="A920" s="2" t="s">
        <v>6469</v>
      </c>
      <c r="B920" s="2" t="s">
        <v>27</v>
      </c>
      <c r="C920" s="2" t="s">
        <v>28</v>
      </c>
      <c r="D920" s="2" t="s">
        <v>97</v>
      </c>
      <c r="E920" s="2" t="s">
        <v>5922</v>
      </c>
      <c r="F920" s="2" t="s">
        <v>99</v>
      </c>
      <c r="G920" s="2" t="s">
        <v>32</v>
      </c>
      <c r="H920" s="1"/>
      <c r="I920" s="2" t="s">
        <v>33</v>
      </c>
      <c r="J920" s="2" t="s">
        <v>34</v>
      </c>
      <c r="K920" s="2" t="s">
        <v>1111</v>
      </c>
      <c r="L920" s="2" t="s">
        <v>1112</v>
      </c>
      <c r="M920" s="2" t="s">
        <v>37</v>
      </c>
      <c r="N920" s="2" t="s">
        <v>38</v>
      </c>
      <c r="O920" s="2" t="s">
        <v>2048</v>
      </c>
      <c r="P920" s="2" t="s">
        <v>6470</v>
      </c>
      <c r="Q920" s="2" t="s">
        <v>6471</v>
      </c>
      <c r="R920" s="2" t="s">
        <v>40</v>
      </c>
      <c r="S920" s="2" t="s">
        <v>6472</v>
      </c>
      <c r="T920" s="2" t="s">
        <v>1117</v>
      </c>
      <c r="U920" s="2" t="s">
        <v>6473</v>
      </c>
      <c r="V920" s="2" t="s">
        <v>6474</v>
      </c>
      <c r="W920" s="1"/>
      <c r="X920" s="2" t="s">
        <v>1100</v>
      </c>
      <c r="Y920" s="2" t="s">
        <v>5927</v>
      </c>
      <c r="AA920" t="str">
        <f t="shared" si="84"/>
        <v>2026-03</v>
      </c>
      <c r="AB920" t="str">
        <f t="shared" si="85"/>
        <v>H1_2026</v>
      </c>
      <c r="AC920">
        <f t="shared" si="86"/>
        <v>3175314.24</v>
      </c>
      <c r="AD920">
        <f t="shared" si="87"/>
        <v>840</v>
      </c>
      <c r="AE920">
        <f t="shared" si="88"/>
        <v>529314.24</v>
      </c>
      <c r="AF920" t="str">
        <f t="shared" si="89"/>
        <v>Paid</v>
      </c>
    </row>
    <row r="921" spans="1:32" ht="17.25" thickBot="1" x14ac:dyDescent="0.35">
      <c r="A921" s="2" t="s">
        <v>6475</v>
      </c>
      <c r="B921" s="2" t="s">
        <v>27</v>
      </c>
      <c r="C921" s="2" t="s">
        <v>28</v>
      </c>
      <c r="D921" s="2" t="s">
        <v>97</v>
      </c>
      <c r="E921" s="2" t="s">
        <v>5922</v>
      </c>
      <c r="F921" s="2" t="s">
        <v>99</v>
      </c>
      <c r="G921" s="2" t="s">
        <v>32</v>
      </c>
      <c r="H921" s="1"/>
      <c r="I921" s="2" t="s">
        <v>33</v>
      </c>
      <c r="J921" s="2" t="s">
        <v>34</v>
      </c>
      <c r="K921" s="2" t="s">
        <v>1122</v>
      </c>
      <c r="L921" s="2" t="s">
        <v>1123</v>
      </c>
      <c r="M921" s="2" t="s">
        <v>37</v>
      </c>
      <c r="N921" s="2" t="s">
        <v>38</v>
      </c>
      <c r="O921" s="2" t="s">
        <v>1731</v>
      </c>
      <c r="P921" s="2" t="s">
        <v>3210</v>
      </c>
      <c r="Q921" s="2" t="s">
        <v>6476</v>
      </c>
      <c r="R921" s="2" t="s">
        <v>40</v>
      </c>
      <c r="S921" s="2" t="s">
        <v>6477</v>
      </c>
      <c r="T921" s="2" t="s">
        <v>2275</v>
      </c>
      <c r="U921" s="2" t="s">
        <v>2353</v>
      </c>
      <c r="V921" s="2" t="s">
        <v>6478</v>
      </c>
      <c r="W921" s="1"/>
      <c r="X921" s="2" t="s">
        <v>1340</v>
      </c>
      <c r="Y921" s="2" t="s">
        <v>5927</v>
      </c>
      <c r="AA921" t="str">
        <f t="shared" si="84"/>
        <v>2026-03</v>
      </c>
      <c r="AB921" t="str">
        <f t="shared" si="85"/>
        <v>H1_2026</v>
      </c>
      <c r="AC921">
        <f t="shared" si="86"/>
        <v>1305142.45</v>
      </c>
      <c r="AD921">
        <f t="shared" si="87"/>
        <v>207</v>
      </c>
      <c r="AE921">
        <f t="shared" si="88"/>
        <v>373642.45</v>
      </c>
      <c r="AF921" t="str">
        <f t="shared" si="89"/>
        <v>Paid</v>
      </c>
    </row>
    <row r="922" spans="1:32" ht="17.25" thickBot="1" x14ac:dyDescent="0.35">
      <c r="A922" s="2" t="s">
        <v>3271</v>
      </c>
      <c r="B922" s="2" t="s">
        <v>27</v>
      </c>
      <c r="C922" s="2" t="s">
        <v>28</v>
      </c>
      <c r="D922" s="2" t="s">
        <v>97</v>
      </c>
      <c r="E922" s="2" t="s">
        <v>5922</v>
      </c>
      <c r="F922" s="2" t="s">
        <v>99</v>
      </c>
      <c r="G922" s="2" t="s">
        <v>32</v>
      </c>
      <c r="H922" s="1"/>
      <c r="I922" s="2" t="s">
        <v>33</v>
      </c>
      <c r="J922" s="2" t="s">
        <v>34</v>
      </c>
      <c r="K922" s="2" t="s">
        <v>1131</v>
      </c>
      <c r="L922" s="2" t="s">
        <v>1132</v>
      </c>
      <c r="M922" s="2" t="s">
        <v>37</v>
      </c>
      <c r="N922" s="2" t="s">
        <v>38</v>
      </c>
      <c r="O922" s="2" t="s">
        <v>114</v>
      </c>
      <c r="P922" s="2" t="s">
        <v>6464</v>
      </c>
      <c r="Q922" s="2" t="s">
        <v>6479</v>
      </c>
      <c r="R922" s="2" t="s">
        <v>40</v>
      </c>
      <c r="S922" s="2" t="s">
        <v>6480</v>
      </c>
      <c r="T922" s="2" t="s">
        <v>1136</v>
      </c>
      <c r="U922" s="2" t="s">
        <v>2297</v>
      </c>
      <c r="V922" s="2" t="s">
        <v>6481</v>
      </c>
      <c r="W922" s="1"/>
      <c r="X922" s="2" t="s">
        <v>3216</v>
      </c>
      <c r="Y922" s="2" t="s">
        <v>5927</v>
      </c>
      <c r="AA922" t="str">
        <f t="shared" si="84"/>
        <v>2026-03</v>
      </c>
      <c r="AB922" t="str">
        <f t="shared" si="85"/>
        <v>H1_2026</v>
      </c>
      <c r="AC922">
        <f t="shared" si="86"/>
        <v>1208489.28</v>
      </c>
      <c r="AD922">
        <f t="shared" si="87"/>
        <v>240</v>
      </c>
      <c r="AE922">
        <f t="shared" si="88"/>
        <v>200489.28</v>
      </c>
      <c r="AF922" t="str">
        <f t="shared" si="89"/>
        <v>Paid</v>
      </c>
    </row>
    <row r="923" spans="1:32" ht="17.25" thickBot="1" x14ac:dyDescent="0.35">
      <c r="A923" s="2" t="s">
        <v>6482</v>
      </c>
      <c r="B923" s="2" t="s">
        <v>27</v>
      </c>
      <c r="C923" s="2" t="s">
        <v>28</v>
      </c>
      <c r="D923" s="2" t="s">
        <v>97</v>
      </c>
      <c r="E923" s="2" t="s">
        <v>5922</v>
      </c>
      <c r="F923" s="2" t="s">
        <v>99</v>
      </c>
      <c r="G923" s="2" t="s">
        <v>32</v>
      </c>
      <c r="H923" s="1"/>
      <c r="I923" s="2" t="s">
        <v>33</v>
      </c>
      <c r="J923" s="2" t="s">
        <v>34</v>
      </c>
      <c r="K923" s="2" t="s">
        <v>1140</v>
      </c>
      <c r="L923" s="2" t="s">
        <v>1141</v>
      </c>
      <c r="M923" s="2" t="s">
        <v>37</v>
      </c>
      <c r="N923" s="2" t="s">
        <v>38</v>
      </c>
      <c r="O923" s="2" t="s">
        <v>57</v>
      </c>
      <c r="P923" s="2" t="s">
        <v>3210</v>
      </c>
      <c r="Q923" s="2" t="s">
        <v>6483</v>
      </c>
      <c r="R923" s="2" t="s">
        <v>40</v>
      </c>
      <c r="S923" s="2" t="s">
        <v>6484</v>
      </c>
      <c r="T923" s="2" t="s">
        <v>1364</v>
      </c>
      <c r="U923" s="2" t="s">
        <v>6485</v>
      </c>
      <c r="V923" s="2" t="s">
        <v>6486</v>
      </c>
      <c r="W923" s="1"/>
      <c r="X923" s="2" t="s">
        <v>1100</v>
      </c>
      <c r="Y923" s="2" t="s">
        <v>5927</v>
      </c>
      <c r="AA923" t="str">
        <f t="shared" si="84"/>
        <v>2026-03</v>
      </c>
      <c r="AB923" t="str">
        <f t="shared" si="85"/>
        <v>H1_2026</v>
      </c>
      <c r="AC923">
        <f t="shared" si="86"/>
        <v>31525.18</v>
      </c>
      <c r="AD923">
        <f t="shared" si="87"/>
        <v>5</v>
      </c>
      <c r="AE923">
        <f t="shared" si="88"/>
        <v>5275.18</v>
      </c>
      <c r="AF923" t="str">
        <f t="shared" si="89"/>
        <v>Paid</v>
      </c>
    </row>
    <row r="924" spans="1:32" ht="17.25" thickBot="1" x14ac:dyDescent="0.35">
      <c r="A924" s="2" t="s">
        <v>6487</v>
      </c>
      <c r="B924" s="2" t="s">
        <v>27</v>
      </c>
      <c r="C924" s="2" t="s">
        <v>28</v>
      </c>
      <c r="D924" s="2" t="s">
        <v>97</v>
      </c>
      <c r="E924" s="2" t="s">
        <v>5922</v>
      </c>
      <c r="F924" s="2" t="s">
        <v>99</v>
      </c>
      <c r="G924" s="2" t="s">
        <v>32</v>
      </c>
      <c r="H924" s="1"/>
      <c r="I924" s="2" t="s">
        <v>33</v>
      </c>
      <c r="J924" s="2" t="s">
        <v>34</v>
      </c>
      <c r="K924" s="2" t="s">
        <v>6488</v>
      </c>
      <c r="L924" s="2" t="s">
        <v>6489</v>
      </c>
      <c r="M924" s="2" t="s">
        <v>37</v>
      </c>
      <c r="N924" s="2" t="s">
        <v>38</v>
      </c>
      <c r="O924" s="2" t="s">
        <v>2847</v>
      </c>
      <c r="P924" s="2" t="s">
        <v>6464</v>
      </c>
      <c r="Q924" s="2" t="s">
        <v>6490</v>
      </c>
      <c r="R924" s="2" t="s">
        <v>40</v>
      </c>
      <c r="S924" s="2" t="s">
        <v>6491</v>
      </c>
      <c r="T924" s="2" t="s">
        <v>1136</v>
      </c>
      <c r="U924" s="2" t="s">
        <v>6492</v>
      </c>
      <c r="V924" s="2" t="s">
        <v>6493</v>
      </c>
      <c r="W924" s="1"/>
      <c r="X924" s="2" t="s">
        <v>3216</v>
      </c>
      <c r="Y924" s="2" t="s">
        <v>5927</v>
      </c>
      <c r="AA924" t="str">
        <f t="shared" si="84"/>
        <v>2026-03</v>
      </c>
      <c r="AB924" t="str">
        <f t="shared" si="85"/>
        <v>H1_2026</v>
      </c>
      <c r="AC924">
        <f t="shared" si="86"/>
        <v>6545983.5999999996</v>
      </c>
      <c r="AD924">
        <f t="shared" si="87"/>
        <v>1300</v>
      </c>
      <c r="AE924">
        <f t="shared" si="88"/>
        <v>1085983.6000000001</v>
      </c>
      <c r="AF924" t="str">
        <f t="shared" si="89"/>
        <v>Paid</v>
      </c>
    </row>
    <row r="925" spans="1:32" ht="17.25" thickBot="1" x14ac:dyDescent="0.35">
      <c r="A925" s="2" t="s">
        <v>6494</v>
      </c>
      <c r="B925" s="2" t="s">
        <v>27</v>
      </c>
      <c r="C925" s="2" t="s">
        <v>28</v>
      </c>
      <c r="D925" s="2" t="s">
        <v>97</v>
      </c>
      <c r="E925" s="2" t="s">
        <v>5922</v>
      </c>
      <c r="F925" s="2" t="s">
        <v>99</v>
      </c>
      <c r="G925" s="2" t="s">
        <v>32</v>
      </c>
      <c r="H925" s="1"/>
      <c r="I925" s="2" t="s">
        <v>33</v>
      </c>
      <c r="J925" s="2" t="s">
        <v>34</v>
      </c>
      <c r="K925" s="2" t="s">
        <v>1148</v>
      </c>
      <c r="L925" s="2" t="s">
        <v>1149</v>
      </c>
      <c r="M925" s="2" t="s">
        <v>37</v>
      </c>
      <c r="N925" s="2" t="s">
        <v>38</v>
      </c>
      <c r="O925" s="2" t="s">
        <v>227</v>
      </c>
      <c r="P925" s="2" t="s">
        <v>6448</v>
      </c>
      <c r="Q925" s="2" t="s">
        <v>6495</v>
      </c>
      <c r="R925" s="2" t="s">
        <v>40</v>
      </c>
      <c r="S925" s="2" t="s">
        <v>6496</v>
      </c>
      <c r="T925" s="2" t="s">
        <v>107</v>
      </c>
      <c r="U925" s="2" t="s">
        <v>6497</v>
      </c>
      <c r="V925" s="2" t="s">
        <v>6498</v>
      </c>
      <c r="W925" s="1"/>
      <c r="X925" s="2" t="s">
        <v>1100</v>
      </c>
      <c r="Y925" s="2" t="s">
        <v>5927</v>
      </c>
      <c r="AA925" t="str">
        <f t="shared" si="84"/>
        <v>2026-03</v>
      </c>
      <c r="AB925" t="str">
        <f t="shared" si="85"/>
        <v>H1_2026</v>
      </c>
      <c r="AC925">
        <f t="shared" si="86"/>
        <v>188256.54</v>
      </c>
      <c r="AD925">
        <f t="shared" si="87"/>
        <v>28</v>
      </c>
      <c r="AE925">
        <f t="shared" si="88"/>
        <v>31456.54</v>
      </c>
      <c r="AF925" t="str">
        <f t="shared" si="89"/>
        <v>Paid</v>
      </c>
    </row>
    <row r="926" spans="1:32" ht="17.25" thickBot="1" x14ac:dyDescent="0.35">
      <c r="A926" s="2" t="s">
        <v>4886</v>
      </c>
      <c r="B926" s="2" t="s">
        <v>27</v>
      </c>
      <c r="C926" s="2" t="s">
        <v>28</v>
      </c>
      <c r="D926" s="2" t="s">
        <v>97</v>
      </c>
      <c r="E926" s="2" t="s">
        <v>5922</v>
      </c>
      <c r="F926" s="2" t="s">
        <v>99</v>
      </c>
      <c r="G926" s="2" t="s">
        <v>32</v>
      </c>
      <c r="H926" s="1"/>
      <c r="I926" s="2" t="s">
        <v>33</v>
      </c>
      <c r="J926" s="2" t="s">
        <v>34</v>
      </c>
      <c r="K926" s="2" t="s">
        <v>6499</v>
      </c>
      <c r="L926" s="2" t="s">
        <v>6500</v>
      </c>
      <c r="M926" s="2" t="s">
        <v>37</v>
      </c>
      <c r="N926" s="2" t="s">
        <v>38</v>
      </c>
      <c r="O926" s="2" t="s">
        <v>121</v>
      </c>
      <c r="P926" s="2" t="s">
        <v>4560</v>
      </c>
      <c r="Q926" s="2" t="s">
        <v>6501</v>
      </c>
      <c r="R926" s="2" t="s">
        <v>40</v>
      </c>
      <c r="S926" s="2" t="s">
        <v>6502</v>
      </c>
      <c r="T926" s="2" t="s">
        <v>1178</v>
      </c>
      <c r="U926" s="2" t="s">
        <v>6503</v>
      </c>
      <c r="V926" s="2" t="s">
        <v>6504</v>
      </c>
      <c r="W926" s="1"/>
      <c r="X926" s="2" t="s">
        <v>3216</v>
      </c>
      <c r="Y926" s="2" t="s">
        <v>5927</v>
      </c>
      <c r="AA926" t="str">
        <f t="shared" si="84"/>
        <v>2026-03</v>
      </c>
      <c r="AB926" t="str">
        <f t="shared" si="85"/>
        <v>H1_2026</v>
      </c>
      <c r="AC926">
        <f t="shared" si="86"/>
        <v>147742.72</v>
      </c>
      <c r="AD926">
        <f t="shared" si="87"/>
        <v>16</v>
      </c>
      <c r="AE926">
        <f t="shared" si="88"/>
        <v>24542.720000000001</v>
      </c>
      <c r="AF926" t="str">
        <f t="shared" si="89"/>
        <v>Paid</v>
      </c>
    </row>
    <row r="927" spans="1:32" ht="17.25" thickBot="1" x14ac:dyDescent="0.35">
      <c r="A927" s="2" t="s">
        <v>6505</v>
      </c>
      <c r="B927" s="2" t="s">
        <v>27</v>
      </c>
      <c r="C927" s="2" t="s">
        <v>28</v>
      </c>
      <c r="D927" s="2" t="s">
        <v>97</v>
      </c>
      <c r="E927" s="2" t="s">
        <v>5922</v>
      </c>
      <c r="F927" s="2" t="s">
        <v>99</v>
      </c>
      <c r="G927" s="2" t="s">
        <v>32</v>
      </c>
      <c r="H927" s="1"/>
      <c r="I927" s="2" t="s">
        <v>33</v>
      </c>
      <c r="J927" s="2" t="s">
        <v>34</v>
      </c>
      <c r="K927" s="2" t="s">
        <v>1156</v>
      </c>
      <c r="L927" s="2" t="s">
        <v>1157</v>
      </c>
      <c r="M927" s="2" t="s">
        <v>37</v>
      </c>
      <c r="N927" s="2" t="s">
        <v>38</v>
      </c>
      <c r="O927" s="2" t="s">
        <v>96</v>
      </c>
      <c r="P927" s="2" t="s">
        <v>6506</v>
      </c>
      <c r="Q927" s="2" t="s">
        <v>6507</v>
      </c>
      <c r="R927" s="2" t="s">
        <v>40</v>
      </c>
      <c r="S927" s="2" t="s">
        <v>6508</v>
      </c>
      <c r="T927" s="2" t="s">
        <v>1161</v>
      </c>
      <c r="U927" s="2" t="s">
        <v>5401</v>
      </c>
      <c r="V927" s="2" t="s">
        <v>6509</v>
      </c>
      <c r="W927" s="1"/>
      <c r="X927" s="2" t="s">
        <v>806</v>
      </c>
      <c r="Y927" s="2" t="s">
        <v>5927</v>
      </c>
      <c r="AA927" t="str">
        <f t="shared" si="84"/>
        <v>2026-03</v>
      </c>
      <c r="AB927" t="str">
        <f t="shared" si="85"/>
        <v>H1_2026</v>
      </c>
      <c r="AC927">
        <f t="shared" si="86"/>
        <v>197346.18</v>
      </c>
      <c r="AD927">
        <f t="shared" si="87"/>
        <v>14</v>
      </c>
      <c r="AE927">
        <f t="shared" si="88"/>
        <v>50346.18</v>
      </c>
      <c r="AF927" t="str">
        <f t="shared" si="89"/>
        <v>Paid</v>
      </c>
    </row>
    <row r="928" spans="1:32" ht="17.25" thickBot="1" x14ac:dyDescent="0.35">
      <c r="A928" s="2" t="s">
        <v>6510</v>
      </c>
      <c r="B928" s="2" t="s">
        <v>27</v>
      </c>
      <c r="C928" s="2" t="s">
        <v>28</v>
      </c>
      <c r="D928" s="2" t="s">
        <v>97</v>
      </c>
      <c r="E928" s="2" t="s">
        <v>5922</v>
      </c>
      <c r="F928" s="2" t="s">
        <v>99</v>
      </c>
      <c r="G928" s="2" t="s">
        <v>32</v>
      </c>
      <c r="H928" s="1"/>
      <c r="I928" s="2" t="s">
        <v>33</v>
      </c>
      <c r="J928" s="2" t="s">
        <v>34</v>
      </c>
      <c r="K928" s="2" t="s">
        <v>4657</v>
      </c>
      <c r="L928" s="2" t="s">
        <v>4658</v>
      </c>
      <c r="M928" s="2" t="s">
        <v>37</v>
      </c>
      <c r="N928" s="2" t="s">
        <v>38</v>
      </c>
      <c r="O928" s="2" t="s">
        <v>1204</v>
      </c>
      <c r="P928" s="2" t="s">
        <v>3579</v>
      </c>
      <c r="Q928" s="2" t="s">
        <v>6511</v>
      </c>
      <c r="R928" s="2" t="s">
        <v>40</v>
      </c>
      <c r="S928" s="2" t="s">
        <v>6512</v>
      </c>
      <c r="T928" s="2" t="s">
        <v>287</v>
      </c>
      <c r="U928" s="2" t="s">
        <v>6513</v>
      </c>
      <c r="V928" s="2" t="s">
        <v>6514</v>
      </c>
      <c r="W928" s="1"/>
      <c r="X928" s="2" t="s">
        <v>3216</v>
      </c>
      <c r="Y928" s="2" t="s">
        <v>5927</v>
      </c>
      <c r="AA928" t="str">
        <f t="shared" si="84"/>
        <v>2026-03</v>
      </c>
      <c r="AB928" t="str">
        <f t="shared" si="85"/>
        <v>H1_2026</v>
      </c>
      <c r="AC928">
        <f t="shared" si="86"/>
        <v>1133607.96</v>
      </c>
      <c r="AD928">
        <f t="shared" si="87"/>
        <v>135</v>
      </c>
      <c r="AE928">
        <f t="shared" si="88"/>
        <v>188607.96</v>
      </c>
      <c r="AF928" t="str">
        <f t="shared" si="89"/>
        <v>Paid</v>
      </c>
    </row>
    <row r="929" spans="1:32" ht="17.25" thickBot="1" x14ac:dyDescent="0.35">
      <c r="A929" s="2" t="s">
        <v>6515</v>
      </c>
      <c r="B929" s="2" t="s">
        <v>27</v>
      </c>
      <c r="C929" s="2" t="s">
        <v>28</v>
      </c>
      <c r="D929" s="2" t="s">
        <v>97</v>
      </c>
      <c r="E929" s="2" t="s">
        <v>5922</v>
      </c>
      <c r="F929" s="2" t="s">
        <v>99</v>
      </c>
      <c r="G929" s="2" t="s">
        <v>32</v>
      </c>
      <c r="H929" s="1"/>
      <c r="I929" s="2" t="s">
        <v>33</v>
      </c>
      <c r="J929" s="2" t="s">
        <v>34</v>
      </c>
      <c r="K929" s="2" t="s">
        <v>4664</v>
      </c>
      <c r="L929" s="2" t="s">
        <v>4665</v>
      </c>
      <c r="M929" s="2" t="s">
        <v>37</v>
      </c>
      <c r="N929" s="2" t="s">
        <v>38</v>
      </c>
      <c r="O929" s="2" t="s">
        <v>839</v>
      </c>
      <c r="P929" s="2" t="s">
        <v>6516</v>
      </c>
      <c r="Q929" s="2" t="s">
        <v>6517</v>
      </c>
      <c r="R929" s="2" t="s">
        <v>40</v>
      </c>
      <c r="S929" s="2" t="s">
        <v>6518</v>
      </c>
      <c r="T929" s="2" t="s">
        <v>6519</v>
      </c>
      <c r="U929" s="2" t="s">
        <v>6520</v>
      </c>
      <c r="V929" s="2" t="s">
        <v>6521</v>
      </c>
      <c r="W929" s="1"/>
      <c r="X929" s="2" t="s">
        <v>155</v>
      </c>
      <c r="Y929" s="2" t="s">
        <v>5927</v>
      </c>
      <c r="AA929" t="str">
        <f t="shared" si="84"/>
        <v>2026-03</v>
      </c>
      <c r="AB929" t="str">
        <f t="shared" si="85"/>
        <v>H1_2026</v>
      </c>
      <c r="AC929">
        <f t="shared" si="86"/>
        <v>765953.66</v>
      </c>
      <c r="AD929">
        <f t="shared" si="87"/>
        <v>96</v>
      </c>
      <c r="AE929">
        <f t="shared" si="88"/>
        <v>149403.66</v>
      </c>
      <c r="AF929" t="str">
        <f t="shared" si="89"/>
        <v>Paid</v>
      </c>
    </row>
    <row r="930" spans="1:32" ht="17.25" thickBot="1" x14ac:dyDescent="0.35">
      <c r="A930" s="2" t="s">
        <v>6522</v>
      </c>
      <c r="B930" s="2" t="s">
        <v>27</v>
      </c>
      <c r="C930" s="2" t="s">
        <v>28</v>
      </c>
      <c r="D930" s="2" t="s">
        <v>97</v>
      </c>
      <c r="E930" s="2" t="s">
        <v>5922</v>
      </c>
      <c r="F930" s="2" t="s">
        <v>99</v>
      </c>
      <c r="G930" s="2" t="s">
        <v>32</v>
      </c>
      <c r="H930" s="1"/>
      <c r="I930" s="2" t="s">
        <v>33</v>
      </c>
      <c r="J930" s="2" t="s">
        <v>34</v>
      </c>
      <c r="K930" s="2" t="s">
        <v>1164</v>
      </c>
      <c r="L930" s="2" t="s">
        <v>1165</v>
      </c>
      <c r="M930" s="2" t="s">
        <v>37</v>
      </c>
      <c r="N930" s="2" t="s">
        <v>38</v>
      </c>
      <c r="O930" s="2" t="s">
        <v>2677</v>
      </c>
      <c r="P930" s="2" t="s">
        <v>6187</v>
      </c>
      <c r="Q930" s="2" t="s">
        <v>6523</v>
      </c>
      <c r="R930" s="2" t="s">
        <v>40</v>
      </c>
      <c r="S930" s="2" t="s">
        <v>6524</v>
      </c>
      <c r="T930" s="2" t="s">
        <v>1168</v>
      </c>
      <c r="U930" s="2" t="s">
        <v>6525</v>
      </c>
      <c r="V930" s="2" t="s">
        <v>6526</v>
      </c>
      <c r="W930" s="1"/>
      <c r="X930" s="2" t="s">
        <v>4651</v>
      </c>
      <c r="Y930" s="2" t="s">
        <v>5927</v>
      </c>
      <c r="AA930" t="str">
        <f t="shared" si="84"/>
        <v>2026-03</v>
      </c>
      <c r="AB930" t="str">
        <f t="shared" si="85"/>
        <v>H1_2026</v>
      </c>
      <c r="AC930">
        <f t="shared" si="86"/>
        <v>2449528.13</v>
      </c>
      <c r="AD930">
        <f t="shared" si="87"/>
        <v>324</v>
      </c>
      <c r="AE930">
        <f t="shared" si="88"/>
        <v>758248.13</v>
      </c>
      <c r="AF930" t="str">
        <f t="shared" si="89"/>
        <v>Paid</v>
      </c>
    </row>
    <row r="931" spans="1:32" ht="17.25" thickBot="1" x14ac:dyDescent="0.35">
      <c r="A931" s="2" t="s">
        <v>6527</v>
      </c>
      <c r="B931" s="2" t="s">
        <v>27</v>
      </c>
      <c r="C931" s="2" t="s">
        <v>28</v>
      </c>
      <c r="D931" s="2" t="s">
        <v>97</v>
      </c>
      <c r="E931" s="2" t="s">
        <v>5922</v>
      </c>
      <c r="F931" s="2" t="s">
        <v>99</v>
      </c>
      <c r="G931" s="2" t="s">
        <v>32</v>
      </c>
      <c r="H931" s="1"/>
      <c r="I931" s="2" t="s">
        <v>33</v>
      </c>
      <c r="J931" s="2" t="s">
        <v>34</v>
      </c>
      <c r="K931" s="2" t="s">
        <v>1173</v>
      </c>
      <c r="L931" s="2" t="s">
        <v>1174</v>
      </c>
      <c r="M931" s="2" t="s">
        <v>37</v>
      </c>
      <c r="N931" s="2" t="s">
        <v>38</v>
      </c>
      <c r="O931" s="2" t="s">
        <v>1976</v>
      </c>
      <c r="P931" s="2" t="s">
        <v>4560</v>
      </c>
      <c r="Q931" s="2" t="s">
        <v>6528</v>
      </c>
      <c r="R931" s="2" t="s">
        <v>40</v>
      </c>
      <c r="S931" s="2" t="s">
        <v>6529</v>
      </c>
      <c r="T931" s="2" t="s">
        <v>126</v>
      </c>
      <c r="U931" s="2" t="s">
        <v>6530</v>
      </c>
      <c r="V931" s="2" t="s">
        <v>6531</v>
      </c>
      <c r="W931" s="1"/>
      <c r="X931" s="2" t="s">
        <v>6532</v>
      </c>
      <c r="Y931" s="2" t="s">
        <v>5927</v>
      </c>
      <c r="AA931" t="str">
        <f t="shared" si="84"/>
        <v>2026-03</v>
      </c>
      <c r="AB931" t="str">
        <f t="shared" si="85"/>
        <v>H1_2026</v>
      </c>
      <c r="AC931">
        <f t="shared" si="86"/>
        <v>2197672.96</v>
      </c>
      <c r="AD931">
        <f t="shared" si="87"/>
        <v>238</v>
      </c>
      <c r="AE931">
        <f t="shared" si="88"/>
        <v>698272.96</v>
      </c>
      <c r="AF931" t="str">
        <f t="shared" si="89"/>
        <v>Paid</v>
      </c>
    </row>
    <row r="932" spans="1:32" ht="17.25" thickBot="1" x14ac:dyDescent="0.35">
      <c r="A932" s="2" t="s">
        <v>6533</v>
      </c>
      <c r="B932" s="2" t="s">
        <v>27</v>
      </c>
      <c r="C932" s="2" t="s">
        <v>28</v>
      </c>
      <c r="D932" s="2" t="s">
        <v>97</v>
      </c>
      <c r="E932" s="2" t="s">
        <v>5922</v>
      </c>
      <c r="F932" s="2" t="s">
        <v>99</v>
      </c>
      <c r="G932" s="2" t="s">
        <v>32</v>
      </c>
      <c r="H932" s="1"/>
      <c r="I932" s="2" t="s">
        <v>33</v>
      </c>
      <c r="J932" s="2" t="s">
        <v>34</v>
      </c>
      <c r="K932" s="2" t="s">
        <v>1182</v>
      </c>
      <c r="L932" s="2" t="s">
        <v>1183</v>
      </c>
      <c r="M932" s="2" t="s">
        <v>37</v>
      </c>
      <c r="N932" s="2" t="s">
        <v>38</v>
      </c>
      <c r="O932" s="2" t="s">
        <v>148</v>
      </c>
      <c r="P932" s="2" t="s">
        <v>6448</v>
      </c>
      <c r="Q932" s="2" t="s">
        <v>6534</v>
      </c>
      <c r="R932" s="2" t="s">
        <v>40</v>
      </c>
      <c r="S932" s="2" t="s">
        <v>6535</v>
      </c>
      <c r="T932" s="2" t="s">
        <v>107</v>
      </c>
      <c r="U932" s="2" t="s">
        <v>6536</v>
      </c>
      <c r="V932" s="2" t="s">
        <v>6537</v>
      </c>
      <c r="W932" s="1"/>
      <c r="X932" s="2" t="s">
        <v>1100</v>
      </c>
      <c r="Y932" s="2" t="s">
        <v>5927</v>
      </c>
      <c r="AA932" t="str">
        <f t="shared" si="84"/>
        <v>2026-03</v>
      </c>
      <c r="AB932" t="str">
        <f t="shared" si="85"/>
        <v>H1_2026</v>
      </c>
      <c r="AC932">
        <f t="shared" si="86"/>
        <v>127745.51</v>
      </c>
      <c r="AD932">
        <f t="shared" si="87"/>
        <v>19</v>
      </c>
      <c r="AE932">
        <f t="shared" si="88"/>
        <v>21345.51</v>
      </c>
      <c r="AF932" t="str">
        <f t="shared" si="89"/>
        <v>Paid</v>
      </c>
    </row>
    <row r="933" spans="1:32" ht="17.25" thickBot="1" x14ac:dyDescent="0.35">
      <c r="A933" s="2" t="s">
        <v>6538</v>
      </c>
      <c r="B933" s="2" t="s">
        <v>27</v>
      </c>
      <c r="C933" s="2" t="s">
        <v>28</v>
      </c>
      <c r="D933" s="2" t="s">
        <v>97</v>
      </c>
      <c r="E933" s="2" t="s">
        <v>5922</v>
      </c>
      <c r="F933" s="2" t="s">
        <v>99</v>
      </c>
      <c r="G933" s="2" t="s">
        <v>32</v>
      </c>
      <c r="H933" s="1"/>
      <c r="I933" s="2" t="s">
        <v>33</v>
      </c>
      <c r="J933" s="2" t="s">
        <v>34</v>
      </c>
      <c r="K933" s="2" t="s">
        <v>5660</v>
      </c>
      <c r="L933" s="2" t="s">
        <v>5661</v>
      </c>
      <c r="M933" s="2" t="s">
        <v>37</v>
      </c>
      <c r="N933" s="2" t="s">
        <v>38</v>
      </c>
      <c r="O933" s="2" t="s">
        <v>114</v>
      </c>
      <c r="P933" s="2" t="s">
        <v>6351</v>
      </c>
      <c r="Q933" s="2" t="s">
        <v>6539</v>
      </c>
      <c r="R933" s="2" t="s">
        <v>40</v>
      </c>
      <c r="S933" s="2" t="s">
        <v>6540</v>
      </c>
      <c r="T933" s="2" t="s">
        <v>706</v>
      </c>
      <c r="U933" s="2" t="s">
        <v>6541</v>
      </c>
      <c r="V933" s="2" t="s">
        <v>6542</v>
      </c>
      <c r="W933" s="1"/>
      <c r="X933" s="2" t="s">
        <v>1100</v>
      </c>
      <c r="Y933" s="2" t="s">
        <v>5927</v>
      </c>
      <c r="AA933" t="str">
        <f t="shared" si="84"/>
        <v>2026-03</v>
      </c>
      <c r="AB933" t="str">
        <f t="shared" si="85"/>
        <v>H1_2026</v>
      </c>
      <c r="AC933">
        <f t="shared" si="86"/>
        <v>2420441.2799999998</v>
      </c>
      <c r="AD933">
        <f t="shared" si="87"/>
        <v>240</v>
      </c>
      <c r="AE933">
        <f t="shared" si="88"/>
        <v>404441.28</v>
      </c>
      <c r="AF933" t="str">
        <f t="shared" si="89"/>
        <v>Paid</v>
      </c>
    </row>
    <row r="934" spans="1:32" ht="17.25" thickBot="1" x14ac:dyDescent="0.35">
      <c r="A934" s="2" t="s">
        <v>6428</v>
      </c>
      <c r="B934" s="2" t="s">
        <v>27</v>
      </c>
      <c r="C934" s="2" t="s">
        <v>28</v>
      </c>
      <c r="D934" s="2" t="s">
        <v>97</v>
      </c>
      <c r="E934" s="2" t="s">
        <v>5922</v>
      </c>
      <c r="F934" s="2" t="s">
        <v>99</v>
      </c>
      <c r="G934" s="2" t="s">
        <v>32</v>
      </c>
      <c r="H934" s="1"/>
      <c r="I934" s="2" t="s">
        <v>33</v>
      </c>
      <c r="J934" s="2" t="s">
        <v>34</v>
      </c>
      <c r="K934" s="2" t="s">
        <v>6543</v>
      </c>
      <c r="L934" s="2" t="s">
        <v>6544</v>
      </c>
      <c r="M934" s="2" t="s">
        <v>37</v>
      </c>
      <c r="N934" s="2" t="s">
        <v>38</v>
      </c>
      <c r="O934" s="2" t="s">
        <v>623</v>
      </c>
      <c r="P934" s="2" t="s">
        <v>6516</v>
      </c>
      <c r="Q934" s="2" t="s">
        <v>6545</v>
      </c>
      <c r="R934" s="2" t="s">
        <v>40</v>
      </c>
      <c r="S934" s="2" t="s">
        <v>6546</v>
      </c>
      <c r="T934" s="2" t="s">
        <v>4667</v>
      </c>
      <c r="U934" s="2" t="s">
        <v>6547</v>
      </c>
      <c r="V934" s="2" t="s">
        <v>6548</v>
      </c>
      <c r="W934" s="1"/>
      <c r="X934" s="2" t="s">
        <v>1100</v>
      </c>
      <c r="Y934" s="2" t="s">
        <v>5927</v>
      </c>
      <c r="AA934" t="str">
        <f t="shared" si="84"/>
        <v>2026-03</v>
      </c>
      <c r="AB934" t="str">
        <f t="shared" si="85"/>
        <v>H1_2026</v>
      </c>
      <c r="AC934">
        <f t="shared" si="86"/>
        <v>582443.93000000005</v>
      </c>
      <c r="AD934">
        <f t="shared" si="87"/>
        <v>73</v>
      </c>
      <c r="AE934">
        <f t="shared" si="88"/>
        <v>96993.93</v>
      </c>
      <c r="AF934" t="str">
        <f t="shared" si="89"/>
        <v>Paid</v>
      </c>
    </row>
    <row r="935" spans="1:32" ht="17.25" thickBot="1" x14ac:dyDescent="0.35">
      <c r="A935" s="2" t="s">
        <v>6549</v>
      </c>
      <c r="B935" s="2" t="s">
        <v>27</v>
      </c>
      <c r="C935" s="2" t="s">
        <v>28</v>
      </c>
      <c r="D935" s="2" t="s">
        <v>97</v>
      </c>
      <c r="E935" s="2" t="s">
        <v>5922</v>
      </c>
      <c r="F935" s="2" t="s">
        <v>99</v>
      </c>
      <c r="G935" s="2" t="s">
        <v>32</v>
      </c>
      <c r="H935" s="1"/>
      <c r="I935" s="2" t="s">
        <v>33</v>
      </c>
      <c r="J935" s="2" t="s">
        <v>34</v>
      </c>
      <c r="K935" s="2" t="s">
        <v>6550</v>
      </c>
      <c r="L935" s="2" t="s">
        <v>6551</v>
      </c>
      <c r="M935" s="2" t="s">
        <v>37</v>
      </c>
      <c r="N935" s="2" t="s">
        <v>38</v>
      </c>
      <c r="O935" s="2" t="s">
        <v>4627</v>
      </c>
      <c r="P935" s="2" t="s">
        <v>4687</v>
      </c>
      <c r="Q935" s="2" t="s">
        <v>6552</v>
      </c>
      <c r="R935" s="2" t="s">
        <v>40</v>
      </c>
      <c r="S935" s="2" t="s">
        <v>6553</v>
      </c>
      <c r="T935" s="2" t="s">
        <v>1262</v>
      </c>
      <c r="U935" s="2" t="s">
        <v>6554</v>
      </c>
      <c r="V935" s="2" t="s">
        <v>6555</v>
      </c>
      <c r="W935" s="1"/>
      <c r="X935" s="2" t="s">
        <v>3216</v>
      </c>
      <c r="Y935" s="2" t="s">
        <v>5927</v>
      </c>
      <c r="AA935" t="str">
        <f t="shared" si="84"/>
        <v>2026-03</v>
      </c>
      <c r="AB935" t="str">
        <f t="shared" si="85"/>
        <v>H1_2026</v>
      </c>
      <c r="AC935">
        <f t="shared" si="86"/>
        <v>3359530.94</v>
      </c>
      <c r="AD935">
        <f t="shared" si="87"/>
        <v>616</v>
      </c>
      <c r="AE935">
        <f t="shared" si="88"/>
        <v>556730.93999999994</v>
      </c>
      <c r="AF935" t="str">
        <f t="shared" si="89"/>
        <v>Paid</v>
      </c>
    </row>
    <row r="936" spans="1:32" ht="17.25" thickBot="1" x14ac:dyDescent="0.35">
      <c r="A936" s="2" t="s">
        <v>6556</v>
      </c>
      <c r="B936" s="2" t="s">
        <v>27</v>
      </c>
      <c r="C936" s="2" t="s">
        <v>28</v>
      </c>
      <c r="D936" s="2" t="s">
        <v>97</v>
      </c>
      <c r="E936" s="2" t="s">
        <v>5922</v>
      </c>
      <c r="F936" s="2" t="s">
        <v>99</v>
      </c>
      <c r="G936" s="2" t="s">
        <v>32</v>
      </c>
      <c r="H936" s="1"/>
      <c r="I936" s="2" t="s">
        <v>33</v>
      </c>
      <c r="J936" s="2" t="s">
        <v>34</v>
      </c>
      <c r="K936" s="2" t="s">
        <v>1189</v>
      </c>
      <c r="L936" s="2" t="s">
        <v>1190</v>
      </c>
      <c r="M936" s="2" t="s">
        <v>37</v>
      </c>
      <c r="N936" s="2" t="s">
        <v>38</v>
      </c>
      <c r="O936" s="2" t="s">
        <v>3793</v>
      </c>
      <c r="P936" s="2" t="s">
        <v>6506</v>
      </c>
      <c r="Q936" s="2" t="s">
        <v>6557</v>
      </c>
      <c r="R936" s="2" t="s">
        <v>40</v>
      </c>
      <c r="S936" s="2" t="s">
        <v>6558</v>
      </c>
      <c r="T936" s="2" t="s">
        <v>6559</v>
      </c>
      <c r="U936" s="2" t="s">
        <v>6560</v>
      </c>
      <c r="V936" s="2" t="s">
        <v>6561</v>
      </c>
      <c r="W936" s="1"/>
      <c r="X936" s="2" t="s">
        <v>5565</v>
      </c>
      <c r="Y936" s="2" t="s">
        <v>5927</v>
      </c>
      <c r="AA936" t="str">
        <f t="shared" si="84"/>
        <v>2026-03</v>
      </c>
      <c r="AB936" t="str">
        <f t="shared" si="85"/>
        <v>H1_2026</v>
      </c>
      <c r="AC936">
        <f t="shared" si="86"/>
        <v>6907116.4400000004</v>
      </c>
      <c r="AD936">
        <f t="shared" si="87"/>
        <v>490</v>
      </c>
      <c r="AE936">
        <f t="shared" si="88"/>
        <v>2644116.44</v>
      </c>
      <c r="AF936" t="str">
        <f t="shared" si="89"/>
        <v>Paid</v>
      </c>
    </row>
    <row r="937" spans="1:32" ht="17.25" thickBot="1" x14ac:dyDescent="0.35">
      <c r="A937" s="2" t="s">
        <v>5259</v>
      </c>
      <c r="B937" s="2" t="s">
        <v>27</v>
      </c>
      <c r="C937" s="2" t="s">
        <v>28</v>
      </c>
      <c r="D937" s="2" t="s">
        <v>97</v>
      </c>
      <c r="E937" s="2" t="s">
        <v>5922</v>
      </c>
      <c r="F937" s="2" t="s">
        <v>99</v>
      </c>
      <c r="G937" s="2" t="s">
        <v>32</v>
      </c>
      <c r="H937" s="1"/>
      <c r="I937" s="2" t="s">
        <v>33</v>
      </c>
      <c r="J937" s="2" t="s">
        <v>34</v>
      </c>
      <c r="K937" s="2" t="s">
        <v>1197</v>
      </c>
      <c r="L937" s="2" t="s">
        <v>1198</v>
      </c>
      <c r="M937" s="2" t="s">
        <v>37</v>
      </c>
      <c r="N937" s="2" t="s">
        <v>38</v>
      </c>
      <c r="O937" s="2" t="s">
        <v>1158</v>
      </c>
      <c r="P937" s="2" t="s">
        <v>1010</v>
      </c>
      <c r="Q937" s="2" t="s">
        <v>6562</v>
      </c>
      <c r="R937" s="2" t="s">
        <v>40</v>
      </c>
      <c r="S937" s="2" t="s">
        <v>6563</v>
      </c>
      <c r="T937" s="2" t="s">
        <v>1201</v>
      </c>
      <c r="U937" s="2" t="s">
        <v>6564</v>
      </c>
      <c r="V937" s="2" t="s">
        <v>6565</v>
      </c>
      <c r="W937" s="1"/>
      <c r="X937" s="2" t="s">
        <v>1100</v>
      </c>
      <c r="Y937" s="2" t="s">
        <v>5927</v>
      </c>
      <c r="AA937" t="str">
        <f t="shared" si="84"/>
        <v>2026-03</v>
      </c>
      <c r="AB937" t="str">
        <f t="shared" si="85"/>
        <v>H1_2026</v>
      </c>
      <c r="AC937">
        <f t="shared" si="86"/>
        <v>2116587.6</v>
      </c>
      <c r="AD937">
        <f t="shared" si="87"/>
        <v>180</v>
      </c>
      <c r="AE937">
        <f t="shared" si="88"/>
        <v>352587.6</v>
      </c>
      <c r="AF937" t="str">
        <f t="shared" si="89"/>
        <v>Paid</v>
      </c>
    </row>
    <row r="938" spans="1:32" ht="17.25" thickBot="1" x14ac:dyDescent="0.35">
      <c r="A938" s="2" t="s">
        <v>6566</v>
      </c>
      <c r="B938" s="2" t="s">
        <v>27</v>
      </c>
      <c r="C938" s="2" t="s">
        <v>28</v>
      </c>
      <c r="D938" s="2" t="s">
        <v>97</v>
      </c>
      <c r="E938" s="2" t="s">
        <v>5922</v>
      </c>
      <c r="F938" s="2" t="s">
        <v>99</v>
      </c>
      <c r="G938" s="2" t="s">
        <v>32</v>
      </c>
      <c r="H938" s="1"/>
      <c r="I938" s="2" t="s">
        <v>33</v>
      </c>
      <c r="J938" s="2" t="s">
        <v>34</v>
      </c>
      <c r="K938" s="2" t="s">
        <v>5667</v>
      </c>
      <c r="L938" s="2" t="s">
        <v>5668</v>
      </c>
      <c r="M938" s="2" t="s">
        <v>37</v>
      </c>
      <c r="N938" s="2" t="s">
        <v>38</v>
      </c>
      <c r="O938" s="2" t="s">
        <v>618</v>
      </c>
      <c r="P938" s="2" t="s">
        <v>6567</v>
      </c>
      <c r="Q938" s="2" t="s">
        <v>6568</v>
      </c>
      <c r="R938" s="2" t="s">
        <v>40</v>
      </c>
      <c r="S938" s="2" t="s">
        <v>6569</v>
      </c>
      <c r="T938" s="2" t="s">
        <v>5672</v>
      </c>
      <c r="U938" s="2" t="s">
        <v>6570</v>
      </c>
      <c r="V938" s="2" t="s">
        <v>6571</v>
      </c>
      <c r="W938" s="1"/>
      <c r="X938" s="2" t="s">
        <v>1100</v>
      </c>
      <c r="Y938" s="2" t="s">
        <v>5927</v>
      </c>
      <c r="AA938" t="str">
        <f t="shared" si="84"/>
        <v>2026-03</v>
      </c>
      <c r="AB938" t="str">
        <f t="shared" si="85"/>
        <v>H1_2026</v>
      </c>
      <c r="AC938">
        <f t="shared" si="86"/>
        <v>9681765.1199999992</v>
      </c>
      <c r="AD938">
        <f t="shared" si="87"/>
        <v>720</v>
      </c>
      <c r="AE938">
        <f t="shared" si="88"/>
        <v>1617765.12</v>
      </c>
      <c r="AF938" t="str">
        <f t="shared" si="89"/>
        <v>Paid</v>
      </c>
    </row>
    <row r="939" spans="1:32" ht="17.25" thickBot="1" x14ac:dyDescent="0.35">
      <c r="A939" s="2" t="s">
        <v>6572</v>
      </c>
      <c r="B939" s="2" t="s">
        <v>27</v>
      </c>
      <c r="C939" s="2" t="s">
        <v>28</v>
      </c>
      <c r="D939" s="2" t="s">
        <v>97</v>
      </c>
      <c r="E939" s="2" t="s">
        <v>5922</v>
      </c>
      <c r="F939" s="2" t="s">
        <v>99</v>
      </c>
      <c r="G939" s="2" t="s">
        <v>32</v>
      </c>
      <c r="H939" s="1"/>
      <c r="I939" s="2" t="s">
        <v>33</v>
      </c>
      <c r="J939" s="2" t="s">
        <v>34</v>
      </c>
      <c r="K939" s="2" t="s">
        <v>1205</v>
      </c>
      <c r="L939" s="2" t="s">
        <v>1206</v>
      </c>
      <c r="M939" s="2" t="s">
        <v>37</v>
      </c>
      <c r="N939" s="2" t="s">
        <v>38</v>
      </c>
      <c r="O939" s="2" t="s">
        <v>149</v>
      </c>
      <c r="P939" s="2" t="s">
        <v>6573</v>
      </c>
      <c r="Q939" s="2" t="s">
        <v>6574</v>
      </c>
      <c r="R939" s="2" t="s">
        <v>40</v>
      </c>
      <c r="S939" s="2" t="s">
        <v>6575</v>
      </c>
      <c r="T939" s="2" t="s">
        <v>1210</v>
      </c>
      <c r="U939" s="2" t="s">
        <v>1734</v>
      </c>
      <c r="V939" s="2" t="s">
        <v>6576</v>
      </c>
      <c r="W939" s="1"/>
      <c r="X939" s="2" t="s">
        <v>1100</v>
      </c>
      <c r="Y939" s="2" t="s">
        <v>5927</v>
      </c>
      <c r="AA939" t="str">
        <f t="shared" si="84"/>
        <v>2026-03</v>
      </c>
      <c r="AB939" t="str">
        <f t="shared" si="85"/>
        <v>H1_2026</v>
      </c>
      <c r="AC939">
        <f t="shared" si="86"/>
        <v>3402122.4</v>
      </c>
      <c r="AD939">
        <f t="shared" si="87"/>
        <v>300</v>
      </c>
      <c r="AE939">
        <f t="shared" si="88"/>
        <v>567122.4</v>
      </c>
      <c r="AF939" t="str">
        <f t="shared" si="89"/>
        <v>Paid</v>
      </c>
    </row>
    <row r="940" spans="1:32" ht="17.25" thickBot="1" x14ac:dyDescent="0.35">
      <c r="A940" s="2" t="s">
        <v>6577</v>
      </c>
      <c r="B940" s="2" t="s">
        <v>27</v>
      </c>
      <c r="C940" s="2" t="s">
        <v>28</v>
      </c>
      <c r="D940" s="2" t="s">
        <v>97</v>
      </c>
      <c r="E940" s="2" t="s">
        <v>5922</v>
      </c>
      <c r="F940" s="2" t="s">
        <v>99</v>
      </c>
      <c r="G940" s="2" t="s">
        <v>32</v>
      </c>
      <c r="H940" s="1"/>
      <c r="I940" s="2" t="s">
        <v>33</v>
      </c>
      <c r="J940" s="2" t="s">
        <v>34</v>
      </c>
      <c r="K940" s="2" t="s">
        <v>5676</v>
      </c>
      <c r="L940" s="2" t="s">
        <v>5677</v>
      </c>
      <c r="M940" s="2" t="s">
        <v>37</v>
      </c>
      <c r="N940" s="2" t="s">
        <v>38</v>
      </c>
      <c r="O940" s="2" t="s">
        <v>167</v>
      </c>
      <c r="P940" s="2" t="s">
        <v>6578</v>
      </c>
      <c r="Q940" s="2" t="s">
        <v>6579</v>
      </c>
      <c r="R940" s="2" t="s">
        <v>40</v>
      </c>
      <c r="S940" s="2" t="s">
        <v>6580</v>
      </c>
      <c r="T940" s="2" t="s">
        <v>5680</v>
      </c>
      <c r="U940" s="2" t="s">
        <v>6581</v>
      </c>
      <c r="V940" s="2" t="s">
        <v>6582</v>
      </c>
      <c r="W940" s="1"/>
      <c r="X940" s="2" t="s">
        <v>1100</v>
      </c>
      <c r="Y940" s="2" t="s">
        <v>5927</v>
      </c>
      <c r="AA940" t="str">
        <f t="shared" si="84"/>
        <v>2026-03</v>
      </c>
      <c r="AB940" t="str">
        <f t="shared" si="85"/>
        <v>H1_2026</v>
      </c>
      <c r="AC940">
        <f t="shared" si="86"/>
        <v>11761705.6</v>
      </c>
      <c r="AD940">
        <f t="shared" si="87"/>
        <v>800</v>
      </c>
      <c r="AE940">
        <f t="shared" si="88"/>
        <v>1961705.6</v>
      </c>
      <c r="AF940" t="str">
        <f t="shared" si="89"/>
        <v>Paid</v>
      </c>
    </row>
    <row r="941" spans="1:32" ht="17.25" thickBot="1" x14ac:dyDescent="0.35">
      <c r="A941" s="2" t="s">
        <v>6583</v>
      </c>
      <c r="B941" s="2" t="s">
        <v>27</v>
      </c>
      <c r="C941" s="2" t="s">
        <v>28</v>
      </c>
      <c r="D941" s="2" t="s">
        <v>97</v>
      </c>
      <c r="E941" s="2" t="s">
        <v>5922</v>
      </c>
      <c r="F941" s="2" t="s">
        <v>99</v>
      </c>
      <c r="G941" s="2" t="s">
        <v>32</v>
      </c>
      <c r="H941" s="1"/>
      <c r="I941" s="2" t="s">
        <v>33</v>
      </c>
      <c r="J941" s="2" t="s">
        <v>34</v>
      </c>
      <c r="K941" s="2" t="s">
        <v>1214</v>
      </c>
      <c r="L941" s="2" t="s">
        <v>1215</v>
      </c>
      <c r="M941" s="2" t="s">
        <v>37</v>
      </c>
      <c r="N941" s="2" t="s">
        <v>38</v>
      </c>
      <c r="O941" s="2" t="s">
        <v>2341</v>
      </c>
      <c r="P941" s="2" t="s">
        <v>6584</v>
      </c>
      <c r="Q941" s="2" t="s">
        <v>6585</v>
      </c>
      <c r="R941" s="2" t="s">
        <v>40</v>
      </c>
      <c r="S941" s="2" t="s">
        <v>6586</v>
      </c>
      <c r="T941" s="2" t="s">
        <v>287</v>
      </c>
      <c r="U941" s="2" t="s">
        <v>6587</v>
      </c>
      <c r="V941" s="2" t="s">
        <v>6588</v>
      </c>
      <c r="W941" s="1"/>
      <c r="X941" s="2" t="s">
        <v>2226</v>
      </c>
      <c r="Y941" s="2" t="s">
        <v>5927</v>
      </c>
      <c r="AA941" t="str">
        <f t="shared" si="84"/>
        <v>2026-03</v>
      </c>
      <c r="AB941" t="str">
        <f t="shared" si="85"/>
        <v>H1_2026</v>
      </c>
      <c r="AC941">
        <f t="shared" si="86"/>
        <v>2433541.9</v>
      </c>
      <c r="AD941">
        <f t="shared" si="87"/>
        <v>283</v>
      </c>
      <c r="AE941">
        <f t="shared" si="88"/>
        <v>452541.9</v>
      </c>
      <c r="AF941" t="str">
        <f t="shared" si="89"/>
        <v>Paid</v>
      </c>
    </row>
    <row r="942" spans="1:32" ht="17.25" thickBot="1" x14ac:dyDescent="0.35">
      <c r="A942" s="2" t="s">
        <v>6589</v>
      </c>
      <c r="B942" s="2" t="s">
        <v>27</v>
      </c>
      <c r="C942" s="2" t="s">
        <v>28</v>
      </c>
      <c r="D942" s="2" t="s">
        <v>97</v>
      </c>
      <c r="E942" s="2" t="s">
        <v>5922</v>
      </c>
      <c r="F942" s="2" t="s">
        <v>99</v>
      </c>
      <c r="G942" s="2" t="s">
        <v>32</v>
      </c>
      <c r="H942" s="1"/>
      <c r="I942" s="2" t="s">
        <v>33</v>
      </c>
      <c r="J942" s="2" t="s">
        <v>34</v>
      </c>
      <c r="K942" s="2" t="s">
        <v>1224</v>
      </c>
      <c r="L942" s="2" t="s">
        <v>1225</v>
      </c>
      <c r="M942" s="2" t="s">
        <v>37</v>
      </c>
      <c r="N942" s="2" t="s">
        <v>38</v>
      </c>
      <c r="O942" s="2" t="s">
        <v>378</v>
      </c>
      <c r="P942" s="2" t="s">
        <v>6187</v>
      </c>
      <c r="Q942" s="2" t="s">
        <v>6590</v>
      </c>
      <c r="R942" s="2" t="s">
        <v>40</v>
      </c>
      <c r="S942" s="2" t="s">
        <v>6591</v>
      </c>
      <c r="T942" s="2" t="s">
        <v>6592</v>
      </c>
      <c r="U942" s="2" t="s">
        <v>6593</v>
      </c>
      <c r="V942" s="2" t="s">
        <v>6594</v>
      </c>
      <c r="W942" s="1"/>
      <c r="X942" s="2" t="s">
        <v>6595</v>
      </c>
      <c r="Y942" s="2" t="s">
        <v>5927</v>
      </c>
      <c r="AA942" t="str">
        <f t="shared" si="84"/>
        <v>2026-03</v>
      </c>
      <c r="AB942" t="str">
        <f t="shared" si="85"/>
        <v>H1_2026</v>
      </c>
      <c r="AC942">
        <f t="shared" si="86"/>
        <v>340212.24</v>
      </c>
      <c r="AD942">
        <f t="shared" si="87"/>
        <v>45</v>
      </c>
      <c r="AE942">
        <f t="shared" si="88"/>
        <v>97752.24</v>
      </c>
      <c r="AF942" t="str">
        <f t="shared" si="89"/>
        <v>Paid</v>
      </c>
    </row>
    <row r="943" spans="1:32" ht="17.25" thickBot="1" x14ac:dyDescent="0.35">
      <c r="A943" s="2" t="s">
        <v>6596</v>
      </c>
      <c r="B943" s="2" t="s">
        <v>27</v>
      </c>
      <c r="C943" s="2" t="s">
        <v>28</v>
      </c>
      <c r="D943" s="2" t="s">
        <v>97</v>
      </c>
      <c r="E943" s="2" t="s">
        <v>5922</v>
      </c>
      <c r="F943" s="2" t="s">
        <v>99</v>
      </c>
      <c r="G943" s="2" t="s">
        <v>32</v>
      </c>
      <c r="H943" s="1"/>
      <c r="I943" s="2" t="s">
        <v>33</v>
      </c>
      <c r="J943" s="2" t="s">
        <v>34</v>
      </c>
      <c r="K943" s="2" t="s">
        <v>1241</v>
      </c>
      <c r="L943" s="2" t="s">
        <v>1242</v>
      </c>
      <c r="M943" s="2" t="s">
        <v>37</v>
      </c>
      <c r="N943" s="2" t="s">
        <v>38</v>
      </c>
      <c r="O943" s="2" t="s">
        <v>6597</v>
      </c>
      <c r="P943" s="2" t="s">
        <v>6448</v>
      </c>
      <c r="Q943" s="2" t="s">
        <v>6598</v>
      </c>
      <c r="R943" s="2" t="s">
        <v>40</v>
      </c>
      <c r="S943" s="2" t="s">
        <v>6599</v>
      </c>
      <c r="T943" s="2" t="s">
        <v>107</v>
      </c>
      <c r="U943" s="2" t="s">
        <v>6600</v>
      </c>
      <c r="V943" s="2" t="s">
        <v>6601</v>
      </c>
      <c r="W943" s="1"/>
      <c r="X943" s="2" t="s">
        <v>1100</v>
      </c>
      <c r="Y943" s="2" t="s">
        <v>5927</v>
      </c>
      <c r="AA943" t="str">
        <f t="shared" si="84"/>
        <v>2026-03</v>
      </c>
      <c r="AB943" t="str">
        <f t="shared" si="85"/>
        <v>H1_2026</v>
      </c>
      <c r="AC943">
        <f t="shared" si="86"/>
        <v>6602425.9400000004</v>
      </c>
      <c r="AD943">
        <f t="shared" si="87"/>
        <v>982</v>
      </c>
      <c r="AE943">
        <f t="shared" si="88"/>
        <v>1103225.94</v>
      </c>
      <c r="AF943" t="str">
        <f t="shared" si="89"/>
        <v>Paid</v>
      </c>
    </row>
    <row r="944" spans="1:32" ht="17.25" thickBot="1" x14ac:dyDescent="0.35">
      <c r="A944" s="2" t="s">
        <v>6602</v>
      </c>
      <c r="B944" s="2" t="s">
        <v>27</v>
      </c>
      <c r="C944" s="2" t="s">
        <v>28</v>
      </c>
      <c r="D944" s="2" t="s">
        <v>97</v>
      </c>
      <c r="E944" s="2" t="s">
        <v>5922</v>
      </c>
      <c r="F944" s="2" t="s">
        <v>99</v>
      </c>
      <c r="G944" s="2" t="s">
        <v>32</v>
      </c>
      <c r="H944" s="1"/>
      <c r="I944" s="2" t="s">
        <v>33</v>
      </c>
      <c r="J944" s="2" t="s">
        <v>34</v>
      </c>
      <c r="K944" s="2" t="s">
        <v>1247</v>
      </c>
      <c r="L944" s="2" t="s">
        <v>1248</v>
      </c>
      <c r="M944" s="2" t="s">
        <v>37</v>
      </c>
      <c r="N944" s="2" t="s">
        <v>38</v>
      </c>
      <c r="O944" s="2" t="s">
        <v>5910</v>
      </c>
      <c r="P944" s="2" t="s">
        <v>6603</v>
      </c>
      <c r="Q944" s="2" t="s">
        <v>6604</v>
      </c>
      <c r="R944" s="2" t="s">
        <v>40</v>
      </c>
      <c r="S944" s="2" t="s">
        <v>6605</v>
      </c>
      <c r="T944" s="2" t="s">
        <v>1253</v>
      </c>
      <c r="U944" s="2" t="s">
        <v>6606</v>
      </c>
      <c r="V944" s="2" t="s">
        <v>6607</v>
      </c>
      <c r="W944" s="1"/>
      <c r="X944" s="2" t="s">
        <v>6032</v>
      </c>
      <c r="Y944" s="2" t="s">
        <v>5927</v>
      </c>
      <c r="AA944" t="str">
        <f t="shared" si="84"/>
        <v>2026-03</v>
      </c>
      <c r="AB944" t="str">
        <f t="shared" si="85"/>
        <v>H1_2026</v>
      </c>
      <c r="AC944">
        <f t="shared" si="86"/>
        <v>1392475.14</v>
      </c>
      <c r="AD944">
        <f t="shared" si="87"/>
        <v>832</v>
      </c>
      <c r="AE944">
        <f t="shared" si="88"/>
        <v>227675.14</v>
      </c>
      <c r="AF944" t="str">
        <f t="shared" si="89"/>
        <v>Paid</v>
      </c>
    </row>
    <row r="945" spans="1:32" ht="17.25" thickBot="1" x14ac:dyDescent="0.35">
      <c r="A945" s="2" t="s">
        <v>5316</v>
      </c>
      <c r="B945" s="2" t="s">
        <v>27</v>
      </c>
      <c r="C945" s="2" t="s">
        <v>28</v>
      </c>
      <c r="D945" s="2" t="s">
        <v>97</v>
      </c>
      <c r="E945" s="2" t="s">
        <v>5922</v>
      </c>
      <c r="F945" s="2" t="s">
        <v>99</v>
      </c>
      <c r="G945" s="2" t="s">
        <v>32</v>
      </c>
      <c r="H945" s="1"/>
      <c r="I945" s="2" t="s">
        <v>33</v>
      </c>
      <c r="J945" s="2" t="s">
        <v>34</v>
      </c>
      <c r="K945" s="2" t="s">
        <v>1257</v>
      </c>
      <c r="L945" s="2" t="s">
        <v>1258</v>
      </c>
      <c r="M945" s="2" t="s">
        <v>37</v>
      </c>
      <c r="N945" s="2" t="s">
        <v>38</v>
      </c>
      <c r="O945" s="2" t="s">
        <v>2844</v>
      </c>
      <c r="P945" s="2" t="s">
        <v>4687</v>
      </c>
      <c r="Q945" s="2" t="s">
        <v>6608</v>
      </c>
      <c r="R945" s="2" t="s">
        <v>40</v>
      </c>
      <c r="S945" s="2" t="s">
        <v>6609</v>
      </c>
      <c r="T945" s="2" t="s">
        <v>6610</v>
      </c>
      <c r="U945" s="2" t="s">
        <v>6611</v>
      </c>
      <c r="V945" s="2" t="s">
        <v>6612</v>
      </c>
      <c r="W945" s="1"/>
      <c r="X945" s="2" t="s">
        <v>3620</v>
      </c>
      <c r="Y945" s="2" t="s">
        <v>5927</v>
      </c>
      <c r="AA945" t="str">
        <f t="shared" si="84"/>
        <v>2026-03</v>
      </c>
      <c r="AB945" t="str">
        <f t="shared" si="85"/>
        <v>H1_2026</v>
      </c>
      <c r="AC945">
        <f t="shared" si="86"/>
        <v>1870647.91</v>
      </c>
      <c r="AD945">
        <f t="shared" si="87"/>
        <v>343</v>
      </c>
      <c r="AE945">
        <f t="shared" si="88"/>
        <v>576791.26</v>
      </c>
      <c r="AF945" t="str">
        <f t="shared" si="89"/>
        <v>Paid</v>
      </c>
    </row>
    <row r="946" spans="1:32" ht="17.25" thickBot="1" x14ac:dyDescent="0.35">
      <c r="A946" s="2" t="s">
        <v>6613</v>
      </c>
      <c r="B946" s="2" t="s">
        <v>27</v>
      </c>
      <c r="C946" s="2" t="s">
        <v>28</v>
      </c>
      <c r="D946" s="2" t="s">
        <v>97</v>
      </c>
      <c r="E946" s="2" t="s">
        <v>5922</v>
      </c>
      <c r="F946" s="2" t="s">
        <v>99</v>
      </c>
      <c r="G946" s="2" t="s">
        <v>32</v>
      </c>
      <c r="H946" s="1"/>
      <c r="I946" s="2" t="s">
        <v>33</v>
      </c>
      <c r="J946" s="2" t="s">
        <v>34</v>
      </c>
      <c r="K946" s="2" t="s">
        <v>1266</v>
      </c>
      <c r="L946" s="2" t="s">
        <v>1267</v>
      </c>
      <c r="M946" s="2" t="s">
        <v>37</v>
      </c>
      <c r="N946" s="2" t="s">
        <v>38</v>
      </c>
      <c r="O946" s="2" t="s">
        <v>956</v>
      </c>
      <c r="P946" s="2" t="s">
        <v>6614</v>
      </c>
      <c r="Q946" s="2" t="s">
        <v>6615</v>
      </c>
      <c r="R946" s="2" t="s">
        <v>40</v>
      </c>
      <c r="S946" s="2" t="s">
        <v>6616</v>
      </c>
      <c r="T946" s="2" t="s">
        <v>1271</v>
      </c>
      <c r="U946" s="2" t="s">
        <v>6617</v>
      </c>
      <c r="V946" s="2" t="s">
        <v>6618</v>
      </c>
      <c r="W946" s="1"/>
      <c r="X946" s="2" t="s">
        <v>1120</v>
      </c>
      <c r="Y946" s="2" t="s">
        <v>5927</v>
      </c>
      <c r="AA946" t="str">
        <f t="shared" si="84"/>
        <v>2026-03</v>
      </c>
      <c r="AB946" t="str">
        <f t="shared" si="85"/>
        <v>H1_2026</v>
      </c>
      <c r="AC946">
        <f t="shared" si="86"/>
        <v>635755.39</v>
      </c>
      <c r="AD946">
        <f t="shared" si="87"/>
        <v>108</v>
      </c>
      <c r="AE946">
        <f t="shared" si="88"/>
        <v>106555.39</v>
      </c>
      <c r="AF946" t="str">
        <f t="shared" si="89"/>
        <v>Paid</v>
      </c>
    </row>
    <row r="947" spans="1:32" ht="17.25" thickBot="1" x14ac:dyDescent="0.35">
      <c r="A947" s="2" t="s">
        <v>6619</v>
      </c>
      <c r="B947" s="2" t="s">
        <v>27</v>
      </c>
      <c r="C947" s="2" t="s">
        <v>28</v>
      </c>
      <c r="D947" s="2" t="s">
        <v>97</v>
      </c>
      <c r="E947" s="2" t="s">
        <v>5922</v>
      </c>
      <c r="F947" s="2" t="s">
        <v>99</v>
      </c>
      <c r="G947" s="2" t="s">
        <v>32</v>
      </c>
      <c r="H947" s="1"/>
      <c r="I947" s="2" t="s">
        <v>33</v>
      </c>
      <c r="J947" s="2" t="s">
        <v>34</v>
      </c>
      <c r="K947" s="2" t="s">
        <v>1275</v>
      </c>
      <c r="L947" s="2" t="s">
        <v>1276</v>
      </c>
      <c r="M947" s="2" t="s">
        <v>37</v>
      </c>
      <c r="N947" s="2" t="s">
        <v>38</v>
      </c>
      <c r="O947" s="2" t="s">
        <v>1147</v>
      </c>
      <c r="P947" s="2" t="s">
        <v>6620</v>
      </c>
      <c r="Q947" s="2" t="s">
        <v>6621</v>
      </c>
      <c r="R947" s="2" t="s">
        <v>40</v>
      </c>
      <c r="S947" s="2" t="s">
        <v>6622</v>
      </c>
      <c r="T947" s="2" t="s">
        <v>6623</v>
      </c>
      <c r="U947" s="2" t="s">
        <v>6624</v>
      </c>
      <c r="V947" s="2" t="s">
        <v>6625</v>
      </c>
      <c r="W947" s="1"/>
      <c r="X947" s="2" t="s">
        <v>1332</v>
      </c>
      <c r="Y947" s="2" t="s">
        <v>5927</v>
      </c>
      <c r="AA947" t="str">
        <f t="shared" si="84"/>
        <v>2026-03</v>
      </c>
      <c r="AB947" t="str">
        <f t="shared" si="85"/>
        <v>H1_2026</v>
      </c>
      <c r="AC947">
        <f t="shared" si="86"/>
        <v>3008411.14</v>
      </c>
      <c r="AD947">
        <f t="shared" si="87"/>
        <v>128</v>
      </c>
      <c r="AE947">
        <f t="shared" si="88"/>
        <v>800411.14</v>
      </c>
      <c r="AF947" t="str">
        <f t="shared" si="89"/>
        <v>Paid</v>
      </c>
    </row>
    <row r="948" spans="1:32" ht="17.25" thickBot="1" x14ac:dyDescent="0.35">
      <c r="A948" s="2" t="s">
        <v>6626</v>
      </c>
      <c r="B948" s="2" t="s">
        <v>27</v>
      </c>
      <c r="C948" s="2" t="s">
        <v>28</v>
      </c>
      <c r="D948" s="2" t="s">
        <v>97</v>
      </c>
      <c r="E948" s="2" t="s">
        <v>5922</v>
      </c>
      <c r="F948" s="2" t="s">
        <v>99</v>
      </c>
      <c r="G948" s="2" t="s">
        <v>32</v>
      </c>
      <c r="H948" s="1"/>
      <c r="I948" s="2" t="s">
        <v>33</v>
      </c>
      <c r="J948" s="2" t="s">
        <v>34</v>
      </c>
      <c r="K948" s="2" t="s">
        <v>6627</v>
      </c>
      <c r="L948" s="2" t="s">
        <v>6628</v>
      </c>
      <c r="M948" s="2" t="s">
        <v>37</v>
      </c>
      <c r="N948" s="2" t="s">
        <v>38</v>
      </c>
      <c r="O948" s="2" t="s">
        <v>956</v>
      </c>
      <c r="P948" s="2" t="s">
        <v>6629</v>
      </c>
      <c r="Q948" s="2" t="s">
        <v>6630</v>
      </c>
      <c r="R948" s="2" t="s">
        <v>40</v>
      </c>
      <c r="S948" s="2" t="s">
        <v>6631</v>
      </c>
      <c r="T948" s="2" t="s">
        <v>6632</v>
      </c>
      <c r="U948" s="2" t="s">
        <v>6633</v>
      </c>
      <c r="V948" s="2" t="s">
        <v>6634</v>
      </c>
      <c r="W948" s="1"/>
      <c r="X948" s="2" t="s">
        <v>1195</v>
      </c>
      <c r="Y948" s="2" t="s">
        <v>5927</v>
      </c>
      <c r="AA948" t="str">
        <f t="shared" si="84"/>
        <v>2026-03</v>
      </c>
      <c r="AB948" t="str">
        <f t="shared" si="85"/>
        <v>H1_2026</v>
      </c>
      <c r="AC948">
        <f t="shared" si="86"/>
        <v>2030365.87</v>
      </c>
      <c r="AD948">
        <f t="shared" si="87"/>
        <v>108</v>
      </c>
      <c r="AE948">
        <f t="shared" si="88"/>
        <v>302365.87</v>
      </c>
      <c r="AF948" t="str">
        <f t="shared" si="89"/>
        <v>Paid</v>
      </c>
    </row>
    <row r="949" spans="1:32" ht="17.25" thickBot="1" x14ac:dyDescent="0.35">
      <c r="A949" s="2" t="s">
        <v>6635</v>
      </c>
      <c r="B949" s="2" t="s">
        <v>27</v>
      </c>
      <c r="C949" s="2" t="s">
        <v>28</v>
      </c>
      <c r="D949" s="2" t="s">
        <v>97</v>
      </c>
      <c r="E949" s="2" t="s">
        <v>5922</v>
      </c>
      <c r="F949" s="2" t="s">
        <v>99</v>
      </c>
      <c r="G949" s="2" t="s">
        <v>32</v>
      </c>
      <c r="H949" s="1"/>
      <c r="I949" s="2" t="s">
        <v>33</v>
      </c>
      <c r="J949" s="2" t="s">
        <v>34</v>
      </c>
      <c r="K949" s="2" t="s">
        <v>6636</v>
      </c>
      <c r="L949" s="2" t="s">
        <v>6637</v>
      </c>
      <c r="M949" s="2" t="s">
        <v>37</v>
      </c>
      <c r="N949" s="2" t="s">
        <v>38</v>
      </c>
      <c r="O949" s="2" t="s">
        <v>407</v>
      </c>
      <c r="P949" s="2" t="s">
        <v>6638</v>
      </c>
      <c r="Q949" s="2" t="s">
        <v>6639</v>
      </c>
      <c r="R949" s="2" t="s">
        <v>40</v>
      </c>
      <c r="S949" s="2" t="s">
        <v>6640</v>
      </c>
      <c r="T949" s="2" t="s">
        <v>6641</v>
      </c>
      <c r="U949" s="2" t="s">
        <v>6642</v>
      </c>
      <c r="V949" s="2" t="s">
        <v>6643</v>
      </c>
      <c r="W949" s="1"/>
      <c r="X949" s="2" t="s">
        <v>1195</v>
      </c>
      <c r="Y949" s="2" t="s">
        <v>5927</v>
      </c>
      <c r="AA949" t="str">
        <f t="shared" si="84"/>
        <v>2026-03</v>
      </c>
      <c r="AB949" t="str">
        <f t="shared" si="85"/>
        <v>H1_2026</v>
      </c>
      <c r="AC949">
        <f t="shared" si="86"/>
        <v>812354.11</v>
      </c>
      <c r="AD949">
        <f t="shared" si="87"/>
        <v>48</v>
      </c>
      <c r="AE949">
        <f t="shared" si="88"/>
        <v>121154.11</v>
      </c>
      <c r="AF949" t="str">
        <f t="shared" si="89"/>
        <v>Paid</v>
      </c>
    </row>
    <row r="950" spans="1:32" ht="17.25" thickBot="1" x14ac:dyDescent="0.35">
      <c r="A950" s="2" t="s">
        <v>6644</v>
      </c>
      <c r="B950" s="2" t="s">
        <v>27</v>
      </c>
      <c r="C950" s="2" t="s">
        <v>28</v>
      </c>
      <c r="D950" s="2" t="s">
        <v>97</v>
      </c>
      <c r="E950" s="2" t="s">
        <v>5922</v>
      </c>
      <c r="F950" s="2" t="s">
        <v>99</v>
      </c>
      <c r="G950" s="2" t="s">
        <v>32</v>
      </c>
      <c r="H950" s="1"/>
      <c r="I950" s="2" t="s">
        <v>33</v>
      </c>
      <c r="J950" s="2" t="s">
        <v>34</v>
      </c>
      <c r="K950" s="2" t="s">
        <v>1291</v>
      </c>
      <c r="L950" s="2" t="s">
        <v>1292</v>
      </c>
      <c r="M950" s="2" t="s">
        <v>37</v>
      </c>
      <c r="N950" s="2" t="s">
        <v>38</v>
      </c>
      <c r="O950" s="2" t="s">
        <v>652</v>
      </c>
      <c r="P950" s="2" t="s">
        <v>6187</v>
      </c>
      <c r="Q950" s="2" t="s">
        <v>6645</v>
      </c>
      <c r="R950" s="2" t="s">
        <v>40</v>
      </c>
      <c r="S950" s="2" t="s">
        <v>6646</v>
      </c>
      <c r="T950" s="2" t="s">
        <v>126</v>
      </c>
      <c r="U950" s="2" t="s">
        <v>6647</v>
      </c>
      <c r="V950" s="2" t="s">
        <v>6648</v>
      </c>
      <c r="W950" s="1"/>
      <c r="X950" s="2" t="s">
        <v>1100</v>
      </c>
      <c r="Y950" s="2" t="s">
        <v>5927</v>
      </c>
      <c r="AA950" t="str">
        <f t="shared" si="84"/>
        <v>2026-03</v>
      </c>
      <c r="AB950" t="str">
        <f t="shared" si="85"/>
        <v>H1_2026</v>
      </c>
      <c r="AC950">
        <f t="shared" si="86"/>
        <v>574580.67000000004</v>
      </c>
      <c r="AD950">
        <f t="shared" si="87"/>
        <v>76</v>
      </c>
      <c r="AE950">
        <f t="shared" si="88"/>
        <v>95780.67</v>
      </c>
      <c r="AF950" t="str">
        <f t="shared" si="89"/>
        <v>Paid</v>
      </c>
    </row>
    <row r="951" spans="1:32" ht="17.25" thickBot="1" x14ac:dyDescent="0.35">
      <c r="A951" s="2" t="s">
        <v>6649</v>
      </c>
      <c r="B951" s="2" t="s">
        <v>27</v>
      </c>
      <c r="C951" s="2" t="s">
        <v>28</v>
      </c>
      <c r="D951" s="2" t="s">
        <v>97</v>
      </c>
      <c r="E951" s="2" t="s">
        <v>5922</v>
      </c>
      <c r="F951" s="2" t="s">
        <v>99</v>
      </c>
      <c r="G951" s="2" t="s">
        <v>32</v>
      </c>
      <c r="H951" s="1"/>
      <c r="I951" s="2" t="s">
        <v>33</v>
      </c>
      <c r="J951" s="2" t="s">
        <v>34</v>
      </c>
      <c r="K951" s="2" t="s">
        <v>4693</v>
      </c>
      <c r="L951" s="2" t="s">
        <v>4694</v>
      </c>
      <c r="M951" s="2" t="s">
        <v>37</v>
      </c>
      <c r="N951" s="2" t="s">
        <v>38</v>
      </c>
      <c r="O951" s="2" t="s">
        <v>103</v>
      </c>
      <c r="P951" s="2" t="s">
        <v>4560</v>
      </c>
      <c r="Q951" s="2" t="s">
        <v>6650</v>
      </c>
      <c r="R951" s="2" t="s">
        <v>40</v>
      </c>
      <c r="S951" s="2" t="s">
        <v>6651</v>
      </c>
      <c r="T951" s="2" t="s">
        <v>6652</v>
      </c>
      <c r="U951" s="2" t="s">
        <v>6653</v>
      </c>
      <c r="V951" s="2" t="s">
        <v>6654</v>
      </c>
      <c r="W951" s="1"/>
      <c r="X951" s="2" t="s">
        <v>2912</v>
      </c>
      <c r="Y951" s="2" t="s">
        <v>5927</v>
      </c>
      <c r="AA951" t="str">
        <f t="shared" si="84"/>
        <v>2026-03</v>
      </c>
      <c r="AB951" t="str">
        <f t="shared" si="85"/>
        <v>H1_2026</v>
      </c>
      <c r="AC951">
        <f t="shared" si="86"/>
        <v>221614.07999999999</v>
      </c>
      <c r="AD951">
        <f t="shared" si="87"/>
        <v>24</v>
      </c>
      <c r="AE951">
        <f t="shared" si="88"/>
        <v>65614.080000000002</v>
      </c>
      <c r="AF951" t="str">
        <f t="shared" si="89"/>
        <v>Paid</v>
      </c>
    </row>
    <row r="952" spans="1:32" ht="17.25" thickBot="1" x14ac:dyDescent="0.35">
      <c r="A952" s="2" t="s">
        <v>6655</v>
      </c>
      <c r="B952" s="2" t="s">
        <v>27</v>
      </c>
      <c r="C952" s="2" t="s">
        <v>28</v>
      </c>
      <c r="D952" s="2" t="s">
        <v>97</v>
      </c>
      <c r="E952" s="2" t="s">
        <v>5922</v>
      </c>
      <c r="F952" s="2" t="s">
        <v>99</v>
      </c>
      <c r="G952" s="2" t="s">
        <v>32</v>
      </c>
      <c r="H952" s="1"/>
      <c r="I952" s="2" t="s">
        <v>33</v>
      </c>
      <c r="J952" s="2" t="s">
        <v>34</v>
      </c>
      <c r="K952" s="2" t="s">
        <v>6656</v>
      </c>
      <c r="L952" s="2" t="s">
        <v>6657</v>
      </c>
      <c r="M952" s="2" t="s">
        <v>37</v>
      </c>
      <c r="N952" s="2" t="s">
        <v>38</v>
      </c>
      <c r="O952" s="2" t="s">
        <v>2096</v>
      </c>
      <c r="P952" s="2" t="s">
        <v>3210</v>
      </c>
      <c r="Q952" s="2" t="s">
        <v>6658</v>
      </c>
      <c r="R952" s="2" t="s">
        <v>40</v>
      </c>
      <c r="S952" s="2" t="s">
        <v>6659</v>
      </c>
      <c r="T952" s="2" t="s">
        <v>6660</v>
      </c>
      <c r="U952" s="2" t="s">
        <v>6661</v>
      </c>
      <c r="V952" s="2" t="s">
        <v>6662</v>
      </c>
      <c r="W952" s="1"/>
      <c r="X952" s="2" t="s">
        <v>6663</v>
      </c>
      <c r="Y952" s="2" t="s">
        <v>5927</v>
      </c>
      <c r="AA952" t="str">
        <f t="shared" si="84"/>
        <v>2026-03</v>
      </c>
      <c r="AB952" t="str">
        <f t="shared" si="85"/>
        <v>H1_2026</v>
      </c>
      <c r="AC952">
        <f t="shared" si="86"/>
        <v>1588869.07</v>
      </c>
      <c r="AD952">
        <f t="shared" si="87"/>
        <v>252</v>
      </c>
      <c r="AE952">
        <f t="shared" si="88"/>
        <v>358119.07</v>
      </c>
      <c r="AF952" t="str">
        <f t="shared" si="89"/>
        <v>Paid</v>
      </c>
    </row>
    <row r="953" spans="1:32" ht="27.75" thickBot="1" x14ac:dyDescent="0.35">
      <c r="A953" s="2" t="s">
        <v>6664</v>
      </c>
      <c r="B953" s="2" t="s">
        <v>27</v>
      </c>
      <c r="C953" s="2" t="s">
        <v>28</v>
      </c>
      <c r="D953" s="2" t="s">
        <v>97</v>
      </c>
      <c r="E953" s="2" t="s">
        <v>5922</v>
      </c>
      <c r="F953" s="2" t="s">
        <v>99</v>
      </c>
      <c r="G953" s="2" t="s">
        <v>32</v>
      </c>
      <c r="H953" s="1"/>
      <c r="I953" s="2" t="s">
        <v>33</v>
      </c>
      <c r="J953" s="2" t="s">
        <v>34</v>
      </c>
      <c r="K953" s="2" t="s">
        <v>1308</v>
      </c>
      <c r="L953" s="2" t="s">
        <v>1309</v>
      </c>
      <c r="M953" s="2" t="s">
        <v>37</v>
      </c>
      <c r="N953" s="2" t="s">
        <v>38</v>
      </c>
      <c r="O953" s="2" t="s">
        <v>631</v>
      </c>
      <c r="P953" s="2" t="s">
        <v>6665</v>
      </c>
      <c r="Q953" s="2" t="s">
        <v>6666</v>
      </c>
      <c r="R953" s="2" t="s">
        <v>40</v>
      </c>
      <c r="S953" s="2" t="s">
        <v>6667</v>
      </c>
      <c r="T953" s="2" t="s">
        <v>6668</v>
      </c>
      <c r="U953" s="2" t="s">
        <v>6669</v>
      </c>
      <c r="V953" s="2" t="s">
        <v>6670</v>
      </c>
      <c r="W953" s="1"/>
      <c r="X953" s="2" t="s">
        <v>1100</v>
      </c>
      <c r="Y953" s="2" t="s">
        <v>5927</v>
      </c>
      <c r="AA953" t="str">
        <f t="shared" si="84"/>
        <v>2026-03</v>
      </c>
      <c r="AB953" t="str">
        <f t="shared" si="85"/>
        <v>H1_2026</v>
      </c>
      <c r="AC953">
        <f t="shared" si="86"/>
        <v>1398650.32</v>
      </c>
      <c r="AD953">
        <f t="shared" si="87"/>
        <v>74</v>
      </c>
      <c r="AE953">
        <f t="shared" si="88"/>
        <v>233150.32</v>
      </c>
      <c r="AF953" t="str">
        <f t="shared" si="89"/>
        <v>Paid</v>
      </c>
    </row>
    <row r="954" spans="1:32" ht="17.25" thickBot="1" x14ac:dyDescent="0.35">
      <c r="A954" s="2" t="s">
        <v>6671</v>
      </c>
      <c r="B954" s="2" t="s">
        <v>27</v>
      </c>
      <c r="C954" s="2" t="s">
        <v>28</v>
      </c>
      <c r="D954" s="2" t="s">
        <v>97</v>
      </c>
      <c r="E954" s="2" t="s">
        <v>5922</v>
      </c>
      <c r="F954" s="2" t="s">
        <v>99</v>
      </c>
      <c r="G954" s="2" t="s">
        <v>32</v>
      </c>
      <c r="H954" s="1"/>
      <c r="I954" s="2" t="s">
        <v>33</v>
      </c>
      <c r="J954" s="2" t="s">
        <v>34</v>
      </c>
      <c r="K954" s="2" t="s">
        <v>1318</v>
      </c>
      <c r="L954" s="2" t="s">
        <v>1319</v>
      </c>
      <c r="M954" s="2" t="s">
        <v>37</v>
      </c>
      <c r="N954" s="2" t="s">
        <v>38</v>
      </c>
      <c r="O954" s="2" t="s">
        <v>1438</v>
      </c>
      <c r="P954" s="2" t="s">
        <v>6614</v>
      </c>
      <c r="Q954" s="2" t="s">
        <v>6672</v>
      </c>
      <c r="R954" s="2" t="s">
        <v>40</v>
      </c>
      <c r="S954" s="2" t="s">
        <v>6673</v>
      </c>
      <c r="T954" s="2" t="s">
        <v>1271</v>
      </c>
      <c r="U954" s="2" t="s">
        <v>6674</v>
      </c>
      <c r="V954" s="2" t="s">
        <v>6675</v>
      </c>
      <c r="W954" s="1"/>
      <c r="X954" s="2" t="s">
        <v>1120</v>
      </c>
      <c r="Y954" s="2" t="s">
        <v>5927</v>
      </c>
      <c r="AA954" t="str">
        <f t="shared" si="84"/>
        <v>2026-03</v>
      </c>
      <c r="AB954" t="str">
        <f t="shared" si="85"/>
        <v>H1_2026</v>
      </c>
      <c r="AC954">
        <f t="shared" si="86"/>
        <v>953633.09</v>
      </c>
      <c r="AD954">
        <f t="shared" si="87"/>
        <v>162</v>
      </c>
      <c r="AE954">
        <f t="shared" si="88"/>
        <v>159833.09</v>
      </c>
      <c r="AF954" t="str">
        <f t="shared" si="89"/>
        <v>Paid</v>
      </c>
    </row>
    <row r="955" spans="1:32" ht="17.25" thickBot="1" x14ac:dyDescent="0.35">
      <c r="A955" s="2" t="s">
        <v>6676</v>
      </c>
      <c r="B955" s="2" t="s">
        <v>27</v>
      </c>
      <c r="C955" s="2" t="s">
        <v>28</v>
      </c>
      <c r="D955" s="2" t="s">
        <v>97</v>
      </c>
      <c r="E955" s="2" t="s">
        <v>5922</v>
      </c>
      <c r="F955" s="2" t="s">
        <v>99</v>
      </c>
      <c r="G955" s="2" t="s">
        <v>32</v>
      </c>
      <c r="H955" s="1"/>
      <c r="I955" s="2" t="s">
        <v>33</v>
      </c>
      <c r="J955" s="2" t="s">
        <v>34</v>
      </c>
      <c r="K955" s="2" t="s">
        <v>5700</v>
      </c>
      <c r="L955" s="2" t="s">
        <v>5701</v>
      </c>
      <c r="M955" s="2" t="s">
        <v>37</v>
      </c>
      <c r="N955" s="2" t="s">
        <v>38</v>
      </c>
      <c r="O955" s="2" t="s">
        <v>517</v>
      </c>
      <c r="P955" s="2" t="s">
        <v>3579</v>
      </c>
      <c r="Q955" s="2" t="s">
        <v>6677</v>
      </c>
      <c r="R955" s="2" t="s">
        <v>40</v>
      </c>
      <c r="S955" s="2" t="s">
        <v>6678</v>
      </c>
      <c r="T955" s="2" t="s">
        <v>287</v>
      </c>
      <c r="U955" s="2" t="s">
        <v>1486</v>
      </c>
      <c r="V955" s="2" t="s">
        <v>6679</v>
      </c>
      <c r="W955" s="1"/>
      <c r="X955" s="2" t="s">
        <v>3216</v>
      </c>
      <c r="Y955" s="2" t="s">
        <v>5927</v>
      </c>
      <c r="AA955" t="str">
        <f t="shared" si="84"/>
        <v>2026-03</v>
      </c>
      <c r="AB955" t="str">
        <f t="shared" si="85"/>
        <v>H1_2026</v>
      </c>
      <c r="AC955">
        <f t="shared" si="86"/>
        <v>1007651.52</v>
      </c>
      <c r="AD955">
        <f t="shared" si="87"/>
        <v>120</v>
      </c>
      <c r="AE955">
        <f t="shared" si="88"/>
        <v>167651.51999999999</v>
      </c>
      <c r="AF955" t="str">
        <f t="shared" si="89"/>
        <v>Paid</v>
      </c>
    </row>
    <row r="956" spans="1:32" ht="17.25" thickBot="1" x14ac:dyDescent="0.35">
      <c r="A956" s="2" t="s">
        <v>6680</v>
      </c>
      <c r="B956" s="2" t="s">
        <v>27</v>
      </c>
      <c r="C956" s="2" t="s">
        <v>28</v>
      </c>
      <c r="D956" s="2" t="s">
        <v>97</v>
      </c>
      <c r="E956" s="2" t="s">
        <v>5922</v>
      </c>
      <c r="F956" s="2" t="s">
        <v>99</v>
      </c>
      <c r="G956" s="2" t="s">
        <v>32</v>
      </c>
      <c r="H956" s="1"/>
      <c r="I956" s="2" t="s">
        <v>33</v>
      </c>
      <c r="J956" s="2" t="s">
        <v>34</v>
      </c>
      <c r="K956" s="2" t="s">
        <v>1342</v>
      </c>
      <c r="L956" s="2" t="s">
        <v>1343</v>
      </c>
      <c r="M956" s="2" t="s">
        <v>37</v>
      </c>
      <c r="N956" s="2" t="s">
        <v>38</v>
      </c>
      <c r="O956" s="2" t="s">
        <v>828</v>
      </c>
      <c r="P956" s="2" t="s">
        <v>3579</v>
      </c>
      <c r="Q956" s="2" t="s">
        <v>6681</v>
      </c>
      <c r="R956" s="2" t="s">
        <v>40</v>
      </c>
      <c r="S956" s="2" t="s">
        <v>6682</v>
      </c>
      <c r="T956" s="2" t="s">
        <v>287</v>
      </c>
      <c r="U956" s="2" t="s">
        <v>6683</v>
      </c>
      <c r="V956" s="2" t="s">
        <v>6684</v>
      </c>
      <c r="W956" s="1"/>
      <c r="X956" s="2" t="s">
        <v>3216</v>
      </c>
      <c r="Y956" s="2" t="s">
        <v>5927</v>
      </c>
      <c r="AA956" t="str">
        <f t="shared" si="84"/>
        <v>2026-03</v>
      </c>
      <c r="AB956" t="str">
        <f t="shared" si="85"/>
        <v>H1_2026</v>
      </c>
      <c r="AC956">
        <f t="shared" si="86"/>
        <v>797724.12</v>
      </c>
      <c r="AD956">
        <f t="shared" si="87"/>
        <v>95</v>
      </c>
      <c r="AE956">
        <f t="shared" si="88"/>
        <v>132724.12</v>
      </c>
      <c r="AF956" t="str">
        <f t="shared" si="89"/>
        <v>Paid</v>
      </c>
    </row>
    <row r="957" spans="1:32" ht="17.25" thickBot="1" x14ac:dyDescent="0.35">
      <c r="A957" s="2" t="s">
        <v>6685</v>
      </c>
      <c r="B957" s="2" t="s">
        <v>27</v>
      </c>
      <c r="C957" s="2" t="s">
        <v>28</v>
      </c>
      <c r="D957" s="2" t="s">
        <v>97</v>
      </c>
      <c r="E957" s="2" t="s">
        <v>5922</v>
      </c>
      <c r="F957" s="2" t="s">
        <v>99</v>
      </c>
      <c r="G957" s="2" t="s">
        <v>32</v>
      </c>
      <c r="H957" s="1"/>
      <c r="I957" s="2" t="s">
        <v>33</v>
      </c>
      <c r="J957" s="2" t="s">
        <v>34</v>
      </c>
      <c r="K957" s="2" t="s">
        <v>5430</v>
      </c>
      <c r="L957" s="2" t="s">
        <v>5431</v>
      </c>
      <c r="M957" s="2" t="s">
        <v>37</v>
      </c>
      <c r="N957" s="2" t="s">
        <v>38</v>
      </c>
      <c r="O957" s="2" t="s">
        <v>877</v>
      </c>
      <c r="P957" s="2" t="s">
        <v>6448</v>
      </c>
      <c r="Q957" s="2" t="s">
        <v>6686</v>
      </c>
      <c r="R957" s="2" t="s">
        <v>40</v>
      </c>
      <c r="S957" s="2" t="s">
        <v>6687</v>
      </c>
      <c r="T957" s="2" t="s">
        <v>5434</v>
      </c>
      <c r="U957" s="2" t="s">
        <v>6688</v>
      </c>
      <c r="V957" s="2" t="s">
        <v>6689</v>
      </c>
      <c r="W957" s="1"/>
      <c r="X957" s="2" t="s">
        <v>1340</v>
      </c>
      <c r="Y957" s="2" t="s">
        <v>5927</v>
      </c>
      <c r="AA957" t="str">
        <f t="shared" si="84"/>
        <v>2026-03</v>
      </c>
      <c r="AB957" t="str">
        <f t="shared" si="85"/>
        <v>H1_2026</v>
      </c>
      <c r="AC957">
        <f t="shared" si="86"/>
        <v>672344.8</v>
      </c>
      <c r="AD957">
        <f t="shared" si="87"/>
        <v>100</v>
      </c>
      <c r="AE957">
        <f t="shared" si="88"/>
        <v>192344.8</v>
      </c>
      <c r="AF957" t="str">
        <f t="shared" si="89"/>
        <v>Paid</v>
      </c>
    </row>
    <row r="958" spans="1:32" ht="17.25" thickBot="1" x14ac:dyDescent="0.35">
      <c r="A958" s="2" t="s">
        <v>6690</v>
      </c>
      <c r="B958" s="2" t="s">
        <v>27</v>
      </c>
      <c r="C958" s="2" t="s">
        <v>28</v>
      </c>
      <c r="D958" s="2" t="s">
        <v>97</v>
      </c>
      <c r="E958" s="2" t="s">
        <v>5922</v>
      </c>
      <c r="F958" s="2" t="s">
        <v>99</v>
      </c>
      <c r="G958" s="2" t="s">
        <v>32</v>
      </c>
      <c r="H958" s="1"/>
      <c r="I958" s="2" t="s">
        <v>33</v>
      </c>
      <c r="J958" s="2" t="s">
        <v>34</v>
      </c>
      <c r="K958" s="2" t="s">
        <v>82</v>
      </c>
      <c r="L958" s="2" t="s">
        <v>83</v>
      </c>
      <c r="M958" s="2" t="s">
        <v>84</v>
      </c>
      <c r="N958" s="2" t="s">
        <v>38</v>
      </c>
      <c r="O958" s="2" t="s">
        <v>6691</v>
      </c>
      <c r="P958" s="2" t="s">
        <v>6692</v>
      </c>
      <c r="Q958" s="2" t="s">
        <v>6693</v>
      </c>
      <c r="R958" s="2" t="s">
        <v>40</v>
      </c>
      <c r="S958" s="2" t="s">
        <v>6694</v>
      </c>
      <c r="T958" s="2" t="s">
        <v>1354</v>
      </c>
      <c r="U958" s="2" t="s">
        <v>6695</v>
      </c>
      <c r="V958" s="2" t="s">
        <v>6696</v>
      </c>
      <c r="W958" s="1"/>
      <c r="X958" s="2" t="s">
        <v>6697</v>
      </c>
      <c r="Y958" s="2" t="s">
        <v>5927</v>
      </c>
      <c r="AA958" t="str">
        <f t="shared" si="84"/>
        <v>2026-03</v>
      </c>
      <c r="AB958" t="str">
        <f t="shared" si="85"/>
        <v>H1_2026</v>
      </c>
      <c r="AC958">
        <f t="shared" si="86"/>
        <v>24723820.800000001</v>
      </c>
      <c r="AD958">
        <f t="shared" si="87"/>
        <v>4760</v>
      </c>
      <c r="AE958">
        <f t="shared" si="88"/>
        <v>2209020.7999999998</v>
      </c>
      <c r="AF958" t="str">
        <f t="shared" si="89"/>
        <v>Paid</v>
      </c>
    </row>
    <row r="959" spans="1:32" ht="17.25" thickBot="1" x14ac:dyDescent="0.35">
      <c r="A959" s="2" t="s">
        <v>6698</v>
      </c>
      <c r="B959" s="2" t="s">
        <v>27</v>
      </c>
      <c r="C959" s="2" t="s">
        <v>28</v>
      </c>
      <c r="D959" s="2" t="s">
        <v>97</v>
      </c>
      <c r="E959" s="2" t="s">
        <v>5922</v>
      </c>
      <c r="F959" s="2" t="s">
        <v>99</v>
      </c>
      <c r="G959" s="2" t="s">
        <v>32</v>
      </c>
      <c r="H959" s="1"/>
      <c r="I959" s="2" t="s">
        <v>33</v>
      </c>
      <c r="J959" s="2" t="s">
        <v>34</v>
      </c>
      <c r="K959" s="2" t="s">
        <v>1359</v>
      </c>
      <c r="L959" s="2" t="s">
        <v>1360</v>
      </c>
      <c r="M959" s="2" t="s">
        <v>84</v>
      </c>
      <c r="N959" s="2" t="s">
        <v>38</v>
      </c>
      <c r="O959" s="2" t="s">
        <v>428</v>
      </c>
      <c r="P959" s="2" t="s">
        <v>2744</v>
      </c>
      <c r="Q959" s="2" t="s">
        <v>6699</v>
      </c>
      <c r="R959" s="2" t="s">
        <v>40</v>
      </c>
      <c r="S959" s="2" t="s">
        <v>6700</v>
      </c>
      <c r="T959" s="2" t="s">
        <v>1364</v>
      </c>
      <c r="U959" s="2" t="s">
        <v>6701</v>
      </c>
      <c r="V959" s="2" t="s">
        <v>6702</v>
      </c>
      <c r="W959" s="1"/>
      <c r="X959" s="2" t="s">
        <v>444</v>
      </c>
      <c r="Y959" s="2" t="s">
        <v>5927</v>
      </c>
      <c r="AA959" t="str">
        <f t="shared" si="84"/>
        <v>2026-03</v>
      </c>
      <c r="AB959" t="str">
        <f t="shared" si="85"/>
        <v>H1_2026</v>
      </c>
      <c r="AC959">
        <f t="shared" si="86"/>
        <v>1500512</v>
      </c>
      <c r="AD959">
        <f t="shared" si="87"/>
        <v>250</v>
      </c>
      <c r="AE959">
        <f t="shared" si="88"/>
        <v>188012</v>
      </c>
      <c r="AF959" t="str">
        <f t="shared" si="89"/>
        <v>Paid</v>
      </c>
    </row>
    <row r="960" spans="1:32" ht="17.25" thickBot="1" x14ac:dyDescent="0.35">
      <c r="A960" s="2" t="s">
        <v>6703</v>
      </c>
      <c r="B960" s="2" t="s">
        <v>27</v>
      </c>
      <c r="C960" s="2" t="s">
        <v>28</v>
      </c>
      <c r="D960" s="2" t="s">
        <v>97</v>
      </c>
      <c r="E960" s="2" t="s">
        <v>5922</v>
      </c>
      <c r="F960" s="2" t="s">
        <v>99</v>
      </c>
      <c r="G960" s="2" t="s">
        <v>32</v>
      </c>
      <c r="H960" s="1"/>
      <c r="I960" s="2" t="s">
        <v>33</v>
      </c>
      <c r="J960" s="2" t="s">
        <v>34</v>
      </c>
      <c r="K960" s="2" t="s">
        <v>1368</v>
      </c>
      <c r="L960" s="2" t="s">
        <v>1369</v>
      </c>
      <c r="M960" s="2" t="s">
        <v>84</v>
      </c>
      <c r="N960" s="2" t="s">
        <v>38</v>
      </c>
      <c r="O960" s="2" t="s">
        <v>6704</v>
      </c>
      <c r="P960" s="2" t="s">
        <v>2744</v>
      </c>
      <c r="Q960" s="2" t="s">
        <v>6705</v>
      </c>
      <c r="R960" s="2" t="s">
        <v>40</v>
      </c>
      <c r="S960" s="2" t="s">
        <v>6706</v>
      </c>
      <c r="T960" s="2" t="s">
        <v>1354</v>
      </c>
      <c r="U960" s="2" t="s">
        <v>6707</v>
      </c>
      <c r="V960" s="2" t="s">
        <v>6708</v>
      </c>
      <c r="W960" s="1"/>
      <c r="X960" s="2" t="s">
        <v>6709</v>
      </c>
      <c r="Y960" s="2" t="s">
        <v>5927</v>
      </c>
      <c r="AA960" t="str">
        <f t="shared" si="84"/>
        <v>2026-03</v>
      </c>
      <c r="AB960" t="str">
        <f t="shared" si="85"/>
        <v>H1_2026</v>
      </c>
      <c r="AC960">
        <f t="shared" si="86"/>
        <v>7562580.4800000004</v>
      </c>
      <c r="AD960">
        <f t="shared" si="87"/>
        <v>1260</v>
      </c>
      <c r="AE960">
        <f t="shared" si="88"/>
        <v>1602780.48</v>
      </c>
      <c r="AF960" t="str">
        <f t="shared" si="89"/>
        <v>Paid</v>
      </c>
    </row>
    <row r="961" spans="1:32" ht="17.25" thickBot="1" x14ac:dyDescent="0.35">
      <c r="A961" s="2" t="s">
        <v>6710</v>
      </c>
      <c r="B961" s="2" t="s">
        <v>27</v>
      </c>
      <c r="C961" s="2" t="s">
        <v>28</v>
      </c>
      <c r="D961" s="2" t="s">
        <v>97</v>
      </c>
      <c r="E961" s="2" t="s">
        <v>5922</v>
      </c>
      <c r="F961" s="2" t="s">
        <v>99</v>
      </c>
      <c r="G961" s="2" t="s">
        <v>32</v>
      </c>
      <c r="H961" s="1"/>
      <c r="I961" s="2" t="s">
        <v>33</v>
      </c>
      <c r="J961" s="2" t="s">
        <v>34</v>
      </c>
      <c r="K961" s="2" t="s">
        <v>1386</v>
      </c>
      <c r="L961" s="2" t="s">
        <v>1387</v>
      </c>
      <c r="M961" s="2" t="s">
        <v>84</v>
      </c>
      <c r="N961" s="2" t="s">
        <v>38</v>
      </c>
      <c r="O961" s="2" t="s">
        <v>391</v>
      </c>
      <c r="P961" s="2" t="s">
        <v>3579</v>
      </c>
      <c r="Q961" s="2" t="s">
        <v>6711</v>
      </c>
      <c r="R961" s="2" t="s">
        <v>40</v>
      </c>
      <c r="S961" s="2" t="s">
        <v>6712</v>
      </c>
      <c r="T961" s="2" t="s">
        <v>1390</v>
      </c>
      <c r="U961" s="2" t="s">
        <v>6713</v>
      </c>
      <c r="V961" s="2" t="s">
        <v>6714</v>
      </c>
      <c r="W961" s="1"/>
      <c r="X961" s="2" t="s">
        <v>6709</v>
      </c>
      <c r="Y961" s="2" t="s">
        <v>5927</v>
      </c>
      <c r="AA961" t="str">
        <f t="shared" si="84"/>
        <v>2026-03</v>
      </c>
      <c r="AB961" t="str">
        <f t="shared" si="85"/>
        <v>H1_2026</v>
      </c>
      <c r="AC961">
        <f t="shared" si="86"/>
        <v>503825.76</v>
      </c>
      <c r="AD961">
        <f t="shared" si="87"/>
        <v>60</v>
      </c>
      <c r="AE961">
        <f t="shared" si="88"/>
        <v>106625.76</v>
      </c>
      <c r="AF961" t="str">
        <f t="shared" si="89"/>
        <v>Paid</v>
      </c>
    </row>
    <row r="962" spans="1:32" ht="17.25" thickBot="1" x14ac:dyDescent="0.35">
      <c r="A962" s="2" t="s">
        <v>2014</v>
      </c>
      <c r="B962" s="2" t="s">
        <v>27</v>
      </c>
      <c r="C962" s="2" t="s">
        <v>28</v>
      </c>
      <c r="D962" s="2" t="s">
        <v>97</v>
      </c>
      <c r="E962" s="2" t="s">
        <v>5922</v>
      </c>
      <c r="F962" s="2" t="s">
        <v>99</v>
      </c>
      <c r="G962" s="2" t="s">
        <v>32</v>
      </c>
      <c r="H962" s="1"/>
      <c r="I962" s="2" t="s">
        <v>33</v>
      </c>
      <c r="J962" s="2" t="s">
        <v>34</v>
      </c>
      <c r="K962" s="2" t="s">
        <v>5721</v>
      </c>
      <c r="L962" s="2" t="s">
        <v>5722</v>
      </c>
      <c r="M962" s="2" t="s">
        <v>84</v>
      </c>
      <c r="N962" s="2" t="s">
        <v>38</v>
      </c>
      <c r="O962" s="2" t="s">
        <v>877</v>
      </c>
      <c r="P962" s="2" t="s">
        <v>6125</v>
      </c>
      <c r="Q962" s="2" t="s">
        <v>6715</v>
      </c>
      <c r="R962" s="2" t="s">
        <v>40</v>
      </c>
      <c r="S962" s="2" t="s">
        <v>6716</v>
      </c>
      <c r="T962" s="2" t="s">
        <v>126</v>
      </c>
      <c r="U962" s="2" t="s">
        <v>6717</v>
      </c>
      <c r="V962" s="2" t="s">
        <v>6718</v>
      </c>
      <c r="W962" s="1"/>
      <c r="X962" s="2" t="s">
        <v>6719</v>
      </c>
      <c r="Y962" s="2" t="s">
        <v>5927</v>
      </c>
      <c r="AA962" t="str">
        <f t="shared" si="84"/>
        <v>2026-03</v>
      </c>
      <c r="AB962" t="str">
        <f t="shared" si="85"/>
        <v>H1_2026</v>
      </c>
      <c r="AC962">
        <f t="shared" si="86"/>
        <v>1200409.6000000001</v>
      </c>
      <c r="AD962">
        <f t="shared" si="87"/>
        <v>100</v>
      </c>
      <c r="AE962">
        <f t="shared" si="88"/>
        <v>570409.6</v>
      </c>
      <c r="AF962" t="str">
        <f t="shared" si="89"/>
        <v>Paid</v>
      </c>
    </row>
    <row r="963" spans="1:32" ht="17.25" thickBot="1" x14ac:dyDescent="0.35">
      <c r="A963" s="2" t="s">
        <v>6720</v>
      </c>
      <c r="B963" s="2" t="s">
        <v>27</v>
      </c>
      <c r="C963" s="2" t="s">
        <v>28</v>
      </c>
      <c r="D963" s="2" t="s">
        <v>97</v>
      </c>
      <c r="E963" s="2" t="s">
        <v>5922</v>
      </c>
      <c r="F963" s="2" t="s">
        <v>99</v>
      </c>
      <c r="G963" s="2" t="s">
        <v>32</v>
      </c>
      <c r="H963" s="1"/>
      <c r="I963" s="2" t="s">
        <v>33</v>
      </c>
      <c r="J963" s="2" t="s">
        <v>34</v>
      </c>
      <c r="K963" s="2" t="s">
        <v>1420</v>
      </c>
      <c r="L963" s="2" t="s">
        <v>1421</v>
      </c>
      <c r="M963" s="2" t="s">
        <v>84</v>
      </c>
      <c r="N963" s="2" t="s">
        <v>38</v>
      </c>
      <c r="O963" s="2" t="s">
        <v>159</v>
      </c>
      <c r="P963" s="2" t="s">
        <v>6237</v>
      </c>
      <c r="Q963" s="2" t="s">
        <v>6721</v>
      </c>
      <c r="R963" s="2" t="s">
        <v>40</v>
      </c>
      <c r="S963" s="2" t="s">
        <v>6722</v>
      </c>
      <c r="T963" s="2" t="s">
        <v>1424</v>
      </c>
      <c r="U963" s="2" t="s">
        <v>6723</v>
      </c>
      <c r="V963" s="2" t="s">
        <v>6724</v>
      </c>
      <c r="W963" s="1"/>
      <c r="X963" s="2" t="s">
        <v>2226</v>
      </c>
      <c r="Y963" s="2" t="s">
        <v>5927</v>
      </c>
      <c r="AA963" t="str">
        <f t="shared" si="84"/>
        <v>2026-03</v>
      </c>
      <c r="AB963" t="str">
        <f t="shared" si="85"/>
        <v>H1_2026</v>
      </c>
      <c r="AC963">
        <f t="shared" si="86"/>
        <v>639448.96</v>
      </c>
      <c r="AD963">
        <f t="shared" si="87"/>
        <v>80</v>
      </c>
      <c r="AE963">
        <f t="shared" si="88"/>
        <v>118648.96000000001</v>
      </c>
      <c r="AF963" t="str">
        <f t="shared" si="89"/>
        <v>Paid</v>
      </c>
    </row>
    <row r="964" spans="1:32" ht="17.25" thickBot="1" x14ac:dyDescent="0.35">
      <c r="A964" s="2" t="s">
        <v>6725</v>
      </c>
      <c r="B964" s="2" t="s">
        <v>27</v>
      </c>
      <c r="C964" s="2" t="s">
        <v>28</v>
      </c>
      <c r="D964" s="2" t="s">
        <v>97</v>
      </c>
      <c r="E964" s="2" t="s">
        <v>5922</v>
      </c>
      <c r="F964" s="2" t="s">
        <v>99</v>
      </c>
      <c r="G964" s="2" t="s">
        <v>32</v>
      </c>
      <c r="H964" s="1"/>
      <c r="I964" s="2" t="s">
        <v>33</v>
      </c>
      <c r="J964" s="2" t="s">
        <v>34</v>
      </c>
      <c r="K964" s="2" t="s">
        <v>1429</v>
      </c>
      <c r="L964" s="2" t="s">
        <v>1430</v>
      </c>
      <c r="M964" s="2" t="s">
        <v>84</v>
      </c>
      <c r="N964" s="2" t="s">
        <v>38</v>
      </c>
      <c r="O964" s="2" t="s">
        <v>773</v>
      </c>
      <c r="P964" s="2" t="s">
        <v>6125</v>
      </c>
      <c r="Q964" s="2" t="s">
        <v>6726</v>
      </c>
      <c r="R964" s="2" t="s">
        <v>40</v>
      </c>
      <c r="S964" s="2" t="s">
        <v>6727</v>
      </c>
      <c r="T964" s="2" t="s">
        <v>1434</v>
      </c>
      <c r="U964" s="2" t="s">
        <v>6728</v>
      </c>
      <c r="V964" s="2" t="s">
        <v>6729</v>
      </c>
      <c r="W964" s="1"/>
      <c r="X964" s="2" t="s">
        <v>6730</v>
      </c>
      <c r="Y964" s="2" t="s">
        <v>5927</v>
      </c>
      <c r="AA964" t="str">
        <f t="shared" ref="AA964:AA1027" si="90">LEFT(E964,7)</f>
        <v>2026-03</v>
      </c>
      <c r="AB964" t="str">
        <f t="shared" ref="AB964:AB1027" si="91">IF(AND($AA964&gt;="2025-01",$AA964&lt;="2025-06"),"H1_2025",IF(AND($AA964&gt;="2026-01",$AA964&lt;="2026-06"),"H1_2026",""))</f>
        <v>H1_2026</v>
      </c>
      <c r="AC964">
        <f t="shared" ref="AC964:AC1027" si="92">IFERROR(VALUE(SUBSTITUTE(S964,",","")),0)</f>
        <v>2400819.2000000002</v>
      </c>
      <c r="AD964">
        <f t="shared" ref="AD964:AD1027" si="93">IFERROR(VALUE(SUBSTITUTE(O964,",","")),0)</f>
        <v>200</v>
      </c>
      <c r="AE964">
        <f t="shared" ref="AE964:AE1027" si="94">IFERROR(VALUE(SUBSTITUTE(V964,",","")),0)</f>
        <v>320819.20000000001</v>
      </c>
      <c r="AF964" t="str">
        <f t="shared" ref="AF964:AF1027" si="95">IF(ISNUMBER(SEARCH("FOC",W964)),"FOC",IF(ISNUMBER(SEARCH("샘플",W964)),"Sample","Paid"))</f>
        <v>Paid</v>
      </c>
    </row>
    <row r="965" spans="1:32" ht="17.25" thickBot="1" x14ac:dyDescent="0.35">
      <c r="A965" s="2" t="s">
        <v>5212</v>
      </c>
      <c r="B965" s="2" t="s">
        <v>27</v>
      </c>
      <c r="C965" s="2" t="s">
        <v>28</v>
      </c>
      <c r="D965" s="2" t="s">
        <v>97</v>
      </c>
      <c r="E965" s="2" t="s">
        <v>5922</v>
      </c>
      <c r="F965" s="2" t="s">
        <v>99</v>
      </c>
      <c r="G965" s="2" t="s">
        <v>32</v>
      </c>
      <c r="H965" s="1"/>
      <c r="I965" s="2" t="s">
        <v>33</v>
      </c>
      <c r="J965" s="2" t="s">
        <v>34</v>
      </c>
      <c r="K965" s="2" t="s">
        <v>1439</v>
      </c>
      <c r="L965" s="2" t="s">
        <v>1440</v>
      </c>
      <c r="M965" s="2" t="s">
        <v>84</v>
      </c>
      <c r="N965" s="2" t="s">
        <v>38</v>
      </c>
      <c r="O965" s="2" t="s">
        <v>849</v>
      </c>
      <c r="P965" s="2" t="s">
        <v>2744</v>
      </c>
      <c r="Q965" s="2" t="s">
        <v>6731</v>
      </c>
      <c r="R965" s="2" t="s">
        <v>40</v>
      </c>
      <c r="S965" s="2" t="s">
        <v>6732</v>
      </c>
      <c r="T965" s="2" t="s">
        <v>1444</v>
      </c>
      <c r="U965" s="2" t="s">
        <v>6733</v>
      </c>
      <c r="V965" s="2" t="s">
        <v>6734</v>
      </c>
      <c r="W965" s="1"/>
      <c r="X965" s="2" t="s">
        <v>6735</v>
      </c>
      <c r="Y965" s="2" t="s">
        <v>5927</v>
      </c>
      <c r="AA965" t="str">
        <f t="shared" si="90"/>
        <v>2026-03</v>
      </c>
      <c r="AB965" t="str">
        <f t="shared" si="91"/>
        <v>H1_2026</v>
      </c>
      <c r="AC965">
        <f t="shared" si="92"/>
        <v>960327.68000000005</v>
      </c>
      <c r="AD965">
        <f t="shared" si="93"/>
        <v>160</v>
      </c>
      <c r="AE965">
        <f t="shared" si="94"/>
        <v>86727.679999999993</v>
      </c>
      <c r="AF965" t="str">
        <f t="shared" si="95"/>
        <v>Paid</v>
      </c>
    </row>
    <row r="966" spans="1:32" ht="17.25" thickBot="1" x14ac:dyDescent="0.35">
      <c r="A966" s="2" t="s">
        <v>6736</v>
      </c>
      <c r="B966" s="2" t="s">
        <v>27</v>
      </c>
      <c r="C966" s="2" t="s">
        <v>28</v>
      </c>
      <c r="D966" s="2" t="s">
        <v>97</v>
      </c>
      <c r="E966" s="2" t="s">
        <v>5922</v>
      </c>
      <c r="F966" s="2" t="s">
        <v>99</v>
      </c>
      <c r="G966" s="2" t="s">
        <v>32</v>
      </c>
      <c r="H966" s="1"/>
      <c r="I966" s="2" t="s">
        <v>33</v>
      </c>
      <c r="J966" s="2" t="s">
        <v>34</v>
      </c>
      <c r="K966" s="2" t="s">
        <v>1448</v>
      </c>
      <c r="L966" s="2" t="s">
        <v>1449</v>
      </c>
      <c r="M966" s="2" t="s">
        <v>84</v>
      </c>
      <c r="N966" s="2" t="s">
        <v>38</v>
      </c>
      <c r="O966" s="2" t="s">
        <v>6737</v>
      </c>
      <c r="P966" s="2" t="s">
        <v>6738</v>
      </c>
      <c r="Q966" s="2" t="s">
        <v>6739</v>
      </c>
      <c r="R966" s="2" t="s">
        <v>40</v>
      </c>
      <c r="S966" s="2" t="s">
        <v>6740</v>
      </c>
      <c r="T966" s="2" t="s">
        <v>1454</v>
      </c>
      <c r="U966" s="2" t="s">
        <v>6741</v>
      </c>
      <c r="V966" s="2" t="s">
        <v>6742</v>
      </c>
      <c r="W966" s="1"/>
      <c r="X966" s="2" t="s">
        <v>6743</v>
      </c>
      <c r="Y966" s="2" t="s">
        <v>5927</v>
      </c>
      <c r="AA966" t="str">
        <f t="shared" si="90"/>
        <v>2026-03</v>
      </c>
      <c r="AB966" t="str">
        <f t="shared" si="91"/>
        <v>H1_2026</v>
      </c>
      <c r="AC966">
        <f t="shared" si="92"/>
        <v>3718672.72</v>
      </c>
      <c r="AD966">
        <f t="shared" si="93"/>
        <v>980</v>
      </c>
      <c r="AE966">
        <f t="shared" si="94"/>
        <v>220072.72</v>
      </c>
      <c r="AF966" t="str">
        <f t="shared" si="95"/>
        <v>Paid</v>
      </c>
    </row>
    <row r="967" spans="1:32" ht="17.25" thickBot="1" x14ac:dyDescent="0.35">
      <c r="A967" s="2" t="s">
        <v>6744</v>
      </c>
      <c r="B967" s="2" t="s">
        <v>27</v>
      </c>
      <c r="C967" s="2" t="s">
        <v>28</v>
      </c>
      <c r="D967" s="2" t="s">
        <v>97</v>
      </c>
      <c r="E967" s="2" t="s">
        <v>5922</v>
      </c>
      <c r="F967" s="2" t="s">
        <v>99</v>
      </c>
      <c r="G967" s="2" t="s">
        <v>32</v>
      </c>
      <c r="H967" s="1"/>
      <c r="I967" s="2" t="s">
        <v>33</v>
      </c>
      <c r="J967" s="2" t="s">
        <v>34</v>
      </c>
      <c r="K967" s="2" t="s">
        <v>6745</v>
      </c>
      <c r="L967" s="2" t="s">
        <v>6746</v>
      </c>
      <c r="M967" s="2" t="s">
        <v>84</v>
      </c>
      <c r="N967" s="2" t="s">
        <v>38</v>
      </c>
      <c r="O967" s="2" t="s">
        <v>214</v>
      </c>
      <c r="P967" s="2" t="s">
        <v>6747</v>
      </c>
      <c r="Q967" s="2" t="s">
        <v>6748</v>
      </c>
      <c r="R967" s="2" t="s">
        <v>40</v>
      </c>
      <c r="S967" s="2" t="s">
        <v>6749</v>
      </c>
      <c r="T967" s="2" t="s">
        <v>706</v>
      </c>
      <c r="U967" s="2" t="s">
        <v>6750</v>
      </c>
      <c r="V967" s="2" t="s">
        <v>6751</v>
      </c>
      <c r="W967" s="1"/>
      <c r="X967" s="2" t="s">
        <v>3037</v>
      </c>
      <c r="Y967" s="2" t="s">
        <v>5927</v>
      </c>
      <c r="AA967" t="str">
        <f t="shared" si="90"/>
        <v>2026-03</v>
      </c>
      <c r="AB967" t="str">
        <f t="shared" si="91"/>
        <v>H1_2026</v>
      </c>
      <c r="AC967">
        <f t="shared" si="92"/>
        <v>639881.80000000005</v>
      </c>
      <c r="AD967">
        <f t="shared" si="93"/>
        <v>50</v>
      </c>
      <c r="AE967">
        <f t="shared" si="94"/>
        <v>219881.8</v>
      </c>
      <c r="AF967" t="str">
        <f t="shared" si="95"/>
        <v>Paid</v>
      </c>
    </row>
    <row r="968" spans="1:32" ht="17.25" thickBot="1" x14ac:dyDescent="0.35">
      <c r="A968" s="2" t="s">
        <v>6752</v>
      </c>
      <c r="B968" s="2" t="s">
        <v>27</v>
      </c>
      <c r="C968" s="2" t="s">
        <v>28</v>
      </c>
      <c r="D968" s="2" t="s">
        <v>97</v>
      </c>
      <c r="E968" s="2" t="s">
        <v>5922</v>
      </c>
      <c r="F968" s="2" t="s">
        <v>99</v>
      </c>
      <c r="G968" s="2" t="s">
        <v>32</v>
      </c>
      <c r="H968" s="1"/>
      <c r="I968" s="2" t="s">
        <v>33</v>
      </c>
      <c r="J968" s="2" t="s">
        <v>34</v>
      </c>
      <c r="K968" s="2" t="s">
        <v>4528</v>
      </c>
      <c r="L968" s="2" t="s">
        <v>4529</v>
      </c>
      <c r="M968" s="2" t="s">
        <v>84</v>
      </c>
      <c r="N968" s="2" t="s">
        <v>38</v>
      </c>
      <c r="O968" s="2" t="s">
        <v>552</v>
      </c>
      <c r="P968" s="2" t="s">
        <v>6747</v>
      </c>
      <c r="Q968" s="2" t="s">
        <v>6753</v>
      </c>
      <c r="R968" s="2" t="s">
        <v>40</v>
      </c>
      <c r="S968" s="2" t="s">
        <v>6754</v>
      </c>
      <c r="T968" s="2" t="s">
        <v>4531</v>
      </c>
      <c r="U968" s="2" t="s">
        <v>6755</v>
      </c>
      <c r="V968" s="2" t="s">
        <v>6756</v>
      </c>
      <c r="W968" s="1"/>
      <c r="X968" s="2" t="s">
        <v>6757</v>
      </c>
      <c r="Y968" s="2" t="s">
        <v>5927</v>
      </c>
      <c r="AA968" t="str">
        <f t="shared" si="90"/>
        <v>2026-03</v>
      </c>
      <c r="AB968" t="str">
        <f t="shared" si="91"/>
        <v>H1_2026</v>
      </c>
      <c r="AC968">
        <f t="shared" si="92"/>
        <v>10494061.52</v>
      </c>
      <c r="AD968">
        <f t="shared" si="93"/>
        <v>820</v>
      </c>
      <c r="AE968">
        <f t="shared" si="94"/>
        <v>2786061.52</v>
      </c>
      <c r="AF968" t="str">
        <f t="shared" si="95"/>
        <v>Paid</v>
      </c>
    </row>
    <row r="969" spans="1:32" ht="17.25" thickBot="1" x14ac:dyDescent="0.35">
      <c r="A969" s="2" t="s">
        <v>6758</v>
      </c>
      <c r="B969" s="2" t="s">
        <v>27</v>
      </c>
      <c r="C969" s="2" t="s">
        <v>28</v>
      </c>
      <c r="D969" s="2" t="s">
        <v>97</v>
      </c>
      <c r="E969" s="2" t="s">
        <v>5922</v>
      </c>
      <c r="F969" s="2" t="s">
        <v>99</v>
      </c>
      <c r="G969" s="2" t="s">
        <v>32</v>
      </c>
      <c r="H969" s="1"/>
      <c r="I969" s="2" t="s">
        <v>33</v>
      </c>
      <c r="J969" s="2" t="s">
        <v>34</v>
      </c>
      <c r="K969" s="2" t="s">
        <v>1459</v>
      </c>
      <c r="L969" s="2" t="s">
        <v>1460</v>
      </c>
      <c r="M969" s="2" t="s">
        <v>84</v>
      </c>
      <c r="N969" s="2" t="s">
        <v>38</v>
      </c>
      <c r="O969" s="2" t="s">
        <v>1150</v>
      </c>
      <c r="P969" s="2" t="s">
        <v>4453</v>
      </c>
      <c r="Q969" s="2" t="s">
        <v>6759</v>
      </c>
      <c r="R969" s="2" t="s">
        <v>40</v>
      </c>
      <c r="S969" s="2" t="s">
        <v>6760</v>
      </c>
      <c r="T969" s="2" t="s">
        <v>1417</v>
      </c>
      <c r="U969" s="2" t="s">
        <v>6761</v>
      </c>
      <c r="V969" s="2" t="s">
        <v>6762</v>
      </c>
      <c r="W969" s="1"/>
      <c r="X969" s="2" t="s">
        <v>4859</v>
      </c>
      <c r="Y969" s="2" t="s">
        <v>5927</v>
      </c>
      <c r="AA969" t="str">
        <f t="shared" si="90"/>
        <v>2026-03</v>
      </c>
      <c r="AB969" t="str">
        <f t="shared" si="91"/>
        <v>H1_2026</v>
      </c>
      <c r="AC969">
        <f t="shared" si="92"/>
        <v>1455496.64</v>
      </c>
      <c r="AD969">
        <f t="shared" si="93"/>
        <v>130</v>
      </c>
      <c r="AE969">
        <f t="shared" si="94"/>
        <v>567596.64</v>
      </c>
      <c r="AF969" t="str">
        <f t="shared" si="95"/>
        <v>Paid</v>
      </c>
    </row>
    <row r="970" spans="1:32" ht="17.25" thickBot="1" x14ac:dyDescent="0.35">
      <c r="A970" s="2" t="s">
        <v>6763</v>
      </c>
      <c r="B970" s="2" t="s">
        <v>27</v>
      </c>
      <c r="C970" s="2" t="s">
        <v>28</v>
      </c>
      <c r="D970" s="2" t="s">
        <v>97</v>
      </c>
      <c r="E970" s="2" t="s">
        <v>5922</v>
      </c>
      <c r="F970" s="2" t="s">
        <v>99</v>
      </c>
      <c r="G970" s="2" t="s">
        <v>32</v>
      </c>
      <c r="H970" s="1"/>
      <c r="I970" s="2" t="s">
        <v>33</v>
      </c>
      <c r="J970" s="2" t="s">
        <v>34</v>
      </c>
      <c r="K970" s="2" t="s">
        <v>1505</v>
      </c>
      <c r="L970" s="2" t="s">
        <v>1506</v>
      </c>
      <c r="M970" s="2" t="s">
        <v>84</v>
      </c>
      <c r="N970" s="2" t="s">
        <v>38</v>
      </c>
      <c r="O970" s="2" t="s">
        <v>6764</v>
      </c>
      <c r="P970" s="2" t="s">
        <v>6765</v>
      </c>
      <c r="Q970" s="2" t="s">
        <v>6766</v>
      </c>
      <c r="R970" s="2" t="s">
        <v>40</v>
      </c>
      <c r="S970" s="2" t="s">
        <v>6767</v>
      </c>
      <c r="T970" s="2" t="s">
        <v>1417</v>
      </c>
      <c r="U970" s="2" t="s">
        <v>6768</v>
      </c>
      <c r="V970" s="2" t="s">
        <v>6769</v>
      </c>
      <c r="W970" s="1"/>
      <c r="X970" s="2" t="s">
        <v>6770</v>
      </c>
      <c r="Y970" s="2" t="s">
        <v>5927</v>
      </c>
      <c r="AA970" t="str">
        <f t="shared" si="90"/>
        <v>2026-03</v>
      </c>
      <c r="AB970" t="str">
        <f t="shared" si="91"/>
        <v>H1_2026</v>
      </c>
      <c r="AC970">
        <f t="shared" si="92"/>
        <v>41012455.68</v>
      </c>
      <c r="AD970">
        <f t="shared" si="93"/>
        <v>4320</v>
      </c>
      <c r="AE970">
        <f t="shared" si="94"/>
        <v>11506855.68</v>
      </c>
      <c r="AF970" t="str">
        <f t="shared" si="95"/>
        <v>Paid</v>
      </c>
    </row>
    <row r="971" spans="1:32" ht="17.25" thickBot="1" x14ac:dyDescent="0.35">
      <c r="A971" s="2" t="s">
        <v>6771</v>
      </c>
      <c r="B971" s="2" t="s">
        <v>27</v>
      </c>
      <c r="C971" s="2" t="s">
        <v>28</v>
      </c>
      <c r="D971" s="2" t="s">
        <v>97</v>
      </c>
      <c r="E971" s="2" t="s">
        <v>6772</v>
      </c>
      <c r="F971" s="2" t="s">
        <v>99</v>
      </c>
      <c r="G971" s="2" t="s">
        <v>32</v>
      </c>
      <c r="H971" s="1"/>
      <c r="I971" s="2" t="s">
        <v>33</v>
      </c>
      <c r="J971" s="2" t="s">
        <v>34</v>
      </c>
      <c r="K971" s="2" t="s">
        <v>6773</v>
      </c>
      <c r="L971" s="2" t="s">
        <v>6774</v>
      </c>
      <c r="M971" s="2" t="s">
        <v>772</v>
      </c>
      <c r="N971" s="2" t="s">
        <v>38</v>
      </c>
      <c r="O971" s="2" t="s">
        <v>773</v>
      </c>
      <c r="P971" s="2" t="s">
        <v>6775</v>
      </c>
      <c r="Q971" s="2" t="s">
        <v>6776</v>
      </c>
      <c r="R971" s="2" t="s">
        <v>40</v>
      </c>
      <c r="S971" s="2" t="s">
        <v>6777</v>
      </c>
      <c r="T971" s="2" t="s">
        <v>5027</v>
      </c>
      <c r="U971" s="2" t="s">
        <v>6778</v>
      </c>
      <c r="V971" s="2" t="s">
        <v>6779</v>
      </c>
      <c r="W971" s="1"/>
      <c r="X971" s="2" t="s">
        <v>838</v>
      </c>
      <c r="Y971" s="2" t="s">
        <v>6780</v>
      </c>
      <c r="AA971" t="str">
        <f t="shared" si="90"/>
        <v>2026-03</v>
      </c>
      <c r="AB971" t="str">
        <f t="shared" si="91"/>
        <v>H1_2026</v>
      </c>
      <c r="AC971">
        <f t="shared" si="92"/>
        <v>28439737.800000001</v>
      </c>
      <c r="AD971">
        <f t="shared" si="93"/>
        <v>200</v>
      </c>
      <c r="AE971">
        <f t="shared" si="94"/>
        <v>5939737.7999999998</v>
      </c>
      <c r="AF971" t="str">
        <f t="shared" si="95"/>
        <v>Paid</v>
      </c>
    </row>
    <row r="972" spans="1:32" ht="17.25" thickBot="1" x14ac:dyDescent="0.35">
      <c r="A972" s="2" t="s">
        <v>6781</v>
      </c>
      <c r="B972" s="2" t="s">
        <v>27</v>
      </c>
      <c r="C972" s="2" t="s">
        <v>28</v>
      </c>
      <c r="D972" s="2" t="s">
        <v>97</v>
      </c>
      <c r="E972" s="2" t="s">
        <v>6782</v>
      </c>
      <c r="F972" s="2" t="s">
        <v>99</v>
      </c>
      <c r="G972" s="2" t="s">
        <v>32</v>
      </c>
      <c r="H972" s="1"/>
      <c r="I972" s="2" t="s">
        <v>33</v>
      </c>
      <c r="J972" s="2" t="s">
        <v>34</v>
      </c>
      <c r="K972" s="2" t="s">
        <v>6783</v>
      </c>
      <c r="L972" s="2" t="s">
        <v>6784</v>
      </c>
      <c r="M972" s="2" t="s">
        <v>6785</v>
      </c>
      <c r="N972" s="2" t="s">
        <v>38</v>
      </c>
      <c r="O972" s="2" t="s">
        <v>79</v>
      </c>
      <c r="P972" s="2" t="s">
        <v>1351</v>
      </c>
      <c r="Q972" s="2" t="s">
        <v>6786</v>
      </c>
      <c r="R972" s="2" t="s">
        <v>40</v>
      </c>
      <c r="S972" s="2" t="s">
        <v>6787</v>
      </c>
      <c r="T972" s="2" t="s">
        <v>2383</v>
      </c>
      <c r="U972" s="2" t="s">
        <v>6788</v>
      </c>
      <c r="V972" s="2" t="s">
        <v>6789</v>
      </c>
      <c r="W972" s="1"/>
      <c r="X972" s="2" t="s">
        <v>6790</v>
      </c>
      <c r="Y972" s="2" t="s">
        <v>6791</v>
      </c>
      <c r="AA972" t="str">
        <f t="shared" si="90"/>
        <v>2026-03</v>
      </c>
      <c r="AB972" t="str">
        <f t="shared" si="91"/>
        <v>H1_2026</v>
      </c>
      <c r="AC972">
        <f t="shared" si="92"/>
        <v>62588.160000000003</v>
      </c>
      <c r="AD972">
        <f t="shared" si="93"/>
        <v>10</v>
      </c>
      <c r="AE972">
        <f t="shared" si="94"/>
        <v>13497.25</v>
      </c>
      <c r="AF972" t="str">
        <f t="shared" si="95"/>
        <v>Paid</v>
      </c>
    </row>
    <row r="973" spans="1:32" ht="17.25" thickBot="1" x14ac:dyDescent="0.35">
      <c r="A973" s="2" t="s">
        <v>6792</v>
      </c>
      <c r="B973" s="2" t="s">
        <v>27</v>
      </c>
      <c r="C973" s="2" t="s">
        <v>28</v>
      </c>
      <c r="D973" s="2" t="s">
        <v>97</v>
      </c>
      <c r="E973" s="2" t="s">
        <v>6782</v>
      </c>
      <c r="F973" s="2" t="s">
        <v>99</v>
      </c>
      <c r="G973" s="2" t="s">
        <v>32</v>
      </c>
      <c r="H973" s="1"/>
      <c r="I973" s="2" t="s">
        <v>33</v>
      </c>
      <c r="J973" s="2" t="s">
        <v>34</v>
      </c>
      <c r="K973" s="2" t="s">
        <v>6793</v>
      </c>
      <c r="L973" s="2" t="s">
        <v>6794</v>
      </c>
      <c r="M973" s="2" t="s">
        <v>6785</v>
      </c>
      <c r="N973" s="2" t="s">
        <v>38</v>
      </c>
      <c r="O973" s="2" t="s">
        <v>141</v>
      </c>
      <c r="P973" s="2" t="s">
        <v>5246</v>
      </c>
      <c r="Q973" s="2" t="s">
        <v>6795</v>
      </c>
      <c r="R973" s="2" t="s">
        <v>40</v>
      </c>
      <c r="S973" s="2" t="s">
        <v>6796</v>
      </c>
      <c r="T973" s="2" t="s">
        <v>6797</v>
      </c>
      <c r="U973" s="2" t="s">
        <v>6798</v>
      </c>
      <c r="V973" s="2" t="s">
        <v>6799</v>
      </c>
      <c r="W973" s="1"/>
      <c r="X973" s="2" t="s">
        <v>6800</v>
      </c>
      <c r="Y973" s="2" t="s">
        <v>6791</v>
      </c>
      <c r="AA973" t="str">
        <f t="shared" si="90"/>
        <v>2026-03</v>
      </c>
      <c r="AB973" t="str">
        <f t="shared" si="91"/>
        <v>H1_2026</v>
      </c>
      <c r="AC973">
        <f t="shared" si="92"/>
        <v>319895.03999999998</v>
      </c>
      <c r="AD973">
        <f t="shared" si="93"/>
        <v>30</v>
      </c>
      <c r="AE973">
        <f t="shared" si="94"/>
        <v>114258.68</v>
      </c>
      <c r="AF973" t="str">
        <f t="shared" si="95"/>
        <v>Paid</v>
      </c>
    </row>
    <row r="974" spans="1:32" ht="17.25" thickBot="1" x14ac:dyDescent="0.35">
      <c r="A974" s="2" t="s">
        <v>6801</v>
      </c>
      <c r="B974" s="2" t="s">
        <v>27</v>
      </c>
      <c r="C974" s="2" t="s">
        <v>28</v>
      </c>
      <c r="D974" s="2" t="s">
        <v>97</v>
      </c>
      <c r="E974" s="2" t="s">
        <v>6782</v>
      </c>
      <c r="F974" s="2" t="s">
        <v>99</v>
      </c>
      <c r="G974" s="2" t="s">
        <v>32</v>
      </c>
      <c r="H974" s="1"/>
      <c r="I974" s="2" t="s">
        <v>33</v>
      </c>
      <c r="J974" s="2" t="s">
        <v>34</v>
      </c>
      <c r="K974" s="2" t="s">
        <v>6802</v>
      </c>
      <c r="L974" s="2" t="s">
        <v>6803</v>
      </c>
      <c r="M974" s="2" t="s">
        <v>6785</v>
      </c>
      <c r="N974" s="2" t="s">
        <v>38</v>
      </c>
      <c r="O974" s="2" t="s">
        <v>779</v>
      </c>
      <c r="P974" s="2" t="s">
        <v>6804</v>
      </c>
      <c r="Q974" s="2" t="s">
        <v>6805</v>
      </c>
      <c r="R974" s="2" t="s">
        <v>40</v>
      </c>
      <c r="S974" s="2" t="s">
        <v>6806</v>
      </c>
      <c r="T974" s="2" t="s">
        <v>6807</v>
      </c>
      <c r="U974" s="2" t="s">
        <v>6808</v>
      </c>
      <c r="V974" s="2" t="s">
        <v>6809</v>
      </c>
      <c r="W974" s="1"/>
      <c r="X974" s="2" t="s">
        <v>2188</v>
      </c>
      <c r="Y974" s="2" t="s">
        <v>6791</v>
      </c>
      <c r="AA974" t="str">
        <f t="shared" si="90"/>
        <v>2026-03</v>
      </c>
      <c r="AB974" t="str">
        <f t="shared" si="91"/>
        <v>H1_2026</v>
      </c>
      <c r="AC974">
        <f t="shared" si="92"/>
        <v>751057.92000000004</v>
      </c>
      <c r="AD974">
        <f t="shared" si="93"/>
        <v>90</v>
      </c>
      <c r="AE974">
        <f t="shared" si="94"/>
        <v>223330.65</v>
      </c>
      <c r="AF974" t="str">
        <f t="shared" si="95"/>
        <v>Paid</v>
      </c>
    </row>
    <row r="975" spans="1:32" ht="17.25" thickBot="1" x14ac:dyDescent="0.35">
      <c r="A975" s="2" t="s">
        <v>6810</v>
      </c>
      <c r="B975" s="2" t="s">
        <v>27</v>
      </c>
      <c r="C975" s="2" t="s">
        <v>28</v>
      </c>
      <c r="D975" s="2" t="s">
        <v>97</v>
      </c>
      <c r="E975" s="2" t="s">
        <v>6782</v>
      </c>
      <c r="F975" s="2" t="s">
        <v>99</v>
      </c>
      <c r="G975" s="2" t="s">
        <v>32</v>
      </c>
      <c r="H975" s="1"/>
      <c r="I975" s="2" t="s">
        <v>33</v>
      </c>
      <c r="J975" s="2" t="s">
        <v>34</v>
      </c>
      <c r="K975" s="2" t="s">
        <v>6811</v>
      </c>
      <c r="L975" s="2" t="s">
        <v>6812</v>
      </c>
      <c r="M975" s="2" t="s">
        <v>6785</v>
      </c>
      <c r="N975" s="2" t="s">
        <v>38</v>
      </c>
      <c r="O975" s="2" t="s">
        <v>141</v>
      </c>
      <c r="P975" s="2" t="s">
        <v>6813</v>
      </c>
      <c r="Q975" s="2" t="s">
        <v>6650</v>
      </c>
      <c r="R975" s="2" t="s">
        <v>40</v>
      </c>
      <c r="S975" s="2" t="s">
        <v>6814</v>
      </c>
      <c r="T975" s="2" t="s">
        <v>1761</v>
      </c>
      <c r="U975" s="2" t="s">
        <v>6815</v>
      </c>
      <c r="V975" s="2" t="s">
        <v>6816</v>
      </c>
      <c r="W975" s="1"/>
      <c r="X975" s="2" t="s">
        <v>5108</v>
      </c>
      <c r="Y975" s="2" t="s">
        <v>6791</v>
      </c>
      <c r="AA975" t="str">
        <f t="shared" si="90"/>
        <v>2026-03</v>
      </c>
      <c r="AB975" t="str">
        <f t="shared" si="91"/>
        <v>H1_2026</v>
      </c>
      <c r="AC975">
        <f t="shared" si="92"/>
        <v>222535.67999999999</v>
      </c>
      <c r="AD975">
        <f t="shared" si="93"/>
        <v>30</v>
      </c>
      <c r="AE975">
        <f t="shared" si="94"/>
        <v>69808.41</v>
      </c>
      <c r="AF975" t="str">
        <f t="shared" si="95"/>
        <v>Paid</v>
      </c>
    </row>
    <row r="976" spans="1:32" ht="17.25" thickBot="1" x14ac:dyDescent="0.35">
      <c r="A976" s="2" t="s">
        <v>6817</v>
      </c>
      <c r="B976" s="2" t="s">
        <v>27</v>
      </c>
      <c r="C976" s="2" t="s">
        <v>28</v>
      </c>
      <c r="D976" s="2" t="s">
        <v>97</v>
      </c>
      <c r="E976" s="2" t="s">
        <v>6782</v>
      </c>
      <c r="F976" s="2" t="s">
        <v>99</v>
      </c>
      <c r="G976" s="2" t="s">
        <v>32</v>
      </c>
      <c r="H976" s="1"/>
      <c r="I976" s="2" t="s">
        <v>33</v>
      </c>
      <c r="J976" s="2" t="s">
        <v>34</v>
      </c>
      <c r="K976" s="2" t="s">
        <v>6818</v>
      </c>
      <c r="L976" s="2" t="s">
        <v>6819</v>
      </c>
      <c r="M976" s="2" t="s">
        <v>6820</v>
      </c>
      <c r="N976" s="2" t="s">
        <v>38</v>
      </c>
      <c r="O976" s="2" t="s">
        <v>4038</v>
      </c>
      <c r="P976" s="2" t="s">
        <v>880</v>
      </c>
      <c r="Q976" s="2" t="s">
        <v>6821</v>
      </c>
      <c r="R976" s="2" t="s">
        <v>40</v>
      </c>
      <c r="S976" s="2" t="s">
        <v>6822</v>
      </c>
      <c r="T976" s="2" t="s">
        <v>6823</v>
      </c>
      <c r="U976" s="2" t="s">
        <v>6824</v>
      </c>
      <c r="V976" s="2" t="s">
        <v>6825</v>
      </c>
      <c r="W976" s="1"/>
      <c r="X976" s="2" t="s">
        <v>1195</v>
      </c>
      <c r="Y976" s="2" t="s">
        <v>6791</v>
      </c>
      <c r="AA976" t="str">
        <f t="shared" si="90"/>
        <v>2026-03</v>
      </c>
      <c r="AB976" t="str">
        <f t="shared" si="91"/>
        <v>H1_2026</v>
      </c>
      <c r="AC976">
        <f t="shared" si="92"/>
        <v>20449812</v>
      </c>
      <c r="AD976">
        <f t="shared" si="93"/>
        <v>1500</v>
      </c>
      <c r="AE976">
        <f t="shared" si="94"/>
        <v>3049812</v>
      </c>
      <c r="AF976" t="str">
        <f t="shared" si="95"/>
        <v>Paid</v>
      </c>
    </row>
    <row r="977" spans="1:32" ht="17.25" thickBot="1" x14ac:dyDescent="0.35">
      <c r="A977" s="2" t="s">
        <v>6826</v>
      </c>
      <c r="B977" s="2" t="s">
        <v>27</v>
      </c>
      <c r="C977" s="2" t="s">
        <v>28</v>
      </c>
      <c r="D977" s="2" t="s">
        <v>97</v>
      </c>
      <c r="E977" s="2" t="s">
        <v>6782</v>
      </c>
      <c r="F977" s="2" t="s">
        <v>99</v>
      </c>
      <c r="G977" s="2" t="s">
        <v>32</v>
      </c>
      <c r="H977" s="1"/>
      <c r="I977" s="2" t="s">
        <v>33</v>
      </c>
      <c r="J977" s="2" t="s">
        <v>34</v>
      </c>
      <c r="K977" s="2" t="s">
        <v>6827</v>
      </c>
      <c r="L977" s="2" t="s">
        <v>6828</v>
      </c>
      <c r="M977" s="2" t="s">
        <v>4544</v>
      </c>
      <c r="N977" s="2" t="s">
        <v>38</v>
      </c>
      <c r="O977" s="2" t="s">
        <v>391</v>
      </c>
      <c r="P977" s="2" t="s">
        <v>1133</v>
      </c>
      <c r="Q977" s="2" t="s">
        <v>6829</v>
      </c>
      <c r="R977" s="2" t="s">
        <v>40</v>
      </c>
      <c r="S977" s="2" t="s">
        <v>6830</v>
      </c>
      <c r="T977" s="2" t="s">
        <v>6831</v>
      </c>
      <c r="U977" s="2" t="s">
        <v>6832</v>
      </c>
      <c r="V977" s="2" t="s">
        <v>6833</v>
      </c>
      <c r="W977" s="1"/>
      <c r="X977" s="2" t="s">
        <v>3610</v>
      </c>
      <c r="Y977" s="2" t="s">
        <v>6791</v>
      </c>
      <c r="AA977" t="str">
        <f t="shared" si="90"/>
        <v>2026-03</v>
      </c>
      <c r="AB977" t="str">
        <f t="shared" si="91"/>
        <v>H1_2026</v>
      </c>
      <c r="AC977">
        <f t="shared" si="92"/>
        <v>297293.76</v>
      </c>
      <c r="AD977">
        <f t="shared" si="93"/>
        <v>60</v>
      </c>
      <c r="AE977">
        <f t="shared" si="94"/>
        <v>69293.759999999995</v>
      </c>
      <c r="AF977" t="str">
        <f t="shared" si="95"/>
        <v>Paid</v>
      </c>
    </row>
    <row r="978" spans="1:32" ht="17.25" thickBot="1" x14ac:dyDescent="0.35">
      <c r="A978" s="2" t="s">
        <v>6834</v>
      </c>
      <c r="B978" s="2" t="s">
        <v>27</v>
      </c>
      <c r="C978" s="2" t="s">
        <v>28</v>
      </c>
      <c r="D978" s="2" t="s">
        <v>97</v>
      </c>
      <c r="E978" s="2" t="s">
        <v>6782</v>
      </c>
      <c r="F978" s="2" t="s">
        <v>99</v>
      </c>
      <c r="G978" s="2" t="s">
        <v>32</v>
      </c>
      <c r="H978" s="1"/>
      <c r="I978" s="2" t="s">
        <v>33</v>
      </c>
      <c r="J978" s="2" t="s">
        <v>34</v>
      </c>
      <c r="K978" s="2" t="s">
        <v>6835</v>
      </c>
      <c r="L978" s="2" t="s">
        <v>6836</v>
      </c>
      <c r="M978" s="2" t="s">
        <v>4544</v>
      </c>
      <c r="N978" s="2" t="s">
        <v>38</v>
      </c>
      <c r="O978" s="2" t="s">
        <v>466</v>
      </c>
      <c r="P978" s="2" t="s">
        <v>5331</v>
      </c>
      <c r="Q978" s="2" t="s">
        <v>6837</v>
      </c>
      <c r="R978" s="2" t="s">
        <v>40</v>
      </c>
      <c r="S978" s="2" t="s">
        <v>6838</v>
      </c>
      <c r="T978" s="2" t="s">
        <v>669</v>
      </c>
      <c r="U978" s="2" t="s">
        <v>6750</v>
      </c>
      <c r="V978" s="2" t="s">
        <v>6839</v>
      </c>
      <c r="W978" s="1"/>
      <c r="X978" s="2" t="s">
        <v>6840</v>
      </c>
      <c r="Y978" s="2" t="s">
        <v>6791</v>
      </c>
      <c r="AA978" t="str">
        <f t="shared" si="90"/>
        <v>2026-03</v>
      </c>
      <c r="AB978" t="str">
        <f t="shared" si="91"/>
        <v>H1_2026</v>
      </c>
      <c r="AC978">
        <f t="shared" si="92"/>
        <v>637906.64</v>
      </c>
      <c r="AD978">
        <f t="shared" si="93"/>
        <v>70</v>
      </c>
      <c r="AE978">
        <f t="shared" si="94"/>
        <v>217906.64</v>
      </c>
      <c r="AF978" t="str">
        <f t="shared" si="95"/>
        <v>Paid</v>
      </c>
    </row>
    <row r="979" spans="1:32" ht="17.25" thickBot="1" x14ac:dyDescent="0.35">
      <c r="A979" s="2" t="s">
        <v>6841</v>
      </c>
      <c r="B979" s="2" t="s">
        <v>27</v>
      </c>
      <c r="C979" s="2" t="s">
        <v>28</v>
      </c>
      <c r="D979" s="2" t="s">
        <v>97</v>
      </c>
      <c r="E979" s="2" t="s">
        <v>6782</v>
      </c>
      <c r="F979" s="2" t="s">
        <v>99</v>
      </c>
      <c r="G979" s="2" t="s">
        <v>32</v>
      </c>
      <c r="H979" s="1"/>
      <c r="I979" s="2" t="s">
        <v>33</v>
      </c>
      <c r="J979" s="2" t="s">
        <v>34</v>
      </c>
      <c r="K979" s="2" t="s">
        <v>6842</v>
      </c>
      <c r="L979" s="2" t="s">
        <v>6843</v>
      </c>
      <c r="M979" s="2" t="s">
        <v>4544</v>
      </c>
      <c r="N979" s="2" t="s">
        <v>38</v>
      </c>
      <c r="O979" s="2" t="s">
        <v>141</v>
      </c>
      <c r="P979" s="2" t="s">
        <v>6844</v>
      </c>
      <c r="Q979" s="2" t="s">
        <v>6845</v>
      </c>
      <c r="R979" s="2" t="s">
        <v>40</v>
      </c>
      <c r="S979" s="2" t="s">
        <v>6846</v>
      </c>
      <c r="T979" s="2" t="s">
        <v>6847</v>
      </c>
      <c r="U979" s="2" t="s">
        <v>6848</v>
      </c>
      <c r="V979" s="2" t="s">
        <v>6849</v>
      </c>
      <c r="W979" s="1"/>
      <c r="X979" s="2" t="s">
        <v>5779</v>
      </c>
      <c r="Y979" s="2" t="s">
        <v>6791</v>
      </c>
      <c r="AA979" t="str">
        <f t="shared" si="90"/>
        <v>2026-03</v>
      </c>
      <c r="AB979" t="str">
        <f t="shared" si="91"/>
        <v>H1_2026</v>
      </c>
      <c r="AC979">
        <f t="shared" si="92"/>
        <v>169074.96</v>
      </c>
      <c r="AD979">
        <f t="shared" si="93"/>
        <v>30</v>
      </c>
      <c r="AE979">
        <f t="shared" si="94"/>
        <v>46074.96</v>
      </c>
      <c r="AF979" t="str">
        <f t="shared" si="95"/>
        <v>Paid</v>
      </c>
    </row>
    <row r="980" spans="1:32" ht="17.25" thickBot="1" x14ac:dyDescent="0.35">
      <c r="A980" s="2" t="s">
        <v>6850</v>
      </c>
      <c r="B980" s="2" t="s">
        <v>27</v>
      </c>
      <c r="C980" s="2" t="s">
        <v>28</v>
      </c>
      <c r="D980" s="2" t="s">
        <v>97</v>
      </c>
      <c r="E980" s="2" t="s">
        <v>6782</v>
      </c>
      <c r="F980" s="2" t="s">
        <v>99</v>
      </c>
      <c r="G980" s="2" t="s">
        <v>32</v>
      </c>
      <c r="H980" s="1"/>
      <c r="I980" s="2" t="s">
        <v>33</v>
      </c>
      <c r="J980" s="2" t="s">
        <v>34</v>
      </c>
      <c r="K980" s="2" t="s">
        <v>6851</v>
      </c>
      <c r="L980" s="2" t="s">
        <v>6852</v>
      </c>
      <c r="M980" s="2" t="s">
        <v>4544</v>
      </c>
      <c r="N980" s="2" t="s">
        <v>38</v>
      </c>
      <c r="O980" s="2" t="s">
        <v>156</v>
      </c>
      <c r="P980" s="2" t="s">
        <v>6844</v>
      </c>
      <c r="Q980" s="2" t="s">
        <v>3004</v>
      </c>
      <c r="R980" s="2" t="s">
        <v>40</v>
      </c>
      <c r="S980" s="2" t="s">
        <v>6853</v>
      </c>
      <c r="T980" s="2" t="s">
        <v>6847</v>
      </c>
      <c r="U980" s="2" t="s">
        <v>6854</v>
      </c>
      <c r="V980" s="2" t="s">
        <v>6855</v>
      </c>
      <c r="W980" s="1"/>
      <c r="X980" s="2" t="s">
        <v>5779</v>
      </c>
      <c r="Y980" s="2" t="s">
        <v>6791</v>
      </c>
      <c r="AA980" t="str">
        <f t="shared" si="90"/>
        <v>2026-03</v>
      </c>
      <c r="AB980" t="str">
        <f t="shared" si="91"/>
        <v>H1_2026</v>
      </c>
      <c r="AC980">
        <f t="shared" si="92"/>
        <v>112716.64</v>
      </c>
      <c r="AD980">
        <f t="shared" si="93"/>
        <v>20</v>
      </c>
      <c r="AE980">
        <f t="shared" si="94"/>
        <v>30716.639999999999</v>
      </c>
      <c r="AF980" t="str">
        <f t="shared" si="95"/>
        <v>Paid</v>
      </c>
    </row>
    <row r="981" spans="1:32" ht="17.25" thickBot="1" x14ac:dyDescent="0.35">
      <c r="A981" s="2" t="s">
        <v>6856</v>
      </c>
      <c r="B981" s="2" t="s">
        <v>27</v>
      </c>
      <c r="C981" s="2" t="s">
        <v>28</v>
      </c>
      <c r="D981" s="2" t="s">
        <v>97</v>
      </c>
      <c r="E981" s="2" t="s">
        <v>6782</v>
      </c>
      <c r="F981" s="2" t="s">
        <v>99</v>
      </c>
      <c r="G981" s="2" t="s">
        <v>32</v>
      </c>
      <c r="H981" s="1"/>
      <c r="I981" s="2" t="s">
        <v>33</v>
      </c>
      <c r="J981" s="2" t="s">
        <v>34</v>
      </c>
      <c r="K981" s="2" t="s">
        <v>6857</v>
      </c>
      <c r="L981" s="2" t="s">
        <v>6858</v>
      </c>
      <c r="M981" s="2" t="s">
        <v>4544</v>
      </c>
      <c r="N981" s="2" t="s">
        <v>38</v>
      </c>
      <c r="O981" s="2" t="s">
        <v>79</v>
      </c>
      <c r="P981" s="2" t="s">
        <v>4400</v>
      </c>
      <c r="Q981" s="2" t="s">
        <v>6859</v>
      </c>
      <c r="R981" s="2" t="s">
        <v>40</v>
      </c>
      <c r="S981" s="2" t="s">
        <v>6860</v>
      </c>
      <c r="T981" s="2" t="s">
        <v>2206</v>
      </c>
      <c r="U981" s="2" t="s">
        <v>6861</v>
      </c>
      <c r="V981" s="2" t="s">
        <v>6862</v>
      </c>
      <c r="W981" s="1"/>
      <c r="X981" s="2" t="s">
        <v>2797</v>
      </c>
      <c r="Y981" s="2" t="s">
        <v>6791</v>
      </c>
      <c r="AA981" t="str">
        <f t="shared" si="90"/>
        <v>2026-03</v>
      </c>
      <c r="AB981" t="str">
        <f t="shared" si="91"/>
        <v>H1_2026</v>
      </c>
      <c r="AC981">
        <f t="shared" si="92"/>
        <v>98083.76</v>
      </c>
      <c r="AD981">
        <f t="shared" si="93"/>
        <v>10</v>
      </c>
      <c r="AE981">
        <f t="shared" si="94"/>
        <v>20083.759999999998</v>
      </c>
      <c r="AF981" t="str">
        <f t="shared" si="95"/>
        <v>Paid</v>
      </c>
    </row>
    <row r="982" spans="1:32" ht="17.25" thickBot="1" x14ac:dyDescent="0.35">
      <c r="A982" s="2" t="s">
        <v>6737</v>
      </c>
      <c r="B982" s="2" t="s">
        <v>27</v>
      </c>
      <c r="C982" s="2" t="s">
        <v>28</v>
      </c>
      <c r="D982" s="2" t="s">
        <v>97</v>
      </c>
      <c r="E982" s="2" t="s">
        <v>6782</v>
      </c>
      <c r="F982" s="2" t="s">
        <v>99</v>
      </c>
      <c r="G982" s="2" t="s">
        <v>32</v>
      </c>
      <c r="H982" s="1"/>
      <c r="I982" s="2" t="s">
        <v>33</v>
      </c>
      <c r="J982" s="2" t="s">
        <v>34</v>
      </c>
      <c r="K982" s="2" t="s">
        <v>6863</v>
      </c>
      <c r="L982" s="2" t="s">
        <v>6864</v>
      </c>
      <c r="M982" s="2" t="s">
        <v>4544</v>
      </c>
      <c r="N982" s="2" t="s">
        <v>38</v>
      </c>
      <c r="O982" s="2" t="s">
        <v>156</v>
      </c>
      <c r="P982" s="2" t="s">
        <v>6865</v>
      </c>
      <c r="Q982" s="2" t="s">
        <v>6866</v>
      </c>
      <c r="R982" s="2" t="s">
        <v>40</v>
      </c>
      <c r="S982" s="2" t="s">
        <v>6867</v>
      </c>
      <c r="T982" s="2" t="s">
        <v>6868</v>
      </c>
      <c r="U982" s="2" t="s">
        <v>6869</v>
      </c>
      <c r="V982" s="2" t="s">
        <v>6870</v>
      </c>
      <c r="W982" s="1"/>
      <c r="X982" s="2" t="s">
        <v>6871</v>
      </c>
      <c r="Y982" s="2" t="s">
        <v>6791</v>
      </c>
      <c r="AA982" t="str">
        <f t="shared" si="90"/>
        <v>2026-03</v>
      </c>
      <c r="AB982" t="str">
        <f t="shared" si="91"/>
        <v>H1_2026</v>
      </c>
      <c r="AC982">
        <f t="shared" si="92"/>
        <v>217609.76</v>
      </c>
      <c r="AD982">
        <f t="shared" si="93"/>
        <v>20</v>
      </c>
      <c r="AE982">
        <f t="shared" si="94"/>
        <v>60409.760000000002</v>
      </c>
      <c r="AF982" t="str">
        <f t="shared" si="95"/>
        <v>Paid</v>
      </c>
    </row>
    <row r="983" spans="1:32" ht="17.25" thickBot="1" x14ac:dyDescent="0.35">
      <c r="A983" s="2" t="s">
        <v>6872</v>
      </c>
      <c r="B983" s="2" t="s">
        <v>27</v>
      </c>
      <c r="C983" s="2" t="s">
        <v>28</v>
      </c>
      <c r="D983" s="2" t="s">
        <v>97</v>
      </c>
      <c r="E983" s="2" t="s">
        <v>6782</v>
      </c>
      <c r="F983" s="2" t="s">
        <v>99</v>
      </c>
      <c r="G983" s="2" t="s">
        <v>32</v>
      </c>
      <c r="H983" s="1"/>
      <c r="I983" s="2" t="s">
        <v>33</v>
      </c>
      <c r="J983" s="2" t="s">
        <v>34</v>
      </c>
      <c r="K983" s="2" t="s">
        <v>6873</v>
      </c>
      <c r="L983" s="2" t="s">
        <v>6874</v>
      </c>
      <c r="M983" s="2" t="s">
        <v>4544</v>
      </c>
      <c r="N983" s="2" t="s">
        <v>38</v>
      </c>
      <c r="O983" s="2" t="s">
        <v>156</v>
      </c>
      <c r="P983" s="2" t="s">
        <v>1625</v>
      </c>
      <c r="Q983" s="2" t="s">
        <v>6875</v>
      </c>
      <c r="R983" s="2" t="s">
        <v>40</v>
      </c>
      <c r="S983" s="2" t="s">
        <v>6876</v>
      </c>
      <c r="T983" s="2" t="s">
        <v>5426</v>
      </c>
      <c r="U983" s="2" t="s">
        <v>6877</v>
      </c>
      <c r="V983" s="2" t="s">
        <v>6878</v>
      </c>
      <c r="W983" s="1"/>
      <c r="X983" s="2" t="s">
        <v>1052</v>
      </c>
      <c r="Y983" s="2" t="s">
        <v>6791</v>
      </c>
      <c r="AA983" t="str">
        <f t="shared" si="90"/>
        <v>2026-03</v>
      </c>
      <c r="AB983" t="str">
        <f t="shared" si="91"/>
        <v>H1_2026</v>
      </c>
      <c r="AC983">
        <f t="shared" si="92"/>
        <v>211524.8</v>
      </c>
      <c r="AD983">
        <f t="shared" si="93"/>
        <v>20</v>
      </c>
      <c r="AE983">
        <f t="shared" si="94"/>
        <v>53524.800000000003</v>
      </c>
      <c r="AF983" t="str">
        <f t="shared" si="95"/>
        <v>Paid</v>
      </c>
    </row>
    <row r="984" spans="1:32" ht="17.25" thickBot="1" x14ac:dyDescent="0.35">
      <c r="A984" s="2" t="s">
        <v>6597</v>
      </c>
      <c r="B984" s="2" t="s">
        <v>27</v>
      </c>
      <c r="C984" s="2" t="s">
        <v>28</v>
      </c>
      <c r="D984" s="2" t="s">
        <v>97</v>
      </c>
      <c r="E984" s="2" t="s">
        <v>6782</v>
      </c>
      <c r="F984" s="2" t="s">
        <v>99</v>
      </c>
      <c r="G984" s="2" t="s">
        <v>32</v>
      </c>
      <c r="H984" s="1"/>
      <c r="I984" s="2" t="s">
        <v>33</v>
      </c>
      <c r="J984" s="2" t="s">
        <v>34</v>
      </c>
      <c r="K984" s="2" t="s">
        <v>6879</v>
      </c>
      <c r="L984" s="2" t="s">
        <v>6880</v>
      </c>
      <c r="M984" s="2" t="s">
        <v>4544</v>
      </c>
      <c r="N984" s="2" t="s">
        <v>38</v>
      </c>
      <c r="O984" s="2" t="s">
        <v>748</v>
      </c>
      <c r="P984" s="2" t="s">
        <v>4646</v>
      </c>
      <c r="Q984" s="2" t="s">
        <v>6881</v>
      </c>
      <c r="R984" s="2" t="s">
        <v>40</v>
      </c>
      <c r="S984" s="2" t="s">
        <v>6882</v>
      </c>
      <c r="T984" s="2" t="s">
        <v>6883</v>
      </c>
      <c r="U984" s="2" t="s">
        <v>6884</v>
      </c>
      <c r="V984" s="2" t="s">
        <v>6885</v>
      </c>
      <c r="W984" s="1"/>
      <c r="X984" s="2" t="s">
        <v>6886</v>
      </c>
      <c r="Y984" s="2" t="s">
        <v>6791</v>
      </c>
      <c r="AA984" t="str">
        <f t="shared" si="90"/>
        <v>2026-03</v>
      </c>
      <c r="AB984" t="str">
        <f t="shared" si="91"/>
        <v>H1_2026</v>
      </c>
      <c r="AC984">
        <f t="shared" si="92"/>
        <v>2356907.84</v>
      </c>
      <c r="AD984">
        <f t="shared" si="93"/>
        <v>280</v>
      </c>
      <c r="AE984">
        <f t="shared" si="94"/>
        <v>648907.84</v>
      </c>
      <c r="AF984" t="str">
        <f t="shared" si="95"/>
        <v>Paid</v>
      </c>
    </row>
    <row r="985" spans="1:32" ht="17.25" thickBot="1" x14ac:dyDescent="0.35">
      <c r="A985" s="2" t="s">
        <v>6887</v>
      </c>
      <c r="B985" s="2" t="s">
        <v>27</v>
      </c>
      <c r="C985" s="2" t="s">
        <v>28</v>
      </c>
      <c r="D985" s="2" t="s">
        <v>97</v>
      </c>
      <c r="E985" s="2" t="s">
        <v>6782</v>
      </c>
      <c r="F985" s="2" t="s">
        <v>99</v>
      </c>
      <c r="G985" s="2" t="s">
        <v>32</v>
      </c>
      <c r="H985" s="1"/>
      <c r="I985" s="2" t="s">
        <v>33</v>
      </c>
      <c r="J985" s="2" t="s">
        <v>34</v>
      </c>
      <c r="K985" s="2" t="s">
        <v>6888</v>
      </c>
      <c r="L985" s="2" t="s">
        <v>6889</v>
      </c>
      <c r="M985" s="2" t="s">
        <v>4544</v>
      </c>
      <c r="N985" s="2" t="s">
        <v>38</v>
      </c>
      <c r="O985" s="2" t="s">
        <v>877</v>
      </c>
      <c r="P985" s="2" t="s">
        <v>6890</v>
      </c>
      <c r="Q985" s="2" t="s">
        <v>6891</v>
      </c>
      <c r="R985" s="2" t="s">
        <v>40</v>
      </c>
      <c r="S985" s="2" t="s">
        <v>6892</v>
      </c>
      <c r="T985" s="2" t="s">
        <v>267</v>
      </c>
      <c r="U985" s="2" t="s">
        <v>5128</v>
      </c>
      <c r="V985" s="2" t="s">
        <v>6893</v>
      </c>
      <c r="W985" s="1"/>
      <c r="X985" s="2" t="s">
        <v>6894</v>
      </c>
      <c r="Y985" s="2" t="s">
        <v>6791</v>
      </c>
      <c r="AA985" t="str">
        <f t="shared" si="90"/>
        <v>2026-03</v>
      </c>
      <c r="AB985" t="str">
        <f t="shared" si="91"/>
        <v>H1_2026</v>
      </c>
      <c r="AC985">
        <f t="shared" si="92"/>
        <v>930129.6</v>
      </c>
      <c r="AD985">
        <f t="shared" si="93"/>
        <v>100</v>
      </c>
      <c r="AE985">
        <f t="shared" si="94"/>
        <v>270129.59999999998</v>
      </c>
      <c r="AF985" t="str">
        <f t="shared" si="95"/>
        <v>Paid</v>
      </c>
    </row>
    <row r="986" spans="1:32" ht="17.25" thickBot="1" x14ac:dyDescent="0.35">
      <c r="A986" s="2" t="s">
        <v>6895</v>
      </c>
      <c r="B986" s="2" t="s">
        <v>27</v>
      </c>
      <c r="C986" s="2" t="s">
        <v>28</v>
      </c>
      <c r="D986" s="2" t="s">
        <v>97</v>
      </c>
      <c r="E986" s="2" t="s">
        <v>6782</v>
      </c>
      <c r="F986" s="2" t="s">
        <v>99</v>
      </c>
      <c r="G986" s="2" t="s">
        <v>32</v>
      </c>
      <c r="H986" s="1"/>
      <c r="I986" s="2" t="s">
        <v>33</v>
      </c>
      <c r="J986" s="2" t="s">
        <v>34</v>
      </c>
      <c r="K986" s="2" t="s">
        <v>6896</v>
      </c>
      <c r="L986" s="2" t="s">
        <v>6897</v>
      </c>
      <c r="M986" s="2" t="s">
        <v>4544</v>
      </c>
      <c r="N986" s="2" t="s">
        <v>38</v>
      </c>
      <c r="O986" s="2" t="s">
        <v>79</v>
      </c>
      <c r="P986" s="2" t="s">
        <v>6614</v>
      </c>
      <c r="Q986" s="2" t="s">
        <v>6898</v>
      </c>
      <c r="R986" s="2" t="s">
        <v>40</v>
      </c>
      <c r="S986" s="2" t="s">
        <v>6899</v>
      </c>
      <c r="T986" s="2" t="s">
        <v>2275</v>
      </c>
      <c r="U986" s="2" t="s">
        <v>6900</v>
      </c>
      <c r="V986" s="2" t="s">
        <v>6901</v>
      </c>
      <c r="W986" s="1"/>
      <c r="X986" s="2" t="s">
        <v>6902</v>
      </c>
      <c r="Y986" s="2" t="s">
        <v>6791</v>
      </c>
      <c r="AA986" t="str">
        <f t="shared" si="90"/>
        <v>2026-03</v>
      </c>
      <c r="AB986" t="str">
        <f t="shared" si="91"/>
        <v>H1_2026</v>
      </c>
      <c r="AC986">
        <f t="shared" si="92"/>
        <v>59111.040000000001</v>
      </c>
      <c r="AD986">
        <f t="shared" si="93"/>
        <v>10</v>
      </c>
      <c r="AE986">
        <f t="shared" si="94"/>
        <v>14111.04</v>
      </c>
      <c r="AF986" t="str">
        <f t="shared" si="95"/>
        <v>Paid</v>
      </c>
    </row>
    <row r="987" spans="1:32" ht="17.25" thickBot="1" x14ac:dyDescent="0.35">
      <c r="A987" s="2" t="s">
        <v>6903</v>
      </c>
      <c r="B987" s="2" t="s">
        <v>27</v>
      </c>
      <c r="C987" s="2" t="s">
        <v>28</v>
      </c>
      <c r="D987" s="2" t="s">
        <v>97</v>
      </c>
      <c r="E987" s="2" t="s">
        <v>6904</v>
      </c>
      <c r="F987" s="2" t="s">
        <v>99</v>
      </c>
      <c r="G987" s="2" t="s">
        <v>32</v>
      </c>
      <c r="H987" s="1"/>
      <c r="I987" s="2" t="s">
        <v>33</v>
      </c>
      <c r="J987" s="2" t="s">
        <v>34</v>
      </c>
      <c r="K987" s="2" t="s">
        <v>2138</v>
      </c>
      <c r="L987" s="2" t="s">
        <v>2139</v>
      </c>
      <c r="M987" s="2" t="s">
        <v>2140</v>
      </c>
      <c r="N987" s="2" t="s">
        <v>38</v>
      </c>
      <c r="O987" s="2" t="s">
        <v>517</v>
      </c>
      <c r="P987" s="2" t="s">
        <v>6905</v>
      </c>
      <c r="Q987" s="2" t="s">
        <v>6906</v>
      </c>
      <c r="R987" s="2" t="s">
        <v>40</v>
      </c>
      <c r="S987" s="2" t="s">
        <v>6907</v>
      </c>
      <c r="T987" s="2" t="s">
        <v>6908</v>
      </c>
      <c r="U987" s="2" t="s">
        <v>6909</v>
      </c>
      <c r="V987" s="2" t="s">
        <v>6910</v>
      </c>
      <c r="W987" s="1"/>
      <c r="X987" s="2" t="s">
        <v>2939</v>
      </c>
      <c r="Y987" s="2" t="s">
        <v>6911</v>
      </c>
      <c r="AA987" t="str">
        <f t="shared" si="90"/>
        <v>2026-03</v>
      </c>
      <c r="AB987" t="str">
        <f t="shared" si="91"/>
        <v>H1_2026</v>
      </c>
      <c r="AC987">
        <f t="shared" si="92"/>
        <v>1222207.68</v>
      </c>
      <c r="AD987">
        <f t="shared" si="93"/>
        <v>120</v>
      </c>
      <c r="AE987">
        <f t="shared" si="94"/>
        <v>321116.77</v>
      </c>
      <c r="AF987" t="str">
        <f t="shared" si="95"/>
        <v>Paid</v>
      </c>
    </row>
    <row r="988" spans="1:32" ht="17.25" thickBot="1" x14ac:dyDescent="0.35">
      <c r="A988" s="2" t="s">
        <v>6912</v>
      </c>
      <c r="B988" s="2" t="s">
        <v>27</v>
      </c>
      <c r="C988" s="2" t="s">
        <v>28</v>
      </c>
      <c r="D988" s="2" t="s">
        <v>97</v>
      </c>
      <c r="E988" s="2" t="s">
        <v>6904</v>
      </c>
      <c r="F988" s="2" t="s">
        <v>99</v>
      </c>
      <c r="G988" s="2" t="s">
        <v>32</v>
      </c>
      <c r="H988" s="1"/>
      <c r="I988" s="2" t="s">
        <v>33</v>
      </c>
      <c r="J988" s="2" t="s">
        <v>34</v>
      </c>
      <c r="K988" s="2" t="s">
        <v>273</v>
      </c>
      <c r="L988" s="2" t="s">
        <v>274</v>
      </c>
      <c r="M988" s="2" t="s">
        <v>263</v>
      </c>
      <c r="N988" s="2" t="s">
        <v>38</v>
      </c>
      <c r="O988" s="2" t="s">
        <v>79</v>
      </c>
      <c r="P988" s="2" t="s">
        <v>1028</v>
      </c>
      <c r="Q988" s="2" t="s">
        <v>6913</v>
      </c>
      <c r="R988" s="2" t="s">
        <v>40</v>
      </c>
      <c r="S988" s="2" t="s">
        <v>6914</v>
      </c>
      <c r="T988" s="2" t="s">
        <v>267</v>
      </c>
      <c r="U988" s="2" t="s">
        <v>6915</v>
      </c>
      <c r="V988" s="2" t="s">
        <v>6916</v>
      </c>
      <c r="W988" s="1"/>
      <c r="X988" s="2" t="s">
        <v>6917</v>
      </c>
      <c r="Y988" s="2" t="s">
        <v>6911</v>
      </c>
      <c r="AA988" t="str">
        <f t="shared" si="90"/>
        <v>2026-03</v>
      </c>
      <c r="AB988" t="str">
        <f t="shared" si="91"/>
        <v>H1_2026</v>
      </c>
      <c r="AC988">
        <f t="shared" si="92"/>
        <v>92868.08</v>
      </c>
      <c r="AD988">
        <f t="shared" si="93"/>
        <v>10</v>
      </c>
      <c r="AE988">
        <f t="shared" si="94"/>
        <v>26868.080000000002</v>
      </c>
      <c r="AF988" t="str">
        <f t="shared" si="95"/>
        <v>Paid</v>
      </c>
    </row>
    <row r="989" spans="1:32" ht="17.25" thickBot="1" x14ac:dyDescent="0.35">
      <c r="A989" s="2" t="s">
        <v>6918</v>
      </c>
      <c r="B989" s="2" t="s">
        <v>27</v>
      </c>
      <c r="C989" s="2" t="s">
        <v>28</v>
      </c>
      <c r="D989" s="2" t="s">
        <v>97</v>
      </c>
      <c r="E989" s="2" t="s">
        <v>6904</v>
      </c>
      <c r="F989" s="2" t="s">
        <v>99</v>
      </c>
      <c r="G989" s="2" t="s">
        <v>32</v>
      </c>
      <c r="H989" s="1"/>
      <c r="I989" s="2" t="s">
        <v>33</v>
      </c>
      <c r="J989" s="2" t="s">
        <v>34</v>
      </c>
      <c r="K989" s="2" t="s">
        <v>4845</v>
      </c>
      <c r="L989" s="2" t="s">
        <v>4846</v>
      </c>
      <c r="M989" s="2" t="s">
        <v>263</v>
      </c>
      <c r="N989" s="2" t="s">
        <v>38</v>
      </c>
      <c r="O989" s="2" t="s">
        <v>79</v>
      </c>
      <c r="P989" s="2" t="s">
        <v>5272</v>
      </c>
      <c r="Q989" s="2" t="s">
        <v>6919</v>
      </c>
      <c r="R989" s="2" t="s">
        <v>40</v>
      </c>
      <c r="S989" s="2" t="s">
        <v>6920</v>
      </c>
      <c r="T989" s="2" t="s">
        <v>4850</v>
      </c>
      <c r="U989" s="2" t="s">
        <v>6921</v>
      </c>
      <c r="V989" s="2" t="s">
        <v>6922</v>
      </c>
      <c r="W989" s="1"/>
      <c r="X989" s="2" t="s">
        <v>3818</v>
      </c>
      <c r="Y989" s="2" t="s">
        <v>6911</v>
      </c>
      <c r="AA989" t="str">
        <f t="shared" si="90"/>
        <v>2026-03</v>
      </c>
      <c r="AB989" t="str">
        <f t="shared" si="91"/>
        <v>H1_2026</v>
      </c>
      <c r="AC989">
        <f t="shared" si="92"/>
        <v>131551.04000000001</v>
      </c>
      <c r="AD989">
        <f t="shared" si="93"/>
        <v>10</v>
      </c>
      <c r="AE989">
        <f t="shared" si="94"/>
        <v>62821.04</v>
      </c>
      <c r="AF989" t="str">
        <f t="shared" si="95"/>
        <v>Paid</v>
      </c>
    </row>
    <row r="990" spans="1:32" ht="17.25" thickBot="1" x14ac:dyDescent="0.35">
      <c r="A990" s="2" t="s">
        <v>6923</v>
      </c>
      <c r="B990" s="2" t="s">
        <v>27</v>
      </c>
      <c r="C990" s="2" t="s">
        <v>28</v>
      </c>
      <c r="D990" s="2" t="s">
        <v>97</v>
      </c>
      <c r="E990" s="2" t="s">
        <v>6904</v>
      </c>
      <c r="F990" s="2" t="s">
        <v>99</v>
      </c>
      <c r="G990" s="2" t="s">
        <v>32</v>
      </c>
      <c r="H990" s="1"/>
      <c r="I990" s="2" t="s">
        <v>33</v>
      </c>
      <c r="J990" s="2" t="s">
        <v>34</v>
      </c>
      <c r="K990" s="2" t="s">
        <v>334</v>
      </c>
      <c r="L990" s="2" t="s">
        <v>335</v>
      </c>
      <c r="M990" s="2" t="s">
        <v>304</v>
      </c>
      <c r="N990" s="2" t="s">
        <v>38</v>
      </c>
      <c r="O990" s="2" t="s">
        <v>1631</v>
      </c>
      <c r="P990" s="2" t="s">
        <v>6924</v>
      </c>
      <c r="Q990" s="2" t="s">
        <v>6925</v>
      </c>
      <c r="R990" s="2" t="s">
        <v>40</v>
      </c>
      <c r="S990" s="2" t="s">
        <v>6926</v>
      </c>
      <c r="T990" s="2" t="s">
        <v>309</v>
      </c>
      <c r="U990" s="2" t="s">
        <v>6927</v>
      </c>
      <c r="V990" s="2" t="s">
        <v>6928</v>
      </c>
      <c r="W990" s="1"/>
      <c r="X990" s="2" t="s">
        <v>5077</v>
      </c>
      <c r="Y990" s="2" t="s">
        <v>6911</v>
      </c>
      <c r="AA990" t="str">
        <f t="shared" si="90"/>
        <v>2026-03</v>
      </c>
      <c r="AB990" t="str">
        <f t="shared" si="91"/>
        <v>H1_2026</v>
      </c>
      <c r="AC990">
        <f t="shared" si="92"/>
        <v>1692922.8</v>
      </c>
      <c r="AD990">
        <f t="shared" si="93"/>
        <v>190</v>
      </c>
      <c r="AE990">
        <f t="shared" si="94"/>
        <v>218522.8</v>
      </c>
      <c r="AF990" t="str">
        <f t="shared" si="95"/>
        <v>Paid</v>
      </c>
    </row>
    <row r="991" spans="1:32" ht="27.75" thickBot="1" x14ac:dyDescent="0.35">
      <c r="A991" s="2" t="s">
        <v>6929</v>
      </c>
      <c r="B991" s="2" t="s">
        <v>27</v>
      </c>
      <c r="C991" s="2" t="s">
        <v>28</v>
      </c>
      <c r="D991" s="2" t="s">
        <v>97</v>
      </c>
      <c r="E991" s="2" t="s">
        <v>6904</v>
      </c>
      <c r="F991" s="2" t="s">
        <v>99</v>
      </c>
      <c r="G991" s="2" t="s">
        <v>32</v>
      </c>
      <c r="H991" s="1"/>
      <c r="I991" s="2" t="s">
        <v>33</v>
      </c>
      <c r="J991" s="2" t="s">
        <v>34</v>
      </c>
      <c r="K991" s="2" t="s">
        <v>4756</v>
      </c>
      <c r="L991" s="2" t="s">
        <v>4757</v>
      </c>
      <c r="M991" s="2" t="s">
        <v>304</v>
      </c>
      <c r="N991" s="2" t="s">
        <v>38</v>
      </c>
      <c r="O991" s="2" t="s">
        <v>753</v>
      </c>
      <c r="P991" s="2" t="s">
        <v>6930</v>
      </c>
      <c r="Q991" s="2" t="s">
        <v>6931</v>
      </c>
      <c r="R991" s="2" t="s">
        <v>40</v>
      </c>
      <c r="S991" s="2" t="s">
        <v>6932</v>
      </c>
      <c r="T991" s="2" t="s">
        <v>384</v>
      </c>
      <c r="U991" s="2" t="s">
        <v>6933</v>
      </c>
      <c r="V991" s="2" t="s">
        <v>6934</v>
      </c>
      <c r="W991" s="1"/>
      <c r="X991" s="2" t="s">
        <v>444</v>
      </c>
      <c r="Y991" s="2" t="s">
        <v>6911</v>
      </c>
      <c r="AA991" t="str">
        <f t="shared" si="90"/>
        <v>2026-03</v>
      </c>
      <c r="AB991" t="str">
        <f t="shared" si="91"/>
        <v>H1_2026</v>
      </c>
      <c r="AC991">
        <f t="shared" si="92"/>
        <v>192849.77</v>
      </c>
      <c r="AD991">
        <f t="shared" si="93"/>
        <v>87</v>
      </c>
      <c r="AE991">
        <f t="shared" si="94"/>
        <v>24069.77</v>
      </c>
      <c r="AF991" t="str">
        <f t="shared" si="95"/>
        <v>Paid</v>
      </c>
    </row>
    <row r="992" spans="1:32" ht="27.75" thickBot="1" x14ac:dyDescent="0.35">
      <c r="A992" s="2" t="s">
        <v>6935</v>
      </c>
      <c r="B992" s="2" t="s">
        <v>27</v>
      </c>
      <c r="C992" s="2" t="s">
        <v>28</v>
      </c>
      <c r="D992" s="2" t="s">
        <v>97</v>
      </c>
      <c r="E992" s="2" t="s">
        <v>6904</v>
      </c>
      <c r="F992" s="2" t="s">
        <v>99</v>
      </c>
      <c r="G992" s="2" t="s">
        <v>32</v>
      </c>
      <c r="H992" s="1"/>
      <c r="I992" s="2" t="s">
        <v>33</v>
      </c>
      <c r="J992" s="2" t="s">
        <v>34</v>
      </c>
      <c r="K992" s="2" t="s">
        <v>408</v>
      </c>
      <c r="L992" s="2" t="s">
        <v>409</v>
      </c>
      <c r="M992" s="2" t="s">
        <v>304</v>
      </c>
      <c r="N992" s="2" t="s">
        <v>38</v>
      </c>
      <c r="O992" s="2" t="s">
        <v>391</v>
      </c>
      <c r="P992" s="2" t="s">
        <v>6936</v>
      </c>
      <c r="Q992" s="2" t="s">
        <v>6937</v>
      </c>
      <c r="R992" s="2" t="s">
        <v>40</v>
      </c>
      <c r="S992" s="2" t="s">
        <v>6938</v>
      </c>
      <c r="T992" s="2" t="s">
        <v>413</v>
      </c>
      <c r="U992" s="2" t="s">
        <v>414</v>
      </c>
      <c r="V992" s="2" t="s">
        <v>6939</v>
      </c>
      <c r="W992" s="1"/>
      <c r="X992" s="2" t="s">
        <v>444</v>
      </c>
      <c r="Y992" s="2" t="s">
        <v>6911</v>
      </c>
      <c r="AA992" t="str">
        <f t="shared" si="90"/>
        <v>2026-03</v>
      </c>
      <c r="AB992" t="str">
        <f t="shared" si="91"/>
        <v>H1_2026</v>
      </c>
      <c r="AC992">
        <f t="shared" si="92"/>
        <v>949253.76</v>
      </c>
      <c r="AD992">
        <f t="shared" si="93"/>
        <v>60</v>
      </c>
      <c r="AE992">
        <f t="shared" si="94"/>
        <v>118253.75999999999</v>
      </c>
      <c r="AF992" t="str">
        <f t="shared" si="95"/>
        <v>Paid</v>
      </c>
    </row>
    <row r="993" spans="1:32" ht="17.25" thickBot="1" x14ac:dyDescent="0.35">
      <c r="A993" s="2" t="s">
        <v>6940</v>
      </c>
      <c r="B993" s="2" t="s">
        <v>27</v>
      </c>
      <c r="C993" s="2" t="s">
        <v>28</v>
      </c>
      <c r="D993" s="2" t="s">
        <v>97</v>
      </c>
      <c r="E993" s="2" t="s">
        <v>6904</v>
      </c>
      <c r="F993" s="2" t="s">
        <v>99</v>
      </c>
      <c r="G993" s="2" t="s">
        <v>32</v>
      </c>
      <c r="H993" s="1"/>
      <c r="I993" s="2" t="s">
        <v>33</v>
      </c>
      <c r="J993" s="2" t="s">
        <v>34</v>
      </c>
      <c r="K993" s="2" t="s">
        <v>426</v>
      </c>
      <c r="L993" s="2" t="s">
        <v>427</v>
      </c>
      <c r="M993" s="2" t="s">
        <v>304</v>
      </c>
      <c r="N993" s="2" t="s">
        <v>38</v>
      </c>
      <c r="O993" s="2" t="s">
        <v>977</v>
      </c>
      <c r="P993" s="2" t="s">
        <v>811</v>
      </c>
      <c r="Q993" s="2" t="s">
        <v>6941</v>
      </c>
      <c r="R993" s="2" t="s">
        <v>40</v>
      </c>
      <c r="S993" s="2" t="s">
        <v>6942</v>
      </c>
      <c r="T993" s="2" t="s">
        <v>374</v>
      </c>
      <c r="U993" s="2" t="s">
        <v>6943</v>
      </c>
      <c r="V993" s="2" t="s">
        <v>6944</v>
      </c>
      <c r="W993" s="1"/>
      <c r="X993" s="2" t="s">
        <v>3636</v>
      </c>
      <c r="Y993" s="2" t="s">
        <v>6911</v>
      </c>
      <c r="AA993" t="str">
        <f t="shared" si="90"/>
        <v>2026-03</v>
      </c>
      <c r="AB993" t="str">
        <f t="shared" si="91"/>
        <v>H1_2026</v>
      </c>
      <c r="AC993">
        <f t="shared" si="92"/>
        <v>1472560.32</v>
      </c>
      <c r="AD993">
        <f t="shared" si="93"/>
        <v>110</v>
      </c>
      <c r="AE993">
        <f t="shared" si="94"/>
        <v>193260.32</v>
      </c>
      <c r="AF993" t="str">
        <f t="shared" si="95"/>
        <v>Paid</v>
      </c>
    </row>
    <row r="994" spans="1:32" ht="27.75" thickBot="1" x14ac:dyDescent="0.35">
      <c r="A994" s="2" t="s">
        <v>6945</v>
      </c>
      <c r="B994" s="2" t="s">
        <v>27</v>
      </c>
      <c r="C994" s="2" t="s">
        <v>28</v>
      </c>
      <c r="D994" s="2" t="s">
        <v>97</v>
      </c>
      <c r="E994" s="2" t="s">
        <v>6904</v>
      </c>
      <c r="F994" s="2" t="s">
        <v>99</v>
      </c>
      <c r="G994" s="2" t="s">
        <v>32</v>
      </c>
      <c r="H994" s="1"/>
      <c r="I994" s="2" t="s">
        <v>33</v>
      </c>
      <c r="J994" s="2" t="s">
        <v>34</v>
      </c>
      <c r="K994" s="2" t="s">
        <v>446</v>
      </c>
      <c r="L994" s="2" t="s">
        <v>447</v>
      </c>
      <c r="M994" s="2" t="s">
        <v>304</v>
      </c>
      <c r="N994" s="2" t="s">
        <v>38</v>
      </c>
      <c r="O994" s="2" t="s">
        <v>977</v>
      </c>
      <c r="P994" s="2" t="s">
        <v>6946</v>
      </c>
      <c r="Q994" s="2" t="s">
        <v>6947</v>
      </c>
      <c r="R994" s="2" t="s">
        <v>40</v>
      </c>
      <c r="S994" s="2" t="s">
        <v>6948</v>
      </c>
      <c r="T994" s="2" t="s">
        <v>452</v>
      </c>
      <c r="U994" s="2" t="s">
        <v>6949</v>
      </c>
      <c r="V994" s="2" t="s">
        <v>6950</v>
      </c>
      <c r="W994" s="1"/>
      <c r="X994" s="2" t="s">
        <v>5077</v>
      </c>
      <c r="Y994" s="2" t="s">
        <v>6911</v>
      </c>
      <c r="AA994" t="str">
        <f t="shared" si="90"/>
        <v>2026-03</v>
      </c>
      <c r="AB994" t="str">
        <f t="shared" si="91"/>
        <v>H1_2026</v>
      </c>
      <c r="AC994">
        <f t="shared" si="92"/>
        <v>1399251.04</v>
      </c>
      <c r="AD994">
        <f t="shared" si="93"/>
        <v>110</v>
      </c>
      <c r="AE994">
        <f t="shared" si="94"/>
        <v>180451.04</v>
      </c>
      <c r="AF994" t="str">
        <f t="shared" si="95"/>
        <v>Paid</v>
      </c>
    </row>
    <row r="995" spans="1:32" ht="27.75" thickBot="1" x14ac:dyDescent="0.35">
      <c r="A995" s="2" t="s">
        <v>6951</v>
      </c>
      <c r="B995" s="2" t="s">
        <v>27</v>
      </c>
      <c r="C995" s="2" t="s">
        <v>28</v>
      </c>
      <c r="D995" s="2" t="s">
        <v>97</v>
      </c>
      <c r="E995" s="2" t="s">
        <v>6904</v>
      </c>
      <c r="F995" s="2" t="s">
        <v>99</v>
      </c>
      <c r="G995" s="2" t="s">
        <v>32</v>
      </c>
      <c r="H995" s="1"/>
      <c r="I995" s="2" t="s">
        <v>33</v>
      </c>
      <c r="J995" s="2" t="s">
        <v>34</v>
      </c>
      <c r="K995" s="2" t="s">
        <v>472</v>
      </c>
      <c r="L995" s="2" t="s">
        <v>473</v>
      </c>
      <c r="M995" s="2" t="s">
        <v>304</v>
      </c>
      <c r="N995" s="2" t="s">
        <v>38</v>
      </c>
      <c r="O995" s="2" t="s">
        <v>141</v>
      </c>
      <c r="P995" s="2" t="s">
        <v>6952</v>
      </c>
      <c r="Q995" s="2" t="s">
        <v>4986</v>
      </c>
      <c r="R995" s="2" t="s">
        <v>40</v>
      </c>
      <c r="S995" s="2" t="s">
        <v>6953</v>
      </c>
      <c r="T995" s="2" t="s">
        <v>309</v>
      </c>
      <c r="U995" s="2" t="s">
        <v>5042</v>
      </c>
      <c r="V995" s="2" t="s">
        <v>6954</v>
      </c>
      <c r="W995" s="1"/>
      <c r="X995" s="2" t="s">
        <v>6955</v>
      </c>
      <c r="Y995" s="2" t="s">
        <v>6911</v>
      </c>
      <c r="AA995" t="str">
        <f t="shared" si="90"/>
        <v>2026-03</v>
      </c>
      <c r="AB995" t="str">
        <f t="shared" si="91"/>
        <v>H1_2026</v>
      </c>
      <c r="AC995">
        <f t="shared" si="92"/>
        <v>267738.23999999999</v>
      </c>
      <c r="AD995">
        <f t="shared" si="93"/>
        <v>30</v>
      </c>
      <c r="AE995">
        <f t="shared" si="94"/>
        <v>34938.239999999998</v>
      </c>
      <c r="AF995" t="str">
        <f t="shared" si="95"/>
        <v>Paid</v>
      </c>
    </row>
    <row r="996" spans="1:32" ht="17.25" thickBot="1" x14ac:dyDescent="0.35">
      <c r="A996" s="2" t="s">
        <v>6956</v>
      </c>
      <c r="B996" s="2" t="s">
        <v>27</v>
      </c>
      <c r="C996" s="2" t="s">
        <v>28</v>
      </c>
      <c r="D996" s="2" t="s">
        <v>97</v>
      </c>
      <c r="E996" s="2" t="s">
        <v>6904</v>
      </c>
      <c r="F996" s="2" t="s">
        <v>99</v>
      </c>
      <c r="G996" s="2" t="s">
        <v>32</v>
      </c>
      <c r="H996" s="1"/>
      <c r="I996" s="2" t="s">
        <v>33</v>
      </c>
      <c r="J996" s="2" t="s">
        <v>34</v>
      </c>
      <c r="K996" s="2" t="s">
        <v>501</v>
      </c>
      <c r="L996" s="2" t="s">
        <v>502</v>
      </c>
      <c r="M996" s="2" t="s">
        <v>304</v>
      </c>
      <c r="N996" s="2" t="s">
        <v>38</v>
      </c>
      <c r="O996" s="2" t="s">
        <v>517</v>
      </c>
      <c r="P996" s="2" t="s">
        <v>6957</v>
      </c>
      <c r="Q996" s="2" t="s">
        <v>6958</v>
      </c>
      <c r="R996" s="2" t="s">
        <v>40</v>
      </c>
      <c r="S996" s="2" t="s">
        <v>6959</v>
      </c>
      <c r="T996" s="2" t="s">
        <v>374</v>
      </c>
      <c r="U996" s="2" t="s">
        <v>6960</v>
      </c>
      <c r="V996" s="2" t="s">
        <v>6961</v>
      </c>
      <c r="W996" s="1"/>
      <c r="X996" s="2" t="s">
        <v>6962</v>
      </c>
      <c r="Y996" s="2" t="s">
        <v>6911</v>
      </c>
      <c r="AA996" t="str">
        <f t="shared" si="90"/>
        <v>2026-03</v>
      </c>
      <c r="AB996" t="str">
        <f t="shared" si="91"/>
        <v>H1_2026</v>
      </c>
      <c r="AC996">
        <f t="shared" si="92"/>
        <v>1599475.2</v>
      </c>
      <c r="AD996">
        <f t="shared" si="93"/>
        <v>120</v>
      </c>
      <c r="AE996">
        <f t="shared" si="94"/>
        <v>203875.20000000001</v>
      </c>
      <c r="AF996" t="str">
        <f t="shared" si="95"/>
        <v>Paid</v>
      </c>
    </row>
    <row r="997" spans="1:32" ht="27.75" thickBot="1" x14ac:dyDescent="0.35">
      <c r="A997" s="2" t="s">
        <v>6963</v>
      </c>
      <c r="B997" s="2" t="s">
        <v>27</v>
      </c>
      <c r="C997" s="2" t="s">
        <v>28</v>
      </c>
      <c r="D997" s="2" t="s">
        <v>97</v>
      </c>
      <c r="E997" s="2" t="s">
        <v>6904</v>
      </c>
      <c r="F997" s="2" t="s">
        <v>99</v>
      </c>
      <c r="G997" s="2" t="s">
        <v>32</v>
      </c>
      <c r="H997" s="1"/>
      <c r="I997" s="2" t="s">
        <v>33</v>
      </c>
      <c r="J997" s="2" t="s">
        <v>34</v>
      </c>
      <c r="K997" s="2" t="s">
        <v>534</v>
      </c>
      <c r="L997" s="2" t="s">
        <v>535</v>
      </c>
      <c r="M997" s="2" t="s">
        <v>304</v>
      </c>
      <c r="N997" s="2" t="s">
        <v>38</v>
      </c>
      <c r="O997" s="2" t="s">
        <v>773</v>
      </c>
      <c r="P997" s="2" t="s">
        <v>6964</v>
      </c>
      <c r="Q997" s="2" t="s">
        <v>384</v>
      </c>
      <c r="R997" s="2" t="s">
        <v>40</v>
      </c>
      <c r="S997" s="2" t="s">
        <v>6965</v>
      </c>
      <c r="T997" s="2" t="s">
        <v>6823</v>
      </c>
      <c r="U997" s="2" t="s">
        <v>6966</v>
      </c>
      <c r="V997" s="2" t="s">
        <v>6967</v>
      </c>
      <c r="W997" s="1"/>
      <c r="X997" s="2" t="s">
        <v>4626</v>
      </c>
      <c r="Y997" s="2" t="s">
        <v>6911</v>
      </c>
      <c r="AA997" t="str">
        <f t="shared" si="90"/>
        <v>2026-03</v>
      </c>
      <c r="AB997" t="str">
        <f t="shared" si="91"/>
        <v>H1_2026</v>
      </c>
      <c r="AC997">
        <f t="shared" si="92"/>
        <v>2810672</v>
      </c>
      <c r="AD997">
        <f t="shared" si="93"/>
        <v>200</v>
      </c>
      <c r="AE997">
        <f t="shared" si="94"/>
        <v>490672</v>
      </c>
      <c r="AF997" t="str">
        <f t="shared" si="95"/>
        <v>Paid</v>
      </c>
    </row>
    <row r="998" spans="1:32" ht="17.25" thickBot="1" x14ac:dyDescent="0.35">
      <c r="A998" s="2" t="s">
        <v>6968</v>
      </c>
      <c r="B998" s="2" t="s">
        <v>27</v>
      </c>
      <c r="C998" s="2" t="s">
        <v>28</v>
      </c>
      <c r="D998" s="2" t="s">
        <v>97</v>
      </c>
      <c r="E998" s="2" t="s">
        <v>6904</v>
      </c>
      <c r="F998" s="2" t="s">
        <v>99</v>
      </c>
      <c r="G998" s="2" t="s">
        <v>32</v>
      </c>
      <c r="H998" s="1"/>
      <c r="I998" s="2" t="s">
        <v>33</v>
      </c>
      <c r="J998" s="2" t="s">
        <v>34</v>
      </c>
      <c r="K998" s="2" t="s">
        <v>2268</v>
      </c>
      <c r="L998" s="2" t="s">
        <v>2269</v>
      </c>
      <c r="M998" s="2" t="s">
        <v>2270</v>
      </c>
      <c r="N998" s="2" t="s">
        <v>38</v>
      </c>
      <c r="O998" s="2" t="s">
        <v>79</v>
      </c>
      <c r="P998" s="2" t="s">
        <v>6969</v>
      </c>
      <c r="Q998" s="2" t="s">
        <v>6970</v>
      </c>
      <c r="R998" s="2" t="s">
        <v>40</v>
      </c>
      <c r="S998" s="2" t="s">
        <v>6971</v>
      </c>
      <c r="T998" s="2" t="s">
        <v>2275</v>
      </c>
      <c r="U998" s="2" t="s">
        <v>6900</v>
      </c>
      <c r="V998" s="2" t="s">
        <v>6972</v>
      </c>
      <c r="W998" s="1"/>
      <c r="X998" s="2" t="s">
        <v>2000</v>
      </c>
      <c r="Y998" s="2" t="s">
        <v>6911</v>
      </c>
      <c r="AA998" t="str">
        <f t="shared" si="90"/>
        <v>2026-03</v>
      </c>
      <c r="AB998" t="str">
        <f t="shared" si="91"/>
        <v>H1_2026</v>
      </c>
      <c r="AC998">
        <f t="shared" si="92"/>
        <v>56213.440000000002</v>
      </c>
      <c r="AD998">
        <f t="shared" si="93"/>
        <v>10</v>
      </c>
      <c r="AE998">
        <f t="shared" si="94"/>
        <v>11213.44</v>
      </c>
      <c r="AF998" t="str">
        <f t="shared" si="95"/>
        <v>Paid</v>
      </c>
    </row>
    <row r="999" spans="1:32" ht="17.25" thickBot="1" x14ac:dyDescent="0.35">
      <c r="A999" s="2" t="s">
        <v>6973</v>
      </c>
      <c r="B999" s="2" t="s">
        <v>27</v>
      </c>
      <c r="C999" s="2" t="s">
        <v>28</v>
      </c>
      <c r="D999" s="2" t="s">
        <v>97</v>
      </c>
      <c r="E999" s="2" t="s">
        <v>6904</v>
      </c>
      <c r="F999" s="2" t="s">
        <v>99</v>
      </c>
      <c r="G999" s="2" t="s">
        <v>32</v>
      </c>
      <c r="H999" s="1"/>
      <c r="I999" s="2" t="s">
        <v>33</v>
      </c>
      <c r="J999" s="2" t="s">
        <v>34</v>
      </c>
      <c r="K999" s="2" t="s">
        <v>3366</v>
      </c>
      <c r="L999" s="2" t="s">
        <v>3367</v>
      </c>
      <c r="M999" s="2" t="s">
        <v>2372</v>
      </c>
      <c r="N999" s="2" t="s">
        <v>38</v>
      </c>
      <c r="O999" s="2" t="s">
        <v>877</v>
      </c>
      <c r="P999" s="2" t="s">
        <v>6974</v>
      </c>
      <c r="Q999" s="2" t="s">
        <v>6975</v>
      </c>
      <c r="R999" s="2" t="s">
        <v>40</v>
      </c>
      <c r="S999" s="2" t="s">
        <v>6976</v>
      </c>
      <c r="T999" s="2" t="s">
        <v>3371</v>
      </c>
      <c r="U999" s="2" t="s">
        <v>3601</v>
      </c>
      <c r="V999" s="2" t="s">
        <v>6977</v>
      </c>
      <c r="W999" s="1"/>
      <c r="X999" s="2" t="s">
        <v>6978</v>
      </c>
      <c r="Y999" s="2" t="s">
        <v>6911</v>
      </c>
      <c r="AA999" t="str">
        <f t="shared" si="90"/>
        <v>2026-03</v>
      </c>
      <c r="AB999" t="str">
        <f t="shared" si="91"/>
        <v>H1_2026</v>
      </c>
      <c r="AC999">
        <f t="shared" si="92"/>
        <v>1422721.6</v>
      </c>
      <c r="AD999">
        <f t="shared" si="93"/>
        <v>100</v>
      </c>
      <c r="AE999">
        <f t="shared" si="94"/>
        <v>375448.88</v>
      </c>
      <c r="AF999" t="str">
        <f t="shared" si="95"/>
        <v>Paid</v>
      </c>
    </row>
    <row r="1000" spans="1:32" ht="17.25" thickBot="1" x14ac:dyDescent="0.35">
      <c r="A1000" s="2" t="s">
        <v>6979</v>
      </c>
      <c r="B1000" s="2" t="s">
        <v>27</v>
      </c>
      <c r="C1000" s="2" t="s">
        <v>28</v>
      </c>
      <c r="D1000" s="2" t="s">
        <v>97</v>
      </c>
      <c r="E1000" s="2" t="s">
        <v>6904</v>
      </c>
      <c r="F1000" s="2" t="s">
        <v>99</v>
      </c>
      <c r="G1000" s="2" t="s">
        <v>32</v>
      </c>
      <c r="H1000" s="1"/>
      <c r="I1000" s="2" t="s">
        <v>33</v>
      </c>
      <c r="J1000" s="2" t="s">
        <v>34</v>
      </c>
      <c r="K1000" s="2" t="s">
        <v>6980</v>
      </c>
      <c r="L1000" s="2" t="s">
        <v>6981</v>
      </c>
      <c r="M1000" s="2" t="s">
        <v>2372</v>
      </c>
      <c r="N1000" s="2" t="s">
        <v>38</v>
      </c>
      <c r="O1000" s="2" t="s">
        <v>79</v>
      </c>
      <c r="P1000" s="2" t="s">
        <v>5246</v>
      </c>
      <c r="Q1000" s="2" t="s">
        <v>6982</v>
      </c>
      <c r="R1000" s="2" t="s">
        <v>40</v>
      </c>
      <c r="S1000" s="2" t="s">
        <v>6983</v>
      </c>
      <c r="T1000" s="2" t="s">
        <v>2376</v>
      </c>
      <c r="U1000" s="2" t="s">
        <v>6984</v>
      </c>
      <c r="V1000" s="2" t="s">
        <v>6985</v>
      </c>
      <c r="W1000" s="1"/>
      <c r="X1000" s="2" t="s">
        <v>2939</v>
      </c>
      <c r="Y1000" s="2" t="s">
        <v>6911</v>
      </c>
      <c r="AA1000" t="str">
        <f t="shared" si="90"/>
        <v>2026-03</v>
      </c>
      <c r="AB1000" t="str">
        <f t="shared" si="91"/>
        <v>H1_2026</v>
      </c>
      <c r="AC1000">
        <f t="shared" si="92"/>
        <v>106631.67999999999</v>
      </c>
      <c r="AD1000">
        <f t="shared" si="93"/>
        <v>10</v>
      </c>
      <c r="AE1000">
        <f t="shared" si="94"/>
        <v>28086.23</v>
      </c>
      <c r="AF1000" t="str">
        <f t="shared" si="95"/>
        <v>Paid</v>
      </c>
    </row>
    <row r="1001" spans="1:32" ht="17.25" thickBot="1" x14ac:dyDescent="0.35">
      <c r="A1001" s="2" t="s">
        <v>6986</v>
      </c>
      <c r="B1001" s="2" t="s">
        <v>27</v>
      </c>
      <c r="C1001" s="2" t="s">
        <v>28</v>
      </c>
      <c r="D1001" s="2" t="s">
        <v>97</v>
      </c>
      <c r="E1001" s="2" t="s">
        <v>6904</v>
      </c>
      <c r="F1001" s="2" t="s">
        <v>99</v>
      </c>
      <c r="G1001" s="2" t="s">
        <v>32</v>
      </c>
      <c r="H1001" s="1"/>
      <c r="I1001" s="2" t="s">
        <v>33</v>
      </c>
      <c r="J1001" s="2" t="s">
        <v>34</v>
      </c>
      <c r="K1001" s="2" t="s">
        <v>2387</v>
      </c>
      <c r="L1001" s="2" t="s">
        <v>2388</v>
      </c>
      <c r="M1001" s="2" t="s">
        <v>2389</v>
      </c>
      <c r="N1001" s="2" t="s">
        <v>38</v>
      </c>
      <c r="O1001" s="2" t="s">
        <v>141</v>
      </c>
      <c r="P1001" s="2" t="s">
        <v>6987</v>
      </c>
      <c r="Q1001" s="2" t="s">
        <v>6988</v>
      </c>
      <c r="R1001" s="2" t="s">
        <v>40</v>
      </c>
      <c r="S1001" s="2" t="s">
        <v>6989</v>
      </c>
      <c r="T1001" s="2" t="s">
        <v>2393</v>
      </c>
      <c r="U1001" s="2" t="s">
        <v>6990</v>
      </c>
      <c r="V1001" s="2" t="s">
        <v>6991</v>
      </c>
      <c r="W1001" s="1"/>
      <c r="X1001" s="2" t="s">
        <v>1764</v>
      </c>
      <c r="Y1001" s="2" t="s">
        <v>6911</v>
      </c>
      <c r="AA1001" t="str">
        <f t="shared" si="90"/>
        <v>2026-03</v>
      </c>
      <c r="AB1001" t="str">
        <f t="shared" si="91"/>
        <v>H1_2026</v>
      </c>
      <c r="AC1001">
        <f t="shared" si="92"/>
        <v>124307.04</v>
      </c>
      <c r="AD1001">
        <f t="shared" si="93"/>
        <v>30</v>
      </c>
      <c r="AE1001">
        <f t="shared" si="94"/>
        <v>31579.77</v>
      </c>
      <c r="AF1001" t="str">
        <f t="shared" si="95"/>
        <v>Paid</v>
      </c>
    </row>
    <row r="1002" spans="1:32" ht="17.25" thickBot="1" x14ac:dyDescent="0.35">
      <c r="A1002" s="2" t="s">
        <v>6992</v>
      </c>
      <c r="B1002" s="2" t="s">
        <v>27</v>
      </c>
      <c r="C1002" s="2" t="s">
        <v>28</v>
      </c>
      <c r="D1002" s="2" t="s">
        <v>97</v>
      </c>
      <c r="E1002" s="2" t="s">
        <v>6904</v>
      </c>
      <c r="F1002" s="2" t="s">
        <v>99</v>
      </c>
      <c r="G1002" s="2" t="s">
        <v>32</v>
      </c>
      <c r="H1002" s="1"/>
      <c r="I1002" s="2" t="s">
        <v>33</v>
      </c>
      <c r="J1002" s="2" t="s">
        <v>34</v>
      </c>
      <c r="K1002" s="2" t="s">
        <v>2405</v>
      </c>
      <c r="L1002" s="2" t="s">
        <v>2406</v>
      </c>
      <c r="M1002" s="2" t="s">
        <v>2389</v>
      </c>
      <c r="N1002" s="2" t="s">
        <v>38</v>
      </c>
      <c r="O1002" s="2" t="s">
        <v>428</v>
      </c>
      <c r="P1002" s="2" t="s">
        <v>6993</v>
      </c>
      <c r="Q1002" s="2" t="s">
        <v>6994</v>
      </c>
      <c r="R1002" s="2" t="s">
        <v>40</v>
      </c>
      <c r="S1002" s="2" t="s">
        <v>6995</v>
      </c>
      <c r="T1002" s="2" t="s">
        <v>2411</v>
      </c>
      <c r="U1002" s="2" t="s">
        <v>6996</v>
      </c>
      <c r="V1002" s="2" t="s">
        <v>6997</v>
      </c>
      <c r="W1002" s="1"/>
      <c r="X1002" s="2" t="s">
        <v>1091</v>
      </c>
      <c r="Y1002" s="2" t="s">
        <v>6911</v>
      </c>
      <c r="AA1002" t="str">
        <f t="shared" si="90"/>
        <v>2026-03</v>
      </c>
      <c r="AB1002" t="str">
        <f t="shared" si="91"/>
        <v>H1_2026</v>
      </c>
      <c r="AC1002">
        <f t="shared" si="92"/>
        <v>1003294</v>
      </c>
      <c r="AD1002">
        <f t="shared" si="93"/>
        <v>250</v>
      </c>
      <c r="AE1002">
        <f t="shared" si="94"/>
        <v>253294</v>
      </c>
      <c r="AF1002" t="str">
        <f t="shared" si="95"/>
        <v>Paid</v>
      </c>
    </row>
    <row r="1003" spans="1:32" ht="17.25" thickBot="1" x14ac:dyDescent="0.35">
      <c r="A1003" s="2" t="s">
        <v>6998</v>
      </c>
      <c r="B1003" s="2" t="s">
        <v>27</v>
      </c>
      <c r="C1003" s="2" t="s">
        <v>28</v>
      </c>
      <c r="D1003" s="2" t="s">
        <v>97</v>
      </c>
      <c r="E1003" s="2" t="s">
        <v>6904</v>
      </c>
      <c r="F1003" s="2" t="s">
        <v>99</v>
      </c>
      <c r="G1003" s="2" t="s">
        <v>32</v>
      </c>
      <c r="H1003" s="1"/>
      <c r="I1003" s="2" t="s">
        <v>33</v>
      </c>
      <c r="J1003" s="2" t="s">
        <v>34</v>
      </c>
      <c r="K1003" s="2" t="s">
        <v>2459</v>
      </c>
      <c r="L1003" s="2" t="s">
        <v>2460</v>
      </c>
      <c r="M1003" s="2" t="s">
        <v>2389</v>
      </c>
      <c r="N1003" s="2" t="s">
        <v>38</v>
      </c>
      <c r="O1003" s="2" t="s">
        <v>156</v>
      </c>
      <c r="P1003" s="2" t="s">
        <v>6999</v>
      </c>
      <c r="Q1003" s="2" t="s">
        <v>7000</v>
      </c>
      <c r="R1003" s="2" t="s">
        <v>40</v>
      </c>
      <c r="S1003" s="2" t="s">
        <v>7001</v>
      </c>
      <c r="T1003" s="2" t="s">
        <v>2464</v>
      </c>
      <c r="U1003" s="2" t="s">
        <v>1701</v>
      </c>
      <c r="V1003" s="2" t="s">
        <v>7002</v>
      </c>
      <c r="W1003" s="1"/>
      <c r="X1003" s="2" t="s">
        <v>1504</v>
      </c>
      <c r="Y1003" s="2" t="s">
        <v>6911</v>
      </c>
      <c r="AA1003" t="str">
        <f t="shared" si="90"/>
        <v>2026-03</v>
      </c>
      <c r="AB1003" t="str">
        <f t="shared" si="91"/>
        <v>H1_2026</v>
      </c>
      <c r="AC1003">
        <f t="shared" si="92"/>
        <v>50997.760000000002</v>
      </c>
      <c r="AD1003">
        <f t="shared" si="93"/>
        <v>20</v>
      </c>
      <c r="AE1003">
        <f t="shared" si="94"/>
        <v>12815.94</v>
      </c>
      <c r="AF1003" t="str">
        <f t="shared" si="95"/>
        <v>Paid</v>
      </c>
    </row>
    <row r="1004" spans="1:32" ht="17.25" thickBot="1" x14ac:dyDescent="0.35">
      <c r="A1004" s="2" t="s">
        <v>7003</v>
      </c>
      <c r="B1004" s="2" t="s">
        <v>27</v>
      </c>
      <c r="C1004" s="2" t="s">
        <v>28</v>
      </c>
      <c r="D1004" s="2" t="s">
        <v>97</v>
      </c>
      <c r="E1004" s="2" t="s">
        <v>6904</v>
      </c>
      <c r="F1004" s="2" t="s">
        <v>99</v>
      </c>
      <c r="G1004" s="2" t="s">
        <v>32</v>
      </c>
      <c r="H1004" s="1"/>
      <c r="I1004" s="2" t="s">
        <v>33</v>
      </c>
      <c r="J1004" s="2" t="s">
        <v>34</v>
      </c>
      <c r="K1004" s="2" t="s">
        <v>2468</v>
      </c>
      <c r="L1004" s="2" t="s">
        <v>2469</v>
      </c>
      <c r="M1004" s="2" t="s">
        <v>2389</v>
      </c>
      <c r="N1004" s="2" t="s">
        <v>38</v>
      </c>
      <c r="O1004" s="2" t="s">
        <v>435</v>
      </c>
      <c r="P1004" s="2" t="s">
        <v>7004</v>
      </c>
      <c r="Q1004" s="2" t="s">
        <v>7005</v>
      </c>
      <c r="R1004" s="2" t="s">
        <v>40</v>
      </c>
      <c r="S1004" s="2" t="s">
        <v>7006</v>
      </c>
      <c r="T1004" s="2" t="s">
        <v>2473</v>
      </c>
      <c r="U1004" s="2" t="s">
        <v>7007</v>
      </c>
      <c r="V1004" s="2" t="s">
        <v>7008</v>
      </c>
      <c r="W1004" s="1"/>
      <c r="X1004" s="2" t="s">
        <v>6978</v>
      </c>
      <c r="Y1004" s="2" t="s">
        <v>6911</v>
      </c>
      <c r="AA1004" t="str">
        <f t="shared" si="90"/>
        <v>2026-03</v>
      </c>
      <c r="AB1004" t="str">
        <f t="shared" si="91"/>
        <v>H1_2026</v>
      </c>
      <c r="AC1004">
        <f t="shared" si="92"/>
        <v>566727.1</v>
      </c>
      <c r="AD1004">
        <f t="shared" si="93"/>
        <v>51</v>
      </c>
      <c r="AE1004">
        <f t="shared" si="94"/>
        <v>149454.37</v>
      </c>
      <c r="AF1004" t="str">
        <f t="shared" si="95"/>
        <v>Paid</v>
      </c>
    </row>
    <row r="1005" spans="1:32" ht="17.25" thickBot="1" x14ac:dyDescent="0.35">
      <c r="A1005" s="2" t="s">
        <v>7009</v>
      </c>
      <c r="B1005" s="2" t="s">
        <v>27</v>
      </c>
      <c r="C1005" s="2" t="s">
        <v>28</v>
      </c>
      <c r="D1005" s="2" t="s">
        <v>97</v>
      </c>
      <c r="E1005" s="2" t="s">
        <v>6904</v>
      </c>
      <c r="F1005" s="2" t="s">
        <v>99</v>
      </c>
      <c r="G1005" s="2" t="s">
        <v>32</v>
      </c>
      <c r="H1005" s="1"/>
      <c r="I1005" s="2" t="s">
        <v>33</v>
      </c>
      <c r="J1005" s="2" t="s">
        <v>34</v>
      </c>
      <c r="K1005" s="2" t="s">
        <v>2485</v>
      </c>
      <c r="L1005" s="2" t="s">
        <v>2486</v>
      </c>
      <c r="M1005" s="2" t="s">
        <v>2389</v>
      </c>
      <c r="N1005" s="2" t="s">
        <v>38</v>
      </c>
      <c r="O1005" s="2" t="s">
        <v>79</v>
      </c>
      <c r="P1005" s="2" t="s">
        <v>7010</v>
      </c>
      <c r="Q1005" s="2" t="s">
        <v>7011</v>
      </c>
      <c r="R1005" s="2" t="s">
        <v>40</v>
      </c>
      <c r="S1005" s="2" t="s">
        <v>7012</v>
      </c>
      <c r="T1005" s="2" t="s">
        <v>2490</v>
      </c>
      <c r="U1005" s="2" t="s">
        <v>7013</v>
      </c>
      <c r="V1005" s="2" t="s">
        <v>7014</v>
      </c>
      <c r="W1005" s="1"/>
      <c r="X1005" s="2" t="s">
        <v>1375</v>
      </c>
      <c r="Y1005" s="2" t="s">
        <v>6911</v>
      </c>
      <c r="AA1005" t="str">
        <f t="shared" si="90"/>
        <v>2026-03</v>
      </c>
      <c r="AB1005" t="str">
        <f t="shared" si="91"/>
        <v>H1_2026</v>
      </c>
      <c r="AC1005">
        <f t="shared" si="92"/>
        <v>80553.279999999999</v>
      </c>
      <c r="AD1005">
        <f t="shared" si="93"/>
        <v>10</v>
      </c>
      <c r="AE1005">
        <f t="shared" si="94"/>
        <v>20098.740000000002</v>
      </c>
      <c r="AF1005" t="str">
        <f t="shared" si="95"/>
        <v>Paid</v>
      </c>
    </row>
    <row r="1006" spans="1:32" ht="27.75" thickBot="1" x14ac:dyDescent="0.35">
      <c r="A1006" s="2" t="s">
        <v>7015</v>
      </c>
      <c r="B1006" s="2" t="s">
        <v>27</v>
      </c>
      <c r="C1006" s="2" t="s">
        <v>28</v>
      </c>
      <c r="D1006" s="2" t="s">
        <v>97</v>
      </c>
      <c r="E1006" s="2" t="s">
        <v>6904</v>
      </c>
      <c r="F1006" s="2" t="s">
        <v>99</v>
      </c>
      <c r="G1006" s="2" t="s">
        <v>32</v>
      </c>
      <c r="H1006" s="1"/>
      <c r="I1006" s="2" t="s">
        <v>33</v>
      </c>
      <c r="J1006" s="2" t="s">
        <v>34</v>
      </c>
      <c r="K1006" s="2" t="s">
        <v>674</v>
      </c>
      <c r="L1006" s="2" t="s">
        <v>675</v>
      </c>
      <c r="M1006" s="2" t="s">
        <v>634</v>
      </c>
      <c r="N1006" s="2" t="s">
        <v>38</v>
      </c>
      <c r="O1006" s="2" t="s">
        <v>1631</v>
      </c>
      <c r="P1006" s="2" t="s">
        <v>7016</v>
      </c>
      <c r="Q1006" s="2" t="s">
        <v>7017</v>
      </c>
      <c r="R1006" s="2" t="s">
        <v>40</v>
      </c>
      <c r="S1006" s="2" t="s">
        <v>7018</v>
      </c>
      <c r="T1006" s="2" t="s">
        <v>669</v>
      </c>
      <c r="U1006" s="2" t="s">
        <v>7019</v>
      </c>
      <c r="V1006" s="2" t="s">
        <v>7020</v>
      </c>
      <c r="W1006" s="1"/>
      <c r="X1006" s="2" t="s">
        <v>7021</v>
      </c>
      <c r="Y1006" s="2" t="s">
        <v>6911</v>
      </c>
      <c r="AA1006" t="str">
        <f t="shared" si="90"/>
        <v>2026-03</v>
      </c>
      <c r="AB1006" t="str">
        <f t="shared" si="91"/>
        <v>H1_2026</v>
      </c>
      <c r="AC1006">
        <f t="shared" si="92"/>
        <v>2149874.3199999998</v>
      </c>
      <c r="AD1006">
        <f t="shared" si="93"/>
        <v>190</v>
      </c>
      <c r="AE1006">
        <f t="shared" si="94"/>
        <v>1009874.32</v>
      </c>
      <c r="AF1006" t="str">
        <f t="shared" si="95"/>
        <v>Paid</v>
      </c>
    </row>
    <row r="1007" spans="1:32" ht="17.25" thickBot="1" x14ac:dyDescent="0.35">
      <c r="A1007" s="2" t="s">
        <v>7022</v>
      </c>
      <c r="B1007" s="2" t="s">
        <v>27</v>
      </c>
      <c r="C1007" s="2" t="s">
        <v>28</v>
      </c>
      <c r="D1007" s="2" t="s">
        <v>97</v>
      </c>
      <c r="E1007" s="2" t="s">
        <v>6904</v>
      </c>
      <c r="F1007" s="2" t="s">
        <v>99</v>
      </c>
      <c r="G1007" s="2" t="s">
        <v>32</v>
      </c>
      <c r="H1007" s="1"/>
      <c r="I1007" s="2" t="s">
        <v>33</v>
      </c>
      <c r="J1007" s="2" t="s">
        <v>34</v>
      </c>
      <c r="K1007" s="2" t="s">
        <v>682</v>
      </c>
      <c r="L1007" s="2" t="s">
        <v>683</v>
      </c>
      <c r="M1007" s="2" t="s">
        <v>634</v>
      </c>
      <c r="N1007" s="2" t="s">
        <v>38</v>
      </c>
      <c r="O1007" s="2" t="s">
        <v>156</v>
      </c>
      <c r="P1007" s="2" t="s">
        <v>7023</v>
      </c>
      <c r="Q1007" s="2" t="s">
        <v>4677</v>
      </c>
      <c r="R1007" s="2" t="s">
        <v>40</v>
      </c>
      <c r="S1007" s="2" t="s">
        <v>7024</v>
      </c>
      <c r="T1007" s="2" t="s">
        <v>687</v>
      </c>
      <c r="U1007" s="2" t="s">
        <v>7025</v>
      </c>
      <c r="V1007" s="2" t="s">
        <v>7026</v>
      </c>
      <c r="W1007" s="1"/>
      <c r="X1007" s="2" t="s">
        <v>6719</v>
      </c>
      <c r="Y1007" s="2" t="s">
        <v>6911</v>
      </c>
      <c r="AA1007" t="str">
        <f t="shared" si="90"/>
        <v>2026-03</v>
      </c>
      <c r="AB1007" t="str">
        <f t="shared" si="91"/>
        <v>H1_2026</v>
      </c>
      <c r="AC1007">
        <f t="shared" si="92"/>
        <v>242529.12</v>
      </c>
      <c r="AD1007">
        <f t="shared" si="93"/>
        <v>20</v>
      </c>
      <c r="AE1007">
        <f t="shared" si="94"/>
        <v>115129.12</v>
      </c>
      <c r="AF1007" t="str">
        <f t="shared" si="95"/>
        <v>Paid</v>
      </c>
    </row>
    <row r="1008" spans="1:32" ht="17.25" thickBot="1" x14ac:dyDescent="0.35">
      <c r="A1008" s="2" t="s">
        <v>7027</v>
      </c>
      <c r="B1008" s="2" t="s">
        <v>27</v>
      </c>
      <c r="C1008" s="2" t="s">
        <v>28</v>
      </c>
      <c r="D1008" s="2" t="s">
        <v>97</v>
      </c>
      <c r="E1008" s="2" t="s">
        <v>6904</v>
      </c>
      <c r="F1008" s="2" t="s">
        <v>99</v>
      </c>
      <c r="G1008" s="2" t="s">
        <v>32</v>
      </c>
      <c r="H1008" s="1"/>
      <c r="I1008" s="2" t="s">
        <v>33</v>
      </c>
      <c r="J1008" s="2" t="s">
        <v>34</v>
      </c>
      <c r="K1008" s="2" t="s">
        <v>5547</v>
      </c>
      <c r="L1008" s="2" t="s">
        <v>5548</v>
      </c>
      <c r="M1008" s="2" t="s">
        <v>634</v>
      </c>
      <c r="N1008" s="2" t="s">
        <v>38</v>
      </c>
      <c r="O1008" s="2" t="s">
        <v>156</v>
      </c>
      <c r="P1008" s="2" t="s">
        <v>7028</v>
      </c>
      <c r="Q1008" s="2" t="s">
        <v>7029</v>
      </c>
      <c r="R1008" s="2" t="s">
        <v>40</v>
      </c>
      <c r="S1008" s="2" t="s">
        <v>7030</v>
      </c>
      <c r="T1008" s="2" t="s">
        <v>5551</v>
      </c>
      <c r="U1008" s="2" t="s">
        <v>7031</v>
      </c>
      <c r="V1008" s="2" t="s">
        <v>7032</v>
      </c>
      <c r="W1008" s="1"/>
      <c r="X1008" s="2" t="s">
        <v>7033</v>
      </c>
      <c r="Y1008" s="2" t="s">
        <v>6911</v>
      </c>
      <c r="AA1008" t="str">
        <f t="shared" si="90"/>
        <v>2026-03</v>
      </c>
      <c r="AB1008" t="str">
        <f t="shared" si="91"/>
        <v>H1_2026</v>
      </c>
      <c r="AC1008">
        <f t="shared" si="92"/>
        <v>484768.48</v>
      </c>
      <c r="AD1008">
        <f t="shared" si="93"/>
        <v>20</v>
      </c>
      <c r="AE1008">
        <f t="shared" si="94"/>
        <v>228168.48</v>
      </c>
      <c r="AF1008" t="str">
        <f t="shared" si="95"/>
        <v>Paid</v>
      </c>
    </row>
    <row r="1009" spans="1:32" ht="17.25" thickBot="1" x14ac:dyDescent="0.35">
      <c r="A1009" s="2" t="s">
        <v>7034</v>
      </c>
      <c r="B1009" s="2" t="s">
        <v>27</v>
      </c>
      <c r="C1009" s="2" t="s">
        <v>28</v>
      </c>
      <c r="D1009" s="2" t="s">
        <v>97</v>
      </c>
      <c r="E1009" s="2" t="s">
        <v>6904</v>
      </c>
      <c r="F1009" s="2" t="s">
        <v>99</v>
      </c>
      <c r="G1009" s="2" t="s">
        <v>32</v>
      </c>
      <c r="H1009" s="1"/>
      <c r="I1009" s="2" t="s">
        <v>33</v>
      </c>
      <c r="J1009" s="2" t="s">
        <v>34</v>
      </c>
      <c r="K1009" s="2" t="s">
        <v>7035</v>
      </c>
      <c r="L1009" s="2" t="s">
        <v>7036</v>
      </c>
      <c r="M1009" s="2" t="s">
        <v>7037</v>
      </c>
      <c r="N1009" s="2" t="s">
        <v>38</v>
      </c>
      <c r="O1009" s="2" t="s">
        <v>323</v>
      </c>
      <c r="P1009" s="2" t="s">
        <v>2390</v>
      </c>
      <c r="Q1009" s="2" t="s">
        <v>7038</v>
      </c>
      <c r="R1009" s="2" t="s">
        <v>40</v>
      </c>
      <c r="S1009" s="2" t="s">
        <v>7039</v>
      </c>
      <c r="T1009" s="2" t="s">
        <v>2411</v>
      </c>
      <c r="U1009" s="2" t="s">
        <v>3335</v>
      </c>
      <c r="V1009" s="2" t="s">
        <v>7040</v>
      </c>
      <c r="W1009" s="1"/>
      <c r="X1009" s="2" t="s">
        <v>7041</v>
      </c>
      <c r="Y1009" s="2" t="s">
        <v>6911</v>
      </c>
      <c r="AA1009" t="str">
        <f t="shared" si="90"/>
        <v>2026-03</v>
      </c>
      <c r="AB1009" t="str">
        <f t="shared" si="91"/>
        <v>H1_2026</v>
      </c>
      <c r="AC1009">
        <f t="shared" si="92"/>
        <v>162164.18</v>
      </c>
      <c r="AD1009">
        <f t="shared" si="93"/>
        <v>39</v>
      </c>
      <c r="AE1009">
        <f t="shared" si="94"/>
        <v>45164.18</v>
      </c>
      <c r="AF1009" t="str">
        <f t="shared" si="95"/>
        <v>Paid</v>
      </c>
    </row>
    <row r="1010" spans="1:32" ht="17.25" thickBot="1" x14ac:dyDescent="0.35">
      <c r="A1010" s="2" t="s">
        <v>7042</v>
      </c>
      <c r="B1010" s="2" t="s">
        <v>27</v>
      </c>
      <c r="C1010" s="2" t="s">
        <v>28</v>
      </c>
      <c r="D1010" s="2" t="s">
        <v>97</v>
      </c>
      <c r="E1010" s="2" t="s">
        <v>6904</v>
      </c>
      <c r="F1010" s="2" t="s">
        <v>99</v>
      </c>
      <c r="G1010" s="2" t="s">
        <v>32</v>
      </c>
      <c r="H1010" s="1"/>
      <c r="I1010" s="2" t="s">
        <v>33</v>
      </c>
      <c r="J1010" s="2" t="s">
        <v>34</v>
      </c>
      <c r="K1010" s="2" t="s">
        <v>2773</v>
      </c>
      <c r="L1010" s="2" t="s">
        <v>2774</v>
      </c>
      <c r="M1010" s="2" t="s">
        <v>70</v>
      </c>
      <c r="N1010" s="2" t="s">
        <v>38</v>
      </c>
      <c r="O1010" s="2" t="s">
        <v>79</v>
      </c>
      <c r="P1010" s="2" t="s">
        <v>3556</v>
      </c>
      <c r="Q1010" s="2" t="s">
        <v>7043</v>
      </c>
      <c r="R1010" s="2" t="s">
        <v>40</v>
      </c>
      <c r="S1010" s="2" t="s">
        <v>7044</v>
      </c>
      <c r="T1010" s="2" t="s">
        <v>2778</v>
      </c>
      <c r="U1010" s="2" t="s">
        <v>7045</v>
      </c>
      <c r="V1010" s="2" t="s">
        <v>7046</v>
      </c>
      <c r="W1010" s="1"/>
      <c r="X1010" s="2" t="s">
        <v>7047</v>
      </c>
      <c r="Y1010" s="2" t="s">
        <v>6911</v>
      </c>
      <c r="AA1010" t="str">
        <f t="shared" si="90"/>
        <v>2026-03</v>
      </c>
      <c r="AB1010" t="str">
        <f t="shared" si="91"/>
        <v>H1_2026</v>
      </c>
      <c r="AC1010">
        <f t="shared" si="92"/>
        <v>47230.879999999997</v>
      </c>
      <c r="AD1010">
        <f t="shared" si="93"/>
        <v>10</v>
      </c>
      <c r="AE1010">
        <f t="shared" si="94"/>
        <v>10139.969999999999</v>
      </c>
      <c r="AF1010" t="str">
        <f t="shared" si="95"/>
        <v>Paid</v>
      </c>
    </row>
    <row r="1011" spans="1:32" ht="17.25" thickBot="1" x14ac:dyDescent="0.35">
      <c r="A1011" s="2" t="s">
        <v>7048</v>
      </c>
      <c r="B1011" s="2" t="s">
        <v>27</v>
      </c>
      <c r="C1011" s="2" t="s">
        <v>28</v>
      </c>
      <c r="D1011" s="2" t="s">
        <v>97</v>
      </c>
      <c r="E1011" s="2" t="s">
        <v>6904</v>
      </c>
      <c r="F1011" s="2" t="s">
        <v>99</v>
      </c>
      <c r="G1011" s="2" t="s">
        <v>32</v>
      </c>
      <c r="H1011" s="1"/>
      <c r="I1011" s="2" t="s">
        <v>33</v>
      </c>
      <c r="J1011" s="2" t="s">
        <v>34</v>
      </c>
      <c r="K1011" s="2" t="s">
        <v>763</v>
      </c>
      <c r="L1011" s="2" t="s">
        <v>764</v>
      </c>
      <c r="M1011" s="2" t="s">
        <v>701</v>
      </c>
      <c r="N1011" s="2" t="s">
        <v>38</v>
      </c>
      <c r="O1011" s="2" t="s">
        <v>1333</v>
      </c>
      <c r="P1011" s="2" t="s">
        <v>1175</v>
      </c>
      <c r="Q1011" s="2" t="s">
        <v>7049</v>
      </c>
      <c r="R1011" s="2" t="s">
        <v>40</v>
      </c>
      <c r="S1011" s="2" t="s">
        <v>7050</v>
      </c>
      <c r="T1011" s="2" t="s">
        <v>759</v>
      </c>
      <c r="U1011" s="2" t="s">
        <v>7051</v>
      </c>
      <c r="V1011" s="2" t="s">
        <v>7052</v>
      </c>
      <c r="W1011" s="1"/>
      <c r="X1011" s="2" t="s">
        <v>1120</v>
      </c>
      <c r="Y1011" s="2" t="s">
        <v>6911</v>
      </c>
      <c r="AA1011" t="str">
        <f t="shared" si="90"/>
        <v>2026-03</v>
      </c>
      <c r="AB1011" t="str">
        <f t="shared" si="91"/>
        <v>H1_2026</v>
      </c>
      <c r="AC1011">
        <f t="shared" si="92"/>
        <v>1362596.4</v>
      </c>
      <c r="AD1011">
        <f t="shared" si="93"/>
        <v>150</v>
      </c>
      <c r="AE1011">
        <f t="shared" si="94"/>
        <v>228596.4</v>
      </c>
      <c r="AF1011" t="str">
        <f t="shared" si="95"/>
        <v>Paid</v>
      </c>
    </row>
    <row r="1012" spans="1:32" ht="17.25" thickBot="1" x14ac:dyDescent="0.35">
      <c r="A1012" s="2" t="s">
        <v>7053</v>
      </c>
      <c r="B1012" s="2" t="s">
        <v>27</v>
      </c>
      <c r="C1012" s="2" t="s">
        <v>28</v>
      </c>
      <c r="D1012" s="2" t="s">
        <v>97</v>
      </c>
      <c r="E1012" s="2" t="s">
        <v>6904</v>
      </c>
      <c r="F1012" s="2" t="s">
        <v>99</v>
      </c>
      <c r="G1012" s="2" t="s">
        <v>32</v>
      </c>
      <c r="H1012" s="1"/>
      <c r="I1012" s="2" t="s">
        <v>33</v>
      </c>
      <c r="J1012" s="2" t="s">
        <v>34</v>
      </c>
      <c r="K1012" s="2" t="s">
        <v>2931</v>
      </c>
      <c r="L1012" s="2" t="s">
        <v>2932</v>
      </c>
      <c r="M1012" s="2" t="s">
        <v>2933</v>
      </c>
      <c r="N1012" s="2" t="s">
        <v>38</v>
      </c>
      <c r="O1012" s="2" t="s">
        <v>79</v>
      </c>
      <c r="P1012" s="2" t="s">
        <v>7054</v>
      </c>
      <c r="Q1012" s="2" t="s">
        <v>7055</v>
      </c>
      <c r="R1012" s="2" t="s">
        <v>40</v>
      </c>
      <c r="S1012" s="2" t="s">
        <v>7056</v>
      </c>
      <c r="T1012" s="2" t="s">
        <v>2249</v>
      </c>
      <c r="U1012" s="2" t="s">
        <v>7057</v>
      </c>
      <c r="V1012" s="2" t="s">
        <v>7058</v>
      </c>
      <c r="W1012" s="1"/>
      <c r="X1012" s="2" t="s">
        <v>7059</v>
      </c>
      <c r="Y1012" s="2" t="s">
        <v>6911</v>
      </c>
      <c r="AA1012" t="str">
        <f t="shared" si="90"/>
        <v>2026-03</v>
      </c>
      <c r="AB1012" t="str">
        <f t="shared" si="91"/>
        <v>H1_2026</v>
      </c>
      <c r="AC1012">
        <f t="shared" si="92"/>
        <v>97214.48</v>
      </c>
      <c r="AD1012">
        <f t="shared" si="93"/>
        <v>10</v>
      </c>
      <c r="AE1012">
        <f t="shared" si="94"/>
        <v>26305.39</v>
      </c>
      <c r="AF1012" t="str">
        <f t="shared" si="95"/>
        <v>Paid</v>
      </c>
    </row>
    <row r="1013" spans="1:32" ht="17.25" thickBot="1" x14ac:dyDescent="0.35">
      <c r="A1013" s="2" t="s">
        <v>7060</v>
      </c>
      <c r="B1013" s="2" t="s">
        <v>27</v>
      </c>
      <c r="C1013" s="2" t="s">
        <v>28</v>
      </c>
      <c r="D1013" s="2" t="s">
        <v>97</v>
      </c>
      <c r="E1013" s="2" t="s">
        <v>6904</v>
      </c>
      <c r="F1013" s="2" t="s">
        <v>99</v>
      </c>
      <c r="G1013" s="2" t="s">
        <v>32</v>
      </c>
      <c r="H1013" s="1"/>
      <c r="I1013" s="2" t="s">
        <v>33</v>
      </c>
      <c r="J1013" s="2" t="s">
        <v>34</v>
      </c>
      <c r="K1013" s="2" t="s">
        <v>2941</v>
      </c>
      <c r="L1013" s="2" t="s">
        <v>2942</v>
      </c>
      <c r="M1013" s="2" t="s">
        <v>2933</v>
      </c>
      <c r="N1013" s="2" t="s">
        <v>38</v>
      </c>
      <c r="O1013" s="2" t="s">
        <v>26</v>
      </c>
      <c r="P1013" s="2" t="s">
        <v>7061</v>
      </c>
      <c r="Q1013" s="2" t="s">
        <v>7061</v>
      </c>
      <c r="R1013" s="2" t="s">
        <v>40</v>
      </c>
      <c r="S1013" s="2" t="s">
        <v>7062</v>
      </c>
      <c r="T1013" s="2" t="s">
        <v>2946</v>
      </c>
      <c r="U1013" s="2" t="s">
        <v>2946</v>
      </c>
      <c r="V1013" s="2" t="s">
        <v>7063</v>
      </c>
      <c r="W1013" s="1"/>
      <c r="X1013" s="2" t="s">
        <v>7059</v>
      </c>
      <c r="Y1013" s="2" t="s">
        <v>6911</v>
      </c>
      <c r="AA1013" t="str">
        <f t="shared" si="90"/>
        <v>2026-03</v>
      </c>
      <c r="AB1013" t="str">
        <f t="shared" si="91"/>
        <v>H1_2026</v>
      </c>
      <c r="AC1013">
        <f t="shared" si="92"/>
        <v>5983.54</v>
      </c>
      <c r="AD1013">
        <f t="shared" si="93"/>
        <v>1</v>
      </c>
      <c r="AE1013">
        <f t="shared" si="94"/>
        <v>1619.9</v>
      </c>
      <c r="AF1013" t="str">
        <f t="shared" si="95"/>
        <v>Paid</v>
      </c>
    </row>
    <row r="1014" spans="1:32" ht="17.25" thickBot="1" x14ac:dyDescent="0.35">
      <c r="A1014" s="2" t="s">
        <v>7064</v>
      </c>
      <c r="B1014" s="2" t="s">
        <v>27</v>
      </c>
      <c r="C1014" s="2" t="s">
        <v>28</v>
      </c>
      <c r="D1014" s="2" t="s">
        <v>97</v>
      </c>
      <c r="E1014" s="2" t="s">
        <v>6904</v>
      </c>
      <c r="F1014" s="2" t="s">
        <v>99</v>
      </c>
      <c r="G1014" s="2" t="s">
        <v>32</v>
      </c>
      <c r="H1014" s="1"/>
      <c r="I1014" s="2" t="s">
        <v>33</v>
      </c>
      <c r="J1014" s="2" t="s">
        <v>34</v>
      </c>
      <c r="K1014" s="2" t="s">
        <v>2978</v>
      </c>
      <c r="L1014" s="2" t="s">
        <v>2979</v>
      </c>
      <c r="M1014" s="2" t="s">
        <v>2933</v>
      </c>
      <c r="N1014" s="2" t="s">
        <v>38</v>
      </c>
      <c r="O1014" s="2" t="s">
        <v>156</v>
      </c>
      <c r="P1014" s="2" t="s">
        <v>7065</v>
      </c>
      <c r="Q1014" s="2" t="s">
        <v>7066</v>
      </c>
      <c r="R1014" s="2" t="s">
        <v>40</v>
      </c>
      <c r="S1014" s="2" t="s">
        <v>7067</v>
      </c>
      <c r="T1014" s="2" t="s">
        <v>2983</v>
      </c>
      <c r="U1014" s="2" t="s">
        <v>7068</v>
      </c>
      <c r="V1014" s="2" t="s">
        <v>7069</v>
      </c>
      <c r="W1014" s="1"/>
      <c r="X1014" s="2" t="s">
        <v>7070</v>
      </c>
      <c r="Y1014" s="2" t="s">
        <v>6911</v>
      </c>
      <c r="AA1014" t="str">
        <f t="shared" si="90"/>
        <v>2026-03</v>
      </c>
      <c r="AB1014" t="str">
        <f t="shared" si="91"/>
        <v>H1_2026</v>
      </c>
      <c r="AC1014">
        <f t="shared" si="92"/>
        <v>283964.79999999999</v>
      </c>
      <c r="AD1014">
        <f t="shared" si="93"/>
        <v>20</v>
      </c>
      <c r="AE1014">
        <f t="shared" si="94"/>
        <v>76692.070000000007</v>
      </c>
      <c r="AF1014" t="str">
        <f t="shared" si="95"/>
        <v>Paid</v>
      </c>
    </row>
    <row r="1015" spans="1:32" ht="17.25" thickBot="1" x14ac:dyDescent="0.35">
      <c r="A1015" s="2" t="s">
        <v>7071</v>
      </c>
      <c r="B1015" s="2" t="s">
        <v>27</v>
      </c>
      <c r="C1015" s="2" t="s">
        <v>28</v>
      </c>
      <c r="D1015" s="2" t="s">
        <v>97</v>
      </c>
      <c r="E1015" s="2" t="s">
        <v>6904</v>
      </c>
      <c r="F1015" s="2" t="s">
        <v>99</v>
      </c>
      <c r="G1015" s="2" t="s">
        <v>32</v>
      </c>
      <c r="H1015" s="1"/>
      <c r="I1015" s="2" t="s">
        <v>33</v>
      </c>
      <c r="J1015" s="2" t="s">
        <v>34</v>
      </c>
      <c r="K1015" s="2" t="s">
        <v>3019</v>
      </c>
      <c r="L1015" s="2" t="s">
        <v>3020</v>
      </c>
      <c r="M1015" s="2" t="s">
        <v>2933</v>
      </c>
      <c r="N1015" s="2" t="s">
        <v>38</v>
      </c>
      <c r="O1015" s="2" t="s">
        <v>156</v>
      </c>
      <c r="P1015" s="2" t="s">
        <v>7072</v>
      </c>
      <c r="Q1015" s="2" t="s">
        <v>7073</v>
      </c>
      <c r="R1015" s="2" t="s">
        <v>40</v>
      </c>
      <c r="S1015" s="2" t="s">
        <v>7074</v>
      </c>
      <c r="T1015" s="2" t="s">
        <v>7075</v>
      </c>
      <c r="U1015" s="2" t="s">
        <v>7076</v>
      </c>
      <c r="V1015" s="2" t="s">
        <v>7077</v>
      </c>
      <c r="W1015" s="1"/>
      <c r="X1015" s="2" t="s">
        <v>7078</v>
      </c>
      <c r="Y1015" s="2" t="s">
        <v>6911</v>
      </c>
      <c r="AA1015" t="str">
        <f t="shared" si="90"/>
        <v>2026-03</v>
      </c>
      <c r="AB1015" t="str">
        <f t="shared" si="91"/>
        <v>H1_2026</v>
      </c>
      <c r="AC1015">
        <f t="shared" si="92"/>
        <v>209206.72</v>
      </c>
      <c r="AD1015">
        <f t="shared" si="93"/>
        <v>20</v>
      </c>
      <c r="AE1015">
        <f t="shared" si="94"/>
        <v>151533.72</v>
      </c>
      <c r="AF1015" t="str">
        <f t="shared" si="95"/>
        <v>Paid</v>
      </c>
    </row>
    <row r="1016" spans="1:32" ht="17.25" thickBot="1" x14ac:dyDescent="0.35">
      <c r="A1016" s="2" t="s">
        <v>7079</v>
      </c>
      <c r="B1016" s="2" t="s">
        <v>27</v>
      </c>
      <c r="C1016" s="2" t="s">
        <v>28</v>
      </c>
      <c r="D1016" s="2" t="s">
        <v>97</v>
      </c>
      <c r="E1016" s="2" t="s">
        <v>6904</v>
      </c>
      <c r="F1016" s="2" t="s">
        <v>99</v>
      </c>
      <c r="G1016" s="2" t="s">
        <v>32</v>
      </c>
      <c r="H1016" s="1"/>
      <c r="I1016" s="2" t="s">
        <v>33</v>
      </c>
      <c r="J1016" s="2" t="s">
        <v>34</v>
      </c>
      <c r="K1016" s="2" t="s">
        <v>7080</v>
      </c>
      <c r="L1016" s="2" t="s">
        <v>7081</v>
      </c>
      <c r="M1016" s="2" t="s">
        <v>4220</v>
      </c>
      <c r="N1016" s="2" t="s">
        <v>38</v>
      </c>
      <c r="O1016" s="2" t="s">
        <v>500</v>
      </c>
      <c r="P1016" s="2" t="s">
        <v>7082</v>
      </c>
      <c r="Q1016" s="2" t="s">
        <v>7083</v>
      </c>
      <c r="R1016" s="2" t="s">
        <v>40</v>
      </c>
      <c r="S1016" s="2" t="s">
        <v>7084</v>
      </c>
      <c r="T1016" s="2" t="s">
        <v>144</v>
      </c>
      <c r="U1016" s="2" t="s">
        <v>7085</v>
      </c>
      <c r="V1016" s="2" t="s">
        <v>7086</v>
      </c>
      <c r="W1016" s="1"/>
      <c r="X1016" s="2" t="s">
        <v>4068</v>
      </c>
      <c r="Y1016" s="2" t="s">
        <v>6911</v>
      </c>
      <c r="AA1016" t="str">
        <f t="shared" si="90"/>
        <v>2026-03</v>
      </c>
      <c r="AB1016" t="str">
        <f t="shared" si="91"/>
        <v>H1_2026</v>
      </c>
      <c r="AC1016">
        <f t="shared" si="92"/>
        <v>991558.72</v>
      </c>
      <c r="AD1016">
        <f t="shared" si="93"/>
        <v>58</v>
      </c>
      <c r="AE1016">
        <f t="shared" si="94"/>
        <v>121558.72</v>
      </c>
      <c r="AF1016" t="str">
        <f t="shared" si="95"/>
        <v>Paid</v>
      </c>
    </row>
    <row r="1017" spans="1:32" ht="17.25" thickBot="1" x14ac:dyDescent="0.35">
      <c r="A1017" s="2" t="s">
        <v>7087</v>
      </c>
      <c r="B1017" s="2" t="s">
        <v>27</v>
      </c>
      <c r="C1017" s="2" t="s">
        <v>28</v>
      </c>
      <c r="D1017" s="2" t="s">
        <v>97</v>
      </c>
      <c r="E1017" s="2" t="s">
        <v>6904</v>
      </c>
      <c r="F1017" s="2" t="s">
        <v>99</v>
      </c>
      <c r="G1017" s="2" t="s">
        <v>32</v>
      </c>
      <c r="H1017" s="1"/>
      <c r="I1017" s="2" t="s">
        <v>33</v>
      </c>
      <c r="J1017" s="2" t="s">
        <v>34</v>
      </c>
      <c r="K1017" s="2" t="s">
        <v>808</v>
      </c>
      <c r="L1017" s="2" t="s">
        <v>809</v>
      </c>
      <c r="M1017" s="2" t="s">
        <v>772</v>
      </c>
      <c r="N1017" s="2" t="s">
        <v>38</v>
      </c>
      <c r="O1017" s="2" t="s">
        <v>7088</v>
      </c>
      <c r="P1017" s="2" t="s">
        <v>371</v>
      </c>
      <c r="Q1017" s="2" t="s">
        <v>7089</v>
      </c>
      <c r="R1017" s="2" t="s">
        <v>40</v>
      </c>
      <c r="S1017" s="2" t="s">
        <v>7090</v>
      </c>
      <c r="T1017" s="2" t="s">
        <v>814</v>
      </c>
      <c r="U1017" s="2" t="s">
        <v>7091</v>
      </c>
      <c r="V1017" s="2" t="s">
        <v>7092</v>
      </c>
      <c r="W1017" s="1"/>
      <c r="X1017" s="2" t="s">
        <v>897</v>
      </c>
      <c r="Y1017" s="2" t="s">
        <v>6911</v>
      </c>
      <c r="AA1017" t="str">
        <f t="shared" si="90"/>
        <v>2026-03</v>
      </c>
      <c r="AB1017" t="str">
        <f t="shared" si="91"/>
        <v>H1_2026</v>
      </c>
      <c r="AC1017">
        <f t="shared" si="92"/>
        <v>25832683.52</v>
      </c>
      <c r="AD1017">
        <f t="shared" si="93"/>
        <v>1990</v>
      </c>
      <c r="AE1017">
        <f t="shared" si="94"/>
        <v>5415283.5199999996</v>
      </c>
      <c r="AF1017" t="str">
        <f t="shared" si="95"/>
        <v>Paid</v>
      </c>
    </row>
    <row r="1018" spans="1:32" ht="17.25" thickBot="1" x14ac:dyDescent="0.35">
      <c r="A1018" s="2" t="s">
        <v>7093</v>
      </c>
      <c r="B1018" s="2" t="s">
        <v>27</v>
      </c>
      <c r="C1018" s="2" t="s">
        <v>28</v>
      </c>
      <c r="D1018" s="2" t="s">
        <v>97</v>
      </c>
      <c r="E1018" s="2" t="s">
        <v>6904</v>
      </c>
      <c r="F1018" s="2" t="s">
        <v>99</v>
      </c>
      <c r="G1018" s="2" t="s">
        <v>32</v>
      </c>
      <c r="H1018" s="1"/>
      <c r="I1018" s="2" t="s">
        <v>33</v>
      </c>
      <c r="J1018" s="2" t="s">
        <v>34</v>
      </c>
      <c r="K1018" s="2" t="s">
        <v>858</v>
      </c>
      <c r="L1018" s="2" t="s">
        <v>859</v>
      </c>
      <c r="M1018" s="2" t="s">
        <v>772</v>
      </c>
      <c r="N1018" s="2" t="s">
        <v>38</v>
      </c>
      <c r="O1018" s="2" t="s">
        <v>221</v>
      </c>
      <c r="P1018" s="2" t="s">
        <v>6196</v>
      </c>
      <c r="Q1018" s="2" t="s">
        <v>7094</v>
      </c>
      <c r="R1018" s="2" t="s">
        <v>40</v>
      </c>
      <c r="S1018" s="2" t="s">
        <v>7095</v>
      </c>
      <c r="T1018" s="2" t="s">
        <v>864</v>
      </c>
      <c r="U1018" s="2" t="s">
        <v>7096</v>
      </c>
      <c r="V1018" s="2" t="s">
        <v>7097</v>
      </c>
      <c r="W1018" s="1"/>
      <c r="X1018" s="2" t="s">
        <v>976</v>
      </c>
      <c r="Y1018" s="2" t="s">
        <v>6911</v>
      </c>
      <c r="AA1018" t="str">
        <f t="shared" si="90"/>
        <v>2026-03</v>
      </c>
      <c r="AB1018" t="str">
        <f t="shared" si="91"/>
        <v>H1_2026</v>
      </c>
      <c r="AC1018">
        <f t="shared" si="92"/>
        <v>1316379.68</v>
      </c>
      <c r="AD1018">
        <f t="shared" si="93"/>
        <v>140</v>
      </c>
      <c r="AE1018">
        <f t="shared" si="94"/>
        <v>266379.68</v>
      </c>
      <c r="AF1018" t="str">
        <f t="shared" si="95"/>
        <v>Paid</v>
      </c>
    </row>
    <row r="1019" spans="1:32" ht="17.25" thickBot="1" x14ac:dyDescent="0.35">
      <c r="A1019" s="2" t="s">
        <v>7098</v>
      </c>
      <c r="B1019" s="2" t="s">
        <v>27</v>
      </c>
      <c r="C1019" s="2" t="s">
        <v>28</v>
      </c>
      <c r="D1019" s="2" t="s">
        <v>97</v>
      </c>
      <c r="E1019" s="2" t="s">
        <v>6904</v>
      </c>
      <c r="F1019" s="2" t="s">
        <v>99</v>
      </c>
      <c r="G1019" s="2" t="s">
        <v>32</v>
      </c>
      <c r="H1019" s="1"/>
      <c r="I1019" s="2" t="s">
        <v>33</v>
      </c>
      <c r="J1019" s="2" t="s">
        <v>34</v>
      </c>
      <c r="K1019" s="2" t="s">
        <v>868</v>
      </c>
      <c r="L1019" s="2" t="s">
        <v>869</v>
      </c>
      <c r="M1019" s="2" t="s">
        <v>772</v>
      </c>
      <c r="N1019" s="2" t="s">
        <v>38</v>
      </c>
      <c r="O1019" s="2" t="s">
        <v>79</v>
      </c>
      <c r="P1019" s="2" t="s">
        <v>4284</v>
      </c>
      <c r="Q1019" s="2" t="s">
        <v>7099</v>
      </c>
      <c r="R1019" s="2" t="s">
        <v>40</v>
      </c>
      <c r="S1019" s="2" t="s">
        <v>7100</v>
      </c>
      <c r="T1019" s="2" t="s">
        <v>873</v>
      </c>
      <c r="U1019" s="2" t="s">
        <v>7101</v>
      </c>
      <c r="V1019" s="2" t="s">
        <v>7102</v>
      </c>
      <c r="W1019" s="1"/>
      <c r="X1019" s="2" t="s">
        <v>2797</v>
      </c>
      <c r="Y1019" s="2" t="s">
        <v>6911</v>
      </c>
      <c r="AA1019" t="str">
        <f t="shared" si="90"/>
        <v>2026-03</v>
      </c>
      <c r="AB1019" t="str">
        <f t="shared" si="91"/>
        <v>H1_2026</v>
      </c>
      <c r="AC1019">
        <f t="shared" si="92"/>
        <v>104893.12</v>
      </c>
      <c r="AD1019">
        <f t="shared" si="93"/>
        <v>10</v>
      </c>
      <c r="AE1019">
        <f t="shared" si="94"/>
        <v>21493.119999999999</v>
      </c>
      <c r="AF1019" t="str">
        <f t="shared" si="95"/>
        <v>Paid</v>
      </c>
    </row>
    <row r="1020" spans="1:32" ht="17.25" thickBot="1" x14ac:dyDescent="0.35">
      <c r="A1020" s="2" t="s">
        <v>7103</v>
      </c>
      <c r="B1020" s="2" t="s">
        <v>27</v>
      </c>
      <c r="C1020" s="2" t="s">
        <v>28</v>
      </c>
      <c r="D1020" s="2" t="s">
        <v>97</v>
      </c>
      <c r="E1020" s="2" t="s">
        <v>6904</v>
      </c>
      <c r="F1020" s="2" t="s">
        <v>99</v>
      </c>
      <c r="G1020" s="2" t="s">
        <v>32</v>
      </c>
      <c r="H1020" s="1"/>
      <c r="I1020" s="2" t="s">
        <v>33</v>
      </c>
      <c r="J1020" s="2" t="s">
        <v>34</v>
      </c>
      <c r="K1020" s="2" t="s">
        <v>888</v>
      </c>
      <c r="L1020" s="2" t="s">
        <v>889</v>
      </c>
      <c r="M1020" s="2" t="s">
        <v>772</v>
      </c>
      <c r="N1020" s="2" t="s">
        <v>38</v>
      </c>
      <c r="O1020" s="2" t="s">
        <v>779</v>
      </c>
      <c r="P1020" s="2" t="s">
        <v>4352</v>
      </c>
      <c r="Q1020" s="2" t="s">
        <v>7104</v>
      </c>
      <c r="R1020" s="2" t="s">
        <v>40</v>
      </c>
      <c r="S1020" s="2" t="s">
        <v>7105</v>
      </c>
      <c r="T1020" s="2" t="s">
        <v>894</v>
      </c>
      <c r="U1020" s="2" t="s">
        <v>7106</v>
      </c>
      <c r="V1020" s="2" t="s">
        <v>7107</v>
      </c>
      <c r="W1020" s="1"/>
      <c r="X1020" s="2" t="s">
        <v>7108</v>
      </c>
      <c r="Y1020" s="2" t="s">
        <v>6911</v>
      </c>
      <c r="AA1020" t="str">
        <f t="shared" si="90"/>
        <v>2026-03</v>
      </c>
      <c r="AB1020" t="str">
        <f t="shared" si="91"/>
        <v>H1_2026</v>
      </c>
      <c r="AC1020">
        <f t="shared" si="92"/>
        <v>1120067.28</v>
      </c>
      <c r="AD1020">
        <f t="shared" si="93"/>
        <v>90</v>
      </c>
      <c r="AE1020">
        <f t="shared" si="94"/>
        <v>243917.28</v>
      </c>
      <c r="AF1020" t="str">
        <f t="shared" si="95"/>
        <v>Paid</v>
      </c>
    </row>
    <row r="1021" spans="1:32" ht="17.25" thickBot="1" x14ac:dyDescent="0.35">
      <c r="A1021" s="2" t="s">
        <v>7109</v>
      </c>
      <c r="B1021" s="2" t="s">
        <v>27</v>
      </c>
      <c r="C1021" s="2" t="s">
        <v>28</v>
      </c>
      <c r="D1021" s="2" t="s">
        <v>97</v>
      </c>
      <c r="E1021" s="2" t="s">
        <v>6904</v>
      </c>
      <c r="F1021" s="2" t="s">
        <v>99</v>
      </c>
      <c r="G1021" s="2" t="s">
        <v>32</v>
      </c>
      <c r="H1021" s="1"/>
      <c r="I1021" s="2" t="s">
        <v>33</v>
      </c>
      <c r="J1021" s="2" t="s">
        <v>34</v>
      </c>
      <c r="K1021" s="2" t="s">
        <v>936</v>
      </c>
      <c r="L1021" s="2" t="s">
        <v>937</v>
      </c>
      <c r="M1021" s="2" t="s">
        <v>772</v>
      </c>
      <c r="N1021" s="2" t="s">
        <v>38</v>
      </c>
      <c r="O1021" s="2" t="s">
        <v>831</v>
      </c>
      <c r="P1021" s="2" t="s">
        <v>6369</v>
      </c>
      <c r="Q1021" s="2" t="s">
        <v>7110</v>
      </c>
      <c r="R1021" s="2" t="s">
        <v>40</v>
      </c>
      <c r="S1021" s="2" t="s">
        <v>7111</v>
      </c>
      <c r="T1021" s="2" t="s">
        <v>942</v>
      </c>
      <c r="U1021" s="2" t="s">
        <v>7112</v>
      </c>
      <c r="V1021" s="2" t="s">
        <v>7113</v>
      </c>
      <c r="W1021" s="1"/>
      <c r="X1021" s="2" t="s">
        <v>827</v>
      </c>
      <c r="Y1021" s="2" t="s">
        <v>6911</v>
      </c>
      <c r="AA1021" t="str">
        <f t="shared" si="90"/>
        <v>2026-03</v>
      </c>
      <c r="AB1021" t="str">
        <f t="shared" si="91"/>
        <v>H1_2026</v>
      </c>
      <c r="AC1021">
        <f t="shared" si="92"/>
        <v>12372752</v>
      </c>
      <c r="AD1021">
        <f t="shared" si="93"/>
        <v>1000</v>
      </c>
      <c r="AE1021">
        <f t="shared" si="94"/>
        <v>2543752</v>
      </c>
      <c r="AF1021" t="str">
        <f t="shared" si="95"/>
        <v>Paid</v>
      </c>
    </row>
    <row r="1022" spans="1:32" ht="17.25" thickBot="1" x14ac:dyDescent="0.35">
      <c r="A1022" s="2" t="s">
        <v>7114</v>
      </c>
      <c r="B1022" s="2" t="s">
        <v>27</v>
      </c>
      <c r="C1022" s="2" t="s">
        <v>28</v>
      </c>
      <c r="D1022" s="2" t="s">
        <v>97</v>
      </c>
      <c r="E1022" s="2" t="s">
        <v>6904</v>
      </c>
      <c r="F1022" s="2" t="s">
        <v>99</v>
      </c>
      <c r="G1022" s="2" t="s">
        <v>32</v>
      </c>
      <c r="H1022" s="1"/>
      <c r="I1022" s="2" t="s">
        <v>33</v>
      </c>
      <c r="J1022" s="2" t="s">
        <v>34</v>
      </c>
      <c r="K1022" s="2" t="s">
        <v>988</v>
      </c>
      <c r="L1022" s="2" t="s">
        <v>989</v>
      </c>
      <c r="M1022" s="2" t="s">
        <v>772</v>
      </c>
      <c r="N1022" s="2" t="s">
        <v>38</v>
      </c>
      <c r="O1022" s="2" t="s">
        <v>1904</v>
      </c>
      <c r="P1022" s="2" t="s">
        <v>402</v>
      </c>
      <c r="Q1022" s="2" t="s">
        <v>7115</v>
      </c>
      <c r="R1022" s="2" t="s">
        <v>40</v>
      </c>
      <c r="S1022" s="2" t="s">
        <v>7116</v>
      </c>
      <c r="T1022" s="2" t="s">
        <v>994</v>
      </c>
      <c r="U1022" s="2" t="s">
        <v>7117</v>
      </c>
      <c r="V1022" s="2" t="s">
        <v>7118</v>
      </c>
      <c r="W1022" s="1"/>
      <c r="X1022" s="2" t="s">
        <v>3589</v>
      </c>
      <c r="Y1022" s="2" t="s">
        <v>6911</v>
      </c>
      <c r="AA1022" t="str">
        <f t="shared" si="90"/>
        <v>2026-03</v>
      </c>
      <c r="AB1022" t="str">
        <f t="shared" si="91"/>
        <v>H1_2026</v>
      </c>
      <c r="AC1022">
        <f t="shared" si="92"/>
        <v>2992351.52</v>
      </c>
      <c r="AD1022">
        <f t="shared" si="93"/>
        <v>230</v>
      </c>
      <c r="AE1022">
        <f t="shared" si="94"/>
        <v>611851.52000000002</v>
      </c>
      <c r="AF1022" t="str">
        <f t="shared" si="95"/>
        <v>Paid</v>
      </c>
    </row>
    <row r="1023" spans="1:32" ht="17.25" thickBot="1" x14ac:dyDescent="0.35">
      <c r="A1023" s="2" t="s">
        <v>7119</v>
      </c>
      <c r="B1023" s="2" t="s">
        <v>27</v>
      </c>
      <c r="C1023" s="2" t="s">
        <v>28</v>
      </c>
      <c r="D1023" s="2" t="s">
        <v>97</v>
      </c>
      <c r="E1023" s="2" t="s">
        <v>6904</v>
      </c>
      <c r="F1023" s="2" t="s">
        <v>99</v>
      </c>
      <c r="G1023" s="2" t="s">
        <v>32</v>
      </c>
      <c r="H1023" s="1"/>
      <c r="I1023" s="2" t="s">
        <v>33</v>
      </c>
      <c r="J1023" s="2" t="s">
        <v>34</v>
      </c>
      <c r="K1023" s="2" t="s">
        <v>6420</v>
      </c>
      <c r="L1023" s="2" t="s">
        <v>6421</v>
      </c>
      <c r="M1023" s="2" t="s">
        <v>772</v>
      </c>
      <c r="N1023" s="2" t="s">
        <v>38</v>
      </c>
      <c r="O1023" s="2" t="s">
        <v>1836</v>
      </c>
      <c r="P1023" s="2" t="s">
        <v>7120</v>
      </c>
      <c r="Q1023" s="2" t="s">
        <v>7121</v>
      </c>
      <c r="R1023" s="2" t="s">
        <v>40</v>
      </c>
      <c r="S1023" s="2" t="s">
        <v>7122</v>
      </c>
      <c r="T1023" s="2" t="s">
        <v>864</v>
      </c>
      <c r="U1023" s="2" t="s">
        <v>7123</v>
      </c>
      <c r="V1023" s="2" t="s">
        <v>7124</v>
      </c>
      <c r="W1023" s="1"/>
      <c r="X1023" s="2" t="s">
        <v>7125</v>
      </c>
      <c r="Y1023" s="2" t="s">
        <v>6911</v>
      </c>
      <c r="AA1023" t="str">
        <f t="shared" si="90"/>
        <v>2026-03</v>
      </c>
      <c r="AB1023" t="str">
        <f t="shared" si="91"/>
        <v>H1_2026</v>
      </c>
      <c r="AC1023">
        <f t="shared" si="92"/>
        <v>2100470.2400000002</v>
      </c>
      <c r="AD1023">
        <f t="shared" si="93"/>
        <v>220</v>
      </c>
      <c r="AE1023">
        <f t="shared" si="94"/>
        <v>450470.24</v>
      </c>
      <c r="AF1023" t="str">
        <f t="shared" si="95"/>
        <v>Paid</v>
      </c>
    </row>
    <row r="1024" spans="1:32" ht="17.25" thickBot="1" x14ac:dyDescent="0.35">
      <c r="A1024" s="2" t="s">
        <v>7126</v>
      </c>
      <c r="B1024" s="2" t="s">
        <v>27</v>
      </c>
      <c r="C1024" s="2" t="s">
        <v>28</v>
      </c>
      <c r="D1024" s="2" t="s">
        <v>97</v>
      </c>
      <c r="E1024" s="2" t="s">
        <v>6904</v>
      </c>
      <c r="F1024" s="2" t="s">
        <v>99</v>
      </c>
      <c r="G1024" s="2" t="s">
        <v>32</v>
      </c>
      <c r="H1024" s="1"/>
      <c r="I1024" s="2" t="s">
        <v>33</v>
      </c>
      <c r="J1024" s="2" t="s">
        <v>34</v>
      </c>
      <c r="K1024" s="2" t="s">
        <v>1026</v>
      </c>
      <c r="L1024" s="2" t="s">
        <v>1027</v>
      </c>
      <c r="M1024" s="2" t="s">
        <v>772</v>
      </c>
      <c r="N1024" s="2" t="s">
        <v>38</v>
      </c>
      <c r="O1024" s="2" t="s">
        <v>156</v>
      </c>
      <c r="P1024" s="2" t="s">
        <v>7120</v>
      </c>
      <c r="Q1024" s="2" t="s">
        <v>7127</v>
      </c>
      <c r="R1024" s="2" t="s">
        <v>40</v>
      </c>
      <c r="S1024" s="2" t="s">
        <v>7128</v>
      </c>
      <c r="T1024" s="2" t="s">
        <v>864</v>
      </c>
      <c r="U1024" s="2" t="s">
        <v>7129</v>
      </c>
      <c r="V1024" s="2" t="s">
        <v>7130</v>
      </c>
      <c r="W1024" s="1"/>
      <c r="X1024" s="2" t="s">
        <v>7125</v>
      </c>
      <c r="Y1024" s="2" t="s">
        <v>6911</v>
      </c>
      <c r="AA1024" t="str">
        <f t="shared" si="90"/>
        <v>2026-03</v>
      </c>
      <c r="AB1024" t="str">
        <f t="shared" si="91"/>
        <v>H1_2026</v>
      </c>
      <c r="AC1024">
        <f t="shared" si="92"/>
        <v>190951.84</v>
      </c>
      <c r="AD1024">
        <f t="shared" si="93"/>
        <v>20</v>
      </c>
      <c r="AE1024">
        <f t="shared" si="94"/>
        <v>40951.839999999997</v>
      </c>
      <c r="AF1024" t="str">
        <f t="shared" si="95"/>
        <v>Paid</v>
      </c>
    </row>
    <row r="1025" spans="1:32" ht="27.75" thickBot="1" x14ac:dyDescent="0.35">
      <c r="A1025" s="2" t="s">
        <v>7131</v>
      </c>
      <c r="B1025" s="2" t="s">
        <v>27</v>
      </c>
      <c r="C1025" s="2" t="s">
        <v>28</v>
      </c>
      <c r="D1025" s="2" t="s">
        <v>97</v>
      </c>
      <c r="E1025" s="2" t="s">
        <v>6904</v>
      </c>
      <c r="F1025" s="2" t="s">
        <v>99</v>
      </c>
      <c r="G1025" s="2" t="s">
        <v>32</v>
      </c>
      <c r="H1025" s="1"/>
      <c r="I1025" s="2" t="s">
        <v>33</v>
      </c>
      <c r="J1025" s="2" t="s">
        <v>34</v>
      </c>
      <c r="K1025" s="2" t="s">
        <v>3075</v>
      </c>
      <c r="L1025" s="2" t="s">
        <v>3076</v>
      </c>
      <c r="M1025" s="2" t="s">
        <v>3067</v>
      </c>
      <c r="N1025" s="2" t="s">
        <v>38</v>
      </c>
      <c r="O1025" s="2" t="s">
        <v>141</v>
      </c>
      <c r="P1025" s="2" t="s">
        <v>7132</v>
      </c>
      <c r="Q1025" s="2" t="s">
        <v>7133</v>
      </c>
      <c r="R1025" s="2" t="s">
        <v>40</v>
      </c>
      <c r="S1025" s="2" t="s">
        <v>7134</v>
      </c>
      <c r="T1025" s="2" t="s">
        <v>3079</v>
      </c>
      <c r="U1025" s="2" t="s">
        <v>7135</v>
      </c>
      <c r="V1025" s="2" t="s">
        <v>7136</v>
      </c>
      <c r="W1025" s="1"/>
      <c r="X1025" s="2" t="s">
        <v>7137</v>
      </c>
      <c r="Y1025" s="2" t="s">
        <v>6911</v>
      </c>
      <c r="AA1025" t="str">
        <f t="shared" si="90"/>
        <v>2026-03</v>
      </c>
      <c r="AB1025" t="str">
        <f t="shared" si="91"/>
        <v>H1_2026</v>
      </c>
      <c r="AC1025">
        <f t="shared" si="92"/>
        <v>218189.28</v>
      </c>
      <c r="AD1025">
        <f t="shared" si="93"/>
        <v>30</v>
      </c>
      <c r="AE1025">
        <f t="shared" si="94"/>
        <v>44189.279999999999</v>
      </c>
      <c r="AF1025" t="str">
        <f t="shared" si="95"/>
        <v>Paid</v>
      </c>
    </row>
    <row r="1026" spans="1:32" ht="27.75" thickBot="1" x14ac:dyDescent="0.35">
      <c r="A1026" s="2" t="s">
        <v>7138</v>
      </c>
      <c r="B1026" s="2" t="s">
        <v>27</v>
      </c>
      <c r="C1026" s="2" t="s">
        <v>28</v>
      </c>
      <c r="D1026" s="2" t="s">
        <v>97</v>
      </c>
      <c r="E1026" s="2" t="s">
        <v>6904</v>
      </c>
      <c r="F1026" s="2" t="s">
        <v>99</v>
      </c>
      <c r="G1026" s="2" t="s">
        <v>32</v>
      </c>
      <c r="H1026" s="1"/>
      <c r="I1026" s="2" t="s">
        <v>33</v>
      </c>
      <c r="J1026" s="2" t="s">
        <v>34</v>
      </c>
      <c r="K1026" s="2" t="s">
        <v>3091</v>
      </c>
      <c r="L1026" s="2" t="s">
        <v>3092</v>
      </c>
      <c r="M1026" s="2" t="s">
        <v>3067</v>
      </c>
      <c r="N1026" s="2" t="s">
        <v>38</v>
      </c>
      <c r="O1026" s="2" t="s">
        <v>156</v>
      </c>
      <c r="P1026" s="2" t="s">
        <v>7139</v>
      </c>
      <c r="Q1026" s="2" t="s">
        <v>7140</v>
      </c>
      <c r="R1026" s="2" t="s">
        <v>40</v>
      </c>
      <c r="S1026" s="2" t="s">
        <v>7141</v>
      </c>
      <c r="T1026" s="2" t="s">
        <v>669</v>
      </c>
      <c r="U1026" s="2" t="s">
        <v>3024</v>
      </c>
      <c r="V1026" s="2" t="s">
        <v>7142</v>
      </c>
      <c r="W1026" s="1"/>
      <c r="X1026" s="2" t="s">
        <v>976</v>
      </c>
      <c r="Y1026" s="2" t="s">
        <v>6911</v>
      </c>
      <c r="AA1026" t="str">
        <f t="shared" si="90"/>
        <v>2026-03</v>
      </c>
      <c r="AB1026" t="str">
        <f t="shared" si="91"/>
        <v>H1_2026</v>
      </c>
      <c r="AC1026">
        <f t="shared" si="92"/>
        <v>150385.44</v>
      </c>
      <c r="AD1026">
        <f t="shared" si="93"/>
        <v>20</v>
      </c>
      <c r="AE1026">
        <f t="shared" si="94"/>
        <v>30385.439999999999</v>
      </c>
      <c r="AF1026" t="str">
        <f t="shared" si="95"/>
        <v>Paid</v>
      </c>
    </row>
    <row r="1027" spans="1:32" ht="17.25" thickBot="1" x14ac:dyDescent="0.35">
      <c r="A1027" s="2" t="s">
        <v>7143</v>
      </c>
      <c r="B1027" s="2" t="s">
        <v>27</v>
      </c>
      <c r="C1027" s="2" t="s">
        <v>28</v>
      </c>
      <c r="D1027" s="2" t="s">
        <v>97</v>
      </c>
      <c r="E1027" s="2" t="s">
        <v>6904</v>
      </c>
      <c r="F1027" s="2" t="s">
        <v>99</v>
      </c>
      <c r="G1027" s="2" t="s">
        <v>32</v>
      </c>
      <c r="H1027" s="1"/>
      <c r="I1027" s="2" t="s">
        <v>33</v>
      </c>
      <c r="J1027" s="2" t="s">
        <v>34</v>
      </c>
      <c r="K1027" s="2" t="s">
        <v>6453</v>
      </c>
      <c r="L1027" s="2" t="s">
        <v>6454</v>
      </c>
      <c r="M1027" s="2" t="s">
        <v>37</v>
      </c>
      <c r="N1027" s="2" t="s">
        <v>38</v>
      </c>
      <c r="O1027" s="2" t="s">
        <v>131</v>
      </c>
      <c r="P1027" s="2" t="s">
        <v>7144</v>
      </c>
      <c r="Q1027" s="2" t="s">
        <v>7145</v>
      </c>
      <c r="R1027" s="2" t="s">
        <v>40</v>
      </c>
      <c r="S1027" s="2" t="s">
        <v>7146</v>
      </c>
      <c r="T1027" s="2" t="s">
        <v>5434</v>
      </c>
      <c r="U1027" s="2" t="s">
        <v>7147</v>
      </c>
      <c r="V1027" s="2" t="s">
        <v>7148</v>
      </c>
      <c r="W1027" s="1"/>
      <c r="X1027" s="2" t="s">
        <v>1016</v>
      </c>
      <c r="Y1027" s="2" t="s">
        <v>6911</v>
      </c>
      <c r="AA1027" t="str">
        <f t="shared" si="90"/>
        <v>2026-03</v>
      </c>
      <c r="AB1027" t="str">
        <f t="shared" si="91"/>
        <v>H1_2026</v>
      </c>
      <c r="AC1027">
        <f t="shared" si="92"/>
        <v>271215.35999999999</v>
      </c>
      <c r="AD1027">
        <f t="shared" si="93"/>
        <v>40</v>
      </c>
      <c r="AE1027">
        <f t="shared" si="94"/>
        <v>79215.360000000001</v>
      </c>
      <c r="AF1027" t="str">
        <f t="shared" si="95"/>
        <v>Paid</v>
      </c>
    </row>
    <row r="1028" spans="1:32" ht="17.25" thickBot="1" x14ac:dyDescent="0.35">
      <c r="A1028" s="2" t="s">
        <v>7149</v>
      </c>
      <c r="B1028" s="2" t="s">
        <v>27</v>
      </c>
      <c r="C1028" s="2" t="s">
        <v>28</v>
      </c>
      <c r="D1028" s="2" t="s">
        <v>97</v>
      </c>
      <c r="E1028" s="2" t="s">
        <v>6904</v>
      </c>
      <c r="F1028" s="2" t="s">
        <v>99</v>
      </c>
      <c r="G1028" s="2" t="s">
        <v>32</v>
      </c>
      <c r="H1028" s="1"/>
      <c r="I1028" s="2" t="s">
        <v>33</v>
      </c>
      <c r="J1028" s="2" t="s">
        <v>34</v>
      </c>
      <c r="K1028" s="2" t="s">
        <v>1131</v>
      </c>
      <c r="L1028" s="2" t="s">
        <v>1132</v>
      </c>
      <c r="M1028" s="2" t="s">
        <v>37</v>
      </c>
      <c r="N1028" s="2" t="s">
        <v>38</v>
      </c>
      <c r="O1028" s="2" t="s">
        <v>79</v>
      </c>
      <c r="P1028" s="2" t="s">
        <v>7150</v>
      </c>
      <c r="Q1028" s="2" t="s">
        <v>2327</v>
      </c>
      <c r="R1028" s="2" t="s">
        <v>40</v>
      </c>
      <c r="S1028" s="2" t="s">
        <v>7151</v>
      </c>
      <c r="T1028" s="2" t="s">
        <v>1136</v>
      </c>
      <c r="U1028" s="2" t="s">
        <v>7152</v>
      </c>
      <c r="V1028" s="2" t="s">
        <v>7153</v>
      </c>
      <c r="W1028" s="1"/>
      <c r="X1028" s="2" t="s">
        <v>2638</v>
      </c>
      <c r="Y1028" s="2" t="s">
        <v>6911</v>
      </c>
      <c r="AA1028" t="str">
        <f t="shared" ref="AA1028:AA1091" si="96">LEFT(E1028,7)</f>
        <v>2026-03</v>
      </c>
      <c r="AB1028" t="str">
        <f t="shared" ref="AB1028:AB1091" si="97">IF(AND($AA1028&gt;="2025-01",$AA1028&lt;="2025-06"),"H1_2025",IF(AND($AA1028&gt;="2026-01",$AA1028&lt;="2026-06"),"H1_2026",""))</f>
        <v>H1_2026</v>
      </c>
      <c r="AC1028">
        <f t="shared" ref="AC1028:AC1091" si="98">IFERROR(VALUE(SUBSTITUTE(S1028,",","")),0)</f>
        <v>50852.88</v>
      </c>
      <c r="AD1028">
        <f t="shared" ref="AD1028:AD1091" si="99">IFERROR(VALUE(SUBSTITUTE(O1028,",","")),0)</f>
        <v>10</v>
      </c>
      <c r="AE1028">
        <f t="shared" ref="AE1028:AE1091" si="100">IFERROR(VALUE(SUBSTITUTE(V1028,",","")),0)</f>
        <v>8852.8799999999992</v>
      </c>
      <c r="AF1028" t="str">
        <f t="shared" ref="AF1028:AF1091" si="101">IF(ISNUMBER(SEARCH("FOC",W1028)),"FOC",IF(ISNUMBER(SEARCH("샘플",W1028)),"Sample","Paid"))</f>
        <v>Paid</v>
      </c>
    </row>
    <row r="1029" spans="1:32" ht="27.75" thickBot="1" x14ac:dyDescent="0.35">
      <c r="A1029" s="2" t="s">
        <v>7154</v>
      </c>
      <c r="B1029" s="2" t="s">
        <v>27</v>
      </c>
      <c r="C1029" s="2" t="s">
        <v>28</v>
      </c>
      <c r="D1029" s="2" t="s">
        <v>97</v>
      </c>
      <c r="E1029" s="2" t="s">
        <v>6904</v>
      </c>
      <c r="F1029" s="2" t="s">
        <v>99</v>
      </c>
      <c r="G1029" s="2" t="s">
        <v>32</v>
      </c>
      <c r="H1029" s="1"/>
      <c r="I1029" s="2" t="s">
        <v>33</v>
      </c>
      <c r="J1029" s="2" t="s">
        <v>34</v>
      </c>
      <c r="K1029" s="2" t="s">
        <v>7155</v>
      </c>
      <c r="L1029" s="2" t="s">
        <v>7156</v>
      </c>
      <c r="M1029" s="2" t="s">
        <v>37</v>
      </c>
      <c r="N1029" s="2" t="s">
        <v>38</v>
      </c>
      <c r="O1029" s="2" t="s">
        <v>466</v>
      </c>
      <c r="P1029" s="2" t="s">
        <v>7157</v>
      </c>
      <c r="Q1029" s="2" t="s">
        <v>7158</v>
      </c>
      <c r="R1029" s="2" t="s">
        <v>40</v>
      </c>
      <c r="S1029" s="2" t="s">
        <v>7159</v>
      </c>
      <c r="T1029" s="2" t="s">
        <v>1178</v>
      </c>
      <c r="U1029" s="2" t="s">
        <v>7160</v>
      </c>
      <c r="V1029" s="2" t="s">
        <v>7161</v>
      </c>
      <c r="W1029" s="1"/>
      <c r="X1029" s="2" t="s">
        <v>4626</v>
      </c>
      <c r="Y1029" s="2" t="s">
        <v>6911</v>
      </c>
      <c r="AA1029" t="str">
        <f t="shared" si="96"/>
        <v>2026-03</v>
      </c>
      <c r="AB1029" t="str">
        <f t="shared" si="97"/>
        <v>H1_2026</v>
      </c>
      <c r="AC1029">
        <f t="shared" si="98"/>
        <v>653119.04</v>
      </c>
      <c r="AD1029">
        <f t="shared" si="99"/>
        <v>70</v>
      </c>
      <c r="AE1029">
        <f t="shared" si="100"/>
        <v>114119.03999999999</v>
      </c>
      <c r="AF1029" t="str">
        <f t="shared" si="101"/>
        <v>Paid</v>
      </c>
    </row>
    <row r="1030" spans="1:32" ht="17.25" thickBot="1" x14ac:dyDescent="0.35">
      <c r="A1030" s="2" t="s">
        <v>7162</v>
      </c>
      <c r="B1030" s="2" t="s">
        <v>27</v>
      </c>
      <c r="C1030" s="2" t="s">
        <v>28</v>
      </c>
      <c r="D1030" s="2" t="s">
        <v>97</v>
      </c>
      <c r="E1030" s="2" t="s">
        <v>6904</v>
      </c>
      <c r="F1030" s="2" t="s">
        <v>99</v>
      </c>
      <c r="G1030" s="2" t="s">
        <v>32</v>
      </c>
      <c r="H1030" s="1"/>
      <c r="I1030" s="2" t="s">
        <v>33</v>
      </c>
      <c r="J1030" s="2" t="s">
        <v>34</v>
      </c>
      <c r="K1030" s="2" t="s">
        <v>1148</v>
      </c>
      <c r="L1030" s="2" t="s">
        <v>1149</v>
      </c>
      <c r="M1030" s="2" t="s">
        <v>37</v>
      </c>
      <c r="N1030" s="2" t="s">
        <v>38</v>
      </c>
      <c r="O1030" s="2" t="s">
        <v>159</v>
      </c>
      <c r="P1030" s="2" t="s">
        <v>7144</v>
      </c>
      <c r="Q1030" s="2" t="s">
        <v>7163</v>
      </c>
      <c r="R1030" s="2" t="s">
        <v>40</v>
      </c>
      <c r="S1030" s="2" t="s">
        <v>7164</v>
      </c>
      <c r="T1030" s="2" t="s">
        <v>107</v>
      </c>
      <c r="U1030" s="2" t="s">
        <v>7165</v>
      </c>
      <c r="V1030" s="2" t="s">
        <v>7166</v>
      </c>
      <c r="W1030" s="1"/>
      <c r="X1030" s="2" t="s">
        <v>2638</v>
      </c>
      <c r="Y1030" s="2" t="s">
        <v>6911</v>
      </c>
      <c r="AA1030" t="str">
        <f t="shared" si="96"/>
        <v>2026-03</v>
      </c>
      <c r="AB1030" t="str">
        <f t="shared" si="97"/>
        <v>H1_2026</v>
      </c>
      <c r="AC1030">
        <f t="shared" si="98"/>
        <v>542430.71999999997</v>
      </c>
      <c r="AD1030">
        <f t="shared" si="99"/>
        <v>80</v>
      </c>
      <c r="AE1030">
        <f t="shared" si="100"/>
        <v>94430.720000000001</v>
      </c>
      <c r="AF1030" t="str">
        <f t="shared" si="101"/>
        <v>Paid</v>
      </c>
    </row>
    <row r="1031" spans="1:32" ht="17.25" thickBot="1" x14ac:dyDescent="0.35">
      <c r="A1031" s="2" t="s">
        <v>7167</v>
      </c>
      <c r="B1031" s="2" t="s">
        <v>27</v>
      </c>
      <c r="C1031" s="2" t="s">
        <v>28</v>
      </c>
      <c r="D1031" s="2" t="s">
        <v>97</v>
      </c>
      <c r="E1031" s="2" t="s">
        <v>6904</v>
      </c>
      <c r="F1031" s="2" t="s">
        <v>99</v>
      </c>
      <c r="G1031" s="2" t="s">
        <v>32</v>
      </c>
      <c r="H1031" s="1"/>
      <c r="I1031" s="2" t="s">
        <v>33</v>
      </c>
      <c r="J1031" s="2" t="s">
        <v>34</v>
      </c>
      <c r="K1031" s="2" t="s">
        <v>1182</v>
      </c>
      <c r="L1031" s="2" t="s">
        <v>1183</v>
      </c>
      <c r="M1031" s="2" t="s">
        <v>37</v>
      </c>
      <c r="N1031" s="2" t="s">
        <v>38</v>
      </c>
      <c r="O1031" s="2" t="s">
        <v>779</v>
      </c>
      <c r="P1031" s="2" t="s">
        <v>7144</v>
      </c>
      <c r="Q1031" s="2" t="s">
        <v>7168</v>
      </c>
      <c r="R1031" s="2" t="s">
        <v>40</v>
      </c>
      <c r="S1031" s="2" t="s">
        <v>7169</v>
      </c>
      <c r="T1031" s="2" t="s">
        <v>107</v>
      </c>
      <c r="U1031" s="2" t="s">
        <v>7170</v>
      </c>
      <c r="V1031" s="2" t="s">
        <v>7171</v>
      </c>
      <c r="W1031" s="1"/>
      <c r="X1031" s="2" t="s">
        <v>2638</v>
      </c>
      <c r="Y1031" s="2" t="s">
        <v>6911</v>
      </c>
      <c r="AA1031" t="str">
        <f t="shared" si="96"/>
        <v>2026-03</v>
      </c>
      <c r="AB1031" t="str">
        <f t="shared" si="97"/>
        <v>H1_2026</v>
      </c>
      <c r="AC1031">
        <f t="shared" si="98"/>
        <v>610234.56000000006</v>
      </c>
      <c r="AD1031">
        <f t="shared" si="99"/>
        <v>90</v>
      </c>
      <c r="AE1031">
        <f t="shared" si="100"/>
        <v>106234.56</v>
      </c>
      <c r="AF1031" t="str">
        <f t="shared" si="101"/>
        <v>Paid</v>
      </c>
    </row>
    <row r="1032" spans="1:32" ht="17.25" thickBot="1" x14ac:dyDescent="0.35">
      <c r="A1032" s="2" t="s">
        <v>7172</v>
      </c>
      <c r="B1032" s="2" t="s">
        <v>27</v>
      </c>
      <c r="C1032" s="2" t="s">
        <v>28</v>
      </c>
      <c r="D1032" s="2" t="s">
        <v>97</v>
      </c>
      <c r="E1032" s="2" t="s">
        <v>6904</v>
      </c>
      <c r="F1032" s="2" t="s">
        <v>99</v>
      </c>
      <c r="G1032" s="2" t="s">
        <v>32</v>
      </c>
      <c r="H1032" s="1"/>
      <c r="I1032" s="2" t="s">
        <v>33</v>
      </c>
      <c r="J1032" s="2" t="s">
        <v>34</v>
      </c>
      <c r="K1032" s="2" t="s">
        <v>5660</v>
      </c>
      <c r="L1032" s="2" t="s">
        <v>5661</v>
      </c>
      <c r="M1032" s="2" t="s">
        <v>37</v>
      </c>
      <c r="N1032" s="2" t="s">
        <v>38</v>
      </c>
      <c r="O1032" s="2" t="s">
        <v>466</v>
      </c>
      <c r="P1032" s="2" t="s">
        <v>6905</v>
      </c>
      <c r="Q1032" s="2" t="s">
        <v>7173</v>
      </c>
      <c r="R1032" s="2" t="s">
        <v>40</v>
      </c>
      <c r="S1032" s="2" t="s">
        <v>7174</v>
      </c>
      <c r="T1032" s="2" t="s">
        <v>7175</v>
      </c>
      <c r="U1032" s="2" t="s">
        <v>7176</v>
      </c>
      <c r="V1032" s="2" t="s">
        <v>7177</v>
      </c>
      <c r="W1032" s="1"/>
      <c r="X1032" s="2" t="s">
        <v>1513</v>
      </c>
      <c r="Y1032" s="2" t="s">
        <v>6911</v>
      </c>
      <c r="AA1032" t="str">
        <f t="shared" si="96"/>
        <v>2026-03</v>
      </c>
      <c r="AB1032" t="str">
        <f t="shared" si="97"/>
        <v>H1_2026</v>
      </c>
      <c r="AC1032">
        <f t="shared" si="98"/>
        <v>712954.48</v>
      </c>
      <c r="AD1032">
        <f t="shared" si="99"/>
        <v>70</v>
      </c>
      <c r="AE1032">
        <f t="shared" si="100"/>
        <v>225754.48</v>
      </c>
      <c r="AF1032" t="str">
        <f t="shared" si="101"/>
        <v>Paid</v>
      </c>
    </row>
    <row r="1033" spans="1:32" ht="17.25" thickBot="1" x14ac:dyDescent="0.35">
      <c r="A1033" s="2" t="s">
        <v>7178</v>
      </c>
      <c r="B1033" s="2" t="s">
        <v>27</v>
      </c>
      <c r="C1033" s="2" t="s">
        <v>28</v>
      </c>
      <c r="D1033" s="2" t="s">
        <v>97</v>
      </c>
      <c r="E1033" s="2" t="s">
        <v>6904</v>
      </c>
      <c r="F1033" s="2" t="s">
        <v>99</v>
      </c>
      <c r="G1033" s="2" t="s">
        <v>32</v>
      </c>
      <c r="H1033" s="1"/>
      <c r="I1033" s="2" t="s">
        <v>33</v>
      </c>
      <c r="J1033" s="2" t="s">
        <v>34</v>
      </c>
      <c r="K1033" s="2" t="s">
        <v>6550</v>
      </c>
      <c r="L1033" s="2" t="s">
        <v>6551</v>
      </c>
      <c r="M1033" s="2" t="s">
        <v>37</v>
      </c>
      <c r="N1033" s="2" t="s">
        <v>38</v>
      </c>
      <c r="O1033" s="2" t="s">
        <v>1836</v>
      </c>
      <c r="P1033" s="2" t="s">
        <v>7179</v>
      </c>
      <c r="Q1033" s="2" t="s">
        <v>7180</v>
      </c>
      <c r="R1033" s="2" t="s">
        <v>40</v>
      </c>
      <c r="S1033" s="2" t="s">
        <v>7181</v>
      </c>
      <c r="T1033" s="2" t="s">
        <v>1262</v>
      </c>
      <c r="U1033" s="2" t="s">
        <v>7182</v>
      </c>
      <c r="V1033" s="2" t="s">
        <v>7183</v>
      </c>
      <c r="W1033" s="1"/>
      <c r="X1033" s="2" t="s">
        <v>2618</v>
      </c>
      <c r="Y1033" s="2" t="s">
        <v>6911</v>
      </c>
      <c r="AA1033" t="str">
        <f t="shared" si="96"/>
        <v>2026-03</v>
      </c>
      <c r="AB1033" t="str">
        <f t="shared" si="97"/>
        <v>H1_2026</v>
      </c>
      <c r="AC1033">
        <f t="shared" si="98"/>
        <v>1214384.1599999999</v>
      </c>
      <c r="AD1033">
        <f t="shared" si="99"/>
        <v>220</v>
      </c>
      <c r="AE1033">
        <f t="shared" si="100"/>
        <v>213384.16</v>
      </c>
      <c r="AF1033" t="str">
        <f t="shared" si="101"/>
        <v>Paid</v>
      </c>
    </row>
    <row r="1034" spans="1:32" ht="17.25" thickBot="1" x14ac:dyDescent="0.35">
      <c r="A1034" s="2" t="s">
        <v>7184</v>
      </c>
      <c r="B1034" s="2" t="s">
        <v>27</v>
      </c>
      <c r="C1034" s="2" t="s">
        <v>28</v>
      </c>
      <c r="D1034" s="2" t="s">
        <v>97</v>
      </c>
      <c r="E1034" s="2" t="s">
        <v>6904</v>
      </c>
      <c r="F1034" s="2" t="s">
        <v>99</v>
      </c>
      <c r="G1034" s="2" t="s">
        <v>32</v>
      </c>
      <c r="H1034" s="1"/>
      <c r="I1034" s="2" t="s">
        <v>33</v>
      </c>
      <c r="J1034" s="2" t="s">
        <v>34</v>
      </c>
      <c r="K1034" s="2" t="s">
        <v>5676</v>
      </c>
      <c r="L1034" s="2" t="s">
        <v>5677</v>
      </c>
      <c r="M1034" s="2" t="s">
        <v>37</v>
      </c>
      <c r="N1034" s="2" t="s">
        <v>38</v>
      </c>
      <c r="O1034" s="2" t="s">
        <v>1333</v>
      </c>
      <c r="P1034" s="2" t="s">
        <v>7185</v>
      </c>
      <c r="Q1034" s="2" t="s">
        <v>7186</v>
      </c>
      <c r="R1034" s="2" t="s">
        <v>40</v>
      </c>
      <c r="S1034" s="2" t="s">
        <v>7187</v>
      </c>
      <c r="T1034" s="2" t="s">
        <v>5680</v>
      </c>
      <c r="U1034" s="2" t="s">
        <v>7188</v>
      </c>
      <c r="V1034" s="2" t="s">
        <v>7189</v>
      </c>
      <c r="W1034" s="1"/>
      <c r="X1034" s="2" t="s">
        <v>4626</v>
      </c>
      <c r="Y1034" s="2" t="s">
        <v>6911</v>
      </c>
      <c r="AA1034" t="str">
        <f t="shared" si="96"/>
        <v>2026-03</v>
      </c>
      <c r="AB1034" t="str">
        <f t="shared" si="97"/>
        <v>H1_2026</v>
      </c>
      <c r="AC1034">
        <f t="shared" si="98"/>
        <v>2227530</v>
      </c>
      <c r="AD1034">
        <f t="shared" si="99"/>
        <v>150</v>
      </c>
      <c r="AE1034">
        <f t="shared" si="100"/>
        <v>390030</v>
      </c>
      <c r="AF1034" t="str">
        <f t="shared" si="101"/>
        <v>Paid</v>
      </c>
    </row>
    <row r="1035" spans="1:32" ht="17.25" thickBot="1" x14ac:dyDescent="0.35">
      <c r="A1035" s="2" t="s">
        <v>7190</v>
      </c>
      <c r="B1035" s="2" t="s">
        <v>27</v>
      </c>
      <c r="C1035" s="2" t="s">
        <v>28</v>
      </c>
      <c r="D1035" s="2" t="s">
        <v>97</v>
      </c>
      <c r="E1035" s="2" t="s">
        <v>6904</v>
      </c>
      <c r="F1035" s="2" t="s">
        <v>99</v>
      </c>
      <c r="G1035" s="2" t="s">
        <v>32</v>
      </c>
      <c r="H1035" s="1"/>
      <c r="I1035" s="2" t="s">
        <v>33</v>
      </c>
      <c r="J1035" s="2" t="s">
        <v>34</v>
      </c>
      <c r="K1035" s="2" t="s">
        <v>1214</v>
      </c>
      <c r="L1035" s="2" t="s">
        <v>1215</v>
      </c>
      <c r="M1035" s="2" t="s">
        <v>37</v>
      </c>
      <c r="N1035" s="2" t="s">
        <v>38</v>
      </c>
      <c r="O1035" s="2" t="s">
        <v>7191</v>
      </c>
      <c r="P1035" s="2" t="s">
        <v>475</v>
      </c>
      <c r="Q1035" s="2" t="s">
        <v>716</v>
      </c>
      <c r="R1035" s="2" t="s">
        <v>40</v>
      </c>
      <c r="S1035" s="2" t="s">
        <v>7192</v>
      </c>
      <c r="T1035" s="2" t="s">
        <v>7193</v>
      </c>
      <c r="U1035" s="2" t="s">
        <v>7194</v>
      </c>
      <c r="V1035" s="2" t="s">
        <v>7195</v>
      </c>
      <c r="W1035" s="1"/>
      <c r="X1035" s="2" t="s">
        <v>258</v>
      </c>
      <c r="Y1035" s="2" t="s">
        <v>6911</v>
      </c>
      <c r="AA1035" t="str">
        <f t="shared" si="96"/>
        <v>2026-03</v>
      </c>
      <c r="AB1035" t="str">
        <f t="shared" si="97"/>
        <v>H1_2026</v>
      </c>
      <c r="AC1035">
        <f t="shared" si="98"/>
        <v>14603904</v>
      </c>
      <c r="AD1035">
        <f t="shared" si="99"/>
        <v>1680</v>
      </c>
      <c r="AE1035">
        <f t="shared" si="100"/>
        <v>2877504</v>
      </c>
      <c r="AF1035" t="str">
        <f t="shared" si="101"/>
        <v>Paid</v>
      </c>
    </row>
    <row r="1036" spans="1:32" ht="27.75" thickBot="1" x14ac:dyDescent="0.35">
      <c r="A1036" s="2" t="s">
        <v>7196</v>
      </c>
      <c r="B1036" s="2" t="s">
        <v>27</v>
      </c>
      <c r="C1036" s="2" t="s">
        <v>28</v>
      </c>
      <c r="D1036" s="2" t="s">
        <v>97</v>
      </c>
      <c r="E1036" s="2" t="s">
        <v>6904</v>
      </c>
      <c r="F1036" s="2" t="s">
        <v>99</v>
      </c>
      <c r="G1036" s="2" t="s">
        <v>32</v>
      </c>
      <c r="H1036" s="1"/>
      <c r="I1036" s="2" t="s">
        <v>33</v>
      </c>
      <c r="J1036" s="2" t="s">
        <v>34</v>
      </c>
      <c r="K1036" s="2" t="s">
        <v>7197</v>
      </c>
      <c r="L1036" s="2" t="s">
        <v>7198</v>
      </c>
      <c r="M1036" s="2" t="s">
        <v>37</v>
      </c>
      <c r="N1036" s="2" t="s">
        <v>38</v>
      </c>
      <c r="O1036" s="2" t="s">
        <v>391</v>
      </c>
      <c r="P1036" s="2" t="s">
        <v>7199</v>
      </c>
      <c r="Q1036" s="2" t="s">
        <v>7200</v>
      </c>
      <c r="R1036" s="2" t="s">
        <v>40</v>
      </c>
      <c r="S1036" s="2" t="s">
        <v>7201</v>
      </c>
      <c r="T1036" s="2" t="s">
        <v>7202</v>
      </c>
      <c r="U1036" s="2" t="s">
        <v>7203</v>
      </c>
      <c r="V1036" s="2" t="s">
        <v>7204</v>
      </c>
      <c r="W1036" s="1"/>
      <c r="X1036" s="2" t="s">
        <v>3903</v>
      </c>
      <c r="Y1036" s="2" t="s">
        <v>6911</v>
      </c>
      <c r="AA1036" t="str">
        <f t="shared" si="96"/>
        <v>2026-03</v>
      </c>
      <c r="AB1036" t="str">
        <f t="shared" si="97"/>
        <v>H1_2026</v>
      </c>
      <c r="AC1036">
        <f t="shared" si="98"/>
        <v>2847761.28</v>
      </c>
      <c r="AD1036">
        <f t="shared" si="99"/>
        <v>60</v>
      </c>
      <c r="AE1036">
        <f t="shared" si="100"/>
        <v>458761.28</v>
      </c>
      <c r="AF1036" t="str">
        <f t="shared" si="101"/>
        <v>Paid</v>
      </c>
    </row>
    <row r="1037" spans="1:32" ht="17.25" thickBot="1" x14ac:dyDescent="0.35">
      <c r="A1037" s="2" t="s">
        <v>7205</v>
      </c>
      <c r="B1037" s="2" t="s">
        <v>27</v>
      </c>
      <c r="C1037" s="2" t="s">
        <v>28</v>
      </c>
      <c r="D1037" s="2" t="s">
        <v>97</v>
      </c>
      <c r="E1037" s="2" t="s">
        <v>6904</v>
      </c>
      <c r="F1037" s="2" t="s">
        <v>99</v>
      </c>
      <c r="G1037" s="2" t="s">
        <v>32</v>
      </c>
      <c r="H1037" s="1"/>
      <c r="I1037" s="2" t="s">
        <v>33</v>
      </c>
      <c r="J1037" s="2" t="s">
        <v>34</v>
      </c>
      <c r="K1037" s="2" t="s">
        <v>1291</v>
      </c>
      <c r="L1037" s="2" t="s">
        <v>1292</v>
      </c>
      <c r="M1037" s="2" t="s">
        <v>37</v>
      </c>
      <c r="N1037" s="2" t="s">
        <v>38</v>
      </c>
      <c r="O1037" s="2" t="s">
        <v>466</v>
      </c>
      <c r="P1037" s="2" t="s">
        <v>7206</v>
      </c>
      <c r="Q1037" s="2" t="s">
        <v>7207</v>
      </c>
      <c r="R1037" s="2" t="s">
        <v>40</v>
      </c>
      <c r="S1037" s="2" t="s">
        <v>7208</v>
      </c>
      <c r="T1037" s="2" t="s">
        <v>126</v>
      </c>
      <c r="U1037" s="2" t="s">
        <v>7209</v>
      </c>
      <c r="V1037" s="2" t="s">
        <v>7210</v>
      </c>
      <c r="W1037" s="1"/>
      <c r="X1037" s="2" t="s">
        <v>4626</v>
      </c>
      <c r="Y1037" s="2" t="s">
        <v>6911</v>
      </c>
      <c r="AA1037" t="str">
        <f t="shared" si="96"/>
        <v>2026-03</v>
      </c>
      <c r="AB1037" t="str">
        <f t="shared" si="97"/>
        <v>H1_2026</v>
      </c>
      <c r="AC1037">
        <f t="shared" si="98"/>
        <v>534462.31999999995</v>
      </c>
      <c r="AD1037">
        <f t="shared" si="99"/>
        <v>70</v>
      </c>
      <c r="AE1037">
        <f t="shared" si="100"/>
        <v>93462.32</v>
      </c>
      <c r="AF1037" t="str">
        <f t="shared" si="101"/>
        <v>Paid</v>
      </c>
    </row>
    <row r="1038" spans="1:32" ht="17.25" thickBot="1" x14ac:dyDescent="0.35">
      <c r="A1038" s="2" t="s">
        <v>7211</v>
      </c>
      <c r="B1038" s="2" t="s">
        <v>27</v>
      </c>
      <c r="C1038" s="2" t="s">
        <v>28</v>
      </c>
      <c r="D1038" s="2" t="s">
        <v>97</v>
      </c>
      <c r="E1038" s="2" t="s">
        <v>6904</v>
      </c>
      <c r="F1038" s="2" t="s">
        <v>99</v>
      </c>
      <c r="G1038" s="2" t="s">
        <v>32</v>
      </c>
      <c r="H1038" s="1"/>
      <c r="I1038" s="2" t="s">
        <v>33</v>
      </c>
      <c r="J1038" s="2" t="s">
        <v>34</v>
      </c>
      <c r="K1038" s="2" t="s">
        <v>1301</v>
      </c>
      <c r="L1038" s="2" t="s">
        <v>1302</v>
      </c>
      <c r="M1038" s="2" t="s">
        <v>37</v>
      </c>
      <c r="N1038" s="2" t="s">
        <v>38</v>
      </c>
      <c r="O1038" s="2" t="s">
        <v>131</v>
      </c>
      <c r="P1038" s="2" t="s">
        <v>7144</v>
      </c>
      <c r="Q1038" s="2" t="s">
        <v>7145</v>
      </c>
      <c r="R1038" s="2" t="s">
        <v>40</v>
      </c>
      <c r="S1038" s="2" t="s">
        <v>7146</v>
      </c>
      <c r="T1038" s="2" t="s">
        <v>107</v>
      </c>
      <c r="U1038" s="2" t="s">
        <v>5704</v>
      </c>
      <c r="V1038" s="2" t="s">
        <v>7212</v>
      </c>
      <c r="W1038" s="1"/>
      <c r="X1038" s="2" t="s">
        <v>2638</v>
      </c>
      <c r="Y1038" s="2" t="s">
        <v>6911</v>
      </c>
      <c r="AA1038" t="str">
        <f t="shared" si="96"/>
        <v>2026-03</v>
      </c>
      <c r="AB1038" t="str">
        <f t="shared" si="97"/>
        <v>H1_2026</v>
      </c>
      <c r="AC1038">
        <f t="shared" si="98"/>
        <v>271215.35999999999</v>
      </c>
      <c r="AD1038">
        <f t="shared" si="99"/>
        <v>40</v>
      </c>
      <c r="AE1038">
        <f t="shared" si="100"/>
        <v>47215.360000000001</v>
      </c>
      <c r="AF1038" t="str">
        <f t="shared" si="101"/>
        <v>Paid</v>
      </c>
    </row>
    <row r="1039" spans="1:32" ht="17.25" thickBot="1" x14ac:dyDescent="0.35">
      <c r="A1039" s="2" t="s">
        <v>7213</v>
      </c>
      <c r="B1039" s="2" t="s">
        <v>27</v>
      </c>
      <c r="C1039" s="2" t="s">
        <v>28</v>
      </c>
      <c r="D1039" s="2" t="s">
        <v>97</v>
      </c>
      <c r="E1039" s="2" t="s">
        <v>6904</v>
      </c>
      <c r="F1039" s="2" t="s">
        <v>99</v>
      </c>
      <c r="G1039" s="2" t="s">
        <v>32</v>
      </c>
      <c r="H1039" s="1"/>
      <c r="I1039" s="2" t="s">
        <v>33</v>
      </c>
      <c r="J1039" s="2" t="s">
        <v>34</v>
      </c>
      <c r="K1039" s="2" t="s">
        <v>4693</v>
      </c>
      <c r="L1039" s="2" t="s">
        <v>4694</v>
      </c>
      <c r="M1039" s="2" t="s">
        <v>37</v>
      </c>
      <c r="N1039" s="2" t="s">
        <v>38</v>
      </c>
      <c r="O1039" s="2" t="s">
        <v>156</v>
      </c>
      <c r="P1039" s="2" t="s">
        <v>7157</v>
      </c>
      <c r="Q1039" s="2" t="s">
        <v>7214</v>
      </c>
      <c r="R1039" s="2" t="s">
        <v>40</v>
      </c>
      <c r="S1039" s="2" t="s">
        <v>7215</v>
      </c>
      <c r="T1039" s="2" t="s">
        <v>6652</v>
      </c>
      <c r="U1039" s="2" t="s">
        <v>7216</v>
      </c>
      <c r="V1039" s="2" t="s">
        <v>7217</v>
      </c>
      <c r="W1039" s="1"/>
      <c r="X1039" s="2" t="s">
        <v>2894</v>
      </c>
      <c r="Y1039" s="2" t="s">
        <v>6911</v>
      </c>
      <c r="AA1039" t="str">
        <f t="shared" si="96"/>
        <v>2026-03</v>
      </c>
      <c r="AB1039" t="str">
        <f t="shared" si="97"/>
        <v>H1_2026</v>
      </c>
      <c r="AC1039">
        <f t="shared" si="98"/>
        <v>186605.44</v>
      </c>
      <c r="AD1039">
        <f t="shared" si="99"/>
        <v>20</v>
      </c>
      <c r="AE1039">
        <f t="shared" si="100"/>
        <v>56605.440000000002</v>
      </c>
      <c r="AF1039" t="str">
        <f t="shared" si="101"/>
        <v>Paid</v>
      </c>
    </row>
    <row r="1040" spans="1:32" ht="27.75" thickBot="1" x14ac:dyDescent="0.35">
      <c r="A1040" s="2" t="s">
        <v>7218</v>
      </c>
      <c r="B1040" s="2" t="s">
        <v>27</v>
      </c>
      <c r="C1040" s="2" t="s">
        <v>28</v>
      </c>
      <c r="D1040" s="2" t="s">
        <v>97</v>
      </c>
      <c r="E1040" s="2" t="s">
        <v>6904</v>
      </c>
      <c r="F1040" s="2" t="s">
        <v>99</v>
      </c>
      <c r="G1040" s="2" t="s">
        <v>32</v>
      </c>
      <c r="H1040" s="1"/>
      <c r="I1040" s="2" t="s">
        <v>33</v>
      </c>
      <c r="J1040" s="2" t="s">
        <v>34</v>
      </c>
      <c r="K1040" s="2" t="s">
        <v>1308</v>
      </c>
      <c r="L1040" s="2" t="s">
        <v>1309</v>
      </c>
      <c r="M1040" s="2" t="s">
        <v>37</v>
      </c>
      <c r="N1040" s="2" t="s">
        <v>38</v>
      </c>
      <c r="O1040" s="2" t="s">
        <v>141</v>
      </c>
      <c r="P1040" s="2" t="s">
        <v>7219</v>
      </c>
      <c r="Q1040" s="2" t="s">
        <v>7220</v>
      </c>
      <c r="R1040" s="2" t="s">
        <v>40</v>
      </c>
      <c r="S1040" s="2" t="s">
        <v>7221</v>
      </c>
      <c r="T1040" s="2" t="s">
        <v>6668</v>
      </c>
      <c r="U1040" s="2" t="s">
        <v>5521</v>
      </c>
      <c r="V1040" s="2" t="s">
        <v>7222</v>
      </c>
      <c r="W1040" s="1"/>
      <c r="X1040" s="2" t="s">
        <v>4626</v>
      </c>
      <c r="Y1040" s="2" t="s">
        <v>6911</v>
      </c>
      <c r="AA1040" t="str">
        <f t="shared" si="96"/>
        <v>2026-03</v>
      </c>
      <c r="AB1040" t="str">
        <f t="shared" si="97"/>
        <v>H1_2026</v>
      </c>
      <c r="AC1040">
        <f t="shared" si="98"/>
        <v>572855.52</v>
      </c>
      <c r="AD1040">
        <f t="shared" si="99"/>
        <v>30</v>
      </c>
      <c r="AE1040">
        <f t="shared" si="100"/>
        <v>100355.52</v>
      </c>
      <c r="AF1040" t="str">
        <f t="shared" si="101"/>
        <v>Paid</v>
      </c>
    </row>
    <row r="1041" spans="1:32" ht="17.25" thickBot="1" x14ac:dyDescent="0.35">
      <c r="A1041" s="2" t="s">
        <v>7223</v>
      </c>
      <c r="B1041" s="2" t="s">
        <v>27</v>
      </c>
      <c r="C1041" s="2" t="s">
        <v>28</v>
      </c>
      <c r="D1041" s="2" t="s">
        <v>97</v>
      </c>
      <c r="E1041" s="2" t="s">
        <v>6904</v>
      </c>
      <c r="F1041" s="2" t="s">
        <v>99</v>
      </c>
      <c r="G1041" s="2" t="s">
        <v>32</v>
      </c>
      <c r="H1041" s="1"/>
      <c r="I1041" s="2" t="s">
        <v>33</v>
      </c>
      <c r="J1041" s="2" t="s">
        <v>34</v>
      </c>
      <c r="K1041" s="2" t="s">
        <v>1334</v>
      </c>
      <c r="L1041" s="2" t="s">
        <v>1335</v>
      </c>
      <c r="M1041" s="2" t="s">
        <v>37</v>
      </c>
      <c r="N1041" s="2" t="s">
        <v>38</v>
      </c>
      <c r="O1041" s="2" t="s">
        <v>138</v>
      </c>
      <c r="P1041" s="2" t="s">
        <v>7157</v>
      </c>
      <c r="Q1041" s="2" t="s">
        <v>7224</v>
      </c>
      <c r="R1041" s="2" t="s">
        <v>40</v>
      </c>
      <c r="S1041" s="2" t="s">
        <v>7225</v>
      </c>
      <c r="T1041" s="2" t="s">
        <v>267</v>
      </c>
      <c r="U1041" s="2" t="s">
        <v>7226</v>
      </c>
      <c r="V1041" s="2" t="s">
        <v>7227</v>
      </c>
      <c r="W1041" s="1"/>
      <c r="X1041" s="2" t="s">
        <v>7228</v>
      </c>
      <c r="Y1041" s="2" t="s">
        <v>6911</v>
      </c>
      <c r="AA1041" t="str">
        <f t="shared" si="96"/>
        <v>2026-03</v>
      </c>
      <c r="AB1041" t="str">
        <f t="shared" si="97"/>
        <v>H1_2026</v>
      </c>
      <c r="AC1041">
        <f t="shared" si="98"/>
        <v>167944.9</v>
      </c>
      <c r="AD1041">
        <f t="shared" si="99"/>
        <v>18</v>
      </c>
      <c r="AE1041">
        <f t="shared" si="100"/>
        <v>49144.9</v>
      </c>
      <c r="AF1041" t="str">
        <f t="shared" si="101"/>
        <v>Paid</v>
      </c>
    </row>
    <row r="1042" spans="1:32" ht="17.25" thickBot="1" x14ac:dyDescent="0.35">
      <c r="A1042" s="2" t="s">
        <v>7229</v>
      </c>
      <c r="B1042" s="2" t="s">
        <v>27</v>
      </c>
      <c r="C1042" s="2" t="s">
        <v>28</v>
      </c>
      <c r="D1042" s="2" t="s">
        <v>97</v>
      </c>
      <c r="E1042" s="2" t="s">
        <v>6904</v>
      </c>
      <c r="F1042" s="2" t="s">
        <v>99</v>
      </c>
      <c r="G1042" s="2" t="s">
        <v>32</v>
      </c>
      <c r="H1042" s="1"/>
      <c r="I1042" s="2" t="s">
        <v>33</v>
      </c>
      <c r="J1042" s="2" t="s">
        <v>34</v>
      </c>
      <c r="K1042" s="2" t="s">
        <v>6818</v>
      </c>
      <c r="L1042" s="2" t="s">
        <v>6819</v>
      </c>
      <c r="M1042" s="2" t="s">
        <v>6820</v>
      </c>
      <c r="N1042" s="2" t="s">
        <v>38</v>
      </c>
      <c r="O1042" s="2" t="s">
        <v>1644</v>
      </c>
      <c r="P1042" s="2" t="s">
        <v>7230</v>
      </c>
      <c r="Q1042" s="2" t="s">
        <v>7231</v>
      </c>
      <c r="R1042" s="2" t="s">
        <v>40</v>
      </c>
      <c r="S1042" s="2" t="s">
        <v>7232</v>
      </c>
      <c r="T1042" s="2" t="s">
        <v>7233</v>
      </c>
      <c r="U1042" s="2" t="s">
        <v>7234</v>
      </c>
      <c r="V1042" s="2" t="s">
        <v>7235</v>
      </c>
      <c r="W1042" s="1"/>
      <c r="X1042" s="2" t="s">
        <v>7236</v>
      </c>
      <c r="Y1042" s="2" t="s">
        <v>6911</v>
      </c>
      <c r="AA1042" t="str">
        <f t="shared" si="96"/>
        <v>2026-03</v>
      </c>
      <c r="AB1042" t="str">
        <f t="shared" si="97"/>
        <v>H1_2026</v>
      </c>
      <c r="AC1042">
        <f t="shared" si="98"/>
        <v>16742332.800000001</v>
      </c>
      <c r="AD1042">
        <f t="shared" si="99"/>
        <v>1200</v>
      </c>
      <c r="AE1042">
        <f t="shared" si="100"/>
        <v>2896572.8</v>
      </c>
      <c r="AF1042" t="str">
        <f t="shared" si="101"/>
        <v>Paid</v>
      </c>
    </row>
    <row r="1043" spans="1:32" ht="17.25" thickBot="1" x14ac:dyDescent="0.35">
      <c r="A1043" s="2" t="s">
        <v>7237</v>
      </c>
      <c r="B1043" s="2" t="s">
        <v>27</v>
      </c>
      <c r="C1043" s="2" t="s">
        <v>28</v>
      </c>
      <c r="D1043" s="2" t="s">
        <v>97</v>
      </c>
      <c r="E1043" s="2" t="s">
        <v>6904</v>
      </c>
      <c r="F1043" s="2" t="s">
        <v>99</v>
      </c>
      <c r="G1043" s="2" t="s">
        <v>32</v>
      </c>
      <c r="H1043" s="1"/>
      <c r="I1043" s="2" t="s">
        <v>33</v>
      </c>
      <c r="J1043" s="2" t="s">
        <v>34</v>
      </c>
      <c r="K1043" s="2" t="s">
        <v>6827</v>
      </c>
      <c r="L1043" s="2" t="s">
        <v>6828</v>
      </c>
      <c r="M1043" s="2" t="s">
        <v>4544</v>
      </c>
      <c r="N1043" s="2" t="s">
        <v>38</v>
      </c>
      <c r="O1043" s="2" t="s">
        <v>214</v>
      </c>
      <c r="P1043" s="2" t="s">
        <v>1133</v>
      </c>
      <c r="Q1043" s="2" t="s">
        <v>611</v>
      </c>
      <c r="R1043" s="2" t="s">
        <v>40</v>
      </c>
      <c r="S1043" s="2" t="s">
        <v>7238</v>
      </c>
      <c r="T1043" s="2" t="s">
        <v>6831</v>
      </c>
      <c r="U1043" s="2" t="s">
        <v>7239</v>
      </c>
      <c r="V1043" s="2" t="s">
        <v>7240</v>
      </c>
      <c r="W1043" s="1"/>
      <c r="X1043" s="2" t="s">
        <v>3610</v>
      </c>
      <c r="Y1043" s="2" t="s">
        <v>6911</v>
      </c>
      <c r="AA1043" t="str">
        <f t="shared" si="96"/>
        <v>2026-03</v>
      </c>
      <c r="AB1043" t="str">
        <f t="shared" si="97"/>
        <v>H1_2026</v>
      </c>
      <c r="AC1043">
        <f t="shared" si="98"/>
        <v>247744.8</v>
      </c>
      <c r="AD1043">
        <f t="shared" si="99"/>
        <v>50</v>
      </c>
      <c r="AE1043">
        <f t="shared" si="100"/>
        <v>57744.800000000003</v>
      </c>
      <c r="AF1043" t="str">
        <f t="shared" si="101"/>
        <v>Paid</v>
      </c>
    </row>
    <row r="1044" spans="1:32" ht="17.25" thickBot="1" x14ac:dyDescent="0.35">
      <c r="A1044" s="2" t="s">
        <v>7241</v>
      </c>
      <c r="B1044" s="2" t="s">
        <v>27</v>
      </c>
      <c r="C1044" s="2" t="s">
        <v>28</v>
      </c>
      <c r="D1044" s="2" t="s">
        <v>97</v>
      </c>
      <c r="E1044" s="2" t="s">
        <v>6904</v>
      </c>
      <c r="F1044" s="2" t="s">
        <v>99</v>
      </c>
      <c r="G1044" s="2" t="s">
        <v>32</v>
      </c>
      <c r="H1044" s="1"/>
      <c r="I1044" s="2" t="s">
        <v>33</v>
      </c>
      <c r="J1044" s="2" t="s">
        <v>34</v>
      </c>
      <c r="K1044" s="2" t="s">
        <v>6879</v>
      </c>
      <c r="L1044" s="2" t="s">
        <v>6880</v>
      </c>
      <c r="M1044" s="2" t="s">
        <v>4544</v>
      </c>
      <c r="N1044" s="2" t="s">
        <v>38</v>
      </c>
      <c r="O1044" s="2" t="s">
        <v>517</v>
      </c>
      <c r="P1044" s="2" t="s">
        <v>4646</v>
      </c>
      <c r="Q1044" s="2" t="s">
        <v>7242</v>
      </c>
      <c r="R1044" s="2" t="s">
        <v>40</v>
      </c>
      <c r="S1044" s="2" t="s">
        <v>7243</v>
      </c>
      <c r="T1044" s="2" t="s">
        <v>6883</v>
      </c>
      <c r="U1044" s="2" t="s">
        <v>7244</v>
      </c>
      <c r="V1044" s="2" t="s">
        <v>7245</v>
      </c>
      <c r="W1044" s="1"/>
      <c r="X1044" s="2" t="s">
        <v>6886</v>
      </c>
      <c r="Y1044" s="2" t="s">
        <v>6911</v>
      </c>
      <c r="AA1044" t="str">
        <f t="shared" si="96"/>
        <v>2026-03</v>
      </c>
      <c r="AB1044" t="str">
        <f t="shared" si="97"/>
        <v>H1_2026</v>
      </c>
      <c r="AC1044">
        <f t="shared" si="98"/>
        <v>1010103.36</v>
      </c>
      <c r="AD1044">
        <f t="shared" si="99"/>
        <v>120</v>
      </c>
      <c r="AE1044">
        <f t="shared" si="100"/>
        <v>278103.36</v>
      </c>
      <c r="AF1044" t="str">
        <f t="shared" si="101"/>
        <v>Paid</v>
      </c>
    </row>
    <row r="1045" spans="1:32" ht="17.25" thickBot="1" x14ac:dyDescent="0.35">
      <c r="A1045" s="2" t="s">
        <v>7246</v>
      </c>
      <c r="B1045" s="2" t="s">
        <v>27</v>
      </c>
      <c r="C1045" s="2" t="s">
        <v>28</v>
      </c>
      <c r="D1045" s="2" t="s">
        <v>97</v>
      </c>
      <c r="E1045" s="2" t="s">
        <v>6904</v>
      </c>
      <c r="F1045" s="2" t="s">
        <v>99</v>
      </c>
      <c r="G1045" s="2" t="s">
        <v>32</v>
      </c>
      <c r="H1045" s="1"/>
      <c r="I1045" s="2" t="s">
        <v>33</v>
      </c>
      <c r="J1045" s="2" t="s">
        <v>34</v>
      </c>
      <c r="K1045" s="2" t="s">
        <v>6896</v>
      </c>
      <c r="L1045" s="2" t="s">
        <v>6897</v>
      </c>
      <c r="M1045" s="2" t="s">
        <v>4544</v>
      </c>
      <c r="N1045" s="2" t="s">
        <v>38</v>
      </c>
      <c r="O1045" s="2" t="s">
        <v>79</v>
      </c>
      <c r="P1045" s="2" t="s">
        <v>6614</v>
      </c>
      <c r="Q1045" s="2" t="s">
        <v>6898</v>
      </c>
      <c r="R1045" s="2" t="s">
        <v>40</v>
      </c>
      <c r="S1045" s="2" t="s">
        <v>6899</v>
      </c>
      <c r="T1045" s="2" t="s">
        <v>2275</v>
      </c>
      <c r="U1045" s="2" t="s">
        <v>6900</v>
      </c>
      <c r="V1045" s="2" t="s">
        <v>6901</v>
      </c>
      <c r="W1045" s="1"/>
      <c r="X1045" s="2" t="s">
        <v>6902</v>
      </c>
      <c r="Y1045" s="2" t="s">
        <v>6911</v>
      </c>
      <c r="AA1045" t="str">
        <f t="shared" si="96"/>
        <v>2026-03</v>
      </c>
      <c r="AB1045" t="str">
        <f t="shared" si="97"/>
        <v>H1_2026</v>
      </c>
      <c r="AC1045">
        <f t="shared" si="98"/>
        <v>59111.040000000001</v>
      </c>
      <c r="AD1045">
        <f t="shared" si="99"/>
        <v>10</v>
      </c>
      <c r="AE1045">
        <f t="shared" si="100"/>
        <v>14111.04</v>
      </c>
      <c r="AF1045" t="str">
        <f t="shared" si="101"/>
        <v>Paid</v>
      </c>
    </row>
    <row r="1046" spans="1:32" ht="17.25" thickBot="1" x14ac:dyDescent="0.35">
      <c r="A1046" s="2" t="s">
        <v>7247</v>
      </c>
      <c r="B1046" s="2" t="s">
        <v>27</v>
      </c>
      <c r="C1046" s="2" t="s">
        <v>28</v>
      </c>
      <c r="D1046" s="2" t="s">
        <v>97</v>
      </c>
      <c r="E1046" s="2" t="s">
        <v>7248</v>
      </c>
      <c r="F1046" s="2" t="s">
        <v>99</v>
      </c>
      <c r="G1046" s="2" t="s">
        <v>32</v>
      </c>
      <c r="H1046" s="1"/>
      <c r="I1046" s="2" t="s">
        <v>33</v>
      </c>
      <c r="J1046" s="2" t="s">
        <v>34</v>
      </c>
      <c r="K1046" s="2" t="s">
        <v>7249</v>
      </c>
      <c r="L1046" s="2" t="s">
        <v>7250</v>
      </c>
      <c r="M1046" s="2" t="s">
        <v>6146</v>
      </c>
      <c r="N1046" s="2" t="s">
        <v>38</v>
      </c>
      <c r="O1046" s="2" t="s">
        <v>79</v>
      </c>
      <c r="P1046" s="2" t="s">
        <v>2622</v>
      </c>
      <c r="Q1046" s="2" t="s">
        <v>7251</v>
      </c>
      <c r="R1046" s="2" t="s">
        <v>40</v>
      </c>
      <c r="S1046" s="2" t="s">
        <v>7252</v>
      </c>
      <c r="T1046" s="2" t="s">
        <v>7253</v>
      </c>
      <c r="U1046" s="2" t="s">
        <v>7254</v>
      </c>
      <c r="V1046" s="2" t="s">
        <v>7255</v>
      </c>
      <c r="W1046" s="1"/>
      <c r="X1046" s="2" t="s">
        <v>1504</v>
      </c>
      <c r="Y1046" s="2" t="s">
        <v>7256</v>
      </c>
      <c r="AA1046" t="str">
        <f t="shared" si="96"/>
        <v>2026-03</v>
      </c>
      <c r="AB1046" t="str">
        <f t="shared" si="97"/>
        <v>H1_2026</v>
      </c>
      <c r="AC1046">
        <f t="shared" si="98"/>
        <v>77952.42</v>
      </c>
      <c r="AD1046">
        <f t="shared" si="99"/>
        <v>10</v>
      </c>
      <c r="AE1046">
        <f t="shared" si="100"/>
        <v>19588.78</v>
      </c>
      <c r="AF1046" t="str">
        <f t="shared" si="101"/>
        <v>Paid</v>
      </c>
    </row>
    <row r="1047" spans="1:32" ht="17.25" thickBot="1" x14ac:dyDescent="0.35">
      <c r="A1047" s="2" t="s">
        <v>7257</v>
      </c>
      <c r="B1047" s="2" t="s">
        <v>27</v>
      </c>
      <c r="C1047" s="2" t="s">
        <v>28</v>
      </c>
      <c r="D1047" s="2" t="s">
        <v>97</v>
      </c>
      <c r="E1047" s="2" t="s">
        <v>7248</v>
      </c>
      <c r="F1047" s="2" t="s">
        <v>99</v>
      </c>
      <c r="G1047" s="2" t="s">
        <v>32</v>
      </c>
      <c r="H1047" s="1"/>
      <c r="I1047" s="2" t="s">
        <v>33</v>
      </c>
      <c r="J1047" s="2" t="s">
        <v>34</v>
      </c>
      <c r="K1047" s="2" t="s">
        <v>6153</v>
      </c>
      <c r="L1047" s="2" t="s">
        <v>6154</v>
      </c>
      <c r="M1047" s="2" t="s">
        <v>6146</v>
      </c>
      <c r="N1047" s="2" t="s">
        <v>38</v>
      </c>
      <c r="O1047" s="2" t="s">
        <v>779</v>
      </c>
      <c r="P1047" s="2" t="s">
        <v>1907</v>
      </c>
      <c r="Q1047" s="2" t="s">
        <v>7258</v>
      </c>
      <c r="R1047" s="2" t="s">
        <v>40</v>
      </c>
      <c r="S1047" s="2" t="s">
        <v>7259</v>
      </c>
      <c r="T1047" s="2" t="s">
        <v>6157</v>
      </c>
      <c r="U1047" s="2" t="s">
        <v>7260</v>
      </c>
      <c r="V1047" s="2" t="s">
        <v>7261</v>
      </c>
      <c r="W1047" s="1"/>
      <c r="X1047" s="2" t="s">
        <v>934</v>
      </c>
      <c r="Y1047" s="2" t="s">
        <v>7256</v>
      </c>
      <c r="AA1047" t="str">
        <f t="shared" si="96"/>
        <v>2026-03</v>
      </c>
      <c r="AB1047" t="str">
        <f t="shared" si="97"/>
        <v>H1_2026</v>
      </c>
      <c r="AC1047">
        <f t="shared" si="98"/>
        <v>566654.13</v>
      </c>
      <c r="AD1047">
        <f t="shared" si="99"/>
        <v>90</v>
      </c>
      <c r="AE1047">
        <f t="shared" si="100"/>
        <v>138745.04</v>
      </c>
      <c r="AF1047" t="str">
        <f t="shared" si="101"/>
        <v>Paid</v>
      </c>
    </row>
    <row r="1048" spans="1:32" ht="17.25" thickBot="1" x14ac:dyDescent="0.35">
      <c r="A1048" s="2" t="s">
        <v>7262</v>
      </c>
      <c r="B1048" s="2" t="s">
        <v>27</v>
      </c>
      <c r="C1048" s="2" t="s">
        <v>28</v>
      </c>
      <c r="D1048" s="2" t="s">
        <v>97</v>
      </c>
      <c r="E1048" s="2" t="s">
        <v>7248</v>
      </c>
      <c r="F1048" s="2" t="s">
        <v>99</v>
      </c>
      <c r="G1048" s="2" t="s">
        <v>32</v>
      </c>
      <c r="H1048" s="1"/>
      <c r="I1048" s="2" t="s">
        <v>33</v>
      </c>
      <c r="J1048" s="2" t="s">
        <v>34</v>
      </c>
      <c r="K1048" s="2" t="s">
        <v>6161</v>
      </c>
      <c r="L1048" s="2" t="s">
        <v>6162</v>
      </c>
      <c r="M1048" s="2" t="s">
        <v>6146</v>
      </c>
      <c r="N1048" s="2" t="s">
        <v>38</v>
      </c>
      <c r="O1048" s="2" t="s">
        <v>221</v>
      </c>
      <c r="P1048" s="2" t="s">
        <v>7263</v>
      </c>
      <c r="Q1048" s="2" t="s">
        <v>7264</v>
      </c>
      <c r="R1048" s="2" t="s">
        <v>40</v>
      </c>
      <c r="S1048" s="2" t="s">
        <v>7265</v>
      </c>
      <c r="T1048" s="2" t="s">
        <v>6166</v>
      </c>
      <c r="U1048" s="2" t="s">
        <v>7266</v>
      </c>
      <c r="V1048" s="2" t="s">
        <v>7267</v>
      </c>
      <c r="W1048" s="1"/>
      <c r="X1048" s="2" t="s">
        <v>1457</v>
      </c>
      <c r="Y1048" s="2" t="s">
        <v>7256</v>
      </c>
      <c r="AA1048" t="str">
        <f t="shared" si="96"/>
        <v>2026-03</v>
      </c>
      <c r="AB1048" t="str">
        <f t="shared" si="97"/>
        <v>H1_2026</v>
      </c>
      <c r="AC1048">
        <f t="shared" si="98"/>
        <v>717562.02</v>
      </c>
      <c r="AD1048">
        <f t="shared" si="99"/>
        <v>140</v>
      </c>
      <c r="AE1048">
        <f t="shared" si="100"/>
        <v>177925.66</v>
      </c>
      <c r="AF1048" t="str">
        <f t="shared" si="101"/>
        <v>Paid</v>
      </c>
    </row>
    <row r="1049" spans="1:32" ht="17.25" thickBot="1" x14ac:dyDescent="0.35">
      <c r="A1049" s="2" t="s">
        <v>7268</v>
      </c>
      <c r="B1049" s="2" t="s">
        <v>27</v>
      </c>
      <c r="C1049" s="2" t="s">
        <v>28</v>
      </c>
      <c r="D1049" s="2" t="s">
        <v>97</v>
      </c>
      <c r="E1049" s="2" t="s">
        <v>7248</v>
      </c>
      <c r="F1049" s="2" t="s">
        <v>99</v>
      </c>
      <c r="G1049" s="2" t="s">
        <v>32</v>
      </c>
      <c r="H1049" s="1"/>
      <c r="I1049" s="2" t="s">
        <v>33</v>
      </c>
      <c r="J1049" s="2" t="s">
        <v>34</v>
      </c>
      <c r="K1049" s="2" t="s">
        <v>6185</v>
      </c>
      <c r="L1049" s="2" t="s">
        <v>6186</v>
      </c>
      <c r="M1049" s="2" t="s">
        <v>6146</v>
      </c>
      <c r="N1049" s="2" t="s">
        <v>38</v>
      </c>
      <c r="O1049" s="2" t="s">
        <v>466</v>
      </c>
      <c r="P1049" s="2" t="s">
        <v>7269</v>
      </c>
      <c r="Q1049" s="2" t="s">
        <v>7270</v>
      </c>
      <c r="R1049" s="2" t="s">
        <v>40</v>
      </c>
      <c r="S1049" s="2" t="s">
        <v>7271</v>
      </c>
      <c r="T1049" s="2" t="s">
        <v>6190</v>
      </c>
      <c r="U1049" s="2" t="s">
        <v>7272</v>
      </c>
      <c r="V1049" s="2" t="s">
        <v>7273</v>
      </c>
      <c r="W1049" s="1"/>
      <c r="X1049" s="2" t="s">
        <v>1427</v>
      </c>
      <c r="Y1049" s="2" t="s">
        <v>7256</v>
      </c>
      <c r="AA1049" t="str">
        <f t="shared" si="96"/>
        <v>2026-03</v>
      </c>
      <c r="AB1049" t="str">
        <f t="shared" si="97"/>
        <v>H1_2026</v>
      </c>
      <c r="AC1049">
        <f t="shared" si="98"/>
        <v>529676.69999999995</v>
      </c>
      <c r="AD1049">
        <f t="shared" si="99"/>
        <v>70</v>
      </c>
      <c r="AE1049">
        <f t="shared" si="100"/>
        <v>128767.61</v>
      </c>
      <c r="AF1049" t="str">
        <f t="shared" si="101"/>
        <v>Paid</v>
      </c>
    </row>
    <row r="1050" spans="1:32" ht="27.75" thickBot="1" x14ac:dyDescent="0.35">
      <c r="A1050" s="2" t="s">
        <v>7274</v>
      </c>
      <c r="B1050" s="2" t="s">
        <v>27</v>
      </c>
      <c r="C1050" s="2" t="s">
        <v>28</v>
      </c>
      <c r="D1050" s="2" t="s">
        <v>97</v>
      </c>
      <c r="E1050" s="2" t="s">
        <v>7248</v>
      </c>
      <c r="F1050" s="2" t="s">
        <v>99</v>
      </c>
      <c r="G1050" s="2" t="s">
        <v>32</v>
      </c>
      <c r="H1050" s="1"/>
      <c r="I1050" s="2" t="s">
        <v>33</v>
      </c>
      <c r="J1050" s="2" t="s">
        <v>34</v>
      </c>
      <c r="K1050" s="2" t="s">
        <v>6194</v>
      </c>
      <c r="L1050" s="2" t="s">
        <v>6195</v>
      </c>
      <c r="M1050" s="2" t="s">
        <v>6146</v>
      </c>
      <c r="N1050" s="2" t="s">
        <v>38</v>
      </c>
      <c r="O1050" s="2" t="s">
        <v>466</v>
      </c>
      <c r="P1050" s="2" t="s">
        <v>2555</v>
      </c>
      <c r="Q1050" s="2" t="s">
        <v>7275</v>
      </c>
      <c r="R1050" s="2" t="s">
        <v>40</v>
      </c>
      <c r="S1050" s="2" t="s">
        <v>7276</v>
      </c>
      <c r="T1050" s="2" t="s">
        <v>2249</v>
      </c>
      <c r="U1050" s="2" t="s">
        <v>7277</v>
      </c>
      <c r="V1050" s="2" t="s">
        <v>7278</v>
      </c>
      <c r="W1050" s="1"/>
      <c r="X1050" s="2" t="s">
        <v>1427</v>
      </c>
      <c r="Y1050" s="2" t="s">
        <v>7256</v>
      </c>
      <c r="AA1050" t="str">
        <f t="shared" si="96"/>
        <v>2026-03</v>
      </c>
      <c r="AB1050" t="str">
        <f t="shared" si="97"/>
        <v>H1_2026</v>
      </c>
      <c r="AC1050">
        <f t="shared" si="98"/>
        <v>655599.84</v>
      </c>
      <c r="AD1050">
        <f t="shared" si="99"/>
        <v>70</v>
      </c>
      <c r="AE1050">
        <f t="shared" si="100"/>
        <v>159236.21</v>
      </c>
      <c r="AF1050" t="str">
        <f t="shared" si="101"/>
        <v>Paid</v>
      </c>
    </row>
    <row r="1051" spans="1:32" ht="17.25" thickBot="1" x14ac:dyDescent="0.35">
      <c r="A1051" s="2" t="s">
        <v>7279</v>
      </c>
      <c r="B1051" s="2" t="s">
        <v>27</v>
      </c>
      <c r="C1051" s="2" t="s">
        <v>28</v>
      </c>
      <c r="D1051" s="2" t="s">
        <v>97</v>
      </c>
      <c r="E1051" s="2" t="s">
        <v>7248</v>
      </c>
      <c r="F1051" s="2" t="s">
        <v>99</v>
      </c>
      <c r="G1051" s="2" t="s">
        <v>32</v>
      </c>
      <c r="H1051" s="1"/>
      <c r="I1051" s="2" t="s">
        <v>33</v>
      </c>
      <c r="J1051" s="2" t="s">
        <v>34</v>
      </c>
      <c r="K1051" s="2" t="s">
        <v>6203</v>
      </c>
      <c r="L1051" s="2" t="s">
        <v>6204</v>
      </c>
      <c r="M1051" s="2" t="s">
        <v>6146</v>
      </c>
      <c r="N1051" s="2" t="s">
        <v>38</v>
      </c>
      <c r="O1051" s="2" t="s">
        <v>213</v>
      </c>
      <c r="P1051" s="2" t="s">
        <v>3663</v>
      </c>
      <c r="Q1051" s="2" t="s">
        <v>7280</v>
      </c>
      <c r="R1051" s="2" t="s">
        <v>40</v>
      </c>
      <c r="S1051" s="2" t="s">
        <v>7281</v>
      </c>
      <c r="T1051" s="2" t="s">
        <v>6208</v>
      </c>
      <c r="U1051" s="2" t="s">
        <v>7282</v>
      </c>
      <c r="V1051" s="2" t="s">
        <v>7283</v>
      </c>
      <c r="W1051" s="1"/>
      <c r="X1051" s="2" t="s">
        <v>1427</v>
      </c>
      <c r="Y1051" s="2" t="s">
        <v>7256</v>
      </c>
      <c r="AA1051" t="str">
        <f t="shared" si="96"/>
        <v>2026-03</v>
      </c>
      <c r="AB1051" t="str">
        <f t="shared" si="97"/>
        <v>H1_2026</v>
      </c>
      <c r="AC1051">
        <f t="shared" si="98"/>
        <v>306241.65000000002</v>
      </c>
      <c r="AD1051">
        <f t="shared" si="99"/>
        <v>26</v>
      </c>
      <c r="AE1051">
        <f t="shared" si="100"/>
        <v>74368.92</v>
      </c>
      <c r="AF1051" t="str">
        <f t="shared" si="101"/>
        <v>Paid</v>
      </c>
    </row>
    <row r="1052" spans="1:32" ht="17.25" thickBot="1" x14ac:dyDescent="0.35">
      <c r="A1052" s="2" t="s">
        <v>7284</v>
      </c>
      <c r="B1052" s="2" t="s">
        <v>27</v>
      </c>
      <c r="C1052" s="2" t="s">
        <v>28</v>
      </c>
      <c r="D1052" s="2" t="s">
        <v>97</v>
      </c>
      <c r="E1052" s="2" t="s">
        <v>7248</v>
      </c>
      <c r="F1052" s="2" t="s">
        <v>99</v>
      </c>
      <c r="G1052" s="2" t="s">
        <v>32</v>
      </c>
      <c r="H1052" s="1"/>
      <c r="I1052" s="2" t="s">
        <v>33</v>
      </c>
      <c r="J1052" s="2" t="s">
        <v>34</v>
      </c>
      <c r="K1052" s="2" t="s">
        <v>6212</v>
      </c>
      <c r="L1052" s="2" t="s">
        <v>6213</v>
      </c>
      <c r="M1052" s="2" t="s">
        <v>6146</v>
      </c>
      <c r="N1052" s="2" t="s">
        <v>38</v>
      </c>
      <c r="O1052" s="2" t="s">
        <v>79</v>
      </c>
      <c r="P1052" s="2" t="s">
        <v>7285</v>
      </c>
      <c r="Q1052" s="2" t="s">
        <v>7286</v>
      </c>
      <c r="R1052" s="2" t="s">
        <v>40</v>
      </c>
      <c r="S1052" s="2" t="s">
        <v>7287</v>
      </c>
      <c r="T1052" s="2" t="s">
        <v>6216</v>
      </c>
      <c r="U1052" s="2" t="s">
        <v>7288</v>
      </c>
      <c r="V1052" s="2" t="s">
        <v>7289</v>
      </c>
      <c r="W1052" s="1"/>
      <c r="X1052" s="2" t="s">
        <v>4550</v>
      </c>
      <c r="Y1052" s="2" t="s">
        <v>7256</v>
      </c>
      <c r="AA1052" t="str">
        <f t="shared" si="96"/>
        <v>2026-03</v>
      </c>
      <c r="AB1052" t="str">
        <f t="shared" si="97"/>
        <v>H1_2026</v>
      </c>
      <c r="AC1052">
        <f t="shared" si="98"/>
        <v>81664.44</v>
      </c>
      <c r="AD1052">
        <f t="shared" si="99"/>
        <v>10</v>
      </c>
      <c r="AE1052">
        <f t="shared" si="100"/>
        <v>17846.259999999998</v>
      </c>
      <c r="AF1052" t="str">
        <f t="shared" si="101"/>
        <v>Paid</v>
      </c>
    </row>
    <row r="1053" spans="1:32" ht="17.25" thickBot="1" x14ac:dyDescent="0.35">
      <c r="A1053" s="2" t="s">
        <v>7290</v>
      </c>
      <c r="B1053" s="2" t="s">
        <v>27</v>
      </c>
      <c r="C1053" s="2" t="s">
        <v>28</v>
      </c>
      <c r="D1053" s="2" t="s">
        <v>97</v>
      </c>
      <c r="E1053" s="2" t="s">
        <v>7248</v>
      </c>
      <c r="F1053" s="2" t="s">
        <v>99</v>
      </c>
      <c r="G1053" s="2" t="s">
        <v>32</v>
      </c>
      <c r="H1053" s="1"/>
      <c r="I1053" s="2" t="s">
        <v>33</v>
      </c>
      <c r="J1053" s="2" t="s">
        <v>34</v>
      </c>
      <c r="K1053" s="2" t="s">
        <v>6235</v>
      </c>
      <c r="L1053" s="2" t="s">
        <v>6236</v>
      </c>
      <c r="M1053" s="2" t="s">
        <v>6146</v>
      </c>
      <c r="N1053" s="2" t="s">
        <v>38</v>
      </c>
      <c r="O1053" s="2" t="s">
        <v>1904</v>
      </c>
      <c r="P1053" s="2" t="s">
        <v>1798</v>
      </c>
      <c r="Q1053" s="2" t="s">
        <v>7291</v>
      </c>
      <c r="R1053" s="2" t="s">
        <v>40</v>
      </c>
      <c r="S1053" s="2" t="s">
        <v>7292</v>
      </c>
      <c r="T1053" s="2" t="s">
        <v>2490</v>
      </c>
      <c r="U1053" s="2" t="s">
        <v>7293</v>
      </c>
      <c r="V1053" s="2" t="s">
        <v>7294</v>
      </c>
      <c r="W1053" s="1"/>
      <c r="X1053" s="2" t="s">
        <v>2429</v>
      </c>
      <c r="Y1053" s="2" t="s">
        <v>7256</v>
      </c>
      <c r="AA1053" t="str">
        <f t="shared" si="96"/>
        <v>2026-03</v>
      </c>
      <c r="AB1053" t="str">
        <f t="shared" si="97"/>
        <v>H1_2026</v>
      </c>
      <c r="AC1053">
        <f t="shared" si="98"/>
        <v>1838877.6</v>
      </c>
      <c r="AD1053">
        <f t="shared" si="99"/>
        <v>230</v>
      </c>
      <c r="AE1053">
        <f t="shared" si="100"/>
        <v>448423.07</v>
      </c>
      <c r="AF1053" t="str">
        <f t="shared" si="101"/>
        <v>Paid</v>
      </c>
    </row>
    <row r="1054" spans="1:32" ht="17.25" thickBot="1" x14ac:dyDescent="0.35">
      <c r="A1054" s="2" t="s">
        <v>7295</v>
      </c>
      <c r="B1054" s="2" t="s">
        <v>27</v>
      </c>
      <c r="C1054" s="2" t="s">
        <v>28</v>
      </c>
      <c r="D1054" s="2" t="s">
        <v>97</v>
      </c>
      <c r="E1054" s="2" t="s">
        <v>7248</v>
      </c>
      <c r="F1054" s="2" t="s">
        <v>99</v>
      </c>
      <c r="G1054" s="2" t="s">
        <v>32</v>
      </c>
      <c r="H1054" s="1"/>
      <c r="I1054" s="2" t="s">
        <v>33</v>
      </c>
      <c r="J1054" s="2" t="s">
        <v>34</v>
      </c>
      <c r="K1054" s="2" t="s">
        <v>6243</v>
      </c>
      <c r="L1054" s="2" t="s">
        <v>6244</v>
      </c>
      <c r="M1054" s="2" t="s">
        <v>6146</v>
      </c>
      <c r="N1054" s="2" t="s">
        <v>38</v>
      </c>
      <c r="O1054" s="2" t="s">
        <v>773</v>
      </c>
      <c r="P1054" s="2" t="s">
        <v>7296</v>
      </c>
      <c r="Q1054" s="2" t="s">
        <v>7297</v>
      </c>
      <c r="R1054" s="2" t="s">
        <v>40</v>
      </c>
      <c r="S1054" s="2" t="s">
        <v>7298</v>
      </c>
      <c r="T1054" s="2" t="s">
        <v>6247</v>
      </c>
      <c r="U1054" s="2" t="s">
        <v>7299</v>
      </c>
      <c r="V1054" s="2" t="s">
        <v>7300</v>
      </c>
      <c r="W1054" s="1"/>
      <c r="X1054" s="2" t="s">
        <v>1437</v>
      </c>
      <c r="Y1054" s="2" t="s">
        <v>7256</v>
      </c>
      <c r="AA1054" t="str">
        <f t="shared" si="96"/>
        <v>2026-03</v>
      </c>
      <c r="AB1054" t="str">
        <f t="shared" si="97"/>
        <v>H1_2026</v>
      </c>
      <c r="AC1054">
        <f t="shared" si="98"/>
        <v>1984503</v>
      </c>
      <c r="AD1054">
        <f t="shared" si="99"/>
        <v>200</v>
      </c>
      <c r="AE1054">
        <f t="shared" si="100"/>
        <v>489957.56</v>
      </c>
      <c r="AF1054" t="str">
        <f t="shared" si="101"/>
        <v>Paid</v>
      </c>
    </row>
    <row r="1055" spans="1:32" ht="17.25" thickBot="1" x14ac:dyDescent="0.35">
      <c r="A1055" s="2" t="s">
        <v>7301</v>
      </c>
      <c r="B1055" s="2" t="s">
        <v>27</v>
      </c>
      <c r="C1055" s="2" t="s">
        <v>28</v>
      </c>
      <c r="D1055" s="2" t="s">
        <v>97</v>
      </c>
      <c r="E1055" s="2" t="s">
        <v>7248</v>
      </c>
      <c r="F1055" s="2" t="s">
        <v>99</v>
      </c>
      <c r="G1055" s="2" t="s">
        <v>32</v>
      </c>
      <c r="H1055" s="1"/>
      <c r="I1055" s="2" t="s">
        <v>33</v>
      </c>
      <c r="J1055" s="2" t="s">
        <v>34</v>
      </c>
      <c r="K1055" s="2" t="s">
        <v>6251</v>
      </c>
      <c r="L1055" s="2" t="s">
        <v>6252</v>
      </c>
      <c r="M1055" s="2" t="s">
        <v>6146</v>
      </c>
      <c r="N1055" s="2" t="s">
        <v>38</v>
      </c>
      <c r="O1055" s="2" t="s">
        <v>1450</v>
      </c>
      <c r="P1055" s="2" t="s">
        <v>4545</v>
      </c>
      <c r="Q1055" s="2" t="s">
        <v>7302</v>
      </c>
      <c r="R1055" s="2" t="s">
        <v>40</v>
      </c>
      <c r="S1055" s="2" t="s">
        <v>7303</v>
      </c>
      <c r="T1055" s="2" t="s">
        <v>7304</v>
      </c>
      <c r="U1055" s="2" t="s">
        <v>7305</v>
      </c>
      <c r="V1055" s="2" t="s">
        <v>7306</v>
      </c>
      <c r="W1055" s="1"/>
      <c r="X1055" s="2" t="s">
        <v>1764</v>
      </c>
      <c r="Y1055" s="2" t="s">
        <v>7256</v>
      </c>
      <c r="AA1055" t="str">
        <f t="shared" si="96"/>
        <v>2026-03</v>
      </c>
      <c r="AB1055" t="str">
        <f t="shared" si="97"/>
        <v>H1_2026</v>
      </c>
      <c r="AC1055">
        <f t="shared" si="98"/>
        <v>8894571</v>
      </c>
      <c r="AD1055">
        <f t="shared" si="99"/>
        <v>890</v>
      </c>
      <c r="AE1055">
        <f t="shared" si="100"/>
        <v>2260025.59</v>
      </c>
      <c r="AF1055" t="str">
        <f t="shared" si="101"/>
        <v>Paid</v>
      </c>
    </row>
    <row r="1056" spans="1:32" ht="17.25" thickBot="1" x14ac:dyDescent="0.35">
      <c r="A1056" s="2" t="s">
        <v>7307</v>
      </c>
      <c r="B1056" s="2" t="s">
        <v>27</v>
      </c>
      <c r="C1056" s="2" t="s">
        <v>28</v>
      </c>
      <c r="D1056" s="2" t="s">
        <v>97</v>
      </c>
      <c r="E1056" s="2" t="s">
        <v>7248</v>
      </c>
      <c r="F1056" s="2" t="s">
        <v>99</v>
      </c>
      <c r="G1056" s="2" t="s">
        <v>32</v>
      </c>
      <c r="H1056" s="1"/>
      <c r="I1056" s="2" t="s">
        <v>33</v>
      </c>
      <c r="J1056" s="2" t="s">
        <v>34</v>
      </c>
      <c r="K1056" s="2" t="s">
        <v>6272</v>
      </c>
      <c r="L1056" s="2" t="s">
        <v>6273</v>
      </c>
      <c r="M1056" s="2" t="s">
        <v>6146</v>
      </c>
      <c r="N1056" s="2" t="s">
        <v>38</v>
      </c>
      <c r="O1056" s="2" t="s">
        <v>6589</v>
      </c>
      <c r="P1056" s="2" t="s">
        <v>7296</v>
      </c>
      <c r="Q1056" s="2" t="s">
        <v>7308</v>
      </c>
      <c r="R1056" s="2" t="s">
        <v>40</v>
      </c>
      <c r="S1056" s="2" t="s">
        <v>7309</v>
      </c>
      <c r="T1056" s="2" t="s">
        <v>7310</v>
      </c>
      <c r="U1056" s="2" t="s">
        <v>7311</v>
      </c>
      <c r="V1056" s="2" t="s">
        <v>7312</v>
      </c>
      <c r="W1056" s="1"/>
      <c r="X1056" s="2" t="s">
        <v>6280</v>
      </c>
      <c r="Y1056" s="2" t="s">
        <v>7256</v>
      </c>
      <c r="AA1056" t="str">
        <f t="shared" si="96"/>
        <v>2026-03</v>
      </c>
      <c r="AB1056" t="str">
        <f t="shared" si="97"/>
        <v>H1_2026</v>
      </c>
      <c r="AC1056">
        <f t="shared" si="98"/>
        <v>9327164.0999999996</v>
      </c>
      <c r="AD1056">
        <f t="shared" si="99"/>
        <v>940</v>
      </c>
      <c r="AE1056">
        <f t="shared" si="100"/>
        <v>3088982.32</v>
      </c>
      <c r="AF1056" t="str">
        <f t="shared" si="101"/>
        <v>Paid</v>
      </c>
    </row>
    <row r="1057" spans="1:32" ht="17.25" thickBot="1" x14ac:dyDescent="0.35">
      <c r="A1057" s="2" t="s">
        <v>7313</v>
      </c>
      <c r="B1057" s="2" t="s">
        <v>27</v>
      </c>
      <c r="C1057" s="2" t="s">
        <v>28</v>
      </c>
      <c r="D1057" s="2" t="s">
        <v>97</v>
      </c>
      <c r="E1057" s="2" t="s">
        <v>7314</v>
      </c>
      <c r="F1057" s="2" t="s">
        <v>99</v>
      </c>
      <c r="G1057" s="2" t="s">
        <v>32</v>
      </c>
      <c r="H1057" s="1"/>
      <c r="I1057" s="2" t="s">
        <v>33</v>
      </c>
      <c r="J1057" s="2" t="s">
        <v>34</v>
      </c>
      <c r="K1057" s="2" t="s">
        <v>7315</v>
      </c>
      <c r="L1057" s="2" t="s">
        <v>7316</v>
      </c>
      <c r="M1057" s="2" t="s">
        <v>7317</v>
      </c>
      <c r="N1057" s="2" t="s">
        <v>38</v>
      </c>
      <c r="O1057" s="2" t="s">
        <v>131</v>
      </c>
      <c r="P1057" s="2" t="s">
        <v>4964</v>
      </c>
      <c r="Q1057" s="2" t="s">
        <v>5018</v>
      </c>
      <c r="R1057" s="2" t="s">
        <v>40</v>
      </c>
      <c r="S1057" s="2" t="s">
        <v>7318</v>
      </c>
      <c r="T1057" s="2" t="s">
        <v>40</v>
      </c>
      <c r="U1057" s="2" t="s">
        <v>40</v>
      </c>
      <c r="V1057" s="2" t="s">
        <v>7318</v>
      </c>
      <c r="W1057" s="1"/>
      <c r="X1057" s="2" t="s">
        <v>2155</v>
      </c>
      <c r="Y1057" s="2" t="s">
        <v>7319</v>
      </c>
      <c r="AA1057" t="str">
        <f t="shared" si="96"/>
        <v>2026-03</v>
      </c>
      <c r="AB1057" t="str">
        <f t="shared" si="97"/>
        <v>H1_2026</v>
      </c>
      <c r="AC1057">
        <f t="shared" si="98"/>
        <v>243397.96</v>
      </c>
      <c r="AD1057">
        <f t="shared" si="99"/>
        <v>40</v>
      </c>
      <c r="AE1057">
        <f t="shared" si="100"/>
        <v>243397.96</v>
      </c>
      <c r="AF1057" t="str">
        <f t="shared" si="101"/>
        <v>Paid</v>
      </c>
    </row>
    <row r="1058" spans="1:32" ht="17.25" thickBot="1" x14ac:dyDescent="0.35">
      <c r="A1058" s="2" t="s">
        <v>7320</v>
      </c>
      <c r="B1058" s="2" t="s">
        <v>27</v>
      </c>
      <c r="C1058" s="2" t="s">
        <v>28</v>
      </c>
      <c r="D1058" s="2" t="s">
        <v>97</v>
      </c>
      <c r="E1058" s="2" t="s">
        <v>7314</v>
      </c>
      <c r="F1058" s="2" t="s">
        <v>99</v>
      </c>
      <c r="G1058" s="2" t="s">
        <v>32</v>
      </c>
      <c r="H1058" s="1"/>
      <c r="I1058" s="2" t="s">
        <v>33</v>
      </c>
      <c r="J1058" s="2" t="s">
        <v>34</v>
      </c>
      <c r="K1058" s="2" t="s">
        <v>7321</v>
      </c>
      <c r="L1058" s="2" t="s">
        <v>7322</v>
      </c>
      <c r="M1058" s="2" t="s">
        <v>7317</v>
      </c>
      <c r="N1058" s="2" t="s">
        <v>38</v>
      </c>
      <c r="O1058" s="2" t="s">
        <v>234</v>
      </c>
      <c r="P1058" s="2" t="s">
        <v>4964</v>
      </c>
      <c r="Q1058" s="2" t="s">
        <v>7323</v>
      </c>
      <c r="R1058" s="2" t="s">
        <v>40</v>
      </c>
      <c r="S1058" s="2" t="s">
        <v>7324</v>
      </c>
      <c r="T1058" s="2" t="s">
        <v>7325</v>
      </c>
      <c r="U1058" s="2" t="s">
        <v>7326</v>
      </c>
      <c r="V1058" s="2" t="s">
        <v>7327</v>
      </c>
      <c r="W1058" s="1"/>
      <c r="X1058" s="2" t="s">
        <v>2429</v>
      </c>
      <c r="Y1058" s="2" t="s">
        <v>7319</v>
      </c>
      <c r="AA1058" t="str">
        <f t="shared" si="96"/>
        <v>2026-03</v>
      </c>
      <c r="AB1058" t="str">
        <f t="shared" si="97"/>
        <v>H1_2026</v>
      </c>
      <c r="AC1058">
        <f t="shared" si="98"/>
        <v>176463.52</v>
      </c>
      <c r="AD1058">
        <f t="shared" si="99"/>
        <v>29</v>
      </c>
      <c r="AE1058">
        <f t="shared" si="100"/>
        <v>43063.519999999997</v>
      </c>
      <c r="AF1058" t="str">
        <f t="shared" si="101"/>
        <v>Paid</v>
      </c>
    </row>
    <row r="1059" spans="1:32" ht="17.25" thickBot="1" x14ac:dyDescent="0.35">
      <c r="A1059" s="2" t="s">
        <v>7328</v>
      </c>
      <c r="B1059" s="2" t="s">
        <v>27</v>
      </c>
      <c r="C1059" s="2" t="s">
        <v>28</v>
      </c>
      <c r="D1059" s="2" t="s">
        <v>97</v>
      </c>
      <c r="E1059" s="2" t="s">
        <v>7314</v>
      </c>
      <c r="F1059" s="2" t="s">
        <v>99</v>
      </c>
      <c r="G1059" s="2" t="s">
        <v>32</v>
      </c>
      <c r="H1059" s="1"/>
      <c r="I1059" s="2" t="s">
        <v>33</v>
      </c>
      <c r="J1059" s="2" t="s">
        <v>34</v>
      </c>
      <c r="K1059" s="2" t="s">
        <v>7329</v>
      </c>
      <c r="L1059" s="2" t="s">
        <v>7330</v>
      </c>
      <c r="M1059" s="2" t="s">
        <v>7317</v>
      </c>
      <c r="N1059" s="2" t="s">
        <v>38</v>
      </c>
      <c r="O1059" s="2" t="s">
        <v>131</v>
      </c>
      <c r="P1059" s="2" t="s">
        <v>3069</v>
      </c>
      <c r="Q1059" s="2" t="s">
        <v>7331</v>
      </c>
      <c r="R1059" s="2" t="s">
        <v>40</v>
      </c>
      <c r="S1059" s="2" t="s">
        <v>7332</v>
      </c>
      <c r="T1059" s="2" t="s">
        <v>40</v>
      </c>
      <c r="U1059" s="2" t="s">
        <v>40</v>
      </c>
      <c r="V1059" s="2" t="s">
        <v>7332</v>
      </c>
      <c r="W1059" s="1"/>
      <c r="X1059" s="2" t="s">
        <v>2155</v>
      </c>
      <c r="Y1059" s="2" t="s">
        <v>7319</v>
      </c>
      <c r="AA1059" t="str">
        <f t="shared" si="96"/>
        <v>2026-03</v>
      </c>
      <c r="AB1059" t="str">
        <f t="shared" si="97"/>
        <v>H1_2026</v>
      </c>
      <c r="AC1059">
        <f t="shared" si="98"/>
        <v>307479.64</v>
      </c>
      <c r="AD1059">
        <f t="shared" si="99"/>
        <v>40</v>
      </c>
      <c r="AE1059">
        <f t="shared" si="100"/>
        <v>307479.64</v>
      </c>
      <c r="AF1059" t="str">
        <f t="shared" si="101"/>
        <v>Paid</v>
      </c>
    </row>
    <row r="1060" spans="1:32" ht="17.25" thickBot="1" x14ac:dyDescent="0.35">
      <c r="A1060" s="2" t="s">
        <v>7333</v>
      </c>
      <c r="B1060" s="2" t="s">
        <v>27</v>
      </c>
      <c r="C1060" s="2" t="s">
        <v>28</v>
      </c>
      <c r="D1060" s="2" t="s">
        <v>97</v>
      </c>
      <c r="E1060" s="2" t="s">
        <v>7314</v>
      </c>
      <c r="F1060" s="2" t="s">
        <v>99</v>
      </c>
      <c r="G1060" s="2" t="s">
        <v>32</v>
      </c>
      <c r="H1060" s="1"/>
      <c r="I1060" s="2" t="s">
        <v>33</v>
      </c>
      <c r="J1060" s="2" t="s">
        <v>34</v>
      </c>
      <c r="K1060" s="2" t="s">
        <v>7334</v>
      </c>
      <c r="L1060" s="2" t="s">
        <v>7335</v>
      </c>
      <c r="M1060" s="2" t="s">
        <v>7336</v>
      </c>
      <c r="N1060" s="2" t="s">
        <v>38</v>
      </c>
      <c r="O1060" s="2" t="s">
        <v>76</v>
      </c>
      <c r="P1060" s="2" t="s">
        <v>5103</v>
      </c>
      <c r="Q1060" s="2" t="s">
        <v>7337</v>
      </c>
      <c r="R1060" s="2" t="s">
        <v>40</v>
      </c>
      <c r="S1060" s="2" t="s">
        <v>7338</v>
      </c>
      <c r="T1060" s="2" t="s">
        <v>7339</v>
      </c>
      <c r="U1060" s="2" t="s">
        <v>7340</v>
      </c>
      <c r="V1060" s="2" t="s">
        <v>7341</v>
      </c>
      <c r="W1060" s="1"/>
      <c r="X1060" s="2" t="s">
        <v>7108</v>
      </c>
      <c r="Y1060" s="2" t="s">
        <v>7319</v>
      </c>
      <c r="AA1060" t="str">
        <f t="shared" si="96"/>
        <v>2026-03</v>
      </c>
      <c r="AB1060" t="str">
        <f t="shared" si="97"/>
        <v>H1_2026</v>
      </c>
      <c r="AC1060">
        <f t="shared" si="98"/>
        <v>68044.63</v>
      </c>
      <c r="AD1060">
        <f t="shared" si="99"/>
        <v>9</v>
      </c>
      <c r="AE1060">
        <f t="shared" si="100"/>
        <v>14862.81</v>
      </c>
      <c r="AF1060" t="str">
        <f t="shared" si="101"/>
        <v>Paid</v>
      </c>
    </row>
    <row r="1061" spans="1:32" ht="17.25" thickBot="1" x14ac:dyDescent="0.35">
      <c r="A1061" s="2" t="s">
        <v>7342</v>
      </c>
      <c r="B1061" s="2" t="s">
        <v>27</v>
      </c>
      <c r="C1061" s="2" t="s">
        <v>28</v>
      </c>
      <c r="D1061" s="2" t="s">
        <v>97</v>
      </c>
      <c r="E1061" s="2" t="s">
        <v>7314</v>
      </c>
      <c r="F1061" s="2" t="s">
        <v>99</v>
      </c>
      <c r="G1061" s="2" t="s">
        <v>32</v>
      </c>
      <c r="H1061" s="1"/>
      <c r="I1061" s="2" t="s">
        <v>33</v>
      </c>
      <c r="J1061" s="2" t="s">
        <v>34</v>
      </c>
      <c r="K1061" s="2" t="s">
        <v>7343</v>
      </c>
      <c r="L1061" s="2" t="s">
        <v>7344</v>
      </c>
      <c r="M1061" s="2" t="s">
        <v>7336</v>
      </c>
      <c r="N1061" s="2" t="s">
        <v>38</v>
      </c>
      <c r="O1061" s="2" t="s">
        <v>79</v>
      </c>
      <c r="P1061" s="2" t="s">
        <v>7263</v>
      </c>
      <c r="Q1061" s="2" t="s">
        <v>7345</v>
      </c>
      <c r="R1061" s="2" t="s">
        <v>40</v>
      </c>
      <c r="S1061" s="2" t="s">
        <v>7346</v>
      </c>
      <c r="T1061" s="2" t="s">
        <v>2946</v>
      </c>
      <c r="U1061" s="2" t="s">
        <v>7347</v>
      </c>
      <c r="V1061" s="2" t="s">
        <v>7348</v>
      </c>
      <c r="W1061" s="1"/>
      <c r="X1061" s="2" t="s">
        <v>1239</v>
      </c>
      <c r="Y1061" s="2" t="s">
        <v>7319</v>
      </c>
      <c r="AA1061" t="str">
        <f t="shared" si="96"/>
        <v>2026-03</v>
      </c>
      <c r="AB1061" t="str">
        <f t="shared" si="97"/>
        <v>H1_2026</v>
      </c>
      <c r="AC1061">
        <f t="shared" si="98"/>
        <v>50450.27</v>
      </c>
      <c r="AD1061">
        <f t="shared" si="99"/>
        <v>10</v>
      </c>
      <c r="AE1061">
        <f t="shared" si="100"/>
        <v>6813.91</v>
      </c>
      <c r="AF1061" t="str">
        <f t="shared" si="101"/>
        <v>Paid</v>
      </c>
    </row>
    <row r="1062" spans="1:32" ht="17.25" thickBot="1" x14ac:dyDescent="0.35">
      <c r="A1062" s="2" t="s">
        <v>7349</v>
      </c>
      <c r="B1062" s="2" t="s">
        <v>27</v>
      </c>
      <c r="C1062" s="2" t="s">
        <v>28</v>
      </c>
      <c r="D1062" s="2" t="s">
        <v>97</v>
      </c>
      <c r="E1062" s="2" t="s">
        <v>7314</v>
      </c>
      <c r="F1062" s="2" t="s">
        <v>99</v>
      </c>
      <c r="G1062" s="2" t="s">
        <v>32</v>
      </c>
      <c r="H1062" s="1"/>
      <c r="I1062" s="2" t="s">
        <v>33</v>
      </c>
      <c r="J1062" s="2" t="s">
        <v>34</v>
      </c>
      <c r="K1062" s="2" t="s">
        <v>7350</v>
      </c>
      <c r="L1062" s="2" t="s">
        <v>7351</v>
      </c>
      <c r="M1062" s="2" t="s">
        <v>7336</v>
      </c>
      <c r="N1062" s="2" t="s">
        <v>38</v>
      </c>
      <c r="O1062" s="2" t="s">
        <v>79</v>
      </c>
      <c r="P1062" s="2" t="s">
        <v>6813</v>
      </c>
      <c r="Q1062" s="2" t="s">
        <v>7352</v>
      </c>
      <c r="R1062" s="2" t="s">
        <v>40</v>
      </c>
      <c r="S1062" s="2" t="s">
        <v>7353</v>
      </c>
      <c r="T1062" s="2" t="s">
        <v>7354</v>
      </c>
      <c r="U1062" s="2" t="s">
        <v>7355</v>
      </c>
      <c r="V1062" s="2" t="s">
        <v>7356</v>
      </c>
      <c r="W1062" s="1"/>
      <c r="X1062" s="2" t="s">
        <v>201</v>
      </c>
      <c r="Y1062" s="2" t="s">
        <v>7319</v>
      </c>
      <c r="AA1062" t="str">
        <f t="shared" si="96"/>
        <v>2026-03</v>
      </c>
      <c r="AB1062" t="str">
        <f t="shared" si="97"/>
        <v>H1_2026</v>
      </c>
      <c r="AC1062">
        <f t="shared" si="98"/>
        <v>71951.360000000001</v>
      </c>
      <c r="AD1062">
        <f t="shared" si="99"/>
        <v>10</v>
      </c>
      <c r="AE1062">
        <f t="shared" si="100"/>
        <v>17405.91</v>
      </c>
      <c r="AF1062" t="str">
        <f t="shared" si="101"/>
        <v>Paid</v>
      </c>
    </row>
    <row r="1063" spans="1:32" ht="17.25" thickBot="1" x14ac:dyDescent="0.35">
      <c r="A1063" s="2" t="s">
        <v>7357</v>
      </c>
      <c r="B1063" s="2" t="s">
        <v>27</v>
      </c>
      <c r="C1063" s="2" t="s">
        <v>28</v>
      </c>
      <c r="D1063" s="2" t="s">
        <v>97</v>
      </c>
      <c r="E1063" s="2" t="s">
        <v>7314</v>
      </c>
      <c r="F1063" s="2" t="s">
        <v>99</v>
      </c>
      <c r="G1063" s="2" t="s">
        <v>32</v>
      </c>
      <c r="H1063" s="1"/>
      <c r="I1063" s="2" t="s">
        <v>33</v>
      </c>
      <c r="J1063" s="2" t="s">
        <v>34</v>
      </c>
      <c r="K1063" s="2" t="s">
        <v>7358</v>
      </c>
      <c r="L1063" s="2" t="s">
        <v>7359</v>
      </c>
      <c r="M1063" s="2" t="s">
        <v>7336</v>
      </c>
      <c r="N1063" s="2" t="s">
        <v>38</v>
      </c>
      <c r="O1063" s="2" t="s">
        <v>141</v>
      </c>
      <c r="P1063" s="2" t="s">
        <v>6813</v>
      </c>
      <c r="Q1063" s="2" t="s">
        <v>6650</v>
      </c>
      <c r="R1063" s="2" t="s">
        <v>40</v>
      </c>
      <c r="S1063" s="2" t="s">
        <v>7360</v>
      </c>
      <c r="T1063" s="2" t="s">
        <v>7354</v>
      </c>
      <c r="U1063" s="2" t="s">
        <v>3397</v>
      </c>
      <c r="V1063" s="2" t="s">
        <v>7361</v>
      </c>
      <c r="W1063" s="1"/>
      <c r="X1063" s="2" t="s">
        <v>201</v>
      </c>
      <c r="Y1063" s="2" t="s">
        <v>7319</v>
      </c>
      <c r="AA1063" t="str">
        <f t="shared" si="96"/>
        <v>2026-03</v>
      </c>
      <c r="AB1063" t="str">
        <f t="shared" si="97"/>
        <v>H1_2026</v>
      </c>
      <c r="AC1063">
        <f t="shared" si="98"/>
        <v>215854.07999999999</v>
      </c>
      <c r="AD1063">
        <f t="shared" si="99"/>
        <v>30</v>
      </c>
      <c r="AE1063">
        <f t="shared" si="100"/>
        <v>52217.72</v>
      </c>
      <c r="AF1063" t="str">
        <f t="shared" si="101"/>
        <v>Paid</v>
      </c>
    </row>
    <row r="1064" spans="1:32" ht="17.25" thickBot="1" x14ac:dyDescent="0.35">
      <c r="A1064" s="2" t="s">
        <v>7362</v>
      </c>
      <c r="B1064" s="2" t="s">
        <v>27</v>
      </c>
      <c r="C1064" s="2" t="s">
        <v>28</v>
      </c>
      <c r="D1064" s="2" t="s">
        <v>97</v>
      </c>
      <c r="E1064" s="2" t="s">
        <v>7314</v>
      </c>
      <c r="F1064" s="2" t="s">
        <v>99</v>
      </c>
      <c r="G1064" s="2" t="s">
        <v>32</v>
      </c>
      <c r="H1064" s="1"/>
      <c r="I1064" s="2" t="s">
        <v>33</v>
      </c>
      <c r="J1064" s="2" t="s">
        <v>34</v>
      </c>
      <c r="K1064" s="2" t="s">
        <v>7363</v>
      </c>
      <c r="L1064" s="2" t="s">
        <v>7364</v>
      </c>
      <c r="M1064" s="2" t="s">
        <v>7336</v>
      </c>
      <c r="N1064" s="2" t="s">
        <v>38</v>
      </c>
      <c r="O1064" s="2" t="s">
        <v>141</v>
      </c>
      <c r="P1064" s="2" t="s">
        <v>6813</v>
      </c>
      <c r="Q1064" s="2" t="s">
        <v>6650</v>
      </c>
      <c r="R1064" s="2" t="s">
        <v>40</v>
      </c>
      <c r="S1064" s="2" t="s">
        <v>7360</v>
      </c>
      <c r="T1064" s="2" t="s">
        <v>7354</v>
      </c>
      <c r="U1064" s="2" t="s">
        <v>3397</v>
      </c>
      <c r="V1064" s="2" t="s">
        <v>7361</v>
      </c>
      <c r="W1064" s="1"/>
      <c r="X1064" s="2" t="s">
        <v>201</v>
      </c>
      <c r="Y1064" s="2" t="s">
        <v>7319</v>
      </c>
      <c r="AA1064" t="str">
        <f t="shared" si="96"/>
        <v>2026-03</v>
      </c>
      <c r="AB1064" t="str">
        <f t="shared" si="97"/>
        <v>H1_2026</v>
      </c>
      <c r="AC1064">
        <f t="shared" si="98"/>
        <v>215854.07999999999</v>
      </c>
      <c r="AD1064">
        <f t="shared" si="99"/>
        <v>30</v>
      </c>
      <c r="AE1064">
        <f t="shared" si="100"/>
        <v>52217.72</v>
      </c>
      <c r="AF1064" t="str">
        <f t="shared" si="101"/>
        <v>Paid</v>
      </c>
    </row>
    <row r="1065" spans="1:32" ht="17.25" thickBot="1" x14ac:dyDescent="0.35">
      <c r="A1065" s="2" t="s">
        <v>7365</v>
      </c>
      <c r="B1065" s="2" t="s">
        <v>27</v>
      </c>
      <c r="C1065" s="2" t="s">
        <v>28</v>
      </c>
      <c r="D1065" s="2" t="s">
        <v>97</v>
      </c>
      <c r="E1065" s="2" t="s">
        <v>7314</v>
      </c>
      <c r="F1065" s="2" t="s">
        <v>99</v>
      </c>
      <c r="G1065" s="2" t="s">
        <v>32</v>
      </c>
      <c r="H1065" s="1"/>
      <c r="I1065" s="2" t="s">
        <v>33</v>
      </c>
      <c r="J1065" s="2" t="s">
        <v>34</v>
      </c>
      <c r="K1065" s="2" t="s">
        <v>7366</v>
      </c>
      <c r="L1065" s="2" t="s">
        <v>7367</v>
      </c>
      <c r="M1065" s="2" t="s">
        <v>7336</v>
      </c>
      <c r="N1065" s="2" t="s">
        <v>38</v>
      </c>
      <c r="O1065" s="2" t="s">
        <v>156</v>
      </c>
      <c r="P1065" s="2" t="s">
        <v>7368</v>
      </c>
      <c r="Q1065" s="2" t="s">
        <v>7369</v>
      </c>
      <c r="R1065" s="2" t="s">
        <v>40</v>
      </c>
      <c r="S1065" s="2" t="s">
        <v>7370</v>
      </c>
      <c r="T1065" s="2" t="s">
        <v>7371</v>
      </c>
      <c r="U1065" s="2" t="s">
        <v>7372</v>
      </c>
      <c r="V1065" s="2" t="s">
        <v>7373</v>
      </c>
      <c r="W1065" s="1"/>
      <c r="X1065" s="2" t="s">
        <v>2697</v>
      </c>
      <c r="Y1065" s="2" t="s">
        <v>7319</v>
      </c>
      <c r="AA1065" t="str">
        <f t="shared" si="96"/>
        <v>2026-03</v>
      </c>
      <c r="AB1065" t="str">
        <f t="shared" si="97"/>
        <v>H1_2026</v>
      </c>
      <c r="AC1065">
        <f t="shared" si="98"/>
        <v>244803.26</v>
      </c>
      <c r="AD1065">
        <f t="shared" si="99"/>
        <v>20</v>
      </c>
      <c r="AE1065">
        <f t="shared" si="100"/>
        <v>99348.72</v>
      </c>
      <c r="AF1065" t="str">
        <f t="shared" si="101"/>
        <v>Paid</v>
      </c>
    </row>
    <row r="1066" spans="1:32" ht="17.25" thickBot="1" x14ac:dyDescent="0.35">
      <c r="A1066" s="2" t="s">
        <v>7374</v>
      </c>
      <c r="B1066" s="2" t="s">
        <v>27</v>
      </c>
      <c r="C1066" s="2" t="s">
        <v>28</v>
      </c>
      <c r="D1066" s="2" t="s">
        <v>97</v>
      </c>
      <c r="E1066" s="2" t="s">
        <v>7314</v>
      </c>
      <c r="F1066" s="2" t="s">
        <v>99</v>
      </c>
      <c r="G1066" s="2" t="s">
        <v>32</v>
      </c>
      <c r="H1066" s="1"/>
      <c r="I1066" s="2" t="s">
        <v>33</v>
      </c>
      <c r="J1066" s="2" t="s">
        <v>34</v>
      </c>
      <c r="K1066" s="2" t="s">
        <v>7375</v>
      </c>
      <c r="L1066" s="2" t="s">
        <v>7376</v>
      </c>
      <c r="M1066" s="2" t="s">
        <v>7336</v>
      </c>
      <c r="N1066" s="2" t="s">
        <v>38</v>
      </c>
      <c r="O1066" s="2" t="s">
        <v>203</v>
      </c>
      <c r="P1066" s="2" t="s">
        <v>6089</v>
      </c>
      <c r="Q1066" s="2" t="s">
        <v>7377</v>
      </c>
      <c r="R1066" s="2" t="s">
        <v>40</v>
      </c>
      <c r="S1066" s="2" t="s">
        <v>7378</v>
      </c>
      <c r="T1066" s="2" t="s">
        <v>7379</v>
      </c>
      <c r="U1066" s="2" t="s">
        <v>7380</v>
      </c>
      <c r="V1066" s="2" t="s">
        <v>7381</v>
      </c>
      <c r="W1066" s="1"/>
      <c r="X1066" s="2" t="s">
        <v>7382</v>
      </c>
      <c r="Y1066" s="2" t="s">
        <v>7319</v>
      </c>
      <c r="AA1066" t="str">
        <f t="shared" si="96"/>
        <v>2026-03</v>
      </c>
      <c r="AB1066" t="str">
        <f t="shared" si="97"/>
        <v>H1_2026</v>
      </c>
      <c r="AC1066">
        <f t="shared" si="98"/>
        <v>288086.5</v>
      </c>
      <c r="AD1066">
        <f t="shared" si="99"/>
        <v>25</v>
      </c>
      <c r="AE1066">
        <f t="shared" si="100"/>
        <v>93524.5</v>
      </c>
      <c r="AF1066" t="str">
        <f t="shared" si="101"/>
        <v>Paid</v>
      </c>
    </row>
    <row r="1067" spans="1:32" ht="17.25" thickBot="1" x14ac:dyDescent="0.35">
      <c r="A1067" s="2" t="s">
        <v>7383</v>
      </c>
      <c r="B1067" s="2" t="s">
        <v>27</v>
      </c>
      <c r="C1067" s="2" t="s">
        <v>28</v>
      </c>
      <c r="D1067" s="2" t="s">
        <v>97</v>
      </c>
      <c r="E1067" s="2" t="s">
        <v>7384</v>
      </c>
      <c r="F1067" s="2" t="s">
        <v>99</v>
      </c>
      <c r="G1067" s="2" t="s">
        <v>32</v>
      </c>
      <c r="H1067" s="1"/>
      <c r="I1067" s="2" t="s">
        <v>33</v>
      </c>
      <c r="J1067" s="2" t="s">
        <v>34</v>
      </c>
      <c r="K1067" s="2" t="s">
        <v>7385</v>
      </c>
      <c r="L1067" s="2" t="s">
        <v>7386</v>
      </c>
      <c r="M1067" s="2" t="s">
        <v>7387</v>
      </c>
      <c r="N1067" s="2" t="s">
        <v>38</v>
      </c>
      <c r="O1067" s="2" t="s">
        <v>7388</v>
      </c>
      <c r="P1067" s="2" t="s">
        <v>7389</v>
      </c>
      <c r="Q1067" s="2" t="s">
        <v>7390</v>
      </c>
      <c r="R1067" s="2" t="s">
        <v>40</v>
      </c>
      <c r="S1067" s="2" t="s">
        <v>7391</v>
      </c>
      <c r="T1067" s="2" t="s">
        <v>7392</v>
      </c>
      <c r="U1067" s="2" t="s">
        <v>7393</v>
      </c>
      <c r="V1067" s="2" t="s">
        <v>7394</v>
      </c>
      <c r="W1067" s="1"/>
      <c r="X1067" s="2" t="s">
        <v>3824</v>
      </c>
      <c r="Y1067" s="2" t="s">
        <v>7395</v>
      </c>
      <c r="AA1067" t="str">
        <f t="shared" si="96"/>
        <v>2026-03</v>
      </c>
      <c r="AB1067" t="str">
        <f t="shared" si="97"/>
        <v>H1_2026</v>
      </c>
      <c r="AC1067">
        <f t="shared" si="98"/>
        <v>53343120</v>
      </c>
      <c r="AD1067">
        <f t="shared" si="99"/>
        <v>4000</v>
      </c>
      <c r="AE1067">
        <f t="shared" si="100"/>
        <v>8103120</v>
      </c>
      <c r="AF1067" t="str">
        <f t="shared" si="101"/>
        <v>Paid</v>
      </c>
    </row>
    <row r="1068" spans="1:32" ht="17.25" thickBot="1" x14ac:dyDescent="0.35">
      <c r="A1068" s="2" t="s">
        <v>7396</v>
      </c>
      <c r="B1068" s="2" t="s">
        <v>27</v>
      </c>
      <c r="C1068" s="2" t="s">
        <v>28</v>
      </c>
      <c r="D1068" s="2" t="s">
        <v>97</v>
      </c>
      <c r="E1068" s="2" t="s">
        <v>7384</v>
      </c>
      <c r="F1068" s="2" t="s">
        <v>99</v>
      </c>
      <c r="G1068" s="2" t="s">
        <v>32</v>
      </c>
      <c r="H1068" s="1"/>
      <c r="I1068" s="2" t="s">
        <v>33</v>
      </c>
      <c r="J1068" s="2" t="s">
        <v>34</v>
      </c>
      <c r="K1068" s="2" t="s">
        <v>7397</v>
      </c>
      <c r="L1068" s="2" t="s">
        <v>7398</v>
      </c>
      <c r="M1068" s="2" t="s">
        <v>772</v>
      </c>
      <c r="N1068" s="2" t="s">
        <v>38</v>
      </c>
      <c r="O1068" s="2" t="s">
        <v>773</v>
      </c>
      <c r="P1068" s="2" t="s">
        <v>7399</v>
      </c>
      <c r="Q1068" s="2" t="s">
        <v>7400</v>
      </c>
      <c r="R1068" s="2" t="s">
        <v>40</v>
      </c>
      <c r="S1068" s="2" t="s">
        <v>7401</v>
      </c>
      <c r="T1068" s="2" t="s">
        <v>5027</v>
      </c>
      <c r="U1068" s="2" t="s">
        <v>6778</v>
      </c>
      <c r="V1068" s="2" t="s">
        <v>7402</v>
      </c>
      <c r="W1068" s="1"/>
      <c r="X1068" s="2" t="s">
        <v>838</v>
      </c>
      <c r="Y1068" s="2" t="s">
        <v>7403</v>
      </c>
      <c r="AA1068" t="str">
        <f t="shared" si="96"/>
        <v>2026-03</v>
      </c>
      <c r="AB1068" t="str">
        <f t="shared" si="97"/>
        <v>H1_2026</v>
      </c>
      <c r="AC1068">
        <f t="shared" si="98"/>
        <v>28439260.199999999</v>
      </c>
      <c r="AD1068">
        <f t="shared" si="99"/>
        <v>200</v>
      </c>
      <c r="AE1068">
        <f t="shared" si="100"/>
        <v>5939260.2000000002</v>
      </c>
      <c r="AF1068" t="str">
        <f t="shared" si="101"/>
        <v>Paid</v>
      </c>
    </row>
    <row r="1069" spans="1:32" ht="17.25" thickBot="1" x14ac:dyDescent="0.35">
      <c r="A1069" s="2" t="s">
        <v>7404</v>
      </c>
      <c r="B1069" s="2" t="s">
        <v>27</v>
      </c>
      <c r="C1069" s="2" t="s">
        <v>28</v>
      </c>
      <c r="D1069" s="2" t="s">
        <v>97</v>
      </c>
      <c r="E1069" s="2" t="s">
        <v>7384</v>
      </c>
      <c r="F1069" s="2" t="s">
        <v>99</v>
      </c>
      <c r="G1069" s="2" t="s">
        <v>32</v>
      </c>
      <c r="H1069" s="1"/>
      <c r="I1069" s="2" t="s">
        <v>33</v>
      </c>
      <c r="J1069" s="2" t="s">
        <v>34</v>
      </c>
      <c r="K1069" s="2" t="s">
        <v>5032</v>
      </c>
      <c r="L1069" s="2" t="s">
        <v>5033</v>
      </c>
      <c r="M1069" s="2" t="s">
        <v>772</v>
      </c>
      <c r="N1069" s="2" t="s">
        <v>38</v>
      </c>
      <c r="O1069" s="2" t="s">
        <v>831</v>
      </c>
      <c r="P1069" s="2" t="s">
        <v>7399</v>
      </c>
      <c r="Q1069" s="2" t="s">
        <v>7405</v>
      </c>
      <c r="R1069" s="2" t="s">
        <v>40</v>
      </c>
      <c r="S1069" s="2" t="s">
        <v>7406</v>
      </c>
      <c r="T1069" s="2" t="s">
        <v>5027</v>
      </c>
      <c r="U1069" s="2" t="s">
        <v>7407</v>
      </c>
      <c r="V1069" s="2" t="s">
        <v>7408</v>
      </c>
      <c r="W1069" s="1"/>
      <c r="X1069" s="2" t="s">
        <v>838</v>
      </c>
      <c r="Y1069" s="2" t="s">
        <v>7403</v>
      </c>
      <c r="AA1069" t="str">
        <f t="shared" si="96"/>
        <v>2026-03</v>
      </c>
      <c r="AB1069" t="str">
        <f t="shared" si="97"/>
        <v>H1_2026</v>
      </c>
      <c r="AC1069">
        <f t="shared" si="98"/>
        <v>142196301</v>
      </c>
      <c r="AD1069">
        <f t="shared" si="99"/>
        <v>1000</v>
      </c>
      <c r="AE1069">
        <f t="shared" si="100"/>
        <v>29696301</v>
      </c>
      <c r="AF1069" t="str">
        <f t="shared" si="101"/>
        <v>Paid</v>
      </c>
    </row>
    <row r="1070" spans="1:32" ht="17.25" thickBot="1" x14ac:dyDescent="0.35">
      <c r="A1070" s="2" t="s">
        <v>7409</v>
      </c>
      <c r="B1070" s="2" t="s">
        <v>27</v>
      </c>
      <c r="C1070" s="2" t="s">
        <v>28</v>
      </c>
      <c r="D1070" s="2" t="s">
        <v>97</v>
      </c>
      <c r="E1070" s="2" t="s">
        <v>7384</v>
      </c>
      <c r="F1070" s="2" t="s">
        <v>99</v>
      </c>
      <c r="G1070" s="2" t="s">
        <v>32</v>
      </c>
      <c r="H1070" s="1"/>
      <c r="I1070" s="2" t="s">
        <v>33</v>
      </c>
      <c r="J1070" s="2" t="s">
        <v>34</v>
      </c>
      <c r="K1070" s="2" t="s">
        <v>7385</v>
      </c>
      <c r="L1070" s="2" t="s">
        <v>7386</v>
      </c>
      <c r="M1070" s="2" t="s">
        <v>7387</v>
      </c>
      <c r="N1070" s="2" t="s">
        <v>38</v>
      </c>
      <c r="O1070" s="2" t="s">
        <v>7410</v>
      </c>
      <c r="P1070" s="2" t="s">
        <v>7389</v>
      </c>
      <c r="Q1070" s="2" t="s">
        <v>7411</v>
      </c>
      <c r="R1070" s="2" t="s">
        <v>40</v>
      </c>
      <c r="S1070" s="2" t="s">
        <v>7412</v>
      </c>
      <c r="T1070" s="2" t="s">
        <v>7392</v>
      </c>
      <c r="U1070" s="2" t="s">
        <v>7413</v>
      </c>
      <c r="V1070" s="2" t="s">
        <v>7414</v>
      </c>
      <c r="W1070" s="1"/>
      <c r="X1070" s="2" t="s">
        <v>3824</v>
      </c>
      <c r="Y1070" s="2" t="s">
        <v>7415</v>
      </c>
      <c r="AA1070" t="str">
        <f t="shared" si="96"/>
        <v>2026-03</v>
      </c>
      <c r="AB1070" t="str">
        <f t="shared" si="97"/>
        <v>H1_2026</v>
      </c>
      <c r="AC1070">
        <f t="shared" si="98"/>
        <v>15336147</v>
      </c>
      <c r="AD1070">
        <f t="shared" si="99"/>
        <v>1150</v>
      </c>
      <c r="AE1070">
        <f t="shared" si="100"/>
        <v>2329647</v>
      </c>
      <c r="AF1070" t="str">
        <f t="shared" si="101"/>
        <v>Paid</v>
      </c>
    </row>
    <row r="1071" spans="1:32" ht="17.25" thickBot="1" x14ac:dyDescent="0.35">
      <c r="A1071" s="2" t="s">
        <v>7416</v>
      </c>
      <c r="B1071" s="2" t="s">
        <v>27</v>
      </c>
      <c r="C1071" s="2" t="s">
        <v>28</v>
      </c>
      <c r="D1071" s="2" t="s">
        <v>97</v>
      </c>
      <c r="E1071" s="2" t="s">
        <v>7384</v>
      </c>
      <c r="F1071" s="2" t="s">
        <v>99</v>
      </c>
      <c r="G1071" s="2" t="s">
        <v>32</v>
      </c>
      <c r="H1071" s="1"/>
      <c r="I1071" s="2" t="s">
        <v>33</v>
      </c>
      <c r="J1071" s="2" t="s">
        <v>34</v>
      </c>
      <c r="K1071" s="2" t="s">
        <v>7417</v>
      </c>
      <c r="L1071" s="2" t="s">
        <v>7418</v>
      </c>
      <c r="M1071" s="2" t="s">
        <v>772</v>
      </c>
      <c r="N1071" s="2" t="s">
        <v>38</v>
      </c>
      <c r="O1071" s="2" t="s">
        <v>773</v>
      </c>
      <c r="P1071" s="2" t="s">
        <v>7419</v>
      </c>
      <c r="Q1071" s="2" t="s">
        <v>7420</v>
      </c>
      <c r="R1071" s="2" t="s">
        <v>40</v>
      </c>
      <c r="S1071" s="2" t="s">
        <v>7421</v>
      </c>
      <c r="T1071" s="2" t="s">
        <v>5027</v>
      </c>
      <c r="U1071" s="2" t="s">
        <v>6778</v>
      </c>
      <c r="V1071" s="2" t="s">
        <v>7422</v>
      </c>
      <c r="W1071" s="1"/>
      <c r="X1071" s="2" t="s">
        <v>6709</v>
      </c>
      <c r="Y1071" s="2" t="s">
        <v>7415</v>
      </c>
      <c r="AA1071" t="str">
        <f t="shared" si="96"/>
        <v>2026-03</v>
      </c>
      <c r="AB1071" t="str">
        <f t="shared" si="97"/>
        <v>H1_2026</v>
      </c>
      <c r="AC1071">
        <f t="shared" si="98"/>
        <v>28552756.199999999</v>
      </c>
      <c r="AD1071">
        <f t="shared" si="99"/>
        <v>200</v>
      </c>
      <c r="AE1071">
        <f t="shared" si="100"/>
        <v>6052756.2000000002</v>
      </c>
      <c r="AF1071" t="str">
        <f t="shared" si="101"/>
        <v>Paid</v>
      </c>
    </row>
    <row r="1072" spans="1:32" ht="27.75" thickBot="1" x14ac:dyDescent="0.35">
      <c r="A1072" s="2" t="s">
        <v>7423</v>
      </c>
      <c r="B1072" s="2" t="s">
        <v>27</v>
      </c>
      <c r="C1072" s="2" t="s">
        <v>28</v>
      </c>
      <c r="D1072" s="2" t="s">
        <v>97</v>
      </c>
      <c r="E1072" s="2" t="s">
        <v>7384</v>
      </c>
      <c r="F1072" s="2" t="s">
        <v>99</v>
      </c>
      <c r="G1072" s="2" t="s">
        <v>32</v>
      </c>
      <c r="H1072" s="1"/>
      <c r="I1072" s="2" t="s">
        <v>33</v>
      </c>
      <c r="J1072" s="2" t="s">
        <v>34</v>
      </c>
      <c r="K1072" s="2" t="s">
        <v>352</v>
      </c>
      <c r="L1072" s="2" t="s">
        <v>353</v>
      </c>
      <c r="M1072" s="2" t="s">
        <v>304</v>
      </c>
      <c r="N1072" s="2" t="s">
        <v>38</v>
      </c>
      <c r="O1072" s="2" t="s">
        <v>1333</v>
      </c>
      <c r="P1072" s="2" t="s">
        <v>1414</v>
      </c>
      <c r="Q1072" s="2" t="s">
        <v>7424</v>
      </c>
      <c r="R1072" s="2" t="s">
        <v>40</v>
      </c>
      <c r="S1072" s="2" t="s">
        <v>7425</v>
      </c>
      <c r="T1072" s="2" t="s">
        <v>309</v>
      </c>
      <c r="U1072" s="2" t="s">
        <v>7426</v>
      </c>
      <c r="V1072" s="2" t="s">
        <v>7427</v>
      </c>
      <c r="W1072" s="1"/>
      <c r="X1072" s="2" t="s">
        <v>6045</v>
      </c>
      <c r="Y1072" s="2" t="s">
        <v>7428</v>
      </c>
      <c r="AA1072" t="str">
        <f t="shared" si="96"/>
        <v>2026-03</v>
      </c>
      <c r="AB1072" t="str">
        <f t="shared" si="97"/>
        <v>H1_2026</v>
      </c>
      <c r="AC1072">
        <f t="shared" si="98"/>
        <v>1310221.8</v>
      </c>
      <c r="AD1072">
        <f t="shared" si="99"/>
        <v>150</v>
      </c>
      <c r="AE1072">
        <f t="shared" si="100"/>
        <v>146221.79999999999</v>
      </c>
      <c r="AF1072" t="str">
        <f t="shared" si="101"/>
        <v>Paid</v>
      </c>
    </row>
    <row r="1073" spans="1:32" ht="27.75" thickBot="1" x14ac:dyDescent="0.35">
      <c r="A1073" s="2" t="s">
        <v>7429</v>
      </c>
      <c r="B1073" s="2" t="s">
        <v>27</v>
      </c>
      <c r="C1073" s="2" t="s">
        <v>28</v>
      </c>
      <c r="D1073" s="2" t="s">
        <v>97</v>
      </c>
      <c r="E1073" s="2" t="s">
        <v>7384</v>
      </c>
      <c r="F1073" s="2" t="s">
        <v>99</v>
      </c>
      <c r="G1073" s="2" t="s">
        <v>32</v>
      </c>
      <c r="H1073" s="1"/>
      <c r="I1073" s="2" t="s">
        <v>33</v>
      </c>
      <c r="J1073" s="2" t="s">
        <v>34</v>
      </c>
      <c r="K1073" s="2" t="s">
        <v>7430</v>
      </c>
      <c r="L1073" s="2" t="s">
        <v>7431</v>
      </c>
      <c r="M1073" s="2" t="s">
        <v>304</v>
      </c>
      <c r="N1073" s="2" t="s">
        <v>38</v>
      </c>
      <c r="O1073" s="2" t="s">
        <v>1438</v>
      </c>
      <c r="P1073" s="2" t="s">
        <v>4160</v>
      </c>
      <c r="Q1073" s="2" t="s">
        <v>7432</v>
      </c>
      <c r="R1073" s="2" t="s">
        <v>40</v>
      </c>
      <c r="S1073" s="2" t="s">
        <v>7433</v>
      </c>
      <c r="T1073" s="2" t="s">
        <v>374</v>
      </c>
      <c r="U1073" s="2" t="s">
        <v>7434</v>
      </c>
      <c r="V1073" s="2" t="s">
        <v>7435</v>
      </c>
      <c r="W1073" s="1"/>
      <c r="X1073" s="2" t="s">
        <v>7436</v>
      </c>
      <c r="Y1073" s="2" t="s">
        <v>7428</v>
      </c>
      <c r="AA1073" t="str">
        <f t="shared" si="96"/>
        <v>2026-03</v>
      </c>
      <c r="AB1073" t="str">
        <f t="shared" si="97"/>
        <v>H1_2026</v>
      </c>
      <c r="AC1073">
        <f t="shared" si="98"/>
        <v>2117979.9</v>
      </c>
      <c r="AD1073">
        <f t="shared" si="99"/>
        <v>162</v>
      </c>
      <c r="AE1073">
        <f t="shared" si="100"/>
        <v>233919.9</v>
      </c>
      <c r="AF1073" t="str">
        <f t="shared" si="101"/>
        <v>Paid</v>
      </c>
    </row>
    <row r="1074" spans="1:32" ht="17.25" thickBot="1" x14ac:dyDescent="0.35">
      <c r="A1074" s="2" t="s">
        <v>7437</v>
      </c>
      <c r="B1074" s="2" t="s">
        <v>27</v>
      </c>
      <c r="C1074" s="2" t="s">
        <v>28</v>
      </c>
      <c r="D1074" s="2" t="s">
        <v>97</v>
      </c>
      <c r="E1074" s="2" t="s">
        <v>7384</v>
      </c>
      <c r="F1074" s="2" t="s">
        <v>99</v>
      </c>
      <c r="G1074" s="2" t="s">
        <v>32</v>
      </c>
      <c r="H1074" s="1"/>
      <c r="I1074" s="2" t="s">
        <v>33</v>
      </c>
      <c r="J1074" s="2" t="s">
        <v>34</v>
      </c>
      <c r="K1074" s="2" t="s">
        <v>400</v>
      </c>
      <c r="L1074" s="2" t="s">
        <v>401</v>
      </c>
      <c r="M1074" s="2" t="s">
        <v>304</v>
      </c>
      <c r="N1074" s="2" t="s">
        <v>38</v>
      </c>
      <c r="O1074" s="2" t="s">
        <v>156</v>
      </c>
      <c r="P1074" s="2" t="s">
        <v>4277</v>
      </c>
      <c r="Q1074" s="2" t="s">
        <v>7438</v>
      </c>
      <c r="R1074" s="2" t="s">
        <v>40</v>
      </c>
      <c r="S1074" s="2" t="s">
        <v>7439</v>
      </c>
      <c r="T1074" s="2" t="s">
        <v>706</v>
      </c>
      <c r="U1074" s="2" t="s">
        <v>7440</v>
      </c>
      <c r="V1074" s="2" t="s">
        <v>7441</v>
      </c>
      <c r="W1074" s="1"/>
      <c r="X1074" s="2" t="s">
        <v>7442</v>
      </c>
      <c r="Y1074" s="2" t="s">
        <v>7428</v>
      </c>
      <c r="AA1074" t="str">
        <f t="shared" si="96"/>
        <v>2026-03</v>
      </c>
      <c r="AB1074" t="str">
        <f t="shared" si="97"/>
        <v>H1_2026</v>
      </c>
      <c r="AC1074">
        <f t="shared" si="98"/>
        <v>262044.36</v>
      </c>
      <c r="AD1074">
        <f t="shared" si="99"/>
        <v>20</v>
      </c>
      <c r="AE1074">
        <f t="shared" si="100"/>
        <v>94044.36</v>
      </c>
      <c r="AF1074" t="str">
        <f t="shared" si="101"/>
        <v>Paid</v>
      </c>
    </row>
    <row r="1075" spans="1:32" ht="27.75" thickBot="1" x14ac:dyDescent="0.35">
      <c r="A1075" s="2" t="s">
        <v>7443</v>
      </c>
      <c r="B1075" s="2" t="s">
        <v>27</v>
      </c>
      <c r="C1075" s="2" t="s">
        <v>28</v>
      </c>
      <c r="D1075" s="2" t="s">
        <v>97</v>
      </c>
      <c r="E1075" s="2" t="s">
        <v>7384</v>
      </c>
      <c r="F1075" s="2" t="s">
        <v>99</v>
      </c>
      <c r="G1075" s="2" t="s">
        <v>32</v>
      </c>
      <c r="H1075" s="1"/>
      <c r="I1075" s="2" t="s">
        <v>33</v>
      </c>
      <c r="J1075" s="2" t="s">
        <v>34</v>
      </c>
      <c r="K1075" s="2" t="s">
        <v>408</v>
      </c>
      <c r="L1075" s="2" t="s">
        <v>409</v>
      </c>
      <c r="M1075" s="2" t="s">
        <v>304</v>
      </c>
      <c r="N1075" s="2" t="s">
        <v>38</v>
      </c>
      <c r="O1075" s="2" t="s">
        <v>466</v>
      </c>
      <c r="P1075" s="2" t="s">
        <v>4425</v>
      </c>
      <c r="Q1075" s="2" t="s">
        <v>7444</v>
      </c>
      <c r="R1075" s="2" t="s">
        <v>40</v>
      </c>
      <c r="S1075" s="2" t="s">
        <v>7445</v>
      </c>
      <c r="T1075" s="2" t="s">
        <v>413</v>
      </c>
      <c r="U1075" s="2" t="s">
        <v>4107</v>
      </c>
      <c r="V1075" s="2" t="s">
        <v>7446</v>
      </c>
      <c r="W1075" s="1"/>
      <c r="X1075" s="2" t="s">
        <v>7447</v>
      </c>
      <c r="Y1075" s="2" t="s">
        <v>7428</v>
      </c>
      <c r="AA1075" t="str">
        <f t="shared" si="96"/>
        <v>2026-03</v>
      </c>
      <c r="AB1075" t="str">
        <f t="shared" si="97"/>
        <v>H1_2026</v>
      </c>
      <c r="AC1075">
        <f t="shared" si="98"/>
        <v>1085349.8600000001</v>
      </c>
      <c r="AD1075">
        <f t="shared" si="99"/>
        <v>70</v>
      </c>
      <c r="AE1075">
        <f t="shared" si="100"/>
        <v>115849.86</v>
      </c>
      <c r="AF1075" t="str">
        <f t="shared" si="101"/>
        <v>Paid</v>
      </c>
    </row>
    <row r="1076" spans="1:32" ht="17.25" thickBot="1" x14ac:dyDescent="0.35">
      <c r="A1076" s="2" t="s">
        <v>7448</v>
      </c>
      <c r="B1076" s="2" t="s">
        <v>27</v>
      </c>
      <c r="C1076" s="2" t="s">
        <v>28</v>
      </c>
      <c r="D1076" s="2" t="s">
        <v>97</v>
      </c>
      <c r="E1076" s="2" t="s">
        <v>7384</v>
      </c>
      <c r="F1076" s="2" t="s">
        <v>99</v>
      </c>
      <c r="G1076" s="2" t="s">
        <v>32</v>
      </c>
      <c r="H1076" s="1"/>
      <c r="I1076" s="2" t="s">
        <v>33</v>
      </c>
      <c r="J1076" s="2" t="s">
        <v>34</v>
      </c>
      <c r="K1076" s="2" t="s">
        <v>6153</v>
      </c>
      <c r="L1076" s="2" t="s">
        <v>6154</v>
      </c>
      <c r="M1076" s="2" t="s">
        <v>6146</v>
      </c>
      <c r="N1076" s="2" t="s">
        <v>38</v>
      </c>
      <c r="O1076" s="2" t="s">
        <v>141</v>
      </c>
      <c r="P1076" s="2" t="s">
        <v>1907</v>
      </c>
      <c r="Q1076" s="2" t="s">
        <v>7449</v>
      </c>
      <c r="R1076" s="2" t="s">
        <v>40</v>
      </c>
      <c r="S1076" s="2" t="s">
        <v>7450</v>
      </c>
      <c r="T1076" s="2" t="s">
        <v>6157</v>
      </c>
      <c r="U1076" s="2" t="s">
        <v>7451</v>
      </c>
      <c r="V1076" s="2" t="s">
        <v>7452</v>
      </c>
      <c r="W1076" s="1"/>
      <c r="X1076" s="2" t="s">
        <v>4393</v>
      </c>
      <c r="Y1076" s="2" t="s">
        <v>7428</v>
      </c>
      <c r="AA1076" t="str">
        <f t="shared" si="96"/>
        <v>2026-03</v>
      </c>
      <c r="AB1076" t="str">
        <f t="shared" si="97"/>
        <v>H1_2026</v>
      </c>
      <c r="AC1076">
        <f t="shared" si="98"/>
        <v>186992.82</v>
      </c>
      <c r="AD1076">
        <f t="shared" si="99"/>
        <v>30</v>
      </c>
      <c r="AE1076">
        <f t="shared" si="100"/>
        <v>44356.46</v>
      </c>
      <c r="AF1076" t="str">
        <f t="shared" si="101"/>
        <v>Paid</v>
      </c>
    </row>
    <row r="1077" spans="1:32" ht="17.25" thickBot="1" x14ac:dyDescent="0.35">
      <c r="A1077" s="2" t="s">
        <v>7453</v>
      </c>
      <c r="B1077" s="2" t="s">
        <v>27</v>
      </c>
      <c r="C1077" s="2" t="s">
        <v>28</v>
      </c>
      <c r="D1077" s="2" t="s">
        <v>97</v>
      </c>
      <c r="E1077" s="2" t="s">
        <v>7384</v>
      </c>
      <c r="F1077" s="2" t="s">
        <v>99</v>
      </c>
      <c r="G1077" s="2" t="s">
        <v>32</v>
      </c>
      <c r="H1077" s="1"/>
      <c r="I1077" s="2" t="s">
        <v>33</v>
      </c>
      <c r="J1077" s="2" t="s">
        <v>34</v>
      </c>
      <c r="K1077" s="2" t="s">
        <v>6161</v>
      </c>
      <c r="L1077" s="2" t="s">
        <v>6162</v>
      </c>
      <c r="M1077" s="2" t="s">
        <v>6146</v>
      </c>
      <c r="N1077" s="2" t="s">
        <v>38</v>
      </c>
      <c r="O1077" s="2" t="s">
        <v>138</v>
      </c>
      <c r="P1077" s="2" t="s">
        <v>7263</v>
      </c>
      <c r="Q1077" s="2" t="s">
        <v>7454</v>
      </c>
      <c r="R1077" s="2" t="s">
        <v>40</v>
      </c>
      <c r="S1077" s="2" t="s">
        <v>7455</v>
      </c>
      <c r="T1077" s="2" t="s">
        <v>6166</v>
      </c>
      <c r="U1077" s="2" t="s">
        <v>7456</v>
      </c>
      <c r="V1077" s="2" t="s">
        <v>7457</v>
      </c>
      <c r="W1077" s="1"/>
      <c r="X1077" s="2" t="s">
        <v>1042</v>
      </c>
      <c r="Y1077" s="2" t="s">
        <v>7428</v>
      </c>
      <c r="AA1077" t="str">
        <f t="shared" si="96"/>
        <v>2026-03</v>
      </c>
      <c r="AB1077" t="str">
        <f t="shared" si="97"/>
        <v>H1_2026</v>
      </c>
      <c r="AC1077">
        <f t="shared" si="98"/>
        <v>91333.91</v>
      </c>
      <c r="AD1077">
        <f t="shared" si="99"/>
        <v>18</v>
      </c>
      <c r="AE1077">
        <f t="shared" si="100"/>
        <v>21952.09</v>
      </c>
      <c r="AF1077" t="str">
        <f t="shared" si="101"/>
        <v>Paid</v>
      </c>
    </row>
    <row r="1078" spans="1:32" ht="17.25" thickBot="1" x14ac:dyDescent="0.35">
      <c r="A1078" s="2" t="s">
        <v>7458</v>
      </c>
      <c r="B1078" s="2" t="s">
        <v>27</v>
      </c>
      <c r="C1078" s="2" t="s">
        <v>28</v>
      </c>
      <c r="D1078" s="2" t="s">
        <v>97</v>
      </c>
      <c r="E1078" s="2" t="s">
        <v>7384</v>
      </c>
      <c r="F1078" s="2" t="s">
        <v>99</v>
      </c>
      <c r="G1078" s="2" t="s">
        <v>32</v>
      </c>
      <c r="H1078" s="1"/>
      <c r="I1078" s="2" t="s">
        <v>33</v>
      </c>
      <c r="J1078" s="2" t="s">
        <v>34</v>
      </c>
      <c r="K1078" s="2" t="s">
        <v>6185</v>
      </c>
      <c r="L1078" s="2" t="s">
        <v>6186</v>
      </c>
      <c r="M1078" s="2" t="s">
        <v>6146</v>
      </c>
      <c r="N1078" s="2" t="s">
        <v>38</v>
      </c>
      <c r="O1078" s="2" t="s">
        <v>214</v>
      </c>
      <c r="P1078" s="2" t="s">
        <v>7269</v>
      </c>
      <c r="Q1078" s="2" t="s">
        <v>7459</v>
      </c>
      <c r="R1078" s="2" t="s">
        <v>40</v>
      </c>
      <c r="S1078" s="2" t="s">
        <v>7460</v>
      </c>
      <c r="T1078" s="2" t="s">
        <v>6190</v>
      </c>
      <c r="U1078" s="2" t="s">
        <v>2465</v>
      </c>
      <c r="V1078" s="2" t="s">
        <v>7461</v>
      </c>
      <c r="W1078" s="1"/>
      <c r="X1078" s="2" t="s">
        <v>955</v>
      </c>
      <c r="Y1078" s="2" t="s">
        <v>7428</v>
      </c>
      <c r="AA1078" t="str">
        <f t="shared" si="96"/>
        <v>2026-03</v>
      </c>
      <c r="AB1078" t="str">
        <f t="shared" si="97"/>
        <v>H1_2026</v>
      </c>
      <c r="AC1078">
        <f t="shared" si="98"/>
        <v>374551</v>
      </c>
      <c r="AD1078">
        <f t="shared" si="99"/>
        <v>50</v>
      </c>
      <c r="AE1078">
        <f t="shared" si="100"/>
        <v>88187.37</v>
      </c>
      <c r="AF1078" t="str">
        <f t="shared" si="101"/>
        <v>Paid</v>
      </c>
    </row>
    <row r="1079" spans="1:32" ht="27.75" thickBot="1" x14ac:dyDescent="0.35">
      <c r="A1079" s="2" t="s">
        <v>7462</v>
      </c>
      <c r="B1079" s="2" t="s">
        <v>27</v>
      </c>
      <c r="C1079" s="2" t="s">
        <v>28</v>
      </c>
      <c r="D1079" s="2" t="s">
        <v>97</v>
      </c>
      <c r="E1079" s="2" t="s">
        <v>7384</v>
      </c>
      <c r="F1079" s="2" t="s">
        <v>99</v>
      </c>
      <c r="G1079" s="2" t="s">
        <v>32</v>
      </c>
      <c r="H1079" s="1"/>
      <c r="I1079" s="2" t="s">
        <v>33</v>
      </c>
      <c r="J1079" s="2" t="s">
        <v>34</v>
      </c>
      <c r="K1079" s="2" t="s">
        <v>6194</v>
      </c>
      <c r="L1079" s="2" t="s">
        <v>6195</v>
      </c>
      <c r="M1079" s="2" t="s">
        <v>6146</v>
      </c>
      <c r="N1079" s="2" t="s">
        <v>38</v>
      </c>
      <c r="O1079" s="2" t="s">
        <v>214</v>
      </c>
      <c r="P1079" s="2" t="s">
        <v>2555</v>
      </c>
      <c r="Q1079" s="2" t="s">
        <v>7463</v>
      </c>
      <c r="R1079" s="2" t="s">
        <v>40</v>
      </c>
      <c r="S1079" s="2" t="s">
        <v>7464</v>
      </c>
      <c r="T1079" s="2" t="s">
        <v>2249</v>
      </c>
      <c r="U1079" s="2" t="s">
        <v>7465</v>
      </c>
      <c r="V1079" s="2" t="s">
        <v>7466</v>
      </c>
      <c r="W1079" s="1"/>
      <c r="X1079" s="2" t="s">
        <v>955</v>
      </c>
      <c r="Y1079" s="2" t="s">
        <v>7428</v>
      </c>
      <c r="AA1079" t="str">
        <f t="shared" si="96"/>
        <v>2026-03</v>
      </c>
      <c r="AB1079" t="str">
        <f t="shared" si="97"/>
        <v>H1_2026</v>
      </c>
      <c r="AC1079">
        <f t="shared" si="98"/>
        <v>463595.2</v>
      </c>
      <c r="AD1079">
        <f t="shared" si="99"/>
        <v>50</v>
      </c>
      <c r="AE1079">
        <f t="shared" si="100"/>
        <v>109049.75</v>
      </c>
      <c r="AF1079" t="str">
        <f t="shared" si="101"/>
        <v>Paid</v>
      </c>
    </row>
    <row r="1080" spans="1:32" ht="17.25" thickBot="1" x14ac:dyDescent="0.35">
      <c r="A1080" s="2" t="s">
        <v>7467</v>
      </c>
      <c r="B1080" s="2" t="s">
        <v>27</v>
      </c>
      <c r="C1080" s="2" t="s">
        <v>28</v>
      </c>
      <c r="D1080" s="2" t="s">
        <v>97</v>
      </c>
      <c r="E1080" s="2" t="s">
        <v>7384</v>
      </c>
      <c r="F1080" s="2" t="s">
        <v>99</v>
      </c>
      <c r="G1080" s="2" t="s">
        <v>32</v>
      </c>
      <c r="H1080" s="1"/>
      <c r="I1080" s="2" t="s">
        <v>33</v>
      </c>
      <c r="J1080" s="2" t="s">
        <v>34</v>
      </c>
      <c r="K1080" s="2" t="s">
        <v>6235</v>
      </c>
      <c r="L1080" s="2" t="s">
        <v>6236</v>
      </c>
      <c r="M1080" s="2" t="s">
        <v>6146</v>
      </c>
      <c r="N1080" s="2" t="s">
        <v>38</v>
      </c>
      <c r="O1080" s="2" t="s">
        <v>156</v>
      </c>
      <c r="P1080" s="2" t="s">
        <v>1798</v>
      </c>
      <c r="Q1080" s="2" t="s">
        <v>7468</v>
      </c>
      <c r="R1080" s="2" t="s">
        <v>40</v>
      </c>
      <c r="S1080" s="2" t="s">
        <v>7469</v>
      </c>
      <c r="T1080" s="2" t="s">
        <v>2490</v>
      </c>
      <c r="U1080" s="2" t="s">
        <v>7470</v>
      </c>
      <c r="V1080" s="2" t="s">
        <v>7471</v>
      </c>
      <c r="W1080" s="1"/>
      <c r="X1080" s="2" t="s">
        <v>1082</v>
      </c>
      <c r="Y1080" s="2" t="s">
        <v>7428</v>
      </c>
      <c r="AA1080" t="str">
        <f t="shared" si="96"/>
        <v>2026-03</v>
      </c>
      <c r="AB1080" t="str">
        <f t="shared" si="97"/>
        <v>H1_2026</v>
      </c>
      <c r="AC1080">
        <f t="shared" si="98"/>
        <v>158300.79999999999</v>
      </c>
      <c r="AD1080">
        <f t="shared" si="99"/>
        <v>20</v>
      </c>
      <c r="AE1080">
        <f t="shared" si="100"/>
        <v>37391.71</v>
      </c>
      <c r="AF1080" t="str">
        <f t="shared" si="101"/>
        <v>Paid</v>
      </c>
    </row>
    <row r="1081" spans="1:32" ht="17.25" thickBot="1" x14ac:dyDescent="0.35">
      <c r="A1081" s="2" t="s">
        <v>7472</v>
      </c>
      <c r="B1081" s="2" t="s">
        <v>27</v>
      </c>
      <c r="C1081" s="2" t="s">
        <v>28</v>
      </c>
      <c r="D1081" s="2" t="s">
        <v>97</v>
      </c>
      <c r="E1081" s="2" t="s">
        <v>7384</v>
      </c>
      <c r="F1081" s="2" t="s">
        <v>99</v>
      </c>
      <c r="G1081" s="2" t="s">
        <v>32</v>
      </c>
      <c r="H1081" s="1"/>
      <c r="I1081" s="2" t="s">
        <v>33</v>
      </c>
      <c r="J1081" s="2" t="s">
        <v>34</v>
      </c>
      <c r="K1081" s="2" t="s">
        <v>6251</v>
      </c>
      <c r="L1081" s="2" t="s">
        <v>6252</v>
      </c>
      <c r="M1081" s="2" t="s">
        <v>6146</v>
      </c>
      <c r="N1081" s="2" t="s">
        <v>38</v>
      </c>
      <c r="O1081" s="2" t="s">
        <v>1113</v>
      </c>
      <c r="P1081" s="2" t="s">
        <v>4545</v>
      </c>
      <c r="Q1081" s="2" t="s">
        <v>7473</v>
      </c>
      <c r="R1081" s="2" t="s">
        <v>40</v>
      </c>
      <c r="S1081" s="2" t="s">
        <v>7474</v>
      </c>
      <c r="T1081" s="2" t="s">
        <v>7304</v>
      </c>
      <c r="U1081" s="2" t="s">
        <v>7475</v>
      </c>
      <c r="V1081" s="2" t="s">
        <v>7476</v>
      </c>
      <c r="W1081" s="1"/>
      <c r="X1081" s="2" t="s">
        <v>1437</v>
      </c>
      <c r="Y1081" s="2" t="s">
        <v>7428</v>
      </c>
      <c r="AA1081" t="str">
        <f t="shared" si="96"/>
        <v>2026-03</v>
      </c>
      <c r="AB1081" t="str">
        <f t="shared" si="97"/>
        <v>H1_2026</v>
      </c>
      <c r="AC1081">
        <f t="shared" si="98"/>
        <v>5342652</v>
      </c>
      <c r="AD1081">
        <f t="shared" si="99"/>
        <v>540</v>
      </c>
      <c r="AE1081">
        <f t="shared" si="100"/>
        <v>1317197.48</v>
      </c>
      <c r="AF1081" t="str">
        <f t="shared" si="101"/>
        <v>Paid</v>
      </c>
    </row>
    <row r="1082" spans="1:32" ht="17.25" thickBot="1" x14ac:dyDescent="0.35">
      <c r="A1082" s="2" t="s">
        <v>7477</v>
      </c>
      <c r="B1082" s="2" t="s">
        <v>27</v>
      </c>
      <c r="C1082" s="2" t="s">
        <v>28</v>
      </c>
      <c r="D1082" s="2" t="s">
        <v>97</v>
      </c>
      <c r="E1082" s="2" t="s">
        <v>7384</v>
      </c>
      <c r="F1082" s="2" t="s">
        <v>99</v>
      </c>
      <c r="G1082" s="2" t="s">
        <v>32</v>
      </c>
      <c r="H1082" s="1"/>
      <c r="I1082" s="2" t="s">
        <v>33</v>
      </c>
      <c r="J1082" s="2" t="s">
        <v>34</v>
      </c>
      <c r="K1082" s="2" t="s">
        <v>4721</v>
      </c>
      <c r="L1082" s="2" t="s">
        <v>4722</v>
      </c>
      <c r="M1082" s="2" t="s">
        <v>194</v>
      </c>
      <c r="N1082" s="2" t="s">
        <v>38</v>
      </c>
      <c r="O1082" s="2" t="s">
        <v>773</v>
      </c>
      <c r="P1082" s="2" t="s">
        <v>2373</v>
      </c>
      <c r="Q1082" s="2" t="s">
        <v>7478</v>
      </c>
      <c r="R1082" s="2" t="s">
        <v>40</v>
      </c>
      <c r="S1082" s="2" t="s">
        <v>7479</v>
      </c>
      <c r="T1082" s="2" t="s">
        <v>297</v>
      </c>
      <c r="U1082" s="2" t="s">
        <v>7480</v>
      </c>
      <c r="V1082" s="2" t="s">
        <v>7481</v>
      </c>
      <c r="W1082" s="1"/>
      <c r="X1082" s="2" t="s">
        <v>955</v>
      </c>
      <c r="Y1082" s="2" t="s">
        <v>7428</v>
      </c>
      <c r="AA1082" t="str">
        <f t="shared" si="96"/>
        <v>2026-03</v>
      </c>
      <c r="AB1082" t="str">
        <f t="shared" si="97"/>
        <v>H1_2026</v>
      </c>
      <c r="AC1082">
        <f t="shared" si="98"/>
        <v>2091832</v>
      </c>
      <c r="AD1082">
        <f t="shared" si="99"/>
        <v>200</v>
      </c>
      <c r="AE1082">
        <f t="shared" si="100"/>
        <v>491832</v>
      </c>
      <c r="AF1082" t="str">
        <f t="shared" si="101"/>
        <v>Paid</v>
      </c>
    </row>
    <row r="1083" spans="1:32" ht="17.25" thickBot="1" x14ac:dyDescent="0.35">
      <c r="A1083" s="2" t="s">
        <v>7482</v>
      </c>
      <c r="B1083" s="2" t="s">
        <v>27</v>
      </c>
      <c r="C1083" s="2" t="s">
        <v>28</v>
      </c>
      <c r="D1083" s="2" t="s">
        <v>97</v>
      </c>
      <c r="E1083" s="2" t="s">
        <v>7384</v>
      </c>
      <c r="F1083" s="2" t="s">
        <v>99</v>
      </c>
      <c r="G1083" s="2" t="s">
        <v>32</v>
      </c>
      <c r="H1083" s="1"/>
      <c r="I1083" s="2" t="s">
        <v>33</v>
      </c>
      <c r="J1083" s="2" t="s">
        <v>34</v>
      </c>
      <c r="K1083" s="2" t="s">
        <v>7483</v>
      </c>
      <c r="L1083" s="2" t="s">
        <v>7484</v>
      </c>
      <c r="M1083" s="2" t="s">
        <v>1807</v>
      </c>
      <c r="N1083" s="2" t="s">
        <v>38</v>
      </c>
      <c r="O1083" s="2" t="s">
        <v>220</v>
      </c>
      <c r="P1083" s="2" t="s">
        <v>7485</v>
      </c>
      <c r="Q1083" s="2" t="s">
        <v>7486</v>
      </c>
      <c r="R1083" s="2" t="s">
        <v>40</v>
      </c>
      <c r="S1083" s="2" t="s">
        <v>7487</v>
      </c>
      <c r="T1083" s="2" t="s">
        <v>2567</v>
      </c>
      <c r="U1083" s="2" t="s">
        <v>7488</v>
      </c>
      <c r="V1083" s="2" t="s">
        <v>7489</v>
      </c>
      <c r="W1083" s="1"/>
      <c r="X1083" s="2" t="s">
        <v>7490</v>
      </c>
      <c r="Y1083" s="2" t="s">
        <v>7428</v>
      </c>
      <c r="AA1083" t="str">
        <f t="shared" si="96"/>
        <v>2026-03</v>
      </c>
      <c r="AB1083" t="str">
        <f t="shared" si="97"/>
        <v>H1_2026</v>
      </c>
      <c r="AC1083">
        <f t="shared" si="98"/>
        <v>185084.73</v>
      </c>
      <c r="AD1083">
        <f t="shared" si="99"/>
        <v>27</v>
      </c>
      <c r="AE1083">
        <f t="shared" si="100"/>
        <v>57939.28</v>
      </c>
      <c r="AF1083" t="str">
        <f t="shared" si="101"/>
        <v>Paid</v>
      </c>
    </row>
    <row r="1084" spans="1:32" ht="17.25" thickBot="1" x14ac:dyDescent="0.35">
      <c r="A1084" s="2" t="s">
        <v>7491</v>
      </c>
      <c r="B1084" s="2" t="s">
        <v>27</v>
      </c>
      <c r="C1084" s="2" t="s">
        <v>28</v>
      </c>
      <c r="D1084" s="2" t="s">
        <v>97</v>
      </c>
      <c r="E1084" s="2" t="s">
        <v>7384</v>
      </c>
      <c r="F1084" s="2" t="s">
        <v>99</v>
      </c>
      <c r="G1084" s="2" t="s">
        <v>32</v>
      </c>
      <c r="H1084" s="1"/>
      <c r="I1084" s="2" t="s">
        <v>33</v>
      </c>
      <c r="J1084" s="2" t="s">
        <v>34</v>
      </c>
      <c r="K1084" s="2" t="s">
        <v>7492</v>
      </c>
      <c r="L1084" s="2" t="s">
        <v>7493</v>
      </c>
      <c r="M1084" s="2" t="s">
        <v>1807</v>
      </c>
      <c r="N1084" s="2" t="s">
        <v>38</v>
      </c>
      <c r="O1084" s="2" t="s">
        <v>745</v>
      </c>
      <c r="P1084" s="2" t="s">
        <v>7485</v>
      </c>
      <c r="Q1084" s="2" t="s">
        <v>7494</v>
      </c>
      <c r="R1084" s="2" t="s">
        <v>40</v>
      </c>
      <c r="S1084" s="2" t="s">
        <v>7495</v>
      </c>
      <c r="T1084" s="2" t="s">
        <v>2567</v>
      </c>
      <c r="U1084" s="2" t="s">
        <v>7496</v>
      </c>
      <c r="V1084" s="2" t="s">
        <v>7497</v>
      </c>
      <c r="W1084" s="1"/>
      <c r="X1084" s="2" t="s">
        <v>7490</v>
      </c>
      <c r="Y1084" s="2" t="s">
        <v>7428</v>
      </c>
      <c r="AA1084" t="str">
        <f t="shared" si="96"/>
        <v>2026-03</v>
      </c>
      <c r="AB1084" t="str">
        <f t="shared" si="97"/>
        <v>H1_2026</v>
      </c>
      <c r="AC1084">
        <f t="shared" si="98"/>
        <v>589529.14</v>
      </c>
      <c r="AD1084">
        <f t="shared" si="99"/>
        <v>86</v>
      </c>
      <c r="AE1084">
        <f t="shared" si="100"/>
        <v>184547.32</v>
      </c>
      <c r="AF1084" t="str">
        <f t="shared" si="101"/>
        <v>Paid</v>
      </c>
    </row>
    <row r="1085" spans="1:32" ht="17.25" thickBot="1" x14ac:dyDescent="0.35">
      <c r="A1085" s="2" t="s">
        <v>7498</v>
      </c>
      <c r="B1085" s="2" t="s">
        <v>27</v>
      </c>
      <c r="C1085" s="2" t="s">
        <v>28</v>
      </c>
      <c r="D1085" s="2" t="s">
        <v>97</v>
      </c>
      <c r="E1085" s="2" t="s">
        <v>7384</v>
      </c>
      <c r="F1085" s="2" t="s">
        <v>99</v>
      </c>
      <c r="G1085" s="2" t="s">
        <v>32</v>
      </c>
      <c r="H1085" s="1"/>
      <c r="I1085" s="2" t="s">
        <v>33</v>
      </c>
      <c r="J1085" s="2" t="s">
        <v>34</v>
      </c>
      <c r="K1085" s="2" t="s">
        <v>4218</v>
      </c>
      <c r="L1085" s="2" t="s">
        <v>4219</v>
      </c>
      <c r="M1085" s="2" t="s">
        <v>4220</v>
      </c>
      <c r="N1085" s="2" t="s">
        <v>38</v>
      </c>
      <c r="O1085" s="2" t="s">
        <v>3864</v>
      </c>
      <c r="P1085" s="2" t="s">
        <v>1933</v>
      </c>
      <c r="Q1085" s="2" t="s">
        <v>7499</v>
      </c>
      <c r="R1085" s="2" t="s">
        <v>40</v>
      </c>
      <c r="S1085" s="2" t="s">
        <v>7500</v>
      </c>
      <c r="T1085" s="2" t="s">
        <v>4225</v>
      </c>
      <c r="U1085" s="2" t="s">
        <v>7501</v>
      </c>
      <c r="V1085" s="2" t="s">
        <v>7502</v>
      </c>
      <c r="W1085" s="1"/>
      <c r="X1085" s="2" t="s">
        <v>4350</v>
      </c>
      <c r="Y1085" s="2" t="s">
        <v>7428</v>
      </c>
      <c r="AA1085" t="str">
        <f t="shared" si="96"/>
        <v>2026-03</v>
      </c>
      <c r="AB1085" t="str">
        <f t="shared" si="97"/>
        <v>H1_2026</v>
      </c>
      <c r="AC1085">
        <f t="shared" si="98"/>
        <v>6040758.5300000003</v>
      </c>
      <c r="AD1085">
        <f t="shared" si="99"/>
        <v>504</v>
      </c>
      <c r="AE1085">
        <f t="shared" si="100"/>
        <v>1413122.21</v>
      </c>
      <c r="AF1085" t="str">
        <f t="shared" si="101"/>
        <v>Paid</v>
      </c>
    </row>
    <row r="1086" spans="1:32" ht="17.25" thickBot="1" x14ac:dyDescent="0.35">
      <c r="A1086" s="2" t="s">
        <v>7503</v>
      </c>
      <c r="B1086" s="2" t="s">
        <v>27</v>
      </c>
      <c r="C1086" s="2" t="s">
        <v>28</v>
      </c>
      <c r="D1086" s="2" t="s">
        <v>97</v>
      </c>
      <c r="E1086" s="2" t="s">
        <v>7384</v>
      </c>
      <c r="F1086" s="2" t="s">
        <v>99</v>
      </c>
      <c r="G1086" s="2" t="s">
        <v>32</v>
      </c>
      <c r="H1086" s="1"/>
      <c r="I1086" s="2" t="s">
        <v>33</v>
      </c>
      <c r="J1086" s="2" t="s">
        <v>34</v>
      </c>
      <c r="K1086" s="2" t="s">
        <v>5032</v>
      </c>
      <c r="L1086" s="2" t="s">
        <v>5033</v>
      </c>
      <c r="M1086" s="2" t="s">
        <v>772</v>
      </c>
      <c r="N1086" s="2" t="s">
        <v>38</v>
      </c>
      <c r="O1086" s="2" t="s">
        <v>174</v>
      </c>
      <c r="P1086" s="2" t="s">
        <v>7504</v>
      </c>
      <c r="Q1086" s="2" t="s">
        <v>7505</v>
      </c>
      <c r="R1086" s="2" t="s">
        <v>40</v>
      </c>
      <c r="S1086" s="2" t="s">
        <v>7506</v>
      </c>
      <c r="T1086" s="2" t="s">
        <v>40</v>
      </c>
      <c r="U1086" s="2" t="s">
        <v>40</v>
      </c>
      <c r="V1086" s="2" t="s">
        <v>7506</v>
      </c>
      <c r="W1086" s="1"/>
      <c r="X1086" s="2" t="s">
        <v>2155</v>
      </c>
      <c r="Y1086" s="2" t="s">
        <v>7428</v>
      </c>
      <c r="AA1086" t="str">
        <f t="shared" si="96"/>
        <v>2026-03</v>
      </c>
      <c r="AB1086" t="str">
        <f t="shared" si="97"/>
        <v>H1_2026</v>
      </c>
      <c r="AC1086">
        <f t="shared" si="98"/>
        <v>3097042.08</v>
      </c>
      <c r="AD1086">
        <f t="shared" si="99"/>
        <v>22</v>
      </c>
      <c r="AE1086">
        <f t="shared" si="100"/>
        <v>3097042.08</v>
      </c>
      <c r="AF1086" t="str">
        <f t="shared" si="101"/>
        <v>Paid</v>
      </c>
    </row>
    <row r="1087" spans="1:32" ht="17.25" thickBot="1" x14ac:dyDescent="0.35">
      <c r="A1087" s="2" t="s">
        <v>7507</v>
      </c>
      <c r="B1087" s="2" t="s">
        <v>27</v>
      </c>
      <c r="C1087" s="2" t="s">
        <v>28</v>
      </c>
      <c r="D1087" s="2" t="s">
        <v>97</v>
      </c>
      <c r="E1087" s="2" t="s">
        <v>7384</v>
      </c>
      <c r="F1087" s="2" t="s">
        <v>99</v>
      </c>
      <c r="G1087" s="2" t="s">
        <v>32</v>
      </c>
      <c r="H1087" s="1"/>
      <c r="I1087" s="2" t="s">
        <v>33</v>
      </c>
      <c r="J1087" s="2" t="s">
        <v>34</v>
      </c>
      <c r="K1087" s="2" t="s">
        <v>7508</v>
      </c>
      <c r="L1087" s="2" t="s">
        <v>7509</v>
      </c>
      <c r="M1087" s="2" t="s">
        <v>7510</v>
      </c>
      <c r="N1087" s="2" t="s">
        <v>38</v>
      </c>
      <c r="O1087" s="2" t="s">
        <v>131</v>
      </c>
      <c r="P1087" s="2" t="s">
        <v>7511</v>
      </c>
      <c r="Q1087" s="2" t="s">
        <v>7512</v>
      </c>
      <c r="R1087" s="2" t="s">
        <v>40</v>
      </c>
      <c r="S1087" s="2" t="s">
        <v>7513</v>
      </c>
      <c r="T1087" s="2" t="s">
        <v>7514</v>
      </c>
      <c r="U1087" s="2" t="s">
        <v>7515</v>
      </c>
      <c r="V1087" s="2" t="s">
        <v>7516</v>
      </c>
      <c r="W1087" s="1"/>
      <c r="X1087" s="2" t="s">
        <v>2072</v>
      </c>
      <c r="Y1087" s="2" t="s">
        <v>7428</v>
      </c>
      <c r="AA1087" t="str">
        <f t="shared" si="96"/>
        <v>2026-03</v>
      </c>
      <c r="AB1087" t="str">
        <f t="shared" si="97"/>
        <v>H1_2026</v>
      </c>
      <c r="AC1087">
        <f t="shared" si="98"/>
        <v>459637.68</v>
      </c>
      <c r="AD1087">
        <f t="shared" si="99"/>
        <v>40</v>
      </c>
      <c r="AE1087">
        <f t="shared" si="100"/>
        <v>92437.68</v>
      </c>
      <c r="AF1087" t="str">
        <f t="shared" si="101"/>
        <v>Paid</v>
      </c>
    </row>
    <row r="1088" spans="1:32" ht="27.75" thickBot="1" x14ac:dyDescent="0.35">
      <c r="A1088" s="2" t="s">
        <v>7517</v>
      </c>
      <c r="B1088" s="2" t="s">
        <v>27</v>
      </c>
      <c r="C1088" s="2" t="s">
        <v>28</v>
      </c>
      <c r="D1088" s="2" t="s">
        <v>97</v>
      </c>
      <c r="E1088" s="2" t="s">
        <v>7384</v>
      </c>
      <c r="F1088" s="2" t="s">
        <v>99</v>
      </c>
      <c r="G1088" s="2" t="s">
        <v>32</v>
      </c>
      <c r="H1088" s="1"/>
      <c r="I1088" s="2" t="s">
        <v>33</v>
      </c>
      <c r="J1088" s="2" t="s">
        <v>34</v>
      </c>
      <c r="K1088" s="2" t="s">
        <v>7518</v>
      </c>
      <c r="L1088" s="2" t="s">
        <v>7519</v>
      </c>
      <c r="M1088" s="2" t="s">
        <v>7510</v>
      </c>
      <c r="N1088" s="2" t="s">
        <v>38</v>
      </c>
      <c r="O1088" s="2" t="s">
        <v>79</v>
      </c>
      <c r="P1088" s="2" t="s">
        <v>4245</v>
      </c>
      <c r="Q1088" s="2" t="s">
        <v>7520</v>
      </c>
      <c r="R1088" s="2" t="s">
        <v>40</v>
      </c>
      <c r="S1088" s="2" t="s">
        <v>7521</v>
      </c>
      <c r="T1088" s="2" t="s">
        <v>2101</v>
      </c>
      <c r="U1088" s="2" t="s">
        <v>5740</v>
      </c>
      <c r="V1088" s="2" t="s">
        <v>7522</v>
      </c>
      <c r="W1088" s="1"/>
      <c r="X1088" s="2" t="s">
        <v>7137</v>
      </c>
      <c r="Y1088" s="2" t="s">
        <v>7428</v>
      </c>
      <c r="AA1088" t="str">
        <f t="shared" si="96"/>
        <v>2026-03</v>
      </c>
      <c r="AB1088" t="str">
        <f t="shared" si="97"/>
        <v>H1_2026</v>
      </c>
      <c r="AC1088">
        <f t="shared" si="98"/>
        <v>90316.26</v>
      </c>
      <c r="AD1088">
        <f t="shared" si="99"/>
        <v>10</v>
      </c>
      <c r="AE1088">
        <f t="shared" si="100"/>
        <v>18316.259999999998</v>
      </c>
      <c r="AF1088" t="str">
        <f t="shared" si="101"/>
        <v>Paid</v>
      </c>
    </row>
    <row r="1089" spans="1:32" ht="27.75" thickBot="1" x14ac:dyDescent="0.35">
      <c r="A1089" s="2" t="s">
        <v>7523</v>
      </c>
      <c r="B1089" s="2" t="s">
        <v>27</v>
      </c>
      <c r="C1089" s="2" t="s">
        <v>28</v>
      </c>
      <c r="D1089" s="2" t="s">
        <v>97</v>
      </c>
      <c r="E1089" s="2" t="s">
        <v>7384</v>
      </c>
      <c r="F1089" s="2" t="s">
        <v>99</v>
      </c>
      <c r="G1089" s="2" t="s">
        <v>32</v>
      </c>
      <c r="H1089" s="1"/>
      <c r="I1089" s="2" t="s">
        <v>33</v>
      </c>
      <c r="J1089" s="2" t="s">
        <v>34</v>
      </c>
      <c r="K1089" s="2" t="s">
        <v>7524</v>
      </c>
      <c r="L1089" s="2" t="s">
        <v>7525</v>
      </c>
      <c r="M1089" s="2" t="s">
        <v>7510</v>
      </c>
      <c r="N1089" s="2" t="s">
        <v>38</v>
      </c>
      <c r="O1089" s="2" t="s">
        <v>79</v>
      </c>
      <c r="P1089" s="2" t="s">
        <v>2546</v>
      </c>
      <c r="Q1089" s="2" t="s">
        <v>7526</v>
      </c>
      <c r="R1089" s="2" t="s">
        <v>40</v>
      </c>
      <c r="S1089" s="2" t="s">
        <v>7527</v>
      </c>
      <c r="T1089" s="2" t="s">
        <v>2206</v>
      </c>
      <c r="U1089" s="2" t="s">
        <v>6861</v>
      </c>
      <c r="V1089" s="2" t="s">
        <v>7528</v>
      </c>
      <c r="W1089" s="1"/>
      <c r="X1089" s="2" t="s">
        <v>7137</v>
      </c>
      <c r="Y1089" s="2" t="s">
        <v>7428</v>
      </c>
      <c r="AA1089" t="str">
        <f t="shared" si="96"/>
        <v>2026-03</v>
      </c>
      <c r="AB1089" t="str">
        <f t="shared" si="97"/>
        <v>H1_2026</v>
      </c>
      <c r="AC1089">
        <f t="shared" si="98"/>
        <v>97807.28</v>
      </c>
      <c r="AD1089">
        <f t="shared" si="99"/>
        <v>10</v>
      </c>
      <c r="AE1089">
        <f t="shared" si="100"/>
        <v>19807.28</v>
      </c>
      <c r="AF1089" t="str">
        <f t="shared" si="101"/>
        <v>Paid</v>
      </c>
    </row>
    <row r="1090" spans="1:32" ht="17.25" thickBot="1" x14ac:dyDescent="0.35">
      <c r="A1090" s="2" t="s">
        <v>7529</v>
      </c>
      <c r="B1090" s="2" t="s">
        <v>27</v>
      </c>
      <c r="C1090" s="2" t="s">
        <v>28</v>
      </c>
      <c r="D1090" s="2" t="s">
        <v>97</v>
      </c>
      <c r="E1090" s="2" t="s">
        <v>7384</v>
      </c>
      <c r="F1090" s="2" t="s">
        <v>99</v>
      </c>
      <c r="G1090" s="2" t="s">
        <v>32</v>
      </c>
      <c r="H1090" s="1"/>
      <c r="I1090" s="2" t="s">
        <v>33</v>
      </c>
      <c r="J1090" s="2" t="s">
        <v>34</v>
      </c>
      <c r="K1090" s="2" t="s">
        <v>7530</v>
      </c>
      <c r="L1090" s="2" t="s">
        <v>7531</v>
      </c>
      <c r="M1090" s="2" t="s">
        <v>7532</v>
      </c>
      <c r="N1090" s="2" t="s">
        <v>38</v>
      </c>
      <c r="O1090" s="2" t="s">
        <v>214</v>
      </c>
      <c r="P1090" s="2" t="s">
        <v>402</v>
      </c>
      <c r="Q1090" s="2" t="s">
        <v>7533</v>
      </c>
      <c r="R1090" s="2" t="s">
        <v>40</v>
      </c>
      <c r="S1090" s="2" t="s">
        <v>7534</v>
      </c>
      <c r="T1090" s="2" t="s">
        <v>7535</v>
      </c>
      <c r="U1090" s="2" t="s">
        <v>7536</v>
      </c>
      <c r="V1090" s="2" t="s">
        <v>7537</v>
      </c>
      <c r="W1090" s="1"/>
      <c r="X1090" s="2" t="s">
        <v>856</v>
      </c>
      <c r="Y1090" s="2" t="s">
        <v>7428</v>
      </c>
      <c r="AA1090" t="str">
        <f t="shared" si="96"/>
        <v>2026-03</v>
      </c>
      <c r="AB1090" t="str">
        <f t="shared" si="97"/>
        <v>H1_2026</v>
      </c>
      <c r="AC1090">
        <f t="shared" si="98"/>
        <v>634616.6</v>
      </c>
      <c r="AD1090">
        <f t="shared" si="99"/>
        <v>50</v>
      </c>
      <c r="AE1090">
        <f t="shared" si="100"/>
        <v>189116.6</v>
      </c>
      <c r="AF1090" t="str">
        <f t="shared" si="101"/>
        <v>Paid</v>
      </c>
    </row>
    <row r="1091" spans="1:32" ht="17.25" thickBot="1" x14ac:dyDescent="0.35">
      <c r="A1091" s="2" t="s">
        <v>7538</v>
      </c>
      <c r="B1091" s="2" t="s">
        <v>27</v>
      </c>
      <c r="C1091" s="2" t="s">
        <v>28</v>
      </c>
      <c r="D1091" s="2" t="s">
        <v>97</v>
      </c>
      <c r="E1091" s="2" t="s">
        <v>7384</v>
      </c>
      <c r="F1091" s="2" t="s">
        <v>99</v>
      </c>
      <c r="G1091" s="2" t="s">
        <v>32</v>
      </c>
      <c r="H1091" s="1"/>
      <c r="I1091" s="2" t="s">
        <v>33</v>
      </c>
      <c r="J1091" s="2" t="s">
        <v>34</v>
      </c>
      <c r="K1091" s="2" t="s">
        <v>7539</v>
      </c>
      <c r="L1091" s="2" t="s">
        <v>7540</v>
      </c>
      <c r="M1091" s="2" t="s">
        <v>7532</v>
      </c>
      <c r="N1091" s="2" t="s">
        <v>38</v>
      </c>
      <c r="O1091" s="2" t="s">
        <v>214</v>
      </c>
      <c r="P1091" s="2" t="s">
        <v>7541</v>
      </c>
      <c r="Q1091" s="2" t="s">
        <v>7542</v>
      </c>
      <c r="R1091" s="2" t="s">
        <v>40</v>
      </c>
      <c r="S1091" s="2" t="s">
        <v>7543</v>
      </c>
      <c r="T1091" s="2" t="s">
        <v>7544</v>
      </c>
      <c r="U1091" s="2" t="s">
        <v>7545</v>
      </c>
      <c r="V1091" s="2" t="s">
        <v>7546</v>
      </c>
      <c r="W1091" s="1"/>
      <c r="X1091" s="2" t="s">
        <v>7547</v>
      </c>
      <c r="Y1091" s="2" t="s">
        <v>7428</v>
      </c>
      <c r="AA1091" t="str">
        <f t="shared" si="96"/>
        <v>2026-03</v>
      </c>
      <c r="AB1091" t="str">
        <f t="shared" si="97"/>
        <v>H1_2026</v>
      </c>
      <c r="AC1091">
        <f t="shared" si="98"/>
        <v>616242.4</v>
      </c>
      <c r="AD1091">
        <f t="shared" si="99"/>
        <v>50</v>
      </c>
      <c r="AE1091">
        <f t="shared" si="100"/>
        <v>184424.22</v>
      </c>
      <c r="AF1091" t="str">
        <f t="shared" si="101"/>
        <v>Paid</v>
      </c>
    </row>
    <row r="1092" spans="1:32" ht="17.25" thickBot="1" x14ac:dyDescent="0.35">
      <c r="A1092" s="2" t="s">
        <v>7548</v>
      </c>
      <c r="B1092" s="2" t="s">
        <v>27</v>
      </c>
      <c r="C1092" s="2" t="s">
        <v>28</v>
      </c>
      <c r="D1092" s="2" t="s">
        <v>97</v>
      </c>
      <c r="E1092" s="2" t="s">
        <v>7384</v>
      </c>
      <c r="F1092" s="2" t="s">
        <v>99</v>
      </c>
      <c r="G1092" s="2" t="s">
        <v>32</v>
      </c>
      <c r="H1092" s="1"/>
      <c r="I1092" s="2" t="s">
        <v>33</v>
      </c>
      <c r="J1092" s="2" t="s">
        <v>34</v>
      </c>
      <c r="K1092" s="2" t="s">
        <v>7549</v>
      </c>
      <c r="L1092" s="2" t="s">
        <v>7550</v>
      </c>
      <c r="M1092" s="2" t="s">
        <v>7532</v>
      </c>
      <c r="N1092" s="2" t="s">
        <v>38</v>
      </c>
      <c r="O1092" s="2" t="s">
        <v>773</v>
      </c>
      <c r="P1092" s="2" t="s">
        <v>7551</v>
      </c>
      <c r="Q1092" s="2" t="s">
        <v>7552</v>
      </c>
      <c r="R1092" s="2" t="s">
        <v>40</v>
      </c>
      <c r="S1092" s="2" t="s">
        <v>7553</v>
      </c>
      <c r="T1092" s="2" t="s">
        <v>2111</v>
      </c>
      <c r="U1092" s="2" t="s">
        <v>7554</v>
      </c>
      <c r="V1092" s="2" t="s">
        <v>7555</v>
      </c>
      <c r="W1092" s="1"/>
      <c r="X1092" s="2" t="s">
        <v>3620</v>
      </c>
      <c r="Y1092" s="2" t="s">
        <v>7428</v>
      </c>
      <c r="AA1092" t="str">
        <f t="shared" ref="AA1092:AA1155" si="102">LEFT(E1092,7)</f>
        <v>2026-03</v>
      </c>
      <c r="AB1092" t="str">
        <f t="shared" ref="AB1092:AB1155" si="103">IF(AND($AA1092&gt;="2025-01",$AA1092&lt;="2025-06"),"H1_2025",IF(AND($AA1092&gt;="2026-01",$AA1092&lt;="2026-06"),"H1_2026",""))</f>
        <v>H1_2026</v>
      </c>
      <c r="AC1092">
        <f t="shared" ref="AC1092:AC1155" si="104">IFERROR(VALUE(SUBSTITUTE(S1092,",","")),0)</f>
        <v>2891816.4</v>
      </c>
      <c r="AD1092">
        <f t="shared" ref="AD1092:AD1155" si="105">IFERROR(VALUE(SUBSTITUTE(O1092,",","")),0)</f>
        <v>200</v>
      </c>
      <c r="AE1092">
        <f t="shared" ref="AE1092:AE1155" si="106">IFERROR(VALUE(SUBSTITUTE(V1092,",","")),0)</f>
        <v>891816.4</v>
      </c>
      <c r="AF1092" t="str">
        <f t="shared" ref="AF1092:AF1155" si="107">IF(ISNUMBER(SEARCH("FOC",W1092)),"FOC",IF(ISNUMBER(SEARCH("샘플",W1092)),"Sample","Paid"))</f>
        <v>Paid</v>
      </c>
    </row>
    <row r="1093" spans="1:32" ht="17.25" thickBot="1" x14ac:dyDescent="0.35">
      <c r="A1093" s="2" t="s">
        <v>7556</v>
      </c>
      <c r="B1093" s="2" t="s">
        <v>27</v>
      </c>
      <c r="C1093" s="2" t="s">
        <v>28</v>
      </c>
      <c r="D1093" s="2" t="s">
        <v>97</v>
      </c>
      <c r="E1093" s="2" t="s">
        <v>7384</v>
      </c>
      <c r="F1093" s="2" t="s">
        <v>99</v>
      </c>
      <c r="G1093" s="2" t="s">
        <v>32</v>
      </c>
      <c r="H1093" s="1"/>
      <c r="I1093" s="2" t="s">
        <v>33</v>
      </c>
      <c r="J1093" s="2" t="s">
        <v>34</v>
      </c>
      <c r="K1093" s="2" t="s">
        <v>7557</v>
      </c>
      <c r="L1093" s="2" t="s">
        <v>7558</v>
      </c>
      <c r="M1093" s="2" t="s">
        <v>7532</v>
      </c>
      <c r="N1093" s="2" t="s">
        <v>38</v>
      </c>
      <c r="O1093" s="2" t="s">
        <v>214</v>
      </c>
      <c r="P1093" s="2" t="s">
        <v>7559</v>
      </c>
      <c r="Q1093" s="2" t="s">
        <v>7560</v>
      </c>
      <c r="R1093" s="2" t="s">
        <v>40</v>
      </c>
      <c r="S1093" s="2" t="s">
        <v>7561</v>
      </c>
      <c r="T1093" s="2" t="s">
        <v>7562</v>
      </c>
      <c r="U1093" s="2" t="s">
        <v>7563</v>
      </c>
      <c r="V1093" s="2" t="s">
        <v>7564</v>
      </c>
      <c r="W1093" s="1"/>
      <c r="X1093" s="2" t="s">
        <v>2188</v>
      </c>
      <c r="Y1093" s="2" t="s">
        <v>7428</v>
      </c>
      <c r="AA1093" t="str">
        <f t="shared" si="102"/>
        <v>2026-03</v>
      </c>
      <c r="AB1093" t="str">
        <f t="shared" si="103"/>
        <v>H1_2026</v>
      </c>
      <c r="AC1093">
        <f t="shared" si="104"/>
        <v>847333.3</v>
      </c>
      <c r="AD1093">
        <f t="shared" si="105"/>
        <v>50</v>
      </c>
      <c r="AE1093">
        <f t="shared" si="106"/>
        <v>251878.76</v>
      </c>
      <c r="AF1093" t="str">
        <f t="shared" si="107"/>
        <v>Paid</v>
      </c>
    </row>
    <row r="1094" spans="1:32" ht="17.25" thickBot="1" x14ac:dyDescent="0.35">
      <c r="A1094" s="2" t="s">
        <v>7565</v>
      </c>
      <c r="B1094" s="2" t="s">
        <v>27</v>
      </c>
      <c r="C1094" s="2" t="s">
        <v>28</v>
      </c>
      <c r="D1094" s="2" t="s">
        <v>97</v>
      </c>
      <c r="E1094" s="2" t="s">
        <v>7384</v>
      </c>
      <c r="F1094" s="2" t="s">
        <v>99</v>
      </c>
      <c r="G1094" s="2" t="s">
        <v>32</v>
      </c>
      <c r="H1094" s="1"/>
      <c r="I1094" s="2" t="s">
        <v>33</v>
      </c>
      <c r="J1094" s="2" t="s">
        <v>34</v>
      </c>
      <c r="K1094" s="2" t="s">
        <v>7566</v>
      </c>
      <c r="L1094" s="2" t="s">
        <v>7567</v>
      </c>
      <c r="M1094" s="2" t="s">
        <v>7532</v>
      </c>
      <c r="N1094" s="2" t="s">
        <v>38</v>
      </c>
      <c r="O1094" s="2" t="s">
        <v>214</v>
      </c>
      <c r="P1094" s="2" t="s">
        <v>2735</v>
      </c>
      <c r="Q1094" s="2" t="s">
        <v>2736</v>
      </c>
      <c r="R1094" s="2" t="s">
        <v>40</v>
      </c>
      <c r="S1094" s="2" t="s">
        <v>7568</v>
      </c>
      <c r="T1094" s="2" t="s">
        <v>3135</v>
      </c>
      <c r="U1094" s="2" t="s">
        <v>7569</v>
      </c>
      <c r="V1094" s="2" t="s">
        <v>7570</v>
      </c>
      <c r="W1094" s="1"/>
      <c r="X1094" s="2" t="s">
        <v>2188</v>
      </c>
      <c r="Y1094" s="2" t="s">
        <v>7428</v>
      </c>
      <c r="AA1094" t="str">
        <f t="shared" si="102"/>
        <v>2026-03</v>
      </c>
      <c r="AB1094" t="str">
        <f t="shared" si="103"/>
        <v>H1_2026</v>
      </c>
      <c r="AC1094">
        <f t="shared" si="104"/>
        <v>698219.6</v>
      </c>
      <c r="AD1094">
        <f t="shared" si="105"/>
        <v>50</v>
      </c>
      <c r="AE1094">
        <f t="shared" si="106"/>
        <v>207310.51</v>
      </c>
      <c r="AF1094" t="str">
        <f t="shared" si="107"/>
        <v>Paid</v>
      </c>
    </row>
    <row r="1095" spans="1:32" ht="17.25" thickBot="1" x14ac:dyDescent="0.35">
      <c r="A1095" s="2" t="s">
        <v>7571</v>
      </c>
      <c r="B1095" s="2" t="s">
        <v>27</v>
      </c>
      <c r="C1095" s="2" t="s">
        <v>28</v>
      </c>
      <c r="D1095" s="2" t="s">
        <v>97</v>
      </c>
      <c r="E1095" s="2" t="s">
        <v>7384</v>
      </c>
      <c r="F1095" s="2" t="s">
        <v>99</v>
      </c>
      <c r="G1095" s="2" t="s">
        <v>32</v>
      </c>
      <c r="H1095" s="1"/>
      <c r="I1095" s="2" t="s">
        <v>33</v>
      </c>
      <c r="J1095" s="2" t="s">
        <v>34</v>
      </c>
      <c r="K1095" s="2" t="s">
        <v>7572</v>
      </c>
      <c r="L1095" s="2" t="s">
        <v>7573</v>
      </c>
      <c r="M1095" s="2" t="s">
        <v>7532</v>
      </c>
      <c r="N1095" s="2" t="s">
        <v>38</v>
      </c>
      <c r="O1095" s="2" t="s">
        <v>156</v>
      </c>
      <c r="P1095" s="2" t="s">
        <v>402</v>
      </c>
      <c r="Q1095" s="2" t="s">
        <v>3734</v>
      </c>
      <c r="R1095" s="2" t="s">
        <v>40</v>
      </c>
      <c r="S1095" s="2" t="s">
        <v>7574</v>
      </c>
      <c r="T1095" s="2" t="s">
        <v>7535</v>
      </c>
      <c r="U1095" s="2" t="s">
        <v>3478</v>
      </c>
      <c r="V1095" s="2" t="s">
        <v>7575</v>
      </c>
      <c r="W1095" s="1"/>
      <c r="X1095" s="2" t="s">
        <v>856</v>
      </c>
      <c r="Y1095" s="2" t="s">
        <v>7428</v>
      </c>
      <c r="AA1095" t="str">
        <f t="shared" si="102"/>
        <v>2026-03</v>
      </c>
      <c r="AB1095" t="str">
        <f t="shared" si="103"/>
        <v>H1_2026</v>
      </c>
      <c r="AC1095">
        <f t="shared" si="104"/>
        <v>253846.64</v>
      </c>
      <c r="AD1095">
        <f t="shared" si="105"/>
        <v>20</v>
      </c>
      <c r="AE1095">
        <f t="shared" si="106"/>
        <v>75646.64</v>
      </c>
      <c r="AF1095" t="str">
        <f t="shared" si="107"/>
        <v>Paid</v>
      </c>
    </row>
    <row r="1096" spans="1:32" ht="17.25" thickBot="1" x14ac:dyDescent="0.35">
      <c r="A1096" s="2" t="s">
        <v>7576</v>
      </c>
      <c r="B1096" s="2" t="s">
        <v>27</v>
      </c>
      <c r="C1096" s="2" t="s">
        <v>28</v>
      </c>
      <c r="D1096" s="2" t="s">
        <v>97</v>
      </c>
      <c r="E1096" s="2" t="s">
        <v>7384</v>
      </c>
      <c r="F1096" s="2" t="s">
        <v>99</v>
      </c>
      <c r="G1096" s="2" t="s">
        <v>32</v>
      </c>
      <c r="H1096" s="1"/>
      <c r="I1096" s="2" t="s">
        <v>33</v>
      </c>
      <c r="J1096" s="2" t="s">
        <v>34</v>
      </c>
      <c r="K1096" s="2" t="s">
        <v>6793</v>
      </c>
      <c r="L1096" s="2" t="s">
        <v>6794</v>
      </c>
      <c r="M1096" s="2" t="s">
        <v>6785</v>
      </c>
      <c r="N1096" s="2" t="s">
        <v>38</v>
      </c>
      <c r="O1096" s="2" t="s">
        <v>79</v>
      </c>
      <c r="P1096" s="2" t="s">
        <v>6415</v>
      </c>
      <c r="Q1096" s="2" t="s">
        <v>7577</v>
      </c>
      <c r="R1096" s="2" t="s">
        <v>40</v>
      </c>
      <c r="S1096" s="2" t="s">
        <v>7578</v>
      </c>
      <c r="T1096" s="2" t="s">
        <v>7579</v>
      </c>
      <c r="U1096" s="2" t="s">
        <v>7580</v>
      </c>
      <c r="V1096" s="2" t="s">
        <v>7581</v>
      </c>
      <c r="W1096" s="1"/>
      <c r="X1096" s="2" t="s">
        <v>7228</v>
      </c>
      <c r="Y1096" s="2" t="s">
        <v>7428</v>
      </c>
      <c r="AA1096" t="str">
        <f t="shared" si="102"/>
        <v>2026-03</v>
      </c>
      <c r="AB1096" t="str">
        <f t="shared" si="103"/>
        <v>H1_2026</v>
      </c>
      <c r="AC1096">
        <f t="shared" si="104"/>
        <v>103460.88</v>
      </c>
      <c r="AD1096">
        <f t="shared" si="105"/>
        <v>10</v>
      </c>
      <c r="AE1096">
        <f t="shared" si="106"/>
        <v>30279.06</v>
      </c>
      <c r="AF1096" t="str">
        <f t="shared" si="107"/>
        <v>Paid</v>
      </c>
    </row>
    <row r="1097" spans="1:32" ht="17.25" thickBot="1" x14ac:dyDescent="0.35">
      <c r="A1097" s="2" t="s">
        <v>7582</v>
      </c>
      <c r="B1097" s="2" t="s">
        <v>27</v>
      </c>
      <c r="C1097" s="2" t="s">
        <v>28</v>
      </c>
      <c r="D1097" s="2" t="s">
        <v>97</v>
      </c>
      <c r="E1097" s="2" t="s">
        <v>7384</v>
      </c>
      <c r="F1097" s="2" t="s">
        <v>99</v>
      </c>
      <c r="G1097" s="2" t="s">
        <v>32</v>
      </c>
      <c r="H1097" s="1"/>
      <c r="I1097" s="2" t="s">
        <v>33</v>
      </c>
      <c r="J1097" s="2" t="s">
        <v>34</v>
      </c>
      <c r="K1097" s="2" t="s">
        <v>6802</v>
      </c>
      <c r="L1097" s="2" t="s">
        <v>6803</v>
      </c>
      <c r="M1097" s="2" t="s">
        <v>6785</v>
      </c>
      <c r="N1097" s="2" t="s">
        <v>38</v>
      </c>
      <c r="O1097" s="2" t="s">
        <v>877</v>
      </c>
      <c r="P1097" s="2" t="s">
        <v>4583</v>
      </c>
      <c r="Q1097" s="2" t="s">
        <v>7583</v>
      </c>
      <c r="R1097" s="2" t="s">
        <v>40</v>
      </c>
      <c r="S1097" s="2" t="s">
        <v>7584</v>
      </c>
      <c r="T1097" s="2" t="s">
        <v>6807</v>
      </c>
      <c r="U1097" s="2" t="s">
        <v>7585</v>
      </c>
      <c r="V1097" s="2" t="s">
        <v>7586</v>
      </c>
      <c r="W1097" s="1"/>
      <c r="X1097" s="2" t="s">
        <v>7587</v>
      </c>
      <c r="Y1097" s="2" t="s">
        <v>7428</v>
      </c>
      <c r="AA1097" t="str">
        <f t="shared" si="102"/>
        <v>2026-03</v>
      </c>
      <c r="AB1097" t="str">
        <f t="shared" si="103"/>
        <v>H1_2026</v>
      </c>
      <c r="AC1097">
        <f t="shared" si="104"/>
        <v>809878.2</v>
      </c>
      <c r="AD1097">
        <f t="shared" si="105"/>
        <v>100</v>
      </c>
      <c r="AE1097">
        <f t="shared" si="106"/>
        <v>223514.57</v>
      </c>
      <c r="AF1097" t="str">
        <f t="shared" si="107"/>
        <v>Paid</v>
      </c>
    </row>
    <row r="1098" spans="1:32" ht="17.25" thickBot="1" x14ac:dyDescent="0.35">
      <c r="A1098" s="2" t="s">
        <v>7588</v>
      </c>
      <c r="B1098" s="2" t="s">
        <v>27</v>
      </c>
      <c r="C1098" s="2" t="s">
        <v>28</v>
      </c>
      <c r="D1098" s="2" t="s">
        <v>97</v>
      </c>
      <c r="E1098" s="2" t="s">
        <v>7589</v>
      </c>
      <c r="F1098" s="2" t="s">
        <v>99</v>
      </c>
      <c r="G1098" s="2" t="s">
        <v>32</v>
      </c>
      <c r="H1098" s="1"/>
      <c r="I1098" s="2" t="s">
        <v>33</v>
      </c>
      <c r="J1098" s="2" t="s">
        <v>34</v>
      </c>
      <c r="K1098" s="2" t="s">
        <v>2150</v>
      </c>
      <c r="L1098" s="2" t="s">
        <v>2151</v>
      </c>
      <c r="M1098" s="2" t="s">
        <v>2140</v>
      </c>
      <c r="N1098" s="2" t="s">
        <v>38</v>
      </c>
      <c r="O1098" s="2" t="s">
        <v>839</v>
      </c>
      <c r="P1098" s="2" t="s">
        <v>5398</v>
      </c>
      <c r="Q1098" s="2" t="s">
        <v>7590</v>
      </c>
      <c r="R1098" s="2" t="s">
        <v>40</v>
      </c>
      <c r="S1098" s="2" t="s">
        <v>7591</v>
      </c>
      <c r="T1098" s="2" t="s">
        <v>1136</v>
      </c>
      <c r="U1098" s="2" t="s">
        <v>7592</v>
      </c>
      <c r="V1098" s="2" t="s">
        <v>7593</v>
      </c>
      <c r="W1098" s="1"/>
      <c r="X1098" s="2" t="s">
        <v>3393</v>
      </c>
      <c r="Y1098" s="2" t="s">
        <v>7594</v>
      </c>
      <c r="AA1098" t="str">
        <f t="shared" si="102"/>
        <v>2026-02</v>
      </c>
      <c r="AB1098" t="str">
        <f t="shared" si="103"/>
        <v>H1_2026</v>
      </c>
      <c r="AC1098">
        <f t="shared" si="104"/>
        <v>537204.1</v>
      </c>
      <c r="AD1098">
        <f t="shared" si="105"/>
        <v>96</v>
      </c>
      <c r="AE1098">
        <f t="shared" si="106"/>
        <v>134004.1</v>
      </c>
      <c r="AF1098" t="str">
        <f t="shared" si="107"/>
        <v>Paid</v>
      </c>
    </row>
    <row r="1099" spans="1:32" ht="27.75" thickBot="1" x14ac:dyDescent="0.35">
      <c r="A1099" s="2" t="s">
        <v>7595</v>
      </c>
      <c r="B1099" s="2" t="s">
        <v>27</v>
      </c>
      <c r="C1099" s="2" t="s">
        <v>28</v>
      </c>
      <c r="D1099" s="2" t="s">
        <v>97</v>
      </c>
      <c r="E1099" s="2" t="s">
        <v>7589</v>
      </c>
      <c r="F1099" s="2" t="s">
        <v>99</v>
      </c>
      <c r="G1099" s="2" t="s">
        <v>32</v>
      </c>
      <c r="H1099" s="1"/>
      <c r="I1099" s="2" t="s">
        <v>33</v>
      </c>
      <c r="J1099" s="2" t="s">
        <v>34</v>
      </c>
      <c r="K1099" s="2" t="s">
        <v>2166</v>
      </c>
      <c r="L1099" s="2" t="s">
        <v>2167</v>
      </c>
      <c r="M1099" s="2" t="s">
        <v>2140</v>
      </c>
      <c r="N1099" s="2" t="s">
        <v>38</v>
      </c>
      <c r="O1099" s="2" t="s">
        <v>54</v>
      </c>
      <c r="P1099" s="2" t="s">
        <v>7596</v>
      </c>
      <c r="Q1099" s="2" t="s">
        <v>2775</v>
      </c>
      <c r="R1099" s="2" t="s">
        <v>40</v>
      </c>
      <c r="S1099" s="2" t="s">
        <v>7597</v>
      </c>
      <c r="T1099" s="2" t="s">
        <v>2171</v>
      </c>
      <c r="U1099" s="2" t="s">
        <v>7598</v>
      </c>
      <c r="V1099" s="2" t="s">
        <v>7599</v>
      </c>
      <c r="W1099" s="1"/>
      <c r="X1099" s="2" t="s">
        <v>806</v>
      </c>
      <c r="Y1099" s="2" t="s">
        <v>7594</v>
      </c>
      <c r="AA1099" t="str">
        <f t="shared" si="102"/>
        <v>2026-02</v>
      </c>
      <c r="AB1099" t="str">
        <f t="shared" si="103"/>
        <v>H1_2026</v>
      </c>
      <c r="AC1099">
        <f t="shared" si="104"/>
        <v>4634.97</v>
      </c>
      <c r="AD1099">
        <f t="shared" si="105"/>
        <v>4</v>
      </c>
      <c r="AE1099">
        <f t="shared" si="106"/>
        <v>1180.42</v>
      </c>
      <c r="AF1099" t="str">
        <f t="shared" si="107"/>
        <v>Paid</v>
      </c>
    </row>
    <row r="1100" spans="1:32" ht="27.75" thickBot="1" x14ac:dyDescent="0.35">
      <c r="A1100" s="2" t="s">
        <v>7600</v>
      </c>
      <c r="B1100" s="2" t="s">
        <v>27</v>
      </c>
      <c r="C1100" s="2" t="s">
        <v>28</v>
      </c>
      <c r="D1100" s="2" t="s">
        <v>97</v>
      </c>
      <c r="E1100" s="2" t="s">
        <v>7589</v>
      </c>
      <c r="F1100" s="2" t="s">
        <v>99</v>
      </c>
      <c r="G1100" s="2" t="s">
        <v>32</v>
      </c>
      <c r="H1100" s="1"/>
      <c r="I1100" s="2" t="s">
        <v>33</v>
      </c>
      <c r="J1100" s="2" t="s">
        <v>34</v>
      </c>
      <c r="K1100" s="2" t="s">
        <v>2175</v>
      </c>
      <c r="L1100" s="2" t="s">
        <v>2176</v>
      </c>
      <c r="M1100" s="2" t="s">
        <v>2140</v>
      </c>
      <c r="N1100" s="2" t="s">
        <v>38</v>
      </c>
      <c r="O1100" s="2" t="s">
        <v>579</v>
      </c>
      <c r="P1100" s="2" t="s">
        <v>7596</v>
      </c>
      <c r="Q1100" s="2" t="s">
        <v>7601</v>
      </c>
      <c r="R1100" s="2" t="s">
        <v>40</v>
      </c>
      <c r="S1100" s="2" t="s">
        <v>7602</v>
      </c>
      <c r="T1100" s="2" t="s">
        <v>2171</v>
      </c>
      <c r="U1100" s="2" t="s">
        <v>7603</v>
      </c>
      <c r="V1100" s="2" t="s">
        <v>7604</v>
      </c>
      <c r="W1100" s="1"/>
      <c r="X1100" s="2" t="s">
        <v>806</v>
      </c>
      <c r="Y1100" s="2" t="s">
        <v>7594</v>
      </c>
      <c r="AA1100" t="str">
        <f t="shared" si="102"/>
        <v>2026-02</v>
      </c>
      <c r="AB1100" t="str">
        <f t="shared" si="103"/>
        <v>H1_2026</v>
      </c>
      <c r="AC1100">
        <f t="shared" si="104"/>
        <v>77635.710000000006</v>
      </c>
      <c r="AD1100">
        <f t="shared" si="105"/>
        <v>67</v>
      </c>
      <c r="AE1100">
        <f t="shared" si="106"/>
        <v>19772.080000000002</v>
      </c>
      <c r="AF1100" t="str">
        <f t="shared" si="107"/>
        <v>Paid</v>
      </c>
    </row>
    <row r="1101" spans="1:32" ht="17.25" thickBot="1" x14ac:dyDescent="0.35">
      <c r="A1101" s="2" t="s">
        <v>7605</v>
      </c>
      <c r="B1101" s="2" t="s">
        <v>27</v>
      </c>
      <c r="C1101" s="2" t="s">
        <v>28</v>
      </c>
      <c r="D1101" s="2" t="s">
        <v>97</v>
      </c>
      <c r="E1101" s="2" t="s">
        <v>7589</v>
      </c>
      <c r="F1101" s="2" t="s">
        <v>99</v>
      </c>
      <c r="G1101" s="2" t="s">
        <v>32</v>
      </c>
      <c r="H1101" s="1"/>
      <c r="I1101" s="2" t="s">
        <v>33</v>
      </c>
      <c r="J1101" s="2" t="s">
        <v>34</v>
      </c>
      <c r="K1101" s="2" t="s">
        <v>2228</v>
      </c>
      <c r="L1101" s="2" t="s">
        <v>2229</v>
      </c>
      <c r="M1101" s="2" t="s">
        <v>2140</v>
      </c>
      <c r="N1101" s="2" t="s">
        <v>38</v>
      </c>
      <c r="O1101" s="2" t="s">
        <v>54</v>
      </c>
      <c r="P1101" s="2" t="s">
        <v>2829</v>
      </c>
      <c r="Q1101" s="2" t="s">
        <v>7606</v>
      </c>
      <c r="R1101" s="2" t="s">
        <v>40</v>
      </c>
      <c r="S1101" s="2" t="s">
        <v>7607</v>
      </c>
      <c r="T1101" s="2" t="s">
        <v>7608</v>
      </c>
      <c r="U1101" s="2" t="s">
        <v>7609</v>
      </c>
      <c r="V1101" s="2" t="s">
        <v>7610</v>
      </c>
      <c r="W1101" s="1"/>
      <c r="X1101" s="2" t="s">
        <v>1042</v>
      </c>
      <c r="Y1101" s="2" t="s">
        <v>7594</v>
      </c>
      <c r="AA1101" t="str">
        <f t="shared" si="102"/>
        <v>2026-02</v>
      </c>
      <c r="AB1101" t="str">
        <f t="shared" si="103"/>
        <v>H1_2026</v>
      </c>
      <c r="AC1101">
        <f t="shared" si="104"/>
        <v>33123.06</v>
      </c>
      <c r="AD1101">
        <f t="shared" si="105"/>
        <v>4</v>
      </c>
      <c r="AE1101">
        <f t="shared" si="106"/>
        <v>7948.52</v>
      </c>
      <c r="AF1101" t="str">
        <f t="shared" si="107"/>
        <v>Paid</v>
      </c>
    </row>
    <row r="1102" spans="1:32" ht="17.25" thickBot="1" x14ac:dyDescent="0.35">
      <c r="A1102" s="2" t="s">
        <v>7611</v>
      </c>
      <c r="B1102" s="2" t="s">
        <v>27</v>
      </c>
      <c r="C1102" s="2" t="s">
        <v>28</v>
      </c>
      <c r="D1102" s="2" t="s">
        <v>97</v>
      </c>
      <c r="E1102" s="2" t="s">
        <v>7589</v>
      </c>
      <c r="F1102" s="2" t="s">
        <v>99</v>
      </c>
      <c r="G1102" s="2" t="s">
        <v>32</v>
      </c>
      <c r="H1102" s="1"/>
      <c r="I1102" s="2" t="s">
        <v>33</v>
      </c>
      <c r="J1102" s="2" t="s">
        <v>34</v>
      </c>
      <c r="K1102" s="2" t="s">
        <v>2253</v>
      </c>
      <c r="L1102" s="2" t="s">
        <v>2254</v>
      </c>
      <c r="M1102" s="2" t="s">
        <v>2140</v>
      </c>
      <c r="N1102" s="2" t="s">
        <v>38</v>
      </c>
      <c r="O1102" s="2" t="s">
        <v>367</v>
      </c>
      <c r="P1102" s="2" t="s">
        <v>703</v>
      </c>
      <c r="Q1102" s="2" t="s">
        <v>7612</v>
      </c>
      <c r="R1102" s="2" t="s">
        <v>40</v>
      </c>
      <c r="S1102" s="2" t="s">
        <v>7613</v>
      </c>
      <c r="T1102" s="2" t="s">
        <v>931</v>
      </c>
      <c r="U1102" s="2" t="s">
        <v>7614</v>
      </c>
      <c r="V1102" s="2" t="s">
        <v>7615</v>
      </c>
      <c r="W1102" s="1"/>
      <c r="X1102" s="2" t="s">
        <v>1893</v>
      </c>
      <c r="Y1102" s="2" t="s">
        <v>7594</v>
      </c>
      <c r="AA1102" t="str">
        <f t="shared" si="102"/>
        <v>2026-02</v>
      </c>
      <c r="AB1102" t="str">
        <f t="shared" si="103"/>
        <v>H1_2026</v>
      </c>
      <c r="AC1102">
        <f t="shared" si="104"/>
        <v>422177.76</v>
      </c>
      <c r="AD1102">
        <f t="shared" si="105"/>
        <v>44</v>
      </c>
      <c r="AE1102">
        <f t="shared" si="106"/>
        <v>109777.76</v>
      </c>
      <c r="AF1102" t="str">
        <f t="shared" si="107"/>
        <v>Paid</v>
      </c>
    </row>
    <row r="1103" spans="1:32" ht="17.25" thickBot="1" x14ac:dyDescent="0.35">
      <c r="A1103" s="2" t="s">
        <v>7616</v>
      </c>
      <c r="B1103" s="2" t="s">
        <v>27</v>
      </c>
      <c r="C1103" s="2" t="s">
        <v>28</v>
      </c>
      <c r="D1103" s="2" t="s">
        <v>97</v>
      </c>
      <c r="E1103" s="2" t="s">
        <v>7589</v>
      </c>
      <c r="F1103" s="2" t="s">
        <v>99</v>
      </c>
      <c r="G1103" s="2" t="s">
        <v>32</v>
      </c>
      <c r="H1103" s="1"/>
      <c r="I1103" s="2" t="s">
        <v>33</v>
      </c>
      <c r="J1103" s="2" t="s">
        <v>34</v>
      </c>
      <c r="K1103" s="2" t="s">
        <v>7617</v>
      </c>
      <c r="L1103" s="2" t="s">
        <v>7618</v>
      </c>
      <c r="M1103" s="2" t="s">
        <v>7619</v>
      </c>
      <c r="N1103" s="2" t="s">
        <v>38</v>
      </c>
      <c r="O1103" s="2" t="s">
        <v>213</v>
      </c>
      <c r="P1103" s="2" t="s">
        <v>870</v>
      </c>
      <c r="Q1103" s="2" t="s">
        <v>7620</v>
      </c>
      <c r="R1103" s="2" t="s">
        <v>40</v>
      </c>
      <c r="S1103" s="2" t="s">
        <v>7621</v>
      </c>
      <c r="T1103" s="2" t="s">
        <v>7622</v>
      </c>
      <c r="U1103" s="2" t="s">
        <v>7623</v>
      </c>
      <c r="V1103" s="2" t="s">
        <v>7624</v>
      </c>
      <c r="W1103" s="1"/>
      <c r="X1103" s="2" t="s">
        <v>965</v>
      </c>
      <c r="Y1103" s="2" t="s">
        <v>7594</v>
      </c>
      <c r="AA1103" t="str">
        <f t="shared" si="102"/>
        <v>2026-02</v>
      </c>
      <c r="AB1103" t="str">
        <f t="shared" si="103"/>
        <v>H1_2026</v>
      </c>
      <c r="AC1103">
        <f t="shared" si="104"/>
        <v>313029.90999999997</v>
      </c>
      <c r="AD1103">
        <f t="shared" si="105"/>
        <v>26</v>
      </c>
      <c r="AE1103">
        <f t="shared" si="106"/>
        <v>80069.91</v>
      </c>
      <c r="AF1103" t="str">
        <f t="shared" si="107"/>
        <v>Paid</v>
      </c>
    </row>
    <row r="1104" spans="1:32" ht="27.75" thickBot="1" x14ac:dyDescent="0.35">
      <c r="A1104" s="2" t="s">
        <v>7625</v>
      </c>
      <c r="B1104" s="2" t="s">
        <v>27</v>
      </c>
      <c r="C1104" s="2" t="s">
        <v>28</v>
      </c>
      <c r="D1104" s="2" t="s">
        <v>97</v>
      </c>
      <c r="E1104" s="2" t="s">
        <v>7589</v>
      </c>
      <c r="F1104" s="2" t="s">
        <v>99</v>
      </c>
      <c r="G1104" s="2" t="s">
        <v>32</v>
      </c>
      <c r="H1104" s="1"/>
      <c r="I1104" s="2" t="s">
        <v>33</v>
      </c>
      <c r="J1104" s="2" t="s">
        <v>34</v>
      </c>
      <c r="K1104" s="2" t="s">
        <v>261</v>
      </c>
      <c r="L1104" s="2" t="s">
        <v>262</v>
      </c>
      <c r="M1104" s="2" t="s">
        <v>263</v>
      </c>
      <c r="N1104" s="2" t="s">
        <v>38</v>
      </c>
      <c r="O1104" s="2" t="s">
        <v>138</v>
      </c>
      <c r="P1104" s="2" t="s">
        <v>7626</v>
      </c>
      <c r="Q1104" s="2" t="s">
        <v>7627</v>
      </c>
      <c r="R1104" s="2" t="s">
        <v>40</v>
      </c>
      <c r="S1104" s="2" t="s">
        <v>7628</v>
      </c>
      <c r="T1104" s="2" t="s">
        <v>267</v>
      </c>
      <c r="U1104" s="2" t="s">
        <v>7226</v>
      </c>
      <c r="V1104" s="2" t="s">
        <v>7629</v>
      </c>
      <c r="W1104" s="1"/>
      <c r="X1104" s="2" t="s">
        <v>2216</v>
      </c>
      <c r="Y1104" s="2" t="s">
        <v>7594</v>
      </c>
      <c r="AA1104" t="str">
        <f t="shared" si="102"/>
        <v>2026-02</v>
      </c>
      <c r="AB1104" t="str">
        <f t="shared" si="103"/>
        <v>H1_2026</v>
      </c>
      <c r="AC1104">
        <f t="shared" si="104"/>
        <v>165587.06</v>
      </c>
      <c r="AD1104">
        <f t="shared" si="105"/>
        <v>18</v>
      </c>
      <c r="AE1104">
        <f t="shared" si="106"/>
        <v>46787.06</v>
      </c>
      <c r="AF1104" t="str">
        <f t="shared" si="107"/>
        <v>Paid</v>
      </c>
    </row>
    <row r="1105" spans="1:32" ht="17.25" thickBot="1" x14ac:dyDescent="0.35">
      <c r="A1105" s="2" t="s">
        <v>7630</v>
      </c>
      <c r="B1105" s="2" t="s">
        <v>27</v>
      </c>
      <c r="C1105" s="2" t="s">
        <v>28</v>
      </c>
      <c r="D1105" s="2" t="s">
        <v>97</v>
      </c>
      <c r="E1105" s="2" t="s">
        <v>7589</v>
      </c>
      <c r="F1105" s="2" t="s">
        <v>99</v>
      </c>
      <c r="G1105" s="2" t="s">
        <v>32</v>
      </c>
      <c r="H1105" s="1"/>
      <c r="I1105" s="2" t="s">
        <v>33</v>
      </c>
      <c r="J1105" s="2" t="s">
        <v>34</v>
      </c>
      <c r="K1105" s="2" t="s">
        <v>7631</v>
      </c>
      <c r="L1105" s="2" t="s">
        <v>7632</v>
      </c>
      <c r="M1105" s="2" t="s">
        <v>263</v>
      </c>
      <c r="N1105" s="2" t="s">
        <v>38</v>
      </c>
      <c r="O1105" s="2" t="s">
        <v>214</v>
      </c>
      <c r="P1105" s="2" t="s">
        <v>7626</v>
      </c>
      <c r="Q1105" s="2" t="s">
        <v>7633</v>
      </c>
      <c r="R1105" s="2" t="s">
        <v>40</v>
      </c>
      <c r="S1105" s="2" t="s">
        <v>7634</v>
      </c>
      <c r="T1105" s="2" t="s">
        <v>267</v>
      </c>
      <c r="U1105" s="2" t="s">
        <v>4497</v>
      </c>
      <c r="V1105" s="2" t="s">
        <v>7635</v>
      </c>
      <c r="W1105" s="1"/>
      <c r="X1105" s="2" t="s">
        <v>2216</v>
      </c>
      <c r="Y1105" s="2" t="s">
        <v>7594</v>
      </c>
      <c r="AA1105" t="str">
        <f t="shared" si="102"/>
        <v>2026-02</v>
      </c>
      <c r="AB1105" t="str">
        <f t="shared" si="103"/>
        <v>H1_2026</v>
      </c>
      <c r="AC1105">
        <f t="shared" si="104"/>
        <v>459964.05</v>
      </c>
      <c r="AD1105">
        <f t="shared" si="105"/>
        <v>50</v>
      </c>
      <c r="AE1105">
        <f t="shared" si="106"/>
        <v>129964.05</v>
      </c>
      <c r="AF1105" t="str">
        <f t="shared" si="107"/>
        <v>Paid</v>
      </c>
    </row>
    <row r="1106" spans="1:32" ht="17.25" thickBot="1" x14ac:dyDescent="0.35">
      <c r="A1106" s="2" t="s">
        <v>7636</v>
      </c>
      <c r="B1106" s="2" t="s">
        <v>27</v>
      </c>
      <c r="C1106" s="2" t="s">
        <v>28</v>
      </c>
      <c r="D1106" s="2" t="s">
        <v>97</v>
      </c>
      <c r="E1106" s="2" t="s">
        <v>7589</v>
      </c>
      <c r="F1106" s="2" t="s">
        <v>99</v>
      </c>
      <c r="G1106" s="2" t="s">
        <v>32</v>
      </c>
      <c r="H1106" s="1"/>
      <c r="I1106" s="2" t="s">
        <v>33</v>
      </c>
      <c r="J1106" s="2" t="s">
        <v>34</v>
      </c>
      <c r="K1106" s="2" t="s">
        <v>273</v>
      </c>
      <c r="L1106" s="2" t="s">
        <v>274</v>
      </c>
      <c r="M1106" s="2" t="s">
        <v>263</v>
      </c>
      <c r="N1106" s="2" t="s">
        <v>38</v>
      </c>
      <c r="O1106" s="2" t="s">
        <v>1812</v>
      </c>
      <c r="P1106" s="2" t="s">
        <v>7626</v>
      </c>
      <c r="Q1106" s="2" t="s">
        <v>7637</v>
      </c>
      <c r="R1106" s="2" t="s">
        <v>40</v>
      </c>
      <c r="S1106" s="2" t="s">
        <v>7638</v>
      </c>
      <c r="T1106" s="2" t="s">
        <v>267</v>
      </c>
      <c r="U1106" s="2" t="s">
        <v>7639</v>
      </c>
      <c r="V1106" s="2" t="s">
        <v>7640</v>
      </c>
      <c r="W1106" s="1"/>
      <c r="X1106" s="2" t="s">
        <v>2216</v>
      </c>
      <c r="Y1106" s="2" t="s">
        <v>7594</v>
      </c>
      <c r="AA1106" t="str">
        <f t="shared" si="102"/>
        <v>2026-02</v>
      </c>
      <c r="AB1106" t="str">
        <f t="shared" si="103"/>
        <v>H1_2026</v>
      </c>
      <c r="AC1106">
        <f t="shared" si="104"/>
        <v>1996243.98</v>
      </c>
      <c r="AD1106">
        <f t="shared" si="105"/>
        <v>217</v>
      </c>
      <c r="AE1106">
        <f t="shared" si="106"/>
        <v>564043.98</v>
      </c>
      <c r="AF1106" t="str">
        <f t="shared" si="107"/>
        <v>Paid</v>
      </c>
    </row>
    <row r="1107" spans="1:32" ht="17.25" thickBot="1" x14ac:dyDescent="0.35">
      <c r="A1107" s="2" t="s">
        <v>7641</v>
      </c>
      <c r="B1107" s="2" t="s">
        <v>27</v>
      </c>
      <c r="C1107" s="2" t="s">
        <v>28</v>
      </c>
      <c r="D1107" s="2" t="s">
        <v>97</v>
      </c>
      <c r="E1107" s="2" t="s">
        <v>7589</v>
      </c>
      <c r="F1107" s="2" t="s">
        <v>99</v>
      </c>
      <c r="G1107" s="2" t="s">
        <v>32</v>
      </c>
      <c r="H1107" s="1"/>
      <c r="I1107" s="2" t="s">
        <v>33</v>
      </c>
      <c r="J1107" s="2" t="s">
        <v>34</v>
      </c>
      <c r="K1107" s="2" t="s">
        <v>7642</v>
      </c>
      <c r="L1107" s="2" t="s">
        <v>7643</v>
      </c>
      <c r="M1107" s="2" t="s">
        <v>263</v>
      </c>
      <c r="N1107" s="2" t="s">
        <v>38</v>
      </c>
      <c r="O1107" s="2" t="s">
        <v>141</v>
      </c>
      <c r="P1107" s="2" t="s">
        <v>7644</v>
      </c>
      <c r="Q1107" s="2" t="s">
        <v>7645</v>
      </c>
      <c r="R1107" s="2" t="s">
        <v>40</v>
      </c>
      <c r="S1107" s="2" t="s">
        <v>7646</v>
      </c>
      <c r="T1107" s="2" t="s">
        <v>864</v>
      </c>
      <c r="U1107" s="2" t="s">
        <v>3314</v>
      </c>
      <c r="V1107" s="2" t="s">
        <v>7647</v>
      </c>
      <c r="W1107" s="1"/>
      <c r="X1107" s="2" t="s">
        <v>7648</v>
      </c>
      <c r="Y1107" s="2" t="s">
        <v>7594</v>
      </c>
      <c r="AA1107" t="str">
        <f t="shared" si="102"/>
        <v>2026-02</v>
      </c>
      <c r="AB1107" t="str">
        <f t="shared" si="103"/>
        <v>H1_2026</v>
      </c>
      <c r="AC1107">
        <f t="shared" si="104"/>
        <v>268771.62</v>
      </c>
      <c r="AD1107">
        <f t="shared" si="105"/>
        <v>30</v>
      </c>
      <c r="AE1107">
        <f t="shared" si="106"/>
        <v>43771.62</v>
      </c>
      <c r="AF1107" t="str">
        <f t="shared" si="107"/>
        <v>Paid</v>
      </c>
    </row>
    <row r="1108" spans="1:32" ht="17.25" thickBot="1" x14ac:dyDescent="0.35">
      <c r="A1108" s="2" t="s">
        <v>7649</v>
      </c>
      <c r="B1108" s="2" t="s">
        <v>27</v>
      </c>
      <c r="C1108" s="2" t="s">
        <v>28</v>
      </c>
      <c r="D1108" s="2" t="s">
        <v>97</v>
      </c>
      <c r="E1108" s="2" t="s">
        <v>7589</v>
      </c>
      <c r="F1108" s="2" t="s">
        <v>99</v>
      </c>
      <c r="G1108" s="2" t="s">
        <v>32</v>
      </c>
      <c r="H1108" s="1"/>
      <c r="I1108" s="2" t="s">
        <v>33</v>
      </c>
      <c r="J1108" s="2" t="s">
        <v>34</v>
      </c>
      <c r="K1108" s="2" t="s">
        <v>7650</v>
      </c>
      <c r="L1108" s="2" t="s">
        <v>7651</v>
      </c>
      <c r="M1108" s="2" t="s">
        <v>263</v>
      </c>
      <c r="N1108" s="2" t="s">
        <v>38</v>
      </c>
      <c r="O1108" s="2" t="s">
        <v>141</v>
      </c>
      <c r="P1108" s="2" t="s">
        <v>7652</v>
      </c>
      <c r="Q1108" s="2" t="s">
        <v>7653</v>
      </c>
      <c r="R1108" s="2" t="s">
        <v>40</v>
      </c>
      <c r="S1108" s="2" t="s">
        <v>7654</v>
      </c>
      <c r="T1108" s="2" t="s">
        <v>864</v>
      </c>
      <c r="U1108" s="2" t="s">
        <v>3314</v>
      </c>
      <c r="V1108" s="2" t="s">
        <v>7655</v>
      </c>
      <c r="W1108" s="1"/>
      <c r="X1108" s="2" t="s">
        <v>7587</v>
      </c>
      <c r="Y1108" s="2" t="s">
        <v>7594</v>
      </c>
      <c r="AA1108" t="str">
        <f t="shared" si="102"/>
        <v>2026-02</v>
      </c>
      <c r="AB1108" t="str">
        <f t="shared" si="103"/>
        <v>H1_2026</v>
      </c>
      <c r="AC1108">
        <f t="shared" si="104"/>
        <v>310740.69</v>
      </c>
      <c r="AD1108">
        <f t="shared" si="105"/>
        <v>30</v>
      </c>
      <c r="AE1108">
        <f t="shared" si="106"/>
        <v>85740.69</v>
      </c>
      <c r="AF1108" t="str">
        <f t="shared" si="107"/>
        <v>Paid</v>
      </c>
    </row>
    <row r="1109" spans="1:32" ht="17.25" thickBot="1" x14ac:dyDescent="0.35">
      <c r="A1109" s="2" t="s">
        <v>7656</v>
      </c>
      <c r="B1109" s="2" t="s">
        <v>27</v>
      </c>
      <c r="C1109" s="2" t="s">
        <v>28</v>
      </c>
      <c r="D1109" s="2" t="s">
        <v>97</v>
      </c>
      <c r="E1109" s="2" t="s">
        <v>7589</v>
      </c>
      <c r="F1109" s="2" t="s">
        <v>99</v>
      </c>
      <c r="G1109" s="2" t="s">
        <v>32</v>
      </c>
      <c r="H1109" s="1"/>
      <c r="I1109" s="2" t="s">
        <v>33</v>
      </c>
      <c r="J1109" s="2" t="s">
        <v>34</v>
      </c>
      <c r="K1109" s="2" t="s">
        <v>7657</v>
      </c>
      <c r="L1109" s="2" t="s">
        <v>7658</v>
      </c>
      <c r="M1109" s="2" t="s">
        <v>263</v>
      </c>
      <c r="N1109" s="2" t="s">
        <v>38</v>
      </c>
      <c r="O1109" s="2" t="s">
        <v>159</v>
      </c>
      <c r="P1109" s="2" t="s">
        <v>1396</v>
      </c>
      <c r="Q1109" s="2" t="s">
        <v>1397</v>
      </c>
      <c r="R1109" s="2" t="s">
        <v>40</v>
      </c>
      <c r="S1109" s="2" t="s">
        <v>7659</v>
      </c>
      <c r="T1109" s="2" t="s">
        <v>669</v>
      </c>
      <c r="U1109" s="2" t="s">
        <v>6688</v>
      </c>
      <c r="V1109" s="2" t="s">
        <v>7660</v>
      </c>
      <c r="W1109" s="1"/>
      <c r="X1109" s="2" t="s">
        <v>6038</v>
      </c>
      <c r="Y1109" s="2" t="s">
        <v>7594</v>
      </c>
      <c r="AA1109" t="str">
        <f t="shared" si="102"/>
        <v>2026-02</v>
      </c>
      <c r="AB1109" t="str">
        <f t="shared" si="103"/>
        <v>H1_2026</v>
      </c>
      <c r="AC1109">
        <f t="shared" si="104"/>
        <v>751769.2</v>
      </c>
      <c r="AD1109">
        <f t="shared" si="105"/>
        <v>80</v>
      </c>
      <c r="AE1109">
        <f t="shared" si="106"/>
        <v>271769.2</v>
      </c>
      <c r="AF1109" t="str">
        <f t="shared" si="107"/>
        <v>Paid</v>
      </c>
    </row>
    <row r="1110" spans="1:32" ht="17.25" thickBot="1" x14ac:dyDescent="0.35">
      <c r="A1110" s="2" t="s">
        <v>7661</v>
      </c>
      <c r="B1110" s="2" t="s">
        <v>27</v>
      </c>
      <c r="C1110" s="2" t="s">
        <v>28</v>
      </c>
      <c r="D1110" s="2" t="s">
        <v>97</v>
      </c>
      <c r="E1110" s="2" t="s">
        <v>7589</v>
      </c>
      <c r="F1110" s="2" t="s">
        <v>99</v>
      </c>
      <c r="G1110" s="2" t="s">
        <v>32</v>
      </c>
      <c r="H1110" s="1"/>
      <c r="I1110" s="2" t="s">
        <v>33</v>
      </c>
      <c r="J1110" s="2" t="s">
        <v>34</v>
      </c>
      <c r="K1110" s="2" t="s">
        <v>4845</v>
      </c>
      <c r="L1110" s="2" t="s">
        <v>4846</v>
      </c>
      <c r="M1110" s="2" t="s">
        <v>263</v>
      </c>
      <c r="N1110" s="2" t="s">
        <v>38</v>
      </c>
      <c r="O1110" s="2" t="s">
        <v>508</v>
      </c>
      <c r="P1110" s="2" t="s">
        <v>910</v>
      </c>
      <c r="Q1110" s="2" t="s">
        <v>7662</v>
      </c>
      <c r="R1110" s="2" t="s">
        <v>40</v>
      </c>
      <c r="S1110" s="2" t="s">
        <v>7663</v>
      </c>
      <c r="T1110" s="2" t="s">
        <v>4850</v>
      </c>
      <c r="U1110" s="2" t="s">
        <v>7664</v>
      </c>
      <c r="V1110" s="2" t="s">
        <v>7665</v>
      </c>
      <c r="W1110" s="1"/>
      <c r="X1110" s="2" t="s">
        <v>4853</v>
      </c>
      <c r="Y1110" s="2" t="s">
        <v>7594</v>
      </c>
      <c r="AA1110" t="str">
        <f t="shared" si="102"/>
        <v>2026-02</v>
      </c>
      <c r="AB1110" t="str">
        <f t="shared" si="103"/>
        <v>H1_2026</v>
      </c>
      <c r="AC1110">
        <f t="shared" si="104"/>
        <v>767864.41</v>
      </c>
      <c r="AD1110">
        <f t="shared" si="105"/>
        <v>59</v>
      </c>
      <c r="AE1110">
        <f t="shared" si="106"/>
        <v>362357.41</v>
      </c>
      <c r="AF1110" t="str">
        <f t="shared" si="107"/>
        <v>Paid</v>
      </c>
    </row>
    <row r="1111" spans="1:32" ht="17.25" thickBot="1" x14ac:dyDescent="0.35">
      <c r="A1111" s="2" t="s">
        <v>7666</v>
      </c>
      <c r="B1111" s="2" t="s">
        <v>27</v>
      </c>
      <c r="C1111" s="2" t="s">
        <v>28</v>
      </c>
      <c r="D1111" s="2" t="s">
        <v>97</v>
      </c>
      <c r="E1111" s="2" t="s">
        <v>7589</v>
      </c>
      <c r="F1111" s="2" t="s">
        <v>99</v>
      </c>
      <c r="G1111" s="2" t="s">
        <v>32</v>
      </c>
      <c r="H1111" s="1"/>
      <c r="I1111" s="2" t="s">
        <v>33</v>
      </c>
      <c r="J1111" s="2" t="s">
        <v>34</v>
      </c>
      <c r="K1111" s="2" t="s">
        <v>7667</v>
      </c>
      <c r="L1111" s="2" t="s">
        <v>7668</v>
      </c>
      <c r="M1111" s="2" t="s">
        <v>263</v>
      </c>
      <c r="N1111" s="2" t="s">
        <v>38</v>
      </c>
      <c r="O1111" s="2" t="s">
        <v>141</v>
      </c>
      <c r="P1111" s="2" t="s">
        <v>5246</v>
      </c>
      <c r="Q1111" s="2" t="s">
        <v>6795</v>
      </c>
      <c r="R1111" s="2" t="s">
        <v>40</v>
      </c>
      <c r="S1111" s="2" t="s">
        <v>7669</v>
      </c>
      <c r="T1111" s="2" t="s">
        <v>297</v>
      </c>
      <c r="U1111" s="2" t="s">
        <v>2257</v>
      </c>
      <c r="V1111" s="2" t="s">
        <v>7670</v>
      </c>
      <c r="W1111" s="1"/>
      <c r="X1111" s="2" t="s">
        <v>6342</v>
      </c>
      <c r="Y1111" s="2" t="s">
        <v>7594</v>
      </c>
      <c r="AA1111" t="str">
        <f t="shared" si="102"/>
        <v>2026-02</v>
      </c>
      <c r="AB1111" t="str">
        <f t="shared" si="103"/>
        <v>H1_2026</v>
      </c>
      <c r="AC1111">
        <f t="shared" si="104"/>
        <v>312012.48</v>
      </c>
      <c r="AD1111">
        <f t="shared" si="105"/>
        <v>30</v>
      </c>
      <c r="AE1111">
        <f t="shared" si="106"/>
        <v>72012.479999999996</v>
      </c>
      <c r="AF1111" t="str">
        <f t="shared" si="107"/>
        <v>Paid</v>
      </c>
    </row>
    <row r="1112" spans="1:32" ht="17.25" thickBot="1" x14ac:dyDescent="0.35">
      <c r="A1112" s="2" t="s">
        <v>7671</v>
      </c>
      <c r="B1112" s="2" t="s">
        <v>27</v>
      </c>
      <c r="C1112" s="2" t="s">
        <v>28</v>
      </c>
      <c r="D1112" s="2" t="s">
        <v>97</v>
      </c>
      <c r="E1112" s="2" t="s">
        <v>7589</v>
      </c>
      <c r="F1112" s="2" t="s">
        <v>99</v>
      </c>
      <c r="G1112" s="2" t="s">
        <v>32</v>
      </c>
      <c r="H1112" s="1"/>
      <c r="I1112" s="2" t="s">
        <v>33</v>
      </c>
      <c r="J1112" s="2" t="s">
        <v>34</v>
      </c>
      <c r="K1112" s="2" t="s">
        <v>7672</v>
      </c>
      <c r="L1112" s="2" t="s">
        <v>7673</v>
      </c>
      <c r="M1112" s="2" t="s">
        <v>263</v>
      </c>
      <c r="N1112" s="2" t="s">
        <v>38</v>
      </c>
      <c r="O1112" s="2" t="s">
        <v>214</v>
      </c>
      <c r="P1112" s="2" t="s">
        <v>910</v>
      </c>
      <c r="Q1112" s="2" t="s">
        <v>7674</v>
      </c>
      <c r="R1112" s="2" t="s">
        <v>40</v>
      </c>
      <c r="S1112" s="2" t="s">
        <v>7675</v>
      </c>
      <c r="T1112" s="2" t="s">
        <v>1747</v>
      </c>
      <c r="U1112" s="2" t="s">
        <v>145</v>
      </c>
      <c r="V1112" s="2" t="s">
        <v>7676</v>
      </c>
      <c r="W1112" s="1"/>
      <c r="X1112" s="2" t="s">
        <v>3620</v>
      </c>
      <c r="Y1112" s="2" t="s">
        <v>7594</v>
      </c>
      <c r="AA1112" t="str">
        <f t="shared" si="102"/>
        <v>2026-02</v>
      </c>
      <c r="AB1112" t="str">
        <f t="shared" si="103"/>
        <v>H1_2026</v>
      </c>
      <c r="AC1112">
        <f t="shared" si="104"/>
        <v>650732.55000000005</v>
      </c>
      <c r="AD1112">
        <f t="shared" si="105"/>
        <v>50</v>
      </c>
      <c r="AE1112">
        <f t="shared" si="106"/>
        <v>200732.55</v>
      </c>
      <c r="AF1112" t="str">
        <f t="shared" si="107"/>
        <v>Paid</v>
      </c>
    </row>
    <row r="1113" spans="1:32" ht="17.25" thickBot="1" x14ac:dyDescent="0.35">
      <c r="A1113" s="2" t="s">
        <v>7677</v>
      </c>
      <c r="B1113" s="2" t="s">
        <v>27</v>
      </c>
      <c r="C1113" s="2" t="s">
        <v>28</v>
      </c>
      <c r="D1113" s="2" t="s">
        <v>97</v>
      </c>
      <c r="E1113" s="2" t="s">
        <v>7589</v>
      </c>
      <c r="F1113" s="2" t="s">
        <v>99</v>
      </c>
      <c r="G1113" s="2" t="s">
        <v>32</v>
      </c>
      <c r="H1113" s="1"/>
      <c r="I1113" s="2" t="s">
        <v>33</v>
      </c>
      <c r="J1113" s="2" t="s">
        <v>34</v>
      </c>
      <c r="K1113" s="2" t="s">
        <v>7678</v>
      </c>
      <c r="L1113" s="2" t="s">
        <v>7679</v>
      </c>
      <c r="M1113" s="2" t="s">
        <v>263</v>
      </c>
      <c r="N1113" s="2" t="s">
        <v>38</v>
      </c>
      <c r="O1113" s="2" t="s">
        <v>141</v>
      </c>
      <c r="P1113" s="2" t="s">
        <v>7680</v>
      </c>
      <c r="Q1113" s="2" t="s">
        <v>7681</v>
      </c>
      <c r="R1113" s="2" t="s">
        <v>40</v>
      </c>
      <c r="S1113" s="2" t="s">
        <v>7682</v>
      </c>
      <c r="T1113" s="2" t="s">
        <v>3753</v>
      </c>
      <c r="U1113" s="2" t="s">
        <v>7683</v>
      </c>
      <c r="V1113" s="2" t="s">
        <v>7684</v>
      </c>
      <c r="W1113" s="1"/>
      <c r="X1113" s="2" t="s">
        <v>2687</v>
      </c>
      <c r="Y1113" s="2" t="s">
        <v>7594</v>
      </c>
      <c r="AA1113" t="str">
        <f t="shared" si="102"/>
        <v>2026-02</v>
      </c>
      <c r="AB1113" t="str">
        <f t="shared" si="103"/>
        <v>H1_2026</v>
      </c>
      <c r="AC1113">
        <f t="shared" si="104"/>
        <v>278522.01</v>
      </c>
      <c r="AD1113">
        <f t="shared" si="105"/>
        <v>30</v>
      </c>
      <c r="AE1113">
        <f t="shared" si="106"/>
        <v>109442.01</v>
      </c>
      <c r="AF1113" t="str">
        <f t="shared" si="107"/>
        <v>Paid</v>
      </c>
    </row>
    <row r="1114" spans="1:32" ht="17.25" thickBot="1" x14ac:dyDescent="0.35">
      <c r="A1114" s="2" t="s">
        <v>7685</v>
      </c>
      <c r="B1114" s="2" t="s">
        <v>27</v>
      </c>
      <c r="C1114" s="2" t="s">
        <v>28</v>
      </c>
      <c r="D1114" s="2" t="s">
        <v>97</v>
      </c>
      <c r="E1114" s="2" t="s">
        <v>7589</v>
      </c>
      <c r="F1114" s="2" t="s">
        <v>99</v>
      </c>
      <c r="G1114" s="2" t="s">
        <v>32</v>
      </c>
      <c r="H1114" s="1"/>
      <c r="I1114" s="2" t="s">
        <v>33</v>
      </c>
      <c r="J1114" s="2" t="s">
        <v>34</v>
      </c>
      <c r="K1114" s="2" t="s">
        <v>7686</v>
      </c>
      <c r="L1114" s="2" t="s">
        <v>7687</v>
      </c>
      <c r="M1114" s="2" t="s">
        <v>263</v>
      </c>
      <c r="N1114" s="2" t="s">
        <v>38</v>
      </c>
      <c r="O1114" s="2" t="s">
        <v>214</v>
      </c>
      <c r="P1114" s="2" t="s">
        <v>7688</v>
      </c>
      <c r="Q1114" s="2" t="s">
        <v>7689</v>
      </c>
      <c r="R1114" s="2" t="s">
        <v>40</v>
      </c>
      <c r="S1114" s="2" t="s">
        <v>7690</v>
      </c>
      <c r="T1114" s="2" t="s">
        <v>7691</v>
      </c>
      <c r="U1114" s="2" t="s">
        <v>7692</v>
      </c>
      <c r="V1114" s="2" t="s">
        <v>7693</v>
      </c>
      <c r="W1114" s="1"/>
      <c r="X1114" s="2" t="s">
        <v>7694</v>
      </c>
      <c r="Y1114" s="2" t="s">
        <v>7594</v>
      </c>
      <c r="AA1114" t="str">
        <f t="shared" si="102"/>
        <v>2026-02</v>
      </c>
      <c r="AB1114" t="str">
        <f t="shared" si="103"/>
        <v>H1_2026</v>
      </c>
      <c r="AC1114">
        <f t="shared" si="104"/>
        <v>474801.6</v>
      </c>
      <c r="AD1114">
        <f t="shared" si="105"/>
        <v>50</v>
      </c>
      <c r="AE1114">
        <f t="shared" si="106"/>
        <v>161151.6</v>
      </c>
      <c r="AF1114" t="str">
        <f t="shared" si="107"/>
        <v>Paid</v>
      </c>
    </row>
    <row r="1115" spans="1:32" ht="17.25" thickBot="1" x14ac:dyDescent="0.35">
      <c r="A1115" s="2" t="s">
        <v>7695</v>
      </c>
      <c r="B1115" s="2" t="s">
        <v>27</v>
      </c>
      <c r="C1115" s="2" t="s">
        <v>28</v>
      </c>
      <c r="D1115" s="2" t="s">
        <v>97</v>
      </c>
      <c r="E1115" s="2" t="s">
        <v>7589</v>
      </c>
      <c r="F1115" s="2" t="s">
        <v>99</v>
      </c>
      <c r="G1115" s="2" t="s">
        <v>32</v>
      </c>
      <c r="H1115" s="1"/>
      <c r="I1115" s="2" t="s">
        <v>33</v>
      </c>
      <c r="J1115" s="2" t="s">
        <v>34</v>
      </c>
      <c r="K1115" s="2" t="s">
        <v>7696</v>
      </c>
      <c r="L1115" s="2" t="s">
        <v>7697</v>
      </c>
      <c r="M1115" s="2" t="s">
        <v>263</v>
      </c>
      <c r="N1115" s="2" t="s">
        <v>38</v>
      </c>
      <c r="O1115" s="2" t="s">
        <v>141</v>
      </c>
      <c r="P1115" s="2" t="s">
        <v>7698</v>
      </c>
      <c r="Q1115" s="2" t="s">
        <v>7699</v>
      </c>
      <c r="R1115" s="2" t="s">
        <v>40</v>
      </c>
      <c r="S1115" s="2" t="s">
        <v>7700</v>
      </c>
      <c r="T1115" s="2" t="s">
        <v>3163</v>
      </c>
      <c r="U1115" s="2" t="s">
        <v>7129</v>
      </c>
      <c r="V1115" s="2" t="s">
        <v>7701</v>
      </c>
      <c r="W1115" s="1"/>
      <c r="X1115" s="2" t="s">
        <v>7694</v>
      </c>
      <c r="Y1115" s="2" t="s">
        <v>7594</v>
      </c>
      <c r="AA1115" t="str">
        <f t="shared" si="102"/>
        <v>2026-02</v>
      </c>
      <c r="AB1115" t="str">
        <f t="shared" si="103"/>
        <v>H1_2026</v>
      </c>
      <c r="AC1115">
        <f t="shared" si="104"/>
        <v>226802.55</v>
      </c>
      <c r="AD1115">
        <f t="shared" si="105"/>
        <v>30</v>
      </c>
      <c r="AE1115">
        <f t="shared" si="106"/>
        <v>76802.55</v>
      </c>
      <c r="AF1115" t="str">
        <f t="shared" si="107"/>
        <v>Paid</v>
      </c>
    </row>
    <row r="1116" spans="1:32" ht="17.25" thickBot="1" x14ac:dyDescent="0.35">
      <c r="A1116" s="2" t="s">
        <v>7702</v>
      </c>
      <c r="B1116" s="2" t="s">
        <v>27</v>
      </c>
      <c r="C1116" s="2" t="s">
        <v>28</v>
      </c>
      <c r="D1116" s="2" t="s">
        <v>97</v>
      </c>
      <c r="E1116" s="2" t="s">
        <v>7589</v>
      </c>
      <c r="F1116" s="2" t="s">
        <v>99</v>
      </c>
      <c r="G1116" s="2" t="s">
        <v>32</v>
      </c>
      <c r="H1116" s="1"/>
      <c r="I1116" s="2" t="s">
        <v>33</v>
      </c>
      <c r="J1116" s="2" t="s">
        <v>34</v>
      </c>
      <c r="K1116" s="2" t="s">
        <v>7703</v>
      </c>
      <c r="L1116" s="2" t="s">
        <v>7704</v>
      </c>
      <c r="M1116" s="2" t="s">
        <v>263</v>
      </c>
      <c r="N1116" s="2" t="s">
        <v>38</v>
      </c>
      <c r="O1116" s="2" t="s">
        <v>214</v>
      </c>
      <c r="P1116" s="2" t="s">
        <v>4430</v>
      </c>
      <c r="Q1116" s="2" t="s">
        <v>7705</v>
      </c>
      <c r="R1116" s="2" t="s">
        <v>40</v>
      </c>
      <c r="S1116" s="2" t="s">
        <v>7706</v>
      </c>
      <c r="T1116" s="2" t="s">
        <v>297</v>
      </c>
      <c r="U1116" s="2" t="s">
        <v>844</v>
      </c>
      <c r="V1116" s="2" t="s">
        <v>7707</v>
      </c>
      <c r="W1116" s="1"/>
      <c r="X1116" s="2" t="s">
        <v>3756</v>
      </c>
      <c r="Y1116" s="2" t="s">
        <v>7594</v>
      </c>
      <c r="AA1116" t="str">
        <f t="shared" si="102"/>
        <v>2026-02</v>
      </c>
      <c r="AB1116" t="str">
        <f t="shared" si="103"/>
        <v>H1_2026</v>
      </c>
      <c r="AC1116">
        <f t="shared" si="104"/>
        <v>486106.4</v>
      </c>
      <c r="AD1116">
        <f t="shared" si="105"/>
        <v>50</v>
      </c>
      <c r="AE1116">
        <f t="shared" si="106"/>
        <v>86106.4</v>
      </c>
      <c r="AF1116" t="str">
        <f t="shared" si="107"/>
        <v>Paid</v>
      </c>
    </row>
    <row r="1117" spans="1:32" ht="17.25" thickBot="1" x14ac:dyDescent="0.35">
      <c r="A1117" s="2" t="s">
        <v>7708</v>
      </c>
      <c r="B1117" s="2" t="s">
        <v>27</v>
      </c>
      <c r="C1117" s="2" t="s">
        <v>28</v>
      </c>
      <c r="D1117" s="2" t="s">
        <v>97</v>
      </c>
      <c r="E1117" s="2" t="s">
        <v>7589</v>
      </c>
      <c r="F1117" s="2" t="s">
        <v>99</v>
      </c>
      <c r="G1117" s="2" t="s">
        <v>32</v>
      </c>
      <c r="H1117" s="1"/>
      <c r="I1117" s="2" t="s">
        <v>33</v>
      </c>
      <c r="J1117" s="2" t="s">
        <v>34</v>
      </c>
      <c r="K1117" s="2" t="s">
        <v>281</v>
      </c>
      <c r="L1117" s="2" t="s">
        <v>282</v>
      </c>
      <c r="M1117" s="2" t="s">
        <v>263</v>
      </c>
      <c r="N1117" s="2" t="s">
        <v>38</v>
      </c>
      <c r="O1117" s="2" t="s">
        <v>877</v>
      </c>
      <c r="P1117" s="2" t="s">
        <v>1744</v>
      </c>
      <c r="Q1117" s="2" t="s">
        <v>7709</v>
      </c>
      <c r="R1117" s="2" t="s">
        <v>40</v>
      </c>
      <c r="S1117" s="2" t="s">
        <v>7710</v>
      </c>
      <c r="T1117" s="2" t="s">
        <v>287</v>
      </c>
      <c r="U1117" s="2" t="s">
        <v>3164</v>
      </c>
      <c r="V1117" s="2" t="s">
        <v>7711</v>
      </c>
      <c r="W1117" s="1"/>
      <c r="X1117" s="2" t="s">
        <v>4859</v>
      </c>
      <c r="Y1117" s="2" t="s">
        <v>7594</v>
      </c>
      <c r="AA1117" t="str">
        <f t="shared" si="102"/>
        <v>2026-02</v>
      </c>
      <c r="AB1117" t="str">
        <f t="shared" si="103"/>
        <v>H1_2026</v>
      </c>
      <c r="AC1117">
        <f t="shared" si="104"/>
        <v>1147437.2</v>
      </c>
      <c r="AD1117">
        <f t="shared" si="105"/>
        <v>100</v>
      </c>
      <c r="AE1117">
        <f t="shared" si="106"/>
        <v>447437.2</v>
      </c>
      <c r="AF1117" t="str">
        <f t="shared" si="107"/>
        <v>Paid</v>
      </c>
    </row>
    <row r="1118" spans="1:32" ht="17.25" thickBot="1" x14ac:dyDescent="0.35">
      <c r="A1118" s="2" t="s">
        <v>7712</v>
      </c>
      <c r="B1118" s="2" t="s">
        <v>27</v>
      </c>
      <c r="C1118" s="2" t="s">
        <v>28</v>
      </c>
      <c r="D1118" s="2" t="s">
        <v>97</v>
      </c>
      <c r="E1118" s="2" t="s">
        <v>7589</v>
      </c>
      <c r="F1118" s="2" t="s">
        <v>99</v>
      </c>
      <c r="G1118" s="2" t="s">
        <v>32</v>
      </c>
      <c r="H1118" s="1"/>
      <c r="I1118" s="2" t="s">
        <v>33</v>
      </c>
      <c r="J1118" s="2" t="s">
        <v>34</v>
      </c>
      <c r="K1118" s="2" t="s">
        <v>292</v>
      </c>
      <c r="L1118" s="2" t="s">
        <v>293</v>
      </c>
      <c r="M1118" s="2" t="s">
        <v>263</v>
      </c>
      <c r="N1118" s="2" t="s">
        <v>38</v>
      </c>
      <c r="O1118" s="2" t="s">
        <v>877</v>
      </c>
      <c r="P1118" s="2" t="s">
        <v>1744</v>
      </c>
      <c r="Q1118" s="2" t="s">
        <v>7709</v>
      </c>
      <c r="R1118" s="2" t="s">
        <v>40</v>
      </c>
      <c r="S1118" s="2" t="s">
        <v>7710</v>
      </c>
      <c r="T1118" s="2" t="s">
        <v>297</v>
      </c>
      <c r="U1118" s="2" t="s">
        <v>3286</v>
      </c>
      <c r="V1118" s="2" t="s">
        <v>7713</v>
      </c>
      <c r="W1118" s="1"/>
      <c r="X1118" s="2" t="s">
        <v>2894</v>
      </c>
      <c r="Y1118" s="2" t="s">
        <v>7594</v>
      </c>
      <c r="AA1118" t="str">
        <f t="shared" si="102"/>
        <v>2026-02</v>
      </c>
      <c r="AB1118" t="str">
        <f t="shared" si="103"/>
        <v>H1_2026</v>
      </c>
      <c r="AC1118">
        <f t="shared" si="104"/>
        <v>1147437.2</v>
      </c>
      <c r="AD1118">
        <f t="shared" si="105"/>
        <v>100</v>
      </c>
      <c r="AE1118">
        <f t="shared" si="106"/>
        <v>347437.2</v>
      </c>
      <c r="AF1118" t="str">
        <f t="shared" si="107"/>
        <v>Paid</v>
      </c>
    </row>
    <row r="1119" spans="1:32" ht="17.25" thickBot="1" x14ac:dyDescent="0.35">
      <c r="A1119" s="2" t="s">
        <v>7714</v>
      </c>
      <c r="B1119" s="2" t="s">
        <v>27</v>
      </c>
      <c r="C1119" s="2" t="s">
        <v>28</v>
      </c>
      <c r="D1119" s="2" t="s">
        <v>97</v>
      </c>
      <c r="E1119" s="2" t="s">
        <v>7589</v>
      </c>
      <c r="F1119" s="2" t="s">
        <v>99</v>
      </c>
      <c r="G1119" s="2" t="s">
        <v>32</v>
      </c>
      <c r="H1119" s="1"/>
      <c r="I1119" s="2" t="s">
        <v>33</v>
      </c>
      <c r="J1119" s="2" t="s">
        <v>34</v>
      </c>
      <c r="K1119" s="2" t="s">
        <v>7715</v>
      </c>
      <c r="L1119" s="2" t="s">
        <v>7716</v>
      </c>
      <c r="M1119" s="2" t="s">
        <v>7717</v>
      </c>
      <c r="N1119" s="2" t="s">
        <v>38</v>
      </c>
      <c r="O1119" s="2" t="s">
        <v>44</v>
      </c>
      <c r="P1119" s="2" t="s">
        <v>7718</v>
      </c>
      <c r="Q1119" s="2" t="s">
        <v>3868</v>
      </c>
      <c r="R1119" s="2" t="s">
        <v>40</v>
      </c>
      <c r="S1119" s="2" t="s">
        <v>7719</v>
      </c>
      <c r="T1119" s="2" t="s">
        <v>7720</v>
      </c>
      <c r="U1119" s="2" t="s">
        <v>2101</v>
      </c>
      <c r="V1119" s="2" t="s">
        <v>7721</v>
      </c>
      <c r="W1119" s="1"/>
      <c r="X1119" s="2" t="s">
        <v>7722</v>
      </c>
      <c r="Y1119" s="2" t="s">
        <v>7594</v>
      </c>
      <c r="AA1119" t="str">
        <f t="shared" si="102"/>
        <v>2026-02</v>
      </c>
      <c r="AB1119" t="str">
        <f t="shared" si="103"/>
        <v>H1_2026</v>
      </c>
      <c r="AC1119">
        <f t="shared" si="104"/>
        <v>10796.08</v>
      </c>
      <c r="AD1119">
        <f t="shared" si="105"/>
        <v>2</v>
      </c>
      <c r="AE1119">
        <f t="shared" si="106"/>
        <v>3596.08</v>
      </c>
      <c r="AF1119" t="str">
        <f t="shared" si="107"/>
        <v>Paid</v>
      </c>
    </row>
    <row r="1120" spans="1:32" ht="17.25" thickBot="1" x14ac:dyDescent="0.35">
      <c r="A1120" s="2" t="s">
        <v>7723</v>
      </c>
      <c r="B1120" s="2" t="s">
        <v>27</v>
      </c>
      <c r="C1120" s="2" t="s">
        <v>28</v>
      </c>
      <c r="D1120" s="2" t="s">
        <v>97</v>
      </c>
      <c r="E1120" s="2" t="s">
        <v>7589</v>
      </c>
      <c r="F1120" s="2" t="s">
        <v>99</v>
      </c>
      <c r="G1120" s="2" t="s">
        <v>32</v>
      </c>
      <c r="H1120" s="1"/>
      <c r="I1120" s="2" t="s">
        <v>33</v>
      </c>
      <c r="J1120" s="2" t="s">
        <v>34</v>
      </c>
      <c r="K1120" s="2" t="s">
        <v>7724</v>
      </c>
      <c r="L1120" s="2" t="s">
        <v>7725</v>
      </c>
      <c r="M1120" s="2" t="s">
        <v>7717</v>
      </c>
      <c r="N1120" s="2" t="s">
        <v>38</v>
      </c>
      <c r="O1120" s="2" t="s">
        <v>79</v>
      </c>
      <c r="P1120" s="2" t="s">
        <v>7726</v>
      </c>
      <c r="Q1120" s="2" t="s">
        <v>7727</v>
      </c>
      <c r="R1120" s="2" t="s">
        <v>40</v>
      </c>
      <c r="S1120" s="2" t="s">
        <v>7728</v>
      </c>
      <c r="T1120" s="2" t="s">
        <v>7729</v>
      </c>
      <c r="U1120" s="2" t="s">
        <v>7730</v>
      </c>
      <c r="V1120" s="2" t="s">
        <v>7731</v>
      </c>
      <c r="W1120" s="1"/>
      <c r="X1120" s="2" t="s">
        <v>7732</v>
      </c>
      <c r="Y1120" s="2" t="s">
        <v>7594</v>
      </c>
      <c r="AA1120" t="str">
        <f t="shared" si="102"/>
        <v>2026-02</v>
      </c>
      <c r="AB1120" t="str">
        <f t="shared" si="103"/>
        <v>H1_2026</v>
      </c>
      <c r="AC1120">
        <f t="shared" si="104"/>
        <v>6641.57</v>
      </c>
      <c r="AD1120">
        <f t="shared" si="105"/>
        <v>10</v>
      </c>
      <c r="AE1120">
        <f t="shared" si="106"/>
        <v>1914.3</v>
      </c>
      <c r="AF1120" t="str">
        <f t="shared" si="107"/>
        <v>Paid</v>
      </c>
    </row>
    <row r="1121" spans="1:32" ht="27.75" thickBot="1" x14ac:dyDescent="0.35">
      <c r="A1121" s="2" t="s">
        <v>7733</v>
      </c>
      <c r="B1121" s="2" t="s">
        <v>27</v>
      </c>
      <c r="C1121" s="2" t="s">
        <v>28</v>
      </c>
      <c r="D1121" s="2" t="s">
        <v>97</v>
      </c>
      <c r="E1121" s="2" t="s">
        <v>7589</v>
      </c>
      <c r="F1121" s="2" t="s">
        <v>99</v>
      </c>
      <c r="G1121" s="2" t="s">
        <v>32</v>
      </c>
      <c r="H1121" s="1"/>
      <c r="I1121" s="2" t="s">
        <v>33</v>
      </c>
      <c r="J1121" s="2" t="s">
        <v>34</v>
      </c>
      <c r="K1121" s="2" t="s">
        <v>2288</v>
      </c>
      <c r="L1121" s="2" t="s">
        <v>2289</v>
      </c>
      <c r="M1121" s="2" t="s">
        <v>2270</v>
      </c>
      <c r="N1121" s="2" t="s">
        <v>38</v>
      </c>
      <c r="O1121" s="2" t="s">
        <v>673</v>
      </c>
      <c r="P1121" s="2" t="s">
        <v>7734</v>
      </c>
      <c r="Q1121" s="2" t="s">
        <v>7735</v>
      </c>
      <c r="R1121" s="2" t="s">
        <v>40</v>
      </c>
      <c r="S1121" s="2" t="s">
        <v>7736</v>
      </c>
      <c r="T1121" s="2" t="s">
        <v>2275</v>
      </c>
      <c r="U1121" s="2" t="s">
        <v>7737</v>
      </c>
      <c r="V1121" s="2" t="s">
        <v>7738</v>
      </c>
      <c r="W1121" s="1"/>
      <c r="X1121" s="2" t="s">
        <v>2198</v>
      </c>
      <c r="Y1121" s="2" t="s">
        <v>7594</v>
      </c>
      <c r="AA1121" t="str">
        <f t="shared" si="102"/>
        <v>2026-02</v>
      </c>
      <c r="AB1121" t="str">
        <f t="shared" si="103"/>
        <v>H1_2026</v>
      </c>
      <c r="AC1121">
        <f t="shared" si="104"/>
        <v>433171.67</v>
      </c>
      <c r="AD1121">
        <f t="shared" si="105"/>
        <v>78</v>
      </c>
      <c r="AE1121">
        <f t="shared" si="106"/>
        <v>82171.67</v>
      </c>
      <c r="AF1121" t="str">
        <f t="shared" si="107"/>
        <v>Paid</v>
      </c>
    </row>
    <row r="1122" spans="1:32" ht="17.25" thickBot="1" x14ac:dyDescent="0.35">
      <c r="A1122" s="2" t="s">
        <v>7739</v>
      </c>
      <c r="B1122" s="2" t="s">
        <v>27</v>
      </c>
      <c r="C1122" s="2" t="s">
        <v>28</v>
      </c>
      <c r="D1122" s="2" t="s">
        <v>97</v>
      </c>
      <c r="E1122" s="2" t="s">
        <v>7589</v>
      </c>
      <c r="F1122" s="2" t="s">
        <v>99</v>
      </c>
      <c r="G1122" s="2" t="s">
        <v>32</v>
      </c>
      <c r="H1122" s="1"/>
      <c r="I1122" s="2" t="s">
        <v>33</v>
      </c>
      <c r="J1122" s="2" t="s">
        <v>34</v>
      </c>
      <c r="K1122" s="2" t="s">
        <v>2293</v>
      </c>
      <c r="L1122" s="2" t="s">
        <v>2294</v>
      </c>
      <c r="M1122" s="2" t="s">
        <v>2270</v>
      </c>
      <c r="N1122" s="2" t="s">
        <v>38</v>
      </c>
      <c r="O1122" s="2" t="s">
        <v>141</v>
      </c>
      <c r="P1122" s="2" t="s">
        <v>7734</v>
      </c>
      <c r="Q1122" s="2" t="s">
        <v>7740</v>
      </c>
      <c r="R1122" s="2" t="s">
        <v>40</v>
      </c>
      <c r="S1122" s="2" t="s">
        <v>7741</v>
      </c>
      <c r="T1122" s="2" t="s">
        <v>2275</v>
      </c>
      <c r="U1122" s="2" t="s">
        <v>3357</v>
      </c>
      <c r="V1122" s="2" t="s">
        <v>7742</v>
      </c>
      <c r="W1122" s="1"/>
      <c r="X1122" s="2" t="s">
        <v>2198</v>
      </c>
      <c r="Y1122" s="2" t="s">
        <v>7594</v>
      </c>
      <c r="AA1122" t="str">
        <f t="shared" si="102"/>
        <v>2026-02</v>
      </c>
      <c r="AB1122" t="str">
        <f t="shared" si="103"/>
        <v>H1_2026</v>
      </c>
      <c r="AC1122">
        <f t="shared" si="104"/>
        <v>166604.49</v>
      </c>
      <c r="AD1122">
        <f t="shared" si="105"/>
        <v>30</v>
      </c>
      <c r="AE1122">
        <f t="shared" si="106"/>
        <v>31604.49</v>
      </c>
      <c r="AF1122" t="str">
        <f t="shared" si="107"/>
        <v>Paid</v>
      </c>
    </row>
    <row r="1123" spans="1:32" ht="17.25" thickBot="1" x14ac:dyDescent="0.35">
      <c r="A1123" s="2" t="s">
        <v>7743</v>
      </c>
      <c r="B1123" s="2" t="s">
        <v>27</v>
      </c>
      <c r="C1123" s="2" t="s">
        <v>28</v>
      </c>
      <c r="D1123" s="2" t="s">
        <v>97</v>
      </c>
      <c r="E1123" s="2" t="s">
        <v>7589</v>
      </c>
      <c r="F1123" s="2" t="s">
        <v>99</v>
      </c>
      <c r="G1123" s="2" t="s">
        <v>32</v>
      </c>
      <c r="H1123" s="1"/>
      <c r="I1123" s="2" t="s">
        <v>33</v>
      </c>
      <c r="J1123" s="2" t="s">
        <v>34</v>
      </c>
      <c r="K1123" s="2" t="s">
        <v>2300</v>
      </c>
      <c r="L1123" s="2" t="s">
        <v>2301</v>
      </c>
      <c r="M1123" s="2" t="s">
        <v>2270</v>
      </c>
      <c r="N1123" s="2" t="s">
        <v>38</v>
      </c>
      <c r="O1123" s="2" t="s">
        <v>567</v>
      </c>
      <c r="P1123" s="2" t="s">
        <v>7734</v>
      </c>
      <c r="Q1123" s="2" t="s">
        <v>7744</v>
      </c>
      <c r="R1123" s="2" t="s">
        <v>40</v>
      </c>
      <c r="S1123" s="2" t="s">
        <v>7745</v>
      </c>
      <c r="T1123" s="2" t="s">
        <v>2275</v>
      </c>
      <c r="U1123" s="2" t="s">
        <v>7746</v>
      </c>
      <c r="V1123" s="2" t="s">
        <v>7747</v>
      </c>
      <c r="W1123" s="1"/>
      <c r="X1123" s="2" t="s">
        <v>2198</v>
      </c>
      <c r="Y1123" s="2" t="s">
        <v>7594</v>
      </c>
      <c r="AA1123" t="str">
        <f t="shared" si="102"/>
        <v>2026-02</v>
      </c>
      <c r="AB1123" t="str">
        <f t="shared" si="103"/>
        <v>H1_2026</v>
      </c>
      <c r="AC1123">
        <f t="shared" si="104"/>
        <v>366529.88</v>
      </c>
      <c r="AD1123">
        <f t="shared" si="105"/>
        <v>66</v>
      </c>
      <c r="AE1123">
        <f t="shared" si="106"/>
        <v>69529.88</v>
      </c>
      <c r="AF1123" t="str">
        <f t="shared" si="107"/>
        <v>Paid</v>
      </c>
    </row>
    <row r="1124" spans="1:32" ht="17.25" thickBot="1" x14ac:dyDescent="0.35">
      <c r="A1124" s="2" t="s">
        <v>7748</v>
      </c>
      <c r="B1124" s="2" t="s">
        <v>27</v>
      </c>
      <c r="C1124" s="2" t="s">
        <v>28</v>
      </c>
      <c r="D1124" s="2" t="s">
        <v>97</v>
      </c>
      <c r="E1124" s="2" t="s">
        <v>7589</v>
      </c>
      <c r="F1124" s="2" t="s">
        <v>99</v>
      </c>
      <c r="G1124" s="2" t="s">
        <v>32</v>
      </c>
      <c r="H1124" s="1"/>
      <c r="I1124" s="2" t="s">
        <v>33</v>
      </c>
      <c r="J1124" s="2" t="s">
        <v>34</v>
      </c>
      <c r="K1124" s="2" t="s">
        <v>2332</v>
      </c>
      <c r="L1124" s="2" t="s">
        <v>2333</v>
      </c>
      <c r="M1124" s="2" t="s">
        <v>2270</v>
      </c>
      <c r="N1124" s="2" t="s">
        <v>38</v>
      </c>
      <c r="O1124" s="2" t="s">
        <v>1053</v>
      </c>
      <c r="P1124" s="2" t="s">
        <v>7734</v>
      </c>
      <c r="Q1124" s="2" t="s">
        <v>7749</v>
      </c>
      <c r="R1124" s="2" t="s">
        <v>40</v>
      </c>
      <c r="S1124" s="2" t="s">
        <v>7750</v>
      </c>
      <c r="T1124" s="2" t="s">
        <v>2275</v>
      </c>
      <c r="U1124" s="2" t="s">
        <v>7751</v>
      </c>
      <c r="V1124" s="2" t="s">
        <v>7752</v>
      </c>
      <c r="W1124" s="1"/>
      <c r="X1124" s="2" t="s">
        <v>2198</v>
      </c>
      <c r="Y1124" s="2" t="s">
        <v>7594</v>
      </c>
      <c r="AA1124" t="str">
        <f t="shared" si="102"/>
        <v>2026-02</v>
      </c>
      <c r="AB1124" t="str">
        <f t="shared" si="103"/>
        <v>H1_2026</v>
      </c>
      <c r="AC1124">
        <f t="shared" si="104"/>
        <v>655310.99</v>
      </c>
      <c r="AD1124">
        <f t="shared" si="105"/>
        <v>118</v>
      </c>
      <c r="AE1124">
        <f t="shared" si="106"/>
        <v>124310.99</v>
      </c>
      <c r="AF1124" t="str">
        <f t="shared" si="107"/>
        <v>Paid</v>
      </c>
    </row>
    <row r="1125" spans="1:32" ht="27.75" thickBot="1" x14ac:dyDescent="0.35">
      <c r="A1125" s="2" t="s">
        <v>7753</v>
      </c>
      <c r="B1125" s="2" t="s">
        <v>27</v>
      </c>
      <c r="C1125" s="2" t="s">
        <v>28</v>
      </c>
      <c r="D1125" s="2" t="s">
        <v>97</v>
      </c>
      <c r="E1125" s="2" t="s">
        <v>7589</v>
      </c>
      <c r="F1125" s="2" t="s">
        <v>99</v>
      </c>
      <c r="G1125" s="2" t="s">
        <v>32</v>
      </c>
      <c r="H1125" s="1"/>
      <c r="I1125" s="2" t="s">
        <v>33</v>
      </c>
      <c r="J1125" s="2" t="s">
        <v>34</v>
      </c>
      <c r="K1125" s="2" t="s">
        <v>2342</v>
      </c>
      <c r="L1125" s="2" t="s">
        <v>2343</v>
      </c>
      <c r="M1125" s="2" t="s">
        <v>2270</v>
      </c>
      <c r="N1125" s="2" t="s">
        <v>38</v>
      </c>
      <c r="O1125" s="2" t="s">
        <v>508</v>
      </c>
      <c r="P1125" s="2" t="s">
        <v>7734</v>
      </c>
      <c r="Q1125" s="2" t="s">
        <v>7754</v>
      </c>
      <c r="R1125" s="2" t="s">
        <v>40</v>
      </c>
      <c r="S1125" s="2" t="s">
        <v>7755</v>
      </c>
      <c r="T1125" s="2" t="s">
        <v>2275</v>
      </c>
      <c r="U1125" s="2" t="s">
        <v>7756</v>
      </c>
      <c r="V1125" s="2" t="s">
        <v>7757</v>
      </c>
      <c r="W1125" s="1"/>
      <c r="X1125" s="2" t="s">
        <v>2198</v>
      </c>
      <c r="Y1125" s="2" t="s">
        <v>7594</v>
      </c>
      <c r="AA1125" t="str">
        <f t="shared" si="102"/>
        <v>2026-02</v>
      </c>
      <c r="AB1125" t="str">
        <f t="shared" si="103"/>
        <v>H1_2026</v>
      </c>
      <c r="AC1125">
        <f t="shared" si="104"/>
        <v>327655.5</v>
      </c>
      <c r="AD1125">
        <f t="shared" si="105"/>
        <v>59</v>
      </c>
      <c r="AE1125">
        <f t="shared" si="106"/>
        <v>62155.5</v>
      </c>
      <c r="AF1125" t="str">
        <f t="shared" si="107"/>
        <v>Paid</v>
      </c>
    </row>
    <row r="1126" spans="1:32" ht="17.25" thickBot="1" x14ac:dyDescent="0.35">
      <c r="A1126" s="2" t="s">
        <v>7758</v>
      </c>
      <c r="B1126" s="2" t="s">
        <v>27</v>
      </c>
      <c r="C1126" s="2" t="s">
        <v>28</v>
      </c>
      <c r="D1126" s="2" t="s">
        <v>97</v>
      </c>
      <c r="E1126" s="2" t="s">
        <v>7589</v>
      </c>
      <c r="F1126" s="2" t="s">
        <v>99</v>
      </c>
      <c r="G1126" s="2" t="s">
        <v>32</v>
      </c>
      <c r="H1126" s="1"/>
      <c r="I1126" s="2" t="s">
        <v>33</v>
      </c>
      <c r="J1126" s="2" t="s">
        <v>34</v>
      </c>
      <c r="K1126" s="2" t="s">
        <v>6980</v>
      </c>
      <c r="L1126" s="2" t="s">
        <v>6981</v>
      </c>
      <c r="M1126" s="2" t="s">
        <v>2372</v>
      </c>
      <c r="N1126" s="2" t="s">
        <v>38</v>
      </c>
      <c r="O1126" s="2" t="s">
        <v>156</v>
      </c>
      <c r="P1126" s="2" t="s">
        <v>2066</v>
      </c>
      <c r="Q1126" s="2" t="s">
        <v>7759</v>
      </c>
      <c r="R1126" s="2" t="s">
        <v>40</v>
      </c>
      <c r="S1126" s="2" t="s">
        <v>7760</v>
      </c>
      <c r="T1126" s="2" t="s">
        <v>2376</v>
      </c>
      <c r="U1126" s="2" t="s">
        <v>7761</v>
      </c>
      <c r="V1126" s="2" t="s">
        <v>7762</v>
      </c>
      <c r="W1126" s="1"/>
      <c r="X1126" s="2" t="s">
        <v>965</v>
      </c>
      <c r="Y1126" s="2" t="s">
        <v>7594</v>
      </c>
      <c r="AA1126" t="str">
        <f t="shared" si="102"/>
        <v>2026-02</v>
      </c>
      <c r="AB1126" t="str">
        <f t="shared" si="103"/>
        <v>H1_2026</v>
      </c>
      <c r="AC1126">
        <f t="shared" si="104"/>
        <v>211117.14</v>
      </c>
      <c r="AD1126">
        <f t="shared" si="105"/>
        <v>20</v>
      </c>
      <c r="AE1126">
        <f t="shared" si="106"/>
        <v>54026.23</v>
      </c>
      <c r="AF1126" t="str">
        <f t="shared" si="107"/>
        <v>Paid</v>
      </c>
    </row>
    <row r="1127" spans="1:32" ht="17.25" thickBot="1" x14ac:dyDescent="0.35">
      <c r="A1127" s="2" t="s">
        <v>7763</v>
      </c>
      <c r="B1127" s="2" t="s">
        <v>27</v>
      </c>
      <c r="C1127" s="2" t="s">
        <v>28</v>
      </c>
      <c r="D1127" s="2" t="s">
        <v>97</v>
      </c>
      <c r="E1127" s="2" t="s">
        <v>7589</v>
      </c>
      <c r="F1127" s="2" t="s">
        <v>99</v>
      </c>
      <c r="G1127" s="2" t="s">
        <v>32</v>
      </c>
      <c r="H1127" s="1"/>
      <c r="I1127" s="2" t="s">
        <v>33</v>
      </c>
      <c r="J1127" s="2" t="s">
        <v>34</v>
      </c>
      <c r="K1127" s="2" t="s">
        <v>2387</v>
      </c>
      <c r="L1127" s="2" t="s">
        <v>2388</v>
      </c>
      <c r="M1127" s="2" t="s">
        <v>2389</v>
      </c>
      <c r="N1127" s="2" t="s">
        <v>38</v>
      </c>
      <c r="O1127" s="2" t="s">
        <v>399</v>
      </c>
      <c r="P1127" s="2" t="s">
        <v>7764</v>
      </c>
      <c r="Q1127" s="2" t="s">
        <v>7765</v>
      </c>
      <c r="R1127" s="2" t="s">
        <v>40</v>
      </c>
      <c r="S1127" s="2" t="s">
        <v>7766</v>
      </c>
      <c r="T1127" s="2" t="s">
        <v>2393</v>
      </c>
      <c r="U1127" s="2" t="s">
        <v>7767</v>
      </c>
      <c r="V1127" s="2" t="s">
        <v>7768</v>
      </c>
      <c r="W1127" s="1"/>
      <c r="X1127" s="2" t="s">
        <v>817</v>
      </c>
      <c r="Y1127" s="2" t="s">
        <v>7594</v>
      </c>
      <c r="AA1127" t="str">
        <f t="shared" si="102"/>
        <v>2026-02</v>
      </c>
      <c r="AB1127" t="str">
        <f t="shared" si="103"/>
        <v>H1_2026</v>
      </c>
      <c r="AC1127">
        <f t="shared" si="104"/>
        <v>192605.53</v>
      </c>
      <c r="AD1127">
        <f t="shared" si="105"/>
        <v>47</v>
      </c>
      <c r="AE1127">
        <f t="shared" si="106"/>
        <v>47332.81</v>
      </c>
      <c r="AF1127" t="str">
        <f t="shared" si="107"/>
        <v>Paid</v>
      </c>
    </row>
    <row r="1128" spans="1:32" ht="17.25" thickBot="1" x14ac:dyDescent="0.35">
      <c r="A1128" s="2" t="s">
        <v>7769</v>
      </c>
      <c r="B1128" s="2" t="s">
        <v>27</v>
      </c>
      <c r="C1128" s="2" t="s">
        <v>28</v>
      </c>
      <c r="D1128" s="2" t="s">
        <v>97</v>
      </c>
      <c r="E1128" s="2" t="s">
        <v>7589</v>
      </c>
      <c r="F1128" s="2" t="s">
        <v>99</v>
      </c>
      <c r="G1128" s="2" t="s">
        <v>32</v>
      </c>
      <c r="H1128" s="1"/>
      <c r="I1128" s="2" t="s">
        <v>33</v>
      </c>
      <c r="J1128" s="2" t="s">
        <v>34</v>
      </c>
      <c r="K1128" s="2" t="s">
        <v>2396</v>
      </c>
      <c r="L1128" s="2" t="s">
        <v>2397</v>
      </c>
      <c r="M1128" s="2" t="s">
        <v>2389</v>
      </c>
      <c r="N1128" s="2" t="s">
        <v>38</v>
      </c>
      <c r="O1128" s="2" t="s">
        <v>203</v>
      </c>
      <c r="P1128" s="2" t="s">
        <v>7680</v>
      </c>
      <c r="Q1128" s="2" t="s">
        <v>7770</v>
      </c>
      <c r="R1128" s="2" t="s">
        <v>40</v>
      </c>
      <c r="S1128" s="2" t="s">
        <v>7771</v>
      </c>
      <c r="T1128" s="2" t="s">
        <v>2401</v>
      </c>
      <c r="U1128" s="2" t="s">
        <v>7772</v>
      </c>
      <c r="V1128" s="2" t="s">
        <v>7773</v>
      </c>
      <c r="W1128" s="1"/>
      <c r="X1128" s="2" t="s">
        <v>965</v>
      </c>
      <c r="Y1128" s="2" t="s">
        <v>7594</v>
      </c>
      <c r="AA1128" t="str">
        <f t="shared" si="102"/>
        <v>2026-02</v>
      </c>
      <c r="AB1128" t="str">
        <f t="shared" si="103"/>
        <v>H1_2026</v>
      </c>
      <c r="AC1128">
        <f t="shared" si="104"/>
        <v>232101.68</v>
      </c>
      <c r="AD1128">
        <f t="shared" si="105"/>
        <v>25</v>
      </c>
      <c r="AE1128">
        <f t="shared" si="106"/>
        <v>59351.67</v>
      </c>
      <c r="AF1128" t="str">
        <f t="shared" si="107"/>
        <v>Paid</v>
      </c>
    </row>
    <row r="1129" spans="1:32" ht="17.25" thickBot="1" x14ac:dyDescent="0.35">
      <c r="A1129" s="2" t="s">
        <v>7774</v>
      </c>
      <c r="B1129" s="2" t="s">
        <v>27</v>
      </c>
      <c r="C1129" s="2" t="s">
        <v>28</v>
      </c>
      <c r="D1129" s="2" t="s">
        <v>97</v>
      </c>
      <c r="E1129" s="2" t="s">
        <v>7589</v>
      </c>
      <c r="F1129" s="2" t="s">
        <v>99</v>
      </c>
      <c r="G1129" s="2" t="s">
        <v>32</v>
      </c>
      <c r="H1129" s="1"/>
      <c r="I1129" s="2" t="s">
        <v>33</v>
      </c>
      <c r="J1129" s="2" t="s">
        <v>34</v>
      </c>
      <c r="K1129" s="2" t="s">
        <v>2421</v>
      </c>
      <c r="L1129" s="2" t="s">
        <v>2422</v>
      </c>
      <c r="M1129" s="2" t="s">
        <v>2389</v>
      </c>
      <c r="N1129" s="2" t="s">
        <v>38</v>
      </c>
      <c r="O1129" s="2" t="s">
        <v>51</v>
      </c>
      <c r="P1129" s="2" t="s">
        <v>7775</v>
      </c>
      <c r="Q1129" s="2" t="s">
        <v>4781</v>
      </c>
      <c r="R1129" s="2" t="s">
        <v>40</v>
      </c>
      <c r="S1129" s="2" t="s">
        <v>7776</v>
      </c>
      <c r="T1129" s="2" t="s">
        <v>2426</v>
      </c>
      <c r="U1129" s="2" t="s">
        <v>7777</v>
      </c>
      <c r="V1129" s="2" t="s">
        <v>7778</v>
      </c>
      <c r="W1129" s="1"/>
      <c r="X1129" s="2" t="s">
        <v>934</v>
      </c>
      <c r="Y1129" s="2" t="s">
        <v>7594</v>
      </c>
      <c r="AA1129" t="str">
        <f t="shared" si="102"/>
        <v>2026-02</v>
      </c>
      <c r="AB1129" t="str">
        <f t="shared" si="103"/>
        <v>H1_2026</v>
      </c>
      <c r="AC1129">
        <f t="shared" si="104"/>
        <v>12675.51</v>
      </c>
      <c r="AD1129">
        <f t="shared" si="105"/>
        <v>3</v>
      </c>
      <c r="AE1129">
        <f t="shared" si="106"/>
        <v>3102.78</v>
      </c>
      <c r="AF1129" t="str">
        <f t="shared" si="107"/>
        <v>Paid</v>
      </c>
    </row>
    <row r="1130" spans="1:32" ht="17.25" thickBot="1" x14ac:dyDescent="0.35">
      <c r="A1130" s="2" t="s">
        <v>7779</v>
      </c>
      <c r="B1130" s="2" t="s">
        <v>27</v>
      </c>
      <c r="C1130" s="2" t="s">
        <v>28</v>
      </c>
      <c r="D1130" s="2" t="s">
        <v>97</v>
      </c>
      <c r="E1130" s="2" t="s">
        <v>7589</v>
      </c>
      <c r="F1130" s="2" t="s">
        <v>99</v>
      </c>
      <c r="G1130" s="2" t="s">
        <v>32</v>
      </c>
      <c r="H1130" s="1"/>
      <c r="I1130" s="2" t="s">
        <v>33</v>
      </c>
      <c r="J1130" s="2" t="s">
        <v>34</v>
      </c>
      <c r="K1130" s="2" t="s">
        <v>2431</v>
      </c>
      <c r="L1130" s="2" t="s">
        <v>2432</v>
      </c>
      <c r="M1130" s="2" t="s">
        <v>2389</v>
      </c>
      <c r="N1130" s="2" t="s">
        <v>38</v>
      </c>
      <c r="O1130" s="2" t="s">
        <v>113</v>
      </c>
      <c r="P1130" s="2" t="s">
        <v>7780</v>
      </c>
      <c r="Q1130" s="2" t="s">
        <v>7781</v>
      </c>
      <c r="R1130" s="2" t="s">
        <v>40</v>
      </c>
      <c r="S1130" s="2" t="s">
        <v>7782</v>
      </c>
      <c r="T1130" s="2" t="s">
        <v>2436</v>
      </c>
      <c r="U1130" s="2" t="s">
        <v>7783</v>
      </c>
      <c r="V1130" s="2" t="s">
        <v>7784</v>
      </c>
      <c r="W1130" s="1"/>
      <c r="X1130" s="2" t="s">
        <v>1091</v>
      </c>
      <c r="Y1130" s="2" t="s">
        <v>7594</v>
      </c>
      <c r="AA1130" t="str">
        <f t="shared" si="102"/>
        <v>2026-02</v>
      </c>
      <c r="AB1130" t="str">
        <f t="shared" si="103"/>
        <v>H1_2026</v>
      </c>
      <c r="AC1130">
        <f t="shared" si="104"/>
        <v>118064.51</v>
      </c>
      <c r="AD1130">
        <f t="shared" si="105"/>
        <v>15</v>
      </c>
      <c r="AE1130">
        <f t="shared" si="106"/>
        <v>29769.05</v>
      </c>
      <c r="AF1130" t="str">
        <f t="shared" si="107"/>
        <v>Paid</v>
      </c>
    </row>
    <row r="1131" spans="1:32" ht="17.25" thickBot="1" x14ac:dyDescent="0.35">
      <c r="A1131" s="2" t="s">
        <v>7785</v>
      </c>
      <c r="B1131" s="2" t="s">
        <v>27</v>
      </c>
      <c r="C1131" s="2" t="s">
        <v>28</v>
      </c>
      <c r="D1131" s="2" t="s">
        <v>97</v>
      </c>
      <c r="E1131" s="2" t="s">
        <v>7589</v>
      </c>
      <c r="F1131" s="2" t="s">
        <v>99</v>
      </c>
      <c r="G1131" s="2" t="s">
        <v>32</v>
      </c>
      <c r="H1131" s="1"/>
      <c r="I1131" s="2" t="s">
        <v>33</v>
      </c>
      <c r="J1131" s="2" t="s">
        <v>34</v>
      </c>
      <c r="K1131" s="2" t="s">
        <v>2459</v>
      </c>
      <c r="L1131" s="2" t="s">
        <v>2460</v>
      </c>
      <c r="M1131" s="2" t="s">
        <v>2389</v>
      </c>
      <c r="N1131" s="2" t="s">
        <v>38</v>
      </c>
      <c r="O1131" s="2" t="s">
        <v>203</v>
      </c>
      <c r="P1131" s="2" t="s">
        <v>7786</v>
      </c>
      <c r="Q1131" s="2" t="s">
        <v>7787</v>
      </c>
      <c r="R1131" s="2" t="s">
        <v>40</v>
      </c>
      <c r="S1131" s="2" t="s">
        <v>7788</v>
      </c>
      <c r="T1131" s="2" t="s">
        <v>2464</v>
      </c>
      <c r="U1131" s="2" t="s">
        <v>7789</v>
      </c>
      <c r="V1131" s="2" t="s">
        <v>7790</v>
      </c>
      <c r="W1131" s="1"/>
      <c r="X1131" s="2" t="s">
        <v>1472</v>
      </c>
      <c r="Y1131" s="2" t="s">
        <v>7594</v>
      </c>
      <c r="AA1131" t="str">
        <f t="shared" si="102"/>
        <v>2026-02</v>
      </c>
      <c r="AB1131" t="str">
        <f t="shared" si="103"/>
        <v>H1_2026</v>
      </c>
      <c r="AC1131">
        <f t="shared" si="104"/>
        <v>62882.95</v>
      </c>
      <c r="AD1131">
        <f t="shared" si="105"/>
        <v>25</v>
      </c>
      <c r="AE1131">
        <f t="shared" si="106"/>
        <v>15155.68</v>
      </c>
      <c r="AF1131" t="str">
        <f t="shared" si="107"/>
        <v>Paid</v>
      </c>
    </row>
    <row r="1132" spans="1:32" ht="17.25" thickBot="1" x14ac:dyDescent="0.35">
      <c r="A1132" s="2" t="s">
        <v>7791</v>
      </c>
      <c r="B1132" s="2" t="s">
        <v>27</v>
      </c>
      <c r="C1132" s="2" t="s">
        <v>28</v>
      </c>
      <c r="D1132" s="2" t="s">
        <v>97</v>
      </c>
      <c r="E1132" s="2" t="s">
        <v>7589</v>
      </c>
      <c r="F1132" s="2" t="s">
        <v>99</v>
      </c>
      <c r="G1132" s="2" t="s">
        <v>32</v>
      </c>
      <c r="H1132" s="1"/>
      <c r="I1132" s="2" t="s">
        <v>33</v>
      </c>
      <c r="J1132" s="2" t="s">
        <v>34</v>
      </c>
      <c r="K1132" s="2" t="s">
        <v>2477</v>
      </c>
      <c r="L1132" s="2" t="s">
        <v>2478</v>
      </c>
      <c r="M1132" s="2" t="s">
        <v>2389</v>
      </c>
      <c r="N1132" s="2" t="s">
        <v>38</v>
      </c>
      <c r="O1132" s="2" t="s">
        <v>490</v>
      </c>
      <c r="P1132" s="2" t="s">
        <v>2230</v>
      </c>
      <c r="Q1132" s="2" t="s">
        <v>7792</v>
      </c>
      <c r="R1132" s="2" t="s">
        <v>40</v>
      </c>
      <c r="S1132" s="2" t="s">
        <v>7793</v>
      </c>
      <c r="T1132" s="2" t="s">
        <v>2482</v>
      </c>
      <c r="U1132" s="2" t="s">
        <v>7794</v>
      </c>
      <c r="V1132" s="2" t="s">
        <v>7795</v>
      </c>
      <c r="W1132" s="1"/>
      <c r="X1132" s="2" t="s">
        <v>1427</v>
      </c>
      <c r="Y1132" s="2" t="s">
        <v>7594</v>
      </c>
      <c r="AA1132" t="str">
        <f t="shared" si="102"/>
        <v>2026-02</v>
      </c>
      <c r="AB1132" t="str">
        <f t="shared" si="103"/>
        <v>H1_2026</v>
      </c>
      <c r="AC1132">
        <f t="shared" si="104"/>
        <v>467170.86</v>
      </c>
      <c r="AD1132">
        <f t="shared" si="105"/>
        <v>57</v>
      </c>
      <c r="AE1132">
        <f t="shared" si="106"/>
        <v>113511.77</v>
      </c>
      <c r="AF1132" t="str">
        <f t="shared" si="107"/>
        <v>Paid</v>
      </c>
    </row>
    <row r="1133" spans="1:32" ht="17.25" thickBot="1" x14ac:dyDescent="0.35">
      <c r="A1133" s="2" t="s">
        <v>7796</v>
      </c>
      <c r="B1133" s="2" t="s">
        <v>27</v>
      </c>
      <c r="C1133" s="2" t="s">
        <v>28</v>
      </c>
      <c r="D1133" s="2" t="s">
        <v>97</v>
      </c>
      <c r="E1133" s="2" t="s">
        <v>7589</v>
      </c>
      <c r="F1133" s="2" t="s">
        <v>99</v>
      </c>
      <c r="G1133" s="2" t="s">
        <v>32</v>
      </c>
      <c r="H1133" s="1"/>
      <c r="I1133" s="2" t="s">
        <v>33</v>
      </c>
      <c r="J1133" s="2" t="s">
        <v>34</v>
      </c>
      <c r="K1133" s="2" t="s">
        <v>2485</v>
      </c>
      <c r="L1133" s="2" t="s">
        <v>2486</v>
      </c>
      <c r="M1133" s="2" t="s">
        <v>2389</v>
      </c>
      <c r="N1133" s="2" t="s">
        <v>38</v>
      </c>
      <c r="O1133" s="2" t="s">
        <v>103</v>
      </c>
      <c r="P1133" s="2" t="s">
        <v>2246</v>
      </c>
      <c r="Q1133" s="2" t="s">
        <v>7797</v>
      </c>
      <c r="R1133" s="2" t="s">
        <v>40</v>
      </c>
      <c r="S1133" s="2" t="s">
        <v>7798</v>
      </c>
      <c r="T1133" s="2" t="s">
        <v>7799</v>
      </c>
      <c r="U1133" s="2" t="s">
        <v>7800</v>
      </c>
      <c r="V1133" s="2" t="s">
        <v>7801</v>
      </c>
      <c r="W1133" s="1"/>
      <c r="X1133" s="2" t="s">
        <v>1427</v>
      </c>
      <c r="Y1133" s="2" t="s">
        <v>7594</v>
      </c>
      <c r="AA1133" t="str">
        <f t="shared" si="102"/>
        <v>2026-02</v>
      </c>
      <c r="AB1133" t="str">
        <f t="shared" si="103"/>
        <v>H1_2026</v>
      </c>
      <c r="AC1133">
        <f t="shared" si="104"/>
        <v>191616.36</v>
      </c>
      <c r="AD1133">
        <f t="shared" si="105"/>
        <v>24</v>
      </c>
      <c r="AE1133">
        <f t="shared" si="106"/>
        <v>46520</v>
      </c>
      <c r="AF1133" t="str">
        <f t="shared" si="107"/>
        <v>Paid</v>
      </c>
    </row>
    <row r="1134" spans="1:32" ht="17.25" thickBot="1" x14ac:dyDescent="0.35">
      <c r="A1134" s="2" t="s">
        <v>7802</v>
      </c>
      <c r="B1134" s="2" t="s">
        <v>27</v>
      </c>
      <c r="C1134" s="2" t="s">
        <v>28</v>
      </c>
      <c r="D1134" s="2" t="s">
        <v>97</v>
      </c>
      <c r="E1134" s="2" t="s">
        <v>7589</v>
      </c>
      <c r="F1134" s="2" t="s">
        <v>99</v>
      </c>
      <c r="G1134" s="2" t="s">
        <v>32</v>
      </c>
      <c r="H1134" s="1"/>
      <c r="I1134" s="2" t="s">
        <v>33</v>
      </c>
      <c r="J1134" s="2" t="s">
        <v>34</v>
      </c>
      <c r="K1134" s="2" t="s">
        <v>2494</v>
      </c>
      <c r="L1134" s="2" t="s">
        <v>2495</v>
      </c>
      <c r="M1134" s="2" t="s">
        <v>2389</v>
      </c>
      <c r="N1134" s="2" t="s">
        <v>38</v>
      </c>
      <c r="O1134" s="2" t="s">
        <v>301</v>
      </c>
      <c r="P1134" s="2" t="s">
        <v>2246</v>
      </c>
      <c r="Q1134" s="2" t="s">
        <v>7803</v>
      </c>
      <c r="R1134" s="2" t="s">
        <v>40</v>
      </c>
      <c r="S1134" s="2" t="s">
        <v>7804</v>
      </c>
      <c r="T1134" s="2" t="s">
        <v>2490</v>
      </c>
      <c r="U1134" s="2" t="s">
        <v>7805</v>
      </c>
      <c r="V1134" s="2" t="s">
        <v>7806</v>
      </c>
      <c r="W1134" s="1"/>
      <c r="X1134" s="2" t="s">
        <v>1427</v>
      </c>
      <c r="Y1134" s="2" t="s">
        <v>7594</v>
      </c>
      <c r="AA1134" t="str">
        <f t="shared" si="102"/>
        <v>2026-02</v>
      </c>
      <c r="AB1134" t="str">
        <f t="shared" si="103"/>
        <v>H1_2026</v>
      </c>
      <c r="AC1134">
        <f t="shared" si="104"/>
        <v>295408.56</v>
      </c>
      <c r="AD1134">
        <f t="shared" si="105"/>
        <v>37</v>
      </c>
      <c r="AE1134">
        <f t="shared" si="106"/>
        <v>71726.740000000005</v>
      </c>
      <c r="AF1134" t="str">
        <f t="shared" si="107"/>
        <v>Paid</v>
      </c>
    </row>
    <row r="1135" spans="1:32" ht="27.75" thickBot="1" x14ac:dyDescent="0.35">
      <c r="A1135" s="2" t="s">
        <v>7807</v>
      </c>
      <c r="B1135" s="2" t="s">
        <v>27</v>
      </c>
      <c r="C1135" s="2" t="s">
        <v>28</v>
      </c>
      <c r="D1135" s="2" t="s">
        <v>97</v>
      </c>
      <c r="E1135" s="2" t="s">
        <v>7589</v>
      </c>
      <c r="F1135" s="2" t="s">
        <v>99</v>
      </c>
      <c r="G1135" s="2" t="s">
        <v>32</v>
      </c>
      <c r="H1135" s="1"/>
      <c r="I1135" s="2" t="s">
        <v>33</v>
      </c>
      <c r="J1135" s="2" t="s">
        <v>34</v>
      </c>
      <c r="K1135" s="2" t="s">
        <v>2501</v>
      </c>
      <c r="L1135" s="2" t="s">
        <v>2502</v>
      </c>
      <c r="M1135" s="2" t="s">
        <v>2389</v>
      </c>
      <c r="N1135" s="2" t="s">
        <v>38</v>
      </c>
      <c r="O1135" s="2" t="s">
        <v>60</v>
      </c>
      <c r="P1135" s="2" t="s">
        <v>7808</v>
      </c>
      <c r="Q1135" s="2" t="s">
        <v>7809</v>
      </c>
      <c r="R1135" s="2" t="s">
        <v>40</v>
      </c>
      <c r="S1135" s="2" t="s">
        <v>7810</v>
      </c>
      <c r="T1135" s="2" t="s">
        <v>2505</v>
      </c>
      <c r="U1135" s="2" t="s">
        <v>7811</v>
      </c>
      <c r="V1135" s="2" t="s">
        <v>7812</v>
      </c>
      <c r="W1135" s="1"/>
      <c r="X1135" s="2" t="s">
        <v>817</v>
      </c>
      <c r="Y1135" s="2" t="s">
        <v>7594</v>
      </c>
      <c r="AA1135" t="str">
        <f t="shared" si="102"/>
        <v>2026-02</v>
      </c>
      <c r="AB1135" t="str">
        <f t="shared" si="103"/>
        <v>H1_2026</v>
      </c>
      <c r="AC1135">
        <f t="shared" si="104"/>
        <v>63928.639999999999</v>
      </c>
      <c r="AD1135">
        <f t="shared" si="105"/>
        <v>6</v>
      </c>
      <c r="AE1135">
        <f t="shared" si="106"/>
        <v>15710.46</v>
      </c>
      <c r="AF1135" t="str">
        <f t="shared" si="107"/>
        <v>Paid</v>
      </c>
    </row>
    <row r="1136" spans="1:32" ht="17.25" thickBot="1" x14ac:dyDescent="0.35">
      <c r="A1136" s="2" t="s">
        <v>7813</v>
      </c>
      <c r="B1136" s="2" t="s">
        <v>27</v>
      </c>
      <c r="C1136" s="2" t="s">
        <v>28</v>
      </c>
      <c r="D1136" s="2" t="s">
        <v>97</v>
      </c>
      <c r="E1136" s="2" t="s">
        <v>7589</v>
      </c>
      <c r="F1136" s="2" t="s">
        <v>99</v>
      </c>
      <c r="G1136" s="2" t="s">
        <v>32</v>
      </c>
      <c r="H1136" s="1"/>
      <c r="I1136" s="2" t="s">
        <v>33</v>
      </c>
      <c r="J1136" s="2" t="s">
        <v>34</v>
      </c>
      <c r="K1136" s="2" t="s">
        <v>7814</v>
      </c>
      <c r="L1136" s="2" t="s">
        <v>7815</v>
      </c>
      <c r="M1136" s="2" t="s">
        <v>2389</v>
      </c>
      <c r="N1136" s="2" t="s">
        <v>38</v>
      </c>
      <c r="O1136" s="2" t="s">
        <v>26</v>
      </c>
      <c r="P1136" s="2" t="s">
        <v>7808</v>
      </c>
      <c r="Q1136" s="2" t="s">
        <v>7808</v>
      </c>
      <c r="R1136" s="2" t="s">
        <v>40</v>
      </c>
      <c r="S1136" s="2" t="s">
        <v>7816</v>
      </c>
      <c r="T1136" s="2" t="s">
        <v>2505</v>
      </c>
      <c r="U1136" s="2" t="s">
        <v>2505</v>
      </c>
      <c r="V1136" s="2" t="s">
        <v>7817</v>
      </c>
      <c r="W1136" s="1"/>
      <c r="X1136" s="2" t="s">
        <v>817</v>
      </c>
      <c r="Y1136" s="2" t="s">
        <v>7594</v>
      </c>
      <c r="AA1136" t="str">
        <f t="shared" si="102"/>
        <v>2026-02</v>
      </c>
      <c r="AB1136" t="str">
        <f t="shared" si="103"/>
        <v>H1_2026</v>
      </c>
      <c r="AC1136">
        <f t="shared" si="104"/>
        <v>10654.77</v>
      </c>
      <c r="AD1136">
        <f t="shared" si="105"/>
        <v>1</v>
      </c>
      <c r="AE1136">
        <f t="shared" si="106"/>
        <v>2618.41</v>
      </c>
      <c r="AF1136" t="str">
        <f t="shared" si="107"/>
        <v>Paid</v>
      </c>
    </row>
    <row r="1137" spans="1:32" ht="17.25" thickBot="1" x14ac:dyDescent="0.35">
      <c r="A1137" s="2" t="s">
        <v>7818</v>
      </c>
      <c r="B1137" s="2" t="s">
        <v>27</v>
      </c>
      <c r="C1137" s="2" t="s">
        <v>28</v>
      </c>
      <c r="D1137" s="2" t="s">
        <v>97</v>
      </c>
      <c r="E1137" s="2" t="s">
        <v>7589</v>
      </c>
      <c r="F1137" s="2" t="s">
        <v>99</v>
      </c>
      <c r="G1137" s="2" t="s">
        <v>32</v>
      </c>
      <c r="H1137" s="1"/>
      <c r="I1137" s="2" t="s">
        <v>33</v>
      </c>
      <c r="J1137" s="2" t="s">
        <v>34</v>
      </c>
      <c r="K1137" s="2" t="s">
        <v>2509</v>
      </c>
      <c r="L1137" s="2" t="s">
        <v>2510</v>
      </c>
      <c r="M1137" s="2" t="s">
        <v>2389</v>
      </c>
      <c r="N1137" s="2" t="s">
        <v>38</v>
      </c>
      <c r="O1137" s="2" t="s">
        <v>76</v>
      </c>
      <c r="P1137" s="2" t="s">
        <v>3888</v>
      </c>
      <c r="Q1137" s="2" t="s">
        <v>7819</v>
      </c>
      <c r="R1137" s="2" t="s">
        <v>40</v>
      </c>
      <c r="S1137" s="2" t="s">
        <v>7820</v>
      </c>
      <c r="T1137" s="2" t="s">
        <v>7821</v>
      </c>
      <c r="U1137" s="2" t="s">
        <v>7822</v>
      </c>
      <c r="V1137" s="2" t="s">
        <v>7823</v>
      </c>
      <c r="W1137" s="1"/>
      <c r="X1137" s="2" t="s">
        <v>7824</v>
      </c>
      <c r="Y1137" s="2" t="s">
        <v>7594</v>
      </c>
      <c r="AA1137" t="str">
        <f t="shared" si="102"/>
        <v>2026-02</v>
      </c>
      <c r="AB1137" t="str">
        <f t="shared" si="103"/>
        <v>H1_2026</v>
      </c>
      <c r="AC1137">
        <f t="shared" si="104"/>
        <v>88516.58</v>
      </c>
      <c r="AD1137">
        <f t="shared" si="105"/>
        <v>9</v>
      </c>
      <c r="AE1137">
        <f t="shared" si="106"/>
        <v>35092.58</v>
      </c>
      <c r="AF1137" t="str">
        <f t="shared" si="107"/>
        <v>Paid</v>
      </c>
    </row>
    <row r="1138" spans="1:32" ht="17.25" thickBot="1" x14ac:dyDescent="0.35">
      <c r="A1138" s="2" t="s">
        <v>7825</v>
      </c>
      <c r="B1138" s="2" t="s">
        <v>27</v>
      </c>
      <c r="C1138" s="2" t="s">
        <v>28</v>
      </c>
      <c r="D1138" s="2" t="s">
        <v>97</v>
      </c>
      <c r="E1138" s="2" t="s">
        <v>7589</v>
      </c>
      <c r="F1138" s="2" t="s">
        <v>99</v>
      </c>
      <c r="G1138" s="2" t="s">
        <v>32</v>
      </c>
      <c r="H1138" s="1"/>
      <c r="I1138" s="2" t="s">
        <v>33</v>
      </c>
      <c r="J1138" s="2" t="s">
        <v>34</v>
      </c>
      <c r="K1138" s="2" t="s">
        <v>2526</v>
      </c>
      <c r="L1138" s="2" t="s">
        <v>2527</v>
      </c>
      <c r="M1138" s="2" t="s">
        <v>2389</v>
      </c>
      <c r="N1138" s="2" t="s">
        <v>38</v>
      </c>
      <c r="O1138" s="2" t="s">
        <v>185</v>
      </c>
      <c r="P1138" s="2" t="s">
        <v>6357</v>
      </c>
      <c r="Q1138" s="2" t="s">
        <v>7826</v>
      </c>
      <c r="R1138" s="2" t="s">
        <v>40</v>
      </c>
      <c r="S1138" s="2" t="s">
        <v>7827</v>
      </c>
      <c r="T1138" s="2" t="s">
        <v>2531</v>
      </c>
      <c r="U1138" s="2" t="s">
        <v>7828</v>
      </c>
      <c r="V1138" s="2" t="s">
        <v>7829</v>
      </c>
      <c r="W1138" s="1"/>
      <c r="X1138" s="2" t="s">
        <v>965</v>
      </c>
      <c r="Y1138" s="2" t="s">
        <v>7594</v>
      </c>
      <c r="AA1138" t="str">
        <f t="shared" si="102"/>
        <v>2026-02</v>
      </c>
      <c r="AB1138" t="str">
        <f t="shared" si="103"/>
        <v>H1_2026</v>
      </c>
      <c r="AC1138">
        <f t="shared" si="104"/>
        <v>232709.31</v>
      </c>
      <c r="AD1138">
        <f t="shared" si="105"/>
        <v>23</v>
      </c>
      <c r="AE1138">
        <f t="shared" si="106"/>
        <v>59582.04</v>
      </c>
      <c r="AF1138" t="str">
        <f t="shared" si="107"/>
        <v>Paid</v>
      </c>
    </row>
    <row r="1139" spans="1:32" ht="17.25" thickBot="1" x14ac:dyDescent="0.35">
      <c r="A1139" s="2" t="s">
        <v>7830</v>
      </c>
      <c r="B1139" s="2" t="s">
        <v>27</v>
      </c>
      <c r="C1139" s="2" t="s">
        <v>28</v>
      </c>
      <c r="D1139" s="2" t="s">
        <v>97</v>
      </c>
      <c r="E1139" s="2" t="s">
        <v>7589</v>
      </c>
      <c r="F1139" s="2" t="s">
        <v>99</v>
      </c>
      <c r="G1139" s="2" t="s">
        <v>32</v>
      </c>
      <c r="H1139" s="1"/>
      <c r="I1139" s="2" t="s">
        <v>33</v>
      </c>
      <c r="J1139" s="2" t="s">
        <v>34</v>
      </c>
      <c r="K1139" s="2" t="s">
        <v>2553</v>
      </c>
      <c r="L1139" s="2" t="s">
        <v>2554</v>
      </c>
      <c r="M1139" s="2" t="s">
        <v>2389</v>
      </c>
      <c r="N1139" s="2" t="s">
        <v>38</v>
      </c>
      <c r="O1139" s="2" t="s">
        <v>54</v>
      </c>
      <c r="P1139" s="2" t="s">
        <v>3908</v>
      </c>
      <c r="Q1139" s="2" t="s">
        <v>7831</v>
      </c>
      <c r="R1139" s="2" t="s">
        <v>40</v>
      </c>
      <c r="S1139" s="2" t="s">
        <v>7832</v>
      </c>
      <c r="T1139" s="2" t="s">
        <v>2558</v>
      </c>
      <c r="U1139" s="2" t="s">
        <v>7833</v>
      </c>
      <c r="V1139" s="2" t="s">
        <v>7834</v>
      </c>
      <c r="W1139" s="1"/>
      <c r="X1139" s="2" t="s">
        <v>1764</v>
      </c>
      <c r="Y1139" s="2" t="s">
        <v>7594</v>
      </c>
      <c r="AA1139" t="str">
        <f t="shared" si="102"/>
        <v>2026-02</v>
      </c>
      <c r="AB1139" t="str">
        <f t="shared" si="103"/>
        <v>H1_2026</v>
      </c>
      <c r="AC1139">
        <f t="shared" si="104"/>
        <v>37418.89</v>
      </c>
      <c r="AD1139">
        <f t="shared" si="105"/>
        <v>4</v>
      </c>
      <c r="AE1139">
        <f t="shared" si="106"/>
        <v>9491.6200000000008</v>
      </c>
      <c r="AF1139" t="str">
        <f t="shared" si="107"/>
        <v>Paid</v>
      </c>
    </row>
    <row r="1140" spans="1:32" ht="17.25" thickBot="1" x14ac:dyDescent="0.35">
      <c r="A1140" s="2" t="s">
        <v>7835</v>
      </c>
      <c r="B1140" s="2" t="s">
        <v>27</v>
      </c>
      <c r="C1140" s="2" t="s">
        <v>28</v>
      </c>
      <c r="D1140" s="2" t="s">
        <v>97</v>
      </c>
      <c r="E1140" s="2" t="s">
        <v>7589</v>
      </c>
      <c r="F1140" s="2" t="s">
        <v>99</v>
      </c>
      <c r="G1140" s="2" t="s">
        <v>32</v>
      </c>
      <c r="H1140" s="1"/>
      <c r="I1140" s="2" t="s">
        <v>33</v>
      </c>
      <c r="J1140" s="2" t="s">
        <v>34</v>
      </c>
      <c r="K1140" s="2" t="s">
        <v>580</v>
      </c>
      <c r="L1140" s="2" t="s">
        <v>581</v>
      </c>
      <c r="M1140" s="2" t="s">
        <v>570</v>
      </c>
      <c r="N1140" s="2" t="s">
        <v>38</v>
      </c>
      <c r="O1140" s="2" t="s">
        <v>1032</v>
      </c>
      <c r="P1140" s="2" t="s">
        <v>186</v>
      </c>
      <c r="Q1140" s="2" t="s">
        <v>7836</v>
      </c>
      <c r="R1140" s="2" t="s">
        <v>40</v>
      </c>
      <c r="S1140" s="2" t="s">
        <v>7837</v>
      </c>
      <c r="T1140" s="2" t="s">
        <v>575</v>
      </c>
      <c r="U1140" s="2" t="s">
        <v>7838</v>
      </c>
      <c r="V1140" s="2" t="s">
        <v>7839</v>
      </c>
      <c r="W1140" s="1"/>
      <c r="X1140" s="2" t="s">
        <v>7840</v>
      </c>
      <c r="Y1140" s="2" t="s">
        <v>7594</v>
      </c>
      <c r="AA1140" t="str">
        <f t="shared" si="102"/>
        <v>2026-02</v>
      </c>
      <c r="AB1140" t="str">
        <f t="shared" si="103"/>
        <v>H1_2026</v>
      </c>
      <c r="AC1140">
        <f t="shared" si="104"/>
        <v>65567.839999999997</v>
      </c>
      <c r="AD1140">
        <f t="shared" si="105"/>
        <v>116</v>
      </c>
      <c r="AE1140">
        <f t="shared" si="106"/>
        <v>27604.21</v>
      </c>
      <c r="AF1140" t="str">
        <f t="shared" si="107"/>
        <v>Paid</v>
      </c>
    </row>
    <row r="1141" spans="1:32" ht="27.75" thickBot="1" x14ac:dyDescent="0.35">
      <c r="A1141" s="2" t="s">
        <v>7841</v>
      </c>
      <c r="B1141" s="2" t="s">
        <v>27</v>
      </c>
      <c r="C1141" s="2" t="s">
        <v>28</v>
      </c>
      <c r="D1141" s="2" t="s">
        <v>97</v>
      </c>
      <c r="E1141" s="2" t="s">
        <v>7589</v>
      </c>
      <c r="F1141" s="2" t="s">
        <v>99</v>
      </c>
      <c r="G1141" s="2" t="s">
        <v>32</v>
      </c>
      <c r="H1141" s="1"/>
      <c r="I1141" s="2" t="s">
        <v>33</v>
      </c>
      <c r="J1141" s="2" t="s">
        <v>34</v>
      </c>
      <c r="K1141" s="2" t="s">
        <v>1594</v>
      </c>
      <c r="L1141" s="2" t="s">
        <v>1595</v>
      </c>
      <c r="M1141" s="2" t="s">
        <v>570</v>
      </c>
      <c r="N1141" s="2" t="s">
        <v>38</v>
      </c>
      <c r="O1141" s="2" t="s">
        <v>6440</v>
      </c>
      <c r="P1141" s="2" t="s">
        <v>186</v>
      </c>
      <c r="Q1141" s="2" t="s">
        <v>7842</v>
      </c>
      <c r="R1141" s="2" t="s">
        <v>40</v>
      </c>
      <c r="S1141" s="2" t="s">
        <v>7843</v>
      </c>
      <c r="T1141" s="2" t="s">
        <v>575</v>
      </c>
      <c r="U1141" s="2" t="s">
        <v>7844</v>
      </c>
      <c r="V1141" s="2" t="s">
        <v>7845</v>
      </c>
      <c r="W1141" s="1"/>
      <c r="X1141" s="2" t="s">
        <v>7840</v>
      </c>
      <c r="Y1141" s="2" t="s">
        <v>7594</v>
      </c>
      <c r="AA1141" t="str">
        <f t="shared" si="102"/>
        <v>2026-02</v>
      </c>
      <c r="AB1141" t="str">
        <f t="shared" si="103"/>
        <v>H1_2026</v>
      </c>
      <c r="AC1141">
        <f t="shared" si="104"/>
        <v>516064.12</v>
      </c>
      <c r="AD1141">
        <f t="shared" si="105"/>
        <v>913</v>
      </c>
      <c r="AE1141">
        <f t="shared" si="106"/>
        <v>217264.14</v>
      </c>
      <c r="AF1141" t="str">
        <f t="shared" si="107"/>
        <v>Paid</v>
      </c>
    </row>
    <row r="1142" spans="1:32" ht="17.25" thickBot="1" x14ac:dyDescent="0.35">
      <c r="A1142" s="2" t="s">
        <v>7846</v>
      </c>
      <c r="B1142" s="2" t="s">
        <v>27</v>
      </c>
      <c r="C1142" s="2" t="s">
        <v>28</v>
      </c>
      <c r="D1142" s="2" t="s">
        <v>97</v>
      </c>
      <c r="E1142" s="2" t="s">
        <v>7589</v>
      </c>
      <c r="F1142" s="2" t="s">
        <v>99</v>
      </c>
      <c r="G1142" s="2" t="s">
        <v>32</v>
      </c>
      <c r="H1142" s="1"/>
      <c r="I1142" s="2" t="s">
        <v>33</v>
      </c>
      <c r="J1142" s="2" t="s">
        <v>34</v>
      </c>
      <c r="K1142" s="2" t="s">
        <v>601</v>
      </c>
      <c r="L1142" s="2" t="s">
        <v>602</v>
      </c>
      <c r="M1142" s="2" t="s">
        <v>570</v>
      </c>
      <c r="N1142" s="2" t="s">
        <v>38</v>
      </c>
      <c r="O1142" s="2" t="s">
        <v>2828</v>
      </c>
      <c r="P1142" s="2" t="s">
        <v>186</v>
      </c>
      <c r="Q1142" s="2" t="s">
        <v>7847</v>
      </c>
      <c r="R1142" s="2" t="s">
        <v>40</v>
      </c>
      <c r="S1142" s="2" t="s">
        <v>7848</v>
      </c>
      <c r="T1142" s="2" t="s">
        <v>575</v>
      </c>
      <c r="U1142" s="2" t="s">
        <v>7849</v>
      </c>
      <c r="V1142" s="2" t="s">
        <v>7850</v>
      </c>
      <c r="W1142" s="1"/>
      <c r="X1142" s="2" t="s">
        <v>7840</v>
      </c>
      <c r="Y1142" s="2" t="s">
        <v>7594</v>
      </c>
      <c r="AA1142" t="str">
        <f t="shared" si="102"/>
        <v>2026-02</v>
      </c>
      <c r="AB1142" t="str">
        <f t="shared" si="103"/>
        <v>H1_2026</v>
      </c>
      <c r="AC1142">
        <f t="shared" si="104"/>
        <v>223269.8</v>
      </c>
      <c r="AD1142">
        <f t="shared" si="105"/>
        <v>395</v>
      </c>
      <c r="AE1142">
        <f t="shared" si="106"/>
        <v>93997.08</v>
      </c>
      <c r="AF1142" t="str">
        <f t="shared" si="107"/>
        <v>Paid</v>
      </c>
    </row>
    <row r="1143" spans="1:32" ht="27.75" thickBot="1" x14ac:dyDescent="0.35">
      <c r="A1143" s="2" t="s">
        <v>7851</v>
      </c>
      <c r="B1143" s="2" t="s">
        <v>27</v>
      </c>
      <c r="C1143" s="2" t="s">
        <v>28</v>
      </c>
      <c r="D1143" s="2" t="s">
        <v>97</v>
      </c>
      <c r="E1143" s="2" t="s">
        <v>7589</v>
      </c>
      <c r="F1143" s="2" t="s">
        <v>99</v>
      </c>
      <c r="G1143" s="2" t="s">
        <v>32</v>
      </c>
      <c r="H1143" s="1"/>
      <c r="I1143" s="2" t="s">
        <v>33</v>
      </c>
      <c r="J1143" s="2" t="s">
        <v>34</v>
      </c>
      <c r="K1143" s="2" t="s">
        <v>674</v>
      </c>
      <c r="L1143" s="2" t="s">
        <v>675</v>
      </c>
      <c r="M1143" s="2" t="s">
        <v>634</v>
      </c>
      <c r="N1143" s="2" t="s">
        <v>38</v>
      </c>
      <c r="O1143" s="2" t="s">
        <v>877</v>
      </c>
      <c r="P1143" s="2" t="s">
        <v>4854</v>
      </c>
      <c r="Q1143" s="2" t="s">
        <v>7852</v>
      </c>
      <c r="R1143" s="2" t="s">
        <v>40</v>
      </c>
      <c r="S1143" s="2" t="s">
        <v>7853</v>
      </c>
      <c r="T1143" s="2" t="s">
        <v>669</v>
      </c>
      <c r="U1143" s="2" t="s">
        <v>3303</v>
      </c>
      <c r="V1143" s="2" t="s">
        <v>7854</v>
      </c>
      <c r="W1143" s="1"/>
      <c r="X1143" s="2" t="s">
        <v>2843</v>
      </c>
      <c r="Y1143" s="2" t="s">
        <v>7594</v>
      </c>
      <c r="AA1143" t="str">
        <f t="shared" si="102"/>
        <v>2026-02</v>
      </c>
      <c r="AB1143" t="str">
        <f t="shared" si="103"/>
        <v>H1_2026</v>
      </c>
      <c r="AC1143">
        <f t="shared" si="104"/>
        <v>1120588.3</v>
      </c>
      <c r="AD1143">
        <f t="shared" si="105"/>
        <v>100</v>
      </c>
      <c r="AE1143">
        <f t="shared" si="106"/>
        <v>520588.3</v>
      </c>
      <c r="AF1143" t="str">
        <f t="shared" si="107"/>
        <v>Paid</v>
      </c>
    </row>
    <row r="1144" spans="1:32" ht="17.25" thickBot="1" x14ac:dyDescent="0.35">
      <c r="A1144" s="2" t="s">
        <v>7855</v>
      </c>
      <c r="B1144" s="2" t="s">
        <v>27</v>
      </c>
      <c r="C1144" s="2" t="s">
        <v>28</v>
      </c>
      <c r="D1144" s="2" t="s">
        <v>97</v>
      </c>
      <c r="E1144" s="2" t="s">
        <v>7589</v>
      </c>
      <c r="F1144" s="2" t="s">
        <v>99</v>
      </c>
      <c r="G1144" s="2" t="s">
        <v>32</v>
      </c>
      <c r="H1144" s="1"/>
      <c r="I1144" s="2" t="s">
        <v>33</v>
      </c>
      <c r="J1144" s="2" t="s">
        <v>34</v>
      </c>
      <c r="K1144" s="2" t="s">
        <v>682</v>
      </c>
      <c r="L1144" s="2" t="s">
        <v>683</v>
      </c>
      <c r="M1144" s="2" t="s">
        <v>634</v>
      </c>
      <c r="N1144" s="2" t="s">
        <v>38</v>
      </c>
      <c r="O1144" s="2" t="s">
        <v>156</v>
      </c>
      <c r="P1144" s="2" t="s">
        <v>7856</v>
      </c>
      <c r="Q1144" s="2" t="s">
        <v>7857</v>
      </c>
      <c r="R1144" s="2" t="s">
        <v>40</v>
      </c>
      <c r="S1144" s="2" t="s">
        <v>7858</v>
      </c>
      <c r="T1144" s="2" t="s">
        <v>687</v>
      </c>
      <c r="U1144" s="2" t="s">
        <v>7025</v>
      </c>
      <c r="V1144" s="2" t="s">
        <v>7859</v>
      </c>
      <c r="W1144" s="1"/>
      <c r="X1144" s="2" t="s">
        <v>690</v>
      </c>
      <c r="Y1144" s="2" t="s">
        <v>7594</v>
      </c>
      <c r="AA1144" t="str">
        <f t="shared" si="102"/>
        <v>2026-02</v>
      </c>
      <c r="AB1144" t="str">
        <f t="shared" si="103"/>
        <v>H1_2026</v>
      </c>
      <c r="AC1144">
        <f t="shared" si="104"/>
        <v>239944.38</v>
      </c>
      <c r="AD1144">
        <f t="shared" si="105"/>
        <v>20</v>
      </c>
      <c r="AE1144">
        <f t="shared" si="106"/>
        <v>112544.38</v>
      </c>
      <c r="AF1144" t="str">
        <f t="shared" si="107"/>
        <v>Paid</v>
      </c>
    </row>
    <row r="1145" spans="1:32" ht="17.25" thickBot="1" x14ac:dyDescent="0.35">
      <c r="A1145" s="2" t="s">
        <v>7860</v>
      </c>
      <c r="B1145" s="2" t="s">
        <v>27</v>
      </c>
      <c r="C1145" s="2" t="s">
        <v>28</v>
      </c>
      <c r="D1145" s="2" t="s">
        <v>97</v>
      </c>
      <c r="E1145" s="2" t="s">
        <v>7589</v>
      </c>
      <c r="F1145" s="2" t="s">
        <v>99</v>
      </c>
      <c r="G1145" s="2" t="s">
        <v>32</v>
      </c>
      <c r="H1145" s="1"/>
      <c r="I1145" s="2" t="s">
        <v>33</v>
      </c>
      <c r="J1145" s="2" t="s">
        <v>34</v>
      </c>
      <c r="K1145" s="2" t="s">
        <v>5547</v>
      </c>
      <c r="L1145" s="2" t="s">
        <v>5548</v>
      </c>
      <c r="M1145" s="2" t="s">
        <v>634</v>
      </c>
      <c r="N1145" s="2" t="s">
        <v>38</v>
      </c>
      <c r="O1145" s="2" t="s">
        <v>156</v>
      </c>
      <c r="P1145" s="2" t="s">
        <v>7861</v>
      </c>
      <c r="Q1145" s="2" t="s">
        <v>5497</v>
      </c>
      <c r="R1145" s="2" t="s">
        <v>40</v>
      </c>
      <c r="S1145" s="2" t="s">
        <v>7862</v>
      </c>
      <c r="T1145" s="2" t="s">
        <v>5551</v>
      </c>
      <c r="U1145" s="2" t="s">
        <v>7031</v>
      </c>
      <c r="V1145" s="2" t="s">
        <v>7863</v>
      </c>
      <c r="W1145" s="1"/>
      <c r="X1145" s="2" t="s">
        <v>2843</v>
      </c>
      <c r="Y1145" s="2" t="s">
        <v>7594</v>
      </c>
      <c r="AA1145" t="str">
        <f t="shared" si="102"/>
        <v>2026-02</v>
      </c>
      <c r="AB1145" t="str">
        <f t="shared" si="103"/>
        <v>H1_2026</v>
      </c>
      <c r="AC1145">
        <f t="shared" si="104"/>
        <v>479888.76</v>
      </c>
      <c r="AD1145">
        <f t="shared" si="105"/>
        <v>20</v>
      </c>
      <c r="AE1145">
        <f t="shared" si="106"/>
        <v>223288.76</v>
      </c>
      <c r="AF1145" t="str">
        <f t="shared" si="107"/>
        <v>Paid</v>
      </c>
    </row>
    <row r="1146" spans="1:32" ht="17.25" thickBot="1" x14ac:dyDescent="0.35">
      <c r="A1146" s="2" t="s">
        <v>7864</v>
      </c>
      <c r="B1146" s="2" t="s">
        <v>27</v>
      </c>
      <c r="C1146" s="2" t="s">
        <v>28</v>
      </c>
      <c r="D1146" s="2" t="s">
        <v>97</v>
      </c>
      <c r="E1146" s="2" t="s">
        <v>7589</v>
      </c>
      <c r="F1146" s="2" t="s">
        <v>99</v>
      </c>
      <c r="G1146" s="2" t="s">
        <v>32</v>
      </c>
      <c r="H1146" s="1"/>
      <c r="I1146" s="2" t="s">
        <v>33</v>
      </c>
      <c r="J1146" s="2" t="s">
        <v>34</v>
      </c>
      <c r="K1146" s="2" t="s">
        <v>6137</v>
      </c>
      <c r="L1146" s="2" t="s">
        <v>6138</v>
      </c>
      <c r="M1146" s="2" t="s">
        <v>634</v>
      </c>
      <c r="N1146" s="2" t="s">
        <v>38</v>
      </c>
      <c r="O1146" s="2" t="s">
        <v>877</v>
      </c>
      <c r="P1146" s="2" t="s">
        <v>6957</v>
      </c>
      <c r="Q1146" s="2" t="s">
        <v>7865</v>
      </c>
      <c r="R1146" s="2" t="s">
        <v>40</v>
      </c>
      <c r="S1146" s="2" t="s">
        <v>7866</v>
      </c>
      <c r="T1146" s="2" t="s">
        <v>297</v>
      </c>
      <c r="U1146" s="2" t="s">
        <v>3286</v>
      </c>
      <c r="V1146" s="2" t="s">
        <v>7867</v>
      </c>
      <c r="W1146" s="1"/>
      <c r="X1146" s="2" t="s">
        <v>6142</v>
      </c>
      <c r="Y1146" s="2" t="s">
        <v>7594</v>
      </c>
      <c r="AA1146" t="str">
        <f t="shared" si="102"/>
        <v>2026-02</v>
      </c>
      <c r="AB1146" t="str">
        <f t="shared" si="103"/>
        <v>H1_2026</v>
      </c>
      <c r="AC1146">
        <f t="shared" si="104"/>
        <v>1300052</v>
      </c>
      <c r="AD1146">
        <f t="shared" si="105"/>
        <v>100</v>
      </c>
      <c r="AE1146">
        <f t="shared" si="106"/>
        <v>500052</v>
      </c>
      <c r="AF1146" t="str">
        <f t="shared" si="107"/>
        <v>Paid</v>
      </c>
    </row>
    <row r="1147" spans="1:32" ht="17.25" thickBot="1" x14ac:dyDescent="0.35">
      <c r="A1147" s="2" t="s">
        <v>7868</v>
      </c>
      <c r="B1147" s="2" t="s">
        <v>27</v>
      </c>
      <c r="C1147" s="2" t="s">
        <v>28</v>
      </c>
      <c r="D1147" s="2" t="s">
        <v>97</v>
      </c>
      <c r="E1147" s="2" t="s">
        <v>7589</v>
      </c>
      <c r="F1147" s="2" t="s">
        <v>99</v>
      </c>
      <c r="G1147" s="2" t="s">
        <v>32</v>
      </c>
      <c r="H1147" s="1"/>
      <c r="I1147" s="2" t="s">
        <v>33</v>
      </c>
      <c r="J1147" s="2" t="s">
        <v>34</v>
      </c>
      <c r="K1147" s="2" t="s">
        <v>2689</v>
      </c>
      <c r="L1147" s="2" t="s">
        <v>2690</v>
      </c>
      <c r="M1147" s="2" t="s">
        <v>2680</v>
      </c>
      <c r="N1147" s="2" t="s">
        <v>38</v>
      </c>
      <c r="O1147" s="2" t="s">
        <v>340</v>
      </c>
      <c r="P1147" s="2" t="s">
        <v>7869</v>
      </c>
      <c r="Q1147" s="2" t="s">
        <v>7870</v>
      </c>
      <c r="R1147" s="2" t="s">
        <v>40</v>
      </c>
      <c r="S1147" s="2" t="s">
        <v>7871</v>
      </c>
      <c r="T1147" s="2" t="s">
        <v>2694</v>
      </c>
      <c r="U1147" s="2" t="s">
        <v>7872</v>
      </c>
      <c r="V1147" s="2" t="s">
        <v>7873</v>
      </c>
      <c r="W1147" s="1"/>
      <c r="X1147" s="2" t="s">
        <v>7874</v>
      </c>
      <c r="Y1147" s="2" t="s">
        <v>7594</v>
      </c>
      <c r="AA1147" t="str">
        <f t="shared" si="102"/>
        <v>2026-02</v>
      </c>
      <c r="AB1147" t="str">
        <f t="shared" si="103"/>
        <v>H1_2026</v>
      </c>
      <c r="AC1147">
        <f t="shared" si="104"/>
        <v>272883.74</v>
      </c>
      <c r="AD1147">
        <f t="shared" si="105"/>
        <v>41</v>
      </c>
      <c r="AE1147">
        <f t="shared" si="106"/>
        <v>110523.74</v>
      </c>
      <c r="AF1147" t="str">
        <f t="shared" si="107"/>
        <v>Paid</v>
      </c>
    </row>
    <row r="1148" spans="1:32" ht="17.25" thickBot="1" x14ac:dyDescent="0.35">
      <c r="A1148" s="2" t="s">
        <v>7875</v>
      </c>
      <c r="B1148" s="2" t="s">
        <v>27</v>
      </c>
      <c r="C1148" s="2" t="s">
        <v>28</v>
      </c>
      <c r="D1148" s="2" t="s">
        <v>97</v>
      </c>
      <c r="E1148" s="2" t="s">
        <v>7589</v>
      </c>
      <c r="F1148" s="2" t="s">
        <v>99</v>
      </c>
      <c r="G1148" s="2" t="s">
        <v>32</v>
      </c>
      <c r="H1148" s="1"/>
      <c r="I1148" s="2" t="s">
        <v>33</v>
      </c>
      <c r="J1148" s="2" t="s">
        <v>34</v>
      </c>
      <c r="K1148" s="2" t="s">
        <v>2718</v>
      </c>
      <c r="L1148" s="2" t="s">
        <v>2719</v>
      </c>
      <c r="M1148" s="2" t="s">
        <v>2710</v>
      </c>
      <c r="N1148" s="2" t="s">
        <v>38</v>
      </c>
      <c r="O1148" s="2" t="s">
        <v>471</v>
      </c>
      <c r="P1148" s="2" t="s">
        <v>7876</v>
      </c>
      <c r="Q1148" s="2" t="s">
        <v>7877</v>
      </c>
      <c r="R1148" s="2" t="s">
        <v>40</v>
      </c>
      <c r="S1148" s="2" t="s">
        <v>7878</v>
      </c>
      <c r="T1148" s="2" t="s">
        <v>7879</v>
      </c>
      <c r="U1148" s="2" t="s">
        <v>7880</v>
      </c>
      <c r="V1148" s="2" t="s">
        <v>7881</v>
      </c>
      <c r="W1148" s="1"/>
      <c r="X1148" s="2" t="s">
        <v>2278</v>
      </c>
      <c r="Y1148" s="2" t="s">
        <v>7594</v>
      </c>
      <c r="AA1148" t="str">
        <f t="shared" si="102"/>
        <v>2026-02</v>
      </c>
      <c r="AB1148" t="str">
        <f t="shared" si="103"/>
        <v>H1_2026</v>
      </c>
      <c r="AC1148">
        <f t="shared" si="104"/>
        <v>550261.14</v>
      </c>
      <c r="AD1148">
        <f t="shared" si="105"/>
        <v>55</v>
      </c>
      <c r="AE1148">
        <f t="shared" si="106"/>
        <v>105260.23</v>
      </c>
      <c r="AF1148" t="str">
        <f t="shared" si="107"/>
        <v>Paid</v>
      </c>
    </row>
    <row r="1149" spans="1:32" ht="17.25" thickBot="1" x14ac:dyDescent="0.35">
      <c r="A1149" s="2" t="s">
        <v>7882</v>
      </c>
      <c r="B1149" s="2" t="s">
        <v>27</v>
      </c>
      <c r="C1149" s="2" t="s">
        <v>28</v>
      </c>
      <c r="D1149" s="2" t="s">
        <v>97</v>
      </c>
      <c r="E1149" s="2" t="s">
        <v>7589</v>
      </c>
      <c r="F1149" s="2" t="s">
        <v>99</v>
      </c>
      <c r="G1149" s="2" t="s">
        <v>32</v>
      </c>
      <c r="H1149" s="1"/>
      <c r="I1149" s="2" t="s">
        <v>33</v>
      </c>
      <c r="J1149" s="2" t="s">
        <v>34</v>
      </c>
      <c r="K1149" s="2" t="s">
        <v>2733</v>
      </c>
      <c r="L1149" s="2" t="s">
        <v>2734</v>
      </c>
      <c r="M1149" s="2" t="s">
        <v>2710</v>
      </c>
      <c r="N1149" s="2" t="s">
        <v>38</v>
      </c>
      <c r="O1149" s="2" t="s">
        <v>280</v>
      </c>
      <c r="P1149" s="2" t="s">
        <v>6392</v>
      </c>
      <c r="Q1149" s="2" t="s">
        <v>7883</v>
      </c>
      <c r="R1149" s="2" t="s">
        <v>40</v>
      </c>
      <c r="S1149" s="2" t="s">
        <v>7884</v>
      </c>
      <c r="T1149" s="2" t="s">
        <v>7885</v>
      </c>
      <c r="U1149" s="2" t="s">
        <v>7886</v>
      </c>
      <c r="V1149" s="2" t="s">
        <v>7887</v>
      </c>
      <c r="W1149" s="1"/>
      <c r="X1149" s="2" t="s">
        <v>817</v>
      </c>
      <c r="Y1149" s="2" t="s">
        <v>7594</v>
      </c>
      <c r="AA1149" t="str">
        <f t="shared" si="102"/>
        <v>2026-02</v>
      </c>
      <c r="AB1149" t="str">
        <f t="shared" si="103"/>
        <v>H1_2026</v>
      </c>
      <c r="AC1149">
        <f t="shared" si="104"/>
        <v>493595.83</v>
      </c>
      <c r="AD1149">
        <f t="shared" si="105"/>
        <v>35</v>
      </c>
      <c r="AE1149">
        <f t="shared" si="106"/>
        <v>121318.01</v>
      </c>
      <c r="AF1149" t="str">
        <f t="shared" si="107"/>
        <v>Paid</v>
      </c>
    </row>
    <row r="1150" spans="1:32" ht="27.75" thickBot="1" x14ac:dyDescent="0.35">
      <c r="A1150" s="2" t="s">
        <v>7888</v>
      </c>
      <c r="B1150" s="2" t="s">
        <v>27</v>
      </c>
      <c r="C1150" s="2" t="s">
        <v>28</v>
      </c>
      <c r="D1150" s="2" t="s">
        <v>97</v>
      </c>
      <c r="E1150" s="2" t="s">
        <v>7589</v>
      </c>
      <c r="F1150" s="2" t="s">
        <v>99</v>
      </c>
      <c r="G1150" s="2" t="s">
        <v>32</v>
      </c>
      <c r="H1150" s="1"/>
      <c r="I1150" s="2" t="s">
        <v>33</v>
      </c>
      <c r="J1150" s="2" t="s">
        <v>34</v>
      </c>
      <c r="K1150" s="2" t="s">
        <v>3538</v>
      </c>
      <c r="L1150" s="2" t="s">
        <v>3539</v>
      </c>
      <c r="M1150" s="2" t="s">
        <v>70</v>
      </c>
      <c r="N1150" s="2" t="s">
        <v>38</v>
      </c>
      <c r="O1150" s="2" t="s">
        <v>79</v>
      </c>
      <c r="P1150" s="2" t="s">
        <v>7889</v>
      </c>
      <c r="Q1150" s="2" t="s">
        <v>7890</v>
      </c>
      <c r="R1150" s="2" t="s">
        <v>40</v>
      </c>
      <c r="S1150" s="2" t="s">
        <v>7891</v>
      </c>
      <c r="T1150" s="2" t="s">
        <v>2755</v>
      </c>
      <c r="U1150" s="2" t="s">
        <v>7892</v>
      </c>
      <c r="V1150" s="2" t="s">
        <v>7893</v>
      </c>
      <c r="W1150" s="1"/>
      <c r="X1150" s="2" t="s">
        <v>2198</v>
      </c>
      <c r="Y1150" s="2" t="s">
        <v>7594</v>
      </c>
      <c r="AA1150" t="str">
        <f t="shared" si="102"/>
        <v>2026-02</v>
      </c>
      <c r="AB1150" t="str">
        <f t="shared" si="103"/>
        <v>H1_2026</v>
      </c>
      <c r="AC1150">
        <f t="shared" si="104"/>
        <v>70372.38</v>
      </c>
      <c r="AD1150">
        <f t="shared" si="105"/>
        <v>10</v>
      </c>
      <c r="AE1150">
        <f t="shared" si="106"/>
        <v>13372.38</v>
      </c>
      <c r="AF1150" t="str">
        <f t="shared" si="107"/>
        <v>Paid</v>
      </c>
    </row>
    <row r="1151" spans="1:32" ht="27.75" thickBot="1" x14ac:dyDescent="0.35">
      <c r="A1151" s="2" t="s">
        <v>7894</v>
      </c>
      <c r="B1151" s="2" t="s">
        <v>27</v>
      </c>
      <c r="C1151" s="2" t="s">
        <v>28</v>
      </c>
      <c r="D1151" s="2" t="s">
        <v>97</v>
      </c>
      <c r="E1151" s="2" t="s">
        <v>7589</v>
      </c>
      <c r="F1151" s="2" t="s">
        <v>99</v>
      </c>
      <c r="G1151" s="2" t="s">
        <v>32</v>
      </c>
      <c r="H1151" s="1"/>
      <c r="I1151" s="2" t="s">
        <v>33</v>
      </c>
      <c r="J1151" s="2" t="s">
        <v>34</v>
      </c>
      <c r="K1151" s="2" t="s">
        <v>2808</v>
      </c>
      <c r="L1151" s="2" t="s">
        <v>2809</v>
      </c>
      <c r="M1151" s="2" t="s">
        <v>70</v>
      </c>
      <c r="N1151" s="2" t="s">
        <v>38</v>
      </c>
      <c r="O1151" s="2" t="s">
        <v>96</v>
      </c>
      <c r="P1151" s="2" t="s">
        <v>7895</v>
      </c>
      <c r="Q1151" s="2" t="s">
        <v>7896</v>
      </c>
      <c r="R1151" s="2" t="s">
        <v>40</v>
      </c>
      <c r="S1151" s="2" t="s">
        <v>7897</v>
      </c>
      <c r="T1151" s="2" t="s">
        <v>40</v>
      </c>
      <c r="U1151" s="2" t="s">
        <v>40</v>
      </c>
      <c r="V1151" s="2" t="s">
        <v>7897</v>
      </c>
      <c r="W1151" s="1"/>
      <c r="X1151" s="2" t="s">
        <v>2155</v>
      </c>
      <c r="Y1151" s="2" t="s">
        <v>7594</v>
      </c>
      <c r="AA1151" t="str">
        <f t="shared" si="102"/>
        <v>2026-02</v>
      </c>
      <c r="AB1151" t="str">
        <f t="shared" si="103"/>
        <v>H1_2026</v>
      </c>
      <c r="AC1151">
        <f t="shared" si="104"/>
        <v>74385.58</v>
      </c>
      <c r="AD1151">
        <f t="shared" si="105"/>
        <v>14</v>
      </c>
      <c r="AE1151">
        <f t="shared" si="106"/>
        <v>74385.58</v>
      </c>
      <c r="AF1151" t="str">
        <f t="shared" si="107"/>
        <v>Paid</v>
      </c>
    </row>
    <row r="1152" spans="1:32" ht="27.75" thickBot="1" x14ac:dyDescent="0.35">
      <c r="A1152" s="2" t="s">
        <v>7898</v>
      </c>
      <c r="B1152" s="2" t="s">
        <v>27</v>
      </c>
      <c r="C1152" s="2" t="s">
        <v>28</v>
      </c>
      <c r="D1152" s="2" t="s">
        <v>97</v>
      </c>
      <c r="E1152" s="2" t="s">
        <v>7589</v>
      </c>
      <c r="F1152" s="2" t="s">
        <v>99</v>
      </c>
      <c r="G1152" s="2" t="s">
        <v>32</v>
      </c>
      <c r="H1152" s="1"/>
      <c r="I1152" s="2" t="s">
        <v>33</v>
      </c>
      <c r="J1152" s="2" t="s">
        <v>34</v>
      </c>
      <c r="K1152" s="2" t="s">
        <v>2817</v>
      </c>
      <c r="L1152" s="2" t="s">
        <v>2818</v>
      </c>
      <c r="M1152" s="2" t="s">
        <v>70</v>
      </c>
      <c r="N1152" s="2" t="s">
        <v>38</v>
      </c>
      <c r="O1152" s="2" t="s">
        <v>1025</v>
      </c>
      <c r="P1152" s="2" t="s">
        <v>7895</v>
      </c>
      <c r="Q1152" s="2" t="s">
        <v>7899</v>
      </c>
      <c r="R1152" s="2" t="s">
        <v>40</v>
      </c>
      <c r="S1152" s="2" t="s">
        <v>7900</v>
      </c>
      <c r="T1152" s="2" t="s">
        <v>7901</v>
      </c>
      <c r="U1152" s="2" t="s">
        <v>7902</v>
      </c>
      <c r="V1152" s="2" t="s">
        <v>7903</v>
      </c>
      <c r="W1152" s="1"/>
      <c r="X1152" s="2" t="s">
        <v>2863</v>
      </c>
      <c r="Y1152" s="2" t="s">
        <v>7594</v>
      </c>
      <c r="AA1152" t="str">
        <f t="shared" si="102"/>
        <v>2026-02</v>
      </c>
      <c r="AB1152" t="str">
        <f t="shared" si="103"/>
        <v>H1_2026</v>
      </c>
      <c r="AC1152">
        <f t="shared" si="104"/>
        <v>611024.43999999994</v>
      </c>
      <c r="AD1152">
        <f t="shared" si="105"/>
        <v>115</v>
      </c>
      <c r="AE1152">
        <f t="shared" si="106"/>
        <v>186559.44</v>
      </c>
      <c r="AF1152" t="str">
        <f t="shared" si="107"/>
        <v>Paid</v>
      </c>
    </row>
    <row r="1153" spans="1:32" ht="17.25" thickBot="1" x14ac:dyDescent="0.35">
      <c r="A1153" s="2" t="s">
        <v>7904</v>
      </c>
      <c r="B1153" s="2" t="s">
        <v>27</v>
      </c>
      <c r="C1153" s="2" t="s">
        <v>28</v>
      </c>
      <c r="D1153" s="2" t="s">
        <v>97</v>
      </c>
      <c r="E1153" s="2" t="s">
        <v>7589</v>
      </c>
      <c r="F1153" s="2" t="s">
        <v>99</v>
      </c>
      <c r="G1153" s="2" t="s">
        <v>32</v>
      </c>
      <c r="H1153" s="1"/>
      <c r="I1153" s="2" t="s">
        <v>33</v>
      </c>
      <c r="J1153" s="2" t="s">
        <v>34</v>
      </c>
      <c r="K1153" s="2" t="s">
        <v>2836</v>
      </c>
      <c r="L1153" s="2" t="s">
        <v>2837</v>
      </c>
      <c r="M1153" s="2" t="s">
        <v>70</v>
      </c>
      <c r="N1153" s="2" t="s">
        <v>38</v>
      </c>
      <c r="O1153" s="2" t="s">
        <v>54</v>
      </c>
      <c r="P1153" s="2" t="s">
        <v>5218</v>
      </c>
      <c r="Q1153" s="2" t="s">
        <v>7905</v>
      </c>
      <c r="R1153" s="2" t="s">
        <v>40</v>
      </c>
      <c r="S1153" s="2" t="s">
        <v>7906</v>
      </c>
      <c r="T1153" s="2" t="s">
        <v>2840</v>
      </c>
      <c r="U1153" s="2" t="s">
        <v>1591</v>
      </c>
      <c r="V1153" s="2" t="s">
        <v>7907</v>
      </c>
      <c r="W1153" s="1"/>
      <c r="X1153" s="2" t="s">
        <v>2843</v>
      </c>
      <c r="Y1153" s="2" t="s">
        <v>7594</v>
      </c>
      <c r="AA1153" t="str">
        <f t="shared" si="102"/>
        <v>2026-02</v>
      </c>
      <c r="AB1153" t="str">
        <f t="shared" si="103"/>
        <v>H1_2026</v>
      </c>
      <c r="AC1153">
        <f t="shared" si="104"/>
        <v>48949.78</v>
      </c>
      <c r="AD1153">
        <f t="shared" si="105"/>
        <v>4</v>
      </c>
      <c r="AE1153">
        <f t="shared" si="106"/>
        <v>22767.97</v>
      </c>
      <c r="AF1153" t="str">
        <f t="shared" si="107"/>
        <v>Paid</v>
      </c>
    </row>
    <row r="1154" spans="1:32" ht="27.75" thickBot="1" x14ac:dyDescent="0.35">
      <c r="A1154" s="2" t="s">
        <v>7908</v>
      </c>
      <c r="B1154" s="2" t="s">
        <v>27</v>
      </c>
      <c r="C1154" s="2" t="s">
        <v>28</v>
      </c>
      <c r="D1154" s="2" t="s">
        <v>97</v>
      </c>
      <c r="E1154" s="2" t="s">
        <v>7589</v>
      </c>
      <c r="F1154" s="2" t="s">
        <v>99</v>
      </c>
      <c r="G1154" s="2" t="s">
        <v>32</v>
      </c>
      <c r="H1154" s="1"/>
      <c r="I1154" s="2" t="s">
        <v>33</v>
      </c>
      <c r="J1154" s="2" t="s">
        <v>34</v>
      </c>
      <c r="K1154" s="2" t="s">
        <v>2845</v>
      </c>
      <c r="L1154" s="2" t="s">
        <v>2846</v>
      </c>
      <c r="M1154" s="2" t="s">
        <v>70</v>
      </c>
      <c r="N1154" s="2" t="s">
        <v>38</v>
      </c>
      <c r="O1154" s="2" t="s">
        <v>2639</v>
      </c>
      <c r="P1154" s="2" t="s">
        <v>5103</v>
      </c>
      <c r="Q1154" s="2" t="s">
        <v>7909</v>
      </c>
      <c r="R1154" s="2" t="s">
        <v>40</v>
      </c>
      <c r="S1154" s="2" t="s">
        <v>7910</v>
      </c>
      <c r="T1154" s="2" t="s">
        <v>2714</v>
      </c>
      <c r="U1154" s="2" t="s">
        <v>7911</v>
      </c>
      <c r="V1154" s="2" t="s">
        <v>7912</v>
      </c>
      <c r="W1154" s="1"/>
      <c r="X1154" s="2" t="s">
        <v>651</v>
      </c>
      <c r="Y1154" s="2" t="s">
        <v>7594</v>
      </c>
      <c r="AA1154" t="str">
        <f t="shared" si="102"/>
        <v>2026-02</v>
      </c>
      <c r="AB1154" t="str">
        <f t="shared" si="103"/>
        <v>H1_2026</v>
      </c>
      <c r="AC1154">
        <f t="shared" si="104"/>
        <v>2417588</v>
      </c>
      <c r="AD1154">
        <f t="shared" si="105"/>
        <v>318</v>
      </c>
      <c r="AE1154">
        <f t="shared" si="106"/>
        <v>740860.75</v>
      </c>
      <c r="AF1154" t="str">
        <f t="shared" si="107"/>
        <v>Paid</v>
      </c>
    </row>
    <row r="1155" spans="1:32" ht="27.75" thickBot="1" x14ac:dyDescent="0.35">
      <c r="A1155" s="2" t="s">
        <v>7913</v>
      </c>
      <c r="B1155" s="2" t="s">
        <v>27</v>
      </c>
      <c r="C1155" s="2" t="s">
        <v>28</v>
      </c>
      <c r="D1155" s="2" t="s">
        <v>97</v>
      </c>
      <c r="E1155" s="2" t="s">
        <v>7589</v>
      </c>
      <c r="F1155" s="2" t="s">
        <v>99</v>
      </c>
      <c r="G1155" s="2" t="s">
        <v>32</v>
      </c>
      <c r="H1155" s="1"/>
      <c r="I1155" s="2" t="s">
        <v>33</v>
      </c>
      <c r="J1155" s="2" t="s">
        <v>34</v>
      </c>
      <c r="K1155" s="2" t="s">
        <v>2880</v>
      </c>
      <c r="L1155" s="2" t="s">
        <v>2881</v>
      </c>
      <c r="M1155" s="2" t="s">
        <v>70</v>
      </c>
      <c r="N1155" s="2" t="s">
        <v>38</v>
      </c>
      <c r="O1155" s="2" t="s">
        <v>54</v>
      </c>
      <c r="P1155" s="2" t="s">
        <v>5455</v>
      </c>
      <c r="Q1155" s="2" t="s">
        <v>7914</v>
      </c>
      <c r="R1155" s="2" t="s">
        <v>40</v>
      </c>
      <c r="S1155" s="2" t="s">
        <v>7915</v>
      </c>
      <c r="T1155" s="2" t="s">
        <v>3762</v>
      </c>
      <c r="U1155" s="2" t="s">
        <v>7916</v>
      </c>
      <c r="V1155" s="2" t="s">
        <v>7917</v>
      </c>
      <c r="W1155" s="1"/>
      <c r="X1155" s="2" t="s">
        <v>7918</v>
      </c>
      <c r="Y1155" s="2" t="s">
        <v>7594</v>
      </c>
      <c r="AA1155" t="str">
        <f t="shared" si="102"/>
        <v>2026-02</v>
      </c>
      <c r="AB1155" t="str">
        <f t="shared" si="103"/>
        <v>H1_2026</v>
      </c>
      <c r="AC1155">
        <f t="shared" si="104"/>
        <v>31992.58</v>
      </c>
      <c r="AD1155">
        <f t="shared" si="105"/>
        <v>4</v>
      </c>
      <c r="AE1155">
        <f t="shared" si="106"/>
        <v>9447.1299999999992</v>
      </c>
      <c r="AF1155" t="str">
        <f t="shared" si="107"/>
        <v>Paid</v>
      </c>
    </row>
    <row r="1156" spans="1:32" ht="17.25" thickBot="1" x14ac:dyDescent="0.35">
      <c r="A1156" s="2" t="s">
        <v>7919</v>
      </c>
      <c r="B1156" s="2" t="s">
        <v>27</v>
      </c>
      <c r="C1156" s="2" t="s">
        <v>28</v>
      </c>
      <c r="D1156" s="2" t="s">
        <v>97</v>
      </c>
      <c r="E1156" s="2" t="s">
        <v>7589</v>
      </c>
      <c r="F1156" s="2" t="s">
        <v>99</v>
      </c>
      <c r="G1156" s="2" t="s">
        <v>32</v>
      </c>
      <c r="H1156" s="1"/>
      <c r="I1156" s="2" t="s">
        <v>33</v>
      </c>
      <c r="J1156" s="2" t="s">
        <v>34</v>
      </c>
      <c r="K1156" s="2" t="s">
        <v>2896</v>
      </c>
      <c r="L1156" s="2" t="s">
        <v>2897</v>
      </c>
      <c r="M1156" s="2" t="s">
        <v>70</v>
      </c>
      <c r="N1156" s="2" t="s">
        <v>38</v>
      </c>
      <c r="O1156" s="2" t="s">
        <v>174</v>
      </c>
      <c r="P1156" s="2" t="s">
        <v>7920</v>
      </c>
      <c r="Q1156" s="2" t="s">
        <v>7921</v>
      </c>
      <c r="R1156" s="2" t="s">
        <v>40</v>
      </c>
      <c r="S1156" s="2" t="s">
        <v>7922</v>
      </c>
      <c r="T1156" s="2" t="s">
        <v>7923</v>
      </c>
      <c r="U1156" s="2" t="s">
        <v>7924</v>
      </c>
      <c r="V1156" s="2" t="s">
        <v>7925</v>
      </c>
      <c r="W1156" s="1"/>
      <c r="X1156" s="2" t="s">
        <v>2894</v>
      </c>
      <c r="Y1156" s="2" t="s">
        <v>7594</v>
      </c>
      <c r="AA1156" t="str">
        <f t="shared" ref="AA1156:AA1219" si="108">LEFT(E1156,7)</f>
        <v>2026-02</v>
      </c>
      <c r="AB1156" t="str">
        <f t="shared" ref="AB1156:AB1219" si="109">IF(AND($AA1156&gt;="2025-01",$AA1156&lt;="2025-06"),"H1_2025",IF(AND($AA1156&gt;="2026-01",$AA1156&lt;="2026-06"),"H1_2026",""))</f>
        <v>H1_2026</v>
      </c>
      <c r="AC1156">
        <f t="shared" ref="AC1156:AC1219" si="110">IFERROR(VALUE(SUBSTITUTE(S1156,",","")),0)</f>
        <v>250881.77</v>
      </c>
      <c r="AD1156">
        <f t="shared" ref="AD1156:AD1219" si="111">IFERROR(VALUE(SUBSTITUTE(O1156,",","")),0)</f>
        <v>22</v>
      </c>
      <c r="AE1156">
        <f t="shared" ref="AE1156:AE1219" si="112">IFERROR(VALUE(SUBSTITUTE(V1156,",","")),0)</f>
        <v>76081.77</v>
      </c>
      <c r="AF1156" t="str">
        <f t="shared" ref="AF1156:AF1219" si="113">IF(ISNUMBER(SEARCH("FOC",W1156)),"FOC",IF(ISNUMBER(SEARCH("샘플",W1156)),"Sample","Paid"))</f>
        <v>Paid</v>
      </c>
    </row>
    <row r="1157" spans="1:32" ht="17.25" thickBot="1" x14ac:dyDescent="0.35">
      <c r="A1157" s="2" t="s">
        <v>7926</v>
      </c>
      <c r="B1157" s="2" t="s">
        <v>27</v>
      </c>
      <c r="C1157" s="2" t="s">
        <v>28</v>
      </c>
      <c r="D1157" s="2" t="s">
        <v>97</v>
      </c>
      <c r="E1157" s="2" t="s">
        <v>7589</v>
      </c>
      <c r="F1157" s="2" t="s">
        <v>99</v>
      </c>
      <c r="G1157" s="2" t="s">
        <v>32</v>
      </c>
      <c r="H1157" s="1"/>
      <c r="I1157" s="2" t="s">
        <v>33</v>
      </c>
      <c r="J1157" s="2" t="s">
        <v>34</v>
      </c>
      <c r="K1157" s="2" t="s">
        <v>2941</v>
      </c>
      <c r="L1157" s="2" t="s">
        <v>2942</v>
      </c>
      <c r="M1157" s="2" t="s">
        <v>2933</v>
      </c>
      <c r="N1157" s="2" t="s">
        <v>38</v>
      </c>
      <c r="O1157" s="2" t="s">
        <v>291</v>
      </c>
      <c r="P1157" s="2" t="s">
        <v>7927</v>
      </c>
      <c r="Q1157" s="2" t="s">
        <v>7928</v>
      </c>
      <c r="R1157" s="2" t="s">
        <v>40</v>
      </c>
      <c r="S1157" s="2" t="s">
        <v>7929</v>
      </c>
      <c r="T1157" s="2" t="s">
        <v>2946</v>
      </c>
      <c r="U1157" s="2" t="s">
        <v>7930</v>
      </c>
      <c r="V1157" s="2" t="s">
        <v>7931</v>
      </c>
      <c r="W1157" s="1"/>
      <c r="X1157" s="2" t="s">
        <v>2939</v>
      </c>
      <c r="Y1157" s="2" t="s">
        <v>7594</v>
      </c>
      <c r="AA1157" t="str">
        <f t="shared" si="108"/>
        <v>2026-02</v>
      </c>
      <c r="AB1157" t="str">
        <f t="shared" si="109"/>
        <v>H1_2026</v>
      </c>
      <c r="AC1157">
        <f t="shared" si="110"/>
        <v>213152</v>
      </c>
      <c r="AD1157">
        <f t="shared" si="111"/>
        <v>36</v>
      </c>
      <c r="AE1157">
        <f t="shared" si="112"/>
        <v>56061.08</v>
      </c>
      <c r="AF1157" t="str">
        <f t="shared" si="113"/>
        <v>Paid</v>
      </c>
    </row>
    <row r="1158" spans="1:32" ht="17.25" thickBot="1" x14ac:dyDescent="0.35">
      <c r="A1158" s="2" t="s">
        <v>7932</v>
      </c>
      <c r="B1158" s="2" t="s">
        <v>27</v>
      </c>
      <c r="C1158" s="2" t="s">
        <v>28</v>
      </c>
      <c r="D1158" s="2" t="s">
        <v>97</v>
      </c>
      <c r="E1158" s="2" t="s">
        <v>7589</v>
      </c>
      <c r="F1158" s="2" t="s">
        <v>99</v>
      </c>
      <c r="G1158" s="2" t="s">
        <v>32</v>
      </c>
      <c r="H1158" s="1"/>
      <c r="I1158" s="2" t="s">
        <v>33</v>
      </c>
      <c r="J1158" s="2" t="s">
        <v>34</v>
      </c>
      <c r="K1158" s="2" t="s">
        <v>2950</v>
      </c>
      <c r="L1158" s="2" t="s">
        <v>2951</v>
      </c>
      <c r="M1158" s="2" t="s">
        <v>2933</v>
      </c>
      <c r="N1158" s="2" t="s">
        <v>38</v>
      </c>
      <c r="O1158" s="2" t="s">
        <v>54</v>
      </c>
      <c r="P1158" s="2" t="s">
        <v>7933</v>
      </c>
      <c r="Q1158" s="2" t="s">
        <v>7934</v>
      </c>
      <c r="R1158" s="2" t="s">
        <v>40</v>
      </c>
      <c r="S1158" s="2" t="s">
        <v>7935</v>
      </c>
      <c r="T1158" s="2" t="s">
        <v>2955</v>
      </c>
      <c r="U1158" s="2" t="s">
        <v>7936</v>
      </c>
      <c r="V1158" s="2" t="s">
        <v>7937</v>
      </c>
      <c r="W1158" s="1"/>
      <c r="X1158" s="2" t="s">
        <v>2958</v>
      </c>
      <c r="Y1158" s="2" t="s">
        <v>7594</v>
      </c>
      <c r="AA1158" t="str">
        <f t="shared" si="108"/>
        <v>2026-02</v>
      </c>
      <c r="AB1158" t="str">
        <f t="shared" si="109"/>
        <v>H1_2026</v>
      </c>
      <c r="AC1158">
        <f t="shared" si="110"/>
        <v>50306.36</v>
      </c>
      <c r="AD1158">
        <f t="shared" si="111"/>
        <v>4</v>
      </c>
      <c r="AE1158">
        <f t="shared" si="112"/>
        <v>11546.36</v>
      </c>
      <c r="AF1158" t="str">
        <f t="shared" si="113"/>
        <v>Paid</v>
      </c>
    </row>
    <row r="1159" spans="1:32" ht="17.25" thickBot="1" x14ac:dyDescent="0.35">
      <c r="A1159" s="2" t="s">
        <v>7938</v>
      </c>
      <c r="B1159" s="2" t="s">
        <v>27</v>
      </c>
      <c r="C1159" s="2" t="s">
        <v>28</v>
      </c>
      <c r="D1159" s="2" t="s">
        <v>97</v>
      </c>
      <c r="E1159" s="2" t="s">
        <v>7589</v>
      </c>
      <c r="F1159" s="2" t="s">
        <v>99</v>
      </c>
      <c r="G1159" s="2" t="s">
        <v>32</v>
      </c>
      <c r="H1159" s="1"/>
      <c r="I1159" s="2" t="s">
        <v>33</v>
      </c>
      <c r="J1159" s="2" t="s">
        <v>34</v>
      </c>
      <c r="K1159" s="2" t="s">
        <v>2969</v>
      </c>
      <c r="L1159" s="2" t="s">
        <v>2970</v>
      </c>
      <c r="M1159" s="2" t="s">
        <v>2933</v>
      </c>
      <c r="N1159" s="2" t="s">
        <v>38</v>
      </c>
      <c r="O1159" s="2" t="s">
        <v>220</v>
      </c>
      <c r="P1159" s="2" t="s">
        <v>7939</v>
      </c>
      <c r="Q1159" s="2" t="s">
        <v>7940</v>
      </c>
      <c r="R1159" s="2" t="s">
        <v>40</v>
      </c>
      <c r="S1159" s="2" t="s">
        <v>7941</v>
      </c>
      <c r="T1159" s="2" t="s">
        <v>7942</v>
      </c>
      <c r="U1159" s="2" t="s">
        <v>7943</v>
      </c>
      <c r="V1159" s="2" t="s">
        <v>7944</v>
      </c>
      <c r="W1159" s="1"/>
      <c r="X1159" s="2" t="s">
        <v>1472</v>
      </c>
      <c r="Y1159" s="2" t="s">
        <v>7594</v>
      </c>
      <c r="AA1159" t="str">
        <f t="shared" si="108"/>
        <v>2026-02</v>
      </c>
      <c r="AB1159" t="str">
        <f t="shared" si="109"/>
        <v>H1_2026</v>
      </c>
      <c r="AC1159">
        <f t="shared" si="110"/>
        <v>359789.39</v>
      </c>
      <c r="AD1159">
        <f t="shared" si="111"/>
        <v>27</v>
      </c>
      <c r="AE1159">
        <f t="shared" si="112"/>
        <v>86842.03</v>
      </c>
      <c r="AF1159" t="str">
        <f t="shared" si="113"/>
        <v>Paid</v>
      </c>
    </row>
    <row r="1160" spans="1:32" ht="17.25" thickBot="1" x14ac:dyDescent="0.35">
      <c r="A1160" s="2" t="s">
        <v>7945</v>
      </c>
      <c r="B1160" s="2" t="s">
        <v>27</v>
      </c>
      <c r="C1160" s="2" t="s">
        <v>28</v>
      </c>
      <c r="D1160" s="2" t="s">
        <v>97</v>
      </c>
      <c r="E1160" s="2" t="s">
        <v>7589</v>
      </c>
      <c r="F1160" s="2" t="s">
        <v>99</v>
      </c>
      <c r="G1160" s="2" t="s">
        <v>32</v>
      </c>
      <c r="H1160" s="1"/>
      <c r="I1160" s="2" t="s">
        <v>33</v>
      </c>
      <c r="J1160" s="2" t="s">
        <v>34</v>
      </c>
      <c r="K1160" s="2" t="s">
        <v>2978</v>
      </c>
      <c r="L1160" s="2" t="s">
        <v>2979</v>
      </c>
      <c r="M1160" s="2" t="s">
        <v>2933</v>
      </c>
      <c r="N1160" s="2" t="s">
        <v>38</v>
      </c>
      <c r="O1160" s="2" t="s">
        <v>54</v>
      </c>
      <c r="P1160" s="2" t="s">
        <v>7946</v>
      </c>
      <c r="Q1160" s="2" t="s">
        <v>7947</v>
      </c>
      <c r="R1160" s="2" t="s">
        <v>40</v>
      </c>
      <c r="S1160" s="2" t="s">
        <v>7948</v>
      </c>
      <c r="T1160" s="2" t="s">
        <v>2983</v>
      </c>
      <c r="U1160" s="2" t="s">
        <v>7949</v>
      </c>
      <c r="V1160" s="2" t="s">
        <v>7950</v>
      </c>
      <c r="W1160" s="1"/>
      <c r="X1160" s="2" t="s">
        <v>2939</v>
      </c>
      <c r="Y1160" s="2" t="s">
        <v>7594</v>
      </c>
      <c r="AA1160" t="str">
        <f t="shared" si="108"/>
        <v>2026-02</v>
      </c>
      <c r="AB1160" t="str">
        <f t="shared" si="109"/>
        <v>H1_2026</v>
      </c>
      <c r="AC1160">
        <f t="shared" si="110"/>
        <v>56241.38</v>
      </c>
      <c r="AD1160">
        <f t="shared" si="111"/>
        <v>4</v>
      </c>
      <c r="AE1160">
        <f t="shared" si="112"/>
        <v>14786.83</v>
      </c>
      <c r="AF1160" t="str">
        <f t="shared" si="113"/>
        <v>Paid</v>
      </c>
    </row>
    <row r="1161" spans="1:32" ht="17.25" thickBot="1" x14ac:dyDescent="0.35">
      <c r="A1161" s="2" t="s">
        <v>7951</v>
      </c>
      <c r="B1161" s="2" t="s">
        <v>27</v>
      </c>
      <c r="C1161" s="2" t="s">
        <v>28</v>
      </c>
      <c r="D1161" s="2" t="s">
        <v>97</v>
      </c>
      <c r="E1161" s="2" t="s">
        <v>7589</v>
      </c>
      <c r="F1161" s="2" t="s">
        <v>99</v>
      </c>
      <c r="G1161" s="2" t="s">
        <v>32</v>
      </c>
      <c r="H1161" s="1"/>
      <c r="I1161" s="2" t="s">
        <v>33</v>
      </c>
      <c r="J1161" s="2" t="s">
        <v>34</v>
      </c>
      <c r="K1161" s="2" t="s">
        <v>7952</v>
      </c>
      <c r="L1161" s="2" t="s">
        <v>7953</v>
      </c>
      <c r="M1161" s="2" t="s">
        <v>772</v>
      </c>
      <c r="N1161" s="2" t="s">
        <v>38</v>
      </c>
      <c r="O1161" s="2" t="s">
        <v>7954</v>
      </c>
      <c r="P1161" s="2" t="s">
        <v>7955</v>
      </c>
      <c r="Q1161" s="2" t="s">
        <v>7956</v>
      </c>
      <c r="R1161" s="2" t="s">
        <v>40</v>
      </c>
      <c r="S1161" s="2" t="s">
        <v>7957</v>
      </c>
      <c r="T1161" s="2" t="s">
        <v>7958</v>
      </c>
      <c r="U1161" s="2" t="s">
        <v>7959</v>
      </c>
      <c r="V1161" s="2" t="s">
        <v>7960</v>
      </c>
      <c r="W1161" s="1"/>
      <c r="X1161" s="2" t="s">
        <v>7961</v>
      </c>
      <c r="Y1161" s="2" t="s">
        <v>7594</v>
      </c>
      <c r="AA1161" t="str">
        <f t="shared" si="108"/>
        <v>2026-02</v>
      </c>
      <c r="AB1161" t="str">
        <f t="shared" si="109"/>
        <v>H1_2026</v>
      </c>
      <c r="AC1161">
        <f t="shared" si="110"/>
        <v>30057484.859999999</v>
      </c>
      <c r="AD1161">
        <f t="shared" si="111"/>
        <v>2340</v>
      </c>
      <c r="AE1161">
        <f t="shared" si="112"/>
        <v>12273484.859999999</v>
      </c>
      <c r="AF1161" t="str">
        <f t="shared" si="113"/>
        <v>Paid</v>
      </c>
    </row>
    <row r="1162" spans="1:32" ht="17.25" thickBot="1" x14ac:dyDescent="0.35">
      <c r="A1162" s="2" t="s">
        <v>7962</v>
      </c>
      <c r="B1162" s="2" t="s">
        <v>27</v>
      </c>
      <c r="C1162" s="2" t="s">
        <v>28</v>
      </c>
      <c r="D1162" s="2" t="s">
        <v>97</v>
      </c>
      <c r="E1162" s="2" t="s">
        <v>7589</v>
      </c>
      <c r="F1162" s="2" t="s">
        <v>99</v>
      </c>
      <c r="G1162" s="2" t="s">
        <v>32</v>
      </c>
      <c r="H1162" s="1"/>
      <c r="I1162" s="2" t="s">
        <v>33</v>
      </c>
      <c r="J1162" s="2" t="s">
        <v>34</v>
      </c>
      <c r="K1162" s="2" t="s">
        <v>7963</v>
      </c>
      <c r="L1162" s="2" t="s">
        <v>7964</v>
      </c>
      <c r="M1162" s="2" t="s">
        <v>772</v>
      </c>
      <c r="N1162" s="2" t="s">
        <v>38</v>
      </c>
      <c r="O1162" s="2" t="s">
        <v>673</v>
      </c>
      <c r="P1162" s="2" t="s">
        <v>7965</v>
      </c>
      <c r="Q1162" s="2" t="s">
        <v>7966</v>
      </c>
      <c r="R1162" s="2" t="s">
        <v>40</v>
      </c>
      <c r="S1162" s="2" t="s">
        <v>7967</v>
      </c>
      <c r="T1162" s="2" t="s">
        <v>297</v>
      </c>
      <c r="U1162" s="2" t="s">
        <v>3222</v>
      </c>
      <c r="V1162" s="2" t="s">
        <v>7968</v>
      </c>
      <c r="W1162" s="1"/>
      <c r="X1162" s="2" t="s">
        <v>827</v>
      </c>
      <c r="Y1162" s="2" t="s">
        <v>7594</v>
      </c>
      <c r="AA1162" t="str">
        <f t="shared" si="108"/>
        <v>2026-02</v>
      </c>
      <c r="AB1162" t="str">
        <f t="shared" si="109"/>
        <v>H1_2026</v>
      </c>
      <c r="AC1162">
        <f t="shared" si="110"/>
        <v>785881.43</v>
      </c>
      <c r="AD1162">
        <f t="shared" si="111"/>
        <v>78</v>
      </c>
      <c r="AE1162">
        <f t="shared" si="112"/>
        <v>161881.43</v>
      </c>
      <c r="AF1162" t="str">
        <f t="shared" si="113"/>
        <v>Paid</v>
      </c>
    </row>
    <row r="1163" spans="1:32" ht="17.25" thickBot="1" x14ac:dyDescent="0.35">
      <c r="A1163" s="2" t="s">
        <v>7969</v>
      </c>
      <c r="B1163" s="2" t="s">
        <v>27</v>
      </c>
      <c r="C1163" s="2" t="s">
        <v>28</v>
      </c>
      <c r="D1163" s="2" t="s">
        <v>97</v>
      </c>
      <c r="E1163" s="2" t="s">
        <v>7589</v>
      </c>
      <c r="F1163" s="2" t="s">
        <v>99</v>
      </c>
      <c r="G1163" s="2" t="s">
        <v>32</v>
      </c>
      <c r="H1163" s="1"/>
      <c r="I1163" s="2" t="s">
        <v>33</v>
      </c>
      <c r="J1163" s="2" t="s">
        <v>34</v>
      </c>
      <c r="K1163" s="2" t="s">
        <v>7970</v>
      </c>
      <c r="L1163" s="2" t="s">
        <v>7971</v>
      </c>
      <c r="M1163" s="2" t="s">
        <v>772</v>
      </c>
      <c r="N1163" s="2" t="s">
        <v>38</v>
      </c>
      <c r="O1163" s="2" t="s">
        <v>131</v>
      </c>
      <c r="P1163" s="2" t="s">
        <v>7972</v>
      </c>
      <c r="Q1163" s="2" t="s">
        <v>7973</v>
      </c>
      <c r="R1163" s="2" t="s">
        <v>40</v>
      </c>
      <c r="S1163" s="2" t="s">
        <v>7974</v>
      </c>
      <c r="T1163" s="2" t="s">
        <v>7175</v>
      </c>
      <c r="U1163" s="2" t="s">
        <v>7975</v>
      </c>
      <c r="V1163" s="2" t="s">
        <v>7976</v>
      </c>
      <c r="W1163" s="1"/>
      <c r="X1163" s="2" t="s">
        <v>3583</v>
      </c>
      <c r="Y1163" s="2" t="s">
        <v>7594</v>
      </c>
      <c r="AA1163" t="str">
        <f t="shared" si="108"/>
        <v>2026-02</v>
      </c>
      <c r="AB1163" t="str">
        <f t="shared" si="109"/>
        <v>H1_2026</v>
      </c>
      <c r="AC1163">
        <f t="shared" si="110"/>
        <v>347057.36</v>
      </c>
      <c r="AD1163">
        <f t="shared" si="111"/>
        <v>40</v>
      </c>
      <c r="AE1163">
        <f t="shared" si="112"/>
        <v>68657.36</v>
      </c>
      <c r="AF1163" t="str">
        <f t="shared" si="113"/>
        <v>Paid</v>
      </c>
    </row>
    <row r="1164" spans="1:32" ht="17.25" thickBot="1" x14ac:dyDescent="0.35">
      <c r="A1164" s="2" t="s">
        <v>7977</v>
      </c>
      <c r="B1164" s="2" t="s">
        <v>27</v>
      </c>
      <c r="C1164" s="2" t="s">
        <v>28</v>
      </c>
      <c r="D1164" s="2" t="s">
        <v>97</v>
      </c>
      <c r="E1164" s="2" t="s">
        <v>7589</v>
      </c>
      <c r="F1164" s="2" t="s">
        <v>99</v>
      </c>
      <c r="G1164" s="2" t="s">
        <v>32</v>
      </c>
      <c r="H1164" s="1"/>
      <c r="I1164" s="2" t="s">
        <v>33</v>
      </c>
      <c r="J1164" s="2" t="s">
        <v>34</v>
      </c>
      <c r="K1164" s="2" t="s">
        <v>840</v>
      </c>
      <c r="L1164" s="2" t="s">
        <v>841</v>
      </c>
      <c r="M1164" s="2" t="s">
        <v>772</v>
      </c>
      <c r="N1164" s="2" t="s">
        <v>38</v>
      </c>
      <c r="O1164" s="2" t="s">
        <v>131</v>
      </c>
      <c r="P1164" s="2" t="s">
        <v>7965</v>
      </c>
      <c r="Q1164" s="2" t="s">
        <v>7978</v>
      </c>
      <c r="R1164" s="2" t="s">
        <v>40</v>
      </c>
      <c r="S1164" s="2" t="s">
        <v>7979</v>
      </c>
      <c r="T1164" s="2" t="s">
        <v>297</v>
      </c>
      <c r="U1164" s="2" t="s">
        <v>7980</v>
      </c>
      <c r="V1164" s="2" t="s">
        <v>7981</v>
      </c>
      <c r="W1164" s="1"/>
      <c r="X1164" s="2" t="s">
        <v>827</v>
      </c>
      <c r="Y1164" s="2" t="s">
        <v>7594</v>
      </c>
      <c r="AA1164" t="str">
        <f t="shared" si="108"/>
        <v>2026-02</v>
      </c>
      <c r="AB1164" t="str">
        <f t="shared" si="109"/>
        <v>H1_2026</v>
      </c>
      <c r="AC1164">
        <f t="shared" si="110"/>
        <v>403016.12</v>
      </c>
      <c r="AD1164">
        <f t="shared" si="111"/>
        <v>40</v>
      </c>
      <c r="AE1164">
        <f t="shared" si="112"/>
        <v>83016.12</v>
      </c>
      <c r="AF1164" t="str">
        <f t="shared" si="113"/>
        <v>Paid</v>
      </c>
    </row>
    <row r="1165" spans="1:32" ht="17.25" thickBot="1" x14ac:dyDescent="0.35">
      <c r="A1165" s="2" t="s">
        <v>7982</v>
      </c>
      <c r="B1165" s="2" t="s">
        <v>27</v>
      </c>
      <c r="C1165" s="2" t="s">
        <v>28</v>
      </c>
      <c r="D1165" s="2" t="s">
        <v>97</v>
      </c>
      <c r="E1165" s="2" t="s">
        <v>7589</v>
      </c>
      <c r="F1165" s="2" t="s">
        <v>99</v>
      </c>
      <c r="G1165" s="2" t="s">
        <v>32</v>
      </c>
      <c r="H1165" s="1"/>
      <c r="I1165" s="2" t="s">
        <v>33</v>
      </c>
      <c r="J1165" s="2" t="s">
        <v>34</v>
      </c>
      <c r="K1165" s="2" t="s">
        <v>858</v>
      </c>
      <c r="L1165" s="2" t="s">
        <v>859</v>
      </c>
      <c r="M1165" s="2" t="s">
        <v>772</v>
      </c>
      <c r="N1165" s="2" t="s">
        <v>38</v>
      </c>
      <c r="O1165" s="2" t="s">
        <v>517</v>
      </c>
      <c r="P1165" s="2" t="s">
        <v>7120</v>
      </c>
      <c r="Q1165" s="2" t="s">
        <v>7983</v>
      </c>
      <c r="R1165" s="2" t="s">
        <v>40</v>
      </c>
      <c r="S1165" s="2" t="s">
        <v>7984</v>
      </c>
      <c r="T1165" s="2" t="s">
        <v>864</v>
      </c>
      <c r="U1165" s="2" t="s">
        <v>163</v>
      </c>
      <c r="V1165" s="2" t="s">
        <v>7985</v>
      </c>
      <c r="W1165" s="1"/>
      <c r="X1165" s="2" t="s">
        <v>155</v>
      </c>
      <c r="Y1165" s="2" t="s">
        <v>7594</v>
      </c>
      <c r="AA1165" t="str">
        <f t="shared" si="108"/>
        <v>2026-02</v>
      </c>
      <c r="AB1165" t="str">
        <f t="shared" si="109"/>
        <v>H1_2026</v>
      </c>
      <c r="AC1165">
        <f t="shared" si="110"/>
        <v>1117479.48</v>
      </c>
      <c r="AD1165">
        <f t="shared" si="111"/>
        <v>120</v>
      </c>
      <c r="AE1165">
        <f t="shared" si="112"/>
        <v>217479.48</v>
      </c>
      <c r="AF1165" t="str">
        <f t="shared" si="113"/>
        <v>Paid</v>
      </c>
    </row>
    <row r="1166" spans="1:32" ht="17.25" thickBot="1" x14ac:dyDescent="0.35">
      <c r="A1166" s="2" t="s">
        <v>7986</v>
      </c>
      <c r="B1166" s="2" t="s">
        <v>27</v>
      </c>
      <c r="C1166" s="2" t="s">
        <v>28</v>
      </c>
      <c r="D1166" s="2" t="s">
        <v>97</v>
      </c>
      <c r="E1166" s="2" t="s">
        <v>7589</v>
      </c>
      <c r="F1166" s="2" t="s">
        <v>99</v>
      </c>
      <c r="G1166" s="2" t="s">
        <v>32</v>
      </c>
      <c r="H1166" s="1"/>
      <c r="I1166" s="2" t="s">
        <v>33</v>
      </c>
      <c r="J1166" s="2" t="s">
        <v>34</v>
      </c>
      <c r="K1166" s="2" t="s">
        <v>918</v>
      </c>
      <c r="L1166" s="2" t="s">
        <v>919</v>
      </c>
      <c r="M1166" s="2" t="s">
        <v>772</v>
      </c>
      <c r="N1166" s="2" t="s">
        <v>38</v>
      </c>
      <c r="O1166" s="2" t="s">
        <v>221</v>
      </c>
      <c r="P1166" s="2" t="s">
        <v>6567</v>
      </c>
      <c r="Q1166" s="2" t="s">
        <v>7987</v>
      </c>
      <c r="R1166" s="2" t="s">
        <v>40</v>
      </c>
      <c r="S1166" s="2" t="s">
        <v>7988</v>
      </c>
      <c r="T1166" s="2" t="s">
        <v>913</v>
      </c>
      <c r="U1166" s="2" t="s">
        <v>7989</v>
      </c>
      <c r="V1166" s="2" t="s">
        <v>7990</v>
      </c>
      <c r="W1166" s="1"/>
      <c r="X1166" s="2" t="s">
        <v>5228</v>
      </c>
      <c r="Y1166" s="2" t="s">
        <v>7594</v>
      </c>
      <c r="AA1166" t="str">
        <f t="shared" si="108"/>
        <v>2026-02</v>
      </c>
      <c r="AB1166" t="str">
        <f t="shared" si="109"/>
        <v>H1_2026</v>
      </c>
      <c r="AC1166">
        <f t="shared" si="110"/>
        <v>1843812.88</v>
      </c>
      <c r="AD1166">
        <f t="shared" si="111"/>
        <v>140</v>
      </c>
      <c r="AE1166">
        <f t="shared" si="112"/>
        <v>348612.88</v>
      </c>
      <c r="AF1166" t="str">
        <f t="shared" si="113"/>
        <v>Paid</v>
      </c>
    </row>
    <row r="1167" spans="1:32" ht="17.25" thickBot="1" x14ac:dyDescent="0.35">
      <c r="A1167" s="2" t="s">
        <v>7991</v>
      </c>
      <c r="B1167" s="2" t="s">
        <v>27</v>
      </c>
      <c r="C1167" s="2" t="s">
        <v>28</v>
      </c>
      <c r="D1167" s="2" t="s">
        <v>97</v>
      </c>
      <c r="E1167" s="2" t="s">
        <v>7589</v>
      </c>
      <c r="F1167" s="2" t="s">
        <v>99</v>
      </c>
      <c r="G1167" s="2" t="s">
        <v>32</v>
      </c>
      <c r="H1167" s="1"/>
      <c r="I1167" s="2" t="s">
        <v>33</v>
      </c>
      <c r="J1167" s="2" t="s">
        <v>34</v>
      </c>
      <c r="K1167" s="2" t="s">
        <v>7992</v>
      </c>
      <c r="L1167" s="2" t="s">
        <v>7993</v>
      </c>
      <c r="M1167" s="2" t="s">
        <v>772</v>
      </c>
      <c r="N1167" s="2" t="s">
        <v>38</v>
      </c>
      <c r="O1167" s="2" t="s">
        <v>4575</v>
      </c>
      <c r="P1167" s="2" t="s">
        <v>7994</v>
      </c>
      <c r="Q1167" s="2" t="s">
        <v>7995</v>
      </c>
      <c r="R1167" s="2" t="s">
        <v>40</v>
      </c>
      <c r="S1167" s="2" t="s">
        <v>7996</v>
      </c>
      <c r="T1167" s="2" t="s">
        <v>942</v>
      </c>
      <c r="U1167" s="2" t="s">
        <v>7997</v>
      </c>
      <c r="V1167" s="2" t="s">
        <v>7998</v>
      </c>
      <c r="W1167" s="1"/>
      <c r="X1167" s="2" t="s">
        <v>3583</v>
      </c>
      <c r="Y1167" s="2" t="s">
        <v>7594</v>
      </c>
      <c r="AA1167" t="str">
        <f t="shared" si="108"/>
        <v>2026-02</v>
      </c>
      <c r="AB1167" t="str">
        <f t="shared" si="109"/>
        <v>H1_2026</v>
      </c>
      <c r="AC1167">
        <f t="shared" si="110"/>
        <v>14456860.859999999</v>
      </c>
      <c r="AD1167">
        <f t="shared" si="111"/>
        <v>1180</v>
      </c>
      <c r="AE1167">
        <f t="shared" si="112"/>
        <v>2858640.86</v>
      </c>
      <c r="AF1167" t="str">
        <f t="shared" si="113"/>
        <v>Paid</v>
      </c>
    </row>
    <row r="1168" spans="1:32" ht="17.25" thickBot="1" x14ac:dyDescent="0.35">
      <c r="A1168" s="2" t="s">
        <v>7999</v>
      </c>
      <c r="B1168" s="2" t="s">
        <v>27</v>
      </c>
      <c r="C1168" s="2" t="s">
        <v>28</v>
      </c>
      <c r="D1168" s="2" t="s">
        <v>97</v>
      </c>
      <c r="E1168" s="2" t="s">
        <v>7589</v>
      </c>
      <c r="F1168" s="2" t="s">
        <v>99</v>
      </c>
      <c r="G1168" s="2" t="s">
        <v>32</v>
      </c>
      <c r="H1168" s="1"/>
      <c r="I1168" s="2" t="s">
        <v>33</v>
      </c>
      <c r="J1168" s="2" t="s">
        <v>34</v>
      </c>
      <c r="K1168" s="2" t="s">
        <v>988</v>
      </c>
      <c r="L1168" s="2" t="s">
        <v>989</v>
      </c>
      <c r="M1168" s="2" t="s">
        <v>772</v>
      </c>
      <c r="N1168" s="2" t="s">
        <v>38</v>
      </c>
      <c r="O1168" s="2" t="s">
        <v>1333</v>
      </c>
      <c r="P1168" s="2" t="s">
        <v>6078</v>
      </c>
      <c r="Q1168" s="2" t="s">
        <v>8000</v>
      </c>
      <c r="R1168" s="2" t="s">
        <v>40</v>
      </c>
      <c r="S1168" s="2" t="s">
        <v>8001</v>
      </c>
      <c r="T1168" s="2" t="s">
        <v>994</v>
      </c>
      <c r="U1168" s="2" t="s">
        <v>8002</v>
      </c>
      <c r="V1168" s="2" t="s">
        <v>8003</v>
      </c>
      <c r="W1168" s="1"/>
      <c r="X1168" s="2" t="s">
        <v>3310</v>
      </c>
      <c r="Y1168" s="2" t="s">
        <v>7594</v>
      </c>
      <c r="AA1168" t="str">
        <f t="shared" si="108"/>
        <v>2026-02</v>
      </c>
      <c r="AB1168" t="str">
        <f t="shared" si="109"/>
        <v>H1_2026</v>
      </c>
      <c r="AC1168">
        <f t="shared" si="110"/>
        <v>1931001.15</v>
      </c>
      <c r="AD1168">
        <f t="shared" si="111"/>
        <v>150</v>
      </c>
      <c r="AE1168">
        <f t="shared" si="112"/>
        <v>378501.15</v>
      </c>
      <c r="AF1168" t="str">
        <f t="shared" si="113"/>
        <v>Paid</v>
      </c>
    </row>
    <row r="1169" spans="1:32" ht="17.25" thickBot="1" x14ac:dyDescent="0.35">
      <c r="A1169" s="2" t="s">
        <v>8004</v>
      </c>
      <c r="B1169" s="2" t="s">
        <v>27</v>
      </c>
      <c r="C1169" s="2" t="s">
        <v>28</v>
      </c>
      <c r="D1169" s="2" t="s">
        <v>97</v>
      </c>
      <c r="E1169" s="2" t="s">
        <v>7589</v>
      </c>
      <c r="F1169" s="2" t="s">
        <v>99</v>
      </c>
      <c r="G1169" s="2" t="s">
        <v>32</v>
      </c>
      <c r="H1169" s="1"/>
      <c r="I1169" s="2" t="s">
        <v>33</v>
      </c>
      <c r="J1169" s="2" t="s">
        <v>34</v>
      </c>
      <c r="K1169" s="2" t="s">
        <v>8005</v>
      </c>
      <c r="L1169" s="2" t="s">
        <v>8006</v>
      </c>
      <c r="M1169" s="2" t="s">
        <v>772</v>
      </c>
      <c r="N1169" s="2" t="s">
        <v>38</v>
      </c>
      <c r="O1169" s="2" t="s">
        <v>3864</v>
      </c>
      <c r="P1169" s="2" t="s">
        <v>4302</v>
      </c>
      <c r="Q1169" s="2" t="s">
        <v>8007</v>
      </c>
      <c r="R1169" s="2" t="s">
        <v>40</v>
      </c>
      <c r="S1169" s="2" t="s">
        <v>8008</v>
      </c>
      <c r="T1169" s="2" t="s">
        <v>1039</v>
      </c>
      <c r="U1169" s="2" t="s">
        <v>8009</v>
      </c>
      <c r="V1169" s="2" t="s">
        <v>8010</v>
      </c>
      <c r="W1169" s="1"/>
      <c r="X1169" s="2" t="s">
        <v>3583</v>
      </c>
      <c r="Y1169" s="2" t="s">
        <v>7594</v>
      </c>
      <c r="AA1169" t="str">
        <f t="shared" si="108"/>
        <v>2026-02</v>
      </c>
      <c r="AB1169" t="str">
        <f t="shared" si="109"/>
        <v>H1_2026</v>
      </c>
      <c r="AC1169">
        <f t="shared" si="110"/>
        <v>5405616.2199999997</v>
      </c>
      <c r="AD1169">
        <f t="shared" si="111"/>
        <v>504</v>
      </c>
      <c r="AE1169">
        <f t="shared" si="112"/>
        <v>1071216.22</v>
      </c>
      <c r="AF1169" t="str">
        <f t="shared" si="113"/>
        <v>Paid</v>
      </c>
    </row>
    <row r="1170" spans="1:32" ht="17.25" thickBot="1" x14ac:dyDescent="0.35">
      <c r="A1170" s="2" t="s">
        <v>8011</v>
      </c>
      <c r="B1170" s="2" t="s">
        <v>27</v>
      </c>
      <c r="C1170" s="2" t="s">
        <v>28</v>
      </c>
      <c r="D1170" s="2" t="s">
        <v>97</v>
      </c>
      <c r="E1170" s="2" t="s">
        <v>7589</v>
      </c>
      <c r="F1170" s="2" t="s">
        <v>99</v>
      </c>
      <c r="G1170" s="2" t="s">
        <v>32</v>
      </c>
      <c r="H1170" s="1"/>
      <c r="I1170" s="2" t="s">
        <v>33</v>
      </c>
      <c r="J1170" s="2" t="s">
        <v>34</v>
      </c>
      <c r="K1170" s="2" t="s">
        <v>1065</v>
      </c>
      <c r="L1170" s="2" t="s">
        <v>1066</v>
      </c>
      <c r="M1170" s="2" t="s">
        <v>772</v>
      </c>
      <c r="N1170" s="2" t="s">
        <v>38</v>
      </c>
      <c r="O1170" s="2" t="s">
        <v>51</v>
      </c>
      <c r="P1170" s="2" t="s">
        <v>7626</v>
      </c>
      <c r="Q1170" s="2" t="s">
        <v>8012</v>
      </c>
      <c r="R1170" s="2" t="s">
        <v>40</v>
      </c>
      <c r="S1170" s="2" t="s">
        <v>8013</v>
      </c>
      <c r="T1170" s="2" t="s">
        <v>864</v>
      </c>
      <c r="U1170" s="2" t="s">
        <v>8014</v>
      </c>
      <c r="V1170" s="2" t="s">
        <v>8015</v>
      </c>
      <c r="W1170" s="1"/>
      <c r="X1170" s="2" t="s">
        <v>1299</v>
      </c>
      <c r="Y1170" s="2" t="s">
        <v>7594</v>
      </c>
      <c r="AA1170" t="str">
        <f t="shared" si="108"/>
        <v>2026-02</v>
      </c>
      <c r="AB1170" t="str">
        <f t="shared" si="109"/>
        <v>H1_2026</v>
      </c>
      <c r="AC1170">
        <f t="shared" si="110"/>
        <v>27597.84</v>
      </c>
      <c r="AD1170">
        <f t="shared" si="111"/>
        <v>3</v>
      </c>
      <c r="AE1170">
        <f t="shared" si="112"/>
        <v>5097.84</v>
      </c>
      <c r="AF1170" t="str">
        <f t="shared" si="113"/>
        <v>Paid</v>
      </c>
    </row>
    <row r="1171" spans="1:32" ht="17.25" thickBot="1" x14ac:dyDescent="0.35">
      <c r="A1171" s="2" t="s">
        <v>8016</v>
      </c>
      <c r="B1171" s="2" t="s">
        <v>27</v>
      </c>
      <c r="C1171" s="2" t="s">
        <v>28</v>
      </c>
      <c r="D1171" s="2" t="s">
        <v>97</v>
      </c>
      <c r="E1171" s="2" t="s">
        <v>7589</v>
      </c>
      <c r="F1171" s="2" t="s">
        <v>99</v>
      </c>
      <c r="G1171" s="2" t="s">
        <v>32</v>
      </c>
      <c r="H1171" s="1"/>
      <c r="I1171" s="2" t="s">
        <v>33</v>
      </c>
      <c r="J1171" s="2" t="s">
        <v>34</v>
      </c>
      <c r="K1171" s="2" t="s">
        <v>3049</v>
      </c>
      <c r="L1171" s="2" t="s">
        <v>3050</v>
      </c>
      <c r="M1171" s="2" t="s">
        <v>3051</v>
      </c>
      <c r="N1171" s="2" t="s">
        <v>38</v>
      </c>
      <c r="O1171" s="2" t="s">
        <v>737</v>
      </c>
      <c r="P1171" s="2" t="s">
        <v>5112</v>
      </c>
      <c r="Q1171" s="2" t="s">
        <v>8017</v>
      </c>
      <c r="R1171" s="2" t="s">
        <v>40</v>
      </c>
      <c r="S1171" s="2" t="s">
        <v>8018</v>
      </c>
      <c r="T1171" s="2" t="s">
        <v>3054</v>
      </c>
      <c r="U1171" s="2" t="s">
        <v>8019</v>
      </c>
      <c r="V1171" s="2" t="s">
        <v>8020</v>
      </c>
      <c r="W1171" s="1"/>
      <c r="X1171" s="2" t="s">
        <v>2939</v>
      </c>
      <c r="Y1171" s="2" t="s">
        <v>7594</v>
      </c>
      <c r="AA1171" t="str">
        <f t="shared" si="108"/>
        <v>2026-02</v>
      </c>
      <c r="AB1171" t="str">
        <f t="shared" si="109"/>
        <v>H1_2026</v>
      </c>
      <c r="AC1171">
        <f t="shared" si="110"/>
        <v>596964.1</v>
      </c>
      <c r="AD1171">
        <f t="shared" si="111"/>
        <v>85</v>
      </c>
      <c r="AE1171">
        <f t="shared" si="112"/>
        <v>157205.01</v>
      </c>
      <c r="AF1171" t="str">
        <f t="shared" si="113"/>
        <v>Paid</v>
      </c>
    </row>
    <row r="1172" spans="1:32" ht="17.25" thickBot="1" x14ac:dyDescent="0.35">
      <c r="A1172" s="2" t="s">
        <v>8021</v>
      </c>
      <c r="B1172" s="2" t="s">
        <v>27</v>
      </c>
      <c r="C1172" s="2" t="s">
        <v>28</v>
      </c>
      <c r="D1172" s="2" t="s">
        <v>97</v>
      </c>
      <c r="E1172" s="2" t="s">
        <v>7589</v>
      </c>
      <c r="F1172" s="2" t="s">
        <v>99</v>
      </c>
      <c r="G1172" s="2" t="s">
        <v>32</v>
      </c>
      <c r="H1172" s="1"/>
      <c r="I1172" s="2" t="s">
        <v>33</v>
      </c>
      <c r="J1172" s="2" t="s">
        <v>34</v>
      </c>
      <c r="K1172" s="2" t="s">
        <v>3058</v>
      </c>
      <c r="L1172" s="2" t="s">
        <v>3059</v>
      </c>
      <c r="M1172" s="2" t="s">
        <v>3051</v>
      </c>
      <c r="N1172" s="2" t="s">
        <v>38</v>
      </c>
      <c r="O1172" s="2" t="s">
        <v>587</v>
      </c>
      <c r="P1172" s="2" t="s">
        <v>5112</v>
      </c>
      <c r="Q1172" s="2" t="s">
        <v>8022</v>
      </c>
      <c r="R1172" s="2" t="s">
        <v>40</v>
      </c>
      <c r="S1172" s="2" t="s">
        <v>8023</v>
      </c>
      <c r="T1172" s="2" t="s">
        <v>8024</v>
      </c>
      <c r="U1172" s="2" t="s">
        <v>8025</v>
      </c>
      <c r="V1172" s="2" t="s">
        <v>8026</v>
      </c>
      <c r="W1172" s="1"/>
      <c r="X1172" s="2" t="s">
        <v>2939</v>
      </c>
      <c r="Y1172" s="2" t="s">
        <v>7594</v>
      </c>
      <c r="AA1172" t="str">
        <f t="shared" si="108"/>
        <v>2026-02</v>
      </c>
      <c r="AB1172" t="str">
        <f t="shared" si="109"/>
        <v>H1_2026</v>
      </c>
      <c r="AC1172">
        <f t="shared" si="110"/>
        <v>477571.28</v>
      </c>
      <c r="AD1172">
        <f t="shared" si="111"/>
        <v>68</v>
      </c>
      <c r="AE1172">
        <f t="shared" si="112"/>
        <v>125739.28</v>
      </c>
      <c r="AF1172" t="str">
        <f t="shared" si="113"/>
        <v>Paid</v>
      </c>
    </row>
    <row r="1173" spans="1:32" ht="27.75" thickBot="1" x14ac:dyDescent="0.35">
      <c r="A1173" s="2" t="s">
        <v>8027</v>
      </c>
      <c r="B1173" s="2" t="s">
        <v>27</v>
      </c>
      <c r="C1173" s="2" t="s">
        <v>28</v>
      </c>
      <c r="D1173" s="2" t="s">
        <v>97</v>
      </c>
      <c r="E1173" s="2" t="s">
        <v>7589</v>
      </c>
      <c r="F1173" s="2" t="s">
        <v>99</v>
      </c>
      <c r="G1173" s="2" t="s">
        <v>32</v>
      </c>
      <c r="H1173" s="1"/>
      <c r="I1173" s="2" t="s">
        <v>33</v>
      </c>
      <c r="J1173" s="2" t="s">
        <v>34</v>
      </c>
      <c r="K1173" s="2" t="s">
        <v>3075</v>
      </c>
      <c r="L1173" s="2" t="s">
        <v>3076</v>
      </c>
      <c r="M1173" s="2" t="s">
        <v>3067</v>
      </c>
      <c r="N1173" s="2" t="s">
        <v>38</v>
      </c>
      <c r="O1173" s="2" t="s">
        <v>541</v>
      </c>
      <c r="P1173" s="2" t="s">
        <v>5351</v>
      </c>
      <c r="Q1173" s="2" t="s">
        <v>8028</v>
      </c>
      <c r="R1173" s="2" t="s">
        <v>40</v>
      </c>
      <c r="S1173" s="2" t="s">
        <v>8029</v>
      </c>
      <c r="T1173" s="2" t="s">
        <v>3079</v>
      </c>
      <c r="U1173" s="2" t="s">
        <v>8030</v>
      </c>
      <c r="V1173" s="2" t="s">
        <v>8031</v>
      </c>
      <c r="W1173" s="1"/>
      <c r="X1173" s="2" t="s">
        <v>155</v>
      </c>
      <c r="Y1173" s="2" t="s">
        <v>7594</v>
      </c>
      <c r="AA1173" t="str">
        <f t="shared" si="108"/>
        <v>2026-02</v>
      </c>
      <c r="AB1173" t="str">
        <f t="shared" si="109"/>
        <v>H1_2026</v>
      </c>
      <c r="AC1173">
        <f t="shared" si="110"/>
        <v>454029.03</v>
      </c>
      <c r="AD1173">
        <f t="shared" si="111"/>
        <v>63</v>
      </c>
      <c r="AE1173">
        <f t="shared" si="112"/>
        <v>88629.03</v>
      </c>
      <c r="AF1173" t="str">
        <f t="shared" si="113"/>
        <v>Paid</v>
      </c>
    </row>
    <row r="1174" spans="1:32" ht="27.75" thickBot="1" x14ac:dyDescent="0.35">
      <c r="A1174" s="2" t="s">
        <v>8032</v>
      </c>
      <c r="B1174" s="2" t="s">
        <v>27</v>
      </c>
      <c r="C1174" s="2" t="s">
        <v>28</v>
      </c>
      <c r="D1174" s="2" t="s">
        <v>97</v>
      </c>
      <c r="E1174" s="2" t="s">
        <v>7589</v>
      </c>
      <c r="F1174" s="2" t="s">
        <v>99</v>
      </c>
      <c r="G1174" s="2" t="s">
        <v>32</v>
      </c>
      <c r="H1174" s="1"/>
      <c r="I1174" s="2" t="s">
        <v>33</v>
      </c>
      <c r="J1174" s="2" t="s">
        <v>34</v>
      </c>
      <c r="K1174" s="2" t="s">
        <v>8033</v>
      </c>
      <c r="L1174" s="2" t="s">
        <v>8034</v>
      </c>
      <c r="M1174" s="2" t="s">
        <v>3067</v>
      </c>
      <c r="N1174" s="2" t="s">
        <v>38</v>
      </c>
      <c r="O1174" s="2" t="s">
        <v>490</v>
      </c>
      <c r="P1174" s="2" t="s">
        <v>5351</v>
      </c>
      <c r="Q1174" s="2" t="s">
        <v>8035</v>
      </c>
      <c r="R1174" s="2" t="s">
        <v>40</v>
      </c>
      <c r="S1174" s="2" t="s">
        <v>8036</v>
      </c>
      <c r="T1174" s="2" t="s">
        <v>3079</v>
      </c>
      <c r="U1174" s="2" t="s">
        <v>8037</v>
      </c>
      <c r="V1174" s="2" t="s">
        <v>8038</v>
      </c>
      <c r="W1174" s="1"/>
      <c r="X1174" s="2" t="s">
        <v>155</v>
      </c>
      <c r="Y1174" s="2" t="s">
        <v>7594</v>
      </c>
      <c r="AA1174" t="str">
        <f t="shared" si="108"/>
        <v>2026-02</v>
      </c>
      <c r="AB1174" t="str">
        <f t="shared" si="109"/>
        <v>H1_2026</v>
      </c>
      <c r="AC1174">
        <f t="shared" si="110"/>
        <v>410788.17</v>
      </c>
      <c r="AD1174">
        <f t="shared" si="111"/>
        <v>57</v>
      </c>
      <c r="AE1174">
        <f t="shared" si="112"/>
        <v>80188.17</v>
      </c>
      <c r="AF1174" t="str">
        <f t="shared" si="113"/>
        <v>Paid</v>
      </c>
    </row>
    <row r="1175" spans="1:32" ht="27.75" thickBot="1" x14ac:dyDescent="0.35">
      <c r="A1175" s="2" t="s">
        <v>8039</v>
      </c>
      <c r="B1175" s="2" t="s">
        <v>27</v>
      </c>
      <c r="C1175" s="2" t="s">
        <v>28</v>
      </c>
      <c r="D1175" s="2" t="s">
        <v>97</v>
      </c>
      <c r="E1175" s="2" t="s">
        <v>7589</v>
      </c>
      <c r="F1175" s="2" t="s">
        <v>99</v>
      </c>
      <c r="G1175" s="2" t="s">
        <v>32</v>
      </c>
      <c r="H1175" s="1"/>
      <c r="I1175" s="2" t="s">
        <v>33</v>
      </c>
      <c r="J1175" s="2" t="s">
        <v>34</v>
      </c>
      <c r="K1175" s="2" t="s">
        <v>3091</v>
      </c>
      <c r="L1175" s="2" t="s">
        <v>3092</v>
      </c>
      <c r="M1175" s="2" t="s">
        <v>3067</v>
      </c>
      <c r="N1175" s="2" t="s">
        <v>38</v>
      </c>
      <c r="O1175" s="2" t="s">
        <v>524</v>
      </c>
      <c r="P1175" s="2" t="s">
        <v>7206</v>
      </c>
      <c r="Q1175" s="2" t="s">
        <v>8040</v>
      </c>
      <c r="R1175" s="2" t="s">
        <v>40</v>
      </c>
      <c r="S1175" s="2" t="s">
        <v>8041</v>
      </c>
      <c r="T1175" s="2" t="s">
        <v>40</v>
      </c>
      <c r="U1175" s="2" t="s">
        <v>40</v>
      </c>
      <c r="V1175" s="2" t="s">
        <v>8041</v>
      </c>
      <c r="W1175" s="1"/>
      <c r="X1175" s="2" t="s">
        <v>2155</v>
      </c>
      <c r="Y1175" s="2" t="s">
        <v>7594</v>
      </c>
      <c r="AA1175" t="str">
        <f t="shared" si="108"/>
        <v>2026-02</v>
      </c>
      <c r="AB1175" t="str">
        <f t="shared" si="109"/>
        <v>H1_2026</v>
      </c>
      <c r="AC1175">
        <f t="shared" si="110"/>
        <v>454269.26</v>
      </c>
      <c r="AD1175">
        <f t="shared" si="111"/>
        <v>61</v>
      </c>
      <c r="AE1175">
        <f t="shared" si="112"/>
        <v>454269.26</v>
      </c>
      <c r="AF1175" t="str">
        <f t="shared" si="113"/>
        <v>Paid</v>
      </c>
    </row>
    <row r="1176" spans="1:32" ht="17.25" thickBot="1" x14ac:dyDescent="0.35">
      <c r="A1176" s="2" t="s">
        <v>8042</v>
      </c>
      <c r="B1176" s="2" t="s">
        <v>27</v>
      </c>
      <c r="C1176" s="2" t="s">
        <v>28</v>
      </c>
      <c r="D1176" s="2" t="s">
        <v>97</v>
      </c>
      <c r="E1176" s="2" t="s">
        <v>7589</v>
      </c>
      <c r="F1176" s="2" t="s">
        <v>99</v>
      </c>
      <c r="G1176" s="2" t="s">
        <v>32</v>
      </c>
      <c r="H1176" s="1"/>
      <c r="I1176" s="2" t="s">
        <v>33</v>
      </c>
      <c r="J1176" s="2" t="s">
        <v>34</v>
      </c>
      <c r="K1176" s="2" t="s">
        <v>3724</v>
      </c>
      <c r="L1176" s="2" t="s">
        <v>3725</v>
      </c>
      <c r="M1176" s="2" t="s">
        <v>1686</v>
      </c>
      <c r="N1176" s="2" t="s">
        <v>38</v>
      </c>
      <c r="O1176" s="2" t="s">
        <v>174</v>
      </c>
      <c r="P1176" s="2" t="s">
        <v>3898</v>
      </c>
      <c r="Q1176" s="2" t="s">
        <v>8043</v>
      </c>
      <c r="R1176" s="2" t="s">
        <v>40</v>
      </c>
      <c r="S1176" s="2" t="s">
        <v>8044</v>
      </c>
      <c r="T1176" s="2" t="s">
        <v>2383</v>
      </c>
      <c r="U1176" s="2" t="s">
        <v>8045</v>
      </c>
      <c r="V1176" s="2" t="s">
        <v>8046</v>
      </c>
      <c r="W1176" s="1"/>
      <c r="X1176" s="2" t="s">
        <v>3610</v>
      </c>
      <c r="Y1176" s="2" t="s">
        <v>7594</v>
      </c>
      <c r="AA1176" t="str">
        <f t="shared" si="108"/>
        <v>2026-02</v>
      </c>
      <c r="AB1176" t="str">
        <f t="shared" si="109"/>
        <v>H1_2026</v>
      </c>
      <c r="AC1176">
        <f t="shared" si="110"/>
        <v>140829.54999999999</v>
      </c>
      <c r="AD1176">
        <f t="shared" si="111"/>
        <v>22</v>
      </c>
      <c r="AE1176">
        <f t="shared" si="112"/>
        <v>32829.550000000003</v>
      </c>
      <c r="AF1176" t="str">
        <f t="shared" si="113"/>
        <v>Paid</v>
      </c>
    </row>
    <row r="1177" spans="1:32" ht="27.75" thickBot="1" x14ac:dyDescent="0.35">
      <c r="A1177" s="2" t="s">
        <v>8047</v>
      </c>
      <c r="B1177" s="2" t="s">
        <v>27</v>
      </c>
      <c r="C1177" s="2" t="s">
        <v>28</v>
      </c>
      <c r="D1177" s="2" t="s">
        <v>97</v>
      </c>
      <c r="E1177" s="2" t="s">
        <v>7589</v>
      </c>
      <c r="F1177" s="2" t="s">
        <v>99</v>
      </c>
      <c r="G1177" s="2" t="s">
        <v>32</v>
      </c>
      <c r="H1177" s="1"/>
      <c r="I1177" s="2" t="s">
        <v>33</v>
      </c>
      <c r="J1177" s="2" t="s">
        <v>34</v>
      </c>
      <c r="K1177" s="2" t="s">
        <v>3732</v>
      </c>
      <c r="L1177" s="2" t="s">
        <v>3733</v>
      </c>
      <c r="M1177" s="2" t="s">
        <v>1686</v>
      </c>
      <c r="N1177" s="2" t="s">
        <v>38</v>
      </c>
      <c r="O1177" s="2" t="s">
        <v>1032</v>
      </c>
      <c r="P1177" s="2" t="s">
        <v>3898</v>
      </c>
      <c r="Q1177" s="2" t="s">
        <v>8048</v>
      </c>
      <c r="R1177" s="2" t="s">
        <v>40</v>
      </c>
      <c r="S1177" s="2" t="s">
        <v>8049</v>
      </c>
      <c r="T1177" s="2" t="s">
        <v>2383</v>
      </c>
      <c r="U1177" s="2" t="s">
        <v>8050</v>
      </c>
      <c r="V1177" s="2" t="s">
        <v>8051</v>
      </c>
      <c r="W1177" s="1"/>
      <c r="X1177" s="2" t="s">
        <v>3610</v>
      </c>
      <c r="Y1177" s="2" t="s">
        <v>7594</v>
      </c>
      <c r="AA1177" t="str">
        <f t="shared" si="108"/>
        <v>2026-02</v>
      </c>
      <c r="AB1177" t="str">
        <f t="shared" si="109"/>
        <v>H1_2026</v>
      </c>
      <c r="AC1177">
        <f t="shared" si="110"/>
        <v>742555.79</v>
      </c>
      <c r="AD1177">
        <f t="shared" si="111"/>
        <v>116</v>
      </c>
      <c r="AE1177">
        <f t="shared" si="112"/>
        <v>173101.24</v>
      </c>
      <c r="AF1177" t="str">
        <f t="shared" si="113"/>
        <v>Paid</v>
      </c>
    </row>
    <row r="1178" spans="1:32" ht="17.25" thickBot="1" x14ac:dyDescent="0.35">
      <c r="A1178" s="2" t="s">
        <v>8052</v>
      </c>
      <c r="B1178" s="2" t="s">
        <v>27</v>
      </c>
      <c r="C1178" s="2" t="s">
        <v>28</v>
      </c>
      <c r="D1178" s="2" t="s">
        <v>97</v>
      </c>
      <c r="E1178" s="2" t="s">
        <v>7589</v>
      </c>
      <c r="F1178" s="2" t="s">
        <v>99</v>
      </c>
      <c r="G1178" s="2" t="s">
        <v>32</v>
      </c>
      <c r="H1178" s="1"/>
      <c r="I1178" s="2" t="s">
        <v>33</v>
      </c>
      <c r="J1178" s="2" t="s">
        <v>34</v>
      </c>
      <c r="K1178" s="2" t="s">
        <v>3740</v>
      </c>
      <c r="L1178" s="2" t="s">
        <v>3741</v>
      </c>
      <c r="M1178" s="2" t="s">
        <v>1686</v>
      </c>
      <c r="N1178" s="2" t="s">
        <v>38</v>
      </c>
      <c r="O1178" s="2" t="s">
        <v>1223</v>
      </c>
      <c r="P1178" s="2" t="s">
        <v>8053</v>
      </c>
      <c r="Q1178" s="2" t="s">
        <v>8054</v>
      </c>
      <c r="R1178" s="2" t="s">
        <v>40</v>
      </c>
      <c r="S1178" s="2" t="s">
        <v>8055</v>
      </c>
      <c r="T1178" s="2" t="s">
        <v>8056</v>
      </c>
      <c r="U1178" s="2" t="s">
        <v>8057</v>
      </c>
      <c r="V1178" s="2" t="s">
        <v>8058</v>
      </c>
      <c r="W1178" s="1"/>
      <c r="X1178" s="2" t="s">
        <v>4550</v>
      </c>
      <c r="Y1178" s="2" t="s">
        <v>7594</v>
      </c>
      <c r="AA1178" t="str">
        <f t="shared" si="108"/>
        <v>2026-02</v>
      </c>
      <c r="AB1178" t="str">
        <f t="shared" si="109"/>
        <v>H1_2026</v>
      </c>
      <c r="AC1178">
        <f t="shared" si="110"/>
        <v>135516.29</v>
      </c>
      <c r="AD1178">
        <f t="shared" si="111"/>
        <v>137</v>
      </c>
      <c r="AE1178">
        <f t="shared" si="112"/>
        <v>29652.66</v>
      </c>
      <c r="AF1178" t="str">
        <f t="shared" si="113"/>
        <v>Paid</v>
      </c>
    </row>
    <row r="1179" spans="1:32" ht="27.75" thickBot="1" x14ac:dyDescent="0.35">
      <c r="A1179" s="2" t="s">
        <v>8059</v>
      </c>
      <c r="B1179" s="2" t="s">
        <v>27</v>
      </c>
      <c r="C1179" s="2" t="s">
        <v>28</v>
      </c>
      <c r="D1179" s="2" t="s">
        <v>97</v>
      </c>
      <c r="E1179" s="2" t="s">
        <v>7589</v>
      </c>
      <c r="F1179" s="2" t="s">
        <v>99</v>
      </c>
      <c r="G1179" s="2" t="s">
        <v>32</v>
      </c>
      <c r="H1179" s="1"/>
      <c r="I1179" s="2" t="s">
        <v>33</v>
      </c>
      <c r="J1179" s="2" t="s">
        <v>34</v>
      </c>
      <c r="K1179" s="2" t="s">
        <v>3749</v>
      </c>
      <c r="L1179" s="2" t="s">
        <v>3750</v>
      </c>
      <c r="M1179" s="2" t="s">
        <v>1686</v>
      </c>
      <c r="N1179" s="2" t="s">
        <v>38</v>
      </c>
      <c r="O1179" s="2" t="s">
        <v>272</v>
      </c>
      <c r="P1179" s="2" t="s">
        <v>8060</v>
      </c>
      <c r="Q1179" s="2" t="s">
        <v>8061</v>
      </c>
      <c r="R1179" s="2" t="s">
        <v>40</v>
      </c>
      <c r="S1179" s="2" t="s">
        <v>8062</v>
      </c>
      <c r="T1179" s="2" t="s">
        <v>8063</v>
      </c>
      <c r="U1179" s="2" t="s">
        <v>8064</v>
      </c>
      <c r="V1179" s="2" t="s">
        <v>8065</v>
      </c>
      <c r="W1179" s="1"/>
      <c r="X1179" s="2" t="s">
        <v>4499</v>
      </c>
      <c r="Y1179" s="2" t="s">
        <v>7594</v>
      </c>
      <c r="AA1179" t="str">
        <f t="shared" si="108"/>
        <v>2026-02</v>
      </c>
      <c r="AB1179" t="str">
        <f t="shared" si="109"/>
        <v>H1_2026</v>
      </c>
      <c r="AC1179">
        <f t="shared" si="110"/>
        <v>231098.37</v>
      </c>
      <c r="AD1179">
        <f t="shared" si="111"/>
        <v>34</v>
      </c>
      <c r="AE1179">
        <f t="shared" si="112"/>
        <v>51207.47</v>
      </c>
      <c r="AF1179" t="str">
        <f t="shared" si="113"/>
        <v>Paid</v>
      </c>
    </row>
    <row r="1180" spans="1:32" ht="27.75" thickBot="1" x14ac:dyDescent="0.35">
      <c r="A1180" s="2" t="s">
        <v>8066</v>
      </c>
      <c r="B1180" s="2" t="s">
        <v>27</v>
      </c>
      <c r="C1180" s="2" t="s">
        <v>28</v>
      </c>
      <c r="D1180" s="2" t="s">
        <v>97</v>
      </c>
      <c r="E1180" s="2" t="s">
        <v>7589</v>
      </c>
      <c r="F1180" s="2" t="s">
        <v>99</v>
      </c>
      <c r="G1180" s="2" t="s">
        <v>32</v>
      </c>
      <c r="H1180" s="1"/>
      <c r="I1180" s="2" t="s">
        <v>33</v>
      </c>
      <c r="J1180" s="2" t="s">
        <v>34</v>
      </c>
      <c r="K1180" s="2" t="s">
        <v>3758</v>
      </c>
      <c r="L1180" s="2" t="s">
        <v>3759</v>
      </c>
      <c r="M1180" s="2" t="s">
        <v>1686</v>
      </c>
      <c r="N1180" s="2" t="s">
        <v>38</v>
      </c>
      <c r="O1180" s="2" t="s">
        <v>92</v>
      </c>
      <c r="P1180" s="2" t="s">
        <v>8060</v>
      </c>
      <c r="Q1180" s="2" t="s">
        <v>8067</v>
      </c>
      <c r="R1180" s="2" t="s">
        <v>40</v>
      </c>
      <c r="S1180" s="2" t="s">
        <v>8068</v>
      </c>
      <c r="T1180" s="2" t="s">
        <v>8069</v>
      </c>
      <c r="U1180" s="2" t="s">
        <v>8070</v>
      </c>
      <c r="V1180" s="2" t="s">
        <v>8071</v>
      </c>
      <c r="W1180" s="1"/>
      <c r="X1180" s="2" t="s">
        <v>4499</v>
      </c>
      <c r="Y1180" s="2" t="s">
        <v>7594</v>
      </c>
      <c r="AA1180" t="str">
        <f t="shared" si="108"/>
        <v>2026-02</v>
      </c>
      <c r="AB1180" t="str">
        <f t="shared" si="109"/>
        <v>H1_2026</v>
      </c>
      <c r="AC1180">
        <f t="shared" si="110"/>
        <v>88361.14</v>
      </c>
      <c r="AD1180">
        <f t="shared" si="111"/>
        <v>13</v>
      </c>
      <c r="AE1180">
        <f t="shared" si="112"/>
        <v>19578.14</v>
      </c>
      <c r="AF1180" t="str">
        <f t="shared" si="113"/>
        <v>Paid</v>
      </c>
    </row>
    <row r="1181" spans="1:32" ht="27.75" thickBot="1" x14ac:dyDescent="0.35">
      <c r="A1181" s="2" t="s">
        <v>8072</v>
      </c>
      <c r="B1181" s="2" t="s">
        <v>27</v>
      </c>
      <c r="C1181" s="2" t="s">
        <v>28</v>
      </c>
      <c r="D1181" s="2" t="s">
        <v>97</v>
      </c>
      <c r="E1181" s="2" t="s">
        <v>7589</v>
      </c>
      <c r="F1181" s="2" t="s">
        <v>99</v>
      </c>
      <c r="G1181" s="2" t="s">
        <v>32</v>
      </c>
      <c r="H1181" s="1"/>
      <c r="I1181" s="2" t="s">
        <v>33</v>
      </c>
      <c r="J1181" s="2" t="s">
        <v>34</v>
      </c>
      <c r="K1181" s="2" t="s">
        <v>3766</v>
      </c>
      <c r="L1181" s="2" t="s">
        <v>3767</v>
      </c>
      <c r="M1181" s="2" t="s">
        <v>1686</v>
      </c>
      <c r="N1181" s="2" t="s">
        <v>38</v>
      </c>
      <c r="O1181" s="2" t="s">
        <v>455</v>
      </c>
      <c r="P1181" s="2" t="s">
        <v>8060</v>
      </c>
      <c r="Q1181" s="2" t="s">
        <v>8073</v>
      </c>
      <c r="R1181" s="2" t="s">
        <v>40</v>
      </c>
      <c r="S1181" s="2" t="s">
        <v>8074</v>
      </c>
      <c r="T1181" s="2" t="s">
        <v>8063</v>
      </c>
      <c r="U1181" s="2" t="s">
        <v>8075</v>
      </c>
      <c r="V1181" s="2" t="s">
        <v>8076</v>
      </c>
      <c r="W1181" s="1"/>
      <c r="X1181" s="2" t="s">
        <v>4499</v>
      </c>
      <c r="Y1181" s="2" t="s">
        <v>7594</v>
      </c>
      <c r="AA1181" t="str">
        <f t="shared" si="108"/>
        <v>2026-02</v>
      </c>
      <c r="AB1181" t="str">
        <f t="shared" si="109"/>
        <v>H1_2026</v>
      </c>
      <c r="AC1181">
        <f t="shared" si="110"/>
        <v>360241.58</v>
      </c>
      <c r="AD1181">
        <f t="shared" si="111"/>
        <v>53</v>
      </c>
      <c r="AE1181">
        <f t="shared" si="112"/>
        <v>79823.41</v>
      </c>
      <c r="AF1181" t="str">
        <f t="shared" si="113"/>
        <v>Paid</v>
      </c>
    </row>
    <row r="1182" spans="1:32" ht="17.25" thickBot="1" x14ac:dyDescent="0.35">
      <c r="A1182" s="2" t="s">
        <v>8077</v>
      </c>
      <c r="B1182" s="2" t="s">
        <v>27</v>
      </c>
      <c r="C1182" s="2" t="s">
        <v>28</v>
      </c>
      <c r="D1182" s="2" t="s">
        <v>97</v>
      </c>
      <c r="E1182" s="2" t="s">
        <v>7589</v>
      </c>
      <c r="F1182" s="2" t="s">
        <v>99</v>
      </c>
      <c r="G1182" s="2" t="s">
        <v>32</v>
      </c>
      <c r="H1182" s="1"/>
      <c r="I1182" s="2" t="s">
        <v>33</v>
      </c>
      <c r="J1182" s="2" t="s">
        <v>34</v>
      </c>
      <c r="K1182" s="2" t="s">
        <v>1695</v>
      </c>
      <c r="L1182" s="2" t="s">
        <v>1696</v>
      </c>
      <c r="M1182" s="2" t="s">
        <v>1686</v>
      </c>
      <c r="N1182" s="2" t="s">
        <v>38</v>
      </c>
      <c r="O1182" s="2" t="s">
        <v>323</v>
      </c>
      <c r="P1182" s="2" t="s">
        <v>8078</v>
      </c>
      <c r="Q1182" s="2" t="s">
        <v>8079</v>
      </c>
      <c r="R1182" s="2" t="s">
        <v>40</v>
      </c>
      <c r="S1182" s="2" t="s">
        <v>8080</v>
      </c>
      <c r="T1182" s="2" t="s">
        <v>1700</v>
      </c>
      <c r="U1182" s="2" t="s">
        <v>8081</v>
      </c>
      <c r="V1182" s="2" t="s">
        <v>8082</v>
      </c>
      <c r="W1182" s="1"/>
      <c r="X1182" s="2" t="s">
        <v>2165</v>
      </c>
      <c r="Y1182" s="2" t="s">
        <v>7594</v>
      </c>
      <c r="AA1182" t="str">
        <f t="shared" si="108"/>
        <v>2026-02</v>
      </c>
      <c r="AB1182" t="str">
        <f t="shared" si="109"/>
        <v>H1_2026</v>
      </c>
      <c r="AC1182">
        <f t="shared" si="110"/>
        <v>192888.15</v>
      </c>
      <c r="AD1182">
        <f t="shared" si="111"/>
        <v>39</v>
      </c>
      <c r="AE1182">
        <f t="shared" si="112"/>
        <v>43979.06</v>
      </c>
      <c r="AF1182" t="str">
        <f t="shared" si="113"/>
        <v>Paid</v>
      </c>
    </row>
    <row r="1183" spans="1:32" ht="27.75" thickBot="1" x14ac:dyDescent="0.35">
      <c r="A1183" s="2" t="s">
        <v>8083</v>
      </c>
      <c r="B1183" s="2" t="s">
        <v>27</v>
      </c>
      <c r="C1183" s="2" t="s">
        <v>28</v>
      </c>
      <c r="D1183" s="2" t="s">
        <v>97</v>
      </c>
      <c r="E1183" s="2" t="s">
        <v>7589</v>
      </c>
      <c r="F1183" s="2" t="s">
        <v>99</v>
      </c>
      <c r="G1183" s="2" t="s">
        <v>32</v>
      </c>
      <c r="H1183" s="1"/>
      <c r="I1183" s="2" t="s">
        <v>33</v>
      </c>
      <c r="J1183" s="2" t="s">
        <v>34</v>
      </c>
      <c r="K1183" s="2" t="s">
        <v>3773</v>
      </c>
      <c r="L1183" s="2" t="s">
        <v>3774</v>
      </c>
      <c r="M1183" s="2" t="s">
        <v>1686</v>
      </c>
      <c r="N1183" s="2" t="s">
        <v>38</v>
      </c>
      <c r="O1183" s="2" t="s">
        <v>138</v>
      </c>
      <c r="P1183" s="2" t="s">
        <v>5455</v>
      </c>
      <c r="Q1183" s="2" t="s">
        <v>8084</v>
      </c>
      <c r="R1183" s="2" t="s">
        <v>40</v>
      </c>
      <c r="S1183" s="2" t="s">
        <v>8085</v>
      </c>
      <c r="T1183" s="2" t="s">
        <v>2884</v>
      </c>
      <c r="U1183" s="2" t="s">
        <v>3801</v>
      </c>
      <c r="V1183" s="2" t="s">
        <v>8086</v>
      </c>
      <c r="W1183" s="1"/>
      <c r="X1183" s="2" t="s">
        <v>3259</v>
      </c>
      <c r="Y1183" s="2" t="s">
        <v>7594</v>
      </c>
      <c r="AA1183" t="str">
        <f t="shared" si="108"/>
        <v>2026-02</v>
      </c>
      <c r="AB1183" t="str">
        <f t="shared" si="109"/>
        <v>H1_2026</v>
      </c>
      <c r="AC1183">
        <f t="shared" si="110"/>
        <v>143966.63</v>
      </c>
      <c r="AD1183">
        <f t="shared" si="111"/>
        <v>18</v>
      </c>
      <c r="AE1183">
        <f t="shared" si="112"/>
        <v>32693.9</v>
      </c>
      <c r="AF1183" t="str">
        <f t="shared" si="113"/>
        <v>Paid</v>
      </c>
    </row>
    <row r="1184" spans="1:32" ht="17.25" thickBot="1" x14ac:dyDescent="0.35">
      <c r="A1184" s="2" t="s">
        <v>8087</v>
      </c>
      <c r="B1184" s="2" t="s">
        <v>27</v>
      </c>
      <c r="C1184" s="2" t="s">
        <v>28</v>
      </c>
      <c r="D1184" s="2" t="s">
        <v>97</v>
      </c>
      <c r="E1184" s="2" t="s">
        <v>7589</v>
      </c>
      <c r="F1184" s="2" t="s">
        <v>99</v>
      </c>
      <c r="G1184" s="2" t="s">
        <v>32</v>
      </c>
      <c r="H1184" s="1"/>
      <c r="I1184" s="2" t="s">
        <v>33</v>
      </c>
      <c r="J1184" s="2" t="s">
        <v>34</v>
      </c>
      <c r="K1184" s="2" t="s">
        <v>8088</v>
      </c>
      <c r="L1184" s="2" t="s">
        <v>8089</v>
      </c>
      <c r="M1184" s="2" t="s">
        <v>1686</v>
      </c>
      <c r="N1184" s="2" t="s">
        <v>38</v>
      </c>
      <c r="O1184" s="2" t="s">
        <v>156</v>
      </c>
      <c r="P1184" s="2" t="s">
        <v>3898</v>
      </c>
      <c r="Q1184" s="2" t="s">
        <v>8090</v>
      </c>
      <c r="R1184" s="2" t="s">
        <v>40</v>
      </c>
      <c r="S1184" s="2" t="s">
        <v>8091</v>
      </c>
      <c r="T1184" s="2" t="s">
        <v>3163</v>
      </c>
      <c r="U1184" s="2" t="s">
        <v>3192</v>
      </c>
      <c r="V1184" s="2" t="s">
        <v>8092</v>
      </c>
      <c r="W1184" s="1"/>
      <c r="X1184" s="2" t="s">
        <v>4550</v>
      </c>
      <c r="Y1184" s="2" t="s">
        <v>7594</v>
      </c>
      <c r="AA1184" t="str">
        <f t="shared" si="108"/>
        <v>2026-02</v>
      </c>
      <c r="AB1184" t="str">
        <f t="shared" si="109"/>
        <v>H1_2026</v>
      </c>
      <c r="AC1184">
        <f t="shared" si="110"/>
        <v>128026.86</v>
      </c>
      <c r="AD1184">
        <f t="shared" si="111"/>
        <v>20</v>
      </c>
      <c r="AE1184">
        <f t="shared" si="112"/>
        <v>28026.86</v>
      </c>
      <c r="AF1184" t="str">
        <f t="shared" si="113"/>
        <v>Paid</v>
      </c>
    </row>
    <row r="1185" spans="1:32" ht="17.25" thickBot="1" x14ac:dyDescent="0.35">
      <c r="A1185" s="2" t="s">
        <v>8093</v>
      </c>
      <c r="B1185" s="2" t="s">
        <v>27</v>
      </c>
      <c r="C1185" s="2" t="s">
        <v>28</v>
      </c>
      <c r="D1185" s="2" t="s">
        <v>97</v>
      </c>
      <c r="E1185" s="2" t="s">
        <v>7589</v>
      </c>
      <c r="F1185" s="2" t="s">
        <v>99</v>
      </c>
      <c r="G1185" s="2" t="s">
        <v>32</v>
      </c>
      <c r="H1185" s="1"/>
      <c r="I1185" s="2" t="s">
        <v>33</v>
      </c>
      <c r="J1185" s="2" t="s">
        <v>34</v>
      </c>
      <c r="K1185" s="2" t="s">
        <v>3140</v>
      </c>
      <c r="L1185" s="2" t="s">
        <v>3141</v>
      </c>
      <c r="M1185" s="2" t="s">
        <v>3131</v>
      </c>
      <c r="N1185" s="2" t="s">
        <v>38</v>
      </c>
      <c r="O1185" s="2" t="s">
        <v>214</v>
      </c>
      <c r="P1185" s="2" t="s">
        <v>8094</v>
      </c>
      <c r="Q1185" s="2" t="s">
        <v>8095</v>
      </c>
      <c r="R1185" s="2" t="s">
        <v>40</v>
      </c>
      <c r="S1185" s="2" t="s">
        <v>8096</v>
      </c>
      <c r="T1185" s="2" t="s">
        <v>3145</v>
      </c>
      <c r="U1185" s="2" t="s">
        <v>8097</v>
      </c>
      <c r="V1185" s="2" t="s">
        <v>8098</v>
      </c>
      <c r="W1185" s="1"/>
      <c r="X1185" s="2" t="s">
        <v>3788</v>
      </c>
      <c r="Y1185" s="2" t="s">
        <v>7594</v>
      </c>
      <c r="AA1185" t="str">
        <f t="shared" si="108"/>
        <v>2026-02</v>
      </c>
      <c r="AB1185" t="str">
        <f t="shared" si="109"/>
        <v>H1_2026</v>
      </c>
      <c r="AC1185">
        <f t="shared" si="110"/>
        <v>797694.95</v>
      </c>
      <c r="AD1185">
        <f t="shared" si="111"/>
        <v>50</v>
      </c>
      <c r="AE1185">
        <f t="shared" si="112"/>
        <v>175876.77</v>
      </c>
      <c r="AF1185" t="str">
        <f t="shared" si="113"/>
        <v>Paid</v>
      </c>
    </row>
    <row r="1186" spans="1:32" ht="27.75" thickBot="1" x14ac:dyDescent="0.35">
      <c r="A1186" s="2" t="s">
        <v>8099</v>
      </c>
      <c r="B1186" s="2" t="s">
        <v>27</v>
      </c>
      <c r="C1186" s="2" t="s">
        <v>28</v>
      </c>
      <c r="D1186" s="2" t="s">
        <v>97</v>
      </c>
      <c r="E1186" s="2" t="s">
        <v>7589</v>
      </c>
      <c r="F1186" s="2" t="s">
        <v>99</v>
      </c>
      <c r="G1186" s="2" t="s">
        <v>32</v>
      </c>
      <c r="H1186" s="1"/>
      <c r="I1186" s="2" t="s">
        <v>33</v>
      </c>
      <c r="J1186" s="2" t="s">
        <v>34</v>
      </c>
      <c r="K1186" s="2" t="s">
        <v>8100</v>
      </c>
      <c r="L1186" s="2" t="s">
        <v>8101</v>
      </c>
      <c r="M1186" s="2" t="s">
        <v>3131</v>
      </c>
      <c r="N1186" s="2" t="s">
        <v>38</v>
      </c>
      <c r="O1186" s="2" t="s">
        <v>203</v>
      </c>
      <c r="P1186" s="2" t="s">
        <v>822</v>
      </c>
      <c r="Q1186" s="2" t="s">
        <v>611</v>
      </c>
      <c r="R1186" s="2" t="s">
        <v>40</v>
      </c>
      <c r="S1186" s="2" t="s">
        <v>8102</v>
      </c>
      <c r="T1186" s="2" t="s">
        <v>2531</v>
      </c>
      <c r="U1186" s="2" t="s">
        <v>8103</v>
      </c>
      <c r="V1186" s="2" t="s">
        <v>8104</v>
      </c>
      <c r="W1186" s="1"/>
      <c r="X1186" s="2" t="s">
        <v>3138</v>
      </c>
      <c r="Y1186" s="2" t="s">
        <v>7594</v>
      </c>
      <c r="AA1186" t="str">
        <f t="shared" si="108"/>
        <v>2026-02</v>
      </c>
      <c r="AB1186" t="str">
        <f t="shared" si="109"/>
        <v>H1_2026</v>
      </c>
      <c r="AC1186">
        <f t="shared" si="110"/>
        <v>241640.1</v>
      </c>
      <c r="AD1186">
        <f t="shared" si="111"/>
        <v>25</v>
      </c>
      <c r="AE1186">
        <f t="shared" si="112"/>
        <v>53458.28</v>
      </c>
      <c r="AF1186" t="str">
        <f t="shared" si="113"/>
        <v>Paid</v>
      </c>
    </row>
    <row r="1187" spans="1:32" ht="17.25" thickBot="1" x14ac:dyDescent="0.35">
      <c r="A1187" s="2" t="s">
        <v>8105</v>
      </c>
      <c r="B1187" s="2" t="s">
        <v>27</v>
      </c>
      <c r="C1187" s="2" t="s">
        <v>28</v>
      </c>
      <c r="D1187" s="2" t="s">
        <v>97</v>
      </c>
      <c r="E1187" s="2" t="s">
        <v>7589</v>
      </c>
      <c r="F1187" s="2" t="s">
        <v>99</v>
      </c>
      <c r="G1187" s="2" t="s">
        <v>32</v>
      </c>
      <c r="H1187" s="1"/>
      <c r="I1187" s="2" t="s">
        <v>33</v>
      </c>
      <c r="J1187" s="2" t="s">
        <v>34</v>
      </c>
      <c r="K1187" s="2" t="s">
        <v>139</v>
      </c>
      <c r="L1187" s="2" t="s">
        <v>140</v>
      </c>
      <c r="M1187" s="2" t="s">
        <v>102</v>
      </c>
      <c r="N1187" s="2" t="s">
        <v>38</v>
      </c>
      <c r="O1187" s="2" t="s">
        <v>156</v>
      </c>
      <c r="P1187" s="2" t="s">
        <v>8106</v>
      </c>
      <c r="Q1187" s="2" t="s">
        <v>8107</v>
      </c>
      <c r="R1187" s="2" t="s">
        <v>40</v>
      </c>
      <c r="S1187" s="2" t="s">
        <v>8108</v>
      </c>
      <c r="T1187" s="2" t="s">
        <v>40</v>
      </c>
      <c r="U1187" s="2" t="s">
        <v>40</v>
      </c>
      <c r="V1187" s="2" t="s">
        <v>8108</v>
      </c>
      <c r="W1187" s="1"/>
      <c r="X1187" s="2" t="s">
        <v>2155</v>
      </c>
      <c r="Y1187" s="2" t="s">
        <v>7594</v>
      </c>
      <c r="AA1187" t="str">
        <f t="shared" si="108"/>
        <v>2026-02</v>
      </c>
      <c r="AB1187" t="str">
        <f t="shared" si="109"/>
        <v>H1_2026</v>
      </c>
      <c r="AC1187">
        <f t="shared" si="110"/>
        <v>372775.78</v>
      </c>
      <c r="AD1187">
        <f t="shared" si="111"/>
        <v>20</v>
      </c>
      <c r="AE1187">
        <f t="shared" si="112"/>
        <v>372775.78</v>
      </c>
      <c r="AF1187" t="str">
        <f t="shared" si="113"/>
        <v>Paid</v>
      </c>
    </row>
    <row r="1188" spans="1:32" ht="17.25" thickBot="1" x14ac:dyDescent="0.35">
      <c r="A1188" s="2" t="s">
        <v>8109</v>
      </c>
      <c r="B1188" s="2" t="s">
        <v>27</v>
      </c>
      <c r="C1188" s="2" t="s">
        <v>28</v>
      </c>
      <c r="D1188" s="2" t="s">
        <v>97</v>
      </c>
      <c r="E1188" s="2" t="s">
        <v>7589</v>
      </c>
      <c r="F1188" s="2" t="s">
        <v>99</v>
      </c>
      <c r="G1188" s="2" t="s">
        <v>32</v>
      </c>
      <c r="H1188" s="1"/>
      <c r="I1188" s="2" t="s">
        <v>33</v>
      </c>
      <c r="J1188" s="2" t="s">
        <v>34</v>
      </c>
      <c r="K1188" s="2" t="s">
        <v>157</v>
      </c>
      <c r="L1188" s="2" t="s">
        <v>158</v>
      </c>
      <c r="M1188" s="2" t="s">
        <v>102</v>
      </c>
      <c r="N1188" s="2" t="s">
        <v>38</v>
      </c>
      <c r="O1188" s="2" t="s">
        <v>877</v>
      </c>
      <c r="P1188" s="2" t="s">
        <v>8110</v>
      </c>
      <c r="Q1188" s="2" t="s">
        <v>8111</v>
      </c>
      <c r="R1188" s="2" t="s">
        <v>40</v>
      </c>
      <c r="S1188" s="2" t="s">
        <v>8112</v>
      </c>
      <c r="T1188" s="2" t="s">
        <v>162</v>
      </c>
      <c r="U1188" s="2" t="s">
        <v>3353</v>
      </c>
      <c r="V1188" s="2" t="s">
        <v>8113</v>
      </c>
      <c r="W1188" s="1"/>
      <c r="X1188" s="2" t="s">
        <v>173</v>
      </c>
      <c r="Y1188" s="2" t="s">
        <v>7594</v>
      </c>
      <c r="AA1188" t="str">
        <f t="shared" si="108"/>
        <v>2026-02</v>
      </c>
      <c r="AB1188" t="str">
        <f t="shared" si="109"/>
        <v>H1_2026</v>
      </c>
      <c r="AC1188">
        <f t="shared" si="110"/>
        <v>1971274.5</v>
      </c>
      <c r="AD1188">
        <f t="shared" si="111"/>
        <v>100</v>
      </c>
      <c r="AE1188">
        <f t="shared" si="112"/>
        <v>846274.5</v>
      </c>
      <c r="AF1188" t="str">
        <f t="shared" si="113"/>
        <v>Paid</v>
      </c>
    </row>
    <row r="1189" spans="1:32" ht="17.25" thickBot="1" x14ac:dyDescent="0.35">
      <c r="A1189" s="2" t="s">
        <v>8114</v>
      </c>
      <c r="B1189" s="2" t="s">
        <v>27</v>
      </c>
      <c r="C1189" s="2" t="s">
        <v>28</v>
      </c>
      <c r="D1189" s="2" t="s">
        <v>97</v>
      </c>
      <c r="E1189" s="2" t="s">
        <v>7589</v>
      </c>
      <c r="F1189" s="2" t="s">
        <v>99</v>
      </c>
      <c r="G1189" s="2" t="s">
        <v>32</v>
      </c>
      <c r="H1189" s="1"/>
      <c r="I1189" s="2" t="s">
        <v>33</v>
      </c>
      <c r="J1189" s="2" t="s">
        <v>34</v>
      </c>
      <c r="K1189" s="2" t="s">
        <v>245</v>
      </c>
      <c r="L1189" s="2" t="s">
        <v>246</v>
      </c>
      <c r="M1189" s="2" t="s">
        <v>102</v>
      </c>
      <c r="N1189" s="2" t="s">
        <v>38</v>
      </c>
      <c r="O1189" s="2" t="s">
        <v>131</v>
      </c>
      <c r="P1189" s="2" t="s">
        <v>4949</v>
      </c>
      <c r="Q1189" s="2" t="s">
        <v>8115</v>
      </c>
      <c r="R1189" s="2" t="s">
        <v>40</v>
      </c>
      <c r="S1189" s="2" t="s">
        <v>8116</v>
      </c>
      <c r="T1189" s="2" t="s">
        <v>40</v>
      </c>
      <c r="U1189" s="2" t="s">
        <v>40</v>
      </c>
      <c r="V1189" s="2" t="s">
        <v>8116</v>
      </c>
      <c r="W1189" s="1"/>
      <c r="X1189" s="2" t="s">
        <v>2155</v>
      </c>
      <c r="Y1189" s="2" t="s">
        <v>7594</v>
      </c>
      <c r="AA1189" t="str">
        <f t="shared" si="108"/>
        <v>2026-02</v>
      </c>
      <c r="AB1189" t="str">
        <f t="shared" si="109"/>
        <v>H1_2026</v>
      </c>
      <c r="AC1189">
        <f t="shared" si="110"/>
        <v>917949.76</v>
      </c>
      <c r="AD1189">
        <f t="shared" si="111"/>
        <v>40</v>
      </c>
      <c r="AE1189">
        <f t="shared" si="112"/>
        <v>917949.76</v>
      </c>
      <c r="AF1189" t="str">
        <f t="shared" si="113"/>
        <v>Paid</v>
      </c>
    </row>
    <row r="1190" spans="1:32" ht="17.25" thickBot="1" x14ac:dyDescent="0.35">
      <c r="A1190" s="2" t="s">
        <v>8117</v>
      </c>
      <c r="B1190" s="2" t="s">
        <v>27</v>
      </c>
      <c r="C1190" s="2" t="s">
        <v>28</v>
      </c>
      <c r="D1190" s="2" t="s">
        <v>97</v>
      </c>
      <c r="E1190" s="2" t="s">
        <v>7589</v>
      </c>
      <c r="F1190" s="2" t="s">
        <v>99</v>
      </c>
      <c r="G1190" s="2" t="s">
        <v>32</v>
      </c>
      <c r="H1190" s="1"/>
      <c r="I1190" s="2" t="s">
        <v>33</v>
      </c>
      <c r="J1190" s="2" t="s">
        <v>34</v>
      </c>
      <c r="K1190" s="2" t="s">
        <v>82</v>
      </c>
      <c r="L1190" s="2" t="s">
        <v>83</v>
      </c>
      <c r="M1190" s="2" t="s">
        <v>84</v>
      </c>
      <c r="N1190" s="2" t="s">
        <v>38</v>
      </c>
      <c r="O1190" s="2" t="s">
        <v>438</v>
      </c>
      <c r="P1190" s="2" t="s">
        <v>6297</v>
      </c>
      <c r="Q1190" s="2" t="s">
        <v>8118</v>
      </c>
      <c r="R1190" s="2" t="s">
        <v>40</v>
      </c>
      <c r="S1190" s="2" t="s">
        <v>8119</v>
      </c>
      <c r="T1190" s="2" t="s">
        <v>1354</v>
      </c>
      <c r="U1190" s="2" t="s">
        <v>8120</v>
      </c>
      <c r="V1190" s="2" t="s">
        <v>8121</v>
      </c>
      <c r="W1190" s="1"/>
      <c r="X1190" s="2" t="s">
        <v>1006</v>
      </c>
      <c r="Y1190" s="2" t="s">
        <v>7594</v>
      </c>
      <c r="AA1190" t="str">
        <f t="shared" si="108"/>
        <v>2026-02</v>
      </c>
      <c r="AB1190" t="str">
        <f t="shared" si="109"/>
        <v>H1_2026</v>
      </c>
      <c r="AC1190">
        <f t="shared" si="110"/>
        <v>4015041.03</v>
      </c>
      <c r="AD1190">
        <f t="shared" si="111"/>
        <v>630</v>
      </c>
      <c r="AE1190">
        <f t="shared" si="112"/>
        <v>1035141.03</v>
      </c>
      <c r="AF1190" t="str">
        <f t="shared" si="113"/>
        <v>Paid</v>
      </c>
    </row>
    <row r="1191" spans="1:32" ht="17.25" thickBot="1" x14ac:dyDescent="0.35">
      <c r="A1191" s="2" t="s">
        <v>8122</v>
      </c>
      <c r="B1191" s="2" t="s">
        <v>27</v>
      </c>
      <c r="C1191" s="2" t="s">
        <v>28</v>
      </c>
      <c r="D1191" s="2" t="s">
        <v>97</v>
      </c>
      <c r="E1191" s="2" t="s">
        <v>7589</v>
      </c>
      <c r="F1191" s="2" t="s">
        <v>99</v>
      </c>
      <c r="G1191" s="2" t="s">
        <v>32</v>
      </c>
      <c r="H1191" s="1"/>
      <c r="I1191" s="2" t="s">
        <v>33</v>
      </c>
      <c r="J1191" s="2" t="s">
        <v>34</v>
      </c>
      <c r="K1191" s="2" t="s">
        <v>1742</v>
      </c>
      <c r="L1191" s="2" t="s">
        <v>1743</v>
      </c>
      <c r="M1191" s="2" t="s">
        <v>84</v>
      </c>
      <c r="N1191" s="2" t="s">
        <v>38</v>
      </c>
      <c r="O1191" s="2" t="s">
        <v>665</v>
      </c>
      <c r="P1191" s="2" t="s">
        <v>684</v>
      </c>
      <c r="Q1191" s="2" t="s">
        <v>8123</v>
      </c>
      <c r="R1191" s="2" t="s">
        <v>40</v>
      </c>
      <c r="S1191" s="2" t="s">
        <v>8124</v>
      </c>
      <c r="T1191" s="2" t="s">
        <v>1747</v>
      </c>
      <c r="U1191" s="2" t="s">
        <v>1162</v>
      </c>
      <c r="V1191" s="2" t="s">
        <v>8125</v>
      </c>
      <c r="W1191" s="1"/>
      <c r="X1191" s="2" t="s">
        <v>7108</v>
      </c>
      <c r="Y1191" s="2" t="s">
        <v>7594</v>
      </c>
      <c r="AA1191" t="str">
        <f t="shared" si="108"/>
        <v>2026-02</v>
      </c>
      <c r="AB1191" t="str">
        <f t="shared" si="109"/>
        <v>H1_2026</v>
      </c>
      <c r="AC1191">
        <f t="shared" si="110"/>
        <v>2415553.14</v>
      </c>
      <c r="AD1191">
        <f t="shared" si="111"/>
        <v>210</v>
      </c>
      <c r="AE1191">
        <f t="shared" si="112"/>
        <v>525553.14</v>
      </c>
      <c r="AF1191" t="str">
        <f t="shared" si="113"/>
        <v>Paid</v>
      </c>
    </row>
    <row r="1192" spans="1:32" ht="17.25" thickBot="1" x14ac:dyDescent="0.35">
      <c r="A1192" s="2" t="s">
        <v>8126</v>
      </c>
      <c r="B1192" s="2" t="s">
        <v>27</v>
      </c>
      <c r="C1192" s="2" t="s">
        <v>28</v>
      </c>
      <c r="D1192" s="2" t="s">
        <v>97</v>
      </c>
      <c r="E1192" s="2" t="s">
        <v>7589</v>
      </c>
      <c r="F1192" s="2" t="s">
        <v>99</v>
      </c>
      <c r="G1192" s="2" t="s">
        <v>32</v>
      </c>
      <c r="H1192" s="1"/>
      <c r="I1192" s="2" t="s">
        <v>33</v>
      </c>
      <c r="J1192" s="2" t="s">
        <v>34</v>
      </c>
      <c r="K1192" s="2" t="s">
        <v>5721</v>
      </c>
      <c r="L1192" s="2" t="s">
        <v>5722</v>
      </c>
      <c r="M1192" s="2" t="s">
        <v>84</v>
      </c>
      <c r="N1192" s="2" t="s">
        <v>38</v>
      </c>
      <c r="O1192" s="2" t="s">
        <v>359</v>
      </c>
      <c r="P1192" s="2" t="s">
        <v>7856</v>
      </c>
      <c r="Q1192" s="2" t="s">
        <v>8127</v>
      </c>
      <c r="R1192" s="2" t="s">
        <v>40</v>
      </c>
      <c r="S1192" s="2" t="s">
        <v>8128</v>
      </c>
      <c r="T1192" s="2" t="s">
        <v>126</v>
      </c>
      <c r="U1192" s="2" t="s">
        <v>8129</v>
      </c>
      <c r="V1192" s="2" t="s">
        <v>8130</v>
      </c>
      <c r="W1192" s="1"/>
      <c r="X1192" s="2" t="s">
        <v>6719</v>
      </c>
      <c r="Y1192" s="2" t="s">
        <v>7594</v>
      </c>
      <c r="AA1192" t="str">
        <f t="shared" si="108"/>
        <v>2026-02</v>
      </c>
      <c r="AB1192" t="str">
        <f t="shared" si="109"/>
        <v>H1_2026</v>
      </c>
      <c r="AC1192">
        <f t="shared" si="110"/>
        <v>515880.42</v>
      </c>
      <c r="AD1192">
        <f t="shared" si="111"/>
        <v>43</v>
      </c>
      <c r="AE1192">
        <f t="shared" si="112"/>
        <v>244980.42</v>
      </c>
      <c r="AF1192" t="str">
        <f t="shared" si="113"/>
        <v>Paid</v>
      </c>
    </row>
    <row r="1193" spans="1:32" ht="17.25" thickBot="1" x14ac:dyDescent="0.35">
      <c r="A1193" s="2" t="s">
        <v>8131</v>
      </c>
      <c r="B1193" s="2" t="s">
        <v>27</v>
      </c>
      <c r="C1193" s="2" t="s">
        <v>28</v>
      </c>
      <c r="D1193" s="2" t="s">
        <v>97</v>
      </c>
      <c r="E1193" s="2" t="s">
        <v>7589</v>
      </c>
      <c r="F1193" s="2" t="s">
        <v>99</v>
      </c>
      <c r="G1193" s="2" t="s">
        <v>32</v>
      </c>
      <c r="H1193" s="1"/>
      <c r="I1193" s="2" t="s">
        <v>33</v>
      </c>
      <c r="J1193" s="2" t="s">
        <v>34</v>
      </c>
      <c r="K1193" s="2" t="s">
        <v>1394</v>
      </c>
      <c r="L1193" s="2" t="s">
        <v>1395</v>
      </c>
      <c r="M1193" s="2" t="s">
        <v>84</v>
      </c>
      <c r="N1193" s="2" t="s">
        <v>38</v>
      </c>
      <c r="O1193" s="2" t="s">
        <v>141</v>
      </c>
      <c r="P1193" s="2" t="s">
        <v>4854</v>
      </c>
      <c r="Q1193" s="2" t="s">
        <v>8132</v>
      </c>
      <c r="R1193" s="2" t="s">
        <v>40</v>
      </c>
      <c r="S1193" s="2" t="s">
        <v>8133</v>
      </c>
      <c r="T1193" s="2" t="s">
        <v>1399</v>
      </c>
      <c r="U1193" s="2" t="s">
        <v>8134</v>
      </c>
      <c r="V1193" s="2" t="s">
        <v>8135</v>
      </c>
      <c r="W1193" s="1"/>
      <c r="X1193" s="2" t="s">
        <v>3037</v>
      </c>
      <c r="Y1193" s="2" t="s">
        <v>7594</v>
      </c>
      <c r="AA1193" t="str">
        <f t="shared" si="108"/>
        <v>2026-02</v>
      </c>
      <c r="AB1193" t="str">
        <f t="shared" si="109"/>
        <v>H1_2026</v>
      </c>
      <c r="AC1193">
        <f t="shared" si="110"/>
        <v>336176.49</v>
      </c>
      <c r="AD1193">
        <f t="shared" si="111"/>
        <v>30</v>
      </c>
      <c r="AE1193">
        <f t="shared" si="112"/>
        <v>115676.49</v>
      </c>
      <c r="AF1193" t="str">
        <f t="shared" si="113"/>
        <v>Paid</v>
      </c>
    </row>
    <row r="1194" spans="1:32" ht="17.25" thickBot="1" x14ac:dyDescent="0.35">
      <c r="A1194" s="2" t="s">
        <v>8136</v>
      </c>
      <c r="B1194" s="2" t="s">
        <v>27</v>
      </c>
      <c r="C1194" s="2" t="s">
        <v>28</v>
      </c>
      <c r="D1194" s="2" t="s">
        <v>97</v>
      </c>
      <c r="E1194" s="2" t="s">
        <v>7589</v>
      </c>
      <c r="F1194" s="2" t="s">
        <v>99</v>
      </c>
      <c r="G1194" s="2" t="s">
        <v>32</v>
      </c>
      <c r="H1194" s="1"/>
      <c r="I1194" s="2" t="s">
        <v>33</v>
      </c>
      <c r="J1194" s="2" t="s">
        <v>34</v>
      </c>
      <c r="K1194" s="2" t="s">
        <v>1448</v>
      </c>
      <c r="L1194" s="2" t="s">
        <v>1449</v>
      </c>
      <c r="M1194" s="2" t="s">
        <v>84</v>
      </c>
      <c r="N1194" s="2" t="s">
        <v>38</v>
      </c>
      <c r="O1194" s="2" t="s">
        <v>79</v>
      </c>
      <c r="P1194" s="2" t="s">
        <v>1898</v>
      </c>
      <c r="Q1194" s="2" t="s">
        <v>8137</v>
      </c>
      <c r="R1194" s="2" t="s">
        <v>40</v>
      </c>
      <c r="S1194" s="2" t="s">
        <v>8138</v>
      </c>
      <c r="T1194" s="2" t="s">
        <v>1454</v>
      </c>
      <c r="U1194" s="2" t="s">
        <v>8139</v>
      </c>
      <c r="V1194" s="2" t="s">
        <v>8140</v>
      </c>
      <c r="W1194" s="1"/>
      <c r="X1194" s="2" t="s">
        <v>1457</v>
      </c>
      <c r="Y1194" s="2" t="s">
        <v>7594</v>
      </c>
      <c r="AA1194" t="str">
        <f t="shared" si="108"/>
        <v>2026-02</v>
      </c>
      <c r="AB1194" t="str">
        <f t="shared" si="109"/>
        <v>H1_2026</v>
      </c>
      <c r="AC1194">
        <f t="shared" si="110"/>
        <v>47480.160000000003</v>
      </c>
      <c r="AD1194">
        <f t="shared" si="111"/>
        <v>10</v>
      </c>
      <c r="AE1194">
        <f t="shared" si="112"/>
        <v>11780.16</v>
      </c>
      <c r="AF1194" t="str">
        <f t="shared" si="113"/>
        <v>Paid</v>
      </c>
    </row>
    <row r="1195" spans="1:32" ht="27.75" thickBot="1" x14ac:dyDescent="0.35">
      <c r="A1195" s="2" t="s">
        <v>8141</v>
      </c>
      <c r="B1195" s="2" t="s">
        <v>27</v>
      </c>
      <c r="C1195" s="2" t="s">
        <v>28</v>
      </c>
      <c r="D1195" s="2" t="s">
        <v>97</v>
      </c>
      <c r="E1195" s="2" t="s">
        <v>7589</v>
      </c>
      <c r="F1195" s="2" t="s">
        <v>99</v>
      </c>
      <c r="G1195" s="2" t="s">
        <v>32</v>
      </c>
      <c r="H1195" s="1"/>
      <c r="I1195" s="2" t="s">
        <v>33</v>
      </c>
      <c r="J1195" s="2" t="s">
        <v>34</v>
      </c>
      <c r="K1195" s="2" t="s">
        <v>3168</v>
      </c>
      <c r="L1195" s="2" t="s">
        <v>3169</v>
      </c>
      <c r="M1195" s="2" t="s">
        <v>3160</v>
      </c>
      <c r="N1195" s="2" t="s">
        <v>38</v>
      </c>
      <c r="O1195" s="2" t="s">
        <v>79</v>
      </c>
      <c r="P1195" s="2" t="s">
        <v>8142</v>
      </c>
      <c r="Q1195" s="2" t="s">
        <v>8143</v>
      </c>
      <c r="R1195" s="2" t="s">
        <v>40</v>
      </c>
      <c r="S1195" s="2" t="s">
        <v>8144</v>
      </c>
      <c r="T1195" s="2" t="s">
        <v>3173</v>
      </c>
      <c r="U1195" s="2" t="s">
        <v>8145</v>
      </c>
      <c r="V1195" s="2" t="s">
        <v>8146</v>
      </c>
      <c r="W1195" s="1"/>
      <c r="X1195" s="2" t="s">
        <v>3176</v>
      </c>
      <c r="Y1195" s="2" t="s">
        <v>7594</v>
      </c>
      <c r="AA1195" t="str">
        <f t="shared" si="108"/>
        <v>2026-02</v>
      </c>
      <c r="AB1195" t="str">
        <f t="shared" si="109"/>
        <v>H1_2026</v>
      </c>
      <c r="AC1195">
        <f t="shared" si="110"/>
        <v>15261.48</v>
      </c>
      <c r="AD1195">
        <f t="shared" si="111"/>
        <v>10</v>
      </c>
      <c r="AE1195">
        <f t="shared" si="112"/>
        <v>2716.03</v>
      </c>
      <c r="AF1195" t="str">
        <f t="shared" si="113"/>
        <v>Paid</v>
      </c>
    </row>
    <row r="1196" spans="1:32" ht="17.25" thickBot="1" x14ac:dyDescent="0.35">
      <c r="A1196" s="2" t="s">
        <v>8147</v>
      </c>
      <c r="B1196" s="2" t="s">
        <v>27</v>
      </c>
      <c r="C1196" s="2" t="s">
        <v>28</v>
      </c>
      <c r="D1196" s="2" t="s">
        <v>97</v>
      </c>
      <c r="E1196" s="2" t="s">
        <v>7589</v>
      </c>
      <c r="F1196" s="2" t="s">
        <v>99</v>
      </c>
      <c r="G1196" s="2" t="s">
        <v>32</v>
      </c>
      <c r="H1196" s="1"/>
      <c r="I1196" s="2" t="s">
        <v>33</v>
      </c>
      <c r="J1196" s="2" t="s">
        <v>34</v>
      </c>
      <c r="K1196" s="2" t="s">
        <v>3178</v>
      </c>
      <c r="L1196" s="2" t="s">
        <v>3179</v>
      </c>
      <c r="M1196" s="2" t="s">
        <v>3160</v>
      </c>
      <c r="N1196" s="2" t="s">
        <v>38</v>
      </c>
      <c r="O1196" s="2" t="s">
        <v>44</v>
      </c>
      <c r="P1196" s="2" t="s">
        <v>8148</v>
      </c>
      <c r="Q1196" s="2" t="s">
        <v>8149</v>
      </c>
      <c r="R1196" s="2" t="s">
        <v>40</v>
      </c>
      <c r="S1196" s="2" t="s">
        <v>8150</v>
      </c>
      <c r="T1196" s="2" t="s">
        <v>2884</v>
      </c>
      <c r="U1196" s="2" t="s">
        <v>8151</v>
      </c>
      <c r="V1196" s="2" t="s">
        <v>8152</v>
      </c>
      <c r="W1196" s="1"/>
      <c r="X1196" s="2" t="s">
        <v>3184</v>
      </c>
      <c r="Y1196" s="2" t="s">
        <v>7594</v>
      </c>
      <c r="AA1196" t="str">
        <f t="shared" si="108"/>
        <v>2026-02</v>
      </c>
      <c r="AB1196" t="str">
        <f t="shared" si="109"/>
        <v>H1_2026</v>
      </c>
      <c r="AC1196">
        <f t="shared" si="110"/>
        <v>23711.82</v>
      </c>
      <c r="AD1196">
        <f t="shared" si="111"/>
        <v>2</v>
      </c>
      <c r="AE1196">
        <f t="shared" si="112"/>
        <v>11348.18</v>
      </c>
      <c r="AF1196" t="str">
        <f t="shared" si="113"/>
        <v>Paid</v>
      </c>
    </row>
    <row r="1197" spans="1:32" ht="17.25" thickBot="1" x14ac:dyDescent="0.35">
      <c r="A1197" s="2" t="s">
        <v>8153</v>
      </c>
      <c r="B1197" s="2" t="s">
        <v>27</v>
      </c>
      <c r="C1197" s="2" t="s">
        <v>28</v>
      </c>
      <c r="D1197" s="2" t="s">
        <v>97</v>
      </c>
      <c r="E1197" s="2" t="s">
        <v>7589</v>
      </c>
      <c r="F1197" s="2" t="s">
        <v>99</v>
      </c>
      <c r="G1197" s="2" t="s">
        <v>32</v>
      </c>
      <c r="H1197" s="1"/>
      <c r="I1197" s="2" t="s">
        <v>33</v>
      </c>
      <c r="J1197" s="2" t="s">
        <v>34</v>
      </c>
      <c r="K1197" s="2" t="s">
        <v>3186</v>
      </c>
      <c r="L1197" s="2" t="s">
        <v>3187</v>
      </c>
      <c r="M1197" s="2" t="s">
        <v>3160</v>
      </c>
      <c r="N1197" s="2" t="s">
        <v>38</v>
      </c>
      <c r="O1197" s="2" t="s">
        <v>252</v>
      </c>
      <c r="P1197" s="2" t="s">
        <v>8154</v>
      </c>
      <c r="Q1197" s="2" t="s">
        <v>8155</v>
      </c>
      <c r="R1197" s="2" t="s">
        <v>40</v>
      </c>
      <c r="S1197" s="2" t="s">
        <v>8156</v>
      </c>
      <c r="T1197" s="2" t="s">
        <v>3191</v>
      </c>
      <c r="U1197" s="2" t="s">
        <v>8157</v>
      </c>
      <c r="V1197" s="2" t="s">
        <v>8158</v>
      </c>
      <c r="W1197" s="1"/>
      <c r="X1197" s="2" t="s">
        <v>3194</v>
      </c>
      <c r="Y1197" s="2" t="s">
        <v>7594</v>
      </c>
      <c r="AA1197" t="str">
        <f t="shared" si="108"/>
        <v>2026-02</v>
      </c>
      <c r="AB1197" t="str">
        <f t="shared" si="109"/>
        <v>H1_2026</v>
      </c>
      <c r="AC1197">
        <f t="shared" si="110"/>
        <v>553483.01</v>
      </c>
      <c r="AD1197">
        <f t="shared" si="111"/>
        <v>32</v>
      </c>
      <c r="AE1197">
        <f t="shared" si="112"/>
        <v>262573.92</v>
      </c>
      <c r="AF1197" t="str">
        <f t="shared" si="113"/>
        <v>Paid</v>
      </c>
    </row>
    <row r="1198" spans="1:32" ht="17.25" thickBot="1" x14ac:dyDescent="0.35">
      <c r="A1198" s="2" t="s">
        <v>8159</v>
      </c>
      <c r="B1198" s="2" t="s">
        <v>27</v>
      </c>
      <c r="C1198" s="2" t="s">
        <v>28</v>
      </c>
      <c r="D1198" s="2" t="s">
        <v>97</v>
      </c>
      <c r="E1198" s="2" t="s">
        <v>7589</v>
      </c>
      <c r="F1198" s="2" t="s">
        <v>99</v>
      </c>
      <c r="G1198" s="2" t="s">
        <v>32</v>
      </c>
      <c r="H1198" s="1"/>
      <c r="I1198" s="2" t="s">
        <v>33</v>
      </c>
      <c r="J1198" s="2" t="s">
        <v>34</v>
      </c>
      <c r="K1198" s="2" t="s">
        <v>8160</v>
      </c>
      <c r="L1198" s="2" t="s">
        <v>8161</v>
      </c>
      <c r="M1198" s="2" t="s">
        <v>3160</v>
      </c>
      <c r="N1198" s="2" t="s">
        <v>38</v>
      </c>
      <c r="O1198" s="2" t="s">
        <v>57</v>
      </c>
      <c r="P1198" s="2" t="s">
        <v>4322</v>
      </c>
      <c r="Q1198" s="2" t="s">
        <v>8162</v>
      </c>
      <c r="R1198" s="2" t="s">
        <v>40</v>
      </c>
      <c r="S1198" s="2" t="s">
        <v>8163</v>
      </c>
      <c r="T1198" s="2" t="s">
        <v>8164</v>
      </c>
      <c r="U1198" s="2" t="s">
        <v>8165</v>
      </c>
      <c r="V1198" s="2" t="s">
        <v>8166</v>
      </c>
      <c r="W1198" s="1"/>
      <c r="X1198" s="2" t="s">
        <v>3194</v>
      </c>
      <c r="Y1198" s="2" t="s">
        <v>7594</v>
      </c>
      <c r="AA1198" t="str">
        <f t="shared" si="108"/>
        <v>2026-02</v>
      </c>
      <c r="AB1198" t="str">
        <f t="shared" si="109"/>
        <v>H1_2026</v>
      </c>
      <c r="AC1198">
        <f t="shared" si="110"/>
        <v>69171.25</v>
      </c>
      <c r="AD1198">
        <f t="shared" si="111"/>
        <v>5</v>
      </c>
      <c r="AE1198">
        <f t="shared" si="112"/>
        <v>32806.239999999998</v>
      </c>
      <c r="AF1198" t="str">
        <f t="shared" si="113"/>
        <v>Paid</v>
      </c>
    </row>
    <row r="1199" spans="1:32" ht="27.75" thickBot="1" x14ac:dyDescent="0.35">
      <c r="A1199" s="2" t="s">
        <v>8167</v>
      </c>
      <c r="B1199" s="2" t="s">
        <v>27</v>
      </c>
      <c r="C1199" s="2" t="s">
        <v>28</v>
      </c>
      <c r="D1199" s="2" t="s">
        <v>97</v>
      </c>
      <c r="E1199" s="2" t="s">
        <v>7589</v>
      </c>
      <c r="F1199" s="2" t="s">
        <v>99</v>
      </c>
      <c r="G1199" s="2" t="s">
        <v>32</v>
      </c>
      <c r="H1199" s="1"/>
      <c r="I1199" s="2" t="s">
        <v>33</v>
      </c>
      <c r="J1199" s="2" t="s">
        <v>34</v>
      </c>
      <c r="K1199" s="2" t="s">
        <v>8168</v>
      </c>
      <c r="L1199" s="2" t="s">
        <v>8169</v>
      </c>
      <c r="M1199" s="2" t="s">
        <v>1757</v>
      </c>
      <c r="N1199" s="2" t="s">
        <v>38</v>
      </c>
      <c r="O1199" s="2" t="s">
        <v>149</v>
      </c>
      <c r="P1199" s="2" t="s">
        <v>8060</v>
      </c>
      <c r="Q1199" s="2" t="s">
        <v>8170</v>
      </c>
      <c r="R1199" s="2" t="s">
        <v>40</v>
      </c>
      <c r="S1199" s="2" t="s">
        <v>8171</v>
      </c>
      <c r="T1199" s="2" t="s">
        <v>8172</v>
      </c>
      <c r="U1199" s="2" t="s">
        <v>8173</v>
      </c>
      <c r="V1199" s="2" t="s">
        <v>8174</v>
      </c>
      <c r="W1199" s="1"/>
      <c r="X1199" s="2" t="s">
        <v>1504</v>
      </c>
      <c r="Y1199" s="2" t="s">
        <v>7594</v>
      </c>
      <c r="AA1199" t="str">
        <f t="shared" si="108"/>
        <v>2026-02</v>
      </c>
      <c r="AB1199" t="str">
        <f t="shared" si="109"/>
        <v>H1_2026</v>
      </c>
      <c r="AC1199">
        <f t="shared" si="110"/>
        <v>2039103.3</v>
      </c>
      <c r="AD1199">
        <f t="shared" si="111"/>
        <v>300</v>
      </c>
      <c r="AE1199">
        <f t="shared" si="112"/>
        <v>511803.3</v>
      </c>
      <c r="AF1199" t="str">
        <f t="shared" si="113"/>
        <v>Paid</v>
      </c>
    </row>
    <row r="1200" spans="1:32" ht="17.25" thickBot="1" x14ac:dyDescent="0.35">
      <c r="A1200" s="2" t="s">
        <v>8175</v>
      </c>
      <c r="B1200" s="2" t="s">
        <v>27</v>
      </c>
      <c r="C1200" s="2" t="s">
        <v>28</v>
      </c>
      <c r="D1200" s="2" t="s">
        <v>97</v>
      </c>
      <c r="E1200" s="2" t="s">
        <v>7589</v>
      </c>
      <c r="F1200" s="2" t="s">
        <v>99</v>
      </c>
      <c r="G1200" s="2" t="s">
        <v>32</v>
      </c>
      <c r="H1200" s="1"/>
      <c r="I1200" s="2" t="s">
        <v>33</v>
      </c>
      <c r="J1200" s="2" t="s">
        <v>34</v>
      </c>
      <c r="K1200" s="2" t="s">
        <v>8176</v>
      </c>
      <c r="L1200" s="2" t="s">
        <v>8177</v>
      </c>
      <c r="M1200" s="2" t="s">
        <v>8178</v>
      </c>
      <c r="N1200" s="2" t="s">
        <v>38</v>
      </c>
      <c r="O1200" s="2" t="s">
        <v>57</v>
      </c>
      <c r="P1200" s="2" t="s">
        <v>8179</v>
      </c>
      <c r="Q1200" s="2" t="s">
        <v>8180</v>
      </c>
      <c r="R1200" s="2" t="s">
        <v>40</v>
      </c>
      <c r="S1200" s="2" t="s">
        <v>8181</v>
      </c>
      <c r="T1200" s="2" t="s">
        <v>2411</v>
      </c>
      <c r="U1200" s="2" t="s">
        <v>144</v>
      </c>
      <c r="V1200" s="2" t="s">
        <v>8182</v>
      </c>
      <c r="W1200" s="1"/>
      <c r="X1200" s="2" t="s">
        <v>8183</v>
      </c>
      <c r="Y1200" s="2" t="s">
        <v>7594</v>
      </c>
      <c r="AA1200" t="str">
        <f t="shared" si="108"/>
        <v>2026-02</v>
      </c>
      <c r="AB1200" t="str">
        <f t="shared" si="109"/>
        <v>H1_2026</v>
      </c>
      <c r="AC1200">
        <f t="shared" si="110"/>
        <v>22468.29</v>
      </c>
      <c r="AD1200">
        <f t="shared" si="111"/>
        <v>5</v>
      </c>
      <c r="AE1200">
        <f t="shared" si="112"/>
        <v>7468.29</v>
      </c>
      <c r="AF1200" t="str">
        <f t="shared" si="113"/>
        <v>Paid</v>
      </c>
    </row>
    <row r="1201" spans="1:32" ht="17.25" thickBot="1" x14ac:dyDescent="0.35">
      <c r="A1201" s="2" t="s">
        <v>8184</v>
      </c>
      <c r="B1201" s="2" t="s">
        <v>27</v>
      </c>
      <c r="C1201" s="2" t="s">
        <v>28</v>
      </c>
      <c r="D1201" s="2" t="s">
        <v>97</v>
      </c>
      <c r="E1201" s="2" t="s">
        <v>7589</v>
      </c>
      <c r="F1201" s="2" t="s">
        <v>99</v>
      </c>
      <c r="G1201" s="2" t="s">
        <v>32</v>
      </c>
      <c r="H1201" s="1"/>
      <c r="I1201" s="2" t="s">
        <v>33</v>
      </c>
      <c r="J1201" s="2" t="s">
        <v>34</v>
      </c>
      <c r="K1201" s="2" t="s">
        <v>8185</v>
      </c>
      <c r="L1201" s="2" t="s">
        <v>8186</v>
      </c>
      <c r="M1201" s="2" t="s">
        <v>8178</v>
      </c>
      <c r="N1201" s="2" t="s">
        <v>38</v>
      </c>
      <c r="O1201" s="2" t="s">
        <v>121</v>
      </c>
      <c r="P1201" s="2" t="s">
        <v>4508</v>
      </c>
      <c r="Q1201" s="2" t="s">
        <v>8187</v>
      </c>
      <c r="R1201" s="2" t="s">
        <v>40</v>
      </c>
      <c r="S1201" s="2" t="s">
        <v>8188</v>
      </c>
      <c r="T1201" s="2" t="s">
        <v>2275</v>
      </c>
      <c r="U1201" s="2" t="s">
        <v>5740</v>
      </c>
      <c r="V1201" s="2" t="s">
        <v>8189</v>
      </c>
      <c r="W1201" s="1"/>
      <c r="X1201" s="2" t="s">
        <v>1340</v>
      </c>
      <c r="Y1201" s="2" t="s">
        <v>7594</v>
      </c>
      <c r="AA1201" t="str">
        <f t="shared" si="108"/>
        <v>2026-02</v>
      </c>
      <c r="AB1201" t="str">
        <f t="shared" si="109"/>
        <v>H1_2026</v>
      </c>
      <c r="AC1201">
        <f t="shared" si="110"/>
        <v>100838.82</v>
      </c>
      <c r="AD1201">
        <f t="shared" si="111"/>
        <v>16</v>
      </c>
      <c r="AE1201">
        <f t="shared" si="112"/>
        <v>28838.82</v>
      </c>
      <c r="AF1201" t="str">
        <f t="shared" si="113"/>
        <v>Paid</v>
      </c>
    </row>
    <row r="1202" spans="1:32" ht="17.25" thickBot="1" x14ac:dyDescent="0.35">
      <c r="A1202" s="2" t="s">
        <v>8190</v>
      </c>
      <c r="B1202" s="2" t="s">
        <v>27</v>
      </c>
      <c r="C1202" s="2" t="s">
        <v>28</v>
      </c>
      <c r="D1202" s="2" t="s">
        <v>97</v>
      </c>
      <c r="E1202" s="2" t="s">
        <v>7589</v>
      </c>
      <c r="F1202" s="2" t="s">
        <v>99</v>
      </c>
      <c r="G1202" s="2" t="s">
        <v>32</v>
      </c>
      <c r="H1202" s="1"/>
      <c r="I1202" s="2" t="s">
        <v>33</v>
      </c>
      <c r="J1202" s="2" t="s">
        <v>34</v>
      </c>
      <c r="K1202" s="2" t="s">
        <v>8191</v>
      </c>
      <c r="L1202" s="2" t="s">
        <v>8192</v>
      </c>
      <c r="M1202" s="2" t="s">
        <v>3227</v>
      </c>
      <c r="N1202" s="2" t="s">
        <v>38</v>
      </c>
      <c r="O1202" s="2" t="s">
        <v>174</v>
      </c>
      <c r="P1202" s="2" t="s">
        <v>5084</v>
      </c>
      <c r="Q1202" s="2" t="s">
        <v>8193</v>
      </c>
      <c r="R1202" s="2" t="s">
        <v>40</v>
      </c>
      <c r="S1202" s="2" t="s">
        <v>8194</v>
      </c>
      <c r="T1202" s="2" t="s">
        <v>8195</v>
      </c>
      <c r="U1202" s="2" t="s">
        <v>8196</v>
      </c>
      <c r="V1202" s="2" t="s">
        <v>8197</v>
      </c>
      <c r="W1202" s="1"/>
      <c r="X1202" s="2" t="s">
        <v>8198</v>
      </c>
      <c r="Y1202" s="2" t="s">
        <v>7594</v>
      </c>
      <c r="AA1202" t="str">
        <f t="shared" si="108"/>
        <v>2026-02</v>
      </c>
      <c r="AB1202" t="str">
        <f t="shared" si="109"/>
        <v>H1_2026</v>
      </c>
      <c r="AC1202">
        <f t="shared" si="110"/>
        <v>185907.44</v>
      </c>
      <c r="AD1202">
        <f t="shared" si="111"/>
        <v>22</v>
      </c>
      <c r="AE1202">
        <f t="shared" si="112"/>
        <v>48627.44</v>
      </c>
      <c r="AF1202" t="str">
        <f t="shared" si="113"/>
        <v>Paid</v>
      </c>
    </row>
    <row r="1203" spans="1:32" ht="17.25" thickBot="1" x14ac:dyDescent="0.35">
      <c r="A1203" s="2" t="s">
        <v>8199</v>
      </c>
      <c r="B1203" s="2" t="s">
        <v>27</v>
      </c>
      <c r="C1203" s="2" t="s">
        <v>28</v>
      </c>
      <c r="D1203" s="2" t="s">
        <v>97</v>
      </c>
      <c r="E1203" s="2" t="s">
        <v>8200</v>
      </c>
      <c r="F1203" s="2" t="s">
        <v>99</v>
      </c>
      <c r="G1203" s="2" t="s">
        <v>32</v>
      </c>
      <c r="H1203" s="1"/>
      <c r="I1203" s="2" t="s">
        <v>33</v>
      </c>
      <c r="J1203" s="2" t="s">
        <v>34</v>
      </c>
      <c r="K1203" s="2" t="s">
        <v>3885</v>
      </c>
      <c r="L1203" s="2" t="s">
        <v>3886</v>
      </c>
      <c r="M1203" s="2" t="s">
        <v>701</v>
      </c>
      <c r="N1203" s="2" t="s">
        <v>38</v>
      </c>
      <c r="O1203" s="2" t="s">
        <v>8201</v>
      </c>
      <c r="P1203" s="2" t="s">
        <v>4700</v>
      </c>
      <c r="Q1203" s="2" t="s">
        <v>8202</v>
      </c>
      <c r="R1203" s="2" t="s">
        <v>40</v>
      </c>
      <c r="S1203" s="2" t="s">
        <v>8203</v>
      </c>
      <c r="T1203" s="2" t="s">
        <v>706</v>
      </c>
      <c r="U1203" s="2" t="s">
        <v>8204</v>
      </c>
      <c r="V1203" s="2" t="s">
        <v>8205</v>
      </c>
      <c r="W1203" s="1"/>
      <c r="X1203" s="2" t="s">
        <v>709</v>
      </c>
      <c r="Y1203" s="2" t="s">
        <v>8206</v>
      </c>
      <c r="AA1203" t="str">
        <f t="shared" si="108"/>
        <v>2026-02</v>
      </c>
      <c r="AB1203" t="str">
        <f t="shared" si="109"/>
        <v>H1_2026</v>
      </c>
      <c r="AC1203">
        <f t="shared" si="110"/>
        <v>21193790.52</v>
      </c>
      <c r="AD1203">
        <f t="shared" si="111"/>
        <v>2120</v>
      </c>
      <c r="AE1203">
        <f t="shared" si="112"/>
        <v>3385790.52</v>
      </c>
      <c r="AF1203" t="str">
        <f t="shared" si="113"/>
        <v>Paid</v>
      </c>
    </row>
    <row r="1204" spans="1:32" ht="17.25" thickBot="1" x14ac:dyDescent="0.35">
      <c r="A1204" s="2" t="s">
        <v>8207</v>
      </c>
      <c r="B1204" s="2" t="s">
        <v>27</v>
      </c>
      <c r="C1204" s="2" t="s">
        <v>28</v>
      </c>
      <c r="D1204" s="2" t="s">
        <v>97</v>
      </c>
      <c r="E1204" s="2" t="s">
        <v>8200</v>
      </c>
      <c r="F1204" s="2" t="s">
        <v>99</v>
      </c>
      <c r="G1204" s="2" t="s">
        <v>32</v>
      </c>
      <c r="H1204" s="1"/>
      <c r="I1204" s="2" t="s">
        <v>33</v>
      </c>
      <c r="J1204" s="2" t="s">
        <v>34</v>
      </c>
      <c r="K1204" s="2" t="s">
        <v>3895</v>
      </c>
      <c r="L1204" s="2" t="s">
        <v>3896</v>
      </c>
      <c r="M1204" s="2" t="s">
        <v>701</v>
      </c>
      <c r="N1204" s="2" t="s">
        <v>38</v>
      </c>
      <c r="O1204" s="2" t="s">
        <v>8208</v>
      </c>
      <c r="P1204" s="2" t="s">
        <v>3898</v>
      </c>
      <c r="Q1204" s="2" t="s">
        <v>8209</v>
      </c>
      <c r="R1204" s="2" t="s">
        <v>40</v>
      </c>
      <c r="S1204" s="2" t="s">
        <v>8210</v>
      </c>
      <c r="T1204" s="2" t="s">
        <v>1444</v>
      </c>
      <c r="U1204" s="2" t="s">
        <v>8211</v>
      </c>
      <c r="V1204" s="2" t="s">
        <v>8212</v>
      </c>
      <c r="W1204" s="1"/>
      <c r="X1204" s="2" t="s">
        <v>709</v>
      </c>
      <c r="Y1204" s="2" t="s">
        <v>8206</v>
      </c>
      <c r="AA1204" t="str">
        <f t="shared" si="108"/>
        <v>2026-02</v>
      </c>
      <c r="AB1204" t="str">
        <f t="shared" si="109"/>
        <v>H1_2026</v>
      </c>
      <c r="AC1204">
        <f t="shared" si="110"/>
        <v>23000721.66</v>
      </c>
      <c r="AD1204">
        <f t="shared" si="111"/>
        <v>3540</v>
      </c>
      <c r="AE1204">
        <f t="shared" si="112"/>
        <v>3672321.66</v>
      </c>
      <c r="AF1204" t="str">
        <f t="shared" si="113"/>
        <v>Paid</v>
      </c>
    </row>
    <row r="1205" spans="1:32" ht="17.25" thickBot="1" x14ac:dyDescent="0.35">
      <c r="A1205" s="2" t="s">
        <v>8213</v>
      </c>
      <c r="B1205" s="2" t="s">
        <v>27</v>
      </c>
      <c r="C1205" s="2" t="s">
        <v>28</v>
      </c>
      <c r="D1205" s="2" t="s">
        <v>97</v>
      </c>
      <c r="E1205" s="2" t="s">
        <v>8200</v>
      </c>
      <c r="F1205" s="2" t="s">
        <v>99</v>
      </c>
      <c r="G1205" s="2" t="s">
        <v>32</v>
      </c>
      <c r="H1205" s="1"/>
      <c r="I1205" s="2" t="s">
        <v>33</v>
      </c>
      <c r="J1205" s="2" t="s">
        <v>34</v>
      </c>
      <c r="K1205" s="2" t="s">
        <v>3905</v>
      </c>
      <c r="L1205" s="2" t="s">
        <v>3906</v>
      </c>
      <c r="M1205" s="2" t="s">
        <v>701</v>
      </c>
      <c r="N1205" s="2" t="s">
        <v>38</v>
      </c>
      <c r="O1205" s="2" t="s">
        <v>8214</v>
      </c>
      <c r="P1205" s="2" t="s">
        <v>3908</v>
      </c>
      <c r="Q1205" s="2" t="s">
        <v>8215</v>
      </c>
      <c r="R1205" s="2" t="s">
        <v>40</v>
      </c>
      <c r="S1205" s="2" t="s">
        <v>8216</v>
      </c>
      <c r="T1205" s="2" t="s">
        <v>3015</v>
      </c>
      <c r="U1205" s="2" t="s">
        <v>8217</v>
      </c>
      <c r="V1205" s="2" t="s">
        <v>8218</v>
      </c>
      <c r="W1205" s="1"/>
      <c r="X1205" s="2" t="s">
        <v>709</v>
      </c>
      <c r="Y1205" s="2" t="s">
        <v>8206</v>
      </c>
      <c r="AA1205" t="str">
        <f t="shared" si="108"/>
        <v>2026-02</v>
      </c>
      <c r="AB1205" t="str">
        <f t="shared" si="109"/>
        <v>H1_2026</v>
      </c>
      <c r="AC1205">
        <f t="shared" si="110"/>
        <v>13217131.869999999</v>
      </c>
      <c r="AD1205">
        <f t="shared" si="111"/>
        <v>1392</v>
      </c>
      <c r="AE1205">
        <f t="shared" si="112"/>
        <v>2108971.87</v>
      </c>
      <c r="AF1205" t="str">
        <f t="shared" si="113"/>
        <v>Paid</v>
      </c>
    </row>
    <row r="1206" spans="1:32" ht="17.25" thickBot="1" x14ac:dyDescent="0.35">
      <c r="A1206" s="2" t="s">
        <v>8219</v>
      </c>
      <c r="B1206" s="2" t="s">
        <v>27</v>
      </c>
      <c r="C1206" s="2" t="s">
        <v>28</v>
      </c>
      <c r="D1206" s="2" t="s">
        <v>97</v>
      </c>
      <c r="E1206" s="2" t="s">
        <v>8200</v>
      </c>
      <c r="F1206" s="2" t="s">
        <v>99</v>
      </c>
      <c r="G1206" s="2" t="s">
        <v>32</v>
      </c>
      <c r="H1206" s="1"/>
      <c r="I1206" s="2" t="s">
        <v>33</v>
      </c>
      <c r="J1206" s="2" t="s">
        <v>34</v>
      </c>
      <c r="K1206" s="2" t="s">
        <v>699</v>
      </c>
      <c r="L1206" s="2" t="s">
        <v>700</v>
      </c>
      <c r="M1206" s="2" t="s">
        <v>701</v>
      </c>
      <c r="N1206" s="2" t="s">
        <v>38</v>
      </c>
      <c r="O1206" s="2" t="s">
        <v>8220</v>
      </c>
      <c r="P1206" s="2" t="s">
        <v>4700</v>
      </c>
      <c r="Q1206" s="2" t="s">
        <v>8221</v>
      </c>
      <c r="R1206" s="2" t="s">
        <v>40</v>
      </c>
      <c r="S1206" s="2" t="s">
        <v>8222</v>
      </c>
      <c r="T1206" s="2" t="s">
        <v>706</v>
      </c>
      <c r="U1206" s="2" t="s">
        <v>8223</v>
      </c>
      <c r="V1206" s="2" t="s">
        <v>8224</v>
      </c>
      <c r="W1206" s="1"/>
      <c r="X1206" s="2" t="s">
        <v>709</v>
      </c>
      <c r="Y1206" s="2" t="s">
        <v>8206</v>
      </c>
      <c r="AA1206" t="str">
        <f t="shared" si="108"/>
        <v>2026-02</v>
      </c>
      <c r="AB1206" t="str">
        <f t="shared" si="109"/>
        <v>H1_2026</v>
      </c>
      <c r="AC1206">
        <f t="shared" si="110"/>
        <v>19194376.32</v>
      </c>
      <c r="AD1206">
        <f t="shared" si="111"/>
        <v>1920</v>
      </c>
      <c r="AE1206">
        <f t="shared" si="112"/>
        <v>3066376.32</v>
      </c>
      <c r="AF1206" t="str">
        <f t="shared" si="113"/>
        <v>Paid</v>
      </c>
    </row>
    <row r="1207" spans="1:32" ht="17.25" thickBot="1" x14ac:dyDescent="0.35">
      <c r="A1207" s="2" t="s">
        <v>8225</v>
      </c>
      <c r="B1207" s="2" t="s">
        <v>27</v>
      </c>
      <c r="C1207" s="2" t="s">
        <v>28</v>
      </c>
      <c r="D1207" s="2" t="s">
        <v>97</v>
      </c>
      <c r="E1207" s="2" t="s">
        <v>8200</v>
      </c>
      <c r="F1207" s="2" t="s">
        <v>99</v>
      </c>
      <c r="G1207" s="2" t="s">
        <v>32</v>
      </c>
      <c r="H1207" s="1"/>
      <c r="I1207" s="2" t="s">
        <v>33</v>
      </c>
      <c r="J1207" s="2" t="s">
        <v>34</v>
      </c>
      <c r="K1207" s="2" t="s">
        <v>3922</v>
      </c>
      <c r="L1207" s="2" t="s">
        <v>3923</v>
      </c>
      <c r="M1207" s="2" t="s">
        <v>701</v>
      </c>
      <c r="N1207" s="2" t="s">
        <v>38</v>
      </c>
      <c r="O1207" s="2" t="s">
        <v>8226</v>
      </c>
      <c r="P1207" s="2" t="s">
        <v>1175</v>
      </c>
      <c r="Q1207" s="2" t="s">
        <v>8227</v>
      </c>
      <c r="R1207" s="2" t="s">
        <v>40</v>
      </c>
      <c r="S1207" s="2" t="s">
        <v>8228</v>
      </c>
      <c r="T1207" s="2" t="s">
        <v>759</v>
      </c>
      <c r="U1207" s="2" t="s">
        <v>8229</v>
      </c>
      <c r="V1207" s="2" t="s">
        <v>8230</v>
      </c>
      <c r="W1207" s="1"/>
      <c r="X1207" s="2" t="s">
        <v>5168</v>
      </c>
      <c r="Y1207" s="2" t="s">
        <v>8206</v>
      </c>
      <c r="AA1207" t="str">
        <f t="shared" si="108"/>
        <v>2026-02</v>
      </c>
      <c r="AB1207" t="str">
        <f t="shared" si="109"/>
        <v>H1_2026</v>
      </c>
      <c r="AC1207">
        <f t="shared" si="110"/>
        <v>21223623.960000001</v>
      </c>
      <c r="AD1207">
        <f t="shared" si="111"/>
        <v>2360</v>
      </c>
      <c r="AE1207">
        <f t="shared" si="112"/>
        <v>3382023.96</v>
      </c>
      <c r="AF1207" t="str">
        <f t="shared" si="113"/>
        <v>Paid</v>
      </c>
    </row>
    <row r="1208" spans="1:32" ht="17.25" thickBot="1" x14ac:dyDescent="0.35">
      <c r="A1208" s="2" t="s">
        <v>8231</v>
      </c>
      <c r="B1208" s="2" t="s">
        <v>27</v>
      </c>
      <c r="C1208" s="2" t="s">
        <v>28</v>
      </c>
      <c r="D1208" s="2" t="s">
        <v>97</v>
      </c>
      <c r="E1208" s="2" t="s">
        <v>8200</v>
      </c>
      <c r="F1208" s="2" t="s">
        <v>99</v>
      </c>
      <c r="G1208" s="2" t="s">
        <v>32</v>
      </c>
      <c r="H1208" s="1"/>
      <c r="I1208" s="2" t="s">
        <v>33</v>
      </c>
      <c r="J1208" s="2" t="s">
        <v>34</v>
      </c>
      <c r="K1208" s="2" t="s">
        <v>711</v>
      </c>
      <c r="L1208" s="2" t="s">
        <v>712</v>
      </c>
      <c r="M1208" s="2" t="s">
        <v>701</v>
      </c>
      <c r="N1208" s="2" t="s">
        <v>38</v>
      </c>
      <c r="O1208" s="2" t="s">
        <v>821</v>
      </c>
      <c r="P1208" s="2" t="s">
        <v>7023</v>
      </c>
      <c r="Q1208" s="2" t="s">
        <v>8232</v>
      </c>
      <c r="R1208" s="2" t="s">
        <v>40</v>
      </c>
      <c r="S1208" s="2" t="s">
        <v>8233</v>
      </c>
      <c r="T1208" s="2" t="s">
        <v>40</v>
      </c>
      <c r="U1208" s="2" t="s">
        <v>40</v>
      </c>
      <c r="V1208" s="2" t="s">
        <v>8233</v>
      </c>
      <c r="W1208" s="1"/>
      <c r="X1208" s="2" t="s">
        <v>2155</v>
      </c>
      <c r="Y1208" s="2" t="s">
        <v>8206</v>
      </c>
      <c r="AA1208" t="str">
        <f t="shared" si="108"/>
        <v>2026-02</v>
      </c>
      <c r="AB1208" t="str">
        <f t="shared" si="109"/>
        <v>H1_2026</v>
      </c>
      <c r="AC1208">
        <f t="shared" si="110"/>
        <v>58584844.079999998</v>
      </c>
      <c r="AD1208">
        <f t="shared" si="111"/>
        <v>4880</v>
      </c>
      <c r="AE1208">
        <f t="shared" si="112"/>
        <v>58584844.079999998</v>
      </c>
      <c r="AF1208" t="str">
        <f t="shared" si="113"/>
        <v>Paid</v>
      </c>
    </row>
    <row r="1209" spans="1:32" ht="17.25" thickBot="1" x14ac:dyDescent="0.35">
      <c r="A1209" s="2" t="s">
        <v>8234</v>
      </c>
      <c r="B1209" s="2" t="s">
        <v>27</v>
      </c>
      <c r="C1209" s="2" t="s">
        <v>28</v>
      </c>
      <c r="D1209" s="2" t="s">
        <v>97</v>
      </c>
      <c r="E1209" s="2" t="s">
        <v>8200</v>
      </c>
      <c r="F1209" s="2" t="s">
        <v>99</v>
      </c>
      <c r="G1209" s="2" t="s">
        <v>32</v>
      </c>
      <c r="H1209" s="1"/>
      <c r="I1209" s="2" t="s">
        <v>33</v>
      </c>
      <c r="J1209" s="2" t="s">
        <v>34</v>
      </c>
      <c r="K1209" s="2" t="s">
        <v>3930</v>
      </c>
      <c r="L1209" s="2" t="s">
        <v>3931</v>
      </c>
      <c r="M1209" s="2" t="s">
        <v>701</v>
      </c>
      <c r="N1209" s="2" t="s">
        <v>38</v>
      </c>
      <c r="O1209" s="2" t="s">
        <v>8235</v>
      </c>
      <c r="P1209" s="2" t="s">
        <v>8236</v>
      </c>
      <c r="Q1209" s="2" t="s">
        <v>8237</v>
      </c>
      <c r="R1209" s="2" t="s">
        <v>40</v>
      </c>
      <c r="S1209" s="2" t="s">
        <v>8238</v>
      </c>
      <c r="T1209" s="2" t="s">
        <v>8239</v>
      </c>
      <c r="U1209" s="2" t="s">
        <v>8240</v>
      </c>
      <c r="V1209" s="2" t="s">
        <v>8241</v>
      </c>
      <c r="W1209" s="1"/>
      <c r="X1209" s="2" t="s">
        <v>1091</v>
      </c>
      <c r="Y1209" s="2" t="s">
        <v>8206</v>
      </c>
      <c r="AA1209" t="str">
        <f t="shared" si="108"/>
        <v>2026-02</v>
      </c>
      <c r="AB1209" t="str">
        <f t="shared" si="109"/>
        <v>H1_2026</v>
      </c>
      <c r="AC1209">
        <f t="shared" si="110"/>
        <v>31630402.760000002</v>
      </c>
      <c r="AD1209">
        <f t="shared" si="111"/>
        <v>1861</v>
      </c>
      <c r="AE1209">
        <f t="shared" si="112"/>
        <v>7968442.75</v>
      </c>
      <c r="AF1209" t="str">
        <f t="shared" si="113"/>
        <v>Paid</v>
      </c>
    </row>
    <row r="1210" spans="1:32" ht="17.25" thickBot="1" x14ac:dyDescent="0.35">
      <c r="A1210" s="2" t="s">
        <v>8242</v>
      </c>
      <c r="B1210" s="2" t="s">
        <v>27</v>
      </c>
      <c r="C1210" s="2" t="s">
        <v>28</v>
      </c>
      <c r="D1210" s="2" t="s">
        <v>97</v>
      </c>
      <c r="E1210" s="2" t="s">
        <v>8200</v>
      </c>
      <c r="F1210" s="2" t="s">
        <v>99</v>
      </c>
      <c r="G1210" s="2" t="s">
        <v>32</v>
      </c>
      <c r="H1210" s="1"/>
      <c r="I1210" s="2" t="s">
        <v>33</v>
      </c>
      <c r="J1210" s="2" t="s">
        <v>34</v>
      </c>
      <c r="K1210" s="2" t="s">
        <v>3940</v>
      </c>
      <c r="L1210" s="2" t="s">
        <v>3941</v>
      </c>
      <c r="M1210" s="2" t="s">
        <v>701</v>
      </c>
      <c r="N1210" s="2" t="s">
        <v>38</v>
      </c>
      <c r="O1210" s="2" t="s">
        <v>8243</v>
      </c>
      <c r="P1210" s="2" t="s">
        <v>8244</v>
      </c>
      <c r="Q1210" s="2" t="s">
        <v>8245</v>
      </c>
      <c r="R1210" s="2" t="s">
        <v>40</v>
      </c>
      <c r="S1210" s="2" t="s">
        <v>8246</v>
      </c>
      <c r="T1210" s="2" t="s">
        <v>8247</v>
      </c>
      <c r="U1210" s="2" t="s">
        <v>8248</v>
      </c>
      <c r="V1210" s="2" t="s">
        <v>8249</v>
      </c>
      <c r="W1210" s="1"/>
      <c r="X1210" s="2" t="s">
        <v>3756</v>
      </c>
      <c r="Y1210" s="2" t="s">
        <v>8206</v>
      </c>
      <c r="AA1210" t="str">
        <f t="shared" si="108"/>
        <v>2026-02</v>
      </c>
      <c r="AB1210" t="str">
        <f t="shared" si="109"/>
        <v>H1_2026</v>
      </c>
      <c r="AC1210">
        <f t="shared" si="110"/>
        <v>74507295.239999995</v>
      </c>
      <c r="AD1210">
        <f t="shared" si="111"/>
        <v>8760</v>
      </c>
      <c r="AE1210">
        <f t="shared" si="112"/>
        <v>13174695.24</v>
      </c>
      <c r="AF1210" t="str">
        <f t="shared" si="113"/>
        <v>Paid</v>
      </c>
    </row>
    <row r="1211" spans="1:32" ht="17.25" thickBot="1" x14ac:dyDescent="0.35">
      <c r="A1211" s="2" t="s">
        <v>8250</v>
      </c>
      <c r="B1211" s="2" t="s">
        <v>27</v>
      </c>
      <c r="C1211" s="2" t="s">
        <v>28</v>
      </c>
      <c r="D1211" s="2" t="s">
        <v>97</v>
      </c>
      <c r="E1211" s="2" t="s">
        <v>8200</v>
      </c>
      <c r="F1211" s="2" t="s">
        <v>99</v>
      </c>
      <c r="G1211" s="2" t="s">
        <v>32</v>
      </c>
      <c r="H1211" s="1"/>
      <c r="I1211" s="2" t="s">
        <v>33</v>
      </c>
      <c r="J1211" s="2" t="s">
        <v>34</v>
      </c>
      <c r="K1211" s="2" t="s">
        <v>3949</v>
      </c>
      <c r="L1211" s="2" t="s">
        <v>3950</v>
      </c>
      <c r="M1211" s="2" t="s">
        <v>701</v>
      </c>
      <c r="N1211" s="2" t="s">
        <v>38</v>
      </c>
      <c r="O1211" s="2" t="s">
        <v>1837</v>
      </c>
      <c r="P1211" s="2" t="s">
        <v>8244</v>
      </c>
      <c r="Q1211" s="2" t="s">
        <v>8251</v>
      </c>
      <c r="R1211" s="2" t="s">
        <v>40</v>
      </c>
      <c r="S1211" s="2" t="s">
        <v>8252</v>
      </c>
      <c r="T1211" s="2" t="s">
        <v>726</v>
      </c>
      <c r="U1211" s="2" t="s">
        <v>8253</v>
      </c>
      <c r="V1211" s="2" t="s">
        <v>8254</v>
      </c>
      <c r="W1211" s="1"/>
      <c r="X1211" s="2" t="s">
        <v>3903</v>
      </c>
      <c r="Y1211" s="2" t="s">
        <v>8206</v>
      </c>
      <c r="AA1211" t="str">
        <f t="shared" si="108"/>
        <v>2026-02</v>
      </c>
      <c r="AB1211" t="str">
        <f t="shared" si="109"/>
        <v>H1_2026</v>
      </c>
      <c r="AC1211">
        <f t="shared" si="110"/>
        <v>9355938.9000000004</v>
      </c>
      <c r="AD1211">
        <f t="shared" si="111"/>
        <v>1100</v>
      </c>
      <c r="AE1211">
        <f t="shared" si="112"/>
        <v>1501938.9</v>
      </c>
      <c r="AF1211" t="str">
        <f t="shared" si="113"/>
        <v>Paid</v>
      </c>
    </row>
    <row r="1212" spans="1:32" ht="17.25" thickBot="1" x14ac:dyDescent="0.35">
      <c r="A1212" s="2" t="s">
        <v>8255</v>
      </c>
      <c r="B1212" s="2" t="s">
        <v>27</v>
      </c>
      <c r="C1212" s="2" t="s">
        <v>28</v>
      </c>
      <c r="D1212" s="2" t="s">
        <v>97</v>
      </c>
      <c r="E1212" s="2" t="s">
        <v>8200</v>
      </c>
      <c r="F1212" s="2" t="s">
        <v>99</v>
      </c>
      <c r="G1212" s="2" t="s">
        <v>32</v>
      </c>
      <c r="H1212" s="1"/>
      <c r="I1212" s="2" t="s">
        <v>33</v>
      </c>
      <c r="J1212" s="2" t="s">
        <v>34</v>
      </c>
      <c r="K1212" s="2" t="s">
        <v>720</v>
      </c>
      <c r="L1212" s="2" t="s">
        <v>721</v>
      </c>
      <c r="M1212" s="2" t="s">
        <v>701</v>
      </c>
      <c r="N1212" s="2" t="s">
        <v>38</v>
      </c>
      <c r="O1212" s="2" t="s">
        <v>8256</v>
      </c>
      <c r="P1212" s="2" t="s">
        <v>8244</v>
      </c>
      <c r="Q1212" s="2" t="s">
        <v>8257</v>
      </c>
      <c r="R1212" s="2" t="s">
        <v>40</v>
      </c>
      <c r="S1212" s="2" t="s">
        <v>8258</v>
      </c>
      <c r="T1212" s="2" t="s">
        <v>8259</v>
      </c>
      <c r="U1212" s="2" t="s">
        <v>8260</v>
      </c>
      <c r="V1212" s="2" t="s">
        <v>8261</v>
      </c>
      <c r="W1212" s="1"/>
      <c r="X1212" s="2" t="s">
        <v>8262</v>
      </c>
      <c r="Y1212" s="2" t="s">
        <v>8206</v>
      </c>
      <c r="AA1212" t="str">
        <f t="shared" si="108"/>
        <v>2026-02</v>
      </c>
      <c r="AB1212" t="str">
        <f t="shared" si="109"/>
        <v>H1_2026</v>
      </c>
      <c r="AC1212">
        <f t="shared" si="110"/>
        <v>51032394</v>
      </c>
      <c r="AD1212">
        <f t="shared" si="111"/>
        <v>6000</v>
      </c>
      <c r="AE1212">
        <f t="shared" si="112"/>
        <v>21337134</v>
      </c>
      <c r="AF1212" t="str">
        <f t="shared" si="113"/>
        <v>Paid</v>
      </c>
    </row>
    <row r="1213" spans="1:32" ht="17.25" thickBot="1" x14ac:dyDescent="0.35">
      <c r="A1213" s="2" t="s">
        <v>8263</v>
      </c>
      <c r="B1213" s="2" t="s">
        <v>27</v>
      </c>
      <c r="C1213" s="2" t="s">
        <v>28</v>
      </c>
      <c r="D1213" s="2" t="s">
        <v>97</v>
      </c>
      <c r="E1213" s="2" t="s">
        <v>8200</v>
      </c>
      <c r="F1213" s="2" t="s">
        <v>99</v>
      </c>
      <c r="G1213" s="2" t="s">
        <v>32</v>
      </c>
      <c r="H1213" s="1"/>
      <c r="I1213" s="2" t="s">
        <v>33</v>
      </c>
      <c r="J1213" s="2" t="s">
        <v>34</v>
      </c>
      <c r="K1213" s="2" t="s">
        <v>730</v>
      </c>
      <c r="L1213" s="2" t="s">
        <v>731</v>
      </c>
      <c r="M1213" s="2" t="s">
        <v>701</v>
      </c>
      <c r="N1213" s="2" t="s">
        <v>38</v>
      </c>
      <c r="O1213" s="2" t="s">
        <v>370</v>
      </c>
      <c r="P1213" s="2" t="s">
        <v>7023</v>
      </c>
      <c r="Q1213" s="2" t="s">
        <v>8264</v>
      </c>
      <c r="R1213" s="2" t="s">
        <v>40</v>
      </c>
      <c r="S1213" s="2" t="s">
        <v>8265</v>
      </c>
      <c r="T1213" s="2" t="s">
        <v>716</v>
      </c>
      <c r="U1213" s="2" t="s">
        <v>8266</v>
      </c>
      <c r="V1213" s="2" t="s">
        <v>8267</v>
      </c>
      <c r="W1213" s="1"/>
      <c r="X1213" s="2" t="s">
        <v>709</v>
      </c>
      <c r="Y1213" s="2" t="s">
        <v>8206</v>
      </c>
      <c r="AA1213" t="str">
        <f t="shared" si="108"/>
        <v>2026-02</v>
      </c>
      <c r="AB1213" t="str">
        <f t="shared" si="109"/>
        <v>H1_2026</v>
      </c>
      <c r="AC1213">
        <f t="shared" si="110"/>
        <v>5762443.6799999997</v>
      </c>
      <c r="AD1213">
        <f t="shared" si="111"/>
        <v>480</v>
      </c>
      <c r="AE1213">
        <f t="shared" si="112"/>
        <v>924043.68</v>
      </c>
      <c r="AF1213" t="str">
        <f t="shared" si="113"/>
        <v>Paid</v>
      </c>
    </row>
    <row r="1214" spans="1:32" ht="17.25" thickBot="1" x14ac:dyDescent="0.35">
      <c r="A1214" s="2" t="s">
        <v>8268</v>
      </c>
      <c r="B1214" s="2" t="s">
        <v>27</v>
      </c>
      <c r="C1214" s="2" t="s">
        <v>28</v>
      </c>
      <c r="D1214" s="2" t="s">
        <v>97</v>
      </c>
      <c r="E1214" s="2" t="s">
        <v>8200</v>
      </c>
      <c r="F1214" s="2" t="s">
        <v>99</v>
      </c>
      <c r="G1214" s="2" t="s">
        <v>32</v>
      </c>
      <c r="H1214" s="1"/>
      <c r="I1214" s="2" t="s">
        <v>33</v>
      </c>
      <c r="J1214" s="2" t="s">
        <v>34</v>
      </c>
      <c r="K1214" s="2" t="s">
        <v>3957</v>
      </c>
      <c r="L1214" s="2" t="s">
        <v>3958</v>
      </c>
      <c r="M1214" s="2" t="s">
        <v>701</v>
      </c>
      <c r="N1214" s="2" t="s">
        <v>38</v>
      </c>
      <c r="O1214" s="2" t="s">
        <v>8269</v>
      </c>
      <c r="P1214" s="2" t="s">
        <v>8244</v>
      </c>
      <c r="Q1214" s="2" t="s">
        <v>8270</v>
      </c>
      <c r="R1214" s="2" t="s">
        <v>40</v>
      </c>
      <c r="S1214" s="2" t="s">
        <v>8271</v>
      </c>
      <c r="T1214" s="2" t="s">
        <v>726</v>
      </c>
      <c r="U1214" s="2" t="s">
        <v>8272</v>
      </c>
      <c r="V1214" s="2" t="s">
        <v>8273</v>
      </c>
      <c r="W1214" s="1"/>
      <c r="X1214" s="2" t="s">
        <v>3903</v>
      </c>
      <c r="Y1214" s="2" t="s">
        <v>8206</v>
      </c>
      <c r="AA1214" t="str">
        <f t="shared" si="108"/>
        <v>2026-02</v>
      </c>
      <c r="AB1214" t="str">
        <f t="shared" si="109"/>
        <v>H1_2026</v>
      </c>
      <c r="AC1214">
        <f t="shared" si="110"/>
        <v>20412957.600000001</v>
      </c>
      <c r="AD1214">
        <f t="shared" si="111"/>
        <v>2400</v>
      </c>
      <c r="AE1214">
        <f t="shared" si="112"/>
        <v>3276957.6</v>
      </c>
      <c r="AF1214" t="str">
        <f t="shared" si="113"/>
        <v>Paid</v>
      </c>
    </row>
    <row r="1215" spans="1:32" ht="17.25" thickBot="1" x14ac:dyDescent="0.35">
      <c r="A1215" s="2" t="s">
        <v>8274</v>
      </c>
      <c r="B1215" s="2" t="s">
        <v>27</v>
      </c>
      <c r="C1215" s="2" t="s">
        <v>28</v>
      </c>
      <c r="D1215" s="2" t="s">
        <v>97</v>
      </c>
      <c r="E1215" s="2" t="s">
        <v>8200</v>
      </c>
      <c r="F1215" s="2" t="s">
        <v>99</v>
      </c>
      <c r="G1215" s="2" t="s">
        <v>32</v>
      </c>
      <c r="H1215" s="1"/>
      <c r="I1215" s="2" t="s">
        <v>33</v>
      </c>
      <c r="J1215" s="2" t="s">
        <v>34</v>
      </c>
      <c r="K1215" s="2" t="s">
        <v>738</v>
      </c>
      <c r="L1215" s="2" t="s">
        <v>739</v>
      </c>
      <c r="M1215" s="2" t="s">
        <v>701</v>
      </c>
      <c r="N1215" s="2" t="s">
        <v>38</v>
      </c>
      <c r="O1215" s="2" t="s">
        <v>362</v>
      </c>
      <c r="P1215" s="2" t="s">
        <v>7023</v>
      </c>
      <c r="Q1215" s="2" t="s">
        <v>8275</v>
      </c>
      <c r="R1215" s="2" t="s">
        <v>40</v>
      </c>
      <c r="S1215" s="2" t="s">
        <v>8276</v>
      </c>
      <c r="T1215" s="2" t="s">
        <v>716</v>
      </c>
      <c r="U1215" s="2" t="s">
        <v>8277</v>
      </c>
      <c r="V1215" s="2" t="s">
        <v>8278</v>
      </c>
      <c r="W1215" s="1"/>
      <c r="X1215" s="2" t="s">
        <v>709</v>
      </c>
      <c r="Y1215" s="2" t="s">
        <v>8206</v>
      </c>
      <c r="AA1215" t="str">
        <f t="shared" si="108"/>
        <v>2026-02</v>
      </c>
      <c r="AB1215" t="str">
        <f t="shared" si="109"/>
        <v>H1_2026</v>
      </c>
      <c r="AC1215">
        <f t="shared" si="110"/>
        <v>3841629.12</v>
      </c>
      <c r="AD1215">
        <f t="shared" si="111"/>
        <v>320</v>
      </c>
      <c r="AE1215">
        <f t="shared" si="112"/>
        <v>616029.12</v>
      </c>
      <c r="AF1215" t="str">
        <f t="shared" si="113"/>
        <v>Paid</v>
      </c>
    </row>
    <row r="1216" spans="1:32" ht="17.25" thickBot="1" x14ac:dyDescent="0.35">
      <c r="A1216" s="2" t="s">
        <v>8279</v>
      </c>
      <c r="B1216" s="2" t="s">
        <v>27</v>
      </c>
      <c r="C1216" s="2" t="s">
        <v>28</v>
      </c>
      <c r="D1216" s="2" t="s">
        <v>97</v>
      </c>
      <c r="E1216" s="2" t="s">
        <v>8200</v>
      </c>
      <c r="F1216" s="2" t="s">
        <v>99</v>
      </c>
      <c r="G1216" s="2" t="s">
        <v>32</v>
      </c>
      <c r="H1216" s="1"/>
      <c r="I1216" s="2" t="s">
        <v>33</v>
      </c>
      <c r="J1216" s="2" t="s">
        <v>34</v>
      </c>
      <c r="K1216" s="2" t="s">
        <v>746</v>
      </c>
      <c r="L1216" s="2" t="s">
        <v>747</v>
      </c>
      <c r="M1216" s="2" t="s">
        <v>701</v>
      </c>
      <c r="N1216" s="2" t="s">
        <v>38</v>
      </c>
      <c r="O1216" s="2" t="s">
        <v>177</v>
      </c>
      <c r="P1216" s="2" t="s">
        <v>7023</v>
      </c>
      <c r="Q1216" s="2" t="s">
        <v>8280</v>
      </c>
      <c r="R1216" s="2" t="s">
        <v>40</v>
      </c>
      <c r="S1216" s="2" t="s">
        <v>8281</v>
      </c>
      <c r="T1216" s="2" t="s">
        <v>716</v>
      </c>
      <c r="U1216" s="2" t="s">
        <v>8282</v>
      </c>
      <c r="V1216" s="2" t="s">
        <v>8283</v>
      </c>
      <c r="W1216" s="1"/>
      <c r="X1216" s="2" t="s">
        <v>709</v>
      </c>
      <c r="Y1216" s="2" t="s">
        <v>8206</v>
      </c>
      <c r="AA1216" t="str">
        <f t="shared" si="108"/>
        <v>2026-02</v>
      </c>
      <c r="AB1216" t="str">
        <f t="shared" si="109"/>
        <v>H1_2026</v>
      </c>
      <c r="AC1216">
        <f t="shared" si="110"/>
        <v>4802036.4000000004</v>
      </c>
      <c r="AD1216">
        <f t="shared" si="111"/>
        <v>400</v>
      </c>
      <c r="AE1216">
        <f t="shared" si="112"/>
        <v>770036.4</v>
      </c>
      <c r="AF1216" t="str">
        <f t="shared" si="113"/>
        <v>Paid</v>
      </c>
    </row>
    <row r="1217" spans="1:32" ht="17.25" thickBot="1" x14ac:dyDescent="0.35">
      <c r="A1217" s="2" t="s">
        <v>8284</v>
      </c>
      <c r="B1217" s="2" t="s">
        <v>27</v>
      </c>
      <c r="C1217" s="2" t="s">
        <v>28</v>
      </c>
      <c r="D1217" s="2" t="s">
        <v>97</v>
      </c>
      <c r="E1217" s="2" t="s">
        <v>8200</v>
      </c>
      <c r="F1217" s="2" t="s">
        <v>99</v>
      </c>
      <c r="G1217" s="2" t="s">
        <v>32</v>
      </c>
      <c r="H1217" s="1"/>
      <c r="I1217" s="2" t="s">
        <v>33</v>
      </c>
      <c r="J1217" s="2" t="s">
        <v>34</v>
      </c>
      <c r="K1217" s="2" t="s">
        <v>3970</v>
      </c>
      <c r="L1217" s="2" t="s">
        <v>3971</v>
      </c>
      <c r="M1217" s="2" t="s">
        <v>701</v>
      </c>
      <c r="N1217" s="2" t="s">
        <v>38</v>
      </c>
      <c r="O1217" s="2" t="s">
        <v>1951</v>
      </c>
      <c r="P1217" s="2" t="s">
        <v>1175</v>
      </c>
      <c r="Q1217" s="2" t="s">
        <v>8285</v>
      </c>
      <c r="R1217" s="2" t="s">
        <v>40</v>
      </c>
      <c r="S1217" s="2" t="s">
        <v>8286</v>
      </c>
      <c r="T1217" s="2" t="s">
        <v>759</v>
      </c>
      <c r="U1217" s="2" t="s">
        <v>8287</v>
      </c>
      <c r="V1217" s="2" t="s">
        <v>8288</v>
      </c>
      <c r="W1217" s="1"/>
      <c r="X1217" s="2" t="s">
        <v>5168</v>
      </c>
      <c r="Y1217" s="2" t="s">
        <v>8206</v>
      </c>
      <c r="AA1217" t="str">
        <f t="shared" si="108"/>
        <v>2026-02</v>
      </c>
      <c r="AB1217" t="str">
        <f t="shared" si="109"/>
        <v>H1_2026</v>
      </c>
      <c r="AC1217">
        <f t="shared" si="110"/>
        <v>5395836.5999999996</v>
      </c>
      <c r="AD1217">
        <f t="shared" si="111"/>
        <v>600</v>
      </c>
      <c r="AE1217">
        <f t="shared" si="112"/>
        <v>859836.6</v>
      </c>
      <c r="AF1217" t="str">
        <f t="shared" si="113"/>
        <v>Paid</v>
      </c>
    </row>
    <row r="1218" spans="1:32" ht="17.25" thickBot="1" x14ac:dyDescent="0.35">
      <c r="A1218" s="2" t="s">
        <v>8289</v>
      </c>
      <c r="B1218" s="2" t="s">
        <v>27</v>
      </c>
      <c r="C1218" s="2" t="s">
        <v>28</v>
      </c>
      <c r="D1218" s="2" t="s">
        <v>97</v>
      </c>
      <c r="E1218" s="2" t="s">
        <v>8200</v>
      </c>
      <c r="F1218" s="2" t="s">
        <v>99</v>
      </c>
      <c r="G1218" s="2" t="s">
        <v>32</v>
      </c>
      <c r="H1218" s="1"/>
      <c r="I1218" s="2" t="s">
        <v>33</v>
      </c>
      <c r="J1218" s="2" t="s">
        <v>34</v>
      </c>
      <c r="K1218" s="2" t="s">
        <v>754</v>
      </c>
      <c r="L1218" s="2" t="s">
        <v>755</v>
      </c>
      <c r="M1218" s="2" t="s">
        <v>701</v>
      </c>
      <c r="N1218" s="2" t="s">
        <v>38</v>
      </c>
      <c r="O1218" s="2" t="s">
        <v>517</v>
      </c>
      <c r="P1218" s="2" t="s">
        <v>1175</v>
      </c>
      <c r="Q1218" s="2" t="s">
        <v>8290</v>
      </c>
      <c r="R1218" s="2" t="s">
        <v>40</v>
      </c>
      <c r="S1218" s="2" t="s">
        <v>8291</v>
      </c>
      <c r="T1218" s="2" t="s">
        <v>759</v>
      </c>
      <c r="U1218" s="2" t="s">
        <v>4641</v>
      </c>
      <c r="V1218" s="2" t="s">
        <v>8292</v>
      </c>
      <c r="W1218" s="1"/>
      <c r="X1218" s="2" t="s">
        <v>5168</v>
      </c>
      <c r="Y1218" s="2" t="s">
        <v>8206</v>
      </c>
      <c r="AA1218" t="str">
        <f t="shared" si="108"/>
        <v>2026-02</v>
      </c>
      <c r="AB1218" t="str">
        <f t="shared" si="109"/>
        <v>H1_2026</v>
      </c>
      <c r="AC1218">
        <f t="shared" si="110"/>
        <v>1079167.32</v>
      </c>
      <c r="AD1218">
        <f t="shared" si="111"/>
        <v>120</v>
      </c>
      <c r="AE1218">
        <f t="shared" si="112"/>
        <v>171967.32</v>
      </c>
      <c r="AF1218" t="str">
        <f t="shared" si="113"/>
        <v>Paid</v>
      </c>
    </row>
    <row r="1219" spans="1:32" ht="17.25" thickBot="1" x14ac:dyDescent="0.35">
      <c r="A1219" s="2" t="s">
        <v>8293</v>
      </c>
      <c r="B1219" s="2" t="s">
        <v>27</v>
      </c>
      <c r="C1219" s="2" t="s">
        <v>28</v>
      </c>
      <c r="D1219" s="2" t="s">
        <v>97</v>
      </c>
      <c r="E1219" s="2" t="s">
        <v>8200</v>
      </c>
      <c r="F1219" s="2" t="s">
        <v>99</v>
      </c>
      <c r="G1219" s="2" t="s">
        <v>32</v>
      </c>
      <c r="H1219" s="1"/>
      <c r="I1219" s="2" t="s">
        <v>33</v>
      </c>
      <c r="J1219" s="2" t="s">
        <v>34</v>
      </c>
      <c r="K1219" s="2" t="s">
        <v>3978</v>
      </c>
      <c r="L1219" s="2" t="s">
        <v>3979</v>
      </c>
      <c r="M1219" s="2" t="s">
        <v>701</v>
      </c>
      <c r="N1219" s="2" t="s">
        <v>38</v>
      </c>
      <c r="O1219" s="2" t="s">
        <v>2048</v>
      </c>
      <c r="P1219" s="2" t="s">
        <v>1175</v>
      </c>
      <c r="Q1219" s="2" t="s">
        <v>8294</v>
      </c>
      <c r="R1219" s="2" t="s">
        <v>40</v>
      </c>
      <c r="S1219" s="2" t="s">
        <v>8295</v>
      </c>
      <c r="T1219" s="2" t="s">
        <v>759</v>
      </c>
      <c r="U1219" s="2" t="s">
        <v>8296</v>
      </c>
      <c r="V1219" s="2" t="s">
        <v>8297</v>
      </c>
      <c r="W1219" s="1"/>
      <c r="X1219" s="2" t="s">
        <v>5168</v>
      </c>
      <c r="Y1219" s="2" t="s">
        <v>8206</v>
      </c>
      <c r="AA1219" t="str">
        <f t="shared" si="108"/>
        <v>2026-02</v>
      </c>
      <c r="AB1219" t="str">
        <f t="shared" si="109"/>
        <v>H1_2026</v>
      </c>
      <c r="AC1219">
        <f t="shared" si="110"/>
        <v>7554171.2400000002</v>
      </c>
      <c r="AD1219">
        <f t="shared" si="111"/>
        <v>840</v>
      </c>
      <c r="AE1219">
        <f t="shared" si="112"/>
        <v>1203771.24</v>
      </c>
      <c r="AF1219" t="str">
        <f t="shared" si="113"/>
        <v>Paid</v>
      </c>
    </row>
    <row r="1220" spans="1:32" ht="17.25" thickBot="1" x14ac:dyDescent="0.35">
      <c r="A1220" s="2" t="s">
        <v>8298</v>
      </c>
      <c r="B1220" s="2" t="s">
        <v>27</v>
      </c>
      <c r="C1220" s="2" t="s">
        <v>28</v>
      </c>
      <c r="D1220" s="2" t="s">
        <v>97</v>
      </c>
      <c r="E1220" s="2" t="s">
        <v>8200</v>
      </c>
      <c r="F1220" s="2" t="s">
        <v>99</v>
      </c>
      <c r="G1220" s="2" t="s">
        <v>32</v>
      </c>
      <c r="H1220" s="1"/>
      <c r="I1220" s="2" t="s">
        <v>33</v>
      </c>
      <c r="J1220" s="2" t="s">
        <v>34</v>
      </c>
      <c r="K1220" s="2" t="s">
        <v>3986</v>
      </c>
      <c r="L1220" s="2" t="s">
        <v>3987</v>
      </c>
      <c r="M1220" s="2" t="s">
        <v>701</v>
      </c>
      <c r="N1220" s="2" t="s">
        <v>38</v>
      </c>
      <c r="O1220" s="2" t="s">
        <v>2048</v>
      </c>
      <c r="P1220" s="2" t="s">
        <v>8244</v>
      </c>
      <c r="Q1220" s="2" t="s">
        <v>8299</v>
      </c>
      <c r="R1220" s="2" t="s">
        <v>40</v>
      </c>
      <c r="S1220" s="2" t="s">
        <v>8300</v>
      </c>
      <c r="T1220" s="2" t="s">
        <v>726</v>
      </c>
      <c r="U1220" s="2" t="s">
        <v>8301</v>
      </c>
      <c r="V1220" s="2" t="s">
        <v>8302</v>
      </c>
      <c r="W1220" s="1"/>
      <c r="X1220" s="2" t="s">
        <v>3903</v>
      </c>
      <c r="Y1220" s="2" t="s">
        <v>8206</v>
      </c>
      <c r="AA1220" t="str">
        <f t="shared" ref="AA1220:AA1283" si="114">LEFT(E1220,7)</f>
        <v>2026-02</v>
      </c>
      <c r="AB1220" t="str">
        <f t="shared" ref="AB1220:AB1283" si="115">IF(AND($AA1220&gt;="2025-01",$AA1220&lt;="2025-06"),"H1_2025",IF(AND($AA1220&gt;="2026-01",$AA1220&lt;="2026-06"),"H1_2026",""))</f>
        <v>H1_2026</v>
      </c>
      <c r="AC1220">
        <f t="shared" ref="AC1220:AC1283" si="116">IFERROR(VALUE(SUBSTITUTE(S1220,",","")),0)</f>
        <v>7144535.1600000001</v>
      </c>
      <c r="AD1220">
        <f t="shared" ref="AD1220:AD1283" si="117">IFERROR(VALUE(SUBSTITUTE(O1220,",","")),0)</f>
        <v>840</v>
      </c>
      <c r="AE1220">
        <f t="shared" ref="AE1220:AE1283" si="118">IFERROR(VALUE(SUBSTITUTE(V1220,",","")),0)</f>
        <v>1146935.1599999999</v>
      </c>
      <c r="AF1220" t="str">
        <f t="shared" ref="AF1220:AF1283" si="119">IF(ISNUMBER(SEARCH("FOC",W1220)),"FOC",IF(ISNUMBER(SEARCH("샘플",W1220)),"Sample","Paid"))</f>
        <v>Paid</v>
      </c>
    </row>
    <row r="1221" spans="1:32" ht="17.25" thickBot="1" x14ac:dyDescent="0.35">
      <c r="A1221" s="2" t="s">
        <v>8303</v>
      </c>
      <c r="B1221" s="2" t="s">
        <v>27</v>
      </c>
      <c r="C1221" s="2" t="s">
        <v>28</v>
      </c>
      <c r="D1221" s="2" t="s">
        <v>97</v>
      </c>
      <c r="E1221" s="2" t="s">
        <v>8200</v>
      </c>
      <c r="F1221" s="2" t="s">
        <v>99</v>
      </c>
      <c r="G1221" s="2" t="s">
        <v>32</v>
      </c>
      <c r="H1221" s="1"/>
      <c r="I1221" s="2" t="s">
        <v>33</v>
      </c>
      <c r="J1221" s="2" t="s">
        <v>34</v>
      </c>
      <c r="K1221" s="2" t="s">
        <v>4606</v>
      </c>
      <c r="L1221" s="2" t="s">
        <v>4607</v>
      </c>
      <c r="M1221" s="2" t="s">
        <v>701</v>
      </c>
      <c r="N1221" s="2" t="s">
        <v>38</v>
      </c>
      <c r="O1221" s="2" t="s">
        <v>8304</v>
      </c>
      <c r="P1221" s="2" t="s">
        <v>1175</v>
      </c>
      <c r="Q1221" s="2" t="s">
        <v>8305</v>
      </c>
      <c r="R1221" s="2" t="s">
        <v>40</v>
      </c>
      <c r="S1221" s="2" t="s">
        <v>8306</v>
      </c>
      <c r="T1221" s="2" t="s">
        <v>759</v>
      </c>
      <c r="U1221" s="2" t="s">
        <v>8307</v>
      </c>
      <c r="V1221" s="2" t="s">
        <v>8308</v>
      </c>
      <c r="W1221" s="1"/>
      <c r="X1221" s="2" t="s">
        <v>5168</v>
      </c>
      <c r="Y1221" s="2" t="s">
        <v>8206</v>
      </c>
      <c r="AA1221" t="str">
        <f t="shared" si="114"/>
        <v>2026-02</v>
      </c>
      <c r="AB1221" t="str">
        <f t="shared" si="115"/>
        <v>H1_2026</v>
      </c>
      <c r="AC1221">
        <f t="shared" si="116"/>
        <v>27338905.440000001</v>
      </c>
      <c r="AD1221">
        <f t="shared" si="117"/>
        <v>3040</v>
      </c>
      <c r="AE1221">
        <f t="shared" si="118"/>
        <v>4356505.4400000004</v>
      </c>
      <c r="AF1221" t="str">
        <f t="shared" si="119"/>
        <v>Paid</v>
      </c>
    </row>
    <row r="1222" spans="1:32" ht="17.25" thickBot="1" x14ac:dyDescent="0.35">
      <c r="A1222" s="2" t="s">
        <v>8309</v>
      </c>
      <c r="B1222" s="2" t="s">
        <v>27</v>
      </c>
      <c r="C1222" s="2" t="s">
        <v>28</v>
      </c>
      <c r="D1222" s="2" t="s">
        <v>97</v>
      </c>
      <c r="E1222" s="2" t="s">
        <v>8200</v>
      </c>
      <c r="F1222" s="2" t="s">
        <v>99</v>
      </c>
      <c r="G1222" s="2" t="s">
        <v>32</v>
      </c>
      <c r="H1222" s="1"/>
      <c r="I1222" s="2" t="s">
        <v>33</v>
      </c>
      <c r="J1222" s="2" t="s">
        <v>34</v>
      </c>
      <c r="K1222" s="2" t="s">
        <v>1642</v>
      </c>
      <c r="L1222" s="2" t="s">
        <v>1643</v>
      </c>
      <c r="M1222" s="2" t="s">
        <v>701</v>
      </c>
      <c r="N1222" s="2" t="s">
        <v>38</v>
      </c>
      <c r="O1222" s="2" t="s">
        <v>8310</v>
      </c>
      <c r="P1222" s="2" t="s">
        <v>1175</v>
      </c>
      <c r="Q1222" s="2" t="s">
        <v>8311</v>
      </c>
      <c r="R1222" s="2" t="s">
        <v>40</v>
      </c>
      <c r="S1222" s="2" t="s">
        <v>8312</v>
      </c>
      <c r="T1222" s="2" t="s">
        <v>759</v>
      </c>
      <c r="U1222" s="2" t="s">
        <v>8313</v>
      </c>
      <c r="V1222" s="2" t="s">
        <v>8314</v>
      </c>
      <c r="W1222" s="1"/>
      <c r="X1222" s="2" t="s">
        <v>5168</v>
      </c>
      <c r="Y1222" s="2" t="s">
        <v>8206</v>
      </c>
      <c r="AA1222" t="str">
        <f t="shared" si="114"/>
        <v>2026-02</v>
      </c>
      <c r="AB1222" t="str">
        <f t="shared" si="115"/>
        <v>H1_2026</v>
      </c>
      <c r="AC1222">
        <f t="shared" si="116"/>
        <v>76620879.719999999</v>
      </c>
      <c r="AD1222">
        <f t="shared" si="117"/>
        <v>8520</v>
      </c>
      <c r="AE1222">
        <f t="shared" si="118"/>
        <v>12209679.720000001</v>
      </c>
      <c r="AF1222" t="str">
        <f t="shared" si="119"/>
        <v>Paid</v>
      </c>
    </row>
    <row r="1223" spans="1:32" ht="17.25" thickBot="1" x14ac:dyDescent="0.35">
      <c r="A1223" s="2" t="s">
        <v>8315</v>
      </c>
      <c r="B1223" s="2" t="s">
        <v>27</v>
      </c>
      <c r="C1223" s="2" t="s">
        <v>28</v>
      </c>
      <c r="D1223" s="2" t="s">
        <v>97</v>
      </c>
      <c r="E1223" s="2" t="s">
        <v>8200</v>
      </c>
      <c r="F1223" s="2" t="s">
        <v>99</v>
      </c>
      <c r="G1223" s="2" t="s">
        <v>32</v>
      </c>
      <c r="H1223" s="1"/>
      <c r="I1223" s="2" t="s">
        <v>33</v>
      </c>
      <c r="J1223" s="2" t="s">
        <v>34</v>
      </c>
      <c r="K1223" s="2" t="s">
        <v>6331</v>
      </c>
      <c r="L1223" s="2" t="s">
        <v>6332</v>
      </c>
      <c r="M1223" s="2" t="s">
        <v>701</v>
      </c>
      <c r="N1223" s="2" t="s">
        <v>38</v>
      </c>
      <c r="O1223" s="2" t="s">
        <v>8316</v>
      </c>
      <c r="P1223" s="2" t="s">
        <v>1175</v>
      </c>
      <c r="Q1223" s="2" t="s">
        <v>8317</v>
      </c>
      <c r="R1223" s="2" t="s">
        <v>40</v>
      </c>
      <c r="S1223" s="2" t="s">
        <v>8318</v>
      </c>
      <c r="T1223" s="2" t="s">
        <v>759</v>
      </c>
      <c r="U1223" s="2" t="s">
        <v>8319</v>
      </c>
      <c r="V1223" s="2" t="s">
        <v>8320</v>
      </c>
      <c r="W1223" s="1"/>
      <c r="X1223" s="2" t="s">
        <v>5168</v>
      </c>
      <c r="Y1223" s="2" t="s">
        <v>8206</v>
      </c>
      <c r="AA1223" t="str">
        <f t="shared" si="114"/>
        <v>2026-02</v>
      </c>
      <c r="AB1223" t="str">
        <f t="shared" si="115"/>
        <v>H1_2026</v>
      </c>
      <c r="AC1223">
        <f t="shared" si="116"/>
        <v>35612521.560000002</v>
      </c>
      <c r="AD1223">
        <f t="shared" si="117"/>
        <v>3960</v>
      </c>
      <c r="AE1223">
        <f t="shared" si="118"/>
        <v>5674921.5599999996</v>
      </c>
      <c r="AF1223" t="str">
        <f t="shared" si="119"/>
        <v>Paid</v>
      </c>
    </row>
    <row r="1224" spans="1:32" ht="17.25" thickBot="1" x14ac:dyDescent="0.35">
      <c r="A1224" s="2" t="s">
        <v>8321</v>
      </c>
      <c r="B1224" s="2" t="s">
        <v>27</v>
      </c>
      <c r="C1224" s="2" t="s">
        <v>28</v>
      </c>
      <c r="D1224" s="2" t="s">
        <v>97</v>
      </c>
      <c r="E1224" s="2" t="s">
        <v>8200</v>
      </c>
      <c r="F1224" s="2" t="s">
        <v>99</v>
      </c>
      <c r="G1224" s="2" t="s">
        <v>32</v>
      </c>
      <c r="H1224" s="1"/>
      <c r="I1224" s="2" t="s">
        <v>33</v>
      </c>
      <c r="J1224" s="2" t="s">
        <v>34</v>
      </c>
      <c r="K1224" s="2" t="s">
        <v>8322</v>
      </c>
      <c r="L1224" s="2" t="s">
        <v>8323</v>
      </c>
      <c r="M1224" s="2" t="s">
        <v>701</v>
      </c>
      <c r="N1224" s="2" t="s">
        <v>38</v>
      </c>
      <c r="O1224" s="2" t="s">
        <v>1056</v>
      </c>
      <c r="P1224" s="2" t="s">
        <v>6415</v>
      </c>
      <c r="Q1224" s="2" t="s">
        <v>8324</v>
      </c>
      <c r="R1224" s="2" t="s">
        <v>40</v>
      </c>
      <c r="S1224" s="2" t="s">
        <v>8325</v>
      </c>
      <c r="T1224" s="2" t="s">
        <v>8326</v>
      </c>
      <c r="U1224" s="2" t="s">
        <v>8327</v>
      </c>
      <c r="V1224" s="2" t="s">
        <v>8328</v>
      </c>
      <c r="W1224" s="1"/>
      <c r="X1224" s="2" t="s">
        <v>709</v>
      </c>
      <c r="Y1224" s="2" t="s">
        <v>8206</v>
      </c>
      <c r="AA1224" t="str">
        <f t="shared" si="114"/>
        <v>2026-02</v>
      </c>
      <c r="AB1224" t="str">
        <f t="shared" si="115"/>
        <v>H1_2026</v>
      </c>
      <c r="AC1224">
        <f t="shared" si="116"/>
        <v>9239186.8800000008</v>
      </c>
      <c r="AD1224">
        <f t="shared" si="117"/>
        <v>880</v>
      </c>
      <c r="AE1224">
        <f t="shared" si="118"/>
        <v>1477586.88</v>
      </c>
      <c r="AF1224" t="str">
        <f t="shared" si="119"/>
        <v>Paid</v>
      </c>
    </row>
    <row r="1225" spans="1:32" ht="17.25" thickBot="1" x14ac:dyDescent="0.35">
      <c r="A1225" s="2" t="s">
        <v>8329</v>
      </c>
      <c r="B1225" s="2" t="s">
        <v>27</v>
      </c>
      <c r="C1225" s="2" t="s">
        <v>28</v>
      </c>
      <c r="D1225" s="2" t="s">
        <v>97</v>
      </c>
      <c r="E1225" s="2" t="s">
        <v>8200</v>
      </c>
      <c r="F1225" s="2" t="s">
        <v>99</v>
      </c>
      <c r="G1225" s="2" t="s">
        <v>32</v>
      </c>
      <c r="H1225" s="1"/>
      <c r="I1225" s="2" t="s">
        <v>33</v>
      </c>
      <c r="J1225" s="2" t="s">
        <v>34</v>
      </c>
      <c r="K1225" s="2" t="s">
        <v>763</v>
      </c>
      <c r="L1225" s="2" t="s">
        <v>764</v>
      </c>
      <c r="M1225" s="2" t="s">
        <v>701</v>
      </c>
      <c r="N1225" s="2" t="s">
        <v>38</v>
      </c>
      <c r="O1225" s="2" t="s">
        <v>8330</v>
      </c>
      <c r="P1225" s="2" t="s">
        <v>1175</v>
      </c>
      <c r="Q1225" s="2" t="s">
        <v>8331</v>
      </c>
      <c r="R1225" s="2" t="s">
        <v>40</v>
      </c>
      <c r="S1225" s="2" t="s">
        <v>8332</v>
      </c>
      <c r="T1225" s="2" t="s">
        <v>8333</v>
      </c>
      <c r="U1225" s="2" t="s">
        <v>8334</v>
      </c>
      <c r="V1225" s="2" t="s">
        <v>8335</v>
      </c>
      <c r="W1225" s="1"/>
      <c r="X1225" s="2" t="s">
        <v>8336</v>
      </c>
      <c r="Y1225" s="2" t="s">
        <v>8206</v>
      </c>
      <c r="AA1225" t="str">
        <f t="shared" si="114"/>
        <v>2026-02</v>
      </c>
      <c r="AB1225" t="str">
        <f t="shared" si="115"/>
        <v>H1_2026</v>
      </c>
      <c r="AC1225">
        <f t="shared" si="116"/>
        <v>13813341.699999999</v>
      </c>
      <c r="AD1225">
        <f t="shared" si="117"/>
        <v>1536</v>
      </c>
      <c r="AE1225">
        <f t="shared" si="118"/>
        <v>5247861.7</v>
      </c>
      <c r="AF1225" t="str">
        <f t="shared" si="119"/>
        <v>Paid</v>
      </c>
    </row>
    <row r="1226" spans="1:32" ht="17.25" thickBot="1" x14ac:dyDescent="0.35">
      <c r="A1226" s="2" t="s">
        <v>8337</v>
      </c>
      <c r="B1226" s="2" t="s">
        <v>27</v>
      </c>
      <c r="C1226" s="2" t="s">
        <v>28</v>
      </c>
      <c r="D1226" s="2" t="s">
        <v>97</v>
      </c>
      <c r="E1226" s="2" t="s">
        <v>8338</v>
      </c>
      <c r="F1226" s="2" t="s">
        <v>99</v>
      </c>
      <c r="G1226" s="2" t="s">
        <v>32</v>
      </c>
      <c r="H1226" s="1"/>
      <c r="I1226" s="2" t="s">
        <v>33</v>
      </c>
      <c r="J1226" s="2" t="s">
        <v>34</v>
      </c>
      <c r="K1226" s="2" t="s">
        <v>3885</v>
      </c>
      <c r="L1226" s="2" t="s">
        <v>3886</v>
      </c>
      <c r="M1226" s="2" t="s">
        <v>701</v>
      </c>
      <c r="N1226" s="2" t="s">
        <v>38</v>
      </c>
      <c r="O1226" s="2" t="s">
        <v>8339</v>
      </c>
      <c r="P1226" s="2" t="s">
        <v>4700</v>
      </c>
      <c r="Q1226" s="2" t="s">
        <v>8340</v>
      </c>
      <c r="R1226" s="2" t="s">
        <v>40</v>
      </c>
      <c r="S1226" s="2" t="s">
        <v>8341</v>
      </c>
      <c r="T1226" s="2" t="s">
        <v>706</v>
      </c>
      <c r="U1226" s="2" t="s">
        <v>8342</v>
      </c>
      <c r="V1226" s="2" t="s">
        <v>8343</v>
      </c>
      <c r="W1226" s="1"/>
      <c r="X1226" s="2" t="s">
        <v>709</v>
      </c>
      <c r="Y1226" s="2" t="s">
        <v>8344</v>
      </c>
      <c r="AA1226" t="str">
        <f t="shared" si="114"/>
        <v>2026-02</v>
      </c>
      <c r="AB1226" t="str">
        <f t="shared" si="115"/>
        <v>H1_2026</v>
      </c>
      <c r="AC1226">
        <f t="shared" si="116"/>
        <v>13196133.720000001</v>
      </c>
      <c r="AD1226">
        <f t="shared" si="117"/>
        <v>1320</v>
      </c>
      <c r="AE1226">
        <f t="shared" si="118"/>
        <v>2108133.7200000002</v>
      </c>
      <c r="AF1226" t="str">
        <f t="shared" si="119"/>
        <v>Paid</v>
      </c>
    </row>
    <row r="1227" spans="1:32" ht="17.25" thickBot="1" x14ac:dyDescent="0.35">
      <c r="A1227" s="2" t="s">
        <v>8345</v>
      </c>
      <c r="B1227" s="2" t="s">
        <v>27</v>
      </c>
      <c r="C1227" s="2" t="s">
        <v>28</v>
      </c>
      <c r="D1227" s="2" t="s">
        <v>97</v>
      </c>
      <c r="E1227" s="2" t="s">
        <v>8338</v>
      </c>
      <c r="F1227" s="2" t="s">
        <v>99</v>
      </c>
      <c r="G1227" s="2" t="s">
        <v>32</v>
      </c>
      <c r="H1227" s="1"/>
      <c r="I1227" s="2" t="s">
        <v>33</v>
      </c>
      <c r="J1227" s="2" t="s">
        <v>34</v>
      </c>
      <c r="K1227" s="2" t="s">
        <v>3895</v>
      </c>
      <c r="L1227" s="2" t="s">
        <v>3896</v>
      </c>
      <c r="M1227" s="2" t="s">
        <v>701</v>
      </c>
      <c r="N1227" s="2" t="s">
        <v>38</v>
      </c>
      <c r="O1227" s="2" t="s">
        <v>8346</v>
      </c>
      <c r="P1227" s="2" t="s">
        <v>3898</v>
      </c>
      <c r="Q1227" s="2" t="s">
        <v>8347</v>
      </c>
      <c r="R1227" s="2" t="s">
        <v>40</v>
      </c>
      <c r="S1227" s="2" t="s">
        <v>8348</v>
      </c>
      <c r="T1227" s="2" t="s">
        <v>1444</v>
      </c>
      <c r="U1227" s="2" t="s">
        <v>8349</v>
      </c>
      <c r="V1227" s="2" t="s">
        <v>8350</v>
      </c>
      <c r="W1227" s="1"/>
      <c r="X1227" s="2" t="s">
        <v>709</v>
      </c>
      <c r="Y1227" s="2" t="s">
        <v>8344</v>
      </c>
      <c r="AA1227" t="str">
        <f t="shared" si="114"/>
        <v>2026-02</v>
      </c>
      <c r="AB1227" t="str">
        <f t="shared" si="115"/>
        <v>H1_2026</v>
      </c>
      <c r="AC1227">
        <f t="shared" si="116"/>
        <v>13254653.16</v>
      </c>
      <c r="AD1227">
        <f t="shared" si="117"/>
        <v>2040</v>
      </c>
      <c r="AE1227">
        <f t="shared" si="118"/>
        <v>2116253.16</v>
      </c>
      <c r="AF1227" t="str">
        <f t="shared" si="119"/>
        <v>Paid</v>
      </c>
    </row>
    <row r="1228" spans="1:32" ht="17.25" thickBot="1" x14ac:dyDescent="0.35">
      <c r="A1228" s="2" t="s">
        <v>8351</v>
      </c>
      <c r="B1228" s="2" t="s">
        <v>27</v>
      </c>
      <c r="C1228" s="2" t="s">
        <v>28</v>
      </c>
      <c r="D1228" s="2" t="s">
        <v>97</v>
      </c>
      <c r="E1228" s="2" t="s">
        <v>8338</v>
      </c>
      <c r="F1228" s="2" t="s">
        <v>99</v>
      </c>
      <c r="G1228" s="2" t="s">
        <v>32</v>
      </c>
      <c r="H1228" s="1"/>
      <c r="I1228" s="2" t="s">
        <v>33</v>
      </c>
      <c r="J1228" s="2" t="s">
        <v>34</v>
      </c>
      <c r="K1228" s="2" t="s">
        <v>3905</v>
      </c>
      <c r="L1228" s="2" t="s">
        <v>3906</v>
      </c>
      <c r="M1228" s="2" t="s">
        <v>701</v>
      </c>
      <c r="N1228" s="2" t="s">
        <v>38</v>
      </c>
      <c r="O1228" s="2" t="s">
        <v>4681</v>
      </c>
      <c r="P1228" s="2" t="s">
        <v>3908</v>
      </c>
      <c r="Q1228" s="2" t="s">
        <v>8352</v>
      </c>
      <c r="R1228" s="2" t="s">
        <v>40</v>
      </c>
      <c r="S1228" s="2" t="s">
        <v>8353</v>
      </c>
      <c r="T1228" s="2" t="s">
        <v>3015</v>
      </c>
      <c r="U1228" s="2" t="s">
        <v>8354</v>
      </c>
      <c r="V1228" s="2" t="s">
        <v>8355</v>
      </c>
      <c r="W1228" s="1"/>
      <c r="X1228" s="2" t="s">
        <v>709</v>
      </c>
      <c r="Y1228" s="2" t="s">
        <v>8344</v>
      </c>
      <c r="AA1228" t="str">
        <f t="shared" si="114"/>
        <v>2026-02</v>
      </c>
      <c r="AB1228" t="str">
        <f t="shared" si="115"/>
        <v>H1_2026</v>
      </c>
      <c r="AC1228">
        <f t="shared" si="116"/>
        <v>5924921.1799999997</v>
      </c>
      <c r="AD1228">
        <f t="shared" si="117"/>
        <v>624</v>
      </c>
      <c r="AE1228">
        <f t="shared" si="118"/>
        <v>945401.18</v>
      </c>
      <c r="AF1228" t="str">
        <f t="shared" si="119"/>
        <v>Paid</v>
      </c>
    </row>
    <row r="1229" spans="1:32" ht="17.25" thickBot="1" x14ac:dyDescent="0.35">
      <c r="A1229" s="2" t="s">
        <v>8356</v>
      </c>
      <c r="B1229" s="2" t="s">
        <v>27</v>
      </c>
      <c r="C1229" s="2" t="s">
        <v>28</v>
      </c>
      <c r="D1229" s="2" t="s">
        <v>97</v>
      </c>
      <c r="E1229" s="2" t="s">
        <v>8338</v>
      </c>
      <c r="F1229" s="2" t="s">
        <v>99</v>
      </c>
      <c r="G1229" s="2" t="s">
        <v>32</v>
      </c>
      <c r="H1229" s="1"/>
      <c r="I1229" s="2" t="s">
        <v>33</v>
      </c>
      <c r="J1229" s="2" t="s">
        <v>34</v>
      </c>
      <c r="K1229" s="2" t="s">
        <v>699</v>
      </c>
      <c r="L1229" s="2" t="s">
        <v>700</v>
      </c>
      <c r="M1229" s="2" t="s">
        <v>701</v>
      </c>
      <c r="N1229" s="2" t="s">
        <v>38</v>
      </c>
      <c r="O1229" s="2" t="s">
        <v>831</v>
      </c>
      <c r="P1229" s="2" t="s">
        <v>4700</v>
      </c>
      <c r="Q1229" s="2" t="s">
        <v>8357</v>
      </c>
      <c r="R1229" s="2" t="s">
        <v>40</v>
      </c>
      <c r="S1229" s="2" t="s">
        <v>8358</v>
      </c>
      <c r="T1229" s="2" t="s">
        <v>706</v>
      </c>
      <c r="U1229" s="2" t="s">
        <v>8359</v>
      </c>
      <c r="V1229" s="2" t="s">
        <v>8360</v>
      </c>
      <c r="W1229" s="1"/>
      <c r="X1229" s="2" t="s">
        <v>709</v>
      </c>
      <c r="Y1229" s="2" t="s">
        <v>8344</v>
      </c>
      <c r="AA1229" t="str">
        <f t="shared" si="114"/>
        <v>2026-02</v>
      </c>
      <c r="AB1229" t="str">
        <f t="shared" si="115"/>
        <v>H1_2026</v>
      </c>
      <c r="AC1229">
        <f t="shared" si="116"/>
        <v>9997071</v>
      </c>
      <c r="AD1229">
        <f t="shared" si="117"/>
        <v>1000</v>
      </c>
      <c r="AE1229">
        <f t="shared" si="118"/>
        <v>1597071</v>
      </c>
      <c r="AF1229" t="str">
        <f t="shared" si="119"/>
        <v>Paid</v>
      </c>
    </row>
    <row r="1230" spans="1:32" ht="17.25" thickBot="1" x14ac:dyDescent="0.35">
      <c r="A1230" s="2" t="s">
        <v>8361</v>
      </c>
      <c r="B1230" s="2" t="s">
        <v>27</v>
      </c>
      <c r="C1230" s="2" t="s">
        <v>28</v>
      </c>
      <c r="D1230" s="2" t="s">
        <v>97</v>
      </c>
      <c r="E1230" s="2" t="s">
        <v>8338</v>
      </c>
      <c r="F1230" s="2" t="s">
        <v>99</v>
      </c>
      <c r="G1230" s="2" t="s">
        <v>32</v>
      </c>
      <c r="H1230" s="1"/>
      <c r="I1230" s="2" t="s">
        <v>33</v>
      </c>
      <c r="J1230" s="2" t="s">
        <v>34</v>
      </c>
      <c r="K1230" s="2" t="s">
        <v>3922</v>
      </c>
      <c r="L1230" s="2" t="s">
        <v>3923</v>
      </c>
      <c r="M1230" s="2" t="s">
        <v>701</v>
      </c>
      <c r="N1230" s="2" t="s">
        <v>38</v>
      </c>
      <c r="O1230" s="2" t="s">
        <v>8362</v>
      </c>
      <c r="P1230" s="2" t="s">
        <v>1175</v>
      </c>
      <c r="Q1230" s="2" t="s">
        <v>8363</v>
      </c>
      <c r="R1230" s="2" t="s">
        <v>40</v>
      </c>
      <c r="S1230" s="2" t="s">
        <v>8364</v>
      </c>
      <c r="T1230" s="2" t="s">
        <v>759</v>
      </c>
      <c r="U1230" s="2" t="s">
        <v>8365</v>
      </c>
      <c r="V1230" s="2" t="s">
        <v>8366</v>
      </c>
      <c r="W1230" s="1"/>
      <c r="X1230" s="2" t="s">
        <v>5168</v>
      </c>
      <c r="Y1230" s="2" t="s">
        <v>8344</v>
      </c>
      <c r="AA1230" t="str">
        <f t="shared" si="114"/>
        <v>2026-02</v>
      </c>
      <c r="AB1230" t="str">
        <f t="shared" si="115"/>
        <v>H1_2026</v>
      </c>
      <c r="AC1230">
        <f t="shared" si="116"/>
        <v>9532644.6600000001</v>
      </c>
      <c r="AD1230">
        <f t="shared" si="117"/>
        <v>1060</v>
      </c>
      <c r="AE1230">
        <f t="shared" si="118"/>
        <v>1519044.66</v>
      </c>
      <c r="AF1230" t="str">
        <f t="shared" si="119"/>
        <v>Paid</v>
      </c>
    </row>
    <row r="1231" spans="1:32" ht="17.25" thickBot="1" x14ac:dyDescent="0.35">
      <c r="A1231" s="2" t="s">
        <v>8367</v>
      </c>
      <c r="B1231" s="2" t="s">
        <v>27</v>
      </c>
      <c r="C1231" s="2" t="s">
        <v>28</v>
      </c>
      <c r="D1231" s="2" t="s">
        <v>97</v>
      </c>
      <c r="E1231" s="2" t="s">
        <v>8338</v>
      </c>
      <c r="F1231" s="2" t="s">
        <v>99</v>
      </c>
      <c r="G1231" s="2" t="s">
        <v>32</v>
      </c>
      <c r="H1231" s="1"/>
      <c r="I1231" s="2" t="s">
        <v>33</v>
      </c>
      <c r="J1231" s="2" t="s">
        <v>34</v>
      </c>
      <c r="K1231" s="2" t="s">
        <v>711</v>
      </c>
      <c r="L1231" s="2" t="s">
        <v>712</v>
      </c>
      <c r="M1231" s="2" t="s">
        <v>701</v>
      </c>
      <c r="N1231" s="2" t="s">
        <v>38</v>
      </c>
      <c r="O1231" s="2" t="s">
        <v>8368</v>
      </c>
      <c r="P1231" s="2" t="s">
        <v>7023</v>
      </c>
      <c r="Q1231" s="2" t="s">
        <v>8369</v>
      </c>
      <c r="R1231" s="2" t="s">
        <v>40</v>
      </c>
      <c r="S1231" s="2" t="s">
        <v>8370</v>
      </c>
      <c r="T1231" s="2" t="s">
        <v>40</v>
      </c>
      <c r="U1231" s="2" t="s">
        <v>40</v>
      </c>
      <c r="V1231" s="2" t="s">
        <v>8370</v>
      </c>
      <c r="W1231" s="1"/>
      <c r="X1231" s="2" t="s">
        <v>2155</v>
      </c>
      <c r="Y1231" s="2" t="s">
        <v>8344</v>
      </c>
      <c r="AA1231" t="str">
        <f t="shared" si="114"/>
        <v>2026-02</v>
      </c>
      <c r="AB1231" t="str">
        <f t="shared" si="115"/>
        <v>H1_2026</v>
      </c>
      <c r="AC1231">
        <f t="shared" si="116"/>
        <v>14886312.84</v>
      </c>
      <c r="AD1231">
        <f t="shared" si="117"/>
        <v>1240</v>
      </c>
      <c r="AE1231">
        <f t="shared" si="118"/>
        <v>14886312.84</v>
      </c>
      <c r="AF1231" t="str">
        <f t="shared" si="119"/>
        <v>Paid</v>
      </c>
    </row>
    <row r="1232" spans="1:32" ht="17.25" thickBot="1" x14ac:dyDescent="0.35">
      <c r="A1232" s="2" t="s">
        <v>8371</v>
      </c>
      <c r="B1232" s="2" t="s">
        <v>27</v>
      </c>
      <c r="C1232" s="2" t="s">
        <v>28</v>
      </c>
      <c r="D1232" s="2" t="s">
        <v>97</v>
      </c>
      <c r="E1232" s="2" t="s">
        <v>8338</v>
      </c>
      <c r="F1232" s="2" t="s">
        <v>99</v>
      </c>
      <c r="G1232" s="2" t="s">
        <v>32</v>
      </c>
      <c r="H1232" s="1"/>
      <c r="I1232" s="2" t="s">
        <v>33</v>
      </c>
      <c r="J1232" s="2" t="s">
        <v>34</v>
      </c>
      <c r="K1232" s="2" t="s">
        <v>3930</v>
      </c>
      <c r="L1232" s="2" t="s">
        <v>3931</v>
      </c>
      <c r="M1232" s="2" t="s">
        <v>701</v>
      </c>
      <c r="N1232" s="2" t="s">
        <v>38</v>
      </c>
      <c r="O1232" s="2" t="s">
        <v>8372</v>
      </c>
      <c r="P1232" s="2" t="s">
        <v>8236</v>
      </c>
      <c r="Q1232" s="2" t="s">
        <v>8373</v>
      </c>
      <c r="R1232" s="2" t="s">
        <v>40</v>
      </c>
      <c r="S1232" s="2" t="s">
        <v>8374</v>
      </c>
      <c r="T1232" s="2" t="s">
        <v>3936</v>
      </c>
      <c r="U1232" s="2" t="s">
        <v>8375</v>
      </c>
      <c r="V1232" s="2" t="s">
        <v>8376</v>
      </c>
      <c r="W1232" s="1"/>
      <c r="X1232" s="2" t="s">
        <v>709</v>
      </c>
      <c r="Y1232" s="2" t="s">
        <v>8344</v>
      </c>
      <c r="AA1232" t="str">
        <f t="shared" si="114"/>
        <v>2026-02</v>
      </c>
      <c r="AB1232" t="str">
        <f t="shared" si="115"/>
        <v>H1_2026</v>
      </c>
      <c r="AC1232">
        <f t="shared" si="116"/>
        <v>31613406.300000001</v>
      </c>
      <c r="AD1232">
        <f t="shared" si="117"/>
        <v>1860</v>
      </c>
      <c r="AE1232">
        <f t="shared" si="118"/>
        <v>5052606.3</v>
      </c>
      <c r="AF1232" t="str">
        <f t="shared" si="119"/>
        <v>Paid</v>
      </c>
    </row>
    <row r="1233" spans="1:32" ht="17.25" thickBot="1" x14ac:dyDescent="0.35">
      <c r="A1233" s="2" t="s">
        <v>8377</v>
      </c>
      <c r="B1233" s="2" t="s">
        <v>27</v>
      </c>
      <c r="C1233" s="2" t="s">
        <v>28</v>
      </c>
      <c r="D1233" s="2" t="s">
        <v>97</v>
      </c>
      <c r="E1233" s="2" t="s">
        <v>8338</v>
      </c>
      <c r="F1233" s="2" t="s">
        <v>99</v>
      </c>
      <c r="G1233" s="2" t="s">
        <v>32</v>
      </c>
      <c r="H1233" s="1"/>
      <c r="I1233" s="2" t="s">
        <v>33</v>
      </c>
      <c r="J1233" s="2" t="s">
        <v>34</v>
      </c>
      <c r="K1233" s="2" t="s">
        <v>3940</v>
      </c>
      <c r="L1233" s="2" t="s">
        <v>3941</v>
      </c>
      <c r="M1233" s="2" t="s">
        <v>701</v>
      </c>
      <c r="N1233" s="2" t="s">
        <v>38</v>
      </c>
      <c r="O1233" s="2" t="s">
        <v>8378</v>
      </c>
      <c r="P1233" s="2" t="s">
        <v>8244</v>
      </c>
      <c r="Q1233" s="2" t="s">
        <v>8379</v>
      </c>
      <c r="R1233" s="2" t="s">
        <v>40</v>
      </c>
      <c r="S1233" s="2" t="s">
        <v>8380</v>
      </c>
      <c r="T1233" s="2" t="s">
        <v>8381</v>
      </c>
      <c r="U1233" s="2" t="s">
        <v>8382</v>
      </c>
      <c r="V1233" s="2" t="s">
        <v>8383</v>
      </c>
      <c r="W1233" s="1"/>
      <c r="X1233" s="2" t="s">
        <v>8384</v>
      </c>
      <c r="Y1233" s="2" t="s">
        <v>8344</v>
      </c>
      <c r="AA1233" t="str">
        <f t="shared" si="114"/>
        <v>2026-02</v>
      </c>
      <c r="AB1233" t="str">
        <f t="shared" si="115"/>
        <v>H1_2026</v>
      </c>
      <c r="AC1233">
        <f t="shared" si="116"/>
        <v>47970450.359999999</v>
      </c>
      <c r="AD1233">
        <f t="shared" si="117"/>
        <v>5640</v>
      </c>
      <c r="AE1233">
        <f t="shared" si="118"/>
        <v>20795610.359999999</v>
      </c>
      <c r="AF1233" t="str">
        <f t="shared" si="119"/>
        <v>Paid</v>
      </c>
    </row>
    <row r="1234" spans="1:32" ht="17.25" thickBot="1" x14ac:dyDescent="0.35">
      <c r="A1234" s="2" t="s">
        <v>8385</v>
      </c>
      <c r="B1234" s="2" t="s">
        <v>27</v>
      </c>
      <c r="C1234" s="2" t="s">
        <v>28</v>
      </c>
      <c r="D1234" s="2" t="s">
        <v>97</v>
      </c>
      <c r="E1234" s="2" t="s">
        <v>8338</v>
      </c>
      <c r="F1234" s="2" t="s">
        <v>99</v>
      </c>
      <c r="G1234" s="2" t="s">
        <v>32</v>
      </c>
      <c r="H1234" s="1"/>
      <c r="I1234" s="2" t="s">
        <v>33</v>
      </c>
      <c r="J1234" s="2" t="s">
        <v>34</v>
      </c>
      <c r="K1234" s="2" t="s">
        <v>3949</v>
      </c>
      <c r="L1234" s="2" t="s">
        <v>3950</v>
      </c>
      <c r="M1234" s="2" t="s">
        <v>701</v>
      </c>
      <c r="N1234" s="2" t="s">
        <v>38</v>
      </c>
      <c r="O1234" s="2" t="s">
        <v>3068</v>
      </c>
      <c r="P1234" s="2" t="s">
        <v>8244</v>
      </c>
      <c r="Q1234" s="2" t="s">
        <v>8386</v>
      </c>
      <c r="R1234" s="2" t="s">
        <v>40</v>
      </c>
      <c r="S1234" s="2" t="s">
        <v>8387</v>
      </c>
      <c r="T1234" s="2" t="s">
        <v>726</v>
      </c>
      <c r="U1234" s="2" t="s">
        <v>8388</v>
      </c>
      <c r="V1234" s="2" t="s">
        <v>8389</v>
      </c>
      <c r="W1234" s="1"/>
      <c r="X1234" s="2" t="s">
        <v>3903</v>
      </c>
      <c r="Y1234" s="2" t="s">
        <v>8344</v>
      </c>
      <c r="AA1234" t="str">
        <f t="shared" si="114"/>
        <v>2026-02</v>
      </c>
      <c r="AB1234" t="str">
        <f t="shared" si="115"/>
        <v>H1_2026</v>
      </c>
      <c r="AC1234">
        <f t="shared" si="116"/>
        <v>5953779.2999999998</v>
      </c>
      <c r="AD1234">
        <f t="shared" si="117"/>
        <v>700</v>
      </c>
      <c r="AE1234">
        <f t="shared" si="118"/>
        <v>955779.3</v>
      </c>
      <c r="AF1234" t="str">
        <f t="shared" si="119"/>
        <v>Paid</v>
      </c>
    </row>
    <row r="1235" spans="1:32" ht="17.25" thickBot="1" x14ac:dyDescent="0.35">
      <c r="A1235" s="2" t="s">
        <v>8390</v>
      </c>
      <c r="B1235" s="2" t="s">
        <v>27</v>
      </c>
      <c r="C1235" s="2" t="s">
        <v>28</v>
      </c>
      <c r="D1235" s="2" t="s">
        <v>97</v>
      </c>
      <c r="E1235" s="2" t="s">
        <v>8338</v>
      </c>
      <c r="F1235" s="2" t="s">
        <v>99</v>
      </c>
      <c r="G1235" s="2" t="s">
        <v>32</v>
      </c>
      <c r="H1235" s="1"/>
      <c r="I1235" s="2" t="s">
        <v>33</v>
      </c>
      <c r="J1235" s="2" t="s">
        <v>34</v>
      </c>
      <c r="K1235" s="2" t="s">
        <v>8391</v>
      </c>
      <c r="L1235" s="2" t="s">
        <v>8392</v>
      </c>
      <c r="M1235" s="2" t="s">
        <v>701</v>
      </c>
      <c r="N1235" s="2" t="s">
        <v>38</v>
      </c>
      <c r="O1235" s="2" t="s">
        <v>177</v>
      </c>
      <c r="P1235" s="2" t="s">
        <v>7023</v>
      </c>
      <c r="Q1235" s="2" t="s">
        <v>8280</v>
      </c>
      <c r="R1235" s="2" t="s">
        <v>40</v>
      </c>
      <c r="S1235" s="2" t="s">
        <v>8281</v>
      </c>
      <c r="T1235" s="2" t="s">
        <v>716</v>
      </c>
      <c r="U1235" s="2" t="s">
        <v>8282</v>
      </c>
      <c r="V1235" s="2" t="s">
        <v>8283</v>
      </c>
      <c r="W1235" s="1"/>
      <c r="X1235" s="2" t="s">
        <v>709</v>
      </c>
      <c r="Y1235" s="2" t="s">
        <v>8344</v>
      </c>
      <c r="AA1235" t="str">
        <f t="shared" si="114"/>
        <v>2026-02</v>
      </c>
      <c r="AB1235" t="str">
        <f t="shared" si="115"/>
        <v>H1_2026</v>
      </c>
      <c r="AC1235">
        <f t="shared" si="116"/>
        <v>4802036.4000000004</v>
      </c>
      <c r="AD1235">
        <f t="shared" si="117"/>
        <v>400</v>
      </c>
      <c r="AE1235">
        <f t="shared" si="118"/>
        <v>770036.4</v>
      </c>
      <c r="AF1235" t="str">
        <f t="shared" si="119"/>
        <v>Paid</v>
      </c>
    </row>
    <row r="1236" spans="1:32" ht="17.25" thickBot="1" x14ac:dyDescent="0.35">
      <c r="A1236" s="2" t="s">
        <v>8393</v>
      </c>
      <c r="B1236" s="2" t="s">
        <v>27</v>
      </c>
      <c r="C1236" s="2" t="s">
        <v>28</v>
      </c>
      <c r="D1236" s="2" t="s">
        <v>97</v>
      </c>
      <c r="E1236" s="2" t="s">
        <v>8338</v>
      </c>
      <c r="F1236" s="2" t="s">
        <v>99</v>
      </c>
      <c r="G1236" s="2" t="s">
        <v>32</v>
      </c>
      <c r="H1236" s="1"/>
      <c r="I1236" s="2" t="s">
        <v>33</v>
      </c>
      <c r="J1236" s="2" t="s">
        <v>34</v>
      </c>
      <c r="K1236" s="2" t="s">
        <v>720</v>
      </c>
      <c r="L1236" s="2" t="s">
        <v>721</v>
      </c>
      <c r="M1236" s="2" t="s">
        <v>701</v>
      </c>
      <c r="N1236" s="2" t="s">
        <v>38</v>
      </c>
      <c r="O1236" s="2" t="s">
        <v>8394</v>
      </c>
      <c r="P1236" s="2" t="s">
        <v>8244</v>
      </c>
      <c r="Q1236" s="2" t="s">
        <v>8395</v>
      </c>
      <c r="R1236" s="2" t="s">
        <v>40</v>
      </c>
      <c r="S1236" s="2" t="s">
        <v>8396</v>
      </c>
      <c r="T1236" s="2" t="s">
        <v>726</v>
      </c>
      <c r="U1236" s="2" t="s">
        <v>8397</v>
      </c>
      <c r="V1236" s="2" t="s">
        <v>8398</v>
      </c>
      <c r="W1236" s="1"/>
      <c r="X1236" s="2" t="s">
        <v>3903</v>
      </c>
      <c r="Y1236" s="2" t="s">
        <v>8344</v>
      </c>
      <c r="AA1236" t="str">
        <f t="shared" si="114"/>
        <v>2026-02</v>
      </c>
      <c r="AB1236" t="str">
        <f t="shared" si="115"/>
        <v>H1_2026</v>
      </c>
      <c r="AC1236">
        <f t="shared" si="116"/>
        <v>38274295.5</v>
      </c>
      <c r="AD1236">
        <f t="shared" si="117"/>
        <v>4500</v>
      </c>
      <c r="AE1236">
        <f t="shared" si="118"/>
        <v>6144295.5</v>
      </c>
      <c r="AF1236" t="str">
        <f t="shared" si="119"/>
        <v>Paid</v>
      </c>
    </row>
    <row r="1237" spans="1:32" ht="17.25" thickBot="1" x14ac:dyDescent="0.35">
      <c r="A1237" s="2" t="s">
        <v>8399</v>
      </c>
      <c r="B1237" s="2" t="s">
        <v>27</v>
      </c>
      <c r="C1237" s="2" t="s">
        <v>28</v>
      </c>
      <c r="D1237" s="2" t="s">
        <v>97</v>
      </c>
      <c r="E1237" s="2" t="s">
        <v>8338</v>
      </c>
      <c r="F1237" s="2" t="s">
        <v>99</v>
      </c>
      <c r="G1237" s="2" t="s">
        <v>32</v>
      </c>
      <c r="H1237" s="1"/>
      <c r="I1237" s="2" t="s">
        <v>33</v>
      </c>
      <c r="J1237" s="2" t="s">
        <v>34</v>
      </c>
      <c r="K1237" s="2" t="s">
        <v>3957</v>
      </c>
      <c r="L1237" s="2" t="s">
        <v>3958</v>
      </c>
      <c r="M1237" s="2" t="s">
        <v>701</v>
      </c>
      <c r="N1237" s="2" t="s">
        <v>38</v>
      </c>
      <c r="O1237" s="2" t="s">
        <v>3068</v>
      </c>
      <c r="P1237" s="2" t="s">
        <v>8244</v>
      </c>
      <c r="Q1237" s="2" t="s">
        <v>8386</v>
      </c>
      <c r="R1237" s="2" t="s">
        <v>40</v>
      </c>
      <c r="S1237" s="2" t="s">
        <v>8387</v>
      </c>
      <c r="T1237" s="2" t="s">
        <v>726</v>
      </c>
      <c r="U1237" s="2" t="s">
        <v>8388</v>
      </c>
      <c r="V1237" s="2" t="s">
        <v>8389</v>
      </c>
      <c r="W1237" s="1"/>
      <c r="X1237" s="2" t="s">
        <v>3903</v>
      </c>
      <c r="Y1237" s="2" t="s">
        <v>8344</v>
      </c>
      <c r="AA1237" t="str">
        <f t="shared" si="114"/>
        <v>2026-02</v>
      </c>
      <c r="AB1237" t="str">
        <f t="shared" si="115"/>
        <v>H1_2026</v>
      </c>
      <c r="AC1237">
        <f t="shared" si="116"/>
        <v>5953779.2999999998</v>
      </c>
      <c r="AD1237">
        <f t="shared" si="117"/>
        <v>700</v>
      </c>
      <c r="AE1237">
        <f t="shared" si="118"/>
        <v>955779.3</v>
      </c>
      <c r="AF1237" t="str">
        <f t="shared" si="119"/>
        <v>Paid</v>
      </c>
    </row>
    <row r="1238" spans="1:32" ht="17.25" thickBot="1" x14ac:dyDescent="0.35">
      <c r="A1238" s="2" t="s">
        <v>8400</v>
      </c>
      <c r="B1238" s="2" t="s">
        <v>27</v>
      </c>
      <c r="C1238" s="2" t="s">
        <v>28</v>
      </c>
      <c r="D1238" s="2" t="s">
        <v>97</v>
      </c>
      <c r="E1238" s="2" t="s">
        <v>8338</v>
      </c>
      <c r="F1238" s="2" t="s">
        <v>99</v>
      </c>
      <c r="G1238" s="2" t="s">
        <v>32</v>
      </c>
      <c r="H1238" s="1"/>
      <c r="I1238" s="2" t="s">
        <v>33</v>
      </c>
      <c r="J1238" s="2" t="s">
        <v>34</v>
      </c>
      <c r="K1238" s="2" t="s">
        <v>3978</v>
      </c>
      <c r="L1238" s="2" t="s">
        <v>3979</v>
      </c>
      <c r="M1238" s="2" t="s">
        <v>701</v>
      </c>
      <c r="N1238" s="2" t="s">
        <v>38</v>
      </c>
      <c r="O1238" s="2" t="s">
        <v>1113</v>
      </c>
      <c r="P1238" s="2" t="s">
        <v>1175</v>
      </c>
      <c r="Q1238" s="2" t="s">
        <v>1996</v>
      </c>
      <c r="R1238" s="2" t="s">
        <v>40</v>
      </c>
      <c r="S1238" s="2" t="s">
        <v>8401</v>
      </c>
      <c r="T1238" s="2" t="s">
        <v>759</v>
      </c>
      <c r="U1238" s="2" t="s">
        <v>8402</v>
      </c>
      <c r="V1238" s="2" t="s">
        <v>8403</v>
      </c>
      <c r="W1238" s="1"/>
      <c r="X1238" s="2" t="s">
        <v>5168</v>
      </c>
      <c r="Y1238" s="2" t="s">
        <v>8344</v>
      </c>
      <c r="AA1238" t="str">
        <f t="shared" si="114"/>
        <v>2026-02</v>
      </c>
      <c r="AB1238" t="str">
        <f t="shared" si="115"/>
        <v>H1_2026</v>
      </c>
      <c r="AC1238">
        <f t="shared" si="116"/>
        <v>4856252.9400000004</v>
      </c>
      <c r="AD1238">
        <f t="shared" si="117"/>
        <v>540</v>
      </c>
      <c r="AE1238">
        <f t="shared" si="118"/>
        <v>773852.94</v>
      </c>
      <c r="AF1238" t="str">
        <f t="shared" si="119"/>
        <v>Paid</v>
      </c>
    </row>
    <row r="1239" spans="1:32" ht="17.25" thickBot="1" x14ac:dyDescent="0.35">
      <c r="A1239" s="2" t="s">
        <v>8404</v>
      </c>
      <c r="B1239" s="2" t="s">
        <v>27</v>
      </c>
      <c r="C1239" s="2" t="s">
        <v>28</v>
      </c>
      <c r="D1239" s="2" t="s">
        <v>97</v>
      </c>
      <c r="E1239" s="2" t="s">
        <v>8338</v>
      </c>
      <c r="F1239" s="2" t="s">
        <v>99</v>
      </c>
      <c r="G1239" s="2" t="s">
        <v>32</v>
      </c>
      <c r="H1239" s="1"/>
      <c r="I1239" s="2" t="s">
        <v>33</v>
      </c>
      <c r="J1239" s="2" t="s">
        <v>34</v>
      </c>
      <c r="K1239" s="2" t="s">
        <v>3986</v>
      </c>
      <c r="L1239" s="2" t="s">
        <v>3987</v>
      </c>
      <c r="M1239" s="2" t="s">
        <v>701</v>
      </c>
      <c r="N1239" s="2" t="s">
        <v>38</v>
      </c>
      <c r="O1239" s="2" t="s">
        <v>1951</v>
      </c>
      <c r="P1239" s="2" t="s">
        <v>8244</v>
      </c>
      <c r="Q1239" s="2" t="s">
        <v>8405</v>
      </c>
      <c r="R1239" s="2" t="s">
        <v>40</v>
      </c>
      <c r="S1239" s="2" t="s">
        <v>8406</v>
      </c>
      <c r="T1239" s="2" t="s">
        <v>726</v>
      </c>
      <c r="U1239" s="2" t="s">
        <v>4035</v>
      </c>
      <c r="V1239" s="2" t="s">
        <v>8407</v>
      </c>
      <c r="W1239" s="1"/>
      <c r="X1239" s="2" t="s">
        <v>3903</v>
      </c>
      <c r="Y1239" s="2" t="s">
        <v>8344</v>
      </c>
      <c r="AA1239" t="str">
        <f t="shared" si="114"/>
        <v>2026-02</v>
      </c>
      <c r="AB1239" t="str">
        <f t="shared" si="115"/>
        <v>H1_2026</v>
      </c>
      <c r="AC1239">
        <f t="shared" si="116"/>
        <v>5103239.4000000004</v>
      </c>
      <c r="AD1239">
        <f t="shared" si="117"/>
        <v>600</v>
      </c>
      <c r="AE1239">
        <f t="shared" si="118"/>
        <v>819239.4</v>
      </c>
      <c r="AF1239" t="str">
        <f t="shared" si="119"/>
        <v>Paid</v>
      </c>
    </row>
    <row r="1240" spans="1:32" ht="17.25" thickBot="1" x14ac:dyDescent="0.35">
      <c r="A1240" s="2" t="s">
        <v>8408</v>
      </c>
      <c r="B1240" s="2" t="s">
        <v>27</v>
      </c>
      <c r="C1240" s="2" t="s">
        <v>28</v>
      </c>
      <c r="D1240" s="2" t="s">
        <v>97</v>
      </c>
      <c r="E1240" s="2" t="s">
        <v>8338</v>
      </c>
      <c r="F1240" s="2" t="s">
        <v>99</v>
      </c>
      <c r="G1240" s="2" t="s">
        <v>32</v>
      </c>
      <c r="H1240" s="1"/>
      <c r="I1240" s="2" t="s">
        <v>33</v>
      </c>
      <c r="J1240" s="2" t="s">
        <v>34</v>
      </c>
      <c r="K1240" s="2" t="s">
        <v>4606</v>
      </c>
      <c r="L1240" s="2" t="s">
        <v>4607</v>
      </c>
      <c r="M1240" s="2" t="s">
        <v>701</v>
      </c>
      <c r="N1240" s="2" t="s">
        <v>38</v>
      </c>
      <c r="O1240" s="2" t="s">
        <v>6302</v>
      </c>
      <c r="P1240" s="2" t="s">
        <v>1175</v>
      </c>
      <c r="Q1240" s="2" t="s">
        <v>8409</v>
      </c>
      <c r="R1240" s="2" t="s">
        <v>40</v>
      </c>
      <c r="S1240" s="2" t="s">
        <v>8410</v>
      </c>
      <c r="T1240" s="2" t="s">
        <v>759</v>
      </c>
      <c r="U1240" s="2" t="s">
        <v>8411</v>
      </c>
      <c r="V1240" s="2" t="s">
        <v>8412</v>
      </c>
      <c r="W1240" s="1"/>
      <c r="X1240" s="2" t="s">
        <v>5168</v>
      </c>
      <c r="Y1240" s="2" t="s">
        <v>8344</v>
      </c>
      <c r="AA1240" t="str">
        <f t="shared" si="114"/>
        <v>2026-02</v>
      </c>
      <c r="AB1240" t="str">
        <f t="shared" si="115"/>
        <v>H1_2026</v>
      </c>
      <c r="AC1240">
        <f t="shared" si="116"/>
        <v>20863901.52</v>
      </c>
      <c r="AD1240">
        <f t="shared" si="117"/>
        <v>2320</v>
      </c>
      <c r="AE1240">
        <f t="shared" si="118"/>
        <v>3324701.52</v>
      </c>
      <c r="AF1240" t="str">
        <f t="shared" si="119"/>
        <v>Paid</v>
      </c>
    </row>
    <row r="1241" spans="1:32" ht="17.25" thickBot="1" x14ac:dyDescent="0.35">
      <c r="A1241" s="2" t="s">
        <v>8413</v>
      </c>
      <c r="B1241" s="2" t="s">
        <v>27</v>
      </c>
      <c r="C1241" s="2" t="s">
        <v>28</v>
      </c>
      <c r="D1241" s="2" t="s">
        <v>97</v>
      </c>
      <c r="E1241" s="2" t="s">
        <v>8338</v>
      </c>
      <c r="F1241" s="2" t="s">
        <v>99</v>
      </c>
      <c r="G1241" s="2" t="s">
        <v>32</v>
      </c>
      <c r="H1241" s="1"/>
      <c r="I1241" s="2" t="s">
        <v>33</v>
      </c>
      <c r="J1241" s="2" t="s">
        <v>34</v>
      </c>
      <c r="K1241" s="2" t="s">
        <v>6331</v>
      </c>
      <c r="L1241" s="2" t="s">
        <v>6332</v>
      </c>
      <c r="M1241" s="2" t="s">
        <v>701</v>
      </c>
      <c r="N1241" s="2" t="s">
        <v>38</v>
      </c>
      <c r="O1241" s="2" t="s">
        <v>8414</v>
      </c>
      <c r="P1241" s="2" t="s">
        <v>1175</v>
      </c>
      <c r="Q1241" s="2" t="s">
        <v>8415</v>
      </c>
      <c r="R1241" s="2" t="s">
        <v>40</v>
      </c>
      <c r="S1241" s="2" t="s">
        <v>8416</v>
      </c>
      <c r="T1241" s="2" t="s">
        <v>759</v>
      </c>
      <c r="U1241" s="2" t="s">
        <v>8417</v>
      </c>
      <c r="V1241" s="2" t="s">
        <v>8418</v>
      </c>
      <c r="W1241" s="1"/>
      <c r="X1241" s="2" t="s">
        <v>5168</v>
      </c>
      <c r="Y1241" s="2" t="s">
        <v>8344</v>
      </c>
      <c r="AA1241" t="str">
        <f t="shared" si="114"/>
        <v>2026-02</v>
      </c>
      <c r="AB1241" t="str">
        <f t="shared" si="115"/>
        <v>H1_2026</v>
      </c>
      <c r="AC1241">
        <f t="shared" si="116"/>
        <v>23741681.039999999</v>
      </c>
      <c r="AD1241">
        <f t="shared" si="117"/>
        <v>2640</v>
      </c>
      <c r="AE1241">
        <f t="shared" si="118"/>
        <v>3783281.04</v>
      </c>
      <c r="AF1241" t="str">
        <f t="shared" si="119"/>
        <v>Paid</v>
      </c>
    </row>
    <row r="1242" spans="1:32" ht="17.25" thickBot="1" x14ac:dyDescent="0.35">
      <c r="A1242" s="2" t="s">
        <v>8419</v>
      </c>
      <c r="B1242" s="2" t="s">
        <v>27</v>
      </c>
      <c r="C1242" s="2" t="s">
        <v>28</v>
      </c>
      <c r="D1242" s="2" t="s">
        <v>97</v>
      </c>
      <c r="E1242" s="2" t="s">
        <v>8338</v>
      </c>
      <c r="F1242" s="2" t="s">
        <v>99</v>
      </c>
      <c r="G1242" s="2" t="s">
        <v>32</v>
      </c>
      <c r="H1242" s="1"/>
      <c r="I1242" s="2" t="s">
        <v>33</v>
      </c>
      <c r="J1242" s="2" t="s">
        <v>34</v>
      </c>
      <c r="K1242" s="2" t="s">
        <v>8322</v>
      </c>
      <c r="L1242" s="2" t="s">
        <v>8323</v>
      </c>
      <c r="M1242" s="2" t="s">
        <v>701</v>
      </c>
      <c r="N1242" s="2" t="s">
        <v>38</v>
      </c>
      <c r="O1242" s="2" t="s">
        <v>4788</v>
      </c>
      <c r="P1242" s="2" t="s">
        <v>6415</v>
      </c>
      <c r="Q1242" s="2" t="s">
        <v>8420</v>
      </c>
      <c r="R1242" s="2" t="s">
        <v>40</v>
      </c>
      <c r="S1242" s="2" t="s">
        <v>8421</v>
      </c>
      <c r="T1242" s="2" t="s">
        <v>8326</v>
      </c>
      <c r="U1242" s="2" t="s">
        <v>8422</v>
      </c>
      <c r="V1242" s="2" t="s">
        <v>8423</v>
      </c>
      <c r="W1242" s="1"/>
      <c r="X1242" s="2" t="s">
        <v>709</v>
      </c>
      <c r="Y1242" s="2" t="s">
        <v>8344</v>
      </c>
      <c r="AA1242" t="str">
        <f t="shared" si="114"/>
        <v>2026-02</v>
      </c>
      <c r="AB1242" t="str">
        <f t="shared" si="115"/>
        <v>H1_2026</v>
      </c>
      <c r="AC1242">
        <f t="shared" si="116"/>
        <v>6719408.6399999997</v>
      </c>
      <c r="AD1242">
        <f t="shared" si="117"/>
        <v>640</v>
      </c>
      <c r="AE1242">
        <f t="shared" si="118"/>
        <v>1074608.6399999999</v>
      </c>
      <c r="AF1242" t="str">
        <f t="shared" si="119"/>
        <v>Paid</v>
      </c>
    </row>
    <row r="1243" spans="1:32" ht="17.25" thickBot="1" x14ac:dyDescent="0.35">
      <c r="A1243" s="2" t="s">
        <v>8424</v>
      </c>
      <c r="B1243" s="2" t="s">
        <v>27</v>
      </c>
      <c r="C1243" s="2" t="s">
        <v>28</v>
      </c>
      <c r="D1243" s="2" t="s">
        <v>97</v>
      </c>
      <c r="E1243" s="2" t="s">
        <v>8338</v>
      </c>
      <c r="F1243" s="2" t="s">
        <v>99</v>
      </c>
      <c r="G1243" s="2" t="s">
        <v>32</v>
      </c>
      <c r="H1243" s="1"/>
      <c r="I1243" s="2" t="s">
        <v>33</v>
      </c>
      <c r="J1243" s="2" t="s">
        <v>34</v>
      </c>
      <c r="K1243" s="2" t="s">
        <v>763</v>
      </c>
      <c r="L1243" s="2" t="s">
        <v>764</v>
      </c>
      <c r="M1243" s="2" t="s">
        <v>701</v>
      </c>
      <c r="N1243" s="2" t="s">
        <v>38</v>
      </c>
      <c r="O1243" s="2" t="s">
        <v>2379</v>
      </c>
      <c r="P1243" s="2" t="s">
        <v>1175</v>
      </c>
      <c r="Q1243" s="2" t="s">
        <v>8425</v>
      </c>
      <c r="R1243" s="2" t="s">
        <v>40</v>
      </c>
      <c r="S1243" s="2" t="s">
        <v>8426</v>
      </c>
      <c r="T1243" s="2" t="s">
        <v>759</v>
      </c>
      <c r="U1243" s="2" t="s">
        <v>8427</v>
      </c>
      <c r="V1243" s="2" t="s">
        <v>8428</v>
      </c>
      <c r="W1243" s="1"/>
      <c r="X1243" s="2" t="s">
        <v>5168</v>
      </c>
      <c r="Y1243" s="2" t="s">
        <v>8344</v>
      </c>
      <c r="AA1243" t="str">
        <f t="shared" si="114"/>
        <v>2026-02</v>
      </c>
      <c r="AB1243" t="str">
        <f t="shared" si="115"/>
        <v>H1_2026</v>
      </c>
      <c r="AC1243">
        <f t="shared" si="116"/>
        <v>2590001.5699999998</v>
      </c>
      <c r="AD1243">
        <f t="shared" si="117"/>
        <v>288</v>
      </c>
      <c r="AE1243">
        <f t="shared" si="118"/>
        <v>412721.57</v>
      </c>
      <c r="AF1243" t="str">
        <f t="shared" si="119"/>
        <v>Paid</v>
      </c>
    </row>
    <row r="1244" spans="1:32" ht="17.25" thickBot="1" x14ac:dyDescent="0.35">
      <c r="A1244" s="2" t="s">
        <v>8429</v>
      </c>
      <c r="B1244" s="2" t="s">
        <v>27</v>
      </c>
      <c r="C1244" s="2" t="s">
        <v>28</v>
      </c>
      <c r="D1244" s="2" t="s">
        <v>97</v>
      </c>
      <c r="E1244" s="2" t="s">
        <v>8338</v>
      </c>
      <c r="F1244" s="2" t="s">
        <v>99</v>
      </c>
      <c r="G1244" s="2" t="s">
        <v>32</v>
      </c>
      <c r="H1244" s="1"/>
      <c r="I1244" s="2" t="s">
        <v>33</v>
      </c>
      <c r="J1244" s="2" t="s">
        <v>34</v>
      </c>
      <c r="K1244" s="2" t="s">
        <v>8430</v>
      </c>
      <c r="L1244" s="2" t="s">
        <v>8431</v>
      </c>
      <c r="M1244" s="2" t="s">
        <v>8432</v>
      </c>
      <c r="N1244" s="2" t="s">
        <v>38</v>
      </c>
      <c r="O1244" s="2" t="s">
        <v>4788</v>
      </c>
      <c r="P1244" s="2" t="s">
        <v>7856</v>
      </c>
      <c r="Q1244" s="2" t="s">
        <v>8433</v>
      </c>
      <c r="R1244" s="2" t="s">
        <v>40</v>
      </c>
      <c r="S1244" s="2" t="s">
        <v>8434</v>
      </c>
      <c r="T1244" s="2" t="s">
        <v>8435</v>
      </c>
      <c r="U1244" s="2" t="s">
        <v>8436</v>
      </c>
      <c r="V1244" s="2" t="s">
        <v>8437</v>
      </c>
      <c r="W1244" s="1"/>
      <c r="X1244" s="2" t="s">
        <v>1457</v>
      </c>
      <c r="Y1244" s="2" t="s">
        <v>8344</v>
      </c>
      <c r="AA1244" t="str">
        <f t="shared" si="114"/>
        <v>2026-02</v>
      </c>
      <c r="AB1244" t="str">
        <f t="shared" si="115"/>
        <v>H1_2026</v>
      </c>
      <c r="AC1244">
        <f t="shared" si="116"/>
        <v>7793412.4800000004</v>
      </c>
      <c r="AD1244">
        <f t="shared" si="117"/>
        <v>640</v>
      </c>
      <c r="AE1244">
        <f t="shared" si="118"/>
        <v>1933339.78</v>
      </c>
      <c r="AF1244" t="str">
        <f t="shared" si="119"/>
        <v>Paid</v>
      </c>
    </row>
    <row r="1245" spans="1:32" ht="17.25" thickBot="1" x14ac:dyDescent="0.35">
      <c r="A1245" s="2" t="s">
        <v>8438</v>
      </c>
      <c r="B1245" s="2" t="s">
        <v>27</v>
      </c>
      <c r="C1245" s="2" t="s">
        <v>28</v>
      </c>
      <c r="D1245" s="2" t="s">
        <v>97</v>
      </c>
      <c r="E1245" s="2" t="s">
        <v>8338</v>
      </c>
      <c r="F1245" s="2" t="s">
        <v>99</v>
      </c>
      <c r="G1245" s="2" t="s">
        <v>32</v>
      </c>
      <c r="H1245" s="1"/>
      <c r="I1245" s="2" t="s">
        <v>33</v>
      </c>
      <c r="J1245" s="2" t="s">
        <v>34</v>
      </c>
      <c r="K1245" s="2" t="s">
        <v>7417</v>
      </c>
      <c r="L1245" s="2" t="s">
        <v>7418</v>
      </c>
      <c r="M1245" s="2" t="s">
        <v>772</v>
      </c>
      <c r="N1245" s="2" t="s">
        <v>38</v>
      </c>
      <c r="O1245" s="2" t="s">
        <v>877</v>
      </c>
      <c r="P1245" s="2" t="s">
        <v>8439</v>
      </c>
      <c r="Q1245" s="2" t="s">
        <v>8440</v>
      </c>
      <c r="R1245" s="2" t="s">
        <v>40</v>
      </c>
      <c r="S1245" s="2" t="s">
        <v>8441</v>
      </c>
      <c r="T1245" s="2" t="s">
        <v>5027</v>
      </c>
      <c r="U1245" s="2" t="s">
        <v>5036</v>
      </c>
      <c r="V1245" s="2" t="s">
        <v>8442</v>
      </c>
      <c r="W1245" s="1"/>
      <c r="X1245" s="2" t="s">
        <v>838</v>
      </c>
      <c r="Y1245" s="2" t="s">
        <v>8344</v>
      </c>
      <c r="AA1245" t="str">
        <f t="shared" si="114"/>
        <v>2026-02</v>
      </c>
      <c r="AB1245" t="str">
        <f t="shared" si="115"/>
        <v>H1_2026</v>
      </c>
      <c r="AC1245">
        <f t="shared" si="116"/>
        <v>14219650.199999999</v>
      </c>
      <c r="AD1245">
        <f t="shared" si="117"/>
        <v>100</v>
      </c>
      <c r="AE1245">
        <f t="shared" si="118"/>
        <v>2969650.2</v>
      </c>
      <c r="AF1245" t="str">
        <f t="shared" si="119"/>
        <v>Paid</v>
      </c>
    </row>
    <row r="1246" spans="1:32" ht="27.75" thickBot="1" x14ac:dyDescent="0.35">
      <c r="A1246" s="2" t="s">
        <v>8443</v>
      </c>
      <c r="B1246" s="2" t="s">
        <v>27</v>
      </c>
      <c r="C1246" s="2" t="s">
        <v>28</v>
      </c>
      <c r="D1246" s="2" t="s">
        <v>97</v>
      </c>
      <c r="E1246" s="2" t="s">
        <v>8444</v>
      </c>
      <c r="F1246" s="2" t="s">
        <v>8445</v>
      </c>
      <c r="G1246" s="2" t="s">
        <v>32</v>
      </c>
      <c r="H1246" s="1"/>
      <c r="I1246" s="2" t="s">
        <v>33</v>
      </c>
      <c r="J1246" s="2" t="s">
        <v>34</v>
      </c>
      <c r="K1246" s="2" t="s">
        <v>2175</v>
      </c>
      <c r="L1246" s="2" t="s">
        <v>2176</v>
      </c>
      <c r="M1246" s="2" t="s">
        <v>2140</v>
      </c>
      <c r="N1246" s="2" t="s">
        <v>38</v>
      </c>
      <c r="O1246" s="2" t="s">
        <v>665</v>
      </c>
      <c r="P1246" s="2" t="s">
        <v>8446</v>
      </c>
      <c r="Q1246" s="2" t="s">
        <v>8447</v>
      </c>
      <c r="R1246" s="2" t="s">
        <v>40</v>
      </c>
      <c r="S1246" s="2" t="s">
        <v>8448</v>
      </c>
      <c r="T1246" s="2" t="s">
        <v>2171</v>
      </c>
      <c r="U1246" s="2" t="s">
        <v>8449</v>
      </c>
      <c r="V1246" s="2" t="s">
        <v>8450</v>
      </c>
      <c r="W1246" s="1"/>
      <c r="X1246" s="2" t="s">
        <v>651</v>
      </c>
      <c r="Y1246" s="2" t="s">
        <v>8451</v>
      </c>
      <c r="AA1246" t="str">
        <f t="shared" si="114"/>
        <v>2026-02</v>
      </c>
      <c r="AB1246" t="str">
        <f t="shared" si="115"/>
        <v>H1_2026</v>
      </c>
      <c r="AC1246">
        <f t="shared" si="116"/>
        <v>261398.34</v>
      </c>
      <c r="AD1246">
        <f t="shared" si="117"/>
        <v>210</v>
      </c>
      <c r="AE1246">
        <f t="shared" si="118"/>
        <v>80033.94</v>
      </c>
      <c r="AF1246" t="str">
        <f t="shared" si="119"/>
        <v>Paid</v>
      </c>
    </row>
    <row r="1247" spans="1:32" ht="17.25" thickBot="1" x14ac:dyDescent="0.35">
      <c r="A1247" s="2" t="s">
        <v>8452</v>
      </c>
      <c r="B1247" s="2" t="s">
        <v>27</v>
      </c>
      <c r="C1247" s="2" t="s">
        <v>28</v>
      </c>
      <c r="D1247" s="2" t="s">
        <v>97</v>
      </c>
      <c r="E1247" s="2" t="s">
        <v>8444</v>
      </c>
      <c r="F1247" s="2" t="s">
        <v>8445</v>
      </c>
      <c r="G1247" s="2" t="s">
        <v>32</v>
      </c>
      <c r="H1247" s="1"/>
      <c r="I1247" s="2" t="s">
        <v>33</v>
      </c>
      <c r="J1247" s="2" t="s">
        <v>34</v>
      </c>
      <c r="K1247" s="2" t="s">
        <v>8453</v>
      </c>
      <c r="L1247" s="2" t="s">
        <v>8454</v>
      </c>
      <c r="M1247" s="2" t="s">
        <v>2140</v>
      </c>
      <c r="N1247" s="2" t="s">
        <v>38</v>
      </c>
      <c r="O1247" s="2" t="s">
        <v>156</v>
      </c>
      <c r="P1247" s="2" t="s">
        <v>8446</v>
      </c>
      <c r="Q1247" s="2" t="s">
        <v>8455</v>
      </c>
      <c r="R1247" s="2" t="s">
        <v>40</v>
      </c>
      <c r="S1247" s="2" t="s">
        <v>8456</v>
      </c>
      <c r="T1247" s="2" t="s">
        <v>2171</v>
      </c>
      <c r="U1247" s="2" t="s">
        <v>8457</v>
      </c>
      <c r="V1247" s="2" t="s">
        <v>8458</v>
      </c>
      <c r="W1247" s="1"/>
      <c r="X1247" s="2" t="s">
        <v>651</v>
      </c>
      <c r="Y1247" s="2" t="s">
        <v>8451</v>
      </c>
      <c r="AA1247" t="str">
        <f t="shared" si="114"/>
        <v>2026-02</v>
      </c>
      <c r="AB1247" t="str">
        <f t="shared" si="115"/>
        <v>H1_2026</v>
      </c>
      <c r="AC1247">
        <f t="shared" si="116"/>
        <v>24895.08</v>
      </c>
      <c r="AD1247">
        <f t="shared" si="117"/>
        <v>20</v>
      </c>
      <c r="AE1247">
        <f t="shared" si="118"/>
        <v>7622.35</v>
      </c>
      <c r="AF1247" t="str">
        <f t="shared" si="119"/>
        <v>Paid</v>
      </c>
    </row>
    <row r="1248" spans="1:32" ht="17.25" thickBot="1" x14ac:dyDescent="0.35">
      <c r="A1248" s="2" t="s">
        <v>8459</v>
      </c>
      <c r="B1248" s="2" t="s">
        <v>27</v>
      </c>
      <c r="C1248" s="2" t="s">
        <v>28</v>
      </c>
      <c r="D1248" s="2" t="s">
        <v>97</v>
      </c>
      <c r="E1248" s="2" t="s">
        <v>8444</v>
      </c>
      <c r="F1248" s="2" t="s">
        <v>8445</v>
      </c>
      <c r="G1248" s="2" t="s">
        <v>32</v>
      </c>
      <c r="H1248" s="1"/>
      <c r="I1248" s="2" t="s">
        <v>33</v>
      </c>
      <c r="J1248" s="2" t="s">
        <v>34</v>
      </c>
      <c r="K1248" s="2" t="s">
        <v>8460</v>
      </c>
      <c r="L1248" s="2" t="s">
        <v>8461</v>
      </c>
      <c r="M1248" s="2" t="s">
        <v>2140</v>
      </c>
      <c r="N1248" s="2" t="s">
        <v>38</v>
      </c>
      <c r="O1248" s="2" t="s">
        <v>131</v>
      </c>
      <c r="P1248" s="2" t="s">
        <v>8462</v>
      </c>
      <c r="Q1248" s="2" t="s">
        <v>8463</v>
      </c>
      <c r="R1248" s="2" t="s">
        <v>40</v>
      </c>
      <c r="S1248" s="2" t="s">
        <v>8464</v>
      </c>
      <c r="T1248" s="2" t="s">
        <v>8465</v>
      </c>
      <c r="U1248" s="2" t="s">
        <v>8466</v>
      </c>
      <c r="V1248" s="2" t="s">
        <v>8467</v>
      </c>
      <c r="W1248" s="1"/>
      <c r="X1248" s="2" t="s">
        <v>6917</v>
      </c>
      <c r="Y1248" s="2" t="s">
        <v>8451</v>
      </c>
      <c r="AA1248" t="str">
        <f t="shared" si="114"/>
        <v>2026-02</v>
      </c>
      <c r="AB1248" t="str">
        <f t="shared" si="115"/>
        <v>H1_2026</v>
      </c>
      <c r="AC1248">
        <f t="shared" si="116"/>
        <v>51468.480000000003</v>
      </c>
      <c r="AD1248">
        <f t="shared" si="117"/>
        <v>40</v>
      </c>
      <c r="AE1248">
        <f t="shared" si="118"/>
        <v>14850.3</v>
      </c>
      <c r="AF1248" t="str">
        <f t="shared" si="119"/>
        <v>Paid</v>
      </c>
    </row>
    <row r="1249" spans="1:32" ht="17.25" thickBot="1" x14ac:dyDescent="0.35">
      <c r="A1249" s="2" t="s">
        <v>8468</v>
      </c>
      <c r="B1249" s="2" t="s">
        <v>27</v>
      </c>
      <c r="C1249" s="2" t="s">
        <v>28</v>
      </c>
      <c r="D1249" s="2" t="s">
        <v>97</v>
      </c>
      <c r="E1249" s="2" t="s">
        <v>8444</v>
      </c>
      <c r="F1249" s="2" t="s">
        <v>8445</v>
      </c>
      <c r="G1249" s="2" t="s">
        <v>32</v>
      </c>
      <c r="H1249" s="1"/>
      <c r="I1249" s="2" t="s">
        <v>33</v>
      </c>
      <c r="J1249" s="2" t="s">
        <v>34</v>
      </c>
      <c r="K1249" s="2" t="s">
        <v>8469</v>
      </c>
      <c r="L1249" s="2" t="s">
        <v>8470</v>
      </c>
      <c r="M1249" s="2" t="s">
        <v>2140</v>
      </c>
      <c r="N1249" s="2" t="s">
        <v>38</v>
      </c>
      <c r="O1249" s="2" t="s">
        <v>1904</v>
      </c>
      <c r="P1249" s="2" t="s">
        <v>8471</v>
      </c>
      <c r="Q1249" s="2" t="s">
        <v>8472</v>
      </c>
      <c r="R1249" s="2" t="s">
        <v>40</v>
      </c>
      <c r="S1249" s="2" t="s">
        <v>8473</v>
      </c>
      <c r="T1249" s="2" t="s">
        <v>8474</v>
      </c>
      <c r="U1249" s="2" t="s">
        <v>8475</v>
      </c>
      <c r="V1249" s="2" t="s">
        <v>8476</v>
      </c>
      <c r="W1249" s="1"/>
      <c r="X1249" s="2" t="s">
        <v>1427</v>
      </c>
      <c r="Y1249" s="2" t="s">
        <v>8451</v>
      </c>
      <c r="AA1249" t="str">
        <f t="shared" si="114"/>
        <v>2026-02</v>
      </c>
      <c r="AB1249" t="str">
        <f t="shared" si="115"/>
        <v>H1_2026</v>
      </c>
      <c r="AC1249">
        <f t="shared" si="116"/>
        <v>1611606.78</v>
      </c>
      <c r="AD1249">
        <f t="shared" si="117"/>
        <v>230</v>
      </c>
      <c r="AE1249">
        <f t="shared" si="118"/>
        <v>392181.16</v>
      </c>
      <c r="AF1249" t="str">
        <f t="shared" si="119"/>
        <v>Paid</v>
      </c>
    </row>
    <row r="1250" spans="1:32" ht="17.25" thickBot="1" x14ac:dyDescent="0.35">
      <c r="A1250" s="2" t="s">
        <v>8477</v>
      </c>
      <c r="B1250" s="2" t="s">
        <v>27</v>
      </c>
      <c r="C1250" s="2" t="s">
        <v>28</v>
      </c>
      <c r="D1250" s="2" t="s">
        <v>97</v>
      </c>
      <c r="E1250" s="2" t="s">
        <v>8444</v>
      </c>
      <c r="F1250" s="2" t="s">
        <v>8445</v>
      </c>
      <c r="G1250" s="2" t="s">
        <v>32</v>
      </c>
      <c r="H1250" s="1"/>
      <c r="I1250" s="2" t="s">
        <v>33</v>
      </c>
      <c r="J1250" s="2" t="s">
        <v>34</v>
      </c>
      <c r="K1250" s="2" t="s">
        <v>2210</v>
      </c>
      <c r="L1250" s="2" t="s">
        <v>2211</v>
      </c>
      <c r="M1250" s="2" t="s">
        <v>2140</v>
      </c>
      <c r="N1250" s="2" t="s">
        <v>38</v>
      </c>
      <c r="O1250" s="2" t="s">
        <v>466</v>
      </c>
      <c r="P1250" s="2" t="s">
        <v>2720</v>
      </c>
      <c r="Q1250" s="2" t="s">
        <v>8478</v>
      </c>
      <c r="R1250" s="2" t="s">
        <v>40</v>
      </c>
      <c r="S1250" s="2" t="s">
        <v>8479</v>
      </c>
      <c r="T1250" s="2" t="s">
        <v>8480</v>
      </c>
      <c r="U1250" s="2" t="s">
        <v>8481</v>
      </c>
      <c r="V1250" s="2" t="s">
        <v>8482</v>
      </c>
      <c r="W1250" s="1"/>
      <c r="X1250" s="2" t="s">
        <v>2912</v>
      </c>
      <c r="Y1250" s="2" t="s">
        <v>8451</v>
      </c>
      <c r="AA1250" t="str">
        <f t="shared" si="114"/>
        <v>2026-02</v>
      </c>
      <c r="AB1250" t="str">
        <f t="shared" si="115"/>
        <v>H1_2026</v>
      </c>
      <c r="AC1250">
        <f t="shared" si="116"/>
        <v>686293.02</v>
      </c>
      <c r="AD1250">
        <f t="shared" si="117"/>
        <v>70</v>
      </c>
      <c r="AE1250">
        <f t="shared" si="118"/>
        <v>203293.02</v>
      </c>
      <c r="AF1250" t="str">
        <f t="shared" si="119"/>
        <v>Paid</v>
      </c>
    </row>
    <row r="1251" spans="1:32" ht="17.25" thickBot="1" x14ac:dyDescent="0.35">
      <c r="A1251" s="2" t="s">
        <v>8483</v>
      </c>
      <c r="B1251" s="2" t="s">
        <v>27</v>
      </c>
      <c r="C1251" s="2" t="s">
        <v>28</v>
      </c>
      <c r="D1251" s="2" t="s">
        <v>97</v>
      </c>
      <c r="E1251" s="2" t="s">
        <v>8444</v>
      </c>
      <c r="F1251" s="2" t="s">
        <v>8445</v>
      </c>
      <c r="G1251" s="2" t="s">
        <v>32</v>
      </c>
      <c r="H1251" s="1"/>
      <c r="I1251" s="2" t="s">
        <v>33</v>
      </c>
      <c r="J1251" s="2" t="s">
        <v>34</v>
      </c>
      <c r="K1251" s="2" t="s">
        <v>2228</v>
      </c>
      <c r="L1251" s="2" t="s">
        <v>2229</v>
      </c>
      <c r="M1251" s="2" t="s">
        <v>2140</v>
      </c>
      <c r="N1251" s="2" t="s">
        <v>38</v>
      </c>
      <c r="O1251" s="2" t="s">
        <v>156</v>
      </c>
      <c r="P1251" s="2" t="s">
        <v>3943</v>
      </c>
      <c r="Q1251" s="2" t="s">
        <v>8484</v>
      </c>
      <c r="R1251" s="2" t="s">
        <v>40</v>
      </c>
      <c r="S1251" s="2" t="s">
        <v>8485</v>
      </c>
      <c r="T1251" s="2" t="s">
        <v>7608</v>
      </c>
      <c r="U1251" s="2" t="s">
        <v>8486</v>
      </c>
      <c r="V1251" s="2" t="s">
        <v>8487</v>
      </c>
      <c r="W1251" s="1"/>
      <c r="X1251" s="2" t="s">
        <v>1042</v>
      </c>
      <c r="Y1251" s="2" t="s">
        <v>8451</v>
      </c>
      <c r="AA1251" t="str">
        <f t="shared" si="114"/>
        <v>2026-02</v>
      </c>
      <c r="AB1251" t="str">
        <f t="shared" si="115"/>
        <v>H1_2026</v>
      </c>
      <c r="AC1251">
        <f t="shared" si="116"/>
        <v>165594.23999999999</v>
      </c>
      <c r="AD1251">
        <f t="shared" si="117"/>
        <v>20</v>
      </c>
      <c r="AE1251">
        <f t="shared" si="118"/>
        <v>39721.51</v>
      </c>
      <c r="AF1251" t="str">
        <f t="shared" si="119"/>
        <v>Paid</v>
      </c>
    </row>
    <row r="1252" spans="1:32" ht="17.25" thickBot="1" x14ac:dyDescent="0.35">
      <c r="A1252" s="2" t="s">
        <v>8488</v>
      </c>
      <c r="B1252" s="2" t="s">
        <v>27</v>
      </c>
      <c r="C1252" s="2" t="s">
        <v>28</v>
      </c>
      <c r="D1252" s="2" t="s">
        <v>97</v>
      </c>
      <c r="E1252" s="2" t="s">
        <v>8444</v>
      </c>
      <c r="F1252" s="2" t="s">
        <v>8445</v>
      </c>
      <c r="G1252" s="2" t="s">
        <v>32</v>
      </c>
      <c r="H1252" s="1"/>
      <c r="I1252" s="2" t="s">
        <v>33</v>
      </c>
      <c r="J1252" s="2" t="s">
        <v>34</v>
      </c>
      <c r="K1252" s="2" t="s">
        <v>2244</v>
      </c>
      <c r="L1252" s="2" t="s">
        <v>2245</v>
      </c>
      <c r="M1252" s="2" t="s">
        <v>2140</v>
      </c>
      <c r="N1252" s="2" t="s">
        <v>38</v>
      </c>
      <c r="O1252" s="2" t="s">
        <v>131</v>
      </c>
      <c r="P1252" s="2" t="s">
        <v>7626</v>
      </c>
      <c r="Q1252" s="2" t="s">
        <v>8489</v>
      </c>
      <c r="R1252" s="2" t="s">
        <v>40</v>
      </c>
      <c r="S1252" s="2" t="s">
        <v>8490</v>
      </c>
      <c r="T1252" s="2" t="s">
        <v>40</v>
      </c>
      <c r="U1252" s="2" t="s">
        <v>40</v>
      </c>
      <c r="V1252" s="2" t="s">
        <v>8490</v>
      </c>
      <c r="W1252" s="1"/>
      <c r="X1252" s="2" t="s">
        <v>2155</v>
      </c>
      <c r="Y1252" s="2" t="s">
        <v>8451</v>
      </c>
      <c r="AA1252" t="str">
        <f t="shared" si="114"/>
        <v>2026-02</v>
      </c>
      <c r="AB1252" t="str">
        <f t="shared" si="115"/>
        <v>H1_2026</v>
      </c>
      <c r="AC1252">
        <f t="shared" si="116"/>
        <v>364195.44</v>
      </c>
      <c r="AD1252">
        <f t="shared" si="117"/>
        <v>40</v>
      </c>
      <c r="AE1252">
        <f t="shared" si="118"/>
        <v>364195.44</v>
      </c>
      <c r="AF1252" t="str">
        <f t="shared" si="119"/>
        <v>Paid</v>
      </c>
    </row>
    <row r="1253" spans="1:32" ht="17.25" thickBot="1" x14ac:dyDescent="0.35">
      <c r="A1253" s="2" t="s">
        <v>8491</v>
      </c>
      <c r="B1253" s="2" t="s">
        <v>27</v>
      </c>
      <c r="C1253" s="2" t="s">
        <v>28</v>
      </c>
      <c r="D1253" s="2" t="s">
        <v>97</v>
      </c>
      <c r="E1253" s="2" t="s">
        <v>8444</v>
      </c>
      <c r="F1253" s="2" t="s">
        <v>8445</v>
      </c>
      <c r="G1253" s="2" t="s">
        <v>32</v>
      </c>
      <c r="H1253" s="1"/>
      <c r="I1253" s="2" t="s">
        <v>33</v>
      </c>
      <c r="J1253" s="2" t="s">
        <v>34</v>
      </c>
      <c r="K1253" s="2" t="s">
        <v>8492</v>
      </c>
      <c r="L1253" s="2" t="s">
        <v>8493</v>
      </c>
      <c r="M1253" s="2" t="s">
        <v>2140</v>
      </c>
      <c r="N1253" s="2" t="s">
        <v>38</v>
      </c>
      <c r="O1253" s="2" t="s">
        <v>517</v>
      </c>
      <c r="P1253" s="2" t="s">
        <v>2720</v>
      </c>
      <c r="Q1253" s="2" t="s">
        <v>8494</v>
      </c>
      <c r="R1253" s="2" t="s">
        <v>40</v>
      </c>
      <c r="S1253" s="2" t="s">
        <v>8495</v>
      </c>
      <c r="T1253" s="2" t="s">
        <v>6908</v>
      </c>
      <c r="U1253" s="2" t="s">
        <v>6909</v>
      </c>
      <c r="V1253" s="2" t="s">
        <v>8496</v>
      </c>
      <c r="W1253" s="1"/>
      <c r="X1253" s="2" t="s">
        <v>4350</v>
      </c>
      <c r="Y1253" s="2" t="s">
        <v>8451</v>
      </c>
      <c r="AA1253" t="str">
        <f t="shared" si="114"/>
        <v>2026-02</v>
      </c>
      <c r="AB1253" t="str">
        <f t="shared" si="115"/>
        <v>H1_2026</v>
      </c>
      <c r="AC1253">
        <f t="shared" si="116"/>
        <v>1176502.32</v>
      </c>
      <c r="AD1253">
        <f t="shared" si="117"/>
        <v>120</v>
      </c>
      <c r="AE1253">
        <f t="shared" si="118"/>
        <v>275411.40999999997</v>
      </c>
      <c r="AF1253" t="str">
        <f t="shared" si="119"/>
        <v>Paid</v>
      </c>
    </row>
    <row r="1254" spans="1:32" ht="27.75" thickBot="1" x14ac:dyDescent="0.35">
      <c r="A1254" s="2" t="s">
        <v>8497</v>
      </c>
      <c r="B1254" s="2" t="s">
        <v>27</v>
      </c>
      <c r="C1254" s="2" t="s">
        <v>28</v>
      </c>
      <c r="D1254" s="2" t="s">
        <v>97</v>
      </c>
      <c r="E1254" s="2" t="s">
        <v>8444</v>
      </c>
      <c r="F1254" s="2" t="s">
        <v>8445</v>
      </c>
      <c r="G1254" s="2" t="s">
        <v>32</v>
      </c>
      <c r="H1254" s="1"/>
      <c r="I1254" s="2" t="s">
        <v>33</v>
      </c>
      <c r="J1254" s="2" t="s">
        <v>34</v>
      </c>
      <c r="K1254" s="2" t="s">
        <v>8498</v>
      </c>
      <c r="L1254" s="2" t="s">
        <v>8499</v>
      </c>
      <c r="M1254" s="2" t="s">
        <v>7619</v>
      </c>
      <c r="N1254" s="2" t="s">
        <v>38</v>
      </c>
      <c r="O1254" s="2" t="s">
        <v>79</v>
      </c>
      <c r="P1254" s="2" t="s">
        <v>6516</v>
      </c>
      <c r="Q1254" s="2" t="s">
        <v>8500</v>
      </c>
      <c r="R1254" s="2" t="s">
        <v>40</v>
      </c>
      <c r="S1254" s="2" t="s">
        <v>8501</v>
      </c>
      <c r="T1254" s="2" t="s">
        <v>8502</v>
      </c>
      <c r="U1254" s="2" t="s">
        <v>8503</v>
      </c>
      <c r="V1254" s="2" t="s">
        <v>8504</v>
      </c>
      <c r="W1254" s="1"/>
      <c r="X1254" s="2" t="s">
        <v>806</v>
      </c>
      <c r="Y1254" s="2" t="s">
        <v>8451</v>
      </c>
      <c r="AA1254" t="str">
        <f t="shared" si="114"/>
        <v>2026-02</v>
      </c>
      <c r="AB1254" t="str">
        <f t="shared" si="115"/>
        <v>H1_2026</v>
      </c>
      <c r="AC1254">
        <f t="shared" si="116"/>
        <v>77342.58</v>
      </c>
      <c r="AD1254">
        <f t="shared" si="117"/>
        <v>10</v>
      </c>
      <c r="AE1254">
        <f t="shared" si="118"/>
        <v>19742.580000000002</v>
      </c>
      <c r="AF1254" t="str">
        <f t="shared" si="119"/>
        <v>Paid</v>
      </c>
    </row>
    <row r="1255" spans="1:32" ht="17.25" thickBot="1" x14ac:dyDescent="0.35">
      <c r="A1255" s="2" t="s">
        <v>8505</v>
      </c>
      <c r="B1255" s="2" t="s">
        <v>27</v>
      </c>
      <c r="C1255" s="2" t="s">
        <v>28</v>
      </c>
      <c r="D1255" s="2" t="s">
        <v>97</v>
      </c>
      <c r="E1255" s="2" t="s">
        <v>8444</v>
      </c>
      <c r="F1255" s="2" t="s">
        <v>8445</v>
      </c>
      <c r="G1255" s="2" t="s">
        <v>32</v>
      </c>
      <c r="H1255" s="1"/>
      <c r="I1255" s="2" t="s">
        <v>33</v>
      </c>
      <c r="J1255" s="2" t="s">
        <v>34</v>
      </c>
      <c r="K1255" s="2" t="s">
        <v>7715</v>
      </c>
      <c r="L1255" s="2" t="s">
        <v>7716</v>
      </c>
      <c r="M1255" s="2" t="s">
        <v>7717</v>
      </c>
      <c r="N1255" s="2" t="s">
        <v>38</v>
      </c>
      <c r="O1255" s="2" t="s">
        <v>156</v>
      </c>
      <c r="P1255" s="2" t="s">
        <v>8506</v>
      </c>
      <c r="Q1255" s="2" t="s">
        <v>8507</v>
      </c>
      <c r="R1255" s="2" t="s">
        <v>40</v>
      </c>
      <c r="S1255" s="2" t="s">
        <v>8508</v>
      </c>
      <c r="T1255" s="2" t="s">
        <v>7720</v>
      </c>
      <c r="U1255" s="2" t="s">
        <v>5740</v>
      </c>
      <c r="V1255" s="2" t="s">
        <v>8509</v>
      </c>
      <c r="W1255" s="1"/>
      <c r="X1255" s="2" t="s">
        <v>7722</v>
      </c>
      <c r="Y1255" s="2" t="s">
        <v>8451</v>
      </c>
      <c r="AA1255" t="str">
        <f t="shared" si="114"/>
        <v>2026-02</v>
      </c>
      <c r="AB1255" t="str">
        <f t="shared" si="115"/>
        <v>H1_2026</v>
      </c>
      <c r="AC1255">
        <f t="shared" si="116"/>
        <v>107971.92</v>
      </c>
      <c r="AD1255">
        <f t="shared" si="117"/>
        <v>20</v>
      </c>
      <c r="AE1255">
        <f t="shared" si="118"/>
        <v>35971.919999999998</v>
      </c>
      <c r="AF1255" t="str">
        <f t="shared" si="119"/>
        <v>Paid</v>
      </c>
    </row>
    <row r="1256" spans="1:32" ht="17.25" thickBot="1" x14ac:dyDescent="0.35">
      <c r="A1256" s="2" t="s">
        <v>8510</v>
      </c>
      <c r="B1256" s="2" t="s">
        <v>27</v>
      </c>
      <c r="C1256" s="2" t="s">
        <v>28</v>
      </c>
      <c r="D1256" s="2" t="s">
        <v>97</v>
      </c>
      <c r="E1256" s="2" t="s">
        <v>8444</v>
      </c>
      <c r="F1256" s="2" t="s">
        <v>8445</v>
      </c>
      <c r="G1256" s="2" t="s">
        <v>32</v>
      </c>
      <c r="H1256" s="1"/>
      <c r="I1256" s="2" t="s">
        <v>33</v>
      </c>
      <c r="J1256" s="2" t="s">
        <v>34</v>
      </c>
      <c r="K1256" s="2" t="s">
        <v>8511</v>
      </c>
      <c r="L1256" s="2" t="s">
        <v>8512</v>
      </c>
      <c r="M1256" s="2" t="s">
        <v>7717</v>
      </c>
      <c r="N1256" s="2" t="s">
        <v>38</v>
      </c>
      <c r="O1256" s="2" t="s">
        <v>839</v>
      </c>
      <c r="P1256" s="2" t="s">
        <v>8513</v>
      </c>
      <c r="Q1256" s="2" t="s">
        <v>8514</v>
      </c>
      <c r="R1256" s="2" t="s">
        <v>40</v>
      </c>
      <c r="S1256" s="2" t="s">
        <v>8515</v>
      </c>
      <c r="T1256" s="2" t="s">
        <v>8516</v>
      </c>
      <c r="U1256" s="2" t="s">
        <v>8517</v>
      </c>
      <c r="V1256" s="2" t="s">
        <v>8518</v>
      </c>
      <c r="W1256" s="1"/>
      <c r="X1256" s="2" t="s">
        <v>8519</v>
      </c>
      <c r="Y1256" s="2" t="s">
        <v>8451</v>
      </c>
      <c r="AA1256" t="str">
        <f t="shared" si="114"/>
        <v>2026-02</v>
      </c>
      <c r="AB1256" t="str">
        <f t="shared" si="115"/>
        <v>H1_2026</v>
      </c>
      <c r="AC1256">
        <f t="shared" si="116"/>
        <v>836474.69</v>
      </c>
      <c r="AD1256">
        <f t="shared" si="117"/>
        <v>96</v>
      </c>
      <c r="AE1256">
        <f t="shared" si="118"/>
        <v>269210.69</v>
      </c>
      <c r="AF1256" t="str">
        <f t="shared" si="119"/>
        <v>Paid</v>
      </c>
    </row>
    <row r="1257" spans="1:32" ht="17.25" thickBot="1" x14ac:dyDescent="0.35">
      <c r="A1257" s="2" t="s">
        <v>8520</v>
      </c>
      <c r="B1257" s="2" t="s">
        <v>27</v>
      </c>
      <c r="C1257" s="2" t="s">
        <v>28</v>
      </c>
      <c r="D1257" s="2" t="s">
        <v>97</v>
      </c>
      <c r="E1257" s="2" t="s">
        <v>8444</v>
      </c>
      <c r="F1257" s="2" t="s">
        <v>8445</v>
      </c>
      <c r="G1257" s="2" t="s">
        <v>32</v>
      </c>
      <c r="H1257" s="1"/>
      <c r="I1257" s="2" t="s">
        <v>33</v>
      </c>
      <c r="J1257" s="2" t="s">
        <v>34</v>
      </c>
      <c r="K1257" s="2" t="s">
        <v>8521</v>
      </c>
      <c r="L1257" s="2" t="s">
        <v>8522</v>
      </c>
      <c r="M1257" s="2" t="s">
        <v>7717</v>
      </c>
      <c r="N1257" s="2" t="s">
        <v>38</v>
      </c>
      <c r="O1257" s="2" t="s">
        <v>977</v>
      </c>
      <c r="P1257" s="2" t="s">
        <v>3521</v>
      </c>
      <c r="Q1257" s="2" t="s">
        <v>8523</v>
      </c>
      <c r="R1257" s="2" t="s">
        <v>40</v>
      </c>
      <c r="S1257" s="2" t="s">
        <v>8524</v>
      </c>
      <c r="T1257" s="2" t="s">
        <v>2747</v>
      </c>
      <c r="U1257" s="2" t="s">
        <v>8525</v>
      </c>
      <c r="V1257" s="2" t="s">
        <v>8526</v>
      </c>
      <c r="W1257" s="1"/>
      <c r="X1257" s="2" t="s">
        <v>5958</v>
      </c>
      <c r="Y1257" s="2" t="s">
        <v>8451</v>
      </c>
      <c r="AA1257" t="str">
        <f t="shared" si="114"/>
        <v>2026-02</v>
      </c>
      <c r="AB1257" t="str">
        <f t="shared" si="115"/>
        <v>H1_2026</v>
      </c>
      <c r="AC1257">
        <f t="shared" si="116"/>
        <v>736922.34</v>
      </c>
      <c r="AD1257">
        <f t="shared" si="117"/>
        <v>110</v>
      </c>
      <c r="AE1257">
        <f t="shared" si="118"/>
        <v>246922.35</v>
      </c>
      <c r="AF1257" t="str">
        <f t="shared" si="119"/>
        <v>Paid</v>
      </c>
    </row>
    <row r="1258" spans="1:32" ht="17.25" thickBot="1" x14ac:dyDescent="0.35">
      <c r="A1258" s="2" t="s">
        <v>8527</v>
      </c>
      <c r="B1258" s="2" t="s">
        <v>27</v>
      </c>
      <c r="C1258" s="2" t="s">
        <v>28</v>
      </c>
      <c r="D1258" s="2" t="s">
        <v>97</v>
      </c>
      <c r="E1258" s="2" t="s">
        <v>8444</v>
      </c>
      <c r="F1258" s="2" t="s">
        <v>8445</v>
      </c>
      <c r="G1258" s="2" t="s">
        <v>32</v>
      </c>
      <c r="H1258" s="1"/>
      <c r="I1258" s="2" t="s">
        <v>33</v>
      </c>
      <c r="J1258" s="2" t="s">
        <v>34</v>
      </c>
      <c r="K1258" s="2" t="s">
        <v>7724</v>
      </c>
      <c r="L1258" s="2" t="s">
        <v>7725</v>
      </c>
      <c r="M1258" s="2" t="s">
        <v>7717</v>
      </c>
      <c r="N1258" s="2" t="s">
        <v>38</v>
      </c>
      <c r="O1258" s="2" t="s">
        <v>141</v>
      </c>
      <c r="P1258" s="2" t="s">
        <v>8528</v>
      </c>
      <c r="Q1258" s="2" t="s">
        <v>8529</v>
      </c>
      <c r="R1258" s="2" t="s">
        <v>40</v>
      </c>
      <c r="S1258" s="2" t="s">
        <v>8530</v>
      </c>
      <c r="T1258" s="2" t="s">
        <v>7729</v>
      </c>
      <c r="U1258" s="2" t="s">
        <v>8531</v>
      </c>
      <c r="V1258" s="2" t="s">
        <v>8532</v>
      </c>
      <c r="W1258" s="1"/>
      <c r="X1258" s="2" t="s">
        <v>2912</v>
      </c>
      <c r="Y1258" s="2" t="s">
        <v>8451</v>
      </c>
      <c r="AA1258" t="str">
        <f t="shared" si="114"/>
        <v>2026-02</v>
      </c>
      <c r="AB1258" t="str">
        <f t="shared" si="115"/>
        <v>H1_2026</v>
      </c>
      <c r="AC1258">
        <f t="shared" si="116"/>
        <v>20139.84</v>
      </c>
      <c r="AD1258">
        <f t="shared" si="117"/>
        <v>30</v>
      </c>
      <c r="AE1258">
        <f t="shared" si="118"/>
        <v>5958.02</v>
      </c>
      <c r="AF1258" t="str">
        <f t="shared" si="119"/>
        <v>Paid</v>
      </c>
    </row>
    <row r="1259" spans="1:32" ht="17.25" thickBot="1" x14ac:dyDescent="0.35">
      <c r="A1259" s="2" t="s">
        <v>8533</v>
      </c>
      <c r="B1259" s="2" t="s">
        <v>27</v>
      </c>
      <c r="C1259" s="2" t="s">
        <v>28</v>
      </c>
      <c r="D1259" s="2" t="s">
        <v>97</v>
      </c>
      <c r="E1259" s="2" t="s">
        <v>8444</v>
      </c>
      <c r="F1259" s="2" t="s">
        <v>8445</v>
      </c>
      <c r="G1259" s="2" t="s">
        <v>32</v>
      </c>
      <c r="H1259" s="1"/>
      <c r="I1259" s="2" t="s">
        <v>33</v>
      </c>
      <c r="J1259" s="2" t="s">
        <v>34</v>
      </c>
      <c r="K1259" s="2" t="s">
        <v>8534</v>
      </c>
      <c r="L1259" s="2" t="s">
        <v>8535</v>
      </c>
      <c r="M1259" s="2" t="s">
        <v>7717</v>
      </c>
      <c r="N1259" s="2" t="s">
        <v>38</v>
      </c>
      <c r="O1259" s="2" t="s">
        <v>156</v>
      </c>
      <c r="P1259" s="2" t="s">
        <v>8536</v>
      </c>
      <c r="Q1259" s="2" t="s">
        <v>8537</v>
      </c>
      <c r="R1259" s="2" t="s">
        <v>40</v>
      </c>
      <c r="S1259" s="2" t="s">
        <v>8538</v>
      </c>
      <c r="T1259" s="2" t="s">
        <v>107</v>
      </c>
      <c r="U1259" s="2" t="s">
        <v>8539</v>
      </c>
      <c r="V1259" s="2" t="s">
        <v>8540</v>
      </c>
      <c r="W1259" s="1"/>
      <c r="X1259" s="2" t="s">
        <v>7547</v>
      </c>
      <c r="Y1259" s="2" t="s">
        <v>8451</v>
      </c>
      <c r="AA1259" t="str">
        <f t="shared" si="114"/>
        <v>2026-02</v>
      </c>
      <c r="AB1259" t="str">
        <f t="shared" si="115"/>
        <v>H1_2026</v>
      </c>
      <c r="AC1259">
        <f t="shared" si="116"/>
        <v>159720.12</v>
      </c>
      <c r="AD1259">
        <f t="shared" si="117"/>
        <v>20</v>
      </c>
      <c r="AE1259">
        <f t="shared" si="118"/>
        <v>47720.12</v>
      </c>
      <c r="AF1259" t="str">
        <f t="shared" si="119"/>
        <v>Paid</v>
      </c>
    </row>
    <row r="1260" spans="1:32" ht="17.25" thickBot="1" x14ac:dyDescent="0.35">
      <c r="A1260" s="2" t="s">
        <v>8541</v>
      </c>
      <c r="B1260" s="2" t="s">
        <v>27</v>
      </c>
      <c r="C1260" s="2" t="s">
        <v>28</v>
      </c>
      <c r="D1260" s="2" t="s">
        <v>97</v>
      </c>
      <c r="E1260" s="2" t="s">
        <v>8444</v>
      </c>
      <c r="F1260" s="2" t="s">
        <v>8445</v>
      </c>
      <c r="G1260" s="2" t="s">
        <v>32</v>
      </c>
      <c r="H1260" s="1"/>
      <c r="I1260" s="2" t="s">
        <v>33</v>
      </c>
      <c r="J1260" s="2" t="s">
        <v>34</v>
      </c>
      <c r="K1260" s="2" t="s">
        <v>8542</v>
      </c>
      <c r="L1260" s="2" t="s">
        <v>8543</v>
      </c>
      <c r="M1260" s="2" t="s">
        <v>7717</v>
      </c>
      <c r="N1260" s="2" t="s">
        <v>38</v>
      </c>
      <c r="O1260" s="2" t="s">
        <v>391</v>
      </c>
      <c r="P1260" s="2" t="s">
        <v>8528</v>
      </c>
      <c r="Q1260" s="2" t="s">
        <v>8544</v>
      </c>
      <c r="R1260" s="2" t="s">
        <v>40</v>
      </c>
      <c r="S1260" s="2" t="s">
        <v>8545</v>
      </c>
      <c r="T1260" s="2" t="s">
        <v>8546</v>
      </c>
      <c r="U1260" s="2" t="s">
        <v>2446</v>
      </c>
      <c r="V1260" s="2" t="s">
        <v>8547</v>
      </c>
      <c r="W1260" s="1"/>
      <c r="X1260" s="2" t="s">
        <v>8548</v>
      </c>
      <c r="Y1260" s="2" t="s">
        <v>8451</v>
      </c>
      <c r="AA1260" t="str">
        <f t="shared" si="114"/>
        <v>2026-02</v>
      </c>
      <c r="AB1260" t="str">
        <f t="shared" si="115"/>
        <v>H1_2026</v>
      </c>
      <c r="AC1260">
        <f t="shared" si="116"/>
        <v>40279.68</v>
      </c>
      <c r="AD1260">
        <f t="shared" si="117"/>
        <v>60</v>
      </c>
      <c r="AE1260">
        <f t="shared" si="118"/>
        <v>16279.68</v>
      </c>
      <c r="AF1260" t="str">
        <f t="shared" si="119"/>
        <v>Paid</v>
      </c>
    </row>
    <row r="1261" spans="1:32" ht="17.25" thickBot="1" x14ac:dyDescent="0.35">
      <c r="A1261" s="2" t="s">
        <v>8549</v>
      </c>
      <c r="B1261" s="2" t="s">
        <v>27</v>
      </c>
      <c r="C1261" s="2" t="s">
        <v>28</v>
      </c>
      <c r="D1261" s="2" t="s">
        <v>97</v>
      </c>
      <c r="E1261" s="2" t="s">
        <v>8444</v>
      </c>
      <c r="F1261" s="2" t="s">
        <v>8445</v>
      </c>
      <c r="G1261" s="2" t="s">
        <v>32</v>
      </c>
      <c r="H1261" s="1"/>
      <c r="I1261" s="2" t="s">
        <v>33</v>
      </c>
      <c r="J1261" s="2" t="s">
        <v>34</v>
      </c>
      <c r="K1261" s="2" t="s">
        <v>8550</v>
      </c>
      <c r="L1261" s="2" t="s">
        <v>8551</v>
      </c>
      <c r="M1261" s="2" t="s">
        <v>7717</v>
      </c>
      <c r="N1261" s="2" t="s">
        <v>38</v>
      </c>
      <c r="O1261" s="2" t="s">
        <v>63</v>
      </c>
      <c r="P1261" s="2" t="s">
        <v>7206</v>
      </c>
      <c r="Q1261" s="2" t="s">
        <v>8552</v>
      </c>
      <c r="R1261" s="2" t="s">
        <v>40</v>
      </c>
      <c r="S1261" s="2" t="s">
        <v>8553</v>
      </c>
      <c r="T1261" s="2" t="s">
        <v>8554</v>
      </c>
      <c r="U1261" s="2" t="s">
        <v>8555</v>
      </c>
      <c r="V1261" s="2" t="s">
        <v>8556</v>
      </c>
      <c r="W1261" s="1"/>
      <c r="X1261" s="2" t="s">
        <v>8557</v>
      </c>
      <c r="Y1261" s="2" t="s">
        <v>8451</v>
      </c>
      <c r="AA1261" t="str">
        <f t="shared" si="114"/>
        <v>2026-02</v>
      </c>
      <c r="AB1261" t="str">
        <f t="shared" si="115"/>
        <v>H1_2026</v>
      </c>
      <c r="AC1261">
        <f t="shared" si="116"/>
        <v>51594.35</v>
      </c>
      <c r="AD1261">
        <f t="shared" si="117"/>
        <v>7</v>
      </c>
      <c r="AE1261">
        <f t="shared" si="118"/>
        <v>21971.63</v>
      </c>
      <c r="AF1261" t="str">
        <f t="shared" si="119"/>
        <v>Paid</v>
      </c>
    </row>
    <row r="1262" spans="1:32" ht="27.75" thickBot="1" x14ac:dyDescent="0.35">
      <c r="A1262" s="2" t="s">
        <v>8558</v>
      </c>
      <c r="B1262" s="2" t="s">
        <v>27</v>
      </c>
      <c r="C1262" s="2" t="s">
        <v>28</v>
      </c>
      <c r="D1262" s="2" t="s">
        <v>97</v>
      </c>
      <c r="E1262" s="2" t="s">
        <v>8444</v>
      </c>
      <c r="F1262" s="2" t="s">
        <v>8445</v>
      </c>
      <c r="G1262" s="2" t="s">
        <v>32</v>
      </c>
      <c r="H1262" s="1"/>
      <c r="I1262" s="2" t="s">
        <v>33</v>
      </c>
      <c r="J1262" s="2" t="s">
        <v>34</v>
      </c>
      <c r="K1262" s="2" t="s">
        <v>8559</v>
      </c>
      <c r="L1262" s="2" t="s">
        <v>8560</v>
      </c>
      <c r="M1262" s="2" t="s">
        <v>7717</v>
      </c>
      <c r="N1262" s="2" t="s">
        <v>38</v>
      </c>
      <c r="O1262" s="2" t="s">
        <v>156</v>
      </c>
      <c r="P1262" s="2" t="s">
        <v>8561</v>
      </c>
      <c r="Q1262" s="2" t="s">
        <v>8562</v>
      </c>
      <c r="R1262" s="2" t="s">
        <v>40</v>
      </c>
      <c r="S1262" s="2" t="s">
        <v>8563</v>
      </c>
      <c r="T1262" s="2" t="s">
        <v>8564</v>
      </c>
      <c r="U1262" s="2" t="s">
        <v>8565</v>
      </c>
      <c r="V1262" s="2" t="s">
        <v>8566</v>
      </c>
      <c r="W1262" s="1"/>
      <c r="X1262" s="2" t="s">
        <v>3176</v>
      </c>
      <c r="Y1262" s="2" t="s">
        <v>8451</v>
      </c>
      <c r="AA1262" t="str">
        <f t="shared" si="114"/>
        <v>2026-02</v>
      </c>
      <c r="AB1262" t="str">
        <f t="shared" si="115"/>
        <v>H1_2026</v>
      </c>
      <c r="AC1262">
        <f t="shared" si="116"/>
        <v>291188.52</v>
      </c>
      <c r="AD1262">
        <f t="shared" si="117"/>
        <v>20</v>
      </c>
      <c r="AE1262">
        <f t="shared" si="118"/>
        <v>51915.79</v>
      </c>
      <c r="AF1262" t="str">
        <f t="shared" si="119"/>
        <v>Paid</v>
      </c>
    </row>
    <row r="1263" spans="1:32" ht="27.75" thickBot="1" x14ac:dyDescent="0.35">
      <c r="A1263" s="2" t="s">
        <v>8567</v>
      </c>
      <c r="B1263" s="2" t="s">
        <v>27</v>
      </c>
      <c r="C1263" s="2" t="s">
        <v>28</v>
      </c>
      <c r="D1263" s="2" t="s">
        <v>97</v>
      </c>
      <c r="E1263" s="2" t="s">
        <v>8444</v>
      </c>
      <c r="F1263" s="2" t="s">
        <v>8445</v>
      </c>
      <c r="G1263" s="2" t="s">
        <v>32</v>
      </c>
      <c r="H1263" s="1"/>
      <c r="I1263" s="2" t="s">
        <v>33</v>
      </c>
      <c r="J1263" s="2" t="s">
        <v>34</v>
      </c>
      <c r="K1263" s="2" t="s">
        <v>2288</v>
      </c>
      <c r="L1263" s="2" t="s">
        <v>2289</v>
      </c>
      <c r="M1263" s="2" t="s">
        <v>2270</v>
      </c>
      <c r="N1263" s="2" t="s">
        <v>38</v>
      </c>
      <c r="O1263" s="2" t="s">
        <v>466</v>
      </c>
      <c r="P1263" s="2" t="s">
        <v>8568</v>
      </c>
      <c r="Q1263" s="2" t="s">
        <v>8569</v>
      </c>
      <c r="R1263" s="2" t="s">
        <v>40</v>
      </c>
      <c r="S1263" s="2" t="s">
        <v>8570</v>
      </c>
      <c r="T1263" s="2" t="s">
        <v>2275</v>
      </c>
      <c r="U1263" s="2" t="s">
        <v>1729</v>
      </c>
      <c r="V1263" s="2" t="s">
        <v>8571</v>
      </c>
      <c r="W1263" s="1"/>
      <c r="X1263" s="2" t="s">
        <v>5030</v>
      </c>
      <c r="Y1263" s="2" t="s">
        <v>8451</v>
      </c>
      <c r="AA1263" t="str">
        <f t="shared" si="114"/>
        <v>2026-02</v>
      </c>
      <c r="AB1263" t="str">
        <f t="shared" si="115"/>
        <v>H1_2026</v>
      </c>
      <c r="AC1263">
        <f t="shared" si="116"/>
        <v>389649.96</v>
      </c>
      <c r="AD1263">
        <f t="shared" si="117"/>
        <v>70</v>
      </c>
      <c r="AE1263">
        <f t="shared" si="118"/>
        <v>74649.960000000006</v>
      </c>
      <c r="AF1263" t="str">
        <f t="shared" si="119"/>
        <v>Paid</v>
      </c>
    </row>
    <row r="1264" spans="1:32" ht="27.75" thickBot="1" x14ac:dyDescent="0.35">
      <c r="A1264" s="2" t="s">
        <v>8572</v>
      </c>
      <c r="B1264" s="2" t="s">
        <v>27</v>
      </c>
      <c r="C1264" s="2" t="s">
        <v>28</v>
      </c>
      <c r="D1264" s="2" t="s">
        <v>97</v>
      </c>
      <c r="E1264" s="2" t="s">
        <v>8444</v>
      </c>
      <c r="F1264" s="2" t="s">
        <v>8445</v>
      </c>
      <c r="G1264" s="2" t="s">
        <v>32</v>
      </c>
      <c r="H1264" s="1"/>
      <c r="I1264" s="2" t="s">
        <v>33</v>
      </c>
      <c r="J1264" s="2" t="s">
        <v>34</v>
      </c>
      <c r="K1264" s="2" t="s">
        <v>8573</v>
      </c>
      <c r="L1264" s="2" t="s">
        <v>8574</v>
      </c>
      <c r="M1264" s="2" t="s">
        <v>2270</v>
      </c>
      <c r="N1264" s="2" t="s">
        <v>38</v>
      </c>
      <c r="O1264" s="2" t="s">
        <v>1113</v>
      </c>
      <c r="P1264" s="2" t="s">
        <v>2442</v>
      </c>
      <c r="Q1264" s="2" t="s">
        <v>8575</v>
      </c>
      <c r="R1264" s="2" t="s">
        <v>40</v>
      </c>
      <c r="S1264" s="2" t="s">
        <v>8576</v>
      </c>
      <c r="T1264" s="2" t="s">
        <v>3163</v>
      </c>
      <c r="U1264" s="2" t="s">
        <v>8577</v>
      </c>
      <c r="V1264" s="2" t="s">
        <v>8578</v>
      </c>
      <c r="W1264" s="1"/>
      <c r="X1264" s="2" t="s">
        <v>2104</v>
      </c>
      <c r="Y1264" s="2" t="s">
        <v>8451</v>
      </c>
      <c r="AA1264" t="str">
        <f t="shared" si="114"/>
        <v>2026-02</v>
      </c>
      <c r="AB1264" t="str">
        <f t="shared" si="115"/>
        <v>H1_2026</v>
      </c>
      <c r="AC1264">
        <f t="shared" si="116"/>
        <v>3375940.68</v>
      </c>
      <c r="AD1264">
        <f t="shared" si="117"/>
        <v>540</v>
      </c>
      <c r="AE1264">
        <f t="shared" si="118"/>
        <v>675940.68</v>
      </c>
      <c r="AF1264" t="str">
        <f t="shared" si="119"/>
        <v>Paid</v>
      </c>
    </row>
    <row r="1265" spans="1:32" ht="17.25" thickBot="1" x14ac:dyDescent="0.35">
      <c r="A1265" s="2" t="s">
        <v>8579</v>
      </c>
      <c r="B1265" s="2" t="s">
        <v>27</v>
      </c>
      <c r="C1265" s="2" t="s">
        <v>28</v>
      </c>
      <c r="D1265" s="2" t="s">
        <v>97</v>
      </c>
      <c r="E1265" s="2" t="s">
        <v>8444</v>
      </c>
      <c r="F1265" s="2" t="s">
        <v>8445</v>
      </c>
      <c r="G1265" s="2" t="s">
        <v>32</v>
      </c>
      <c r="H1265" s="1"/>
      <c r="I1265" s="2" t="s">
        <v>33</v>
      </c>
      <c r="J1265" s="2" t="s">
        <v>34</v>
      </c>
      <c r="K1265" s="2" t="s">
        <v>2300</v>
      </c>
      <c r="L1265" s="2" t="s">
        <v>2301</v>
      </c>
      <c r="M1265" s="2" t="s">
        <v>2270</v>
      </c>
      <c r="N1265" s="2" t="s">
        <v>38</v>
      </c>
      <c r="O1265" s="2" t="s">
        <v>977</v>
      </c>
      <c r="P1265" s="2" t="s">
        <v>8568</v>
      </c>
      <c r="Q1265" s="2" t="s">
        <v>8580</v>
      </c>
      <c r="R1265" s="2" t="s">
        <v>40</v>
      </c>
      <c r="S1265" s="2" t="s">
        <v>8581</v>
      </c>
      <c r="T1265" s="2" t="s">
        <v>2275</v>
      </c>
      <c r="U1265" s="2" t="s">
        <v>1619</v>
      </c>
      <c r="V1265" s="2" t="s">
        <v>8582</v>
      </c>
      <c r="W1265" s="1"/>
      <c r="X1265" s="2" t="s">
        <v>5030</v>
      </c>
      <c r="Y1265" s="2" t="s">
        <v>8451</v>
      </c>
      <c r="AA1265" t="str">
        <f t="shared" si="114"/>
        <v>2026-02</v>
      </c>
      <c r="AB1265" t="str">
        <f t="shared" si="115"/>
        <v>H1_2026</v>
      </c>
      <c r="AC1265">
        <f t="shared" si="116"/>
        <v>612307.07999999996</v>
      </c>
      <c r="AD1265">
        <f t="shared" si="117"/>
        <v>110</v>
      </c>
      <c r="AE1265">
        <f t="shared" si="118"/>
        <v>117307.08</v>
      </c>
      <c r="AF1265" t="str">
        <f t="shared" si="119"/>
        <v>Paid</v>
      </c>
    </row>
    <row r="1266" spans="1:32" ht="17.25" thickBot="1" x14ac:dyDescent="0.35">
      <c r="A1266" s="2" t="s">
        <v>8583</v>
      </c>
      <c r="B1266" s="2" t="s">
        <v>27</v>
      </c>
      <c r="C1266" s="2" t="s">
        <v>28</v>
      </c>
      <c r="D1266" s="2" t="s">
        <v>97</v>
      </c>
      <c r="E1266" s="2" t="s">
        <v>8444</v>
      </c>
      <c r="F1266" s="2" t="s">
        <v>8445</v>
      </c>
      <c r="G1266" s="2" t="s">
        <v>32</v>
      </c>
      <c r="H1266" s="1"/>
      <c r="I1266" s="2" t="s">
        <v>33</v>
      </c>
      <c r="J1266" s="2" t="s">
        <v>34</v>
      </c>
      <c r="K1266" s="2" t="s">
        <v>6980</v>
      </c>
      <c r="L1266" s="2" t="s">
        <v>6981</v>
      </c>
      <c r="M1266" s="2" t="s">
        <v>2372</v>
      </c>
      <c r="N1266" s="2" t="s">
        <v>38</v>
      </c>
      <c r="O1266" s="2" t="s">
        <v>79</v>
      </c>
      <c r="P1266" s="2" t="s">
        <v>5139</v>
      </c>
      <c r="Q1266" s="2" t="s">
        <v>8584</v>
      </c>
      <c r="R1266" s="2" t="s">
        <v>40</v>
      </c>
      <c r="S1266" s="2" t="s">
        <v>8585</v>
      </c>
      <c r="T1266" s="2" t="s">
        <v>2376</v>
      </c>
      <c r="U1266" s="2" t="s">
        <v>6984</v>
      </c>
      <c r="V1266" s="2" t="s">
        <v>8586</v>
      </c>
      <c r="W1266" s="1"/>
      <c r="X1266" s="2" t="s">
        <v>965</v>
      </c>
      <c r="Y1266" s="2" t="s">
        <v>8451</v>
      </c>
      <c r="AA1266" t="str">
        <f t="shared" si="114"/>
        <v>2026-02</v>
      </c>
      <c r="AB1266" t="str">
        <f t="shared" si="115"/>
        <v>H1_2026</v>
      </c>
      <c r="AC1266">
        <f t="shared" si="116"/>
        <v>105594.3</v>
      </c>
      <c r="AD1266">
        <f t="shared" si="117"/>
        <v>10</v>
      </c>
      <c r="AE1266">
        <f t="shared" si="118"/>
        <v>27048.85</v>
      </c>
      <c r="AF1266" t="str">
        <f t="shared" si="119"/>
        <v>Paid</v>
      </c>
    </row>
    <row r="1267" spans="1:32" ht="17.25" thickBot="1" x14ac:dyDescent="0.35">
      <c r="A1267" s="2" t="s">
        <v>8587</v>
      </c>
      <c r="B1267" s="2" t="s">
        <v>27</v>
      </c>
      <c r="C1267" s="2" t="s">
        <v>28</v>
      </c>
      <c r="D1267" s="2" t="s">
        <v>97</v>
      </c>
      <c r="E1267" s="2" t="s">
        <v>8444</v>
      </c>
      <c r="F1267" s="2" t="s">
        <v>8445</v>
      </c>
      <c r="G1267" s="2" t="s">
        <v>32</v>
      </c>
      <c r="H1267" s="1"/>
      <c r="I1267" s="2" t="s">
        <v>33</v>
      </c>
      <c r="J1267" s="2" t="s">
        <v>34</v>
      </c>
      <c r="K1267" s="2" t="s">
        <v>8588</v>
      </c>
      <c r="L1267" s="2" t="s">
        <v>8589</v>
      </c>
      <c r="M1267" s="2" t="s">
        <v>2372</v>
      </c>
      <c r="N1267" s="2" t="s">
        <v>38</v>
      </c>
      <c r="O1267" s="2" t="s">
        <v>156</v>
      </c>
      <c r="P1267" s="2" t="s">
        <v>8590</v>
      </c>
      <c r="Q1267" s="2" t="s">
        <v>8591</v>
      </c>
      <c r="R1267" s="2" t="s">
        <v>40</v>
      </c>
      <c r="S1267" s="2" t="s">
        <v>8592</v>
      </c>
      <c r="T1267" s="2" t="s">
        <v>3371</v>
      </c>
      <c r="U1267" s="2" t="s">
        <v>8593</v>
      </c>
      <c r="V1267" s="2" t="s">
        <v>8594</v>
      </c>
      <c r="W1267" s="1"/>
      <c r="X1267" s="2" t="s">
        <v>965</v>
      </c>
      <c r="Y1267" s="2" t="s">
        <v>8451</v>
      </c>
      <c r="AA1267" t="str">
        <f t="shared" si="114"/>
        <v>2026-02</v>
      </c>
      <c r="AB1267" t="str">
        <f t="shared" si="115"/>
        <v>H1_2026</v>
      </c>
      <c r="AC1267">
        <f t="shared" si="116"/>
        <v>281678.03999999998</v>
      </c>
      <c r="AD1267">
        <f t="shared" si="117"/>
        <v>20</v>
      </c>
      <c r="AE1267">
        <f t="shared" si="118"/>
        <v>72223.5</v>
      </c>
      <c r="AF1267" t="str">
        <f t="shared" si="119"/>
        <v>Paid</v>
      </c>
    </row>
    <row r="1268" spans="1:32" ht="17.25" thickBot="1" x14ac:dyDescent="0.35">
      <c r="A1268" s="2" t="s">
        <v>8595</v>
      </c>
      <c r="B1268" s="2" t="s">
        <v>27</v>
      </c>
      <c r="C1268" s="2" t="s">
        <v>28</v>
      </c>
      <c r="D1268" s="2" t="s">
        <v>97</v>
      </c>
      <c r="E1268" s="2" t="s">
        <v>8444</v>
      </c>
      <c r="F1268" s="2" t="s">
        <v>8445</v>
      </c>
      <c r="G1268" s="2" t="s">
        <v>32</v>
      </c>
      <c r="H1268" s="1"/>
      <c r="I1268" s="2" t="s">
        <v>33</v>
      </c>
      <c r="J1268" s="2" t="s">
        <v>34</v>
      </c>
      <c r="K1268" s="2" t="s">
        <v>2380</v>
      </c>
      <c r="L1268" s="2" t="s">
        <v>2381</v>
      </c>
      <c r="M1268" s="2" t="s">
        <v>2372</v>
      </c>
      <c r="N1268" s="2" t="s">
        <v>38</v>
      </c>
      <c r="O1268" s="2" t="s">
        <v>156</v>
      </c>
      <c r="P1268" s="2" t="s">
        <v>8596</v>
      </c>
      <c r="Q1268" s="2" t="s">
        <v>8597</v>
      </c>
      <c r="R1268" s="2" t="s">
        <v>40</v>
      </c>
      <c r="S1268" s="2" t="s">
        <v>8598</v>
      </c>
      <c r="T1268" s="2" t="s">
        <v>2383</v>
      </c>
      <c r="U1268" s="2" t="s">
        <v>8599</v>
      </c>
      <c r="V1268" s="2" t="s">
        <v>8600</v>
      </c>
      <c r="W1268" s="1"/>
      <c r="X1268" s="2" t="s">
        <v>965</v>
      </c>
      <c r="Y1268" s="2" t="s">
        <v>8451</v>
      </c>
      <c r="AA1268" t="str">
        <f t="shared" si="114"/>
        <v>2026-02</v>
      </c>
      <c r="AB1268" t="str">
        <f t="shared" si="115"/>
        <v>H1_2026</v>
      </c>
      <c r="AC1268">
        <f t="shared" si="116"/>
        <v>132027.84</v>
      </c>
      <c r="AD1268">
        <f t="shared" si="117"/>
        <v>20</v>
      </c>
      <c r="AE1268">
        <f t="shared" si="118"/>
        <v>33846.019999999997</v>
      </c>
      <c r="AF1268" t="str">
        <f t="shared" si="119"/>
        <v>Paid</v>
      </c>
    </row>
    <row r="1269" spans="1:32" ht="17.25" thickBot="1" x14ac:dyDescent="0.35">
      <c r="A1269" s="2" t="s">
        <v>8601</v>
      </c>
      <c r="B1269" s="2" t="s">
        <v>27</v>
      </c>
      <c r="C1269" s="2" t="s">
        <v>28</v>
      </c>
      <c r="D1269" s="2" t="s">
        <v>97</v>
      </c>
      <c r="E1269" s="2" t="s">
        <v>8444</v>
      </c>
      <c r="F1269" s="2" t="s">
        <v>8445</v>
      </c>
      <c r="G1269" s="2" t="s">
        <v>32</v>
      </c>
      <c r="H1269" s="1"/>
      <c r="I1269" s="2" t="s">
        <v>33</v>
      </c>
      <c r="J1269" s="2" t="s">
        <v>34</v>
      </c>
      <c r="K1269" s="2" t="s">
        <v>2387</v>
      </c>
      <c r="L1269" s="2" t="s">
        <v>2388</v>
      </c>
      <c r="M1269" s="2" t="s">
        <v>2389</v>
      </c>
      <c r="N1269" s="2" t="s">
        <v>38</v>
      </c>
      <c r="O1269" s="2" t="s">
        <v>391</v>
      </c>
      <c r="P1269" s="2" t="s">
        <v>8602</v>
      </c>
      <c r="Q1269" s="2" t="s">
        <v>8603</v>
      </c>
      <c r="R1269" s="2" t="s">
        <v>40</v>
      </c>
      <c r="S1269" s="2" t="s">
        <v>8604</v>
      </c>
      <c r="T1269" s="2" t="s">
        <v>2393</v>
      </c>
      <c r="U1269" s="2" t="s">
        <v>8605</v>
      </c>
      <c r="V1269" s="2" t="s">
        <v>8606</v>
      </c>
      <c r="W1269" s="1"/>
      <c r="X1269" s="2" t="s">
        <v>817</v>
      </c>
      <c r="Y1269" s="2" t="s">
        <v>8451</v>
      </c>
      <c r="AA1269" t="str">
        <f t="shared" si="114"/>
        <v>2026-02</v>
      </c>
      <c r="AB1269" t="str">
        <f t="shared" si="115"/>
        <v>H1_2026</v>
      </c>
      <c r="AC1269">
        <f t="shared" si="116"/>
        <v>245873.88</v>
      </c>
      <c r="AD1269">
        <f t="shared" si="117"/>
        <v>60</v>
      </c>
      <c r="AE1269">
        <f t="shared" si="118"/>
        <v>60419.34</v>
      </c>
      <c r="AF1269" t="str">
        <f t="shared" si="119"/>
        <v>Paid</v>
      </c>
    </row>
    <row r="1270" spans="1:32" ht="17.25" thickBot="1" x14ac:dyDescent="0.35">
      <c r="A1270" s="2" t="s">
        <v>8607</v>
      </c>
      <c r="B1270" s="2" t="s">
        <v>27</v>
      </c>
      <c r="C1270" s="2" t="s">
        <v>28</v>
      </c>
      <c r="D1270" s="2" t="s">
        <v>97</v>
      </c>
      <c r="E1270" s="2" t="s">
        <v>8444</v>
      </c>
      <c r="F1270" s="2" t="s">
        <v>8445</v>
      </c>
      <c r="G1270" s="2" t="s">
        <v>32</v>
      </c>
      <c r="H1270" s="1"/>
      <c r="I1270" s="2" t="s">
        <v>33</v>
      </c>
      <c r="J1270" s="2" t="s">
        <v>34</v>
      </c>
      <c r="K1270" s="2" t="s">
        <v>2396</v>
      </c>
      <c r="L1270" s="2" t="s">
        <v>2397</v>
      </c>
      <c r="M1270" s="2" t="s">
        <v>2389</v>
      </c>
      <c r="N1270" s="2" t="s">
        <v>38</v>
      </c>
      <c r="O1270" s="2" t="s">
        <v>156</v>
      </c>
      <c r="P1270" s="2" t="s">
        <v>4310</v>
      </c>
      <c r="Q1270" s="2" t="s">
        <v>8608</v>
      </c>
      <c r="R1270" s="2" t="s">
        <v>40</v>
      </c>
      <c r="S1270" s="2" t="s">
        <v>8609</v>
      </c>
      <c r="T1270" s="2" t="s">
        <v>2401</v>
      </c>
      <c r="U1270" s="2" t="s">
        <v>8610</v>
      </c>
      <c r="V1270" s="2" t="s">
        <v>8611</v>
      </c>
      <c r="W1270" s="1"/>
      <c r="X1270" s="2" t="s">
        <v>965</v>
      </c>
      <c r="Y1270" s="2" t="s">
        <v>8451</v>
      </c>
      <c r="AA1270" t="str">
        <f t="shared" si="114"/>
        <v>2026-02</v>
      </c>
      <c r="AB1270" t="str">
        <f t="shared" si="115"/>
        <v>H1_2026</v>
      </c>
      <c r="AC1270">
        <f t="shared" si="116"/>
        <v>185734.08</v>
      </c>
      <c r="AD1270">
        <f t="shared" si="117"/>
        <v>20</v>
      </c>
      <c r="AE1270">
        <f t="shared" si="118"/>
        <v>47534.080000000002</v>
      </c>
      <c r="AF1270" t="str">
        <f t="shared" si="119"/>
        <v>Paid</v>
      </c>
    </row>
    <row r="1271" spans="1:32" ht="17.25" thickBot="1" x14ac:dyDescent="0.35">
      <c r="A1271" s="2" t="s">
        <v>8612</v>
      </c>
      <c r="B1271" s="2" t="s">
        <v>27</v>
      </c>
      <c r="C1271" s="2" t="s">
        <v>28</v>
      </c>
      <c r="D1271" s="2" t="s">
        <v>97</v>
      </c>
      <c r="E1271" s="2" t="s">
        <v>8444</v>
      </c>
      <c r="F1271" s="2" t="s">
        <v>8445</v>
      </c>
      <c r="G1271" s="2" t="s">
        <v>32</v>
      </c>
      <c r="H1271" s="1"/>
      <c r="I1271" s="2" t="s">
        <v>33</v>
      </c>
      <c r="J1271" s="2" t="s">
        <v>34</v>
      </c>
      <c r="K1271" s="2" t="s">
        <v>2421</v>
      </c>
      <c r="L1271" s="2" t="s">
        <v>2422</v>
      </c>
      <c r="M1271" s="2" t="s">
        <v>2389</v>
      </c>
      <c r="N1271" s="2" t="s">
        <v>38</v>
      </c>
      <c r="O1271" s="2" t="s">
        <v>391</v>
      </c>
      <c r="P1271" s="2" t="s">
        <v>8613</v>
      </c>
      <c r="Q1271" s="2" t="s">
        <v>8614</v>
      </c>
      <c r="R1271" s="2" t="s">
        <v>40</v>
      </c>
      <c r="S1271" s="2" t="s">
        <v>8615</v>
      </c>
      <c r="T1271" s="2" t="s">
        <v>2426</v>
      </c>
      <c r="U1271" s="2" t="s">
        <v>8616</v>
      </c>
      <c r="V1271" s="2" t="s">
        <v>8617</v>
      </c>
      <c r="W1271" s="1"/>
      <c r="X1271" s="2" t="s">
        <v>934</v>
      </c>
      <c r="Y1271" s="2" t="s">
        <v>8451</v>
      </c>
      <c r="AA1271" t="str">
        <f t="shared" si="114"/>
        <v>2026-02</v>
      </c>
      <c r="AB1271" t="str">
        <f t="shared" si="115"/>
        <v>H1_2026</v>
      </c>
      <c r="AC1271">
        <f t="shared" si="116"/>
        <v>253426.32</v>
      </c>
      <c r="AD1271">
        <f t="shared" si="117"/>
        <v>60</v>
      </c>
      <c r="AE1271">
        <f t="shared" si="118"/>
        <v>61971.78</v>
      </c>
      <c r="AF1271" t="str">
        <f t="shared" si="119"/>
        <v>Paid</v>
      </c>
    </row>
    <row r="1272" spans="1:32" ht="17.25" thickBot="1" x14ac:dyDescent="0.35">
      <c r="A1272" s="2" t="s">
        <v>8618</v>
      </c>
      <c r="B1272" s="2" t="s">
        <v>27</v>
      </c>
      <c r="C1272" s="2" t="s">
        <v>28</v>
      </c>
      <c r="D1272" s="2" t="s">
        <v>97</v>
      </c>
      <c r="E1272" s="2" t="s">
        <v>8444</v>
      </c>
      <c r="F1272" s="2" t="s">
        <v>8445</v>
      </c>
      <c r="G1272" s="2" t="s">
        <v>32</v>
      </c>
      <c r="H1272" s="1"/>
      <c r="I1272" s="2" t="s">
        <v>33</v>
      </c>
      <c r="J1272" s="2" t="s">
        <v>34</v>
      </c>
      <c r="K1272" s="2" t="s">
        <v>2431</v>
      </c>
      <c r="L1272" s="2" t="s">
        <v>2432</v>
      </c>
      <c r="M1272" s="2" t="s">
        <v>2389</v>
      </c>
      <c r="N1272" s="2" t="s">
        <v>38</v>
      </c>
      <c r="O1272" s="2" t="s">
        <v>79</v>
      </c>
      <c r="P1272" s="2" t="s">
        <v>8619</v>
      </c>
      <c r="Q1272" s="2" t="s">
        <v>8620</v>
      </c>
      <c r="R1272" s="2" t="s">
        <v>40</v>
      </c>
      <c r="S1272" s="2" t="s">
        <v>8621</v>
      </c>
      <c r="T1272" s="2" t="s">
        <v>2436</v>
      </c>
      <c r="U1272" s="2" t="s">
        <v>8622</v>
      </c>
      <c r="V1272" s="2" t="s">
        <v>8623</v>
      </c>
      <c r="W1272" s="1"/>
      <c r="X1272" s="2" t="s">
        <v>1091</v>
      </c>
      <c r="Y1272" s="2" t="s">
        <v>8451</v>
      </c>
      <c r="AA1272" t="str">
        <f t="shared" si="114"/>
        <v>2026-02</v>
      </c>
      <c r="AB1272" t="str">
        <f t="shared" si="115"/>
        <v>H1_2026</v>
      </c>
      <c r="AC1272">
        <f t="shared" si="116"/>
        <v>78741.179999999993</v>
      </c>
      <c r="AD1272">
        <f t="shared" si="117"/>
        <v>10</v>
      </c>
      <c r="AE1272">
        <f t="shared" si="118"/>
        <v>19877.54</v>
      </c>
      <c r="AF1272" t="str">
        <f t="shared" si="119"/>
        <v>Paid</v>
      </c>
    </row>
    <row r="1273" spans="1:32" ht="17.25" thickBot="1" x14ac:dyDescent="0.35">
      <c r="A1273" s="2" t="s">
        <v>8624</v>
      </c>
      <c r="B1273" s="2" t="s">
        <v>27</v>
      </c>
      <c r="C1273" s="2" t="s">
        <v>28</v>
      </c>
      <c r="D1273" s="2" t="s">
        <v>97</v>
      </c>
      <c r="E1273" s="2" t="s">
        <v>8444</v>
      </c>
      <c r="F1273" s="2" t="s">
        <v>8445</v>
      </c>
      <c r="G1273" s="2" t="s">
        <v>32</v>
      </c>
      <c r="H1273" s="1"/>
      <c r="I1273" s="2" t="s">
        <v>33</v>
      </c>
      <c r="J1273" s="2" t="s">
        <v>34</v>
      </c>
      <c r="K1273" s="2" t="s">
        <v>2459</v>
      </c>
      <c r="L1273" s="2" t="s">
        <v>2460</v>
      </c>
      <c r="M1273" s="2" t="s">
        <v>2389</v>
      </c>
      <c r="N1273" s="2" t="s">
        <v>38</v>
      </c>
      <c r="O1273" s="2" t="s">
        <v>391</v>
      </c>
      <c r="P1273" s="2" t="s">
        <v>8625</v>
      </c>
      <c r="Q1273" s="2" t="s">
        <v>8626</v>
      </c>
      <c r="R1273" s="2" t="s">
        <v>40</v>
      </c>
      <c r="S1273" s="2" t="s">
        <v>8627</v>
      </c>
      <c r="T1273" s="2" t="s">
        <v>2464</v>
      </c>
      <c r="U1273" s="2" t="s">
        <v>8628</v>
      </c>
      <c r="V1273" s="2" t="s">
        <v>8629</v>
      </c>
      <c r="W1273" s="1"/>
      <c r="X1273" s="2" t="s">
        <v>201</v>
      </c>
      <c r="Y1273" s="2" t="s">
        <v>8451</v>
      </c>
      <c r="AA1273" t="str">
        <f t="shared" si="114"/>
        <v>2026-02</v>
      </c>
      <c r="AB1273" t="str">
        <f t="shared" si="115"/>
        <v>H1_2026</v>
      </c>
      <c r="AC1273">
        <f t="shared" si="116"/>
        <v>151048.79999999999</v>
      </c>
      <c r="AD1273">
        <f t="shared" si="117"/>
        <v>60</v>
      </c>
      <c r="AE1273">
        <f t="shared" si="118"/>
        <v>36503.35</v>
      </c>
      <c r="AF1273" t="str">
        <f t="shared" si="119"/>
        <v>Paid</v>
      </c>
    </row>
    <row r="1274" spans="1:32" ht="27.75" thickBot="1" x14ac:dyDescent="0.35">
      <c r="A1274" s="2" t="s">
        <v>8630</v>
      </c>
      <c r="B1274" s="2" t="s">
        <v>27</v>
      </c>
      <c r="C1274" s="2" t="s">
        <v>28</v>
      </c>
      <c r="D1274" s="2" t="s">
        <v>97</v>
      </c>
      <c r="E1274" s="2" t="s">
        <v>8444</v>
      </c>
      <c r="F1274" s="2" t="s">
        <v>8445</v>
      </c>
      <c r="G1274" s="2" t="s">
        <v>32</v>
      </c>
      <c r="H1274" s="1"/>
      <c r="I1274" s="2" t="s">
        <v>33</v>
      </c>
      <c r="J1274" s="2" t="s">
        <v>34</v>
      </c>
      <c r="K1274" s="2" t="s">
        <v>2501</v>
      </c>
      <c r="L1274" s="2" t="s">
        <v>2502</v>
      </c>
      <c r="M1274" s="2" t="s">
        <v>2389</v>
      </c>
      <c r="N1274" s="2" t="s">
        <v>38</v>
      </c>
      <c r="O1274" s="2" t="s">
        <v>141</v>
      </c>
      <c r="P1274" s="2" t="s">
        <v>8631</v>
      </c>
      <c r="Q1274" s="2" t="s">
        <v>8632</v>
      </c>
      <c r="R1274" s="2" t="s">
        <v>40</v>
      </c>
      <c r="S1274" s="2" t="s">
        <v>8633</v>
      </c>
      <c r="T1274" s="2" t="s">
        <v>2505</v>
      </c>
      <c r="U1274" s="2" t="s">
        <v>8634</v>
      </c>
      <c r="V1274" s="2" t="s">
        <v>8635</v>
      </c>
      <c r="W1274" s="1"/>
      <c r="X1274" s="2" t="s">
        <v>817</v>
      </c>
      <c r="Y1274" s="2" t="s">
        <v>8451</v>
      </c>
      <c r="AA1274" t="str">
        <f t="shared" si="114"/>
        <v>2026-02</v>
      </c>
      <c r="AB1274" t="str">
        <f t="shared" si="115"/>
        <v>H1_2026</v>
      </c>
      <c r="AC1274">
        <f t="shared" si="116"/>
        <v>319719.96000000002</v>
      </c>
      <c r="AD1274">
        <f t="shared" si="117"/>
        <v>30</v>
      </c>
      <c r="AE1274">
        <f t="shared" si="118"/>
        <v>78629.05</v>
      </c>
      <c r="AF1274" t="str">
        <f t="shared" si="119"/>
        <v>Paid</v>
      </c>
    </row>
    <row r="1275" spans="1:32" ht="17.25" thickBot="1" x14ac:dyDescent="0.35">
      <c r="A1275" s="2" t="s">
        <v>8636</v>
      </c>
      <c r="B1275" s="2" t="s">
        <v>27</v>
      </c>
      <c r="C1275" s="2" t="s">
        <v>28</v>
      </c>
      <c r="D1275" s="2" t="s">
        <v>97</v>
      </c>
      <c r="E1275" s="2" t="s">
        <v>8444</v>
      </c>
      <c r="F1275" s="2" t="s">
        <v>8445</v>
      </c>
      <c r="G1275" s="2" t="s">
        <v>32</v>
      </c>
      <c r="H1275" s="1"/>
      <c r="I1275" s="2" t="s">
        <v>33</v>
      </c>
      <c r="J1275" s="2" t="s">
        <v>34</v>
      </c>
      <c r="K1275" s="2" t="s">
        <v>7814</v>
      </c>
      <c r="L1275" s="2" t="s">
        <v>7815</v>
      </c>
      <c r="M1275" s="2" t="s">
        <v>2389</v>
      </c>
      <c r="N1275" s="2" t="s">
        <v>38</v>
      </c>
      <c r="O1275" s="2" t="s">
        <v>214</v>
      </c>
      <c r="P1275" s="2" t="s">
        <v>8631</v>
      </c>
      <c r="Q1275" s="2" t="s">
        <v>8637</v>
      </c>
      <c r="R1275" s="2" t="s">
        <v>40</v>
      </c>
      <c r="S1275" s="2" t="s">
        <v>8638</v>
      </c>
      <c r="T1275" s="2" t="s">
        <v>2505</v>
      </c>
      <c r="U1275" s="2" t="s">
        <v>8639</v>
      </c>
      <c r="V1275" s="2" t="s">
        <v>8640</v>
      </c>
      <c r="W1275" s="1"/>
      <c r="X1275" s="2" t="s">
        <v>817</v>
      </c>
      <c r="Y1275" s="2" t="s">
        <v>8451</v>
      </c>
      <c r="AA1275" t="str">
        <f t="shared" si="114"/>
        <v>2026-02</v>
      </c>
      <c r="AB1275" t="str">
        <f t="shared" si="115"/>
        <v>H1_2026</v>
      </c>
      <c r="AC1275">
        <f t="shared" si="116"/>
        <v>532866.6</v>
      </c>
      <c r="AD1275">
        <f t="shared" si="117"/>
        <v>50</v>
      </c>
      <c r="AE1275">
        <f t="shared" si="118"/>
        <v>131048.42</v>
      </c>
      <c r="AF1275" t="str">
        <f t="shared" si="119"/>
        <v>Paid</v>
      </c>
    </row>
    <row r="1276" spans="1:32" ht="17.25" thickBot="1" x14ac:dyDescent="0.35">
      <c r="A1276" s="2" t="s">
        <v>8641</v>
      </c>
      <c r="B1276" s="2" t="s">
        <v>27</v>
      </c>
      <c r="C1276" s="2" t="s">
        <v>28</v>
      </c>
      <c r="D1276" s="2" t="s">
        <v>97</v>
      </c>
      <c r="E1276" s="2" t="s">
        <v>8444</v>
      </c>
      <c r="F1276" s="2" t="s">
        <v>8445</v>
      </c>
      <c r="G1276" s="2" t="s">
        <v>32</v>
      </c>
      <c r="H1276" s="1"/>
      <c r="I1276" s="2" t="s">
        <v>33</v>
      </c>
      <c r="J1276" s="2" t="s">
        <v>34</v>
      </c>
      <c r="K1276" s="2" t="s">
        <v>2509</v>
      </c>
      <c r="L1276" s="2" t="s">
        <v>2510</v>
      </c>
      <c r="M1276" s="2" t="s">
        <v>2389</v>
      </c>
      <c r="N1276" s="2" t="s">
        <v>38</v>
      </c>
      <c r="O1276" s="2" t="s">
        <v>141</v>
      </c>
      <c r="P1276" s="2" t="s">
        <v>5890</v>
      </c>
      <c r="Q1276" s="2" t="s">
        <v>8642</v>
      </c>
      <c r="R1276" s="2" t="s">
        <v>40</v>
      </c>
      <c r="S1276" s="2" t="s">
        <v>8643</v>
      </c>
      <c r="T1276" s="2" t="s">
        <v>2513</v>
      </c>
      <c r="U1276" s="2" t="s">
        <v>8644</v>
      </c>
      <c r="V1276" s="2" t="s">
        <v>8645</v>
      </c>
      <c r="W1276" s="1"/>
      <c r="X1276" s="2" t="s">
        <v>1437</v>
      </c>
      <c r="Y1276" s="2" t="s">
        <v>8451</v>
      </c>
      <c r="AA1276" t="str">
        <f t="shared" si="114"/>
        <v>2026-02</v>
      </c>
      <c r="AB1276" t="str">
        <f t="shared" si="115"/>
        <v>H1_2026</v>
      </c>
      <c r="AC1276">
        <f t="shared" si="116"/>
        <v>295384.32000000001</v>
      </c>
      <c r="AD1276">
        <f t="shared" si="117"/>
        <v>30</v>
      </c>
      <c r="AE1276">
        <f t="shared" si="118"/>
        <v>72838.87</v>
      </c>
      <c r="AF1276" t="str">
        <f t="shared" si="119"/>
        <v>Paid</v>
      </c>
    </row>
    <row r="1277" spans="1:32" ht="17.25" thickBot="1" x14ac:dyDescent="0.35">
      <c r="A1277" s="2" t="s">
        <v>8646</v>
      </c>
      <c r="B1277" s="2" t="s">
        <v>27</v>
      </c>
      <c r="C1277" s="2" t="s">
        <v>28</v>
      </c>
      <c r="D1277" s="2" t="s">
        <v>97</v>
      </c>
      <c r="E1277" s="2" t="s">
        <v>8444</v>
      </c>
      <c r="F1277" s="2" t="s">
        <v>8445</v>
      </c>
      <c r="G1277" s="2" t="s">
        <v>32</v>
      </c>
      <c r="H1277" s="1"/>
      <c r="I1277" s="2" t="s">
        <v>33</v>
      </c>
      <c r="J1277" s="2" t="s">
        <v>34</v>
      </c>
      <c r="K1277" s="2" t="s">
        <v>2517</v>
      </c>
      <c r="L1277" s="2" t="s">
        <v>2518</v>
      </c>
      <c r="M1277" s="2" t="s">
        <v>2389</v>
      </c>
      <c r="N1277" s="2" t="s">
        <v>38</v>
      </c>
      <c r="O1277" s="2" t="s">
        <v>214</v>
      </c>
      <c r="P1277" s="2" t="s">
        <v>8647</v>
      </c>
      <c r="Q1277" s="2" t="s">
        <v>8648</v>
      </c>
      <c r="R1277" s="2" t="s">
        <v>40</v>
      </c>
      <c r="S1277" s="2" t="s">
        <v>8649</v>
      </c>
      <c r="T1277" s="2" t="s">
        <v>2522</v>
      </c>
      <c r="U1277" s="2" t="s">
        <v>2523</v>
      </c>
      <c r="V1277" s="2" t="s">
        <v>8650</v>
      </c>
      <c r="W1277" s="1"/>
      <c r="X1277" s="2" t="s">
        <v>1375</v>
      </c>
      <c r="Y1277" s="2" t="s">
        <v>8451</v>
      </c>
      <c r="AA1277" t="str">
        <f t="shared" si="114"/>
        <v>2026-02</v>
      </c>
      <c r="AB1277" t="str">
        <f t="shared" si="115"/>
        <v>H1_2026</v>
      </c>
      <c r="AC1277">
        <f t="shared" si="116"/>
        <v>339859.8</v>
      </c>
      <c r="AD1277">
        <f t="shared" si="117"/>
        <v>50</v>
      </c>
      <c r="AE1277">
        <f t="shared" si="118"/>
        <v>84859.8</v>
      </c>
      <c r="AF1277" t="str">
        <f t="shared" si="119"/>
        <v>Paid</v>
      </c>
    </row>
    <row r="1278" spans="1:32" ht="17.25" thickBot="1" x14ac:dyDescent="0.35">
      <c r="A1278" s="2" t="s">
        <v>8651</v>
      </c>
      <c r="B1278" s="2" t="s">
        <v>27</v>
      </c>
      <c r="C1278" s="2" t="s">
        <v>28</v>
      </c>
      <c r="D1278" s="2" t="s">
        <v>97</v>
      </c>
      <c r="E1278" s="2" t="s">
        <v>8444</v>
      </c>
      <c r="F1278" s="2" t="s">
        <v>8445</v>
      </c>
      <c r="G1278" s="2" t="s">
        <v>32</v>
      </c>
      <c r="H1278" s="1"/>
      <c r="I1278" s="2" t="s">
        <v>33</v>
      </c>
      <c r="J1278" s="2" t="s">
        <v>34</v>
      </c>
      <c r="K1278" s="2" t="s">
        <v>2526</v>
      </c>
      <c r="L1278" s="2" t="s">
        <v>2527</v>
      </c>
      <c r="M1278" s="2" t="s">
        <v>2389</v>
      </c>
      <c r="N1278" s="2" t="s">
        <v>38</v>
      </c>
      <c r="O1278" s="2" t="s">
        <v>466</v>
      </c>
      <c r="P1278" s="2" t="s">
        <v>4284</v>
      </c>
      <c r="Q1278" s="2" t="s">
        <v>8652</v>
      </c>
      <c r="R1278" s="2" t="s">
        <v>40</v>
      </c>
      <c r="S1278" s="2" t="s">
        <v>8653</v>
      </c>
      <c r="T1278" s="2" t="s">
        <v>2531</v>
      </c>
      <c r="U1278" s="2" t="s">
        <v>8654</v>
      </c>
      <c r="V1278" s="2" t="s">
        <v>8655</v>
      </c>
      <c r="W1278" s="1"/>
      <c r="X1278" s="2" t="s">
        <v>1357</v>
      </c>
      <c r="Y1278" s="2" t="s">
        <v>8451</v>
      </c>
      <c r="AA1278" t="str">
        <f t="shared" si="114"/>
        <v>2026-02</v>
      </c>
      <c r="AB1278" t="str">
        <f t="shared" si="115"/>
        <v>H1_2026</v>
      </c>
      <c r="AC1278">
        <f t="shared" si="116"/>
        <v>708810.48</v>
      </c>
      <c r="AD1278">
        <f t="shared" si="117"/>
        <v>70</v>
      </c>
      <c r="AE1278">
        <f t="shared" si="118"/>
        <v>181901.39</v>
      </c>
      <c r="AF1278" t="str">
        <f t="shared" si="119"/>
        <v>Paid</v>
      </c>
    </row>
    <row r="1279" spans="1:32" ht="17.25" thickBot="1" x14ac:dyDescent="0.35">
      <c r="A1279" s="2" t="s">
        <v>8656</v>
      </c>
      <c r="B1279" s="2" t="s">
        <v>27</v>
      </c>
      <c r="C1279" s="2" t="s">
        <v>28</v>
      </c>
      <c r="D1279" s="2" t="s">
        <v>97</v>
      </c>
      <c r="E1279" s="2" t="s">
        <v>8444</v>
      </c>
      <c r="F1279" s="2" t="s">
        <v>8445</v>
      </c>
      <c r="G1279" s="2" t="s">
        <v>32</v>
      </c>
      <c r="H1279" s="1"/>
      <c r="I1279" s="2" t="s">
        <v>33</v>
      </c>
      <c r="J1279" s="2" t="s">
        <v>34</v>
      </c>
      <c r="K1279" s="2" t="s">
        <v>2553</v>
      </c>
      <c r="L1279" s="2" t="s">
        <v>2554</v>
      </c>
      <c r="M1279" s="2" t="s">
        <v>2389</v>
      </c>
      <c r="N1279" s="2" t="s">
        <v>38</v>
      </c>
      <c r="O1279" s="2" t="s">
        <v>156</v>
      </c>
      <c r="P1279" s="2" t="s">
        <v>5845</v>
      </c>
      <c r="Q1279" s="2" t="s">
        <v>8657</v>
      </c>
      <c r="R1279" s="2" t="s">
        <v>40</v>
      </c>
      <c r="S1279" s="2" t="s">
        <v>8658</v>
      </c>
      <c r="T1279" s="2" t="s">
        <v>2558</v>
      </c>
      <c r="U1279" s="2" t="s">
        <v>8659</v>
      </c>
      <c r="V1279" s="2" t="s">
        <v>8660</v>
      </c>
      <c r="W1279" s="1"/>
      <c r="X1279" s="2" t="s">
        <v>1764</v>
      </c>
      <c r="Y1279" s="2" t="s">
        <v>8451</v>
      </c>
      <c r="AA1279" t="str">
        <f t="shared" si="114"/>
        <v>2026-02</v>
      </c>
      <c r="AB1279" t="str">
        <f t="shared" si="115"/>
        <v>H1_2026</v>
      </c>
      <c r="AC1279">
        <f t="shared" si="116"/>
        <v>187132.68</v>
      </c>
      <c r="AD1279">
        <f t="shared" si="117"/>
        <v>20</v>
      </c>
      <c r="AE1279">
        <f t="shared" si="118"/>
        <v>47496.32</v>
      </c>
      <c r="AF1279" t="str">
        <f t="shared" si="119"/>
        <v>Paid</v>
      </c>
    </row>
    <row r="1280" spans="1:32" ht="27.75" thickBot="1" x14ac:dyDescent="0.35">
      <c r="A1280" s="2" t="s">
        <v>8661</v>
      </c>
      <c r="B1280" s="2" t="s">
        <v>27</v>
      </c>
      <c r="C1280" s="2" t="s">
        <v>28</v>
      </c>
      <c r="D1280" s="2" t="s">
        <v>97</v>
      </c>
      <c r="E1280" s="2" t="s">
        <v>8444</v>
      </c>
      <c r="F1280" s="2" t="s">
        <v>8445</v>
      </c>
      <c r="G1280" s="2" t="s">
        <v>32</v>
      </c>
      <c r="H1280" s="1"/>
      <c r="I1280" s="2" t="s">
        <v>33</v>
      </c>
      <c r="J1280" s="2" t="s">
        <v>34</v>
      </c>
      <c r="K1280" s="2" t="s">
        <v>8662</v>
      </c>
      <c r="L1280" s="2" t="s">
        <v>8663</v>
      </c>
      <c r="M1280" s="2" t="s">
        <v>8664</v>
      </c>
      <c r="N1280" s="2" t="s">
        <v>38</v>
      </c>
      <c r="O1280" s="2" t="s">
        <v>159</v>
      </c>
      <c r="P1280" s="2" t="s">
        <v>1768</v>
      </c>
      <c r="Q1280" s="2" t="s">
        <v>8665</v>
      </c>
      <c r="R1280" s="2" t="s">
        <v>40</v>
      </c>
      <c r="S1280" s="2" t="s">
        <v>8666</v>
      </c>
      <c r="T1280" s="2" t="s">
        <v>8667</v>
      </c>
      <c r="U1280" s="2" t="s">
        <v>8668</v>
      </c>
      <c r="V1280" s="2" t="s">
        <v>8669</v>
      </c>
      <c r="W1280" s="1"/>
      <c r="X1280" s="2" t="s">
        <v>201</v>
      </c>
      <c r="Y1280" s="2" t="s">
        <v>8451</v>
      </c>
      <c r="AA1280" t="str">
        <f t="shared" si="114"/>
        <v>2026-02</v>
      </c>
      <c r="AB1280" t="str">
        <f t="shared" si="115"/>
        <v>H1_2026</v>
      </c>
      <c r="AC1280">
        <f t="shared" si="116"/>
        <v>479999.52</v>
      </c>
      <c r="AD1280">
        <f t="shared" si="117"/>
        <v>80</v>
      </c>
      <c r="AE1280">
        <f t="shared" si="118"/>
        <v>116363.16</v>
      </c>
      <c r="AF1280" t="str">
        <f t="shared" si="119"/>
        <v>Paid</v>
      </c>
    </row>
    <row r="1281" spans="1:32" ht="17.25" thickBot="1" x14ac:dyDescent="0.35">
      <c r="A1281" s="2" t="s">
        <v>8670</v>
      </c>
      <c r="B1281" s="2" t="s">
        <v>27</v>
      </c>
      <c r="C1281" s="2" t="s">
        <v>28</v>
      </c>
      <c r="D1281" s="2" t="s">
        <v>97</v>
      </c>
      <c r="E1281" s="2" t="s">
        <v>8444</v>
      </c>
      <c r="F1281" s="2" t="s">
        <v>8445</v>
      </c>
      <c r="G1281" s="2" t="s">
        <v>32</v>
      </c>
      <c r="H1281" s="1"/>
      <c r="I1281" s="2" t="s">
        <v>33</v>
      </c>
      <c r="J1281" s="2" t="s">
        <v>34</v>
      </c>
      <c r="K1281" s="2" t="s">
        <v>580</v>
      </c>
      <c r="L1281" s="2" t="s">
        <v>581</v>
      </c>
      <c r="M1281" s="2" t="s">
        <v>570</v>
      </c>
      <c r="N1281" s="2" t="s">
        <v>38</v>
      </c>
      <c r="O1281" s="2" t="s">
        <v>665</v>
      </c>
      <c r="P1281" s="2" t="s">
        <v>2655</v>
      </c>
      <c r="Q1281" s="2" t="s">
        <v>8671</v>
      </c>
      <c r="R1281" s="2" t="s">
        <v>40</v>
      </c>
      <c r="S1281" s="2" t="s">
        <v>8672</v>
      </c>
      <c r="T1281" s="2" t="s">
        <v>575</v>
      </c>
      <c r="U1281" s="2" t="s">
        <v>8673</v>
      </c>
      <c r="V1281" s="2" t="s">
        <v>8674</v>
      </c>
      <c r="W1281" s="1"/>
      <c r="X1281" s="2" t="s">
        <v>8675</v>
      </c>
      <c r="Y1281" s="2" t="s">
        <v>8451</v>
      </c>
      <c r="AA1281" t="str">
        <f t="shared" si="114"/>
        <v>2026-02</v>
      </c>
      <c r="AB1281" t="str">
        <f t="shared" si="115"/>
        <v>H1_2026</v>
      </c>
      <c r="AC1281">
        <f t="shared" si="116"/>
        <v>114545.34</v>
      </c>
      <c r="AD1281">
        <f t="shared" si="117"/>
        <v>210</v>
      </c>
      <c r="AE1281">
        <f t="shared" si="118"/>
        <v>45818.07</v>
      </c>
      <c r="AF1281" t="str">
        <f t="shared" si="119"/>
        <v>Paid</v>
      </c>
    </row>
    <row r="1282" spans="1:32" ht="17.25" thickBot="1" x14ac:dyDescent="0.35">
      <c r="A1282" s="2" t="s">
        <v>8676</v>
      </c>
      <c r="B1282" s="2" t="s">
        <v>27</v>
      </c>
      <c r="C1282" s="2" t="s">
        <v>28</v>
      </c>
      <c r="D1282" s="2" t="s">
        <v>97</v>
      </c>
      <c r="E1282" s="2" t="s">
        <v>8444</v>
      </c>
      <c r="F1282" s="2" t="s">
        <v>8445</v>
      </c>
      <c r="G1282" s="2" t="s">
        <v>32</v>
      </c>
      <c r="H1282" s="1"/>
      <c r="I1282" s="2" t="s">
        <v>33</v>
      </c>
      <c r="J1282" s="2" t="s">
        <v>34</v>
      </c>
      <c r="K1282" s="2" t="s">
        <v>601</v>
      </c>
      <c r="L1282" s="2" t="s">
        <v>602</v>
      </c>
      <c r="M1282" s="2" t="s">
        <v>570</v>
      </c>
      <c r="N1282" s="2" t="s">
        <v>38</v>
      </c>
      <c r="O1282" s="2" t="s">
        <v>920</v>
      </c>
      <c r="P1282" s="2" t="s">
        <v>2655</v>
      </c>
      <c r="Q1282" s="2" t="s">
        <v>8677</v>
      </c>
      <c r="R1282" s="2" t="s">
        <v>40</v>
      </c>
      <c r="S1282" s="2" t="s">
        <v>8678</v>
      </c>
      <c r="T1282" s="2" t="s">
        <v>575</v>
      </c>
      <c r="U1282" s="2" t="s">
        <v>8679</v>
      </c>
      <c r="V1282" s="2" t="s">
        <v>8680</v>
      </c>
      <c r="W1282" s="1"/>
      <c r="X1282" s="2" t="s">
        <v>8675</v>
      </c>
      <c r="Y1282" s="2" t="s">
        <v>8451</v>
      </c>
      <c r="AA1282" t="str">
        <f t="shared" si="114"/>
        <v>2026-02</v>
      </c>
      <c r="AB1282" t="str">
        <f t="shared" si="115"/>
        <v>H1_2026</v>
      </c>
      <c r="AC1282">
        <f t="shared" si="116"/>
        <v>256363.38</v>
      </c>
      <c r="AD1282">
        <f t="shared" si="117"/>
        <v>470</v>
      </c>
      <c r="AE1282">
        <f t="shared" si="118"/>
        <v>102545.21</v>
      </c>
      <c r="AF1282" t="str">
        <f t="shared" si="119"/>
        <v>Paid</v>
      </c>
    </row>
    <row r="1283" spans="1:32" ht="17.25" thickBot="1" x14ac:dyDescent="0.35">
      <c r="A1283" s="2" t="s">
        <v>8681</v>
      </c>
      <c r="B1283" s="2" t="s">
        <v>27</v>
      </c>
      <c r="C1283" s="2" t="s">
        <v>28</v>
      </c>
      <c r="D1283" s="2" t="s">
        <v>97</v>
      </c>
      <c r="E1283" s="2" t="s">
        <v>8444</v>
      </c>
      <c r="F1283" s="2" t="s">
        <v>8445</v>
      </c>
      <c r="G1283" s="2" t="s">
        <v>32</v>
      </c>
      <c r="H1283" s="1"/>
      <c r="I1283" s="2" t="s">
        <v>33</v>
      </c>
      <c r="J1283" s="2" t="s">
        <v>34</v>
      </c>
      <c r="K1283" s="2" t="s">
        <v>616</v>
      </c>
      <c r="L1283" s="2" t="s">
        <v>617</v>
      </c>
      <c r="M1283" s="2" t="s">
        <v>570</v>
      </c>
      <c r="N1283" s="2" t="s">
        <v>38</v>
      </c>
      <c r="O1283" s="2" t="s">
        <v>131</v>
      </c>
      <c r="P1283" s="2" t="s">
        <v>2655</v>
      </c>
      <c r="Q1283" s="2" t="s">
        <v>3500</v>
      </c>
      <c r="R1283" s="2" t="s">
        <v>40</v>
      </c>
      <c r="S1283" s="2" t="s">
        <v>8682</v>
      </c>
      <c r="T1283" s="2" t="s">
        <v>575</v>
      </c>
      <c r="U1283" s="2" t="s">
        <v>3502</v>
      </c>
      <c r="V1283" s="2" t="s">
        <v>8683</v>
      </c>
      <c r="W1283" s="1"/>
      <c r="X1283" s="2" t="s">
        <v>8675</v>
      </c>
      <c r="Y1283" s="2" t="s">
        <v>8451</v>
      </c>
      <c r="AA1283" t="str">
        <f t="shared" si="114"/>
        <v>2026-02</v>
      </c>
      <c r="AB1283" t="str">
        <f t="shared" si="115"/>
        <v>H1_2026</v>
      </c>
      <c r="AC1283">
        <f t="shared" si="116"/>
        <v>21818.16</v>
      </c>
      <c r="AD1283">
        <f t="shared" si="117"/>
        <v>40</v>
      </c>
      <c r="AE1283">
        <f t="shared" si="118"/>
        <v>8727.25</v>
      </c>
      <c r="AF1283" t="str">
        <f t="shared" si="119"/>
        <v>Paid</v>
      </c>
    </row>
    <row r="1284" spans="1:32" ht="17.25" thickBot="1" x14ac:dyDescent="0.35">
      <c r="A1284" s="2" t="s">
        <v>8684</v>
      </c>
      <c r="B1284" s="2" t="s">
        <v>27</v>
      </c>
      <c r="C1284" s="2" t="s">
        <v>28</v>
      </c>
      <c r="D1284" s="2" t="s">
        <v>97</v>
      </c>
      <c r="E1284" s="2" t="s">
        <v>8444</v>
      </c>
      <c r="F1284" s="2" t="s">
        <v>8445</v>
      </c>
      <c r="G1284" s="2" t="s">
        <v>32</v>
      </c>
      <c r="H1284" s="1"/>
      <c r="I1284" s="2" t="s">
        <v>33</v>
      </c>
      <c r="J1284" s="2" t="s">
        <v>34</v>
      </c>
      <c r="K1284" s="2" t="s">
        <v>624</v>
      </c>
      <c r="L1284" s="2" t="s">
        <v>625</v>
      </c>
      <c r="M1284" s="2" t="s">
        <v>570</v>
      </c>
      <c r="N1284" s="2" t="s">
        <v>38</v>
      </c>
      <c r="O1284" s="2" t="s">
        <v>8685</v>
      </c>
      <c r="P1284" s="2" t="s">
        <v>2655</v>
      </c>
      <c r="Q1284" s="2" t="s">
        <v>8686</v>
      </c>
      <c r="R1284" s="2" t="s">
        <v>40</v>
      </c>
      <c r="S1284" s="2" t="s">
        <v>8687</v>
      </c>
      <c r="T1284" s="2" t="s">
        <v>575</v>
      </c>
      <c r="U1284" s="2" t="s">
        <v>8688</v>
      </c>
      <c r="V1284" s="2" t="s">
        <v>8689</v>
      </c>
      <c r="W1284" s="1"/>
      <c r="X1284" s="2" t="s">
        <v>8675</v>
      </c>
      <c r="Y1284" s="2" t="s">
        <v>8451</v>
      </c>
      <c r="AA1284" t="str">
        <f t="shared" ref="AA1284:AA1347" si="120">LEFT(E1284,7)</f>
        <v>2026-02</v>
      </c>
      <c r="AB1284" t="str">
        <f t="shared" ref="AB1284:AB1347" si="121">IF(AND($AA1284&gt;="2025-01",$AA1284&lt;="2025-06"),"H1_2025",IF(AND($AA1284&gt;="2026-01",$AA1284&lt;="2026-06"),"H1_2026",""))</f>
        <v>H1_2026</v>
      </c>
      <c r="AC1284">
        <f t="shared" ref="AC1284:AC1347" si="122">IFERROR(VALUE(SUBSTITUTE(S1284,",","")),0)</f>
        <v>1009089.9</v>
      </c>
      <c r="AD1284">
        <f t="shared" ref="AD1284:AD1347" si="123">IFERROR(VALUE(SUBSTITUTE(O1284,",","")),0)</f>
        <v>1850</v>
      </c>
      <c r="AE1284">
        <f t="shared" ref="AE1284:AE1347" si="124">IFERROR(VALUE(SUBSTITUTE(V1284,",","")),0)</f>
        <v>403635.41</v>
      </c>
      <c r="AF1284" t="str">
        <f t="shared" ref="AF1284:AF1347" si="125">IF(ISNUMBER(SEARCH("FOC",W1284)),"FOC",IF(ISNUMBER(SEARCH("샘플",W1284)),"Sample","Paid"))</f>
        <v>Paid</v>
      </c>
    </row>
    <row r="1285" spans="1:32" ht="17.25" thickBot="1" x14ac:dyDescent="0.35">
      <c r="A1285" s="2" t="s">
        <v>8690</v>
      </c>
      <c r="B1285" s="2" t="s">
        <v>27</v>
      </c>
      <c r="C1285" s="2" t="s">
        <v>28</v>
      </c>
      <c r="D1285" s="2" t="s">
        <v>97</v>
      </c>
      <c r="E1285" s="2" t="s">
        <v>8444</v>
      </c>
      <c r="F1285" s="2" t="s">
        <v>8445</v>
      </c>
      <c r="G1285" s="2" t="s">
        <v>32</v>
      </c>
      <c r="H1285" s="1"/>
      <c r="I1285" s="2" t="s">
        <v>33</v>
      </c>
      <c r="J1285" s="2" t="s">
        <v>34</v>
      </c>
      <c r="K1285" s="2" t="s">
        <v>6137</v>
      </c>
      <c r="L1285" s="2" t="s">
        <v>6138</v>
      </c>
      <c r="M1285" s="2" t="s">
        <v>634</v>
      </c>
      <c r="N1285" s="2" t="s">
        <v>38</v>
      </c>
      <c r="O1285" s="2" t="s">
        <v>503</v>
      </c>
      <c r="P1285" s="2" t="s">
        <v>8691</v>
      </c>
      <c r="Q1285" s="2" t="s">
        <v>8692</v>
      </c>
      <c r="R1285" s="2" t="s">
        <v>40</v>
      </c>
      <c r="S1285" s="2" t="s">
        <v>8693</v>
      </c>
      <c r="T1285" s="2" t="s">
        <v>297</v>
      </c>
      <c r="U1285" s="2" t="s">
        <v>8694</v>
      </c>
      <c r="V1285" s="2" t="s">
        <v>8695</v>
      </c>
      <c r="W1285" s="1"/>
      <c r="X1285" s="2" t="s">
        <v>6142</v>
      </c>
      <c r="Y1285" s="2" t="s">
        <v>8451</v>
      </c>
      <c r="AA1285" t="str">
        <f t="shared" si="120"/>
        <v>2026-02</v>
      </c>
      <c r="AB1285" t="str">
        <f t="shared" si="121"/>
        <v>H1_2026</v>
      </c>
      <c r="AC1285">
        <f t="shared" si="122"/>
        <v>4032163.8</v>
      </c>
      <c r="AD1285">
        <f t="shared" si="123"/>
        <v>310</v>
      </c>
      <c r="AE1285">
        <f t="shared" si="124"/>
        <v>1552163.8</v>
      </c>
      <c r="AF1285" t="str">
        <f t="shared" si="125"/>
        <v>Paid</v>
      </c>
    </row>
    <row r="1286" spans="1:32" ht="17.25" thickBot="1" x14ac:dyDescent="0.35">
      <c r="A1286" s="2" t="s">
        <v>8696</v>
      </c>
      <c r="B1286" s="2" t="s">
        <v>27</v>
      </c>
      <c r="C1286" s="2" t="s">
        <v>28</v>
      </c>
      <c r="D1286" s="2" t="s">
        <v>97</v>
      </c>
      <c r="E1286" s="2" t="s">
        <v>8444</v>
      </c>
      <c r="F1286" s="2" t="s">
        <v>8445</v>
      </c>
      <c r="G1286" s="2" t="s">
        <v>32</v>
      </c>
      <c r="H1286" s="1"/>
      <c r="I1286" s="2" t="s">
        <v>33</v>
      </c>
      <c r="J1286" s="2" t="s">
        <v>34</v>
      </c>
      <c r="K1286" s="2" t="s">
        <v>8697</v>
      </c>
      <c r="L1286" s="2" t="s">
        <v>8698</v>
      </c>
      <c r="M1286" s="2" t="s">
        <v>8699</v>
      </c>
      <c r="N1286" s="2" t="s">
        <v>38</v>
      </c>
      <c r="O1286" s="2" t="s">
        <v>79</v>
      </c>
      <c r="P1286" s="2" t="s">
        <v>8700</v>
      </c>
      <c r="Q1286" s="2" t="s">
        <v>8701</v>
      </c>
      <c r="R1286" s="2" t="s">
        <v>40</v>
      </c>
      <c r="S1286" s="2" t="s">
        <v>8702</v>
      </c>
      <c r="T1286" s="2" t="s">
        <v>8703</v>
      </c>
      <c r="U1286" s="2" t="s">
        <v>8704</v>
      </c>
      <c r="V1286" s="2" t="s">
        <v>8705</v>
      </c>
      <c r="W1286" s="1"/>
      <c r="X1286" s="2" t="s">
        <v>8706</v>
      </c>
      <c r="Y1286" s="2" t="s">
        <v>8451</v>
      </c>
      <c r="AA1286" t="str">
        <f t="shared" si="120"/>
        <v>2026-02</v>
      </c>
      <c r="AB1286" t="str">
        <f t="shared" si="121"/>
        <v>H1_2026</v>
      </c>
      <c r="AC1286">
        <f t="shared" si="122"/>
        <v>162237.6</v>
      </c>
      <c r="AD1286">
        <f t="shared" si="123"/>
        <v>10</v>
      </c>
      <c r="AE1286">
        <f t="shared" si="124"/>
        <v>66537.600000000006</v>
      </c>
      <c r="AF1286" t="str">
        <f t="shared" si="125"/>
        <v>Paid</v>
      </c>
    </row>
    <row r="1287" spans="1:32" ht="17.25" thickBot="1" x14ac:dyDescent="0.35">
      <c r="A1287" s="2" t="s">
        <v>8707</v>
      </c>
      <c r="B1287" s="2" t="s">
        <v>27</v>
      </c>
      <c r="C1287" s="2" t="s">
        <v>28</v>
      </c>
      <c r="D1287" s="2" t="s">
        <v>97</v>
      </c>
      <c r="E1287" s="2" t="s">
        <v>8444</v>
      </c>
      <c r="F1287" s="2" t="s">
        <v>8445</v>
      </c>
      <c r="G1287" s="2" t="s">
        <v>32</v>
      </c>
      <c r="H1287" s="1"/>
      <c r="I1287" s="2" t="s">
        <v>33</v>
      </c>
      <c r="J1287" s="2" t="s">
        <v>34</v>
      </c>
      <c r="K1287" s="2" t="s">
        <v>8708</v>
      </c>
      <c r="L1287" s="2" t="s">
        <v>8709</v>
      </c>
      <c r="M1287" s="2" t="s">
        <v>8699</v>
      </c>
      <c r="N1287" s="2" t="s">
        <v>38</v>
      </c>
      <c r="O1287" s="2" t="s">
        <v>79</v>
      </c>
      <c r="P1287" s="2" t="s">
        <v>8700</v>
      </c>
      <c r="Q1287" s="2" t="s">
        <v>8701</v>
      </c>
      <c r="R1287" s="2" t="s">
        <v>40</v>
      </c>
      <c r="S1287" s="2" t="s">
        <v>8702</v>
      </c>
      <c r="T1287" s="2" t="s">
        <v>8703</v>
      </c>
      <c r="U1287" s="2" t="s">
        <v>8704</v>
      </c>
      <c r="V1287" s="2" t="s">
        <v>8705</v>
      </c>
      <c r="W1287" s="1"/>
      <c r="X1287" s="2" t="s">
        <v>8706</v>
      </c>
      <c r="Y1287" s="2" t="s">
        <v>8451</v>
      </c>
      <c r="AA1287" t="str">
        <f t="shared" si="120"/>
        <v>2026-02</v>
      </c>
      <c r="AB1287" t="str">
        <f t="shared" si="121"/>
        <v>H1_2026</v>
      </c>
      <c r="AC1287">
        <f t="shared" si="122"/>
        <v>162237.6</v>
      </c>
      <c r="AD1287">
        <f t="shared" si="123"/>
        <v>10</v>
      </c>
      <c r="AE1287">
        <f t="shared" si="124"/>
        <v>66537.600000000006</v>
      </c>
      <c r="AF1287" t="str">
        <f t="shared" si="125"/>
        <v>Paid</v>
      </c>
    </row>
    <row r="1288" spans="1:32" ht="17.25" thickBot="1" x14ac:dyDescent="0.35">
      <c r="A1288" s="2" t="s">
        <v>8710</v>
      </c>
      <c r="B1288" s="2" t="s">
        <v>27</v>
      </c>
      <c r="C1288" s="2" t="s">
        <v>28</v>
      </c>
      <c r="D1288" s="2" t="s">
        <v>97</v>
      </c>
      <c r="E1288" s="2" t="s">
        <v>8444</v>
      </c>
      <c r="F1288" s="2" t="s">
        <v>8445</v>
      </c>
      <c r="G1288" s="2" t="s">
        <v>32</v>
      </c>
      <c r="H1288" s="1"/>
      <c r="I1288" s="2" t="s">
        <v>33</v>
      </c>
      <c r="J1288" s="2" t="s">
        <v>34</v>
      </c>
      <c r="K1288" s="2" t="s">
        <v>8711</v>
      </c>
      <c r="L1288" s="2" t="s">
        <v>8712</v>
      </c>
      <c r="M1288" s="2" t="s">
        <v>8699</v>
      </c>
      <c r="N1288" s="2" t="s">
        <v>38</v>
      </c>
      <c r="O1288" s="2" t="s">
        <v>79</v>
      </c>
      <c r="P1288" s="2" t="s">
        <v>8700</v>
      </c>
      <c r="Q1288" s="2" t="s">
        <v>8701</v>
      </c>
      <c r="R1288" s="2" t="s">
        <v>40</v>
      </c>
      <c r="S1288" s="2" t="s">
        <v>8702</v>
      </c>
      <c r="T1288" s="2" t="s">
        <v>8703</v>
      </c>
      <c r="U1288" s="2" t="s">
        <v>8704</v>
      </c>
      <c r="V1288" s="2" t="s">
        <v>8705</v>
      </c>
      <c r="W1288" s="1"/>
      <c r="X1288" s="2" t="s">
        <v>8706</v>
      </c>
      <c r="Y1288" s="2" t="s">
        <v>8451</v>
      </c>
      <c r="AA1288" t="str">
        <f t="shared" si="120"/>
        <v>2026-02</v>
      </c>
      <c r="AB1288" t="str">
        <f t="shared" si="121"/>
        <v>H1_2026</v>
      </c>
      <c r="AC1288">
        <f t="shared" si="122"/>
        <v>162237.6</v>
      </c>
      <c r="AD1288">
        <f t="shared" si="123"/>
        <v>10</v>
      </c>
      <c r="AE1288">
        <f t="shared" si="124"/>
        <v>66537.600000000006</v>
      </c>
      <c r="AF1288" t="str">
        <f t="shared" si="125"/>
        <v>Paid</v>
      </c>
    </row>
    <row r="1289" spans="1:32" ht="17.25" thickBot="1" x14ac:dyDescent="0.35">
      <c r="A1289" s="2" t="s">
        <v>8713</v>
      </c>
      <c r="B1289" s="2" t="s">
        <v>27</v>
      </c>
      <c r="C1289" s="2" t="s">
        <v>28</v>
      </c>
      <c r="D1289" s="2" t="s">
        <v>97</v>
      </c>
      <c r="E1289" s="2" t="s">
        <v>8444</v>
      </c>
      <c r="F1289" s="2" t="s">
        <v>8445</v>
      </c>
      <c r="G1289" s="2" t="s">
        <v>32</v>
      </c>
      <c r="H1289" s="1"/>
      <c r="I1289" s="2" t="s">
        <v>33</v>
      </c>
      <c r="J1289" s="2" t="s">
        <v>34</v>
      </c>
      <c r="K1289" s="2" t="s">
        <v>2678</v>
      </c>
      <c r="L1289" s="2" t="s">
        <v>2679</v>
      </c>
      <c r="M1289" s="2" t="s">
        <v>2680</v>
      </c>
      <c r="N1289" s="2" t="s">
        <v>38</v>
      </c>
      <c r="O1289" s="2" t="s">
        <v>391</v>
      </c>
      <c r="P1289" s="2" t="s">
        <v>8714</v>
      </c>
      <c r="Q1289" s="2" t="s">
        <v>8715</v>
      </c>
      <c r="R1289" s="2" t="s">
        <v>40</v>
      </c>
      <c r="S1289" s="2" t="s">
        <v>8716</v>
      </c>
      <c r="T1289" s="2" t="s">
        <v>2684</v>
      </c>
      <c r="U1289" s="2" t="s">
        <v>4497</v>
      </c>
      <c r="V1289" s="2" t="s">
        <v>8717</v>
      </c>
      <c r="W1289" s="1"/>
      <c r="X1289" s="2" t="s">
        <v>2687</v>
      </c>
      <c r="Y1289" s="2" t="s">
        <v>8451</v>
      </c>
      <c r="AA1289" t="str">
        <f t="shared" si="120"/>
        <v>2026-02</v>
      </c>
      <c r="AB1289" t="str">
        <f t="shared" si="121"/>
        <v>H1_2026</v>
      </c>
      <c r="AC1289">
        <f t="shared" si="122"/>
        <v>543775.68000000005</v>
      </c>
      <c r="AD1289">
        <f t="shared" si="123"/>
        <v>60</v>
      </c>
      <c r="AE1289">
        <f t="shared" si="124"/>
        <v>213775.68</v>
      </c>
      <c r="AF1289" t="str">
        <f t="shared" si="125"/>
        <v>Paid</v>
      </c>
    </row>
    <row r="1290" spans="1:32" ht="17.25" thickBot="1" x14ac:dyDescent="0.35">
      <c r="A1290" s="2" t="s">
        <v>8718</v>
      </c>
      <c r="B1290" s="2" t="s">
        <v>27</v>
      </c>
      <c r="C1290" s="2" t="s">
        <v>28</v>
      </c>
      <c r="D1290" s="2" t="s">
        <v>97</v>
      </c>
      <c r="E1290" s="2" t="s">
        <v>8444</v>
      </c>
      <c r="F1290" s="2" t="s">
        <v>8445</v>
      </c>
      <c r="G1290" s="2" t="s">
        <v>32</v>
      </c>
      <c r="H1290" s="1"/>
      <c r="I1290" s="2" t="s">
        <v>33</v>
      </c>
      <c r="J1290" s="2" t="s">
        <v>34</v>
      </c>
      <c r="K1290" s="2" t="s">
        <v>8719</v>
      </c>
      <c r="L1290" s="2" t="s">
        <v>8720</v>
      </c>
      <c r="M1290" s="2" t="s">
        <v>2680</v>
      </c>
      <c r="N1290" s="2" t="s">
        <v>38</v>
      </c>
      <c r="O1290" s="2" t="s">
        <v>26</v>
      </c>
      <c r="P1290" s="2" t="s">
        <v>104</v>
      </c>
      <c r="Q1290" s="2" t="s">
        <v>104</v>
      </c>
      <c r="R1290" s="2" t="s">
        <v>40</v>
      </c>
      <c r="S1290" s="2" t="s">
        <v>8721</v>
      </c>
      <c r="T1290" s="2" t="s">
        <v>40</v>
      </c>
      <c r="U1290" s="2" t="s">
        <v>40</v>
      </c>
      <c r="V1290" s="2" t="s">
        <v>8721</v>
      </c>
      <c r="W1290" s="2" t="s">
        <v>41</v>
      </c>
      <c r="X1290" s="2" t="s">
        <v>2155</v>
      </c>
      <c r="Y1290" s="2" t="s">
        <v>8451</v>
      </c>
      <c r="AA1290" t="str">
        <f t="shared" si="120"/>
        <v>2026-02</v>
      </c>
      <c r="AB1290" t="str">
        <f t="shared" si="121"/>
        <v>H1_2026</v>
      </c>
      <c r="AC1290">
        <f t="shared" si="122"/>
        <v>13.99</v>
      </c>
      <c r="AD1290">
        <f t="shared" si="123"/>
        <v>1</v>
      </c>
      <c r="AE1290">
        <f t="shared" si="124"/>
        <v>13.99</v>
      </c>
      <c r="AF1290" t="str">
        <f t="shared" si="125"/>
        <v>Sample</v>
      </c>
    </row>
    <row r="1291" spans="1:32" ht="17.25" thickBot="1" x14ac:dyDescent="0.35">
      <c r="A1291" s="2" t="s">
        <v>8722</v>
      </c>
      <c r="B1291" s="2" t="s">
        <v>27</v>
      </c>
      <c r="C1291" s="2" t="s">
        <v>28</v>
      </c>
      <c r="D1291" s="2" t="s">
        <v>97</v>
      </c>
      <c r="E1291" s="2" t="s">
        <v>8444</v>
      </c>
      <c r="F1291" s="2" t="s">
        <v>8445</v>
      </c>
      <c r="G1291" s="2" t="s">
        <v>32</v>
      </c>
      <c r="H1291" s="1"/>
      <c r="I1291" s="2" t="s">
        <v>33</v>
      </c>
      <c r="J1291" s="2" t="s">
        <v>34</v>
      </c>
      <c r="K1291" s="2" t="s">
        <v>8723</v>
      </c>
      <c r="L1291" s="2" t="s">
        <v>8724</v>
      </c>
      <c r="M1291" s="2" t="s">
        <v>2710</v>
      </c>
      <c r="N1291" s="2" t="s">
        <v>38</v>
      </c>
      <c r="O1291" s="2" t="s">
        <v>60</v>
      </c>
      <c r="P1291" s="2" t="s">
        <v>1789</v>
      </c>
      <c r="Q1291" s="2" t="s">
        <v>1626</v>
      </c>
      <c r="R1291" s="2" t="s">
        <v>40</v>
      </c>
      <c r="S1291" s="2" t="s">
        <v>8725</v>
      </c>
      <c r="T1291" s="2" t="s">
        <v>1700</v>
      </c>
      <c r="U1291" s="2" t="s">
        <v>1603</v>
      </c>
      <c r="V1291" s="2" t="s">
        <v>8726</v>
      </c>
      <c r="W1291" s="1"/>
      <c r="X1291" s="2" t="s">
        <v>1091</v>
      </c>
      <c r="Y1291" s="2" t="s">
        <v>8451</v>
      </c>
      <c r="AA1291" t="str">
        <f t="shared" si="120"/>
        <v>2026-02</v>
      </c>
      <c r="AB1291" t="str">
        <f t="shared" si="121"/>
        <v>H1_2026</v>
      </c>
      <c r="AC1291">
        <f t="shared" si="122"/>
        <v>30629.34</v>
      </c>
      <c r="AD1291">
        <f t="shared" si="123"/>
        <v>6</v>
      </c>
      <c r="AE1291">
        <f t="shared" si="124"/>
        <v>7720.25</v>
      </c>
      <c r="AF1291" t="str">
        <f t="shared" si="125"/>
        <v>Paid</v>
      </c>
    </row>
    <row r="1292" spans="1:32" ht="17.25" thickBot="1" x14ac:dyDescent="0.35">
      <c r="A1292" s="2" t="s">
        <v>8727</v>
      </c>
      <c r="B1292" s="2" t="s">
        <v>27</v>
      </c>
      <c r="C1292" s="2" t="s">
        <v>28</v>
      </c>
      <c r="D1292" s="2" t="s">
        <v>97</v>
      </c>
      <c r="E1292" s="2" t="s">
        <v>8444</v>
      </c>
      <c r="F1292" s="2" t="s">
        <v>8445</v>
      </c>
      <c r="G1292" s="2" t="s">
        <v>32</v>
      </c>
      <c r="H1292" s="1"/>
      <c r="I1292" s="2" t="s">
        <v>33</v>
      </c>
      <c r="J1292" s="2" t="s">
        <v>34</v>
      </c>
      <c r="K1292" s="2" t="s">
        <v>8728</v>
      </c>
      <c r="L1292" s="2" t="s">
        <v>8729</v>
      </c>
      <c r="M1292" s="2" t="s">
        <v>2710</v>
      </c>
      <c r="N1292" s="2" t="s">
        <v>38</v>
      </c>
      <c r="O1292" s="2" t="s">
        <v>391</v>
      </c>
      <c r="P1292" s="2" t="s">
        <v>1768</v>
      </c>
      <c r="Q1292" s="2" t="s">
        <v>8730</v>
      </c>
      <c r="R1292" s="2" t="s">
        <v>40</v>
      </c>
      <c r="S1292" s="2" t="s">
        <v>8731</v>
      </c>
      <c r="T1292" s="2" t="s">
        <v>8732</v>
      </c>
      <c r="U1292" s="2" t="s">
        <v>8733</v>
      </c>
      <c r="V1292" s="2" t="s">
        <v>8734</v>
      </c>
      <c r="W1292" s="1"/>
      <c r="X1292" s="2" t="s">
        <v>258</v>
      </c>
      <c r="Y1292" s="2" t="s">
        <v>8451</v>
      </c>
      <c r="AA1292" t="str">
        <f t="shared" si="120"/>
        <v>2026-02</v>
      </c>
      <c r="AB1292" t="str">
        <f t="shared" si="121"/>
        <v>H1_2026</v>
      </c>
      <c r="AC1292">
        <f t="shared" si="122"/>
        <v>359999.64</v>
      </c>
      <c r="AD1292">
        <f t="shared" si="123"/>
        <v>60</v>
      </c>
      <c r="AE1292">
        <f t="shared" si="124"/>
        <v>70859.64</v>
      </c>
      <c r="AF1292" t="str">
        <f t="shared" si="125"/>
        <v>Paid</v>
      </c>
    </row>
    <row r="1293" spans="1:32" ht="27.75" thickBot="1" x14ac:dyDescent="0.35">
      <c r="A1293" s="2" t="s">
        <v>8735</v>
      </c>
      <c r="B1293" s="2" t="s">
        <v>27</v>
      </c>
      <c r="C1293" s="2" t="s">
        <v>28</v>
      </c>
      <c r="D1293" s="2" t="s">
        <v>97</v>
      </c>
      <c r="E1293" s="2" t="s">
        <v>8444</v>
      </c>
      <c r="F1293" s="2" t="s">
        <v>8445</v>
      </c>
      <c r="G1293" s="2" t="s">
        <v>32</v>
      </c>
      <c r="H1293" s="1"/>
      <c r="I1293" s="2" t="s">
        <v>33</v>
      </c>
      <c r="J1293" s="2" t="s">
        <v>34</v>
      </c>
      <c r="K1293" s="2" t="s">
        <v>2808</v>
      </c>
      <c r="L1293" s="2" t="s">
        <v>2809</v>
      </c>
      <c r="M1293" s="2" t="s">
        <v>70</v>
      </c>
      <c r="N1293" s="2" t="s">
        <v>38</v>
      </c>
      <c r="O1293" s="2" t="s">
        <v>141</v>
      </c>
      <c r="P1293" s="2" t="s">
        <v>1596</v>
      </c>
      <c r="Q1293" s="2" t="s">
        <v>8736</v>
      </c>
      <c r="R1293" s="2" t="s">
        <v>40</v>
      </c>
      <c r="S1293" s="2" t="s">
        <v>8737</v>
      </c>
      <c r="T1293" s="2" t="s">
        <v>40</v>
      </c>
      <c r="U1293" s="2" t="s">
        <v>40</v>
      </c>
      <c r="V1293" s="2" t="s">
        <v>8737</v>
      </c>
      <c r="W1293" s="1"/>
      <c r="X1293" s="2" t="s">
        <v>2155</v>
      </c>
      <c r="Y1293" s="2" t="s">
        <v>8451</v>
      </c>
      <c r="AA1293" t="str">
        <f t="shared" si="120"/>
        <v>2026-02</v>
      </c>
      <c r="AB1293" t="str">
        <f t="shared" si="121"/>
        <v>H1_2026</v>
      </c>
      <c r="AC1293">
        <f t="shared" si="122"/>
        <v>159440.4</v>
      </c>
      <c r="AD1293">
        <f t="shared" si="123"/>
        <v>30</v>
      </c>
      <c r="AE1293">
        <f t="shared" si="124"/>
        <v>159440.4</v>
      </c>
      <c r="AF1293" t="str">
        <f t="shared" si="125"/>
        <v>Paid</v>
      </c>
    </row>
    <row r="1294" spans="1:32" ht="27.75" thickBot="1" x14ac:dyDescent="0.35">
      <c r="A1294" s="2" t="s">
        <v>8738</v>
      </c>
      <c r="B1294" s="2" t="s">
        <v>27</v>
      </c>
      <c r="C1294" s="2" t="s">
        <v>28</v>
      </c>
      <c r="D1294" s="2" t="s">
        <v>97</v>
      </c>
      <c r="E1294" s="2" t="s">
        <v>8444</v>
      </c>
      <c r="F1294" s="2" t="s">
        <v>8445</v>
      </c>
      <c r="G1294" s="2" t="s">
        <v>32</v>
      </c>
      <c r="H1294" s="1"/>
      <c r="I1294" s="2" t="s">
        <v>33</v>
      </c>
      <c r="J1294" s="2" t="s">
        <v>34</v>
      </c>
      <c r="K1294" s="2" t="s">
        <v>2817</v>
      </c>
      <c r="L1294" s="2" t="s">
        <v>2818</v>
      </c>
      <c r="M1294" s="2" t="s">
        <v>70</v>
      </c>
      <c r="N1294" s="2" t="s">
        <v>38</v>
      </c>
      <c r="O1294" s="2" t="s">
        <v>221</v>
      </c>
      <c r="P1294" s="2" t="s">
        <v>1596</v>
      </c>
      <c r="Q1294" s="2" t="s">
        <v>1397</v>
      </c>
      <c r="R1294" s="2" t="s">
        <v>40</v>
      </c>
      <c r="S1294" s="2" t="s">
        <v>8739</v>
      </c>
      <c r="T1294" s="2" t="s">
        <v>7901</v>
      </c>
      <c r="U1294" s="2" t="s">
        <v>8740</v>
      </c>
      <c r="V1294" s="2" t="s">
        <v>8741</v>
      </c>
      <c r="W1294" s="1"/>
      <c r="X1294" s="2" t="s">
        <v>651</v>
      </c>
      <c r="Y1294" s="2" t="s">
        <v>8451</v>
      </c>
      <c r="AA1294" t="str">
        <f t="shared" si="120"/>
        <v>2026-02</v>
      </c>
      <c r="AB1294" t="str">
        <f t="shared" si="121"/>
        <v>H1_2026</v>
      </c>
      <c r="AC1294">
        <f t="shared" si="122"/>
        <v>744055.2</v>
      </c>
      <c r="AD1294">
        <f t="shared" si="123"/>
        <v>140</v>
      </c>
      <c r="AE1294">
        <f t="shared" si="124"/>
        <v>227315.20000000001</v>
      </c>
      <c r="AF1294" t="str">
        <f t="shared" si="125"/>
        <v>Paid</v>
      </c>
    </row>
    <row r="1295" spans="1:32" ht="27.75" thickBot="1" x14ac:dyDescent="0.35">
      <c r="A1295" s="2" t="s">
        <v>8742</v>
      </c>
      <c r="B1295" s="2" t="s">
        <v>27</v>
      </c>
      <c r="C1295" s="2" t="s">
        <v>28</v>
      </c>
      <c r="D1295" s="2" t="s">
        <v>97</v>
      </c>
      <c r="E1295" s="2" t="s">
        <v>8444</v>
      </c>
      <c r="F1295" s="2" t="s">
        <v>8445</v>
      </c>
      <c r="G1295" s="2" t="s">
        <v>32</v>
      </c>
      <c r="H1295" s="1"/>
      <c r="I1295" s="2" t="s">
        <v>33</v>
      </c>
      <c r="J1295" s="2" t="s">
        <v>34</v>
      </c>
      <c r="K1295" s="2" t="s">
        <v>2845</v>
      </c>
      <c r="L1295" s="2" t="s">
        <v>2846</v>
      </c>
      <c r="M1295" s="2" t="s">
        <v>70</v>
      </c>
      <c r="N1295" s="2" t="s">
        <v>38</v>
      </c>
      <c r="O1295" s="2" t="s">
        <v>316</v>
      </c>
      <c r="P1295" s="2" t="s">
        <v>8743</v>
      </c>
      <c r="Q1295" s="2" t="s">
        <v>8744</v>
      </c>
      <c r="R1295" s="2" t="s">
        <v>40</v>
      </c>
      <c r="S1295" s="2" t="s">
        <v>8745</v>
      </c>
      <c r="T1295" s="2" t="s">
        <v>2714</v>
      </c>
      <c r="U1295" s="2" t="s">
        <v>8746</v>
      </c>
      <c r="V1295" s="2" t="s">
        <v>8747</v>
      </c>
      <c r="W1295" s="1"/>
      <c r="X1295" s="2" t="s">
        <v>651</v>
      </c>
      <c r="Y1295" s="2" t="s">
        <v>8451</v>
      </c>
      <c r="AA1295" t="str">
        <f t="shared" si="120"/>
        <v>2026-02</v>
      </c>
      <c r="AB1295" t="str">
        <f t="shared" si="121"/>
        <v>H1_2026</v>
      </c>
      <c r="AC1295">
        <f t="shared" si="122"/>
        <v>2202375.42</v>
      </c>
      <c r="AD1295">
        <f t="shared" si="123"/>
        <v>290</v>
      </c>
      <c r="AE1295">
        <f t="shared" si="124"/>
        <v>673284.53</v>
      </c>
      <c r="AF1295" t="str">
        <f t="shared" si="125"/>
        <v>Paid</v>
      </c>
    </row>
    <row r="1296" spans="1:32" ht="17.25" thickBot="1" x14ac:dyDescent="0.35">
      <c r="A1296" s="2" t="s">
        <v>8748</v>
      </c>
      <c r="B1296" s="2" t="s">
        <v>27</v>
      </c>
      <c r="C1296" s="2" t="s">
        <v>28</v>
      </c>
      <c r="D1296" s="2" t="s">
        <v>97</v>
      </c>
      <c r="E1296" s="2" t="s">
        <v>8444</v>
      </c>
      <c r="F1296" s="2" t="s">
        <v>8445</v>
      </c>
      <c r="G1296" s="2" t="s">
        <v>32</v>
      </c>
      <c r="H1296" s="1"/>
      <c r="I1296" s="2" t="s">
        <v>33</v>
      </c>
      <c r="J1296" s="2" t="s">
        <v>34</v>
      </c>
      <c r="K1296" s="2" t="s">
        <v>8749</v>
      </c>
      <c r="L1296" s="2" t="s">
        <v>8750</v>
      </c>
      <c r="M1296" s="2" t="s">
        <v>3629</v>
      </c>
      <c r="N1296" s="2" t="s">
        <v>38</v>
      </c>
      <c r="O1296" s="2" t="s">
        <v>156</v>
      </c>
      <c r="P1296" s="2" t="s">
        <v>2572</v>
      </c>
      <c r="Q1296" s="2" t="s">
        <v>8751</v>
      </c>
      <c r="R1296" s="2" t="s">
        <v>40</v>
      </c>
      <c r="S1296" s="2" t="s">
        <v>8752</v>
      </c>
      <c r="T1296" s="2" t="s">
        <v>8753</v>
      </c>
      <c r="U1296" s="2" t="s">
        <v>8754</v>
      </c>
      <c r="V1296" s="2" t="s">
        <v>8755</v>
      </c>
      <c r="W1296" s="1"/>
      <c r="X1296" s="2" t="s">
        <v>934</v>
      </c>
      <c r="Y1296" s="2" t="s">
        <v>8451</v>
      </c>
      <c r="AA1296" t="str">
        <f t="shared" si="120"/>
        <v>2026-02</v>
      </c>
      <c r="AB1296" t="str">
        <f t="shared" si="121"/>
        <v>H1_2026</v>
      </c>
      <c r="AC1296">
        <f t="shared" si="122"/>
        <v>230489.28</v>
      </c>
      <c r="AD1296">
        <f t="shared" si="123"/>
        <v>20</v>
      </c>
      <c r="AE1296">
        <f t="shared" si="124"/>
        <v>56369.279999999999</v>
      </c>
      <c r="AF1296" t="str">
        <f t="shared" si="125"/>
        <v>Paid</v>
      </c>
    </row>
    <row r="1297" spans="1:32" ht="17.25" thickBot="1" x14ac:dyDescent="0.35">
      <c r="A1297" s="2" t="s">
        <v>8756</v>
      </c>
      <c r="B1297" s="2" t="s">
        <v>27</v>
      </c>
      <c r="C1297" s="2" t="s">
        <v>28</v>
      </c>
      <c r="D1297" s="2" t="s">
        <v>97</v>
      </c>
      <c r="E1297" s="2" t="s">
        <v>8444</v>
      </c>
      <c r="F1297" s="2" t="s">
        <v>8445</v>
      </c>
      <c r="G1297" s="2" t="s">
        <v>32</v>
      </c>
      <c r="H1297" s="1"/>
      <c r="I1297" s="2" t="s">
        <v>33</v>
      </c>
      <c r="J1297" s="2" t="s">
        <v>34</v>
      </c>
      <c r="K1297" s="2" t="s">
        <v>8757</v>
      </c>
      <c r="L1297" s="2" t="s">
        <v>8758</v>
      </c>
      <c r="M1297" s="2" t="s">
        <v>3629</v>
      </c>
      <c r="N1297" s="2" t="s">
        <v>38</v>
      </c>
      <c r="O1297" s="2" t="s">
        <v>79</v>
      </c>
      <c r="P1297" s="2" t="s">
        <v>7946</v>
      </c>
      <c r="Q1297" s="2" t="s">
        <v>8759</v>
      </c>
      <c r="R1297" s="2" t="s">
        <v>40</v>
      </c>
      <c r="S1297" s="2" t="s">
        <v>8760</v>
      </c>
      <c r="T1297" s="2" t="s">
        <v>8761</v>
      </c>
      <c r="U1297" s="2" t="s">
        <v>8762</v>
      </c>
      <c r="V1297" s="2" t="s">
        <v>8763</v>
      </c>
      <c r="W1297" s="1"/>
      <c r="X1297" s="2" t="s">
        <v>7108</v>
      </c>
      <c r="Y1297" s="2" t="s">
        <v>8451</v>
      </c>
      <c r="AA1297" t="str">
        <f t="shared" si="120"/>
        <v>2026-02</v>
      </c>
      <c r="AB1297" t="str">
        <f t="shared" si="121"/>
        <v>H1_2026</v>
      </c>
      <c r="AC1297">
        <f t="shared" si="122"/>
        <v>139160.70000000001</v>
      </c>
      <c r="AD1297">
        <f t="shared" si="123"/>
        <v>10</v>
      </c>
      <c r="AE1297">
        <f t="shared" si="124"/>
        <v>30340.7</v>
      </c>
      <c r="AF1297" t="str">
        <f t="shared" si="125"/>
        <v>Paid</v>
      </c>
    </row>
    <row r="1298" spans="1:32" ht="17.25" thickBot="1" x14ac:dyDescent="0.35">
      <c r="A1298" s="2" t="s">
        <v>8764</v>
      </c>
      <c r="B1298" s="2" t="s">
        <v>27</v>
      </c>
      <c r="C1298" s="2" t="s">
        <v>28</v>
      </c>
      <c r="D1298" s="2" t="s">
        <v>97</v>
      </c>
      <c r="E1298" s="2" t="s">
        <v>8444</v>
      </c>
      <c r="F1298" s="2" t="s">
        <v>8445</v>
      </c>
      <c r="G1298" s="2" t="s">
        <v>32</v>
      </c>
      <c r="H1298" s="1"/>
      <c r="I1298" s="2" t="s">
        <v>33</v>
      </c>
      <c r="J1298" s="2" t="s">
        <v>34</v>
      </c>
      <c r="K1298" s="2" t="s">
        <v>770</v>
      </c>
      <c r="L1298" s="2" t="s">
        <v>771</v>
      </c>
      <c r="M1298" s="2" t="s">
        <v>772</v>
      </c>
      <c r="N1298" s="2" t="s">
        <v>38</v>
      </c>
      <c r="O1298" s="2" t="s">
        <v>159</v>
      </c>
      <c r="P1298" s="2" t="s">
        <v>4730</v>
      </c>
      <c r="Q1298" s="2" t="s">
        <v>8765</v>
      </c>
      <c r="R1298" s="2" t="s">
        <v>40</v>
      </c>
      <c r="S1298" s="2" t="s">
        <v>8766</v>
      </c>
      <c r="T1298" s="2" t="s">
        <v>2684</v>
      </c>
      <c r="U1298" s="2" t="s">
        <v>8767</v>
      </c>
      <c r="V1298" s="2" t="s">
        <v>8768</v>
      </c>
      <c r="W1298" s="1"/>
      <c r="X1298" s="2" t="s">
        <v>8769</v>
      </c>
      <c r="Y1298" s="2" t="s">
        <v>8451</v>
      </c>
      <c r="AA1298" t="str">
        <f t="shared" si="120"/>
        <v>2026-02</v>
      </c>
      <c r="AB1298" t="str">
        <f t="shared" si="121"/>
        <v>H1_2026</v>
      </c>
      <c r="AC1298">
        <f t="shared" si="122"/>
        <v>695943.36</v>
      </c>
      <c r="AD1298">
        <f t="shared" si="123"/>
        <v>80</v>
      </c>
      <c r="AE1298">
        <f t="shared" si="124"/>
        <v>255943.36</v>
      </c>
      <c r="AF1298" t="str">
        <f t="shared" si="125"/>
        <v>Paid</v>
      </c>
    </row>
    <row r="1299" spans="1:32" ht="17.25" thickBot="1" x14ac:dyDescent="0.35">
      <c r="A1299" s="2" t="s">
        <v>8770</v>
      </c>
      <c r="B1299" s="2" t="s">
        <v>27</v>
      </c>
      <c r="C1299" s="2" t="s">
        <v>28</v>
      </c>
      <c r="D1299" s="2" t="s">
        <v>97</v>
      </c>
      <c r="E1299" s="2" t="s">
        <v>8444</v>
      </c>
      <c r="F1299" s="2" t="s">
        <v>8445</v>
      </c>
      <c r="G1299" s="2" t="s">
        <v>32</v>
      </c>
      <c r="H1299" s="1"/>
      <c r="I1299" s="2" t="s">
        <v>33</v>
      </c>
      <c r="J1299" s="2" t="s">
        <v>34</v>
      </c>
      <c r="K1299" s="2" t="s">
        <v>780</v>
      </c>
      <c r="L1299" s="2" t="s">
        <v>781</v>
      </c>
      <c r="M1299" s="2" t="s">
        <v>772</v>
      </c>
      <c r="N1299" s="2" t="s">
        <v>38</v>
      </c>
      <c r="O1299" s="2" t="s">
        <v>474</v>
      </c>
      <c r="P1299" s="2" t="s">
        <v>4730</v>
      </c>
      <c r="Q1299" s="2" t="s">
        <v>8771</v>
      </c>
      <c r="R1299" s="2" t="s">
        <v>40</v>
      </c>
      <c r="S1299" s="2" t="s">
        <v>8772</v>
      </c>
      <c r="T1299" s="2" t="s">
        <v>6652</v>
      </c>
      <c r="U1299" s="2" t="s">
        <v>8773</v>
      </c>
      <c r="V1299" s="2" t="s">
        <v>8774</v>
      </c>
      <c r="W1299" s="1"/>
      <c r="X1299" s="2" t="s">
        <v>1052</v>
      </c>
      <c r="Y1299" s="2" t="s">
        <v>8451</v>
      </c>
      <c r="AA1299" t="str">
        <f t="shared" si="120"/>
        <v>2026-02</v>
      </c>
      <c r="AB1299" t="str">
        <f t="shared" si="121"/>
        <v>H1_2026</v>
      </c>
      <c r="AC1299">
        <f t="shared" si="122"/>
        <v>3392723.88</v>
      </c>
      <c r="AD1299">
        <f t="shared" si="123"/>
        <v>390</v>
      </c>
      <c r="AE1299">
        <f t="shared" si="124"/>
        <v>857723.88</v>
      </c>
      <c r="AF1299" t="str">
        <f t="shared" si="125"/>
        <v>Paid</v>
      </c>
    </row>
    <row r="1300" spans="1:32" ht="17.25" thickBot="1" x14ac:dyDescent="0.35">
      <c r="A1300" s="2" t="s">
        <v>8775</v>
      </c>
      <c r="B1300" s="2" t="s">
        <v>27</v>
      </c>
      <c r="C1300" s="2" t="s">
        <v>28</v>
      </c>
      <c r="D1300" s="2" t="s">
        <v>97</v>
      </c>
      <c r="E1300" s="2" t="s">
        <v>8444</v>
      </c>
      <c r="F1300" s="2" t="s">
        <v>8445</v>
      </c>
      <c r="G1300" s="2" t="s">
        <v>32</v>
      </c>
      <c r="H1300" s="1"/>
      <c r="I1300" s="2" t="s">
        <v>33</v>
      </c>
      <c r="J1300" s="2" t="s">
        <v>34</v>
      </c>
      <c r="K1300" s="2" t="s">
        <v>808</v>
      </c>
      <c r="L1300" s="2" t="s">
        <v>809</v>
      </c>
      <c r="M1300" s="2" t="s">
        <v>772</v>
      </c>
      <c r="N1300" s="2" t="s">
        <v>38</v>
      </c>
      <c r="O1300" s="2" t="s">
        <v>1086</v>
      </c>
      <c r="P1300" s="2" t="s">
        <v>8776</v>
      </c>
      <c r="Q1300" s="2" t="s">
        <v>8777</v>
      </c>
      <c r="R1300" s="2" t="s">
        <v>40</v>
      </c>
      <c r="S1300" s="2" t="s">
        <v>8778</v>
      </c>
      <c r="T1300" s="2" t="s">
        <v>814</v>
      </c>
      <c r="U1300" s="2" t="s">
        <v>8779</v>
      </c>
      <c r="V1300" s="2" t="s">
        <v>8780</v>
      </c>
      <c r="W1300" s="1"/>
      <c r="X1300" s="2" t="s">
        <v>976</v>
      </c>
      <c r="Y1300" s="2" t="s">
        <v>8451</v>
      </c>
      <c r="AA1300" t="str">
        <f t="shared" si="120"/>
        <v>2026-02</v>
      </c>
      <c r="AB1300" t="str">
        <f t="shared" si="121"/>
        <v>H1_2026</v>
      </c>
      <c r="AC1300">
        <f t="shared" si="122"/>
        <v>9639850.5</v>
      </c>
      <c r="AD1300">
        <f t="shared" si="123"/>
        <v>750</v>
      </c>
      <c r="AE1300">
        <f t="shared" si="124"/>
        <v>1944850.5</v>
      </c>
      <c r="AF1300" t="str">
        <f t="shared" si="125"/>
        <v>Paid</v>
      </c>
    </row>
    <row r="1301" spans="1:32" ht="17.25" thickBot="1" x14ac:dyDescent="0.35">
      <c r="A1301" s="2" t="s">
        <v>8781</v>
      </c>
      <c r="B1301" s="2" t="s">
        <v>27</v>
      </c>
      <c r="C1301" s="2" t="s">
        <v>28</v>
      </c>
      <c r="D1301" s="2" t="s">
        <v>97</v>
      </c>
      <c r="E1301" s="2" t="s">
        <v>8444</v>
      </c>
      <c r="F1301" s="2" t="s">
        <v>8445</v>
      </c>
      <c r="G1301" s="2" t="s">
        <v>32</v>
      </c>
      <c r="H1301" s="1"/>
      <c r="I1301" s="2" t="s">
        <v>33</v>
      </c>
      <c r="J1301" s="2" t="s">
        <v>34</v>
      </c>
      <c r="K1301" s="2" t="s">
        <v>7970</v>
      </c>
      <c r="L1301" s="2" t="s">
        <v>7971</v>
      </c>
      <c r="M1301" s="2" t="s">
        <v>772</v>
      </c>
      <c r="N1301" s="2" t="s">
        <v>38</v>
      </c>
      <c r="O1301" s="2" t="s">
        <v>156</v>
      </c>
      <c r="P1301" s="2" t="s">
        <v>4064</v>
      </c>
      <c r="Q1301" s="2" t="s">
        <v>8782</v>
      </c>
      <c r="R1301" s="2" t="s">
        <v>40</v>
      </c>
      <c r="S1301" s="2" t="s">
        <v>8783</v>
      </c>
      <c r="T1301" s="2" t="s">
        <v>7175</v>
      </c>
      <c r="U1301" s="2" t="s">
        <v>8784</v>
      </c>
      <c r="V1301" s="2" t="s">
        <v>8785</v>
      </c>
      <c r="W1301" s="1"/>
      <c r="X1301" s="2" t="s">
        <v>258</v>
      </c>
      <c r="Y1301" s="2" t="s">
        <v>8451</v>
      </c>
      <c r="AA1301" t="str">
        <f t="shared" si="120"/>
        <v>2026-02</v>
      </c>
      <c r="AB1301" t="str">
        <f t="shared" si="121"/>
        <v>H1_2026</v>
      </c>
      <c r="AC1301">
        <f t="shared" si="122"/>
        <v>173426.4</v>
      </c>
      <c r="AD1301">
        <f t="shared" si="123"/>
        <v>20</v>
      </c>
      <c r="AE1301">
        <f t="shared" si="124"/>
        <v>34226.400000000001</v>
      </c>
      <c r="AF1301" t="str">
        <f t="shared" si="125"/>
        <v>Paid</v>
      </c>
    </row>
    <row r="1302" spans="1:32" ht="17.25" thickBot="1" x14ac:dyDescent="0.35">
      <c r="A1302" s="2" t="s">
        <v>8786</v>
      </c>
      <c r="B1302" s="2" t="s">
        <v>27</v>
      </c>
      <c r="C1302" s="2" t="s">
        <v>28</v>
      </c>
      <c r="D1302" s="2" t="s">
        <v>97</v>
      </c>
      <c r="E1302" s="2" t="s">
        <v>8444</v>
      </c>
      <c r="F1302" s="2" t="s">
        <v>8445</v>
      </c>
      <c r="G1302" s="2" t="s">
        <v>32</v>
      </c>
      <c r="H1302" s="1"/>
      <c r="I1302" s="2" t="s">
        <v>33</v>
      </c>
      <c r="J1302" s="2" t="s">
        <v>34</v>
      </c>
      <c r="K1302" s="2" t="s">
        <v>840</v>
      </c>
      <c r="L1302" s="2" t="s">
        <v>841</v>
      </c>
      <c r="M1302" s="2" t="s">
        <v>772</v>
      </c>
      <c r="N1302" s="2" t="s">
        <v>38</v>
      </c>
      <c r="O1302" s="2" t="s">
        <v>131</v>
      </c>
      <c r="P1302" s="2" t="s">
        <v>3677</v>
      </c>
      <c r="Q1302" s="2" t="s">
        <v>8787</v>
      </c>
      <c r="R1302" s="2" t="s">
        <v>40</v>
      </c>
      <c r="S1302" s="2" t="s">
        <v>8788</v>
      </c>
      <c r="T1302" s="2" t="s">
        <v>297</v>
      </c>
      <c r="U1302" s="2" t="s">
        <v>7980</v>
      </c>
      <c r="V1302" s="2" t="s">
        <v>8789</v>
      </c>
      <c r="W1302" s="1"/>
      <c r="X1302" s="2" t="s">
        <v>2781</v>
      </c>
      <c r="Y1302" s="2" t="s">
        <v>8451</v>
      </c>
      <c r="AA1302" t="str">
        <f t="shared" si="120"/>
        <v>2026-02</v>
      </c>
      <c r="AB1302" t="str">
        <f t="shared" si="121"/>
        <v>H1_2026</v>
      </c>
      <c r="AC1302">
        <f t="shared" si="122"/>
        <v>403356.24</v>
      </c>
      <c r="AD1302">
        <f t="shared" si="123"/>
        <v>40</v>
      </c>
      <c r="AE1302">
        <f t="shared" si="124"/>
        <v>83356.240000000005</v>
      </c>
      <c r="AF1302" t="str">
        <f t="shared" si="125"/>
        <v>Paid</v>
      </c>
    </row>
    <row r="1303" spans="1:32" ht="17.25" thickBot="1" x14ac:dyDescent="0.35">
      <c r="A1303" s="2" t="s">
        <v>8790</v>
      </c>
      <c r="B1303" s="2" t="s">
        <v>27</v>
      </c>
      <c r="C1303" s="2" t="s">
        <v>28</v>
      </c>
      <c r="D1303" s="2" t="s">
        <v>97</v>
      </c>
      <c r="E1303" s="2" t="s">
        <v>8444</v>
      </c>
      <c r="F1303" s="2" t="s">
        <v>8445</v>
      </c>
      <c r="G1303" s="2" t="s">
        <v>32</v>
      </c>
      <c r="H1303" s="1"/>
      <c r="I1303" s="2" t="s">
        <v>33</v>
      </c>
      <c r="J1303" s="2" t="s">
        <v>34</v>
      </c>
      <c r="K1303" s="2" t="s">
        <v>847</v>
      </c>
      <c r="L1303" s="2" t="s">
        <v>848</v>
      </c>
      <c r="M1303" s="2" t="s">
        <v>772</v>
      </c>
      <c r="N1303" s="2" t="s">
        <v>38</v>
      </c>
      <c r="O1303" s="2" t="s">
        <v>466</v>
      </c>
      <c r="P1303" s="2" t="s">
        <v>8791</v>
      </c>
      <c r="Q1303" s="2" t="s">
        <v>8792</v>
      </c>
      <c r="R1303" s="2" t="s">
        <v>40</v>
      </c>
      <c r="S1303" s="2" t="s">
        <v>8793</v>
      </c>
      <c r="T1303" s="2" t="s">
        <v>853</v>
      </c>
      <c r="U1303" s="2" t="s">
        <v>8794</v>
      </c>
      <c r="V1303" s="2" t="s">
        <v>8795</v>
      </c>
      <c r="W1303" s="1"/>
      <c r="X1303" s="2" t="s">
        <v>6362</v>
      </c>
      <c r="Y1303" s="2" t="s">
        <v>8451</v>
      </c>
      <c r="AA1303" t="str">
        <f t="shared" si="120"/>
        <v>2026-02</v>
      </c>
      <c r="AB1303" t="str">
        <f t="shared" si="121"/>
        <v>H1_2026</v>
      </c>
      <c r="AC1303">
        <f t="shared" si="122"/>
        <v>723495.78</v>
      </c>
      <c r="AD1303">
        <f t="shared" si="123"/>
        <v>70</v>
      </c>
      <c r="AE1303">
        <f t="shared" si="124"/>
        <v>136335.78</v>
      </c>
      <c r="AF1303" t="str">
        <f t="shared" si="125"/>
        <v>Paid</v>
      </c>
    </row>
    <row r="1304" spans="1:32" ht="17.25" thickBot="1" x14ac:dyDescent="0.35">
      <c r="A1304" s="2" t="s">
        <v>8796</v>
      </c>
      <c r="B1304" s="2" t="s">
        <v>27</v>
      </c>
      <c r="C1304" s="2" t="s">
        <v>28</v>
      </c>
      <c r="D1304" s="2" t="s">
        <v>97</v>
      </c>
      <c r="E1304" s="2" t="s">
        <v>8444</v>
      </c>
      <c r="F1304" s="2" t="s">
        <v>8445</v>
      </c>
      <c r="G1304" s="2" t="s">
        <v>32</v>
      </c>
      <c r="H1304" s="1"/>
      <c r="I1304" s="2" t="s">
        <v>33</v>
      </c>
      <c r="J1304" s="2" t="s">
        <v>34</v>
      </c>
      <c r="K1304" s="2" t="s">
        <v>4295</v>
      </c>
      <c r="L1304" s="2" t="s">
        <v>4296</v>
      </c>
      <c r="M1304" s="2" t="s">
        <v>772</v>
      </c>
      <c r="N1304" s="2" t="s">
        <v>38</v>
      </c>
      <c r="O1304" s="2" t="s">
        <v>748</v>
      </c>
      <c r="P1304" s="2" t="s">
        <v>8797</v>
      </c>
      <c r="Q1304" s="2" t="s">
        <v>8798</v>
      </c>
      <c r="R1304" s="2" t="s">
        <v>40</v>
      </c>
      <c r="S1304" s="2" t="s">
        <v>8799</v>
      </c>
      <c r="T1304" s="2" t="s">
        <v>864</v>
      </c>
      <c r="U1304" s="2" t="s">
        <v>8800</v>
      </c>
      <c r="V1304" s="2" t="s">
        <v>8801</v>
      </c>
      <c r="W1304" s="1"/>
      <c r="X1304" s="2" t="s">
        <v>155</v>
      </c>
      <c r="Y1304" s="2" t="s">
        <v>8451</v>
      </c>
      <c r="AA1304" t="str">
        <f t="shared" si="120"/>
        <v>2026-02</v>
      </c>
      <c r="AB1304" t="str">
        <f t="shared" si="121"/>
        <v>H1_2026</v>
      </c>
      <c r="AC1304">
        <f t="shared" si="122"/>
        <v>2608109.2799999998</v>
      </c>
      <c r="AD1304">
        <f t="shared" si="123"/>
        <v>280</v>
      </c>
      <c r="AE1304">
        <f t="shared" si="124"/>
        <v>508109.28</v>
      </c>
      <c r="AF1304" t="str">
        <f t="shared" si="125"/>
        <v>Paid</v>
      </c>
    </row>
    <row r="1305" spans="1:32" ht="17.25" thickBot="1" x14ac:dyDescent="0.35">
      <c r="A1305" s="2" t="s">
        <v>8802</v>
      </c>
      <c r="B1305" s="2" t="s">
        <v>27</v>
      </c>
      <c r="C1305" s="2" t="s">
        <v>28</v>
      </c>
      <c r="D1305" s="2" t="s">
        <v>97</v>
      </c>
      <c r="E1305" s="2" t="s">
        <v>8444</v>
      </c>
      <c r="F1305" s="2" t="s">
        <v>8445</v>
      </c>
      <c r="G1305" s="2" t="s">
        <v>32</v>
      </c>
      <c r="H1305" s="1"/>
      <c r="I1305" s="2" t="s">
        <v>33</v>
      </c>
      <c r="J1305" s="2" t="s">
        <v>34</v>
      </c>
      <c r="K1305" s="2" t="s">
        <v>878</v>
      </c>
      <c r="L1305" s="2" t="s">
        <v>879</v>
      </c>
      <c r="M1305" s="2" t="s">
        <v>772</v>
      </c>
      <c r="N1305" s="2" t="s">
        <v>38</v>
      </c>
      <c r="O1305" s="2" t="s">
        <v>159</v>
      </c>
      <c r="P1305" s="2" t="s">
        <v>8803</v>
      </c>
      <c r="Q1305" s="2" t="s">
        <v>8804</v>
      </c>
      <c r="R1305" s="2" t="s">
        <v>40</v>
      </c>
      <c r="S1305" s="2" t="s">
        <v>8805</v>
      </c>
      <c r="T1305" s="2" t="s">
        <v>883</v>
      </c>
      <c r="U1305" s="2" t="s">
        <v>8806</v>
      </c>
      <c r="V1305" s="2" t="s">
        <v>8807</v>
      </c>
      <c r="W1305" s="1"/>
      <c r="X1305" s="2" t="s">
        <v>2226</v>
      </c>
      <c r="Y1305" s="2" t="s">
        <v>8451</v>
      </c>
      <c r="AA1305" t="str">
        <f t="shared" si="120"/>
        <v>2026-02</v>
      </c>
      <c r="AB1305" t="str">
        <f t="shared" si="121"/>
        <v>H1_2026</v>
      </c>
      <c r="AC1305">
        <f t="shared" si="122"/>
        <v>998040.96</v>
      </c>
      <c r="AD1305">
        <f t="shared" si="123"/>
        <v>80</v>
      </c>
      <c r="AE1305">
        <f t="shared" si="124"/>
        <v>186040.95999999999</v>
      </c>
      <c r="AF1305" t="str">
        <f t="shared" si="125"/>
        <v>Paid</v>
      </c>
    </row>
    <row r="1306" spans="1:32" ht="17.25" thickBot="1" x14ac:dyDescent="0.35">
      <c r="A1306" s="2" t="s">
        <v>8808</v>
      </c>
      <c r="B1306" s="2" t="s">
        <v>27</v>
      </c>
      <c r="C1306" s="2" t="s">
        <v>28</v>
      </c>
      <c r="D1306" s="2" t="s">
        <v>97</v>
      </c>
      <c r="E1306" s="2" t="s">
        <v>8444</v>
      </c>
      <c r="F1306" s="2" t="s">
        <v>8445</v>
      </c>
      <c r="G1306" s="2" t="s">
        <v>32</v>
      </c>
      <c r="H1306" s="1"/>
      <c r="I1306" s="2" t="s">
        <v>33</v>
      </c>
      <c r="J1306" s="2" t="s">
        <v>34</v>
      </c>
      <c r="K1306" s="2" t="s">
        <v>946</v>
      </c>
      <c r="L1306" s="2" t="s">
        <v>947</v>
      </c>
      <c r="M1306" s="2" t="s">
        <v>772</v>
      </c>
      <c r="N1306" s="2" t="s">
        <v>38</v>
      </c>
      <c r="O1306" s="2" t="s">
        <v>503</v>
      </c>
      <c r="P1306" s="2" t="s">
        <v>410</v>
      </c>
      <c r="Q1306" s="2" t="s">
        <v>8809</v>
      </c>
      <c r="R1306" s="2" t="s">
        <v>40</v>
      </c>
      <c r="S1306" s="2" t="s">
        <v>8810</v>
      </c>
      <c r="T1306" s="2" t="s">
        <v>952</v>
      </c>
      <c r="U1306" s="2" t="s">
        <v>8811</v>
      </c>
      <c r="V1306" s="2" t="s">
        <v>8812</v>
      </c>
      <c r="W1306" s="1"/>
      <c r="X1306" s="2" t="s">
        <v>3089</v>
      </c>
      <c r="Y1306" s="2" t="s">
        <v>8451</v>
      </c>
      <c r="AA1306" t="str">
        <f t="shared" si="120"/>
        <v>2026-02</v>
      </c>
      <c r="AB1306" t="str">
        <f t="shared" si="121"/>
        <v>H1_2026</v>
      </c>
      <c r="AC1306">
        <f t="shared" si="122"/>
        <v>4608806.58</v>
      </c>
      <c r="AD1306">
        <f t="shared" si="123"/>
        <v>310</v>
      </c>
      <c r="AE1306">
        <f t="shared" si="124"/>
        <v>888806.58</v>
      </c>
      <c r="AF1306" t="str">
        <f t="shared" si="125"/>
        <v>Paid</v>
      </c>
    </row>
    <row r="1307" spans="1:32" ht="17.25" thickBot="1" x14ac:dyDescent="0.35">
      <c r="A1307" s="2" t="s">
        <v>8813</v>
      </c>
      <c r="B1307" s="2" t="s">
        <v>27</v>
      </c>
      <c r="C1307" s="2" t="s">
        <v>28</v>
      </c>
      <c r="D1307" s="2" t="s">
        <v>97</v>
      </c>
      <c r="E1307" s="2" t="s">
        <v>8444</v>
      </c>
      <c r="F1307" s="2" t="s">
        <v>8445</v>
      </c>
      <c r="G1307" s="2" t="s">
        <v>32</v>
      </c>
      <c r="H1307" s="1"/>
      <c r="I1307" s="2" t="s">
        <v>33</v>
      </c>
      <c r="J1307" s="2" t="s">
        <v>34</v>
      </c>
      <c r="K1307" s="2" t="s">
        <v>999</v>
      </c>
      <c r="L1307" s="2" t="s">
        <v>1000</v>
      </c>
      <c r="M1307" s="2" t="s">
        <v>772</v>
      </c>
      <c r="N1307" s="2" t="s">
        <v>38</v>
      </c>
      <c r="O1307" s="2" t="s">
        <v>221</v>
      </c>
      <c r="P1307" s="2" t="s">
        <v>4310</v>
      </c>
      <c r="Q1307" s="2" t="s">
        <v>8814</v>
      </c>
      <c r="R1307" s="2" t="s">
        <v>40</v>
      </c>
      <c r="S1307" s="2" t="s">
        <v>8815</v>
      </c>
      <c r="T1307" s="2" t="s">
        <v>8816</v>
      </c>
      <c r="U1307" s="2" t="s">
        <v>8817</v>
      </c>
      <c r="V1307" s="2" t="s">
        <v>8818</v>
      </c>
      <c r="W1307" s="1"/>
      <c r="X1307" s="2" t="s">
        <v>8198</v>
      </c>
      <c r="Y1307" s="2" t="s">
        <v>8451</v>
      </c>
      <c r="AA1307" t="str">
        <f t="shared" si="120"/>
        <v>2026-02</v>
      </c>
      <c r="AB1307" t="str">
        <f t="shared" si="121"/>
        <v>H1_2026</v>
      </c>
      <c r="AC1307">
        <f t="shared" si="122"/>
        <v>1300138.56</v>
      </c>
      <c r="AD1307">
        <f t="shared" si="123"/>
        <v>140</v>
      </c>
      <c r="AE1307">
        <f t="shared" si="124"/>
        <v>340438.56</v>
      </c>
      <c r="AF1307" t="str">
        <f t="shared" si="125"/>
        <v>Paid</v>
      </c>
    </row>
    <row r="1308" spans="1:32" ht="17.25" thickBot="1" x14ac:dyDescent="0.35">
      <c r="A1308" s="2" t="s">
        <v>8819</v>
      </c>
      <c r="B1308" s="2" t="s">
        <v>27</v>
      </c>
      <c r="C1308" s="2" t="s">
        <v>28</v>
      </c>
      <c r="D1308" s="2" t="s">
        <v>97</v>
      </c>
      <c r="E1308" s="2" t="s">
        <v>8444</v>
      </c>
      <c r="F1308" s="2" t="s">
        <v>8445</v>
      </c>
      <c r="G1308" s="2" t="s">
        <v>32</v>
      </c>
      <c r="H1308" s="1"/>
      <c r="I1308" s="2" t="s">
        <v>33</v>
      </c>
      <c r="J1308" s="2" t="s">
        <v>34</v>
      </c>
      <c r="K1308" s="2" t="s">
        <v>8820</v>
      </c>
      <c r="L1308" s="2" t="s">
        <v>8821</v>
      </c>
      <c r="M1308" s="2" t="s">
        <v>772</v>
      </c>
      <c r="N1308" s="2" t="s">
        <v>38</v>
      </c>
      <c r="O1308" s="2" t="s">
        <v>2141</v>
      </c>
      <c r="P1308" s="2" t="s">
        <v>7230</v>
      </c>
      <c r="Q1308" s="2" t="s">
        <v>8822</v>
      </c>
      <c r="R1308" s="2" t="s">
        <v>40</v>
      </c>
      <c r="S1308" s="2" t="s">
        <v>8823</v>
      </c>
      <c r="T1308" s="2" t="s">
        <v>983</v>
      </c>
      <c r="U1308" s="2" t="s">
        <v>8824</v>
      </c>
      <c r="V1308" s="2" t="s">
        <v>8825</v>
      </c>
      <c r="W1308" s="1"/>
      <c r="X1308" s="2" t="s">
        <v>838</v>
      </c>
      <c r="Y1308" s="2" t="s">
        <v>8451</v>
      </c>
      <c r="AA1308" t="str">
        <f t="shared" si="120"/>
        <v>2026-02</v>
      </c>
      <c r="AB1308" t="str">
        <f t="shared" si="121"/>
        <v>H1_2026</v>
      </c>
      <c r="AC1308">
        <f t="shared" si="122"/>
        <v>5522092.3799999999</v>
      </c>
      <c r="AD1308">
        <f t="shared" si="123"/>
        <v>410</v>
      </c>
      <c r="AE1308">
        <f t="shared" si="124"/>
        <v>1155592.3799999999</v>
      </c>
      <c r="AF1308" t="str">
        <f t="shared" si="125"/>
        <v>Paid</v>
      </c>
    </row>
    <row r="1309" spans="1:32" ht="17.25" thickBot="1" x14ac:dyDescent="0.35">
      <c r="A1309" s="2" t="s">
        <v>8826</v>
      </c>
      <c r="B1309" s="2" t="s">
        <v>27</v>
      </c>
      <c r="C1309" s="2" t="s">
        <v>28</v>
      </c>
      <c r="D1309" s="2" t="s">
        <v>97</v>
      </c>
      <c r="E1309" s="2" t="s">
        <v>8444</v>
      </c>
      <c r="F1309" s="2" t="s">
        <v>8445</v>
      </c>
      <c r="G1309" s="2" t="s">
        <v>32</v>
      </c>
      <c r="H1309" s="1"/>
      <c r="I1309" s="2" t="s">
        <v>33</v>
      </c>
      <c r="J1309" s="2" t="s">
        <v>34</v>
      </c>
      <c r="K1309" s="2" t="s">
        <v>1008</v>
      </c>
      <c r="L1309" s="2" t="s">
        <v>1009</v>
      </c>
      <c r="M1309" s="2" t="s">
        <v>772</v>
      </c>
      <c r="N1309" s="2" t="s">
        <v>38</v>
      </c>
      <c r="O1309" s="2" t="s">
        <v>1836</v>
      </c>
      <c r="P1309" s="2" t="s">
        <v>5139</v>
      </c>
      <c r="Q1309" s="2" t="s">
        <v>8827</v>
      </c>
      <c r="R1309" s="2" t="s">
        <v>40</v>
      </c>
      <c r="S1309" s="2" t="s">
        <v>8828</v>
      </c>
      <c r="T1309" s="2" t="s">
        <v>8829</v>
      </c>
      <c r="U1309" s="2" t="s">
        <v>8830</v>
      </c>
      <c r="V1309" s="2" t="s">
        <v>8831</v>
      </c>
      <c r="W1309" s="1"/>
      <c r="X1309" s="2" t="s">
        <v>2797</v>
      </c>
      <c r="Y1309" s="2" t="s">
        <v>8451</v>
      </c>
      <c r="AA1309" t="str">
        <f t="shared" si="120"/>
        <v>2026-02</v>
      </c>
      <c r="AB1309" t="str">
        <f t="shared" si="121"/>
        <v>H1_2026</v>
      </c>
      <c r="AC1309">
        <f t="shared" si="122"/>
        <v>2323074.6</v>
      </c>
      <c r="AD1309">
        <f t="shared" si="123"/>
        <v>220</v>
      </c>
      <c r="AE1309">
        <f t="shared" si="124"/>
        <v>475514.6</v>
      </c>
      <c r="AF1309" t="str">
        <f t="shared" si="125"/>
        <v>Paid</v>
      </c>
    </row>
    <row r="1310" spans="1:32" ht="17.25" thickBot="1" x14ac:dyDescent="0.35">
      <c r="A1310" s="2" t="s">
        <v>8832</v>
      </c>
      <c r="B1310" s="2" t="s">
        <v>27</v>
      </c>
      <c r="C1310" s="2" t="s">
        <v>28</v>
      </c>
      <c r="D1310" s="2" t="s">
        <v>97</v>
      </c>
      <c r="E1310" s="2" t="s">
        <v>8444</v>
      </c>
      <c r="F1310" s="2" t="s">
        <v>8445</v>
      </c>
      <c r="G1310" s="2" t="s">
        <v>32</v>
      </c>
      <c r="H1310" s="1"/>
      <c r="I1310" s="2" t="s">
        <v>33</v>
      </c>
      <c r="J1310" s="2" t="s">
        <v>34</v>
      </c>
      <c r="K1310" s="2" t="s">
        <v>1033</v>
      </c>
      <c r="L1310" s="2" t="s">
        <v>1034</v>
      </c>
      <c r="M1310" s="2" t="s">
        <v>772</v>
      </c>
      <c r="N1310" s="2" t="s">
        <v>38</v>
      </c>
      <c r="O1310" s="2" t="s">
        <v>3068</v>
      </c>
      <c r="P1310" s="2" t="s">
        <v>7004</v>
      </c>
      <c r="Q1310" s="2" t="s">
        <v>8833</v>
      </c>
      <c r="R1310" s="2" t="s">
        <v>40</v>
      </c>
      <c r="S1310" s="2" t="s">
        <v>8834</v>
      </c>
      <c r="T1310" s="2" t="s">
        <v>1039</v>
      </c>
      <c r="U1310" s="2" t="s">
        <v>8835</v>
      </c>
      <c r="V1310" s="2" t="s">
        <v>8836</v>
      </c>
      <c r="W1310" s="1"/>
      <c r="X1310" s="2" t="s">
        <v>3583</v>
      </c>
      <c r="Y1310" s="2" t="s">
        <v>8451</v>
      </c>
      <c r="AA1310" t="str">
        <f t="shared" si="120"/>
        <v>2026-02</v>
      </c>
      <c r="AB1310" t="str">
        <f t="shared" si="121"/>
        <v>H1_2026</v>
      </c>
      <c r="AC1310">
        <f t="shared" si="122"/>
        <v>7509083.4000000004</v>
      </c>
      <c r="AD1310">
        <f t="shared" si="123"/>
        <v>700</v>
      </c>
      <c r="AE1310">
        <f t="shared" si="124"/>
        <v>1489083.4</v>
      </c>
      <c r="AF1310" t="str">
        <f t="shared" si="125"/>
        <v>Paid</v>
      </c>
    </row>
    <row r="1311" spans="1:32" ht="17.25" thickBot="1" x14ac:dyDescent="0.35">
      <c r="A1311" s="2" t="s">
        <v>8837</v>
      </c>
      <c r="B1311" s="2" t="s">
        <v>27</v>
      </c>
      <c r="C1311" s="2" t="s">
        <v>28</v>
      </c>
      <c r="D1311" s="2" t="s">
        <v>97</v>
      </c>
      <c r="E1311" s="2" t="s">
        <v>8444</v>
      </c>
      <c r="F1311" s="2" t="s">
        <v>8445</v>
      </c>
      <c r="G1311" s="2" t="s">
        <v>32</v>
      </c>
      <c r="H1311" s="1"/>
      <c r="I1311" s="2" t="s">
        <v>33</v>
      </c>
      <c r="J1311" s="2" t="s">
        <v>34</v>
      </c>
      <c r="K1311" s="2" t="s">
        <v>1054</v>
      </c>
      <c r="L1311" s="2" t="s">
        <v>1055</v>
      </c>
      <c r="M1311" s="2" t="s">
        <v>772</v>
      </c>
      <c r="N1311" s="2" t="s">
        <v>38</v>
      </c>
      <c r="O1311" s="2" t="s">
        <v>206</v>
      </c>
      <c r="P1311" s="2" t="s">
        <v>2612</v>
      </c>
      <c r="Q1311" s="2" t="s">
        <v>8838</v>
      </c>
      <c r="R1311" s="2" t="s">
        <v>40</v>
      </c>
      <c r="S1311" s="2" t="s">
        <v>8839</v>
      </c>
      <c r="T1311" s="2" t="s">
        <v>1060</v>
      </c>
      <c r="U1311" s="2" t="s">
        <v>8840</v>
      </c>
      <c r="V1311" s="2" t="s">
        <v>8841</v>
      </c>
      <c r="W1311" s="1"/>
      <c r="X1311" s="2" t="s">
        <v>3589</v>
      </c>
      <c r="Y1311" s="2" t="s">
        <v>8451</v>
      </c>
      <c r="AA1311" t="str">
        <f t="shared" si="120"/>
        <v>2026-02</v>
      </c>
      <c r="AB1311" t="str">
        <f t="shared" si="121"/>
        <v>H1_2026</v>
      </c>
      <c r="AC1311">
        <f t="shared" si="122"/>
        <v>3531465</v>
      </c>
      <c r="AD1311">
        <f t="shared" si="123"/>
        <v>500</v>
      </c>
      <c r="AE1311">
        <f t="shared" si="124"/>
        <v>721465</v>
      </c>
      <c r="AF1311" t="str">
        <f t="shared" si="125"/>
        <v>Paid</v>
      </c>
    </row>
    <row r="1312" spans="1:32" ht="17.25" thickBot="1" x14ac:dyDescent="0.35">
      <c r="A1312" s="2" t="s">
        <v>8842</v>
      </c>
      <c r="B1312" s="2" t="s">
        <v>27</v>
      </c>
      <c r="C1312" s="2" t="s">
        <v>28</v>
      </c>
      <c r="D1312" s="2" t="s">
        <v>97</v>
      </c>
      <c r="E1312" s="2" t="s">
        <v>8444</v>
      </c>
      <c r="F1312" s="2" t="s">
        <v>8445</v>
      </c>
      <c r="G1312" s="2" t="s">
        <v>32</v>
      </c>
      <c r="H1312" s="1"/>
      <c r="I1312" s="2" t="s">
        <v>33</v>
      </c>
      <c r="J1312" s="2" t="s">
        <v>34</v>
      </c>
      <c r="K1312" s="2" t="s">
        <v>6441</v>
      </c>
      <c r="L1312" s="2" t="s">
        <v>6442</v>
      </c>
      <c r="M1312" s="2" t="s">
        <v>772</v>
      </c>
      <c r="N1312" s="2" t="s">
        <v>38</v>
      </c>
      <c r="O1312" s="2" t="s">
        <v>1631</v>
      </c>
      <c r="P1312" s="2" t="s">
        <v>6765</v>
      </c>
      <c r="Q1312" s="2" t="s">
        <v>8843</v>
      </c>
      <c r="R1312" s="2" t="s">
        <v>40</v>
      </c>
      <c r="S1312" s="2" t="s">
        <v>8844</v>
      </c>
      <c r="T1312" s="2" t="s">
        <v>5341</v>
      </c>
      <c r="U1312" s="2" t="s">
        <v>8845</v>
      </c>
      <c r="V1312" s="2" t="s">
        <v>8846</v>
      </c>
      <c r="W1312" s="1"/>
      <c r="X1312" s="2" t="s">
        <v>2104</v>
      </c>
      <c r="Y1312" s="2" t="s">
        <v>8451</v>
      </c>
      <c r="AA1312" t="str">
        <f t="shared" si="120"/>
        <v>2026-02</v>
      </c>
      <c r="AB1312" t="str">
        <f t="shared" si="121"/>
        <v>H1_2026</v>
      </c>
      <c r="AC1312">
        <f t="shared" si="122"/>
        <v>1748529.72</v>
      </c>
      <c r="AD1312">
        <f t="shared" si="123"/>
        <v>190</v>
      </c>
      <c r="AE1312">
        <f t="shared" si="124"/>
        <v>350129.72</v>
      </c>
      <c r="AF1312" t="str">
        <f t="shared" si="125"/>
        <v>Paid</v>
      </c>
    </row>
    <row r="1313" spans="1:32" ht="27.75" thickBot="1" x14ac:dyDescent="0.35">
      <c r="A1313" s="2" t="s">
        <v>8847</v>
      </c>
      <c r="B1313" s="2" t="s">
        <v>27</v>
      </c>
      <c r="C1313" s="2" t="s">
        <v>28</v>
      </c>
      <c r="D1313" s="2" t="s">
        <v>97</v>
      </c>
      <c r="E1313" s="2" t="s">
        <v>8444</v>
      </c>
      <c r="F1313" s="2" t="s">
        <v>8445</v>
      </c>
      <c r="G1313" s="2" t="s">
        <v>32</v>
      </c>
      <c r="H1313" s="1"/>
      <c r="I1313" s="2" t="s">
        <v>33</v>
      </c>
      <c r="J1313" s="2" t="s">
        <v>34</v>
      </c>
      <c r="K1313" s="2" t="s">
        <v>8848</v>
      </c>
      <c r="L1313" s="2" t="s">
        <v>8849</v>
      </c>
      <c r="M1313" s="2" t="s">
        <v>8850</v>
      </c>
      <c r="N1313" s="2" t="s">
        <v>38</v>
      </c>
      <c r="O1313" s="2" t="s">
        <v>141</v>
      </c>
      <c r="P1313" s="2" t="s">
        <v>8851</v>
      </c>
      <c r="Q1313" s="2" t="s">
        <v>4677</v>
      </c>
      <c r="R1313" s="2" t="s">
        <v>40</v>
      </c>
      <c r="S1313" s="2" t="s">
        <v>8852</v>
      </c>
      <c r="T1313" s="2" t="s">
        <v>8853</v>
      </c>
      <c r="U1313" s="2" t="s">
        <v>8854</v>
      </c>
      <c r="V1313" s="2" t="s">
        <v>8855</v>
      </c>
      <c r="W1313" s="1"/>
      <c r="X1313" s="2" t="s">
        <v>1375</v>
      </c>
      <c r="Y1313" s="2" t="s">
        <v>8451</v>
      </c>
      <c r="AA1313" t="str">
        <f t="shared" si="120"/>
        <v>2026-02</v>
      </c>
      <c r="AB1313" t="str">
        <f t="shared" si="121"/>
        <v>H1_2026</v>
      </c>
      <c r="AC1313">
        <f t="shared" si="122"/>
        <v>234125.64</v>
      </c>
      <c r="AD1313">
        <f t="shared" si="123"/>
        <v>30</v>
      </c>
      <c r="AE1313">
        <f t="shared" si="124"/>
        <v>58625.64</v>
      </c>
      <c r="AF1313" t="str">
        <f t="shared" si="125"/>
        <v>Paid</v>
      </c>
    </row>
    <row r="1314" spans="1:32" ht="27.75" thickBot="1" x14ac:dyDescent="0.35">
      <c r="A1314" s="2" t="s">
        <v>8856</v>
      </c>
      <c r="B1314" s="2" t="s">
        <v>27</v>
      </c>
      <c r="C1314" s="2" t="s">
        <v>28</v>
      </c>
      <c r="D1314" s="2" t="s">
        <v>97</v>
      </c>
      <c r="E1314" s="2" t="s">
        <v>8444</v>
      </c>
      <c r="F1314" s="2" t="s">
        <v>8445</v>
      </c>
      <c r="G1314" s="2" t="s">
        <v>32</v>
      </c>
      <c r="H1314" s="1"/>
      <c r="I1314" s="2" t="s">
        <v>33</v>
      </c>
      <c r="J1314" s="2" t="s">
        <v>34</v>
      </c>
      <c r="K1314" s="2" t="s">
        <v>3105</v>
      </c>
      <c r="L1314" s="2" t="s">
        <v>3106</v>
      </c>
      <c r="M1314" s="2" t="s">
        <v>3067</v>
      </c>
      <c r="N1314" s="2" t="s">
        <v>38</v>
      </c>
      <c r="O1314" s="2" t="s">
        <v>156</v>
      </c>
      <c r="P1314" s="2" t="s">
        <v>8857</v>
      </c>
      <c r="Q1314" s="2" t="s">
        <v>7099</v>
      </c>
      <c r="R1314" s="2" t="s">
        <v>40</v>
      </c>
      <c r="S1314" s="2" t="s">
        <v>8858</v>
      </c>
      <c r="T1314" s="2" t="s">
        <v>3110</v>
      </c>
      <c r="U1314" s="2" t="s">
        <v>5407</v>
      </c>
      <c r="V1314" s="2" t="s">
        <v>8859</v>
      </c>
      <c r="W1314" s="1"/>
      <c r="X1314" s="2" t="s">
        <v>897</v>
      </c>
      <c r="Y1314" s="2" t="s">
        <v>8451</v>
      </c>
      <c r="AA1314" t="str">
        <f t="shared" si="120"/>
        <v>2026-02</v>
      </c>
      <c r="AB1314" t="str">
        <f t="shared" si="121"/>
        <v>H1_2026</v>
      </c>
      <c r="AC1314">
        <f t="shared" si="122"/>
        <v>101258.64</v>
      </c>
      <c r="AD1314">
        <f t="shared" si="123"/>
        <v>20</v>
      </c>
      <c r="AE1314">
        <f t="shared" si="124"/>
        <v>21258.639999999999</v>
      </c>
      <c r="AF1314" t="str">
        <f t="shared" si="125"/>
        <v>Paid</v>
      </c>
    </row>
    <row r="1315" spans="1:32" ht="17.25" thickBot="1" x14ac:dyDescent="0.35">
      <c r="A1315" s="2" t="s">
        <v>8860</v>
      </c>
      <c r="B1315" s="2" t="s">
        <v>27</v>
      </c>
      <c r="C1315" s="2" t="s">
        <v>28</v>
      </c>
      <c r="D1315" s="2" t="s">
        <v>97</v>
      </c>
      <c r="E1315" s="2" t="s">
        <v>8444</v>
      </c>
      <c r="F1315" s="2" t="s">
        <v>8445</v>
      </c>
      <c r="G1315" s="2" t="s">
        <v>32</v>
      </c>
      <c r="H1315" s="1"/>
      <c r="I1315" s="2" t="s">
        <v>33</v>
      </c>
      <c r="J1315" s="2" t="s">
        <v>34</v>
      </c>
      <c r="K1315" s="2" t="s">
        <v>1684</v>
      </c>
      <c r="L1315" s="2" t="s">
        <v>1685</v>
      </c>
      <c r="M1315" s="2" t="s">
        <v>1686</v>
      </c>
      <c r="N1315" s="2" t="s">
        <v>38</v>
      </c>
      <c r="O1315" s="2" t="s">
        <v>3864</v>
      </c>
      <c r="P1315" s="2" t="s">
        <v>5833</v>
      </c>
      <c r="Q1315" s="2" t="s">
        <v>8861</v>
      </c>
      <c r="R1315" s="2" t="s">
        <v>40</v>
      </c>
      <c r="S1315" s="2" t="s">
        <v>8862</v>
      </c>
      <c r="T1315" s="2" t="s">
        <v>2383</v>
      </c>
      <c r="U1315" s="2" t="s">
        <v>8863</v>
      </c>
      <c r="V1315" s="2" t="s">
        <v>8864</v>
      </c>
      <c r="W1315" s="1"/>
      <c r="X1315" s="2" t="s">
        <v>4350</v>
      </c>
      <c r="Y1315" s="2" t="s">
        <v>8451</v>
      </c>
      <c r="AA1315" t="str">
        <f t="shared" si="120"/>
        <v>2026-02</v>
      </c>
      <c r="AB1315" t="str">
        <f t="shared" si="121"/>
        <v>H1_2026</v>
      </c>
      <c r="AC1315">
        <f t="shared" si="122"/>
        <v>3228416.35</v>
      </c>
      <c r="AD1315">
        <f t="shared" si="123"/>
        <v>504</v>
      </c>
      <c r="AE1315">
        <f t="shared" si="124"/>
        <v>754234.54</v>
      </c>
      <c r="AF1315" t="str">
        <f t="shared" si="125"/>
        <v>Paid</v>
      </c>
    </row>
    <row r="1316" spans="1:32" ht="17.25" thickBot="1" x14ac:dyDescent="0.35">
      <c r="A1316" s="2" t="s">
        <v>8865</v>
      </c>
      <c r="B1316" s="2" t="s">
        <v>27</v>
      </c>
      <c r="C1316" s="2" t="s">
        <v>28</v>
      </c>
      <c r="D1316" s="2" t="s">
        <v>97</v>
      </c>
      <c r="E1316" s="2" t="s">
        <v>8444</v>
      </c>
      <c r="F1316" s="2" t="s">
        <v>8445</v>
      </c>
      <c r="G1316" s="2" t="s">
        <v>32</v>
      </c>
      <c r="H1316" s="1"/>
      <c r="I1316" s="2" t="s">
        <v>33</v>
      </c>
      <c r="J1316" s="2" t="s">
        <v>34</v>
      </c>
      <c r="K1316" s="2" t="s">
        <v>3740</v>
      </c>
      <c r="L1316" s="2" t="s">
        <v>3741</v>
      </c>
      <c r="M1316" s="2" t="s">
        <v>1686</v>
      </c>
      <c r="N1316" s="2" t="s">
        <v>38</v>
      </c>
      <c r="O1316" s="2" t="s">
        <v>362</v>
      </c>
      <c r="P1316" s="2" t="s">
        <v>8866</v>
      </c>
      <c r="Q1316" s="2" t="s">
        <v>8867</v>
      </c>
      <c r="R1316" s="2" t="s">
        <v>40</v>
      </c>
      <c r="S1316" s="2" t="s">
        <v>8868</v>
      </c>
      <c r="T1316" s="2" t="s">
        <v>8056</v>
      </c>
      <c r="U1316" s="2" t="s">
        <v>8869</v>
      </c>
      <c r="V1316" s="2" t="s">
        <v>8870</v>
      </c>
      <c r="W1316" s="1"/>
      <c r="X1316" s="2" t="s">
        <v>4499</v>
      </c>
      <c r="Y1316" s="2" t="s">
        <v>8451</v>
      </c>
      <c r="AA1316" t="str">
        <f t="shared" si="120"/>
        <v>2026-02</v>
      </c>
      <c r="AB1316" t="str">
        <f t="shared" si="121"/>
        <v>H1_2026</v>
      </c>
      <c r="AC1316">
        <f t="shared" si="122"/>
        <v>317761.91999999998</v>
      </c>
      <c r="AD1316">
        <f t="shared" si="123"/>
        <v>320</v>
      </c>
      <c r="AE1316">
        <f t="shared" si="124"/>
        <v>70489.22</v>
      </c>
      <c r="AF1316" t="str">
        <f t="shared" si="125"/>
        <v>Paid</v>
      </c>
    </row>
    <row r="1317" spans="1:32" ht="17.25" thickBot="1" x14ac:dyDescent="0.35">
      <c r="A1317" s="2" t="s">
        <v>8871</v>
      </c>
      <c r="B1317" s="2" t="s">
        <v>27</v>
      </c>
      <c r="C1317" s="2" t="s">
        <v>28</v>
      </c>
      <c r="D1317" s="2" t="s">
        <v>97</v>
      </c>
      <c r="E1317" s="2" t="s">
        <v>8444</v>
      </c>
      <c r="F1317" s="2" t="s">
        <v>8445</v>
      </c>
      <c r="G1317" s="2" t="s">
        <v>32</v>
      </c>
      <c r="H1317" s="1"/>
      <c r="I1317" s="2" t="s">
        <v>33</v>
      </c>
      <c r="J1317" s="2" t="s">
        <v>34</v>
      </c>
      <c r="K1317" s="2" t="s">
        <v>1704</v>
      </c>
      <c r="L1317" s="2" t="s">
        <v>1705</v>
      </c>
      <c r="M1317" s="2" t="s">
        <v>37</v>
      </c>
      <c r="N1317" s="2" t="s">
        <v>38</v>
      </c>
      <c r="O1317" s="2" t="s">
        <v>85</v>
      </c>
      <c r="P1317" s="2" t="s">
        <v>8872</v>
      </c>
      <c r="Q1317" s="2" t="s">
        <v>8544</v>
      </c>
      <c r="R1317" s="2" t="s">
        <v>40</v>
      </c>
      <c r="S1317" s="2" t="s">
        <v>8545</v>
      </c>
      <c r="T1317" s="2" t="s">
        <v>1709</v>
      </c>
      <c r="U1317" s="2" t="s">
        <v>8873</v>
      </c>
      <c r="V1317" s="2" t="s">
        <v>8874</v>
      </c>
      <c r="W1317" s="1"/>
      <c r="X1317" s="2" t="s">
        <v>3216</v>
      </c>
      <c r="Y1317" s="2" t="s">
        <v>8451</v>
      </c>
      <c r="AA1317" t="str">
        <f t="shared" si="120"/>
        <v>2026-02</v>
      </c>
      <c r="AB1317" t="str">
        <f t="shared" si="121"/>
        <v>H1_2026</v>
      </c>
      <c r="AC1317">
        <f t="shared" si="122"/>
        <v>40279.68</v>
      </c>
      <c r="AD1317">
        <f t="shared" si="123"/>
        <v>12</v>
      </c>
      <c r="AE1317">
        <f t="shared" si="124"/>
        <v>6679.68</v>
      </c>
      <c r="AF1317" t="str">
        <f t="shared" si="125"/>
        <v>Paid</v>
      </c>
    </row>
    <row r="1318" spans="1:32" ht="17.25" thickBot="1" x14ac:dyDescent="0.35">
      <c r="A1318" s="2" t="s">
        <v>8875</v>
      </c>
      <c r="B1318" s="2" t="s">
        <v>27</v>
      </c>
      <c r="C1318" s="2" t="s">
        <v>28</v>
      </c>
      <c r="D1318" s="2" t="s">
        <v>97</v>
      </c>
      <c r="E1318" s="2" t="s">
        <v>8444</v>
      </c>
      <c r="F1318" s="2" t="s">
        <v>8445</v>
      </c>
      <c r="G1318" s="2" t="s">
        <v>32</v>
      </c>
      <c r="H1318" s="1"/>
      <c r="I1318" s="2" t="s">
        <v>33</v>
      </c>
      <c r="J1318" s="2" t="s">
        <v>34</v>
      </c>
      <c r="K1318" s="2" t="s">
        <v>1140</v>
      </c>
      <c r="L1318" s="2" t="s">
        <v>1141</v>
      </c>
      <c r="M1318" s="2" t="s">
        <v>37</v>
      </c>
      <c r="N1318" s="2" t="s">
        <v>38</v>
      </c>
      <c r="O1318" s="2" t="s">
        <v>92</v>
      </c>
      <c r="P1318" s="2" t="s">
        <v>1379</v>
      </c>
      <c r="Q1318" s="2" t="s">
        <v>8876</v>
      </c>
      <c r="R1318" s="2" t="s">
        <v>40</v>
      </c>
      <c r="S1318" s="2" t="s">
        <v>8877</v>
      </c>
      <c r="T1318" s="2" t="s">
        <v>8878</v>
      </c>
      <c r="U1318" s="2" t="s">
        <v>8879</v>
      </c>
      <c r="V1318" s="2" t="s">
        <v>8880</v>
      </c>
      <c r="W1318" s="1"/>
      <c r="X1318" s="2" t="s">
        <v>827</v>
      </c>
      <c r="Y1318" s="2" t="s">
        <v>8451</v>
      </c>
      <c r="AA1318" t="str">
        <f t="shared" si="120"/>
        <v>2026-02</v>
      </c>
      <c r="AB1318" t="str">
        <f t="shared" si="121"/>
        <v>H1_2026</v>
      </c>
      <c r="AC1318">
        <f t="shared" si="122"/>
        <v>81818.100000000006</v>
      </c>
      <c r="AD1318">
        <f t="shared" si="123"/>
        <v>13</v>
      </c>
      <c r="AE1318">
        <f t="shared" si="124"/>
        <v>16868.099999999999</v>
      </c>
      <c r="AF1318" t="str">
        <f t="shared" si="125"/>
        <v>Paid</v>
      </c>
    </row>
    <row r="1319" spans="1:32" ht="17.25" thickBot="1" x14ac:dyDescent="0.35">
      <c r="A1319" s="2" t="s">
        <v>8881</v>
      </c>
      <c r="B1319" s="2" t="s">
        <v>27</v>
      </c>
      <c r="C1319" s="2" t="s">
        <v>28</v>
      </c>
      <c r="D1319" s="2" t="s">
        <v>97</v>
      </c>
      <c r="E1319" s="2" t="s">
        <v>8444</v>
      </c>
      <c r="F1319" s="2" t="s">
        <v>8445</v>
      </c>
      <c r="G1319" s="2" t="s">
        <v>32</v>
      </c>
      <c r="H1319" s="1"/>
      <c r="I1319" s="2" t="s">
        <v>33</v>
      </c>
      <c r="J1319" s="2" t="s">
        <v>34</v>
      </c>
      <c r="K1319" s="2" t="s">
        <v>1148</v>
      </c>
      <c r="L1319" s="2" t="s">
        <v>1149</v>
      </c>
      <c r="M1319" s="2" t="s">
        <v>37</v>
      </c>
      <c r="N1319" s="2" t="s">
        <v>38</v>
      </c>
      <c r="O1319" s="2" t="s">
        <v>214</v>
      </c>
      <c r="P1319" s="2" t="s">
        <v>8882</v>
      </c>
      <c r="Q1319" s="2" t="s">
        <v>8883</v>
      </c>
      <c r="R1319" s="2" t="s">
        <v>40</v>
      </c>
      <c r="S1319" s="2" t="s">
        <v>8884</v>
      </c>
      <c r="T1319" s="2" t="s">
        <v>107</v>
      </c>
      <c r="U1319" s="2" t="s">
        <v>5210</v>
      </c>
      <c r="V1319" s="2" t="s">
        <v>8885</v>
      </c>
      <c r="W1319" s="1"/>
      <c r="X1319" s="2" t="s">
        <v>3216</v>
      </c>
      <c r="Y1319" s="2" t="s">
        <v>8451</v>
      </c>
      <c r="AA1319" t="str">
        <f t="shared" si="120"/>
        <v>2026-02</v>
      </c>
      <c r="AB1319" t="str">
        <f t="shared" si="121"/>
        <v>H1_2026</v>
      </c>
      <c r="AC1319">
        <f t="shared" si="122"/>
        <v>335664</v>
      </c>
      <c r="AD1319">
        <f t="shared" si="123"/>
        <v>50</v>
      </c>
      <c r="AE1319">
        <f t="shared" si="124"/>
        <v>55664</v>
      </c>
      <c r="AF1319" t="str">
        <f t="shared" si="125"/>
        <v>Paid</v>
      </c>
    </row>
    <row r="1320" spans="1:32" ht="17.25" thickBot="1" x14ac:dyDescent="0.35">
      <c r="A1320" s="2" t="s">
        <v>8886</v>
      </c>
      <c r="B1320" s="2" t="s">
        <v>27</v>
      </c>
      <c r="C1320" s="2" t="s">
        <v>28</v>
      </c>
      <c r="D1320" s="2" t="s">
        <v>97</v>
      </c>
      <c r="E1320" s="2" t="s">
        <v>8444</v>
      </c>
      <c r="F1320" s="2" t="s">
        <v>8445</v>
      </c>
      <c r="G1320" s="2" t="s">
        <v>32</v>
      </c>
      <c r="H1320" s="1"/>
      <c r="I1320" s="2" t="s">
        <v>33</v>
      </c>
      <c r="J1320" s="2" t="s">
        <v>34</v>
      </c>
      <c r="K1320" s="2" t="s">
        <v>8887</v>
      </c>
      <c r="L1320" s="2" t="s">
        <v>8888</v>
      </c>
      <c r="M1320" s="2" t="s">
        <v>37</v>
      </c>
      <c r="N1320" s="2" t="s">
        <v>38</v>
      </c>
      <c r="O1320" s="2" t="s">
        <v>1476</v>
      </c>
      <c r="P1320" s="2" t="s">
        <v>8142</v>
      </c>
      <c r="Q1320" s="2" t="s">
        <v>2674</v>
      </c>
      <c r="R1320" s="2" t="s">
        <v>40</v>
      </c>
      <c r="S1320" s="2" t="s">
        <v>8889</v>
      </c>
      <c r="T1320" s="2" t="s">
        <v>8890</v>
      </c>
      <c r="U1320" s="2" t="s">
        <v>8891</v>
      </c>
      <c r="V1320" s="2" t="s">
        <v>8892</v>
      </c>
      <c r="W1320" s="1"/>
      <c r="X1320" s="2" t="s">
        <v>6663</v>
      </c>
      <c r="Y1320" s="2" t="s">
        <v>8451</v>
      </c>
      <c r="AA1320" t="str">
        <f t="shared" si="120"/>
        <v>2026-02</v>
      </c>
      <c r="AB1320" t="str">
        <f t="shared" si="121"/>
        <v>H1_2026</v>
      </c>
      <c r="AC1320">
        <f t="shared" si="122"/>
        <v>392726.88</v>
      </c>
      <c r="AD1320">
        <f t="shared" si="123"/>
        <v>260</v>
      </c>
      <c r="AE1320">
        <f t="shared" si="124"/>
        <v>88526.88</v>
      </c>
      <c r="AF1320" t="str">
        <f t="shared" si="125"/>
        <v>Paid</v>
      </c>
    </row>
    <row r="1321" spans="1:32" ht="17.25" thickBot="1" x14ac:dyDescent="0.35">
      <c r="A1321" s="2" t="s">
        <v>8893</v>
      </c>
      <c r="B1321" s="2" t="s">
        <v>27</v>
      </c>
      <c r="C1321" s="2" t="s">
        <v>28</v>
      </c>
      <c r="D1321" s="2" t="s">
        <v>97</v>
      </c>
      <c r="E1321" s="2" t="s">
        <v>8444</v>
      </c>
      <c r="F1321" s="2" t="s">
        <v>8445</v>
      </c>
      <c r="G1321" s="2" t="s">
        <v>32</v>
      </c>
      <c r="H1321" s="1"/>
      <c r="I1321" s="2" t="s">
        <v>33</v>
      </c>
      <c r="J1321" s="2" t="s">
        <v>34</v>
      </c>
      <c r="K1321" s="2" t="s">
        <v>4664</v>
      </c>
      <c r="L1321" s="2" t="s">
        <v>4665</v>
      </c>
      <c r="M1321" s="2" t="s">
        <v>37</v>
      </c>
      <c r="N1321" s="2" t="s">
        <v>38</v>
      </c>
      <c r="O1321" s="2" t="s">
        <v>156</v>
      </c>
      <c r="P1321" s="2" t="s">
        <v>8536</v>
      </c>
      <c r="Q1321" s="2" t="s">
        <v>8537</v>
      </c>
      <c r="R1321" s="2" t="s">
        <v>40</v>
      </c>
      <c r="S1321" s="2" t="s">
        <v>8538</v>
      </c>
      <c r="T1321" s="2" t="s">
        <v>2755</v>
      </c>
      <c r="U1321" s="2" t="s">
        <v>8894</v>
      </c>
      <c r="V1321" s="2" t="s">
        <v>8895</v>
      </c>
      <c r="W1321" s="1"/>
      <c r="X1321" s="2" t="s">
        <v>1340</v>
      </c>
      <c r="Y1321" s="2" t="s">
        <v>8451</v>
      </c>
      <c r="AA1321" t="str">
        <f t="shared" si="120"/>
        <v>2026-02</v>
      </c>
      <c r="AB1321" t="str">
        <f t="shared" si="121"/>
        <v>H1_2026</v>
      </c>
      <c r="AC1321">
        <f t="shared" si="122"/>
        <v>159720.12</v>
      </c>
      <c r="AD1321">
        <f t="shared" si="123"/>
        <v>20</v>
      </c>
      <c r="AE1321">
        <f t="shared" si="124"/>
        <v>45720.12</v>
      </c>
      <c r="AF1321" t="str">
        <f t="shared" si="125"/>
        <v>Paid</v>
      </c>
    </row>
    <row r="1322" spans="1:32" ht="17.25" thickBot="1" x14ac:dyDescent="0.35">
      <c r="A1322" s="2" t="s">
        <v>8896</v>
      </c>
      <c r="B1322" s="2" t="s">
        <v>27</v>
      </c>
      <c r="C1322" s="2" t="s">
        <v>28</v>
      </c>
      <c r="D1322" s="2" t="s">
        <v>97</v>
      </c>
      <c r="E1322" s="2" t="s">
        <v>8444</v>
      </c>
      <c r="F1322" s="2" t="s">
        <v>8445</v>
      </c>
      <c r="G1322" s="2" t="s">
        <v>32</v>
      </c>
      <c r="H1322" s="1"/>
      <c r="I1322" s="2" t="s">
        <v>33</v>
      </c>
      <c r="J1322" s="2" t="s">
        <v>34</v>
      </c>
      <c r="K1322" s="2" t="s">
        <v>1182</v>
      </c>
      <c r="L1322" s="2" t="s">
        <v>1183</v>
      </c>
      <c r="M1322" s="2" t="s">
        <v>37</v>
      </c>
      <c r="N1322" s="2" t="s">
        <v>38</v>
      </c>
      <c r="O1322" s="2" t="s">
        <v>156</v>
      </c>
      <c r="P1322" s="2" t="s">
        <v>8882</v>
      </c>
      <c r="Q1322" s="2" t="s">
        <v>8897</v>
      </c>
      <c r="R1322" s="2" t="s">
        <v>40</v>
      </c>
      <c r="S1322" s="2" t="s">
        <v>8898</v>
      </c>
      <c r="T1322" s="2" t="s">
        <v>107</v>
      </c>
      <c r="U1322" s="2" t="s">
        <v>8539</v>
      </c>
      <c r="V1322" s="2" t="s">
        <v>8899</v>
      </c>
      <c r="W1322" s="1"/>
      <c r="X1322" s="2" t="s">
        <v>3216</v>
      </c>
      <c r="Y1322" s="2" t="s">
        <v>8451</v>
      </c>
      <c r="AA1322" t="str">
        <f t="shared" si="120"/>
        <v>2026-02</v>
      </c>
      <c r="AB1322" t="str">
        <f t="shared" si="121"/>
        <v>H1_2026</v>
      </c>
      <c r="AC1322">
        <f t="shared" si="122"/>
        <v>134265.60000000001</v>
      </c>
      <c r="AD1322">
        <f t="shared" si="123"/>
        <v>20</v>
      </c>
      <c r="AE1322">
        <f t="shared" si="124"/>
        <v>22265.599999999999</v>
      </c>
      <c r="AF1322" t="str">
        <f t="shared" si="125"/>
        <v>Paid</v>
      </c>
    </row>
    <row r="1323" spans="1:32" ht="17.25" thickBot="1" x14ac:dyDescent="0.35">
      <c r="A1323" s="2" t="s">
        <v>8900</v>
      </c>
      <c r="B1323" s="2" t="s">
        <v>27</v>
      </c>
      <c r="C1323" s="2" t="s">
        <v>28</v>
      </c>
      <c r="D1323" s="2" t="s">
        <v>97</v>
      </c>
      <c r="E1323" s="2" t="s">
        <v>8444</v>
      </c>
      <c r="F1323" s="2" t="s">
        <v>8445</v>
      </c>
      <c r="G1323" s="2" t="s">
        <v>32</v>
      </c>
      <c r="H1323" s="1"/>
      <c r="I1323" s="2" t="s">
        <v>33</v>
      </c>
      <c r="J1323" s="2" t="s">
        <v>34</v>
      </c>
      <c r="K1323" s="2" t="s">
        <v>6543</v>
      </c>
      <c r="L1323" s="2" t="s">
        <v>6544</v>
      </c>
      <c r="M1323" s="2" t="s">
        <v>37</v>
      </c>
      <c r="N1323" s="2" t="s">
        <v>38</v>
      </c>
      <c r="O1323" s="2" t="s">
        <v>79</v>
      </c>
      <c r="P1323" s="2" t="s">
        <v>8536</v>
      </c>
      <c r="Q1323" s="2" t="s">
        <v>8901</v>
      </c>
      <c r="R1323" s="2" t="s">
        <v>40</v>
      </c>
      <c r="S1323" s="2" t="s">
        <v>8902</v>
      </c>
      <c r="T1323" s="2" t="s">
        <v>8903</v>
      </c>
      <c r="U1323" s="2" t="s">
        <v>8904</v>
      </c>
      <c r="V1323" s="2" t="s">
        <v>8905</v>
      </c>
      <c r="W1323" s="1"/>
      <c r="X1323" s="2" t="s">
        <v>4651</v>
      </c>
      <c r="Y1323" s="2" t="s">
        <v>8451</v>
      </c>
      <c r="AA1323" t="str">
        <f t="shared" si="120"/>
        <v>2026-02</v>
      </c>
      <c r="AB1323" t="str">
        <f t="shared" si="121"/>
        <v>H1_2026</v>
      </c>
      <c r="AC1323">
        <f t="shared" si="122"/>
        <v>79860.06</v>
      </c>
      <c r="AD1323">
        <f t="shared" si="123"/>
        <v>10</v>
      </c>
      <c r="AE1323">
        <f t="shared" si="124"/>
        <v>24760.06</v>
      </c>
      <c r="AF1323" t="str">
        <f t="shared" si="125"/>
        <v>Paid</v>
      </c>
    </row>
    <row r="1324" spans="1:32" ht="17.25" thickBot="1" x14ac:dyDescent="0.35">
      <c r="A1324" s="2" t="s">
        <v>8906</v>
      </c>
      <c r="B1324" s="2" t="s">
        <v>27</v>
      </c>
      <c r="C1324" s="2" t="s">
        <v>28</v>
      </c>
      <c r="D1324" s="2" t="s">
        <v>97</v>
      </c>
      <c r="E1324" s="2" t="s">
        <v>8444</v>
      </c>
      <c r="F1324" s="2" t="s">
        <v>8445</v>
      </c>
      <c r="G1324" s="2" t="s">
        <v>32</v>
      </c>
      <c r="H1324" s="1"/>
      <c r="I1324" s="2" t="s">
        <v>33</v>
      </c>
      <c r="J1324" s="2" t="s">
        <v>34</v>
      </c>
      <c r="K1324" s="2" t="s">
        <v>6550</v>
      </c>
      <c r="L1324" s="2" t="s">
        <v>6551</v>
      </c>
      <c r="M1324" s="2" t="s">
        <v>37</v>
      </c>
      <c r="N1324" s="2" t="s">
        <v>38</v>
      </c>
      <c r="O1324" s="2" t="s">
        <v>1188</v>
      </c>
      <c r="P1324" s="2" t="s">
        <v>2272</v>
      </c>
      <c r="Q1324" s="2" t="s">
        <v>8907</v>
      </c>
      <c r="R1324" s="2" t="s">
        <v>40</v>
      </c>
      <c r="S1324" s="2" t="s">
        <v>8908</v>
      </c>
      <c r="T1324" s="2" t="s">
        <v>40</v>
      </c>
      <c r="U1324" s="2" t="s">
        <v>40</v>
      </c>
      <c r="V1324" s="2" t="s">
        <v>8908</v>
      </c>
      <c r="W1324" s="1"/>
      <c r="X1324" s="2" t="s">
        <v>2155</v>
      </c>
      <c r="Y1324" s="2" t="s">
        <v>8451</v>
      </c>
      <c r="AA1324" t="str">
        <f t="shared" si="120"/>
        <v>2026-02</v>
      </c>
      <c r="AB1324" t="str">
        <f t="shared" si="121"/>
        <v>H1_2026</v>
      </c>
      <c r="AC1324">
        <f t="shared" si="122"/>
        <v>725453.82</v>
      </c>
      <c r="AD1324">
        <f t="shared" si="123"/>
        <v>133</v>
      </c>
      <c r="AE1324">
        <f t="shared" si="124"/>
        <v>725453.82</v>
      </c>
      <c r="AF1324" t="str">
        <f t="shared" si="125"/>
        <v>Paid</v>
      </c>
    </row>
    <row r="1325" spans="1:32" ht="17.25" thickBot="1" x14ac:dyDescent="0.35">
      <c r="A1325" s="2" t="s">
        <v>8909</v>
      </c>
      <c r="B1325" s="2" t="s">
        <v>27</v>
      </c>
      <c r="C1325" s="2" t="s">
        <v>28</v>
      </c>
      <c r="D1325" s="2" t="s">
        <v>97</v>
      </c>
      <c r="E1325" s="2" t="s">
        <v>8444</v>
      </c>
      <c r="F1325" s="2" t="s">
        <v>8445</v>
      </c>
      <c r="G1325" s="2" t="s">
        <v>32</v>
      </c>
      <c r="H1325" s="1"/>
      <c r="I1325" s="2" t="s">
        <v>33</v>
      </c>
      <c r="J1325" s="2" t="s">
        <v>34</v>
      </c>
      <c r="K1325" s="2" t="s">
        <v>8910</v>
      </c>
      <c r="L1325" s="2" t="s">
        <v>8911</v>
      </c>
      <c r="M1325" s="2" t="s">
        <v>37</v>
      </c>
      <c r="N1325" s="2" t="s">
        <v>38</v>
      </c>
      <c r="O1325" s="2" t="s">
        <v>130</v>
      </c>
      <c r="P1325" s="2" t="s">
        <v>317</v>
      </c>
      <c r="Q1325" s="2" t="s">
        <v>8912</v>
      </c>
      <c r="R1325" s="2" t="s">
        <v>40</v>
      </c>
      <c r="S1325" s="2" t="s">
        <v>8913</v>
      </c>
      <c r="T1325" s="2" t="s">
        <v>3079</v>
      </c>
      <c r="U1325" s="2" t="s">
        <v>8914</v>
      </c>
      <c r="V1325" s="2" t="s">
        <v>8915</v>
      </c>
      <c r="W1325" s="1"/>
      <c r="X1325" s="2" t="s">
        <v>4651</v>
      </c>
      <c r="Y1325" s="2" t="s">
        <v>8451</v>
      </c>
      <c r="AA1325" t="str">
        <f t="shared" si="120"/>
        <v>2026-02</v>
      </c>
      <c r="AB1325" t="str">
        <f t="shared" si="121"/>
        <v>H1_2026</v>
      </c>
      <c r="AC1325">
        <f t="shared" si="122"/>
        <v>142894.96</v>
      </c>
      <c r="AD1325">
        <f t="shared" si="123"/>
        <v>17</v>
      </c>
      <c r="AE1325">
        <f t="shared" si="124"/>
        <v>44294.96</v>
      </c>
      <c r="AF1325" t="str">
        <f t="shared" si="125"/>
        <v>Paid</v>
      </c>
    </row>
    <row r="1326" spans="1:32" ht="17.25" thickBot="1" x14ac:dyDescent="0.35">
      <c r="A1326" s="2" t="s">
        <v>8916</v>
      </c>
      <c r="B1326" s="2" t="s">
        <v>27</v>
      </c>
      <c r="C1326" s="2" t="s">
        <v>28</v>
      </c>
      <c r="D1326" s="2" t="s">
        <v>97</v>
      </c>
      <c r="E1326" s="2" t="s">
        <v>8444</v>
      </c>
      <c r="F1326" s="2" t="s">
        <v>8445</v>
      </c>
      <c r="G1326" s="2" t="s">
        <v>32</v>
      </c>
      <c r="H1326" s="1"/>
      <c r="I1326" s="2" t="s">
        <v>33</v>
      </c>
      <c r="J1326" s="2" t="s">
        <v>34</v>
      </c>
      <c r="K1326" s="2" t="s">
        <v>5676</v>
      </c>
      <c r="L1326" s="2" t="s">
        <v>5677</v>
      </c>
      <c r="M1326" s="2" t="s">
        <v>37</v>
      </c>
      <c r="N1326" s="2" t="s">
        <v>38</v>
      </c>
      <c r="O1326" s="2" t="s">
        <v>1349</v>
      </c>
      <c r="P1326" s="2" t="s">
        <v>4378</v>
      </c>
      <c r="Q1326" s="2" t="s">
        <v>8917</v>
      </c>
      <c r="R1326" s="2" t="s">
        <v>40</v>
      </c>
      <c r="S1326" s="2" t="s">
        <v>8918</v>
      </c>
      <c r="T1326" s="2" t="s">
        <v>5680</v>
      </c>
      <c r="U1326" s="2" t="s">
        <v>8919</v>
      </c>
      <c r="V1326" s="2" t="s">
        <v>8920</v>
      </c>
      <c r="W1326" s="1"/>
      <c r="X1326" s="2" t="s">
        <v>1100</v>
      </c>
      <c r="Y1326" s="2" t="s">
        <v>8451</v>
      </c>
      <c r="AA1326" t="str">
        <f t="shared" si="120"/>
        <v>2026-02</v>
      </c>
      <c r="AB1326" t="str">
        <f t="shared" si="121"/>
        <v>H1_2026</v>
      </c>
      <c r="AC1326">
        <f t="shared" si="122"/>
        <v>2234291.4700000002</v>
      </c>
      <c r="AD1326">
        <f t="shared" si="123"/>
        <v>152</v>
      </c>
      <c r="AE1326">
        <f t="shared" si="124"/>
        <v>372291.47</v>
      </c>
      <c r="AF1326" t="str">
        <f t="shared" si="125"/>
        <v>Paid</v>
      </c>
    </row>
    <row r="1327" spans="1:32" ht="17.25" thickBot="1" x14ac:dyDescent="0.35">
      <c r="A1327" s="2" t="s">
        <v>8921</v>
      </c>
      <c r="B1327" s="2" t="s">
        <v>27</v>
      </c>
      <c r="C1327" s="2" t="s">
        <v>28</v>
      </c>
      <c r="D1327" s="2" t="s">
        <v>97</v>
      </c>
      <c r="E1327" s="2" t="s">
        <v>8444</v>
      </c>
      <c r="F1327" s="2" t="s">
        <v>8445</v>
      </c>
      <c r="G1327" s="2" t="s">
        <v>32</v>
      </c>
      <c r="H1327" s="1"/>
      <c r="I1327" s="2" t="s">
        <v>33</v>
      </c>
      <c r="J1327" s="2" t="s">
        <v>34</v>
      </c>
      <c r="K1327" s="2" t="s">
        <v>1214</v>
      </c>
      <c r="L1327" s="2" t="s">
        <v>1215</v>
      </c>
      <c r="M1327" s="2" t="s">
        <v>37</v>
      </c>
      <c r="N1327" s="2" t="s">
        <v>38</v>
      </c>
      <c r="O1327" s="2" t="s">
        <v>1731</v>
      </c>
      <c r="P1327" s="2" t="s">
        <v>6924</v>
      </c>
      <c r="Q1327" s="2" t="s">
        <v>8922</v>
      </c>
      <c r="R1327" s="2" t="s">
        <v>40</v>
      </c>
      <c r="S1327" s="2" t="s">
        <v>8923</v>
      </c>
      <c r="T1327" s="2" t="s">
        <v>287</v>
      </c>
      <c r="U1327" s="2" t="s">
        <v>8924</v>
      </c>
      <c r="V1327" s="2" t="s">
        <v>8925</v>
      </c>
      <c r="W1327" s="1"/>
      <c r="X1327" s="2" t="s">
        <v>2226</v>
      </c>
      <c r="Y1327" s="2" t="s">
        <v>8451</v>
      </c>
      <c r="AA1327" t="str">
        <f t="shared" si="120"/>
        <v>2026-02</v>
      </c>
      <c r="AB1327" t="str">
        <f t="shared" si="121"/>
        <v>H1_2026</v>
      </c>
      <c r="AC1327">
        <f t="shared" si="122"/>
        <v>1780487.73</v>
      </c>
      <c r="AD1327">
        <f t="shared" si="123"/>
        <v>207</v>
      </c>
      <c r="AE1327">
        <f t="shared" si="124"/>
        <v>331487.73</v>
      </c>
      <c r="AF1327" t="str">
        <f t="shared" si="125"/>
        <v>Paid</v>
      </c>
    </row>
    <row r="1328" spans="1:32" ht="27.75" thickBot="1" x14ac:dyDescent="0.35">
      <c r="A1328" s="2" t="s">
        <v>8926</v>
      </c>
      <c r="B1328" s="2" t="s">
        <v>27</v>
      </c>
      <c r="C1328" s="2" t="s">
        <v>28</v>
      </c>
      <c r="D1328" s="2" t="s">
        <v>97</v>
      </c>
      <c r="E1328" s="2" t="s">
        <v>8444</v>
      </c>
      <c r="F1328" s="2" t="s">
        <v>8445</v>
      </c>
      <c r="G1328" s="2" t="s">
        <v>32</v>
      </c>
      <c r="H1328" s="1"/>
      <c r="I1328" s="2" t="s">
        <v>33</v>
      </c>
      <c r="J1328" s="2" t="s">
        <v>34</v>
      </c>
      <c r="K1328" s="2" t="s">
        <v>1231</v>
      </c>
      <c r="L1328" s="2" t="s">
        <v>1232</v>
      </c>
      <c r="M1328" s="2" t="s">
        <v>37</v>
      </c>
      <c r="N1328" s="2" t="s">
        <v>38</v>
      </c>
      <c r="O1328" s="2" t="s">
        <v>877</v>
      </c>
      <c r="P1328" s="2" t="s">
        <v>8927</v>
      </c>
      <c r="Q1328" s="2" t="s">
        <v>8928</v>
      </c>
      <c r="R1328" s="2" t="s">
        <v>40</v>
      </c>
      <c r="S1328" s="2" t="s">
        <v>8929</v>
      </c>
      <c r="T1328" s="2" t="s">
        <v>1236</v>
      </c>
      <c r="U1328" s="2" t="s">
        <v>1734</v>
      </c>
      <c r="V1328" s="2" t="s">
        <v>8930</v>
      </c>
      <c r="W1328" s="1"/>
      <c r="X1328" s="2" t="s">
        <v>6730</v>
      </c>
      <c r="Y1328" s="2" t="s">
        <v>8451</v>
      </c>
      <c r="AA1328" t="str">
        <f t="shared" si="120"/>
        <v>2026-02</v>
      </c>
      <c r="AB1328" t="str">
        <f t="shared" si="121"/>
        <v>H1_2026</v>
      </c>
      <c r="AC1328">
        <f t="shared" si="122"/>
        <v>3275521.2</v>
      </c>
      <c r="AD1328">
        <f t="shared" si="123"/>
        <v>100</v>
      </c>
      <c r="AE1328">
        <f t="shared" si="124"/>
        <v>440521.2</v>
      </c>
      <c r="AF1328" t="str">
        <f t="shared" si="125"/>
        <v>Paid</v>
      </c>
    </row>
    <row r="1329" spans="1:32" ht="27.75" thickBot="1" x14ac:dyDescent="0.35">
      <c r="A1329" s="2" t="s">
        <v>8931</v>
      </c>
      <c r="B1329" s="2" t="s">
        <v>27</v>
      </c>
      <c r="C1329" s="2" t="s">
        <v>28</v>
      </c>
      <c r="D1329" s="2" t="s">
        <v>97</v>
      </c>
      <c r="E1329" s="2" t="s">
        <v>8444</v>
      </c>
      <c r="F1329" s="2" t="s">
        <v>8445</v>
      </c>
      <c r="G1329" s="2" t="s">
        <v>32</v>
      </c>
      <c r="H1329" s="1"/>
      <c r="I1329" s="2" t="s">
        <v>33</v>
      </c>
      <c r="J1329" s="2" t="s">
        <v>34</v>
      </c>
      <c r="K1329" s="2" t="s">
        <v>7197</v>
      </c>
      <c r="L1329" s="2" t="s">
        <v>7198</v>
      </c>
      <c r="M1329" s="2" t="s">
        <v>37</v>
      </c>
      <c r="N1329" s="2" t="s">
        <v>38</v>
      </c>
      <c r="O1329" s="2" t="s">
        <v>79</v>
      </c>
      <c r="P1329" s="2" t="s">
        <v>8932</v>
      </c>
      <c r="Q1329" s="2" t="s">
        <v>8933</v>
      </c>
      <c r="R1329" s="2" t="s">
        <v>40</v>
      </c>
      <c r="S1329" s="2" t="s">
        <v>8934</v>
      </c>
      <c r="T1329" s="2" t="s">
        <v>3685</v>
      </c>
      <c r="U1329" s="2" t="s">
        <v>844</v>
      </c>
      <c r="V1329" s="2" t="s">
        <v>8935</v>
      </c>
      <c r="W1329" s="1"/>
      <c r="X1329" s="2" t="s">
        <v>1195</v>
      </c>
      <c r="Y1329" s="2" t="s">
        <v>8451</v>
      </c>
      <c r="AA1329" t="str">
        <f t="shared" si="120"/>
        <v>2026-02</v>
      </c>
      <c r="AB1329" t="str">
        <f t="shared" si="121"/>
        <v>H1_2026</v>
      </c>
      <c r="AC1329">
        <f t="shared" si="122"/>
        <v>470069.46</v>
      </c>
      <c r="AD1329">
        <f t="shared" si="123"/>
        <v>10</v>
      </c>
      <c r="AE1329">
        <f t="shared" si="124"/>
        <v>70069.460000000006</v>
      </c>
      <c r="AF1329" t="str">
        <f t="shared" si="125"/>
        <v>Paid</v>
      </c>
    </row>
    <row r="1330" spans="1:32" ht="17.25" thickBot="1" x14ac:dyDescent="0.35">
      <c r="A1330" s="2" t="s">
        <v>8936</v>
      </c>
      <c r="B1330" s="2" t="s">
        <v>27</v>
      </c>
      <c r="C1330" s="2" t="s">
        <v>28</v>
      </c>
      <c r="D1330" s="2" t="s">
        <v>97</v>
      </c>
      <c r="E1330" s="2" t="s">
        <v>8444</v>
      </c>
      <c r="F1330" s="2" t="s">
        <v>8445</v>
      </c>
      <c r="G1330" s="2" t="s">
        <v>32</v>
      </c>
      <c r="H1330" s="1"/>
      <c r="I1330" s="2" t="s">
        <v>33</v>
      </c>
      <c r="J1330" s="2" t="s">
        <v>34</v>
      </c>
      <c r="K1330" s="2" t="s">
        <v>1291</v>
      </c>
      <c r="L1330" s="2" t="s">
        <v>1292</v>
      </c>
      <c r="M1330" s="2" t="s">
        <v>37</v>
      </c>
      <c r="N1330" s="2" t="s">
        <v>38</v>
      </c>
      <c r="O1330" s="2" t="s">
        <v>391</v>
      </c>
      <c r="P1330" s="2" t="s">
        <v>4887</v>
      </c>
      <c r="Q1330" s="2" t="s">
        <v>8937</v>
      </c>
      <c r="R1330" s="2" t="s">
        <v>40</v>
      </c>
      <c r="S1330" s="2" t="s">
        <v>8938</v>
      </c>
      <c r="T1330" s="2" t="s">
        <v>126</v>
      </c>
      <c r="U1330" s="2" t="s">
        <v>5499</v>
      </c>
      <c r="V1330" s="2" t="s">
        <v>8939</v>
      </c>
      <c r="W1330" s="1"/>
      <c r="X1330" s="2" t="s">
        <v>1100</v>
      </c>
      <c r="Y1330" s="2" t="s">
        <v>8451</v>
      </c>
      <c r="AA1330" t="str">
        <f t="shared" si="120"/>
        <v>2026-02</v>
      </c>
      <c r="AB1330" t="str">
        <f t="shared" si="121"/>
        <v>H1_2026</v>
      </c>
      <c r="AC1330">
        <f t="shared" si="122"/>
        <v>453985.56</v>
      </c>
      <c r="AD1330">
        <f t="shared" si="123"/>
        <v>60</v>
      </c>
      <c r="AE1330">
        <f t="shared" si="124"/>
        <v>75985.56</v>
      </c>
      <c r="AF1330" t="str">
        <f t="shared" si="125"/>
        <v>Paid</v>
      </c>
    </row>
    <row r="1331" spans="1:32" ht="17.25" thickBot="1" x14ac:dyDescent="0.35">
      <c r="A1331" s="2" t="s">
        <v>8940</v>
      </c>
      <c r="B1331" s="2" t="s">
        <v>27</v>
      </c>
      <c r="C1331" s="2" t="s">
        <v>28</v>
      </c>
      <c r="D1331" s="2" t="s">
        <v>97</v>
      </c>
      <c r="E1331" s="2" t="s">
        <v>8444</v>
      </c>
      <c r="F1331" s="2" t="s">
        <v>8445</v>
      </c>
      <c r="G1331" s="2" t="s">
        <v>32</v>
      </c>
      <c r="H1331" s="1"/>
      <c r="I1331" s="2" t="s">
        <v>33</v>
      </c>
      <c r="J1331" s="2" t="s">
        <v>34</v>
      </c>
      <c r="K1331" s="2" t="s">
        <v>1318</v>
      </c>
      <c r="L1331" s="2" t="s">
        <v>1319</v>
      </c>
      <c r="M1331" s="2" t="s">
        <v>37</v>
      </c>
      <c r="N1331" s="2" t="s">
        <v>38</v>
      </c>
      <c r="O1331" s="2" t="s">
        <v>466</v>
      </c>
      <c r="P1331" s="2" t="s">
        <v>8941</v>
      </c>
      <c r="Q1331" s="2" t="s">
        <v>8942</v>
      </c>
      <c r="R1331" s="2" t="s">
        <v>40</v>
      </c>
      <c r="S1331" s="2" t="s">
        <v>8943</v>
      </c>
      <c r="T1331" s="2" t="s">
        <v>1271</v>
      </c>
      <c r="U1331" s="2" t="s">
        <v>8944</v>
      </c>
      <c r="V1331" s="2" t="s">
        <v>8945</v>
      </c>
      <c r="W1331" s="1"/>
      <c r="X1331" s="2" t="s">
        <v>3216</v>
      </c>
      <c r="Y1331" s="2" t="s">
        <v>8451</v>
      </c>
      <c r="AA1331" t="str">
        <f t="shared" si="120"/>
        <v>2026-02</v>
      </c>
      <c r="AB1331" t="str">
        <f t="shared" si="121"/>
        <v>H1_2026</v>
      </c>
      <c r="AC1331">
        <f t="shared" si="122"/>
        <v>411188.4</v>
      </c>
      <c r="AD1331">
        <f t="shared" si="123"/>
        <v>70</v>
      </c>
      <c r="AE1331">
        <f t="shared" si="124"/>
        <v>68188.399999999994</v>
      </c>
      <c r="AF1331" t="str">
        <f t="shared" si="125"/>
        <v>Paid</v>
      </c>
    </row>
    <row r="1332" spans="1:32" ht="41.25" thickBot="1" x14ac:dyDescent="0.35">
      <c r="A1332" s="2" t="s">
        <v>8946</v>
      </c>
      <c r="B1332" s="2" t="s">
        <v>27</v>
      </c>
      <c r="C1332" s="2" t="s">
        <v>28</v>
      </c>
      <c r="D1332" s="2" t="s">
        <v>97</v>
      </c>
      <c r="E1332" s="2" t="s">
        <v>8444</v>
      </c>
      <c r="F1332" s="2" t="s">
        <v>8445</v>
      </c>
      <c r="G1332" s="2" t="s">
        <v>32</v>
      </c>
      <c r="H1332" s="1"/>
      <c r="I1332" s="2" t="s">
        <v>33</v>
      </c>
      <c r="J1332" s="2" t="s">
        <v>34</v>
      </c>
      <c r="K1332" s="2" t="s">
        <v>8947</v>
      </c>
      <c r="L1332" s="2" t="s">
        <v>8948</v>
      </c>
      <c r="M1332" s="2" t="s">
        <v>37</v>
      </c>
      <c r="N1332" s="2" t="s">
        <v>38</v>
      </c>
      <c r="O1332" s="2" t="s">
        <v>466</v>
      </c>
      <c r="P1332" s="2" t="s">
        <v>6813</v>
      </c>
      <c r="Q1332" s="2" t="s">
        <v>8949</v>
      </c>
      <c r="R1332" s="2" t="s">
        <v>40</v>
      </c>
      <c r="S1332" s="2" t="s">
        <v>8950</v>
      </c>
      <c r="T1332" s="2" t="s">
        <v>8951</v>
      </c>
      <c r="U1332" s="2" t="s">
        <v>8952</v>
      </c>
      <c r="V1332" s="2" t="s">
        <v>8953</v>
      </c>
      <c r="W1332" s="1"/>
      <c r="X1332" s="2" t="s">
        <v>3681</v>
      </c>
      <c r="Y1332" s="2" t="s">
        <v>8451</v>
      </c>
      <c r="AA1332" t="str">
        <f t="shared" si="120"/>
        <v>2026-02</v>
      </c>
      <c r="AB1332" t="str">
        <f t="shared" si="121"/>
        <v>H1_2026</v>
      </c>
      <c r="AC1332">
        <f t="shared" si="122"/>
        <v>501258.23999999999</v>
      </c>
      <c r="AD1332">
        <f t="shared" si="123"/>
        <v>70</v>
      </c>
      <c r="AE1332">
        <f t="shared" si="124"/>
        <v>114858.24000000001</v>
      </c>
      <c r="AF1332" t="str">
        <f t="shared" si="125"/>
        <v>Paid</v>
      </c>
    </row>
    <row r="1333" spans="1:32" ht="17.25" thickBot="1" x14ac:dyDescent="0.35">
      <c r="A1333" s="2" t="s">
        <v>8954</v>
      </c>
      <c r="B1333" s="2" t="s">
        <v>27</v>
      </c>
      <c r="C1333" s="2" t="s">
        <v>28</v>
      </c>
      <c r="D1333" s="2" t="s">
        <v>97</v>
      </c>
      <c r="E1333" s="2" t="s">
        <v>8444</v>
      </c>
      <c r="F1333" s="2" t="s">
        <v>8445</v>
      </c>
      <c r="G1333" s="2" t="s">
        <v>32</v>
      </c>
      <c r="H1333" s="1"/>
      <c r="I1333" s="2" t="s">
        <v>33</v>
      </c>
      <c r="J1333" s="2" t="s">
        <v>34</v>
      </c>
      <c r="K1333" s="2" t="s">
        <v>1342</v>
      </c>
      <c r="L1333" s="2" t="s">
        <v>1343</v>
      </c>
      <c r="M1333" s="2" t="s">
        <v>37</v>
      </c>
      <c r="N1333" s="2" t="s">
        <v>38</v>
      </c>
      <c r="O1333" s="2" t="s">
        <v>141</v>
      </c>
      <c r="P1333" s="2" t="s">
        <v>317</v>
      </c>
      <c r="Q1333" s="2" t="s">
        <v>8955</v>
      </c>
      <c r="R1333" s="2" t="s">
        <v>40</v>
      </c>
      <c r="S1333" s="2" t="s">
        <v>8956</v>
      </c>
      <c r="T1333" s="2" t="s">
        <v>287</v>
      </c>
      <c r="U1333" s="2" t="s">
        <v>4248</v>
      </c>
      <c r="V1333" s="2" t="s">
        <v>8957</v>
      </c>
      <c r="W1333" s="1"/>
      <c r="X1333" s="2" t="s">
        <v>1100</v>
      </c>
      <c r="Y1333" s="2" t="s">
        <v>8451</v>
      </c>
      <c r="AA1333" t="str">
        <f t="shared" si="120"/>
        <v>2026-02</v>
      </c>
      <c r="AB1333" t="str">
        <f t="shared" si="121"/>
        <v>H1_2026</v>
      </c>
      <c r="AC1333">
        <f t="shared" si="122"/>
        <v>252167.58</v>
      </c>
      <c r="AD1333">
        <f t="shared" si="123"/>
        <v>30</v>
      </c>
      <c r="AE1333">
        <f t="shared" si="124"/>
        <v>42167.58</v>
      </c>
      <c r="AF1333" t="str">
        <f t="shared" si="125"/>
        <v>Paid</v>
      </c>
    </row>
    <row r="1334" spans="1:32" ht="17.25" thickBot="1" x14ac:dyDescent="0.35">
      <c r="A1334" s="2" t="s">
        <v>8958</v>
      </c>
      <c r="B1334" s="2" t="s">
        <v>27</v>
      </c>
      <c r="C1334" s="2" t="s">
        <v>28</v>
      </c>
      <c r="D1334" s="2" t="s">
        <v>97</v>
      </c>
      <c r="E1334" s="2" t="s">
        <v>8444</v>
      </c>
      <c r="F1334" s="2" t="s">
        <v>8445</v>
      </c>
      <c r="G1334" s="2" t="s">
        <v>32</v>
      </c>
      <c r="H1334" s="1"/>
      <c r="I1334" s="2" t="s">
        <v>33</v>
      </c>
      <c r="J1334" s="2" t="s">
        <v>34</v>
      </c>
      <c r="K1334" s="2" t="s">
        <v>3140</v>
      </c>
      <c r="L1334" s="2" t="s">
        <v>3141</v>
      </c>
      <c r="M1334" s="2" t="s">
        <v>3131</v>
      </c>
      <c r="N1334" s="2" t="s">
        <v>38</v>
      </c>
      <c r="O1334" s="2" t="s">
        <v>141</v>
      </c>
      <c r="P1334" s="2" t="s">
        <v>8959</v>
      </c>
      <c r="Q1334" s="2" t="s">
        <v>8960</v>
      </c>
      <c r="R1334" s="2" t="s">
        <v>40</v>
      </c>
      <c r="S1334" s="2" t="s">
        <v>8961</v>
      </c>
      <c r="T1334" s="2" t="s">
        <v>3145</v>
      </c>
      <c r="U1334" s="2" t="s">
        <v>8962</v>
      </c>
      <c r="V1334" s="2" t="s">
        <v>8963</v>
      </c>
      <c r="W1334" s="1"/>
      <c r="X1334" s="2" t="s">
        <v>3681</v>
      </c>
      <c r="Y1334" s="2" t="s">
        <v>8451</v>
      </c>
      <c r="AA1334" t="str">
        <f t="shared" si="120"/>
        <v>2026-02</v>
      </c>
      <c r="AB1334" t="str">
        <f t="shared" si="121"/>
        <v>H1_2026</v>
      </c>
      <c r="AC1334">
        <f t="shared" si="122"/>
        <v>483775.74</v>
      </c>
      <c r="AD1334">
        <f t="shared" si="123"/>
        <v>30</v>
      </c>
      <c r="AE1334">
        <f t="shared" si="124"/>
        <v>110684.83</v>
      </c>
      <c r="AF1334" t="str">
        <f t="shared" si="125"/>
        <v>Paid</v>
      </c>
    </row>
    <row r="1335" spans="1:32" ht="17.25" thickBot="1" x14ac:dyDescent="0.35">
      <c r="A1335" s="2" t="s">
        <v>8964</v>
      </c>
      <c r="B1335" s="2" t="s">
        <v>27</v>
      </c>
      <c r="C1335" s="2" t="s">
        <v>28</v>
      </c>
      <c r="D1335" s="2" t="s">
        <v>97</v>
      </c>
      <c r="E1335" s="2" t="s">
        <v>8444</v>
      </c>
      <c r="F1335" s="2" t="s">
        <v>8445</v>
      </c>
      <c r="G1335" s="2" t="s">
        <v>32</v>
      </c>
      <c r="H1335" s="1"/>
      <c r="I1335" s="2" t="s">
        <v>33</v>
      </c>
      <c r="J1335" s="2" t="s">
        <v>34</v>
      </c>
      <c r="K1335" s="2" t="s">
        <v>82</v>
      </c>
      <c r="L1335" s="2" t="s">
        <v>83</v>
      </c>
      <c r="M1335" s="2" t="s">
        <v>84</v>
      </c>
      <c r="N1335" s="2" t="s">
        <v>38</v>
      </c>
      <c r="O1335" s="2" t="s">
        <v>8965</v>
      </c>
      <c r="P1335" s="2" t="s">
        <v>8966</v>
      </c>
      <c r="Q1335" s="2" t="s">
        <v>1424</v>
      </c>
      <c r="R1335" s="2" t="s">
        <v>40</v>
      </c>
      <c r="S1335" s="2" t="s">
        <v>8967</v>
      </c>
      <c r="T1335" s="2" t="s">
        <v>1354</v>
      </c>
      <c r="U1335" s="2" t="s">
        <v>8968</v>
      </c>
      <c r="V1335" s="2" t="s">
        <v>8969</v>
      </c>
      <c r="W1335" s="1"/>
      <c r="X1335" s="2" t="s">
        <v>8970</v>
      </c>
      <c r="Y1335" s="2" t="s">
        <v>8451</v>
      </c>
      <c r="AA1335" t="str">
        <f t="shared" si="120"/>
        <v>2026-02</v>
      </c>
      <c r="AB1335" t="str">
        <f t="shared" si="121"/>
        <v>H1_2026</v>
      </c>
      <c r="AC1335">
        <f t="shared" si="122"/>
        <v>9104886</v>
      </c>
      <c r="AD1335">
        <f t="shared" si="123"/>
        <v>1750</v>
      </c>
      <c r="AE1335">
        <f t="shared" si="124"/>
        <v>827386</v>
      </c>
      <c r="AF1335" t="str">
        <f t="shared" si="125"/>
        <v>Paid</v>
      </c>
    </row>
    <row r="1336" spans="1:32" ht="17.25" thickBot="1" x14ac:dyDescent="0.35">
      <c r="A1336" s="2" t="s">
        <v>8971</v>
      </c>
      <c r="B1336" s="2" t="s">
        <v>27</v>
      </c>
      <c r="C1336" s="2" t="s">
        <v>28</v>
      </c>
      <c r="D1336" s="2" t="s">
        <v>97</v>
      </c>
      <c r="E1336" s="2" t="s">
        <v>8444</v>
      </c>
      <c r="F1336" s="2" t="s">
        <v>8445</v>
      </c>
      <c r="G1336" s="2" t="s">
        <v>32</v>
      </c>
      <c r="H1336" s="1"/>
      <c r="I1336" s="2" t="s">
        <v>33</v>
      </c>
      <c r="J1336" s="2" t="s">
        <v>34</v>
      </c>
      <c r="K1336" s="2" t="s">
        <v>1386</v>
      </c>
      <c r="L1336" s="2" t="s">
        <v>1387</v>
      </c>
      <c r="M1336" s="2" t="s">
        <v>84</v>
      </c>
      <c r="N1336" s="2" t="s">
        <v>38</v>
      </c>
      <c r="O1336" s="2" t="s">
        <v>79</v>
      </c>
      <c r="P1336" s="2" t="s">
        <v>317</v>
      </c>
      <c r="Q1336" s="2" t="s">
        <v>8972</v>
      </c>
      <c r="R1336" s="2" t="s">
        <v>40</v>
      </c>
      <c r="S1336" s="2" t="s">
        <v>8973</v>
      </c>
      <c r="T1336" s="2" t="s">
        <v>1390</v>
      </c>
      <c r="U1336" s="2" t="s">
        <v>8974</v>
      </c>
      <c r="V1336" s="2" t="s">
        <v>8975</v>
      </c>
      <c r="W1336" s="1"/>
      <c r="X1336" s="2" t="s">
        <v>6709</v>
      </c>
      <c r="Y1336" s="2" t="s">
        <v>8451</v>
      </c>
      <c r="AA1336" t="str">
        <f t="shared" si="120"/>
        <v>2026-02</v>
      </c>
      <c r="AB1336" t="str">
        <f t="shared" si="121"/>
        <v>H1_2026</v>
      </c>
      <c r="AC1336">
        <f t="shared" si="122"/>
        <v>84055.86</v>
      </c>
      <c r="AD1336">
        <f t="shared" si="123"/>
        <v>10</v>
      </c>
      <c r="AE1336">
        <f t="shared" si="124"/>
        <v>17855.86</v>
      </c>
      <c r="AF1336" t="str">
        <f t="shared" si="125"/>
        <v>Paid</v>
      </c>
    </row>
    <row r="1337" spans="1:32" ht="17.25" thickBot="1" x14ac:dyDescent="0.35">
      <c r="A1337" s="2" t="s">
        <v>8976</v>
      </c>
      <c r="B1337" s="2" t="s">
        <v>27</v>
      </c>
      <c r="C1337" s="2" t="s">
        <v>28</v>
      </c>
      <c r="D1337" s="2" t="s">
        <v>97</v>
      </c>
      <c r="E1337" s="2" t="s">
        <v>8444</v>
      </c>
      <c r="F1337" s="2" t="s">
        <v>8445</v>
      </c>
      <c r="G1337" s="2" t="s">
        <v>32</v>
      </c>
      <c r="H1337" s="1"/>
      <c r="I1337" s="2" t="s">
        <v>33</v>
      </c>
      <c r="J1337" s="2" t="s">
        <v>34</v>
      </c>
      <c r="K1337" s="2" t="s">
        <v>1429</v>
      </c>
      <c r="L1337" s="2" t="s">
        <v>1430</v>
      </c>
      <c r="M1337" s="2" t="s">
        <v>84</v>
      </c>
      <c r="N1337" s="2" t="s">
        <v>38</v>
      </c>
      <c r="O1337" s="2" t="s">
        <v>466</v>
      </c>
      <c r="P1337" s="2" t="s">
        <v>2838</v>
      </c>
      <c r="Q1337" s="2" t="s">
        <v>8977</v>
      </c>
      <c r="R1337" s="2" t="s">
        <v>40</v>
      </c>
      <c r="S1337" s="2" t="s">
        <v>8978</v>
      </c>
      <c r="T1337" s="2" t="s">
        <v>1434</v>
      </c>
      <c r="U1337" s="2" t="s">
        <v>1153</v>
      </c>
      <c r="V1337" s="2" t="s">
        <v>8979</v>
      </c>
      <c r="W1337" s="1"/>
      <c r="X1337" s="2" t="s">
        <v>8980</v>
      </c>
      <c r="Y1337" s="2" t="s">
        <v>8451</v>
      </c>
      <c r="AA1337" t="str">
        <f t="shared" si="120"/>
        <v>2026-02</v>
      </c>
      <c r="AB1337" t="str">
        <f t="shared" si="121"/>
        <v>H1_2026</v>
      </c>
      <c r="AC1337">
        <f t="shared" si="122"/>
        <v>839999.16</v>
      </c>
      <c r="AD1337">
        <f t="shared" si="123"/>
        <v>70</v>
      </c>
      <c r="AE1337">
        <f t="shared" si="124"/>
        <v>111999.16</v>
      </c>
      <c r="AF1337" t="str">
        <f t="shared" si="125"/>
        <v>Paid</v>
      </c>
    </row>
    <row r="1338" spans="1:32" ht="17.25" thickBot="1" x14ac:dyDescent="0.35">
      <c r="A1338" s="2" t="s">
        <v>8981</v>
      </c>
      <c r="B1338" s="2" t="s">
        <v>27</v>
      </c>
      <c r="C1338" s="2" t="s">
        <v>28</v>
      </c>
      <c r="D1338" s="2" t="s">
        <v>97</v>
      </c>
      <c r="E1338" s="2" t="s">
        <v>8444</v>
      </c>
      <c r="F1338" s="2" t="s">
        <v>8445</v>
      </c>
      <c r="G1338" s="2" t="s">
        <v>32</v>
      </c>
      <c r="H1338" s="1"/>
      <c r="I1338" s="2" t="s">
        <v>33</v>
      </c>
      <c r="J1338" s="2" t="s">
        <v>34</v>
      </c>
      <c r="K1338" s="2" t="s">
        <v>5495</v>
      </c>
      <c r="L1338" s="2" t="s">
        <v>5496</v>
      </c>
      <c r="M1338" s="2" t="s">
        <v>84</v>
      </c>
      <c r="N1338" s="2" t="s">
        <v>38</v>
      </c>
      <c r="O1338" s="2" t="s">
        <v>466</v>
      </c>
      <c r="P1338" s="2" t="s">
        <v>1001</v>
      </c>
      <c r="Q1338" s="2" t="s">
        <v>8982</v>
      </c>
      <c r="R1338" s="2" t="s">
        <v>40</v>
      </c>
      <c r="S1338" s="2" t="s">
        <v>8983</v>
      </c>
      <c r="T1338" s="2" t="s">
        <v>126</v>
      </c>
      <c r="U1338" s="2" t="s">
        <v>7209</v>
      </c>
      <c r="V1338" s="2" t="s">
        <v>8984</v>
      </c>
      <c r="W1338" s="1"/>
      <c r="X1338" s="2" t="s">
        <v>8985</v>
      </c>
      <c r="Y1338" s="2" t="s">
        <v>8451</v>
      </c>
      <c r="AA1338" t="str">
        <f t="shared" si="120"/>
        <v>2026-02</v>
      </c>
      <c r="AB1338" t="str">
        <f t="shared" si="121"/>
        <v>H1_2026</v>
      </c>
      <c r="AC1338">
        <f t="shared" si="122"/>
        <v>671607.72</v>
      </c>
      <c r="AD1338">
        <f t="shared" si="123"/>
        <v>70</v>
      </c>
      <c r="AE1338">
        <f t="shared" si="124"/>
        <v>230607.72</v>
      </c>
      <c r="AF1338" t="str">
        <f t="shared" si="125"/>
        <v>Paid</v>
      </c>
    </row>
    <row r="1339" spans="1:32" ht="17.25" thickBot="1" x14ac:dyDescent="0.35">
      <c r="A1339" s="2" t="s">
        <v>8986</v>
      </c>
      <c r="B1339" s="2" t="s">
        <v>27</v>
      </c>
      <c r="C1339" s="2" t="s">
        <v>28</v>
      </c>
      <c r="D1339" s="2" t="s">
        <v>97</v>
      </c>
      <c r="E1339" s="2" t="s">
        <v>8444</v>
      </c>
      <c r="F1339" s="2" t="s">
        <v>8445</v>
      </c>
      <c r="G1339" s="2" t="s">
        <v>32</v>
      </c>
      <c r="H1339" s="1"/>
      <c r="I1339" s="2" t="s">
        <v>33</v>
      </c>
      <c r="J1339" s="2" t="s">
        <v>34</v>
      </c>
      <c r="K1339" s="2" t="s">
        <v>1459</v>
      </c>
      <c r="L1339" s="2" t="s">
        <v>1460</v>
      </c>
      <c r="M1339" s="2" t="s">
        <v>84</v>
      </c>
      <c r="N1339" s="2" t="s">
        <v>38</v>
      </c>
      <c r="O1339" s="2" t="s">
        <v>131</v>
      </c>
      <c r="P1339" s="2" t="s">
        <v>8987</v>
      </c>
      <c r="Q1339" s="2" t="s">
        <v>8988</v>
      </c>
      <c r="R1339" s="2" t="s">
        <v>40</v>
      </c>
      <c r="S1339" s="2" t="s">
        <v>8989</v>
      </c>
      <c r="T1339" s="2" t="s">
        <v>1417</v>
      </c>
      <c r="U1339" s="2" t="s">
        <v>8990</v>
      </c>
      <c r="V1339" s="2" t="s">
        <v>8991</v>
      </c>
      <c r="W1339" s="1"/>
      <c r="X1339" s="2" t="s">
        <v>4859</v>
      </c>
      <c r="Y1339" s="2" t="s">
        <v>8451</v>
      </c>
      <c r="AA1339" t="str">
        <f t="shared" si="120"/>
        <v>2026-02</v>
      </c>
      <c r="AB1339" t="str">
        <f t="shared" si="121"/>
        <v>H1_2026</v>
      </c>
      <c r="AC1339">
        <f t="shared" si="122"/>
        <v>448111.44</v>
      </c>
      <c r="AD1339">
        <f t="shared" si="123"/>
        <v>40</v>
      </c>
      <c r="AE1339">
        <f t="shared" si="124"/>
        <v>174911.44</v>
      </c>
      <c r="AF1339" t="str">
        <f t="shared" si="125"/>
        <v>Paid</v>
      </c>
    </row>
    <row r="1340" spans="1:32" ht="17.25" thickBot="1" x14ac:dyDescent="0.35">
      <c r="A1340" s="2" t="s">
        <v>8992</v>
      </c>
      <c r="B1340" s="2" t="s">
        <v>27</v>
      </c>
      <c r="C1340" s="2" t="s">
        <v>28</v>
      </c>
      <c r="D1340" s="2" t="s">
        <v>97</v>
      </c>
      <c r="E1340" s="2" t="s">
        <v>8444</v>
      </c>
      <c r="F1340" s="2" t="s">
        <v>8445</v>
      </c>
      <c r="G1340" s="2" t="s">
        <v>32</v>
      </c>
      <c r="H1340" s="1"/>
      <c r="I1340" s="2" t="s">
        <v>33</v>
      </c>
      <c r="J1340" s="2" t="s">
        <v>34</v>
      </c>
      <c r="K1340" s="2" t="s">
        <v>3225</v>
      </c>
      <c r="L1340" s="2" t="s">
        <v>3226</v>
      </c>
      <c r="M1340" s="2" t="s">
        <v>3227</v>
      </c>
      <c r="N1340" s="2" t="s">
        <v>38</v>
      </c>
      <c r="O1340" s="2" t="s">
        <v>159</v>
      </c>
      <c r="P1340" s="2" t="s">
        <v>8993</v>
      </c>
      <c r="Q1340" s="2" t="s">
        <v>8994</v>
      </c>
      <c r="R1340" s="2" t="s">
        <v>40</v>
      </c>
      <c r="S1340" s="2" t="s">
        <v>8995</v>
      </c>
      <c r="T1340" s="2" t="s">
        <v>3213</v>
      </c>
      <c r="U1340" s="2" t="s">
        <v>8996</v>
      </c>
      <c r="V1340" s="2" t="s">
        <v>8997</v>
      </c>
      <c r="W1340" s="1"/>
      <c r="X1340" s="2" t="s">
        <v>1073</v>
      </c>
      <c r="Y1340" s="2" t="s">
        <v>8451</v>
      </c>
      <c r="AA1340" t="str">
        <f t="shared" si="120"/>
        <v>2026-02</v>
      </c>
      <c r="AB1340" t="str">
        <f t="shared" si="121"/>
        <v>H1_2026</v>
      </c>
      <c r="AC1340">
        <f t="shared" si="122"/>
        <v>562796.64</v>
      </c>
      <c r="AD1340">
        <f t="shared" si="123"/>
        <v>80</v>
      </c>
      <c r="AE1340">
        <f t="shared" si="124"/>
        <v>146796.64000000001</v>
      </c>
      <c r="AF1340" t="str">
        <f t="shared" si="125"/>
        <v>Paid</v>
      </c>
    </row>
    <row r="1341" spans="1:32" ht="17.25" thickBot="1" x14ac:dyDescent="0.35">
      <c r="A1341" s="2" t="s">
        <v>8998</v>
      </c>
      <c r="B1341" s="2" t="s">
        <v>27</v>
      </c>
      <c r="C1341" s="2" t="s">
        <v>28</v>
      </c>
      <c r="D1341" s="2" t="s">
        <v>97</v>
      </c>
      <c r="E1341" s="2" t="s">
        <v>8444</v>
      </c>
      <c r="F1341" s="2" t="s">
        <v>8445</v>
      </c>
      <c r="G1341" s="2" t="s">
        <v>32</v>
      </c>
      <c r="H1341" s="1"/>
      <c r="I1341" s="2" t="s">
        <v>33</v>
      </c>
      <c r="J1341" s="2" t="s">
        <v>34</v>
      </c>
      <c r="K1341" s="2" t="s">
        <v>3233</v>
      </c>
      <c r="L1341" s="2" t="s">
        <v>3234</v>
      </c>
      <c r="M1341" s="2" t="s">
        <v>3227</v>
      </c>
      <c r="N1341" s="2" t="s">
        <v>38</v>
      </c>
      <c r="O1341" s="2" t="s">
        <v>466</v>
      </c>
      <c r="P1341" s="2" t="s">
        <v>8993</v>
      </c>
      <c r="Q1341" s="2" t="s">
        <v>8999</v>
      </c>
      <c r="R1341" s="2" t="s">
        <v>40</v>
      </c>
      <c r="S1341" s="2" t="s">
        <v>9000</v>
      </c>
      <c r="T1341" s="2" t="s">
        <v>3213</v>
      </c>
      <c r="U1341" s="2" t="s">
        <v>3237</v>
      </c>
      <c r="V1341" s="2" t="s">
        <v>9001</v>
      </c>
      <c r="W1341" s="1"/>
      <c r="X1341" s="2" t="s">
        <v>1073</v>
      </c>
      <c r="Y1341" s="2" t="s">
        <v>8451</v>
      </c>
      <c r="AA1341" t="str">
        <f t="shared" si="120"/>
        <v>2026-02</v>
      </c>
      <c r="AB1341" t="str">
        <f t="shared" si="121"/>
        <v>H1_2026</v>
      </c>
      <c r="AC1341">
        <f t="shared" si="122"/>
        <v>492447.06</v>
      </c>
      <c r="AD1341">
        <f t="shared" si="123"/>
        <v>70</v>
      </c>
      <c r="AE1341">
        <f t="shared" si="124"/>
        <v>128447.06</v>
      </c>
      <c r="AF1341" t="str">
        <f t="shared" si="125"/>
        <v>Paid</v>
      </c>
    </row>
    <row r="1342" spans="1:32" ht="17.25" thickBot="1" x14ac:dyDescent="0.35">
      <c r="A1342" s="2" t="s">
        <v>9002</v>
      </c>
      <c r="B1342" s="2" t="s">
        <v>27</v>
      </c>
      <c r="C1342" s="2" t="s">
        <v>28</v>
      </c>
      <c r="D1342" s="2" t="s">
        <v>97</v>
      </c>
      <c r="E1342" s="2" t="s">
        <v>8444</v>
      </c>
      <c r="F1342" s="2" t="s">
        <v>8445</v>
      </c>
      <c r="G1342" s="2" t="s">
        <v>32</v>
      </c>
      <c r="H1342" s="1"/>
      <c r="I1342" s="2" t="s">
        <v>33</v>
      </c>
      <c r="J1342" s="2" t="s">
        <v>34</v>
      </c>
      <c r="K1342" s="2" t="s">
        <v>8191</v>
      </c>
      <c r="L1342" s="2" t="s">
        <v>8192</v>
      </c>
      <c r="M1342" s="2" t="s">
        <v>3227</v>
      </c>
      <c r="N1342" s="2" t="s">
        <v>38</v>
      </c>
      <c r="O1342" s="2" t="s">
        <v>141</v>
      </c>
      <c r="P1342" s="2" t="s">
        <v>9003</v>
      </c>
      <c r="Q1342" s="2" t="s">
        <v>8614</v>
      </c>
      <c r="R1342" s="2" t="s">
        <v>40</v>
      </c>
      <c r="S1342" s="2" t="s">
        <v>8615</v>
      </c>
      <c r="T1342" s="2" t="s">
        <v>8195</v>
      </c>
      <c r="U1342" s="2" t="s">
        <v>9004</v>
      </c>
      <c r="V1342" s="2" t="s">
        <v>9005</v>
      </c>
      <c r="W1342" s="1"/>
      <c r="X1342" s="2" t="s">
        <v>1073</v>
      </c>
      <c r="Y1342" s="2" t="s">
        <v>8451</v>
      </c>
      <c r="AA1342" t="str">
        <f t="shared" si="120"/>
        <v>2026-02</v>
      </c>
      <c r="AB1342" t="str">
        <f t="shared" si="121"/>
        <v>H1_2026</v>
      </c>
      <c r="AC1342">
        <f t="shared" si="122"/>
        <v>253426.32</v>
      </c>
      <c r="AD1342">
        <f t="shared" si="123"/>
        <v>30</v>
      </c>
      <c r="AE1342">
        <f t="shared" si="124"/>
        <v>66226.320000000007</v>
      </c>
      <c r="AF1342" t="str">
        <f t="shared" si="125"/>
        <v>Paid</v>
      </c>
    </row>
    <row r="1343" spans="1:32" ht="17.25" thickBot="1" x14ac:dyDescent="0.35">
      <c r="A1343" s="2" t="s">
        <v>9006</v>
      </c>
      <c r="B1343" s="2" t="s">
        <v>27</v>
      </c>
      <c r="C1343" s="2" t="s">
        <v>28</v>
      </c>
      <c r="D1343" s="2" t="s">
        <v>97</v>
      </c>
      <c r="E1343" s="2" t="s">
        <v>9007</v>
      </c>
      <c r="F1343" s="2" t="s">
        <v>8445</v>
      </c>
      <c r="G1343" s="2" t="s">
        <v>32</v>
      </c>
      <c r="H1343" s="1"/>
      <c r="I1343" s="2" t="s">
        <v>33</v>
      </c>
      <c r="J1343" s="2" t="s">
        <v>34</v>
      </c>
      <c r="K1343" s="2" t="s">
        <v>4867</v>
      </c>
      <c r="L1343" s="2" t="s">
        <v>4868</v>
      </c>
      <c r="M1343" s="2" t="s">
        <v>1887</v>
      </c>
      <c r="N1343" s="2" t="s">
        <v>38</v>
      </c>
      <c r="O1343" s="2" t="s">
        <v>1158</v>
      </c>
      <c r="P1343" s="2" t="s">
        <v>8078</v>
      </c>
      <c r="Q1343" s="2" t="s">
        <v>9008</v>
      </c>
      <c r="R1343" s="2" t="s">
        <v>40</v>
      </c>
      <c r="S1343" s="2" t="s">
        <v>9009</v>
      </c>
      <c r="T1343" s="2" t="s">
        <v>1901</v>
      </c>
      <c r="U1343" s="2" t="s">
        <v>9010</v>
      </c>
      <c r="V1343" s="2" t="s">
        <v>9011</v>
      </c>
      <c r="W1343" s="1"/>
      <c r="X1343" s="2" t="s">
        <v>2020</v>
      </c>
      <c r="Y1343" s="2" t="s">
        <v>9012</v>
      </c>
      <c r="AA1343" t="str">
        <f t="shared" si="120"/>
        <v>2026-02</v>
      </c>
      <c r="AB1343" t="str">
        <f t="shared" si="121"/>
        <v>H1_2026</v>
      </c>
      <c r="AC1343">
        <f t="shared" si="122"/>
        <v>890064</v>
      </c>
      <c r="AD1343">
        <f t="shared" si="123"/>
        <v>180</v>
      </c>
      <c r="AE1343">
        <f t="shared" si="124"/>
        <v>230724</v>
      </c>
      <c r="AF1343" t="str">
        <f t="shared" si="125"/>
        <v>Paid</v>
      </c>
    </row>
    <row r="1344" spans="1:32" ht="27.75" thickBot="1" x14ac:dyDescent="0.35">
      <c r="A1344" s="2" t="s">
        <v>9013</v>
      </c>
      <c r="B1344" s="2" t="s">
        <v>27</v>
      </c>
      <c r="C1344" s="2" t="s">
        <v>28</v>
      </c>
      <c r="D1344" s="2" t="s">
        <v>97</v>
      </c>
      <c r="E1344" s="2" t="s">
        <v>9007</v>
      </c>
      <c r="F1344" s="2" t="s">
        <v>8445</v>
      </c>
      <c r="G1344" s="2" t="s">
        <v>32</v>
      </c>
      <c r="H1344" s="1"/>
      <c r="I1344" s="2" t="s">
        <v>33</v>
      </c>
      <c r="J1344" s="2" t="s">
        <v>34</v>
      </c>
      <c r="K1344" s="2" t="s">
        <v>302</v>
      </c>
      <c r="L1344" s="2" t="s">
        <v>303</v>
      </c>
      <c r="M1344" s="2" t="s">
        <v>304</v>
      </c>
      <c r="N1344" s="2" t="s">
        <v>38</v>
      </c>
      <c r="O1344" s="2" t="s">
        <v>9014</v>
      </c>
      <c r="P1344" s="2" t="s">
        <v>5472</v>
      </c>
      <c r="Q1344" s="2" t="s">
        <v>9015</v>
      </c>
      <c r="R1344" s="2" t="s">
        <v>40</v>
      </c>
      <c r="S1344" s="2" t="s">
        <v>9016</v>
      </c>
      <c r="T1344" s="2" t="s">
        <v>9017</v>
      </c>
      <c r="U1344" s="2" t="s">
        <v>9018</v>
      </c>
      <c r="V1344" s="2" t="s">
        <v>9019</v>
      </c>
      <c r="W1344" s="1"/>
      <c r="X1344" s="2" t="s">
        <v>8198</v>
      </c>
      <c r="Y1344" s="2" t="s">
        <v>9020</v>
      </c>
      <c r="AA1344" t="str">
        <f t="shared" si="120"/>
        <v>2026-02</v>
      </c>
      <c r="AB1344" t="str">
        <f t="shared" si="121"/>
        <v>H1_2026</v>
      </c>
      <c r="AC1344">
        <f t="shared" si="122"/>
        <v>50304557.700000003</v>
      </c>
      <c r="AD1344">
        <f t="shared" si="123"/>
        <v>5700</v>
      </c>
      <c r="AE1344">
        <f t="shared" si="124"/>
        <v>13157437.699999999</v>
      </c>
      <c r="AF1344" t="str">
        <f t="shared" si="125"/>
        <v>Paid</v>
      </c>
    </row>
    <row r="1345" spans="1:32" ht="17.25" thickBot="1" x14ac:dyDescent="0.35">
      <c r="A1345" s="2" t="s">
        <v>9021</v>
      </c>
      <c r="B1345" s="2" t="s">
        <v>27</v>
      </c>
      <c r="C1345" s="2" t="s">
        <v>28</v>
      </c>
      <c r="D1345" s="2" t="s">
        <v>97</v>
      </c>
      <c r="E1345" s="2" t="s">
        <v>9007</v>
      </c>
      <c r="F1345" s="2" t="s">
        <v>8445</v>
      </c>
      <c r="G1345" s="2" t="s">
        <v>32</v>
      </c>
      <c r="H1345" s="1"/>
      <c r="I1345" s="2" t="s">
        <v>33</v>
      </c>
      <c r="J1345" s="2" t="s">
        <v>34</v>
      </c>
      <c r="K1345" s="2" t="s">
        <v>324</v>
      </c>
      <c r="L1345" s="2" t="s">
        <v>325</v>
      </c>
      <c r="M1345" s="2" t="s">
        <v>304</v>
      </c>
      <c r="N1345" s="2" t="s">
        <v>38</v>
      </c>
      <c r="O1345" s="2" t="s">
        <v>9022</v>
      </c>
      <c r="P1345" s="2" t="s">
        <v>7368</v>
      </c>
      <c r="Q1345" s="2" t="s">
        <v>9023</v>
      </c>
      <c r="R1345" s="2" t="s">
        <v>40</v>
      </c>
      <c r="S1345" s="2" t="s">
        <v>9024</v>
      </c>
      <c r="T1345" s="2" t="s">
        <v>40</v>
      </c>
      <c r="U1345" s="2" t="s">
        <v>40</v>
      </c>
      <c r="V1345" s="2" t="s">
        <v>9024</v>
      </c>
      <c r="W1345" s="1"/>
      <c r="X1345" s="2" t="s">
        <v>2155</v>
      </c>
      <c r="Y1345" s="2" t="s">
        <v>9020</v>
      </c>
      <c r="AA1345" t="str">
        <f t="shared" si="120"/>
        <v>2026-02</v>
      </c>
      <c r="AB1345" t="str">
        <f t="shared" si="121"/>
        <v>H1_2026</v>
      </c>
      <c r="AC1345">
        <f t="shared" si="122"/>
        <v>12765503.17</v>
      </c>
      <c r="AD1345">
        <f t="shared" si="123"/>
        <v>1018</v>
      </c>
      <c r="AE1345">
        <f t="shared" si="124"/>
        <v>12765503.17</v>
      </c>
      <c r="AF1345" t="str">
        <f t="shared" si="125"/>
        <v>Paid</v>
      </c>
    </row>
    <row r="1346" spans="1:32" ht="17.25" thickBot="1" x14ac:dyDescent="0.35">
      <c r="A1346" s="2" t="s">
        <v>9025</v>
      </c>
      <c r="B1346" s="2" t="s">
        <v>27</v>
      </c>
      <c r="C1346" s="2" t="s">
        <v>28</v>
      </c>
      <c r="D1346" s="2" t="s">
        <v>97</v>
      </c>
      <c r="E1346" s="2" t="s">
        <v>9007</v>
      </c>
      <c r="F1346" s="2" t="s">
        <v>8445</v>
      </c>
      <c r="G1346" s="2" t="s">
        <v>32</v>
      </c>
      <c r="H1346" s="1"/>
      <c r="I1346" s="2" t="s">
        <v>33</v>
      </c>
      <c r="J1346" s="2" t="s">
        <v>34</v>
      </c>
      <c r="K1346" s="2" t="s">
        <v>5959</v>
      </c>
      <c r="L1346" s="2" t="s">
        <v>5960</v>
      </c>
      <c r="M1346" s="2" t="s">
        <v>304</v>
      </c>
      <c r="N1346" s="2" t="s">
        <v>38</v>
      </c>
      <c r="O1346" s="2" t="s">
        <v>149</v>
      </c>
      <c r="P1346" s="2" t="s">
        <v>4190</v>
      </c>
      <c r="Q1346" s="2" t="s">
        <v>9026</v>
      </c>
      <c r="R1346" s="2" t="s">
        <v>40</v>
      </c>
      <c r="S1346" s="2" t="s">
        <v>9027</v>
      </c>
      <c r="T1346" s="2" t="s">
        <v>452</v>
      </c>
      <c r="U1346" s="2" t="s">
        <v>9028</v>
      </c>
      <c r="V1346" s="2" t="s">
        <v>9029</v>
      </c>
      <c r="W1346" s="1"/>
      <c r="X1346" s="2" t="s">
        <v>398</v>
      </c>
      <c r="Y1346" s="2" t="s">
        <v>9020</v>
      </c>
      <c r="AA1346" t="str">
        <f t="shared" si="120"/>
        <v>2026-02</v>
      </c>
      <c r="AB1346" t="str">
        <f t="shared" si="121"/>
        <v>H1_2026</v>
      </c>
      <c r="AC1346">
        <f t="shared" si="122"/>
        <v>3779212.5</v>
      </c>
      <c r="AD1346">
        <f t="shared" si="123"/>
        <v>300</v>
      </c>
      <c r="AE1346">
        <f t="shared" si="124"/>
        <v>455212.5</v>
      </c>
      <c r="AF1346" t="str">
        <f t="shared" si="125"/>
        <v>Paid</v>
      </c>
    </row>
    <row r="1347" spans="1:32" ht="27.75" thickBot="1" x14ac:dyDescent="0.35">
      <c r="A1347" s="2" t="s">
        <v>9030</v>
      </c>
      <c r="B1347" s="2" t="s">
        <v>27</v>
      </c>
      <c r="C1347" s="2" t="s">
        <v>28</v>
      </c>
      <c r="D1347" s="2" t="s">
        <v>97</v>
      </c>
      <c r="E1347" s="2" t="s">
        <v>9007</v>
      </c>
      <c r="F1347" s="2" t="s">
        <v>8445</v>
      </c>
      <c r="G1347" s="2" t="s">
        <v>32</v>
      </c>
      <c r="H1347" s="1"/>
      <c r="I1347" s="2" t="s">
        <v>33</v>
      </c>
      <c r="J1347" s="2" t="s">
        <v>34</v>
      </c>
      <c r="K1347" s="2" t="s">
        <v>352</v>
      </c>
      <c r="L1347" s="2" t="s">
        <v>353</v>
      </c>
      <c r="M1347" s="2" t="s">
        <v>304</v>
      </c>
      <c r="N1347" s="2" t="s">
        <v>38</v>
      </c>
      <c r="O1347" s="2" t="s">
        <v>1150</v>
      </c>
      <c r="P1347" s="2" t="s">
        <v>5472</v>
      </c>
      <c r="Q1347" s="2" t="s">
        <v>9031</v>
      </c>
      <c r="R1347" s="2" t="s">
        <v>40</v>
      </c>
      <c r="S1347" s="2" t="s">
        <v>9032</v>
      </c>
      <c r="T1347" s="2" t="s">
        <v>309</v>
      </c>
      <c r="U1347" s="2" t="s">
        <v>4144</v>
      </c>
      <c r="V1347" s="2" t="s">
        <v>9033</v>
      </c>
      <c r="W1347" s="1"/>
      <c r="X1347" s="2" t="s">
        <v>312</v>
      </c>
      <c r="Y1347" s="2" t="s">
        <v>9020</v>
      </c>
      <c r="AA1347" t="str">
        <f t="shared" si="120"/>
        <v>2026-02</v>
      </c>
      <c r="AB1347" t="str">
        <f t="shared" si="121"/>
        <v>H1_2026</v>
      </c>
      <c r="AC1347">
        <f t="shared" si="122"/>
        <v>1147296.93</v>
      </c>
      <c r="AD1347">
        <f t="shared" si="123"/>
        <v>130</v>
      </c>
      <c r="AE1347">
        <f t="shared" si="124"/>
        <v>138496.93</v>
      </c>
      <c r="AF1347" t="str">
        <f t="shared" si="125"/>
        <v>Paid</v>
      </c>
    </row>
    <row r="1348" spans="1:32" ht="27.75" thickBot="1" x14ac:dyDescent="0.35">
      <c r="A1348" s="2" t="s">
        <v>9034</v>
      </c>
      <c r="B1348" s="2" t="s">
        <v>27</v>
      </c>
      <c r="C1348" s="2" t="s">
        <v>28</v>
      </c>
      <c r="D1348" s="2" t="s">
        <v>97</v>
      </c>
      <c r="E1348" s="2" t="s">
        <v>9007</v>
      </c>
      <c r="F1348" s="2" t="s">
        <v>8445</v>
      </c>
      <c r="G1348" s="2" t="s">
        <v>32</v>
      </c>
      <c r="H1348" s="1"/>
      <c r="I1348" s="2" t="s">
        <v>33</v>
      </c>
      <c r="J1348" s="2" t="s">
        <v>34</v>
      </c>
      <c r="K1348" s="2" t="s">
        <v>4756</v>
      </c>
      <c r="L1348" s="2" t="s">
        <v>4757</v>
      </c>
      <c r="M1348" s="2" t="s">
        <v>304</v>
      </c>
      <c r="N1348" s="2" t="s">
        <v>38</v>
      </c>
      <c r="O1348" s="2" t="s">
        <v>79</v>
      </c>
      <c r="P1348" s="2" t="s">
        <v>6930</v>
      </c>
      <c r="Q1348" s="2" t="s">
        <v>9035</v>
      </c>
      <c r="R1348" s="2" t="s">
        <v>40</v>
      </c>
      <c r="S1348" s="2" t="s">
        <v>9036</v>
      </c>
      <c r="T1348" s="2" t="s">
        <v>384</v>
      </c>
      <c r="U1348" s="2" t="s">
        <v>9037</v>
      </c>
      <c r="V1348" s="2" t="s">
        <v>9038</v>
      </c>
      <c r="W1348" s="1"/>
      <c r="X1348" s="2" t="s">
        <v>377</v>
      </c>
      <c r="Y1348" s="2" t="s">
        <v>9020</v>
      </c>
      <c r="AA1348" t="str">
        <f t="shared" ref="AA1348:AA1411" si="126">LEFT(E1348,7)</f>
        <v>2026-02</v>
      </c>
      <c r="AB1348" t="str">
        <f t="shared" ref="AB1348:AB1411" si="127">IF(AND($AA1348&gt;="2025-01",$AA1348&lt;="2025-06"),"H1_2025",IF(AND($AA1348&gt;="2026-01",$AA1348&lt;="2026-06"),"H1_2026",""))</f>
        <v>H1_2026</v>
      </c>
      <c r="AC1348">
        <f t="shared" ref="AC1348:AC1411" si="128">IFERROR(VALUE(SUBSTITUTE(S1348,",","")),0)</f>
        <v>22027.41</v>
      </c>
      <c r="AD1348">
        <f t="shared" ref="AD1348:AD1411" si="129">IFERROR(VALUE(SUBSTITUTE(O1348,",","")),0)</f>
        <v>10</v>
      </c>
      <c r="AE1348">
        <f t="shared" ref="AE1348:AE1411" si="130">IFERROR(VALUE(SUBSTITUTE(V1348,",","")),0)</f>
        <v>2627.41</v>
      </c>
      <c r="AF1348" t="str">
        <f t="shared" ref="AF1348:AF1411" si="131">IF(ISNUMBER(SEARCH("FOC",W1348)),"FOC",IF(ISNUMBER(SEARCH("샘플",W1348)),"Sample","Paid"))</f>
        <v>Paid</v>
      </c>
    </row>
    <row r="1349" spans="1:32" ht="17.25" thickBot="1" x14ac:dyDescent="0.35">
      <c r="A1349" s="2" t="s">
        <v>9039</v>
      </c>
      <c r="B1349" s="2" t="s">
        <v>27</v>
      </c>
      <c r="C1349" s="2" t="s">
        <v>28</v>
      </c>
      <c r="D1349" s="2" t="s">
        <v>97</v>
      </c>
      <c r="E1349" s="2" t="s">
        <v>9007</v>
      </c>
      <c r="F1349" s="2" t="s">
        <v>8445</v>
      </c>
      <c r="G1349" s="2" t="s">
        <v>32</v>
      </c>
      <c r="H1349" s="1"/>
      <c r="I1349" s="2" t="s">
        <v>33</v>
      </c>
      <c r="J1349" s="2" t="s">
        <v>34</v>
      </c>
      <c r="K1349" s="2" t="s">
        <v>4110</v>
      </c>
      <c r="L1349" s="2" t="s">
        <v>4111</v>
      </c>
      <c r="M1349" s="2" t="s">
        <v>304</v>
      </c>
      <c r="N1349" s="2" t="s">
        <v>38</v>
      </c>
      <c r="O1349" s="2" t="s">
        <v>159</v>
      </c>
      <c r="P1349" s="2" t="s">
        <v>9040</v>
      </c>
      <c r="Q1349" s="2" t="s">
        <v>9041</v>
      </c>
      <c r="R1349" s="2" t="s">
        <v>40</v>
      </c>
      <c r="S1349" s="2" t="s">
        <v>9042</v>
      </c>
      <c r="T1349" s="2" t="s">
        <v>9043</v>
      </c>
      <c r="U1349" s="2" t="s">
        <v>9044</v>
      </c>
      <c r="V1349" s="2" t="s">
        <v>9045</v>
      </c>
      <c r="W1349" s="1"/>
      <c r="X1349" s="2" t="s">
        <v>566</v>
      </c>
      <c r="Y1349" s="2" t="s">
        <v>9020</v>
      </c>
      <c r="AA1349" t="str">
        <f t="shared" si="126"/>
        <v>2026-02</v>
      </c>
      <c r="AB1349" t="str">
        <f t="shared" si="127"/>
        <v>H1_2026</v>
      </c>
      <c r="AC1349">
        <f t="shared" si="128"/>
        <v>1260025.44</v>
      </c>
      <c r="AD1349">
        <f t="shared" si="129"/>
        <v>80</v>
      </c>
      <c r="AE1349">
        <f t="shared" si="130"/>
        <v>140025.44</v>
      </c>
      <c r="AF1349" t="str">
        <f t="shared" si="131"/>
        <v>Paid</v>
      </c>
    </row>
    <row r="1350" spans="1:32" ht="17.25" thickBot="1" x14ac:dyDescent="0.35">
      <c r="A1350" s="2" t="s">
        <v>9046</v>
      </c>
      <c r="B1350" s="2" t="s">
        <v>27</v>
      </c>
      <c r="C1350" s="2" t="s">
        <v>28</v>
      </c>
      <c r="D1350" s="2" t="s">
        <v>97</v>
      </c>
      <c r="E1350" s="2" t="s">
        <v>9007</v>
      </c>
      <c r="F1350" s="2" t="s">
        <v>8445</v>
      </c>
      <c r="G1350" s="2" t="s">
        <v>32</v>
      </c>
      <c r="H1350" s="1"/>
      <c r="I1350" s="2" t="s">
        <v>33</v>
      </c>
      <c r="J1350" s="2" t="s">
        <v>34</v>
      </c>
      <c r="K1350" s="2" t="s">
        <v>400</v>
      </c>
      <c r="L1350" s="2" t="s">
        <v>401</v>
      </c>
      <c r="M1350" s="2" t="s">
        <v>304</v>
      </c>
      <c r="N1350" s="2" t="s">
        <v>38</v>
      </c>
      <c r="O1350" s="2" t="s">
        <v>391</v>
      </c>
      <c r="P1350" s="2" t="s">
        <v>8776</v>
      </c>
      <c r="Q1350" s="2" t="s">
        <v>9047</v>
      </c>
      <c r="R1350" s="2" t="s">
        <v>40</v>
      </c>
      <c r="S1350" s="2" t="s">
        <v>9048</v>
      </c>
      <c r="T1350" s="2" t="s">
        <v>706</v>
      </c>
      <c r="U1350" s="2" t="s">
        <v>7170</v>
      </c>
      <c r="V1350" s="2" t="s">
        <v>9049</v>
      </c>
      <c r="W1350" s="1"/>
      <c r="X1350" s="2" t="s">
        <v>9050</v>
      </c>
      <c r="Y1350" s="2" t="s">
        <v>9020</v>
      </c>
      <c r="AA1350" t="str">
        <f t="shared" si="126"/>
        <v>2026-02</v>
      </c>
      <c r="AB1350" t="str">
        <f t="shared" si="127"/>
        <v>H1_2026</v>
      </c>
      <c r="AC1350">
        <f t="shared" si="128"/>
        <v>793850.58</v>
      </c>
      <c r="AD1350">
        <f t="shared" si="129"/>
        <v>60</v>
      </c>
      <c r="AE1350">
        <f t="shared" si="130"/>
        <v>289850.58</v>
      </c>
      <c r="AF1350" t="str">
        <f t="shared" si="131"/>
        <v>Paid</v>
      </c>
    </row>
    <row r="1351" spans="1:32" ht="27.75" thickBot="1" x14ac:dyDescent="0.35">
      <c r="A1351" s="2" t="s">
        <v>9051</v>
      </c>
      <c r="B1351" s="2" t="s">
        <v>27</v>
      </c>
      <c r="C1351" s="2" t="s">
        <v>28</v>
      </c>
      <c r="D1351" s="2" t="s">
        <v>97</v>
      </c>
      <c r="E1351" s="2" t="s">
        <v>9007</v>
      </c>
      <c r="F1351" s="2" t="s">
        <v>8445</v>
      </c>
      <c r="G1351" s="2" t="s">
        <v>32</v>
      </c>
      <c r="H1351" s="1"/>
      <c r="I1351" s="2" t="s">
        <v>33</v>
      </c>
      <c r="J1351" s="2" t="s">
        <v>34</v>
      </c>
      <c r="K1351" s="2" t="s">
        <v>408</v>
      </c>
      <c r="L1351" s="2" t="s">
        <v>409</v>
      </c>
      <c r="M1351" s="2" t="s">
        <v>304</v>
      </c>
      <c r="N1351" s="2" t="s">
        <v>38</v>
      </c>
      <c r="O1351" s="2" t="s">
        <v>466</v>
      </c>
      <c r="P1351" s="2" t="s">
        <v>9052</v>
      </c>
      <c r="Q1351" s="2" t="s">
        <v>9053</v>
      </c>
      <c r="R1351" s="2" t="s">
        <v>40</v>
      </c>
      <c r="S1351" s="2" t="s">
        <v>9054</v>
      </c>
      <c r="T1351" s="2" t="s">
        <v>413</v>
      </c>
      <c r="U1351" s="2" t="s">
        <v>4107</v>
      </c>
      <c r="V1351" s="2" t="s">
        <v>9055</v>
      </c>
      <c r="W1351" s="1"/>
      <c r="X1351" s="2" t="s">
        <v>387</v>
      </c>
      <c r="Y1351" s="2" t="s">
        <v>9020</v>
      </c>
      <c r="AA1351" t="str">
        <f t="shared" si="126"/>
        <v>2026-02</v>
      </c>
      <c r="AB1351" t="str">
        <f t="shared" si="127"/>
        <v>H1_2026</v>
      </c>
      <c r="AC1351">
        <f t="shared" si="128"/>
        <v>1096475.52</v>
      </c>
      <c r="AD1351">
        <f t="shared" si="129"/>
        <v>70</v>
      </c>
      <c r="AE1351">
        <f t="shared" si="130"/>
        <v>126975.52</v>
      </c>
      <c r="AF1351" t="str">
        <f t="shared" si="131"/>
        <v>Paid</v>
      </c>
    </row>
    <row r="1352" spans="1:32" ht="17.25" thickBot="1" x14ac:dyDescent="0.35">
      <c r="A1352" s="2" t="s">
        <v>9056</v>
      </c>
      <c r="B1352" s="2" t="s">
        <v>27</v>
      </c>
      <c r="C1352" s="2" t="s">
        <v>28</v>
      </c>
      <c r="D1352" s="2" t="s">
        <v>97</v>
      </c>
      <c r="E1352" s="2" t="s">
        <v>9007</v>
      </c>
      <c r="F1352" s="2" t="s">
        <v>8445</v>
      </c>
      <c r="G1352" s="2" t="s">
        <v>32</v>
      </c>
      <c r="H1352" s="1"/>
      <c r="I1352" s="2" t="s">
        <v>33</v>
      </c>
      <c r="J1352" s="2" t="s">
        <v>34</v>
      </c>
      <c r="K1352" s="2" t="s">
        <v>426</v>
      </c>
      <c r="L1352" s="2" t="s">
        <v>427</v>
      </c>
      <c r="M1352" s="2" t="s">
        <v>304</v>
      </c>
      <c r="N1352" s="2" t="s">
        <v>38</v>
      </c>
      <c r="O1352" s="2" t="s">
        <v>877</v>
      </c>
      <c r="P1352" s="2" t="s">
        <v>6957</v>
      </c>
      <c r="Q1352" s="2" t="s">
        <v>7865</v>
      </c>
      <c r="R1352" s="2" t="s">
        <v>40</v>
      </c>
      <c r="S1352" s="2" t="s">
        <v>9057</v>
      </c>
      <c r="T1352" s="2" t="s">
        <v>374</v>
      </c>
      <c r="U1352" s="2" t="s">
        <v>9058</v>
      </c>
      <c r="V1352" s="2" t="s">
        <v>9059</v>
      </c>
      <c r="W1352" s="1"/>
      <c r="X1352" s="2" t="s">
        <v>434</v>
      </c>
      <c r="Y1352" s="2" t="s">
        <v>9020</v>
      </c>
      <c r="AA1352" t="str">
        <f t="shared" si="126"/>
        <v>2026-02</v>
      </c>
      <c r="AB1352" t="str">
        <f t="shared" si="127"/>
        <v>H1_2026</v>
      </c>
      <c r="AC1352">
        <f t="shared" si="128"/>
        <v>1324524</v>
      </c>
      <c r="AD1352">
        <f t="shared" si="129"/>
        <v>100</v>
      </c>
      <c r="AE1352">
        <f t="shared" si="130"/>
        <v>161524</v>
      </c>
      <c r="AF1352" t="str">
        <f t="shared" si="131"/>
        <v>Paid</v>
      </c>
    </row>
    <row r="1353" spans="1:32" ht="17.25" thickBot="1" x14ac:dyDescent="0.35">
      <c r="A1353" s="2" t="s">
        <v>9060</v>
      </c>
      <c r="B1353" s="2" t="s">
        <v>27</v>
      </c>
      <c r="C1353" s="2" t="s">
        <v>28</v>
      </c>
      <c r="D1353" s="2" t="s">
        <v>97</v>
      </c>
      <c r="E1353" s="2" t="s">
        <v>9007</v>
      </c>
      <c r="F1353" s="2" t="s">
        <v>8445</v>
      </c>
      <c r="G1353" s="2" t="s">
        <v>32</v>
      </c>
      <c r="H1353" s="1"/>
      <c r="I1353" s="2" t="s">
        <v>33</v>
      </c>
      <c r="J1353" s="2" t="s">
        <v>34</v>
      </c>
      <c r="K1353" s="2" t="s">
        <v>9061</v>
      </c>
      <c r="L1353" s="2" t="s">
        <v>9062</v>
      </c>
      <c r="M1353" s="2" t="s">
        <v>304</v>
      </c>
      <c r="N1353" s="2" t="s">
        <v>38</v>
      </c>
      <c r="O1353" s="2" t="s">
        <v>159</v>
      </c>
      <c r="P1353" s="2" t="s">
        <v>9063</v>
      </c>
      <c r="Q1353" s="2" t="s">
        <v>9064</v>
      </c>
      <c r="R1353" s="2" t="s">
        <v>40</v>
      </c>
      <c r="S1353" s="2" t="s">
        <v>9065</v>
      </c>
      <c r="T1353" s="2" t="s">
        <v>497</v>
      </c>
      <c r="U1353" s="2" t="s">
        <v>9066</v>
      </c>
      <c r="V1353" s="2" t="s">
        <v>9067</v>
      </c>
      <c r="W1353" s="1"/>
      <c r="X1353" s="2" t="s">
        <v>387</v>
      </c>
      <c r="Y1353" s="2" t="s">
        <v>9020</v>
      </c>
      <c r="AA1353" t="str">
        <f t="shared" si="126"/>
        <v>2026-02</v>
      </c>
      <c r="AB1353" t="str">
        <f t="shared" si="127"/>
        <v>H1_2026</v>
      </c>
      <c r="AC1353">
        <f t="shared" si="128"/>
        <v>1403995.44</v>
      </c>
      <c r="AD1353">
        <f t="shared" si="129"/>
        <v>80</v>
      </c>
      <c r="AE1353">
        <f t="shared" si="130"/>
        <v>163195.44</v>
      </c>
      <c r="AF1353" t="str">
        <f t="shared" si="131"/>
        <v>Paid</v>
      </c>
    </row>
    <row r="1354" spans="1:32" ht="27.75" thickBot="1" x14ac:dyDescent="0.35">
      <c r="A1354" s="2" t="s">
        <v>9068</v>
      </c>
      <c r="B1354" s="2" t="s">
        <v>27</v>
      </c>
      <c r="C1354" s="2" t="s">
        <v>28</v>
      </c>
      <c r="D1354" s="2" t="s">
        <v>97</v>
      </c>
      <c r="E1354" s="2" t="s">
        <v>9007</v>
      </c>
      <c r="F1354" s="2" t="s">
        <v>8445</v>
      </c>
      <c r="G1354" s="2" t="s">
        <v>32</v>
      </c>
      <c r="H1354" s="1"/>
      <c r="I1354" s="2" t="s">
        <v>33</v>
      </c>
      <c r="J1354" s="2" t="s">
        <v>34</v>
      </c>
      <c r="K1354" s="2" t="s">
        <v>446</v>
      </c>
      <c r="L1354" s="2" t="s">
        <v>447</v>
      </c>
      <c r="M1354" s="2" t="s">
        <v>304</v>
      </c>
      <c r="N1354" s="2" t="s">
        <v>38</v>
      </c>
      <c r="O1354" s="2" t="s">
        <v>773</v>
      </c>
      <c r="P1354" s="2" t="s">
        <v>9069</v>
      </c>
      <c r="Q1354" s="2" t="s">
        <v>9070</v>
      </c>
      <c r="R1354" s="2" t="s">
        <v>40</v>
      </c>
      <c r="S1354" s="2" t="s">
        <v>9071</v>
      </c>
      <c r="T1354" s="2" t="s">
        <v>452</v>
      </c>
      <c r="U1354" s="2" t="s">
        <v>9072</v>
      </c>
      <c r="V1354" s="2" t="s">
        <v>9073</v>
      </c>
      <c r="W1354" s="1"/>
      <c r="X1354" s="2" t="s">
        <v>9074</v>
      </c>
      <c r="Y1354" s="2" t="s">
        <v>9020</v>
      </c>
      <c r="AA1354" t="str">
        <f t="shared" si="126"/>
        <v>2026-02</v>
      </c>
      <c r="AB1354" t="str">
        <f t="shared" si="127"/>
        <v>H1_2026</v>
      </c>
      <c r="AC1354">
        <f t="shared" si="128"/>
        <v>3239325</v>
      </c>
      <c r="AD1354">
        <f t="shared" si="129"/>
        <v>200</v>
      </c>
      <c r="AE1354">
        <f t="shared" si="130"/>
        <v>1023325</v>
      </c>
      <c r="AF1354" t="str">
        <f t="shared" si="131"/>
        <v>Paid</v>
      </c>
    </row>
    <row r="1355" spans="1:32" ht="27.75" thickBot="1" x14ac:dyDescent="0.35">
      <c r="A1355" s="2" t="s">
        <v>9075</v>
      </c>
      <c r="B1355" s="2" t="s">
        <v>27</v>
      </c>
      <c r="C1355" s="2" t="s">
        <v>28</v>
      </c>
      <c r="D1355" s="2" t="s">
        <v>97</v>
      </c>
      <c r="E1355" s="2" t="s">
        <v>9007</v>
      </c>
      <c r="F1355" s="2" t="s">
        <v>8445</v>
      </c>
      <c r="G1355" s="2" t="s">
        <v>32</v>
      </c>
      <c r="H1355" s="1"/>
      <c r="I1355" s="2" t="s">
        <v>33</v>
      </c>
      <c r="J1355" s="2" t="s">
        <v>34</v>
      </c>
      <c r="K1355" s="2" t="s">
        <v>491</v>
      </c>
      <c r="L1355" s="2" t="s">
        <v>492</v>
      </c>
      <c r="M1355" s="2" t="s">
        <v>304</v>
      </c>
      <c r="N1355" s="2" t="s">
        <v>38</v>
      </c>
      <c r="O1355" s="2" t="s">
        <v>131</v>
      </c>
      <c r="P1355" s="2" t="s">
        <v>9063</v>
      </c>
      <c r="Q1355" s="2" t="s">
        <v>9076</v>
      </c>
      <c r="R1355" s="2" t="s">
        <v>40</v>
      </c>
      <c r="S1355" s="2" t="s">
        <v>9077</v>
      </c>
      <c r="T1355" s="2" t="s">
        <v>9078</v>
      </c>
      <c r="U1355" s="2" t="s">
        <v>3222</v>
      </c>
      <c r="V1355" s="2" t="s">
        <v>9079</v>
      </c>
      <c r="W1355" s="1"/>
      <c r="X1355" s="2" t="s">
        <v>566</v>
      </c>
      <c r="Y1355" s="2" t="s">
        <v>9020</v>
      </c>
      <c r="AA1355" t="str">
        <f t="shared" si="126"/>
        <v>2026-02</v>
      </c>
      <c r="AB1355" t="str">
        <f t="shared" si="127"/>
        <v>H1_2026</v>
      </c>
      <c r="AC1355">
        <f t="shared" si="128"/>
        <v>701997.72</v>
      </c>
      <c r="AD1355">
        <f t="shared" si="129"/>
        <v>40</v>
      </c>
      <c r="AE1355">
        <f t="shared" si="130"/>
        <v>77997.72</v>
      </c>
      <c r="AF1355" t="str">
        <f t="shared" si="131"/>
        <v>Paid</v>
      </c>
    </row>
    <row r="1356" spans="1:32" ht="17.25" thickBot="1" x14ac:dyDescent="0.35">
      <c r="A1356" s="2" t="s">
        <v>9080</v>
      </c>
      <c r="B1356" s="2" t="s">
        <v>27</v>
      </c>
      <c r="C1356" s="2" t="s">
        <v>28</v>
      </c>
      <c r="D1356" s="2" t="s">
        <v>97</v>
      </c>
      <c r="E1356" s="2" t="s">
        <v>9007</v>
      </c>
      <c r="F1356" s="2" t="s">
        <v>8445</v>
      </c>
      <c r="G1356" s="2" t="s">
        <v>32</v>
      </c>
      <c r="H1356" s="1"/>
      <c r="I1356" s="2" t="s">
        <v>33</v>
      </c>
      <c r="J1356" s="2" t="s">
        <v>34</v>
      </c>
      <c r="K1356" s="2" t="s">
        <v>1566</v>
      </c>
      <c r="L1356" s="2" t="s">
        <v>1567</v>
      </c>
      <c r="M1356" s="2" t="s">
        <v>304</v>
      </c>
      <c r="N1356" s="2" t="s">
        <v>38</v>
      </c>
      <c r="O1356" s="2" t="s">
        <v>9081</v>
      </c>
      <c r="P1356" s="2" t="s">
        <v>9063</v>
      </c>
      <c r="Q1356" s="2" t="s">
        <v>9082</v>
      </c>
      <c r="R1356" s="2" t="s">
        <v>40</v>
      </c>
      <c r="S1356" s="2" t="s">
        <v>9083</v>
      </c>
      <c r="T1356" s="2" t="s">
        <v>497</v>
      </c>
      <c r="U1356" s="2" t="s">
        <v>9084</v>
      </c>
      <c r="V1356" s="2" t="s">
        <v>9085</v>
      </c>
      <c r="W1356" s="1"/>
      <c r="X1356" s="2" t="s">
        <v>387</v>
      </c>
      <c r="Y1356" s="2" t="s">
        <v>9020</v>
      </c>
      <c r="AA1356" t="str">
        <f t="shared" si="126"/>
        <v>2026-02</v>
      </c>
      <c r="AB1356" t="str">
        <f t="shared" si="127"/>
        <v>H1_2026</v>
      </c>
      <c r="AC1356">
        <f t="shared" si="128"/>
        <v>20445683.600000001</v>
      </c>
      <c r="AD1356">
        <f t="shared" si="129"/>
        <v>1165</v>
      </c>
      <c r="AE1356">
        <f t="shared" si="130"/>
        <v>2376533.59</v>
      </c>
      <c r="AF1356" t="str">
        <f t="shared" si="131"/>
        <v>Paid</v>
      </c>
    </row>
    <row r="1357" spans="1:32" ht="17.25" thickBot="1" x14ac:dyDescent="0.35">
      <c r="A1357" s="2" t="s">
        <v>9086</v>
      </c>
      <c r="B1357" s="2" t="s">
        <v>27</v>
      </c>
      <c r="C1357" s="2" t="s">
        <v>28</v>
      </c>
      <c r="D1357" s="2" t="s">
        <v>97</v>
      </c>
      <c r="E1357" s="2" t="s">
        <v>9007</v>
      </c>
      <c r="F1357" s="2" t="s">
        <v>8445</v>
      </c>
      <c r="G1357" s="2" t="s">
        <v>32</v>
      </c>
      <c r="H1357" s="1"/>
      <c r="I1357" s="2" t="s">
        <v>33</v>
      </c>
      <c r="J1357" s="2" t="s">
        <v>34</v>
      </c>
      <c r="K1357" s="2" t="s">
        <v>550</v>
      </c>
      <c r="L1357" s="2" t="s">
        <v>551</v>
      </c>
      <c r="M1357" s="2" t="s">
        <v>304</v>
      </c>
      <c r="N1357" s="2" t="s">
        <v>38</v>
      </c>
      <c r="O1357" s="2" t="s">
        <v>131</v>
      </c>
      <c r="P1357" s="2" t="s">
        <v>7016</v>
      </c>
      <c r="Q1357" s="2" t="s">
        <v>9087</v>
      </c>
      <c r="R1357" s="2" t="s">
        <v>40</v>
      </c>
      <c r="S1357" s="2" t="s">
        <v>9088</v>
      </c>
      <c r="T1357" s="2" t="s">
        <v>347</v>
      </c>
      <c r="U1357" s="2" t="s">
        <v>9089</v>
      </c>
      <c r="V1357" s="2" t="s">
        <v>9090</v>
      </c>
      <c r="W1357" s="1"/>
      <c r="X1357" s="2" t="s">
        <v>350</v>
      </c>
      <c r="Y1357" s="2" t="s">
        <v>9020</v>
      </c>
      <c r="AA1357" t="str">
        <f t="shared" si="126"/>
        <v>2026-02</v>
      </c>
      <c r="AB1357" t="str">
        <f t="shared" si="127"/>
        <v>H1_2026</v>
      </c>
      <c r="AC1357">
        <f t="shared" si="128"/>
        <v>449762.28</v>
      </c>
      <c r="AD1357">
        <f t="shared" si="129"/>
        <v>40</v>
      </c>
      <c r="AE1357">
        <f t="shared" si="130"/>
        <v>50962.28</v>
      </c>
      <c r="AF1357" t="str">
        <f t="shared" si="131"/>
        <v>Paid</v>
      </c>
    </row>
    <row r="1358" spans="1:32" ht="17.25" thickBot="1" x14ac:dyDescent="0.35">
      <c r="A1358" s="2" t="s">
        <v>9091</v>
      </c>
      <c r="B1358" s="2" t="s">
        <v>27</v>
      </c>
      <c r="C1358" s="2" t="s">
        <v>28</v>
      </c>
      <c r="D1358" s="2" t="s">
        <v>97</v>
      </c>
      <c r="E1358" s="2" t="s">
        <v>9092</v>
      </c>
      <c r="F1358" s="2" t="s">
        <v>8445</v>
      </c>
      <c r="G1358" s="2" t="s">
        <v>32</v>
      </c>
      <c r="H1358" s="1"/>
      <c r="I1358" s="2" t="s">
        <v>33</v>
      </c>
      <c r="J1358" s="2" t="s">
        <v>34</v>
      </c>
      <c r="K1358" s="2" t="s">
        <v>3885</v>
      </c>
      <c r="L1358" s="2" t="s">
        <v>3886</v>
      </c>
      <c r="M1358" s="2" t="s">
        <v>701</v>
      </c>
      <c r="N1358" s="2" t="s">
        <v>38</v>
      </c>
      <c r="O1358" s="2" t="s">
        <v>849</v>
      </c>
      <c r="P1358" s="2" t="s">
        <v>7296</v>
      </c>
      <c r="Q1358" s="2" t="s">
        <v>9093</v>
      </c>
      <c r="R1358" s="2" t="s">
        <v>40</v>
      </c>
      <c r="S1358" s="2" t="s">
        <v>9094</v>
      </c>
      <c r="T1358" s="2" t="s">
        <v>706</v>
      </c>
      <c r="U1358" s="2" t="s">
        <v>118</v>
      </c>
      <c r="V1358" s="2" t="s">
        <v>9095</v>
      </c>
      <c r="W1358" s="1"/>
      <c r="X1358" s="2" t="s">
        <v>9096</v>
      </c>
      <c r="Y1358" s="2" t="s">
        <v>9097</v>
      </c>
      <c r="AA1358" t="str">
        <f t="shared" si="126"/>
        <v>2026-02</v>
      </c>
      <c r="AB1358" t="str">
        <f t="shared" si="127"/>
        <v>H1_2026</v>
      </c>
      <c r="AC1358">
        <f t="shared" si="128"/>
        <v>1571033.6</v>
      </c>
      <c r="AD1358">
        <f t="shared" si="129"/>
        <v>160</v>
      </c>
      <c r="AE1358">
        <f t="shared" si="130"/>
        <v>227033.60000000001</v>
      </c>
      <c r="AF1358" t="str">
        <f t="shared" si="131"/>
        <v>Paid</v>
      </c>
    </row>
    <row r="1359" spans="1:32" ht="17.25" thickBot="1" x14ac:dyDescent="0.35">
      <c r="A1359" s="2" t="s">
        <v>9098</v>
      </c>
      <c r="B1359" s="2" t="s">
        <v>27</v>
      </c>
      <c r="C1359" s="2" t="s">
        <v>28</v>
      </c>
      <c r="D1359" s="2" t="s">
        <v>97</v>
      </c>
      <c r="E1359" s="2" t="s">
        <v>9092</v>
      </c>
      <c r="F1359" s="2" t="s">
        <v>8445</v>
      </c>
      <c r="G1359" s="2" t="s">
        <v>32</v>
      </c>
      <c r="H1359" s="1"/>
      <c r="I1359" s="2" t="s">
        <v>33</v>
      </c>
      <c r="J1359" s="2" t="s">
        <v>34</v>
      </c>
      <c r="K1359" s="2" t="s">
        <v>730</v>
      </c>
      <c r="L1359" s="2" t="s">
        <v>731</v>
      </c>
      <c r="M1359" s="2" t="s">
        <v>701</v>
      </c>
      <c r="N1359" s="2" t="s">
        <v>38</v>
      </c>
      <c r="O1359" s="2" t="s">
        <v>177</v>
      </c>
      <c r="P1359" s="2" t="s">
        <v>9099</v>
      </c>
      <c r="Q1359" s="2" t="s">
        <v>9100</v>
      </c>
      <c r="R1359" s="2" t="s">
        <v>40</v>
      </c>
      <c r="S1359" s="2" t="s">
        <v>9101</v>
      </c>
      <c r="T1359" s="2" t="s">
        <v>716</v>
      </c>
      <c r="U1359" s="2" t="s">
        <v>8282</v>
      </c>
      <c r="V1359" s="2" t="s">
        <v>9102</v>
      </c>
      <c r="W1359" s="1"/>
      <c r="X1359" s="2" t="s">
        <v>9096</v>
      </c>
      <c r="Y1359" s="2" t="s">
        <v>9097</v>
      </c>
      <c r="AA1359" t="str">
        <f t="shared" si="126"/>
        <v>2026-02</v>
      </c>
      <c r="AB1359" t="str">
        <f t="shared" si="127"/>
        <v>H1_2026</v>
      </c>
      <c r="AC1359">
        <f t="shared" si="128"/>
        <v>4713100.8</v>
      </c>
      <c r="AD1359">
        <f t="shared" si="129"/>
        <v>400</v>
      </c>
      <c r="AE1359">
        <f t="shared" si="130"/>
        <v>681100.80000000005</v>
      </c>
      <c r="AF1359" t="str">
        <f t="shared" si="131"/>
        <v>Paid</v>
      </c>
    </row>
    <row r="1360" spans="1:32" ht="17.25" thickBot="1" x14ac:dyDescent="0.35">
      <c r="A1360" s="2" t="s">
        <v>9103</v>
      </c>
      <c r="B1360" s="2" t="s">
        <v>27</v>
      </c>
      <c r="C1360" s="2" t="s">
        <v>28</v>
      </c>
      <c r="D1360" s="2" t="s">
        <v>97</v>
      </c>
      <c r="E1360" s="2" t="s">
        <v>9092</v>
      </c>
      <c r="F1360" s="2" t="s">
        <v>8445</v>
      </c>
      <c r="G1360" s="2" t="s">
        <v>32</v>
      </c>
      <c r="H1360" s="1"/>
      <c r="I1360" s="2" t="s">
        <v>33</v>
      </c>
      <c r="J1360" s="2" t="s">
        <v>34</v>
      </c>
      <c r="K1360" s="2" t="s">
        <v>8322</v>
      </c>
      <c r="L1360" s="2" t="s">
        <v>8323</v>
      </c>
      <c r="M1360" s="2" t="s">
        <v>701</v>
      </c>
      <c r="N1360" s="2" t="s">
        <v>38</v>
      </c>
      <c r="O1360" s="2" t="s">
        <v>779</v>
      </c>
      <c r="P1360" s="2" t="s">
        <v>132</v>
      </c>
      <c r="Q1360" s="2" t="s">
        <v>9104</v>
      </c>
      <c r="R1360" s="2" t="s">
        <v>40</v>
      </c>
      <c r="S1360" s="2" t="s">
        <v>9105</v>
      </c>
      <c r="T1360" s="2" t="s">
        <v>8326</v>
      </c>
      <c r="U1360" s="2" t="s">
        <v>6674</v>
      </c>
      <c r="V1360" s="2" t="s">
        <v>9106</v>
      </c>
      <c r="W1360" s="1"/>
      <c r="X1360" s="2" t="s">
        <v>1826</v>
      </c>
      <c r="Y1360" s="2" t="s">
        <v>9097</v>
      </c>
      <c r="AA1360" t="str">
        <f t="shared" si="126"/>
        <v>2026-02</v>
      </c>
      <c r="AB1360" t="str">
        <f t="shared" si="127"/>
        <v>H1_2026</v>
      </c>
      <c r="AC1360">
        <f t="shared" si="128"/>
        <v>926938.08</v>
      </c>
      <c r="AD1360">
        <f t="shared" si="129"/>
        <v>90</v>
      </c>
      <c r="AE1360">
        <f t="shared" si="130"/>
        <v>133138.07999999999</v>
      </c>
      <c r="AF1360" t="str">
        <f t="shared" si="131"/>
        <v>Paid</v>
      </c>
    </row>
    <row r="1361" spans="1:32" ht="17.25" thickBot="1" x14ac:dyDescent="0.35">
      <c r="A1361" s="2" t="s">
        <v>9107</v>
      </c>
      <c r="B1361" s="2" t="s">
        <v>27</v>
      </c>
      <c r="C1361" s="2" t="s">
        <v>28</v>
      </c>
      <c r="D1361" s="2" t="s">
        <v>97</v>
      </c>
      <c r="E1361" s="2" t="s">
        <v>9092</v>
      </c>
      <c r="F1361" s="2" t="s">
        <v>8445</v>
      </c>
      <c r="G1361" s="2" t="s">
        <v>32</v>
      </c>
      <c r="H1361" s="1"/>
      <c r="I1361" s="2" t="s">
        <v>33</v>
      </c>
      <c r="J1361" s="2" t="s">
        <v>34</v>
      </c>
      <c r="K1361" s="2" t="s">
        <v>9108</v>
      </c>
      <c r="L1361" s="2" t="s">
        <v>9109</v>
      </c>
      <c r="M1361" s="2" t="s">
        <v>9110</v>
      </c>
      <c r="N1361" s="2" t="s">
        <v>38</v>
      </c>
      <c r="O1361" s="2" t="s">
        <v>79</v>
      </c>
      <c r="P1361" s="2" t="s">
        <v>104</v>
      </c>
      <c r="Q1361" s="2" t="s">
        <v>9111</v>
      </c>
      <c r="R1361" s="2" t="s">
        <v>40</v>
      </c>
      <c r="S1361" s="2" t="s">
        <v>9112</v>
      </c>
      <c r="T1361" s="2" t="s">
        <v>9113</v>
      </c>
      <c r="U1361" s="2" t="s">
        <v>9114</v>
      </c>
      <c r="V1361" s="2" t="s">
        <v>9115</v>
      </c>
      <c r="W1361" s="2" t="s">
        <v>41</v>
      </c>
      <c r="X1361" s="2" t="s">
        <v>9116</v>
      </c>
      <c r="Y1361" s="2" t="s">
        <v>9097</v>
      </c>
      <c r="AA1361" t="str">
        <f t="shared" si="126"/>
        <v>2026-02</v>
      </c>
      <c r="AB1361" t="str">
        <f t="shared" si="127"/>
        <v>H1_2026</v>
      </c>
      <c r="AC1361">
        <f t="shared" si="128"/>
        <v>141.28</v>
      </c>
      <c r="AD1361">
        <f t="shared" si="129"/>
        <v>10</v>
      </c>
      <c r="AE1361">
        <f t="shared" si="130"/>
        <v>-61295.08</v>
      </c>
      <c r="AF1361" t="str">
        <f t="shared" si="131"/>
        <v>Sample</v>
      </c>
    </row>
    <row r="1362" spans="1:32" ht="17.25" thickBot="1" x14ac:dyDescent="0.35">
      <c r="A1362" s="2" t="s">
        <v>9117</v>
      </c>
      <c r="B1362" s="2" t="s">
        <v>27</v>
      </c>
      <c r="C1362" s="2" t="s">
        <v>28</v>
      </c>
      <c r="D1362" s="2" t="s">
        <v>97</v>
      </c>
      <c r="E1362" s="2" t="s">
        <v>9092</v>
      </c>
      <c r="F1362" s="2" t="s">
        <v>8445</v>
      </c>
      <c r="G1362" s="2" t="s">
        <v>32</v>
      </c>
      <c r="H1362" s="1"/>
      <c r="I1362" s="2" t="s">
        <v>33</v>
      </c>
      <c r="J1362" s="2" t="s">
        <v>34</v>
      </c>
      <c r="K1362" s="2" t="s">
        <v>9118</v>
      </c>
      <c r="L1362" s="2" t="s">
        <v>9119</v>
      </c>
      <c r="M1362" s="2" t="s">
        <v>9110</v>
      </c>
      <c r="N1362" s="2" t="s">
        <v>38</v>
      </c>
      <c r="O1362" s="2" t="s">
        <v>79</v>
      </c>
      <c r="P1362" s="2" t="s">
        <v>104</v>
      </c>
      <c r="Q1362" s="2" t="s">
        <v>9111</v>
      </c>
      <c r="R1362" s="2" t="s">
        <v>40</v>
      </c>
      <c r="S1362" s="2" t="s">
        <v>9112</v>
      </c>
      <c r="T1362" s="2" t="s">
        <v>9120</v>
      </c>
      <c r="U1362" s="2" t="s">
        <v>9121</v>
      </c>
      <c r="V1362" s="2" t="s">
        <v>9122</v>
      </c>
      <c r="W1362" s="2" t="s">
        <v>41</v>
      </c>
      <c r="X1362" s="2" t="s">
        <v>9123</v>
      </c>
      <c r="Y1362" s="2" t="s">
        <v>9097</v>
      </c>
      <c r="AA1362" t="str">
        <f t="shared" si="126"/>
        <v>2026-02</v>
      </c>
      <c r="AB1362" t="str">
        <f t="shared" si="127"/>
        <v>H1_2026</v>
      </c>
      <c r="AC1362">
        <f t="shared" si="128"/>
        <v>141.28</v>
      </c>
      <c r="AD1362">
        <f t="shared" si="129"/>
        <v>10</v>
      </c>
      <c r="AE1362">
        <f t="shared" si="130"/>
        <v>-97931.45</v>
      </c>
      <c r="AF1362" t="str">
        <f t="shared" si="131"/>
        <v>Sample</v>
      </c>
    </row>
    <row r="1363" spans="1:32" ht="17.25" thickBot="1" x14ac:dyDescent="0.35">
      <c r="A1363" s="2" t="s">
        <v>9124</v>
      </c>
      <c r="B1363" s="2" t="s">
        <v>27</v>
      </c>
      <c r="C1363" s="2" t="s">
        <v>28</v>
      </c>
      <c r="D1363" s="2" t="s">
        <v>97</v>
      </c>
      <c r="E1363" s="2" t="s">
        <v>9092</v>
      </c>
      <c r="F1363" s="2" t="s">
        <v>8445</v>
      </c>
      <c r="G1363" s="2" t="s">
        <v>32</v>
      </c>
      <c r="H1363" s="1"/>
      <c r="I1363" s="2" t="s">
        <v>33</v>
      </c>
      <c r="J1363" s="2" t="s">
        <v>34</v>
      </c>
      <c r="K1363" s="2" t="s">
        <v>9125</v>
      </c>
      <c r="L1363" s="2" t="s">
        <v>9126</v>
      </c>
      <c r="M1363" s="2" t="s">
        <v>9110</v>
      </c>
      <c r="N1363" s="2" t="s">
        <v>38</v>
      </c>
      <c r="O1363" s="2" t="s">
        <v>79</v>
      </c>
      <c r="P1363" s="2" t="s">
        <v>104</v>
      </c>
      <c r="Q1363" s="2" t="s">
        <v>9111</v>
      </c>
      <c r="R1363" s="2" t="s">
        <v>40</v>
      </c>
      <c r="S1363" s="2" t="s">
        <v>9112</v>
      </c>
      <c r="T1363" s="2" t="s">
        <v>2840</v>
      </c>
      <c r="U1363" s="2" t="s">
        <v>9127</v>
      </c>
      <c r="V1363" s="2" t="s">
        <v>9128</v>
      </c>
      <c r="W1363" s="2" t="s">
        <v>41</v>
      </c>
      <c r="X1363" s="2" t="s">
        <v>9129</v>
      </c>
      <c r="Y1363" s="2" t="s">
        <v>9097</v>
      </c>
      <c r="AA1363" t="str">
        <f t="shared" si="126"/>
        <v>2026-02</v>
      </c>
      <c r="AB1363" t="str">
        <f t="shared" si="127"/>
        <v>H1_2026</v>
      </c>
      <c r="AC1363">
        <f t="shared" si="128"/>
        <v>141.28</v>
      </c>
      <c r="AD1363">
        <f t="shared" si="129"/>
        <v>10</v>
      </c>
      <c r="AE1363">
        <f t="shared" si="130"/>
        <v>-65313.26</v>
      </c>
      <c r="AF1363" t="str">
        <f t="shared" si="131"/>
        <v>Sample</v>
      </c>
    </row>
    <row r="1364" spans="1:32" ht="17.25" thickBot="1" x14ac:dyDescent="0.35">
      <c r="A1364" s="2" t="s">
        <v>9130</v>
      </c>
      <c r="B1364" s="2" t="s">
        <v>27</v>
      </c>
      <c r="C1364" s="2" t="s">
        <v>28</v>
      </c>
      <c r="D1364" s="2" t="s">
        <v>97</v>
      </c>
      <c r="E1364" s="2" t="s">
        <v>9092</v>
      </c>
      <c r="F1364" s="2" t="s">
        <v>8445</v>
      </c>
      <c r="G1364" s="2" t="s">
        <v>32</v>
      </c>
      <c r="H1364" s="1"/>
      <c r="I1364" s="2" t="s">
        <v>33</v>
      </c>
      <c r="J1364" s="2" t="s">
        <v>34</v>
      </c>
      <c r="K1364" s="2" t="s">
        <v>157</v>
      </c>
      <c r="L1364" s="2" t="s">
        <v>158</v>
      </c>
      <c r="M1364" s="2" t="s">
        <v>102</v>
      </c>
      <c r="N1364" s="2" t="s">
        <v>38</v>
      </c>
      <c r="O1364" s="2" t="s">
        <v>214</v>
      </c>
      <c r="P1364" s="2" t="s">
        <v>104</v>
      </c>
      <c r="Q1364" s="2" t="s">
        <v>215</v>
      </c>
      <c r="R1364" s="2" t="s">
        <v>40</v>
      </c>
      <c r="S1364" s="2" t="s">
        <v>9131</v>
      </c>
      <c r="T1364" s="2" t="s">
        <v>162</v>
      </c>
      <c r="U1364" s="2" t="s">
        <v>9132</v>
      </c>
      <c r="V1364" s="2" t="s">
        <v>9133</v>
      </c>
      <c r="W1364" s="2" t="s">
        <v>41</v>
      </c>
      <c r="X1364" s="2" t="s">
        <v>9134</v>
      </c>
      <c r="Y1364" s="2" t="s">
        <v>9097</v>
      </c>
      <c r="AA1364" t="str">
        <f t="shared" si="126"/>
        <v>2026-02</v>
      </c>
      <c r="AB1364" t="str">
        <f t="shared" si="127"/>
        <v>H1_2026</v>
      </c>
      <c r="AC1364">
        <f t="shared" si="128"/>
        <v>706.4</v>
      </c>
      <c r="AD1364">
        <f t="shared" si="129"/>
        <v>50</v>
      </c>
      <c r="AE1364">
        <f t="shared" si="130"/>
        <v>-561793.6</v>
      </c>
      <c r="AF1364" t="str">
        <f t="shared" si="131"/>
        <v>Sample</v>
      </c>
    </row>
    <row r="1365" spans="1:32" ht="17.25" thickBot="1" x14ac:dyDescent="0.35">
      <c r="A1365" s="2" t="s">
        <v>9135</v>
      </c>
      <c r="B1365" s="2" t="s">
        <v>27</v>
      </c>
      <c r="C1365" s="2" t="s">
        <v>28</v>
      </c>
      <c r="D1365" s="2" t="s">
        <v>97</v>
      </c>
      <c r="E1365" s="2" t="s">
        <v>9092</v>
      </c>
      <c r="F1365" s="2" t="s">
        <v>8445</v>
      </c>
      <c r="G1365" s="2" t="s">
        <v>32</v>
      </c>
      <c r="H1365" s="1"/>
      <c r="I1365" s="2" t="s">
        <v>33</v>
      </c>
      <c r="J1365" s="2" t="s">
        <v>34</v>
      </c>
      <c r="K1365" s="2" t="s">
        <v>175</v>
      </c>
      <c r="L1365" s="2" t="s">
        <v>176</v>
      </c>
      <c r="M1365" s="2" t="s">
        <v>102</v>
      </c>
      <c r="N1365" s="2" t="s">
        <v>38</v>
      </c>
      <c r="O1365" s="2" t="s">
        <v>214</v>
      </c>
      <c r="P1365" s="2" t="s">
        <v>104</v>
      </c>
      <c r="Q1365" s="2" t="s">
        <v>215</v>
      </c>
      <c r="R1365" s="2" t="s">
        <v>40</v>
      </c>
      <c r="S1365" s="2" t="s">
        <v>9131</v>
      </c>
      <c r="T1365" s="2" t="s">
        <v>181</v>
      </c>
      <c r="U1365" s="2" t="s">
        <v>7480</v>
      </c>
      <c r="V1365" s="2" t="s">
        <v>9136</v>
      </c>
      <c r="W1365" s="2" t="s">
        <v>41</v>
      </c>
      <c r="X1365" s="2" t="s">
        <v>9137</v>
      </c>
      <c r="Y1365" s="2" t="s">
        <v>9097</v>
      </c>
      <c r="AA1365" t="str">
        <f t="shared" si="126"/>
        <v>2026-02</v>
      </c>
      <c r="AB1365" t="str">
        <f t="shared" si="127"/>
        <v>H1_2026</v>
      </c>
      <c r="AC1365">
        <f t="shared" si="128"/>
        <v>706.4</v>
      </c>
      <c r="AD1365">
        <f t="shared" si="129"/>
        <v>50</v>
      </c>
      <c r="AE1365">
        <f t="shared" si="130"/>
        <v>-1599293.6</v>
      </c>
      <c r="AF1365" t="str">
        <f t="shared" si="131"/>
        <v>Sample</v>
      </c>
    </row>
    <row r="1366" spans="1:32" ht="17.25" thickBot="1" x14ac:dyDescent="0.35">
      <c r="A1366" s="2" t="s">
        <v>9138</v>
      </c>
      <c r="B1366" s="2" t="s">
        <v>27</v>
      </c>
      <c r="C1366" s="2" t="s">
        <v>28</v>
      </c>
      <c r="D1366" s="2" t="s">
        <v>97</v>
      </c>
      <c r="E1366" s="2" t="s">
        <v>9092</v>
      </c>
      <c r="F1366" s="2" t="s">
        <v>8445</v>
      </c>
      <c r="G1366" s="2" t="s">
        <v>32</v>
      </c>
      <c r="H1366" s="1"/>
      <c r="I1366" s="2" t="s">
        <v>33</v>
      </c>
      <c r="J1366" s="2" t="s">
        <v>34</v>
      </c>
      <c r="K1366" s="2" t="s">
        <v>324</v>
      </c>
      <c r="L1366" s="2" t="s">
        <v>325</v>
      </c>
      <c r="M1366" s="2" t="s">
        <v>304</v>
      </c>
      <c r="N1366" s="2" t="s">
        <v>38</v>
      </c>
      <c r="O1366" s="2" t="s">
        <v>1476</v>
      </c>
      <c r="P1366" s="2" t="s">
        <v>7368</v>
      </c>
      <c r="Q1366" s="2" t="s">
        <v>9139</v>
      </c>
      <c r="R1366" s="2" t="s">
        <v>40</v>
      </c>
      <c r="S1366" s="2" t="s">
        <v>9140</v>
      </c>
      <c r="T1366" s="2" t="s">
        <v>40</v>
      </c>
      <c r="U1366" s="2" t="s">
        <v>40</v>
      </c>
      <c r="V1366" s="2" t="s">
        <v>9140</v>
      </c>
      <c r="W1366" s="1"/>
      <c r="X1366" s="2" t="s">
        <v>2155</v>
      </c>
      <c r="Y1366" s="2" t="s">
        <v>9141</v>
      </c>
      <c r="AA1366" t="str">
        <f t="shared" si="126"/>
        <v>2026-02</v>
      </c>
      <c r="AB1366" t="str">
        <f t="shared" si="127"/>
        <v>H1_2026</v>
      </c>
      <c r="AC1366">
        <f t="shared" si="128"/>
        <v>3260344.62</v>
      </c>
      <c r="AD1366">
        <f t="shared" si="129"/>
        <v>260</v>
      </c>
      <c r="AE1366">
        <f t="shared" si="130"/>
        <v>3260344.62</v>
      </c>
      <c r="AF1366" t="str">
        <f t="shared" si="131"/>
        <v>Paid</v>
      </c>
    </row>
    <row r="1367" spans="1:32" ht="27.75" thickBot="1" x14ac:dyDescent="0.35">
      <c r="A1367" s="2" t="s">
        <v>9142</v>
      </c>
      <c r="B1367" s="2" t="s">
        <v>27</v>
      </c>
      <c r="C1367" s="2" t="s">
        <v>28</v>
      </c>
      <c r="D1367" s="2" t="s">
        <v>97</v>
      </c>
      <c r="E1367" s="2" t="s">
        <v>9092</v>
      </c>
      <c r="F1367" s="2" t="s">
        <v>8445</v>
      </c>
      <c r="G1367" s="2" t="s">
        <v>32</v>
      </c>
      <c r="H1367" s="1"/>
      <c r="I1367" s="2" t="s">
        <v>33</v>
      </c>
      <c r="J1367" s="2" t="s">
        <v>34</v>
      </c>
      <c r="K1367" s="2" t="s">
        <v>352</v>
      </c>
      <c r="L1367" s="2" t="s">
        <v>353</v>
      </c>
      <c r="M1367" s="2" t="s">
        <v>304</v>
      </c>
      <c r="N1367" s="2" t="s">
        <v>38</v>
      </c>
      <c r="O1367" s="2" t="s">
        <v>877</v>
      </c>
      <c r="P1367" s="2" t="s">
        <v>5472</v>
      </c>
      <c r="Q1367" s="2" t="s">
        <v>9143</v>
      </c>
      <c r="R1367" s="2" t="s">
        <v>40</v>
      </c>
      <c r="S1367" s="2" t="s">
        <v>9144</v>
      </c>
      <c r="T1367" s="2" t="s">
        <v>309</v>
      </c>
      <c r="U1367" s="2" t="s">
        <v>9145</v>
      </c>
      <c r="V1367" s="2" t="s">
        <v>9146</v>
      </c>
      <c r="W1367" s="1"/>
      <c r="X1367" s="2" t="s">
        <v>312</v>
      </c>
      <c r="Y1367" s="2" t="s">
        <v>9141</v>
      </c>
      <c r="AA1367" t="str">
        <f t="shared" si="126"/>
        <v>2026-02</v>
      </c>
      <c r="AB1367" t="str">
        <f t="shared" si="127"/>
        <v>H1_2026</v>
      </c>
      <c r="AC1367">
        <f t="shared" si="128"/>
        <v>882536.1</v>
      </c>
      <c r="AD1367">
        <f t="shared" si="129"/>
        <v>100</v>
      </c>
      <c r="AE1367">
        <f t="shared" si="130"/>
        <v>106536.1</v>
      </c>
      <c r="AF1367" t="str">
        <f t="shared" si="131"/>
        <v>Paid</v>
      </c>
    </row>
    <row r="1368" spans="1:32" ht="27.75" thickBot="1" x14ac:dyDescent="0.35">
      <c r="A1368" s="2" t="s">
        <v>9147</v>
      </c>
      <c r="B1368" s="2" t="s">
        <v>27</v>
      </c>
      <c r="C1368" s="2" t="s">
        <v>28</v>
      </c>
      <c r="D1368" s="2" t="s">
        <v>97</v>
      </c>
      <c r="E1368" s="2" t="s">
        <v>9092</v>
      </c>
      <c r="F1368" s="2" t="s">
        <v>8445</v>
      </c>
      <c r="G1368" s="2" t="s">
        <v>32</v>
      </c>
      <c r="H1368" s="1"/>
      <c r="I1368" s="2" t="s">
        <v>33</v>
      </c>
      <c r="J1368" s="2" t="s">
        <v>34</v>
      </c>
      <c r="K1368" s="2" t="s">
        <v>7430</v>
      </c>
      <c r="L1368" s="2" t="s">
        <v>7431</v>
      </c>
      <c r="M1368" s="2" t="s">
        <v>304</v>
      </c>
      <c r="N1368" s="2" t="s">
        <v>38</v>
      </c>
      <c r="O1368" s="2" t="s">
        <v>149</v>
      </c>
      <c r="P1368" s="2" t="s">
        <v>9148</v>
      </c>
      <c r="Q1368" s="2" t="s">
        <v>9149</v>
      </c>
      <c r="R1368" s="2" t="s">
        <v>40</v>
      </c>
      <c r="S1368" s="2" t="s">
        <v>9150</v>
      </c>
      <c r="T1368" s="2" t="s">
        <v>374</v>
      </c>
      <c r="U1368" s="2" t="s">
        <v>9151</v>
      </c>
      <c r="V1368" s="2" t="s">
        <v>9152</v>
      </c>
      <c r="W1368" s="1"/>
      <c r="X1368" s="2" t="s">
        <v>377</v>
      </c>
      <c r="Y1368" s="2" t="s">
        <v>9141</v>
      </c>
      <c r="AA1368" t="str">
        <f t="shared" si="126"/>
        <v>2026-02</v>
      </c>
      <c r="AB1368" t="str">
        <f t="shared" si="127"/>
        <v>H1_2026</v>
      </c>
      <c r="AC1368">
        <f t="shared" si="128"/>
        <v>3960614.7</v>
      </c>
      <c r="AD1368">
        <f t="shared" si="129"/>
        <v>300</v>
      </c>
      <c r="AE1368">
        <f t="shared" si="130"/>
        <v>471614.7</v>
      </c>
      <c r="AF1368" t="str">
        <f t="shared" si="131"/>
        <v>Paid</v>
      </c>
    </row>
    <row r="1369" spans="1:32" ht="17.25" thickBot="1" x14ac:dyDescent="0.35">
      <c r="A1369" s="2" t="s">
        <v>9153</v>
      </c>
      <c r="B1369" s="2" t="s">
        <v>27</v>
      </c>
      <c r="C1369" s="2" t="s">
        <v>28</v>
      </c>
      <c r="D1369" s="2" t="s">
        <v>97</v>
      </c>
      <c r="E1369" s="2" t="s">
        <v>9092</v>
      </c>
      <c r="F1369" s="2" t="s">
        <v>8445</v>
      </c>
      <c r="G1369" s="2" t="s">
        <v>32</v>
      </c>
      <c r="H1369" s="1"/>
      <c r="I1369" s="2" t="s">
        <v>33</v>
      </c>
      <c r="J1369" s="2" t="s">
        <v>34</v>
      </c>
      <c r="K1369" s="2" t="s">
        <v>1566</v>
      </c>
      <c r="L1369" s="2" t="s">
        <v>1567</v>
      </c>
      <c r="M1369" s="2" t="s">
        <v>304</v>
      </c>
      <c r="N1369" s="2" t="s">
        <v>38</v>
      </c>
      <c r="O1369" s="2" t="s">
        <v>1914</v>
      </c>
      <c r="P1369" s="2" t="s">
        <v>9063</v>
      </c>
      <c r="Q1369" s="2" t="s">
        <v>9154</v>
      </c>
      <c r="R1369" s="2" t="s">
        <v>40</v>
      </c>
      <c r="S1369" s="2" t="s">
        <v>9155</v>
      </c>
      <c r="T1369" s="2" t="s">
        <v>497</v>
      </c>
      <c r="U1369" s="2" t="s">
        <v>9156</v>
      </c>
      <c r="V1369" s="2" t="s">
        <v>9157</v>
      </c>
      <c r="W1369" s="1"/>
      <c r="X1369" s="2" t="s">
        <v>387</v>
      </c>
      <c r="Y1369" s="2" t="s">
        <v>9141</v>
      </c>
      <c r="AA1369" t="str">
        <f t="shared" si="126"/>
        <v>2026-02</v>
      </c>
      <c r="AB1369" t="str">
        <f t="shared" si="127"/>
        <v>H1_2026</v>
      </c>
      <c r="AC1369">
        <f t="shared" si="128"/>
        <v>15794948.699999999</v>
      </c>
      <c r="AD1369">
        <f t="shared" si="129"/>
        <v>900</v>
      </c>
      <c r="AE1369">
        <f t="shared" si="130"/>
        <v>1835948.7</v>
      </c>
      <c r="AF1369" t="str">
        <f t="shared" si="131"/>
        <v>Paid</v>
      </c>
    </row>
    <row r="1370" spans="1:32" ht="27.75" thickBot="1" x14ac:dyDescent="0.35">
      <c r="A1370" s="2" t="s">
        <v>9158</v>
      </c>
      <c r="B1370" s="2" t="s">
        <v>27</v>
      </c>
      <c r="C1370" s="2" t="s">
        <v>28</v>
      </c>
      <c r="D1370" s="2" t="s">
        <v>97</v>
      </c>
      <c r="E1370" s="2" t="s">
        <v>9159</v>
      </c>
      <c r="F1370" s="2" t="s">
        <v>8445</v>
      </c>
      <c r="G1370" s="2" t="s">
        <v>32</v>
      </c>
      <c r="H1370" s="1"/>
      <c r="I1370" s="2" t="s">
        <v>33</v>
      </c>
      <c r="J1370" s="2" t="s">
        <v>34</v>
      </c>
      <c r="K1370" s="2" t="s">
        <v>2166</v>
      </c>
      <c r="L1370" s="2" t="s">
        <v>2167</v>
      </c>
      <c r="M1370" s="2" t="s">
        <v>2140</v>
      </c>
      <c r="N1370" s="2" t="s">
        <v>38</v>
      </c>
      <c r="O1370" s="2" t="s">
        <v>391</v>
      </c>
      <c r="P1370" s="2" t="s">
        <v>790</v>
      </c>
      <c r="Q1370" s="2" t="s">
        <v>9160</v>
      </c>
      <c r="R1370" s="2" t="s">
        <v>40</v>
      </c>
      <c r="S1370" s="2" t="s">
        <v>9161</v>
      </c>
      <c r="T1370" s="2" t="s">
        <v>9162</v>
      </c>
      <c r="U1370" s="2" t="s">
        <v>9163</v>
      </c>
      <c r="V1370" s="2" t="s">
        <v>9164</v>
      </c>
      <c r="W1370" s="1"/>
      <c r="X1370" s="2" t="s">
        <v>9165</v>
      </c>
      <c r="Y1370" s="2" t="s">
        <v>9166</v>
      </c>
      <c r="AA1370" t="str">
        <f t="shared" si="126"/>
        <v>2026-01</v>
      </c>
      <c r="AB1370" t="str">
        <f t="shared" si="127"/>
        <v>H1_2026</v>
      </c>
      <c r="AC1370">
        <f t="shared" si="128"/>
        <v>74489.759999999995</v>
      </c>
      <c r="AD1370">
        <f t="shared" si="129"/>
        <v>60</v>
      </c>
      <c r="AE1370">
        <f t="shared" si="130"/>
        <v>41671.58</v>
      </c>
      <c r="AF1370" t="str">
        <f t="shared" si="131"/>
        <v>Paid</v>
      </c>
    </row>
    <row r="1371" spans="1:32" ht="27.75" thickBot="1" x14ac:dyDescent="0.35">
      <c r="A1371" s="2" t="s">
        <v>9167</v>
      </c>
      <c r="B1371" s="2" t="s">
        <v>27</v>
      </c>
      <c r="C1371" s="2" t="s">
        <v>28</v>
      </c>
      <c r="D1371" s="2" t="s">
        <v>97</v>
      </c>
      <c r="E1371" s="2" t="s">
        <v>9159</v>
      </c>
      <c r="F1371" s="2" t="s">
        <v>8445</v>
      </c>
      <c r="G1371" s="2" t="s">
        <v>32</v>
      </c>
      <c r="H1371" s="1"/>
      <c r="I1371" s="2" t="s">
        <v>33</v>
      </c>
      <c r="J1371" s="2" t="s">
        <v>34</v>
      </c>
      <c r="K1371" s="2" t="s">
        <v>9168</v>
      </c>
      <c r="L1371" s="2" t="s">
        <v>9169</v>
      </c>
      <c r="M1371" s="2" t="s">
        <v>2140</v>
      </c>
      <c r="N1371" s="2" t="s">
        <v>38</v>
      </c>
      <c r="O1371" s="2" t="s">
        <v>159</v>
      </c>
      <c r="P1371" s="2" t="s">
        <v>790</v>
      </c>
      <c r="Q1371" s="2" t="s">
        <v>9170</v>
      </c>
      <c r="R1371" s="2" t="s">
        <v>40</v>
      </c>
      <c r="S1371" s="2" t="s">
        <v>9171</v>
      </c>
      <c r="T1371" s="2" t="s">
        <v>2171</v>
      </c>
      <c r="U1371" s="2" t="s">
        <v>9172</v>
      </c>
      <c r="V1371" s="2" t="s">
        <v>9173</v>
      </c>
      <c r="W1371" s="1"/>
      <c r="X1371" s="2" t="s">
        <v>4216</v>
      </c>
      <c r="Y1371" s="2" t="s">
        <v>9166</v>
      </c>
      <c r="AA1371" t="str">
        <f t="shared" si="126"/>
        <v>2026-01</v>
      </c>
      <c r="AB1371" t="str">
        <f t="shared" si="127"/>
        <v>H1_2026</v>
      </c>
      <c r="AC1371">
        <f t="shared" si="128"/>
        <v>99319.679999999993</v>
      </c>
      <c r="AD1371">
        <f t="shared" si="129"/>
        <v>80</v>
      </c>
      <c r="AE1371">
        <f t="shared" si="130"/>
        <v>30228.78</v>
      </c>
      <c r="AF1371" t="str">
        <f t="shared" si="131"/>
        <v>Paid</v>
      </c>
    </row>
    <row r="1372" spans="1:32" ht="27.75" thickBot="1" x14ac:dyDescent="0.35">
      <c r="A1372" s="2" t="s">
        <v>9174</v>
      </c>
      <c r="B1372" s="2" t="s">
        <v>27</v>
      </c>
      <c r="C1372" s="2" t="s">
        <v>28</v>
      </c>
      <c r="D1372" s="2" t="s">
        <v>97</v>
      </c>
      <c r="E1372" s="2" t="s">
        <v>9159</v>
      </c>
      <c r="F1372" s="2" t="s">
        <v>8445</v>
      </c>
      <c r="G1372" s="2" t="s">
        <v>32</v>
      </c>
      <c r="H1372" s="1"/>
      <c r="I1372" s="2" t="s">
        <v>33</v>
      </c>
      <c r="J1372" s="2" t="s">
        <v>34</v>
      </c>
      <c r="K1372" s="2" t="s">
        <v>2175</v>
      </c>
      <c r="L1372" s="2" t="s">
        <v>2176</v>
      </c>
      <c r="M1372" s="2" t="s">
        <v>2140</v>
      </c>
      <c r="N1372" s="2" t="s">
        <v>38</v>
      </c>
      <c r="O1372" s="2" t="s">
        <v>2252</v>
      </c>
      <c r="P1372" s="2" t="s">
        <v>790</v>
      </c>
      <c r="Q1372" s="2" t="s">
        <v>9175</v>
      </c>
      <c r="R1372" s="2" t="s">
        <v>40</v>
      </c>
      <c r="S1372" s="2" t="s">
        <v>9176</v>
      </c>
      <c r="T1372" s="2" t="s">
        <v>2171</v>
      </c>
      <c r="U1372" s="2" t="s">
        <v>9177</v>
      </c>
      <c r="V1372" s="2" t="s">
        <v>9178</v>
      </c>
      <c r="W1372" s="1"/>
      <c r="X1372" s="2" t="s">
        <v>4216</v>
      </c>
      <c r="Y1372" s="2" t="s">
        <v>9166</v>
      </c>
      <c r="AA1372" t="str">
        <f t="shared" si="126"/>
        <v>2026-01</v>
      </c>
      <c r="AB1372" t="str">
        <f t="shared" si="127"/>
        <v>H1_2026</v>
      </c>
      <c r="AC1372">
        <f t="shared" si="128"/>
        <v>335203.92</v>
      </c>
      <c r="AD1372">
        <f t="shared" si="129"/>
        <v>270</v>
      </c>
      <c r="AE1372">
        <f t="shared" si="130"/>
        <v>102022.12</v>
      </c>
      <c r="AF1372" t="str">
        <f t="shared" si="131"/>
        <v>Paid</v>
      </c>
    </row>
    <row r="1373" spans="1:32" ht="17.25" thickBot="1" x14ac:dyDescent="0.35">
      <c r="A1373" s="2" t="s">
        <v>9179</v>
      </c>
      <c r="B1373" s="2" t="s">
        <v>27</v>
      </c>
      <c r="C1373" s="2" t="s">
        <v>28</v>
      </c>
      <c r="D1373" s="2" t="s">
        <v>97</v>
      </c>
      <c r="E1373" s="2" t="s">
        <v>9159</v>
      </c>
      <c r="F1373" s="2" t="s">
        <v>8445</v>
      </c>
      <c r="G1373" s="2" t="s">
        <v>32</v>
      </c>
      <c r="H1373" s="1"/>
      <c r="I1373" s="2" t="s">
        <v>33</v>
      </c>
      <c r="J1373" s="2" t="s">
        <v>34</v>
      </c>
      <c r="K1373" s="2" t="s">
        <v>8453</v>
      </c>
      <c r="L1373" s="2" t="s">
        <v>8454</v>
      </c>
      <c r="M1373" s="2" t="s">
        <v>2140</v>
      </c>
      <c r="N1373" s="2" t="s">
        <v>38</v>
      </c>
      <c r="O1373" s="2" t="s">
        <v>391</v>
      </c>
      <c r="P1373" s="2" t="s">
        <v>790</v>
      </c>
      <c r="Q1373" s="2" t="s">
        <v>9160</v>
      </c>
      <c r="R1373" s="2" t="s">
        <v>40</v>
      </c>
      <c r="S1373" s="2" t="s">
        <v>9161</v>
      </c>
      <c r="T1373" s="2" t="s">
        <v>2171</v>
      </c>
      <c r="U1373" s="2" t="s">
        <v>9180</v>
      </c>
      <c r="V1373" s="2" t="s">
        <v>9181</v>
      </c>
      <c r="W1373" s="1"/>
      <c r="X1373" s="2" t="s">
        <v>4216</v>
      </c>
      <c r="Y1373" s="2" t="s">
        <v>9166</v>
      </c>
      <c r="AA1373" t="str">
        <f t="shared" si="126"/>
        <v>2026-01</v>
      </c>
      <c r="AB1373" t="str">
        <f t="shared" si="127"/>
        <v>H1_2026</v>
      </c>
      <c r="AC1373">
        <f t="shared" si="128"/>
        <v>74489.759999999995</v>
      </c>
      <c r="AD1373">
        <f t="shared" si="129"/>
        <v>60</v>
      </c>
      <c r="AE1373">
        <f t="shared" si="130"/>
        <v>22671.58</v>
      </c>
      <c r="AF1373" t="str">
        <f t="shared" si="131"/>
        <v>Paid</v>
      </c>
    </row>
    <row r="1374" spans="1:32" ht="17.25" thickBot="1" x14ac:dyDescent="0.35">
      <c r="A1374" s="2" t="s">
        <v>9182</v>
      </c>
      <c r="B1374" s="2" t="s">
        <v>27</v>
      </c>
      <c r="C1374" s="2" t="s">
        <v>28</v>
      </c>
      <c r="D1374" s="2" t="s">
        <v>97</v>
      </c>
      <c r="E1374" s="2" t="s">
        <v>9159</v>
      </c>
      <c r="F1374" s="2" t="s">
        <v>8445</v>
      </c>
      <c r="G1374" s="2" t="s">
        <v>32</v>
      </c>
      <c r="H1374" s="1"/>
      <c r="I1374" s="2" t="s">
        <v>33</v>
      </c>
      <c r="J1374" s="2" t="s">
        <v>34</v>
      </c>
      <c r="K1374" s="2" t="s">
        <v>8460</v>
      </c>
      <c r="L1374" s="2" t="s">
        <v>8461</v>
      </c>
      <c r="M1374" s="2" t="s">
        <v>2140</v>
      </c>
      <c r="N1374" s="2" t="s">
        <v>38</v>
      </c>
      <c r="O1374" s="2" t="s">
        <v>214</v>
      </c>
      <c r="P1374" s="2" t="s">
        <v>8446</v>
      </c>
      <c r="Q1374" s="2" t="s">
        <v>7787</v>
      </c>
      <c r="R1374" s="2" t="s">
        <v>40</v>
      </c>
      <c r="S1374" s="2" t="s">
        <v>9183</v>
      </c>
      <c r="T1374" s="2" t="s">
        <v>8465</v>
      </c>
      <c r="U1374" s="2" t="s">
        <v>9184</v>
      </c>
      <c r="V1374" s="2" t="s">
        <v>9185</v>
      </c>
      <c r="W1374" s="1"/>
      <c r="X1374" s="2" t="s">
        <v>6595</v>
      </c>
      <c r="Y1374" s="2" t="s">
        <v>9166</v>
      </c>
      <c r="AA1374" t="str">
        <f t="shared" si="126"/>
        <v>2026-01</v>
      </c>
      <c r="AB1374" t="str">
        <f t="shared" si="127"/>
        <v>H1_2026</v>
      </c>
      <c r="AC1374">
        <f t="shared" si="128"/>
        <v>64240.2</v>
      </c>
      <c r="AD1374">
        <f t="shared" si="129"/>
        <v>50</v>
      </c>
      <c r="AE1374">
        <f t="shared" si="130"/>
        <v>18467.47</v>
      </c>
      <c r="AF1374" t="str">
        <f t="shared" si="131"/>
        <v>Paid</v>
      </c>
    </row>
    <row r="1375" spans="1:32" ht="17.25" thickBot="1" x14ac:dyDescent="0.35">
      <c r="A1375" s="2" t="s">
        <v>9186</v>
      </c>
      <c r="B1375" s="2" t="s">
        <v>27</v>
      </c>
      <c r="C1375" s="2" t="s">
        <v>28</v>
      </c>
      <c r="D1375" s="2" t="s">
        <v>97</v>
      </c>
      <c r="E1375" s="2" t="s">
        <v>9159</v>
      </c>
      <c r="F1375" s="2" t="s">
        <v>8445</v>
      </c>
      <c r="G1375" s="2" t="s">
        <v>32</v>
      </c>
      <c r="H1375" s="1"/>
      <c r="I1375" s="2" t="s">
        <v>33</v>
      </c>
      <c r="J1375" s="2" t="s">
        <v>34</v>
      </c>
      <c r="K1375" s="2" t="s">
        <v>8469</v>
      </c>
      <c r="L1375" s="2" t="s">
        <v>8470</v>
      </c>
      <c r="M1375" s="2" t="s">
        <v>2140</v>
      </c>
      <c r="N1375" s="2" t="s">
        <v>38</v>
      </c>
      <c r="O1375" s="2" t="s">
        <v>779</v>
      </c>
      <c r="P1375" s="2" t="s">
        <v>7485</v>
      </c>
      <c r="Q1375" s="2" t="s">
        <v>9187</v>
      </c>
      <c r="R1375" s="2" t="s">
        <v>40</v>
      </c>
      <c r="S1375" s="2" t="s">
        <v>9188</v>
      </c>
      <c r="T1375" s="2" t="s">
        <v>9189</v>
      </c>
      <c r="U1375" s="2" t="s">
        <v>9190</v>
      </c>
      <c r="V1375" s="2" t="s">
        <v>9191</v>
      </c>
      <c r="W1375" s="1"/>
      <c r="X1375" s="2" t="s">
        <v>1427</v>
      </c>
      <c r="Y1375" s="2" t="s">
        <v>9166</v>
      </c>
      <c r="AA1375" t="str">
        <f t="shared" si="126"/>
        <v>2026-01</v>
      </c>
      <c r="AB1375" t="str">
        <f t="shared" si="127"/>
        <v>H1_2026</v>
      </c>
      <c r="AC1375">
        <f t="shared" si="128"/>
        <v>630131.4</v>
      </c>
      <c r="AD1375">
        <f t="shared" si="129"/>
        <v>90</v>
      </c>
      <c r="AE1375">
        <f t="shared" si="130"/>
        <v>152967.76999999999</v>
      </c>
      <c r="AF1375" t="str">
        <f t="shared" si="131"/>
        <v>Paid</v>
      </c>
    </row>
    <row r="1376" spans="1:32" ht="17.25" thickBot="1" x14ac:dyDescent="0.35">
      <c r="A1376" s="2" t="s">
        <v>9192</v>
      </c>
      <c r="B1376" s="2" t="s">
        <v>27</v>
      </c>
      <c r="C1376" s="2" t="s">
        <v>28</v>
      </c>
      <c r="D1376" s="2" t="s">
        <v>97</v>
      </c>
      <c r="E1376" s="2" t="s">
        <v>9159</v>
      </c>
      <c r="F1376" s="2" t="s">
        <v>8445</v>
      </c>
      <c r="G1376" s="2" t="s">
        <v>32</v>
      </c>
      <c r="H1376" s="1"/>
      <c r="I1376" s="2" t="s">
        <v>33</v>
      </c>
      <c r="J1376" s="2" t="s">
        <v>34</v>
      </c>
      <c r="K1376" s="2" t="s">
        <v>2200</v>
      </c>
      <c r="L1376" s="2" t="s">
        <v>2201</v>
      </c>
      <c r="M1376" s="2" t="s">
        <v>2140</v>
      </c>
      <c r="N1376" s="2" t="s">
        <v>38</v>
      </c>
      <c r="O1376" s="2" t="s">
        <v>391</v>
      </c>
      <c r="P1376" s="2" t="s">
        <v>5845</v>
      </c>
      <c r="Q1376" s="2" t="s">
        <v>9193</v>
      </c>
      <c r="R1376" s="2" t="s">
        <v>40</v>
      </c>
      <c r="S1376" s="2" t="s">
        <v>9194</v>
      </c>
      <c r="T1376" s="2" t="s">
        <v>9195</v>
      </c>
      <c r="U1376" s="2" t="s">
        <v>9196</v>
      </c>
      <c r="V1376" s="2" t="s">
        <v>9197</v>
      </c>
      <c r="W1376" s="1"/>
      <c r="X1376" s="2" t="s">
        <v>6790</v>
      </c>
      <c r="Y1376" s="2" t="s">
        <v>9166</v>
      </c>
      <c r="AA1376" t="str">
        <f t="shared" si="126"/>
        <v>2026-01</v>
      </c>
      <c r="AB1376" t="str">
        <f t="shared" si="127"/>
        <v>H1_2026</v>
      </c>
      <c r="AC1376">
        <f t="shared" si="128"/>
        <v>579461.04</v>
      </c>
      <c r="AD1376">
        <f t="shared" si="129"/>
        <v>60</v>
      </c>
      <c r="AE1376">
        <f t="shared" si="130"/>
        <v>125441.04</v>
      </c>
      <c r="AF1376" t="str">
        <f t="shared" si="131"/>
        <v>Paid</v>
      </c>
    </row>
    <row r="1377" spans="1:32" ht="17.25" thickBot="1" x14ac:dyDescent="0.35">
      <c r="A1377" s="2" t="s">
        <v>9198</v>
      </c>
      <c r="B1377" s="2" t="s">
        <v>27</v>
      </c>
      <c r="C1377" s="2" t="s">
        <v>28</v>
      </c>
      <c r="D1377" s="2" t="s">
        <v>97</v>
      </c>
      <c r="E1377" s="2" t="s">
        <v>9159</v>
      </c>
      <c r="F1377" s="2" t="s">
        <v>8445</v>
      </c>
      <c r="G1377" s="2" t="s">
        <v>32</v>
      </c>
      <c r="H1377" s="1"/>
      <c r="I1377" s="2" t="s">
        <v>33</v>
      </c>
      <c r="J1377" s="2" t="s">
        <v>34</v>
      </c>
      <c r="K1377" s="2" t="s">
        <v>2210</v>
      </c>
      <c r="L1377" s="2" t="s">
        <v>2211</v>
      </c>
      <c r="M1377" s="2" t="s">
        <v>2140</v>
      </c>
      <c r="N1377" s="2" t="s">
        <v>38</v>
      </c>
      <c r="O1377" s="2" t="s">
        <v>779</v>
      </c>
      <c r="P1377" s="2" t="s">
        <v>703</v>
      </c>
      <c r="Q1377" s="2" t="s">
        <v>9199</v>
      </c>
      <c r="R1377" s="2" t="s">
        <v>40</v>
      </c>
      <c r="S1377" s="2" t="s">
        <v>9200</v>
      </c>
      <c r="T1377" s="2" t="s">
        <v>8480</v>
      </c>
      <c r="U1377" s="2" t="s">
        <v>9201</v>
      </c>
      <c r="V1377" s="2" t="s">
        <v>9202</v>
      </c>
      <c r="W1377" s="1"/>
      <c r="X1377" s="2" t="s">
        <v>2912</v>
      </c>
      <c r="Y1377" s="2" t="s">
        <v>9166</v>
      </c>
      <c r="AA1377" t="str">
        <f t="shared" si="126"/>
        <v>2026-01</v>
      </c>
      <c r="AB1377" t="str">
        <f t="shared" si="127"/>
        <v>H1_2026</v>
      </c>
      <c r="AC1377">
        <f t="shared" si="128"/>
        <v>882183.96</v>
      </c>
      <c r="AD1377">
        <f t="shared" si="129"/>
        <v>90</v>
      </c>
      <c r="AE1377">
        <f t="shared" si="130"/>
        <v>261183.96</v>
      </c>
      <c r="AF1377" t="str">
        <f t="shared" si="131"/>
        <v>Paid</v>
      </c>
    </row>
    <row r="1378" spans="1:32" ht="17.25" thickBot="1" x14ac:dyDescent="0.35">
      <c r="A1378" s="2" t="s">
        <v>9203</v>
      </c>
      <c r="B1378" s="2" t="s">
        <v>27</v>
      </c>
      <c r="C1378" s="2" t="s">
        <v>28</v>
      </c>
      <c r="D1378" s="2" t="s">
        <v>97</v>
      </c>
      <c r="E1378" s="2" t="s">
        <v>9159</v>
      </c>
      <c r="F1378" s="2" t="s">
        <v>8445</v>
      </c>
      <c r="G1378" s="2" t="s">
        <v>32</v>
      </c>
      <c r="H1378" s="1"/>
      <c r="I1378" s="2" t="s">
        <v>33</v>
      </c>
      <c r="J1378" s="2" t="s">
        <v>34</v>
      </c>
      <c r="K1378" s="2" t="s">
        <v>2218</v>
      </c>
      <c r="L1378" s="2" t="s">
        <v>2219</v>
      </c>
      <c r="M1378" s="2" t="s">
        <v>2140</v>
      </c>
      <c r="N1378" s="2" t="s">
        <v>38</v>
      </c>
      <c r="O1378" s="2" t="s">
        <v>159</v>
      </c>
      <c r="P1378" s="2" t="s">
        <v>1396</v>
      </c>
      <c r="Q1378" s="2" t="s">
        <v>1397</v>
      </c>
      <c r="R1378" s="2" t="s">
        <v>40</v>
      </c>
      <c r="S1378" s="2" t="s">
        <v>9204</v>
      </c>
      <c r="T1378" s="2" t="s">
        <v>40</v>
      </c>
      <c r="U1378" s="2" t="s">
        <v>40</v>
      </c>
      <c r="V1378" s="2" t="s">
        <v>9204</v>
      </c>
      <c r="W1378" s="1"/>
      <c r="X1378" s="2" t="s">
        <v>2155</v>
      </c>
      <c r="Y1378" s="2" t="s">
        <v>9166</v>
      </c>
      <c r="AA1378" t="str">
        <f t="shared" si="126"/>
        <v>2026-01</v>
      </c>
      <c r="AB1378" t="str">
        <f t="shared" si="127"/>
        <v>H1_2026</v>
      </c>
      <c r="AC1378">
        <f t="shared" si="128"/>
        <v>767995.2</v>
      </c>
      <c r="AD1378">
        <f t="shared" si="129"/>
        <v>80</v>
      </c>
      <c r="AE1378">
        <f t="shared" si="130"/>
        <v>767995.2</v>
      </c>
      <c r="AF1378" t="str">
        <f t="shared" si="131"/>
        <v>Paid</v>
      </c>
    </row>
    <row r="1379" spans="1:32" ht="17.25" thickBot="1" x14ac:dyDescent="0.35">
      <c r="A1379" s="2" t="s">
        <v>9205</v>
      </c>
      <c r="B1379" s="2" t="s">
        <v>27</v>
      </c>
      <c r="C1379" s="2" t="s">
        <v>28</v>
      </c>
      <c r="D1379" s="2" t="s">
        <v>97</v>
      </c>
      <c r="E1379" s="2" t="s">
        <v>9159</v>
      </c>
      <c r="F1379" s="2" t="s">
        <v>8445</v>
      </c>
      <c r="G1379" s="2" t="s">
        <v>32</v>
      </c>
      <c r="H1379" s="1"/>
      <c r="I1379" s="2" t="s">
        <v>33</v>
      </c>
      <c r="J1379" s="2" t="s">
        <v>34</v>
      </c>
      <c r="K1379" s="2" t="s">
        <v>2228</v>
      </c>
      <c r="L1379" s="2" t="s">
        <v>2229</v>
      </c>
      <c r="M1379" s="2" t="s">
        <v>2140</v>
      </c>
      <c r="N1379" s="2" t="s">
        <v>38</v>
      </c>
      <c r="O1379" s="2" t="s">
        <v>391</v>
      </c>
      <c r="P1379" s="2" t="s">
        <v>2479</v>
      </c>
      <c r="Q1379" s="2" t="s">
        <v>9206</v>
      </c>
      <c r="R1379" s="2" t="s">
        <v>40</v>
      </c>
      <c r="S1379" s="2" t="s">
        <v>9207</v>
      </c>
      <c r="T1379" s="2" t="s">
        <v>7608</v>
      </c>
      <c r="U1379" s="2" t="s">
        <v>9208</v>
      </c>
      <c r="V1379" s="2" t="s">
        <v>9209</v>
      </c>
      <c r="W1379" s="1"/>
      <c r="X1379" s="2" t="s">
        <v>1042</v>
      </c>
      <c r="Y1379" s="2" t="s">
        <v>9166</v>
      </c>
      <c r="AA1379" t="str">
        <f t="shared" si="126"/>
        <v>2026-01</v>
      </c>
      <c r="AB1379" t="str">
        <f t="shared" si="127"/>
        <v>H1_2026</v>
      </c>
      <c r="AC1379">
        <f t="shared" si="128"/>
        <v>497175.84</v>
      </c>
      <c r="AD1379">
        <f t="shared" si="129"/>
        <v>60</v>
      </c>
      <c r="AE1379">
        <f t="shared" si="130"/>
        <v>119557.66</v>
      </c>
      <c r="AF1379" t="str">
        <f t="shared" si="131"/>
        <v>Paid</v>
      </c>
    </row>
    <row r="1380" spans="1:32" ht="17.25" thickBot="1" x14ac:dyDescent="0.35">
      <c r="A1380" s="2" t="s">
        <v>9210</v>
      </c>
      <c r="B1380" s="2" t="s">
        <v>27</v>
      </c>
      <c r="C1380" s="2" t="s">
        <v>28</v>
      </c>
      <c r="D1380" s="2" t="s">
        <v>97</v>
      </c>
      <c r="E1380" s="2" t="s">
        <v>9159</v>
      </c>
      <c r="F1380" s="2" t="s">
        <v>8445</v>
      </c>
      <c r="G1380" s="2" t="s">
        <v>32</v>
      </c>
      <c r="H1380" s="1"/>
      <c r="I1380" s="2" t="s">
        <v>33</v>
      </c>
      <c r="J1380" s="2" t="s">
        <v>34</v>
      </c>
      <c r="K1380" s="2" t="s">
        <v>2237</v>
      </c>
      <c r="L1380" s="2" t="s">
        <v>2238</v>
      </c>
      <c r="M1380" s="2" t="s">
        <v>2140</v>
      </c>
      <c r="N1380" s="2" t="s">
        <v>38</v>
      </c>
      <c r="O1380" s="2" t="s">
        <v>466</v>
      </c>
      <c r="P1380" s="2" t="s">
        <v>7856</v>
      </c>
      <c r="Q1380" s="2" t="s">
        <v>9211</v>
      </c>
      <c r="R1380" s="2" t="s">
        <v>40</v>
      </c>
      <c r="S1380" s="2" t="s">
        <v>9212</v>
      </c>
      <c r="T1380" s="2" t="s">
        <v>8480</v>
      </c>
      <c r="U1380" s="2" t="s">
        <v>8481</v>
      </c>
      <c r="V1380" s="2" t="s">
        <v>9213</v>
      </c>
      <c r="W1380" s="1"/>
      <c r="X1380" s="2" t="s">
        <v>9214</v>
      </c>
      <c r="Y1380" s="2" t="s">
        <v>9166</v>
      </c>
      <c r="AA1380" t="str">
        <f t="shared" si="126"/>
        <v>2026-01</v>
      </c>
      <c r="AB1380" t="str">
        <f t="shared" si="127"/>
        <v>H1_2026</v>
      </c>
      <c r="AC1380">
        <f t="shared" si="128"/>
        <v>857931.48</v>
      </c>
      <c r="AD1380">
        <f t="shared" si="129"/>
        <v>70</v>
      </c>
      <c r="AE1380">
        <f t="shared" si="130"/>
        <v>374931.48</v>
      </c>
      <c r="AF1380" t="str">
        <f t="shared" si="131"/>
        <v>Paid</v>
      </c>
    </row>
    <row r="1381" spans="1:32" ht="17.25" thickBot="1" x14ac:dyDescent="0.35">
      <c r="A1381" s="2" t="s">
        <v>9215</v>
      </c>
      <c r="B1381" s="2" t="s">
        <v>27</v>
      </c>
      <c r="C1381" s="2" t="s">
        <v>28</v>
      </c>
      <c r="D1381" s="2" t="s">
        <v>97</v>
      </c>
      <c r="E1381" s="2" t="s">
        <v>9159</v>
      </c>
      <c r="F1381" s="2" t="s">
        <v>8445</v>
      </c>
      <c r="G1381" s="2" t="s">
        <v>32</v>
      </c>
      <c r="H1381" s="1"/>
      <c r="I1381" s="2" t="s">
        <v>33</v>
      </c>
      <c r="J1381" s="2" t="s">
        <v>34</v>
      </c>
      <c r="K1381" s="2" t="s">
        <v>2244</v>
      </c>
      <c r="L1381" s="2" t="s">
        <v>2245</v>
      </c>
      <c r="M1381" s="2" t="s">
        <v>2140</v>
      </c>
      <c r="N1381" s="2" t="s">
        <v>38</v>
      </c>
      <c r="O1381" s="2" t="s">
        <v>221</v>
      </c>
      <c r="P1381" s="2" t="s">
        <v>9216</v>
      </c>
      <c r="Q1381" s="2" t="s">
        <v>9217</v>
      </c>
      <c r="R1381" s="2" t="s">
        <v>40</v>
      </c>
      <c r="S1381" s="2" t="s">
        <v>9218</v>
      </c>
      <c r="T1381" s="2" t="s">
        <v>9219</v>
      </c>
      <c r="U1381" s="2" t="s">
        <v>9220</v>
      </c>
      <c r="V1381" s="2" t="s">
        <v>9221</v>
      </c>
      <c r="W1381" s="1"/>
      <c r="X1381" s="2" t="s">
        <v>6840</v>
      </c>
      <c r="Y1381" s="2" t="s">
        <v>9166</v>
      </c>
      <c r="AA1381" t="str">
        <f t="shared" si="126"/>
        <v>2026-01</v>
      </c>
      <c r="AB1381" t="str">
        <f t="shared" si="127"/>
        <v>H1_2026</v>
      </c>
      <c r="AC1381">
        <f t="shared" si="128"/>
        <v>1273255.2</v>
      </c>
      <c r="AD1381">
        <f t="shared" si="129"/>
        <v>140</v>
      </c>
      <c r="AE1381">
        <f t="shared" si="130"/>
        <v>436055.2</v>
      </c>
      <c r="AF1381" t="str">
        <f t="shared" si="131"/>
        <v>Paid</v>
      </c>
    </row>
    <row r="1382" spans="1:32" ht="17.25" thickBot="1" x14ac:dyDescent="0.35">
      <c r="A1382" s="2" t="s">
        <v>9222</v>
      </c>
      <c r="B1382" s="2" t="s">
        <v>27</v>
      </c>
      <c r="C1382" s="2" t="s">
        <v>28</v>
      </c>
      <c r="D1382" s="2" t="s">
        <v>97</v>
      </c>
      <c r="E1382" s="2" t="s">
        <v>9159</v>
      </c>
      <c r="F1382" s="2" t="s">
        <v>8445</v>
      </c>
      <c r="G1382" s="2" t="s">
        <v>32</v>
      </c>
      <c r="H1382" s="1"/>
      <c r="I1382" s="2" t="s">
        <v>33</v>
      </c>
      <c r="J1382" s="2" t="s">
        <v>34</v>
      </c>
      <c r="K1382" s="2" t="s">
        <v>2253</v>
      </c>
      <c r="L1382" s="2" t="s">
        <v>2254</v>
      </c>
      <c r="M1382" s="2" t="s">
        <v>2140</v>
      </c>
      <c r="N1382" s="2" t="s">
        <v>38</v>
      </c>
      <c r="O1382" s="2" t="s">
        <v>877</v>
      </c>
      <c r="P1382" s="2" t="s">
        <v>4453</v>
      </c>
      <c r="Q1382" s="2" t="s">
        <v>9223</v>
      </c>
      <c r="R1382" s="2" t="s">
        <v>40</v>
      </c>
      <c r="S1382" s="2" t="s">
        <v>9224</v>
      </c>
      <c r="T1382" s="2" t="s">
        <v>931</v>
      </c>
      <c r="U1382" s="2" t="s">
        <v>9225</v>
      </c>
      <c r="V1382" s="2" t="s">
        <v>9226</v>
      </c>
      <c r="W1382" s="1"/>
      <c r="X1382" s="2" t="s">
        <v>9227</v>
      </c>
      <c r="Y1382" s="2" t="s">
        <v>9166</v>
      </c>
      <c r="AA1382" t="str">
        <f t="shared" si="126"/>
        <v>2026-01</v>
      </c>
      <c r="AB1382" t="str">
        <f t="shared" si="127"/>
        <v>H1_2026</v>
      </c>
      <c r="AC1382">
        <f t="shared" si="128"/>
        <v>1120233.6000000001</v>
      </c>
      <c r="AD1382">
        <f t="shared" si="129"/>
        <v>100</v>
      </c>
      <c r="AE1382">
        <f t="shared" si="130"/>
        <v>410233.59999999998</v>
      </c>
      <c r="AF1382" t="str">
        <f t="shared" si="131"/>
        <v>Paid</v>
      </c>
    </row>
    <row r="1383" spans="1:32" ht="17.25" thickBot="1" x14ac:dyDescent="0.35">
      <c r="A1383" s="2" t="s">
        <v>9228</v>
      </c>
      <c r="B1383" s="2" t="s">
        <v>27</v>
      </c>
      <c r="C1383" s="2" t="s">
        <v>28</v>
      </c>
      <c r="D1383" s="2" t="s">
        <v>97</v>
      </c>
      <c r="E1383" s="2" t="s">
        <v>9159</v>
      </c>
      <c r="F1383" s="2" t="s">
        <v>8445</v>
      </c>
      <c r="G1383" s="2" t="s">
        <v>32</v>
      </c>
      <c r="H1383" s="1"/>
      <c r="I1383" s="2" t="s">
        <v>33</v>
      </c>
      <c r="J1383" s="2" t="s">
        <v>34</v>
      </c>
      <c r="K1383" s="2" t="s">
        <v>2260</v>
      </c>
      <c r="L1383" s="2" t="s">
        <v>2261</v>
      </c>
      <c r="M1383" s="2" t="s">
        <v>2140</v>
      </c>
      <c r="N1383" s="2" t="s">
        <v>38</v>
      </c>
      <c r="O1383" s="2" t="s">
        <v>214</v>
      </c>
      <c r="P1383" s="2" t="s">
        <v>3579</v>
      </c>
      <c r="Q1383" s="2" t="s">
        <v>9229</v>
      </c>
      <c r="R1383" s="2" t="s">
        <v>40</v>
      </c>
      <c r="S1383" s="2" t="s">
        <v>9230</v>
      </c>
      <c r="T1383" s="2" t="s">
        <v>9231</v>
      </c>
      <c r="U1383" s="2" t="s">
        <v>9232</v>
      </c>
      <c r="V1383" s="2" t="s">
        <v>9233</v>
      </c>
      <c r="W1383" s="1"/>
      <c r="X1383" s="2" t="s">
        <v>3636</v>
      </c>
      <c r="Y1383" s="2" t="s">
        <v>9166</v>
      </c>
      <c r="AA1383" t="str">
        <f t="shared" si="126"/>
        <v>2026-01</v>
      </c>
      <c r="AB1383" t="str">
        <f t="shared" si="127"/>
        <v>H1_2026</v>
      </c>
      <c r="AC1383">
        <f t="shared" si="128"/>
        <v>420087.6</v>
      </c>
      <c r="AD1383">
        <f t="shared" si="129"/>
        <v>50</v>
      </c>
      <c r="AE1383">
        <f t="shared" si="130"/>
        <v>55087.6</v>
      </c>
      <c r="AF1383" t="str">
        <f t="shared" si="131"/>
        <v>Paid</v>
      </c>
    </row>
    <row r="1384" spans="1:32" ht="17.25" thickBot="1" x14ac:dyDescent="0.35">
      <c r="A1384" s="2" t="s">
        <v>9234</v>
      </c>
      <c r="B1384" s="2" t="s">
        <v>27</v>
      </c>
      <c r="C1384" s="2" t="s">
        <v>28</v>
      </c>
      <c r="D1384" s="2" t="s">
        <v>97</v>
      </c>
      <c r="E1384" s="2" t="s">
        <v>9159</v>
      </c>
      <c r="F1384" s="2" t="s">
        <v>8445</v>
      </c>
      <c r="G1384" s="2" t="s">
        <v>32</v>
      </c>
      <c r="H1384" s="1"/>
      <c r="I1384" s="2" t="s">
        <v>33</v>
      </c>
      <c r="J1384" s="2" t="s">
        <v>34</v>
      </c>
      <c r="K1384" s="2" t="s">
        <v>8492</v>
      </c>
      <c r="L1384" s="2" t="s">
        <v>8493</v>
      </c>
      <c r="M1384" s="2" t="s">
        <v>2140</v>
      </c>
      <c r="N1384" s="2" t="s">
        <v>38</v>
      </c>
      <c r="O1384" s="2" t="s">
        <v>1333</v>
      </c>
      <c r="P1384" s="2" t="s">
        <v>703</v>
      </c>
      <c r="Q1384" s="2" t="s">
        <v>9235</v>
      </c>
      <c r="R1384" s="2" t="s">
        <v>40</v>
      </c>
      <c r="S1384" s="2" t="s">
        <v>9236</v>
      </c>
      <c r="T1384" s="2" t="s">
        <v>6908</v>
      </c>
      <c r="U1384" s="2" t="s">
        <v>9237</v>
      </c>
      <c r="V1384" s="2" t="s">
        <v>9238</v>
      </c>
      <c r="W1384" s="1"/>
      <c r="X1384" s="2" t="s">
        <v>4350</v>
      </c>
      <c r="Y1384" s="2" t="s">
        <v>9166</v>
      </c>
      <c r="AA1384" t="str">
        <f t="shared" si="126"/>
        <v>2026-01</v>
      </c>
      <c r="AB1384" t="str">
        <f t="shared" si="127"/>
        <v>H1_2026</v>
      </c>
      <c r="AC1384">
        <f t="shared" si="128"/>
        <v>1470306.6</v>
      </c>
      <c r="AD1384">
        <f t="shared" si="129"/>
        <v>150</v>
      </c>
      <c r="AE1384">
        <f t="shared" si="130"/>
        <v>343942.97</v>
      </c>
      <c r="AF1384" t="str">
        <f t="shared" si="131"/>
        <v>Paid</v>
      </c>
    </row>
    <row r="1385" spans="1:32" ht="27.75" thickBot="1" x14ac:dyDescent="0.35">
      <c r="A1385" s="2" t="s">
        <v>9239</v>
      </c>
      <c r="B1385" s="2" t="s">
        <v>27</v>
      </c>
      <c r="C1385" s="2" t="s">
        <v>28</v>
      </c>
      <c r="D1385" s="2" t="s">
        <v>97</v>
      </c>
      <c r="E1385" s="2" t="s">
        <v>9159</v>
      </c>
      <c r="F1385" s="2" t="s">
        <v>8445</v>
      </c>
      <c r="G1385" s="2" t="s">
        <v>32</v>
      </c>
      <c r="H1385" s="1"/>
      <c r="I1385" s="2" t="s">
        <v>33</v>
      </c>
      <c r="J1385" s="2" t="s">
        <v>34</v>
      </c>
      <c r="K1385" s="2" t="s">
        <v>8498</v>
      </c>
      <c r="L1385" s="2" t="s">
        <v>8499</v>
      </c>
      <c r="M1385" s="2" t="s">
        <v>7619</v>
      </c>
      <c r="N1385" s="2" t="s">
        <v>38</v>
      </c>
      <c r="O1385" s="2" t="s">
        <v>79</v>
      </c>
      <c r="P1385" s="2" t="s">
        <v>9240</v>
      </c>
      <c r="Q1385" s="2" t="s">
        <v>9241</v>
      </c>
      <c r="R1385" s="2" t="s">
        <v>40</v>
      </c>
      <c r="S1385" s="2" t="s">
        <v>9242</v>
      </c>
      <c r="T1385" s="2" t="s">
        <v>8502</v>
      </c>
      <c r="U1385" s="2" t="s">
        <v>8503</v>
      </c>
      <c r="V1385" s="2" t="s">
        <v>9243</v>
      </c>
      <c r="W1385" s="1"/>
      <c r="X1385" s="2" t="s">
        <v>965</v>
      </c>
      <c r="Y1385" s="2" t="s">
        <v>9166</v>
      </c>
      <c r="AA1385" t="str">
        <f t="shared" si="126"/>
        <v>2026-01</v>
      </c>
      <c r="AB1385" t="str">
        <f t="shared" si="127"/>
        <v>H1_2026</v>
      </c>
      <c r="AC1385">
        <f t="shared" si="128"/>
        <v>77376.960000000006</v>
      </c>
      <c r="AD1385">
        <f t="shared" si="129"/>
        <v>10</v>
      </c>
      <c r="AE1385">
        <f t="shared" si="130"/>
        <v>19776.96</v>
      </c>
      <c r="AF1385" t="str">
        <f t="shared" si="131"/>
        <v>Paid</v>
      </c>
    </row>
    <row r="1386" spans="1:32" ht="17.25" thickBot="1" x14ac:dyDescent="0.35">
      <c r="A1386" s="2" t="s">
        <v>9244</v>
      </c>
      <c r="B1386" s="2" t="s">
        <v>27</v>
      </c>
      <c r="C1386" s="2" t="s">
        <v>28</v>
      </c>
      <c r="D1386" s="2" t="s">
        <v>97</v>
      </c>
      <c r="E1386" s="2" t="s">
        <v>9159</v>
      </c>
      <c r="F1386" s="2" t="s">
        <v>8445</v>
      </c>
      <c r="G1386" s="2" t="s">
        <v>32</v>
      </c>
      <c r="H1386" s="1"/>
      <c r="I1386" s="2" t="s">
        <v>33</v>
      </c>
      <c r="J1386" s="2" t="s">
        <v>34</v>
      </c>
      <c r="K1386" s="2" t="s">
        <v>7617</v>
      </c>
      <c r="L1386" s="2" t="s">
        <v>7618</v>
      </c>
      <c r="M1386" s="2" t="s">
        <v>7619</v>
      </c>
      <c r="N1386" s="2" t="s">
        <v>38</v>
      </c>
      <c r="O1386" s="2" t="s">
        <v>131</v>
      </c>
      <c r="P1386" s="2" t="s">
        <v>9245</v>
      </c>
      <c r="Q1386" s="2" t="s">
        <v>9246</v>
      </c>
      <c r="R1386" s="2" t="s">
        <v>40</v>
      </c>
      <c r="S1386" s="2" t="s">
        <v>9247</v>
      </c>
      <c r="T1386" s="2" t="s">
        <v>7622</v>
      </c>
      <c r="U1386" s="2" t="s">
        <v>9248</v>
      </c>
      <c r="V1386" s="2" t="s">
        <v>9249</v>
      </c>
      <c r="W1386" s="1"/>
      <c r="X1386" s="2" t="s">
        <v>9250</v>
      </c>
      <c r="Y1386" s="2" t="s">
        <v>9166</v>
      </c>
      <c r="AA1386" t="str">
        <f t="shared" si="126"/>
        <v>2026-01</v>
      </c>
      <c r="AB1386" t="str">
        <f t="shared" si="127"/>
        <v>H1_2026</v>
      </c>
      <c r="AC1386">
        <f t="shared" si="128"/>
        <v>436544.64</v>
      </c>
      <c r="AD1386">
        <f t="shared" si="129"/>
        <v>40</v>
      </c>
      <c r="AE1386">
        <f t="shared" si="130"/>
        <v>78144.639999999999</v>
      </c>
      <c r="AF1386" t="str">
        <f t="shared" si="131"/>
        <v>Paid</v>
      </c>
    </row>
    <row r="1387" spans="1:32" ht="17.25" thickBot="1" x14ac:dyDescent="0.35">
      <c r="A1387" s="2" t="s">
        <v>9251</v>
      </c>
      <c r="B1387" s="2" t="s">
        <v>27</v>
      </c>
      <c r="C1387" s="2" t="s">
        <v>28</v>
      </c>
      <c r="D1387" s="2" t="s">
        <v>97</v>
      </c>
      <c r="E1387" s="2" t="s">
        <v>9159</v>
      </c>
      <c r="F1387" s="2" t="s">
        <v>8445</v>
      </c>
      <c r="G1387" s="2" t="s">
        <v>32</v>
      </c>
      <c r="H1387" s="1"/>
      <c r="I1387" s="2" t="s">
        <v>33</v>
      </c>
      <c r="J1387" s="2" t="s">
        <v>34</v>
      </c>
      <c r="K1387" s="2" t="s">
        <v>9252</v>
      </c>
      <c r="L1387" s="2" t="s">
        <v>9253</v>
      </c>
      <c r="M1387" s="2" t="s">
        <v>7619</v>
      </c>
      <c r="N1387" s="2" t="s">
        <v>38</v>
      </c>
      <c r="O1387" s="2" t="s">
        <v>141</v>
      </c>
      <c r="P1387" s="2" t="s">
        <v>4461</v>
      </c>
      <c r="Q1387" s="2" t="s">
        <v>4462</v>
      </c>
      <c r="R1387" s="2" t="s">
        <v>40</v>
      </c>
      <c r="S1387" s="2" t="s">
        <v>9254</v>
      </c>
      <c r="T1387" s="2" t="s">
        <v>297</v>
      </c>
      <c r="U1387" s="2" t="s">
        <v>2257</v>
      </c>
      <c r="V1387" s="2" t="s">
        <v>9255</v>
      </c>
      <c r="W1387" s="1"/>
      <c r="X1387" s="2" t="s">
        <v>9250</v>
      </c>
      <c r="Y1387" s="2" t="s">
        <v>9166</v>
      </c>
      <c r="AA1387" t="str">
        <f t="shared" si="126"/>
        <v>2026-01</v>
      </c>
      <c r="AB1387" t="str">
        <f t="shared" si="127"/>
        <v>H1_2026</v>
      </c>
      <c r="AC1387">
        <f t="shared" si="128"/>
        <v>292329</v>
      </c>
      <c r="AD1387">
        <f t="shared" si="129"/>
        <v>30</v>
      </c>
      <c r="AE1387">
        <f t="shared" si="130"/>
        <v>52329</v>
      </c>
      <c r="AF1387" t="str">
        <f t="shared" si="131"/>
        <v>Paid</v>
      </c>
    </row>
    <row r="1388" spans="1:32" ht="17.25" thickBot="1" x14ac:dyDescent="0.35">
      <c r="A1388" s="2" t="s">
        <v>9256</v>
      </c>
      <c r="B1388" s="2" t="s">
        <v>27</v>
      </c>
      <c r="C1388" s="2" t="s">
        <v>28</v>
      </c>
      <c r="D1388" s="2" t="s">
        <v>97</v>
      </c>
      <c r="E1388" s="2" t="s">
        <v>9159</v>
      </c>
      <c r="F1388" s="2" t="s">
        <v>8445</v>
      </c>
      <c r="G1388" s="2" t="s">
        <v>32</v>
      </c>
      <c r="H1388" s="1"/>
      <c r="I1388" s="2" t="s">
        <v>33</v>
      </c>
      <c r="J1388" s="2" t="s">
        <v>34</v>
      </c>
      <c r="K1388" s="2" t="s">
        <v>7715</v>
      </c>
      <c r="L1388" s="2" t="s">
        <v>7716</v>
      </c>
      <c r="M1388" s="2" t="s">
        <v>7717</v>
      </c>
      <c r="N1388" s="2" t="s">
        <v>38</v>
      </c>
      <c r="O1388" s="2" t="s">
        <v>141</v>
      </c>
      <c r="P1388" s="2" t="s">
        <v>9257</v>
      </c>
      <c r="Q1388" s="2" t="s">
        <v>2418</v>
      </c>
      <c r="R1388" s="2" t="s">
        <v>40</v>
      </c>
      <c r="S1388" s="2" t="s">
        <v>9258</v>
      </c>
      <c r="T1388" s="2" t="s">
        <v>7720</v>
      </c>
      <c r="U1388" s="2" t="s">
        <v>8045</v>
      </c>
      <c r="V1388" s="2" t="s">
        <v>9259</v>
      </c>
      <c r="W1388" s="1"/>
      <c r="X1388" s="2" t="s">
        <v>7722</v>
      </c>
      <c r="Y1388" s="2" t="s">
        <v>9166</v>
      </c>
      <c r="AA1388" t="str">
        <f t="shared" si="126"/>
        <v>2026-01</v>
      </c>
      <c r="AB1388" t="str">
        <f t="shared" si="127"/>
        <v>H1_2026</v>
      </c>
      <c r="AC1388">
        <f t="shared" si="128"/>
        <v>161971.92000000001</v>
      </c>
      <c r="AD1388">
        <f t="shared" si="129"/>
        <v>30</v>
      </c>
      <c r="AE1388">
        <f t="shared" si="130"/>
        <v>53971.92</v>
      </c>
      <c r="AF1388" t="str">
        <f t="shared" si="131"/>
        <v>Paid</v>
      </c>
    </row>
    <row r="1389" spans="1:32" ht="17.25" thickBot="1" x14ac:dyDescent="0.35">
      <c r="A1389" s="2" t="s">
        <v>9260</v>
      </c>
      <c r="B1389" s="2" t="s">
        <v>27</v>
      </c>
      <c r="C1389" s="2" t="s">
        <v>28</v>
      </c>
      <c r="D1389" s="2" t="s">
        <v>97</v>
      </c>
      <c r="E1389" s="2" t="s">
        <v>9159</v>
      </c>
      <c r="F1389" s="2" t="s">
        <v>8445</v>
      </c>
      <c r="G1389" s="2" t="s">
        <v>32</v>
      </c>
      <c r="H1389" s="1"/>
      <c r="I1389" s="2" t="s">
        <v>33</v>
      </c>
      <c r="J1389" s="2" t="s">
        <v>34</v>
      </c>
      <c r="K1389" s="2" t="s">
        <v>9261</v>
      </c>
      <c r="L1389" s="2" t="s">
        <v>9262</v>
      </c>
      <c r="M1389" s="2" t="s">
        <v>7717</v>
      </c>
      <c r="N1389" s="2" t="s">
        <v>38</v>
      </c>
      <c r="O1389" s="2" t="s">
        <v>148</v>
      </c>
      <c r="P1389" s="2" t="s">
        <v>9263</v>
      </c>
      <c r="Q1389" s="2" t="s">
        <v>9264</v>
      </c>
      <c r="R1389" s="2" t="s">
        <v>40</v>
      </c>
      <c r="S1389" s="2" t="s">
        <v>9265</v>
      </c>
      <c r="T1389" s="2" t="s">
        <v>2747</v>
      </c>
      <c r="U1389" s="2" t="s">
        <v>9266</v>
      </c>
      <c r="V1389" s="2" t="s">
        <v>9267</v>
      </c>
      <c r="W1389" s="1"/>
      <c r="X1389" s="2" t="s">
        <v>5958</v>
      </c>
      <c r="Y1389" s="2" t="s">
        <v>9166</v>
      </c>
      <c r="AA1389" t="str">
        <f t="shared" si="126"/>
        <v>2026-01</v>
      </c>
      <c r="AB1389" t="str">
        <f t="shared" si="127"/>
        <v>H1_2026</v>
      </c>
      <c r="AC1389">
        <f t="shared" si="128"/>
        <v>127267.78</v>
      </c>
      <c r="AD1389">
        <f t="shared" si="129"/>
        <v>19</v>
      </c>
      <c r="AE1389">
        <f t="shared" si="130"/>
        <v>42631.41</v>
      </c>
      <c r="AF1389" t="str">
        <f t="shared" si="131"/>
        <v>Paid</v>
      </c>
    </row>
    <row r="1390" spans="1:32" ht="17.25" thickBot="1" x14ac:dyDescent="0.35">
      <c r="A1390" s="2" t="s">
        <v>9268</v>
      </c>
      <c r="B1390" s="2" t="s">
        <v>27</v>
      </c>
      <c r="C1390" s="2" t="s">
        <v>28</v>
      </c>
      <c r="D1390" s="2" t="s">
        <v>97</v>
      </c>
      <c r="E1390" s="2" t="s">
        <v>9159</v>
      </c>
      <c r="F1390" s="2" t="s">
        <v>8445</v>
      </c>
      <c r="G1390" s="2" t="s">
        <v>32</v>
      </c>
      <c r="H1390" s="1"/>
      <c r="I1390" s="2" t="s">
        <v>33</v>
      </c>
      <c r="J1390" s="2" t="s">
        <v>34</v>
      </c>
      <c r="K1390" s="2" t="s">
        <v>9269</v>
      </c>
      <c r="L1390" s="2" t="s">
        <v>9270</v>
      </c>
      <c r="M1390" s="2" t="s">
        <v>7717</v>
      </c>
      <c r="N1390" s="2" t="s">
        <v>38</v>
      </c>
      <c r="O1390" s="2" t="s">
        <v>26</v>
      </c>
      <c r="P1390" s="2" t="s">
        <v>9263</v>
      </c>
      <c r="Q1390" s="2" t="s">
        <v>9263</v>
      </c>
      <c r="R1390" s="2" t="s">
        <v>40</v>
      </c>
      <c r="S1390" s="2" t="s">
        <v>9271</v>
      </c>
      <c r="T1390" s="2" t="s">
        <v>9272</v>
      </c>
      <c r="U1390" s="2" t="s">
        <v>9272</v>
      </c>
      <c r="V1390" s="2" t="s">
        <v>9273</v>
      </c>
      <c r="W1390" s="1"/>
      <c r="X1390" s="2" t="s">
        <v>5958</v>
      </c>
      <c r="Y1390" s="2" t="s">
        <v>9166</v>
      </c>
      <c r="AA1390" t="str">
        <f t="shared" si="126"/>
        <v>2026-01</v>
      </c>
      <c r="AB1390" t="str">
        <f t="shared" si="127"/>
        <v>H1_2026</v>
      </c>
      <c r="AC1390">
        <f t="shared" si="128"/>
        <v>6698.3</v>
      </c>
      <c r="AD1390">
        <f t="shared" si="129"/>
        <v>1</v>
      </c>
      <c r="AE1390">
        <f t="shared" si="130"/>
        <v>2243.3000000000002</v>
      </c>
      <c r="AF1390" t="str">
        <f t="shared" si="131"/>
        <v>Paid</v>
      </c>
    </row>
    <row r="1391" spans="1:32" ht="17.25" thickBot="1" x14ac:dyDescent="0.35">
      <c r="A1391" s="2" t="s">
        <v>9274</v>
      </c>
      <c r="B1391" s="2" t="s">
        <v>27</v>
      </c>
      <c r="C1391" s="2" t="s">
        <v>28</v>
      </c>
      <c r="D1391" s="2" t="s">
        <v>97</v>
      </c>
      <c r="E1391" s="2" t="s">
        <v>9159</v>
      </c>
      <c r="F1391" s="2" t="s">
        <v>8445</v>
      </c>
      <c r="G1391" s="2" t="s">
        <v>32</v>
      </c>
      <c r="H1391" s="1"/>
      <c r="I1391" s="2" t="s">
        <v>33</v>
      </c>
      <c r="J1391" s="2" t="s">
        <v>34</v>
      </c>
      <c r="K1391" s="2" t="s">
        <v>8511</v>
      </c>
      <c r="L1391" s="2" t="s">
        <v>8512</v>
      </c>
      <c r="M1391" s="2" t="s">
        <v>7717</v>
      </c>
      <c r="N1391" s="2" t="s">
        <v>38</v>
      </c>
      <c r="O1391" s="2" t="s">
        <v>416</v>
      </c>
      <c r="P1391" s="2" t="s">
        <v>6336</v>
      </c>
      <c r="Q1391" s="2" t="s">
        <v>9275</v>
      </c>
      <c r="R1391" s="2" t="s">
        <v>40</v>
      </c>
      <c r="S1391" s="2" t="s">
        <v>9276</v>
      </c>
      <c r="T1391" s="2" t="s">
        <v>2747</v>
      </c>
      <c r="U1391" s="2" t="s">
        <v>9277</v>
      </c>
      <c r="V1391" s="2" t="s">
        <v>9278</v>
      </c>
      <c r="W1391" s="1"/>
      <c r="X1391" s="2" t="s">
        <v>9279</v>
      </c>
      <c r="Y1391" s="2" t="s">
        <v>9166</v>
      </c>
      <c r="AA1391" t="str">
        <f t="shared" si="126"/>
        <v>2026-01</v>
      </c>
      <c r="AB1391" t="str">
        <f t="shared" si="127"/>
        <v>H1_2026</v>
      </c>
      <c r="AC1391">
        <f t="shared" si="128"/>
        <v>426540.49</v>
      </c>
      <c r="AD1391">
        <f t="shared" si="129"/>
        <v>49</v>
      </c>
      <c r="AE1391">
        <f t="shared" si="130"/>
        <v>208267.77</v>
      </c>
      <c r="AF1391" t="str">
        <f t="shared" si="131"/>
        <v>Paid</v>
      </c>
    </row>
    <row r="1392" spans="1:32" ht="17.25" thickBot="1" x14ac:dyDescent="0.35">
      <c r="A1392" s="2" t="s">
        <v>9280</v>
      </c>
      <c r="B1392" s="2" t="s">
        <v>27</v>
      </c>
      <c r="C1392" s="2" t="s">
        <v>28</v>
      </c>
      <c r="D1392" s="2" t="s">
        <v>97</v>
      </c>
      <c r="E1392" s="2" t="s">
        <v>9159</v>
      </c>
      <c r="F1392" s="2" t="s">
        <v>8445</v>
      </c>
      <c r="G1392" s="2" t="s">
        <v>32</v>
      </c>
      <c r="H1392" s="1"/>
      <c r="I1392" s="2" t="s">
        <v>33</v>
      </c>
      <c r="J1392" s="2" t="s">
        <v>34</v>
      </c>
      <c r="K1392" s="2" t="s">
        <v>8521</v>
      </c>
      <c r="L1392" s="2" t="s">
        <v>8522</v>
      </c>
      <c r="M1392" s="2" t="s">
        <v>7717</v>
      </c>
      <c r="N1392" s="2" t="s">
        <v>38</v>
      </c>
      <c r="O1392" s="2" t="s">
        <v>1519</v>
      </c>
      <c r="P1392" s="2" t="s">
        <v>9263</v>
      </c>
      <c r="Q1392" s="2" t="s">
        <v>9281</v>
      </c>
      <c r="R1392" s="2" t="s">
        <v>40</v>
      </c>
      <c r="S1392" s="2" t="s">
        <v>9282</v>
      </c>
      <c r="T1392" s="2" t="s">
        <v>2747</v>
      </c>
      <c r="U1392" s="2" t="s">
        <v>9283</v>
      </c>
      <c r="V1392" s="2" t="s">
        <v>9284</v>
      </c>
      <c r="W1392" s="1"/>
      <c r="X1392" s="2" t="s">
        <v>5958</v>
      </c>
      <c r="Y1392" s="2" t="s">
        <v>9166</v>
      </c>
      <c r="AA1392" t="str">
        <f t="shared" si="126"/>
        <v>2026-01</v>
      </c>
      <c r="AB1392" t="str">
        <f t="shared" si="127"/>
        <v>H1_2026</v>
      </c>
      <c r="AC1392">
        <f t="shared" si="128"/>
        <v>2411389.44</v>
      </c>
      <c r="AD1392">
        <f t="shared" si="129"/>
        <v>360</v>
      </c>
      <c r="AE1392">
        <f t="shared" si="130"/>
        <v>807753.1</v>
      </c>
      <c r="AF1392" t="str">
        <f t="shared" si="131"/>
        <v>Paid</v>
      </c>
    </row>
    <row r="1393" spans="1:32" ht="17.25" thickBot="1" x14ac:dyDescent="0.35">
      <c r="A1393" s="2" t="s">
        <v>9285</v>
      </c>
      <c r="B1393" s="2" t="s">
        <v>27</v>
      </c>
      <c r="C1393" s="2" t="s">
        <v>28</v>
      </c>
      <c r="D1393" s="2" t="s">
        <v>97</v>
      </c>
      <c r="E1393" s="2" t="s">
        <v>9159</v>
      </c>
      <c r="F1393" s="2" t="s">
        <v>8445</v>
      </c>
      <c r="G1393" s="2" t="s">
        <v>32</v>
      </c>
      <c r="H1393" s="1"/>
      <c r="I1393" s="2" t="s">
        <v>33</v>
      </c>
      <c r="J1393" s="2" t="s">
        <v>34</v>
      </c>
      <c r="K1393" s="2" t="s">
        <v>7724</v>
      </c>
      <c r="L1393" s="2" t="s">
        <v>7725</v>
      </c>
      <c r="M1393" s="2" t="s">
        <v>7717</v>
      </c>
      <c r="N1393" s="2" t="s">
        <v>38</v>
      </c>
      <c r="O1393" s="2" t="s">
        <v>890</v>
      </c>
      <c r="P1393" s="2" t="s">
        <v>9286</v>
      </c>
      <c r="Q1393" s="2" t="s">
        <v>9287</v>
      </c>
      <c r="R1393" s="2" t="s">
        <v>40</v>
      </c>
      <c r="S1393" s="2" t="s">
        <v>9288</v>
      </c>
      <c r="T1393" s="2" t="s">
        <v>7729</v>
      </c>
      <c r="U1393" s="2" t="s">
        <v>9289</v>
      </c>
      <c r="V1393" s="2" t="s">
        <v>9290</v>
      </c>
      <c r="W1393" s="1"/>
      <c r="X1393" s="2" t="s">
        <v>7732</v>
      </c>
      <c r="Y1393" s="2" t="s">
        <v>9166</v>
      </c>
      <c r="AA1393" t="str">
        <f t="shared" si="126"/>
        <v>2026-01</v>
      </c>
      <c r="AB1393" t="str">
        <f t="shared" si="127"/>
        <v>H1_2026</v>
      </c>
      <c r="AC1393">
        <f t="shared" si="128"/>
        <v>219138.48</v>
      </c>
      <c r="AD1393">
        <f t="shared" si="129"/>
        <v>330</v>
      </c>
      <c r="AE1393">
        <f t="shared" si="130"/>
        <v>63138.5</v>
      </c>
      <c r="AF1393" t="str">
        <f t="shared" si="131"/>
        <v>Paid</v>
      </c>
    </row>
    <row r="1394" spans="1:32" ht="17.25" thickBot="1" x14ac:dyDescent="0.35">
      <c r="A1394" s="2" t="s">
        <v>9291</v>
      </c>
      <c r="B1394" s="2" t="s">
        <v>27</v>
      </c>
      <c r="C1394" s="2" t="s">
        <v>28</v>
      </c>
      <c r="D1394" s="2" t="s">
        <v>97</v>
      </c>
      <c r="E1394" s="2" t="s">
        <v>9159</v>
      </c>
      <c r="F1394" s="2" t="s">
        <v>8445</v>
      </c>
      <c r="G1394" s="2" t="s">
        <v>32</v>
      </c>
      <c r="H1394" s="1"/>
      <c r="I1394" s="2" t="s">
        <v>33</v>
      </c>
      <c r="J1394" s="2" t="s">
        <v>34</v>
      </c>
      <c r="K1394" s="2" t="s">
        <v>8534</v>
      </c>
      <c r="L1394" s="2" t="s">
        <v>8535</v>
      </c>
      <c r="M1394" s="2" t="s">
        <v>7717</v>
      </c>
      <c r="N1394" s="2" t="s">
        <v>38</v>
      </c>
      <c r="O1394" s="2" t="s">
        <v>131</v>
      </c>
      <c r="P1394" s="2" t="s">
        <v>6516</v>
      </c>
      <c r="Q1394" s="2" t="s">
        <v>9292</v>
      </c>
      <c r="R1394" s="2" t="s">
        <v>40</v>
      </c>
      <c r="S1394" s="2" t="s">
        <v>9293</v>
      </c>
      <c r="T1394" s="2" t="s">
        <v>107</v>
      </c>
      <c r="U1394" s="2" t="s">
        <v>5704</v>
      </c>
      <c r="V1394" s="2" t="s">
        <v>9294</v>
      </c>
      <c r="W1394" s="1"/>
      <c r="X1394" s="2" t="s">
        <v>7547</v>
      </c>
      <c r="Y1394" s="2" t="s">
        <v>9166</v>
      </c>
      <c r="AA1394" t="str">
        <f t="shared" si="126"/>
        <v>2026-01</v>
      </c>
      <c r="AB1394" t="str">
        <f t="shared" si="127"/>
        <v>H1_2026</v>
      </c>
      <c r="AC1394">
        <f t="shared" si="128"/>
        <v>319324.32</v>
      </c>
      <c r="AD1394">
        <f t="shared" si="129"/>
        <v>40</v>
      </c>
      <c r="AE1394">
        <f t="shared" si="130"/>
        <v>95324.32</v>
      </c>
      <c r="AF1394" t="str">
        <f t="shared" si="131"/>
        <v>Paid</v>
      </c>
    </row>
    <row r="1395" spans="1:32" ht="17.25" thickBot="1" x14ac:dyDescent="0.35">
      <c r="A1395" s="2" t="s">
        <v>9295</v>
      </c>
      <c r="B1395" s="2" t="s">
        <v>27</v>
      </c>
      <c r="C1395" s="2" t="s">
        <v>28</v>
      </c>
      <c r="D1395" s="2" t="s">
        <v>97</v>
      </c>
      <c r="E1395" s="2" t="s">
        <v>9159</v>
      </c>
      <c r="F1395" s="2" t="s">
        <v>8445</v>
      </c>
      <c r="G1395" s="2" t="s">
        <v>32</v>
      </c>
      <c r="H1395" s="1"/>
      <c r="I1395" s="2" t="s">
        <v>33</v>
      </c>
      <c r="J1395" s="2" t="s">
        <v>34</v>
      </c>
      <c r="K1395" s="2" t="s">
        <v>8542</v>
      </c>
      <c r="L1395" s="2" t="s">
        <v>8543</v>
      </c>
      <c r="M1395" s="2" t="s">
        <v>7717</v>
      </c>
      <c r="N1395" s="2" t="s">
        <v>38</v>
      </c>
      <c r="O1395" s="2" t="s">
        <v>466</v>
      </c>
      <c r="P1395" s="2" t="s">
        <v>9286</v>
      </c>
      <c r="Q1395" s="2" t="s">
        <v>9296</v>
      </c>
      <c r="R1395" s="2" t="s">
        <v>40</v>
      </c>
      <c r="S1395" s="2" t="s">
        <v>9297</v>
      </c>
      <c r="T1395" s="2" t="s">
        <v>8546</v>
      </c>
      <c r="U1395" s="2" t="s">
        <v>9298</v>
      </c>
      <c r="V1395" s="2" t="s">
        <v>9299</v>
      </c>
      <c r="W1395" s="1"/>
      <c r="X1395" s="2" t="s">
        <v>9300</v>
      </c>
      <c r="Y1395" s="2" t="s">
        <v>9166</v>
      </c>
      <c r="AA1395" t="str">
        <f t="shared" si="126"/>
        <v>2026-01</v>
      </c>
      <c r="AB1395" t="str">
        <f t="shared" si="127"/>
        <v>H1_2026</v>
      </c>
      <c r="AC1395">
        <f t="shared" si="128"/>
        <v>46483.92</v>
      </c>
      <c r="AD1395">
        <f t="shared" si="129"/>
        <v>70</v>
      </c>
      <c r="AE1395">
        <f t="shared" si="130"/>
        <v>18483.919999999998</v>
      </c>
      <c r="AF1395" t="str">
        <f t="shared" si="131"/>
        <v>Paid</v>
      </c>
    </row>
    <row r="1396" spans="1:32" ht="17.25" thickBot="1" x14ac:dyDescent="0.35">
      <c r="A1396" s="2" t="s">
        <v>9301</v>
      </c>
      <c r="B1396" s="2" t="s">
        <v>27</v>
      </c>
      <c r="C1396" s="2" t="s">
        <v>28</v>
      </c>
      <c r="D1396" s="2" t="s">
        <v>97</v>
      </c>
      <c r="E1396" s="2" t="s">
        <v>9159</v>
      </c>
      <c r="F1396" s="2" t="s">
        <v>8445</v>
      </c>
      <c r="G1396" s="2" t="s">
        <v>32</v>
      </c>
      <c r="H1396" s="1"/>
      <c r="I1396" s="2" t="s">
        <v>33</v>
      </c>
      <c r="J1396" s="2" t="s">
        <v>34</v>
      </c>
      <c r="K1396" s="2" t="s">
        <v>8550</v>
      </c>
      <c r="L1396" s="2" t="s">
        <v>8551</v>
      </c>
      <c r="M1396" s="2" t="s">
        <v>7717</v>
      </c>
      <c r="N1396" s="2" t="s">
        <v>38</v>
      </c>
      <c r="O1396" s="2" t="s">
        <v>391</v>
      </c>
      <c r="P1396" s="2" t="s">
        <v>9302</v>
      </c>
      <c r="Q1396" s="2" t="s">
        <v>9303</v>
      </c>
      <c r="R1396" s="2" t="s">
        <v>40</v>
      </c>
      <c r="S1396" s="2" t="s">
        <v>9304</v>
      </c>
      <c r="T1396" s="2" t="s">
        <v>8554</v>
      </c>
      <c r="U1396" s="2" t="s">
        <v>9305</v>
      </c>
      <c r="V1396" s="2" t="s">
        <v>9306</v>
      </c>
      <c r="W1396" s="1"/>
      <c r="X1396" s="2" t="s">
        <v>8557</v>
      </c>
      <c r="Y1396" s="2" t="s">
        <v>9166</v>
      </c>
      <c r="AA1396" t="str">
        <f t="shared" si="126"/>
        <v>2026-01</v>
      </c>
      <c r="AB1396" t="str">
        <f t="shared" si="127"/>
        <v>H1_2026</v>
      </c>
      <c r="AC1396">
        <f t="shared" si="128"/>
        <v>442607.76</v>
      </c>
      <c r="AD1396">
        <f t="shared" si="129"/>
        <v>60</v>
      </c>
      <c r="AE1396">
        <f t="shared" si="130"/>
        <v>188698.67</v>
      </c>
      <c r="AF1396" t="str">
        <f t="shared" si="131"/>
        <v>Paid</v>
      </c>
    </row>
    <row r="1397" spans="1:32" ht="27.75" thickBot="1" x14ac:dyDescent="0.35">
      <c r="A1397" s="2" t="s">
        <v>9307</v>
      </c>
      <c r="B1397" s="2" t="s">
        <v>27</v>
      </c>
      <c r="C1397" s="2" t="s">
        <v>28</v>
      </c>
      <c r="D1397" s="2" t="s">
        <v>97</v>
      </c>
      <c r="E1397" s="2" t="s">
        <v>9159</v>
      </c>
      <c r="F1397" s="2" t="s">
        <v>8445</v>
      </c>
      <c r="G1397" s="2" t="s">
        <v>32</v>
      </c>
      <c r="H1397" s="1"/>
      <c r="I1397" s="2" t="s">
        <v>33</v>
      </c>
      <c r="J1397" s="2" t="s">
        <v>34</v>
      </c>
      <c r="K1397" s="2" t="s">
        <v>8559</v>
      </c>
      <c r="L1397" s="2" t="s">
        <v>8560</v>
      </c>
      <c r="M1397" s="2" t="s">
        <v>7717</v>
      </c>
      <c r="N1397" s="2" t="s">
        <v>38</v>
      </c>
      <c r="O1397" s="2" t="s">
        <v>156</v>
      </c>
      <c r="P1397" s="2" t="s">
        <v>4210</v>
      </c>
      <c r="Q1397" s="2" t="s">
        <v>9308</v>
      </c>
      <c r="R1397" s="2" t="s">
        <v>40</v>
      </c>
      <c r="S1397" s="2" t="s">
        <v>9309</v>
      </c>
      <c r="T1397" s="2" t="s">
        <v>8564</v>
      </c>
      <c r="U1397" s="2" t="s">
        <v>8565</v>
      </c>
      <c r="V1397" s="2" t="s">
        <v>9310</v>
      </c>
      <c r="W1397" s="1"/>
      <c r="X1397" s="2" t="s">
        <v>9250</v>
      </c>
      <c r="Y1397" s="2" t="s">
        <v>9166</v>
      </c>
      <c r="AA1397" t="str">
        <f t="shared" si="126"/>
        <v>2026-01</v>
      </c>
      <c r="AB1397" t="str">
        <f t="shared" si="127"/>
        <v>H1_2026</v>
      </c>
      <c r="AC1397">
        <f t="shared" si="128"/>
        <v>291318.48</v>
      </c>
      <c r="AD1397">
        <f t="shared" si="129"/>
        <v>20</v>
      </c>
      <c r="AE1397">
        <f t="shared" si="130"/>
        <v>52045.75</v>
      </c>
      <c r="AF1397" t="str">
        <f t="shared" si="131"/>
        <v>Paid</v>
      </c>
    </row>
    <row r="1398" spans="1:32" ht="17.25" thickBot="1" x14ac:dyDescent="0.35">
      <c r="A1398" s="2" t="s">
        <v>9311</v>
      </c>
      <c r="B1398" s="2" t="s">
        <v>27</v>
      </c>
      <c r="C1398" s="2" t="s">
        <v>28</v>
      </c>
      <c r="D1398" s="2" t="s">
        <v>97</v>
      </c>
      <c r="E1398" s="2" t="s">
        <v>9159</v>
      </c>
      <c r="F1398" s="2" t="s">
        <v>8445</v>
      </c>
      <c r="G1398" s="2" t="s">
        <v>32</v>
      </c>
      <c r="H1398" s="1"/>
      <c r="I1398" s="2" t="s">
        <v>33</v>
      </c>
      <c r="J1398" s="2" t="s">
        <v>34</v>
      </c>
      <c r="K1398" s="2" t="s">
        <v>2268</v>
      </c>
      <c r="L1398" s="2" t="s">
        <v>2269</v>
      </c>
      <c r="M1398" s="2" t="s">
        <v>2270</v>
      </c>
      <c r="N1398" s="2" t="s">
        <v>38</v>
      </c>
      <c r="O1398" s="2" t="s">
        <v>131</v>
      </c>
      <c r="P1398" s="2" t="s">
        <v>9312</v>
      </c>
      <c r="Q1398" s="2" t="s">
        <v>9313</v>
      </c>
      <c r="R1398" s="2" t="s">
        <v>40</v>
      </c>
      <c r="S1398" s="2" t="s">
        <v>9314</v>
      </c>
      <c r="T1398" s="2" t="s">
        <v>2275</v>
      </c>
      <c r="U1398" s="2" t="s">
        <v>3331</v>
      </c>
      <c r="V1398" s="2" t="s">
        <v>9315</v>
      </c>
      <c r="W1398" s="1"/>
      <c r="X1398" s="2" t="s">
        <v>2198</v>
      </c>
      <c r="Y1398" s="2" t="s">
        <v>9166</v>
      </c>
      <c r="AA1398" t="str">
        <f t="shared" si="126"/>
        <v>2026-01</v>
      </c>
      <c r="AB1398" t="str">
        <f t="shared" si="127"/>
        <v>H1_2026</v>
      </c>
      <c r="AC1398">
        <f t="shared" si="128"/>
        <v>222314.4</v>
      </c>
      <c r="AD1398">
        <f t="shared" si="129"/>
        <v>40</v>
      </c>
      <c r="AE1398">
        <f t="shared" si="130"/>
        <v>42314.400000000001</v>
      </c>
      <c r="AF1398" t="str">
        <f t="shared" si="131"/>
        <v>Paid</v>
      </c>
    </row>
    <row r="1399" spans="1:32" ht="27.75" thickBot="1" x14ac:dyDescent="0.35">
      <c r="A1399" s="2" t="s">
        <v>9316</v>
      </c>
      <c r="B1399" s="2" t="s">
        <v>27</v>
      </c>
      <c r="C1399" s="2" t="s">
        <v>28</v>
      </c>
      <c r="D1399" s="2" t="s">
        <v>97</v>
      </c>
      <c r="E1399" s="2" t="s">
        <v>9159</v>
      </c>
      <c r="F1399" s="2" t="s">
        <v>8445</v>
      </c>
      <c r="G1399" s="2" t="s">
        <v>32</v>
      </c>
      <c r="H1399" s="1"/>
      <c r="I1399" s="2" t="s">
        <v>33</v>
      </c>
      <c r="J1399" s="2" t="s">
        <v>34</v>
      </c>
      <c r="K1399" s="2" t="s">
        <v>2288</v>
      </c>
      <c r="L1399" s="2" t="s">
        <v>2289</v>
      </c>
      <c r="M1399" s="2" t="s">
        <v>2270</v>
      </c>
      <c r="N1399" s="2" t="s">
        <v>38</v>
      </c>
      <c r="O1399" s="2" t="s">
        <v>1333</v>
      </c>
      <c r="P1399" s="2" t="s">
        <v>9312</v>
      </c>
      <c r="Q1399" s="2" t="s">
        <v>9317</v>
      </c>
      <c r="R1399" s="2" t="s">
        <v>40</v>
      </c>
      <c r="S1399" s="2" t="s">
        <v>9318</v>
      </c>
      <c r="T1399" s="2" t="s">
        <v>2275</v>
      </c>
      <c r="U1399" s="2" t="s">
        <v>9319</v>
      </c>
      <c r="V1399" s="2" t="s">
        <v>9320</v>
      </c>
      <c r="W1399" s="1"/>
      <c r="X1399" s="2" t="s">
        <v>2198</v>
      </c>
      <c r="Y1399" s="2" t="s">
        <v>9166</v>
      </c>
      <c r="AA1399" t="str">
        <f t="shared" si="126"/>
        <v>2026-01</v>
      </c>
      <c r="AB1399" t="str">
        <f t="shared" si="127"/>
        <v>H1_2026</v>
      </c>
      <c r="AC1399">
        <f t="shared" si="128"/>
        <v>833679</v>
      </c>
      <c r="AD1399">
        <f t="shared" si="129"/>
        <v>150</v>
      </c>
      <c r="AE1399">
        <f t="shared" si="130"/>
        <v>158679</v>
      </c>
      <c r="AF1399" t="str">
        <f t="shared" si="131"/>
        <v>Paid</v>
      </c>
    </row>
    <row r="1400" spans="1:32" ht="27.75" thickBot="1" x14ac:dyDescent="0.35">
      <c r="A1400" s="2" t="s">
        <v>9321</v>
      </c>
      <c r="B1400" s="2" t="s">
        <v>27</v>
      </c>
      <c r="C1400" s="2" t="s">
        <v>28</v>
      </c>
      <c r="D1400" s="2" t="s">
        <v>97</v>
      </c>
      <c r="E1400" s="2" t="s">
        <v>9159</v>
      </c>
      <c r="F1400" s="2" t="s">
        <v>8445</v>
      </c>
      <c r="G1400" s="2" t="s">
        <v>32</v>
      </c>
      <c r="H1400" s="1"/>
      <c r="I1400" s="2" t="s">
        <v>33</v>
      </c>
      <c r="J1400" s="2" t="s">
        <v>34</v>
      </c>
      <c r="K1400" s="2" t="s">
        <v>8573</v>
      </c>
      <c r="L1400" s="2" t="s">
        <v>8574</v>
      </c>
      <c r="M1400" s="2" t="s">
        <v>2270</v>
      </c>
      <c r="N1400" s="2" t="s">
        <v>38</v>
      </c>
      <c r="O1400" s="2" t="s">
        <v>849</v>
      </c>
      <c r="P1400" s="2" t="s">
        <v>4964</v>
      </c>
      <c r="Q1400" s="2" t="s">
        <v>9322</v>
      </c>
      <c r="R1400" s="2" t="s">
        <v>40</v>
      </c>
      <c r="S1400" s="2" t="s">
        <v>9323</v>
      </c>
      <c r="T1400" s="2" t="s">
        <v>3163</v>
      </c>
      <c r="U1400" s="2" t="s">
        <v>3286</v>
      </c>
      <c r="V1400" s="2" t="s">
        <v>9324</v>
      </c>
      <c r="W1400" s="1"/>
      <c r="X1400" s="2" t="s">
        <v>2104</v>
      </c>
      <c r="Y1400" s="2" t="s">
        <v>9166</v>
      </c>
      <c r="AA1400" t="str">
        <f t="shared" si="126"/>
        <v>2026-01</v>
      </c>
      <c r="AB1400" t="str">
        <f t="shared" si="127"/>
        <v>H1_2026</v>
      </c>
      <c r="AC1400">
        <f t="shared" si="128"/>
        <v>1000126.08</v>
      </c>
      <c r="AD1400">
        <f t="shared" si="129"/>
        <v>160</v>
      </c>
      <c r="AE1400">
        <f t="shared" si="130"/>
        <v>200126.07999999999</v>
      </c>
      <c r="AF1400" t="str">
        <f t="shared" si="131"/>
        <v>Paid</v>
      </c>
    </row>
    <row r="1401" spans="1:32" ht="17.25" thickBot="1" x14ac:dyDescent="0.35">
      <c r="A1401" s="2" t="s">
        <v>9325</v>
      </c>
      <c r="B1401" s="2" t="s">
        <v>27</v>
      </c>
      <c r="C1401" s="2" t="s">
        <v>28</v>
      </c>
      <c r="D1401" s="2" t="s">
        <v>97</v>
      </c>
      <c r="E1401" s="2" t="s">
        <v>9159</v>
      </c>
      <c r="F1401" s="2" t="s">
        <v>8445</v>
      </c>
      <c r="G1401" s="2" t="s">
        <v>32</v>
      </c>
      <c r="H1401" s="1"/>
      <c r="I1401" s="2" t="s">
        <v>33</v>
      </c>
      <c r="J1401" s="2" t="s">
        <v>34</v>
      </c>
      <c r="K1401" s="2" t="s">
        <v>2293</v>
      </c>
      <c r="L1401" s="2" t="s">
        <v>2294</v>
      </c>
      <c r="M1401" s="2" t="s">
        <v>2270</v>
      </c>
      <c r="N1401" s="2" t="s">
        <v>38</v>
      </c>
      <c r="O1401" s="2" t="s">
        <v>221</v>
      </c>
      <c r="P1401" s="2" t="s">
        <v>9312</v>
      </c>
      <c r="Q1401" s="2" t="s">
        <v>9326</v>
      </c>
      <c r="R1401" s="2" t="s">
        <v>40</v>
      </c>
      <c r="S1401" s="2" t="s">
        <v>9327</v>
      </c>
      <c r="T1401" s="2" t="s">
        <v>2275</v>
      </c>
      <c r="U1401" s="2" t="s">
        <v>6717</v>
      </c>
      <c r="V1401" s="2" t="s">
        <v>9328</v>
      </c>
      <c r="W1401" s="1"/>
      <c r="X1401" s="2" t="s">
        <v>2198</v>
      </c>
      <c r="Y1401" s="2" t="s">
        <v>9166</v>
      </c>
      <c r="AA1401" t="str">
        <f t="shared" si="126"/>
        <v>2026-01</v>
      </c>
      <c r="AB1401" t="str">
        <f t="shared" si="127"/>
        <v>H1_2026</v>
      </c>
      <c r="AC1401">
        <f t="shared" si="128"/>
        <v>778100.4</v>
      </c>
      <c r="AD1401">
        <f t="shared" si="129"/>
        <v>140</v>
      </c>
      <c r="AE1401">
        <f t="shared" si="130"/>
        <v>148100.4</v>
      </c>
      <c r="AF1401" t="str">
        <f t="shared" si="131"/>
        <v>Paid</v>
      </c>
    </row>
    <row r="1402" spans="1:32" ht="17.25" thickBot="1" x14ac:dyDescent="0.35">
      <c r="A1402" s="2" t="s">
        <v>9329</v>
      </c>
      <c r="B1402" s="2" t="s">
        <v>27</v>
      </c>
      <c r="C1402" s="2" t="s">
        <v>28</v>
      </c>
      <c r="D1402" s="2" t="s">
        <v>97</v>
      </c>
      <c r="E1402" s="2" t="s">
        <v>9159</v>
      </c>
      <c r="F1402" s="2" t="s">
        <v>8445</v>
      </c>
      <c r="G1402" s="2" t="s">
        <v>32</v>
      </c>
      <c r="H1402" s="1"/>
      <c r="I1402" s="2" t="s">
        <v>33</v>
      </c>
      <c r="J1402" s="2" t="s">
        <v>34</v>
      </c>
      <c r="K1402" s="2" t="s">
        <v>2300</v>
      </c>
      <c r="L1402" s="2" t="s">
        <v>2301</v>
      </c>
      <c r="M1402" s="2" t="s">
        <v>2270</v>
      </c>
      <c r="N1402" s="2" t="s">
        <v>38</v>
      </c>
      <c r="O1402" s="2" t="s">
        <v>1836</v>
      </c>
      <c r="P1402" s="2" t="s">
        <v>9312</v>
      </c>
      <c r="Q1402" s="2" t="s">
        <v>9330</v>
      </c>
      <c r="R1402" s="2" t="s">
        <v>40</v>
      </c>
      <c r="S1402" s="2" t="s">
        <v>9331</v>
      </c>
      <c r="T1402" s="2" t="s">
        <v>2275</v>
      </c>
      <c r="U1402" s="2" t="s">
        <v>9332</v>
      </c>
      <c r="V1402" s="2" t="s">
        <v>9333</v>
      </c>
      <c r="W1402" s="1"/>
      <c r="X1402" s="2" t="s">
        <v>2198</v>
      </c>
      <c r="Y1402" s="2" t="s">
        <v>9166</v>
      </c>
      <c r="AA1402" t="str">
        <f t="shared" si="126"/>
        <v>2026-01</v>
      </c>
      <c r="AB1402" t="str">
        <f t="shared" si="127"/>
        <v>H1_2026</v>
      </c>
      <c r="AC1402">
        <f t="shared" si="128"/>
        <v>1222729.2</v>
      </c>
      <c r="AD1402">
        <f t="shared" si="129"/>
        <v>220</v>
      </c>
      <c r="AE1402">
        <f t="shared" si="130"/>
        <v>232729.2</v>
      </c>
      <c r="AF1402" t="str">
        <f t="shared" si="131"/>
        <v>Paid</v>
      </c>
    </row>
    <row r="1403" spans="1:32" ht="27.75" thickBot="1" x14ac:dyDescent="0.35">
      <c r="A1403" s="2" t="s">
        <v>9334</v>
      </c>
      <c r="B1403" s="2" t="s">
        <v>27</v>
      </c>
      <c r="C1403" s="2" t="s">
        <v>28</v>
      </c>
      <c r="D1403" s="2" t="s">
        <v>97</v>
      </c>
      <c r="E1403" s="2" t="s">
        <v>9159</v>
      </c>
      <c r="F1403" s="2" t="s">
        <v>8445</v>
      </c>
      <c r="G1403" s="2" t="s">
        <v>32</v>
      </c>
      <c r="H1403" s="1"/>
      <c r="I1403" s="2" t="s">
        <v>33</v>
      </c>
      <c r="J1403" s="2" t="s">
        <v>34</v>
      </c>
      <c r="K1403" s="2" t="s">
        <v>2342</v>
      </c>
      <c r="L1403" s="2" t="s">
        <v>2343</v>
      </c>
      <c r="M1403" s="2" t="s">
        <v>2270</v>
      </c>
      <c r="N1403" s="2" t="s">
        <v>38</v>
      </c>
      <c r="O1403" s="2" t="s">
        <v>877</v>
      </c>
      <c r="P1403" s="2" t="s">
        <v>9312</v>
      </c>
      <c r="Q1403" s="2" t="s">
        <v>9335</v>
      </c>
      <c r="R1403" s="2" t="s">
        <v>40</v>
      </c>
      <c r="S1403" s="2" t="s">
        <v>9336</v>
      </c>
      <c r="T1403" s="2" t="s">
        <v>2275</v>
      </c>
      <c r="U1403" s="2" t="s">
        <v>145</v>
      </c>
      <c r="V1403" s="2" t="s">
        <v>9337</v>
      </c>
      <c r="W1403" s="1"/>
      <c r="X1403" s="2" t="s">
        <v>2198</v>
      </c>
      <c r="Y1403" s="2" t="s">
        <v>9166</v>
      </c>
      <c r="AA1403" t="str">
        <f t="shared" si="126"/>
        <v>2026-01</v>
      </c>
      <c r="AB1403" t="str">
        <f t="shared" si="127"/>
        <v>H1_2026</v>
      </c>
      <c r="AC1403">
        <f t="shared" si="128"/>
        <v>555786</v>
      </c>
      <c r="AD1403">
        <f t="shared" si="129"/>
        <v>100</v>
      </c>
      <c r="AE1403">
        <f t="shared" si="130"/>
        <v>105786</v>
      </c>
      <c r="AF1403" t="str">
        <f t="shared" si="131"/>
        <v>Paid</v>
      </c>
    </row>
    <row r="1404" spans="1:32" ht="17.25" thickBot="1" x14ac:dyDescent="0.35">
      <c r="A1404" s="2" t="s">
        <v>9338</v>
      </c>
      <c r="B1404" s="2" t="s">
        <v>27</v>
      </c>
      <c r="C1404" s="2" t="s">
        <v>28</v>
      </c>
      <c r="D1404" s="2" t="s">
        <v>97</v>
      </c>
      <c r="E1404" s="2" t="s">
        <v>9159</v>
      </c>
      <c r="F1404" s="2" t="s">
        <v>8445</v>
      </c>
      <c r="G1404" s="2" t="s">
        <v>32</v>
      </c>
      <c r="H1404" s="1"/>
      <c r="I1404" s="2" t="s">
        <v>33</v>
      </c>
      <c r="J1404" s="2" t="s">
        <v>34</v>
      </c>
      <c r="K1404" s="2" t="s">
        <v>9339</v>
      </c>
      <c r="L1404" s="2" t="s">
        <v>9340</v>
      </c>
      <c r="M1404" s="2" t="s">
        <v>7717</v>
      </c>
      <c r="N1404" s="2" t="s">
        <v>38</v>
      </c>
      <c r="O1404" s="2" t="s">
        <v>156</v>
      </c>
      <c r="P1404" s="2" t="s">
        <v>9341</v>
      </c>
      <c r="Q1404" s="2" t="s">
        <v>4928</v>
      </c>
      <c r="R1404" s="2" t="s">
        <v>40</v>
      </c>
      <c r="S1404" s="2" t="s">
        <v>9342</v>
      </c>
      <c r="T1404" s="2" t="s">
        <v>8546</v>
      </c>
      <c r="U1404" s="2" t="s">
        <v>297</v>
      </c>
      <c r="V1404" s="2" t="s">
        <v>9343</v>
      </c>
      <c r="W1404" s="1"/>
      <c r="X1404" s="2" t="s">
        <v>709</v>
      </c>
      <c r="Y1404" s="2" t="s">
        <v>9166</v>
      </c>
      <c r="AA1404" t="str">
        <f t="shared" si="126"/>
        <v>2026-01</v>
      </c>
      <c r="AB1404" t="str">
        <f t="shared" si="127"/>
        <v>H1_2026</v>
      </c>
      <c r="AC1404">
        <f t="shared" si="128"/>
        <v>9527.76</v>
      </c>
      <c r="AD1404">
        <f t="shared" si="129"/>
        <v>20</v>
      </c>
      <c r="AE1404">
        <f t="shared" si="130"/>
        <v>1527.76</v>
      </c>
      <c r="AF1404" t="str">
        <f t="shared" si="131"/>
        <v>Paid</v>
      </c>
    </row>
    <row r="1405" spans="1:32" ht="17.25" thickBot="1" x14ac:dyDescent="0.35">
      <c r="A1405" s="2" t="s">
        <v>9344</v>
      </c>
      <c r="B1405" s="2" t="s">
        <v>27</v>
      </c>
      <c r="C1405" s="2" t="s">
        <v>28</v>
      </c>
      <c r="D1405" s="2" t="s">
        <v>97</v>
      </c>
      <c r="E1405" s="2" t="s">
        <v>9159</v>
      </c>
      <c r="F1405" s="2" t="s">
        <v>8445</v>
      </c>
      <c r="G1405" s="2" t="s">
        <v>32</v>
      </c>
      <c r="H1405" s="1"/>
      <c r="I1405" s="2" t="s">
        <v>33</v>
      </c>
      <c r="J1405" s="2" t="s">
        <v>34</v>
      </c>
      <c r="K1405" s="2" t="s">
        <v>9345</v>
      </c>
      <c r="L1405" s="2" t="s">
        <v>9346</v>
      </c>
      <c r="M1405" s="2" t="s">
        <v>7717</v>
      </c>
      <c r="N1405" s="2" t="s">
        <v>38</v>
      </c>
      <c r="O1405" s="2" t="s">
        <v>214</v>
      </c>
      <c r="P1405" s="2" t="s">
        <v>9341</v>
      </c>
      <c r="Q1405" s="2" t="s">
        <v>9347</v>
      </c>
      <c r="R1405" s="2" t="s">
        <v>40</v>
      </c>
      <c r="S1405" s="2" t="s">
        <v>9348</v>
      </c>
      <c r="T1405" s="2" t="s">
        <v>8546</v>
      </c>
      <c r="U1405" s="2" t="s">
        <v>1280</v>
      </c>
      <c r="V1405" s="2" t="s">
        <v>9349</v>
      </c>
      <c r="W1405" s="1"/>
      <c r="X1405" s="2" t="s">
        <v>709</v>
      </c>
      <c r="Y1405" s="2" t="s">
        <v>9166</v>
      </c>
      <c r="AA1405" t="str">
        <f t="shared" si="126"/>
        <v>2026-01</v>
      </c>
      <c r="AB1405" t="str">
        <f t="shared" si="127"/>
        <v>H1_2026</v>
      </c>
      <c r="AC1405">
        <f t="shared" si="128"/>
        <v>23819.4</v>
      </c>
      <c r="AD1405">
        <f t="shared" si="129"/>
        <v>50</v>
      </c>
      <c r="AE1405">
        <f t="shared" si="130"/>
        <v>3819.4</v>
      </c>
      <c r="AF1405" t="str">
        <f t="shared" si="131"/>
        <v>Paid</v>
      </c>
    </row>
    <row r="1406" spans="1:32" ht="17.25" thickBot="1" x14ac:dyDescent="0.35">
      <c r="A1406" s="2" t="s">
        <v>9350</v>
      </c>
      <c r="B1406" s="2" t="s">
        <v>27</v>
      </c>
      <c r="C1406" s="2" t="s">
        <v>28</v>
      </c>
      <c r="D1406" s="2" t="s">
        <v>97</v>
      </c>
      <c r="E1406" s="2" t="s">
        <v>9159</v>
      </c>
      <c r="F1406" s="2" t="s">
        <v>8445</v>
      </c>
      <c r="G1406" s="2" t="s">
        <v>32</v>
      </c>
      <c r="H1406" s="1"/>
      <c r="I1406" s="2" t="s">
        <v>33</v>
      </c>
      <c r="J1406" s="2" t="s">
        <v>34</v>
      </c>
      <c r="K1406" s="2" t="s">
        <v>3366</v>
      </c>
      <c r="L1406" s="2" t="s">
        <v>3367</v>
      </c>
      <c r="M1406" s="2" t="s">
        <v>2372</v>
      </c>
      <c r="N1406" s="2" t="s">
        <v>38</v>
      </c>
      <c r="O1406" s="2" t="s">
        <v>818</v>
      </c>
      <c r="P1406" s="2" t="s">
        <v>1838</v>
      </c>
      <c r="Q1406" s="2" t="s">
        <v>9351</v>
      </c>
      <c r="R1406" s="2" t="s">
        <v>40</v>
      </c>
      <c r="S1406" s="2" t="s">
        <v>9352</v>
      </c>
      <c r="T1406" s="2" t="s">
        <v>9353</v>
      </c>
      <c r="U1406" s="2" t="s">
        <v>9354</v>
      </c>
      <c r="V1406" s="2" t="s">
        <v>9355</v>
      </c>
      <c r="W1406" s="1"/>
      <c r="X1406" s="2" t="s">
        <v>965</v>
      </c>
      <c r="Y1406" s="2" t="s">
        <v>9166</v>
      </c>
      <c r="AA1406" t="str">
        <f t="shared" si="126"/>
        <v>2026-01</v>
      </c>
      <c r="AB1406" t="str">
        <f t="shared" si="127"/>
        <v>H1_2026</v>
      </c>
      <c r="AC1406">
        <f t="shared" si="128"/>
        <v>1323059.3999999999</v>
      </c>
      <c r="AD1406">
        <f t="shared" si="129"/>
        <v>94</v>
      </c>
      <c r="AE1406">
        <f t="shared" si="130"/>
        <v>338620.03</v>
      </c>
      <c r="AF1406" t="str">
        <f t="shared" si="131"/>
        <v>Paid</v>
      </c>
    </row>
    <row r="1407" spans="1:32" ht="17.25" thickBot="1" x14ac:dyDescent="0.35">
      <c r="A1407" s="2" t="s">
        <v>9356</v>
      </c>
      <c r="B1407" s="2" t="s">
        <v>27</v>
      </c>
      <c r="C1407" s="2" t="s">
        <v>28</v>
      </c>
      <c r="D1407" s="2" t="s">
        <v>97</v>
      </c>
      <c r="E1407" s="2" t="s">
        <v>9159</v>
      </c>
      <c r="F1407" s="2" t="s">
        <v>8445</v>
      </c>
      <c r="G1407" s="2" t="s">
        <v>32</v>
      </c>
      <c r="H1407" s="1"/>
      <c r="I1407" s="2" t="s">
        <v>33</v>
      </c>
      <c r="J1407" s="2" t="s">
        <v>34</v>
      </c>
      <c r="K1407" s="2" t="s">
        <v>6980</v>
      </c>
      <c r="L1407" s="2" t="s">
        <v>6981</v>
      </c>
      <c r="M1407" s="2" t="s">
        <v>2372</v>
      </c>
      <c r="N1407" s="2" t="s">
        <v>38</v>
      </c>
      <c r="O1407" s="2" t="s">
        <v>51</v>
      </c>
      <c r="P1407" s="2" t="s">
        <v>6415</v>
      </c>
      <c r="Q1407" s="2" t="s">
        <v>9357</v>
      </c>
      <c r="R1407" s="2" t="s">
        <v>40</v>
      </c>
      <c r="S1407" s="2" t="s">
        <v>9358</v>
      </c>
      <c r="T1407" s="2" t="s">
        <v>2376</v>
      </c>
      <c r="U1407" s="2" t="s">
        <v>9359</v>
      </c>
      <c r="V1407" s="2" t="s">
        <v>9360</v>
      </c>
      <c r="W1407" s="1"/>
      <c r="X1407" s="2" t="s">
        <v>1357</v>
      </c>
      <c r="Y1407" s="2" t="s">
        <v>9166</v>
      </c>
      <c r="AA1407" t="str">
        <f t="shared" si="126"/>
        <v>2026-01</v>
      </c>
      <c r="AB1407" t="str">
        <f t="shared" si="127"/>
        <v>H1_2026</v>
      </c>
      <c r="AC1407">
        <f t="shared" si="128"/>
        <v>31701.46</v>
      </c>
      <c r="AD1407">
        <f t="shared" si="129"/>
        <v>3</v>
      </c>
      <c r="AE1407">
        <f t="shared" si="130"/>
        <v>8137.82</v>
      </c>
      <c r="AF1407" t="str">
        <f t="shared" si="131"/>
        <v>Paid</v>
      </c>
    </row>
    <row r="1408" spans="1:32" ht="17.25" thickBot="1" x14ac:dyDescent="0.35">
      <c r="A1408" s="2" t="s">
        <v>9361</v>
      </c>
      <c r="B1408" s="2" t="s">
        <v>27</v>
      </c>
      <c r="C1408" s="2" t="s">
        <v>28</v>
      </c>
      <c r="D1408" s="2" t="s">
        <v>97</v>
      </c>
      <c r="E1408" s="2" t="s">
        <v>9159</v>
      </c>
      <c r="F1408" s="2" t="s">
        <v>8445</v>
      </c>
      <c r="G1408" s="2" t="s">
        <v>32</v>
      </c>
      <c r="H1408" s="1"/>
      <c r="I1408" s="2" t="s">
        <v>33</v>
      </c>
      <c r="J1408" s="2" t="s">
        <v>34</v>
      </c>
      <c r="K1408" s="2" t="s">
        <v>8588</v>
      </c>
      <c r="L1408" s="2" t="s">
        <v>8589</v>
      </c>
      <c r="M1408" s="2" t="s">
        <v>2372</v>
      </c>
      <c r="N1408" s="2" t="s">
        <v>38</v>
      </c>
      <c r="O1408" s="2" t="s">
        <v>131</v>
      </c>
      <c r="P1408" s="2" t="s">
        <v>1838</v>
      </c>
      <c r="Q1408" s="2" t="s">
        <v>2302</v>
      </c>
      <c r="R1408" s="2" t="s">
        <v>40</v>
      </c>
      <c r="S1408" s="2" t="s">
        <v>9362</v>
      </c>
      <c r="T1408" s="2" t="s">
        <v>3371</v>
      </c>
      <c r="U1408" s="2" t="s">
        <v>9363</v>
      </c>
      <c r="V1408" s="2" t="s">
        <v>9364</v>
      </c>
      <c r="W1408" s="1"/>
      <c r="X1408" s="2" t="s">
        <v>965</v>
      </c>
      <c r="Y1408" s="2" t="s">
        <v>9166</v>
      </c>
      <c r="AA1408" t="str">
        <f t="shared" si="126"/>
        <v>2026-01</v>
      </c>
      <c r="AB1408" t="str">
        <f t="shared" si="127"/>
        <v>H1_2026</v>
      </c>
      <c r="AC1408">
        <f t="shared" si="128"/>
        <v>563004</v>
      </c>
      <c r="AD1408">
        <f t="shared" si="129"/>
        <v>40</v>
      </c>
      <c r="AE1408">
        <f t="shared" si="130"/>
        <v>144094.91</v>
      </c>
      <c r="AF1408" t="str">
        <f t="shared" si="131"/>
        <v>Paid</v>
      </c>
    </row>
    <row r="1409" spans="1:32" ht="17.25" thickBot="1" x14ac:dyDescent="0.35">
      <c r="A1409" s="2" t="s">
        <v>9365</v>
      </c>
      <c r="B1409" s="2" t="s">
        <v>27</v>
      </c>
      <c r="C1409" s="2" t="s">
        <v>28</v>
      </c>
      <c r="D1409" s="2" t="s">
        <v>97</v>
      </c>
      <c r="E1409" s="2" t="s">
        <v>9159</v>
      </c>
      <c r="F1409" s="2" t="s">
        <v>8445</v>
      </c>
      <c r="G1409" s="2" t="s">
        <v>32</v>
      </c>
      <c r="H1409" s="1"/>
      <c r="I1409" s="2" t="s">
        <v>33</v>
      </c>
      <c r="J1409" s="2" t="s">
        <v>34</v>
      </c>
      <c r="K1409" s="2" t="s">
        <v>2380</v>
      </c>
      <c r="L1409" s="2" t="s">
        <v>2381</v>
      </c>
      <c r="M1409" s="2" t="s">
        <v>2372</v>
      </c>
      <c r="N1409" s="2" t="s">
        <v>38</v>
      </c>
      <c r="O1409" s="2" t="s">
        <v>214</v>
      </c>
      <c r="P1409" s="2" t="s">
        <v>9366</v>
      </c>
      <c r="Q1409" s="2" t="s">
        <v>9367</v>
      </c>
      <c r="R1409" s="2" t="s">
        <v>40</v>
      </c>
      <c r="S1409" s="2" t="s">
        <v>9368</v>
      </c>
      <c r="T1409" s="2" t="s">
        <v>2383</v>
      </c>
      <c r="U1409" s="2" t="s">
        <v>2384</v>
      </c>
      <c r="V1409" s="2" t="s">
        <v>9369</v>
      </c>
      <c r="W1409" s="1"/>
      <c r="X1409" s="2" t="s">
        <v>965</v>
      </c>
      <c r="Y1409" s="2" t="s">
        <v>9166</v>
      </c>
      <c r="AA1409" t="str">
        <f t="shared" si="126"/>
        <v>2026-01</v>
      </c>
      <c r="AB1409" t="str">
        <f t="shared" si="127"/>
        <v>H1_2026</v>
      </c>
      <c r="AC1409">
        <f t="shared" si="128"/>
        <v>329862.59999999998</v>
      </c>
      <c r="AD1409">
        <f t="shared" si="129"/>
        <v>50</v>
      </c>
      <c r="AE1409">
        <f t="shared" si="130"/>
        <v>84408.05</v>
      </c>
      <c r="AF1409" t="str">
        <f t="shared" si="131"/>
        <v>Paid</v>
      </c>
    </row>
    <row r="1410" spans="1:32" ht="17.25" thickBot="1" x14ac:dyDescent="0.35">
      <c r="A1410" s="2" t="s">
        <v>9370</v>
      </c>
      <c r="B1410" s="2" t="s">
        <v>27</v>
      </c>
      <c r="C1410" s="2" t="s">
        <v>28</v>
      </c>
      <c r="D1410" s="2" t="s">
        <v>97</v>
      </c>
      <c r="E1410" s="2" t="s">
        <v>9159</v>
      </c>
      <c r="F1410" s="2" t="s">
        <v>8445</v>
      </c>
      <c r="G1410" s="2" t="s">
        <v>32</v>
      </c>
      <c r="H1410" s="1"/>
      <c r="I1410" s="2" t="s">
        <v>33</v>
      </c>
      <c r="J1410" s="2" t="s">
        <v>34</v>
      </c>
      <c r="K1410" s="2" t="s">
        <v>2396</v>
      </c>
      <c r="L1410" s="2" t="s">
        <v>2397</v>
      </c>
      <c r="M1410" s="2" t="s">
        <v>2389</v>
      </c>
      <c r="N1410" s="2" t="s">
        <v>38</v>
      </c>
      <c r="O1410" s="2" t="s">
        <v>214</v>
      </c>
      <c r="P1410" s="2" t="s">
        <v>3199</v>
      </c>
      <c r="Q1410" s="2" t="s">
        <v>3820</v>
      </c>
      <c r="R1410" s="2" t="s">
        <v>40</v>
      </c>
      <c r="S1410" s="2" t="s">
        <v>9371</v>
      </c>
      <c r="T1410" s="2" t="s">
        <v>2401</v>
      </c>
      <c r="U1410" s="2" t="s">
        <v>9372</v>
      </c>
      <c r="V1410" s="2" t="s">
        <v>9373</v>
      </c>
      <c r="W1410" s="1"/>
      <c r="X1410" s="2" t="s">
        <v>965</v>
      </c>
      <c r="Y1410" s="2" t="s">
        <v>9166</v>
      </c>
      <c r="AA1410" t="str">
        <f t="shared" si="126"/>
        <v>2026-01</v>
      </c>
      <c r="AB1410" t="str">
        <f t="shared" si="127"/>
        <v>H1_2026</v>
      </c>
      <c r="AC1410">
        <f t="shared" si="128"/>
        <v>464117.4</v>
      </c>
      <c r="AD1410">
        <f t="shared" si="129"/>
        <v>50</v>
      </c>
      <c r="AE1410">
        <f t="shared" si="130"/>
        <v>118617.4</v>
      </c>
      <c r="AF1410" t="str">
        <f t="shared" si="131"/>
        <v>Paid</v>
      </c>
    </row>
    <row r="1411" spans="1:32" ht="17.25" thickBot="1" x14ac:dyDescent="0.35">
      <c r="A1411" s="2" t="s">
        <v>9374</v>
      </c>
      <c r="B1411" s="2" t="s">
        <v>27</v>
      </c>
      <c r="C1411" s="2" t="s">
        <v>28</v>
      </c>
      <c r="D1411" s="2" t="s">
        <v>97</v>
      </c>
      <c r="E1411" s="2" t="s">
        <v>9159</v>
      </c>
      <c r="F1411" s="2" t="s">
        <v>8445</v>
      </c>
      <c r="G1411" s="2" t="s">
        <v>32</v>
      </c>
      <c r="H1411" s="1"/>
      <c r="I1411" s="2" t="s">
        <v>33</v>
      </c>
      <c r="J1411" s="2" t="s">
        <v>34</v>
      </c>
      <c r="K1411" s="2" t="s">
        <v>2405</v>
      </c>
      <c r="L1411" s="2" t="s">
        <v>2406</v>
      </c>
      <c r="M1411" s="2" t="s">
        <v>2389</v>
      </c>
      <c r="N1411" s="2" t="s">
        <v>38</v>
      </c>
      <c r="O1411" s="2" t="s">
        <v>867</v>
      </c>
      <c r="P1411" s="2" t="s">
        <v>9375</v>
      </c>
      <c r="Q1411" s="2" t="s">
        <v>5484</v>
      </c>
      <c r="R1411" s="2" t="s">
        <v>40</v>
      </c>
      <c r="S1411" s="2" t="s">
        <v>9376</v>
      </c>
      <c r="T1411" s="2" t="s">
        <v>2411</v>
      </c>
      <c r="U1411" s="2" t="s">
        <v>7746</v>
      </c>
      <c r="V1411" s="2" t="s">
        <v>9377</v>
      </c>
      <c r="W1411" s="1"/>
      <c r="X1411" s="2" t="s">
        <v>6790</v>
      </c>
      <c r="Y1411" s="2" t="s">
        <v>9166</v>
      </c>
      <c r="AA1411" t="str">
        <f t="shared" si="126"/>
        <v>2026-01</v>
      </c>
      <c r="AB1411" t="str">
        <f t="shared" si="127"/>
        <v>H1_2026</v>
      </c>
      <c r="AC1411">
        <f t="shared" si="128"/>
        <v>378728.46</v>
      </c>
      <c r="AD1411">
        <f t="shared" si="129"/>
        <v>99</v>
      </c>
      <c r="AE1411">
        <f t="shared" si="130"/>
        <v>81728.460000000006</v>
      </c>
      <c r="AF1411" t="str">
        <f t="shared" si="131"/>
        <v>Paid</v>
      </c>
    </row>
    <row r="1412" spans="1:32" ht="17.25" thickBot="1" x14ac:dyDescent="0.35">
      <c r="A1412" s="2" t="s">
        <v>9378</v>
      </c>
      <c r="B1412" s="2" t="s">
        <v>27</v>
      </c>
      <c r="C1412" s="2" t="s">
        <v>28</v>
      </c>
      <c r="D1412" s="2" t="s">
        <v>97</v>
      </c>
      <c r="E1412" s="2" t="s">
        <v>9159</v>
      </c>
      <c r="F1412" s="2" t="s">
        <v>8445</v>
      </c>
      <c r="G1412" s="2" t="s">
        <v>32</v>
      </c>
      <c r="H1412" s="1"/>
      <c r="I1412" s="2" t="s">
        <v>33</v>
      </c>
      <c r="J1412" s="2" t="s">
        <v>34</v>
      </c>
      <c r="K1412" s="2" t="s">
        <v>2415</v>
      </c>
      <c r="L1412" s="2" t="s">
        <v>2416</v>
      </c>
      <c r="M1412" s="2" t="s">
        <v>2389</v>
      </c>
      <c r="N1412" s="2" t="s">
        <v>38</v>
      </c>
      <c r="O1412" s="2" t="s">
        <v>131</v>
      </c>
      <c r="P1412" s="2" t="s">
        <v>6237</v>
      </c>
      <c r="Q1412" s="2" t="s">
        <v>9379</v>
      </c>
      <c r="R1412" s="2" t="s">
        <v>40</v>
      </c>
      <c r="S1412" s="2" t="s">
        <v>9380</v>
      </c>
      <c r="T1412" s="2" t="s">
        <v>40</v>
      </c>
      <c r="U1412" s="2" t="s">
        <v>40</v>
      </c>
      <c r="V1412" s="2" t="s">
        <v>9380</v>
      </c>
      <c r="W1412" s="1"/>
      <c r="X1412" s="2" t="s">
        <v>2155</v>
      </c>
      <c r="Y1412" s="2" t="s">
        <v>9166</v>
      </c>
      <c r="AA1412" t="str">
        <f t="shared" ref="AA1412:AA1475" si="132">LEFT(E1412,7)</f>
        <v>2026-01</v>
      </c>
      <c r="AB1412" t="str">
        <f t="shared" ref="AB1412:AB1475" si="133">IF(AND($AA1412&gt;="2025-01",$AA1412&lt;="2025-06"),"H1_2025",IF(AND($AA1412&gt;="2026-01",$AA1412&lt;="2026-06"),"H1_2026",""))</f>
        <v>H1_2026</v>
      </c>
      <c r="AC1412">
        <f t="shared" ref="AC1412:AC1475" si="134">IFERROR(VALUE(SUBSTITUTE(S1412,",","")),0)</f>
        <v>319901.76</v>
      </c>
      <c r="AD1412">
        <f t="shared" ref="AD1412:AD1475" si="135">IFERROR(VALUE(SUBSTITUTE(O1412,",","")),0)</f>
        <v>40</v>
      </c>
      <c r="AE1412">
        <f t="shared" ref="AE1412:AE1475" si="136">IFERROR(VALUE(SUBSTITUTE(V1412,",","")),0)</f>
        <v>319901.76</v>
      </c>
      <c r="AF1412" t="str">
        <f t="shared" ref="AF1412:AF1475" si="137">IF(ISNUMBER(SEARCH("FOC",W1412)),"FOC",IF(ISNUMBER(SEARCH("샘플",W1412)),"Sample","Paid"))</f>
        <v>Paid</v>
      </c>
    </row>
    <row r="1413" spans="1:32" ht="17.25" thickBot="1" x14ac:dyDescent="0.35">
      <c r="A1413" s="2" t="s">
        <v>9381</v>
      </c>
      <c r="B1413" s="2" t="s">
        <v>27</v>
      </c>
      <c r="C1413" s="2" t="s">
        <v>28</v>
      </c>
      <c r="D1413" s="2" t="s">
        <v>97</v>
      </c>
      <c r="E1413" s="2" t="s">
        <v>9159</v>
      </c>
      <c r="F1413" s="2" t="s">
        <v>8445</v>
      </c>
      <c r="G1413" s="2" t="s">
        <v>32</v>
      </c>
      <c r="H1413" s="1"/>
      <c r="I1413" s="2" t="s">
        <v>33</v>
      </c>
      <c r="J1413" s="2" t="s">
        <v>34</v>
      </c>
      <c r="K1413" s="2" t="s">
        <v>2421</v>
      </c>
      <c r="L1413" s="2" t="s">
        <v>2422</v>
      </c>
      <c r="M1413" s="2" t="s">
        <v>2389</v>
      </c>
      <c r="N1413" s="2" t="s">
        <v>38</v>
      </c>
      <c r="O1413" s="2" t="s">
        <v>466</v>
      </c>
      <c r="P1413" s="2" t="s">
        <v>8602</v>
      </c>
      <c r="Q1413" s="2" t="s">
        <v>9382</v>
      </c>
      <c r="R1413" s="2" t="s">
        <v>40</v>
      </c>
      <c r="S1413" s="2" t="s">
        <v>9383</v>
      </c>
      <c r="T1413" s="2" t="s">
        <v>2426</v>
      </c>
      <c r="U1413" s="2" t="s">
        <v>9384</v>
      </c>
      <c r="V1413" s="2" t="s">
        <v>9385</v>
      </c>
      <c r="W1413" s="1"/>
      <c r="X1413" s="2" t="s">
        <v>817</v>
      </c>
      <c r="Y1413" s="2" t="s">
        <v>9166</v>
      </c>
      <c r="AA1413" t="str">
        <f t="shared" si="132"/>
        <v>2026-01</v>
      </c>
      <c r="AB1413" t="str">
        <f t="shared" si="133"/>
        <v>H1_2026</v>
      </c>
      <c r="AC1413">
        <f t="shared" si="134"/>
        <v>296082.36</v>
      </c>
      <c r="AD1413">
        <f t="shared" si="135"/>
        <v>70</v>
      </c>
      <c r="AE1413">
        <f t="shared" si="136"/>
        <v>72718.73</v>
      </c>
      <c r="AF1413" t="str">
        <f t="shared" si="137"/>
        <v>Paid</v>
      </c>
    </row>
    <row r="1414" spans="1:32" ht="17.25" thickBot="1" x14ac:dyDescent="0.35">
      <c r="A1414" s="2" t="s">
        <v>9386</v>
      </c>
      <c r="B1414" s="2" t="s">
        <v>27</v>
      </c>
      <c r="C1414" s="2" t="s">
        <v>28</v>
      </c>
      <c r="D1414" s="2" t="s">
        <v>97</v>
      </c>
      <c r="E1414" s="2" t="s">
        <v>9159</v>
      </c>
      <c r="F1414" s="2" t="s">
        <v>8445</v>
      </c>
      <c r="G1414" s="2" t="s">
        <v>32</v>
      </c>
      <c r="H1414" s="1"/>
      <c r="I1414" s="2" t="s">
        <v>33</v>
      </c>
      <c r="J1414" s="2" t="s">
        <v>34</v>
      </c>
      <c r="K1414" s="2" t="s">
        <v>2431</v>
      </c>
      <c r="L1414" s="2" t="s">
        <v>2432</v>
      </c>
      <c r="M1414" s="2" t="s">
        <v>2389</v>
      </c>
      <c r="N1414" s="2" t="s">
        <v>38</v>
      </c>
      <c r="O1414" s="2" t="s">
        <v>131</v>
      </c>
      <c r="P1414" s="2" t="s">
        <v>2622</v>
      </c>
      <c r="Q1414" s="2" t="s">
        <v>9387</v>
      </c>
      <c r="R1414" s="2" t="s">
        <v>40</v>
      </c>
      <c r="S1414" s="2" t="s">
        <v>9388</v>
      </c>
      <c r="T1414" s="2" t="s">
        <v>2436</v>
      </c>
      <c r="U1414" s="2" t="s">
        <v>9389</v>
      </c>
      <c r="V1414" s="2" t="s">
        <v>9390</v>
      </c>
      <c r="W1414" s="1"/>
      <c r="X1414" s="2" t="s">
        <v>1052</v>
      </c>
      <c r="Y1414" s="2" t="s">
        <v>9166</v>
      </c>
      <c r="AA1414" t="str">
        <f t="shared" si="132"/>
        <v>2026-01</v>
      </c>
      <c r="AB1414" t="str">
        <f t="shared" si="133"/>
        <v>H1_2026</v>
      </c>
      <c r="AC1414">
        <f t="shared" si="134"/>
        <v>315282.24</v>
      </c>
      <c r="AD1414">
        <f t="shared" si="135"/>
        <v>40</v>
      </c>
      <c r="AE1414">
        <f t="shared" si="136"/>
        <v>79827.7</v>
      </c>
      <c r="AF1414" t="str">
        <f t="shared" si="137"/>
        <v>Paid</v>
      </c>
    </row>
    <row r="1415" spans="1:32" ht="27.75" thickBot="1" x14ac:dyDescent="0.35">
      <c r="A1415" s="2" t="s">
        <v>9391</v>
      </c>
      <c r="B1415" s="2" t="s">
        <v>27</v>
      </c>
      <c r="C1415" s="2" t="s">
        <v>28</v>
      </c>
      <c r="D1415" s="2" t="s">
        <v>97</v>
      </c>
      <c r="E1415" s="2" t="s">
        <v>9159</v>
      </c>
      <c r="F1415" s="2" t="s">
        <v>8445</v>
      </c>
      <c r="G1415" s="2" t="s">
        <v>32</v>
      </c>
      <c r="H1415" s="1"/>
      <c r="I1415" s="2" t="s">
        <v>33</v>
      </c>
      <c r="J1415" s="2" t="s">
        <v>34</v>
      </c>
      <c r="K1415" s="2" t="s">
        <v>2501</v>
      </c>
      <c r="L1415" s="2" t="s">
        <v>2502</v>
      </c>
      <c r="M1415" s="2" t="s">
        <v>2389</v>
      </c>
      <c r="N1415" s="2" t="s">
        <v>38</v>
      </c>
      <c r="O1415" s="2" t="s">
        <v>131</v>
      </c>
      <c r="P1415" s="2" t="s">
        <v>9392</v>
      </c>
      <c r="Q1415" s="2" t="s">
        <v>9393</v>
      </c>
      <c r="R1415" s="2" t="s">
        <v>40</v>
      </c>
      <c r="S1415" s="2" t="s">
        <v>9394</v>
      </c>
      <c r="T1415" s="2" t="s">
        <v>2505</v>
      </c>
      <c r="U1415" s="2" t="s">
        <v>2506</v>
      </c>
      <c r="V1415" s="2" t="s">
        <v>9395</v>
      </c>
      <c r="W1415" s="1"/>
      <c r="X1415" s="2" t="s">
        <v>817</v>
      </c>
      <c r="Y1415" s="2" t="s">
        <v>9166</v>
      </c>
      <c r="AA1415" t="str">
        <f t="shared" si="132"/>
        <v>2026-01</v>
      </c>
      <c r="AB1415" t="str">
        <f t="shared" si="133"/>
        <v>H1_2026</v>
      </c>
      <c r="AC1415">
        <f t="shared" si="134"/>
        <v>426150.72</v>
      </c>
      <c r="AD1415">
        <f t="shared" si="135"/>
        <v>40</v>
      </c>
      <c r="AE1415">
        <f t="shared" si="136"/>
        <v>104696.18</v>
      </c>
      <c r="AF1415" t="str">
        <f t="shared" si="137"/>
        <v>Paid</v>
      </c>
    </row>
    <row r="1416" spans="1:32" ht="17.25" thickBot="1" x14ac:dyDescent="0.35">
      <c r="A1416" s="2" t="s">
        <v>9396</v>
      </c>
      <c r="B1416" s="2" t="s">
        <v>27</v>
      </c>
      <c r="C1416" s="2" t="s">
        <v>28</v>
      </c>
      <c r="D1416" s="2" t="s">
        <v>97</v>
      </c>
      <c r="E1416" s="2" t="s">
        <v>9159</v>
      </c>
      <c r="F1416" s="2" t="s">
        <v>8445</v>
      </c>
      <c r="G1416" s="2" t="s">
        <v>32</v>
      </c>
      <c r="H1416" s="1"/>
      <c r="I1416" s="2" t="s">
        <v>33</v>
      </c>
      <c r="J1416" s="2" t="s">
        <v>34</v>
      </c>
      <c r="K1416" s="2" t="s">
        <v>7814</v>
      </c>
      <c r="L1416" s="2" t="s">
        <v>7815</v>
      </c>
      <c r="M1416" s="2" t="s">
        <v>2389</v>
      </c>
      <c r="N1416" s="2" t="s">
        <v>38</v>
      </c>
      <c r="O1416" s="2" t="s">
        <v>391</v>
      </c>
      <c r="P1416" s="2" t="s">
        <v>9392</v>
      </c>
      <c r="Q1416" s="2" t="s">
        <v>9397</v>
      </c>
      <c r="R1416" s="2" t="s">
        <v>40</v>
      </c>
      <c r="S1416" s="2" t="s">
        <v>9398</v>
      </c>
      <c r="T1416" s="2" t="s">
        <v>2505</v>
      </c>
      <c r="U1416" s="2" t="s">
        <v>9399</v>
      </c>
      <c r="V1416" s="2" t="s">
        <v>9400</v>
      </c>
      <c r="W1416" s="1"/>
      <c r="X1416" s="2" t="s">
        <v>817</v>
      </c>
      <c r="Y1416" s="2" t="s">
        <v>9166</v>
      </c>
      <c r="AA1416" t="str">
        <f t="shared" si="132"/>
        <v>2026-01</v>
      </c>
      <c r="AB1416" t="str">
        <f t="shared" si="133"/>
        <v>H1_2026</v>
      </c>
      <c r="AC1416">
        <f t="shared" si="134"/>
        <v>639226.07999999996</v>
      </c>
      <c r="AD1416">
        <f t="shared" si="135"/>
        <v>60</v>
      </c>
      <c r="AE1416">
        <f t="shared" si="136"/>
        <v>157044.26</v>
      </c>
      <c r="AF1416" t="str">
        <f t="shared" si="137"/>
        <v>Paid</v>
      </c>
    </row>
    <row r="1417" spans="1:32" ht="17.25" thickBot="1" x14ac:dyDescent="0.35">
      <c r="A1417" s="2" t="s">
        <v>9401</v>
      </c>
      <c r="B1417" s="2" t="s">
        <v>27</v>
      </c>
      <c r="C1417" s="2" t="s">
        <v>28</v>
      </c>
      <c r="D1417" s="2" t="s">
        <v>97</v>
      </c>
      <c r="E1417" s="2" t="s">
        <v>9159</v>
      </c>
      <c r="F1417" s="2" t="s">
        <v>8445</v>
      </c>
      <c r="G1417" s="2" t="s">
        <v>32</v>
      </c>
      <c r="H1417" s="1"/>
      <c r="I1417" s="2" t="s">
        <v>33</v>
      </c>
      <c r="J1417" s="2" t="s">
        <v>34</v>
      </c>
      <c r="K1417" s="2" t="s">
        <v>2509</v>
      </c>
      <c r="L1417" s="2" t="s">
        <v>2510</v>
      </c>
      <c r="M1417" s="2" t="s">
        <v>2389</v>
      </c>
      <c r="N1417" s="2" t="s">
        <v>38</v>
      </c>
      <c r="O1417" s="2" t="s">
        <v>391</v>
      </c>
      <c r="P1417" s="2" t="s">
        <v>1057</v>
      </c>
      <c r="Q1417" s="2" t="s">
        <v>9402</v>
      </c>
      <c r="R1417" s="2" t="s">
        <v>40</v>
      </c>
      <c r="S1417" s="2" t="s">
        <v>9403</v>
      </c>
      <c r="T1417" s="2" t="s">
        <v>2513</v>
      </c>
      <c r="U1417" s="2" t="s">
        <v>9404</v>
      </c>
      <c r="V1417" s="2" t="s">
        <v>9405</v>
      </c>
      <c r="W1417" s="1"/>
      <c r="X1417" s="2" t="s">
        <v>1437</v>
      </c>
      <c r="Y1417" s="2" t="s">
        <v>9166</v>
      </c>
      <c r="AA1417" t="str">
        <f t="shared" si="132"/>
        <v>2026-01</v>
      </c>
      <c r="AB1417" t="str">
        <f t="shared" si="133"/>
        <v>H1_2026</v>
      </c>
      <c r="AC1417">
        <f t="shared" si="134"/>
        <v>590721.12</v>
      </c>
      <c r="AD1417">
        <f t="shared" si="135"/>
        <v>60</v>
      </c>
      <c r="AE1417">
        <f t="shared" si="136"/>
        <v>145630.21</v>
      </c>
      <c r="AF1417" t="str">
        <f t="shared" si="137"/>
        <v>Paid</v>
      </c>
    </row>
    <row r="1418" spans="1:32" ht="17.25" thickBot="1" x14ac:dyDescent="0.35">
      <c r="A1418" s="2" t="s">
        <v>9406</v>
      </c>
      <c r="B1418" s="2" t="s">
        <v>27</v>
      </c>
      <c r="C1418" s="2" t="s">
        <v>28</v>
      </c>
      <c r="D1418" s="2" t="s">
        <v>97</v>
      </c>
      <c r="E1418" s="2" t="s">
        <v>9159</v>
      </c>
      <c r="F1418" s="2" t="s">
        <v>8445</v>
      </c>
      <c r="G1418" s="2" t="s">
        <v>32</v>
      </c>
      <c r="H1418" s="1"/>
      <c r="I1418" s="2" t="s">
        <v>33</v>
      </c>
      <c r="J1418" s="2" t="s">
        <v>34</v>
      </c>
      <c r="K1418" s="2" t="s">
        <v>2526</v>
      </c>
      <c r="L1418" s="2" t="s">
        <v>2527</v>
      </c>
      <c r="M1418" s="2" t="s">
        <v>2389</v>
      </c>
      <c r="N1418" s="2" t="s">
        <v>38</v>
      </c>
      <c r="O1418" s="2" t="s">
        <v>779</v>
      </c>
      <c r="P1418" s="2" t="s">
        <v>2720</v>
      </c>
      <c r="Q1418" s="2" t="s">
        <v>9407</v>
      </c>
      <c r="R1418" s="2" t="s">
        <v>40</v>
      </c>
      <c r="S1418" s="2" t="s">
        <v>9408</v>
      </c>
      <c r="T1418" s="2" t="s">
        <v>2531</v>
      </c>
      <c r="U1418" s="2" t="s">
        <v>9409</v>
      </c>
      <c r="V1418" s="2" t="s">
        <v>9410</v>
      </c>
      <c r="W1418" s="1"/>
      <c r="X1418" s="2" t="s">
        <v>965</v>
      </c>
      <c r="Y1418" s="2" t="s">
        <v>9166</v>
      </c>
      <c r="AA1418" t="str">
        <f t="shared" si="132"/>
        <v>2026-01</v>
      </c>
      <c r="AB1418" t="str">
        <f t="shared" si="133"/>
        <v>H1_2026</v>
      </c>
      <c r="AC1418">
        <f t="shared" si="134"/>
        <v>910767.24</v>
      </c>
      <c r="AD1418">
        <f t="shared" si="135"/>
        <v>90</v>
      </c>
      <c r="AE1418">
        <f t="shared" si="136"/>
        <v>233312.7</v>
      </c>
      <c r="AF1418" t="str">
        <f t="shared" si="137"/>
        <v>Paid</v>
      </c>
    </row>
    <row r="1419" spans="1:32" ht="17.25" thickBot="1" x14ac:dyDescent="0.35">
      <c r="A1419" s="2" t="s">
        <v>9411</v>
      </c>
      <c r="B1419" s="2" t="s">
        <v>27</v>
      </c>
      <c r="C1419" s="2" t="s">
        <v>28</v>
      </c>
      <c r="D1419" s="2" t="s">
        <v>97</v>
      </c>
      <c r="E1419" s="2" t="s">
        <v>9159</v>
      </c>
      <c r="F1419" s="2" t="s">
        <v>8445</v>
      </c>
      <c r="G1419" s="2" t="s">
        <v>32</v>
      </c>
      <c r="H1419" s="1"/>
      <c r="I1419" s="2" t="s">
        <v>33</v>
      </c>
      <c r="J1419" s="2" t="s">
        <v>34</v>
      </c>
      <c r="K1419" s="2" t="s">
        <v>2553</v>
      </c>
      <c r="L1419" s="2" t="s">
        <v>2554</v>
      </c>
      <c r="M1419" s="2" t="s">
        <v>2389</v>
      </c>
      <c r="N1419" s="2" t="s">
        <v>38</v>
      </c>
      <c r="O1419" s="2" t="s">
        <v>141</v>
      </c>
      <c r="P1419" s="2" t="s">
        <v>8714</v>
      </c>
      <c r="Q1419" s="2" t="s">
        <v>9412</v>
      </c>
      <c r="R1419" s="2" t="s">
        <v>40</v>
      </c>
      <c r="S1419" s="2" t="s">
        <v>9413</v>
      </c>
      <c r="T1419" s="2" t="s">
        <v>2558</v>
      </c>
      <c r="U1419" s="2" t="s">
        <v>8593</v>
      </c>
      <c r="V1419" s="2" t="s">
        <v>9414</v>
      </c>
      <c r="W1419" s="1"/>
      <c r="X1419" s="2" t="s">
        <v>1764</v>
      </c>
      <c r="Y1419" s="2" t="s">
        <v>9166</v>
      </c>
      <c r="AA1419" t="str">
        <f t="shared" si="132"/>
        <v>2026-01</v>
      </c>
      <c r="AB1419" t="str">
        <f t="shared" si="133"/>
        <v>H1_2026</v>
      </c>
      <c r="AC1419">
        <f t="shared" si="134"/>
        <v>280635.84000000003</v>
      </c>
      <c r="AD1419">
        <f t="shared" si="135"/>
        <v>30</v>
      </c>
      <c r="AE1419">
        <f t="shared" si="136"/>
        <v>71181.3</v>
      </c>
      <c r="AF1419" t="str">
        <f t="shared" si="137"/>
        <v>Paid</v>
      </c>
    </row>
    <row r="1420" spans="1:32" ht="17.25" thickBot="1" x14ac:dyDescent="0.35">
      <c r="A1420" s="2" t="s">
        <v>9415</v>
      </c>
      <c r="B1420" s="2" t="s">
        <v>27</v>
      </c>
      <c r="C1420" s="2" t="s">
        <v>28</v>
      </c>
      <c r="D1420" s="2" t="s">
        <v>97</v>
      </c>
      <c r="E1420" s="2" t="s">
        <v>9159</v>
      </c>
      <c r="F1420" s="2" t="s">
        <v>8445</v>
      </c>
      <c r="G1420" s="2" t="s">
        <v>32</v>
      </c>
      <c r="H1420" s="1"/>
      <c r="I1420" s="2" t="s">
        <v>33</v>
      </c>
      <c r="J1420" s="2" t="s">
        <v>34</v>
      </c>
      <c r="K1420" s="2" t="s">
        <v>9416</v>
      </c>
      <c r="L1420" s="2" t="s">
        <v>9417</v>
      </c>
      <c r="M1420" s="2" t="s">
        <v>2389</v>
      </c>
      <c r="N1420" s="2" t="s">
        <v>38</v>
      </c>
      <c r="O1420" s="2" t="s">
        <v>141</v>
      </c>
      <c r="P1420" s="2" t="s">
        <v>3300</v>
      </c>
      <c r="Q1420" s="2" t="s">
        <v>2858</v>
      </c>
      <c r="R1420" s="2" t="s">
        <v>40</v>
      </c>
      <c r="S1420" s="2" t="s">
        <v>9418</v>
      </c>
      <c r="T1420" s="2" t="s">
        <v>3079</v>
      </c>
      <c r="U1420" s="2" t="s">
        <v>7135</v>
      </c>
      <c r="V1420" s="2" t="s">
        <v>9419</v>
      </c>
      <c r="W1420" s="1"/>
      <c r="X1420" s="2" t="s">
        <v>965</v>
      </c>
      <c r="Y1420" s="2" t="s">
        <v>9166</v>
      </c>
      <c r="AA1420" t="str">
        <f t="shared" si="132"/>
        <v>2026-01</v>
      </c>
      <c r="AB1420" t="str">
        <f t="shared" si="133"/>
        <v>H1_2026</v>
      </c>
      <c r="AC1420">
        <f t="shared" si="134"/>
        <v>233863.2</v>
      </c>
      <c r="AD1420">
        <f t="shared" si="135"/>
        <v>30</v>
      </c>
      <c r="AE1420">
        <f t="shared" si="136"/>
        <v>59863.199999999997</v>
      </c>
      <c r="AF1420" t="str">
        <f t="shared" si="137"/>
        <v>Paid</v>
      </c>
    </row>
    <row r="1421" spans="1:32" ht="17.25" thickBot="1" x14ac:dyDescent="0.35">
      <c r="A1421" s="2" t="s">
        <v>9420</v>
      </c>
      <c r="B1421" s="2" t="s">
        <v>27</v>
      </c>
      <c r="C1421" s="2" t="s">
        <v>28</v>
      </c>
      <c r="D1421" s="2" t="s">
        <v>97</v>
      </c>
      <c r="E1421" s="2" t="s">
        <v>9159</v>
      </c>
      <c r="F1421" s="2" t="s">
        <v>8445</v>
      </c>
      <c r="G1421" s="2" t="s">
        <v>32</v>
      </c>
      <c r="H1421" s="1"/>
      <c r="I1421" s="2" t="s">
        <v>33</v>
      </c>
      <c r="J1421" s="2" t="s">
        <v>34</v>
      </c>
      <c r="K1421" s="2" t="s">
        <v>9421</v>
      </c>
      <c r="L1421" s="2" t="s">
        <v>9422</v>
      </c>
      <c r="M1421" s="2" t="s">
        <v>8664</v>
      </c>
      <c r="N1421" s="2" t="s">
        <v>38</v>
      </c>
      <c r="O1421" s="2" t="s">
        <v>156</v>
      </c>
      <c r="P1421" s="2" t="s">
        <v>2744</v>
      </c>
      <c r="Q1421" s="2" t="s">
        <v>9423</v>
      </c>
      <c r="R1421" s="2" t="s">
        <v>40</v>
      </c>
      <c r="S1421" s="2" t="s">
        <v>9424</v>
      </c>
      <c r="T1421" s="2" t="s">
        <v>9425</v>
      </c>
      <c r="U1421" s="2" t="s">
        <v>9426</v>
      </c>
      <c r="V1421" s="2" t="s">
        <v>9427</v>
      </c>
      <c r="W1421" s="1"/>
      <c r="X1421" s="2" t="s">
        <v>312</v>
      </c>
      <c r="Y1421" s="2" t="s">
        <v>9166</v>
      </c>
      <c r="AA1421" t="str">
        <f t="shared" si="132"/>
        <v>2026-01</v>
      </c>
      <c r="AB1421" t="str">
        <f t="shared" si="133"/>
        <v>H1_2026</v>
      </c>
      <c r="AC1421">
        <f t="shared" si="134"/>
        <v>120107.52</v>
      </c>
      <c r="AD1421">
        <f t="shared" si="135"/>
        <v>20</v>
      </c>
      <c r="AE1421">
        <f t="shared" si="136"/>
        <v>14507.52</v>
      </c>
      <c r="AF1421" t="str">
        <f t="shared" si="137"/>
        <v>Paid</v>
      </c>
    </row>
    <row r="1422" spans="1:32" ht="27.75" thickBot="1" x14ac:dyDescent="0.35">
      <c r="A1422" s="2" t="s">
        <v>9428</v>
      </c>
      <c r="B1422" s="2" t="s">
        <v>27</v>
      </c>
      <c r="C1422" s="2" t="s">
        <v>28</v>
      </c>
      <c r="D1422" s="2" t="s">
        <v>97</v>
      </c>
      <c r="E1422" s="2" t="s">
        <v>9159</v>
      </c>
      <c r="F1422" s="2" t="s">
        <v>8445</v>
      </c>
      <c r="G1422" s="2" t="s">
        <v>32</v>
      </c>
      <c r="H1422" s="1"/>
      <c r="I1422" s="2" t="s">
        <v>33</v>
      </c>
      <c r="J1422" s="2" t="s">
        <v>34</v>
      </c>
      <c r="K1422" s="2" t="s">
        <v>8662</v>
      </c>
      <c r="L1422" s="2" t="s">
        <v>8663</v>
      </c>
      <c r="M1422" s="2" t="s">
        <v>8664</v>
      </c>
      <c r="N1422" s="2" t="s">
        <v>38</v>
      </c>
      <c r="O1422" s="2" t="s">
        <v>1150</v>
      </c>
      <c r="P1422" s="2" t="s">
        <v>2744</v>
      </c>
      <c r="Q1422" s="2" t="s">
        <v>9429</v>
      </c>
      <c r="R1422" s="2" t="s">
        <v>40</v>
      </c>
      <c r="S1422" s="2" t="s">
        <v>9430</v>
      </c>
      <c r="T1422" s="2" t="s">
        <v>8667</v>
      </c>
      <c r="U1422" s="2" t="s">
        <v>9431</v>
      </c>
      <c r="V1422" s="2" t="s">
        <v>9432</v>
      </c>
      <c r="W1422" s="1"/>
      <c r="X1422" s="2" t="s">
        <v>1427</v>
      </c>
      <c r="Y1422" s="2" t="s">
        <v>9166</v>
      </c>
      <c r="AA1422" t="str">
        <f t="shared" si="132"/>
        <v>2026-01</v>
      </c>
      <c r="AB1422" t="str">
        <f t="shared" si="133"/>
        <v>H1_2026</v>
      </c>
      <c r="AC1422">
        <f t="shared" si="134"/>
        <v>780698.88</v>
      </c>
      <c r="AD1422">
        <f t="shared" si="135"/>
        <v>130</v>
      </c>
      <c r="AE1422">
        <f t="shared" si="136"/>
        <v>189789.8</v>
      </c>
      <c r="AF1422" t="str">
        <f t="shared" si="137"/>
        <v>Paid</v>
      </c>
    </row>
    <row r="1423" spans="1:32" ht="17.25" thickBot="1" x14ac:dyDescent="0.35">
      <c r="A1423" s="2" t="s">
        <v>9433</v>
      </c>
      <c r="B1423" s="2" t="s">
        <v>27</v>
      </c>
      <c r="C1423" s="2" t="s">
        <v>28</v>
      </c>
      <c r="D1423" s="2" t="s">
        <v>97</v>
      </c>
      <c r="E1423" s="2" t="s">
        <v>9159</v>
      </c>
      <c r="F1423" s="2" t="s">
        <v>8445</v>
      </c>
      <c r="G1423" s="2" t="s">
        <v>32</v>
      </c>
      <c r="H1423" s="1"/>
      <c r="I1423" s="2" t="s">
        <v>33</v>
      </c>
      <c r="J1423" s="2" t="s">
        <v>34</v>
      </c>
      <c r="K1423" s="2" t="s">
        <v>9434</v>
      </c>
      <c r="L1423" s="2" t="s">
        <v>9435</v>
      </c>
      <c r="M1423" s="2" t="s">
        <v>8664</v>
      </c>
      <c r="N1423" s="2" t="s">
        <v>38</v>
      </c>
      <c r="O1423" s="2" t="s">
        <v>131</v>
      </c>
      <c r="P1423" s="2" t="s">
        <v>2744</v>
      </c>
      <c r="Q1423" s="2" t="s">
        <v>9436</v>
      </c>
      <c r="R1423" s="2" t="s">
        <v>40</v>
      </c>
      <c r="S1423" s="2" t="s">
        <v>9437</v>
      </c>
      <c r="T1423" s="2" t="s">
        <v>8667</v>
      </c>
      <c r="U1423" s="2" t="s">
        <v>9438</v>
      </c>
      <c r="V1423" s="2" t="s">
        <v>9439</v>
      </c>
      <c r="W1423" s="1"/>
      <c r="X1423" s="2" t="s">
        <v>1427</v>
      </c>
      <c r="Y1423" s="2" t="s">
        <v>9166</v>
      </c>
      <c r="AA1423" t="str">
        <f t="shared" si="132"/>
        <v>2026-01</v>
      </c>
      <c r="AB1423" t="str">
        <f t="shared" si="133"/>
        <v>H1_2026</v>
      </c>
      <c r="AC1423">
        <f t="shared" si="134"/>
        <v>240215.04000000001</v>
      </c>
      <c r="AD1423">
        <f t="shared" si="135"/>
        <v>40</v>
      </c>
      <c r="AE1423">
        <f t="shared" si="136"/>
        <v>58396.86</v>
      </c>
      <c r="AF1423" t="str">
        <f t="shared" si="137"/>
        <v>Paid</v>
      </c>
    </row>
    <row r="1424" spans="1:32" ht="17.25" thickBot="1" x14ac:dyDescent="0.35">
      <c r="A1424" s="2" t="s">
        <v>9440</v>
      </c>
      <c r="B1424" s="2" t="s">
        <v>27</v>
      </c>
      <c r="C1424" s="2" t="s">
        <v>28</v>
      </c>
      <c r="D1424" s="2" t="s">
        <v>97</v>
      </c>
      <c r="E1424" s="2" t="s">
        <v>9159</v>
      </c>
      <c r="F1424" s="2" t="s">
        <v>8445</v>
      </c>
      <c r="G1424" s="2" t="s">
        <v>32</v>
      </c>
      <c r="H1424" s="1"/>
      <c r="I1424" s="2" t="s">
        <v>33</v>
      </c>
      <c r="J1424" s="2" t="s">
        <v>34</v>
      </c>
      <c r="K1424" s="2" t="s">
        <v>9441</v>
      </c>
      <c r="L1424" s="2" t="s">
        <v>9442</v>
      </c>
      <c r="M1424" s="2" t="s">
        <v>8664</v>
      </c>
      <c r="N1424" s="2" t="s">
        <v>38</v>
      </c>
      <c r="O1424" s="2" t="s">
        <v>156</v>
      </c>
      <c r="P1424" s="2" t="s">
        <v>9366</v>
      </c>
      <c r="Q1424" s="2" t="s">
        <v>9443</v>
      </c>
      <c r="R1424" s="2" t="s">
        <v>40</v>
      </c>
      <c r="S1424" s="2" t="s">
        <v>9444</v>
      </c>
      <c r="T1424" s="2" t="s">
        <v>3163</v>
      </c>
      <c r="U1424" s="2" t="s">
        <v>3192</v>
      </c>
      <c r="V1424" s="2" t="s">
        <v>9445</v>
      </c>
      <c r="W1424" s="1"/>
      <c r="X1424" s="2" t="s">
        <v>201</v>
      </c>
      <c r="Y1424" s="2" t="s">
        <v>9166</v>
      </c>
      <c r="AA1424" t="str">
        <f t="shared" si="132"/>
        <v>2026-01</v>
      </c>
      <c r="AB1424" t="str">
        <f t="shared" si="133"/>
        <v>H1_2026</v>
      </c>
      <c r="AC1424">
        <f t="shared" si="134"/>
        <v>131945.04</v>
      </c>
      <c r="AD1424">
        <f t="shared" si="135"/>
        <v>20</v>
      </c>
      <c r="AE1424">
        <f t="shared" si="136"/>
        <v>31945.040000000001</v>
      </c>
      <c r="AF1424" t="str">
        <f t="shared" si="137"/>
        <v>Paid</v>
      </c>
    </row>
    <row r="1425" spans="1:32" ht="27.75" thickBot="1" x14ac:dyDescent="0.35">
      <c r="A1425" s="2" t="s">
        <v>9446</v>
      </c>
      <c r="B1425" s="2" t="s">
        <v>27</v>
      </c>
      <c r="C1425" s="2" t="s">
        <v>28</v>
      </c>
      <c r="D1425" s="2" t="s">
        <v>97</v>
      </c>
      <c r="E1425" s="2" t="s">
        <v>9159</v>
      </c>
      <c r="F1425" s="2" t="s">
        <v>8445</v>
      </c>
      <c r="G1425" s="2" t="s">
        <v>32</v>
      </c>
      <c r="H1425" s="1"/>
      <c r="I1425" s="2" t="s">
        <v>33</v>
      </c>
      <c r="J1425" s="2" t="s">
        <v>34</v>
      </c>
      <c r="K1425" s="2" t="s">
        <v>2629</v>
      </c>
      <c r="L1425" s="2" t="s">
        <v>2630</v>
      </c>
      <c r="M1425" s="2" t="s">
        <v>2631</v>
      </c>
      <c r="N1425" s="2" t="s">
        <v>38</v>
      </c>
      <c r="O1425" s="2" t="s">
        <v>156</v>
      </c>
      <c r="P1425" s="2" t="s">
        <v>9447</v>
      </c>
      <c r="Q1425" s="2" t="s">
        <v>9448</v>
      </c>
      <c r="R1425" s="2" t="s">
        <v>40</v>
      </c>
      <c r="S1425" s="2" t="s">
        <v>9449</v>
      </c>
      <c r="T1425" s="2" t="s">
        <v>2635</v>
      </c>
      <c r="U1425" s="2" t="s">
        <v>7057</v>
      </c>
      <c r="V1425" s="2" t="s">
        <v>9450</v>
      </c>
      <c r="W1425" s="1"/>
      <c r="X1425" s="2" t="s">
        <v>7236</v>
      </c>
      <c r="Y1425" s="2" t="s">
        <v>9166</v>
      </c>
      <c r="AA1425" t="str">
        <f t="shared" si="132"/>
        <v>2026-01</v>
      </c>
      <c r="AB1425" t="str">
        <f t="shared" si="133"/>
        <v>H1_2026</v>
      </c>
      <c r="AC1425">
        <f t="shared" si="134"/>
        <v>85749.84</v>
      </c>
      <c r="AD1425">
        <f t="shared" si="135"/>
        <v>20</v>
      </c>
      <c r="AE1425">
        <f t="shared" si="136"/>
        <v>14840.75</v>
      </c>
      <c r="AF1425" t="str">
        <f t="shared" si="137"/>
        <v>Paid</v>
      </c>
    </row>
    <row r="1426" spans="1:32" ht="17.25" thickBot="1" x14ac:dyDescent="0.35">
      <c r="A1426" s="2" t="s">
        <v>9451</v>
      </c>
      <c r="B1426" s="2" t="s">
        <v>27</v>
      </c>
      <c r="C1426" s="2" t="s">
        <v>28</v>
      </c>
      <c r="D1426" s="2" t="s">
        <v>97</v>
      </c>
      <c r="E1426" s="2" t="s">
        <v>9159</v>
      </c>
      <c r="F1426" s="2" t="s">
        <v>8445</v>
      </c>
      <c r="G1426" s="2" t="s">
        <v>32</v>
      </c>
      <c r="H1426" s="1"/>
      <c r="I1426" s="2" t="s">
        <v>33</v>
      </c>
      <c r="J1426" s="2" t="s">
        <v>34</v>
      </c>
      <c r="K1426" s="2" t="s">
        <v>2640</v>
      </c>
      <c r="L1426" s="2" t="s">
        <v>2641</v>
      </c>
      <c r="M1426" s="2" t="s">
        <v>2631</v>
      </c>
      <c r="N1426" s="2" t="s">
        <v>38</v>
      </c>
      <c r="O1426" s="2" t="s">
        <v>517</v>
      </c>
      <c r="P1426" s="2" t="s">
        <v>9447</v>
      </c>
      <c r="Q1426" s="2" t="s">
        <v>9452</v>
      </c>
      <c r="R1426" s="2" t="s">
        <v>40</v>
      </c>
      <c r="S1426" s="2" t="s">
        <v>9453</v>
      </c>
      <c r="T1426" s="2" t="s">
        <v>2635</v>
      </c>
      <c r="U1426" s="2" t="s">
        <v>9454</v>
      </c>
      <c r="V1426" s="2" t="s">
        <v>9455</v>
      </c>
      <c r="W1426" s="1"/>
      <c r="X1426" s="2" t="s">
        <v>7236</v>
      </c>
      <c r="Y1426" s="2" t="s">
        <v>9166</v>
      </c>
      <c r="AA1426" t="str">
        <f t="shared" si="132"/>
        <v>2026-01</v>
      </c>
      <c r="AB1426" t="str">
        <f t="shared" si="133"/>
        <v>H1_2026</v>
      </c>
      <c r="AC1426">
        <f t="shared" si="134"/>
        <v>514499.04</v>
      </c>
      <c r="AD1426">
        <f t="shared" si="135"/>
        <v>120</v>
      </c>
      <c r="AE1426">
        <f t="shared" si="136"/>
        <v>89044.5</v>
      </c>
      <c r="AF1426" t="str">
        <f t="shared" si="137"/>
        <v>Paid</v>
      </c>
    </row>
    <row r="1427" spans="1:32" ht="27.75" thickBot="1" x14ac:dyDescent="0.35">
      <c r="A1427" s="2" t="s">
        <v>9456</v>
      </c>
      <c r="B1427" s="2" t="s">
        <v>27</v>
      </c>
      <c r="C1427" s="2" t="s">
        <v>28</v>
      </c>
      <c r="D1427" s="2" t="s">
        <v>97</v>
      </c>
      <c r="E1427" s="2" t="s">
        <v>9159</v>
      </c>
      <c r="F1427" s="2" t="s">
        <v>8445</v>
      </c>
      <c r="G1427" s="2" t="s">
        <v>32</v>
      </c>
      <c r="H1427" s="1"/>
      <c r="I1427" s="2" t="s">
        <v>33</v>
      </c>
      <c r="J1427" s="2" t="s">
        <v>34</v>
      </c>
      <c r="K1427" s="2" t="s">
        <v>9457</v>
      </c>
      <c r="L1427" s="2" t="s">
        <v>9458</v>
      </c>
      <c r="M1427" s="2" t="s">
        <v>570</v>
      </c>
      <c r="N1427" s="2" t="s">
        <v>38</v>
      </c>
      <c r="O1427" s="2" t="s">
        <v>141</v>
      </c>
      <c r="P1427" s="2" t="s">
        <v>9459</v>
      </c>
      <c r="Q1427" s="2" t="s">
        <v>9460</v>
      </c>
      <c r="R1427" s="2" t="s">
        <v>40</v>
      </c>
      <c r="S1427" s="2" t="s">
        <v>9461</v>
      </c>
      <c r="T1427" s="2" t="s">
        <v>575</v>
      </c>
      <c r="U1427" s="2" t="s">
        <v>3135</v>
      </c>
      <c r="V1427" s="2" t="s">
        <v>9462</v>
      </c>
      <c r="W1427" s="1"/>
      <c r="X1427" s="2" t="s">
        <v>2198</v>
      </c>
      <c r="Y1427" s="2" t="s">
        <v>9166</v>
      </c>
      <c r="AA1427" t="str">
        <f t="shared" si="132"/>
        <v>2026-01</v>
      </c>
      <c r="AB1427" t="str">
        <f t="shared" si="133"/>
        <v>H1_2026</v>
      </c>
      <c r="AC1427">
        <f t="shared" si="134"/>
        <v>12126.24</v>
      </c>
      <c r="AD1427">
        <f t="shared" si="135"/>
        <v>30</v>
      </c>
      <c r="AE1427">
        <f t="shared" si="136"/>
        <v>2308.06</v>
      </c>
      <c r="AF1427" t="str">
        <f t="shared" si="137"/>
        <v>Paid</v>
      </c>
    </row>
    <row r="1428" spans="1:32" ht="17.25" thickBot="1" x14ac:dyDescent="0.35">
      <c r="A1428" s="2" t="s">
        <v>9463</v>
      </c>
      <c r="B1428" s="2" t="s">
        <v>27</v>
      </c>
      <c r="C1428" s="2" t="s">
        <v>28</v>
      </c>
      <c r="D1428" s="2" t="s">
        <v>97</v>
      </c>
      <c r="E1428" s="2" t="s">
        <v>9159</v>
      </c>
      <c r="F1428" s="2" t="s">
        <v>8445</v>
      </c>
      <c r="G1428" s="2" t="s">
        <v>32</v>
      </c>
      <c r="H1428" s="1"/>
      <c r="I1428" s="2" t="s">
        <v>33</v>
      </c>
      <c r="J1428" s="2" t="s">
        <v>34</v>
      </c>
      <c r="K1428" s="2" t="s">
        <v>580</v>
      </c>
      <c r="L1428" s="2" t="s">
        <v>581</v>
      </c>
      <c r="M1428" s="2" t="s">
        <v>570</v>
      </c>
      <c r="N1428" s="2" t="s">
        <v>38</v>
      </c>
      <c r="O1428" s="2" t="s">
        <v>1519</v>
      </c>
      <c r="P1428" s="2" t="s">
        <v>2655</v>
      </c>
      <c r="Q1428" s="2" t="s">
        <v>9464</v>
      </c>
      <c r="R1428" s="2" t="s">
        <v>40</v>
      </c>
      <c r="S1428" s="2" t="s">
        <v>9465</v>
      </c>
      <c r="T1428" s="2" t="s">
        <v>575</v>
      </c>
      <c r="U1428" s="2" t="s">
        <v>9466</v>
      </c>
      <c r="V1428" s="2" t="s">
        <v>9467</v>
      </c>
      <c r="W1428" s="1"/>
      <c r="X1428" s="2" t="s">
        <v>9468</v>
      </c>
      <c r="Y1428" s="2" t="s">
        <v>9166</v>
      </c>
      <c r="AA1428" t="str">
        <f t="shared" si="132"/>
        <v>2026-01</v>
      </c>
      <c r="AB1428" t="str">
        <f t="shared" si="133"/>
        <v>H1_2026</v>
      </c>
      <c r="AC1428">
        <f t="shared" si="134"/>
        <v>202681.44</v>
      </c>
      <c r="AD1428">
        <f t="shared" si="135"/>
        <v>360</v>
      </c>
      <c r="AE1428">
        <f t="shared" si="136"/>
        <v>84863.27</v>
      </c>
      <c r="AF1428" t="str">
        <f t="shared" si="137"/>
        <v>Paid</v>
      </c>
    </row>
    <row r="1429" spans="1:32" ht="27.75" thickBot="1" x14ac:dyDescent="0.35">
      <c r="A1429" s="2" t="s">
        <v>9469</v>
      </c>
      <c r="B1429" s="2" t="s">
        <v>27</v>
      </c>
      <c r="C1429" s="2" t="s">
        <v>28</v>
      </c>
      <c r="D1429" s="2" t="s">
        <v>97</v>
      </c>
      <c r="E1429" s="2" t="s">
        <v>9159</v>
      </c>
      <c r="F1429" s="2" t="s">
        <v>8445</v>
      </c>
      <c r="G1429" s="2" t="s">
        <v>32</v>
      </c>
      <c r="H1429" s="1"/>
      <c r="I1429" s="2" t="s">
        <v>33</v>
      </c>
      <c r="J1429" s="2" t="s">
        <v>34</v>
      </c>
      <c r="K1429" s="2" t="s">
        <v>9470</v>
      </c>
      <c r="L1429" s="2" t="s">
        <v>9471</v>
      </c>
      <c r="M1429" s="2" t="s">
        <v>570</v>
      </c>
      <c r="N1429" s="2" t="s">
        <v>38</v>
      </c>
      <c r="O1429" s="2" t="s">
        <v>920</v>
      </c>
      <c r="P1429" s="2" t="s">
        <v>9459</v>
      </c>
      <c r="Q1429" s="2" t="s">
        <v>9472</v>
      </c>
      <c r="R1429" s="2" t="s">
        <v>40</v>
      </c>
      <c r="S1429" s="2" t="s">
        <v>9473</v>
      </c>
      <c r="T1429" s="2" t="s">
        <v>575</v>
      </c>
      <c r="U1429" s="2" t="s">
        <v>8679</v>
      </c>
      <c r="V1429" s="2" t="s">
        <v>9474</v>
      </c>
      <c r="W1429" s="1"/>
      <c r="X1429" s="2" t="s">
        <v>2198</v>
      </c>
      <c r="Y1429" s="2" t="s">
        <v>9166</v>
      </c>
      <c r="AA1429" t="str">
        <f t="shared" si="132"/>
        <v>2026-01</v>
      </c>
      <c r="AB1429" t="str">
        <f t="shared" si="133"/>
        <v>H1_2026</v>
      </c>
      <c r="AC1429">
        <f t="shared" si="134"/>
        <v>189977.76</v>
      </c>
      <c r="AD1429">
        <f t="shared" si="135"/>
        <v>470</v>
      </c>
      <c r="AE1429">
        <f t="shared" si="136"/>
        <v>36159.589999999997</v>
      </c>
      <c r="AF1429" t="str">
        <f t="shared" si="137"/>
        <v>Paid</v>
      </c>
    </row>
    <row r="1430" spans="1:32" ht="27.75" thickBot="1" x14ac:dyDescent="0.35">
      <c r="A1430" s="2" t="s">
        <v>9475</v>
      </c>
      <c r="B1430" s="2" t="s">
        <v>27</v>
      </c>
      <c r="C1430" s="2" t="s">
        <v>28</v>
      </c>
      <c r="D1430" s="2" t="s">
        <v>97</v>
      </c>
      <c r="E1430" s="2" t="s">
        <v>9159</v>
      </c>
      <c r="F1430" s="2" t="s">
        <v>8445</v>
      </c>
      <c r="G1430" s="2" t="s">
        <v>32</v>
      </c>
      <c r="H1430" s="1"/>
      <c r="I1430" s="2" t="s">
        <v>33</v>
      </c>
      <c r="J1430" s="2" t="s">
        <v>34</v>
      </c>
      <c r="K1430" s="2" t="s">
        <v>9476</v>
      </c>
      <c r="L1430" s="2" t="s">
        <v>9477</v>
      </c>
      <c r="M1430" s="2" t="s">
        <v>570</v>
      </c>
      <c r="N1430" s="2" t="s">
        <v>38</v>
      </c>
      <c r="O1430" s="2" t="s">
        <v>2088</v>
      </c>
      <c r="P1430" s="2" t="s">
        <v>9459</v>
      </c>
      <c r="Q1430" s="2" t="s">
        <v>9478</v>
      </c>
      <c r="R1430" s="2" t="s">
        <v>40</v>
      </c>
      <c r="S1430" s="2" t="s">
        <v>9479</v>
      </c>
      <c r="T1430" s="2" t="s">
        <v>575</v>
      </c>
      <c r="U1430" s="2" t="s">
        <v>9480</v>
      </c>
      <c r="V1430" s="2" t="s">
        <v>9481</v>
      </c>
      <c r="W1430" s="1"/>
      <c r="X1430" s="2" t="s">
        <v>2198</v>
      </c>
      <c r="Y1430" s="2" t="s">
        <v>9166</v>
      </c>
      <c r="AA1430" t="str">
        <f t="shared" si="132"/>
        <v>2026-01</v>
      </c>
      <c r="AB1430" t="str">
        <f t="shared" si="133"/>
        <v>H1_2026</v>
      </c>
      <c r="AC1430">
        <f t="shared" si="134"/>
        <v>101456.21</v>
      </c>
      <c r="AD1430">
        <f t="shared" si="135"/>
        <v>251</v>
      </c>
      <c r="AE1430">
        <f t="shared" si="136"/>
        <v>19310.759999999998</v>
      </c>
      <c r="AF1430" t="str">
        <f t="shared" si="137"/>
        <v>Paid</v>
      </c>
    </row>
    <row r="1431" spans="1:32" ht="27.75" thickBot="1" x14ac:dyDescent="0.35">
      <c r="A1431" s="2" t="s">
        <v>9482</v>
      </c>
      <c r="B1431" s="2" t="s">
        <v>27</v>
      </c>
      <c r="C1431" s="2" t="s">
        <v>28</v>
      </c>
      <c r="D1431" s="2" t="s">
        <v>97</v>
      </c>
      <c r="E1431" s="2" t="s">
        <v>9159</v>
      </c>
      <c r="F1431" s="2" t="s">
        <v>8445</v>
      </c>
      <c r="G1431" s="2" t="s">
        <v>32</v>
      </c>
      <c r="H1431" s="1"/>
      <c r="I1431" s="2" t="s">
        <v>33</v>
      </c>
      <c r="J1431" s="2" t="s">
        <v>34</v>
      </c>
      <c r="K1431" s="2" t="s">
        <v>9483</v>
      </c>
      <c r="L1431" s="2" t="s">
        <v>9484</v>
      </c>
      <c r="M1431" s="2" t="s">
        <v>570</v>
      </c>
      <c r="N1431" s="2" t="s">
        <v>38</v>
      </c>
      <c r="O1431" s="2" t="s">
        <v>2252</v>
      </c>
      <c r="P1431" s="2" t="s">
        <v>9459</v>
      </c>
      <c r="Q1431" s="2" t="s">
        <v>9485</v>
      </c>
      <c r="R1431" s="2" t="s">
        <v>40</v>
      </c>
      <c r="S1431" s="2" t="s">
        <v>9486</v>
      </c>
      <c r="T1431" s="2" t="s">
        <v>9487</v>
      </c>
      <c r="U1431" s="2" t="s">
        <v>9488</v>
      </c>
      <c r="V1431" s="2" t="s">
        <v>9489</v>
      </c>
      <c r="W1431" s="1"/>
      <c r="X1431" s="2" t="s">
        <v>3788</v>
      </c>
      <c r="Y1431" s="2" t="s">
        <v>9166</v>
      </c>
      <c r="AA1431" t="str">
        <f t="shared" si="132"/>
        <v>2026-01</v>
      </c>
      <c r="AB1431" t="str">
        <f t="shared" si="133"/>
        <v>H1_2026</v>
      </c>
      <c r="AC1431">
        <f t="shared" si="134"/>
        <v>109136.16</v>
      </c>
      <c r="AD1431">
        <f t="shared" si="135"/>
        <v>270</v>
      </c>
      <c r="AE1431">
        <f t="shared" si="136"/>
        <v>24045.26</v>
      </c>
      <c r="AF1431" t="str">
        <f t="shared" si="137"/>
        <v>Paid</v>
      </c>
    </row>
    <row r="1432" spans="1:32" ht="27.75" thickBot="1" x14ac:dyDescent="0.35">
      <c r="A1432" s="2" t="s">
        <v>9490</v>
      </c>
      <c r="B1432" s="2" t="s">
        <v>27</v>
      </c>
      <c r="C1432" s="2" t="s">
        <v>28</v>
      </c>
      <c r="D1432" s="2" t="s">
        <v>97</v>
      </c>
      <c r="E1432" s="2" t="s">
        <v>9159</v>
      </c>
      <c r="F1432" s="2" t="s">
        <v>8445</v>
      </c>
      <c r="G1432" s="2" t="s">
        <v>32</v>
      </c>
      <c r="H1432" s="1"/>
      <c r="I1432" s="2" t="s">
        <v>33</v>
      </c>
      <c r="J1432" s="2" t="s">
        <v>34</v>
      </c>
      <c r="K1432" s="2" t="s">
        <v>2662</v>
      </c>
      <c r="L1432" s="2" t="s">
        <v>2663</v>
      </c>
      <c r="M1432" s="2" t="s">
        <v>570</v>
      </c>
      <c r="N1432" s="2" t="s">
        <v>38</v>
      </c>
      <c r="O1432" s="2" t="s">
        <v>141</v>
      </c>
      <c r="P1432" s="2" t="s">
        <v>2655</v>
      </c>
      <c r="Q1432" s="2" t="s">
        <v>9491</v>
      </c>
      <c r="R1432" s="2" t="s">
        <v>40</v>
      </c>
      <c r="S1432" s="2" t="s">
        <v>9492</v>
      </c>
      <c r="T1432" s="2" t="s">
        <v>575</v>
      </c>
      <c r="U1432" s="2" t="s">
        <v>3135</v>
      </c>
      <c r="V1432" s="2" t="s">
        <v>9493</v>
      </c>
      <c r="W1432" s="1"/>
      <c r="X1432" s="2" t="s">
        <v>9468</v>
      </c>
      <c r="Y1432" s="2" t="s">
        <v>9166</v>
      </c>
      <c r="AA1432" t="str">
        <f t="shared" si="132"/>
        <v>2026-01</v>
      </c>
      <c r="AB1432" t="str">
        <f t="shared" si="133"/>
        <v>H1_2026</v>
      </c>
      <c r="AC1432">
        <f t="shared" si="134"/>
        <v>16890.12</v>
      </c>
      <c r="AD1432">
        <f t="shared" si="135"/>
        <v>30</v>
      </c>
      <c r="AE1432">
        <f t="shared" si="136"/>
        <v>7071.94</v>
      </c>
      <c r="AF1432" t="str">
        <f t="shared" si="137"/>
        <v>Paid</v>
      </c>
    </row>
    <row r="1433" spans="1:32" ht="17.25" thickBot="1" x14ac:dyDescent="0.35">
      <c r="A1433" s="2" t="s">
        <v>9494</v>
      </c>
      <c r="B1433" s="2" t="s">
        <v>27</v>
      </c>
      <c r="C1433" s="2" t="s">
        <v>28</v>
      </c>
      <c r="D1433" s="2" t="s">
        <v>97</v>
      </c>
      <c r="E1433" s="2" t="s">
        <v>9159</v>
      </c>
      <c r="F1433" s="2" t="s">
        <v>8445</v>
      </c>
      <c r="G1433" s="2" t="s">
        <v>32</v>
      </c>
      <c r="H1433" s="1"/>
      <c r="I1433" s="2" t="s">
        <v>33</v>
      </c>
      <c r="J1433" s="2" t="s">
        <v>34</v>
      </c>
      <c r="K1433" s="2" t="s">
        <v>601</v>
      </c>
      <c r="L1433" s="2" t="s">
        <v>602</v>
      </c>
      <c r="M1433" s="2" t="s">
        <v>570</v>
      </c>
      <c r="N1433" s="2" t="s">
        <v>38</v>
      </c>
      <c r="O1433" s="2" t="s">
        <v>2108</v>
      </c>
      <c r="P1433" s="2" t="s">
        <v>2655</v>
      </c>
      <c r="Q1433" s="2" t="s">
        <v>9495</v>
      </c>
      <c r="R1433" s="2" t="s">
        <v>40</v>
      </c>
      <c r="S1433" s="2" t="s">
        <v>9496</v>
      </c>
      <c r="T1433" s="2" t="s">
        <v>575</v>
      </c>
      <c r="U1433" s="2" t="s">
        <v>9497</v>
      </c>
      <c r="V1433" s="2" t="s">
        <v>9498</v>
      </c>
      <c r="W1433" s="1"/>
      <c r="X1433" s="2" t="s">
        <v>9468</v>
      </c>
      <c r="Y1433" s="2" t="s">
        <v>9166</v>
      </c>
      <c r="AA1433" t="str">
        <f t="shared" si="132"/>
        <v>2026-01</v>
      </c>
      <c r="AB1433" t="str">
        <f t="shared" si="133"/>
        <v>H1_2026</v>
      </c>
      <c r="AC1433">
        <f t="shared" si="134"/>
        <v>585524.16</v>
      </c>
      <c r="AD1433">
        <f t="shared" si="135"/>
        <v>1040</v>
      </c>
      <c r="AE1433">
        <f t="shared" si="136"/>
        <v>245160.55</v>
      </c>
      <c r="AF1433" t="str">
        <f t="shared" si="137"/>
        <v>Paid</v>
      </c>
    </row>
    <row r="1434" spans="1:32" ht="17.25" thickBot="1" x14ac:dyDescent="0.35">
      <c r="A1434" s="2" t="s">
        <v>9499</v>
      </c>
      <c r="B1434" s="2" t="s">
        <v>27</v>
      </c>
      <c r="C1434" s="2" t="s">
        <v>28</v>
      </c>
      <c r="D1434" s="2" t="s">
        <v>97</v>
      </c>
      <c r="E1434" s="2" t="s">
        <v>9159</v>
      </c>
      <c r="F1434" s="2" t="s">
        <v>8445</v>
      </c>
      <c r="G1434" s="2" t="s">
        <v>32</v>
      </c>
      <c r="H1434" s="1"/>
      <c r="I1434" s="2" t="s">
        <v>33</v>
      </c>
      <c r="J1434" s="2" t="s">
        <v>34</v>
      </c>
      <c r="K1434" s="2" t="s">
        <v>616</v>
      </c>
      <c r="L1434" s="2" t="s">
        <v>617</v>
      </c>
      <c r="M1434" s="2" t="s">
        <v>570</v>
      </c>
      <c r="N1434" s="2" t="s">
        <v>38</v>
      </c>
      <c r="O1434" s="2" t="s">
        <v>316</v>
      </c>
      <c r="P1434" s="2" t="s">
        <v>2655</v>
      </c>
      <c r="Q1434" s="2" t="s">
        <v>9500</v>
      </c>
      <c r="R1434" s="2" t="s">
        <v>40</v>
      </c>
      <c r="S1434" s="2" t="s">
        <v>9501</v>
      </c>
      <c r="T1434" s="2" t="s">
        <v>575</v>
      </c>
      <c r="U1434" s="2" t="s">
        <v>9502</v>
      </c>
      <c r="V1434" s="2" t="s">
        <v>9503</v>
      </c>
      <c r="W1434" s="1"/>
      <c r="X1434" s="2" t="s">
        <v>9468</v>
      </c>
      <c r="Y1434" s="2" t="s">
        <v>9166</v>
      </c>
      <c r="AA1434" t="str">
        <f t="shared" si="132"/>
        <v>2026-01</v>
      </c>
      <c r="AB1434" t="str">
        <f t="shared" si="133"/>
        <v>H1_2026</v>
      </c>
      <c r="AC1434">
        <f t="shared" si="134"/>
        <v>163271.16</v>
      </c>
      <c r="AD1434">
        <f t="shared" si="135"/>
        <v>290</v>
      </c>
      <c r="AE1434">
        <f t="shared" si="136"/>
        <v>68362.080000000002</v>
      </c>
      <c r="AF1434" t="str">
        <f t="shared" si="137"/>
        <v>Paid</v>
      </c>
    </row>
    <row r="1435" spans="1:32" ht="17.25" thickBot="1" x14ac:dyDescent="0.35">
      <c r="A1435" s="2" t="s">
        <v>9504</v>
      </c>
      <c r="B1435" s="2" t="s">
        <v>27</v>
      </c>
      <c r="C1435" s="2" t="s">
        <v>28</v>
      </c>
      <c r="D1435" s="2" t="s">
        <v>97</v>
      </c>
      <c r="E1435" s="2" t="s">
        <v>9159</v>
      </c>
      <c r="F1435" s="2" t="s">
        <v>8445</v>
      </c>
      <c r="G1435" s="2" t="s">
        <v>32</v>
      </c>
      <c r="H1435" s="1"/>
      <c r="I1435" s="2" t="s">
        <v>33</v>
      </c>
      <c r="J1435" s="2" t="s">
        <v>34</v>
      </c>
      <c r="K1435" s="2" t="s">
        <v>624</v>
      </c>
      <c r="L1435" s="2" t="s">
        <v>625</v>
      </c>
      <c r="M1435" s="2" t="s">
        <v>570</v>
      </c>
      <c r="N1435" s="2" t="s">
        <v>38</v>
      </c>
      <c r="O1435" s="2" t="s">
        <v>6302</v>
      </c>
      <c r="P1435" s="2" t="s">
        <v>2655</v>
      </c>
      <c r="Q1435" s="2" t="s">
        <v>9505</v>
      </c>
      <c r="R1435" s="2" t="s">
        <v>40</v>
      </c>
      <c r="S1435" s="2" t="s">
        <v>9506</v>
      </c>
      <c r="T1435" s="2" t="s">
        <v>575</v>
      </c>
      <c r="U1435" s="2" t="s">
        <v>9507</v>
      </c>
      <c r="V1435" s="2" t="s">
        <v>9508</v>
      </c>
      <c r="W1435" s="1"/>
      <c r="X1435" s="2" t="s">
        <v>9468</v>
      </c>
      <c r="Y1435" s="2" t="s">
        <v>9166</v>
      </c>
      <c r="AA1435" t="str">
        <f t="shared" si="132"/>
        <v>2026-01</v>
      </c>
      <c r="AB1435" t="str">
        <f t="shared" si="133"/>
        <v>H1_2026</v>
      </c>
      <c r="AC1435">
        <f t="shared" si="134"/>
        <v>1306169.28</v>
      </c>
      <c r="AD1435">
        <f t="shared" si="135"/>
        <v>2320</v>
      </c>
      <c r="AE1435">
        <f t="shared" si="136"/>
        <v>546896.62</v>
      </c>
      <c r="AF1435" t="str">
        <f t="shared" si="137"/>
        <v>Paid</v>
      </c>
    </row>
    <row r="1436" spans="1:32" ht="17.25" thickBot="1" x14ac:dyDescent="0.35">
      <c r="A1436" s="2" t="s">
        <v>9509</v>
      </c>
      <c r="B1436" s="2" t="s">
        <v>27</v>
      </c>
      <c r="C1436" s="2" t="s">
        <v>28</v>
      </c>
      <c r="D1436" s="2" t="s">
        <v>97</v>
      </c>
      <c r="E1436" s="2" t="s">
        <v>9159</v>
      </c>
      <c r="F1436" s="2" t="s">
        <v>8445</v>
      </c>
      <c r="G1436" s="2" t="s">
        <v>32</v>
      </c>
      <c r="H1436" s="1"/>
      <c r="I1436" s="2" t="s">
        <v>33</v>
      </c>
      <c r="J1436" s="2" t="s">
        <v>34</v>
      </c>
      <c r="K1436" s="2" t="s">
        <v>663</v>
      </c>
      <c r="L1436" s="2" t="s">
        <v>664</v>
      </c>
      <c r="M1436" s="2" t="s">
        <v>634</v>
      </c>
      <c r="N1436" s="2" t="s">
        <v>38</v>
      </c>
      <c r="O1436" s="2" t="s">
        <v>623</v>
      </c>
      <c r="P1436" s="2" t="s">
        <v>4453</v>
      </c>
      <c r="Q1436" s="2" t="s">
        <v>9510</v>
      </c>
      <c r="R1436" s="2" t="s">
        <v>40</v>
      </c>
      <c r="S1436" s="2" t="s">
        <v>9511</v>
      </c>
      <c r="T1436" s="2" t="s">
        <v>669</v>
      </c>
      <c r="U1436" s="2" t="s">
        <v>9512</v>
      </c>
      <c r="V1436" s="2" t="s">
        <v>9513</v>
      </c>
      <c r="W1436" s="1"/>
      <c r="X1436" s="2" t="s">
        <v>672</v>
      </c>
      <c r="Y1436" s="2" t="s">
        <v>9166</v>
      </c>
      <c r="AA1436" t="str">
        <f t="shared" si="132"/>
        <v>2026-01</v>
      </c>
      <c r="AB1436" t="str">
        <f t="shared" si="133"/>
        <v>H1_2026</v>
      </c>
      <c r="AC1436">
        <f t="shared" si="134"/>
        <v>817770.53</v>
      </c>
      <c r="AD1436">
        <f t="shared" si="135"/>
        <v>73</v>
      </c>
      <c r="AE1436">
        <f t="shared" si="136"/>
        <v>379770.53</v>
      </c>
      <c r="AF1436" t="str">
        <f t="shared" si="137"/>
        <v>Paid</v>
      </c>
    </row>
    <row r="1437" spans="1:32" ht="17.25" thickBot="1" x14ac:dyDescent="0.35">
      <c r="A1437" s="2" t="s">
        <v>9514</v>
      </c>
      <c r="B1437" s="2" t="s">
        <v>27</v>
      </c>
      <c r="C1437" s="2" t="s">
        <v>28</v>
      </c>
      <c r="D1437" s="2" t="s">
        <v>97</v>
      </c>
      <c r="E1437" s="2" t="s">
        <v>9159</v>
      </c>
      <c r="F1437" s="2" t="s">
        <v>8445</v>
      </c>
      <c r="G1437" s="2" t="s">
        <v>32</v>
      </c>
      <c r="H1437" s="1"/>
      <c r="I1437" s="2" t="s">
        <v>33</v>
      </c>
      <c r="J1437" s="2" t="s">
        <v>34</v>
      </c>
      <c r="K1437" s="2" t="s">
        <v>6137</v>
      </c>
      <c r="L1437" s="2" t="s">
        <v>6138</v>
      </c>
      <c r="M1437" s="2" t="s">
        <v>634</v>
      </c>
      <c r="N1437" s="2" t="s">
        <v>38</v>
      </c>
      <c r="O1437" s="2" t="s">
        <v>177</v>
      </c>
      <c r="P1437" s="2" t="s">
        <v>4360</v>
      </c>
      <c r="Q1437" s="2" t="s">
        <v>9515</v>
      </c>
      <c r="R1437" s="2" t="s">
        <v>40</v>
      </c>
      <c r="S1437" s="2" t="s">
        <v>9516</v>
      </c>
      <c r="T1437" s="2" t="s">
        <v>297</v>
      </c>
      <c r="U1437" s="2" t="s">
        <v>9517</v>
      </c>
      <c r="V1437" s="2" t="s">
        <v>9518</v>
      </c>
      <c r="W1437" s="1"/>
      <c r="X1437" s="2" t="s">
        <v>6142</v>
      </c>
      <c r="Y1437" s="2" t="s">
        <v>9166</v>
      </c>
      <c r="AA1437" t="str">
        <f t="shared" si="132"/>
        <v>2026-01</v>
      </c>
      <c r="AB1437" t="str">
        <f t="shared" si="133"/>
        <v>H1_2026</v>
      </c>
      <c r="AC1437">
        <f t="shared" si="134"/>
        <v>5202734.4000000004</v>
      </c>
      <c r="AD1437">
        <f t="shared" si="135"/>
        <v>400</v>
      </c>
      <c r="AE1437">
        <f t="shared" si="136"/>
        <v>2002734.4</v>
      </c>
      <c r="AF1437" t="str">
        <f t="shared" si="137"/>
        <v>Paid</v>
      </c>
    </row>
    <row r="1438" spans="1:32" ht="17.25" thickBot="1" x14ac:dyDescent="0.35">
      <c r="A1438" s="2" t="s">
        <v>9519</v>
      </c>
      <c r="B1438" s="2" t="s">
        <v>27</v>
      </c>
      <c r="C1438" s="2" t="s">
        <v>28</v>
      </c>
      <c r="D1438" s="2" t="s">
        <v>97</v>
      </c>
      <c r="E1438" s="2" t="s">
        <v>9159</v>
      </c>
      <c r="F1438" s="2" t="s">
        <v>8445</v>
      </c>
      <c r="G1438" s="2" t="s">
        <v>32</v>
      </c>
      <c r="H1438" s="1"/>
      <c r="I1438" s="2" t="s">
        <v>33</v>
      </c>
      <c r="J1438" s="2" t="s">
        <v>34</v>
      </c>
      <c r="K1438" s="2" t="s">
        <v>2678</v>
      </c>
      <c r="L1438" s="2" t="s">
        <v>2679</v>
      </c>
      <c r="M1438" s="2" t="s">
        <v>2680</v>
      </c>
      <c r="N1438" s="2" t="s">
        <v>38</v>
      </c>
      <c r="O1438" s="2" t="s">
        <v>466</v>
      </c>
      <c r="P1438" s="2" t="s">
        <v>1498</v>
      </c>
      <c r="Q1438" s="2" t="s">
        <v>9520</v>
      </c>
      <c r="R1438" s="2" t="s">
        <v>40</v>
      </c>
      <c r="S1438" s="2" t="s">
        <v>9521</v>
      </c>
      <c r="T1438" s="2" t="s">
        <v>2684</v>
      </c>
      <c r="U1438" s="2" t="s">
        <v>1719</v>
      </c>
      <c r="V1438" s="2" t="s">
        <v>9522</v>
      </c>
      <c r="W1438" s="1"/>
      <c r="X1438" s="2" t="s">
        <v>2687</v>
      </c>
      <c r="Y1438" s="2" t="s">
        <v>9166</v>
      </c>
      <c r="AA1438" t="str">
        <f t="shared" si="132"/>
        <v>2026-01</v>
      </c>
      <c r="AB1438" t="str">
        <f t="shared" si="133"/>
        <v>H1_2026</v>
      </c>
      <c r="AC1438">
        <f t="shared" si="134"/>
        <v>634606.56000000006</v>
      </c>
      <c r="AD1438">
        <f t="shared" si="135"/>
        <v>70</v>
      </c>
      <c r="AE1438">
        <f t="shared" si="136"/>
        <v>249606.56</v>
      </c>
      <c r="AF1438" t="str">
        <f t="shared" si="137"/>
        <v>Paid</v>
      </c>
    </row>
    <row r="1439" spans="1:32" ht="17.25" thickBot="1" x14ac:dyDescent="0.35">
      <c r="A1439" s="2" t="s">
        <v>9523</v>
      </c>
      <c r="B1439" s="2" t="s">
        <v>27</v>
      </c>
      <c r="C1439" s="2" t="s">
        <v>28</v>
      </c>
      <c r="D1439" s="2" t="s">
        <v>97</v>
      </c>
      <c r="E1439" s="2" t="s">
        <v>9159</v>
      </c>
      <c r="F1439" s="2" t="s">
        <v>8445</v>
      </c>
      <c r="G1439" s="2" t="s">
        <v>32</v>
      </c>
      <c r="H1439" s="1"/>
      <c r="I1439" s="2" t="s">
        <v>33</v>
      </c>
      <c r="J1439" s="2" t="s">
        <v>34</v>
      </c>
      <c r="K1439" s="2" t="s">
        <v>2699</v>
      </c>
      <c r="L1439" s="2" t="s">
        <v>2700</v>
      </c>
      <c r="M1439" s="2" t="s">
        <v>2680</v>
      </c>
      <c r="N1439" s="2" t="s">
        <v>38</v>
      </c>
      <c r="O1439" s="2" t="s">
        <v>156</v>
      </c>
      <c r="P1439" s="2" t="s">
        <v>5483</v>
      </c>
      <c r="Q1439" s="2" t="s">
        <v>9524</v>
      </c>
      <c r="R1439" s="2" t="s">
        <v>40</v>
      </c>
      <c r="S1439" s="2" t="s">
        <v>9525</v>
      </c>
      <c r="T1439" s="2" t="s">
        <v>2703</v>
      </c>
      <c r="U1439" s="2" t="s">
        <v>2704</v>
      </c>
      <c r="V1439" s="2" t="s">
        <v>9526</v>
      </c>
      <c r="W1439" s="1"/>
      <c r="X1439" s="2" t="s">
        <v>8675</v>
      </c>
      <c r="Y1439" s="2" t="s">
        <v>9166</v>
      </c>
      <c r="AA1439" t="str">
        <f t="shared" si="132"/>
        <v>2026-01</v>
      </c>
      <c r="AB1439" t="str">
        <f t="shared" si="133"/>
        <v>H1_2026</v>
      </c>
      <c r="AC1439">
        <f t="shared" si="134"/>
        <v>142916.4</v>
      </c>
      <c r="AD1439">
        <f t="shared" si="135"/>
        <v>20</v>
      </c>
      <c r="AE1439">
        <f t="shared" si="136"/>
        <v>57116.4</v>
      </c>
      <c r="AF1439" t="str">
        <f t="shared" si="137"/>
        <v>Paid</v>
      </c>
    </row>
    <row r="1440" spans="1:32" ht="17.25" thickBot="1" x14ac:dyDescent="0.35">
      <c r="A1440" s="2" t="s">
        <v>9527</v>
      </c>
      <c r="B1440" s="2" t="s">
        <v>27</v>
      </c>
      <c r="C1440" s="2" t="s">
        <v>28</v>
      </c>
      <c r="D1440" s="2" t="s">
        <v>97</v>
      </c>
      <c r="E1440" s="2" t="s">
        <v>9159</v>
      </c>
      <c r="F1440" s="2" t="s">
        <v>8445</v>
      </c>
      <c r="G1440" s="2" t="s">
        <v>32</v>
      </c>
      <c r="H1440" s="1"/>
      <c r="I1440" s="2" t="s">
        <v>33</v>
      </c>
      <c r="J1440" s="2" t="s">
        <v>34</v>
      </c>
      <c r="K1440" s="2" t="s">
        <v>2708</v>
      </c>
      <c r="L1440" s="2" t="s">
        <v>2709</v>
      </c>
      <c r="M1440" s="2" t="s">
        <v>2710</v>
      </c>
      <c r="N1440" s="2" t="s">
        <v>38</v>
      </c>
      <c r="O1440" s="2" t="s">
        <v>79</v>
      </c>
      <c r="P1440" s="2" t="s">
        <v>9528</v>
      </c>
      <c r="Q1440" s="2" t="s">
        <v>9529</v>
      </c>
      <c r="R1440" s="2" t="s">
        <v>40</v>
      </c>
      <c r="S1440" s="2" t="s">
        <v>9530</v>
      </c>
      <c r="T1440" s="2" t="s">
        <v>9531</v>
      </c>
      <c r="U1440" s="2" t="s">
        <v>9532</v>
      </c>
      <c r="V1440" s="2" t="s">
        <v>9533</v>
      </c>
      <c r="W1440" s="1"/>
      <c r="X1440" s="2" t="s">
        <v>1091</v>
      </c>
      <c r="Y1440" s="2" t="s">
        <v>9166</v>
      </c>
      <c r="AA1440" t="str">
        <f t="shared" si="132"/>
        <v>2026-01</v>
      </c>
      <c r="AB1440" t="str">
        <f t="shared" si="133"/>
        <v>H1_2026</v>
      </c>
      <c r="AC1440">
        <f t="shared" si="134"/>
        <v>70447.679999999993</v>
      </c>
      <c r="AD1440">
        <f t="shared" si="135"/>
        <v>10</v>
      </c>
      <c r="AE1440">
        <f t="shared" si="136"/>
        <v>17717.68</v>
      </c>
      <c r="AF1440" t="str">
        <f t="shared" si="137"/>
        <v>Paid</v>
      </c>
    </row>
    <row r="1441" spans="1:32" ht="17.25" thickBot="1" x14ac:dyDescent="0.35">
      <c r="A1441" s="2" t="s">
        <v>9534</v>
      </c>
      <c r="B1441" s="2" t="s">
        <v>27</v>
      </c>
      <c r="C1441" s="2" t="s">
        <v>28</v>
      </c>
      <c r="D1441" s="2" t="s">
        <v>97</v>
      </c>
      <c r="E1441" s="2" t="s">
        <v>9159</v>
      </c>
      <c r="F1441" s="2" t="s">
        <v>8445</v>
      </c>
      <c r="G1441" s="2" t="s">
        <v>32</v>
      </c>
      <c r="H1441" s="1"/>
      <c r="I1441" s="2" t="s">
        <v>33</v>
      </c>
      <c r="J1441" s="2" t="s">
        <v>34</v>
      </c>
      <c r="K1441" s="2" t="s">
        <v>8728</v>
      </c>
      <c r="L1441" s="2" t="s">
        <v>8729</v>
      </c>
      <c r="M1441" s="2" t="s">
        <v>2710</v>
      </c>
      <c r="N1441" s="2" t="s">
        <v>38</v>
      </c>
      <c r="O1441" s="2" t="s">
        <v>156</v>
      </c>
      <c r="P1441" s="2" t="s">
        <v>2744</v>
      </c>
      <c r="Q1441" s="2" t="s">
        <v>9423</v>
      </c>
      <c r="R1441" s="2" t="s">
        <v>40</v>
      </c>
      <c r="S1441" s="2" t="s">
        <v>9424</v>
      </c>
      <c r="T1441" s="2" t="s">
        <v>8732</v>
      </c>
      <c r="U1441" s="2" t="s">
        <v>9535</v>
      </c>
      <c r="V1441" s="2" t="s">
        <v>9536</v>
      </c>
      <c r="W1441" s="1"/>
      <c r="X1441" s="2" t="s">
        <v>3583</v>
      </c>
      <c r="Y1441" s="2" t="s">
        <v>9166</v>
      </c>
      <c r="AA1441" t="str">
        <f t="shared" si="132"/>
        <v>2026-01</v>
      </c>
      <c r="AB1441" t="str">
        <f t="shared" si="133"/>
        <v>H1_2026</v>
      </c>
      <c r="AC1441">
        <f t="shared" si="134"/>
        <v>120107.52</v>
      </c>
      <c r="AD1441">
        <f t="shared" si="135"/>
        <v>20</v>
      </c>
      <c r="AE1441">
        <f t="shared" si="136"/>
        <v>23727.52</v>
      </c>
      <c r="AF1441" t="str">
        <f t="shared" si="137"/>
        <v>Paid</v>
      </c>
    </row>
    <row r="1442" spans="1:32" ht="27.75" thickBot="1" x14ac:dyDescent="0.35">
      <c r="A1442" s="2" t="s">
        <v>9537</v>
      </c>
      <c r="B1442" s="2" t="s">
        <v>27</v>
      </c>
      <c r="C1442" s="2" t="s">
        <v>28</v>
      </c>
      <c r="D1442" s="2" t="s">
        <v>97</v>
      </c>
      <c r="E1442" s="2" t="s">
        <v>9159</v>
      </c>
      <c r="F1442" s="2" t="s">
        <v>8445</v>
      </c>
      <c r="G1442" s="2" t="s">
        <v>32</v>
      </c>
      <c r="H1442" s="1"/>
      <c r="I1442" s="2" t="s">
        <v>33</v>
      </c>
      <c r="J1442" s="2" t="s">
        <v>34</v>
      </c>
      <c r="K1442" s="2" t="s">
        <v>3538</v>
      </c>
      <c r="L1442" s="2" t="s">
        <v>3539</v>
      </c>
      <c r="M1442" s="2" t="s">
        <v>70</v>
      </c>
      <c r="N1442" s="2" t="s">
        <v>38</v>
      </c>
      <c r="O1442" s="2" t="s">
        <v>141</v>
      </c>
      <c r="P1442" s="2" t="s">
        <v>9528</v>
      </c>
      <c r="Q1442" s="2" t="s">
        <v>9538</v>
      </c>
      <c r="R1442" s="2" t="s">
        <v>40</v>
      </c>
      <c r="S1442" s="2" t="s">
        <v>9539</v>
      </c>
      <c r="T1442" s="2" t="s">
        <v>2755</v>
      </c>
      <c r="U1442" s="2" t="s">
        <v>9540</v>
      </c>
      <c r="V1442" s="2" t="s">
        <v>9541</v>
      </c>
      <c r="W1442" s="1"/>
      <c r="X1442" s="2" t="s">
        <v>2278</v>
      </c>
      <c r="Y1442" s="2" t="s">
        <v>9166</v>
      </c>
      <c r="AA1442" t="str">
        <f t="shared" si="132"/>
        <v>2026-01</v>
      </c>
      <c r="AB1442" t="str">
        <f t="shared" si="133"/>
        <v>H1_2026</v>
      </c>
      <c r="AC1442">
        <f t="shared" si="134"/>
        <v>211343.04</v>
      </c>
      <c r="AD1442">
        <f t="shared" si="135"/>
        <v>30</v>
      </c>
      <c r="AE1442">
        <f t="shared" si="136"/>
        <v>40343.040000000001</v>
      </c>
      <c r="AF1442" t="str">
        <f t="shared" si="137"/>
        <v>Paid</v>
      </c>
    </row>
    <row r="1443" spans="1:32" ht="27.75" thickBot="1" x14ac:dyDescent="0.35">
      <c r="A1443" s="2" t="s">
        <v>9542</v>
      </c>
      <c r="B1443" s="2" t="s">
        <v>27</v>
      </c>
      <c r="C1443" s="2" t="s">
        <v>28</v>
      </c>
      <c r="D1443" s="2" t="s">
        <v>97</v>
      </c>
      <c r="E1443" s="2" t="s">
        <v>9159</v>
      </c>
      <c r="F1443" s="2" t="s">
        <v>8445</v>
      </c>
      <c r="G1443" s="2" t="s">
        <v>32</v>
      </c>
      <c r="H1443" s="1"/>
      <c r="I1443" s="2" t="s">
        <v>33</v>
      </c>
      <c r="J1443" s="2" t="s">
        <v>34</v>
      </c>
      <c r="K1443" s="2" t="s">
        <v>2759</v>
      </c>
      <c r="L1443" s="2" t="s">
        <v>2760</v>
      </c>
      <c r="M1443" s="2" t="s">
        <v>70</v>
      </c>
      <c r="N1443" s="2" t="s">
        <v>38</v>
      </c>
      <c r="O1443" s="2" t="s">
        <v>156</v>
      </c>
      <c r="P1443" s="2" t="s">
        <v>9528</v>
      </c>
      <c r="Q1443" s="2" t="s">
        <v>9543</v>
      </c>
      <c r="R1443" s="2" t="s">
        <v>40</v>
      </c>
      <c r="S1443" s="2" t="s">
        <v>9544</v>
      </c>
      <c r="T1443" s="2" t="s">
        <v>2755</v>
      </c>
      <c r="U1443" s="2" t="s">
        <v>8894</v>
      </c>
      <c r="V1443" s="2" t="s">
        <v>9545</v>
      </c>
      <c r="W1443" s="1"/>
      <c r="X1443" s="2" t="s">
        <v>2278</v>
      </c>
      <c r="Y1443" s="2" t="s">
        <v>9166</v>
      </c>
      <c r="AA1443" t="str">
        <f t="shared" si="132"/>
        <v>2026-01</v>
      </c>
      <c r="AB1443" t="str">
        <f t="shared" si="133"/>
        <v>H1_2026</v>
      </c>
      <c r="AC1443">
        <f t="shared" si="134"/>
        <v>140895.35999999999</v>
      </c>
      <c r="AD1443">
        <f t="shared" si="135"/>
        <v>20</v>
      </c>
      <c r="AE1443">
        <f t="shared" si="136"/>
        <v>26895.360000000001</v>
      </c>
      <c r="AF1443" t="str">
        <f t="shared" si="137"/>
        <v>Paid</v>
      </c>
    </row>
    <row r="1444" spans="1:32" ht="17.25" thickBot="1" x14ac:dyDescent="0.35">
      <c r="A1444" s="2" t="s">
        <v>9546</v>
      </c>
      <c r="B1444" s="2" t="s">
        <v>27</v>
      </c>
      <c r="C1444" s="2" t="s">
        <v>28</v>
      </c>
      <c r="D1444" s="2" t="s">
        <v>97</v>
      </c>
      <c r="E1444" s="2" t="s">
        <v>9159</v>
      </c>
      <c r="F1444" s="2" t="s">
        <v>8445</v>
      </c>
      <c r="G1444" s="2" t="s">
        <v>32</v>
      </c>
      <c r="H1444" s="1"/>
      <c r="I1444" s="2" t="s">
        <v>33</v>
      </c>
      <c r="J1444" s="2" t="s">
        <v>34</v>
      </c>
      <c r="K1444" s="2" t="s">
        <v>2789</v>
      </c>
      <c r="L1444" s="2" t="s">
        <v>2790</v>
      </c>
      <c r="M1444" s="2" t="s">
        <v>70</v>
      </c>
      <c r="N1444" s="2" t="s">
        <v>38</v>
      </c>
      <c r="O1444" s="2" t="s">
        <v>1150</v>
      </c>
      <c r="P1444" s="2" t="s">
        <v>306</v>
      </c>
      <c r="Q1444" s="2" t="s">
        <v>9547</v>
      </c>
      <c r="R1444" s="2" t="s">
        <v>40</v>
      </c>
      <c r="S1444" s="2" t="s">
        <v>9548</v>
      </c>
      <c r="T1444" s="2" t="s">
        <v>4850</v>
      </c>
      <c r="U1444" s="2" t="s">
        <v>9549</v>
      </c>
      <c r="V1444" s="2" t="s">
        <v>9550</v>
      </c>
      <c r="W1444" s="1"/>
      <c r="X1444" s="2" t="s">
        <v>2797</v>
      </c>
      <c r="Y1444" s="2" t="s">
        <v>9166</v>
      </c>
      <c r="AA1444" t="str">
        <f t="shared" si="132"/>
        <v>2026-01</v>
      </c>
      <c r="AB1444" t="str">
        <f t="shared" si="133"/>
        <v>H1_2026</v>
      </c>
      <c r="AC1444">
        <f t="shared" si="134"/>
        <v>1124131.32</v>
      </c>
      <c r="AD1444">
        <f t="shared" si="135"/>
        <v>130</v>
      </c>
      <c r="AE1444">
        <f t="shared" si="136"/>
        <v>230641.32</v>
      </c>
      <c r="AF1444" t="str">
        <f t="shared" si="137"/>
        <v>Paid</v>
      </c>
    </row>
    <row r="1445" spans="1:32" ht="27.75" thickBot="1" x14ac:dyDescent="0.35">
      <c r="A1445" s="2" t="s">
        <v>9551</v>
      </c>
      <c r="B1445" s="2" t="s">
        <v>27</v>
      </c>
      <c r="C1445" s="2" t="s">
        <v>28</v>
      </c>
      <c r="D1445" s="2" t="s">
        <v>97</v>
      </c>
      <c r="E1445" s="2" t="s">
        <v>9159</v>
      </c>
      <c r="F1445" s="2" t="s">
        <v>8445</v>
      </c>
      <c r="G1445" s="2" t="s">
        <v>32</v>
      </c>
      <c r="H1445" s="1"/>
      <c r="I1445" s="2" t="s">
        <v>33</v>
      </c>
      <c r="J1445" s="2" t="s">
        <v>34</v>
      </c>
      <c r="K1445" s="2" t="s">
        <v>2808</v>
      </c>
      <c r="L1445" s="2" t="s">
        <v>2809</v>
      </c>
      <c r="M1445" s="2" t="s">
        <v>70</v>
      </c>
      <c r="N1445" s="2" t="s">
        <v>38</v>
      </c>
      <c r="O1445" s="2" t="s">
        <v>1333</v>
      </c>
      <c r="P1445" s="2" t="s">
        <v>9552</v>
      </c>
      <c r="Q1445" s="2" t="s">
        <v>9553</v>
      </c>
      <c r="R1445" s="2" t="s">
        <v>40</v>
      </c>
      <c r="S1445" s="2" t="s">
        <v>9554</v>
      </c>
      <c r="T1445" s="2" t="s">
        <v>40</v>
      </c>
      <c r="U1445" s="2" t="s">
        <v>40</v>
      </c>
      <c r="V1445" s="2" t="s">
        <v>9554</v>
      </c>
      <c r="W1445" s="1"/>
      <c r="X1445" s="2" t="s">
        <v>2155</v>
      </c>
      <c r="Y1445" s="2" t="s">
        <v>9166</v>
      </c>
      <c r="AA1445" t="str">
        <f t="shared" si="132"/>
        <v>2026-01</v>
      </c>
      <c r="AB1445" t="str">
        <f t="shared" si="133"/>
        <v>H1_2026</v>
      </c>
      <c r="AC1445">
        <f t="shared" si="134"/>
        <v>799032.6</v>
      </c>
      <c r="AD1445">
        <f t="shared" si="135"/>
        <v>150</v>
      </c>
      <c r="AE1445">
        <f t="shared" si="136"/>
        <v>799032.6</v>
      </c>
      <c r="AF1445" t="str">
        <f t="shared" si="137"/>
        <v>Paid</v>
      </c>
    </row>
    <row r="1446" spans="1:32" ht="27.75" thickBot="1" x14ac:dyDescent="0.35">
      <c r="A1446" s="2" t="s">
        <v>9555</v>
      </c>
      <c r="B1446" s="2" t="s">
        <v>27</v>
      </c>
      <c r="C1446" s="2" t="s">
        <v>28</v>
      </c>
      <c r="D1446" s="2" t="s">
        <v>97</v>
      </c>
      <c r="E1446" s="2" t="s">
        <v>9159</v>
      </c>
      <c r="F1446" s="2" t="s">
        <v>8445</v>
      </c>
      <c r="G1446" s="2" t="s">
        <v>32</v>
      </c>
      <c r="H1446" s="1"/>
      <c r="I1446" s="2" t="s">
        <v>33</v>
      </c>
      <c r="J1446" s="2" t="s">
        <v>34</v>
      </c>
      <c r="K1446" s="2" t="s">
        <v>2817</v>
      </c>
      <c r="L1446" s="2" t="s">
        <v>2818</v>
      </c>
      <c r="M1446" s="2" t="s">
        <v>70</v>
      </c>
      <c r="N1446" s="2" t="s">
        <v>38</v>
      </c>
      <c r="O1446" s="2" t="s">
        <v>890</v>
      </c>
      <c r="P1446" s="2" t="s">
        <v>9552</v>
      </c>
      <c r="Q1446" s="2" t="s">
        <v>9556</v>
      </c>
      <c r="R1446" s="2" t="s">
        <v>40</v>
      </c>
      <c r="S1446" s="2" t="s">
        <v>9557</v>
      </c>
      <c r="T1446" s="2" t="s">
        <v>7901</v>
      </c>
      <c r="U1446" s="2" t="s">
        <v>9558</v>
      </c>
      <c r="V1446" s="2" t="s">
        <v>9559</v>
      </c>
      <c r="W1446" s="1"/>
      <c r="X1446" s="2" t="s">
        <v>9560</v>
      </c>
      <c r="Y1446" s="2" t="s">
        <v>9166</v>
      </c>
      <c r="AA1446" t="str">
        <f t="shared" si="132"/>
        <v>2026-01</v>
      </c>
      <c r="AB1446" t="str">
        <f t="shared" si="133"/>
        <v>H1_2026</v>
      </c>
      <c r="AC1446">
        <f t="shared" si="134"/>
        <v>1757871.72</v>
      </c>
      <c r="AD1446">
        <f t="shared" si="135"/>
        <v>330</v>
      </c>
      <c r="AE1446">
        <f t="shared" si="136"/>
        <v>539841.72</v>
      </c>
      <c r="AF1446" t="str">
        <f t="shared" si="137"/>
        <v>Paid</v>
      </c>
    </row>
    <row r="1447" spans="1:32" ht="17.25" thickBot="1" x14ac:dyDescent="0.35">
      <c r="A1447" s="2" t="s">
        <v>9561</v>
      </c>
      <c r="B1447" s="2" t="s">
        <v>27</v>
      </c>
      <c r="C1447" s="2" t="s">
        <v>28</v>
      </c>
      <c r="D1447" s="2" t="s">
        <v>97</v>
      </c>
      <c r="E1447" s="2" t="s">
        <v>9159</v>
      </c>
      <c r="F1447" s="2" t="s">
        <v>8445</v>
      </c>
      <c r="G1447" s="2" t="s">
        <v>32</v>
      </c>
      <c r="H1447" s="1"/>
      <c r="I1447" s="2" t="s">
        <v>33</v>
      </c>
      <c r="J1447" s="2" t="s">
        <v>34</v>
      </c>
      <c r="K1447" s="2" t="s">
        <v>2836</v>
      </c>
      <c r="L1447" s="2" t="s">
        <v>2837</v>
      </c>
      <c r="M1447" s="2" t="s">
        <v>70</v>
      </c>
      <c r="N1447" s="2" t="s">
        <v>38</v>
      </c>
      <c r="O1447" s="2" t="s">
        <v>156</v>
      </c>
      <c r="P1447" s="2" t="s">
        <v>1933</v>
      </c>
      <c r="Q1447" s="2" t="s">
        <v>9562</v>
      </c>
      <c r="R1447" s="2" t="s">
        <v>40</v>
      </c>
      <c r="S1447" s="2" t="s">
        <v>9563</v>
      </c>
      <c r="T1447" s="2" t="s">
        <v>2840</v>
      </c>
      <c r="U1447" s="2" t="s">
        <v>9564</v>
      </c>
      <c r="V1447" s="2" t="s">
        <v>9565</v>
      </c>
      <c r="W1447" s="1"/>
      <c r="X1447" s="2" t="s">
        <v>2843</v>
      </c>
      <c r="Y1447" s="2" t="s">
        <v>9166</v>
      </c>
      <c r="AA1447" t="str">
        <f t="shared" si="132"/>
        <v>2026-01</v>
      </c>
      <c r="AB1447" t="str">
        <f t="shared" si="133"/>
        <v>H1_2026</v>
      </c>
      <c r="AC1447">
        <f t="shared" si="134"/>
        <v>244834.56</v>
      </c>
      <c r="AD1447">
        <f t="shared" si="135"/>
        <v>20</v>
      </c>
      <c r="AE1447">
        <f t="shared" si="136"/>
        <v>113925.47</v>
      </c>
      <c r="AF1447" t="str">
        <f t="shared" si="137"/>
        <v>Paid</v>
      </c>
    </row>
    <row r="1448" spans="1:32" ht="27.75" thickBot="1" x14ac:dyDescent="0.35">
      <c r="A1448" s="2" t="s">
        <v>9566</v>
      </c>
      <c r="B1448" s="2" t="s">
        <v>27</v>
      </c>
      <c r="C1448" s="2" t="s">
        <v>28</v>
      </c>
      <c r="D1448" s="2" t="s">
        <v>97</v>
      </c>
      <c r="E1448" s="2" t="s">
        <v>9159</v>
      </c>
      <c r="F1448" s="2" t="s">
        <v>8445</v>
      </c>
      <c r="G1448" s="2" t="s">
        <v>32</v>
      </c>
      <c r="H1448" s="1"/>
      <c r="I1448" s="2" t="s">
        <v>33</v>
      </c>
      <c r="J1448" s="2" t="s">
        <v>34</v>
      </c>
      <c r="K1448" s="2" t="s">
        <v>2845</v>
      </c>
      <c r="L1448" s="2" t="s">
        <v>2846</v>
      </c>
      <c r="M1448" s="2" t="s">
        <v>70</v>
      </c>
      <c r="N1448" s="2" t="s">
        <v>38</v>
      </c>
      <c r="O1448" s="2" t="s">
        <v>1113</v>
      </c>
      <c r="P1448" s="2" t="s">
        <v>1970</v>
      </c>
      <c r="Q1448" s="2" t="s">
        <v>1971</v>
      </c>
      <c r="R1448" s="2" t="s">
        <v>40</v>
      </c>
      <c r="S1448" s="2" t="s">
        <v>9567</v>
      </c>
      <c r="T1448" s="2" t="s">
        <v>2714</v>
      </c>
      <c r="U1448" s="2" t="s">
        <v>9568</v>
      </c>
      <c r="V1448" s="2" t="s">
        <v>9569</v>
      </c>
      <c r="W1448" s="1"/>
      <c r="X1448" s="2" t="s">
        <v>651</v>
      </c>
      <c r="Y1448" s="2" t="s">
        <v>9166</v>
      </c>
      <c r="AA1448" t="str">
        <f t="shared" si="132"/>
        <v>2026-01</v>
      </c>
      <c r="AB1448" t="str">
        <f t="shared" si="133"/>
        <v>H1_2026</v>
      </c>
      <c r="AC1448">
        <f t="shared" si="134"/>
        <v>4100401.44</v>
      </c>
      <c r="AD1448">
        <f t="shared" si="135"/>
        <v>540</v>
      </c>
      <c r="AE1448">
        <f t="shared" si="136"/>
        <v>1253128.75</v>
      </c>
      <c r="AF1448" t="str">
        <f t="shared" si="137"/>
        <v>Paid</v>
      </c>
    </row>
    <row r="1449" spans="1:32" ht="17.25" thickBot="1" x14ac:dyDescent="0.35">
      <c r="A1449" s="2" t="s">
        <v>9570</v>
      </c>
      <c r="B1449" s="2" t="s">
        <v>27</v>
      </c>
      <c r="C1449" s="2" t="s">
        <v>28</v>
      </c>
      <c r="D1449" s="2" t="s">
        <v>97</v>
      </c>
      <c r="E1449" s="2" t="s">
        <v>9159</v>
      </c>
      <c r="F1449" s="2" t="s">
        <v>8445</v>
      </c>
      <c r="G1449" s="2" t="s">
        <v>32</v>
      </c>
      <c r="H1449" s="1"/>
      <c r="I1449" s="2" t="s">
        <v>33</v>
      </c>
      <c r="J1449" s="2" t="s">
        <v>34</v>
      </c>
      <c r="K1449" s="2" t="s">
        <v>2855</v>
      </c>
      <c r="L1449" s="2" t="s">
        <v>2856</v>
      </c>
      <c r="M1449" s="2" t="s">
        <v>70</v>
      </c>
      <c r="N1449" s="2" t="s">
        <v>38</v>
      </c>
      <c r="O1449" s="2" t="s">
        <v>79</v>
      </c>
      <c r="P1449" s="2" t="s">
        <v>8987</v>
      </c>
      <c r="Q1449" s="2" t="s">
        <v>9571</v>
      </c>
      <c r="R1449" s="2" t="s">
        <v>40</v>
      </c>
      <c r="S1449" s="2" t="s">
        <v>9572</v>
      </c>
      <c r="T1449" s="2" t="s">
        <v>2505</v>
      </c>
      <c r="U1449" s="2" t="s">
        <v>9573</v>
      </c>
      <c r="V1449" s="2" t="s">
        <v>9574</v>
      </c>
      <c r="W1449" s="1"/>
      <c r="X1449" s="2" t="s">
        <v>2863</v>
      </c>
      <c r="Y1449" s="2" t="s">
        <v>9166</v>
      </c>
      <c r="AA1449" t="str">
        <f t="shared" si="132"/>
        <v>2026-01</v>
      </c>
      <c r="AB1449" t="str">
        <f t="shared" si="133"/>
        <v>H1_2026</v>
      </c>
      <c r="AC1449">
        <f t="shared" si="134"/>
        <v>115632.36</v>
      </c>
      <c r="AD1449">
        <f t="shared" si="135"/>
        <v>10</v>
      </c>
      <c r="AE1449">
        <f t="shared" si="136"/>
        <v>35268.720000000001</v>
      </c>
      <c r="AF1449" t="str">
        <f t="shared" si="137"/>
        <v>Paid</v>
      </c>
    </row>
    <row r="1450" spans="1:32" ht="17.25" thickBot="1" x14ac:dyDescent="0.35">
      <c r="A1450" s="2" t="s">
        <v>9575</v>
      </c>
      <c r="B1450" s="2" t="s">
        <v>27</v>
      </c>
      <c r="C1450" s="2" t="s">
        <v>28</v>
      </c>
      <c r="D1450" s="2" t="s">
        <v>97</v>
      </c>
      <c r="E1450" s="2" t="s">
        <v>9159</v>
      </c>
      <c r="F1450" s="2" t="s">
        <v>8445</v>
      </c>
      <c r="G1450" s="2" t="s">
        <v>32</v>
      </c>
      <c r="H1450" s="1"/>
      <c r="I1450" s="2" t="s">
        <v>33</v>
      </c>
      <c r="J1450" s="2" t="s">
        <v>34</v>
      </c>
      <c r="K1450" s="2" t="s">
        <v>9576</v>
      </c>
      <c r="L1450" s="2" t="s">
        <v>9577</v>
      </c>
      <c r="M1450" s="2" t="s">
        <v>70</v>
      </c>
      <c r="N1450" s="2" t="s">
        <v>38</v>
      </c>
      <c r="O1450" s="2" t="s">
        <v>156</v>
      </c>
      <c r="P1450" s="2" t="s">
        <v>4453</v>
      </c>
      <c r="Q1450" s="2" t="s">
        <v>9578</v>
      </c>
      <c r="R1450" s="2" t="s">
        <v>40</v>
      </c>
      <c r="S1450" s="2" t="s">
        <v>9579</v>
      </c>
      <c r="T1450" s="2" t="s">
        <v>9580</v>
      </c>
      <c r="U1450" s="2" t="s">
        <v>9581</v>
      </c>
      <c r="V1450" s="2" t="s">
        <v>9582</v>
      </c>
      <c r="W1450" s="1"/>
      <c r="X1450" s="2" t="s">
        <v>2912</v>
      </c>
      <c r="Y1450" s="2" t="s">
        <v>9166</v>
      </c>
      <c r="AA1450" t="str">
        <f t="shared" si="132"/>
        <v>2026-01</v>
      </c>
      <c r="AB1450" t="str">
        <f t="shared" si="133"/>
        <v>H1_2026</v>
      </c>
      <c r="AC1450">
        <f t="shared" si="134"/>
        <v>224046.72</v>
      </c>
      <c r="AD1450">
        <f t="shared" si="135"/>
        <v>20</v>
      </c>
      <c r="AE1450">
        <f t="shared" si="136"/>
        <v>66226.720000000001</v>
      </c>
      <c r="AF1450" t="str">
        <f t="shared" si="137"/>
        <v>Paid</v>
      </c>
    </row>
    <row r="1451" spans="1:32" ht="27.75" thickBot="1" x14ac:dyDescent="0.35">
      <c r="A1451" s="2" t="s">
        <v>9583</v>
      </c>
      <c r="B1451" s="2" t="s">
        <v>27</v>
      </c>
      <c r="C1451" s="2" t="s">
        <v>28</v>
      </c>
      <c r="D1451" s="2" t="s">
        <v>97</v>
      </c>
      <c r="E1451" s="2" t="s">
        <v>9159</v>
      </c>
      <c r="F1451" s="2" t="s">
        <v>8445</v>
      </c>
      <c r="G1451" s="2" t="s">
        <v>32</v>
      </c>
      <c r="H1451" s="1"/>
      <c r="I1451" s="2" t="s">
        <v>33</v>
      </c>
      <c r="J1451" s="2" t="s">
        <v>34</v>
      </c>
      <c r="K1451" s="2" t="s">
        <v>2880</v>
      </c>
      <c r="L1451" s="2" t="s">
        <v>2881</v>
      </c>
      <c r="M1451" s="2" t="s">
        <v>70</v>
      </c>
      <c r="N1451" s="2" t="s">
        <v>38</v>
      </c>
      <c r="O1451" s="2" t="s">
        <v>156</v>
      </c>
      <c r="P1451" s="2" t="s">
        <v>6237</v>
      </c>
      <c r="Q1451" s="2" t="s">
        <v>9584</v>
      </c>
      <c r="R1451" s="2" t="s">
        <v>40</v>
      </c>
      <c r="S1451" s="2" t="s">
        <v>9585</v>
      </c>
      <c r="T1451" s="2" t="s">
        <v>3762</v>
      </c>
      <c r="U1451" s="2" t="s">
        <v>9586</v>
      </c>
      <c r="V1451" s="2" t="s">
        <v>9587</v>
      </c>
      <c r="W1451" s="1"/>
      <c r="X1451" s="2" t="s">
        <v>7918</v>
      </c>
      <c r="Y1451" s="2" t="s">
        <v>9166</v>
      </c>
      <c r="AA1451" t="str">
        <f t="shared" si="132"/>
        <v>2026-01</v>
      </c>
      <c r="AB1451" t="str">
        <f t="shared" si="133"/>
        <v>H1_2026</v>
      </c>
      <c r="AC1451">
        <f t="shared" si="134"/>
        <v>159950.88</v>
      </c>
      <c r="AD1451">
        <f t="shared" si="135"/>
        <v>20</v>
      </c>
      <c r="AE1451">
        <f t="shared" si="136"/>
        <v>47223.61</v>
      </c>
      <c r="AF1451" t="str">
        <f t="shared" si="137"/>
        <v>Paid</v>
      </c>
    </row>
    <row r="1452" spans="1:32" ht="17.25" thickBot="1" x14ac:dyDescent="0.35">
      <c r="A1452" s="2" t="s">
        <v>9588</v>
      </c>
      <c r="B1452" s="2" t="s">
        <v>27</v>
      </c>
      <c r="C1452" s="2" t="s">
        <v>28</v>
      </c>
      <c r="D1452" s="2" t="s">
        <v>97</v>
      </c>
      <c r="E1452" s="2" t="s">
        <v>9159</v>
      </c>
      <c r="F1452" s="2" t="s">
        <v>8445</v>
      </c>
      <c r="G1452" s="2" t="s">
        <v>32</v>
      </c>
      <c r="H1452" s="1"/>
      <c r="I1452" s="2" t="s">
        <v>33</v>
      </c>
      <c r="J1452" s="2" t="s">
        <v>34</v>
      </c>
      <c r="K1452" s="2" t="s">
        <v>2896</v>
      </c>
      <c r="L1452" s="2" t="s">
        <v>2897</v>
      </c>
      <c r="M1452" s="2" t="s">
        <v>70</v>
      </c>
      <c r="N1452" s="2" t="s">
        <v>38</v>
      </c>
      <c r="O1452" s="2" t="s">
        <v>156</v>
      </c>
      <c r="P1452" s="2" t="s">
        <v>5916</v>
      </c>
      <c r="Q1452" s="2" t="s">
        <v>7847</v>
      </c>
      <c r="R1452" s="2" t="s">
        <v>40</v>
      </c>
      <c r="S1452" s="2" t="s">
        <v>9589</v>
      </c>
      <c r="T1452" s="2" t="s">
        <v>9590</v>
      </c>
      <c r="U1452" s="2" t="s">
        <v>9591</v>
      </c>
      <c r="V1452" s="2" t="s">
        <v>9592</v>
      </c>
      <c r="W1452" s="1"/>
      <c r="X1452" s="2" t="s">
        <v>2894</v>
      </c>
      <c r="Y1452" s="2" t="s">
        <v>9166</v>
      </c>
      <c r="AA1452" t="str">
        <f t="shared" si="132"/>
        <v>2026-01</v>
      </c>
      <c r="AB1452" t="str">
        <f t="shared" si="133"/>
        <v>H1_2026</v>
      </c>
      <c r="AC1452">
        <f t="shared" si="134"/>
        <v>228088.8</v>
      </c>
      <c r="AD1452">
        <f t="shared" si="135"/>
        <v>20</v>
      </c>
      <c r="AE1452">
        <f t="shared" si="136"/>
        <v>69168.800000000003</v>
      </c>
      <c r="AF1452" t="str">
        <f t="shared" si="137"/>
        <v>Paid</v>
      </c>
    </row>
    <row r="1453" spans="1:32" ht="17.25" thickBot="1" x14ac:dyDescent="0.35">
      <c r="A1453" s="2" t="s">
        <v>9593</v>
      </c>
      <c r="B1453" s="2" t="s">
        <v>27</v>
      </c>
      <c r="C1453" s="2" t="s">
        <v>28</v>
      </c>
      <c r="D1453" s="2" t="s">
        <v>97</v>
      </c>
      <c r="E1453" s="2" t="s">
        <v>9159</v>
      </c>
      <c r="F1453" s="2" t="s">
        <v>8445</v>
      </c>
      <c r="G1453" s="2" t="s">
        <v>32</v>
      </c>
      <c r="H1453" s="1"/>
      <c r="I1453" s="2" t="s">
        <v>33</v>
      </c>
      <c r="J1453" s="2" t="s">
        <v>34</v>
      </c>
      <c r="K1453" s="2" t="s">
        <v>9594</v>
      </c>
      <c r="L1453" s="2" t="s">
        <v>9595</v>
      </c>
      <c r="M1453" s="2" t="s">
        <v>70</v>
      </c>
      <c r="N1453" s="2" t="s">
        <v>38</v>
      </c>
      <c r="O1453" s="2" t="s">
        <v>131</v>
      </c>
      <c r="P1453" s="2" t="s">
        <v>3579</v>
      </c>
      <c r="Q1453" s="2" t="s">
        <v>4454</v>
      </c>
      <c r="R1453" s="2" t="s">
        <v>40</v>
      </c>
      <c r="S1453" s="2" t="s">
        <v>9596</v>
      </c>
      <c r="T1453" s="2" t="s">
        <v>2919</v>
      </c>
      <c r="U1453" s="2" t="s">
        <v>9597</v>
      </c>
      <c r="V1453" s="2" t="s">
        <v>9598</v>
      </c>
      <c r="W1453" s="1"/>
      <c r="X1453" s="2" t="s">
        <v>2894</v>
      </c>
      <c r="Y1453" s="2" t="s">
        <v>9166</v>
      </c>
      <c r="AA1453" t="str">
        <f t="shared" si="132"/>
        <v>2026-01</v>
      </c>
      <c r="AB1453" t="str">
        <f t="shared" si="133"/>
        <v>H1_2026</v>
      </c>
      <c r="AC1453">
        <f t="shared" si="134"/>
        <v>336070.08</v>
      </c>
      <c r="AD1453">
        <f t="shared" si="135"/>
        <v>40</v>
      </c>
      <c r="AE1453">
        <f t="shared" si="136"/>
        <v>101870.08</v>
      </c>
      <c r="AF1453" t="str">
        <f t="shared" si="137"/>
        <v>Paid</v>
      </c>
    </row>
    <row r="1454" spans="1:32" ht="17.25" thickBot="1" x14ac:dyDescent="0.35">
      <c r="A1454" s="2" t="s">
        <v>9599</v>
      </c>
      <c r="B1454" s="2" t="s">
        <v>27</v>
      </c>
      <c r="C1454" s="2" t="s">
        <v>28</v>
      </c>
      <c r="D1454" s="2" t="s">
        <v>97</v>
      </c>
      <c r="E1454" s="2" t="s">
        <v>9159</v>
      </c>
      <c r="F1454" s="2" t="s">
        <v>8445</v>
      </c>
      <c r="G1454" s="2" t="s">
        <v>32</v>
      </c>
      <c r="H1454" s="1"/>
      <c r="I1454" s="2" t="s">
        <v>33</v>
      </c>
      <c r="J1454" s="2" t="s">
        <v>34</v>
      </c>
      <c r="K1454" s="2" t="s">
        <v>9600</v>
      </c>
      <c r="L1454" s="2" t="s">
        <v>9601</v>
      </c>
      <c r="M1454" s="2" t="s">
        <v>3629</v>
      </c>
      <c r="N1454" s="2" t="s">
        <v>38</v>
      </c>
      <c r="O1454" s="2" t="s">
        <v>51</v>
      </c>
      <c r="P1454" s="2" t="s">
        <v>9602</v>
      </c>
      <c r="Q1454" s="2" t="s">
        <v>9603</v>
      </c>
      <c r="R1454" s="2" t="s">
        <v>40</v>
      </c>
      <c r="S1454" s="2" t="s">
        <v>9604</v>
      </c>
      <c r="T1454" s="2" t="s">
        <v>9605</v>
      </c>
      <c r="U1454" s="2" t="s">
        <v>9606</v>
      </c>
      <c r="V1454" s="2" t="s">
        <v>9607</v>
      </c>
      <c r="W1454" s="1"/>
      <c r="X1454" s="2" t="s">
        <v>9608</v>
      </c>
      <c r="Y1454" s="2" t="s">
        <v>9166</v>
      </c>
      <c r="AA1454" t="str">
        <f t="shared" si="132"/>
        <v>2026-01</v>
      </c>
      <c r="AB1454" t="str">
        <f t="shared" si="133"/>
        <v>H1_2026</v>
      </c>
      <c r="AC1454">
        <f t="shared" si="134"/>
        <v>24339.1</v>
      </c>
      <c r="AD1454">
        <f t="shared" si="135"/>
        <v>3</v>
      </c>
      <c r="AE1454">
        <f t="shared" si="136"/>
        <v>11280.1</v>
      </c>
      <c r="AF1454" t="str">
        <f t="shared" si="137"/>
        <v>Paid</v>
      </c>
    </row>
    <row r="1455" spans="1:32" ht="17.25" thickBot="1" x14ac:dyDescent="0.35">
      <c r="A1455" s="2" t="s">
        <v>9609</v>
      </c>
      <c r="B1455" s="2" t="s">
        <v>27</v>
      </c>
      <c r="C1455" s="2" t="s">
        <v>28</v>
      </c>
      <c r="D1455" s="2" t="s">
        <v>97</v>
      </c>
      <c r="E1455" s="2" t="s">
        <v>9159</v>
      </c>
      <c r="F1455" s="2" t="s">
        <v>8445</v>
      </c>
      <c r="G1455" s="2" t="s">
        <v>32</v>
      </c>
      <c r="H1455" s="1"/>
      <c r="I1455" s="2" t="s">
        <v>33</v>
      </c>
      <c r="J1455" s="2" t="s">
        <v>34</v>
      </c>
      <c r="K1455" s="2" t="s">
        <v>8757</v>
      </c>
      <c r="L1455" s="2" t="s">
        <v>8758</v>
      </c>
      <c r="M1455" s="2" t="s">
        <v>3629</v>
      </c>
      <c r="N1455" s="2" t="s">
        <v>38</v>
      </c>
      <c r="O1455" s="2" t="s">
        <v>79</v>
      </c>
      <c r="P1455" s="2" t="s">
        <v>4148</v>
      </c>
      <c r="Q1455" s="2" t="s">
        <v>9610</v>
      </c>
      <c r="R1455" s="2" t="s">
        <v>40</v>
      </c>
      <c r="S1455" s="2" t="s">
        <v>9611</v>
      </c>
      <c r="T1455" s="2" t="s">
        <v>8761</v>
      </c>
      <c r="U1455" s="2" t="s">
        <v>8762</v>
      </c>
      <c r="V1455" s="2" t="s">
        <v>9612</v>
      </c>
      <c r="W1455" s="1"/>
      <c r="X1455" s="2" t="s">
        <v>7108</v>
      </c>
      <c r="Y1455" s="2" t="s">
        <v>9166</v>
      </c>
      <c r="AA1455" t="str">
        <f t="shared" si="132"/>
        <v>2026-01</v>
      </c>
      <c r="AB1455" t="str">
        <f t="shared" si="133"/>
        <v>H1_2026</v>
      </c>
      <c r="AC1455">
        <f t="shared" si="134"/>
        <v>139163.04</v>
      </c>
      <c r="AD1455">
        <f t="shared" si="135"/>
        <v>10</v>
      </c>
      <c r="AE1455">
        <f t="shared" si="136"/>
        <v>30343.040000000001</v>
      </c>
      <c r="AF1455" t="str">
        <f t="shared" si="137"/>
        <v>Paid</v>
      </c>
    </row>
    <row r="1456" spans="1:32" ht="17.25" thickBot="1" x14ac:dyDescent="0.35">
      <c r="A1456" s="2" t="s">
        <v>9613</v>
      </c>
      <c r="B1456" s="2" t="s">
        <v>27</v>
      </c>
      <c r="C1456" s="2" t="s">
        <v>28</v>
      </c>
      <c r="D1456" s="2" t="s">
        <v>97</v>
      </c>
      <c r="E1456" s="2" t="s">
        <v>9159</v>
      </c>
      <c r="F1456" s="2" t="s">
        <v>8445</v>
      </c>
      <c r="G1456" s="2" t="s">
        <v>32</v>
      </c>
      <c r="H1456" s="1"/>
      <c r="I1456" s="2" t="s">
        <v>33</v>
      </c>
      <c r="J1456" s="2" t="s">
        <v>34</v>
      </c>
      <c r="K1456" s="2" t="s">
        <v>3627</v>
      </c>
      <c r="L1456" s="2" t="s">
        <v>3628</v>
      </c>
      <c r="M1456" s="2" t="s">
        <v>3629</v>
      </c>
      <c r="N1456" s="2" t="s">
        <v>38</v>
      </c>
      <c r="O1456" s="2" t="s">
        <v>313</v>
      </c>
      <c r="P1456" s="2" t="s">
        <v>655</v>
      </c>
      <c r="Q1456" s="2" t="s">
        <v>9614</v>
      </c>
      <c r="R1456" s="2" t="s">
        <v>40</v>
      </c>
      <c r="S1456" s="2" t="s">
        <v>9615</v>
      </c>
      <c r="T1456" s="2" t="s">
        <v>9616</v>
      </c>
      <c r="U1456" s="2" t="s">
        <v>9617</v>
      </c>
      <c r="V1456" s="2" t="s">
        <v>9618</v>
      </c>
      <c r="W1456" s="1"/>
      <c r="X1456" s="2" t="s">
        <v>3636</v>
      </c>
      <c r="Y1456" s="2" t="s">
        <v>9166</v>
      </c>
      <c r="AA1456" t="str">
        <f t="shared" si="132"/>
        <v>2026-01</v>
      </c>
      <c r="AB1456" t="str">
        <f t="shared" si="133"/>
        <v>H1_2026</v>
      </c>
      <c r="AC1456">
        <f t="shared" si="134"/>
        <v>437757.26</v>
      </c>
      <c r="AD1456">
        <f t="shared" si="135"/>
        <v>38</v>
      </c>
      <c r="AE1456">
        <f t="shared" si="136"/>
        <v>57339.26</v>
      </c>
      <c r="AF1456" t="str">
        <f t="shared" si="137"/>
        <v>Paid</v>
      </c>
    </row>
    <row r="1457" spans="1:32" ht="17.25" thickBot="1" x14ac:dyDescent="0.35">
      <c r="A1457" s="2" t="s">
        <v>9619</v>
      </c>
      <c r="B1457" s="2" t="s">
        <v>27</v>
      </c>
      <c r="C1457" s="2" t="s">
        <v>28</v>
      </c>
      <c r="D1457" s="2" t="s">
        <v>97</v>
      </c>
      <c r="E1457" s="2" t="s">
        <v>9159</v>
      </c>
      <c r="F1457" s="2" t="s">
        <v>8445</v>
      </c>
      <c r="G1457" s="2" t="s">
        <v>32</v>
      </c>
      <c r="H1457" s="1"/>
      <c r="I1457" s="2" t="s">
        <v>33</v>
      </c>
      <c r="J1457" s="2" t="s">
        <v>34</v>
      </c>
      <c r="K1457" s="2" t="s">
        <v>9620</v>
      </c>
      <c r="L1457" s="2" t="s">
        <v>9621</v>
      </c>
      <c r="M1457" s="2" t="s">
        <v>3629</v>
      </c>
      <c r="N1457" s="2" t="s">
        <v>38</v>
      </c>
      <c r="O1457" s="2" t="s">
        <v>471</v>
      </c>
      <c r="P1457" s="2" t="s">
        <v>6448</v>
      </c>
      <c r="Q1457" s="2" t="s">
        <v>9622</v>
      </c>
      <c r="R1457" s="2" t="s">
        <v>40</v>
      </c>
      <c r="S1457" s="2" t="s">
        <v>9623</v>
      </c>
      <c r="T1457" s="2" t="s">
        <v>9624</v>
      </c>
      <c r="U1457" s="2" t="s">
        <v>9625</v>
      </c>
      <c r="V1457" s="2" t="s">
        <v>9626</v>
      </c>
      <c r="W1457" s="1"/>
      <c r="X1457" s="2" t="s">
        <v>4450</v>
      </c>
      <c r="Y1457" s="2" t="s">
        <v>9166</v>
      </c>
      <c r="AA1457" t="str">
        <f t="shared" si="132"/>
        <v>2026-01</v>
      </c>
      <c r="AB1457" t="str">
        <f t="shared" si="133"/>
        <v>H1_2026</v>
      </c>
      <c r="AC1457">
        <f t="shared" si="134"/>
        <v>369994.68</v>
      </c>
      <c r="AD1457">
        <f t="shared" si="135"/>
        <v>55</v>
      </c>
      <c r="AE1457">
        <f t="shared" si="136"/>
        <v>82674.679999999993</v>
      </c>
      <c r="AF1457" t="str">
        <f t="shared" si="137"/>
        <v>Paid</v>
      </c>
    </row>
    <row r="1458" spans="1:32" ht="17.25" thickBot="1" x14ac:dyDescent="0.35">
      <c r="A1458" s="2" t="s">
        <v>9627</v>
      </c>
      <c r="B1458" s="2" t="s">
        <v>27</v>
      </c>
      <c r="C1458" s="2" t="s">
        <v>28</v>
      </c>
      <c r="D1458" s="2" t="s">
        <v>97</v>
      </c>
      <c r="E1458" s="2" t="s">
        <v>9159</v>
      </c>
      <c r="F1458" s="2" t="s">
        <v>8445</v>
      </c>
      <c r="G1458" s="2" t="s">
        <v>32</v>
      </c>
      <c r="H1458" s="1"/>
      <c r="I1458" s="2" t="s">
        <v>33</v>
      </c>
      <c r="J1458" s="2" t="s">
        <v>34</v>
      </c>
      <c r="K1458" s="2" t="s">
        <v>9628</v>
      </c>
      <c r="L1458" s="2" t="s">
        <v>9629</v>
      </c>
      <c r="M1458" s="2" t="s">
        <v>9630</v>
      </c>
      <c r="N1458" s="2" t="s">
        <v>38</v>
      </c>
      <c r="O1458" s="2" t="s">
        <v>156</v>
      </c>
      <c r="P1458" s="2" t="s">
        <v>8625</v>
      </c>
      <c r="Q1458" s="2" t="s">
        <v>6364</v>
      </c>
      <c r="R1458" s="2" t="s">
        <v>40</v>
      </c>
      <c r="S1458" s="2" t="s">
        <v>9631</v>
      </c>
      <c r="T1458" s="2" t="s">
        <v>9632</v>
      </c>
      <c r="U1458" s="2" t="s">
        <v>9633</v>
      </c>
      <c r="V1458" s="2" t="s">
        <v>9634</v>
      </c>
      <c r="W1458" s="1"/>
      <c r="X1458" s="2" t="s">
        <v>9635</v>
      </c>
      <c r="Y1458" s="2" t="s">
        <v>9166</v>
      </c>
      <c r="AA1458" t="str">
        <f t="shared" si="132"/>
        <v>2026-01</v>
      </c>
      <c r="AB1458" t="str">
        <f t="shared" si="133"/>
        <v>H1_2026</v>
      </c>
      <c r="AC1458">
        <f t="shared" si="134"/>
        <v>51969.599999999999</v>
      </c>
      <c r="AD1458">
        <f t="shared" si="135"/>
        <v>20</v>
      </c>
      <c r="AE1458">
        <f t="shared" si="136"/>
        <v>20151.419999999998</v>
      </c>
      <c r="AF1458" t="str">
        <f t="shared" si="137"/>
        <v>Paid</v>
      </c>
    </row>
    <row r="1459" spans="1:32" ht="17.25" thickBot="1" x14ac:dyDescent="0.35">
      <c r="A1459" s="2" t="s">
        <v>9636</v>
      </c>
      <c r="B1459" s="2" t="s">
        <v>27</v>
      </c>
      <c r="C1459" s="2" t="s">
        <v>28</v>
      </c>
      <c r="D1459" s="2" t="s">
        <v>97</v>
      </c>
      <c r="E1459" s="2" t="s">
        <v>9159</v>
      </c>
      <c r="F1459" s="2" t="s">
        <v>8445</v>
      </c>
      <c r="G1459" s="2" t="s">
        <v>32</v>
      </c>
      <c r="H1459" s="1"/>
      <c r="I1459" s="2" t="s">
        <v>33</v>
      </c>
      <c r="J1459" s="2" t="s">
        <v>34</v>
      </c>
      <c r="K1459" s="2" t="s">
        <v>770</v>
      </c>
      <c r="L1459" s="2" t="s">
        <v>771</v>
      </c>
      <c r="M1459" s="2" t="s">
        <v>772</v>
      </c>
      <c r="N1459" s="2" t="s">
        <v>38</v>
      </c>
      <c r="O1459" s="2" t="s">
        <v>977</v>
      </c>
      <c r="P1459" s="2" t="s">
        <v>9637</v>
      </c>
      <c r="Q1459" s="2" t="s">
        <v>9638</v>
      </c>
      <c r="R1459" s="2" t="s">
        <v>40</v>
      </c>
      <c r="S1459" s="2" t="s">
        <v>9639</v>
      </c>
      <c r="T1459" s="2" t="s">
        <v>2684</v>
      </c>
      <c r="U1459" s="2" t="s">
        <v>9640</v>
      </c>
      <c r="V1459" s="2" t="s">
        <v>9641</v>
      </c>
      <c r="W1459" s="1"/>
      <c r="X1459" s="2" t="s">
        <v>9642</v>
      </c>
      <c r="Y1459" s="2" t="s">
        <v>9166</v>
      </c>
      <c r="AA1459" t="str">
        <f t="shared" si="132"/>
        <v>2026-01</v>
      </c>
      <c r="AB1459" t="str">
        <f t="shared" si="133"/>
        <v>H1_2026</v>
      </c>
      <c r="AC1459">
        <f t="shared" si="134"/>
        <v>955951.92</v>
      </c>
      <c r="AD1459">
        <f t="shared" si="135"/>
        <v>110</v>
      </c>
      <c r="AE1459">
        <f t="shared" si="136"/>
        <v>350951.92</v>
      </c>
      <c r="AF1459" t="str">
        <f t="shared" si="137"/>
        <v>Paid</v>
      </c>
    </row>
    <row r="1460" spans="1:32" ht="17.25" thickBot="1" x14ac:dyDescent="0.35">
      <c r="A1460" s="2" t="s">
        <v>9643</v>
      </c>
      <c r="B1460" s="2" t="s">
        <v>27</v>
      </c>
      <c r="C1460" s="2" t="s">
        <v>28</v>
      </c>
      <c r="D1460" s="2" t="s">
        <v>97</v>
      </c>
      <c r="E1460" s="2" t="s">
        <v>9159</v>
      </c>
      <c r="F1460" s="2" t="s">
        <v>8445</v>
      </c>
      <c r="G1460" s="2" t="s">
        <v>32</v>
      </c>
      <c r="H1460" s="1"/>
      <c r="I1460" s="2" t="s">
        <v>33</v>
      </c>
      <c r="J1460" s="2" t="s">
        <v>34</v>
      </c>
      <c r="K1460" s="2" t="s">
        <v>780</v>
      </c>
      <c r="L1460" s="2" t="s">
        <v>781</v>
      </c>
      <c r="M1460" s="2" t="s">
        <v>772</v>
      </c>
      <c r="N1460" s="2" t="s">
        <v>38</v>
      </c>
      <c r="O1460" s="2" t="s">
        <v>3921</v>
      </c>
      <c r="P1460" s="2" t="s">
        <v>9637</v>
      </c>
      <c r="Q1460" s="2" t="s">
        <v>9644</v>
      </c>
      <c r="R1460" s="2" t="s">
        <v>40</v>
      </c>
      <c r="S1460" s="2" t="s">
        <v>9645</v>
      </c>
      <c r="T1460" s="2" t="s">
        <v>6652</v>
      </c>
      <c r="U1460" s="2" t="s">
        <v>9646</v>
      </c>
      <c r="V1460" s="2" t="s">
        <v>9647</v>
      </c>
      <c r="W1460" s="1"/>
      <c r="X1460" s="2" t="s">
        <v>1091</v>
      </c>
      <c r="Y1460" s="2" t="s">
        <v>9166</v>
      </c>
      <c r="AA1460" t="str">
        <f t="shared" si="132"/>
        <v>2026-01</v>
      </c>
      <c r="AB1460" t="str">
        <f t="shared" si="133"/>
        <v>H1_2026</v>
      </c>
      <c r="AC1460">
        <f t="shared" si="134"/>
        <v>4432140.72</v>
      </c>
      <c r="AD1460">
        <f t="shared" si="135"/>
        <v>510</v>
      </c>
      <c r="AE1460">
        <f t="shared" si="136"/>
        <v>1117140.72</v>
      </c>
      <c r="AF1460" t="str">
        <f t="shared" si="137"/>
        <v>Paid</v>
      </c>
    </row>
    <row r="1461" spans="1:32" ht="17.25" thickBot="1" x14ac:dyDescent="0.35">
      <c r="A1461" s="2" t="s">
        <v>9648</v>
      </c>
      <c r="B1461" s="2" t="s">
        <v>27</v>
      </c>
      <c r="C1461" s="2" t="s">
        <v>28</v>
      </c>
      <c r="D1461" s="2" t="s">
        <v>97</v>
      </c>
      <c r="E1461" s="2" t="s">
        <v>9159</v>
      </c>
      <c r="F1461" s="2" t="s">
        <v>8445</v>
      </c>
      <c r="G1461" s="2" t="s">
        <v>32</v>
      </c>
      <c r="H1461" s="1"/>
      <c r="I1461" s="2" t="s">
        <v>33</v>
      </c>
      <c r="J1461" s="2" t="s">
        <v>34</v>
      </c>
      <c r="K1461" s="2" t="s">
        <v>808</v>
      </c>
      <c r="L1461" s="2" t="s">
        <v>809</v>
      </c>
      <c r="M1461" s="2" t="s">
        <v>772</v>
      </c>
      <c r="N1461" s="2" t="s">
        <v>38</v>
      </c>
      <c r="O1461" s="2" t="s">
        <v>9649</v>
      </c>
      <c r="P1461" s="2" t="s">
        <v>7933</v>
      </c>
      <c r="Q1461" s="2" t="s">
        <v>9650</v>
      </c>
      <c r="R1461" s="2" t="s">
        <v>40</v>
      </c>
      <c r="S1461" s="2" t="s">
        <v>9651</v>
      </c>
      <c r="T1461" s="2" t="s">
        <v>814</v>
      </c>
      <c r="U1461" s="2" t="s">
        <v>9652</v>
      </c>
      <c r="V1461" s="2" t="s">
        <v>9653</v>
      </c>
      <c r="W1461" s="1"/>
      <c r="X1461" s="2" t="s">
        <v>2072</v>
      </c>
      <c r="Y1461" s="2" t="s">
        <v>9166</v>
      </c>
      <c r="AA1461" t="str">
        <f t="shared" si="132"/>
        <v>2026-01</v>
      </c>
      <c r="AB1461" t="str">
        <f t="shared" si="133"/>
        <v>H1_2026</v>
      </c>
      <c r="AC1461">
        <f t="shared" si="134"/>
        <v>47923189.200000003</v>
      </c>
      <c r="AD1461">
        <f t="shared" si="135"/>
        <v>3730</v>
      </c>
      <c r="AE1461">
        <f t="shared" si="136"/>
        <v>9653389.1999999993</v>
      </c>
      <c r="AF1461" t="str">
        <f t="shared" si="137"/>
        <v>Paid</v>
      </c>
    </row>
    <row r="1462" spans="1:32" ht="17.25" thickBot="1" x14ac:dyDescent="0.35">
      <c r="A1462" s="2" t="s">
        <v>9654</v>
      </c>
      <c r="B1462" s="2" t="s">
        <v>27</v>
      </c>
      <c r="C1462" s="2" t="s">
        <v>28</v>
      </c>
      <c r="D1462" s="2" t="s">
        <v>97</v>
      </c>
      <c r="E1462" s="2" t="s">
        <v>9159</v>
      </c>
      <c r="F1462" s="2" t="s">
        <v>8445</v>
      </c>
      <c r="G1462" s="2" t="s">
        <v>32</v>
      </c>
      <c r="H1462" s="1"/>
      <c r="I1462" s="2" t="s">
        <v>33</v>
      </c>
      <c r="J1462" s="2" t="s">
        <v>34</v>
      </c>
      <c r="K1462" s="2" t="s">
        <v>7963</v>
      </c>
      <c r="L1462" s="2" t="s">
        <v>7964</v>
      </c>
      <c r="M1462" s="2" t="s">
        <v>772</v>
      </c>
      <c r="N1462" s="2" t="s">
        <v>38</v>
      </c>
      <c r="O1462" s="2" t="s">
        <v>849</v>
      </c>
      <c r="P1462" s="2" t="s">
        <v>9655</v>
      </c>
      <c r="Q1462" s="2" t="s">
        <v>9656</v>
      </c>
      <c r="R1462" s="2" t="s">
        <v>40</v>
      </c>
      <c r="S1462" s="2" t="s">
        <v>9657</v>
      </c>
      <c r="T1462" s="2" t="s">
        <v>297</v>
      </c>
      <c r="U1462" s="2" t="s">
        <v>188</v>
      </c>
      <c r="V1462" s="2" t="s">
        <v>9658</v>
      </c>
      <c r="W1462" s="1"/>
      <c r="X1462" s="2" t="s">
        <v>827</v>
      </c>
      <c r="Y1462" s="2" t="s">
        <v>9166</v>
      </c>
      <c r="AA1462" t="str">
        <f t="shared" si="132"/>
        <v>2026-01</v>
      </c>
      <c r="AB1462" t="str">
        <f t="shared" si="133"/>
        <v>H1_2026</v>
      </c>
      <c r="AC1462">
        <f t="shared" si="134"/>
        <v>1612212.48</v>
      </c>
      <c r="AD1462">
        <f t="shared" si="135"/>
        <v>160</v>
      </c>
      <c r="AE1462">
        <f t="shared" si="136"/>
        <v>332212.47999999998</v>
      </c>
      <c r="AF1462" t="str">
        <f t="shared" si="137"/>
        <v>Paid</v>
      </c>
    </row>
    <row r="1463" spans="1:32" ht="17.25" thickBot="1" x14ac:dyDescent="0.35">
      <c r="A1463" s="2" t="s">
        <v>9659</v>
      </c>
      <c r="B1463" s="2" t="s">
        <v>27</v>
      </c>
      <c r="C1463" s="2" t="s">
        <v>28</v>
      </c>
      <c r="D1463" s="2" t="s">
        <v>97</v>
      </c>
      <c r="E1463" s="2" t="s">
        <v>9159</v>
      </c>
      <c r="F1463" s="2" t="s">
        <v>8445</v>
      </c>
      <c r="G1463" s="2" t="s">
        <v>32</v>
      </c>
      <c r="H1463" s="1"/>
      <c r="I1463" s="2" t="s">
        <v>33</v>
      </c>
      <c r="J1463" s="2" t="s">
        <v>34</v>
      </c>
      <c r="K1463" s="2" t="s">
        <v>9660</v>
      </c>
      <c r="L1463" s="2" t="s">
        <v>9661</v>
      </c>
      <c r="M1463" s="2" t="s">
        <v>772</v>
      </c>
      <c r="N1463" s="2" t="s">
        <v>38</v>
      </c>
      <c r="O1463" s="2" t="s">
        <v>159</v>
      </c>
      <c r="P1463" s="2" t="s">
        <v>9662</v>
      </c>
      <c r="Q1463" s="2" t="s">
        <v>9663</v>
      </c>
      <c r="R1463" s="2" t="s">
        <v>40</v>
      </c>
      <c r="S1463" s="2" t="s">
        <v>9664</v>
      </c>
      <c r="T1463" s="2" t="s">
        <v>9665</v>
      </c>
      <c r="U1463" s="2" t="s">
        <v>9666</v>
      </c>
      <c r="V1463" s="2" t="s">
        <v>9667</v>
      </c>
      <c r="W1463" s="1"/>
      <c r="X1463" s="2" t="s">
        <v>796</v>
      </c>
      <c r="Y1463" s="2" t="s">
        <v>9166</v>
      </c>
      <c r="AA1463" t="str">
        <f t="shared" si="132"/>
        <v>2026-01</v>
      </c>
      <c r="AB1463" t="str">
        <f t="shared" si="133"/>
        <v>H1_2026</v>
      </c>
      <c r="AC1463">
        <f t="shared" si="134"/>
        <v>851146.56</v>
      </c>
      <c r="AD1463">
        <f t="shared" si="135"/>
        <v>80</v>
      </c>
      <c r="AE1463">
        <f t="shared" si="136"/>
        <v>179466.56</v>
      </c>
      <c r="AF1463" t="str">
        <f t="shared" si="137"/>
        <v>Paid</v>
      </c>
    </row>
    <row r="1464" spans="1:32" ht="17.25" thickBot="1" x14ac:dyDescent="0.35">
      <c r="A1464" s="2" t="s">
        <v>9668</v>
      </c>
      <c r="B1464" s="2" t="s">
        <v>27</v>
      </c>
      <c r="C1464" s="2" t="s">
        <v>28</v>
      </c>
      <c r="D1464" s="2" t="s">
        <v>97</v>
      </c>
      <c r="E1464" s="2" t="s">
        <v>9159</v>
      </c>
      <c r="F1464" s="2" t="s">
        <v>8445</v>
      </c>
      <c r="G1464" s="2" t="s">
        <v>32</v>
      </c>
      <c r="H1464" s="1"/>
      <c r="I1464" s="2" t="s">
        <v>33</v>
      </c>
      <c r="J1464" s="2" t="s">
        <v>34</v>
      </c>
      <c r="K1464" s="2" t="s">
        <v>7970</v>
      </c>
      <c r="L1464" s="2" t="s">
        <v>7971</v>
      </c>
      <c r="M1464" s="2" t="s">
        <v>772</v>
      </c>
      <c r="N1464" s="2" t="s">
        <v>38</v>
      </c>
      <c r="O1464" s="2" t="s">
        <v>131</v>
      </c>
      <c r="P1464" s="2" t="s">
        <v>317</v>
      </c>
      <c r="Q1464" s="2" t="s">
        <v>9669</v>
      </c>
      <c r="R1464" s="2" t="s">
        <v>40</v>
      </c>
      <c r="S1464" s="2" t="s">
        <v>9670</v>
      </c>
      <c r="T1464" s="2" t="s">
        <v>7175</v>
      </c>
      <c r="U1464" s="2" t="s">
        <v>7975</v>
      </c>
      <c r="V1464" s="2" t="s">
        <v>9671</v>
      </c>
      <c r="W1464" s="1"/>
      <c r="X1464" s="2" t="s">
        <v>3583</v>
      </c>
      <c r="Y1464" s="2" t="s">
        <v>9166</v>
      </c>
      <c r="AA1464" t="str">
        <f t="shared" si="132"/>
        <v>2026-01</v>
      </c>
      <c r="AB1464" t="str">
        <f t="shared" si="133"/>
        <v>H1_2026</v>
      </c>
      <c r="AC1464">
        <f t="shared" si="134"/>
        <v>347041.44</v>
      </c>
      <c r="AD1464">
        <f t="shared" si="135"/>
        <v>40</v>
      </c>
      <c r="AE1464">
        <f t="shared" si="136"/>
        <v>68641.440000000002</v>
      </c>
      <c r="AF1464" t="str">
        <f t="shared" si="137"/>
        <v>Paid</v>
      </c>
    </row>
    <row r="1465" spans="1:32" ht="17.25" thickBot="1" x14ac:dyDescent="0.35">
      <c r="A1465" s="2" t="s">
        <v>9672</v>
      </c>
      <c r="B1465" s="2" t="s">
        <v>27</v>
      </c>
      <c r="C1465" s="2" t="s">
        <v>28</v>
      </c>
      <c r="D1465" s="2" t="s">
        <v>97</v>
      </c>
      <c r="E1465" s="2" t="s">
        <v>9159</v>
      </c>
      <c r="F1465" s="2" t="s">
        <v>8445</v>
      </c>
      <c r="G1465" s="2" t="s">
        <v>32</v>
      </c>
      <c r="H1465" s="1"/>
      <c r="I1465" s="2" t="s">
        <v>33</v>
      </c>
      <c r="J1465" s="2" t="s">
        <v>34</v>
      </c>
      <c r="K1465" s="2" t="s">
        <v>840</v>
      </c>
      <c r="L1465" s="2" t="s">
        <v>841</v>
      </c>
      <c r="M1465" s="2" t="s">
        <v>772</v>
      </c>
      <c r="N1465" s="2" t="s">
        <v>38</v>
      </c>
      <c r="O1465" s="2" t="s">
        <v>214</v>
      </c>
      <c r="P1465" s="2" t="s">
        <v>9655</v>
      </c>
      <c r="Q1465" s="2" t="s">
        <v>9673</v>
      </c>
      <c r="R1465" s="2" t="s">
        <v>40</v>
      </c>
      <c r="S1465" s="2" t="s">
        <v>9674</v>
      </c>
      <c r="T1465" s="2" t="s">
        <v>297</v>
      </c>
      <c r="U1465" s="2" t="s">
        <v>844</v>
      </c>
      <c r="V1465" s="2" t="s">
        <v>9675</v>
      </c>
      <c r="W1465" s="1"/>
      <c r="X1465" s="2" t="s">
        <v>827</v>
      </c>
      <c r="Y1465" s="2" t="s">
        <v>9166</v>
      </c>
      <c r="AA1465" t="str">
        <f t="shared" si="132"/>
        <v>2026-01</v>
      </c>
      <c r="AB1465" t="str">
        <f t="shared" si="133"/>
        <v>H1_2026</v>
      </c>
      <c r="AC1465">
        <f t="shared" si="134"/>
        <v>503816.4</v>
      </c>
      <c r="AD1465">
        <f t="shared" si="135"/>
        <v>50</v>
      </c>
      <c r="AE1465">
        <f t="shared" si="136"/>
        <v>103816.4</v>
      </c>
      <c r="AF1465" t="str">
        <f t="shared" si="137"/>
        <v>Paid</v>
      </c>
    </row>
    <row r="1466" spans="1:32" ht="17.25" thickBot="1" x14ac:dyDescent="0.35">
      <c r="A1466" s="2" t="s">
        <v>9676</v>
      </c>
      <c r="B1466" s="2" t="s">
        <v>27</v>
      </c>
      <c r="C1466" s="2" t="s">
        <v>28</v>
      </c>
      <c r="D1466" s="2" t="s">
        <v>97</v>
      </c>
      <c r="E1466" s="2" t="s">
        <v>9159</v>
      </c>
      <c r="F1466" s="2" t="s">
        <v>8445</v>
      </c>
      <c r="G1466" s="2" t="s">
        <v>32</v>
      </c>
      <c r="H1466" s="1"/>
      <c r="I1466" s="2" t="s">
        <v>33</v>
      </c>
      <c r="J1466" s="2" t="s">
        <v>34</v>
      </c>
      <c r="K1466" s="2" t="s">
        <v>847</v>
      </c>
      <c r="L1466" s="2" t="s">
        <v>848</v>
      </c>
      <c r="M1466" s="2" t="s">
        <v>772</v>
      </c>
      <c r="N1466" s="2" t="s">
        <v>38</v>
      </c>
      <c r="O1466" s="2" t="s">
        <v>877</v>
      </c>
      <c r="P1466" s="2" t="s">
        <v>6357</v>
      </c>
      <c r="Q1466" s="2" t="s">
        <v>9677</v>
      </c>
      <c r="R1466" s="2" t="s">
        <v>40</v>
      </c>
      <c r="S1466" s="2" t="s">
        <v>9678</v>
      </c>
      <c r="T1466" s="2" t="s">
        <v>9679</v>
      </c>
      <c r="U1466" s="2" t="s">
        <v>9680</v>
      </c>
      <c r="V1466" s="2" t="s">
        <v>9681</v>
      </c>
      <c r="W1466" s="1"/>
      <c r="X1466" s="2" t="s">
        <v>258</v>
      </c>
      <c r="Y1466" s="2" t="s">
        <v>9166</v>
      </c>
      <c r="AA1466" t="str">
        <f t="shared" si="132"/>
        <v>2026-01</v>
      </c>
      <c r="AB1466" t="str">
        <f t="shared" si="133"/>
        <v>H1_2026</v>
      </c>
      <c r="AC1466">
        <f t="shared" si="134"/>
        <v>1033617.6</v>
      </c>
      <c r="AD1466">
        <f t="shared" si="135"/>
        <v>100</v>
      </c>
      <c r="AE1466">
        <f t="shared" si="136"/>
        <v>203205.6</v>
      </c>
      <c r="AF1466" t="str">
        <f t="shared" si="137"/>
        <v>Paid</v>
      </c>
    </row>
    <row r="1467" spans="1:32" ht="17.25" thickBot="1" x14ac:dyDescent="0.35">
      <c r="A1467" s="2" t="s">
        <v>9682</v>
      </c>
      <c r="B1467" s="2" t="s">
        <v>27</v>
      </c>
      <c r="C1467" s="2" t="s">
        <v>28</v>
      </c>
      <c r="D1467" s="2" t="s">
        <v>97</v>
      </c>
      <c r="E1467" s="2" t="s">
        <v>9159</v>
      </c>
      <c r="F1467" s="2" t="s">
        <v>8445</v>
      </c>
      <c r="G1467" s="2" t="s">
        <v>32</v>
      </c>
      <c r="H1467" s="1"/>
      <c r="I1467" s="2" t="s">
        <v>33</v>
      </c>
      <c r="J1467" s="2" t="s">
        <v>34</v>
      </c>
      <c r="K1467" s="2" t="s">
        <v>878</v>
      </c>
      <c r="L1467" s="2" t="s">
        <v>879</v>
      </c>
      <c r="M1467" s="2" t="s">
        <v>772</v>
      </c>
      <c r="N1467" s="2" t="s">
        <v>38</v>
      </c>
      <c r="O1467" s="2" t="s">
        <v>645</v>
      </c>
      <c r="P1467" s="2" t="s">
        <v>9683</v>
      </c>
      <c r="Q1467" s="2" t="s">
        <v>9684</v>
      </c>
      <c r="R1467" s="2" t="s">
        <v>40</v>
      </c>
      <c r="S1467" s="2" t="s">
        <v>9685</v>
      </c>
      <c r="T1467" s="2" t="s">
        <v>883</v>
      </c>
      <c r="U1467" s="2" t="s">
        <v>9686</v>
      </c>
      <c r="V1467" s="2" t="s">
        <v>9687</v>
      </c>
      <c r="W1467" s="1"/>
      <c r="X1467" s="2" t="s">
        <v>2226</v>
      </c>
      <c r="Y1467" s="2" t="s">
        <v>9166</v>
      </c>
      <c r="AA1467" t="str">
        <f t="shared" si="132"/>
        <v>2026-01</v>
      </c>
      <c r="AB1467" t="str">
        <f t="shared" si="133"/>
        <v>H1_2026</v>
      </c>
      <c r="AC1467">
        <f t="shared" si="134"/>
        <v>2120359.6800000002</v>
      </c>
      <c r="AD1467">
        <f t="shared" si="135"/>
        <v>170</v>
      </c>
      <c r="AE1467">
        <f t="shared" si="136"/>
        <v>394859.68</v>
      </c>
      <c r="AF1467" t="str">
        <f t="shared" si="137"/>
        <v>Paid</v>
      </c>
    </row>
    <row r="1468" spans="1:32" ht="17.25" thickBot="1" x14ac:dyDescent="0.35">
      <c r="A1468" s="2" t="s">
        <v>9688</v>
      </c>
      <c r="B1468" s="2" t="s">
        <v>27</v>
      </c>
      <c r="C1468" s="2" t="s">
        <v>28</v>
      </c>
      <c r="D1468" s="2" t="s">
        <v>97</v>
      </c>
      <c r="E1468" s="2" t="s">
        <v>9159</v>
      </c>
      <c r="F1468" s="2" t="s">
        <v>8445</v>
      </c>
      <c r="G1468" s="2" t="s">
        <v>32</v>
      </c>
      <c r="H1468" s="1"/>
      <c r="I1468" s="2" t="s">
        <v>33</v>
      </c>
      <c r="J1468" s="2" t="s">
        <v>34</v>
      </c>
      <c r="K1468" s="2" t="s">
        <v>888</v>
      </c>
      <c r="L1468" s="2" t="s">
        <v>889</v>
      </c>
      <c r="M1468" s="2" t="s">
        <v>772</v>
      </c>
      <c r="N1468" s="2" t="s">
        <v>38</v>
      </c>
      <c r="O1468" s="2" t="s">
        <v>1150</v>
      </c>
      <c r="P1468" s="2" t="s">
        <v>4794</v>
      </c>
      <c r="Q1468" s="2" t="s">
        <v>9689</v>
      </c>
      <c r="R1468" s="2" t="s">
        <v>40</v>
      </c>
      <c r="S1468" s="2" t="s">
        <v>9690</v>
      </c>
      <c r="T1468" s="2" t="s">
        <v>894</v>
      </c>
      <c r="U1468" s="2" t="s">
        <v>9691</v>
      </c>
      <c r="V1468" s="2" t="s">
        <v>9692</v>
      </c>
      <c r="W1468" s="1"/>
      <c r="X1468" s="2" t="s">
        <v>838</v>
      </c>
      <c r="Y1468" s="2" t="s">
        <v>9166</v>
      </c>
      <c r="AA1468" t="str">
        <f t="shared" si="132"/>
        <v>2026-01</v>
      </c>
      <c r="AB1468" t="str">
        <f t="shared" si="133"/>
        <v>H1_2026</v>
      </c>
      <c r="AC1468">
        <f t="shared" si="134"/>
        <v>1600808.04</v>
      </c>
      <c r="AD1468">
        <f t="shared" si="135"/>
        <v>130</v>
      </c>
      <c r="AE1468">
        <f t="shared" si="136"/>
        <v>335258.03999999998</v>
      </c>
      <c r="AF1468" t="str">
        <f t="shared" si="137"/>
        <v>Paid</v>
      </c>
    </row>
    <row r="1469" spans="1:32" ht="17.25" thickBot="1" x14ac:dyDescent="0.35">
      <c r="A1469" s="2" t="s">
        <v>9693</v>
      </c>
      <c r="B1469" s="2" t="s">
        <v>27</v>
      </c>
      <c r="C1469" s="2" t="s">
        <v>28</v>
      </c>
      <c r="D1469" s="2" t="s">
        <v>97</v>
      </c>
      <c r="E1469" s="2" t="s">
        <v>9159</v>
      </c>
      <c r="F1469" s="2" t="s">
        <v>8445</v>
      </c>
      <c r="G1469" s="2" t="s">
        <v>32</v>
      </c>
      <c r="H1469" s="1"/>
      <c r="I1469" s="2" t="s">
        <v>33</v>
      </c>
      <c r="J1469" s="2" t="s">
        <v>34</v>
      </c>
      <c r="K1469" s="2" t="s">
        <v>918</v>
      </c>
      <c r="L1469" s="2" t="s">
        <v>919</v>
      </c>
      <c r="M1469" s="2" t="s">
        <v>772</v>
      </c>
      <c r="N1469" s="2" t="s">
        <v>38</v>
      </c>
      <c r="O1469" s="2" t="s">
        <v>1631</v>
      </c>
      <c r="P1469" s="2" t="s">
        <v>9694</v>
      </c>
      <c r="Q1469" s="2" t="s">
        <v>9695</v>
      </c>
      <c r="R1469" s="2" t="s">
        <v>40</v>
      </c>
      <c r="S1469" s="2" t="s">
        <v>9696</v>
      </c>
      <c r="T1469" s="2" t="s">
        <v>913</v>
      </c>
      <c r="U1469" s="2" t="s">
        <v>9697</v>
      </c>
      <c r="V1469" s="2" t="s">
        <v>9698</v>
      </c>
      <c r="W1469" s="1"/>
      <c r="X1469" s="2" t="s">
        <v>5228</v>
      </c>
      <c r="Y1469" s="2" t="s">
        <v>9166</v>
      </c>
      <c r="AA1469" t="str">
        <f t="shared" si="132"/>
        <v>2026-01</v>
      </c>
      <c r="AB1469" t="str">
        <f t="shared" si="133"/>
        <v>H1_2026</v>
      </c>
      <c r="AC1469">
        <f t="shared" si="134"/>
        <v>2501470.08</v>
      </c>
      <c r="AD1469">
        <f t="shared" si="135"/>
        <v>190</v>
      </c>
      <c r="AE1469">
        <f t="shared" si="136"/>
        <v>472270.08000000002</v>
      </c>
      <c r="AF1469" t="str">
        <f t="shared" si="137"/>
        <v>Paid</v>
      </c>
    </row>
    <row r="1470" spans="1:32" ht="17.25" thickBot="1" x14ac:dyDescent="0.35">
      <c r="A1470" s="2" t="s">
        <v>9699</v>
      </c>
      <c r="B1470" s="2" t="s">
        <v>27</v>
      </c>
      <c r="C1470" s="2" t="s">
        <v>28</v>
      </c>
      <c r="D1470" s="2" t="s">
        <v>97</v>
      </c>
      <c r="E1470" s="2" t="s">
        <v>9159</v>
      </c>
      <c r="F1470" s="2" t="s">
        <v>8445</v>
      </c>
      <c r="G1470" s="2" t="s">
        <v>32</v>
      </c>
      <c r="H1470" s="1"/>
      <c r="I1470" s="2" t="s">
        <v>33</v>
      </c>
      <c r="J1470" s="2" t="s">
        <v>34</v>
      </c>
      <c r="K1470" s="2" t="s">
        <v>936</v>
      </c>
      <c r="L1470" s="2" t="s">
        <v>937</v>
      </c>
      <c r="M1470" s="2" t="s">
        <v>772</v>
      </c>
      <c r="N1470" s="2" t="s">
        <v>38</v>
      </c>
      <c r="O1470" s="2" t="s">
        <v>9700</v>
      </c>
      <c r="P1470" s="2" t="s">
        <v>7856</v>
      </c>
      <c r="Q1470" s="2" t="s">
        <v>9701</v>
      </c>
      <c r="R1470" s="2" t="s">
        <v>40</v>
      </c>
      <c r="S1470" s="2" t="s">
        <v>9702</v>
      </c>
      <c r="T1470" s="2" t="s">
        <v>942</v>
      </c>
      <c r="U1470" s="2" t="s">
        <v>9703</v>
      </c>
      <c r="V1470" s="2" t="s">
        <v>9704</v>
      </c>
      <c r="W1470" s="1"/>
      <c r="X1470" s="2" t="s">
        <v>3583</v>
      </c>
      <c r="Y1470" s="2" t="s">
        <v>9166</v>
      </c>
      <c r="AA1470" t="str">
        <f t="shared" si="132"/>
        <v>2026-01</v>
      </c>
      <c r="AB1470" t="str">
        <f t="shared" si="133"/>
        <v>H1_2026</v>
      </c>
      <c r="AC1470">
        <f t="shared" si="134"/>
        <v>19119615.84</v>
      </c>
      <c r="AD1470">
        <f t="shared" si="135"/>
        <v>1560</v>
      </c>
      <c r="AE1470">
        <f t="shared" si="136"/>
        <v>3786375.84</v>
      </c>
      <c r="AF1470" t="str">
        <f t="shared" si="137"/>
        <v>Paid</v>
      </c>
    </row>
    <row r="1471" spans="1:32" ht="17.25" thickBot="1" x14ac:dyDescent="0.35">
      <c r="A1471" s="2" t="s">
        <v>9705</v>
      </c>
      <c r="B1471" s="2" t="s">
        <v>27</v>
      </c>
      <c r="C1471" s="2" t="s">
        <v>28</v>
      </c>
      <c r="D1471" s="2" t="s">
        <v>97</v>
      </c>
      <c r="E1471" s="2" t="s">
        <v>9159</v>
      </c>
      <c r="F1471" s="2" t="s">
        <v>8445</v>
      </c>
      <c r="G1471" s="2" t="s">
        <v>32</v>
      </c>
      <c r="H1471" s="1"/>
      <c r="I1471" s="2" t="s">
        <v>33</v>
      </c>
      <c r="J1471" s="2" t="s">
        <v>34</v>
      </c>
      <c r="K1471" s="2" t="s">
        <v>946</v>
      </c>
      <c r="L1471" s="2" t="s">
        <v>947</v>
      </c>
      <c r="M1471" s="2" t="s">
        <v>772</v>
      </c>
      <c r="N1471" s="2" t="s">
        <v>38</v>
      </c>
      <c r="O1471" s="2" t="s">
        <v>4038</v>
      </c>
      <c r="P1471" s="2" t="s">
        <v>6386</v>
      </c>
      <c r="Q1471" s="2" t="s">
        <v>9706</v>
      </c>
      <c r="R1471" s="2" t="s">
        <v>40</v>
      </c>
      <c r="S1471" s="2" t="s">
        <v>9707</v>
      </c>
      <c r="T1471" s="2" t="s">
        <v>952</v>
      </c>
      <c r="U1471" s="2" t="s">
        <v>9708</v>
      </c>
      <c r="V1471" s="2" t="s">
        <v>9709</v>
      </c>
      <c r="W1471" s="1"/>
      <c r="X1471" s="2" t="s">
        <v>3089</v>
      </c>
      <c r="Y1471" s="2" t="s">
        <v>9166</v>
      </c>
      <c r="AA1471" t="str">
        <f t="shared" si="132"/>
        <v>2026-01</v>
      </c>
      <c r="AB1471" t="str">
        <f t="shared" si="133"/>
        <v>H1_2026</v>
      </c>
      <c r="AC1471">
        <f t="shared" si="134"/>
        <v>22303620</v>
      </c>
      <c r="AD1471">
        <f t="shared" si="135"/>
        <v>1500</v>
      </c>
      <c r="AE1471">
        <f t="shared" si="136"/>
        <v>4303620</v>
      </c>
      <c r="AF1471" t="str">
        <f t="shared" si="137"/>
        <v>Paid</v>
      </c>
    </row>
    <row r="1472" spans="1:32" ht="17.25" thickBot="1" x14ac:dyDescent="0.35">
      <c r="A1472" s="2" t="s">
        <v>9710</v>
      </c>
      <c r="B1472" s="2" t="s">
        <v>27</v>
      </c>
      <c r="C1472" s="2" t="s">
        <v>28</v>
      </c>
      <c r="D1472" s="2" t="s">
        <v>97</v>
      </c>
      <c r="E1472" s="2" t="s">
        <v>9159</v>
      </c>
      <c r="F1472" s="2" t="s">
        <v>8445</v>
      </c>
      <c r="G1472" s="2" t="s">
        <v>32</v>
      </c>
      <c r="H1472" s="1"/>
      <c r="I1472" s="2" t="s">
        <v>33</v>
      </c>
      <c r="J1472" s="2" t="s">
        <v>34</v>
      </c>
      <c r="K1472" s="2" t="s">
        <v>967</v>
      </c>
      <c r="L1472" s="2" t="s">
        <v>968</v>
      </c>
      <c r="M1472" s="2" t="s">
        <v>772</v>
      </c>
      <c r="N1472" s="2" t="s">
        <v>38</v>
      </c>
      <c r="O1472" s="2" t="s">
        <v>1836</v>
      </c>
      <c r="P1472" s="2" t="s">
        <v>6392</v>
      </c>
      <c r="Q1472" s="2" t="s">
        <v>9711</v>
      </c>
      <c r="R1472" s="2" t="s">
        <v>40</v>
      </c>
      <c r="S1472" s="2" t="s">
        <v>9712</v>
      </c>
      <c r="T1472" s="2" t="s">
        <v>973</v>
      </c>
      <c r="U1472" s="2" t="s">
        <v>9713</v>
      </c>
      <c r="V1472" s="2" t="s">
        <v>9714</v>
      </c>
      <c r="W1472" s="1"/>
      <c r="X1472" s="2" t="s">
        <v>976</v>
      </c>
      <c r="Y1472" s="2" t="s">
        <v>9166</v>
      </c>
      <c r="AA1472" t="str">
        <f t="shared" si="132"/>
        <v>2026-01</v>
      </c>
      <c r="AB1472" t="str">
        <f t="shared" si="133"/>
        <v>H1_2026</v>
      </c>
      <c r="AC1472">
        <f t="shared" si="134"/>
        <v>3169568.16</v>
      </c>
      <c r="AD1472">
        <f t="shared" si="135"/>
        <v>220</v>
      </c>
      <c r="AE1472">
        <f t="shared" si="136"/>
        <v>639568.16</v>
      </c>
      <c r="AF1472" t="str">
        <f t="shared" si="137"/>
        <v>Paid</v>
      </c>
    </row>
    <row r="1473" spans="1:32" ht="17.25" thickBot="1" x14ac:dyDescent="0.35">
      <c r="A1473" s="2" t="s">
        <v>9715</v>
      </c>
      <c r="B1473" s="2" t="s">
        <v>27</v>
      </c>
      <c r="C1473" s="2" t="s">
        <v>28</v>
      </c>
      <c r="D1473" s="2" t="s">
        <v>97</v>
      </c>
      <c r="E1473" s="2" t="s">
        <v>9159</v>
      </c>
      <c r="F1473" s="2" t="s">
        <v>8445</v>
      </c>
      <c r="G1473" s="2" t="s">
        <v>32</v>
      </c>
      <c r="H1473" s="1"/>
      <c r="I1473" s="2" t="s">
        <v>33</v>
      </c>
      <c r="J1473" s="2" t="s">
        <v>34</v>
      </c>
      <c r="K1473" s="2" t="s">
        <v>988</v>
      </c>
      <c r="L1473" s="2" t="s">
        <v>989</v>
      </c>
      <c r="M1473" s="2" t="s">
        <v>772</v>
      </c>
      <c r="N1473" s="2" t="s">
        <v>38</v>
      </c>
      <c r="O1473" s="2" t="s">
        <v>474</v>
      </c>
      <c r="P1473" s="2" t="s">
        <v>8803</v>
      </c>
      <c r="Q1473" s="2" t="s">
        <v>9716</v>
      </c>
      <c r="R1473" s="2" t="s">
        <v>40</v>
      </c>
      <c r="S1473" s="2" t="s">
        <v>9717</v>
      </c>
      <c r="T1473" s="2" t="s">
        <v>994</v>
      </c>
      <c r="U1473" s="2" t="s">
        <v>9718</v>
      </c>
      <c r="V1473" s="2" t="s">
        <v>9719</v>
      </c>
      <c r="W1473" s="1"/>
      <c r="X1473" s="2" t="s">
        <v>3310</v>
      </c>
      <c r="Y1473" s="2" t="s">
        <v>9166</v>
      </c>
      <c r="AA1473" t="str">
        <f t="shared" si="132"/>
        <v>2026-01</v>
      </c>
      <c r="AB1473" t="str">
        <f t="shared" si="133"/>
        <v>H1_2026</v>
      </c>
      <c r="AC1473">
        <f t="shared" si="134"/>
        <v>5021995.68</v>
      </c>
      <c r="AD1473">
        <f t="shared" si="135"/>
        <v>390</v>
      </c>
      <c r="AE1473">
        <f t="shared" si="136"/>
        <v>985495.68</v>
      </c>
      <c r="AF1473" t="str">
        <f t="shared" si="137"/>
        <v>Paid</v>
      </c>
    </row>
    <row r="1474" spans="1:32" ht="17.25" thickBot="1" x14ac:dyDescent="0.35">
      <c r="A1474" s="2" t="s">
        <v>9720</v>
      </c>
      <c r="B1474" s="2" t="s">
        <v>27</v>
      </c>
      <c r="C1474" s="2" t="s">
        <v>28</v>
      </c>
      <c r="D1474" s="2" t="s">
        <v>97</v>
      </c>
      <c r="E1474" s="2" t="s">
        <v>9159</v>
      </c>
      <c r="F1474" s="2" t="s">
        <v>8445</v>
      </c>
      <c r="G1474" s="2" t="s">
        <v>32</v>
      </c>
      <c r="H1474" s="1"/>
      <c r="I1474" s="2" t="s">
        <v>33</v>
      </c>
      <c r="J1474" s="2" t="s">
        <v>34</v>
      </c>
      <c r="K1474" s="2" t="s">
        <v>999</v>
      </c>
      <c r="L1474" s="2" t="s">
        <v>1000</v>
      </c>
      <c r="M1474" s="2" t="s">
        <v>772</v>
      </c>
      <c r="N1474" s="2" t="s">
        <v>38</v>
      </c>
      <c r="O1474" s="2" t="s">
        <v>474</v>
      </c>
      <c r="P1474" s="2" t="s">
        <v>3199</v>
      </c>
      <c r="Q1474" s="2" t="s">
        <v>9721</v>
      </c>
      <c r="R1474" s="2" t="s">
        <v>40</v>
      </c>
      <c r="S1474" s="2" t="s">
        <v>9722</v>
      </c>
      <c r="T1474" s="2" t="s">
        <v>8816</v>
      </c>
      <c r="U1474" s="2" t="s">
        <v>9723</v>
      </c>
      <c r="V1474" s="2" t="s">
        <v>9724</v>
      </c>
      <c r="W1474" s="1"/>
      <c r="X1474" s="2" t="s">
        <v>8198</v>
      </c>
      <c r="Y1474" s="2" t="s">
        <v>9166</v>
      </c>
      <c r="AA1474" t="str">
        <f t="shared" si="132"/>
        <v>2026-01</v>
      </c>
      <c r="AB1474" t="str">
        <f t="shared" si="133"/>
        <v>H1_2026</v>
      </c>
      <c r="AC1474">
        <f t="shared" si="134"/>
        <v>3620115.72</v>
      </c>
      <c r="AD1474">
        <f t="shared" si="135"/>
        <v>390</v>
      </c>
      <c r="AE1474">
        <f t="shared" si="136"/>
        <v>946665.72</v>
      </c>
      <c r="AF1474" t="str">
        <f t="shared" si="137"/>
        <v>Paid</v>
      </c>
    </row>
    <row r="1475" spans="1:32" ht="17.25" thickBot="1" x14ac:dyDescent="0.35">
      <c r="A1475" s="2" t="s">
        <v>9725</v>
      </c>
      <c r="B1475" s="2" t="s">
        <v>27</v>
      </c>
      <c r="C1475" s="2" t="s">
        <v>28</v>
      </c>
      <c r="D1475" s="2" t="s">
        <v>97</v>
      </c>
      <c r="E1475" s="2" t="s">
        <v>9159</v>
      </c>
      <c r="F1475" s="2" t="s">
        <v>8445</v>
      </c>
      <c r="G1475" s="2" t="s">
        <v>32</v>
      </c>
      <c r="H1475" s="1"/>
      <c r="I1475" s="2" t="s">
        <v>33</v>
      </c>
      <c r="J1475" s="2" t="s">
        <v>34</v>
      </c>
      <c r="K1475" s="2" t="s">
        <v>8820</v>
      </c>
      <c r="L1475" s="2" t="s">
        <v>8821</v>
      </c>
      <c r="M1475" s="2" t="s">
        <v>772</v>
      </c>
      <c r="N1475" s="2" t="s">
        <v>38</v>
      </c>
      <c r="O1475" s="2" t="s">
        <v>2337</v>
      </c>
      <c r="P1475" s="2" t="s">
        <v>9726</v>
      </c>
      <c r="Q1475" s="2" t="s">
        <v>9727</v>
      </c>
      <c r="R1475" s="2" t="s">
        <v>40</v>
      </c>
      <c r="S1475" s="2" t="s">
        <v>9728</v>
      </c>
      <c r="T1475" s="2" t="s">
        <v>983</v>
      </c>
      <c r="U1475" s="2" t="s">
        <v>9729</v>
      </c>
      <c r="V1475" s="2" t="s">
        <v>9730</v>
      </c>
      <c r="W1475" s="1"/>
      <c r="X1475" s="2" t="s">
        <v>838</v>
      </c>
      <c r="Y1475" s="2" t="s">
        <v>9166</v>
      </c>
      <c r="AA1475" t="str">
        <f t="shared" si="132"/>
        <v>2026-01</v>
      </c>
      <c r="AB1475" t="str">
        <f t="shared" si="133"/>
        <v>H1_2026</v>
      </c>
      <c r="AC1475">
        <f t="shared" si="134"/>
        <v>7677209.1600000001</v>
      </c>
      <c r="AD1475">
        <f t="shared" si="135"/>
        <v>570</v>
      </c>
      <c r="AE1475">
        <f t="shared" si="136"/>
        <v>1606709.16</v>
      </c>
      <c r="AF1475" t="str">
        <f t="shared" si="137"/>
        <v>Paid</v>
      </c>
    </row>
    <row r="1476" spans="1:32" ht="17.25" thickBot="1" x14ac:dyDescent="0.35">
      <c r="A1476" s="2" t="s">
        <v>9731</v>
      </c>
      <c r="B1476" s="2" t="s">
        <v>27</v>
      </c>
      <c r="C1476" s="2" t="s">
        <v>28</v>
      </c>
      <c r="D1476" s="2" t="s">
        <v>97</v>
      </c>
      <c r="E1476" s="2" t="s">
        <v>9159</v>
      </c>
      <c r="F1476" s="2" t="s">
        <v>8445</v>
      </c>
      <c r="G1476" s="2" t="s">
        <v>32</v>
      </c>
      <c r="H1476" s="1"/>
      <c r="I1476" s="2" t="s">
        <v>33</v>
      </c>
      <c r="J1476" s="2" t="s">
        <v>34</v>
      </c>
      <c r="K1476" s="2" t="s">
        <v>1008</v>
      </c>
      <c r="L1476" s="2" t="s">
        <v>1009</v>
      </c>
      <c r="M1476" s="2" t="s">
        <v>772</v>
      </c>
      <c r="N1476" s="2" t="s">
        <v>38</v>
      </c>
      <c r="O1476" s="2" t="s">
        <v>177</v>
      </c>
      <c r="P1476" s="2" t="s">
        <v>9732</v>
      </c>
      <c r="Q1476" s="2" t="s">
        <v>9733</v>
      </c>
      <c r="R1476" s="2" t="s">
        <v>40</v>
      </c>
      <c r="S1476" s="2" t="s">
        <v>9734</v>
      </c>
      <c r="T1476" s="2" t="s">
        <v>9735</v>
      </c>
      <c r="U1476" s="2" t="s">
        <v>9736</v>
      </c>
      <c r="V1476" s="2" t="s">
        <v>9737</v>
      </c>
      <c r="W1476" s="1"/>
      <c r="X1476" s="2" t="s">
        <v>1082</v>
      </c>
      <c r="Y1476" s="2" t="s">
        <v>9166</v>
      </c>
      <c r="AA1476" t="str">
        <f t="shared" ref="AA1476:AA1539" si="138">LEFT(E1476,7)</f>
        <v>2026-01</v>
      </c>
      <c r="AB1476" t="str">
        <f t="shared" ref="AB1476:AB1539" si="139">IF(AND($AA1476&gt;="2025-01",$AA1476&lt;="2025-06"),"H1_2025",IF(AND($AA1476&gt;="2026-01",$AA1476&lt;="2026-06"),"H1_2026",""))</f>
        <v>H1_2026</v>
      </c>
      <c r="AC1476">
        <f t="shared" ref="AC1476:AC1539" si="140">IFERROR(VALUE(SUBSTITUTE(S1476,",","")),0)</f>
        <v>4221086.4000000004</v>
      </c>
      <c r="AD1476">
        <f t="shared" ref="AD1476:AD1539" si="141">IFERROR(VALUE(SUBSTITUTE(O1476,",","")),0)</f>
        <v>400</v>
      </c>
      <c r="AE1476">
        <f t="shared" ref="AE1476:AE1539" si="142">IFERROR(VALUE(SUBSTITUTE(V1476,",","")),0)</f>
        <v>997086.4</v>
      </c>
      <c r="AF1476" t="str">
        <f t="shared" ref="AF1476:AF1539" si="143">IF(ISNUMBER(SEARCH("FOC",W1476)),"FOC",IF(ISNUMBER(SEARCH("샘플",W1476)),"Sample","Paid"))</f>
        <v>Paid</v>
      </c>
    </row>
    <row r="1477" spans="1:32" ht="17.25" thickBot="1" x14ac:dyDescent="0.35">
      <c r="A1477" s="2" t="s">
        <v>9738</v>
      </c>
      <c r="B1477" s="2" t="s">
        <v>27</v>
      </c>
      <c r="C1477" s="2" t="s">
        <v>28</v>
      </c>
      <c r="D1477" s="2" t="s">
        <v>97</v>
      </c>
      <c r="E1477" s="2" t="s">
        <v>9159</v>
      </c>
      <c r="F1477" s="2" t="s">
        <v>8445</v>
      </c>
      <c r="G1477" s="2" t="s">
        <v>32</v>
      </c>
      <c r="H1477" s="1"/>
      <c r="I1477" s="2" t="s">
        <v>33</v>
      </c>
      <c r="J1477" s="2" t="s">
        <v>34</v>
      </c>
      <c r="K1477" s="2" t="s">
        <v>1026</v>
      </c>
      <c r="L1477" s="2" t="s">
        <v>1027</v>
      </c>
      <c r="M1477" s="2" t="s">
        <v>772</v>
      </c>
      <c r="N1477" s="2" t="s">
        <v>38</v>
      </c>
      <c r="O1477" s="2" t="s">
        <v>645</v>
      </c>
      <c r="P1477" s="2" t="s">
        <v>6422</v>
      </c>
      <c r="Q1477" s="2" t="s">
        <v>9739</v>
      </c>
      <c r="R1477" s="2" t="s">
        <v>40</v>
      </c>
      <c r="S1477" s="2" t="s">
        <v>9740</v>
      </c>
      <c r="T1477" s="2" t="s">
        <v>669</v>
      </c>
      <c r="U1477" s="2" t="s">
        <v>9741</v>
      </c>
      <c r="V1477" s="2" t="s">
        <v>9742</v>
      </c>
      <c r="W1477" s="1"/>
      <c r="X1477" s="2" t="s">
        <v>9050</v>
      </c>
      <c r="Y1477" s="2" t="s">
        <v>9166</v>
      </c>
      <c r="AA1477" t="str">
        <f t="shared" si="138"/>
        <v>2026-01</v>
      </c>
      <c r="AB1477" t="str">
        <f t="shared" si="139"/>
        <v>H1_2026</v>
      </c>
      <c r="AC1477">
        <f t="shared" si="140"/>
        <v>1607448.6</v>
      </c>
      <c r="AD1477">
        <f t="shared" si="141"/>
        <v>170</v>
      </c>
      <c r="AE1477">
        <f t="shared" si="142"/>
        <v>587448.6</v>
      </c>
      <c r="AF1477" t="str">
        <f t="shared" si="143"/>
        <v>Paid</v>
      </c>
    </row>
    <row r="1478" spans="1:32" ht="17.25" thickBot="1" x14ac:dyDescent="0.35">
      <c r="A1478" s="2" t="s">
        <v>9743</v>
      </c>
      <c r="B1478" s="2" t="s">
        <v>27</v>
      </c>
      <c r="C1478" s="2" t="s">
        <v>28</v>
      </c>
      <c r="D1478" s="2" t="s">
        <v>97</v>
      </c>
      <c r="E1478" s="2" t="s">
        <v>9159</v>
      </c>
      <c r="F1478" s="2" t="s">
        <v>8445</v>
      </c>
      <c r="G1478" s="2" t="s">
        <v>32</v>
      </c>
      <c r="H1478" s="1"/>
      <c r="I1478" s="2" t="s">
        <v>33</v>
      </c>
      <c r="J1478" s="2" t="s">
        <v>34</v>
      </c>
      <c r="K1478" s="2" t="s">
        <v>1033</v>
      </c>
      <c r="L1478" s="2" t="s">
        <v>1034</v>
      </c>
      <c r="M1478" s="2" t="s">
        <v>772</v>
      </c>
      <c r="N1478" s="2" t="s">
        <v>38</v>
      </c>
      <c r="O1478" s="2" t="s">
        <v>1046</v>
      </c>
      <c r="P1478" s="2" t="s">
        <v>9744</v>
      </c>
      <c r="Q1478" s="2" t="s">
        <v>9745</v>
      </c>
      <c r="R1478" s="2" t="s">
        <v>40</v>
      </c>
      <c r="S1478" s="2" t="s">
        <v>9746</v>
      </c>
      <c r="T1478" s="2" t="s">
        <v>1039</v>
      </c>
      <c r="U1478" s="2" t="s">
        <v>9747</v>
      </c>
      <c r="V1478" s="2" t="s">
        <v>9748</v>
      </c>
      <c r="W1478" s="1"/>
      <c r="X1478" s="2" t="s">
        <v>3583</v>
      </c>
      <c r="Y1478" s="2" t="s">
        <v>9166</v>
      </c>
      <c r="AA1478" t="str">
        <f t="shared" si="138"/>
        <v>2026-01</v>
      </c>
      <c r="AB1478" t="str">
        <f t="shared" si="139"/>
        <v>H1_2026</v>
      </c>
      <c r="AC1478">
        <f t="shared" si="140"/>
        <v>11476764.359999999</v>
      </c>
      <c r="AD1478">
        <f t="shared" si="141"/>
        <v>1070</v>
      </c>
      <c r="AE1478">
        <f t="shared" si="142"/>
        <v>2274764.36</v>
      </c>
      <c r="AF1478" t="str">
        <f t="shared" si="143"/>
        <v>Paid</v>
      </c>
    </row>
    <row r="1479" spans="1:32" ht="17.25" thickBot="1" x14ac:dyDescent="0.35">
      <c r="A1479" s="2" t="s">
        <v>9749</v>
      </c>
      <c r="B1479" s="2" t="s">
        <v>27</v>
      </c>
      <c r="C1479" s="2" t="s">
        <v>28</v>
      </c>
      <c r="D1479" s="2" t="s">
        <v>97</v>
      </c>
      <c r="E1479" s="2" t="s">
        <v>9159</v>
      </c>
      <c r="F1479" s="2" t="s">
        <v>8445</v>
      </c>
      <c r="G1479" s="2" t="s">
        <v>32</v>
      </c>
      <c r="H1479" s="1"/>
      <c r="I1479" s="2" t="s">
        <v>33</v>
      </c>
      <c r="J1479" s="2" t="s">
        <v>34</v>
      </c>
      <c r="K1479" s="2" t="s">
        <v>1054</v>
      </c>
      <c r="L1479" s="2" t="s">
        <v>1055</v>
      </c>
      <c r="M1479" s="2" t="s">
        <v>772</v>
      </c>
      <c r="N1479" s="2" t="s">
        <v>38</v>
      </c>
      <c r="O1479" s="2" t="s">
        <v>3566</v>
      </c>
      <c r="P1479" s="2" t="s">
        <v>1778</v>
      </c>
      <c r="Q1479" s="2" t="s">
        <v>9750</v>
      </c>
      <c r="R1479" s="2" t="s">
        <v>40</v>
      </c>
      <c r="S1479" s="2" t="s">
        <v>9751</v>
      </c>
      <c r="T1479" s="2" t="s">
        <v>1060</v>
      </c>
      <c r="U1479" s="2" t="s">
        <v>9752</v>
      </c>
      <c r="V1479" s="2" t="s">
        <v>9753</v>
      </c>
      <c r="W1479" s="1"/>
      <c r="X1479" s="2" t="s">
        <v>827</v>
      </c>
      <c r="Y1479" s="2" t="s">
        <v>9166</v>
      </c>
      <c r="AA1479" t="str">
        <f t="shared" si="138"/>
        <v>2026-01</v>
      </c>
      <c r="AB1479" t="str">
        <f t="shared" si="139"/>
        <v>H1_2026</v>
      </c>
      <c r="AC1479">
        <f t="shared" si="140"/>
        <v>3190211.64</v>
      </c>
      <c r="AD1479">
        <f t="shared" si="141"/>
        <v>451</v>
      </c>
      <c r="AE1479">
        <f t="shared" si="142"/>
        <v>655591.64</v>
      </c>
      <c r="AF1479" t="str">
        <f t="shared" si="143"/>
        <v>Paid</v>
      </c>
    </row>
    <row r="1480" spans="1:32" ht="17.25" thickBot="1" x14ac:dyDescent="0.35">
      <c r="A1480" s="2" t="s">
        <v>9754</v>
      </c>
      <c r="B1480" s="2" t="s">
        <v>27</v>
      </c>
      <c r="C1480" s="2" t="s">
        <v>28</v>
      </c>
      <c r="D1480" s="2" t="s">
        <v>97</v>
      </c>
      <c r="E1480" s="2" t="s">
        <v>9159</v>
      </c>
      <c r="F1480" s="2" t="s">
        <v>8445</v>
      </c>
      <c r="G1480" s="2" t="s">
        <v>32</v>
      </c>
      <c r="H1480" s="1"/>
      <c r="I1480" s="2" t="s">
        <v>33</v>
      </c>
      <c r="J1480" s="2" t="s">
        <v>34</v>
      </c>
      <c r="K1480" s="2" t="s">
        <v>6441</v>
      </c>
      <c r="L1480" s="2" t="s">
        <v>6442</v>
      </c>
      <c r="M1480" s="2" t="s">
        <v>772</v>
      </c>
      <c r="N1480" s="2" t="s">
        <v>38</v>
      </c>
      <c r="O1480" s="2" t="s">
        <v>428</v>
      </c>
      <c r="P1480" s="2" t="s">
        <v>801</v>
      </c>
      <c r="Q1480" s="2" t="s">
        <v>9755</v>
      </c>
      <c r="R1480" s="2" t="s">
        <v>40</v>
      </c>
      <c r="S1480" s="2" t="s">
        <v>9756</v>
      </c>
      <c r="T1480" s="2" t="s">
        <v>5341</v>
      </c>
      <c r="U1480" s="2" t="s">
        <v>9757</v>
      </c>
      <c r="V1480" s="2" t="s">
        <v>9758</v>
      </c>
      <c r="W1480" s="1"/>
      <c r="X1480" s="2" t="s">
        <v>2072</v>
      </c>
      <c r="Y1480" s="2" t="s">
        <v>9166</v>
      </c>
      <c r="AA1480" t="str">
        <f t="shared" si="138"/>
        <v>2026-01</v>
      </c>
      <c r="AB1480" t="str">
        <f t="shared" si="139"/>
        <v>H1_2026</v>
      </c>
      <c r="AC1480">
        <f t="shared" si="140"/>
        <v>2302542</v>
      </c>
      <c r="AD1480">
        <f t="shared" si="141"/>
        <v>250</v>
      </c>
      <c r="AE1480">
        <f t="shared" si="142"/>
        <v>462542</v>
      </c>
      <c r="AF1480" t="str">
        <f t="shared" si="143"/>
        <v>Paid</v>
      </c>
    </row>
    <row r="1481" spans="1:32" ht="27.75" thickBot="1" x14ac:dyDescent="0.35">
      <c r="A1481" s="2" t="s">
        <v>9759</v>
      </c>
      <c r="B1481" s="2" t="s">
        <v>27</v>
      </c>
      <c r="C1481" s="2" t="s">
        <v>28</v>
      </c>
      <c r="D1481" s="2" t="s">
        <v>97</v>
      </c>
      <c r="E1481" s="2" t="s">
        <v>9159</v>
      </c>
      <c r="F1481" s="2" t="s">
        <v>8445</v>
      </c>
      <c r="G1481" s="2" t="s">
        <v>32</v>
      </c>
      <c r="H1481" s="1"/>
      <c r="I1481" s="2" t="s">
        <v>33</v>
      </c>
      <c r="J1481" s="2" t="s">
        <v>34</v>
      </c>
      <c r="K1481" s="2" t="s">
        <v>8848</v>
      </c>
      <c r="L1481" s="2" t="s">
        <v>8849</v>
      </c>
      <c r="M1481" s="2" t="s">
        <v>8850</v>
      </c>
      <c r="N1481" s="2" t="s">
        <v>38</v>
      </c>
      <c r="O1481" s="2" t="s">
        <v>977</v>
      </c>
      <c r="P1481" s="2" t="s">
        <v>3300</v>
      </c>
      <c r="Q1481" s="2" t="s">
        <v>9760</v>
      </c>
      <c r="R1481" s="2" t="s">
        <v>40</v>
      </c>
      <c r="S1481" s="2" t="s">
        <v>9761</v>
      </c>
      <c r="T1481" s="2" t="s">
        <v>8853</v>
      </c>
      <c r="U1481" s="2" t="s">
        <v>9762</v>
      </c>
      <c r="V1481" s="2" t="s">
        <v>9763</v>
      </c>
      <c r="W1481" s="1"/>
      <c r="X1481" s="2" t="s">
        <v>1375</v>
      </c>
      <c r="Y1481" s="2" t="s">
        <v>9166</v>
      </c>
      <c r="AA1481" t="str">
        <f t="shared" si="138"/>
        <v>2026-01</v>
      </c>
      <c r="AB1481" t="str">
        <f t="shared" si="139"/>
        <v>H1_2026</v>
      </c>
      <c r="AC1481">
        <f t="shared" si="140"/>
        <v>857498.4</v>
      </c>
      <c r="AD1481">
        <f t="shared" si="141"/>
        <v>110</v>
      </c>
      <c r="AE1481">
        <f t="shared" si="142"/>
        <v>213998.4</v>
      </c>
      <c r="AF1481" t="str">
        <f t="shared" si="143"/>
        <v>Paid</v>
      </c>
    </row>
    <row r="1482" spans="1:32" ht="27.75" thickBot="1" x14ac:dyDescent="0.35">
      <c r="A1482" s="2" t="s">
        <v>9764</v>
      </c>
      <c r="B1482" s="2" t="s">
        <v>27</v>
      </c>
      <c r="C1482" s="2" t="s">
        <v>28</v>
      </c>
      <c r="D1482" s="2" t="s">
        <v>97</v>
      </c>
      <c r="E1482" s="2" t="s">
        <v>9159</v>
      </c>
      <c r="F1482" s="2" t="s">
        <v>8445</v>
      </c>
      <c r="G1482" s="2" t="s">
        <v>32</v>
      </c>
      <c r="H1482" s="1"/>
      <c r="I1482" s="2" t="s">
        <v>33</v>
      </c>
      <c r="J1482" s="2" t="s">
        <v>34</v>
      </c>
      <c r="K1482" s="2" t="s">
        <v>3082</v>
      </c>
      <c r="L1482" s="2" t="s">
        <v>3083</v>
      </c>
      <c r="M1482" s="2" t="s">
        <v>3067</v>
      </c>
      <c r="N1482" s="2" t="s">
        <v>38</v>
      </c>
      <c r="O1482" s="2" t="s">
        <v>131</v>
      </c>
      <c r="P1482" s="2" t="s">
        <v>5876</v>
      </c>
      <c r="Q1482" s="2" t="s">
        <v>9765</v>
      </c>
      <c r="R1482" s="2" t="s">
        <v>40</v>
      </c>
      <c r="S1482" s="2" t="s">
        <v>9766</v>
      </c>
      <c r="T1482" s="2" t="s">
        <v>669</v>
      </c>
      <c r="U1482" s="2" t="s">
        <v>2257</v>
      </c>
      <c r="V1482" s="2" t="s">
        <v>9767</v>
      </c>
      <c r="W1482" s="1"/>
      <c r="X1482" s="2" t="s">
        <v>3089</v>
      </c>
      <c r="Y1482" s="2" t="s">
        <v>9166</v>
      </c>
      <c r="AA1482" t="str">
        <f t="shared" si="138"/>
        <v>2026-01</v>
      </c>
      <c r="AB1482" t="str">
        <f t="shared" si="139"/>
        <v>H1_2026</v>
      </c>
      <c r="AC1482">
        <f t="shared" si="140"/>
        <v>297381.59999999998</v>
      </c>
      <c r="AD1482">
        <f t="shared" si="141"/>
        <v>40</v>
      </c>
      <c r="AE1482">
        <f t="shared" si="142"/>
        <v>57381.599999999999</v>
      </c>
      <c r="AF1482" t="str">
        <f t="shared" si="143"/>
        <v>Paid</v>
      </c>
    </row>
    <row r="1483" spans="1:32" ht="27.75" thickBot="1" x14ac:dyDescent="0.35">
      <c r="A1483" s="2" t="s">
        <v>9768</v>
      </c>
      <c r="B1483" s="2" t="s">
        <v>27</v>
      </c>
      <c r="C1483" s="2" t="s">
        <v>28</v>
      </c>
      <c r="D1483" s="2" t="s">
        <v>97</v>
      </c>
      <c r="E1483" s="2" t="s">
        <v>9159</v>
      </c>
      <c r="F1483" s="2" t="s">
        <v>8445</v>
      </c>
      <c r="G1483" s="2" t="s">
        <v>32</v>
      </c>
      <c r="H1483" s="1"/>
      <c r="I1483" s="2" t="s">
        <v>33</v>
      </c>
      <c r="J1483" s="2" t="s">
        <v>34</v>
      </c>
      <c r="K1483" s="2" t="s">
        <v>3105</v>
      </c>
      <c r="L1483" s="2" t="s">
        <v>3106</v>
      </c>
      <c r="M1483" s="2" t="s">
        <v>3067</v>
      </c>
      <c r="N1483" s="2" t="s">
        <v>38</v>
      </c>
      <c r="O1483" s="2" t="s">
        <v>466</v>
      </c>
      <c r="P1483" s="2" t="s">
        <v>7150</v>
      </c>
      <c r="Q1483" s="2" t="s">
        <v>9769</v>
      </c>
      <c r="R1483" s="2" t="s">
        <v>40</v>
      </c>
      <c r="S1483" s="2" t="s">
        <v>9770</v>
      </c>
      <c r="T1483" s="2" t="s">
        <v>3110</v>
      </c>
      <c r="U1483" s="2" t="s">
        <v>5210</v>
      </c>
      <c r="V1483" s="2" t="s">
        <v>9771</v>
      </c>
      <c r="W1483" s="1"/>
      <c r="X1483" s="2" t="s">
        <v>796</v>
      </c>
      <c r="Y1483" s="2" t="s">
        <v>9166</v>
      </c>
      <c r="AA1483" t="str">
        <f t="shared" si="138"/>
        <v>2026-01</v>
      </c>
      <c r="AB1483" t="str">
        <f t="shared" si="139"/>
        <v>H1_2026</v>
      </c>
      <c r="AC1483">
        <f t="shared" si="140"/>
        <v>354692.52</v>
      </c>
      <c r="AD1483">
        <f t="shared" si="141"/>
        <v>70</v>
      </c>
      <c r="AE1483">
        <f t="shared" si="142"/>
        <v>74692.52</v>
      </c>
      <c r="AF1483" t="str">
        <f t="shared" si="143"/>
        <v>Paid</v>
      </c>
    </row>
    <row r="1484" spans="1:32" ht="27.75" thickBot="1" x14ac:dyDescent="0.35">
      <c r="A1484" s="2" t="s">
        <v>9772</v>
      </c>
      <c r="B1484" s="2" t="s">
        <v>27</v>
      </c>
      <c r="C1484" s="2" t="s">
        <v>28</v>
      </c>
      <c r="D1484" s="2" t="s">
        <v>97</v>
      </c>
      <c r="E1484" s="2" t="s">
        <v>9159</v>
      </c>
      <c r="F1484" s="2" t="s">
        <v>8445</v>
      </c>
      <c r="G1484" s="2" t="s">
        <v>32</v>
      </c>
      <c r="H1484" s="1"/>
      <c r="I1484" s="2" t="s">
        <v>33</v>
      </c>
      <c r="J1484" s="2" t="s">
        <v>34</v>
      </c>
      <c r="K1484" s="2" t="s">
        <v>9773</v>
      </c>
      <c r="L1484" s="2" t="s">
        <v>9774</v>
      </c>
      <c r="M1484" s="2" t="s">
        <v>9775</v>
      </c>
      <c r="N1484" s="2" t="s">
        <v>38</v>
      </c>
      <c r="O1484" s="2" t="s">
        <v>156</v>
      </c>
      <c r="P1484" s="2" t="s">
        <v>7179</v>
      </c>
      <c r="Q1484" s="2" t="s">
        <v>9776</v>
      </c>
      <c r="R1484" s="2" t="s">
        <v>40</v>
      </c>
      <c r="S1484" s="2" t="s">
        <v>9777</v>
      </c>
      <c r="T1484" s="2" t="s">
        <v>9778</v>
      </c>
      <c r="U1484" s="2" t="s">
        <v>9779</v>
      </c>
      <c r="V1484" s="2" t="s">
        <v>9780</v>
      </c>
      <c r="W1484" s="1"/>
      <c r="X1484" s="2" t="s">
        <v>4450</v>
      </c>
      <c r="Y1484" s="2" t="s">
        <v>9166</v>
      </c>
      <c r="AA1484" t="str">
        <f t="shared" si="138"/>
        <v>2026-01</v>
      </c>
      <c r="AB1484" t="str">
        <f t="shared" si="139"/>
        <v>H1_2026</v>
      </c>
      <c r="AC1484">
        <f t="shared" si="140"/>
        <v>110002.32</v>
      </c>
      <c r="AD1484">
        <f t="shared" si="141"/>
        <v>20</v>
      </c>
      <c r="AE1484">
        <f t="shared" si="142"/>
        <v>24547.78</v>
      </c>
      <c r="AF1484" t="str">
        <f t="shared" si="143"/>
        <v>Paid</v>
      </c>
    </row>
    <row r="1485" spans="1:32" ht="17.25" thickBot="1" x14ac:dyDescent="0.35">
      <c r="A1485" s="2" t="s">
        <v>9781</v>
      </c>
      <c r="B1485" s="2" t="s">
        <v>27</v>
      </c>
      <c r="C1485" s="2" t="s">
        <v>28</v>
      </c>
      <c r="D1485" s="2" t="s">
        <v>97</v>
      </c>
      <c r="E1485" s="2" t="s">
        <v>9159</v>
      </c>
      <c r="F1485" s="2" t="s">
        <v>8445</v>
      </c>
      <c r="G1485" s="2" t="s">
        <v>32</v>
      </c>
      <c r="H1485" s="1"/>
      <c r="I1485" s="2" t="s">
        <v>33</v>
      </c>
      <c r="J1485" s="2" t="s">
        <v>34</v>
      </c>
      <c r="K1485" s="2" t="s">
        <v>9782</v>
      </c>
      <c r="L1485" s="2" t="s">
        <v>9783</v>
      </c>
      <c r="M1485" s="2" t="s">
        <v>9775</v>
      </c>
      <c r="N1485" s="2" t="s">
        <v>38</v>
      </c>
      <c r="O1485" s="2" t="s">
        <v>141</v>
      </c>
      <c r="P1485" s="2" t="s">
        <v>7179</v>
      </c>
      <c r="Q1485" s="2" t="s">
        <v>9784</v>
      </c>
      <c r="R1485" s="2" t="s">
        <v>40</v>
      </c>
      <c r="S1485" s="2" t="s">
        <v>9785</v>
      </c>
      <c r="T1485" s="2" t="s">
        <v>9778</v>
      </c>
      <c r="U1485" s="2" t="s">
        <v>9786</v>
      </c>
      <c r="V1485" s="2" t="s">
        <v>9787</v>
      </c>
      <c r="W1485" s="1"/>
      <c r="X1485" s="2" t="s">
        <v>4450</v>
      </c>
      <c r="Y1485" s="2" t="s">
        <v>9166</v>
      </c>
      <c r="AA1485" t="str">
        <f t="shared" si="138"/>
        <v>2026-01</v>
      </c>
      <c r="AB1485" t="str">
        <f t="shared" si="139"/>
        <v>H1_2026</v>
      </c>
      <c r="AC1485">
        <f t="shared" si="140"/>
        <v>165003.48000000001</v>
      </c>
      <c r="AD1485">
        <f t="shared" si="141"/>
        <v>30</v>
      </c>
      <c r="AE1485">
        <f t="shared" si="142"/>
        <v>36821.660000000003</v>
      </c>
      <c r="AF1485" t="str">
        <f t="shared" si="143"/>
        <v>Paid</v>
      </c>
    </row>
    <row r="1486" spans="1:32" ht="17.25" thickBot="1" x14ac:dyDescent="0.35">
      <c r="A1486" s="2" t="s">
        <v>9788</v>
      </c>
      <c r="B1486" s="2" t="s">
        <v>27</v>
      </c>
      <c r="C1486" s="2" t="s">
        <v>28</v>
      </c>
      <c r="D1486" s="2" t="s">
        <v>97</v>
      </c>
      <c r="E1486" s="2" t="s">
        <v>9159</v>
      </c>
      <c r="F1486" s="2" t="s">
        <v>8445</v>
      </c>
      <c r="G1486" s="2" t="s">
        <v>32</v>
      </c>
      <c r="H1486" s="1"/>
      <c r="I1486" s="2" t="s">
        <v>33</v>
      </c>
      <c r="J1486" s="2" t="s">
        <v>34</v>
      </c>
      <c r="K1486" s="2" t="s">
        <v>1684</v>
      </c>
      <c r="L1486" s="2" t="s">
        <v>1685</v>
      </c>
      <c r="M1486" s="2" t="s">
        <v>1686</v>
      </c>
      <c r="N1486" s="2" t="s">
        <v>38</v>
      </c>
      <c r="O1486" s="2" t="s">
        <v>3185</v>
      </c>
      <c r="P1486" s="2" t="s">
        <v>5852</v>
      </c>
      <c r="Q1486" s="2" t="s">
        <v>9789</v>
      </c>
      <c r="R1486" s="2" t="s">
        <v>40</v>
      </c>
      <c r="S1486" s="2" t="s">
        <v>9790</v>
      </c>
      <c r="T1486" s="2" t="s">
        <v>2383</v>
      </c>
      <c r="U1486" s="2" t="s">
        <v>9791</v>
      </c>
      <c r="V1486" s="2" t="s">
        <v>9792</v>
      </c>
      <c r="W1486" s="1"/>
      <c r="X1486" s="2" t="s">
        <v>986</v>
      </c>
      <c r="Y1486" s="2" t="s">
        <v>9166</v>
      </c>
      <c r="AA1486" t="str">
        <f t="shared" si="138"/>
        <v>2026-01</v>
      </c>
      <c r="AB1486" t="str">
        <f t="shared" si="139"/>
        <v>H1_2026</v>
      </c>
      <c r="AC1486">
        <f t="shared" si="140"/>
        <v>2442946.54</v>
      </c>
      <c r="AD1486">
        <f t="shared" si="141"/>
        <v>382</v>
      </c>
      <c r="AE1486">
        <f t="shared" si="142"/>
        <v>567673.81000000006</v>
      </c>
      <c r="AF1486" t="str">
        <f t="shared" si="143"/>
        <v>Paid</v>
      </c>
    </row>
    <row r="1487" spans="1:32" ht="17.25" thickBot="1" x14ac:dyDescent="0.35">
      <c r="A1487" s="2" t="s">
        <v>9793</v>
      </c>
      <c r="B1487" s="2" t="s">
        <v>27</v>
      </c>
      <c r="C1487" s="2" t="s">
        <v>28</v>
      </c>
      <c r="D1487" s="2" t="s">
        <v>97</v>
      </c>
      <c r="E1487" s="2" t="s">
        <v>9159</v>
      </c>
      <c r="F1487" s="2" t="s">
        <v>8445</v>
      </c>
      <c r="G1487" s="2" t="s">
        <v>32</v>
      </c>
      <c r="H1487" s="1"/>
      <c r="I1487" s="2" t="s">
        <v>33</v>
      </c>
      <c r="J1487" s="2" t="s">
        <v>34</v>
      </c>
      <c r="K1487" s="2" t="s">
        <v>3724</v>
      </c>
      <c r="L1487" s="2" t="s">
        <v>3725</v>
      </c>
      <c r="M1487" s="2" t="s">
        <v>1686</v>
      </c>
      <c r="N1487" s="2" t="s">
        <v>38</v>
      </c>
      <c r="O1487" s="2" t="s">
        <v>79</v>
      </c>
      <c r="P1487" s="2" t="s">
        <v>5852</v>
      </c>
      <c r="Q1487" s="2" t="s">
        <v>9794</v>
      </c>
      <c r="R1487" s="2" t="s">
        <v>40</v>
      </c>
      <c r="S1487" s="2" t="s">
        <v>9795</v>
      </c>
      <c r="T1487" s="2" t="s">
        <v>2383</v>
      </c>
      <c r="U1487" s="2" t="s">
        <v>6788</v>
      </c>
      <c r="V1487" s="2" t="s">
        <v>9796</v>
      </c>
      <c r="W1487" s="1"/>
      <c r="X1487" s="2" t="s">
        <v>986</v>
      </c>
      <c r="Y1487" s="2" t="s">
        <v>9166</v>
      </c>
      <c r="AA1487" t="str">
        <f t="shared" si="138"/>
        <v>2026-01</v>
      </c>
      <c r="AB1487" t="str">
        <f t="shared" si="139"/>
        <v>H1_2026</v>
      </c>
      <c r="AC1487">
        <f t="shared" si="140"/>
        <v>63951.48</v>
      </c>
      <c r="AD1487">
        <f t="shared" si="141"/>
        <v>10</v>
      </c>
      <c r="AE1487">
        <f t="shared" si="142"/>
        <v>14860.57</v>
      </c>
      <c r="AF1487" t="str">
        <f t="shared" si="143"/>
        <v>Paid</v>
      </c>
    </row>
    <row r="1488" spans="1:32" ht="27.75" thickBot="1" x14ac:dyDescent="0.35">
      <c r="A1488" s="2" t="s">
        <v>9797</v>
      </c>
      <c r="B1488" s="2" t="s">
        <v>27</v>
      </c>
      <c r="C1488" s="2" t="s">
        <v>28</v>
      </c>
      <c r="D1488" s="2" t="s">
        <v>97</v>
      </c>
      <c r="E1488" s="2" t="s">
        <v>9159</v>
      </c>
      <c r="F1488" s="2" t="s">
        <v>8445</v>
      </c>
      <c r="G1488" s="2" t="s">
        <v>32</v>
      </c>
      <c r="H1488" s="1"/>
      <c r="I1488" s="2" t="s">
        <v>33</v>
      </c>
      <c r="J1488" s="2" t="s">
        <v>34</v>
      </c>
      <c r="K1488" s="2" t="s">
        <v>3732</v>
      </c>
      <c r="L1488" s="2" t="s">
        <v>3733</v>
      </c>
      <c r="M1488" s="2" t="s">
        <v>1686</v>
      </c>
      <c r="N1488" s="2" t="s">
        <v>38</v>
      </c>
      <c r="O1488" s="2" t="s">
        <v>925</v>
      </c>
      <c r="P1488" s="2" t="s">
        <v>5852</v>
      </c>
      <c r="Q1488" s="2" t="s">
        <v>9798</v>
      </c>
      <c r="R1488" s="2" t="s">
        <v>40</v>
      </c>
      <c r="S1488" s="2" t="s">
        <v>9799</v>
      </c>
      <c r="T1488" s="2" t="s">
        <v>2383</v>
      </c>
      <c r="U1488" s="2" t="s">
        <v>9800</v>
      </c>
      <c r="V1488" s="2" t="s">
        <v>9801</v>
      </c>
      <c r="W1488" s="1"/>
      <c r="X1488" s="2" t="s">
        <v>986</v>
      </c>
      <c r="Y1488" s="2" t="s">
        <v>9166</v>
      </c>
      <c r="AA1488" t="str">
        <f t="shared" si="138"/>
        <v>2026-01</v>
      </c>
      <c r="AB1488" t="str">
        <f t="shared" si="139"/>
        <v>H1_2026</v>
      </c>
      <c r="AC1488">
        <f t="shared" si="140"/>
        <v>671490.54</v>
      </c>
      <c r="AD1488">
        <f t="shared" si="141"/>
        <v>105</v>
      </c>
      <c r="AE1488">
        <f t="shared" si="142"/>
        <v>156036</v>
      </c>
      <c r="AF1488" t="str">
        <f t="shared" si="143"/>
        <v>Paid</v>
      </c>
    </row>
    <row r="1489" spans="1:32" ht="17.25" thickBot="1" x14ac:dyDescent="0.35">
      <c r="A1489" s="2" t="s">
        <v>9802</v>
      </c>
      <c r="B1489" s="2" t="s">
        <v>27</v>
      </c>
      <c r="C1489" s="2" t="s">
        <v>28</v>
      </c>
      <c r="D1489" s="2" t="s">
        <v>97</v>
      </c>
      <c r="E1489" s="2" t="s">
        <v>9159</v>
      </c>
      <c r="F1489" s="2" t="s">
        <v>8445</v>
      </c>
      <c r="G1489" s="2" t="s">
        <v>32</v>
      </c>
      <c r="H1489" s="1"/>
      <c r="I1489" s="2" t="s">
        <v>33</v>
      </c>
      <c r="J1489" s="2" t="s">
        <v>34</v>
      </c>
      <c r="K1489" s="2" t="s">
        <v>3740</v>
      </c>
      <c r="L1489" s="2" t="s">
        <v>3741</v>
      </c>
      <c r="M1489" s="2" t="s">
        <v>1686</v>
      </c>
      <c r="N1489" s="2" t="s">
        <v>38</v>
      </c>
      <c r="O1489" s="2" t="s">
        <v>2642</v>
      </c>
      <c r="P1489" s="2" t="s">
        <v>3742</v>
      </c>
      <c r="Q1489" s="2" t="s">
        <v>9803</v>
      </c>
      <c r="R1489" s="2" t="s">
        <v>40</v>
      </c>
      <c r="S1489" s="2" t="s">
        <v>9804</v>
      </c>
      <c r="T1489" s="2" t="s">
        <v>8056</v>
      </c>
      <c r="U1489" s="2" t="s">
        <v>9805</v>
      </c>
      <c r="V1489" s="2" t="s">
        <v>9806</v>
      </c>
      <c r="W1489" s="1"/>
      <c r="X1489" s="2" t="s">
        <v>4241</v>
      </c>
      <c r="Y1489" s="2" t="s">
        <v>9166</v>
      </c>
      <c r="AA1489" t="str">
        <f t="shared" si="138"/>
        <v>2026-01</v>
      </c>
      <c r="AB1489" t="str">
        <f t="shared" si="139"/>
        <v>H1_2026</v>
      </c>
      <c r="AC1489">
        <f t="shared" si="140"/>
        <v>557807.04</v>
      </c>
      <c r="AD1489">
        <f t="shared" si="141"/>
        <v>560</v>
      </c>
      <c r="AE1489">
        <f t="shared" si="142"/>
        <v>125079.81</v>
      </c>
      <c r="AF1489" t="str">
        <f t="shared" si="143"/>
        <v>Paid</v>
      </c>
    </row>
    <row r="1490" spans="1:32" ht="17.25" thickBot="1" x14ac:dyDescent="0.35">
      <c r="A1490" s="2" t="s">
        <v>9807</v>
      </c>
      <c r="B1490" s="2" t="s">
        <v>27</v>
      </c>
      <c r="C1490" s="2" t="s">
        <v>28</v>
      </c>
      <c r="D1490" s="2" t="s">
        <v>97</v>
      </c>
      <c r="E1490" s="2" t="s">
        <v>9159</v>
      </c>
      <c r="F1490" s="2" t="s">
        <v>8445</v>
      </c>
      <c r="G1490" s="2" t="s">
        <v>32</v>
      </c>
      <c r="H1490" s="1"/>
      <c r="I1490" s="2" t="s">
        <v>33</v>
      </c>
      <c r="J1490" s="2" t="s">
        <v>34</v>
      </c>
      <c r="K1490" s="2" t="s">
        <v>9808</v>
      </c>
      <c r="L1490" s="2" t="s">
        <v>9809</v>
      </c>
      <c r="M1490" s="2" t="s">
        <v>1686</v>
      </c>
      <c r="N1490" s="2" t="s">
        <v>38</v>
      </c>
      <c r="O1490" s="2" t="s">
        <v>466</v>
      </c>
      <c r="P1490" s="2" t="s">
        <v>9810</v>
      </c>
      <c r="Q1490" s="2" t="s">
        <v>9811</v>
      </c>
      <c r="R1490" s="2" t="s">
        <v>40</v>
      </c>
      <c r="S1490" s="2" t="s">
        <v>9812</v>
      </c>
      <c r="T1490" s="2" t="s">
        <v>9813</v>
      </c>
      <c r="U1490" s="2" t="s">
        <v>9814</v>
      </c>
      <c r="V1490" s="2" t="s">
        <v>9815</v>
      </c>
      <c r="W1490" s="1"/>
      <c r="X1490" s="2" t="s">
        <v>1073</v>
      </c>
      <c r="Y1490" s="2" t="s">
        <v>9166</v>
      </c>
      <c r="AA1490" t="str">
        <f t="shared" si="138"/>
        <v>2026-01</v>
      </c>
      <c r="AB1490" t="str">
        <f t="shared" si="139"/>
        <v>H1_2026</v>
      </c>
      <c r="AC1490">
        <f t="shared" si="140"/>
        <v>409260.6</v>
      </c>
      <c r="AD1490">
        <f t="shared" si="141"/>
        <v>70</v>
      </c>
      <c r="AE1490">
        <f t="shared" si="142"/>
        <v>106930.6</v>
      </c>
      <c r="AF1490" t="str">
        <f t="shared" si="143"/>
        <v>Paid</v>
      </c>
    </row>
    <row r="1491" spans="1:32" ht="27.75" thickBot="1" x14ac:dyDescent="0.35">
      <c r="A1491" s="2" t="s">
        <v>9816</v>
      </c>
      <c r="B1491" s="2" t="s">
        <v>27</v>
      </c>
      <c r="C1491" s="2" t="s">
        <v>28</v>
      </c>
      <c r="D1491" s="2" t="s">
        <v>97</v>
      </c>
      <c r="E1491" s="2" t="s">
        <v>9159</v>
      </c>
      <c r="F1491" s="2" t="s">
        <v>8445</v>
      </c>
      <c r="G1491" s="2" t="s">
        <v>32</v>
      </c>
      <c r="H1491" s="1"/>
      <c r="I1491" s="2" t="s">
        <v>33</v>
      </c>
      <c r="J1491" s="2" t="s">
        <v>34</v>
      </c>
      <c r="K1491" s="2" t="s">
        <v>3749</v>
      </c>
      <c r="L1491" s="2" t="s">
        <v>3750</v>
      </c>
      <c r="M1491" s="2" t="s">
        <v>1686</v>
      </c>
      <c r="N1491" s="2" t="s">
        <v>38</v>
      </c>
      <c r="O1491" s="2" t="s">
        <v>214</v>
      </c>
      <c r="P1491" s="2" t="s">
        <v>7869</v>
      </c>
      <c r="Q1491" s="2" t="s">
        <v>9817</v>
      </c>
      <c r="R1491" s="2" t="s">
        <v>40</v>
      </c>
      <c r="S1491" s="2" t="s">
        <v>9818</v>
      </c>
      <c r="T1491" s="2" t="s">
        <v>8063</v>
      </c>
      <c r="U1491" s="2" t="s">
        <v>9819</v>
      </c>
      <c r="V1491" s="2" t="s">
        <v>9820</v>
      </c>
      <c r="W1491" s="1"/>
      <c r="X1491" s="2" t="s">
        <v>4499</v>
      </c>
      <c r="Y1491" s="2" t="s">
        <v>9166</v>
      </c>
      <c r="AA1491" t="str">
        <f t="shared" si="138"/>
        <v>2026-01</v>
      </c>
      <c r="AB1491" t="str">
        <f t="shared" si="139"/>
        <v>H1_2026</v>
      </c>
      <c r="AC1491">
        <f t="shared" si="140"/>
        <v>339967.8</v>
      </c>
      <c r="AD1491">
        <f t="shared" si="141"/>
        <v>50</v>
      </c>
      <c r="AE1491">
        <f t="shared" si="142"/>
        <v>75422.350000000006</v>
      </c>
      <c r="AF1491" t="str">
        <f t="shared" si="143"/>
        <v>Paid</v>
      </c>
    </row>
    <row r="1492" spans="1:32" ht="27.75" thickBot="1" x14ac:dyDescent="0.35">
      <c r="A1492" s="2" t="s">
        <v>9821</v>
      </c>
      <c r="B1492" s="2" t="s">
        <v>27</v>
      </c>
      <c r="C1492" s="2" t="s">
        <v>28</v>
      </c>
      <c r="D1492" s="2" t="s">
        <v>97</v>
      </c>
      <c r="E1492" s="2" t="s">
        <v>9159</v>
      </c>
      <c r="F1492" s="2" t="s">
        <v>8445</v>
      </c>
      <c r="G1492" s="2" t="s">
        <v>32</v>
      </c>
      <c r="H1492" s="1"/>
      <c r="I1492" s="2" t="s">
        <v>33</v>
      </c>
      <c r="J1492" s="2" t="s">
        <v>34</v>
      </c>
      <c r="K1492" s="2" t="s">
        <v>3758</v>
      </c>
      <c r="L1492" s="2" t="s">
        <v>3759</v>
      </c>
      <c r="M1492" s="2" t="s">
        <v>1686</v>
      </c>
      <c r="N1492" s="2" t="s">
        <v>38</v>
      </c>
      <c r="O1492" s="2" t="s">
        <v>131</v>
      </c>
      <c r="P1492" s="2" t="s">
        <v>7869</v>
      </c>
      <c r="Q1492" s="2" t="s">
        <v>9822</v>
      </c>
      <c r="R1492" s="2" t="s">
        <v>40</v>
      </c>
      <c r="S1492" s="2" t="s">
        <v>9823</v>
      </c>
      <c r="T1492" s="2" t="s">
        <v>8069</v>
      </c>
      <c r="U1492" s="2" t="s">
        <v>9824</v>
      </c>
      <c r="V1492" s="2" t="s">
        <v>9825</v>
      </c>
      <c r="W1492" s="1"/>
      <c r="X1492" s="2" t="s">
        <v>4499</v>
      </c>
      <c r="Y1492" s="2" t="s">
        <v>9166</v>
      </c>
      <c r="AA1492" t="str">
        <f t="shared" si="138"/>
        <v>2026-01</v>
      </c>
      <c r="AB1492" t="str">
        <f t="shared" si="139"/>
        <v>H1_2026</v>
      </c>
      <c r="AC1492">
        <f t="shared" si="140"/>
        <v>271974.24</v>
      </c>
      <c r="AD1492">
        <f t="shared" si="141"/>
        <v>40</v>
      </c>
      <c r="AE1492">
        <f t="shared" si="142"/>
        <v>60334.239999999998</v>
      </c>
      <c r="AF1492" t="str">
        <f t="shared" si="143"/>
        <v>Paid</v>
      </c>
    </row>
    <row r="1493" spans="1:32" ht="27.75" thickBot="1" x14ac:dyDescent="0.35">
      <c r="A1493" s="2" t="s">
        <v>9826</v>
      </c>
      <c r="B1493" s="2" t="s">
        <v>27</v>
      </c>
      <c r="C1493" s="2" t="s">
        <v>28</v>
      </c>
      <c r="D1493" s="2" t="s">
        <v>97</v>
      </c>
      <c r="E1493" s="2" t="s">
        <v>9159</v>
      </c>
      <c r="F1493" s="2" t="s">
        <v>8445</v>
      </c>
      <c r="G1493" s="2" t="s">
        <v>32</v>
      </c>
      <c r="H1493" s="1"/>
      <c r="I1493" s="2" t="s">
        <v>33</v>
      </c>
      <c r="J1493" s="2" t="s">
        <v>34</v>
      </c>
      <c r="K1493" s="2" t="s">
        <v>3766</v>
      </c>
      <c r="L1493" s="2" t="s">
        <v>3767</v>
      </c>
      <c r="M1493" s="2" t="s">
        <v>1686</v>
      </c>
      <c r="N1493" s="2" t="s">
        <v>38</v>
      </c>
      <c r="O1493" s="2" t="s">
        <v>214</v>
      </c>
      <c r="P1493" s="2" t="s">
        <v>7869</v>
      </c>
      <c r="Q1493" s="2" t="s">
        <v>9817</v>
      </c>
      <c r="R1493" s="2" t="s">
        <v>40</v>
      </c>
      <c r="S1493" s="2" t="s">
        <v>9818</v>
      </c>
      <c r="T1493" s="2" t="s">
        <v>8063</v>
      </c>
      <c r="U1493" s="2" t="s">
        <v>9819</v>
      </c>
      <c r="V1493" s="2" t="s">
        <v>9820</v>
      </c>
      <c r="W1493" s="1"/>
      <c r="X1493" s="2" t="s">
        <v>4499</v>
      </c>
      <c r="Y1493" s="2" t="s">
        <v>9166</v>
      </c>
      <c r="AA1493" t="str">
        <f t="shared" si="138"/>
        <v>2026-01</v>
      </c>
      <c r="AB1493" t="str">
        <f t="shared" si="139"/>
        <v>H1_2026</v>
      </c>
      <c r="AC1493">
        <f t="shared" si="140"/>
        <v>339967.8</v>
      </c>
      <c r="AD1493">
        <f t="shared" si="141"/>
        <v>50</v>
      </c>
      <c r="AE1493">
        <f t="shared" si="142"/>
        <v>75422.350000000006</v>
      </c>
      <c r="AF1493" t="str">
        <f t="shared" si="143"/>
        <v>Paid</v>
      </c>
    </row>
    <row r="1494" spans="1:32" ht="27.75" thickBot="1" x14ac:dyDescent="0.35">
      <c r="A1494" s="2" t="s">
        <v>9827</v>
      </c>
      <c r="B1494" s="2" t="s">
        <v>27</v>
      </c>
      <c r="C1494" s="2" t="s">
        <v>28</v>
      </c>
      <c r="D1494" s="2" t="s">
        <v>97</v>
      </c>
      <c r="E1494" s="2" t="s">
        <v>9159</v>
      </c>
      <c r="F1494" s="2" t="s">
        <v>8445</v>
      </c>
      <c r="G1494" s="2" t="s">
        <v>32</v>
      </c>
      <c r="H1494" s="1"/>
      <c r="I1494" s="2" t="s">
        <v>33</v>
      </c>
      <c r="J1494" s="2" t="s">
        <v>34</v>
      </c>
      <c r="K1494" s="2" t="s">
        <v>3773</v>
      </c>
      <c r="L1494" s="2" t="s">
        <v>3774</v>
      </c>
      <c r="M1494" s="2" t="s">
        <v>1686</v>
      </c>
      <c r="N1494" s="2" t="s">
        <v>38</v>
      </c>
      <c r="O1494" s="2" t="s">
        <v>141</v>
      </c>
      <c r="P1494" s="2" t="s">
        <v>6237</v>
      </c>
      <c r="Q1494" s="2" t="s">
        <v>9828</v>
      </c>
      <c r="R1494" s="2" t="s">
        <v>40</v>
      </c>
      <c r="S1494" s="2" t="s">
        <v>9829</v>
      </c>
      <c r="T1494" s="2" t="s">
        <v>2884</v>
      </c>
      <c r="U1494" s="2" t="s">
        <v>8605</v>
      </c>
      <c r="V1494" s="2" t="s">
        <v>9830</v>
      </c>
      <c r="W1494" s="1"/>
      <c r="X1494" s="2" t="s">
        <v>3259</v>
      </c>
      <c r="Y1494" s="2" t="s">
        <v>9166</v>
      </c>
      <c r="AA1494" t="str">
        <f t="shared" si="138"/>
        <v>2026-01</v>
      </c>
      <c r="AB1494" t="str">
        <f t="shared" si="139"/>
        <v>H1_2026</v>
      </c>
      <c r="AC1494">
        <f t="shared" si="140"/>
        <v>239926.32</v>
      </c>
      <c r="AD1494">
        <f t="shared" si="141"/>
        <v>30</v>
      </c>
      <c r="AE1494">
        <f t="shared" si="142"/>
        <v>54471.78</v>
      </c>
      <c r="AF1494" t="str">
        <f t="shared" si="143"/>
        <v>Paid</v>
      </c>
    </row>
    <row r="1495" spans="1:32" ht="17.25" thickBot="1" x14ac:dyDescent="0.35">
      <c r="A1495" s="2" t="s">
        <v>9831</v>
      </c>
      <c r="B1495" s="2" t="s">
        <v>27</v>
      </c>
      <c r="C1495" s="2" t="s">
        <v>28</v>
      </c>
      <c r="D1495" s="2" t="s">
        <v>97</v>
      </c>
      <c r="E1495" s="2" t="s">
        <v>9159</v>
      </c>
      <c r="F1495" s="2" t="s">
        <v>8445</v>
      </c>
      <c r="G1495" s="2" t="s">
        <v>32</v>
      </c>
      <c r="H1495" s="1"/>
      <c r="I1495" s="2" t="s">
        <v>33</v>
      </c>
      <c r="J1495" s="2" t="s">
        <v>34</v>
      </c>
      <c r="K1495" s="2" t="s">
        <v>4636</v>
      </c>
      <c r="L1495" s="2" t="s">
        <v>4637</v>
      </c>
      <c r="M1495" s="2" t="s">
        <v>37</v>
      </c>
      <c r="N1495" s="2" t="s">
        <v>38</v>
      </c>
      <c r="O1495" s="2" t="s">
        <v>131</v>
      </c>
      <c r="P1495" s="2" t="s">
        <v>6448</v>
      </c>
      <c r="Q1495" s="2" t="s">
        <v>9832</v>
      </c>
      <c r="R1495" s="2" t="s">
        <v>40</v>
      </c>
      <c r="S1495" s="2" t="s">
        <v>9833</v>
      </c>
      <c r="T1495" s="2" t="s">
        <v>9834</v>
      </c>
      <c r="U1495" s="2" t="s">
        <v>9835</v>
      </c>
      <c r="V1495" s="2" t="s">
        <v>9836</v>
      </c>
      <c r="W1495" s="1"/>
      <c r="X1495" s="2" t="s">
        <v>838</v>
      </c>
      <c r="Y1495" s="2" t="s">
        <v>9166</v>
      </c>
      <c r="AA1495" t="str">
        <f t="shared" si="138"/>
        <v>2026-01</v>
      </c>
      <c r="AB1495" t="str">
        <f t="shared" si="139"/>
        <v>H1_2026</v>
      </c>
      <c r="AC1495">
        <f t="shared" si="140"/>
        <v>269087.03999999998</v>
      </c>
      <c r="AD1495">
        <f t="shared" si="141"/>
        <v>40</v>
      </c>
      <c r="AE1495">
        <f t="shared" si="142"/>
        <v>56287.040000000001</v>
      </c>
      <c r="AF1495" t="str">
        <f t="shared" si="143"/>
        <v>Paid</v>
      </c>
    </row>
    <row r="1496" spans="1:32" ht="27.75" thickBot="1" x14ac:dyDescent="0.35">
      <c r="A1496" s="2" t="s">
        <v>9837</v>
      </c>
      <c r="B1496" s="2" t="s">
        <v>27</v>
      </c>
      <c r="C1496" s="2" t="s">
        <v>28</v>
      </c>
      <c r="D1496" s="2" t="s">
        <v>97</v>
      </c>
      <c r="E1496" s="2" t="s">
        <v>9159</v>
      </c>
      <c r="F1496" s="2" t="s">
        <v>8445</v>
      </c>
      <c r="G1496" s="2" t="s">
        <v>32</v>
      </c>
      <c r="H1496" s="1"/>
      <c r="I1496" s="2" t="s">
        <v>33</v>
      </c>
      <c r="J1496" s="2" t="s">
        <v>34</v>
      </c>
      <c r="K1496" s="2" t="s">
        <v>9838</v>
      </c>
      <c r="L1496" s="2" t="s">
        <v>9839</v>
      </c>
      <c r="M1496" s="2" t="s">
        <v>37</v>
      </c>
      <c r="N1496" s="2" t="s">
        <v>38</v>
      </c>
      <c r="O1496" s="2" t="s">
        <v>455</v>
      </c>
      <c r="P1496" s="2" t="s">
        <v>9840</v>
      </c>
      <c r="Q1496" s="2" t="s">
        <v>9841</v>
      </c>
      <c r="R1496" s="2" t="s">
        <v>40</v>
      </c>
      <c r="S1496" s="2" t="s">
        <v>9842</v>
      </c>
      <c r="T1496" s="2" t="s">
        <v>9843</v>
      </c>
      <c r="U1496" s="2" t="s">
        <v>9844</v>
      </c>
      <c r="V1496" s="2" t="s">
        <v>9845</v>
      </c>
      <c r="W1496" s="1"/>
      <c r="X1496" s="2" t="s">
        <v>838</v>
      </c>
      <c r="Y1496" s="2" t="s">
        <v>9166</v>
      </c>
      <c r="AA1496" t="str">
        <f t="shared" si="138"/>
        <v>2026-01</v>
      </c>
      <c r="AB1496" t="str">
        <f t="shared" si="139"/>
        <v>H1_2026</v>
      </c>
      <c r="AC1496">
        <f t="shared" si="140"/>
        <v>178270.16</v>
      </c>
      <c r="AD1496">
        <f t="shared" si="141"/>
        <v>53</v>
      </c>
      <c r="AE1496">
        <f t="shared" si="142"/>
        <v>37290.160000000003</v>
      </c>
      <c r="AF1496" t="str">
        <f t="shared" si="143"/>
        <v>Paid</v>
      </c>
    </row>
    <row r="1497" spans="1:32" ht="17.25" thickBot="1" x14ac:dyDescent="0.35">
      <c r="A1497" s="2" t="s">
        <v>9846</v>
      </c>
      <c r="B1497" s="2" t="s">
        <v>27</v>
      </c>
      <c r="C1497" s="2" t="s">
        <v>28</v>
      </c>
      <c r="D1497" s="2" t="s">
        <v>97</v>
      </c>
      <c r="E1497" s="2" t="s">
        <v>9159</v>
      </c>
      <c r="F1497" s="2" t="s">
        <v>8445</v>
      </c>
      <c r="G1497" s="2" t="s">
        <v>32</v>
      </c>
      <c r="H1497" s="1"/>
      <c r="I1497" s="2" t="s">
        <v>33</v>
      </c>
      <c r="J1497" s="2" t="s">
        <v>34</v>
      </c>
      <c r="K1497" s="2" t="s">
        <v>1102</v>
      </c>
      <c r="L1497" s="2" t="s">
        <v>1103</v>
      </c>
      <c r="M1497" s="2" t="s">
        <v>37</v>
      </c>
      <c r="N1497" s="2" t="s">
        <v>38</v>
      </c>
      <c r="O1497" s="2" t="s">
        <v>466</v>
      </c>
      <c r="P1497" s="2" t="s">
        <v>6448</v>
      </c>
      <c r="Q1497" s="2" t="s">
        <v>9847</v>
      </c>
      <c r="R1497" s="2" t="s">
        <v>40</v>
      </c>
      <c r="S1497" s="2" t="s">
        <v>9848</v>
      </c>
      <c r="T1497" s="2" t="s">
        <v>9849</v>
      </c>
      <c r="U1497" s="2" t="s">
        <v>9850</v>
      </c>
      <c r="V1497" s="2" t="s">
        <v>9851</v>
      </c>
      <c r="W1497" s="1"/>
      <c r="X1497" s="2" t="s">
        <v>4651</v>
      </c>
      <c r="Y1497" s="2" t="s">
        <v>9166</v>
      </c>
      <c r="AA1497" t="str">
        <f t="shared" si="138"/>
        <v>2026-01</v>
      </c>
      <c r="AB1497" t="str">
        <f t="shared" si="139"/>
        <v>H1_2026</v>
      </c>
      <c r="AC1497">
        <f t="shared" si="140"/>
        <v>470902.32</v>
      </c>
      <c r="AD1497">
        <f t="shared" si="141"/>
        <v>70</v>
      </c>
      <c r="AE1497">
        <f t="shared" si="142"/>
        <v>146102.32</v>
      </c>
      <c r="AF1497" t="str">
        <f t="shared" si="143"/>
        <v>Paid</v>
      </c>
    </row>
    <row r="1498" spans="1:32" ht="17.25" thickBot="1" x14ac:dyDescent="0.35">
      <c r="A1498" s="2" t="s">
        <v>9852</v>
      </c>
      <c r="B1498" s="2" t="s">
        <v>27</v>
      </c>
      <c r="C1498" s="2" t="s">
        <v>28</v>
      </c>
      <c r="D1498" s="2" t="s">
        <v>97</v>
      </c>
      <c r="E1498" s="2" t="s">
        <v>9159</v>
      </c>
      <c r="F1498" s="2" t="s">
        <v>8445</v>
      </c>
      <c r="G1498" s="2" t="s">
        <v>32</v>
      </c>
      <c r="H1498" s="1"/>
      <c r="I1498" s="2" t="s">
        <v>33</v>
      </c>
      <c r="J1498" s="2" t="s">
        <v>34</v>
      </c>
      <c r="K1498" s="2" t="s">
        <v>1111</v>
      </c>
      <c r="L1498" s="2" t="s">
        <v>1112</v>
      </c>
      <c r="M1498" s="2" t="s">
        <v>37</v>
      </c>
      <c r="N1498" s="2" t="s">
        <v>38</v>
      </c>
      <c r="O1498" s="2" t="s">
        <v>748</v>
      </c>
      <c r="P1498" s="2" t="s">
        <v>6470</v>
      </c>
      <c r="Q1498" s="2" t="s">
        <v>9853</v>
      </c>
      <c r="R1498" s="2" t="s">
        <v>40</v>
      </c>
      <c r="S1498" s="2" t="s">
        <v>9854</v>
      </c>
      <c r="T1498" s="2" t="s">
        <v>1117</v>
      </c>
      <c r="U1498" s="2" t="s">
        <v>1272</v>
      </c>
      <c r="V1498" s="2" t="s">
        <v>9855</v>
      </c>
      <c r="W1498" s="1"/>
      <c r="X1498" s="2" t="s">
        <v>1100</v>
      </c>
      <c r="Y1498" s="2" t="s">
        <v>9166</v>
      </c>
      <c r="AA1498" t="str">
        <f t="shared" si="138"/>
        <v>2026-01</v>
      </c>
      <c r="AB1498" t="str">
        <f t="shared" si="139"/>
        <v>H1_2026</v>
      </c>
      <c r="AC1498">
        <f t="shared" si="140"/>
        <v>1059024.96</v>
      </c>
      <c r="AD1498">
        <f t="shared" si="141"/>
        <v>280</v>
      </c>
      <c r="AE1498">
        <f t="shared" si="142"/>
        <v>177024.96</v>
      </c>
      <c r="AF1498" t="str">
        <f t="shared" si="143"/>
        <v>Paid</v>
      </c>
    </row>
    <row r="1499" spans="1:32" ht="17.25" thickBot="1" x14ac:dyDescent="0.35">
      <c r="A1499" s="2" t="s">
        <v>9856</v>
      </c>
      <c r="B1499" s="2" t="s">
        <v>27</v>
      </c>
      <c r="C1499" s="2" t="s">
        <v>28</v>
      </c>
      <c r="D1499" s="2" t="s">
        <v>97</v>
      </c>
      <c r="E1499" s="2" t="s">
        <v>9159</v>
      </c>
      <c r="F1499" s="2" t="s">
        <v>8445</v>
      </c>
      <c r="G1499" s="2" t="s">
        <v>32</v>
      </c>
      <c r="H1499" s="1"/>
      <c r="I1499" s="2" t="s">
        <v>33</v>
      </c>
      <c r="J1499" s="2" t="s">
        <v>34</v>
      </c>
      <c r="K1499" s="2" t="s">
        <v>1122</v>
      </c>
      <c r="L1499" s="2" t="s">
        <v>1123</v>
      </c>
      <c r="M1499" s="2" t="s">
        <v>37</v>
      </c>
      <c r="N1499" s="2" t="s">
        <v>38</v>
      </c>
      <c r="O1499" s="2" t="s">
        <v>141</v>
      </c>
      <c r="P1499" s="2" t="s">
        <v>9857</v>
      </c>
      <c r="Q1499" s="2" t="s">
        <v>9858</v>
      </c>
      <c r="R1499" s="2" t="s">
        <v>40</v>
      </c>
      <c r="S1499" s="2" t="s">
        <v>9859</v>
      </c>
      <c r="T1499" s="2" t="s">
        <v>2275</v>
      </c>
      <c r="U1499" s="2" t="s">
        <v>3357</v>
      </c>
      <c r="V1499" s="2" t="s">
        <v>9860</v>
      </c>
      <c r="W1499" s="1"/>
      <c r="X1499" s="2" t="s">
        <v>997</v>
      </c>
      <c r="Y1499" s="2" t="s">
        <v>9166</v>
      </c>
      <c r="AA1499" t="str">
        <f t="shared" si="138"/>
        <v>2026-01</v>
      </c>
      <c r="AB1499" t="str">
        <f t="shared" si="139"/>
        <v>H1_2026</v>
      </c>
      <c r="AC1499">
        <f t="shared" si="140"/>
        <v>188822.88</v>
      </c>
      <c r="AD1499">
        <f t="shared" si="141"/>
        <v>30</v>
      </c>
      <c r="AE1499">
        <f t="shared" si="142"/>
        <v>53822.879999999997</v>
      </c>
      <c r="AF1499" t="str">
        <f t="shared" si="143"/>
        <v>Paid</v>
      </c>
    </row>
    <row r="1500" spans="1:32" ht="17.25" thickBot="1" x14ac:dyDescent="0.35">
      <c r="A1500" s="2" t="s">
        <v>9861</v>
      </c>
      <c r="B1500" s="2" t="s">
        <v>27</v>
      </c>
      <c r="C1500" s="2" t="s">
        <v>28</v>
      </c>
      <c r="D1500" s="2" t="s">
        <v>97</v>
      </c>
      <c r="E1500" s="2" t="s">
        <v>9159</v>
      </c>
      <c r="F1500" s="2" t="s">
        <v>8445</v>
      </c>
      <c r="G1500" s="2" t="s">
        <v>32</v>
      </c>
      <c r="H1500" s="1"/>
      <c r="I1500" s="2" t="s">
        <v>33</v>
      </c>
      <c r="J1500" s="2" t="s">
        <v>34</v>
      </c>
      <c r="K1500" s="2" t="s">
        <v>1140</v>
      </c>
      <c r="L1500" s="2" t="s">
        <v>1141</v>
      </c>
      <c r="M1500" s="2" t="s">
        <v>37</v>
      </c>
      <c r="N1500" s="2" t="s">
        <v>38</v>
      </c>
      <c r="O1500" s="2" t="s">
        <v>272</v>
      </c>
      <c r="P1500" s="2" t="s">
        <v>9857</v>
      </c>
      <c r="Q1500" s="2" t="s">
        <v>9862</v>
      </c>
      <c r="R1500" s="2" t="s">
        <v>40</v>
      </c>
      <c r="S1500" s="2" t="s">
        <v>9863</v>
      </c>
      <c r="T1500" s="2" t="s">
        <v>1792</v>
      </c>
      <c r="U1500" s="2" t="s">
        <v>9864</v>
      </c>
      <c r="V1500" s="2" t="s">
        <v>9865</v>
      </c>
      <c r="W1500" s="1"/>
      <c r="X1500" s="2" t="s">
        <v>1052</v>
      </c>
      <c r="Y1500" s="2" t="s">
        <v>9166</v>
      </c>
      <c r="AA1500" t="str">
        <f t="shared" si="138"/>
        <v>2026-01</v>
      </c>
      <c r="AB1500" t="str">
        <f t="shared" si="139"/>
        <v>H1_2026</v>
      </c>
      <c r="AC1500">
        <f t="shared" si="140"/>
        <v>213999.26</v>
      </c>
      <c r="AD1500">
        <f t="shared" si="141"/>
        <v>34</v>
      </c>
      <c r="AE1500">
        <f t="shared" si="142"/>
        <v>54199.26</v>
      </c>
      <c r="AF1500" t="str">
        <f t="shared" si="143"/>
        <v>Paid</v>
      </c>
    </row>
    <row r="1501" spans="1:32" ht="17.25" thickBot="1" x14ac:dyDescent="0.35">
      <c r="A1501" s="2" t="s">
        <v>9866</v>
      </c>
      <c r="B1501" s="2" t="s">
        <v>27</v>
      </c>
      <c r="C1501" s="2" t="s">
        <v>28</v>
      </c>
      <c r="D1501" s="2" t="s">
        <v>97</v>
      </c>
      <c r="E1501" s="2" t="s">
        <v>9159</v>
      </c>
      <c r="F1501" s="2" t="s">
        <v>8445</v>
      </c>
      <c r="G1501" s="2" t="s">
        <v>32</v>
      </c>
      <c r="H1501" s="1"/>
      <c r="I1501" s="2" t="s">
        <v>33</v>
      </c>
      <c r="J1501" s="2" t="s">
        <v>34</v>
      </c>
      <c r="K1501" s="2" t="s">
        <v>6488</v>
      </c>
      <c r="L1501" s="2" t="s">
        <v>6489</v>
      </c>
      <c r="M1501" s="2" t="s">
        <v>37</v>
      </c>
      <c r="N1501" s="2" t="s">
        <v>38</v>
      </c>
      <c r="O1501" s="2" t="s">
        <v>343</v>
      </c>
      <c r="P1501" s="2" t="s">
        <v>6464</v>
      </c>
      <c r="Q1501" s="2" t="s">
        <v>9867</v>
      </c>
      <c r="R1501" s="2" t="s">
        <v>40</v>
      </c>
      <c r="S1501" s="2" t="s">
        <v>9868</v>
      </c>
      <c r="T1501" s="2" t="s">
        <v>9869</v>
      </c>
      <c r="U1501" s="2" t="s">
        <v>9870</v>
      </c>
      <c r="V1501" s="2" t="s">
        <v>9871</v>
      </c>
      <c r="W1501" s="1"/>
      <c r="X1501" s="2" t="s">
        <v>1774</v>
      </c>
      <c r="Y1501" s="2" t="s">
        <v>9166</v>
      </c>
      <c r="AA1501" t="str">
        <f t="shared" si="138"/>
        <v>2026-01</v>
      </c>
      <c r="AB1501" t="str">
        <f t="shared" si="139"/>
        <v>H1_2026</v>
      </c>
      <c r="AC1501">
        <f t="shared" si="140"/>
        <v>3375569.88</v>
      </c>
      <c r="AD1501">
        <f t="shared" si="141"/>
        <v>670</v>
      </c>
      <c r="AE1501">
        <f t="shared" si="142"/>
        <v>802769.88</v>
      </c>
      <c r="AF1501" t="str">
        <f t="shared" si="143"/>
        <v>Paid</v>
      </c>
    </row>
    <row r="1502" spans="1:32" ht="17.25" thickBot="1" x14ac:dyDescent="0.35">
      <c r="A1502" s="2" t="s">
        <v>9872</v>
      </c>
      <c r="B1502" s="2" t="s">
        <v>27</v>
      </c>
      <c r="C1502" s="2" t="s">
        <v>28</v>
      </c>
      <c r="D1502" s="2" t="s">
        <v>97</v>
      </c>
      <c r="E1502" s="2" t="s">
        <v>9159</v>
      </c>
      <c r="F1502" s="2" t="s">
        <v>8445</v>
      </c>
      <c r="G1502" s="2" t="s">
        <v>32</v>
      </c>
      <c r="H1502" s="1"/>
      <c r="I1502" s="2" t="s">
        <v>33</v>
      </c>
      <c r="J1502" s="2" t="s">
        <v>34</v>
      </c>
      <c r="K1502" s="2" t="s">
        <v>8887</v>
      </c>
      <c r="L1502" s="2" t="s">
        <v>8888</v>
      </c>
      <c r="M1502" s="2" t="s">
        <v>37</v>
      </c>
      <c r="N1502" s="2" t="s">
        <v>38</v>
      </c>
      <c r="O1502" s="2" t="s">
        <v>2816</v>
      </c>
      <c r="P1502" s="2" t="s">
        <v>9873</v>
      </c>
      <c r="Q1502" s="2" t="s">
        <v>9874</v>
      </c>
      <c r="R1502" s="2" t="s">
        <v>40</v>
      </c>
      <c r="S1502" s="2" t="s">
        <v>9875</v>
      </c>
      <c r="T1502" s="2" t="s">
        <v>9876</v>
      </c>
      <c r="U1502" s="2" t="s">
        <v>9877</v>
      </c>
      <c r="V1502" s="2" t="s">
        <v>9878</v>
      </c>
      <c r="W1502" s="1"/>
      <c r="X1502" s="2" t="s">
        <v>1693</v>
      </c>
      <c r="Y1502" s="2" t="s">
        <v>9166</v>
      </c>
      <c r="AA1502" t="str">
        <f t="shared" si="138"/>
        <v>2026-01</v>
      </c>
      <c r="AB1502" t="str">
        <f t="shared" si="139"/>
        <v>H1_2026</v>
      </c>
      <c r="AC1502">
        <f t="shared" si="140"/>
        <v>515365.2</v>
      </c>
      <c r="AD1502">
        <f t="shared" si="141"/>
        <v>340</v>
      </c>
      <c r="AE1502">
        <f t="shared" si="142"/>
        <v>86965.2</v>
      </c>
      <c r="AF1502" t="str">
        <f t="shared" si="143"/>
        <v>Paid</v>
      </c>
    </row>
    <row r="1503" spans="1:32" ht="17.25" thickBot="1" x14ac:dyDescent="0.35">
      <c r="A1503" s="2" t="s">
        <v>9879</v>
      </c>
      <c r="B1503" s="2" t="s">
        <v>27</v>
      </c>
      <c r="C1503" s="2" t="s">
        <v>28</v>
      </c>
      <c r="D1503" s="2" t="s">
        <v>97</v>
      </c>
      <c r="E1503" s="2" t="s">
        <v>9159</v>
      </c>
      <c r="F1503" s="2" t="s">
        <v>8445</v>
      </c>
      <c r="G1503" s="2" t="s">
        <v>32</v>
      </c>
      <c r="H1503" s="1"/>
      <c r="I1503" s="2" t="s">
        <v>33</v>
      </c>
      <c r="J1503" s="2" t="s">
        <v>34</v>
      </c>
      <c r="K1503" s="2" t="s">
        <v>4657</v>
      </c>
      <c r="L1503" s="2" t="s">
        <v>4658</v>
      </c>
      <c r="M1503" s="2" t="s">
        <v>37</v>
      </c>
      <c r="N1503" s="2" t="s">
        <v>38</v>
      </c>
      <c r="O1503" s="2" t="s">
        <v>141</v>
      </c>
      <c r="P1503" s="2" t="s">
        <v>3579</v>
      </c>
      <c r="Q1503" s="2" t="s">
        <v>9880</v>
      </c>
      <c r="R1503" s="2" t="s">
        <v>40</v>
      </c>
      <c r="S1503" s="2" t="s">
        <v>9881</v>
      </c>
      <c r="T1503" s="2" t="s">
        <v>3079</v>
      </c>
      <c r="U1503" s="2" t="s">
        <v>7135</v>
      </c>
      <c r="V1503" s="2" t="s">
        <v>9882</v>
      </c>
      <c r="W1503" s="1"/>
      <c r="X1503" s="2" t="s">
        <v>4651</v>
      </c>
      <c r="Y1503" s="2" t="s">
        <v>9166</v>
      </c>
      <c r="AA1503" t="str">
        <f t="shared" si="138"/>
        <v>2026-01</v>
      </c>
      <c r="AB1503" t="str">
        <f t="shared" si="139"/>
        <v>H1_2026</v>
      </c>
      <c r="AC1503">
        <f t="shared" si="140"/>
        <v>252052.56</v>
      </c>
      <c r="AD1503">
        <f t="shared" si="141"/>
        <v>30</v>
      </c>
      <c r="AE1503">
        <f t="shared" si="142"/>
        <v>78052.56</v>
      </c>
      <c r="AF1503" t="str">
        <f t="shared" si="143"/>
        <v>Paid</v>
      </c>
    </row>
    <row r="1504" spans="1:32" ht="17.25" thickBot="1" x14ac:dyDescent="0.35">
      <c r="A1504" s="2" t="s">
        <v>9883</v>
      </c>
      <c r="B1504" s="2" t="s">
        <v>27</v>
      </c>
      <c r="C1504" s="2" t="s">
        <v>28</v>
      </c>
      <c r="D1504" s="2" t="s">
        <v>97</v>
      </c>
      <c r="E1504" s="2" t="s">
        <v>9159</v>
      </c>
      <c r="F1504" s="2" t="s">
        <v>8445</v>
      </c>
      <c r="G1504" s="2" t="s">
        <v>32</v>
      </c>
      <c r="H1504" s="1"/>
      <c r="I1504" s="2" t="s">
        <v>33</v>
      </c>
      <c r="J1504" s="2" t="s">
        <v>34</v>
      </c>
      <c r="K1504" s="2" t="s">
        <v>4664</v>
      </c>
      <c r="L1504" s="2" t="s">
        <v>4665</v>
      </c>
      <c r="M1504" s="2" t="s">
        <v>37</v>
      </c>
      <c r="N1504" s="2" t="s">
        <v>38</v>
      </c>
      <c r="O1504" s="2" t="s">
        <v>214</v>
      </c>
      <c r="P1504" s="2" t="s">
        <v>6516</v>
      </c>
      <c r="Q1504" s="2" t="s">
        <v>9884</v>
      </c>
      <c r="R1504" s="2" t="s">
        <v>40</v>
      </c>
      <c r="S1504" s="2" t="s">
        <v>9885</v>
      </c>
      <c r="T1504" s="2" t="s">
        <v>2755</v>
      </c>
      <c r="U1504" s="2" t="s">
        <v>4419</v>
      </c>
      <c r="V1504" s="2" t="s">
        <v>9886</v>
      </c>
      <c r="W1504" s="1"/>
      <c r="X1504" s="2" t="s">
        <v>1340</v>
      </c>
      <c r="Y1504" s="2" t="s">
        <v>9166</v>
      </c>
      <c r="AA1504" t="str">
        <f t="shared" si="138"/>
        <v>2026-01</v>
      </c>
      <c r="AB1504" t="str">
        <f t="shared" si="139"/>
        <v>H1_2026</v>
      </c>
      <c r="AC1504">
        <f t="shared" si="140"/>
        <v>399155.4</v>
      </c>
      <c r="AD1504">
        <f t="shared" si="141"/>
        <v>50</v>
      </c>
      <c r="AE1504">
        <f t="shared" si="142"/>
        <v>114155.4</v>
      </c>
      <c r="AF1504" t="str">
        <f t="shared" si="143"/>
        <v>Paid</v>
      </c>
    </row>
    <row r="1505" spans="1:32" ht="17.25" thickBot="1" x14ac:dyDescent="0.35">
      <c r="A1505" s="2" t="s">
        <v>9887</v>
      </c>
      <c r="B1505" s="2" t="s">
        <v>27</v>
      </c>
      <c r="C1505" s="2" t="s">
        <v>28</v>
      </c>
      <c r="D1505" s="2" t="s">
        <v>97</v>
      </c>
      <c r="E1505" s="2" t="s">
        <v>9159</v>
      </c>
      <c r="F1505" s="2" t="s">
        <v>8445</v>
      </c>
      <c r="G1505" s="2" t="s">
        <v>32</v>
      </c>
      <c r="H1505" s="1"/>
      <c r="I1505" s="2" t="s">
        <v>33</v>
      </c>
      <c r="J1505" s="2" t="s">
        <v>34</v>
      </c>
      <c r="K1505" s="2" t="s">
        <v>1182</v>
      </c>
      <c r="L1505" s="2" t="s">
        <v>1183</v>
      </c>
      <c r="M1505" s="2" t="s">
        <v>37</v>
      </c>
      <c r="N1505" s="2" t="s">
        <v>38</v>
      </c>
      <c r="O1505" s="2" t="s">
        <v>213</v>
      </c>
      <c r="P1505" s="2" t="s">
        <v>6448</v>
      </c>
      <c r="Q1505" s="2" t="s">
        <v>9888</v>
      </c>
      <c r="R1505" s="2" t="s">
        <v>40</v>
      </c>
      <c r="S1505" s="2" t="s">
        <v>9889</v>
      </c>
      <c r="T1505" s="2" t="s">
        <v>1271</v>
      </c>
      <c r="U1505" s="2" t="s">
        <v>7025</v>
      </c>
      <c r="V1505" s="2" t="s">
        <v>9890</v>
      </c>
      <c r="W1505" s="1"/>
      <c r="X1505" s="2" t="s">
        <v>9891</v>
      </c>
      <c r="Y1505" s="2" t="s">
        <v>9166</v>
      </c>
      <c r="AA1505" t="str">
        <f t="shared" si="138"/>
        <v>2026-01</v>
      </c>
      <c r="AB1505" t="str">
        <f t="shared" si="139"/>
        <v>H1_2026</v>
      </c>
      <c r="AC1505">
        <f t="shared" si="140"/>
        <v>174906.58</v>
      </c>
      <c r="AD1505">
        <f t="shared" si="141"/>
        <v>26</v>
      </c>
      <c r="AE1505">
        <f t="shared" si="142"/>
        <v>47506.58</v>
      </c>
      <c r="AF1505" t="str">
        <f t="shared" si="143"/>
        <v>Paid</v>
      </c>
    </row>
    <row r="1506" spans="1:32" ht="17.25" thickBot="1" x14ac:dyDescent="0.35">
      <c r="A1506" s="2" t="s">
        <v>9892</v>
      </c>
      <c r="B1506" s="2" t="s">
        <v>27</v>
      </c>
      <c r="C1506" s="2" t="s">
        <v>28</v>
      </c>
      <c r="D1506" s="2" t="s">
        <v>97</v>
      </c>
      <c r="E1506" s="2" t="s">
        <v>9159</v>
      </c>
      <c r="F1506" s="2" t="s">
        <v>8445</v>
      </c>
      <c r="G1506" s="2" t="s">
        <v>32</v>
      </c>
      <c r="H1506" s="1"/>
      <c r="I1506" s="2" t="s">
        <v>33</v>
      </c>
      <c r="J1506" s="2" t="s">
        <v>34</v>
      </c>
      <c r="K1506" s="2" t="s">
        <v>6543</v>
      </c>
      <c r="L1506" s="2" t="s">
        <v>6544</v>
      </c>
      <c r="M1506" s="2" t="s">
        <v>37</v>
      </c>
      <c r="N1506" s="2" t="s">
        <v>38</v>
      </c>
      <c r="O1506" s="2" t="s">
        <v>1644</v>
      </c>
      <c r="P1506" s="2" t="s">
        <v>6516</v>
      </c>
      <c r="Q1506" s="2" t="s">
        <v>6277</v>
      </c>
      <c r="R1506" s="2" t="s">
        <v>40</v>
      </c>
      <c r="S1506" s="2" t="s">
        <v>9893</v>
      </c>
      <c r="T1506" s="2" t="s">
        <v>8903</v>
      </c>
      <c r="U1506" s="2" t="s">
        <v>9894</v>
      </c>
      <c r="V1506" s="2" t="s">
        <v>9895</v>
      </c>
      <c r="W1506" s="1"/>
      <c r="X1506" s="2" t="s">
        <v>4651</v>
      </c>
      <c r="Y1506" s="2" t="s">
        <v>9166</v>
      </c>
      <c r="AA1506" t="str">
        <f t="shared" si="138"/>
        <v>2026-01</v>
      </c>
      <c r="AB1506" t="str">
        <f t="shared" si="139"/>
        <v>H1_2026</v>
      </c>
      <c r="AC1506">
        <f t="shared" si="140"/>
        <v>9579729.5999999996</v>
      </c>
      <c r="AD1506">
        <f t="shared" si="141"/>
        <v>1200</v>
      </c>
      <c r="AE1506">
        <f t="shared" si="142"/>
        <v>2967729.6</v>
      </c>
      <c r="AF1506" t="str">
        <f t="shared" si="143"/>
        <v>Paid</v>
      </c>
    </row>
    <row r="1507" spans="1:32" ht="17.25" thickBot="1" x14ac:dyDescent="0.35">
      <c r="A1507" s="2" t="s">
        <v>9896</v>
      </c>
      <c r="B1507" s="2" t="s">
        <v>27</v>
      </c>
      <c r="C1507" s="2" t="s">
        <v>28</v>
      </c>
      <c r="D1507" s="2" t="s">
        <v>97</v>
      </c>
      <c r="E1507" s="2" t="s">
        <v>9159</v>
      </c>
      <c r="F1507" s="2" t="s">
        <v>8445</v>
      </c>
      <c r="G1507" s="2" t="s">
        <v>32</v>
      </c>
      <c r="H1507" s="1"/>
      <c r="I1507" s="2" t="s">
        <v>33</v>
      </c>
      <c r="J1507" s="2" t="s">
        <v>34</v>
      </c>
      <c r="K1507" s="2" t="s">
        <v>6550</v>
      </c>
      <c r="L1507" s="2" t="s">
        <v>6551</v>
      </c>
      <c r="M1507" s="2" t="s">
        <v>37</v>
      </c>
      <c r="N1507" s="2" t="s">
        <v>38</v>
      </c>
      <c r="O1507" s="2" t="s">
        <v>567</v>
      </c>
      <c r="P1507" s="2" t="s">
        <v>4687</v>
      </c>
      <c r="Q1507" s="2" t="s">
        <v>9897</v>
      </c>
      <c r="R1507" s="2" t="s">
        <v>40</v>
      </c>
      <c r="S1507" s="2" t="s">
        <v>9898</v>
      </c>
      <c r="T1507" s="2" t="s">
        <v>9899</v>
      </c>
      <c r="U1507" s="2" t="s">
        <v>9900</v>
      </c>
      <c r="V1507" s="2" t="s">
        <v>9901</v>
      </c>
      <c r="W1507" s="1"/>
      <c r="X1507" s="2" t="s">
        <v>1171</v>
      </c>
      <c r="Y1507" s="2" t="s">
        <v>9166</v>
      </c>
      <c r="AA1507" t="str">
        <f t="shared" si="138"/>
        <v>2026-01</v>
      </c>
      <c r="AB1507" t="str">
        <f t="shared" si="139"/>
        <v>H1_2026</v>
      </c>
      <c r="AC1507">
        <f t="shared" si="140"/>
        <v>360149.33</v>
      </c>
      <c r="AD1507">
        <f t="shared" si="141"/>
        <v>66</v>
      </c>
      <c r="AE1507">
        <f t="shared" si="142"/>
        <v>111329.33</v>
      </c>
      <c r="AF1507" t="str">
        <f t="shared" si="143"/>
        <v>Paid</v>
      </c>
    </row>
    <row r="1508" spans="1:32" ht="17.25" thickBot="1" x14ac:dyDescent="0.35">
      <c r="A1508" s="2" t="s">
        <v>9902</v>
      </c>
      <c r="B1508" s="2" t="s">
        <v>27</v>
      </c>
      <c r="C1508" s="2" t="s">
        <v>28</v>
      </c>
      <c r="D1508" s="2" t="s">
        <v>97</v>
      </c>
      <c r="E1508" s="2" t="s">
        <v>9159</v>
      </c>
      <c r="F1508" s="2" t="s">
        <v>8445</v>
      </c>
      <c r="G1508" s="2" t="s">
        <v>32</v>
      </c>
      <c r="H1508" s="1"/>
      <c r="I1508" s="2" t="s">
        <v>33</v>
      </c>
      <c r="J1508" s="2" t="s">
        <v>34</v>
      </c>
      <c r="K1508" s="2" t="s">
        <v>8910</v>
      </c>
      <c r="L1508" s="2" t="s">
        <v>8911</v>
      </c>
      <c r="M1508" s="2" t="s">
        <v>37</v>
      </c>
      <c r="N1508" s="2" t="s">
        <v>38</v>
      </c>
      <c r="O1508" s="2" t="s">
        <v>214</v>
      </c>
      <c r="P1508" s="2" t="s">
        <v>3579</v>
      </c>
      <c r="Q1508" s="2" t="s">
        <v>9229</v>
      </c>
      <c r="R1508" s="2" t="s">
        <v>40</v>
      </c>
      <c r="S1508" s="2" t="s">
        <v>9230</v>
      </c>
      <c r="T1508" s="2" t="s">
        <v>3079</v>
      </c>
      <c r="U1508" s="2" t="s">
        <v>9903</v>
      </c>
      <c r="V1508" s="2" t="s">
        <v>9904</v>
      </c>
      <c r="W1508" s="1"/>
      <c r="X1508" s="2" t="s">
        <v>4651</v>
      </c>
      <c r="Y1508" s="2" t="s">
        <v>9166</v>
      </c>
      <c r="AA1508" t="str">
        <f t="shared" si="138"/>
        <v>2026-01</v>
      </c>
      <c r="AB1508" t="str">
        <f t="shared" si="139"/>
        <v>H1_2026</v>
      </c>
      <c r="AC1508">
        <f t="shared" si="140"/>
        <v>420087.6</v>
      </c>
      <c r="AD1508">
        <f t="shared" si="141"/>
        <v>50</v>
      </c>
      <c r="AE1508">
        <f t="shared" si="142"/>
        <v>130087.6</v>
      </c>
      <c r="AF1508" t="str">
        <f t="shared" si="143"/>
        <v>Paid</v>
      </c>
    </row>
    <row r="1509" spans="1:32" ht="17.25" thickBot="1" x14ac:dyDescent="0.35">
      <c r="A1509" s="2" t="s">
        <v>9905</v>
      </c>
      <c r="B1509" s="2" t="s">
        <v>27</v>
      </c>
      <c r="C1509" s="2" t="s">
        <v>28</v>
      </c>
      <c r="D1509" s="2" t="s">
        <v>97</v>
      </c>
      <c r="E1509" s="2" t="s">
        <v>9159</v>
      </c>
      <c r="F1509" s="2" t="s">
        <v>8445</v>
      </c>
      <c r="G1509" s="2" t="s">
        <v>32</v>
      </c>
      <c r="H1509" s="1"/>
      <c r="I1509" s="2" t="s">
        <v>33</v>
      </c>
      <c r="J1509" s="2" t="s">
        <v>34</v>
      </c>
      <c r="K1509" s="2" t="s">
        <v>9906</v>
      </c>
      <c r="L1509" s="2" t="s">
        <v>9907</v>
      </c>
      <c r="M1509" s="2" t="s">
        <v>37</v>
      </c>
      <c r="N1509" s="2" t="s">
        <v>38</v>
      </c>
      <c r="O1509" s="2" t="s">
        <v>79</v>
      </c>
      <c r="P1509" s="2" t="s">
        <v>4801</v>
      </c>
      <c r="Q1509" s="2" t="s">
        <v>9908</v>
      </c>
      <c r="R1509" s="2" t="s">
        <v>40</v>
      </c>
      <c r="S1509" s="2" t="s">
        <v>9909</v>
      </c>
      <c r="T1509" s="2" t="s">
        <v>5672</v>
      </c>
      <c r="U1509" s="2" t="s">
        <v>8539</v>
      </c>
      <c r="V1509" s="2" t="s">
        <v>9910</v>
      </c>
      <c r="W1509" s="1"/>
      <c r="X1509" s="2" t="s">
        <v>1100</v>
      </c>
      <c r="Y1509" s="2" t="s">
        <v>9166</v>
      </c>
      <c r="AA1509" t="str">
        <f t="shared" si="138"/>
        <v>2026-01</v>
      </c>
      <c r="AB1509" t="str">
        <f t="shared" si="139"/>
        <v>H1_2026</v>
      </c>
      <c r="AC1509">
        <f t="shared" si="140"/>
        <v>134399.16</v>
      </c>
      <c r="AD1509">
        <f t="shared" si="141"/>
        <v>10</v>
      </c>
      <c r="AE1509">
        <f t="shared" si="142"/>
        <v>22399.16</v>
      </c>
      <c r="AF1509" t="str">
        <f t="shared" si="143"/>
        <v>Paid</v>
      </c>
    </row>
    <row r="1510" spans="1:32" ht="17.25" thickBot="1" x14ac:dyDescent="0.35">
      <c r="A1510" s="2" t="s">
        <v>9911</v>
      </c>
      <c r="B1510" s="2" t="s">
        <v>27</v>
      </c>
      <c r="C1510" s="2" t="s">
        <v>28</v>
      </c>
      <c r="D1510" s="2" t="s">
        <v>97</v>
      </c>
      <c r="E1510" s="2" t="s">
        <v>9159</v>
      </c>
      <c r="F1510" s="2" t="s">
        <v>8445</v>
      </c>
      <c r="G1510" s="2" t="s">
        <v>32</v>
      </c>
      <c r="H1510" s="1"/>
      <c r="I1510" s="2" t="s">
        <v>33</v>
      </c>
      <c r="J1510" s="2" t="s">
        <v>34</v>
      </c>
      <c r="K1510" s="2" t="s">
        <v>1189</v>
      </c>
      <c r="L1510" s="2" t="s">
        <v>1190</v>
      </c>
      <c r="M1510" s="2" t="s">
        <v>37</v>
      </c>
      <c r="N1510" s="2" t="s">
        <v>38</v>
      </c>
      <c r="O1510" s="2" t="s">
        <v>221</v>
      </c>
      <c r="P1510" s="2" t="s">
        <v>6506</v>
      </c>
      <c r="Q1510" s="2" t="s">
        <v>9912</v>
      </c>
      <c r="R1510" s="2" t="s">
        <v>40</v>
      </c>
      <c r="S1510" s="2" t="s">
        <v>9913</v>
      </c>
      <c r="T1510" s="2" t="s">
        <v>952</v>
      </c>
      <c r="U1510" s="2" t="s">
        <v>9914</v>
      </c>
      <c r="V1510" s="2" t="s">
        <v>9915</v>
      </c>
      <c r="W1510" s="1"/>
      <c r="X1510" s="2" t="s">
        <v>1195</v>
      </c>
      <c r="Y1510" s="2" t="s">
        <v>9166</v>
      </c>
      <c r="AA1510" t="str">
        <f t="shared" si="138"/>
        <v>2026-01</v>
      </c>
      <c r="AB1510" t="str">
        <f t="shared" si="139"/>
        <v>H1_2026</v>
      </c>
      <c r="AC1510">
        <f t="shared" si="140"/>
        <v>1974556.08</v>
      </c>
      <c r="AD1510">
        <f t="shared" si="141"/>
        <v>140</v>
      </c>
      <c r="AE1510">
        <f t="shared" si="142"/>
        <v>294556.08</v>
      </c>
      <c r="AF1510" t="str">
        <f t="shared" si="143"/>
        <v>Paid</v>
      </c>
    </row>
    <row r="1511" spans="1:32" ht="17.25" thickBot="1" x14ac:dyDescent="0.35">
      <c r="A1511" s="2" t="s">
        <v>9916</v>
      </c>
      <c r="B1511" s="2" t="s">
        <v>27</v>
      </c>
      <c r="C1511" s="2" t="s">
        <v>28</v>
      </c>
      <c r="D1511" s="2" t="s">
        <v>97</v>
      </c>
      <c r="E1511" s="2" t="s">
        <v>9159</v>
      </c>
      <c r="F1511" s="2" t="s">
        <v>8445</v>
      </c>
      <c r="G1511" s="2" t="s">
        <v>32</v>
      </c>
      <c r="H1511" s="1"/>
      <c r="I1511" s="2" t="s">
        <v>33</v>
      </c>
      <c r="J1511" s="2" t="s">
        <v>34</v>
      </c>
      <c r="K1511" s="2" t="s">
        <v>1197</v>
      </c>
      <c r="L1511" s="2" t="s">
        <v>1198</v>
      </c>
      <c r="M1511" s="2" t="s">
        <v>37</v>
      </c>
      <c r="N1511" s="2" t="s">
        <v>38</v>
      </c>
      <c r="O1511" s="2" t="s">
        <v>779</v>
      </c>
      <c r="P1511" s="2" t="s">
        <v>1010</v>
      </c>
      <c r="Q1511" s="2" t="s">
        <v>9917</v>
      </c>
      <c r="R1511" s="2" t="s">
        <v>40</v>
      </c>
      <c r="S1511" s="2" t="s">
        <v>9918</v>
      </c>
      <c r="T1511" s="2" t="s">
        <v>9919</v>
      </c>
      <c r="U1511" s="2" t="s">
        <v>9920</v>
      </c>
      <c r="V1511" s="2" t="s">
        <v>9921</v>
      </c>
      <c r="W1511" s="1"/>
      <c r="X1511" s="2" t="s">
        <v>4651</v>
      </c>
      <c r="Y1511" s="2" t="s">
        <v>9166</v>
      </c>
      <c r="AA1511" t="str">
        <f t="shared" si="138"/>
        <v>2026-01</v>
      </c>
      <c r="AB1511" t="str">
        <f t="shared" si="139"/>
        <v>H1_2026</v>
      </c>
      <c r="AC1511">
        <f t="shared" si="140"/>
        <v>1058880.6000000001</v>
      </c>
      <c r="AD1511">
        <f t="shared" si="141"/>
        <v>90</v>
      </c>
      <c r="AE1511">
        <f t="shared" si="142"/>
        <v>328080.59999999998</v>
      </c>
      <c r="AF1511" t="str">
        <f t="shared" si="143"/>
        <v>Paid</v>
      </c>
    </row>
    <row r="1512" spans="1:32" ht="17.25" thickBot="1" x14ac:dyDescent="0.35">
      <c r="A1512" s="2" t="s">
        <v>9922</v>
      </c>
      <c r="B1512" s="2" t="s">
        <v>27</v>
      </c>
      <c r="C1512" s="2" t="s">
        <v>28</v>
      </c>
      <c r="D1512" s="2" t="s">
        <v>97</v>
      </c>
      <c r="E1512" s="2" t="s">
        <v>9159</v>
      </c>
      <c r="F1512" s="2" t="s">
        <v>8445</v>
      </c>
      <c r="G1512" s="2" t="s">
        <v>32</v>
      </c>
      <c r="H1512" s="1"/>
      <c r="I1512" s="2" t="s">
        <v>33</v>
      </c>
      <c r="J1512" s="2" t="s">
        <v>34</v>
      </c>
      <c r="K1512" s="2" t="s">
        <v>5667</v>
      </c>
      <c r="L1512" s="2" t="s">
        <v>5668</v>
      </c>
      <c r="M1512" s="2" t="s">
        <v>37</v>
      </c>
      <c r="N1512" s="2" t="s">
        <v>38</v>
      </c>
      <c r="O1512" s="2" t="s">
        <v>149</v>
      </c>
      <c r="P1512" s="2" t="s">
        <v>4801</v>
      </c>
      <c r="Q1512" s="2" t="s">
        <v>9923</v>
      </c>
      <c r="R1512" s="2" t="s">
        <v>40</v>
      </c>
      <c r="S1512" s="2" t="s">
        <v>9924</v>
      </c>
      <c r="T1512" s="2" t="s">
        <v>9925</v>
      </c>
      <c r="U1512" s="2" t="s">
        <v>9926</v>
      </c>
      <c r="V1512" s="2" t="s">
        <v>9927</v>
      </c>
      <c r="W1512" s="1"/>
      <c r="X1512" s="2" t="s">
        <v>4651</v>
      </c>
      <c r="Y1512" s="2" t="s">
        <v>9166</v>
      </c>
      <c r="AA1512" t="str">
        <f t="shared" si="138"/>
        <v>2026-01</v>
      </c>
      <c r="AB1512" t="str">
        <f t="shared" si="139"/>
        <v>H1_2026</v>
      </c>
      <c r="AC1512">
        <f t="shared" si="140"/>
        <v>4031974.8</v>
      </c>
      <c r="AD1512">
        <f t="shared" si="141"/>
        <v>300</v>
      </c>
      <c r="AE1512">
        <f t="shared" si="142"/>
        <v>1247974.8</v>
      </c>
      <c r="AF1512" t="str">
        <f t="shared" si="143"/>
        <v>Paid</v>
      </c>
    </row>
    <row r="1513" spans="1:32" ht="17.25" thickBot="1" x14ac:dyDescent="0.35">
      <c r="A1513" s="2" t="s">
        <v>9928</v>
      </c>
      <c r="B1513" s="2" t="s">
        <v>27</v>
      </c>
      <c r="C1513" s="2" t="s">
        <v>28</v>
      </c>
      <c r="D1513" s="2" t="s">
        <v>97</v>
      </c>
      <c r="E1513" s="2" t="s">
        <v>9159</v>
      </c>
      <c r="F1513" s="2" t="s">
        <v>8445</v>
      </c>
      <c r="G1513" s="2" t="s">
        <v>32</v>
      </c>
      <c r="H1513" s="1"/>
      <c r="I1513" s="2" t="s">
        <v>33</v>
      </c>
      <c r="J1513" s="2" t="s">
        <v>34</v>
      </c>
      <c r="K1513" s="2" t="s">
        <v>9929</v>
      </c>
      <c r="L1513" s="2" t="s">
        <v>9930</v>
      </c>
      <c r="M1513" s="2" t="s">
        <v>37</v>
      </c>
      <c r="N1513" s="2" t="s">
        <v>38</v>
      </c>
      <c r="O1513" s="2" t="s">
        <v>92</v>
      </c>
      <c r="P1513" s="2" t="s">
        <v>9655</v>
      </c>
      <c r="Q1513" s="2" t="s">
        <v>9931</v>
      </c>
      <c r="R1513" s="2" t="s">
        <v>40</v>
      </c>
      <c r="S1513" s="2" t="s">
        <v>9932</v>
      </c>
      <c r="T1513" s="2" t="s">
        <v>9933</v>
      </c>
      <c r="U1513" s="2" t="s">
        <v>9934</v>
      </c>
      <c r="V1513" s="2" t="s">
        <v>9935</v>
      </c>
      <c r="W1513" s="1"/>
      <c r="X1513" s="2" t="s">
        <v>1006</v>
      </c>
      <c r="Y1513" s="2" t="s">
        <v>9166</v>
      </c>
      <c r="AA1513" t="str">
        <f t="shared" si="138"/>
        <v>2026-01</v>
      </c>
      <c r="AB1513" t="str">
        <f t="shared" si="139"/>
        <v>H1_2026</v>
      </c>
      <c r="AC1513">
        <f t="shared" si="140"/>
        <v>130992.26</v>
      </c>
      <c r="AD1513">
        <f t="shared" si="141"/>
        <v>13</v>
      </c>
      <c r="AE1513">
        <f t="shared" si="142"/>
        <v>33792.26</v>
      </c>
      <c r="AF1513" t="str">
        <f t="shared" si="143"/>
        <v>Paid</v>
      </c>
    </row>
    <row r="1514" spans="1:32" ht="17.25" thickBot="1" x14ac:dyDescent="0.35">
      <c r="A1514" s="2" t="s">
        <v>9936</v>
      </c>
      <c r="B1514" s="2" t="s">
        <v>27</v>
      </c>
      <c r="C1514" s="2" t="s">
        <v>28</v>
      </c>
      <c r="D1514" s="2" t="s">
        <v>97</v>
      </c>
      <c r="E1514" s="2" t="s">
        <v>9159</v>
      </c>
      <c r="F1514" s="2" t="s">
        <v>8445</v>
      </c>
      <c r="G1514" s="2" t="s">
        <v>32</v>
      </c>
      <c r="H1514" s="1"/>
      <c r="I1514" s="2" t="s">
        <v>33</v>
      </c>
      <c r="J1514" s="2" t="s">
        <v>34</v>
      </c>
      <c r="K1514" s="2" t="s">
        <v>1241</v>
      </c>
      <c r="L1514" s="2" t="s">
        <v>1242</v>
      </c>
      <c r="M1514" s="2" t="s">
        <v>37</v>
      </c>
      <c r="N1514" s="2" t="s">
        <v>38</v>
      </c>
      <c r="O1514" s="2" t="s">
        <v>177</v>
      </c>
      <c r="P1514" s="2" t="s">
        <v>6448</v>
      </c>
      <c r="Q1514" s="2" t="s">
        <v>9937</v>
      </c>
      <c r="R1514" s="2" t="s">
        <v>40</v>
      </c>
      <c r="S1514" s="2" t="s">
        <v>9938</v>
      </c>
      <c r="T1514" s="2" t="s">
        <v>9849</v>
      </c>
      <c r="U1514" s="2" t="s">
        <v>9939</v>
      </c>
      <c r="V1514" s="2" t="s">
        <v>9940</v>
      </c>
      <c r="W1514" s="1"/>
      <c r="X1514" s="2" t="s">
        <v>4651</v>
      </c>
      <c r="Y1514" s="2" t="s">
        <v>9166</v>
      </c>
      <c r="AA1514" t="str">
        <f t="shared" si="138"/>
        <v>2026-01</v>
      </c>
      <c r="AB1514" t="str">
        <f t="shared" si="139"/>
        <v>H1_2026</v>
      </c>
      <c r="AC1514">
        <f t="shared" si="140"/>
        <v>2690870.4</v>
      </c>
      <c r="AD1514">
        <f t="shared" si="141"/>
        <v>400</v>
      </c>
      <c r="AE1514">
        <f t="shared" si="142"/>
        <v>834870.4</v>
      </c>
      <c r="AF1514" t="str">
        <f t="shared" si="143"/>
        <v>Paid</v>
      </c>
    </row>
    <row r="1515" spans="1:32" ht="17.25" thickBot="1" x14ac:dyDescent="0.35">
      <c r="A1515" s="2" t="s">
        <v>9941</v>
      </c>
      <c r="B1515" s="2" t="s">
        <v>27</v>
      </c>
      <c r="C1515" s="2" t="s">
        <v>28</v>
      </c>
      <c r="D1515" s="2" t="s">
        <v>97</v>
      </c>
      <c r="E1515" s="2" t="s">
        <v>9159</v>
      </c>
      <c r="F1515" s="2" t="s">
        <v>8445</v>
      </c>
      <c r="G1515" s="2" t="s">
        <v>32</v>
      </c>
      <c r="H1515" s="1"/>
      <c r="I1515" s="2" t="s">
        <v>33</v>
      </c>
      <c r="J1515" s="2" t="s">
        <v>34</v>
      </c>
      <c r="K1515" s="2" t="s">
        <v>1257</v>
      </c>
      <c r="L1515" s="2" t="s">
        <v>1258</v>
      </c>
      <c r="M1515" s="2" t="s">
        <v>37</v>
      </c>
      <c r="N1515" s="2" t="s">
        <v>38</v>
      </c>
      <c r="O1515" s="2" t="s">
        <v>214</v>
      </c>
      <c r="P1515" s="2" t="s">
        <v>4687</v>
      </c>
      <c r="Q1515" s="2" t="s">
        <v>9942</v>
      </c>
      <c r="R1515" s="2" t="s">
        <v>40</v>
      </c>
      <c r="S1515" s="2" t="s">
        <v>9943</v>
      </c>
      <c r="T1515" s="2" t="s">
        <v>1262</v>
      </c>
      <c r="U1515" s="2" t="s">
        <v>9944</v>
      </c>
      <c r="V1515" s="2" t="s">
        <v>9945</v>
      </c>
      <c r="W1515" s="1"/>
      <c r="X1515" s="2" t="s">
        <v>3216</v>
      </c>
      <c r="Y1515" s="2" t="s">
        <v>9166</v>
      </c>
      <c r="AA1515" t="str">
        <f t="shared" si="138"/>
        <v>2026-01</v>
      </c>
      <c r="AB1515" t="str">
        <f t="shared" si="139"/>
        <v>H1_2026</v>
      </c>
      <c r="AC1515">
        <f t="shared" si="140"/>
        <v>272840.40000000002</v>
      </c>
      <c r="AD1515">
        <f t="shared" si="141"/>
        <v>50</v>
      </c>
      <c r="AE1515">
        <f t="shared" si="142"/>
        <v>45340.4</v>
      </c>
      <c r="AF1515" t="str">
        <f t="shared" si="143"/>
        <v>Paid</v>
      </c>
    </row>
    <row r="1516" spans="1:32" ht="17.25" thickBot="1" x14ac:dyDescent="0.35">
      <c r="A1516" s="2" t="s">
        <v>9946</v>
      </c>
      <c r="B1516" s="2" t="s">
        <v>27</v>
      </c>
      <c r="C1516" s="2" t="s">
        <v>28</v>
      </c>
      <c r="D1516" s="2" t="s">
        <v>97</v>
      </c>
      <c r="E1516" s="2" t="s">
        <v>9159</v>
      </c>
      <c r="F1516" s="2" t="s">
        <v>8445</v>
      </c>
      <c r="G1516" s="2" t="s">
        <v>32</v>
      </c>
      <c r="H1516" s="1"/>
      <c r="I1516" s="2" t="s">
        <v>33</v>
      </c>
      <c r="J1516" s="2" t="s">
        <v>34</v>
      </c>
      <c r="K1516" s="2" t="s">
        <v>1318</v>
      </c>
      <c r="L1516" s="2" t="s">
        <v>1319</v>
      </c>
      <c r="M1516" s="2" t="s">
        <v>37</v>
      </c>
      <c r="N1516" s="2" t="s">
        <v>38</v>
      </c>
      <c r="O1516" s="2" t="s">
        <v>779</v>
      </c>
      <c r="P1516" s="2" t="s">
        <v>9947</v>
      </c>
      <c r="Q1516" s="2" t="s">
        <v>9948</v>
      </c>
      <c r="R1516" s="2" t="s">
        <v>40</v>
      </c>
      <c r="S1516" s="2" t="s">
        <v>9949</v>
      </c>
      <c r="T1516" s="2" t="s">
        <v>1271</v>
      </c>
      <c r="U1516" s="2" t="s">
        <v>7209</v>
      </c>
      <c r="V1516" s="2" t="s">
        <v>9950</v>
      </c>
      <c r="W1516" s="1"/>
      <c r="X1516" s="2" t="s">
        <v>3216</v>
      </c>
      <c r="Y1516" s="2" t="s">
        <v>9166</v>
      </c>
      <c r="AA1516" t="str">
        <f t="shared" si="138"/>
        <v>2026-01</v>
      </c>
      <c r="AB1516" t="str">
        <f t="shared" si="139"/>
        <v>H1_2026</v>
      </c>
      <c r="AC1516">
        <f t="shared" si="140"/>
        <v>528790.68000000005</v>
      </c>
      <c r="AD1516">
        <f t="shared" si="141"/>
        <v>90</v>
      </c>
      <c r="AE1516">
        <f t="shared" si="142"/>
        <v>87790.68</v>
      </c>
      <c r="AF1516" t="str">
        <f t="shared" si="143"/>
        <v>Paid</v>
      </c>
    </row>
    <row r="1517" spans="1:32" ht="17.25" thickBot="1" x14ac:dyDescent="0.35">
      <c r="A1517" s="2" t="s">
        <v>9951</v>
      </c>
      <c r="B1517" s="2" t="s">
        <v>27</v>
      </c>
      <c r="C1517" s="2" t="s">
        <v>28</v>
      </c>
      <c r="D1517" s="2" t="s">
        <v>97</v>
      </c>
      <c r="E1517" s="2" t="s">
        <v>9159</v>
      </c>
      <c r="F1517" s="2" t="s">
        <v>8445</v>
      </c>
      <c r="G1517" s="2" t="s">
        <v>32</v>
      </c>
      <c r="H1517" s="1"/>
      <c r="I1517" s="2" t="s">
        <v>33</v>
      </c>
      <c r="J1517" s="2" t="s">
        <v>34</v>
      </c>
      <c r="K1517" s="2" t="s">
        <v>5700</v>
      </c>
      <c r="L1517" s="2" t="s">
        <v>5701</v>
      </c>
      <c r="M1517" s="2" t="s">
        <v>37</v>
      </c>
      <c r="N1517" s="2" t="s">
        <v>38</v>
      </c>
      <c r="O1517" s="2" t="s">
        <v>131</v>
      </c>
      <c r="P1517" s="2" t="s">
        <v>3579</v>
      </c>
      <c r="Q1517" s="2" t="s">
        <v>4454</v>
      </c>
      <c r="R1517" s="2" t="s">
        <v>40</v>
      </c>
      <c r="S1517" s="2" t="s">
        <v>9596</v>
      </c>
      <c r="T1517" s="2" t="s">
        <v>287</v>
      </c>
      <c r="U1517" s="2" t="s">
        <v>5210</v>
      </c>
      <c r="V1517" s="2" t="s">
        <v>9952</v>
      </c>
      <c r="W1517" s="1"/>
      <c r="X1517" s="2" t="s">
        <v>1100</v>
      </c>
      <c r="Y1517" s="2" t="s">
        <v>9166</v>
      </c>
      <c r="AA1517" t="str">
        <f t="shared" si="138"/>
        <v>2026-01</v>
      </c>
      <c r="AB1517" t="str">
        <f t="shared" si="139"/>
        <v>H1_2026</v>
      </c>
      <c r="AC1517">
        <f t="shared" si="140"/>
        <v>336070.08</v>
      </c>
      <c r="AD1517">
        <f t="shared" si="141"/>
        <v>40</v>
      </c>
      <c r="AE1517">
        <f t="shared" si="142"/>
        <v>56070.080000000002</v>
      </c>
      <c r="AF1517" t="str">
        <f t="shared" si="143"/>
        <v>Paid</v>
      </c>
    </row>
    <row r="1518" spans="1:32" ht="41.25" thickBot="1" x14ac:dyDescent="0.35">
      <c r="A1518" s="2" t="s">
        <v>9953</v>
      </c>
      <c r="B1518" s="2" t="s">
        <v>27</v>
      </c>
      <c r="C1518" s="2" t="s">
        <v>28</v>
      </c>
      <c r="D1518" s="2" t="s">
        <v>97</v>
      </c>
      <c r="E1518" s="2" t="s">
        <v>9159</v>
      </c>
      <c r="F1518" s="2" t="s">
        <v>8445</v>
      </c>
      <c r="G1518" s="2" t="s">
        <v>32</v>
      </c>
      <c r="H1518" s="1"/>
      <c r="I1518" s="2" t="s">
        <v>33</v>
      </c>
      <c r="J1518" s="2" t="s">
        <v>34</v>
      </c>
      <c r="K1518" s="2" t="s">
        <v>9954</v>
      </c>
      <c r="L1518" s="2" t="s">
        <v>9955</v>
      </c>
      <c r="M1518" s="2" t="s">
        <v>37</v>
      </c>
      <c r="N1518" s="2" t="s">
        <v>38</v>
      </c>
      <c r="O1518" s="2" t="s">
        <v>130</v>
      </c>
      <c r="P1518" s="2" t="s">
        <v>3579</v>
      </c>
      <c r="Q1518" s="2" t="s">
        <v>9956</v>
      </c>
      <c r="R1518" s="2" t="s">
        <v>40</v>
      </c>
      <c r="S1518" s="2" t="s">
        <v>9957</v>
      </c>
      <c r="T1518" s="2" t="s">
        <v>287</v>
      </c>
      <c r="U1518" s="2" t="s">
        <v>9958</v>
      </c>
      <c r="V1518" s="2" t="s">
        <v>9959</v>
      </c>
      <c r="W1518" s="1"/>
      <c r="X1518" s="2" t="s">
        <v>1100</v>
      </c>
      <c r="Y1518" s="2" t="s">
        <v>9166</v>
      </c>
      <c r="AA1518" t="str">
        <f t="shared" si="138"/>
        <v>2026-01</v>
      </c>
      <c r="AB1518" t="str">
        <f t="shared" si="139"/>
        <v>H1_2026</v>
      </c>
      <c r="AC1518">
        <f t="shared" si="140"/>
        <v>142829.78</v>
      </c>
      <c r="AD1518">
        <f t="shared" si="141"/>
        <v>17</v>
      </c>
      <c r="AE1518">
        <f t="shared" si="142"/>
        <v>23829.78</v>
      </c>
      <c r="AF1518" t="str">
        <f t="shared" si="143"/>
        <v>Paid</v>
      </c>
    </row>
    <row r="1519" spans="1:32" ht="41.25" thickBot="1" x14ac:dyDescent="0.35">
      <c r="A1519" s="2" t="s">
        <v>9960</v>
      </c>
      <c r="B1519" s="2" t="s">
        <v>27</v>
      </c>
      <c r="C1519" s="2" t="s">
        <v>28</v>
      </c>
      <c r="D1519" s="2" t="s">
        <v>97</v>
      </c>
      <c r="E1519" s="2" t="s">
        <v>9159</v>
      </c>
      <c r="F1519" s="2" t="s">
        <v>8445</v>
      </c>
      <c r="G1519" s="2" t="s">
        <v>32</v>
      </c>
      <c r="H1519" s="1"/>
      <c r="I1519" s="2" t="s">
        <v>33</v>
      </c>
      <c r="J1519" s="2" t="s">
        <v>34</v>
      </c>
      <c r="K1519" s="2" t="s">
        <v>8947</v>
      </c>
      <c r="L1519" s="2" t="s">
        <v>8948</v>
      </c>
      <c r="M1519" s="2" t="s">
        <v>37</v>
      </c>
      <c r="N1519" s="2" t="s">
        <v>38</v>
      </c>
      <c r="O1519" s="2" t="s">
        <v>159</v>
      </c>
      <c r="P1519" s="2" t="s">
        <v>4687</v>
      </c>
      <c r="Q1519" s="2" t="s">
        <v>9246</v>
      </c>
      <c r="R1519" s="2" t="s">
        <v>40</v>
      </c>
      <c r="S1519" s="2" t="s">
        <v>9247</v>
      </c>
      <c r="T1519" s="2" t="s">
        <v>8951</v>
      </c>
      <c r="U1519" s="2" t="s">
        <v>9961</v>
      </c>
      <c r="V1519" s="2" t="s">
        <v>9962</v>
      </c>
      <c r="W1519" s="1"/>
      <c r="X1519" s="2" t="s">
        <v>9963</v>
      </c>
      <c r="Y1519" s="2" t="s">
        <v>9166</v>
      </c>
      <c r="AA1519" t="str">
        <f t="shared" si="138"/>
        <v>2026-01</v>
      </c>
      <c r="AB1519" t="str">
        <f t="shared" si="139"/>
        <v>H1_2026</v>
      </c>
      <c r="AC1519">
        <f t="shared" si="140"/>
        <v>436544.64</v>
      </c>
      <c r="AD1519">
        <f t="shared" si="141"/>
        <v>80</v>
      </c>
      <c r="AE1519">
        <f t="shared" si="142"/>
        <v>-5055.3599999999997</v>
      </c>
      <c r="AF1519" t="str">
        <f t="shared" si="143"/>
        <v>Paid</v>
      </c>
    </row>
    <row r="1520" spans="1:32" ht="17.25" thickBot="1" x14ac:dyDescent="0.35">
      <c r="A1520" s="2" t="s">
        <v>9964</v>
      </c>
      <c r="B1520" s="2" t="s">
        <v>27</v>
      </c>
      <c r="C1520" s="2" t="s">
        <v>28</v>
      </c>
      <c r="D1520" s="2" t="s">
        <v>97</v>
      </c>
      <c r="E1520" s="2" t="s">
        <v>9159</v>
      </c>
      <c r="F1520" s="2" t="s">
        <v>8445</v>
      </c>
      <c r="G1520" s="2" t="s">
        <v>32</v>
      </c>
      <c r="H1520" s="1"/>
      <c r="I1520" s="2" t="s">
        <v>33</v>
      </c>
      <c r="J1520" s="2" t="s">
        <v>34</v>
      </c>
      <c r="K1520" s="2" t="s">
        <v>1342</v>
      </c>
      <c r="L1520" s="2" t="s">
        <v>1343</v>
      </c>
      <c r="M1520" s="2" t="s">
        <v>37</v>
      </c>
      <c r="N1520" s="2" t="s">
        <v>38</v>
      </c>
      <c r="O1520" s="2" t="s">
        <v>779</v>
      </c>
      <c r="P1520" s="2" t="s">
        <v>3579</v>
      </c>
      <c r="Q1520" s="2" t="s">
        <v>9965</v>
      </c>
      <c r="R1520" s="2" t="s">
        <v>40</v>
      </c>
      <c r="S1520" s="2" t="s">
        <v>9966</v>
      </c>
      <c r="T1520" s="2" t="s">
        <v>287</v>
      </c>
      <c r="U1520" s="2" t="s">
        <v>6717</v>
      </c>
      <c r="V1520" s="2" t="s">
        <v>9967</v>
      </c>
      <c r="W1520" s="1"/>
      <c r="X1520" s="2" t="s">
        <v>1100</v>
      </c>
      <c r="Y1520" s="2" t="s">
        <v>9166</v>
      </c>
      <c r="AA1520" t="str">
        <f t="shared" si="138"/>
        <v>2026-01</v>
      </c>
      <c r="AB1520" t="str">
        <f t="shared" si="139"/>
        <v>H1_2026</v>
      </c>
      <c r="AC1520">
        <f t="shared" si="140"/>
        <v>756157.68</v>
      </c>
      <c r="AD1520">
        <f t="shared" si="141"/>
        <v>90</v>
      </c>
      <c r="AE1520">
        <f t="shared" si="142"/>
        <v>126157.68</v>
      </c>
      <c r="AF1520" t="str">
        <f t="shared" si="143"/>
        <v>Paid</v>
      </c>
    </row>
    <row r="1521" spans="1:32" ht="17.25" thickBot="1" x14ac:dyDescent="0.35">
      <c r="A1521" s="2" t="s">
        <v>9968</v>
      </c>
      <c r="B1521" s="2" t="s">
        <v>27</v>
      </c>
      <c r="C1521" s="2" t="s">
        <v>28</v>
      </c>
      <c r="D1521" s="2" t="s">
        <v>97</v>
      </c>
      <c r="E1521" s="2" t="s">
        <v>9159</v>
      </c>
      <c r="F1521" s="2" t="s">
        <v>8445</v>
      </c>
      <c r="G1521" s="2" t="s">
        <v>32</v>
      </c>
      <c r="H1521" s="1"/>
      <c r="I1521" s="2" t="s">
        <v>33</v>
      </c>
      <c r="J1521" s="2" t="s">
        <v>34</v>
      </c>
      <c r="K1521" s="2" t="s">
        <v>3140</v>
      </c>
      <c r="L1521" s="2" t="s">
        <v>3141</v>
      </c>
      <c r="M1521" s="2" t="s">
        <v>3131</v>
      </c>
      <c r="N1521" s="2" t="s">
        <v>38</v>
      </c>
      <c r="O1521" s="2" t="s">
        <v>138</v>
      </c>
      <c r="P1521" s="2" t="s">
        <v>9969</v>
      </c>
      <c r="Q1521" s="2" t="s">
        <v>9970</v>
      </c>
      <c r="R1521" s="2" t="s">
        <v>40</v>
      </c>
      <c r="S1521" s="2" t="s">
        <v>9971</v>
      </c>
      <c r="T1521" s="2" t="s">
        <v>9972</v>
      </c>
      <c r="U1521" s="2" t="s">
        <v>9973</v>
      </c>
      <c r="V1521" s="2" t="s">
        <v>9974</v>
      </c>
      <c r="W1521" s="1"/>
      <c r="X1521" s="2" t="s">
        <v>4499</v>
      </c>
      <c r="Y1521" s="2" t="s">
        <v>9166</v>
      </c>
      <c r="AA1521" t="str">
        <f t="shared" si="138"/>
        <v>2026-01</v>
      </c>
      <c r="AB1521" t="str">
        <f t="shared" si="139"/>
        <v>H1_2026</v>
      </c>
      <c r="AC1521">
        <f t="shared" si="140"/>
        <v>287391.89</v>
      </c>
      <c r="AD1521">
        <f t="shared" si="141"/>
        <v>18</v>
      </c>
      <c r="AE1521">
        <f t="shared" si="142"/>
        <v>63714.71</v>
      </c>
      <c r="AF1521" t="str">
        <f t="shared" si="143"/>
        <v>Paid</v>
      </c>
    </row>
    <row r="1522" spans="1:32" ht="17.25" thickBot="1" x14ac:dyDescent="0.35">
      <c r="A1522" s="2" t="s">
        <v>9975</v>
      </c>
      <c r="B1522" s="2" t="s">
        <v>27</v>
      </c>
      <c r="C1522" s="2" t="s">
        <v>28</v>
      </c>
      <c r="D1522" s="2" t="s">
        <v>97</v>
      </c>
      <c r="E1522" s="2" t="s">
        <v>9159</v>
      </c>
      <c r="F1522" s="2" t="s">
        <v>8445</v>
      </c>
      <c r="G1522" s="2" t="s">
        <v>32</v>
      </c>
      <c r="H1522" s="1"/>
      <c r="I1522" s="2" t="s">
        <v>33</v>
      </c>
      <c r="J1522" s="2" t="s">
        <v>34</v>
      </c>
      <c r="K1522" s="2" t="s">
        <v>82</v>
      </c>
      <c r="L1522" s="2" t="s">
        <v>83</v>
      </c>
      <c r="M1522" s="2" t="s">
        <v>84</v>
      </c>
      <c r="N1522" s="2" t="s">
        <v>38</v>
      </c>
      <c r="O1522" s="2" t="s">
        <v>6302</v>
      </c>
      <c r="P1522" s="2" t="s">
        <v>6692</v>
      </c>
      <c r="Q1522" s="2" t="s">
        <v>9976</v>
      </c>
      <c r="R1522" s="2" t="s">
        <v>40</v>
      </c>
      <c r="S1522" s="2" t="s">
        <v>9977</v>
      </c>
      <c r="T1522" s="2" t="s">
        <v>1354</v>
      </c>
      <c r="U1522" s="2" t="s">
        <v>9978</v>
      </c>
      <c r="V1522" s="2" t="s">
        <v>9979</v>
      </c>
      <c r="W1522" s="1"/>
      <c r="X1522" s="2" t="s">
        <v>6735</v>
      </c>
      <c r="Y1522" s="2" t="s">
        <v>9166</v>
      </c>
      <c r="AA1522" t="str">
        <f t="shared" si="138"/>
        <v>2026-01</v>
      </c>
      <c r="AB1522" t="str">
        <f t="shared" si="139"/>
        <v>H1_2026</v>
      </c>
      <c r="AC1522">
        <f t="shared" si="140"/>
        <v>12056947.199999999</v>
      </c>
      <c r="AD1522">
        <f t="shared" si="141"/>
        <v>2320</v>
      </c>
      <c r="AE1522">
        <f t="shared" si="142"/>
        <v>1083347.2</v>
      </c>
      <c r="AF1522" t="str">
        <f t="shared" si="143"/>
        <v>Paid</v>
      </c>
    </row>
    <row r="1523" spans="1:32" ht="17.25" thickBot="1" x14ac:dyDescent="0.35">
      <c r="A1523" s="2" t="s">
        <v>9980</v>
      </c>
      <c r="B1523" s="2" t="s">
        <v>27</v>
      </c>
      <c r="C1523" s="2" t="s">
        <v>28</v>
      </c>
      <c r="D1523" s="2" t="s">
        <v>97</v>
      </c>
      <c r="E1523" s="2" t="s">
        <v>9159</v>
      </c>
      <c r="F1523" s="2" t="s">
        <v>8445</v>
      </c>
      <c r="G1523" s="2" t="s">
        <v>32</v>
      </c>
      <c r="H1523" s="1"/>
      <c r="I1523" s="2" t="s">
        <v>33</v>
      </c>
      <c r="J1523" s="2" t="s">
        <v>34</v>
      </c>
      <c r="K1523" s="2" t="s">
        <v>1386</v>
      </c>
      <c r="L1523" s="2" t="s">
        <v>1387</v>
      </c>
      <c r="M1523" s="2" t="s">
        <v>84</v>
      </c>
      <c r="N1523" s="2" t="s">
        <v>38</v>
      </c>
      <c r="O1523" s="2" t="s">
        <v>391</v>
      </c>
      <c r="P1523" s="2" t="s">
        <v>3579</v>
      </c>
      <c r="Q1523" s="2" t="s">
        <v>6711</v>
      </c>
      <c r="R1523" s="2" t="s">
        <v>40</v>
      </c>
      <c r="S1523" s="2" t="s">
        <v>9981</v>
      </c>
      <c r="T1523" s="2" t="s">
        <v>1390</v>
      </c>
      <c r="U1523" s="2" t="s">
        <v>6713</v>
      </c>
      <c r="V1523" s="2" t="s">
        <v>9982</v>
      </c>
      <c r="W1523" s="1"/>
      <c r="X1523" s="2" t="s">
        <v>6709</v>
      </c>
      <c r="Y1523" s="2" t="s">
        <v>9166</v>
      </c>
      <c r="AA1523" t="str">
        <f t="shared" si="138"/>
        <v>2026-01</v>
      </c>
      <c r="AB1523" t="str">
        <f t="shared" si="139"/>
        <v>H1_2026</v>
      </c>
      <c r="AC1523">
        <f t="shared" si="140"/>
        <v>504105.12</v>
      </c>
      <c r="AD1523">
        <f t="shared" si="141"/>
        <v>60</v>
      </c>
      <c r="AE1523">
        <f t="shared" si="142"/>
        <v>106905.12</v>
      </c>
      <c r="AF1523" t="str">
        <f t="shared" si="143"/>
        <v>Paid</v>
      </c>
    </row>
    <row r="1524" spans="1:32" ht="17.25" thickBot="1" x14ac:dyDescent="0.35">
      <c r="A1524" s="2" t="s">
        <v>9983</v>
      </c>
      <c r="B1524" s="2" t="s">
        <v>27</v>
      </c>
      <c r="C1524" s="2" t="s">
        <v>28</v>
      </c>
      <c r="D1524" s="2" t="s">
        <v>97</v>
      </c>
      <c r="E1524" s="2" t="s">
        <v>9159</v>
      </c>
      <c r="F1524" s="2" t="s">
        <v>8445</v>
      </c>
      <c r="G1524" s="2" t="s">
        <v>32</v>
      </c>
      <c r="H1524" s="1"/>
      <c r="I1524" s="2" t="s">
        <v>33</v>
      </c>
      <c r="J1524" s="2" t="s">
        <v>34</v>
      </c>
      <c r="K1524" s="2" t="s">
        <v>1394</v>
      </c>
      <c r="L1524" s="2" t="s">
        <v>1395</v>
      </c>
      <c r="M1524" s="2" t="s">
        <v>84</v>
      </c>
      <c r="N1524" s="2" t="s">
        <v>38</v>
      </c>
      <c r="O1524" s="2" t="s">
        <v>131</v>
      </c>
      <c r="P1524" s="2" t="s">
        <v>4453</v>
      </c>
      <c r="Q1524" s="2" t="s">
        <v>9984</v>
      </c>
      <c r="R1524" s="2" t="s">
        <v>40</v>
      </c>
      <c r="S1524" s="2" t="s">
        <v>9985</v>
      </c>
      <c r="T1524" s="2" t="s">
        <v>1399</v>
      </c>
      <c r="U1524" s="2" t="s">
        <v>9986</v>
      </c>
      <c r="V1524" s="2" t="s">
        <v>9987</v>
      </c>
      <c r="W1524" s="1"/>
      <c r="X1524" s="2" t="s">
        <v>3037</v>
      </c>
      <c r="Y1524" s="2" t="s">
        <v>9166</v>
      </c>
      <c r="AA1524" t="str">
        <f t="shared" si="138"/>
        <v>2026-01</v>
      </c>
      <c r="AB1524" t="str">
        <f t="shared" si="139"/>
        <v>H1_2026</v>
      </c>
      <c r="AC1524">
        <f t="shared" si="140"/>
        <v>448093.44</v>
      </c>
      <c r="AD1524">
        <f t="shared" si="141"/>
        <v>40</v>
      </c>
      <c r="AE1524">
        <f t="shared" si="142"/>
        <v>154093.44</v>
      </c>
      <c r="AF1524" t="str">
        <f t="shared" si="143"/>
        <v>Paid</v>
      </c>
    </row>
    <row r="1525" spans="1:32" ht="17.25" thickBot="1" x14ac:dyDescent="0.35">
      <c r="A1525" s="2" t="s">
        <v>9988</v>
      </c>
      <c r="B1525" s="2" t="s">
        <v>27</v>
      </c>
      <c r="C1525" s="2" t="s">
        <v>28</v>
      </c>
      <c r="D1525" s="2" t="s">
        <v>97</v>
      </c>
      <c r="E1525" s="2" t="s">
        <v>9159</v>
      </c>
      <c r="F1525" s="2" t="s">
        <v>8445</v>
      </c>
      <c r="G1525" s="2" t="s">
        <v>32</v>
      </c>
      <c r="H1525" s="1"/>
      <c r="I1525" s="2" t="s">
        <v>33</v>
      </c>
      <c r="J1525" s="2" t="s">
        <v>34</v>
      </c>
      <c r="K1525" s="2" t="s">
        <v>1420</v>
      </c>
      <c r="L1525" s="2" t="s">
        <v>1421</v>
      </c>
      <c r="M1525" s="2" t="s">
        <v>84</v>
      </c>
      <c r="N1525" s="2" t="s">
        <v>38</v>
      </c>
      <c r="O1525" s="2" t="s">
        <v>156</v>
      </c>
      <c r="P1525" s="2" t="s">
        <v>6237</v>
      </c>
      <c r="Q1525" s="2" t="s">
        <v>9584</v>
      </c>
      <c r="R1525" s="2" t="s">
        <v>40</v>
      </c>
      <c r="S1525" s="2" t="s">
        <v>9585</v>
      </c>
      <c r="T1525" s="2" t="s">
        <v>1424</v>
      </c>
      <c r="U1525" s="2" t="s">
        <v>9989</v>
      </c>
      <c r="V1525" s="2" t="s">
        <v>9990</v>
      </c>
      <c r="W1525" s="1"/>
      <c r="X1525" s="2" t="s">
        <v>2226</v>
      </c>
      <c r="Y1525" s="2" t="s">
        <v>9166</v>
      </c>
      <c r="AA1525" t="str">
        <f t="shared" si="138"/>
        <v>2026-01</v>
      </c>
      <c r="AB1525" t="str">
        <f t="shared" si="139"/>
        <v>H1_2026</v>
      </c>
      <c r="AC1525">
        <f t="shared" si="140"/>
        <v>159950.88</v>
      </c>
      <c r="AD1525">
        <f t="shared" si="141"/>
        <v>20</v>
      </c>
      <c r="AE1525">
        <f t="shared" si="142"/>
        <v>29750.880000000001</v>
      </c>
      <c r="AF1525" t="str">
        <f t="shared" si="143"/>
        <v>Paid</v>
      </c>
    </row>
    <row r="1526" spans="1:32" ht="17.25" thickBot="1" x14ac:dyDescent="0.35">
      <c r="A1526" s="2" t="s">
        <v>9991</v>
      </c>
      <c r="B1526" s="2" t="s">
        <v>27</v>
      </c>
      <c r="C1526" s="2" t="s">
        <v>28</v>
      </c>
      <c r="D1526" s="2" t="s">
        <v>97</v>
      </c>
      <c r="E1526" s="2" t="s">
        <v>9159</v>
      </c>
      <c r="F1526" s="2" t="s">
        <v>8445</v>
      </c>
      <c r="G1526" s="2" t="s">
        <v>32</v>
      </c>
      <c r="H1526" s="1"/>
      <c r="I1526" s="2" t="s">
        <v>33</v>
      </c>
      <c r="J1526" s="2" t="s">
        <v>34</v>
      </c>
      <c r="K1526" s="2" t="s">
        <v>1429</v>
      </c>
      <c r="L1526" s="2" t="s">
        <v>1430</v>
      </c>
      <c r="M1526" s="2" t="s">
        <v>84</v>
      </c>
      <c r="N1526" s="2" t="s">
        <v>38</v>
      </c>
      <c r="O1526" s="2" t="s">
        <v>977</v>
      </c>
      <c r="P1526" s="2" t="s">
        <v>939</v>
      </c>
      <c r="Q1526" s="2" t="s">
        <v>3180</v>
      </c>
      <c r="R1526" s="2" t="s">
        <v>40</v>
      </c>
      <c r="S1526" s="2" t="s">
        <v>9992</v>
      </c>
      <c r="T1526" s="2" t="s">
        <v>1434</v>
      </c>
      <c r="U1526" s="2" t="s">
        <v>9993</v>
      </c>
      <c r="V1526" s="2" t="s">
        <v>9994</v>
      </c>
      <c r="W1526" s="1"/>
      <c r="X1526" s="2" t="s">
        <v>8980</v>
      </c>
      <c r="Y1526" s="2" t="s">
        <v>9166</v>
      </c>
      <c r="AA1526" t="str">
        <f t="shared" si="138"/>
        <v>2026-01</v>
      </c>
      <c r="AB1526" t="str">
        <f t="shared" si="139"/>
        <v>H1_2026</v>
      </c>
      <c r="AC1526">
        <f t="shared" si="140"/>
        <v>1319594.76</v>
      </c>
      <c r="AD1526">
        <f t="shared" si="141"/>
        <v>110</v>
      </c>
      <c r="AE1526">
        <f t="shared" si="142"/>
        <v>175594.76</v>
      </c>
      <c r="AF1526" t="str">
        <f t="shared" si="143"/>
        <v>Paid</v>
      </c>
    </row>
    <row r="1527" spans="1:32" ht="17.25" thickBot="1" x14ac:dyDescent="0.35">
      <c r="A1527" s="2" t="s">
        <v>9995</v>
      </c>
      <c r="B1527" s="2" t="s">
        <v>27</v>
      </c>
      <c r="C1527" s="2" t="s">
        <v>28</v>
      </c>
      <c r="D1527" s="2" t="s">
        <v>97</v>
      </c>
      <c r="E1527" s="2" t="s">
        <v>9159</v>
      </c>
      <c r="F1527" s="2" t="s">
        <v>8445</v>
      </c>
      <c r="G1527" s="2" t="s">
        <v>32</v>
      </c>
      <c r="H1527" s="1"/>
      <c r="I1527" s="2" t="s">
        <v>33</v>
      </c>
      <c r="J1527" s="2" t="s">
        <v>34</v>
      </c>
      <c r="K1527" s="2" t="s">
        <v>1448</v>
      </c>
      <c r="L1527" s="2" t="s">
        <v>1449</v>
      </c>
      <c r="M1527" s="2" t="s">
        <v>84</v>
      </c>
      <c r="N1527" s="2" t="s">
        <v>38</v>
      </c>
      <c r="O1527" s="2" t="s">
        <v>517</v>
      </c>
      <c r="P1527" s="2" t="s">
        <v>6738</v>
      </c>
      <c r="Q1527" s="2" t="s">
        <v>9996</v>
      </c>
      <c r="R1527" s="2" t="s">
        <v>40</v>
      </c>
      <c r="S1527" s="2" t="s">
        <v>9997</v>
      </c>
      <c r="T1527" s="2" t="s">
        <v>1454</v>
      </c>
      <c r="U1527" s="2" t="s">
        <v>9877</v>
      </c>
      <c r="V1527" s="2" t="s">
        <v>9998</v>
      </c>
      <c r="W1527" s="1"/>
      <c r="X1527" s="2" t="s">
        <v>1803</v>
      </c>
      <c r="Y1527" s="2" t="s">
        <v>9166</v>
      </c>
      <c r="AA1527" t="str">
        <f t="shared" si="138"/>
        <v>2026-01</v>
      </c>
      <c r="AB1527" t="str">
        <f t="shared" si="139"/>
        <v>H1_2026</v>
      </c>
      <c r="AC1527">
        <f t="shared" si="140"/>
        <v>455600.16</v>
      </c>
      <c r="AD1527">
        <f t="shared" si="141"/>
        <v>120</v>
      </c>
      <c r="AE1527">
        <f t="shared" si="142"/>
        <v>27200.16</v>
      </c>
      <c r="AF1527" t="str">
        <f t="shared" si="143"/>
        <v>Paid</v>
      </c>
    </row>
    <row r="1528" spans="1:32" ht="17.25" thickBot="1" x14ac:dyDescent="0.35">
      <c r="A1528" s="2" t="s">
        <v>9999</v>
      </c>
      <c r="B1528" s="2" t="s">
        <v>27</v>
      </c>
      <c r="C1528" s="2" t="s">
        <v>28</v>
      </c>
      <c r="D1528" s="2" t="s">
        <v>97</v>
      </c>
      <c r="E1528" s="2" t="s">
        <v>9159</v>
      </c>
      <c r="F1528" s="2" t="s">
        <v>8445</v>
      </c>
      <c r="G1528" s="2" t="s">
        <v>32</v>
      </c>
      <c r="H1528" s="1"/>
      <c r="I1528" s="2" t="s">
        <v>33</v>
      </c>
      <c r="J1528" s="2" t="s">
        <v>34</v>
      </c>
      <c r="K1528" s="2" t="s">
        <v>6745</v>
      </c>
      <c r="L1528" s="2" t="s">
        <v>6746</v>
      </c>
      <c r="M1528" s="2" t="s">
        <v>84</v>
      </c>
      <c r="N1528" s="2" t="s">
        <v>38</v>
      </c>
      <c r="O1528" s="2" t="s">
        <v>141</v>
      </c>
      <c r="P1528" s="2" t="s">
        <v>6747</v>
      </c>
      <c r="Q1528" s="2" t="s">
        <v>10000</v>
      </c>
      <c r="R1528" s="2" t="s">
        <v>40</v>
      </c>
      <c r="S1528" s="2" t="s">
        <v>10001</v>
      </c>
      <c r="T1528" s="2" t="s">
        <v>706</v>
      </c>
      <c r="U1528" s="2" t="s">
        <v>135</v>
      </c>
      <c r="V1528" s="2" t="s">
        <v>10002</v>
      </c>
      <c r="W1528" s="1"/>
      <c r="X1528" s="2" t="s">
        <v>3037</v>
      </c>
      <c r="Y1528" s="2" t="s">
        <v>9166</v>
      </c>
      <c r="AA1528" t="str">
        <f t="shared" si="138"/>
        <v>2026-01</v>
      </c>
      <c r="AB1528" t="str">
        <f t="shared" si="139"/>
        <v>H1_2026</v>
      </c>
      <c r="AC1528">
        <f t="shared" si="140"/>
        <v>384141.96</v>
      </c>
      <c r="AD1528">
        <f t="shared" si="141"/>
        <v>30</v>
      </c>
      <c r="AE1528">
        <f t="shared" si="142"/>
        <v>132141.96</v>
      </c>
      <c r="AF1528" t="str">
        <f t="shared" si="143"/>
        <v>Paid</v>
      </c>
    </row>
    <row r="1529" spans="1:32" ht="17.25" thickBot="1" x14ac:dyDescent="0.35">
      <c r="A1529" s="2" t="s">
        <v>10003</v>
      </c>
      <c r="B1529" s="2" t="s">
        <v>27</v>
      </c>
      <c r="C1529" s="2" t="s">
        <v>28</v>
      </c>
      <c r="D1529" s="2" t="s">
        <v>97</v>
      </c>
      <c r="E1529" s="2" t="s">
        <v>9159</v>
      </c>
      <c r="F1529" s="2" t="s">
        <v>8445</v>
      </c>
      <c r="G1529" s="2" t="s">
        <v>32</v>
      </c>
      <c r="H1529" s="1"/>
      <c r="I1529" s="2" t="s">
        <v>33</v>
      </c>
      <c r="J1529" s="2" t="s">
        <v>34</v>
      </c>
      <c r="K1529" s="2" t="s">
        <v>5495</v>
      </c>
      <c r="L1529" s="2" t="s">
        <v>5496</v>
      </c>
      <c r="M1529" s="2" t="s">
        <v>84</v>
      </c>
      <c r="N1529" s="2" t="s">
        <v>38</v>
      </c>
      <c r="O1529" s="2" t="s">
        <v>779</v>
      </c>
      <c r="P1529" s="2" t="s">
        <v>1396</v>
      </c>
      <c r="Q1529" s="2" t="s">
        <v>10004</v>
      </c>
      <c r="R1529" s="2" t="s">
        <v>40</v>
      </c>
      <c r="S1529" s="2" t="s">
        <v>10005</v>
      </c>
      <c r="T1529" s="2" t="s">
        <v>126</v>
      </c>
      <c r="U1529" s="2" t="s">
        <v>10006</v>
      </c>
      <c r="V1529" s="2" t="s">
        <v>10007</v>
      </c>
      <c r="W1529" s="1"/>
      <c r="X1529" s="2" t="s">
        <v>3037</v>
      </c>
      <c r="Y1529" s="2" t="s">
        <v>9166</v>
      </c>
      <c r="AA1529" t="str">
        <f t="shared" si="138"/>
        <v>2026-01</v>
      </c>
      <c r="AB1529" t="str">
        <f t="shared" si="139"/>
        <v>H1_2026</v>
      </c>
      <c r="AC1529">
        <f t="shared" si="140"/>
        <v>863994.6</v>
      </c>
      <c r="AD1529">
        <f t="shared" si="141"/>
        <v>90</v>
      </c>
      <c r="AE1529">
        <f t="shared" si="142"/>
        <v>296994.59999999998</v>
      </c>
      <c r="AF1529" t="str">
        <f t="shared" si="143"/>
        <v>Paid</v>
      </c>
    </row>
    <row r="1530" spans="1:32" ht="17.25" thickBot="1" x14ac:dyDescent="0.35">
      <c r="A1530" s="2" t="s">
        <v>10008</v>
      </c>
      <c r="B1530" s="2" t="s">
        <v>27</v>
      </c>
      <c r="C1530" s="2" t="s">
        <v>28</v>
      </c>
      <c r="D1530" s="2" t="s">
        <v>97</v>
      </c>
      <c r="E1530" s="2" t="s">
        <v>9159</v>
      </c>
      <c r="F1530" s="2" t="s">
        <v>8445</v>
      </c>
      <c r="G1530" s="2" t="s">
        <v>32</v>
      </c>
      <c r="H1530" s="1"/>
      <c r="I1530" s="2" t="s">
        <v>33</v>
      </c>
      <c r="J1530" s="2" t="s">
        <v>34</v>
      </c>
      <c r="K1530" s="2" t="s">
        <v>4528</v>
      </c>
      <c r="L1530" s="2" t="s">
        <v>4529</v>
      </c>
      <c r="M1530" s="2" t="s">
        <v>84</v>
      </c>
      <c r="N1530" s="2" t="s">
        <v>38</v>
      </c>
      <c r="O1530" s="2" t="s">
        <v>131</v>
      </c>
      <c r="P1530" s="2" t="s">
        <v>6747</v>
      </c>
      <c r="Q1530" s="2" t="s">
        <v>10009</v>
      </c>
      <c r="R1530" s="2" t="s">
        <v>40</v>
      </c>
      <c r="S1530" s="2" t="s">
        <v>10010</v>
      </c>
      <c r="T1530" s="2" t="s">
        <v>4531</v>
      </c>
      <c r="U1530" s="2" t="s">
        <v>10011</v>
      </c>
      <c r="V1530" s="2" t="s">
        <v>10012</v>
      </c>
      <c r="W1530" s="1"/>
      <c r="X1530" s="2" t="s">
        <v>1332</v>
      </c>
      <c r="Y1530" s="2" t="s">
        <v>9166</v>
      </c>
      <c r="AA1530" t="str">
        <f t="shared" si="138"/>
        <v>2026-01</v>
      </c>
      <c r="AB1530" t="str">
        <f t="shared" si="139"/>
        <v>H1_2026</v>
      </c>
      <c r="AC1530">
        <f t="shared" si="140"/>
        <v>512189.28</v>
      </c>
      <c r="AD1530">
        <f t="shared" si="141"/>
        <v>40</v>
      </c>
      <c r="AE1530">
        <f t="shared" si="142"/>
        <v>136189.28</v>
      </c>
      <c r="AF1530" t="str">
        <f t="shared" si="143"/>
        <v>Paid</v>
      </c>
    </row>
    <row r="1531" spans="1:32" ht="17.25" thickBot="1" x14ac:dyDescent="0.35">
      <c r="A1531" s="2" t="s">
        <v>10013</v>
      </c>
      <c r="B1531" s="2" t="s">
        <v>27</v>
      </c>
      <c r="C1531" s="2" t="s">
        <v>28</v>
      </c>
      <c r="D1531" s="2" t="s">
        <v>97</v>
      </c>
      <c r="E1531" s="2" t="s">
        <v>9159</v>
      </c>
      <c r="F1531" s="2" t="s">
        <v>8445</v>
      </c>
      <c r="G1531" s="2" t="s">
        <v>32</v>
      </c>
      <c r="H1531" s="1"/>
      <c r="I1531" s="2" t="s">
        <v>33</v>
      </c>
      <c r="J1531" s="2" t="s">
        <v>34</v>
      </c>
      <c r="K1531" s="2" t="s">
        <v>1459</v>
      </c>
      <c r="L1531" s="2" t="s">
        <v>1460</v>
      </c>
      <c r="M1531" s="2" t="s">
        <v>84</v>
      </c>
      <c r="N1531" s="2" t="s">
        <v>38</v>
      </c>
      <c r="O1531" s="2" t="s">
        <v>159</v>
      </c>
      <c r="P1531" s="2" t="s">
        <v>4453</v>
      </c>
      <c r="Q1531" s="2" t="s">
        <v>10014</v>
      </c>
      <c r="R1531" s="2" t="s">
        <v>40</v>
      </c>
      <c r="S1531" s="2" t="s">
        <v>10015</v>
      </c>
      <c r="T1531" s="2" t="s">
        <v>1417</v>
      </c>
      <c r="U1531" s="2" t="s">
        <v>10016</v>
      </c>
      <c r="V1531" s="2" t="s">
        <v>10017</v>
      </c>
      <c r="W1531" s="1"/>
      <c r="X1531" s="2" t="s">
        <v>4859</v>
      </c>
      <c r="Y1531" s="2" t="s">
        <v>9166</v>
      </c>
      <c r="AA1531" t="str">
        <f t="shared" si="138"/>
        <v>2026-01</v>
      </c>
      <c r="AB1531" t="str">
        <f t="shared" si="139"/>
        <v>H1_2026</v>
      </c>
      <c r="AC1531">
        <f t="shared" si="140"/>
        <v>896186.88</v>
      </c>
      <c r="AD1531">
        <f t="shared" si="141"/>
        <v>80</v>
      </c>
      <c r="AE1531">
        <f t="shared" si="142"/>
        <v>349786.88</v>
      </c>
      <c r="AF1531" t="str">
        <f t="shared" si="143"/>
        <v>Paid</v>
      </c>
    </row>
    <row r="1532" spans="1:32" ht="27.75" thickBot="1" x14ac:dyDescent="0.35">
      <c r="A1532" s="2" t="s">
        <v>10018</v>
      </c>
      <c r="B1532" s="2" t="s">
        <v>27</v>
      </c>
      <c r="C1532" s="2" t="s">
        <v>28</v>
      </c>
      <c r="D1532" s="2" t="s">
        <v>97</v>
      </c>
      <c r="E1532" s="2" t="s">
        <v>9159</v>
      </c>
      <c r="F1532" s="2" t="s">
        <v>8445</v>
      </c>
      <c r="G1532" s="2" t="s">
        <v>32</v>
      </c>
      <c r="H1532" s="1"/>
      <c r="I1532" s="2" t="s">
        <v>33</v>
      </c>
      <c r="J1532" s="2" t="s">
        <v>34</v>
      </c>
      <c r="K1532" s="2" t="s">
        <v>3168</v>
      </c>
      <c r="L1532" s="2" t="s">
        <v>3169</v>
      </c>
      <c r="M1532" s="2" t="s">
        <v>3160</v>
      </c>
      <c r="N1532" s="2" t="s">
        <v>38</v>
      </c>
      <c r="O1532" s="2" t="s">
        <v>156</v>
      </c>
      <c r="P1532" s="2" t="s">
        <v>9873</v>
      </c>
      <c r="Q1532" s="2" t="s">
        <v>10019</v>
      </c>
      <c r="R1532" s="2" t="s">
        <v>40</v>
      </c>
      <c r="S1532" s="2" t="s">
        <v>10020</v>
      </c>
      <c r="T1532" s="2" t="s">
        <v>3173</v>
      </c>
      <c r="U1532" s="2" t="s">
        <v>10021</v>
      </c>
      <c r="V1532" s="2" t="s">
        <v>10022</v>
      </c>
      <c r="W1532" s="1"/>
      <c r="X1532" s="2" t="s">
        <v>10023</v>
      </c>
      <c r="Y1532" s="2" t="s">
        <v>9166</v>
      </c>
      <c r="AA1532" t="str">
        <f t="shared" si="138"/>
        <v>2026-01</v>
      </c>
      <c r="AB1532" t="str">
        <f t="shared" si="139"/>
        <v>H1_2026</v>
      </c>
      <c r="AC1532">
        <f t="shared" si="140"/>
        <v>30315.599999999999</v>
      </c>
      <c r="AD1532">
        <f t="shared" si="141"/>
        <v>20</v>
      </c>
      <c r="AE1532">
        <f t="shared" si="142"/>
        <v>5224.6899999999996</v>
      </c>
      <c r="AF1532" t="str">
        <f t="shared" si="143"/>
        <v>Paid</v>
      </c>
    </row>
    <row r="1533" spans="1:32" ht="17.25" thickBot="1" x14ac:dyDescent="0.35">
      <c r="A1533" s="2" t="s">
        <v>10024</v>
      </c>
      <c r="B1533" s="2" t="s">
        <v>27</v>
      </c>
      <c r="C1533" s="2" t="s">
        <v>28</v>
      </c>
      <c r="D1533" s="2" t="s">
        <v>97</v>
      </c>
      <c r="E1533" s="2" t="s">
        <v>9159</v>
      </c>
      <c r="F1533" s="2" t="s">
        <v>8445</v>
      </c>
      <c r="G1533" s="2" t="s">
        <v>32</v>
      </c>
      <c r="H1533" s="1"/>
      <c r="I1533" s="2" t="s">
        <v>33</v>
      </c>
      <c r="J1533" s="2" t="s">
        <v>34</v>
      </c>
      <c r="K1533" s="2" t="s">
        <v>3178</v>
      </c>
      <c r="L1533" s="2" t="s">
        <v>3179</v>
      </c>
      <c r="M1533" s="2" t="s">
        <v>3160</v>
      </c>
      <c r="N1533" s="2" t="s">
        <v>38</v>
      </c>
      <c r="O1533" s="2" t="s">
        <v>141</v>
      </c>
      <c r="P1533" s="2" t="s">
        <v>10025</v>
      </c>
      <c r="Q1533" s="2" t="s">
        <v>10026</v>
      </c>
      <c r="R1533" s="2" t="s">
        <v>40</v>
      </c>
      <c r="S1533" s="2" t="s">
        <v>10027</v>
      </c>
      <c r="T1533" s="2" t="s">
        <v>2884</v>
      </c>
      <c r="U1533" s="2" t="s">
        <v>8605</v>
      </c>
      <c r="V1533" s="2" t="s">
        <v>10028</v>
      </c>
      <c r="W1533" s="1"/>
      <c r="X1533" s="2" t="s">
        <v>3818</v>
      </c>
      <c r="Y1533" s="2" t="s">
        <v>9166</v>
      </c>
      <c r="AA1533" t="str">
        <f t="shared" si="138"/>
        <v>2026-01</v>
      </c>
      <c r="AB1533" t="str">
        <f t="shared" si="139"/>
        <v>H1_2026</v>
      </c>
      <c r="AC1533">
        <f t="shared" si="140"/>
        <v>355558.68</v>
      </c>
      <c r="AD1533">
        <f t="shared" si="141"/>
        <v>30</v>
      </c>
      <c r="AE1533">
        <f t="shared" si="142"/>
        <v>170104.14</v>
      </c>
      <c r="AF1533" t="str">
        <f t="shared" si="143"/>
        <v>Paid</v>
      </c>
    </row>
    <row r="1534" spans="1:32" ht="17.25" thickBot="1" x14ac:dyDescent="0.35">
      <c r="A1534" s="2" t="s">
        <v>10029</v>
      </c>
      <c r="B1534" s="2" t="s">
        <v>27</v>
      </c>
      <c r="C1534" s="2" t="s">
        <v>28</v>
      </c>
      <c r="D1534" s="2" t="s">
        <v>97</v>
      </c>
      <c r="E1534" s="2" t="s">
        <v>9159</v>
      </c>
      <c r="F1534" s="2" t="s">
        <v>8445</v>
      </c>
      <c r="G1534" s="2" t="s">
        <v>32</v>
      </c>
      <c r="H1534" s="1"/>
      <c r="I1534" s="2" t="s">
        <v>33</v>
      </c>
      <c r="J1534" s="2" t="s">
        <v>34</v>
      </c>
      <c r="K1534" s="2" t="s">
        <v>10030</v>
      </c>
      <c r="L1534" s="2" t="s">
        <v>10031</v>
      </c>
      <c r="M1534" s="2" t="s">
        <v>3198</v>
      </c>
      <c r="N1534" s="2" t="s">
        <v>38</v>
      </c>
      <c r="O1534" s="2" t="s">
        <v>141</v>
      </c>
      <c r="P1534" s="2" t="s">
        <v>5483</v>
      </c>
      <c r="Q1534" s="2" t="s">
        <v>10032</v>
      </c>
      <c r="R1534" s="2" t="s">
        <v>40</v>
      </c>
      <c r="S1534" s="2" t="s">
        <v>10033</v>
      </c>
      <c r="T1534" s="2" t="s">
        <v>10034</v>
      </c>
      <c r="U1534" s="2" t="s">
        <v>10035</v>
      </c>
      <c r="V1534" s="2" t="s">
        <v>10036</v>
      </c>
      <c r="W1534" s="1"/>
      <c r="X1534" s="2" t="s">
        <v>4195</v>
      </c>
      <c r="Y1534" s="2" t="s">
        <v>9166</v>
      </c>
      <c r="AA1534" t="str">
        <f t="shared" si="138"/>
        <v>2026-01</v>
      </c>
      <c r="AB1534" t="str">
        <f t="shared" si="139"/>
        <v>H1_2026</v>
      </c>
      <c r="AC1534">
        <f t="shared" si="140"/>
        <v>214374.6</v>
      </c>
      <c r="AD1534">
        <f t="shared" si="141"/>
        <v>30</v>
      </c>
      <c r="AE1534">
        <f t="shared" si="142"/>
        <v>31674.6</v>
      </c>
      <c r="AF1534" t="str">
        <f t="shared" si="143"/>
        <v>Paid</v>
      </c>
    </row>
    <row r="1535" spans="1:32" ht="17.25" thickBot="1" x14ac:dyDescent="0.35">
      <c r="A1535" s="2" t="s">
        <v>10037</v>
      </c>
      <c r="B1535" s="2" t="s">
        <v>27</v>
      </c>
      <c r="C1535" s="2" t="s">
        <v>28</v>
      </c>
      <c r="D1535" s="2" t="s">
        <v>97</v>
      </c>
      <c r="E1535" s="2" t="s">
        <v>9159</v>
      </c>
      <c r="F1535" s="2" t="s">
        <v>8445</v>
      </c>
      <c r="G1535" s="2" t="s">
        <v>32</v>
      </c>
      <c r="H1535" s="1"/>
      <c r="I1535" s="2" t="s">
        <v>33</v>
      </c>
      <c r="J1535" s="2" t="s">
        <v>34</v>
      </c>
      <c r="K1535" s="2" t="s">
        <v>3196</v>
      </c>
      <c r="L1535" s="2" t="s">
        <v>3197</v>
      </c>
      <c r="M1535" s="2" t="s">
        <v>3198</v>
      </c>
      <c r="N1535" s="2" t="s">
        <v>38</v>
      </c>
      <c r="O1535" s="2" t="s">
        <v>156</v>
      </c>
      <c r="P1535" s="2" t="s">
        <v>4826</v>
      </c>
      <c r="Q1535" s="2" t="s">
        <v>4840</v>
      </c>
      <c r="R1535" s="2" t="s">
        <v>40</v>
      </c>
      <c r="S1535" s="2" t="s">
        <v>10038</v>
      </c>
      <c r="T1535" s="2" t="s">
        <v>3202</v>
      </c>
      <c r="U1535" s="2" t="s">
        <v>10039</v>
      </c>
      <c r="V1535" s="2" t="s">
        <v>10040</v>
      </c>
      <c r="W1535" s="1"/>
      <c r="X1535" s="2" t="s">
        <v>3205</v>
      </c>
      <c r="Y1535" s="2" t="s">
        <v>9166</v>
      </c>
      <c r="AA1535" t="str">
        <f t="shared" si="138"/>
        <v>2026-01</v>
      </c>
      <c r="AB1535" t="str">
        <f t="shared" si="139"/>
        <v>H1_2026</v>
      </c>
      <c r="AC1535">
        <f t="shared" si="140"/>
        <v>183625.92</v>
      </c>
      <c r="AD1535">
        <f t="shared" si="141"/>
        <v>20</v>
      </c>
      <c r="AE1535">
        <f t="shared" si="142"/>
        <v>27025.919999999998</v>
      </c>
      <c r="AF1535" t="str">
        <f t="shared" si="143"/>
        <v>Paid</v>
      </c>
    </row>
    <row r="1536" spans="1:32" ht="17.25" thickBot="1" x14ac:dyDescent="0.35">
      <c r="A1536" s="2" t="s">
        <v>10041</v>
      </c>
      <c r="B1536" s="2" t="s">
        <v>27</v>
      </c>
      <c r="C1536" s="2" t="s">
        <v>28</v>
      </c>
      <c r="D1536" s="2" t="s">
        <v>97</v>
      </c>
      <c r="E1536" s="2" t="s">
        <v>9159</v>
      </c>
      <c r="F1536" s="2" t="s">
        <v>8445</v>
      </c>
      <c r="G1536" s="2" t="s">
        <v>32</v>
      </c>
      <c r="H1536" s="1"/>
      <c r="I1536" s="2" t="s">
        <v>33</v>
      </c>
      <c r="J1536" s="2" t="s">
        <v>34</v>
      </c>
      <c r="K1536" s="2" t="s">
        <v>10042</v>
      </c>
      <c r="L1536" s="2" t="s">
        <v>10043</v>
      </c>
      <c r="M1536" s="2" t="s">
        <v>1757</v>
      </c>
      <c r="N1536" s="2" t="s">
        <v>38</v>
      </c>
      <c r="O1536" s="2" t="s">
        <v>779</v>
      </c>
      <c r="P1536" s="2" t="s">
        <v>10044</v>
      </c>
      <c r="Q1536" s="2" t="s">
        <v>10045</v>
      </c>
      <c r="R1536" s="2" t="s">
        <v>40</v>
      </c>
      <c r="S1536" s="2" t="s">
        <v>10046</v>
      </c>
      <c r="T1536" s="2" t="s">
        <v>10047</v>
      </c>
      <c r="U1536" s="2" t="s">
        <v>10048</v>
      </c>
      <c r="V1536" s="2" t="s">
        <v>10049</v>
      </c>
      <c r="W1536" s="1"/>
      <c r="X1536" s="2" t="s">
        <v>9891</v>
      </c>
      <c r="Y1536" s="2" t="s">
        <v>9166</v>
      </c>
      <c r="AA1536" t="str">
        <f t="shared" si="138"/>
        <v>2026-01</v>
      </c>
      <c r="AB1536" t="str">
        <f t="shared" si="139"/>
        <v>H1_2026</v>
      </c>
      <c r="AC1536">
        <f t="shared" si="140"/>
        <v>498908.15999999997</v>
      </c>
      <c r="AD1536">
        <f t="shared" si="141"/>
        <v>90</v>
      </c>
      <c r="AE1536">
        <f t="shared" si="142"/>
        <v>135635.44</v>
      </c>
      <c r="AF1536" t="str">
        <f t="shared" si="143"/>
        <v>Paid</v>
      </c>
    </row>
    <row r="1537" spans="1:32" ht="17.25" thickBot="1" x14ac:dyDescent="0.35">
      <c r="A1537" s="2" t="s">
        <v>10050</v>
      </c>
      <c r="B1537" s="2" t="s">
        <v>27</v>
      </c>
      <c r="C1537" s="2" t="s">
        <v>28</v>
      </c>
      <c r="D1537" s="2" t="s">
        <v>97</v>
      </c>
      <c r="E1537" s="2" t="s">
        <v>9159</v>
      </c>
      <c r="F1537" s="2" t="s">
        <v>8445</v>
      </c>
      <c r="G1537" s="2" t="s">
        <v>32</v>
      </c>
      <c r="H1537" s="1"/>
      <c r="I1537" s="2" t="s">
        <v>33</v>
      </c>
      <c r="J1537" s="2" t="s">
        <v>34</v>
      </c>
      <c r="K1537" s="2" t="s">
        <v>10051</v>
      </c>
      <c r="L1537" s="2" t="s">
        <v>10052</v>
      </c>
      <c r="M1537" s="2" t="s">
        <v>8178</v>
      </c>
      <c r="N1537" s="2" t="s">
        <v>38</v>
      </c>
      <c r="O1537" s="2" t="s">
        <v>471</v>
      </c>
      <c r="P1537" s="2" t="s">
        <v>10053</v>
      </c>
      <c r="Q1537" s="2" t="s">
        <v>10054</v>
      </c>
      <c r="R1537" s="2" t="s">
        <v>40</v>
      </c>
      <c r="S1537" s="2" t="s">
        <v>10055</v>
      </c>
      <c r="T1537" s="2" t="s">
        <v>2275</v>
      </c>
      <c r="U1537" s="2" t="s">
        <v>10056</v>
      </c>
      <c r="V1537" s="2" t="s">
        <v>10057</v>
      </c>
      <c r="W1537" s="1"/>
      <c r="X1537" s="2" t="s">
        <v>796</v>
      </c>
      <c r="Y1537" s="2" t="s">
        <v>9166</v>
      </c>
      <c r="AA1537" t="str">
        <f t="shared" si="138"/>
        <v>2026-01</v>
      </c>
      <c r="AB1537" t="str">
        <f t="shared" si="139"/>
        <v>H1_2026</v>
      </c>
      <c r="AC1537">
        <f t="shared" si="140"/>
        <v>313622.09999999998</v>
      </c>
      <c r="AD1537">
        <f t="shared" si="141"/>
        <v>55</v>
      </c>
      <c r="AE1537">
        <f t="shared" si="142"/>
        <v>66122.100000000006</v>
      </c>
      <c r="AF1537" t="str">
        <f t="shared" si="143"/>
        <v>Paid</v>
      </c>
    </row>
    <row r="1538" spans="1:32" ht="17.25" thickBot="1" x14ac:dyDescent="0.35">
      <c r="A1538" s="2" t="s">
        <v>10058</v>
      </c>
      <c r="B1538" s="2" t="s">
        <v>27</v>
      </c>
      <c r="C1538" s="2" t="s">
        <v>28</v>
      </c>
      <c r="D1538" s="2" t="s">
        <v>97</v>
      </c>
      <c r="E1538" s="2" t="s">
        <v>9159</v>
      </c>
      <c r="F1538" s="2" t="s">
        <v>8445</v>
      </c>
      <c r="G1538" s="2" t="s">
        <v>32</v>
      </c>
      <c r="H1538" s="1"/>
      <c r="I1538" s="2" t="s">
        <v>33</v>
      </c>
      <c r="J1538" s="2" t="s">
        <v>34</v>
      </c>
      <c r="K1538" s="2" t="s">
        <v>8185</v>
      </c>
      <c r="L1538" s="2" t="s">
        <v>8186</v>
      </c>
      <c r="M1538" s="2" t="s">
        <v>8178</v>
      </c>
      <c r="N1538" s="2" t="s">
        <v>38</v>
      </c>
      <c r="O1538" s="2" t="s">
        <v>156</v>
      </c>
      <c r="P1538" s="2" t="s">
        <v>9857</v>
      </c>
      <c r="Q1538" s="2" t="s">
        <v>10059</v>
      </c>
      <c r="R1538" s="2" t="s">
        <v>40</v>
      </c>
      <c r="S1538" s="2" t="s">
        <v>10060</v>
      </c>
      <c r="T1538" s="2" t="s">
        <v>2275</v>
      </c>
      <c r="U1538" s="2" t="s">
        <v>10061</v>
      </c>
      <c r="V1538" s="2" t="s">
        <v>10062</v>
      </c>
      <c r="W1538" s="1"/>
      <c r="X1538" s="2" t="s">
        <v>997</v>
      </c>
      <c r="Y1538" s="2" t="s">
        <v>9166</v>
      </c>
      <c r="AA1538" t="str">
        <f t="shared" si="138"/>
        <v>2026-01</v>
      </c>
      <c r="AB1538" t="str">
        <f t="shared" si="139"/>
        <v>H1_2026</v>
      </c>
      <c r="AC1538">
        <f t="shared" si="140"/>
        <v>125881.92</v>
      </c>
      <c r="AD1538">
        <f t="shared" si="141"/>
        <v>20</v>
      </c>
      <c r="AE1538">
        <f t="shared" si="142"/>
        <v>35881.919999999998</v>
      </c>
      <c r="AF1538" t="str">
        <f t="shared" si="143"/>
        <v>Paid</v>
      </c>
    </row>
    <row r="1539" spans="1:32" ht="17.25" thickBot="1" x14ac:dyDescent="0.35">
      <c r="A1539" s="2" t="s">
        <v>10063</v>
      </c>
      <c r="B1539" s="2" t="s">
        <v>27</v>
      </c>
      <c r="C1539" s="2" t="s">
        <v>28</v>
      </c>
      <c r="D1539" s="2" t="s">
        <v>97</v>
      </c>
      <c r="E1539" s="2" t="s">
        <v>9159</v>
      </c>
      <c r="F1539" s="2" t="s">
        <v>8445</v>
      </c>
      <c r="G1539" s="2" t="s">
        <v>32</v>
      </c>
      <c r="H1539" s="1"/>
      <c r="I1539" s="2" t="s">
        <v>33</v>
      </c>
      <c r="J1539" s="2" t="s">
        <v>34</v>
      </c>
      <c r="K1539" s="2" t="s">
        <v>3207</v>
      </c>
      <c r="L1539" s="2" t="s">
        <v>3208</v>
      </c>
      <c r="M1539" s="2" t="s">
        <v>3209</v>
      </c>
      <c r="N1539" s="2" t="s">
        <v>38</v>
      </c>
      <c r="O1539" s="2" t="s">
        <v>141</v>
      </c>
      <c r="P1539" s="2" t="s">
        <v>1351</v>
      </c>
      <c r="Q1539" s="2" t="s">
        <v>10064</v>
      </c>
      <c r="R1539" s="2" t="s">
        <v>40</v>
      </c>
      <c r="S1539" s="2" t="s">
        <v>10065</v>
      </c>
      <c r="T1539" s="2" t="s">
        <v>3213</v>
      </c>
      <c r="U1539" s="2" t="s">
        <v>6653</v>
      </c>
      <c r="V1539" s="2" t="s">
        <v>10066</v>
      </c>
      <c r="W1539" s="1"/>
      <c r="X1539" s="2" t="s">
        <v>3216</v>
      </c>
      <c r="Y1539" s="2" t="s">
        <v>9166</v>
      </c>
      <c r="AA1539" t="str">
        <f t="shared" si="138"/>
        <v>2026-01</v>
      </c>
      <c r="AB1539" t="str">
        <f t="shared" si="139"/>
        <v>H1_2026</v>
      </c>
      <c r="AC1539">
        <f t="shared" si="140"/>
        <v>187090.56</v>
      </c>
      <c r="AD1539">
        <f t="shared" si="141"/>
        <v>30</v>
      </c>
      <c r="AE1539">
        <f t="shared" si="142"/>
        <v>31090.560000000001</v>
      </c>
      <c r="AF1539" t="str">
        <f t="shared" si="143"/>
        <v>Paid</v>
      </c>
    </row>
    <row r="1540" spans="1:32" ht="17.25" thickBot="1" x14ac:dyDescent="0.35">
      <c r="A1540" s="2" t="s">
        <v>10067</v>
      </c>
      <c r="B1540" s="2" t="s">
        <v>27</v>
      </c>
      <c r="C1540" s="2" t="s">
        <v>28</v>
      </c>
      <c r="D1540" s="2" t="s">
        <v>97</v>
      </c>
      <c r="E1540" s="2" t="s">
        <v>9159</v>
      </c>
      <c r="F1540" s="2" t="s">
        <v>8445</v>
      </c>
      <c r="G1540" s="2" t="s">
        <v>32</v>
      </c>
      <c r="H1540" s="1"/>
      <c r="I1540" s="2" t="s">
        <v>33</v>
      </c>
      <c r="J1540" s="2" t="s">
        <v>34</v>
      </c>
      <c r="K1540" s="2" t="s">
        <v>3218</v>
      </c>
      <c r="L1540" s="2" t="s">
        <v>3219</v>
      </c>
      <c r="M1540" s="2" t="s">
        <v>3209</v>
      </c>
      <c r="N1540" s="2" t="s">
        <v>38</v>
      </c>
      <c r="O1540" s="2" t="s">
        <v>877</v>
      </c>
      <c r="P1540" s="2" t="s">
        <v>1351</v>
      </c>
      <c r="Q1540" s="2" t="s">
        <v>10068</v>
      </c>
      <c r="R1540" s="2" t="s">
        <v>40</v>
      </c>
      <c r="S1540" s="2" t="s">
        <v>10069</v>
      </c>
      <c r="T1540" s="2" t="s">
        <v>3213</v>
      </c>
      <c r="U1540" s="2" t="s">
        <v>10070</v>
      </c>
      <c r="V1540" s="2" t="s">
        <v>10071</v>
      </c>
      <c r="W1540" s="1"/>
      <c r="X1540" s="2" t="s">
        <v>3216</v>
      </c>
      <c r="Y1540" s="2" t="s">
        <v>9166</v>
      </c>
      <c r="AA1540" t="str">
        <f t="shared" ref="AA1540:AA1603" si="144">LEFT(E1540,7)</f>
        <v>2026-01</v>
      </c>
      <c r="AB1540" t="str">
        <f t="shared" ref="AB1540:AB1603" si="145">IF(AND($AA1540&gt;="2025-01",$AA1540&lt;="2025-06"),"H1_2025",IF(AND($AA1540&gt;="2026-01",$AA1540&lt;="2026-06"),"H1_2026",""))</f>
        <v>H1_2026</v>
      </c>
      <c r="AC1540">
        <f t="shared" ref="AC1540:AC1603" si="146">IFERROR(VALUE(SUBSTITUTE(S1540,",","")),0)</f>
        <v>623635.19999999995</v>
      </c>
      <c r="AD1540">
        <f t="shared" ref="AD1540:AD1603" si="147">IFERROR(VALUE(SUBSTITUTE(O1540,",","")),0)</f>
        <v>100</v>
      </c>
      <c r="AE1540">
        <f t="shared" ref="AE1540:AE1603" si="148">IFERROR(VALUE(SUBSTITUTE(V1540,",","")),0)</f>
        <v>103635.2</v>
      </c>
      <c r="AF1540" t="str">
        <f t="shared" ref="AF1540:AF1603" si="149">IF(ISNUMBER(SEARCH("FOC",W1540)),"FOC",IF(ISNUMBER(SEARCH("샘플",W1540)),"Sample","Paid"))</f>
        <v>Paid</v>
      </c>
    </row>
    <row r="1541" spans="1:32" ht="17.25" thickBot="1" x14ac:dyDescent="0.35">
      <c r="A1541" s="2" t="s">
        <v>10072</v>
      </c>
      <c r="B1541" s="2" t="s">
        <v>27</v>
      </c>
      <c r="C1541" s="2" t="s">
        <v>28</v>
      </c>
      <c r="D1541" s="2" t="s">
        <v>97</v>
      </c>
      <c r="E1541" s="2" t="s">
        <v>9159</v>
      </c>
      <c r="F1541" s="2" t="s">
        <v>8445</v>
      </c>
      <c r="G1541" s="2" t="s">
        <v>32</v>
      </c>
      <c r="H1541" s="1"/>
      <c r="I1541" s="2" t="s">
        <v>33</v>
      </c>
      <c r="J1541" s="2" t="s">
        <v>34</v>
      </c>
      <c r="K1541" s="2" t="s">
        <v>3240</v>
      </c>
      <c r="L1541" s="2" t="s">
        <v>3241</v>
      </c>
      <c r="M1541" s="2" t="s">
        <v>3227</v>
      </c>
      <c r="N1541" s="2" t="s">
        <v>38</v>
      </c>
      <c r="O1541" s="2" t="s">
        <v>141</v>
      </c>
      <c r="P1541" s="2" t="s">
        <v>9528</v>
      </c>
      <c r="Q1541" s="2" t="s">
        <v>9538</v>
      </c>
      <c r="R1541" s="2" t="s">
        <v>40</v>
      </c>
      <c r="S1541" s="2" t="s">
        <v>9539</v>
      </c>
      <c r="T1541" s="2" t="s">
        <v>3213</v>
      </c>
      <c r="U1541" s="2" t="s">
        <v>6653</v>
      </c>
      <c r="V1541" s="2" t="s">
        <v>10073</v>
      </c>
      <c r="W1541" s="1"/>
      <c r="X1541" s="2" t="s">
        <v>8198</v>
      </c>
      <c r="Y1541" s="2" t="s">
        <v>9166</v>
      </c>
      <c r="AA1541" t="str">
        <f t="shared" si="144"/>
        <v>2026-01</v>
      </c>
      <c r="AB1541" t="str">
        <f t="shared" si="145"/>
        <v>H1_2026</v>
      </c>
      <c r="AC1541">
        <f t="shared" si="146"/>
        <v>211343.04</v>
      </c>
      <c r="AD1541">
        <f t="shared" si="147"/>
        <v>30</v>
      </c>
      <c r="AE1541">
        <f t="shared" si="148"/>
        <v>55343.040000000001</v>
      </c>
      <c r="AF1541" t="str">
        <f t="shared" si="149"/>
        <v>Paid</v>
      </c>
    </row>
    <row r="1542" spans="1:32" ht="17.25" thickBot="1" x14ac:dyDescent="0.35">
      <c r="A1542" s="2" t="s">
        <v>10074</v>
      </c>
      <c r="B1542" s="2" t="s">
        <v>27</v>
      </c>
      <c r="C1542" s="2" t="s">
        <v>28</v>
      </c>
      <c r="D1542" s="2" t="s">
        <v>97</v>
      </c>
      <c r="E1542" s="2" t="s">
        <v>9159</v>
      </c>
      <c r="F1542" s="2" t="s">
        <v>8445</v>
      </c>
      <c r="G1542" s="2" t="s">
        <v>32</v>
      </c>
      <c r="H1542" s="1"/>
      <c r="I1542" s="2" t="s">
        <v>33</v>
      </c>
      <c r="J1542" s="2" t="s">
        <v>34</v>
      </c>
      <c r="K1542" s="2" t="s">
        <v>8191</v>
      </c>
      <c r="L1542" s="2" t="s">
        <v>8192</v>
      </c>
      <c r="M1542" s="2" t="s">
        <v>3227</v>
      </c>
      <c r="N1542" s="2" t="s">
        <v>38</v>
      </c>
      <c r="O1542" s="2" t="s">
        <v>391</v>
      </c>
      <c r="P1542" s="2" t="s">
        <v>3622</v>
      </c>
      <c r="Q1542" s="2" t="s">
        <v>10075</v>
      </c>
      <c r="R1542" s="2" t="s">
        <v>40</v>
      </c>
      <c r="S1542" s="2" t="s">
        <v>10076</v>
      </c>
      <c r="T1542" s="2" t="s">
        <v>8195</v>
      </c>
      <c r="U1542" s="2" t="s">
        <v>10077</v>
      </c>
      <c r="V1542" s="2" t="s">
        <v>10078</v>
      </c>
      <c r="W1542" s="1"/>
      <c r="X1542" s="2" t="s">
        <v>1073</v>
      </c>
      <c r="Y1542" s="2" t="s">
        <v>9166</v>
      </c>
      <c r="AA1542" t="str">
        <f t="shared" si="144"/>
        <v>2026-01</v>
      </c>
      <c r="AB1542" t="str">
        <f t="shared" si="145"/>
        <v>H1_2026</v>
      </c>
      <c r="AC1542">
        <f t="shared" si="146"/>
        <v>506703.6</v>
      </c>
      <c r="AD1542">
        <f t="shared" si="147"/>
        <v>60</v>
      </c>
      <c r="AE1542">
        <f t="shared" si="148"/>
        <v>132303.6</v>
      </c>
      <c r="AF1542" t="str">
        <f t="shared" si="149"/>
        <v>Paid</v>
      </c>
    </row>
    <row r="1543" spans="1:32" ht="27.75" thickBot="1" x14ac:dyDescent="0.35">
      <c r="A1543" s="2" t="s">
        <v>10079</v>
      </c>
      <c r="B1543" s="2" t="s">
        <v>27</v>
      </c>
      <c r="C1543" s="2" t="s">
        <v>28</v>
      </c>
      <c r="D1543" s="2" t="s">
        <v>97</v>
      </c>
      <c r="E1543" s="2" t="s">
        <v>9159</v>
      </c>
      <c r="F1543" s="2" t="s">
        <v>8445</v>
      </c>
      <c r="G1543" s="2" t="s">
        <v>32</v>
      </c>
      <c r="H1543" s="1"/>
      <c r="I1543" s="2" t="s">
        <v>33</v>
      </c>
      <c r="J1543" s="2" t="s">
        <v>34</v>
      </c>
      <c r="K1543" s="2" t="s">
        <v>261</v>
      </c>
      <c r="L1543" s="2" t="s">
        <v>262</v>
      </c>
      <c r="M1543" s="2" t="s">
        <v>263</v>
      </c>
      <c r="N1543" s="2" t="s">
        <v>38</v>
      </c>
      <c r="O1543" s="2" t="s">
        <v>1240</v>
      </c>
      <c r="P1543" s="2" t="s">
        <v>6196</v>
      </c>
      <c r="Q1543" s="2" t="s">
        <v>10080</v>
      </c>
      <c r="R1543" s="2" t="s">
        <v>40</v>
      </c>
      <c r="S1543" s="2" t="s">
        <v>10081</v>
      </c>
      <c r="T1543" s="2" t="s">
        <v>267</v>
      </c>
      <c r="U1543" s="2" t="s">
        <v>10082</v>
      </c>
      <c r="V1543" s="2" t="s">
        <v>10083</v>
      </c>
      <c r="W1543" s="1"/>
      <c r="X1543" s="2" t="s">
        <v>10084</v>
      </c>
      <c r="Y1543" s="2" t="s">
        <v>10085</v>
      </c>
      <c r="AA1543" t="str">
        <f t="shared" si="144"/>
        <v>2026-01</v>
      </c>
      <c r="AB1543" t="str">
        <f t="shared" si="145"/>
        <v>H1_2026</v>
      </c>
      <c r="AC1543">
        <f t="shared" si="146"/>
        <v>1293715.95</v>
      </c>
      <c r="AD1543">
        <f t="shared" si="147"/>
        <v>139</v>
      </c>
      <c r="AE1543">
        <f t="shared" si="148"/>
        <v>376315.95</v>
      </c>
      <c r="AF1543" t="str">
        <f t="shared" si="149"/>
        <v>Paid</v>
      </c>
    </row>
    <row r="1544" spans="1:32" ht="17.25" thickBot="1" x14ac:dyDescent="0.35">
      <c r="A1544" s="2" t="s">
        <v>10086</v>
      </c>
      <c r="B1544" s="2" t="s">
        <v>27</v>
      </c>
      <c r="C1544" s="2" t="s">
        <v>28</v>
      </c>
      <c r="D1544" s="2" t="s">
        <v>97</v>
      </c>
      <c r="E1544" s="2" t="s">
        <v>9159</v>
      </c>
      <c r="F1544" s="2" t="s">
        <v>8445</v>
      </c>
      <c r="G1544" s="2" t="s">
        <v>32</v>
      </c>
      <c r="H1544" s="1"/>
      <c r="I1544" s="2" t="s">
        <v>33</v>
      </c>
      <c r="J1544" s="2" t="s">
        <v>34</v>
      </c>
      <c r="K1544" s="2" t="s">
        <v>273</v>
      </c>
      <c r="L1544" s="2" t="s">
        <v>274</v>
      </c>
      <c r="M1544" s="2" t="s">
        <v>263</v>
      </c>
      <c r="N1544" s="2" t="s">
        <v>38</v>
      </c>
      <c r="O1544" s="2" t="s">
        <v>5144</v>
      </c>
      <c r="P1544" s="2" t="s">
        <v>6196</v>
      </c>
      <c r="Q1544" s="2" t="s">
        <v>10087</v>
      </c>
      <c r="R1544" s="2" t="s">
        <v>40</v>
      </c>
      <c r="S1544" s="2" t="s">
        <v>10088</v>
      </c>
      <c r="T1544" s="2" t="s">
        <v>267</v>
      </c>
      <c r="U1544" s="2" t="s">
        <v>10089</v>
      </c>
      <c r="V1544" s="2" t="s">
        <v>10090</v>
      </c>
      <c r="W1544" s="1"/>
      <c r="X1544" s="2" t="s">
        <v>10084</v>
      </c>
      <c r="Y1544" s="2" t="s">
        <v>10085</v>
      </c>
      <c r="AA1544" t="str">
        <f t="shared" si="144"/>
        <v>2026-01</v>
      </c>
      <c r="AB1544" t="str">
        <f t="shared" si="145"/>
        <v>H1_2026</v>
      </c>
      <c r="AC1544">
        <f t="shared" si="146"/>
        <v>6477887.0599999996</v>
      </c>
      <c r="AD1544">
        <f t="shared" si="147"/>
        <v>696</v>
      </c>
      <c r="AE1544">
        <f t="shared" si="148"/>
        <v>1884287.06</v>
      </c>
      <c r="AF1544" t="str">
        <f t="shared" si="149"/>
        <v>Paid</v>
      </c>
    </row>
    <row r="1545" spans="1:32" ht="27.75" thickBot="1" x14ac:dyDescent="0.35">
      <c r="A1545" s="2" t="s">
        <v>10091</v>
      </c>
      <c r="B1545" s="2" t="s">
        <v>27</v>
      </c>
      <c r="C1545" s="2" t="s">
        <v>28</v>
      </c>
      <c r="D1545" s="2" t="s">
        <v>97</v>
      </c>
      <c r="E1545" s="2" t="s">
        <v>9159</v>
      </c>
      <c r="F1545" s="2" t="s">
        <v>8445</v>
      </c>
      <c r="G1545" s="2" t="s">
        <v>32</v>
      </c>
      <c r="H1545" s="1"/>
      <c r="I1545" s="2" t="s">
        <v>33</v>
      </c>
      <c r="J1545" s="2" t="s">
        <v>34</v>
      </c>
      <c r="K1545" s="2" t="s">
        <v>4838</v>
      </c>
      <c r="L1545" s="2" t="s">
        <v>4839</v>
      </c>
      <c r="M1545" s="2" t="s">
        <v>263</v>
      </c>
      <c r="N1545" s="2" t="s">
        <v>38</v>
      </c>
      <c r="O1545" s="2" t="s">
        <v>1967</v>
      </c>
      <c r="P1545" s="2" t="s">
        <v>6196</v>
      </c>
      <c r="Q1545" s="2" t="s">
        <v>10092</v>
      </c>
      <c r="R1545" s="2" t="s">
        <v>40</v>
      </c>
      <c r="S1545" s="2" t="s">
        <v>10093</v>
      </c>
      <c r="T1545" s="2" t="s">
        <v>267</v>
      </c>
      <c r="U1545" s="2" t="s">
        <v>10094</v>
      </c>
      <c r="V1545" s="2" t="s">
        <v>10095</v>
      </c>
      <c r="W1545" s="1"/>
      <c r="X1545" s="2" t="s">
        <v>10084</v>
      </c>
      <c r="Y1545" s="2" t="s">
        <v>10085</v>
      </c>
      <c r="AA1545" t="str">
        <f t="shared" si="144"/>
        <v>2026-01</v>
      </c>
      <c r="AB1545" t="str">
        <f t="shared" si="145"/>
        <v>H1_2026</v>
      </c>
      <c r="AC1545">
        <f t="shared" si="146"/>
        <v>2205832.23</v>
      </c>
      <c r="AD1545">
        <f t="shared" si="147"/>
        <v>237</v>
      </c>
      <c r="AE1545">
        <f t="shared" si="148"/>
        <v>641632.23</v>
      </c>
      <c r="AF1545" t="str">
        <f t="shared" si="149"/>
        <v>Paid</v>
      </c>
    </row>
    <row r="1546" spans="1:32" ht="17.25" thickBot="1" x14ac:dyDescent="0.35">
      <c r="A1546" s="2" t="s">
        <v>10096</v>
      </c>
      <c r="B1546" s="2" t="s">
        <v>27</v>
      </c>
      <c r="C1546" s="2" t="s">
        <v>28</v>
      </c>
      <c r="D1546" s="2" t="s">
        <v>97</v>
      </c>
      <c r="E1546" s="2" t="s">
        <v>9159</v>
      </c>
      <c r="F1546" s="2" t="s">
        <v>8445</v>
      </c>
      <c r="G1546" s="2" t="s">
        <v>32</v>
      </c>
      <c r="H1546" s="1"/>
      <c r="I1546" s="2" t="s">
        <v>33</v>
      </c>
      <c r="J1546" s="2" t="s">
        <v>34</v>
      </c>
      <c r="K1546" s="2" t="s">
        <v>4845</v>
      </c>
      <c r="L1546" s="2" t="s">
        <v>4846</v>
      </c>
      <c r="M1546" s="2" t="s">
        <v>263</v>
      </c>
      <c r="N1546" s="2" t="s">
        <v>38</v>
      </c>
      <c r="O1546" s="2" t="s">
        <v>1064</v>
      </c>
      <c r="P1546" s="2" t="s">
        <v>10097</v>
      </c>
      <c r="Q1546" s="2" t="s">
        <v>10098</v>
      </c>
      <c r="R1546" s="2" t="s">
        <v>40</v>
      </c>
      <c r="S1546" s="2" t="s">
        <v>10099</v>
      </c>
      <c r="T1546" s="2" t="s">
        <v>4850</v>
      </c>
      <c r="U1546" s="2" t="s">
        <v>10100</v>
      </c>
      <c r="V1546" s="2" t="s">
        <v>10101</v>
      </c>
      <c r="W1546" s="1"/>
      <c r="X1546" s="2" t="s">
        <v>10102</v>
      </c>
      <c r="Y1546" s="2" t="s">
        <v>10085</v>
      </c>
      <c r="AA1546" t="str">
        <f t="shared" si="144"/>
        <v>2026-01</v>
      </c>
      <c r="AB1546" t="str">
        <f t="shared" si="145"/>
        <v>H1_2026</v>
      </c>
      <c r="AC1546">
        <f t="shared" si="146"/>
        <v>1517148.73</v>
      </c>
      <c r="AD1546">
        <f t="shared" si="147"/>
        <v>119</v>
      </c>
      <c r="AE1546">
        <f t="shared" si="148"/>
        <v>699261.73</v>
      </c>
      <c r="AF1546" t="str">
        <f t="shared" si="149"/>
        <v>Paid</v>
      </c>
    </row>
    <row r="1547" spans="1:32" ht="17.25" thickBot="1" x14ac:dyDescent="0.35">
      <c r="A1547" s="2" t="s">
        <v>10103</v>
      </c>
      <c r="B1547" s="2" t="s">
        <v>27</v>
      </c>
      <c r="C1547" s="2" t="s">
        <v>28</v>
      </c>
      <c r="D1547" s="2" t="s">
        <v>97</v>
      </c>
      <c r="E1547" s="2" t="s">
        <v>9159</v>
      </c>
      <c r="F1547" s="2" t="s">
        <v>8445</v>
      </c>
      <c r="G1547" s="2" t="s">
        <v>32</v>
      </c>
      <c r="H1547" s="1"/>
      <c r="I1547" s="2" t="s">
        <v>33</v>
      </c>
      <c r="J1547" s="2" t="s">
        <v>34</v>
      </c>
      <c r="K1547" s="2" t="s">
        <v>6144</v>
      </c>
      <c r="L1547" s="2" t="s">
        <v>6145</v>
      </c>
      <c r="M1547" s="2" t="s">
        <v>6146</v>
      </c>
      <c r="N1547" s="2" t="s">
        <v>38</v>
      </c>
      <c r="O1547" s="2" t="s">
        <v>2534</v>
      </c>
      <c r="P1547" s="2" t="s">
        <v>475</v>
      </c>
      <c r="Q1547" s="2" t="s">
        <v>1916</v>
      </c>
      <c r="R1547" s="2" t="s">
        <v>40</v>
      </c>
      <c r="S1547" s="2" t="s">
        <v>10104</v>
      </c>
      <c r="T1547" s="2" t="s">
        <v>6149</v>
      </c>
      <c r="U1547" s="2" t="s">
        <v>10105</v>
      </c>
      <c r="V1547" s="2" t="s">
        <v>10106</v>
      </c>
      <c r="W1547" s="1"/>
      <c r="X1547" s="2" t="s">
        <v>1042</v>
      </c>
      <c r="Y1547" s="2" t="s">
        <v>10085</v>
      </c>
      <c r="AA1547" t="str">
        <f t="shared" si="144"/>
        <v>2026-01</v>
      </c>
      <c r="AB1547" t="str">
        <f t="shared" si="145"/>
        <v>H1_2026</v>
      </c>
      <c r="AC1547">
        <f t="shared" si="146"/>
        <v>2633007.6</v>
      </c>
      <c r="AD1547">
        <f t="shared" si="147"/>
        <v>306</v>
      </c>
      <c r="AE1547">
        <f t="shared" si="148"/>
        <v>632880.34</v>
      </c>
      <c r="AF1547" t="str">
        <f t="shared" si="149"/>
        <v>Paid</v>
      </c>
    </row>
    <row r="1548" spans="1:32" ht="27.75" thickBot="1" x14ac:dyDescent="0.35">
      <c r="A1548" s="2" t="s">
        <v>10107</v>
      </c>
      <c r="B1548" s="2" t="s">
        <v>27</v>
      </c>
      <c r="C1548" s="2" t="s">
        <v>28</v>
      </c>
      <c r="D1548" s="2" t="s">
        <v>97</v>
      </c>
      <c r="E1548" s="2" t="s">
        <v>9159</v>
      </c>
      <c r="F1548" s="2" t="s">
        <v>8445</v>
      </c>
      <c r="G1548" s="2" t="s">
        <v>32</v>
      </c>
      <c r="H1548" s="1"/>
      <c r="I1548" s="2" t="s">
        <v>33</v>
      </c>
      <c r="J1548" s="2" t="s">
        <v>34</v>
      </c>
      <c r="K1548" s="2" t="s">
        <v>10108</v>
      </c>
      <c r="L1548" s="2" t="s">
        <v>10109</v>
      </c>
      <c r="M1548" s="2" t="s">
        <v>6146</v>
      </c>
      <c r="N1548" s="2" t="s">
        <v>38</v>
      </c>
      <c r="O1548" s="2" t="s">
        <v>1007</v>
      </c>
      <c r="P1548" s="2" t="s">
        <v>7876</v>
      </c>
      <c r="Q1548" s="2" t="s">
        <v>10110</v>
      </c>
      <c r="R1548" s="2" t="s">
        <v>40</v>
      </c>
      <c r="S1548" s="2" t="s">
        <v>10111</v>
      </c>
      <c r="T1548" s="2" t="s">
        <v>1178</v>
      </c>
      <c r="U1548" s="2" t="s">
        <v>10112</v>
      </c>
      <c r="V1548" s="2" t="s">
        <v>10113</v>
      </c>
      <c r="W1548" s="1"/>
      <c r="X1548" s="2" t="s">
        <v>201</v>
      </c>
      <c r="Y1548" s="2" t="s">
        <v>10085</v>
      </c>
      <c r="AA1548" t="str">
        <f t="shared" si="144"/>
        <v>2026-01</v>
      </c>
      <c r="AB1548" t="str">
        <f t="shared" si="145"/>
        <v>H1_2026</v>
      </c>
      <c r="AC1548">
        <f t="shared" si="146"/>
        <v>1147337.3600000001</v>
      </c>
      <c r="AD1548">
        <f t="shared" si="147"/>
        <v>113</v>
      </c>
      <c r="AE1548">
        <f t="shared" si="148"/>
        <v>277237.36</v>
      </c>
      <c r="AF1548" t="str">
        <f t="shared" si="149"/>
        <v>Paid</v>
      </c>
    </row>
    <row r="1549" spans="1:32" ht="17.25" thickBot="1" x14ac:dyDescent="0.35">
      <c r="A1549" s="2" t="s">
        <v>10114</v>
      </c>
      <c r="B1549" s="2" t="s">
        <v>27</v>
      </c>
      <c r="C1549" s="2" t="s">
        <v>28</v>
      </c>
      <c r="D1549" s="2" t="s">
        <v>97</v>
      </c>
      <c r="E1549" s="2" t="s">
        <v>9159</v>
      </c>
      <c r="F1549" s="2" t="s">
        <v>8445</v>
      </c>
      <c r="G1549" s="2" t="s">
        <v>32</v>
      </c>
      <c r="H1549" s="1"/>
      <c r="I1549" s="2" t="s">
        <v>33</v>
      </c>
      <c r="J1549" s="2" t="s">
        <v>34</v>
      </c>
      <c r="K1549" s="2" t="s">
        <v>6251</v>
      </c>
      <c r="L1549" s="2" t="s">
        <v>6252</v>
      </c>
      <c r="M1549" s="2" t="s">
        <v>6146</v>
      </c>
      <c r="N1549" s="2" t="s">
        <v>38</v>
      </c>
      <c r="O1549" s="2" t="s">
        <v>748</v>
      </c>
      <c r="P1549" s="2" t="s">
        <v>10115</v>
      </c>
      <c r="Q1549" s="2" t="s">
        <v>10116</v>
      </c>
      <c r="R1549" s="2" t="s">
        <v>40</v>
      </c>
      <c r="S1549" s="2" t="s">
        <v>10117</v>
      </c>
      <c r="T1549" s="2" t="s">
        <v>7304</v>
      </c>
      <c r="U1549" s="2" t="s">
        <v>10118</v>
      </c>
      <c r="V1549" s="2" t="s">
        <v>10119</v>
      </c>
      <c r="W1549" s="1"/>
      <c r="X1549" s="2" t="s">
        <v>1504</v>
      </c>
      <c r="Y1549" s="2" t="s">
        <v>10085</v>
      </c>
      <c r="AA1549" t="str">
        <f t="shared" si="144"/>
        <v>2026-01</v>
      </c>
      <c r="AB1549" t="str">
        <f t="shared" si="145"/>
        <v>H1_2026</v>
      </c>
      <c r="AC1549">
        <f t="shared" si="146"/>
        <v>2786743.12</v>
      </c>
      <c r="AD1549">
        <f t="shared" si="147"/>
        <v>280</v>
      </c>
      <c r="AE1549">
        <f t="shared" si="148"/>
        <v>699470.41</v>
      </c>
      <c r="AF1549" t="str">
        <f t="shared" si="149"/>
        <v>Paid</v>
      </c>
    </row>
    <row r="1550" spans="1:32" ht="17.25" thickBot="1" x14ac:dyDescent="0.35">
      <c r="A1550" s="2" t="s">
        <v>10120</v>
      </c>
      <c r="B1550" s="2" t="s">
        <v>27</v>
      </c>
      <c r="C1550" s="2" t="s">
        <v>28</v>
      </c>
      <c r="D1550" s="2" t="s">
        <v>97</v>
      </c>
      <c r="E1550" s="2" t="s">
        <v>9159</v>
      </c>
      <c r="F1550" s="2" t="s">
        <v>8445</v>
      </c>
      <c r="G1550" s="2" t="s">
        <v>32</v>
      </c>
      <c r="H1550" s="1"/>
      <c r="I1550" s="2" t="s">
        <v>33</v>
      </c>
      <c r="J1550" s="2" t="s">
        <v>34</v>
      </c>
      <c r="K1550" s="2" t="s">
        <v>6262</v>
      </c>
      <c r="L1550" s="2" t="s">
        <v>6263</v>
      </c>
      <c r="M1550" s="2" t="s">
        <v>6146</v>
      </c>
      <c r="N1550" s="2" t="s">
        <v>38</v>
      </c>
      <c r="O1550" s="2" t="s">
        <v>10121</v>
      </c>
      <c r="P1550" s="2" t="s">
        <v>4430</v>
      </c>
      <c r="Q1550" s="2" t="s">
        <v>10122</v>
      </c>
      <c r="R1550" s="2" t="s">
        <v>40</v>
      </c>
      <c r="S1550" s="2" t="s">
        <v>10123</v>
      </c>
      <c r="T1550" s="2" t="s">
        <v>6267</v>
      </c>
      <c r="U1550" s="2" t="s">
        <v>10124</v>
      </c>
      <c r="V1550" s="2" t="s">
        <v>10125</v>
      </c>
      <c r="W1550" s="1"/>
      <c r="X1550" s="2" t="s">
        <v>10126</v>
      </c>
      <c r="Y1550" s="2" t="s">
        <v>10085</v>
      </c>
      <c r="AA1550" t="str">
        <f t="shared" si="144"/>
        <v>2026-01</v>
      </c>
      <c r="AB1550" t="str">
        <f t="shared" si="145"/>
        <v>H1_2026</v>
      </c>
      <c r="AC1550">
        <f t="shared" si="146"/>
        <v>29599824</v>
      </c>
      <c r="AD1550">
        <f t="shared" si="147"/>
        <v>3000</v>
      </c>
      <c r="AE1550">
        <f t="shared" si="148"/>
        <v>10236187.800000001</v>
      </c>
      <c r="AF1550" t="str">
        <f t="shared" si="149"/>
        <v>Paid</v>
      </c>
    </row>
    <row r="1551" spans="1:32" ht="17.25" thickBot="1" x14ac:dyDescent="0.35">
      <c r="A1551" s="2" t="s">
        <v>10127</v>
      </c>
      <c r="B1551" s="2" t="s">
        <v>27</v>
      </c>
      <c r="C1551" s="2" t="s">
        <v>28</v>
      </c>
      <c r="D1551" s="2" t="s">
        <v>97</v>
      </c>
      <c r="E1551" s="2" t="s">
        <v>9159</v>
      </c>
      <c r="F1551" s="2" t="s">
        <v>8445</v>
      </c>
      <c r="G1551" s="2" t="s">
        <v>32</v>
      </c>
      <c r="H1551" s="1"/>
      <c r="I1551" s="2" t="s">
        <v>33</v>
      </c>
      <c r="J1551" s="2" t="s">
        <v>34</v>
      </c>
      <c r="K1551" s="2" t="s">
        <v>6282</v>
      </c>
      <c r="L1551" s="2" t="s">
        <v>6283</v>
      </c>
      <c r="M1551" s="2" t="s">
        <v>6146</v>
      </c>
      <c r="N1551" s="2" t="s">
        <v>38</v>
      </c>
      <c r="O1551" s="2" t="s">
        <v>114</v>
      </c>
      <c r="P1551" s="2" t="s">
        <v>4912</v>
      </c>
      <c r="Q1551" s="2" t="s">
        <v>10128</v>
      </c>
      <c r="R1551" s="2" t="s">
        <v>40</v>
      </c>
      <c r="S1551" s="2" t="s">
        <v>10129</v>
      </c>
      <c r="T1551" s="2" t="s">
        <v>6287</v>
      </c>
      <c r="U1551" s="2" t="s">
        <v>10130</v>
      </c>
      <c r="V1551" s="2" t="s">
        <v>10131</v>
      </c>
      <c r="W1551" s="1"/>
      <c r="X1551" s="2" t="s">
        <v>201</v>
      </c>
      <c r="Y1551" s="2" t="s">
        <v>10085</v>
      </c>
      <c r="AA1551" t="str">
        <f t="shared" si="144"/>
        <v>2026-01</v>
      </c>
      <c r="AB1551" t="str">
        <f t="shared" si="145"/>
        <v>H1_2026</v>
      </c>
      <c r="AC1551">
        <f t="shared" si="146"/>
        <v>2154591.84</v>
      </c>
      <c r="AD1551">
        <f t="shared" si="147"/>
        <v>240</v>
      </c>
      <c r="AE1551">
        <f t="shared" si="148"/>
        <v>520410.02</v>
      </c>
      <c r="AF1551" t="str">
        <f t="shared" si="149"/>
        <v>Paid</v>
      </c>
    </row>
    <row r="1552" spans="1:32" ht="17.25" thickBot="1" x14ac:dyDescent="0.35">
      <c r="A1552" s="2" t="s">
        <v>10132</v>
      </c>
      <c r="B1552" s="2" t="s">
        <v>27</v>
      </c>
      <c r="C1552" s="2" t="s">
        <v>28</v>
      </c>
      <c r="D1552" s="2" t="s">
        <v>97</v>
      </c>
      <c r="E1552" s="2" t="s">
        <v>9159</v>
      </c>
      <c r="F1552" s="2" t="s">
        <v>8445</v>
      </c>
      <c r="G1552" s="2" t="s">
        <v>32</v>
      </c>
      <c r="H1552" s="1"/>
      <c r="I1552" s="2" t="s">
        <v>33</v>
      </c>
      <c r="J1552" s="2" t="s">
        <v>34</v>
      </c>
      <c r="K1552" s="2" t="s">
        <v>1896</v>
      </c>
      <c r="L1552" s="2" t="s">
        <v>1897</v>
      </c>
      <c r="M1552" s="2" t="s">
        <v>1887</v>
      </c>
      <c r="N1552" s="2" t="s">
        <v>38</v>
      </c>
      <c r="O1552" s="2" t="s">
        <v>10133</v>
      </c>
      <c r="P1552" s="2" t="s">
        <v>10134</v>
      </c>
      <c r="Q1552" s="2" t="s">
        <v>10135</v>
      </c>
      <c r="R1552" s="2" t="s">
        <v>40</v>
      </c>
      <c r="S1552" s="2" t="s">
        <v>10136</v>
      </c>
      <c r="T1552" s="2" t="s">
        <v>1901</v>
      </c>
      <c r="U1552" s="2" t="s">
        <v>10137</v>
      </c>
      <c r="V1552" s="2" t="s">
        <v>10138</v>
      </c>
      <c r="W1552" s="1"/>
      <c r="X1552" s="2" t="s">
        <v>1893</v>
      </c>
      <c r="Y1552" s="2" t="s">
        <v>10085</v>
      </c>
      <c r="AA1552" t="str">
        <f t="shared" si="144"/>
        <v>2026-01</v>
      </c>
      <c r="AB1552" t="str">
        <f t="shared" si="145"/>
        <v>H1_2026</v>
      </c>
      <c r="AC1552">
        <f t="shared" si="146"/>
        <v>12468065.4</v>
      </c>
      <c r="AD1552">
        <f t="shared" si="147"/>
        <v>2520</v>
      </c>
      <c r="AE1552">
        <f t="shared" si="148"/>
        <v>3237305.4</v>
      </c>
      <c r="AF1552" t="str">
        <f t="shared" si="149"/>
        <v>Paid</v>
      </c>
    </row>
    <row r="1553" spans="1:32" ht="17.25" thickBot="1" x14ac:dyDescent="0.35">
      <c r="A1553" s="2" t="s">
        <v>10139</v>
      </c>
      <c r="B1553" s="2" t="s">
        <v>27</v>
      </c>
      <c r="C1553" s="2" t="s">
        <v>28</v>
      </c>
      <c r="D1553" s="2" t="s">
        <v>97</v>
      </c>
      <c r="E1553" s="2" t="s">
        <v>9159</v>
      </c>
      <c r="F1553" s="2" t="s">
        <v>8445</v>
      </c>
      <c r="G1553" s="2" t="s">
        <v>32</v>
      </c>
      <c r="H1553" s="1"/>
      <c r="I1553" s="2" t="s">
        <v>33</v>
      </c>
      <c r="J1553" s="2" t="s">
        <v>34</v>
      </c>
      <c r="K1553" s="2" t="s">
        <v>4867</v>
      </c>
      <c r="L1553" s="2" t="s">
        <v>4868</v>
      </c>
      <c r="M1553" s="2" t="s">
        <v>1887</v>
      </c>
      <c r="N1553" s="2" t="s">
        <v>38</v>
      </c>
      <c r="O1553" s="2" t="s">
        <v>4221</v>
      </c>
      <c r="P1553" s="2" t="s">
        <v>10134</v>
      </c>
      <c r="Q1553" s="2" t="s">
        <v>10140</v>
      </c>
      <c r="R1553" s="2" t="s">
        <v>40</v>
      </c>
      <c r="S1553" s="2" t="s">
        <v>10141</v>
      </c>
      <c r="T1553" s="2" t="s">
        <v>1901</v>
      </c>
      <c r="U1553" s="2" t="s">
        <v>10142</v>
      </c>
      <c r="V1553" s="2" t="s">
        <v>10143</v>
      </c>
      <c r="W1553" s="1"/>
      <c r="X1553" s="2" t="s">
        <v>1893</v>
      </c>
      <c r="Y1553" s="2" t="s">
        <v>10085</v>
      </c>
      <c r="AA1553" t="str">
        <f t="shared" si="144"/>
        <v>2026-01</v>
      </c>
      <c r="AB1553" t="str">
        <f t="shared" si="145"/>
        <v>H1_2026</v>
      </c>
      <c r="AC1553">
        <f t="shared" si="146"/>
        <v>5046597.9000000004</v>
      </c>
      <c r="AD1553">
        <f t="shared" si="147"/>
        <v>1020</v>
      </c>
      <c r="AE1553">
        <f t="shared" si="148"/>
        <v>1310337.8999999999</v>
      </c>
      <c r="AF1553" t="str">
        <f t="shared" si="149"/>
        <v>Paid</v>
      </c>
    </row>
    <row r="1554" spans="1:32" ht="17.25" thickBot="1" x14ac:dyDescent="0.35">
      <c r="A1554" s="2" t="s">
        <v>10144</v>
      </c>
      <c r="B1554" s="2" t="s">
        <v>27</v>
      </c>
      <c r="C1554" s="2" t="s">
        <v>28</v>
      </c>
      <c r="D1554" s="2" t="s">
        <v>97</v>
      </c>
      <c r="E1554" s="2" t="s">
        <v>9159</v>
      </c>
      <c r="F1554" s="2" t="s">
        <v>8445</v>
      </c>
      <c r="G1554" s="2" t="s">
        <v>32</v>
      </c>
      <c r="H1554" s="1"/>
      <c r="I1554" s="2" t="s">
        <v>33</v>
      </c>
      <c r="J1554" s="2" t="s">
        <v>34</v>
      </c>
      <c r="K1554" s="2" t="s">
        <v>4884</v>
      </c>
      <c r="L1554" s="2" t="s">
        <v>4885</v>
      </c>
      <c r="M1554" s="2" t="s">
        <v>1887</v>
      </c>
      <c r="N1554" s="2" t="s">
        <v>38</v>
      </c>
      <c r="O1554" s="2" t="s">
        <v>206</v>
      </c>
      <c r="P1554" s="2" t="s">
        <v>8851</v>
      </c>
      <c r="Q1554" s="2" t="s">
        <v>10145</v>
      </c>
      <c r="R1554" s="2" t="s">
        <v>40</v>
      </c>
      <c r="S1554" s="2" t="s">
        <v>10146</v>
      </c>
      <c r="T1554" s="2" t="s">
        <v>4890</v>
      </c>
      <c r="U1554" s="2" t="s">
        <v>10147</v>
      </c>
      <c r="V1554" s="2" t="s">
        <v>10148</v>
      </c>
      <c r="W1554" s="1"/>
      <c r="X1554" s="2" t="s">
        <v>1893</v>
      </c>
      <c r="Y1554" s="2" t="s">
        <v>10085</v>
      </c>
      <c r="AA1554" t="str">
        <f t="shared" si="144"/>
        <v>2026-01</v>
      </c>
      <c r="AB1554" t="str">
        <f t="shared" si="145"/>
        <v>H1_2026</v>
      </c>
      <c r="AC1554">
        <f t="shared" si="146"/>
        <v>4001139</v>
      </c>
      <c r="AD1554">
        <f t="shared" si="147"/>
        <v>500</v>
      </c>
      <c r="AE1554">
        <f t="shared" si="148"/>
        <v>1041139</v>
      </c>
      <c r="AF1554" t="str">
        <f t="shared" si="149"/>
        <v>Paid</v>
      </c>
    </row>
    <row r="1555" spans="1:32" ht="17.25" thickBot="1" x14ac:dyDescent="0.35">
      <c r="A1555" s="2" t="s">
        <v>10149</v>
      </c>
      <c r="B1555" s="2" t="s">
        <v>27</v>
      </c>
      <c r="C1555" s="2" t="s">
        <v>28</v>
      </c>
      <c r="D1555" s="2" t="s">
        <v>97</v>
      </c>
      <c r="E1555" s="2" t="s">
        <v>9159</v>
      </c>
      <c r="F1555" s="2" t="s">
        <v>8445</v>
      </c>
      <c r="G1555" s="2" t="s">
        <v>32</v>
      </c>
      <c r="H1555" s="1"/>
      <c r="I1555" s="2" t="s">
        <v>33</v>
      </c>
      <c r="J1555" s="2" t="s">
        <v>34</v>
      </c>
      <c r="K1555" s="2" t="s">
        <v>2002</v>
      </c>
      <c r="L1555" s="2" t="s">
        <v>2003</v>
      </c>
      <c r="M1555" s="2" t="s">
        <v>1887</v>
      </c>
      <c r="N1555" s="2" t="s">
        <v>38</v>
      </c>
      <c r="O1555" s="2" t="s">
        <v>1836</v>
      </c>
      <c r="P1555" s="2" t="s">
        <v>4122</v>
      </c>
      <c r="Q1555" s="2" t="s">
        <v>10150</v>
      </c>
      <c r="R1555" s="2" t="s">
        <v>40</v>
      </c>
      <c r="S1555" s="2" t="s">
        <v>10151</v>
      </c>
      <c r="T1555" s="2" t="s">
        <v>2008</v>
      </c>
      <c r="U1555" s="2" t="s">
        <v>10152</v>
      </c>
      <c r="V1555" s="2" t="s">
        <v>10153</v>
      </c>
      <c r="W1555" s="1"/>
      <c r="X1555" s="2" t="s">
        <v>1893</v>
      </c>
      <c r="Y1555" s="2" t="s">
        <v>10085</v>
      </c>
      <c r="AA1555" t="str">
        <f t="shared" si="144"/>
        <v>2026-01</v>
      </c>
      <c r="AB1555" t="str">
        <f t="shared" si="145"/>
        <v>H1_2026</v>
      </c>
      <c r="AC1555">
        <f t="shared" si="146"/>
        <v>3079299.52</v>
      </c>
      <c r="AD1555">
        <f t="shared" si="147"/>
        <v>220</v>
      </c>
      <c r="AE1555">
        <f t="shared" si="148"/>
        <v>800099.52</v>
      </c>
      <c r="AF1555" t="str">
        <f t="shared" si="149"/>
        <v>Paid</v>
      </c>
    </row>
    <row r="1556" spans="1:32" ht="27.75" thickBot="1" x14ac:dyDescent="0.35">
      <c r="A1556" s="2" t="s">
        <v>10154</v>
      </c>
      <c r="B1556" s="2" t="s">
        <v>27</v>
      </c>
      <c r="C1556" s="2" t="s">
        <v>28</v>
      </c>
      <c r="D1556" s="2" t="s">
        <v>97</v>
      </c>
      <c r="E1556" s="2" t="s">
        <v>9159</v>
      </c>
      <c r="F1556" s="2" t="s">
        <v>8445</v>
      </c>
      <c r="G1556" s="2" t="s">
        <v>32</v>
      </c>
      <c r="H1556" s="1"/>
      <c r="I1556" s="2" t="s">
        <v>33</v>
      </c>
      <c r="J1556" s="2" t="s">
        <v>34</v>
      </c>
      <c r="K1556" s="2" t="s">
        <v>5864</v>
      </c>
      <c r="L1556" s="2" t="s">
        <v>5865</v>
      </c>
      <c r="M1556" s="2" t="s">
        <v>1887</v>
      </c>
      <c r="N1556" s="2" t="s">
        <v>38</v>
      </c>
      <c r="O1556" s="2" t="s">
        <v>149</v>
      </c>
      <c r="P1556" s="2" t="s">
        <v>3630</v>
      </c>
      <c r="Q1556" s="2" t="s">
        <v>10155</v>
      </c>
      <c r="R1556" s="2" t="s">
        <v>40</v>
      </c>
      <c r="S1556" s="2" t="s">
        <v>10156</v>
      </c>
      <c r="T1556" s="2" t="s">
        <v>2079</v>
      </c>
      <c r="U1556" s="2" t="s">
        <v>10157</v>
      </c>
      <c r="V1556" s="2" t="s">
        <v>10158</v>
      </c>
      <c r="W1556" s="1"/>
      <c r="X1556" s="2" t="s">
        <v>1893</v>
      </c>
      <c r="Y1556" s="2" t="s">
        <v>10085</v>
      </c>
      <c r="AA1556" t="str">
        <f t="shared" si="144"/>
        <v>2026-01</v>
      </c>
      <c r="AB1556" t="str">
        <f t="shared" si="145"/>
        <v>H1_2026</v>
      </c>
      <c r="AC1556">
        <f t="shared" si="146"/>
        <v>3450444.6</v>
      </c>
      <c r="AD1556">
        <f t="shared" si="147"/>
        <v>300</v>
      </c>
      <c r="AE1556">
        <f t="shared" si="148"/>
        <v>897444.6</v>
      </c>
      <c r="AF1556" t="str">
        <f t="shared" si="149"/>
        <v>Paid</v>
      </c>
    </row>
    <row r="1557" spans="1:32" ht="17.25" thickBot="1" x14ac:dyDescent="0.35">
      <c r="A1557" s="2" t="s">
        <v>10159</v>
      </c>
      <c r="B1557" s="2" t="s">
        <v>27</v>
      </c>
      <c r="C1557" s="2" t="s">
        <v>28</v>
      </c>
      <c r="D1557" s="2" t="s">
        <v>97</v>
      </c>
      <c r="E1557" s="2" t="s">
        <v>9159</v>
      </c>
      <c r="F1557" s="2" t="s">
        <v>8445</v>
      </c>
      <c r="G1557" s="2" t="s">
        <v>32</v>
      </c>
      <c r="H1557" s="1"/>
      <c r="I1557" s="2" t="s">
        <v>33</v>
      </c>
      <c r="J1557" s="2" t="s">
        <v>34</v>
      </c>
      <c r="K1557" s="2" t="s">
        <v>2082</v>
      </c>
      <c r="L1557" s="2" t="s">
        <v>2083</v>
      </c>
      <c r="M1557" s="2" t="s">
        <v>1887</v>
      </c>
      <c r="N1557" s="2" t="s">
        <v>38</v>
      </c>
      <c r="O1557" s="2" t="s">
        <v>428</v>
      </c>
      <c r="P1557" s="2" t="s">
        <v>3630</v>
      </c>
      <c r="Q1557" s="2" t="s">
        <v>10160</v>
      </c>
      <c r="R1557" s="2" t="s">
        <v>40</v>
      </c>
      <c r="S1557" s="2" t="s">
        <v>10161</v>
      </c>
      <c r="T1557" s="2" t="s">
        <v>2079</v>
      </c>
      <c r="U1557" s="2" t="s">
        <v>10162</v>
      </c>
      <c r="V1557" s="2" t="s">
        <v>10163</v>
      </c>
      <c r="W1557" s="1"/>
      <c r="X1557" s="2" t="s">
        <v>1893</v>
      </c>
      <c r="Y1557" s="2" t="s">
        <v>10085</v>
      </c>
      <c r="AA1557" t="str">
        <f t="shared" si="144"/>
        <v>2026-01</v>
      </c>
      <c r="AB1557" t="str">
        <f t="shared" si="145"/>
        <v>H1_2026</v>
      </c>
      <c r="AC1557">
        <f t="shared" si="146"/>
        <v>2875370.5</v>
      </c>
      <c r="AD1557">
        <f t="shared" si="147"/>
        <v>250</v>
      </c>
      <c r="AE1557">
        <f t="shared" si="148"/>
        <v>747870.5</v>
      </c>
      <c r="AF1557" t="str">
        <f t="shared" si="149"/>
        <v>Paid</v>
      </c>
    </row>
    <row r="1558" spans="1:32" ht="17.25" thickBot="1" x14ac:dyDescent="0.35">
      <c r="A1558" s="2" t="s">
        <v>10164</v>
      </c>
      <c r="B1558" s="2" t="s">
        <v>27</v>
      </c>
      <c r="C1558" s="2" t="s">
        <v>28</v>
      </c>
      <c r="D1558" s="2" t="s">
        <v>97</v>
      </c>
      <c r="E1558" s="2" t="s">
        <v>9159</v>
      </c>
      <c r="F1558" s="2" t="s">
        <v>8445</v>
      </c>
      <c r="G1558" s="2" t="s">
        <v>32</v>
      </c>
      <c r="H1558" s="1"/>
      <c r="I1558" s="2" t="s">
        <v>33</v>
      </c>
      <c r="J1558" s="2" t="s">
        <v>34</v>
      </c>
      <c r="K1558" s="2" t="s">
        <v>10165</v>
      </c>
      <c r="L1558" s="2" t="s">
        <v>10166</v>
      </c>
      <c r="M1558" s="2" t="s">
        <v>7510</v>
      </c>
      <c r="N1558" s="2" t="s">
        <v>38</v>
      </c>
      <c r="O1558" s="2" t="s">
        <v>79</v>
      </c>
      <c r="P1558" s="2" t="s">
        <v>5817</v>
      </c>
      <c r="Q1558" s="2" t="s">
        <v>10167</v>
      </c>
      <c r="R1558" s="2" t="s">
        <v>40</v>
      </c>
      <c r="S1558" s="2" t="s">
        <v>10168</v>
      </c>
      <c r="T1558" s="2" t="s">
        <v>2101</v>
      </c>
      <c r="U1558" s="2" t="s">
        <v>5740</v>
      </c>
      <c r="V1558" s="2" t="s">
        <v>10169</v>
      </c>
      <c r="W1558" s="1"/>
      <c r="X1558" s="2" t="s">
        <v>897</v>
      </c>
      <c r="Y1558" s="2" t="s">
        <v>10170</v>
      </c>
      <c r="AA1558" t="str">
        <f t="shared" si="144"/>
        <v>2026-01</v>
      </c>
      <c r="AB1558" t="str">
        <f t="shared" si="145"/>
        <v>H1_2026</v>
      </c>
      <c r="AC1558">
        <f t="shared" si="146"/>
        <v>91133.01</v>
      </c>
      <c r="AD1558">
        <f t="shared" si="147"/>
        <v>10</v>
      </c>
      <c r="AE1558">
        <f t="shared" si="148"/>
        <v>19133.009999999998</v>
      </c>
      <c r="AF1558" t="str">
        <f t="shared" si="149"/>
        <v>Paid</v>
      </c>
    </row>
    <row r="1559" spans="1:32" ht="17.25" thickBot="1" x14ac:dyDescent="0.35">
      <c r="A1559" s="2" t="s">
        <v>10171</v>
      </c>
      <c r="B1559" s="2" t="s">
        <v>27</v>
      </c>
      <c r="C1559" s="2" t="s">
        <v>28</v>
      </c>
      <c r="D1559" s="2" t="s">
        <v>97</v>
      </c>
      <c r="E1559" s="2" t="s">
        <v>9159</v>
      </c>
      <c r="F1559" s="2" t="s">
        <v>8445</v>
      </c>
      <c r="G1559" s="2" t="s">
        <v>32</v>
      </c>
      <c r="H1559" s="1"/>
      <c r="I1559" s="2" t="s">
        <v>33</v>
      </c>
      <c r="J1559" s="2" t="s">
        <v>34</v>
      </c>
      <c r="K1559" s="2" t="s">
        <v>10172</v>
      </c>
      <c r="L1559" s="2" t="s">
        <v>10173</v>
      </c>
      <c r="M1559" s="2" t="s">
        <v>7510</v>
      </c>
      <c r="N1559" s="2" t="s">
        <v>38</v>
      </c>
      <c r="O1559" s="2" t="s">
        <v>1669</v>
      </c>
      <c r="P1559" s="2" t="s">
        <v>8791</v>
      </c>
      <c r="Q1559" s="2" t="s">
        <v>10174</v>
      </c>
      <c r="R1559" s="2" t="s">
        <v>40</v>
      </c>
      <c r="S1559" s="2" t="s">
        <v>10175</v>
      </c>
      <c r="T1559" s="2" t="s">
        <v>706</v>
      </c>
      <c r="U1559" s="2" t="s">
        <v>10176</v>
      </c>
      <c r="V1559" s="2" t="s">
        <v>10177</v>
      </c>
      <c r="W1559" s="1"/>
      <c r="X1559" s="2" t="s">
        <v>897</v>
      </c>
      <c r="Y1559" s="2" t="s">
        <v>10170</v>
      </c>
      <c r="AA1559" t="str">
        <f t="shared" si="144"/>
        <v>2026-01</v>
      </c>
      <c r="AB1559" t="str">
        <f t="shared" si="145"/>
        <v>H1_2026</v>
      </c>
      <c r="AC1559">
        <f t="shared" si="146"/>
        <v>2095958.45</v>
      </c>
      <c r="AD1559">
        <f t="shared" si="147"/>
        <v>197</v>
      </c>
      <c r="AE1559">
        <f t="shared" si="148"/>
        <v>441158.45</v>
      </c>
      <c r="AF1559" t="str">
        <f t="shared" si="149"/>
        <v>Paid</v>
      </c>
    </row>
    <row r="1560" spans="1:32" ht="17.25" thickBot="1" x14ac:dyDescent="0.35">
      <c r="A1560" s="2" t="s">
        <v>10178</v>
      </c>
      <c r="B1560" s="2" t="s">
        <v>27</v>
      </c>
      <c r="C1560" s="2" t="s">
        <v>28</v>
      </c>
      <c r="D1560" s="2" t="s">
        <v>97</v>
      </c>
      <c r="E1560" s="2" t="s">
        <v>9159</v>
      </c>
      <c r="F1560" s="2" t="s">
        <v>8445</v>
      </c>
      <c r="G1560" s="2" t="s">
        <v>32</v>
      </c>
      <c r="H1560" s="1"/>
      <c r="I1560" s="2" t="s">
        <v>33</v>
      </c>
      <c r="J1560" s="2" t="s">
        <v>34</v>
      </c>
      <c r="K1560" s="2" t="s">
        <v>10179</v>
      </c>
      <c r="L1560" s="2" t="s">
        <v>10180</v>
      </c>
      <c r="M1560" s="2" t="s">
        <v>7510</v>
      </c>
      <c r="N1560" s="2" t="s">
        <v>38</v>
      </c>
      <c r="O1560" s="2" t="s">
        <v>416</v>
      </c>
      <c r="P1560" s="2" t="s">
        <v>10181</v>
      </c>
      <c r="Q1560" s="2" t="s">
        <v>10182</v>
      </c>
      <c r="R1560" s="2" t="s">
        <v>40</v>
      </c>
      <c r="S1560" s="2" t="s">
        <v>10183</v>
      </c>
      <c r="T1560" s="2" t="s">
        <v>1747</v>
      </c>
      <c r="U1560" s="2" t="s">
        <v>7209</v>
      </c>
      <c r="V1560" s="2" t="s">
        <v>10184</v>
      </c>
      <c r="W1560" s="1"/>
      <c r="X1560" s="2" t="s">
        <v>796</v>
      </c>
      <c r="Y1560" s="2" t="s">
        <v>10170</v>
      </c>
      <c r="AA1560" t="str">
        <f t="shared" si="144"/>
        <v>2026-01</v>
      </c>
      <c r="AB1560" t="str">
        <f t="shared" si="145"/>
        <v>H1_2026</v>
      </c>
      <c r="AC1560">
        <f t="shared" si="146"/>
        <v>558718.78</v>
      </c>
      <c r="AD1560">
        <f t="shared" si="147"/>
        <v>49</v>
      </c>
      <c r="AE1560">
        <f t="shared" si="148"/>
        <v>117718.78</v>
      </c>
      <c r="AF1560" t="str">
        <f t="shared" si="149"/>
        <v>Paid</v>
      </c>
    </row>
    <row r="1561" spans="1:32" ht="27.75" thickBot="1" x14ac:dyDescent="0.35">
      <c r="A1561" s="2" t="s">
        <v>10185</v>
      </c>
      <c r="B1561" s="2" t="s">
        <v>27</v>
      </c>
      <c r="C1561" s="2" t="s">
        <v>28</v>
      </c>
      <c r="D1561" s="2" t="s">
        <v>97</v>
      </c>
      <c r="E1561" s="2" t="s">
        <v>9159</v>
      </c>
      <c r="F1561" s="2" t="s">
        <v>8445</v>
      </c>
      <c r="G1561" s="2" t="s">
        <v>32</v>
      </c>
      <c r="H1561" s="1"/>
      <c r="I1561" s="2" t="s">
        <v>33</v>
      </c>
      <c r="J1561" s="2" t="s">
        <v>34</v>
      </c>
      <c r="K1561" s="2" t="s">
        <v>10186</v>
      </c>
      <c r="L1561" s="2" t="s">
        <v>10187</v>
      </c>
      <c r="M1561" s="2" t="s">
        <v>7510</v>
      </c>
      <c r="N1561" s="2" t="s">
        <v>38</v>
      </c>
      <c r="O1561" s="2" t="s">
        <v>1537</v>
      </c>
      <c r="P1561" s="2" t="s">
        <v>8791</v>
      </c>
      <c r="Q1561" s="2" t="s">
        <v>10188</v>
      </c>
      <c r="R1561" s="2" t="s">
        <v>40</v>
      </c>
      <c r="S1561" s="2" t="s">
        <v>10189</v>
      </c>
      <c r="T1561" s="2" t="s">
        <v>706</v>
      </c>
      <c r="U1561" s="2" t="s">
        <v>10190</v>
      </c>
      <c r="V1561" s="2" t="s">
        <v>10191</v>
      </c>
      <c r="W1561" s="1"/>
      <c r="X1561" s="2" t="s">
        <v>897</v>
      </c>
      <c r="Y1561" s="2" t="s">
        <v>10170</v>
      </c>
      <c r="AA1561" t="str">
        <f t="shared" si="144"/>
        <v>2026-01</v>
      </c>
      <c r="AB1561" t="str">
        <f t="shared" si="145"/>
        <v>H1_2026</v>
      </c>
      <c r="AC1561">
        <f t="shared" si="146"/>
        <v>1840613.26</v>
      </c>
      <c r="AD1561">
        <f t="shared" si="147"/>
        <v>173</v>
      </c>
      <c r="AE1561">
        <f t="shared" si="148"/>
        <v>387413.26</v>
      </c>
      <c r="AF1561" t="str">
        <f t="shared" si="149"/>
        <v>Paid</v>
      </c>
    </row>
    <row r="1562" spans="1:32" ht="17.25" thickBot="1" x14ac:dyDescent="0.35">
      <c r="A1562" s="2" t="s">
        <v>10192</v>
      </c>
      <c r="B1562" s="2" t="s">
        <v>27</v>
      </c>
      <c r="C1562" s="2" t="s">
        <v>28</v>
      </c>
      <c r="D1562" s="2" t="s">
        <v>97</v>
      </c>
      <c r="E1562" s="2" t="s">
        <v>10193</v>
      </c>
      <c r="F1562" s="2" t="s">
        <v>8445</v>
      </c>
      <c r="G1562" s="2" t="s">
        <v>32</v>
      </c>
      <c r="H1562" s="1"/>
      <c r="I1562" s="2" t="s">
        <v>33</v>
      </c>
      <c r="J1562" s="2" t="s">
        <v>34</v>
      </c>
      <c r="K1562" s="2" t="s">
        <v>7397</v>
      </c>
      <c r="L1562" s="2" t="s">
        <v>7398</v>
      </c>
      <c r="M1562" s="2" t="s">
        <v>772</v>
      </c>
      <c r="N1562" s="2" t="s">
        <v>38</v>
      </c>
      <c r="O1562" s="2" t="s">
        <v>877</v>
      </c>
      <c r="P1562" s="2" t="s">
        <v>10194</v>
      </c>
      <c r="Q1562" s="2" t="s">
        <v>10195</v>
      </c>
      <c r="R1562" s="2" t="s">
        <v>40</v>
      </c>
      <c r="S1562" s="2" t="s">
        <v>10196</v>
      </c>
      <c r="T1562" s="2" t="s">
        <v>5027</v>
      </c>
      <c r="U1562" s="2" t="s">
        <v>5036</v>
      </c>
      <c r="V1562" s="2" t="s">
        <v>10197</v>
      </c>
      <c r="W1562" s="1"/>
      <c r="X1562" s="2" t="s">
        <v>838</v>
      </c>
      <c r="Y1562" s="2" t="s">
        <v>10198</v>
      </c>
      <c r="AA1562" t="str">
        <f t="shared" si="144"/>
        <v>2026-01</v>
      </c>
      <c r="AB1562" t="str">
        <f t="shared" si="145"/>
        <v>H1_2026</v>
      </c>
      <c r="AC1562">
        <f t="shared" si="146"/>
        <v>14219460</v>
      </c>
      <c r="AD1562">
        <f t="shared" si="147"/>
        <v>100</v>
      </c>
      <c r="AE1562">
        <f t="shared" si="148"/>
        <v>2969460</v>
      </c>
      <c r="AF1562" t="str">
        <f t="shared" si="149"/>
        <v>Paid</v>
      </c>
    </row>
    <row r="1563" spans="1:32" ht="17.25" thickBot="1" x14ac:dyDescent="0.35">
      <c r="A1563" s="2" t="s">
        <v>10199</v>
      </c>
      <c r="B1563" s="2" t="s">
        <v>27</v>
      </c>
      <c r="C1563" s="2" t="s">
        <v>28</v>
      </c>
      <c r="D1563" s="2" t="s">
        <v>97</v>
      </c>
      <c r="E1563" s="2" t="s">
        <v>10193</v>
      </c>
      <c r="F1563" s="2" t="s">
        <v>8445</v>
      </c>
      <c r="G1563" s="2" t="s">
        <v>32</v>
      </c>
      <c r="H1563" s="1"/>
      <c r="I1563" s="2" t="s">
        <v>33</v>
      </c>
      <c r="J1563" s="2" t="s">
        <v>34</v>
      </c>
      <c r="K1563" s="2" t="s">
        <v>10200</v>
      </c>
      <c r="L1563" s="2" t="s">
        <v>10201</v>
      </c>
      <c r="M1563" s="2" t="s">
        <v>772</v>
      </c>
      <c r="N1563" s="2" t="s">
        <v>38</v>
      </c>
      <c r="O1563" s="2" t="s">
        <v>877</v>
      </c>
      <c r="P1563" s="2" t="s">
        <v>10194</v>
      </c>
      <c r="Q1563" s="2" t="s">
        <v>10195</v>
      </c>
      <c r="R1563" s="2" t="s">
        <v>40</v>
      </c>
      <c r="S1563" s="2" t="s">
        <v>10196</v>
      </c>
      <c r="T1563" s="2" t="s">
        <v>5027</v>
      </c>
      <c r="U1563" s="2" t="s">
        <v>5036</v>
      </c>
      <c r="V1563" s="2" t="s">
        <v>10197</v>
      </c>
      <c r="W1563" s="1"/>
      <c r="X1563" s="2" t="s">
        <v>838</v>
      </c>
      <c r="Y1563" s="2" t="s">
        <v>10198</v>
      </c>
      <c r="AA1563" t="str">
        <f t="shared" si="144"/>
        <v>2026-01</v>
      </c>
      <c r="AB1563" t="str">
        <f t="shared" si="145"/>
        <v>H1_2026</v>
      </c>
      <c r="AC1563">
        <f t="shared" si="146"/>
        <v>14219460</v>
      </c>
      <c r="AD1563">
        <f t="shared" si="147"/>
        <v>100</v>
      </c>
      <c r="AE1563">
        <f t="shared" si="148"/>
        <v>2969460</v>
      </c>
      <c r="AF1563" t="str">
        <f t="shared" si="149"/>
        <v>Paid</v>
      </c>
    </row>
    <row r="1564" spans="1:32" ht="17.25" thickBot="1" x14ac:dyDescent="0.35">
      <c r="A1564" s="2" t="s">
        <v>10202</v>
      </c>
      <c r="B1564" s="2" t="s">
        <v>27</v>
      </c>
      <c r="C1564" s="2" t="s">
        <v>28</v>
      </c>
      <c r="D1564" s="2" t="s">
        <v>97</v>
      </c>
      <c r="E1564" s="2" t="s">
        <v>10193</v>
      </c>
      <c r="F1564" s="2" t="s">
        <v>8445</v>
      </c>
      <c r="G1564" s="2" t="s">
        <v>32</v>
      </c>
      <c r="H1564" s="1"/>
      <c r="I1564" s="2" t="s">
        <v>33</v>
      </c>
      <c r="J1564" s="2" t="s">
        <v>34</v>
      </c>
      <c r="K1564" s="2" t="s">
        <v>5032</v>
      </c>
      <c r="L1564" s="2" t="s">
        <v>5033</v>
      </c>
      <c r="M1564" s="2" t="s">
        <v>772</v>
      </c>
      <c r="N1564" s="2" t="s">
        <v>38</v>
      </c>
      <c r="O1564" s="2" t="s">
        <v>428</v>
      </c>
      <c r="P1564" s="2" t="s">
        <v>10194</v>
      </c>
      <c r="Q1564" s="2" t="s">
        <v>10203</v>
      </c>
      <c r="R1564" s="2" t="s">
        <v>40</v>
      </c>
      <c r="S1564" s="2" t="s">
        <v>10204</v>
      </c>
      <c r="T1564" s="2" t="s">
        <v>5027</v>
      </c>
      <c r="U1564" s="2" t="s">
        <v>10205</v>
      </c>
      <c r="V1564" s="2" t="s">
        <v>10206</v>
      </c>
      <c r="W1564" s="1"/>
      <c r="X1564" s="2" t="s">
        <v>838</v>
      </c>
      <c r="Y1564" s="2" t="s">
        <v>10198</v>
      </c>
      <c r="AA1564" t="str">
        <f t="shared" si="144"/>
        <v>2026-01</v>
      </c>
      <c r="AB1564" t="str">
        <f t="shared" si="145"/>
        <v>H1_2026</v>
      </c>
      <c r="AC1564">
        <f t="shared" si="146"/>
        <v>35548650</v>
      </c>
      <c r="AD1564">
        <f t="shared" si="147"/>
        <v>250</v>
      </c>
      <c r="AE1564">
        <f t="shared" si="148"/>
        <v>7423650</v>
      </c>
      <c r="AF1564" t="str">
        <f t="shared" si="149"/>
        <v>Paid</v>
      </c>
    </row>
    <row r="1565" spans="1:32" ht="17.25" thickBot="1" x14ac:dyDescent="0.35">
      <c r="A1565" s="2" t="s">
        <v>10207</v>
      </c>
      <c r="B1565" s="2" t="s">
        <v>27</v>
      </c>
      <c r="C1565" s="2" t="s">
        <v>28</v>
      </c>
      <c r="D1565" s="2" t="s">
        <v>97</v>
      </c>
      <c r="E1565" s="2" t="s">
        <v>10193</v>
      </c>
      <c r="F1565" s="2" t="s">
        <v>8445</v>
      </c>
      <c r="G1565" s="2" t="s">
        <v>32</v>
      </c>
      <c r="H1565" s="1"/>
      <c r="I1565" s="2" t="s">
        <v>33</v>
      </c>
      <c r="J1565" s="2" t="s">
        <v>34</v>
      </c>
      <c r="K1565" s="2" t="s">
        <v>7417</v>
      </c>
      <c r="L1565" s="2" t="s">
        <v>7418</v>
      </c>
      <c r="M1565" s="2" t="s">
        <v>772</v>
      </c>
      <c r="N1565" s="2" t="s">
        <v>38</v>
      </c>
      <c r="O1565" s="2" t="s">
        <v>877</v>
      </c>
      <c r="P1565" s="2" t="s">
        <v>10194</v>
      </c>
      <c r="Q1565" s="2" t="s">
        <v>10195</v>
      </c>
      <c r="R1565" s="2" t="s">
        <v>40</v>
      </c>
      <c r="S1565" s="2" t="s">
        <v>10196</v>
      </c>
      <c r="T1565" s="2" t="s">
        <v>5027</v>
      </c>
      <c r="U1565" s="2" t="s">
        <v>5036</v>
      </c>
      <c r="V1565" s="2" t="s">
        <v>10197</v>
      </c>
      <c r="W1565" s="1"/>
      <c r="X1565" s="2" t="s">
        <v>838</v>
      </c>
      <c r="Y1565" s="2" t="s">
        <v>10198</v>
      </c>
      <c r="AA1565" t="str">
        <f t="shared" si="144"/>
        <v>2026-01</v>
      </c>
      <c r="AB1565" t="str">
        <f t="shared" si="145"/>
        <v>H1_2026</v>
      </c>
      <c r="AC1565">
        <f t="shared" si="146"/>
        <v>14219460</v>
      </c>
      <c r="AD1565">
        <f t="shared" si="147"/>
        <v>100</v>
      </c>
      <c r="AE1565">
        <f t="shared" si="148"/>
        <v>2969460</v>
      </c>
      <c r="AF1565" t="str">
        <f t="shared" si="149"/>
        <v>Paid</v>
      </c>
    </row>
    <row r="1566" spans="1:32" ht="27.75" thickBot="1" x14ac:dyDescent="0.35">
      <c r="A1566" s="2" t="s">
        <v>10208</v>
      </c>
      <c r="B1566" s="2" t="s">
        <v>27</v>
      </c>
      <c r="C1566" s="2" t="s">
        <v>28</v>
      </c>
      <c r="D1566" s="2" t="s">
        <v>97</v>
      </c>
      <c r="E1566" s="2" t="s">
        <v>10193</v>
      </c>
      <c r="F1566" s="2" t="s">
        <v>8445</v>
      </c>
      <c r="G1566" s="2" t="s">
        <v>32</v>
      </c>
      <c r="H1566" s="1"/>
      <c r="I1566" s="2" t="s">
        <v>33</v>
      </c>
      <c r="J1566" s="2" t="s">
        <v>34</v>
      </c>
      <c r="K1566" s="2" t="s">
        <v>10209</v>
      </c>
      <c r="L1566" s="2" t="s">
        <v>10210</v>
      </c>
      <c r="M1566" s="2" t="s">
        <v>7510</v>
      </c>
      <c r="N1566" s="2" t="s">
        <v>38</v>
      </c>
      <c r="O1566" s="2" t="s">
        <v>113</v>
      </c>
      <c r="P1566" s="2" t="s">
        <v>5817</v>
      </c>
      <c r="Q1566" s="2" t="s">
        <v>10211</v>
      </c>
      <c r="R1566" s="2" t="s">
        <v>40</v>
      </c>
      <c r="S1566" s="2" t="s">
        <v>10212</v>
      </c>
      <c r="T1566" s="2" t="s">
        <v>2101</v>
      </c>
      <c r="U1566" s="2" t="s">
        <v>8045</v>
      </c>
      <c r="V1566" s="2" t="s">
        <v>10213</v>
      </c>
      <c r="W1566" s="1"/>
      <c r="X1566" s="2" t="s">
        <v>897</v>
      </c>
      <c r="Y1566" s="2" t="s">
        <v>10214</v>
      </c>
      <c r="AA1566" t="str">
        <f t="shared" si="144"/>
        <v>2026-01</v>
      </c>
      <c r="AB1566" t="str">
        <f t="shared" si="145"/>
        <v>H1_2026</v>
      </c>
      <c r="AC1566">
        <f t="shared" si="146"/>
        <v>136699.51999999999</v>
      </c>
      <c r="AD1566">
        <f t="shared" si="147"/>
        <v>15</v>
      </c>
      <c r="AE1566">
        <f t="shared" si="148"/>
        <v>28699.52</v>
      </c>
      <c r="AF1566" t="str">
        <f t="shared" si="149"/>
        <v>Paid</v>
      </c>
    </row>
    <row r="1567" spans="1:32" ht="27.75" thickBot="1" x14ac:dyDescent="0.35">
      <c r="A1567" s="2" t="s">
        <v>10215</v>
      </c>
      <c r="B1567" s="2" t="s">
        <v>27</v>
      </c>
      <c r="C1567" s="2" t="s">
        <v>28</v>
      </c>
      <c r="D1567" s="2" t="s">
        <v>97</v>
      </c>
      <c r="E1567" s="2" t="s">
        <v>10193</v>
      </c>
      <c r="F1567" s="2" t="s">
        <v>8445</v>
      </c>
      <c r="G1567" s="2" t="s">
        <v>32</v>
      </c>
      <c r="H1567" s="1"/>
      <c r="I1567" s="2" t="s">
        <v>33</v>
      </c>
      <c r="J1567" s="2" t="s">
        <v>34</v>
      </c>
      <c r="K1567" s="2" t="s">
        <v>10216</v>
      </c>
      <c r="L1567" s="2" t="s">
        <v>10217</v>
      </c>
      <c r="M1567" s="2" t="s">
        <v>7510</v>
      </c>
      <c r="N1567" s="2" t="s">
        <v>38</v>
      </c>
      <c r="O1567" s="2" t="s">
        <v>351</v>
      </c>
      <c r="P1567" s="2" t="s">
        <v>5398</v>
      </c>
      <c r="Q1567" s="2" t="s">
        <v>10218</v>
      </c>
      <c r="R1567" s="2" t="s">
        <v>40</v>
      </c>
      <c r="S1567" s="2" t="s">
        <v>10219</v>
      </c>
      <c r="T1567" s="2" t="s">
        <v>2275</v>
      </c>
      <c r="U1567" s="2" t="s">
        <v>10220</v>
      </c>
      <c r="V1567" s="2" t="s">
        <v>10221</v>
      </c>
      <c r="W1567" s="1"/>
      <c r="X1567" s="2" t="s">
        <v>796</v>
      </c>
      <c r="Y1567" s="2" t="s">
        <v>10214</v>
      </c>
      <c r="AA1567" t="str">
        <f t="shared" si="144"/>
        <v>2026-01</v>
      </c>
      <c r="AB1567" t="str">
        <f t="shared" si="145"/>
        <v>H1_2026</v>
      </c>
      <c r="AC1567">
        <f t="shared" si="146"/>
        <v>239450.9</v>
      </c>
      <c r="AD1567">
        <f t="shared" si="147"/>
        <v>42</v>
      </c>
      <c r="AE1567">
        <f t="shared" si="148"/>
        <v>50450.9</v>
      </c>
      <c r="AF1567" t="str">
        <f t="shared" si="149"/>
        <v>Paid</v>
      </c>
    </row>
    <row r="1568" spans="1:32" ht="17.25" thickBot="1" x14ac:dyDescent="0.35">
      <c r="A1568" s="2" t="s">
        <v>10222</v>
      </c>
      <c r="B1568" s="2" t="s">
        <v>27</v>
      </c>
      <c r="C1568" s="2" t="s">
        <v>28</v>
      </c>
      <c r="D1568" s="2" t="s">
        <v>97</v>
      </c>
      <c r="E1568" s="2" t="s">
        <v>10193</v>
      </c>
      <c r="F1568" s="2" t="s">
        <v>8445</v>
      </c>
      <c r="G1568" s="2" t="s">
        <v>32</v>
      </c>
      <c r="H1568" s="1"/>
      <c r="I1568" s="2" t="s">
        <v>33</v>
      </c>
      <c r="J1568" s="2" t="s">
        <v>34</v>
      </c>
      <c r="K1568" s="2" t="s">
        <v>10223</v>
      </c>
      <c r="L1568" s="2" t="s">
        <v>10224</v>
      </c>
      <c r="M1568" s="2" t="s">
        <v>7510</v>
      </c>
      <c r="N1568" s="2" t="s">
        <v>38</v>
      </c>
      <c r="O1568" s="2" t="s">
        <v>131</v>
      </c>
      <c r="P1568" s="2" t="s">
        <v>2005</v>
      </c>
      <c r="Q1568" s="2" t="s">
        <v>10225</v>
      </c>
      <c r="R1568" s="2" t="s">
        <v>40</v>
      </c>
      <c r="S1568" s="2" t="s">
        <v>10226</v>
      </c>
      <c r="T1568" s="2" t="s">
        <v>2127</v>
      </c>
      <c r="U1568" s="2" t="s">
        <v>10227</v>
      </c>
      <c r="V1568" s="2" t="s">
        <v>10228</v>
      </c>
      <c r="W1568" s="1"/>
      <c r="X1568" s="2" t="s">
        <v>897</v>
      </c>
      <c r="Y1568" s="2" t="s">
        <v>10214</v>
      </c>
      <c r="AA1568" t="str">
        <f t="shared" si="144"/>
        <v>2026-01</v>
      </c>
      <c r="AB1568" t="str">
        <f t="shared" si="145"/>
        <v>H1_2026</v>
      </c>
      <c r="AC1568">
        <f t="shared" si="146"/>
        <v>547086</v>
      </c>
      <c r="AD1568">
        <f t="shared" si="147"/>
        <v>40</v>
      </c>
      <c r="AE1568">
        <f t="shared" si="148"/>
        <v>115086</v>
      </c>
      <c r="AF1568" t="str">
        <f t="shared" si="149"/>
        <v>Paid</v>
      </c>
    </row>
    <row r="1569" spans="1:32" ht="27.75" thickBot="1" x14ac:dyDescent="0.35">
      <c r="A1569" s="2" t="s">
        <v>10229</v>
      </c>
      <c r="B1569" s="2" t="s">
        <v>27</v>
      </c>
      <c r="C1569" s="2" t="s">
        <v>28</v>
      </c>
      <c r="D1569" s="2" t="s">
        <v>97</v>
      </c>
      <c r="E1569" s="2" t="s">
        <v>10193</v>
      </c>
      <c r="F1569" s="2" t="s">
        <v>8445</v>
      </c>
      <c r="G1569" s="2" t="s">
        <v>32</v>
      </c>
      <c r="H1569" s="1"/>
      <c r="I1569" s="2" t="s">
        <v>33</v>
      </c>
      <c r="J1569" s="2" t="s">
        <v>34</v>
      </c>
      <c r="K1569" s="2" t="s">
        <v>261</v>
      </c>
      <c r="L1569" s="2" t="s">
        <v>262</v>
      </c>
      <c r="M1569" s="2" t="s">
        <v>263</v>
      </c>
      <c r="N1569" s="2" t="s">
        <v>38</v>
      </c>
      <c r="O1569" s="2" t="s">
        <v>203</v>
      </c>
      <c r="P1569" s="2" t="s">
        <v>6196</v>
      </c>
      <c r="Q1569" s="2" t="s">
        <v>10230</v>
      </c>
      <c r="R1569" s="2" t="s">
        <v>40</v>
      </c>
      <c r="S1569" s="2" t="s">
        <v>10231</v>
      </c>
      <c r="T1569" s="2" t="s">
        <v>267</v>
      </c>
      <c r="U1569" s="2" t="s">
        <v>10232</v>
      </c>
      <c r="V1569" s="2" t="s">
        <v>10233</v>
      </c>
      <c r="W1569" s="1"/>
      <c r="X1569" s="2" t="s">
        <v>270</v>
      </c>
      <c r="Y1569" s="2" t="s">
        <v>10234</v>
      </c>
      <c r="AA1569" t="str">
        <f t="shared" si="144"/>
        <v>2026-01</v>
      </c>
      <c r="AB1569" t="str">
        <f t="shared" si="145"/>
        <v>H1_2026</v>
      </c>
      <c r="AC1569">
        <f t="shared" si="146"/>
        <v>229875.8</v>
      </c>
      <c r="AD1569">
        <f t="shared" si="147"/>
        <v>25</v>
      </c>
      <c r="AE1569">
        <f t="shared" si="148"/>
        <v>64875.8</v>
      </c>
      <c r="AF1569" t="str">
        <f t="shared" si="149"/>
        <v>Paid</v>
      </c>
    </row>
    <row r="1570" spans="1:32" ht="17.25" thickBot="1" x14ac:dyDescent="0.35">
      <c r="A1570" s="2" t="s">
        <v>10235</v>
      </c>
      <c r="B1570" s="2" t="s">
        <v>27</v>
      </c>
      <c r="C1570" s="2" t="s">
        <v>28</v>
      </c>
      <c r="D1570" s="2" t="s">
        <v>97</v>
      </c>
      <c r="E1570" s="2" t="s">
        <v>10193</v>
      </c>
      <c r="F1570" s="2" t="s">
        <v>8445</v>
      </c>
      <c r="G1570" s="2" t="s">
        <v>32</v>
      </c>
      <c r="H1570" s="1"/>
      <c r="I1570" s="2" t="s">
        <v>33</v>
      </c>
      <c r="J1570" s="2" t="s">
        <v>34</v>
      </c>
      <c r="K1570" s="2" t="s">
        <v>273</v>
      </c>
      <c r="L1570" s="2" t="s">
        <v>274</v>
      </c>
      <c r="M1570" s="2" t="s">
        <v>263</v>
      </c>
      <c r="N1570" s="2" t="s">
        <v>38</v>
      </c>
      <c r="O1570" s="2" t="s">
        <v>1032</v>
      </c>
      <c r="P1570" s="2" t="s">
        <v>6196</v>
      </c>
      <c r="Q1570" s="2" t="s">
        <v>10236</v>
      </c>
      <c r="R1570" s="2" t="s">
        <v>40</v>
      </c>
      <c r="S1570" s="2" t="s">
        <v>10237</v>
      </c>
      <c r="T1570" s="2" t="s">
        <v>267</v>
      </c>
      <c r="U1570" s="2" t="s">
        <v>10238</v>
      </c>
      <c r="V1570" s="2" t="s">
        <v>10239</v>
      </c>
      <c r="W1570" s="1"/>
      <c r="X1570" s="2" t="s">
        <v>270</v>
      </c>
      <c r="Y1570" s="2" t="s">
        <v>10234</v>
      </c>
      <c r="AA1570" t="str">
        <f t="shared" si="144"/>
        <v>2026-01</v>
      </c>
      <c r="AB1570" t="str">
        <f t="shared" si="145"/>
        <v>H1_2026</v>
      </c>
      <c r="AC1570">
        <f t="shared" si="146"/>
        <v>1066623.71</v>
      </c>
      <c r="AD1570">
        <f t="shared" si="147"/>
        <v>116</v>
      </c>
      <c r="AE1570">
        <f t="shared" si="148"/>
        <v>301023.71000000002</v>
      </c>
      <c r="AF1570" t="str">
        <f t="shared" si="149"/>
        <v>Paid</v>
      </c>
    </row>
    <row r="1571" spans="1:32" ht="27.75" thickBot="1" x14ac:dyDescent="0.35">
      <c r="A1571" s="2" t="s">
        <v>10240</v>
      </c>
      <c r="B1571" s="2" t="s">
        <v>27</v>
      </c>
      <c r="C1571" s="2" t="s">
        <v>28</v>
      </c>
      <c r="D1571" s="2" t="s">
        <v>97</v>
      </c>
      <c r="E1571" s="2" t="s">
        <v>10193</v>
      </c>
      <c r="F1571" s="2" t="s">
        <v>8445</v>
      </c>
      <c r="G1571" s="2" t="s">
        <v>32</v>
      </c>
      <c r="H1571" s="1"/>
      <c r="I1571" s="2" t="s">
        <v>33</v>
      </c>
      <c r="J1571" s="2" t="s">
        <v>34</v>
      </c>
      <c r="K1571" s="2" t="s">
        <v>4838</v>
      </c>
      <c r="L1571" s="2" t="s">
        <v>4839</v>
      </c>
      <c r="M1571" s="2" t="s">
        <v>263</v>
      </c>
      <c r="N1571" s="2" t="s">
        <v>38</v>
      </c>
      <c r="O1571" s="2" t="s">
        <v>762</v>
      </c>
      <c r="P1571" s="2" t="s">
        <v>6196</v>
      </c>
      <c r="Q1571" s="2" t="s">
        <v>10241</v>
      </c>
      <c r="R1571" s="2" t="s">
        <v>40</v>
      </c>
      <c r="S1571" s="2" t="s">
        <v>10242</v>
      </c>
      <c r="T1571" s="2" t="s">
        <v>267</v>
      </c>
      <c r="U1571" s="2" t="s">
        <v>10243</v>
      </c>
      <c r="V1571" s="2" t="s">
        <v>10244</v>
      </c>
      <c r="W1571" s="1"/>
      <c r="X1571" s="2" t="s">
        <v>270</v>
      </c>
      <c r="Y1571" s="2" t="s">
        <v>10234</v>
      </c>
      <c r="AA1571" t="str">
        <f t="shared" si="144"/>
        <v>2026-01</v>
      </c>
      <c r="AB1571" t="str">
        <f t="shared" si="145"/>
        <v>H1_2026</v>
      </c>
      <c r="AC1571">
        <f t="shared" si="146"/>
        <v>809162.82</v>
      </c>
      <c r="AD1571">
        <f t="shared" si="147"/>
        <v>88</v>
      </c>
      <c r="AE1571">
        <f t="shared" si="148"/>
        <v>228362.82</v>
      </c>
      <c r="AF1571" t="str">
        <f t="shared" si="149"/>
        <v>Paid</v>
      </c>
    </row>
    <row r="1572" spans="1:32" ht="17.25" thickBot="1" x14ac:dyDescent="0.35">
      <c r="A1572" s="2" t="s">
        <v>10245</v>
      </c>
      <c r="B1572" s="2" t="s">
        <v>27</v>
      </c>
      <c r="C1572" s="2" t="s">
        <v>28</v>
      </c>
      <c r="D1572" s="2" t="s">
        <v>97</v>
      </c>
      <c r="E1572" s="2" t="s">
        <v>10193</v>
      </c>
      <c r="F1572" s="2" t="s">
        <v>8445</v>
      </c>
      <c r="G1572" s="2" t="s">
        <v>32</v>
      </c>
      <c r="H1572" s="1"/>
      <c r="I1572" s="2" t="s">
        <v>33</v>
      </c>
      <c r="J1572" s="2" t="s">
        <v>34</v>
      </c>
      <c r="K1572" s="2" t="s">
        <v>6144</v>
      </c>
      <c r="L1572" s="2" t="s">
        <v>6145</v>
      </c>
      <c r="M1572" s="2" t="s">
        <v>6146</v>
      </c>
      <c r="N1572" s="2" t="s">
        <v>38</v>
      </c>
      <c r="O1572" s="2" t="s">
        <v>1519</v>
      </c>
      <c r="P1572" s="2" t="s">
        <v>475</v>
      </c>
      <c r="Q1572" s="2" t="s">
        <v>10246</v>
      </c>
      <c r="R1572" s="2" t="s">
        <v>40</v>
      </c>
      <c r="S1572" s="2" t="s">
        <v>10247</v>
      </c>
      <c r="T1572" s="2" t="s">
        <v>6149</v>
      </c>
      <c r="U1572" s="2" t="s">
        <v>10248</v>
      </c>
      <c r="V1572" s="2" t="s">
        <v>10249</v>
      </c>
      <c r="W1572" s="1"/>
      <c r="X1572" s="2" t="s">
        <v>6342</v>
      </c>
      <c r="Y1572" s="2" t="s">
        <v>10234</v>
      </c>
      <c r="AA1572" t="str">
        <f t="shared" si="144"/>
        <v>2026-01</v>
      </c>
      <c r="AB1572" t="str">
        <f t="shared" si="145"/>
        <v>H1_2026</v>
      </c>
      <c r="AC1572">
        <f t="shared" si="146"/>
        <v>3060288</v>
      </c>
      <c r="AD1572">
        <f t="shared" si="147"/>
        <v>360</v>
      </c>
      <c r="AE1572">
        <f t="shared" si="148"/>
        <v>707197.1</v>
      </c>
      <c r="AF1572" t="str">
        <f t="shared" si="149"/>
        <v>Paid</v>
      </c>
    </row>
    <row r="1573" spans="1:32" ht="27.75" thickBot="1" x14ac:dyDescent="0.35">
      <c r="A1573" s="2" t="s">
        <v>10250</v>
      </c>
      <c r="B1573" s="2" t="s">
        <v>27</v>
      </c>
      <c r="C1573" s="2" t="s">
        <v>28</v>
      </c>
      <c r="D1573" s="2" t="s">
        <v>97</v>
      </c>
      <c r="E1573" s="2" t="s">
        <v>10193</v>
      </c>
      <c r="F1573" s="2" t="s">
        <v>8445</v>
      </c>
      <c r="G1573" s="2" t="s">
        <v>32</v>
      </c>
      <c r="H1573" s="1"/>
      <c r="I1573" s="2" t="s">
        <v>33</v>
      </c>
      <c r="J1573" s="2" t="s">
        <v>34</v>
      </c>
      <c r="K1573" s="2" t="s">
        <v>10108</v>
      </c>
      <c r="L1573" s="2" t="s">
        <v>10109</v>
      </c>
      <c r="M1573" s="2" t="s">
        <v>6146</v>
      </c>
      <c r="N1573" s="2" t="s">
        <v>38</v>
      </c>
      <c r="O1573" s="2" t="s">
        <v>1636</v>
      </c>
      <c r="P1573" s="2" t="s">
        <v>7876</v>
      </c>
      <c r="Q1573" s="2" t="s">
        <v>10251</v>
      </c>
      <c r="R1573" s="2" t="s">
        <v>40</v>
      </c>
      <c r="S1573" s="2" t="s">
        <v>10252</v>
      </c>
      <c r="T1573" s="2" t="s">
        <v>1178</v>
      </c>
      <c r="U1573" s="2" t="s">
        <v>10253</v>
      </c>
      <c r="V1573" s="2" t="s">
        <v>10254</v>
      </c>
      <c r="W1573" s="1"/>
      <c r="X1573" s="2" t="s">
        <v>986</v>
      </c>
      <c r="Y1573" s="2" t="s">
        <v>10234</v>
      </c>
      <c r="AA1573" t="str">
        <f t="shared" si="144"/>
        <v>2026-01</v>
      </c>
      <c r="AB1573" t="str">
        <f t="shared" si="145"/>
        <v>H1_2026</v>
      </c>
      <c r="AC1573">
        <f t="shared" si="146"/>
        <v>1915910.3</v>
      </c>
      <c r="AD1573">
        <f t="shared" si="147"/>
        <v>191</v>
      </c>
      <c r="AE1573">
        <f t="shared" si="148"/>
        <v>445210.3</v>
      </c>
      <c r="AF1573" t="str">
        <f t="shared" si="149"/>
        <v>Paid</v>
      </c>
    </row>
    <row r="1574" spans="1:32" ht="17.25" thickBot="1" x14ac:dyDescent="0.35">
      <c r="A1574" s="2" t="s">
        <v>10255</v>
      </c>
      <c r="B1574" s="2" t="s">
        <v>27</v>
      </c>
      <c r="C1574" s="2" t="s">
        <v>28</v>
      </c>
      <c r="D1574" s="2" t="s">
        <v>97</v>
      </c>
      <c r="E1574" s="2" t="s">
        <v>10193</v>
      </c>
      <c r="F1574" s="2" t="s">
        <v>8445</v>
      </c>
      <c r="G1574" s="2" t="s">
        <v>32</v>
      </c>
      <c r="H1574" s="1"/>
      <c r="I1574" s="2" t="s">
        <v>33</v>
      </c>
      <c r="J1574" s="2" t="s">
        <v>34</v>
      </c>
      <c r="K1574" s="2" t="s">
        <v>6251</v>
      </c>
      <c r="L1574" s="2" t="s">
        <v>6252</v>
      </c>
      <c r="M1574" s="2" t="s">
        <v>6146</v>
      </c>
      <c r="N1574" s="2" t="s">
        <v>38</v>
      </c>
      <c r="O1574" s="2" t="s">
        <v>1967</v>
      </c>
      <c r="P1574" s="2" t="s">
        <v>10115</v>
      </c>
      <c r="Q1574" s="2" t="s">
        <v>10256</v>
      </c>
      <c r="R1574" s="2" t="s">
        <v>40</v>
      </c>
      <c r="S1574" s="2" t="s">
        <v>10257</v>
      </c>
      <c r="T1574" s="2" t="s">
        <v>7304</v>
      </c>
      <c r="U1574" s="2" t="s">
        <v>10258</v>
      </c>
      <c r="V1574" s="2" t="s">
        <v>10259</v>
      </c>
      <c r="W1574" s="1"/>
      <c r="X1574" s="2" t="s">
        <v>201</v>
      </c>
      <c r="Y1574" s="2" t="s">
        <v>10234</v>
      </c>
      <c r="AA1574" t="str">
        <f t="shared" si="144"/>
        <v>2026-01</v>
      </c>
      <c r="AB1574" t="str">
        <f t="shared" si="145"/>
        <v>H1_2026</v>
      </c>
      <c r="AC1574">
        <f t="shared" si="146"/>
        <v>2330324.2999999998</v>
      </c>
      <c r="AD1574">
        <f t="shared" si="147"/>
        <v>237</v>
      </c>
      <c r="AE1574">
        <f t="shared" si="148"/>
        <v>563597.04</v>
      </c>
      <c r="AF1574" t="str">
        <f t="shared" si="149"/>
        <v>Paid</v>
      </c>
    </row>
    <row r="1575" spans="1:32" ht="17.25" thickBot="1" x14ac:dyDescent="0.35">
      <c r="A1575" s="2" t="s">
        <v>10260</v>
      </c>
      <c r="B1575" s="2" t="s">
        <v>27</v>
      </c>
      <c r="C1575" s="2" t="s">
        <v>28</v>
      </c>
      <c r="D1575" s="2" t="s">
        <v>97</v>
      </c>
      <c r="E1575" s="2" t="s">
        <v>10193</v>
      </c>
      <c r="F1575" s="2" t="s">
        <v>8445</v>
      </c>
      <c r="G1575" s="2" t="s">
        <v>32</v>
      </c>
      <c r="H1575" s="1"/>
      <c r="I1575" s="2" t="s">
        <v>33</v>
      </c>
      <c r="J1575" s="2" t="s">
        <v>34</v>
      </c>
      <c r="K1575" s="2" t="s">
        <v>6272</v>
      </c>
      <c r="L1575" s="2" t="s">
        <v>6273</v>
      </c>
      <c r="M1575" s="2" t="s">
        <v>6146</v>
      </c>
      <c r="N1575" s="2" t="s">
        <v>38</v>
      </c>
      <c r="O1575" s="2" t="s">
        <v>4038</v>
      </c>
      <c r="P1575" s="2" t="s">
        <v>1068</v>
      </c>
      <c r="Q1575" s="2" t="s">
        <v>10261</v>
      </c>
      <c r="R1575" s="2" t="s">
        <v>40</v>
      </c>
      <c r="S1575" s="2" t="s">
        <v>10262</v>
      </c>
      <c r="T1575" s="2" t="s">
        <v>10263</v>
      </c>
      <c r="U1575" s="2" t="s">
        <v>10264</v>
      </c>
      <c r="V1575" s="2" t="s">
        <v>10265</v>
      </c>
      <c r="W1575" s="1"/>
      <c r="X1575" s="2" t="s">
        <v>10266</v>
      </c>
      <c r="Y1575" s="2" t="s">
        <v>10234</v>
      </c>
      <c r="AA1575" t="str">
        <f t="shared" si="144"/>
        <v>2026-01</v>
      </c>
      <c r="AB1575" t="str">
        <f t="shared" si="145"/>
        <v>H1_2026</v>
      </c>
      <c r="AC1575">
        <f t="shared" si="146"/>
        <v>14642628</v>
      </c>
      <c r="AD1575">
        <f t="shared" si="147"/>
        <v>1500</v>
      </c>
      <c r="AE1575">
        <f t="shared" si="148"/>
        <v>4688121.51</v>
      </c>
      <c r="AF1575" t="str">
        <f t="shared" si="149"/>
        <v>Paid</v>
      </c>
    </row>
    <row r="1576" spans="1:32" ht="17.25" thickBot="1" x14ac:dyDescent="0.35">
      <c r="A1576" s="2" t="s">
        <v>10267</v>
      </c>
      <c r="B1576" s="2" t="s">
        <v>27</v>
      </c>
      <c r="C1576" s="2" t="s">
        <v>28</v>
      </c>
      <c r="D1576" s="2" t="s">
        <v>97</v>
      </c>
      <c r="E1576" s="2" t="s">
        <v>10193</v>
      </c>
      <c r="F1576" s="2" t="s">
        <v>8445</v>
      </c>
      <c r="G1576" s="2" t="s">
        <v>32</v>
      </c>
      <c r="H1576" s="1"/>
      <c r="I1576" s="2" t="s">
        <v>33</v>
      </c>
      <c r="J1576" s="2" t="s">
        <v>34</v>
      </c>
      <c r="K1576" s="2" t="s">
        <v>6282</v>
      </c>
      <c r="L1576" s="2" t="s">
        <v>6283</v>
      </c>
      <c r="M1576" s="2" t="s">
        <v>6146</v>
      </c>
      <c r="N1576" s="2" t="s">
        <v>38</v>
      </c>
      <c r="O1576" s="2" t="s">
        <v>1307</v>
      </c>
      <c r="P1576" s="2" t="s">
        <v>4912</v>
      </c>
      <c r="Q1576" s="2" t="s">
        <v>10268</v>
      </c>
      <c r="R1576" s="2" t="s">
        <v>40</v>
      </c>
      <c r="S1576" s="2" t="s">
        <v>10269</v>
      </c>
      <c r="T1576" s="2" t="s">
        <v>6287</v>
      </c>
      <c r="U1576" s="2" t="s">
        <v>10270</v>
      </c>
      <c r="V1576" s="2" t="s">
        <v>10271</v>
      </c>
      <c r="W1576" s="1"/>
      <c r="X1576" s="2" t="s">
        <v>986</v>
      </c>
      <c r="Y1576" s="2" t="s">
        <v>10234</v>
      </c>
      <c r="AA1576" t="str">
        <f t="shared" si="144"/>
        <v>2026-01</v>
      </c>
      <c r="AB1576" t="str">
        <f t="shared" si="145"/>
        <v>H1_2026</v>
      </c>
      <c r="AC1576">
        <f t="shared" si="146"/>
        <v>1303767.7</v>
      </c>
      <c r="AD1576">
        <f t="shared" si="147"/>
        <v>147</v>
      </c>
      <c r="AE1576">
        <f t="shared" si="148"/>
        <v>302831.33</v>
      </c>
      <c r="AF1576" t="str">
        <f t="shared" si="149"/>
        <v>Paid</v>
      </c>
    </row>
    <row r="1577" spans="1:32" ht="17.25" thickBot="1" x14ac:dyDescent="0.35">
      <c r="A1577" s="2" t="s">
        <v>10272</v>
      </c>
      <c r="B1577" s="2" t="s">
        <v>27</v>
      </c>
      <c r="C1577" s="2" t="s">
        <v>28</v>
      </c>
      <c r="D1577" s="2" t="s">
        <v>97</v>
      </c>
      <c r="E1577" s="2" t="s">
        <v>10193</v>
      </c>
      <c r="F1577" s="2" t="s">
        <v>8445</v>
      </c>
      <c r="G1577" s="2" t="s">
        <v>32</v>
      </c>
      <c r="H1577" s="1"/>
      <c r="I1577" s="2" t="s">
        <v>33</v>
      </c>
      <c r="J1577" s="2" t="s">
        <v>34</v>
      </c>
      <c r="K1577" s="2" t="s">
        <v>10273</v>
      </c>
      <c r="L1577" s="2" t="s">
        <v>10274</v>
      </c>
      <c r="M1577" s="2" t="s">
        <v>7387</v>
      </c>
      <c r="N1577" s="2" t="s">
        <v>38</v>
      </c>
      <c r="O1577" s="2" t="s">
        <v>94</v>
      </c>
      <c r="P1577" s="2" t="s">
        <v>4310</v>
      </c>
      <c r="Q1577" s="2" t="s">
        <v>10275</v>
      </c>
      <c r="R1577" s="2" t="s">
        <v>40</v>
      </c>
      <c r="S1577" s="2" t="s">
        <v>10276</v>
      </c>
      <c r="T1577" s="2" t="s">
        <v>40</v>
      </c>
      <c r="U1577" s="2" t="s">
        <v>40</v>
      </c>
      <c r="V1577" s="2" t="s">
        <v>10276</v>
      </c>
      <c r="W1577" s="1"/>
      <c r="X1577" s="2" t="s">
        <v>2155</v>
      </c>
      <c r="Y1577" s="2" t="s">
        <v>10234</v>
      </c>
      <c r="AA1577" t="str">
        <f t="shared" si="144"/>
        <v>2026-01</v>
      </c>
      <c r="AB1577" t="str">
        <f t="shared" si="145"/>
        <v>H1_2026</v>
      </c>
      <c r="AC1577">
        <f t="shared" si="146"/>
        <v>7996419.2000000002</v>
      </c>
      <c r="AD1577">
        <f t="shared" si="147"/>
        <v>850</v>
      </c>
      <c r="AE1577">
        <f t="shared" si="148"/>
        <v>7996419.2000000002</v>
      </c>
      <c r="AF1577" t="str">
        <f t="shared" si="149"/>
        <v>Paid</v>
      </c>
    </row>
    <row r="1578" spans="1:32" ht="17.25" thickBot="1" x14ac:dyDescent="0.35">
      <c r="A1578" s="2" t="s">
        <v>10277</v>
      </c>
      <c r="B1578" s="2" t="s">
        <v>27</v>
      </c>
      <c r="C1578" s="2" t="s">
        <v>28</v>
      </c>
      <c r="D1578" s="2" t="s">
        <v>97</v>
      </c>
      <c r="E1578" s="2" t="s">
        <v>10193</v>
      </c>
      <c r="F1578" s="2" t="s">
        <v>8445</v>
      </c>
      <c r="G1578" s="2" t="s">
        <v>32</v>
      </c>
      <c r="H1578" s="1"/>
      <c r="I1578" s="2" t="s">
        <v>33</v>
      </c>
      <c r="J1578" s="2" t="s">
        <v>34</v>
      </c>
      <c r="K1578" s="2" t="s">
        <v>10278</v>
      </c>
      <c r="L1578" s="2" t="s">
        <v>10279</v>
      </c>
      <c r="M1578" s="2" t="s">
        <v>10280</v>
      </c>
      <c r="N1578" s="2" t="s">
        <v>38</v>
      </c>
      <c r="O1578" s="2" t="s">
        <v>877</v>
      </c>
      <c r="P1578" s="2" t="s">
        <v>10281</v>
      </c>
      <c r="Q1578" s="2" t="s">
        <v>10282</v>
      </c>
      <c r="R1578" s="2" t="s">
        <v>40</v>
      </c>
      <c r="S1578" s="2" t="s">
        <v>10283</v>
      </c>
      <c r="T1578" s="2" t="s">
        <v>10284</v>
      </c>
      <c r="U1578" s="2" t="s">
        <v>10285</v>
      </c>
      <c r="V1578" s="2" t="s">
        <v>10286</v>
      </c>
      <c r="W1578" s="1"/>
      <c r="X1578" s="2" t="s">
        <v>8519</v>
      </c>
      <c r="Y1578" s="2" t="s">
        <v>10234</v>
      </c>
      <c r="AA1578" t="str">
        <f t="shared" si="144"/>
        <v>2026-01</v>
      </c>
      <c r="AB1578" t="str">
        <f t="shared" si="145"/>
        <v>H1_2026</v>
      </c>
      <c r="AC1578">
        <f t="shared" si="146"/>
        <v>1127772.8</v>
      </c>
      <c r="AD1578">
        <f t="shared" si="147"/>
        <v>100</v>
      </c>
      <c r="AE1578">
        <f t="shared" si="148"/>
        <v>362772.8</v>
      </c>
      <c r="AF1578" t="str">
        <f t="shared" si="149"/>
        <v>Paid</v>
      </c>
    </row>
    <row r="1579" spans="1:32" ht="27.75" thickBot="1" x14ac:dyDescent="0.35">
      <c r="A1579" s="2" t="s">
        <v>10287</v>
      </c>
      <c r="B1579" s="2" t="s">
        <v>27</v>
      </c>
      <c r="C1579" s="2" t="s">
        <v>28</v>
      </c>
      <c r="D1579" s="2" t="s">
        <v>97</v>
      </c>
      <c r="E1579" s="2" t="s">
        <v>10193</v>
      </c>
      <c r="F1579" s="2" t="s">
        <v>8445</v>
      </c>
      <c r="G1579" s="2" t="s">
        <v>32</v>
      </c>
      <c r="H1579" s="1"/>
      <c r="I1579" s="2" t="s">
        <v>33</v>
      </c>
      <c r="J1579" s="2" t="s">
        <v>34</v>
      </c>
      <c r="K1579" s="2" t="s">
        <v>10288</v>
      </c>
      <c r="L1579" s="2" t="s">
        <v>10289</v>
      </c>
      <c r="M1579" s="2" t="s">
        <v>10280</v>
      </c>
      <c r="N1579" s="2" t="s">
        <v>38</v>
      </c>
      <c r="O1579" s="2" t="s">
        <v>2028</v>
      </c>
      <c r="P1579" s="2" t="s">
        <v>40</v>
      </c>
      <c r="Q1579" s="2" t="s">
        <v>40</v>
      </c>
      <c r="R1579" s="2" t="s">
        <v>40</v>
      </c>
      <c r="S1579" s="2" t="s">
        <v>40</v>
      </c>
      <c r="T1579" s="2" t="s">
        <v>10290</v>
      </c>
      <c r="U1579" s="2" t="s">
        <v>10291</v>
      </c>
      <c r="V1579" s="2" t="s">
        <v>10292</v>
      </c>
      <c r="W1579" s="2" t="s">
        <v>41</v>
      </c>
      <c r="X1579" s="2" t="s">
        <v>42</v>
      </c>
      <c r="Y1579" s="2" t="s">
        <v>10234</v>
      </c>
      <c r="AA1579" t="str">
        <f t="shared" si="144"/>
        <v>2026-01</v>
      </c>
      <c r="AB1579" t="str">
        <f t="shared" si="145"/>
        <v>H1_2026</v>
      </c>
      <c r="AC1579">
        <f t="shared" si="146"/>
        <v>0</v>
      </c>
      <c r="AD1579">
        <f t="shared" si="147"/>
        <v>244</v>
      </c>
      <c r="AE1579">
        <f t="shared" si="148"/>
        <v>-1215120</v>
      </c>
      <c r="AF1579" t="str">
        <f t="shared" si="149"/>
        <v>Sample</v>
      </c>
    </row>
    <row r="1580" spans="1:32" ht="27.75" thickBot="1" x14ac:dyDescent="0.35">
      <c r="A1580" s="2" t="s">
        <v>10293</v>
      </c>
      <c r="B1580" s="2" t="s">
        <v>27</v>
      </c>
      <c r="C1580" s="2" t="s">
        <v>28</v>
      </c>
      <c r="D1580" s="2" t="s">
        <v>97</v>
      </c>
      <c r="E1580" s="2" t="s">
        <v>10193</v>
      </c>
      <c r="F1580" s="2" t="s">
        <v>8445</v>
      </c>
      <c r="G1580" s="2" t="s">
        <v>32</v>
      </c>
      <c r="H1580" s="1"/>
      <c r="I1580" s="2" t="s">
        <v>33</v>
      </c>
      <c r="J1580" s="2" t="s">
        <v>34</v>
      </c>
      <c r="K1580" s="2" t="s">
        <v>10294</v>
      </c>
      <c r="L1580" s="2" t="s">
        <v>10295</v>
      </c>
      <c r="M1580" s="2" t="s">
        <v>10280</v>
      </c>
      <c r="N1580" s="2" t="s">
        <v>38</v>
      </c>
      <c r="O1580" s="2" t="s">
        <v>149</v>
      </c>
      <c r="P1580" s="2" t="s">
        <v>4730</v>
      </c>
      <c r="Q1580" s="2" t="s">
        <v>10296</v>
      </c>
      <c r="R1580" s="2" t="s">
        <v>40</v>
      </c>
      <c r="S1580" s="2" t="s">
        <v>10297</v>
      </c>
      <c r="T1580" s="2" t="s">
        <v>2684</v>
      </c>
      <c r="U1580" s="2" t="s">
        <v>7123</v>
      </c>
      <c r="V1580" s="2" t="s">
        <v>10298</v>
      </c>
      <c r="W1580" s="1"/>
      <c r="X1580" s="2" t="s">
        <v>10299</v>
      </c>
      <c r="Y1580" s="2" t="s">
        <v>10234</v>
      </c>
      <c r="AA1580" t="str">
        <f t="shared" si="144"/>
        <v>2026-01</v>
      </c>
      <c r="AB1580" t="str">
        <f t="shared" si="145"/>
        <v>H1_2026</v>
      </c>
      <c r="AC1580">
        <f t="shared" si="146"/>
        <v>2643748.7999999998</v>
      </c>
      <c r="AD1580">
        <f t="shared" si="147"/>
        <v>300</v>
      </c>
      <c r="AE1580">
        <f t="shared" si="148"/>
        <v>993748.8</v>
      </c>
      <c r="AF1580" t="str">
        <f t="shared" si="149"/>
        <v>Paid</v>
      </c>
    </row>
    <row r="1581" spans="1:32" ht="17.25" thickBot="1" x14ac:dyDescent="0.35">
      <c r="A1581" s="2" t="s">
        <v>10300</v>
      </c>
      <c r="B1581" s="2" t="s">
        <v>27</v>
      </c>
      <c r="C1581" s="2" t="s">
        <v>28</v>
      </c>
      <c r="D1581" s="2" t="s">
        <v>97</v>
      </c>
      <c r="E1581" s="2" t="s">
        <v>10193</v>
      </c>
      <c r="F1581" s="2" t="s">
        <v>8445</v>
      </c>
      <c r="G1581" s="2" t="s">
        <v>32</v>
      </c>
      <c r="H1581" s="1"/>
      <c r="I1581" s="2" t="s">
        <v>33</v>
      </c>
      <c r="J1581" s="2" t="s">
        <v>34</v>
      </c>
      <c r="K1581" s="2" t="s">
        <v>10301</v>
      </c>
      <c r="L1581" s="2" t="s">
        <v>10302</v>
      </c>
      <c r="M1581" s="2" t="s">
        <v>4544</v>
      </c>
      <c r="N1581" s="2" t="s">
        <v>38</v>
      </c>
      <c r="O1581" s="2" t="s">
        <v>391</v>
      </c>
      <c r="P1581" s="2" t="s">
        <v>40</v>
      </c>
      <c r="Q1581" s="2" t="s">
        <v>40</v>
      </c>
      <c r="R1581" s="2" t="s">
        <v>40</v>
      </c>
      <c r="S1581" s="2" t="s">
        <v>40</v>
      </c>
      <c r="T1581" s="2" t="s">
        <v>10303</v>
      </c>
      <c r="U1581" s="2" t="s">
        <v>10304</v>
      </c>
      <c r="V1581" s="2" t="s">
        <v>10305</v>
      </c>
      <c r="W1581" s="2" t="s">
        <v>41</v>
      </c>
      <c r="X1581" s="2" t="s">
        <v>42</v>
      </c>
      <c r="Y1581" s="2" t="s">
        <v>10234</v>
      </c>
      <c r="AA1581" t="str">
        <f t="shared" si="144"/>
        <v>2026-01</v>
      </c>
      <c r="AB1581" t="str">
        <f t="shared" si="145"/>
        <v>H1_2026</v>
      </c>
      <c r="AC1581">
        <f t="shared" si="146"/>
        <v>0</v>
      </c>
      <c r="AD1581">
        <f t="shared" si="147"/>
        <v>60</v>
      </c>
      <c r="AE1581">
        <f t="shared" si="148"/>
        <v>-196800</v>
      </c>
      <c r="AF1581" t="str">
        <f t="shared" si="149"/>
        <v>Sample</v>
      </c>
    </row>
    <row r="1582" spans="1:32" ht="17.25" thickBot="1" x14ac:dyDescent="0.35">
      <c r="A1582" s="2" t="s">
        <v>10306</v>
      </c>
      <c r="B1582" s="2" t="s">
        <v>27</v>
      </c>
      <c r="C1582" s="2" t="s">
        <v>28</v>
      </c>
      <c r="D1582" s="2" t="s">
        <v>97</v>
      </c>
      <c r="E1582" s="2" t="s">
        <v>10307</v>
      </c>
      <c r="F1582" s="2" t="s">
        <v>8445</v>
      </c>
      <c r="G1582" s="2" t="s">
        <v>32</v>
      </c>
      <c r="H1582" s="1"/>
      <c r="I1582" s="2" t="s">
        <v>33</v>
      </c>
      <c r="J1582" s="2" t="s">
        <v>34</v>
      </c>
      <c r="K1582" s="2" t="s">
        <v>7249</v>
      </c>
      <c r="L1582" s="2" t="s">
        <v>7250</v>
      </c>
      <c r="M1582" s="2" t="s">
        <v>6146</v>
      </c>
      <c r="N1582" s="2" t="s">
        <v>38</v>
      </c>
      <c r="O1582" s="2" t="s">
        <v>849</v>
      </c>
      <c r="P1582" s="2" t="s">
        <v>3456</v>
      </c>
      <c r="Q1582" s="2" t="s">
        <v>10308</v>
      </c>
      <c r="R1582" s="2" t="s">
        <v>40</v>
      </c>
      <c r="S1582" s="2" t="s">
        <v>10309</v>
      </c>
      <c r="T1582" s="2" t="s">
        <v>10310</v>
      </c>
      <c r="U1582" s="2" t="s">
        <v>10311</v>
      </c>
      <c r="V1582" s="2" t="s">
        <v>10312</v>
      </c>
      <c r="W1582" s="1"/>
      <c r="X1582" s="2" t="s">
        <v>1091</v>
      </c>
      <c r="Y1582" s="2" t="s">
        <v>10313</v>
      </c>
      <c r="AA1582" t="str">
        <f t="shared" si="144"/>
        <v>2025-12</v>
      </c>
      <c r="AB1582" t="str">
        <f t="shared" si="145"/>
        <v/>
      </c>
      <c r="AC1582">
        <f t="shared" si="146"/>
        <v>1249114.8799999999</v>
      </c>
      <c r="AD1582">
        <f t="shared" si="147"/>
        <v>160</v>
      </c>
      <c r="AE1582">
        <f t="shared" si="148"/>
        <v>315354.88</v>
      </c>
      <c r="AF1582" t="str">
        <f t="shared" si="149"/>
        <v>Paid</v>
      </c>
    </row>
    <row r="1583" spans="1:32" ht="17.25" thickBot="1" x14ac:dyDescent="0.35">
      <c r="A1583" s="2" t="s">
        <v>10314</v>
      </c>
      <c r="B1583" s="2" t="s">
        <v>27</v>
      </c>
      <c r="C1583" s="2" t="s">
        <v>28</v>
      </c>
      <c r="D1583" s="2" t="s">
        <v>97</v>
      </c>
      <c r="E1583" s="2" t="s">
        <v>10307</v>
      </c>
      <c r="F1583" s="2" t="s">
        <v>8445</v>
      </c>
      <c r="G1583" s="2" t="s">
        <v>32</v>
      </c>
      <c r="H1583" s="1"/>
      <c r="I1583" s="2" t="s">
        <v>33</v>
      </c>
      <c r="J1583" s="2" t="s">
        <v>34</v>
      </c>
      <c r="K1583" s="2" t="s">
        <v>6153</v>
      </c>
      <c r="L1583" s="2" t="s">
        <v>6154</v>
      </c>
      <c r="M1583" s="2" t="s">
        <v>6146</v>
      </c>
      <c r="N1583" s="2" t="s">
        <v>38</v>
      </c>
      <c r="O1583" s="2" t="s">
        <v>877</v>
      </c>
      <c r="P1583" s="2" t="s">
        <v>3210</v>
      </c>
      <c r="Q1583" s="2" t="s">
        <v>10315</v>
      </c>
      <c r="R1583" s="2" t="s">
        <v>40</v>
      </c>
      <c r="S1583" s="2" t="s">
        <v>10316</v>
      </c>
      <c r="T1583" s="2" t="s">
        <v>6157</v>
      </c>
      <c r="U1583" s="2" t="s">
        <v>10317</v>
      </c>
      <c r="V1583" s="2" t="s">
        <v>10318</v>
      </c>
      <c r="W1583" s="1"/>
      <c r="X1583" s="2" t="s">
        <v>934</v>
      </c>
      <c r="Y1583" s="2" t="s">
        <v>10313</v>
      </c>
      <c r="AA1583" t="str">
        <f t="shared" si="144"/>
        <v>2025-12</v>
      </c>
      <c r="AB1583" t="str">
        <f t="shared" si="145"/>
        <v/>
      </c>
      <c r="AC1583">
        <f t="shared" si="146"/>
        <v>629454.80000000005</v>
      </c>
      <c r="AD1583">
        <f t="shared" si="147"/>
        <v>100</v>
      </c>
      <c r="AE1583">
        <f t="shared" si="148"/>
        <v>154000.26</v>
      </c>
      <c r="AF1583" t="str">
        <f t="shared" si="149"/>
        <v>Paid</v>
      </c>
    </row>
    <row r="1584" spans="1:32" ht="17.25" thickBot="1" x14ac:dyDescent="0.35">
      <c r="A1584" s="2" t="s">
        <v>10319</v>
      </c>
      <c r="B1584" s="2" t="s">
        <v>27</v>
      </c>
      <c r="C1584" s="2" t="s">
        <v>28</v>
      </c>
      <c r="D1584" s="2" t="s">
        <v>97</v>
      </c>
      <c r="E1584" s="2" t="s">
        <v>10307</v>
      </c>
      <c r="F1584" s="2" t="s">
        <v>8445</v>
      </c>
      <c r="G1584" s="2" t="s">
        <v>32</v>
      </c>
      <c r="H1584" s="1"/>
      <c r="I1584" s="2" t="s">
        <v>33</v>
      </c>
      <c r="J1584" s="2" t="s">
        <v>34</v>
      </c>
      <c r="K1584" s="2" t="s">
        <v>10320</v>
      </c>
      <c r="L1584" s="2" t="s">
        <v>10321</v>
      </c>
      <c r="M1584" s="2" t="s">
        <v>6146</v>
      </c>
      <c r="N1584" s="2" t="s">
        <v>38</v>
      </c>
      <c r="O1584" s="2" t="s">
        <v>719</v>
      </c>
      <c r="P1584" s="2" t="s">
        <v>6584</v>
      </c>
      <c r="Q1584" s="2" t="s">
        <v>10322</v>
      </c>
      <c r="R1584" s="2" t="s">
        <v>40</v>
      </c>
      <c r="S1584" s="2" t="s">
        <v>10323</v>
      </c>
      <c r="T1584" s="2" t="s">
        <v>10324</v>
      </c>
      <c r="U1584" s="2" t="s">
        <v>10325</v>
      </c>
      <c r="V1584" s="2" t="s">
        <v>10326</v>
      </c>
      <c r="W1584" s="1"/>
      <c r="X1584" s="2" t="s">
        <v>934</v>
      </c>
      <c r="Y1584" s="2" t="s">
        <v>10313</v>
      </c>
      <c r="AA1584" t="str">
        <f t="shared" si="144"/>
        <v>2025-12</v>
      </c>
      <c r="AB1584" t="str">
        <f t="shared" si="145"/>
        <v/>
      </c>
      <c r="AC1584">
        <f t="shared" si="146"/>
        <v>712537.07</v>
      </c>
      <c r="AD1584">
        <f t="shared" si="147"/>
        <v>83</v>
      </c>
      <c r="AE1584">
        <f t="shared" si="148"/>
        <v>174697.07</v>
      </c>
      <c r="AF1584" t="str">
        <f t="shared" si="149"/>
        <v>Paid</v>
      </c>
    </row>
    <row r="1585" spans="1:32" ht="17.25" thickBot="1" x14ac:dyDescent="0.35">
      <c r="A1585" s="2" t="s">
        <v>10327</v>
      </c>
      <c r="B1585" s="2" t="s">
        <v>27</v>
      </c>
      <c r="C1585" s="2" t="s">
        <v>28</v>
      </c>
      <c r="D1585" s="2" t="s">
        <v>97</v>
      </c>
      <c r="E1585" s="2" t="s">
        <v>10307</v>
      </c>
      <c r="F1585" s="2" t="s">
        <v>8445</v>
      </c>
      <c r="G1585" s="2" t="s">
        <v>32</v>
      </c>
      <c r="H1585" s="1"/>
      <c r="I1585" s="2" t="s">
        <v>33</v>
      </c>
      <c r="J1585" s="2" t="s">
        <v>34</v>
      </c>
      <c r="K1585" s="2" t="s">
        <v>6227</v>
      </c>
      <c r="L1585" s="2" t="s">
        <v>6228</v>
      </c>
      <c r="M1585" s="2" t="s">
        <v>6146</v>
      </c>
      <c r="N1585" s="2" t="s">
        <v>38</v>
      </c>
      <c r="O1585" s="2" t="s">
        <v>493</v>
      </c>
      <c r="P1585" s="2" t="s">
        <v>6357</v>
      </c>
      <c r="Q1585" s="2" t="s">
        <v>10328</v>
      </c>
      <c r="R1585" s="2" t="s">
        <v>40</v>
      </c>
      <c r="S1585" s="2" t="s">
        <v>10329</v>
      </c>
      <c r="T1585" s="2" t="s">
        <v>10330</v>
      </c>
      <c r="U1585" s="2" t="s">
        <v>10331</v>
      </c>
      <c r="V1585" s="2" t="s">
        <v>10332</v>
      </c>
      <c r="W1585" s="1"/>
      <c r="X1585" s="2" t="s">
        <v>10333</v>
      </c>
      <c r="Y1585" s="2" t="s">
        <v>10313</v>
      </c>
      <c r="AA1585" t="str">
        <f t="shared" si="144"/>
        <v>2025-12</v>
      </c>
      <c r="AB1585" t="str">
        <f t="shared" si="145"/>
        <v/>
      </c>
      <c r="AC1585">
        <f t="shared" si="146"/>
        <v>4331570.88</v>
      </c>
      <c r="AD1585">
        <f t="shared" si="147"/>
        <v>420</v>
      </c>
      <c r="AE1585">
        <f t="shared" si="148"/>
        <v>2067770.88</v>
      </c>
      <c r="AF1585" t="str">
        <f t="shared" si="149"/>
        <v>Paid</v>
      </c>
    </row>
    <row r="1586" spans="1:32" ht="17.25" thickBot="1" x14ac:dyDescent="0.35">
      <c r="A1586" s="2" t="s">
        <v>10334</v>
      </c>
      <c r="B1586" s="2" t="s">
        <v>27</v>
      </c>
      <c r="C1586" s="2" t="s">
        <v>28</v>
      </c>
      <c r="D1586" s="2" t="s">
        <v>97</v>
      </c>
      <c r="E1586" s="2" t="s">
        <v>10307</v>
      </c>
      <c r="F1586" s="2" t="s">
        <v>8445</v>
      </c>
      <c r="G1586" s="2" t="s">
        <v>32</v>
      </c>
      <c r="H1586" s="1"/>
      <c r="I1586" s="2" t="s">
        <v>33</v>
      </c>
      <c r="J1586" s="2" t="s">
        <v>34</v>
      </c>
      <c r="K1586" s="2" t="s">
        <v>6235</v>
      </c>
      <c r="L1586" s="2" t="s">
        <v>6236</v>
      </c>
      <c r="M1586" s="2" t="s">
        <v>6146</v>
      </c>
      <c r="N1586" s="2" t="s">
        <v>38</v>
      </c>
      <c r="O1586" s="2" t="s">
        <v>2057</v>
      </c>
      <c r="P1586" s="2" t="s">
        <v>10335</v>
      </c>
      <c r="Q1586" s="2" t="s">
        <v>10336</v>
      </c>
      <c r="R1586" s="2" t="s">
        <v>40</v>
      </c>
      <c r="S1586" s="2" t="s">
        <v>10337</v>
      </c>
      <c r="T1586" s="2" t="s">
        <v>2490</v>
      </c>
      <c r="U1586" s="2" t="s">
        <v>10338</v>
      </c>
      <c r="V1586" s="2" t="s">
        <v>10339</v>
      </c>
      <c r="W1586" s="1"/>
      <c r="X1586" s="2" t="s">
        <v>2429</v>
      </c>
      <c r="Y1586" s="2" t="s">
        <v>10313</v>
      </c>
      <c r="AA1586" t="str">
        <f t="shared" si="144"/>
        <v>2025-12</v>
      </c>
      <c r="AB1586" t="str">
        <f t="shared" si="145"/>
        <v/>
      </c>
      <c r="AC1586">
        <f t="shared" si="146"/>
        <v>2797977</v>
      </c>
      <c r="AD1586">
        <f t="shared" si="147"/>
        <v>350</v>
      </c>
      <c r="AE1586">
        <f t="shared" si="148"/>
        <v>682067.92</v>
      </c>
      <c r="AF1586" t="str">
        <f t="shared" si="149"/>
        <v>Paid</v>
      </c>
    </row>
    <row r="1587" spans="1:32" ht="17.25" thickBot="1" x14ac:dyDescent="0.35">
      <c r="A1587" s="2" t="s">
        <v>10340</v>
      </c>
      <c r="B1587" s="2" t="s">
        <v>27</v>
      </c>
      <c r="C1587" s="2" t="s">
        <v>28</v>
      </c>
      <c r="D1587" s="2" t="s">
        <v>97</v>
      </c>
      <c r="E1587" s="2" t="s">
        <v>10307</v>
      </c>
      <c r="F1587" s="2" t="s">
        <v>8445</v>
      </c>
      <c r="G1587" s="2" t="s">
        <v>32</v>
      </c>
      <c r="H1587" s="1"/>
      <c r="I1587" s="2" t="s">
        <v>33</v>
      </c>
      <c r="J1587" s="2" t="s">
        <v>34</v>
      </c>
      <c r="K1587" s="2" t="s">
        <v>6243</v>
      </c>
      <c r="L1587" s="2" t="s">
        <v>6244</v>
      </c>
      <c r="M1587" s="2" t="s">
        <v>6146</v>
      </c>
      <c r="N1587" s="2" t="s">
        <v>38</v>
      </c>
      <c r="O1587" s="2" t="s">
        <v>1538</v>
      </c>
      <c r="P1587" s="2" t="s">
        <v>1068</v>
      </c>
      <c r="Q1587" s="2" t="s">
        <v>10341</v>
      </c>
      <c r="R1587" s="2" t="s">
        <v>40</v>
      </c>
      <c r="S1587" s="2" t="s">
        <v>10342</v>
      </c>
      <c r="T1587" s="2" t="s">
        <v>6247</v>
      </c>
      <c r="U1587" s="2" t="s">
        <v>10343</v>
      </c>
      <c r="V1587" s="2" t="s">
        <v>10344</v>
      </c>
      <c r="W1587" s="1"/>
      <c r="X1587" s="2" t="s">
        <v>1437</v>
      </c>
      <c r="Y1587" s="2" t="s">
        <v>10313</v>
      </c>
      <c r="AA1587" t="str">
        <f t="shared" si="144"/>
        <v>2025-12</v>
      </c>
      <c r="AB1587" t="str">
        <f t="shared" si="145"/>
        <v/>
      </c>
      <c r="AC1587">
        <f t="shared" si="146"/>
        <v>4366716.6399999997</v>
      </c>
      <c r="AD1587">
        <f t="shared" si="147"/>
        <v>440</v>
      </c>
      <c r="AE1587">
        <f t="shared" si="148"/>
        <v>1078716.67</v>
      </c>
      <c r="AF1587" t="str">
        <f t="shared" si="149"/>
        <v>Paid</v>
      </c>
    </row>
    <row r="1588" spans="1:32" ht="17.25" thickBot="1" x14ac:dyDescent="0.35">
      <c r="A1588" s="2" t="s">
        <v>10345</v>
      </c>
      <c r="B1588" s="2" t="s">
        <v>27</v>
      </c>
      <c r="C1588" s="2" t="s">
        <v>28</v>
      </c>
      <c r="D1588" s="2" t="s">
        <v>97</v>
      </c>
      <c r="E1588" s="2" t="s">
        <v>10307</v>
      </c>
      <c r="F1588" s="2" t="s">
        <v>8445</v>
      </c>
      <c r="G1588" s="2" t="s">
        <v>32</v>
      </c>
      <c r="H1588" s="1"/>
      <c r="I1588" s="2" t="s">
        <v>33</v>
      </c>
      <c r="J1588" s="2" t="s">
        <v>34</v>
      </c>
      <c r="K1588" s="2" t="s">
        <v>6290</v>
      </c>
      <c r="L1588" s="2" t="s">
        <v>6291</v>
      </c>
      <c r="M1588" s="2" t="s">
        <v>6146</v>
      </c>
      <c r="N1588" s="2" t="s">
        <v>38</v>
      </c>
      <c r="O1588" s="2" t="s">
        <v>141</v>
      </c>
      <c r="P1588" s="2" t="s">
        <v>2398</v>
      </c>
      <c r="Q1588" s="2" t="s">
        <v>3312</v>
      </c>
      <c r="R1588" s="2" t="s">
        <v>40</v>
      </c>
      <c r="S1588" s="2" t="s">
        <v>10346</v>
      </c>
      <c r="T1588" s="2" t="s">
        <v>6181</v>
      </c>
      <c r="U1588" s="2" t="s">
        <v>10347</v>
      </c>
      <c r="V1588" s="2" t="s">
        <v>10348</v>
      </c>
      <c r="W1588" s="1"/>
      <c r="X1588" s="2" t="s">
        <v>1437</v>
      </c>
      <c r="Y1588" s="2" t="s">
        <v>10313</v>
      </c>
      <c r="AA1588" t="str">
        <f t="shared" si="144"/>
        <v>2025-12</v>
      </c>
      <c r="AB1588" t="str">
        <f t="shared" si="145"/>
        <v/>
      </c>
      <c r="AC1588">
        <f t="shared" si="146"/>
        <v>280878</v>
      </c>
      <c r="AD1588">
        <f t="shared" si="147"/>
        <v>30</v>
      </c>
      <c r="AE1588">
        <f t="shared" si="148"/>
        <v>69514.36</v>
      </c>
      <c r="AF1588" t="str">
        <f t="shared" si="149"/>
        <v>Paid</v>
      </c>
    </row>
    <row r="1589" spans="1:32" ht="27.75" thickBot="1" x14ac:dyDescent="0.35">
      <c r="A1589" s="2" t="s">
        <v>10349</v>
      </c>
      <c r="B1589" s="2" t="s">
        <v>27</v>
      </c>
      <c r="C1589" s="2" t="s">
        <v>28</v>
      </c>
      <c r="D1589" s="2" t="s">
        <v>97</v>
      </c>
      <c r="E1589" s="2" t="s">
        <v>10307</v>
      </c>
      <c r="F1589" s="2" t="s">
        <v>8445</v>
      </c>
      <c r="G1589" s="2" t="s">
        <v>32</v>
      </c>
      <c r="H1589" s="1"/>
      <c r="I1589" s="2" t="s">
        <v>33</v>
      </c>
      <c r="J1589" s="2" t="s">
        <v>34</v>
      </c>
      <c r="K1589" s="2" t="s">
        <v>302</v>
      </c>
      <c r="L1589" s="2" t="s">
        <v>303</v>
      </c>
      <c r="M1589" s="2" t="s">
        <v>304</v>
      </c>
      <c r="N1589" s="2" t="s">
        <v>38</v>
      </c>
      <c r="O1589" s="2" t="s">
        <v>10350</v>
      </c>
      <c r="P1589" s="2" t="s">
        <v>1687</v>
      </c>
      <c r="Q1589" s="2" t="s">
        <v>10351</v>
      </c>
      <c r="R1589" s="2" t="s">
        <v>40</v>
      </c>
      <c r="S1589" s="2" t="s">
        <v>10352</v>
      </c>
      <c r="T1589" s="2" t="s">
        <v>309</v>
      </c>
      <c r="U1589" s="2" t="s">
        <v>10353</v>
      </c>
      <c r="V1589" s="2" t="s">
        <v>10354</v>
      </c>
      <c r="W1589" s="1"/>
      <c r="X1589" s="2" t="s">
        <v>10355</v>
      </c>
      <c r="Y1589" s="2" t="s">
        <v>10356</v>
      </c>
      <c r="AA1589" t="str">
        <f t="shared" si="144"/>
        <v>2025-12</v>
      </c>
      <c r="AB1589" t="str">
        <f t="shared" si="145"/>
        <v/>
      </c>
      <c r="AC1589">
        <f t="shared" si="146"/>
        <v>41598612</v>
      </c>
      <c r="AD1589">
        <f t="shared" si="147"/>
        <v>6600</v>
      </c>
      <c r="AE1589">
        <f t="shared" si="148"/>
        <v>-9617388</v>
      </c>
      <c r="AF1589" t="str">
        <f t="shared" si="149"/>
        <v>Paid</v>
      </c>
    </row>
    <row r="1590" spans="1:32" ht="17.25" thickBot="1" x14ac:dyDescent="0.35">
      <c r="A1590" s="2" t="s">
        <v>10357</v>
      </c>
      <c r="B1590" s="2" t="s">
        <v>27</v>
      </c>
      <c r="C1590" s="2" t="s">
        <v>28</v>
      </c>
      <c r="D1590" s="2" t="s">
        <v>97</v>
      </c>
      <c r="E1590" s="2" t="s">
        <v>10307</v>
      </c>
      <c r="F1590" s="2" t="s">
        <v>8445</v>
      </c>
      <c r="G1590" s="2" t="s">
        <v>32</v>
      </c>
      <c r="H1590" s="1"/>
      <c r="I1590" s="2" t="s">
        <v>33</v>
      </c>
      <c r="J1590" s="2" t="s">
        <v>34</v>
      </c>
      <c r="K1590" s="2" t="s">
        <v>10358</v>
      </c>
      <c r="L1590" s="2" t="s">
        <v>10359</v>
      </c>
      <c r="M1590" s="2" t="s">
        <v>304</v>
      </c>
      <c r="N1590" s="2" t="s">
        <v>38</v>
      </c>
      <c r="O1590" s="2" t="s">
        <v>3064</v>
      </c>
      <c r="P1590" s="2" t="s">
        <v>6865</v>
      </c>
      <c r="Q1590" s="2" t="s">
        <v>10360</v>
      </c>
      <c r="R1590" s="2" t="s">
        <v>40</v>
      </c>
      <c r="S1590" s="2" t="s">
        <v>10361</v>
      </c>
      <c r="T1590" s="2" t="s">
        <v>10362</v>
      </c>
      <c r="U1590" s="2" t="s">
        <v>10363</v>
      </c>
      <c r="V1590" s="2" t="s">
        <v>10364</v>
      </c>
      <c r="W1590" s="1"/>
      <c r="X1590" s="2" t="s">
        <v>6045</v>
      </c>
      <c r="Y1590" s="2" t="s">
        <v>10356</v>
      </c>
      <c r="AA1590" t="str">
        <f t="shared" si="144"/>
        <v>2025-12</v>
      </c>
      <c r="AB1590" t="str">
        <f t="shared" si="145"/>
        <v/>
      </c>
      <c r="AC1590">
        <f t="shared" si="146"/>
        <v>3976935.52</v>
      </c>
      <c r="AD1590">
        <f t="shared" si="147"/>
        <v>368</v>
      </c>
      <c r="AE1590">
        <f t="shared" si="148"/>
        <v>444135.52</v>
      </c>
      <c r="AF1590" t="str">
        <f t="shared" si="149"/>
        <v>Paid</v>
      </c>
    </row>
    <row r="1591" spans="1:32" ht="17.25" thickBot="1" x14ac:dyDescent="0.35">
      <c r="A1591" s="2" t="s">
        <v>10365</v>
      </c>
      <c r="B1591" s="2" t="s">
        <v>27</v>
      </c>
      <c r="C1591" s="2" t="s">
        <v>28</v>
      </c>
      <c r="D1591" s="2" t="s">
        <v>97</v>
      </c>
      <c r="E1591" s="2" t="s">
        <v>10307</v>
      </c>
      <c r="F1591" s="2" t="s">
        <v>8445</v>
      </c>
      <c r="G1591" s="2" t="s">
        <v>32</v>
      </c>
      <c r="H1591" s="1"/>
      <c r="I1591" s="2" t="s">
        <v>33</v>
      </c>
      <c r="J1591" s="2" t="s">
        <v>34</v>
      </c>
      <c r="K1591" s="2" t="s">
        <v>10358</v>
      </c>
      <c r="L1591" s="2" t="s">
        <v>10359</v>
      </c>
      <c r="M1591" s="2" t="s">
        <v>304</v>
      </c>
      <c r="N1591" s="2" t="s">
        <v>38</v>
      </c>
      <c r="O1591" s="2" t="s">
        <v>2922</v>
      </c>
      <c r="P1591" s="2" t="s">
        <v>6865</v>
      </c>
      <c r="Q1591" s="2" t="s">
        <v>10366</v>
      </c>
      <c r="R1591" s="2" t="s">
        <v>40</v>
      </c>
      <c r="S1591" s="2" t="s">
        <v>10367</v>
      </c>
      <c r="T1591" s="2" t="s">
        <v>452</v>
      </c>
      <c r="U1591" s="2" t="s">
        <v>10368</v>
      </c>
      <c r="V1591" s="2" t="s">
        <v>10369</v>
      </c>
      <c r="W1591" s="1"/>
      <c r="X1591" s="2" t="s">
        <v>10370</v>
      </c>
      <c r="Y1591" s="2" t="s">
        <v>10356</v>
      </c>
      <c r="AA1591" t="str">
        <f t="shared" si="144"/>
        <v>2025-12</v>
      </c>
      <c r="AB1591" t="str">
        <f t="shared" si="145"/>
        <v/>
      </c>
      <c r="AC1591">
        <f t="shared" si="146"/>
        <v>3804025.28</v>
      </c>
      <c r="AD1591">
        <f t="shared" si="147"/>
        <v>352</v>
      </c>
      <c r="AE1591">
        <f t="shared" si="148"/>
        <v>-96134.720000000001</v>
      </c>
      <c r="AF1591" t="str">
        <f t="shared" si="149"/>
        <v>Paid</v>
      </c>
    </row>
    <row r="1592" spans="1:32" ht="27.75" thickBot="1" x14ac:dyDescent="0.35">
      <c r="A1592" s="2" t="s">
        <v>10371</v>
      </c>
      <c r="B1592" s="2" t="s">
        <v>27</v>
      </c>
      <c r="C1592" s="2" t="s">
        <v>28</v>
      </c>
      <c r="D1592" s="2" t="s">
        <v>97</v>
      </c>
      <c r="E1592" s="2" t="s">
        <v>10307</v>
      </c>
      <c r="F1592" s="2" t="s">
        <v>8445</v>
      </c>
      <c r="G1592" s="2" t="s">
        <v>32</v>
      </c>
      <c r="H1592" s="1"/>
      <c r="I1592" s="2" t="s">
        <v>33</v>
      </c>
      <c r="J1592" s="2" t="s">
        <v>34</v>
      </c>
      <c r="K1592" s="2" t="s">
        <v>10372</v>
      </c>
      <c r="L1592" s="2" t="s">
        <v>10373</v>
      </c>
      <c r="M1592" s="2" t="s">
        <v>304</v>
      </c>
      <c r="N1592" s="2" t="s">
        <v>38</v>
      </c>
      <c r="O1592" s="2" t="s">
        <v>877</v>
      </c>
      <c r="P1592" s="2" t="s">
        <v>104</v>
      </c>
      <c r="Q1592" s="2" t="s">
        <v>10374</v>
      </c>
      <c r="R1592" s="2" t="s">
        <v>40</v>
      </c>
      <c r="S1592" s="2" t="s">
        <v>10375</v>
      </c>
      <c r="T1592" s="2" t="s">
        <v>10376</v>
      </c>
      <c r="U1592" s="2" t="s">
        <v>10377</v>
      </c>
      <c r="V1592" s="2" t="s">
        <v>10378</v>
      </c>
      <c r="W1592" s="2" t="s">
        <v>41</v>
      </c>
      <c r="X1592" s="2" t="s">
        <v>10379</v>
      </c>
      <c r="Y1592" s="2" t="s">
        <v>10356</v>
      </c>
      <c r="AA1592" t="str">
        <f t="shared" si="144"/>
        <v>2025-12</v>
      </c>
      <c r="AB1592" t="str">
        <f t="shared" si="145"/>
        <v/>
      </c>
      <c r="AC1592">
        <f t="shared" si="146"/>
        <v>1439</v>
      </c>
      <c r="AD1592">
        <f t="shared" si="147"/>
        <v>100</v>
      </c>
      <c r="AE1592">
        <f t="shared" si="148"/>
        <v>-275561</v>
      </c>
      <c r="AF1592" t="str">
        <f t="shared" si="149"/>
        <v>Sample</v>
      </c>
    </row>
    <row r="1593" spans="1:32" ht="17.25" thickBot="1" x14ac:dyDescent="0.35">
      <c r="A1593" s="2" t="s">
        <v>10380</v>
      </c>
      <c r="B1593" s="2" t="s">
        <v>27</v>
      </c>
      <c r="C1593" s="2" t="s">
        <v>28</v>
      </c>
      <c r="D1593" s="2" t="s">
        <v>97</v>
      </c>
      <c r="E1593" s="2" t="s">
        <v>10307</v>
      </c>
      <c r="F1593" s="2" t="s">
        <v>8445</v>
      </c>
      <c r="G1593" s="2" t="s">
        <v>32</v>
      </c>
      <c r="H1593" s="1"/>
      <c r="I1593" s="2" t="s">
        <v>33</v>
      </c>
      <c r="J1593" s="2" t="s">
        <v>34</v>
      </c>
      <c r="K1593" s="2" t="s">
        <v>324</v>
      </c>
      <c r="L1593" s="2" t="s">
        <v>325</v>
      </c>
      <c r="M1593" s="2" t="s">
        <v>304</v>
      </c>
      <c r="N1593" s="2" t="s">
        <v>38</v>
      </c>
      <c r="O1593" s="2" t="s">
        <v>10381</v>
      </c>
      <c r="P1593" s="2" t="s">
        <v>7368</v>
      </c>
      <c r="Q1593" s="2" t="s">
        <v>10382</v>
      </c>
      <c r="R1593" s="2" t="s">
        <v>40</v>
      </c>
      <c r="S1593" s="2" t="s">
        <v>10383</v>
      </c>
      <c r="T1593" s="2" t="s">
        <v>10384</v>
      </c>
      <c r="U1593" s="2" t="s">
        <v>5777</v>
      </c>
      <c r="V1593" s="2" t="s">
        <v>10385</v>
      </c>
      <c r="W1593" s="1"/>
      <c r="X1593" s="2" t="s">
        <v>7236</v>
      </c>
      <c r="Y1593" s="2" t="s">
        <v>10356</v>
      </c>
      <c r="AA1593" t="str">
        <f t="shared" si="144"/>
        <v>2025-12</v>
      </c>
      <c r="AB1593" t="str">
        <f t="shared" si="145"/>
        <v/>
      </c>
      <c r="AC1593">
        <f t="shared" si="146"/>
        <v>80366020.280000001</v>
      </c>
      <c r="AD1593">
        <f t="shared" si="147"/>
        <v>6412</v>
      </c>
      <c r="AE1593">
        <f t="shared" si="148"/>
        <v>13886020.279999999</v>
      </c>
      <c r="AF1593" t="str">
        <f t="shared" si="149"/>
        <v>Paid</v>
      </c>
    </row>
    <row r="1594" spans="1:32" ht="17.25" thickBot="1" x14ac:dyDescent="0.35">
      <c r="A1594" s="2" t="s">
        <v>10386</v>
      </c>
      <c r="B1594" s="2" t="s">
        <v>27</v>
      </c>
      <c r="C1594" s="2" t="s">
        <v>28</v>
      </c>
      <c r="D1594" s="2" t="s">
        <v>97</v>
      </c>
      <c r="E1594" s="2" t="s">
        <v>10307</v>
      </c>
      <c r="F1594" s="2" t="s">
        <v>8445</v>
      </c>
      <c r="G1594" s="2" t="s">
        <v>32</v>
      </c>
      <c r="H1594" s="1"/>
      <c r="I1594" s="2" t="s">
        <v>33</v>
      </c>
      <c r="J1594" s="2" t="s">
        <v>34</v>
      </c>
      <c r="K1594" s="2" t="s">
        <v>324</v>
      </c>
      <c r="L1594" s="2" t="s">
        <v>325</v>
      </c>
      <c r="M1594" s="2" t="s">
        <v>304</v>
      </c>
      <c r="N1594" s="2" t="s">
        <v>38</v>
      </c>
      <c r="O1594" s="2" t="s">
        <v>156</v>
      </c>
      <c r="P1594" s="2" t="s">
        <v>7368</v>
      </c>
      <c r="Q1594" s="2" t="s">
        <v>7369</v>
      </c>
      <c r="R1594" s="2" t="s">
        <v>40</v>
      </c>
      <c r="S1594" s="2" t="s">
        <v>10387</v>
      </c>
      <c r="T1594" s="2" t="s">
        <v>452</v>
      </c>
      <c r="U1594" s="2" t="s">
        <v>10388</v>
      </c>
      <c r="V1594" s="2" t="s">
        <v>10389</v>
      </c>
      <c r="W1594" s="1"/>
      <c r="X1594" s="2" t="s">
        <v>387</v>
      </c>
      <c r="Y1594" s="2" t="s">
        <v>10356</v>
      </c>
      <c r="AA1594" t="str">
        <f t="shared" si="144"/>
        <v>2025-12</v>
      </c>
      <c r="AB1594" t="str">
        <f t="shared" si="145"/>
        <v/>
      </c>
      <c r="AC1594">
        <f t="shared" si="146"/>
        <v>250673.8</v>
      </c>
      <c r="AD1594">
        <f t="shared" si="147"/>
        <v>20</v>
      </c>
      <c r="AE1594">
        <f t="shared" si="148"/>
        <v>29073.8</v>
      </c>
      <c r="AF1594" t="str">
        <f t="shared" si="149"/>
        <v>Paid</v>
      </c>
    </row>
    <row r="1595" spans="1:32" ht="17.25" thickBot="1" x14ac:dyDescent="0.35">
      <c r="A1595" s="2" t="s">
        <v>10390</v>
      </c>
      <c r="B1595" s="2" t="s">
        <v>27</v>
      </c>
      <c r="C1595" s="2" t="s">
        <v>28</v>
      </c>
      <c r="D1595" s="2" t="s">
        <v>97</v>
      </c>
      <c r="E1595" s="2" t="s">
        <v>10307</v>
      </c>
      <c r="F1595" s="2" t="s">
        <v>8445</v>
      </c>
      <c r="G1595" s="2" t="s">
        <v>32</v>
      </c>
      <c r="H1595" s="1"/>
      <c r="I1595" s="2" t="s">
        <v>33</v>
      </c>
      <c r="J1595" s="2" t="s">
        <v>34</v>
      </c>
      <c r="K1595" s="2" t="s">
        <v>5959</v>
      </c>
      <c r="L1595" s="2" t="s">
        <v>5960</v>
      </c>
      <c r="M1595" s="2" t="s">
        <v>304</v>
      </c>
      <c r="N1595" s="2" t="s">
        <v>38</v>
      </c>
      <c r="O1595" s="2" t="s">
        <v>849</v>
      </c>
      <c r="P1595" s="2" t="s">
        <v>10391</v>
      </c>
      <c r="Q1595" s="2" t="s">
        <v>10392</v>
      </c>
      <c r="R1595" s="2" t="s">
        <v>40</v>
      </c>
      <c r="S1595" s="2" t="s">
        <v>10393</v>
      </c>
      <c r="T1595" s="2" t="s">
        <v>2101</v>
      </c>
      <c r="U1595" s="2" t="s">
        <v>10394</v>
      </c>
      <c r="V1595" s="2" t="s">
        <v>10395</v>
      </c>
      <c r="W1595" s="1"/>
      <c r="X1595" s="2" t="s">
        <v>173</v>
      </c>
      <c r="Y1595" s="2" t="s">
        <v>10356</v>
      </c>
      <c r="AA1595" t="str">
        <f t="shared" si="144"/>
        <v>2025-12</v>
      </c>
      <c r="AB1595" t="str">
        <f t="shared" si="145"/>
        <v/>
      </c>
      <c r="AC1595">
        <f t="shared" si="146"/>
        <v>2016902.4</v>
      </c>
      <c r="AD1595">
        <f t="shared" si="147"/>
        <v>160</v>
      </c>
      <c r="AE1595">
        <f t="shared" si="148"/>
        <v>864902.4</v>
      </c>
      <c r="AF1595" t="str">
        <f t="shared" si="149"/>
        <v>Paid</v>
      </c>
    </row>
    <row r="1596" spans="1:32" ht="17.25" thickBot="1" x14ac:dyDescent="0.35">
      <c r="A1596" s="2" t="s">
        <v>10396</v>
      </c>
      <c r="B1596" s="2" t="s">
        <v>27</v>
      </c>
      <c r="C1596" s="2" t="s">
        <v>28</v>
      </c>
      <c r="D1596" s="2" t="s">
        <v>97</v>
      </c>
      <c r="E1596" s="2" t="s">
        <v>10307</v>
      </c>
      <c r="F1596" s="2" t="s">
        <v>8445</v>
      </c>
      <c r="G1596" s="2" t="s">
        <v>32</v>
      </c>
      <c r="H1596" s="1"/>
      <c r="I1596" s="2" t="s">
        <v>33</v>
      </c>
      <c r="J1596" s="2" t="s">
        <v>34</v>
      </c>
      <c r="K1596" s="2" t="s">
        <v>341</v>
      </c>
      <c r="L1596" s="2" t="s">
        <v>342</v>
      </c>
      <c r="M1596" s="2" t="s">
        <v>304</v>
      </c>
      <c r="N1596" s="2" t="s">
        <v>38</v>
      </c>
      <c r="O1596" s="2" t="s">
        <v>1538</v>
      </c>
      <c r="P1596" s="2" t="s">
        <v>10397</v>
      </c>
      <c r="Q1596" s="2" t="s">
        <v>10398</v>
      </c>
      <c r="R1596" s="2" t="s">
        <v>40</v>
      </c>
      <c r="S1596" s="2" t="s">
        <v>10399</v>
      </c>
      <c r="T1596" s="2" t="s">
        <v>2111</v>
      </c>
      <c r="U1596" s="2" t="s">
        <v>10400</v>
      </c>
      <c r="V1596" s="2" t="s">
        <v>10401</v>
      </c>
      <c r="W1596" s="1"/>
      <c r="X1596" s="2" t="s">
        <v>566</v>
      </c>
      <c r="Y1596" s="2" t="s">
        <v>10356</v>
      </c>
      <c r="AA1596" t="str">
        <f t="shared" si="144"/>
        <v>2025-12</v>
      </c>
      <c r="AB1596" t="str">
        <f t="shared" si="145"/>
        <v/>
      </c>
      <c r="AC1596">
        <f t="shared" si="146"/>
        <v>4951311.2</v>
      </c>
      <c r="AD1596">
        <f t="shared" si="147"/>
        <v>440</v>
      </c>
      <c r="AE1596">
        <f t="shared" si="148"/>
        <v>551311.19999999995</v>
      </c>
      <c r="AF1596" t="str">
        <f t="shared" si="149"/>
        <v>Paid</v>
      </c>
    </row>
    <row r="1597" spans="1:32" ht="27.75" thickBot="1" x14ac:dyDescent="0.35">
      <c r="A1597" s="2" t="s">
        <v>10402</v>
      </c>
      <c r="B1597" s="2" t="s">
        <v>27</v>
      </c>
      <c r="C1597" s="2" t="s">
        <v>28</v>
      </c>
      <c r="D1597" s="2" t="s">
        <v>97</v>
      </c>
      <c r="E1597" s="2" t="s">
        <v>10307</v>
      </c>
      <c r="F1597" s="2" t="s">
        <v>8445</v>
      </c>
      <c r="G1597" s="2" t="s">
        <v>32</v>
      </c>
      <c r="H1597" s="1"/>
      <c r="I1597" s="2" t="s">
        <v>33</v>
      </c>
      <c r="J1597" s="2" t="s">
        <v>34</v>
      </c>
      <c r="K1597" s="2" t="s">
        <v>360</v>
      </c>
      <c r="L1597" s="2" t="s">
        <v>361</v>
      </c>
      <c r="M1597" s="2" t="s">
        <v>304</v>
      </c>
      <c r="N1597" s="2" t="s">
        <v>38</v>
      </c>
      <c r="O1597" s="2" t="s">
        <v>159</v>
      </c>
      <c r="P1597" s="2" t="s">
        <v>5472</v>
      </c>
      <c r="Q1597" s="2" t="s">
        <v>10403</v>
      </c>
      <c r="R1597" s="2" t="s">
        <v>40</v>
      </c>
      <c r="S1597" s="2" t="s">
        <v>10404</v>
      </c>
      <c r="T1597" s="2" t="s">
        <v>107</v>
      </c>
      <c r="U1597" s="2" t="s">
        <v>7165</v>
      </c>
      <c r="V1597" s="2" t="s">
        <v>10405</v>
      </c>
      <c r="W1597" s="1"/>
      <c r="X1597" s="2" t="s">
        <v>9050</v>
      </c>
      <c r="Y1597" s="2" t="s">
        <v>10356</v>
      </c>
      <c r="AA1597" t="str">
        <f t="shared" si="144"/>
        <v>2025-12</v>
      </c>
      <c r="AB1597" t="str">
        <f t="shared" si="145"/>
        <v/>
      </c>
      <c r="AC1597">
        <f t="shared" si="146"/>
        <v>705685.6</v>
      </c>
      <c r="AD1597">
        <f t="shared" si="147"/>
        <v>80</v>
      </c>
      <c r="AE1597">
        <f t="shared" si="148"/>
        <v>257685.6</v>
      </c>
      <c r="AF1597" t="str">
        <f t="shared" si="149"/>
        <v>Paid</v>
      </c>
    </row>
    <row r="1598" spans="1:32" ht="17.25" thickBot="1" x14ac:dyDescent="0.35">
      <c r="A1598" s="2" t="s">
        <v>10406</v>
      </c>
      <c r="B1598" s="2" t="s">
        <v>27</v>
      </c>
      <c r="C1598" s="2" t="s">
        <v>28</v>
      </c>
      <c r="D1598" s="2" t="s">
        <v>97</v>
      </c>
      <c r="E1598" s="2" t="s">
        <v>10307</v>
      </c>
      <c r="F1598" s="2" t="s">
        <v>8445</v>
      </c>
      <c r="G1598" s="2" t="s">
        <v>32</v>
      </c>
      <c r="H1598" s="1"/>
      <c r="I1598" s="2" t="s">
        <v>33</v>
      </c>
      <c r="J1598" s="2" t="s">
        <v>34</v>
      </c>
      <c r="K1598" s="2" t="s">
        <v>368</v>
      </c>
      <c r="L1598" s="2" t="s">
        <v>369</v>
      </c>
      <c r="M1598" s="2" t="s">
        <v>304</v>
      </c>
      <c r="N1598" s="2" t="s">
        <v>38</v>
      </c>
      <c r="O1598" s="2" t="s">
        <v>177</v>
      </c>
      <c r="P1598" s="2" t="s">
        <v>9148</v>
      </c>
      <c r="Q1598" s="2" t="s">
        <v>10407</v>
      </c>
      <c r="R1598" s="2" t="s">
        <v>40</v>
      </c>
      <c r="S1598" s="2" t="s">
        <v>10408</v>
      </c>
      <c r="T1598" s="2" t="s">
        <v>10409</v>
      </c>
      <c r="U1598" s="2" t="s">
        <v>10410</v>
      </c>
      <c r="V1598" s="2" t="s">
        <v>10411</v>
      </c>
      <c r="W1598" s="1"/>
      <c r="X1598" s="2" t="s">
        <v>3903</v>
      </c>
      <c r="Y1598" s="2" t="s">
        <v>10356</v>
      </c>
      <c r="AA1598" t="str">
        <f t="shared" si="144"/>
        <v>2025-12</v>
      </c>
      <c r="AB1598" t="str">
        <f t="shared" si="145"/>
        <v/>
      </c>
      <c r="AC1598">
        <f t="shared" si="146"/>
        <v>5278252</v>
      </c>
      <c r="AD1598">
        <f t="shared" si="147"/>
        <v>400</v>
      </c>
      <c r="AE1598">
        <f t="shared" si="148"/>
        <v>847522</v>
      </c>
      <c r="AF1598" t="str">
        <f t="shared" si="149"/>
        <v>Paid</v>
      </c>
    </row>
    <row r="1599" spans="1:32" ht="17.25" thickBot="1" x14ac:dyDescent="0.35">
      <c r="A1599" s="2" t="s">
        <v>10412</v>
      </c>
      <c r="B1599" s="2" t="s">
        <v>27</v>
      </c>
      <c r="C1599" s="2" t="s">
        <v>28</v>
      </c>
      <c r="D1599" s="2" t="s">
        <v>97</v>
      </c>
      <c r="E1599" s="2" t="s">
        <v>10307</v>
      </c>
      <c r="F1599" s="2" t="s">
        <v>8445</v>
      </c>
      <c r="G1599" s="2" t="s">
        <v>32</v>
      </c>
      <c r="H1599" s="1"/>
      <c r="I1599" s="2" t="s">
        <v>33</v>
      </c>
      <c r="J1599" s="2" t="s">
        <v>34</v>
      </c>
      <c r="K1599" s="2" t="s">
        <v>10413</v>
      </c>
      <c r="L1599" s="2" t="s">
        <v>10414</v>
      </c>
      <c r="M1599" s="2" t="s">
        <v>304</v>
      </c>
      <c r="N1599" s="2" t="s">
        <v>38</v>
      </c>
      <c r="O1599" s="2" t="s">
        <v>773</v>
      </c>
      <c r="P1599" s="2" t="s">
        <v>104</v>
      </c>
      <c r="Q1599" s="2" t="s">
        <v>10415</v>
      </c>
      <c r="R1599" s="2" t="s">
        <v>40</v>
      </c>
      <c r="S1599" s="2" t="s">
        <v>10416</v>
      </c>
      <c r="T1599" s="2" t="s">
        <v>10417</v>
      </c>
      <c r="U1599" s="2" t="s">
        <v>10418</v>
      </c>
      <c r="V1599" s="2" t="s">
        <v>10419</v>
      </c>
      <c r="W1599" s="2" t="s">
        <v>41</v>
      </c>
      <c r="X1599" s="2" t="s">
        <v>10420</v>
      </c>
      <c r="Y1599" s="2" t="s">
        <v>10356</v>
      </c>
      <c r="AA1599" t="str">
        <f t="shared" si="144"/>
        <v>2025-12</v>
      </c>
      <c r="AB1599" t="str">
        <f t="shared" si="145"/>
        <v/>
      </c>
      <c r="AC1599">
        <f t="shared" si="146"/>
        <v>2878</v>
      </c>
      <c r="AD1599">
        <f t="shared" si="147"/>
        <v>200</v>
      </c>
      <c r="AE1599">
        <f t="shared" si="148"/>
        <v>-384782</v>
      </c>
      <c r="AF1599" t="str">
        <f t="shared" si="149"/>
        <v>Sample</v>
      </c>
    </row>
    <row r="1600" spans="1:32" ht="27.75" thickBot="1" x14ac:dyDescent="0.35">
      <c r="A1600" s="2" t="s">
        <v>10421</v>
      </c>
      <c r="B1600" s="2" t="s">
        <v>27</v>
      </c>
      <c r="C1600" s="2" t="s">
        <v>28</v>
      </c>
      <c r="D1600" s="2" t="s">
        <v>97</v>
      </c>
      <c r="E1600" s="2" t="s">
        <v>10307</v>
      </c>
      <c r="F1600" s="2" t="s">
        <v>8445</v>
      </c>
      <c r="G1600" s="2" t="s">
        <v>32</v>
      </c>
      <c r="H1600" s="1"/>
      <c r="I1600" s="2" t="s">
        <v>33</v>
      </c>
      <c r="J1600" s="2" t="s">
        <v>34</v>
      </c>
      <c r="K1600" s="2" t="s">
        <v>5987</v>
      </c>
      <c r="L1600" s="2" t="s">
        <v>5988</v>
      </c>
      <c r="M1600" s="2" t="s">
        <v>304</v>
      </c>
      <c r="N1600" s="2" t="s">
        <v>38</v>
      </c>
      <c r="O1600" s="2" t="s">
        <v>177</v>
      </c>
      <c r="P1600" s="2" t="s">
        <v>10422</v>
      </c>
      <c r="Q1600" s="2" t="s">
        <v>10423</v>
      </c>
      <c r="R1600" s="2" t="s">
        <v>40</v>
      </c>
      <c r="S1600" s="2" t="s">
        <v>10424</v>
      </c>
      <c r="T1600" s="2" t="s">
        <v>5992</v>
      </c>
      <c r="U1600" s="2" t="s">
        <v>10425</v>
      </c>
      <c r="V1600" s="2" t="s">
        <v>10426</v>
      </c>
      <c r="W1600" s="1"/>
      <c r="X1600" s="2" t="s">
        <v>350</v>
      </c>
      <c r="Y1600" s="2" t="s">
        <v>10356</v>
      </c>
      <c r="AA1600" t="str">
        <f t="shared" si="144"/>
        <v>2025-12</v>
      </c>
      <c r="AB1600" t="str">
        <f t="shared" si="145"/>
        <v/>
      </c>
      <c r="AC1600">
        <f t="shared" si="146"/>
        <v>1001544</v>
      </c>
      <c r="AD1600">
        <f t="shared" si="147"/>
        <v>400</v>
      </c>
      <c r="AE1600">
        <f t="shared" si="148"/>
        <v>113544</v>
      </c>
      <c r="AF1600" t="str">
        <f t="shared" si="149"/>
        <v>Paid</v>
      </c>
    </row>
    <row r="1601" spans="1:32" ht="17.25" thickBot="1" x14ac:dyDescent="0.35">
      <c r="A1601" s="2" t="s">
        <v>10427</v>
      </c>
      <c r="B1601" s="2" t="s">
        <v>27</v>
      </c>
      <c r="C1601" s="2" t="s">
        <v>28</v>
      </c>
      <c r="D1601" s="2" t="s">
        <v>97</v>
      </c>
      <c r="E1601" s="2" t="s">
        <v>10307</v>
      </c>
      <c r="F1601" s="2" t="s">
        <v>8445</v>
      </c>
      <c r="G1601" s="2" t="s">
        <v>32</v>
      </c>
      <c r="H1601" s="1"/>
      <c r="I1601" s="2" t="s">
        <v>33</v>
      </c>
      <c r="J1601" s="2" t="s">
        <v>34</v>
      </c>
      <c r="K1601" s="2" t="s">
        <v>10428</v>
      </c>
      <c r="L1601" s="2" t="s">
        <v>10429</v>
      </c>
      <c r="M1601" s="2" t="s">
        <v>304</v>
      </c>
      <c r="N1601" s="2" t="s">
        <v>38</v>
      </c>
      <c r="O1601" s="2" t="s">
        <v>849</v>
      </c>
      <c r="P1601" s="2" t="s">
        <v>2398</v>
      </c>
      <c r="Q1601" s="2" t="s">
        <v>6699</v>
      </c>
      <c r="R1601" s="2" t="s">
        <v>40</v>
      </c>
      <c r="S1601" s="2" t="s">
        <v>10430</v>
      </c>
      <c r="T1601" s="2" t="s">
        <v>2101</v>
      </c>
      <c r="U1601" s="2" t="s">
        <v>10394</v>
      </c>
      <c r="V1601" s="2" t="s">
        <v>10431</v>
      </c>
      <c r="W1601" s="1"/>
      <c r="X1601" s="2" t="s">
        <v>2958</v>
      </c>
      <c r="Y1601" s="2" t="s">
        <v>10356</v>
      </c>
      <c r="AA1601" t="str">
        <f t="shared" si="144"/>
        <v>2025-12</v>
      </c>
      <c r="AB1601" t="str">
        <f t="shared" si="145"/>
        <v/>
      </c>
      <c r="AC1601">
        <f t="shared" si="146"/>
        <v>1496560</v>
      </c>
      <c r="AD1601">
        <f t="shared" si="147"/>
        <v>160</v>
      </c>
      <c r="AE1601">
        <f t="shared" si="148"/>
        <v>344560</v>
      </c>
      <c r="AF1601" t="str">
        <f t="shared" si="149"/>
        <v>Paid</v>
      </c>
    </row>
    <row r="1602" spans="1:32" ht="27.75" thickBot="1" x14ac:dyDescent="0.35">
      <c r="A1602" s="2" t="s">
        <v>10432</v>
      </c>
      <c r="B1602" s="2" t="s">
        <v>27</v>
      </c>
      <c r="C1602" s="2" t="s">
        <v>28</v>
      </c>
      <c r="D1602" s="2" t="s">
        <v>97</v>
      </c>
      <c r="E1602" s="2" t="s">
        <v>10307</v>
      </c>
      <c r="F1602" s="2" t="s">
        <v>8445</v>
      </c>
      <c r="G1602" s="2" t="s">
        <v>32</v>
      </c>
      <c r="H1602" s="1"/>
      <c r="I1602" s="2" t="s">
        <v>33</v>
      </c>
      <c r="J1602" s="2" t="s">
        <v>34</v>
      </c>
      <c r="K1602" s="2" t="s">
        <v>10433</v>
      </c>
      <c r="L1602" s="2" t="s">
        <v>10434</v>
      </c>
      <c r="M1602" s="2" t="s">
        <v>304</v>
      </c>
      <c r="N1602" s="2" t="s">
        <v>38</v>
      </c>
      <c r="O1602" s="2" t="s">
        <v>79</v>
      </c>
      <c r="P1602" s="2" t="s">
        <v>10435</v>
      </c>
      <c r="Q1602" s="2" t="s">
        <v>168</v>
      </c>
      <c r="R1602" s="2" t="s">
        <v>40</v>
      </c>
      <c r="S1602" s="2" t="s">
        <v>10436</v>
      </c>
      <c r="T1602" s="2" t="s">
        <v>10437</v>
      </c>
      <c r="U1602" s="2" t="s">
        <v>6632</v>
      </c>
      <c r="V1602" s="2" t="s">
        <v>10438</v>
      </c>
      <c r="W1602" s="1"/>
      <c r="X1602" s="2" t="s">
        <v>6032</v>
      </c>
      <c r="Y1602" s="2" t="s">
        <v>10356</v>
      </c>
      <c r="AA1602" t="str">
        <f t="shared" si="144"/>
        <v>2025-12</v>
      </c>
      <c r="AB1602" t="str">
        <f t="shared" si="145"/>
        <v/>
      </c>
      <c r="AC1602">
        <f t="shared" si="146"/>
        <v>19138.7</v>
      </c>
      <c r="AD1602">
        <f t="shared" si="147"/>
        <v>10</v>
      </c>
      <c r="AE1602">
        <f t="shared" si="148"/>
        <v>3138.7</v>
      </c>
      <c r="AF1602" t="str">
        <f t="shared" si="149"/>
        <v>Paid</v>
      </c>
    </row>
    <row r="1603" spans="1:32" ht="27.75" thickBot="1" x14ac:dyDescent="0.35">
      <c r="A1603" s="2" t="s">
        <v>10439</v>
      </c>
      <c r="B1603" s="2" t="s">
        <v>27</v>
      </c>
      <c r="C1603" s="2" t="s">
        <v>28</v>
      </c>
      <c r="D1603" s="2" t="s">
        <v>97</v>
      </c>
      <c r="E1603" s="2" t="s">
        <v>10307</v>
      </c>
      <c r="F1603" s="2" t="s">
        <v>8445</v>
      </c>
      <c r="G1603" s="2" t="s">
        <v>32</v>
      </c>
      <c r="H1603" s="1"/>
      <c r="I1603" s="2" t="s">
        <v>33</v>
      </c>
      <c r="J1603" s="2" t="s">
        <v>34</v>
      </c>
      <c r="K1603" s="2" t="s">
        <v>379</v>
      </c>
      <c r="L1603" s="2" t="s">
        <v>380</v>
      </c>
      <c r="M1603" s="2" t="s">
        <v>304</v>
      </c>
      <c r="N1603" s="2" t="s">
        <v>38</v>
      </c>
      <c r="O1603" s="2" t="s">
        <v>149</v>
      </c>
      <c r="P1603" s="2" t="s">
        <v>6930</v>
      </c>
      <c r="Q1603" s="2" t="s">
        <v>10440</v>
      </c>
      <c r="R1603" s="2" t="s">
        <v>40</v>
      </c>
      <c r="S1603" s="2" t="s">
        <v>10441</v>
      </c>
      <c r="T1603" s="2" t="s">
        <v>10442</v>
      </c>
      <c r="U1603" s="2" t="s">
        <v>10443</v>
      </c>
      <c r="V1603" s="2" t="s">
        <v>10444</v>
      </c>
      <c r="W1603" s="1"/>
      <c r="X1603" s="2" t="s">
        <v>6955</v>
      </c>
      <c r="Y1603" s="2" t="s">
        <v>10356</v>
      </c>
      <c r="AA1603" t="str">
        <f t="shared" si="144"/>
        <v>2025-12</v>
      </c>
      <c r="AB1603" t="str">
        <f t="shared" si="145"/>
        <v/>
      </c>
      <c r="AC1603">
        <f t="shared" si="146"/>
        <v>660501</v>
      </c>
      <c r="AD1603">
        <f t="shared" si="147"/>
        <v>300</v>
      </c>
      <c r="AE1603">
        <f t="shared" si="148"/>
        <v>85641</v>
      </c>
      <c r="AF1603" t="str">
        <f t="shared" si="149"/>
        <v>Paid</v>
      </c>
    </row>
    <row r="1604" spans="1:32" ht="27.75" thickBot="1" x14ac:dyDescent="0.35">
      <c r="A1604" s="2" t="s">
        <v>10445</v>
      </c>
      <c r="B1604" s="2" t="s">
        <v>27</v>
      </c>
      <c r="C1604" s="2" t="s">
        <v>28</v>
      </c>
      <c r="D1604" s="2" t="s">
        <v>97</v>
      </c>
      <c r="E1604" s="2" t="s">
        <v>10307</v>
      </c>
      <c r="F1604" s="2" t="s">
        <v>8445</v>
      </c>
      <c r="G1604" s="2" t="s">
        <v>32</v>
      </c>
      <c r="H1604" s="1"/>
      <c r="I1604" s="2" t="s">
        <v>33</v>
      </c>
      <c r="J1604" s="2" t="s">
        <v>34</v>
      </c>
      <c r="K1604" s="2" t="s">
        <v>7430</v>
      </c>
      <c r="L1604" s="2" t="s">
        <v>7431</v>
      </c>
      <c r="M1604" s="2" t="s">
        <v>304</v>
      </c>
      <c r="N1604" s="2" t="s">
        <v>38</v>
      </c>
      <c r="O1604" s="2" t="s">
        <v>3379</v>
      </c>
      <c r="P1604" s="2" t="s">
        <v>9148</v>
      </c>
      <c r="Q1604" s="2" t="s">
        <v>10446</v>
      </c>
      <c r="R1604" s="2" t="s">
        <v>40</v>
      </c>
      <c r="S1604" s="2" t="s">
        <v>10447</v>
      </c>
      <c r="T1604" s="2" t="s">
        <v>374</v>
      </c>
      <c r="U1604" s="2" t="s">
        <v>10448</v>
      </c>
      <c r="V1604" s="2" t="s">
        <v>10449</v>
      </c>
      <c r="W1604" s="1"/>
      <c r="X1604" s="2" t="s">
        <v>377</v>
      </c>
      <c r="Y1604" s="2" t="s">
        <v>10356</v>
      </c>
      <c r="AA1604" t="str">
        <f t="shared" ref="AA1604:AA1667" si="150">LEFT(E1604,7)</f>
        <v>2025-12</v>
      </c>
      <c r="AB1604" t="str">
        <f t="shared" ref="AB1604:AB1667" si="151">IF(AND($AA1604&gt;="2025-01",$AA1604&lt;="2025-06"),"H1_2025",IF(AND($AA1604&gt;="2026-01",$AA1604&lt;="2026-06"),"H1_2026",""))</f>
        <v/>
      </c>
      <c r="AC1604">
        <f t="shared" ref="AC1604:AC1667" si="152">IFERROR(VALUE(SUBSTITUTE(S1604,",","")),0)</f>
        <v>5489382.0800000001</v>
      </c>
      <c r="AD1604">
        <f t="shared" ref="AD1604:AD1667" si="153">IFERROR(VALUE(SUBSTITUTE(O1604,",","")),0)</f>
        <v>416</v>
      </c>
      <c r="AE1604">
        <f t="shared" ref="AE1604:AE1667" si="154">IFERROR(VALUE(SUBSTITUTE(V1604,",","")),0)</f>
        <v>651302.07999999996</v>
      </c>
      <c r="AF1604" t="str">
        <f t="shared" ref="AF1604:AF1667" si="155">IF(ISNUMBER(SEARCH("FOC",W1604)),"FOC",IF(ISNUMBER(SEARCH("샘플",W1604)),"Sample","Paid"))</f>
        <v>Paid</v>
      </c>
    </row>
    <row r="1605" spans="1:32" ht="27.75" thickBot="1" x14ac:dyDescent="0.35">
      <c r="A1605" s="2" t="s">
        <v>10450</v>
      </c>
      <c r="B1605" s="2" t="s">
        <v>27</v>
      </c>
      <c r="C1605" s="2" t="s">
        <v>28</v>
      </c>
      <c r="D1605" s="2" t="s">
        <v>97</v>
      </c>
      <c r="E1605" s="2" t="s">
        <v>10307</v>
      </c>
      <c r="F1605" s="2" t="s">
        <v>8445</v>
      </c>
      <c r="G1605" s="2" t="s">
        <v>32</v>
      </c>
      <c r="H1605" s="1"/>
      <c r="I1605" s="2" t="s">
        <v>33</v>
      </c>
      <c r="J1605" s="2" t="s">
        <v>34</v>
      </c>
      <c r="K1605" s="2" t="s">
        <v>4756</v>
      </c>
      <c r="L1605" s="2" t="s">
        <v>4757</v>
      </c>
      <c r="M1605" s="2" t="s">
        <v>304</v>
      </c>
      <c r="N1605" s="2" t="s">
        <v>38</v>
      </c>
      <c r="O1605" s="2" t="s">
        <v>79</v>
      </c>
      <c r="P1605" s="2" t="s">
        <v>6930</v>
      </c>
      <c r="Q1605" s="2" t="s">
        <v>9035</v>
      </c>
      <c r="R1605" s="2" t="s">
        <v>40</v>
      </c>
      <c r="S1605" s="2" t="s">
        <v>10451</v>
      </c>
      <c r="T1605" s="2" t="s">
        <v>10437</v>
      </c>
      <c r="U1605" s="2" t="s">
        <v>6632</v>
      </c>
      <c r="V1605" s="2" t="s">
        <v>10452</v>
      </c>
      <c r="W1605" s="1"/>
      <c r="X1605" s="2" t="s">
        <v>5779</v>
      </c>
      <c r="Y1605" s="2" t="s">
        <v>10356</v>
      </c>
      <c r="AA1605" t="str">
        <f t="shared" si="150"/>
        <v>2025-12</v>
      </c>
      <c r="AB1605" t="str">
        <f t="shared" si="151"/>
        <v/>
      </c>
      <c r="AC1605">
        <f t="shared" si="152"/>
        <v>22016.7</v>
      </c>
      <c r="AD1605">
        <f t="shared" si="153"/>
        <v>10</v>
      </c>
      <c r="AE1605">
        <f t="shared" si="154"/>
        <v>6016.7</v>
      </c>
      <c r="AF1605" t="str">
        <f t="shared" si="155"/>
        <v>Paid</v>
      </c>
    </row>
    <row r="1606" spans="1:32" ht="27.75" thickBot="1" x14ac:dyDescent="0.35">
      <c r="A1606" s="2" t="s">
        <v>10453</v>
      </c>
      <c r="B1606" s="2" t="s">
        <v>27</v>
      </c>
      <c r="C1606" s="2" t="s">
        <v>28</v>
      </c>
      <c r="D1606" s="2" t="s">
        <v>97</v>
      </c>
      <c r="E1606" s="2" t="s">
        <v>10307</v>
      </c>
      <c r="F1606" s="2" t="s">
        <v>8445</v>
      </c>
      <c r="G1606" s="2" t="s">
        <v>32</v>
      </c>
      <c r="H1606" s="1"/>
      <c r="I1606" s="2" t="s">
        <v>33</v>
      </c>
      <c r="J1606" s="2" t="s">
        <v>34</v>
      </c>
      <c r="K1606" s="2" t="s">
        <v>10454</v>
      </c>
      <c r="L1606" s="2" t="s">
        <v>10455</v>
      </c>
      <c r="M1606" s="2" t="s">
        <v>304</v>
      </c>
      <c r="N1606" s="2" t="s">
        <v>38</v>
      </c>
      <c r="O1606" s="2" t="s">
        <v>177</v>
      </c>
      <c r="P1606" s="2" t="s">
        <v>6930</v>
      </c>
      <c r="Q1606" s="2" t="s">
        <v>10456</v>
      </c>
      <c r="R1606" s="2" t="s">
        <v>40</v>
      </c>
      <c r="S1606" s="2" t="s">
        <v>10457</v>
      </c>
      <c r="T1606" s="2" t="s">
        <v>384</v>
      </c>
      <c r="U1606" s="2" t="s">
        <v>9145</v>
      </c>
      <c r="V1606" s="2" t="s">
        <v>10458</v>
      </c>
      <c r="W1606" s="1"/>
      <c r="X1606" s="2" t="s">
        <v>377</v>
      </c>
      <c r="Y1606" s="2" t="s">
        <v>10356</v>
      </c>
      <c r="AA1606" t="str">
        <f t="shared" si="150"/>
        <v>2025-12</v>
      </c>
      <c r="AB1606" t="str">
        <f t="shared" si="151"/>
        <v/>
      </c>
      <c r="AC1606">
        <f t="shared" si="152"/>
        <v>880668</v>
      </c>
      <c r="AD1606">
        <f t="shared" si="153"/>
        <v>400</v>
      </c>
      <c r="AE1606">
        <f t="shared" si="154"/>
        <v>104668</v>
      </c>
      <c r="AF1606" t="str">
        <f t="shared" si="155"/>
        <v>Paid</v>
      </c>
    </row>
    <row r="1607" spans="1:32" ht="17.25" thickBot="1" x14ac:dyDescent="0.35">
      <c r="A1607" s="2" t="s">
        <v>10459</v>
      </c>
      <c r="B1607" s="2" t="s">
        <v>27</v>
      </c>
      <c r="C1607" s="2" t="s">
        <v>28</v>
      </c>
      <c r="D1607" s="2" t="s">
        <v>97</v>
      </c>
      <c r="E1607" s="2" t="s">
        <v>10307</v>
      </c>
      <c r="F1607" s="2" t="s">
        <v>8445</v>
      </c>
      <c r="G1607" s="2" t="s">
        <v>32</v>
      </c>
      <c r="H1607" s="1"/>
      <c r="I1607" s="2" t="s">
        <v>33</v>
      </c>
      <c r="J1607" s="2" t="s">
        <v>34</v>
      </c>
      <c r="K1607" s="2" t="s">
        <v>10460</v>
      </c>
      <c r="L1607" s="2" t="s">
        <v>10461</v>
      </c>
      <c r="M1607" s="2" t="s">
        <v>304</v>
      </c>
      <c r="N1607" s="2" t="s">
        <v>38</v>
      </c>
      <c r="O1607" s="2" t="s">
        <v>3379</v>
      </c>
      <c r="P1607" s="2" t="s">
        <v>9148</v>
      </c>
      <c r="Q1607" s="2" t="s">
        <v>10446</v>
      </c>
      <c r="R1607" s="2" t="s">
        <v>40</v>
      </c>
      <c r="S1607" s="2" t="s">
        <v>10447</v>
      </c>
      <c r="T1607" s="2" t="s">
        <v>10362</v>
      </c>
      <c r="U1607" s="2" t="s">
        <v>10462</v>
      </c>
      <c r="V1607" s="2" t="s">
        <v>10463</v>
      </c>
      <c r="W1607" s="1"/>
      <c r="X1607" s="2" t="s">
        <v>9891</v>
      </c>
      <c r="Y1607" s="2" t="s">
        <v>10356</v>
      </c>
      <c r="AA1607" t="str">
        <f t="shared" si="150"/>
        <v>2025-12</v>
      </c>
      <c r="AB1607" t="str">
        <f t="shared" si="151"/>
        <v/>
      </c>
      <c r="AC1607">
        <f t="shared" si="152"/>
        <v>5489382.0800000001</v>
      </c>
      <c r="AD1607">
        <f t="shared" si="153"/>
        <v>416</v>
      </c>
      <c r="AE1607">
        <f t="shared" si="154"/>
        <v>1495782.08</v>
      </c>
      <c r="AF1607" t="str">
        <f t="shared" si="155"/>
        <v>Paid</v>
      </c>
    </row>
    <row r="1608" spans="1:32" ht="17.25" thickBot="1" x14ac:dyDescent="0.35">
      <c r="A1608" s="2" t="s">
        <v>10464</v>
      </c>
      <c r="B1608" s="2" t="s">
        <v>27</v>
      </c>
      <c r="C1608" s="2" t="s">
        <v>28</v>
      </c>
      <c r="D1608" s="2" t="s">
        <v>97</v>
      </c>
      <c r="E1608" s="2" t="s">
        <v>10307</v>
      </c>
      <c r="F1608" s="2" t="s">
        <v>8445</v>
      </c>
      <c r="G1608" s="2" t="s">
        <v>32</v>
      </c>
      <c r="H1608" s="1"/>
      <c r="I1608" s="2" t="s">
        <v>33</v>
      </c>
      <c r="J1608" s="2" t="s">
        <v>34</v>
      </c>
      <c r="K1608" s="2" t="s">
        <v>10465</v>
      </c>
      <c r="L1608" s="2" t="s">
        <v>10466</v>
      </c>
      <c r="M1608" s="2" t="s">
        <v>304</v>
      </c>
      <c r="N1608" s="2" t="s">
        <v>38</v>
      </c>
      <c r="O1608" s="2" t="s">
        <v>729</v>
      </c>
      <c r="P1608" s="2" t="s">
        <v>10467</v>
      </c>
      <c r="Q1608" s="2" t="s">
        <v>10468</v>
      </c>
      <c r="R1608" s="2" t="s">
        <v>40</v>
      </c>
      <c r="S1608" s="2" t="s">
        <v>10469</v>
      </c>
      <c r="T1608" s="2" t="s">
        <v>4138</v>
      </c>
      <c r="U1608" s="2" t="s">
        <v>10470</v>
      </c>
      <c r="V1608" s="2" t="s">
        <v>10471</v>
      </c>
      <c r="W1608" s="1"/>
      <c r="X1608" s="2" t="s">
        <v>7059</v>
      </c>
      <c r="Y1608" s="2" t="s">
        <v>10356</v>
      </c>
      <c r="AA1608" t="str">
        <f t="shared" si="150"/>
        <v>2025-12</v>
      </c>
      <c r="AB1608" t="str">
        <f t="shared" si="151"/>
        <v/>
      </c>
      <c r="AC1608">
        <f t="shared" si="152"/>
        <v>1532707.68</v>
      </c>
      <c r="AD1608">
        <f t="shared" si="153"/>
        <v>84</v>
      </c>
      <c r="AE1608">
        <f t="shared" si="154"/>
        <v>415507.68</v>
      </c>
      <c r="AF1608" t="str">
        <f t="shared" si="155"/>
        <v>Paid</v>
      </c>
    </row>
    <row r="1609" spans="1:32" ht="17.25" thickBot="1" x14ac:dyDescent="0.35">
      <c r="A1609" s="2" t="s">
        <v>10472</v>
      </c>
      <c r="B1609" s="2" t="s">
        <v>27</v>
      </c>
      <c r="C1609" s="2" t="s">
        <v>28</v>
      </c>
      <c r="D1609" s="2" t="s">
        <v>97</v>
      </c>
      <c r="E1609" s="2" t="s">
        <v>10307</v>
      </c>
      <c r="F1609" s="2" t="s">
        <v>8445</v>
      </c>
      <c r="G1609" s="2" t="s">
        <v>32</v>
      </c>
      <c r="H1609" s="1"/>
      <c r="I1609" s="2" t="s">
        <v>33</v>
      </c>
      <c r="J1609" s="2" t="s">
        <v>34</v>
      </c>
      <c r="K1609" s="2" t="s">
        <v>4110</v>
      </c>
      <c r="L1609" s="2" t="s">
        <v>4111</v>
      </c>
      <c r="M1609" s="2" t="s">
        <v>304</v>
      </c>
      <c r="N1609" s="2" t="s">
        <v>38</v>
      </c>
      <c r="O1609" s="2" t="s">
        <v>114</v>
      </c>
      <c r="P1609" s="2" t="s">
        <v>10473</v>
      </c>
      <c r="Q1609" s="2" t="s">
        <v>10474</v>
      </c>
      <c r="R1609" s="2" t="s">
        <v>40</v>
      </c>
      <c r="S1609" s="2" t="s">
        <v>10475</v>
      </c>
      <c r="T1609" s="2" t="s">
        <v>9043</v>
      </c>
      <c r="U1609" s="2" t="s">
        <v>1662</v>
      </c>
      <c r="V1609" s="2" t="s">
        <v>10476</v>
      </c>
      <c r="W1609" s="1"/>
      <c r="X1609" s="2" t="s">
        <v>6045</v>
      </c>
      <c r="Y1609" s="2" t="s">
        <v>10356</v>
      </c>
      <c r="AA1609" t="str">
        <f t="shared" si="150"/>
        <v>2025-12</v>
      </c>
      <c r="AB1609" t="str">
        <f t="shared" si="151"/>
        <v/>
      </c>
      <c r="AC1609">
        <f t="shared" si="152"/>
        <v>3781692</v>
      </c>
      <c r="AD1609">
        <f t="shared" si="153"/>
        <v>240</v>
      </c>
      <c r="AE1609">
        <f t="shared" si="154"/>
        <v>421692</v>
      </c>
      <c r="AF1609" t="str">
        <f t="shared" si="155"/>
        <v>Paid</v>
      </c>
    </row>
    <row r="1610" spans="1:32" ht="17.25" thickBot="1" x14ac:dyDescent="0.35">
      <c r="A1610" s="2" t="s">
        <v>10477</v>
      </c>
      <c r="B1610" s="2" t="s">
        <v>27</v>
      </c>
      <c r="C1610" s="2" t="s">
        <v>28</v>
      </c>
      <c r="D1610" s="2" t="s">
        <v>97</v>
      </c>
      <c r="E1610" s="2" t="s">
        <v>10307</v>
      </c>
      <c r="F1610" s="2" t="s">
        <v>8445</v>
      </c>
      <c r="G1610" s="2" t="s">
        <v>32</v>
      </c>
      <c r="H1610" s="1"/>
      <c r="I1610" s="2" t="s">
        <v>33</v>
      </c>
      <c r="J1610" s="2" t="s">
        <v>34</v>
      </c>
      <c r="K1610" s="2" t="s">
        <v>5786</v>
      </c>
      <c r="L1610" s="2" t="s">
        <v>5787</v>
      </c>
      <c r="M1610" s="2" t="s">
        <v>304</v>
      </c>
      <c r="N1610" s="2" t="s">
        <v>38</v>
      </c>
      <c r="O1610" s="2" t="s">
        <v>10478</v>
      </c>
      <c r="P1610" s="2" t="s">
        <v>910</v>
      </c>
      <c r="Q1610" s="2" t="s">
        <v>10479</v>
      </c>
      <c r="R1610" s="2" t="s">
        <v>40</v>
      </c>
      <c r="S1610" s="2" t="s">
        <v>10480</v>
      </c>
      <c r="T1610" s="2" t="s">
        <v>10481</v>
      </c>
      <c r="U1610" s="2" t="s">
        <v>10482</v>
      </c>
      <c r="V1610" s="2" t="s">
        <v>10483</v>
      </c>
      <c r="W1610" s="1"/>
      <c r="X1610" s="2" t="s">
        <v>4557</v>
      </c>
      <c r="Y1610" s="2" t="s">
        <v>10356</v>
      </c>
      <c r="AA1610" t="str">
        <f t="shared" si="150"/>
        <v>2025-12</v>
      </c>
      <c r="AB1610" t="str">
        <f t="shared" si="151"/>
        <v/>
      </c>
      <c r="AC1610">
        <f t="shared" si="152"/>
        <v>47181356.399999999</v>
      </c>
      <c r="AD1610">
        <f t="shared" si="153"/>
        <v>3560</v>
      </c>
      <c r="AE1610">
        <f t="shared" si="154"/>
        <v>6518576.4000000004</v>
      </c>
      <c r="AF1610" t="str">
        <f t="shared" si="155"/>
        <v>Paid</v>
      </c>
    </row>
    <row r="1611" spans="1:32" ht="17.25" thickBot="1" x14ac:dyDescent="0.35">
      <c r="A1611" s="2" t="s">
        <v>10484</v>
      </c>
      <c r="B1611" s="2" t="s">
        <v>27</v>
      </c>
      <c r="C1611" s="2" t="s">
        <v>28</v>
      </c>
      <c r="D1611" s="2" t="s">
        <v>97</v>
      </c>
      <c r="E1611" s="2" t="s">
        <v>10307</v>
      </c>
      <c r="F1611" s="2" t="s">
        <v>8445</v>
      </c>
      <c r="G1611" s="2" t="s">
        <v>32</v>
      </c>
      <c r="H1611" s="1"/>
      <c r="I1611" s="2" t="s">
        <v>33</v>
      </c>
      <c r="J1611" s="2" t="s">
        <v>34</v>
      </c>
      <c r="K1611" s="2" t="s">
        <v>10485</v>
      </c>
      <c r="L1611" s="2" t="s">
        <v>10486</v>
      </c>
      <c r="M1611" s="2" t="s">
        <v>304</v>
      </c>
      <c r="N1611" s="2" t="s">
        <v>38</v>
      </c>
      <c r="O1611" s="2" t="s">
        <v>1836</v>
      </c>
      <c r="P1611" s="2" t="s">
        <v>10487</v>
      </c>
      <c r="Q1611" s="2" t="s">
        <v>10488</v>
      </c>
      <c r="R1611" s="2" t="s">
        <v>40</v>
      </c>
      <c r="S1611" s="2" t="s">
        <v>10489</v>
      </c>
      <c r="T1611" s="2" t="s">
        <v>10490</v>
      </c>
      <c r="U1611" s="2" t="s">
        <v>10491</v>
      </c>
      <c r="V1611" s="2" t="s">
        <v>10492</v>
      </c>
      <c r="W1611" s="1"/>
      <c r="X1611" s="2" t="s">
        <v>201</v>
      </c>
      <c r="Y1611" s="2" t="s">
        <v>10356</v>
      </c>
      <c r="AA1611" t="str">
        <f t="shared" si="150"/>
        <v>2025-12</v>
      </c>
      <c r="AB1611" t="str">
        <f t="shared" si="151"/>
        <v/>
      </c>
      <c r="AC1611">
        <f t="shared" si="152"/>
        <v>4751865.8</v>
      </c>
      <c r="AD1611">
        <f t="shared" si="153"/>
        <v>220</v>
      </c>
      <c r="AE1611">
        <f t="shared" si="154"/>
        <v>1151785.8</v>
      </c>
      <c r="AF1611" t="str">
        <f t="shared" si="155"/>
        <v>Paid</v>
      </c>
    </row>
    <row r="1612" spans="1:32" ht="27.75" thickBot="1" x14ac:dyDescent="0.35">
      <c r="A1612" s="2" t="s">
        <v>10493</v>
      </c>
      <c r="B1612" s="2" t="s">
        <v>27</v>
      </c>
      <c r="C1612" s="2" t="s">
        <v>28</v>
      </c>
      <c r="D1612" s="2" t="s">
        <v>97</v>
      </c>
      <c r="E1612" s="2" t="s">
        <v>10307</v>
      </c>
      <c r="F1612" s="2" t="s">
        <v>8445</v>
      </c>
      <c r="G1612" s="2" t="s">
        <v>32</v>
      </c>
      <c r="H1612" s="1"/>
      <c r="I1612" s="2" t="s">
        <v>33</v>
      </c>
      <c r="J1612" s="2" t="s">
        <v>34</v>
      </c>
      <c r="K1612" s="2" t="s">
        <v>10494</v>
      </c>
      <c r="L1612" s="2" t="s">
        <v>10495</v>
      </c>
      <c r="M1612" s="2" t="s">
        <v>304</v>
      </c>
      <c r="N1612" s="2" t="s">
        <v>38</v>
      </c>
      <c r="O1612" s="2" t="s">
        <v>214</v>
      </c>
      <c r="P1612" s="2" t="s">
        <v>104</v>
      </c>
      <c r="Q1612" s="2" t="s">
        <v>215</v>
      </c>
      <c r="R1612" s="2" t="s">
        <v>40</v>
      </c>
      <c r="S1612" s="2" t="s">
        <v>10496</v>
      </c>
      <c r="T1612" s="2" t="s">
        <v>8164</v>
      </c>
      <c r="U1612" s="2" t="s">
        <v>10497</v>
      </c>
      <c r="V1612" s="2" t="s">
        <v>10498</v>
      </c>
      <c r="W1612" s="2" t="s">
        <v>41</v>
      </c>
      <c r="X1612" s="2" t="s">
        <v>10499</v>
      </c>
      <c r="Y1612" s="2" t="s">
        <v>10356</v>
      </c>
      <c r="AA1612" t="str">
        <f t="shared" si="150"/>
        <v>2025-12</v>
      </c>
      <c r="AB1612" t="str">
        <f t="shared" si="151"/>
        <v/>
      </c>
      <c r="AC1612">
        <f t="shared" si="152"/>
        <v>719.5</v>
      </c>
      <c r="AD1612">
        <f t="shared" si="153"/>
        <v>50</v>
      </c>
      <c r="AE1612">
        <f t="shared" si="154"/>
        <v>-362930.5</v>
      </c>
      <c r="AF1612" t="str">
        <f t="shared" si="155"/>
        <v>Sample</v>
      </c>
    </row>
    <row r="1613" spans="1:32" ht="17.25" thickBot="1" x14ac:dyDescent="0.35">
      <c r="A1613" s="2" t="s">
        <v>10500</v>
      </c>
      <c r="B1613" s="2" t="s">
        <v>27</v>
      </c>
      <c r="C1613" s="2" t="s">
        <v>28</v>
      </c>
      <c r="D1613" s="2" t="s">
        <v>97</v>
      </c>
      <c r="E1613" s="2" t="s">
        <v>10307</v>
      </c>
      <c r="F1613" s="2" t="s">
        <v>8445</v>
      </c>
      <c r="G1613" s="2" t="s">
        <v>32</v>
      </c>
      <c r="H1613" s="1"/>
      <c r="I1613" s="2" t="s">
        <v>33</v>
      </c>
      <c r="J1613" s="2" t="s">
        <v>34</v>
      </c>
      <c r="K1613" s="2" t="s">
        <v>389</v>
      </c>
      <c r="L1613" s="2" t="s">
        <v>390</v>
      </c>
      <c r="M1613" s="2" t="s">
        <v>304</v>
      </c>
      <c r="N1613" s="2" t="s">
        <v>38</v>
      </c>
      <c r="O1613" s="2" t="s">
        <v>1317</v>
      </c>
      <c r="P1613" s="2" t="s">
        <v>7065</v>
      </c>
      <c r="Q1613" s="2" t="s">
        <v>10501</v>
      </c>
      <c r="R1613" s="2" t="s">
        <v>40</v>
      </c>
      <c r="S1613" s="2" t="s">
        <v>10502</v>
      </c>
      <c r="T1613" s="2" t="s">
        <v>10503</v>
      </c>
      <c r="U1613" s="2" t="s">
        <v>10504</v>
      </c>
      <c r="V1613" s="2" t="s">
        <v>10505</v>
      </c>
      <c r="W1613" s="1"/>
      <c r="X1613" s="2" t="s">
        <v>434</v>
      </c>
      <c r="Y1613" s="2" t="s">
        <v>10356</v>
      </c>
      <c r="AA1613" t="str">
        <f t="shared" si="150"/>
        <v>2025-12</v>
      </c>
      <c r="AB1613" t="str">
        <f t="shared" si="151"/>
        <v/>
      </c>
      <c r="AC1613">
        <f t="shared" si="152"/>
        <v>2087125.6</v>
      </c>
      <c r="AD1613">
        <f t="shared" si="153"/>
        <v>148</v>
      </c>
      <c r="AE1613">
        <f t="shared" si="154"/>
        <v>254735.6</v>
      </c>
      <c r="AF1613" t="str">
        <f t="shared" si="155"/>
        <v>Paid</v>
      </c>
    </row>
    <row r="1614" spans="1:32" ht="17.25" thickBot="1" x14ac:dyDescent="0.35">
      <c r="A1614" s="2" t="s">
        <v>10506</v>
      </c>
      <c r="B1614" s="2" t="s">
        <v>27</v>
      </c>
      <c r="C1614" s="2" t="s">
        <v>28</v>
      </c>
      <c r="D1614" s="2" t="s">
        <v>97</v>
      </c>
      <c r="E1614" s="2" t="s">
        <v>10307</v>
      </c>
      <c r="F1614" s="2" t="s">
        <v>8445</v>
      </c>
      <c r="G1614" s="2" t="s">
        <v>32</v>
      </c>
      <c r="H1614" s="1"/>
      <c r="I1614" s="2" t="s">
        <v>33</v>
      </c>
      <c r="J1614" s="2" t="s">
        <v>34</v>
      </c>
      <c r="K1614" s="2" t="s">
        <v>10507</v>
      </c>
      <c r="L1614" s="2" t="s">
        <v>10508</v>
      </c>
      <c r="M1614" s="2" t="s">
        <v>304</v>
      </c>
      <c r="N1614" s="2" t="s">
        <v>38</v>
      </c>
      <c r="O1614" s="2" t="s">
        <v>1196</v>
      </c>
      <c r="P1614" s="2" t="s">
        <v>392</v>
      </c>
      <c r="Q1614" s="2" t="s">
        <v>10509</v>
      </c>
      <c r="R1614" s="2" t="s">
        <v>40</v>
      </c>
      <c r="S1614" s="2" t="s">
        <v>10510</v>
      </c>
      <c r="T1614" s="2" t="s">
        <v>2127</v>
      </c>
      <c r="U1614" s="2" t="s">
        <v>10511</v>
      </c>
      <c r="V1614" s="2" t="s">
        <v>10512</v>
      </c>
      <c r="W1614" s="1"/>
      <c r="X1614" s="2" t="s">
        <v>6790</v>
      </c>
      <c r="Y1614" s="2" t="s">
        <v>10356</v>
      </c>
      <c r="AA1614" t="str">
        <f t="shared" si="150"/>
        <v>2025-12</v>
      </c>
      <c r="AB1614" t="str">
        <f t="shared" si="151"/>
        <v/>
      </c>
      <c r="AC1614">
        <f t="shared" si="152"/>
        <v>1845344.82</v>
      </c>
      <c r="AD1614">
        <f t="shared" si="153"/>
        <v>134</v>
      </c>
      <c r="AE1614">
        <f t="shared" si="154"/>
        <v>398144.82</v>
      </c>
      <c r="AF1614" t="str">
        <f t="shared" si="155"/>
        <v>Paid</v>
      </c>
    </row>
    <row r="1615" spans="1:32" ht="17.25" thickBot="1" x14ac:dyDescent="0.35">
      <c r="A1615" s="2" t="s">
        <v>10513</v>
      </c>
      <c r="B1615" s="2" t="s">
        <v>27</v>
      </c>
      <c r="C1615" s="2" t="s">
        <v>28</v>
      </c>
      <c r="D1615" s="2" t="s">
        <v>97</v>
      </c>
      <c r="E1615" s="2" t="s">
        <v>10307</v>
      </c>
      <c r="F1615" s="2" t="s">
        <v>8445</v>
      </c>
      <c r="G1615" s="2" t="s">
        <v>32</v>
      </c>
      <c r="H1615" s="1"/>
      <c r="I1615" s="2" t="s">
        <v>33</v>
      </c>
      <c r="J1615" s="2" t="s">
        <v>34</v>
      </c>
      <c r="K1615" s="2" t="s">
        <v>417</v>
      </c>
      <c r="L1615" s="2" t="s">
        <v>418</v>
      </c>
      <c r="M1615" s="2" t="s">
        <v>304</v>
      </c>
      <c r="N1615" s="2" t="s">
        <v>38</v>
      </c>
      <c r="O1615" s="2" t="s">
        <v>10514</v>
      </c>
      <c r="P1615" s="2" t="s">
        <v>3041</v>
      </c>
      <c r="Q1615" s="2" t="s">
        <v>10515</v>
      </c>
      <c r="R1615" s="2" t="s">
        <v>40</v>
      </c>
      <c r="S1615" s="2" t="s">
        <v>10516</v>
      </c>
      <c r="T1615" s="2" t="s">
        <v>422</v>
      </c>
      <c r="U1615" s="2" t="s">
        <v>10517</v>
      </c>
      <c r="V1615" s="2" t="s">
        <v>10518</v>
      </c>
      <c r="W1615" s="1"/>
      <c r="X1615" s="2" t="s">
        <v>10519</v>
      </c>
      <c r="Y1615" s="2" t="s">
        <v>10356</v>
      </c>
      <c r="AA1615" t="str">
        <f t="shared" si="150"/>
        <v>2025-12</v>
      </c>
      <c r="AB1615" t="str">
        <f t="shared" si="151"/>
        <v/>
      </c>
      <c r="AC1615">
        <f t="shared" si="152"/>
        <v>12460934.16</v>
      </c>
      <c r="AD1615">
        <f t="shared" si="153"/>
        <v>1026</v>
      </c>
      <c r="AE1615">
        <f t="shared" si="154"/>
        <v>-46005.84</v>
      </c>
      <c r="AF1615" t="str">
        <f t="shared" si="155"/>
        <v>Paid</v>
      </c>
    </row>
    <row r="1616" spans="1:32" ht="17.25" thickBot="1" x14ac:dyDescent="0.35">
      <c r="A1616" s="2" t="s">
        <v>10520</v>
      </c>
      <c r="B1616" s="2" t="s">
        <v>27</v>
      </c>
      <c r="C1616" s="2" t="s">
        <v>28</v>
      </c>
      <c r="D1616" s="2" t="s">
        <v>97</v>
      </c>
      <c r="E1616" s="2" t="s">
        <v>10307</v>
      </c>
      <c r="F1616" s="2" t="s">
        <v>8445</v>
      </c>
      <c r="G1616" s="2" t="s">
        <v>32</v>
      </c>
      <c r="H1616" s="1"/>
      <c r="I1616" s="2" t="s">
        <v>33</v>
      </c>
      <c r="J1616" s="2" t="s">
        <v>34</v>
      </c>
      <c r="K1616" s="2" t="s">
        <v>426</v>
      </c>
      <c r="L1616" s="2" t="s">
        <v>427</v>
      </c>
      <c r="M1616" s="2" t="s">
        <v>304</v>
      </c>
      <c r="N1616" s="2" t="s">
        <v>38</v>
      </c>
      <c r="O1616" s="2" t="s">
        <v>773</v>
      </c>
      <c r="P1616" s="2" t="s">
        <v>910</v>
      </c>
      <c r="Q1616" s="2" t="s">
        <v>10521</v>
      </c>
      <c r="R1616" s="2" t="s">
        <v>40</v>
      </c>
      <c r="S1616" s="2" t="s">
        <v>10522</v>
      </c>
      <c r="T1616" s="2" t="s">
        <v>374</v>
      </c>
      <c r="U1616" s="2" t="s">
        <v>10523</v>
      </c>
      <c r="V1616" s="2" t="s">
        <v>10524</v>
      </c>
      <c r="W1616" s="1"/>
      <c r="X1616" s="2" t="s">
        <v>434</v>
      </c>
      <c r="Y1616" s="2" t="s">
        <v>10356</v>
      </c>
      <c r="AA1616" t="str">
        <f t="shared" si="150"/>
        <v>2025-12</v>
      </c>
      <c r="AB1616" t="str">
        <f t="shared" si="151"/>
        <v/>
      </c>
      <c r="AC1616">
        <f t="shared" si="152"/>
        <v>2650638</v>
      </c>
      <c r="AD1616">
        <f t="shared" si="153"/>
        <v>200</v>
      </c>
      <c r="AE1616">
        <f t="shared" si="154"/>
        <v>324638</v>
      </c>
      <c r="AF1616" t="str">
        <f t="shared" si="155"/>
        <v>Paid</v>
      </c>
    </row>
    <row r="1617" spans="1:32" ht="27.75" thickBot="1" x14ac:dyDescent="0.35">
      <c r="A1617" s="2" t="s">
        <v>10525</v>
      </c>
      <c r="B1617" s="2" t="s">
        <v>27</v>
      </c>
      <c r="C1617" s="2" t="s">
        <v>28</v>
      </c>
      <c r="D1617" s="2" t="s">
        <v>97</v>
      </c>
      <c r="E1617" s="2" t="s">
        <v>10307</v>
      </c>
      <c r="F1617" s="2" t="s">
        <v>8445</v>
      </c>
      <c r="G1617" s="2" t="s">
        <v>32</v>
      </c>
      <c r="H1617" s="1"/>
      <c r="I1617" s="2" t="s">
        <v>33</v>
      </c>
      <c r="J1617" s="2" t="s">
        <v>34</v>
      </c>
      <c r="K1617" s="2" t="s">
        <v>436</v>
      </c>
      <c r="L1617" s="2" t="s">
        <v>437</v>
      </c>
      <c r="M1617" s="2" t="s">
        <v>304</v>
      </c>
      <c r="N1617" s="2" t="s">
        <v>38</v>
      </c>
      <c r="O1617" s="2" t="s">
        <v>1804</v>
      </c>
      <c r="P1617" s="2" t="s">
        <v>10526</v>
      </c>
      <c r="Q1617" s="2" t="s">
        <v>10527</v>
      </c>
      <c r="R1617" s="2" t="s">
        <v>40</v>
      </c>
      <c r="S1617" s="2" t="s">
        <v>10528</v>
      </c>
      <c r="T1617" s="2" t="s">
        <v>422</v>
      </c>
      <c r="U1617" s="2" t="s">
        <v>10529</v>
      </c>
      <c r="V1617" s="2" t="s">
        <v>10530</v>
      </c>
      <c r="W1617" s="1"/>
      <c r="X1617" s="2" t="s">
        <v>322</v>
      </c>
      <c r="Y1617" s="2" t="s">
        <v>10356</v>
      </c>
      <c r="AA1617" t="str">
        <f t="shared" si="150"/>
        <v>2025-12</v>
      </c>
      <c r="AB1617" t="str">
        <f t="shared" si="151"/>
        <v/>
      </c>
      <c r="AC1617">
        <f t="shared" si="152"/>
        <v>3005668.08</v>
      </c>
      <c r="AD1617">
        <f t="shared" si="153"/>
        <v>216</v>
      </c>
      <c r="AE1617">
        <f t="shared" si="154"/>
        <v>372628.08</v>
      </c>
      <c r="AF1617" t="str">
        <f t="shared" si="155"/>
        <v>Paid</v>
      </c>
    </row>
    <row r="1618" spans="1:32" ht="27.75" thickBot="1" x14ac:dyDescent="0.35">
      <c r="A1618" s="2" t="s">
        <v>10531</v>
      </c>
      <c r="B1618" s="2" t="s">
        <v>27</v>
      </c>
      <c r="C1618" s="2" t="s">
        <v>28</v>
      </c>
      <c r="D1618" s="2" t="s">
        <v>97</v>
      </c>
      <c r="E1618" s="2" t="s">
        <v>10307</v>
      </c>
      <c r="F1618" s="2" t="s">
        <v>8445</v>
      </c>
      <c r="G1618" s="2" t="s">
        <v>32</v>
      </c>
      <c r="H1618" s="1"/>
      <c r="I1618" s="2" t="s">
        <v>33</v>
      </c>
      <c r="J1618" s="2" t="s">
        <v>34</v>
      </c>
      <c r="K1618" s="2" t="s">
        <v>446</v>
      </c>
      <c r="L1618" s="2" t="s">
        <v>447</v>
      </c>
      <c r="M1618" s="2" t="s">
        <v>304</v>
      </c>
      <c r="N1618" s="2" t="s">
        <v>38</v>
      </c>
      <c r="O1618" s="2" t="s">
        <v>773</v>
      </c>
      <c r="P1618" s="2" t="s">
        <v>10532</v>
      </c>
      <c r="Q1618" s="2" t="s">
        <v>10533</v>
      </c>
      <c r="R1618" s="2" t="s">
        <v>40</v>
      </c>
      <c r="S1618" s="2" t="s">
        <v>10534</v>
      </c>
      <c r="T1618" s="2" t="s">
        <v>452</v>
      </c>
      <c r="U1618" s="2" t="s">
        <v>9072</v>
      </c>
      <c r="V1618" s="2" t="s">
        <v>10535</v>
      </c>
      <c r="W1618" s="1"/>
      <c r="X1618" s="2" t="s">
        <v>9074</v>
      </c>
      <c r="Y1618" s="2" t="s">
        <v>10356</v>
      </c>
      <c r="AA1618" t="str">
        <f t="shared" si="150"/>
        <v>2025-12</v>
      </c>
      <c r="AB1618" t="str">
        <f t="shared" si="151"/>
        <v/>
      </c>
      <c r="AC1618">
        <f t="shared" si="152"/>
        <v>3240628</v>
      </c>
      <c r="AD1618">
        <f t="shared" si="153"/>
        <v>200</v>
      </c>
      <c r="AE1618">
        <f t="shared" si="154"/>
        <v>1024628</v>
      </c>
      <c r="AF1618" t="str">
        <f t="shared" si="155"/>
        <v>Paid</v>
      </c>
    </row>
    <row r="1619" spans="1:32" ht="27.75" thickBot="1" x14ac:dyDescent="0.35">
      <c r="A1619" s="2" t="s">
        <v>10536</v>
      </c>
      <c r="B1619" s="2" t="s">
        <v>27</v>
      </c>
      <c r="C1619" s="2" t="s">
        <v>28</v>
      </c>
      <c r="D1619" s="2" t="s">
        <v>97</v>
      </c>
      <c r="E1619" s="2" t="s">
        <v>10307</v>
      </c>
      <c r="F1619" s="2" t="s">
        <v>8445</v>
      </c>
      <c r="G1619" s="2" t="s">
        <v>32</v>
      </c>
      <c r="H1619" s="1"/>
      <c r="I1619" s="2" t="s">
        <v>33</v>
      </c>
      <c r="J1619" s="2" t="s">
        <v>34</v>
      </c>
      <c r="K1619" s="2" t="s">
        <v>464</v>
      </c>
      <c r="L1619" s="2" t="s">
        <v>465</v>
      </c>
      <c r="M1619" s="2" t="s">
        <v>304</v>
      </c>
      <c r="N1619" s="2" t="s">
        <v>38</v>
      </c>
      <c r="O1619" s="2" t="s">
        <v>2004</v>
      </c>
      <c r="P1619" s="2" t="s">
        <v>10526</v>
      </c>
      <c r="Q1619" s="2" t="s">
        <v>10537</v>
      </c>
      <c r="R1619" s="2" t="s">
        <v>40</v>
      </c>
      <c r="S1619" s="2" t="s">
        <v>10538</v>
      </c>
      <c r="T1619" s="2" t="s">
        <v>422</v>
      </c>
      <c r="U1619" s="2" t="s">
        <v>10539</v>
      </c>
      <c r="V1619" s="2" t="s">
        <v>10540</v>
      </c>
      <c r="W1619" s="1"/>
      <c r="X1619" s="2" t="s">
        <v>322</v>
      </c>
      <c r="Y1619" s="2" t="s">
        <v>10356</v>
      </c>
      <c r="AA1619" t="str">
        <f t="shared" si="150"/>
        <v>2025-12</v>
      </c>
      <c r="AB1619" t="str">
        <f t="shared" si="151"/>
        <v/>
      </c>
      <c r="AC1619">
        <f t="shared" si="152"/>
        <v>4675483.68</v>
      </c>
      <c r="AD1619">
        <f t="shared" si="153"/>
        <v>336</v>
      </c>
      <c r="AE1619">
        <f t="shared" si="154"/>
        <v>579643.68000000005</v>
      </c>
      <c r="AF1619" t="str">
        <f t="shared" si="155"/>
        <v>Paid</v>
      </c>
    </row>
    <row r="1620" spans="1:32" ht="27.75" thickBot="1" x14ac:dyDescent="0.35">
      <c r="A1620" s="2" t="s">
        <v>10541</v>
      </c>
      <c r="B1620" s="2" t="s">
        <v>27</v>
      </c>
      <c r="C1620" s="2" t="s">
        <v>28</v>
      </c>
      <c r="D1620" s="2" t="s">
        <v>97</v>
      </c>
      <c r="E1620" s="2" t="s">
        <v>10307</v>
      </c>
      <c r="F1620" s="2" t="s">
        <v>8445</v>
      </c>
      <c r="G1620" s="2" t="s">
        <v>32</v>
      </c>
      <c r="H1620" s="1"/>
      <c r="I1620" s="2" t="s">
        <v>33</v>
      </c>
      <c r="J1620" s="2" t="s">
        <v>34</v>
      </c>
      <c r="K1620" s="2" t="s">
        <v>481</v>
      </c>
      <c r="L1620" s="2" t="s">
        <v>482</v>
      </c>
      <c r="M1620" s="2" t="s">
        <v>304</v>
      </c>
      <c r="N1620" s="2" t="s">
        <v>38</v>
      </c>
      <c r="O1620" s="2" t="s">
        <v>10542</v>
      </c>
      <c r="P1620" s="2" t="s">
        <v>10543</v>
      </c>
      <c r="Q1620" s="2" t="s">
        <v>10544</v>
      </c>
      <c r="R1620" s="2" t="s">
        <v>40</v>
      </c>
      <c r="S1620" s="2" t="s">
        <v>10545</v>
      </c>
      <c r="T1620" s="2" t="s">
        <v>422</v>
      </c>
      <c r="U1620" s="2" t="s">
        <v>10546</v>
      </c>
      <c r="V1620" s="2" t="s">
        <v>10547</v>
      </c>
      <c r="W1620" s="1"/>
      <c r="X1620" s="2" t="s">
        <v>489</v>
      </c>
      <c r="Y1620" s="2" t="s">
        <v>10356</v>
      </c>
      <c r="AA1620" t="str">
        <f t="shared" si="150"/>
        <v>2025-12</v>
      </c>
      <c r="AB1620" t="str">
        <f t="shared" si="151"/>
        <v/>
      </c>
      <c r="AC1620">
        <f t="shared" si="152"/>
        <v>29783558.600000001</v>
      </c>
      <c r="AD1620">
        <f t="shared" si="153"/>
        <v>2165</v>
      </c>
      <c r="AE1620">
        <f t="shared" si="154"/>
        <v>3392208.6</v>
      </c>
      <c r="AF1620" t="str">
        <f t="shared" si="155"/>
        <v>Paid</v>
      </c>
    </row>
    <row r="1621" spans="1:32" ht="27.75" thickBot="1" x14ac:dyDescent="0.35">
      <c r="A1621" s="2" t="s">
        <v>10548</v>
      </c>
      <c r="B1621" s="2" t="s">
        <v>27</v>
      </c>
      <c r="C1621" s="2" t="s">
        <v>28</v>
      </c>
      <c r="D1621" s="2" t="s">
        <v>97</v>
      </c>
      <c r="E1621" s="2" t="s">
        <v>10307</v>
      </c>
      <c r="F1621" s="2" t="s">
        <v>8445</v>
      </c>
      <c r="G1621" s="2" t="s">
        <v>32</v>
      </c>
      <c r="H1621" s="1"/>
      <c r="I1621" s="2" t="s">
        <v>33</v>
      </c>
      <c r="J1621" s="2" t="s">
        <v>34</v>
      </c>
      <c r="K1621" s="2" t="s">
        <v>481</v>
      </c>
      <c r="L1621" s="2" t="s">
        <v>482</v>
      </c>
      <c r="M1621" s="2" t="s">
        <v>304</v>
      </c>
      <c r="N1621" s="2" t="s">
        <v>38</v>
      </c>
      <c r="O1621" s="2" t="s">
        <v>10549</v>
      </c>
      <c r="P1621" s="2" t="s">
        <v>10543</v>
      </c>
      <c r="Q1621" s="2" t="s">
        <v>10550</v>
      </c>
      <c r="R1621" s="2" t="s">
        <v>40</v>
      </c>
      <c r="S1621" s="2" t="s">
        <v>10551</v>
      </c>
      <c r="T1621" s="2" t="s">
        <v>10552</v>
      </c>
      <c r="U1621" s="2" t="s">
        <v>5704</v>
      </c>
      <c r="V1621" s="2" t="s">
        <v>10553</v>
      </c>
      <c r="W1621" s="1"/>
      <c r="X1621" s="2" t="s">
        <v>10554</v>
      </c>
      <c r="Y1621" s="2" t="s">
        <v>10356</v>
      </c>
      <c r="AA1621" t="str">
        <f t="shared" si="150"/>
        <v>2025-12</v>
      </c>
      <c r="AB1621" t="str">
        <f t="shared" si="151"/>
        <v/>
      </c>
      <c r="AC1621">
        <f t="shared" si="152"/>
        <v>21474427.239999998</v>
      </c>
      <c r="AD1621">
        <f t="shared" si="153"/>
        <v>1561</v>
      </c>
      <c r="AE1621">
        <f t="shared" si="154"/>
        <v>21250427.239999998</v>
      </c>
      <c r="AF1621" t="str">
        <f t="shared" si="155"/>
        <v>Paid</v>
      </c>
    </row>
    <row r="1622" spans="1:32" ht="27.75" thickBot="1" x14ac:dyDescent="0.35">
      <c r="A1622" s="2" t="s">
        <v>10555</v>
      </c>
      <c r="B1622" s="2" t="s">
        <v>27</v>
      </c>
      <c r="C1622" s="2" t="s">
        <v>28</v>
      </c>
      <c r="D1622" s="2" t="s">
        <v>97</v>
      </c>
      <c r="E1622" s="2" t="s">
        <v>10307</v>
      </c>
      <c r="F1622" s="2" t="s">
        <v>8445</v>
      </c>
      <c r="G1622" s="2" t="s">
        <v>32</v>
      </c>
      <c r="H1622" s="1"/>
      <c r="I1622" s="2" t="s">
        <v>33</v>
      </c>
      <c r="J1622" s="2" t="s">
        <v>34</v>
      </c>
      <c r="K1622" s="2" t="s">
        <v>491</v>
      </c>
      <c r="L1622" s="2" t="s">
        <v>492</v>
      </c>
      <c r="M1622" s="2" t="s">
        <v>304</v>
      </c>
      <c r="N1622" s="2" t="s">
        <v>38</v>
      </c>
      <c r="O1622" s="2" t="s">
        <v>177</v>
      </c>
      <c r="P1622" s="2" t="s">
        <v>10556</v>
      </c>
      <c r="Q1622" s="2" t="s">
        <v>10557</v>
      </c>
      <c r="R1622" s="2" t="s">
        <v>40</v>
      </c>
      <c r="S1622" s="2" t="s">
        <v>10558</v>
      </c>
      <c r="T1622" s="2" t="s">
        <v>9078</v>
      </c>
      <c r="U1622" s="2" t="s">
        <v>10559</v>
      </c>
      <c r="V1622" s="2" t="s">
        <v>10560</v>
      </c>
      <c r="W1622" s="1"/>
      <c r="X1622" s="2" t="s">
        <v>566</v>
      </c>
      <c r="Y1622" s="2" t="s">
        <v>10356</v>
      </c>
      <c r="AA1622" t="str">
        <f t="shared" si="150"/>
        <v>2025-12</v>
      </c>
      <c r="AB1622" t="str">
        <f t="shared" si="151"/>
        <v/>
      </c>
      <c r="AC1622">
        <f t="shared" si="152"/>
        <v>7022320</v>
      </c>
      <c r="AD1622">
        <f t="shared" si="153"/>
        <v>400</v>
      </c>
      <c r="AE1622">
        <f t="shared" si="154"/>
        <v>782320</v>
      </c>
      <c r="AF1622" t="str">
        <f t="shared" si="155"/>
        <v>Paid</v>
      </c>
    </row>
    <row r="1623" spans="1:32" ht="17.25" thickBot="1" x14ac:dyDescent="0.35">
      <c r="A1623" s="2" t="s">
        <v>10561</v>
      </c>
      <c r="B1623" s="2" t="s">
        <v>27</v>
      </c>
      <c r="C1623" s="2" t="s">
        <v>28</v>
      </c>
      <c r="D1623" s="2" t="s">
        <v>97</v>
      </c>
      <c r="E1623" s="2" t="s">
        <v>10307</v>
      </c>
      <c r="F1623" s="2" t="s">
        <v>8445</v>
      </c>
      <c r="G1623" s="2" t="s">
        <v>32</v>
      </c>
      <c r="H1623" s="1"/>
      <c r="I1623" s="2" t="s">
        <v>33</v>
      </c>
      <c r="J1623" s="2" t="s">
        <v>34</v>
      </c>
      <c r="K1623" s="2" t="s">
        <v>1566</v>
      </c>
      <c r="L1623" s="2" t="s">
        <v>1567</v>
      </c>
      <c r="M1623" s="2" t="s">
        <v>304</v>
      </c>
      <c r="N1623" s="2" t="s">
        <v>38</v>
      </c>
      <c r="O1623" s="2" t="s">
        <v>10514</v>
      </c>
      <c r="P1623" s="2" t="s">
        <v>10556</v>
      </c>
      <c r="Q1623" s="2" t="s">
        <v>10562</v>
      </c>
      <c r="R1623" s="2" t="s">
        <v>40</v>
      </c>
      <c r="S1623" s="2" t="s">
        <v>10563</v>
      </c>
      <c r="T1623" s="2" t="s">
        <v>9078</v>
      </c>
      <c r="U1623" s="2" t="s">
        <v>10564</v>
      </c>
      <c r="V1623" s="2" t="s">
        <v>10565</v>
      </c>
      <c r="W1623" s="1"/>
      <c r="X1623" s="2" t="s">
        <v>566</v>
      </c>
      <c r="Y1623" s="2" t="s">
        <v>10356</v>
      </c>
      <c r="AA1623" t="str">
        <f t="shared" si="150"/>
        <v>2025-12</v>
      </c>
      <c r="AB1623" t="str">
        <f t="shared" si="151"/>
        <v/>
      </c>
      <c r="AC1623">
        <f t="shared" si="152"/>
        <v>18012250.800000001</v>
      </c>
      <c r="AD1623">
        <f t="shared" si="153"/>
        <v>1026</v>
      </c>
      <c r="AE1623">
        <f t="shared" si="154"/>
        <v>2006650.8</v>
      </c>
      <c r="AF1623" t="str">
        <f t="shared" si="155"/>
        <v>Paid</v>
      </c>
    </row>
    <row r="1624" spans="1:32" ht="27.75" thickBot="1" x14ac:dyDescent="0.35">
      <c r="A1624" s="2" t="s">
        <v>10566</v>
      </c>
      <c r="B1624" s="2" t="s">
        <v>27</v>
      </c>
      <c r="C1624" s="2" t="s">
        <v>28</v>
      </c>
      <c r="D1624" s="2" t="s">
        <v>97</v>
      </c>
      <c r="E1624" s="2" t="s">
        <v>10307</v>
      </c>
      <c r="F1624" s="2" t="s">
        <v>8445</v>
      </c>
      <c r="G1624" s="2" t="s">
        <v>32</v>
      </c>
      <c r="H1624" s="1"/>
      <c r="I1624" s="2" t="s">
        <v>33</v>
      </c>
      <c r="J1624" s="2" t="s">
        <v>34</v>
      </c>
      <c r="K1624" s="2" t="s">
        <v>10567</v>
      </c>
      <c r="L1624" s="2" t="s">
        <v>10568</v>
      </c>
      <c r="M1624" s="2" t="s">
        <v>304</v>
      </c>
      <c r="N1624" s="2" t="s">
        <v>38</v>
      </c>
      <c r="O1624" s="2" t="s">
        <v>463</v>
      </c>
      <c r="P1624" s="2" t="s">
        <v>104</v>
      </c>
      <c r="Q1624" s="2" t="s">
        <v>10569</v>
      </c>
      <c r="R1624" s="2" t="s">
        <v>40</v>
      </c>
      <c r="S1624" s="2" t="s">
        <v>10570</v>
      </c>
      <c r="T1624" s="2" t="s">
        <v>6823</v>
      </c>
      <c r="U1624" s="2" t="s">
        <v>10571</v>
      </c>
      <c r="V1624" s="2" t="s">
        <v>10572</v>
      </c>
      <c r="W1624" s="2" t="s">
        <v>41</v>
      </c>
      <c r="X1624" s="2" t="s">
        <v>10573</v>
      </c>
      <c r="Y1624" s="2" t="s">
        <v>10356</v>
      </c>
      <c r="AA1624" t="str">
        <f t="shared" si="150"/>
        <v>2025-12</v>
      </c>
      <c r="AB1624" t="str">
        <f t="shared" si="151"/>
        <v/>
      </c>
      <c r="AC1624">
        <f t="shared" si="152"/>
        <v>777.06</v>
      </c>
      <c r="AD1624">
        <f t="shared" si="153"/>
        <v>54</v>
      </c>
      <c r="AE1624">
        <f t="shared" si="154"/>
        <v>-625622.93999999994</v>
      </c>
      <c r="AF1624" t="str">
        <f t="shared" si="155"/>
        <v>Sample</v>
      </c>
    </row>
    <row r="1625" spans="1:32" ht="27.75" thickBot="1" x14ac:dyDescent="0.35">
      <c r="A1625" s="2" t="s">
        <v>10574</v>
      </c>
      <c r="B1625" s="2" t="s">
        <v>27</v>
      </c>
      <c r="C1625" s="2" t="s">
        <v>28</v>
      </c>
      <c r="D1625" s="2" t="s">
        <v>97</v>
      </c>
      <c r="E1625" s="2" t="s">
        <v>10307</v>
      </c>
      <c r="F1625" s="2" t="s">
        <v>8445</v>
      </c>
      <c r="G1625" s="2" t="s">
        <v>32</v>
      </c>
      <c r="H1625" s="1"/>
      <c r="I1625" s="2" t="s">
        <v>33</v>
      </c>
      <c r="J1625" s="2" t="s">
        <v>34</v>
      </c>
      <c r="K1625" s="2" t="s">
        <v>10567</v>
      </c>
      <c r="L1625" s="2" t="s">
        <v>10568</v>
      </c>
      <c r="M1625" s="2" t="s">
        <v>304</v>
      </c>
      <c r="N1625" s="2" t="s">
        <v>38</v>
      </c>
      <c r="O1625" s="2" t="s">
        <v>10575</v>
      </c>
      <c r="P1625" s="2" t="s">
        <v>10576</v>
      </c>
      <c r="Q1625" s="2" t="s">
        <v>10577</v>
      </c>
      <c r="R1625" s="2" t="s">
        <v>40</v>
      </c>
      <c r="S1625" s="2" t="s">
        <v>10578</v>
      </c>
      <c r="T1625" s="2" t="s">
        <v>6823</v>
      </c>
      <c r="U1625" s="2" t="s">
        <v>10579</v>
      </c>
      <c r="V1625" s="2" t="s">
        <v>10580</v>
      </c>
      <c r="W1625" s="1"/>
      <c r="X1625" s="2" t="s">
        <v>566</v>
      </c>
      <c r="Y1625" s="2" t="s">
        <v>10356</v>
      </c>
      <c r="AA1625" t="str">
        <f t="shared" si="150"/>
        <v>2025-12</v>
      </c>
      <c r="AB1625" t="str">
        <f t="shared" si="151"/>
        <v/>
      </c>
      <c r="AC1625">
        <f t="shared" si="152"/>
        <v>64840994.640000001</v>
      </c>
      <c r="AD1625">
        <f t="shared" si="153"/>
        <v>4968</v>
      </c>
      <c r="AE1625">
        <f t="shared" si="154"/>
        <v>7212194.6399999997</v>
      </c>
      <c r="AF1625" t="str">
        <f t="shared" si="155"/>
        <v>Paid</v>
      </c>
    </row>
    <row r="1626" spans="1:32" ht="27.75" thickBot="1" x14ac:dyDescent="0.35">
      <c r="A1626" s="2" t="s">
        <v>10581</v>
      </c>
      <c r="B1626" s="2" t="s">
        <v>27</v>
      </c>
      <c r="C1626" s="2" t="s">
        <v>28</v>
      </c>
      <c r="D1626" s="2" t="s">
        <v>97</v>
      </c>
      <c r="E1626" s="2" t="s">
        <v>10307</v>
      </c>
      <c r="F1626" s="2" t="s">
        <v>8445</v>
      </c>
      <c r="G1626" s="2" t="s">
        <v>32</v>
      </c>
      <c r="H1626" s="1"/>
      <c r="I1626" s="2" t="s">
        <v>33</v>
      </c>
      <c r="J1626" s="2" t="s">
        <v>34</v>
      </c>
      <c r="K1626" s="2" t="s">
        <v>515</v>
      </c>
      <c r="L1626" s="2" t="s">
        <v>516</v>
      </c>
      <c r="M1626" s="2" t="s">
        <v>304</v>
      </c>
      <c r="N1626" s="2" t="s">
        <v>38</v>
      </c>
      <c r="O1626" s="2" t="s">
        <v>362</v>
      </c>
      <c r="P1626" s="2" t="s">
        <v>10576</v>
      </c>
      <c r="Q1626" s="2" t="s">
        <v>10582</v>
      </c>
      <c r="R1626" s="2" t="s">
        <v>40</v>
      </c>
      <c r="S1626" s="2" t="s">
        <v>10583</v>
      </c>
      <c r="T1626" s="2" t="s">
        <v>6823</v>
      </c>
      <c r="U1626" s="2" t="s">
        <v>10584</v>
      </c>
      <c r="V1626" s="2" t="s">
        <v>10585</v>
      </c>
      <c r="W1626" s="1"/>
      <c r="X1626" s="2" t="s">
        <v>566</v>
      </c>
      <c r="Y1626" s="2" t="s">
        <v>10356</v>
      </c>
      <c r="AA1626" t="str">
        <f t="shared" si="150"/>
        <v>2025-12</v>
      </c>
      <c r="AB1626" t="str">
        <f t="shared" si="151"/>
        <v/>
      </c>
      <c r="AC1626">
        <f t="shared" si="152"/>
        <v>4176553.6</v>
      </c>
      <c r="AD1626">
        <f t="shared" si="153"/>
        <v>320</v>
      </c>
      <c r="AE1626">
        <f t="shared" si="154"/>
        <v>464553.6</v>
      </c>
      <c r="AF1626" t="str">
        <f t="shared" si="155"/>
        <v>Paid</v>
      </c>
    </row>
    <row r="1627" spans="1:32" ht="17.25" thickBot="1" x14ac:dyDescent="0.35">
      <c r="A1627" s="2" t="s">
        <v>10586</v>
      </c>
      <c r="B1627" s="2" t="s">
        <v>27</v>
      </c>
      <c r="C1627" s="2" t="s">
        <v>28</v>
      </c>
      <c r="D1627" s="2" t="s">
        <v>97</v>
      </c>
      <c r="E1627" s="2" t="s">
        <v>10307</v>
      </c>
      <c r="F1627" s="2" t="s">
        <v>8445</v>
      </c>
      <c r="G1627" s="2" t="s">
        <v>32</v>
      </c>
      <c r="H1627" s="1"/>
      <c r="I1627" s="2" t="s">
        <v>33</v>
      </c>
      <c r="J1627" s="2" t="s">
        <v>34</v>
      </c>
      <c r="K1627" s="2" t="s">
        <v>525</v>
      </c>
      <c r="L1627" s="2" t="s">
        <v>526</v>
      </c>
      <c r="M1627" s="2" t="s">
        <v>304</v>
      </c>
      <c r="N1627" s="2" t="s">
        <v>38</v>
      </c>
      <c r="O1627" s="2" t="s">
        <v>1519</v>
      </c>
      <c r="P1627" s="2" t="s">
        <v>5253</v>
      </c>
      <c r="Q1627" s="2" t="s">
        <v>10587</v>
      </c>
      <c r="R1627" s="2" t="s">
        <v>40</v>
      </c>
      <c r="S1627" s="2" t="s">
        <v>10588</v>
      </c>
      <c r="T1627" s="2" t="s">
        <v>531</v>
      </c>
      <c r="U1627" s="2" t="s">
        <v>10589</v>
      </c>
      <c r="V1627" s="2" t="s">
        <v>10590</v>
      </c>
      <c r="W1627" s="1"/>
      <c r="X1627" s="2" t="s">
        <v>489</v>
      </c>
      <c r="Y1627" s="2" t="s">
        <v>10356</v>
      </c>
      <c r="AA1627" t="str">
        <f t="shared" si="150"/>
        <v>2025-12</v>
      </c>
      <c r="AB1627" t="str">
        <f t="shared" si="151"/>
        <v/>
      </c>
      <c r="AC1627">
        <f t="shared" si="152"/>
        <v>4279010.4000000004</v>
      </c>
      <c r="AD1627">
        <f t="shared" si="153"/>
        <v>360</v>
      </c>
      <c r="AE1627">
        <f t="shared" si="154"/>
        <v>488210.4</v>
      </c>
      <c r="AF1627" t="str">
        <f t="shared" si="155"/>
        <v>Paid</v>
      </c>
    </row>
    <row r="1628" spans="1:32" ht="17.25" thickBot="1" x14ac:dyDescent="0.35">
      <c r="A1628" s="2" t="s">
        <v>10591</v>
      </c>
      <c r="B1628" s="2" t="s">
        <v>27</v>
      </c>
      <c r="C1628" s="2" t="s">
        <v>28</v>
      </c>
      <c r="D1628" s="2" t="s">
        <v>97</v>
      </c>
      <c r="E1628" s="2" t="s">
        <v>10307</v>
      </c>
      <c r="F1628" s="2" t="s">
        <v>8445</v>
      </c>
      <c r="G1628" s="2" t="s">
        <v>32</v>
      </c>
      <c r="H1628" s="1"/>
      <c r="I1628" s="2" t="s">
        <v>33</v>
      </c>
      <c r="J1628" s="2" t="s">
        <v>34</v>
      </c>
      <c r="K1628" s="2" t="s">
        <v>3905</v>
      </c>
      <c r="L1628" s="2" t="s">
        <v>3906</v>
      </c>
      <c r="M1628" s="2" t="s">
        <v>701</v>
      </c>
      <c r="N1628" s="2" t="s">
        <v>38</v>
      </c>
      <c r="O1628" s="2" t="s">
        <v>1333</v>
      </c>
      <c r="P1628" s="2" t="s">
        <v>4928</v>
      </c>
      <c r="Q1628" s="2" t="s">
        <v>10592</v>
      </c>
      <c r="R1628" s="2" t="s">
        <v>40</v>
      </c>
      <c r="S1628" s="2" t="s">
        <v>10593</v>
      </c>
      <c r="T1628" s="2" t="s">
        <v>3015</v>
      </c>
      <c r="U1628" s="2" t="s">
        <v>10594</v>
      </c>
      <c r="V1628" s="2" t="s">
        <v>10595</v>
      </c>
      <c r="W1628" s="1"/>
      <c r="X1628" s="2" t="s">
        <v>709</v>
      </c>
      <c r="Y1628" s="2" t="s">
        <v>10596</v>
      </c>
      <c r="AA1628" t="str">
        <f t="shared" si="150"/>
        <v>2025-12</v>
      </c>
      <c r="AB1628" t="str">
        <f t="shared" si="151"/>
        <v/>
      </c>
      <c r="AC1628">
        <f t="shared" si="152"/>
        <v>1424610</v>
      </c>
      <c r="AD1628">
        <f t="shared" si="153"/>
        <v>150</v>
      </c>
      <c r="AE1628">
        <f t="shared" si="154"/>
        <v>227610</v>
      </c>
      <c r="AF1628" t="str">
        <f t="shared" si="155"/>
        <v>Paid</v>
      </c>
    </row>
    <row r="1629" spans="1:32" ht="17.25" thickBot="1" x14ac:dyDescent="0.35">
      <c r="A1629" s="2" t="s">
        <v>10597</v>
      </c>
      <c r="B1629" s="2" t="s">
        <v>27</v>
      </c>
      <c r="C1629" s="2" t="s">
        <v>28</v>
      </c>
      <c r="D1629" s="2" t="s">
        <v>97</v>
      </c>
      <c r="E1629" s="2" t="s">
        <v>10307</v>
      </c>
      <c r="F1629" s="2" t="s">
        <v>8445</v>
      </c>
      <c r="G1629" s="2" t="s">
        <v>32</v>
      </c>
      <c r="H1629" s="1"/>
      <c r="I1629" s="2" t="s">
        <v>33</v>
      </c>
      <c r="J1629" s="2" t="s">
        <v>34</v>
      </c>
      <c r="K1629" s="2" t="s">
        <v>10598</v>
      </c>
      <c r="L1629" s="2" t="s">
        <v>10599</v>
      </c>
      <c r="M1629" s="2" t="s">
        <v>701</v>
      </c>
      <c r="N1629" s="2" t="s">
        <v>38</v>
      </c>
      <c r="O1629" s="2" t="s">
        <v>5195</v>
      </c>
      <c r="P1629" s="2" t="s">
        <v>10600</v>
      </c>
      <c r="Q1629" s="2" t="s">
        <v>10601</v>
      </c>
      <c r="R1629" s="2" t="s">
        <v>40</v>
      </c>
      <c r="S1629" s="2" t="s">
        <v>10602</v>
      </c>
      <c r="T1629" s="2" t="s">
        <v>1444</v>
      </c>
      <c r="U1629" s="2" t="s">
        <v>10603</v>
      </c>
      <c r="V1629" s="2" t="s">
        <v>10604</v>
      </c>
      <c r="W1629" s="1"/>
      <c r="X1629" s="2" t="s">
        <v>3903</v>
      </c>
      <c r="Y1629" s="2" t="s">
        <v>10596</v>
      </c>
      <c r="AA1629" t="str">
        <f t="shared" si="150"/>
        <v>2025-12</v>
      </c>
      <c r="AB1629" t="str">
        <f t="shared" si="151"/>
        <v/>
      </c>
      <c r="AC1629">
        <f t="shared" si="152"/>
        <v>4592021.68</v>
      </c>
      <c r="AD1629">
        <f t="shared" si="153"/>
        <v>706</v>
      </c>
      <c r="AE1629">
        <f t="shared" si="154"/>
        <v>737261.68</v>
      </c>
      <c r="AF1629" t="str">
        <f t="shared" si="155"/>
        <v>Paid</v>
      </c>
    </row>
    <row r="1630" spans="1:32" ht="17.25" thickBot="1" x14ac:dyDescent="0.35">
      <c r="A1630" s="2" t="s">
        <v>10605</v>
      </c>
      <c r="B1630" s="2" t="s">
        <v>27</v>
      </c>
      <c r="C1630" s="2" t="s">
        <v>28</v>
      </c>
      <c r="D1630" s="2" t="s">
        <v>97</v>
      </c>
      <c r="E1630" s="2" t="s">
        <v>10307</v>
      </c>
      <c r="F1630" s="2" t="s">
        <v>8445</v>
      </c>
      <c r="G1630" s="2" t="s">
        <v>32</v>
      </c>
      <c r="H1630" s="1"/>
      <c r="I1630" s="2" t="s">
        <v>33</v>
      </c>
      <c r="J1630" s="2" t="s">
        <v>34</v>
      </c>
      <c r="K1630" s="2" t="s">
        <v>699</v>
      </c>
      <c r="L1630" s="2" t="s">
        <v>700</v>
      </c>
      <c r="M1630" s="2" t="s">
        <v>701</v>
      </c>
      <c r="N1630" s="2" t="s">
        <v>38</v>
      </c>
      <c r="O1630" s="2" t="s">
        <v>2847</v>
      </c>
      <c r="P1630" s="2" t="s">
        <v>7296</v>
      </c>
      <c r="Q1630" s="2" t="s">
        <v>10606</v>
      </c>
      <c r="R1630" s="2" t="s">
        <v>40</v>
      </c>
      <c r="S1630" s="2" t="s">
        <v>10607</v>
      </c>
      <c r="T1630" s="2" t="s">
        <v>706</v>
      </c>
      <c r="U1630" s="2" t="s">
        <v>10608</v>
      </c>
      <c r="V1630" s="2" t="s">
        <v>10609</v>
      </c>
      <c r="W1630" s="1"/>
      <c r="X1630" s="2" t="s">
        <v>709</v>
      </c>
      <c r="Y1630" s="2" t="s">
        <v>10596</v>
      </c>
      <c r="AA1630" t="str">
        <f t="shared" si="150"/>
        <v>2025-12</v>
      </c>
      <c r="AB1630" t="str">
        <f t="shared" si="151"/>
        <v/>
      </c>
      <c r="AC1630">
        <f t="shared" si="152"/>
        <v>13001365</v>
      </c>
      <c r="AD1630">
        <f t="shared" si="153"/>
        <v>1300</v>
      </c>
      <c r="AE1630">
        <f t="shared" si="154"/>
        <v>2081365</v>
      </c>
      <c r="AF1630" t="str">
        <f t="shared" si="155"/>
        <v>Paid</v>
      </c>
    </row>
    <row r="1631" spans="1:32" ht="17.25" thickBot="1" x14ac:dyDescent="0.35">
      <c r="A1631" s="2" t="s">
        <v>10610</v>
      </c>
      <c r="B1631" s="2" t="s">
        <v>27</v>
      </c>
      <c r="C1631" s="2" t="s">
        <v>28</v>
      </c>
      <c r="D1631" s="2" t="s">
        <v>97</v>
      </c>
      <c r="E1631" s="2" t="s">
        <v>10307</v>
      </c>
      <c r="F1631" s="2" t="s">
        <v>8445</v>
      </c>
      <c r="G1631" s="2" t="s">
        <v>32</v>
      </c>
      <c r="H1631" s="1"/>
      <c r="I1631" s="2" t="s">
        <v>33</v>
      </c>
      <c r="J1631" s="2" t="s">
        <v>34</v>
      </c>
      <c r="K1631" s="2" t="s">
        <v>3922</v>
      </c>
      <c r="L1631" s="2" t="s">
        <v>3923</v>
      </c>
      <c r="M1631" s="2" t="s">
        <v>701</v>
      </c>
      <c r="N1631" s="2" t="s">
        <v>38</v>
      </c>
      <c r="O1631" s="2" t="s">
        <v>1333</v>
      </c>
      <c r="P1631" s="2" t="s">
        <v>6284</v>
      </c>
      <c r="Q1631" s="2" t="s">
        <v>10611</v>
      </c>
      <c r="R1631" s="2" t="s">
        <v>40</v>
      </c>
      <c r="S1631" s="2" t="s">
        <v>10612</v>
      </c>
      <c r="T1631" s="2" t="s">
        <v>759</v>
      </c>
      <c r="U1631" s="2" t="s">
        <v>7051</v>
      </c>
      <c r="V1631" s="2" t="s">
        <v>10613</v>
      </c>
      <c r="W1631" s="1"/>
      <c r="X1631" s="2" t="s">
        <v>5168</v>
      </c>
      <c r="Y1631" s="2" t="s">
        <v>10596</v>
      </c>
      <c r="AA1631" t="str">
        <f t="shared" si="150"/>
        <v>2025-12</v>
      </c>
      <c r="AB1631" t="str">
        <f t="shared" si="151"/>
        <v/>
      </c>
      <c r="AC1631">
        <f t="shared" si="152"/>
        <v>1349062.5</v>
      </c>
      <c r="AD1631">
        <f t="shared" si="153"/>
        <v>150</v>
      </c>
      <c r="AE1631">
        <f t="shared" si="154"/>
        <v>215062.5</v>
      </c>
      <c r="AF1631" t="str">
        <f t="shared" si="155"/>
        <v>Paid</v>
      </c>
    </row>
    <row r="1632" spans="1:32" ht="17.25" thickBot="1" x14ac:dyDescent="0.35">
      <c r="A1632" s="2" t="s">
        <v>10614</v>
      </c>
      <c r="B1632" s="2" t="s">
        <v>27</v>
      </c>
      <c r="C1632" s="2" t="s">
        <v>28</v>
      </c>
      <c r="D1632" s="2" t="s">
        <v>97</v>
      </c>
      <c r="E1632" s="2" t="s">
        <v>10307</v>
      </c>
      <c r="F1632" s="2" t="s">
        <v>8445</v>
      </c>
      <c r="G1632" s="2" t="s">
        <v>32</v>
      </c>
      <c r="H1632" s="1"/>
      <c r="I1632" s="2" t="s">
        <v>33</v>
      </c>
      <c r="J1632" s="2" t="s">
        <v>34</v>
      </c>
      <c r="K1632" s="2" t="s">
        <v>711</v>
      </c>
      <c r="L1632" s="2" t="s">
        <v>712</v>
      </c>
      <c r="M1632" s="2" t="s">
        <v>701</v>
      </c>
      <c r="N1632" s="2" t="s">
        <v>38</v>
      </c>
      <c r="O1632" s="2" t="s">
        <v>1813</v>
      </c>
      <c r="P1632" s="2" t="s">
        <v>9099</v>
      </c>
      <c r="Q1632" s="2" t="s">
        <v>10615</v>
      </c>
      <c r="R1632" s="2" t="s">
        <v>40</v>
      </c>
      <c r="S1632" s="2" t="s">
        <v>10616</v>
      </c>
      <c r="T1632" s="2" t="s">
        <v>716</v>
      </c>
      <c r="U1632" s="2" t="s">
        <v>10617</v>
      </c>
      <c r="V1632" s="2" t="s">
        <v>10618</v>
      </c>
      <c r="W1632" s="1"/>
      <c r="X1632" s="2" t="s">
        <v>709</v>
      </c>
      <c r="Y1632" s="2" t="s">
        <v>10596</v>
      </c>
      <c r="AA1632" t="str">
        <f t="shared" si="150"/>
        <v>2025-12</v>
      </c>
      <c r="AB1632" t="str">
        <f t="shared" si="151"/>
        <v/>
      </c>
      <c r="AC1632">
        <f t="shared" si="152"/>
        <v>27602898</v>
      </c>
      <c r="AD1632">
        <f t="shared" si="153"/>
        <v>2300</v>
      </c>
      <c r="AE1632">
        <f t="shared" si="154"/>
        <v>4418898</v>
      </c>
      <c r="AF1632" t="str">
        <f t="shared" si="155"/>
        <v>Paid</v>
      </c>
    </row>
    <row r="1633" spans="1:32" ht="17.25" thickBot="1" x14ac:dyDescent="0.35">
      <c r="A1633" s="2" t="s">
        <v>10619</v>
      </c>
      <c r="B1633" s="2" t="s">
        <v>27</v>
      </c>
      <c r="C1633" s="2" t="s">
        <v>28</v>
      </c>
      <c r="D1633" s="2" t="s">
        <v>97</v>
      </c>
      <c r="E1633" s="2" t="s">
        <v>10307</v>
      </c>
      <c r="F1633" s="2" t="s">
        <v>8445</v>
      </c>
      <c r="G1633" s="2" t="s">
        <v>32</v>
      </c>
      <c r="H1633" s="1"/>
      <c r="I1633" s="2" t="s">
        <v>33</v>
      </c>
      <c r="J1633" s="2" t="s">
        <v>34</v>
      </c>
      <c r="K1633" s="2" t="s">
        <v>3930</v>
      </c>
      <c r="L1633" s="2" t="s">
        <v>3931</v>
      </c>
      <c r="M1633" s="2" t="s">
        <v>701</v>
      </c>
      <c r="N1633" s="2" t="s">
        <v>38</v>
      </c>
      <c r="O1633" s="2" t="s">
        <v>1333</v>
      </c>
      <c r="P1633" s="2" t="s">
        <v>10620</v>
      </c>
      <c r="Q1633" s="2" t="s">
        <v>10621</v>
      </c>
      <c r="R1633" s="2" t="s">
        <v>40</v>
      </c>
      <c r="S1633" s="2" t="s">
        <v>10622</v>
      </c>
      <c r="T1633" s="2" t="s">
        <v>3936</v>
      </c>
      <c r="U1633" s="2" t="s">
        <v>10623</v>
      </c>
      <c r="V1633" s="2" t="s">
        <v>10624</v>
      </c>
      <c r="W1633" s="1"/>
      <c r="X1633" s="2" t="s">
        <v>709</v>
      </c>
      <c r="Y1633" s="2" t="s">
        <v>10596</v>
      </c>
      <c r="AA1633" t="str">
        <f t="shared" si="150"/>
        <v>2025-12</v>
      </c>
      <c r="AB1633" t="str">
        <f t="shared" si="151"/>
        <v/>
      </c>
      <c r="AC1633">
        <f t="shared" si="152"/>
        <v>2549188.5</v>
      </c>
      <c r="AD1633">
        <f t="shared" si="153"/>
        <v>150</v>
      </c>
      <c r="AE1633">
        <f t="shared" si="154"/>
        <v>407188.5</v>
      </c>
      <c r="AF1633" t="str">
        <f t="shared" si="155"/>
        <v>Paid</v>
      </c>
    </row>
    <row r="1634" spans="1:32" ht="17.25" thickBot="1" x14ac:dyDescent="0.35">
      <c r="A1634" s="2" t="s">
        <v>10625</v>
      </c>
      <c r="B1634" s="2" t="s">
        <v>27</v>
      </c>
      <c r="C1634" s="2" t="s">
        <v>28</v>
      </c>
      <c r="D1634" s="2" t="s">
        <v>97</v>
      </c>
      <c r="E1634" s="2" t="s">
        <v>10307</v>
      </c>
      <c r="F1634" s="2" t="s">
        <v>8445</v>
      </c>
      <c r="G1634" s="2" t="s">
        <v>32</v>
      </c>
      <c r="H1634" s="1"/>
      <c r="I1634" s="2" t="s">
        <v>33</v>
      </c>
      <c r="J1634" s="2" t="s">
        <v>34</v>
      </c>
      <c r="K1634" s="2" t="s">
        <v>3940</v>
      </c>
      <c r="L1634" s="2" t="s">
        <v>3941</v>
      </c>
      <c r="M1634" s="2" t="s">
        <v>701</v>
      </c>
      <c r="N1634" s="2" t="s">
        <v>38</v>
      </c>
      <c r="O1634" s="2" t="s">
        <v>1951</v>
      </c>
      <c r="P1634" s="2" t="s">
        <v>10626</v>
      </c>
      <c r="Q1634" s="2" t="s">
        <v>10627</v>
      </c>
      <c r="R1634" s="2" t="s">
        <v>40</v>
      </c>
      <c r="S1634" s="2" t="s">
        <v>10628</v>
      </c>
      <c r="T1634" s="2" t="s">
        <v>726</v>
      </c>
      <c r="U1634" s="2" t="s">
        <v>4035</v>
      </c>
      <c r="V1634" s="2" t="s">
        <v>10629</v>
      </c>
      <c r="W1634" s="1"/>
      <c r="X1634" s="2" t="s">
        <v>709</v>
      </c>
      <c r="Y1634" s="2" t="s">
        <v>10596</v>
      </c>
      <c r="AA1634" t="str">
        <f t="shared" si="150"/>
        <v>2025-12</v>
      </c>
      <c r="AB1634" t="str">
        <f t="shared" si="151"/>
        <v/>
      </c>
      <c r="AC1634">
        <f t="shared" si="152"/>
        <v>5102694</v>
      </c>
      <c r="AD1634">
        <f t="shared" si="153"/>
        <v>600</v>
      </c>
      <c r="AE1634">
        <f t="shared" si="154"/>
        <v>818694</v>
      </c>
      <c r="AF1634" t="str">
        <f t="shared" si="155"/>
        <v>Paid</v>
      </c>
    </row>
    <row r="1635" spans="1:32" ht="17.25" thickBot="1" x14ac:dyDescent="0.35">
      <c r="A1635" s="2" t="s">
        <v>10630</v>
      </c>
      <c r="B1635" s="2" t="s">
        <v>27</v>
      </c>
      <c r="C1635" s="2" t="s">
        <v>28</v>
      </c>
      <c r="D1635" s="2" t="s">
        <v>97</v>
      </c>
      <c r="E1635" s="2" t="s">
        <v>10307</v>
      </c>
      <c r="F1635" s="2" t="s">
        <v>8445</v>
      </c>
      <c r="G1635" s="2" t="s">
        <v>32</v>
      </c>
      <c r="H1635" s="1"/>
      <c r="I1635" s="2" t="s">
        <v>33</v>
      </c>
      <c r="J1635" s="2" t="s">
        <v>34</v>
      </c>
      <c r="K1635" s="2" t="s">
        <v>3949</v>
      </c>
      <c r="L1635" s="2" t="s">
        <v>3950</v>
      </c>
      <c r="M1635" s="2" t="s">
        <v>701</v>
      </c>
      <c r="N1635" s="2" t="s">
        <v>38</v>
      </c>
      <c r="O1635" s="2" t="s">
        <v>3068</v>
      </c>
      <c r="P1635" s="2" t="s">
        <v>10626</v>
      </c>
      <c r="Q1635" s="2" t="s">
        <v>10631</v>
      </c>
      <c r="R1635" s="2" t="s">
        <v>40</v>
      </c>
      <c r="S1635" s="2" t="s">
        <v>10632</v>
      </c>
      <c r="T1635" s="2" t="s">
        <v>726</v>
      </c>
      <c r="U1635" s="2" t="s">
        <v>8388</v>
      </c>
      <c r="V1635" s="2" t="s">
        <v>10633</v>
      </c>
      <c r="W1635" s="1"/>
      <c r="X1635" s="2" t="s">
        <v>709</v>
      </c>
      <c r="Y1635" s="2" t="s">
        <v>10596</v>
      </c>
      <c r="AA1635" t="str">
        <f t="shared" si="150"/>
        <v>2025-12</v>
      </c>
      <c r="AB1635" t="str">
        <f t="shared" si="151"/>
        <v/>
      </c>
      <c r="AC1635">
        <f t="shared" si="152"/>
        <v>5953143</v>
      </c>
      <c r="AD1635">
        <f t="shared" si="153"/>
        <v>700</v>
      </c>
      <c r="AE1635">
        <f t="shared" si="154"/>
        <v>955143</v>
      </c>
      <c r="AF1635" t="str">
        <f t="shared" si="155"/>
        <v>Paid</v>
      </c>
    </row>
    <row r="1636" spans="1:32" ht="17.25" thickBot="1" x14ac:dyDescent="0.35">
      <c r="A1636" s="2" t="s">
        <v>10634</v>
      </c>
      <c r="B1636" s="2" t="s">
        <v>27</v>
      </c>
      <c r="C1636" s="2" t="s">
        <v>28</v>
      </c>
      <c r="D1636" s="2" t="s">
        <v>97</v>
      </c>
      <c r="E1636" s="2" t="s">
        <v>10307</v>
      </c>
      <c r="F1636" s="2" t="s">
        <v>8445</v>
      </c>
      <c r="G1636" s="2" t="s">
        <v>32</v>
      </c>
      <c r="H1636" s="1"/>
      <c r="I1636" s="2" t="s">
        <v>33</v>
      </c>
      <c r="J1636" s="2" t="s">
        <v>34</v>
      </c>
      <c r="K1636" s="2" t="s">
        <v>720</v>
      </c>
      <c r="L1636" s="2" t="s">
        <v>721</v>
      </c>
      <c r="M1636" s="2" t="s">
        <v>701</v>
      </c>
      <c r="N1636" s="2" t="s">
        <v>38</v>
      </c>
      <c r="O1636" s="2" t="s">
        <v>10635</v>
      </c>
      <c r="P1636" s="2" t="s">
        <v>10626</v>
      </c>
      <c r="Q1636" s="2" t="s">
        <v>10636</v>
      </c>
      <c r="R1636" s="2" t="s">
        <v>40</v>
      </c>
      <c r="S1636" s="2" t="s">
        <v>10637</v>
      </c>
      <c r="T1636" s="2" t="s">
        <v>726</v>
      </c>
      <c r="U1636" s="2" t="s">
        <v>10638</v>
      </c>
      <c r="V1636" s="2" t="s">
        <v>10639</v>
      </c>
      <c r="W1636" s="1"/>
      <c r="X1636" s="2" t="s">
        <v>709</v>
      </c>
      <c r="Y1636" s="2" t="s">
        <v>10596</v>
      </c>
      <c r="AA1636" t="str">
        <f t="shared" si="150"/>
        <v>2025-12</v>
      </c>
      <c r="AB1636" t="str">
        <f t="shared" si="151"/>
        <v/>
      </c>
      <c r="AC1636">
        <f t="shared" si="152"/>
        <v>31466613</v>
      </c>
      <c r="AD1636">
        <f t="shared" si="153"/>
        <v>3700</v>
      </c>
      <c r="AE1636">
        <f t="shared" si="154"/>
        <v>5048613</v>
      </c>
      <c r="AF1636" t="str">
        <f t="shared" si="155"/>
        <v>Paid</v>
      </c>
    </row>
    <row r="1637" spans="1:32" ht="17.25" thickBot="1" x14ac:dyDescent="0.35">
      <c r="A1637" s="2" t="s">
        <v>10640</v>
      </c>
      <c r="B1637" s="2" t="s">
        <v>27</v>
      </c>
      <c r="C1637" s="2" t="s">
        <v>28</v>
      </c>
      <c r="D1637" s="2" t="s">
        <v>97</v>
      </c>
      <c r="E1637" s="2" t="s">
        <v>10307</v>
      </c>
      <c r="F1637" s="2" t="s">
        <v>8445</v>
      </c>
      <c r="G1637" s="2" t="s">
        <v>32</v>
      </c>
      <c r="H1637" s="1"/>
      <c r="I1637" s="2" t="s">
        <v>33</v>
      </c>
      <c r="J1637" s="2" t="s">
        <v>34</v>
      </c>
      <c r="K1637" s="2" t="s">
        <v>746</v>
      </c>
      <c r="L1637" s="2" t="s">
        <v>747</v>
      </c>
      <c r="M1637" s="2" t="s">
        <v>701</v>
      </c>
      <c r="N1637" s="2" t="s">
        <v>38</v>
      </c>
      <c r="O1637" s="2" t="s">
        <v>773</v>
      </c>
      <c r="P1637" s="2" t="s">
        <v>9099</v>
      </c>
      <c r="Q1637" s="2" t="s">
        <v>10641</v>
      </c>
      <c r="R1637" s="2" t="s">
        <v>40</v>
      </c>
      <c r="S1637" s="2" t="s">
        <v>10642</v>
      </c>
      <c r="T1637" s="2" t="s">
        <v>716</v>
      </c>
      <c r="U1637" s="2" t="s">
        <v>6541</v>
      </c>
      <c r="V1637" s="2" t="s">
        <v>10643</v>
      </c>
      <c r="W1637" s="1"/>
      <c r="X1637" s="2" t="s">
        <v>709</v>
      </c>
      <c r="Y1637" s="2" t="s">
        <v>10596</v>
      </c>
      <c r="AA1637" t="str">
        <f t="shared" si="150"/>
        <v>2025-12</v>
      </c>
      <c r="AB1637" t="str">
        <f t="shared" si="151"/>
        <v/>
      </c>
      <c r="AC1637">
        <f t="shared" si="152"/>
        <v>2400252</v>
      </c>
      <c r="AD1637">
        <f t="shared" si="153"/>
        <v>200</v>
      </c>
      <c r="AE1637">
        <f t="shared" si="154"/>
        <v>384252</v>
      </c>
      <c r="AF1637" t="str">
        <f t="shared" si="155"/>
        <v>Paid</v>
      </c>
    </row>
    <row r="1638" spans="1:32" ht="17.25" thickBot="1" x14ac:dyDescent="0.35">
      <c r="A1638" s="2" t="s">
        <v>10644</v>
      </c>
      <c r="B1638" s="2" t="s">
        <v>27</v>
      </c>
      <c r="C1638" s="2" t="s">
        <v>28</v>
      </c>
      <c r="D1638" s="2" t="s">
        <v>97</v>
      </c>
      <c r="E1638" s="2" t="s">
        <v>10307</v>
      </c>
      <c r="F1638" s="2" t="s">
        <v>8445</v>
      </c>
      <c r="G1638" s="2" t="s">
        <v>32</v>
      </c>
      <c r="H1638" s="1"/>
      <c r="I1638" s="2" t="s">
        <v>33</v>
      </c>
      <c r="J1638" s="2" t="s">
        <v>34</v>
      </c>
      <c r="K1638" s="2" t="s">
        <v>754</v>
      </c>
      <c r="L1638" s="2" t="s">
        <v>755</v>
      </c>
      <c r="M1638" s="2" t="s">
        <v>701</v>
      </c>
      <c r="N1638" s="2" t="s">
        <v>38</v>
      </c>
      <c r="O1638" s="2" t="s">
        <v>2847</v>
      </c>
      <c r="P1638" s="2" t="s">
        <v>6284</v>
      </c>
      <c r="Q1638" s="2" t="s">
        <v>10645</v>
      </c>
      <c r="R1638" s="2" t="s">
        <v>40</v>
      </c>
      <c r="S1638" s="2" t="s">
        <v>10646</v>
      </c>
      <c r="T1638" s="2" t="s">
        <v>759</v>
      </c>
      <c r="U1638" s="2" t="s">
        <v>10647</v>
      </c>
      <c r="V1638" s="2" t="s">
        <v>10648</v>
      </c>
      <c r="W1638" s="1"/>
      <c r="X1638" s="2" t="s">
        <v>5168</v>
      </c>
      <c r="Y1638" s="2" t="s">
        <v>10596</v>
      </c>
      <c r="AA1638" t="str">
        <f t="shared" si="150"/>
        <v>2025-12</v>
      </c>
      <c r="AB1638" t="str">
        <f t="shared" si="151"/>
        <v/>
      </c>
      <c r="AC1638">
        <f t="shared" si="152"/>
        <v>11691875</v>
      </c>
      <c r="AD1638">
        <f t="shared" si="153"/>
        <v>1300</v>
      </c>
      <c r="AE1638">
        <f t="shared" si="154"/>
        <v>1863875</v>
      </c>
      <c r="AF1638" t="str">
        <f t="shared" si="155"/>
        <v>Paid</v>
      </c>
    </row>
    <row r="1639" spans="1:32" ht="17.25" thickBot="1" x14ac:dyDescent="0.35">
      <c r="A1639" s="2" t="s">
        <v>10649</v>
      </c>
      <c r="B1639" s="2" t="s">
        <v>27</v>
      </c>
      <c r="C1639" s="2" t="s">
        <v>28</v>
      </c>
      <c r="D1639" s="2" t="s">
        <v>97</v>
      </c>
      <c r="E1639" s="2" t="s">
        <v>10307</v>
      </c>
      <c r="F1639" s="2" t="s">
        <v>8445</v>
      </c>
      <c r="G1639" s="2" t="s">
        <v>32</v>
      </c>
      <c r="H1639" s="1"/>
      <c r="I1639" s="2" t="s">
        <v>33</v>
      </c>
      <c r="J1639" s="2" t="s">
        <v>34</v>
      </c>
      <c r="K1639" s="2" t="s">
        <v>6331</v>
      </c>
      <c r="L1639" s="2" t="s">
        <v>6332</v>
      </c>
      <c r="M1639" s="2" t="s">
        <v>701</v>
      </c>
      <c r="N1639" s="2" t="s">
        <v>38</v>
      </c>
      <c r="O1639" s="2" t="s">
        <v>2847</v>
      </c>
      <c r="P1639" s="2" t="s">
        <v>6284</v>
      </c>
      <c r="Q1639" s="2" t="s">
        <v>10645</v>
      </c>
      <c r="R1639" s="2" t="s">
        <v>40</v>
      </c>
      <c r="S1639" s="2" t="s">
        <v>10646</v>
      </c>
      <c r="T1639" s="2" t="s">
        <v>759</v>
      </c>
      <c r="U1639" s="2" t="s">
        <v>10647</v>
      </c>
      <c r="V1639" s="2" t="s">
        <v>10648</v>
      </c>
      <c r="W1639" s="1"/>
      <c r="X1639" s="2" t="s">
        <v>5168</v>
      </c>
      <c r="Y1639" s="2" t="s">
        <v>10596</v>
      </c>
      <c r="AA1639" t="str">
        <f t="shared" si="150"/>
        <v>2025-12</v>
      </c>
      <c r="AB1639" t="str">
        <f t="shared" si="151"/>
        <v/>
      </c>
      <c r="AC1639">
        <f t="shared" si="152"/>
        <v>11691875</v>
      </c>
      <c r="AD1639">
        <f t="shared" si="153"/>
        <v>1300</v>
      </c>
      <c r="AE1639">
        <f t="shared" si="154"/>
        <v>1863875</v>
      </c>
      <c r="AF1639" t="str">
        <f t="shared" si="155"/>
        <v>Paid</v>
      </c>
    </row>
    <row r="1640" spans="1:32" ht="17.25" thickBot="1" x14ac:dyDescent="0.35">
      <c r="A1640" s="2" t="s">
        <v>10650</v>
      </c>
      <c r="B1640" s="2" t="s">
        <v>27</v>
      </c>
      <c r="C1640" s="2" t="s">
        <v>28</v>
      </c>
      <c r="D1640" s="2" t="s">
        <v>97</v>
      </c>
      <c r="E1640" s="2" t="s">
        <v>10307</v>
      </c>
      <c r="F1640" s="2" t="s">
        <v>8445</v>
      </c>
      <c r="G1640" s="2" t="s">
        <v>32</v>
      </c>
      <c r="H1640" s="1"/>
      <c r="I1640" s="2" t="s">
        <v>33</v>
      </c>
      <c r="J1640" s="2" t="s">
        <v>34</v>
      </c>
      <c r="K1640" s="2" t="s">
        <v>8322</v>
      </c>
      <c r="L1640" s="2" t="s">
        <v>8323</v>
      </c>
      <c r="M1640" s="2" t="s">
        <v>701</v>
      </c>
      <c r="N1640" s="2" t="s">
        <v>38</v>
      </c>
      <c r="O1640" s="2" t="s">
        <v>1951</v>
      </c>
      <c r="P1640" s="2" t="s">
        <v>1625</v>
      </c>
      <c r="Q1640" s="2" t="s">
        <v>10651</v>
      </c>
      <c r="R1640" s="2" t="s">
        <v>40</v>
      </c>
      <c r="S1640" s="2" t="s">
        <v>10652</v>
      </c>
      <c r="T1640" s="2" t="s">
        <v>8326</v>
      </c>
      <c r="U1640" s="2" t="s">
        <v>10653</v>
      </c>
      <c r="V1640" s="2" t="s">
        <v>10654</v>
      </c>
      <c r="W1640" s="1"/>
      <c r="X1640" s="2" t="s">
        <v>709</v>
      </c>
      <c r="Y1640" s="2" t="s">
        <v>10596</v>
      </c>
      <c r="AA1640" t="str">
        <f t="shared" si="150"/>
        <v>2025-12</v>
      </c>
      <c r="AB1640" t="str">
        <f t="shared" si="151"/>
        <v/>
      </c>
      <c r="AC1640">
        <f t="shared" si="152"/>
        <v>6302820</v>
      </c>
      <c r="AD1640">
        <f t="shared" si="153"/>
        <v>600</v>
      </c>
      <c r="AE1640">
        <f t="shared" si="154"/>
        <v>1010820</v>
      </c>
      <c r="AF1640" t="str">
        <f t="shared" si="155"/>
        <v>Paid</v>
      </c>
    </row>
    <row r="1641" spans="1:32" ht="27.75" thickBot="1" x14ac:dyDescent="0.35">
      <c r="A1641" s="2" t="s">
        <v>10655</v>
      </c>
      <c r="B1641" s="2" t="s">
        <v>27</v>
      </c>
      <c r="C1641" s="2" t="s">
        <v>28</v>
      </c>
      <c r="D1641" s="2" t="s">
        <v>97</v>
      </c>
      <c r="E1641" s="2" t="s">
        <v>10656</v>
      </c>
      <c r="F1641" s="2" t="s">
        <v>8445</v>
      </c>
      <c r="G1641" s="2" t="s">
        <v>32</v>
      </c>
      <c r="H1641" s="1"/>
      <c r="I1641" s="2" t="s">
        <v>33</v>
      </c>
      <c r="J1641" s="2" t="s">
        <v>34</v>
      </c>
      <c r="K1641" s="2" t="s">
        <v>10657</v>
      </c>
      <c r="L1641" s="2" t="s">
        <v>10658</v>
      </c>
      <c r="M1641" s="2" t="s">
        <v>634</v>
      </c>
      <c r="N1641" s="2" t="s">
        <v>38</v>
      </c>
      <c r="O1641" s="2" t="s">
        <v>214</v>
      </c>
      <c r="P1641" s="2" t="s">
        <v>104</v>
      </c>
      <c r="Q1641" s="2" t="s">
        <v>215</v>
      </c>
      <c r="R1641" s="2" t="s">
        <v>40</v>
      </c>
      <c r="S1641" s="2" t="s">
        <v>10496</v>
      </c>
      <c r="T1641" s="2" t="s">
        <v>669</v>
      </c>
      <c r="U1641" s="2" t="s">
        <v>5544</v>
      </c>
      <c r="V1641" s="2" t="s">
        <v>10659</v>
      </c>
      <c r="W1641" s="2" t="s">
        <v>41</v>
      </c>
      <c r="X1641" s="2" t="s">
        <v>10660</v>
      </c>
      <c r="Y1641" s="2" t="s">
        <v>10661</v>
      </c>
      <c r="AA1641" t="str">
        <f t="shared" si="150"/>
        <v>2025-12</v>
      </c>
      <c r="AB1641" t="str">
        <f t="shared" si="151"/>
        <v/>
      </c>
      <c r="AC1641">
        <f t="shared" si="152"/>
        <v>719.5</v>
      </c>
      <c r="AD1641">
        <f t="shared" si="153"/>
        <v>50</v>
      </c>
      <c r="AE1641">
        <f t="shared" si="154"/>
        <v>-299280.5</v>
      </c>
      <c r="AF1641" t="str">
        <f t="shared" si="155"/>
        <v>Sample</v>
      </c>
    </row>
    <row r="1642" spans="1:32" ht="17.25" thickBot="1" x14ac:dyDescent="0.35">
      <c r="A1642" s="2" t="s">
        <v>10662</v>
      </c>
      <c r="B1642" s="2" t="s">
        <v>27</v>
      </c>
      <c r="C1642" s="2" t="s">
        <v>28</v>
      </c>
      <c r="D1642" s="2" t="s">
        <v>97</v>
      </c>
      <c r="E1642" s="2" t="s">
        <v>10656</v>
      </c>
      <c r="F1642" s="2" t="s">
        <v>8445</v>
      </c>
      <c r="G1642" s="2" t="s">
        <v>32</v>
      </c>
      <c r="H1642" s="1"/>
      <c r="I1642" s="2" t="s">
        <v>33</v>
      </c>
      <c r="J1642" s="2" t="s">
        <v>34</v>
      </c>
      <c r="K1642" s="2" t="s">
        <v>10663</v>
      </c>
      <c r="L1642" s="2" t="s">
        <v>10664</v>
      </c>
      <c r="M1642" s="2" t="s">
        <v>634</v>
      </c>
      <c r="N1642" s="2" t="s">
        <v>38</v>
      </c>
      <c r="O1642" s="2" t="s">
        <v>166</v>
      </c>
      <c r="P1642" s="2" t="s">
        <v>104</v>
      </c>
      <c r="Q1642" s="2" t="s">
        <v>10665</v>
      </c>
      <c r="R1642" s="2" t="s">
        <v>40</v>
      </c>
      <c r="S1642" s="2" t="s">
        <v>10666</v>
      </c>
      <c r="T1642" s="2" t="s">
        <v>287</v>
      </c>
      <c r="U1642" s="2" t="s">
        <v>5401</v>
      </c>
      <c r="V1642" s="2" t="s">
        <v>10667</v>
      </c>
      <c r="W1642" s="2" t="s">
        <v>41</v>
      </c>
      <c r="X1642" s="2" t="s">
        <v>10668</v>
      </c>
      <c r="Y1642" s="2" t="s">
        <v>10661</v>
      </c>
      <c r="AA1642" t="str">
        <f t="shared" si="150"/>
        <v>2025-12</v>
      </c>
      <c r="AB1642" t="str">
        <f t="shared" si="151"/>
        <v/>
      </c>
      <c r="AC1642">
        <f t="shared" si="152"/>
        <v>302.19</v>
      </c>
      <c r="AD1642">
        <f t="shared" si="153"/>
        <v>21</v>
      </c>
      <c r="AE1642">
        <f t="shared" si="154"/>
        <v>-146697.81</v>
      </c>
      <c r="AF1642" t="str">
        <f t="shared" si="155"/>
        <v>Sample</v>
      </c>
    </row>
    <row r="1643" spans="1:32" ht="17.25" thickBot="1" x14ac:dyDescent="0.35">
      <c r="A1643" s="2" t="s">
        <v>10669</v>
      </c>
      <c r="B1643" s="2" t="s">
        <v>27</v>
      </c>
      <c r="C1643" s="2" t="s">
        <v>28</v>
      </c>
      <c r="D1643" s="2" t="s">
        <v>97</v>
      </c>
      <c r="E1643" s="2" t="s">
        <v>10656</v>
      </c>
      <c r="F1643" s="2" t="s">
        <v>8445</v>
      </c>
      <c r="G1643" s="2" t="s">
        <v>32</v>
      </c>
      <c r="H1643" s="1"/>
      <c r="I1643" s="2" t="s">
        <v>33</v>
      </c>
      <c r="J1643" s="2" t="s">
        <v>34</v>
      </c>
      <c r="K1643" s="2" t="s">
        <v>10670</v>
      </c>
      <c r="L1643" s="2" t="s">
        <v>10671</v>
      </c>
      <c r="M1643" s="2" t="s">
        <v>634</v>
      </c>
      <c r="N1643" s="2" t="s">
        <v>38</v>
      </c>
      <c r="O1643" s="2" t="s">
        <v>63</v>
      </c>
      <c r="P1643" s="2" t="s">
        <v>104</v>
      </c>
      <c r="Q1643" s="2" t="s">
        <v>10672</v>
      </c>
      <c r="R1643" s="2" t="s">
        <v>40</v>
      </c>
      <c r="S1643" s="2" t="s">
        <v>10673</v>
      </c>
      <c r="T1643" s="2" t="s">
        <v>287</v>
      </c>
      <c r="U1643" s="2" t="s">
        <v>10674</v>
      </c>
      <c r="V1643" s="2" t="s">
        <v>10675</v>
      </c>
      <c r="W1643" s="2" t="s">
        <v>41</v>
      </c>
      <c r="X1643" s="2" t="s">
        <v>10668</v>
      </c>
      <c r="Y1643" s="2" t="s">
        <v>10661</v>
      </c>
      <c r="AA1643" t="str">
        <f t="shared" si="150"/>
        <v>2025-12</v>
      </c>
      <c r="AB1643" t="str">
        <f t="shared" si="151"/>
        <v/>
      </c>
      <c r="AC1643">
        <f t="shared" si="152"/>
        <v>100.73</v>
      </c>
      <c r="AD1643">
        <f t="shared" si="153"/>
        <v>7</v>
      </c>
      <c r="AE1643">
        <f t="shared" si="154"/>
        <v>-48899.27</v>
      </c>
      <c r="AF1643" t="str">
        <f t="shared" si="155"/>
        <v>Sample</v>
      </c>
    </row>
    <row r="1644" spans="1:32" ht="17.25" thickBot="1" x14ac:dyDescent="0.35">
      <c r="A1644" s="2" t="s">
        <v>10676</v>
      </c>
      <c r="B1644" s="2" t="s">
        <v>27</v>
      </c>
      <c r="C1644" s="2" t="s">
        <v>28</v>
      </c>
      <c r="D1644" s="2" t="s">
        <v>97</v>
      </c>
      <c r="E1644" s="2" t="s">
        <v>10656</v>
      </c>
      <c r="F1644" s="2" t="s">
        <v>8445</v>
      </c>
      <c r="G1644" s="2" t="s">
        <v>32</v>
      </c>
      <c r="H1644" s="1"/>
      <c r="I1644" s="2" t="s">
        <v>33</v>
      </c>
      <c r="J1644" s="2" t="s">
        <v>34</v>
      </c>
      <c r="K1644" s="2" t="s">
        <v>6235</v>
      </c>
      <c r="L1644" s="2" t="s">
        <v>6236</v>
      </c>
      <c r="M1644" s="2" t="s">
        <v>6146</v>
      </c>
      <c r="N1644" s="2" t="s">
        <v>38</v>
      </c>
      <c r="O1644" s="2" t="s">
        <v>517</v>
      </c>
      <c r="P1644" s="2" t="s">
        <v>7010</v>
      </c>
      <c r="Q1644" s="2" t="s">
        <v>10677</v>
      </c>
      <c r="R1644" s="2" t="s">
        <v>40</v>
      </c>
      <c r="S1644" s="2" t="s">
        <v>10678</v>
      </c>
      <c r="T1644" s="2" t="s">
        <v>2490</v>
      </c>
      <c r="U1644" s="2" t="s">
        <v>10679</v>
      </c>
      <c r="V1644" s="2" t="s">
        <v>10680</v>
      </c>
      <c r="W1644" s="1"/>
      <c r="X1644" s="2" t="s">
        <v>2429</v>
      </c>
      <c r="Y1644" s="2" t="s">
        <v>10661</v>
      </c>
      <c r="AA1644" t="str">
        <f t="shared" si="150"/>
        <v>2025-12</v>
      </c>
      <c r="AB1644" t="str">
        <f t="shared" si="151"/>
        <v/>
      </c>
      <c r="AC1644">
        <f t="shared" si="152"/>
        <v>960100.8</v>
      </c>
      <c r="AD1644">
        <f t="shared" si="153"/>
        <v>120</v>
      </c>
      <c r="AE1644">
        <f t="shared" si="154"/>
        <v>234646.26</v>
      </c>
      <c r="AF1644" t="str">
        <f t="shared" si="155"/>
        <v>Paid</v>
      </c>
    </row>
    <row r="1645" spans="1:32" ht="17.25" thickBot="1" x14ac:dyDescent="0.35">
      <c r="A1645" s="2" t="s">
        <v>10681</v>
      </c>
      <c r="B1645" s="2" t="s">
        <v>27</v>
      </c>
      <c r="C1645" s="2" t="s">
        <v>28</v>
      </c>
      <c r="D1645" s="2" t="s">
        <v>97</v>
      </c>
      <c r="E1645" s="2" t="s">
        <v>10656</v>
      </c>
      <c r="F1645" s="2" t="s">
        <v>8445</v>
      </c>
      <c r="G1645" s="2" t="s">
        <v>32</v>
      </c>
      <c r="H1645" s="1"/>
      <c r="I1645" s="2" t="s">
        <v>33</v>
      </c>
      <c r="J1645" s="2" t="s">
        <v>34</v>
      </c>
      <c r="K1645" s="2" t="s">
        <v>6243</v>
      </c>
      <c r="L1645" s="2" t="s">
        <v>6244</v>
      </c>
      <c r="M1645" s="2" t="s">
        <v>6146</v>
      </c>
      <c r="N1645" s="2" t="s">
        <v>38</v>
      </c>
      <c r="O1645" s="2" t="s">
        <v>517</v>
      </c>
      <c r="P1645" s="2" t="s">
        <v>1068</v>
      </c>
      <c r="Q1645" s="2" t="s">
        <v>10682</v>
      </c>
      <c r="R1645" s="2" t="s">
        <v>40</v>
      </c>
      <c r="S1645" s="2" t="s">
        <v>10683</v>
      </c>
      <c r="T1645" s="2" t="s">
        <v>6247</v>
      </c>
      <c r="U1645" s="2" t="s">
        <v>10684</v>
      </c>
      <c r="V1645" s="2" t="s">
        <v>10685</v>
      </c>
      <c r="W1645" s="1"/>
      <c r="X1645" s="2" t="s">
        <v>817</v>
      </c>
      <c r="Y1645" s="2" t="s">
        <v>10661</v>
      </c>
      <c r="AA1645" t="str">
        <f t="shared" si="150"/>
        <v>2025-12</v>
      </c>
      <c r="AB1645" t="str">
        <f t="shared" si="151"/>
        <v/>
      </c>
      <c r="AC1645">
        <f t="shared" si="152"/>
        <v>1189765.2</v>
      </c>
      <c r="AD1645">
        <f t="shared" si="153"/>
        <v>120</v>
      </c>
      <c r="AE1645">
        <f t="shared" si="154"/>
        <v>293037.94</v>
      </c>
      <c r="AF1645" t="str">
        <f t="shared" si="155"/>
        <v>Paid</v>
      </c>
    </row>
    <row r="1646" spans="1:32" ht="17.25" thickBot="1" x14ac:dyDescent="0.35">
      <c r="A1646" s="2" t="s">
        <v>10686</v>
      </c>
      <c r="B1646" s="2" t="s">
        <v>27</v>
      </c>
      <c r="C1646" s="2" t="s">
        <v>28</v>
      </c>
      <c r="D1646" s="2" t="s">
        <v>97</v>
      </c>
      <c r="E1646" s="2" t="s">
        <v>10656</v>
      </c>
      <c r="F1646" s="2" t="s">
        <v>8445</v>
      </c>
      <c r="G1646" s="2" t="s">
        <v>32</v>
      </c>
      <c r="H1646" s="1"/>
      <c r="I1646" s="2" t="s">
        <v>33</v>
      </c>
      <c r="J1646" s="2" t="s">
        <v>34</v>
      </c>
      <c r="K1646" s="2" t="s">
        <v>6251</v>
      </c>
      <c r="L1646" s="2" t="s">
        <v>6252</v>
      </c>
      <c r="M1646" s="2" t="s">
        <v>6146</v>
      </c>
      <c r="N1646" s="2" t="s">
        <v>38</v>
      </c>
      <c r="O1646" s="2" t="s">
        <v>779</v>
      </c>
      <c r="P1646" s="2" t="s">
        <v>7296</v>
      </c>
      <c r="Q1646" s="2" t="s">
        <v>10687</v>
      </c>
      <c r="R1646" s="2" t="s">
        <v>40</v>
      </c>
      <c r="S1646" s="2" t="s">
        <v>10688</v>
      </c>
      <c r="T1646" s="2" t="s">
        <v>7304</v>
      </c>
      <c r="U1646" s="2" t="s">
        <v>10689</v>
      </c>
      <c r="V1646" s="2" t="s">
        <v>10690</v>
      </c>
      <c r="W1646" s="1"/>
      <c r="X1646" s="2" t="s">
        <v>806</v>
      </c>
      <c r="Y1646" s="2" t="s">
        <v>10661</v>
      </c>
      <c r="AA1646" t="str">
        <f t="shared" si="150"/>
        <v>2025-12</v>
      </c>
      <c r="AB1646" t="str">
        <f t="shared" si="151"/>
        <v/>
      </c>
      <c r="AC1646">
        <f t="shared" si="152"/>
        <v>900094.5</v>
      </c>
      <c r="AD1646">
        <f t="shared" si="153"/>
        <v>90</v>
      </c>
      <c r="AE1646">
        <f t="shared" si="154"/>
        <v>229185.41</v>
      </c>
      <c r="AF1646" t="str">
        <f t="shared" si="155"/>
        <v>Paid</v>
      </c>
    </row>
    <row r="1647" spans="1:32" ht="17.25" thickBot="1" x14ac:dyDescent="0.35">
      <c r="A1647" s="2" t="s">
        <v>10691</v>
      </c>
      <c r="B1647" s="2" t="s">
        <v>27</v>
      </c>
      <c r="C1647" s="2" t="s">
        <v>28</v>
      </c>
      <c r="D1647" s="2" t="s">
        <v>97</v>
      </c>
      <c r="E1647" s="2" t="s">
        <v>10656</v>
      </c>
      <c r="F1647" s="2" t="s">
        <v>8445</v>
      </c>
      <c r="G1647" s="2" t="s">
        <v>32</v>
      </c>
      <c r="H1647" s="1"/>
      <c r="I1647" s="2" t="s">
        <v>33</v>
      </c>
      <c r="J1647" s="2" t="s">
        <v>34</v>
      </c>
      <c r="K1647" s="2" t="s">
        <v>6251</v>
      </c>
      <c r="L1647" s="2" t="s">
        <v>6252</v>
      </c>
      <c r="M1647" s="2" t="s">
        <v>6146</v>
      </c>
      <c r="N1647" s="2" t="s">
        <v>38</v>
      </c>
      <c r="O1647" s="2" t="s">
        <v>3921</v>
      </c>
      <c r="P1647" s="2" t="s">
        <v>7296</v>
      </c>
      <c r="Q1647" s="2" t="s">
        <v>10692</v>
      </c>
      <c r="R1647" s="2" t="s">
        <v>40</v>
      </c>
      <c r="S1647" s="2" t="s">
        <v>10693</v>
      </c>
      <c r="T1647" s="2" t="s">
        <v>7304</v>
      </c>
      <c r="U1647" s="2" t="s">
        <v>10694</v>
      </c>
      <c r="V1647" s="2" t="s">
        <v>10695</v>
      </c>
      <c r="W1647" s="1"/>
      <c r="X1647" s="2" t="s">
        <v>806</v>
      </c>
      <c r="Y1647" s="2" t="s">
        <v>10661</v>
      </c>
      <c r="AA1647" t="str">
        <f t="shared" si="150"/>
        <v>2025-12</v>
      </c>
      <c r="AB1647" t="str">
        <f t="shared" si="151"/>
        <v/>
      </c>
      <c r="AC1647">
        <f t="shared" si="152"/>
        <v>5100535.5</v>
      </c>
      <c r="AD1647">
        <f t="shared" si="153"/>
        <v>510</v>
      </c>
      <c r="AE1647">
        <f t="shared" si="154"/>
        <v>1298717.3500000001</v>
      </c>
      <c r="AF1647" t="str">
        <f t="shared" si="155"/>
        <v>Paid</v>
      </c>
    </row>
    <row r="1648" spans="1:32" ht="17.25" thickBot="1" x14ac:dyDescent="0.35">
      <c r="A1648" s="2" t="s">
        <v>10696</v>
      </c>
      <c r="B1648" s="2" t="s">
        <v>27</v>
      </c>
      <c r="C1648" s="2" t="s">
        <v>28</v>
      </c>
      <c r="D1648" s="2" t="s">
        <v>97</v>
      </c>
      <c r="E1648" s="2" t="s">
        <v>10656</v>
      </c>
      <c r="F1648" s="2" t="s">
        <v>8445</v>
      </c>
      <c r="G1648" s="2" t="s">
        <v>32</v>
      </c>
      <c r="H1648" s="1"/>
      <c r="I1648" s="2" t="s">
        <v>33</v>
      </c>
      <c r="J1648" s="2" t="s">
        <v>34</v>
      </c>
      <c r="K1648" s="2" t="s">
        <v>10697</v>
      </c>
      <c r="L1648" s="2" t="s">
        <v>10698</v>
      </c>
      <c r="M1648" s="2" t="s">
        <v>6146</v>
      </c>
      <c r="N1648" s="2" t="s">
        <v>38</v>
      </c>
      <c r="O1648" s="2" t="s">
        <v>51</v>
      </c>
      <c r="P1648" s="2" t="s">
        <v>2182</v>
      </c>
      <c r="Q1648" s="2" t="s">
        <v>10699</v>
      </c>
      <c r="R1648" s="2" t="s">
        <v>40</v>
      </c>
      <c r="S1648" s="2" t="s">
        <v>10700</v>
      </c>
      <c r="T1648" s="2" t="s">
        <v>7371</v>
      </c>
      <c r="U1648" s="2" t="s">
        <v>10701</v>
      </c>
      <c r="V1648" s="2" t="s">
        <v>10702</v>
      </c>
      <c r="W1648" s="1"/>
      <c r="X1648" s="2" t="s">
        <v>201</v>
      </c>
      <c r="Y1648" s="2" t="s">
        <v>10661</v>
      </c>
      <c r="AA1648" t="str">
        <f t="shared" si="150"/>
        <v>2025-12</v>
      </c>
      <c r="AB1648" t="str">
        <f t="shared" si="151"/>
        <v/>
      </c>
      <c r="AC1648">
        <f t="shared" si="152"/>
        <v>28794.39</v>
      </c>
      <c r="AD1648">
        <f t="shared" si="153"/>
        <v>3</v>
      </c>
      <c r="AE1648">
        <f t="shared" si="154"/>
        <v>6976.21</v>
      </c>
      <c r="AF1648" t="str">
        <f t="shared" si="155"/>
        <v>Paid</v>
      </c>
    </row>
    <row r="1649" spans="1:32" ht="17.25" thickBot="1" x14ac:dyDescent="0.35">
      <c r="A1649" s="2" t="s">
        <v>10703</v>
      </c>
      <c r="B1649" s="2" t="s">
        <v>27</v>
      </c>
      <c r="C1649" s="2" t="s">
        <v>28</v>
      </c>
      <c r="D1649" s="2" t="s">
        <v>97</v>
      </c>
      <c r="E1649" s="2" t="s">
        <v>10656</v>
      </c>
      <c r="F1649" s="2" t="s">
        <v>8445</v>
      </c>
      <c r="G1649" s="2" t="s">
        <v>32</v>
      </c>
      <c r="H1649" s="1"/>
      <c r="I1649" s="2" t="s">
        <v>33</v>
      </c>
      <c r="J1649" s="2" t="s">
        <v>34</v>
      </c>
      <c r="K1649" s="2" t="s">
        <v>10704</v>
      </c>
      <c r="L1649" s="2" t="s">
        <v>10705</v>
      </c>
      <c r="M1649" s="2" t="s">
        <v>10706</v>
      </c>
      <c r="N1649" s="2" t="s">
        <v>38</v>
      </c>
      <c r="O1649" s="2" t="s">
        <v>4788</v>
      </c>
      <c r="P1649" s="2" t="s">
        <v>10335</v>
      </c>
      <c r="Q1649" s="2" t="s">
        <v>4033</v>
      </c>
      <c r="R1649" s="2" t="s">
        <v>40</v>
      </c>
      <c r="S1649" s="2" t="s">
        <v>10707</v>
      </c>
      <c r="T1649" s="2" t="s">
        <v>669</v>
      </c>
      <c r="U1649" s="2" t="s">
        <v>10708</v>
      </c>
      <c r="V1649" s="2" t="s">
        <v>10709</v>
      </c>
      <c r="W1649" s="1"/>
      <c r="X1649" s="2" t="s">
        <v>3393</v>
      </c>
      <c r="Y1649" s="2" t="s">
        <v>10661</v>
      </c>
      <c r="AA1649" t="str">
        <f t="shared" si="150"/>
        <v>2025-12</v>
      </c>
      <c r="AB1649" t="str">
        <f t="shared" si="151"/>
        <v/>
      </c>
      <c r="AC1649">
        <f t="shared" si="152"/>
        <v>5111328</v>
      </c>
      <c r="AD1649">
        <f t="shared" si="153"/>
        <v>640</v>
      </c>
      <c r="AE1649">
        <f t="shared" si="154"/>
        <v>1271328</v>
      </c>
      <c r="AF1649" t="str">
        <f t="shared" si="155"/>
        <v>Paid</v>
      </c>
    </row>
    <row r="1650" spans="1:32" ht="17.25" thickBot="1" x14ac:dyDescent="0.35">
      <c r="A1650" s="2" t="s">
        <v>10710</v>
      </c>
      <c r="B1650" s="2" t="s">
        <v>27</v>
      </c>
      <c r="C1650" s="2" t="s">
        <v>28</v>
      </c>
      <c r="D1650" s="2" t="s">
        <v>97</v>
      </c>
      <c r="E1650" s="2" t="s">
        <v>10656</v>
      </c>
      <c r="F1650" s="2" t="s">
        <v>8445</v>
      </c>
      <c r="G1650" s="2" t="s">
        <v>32</v>
      </c>
      <c r="H1650" s="1"/>
      <c r="I1650" s="2" t="s">
        <v>33</v>
      </c>
      <c r="J1650" s="2" t="s">
        <v>34</v>
      </c>
      <c r="K1650" s="2" t="s">
        <v>787</v>
      </c>
      <c r="L1650" s="2" t="s">
        <v>788</v>
      </c>
      <c r="M1650" s="2" t="s">
        <v>772</v>
      </c>
      <c r="N1650" s="2" t="s">
        <v>38</v>
      </c>
      <c r="O1650" s="2" t="s">
        <v>177</v>
      </c>
      <c r="P1650" s="2" t="s">
        <v>8462</v>
      </c>
      <c r="Q1650" s="2" t="s">
        <v>10711</v>
      </c>
      <c r="R1650" s="2" t="s">
        <v>40</v>
      </c>
      <c r="S1650" s="2" t="s">
        <v>10712</v>
      </c>
      <c r="T1650" s="2" t="s">
        <v>793</v>
      </c>
      <c r="U1650" s="2" t="s">
        <v>844</v>
      </c>
      <c r="V1650" s="2" t="s">
        <v>10713</v>
      </c>
      <c r="W1650" s="1"/>
      <c r="X1650" s="2" t="s">
        <v>934</v>
      </c>
      <c r="Y1650" s="2" t="s">
        <v>10661</v>
      </c>
      <c r="AA1650" t="str">
        <f t="shared" si="150"/>
        <v>2025-12</v>
      </c>
      <c r="AB1650" t="str">
        <f t="shared" si="151"/>
        <v/>
      </c>
      <c r="AC1650">
        <f t="shared" si="152"/>
        <v>529552</v>
      </c>
      <c r="AD1650">
        <f t="shared" si="153"/>
        <v>400</v>
      </c>
      <c r="AE1650">
        <f t="shared" si="154"/>
        <v>129552</v>
      </c>
      <c r="AF1650" t="str">
        <f t="shared" si="155"/>
        <v>Paid</v>
      </c>
    </row>
    <row r="1651" spans="1:32" ht="17.25" thickBot="1" x14ac:dyDescent="0.35">
      <c r="A1651" s="2" t="s">
        <v>10714</v>
      </c>
      <c r="B1651" s="2" t="s">
        <v>27</v>
      </c>
      <c r="C1651" s="2" t="s">
        <v>28</v>
      </c>
      <c r="D1651" s="2" t="s">
        <v>97</v>
      </c>
      <c r="E1651" s="2" t="s">
        <v>10656</v>
      </c>
      <c r="F1651" s="2" t="s">
        <v>8445</v>
      </c>
      <c r="G1651" s="2" t="s">
        <v>32</v>
      </c>
      <c r="H1651" s="1"/>
      <c r="I1651" s="2" t="s">
        <v>33</v>
      </c>
      <c r="J1651" s="2" t="s">
        <v>34</v>
      </c>
      <c r="K1651" s="2" t="s">
        <v>798</v>
      </c>
      <c r="L1651" s="2" t="s">
        <v>799</v>
      </c>
      <c r="M1651" s="2" t="s">
        <v>772</v>
      </c>
      <c r="N1651" s="2" t="s">
        <v>38</v>
      </c>
      <c r="O1651" s="2" t="s">
        <v>362</v>
      </c>
      <c r="P1651" s="2" t="s">
        <v>10715</v>
      </c>
      <c r="Q1651" s="2" t="s">
        <v>10716</v>
      </c>
      <c r="R1651" s="2" t="s">
        <v>40</v>
      </c>
      <c r="S1651" s="2" t="s">
        <v>10717</v>
      </c>
      <c r="T1651" s="2" t="s">
        <v>669</v>
      </c>
      <c r="U1651" s="2" t="s">
        <v>4725</v>
      </c>
      <c r="V1651" s="2" t="s">
        <v>10718</v>
      </c>
      <c r="W1651" s="1"/>
      <c r="X1651" s="2" t="s">
        <v>155</v>
      </c>
      <c r="Y1651" s="2" t="s">
        <v>10661</v>
      </c>
      <c r="AA1651" t="str">
        <f t="shared" si="150"/>
        <v>2025-12</v>
      </c>
      <c r="AB1651" t="str">
        <f t="shared" si="151"/>
        <v/>
      </c>
      <c r="AC1651">
        <f t="shared" si="152"/>
        <v>2385286.4</v>
      </c>
      <c r="AD1651">
        <f t="shared" si="153"/>
        <v>320</v>
      </c>
      <c r="AE1651">
        <f t="shared" si="154"/>
        <v>465286.40000000002</v>
      </c>
      <c r="AF1651" t="str">
        <f t="shared" si="155"/>
        <v>Paid</v>
      </c>
    </row>
    <row r="1652" spans="1:32" ht="17.25" thickBot="1" x14ac:dyDescent="0.35">
      <c r="A1652" s="2" t="s">
        <v>10719</v>
      </c>
      <c r="B1652" s="2" t="s">
        <v>27</v>
      </c>
      <c r="C1652" s="2" t="s">
        <v>28</v>
      </c>
      <c r="D1652" s="2" t="s">
        <v>97</v>
      </c>
      <c r="E1652" s="2" t="s">
        <v>10656</v>
      </c>
      <c r="F1652" s="2" t="s">
        <v>8445</v>
      </c>
      <c r="G1652" s="2" t="s">
        <v>32</v>
      </c>
      <c r="H1652" s="1"/>
      <c r="I1652" s="2" t="s">
        <v>33</v>
      </c>
      <c r="J1652" s="2" t="s">
        <v>34</v>
      </c>
      <c r="K1652" s="2" t="s">
        <v>926</v>
      </c>
      <c r="L1652" s="2" t="s">
        <v>927</v>
      </c>
      <c r="M1652" s="2" t="s">
        <v>772</v>
      </c>
      <c r="N1652" s="2" t="s">
        <v>38</v>
      </c>
      <c r="O1652" s="2" t="s">
        <v>114</v>
      </c>
      <c r="P1652" s="2" t="s">
        <v>5472</v>
      </c>
      <c r="Q1652" s="2" t="s">
        <v>10720</v>
      </c>
      <c r="R1652" s="2" t="s">
        <v>40</v>
      </c>
      <c r="S1652" s="2" t="s">
        <v>10721</v>
      </c>
      <c r="T1652" s="2" t="s">
        <v>931</v>
      </c>
      <c r="U1652" s="2" t="s">
        <v>1677</v>
      </c>
      <c r="V1652" s="2" t="s">
        <v>10722</v>
      </c>
      <c r="W1652" s="1"/>
      <c r="X1652" s="2" t="s">
        <v>155</v>
      </c>
      <c r="Y1652" s="2" t="s">
        <v>10661</v>
      </c>
      <c r="AA1652" t="str">
        <f t="shared" si="150"/>
        <v>2025-12</v>
      </c>
      <c r="AB1652" t="str">
        <f t="shared" si="151"/>
        <v/>
      </c>
      <c r="AC1652">
        <f t="shared" si="152"/>
        <v>2117056.7999999998</v>
      </c>
      <c r="AD1652">
        <f t="shared" si="153"/>
        <v>240</v>
      </c>
      <c r="AE1652">
        <f t="shared" si="154"/>
        <v>413056.8</v>
      </c>
      <c r="AF1652" t="str">
        <f t="shared" si="155"/>
        <v>Paid</v>
      </c>
    </row>
    <row r="1653" spans="1:32" ht="17.25" thickBot="1" x14ac:dyDescent="0.35">
      <c r="A1653" s="2" t="s">
        <v>10723</v>
      </c>
      <c r="B1653" s="2" t="s">
        <v>27</v>
      </c>
      <c r="C1653" s="2" t="s">
        <v>28</v>
      </c>
      <c r="D1653" s="2" t="s">
        <v>97</v>
      </c>
      <c r="E1653" s="2" t="s">
        <v>10656</v>
      </c>
      <c r="F1653" s="2" t="s">
        <v>8445</v>
      </c>
      <c r="G1653" s="2" t="s">
        <v>32</v>
      </c>
      <c r="H1653" s="1"/>
      <c r="I1653" s="2" t="s">
        <v>33</v>
      </c>
      <c r="J1653" s="2" t="s">
        <v>34</v>
      </c>
      <c r="K1653" s="2" t="s">
        <v>8005</v>
      </c>
      <c r="L1653" s="2" t="s">
        <v>8006</v>
      </c>
      <c r="M1653" s="2" t="s">
        <v>772</v>
      </c>
      <c r="N1653" s="2" t="s">
        <v>38</v>
      </c>
      <c r="O1653" s="2" t="s">
        <v>3793</v>
      </c>
      <c r="P1653" s="2" t="s">
        <v>10724</v>
      </c>
      <c r="Q1653" s="2" t="s">
        <v>10725</v>
      </c>
      <c r="R1653" s="2" t="s">
        <v>40</v>
      </c>
      <c r="S1653" s="2" t="s">
        <v>10726</v>
      </c>
      <c r="T1653" s="2" t="s">
        <v>1039</v>
      </c>
      <c r="U1653" s="2" t="s">
        <v>10727</v>
      </c>
      <c r="V1653" s="2" t="s">
        <v>10728</v>
      </c>
      <c r="W1653" s="1"/>
      <c r="X1653" s="2" t="s">
        <v>2000</v>
      </c>
      <c r="Y1653" s="2" t="s">
        <v>10661</v>
      </c>
      <c r="AA1653" t="str">
        <f t="shared" si="150"/>
        <v>2025-12</v>
      </c>
      <c r="AB1653" t="str">
        <f t="shared" si="151"/>
        <v/>
      </c>
      <c r="AC1653">
        <f t="shared" si="152"/>
        <v>5260120.5999999996</v>
      </c>
      <c r="AD1653">
        <f t="shared" si="153"/>
        <v>490</v>
      </c>
      <c r="AE1653">
        <f t="shared" si="154"/>
        <v>1046120.6</v>
      </c>
      <c r="AF1653" t="str">
        <f t="shared" si="155"/>
        <v>Paid</v>
      </c>
    </row>
    <row r="1654" spans="1:32" ht="17.25" thickBot="1" x14ac:dyDescent="0.35">
      <c r="A1654" s="2" t="s">
        <v>10729</v>
      </c>
      <c r="B1654" s="2" t="s">
        <v>27</v>
      </c>
      <c r="C1654" s="2" t="s">
        <v>28</v>
      </c>
      <c r="D1654" s="2" t="s">
        <v>97</v>
      </c>
      <c r="E1654" s="2" t="s">
        <v>10656</v>
      </c>
      <c r="F1654" s="2" t="s">
        <v>8445</v>
      </c>
      <c r="G1654" s="2" t="s">
        <v>32</v>
      </c>
      <c r="H1654" s="1"/>
      <c r="I1654" s="2" t="s">
        <v>33</v>
      </c>
      <c r="J1654" s="2" t="s">
        <v>34</v>
      </c>
      <c r="K1654" s="2" t="s">
        <v>4423</v>
      </c>
      <c r="L1654" s="2" t="s">
        <v>4424</v>
      </c>
      <c r="M1654" s="2" t="s">
        <v>772</v>
      </c>
      <c r="N1654" s="2" t="s">
        <v>38</v>
      </c>
      <c r="O1654" s="2" t="s">
        <v>370</v>
      </c>
      <c r="P1654" s="2" t="s">
        <v>10730</v>
      </c>
      <c r="Q1654" s="2" t="s">
        <v>10731</v>
      </c>
      <c r="R1654" s="2" t="s">
        <v>40</v>
      </c>
      <c r="S1654" s="2" t="s">
        <v>10732</v>
      </c>
      <c r="T1654" s="2" t="s">
        <v>1201</v>
      </c>
      <c r="U1654" s="2" t="s">
        <v>6457</v>
      </c>
      <c r="V1654" s="2" t="s">
        <v>10733</v>
      </c>
      <c r="W1654" s="1"/>
      <c r="X1654" s="2" t="s">
        <v>3589</v>
      </c>
      <c r="Y1654" s="2" t="s">
        <v>10661</v>
      </c>
      <c r="AA1654" t="str">
        <f t="shared" si="150"/>
        <v>2025-12</v>
      </c>
      <c r="AB1654" t="str">
        <f t="shared" si="151"/>
        <v/>
      </c>
      <c r="AC1654">
        <f t="shared" si="152"/>
        <v>5912563.2000000002</v>
      </c>
      <c r="AD1654">
        <f t="shared" si="153"/>
        <v>480</v>
      </c>
      <c r="AE1654">
        <f t="shared" si="154"/>
        <v>1208563.2</v>
      </c>
      <c r="AF1654" t="str">
        <f t="shared" si="155"/>
        <v>Paid</v>
      </c>
    </row>
    <row r="1655" spans="1:32" ht="17.25" thickBot="1" x14ac:dyDescent="0.35">
      <c r="A1655" s="2" t="s">
        <v>10734</v>
      </c>
      <c r="B1655" s="2" t="s">
        <v>27</v>
      </c>
      <c r="C1655" s="2" t="s">
        <v>28</v>
      </c>
      <c r="D1655" s="2" t="s">
        <v>97</v>
      </c>
      <c r="E1655" s="2" t="s">
        <v>10656</v>
      </c>
      <c r="F1655" s="2" t="s">
        <v>8445</v>
      </c>
      <c r="G1655" s="2" t="s">
        <v>32</v>
      </c>
      <c r="H1655" s="1"/>
      <c r="I1655" s="2" t="s">
        <v>33</v>
      </c>
      <c r="J1655" s="2" t="s">
        <v>34</v>
      </c>
      <c r="K1655" s="2" t="s">
        <v>1044</v>
      </c>
      <c r="L1655" s="2" t="s">
        <v>1045</v>
      </c>
      <c r="M1655" s="2" t="s">
        <v>772</v>
      </c>
      <c r="N1655" s="2" t="s">
        <v>38</v>
      </c>
      <c r="O1655" s="2" t="s">
        <v>877</v>
      </c>
      <c r="P1655" s="2" t="s">
        <v>2417</v>
      </c>
      <c r="Q1655" s="2" t="s">
        <v>10735</v>
      </c>
      <c r="R1655" s="2" t="s">
        <v>40</v>
      </c>
      <c r="S1655" s="2" t="s">
        <v>10736</v>
      </c>
      <c r="T1655" s="2" t="s">
        <v>6652</v>
      </c>
      <c r="U1655" s="2" t="s">
        <v>10737</v>
      </c>
      <c r="V1655" s="2" t="s">
        <v>10738</v>
      </c>
      <c r="W1655" s="1"/>
      <c r="X1655" s="2" t="s">
        <v>155</v>
      </c>
      <c r="Y1655" s="2" t="s">
        <v>10661</v>
      </c>
      <c r="AA1655" t="str">
        <f t="shared" si="150"/>
        <v>2025-12</v>
      </c>
      <c r="AB1655" t="str">
        <f t="shared" si="151"/>
        <v/>
      </c>
      <c r="AC1655">
        <f t="shared" si="152"/>
        <v>807279</v>
      </c>
      <c r="AD1655">
        <f t="shared" si="153"/>
        <v>100</v>
      </c>
      <c r="AE1655">
        <f t="shared" si="154"/>
        <v>157279</v>
      </c>
      <c r="AF1655" t="str">
        <f t="shared" si="155"/>
        <v>Paid</v>
      </c>
    </row>
    <row r="1656" spans="1:32" ht="17.25" thickBot="1" x14ac:dyDescent="0.35">
      <c r="A1656" s="2" t="s">
        <v>10739</v>
      </c>
      <c r="B1656" s="2" t="s">
        <v>27</v>
      </c>
      <c r="C1656" s="2" t="s">
        <v>28</v>
      </c>
      <c r="D1656" s="2" t="s">
        <v>97</v>
      </c>
      <c r="E1656" s="2" t="s">
        <v>10656</v>
      </c>
      <c r="F1656" s="2" t="s">
        <v>8445</v>
      </c>
      <c r="G1656" s="2" t="s">
        <v>32</v>
      </c>
      <c r="H1656" s="1"/>
      <c r="I1656" s="2" t="s">
        <v>33</v>
      </c>
      <c r="J1656" s="2" t="s">
        <v>34</v>
      </c>
      <c r="K1656" s="2" t="s">
        <v>1065</v>
      </c>
      <c r="L1656" s="2" t="s">
        <v>1066</v>
      </c>
      <c r="M1656" s="2" t="s">
        <v>772</v>
      </c>
      <c r="N1656" s="2" t="s">
        <v>38</v>
      </c>
      <c r="O1656" s="2" t="s">
        <v>149</v>
      </c>
      <c r="P1656" s="2" t="s">
        <v>6196</v>
      </c>
      <c r="Q1656" s="2" t="s">
        <v>10740</v>
      </c>
      <c r="R1656" s="2" t="s">
        <v>40</v>
      </c>
      <c r="S1656" s="2" t="s">
        <v>10741</v>
      </c>
      <c r="T1656" s="2" t="s">
        <v>864</v>
      </c>
      <c r="U1656" s="2" t="s">
        <v>10742</v>
      </c>
      <c r="V1656" s="2" t="s">
        <v>10743</v>
      </c>
      <c r="W1656" s="1"/>
      <c r="X1656" s="2" t="s">
        <v>258</v>
      </c>
      <c r="Y1656" s="2" t="s">
        <v>10661</v>
      </c>
      <c r="AA1656" t="str">
        <f t="shared" si="150"/>
        <v>2025-12</v>
      </c>
      <c r="AB1656" t="str">
        <f t="shared" si="151"/>
        <v/>
      </c>
      <c r="AC1656">
        <f t="shared" si="152"/>
        <v>2801733</v>
      </c>
      <c r="AD1656">
        <f t="shared" si="153"/>
        <v>300</v>
      </c>
      <c r="AE1656">
        <f t="shared" si="154"/>
        <v>551733</v>
      </c>
      <c r="AF1656" t="str">
        <f t="shared" si="155"/>
        <v>Paid</v>
      </c>
    </row>
    <row r="1657" spans="1:32" ht="17.25" thickBot="1" x14ac:dyDescent="0.35">
      <c r="A1657" s="2" t="s">
        <v>10744</v>
      </c>
      <c r="B1657" s="2" t="s">
        <v>27</v>
      </c>
      <c r="C1657" s="2" t="s">
        <v>28</v>
      </c>
      <c r="D1657" s="2" t="s">
        <v>97</v>
      </c>
      <c r="E1657" s="2" t="s">
        <v>10656</v>
      </c>
      <c r="F1657" s="2" t="s">
        <v>8445</v>
      </c>
      <c r="G1657" s="2" t="s">
        <v>32</v>
      </c>
      <c r="H1657" s="1"/>
      <c r="I1657" s="2" t="s">
        <v>33</v>
      </c>
      <c r="J1657" s="2" t="s">
        <v>34</v>
      </c>
      <c r="K1657" s="2" t="s">
        <v>1074</v>
      </c>
      <c r="L1657" s="2" t="s">
        <v>1075</v>
      </c>
      <c r="M1657" s="2" t="s">
        <v>772</v>
      </c>
      <c r="N1657" s="2" t="s">
        <v>38</v>
      </c>
      <c r="O1657" s="2" t="s">
        <v>159</v>
      </c>
      <c r="P1657" s="2" t="s">
        <v>3424</v>
      </c>
      <c r="Q1657" s="2" t="s">
        <v>10745</v>
      </c>
      <c r="R1657" s="2" t="s">
        <v>40</v>
      </c>
      <c r="S1657" s="2" t="s">
        <v>10746</v>
      </c>
      <c r="T1657" s="2" t="s">
        <v>1079</v>
      </c>
      <c r="U1657" s="2" t="s">
        <v>1682</v>
      </c>
      <c r="V1657" s="2" t="s">
        <v>10747</v>
      </c>
      <c r="W1657" s="1"/>
      <c r="X1657" s="2" t="s">
        <v>5636</v>
      </c>
      <c r="Y1657" s="2" t="s">
        <v>10661</v>
      </c>
      <c r="AA1657" t="str">
        <f t="shared" si="150"/>
        <v>2025-12</v>
      </c>
      <c r="AB1657" t="str">
        <f t="shared" si="151"/>
        <v/>
      </c>
      <c r="AC1657">
        <f t="shared" si="152"/>
        <v>763245.6</v>
      </c>
      <c r="AD1657">
        <f t="shared" si="153"/>
        <v>80</v>
      </c>
      <c r="AE1657">
        <f t="shared" si="154"/>
        <v>148045.6</v>
      </c>
      <c r="AF1657" t="str">
        <f t="shared" si="155"/>
        <v>Paid</v>
      </c>
    </row>
    <row r="1658" spans="1:32" ht="17.25" thickBot="1" x14ac:dyDescent="0.35">
      <c r="A1658" s="2" t="s">
        <v>10748</v>
      </c>
      <c r="B1658" s="2" t="s">
        <v>27</v>
      </c>
      <c r="C1658" s="2" t="s">
        <v>28</v>
      </c>
      <c r="D1658" s="2" t="s">
        <v>97</v>
      </c>
      <c r="E1658" s="2" t="s">
        <v>10656</v>
      </c>
      <c r="F1658" s="2" t="s">
        <v>8445</v>
      </c>
      <c r="G1658" s="2" t="s">
        <v>32</v>
      </c>
      <c r="H1658" s="1"/>
      <c r="I1658" s="2" t="s">
        <v>33</v>
      </c>
      <c r="J1658" s="2" t="s">
        <v>34</v>
      </c>
      <c r="K1658" s="2" t="s">
        <v>1084</v>
      </c>
      <c r="L1658" s="2" t="s">
        <v>1085</v>
      </c>
      <c r="M1658" s="2" t="s">
        <v>772</v>
      </c>
      <c r="N1658" s="2" t="s">
        <v>38</v>
      </c>
      <c r="O1658" s="2" t="s">
        <v>877</v>
      </c>
      <c r="P1658" s="2" t="s">
        <v>5278</v>
      </c>
      <c r="Q1658" s="2" t="s">
        <v>10749</v>
      </c>
      <c r="R1658" s="2" t="s">
        <v>40</v>
      </c>
      <c r="S1658" s="2" t="s">
        <v>10750</v>
      </c>
      <c r="T1658" s="2" t="s">
        <v>658</v>
      </c>
      <c r="U1658" s="2" t="s">
        <v>9332</v>
      </c>
      <c r="V1658" s="2" t="s">
        <v>10751</v>
      </c>
      <c r="W1658" s="1"/>
      <c r="X1658" s="2" t="s">
        <v>2781</v>
      </c>
      <c r="Y1658" s="2" t="s">
        <v>10661</v>
      </c>
      <c r="AA1658" t="str">
        <f t="shared" si="150"/>
        <v>2025-12</v>
      </c>
      <c r="AB1658" t="str">
        <f t="shared" si="151"/>
        <v/>
      </c>
      <c r="AC1658">
        <f t="shared" si="152"/>
        <v>1249052</v>
      </c>
      <c r="AD1658">
        <f t="shared" si="153"/>
        <v>100</v>
      </c>
      <c r="AE1658">
        <f t="shared" si="154"/>
        <v>259052</v>
      </c>
      <c r="AF1658" t="str">
        <f t="shared" si="155"/>
        <v>Paid</v>
      </c>
    </row>
    <row r="1659" spans="1:32" ht="17.25" thickBot="1" x14ac:dyDescent="0.35">
      <c r="A1659" s="2" t="s">
        <v>10752</v>
      </c>
      <c r="B1659" s="2" t="s">
        <v>27</v>
      </c>
      <c r="C1659" s="2" t="s">
        <v>28</v>
      </c>
      <c r="D1659" s="2" t="s">
        <v>97</v>
      </c>
      <c r="E1659" s="2" t="s">
        <v>10656</v>
      </c>
      <c r="F1659" s="2" t="s">
        <v>8445</v>
      </c>
      <c r="G1659" s="2" t="s">
        <v>32</v>
      </c>
      <c r="H1659" s="1"/>
      <c r="I1659" s="2" t="s">
        <v>33</v>
      </c>
      <c r="J1659" s="2" t="s">
        <v>34</v>
      </c>
      <c r="K1659" s="2" t="s">
        <v>10223</v>
      </c>
      <c r="L1659" s="2" t="s">
        <v>10224</v>
      </c>
      <c r="M1659" s="2" t="s">
        <v>7510</v>
      </c>
      <c r="N1659" s="2" t="s">
        <v>38</v>
      </c>
      <c r="O1659" s="2" t="s">
        <v>1951</v>
      </c>
      <c r="P1659" s="2" t="s">
        <v>5370</v>
      </c>
      <c r="Q1659" s="2" t="s">
        <v>10753</v>
      </c>
      <c r="R1659" s="2" t="s">
        <v>40</v>
      </c>
      <c r="S1659" s="2" t="s">
        <v>10754</v>
      </c>
      <c r="T1659" s="2" t="s">
        <v>2127</v>
      </c>
      <c r="U1659" s="2" t="s">
        <v>10755</v>
      </c>
      <c r="V1659" s="2" t="s">
        <v>10756</v>
      </c>
      <c r="W1659" s="1"/>
      <c r="X1659" s="2" t="s">
        <v>796</v>
      </c>
      <c r="Y1659" s="2" t="s">
        <v>10661</v>
      </c>
      <c r="AA1659" t="str">
        <f t="shared" si="150"/>
        <v>2025-12</v>
      </c>
      <c r="AB1659" t="str">
        <f t="shared" si="151"/>
        <v/>
      </c>
      <c r="AC1659">
        <f t="shared" si="152"/>
        <v>8210934</v>
      </c>
      <c r="AD1659">
        <f t="shared" si="153"/>
        <v>600</v>
      </c>
      <c r="AE1659">
        <f t="shared" si="154"/>
        <v>1730934</v>
      </c>
      <c r="AF1659" t="str">
        <f t="shared" si="155"/>
        <v>Paid</v>
      </c>
    </row>
    <row r="1660" spans="1:32" ht="17.25" thickBot="1" x14ac:dyDescent="0.35">
      <c r="A1660" s="2" t="s">
        <v>10757</v>
      </c>
      <c r="B1660" s="2" t="s">
        <v>27</v>
      </c>
      <c r="C1660" s="2" t="s">
        <v>28</v>
      </c>
      <c r="D1660" s="2" t="s">
        <v>97</v>
      </c>
      <c r="E1660" s="2" t="s">
        <v>10656</v>
      </c>
      <c r="F1660" s="2" t="s">
        <v>8445</v>
      </c>
      <c r="G1660" s="2" t="s">
        <v>32</v>
      </c>
      <c r="H1660" s="1"/>
      <c r="I1660" s="2" t="s">
        <v>33</v>
      </c>
      <c r="J1660" s="2" t="s">
        <v>34</v>
      </c>
      <c r="K1660" s="2" t="s">
        <v>7508</v>
      </c>
      <c r="L1660" s="2" t="s">
        <v>7509</v>
      </c>
      <c r="M1660" s="2" t="s">
        <v>7510</v>
      </c>
      <c r="N1660" s="2" t="s">
        <v>38</v>
      </c>
      <c r="O1660" s="2" t="s">
        <v>665</v>
      </c>
      <c r="P1660" s="2" t="s">
        <v>7965</v>
      </c>
      <c r="Q1660" s="2" t="s">
        <v>10758</v>
      </c>
      <c r="R1660" s="2" t="s">
        <v>40</v>
      </c>
      <c r="S1660" s="2" t="s">
        <v>10759</v>
      </c>
      <c r="T1660" s="2" t="s">
        <v>7514</v>
      </c>
      <c r="U1660" s="2" t="s">
        <v>10760</v>
      </c>
      <c r="V1660" s="2" t="s">
        <v>10761</v>
      </c>
      <c r="W1660" s="1"/>
      <c r="X1660" s="2" t="s">
        <v>10762</v>
      </c>
      <c r="Y1660" s="2" t="s">
        <v>10661</v>
      </c>
      <c r="AA1660" t="str">
        <f t="shared" si="150"/>
        <v>2025-12</v>
      </c>
      <c r="AB1660" t="str">
        <f t="shared" si="151"/>
        <v/>
      </c>
      <c r="AC1660">
        <f t="shared" si="152"/>
        <v>2154614.7000000002</v>
      </c>
      <c r="AD1660">
        <f t="shared" si="153"/>
        <v>210</v>
      </c>
      <c r="AE1660">
        <f t="shared" si="154"/>
        <v>226814.7</v>
      </c>
      <c r="AF1660" t="str">
        <f t="shared" si="155"/>
        <v>Paid</v>
      </c>
    </row>
    <row r="1661" spans="1:32" ht="17.25" thickBot="1" x14ac:dyDescent="0.35">
      <c r="A1661" s="2" t="s">
        <v>10763</v>
      </c>
      <c r="B1661" s="2" t="s">
        <v>27</v>
      </c>
      <c r="C1661" s="2" t="s">
        <v>28</v>
      </c>
      <c r="D1661" s="2" t="s">
        <v>97</v>
      </c>
      <c r="E1661" s="2" t="s">
        <v>10656</v>
      </c>
      <c r="F1661" s="2" t="s">
        <v>8445</v>
      </c>
      <c r="G1661" s="2" t="s">
        <v>32</v>
      </c>
      <c r="H1661" s="1"/>
      <c r="I1661" s="2" t="s">
        <v>33</v>
      </c>
      <c r="J1661" s="2" t="s">
        <v>34</v>
      </c>
      <c r="K1661" s="2" t="s">
        <v>10764</v>
      </c>
      <c r="L1661" s="2" t="s">
        <v>10765</v>
      </c>
      <c r="M1661" s="2" t="s">
        <v>7510</v>
      </c>
      <c r="N1661" s="2" t="s">
        <v>38</v>
      </c>
      <c r="O1661" s="2" t="s">
        <v>214</v>
      </c>
      <c r="P1661" s="2" t="s">
        <v>8791</v>
      </c>
      <c r="Q1661" s="2" t="s">
        <v>10766</v>
      </c>
      <c r="R1661" s="2" t="s">
        <v>40</v>
      </c>
      <c r="S1661" s="2" t="s">
        <v>10767</v>
      </c>
      <c r="T1661" s="2" t="s">
        <v>706</v>
      </c>
      <c r="U1661" s="2" t="s">
        <v>6750</v>
      </c>
      <c r="V1661" s="2" t="s">
        <v>10768</v>
      </c>
      <c r="W1661" s="1"/>
      <c r="X1661" s="2" t="s">
        <v>897</v>
      </c>
      <c r="Y1661" s="2" t="s">
        <v>10661</v>
      </c>
      <c r="AA1661" t="str">
        <f t="shared" si="150"/>
        <v>2025-12</v>
      </c>
      <c r="AB1661" t="str">
        <f t="shared" si="151"/>
        <v/>
      </c>
      <c r="AC1661">
        <f t="shared" si="152"/>
        <v>531710.5</v>
      </c>
      <c r="AD1661">
        <f t="shared" si="153"/>
        <v>50</v>
      </c>
      <c r="AE1661">
        <f t="shared" si="154"/>
        <v>111710.5</v>
      </c>
      <c r="AF1661" t="str">
        <f t="shared" si="155"/>
        <v>Paid</v>
      </c>
    </row>
    <row r="1662" spans="1:32" ht="17.25" thickBot="1" x14ac:dyDescent="0.35">
      <c r="A1662" s="2" t="s">
        <v>10769</v>
      </c>
      <c r="B1662" s="2" t="s">
        <v>27</v>
      </c>
      <c r="C1662" s="2" t="s">
        <v>28</v>
      </c>
      <c r="D1662" s="2" t="s">
        <v>97</v>
      </c>
      <c r="E1662" s="2" t="s">
        <v>10656</v>
      </c>
      <c r="F1662" s="2" t="s">
        <v>8445</v>
      </c>
      <c r="G1662" s="2" t="s">
        <v>32</v>
      </c>
      <c r="H1662" s="1"/>
      <c r="I1662" s="2" t="s">
        <v>33</v>
      </c>
      <c r="J1662" s="2" t="s">
        <v>34</v>
      </c>
      <c r="K1662" s="2" t="s">
        <v>10770</v>
      </c>
      <c r="L1662" s="2" t="s">
        <v>10771</v>
      </c>
      <c r="M1662" s="2" t="s">
        <v>7510</v>
      </c>
      <c r="N1662" s="2" t="s">
        <v>38</v>
      </c>
      <c r="O1662" s="2" t="s">
        <v>877</v>
      </c>
      <c r="P1662" s="2" t="s">
        <v>10181</v>
      </c>
      <c r="Q1662" s="2" t="s">
        <v>10772</v>
      </c>
      <c r="R1662" s="2" t="s">
        <v>40</v>
      </c>
      <c r="S1662" s="2" t="s">
        <v>10773</v>
      </c>
      <c r="T1662" s="2" t="s">
        <v>1747</v>
      </c>
      <c r="U1662" s="2" t="s">
        <v>163</v>
      </c>
      <c r="V1662" s="2" t="s">
        <v>10774</v>
      </c>
      <c r="W1662" s="1"/>
      <c r="X1662" s="2" t="s">
        <v>897</v>
      </c>
      <c r="Y1662" s="2" t="s">
        <v>10661</v>
      </c>
      <c r="AA1662" t="str">
        <f t="shared" si="150"/>
        <v>2025-12</v>
      </c>
      <c r="AB1662" t="str">
        <f t="shared" si="151"/>
        <v/>
      </c>
      <c r="AC1662">
        <f t="shared" si="152"/>
        <v>1139688</v>
      </c>
      <c r="AD1662">
        <f t="shared" si="153"/>
        <v>100</v>
      </c>
      <c r="AE1662">
        <f t="shared" si="154"/>
        <v>239688</v>
      </c>
      <c r="AF1662" t="str">
        <f t="shared" si="155"/>
        <v>Paid</v>
      </c>
    </row>
    <row r="1663" spans="1:32" ht="17.25" thickBot="1" x14ac:dyDescent="0.35">
      <c r="A1663" s="2" t="s">
        <v>10775</v>
      </c>
      <c r="B1663" s="2" t="s">
        <v>27</v>
      </c>
      <c r="C1663" s="2" t="s">
        <v>28</v>
      </c>
      <c r="D1663" s="2" t="s">
        <v>97</v>
      </c>
      <c r="E1663" s="2" t="s">
        <v>10656</v>
      </c>
      <c r="F1663" s="2" t="s">
        <v>8445</v>
      </c>
      <c r="G1663" s="2" t="s">
        <v>32</v>
      </c>
      <c r="H1663" s="1"/>
      <c r="I1663" s="2" t="s">
        <v>33</v>
      </c>
      <c r="J1663" s="2" t="s">
        <v>34</v>
      </c>
      <c r="K1663" s="2" t="s">
        <v>10776</v>
      </c>
      <c r="L1663" s="2" t="s">
        <v>10777</v>
      </c>
      <c r="M1663" s="2" t="s">
        <v>7510</v>
      </c>
      <c r="N1663" s="2" t="s">
        <v>38</v>
      </c>
      <c r="O1663" s="2" t="s">
        <v>849</v>
      </c>
      <c r="P1663" s="2" t="s">
        <v>10778</v>
      </c>
      <c r="Q1663" s="2" t="s">
        <v>10779</v>
      </c>
      <c r="R1663" s="2" t="s">
        <v>40</v>
      </c>
      <c r="S1663" s="2" t="s">
        <v>10780</v>
      </c>
      <c r="T1663" s="2" t="s">
        <v>669</v>
      </c>
      <c r="U1663" s="2" t="s">
        <v>3706</v>
      </c>
      <c r="V1663" s="2" t="s">
        <v>10781</v>
      </c>
      <c r="W1663" s="1"/>
      <c r="X1663" s="2" t="s">
        <v>897</v>
      </c>
      <c r="Y1663" s="2" t="s">
        <v>10661</v>
      </c>
      <c r="AA1663" t="str">
        <f t="shared" si="150"/>
        <v>2025-12</v>
      </c>
      <c r="AB1663" t="str">
        <f t="shared" si="151"/>
        <v/>
      </c>
      <c r="AC1663">
        <f t="shared" si="152"/>
        <v>1215667.2</v>
      </c>
      <c r="AD1663">
        <f t="shared" si="153"/>
        <v>160</v>
      </c>
      <c r="AE1663">
        <f t="shared" si="154"/>
        <v>255667.20000000001</v>
      </c>
      <c r="AF1663" t="str">
        <f t="shared" si="155"/>
        <v>Paid</v>
      </c>
    </row>
    <row r="1664" spans="1:32" ht="27.75" thickBot="1" x14ac:dyDescent="0.35">
      <c r="A1664" s="2" t="s">
        <v>10782</v>
      </c>
      <c r="B1664" s="2" t="s">
        <v>27</v>
      </c>
      <c r="C1664" s="2" t="s">
        <v>28</v>
      </c>
      <c r="D1664" s="2" t="s">
        <v>97</v>
      </c>
      <c r="E1664" s="2" t="s">
        <v>10656</v>
      </c>
      <c r="F1664" s="2" t="s">
        <v>8445</v>
      </c>
      <c r="G1664" s="2" t="s">
        <v>32</v>
      </c>
      <c r="H1664" s="1"/>
      <c r="I1664" s="2" t="s">
        <v>33</v>
      </c>
      <c r="J1664" s="2" t="s">
        <v>34</v>
      </c>
      <c r="K1664" s="2" t="s">
        <v>10783</v>
      </c>
      <c r="L1664" s="2" t="s">
        <v>10784</v>
      </c>
      <c r="M1664" s="2" t="s">
        <v>7510</v>
      </c>
      <c r="N1664" s="2" t="s">
        <v>38</v>
      </c>
      <c r="O1664" s="2" t="s">
        <v>3819</v>
      </c>
      <c r="P1664" s="2" t="s">
        <v>7644</v>
      </c>
      <c r="Q1664" s="2" t="s">
        <v>10785</v>
      </c>
      <c r="R1664" s="2" t="s">
        <v>40</v>
      </c>
      <c r="S1664" s="2" t="s">
        <v>10786</v>
      </c>
      <c r="T1664" s="2" t="s">
        <v>2101</v>
      </c>
      <c r="U1664" s="2" t="s">
        <v>10787</v>
      </c>
      <c r="V1664" s="2" t="s">
        <v>10788</v>
      </c>
      <c r="W1664" s="1"/>
      <c r="X1664" s="2" t="s">
        <v>796</v>
      </c>
      <c r="Y1664" s="2" t="s">
        <v>10661</v>
      </c>
      <c r="AA1664" t="str">
        <f t="shared" si="150"/>
        <v>2025-12</v>
      </c>
      <c r="AB1664" t="str">
        <f t="shared" si="151"/>
        <v/>
      </c>
      <c r="AC1664">
        <f t="shared" si="152"/>
        <v>4516013.7</v>
      </c>
      <c r="AD1664">
        <f t="shared" si="153"/>
        <v>495</v>
      </c>
      <c r="AE1664">
        <f t="shared" si="154"/>
        <v>952013.7</v>
      </c>
      <c r="AF1664" t="str">
        <f t="shared" si="155"/>
        <v>Paid</v>
      </c>
    </row>
    <row r="1665" spans="1:32" ht="27.75" thickBot="1" x14ac:dyDescent="0.35">
      <c r="A1665" s="2" t="s">
        <v>10789</v>
      </c>
      <c r="B1665" s="2" t="s">
        <v>27</v>
      </c>
      <c r="C1665" s="2" t="s">
        <v>28</v>
      </c>
      <c r="D1665" s="2" t="s">
        <v>97</v>
      </c>
      <c r="E1665" s="2" t="s">
        <v>10656</v>
      </c>
      <c r="F1665" s="2" t="s">
        <v>8445</v>
      </c>
      <c r="G1665" s="2" t="s">
        <v>32</v>
      </c>
      <c r="H1665" s="1"/>
      <c r="I1665" s="2" t="s">
        <v>33</v>
      </c>
      <c r="J1665" s="2" t="s">
        <v>34</v>
      </c>
      <c r="K1665" s="2" t="s">
        <v>10790</v>
      </c>
      <c r="L1665" s="2" t="s">
        <v>10791</v>
      </c>
      <c r="M1665" s="2" t="s">
        <v>7510</v>
      </c>
      <c r="N1665" s="2" t="s">
        <v>38</v>
      </c>
      <c r="O1665" s="2" t="s">
        <v>131</v>
      </c>
      <c r="P1665" s="2" t="s">
        <v>7644</v>
      </c>
      <c r="Q1665" s="2" t="s">
        <v>10792</v>
      </c>
      <c r="R1665" s="2" t="s">
        <v>40</v>
      </c>
      <c r="S1665" s="2" t="s">
        <v>10793</v>
      </c>
      <c r="T1665" s="2" t="s">
        <v>2101</v>
      </c>
      <c r="U1665" s="2" t="s">
        <v>10794</v>
      </c>
      <c r="V1665" s="2" t="s">
        <v>10795</v>
      </c>
      <c r="W1665" s="1"/>
      <c r="X1665" s="2" t="s">
        <v>796</v>
      </c>
      <c r="Y1665" s="2" t="s">
        <v>10661</v>
      </c>
      <c r="AA1665" t="str">
        <f t="shared" si="150"/>
        <v>2025-12</v>
      </c>
      <c r="AB1665" t="str">
        <f t="shared" si="151"/>
        <v/>
      </c>
      <c r="AC1665">
        <f t="shared" si="152"/>
        <v>364930.4</v>
      </c>
      <c r="AD1665">
        <f t="shared" si="153"/>
        <v>40</v>
      </c>
      <c r="AE1665">
        <f t="shared" si="154"/>
        <v>76930.399999999994</v>
      </c>
      <c r="AF1665" t="str">
        <f t="shared" si="155"/>
        <v>Paid</v>
      </c>
    </row>
    <row r="1666" spans="1:32" ht="27.75" thickBot="1" x14ac:dyDescent="0.35">
      <c r="A1666" s="2" t="s">
        <v>10796</v>
      </c>
      <c r="B1666" s="2" t="s">
        <v>27</v>
      </c>
      <c r="C1666" s="2" t="s">
        <v>28</v>
      </c>
      <c r="D1666" s="2" t="s">
        <v>97</v>
      </c>
      <c r="E1666" s="2" t="s">
        <v>10656</v>
      </c>
      <c r="F1666" s="2" t="s">
        <v>8445</v>
      </c>
      <c r="G1666" s="2" t="s">
        <v>32</v>
      </c>
      <c r="H1666" s="1"/>
      <c r="I1666" s="2" t="s">
        <v>33</v>
      </c>
      <c r="J1666" s="2" t="s">
        <v>34</v>
      </c>
      <c r="K1666" s="2" t="s">
        <v>10797</v>
      </c>
      <c r="L1666" s="2" t="s">
        <v>10798</v>
      </c>
      <c r="M1666" s="2" t="s">
        <v>3067</v>
      </c>
      <c r="N1666" s="2" t="s">
        <v>38</v>
      </c>
      <c r="O1666" s="2" t="s">
        <v>773</v>
      </c>
      <c r="P1666" s="2" t="s">
        <v>9111</v>
      </c>
      <c r="Q1666" s="2" t="s">
        <v>10799</v>
      </c>
      <c r="R1666" s="2" t="s">
        <v>40</v>
      </c>
      <c r="S1666" s="2" t="s">
        <v>10800</v>
      </c>
      <c r="T1666" s="2" t="s">
        <v>40</v>
      </c>
      <c r="U1666" s="2" t="s">
        <v>40</v>
      </c>
      <c r="V1666" s="2" t="s">
        <v>10800</v>
      </c>
      <c r="W1666" s="1"/>
      <c r="X1666" s="2" t="s">
        <v>2155</v>
      </c>
      <c r="Y1666" s="2" t="s">
        <v>10661</v>
      </c>
      <c r="AA1666" t="str">
        <f t="shared" si="150"/>
        <v>2025-12</v>
      </c>
      <c r="AB1666" t="str">
        <f t="shared" si="151"/>
        <v/>
      </c>
      <c r="AC1666">
        <f t="shared" si="152"/>
        <v>28780</v>
      </c>
      <c r="AD1666">
        <f t="shared" si="153"/>
        <v>200</v>
      </c>
      <c r="AE1666">
        <f t="shared" si="154"/>
        <v>28780</v>
      </c>
      <c r="AF1666" t="str">
        <f t="shared" si="155"/>
        <v>Paid</v>
      </c>
    </row>
    <row r="1667" spans="1:32" ht="27.75" thickBot="1" x14ac:dyDescent="0.35">
      <c r="A1667" s="2" t="s">
        <v>10801</v>
      </c>
      <c r="B1667" s="2" t="s">
        <v>27</v>
      </c>
      <c r="C1667" s="2" t="s">
        <v>28</v>
      </c>
      <c r="D1667" s="2" t="s">
        <v>97</v>
      </c>
      <c r="E1667" s="2" t="s">
        <v>10656</v>
      </c>
      <c r="F1667" s="2" t="s">
        <v>8445</v>
      </c>
      <c r="G1667" s="2" t="s">
        <v>32</v>
      </c>
      <c r="H1667" s="1"/>
      <c r="I1667" s="2" t="s">
        <v>33</v>
      </c>
      <c r="J1667" s="2" t="s">
        <v>34</v>
      </c>
      <c r="K1667" s="2" t="s">
        <v>3091</v>
      </c>
      <c r="L1667" s="2" t="s">
        <v>3092</v>
      </c>
      <c r="M1667" s="2" t="s">
        <v>3067</v>
      </c>
      <c r="N1667" s="2" t="s">
        <v>38</v>
      </c>
      <c r="O1667" s="2" t="s">
        <v>428</v>
      </c>
      <c r="P1667" s="2" t="s">
        <v>10802</v>
      </c>
      <c r="Q1667" s="2" t="s">
        <v>10803</v>
      </c>
      <c r="R1667" s="2" t="s">
        <v>40</v>
      </c>
      <c r="S1667" s="2" t="s">
        <v>10804</v>
      </c>
      <c r="T1667" s="2" t="s">
        <v>669</v>
      </c>
      <c r="U1667" s="2" t="s">
        <v>10805</v>
      </c>
      <c r="V1667" s="2" t="s">
        <v>10806</v>
      </c>
      <c r="W1667" s="1"/>
      <c r="X1667" s="2" t="s">
        <v>5636</v>
      </c>
      <c r="Y1667" s="2" t="s">
        <v>10661</v>
      </c>
      <c r="AA1667" t="str">
        <f t="shared" si="150"/>
        <v>2025-12</v>
      </c>
      <c r="AB1667" t="str">
        <f t="shared" si="151"/>
        <v/>
      </c>
      <c r="AC1667">
        <f t="shared" si="152"/>
        <v>1859907.5</v>
      </c>
      <c r="AD1667">
        <f t="shared" si="153"/>
        <v>250</v>
      </c>
      <c r="AE1667">
        <f t="shared" si="154"/>
        <v>359907.5</v>
      </c>
      <c r="AF1667" t="str">
        <f t="shared" si="155"/>
        <v>Paid</v>
      </c>
    </row>
    <row r="1668" spans="1:32" ht="17.25" thickBot="1" x14ac:dyDescent="0.35">
      <c r="A1668" s="2" t="s">
        <v>10807</v>
      </c>
      <c r="B1668" s="2" t="s">
        <v>27</v>
      </c>
      <c r="C1668" s="2" t="s">
        <v>28</v>
      </c>
      <c r="D1668" s="2" t="s">
        <v>97</v>
      </c>
      <c r="E1668" s="2" t="s">
        <v>10656</v>
      </c>
      <c r="F1668" s="2" t="s">
        <v>8445</v>
      </c>
      <c r="G1668" s="2" t="s">
        <v>32</v>
      </c>
      <c r="H1668" s="1"/>
      <c r="I1668" s="2" t="s">
        <v>33</v>
      </c>
      <c r="J1668" s="2" t="s">
        <v>34</v>
      </c>
      <c r="K1668" s="2" t="s">
        <v>10808</v>
      </c>
      <c r="L1668" s="2" t="s">
        <v>10809</v>
      </c>
      <c r="M1668" s="2" t="s">
        <v>3067</v>
      </c>
      <c r="N1668" s="2" t="s">
        <v>38</v>
      </c>
      <c r="O1668" s="2" t="s">
        <v>773</v>
      </c>
      <c r="P1668" s="2" t="s">
        <v>104</v>
      </c>
      <c r="Q1668" s="2" t="s">
        <v>10415</v>
      </c>
      <c r="R1668" s="2" t="s">
        <v>40</v>
      </c>
      <c r="S1668" s="2" t="s">
        <v>10416</v>
      </c>
      <c r="T1668" s="2" t="s">
        <v>10810</v>
      </c>
      <c r="U1668" s="2" t="s">
        <v>10811</v>
      </c>
      <c r="V1668" s="2" t="s">
        <v>10812</v>
      </c>
      <c r="W1668" s="2" t="s">
        <v>41</v>
      </c>
      <c r="X1668" s="2" t="s">
        <v>10813</v>
      </c>
      <c r="Y1668" s="2" t="s">
        <v>10661</v>
      </c>
      <c r="AA1668" t="str">
        <f t="shared" ref="AA1668:AA1731" si="156">LEFT(E1668,7)</f>
        <v>2025-12</v>
      </c>
      <c r="AB1668" t="str">
        <f t="shared" ref="AB1668:AB1731" si="157">IF(AND($AA1668&gt;="2025-01",$AA1668&lt;="2025-06"),"H1_2025",IF(AND($AA1668&gt;="2026-01",$AA1668&lt;="2026-06"),"H1_2026",""))</f>
        <v/>
      </c>
      <c r="AC1668">
        <f t="shared" ref="AC1668:AC1731" si="158">IFERROR(VALUE(SUBSTITUTE(S1668,",","")),0)</f>
        <v>2878</v>
      </c>
      <c r="AD1668">
        <f t="shared" ref="AD1668:AD1731" si="159">IFERROR(VALUE(SUBSTITUTE(O1668,",","")),0)</f>
        <v>200</v>
      </c>
      <c r="AE1668">
        <f t="shared" ref="AE1668:AE1731" si="160">IFERROR(VALUE(SUBSTITUTE(V1668,",","")),0)</f>
        <v>-21322</v>
      </c>
      <c r="AF1668" t="str">
        <f t="shared" ref="AF1668:AF1731" si="161">IF(ISNUMBER(SEARCH("FOC",W1668)),"FOC",IF(ISNUMBER(SEARCH("샘플",W1668)),"Sample","Paid"))</f>
        <v>Sample</v>
      </c>
    </row>
    <row r="1669" spans="1:32" ht="17.25" thickBot="1" x14ac:dyDescent="0.35">
      <c r="A1669" s="2" t="s">
        <v>10814</v>
      </c>
      <c r="B1669" s="2" t="s">
        <v>27</v>
      </c>
      <c r="C1669" s="2" t="s">
        <v>28</v>
      </c>
      <c r="D1669" s="2" t="s">
        <v>97</v>
      </c>
      <c r="E1669" s="2" t="s">
        <v>10656</v>
      </c>
      <c r="F1669" s="2" t="s">
        <v>8445</v>
      </c>
      <c r="G1669" s="2" t="s">
        <v>32</v>
      </c>
      <c r="H1669" s="1"/>
      <c r="I1669" s="2" t="s">
        <v>33</v>
      </c>
      <c r="J1669" s="2" t="s">
        <v>34</v>
      </c>
      <c r="K1669" s="2" t="s">
        <v>10808</v>
      </c>
      <c r="L1669" s="2" t="s">
        <v>10809</v>
      </c>
      <c r="M1669" s="2" t="s">
        <v>3067</v>
      </c>
      <c r="N1669" s="2" t="s">
        <v>38</v>
      </c>
      <c r="O1669" s="2" t="s">
        <v>10815</v>
      </c>
      <c r="P1669" s="2" t="s">
        <v>9111</v>
      </c>
      <c r="Q1669" s="2" t="s">
        <v>793</v>
      </c>
      <c r="R1669" s="2" t="s">
        <v>40</v>
      </c>
      <c r="S1669" s="2" t="s">
        <v>10816</v>
      </c>
      <c r="T1669" s="2" t="s">
        <v>10817</v>
      </c>
      <c r="U1669" s="2" t="s">
        <v>10818</v>
      </c>
      <c r="V1669" s="2" t="s">
        <v>10819</v>
      </c>
      <c r="W1669" s="1"/>
      <c r="X1669" s="2" t="s">
        <v>6270</v>
      </c>
      <c r="Y1669" s="2" t="s">
        <v>10661</v>
      </c>
      <c r="AA1669" t="str">
        <f t="shared" si="156"/>
        <v>2025-12</v>
      </c>
      <c r="AB1669" t="str">
        <f t="shared" si="157"/>
        <v/>
      </c>
      <c r="AC1669">
        <f t="shared" si="158"/>
        <v>1439000</v>
      </c>
      <c r="AD1669">
        <f t="shared" si="159"/>
        <v>10000</v>
      </c>
      <c r="AE1669">
        <f t="shared" si="160"/>
        <v>501250</v>
      </c>
      <c r="AF1669" t="str">
        <f t="shared" si="161"/>
        <v>Paid</v>
      </c>
    </row>
    <row r="1670" spans="1:32" ht="27.75" thickBot="1" x14ac:dyDescent="0.35">
      <c r="A1670" s="2" t="s">
        <v>10820</v>
      </c>
      <c r="B1670" s="2" t="s">
        <v>27</v>
      </c>
      <c r="C1670" s="2" t="s">
        <v>28</v>
      </c>
      <c r="D1670" s="2" t="s">
        <v>97</v>
      </c>
      <c r="E1670" s="2" t="s">
        <v>10656</v>
      </c>
      <c r="F1670" s="2" t="s">
        <v>8445</v>
      </c>
      <c r="G1670" s="2" t="s">
        <v>32</v>
      </c>
      <c r="H1670" s="1"/>
      <c r="I1670" s="2" t="s">
        <v>33</v>
      </c>
      <c r="J1670" s="2" t="s">
        <v>34</v>
      </c>
      <c r="K1670" s="2" t="s">
        <v>10821</v>
      </c>
      <c r="L1670" s="2" t="s">
        <v>10822</v>
      </c>
      <c r="M1670" s="2" t="s">
        <v>3067</v>
      </c>
      <c r="N1670" s="2" t="s">
        <v>38</v>
      </c>
      <c r="O1670" s="2" t="s">
        <v>773</v>
      </c>
      <c r="P1670" s="2" t="s">
        <v>104</v>
      </c>
      <c r="Q1670" s="2" t="s">
        <v>10415</v>
      </c>
      <c r="R1670" s="2" t="s">
        <v>40</v>
      </c>
      <c r="S1670" s="2" t="s">
        <v>10416</v>
      </c>
      <c r="T1670" s="2" t="s">
        <v>40</v>
      </c>
      <c r="U1670" s="2" t="s">
        <v>40</v>
      </c>
      <c r="V1670" s="2" t="s">
        <v>10416</v>
      </c>
      <c r="W1670" s="2" t="s">
        <v>41</v>
      </c>
      <c r="X1670" s="2" t="s">
        <v>2155</v>
      </c>
      <c r="Y1670" s="2" t="s">
        <v>10661</v>
      </c>
      <c r="AA1670" t="str">
        <f t="shared" si="156"/>
        <v>2025-12</v>
      </c>
      <c r="AB1670" t="str">
        <f t="shared" si="157"/>
        <v/>
      </c>
      <c r="AC1670">
        <f t="shared" si="158"/>
        <v>2878</v>
      </c>
      <c r="AD1670">
        <f t="shared" si="159"/>
        <v>200</v>
      </c>
      <c r="AE1670">
        <f t="shared" si="160"/>
        <v>2878</v>
      </c>
      <c r="AF1670" t="str">
        <f t="shared" si="161"/>
        <v>Sample</v>
      </c>
    </row>
    <row r="1671" spans="1:32" ht="27.75" thickBot="1" x14ac:dyDescent="0.35">
      <c r="A1671" s="2" t="s">
        <v>10823</v>
      </c>
      <c r="B1671" s="2" t="s">
        <v>27</v>
      </c>
      <c r="C1671" s="2" t="s">
        <v>28</v>
      </c>
      <c r="D1671" s="2" t="s">
        <v>97</v>
      </c>
      <c r="E1671" s="2" t="s">
        <v>10656</v>
      </c>
      <c r="F1671" s="2" t="s">
        <v>8445</v>
      </c>
      <c r="G1671" s="2" t="s">
        <v>32</v>
      </c>
      <c r="H1671" s="1"/>
      <c r="I1671" s="2" t="s">
        <v>33</v>
      </c>
      <c r="J1671" s="2" t="s">
        <v>34</v>
      </c>
      <c r="K1671" s="2" t="s">
        <v>10821</v>
      </c>
      <c r="L1671" s="2" t="s">
        <v>10822</v>
      </c>
      <c r="M1671" s="2" t="s">
        <v>3067</v>
      </c>
      <c r="N1671" s="2" t="s">
        <v>38</v>
      </c>
      <c r="O1671" s="2" t="s">
        <v>773</v>
      </c>
      <c r="P1671" s="2" t="s">
        <v>9111</v>
      </c>
      <c r="Q1671" s="2" t="s">
        <v>10799</v>
      </c>
      <c r="R1671" s="2" t="s">
        <v>40</v>
      </c>
      <c r="S1671" s="2" t="s">
        <v>10800</v>
      </c>
      <c r="T1671" s="2" t="s">
        <v>40</v>
      </c>
      <c r="U1671" s="2" t="s">
        <v>40</v>
      </c>
      <c r="V1671" s="2" t="s">
        <v>10800</v>
      </c>
      <c r="W1671" s="1"/>
      <c r="X1671" s="2" t="s">
        <v>2155</v>
      </c>
      <c r="Y1671" s="2" t="s">
        <v>10661</v>
      </c>
      <c r="AA1671" t="str">
        <f t="shared" si="156"/>
        <v>2025-12</v>
      </c>
      <c r="AB1671" t="str">
        <f t="shared" si="157"/>
        <v/>
      </c>
      <c r="AC1671">
        <f t="shared" si="158"/>
        <v>28780</v>
      </c>
      <c r="AD1671">
        <f t="shared" si="159"/>
        <v>200</v>
      </c>
      <c r="AE1671">
        <f t="shared" si="160"/>
        <v>28780</v>
      </c>
      <c r="AF1671" t="str">
        <f t="shared" si="161"/>
        <v>Paid</v>
      </c>
    </row>
    <row r="1672" spans="1:32" ht="27.75" thickBot="1" x14ac:dyDescent="0.35">
      <c r="A1672" s="2" t="s">
        <v>10824</v>
      </c>
      <c r="B1672" s="2" t="s">
        <v>27</v>
      </c>
      <c r="C1672" s="2" t="s">
        <v>28</v>
      </c>
      <c r="D1672" s="2" t="s">
        <v>97</v>
      </c>
      <c r="E1672" s="2" t="s">
        <v>10656</v>
      </c>
      <c r="F1672" s="2" t="s">
        <v>8445</v>
      </c>
      <c r="G1672" s="2" t="s">
        <v>32</v>
      </c>
      <c r="H1672" s="1"/>
      <c r="I1672" s="2" t="s">
        <v>33</v>
      </c>
      <c r="J1672" s="2" t="s">
        <v>34</v>
      </c>
      <c r="K1672" s="2" t="s">
        <v>10825</v>
      </c>
      <c r="L1672" s="2" t="s">
        <v>10826</v>
      </c>
      <c r="M1672" s="2" t="s">
        <v>3067</v>
      </c>
      <c r="N1672" s="2" t="s">
        <v>38</v>
      </c>
      <c r="O1672" s="2" t="s">
        <v>849</v>
      </c>
      <c r="P1672" s="2" t="s">
        <v>7010</v>
      </c>
      <c r="Q1672" s="2" t="s">
        <v>10827</v>
      </c>
      <c r="R1672" s="2" t="s">
        <v>40</v>
      </c>
      <c r="S1672" s="2" t="s">
        <v>10828</v>
      </c>
      <c r="T1672" s="2" t="s">
        <v>126</v>
      </c>
      <c r="U1672" s="2" t="s">
        <v>2297</v>
      </c>
      <c r="V1672" s="2" t="s">
        <v>10829</v>
      </c>
      <c r="W1672" s="1"/>
      <c r="X1672" s="2" t="s">
        <v>916</v>
      </c>
      <c r="Y1672" s="2" t="s">
        <v>10661</v>
      </c>
      <c r="AA1672" t="str">
        <f t="shared" si="156"/>
        <v>2025-12</v>
      </c>
      <c r="AB1672" t="str">
        <f t="shared" si="157"/>
        <v/>
      </c>
      <c r="AC1672">
        <f t="shared" si="158"/>
        <v>1280134.3999999999</v>
      </c>
      <c r="AD1672">
        <f t="shared" si="159"/>
        <v>160</v>
      </c>
      <c r="AE1672">
        <f t="shared" si="160"/>
        <v>272134.40000000002</v>
      </c>
      <c r="AF1672" t="str">
        <f t="shared" si="161"/>
        <v>Paid</v>
      </c>
    </row>
    <row r="1673" spans="1:32" ht="17.25" thickBot="1" x14ac:dyDescent="0.35">
      <c r="A1673" s="2" t="s">
        <v>10830</v>
      </c>
      <c r="B1673" s="2" t="s">
        <v>27</v>
      </c>
      <c r="C1673" s="2" t="s">
        <v>28</v>
      </c>
      <c r="D1673" s="2" t="s">
        <v>97</v>
      </c>
      <c r="E1673" s="2" t="s">
        <v>10656</v>
      </c>
      <c r="F1673" s="2" t="s">
        <v>8445</v>
      </c>
      <c r="G1673" s="2" t="s">
        <v>32</v>
      </c>
      <c r="H1673" s="1"/>
      <c r="I1673" s="2" t="s">
        <v>33</v>
      </c>
      <c r="J1673" s="2" t="s">
        <v>34</v>
      </c>
      <c r="K1673" s="2" t="s">
        <v>10831</v>
      </c>
      <c r="L1673" s="2" t="s">
        <v>10832</v>
      </c>
      <c r="M1673" s="2" t="s">
        <v>48</v>
      </c>
      <c r="N1673" s="2" t="s">
        <v>38</v>
      </c>
      <c r="O1673" s="2" t="s">
        <v>10833</v>
      </c>
      <c r="P1673" s="2" t="s">
        <v>10834</v>
      </c>
      <c r="Q1673" s="2" t="s">
        <v>10835</v>
      </c>
      <c r="R1673" s="2" t="s">
        <v>40</v>
      </c>
      <c r="S1673" s="2" t="s">
        <v>10836</v>
      </c>
      <c r="T1673" s="2" t="s">
        <v>10837</v>
      </c>
      <c r="U1673" s="2" t="s">
        <v>10838</v>
      </c>
      <c r="V1673" s="2" t="s">
        <v>10839</v>
      </c>
      <c r="W1673" s="1"/>
      <c r="X1673" s="2" t="s">
        <v>2660</v>
      </c>
      <c r="Y1673" s="2" t="s">
        <v>10661</v>
      </c>
      <c r="AA1673" t="str">
        <f t="shared" si="156"/>
        <v>2025-12</v>
      </c>
      <c r="AB1673" t="str">
        <f t="shared" si="157"/>
        <v/>
      </c>
      <c r="AC1673">
        <f t="shared" si="158"/>
        <v>1186959.1499999999</v>
      </c>
      <c r="AD1673">
        <f t="shared" si="159"/>
        <v>6345</v>
      </c>
      <c r="AE1673">
        <f t="shared" si="160"/>
        <v>489009.15</v>
      </c>
      <c r="AF1673" t="str">
        <f t="shared" si="161"/>
        <v>Paid</v>
      </c>
    </row>
    <row r="1674" spans="1:32" ht="17.25" thickBot="1" x14ac:dyDescent="0.35">
      <c r="A1674" s="2" t="s">
        <v>10840</v>
      </c>
      <c r="B1674" s="2" t="s">
        <v>27</v>
      </c>
      <c r="C1674" s="2" t="s">
        <v>28</v>
      </c>
      <c r="D1674" s="2" t="s">
        <v>97</v>
      </c>
      <c r="E1674" s="2" t="s">
        <v>10656</v>
      </c>
      <c r="F1674" s="2" t="s">
        <v>8445</v>
      </c>
      <c r="G1674" s="2" t="s">
        <v>32</v>
      </c>
      <c r="H1674" s="1"/>
      <c r="I1674" s="2" t="s">
        <v>33</v>
      </c>
      <c r="J1674" s="2" t="s">
        <v>34</v>
      </c>
      <c r="K1674" s="2" t="s">
        <v>10841</v>
      </c>
      <c r="L1674" s="2" t="s">
        <v>10842</v>
      </c>
      <c r="M1674" s="2" t="s">
        <v>48</v>
      </c>
      <c r="N1674" s="2" t="s">
        <v>38</v>
      </c>
      <c r="O1674" s="2" t="s">
        <v>10815</v>
      </c>
      <c r="P1674" s="2" t="s">
        <v>10834</v>
      </c>
      <c r="Q1674" s="2" t="s">
        <v>10843</v>
      </c>
      <c r="R1674" s="2" t="s">
        <v>40</v>
      </c>
      <c r="S1674" s="2" t="s">
        <v>10844</v>
      </c>
      <c r="T1674" s="2" t="s">
        <v>10837</v>
      </c>
      <c r="U1674" s="2" t="s">
        <v>10845</v>
      </c>
      <c r="V1674" s="2" t="s">
        <v>10846</v>
      </c>
      <c r="W1674" s="1"/>
      <c r="X1674" s="2" t="s">
        <v>2660</v>
      </c>
      <c r="Y1674" s="2" t="s">
        <v>10661</v>
      </c>
      <c r="AA1674" t="str">
        <f t="shared" si="156"/>
        <v>2025-12</v>
      </c>
      <c r="AB1674" t="str">
        <f t="shared" si="157"/>
        <v/>
      </c>
      <c r="AC1674">
        <f t="shared" si="158"/>
        <v>1870700</v>
      </c>
      <c r="AD1674">
        <f t="shared" si="159"/>
        <v>10000</v>
      </c>
      <c r="AE1674">
        <f t="shared" si="160"/>
        <v>770700</v>
      </c>
      <c r="AF1674" t="str">
        <f t="shared" si="161"/>
        <v>Paid</v>
      </c>
    </row>
    <row r="1675" spans="1:32" ht="27.75" thickBot="1" x14ac:dyDescent="0.35">
      <c r="A1675" s="2" t="s">
        <v>10847</v>
      </c>
      <c r="B1675" s="2" t="s">
        <v>27</v>
      </c>
      <c r="C1675" s="2" t="s">
        <v>28</v>
      </c>
      <c r="D1675" s="2" t="s">
        <v>97</v>
      </c>
      <c r="E1675" s="2" t="s">
        <v>10848</v>
      </c>
      <c r="F1675" s="2" t="s">
        <v>8445</v>
      </c>
      <c r="G1675" s="2" t="s">
        <v>32</v>
      </c>
      <c r="H1675" s="1"/>
      <c r="I1675" s="2" t="s">
        <v>33</v>
      </c>
      <c r="J1675" s="2" t="s">
        <v>34</v>
      </c>
      <c r="K1675" s="2" t="s">
        <v>632</v>
      </c>
      <c r="L1675" s="2" t="s">
        <v>633</v>
      </c>
      <c r="M1675" s="2" t="s">
        <v>634</v>
      </c>
      <c r="N1675" s="2" t="s">
        <v>38</v>
      </c>
      <c r="O1675" s="2" t="s">
        <v>141</v>
      </c>
      <c r="P1675" s="2" t="s">
        <v>10849</v>
      </c>
      <c r="Q1675" s="2" t="s">
        <v>10850</v>
      </c>
      <c r="R1675" s="2" t="s">
        <v>40</v>
      </c>
      <c r="S1675" s="2" t="s">
        <v>10851</v>
      </c>
      <c r="T1675" s="2" t="s">
        <v>638</v>
      </c>
      <c r="U1675" s="2" t="s">
        <v>10852</v>
      </c>
      <c r="V1675" s="2" t="s">
        <v>10853</v>
      </c>
      <c r="W1675" s="1"/>
      <c r="X1675" s="2" t="s">
        <v>641</v>
      </c>
      <c r="Y1675" s="2" t="s">
        <v>10854</v>
      </c>
      <c r="AA1675" t="str">
        <f t="shared" si="156"/>
        <v>2025-12</v>
      </c>
      <c r="AB1675" t="str">
        <f t="shared" si="157"/>
        <v/>
      </c>
      <c r="AC1675">
        <f t="shared" si="158"/>
        <v>480517.44</v>
      </c>
      <c r="AD1675">
        <f t="shared" si="159"/>
        <v>30</v>
      </c>
      <c r="AE1675">
        <f t="shared" si="160"/>
        <v>256717.44</v>
      </c>
      <c r="AF1675" t="str">
        <f t="shared" si="161"/>
        <v>Paid</v>
      </c>
    </row>
    <row r="1676" spans="1:32" ht="17.25" thickBot="1" x14ac:dyDescent="0.35">
      <c r="A1676" s="2" t="s">
        <v>10855</v>
      </c>
      <c r="B1676" s="2" t="s">
        <v>27</v>
      </c>
      <c r="C1676" s="2" t="s">
        <v>28</v>
      </c>
      <c r="D1676" s="2" t="s">
        <v>97</v>
      </c>
      <c r="E1676" s="2" t="s">
        <v>10848</v>
      </c>
      <c r="F1676" s="2" t="s">
        <v>8445</v>
      </c>
      <c r="G1676" s="2" t="s">
        <v>32</v>
      </c>
      <c r="H1676" s="1"/>
      <c r="I1676" s="2" t="s">
        <v>33</v>
      </c>
      <c r="J1676" s="2" t="s">
        <v>34</v>
      </c>
      <c r="K1676" s="2" t="s">
        <v>643</v>
      </c>
      <c r="L1676" s="2" t="s">
        <v>644</v>
      </c>
      <c r="M1676" s="2" t="s">
        <v>634</v>
      </c>
      <c r="N1676" s="2" t="s">
        <v>38</v>
      </c>
      <c r="O1676" s="2" t="s">
        <v>416</v>
      </c>
      <c r="P1676" s="2" t="s">
        <v>4928</v>
      </c>
      <c r="Q1676" s="2" t="s">
        <v>10856</v>
      </c>
      <c r="R1676" s="2" t="s">
        <v>40</v>
      </c>
      <c r="S1676" s="2" t="s">
        <v>10857</v>
      </c>
      <c r="T1676" s="2" t="s">
        <v>267</v>
      </c>
      <c r="U1676" s="2" t="s">
        <v>10858</v>
      </c>
      <c r="V1676" s="2" t="s">
        <v>10859</v>
      </c>
      <c r="W1676" s="1"/>
      <c r="X1676" s="2" t="s">
        <v>651</v>
      </c>
      <c r="Y1676" s="2" t="s">
        <v>10854</v>
      </c>
      <c r="AA1676" t="str">
        <f t="shared" si="156"/>
        <v>2025-12</v>
      </c>
      <c r="AB1676" t="str">
        <f t="shared" si="157"/>
        <v/>
      </c>
      <c r="AC1676">
        <f t="shared" si="158"/>
        <v>465825.36</v>
      </c>
      <c r="AD1676">
        <f t="shared" si="159"/>
        <v>49</v>
      </c>
      <c r="AE1676">
        <f t="shared" si="160"/>
        <v>142425.35999999999</v>
      </c>
      <c r="AF1676" t="str">
        <f t="shared" si="161"/>
        <v>Paid</v>
      </c>
    </row>
    <row r="1677" spans="1:32" ht="17.25" thickBot="1" x14ac:dyDescent="0.35">
      <c r="A1677" s="2" t="s">
        <v>10860</v>
      </c>
      <c r="B1677" s="2" t="s">
        <v>27</v>
      </c>
      <c r="C1677" s="2" t="s">
        <v>28</v>
      </c>
      <c r="D1677" s="2" t="s">
        <v>97</v>
      </c>
      <c r="E1677" s="2" t="s">
        <v>10848</v>
      </c>
      <c r="F1677" s="2" t="s">
        <v>8445</v>
      </c>
      <c r="G1677" s="2" t="s">
        <v>32</v>
      </c>
      <c r="H1677" s="1"/>
      <c r="I1677" s="2" t="s">
        <v>33</v>
      </c>
      <c r="J1677" s="2" t="s">
        <v>34</v>
      </c>
      <c r="K1677" s="2" t="s">
        <v>653</v>
      </c>
      <c r="L1677" s="2" t="s">
        <v>654</v>
      </c>
      <c r="M1677" s="2" t="s">
        <v>634</v>
      </c>
      <c r="N1677" s="2" t="s">
        <v>38</v>
      </c>
      <c r="O1677" s="2" t="s">
        <v>466</v>
      </c>
      <c r="P1677" s="2" t="s">
        <v>10861</v>
      </c>
      <c r="Q1677" s="2" t="s">
        <v>10862</v>
      </c>
      <c r="R1677" s="2" t="s">
        <v>40</v>
      </c>
      <c r="S1677" s="2" t="s">
        <v>10863</v>
      </c>
      <c r="T1677" s="2" t="s">
        <v>658</v>
      </c>
      <c r="U1677" s="2" t="s">
        <v>1179</v>
      </c>
      <c r="V1677" s="2" t="s">
        <v>10864</v>
      </c>
      <c r="W1677" s="1"/>
      <c r="X1677" s="2" t="s">
        <v>5168</v>
      </c>
      <c r="Y1677" s="2" t="s">
        <v>10854</v>
      </c>
      <c r="AA1677" t="str">
        <f t="shared" si="156"/>
        <v>2025-12</v>
      </c>
      <c r="AB1677" t="str">
        <f t="shared" si="157"/>
        <v/>
      </c>
      <c r="AC1677">
        <f t="shared" si="158"/>
        <v>823764.76</v>
      </c>
      <c r="AD1677">
        <f t="shared" si="159"/>
        <v>70</v>
      </c>
      <c r="AE1677">
        <f t="shared" si="160"/>
        <v>130764.76</v>
      </c>
      <c r="AF1677" t="str">
        <f t="shared" si="161"/>
        <v>Paid</v>
      </c>
    </row>
    <row r="1678" spans="1:32" ht="27.75" thickBot="1" x14ac:dyDescent="0.35">
      <c r="A1678" s="2" t="s">
        <v>10865</v>
      </c>
      <c r="B1678" s="2" t="s">
        <v>27</v>
      </c>
      <c r="C1678" s="2" t="s">
        <v>28</v>
      </c>
      <c r="D1678" s="2" t="s">
        <v>97</v>
      </c>
      <c r="E1678" s="2" t="s">
        <v>10848</v>
      </c>
      <c r="F1678" s="2" t="s">
        <v>8445</v>
      </c>
      <c r="G1678" s="2" t="s">
        <v>32</v>
      </c>
      <c r="H1678" s="1"/>
      <c r="I1678" s="2" t="s">
        <v>33</v>
      </c>
      <c r="J1678" s="2" t="s">
        <v>34</v>
      </c>
      <c r="K1678" s="2" t="s">
        <v>10657</v>
      </c>
      <c r="L1678" s="2" t="s">
        <v>10658</v>
      </c>
      <c r="M1678" s="2" t="s">
        <v>634</v>
      </c>
      <c r="N1678" s="2" t="s">
        <v>38</v>
      </c>
      <c r="O1678" s="2" t="s">
        <v>877</v>
      </c>
      <c r="P1678" s="2" t="s">
        <v>284</v>
      </c>
      <c r="Q1678" s="2" t="s">
        <v>10866</v>
      </c>
      <c r="R1678" s="2" t="s">
        <v>40</v>
      </c>
      <c r="S1678" s="2" t="s">
        <v>10867</v>
      </c>
      <c r="T1678" s="2" t="s">
        <v>669</v>
      </c>
      <c r="U1678" s="2" t="s">
        <v>3303</v>
      </c>
      <c r="V1678" s="2" t="s">
        <v>10868</v>
      </c>
      <c r="W1678" s="1"/>
      <c r="X1678" s="2" t="s">
        <v>2843</v>
      </c>
      <c r="Y1678" s="2" t="s">
        <v>10854</v>
      </c>
      <c r="AA1678" t="str">
        <f t="shared" si="156"/>
        <v>2025-12</v>
      </c>
      <c r="AB1678" t="str">
        <f t="shared" si="157"/>
        <v/>
      </c>
      <c r="AC1678">
        <f t="shared" si="158"/>
        <v>1120631.2</v>
      </c>
      <c r="AD1678">
        <f t="shared" si="159"/>
        <v>100</v>
      </c>
      <c r="AE1678">
        <f t="shared" si="160"/>
        <v>520631.2</v>
      </c>
      <c r="AF1678" t="str">
        <f t="shared" si="161"/>
        <v>Paid</v>
      </c>
    </row>
    <row r="1679" spans="1:32" ht="17.25" thickBot="1" x14ac:dyDescent="0.35">
      <c r="A1679" s="2" t="s">
        <v>10869</v>
      </c>
      <c r="B1679" s="2" t="s">
        <v>27</v>
      </c>
      <c r="C1679" s="2" t="s">
        <v>28</v>
      </c>
      <c r="D1679" s="2" t="s">
        <v>97</v>
      </c>
      <c r="E1679" s="2" t="s">
        <v>10848</v>
      </c>
      <c r="F1679" s="2" t="s">
        <v>8445</v>
      </c>
      <c r="G1679" s="2" t="s">
        <v>32</v>
      </c>
      <c r="H1679" s="1"/>
      <c r="I1679" s="2" t="s">
        <v>33</v>
      </c>
      <c r="J1679" s="2" t="s">
        <v>34</v>
      </c>
      <c r="K1679" s="2" t="s">
        <v>6137</v>
      </c>
      <c r="L1679" s="2" t="s">
        <v>6138</v>
      </c>
      <c r="M1679" s="2" t="s">
        <v>634</v>
      </c>
      <c r="N1679" s="2" t="s">
        <v>38</v>
      </c>
      <c r="O1679" s="2" t="s">
        <v>615</v>
      </c>
      <c r="P1679" s="2" t="s">
        <v>10870</v>
      </c>
      <c r="Q1679" s="2" t="s">
        <v>10871</v>
      </c>
      <c r="R1679" s="2" t="s">
        <v>40</v>
      </c>
      <c r="S1679" s="2" t="s">
        <v>10872</v>
      </c>
      <c r="T1679" s="2" t="s">
        <v>297</v>
      </c>
      <c r="U1679" s="2" t="s">
        <v>2102</v>
      </c>
      <c r="V1679" s="2" t="s">
        <v>10873</v>
      </c>
      <c r="W1679" s="1"/>
      <c r="X1679" s="2" t="s">
        <v>6142</v>
      </c>
      <c r="Y1679" s="2" t="s">
        <v>10854</v>
      </c>
      <c r="AA1679" t="str">
        <f t="shared" si="156"/>
        <v>2025-12</v>
      </c>
      <c r="AB1679" t="str">
        <f t="shared" si="157"/>
        <v/>
      </c>
      <c r="AC1679">
        <f t="shared" si="158"/>
        <v>936490.46</v>
      </c>
      <c r="AD1679">
        <f t="shared" si="159"/>
        <v>72</v>
      </c>
      <c r="AE1679">
        <f t="shared" si="160"/>
        <v>360490.46</v>
      </c>
      <c r="AF1679" t="str">
        <f t="shared" si="161"/>
        <v>Paid</v>
      </c>
    </row>
    <row r="1680" spans="1:32" ht="17.25" thickBot="1" x14ac:dyDescent="0.35">
      <c r="A1680" s="2" t="s">
        <v>10874</v>
      </c>
      <c r="B1680" s="2" t="s">
        <v>27</v>
      </c>
      <c r="C1680" s="2" t="s">
        <v>28</v>
      </c>
      <c r="D1680" s="2" t="s">
        <v>97</v>
      </c>
      <c r="E1680" s="2" t="s">
        <v>10848</v>
      </c>
      <c r="F1680" s="2" t="s">
        <v>8445</v>
      </c>
      <c r="G1680" s="2" t="s">
        <v>32</v>
      </c>
      <c r="H1680" s="1"/>
      <c r="I1680" s="2" t="s">
        <v>33</v>
      </c>
      <c r="J1680" s="2" t="s">
        <v>34</v>
      </c>
      <c r="K1680" s="2" t="s">
        <v>691</v>
      </c>
      <c r="L1680" s="2" t="s">
        <v>692</v>
      </c>
      <c r="M1680" s="2" t="s">
        <v>634</v>
      </c>
      <c r="N1680" s="2" t="s">
        <v>38</v>
      </c>
      <c r="O1680" s="2" t="s">
        <v>214</v>
      </c>
      <c r="P1680" s="2" t="s">
        <v>10849</v>
      </c>
      <c r="Q1680" s="2" t="s">
        <v>10875</v>
      </c>
      <c r="R1680" s="2" t="s">
        <v>40</v>
      </c>
      <c r="S1680" s="2" t="s">
        <v>10876</v>
      </c>
      <c r="T1680" s="2" t="s">
        <v>658</v>
      </c>
      <c r="U1680" s="2" t="s">
        <v>1619</v>
      </c>
      <c r="V1680" s="2" t="s">
        <v>10877</v>
      </c>
      <c r="W1680" s="1"/>
      <c r="X1680" s="2" t="s">
        <v>10878</v>
      </c>
      <c r="Y1680" s="2" t="s">
        <v>10854</v>
      </c>
      <c r="AA1680" t="str">
        <f t="shared" si="156"/>
        <v>2025-12</v>
      </c>
      <c r="AB1680" t="str">
        <f t="shared" si="157"/>
        <v/>
      </c>
      <c r="AC1680">
        <f t="shared" si="158"/>
        <v>800862.4</v>
      </c>
      <c r="AD1680">
        <f t="shared" si="159"/>
        <v>50</v>
      </c>
      <c r="AE1680">
        <f t="shared" si="160"/>
        <v>305862.40000000002</v>
      </c>
      <c r="AF1680" t="str">
        <f t="shared" si="161"/>
        <v>Paid</v>
      </c>
    </row>
    <row r="1681" spans="1:32" ht="17.25" thickBot="1" x14ac:dyDescent="0.35">
      <c r="A1681" s="2" t="s">
        <v>10879</v>
      </c>
      <c r="B1681" s="2" t="s">
        <v>27</v>
      </c>
      <c r="C1681" s="2" t="s">
        <v>28</v>
      </c>
      <c r="D1681" s="2" t="s">
        <v>97</v>
      </c>
      <c r="E1681" s="2" t="s">
        <v>10848</v>
      </c>
      <c r="F1681" s="2" t="s">
        <v>8445</v>
      </c>
      <c r="G1681" s="2" t="s">
        <v>32</v>
      </c>
      <c r="H1681" s="1"/>
      <c r="I1681" s="2" t="s">
        <v>33</v>
      </c>
      <c r="J1681" s="2" t="s">
        <v>34</v>
      </c>
      <c r="K1681" s="2" t="s">
        <v>7249</v>
      </c>
      <c r="L1681" s="2" t="s">
        <v>7250</v>
      </c>
      <c r="M1681" s="2" t="s">
        <v>6146</v>
      </c>
      <c r="N1681" s="2" t="s">
        <v>38</v>
      </c>
      <c r="O1681" s="2" t="s">
        <v>849</v>
      </c>
      <c r="P1681" s="2" t="s">
        <v>3456</v>
      </c>
      <c r="Q1681" s="2" t="s">
        <v>10308</v>
      </c>
      <c r="R1681" s="2" t="s">
        <v>40</v>
      </c>
      <c r="S1681" s="2" t="s">
        <v>10309</v>
      </c>
      <c r="T1681" s="2" t="s">
        <v>10310</v>
      </c>
      <c r="U1681" s="2" t="s">
        <v>10311</v>
      </c>
      <c r="V1681" s="2" t="s">
        <v>10312</v>
      </c>
      <c r="W1681" s="1"/>
      <c r="X1681" s="2" t="s">
        <v>1091</v>
      </c>
      <c r="Y1681" s="2" t="s">
        <v>10854</v>
      </c>
      <c r="AA1681" t="str">
        <f t="shared" si="156"/>
        <v>2025-12</v>
      </c>
      <c r="AB1681" t="str">
        <f t="shared" si="157"/>
        <v/>
      </c>
      <c r="AC1681">
        <f t="shared" si="158"/>
        <v>1249114.8799999999</v>
      </c>
      <c r="AD1681">
        <f t="shared" si="159"/>
        <v>160</v>
      </c>
      <c r="AE1681">
        <f t="shared" si="160"/>
        <v>315354.88</v>
      </c>
      <c r="AF1681" t="str">
        <f t="shared" si="161"/>
        <v>Paid</v>
      </c>
    </row>
    <row r="1682" spans="1:32" ht="17.25" thickBot="1" x14ac:dyDescent="0.35">
      <c r="A1682" s="2" t="s">
        <v>10880</v>
      </c>
      <c r="B1682" s="2" t="s">
        <v>27</v>
      </c>
      <c r="C1682" s="2" t="s">
        <v>28</v>
      </c>
      <c r="D1682" s="2" t="s">
        <v>97</v>
      </c>
      <c r="E1682" s="2" t="s">
        <v>10848</v>
      </c>
      <c r="F1682" s="2" t="s">
        <v>8445</v>
      </c>
      <c r="G1682" s="2" t="s">
        <v>32</v>
      </c>
      <c r="H1682" s="1"/>
      <c r="I1682" s="2" t="s">
        <v>33</v>
      </c>
      <c r="J1682" s="2" t="s">
        <v>34</v>
      </c>
      <c r="K1682" s="2" t="s">
        <v>6153</v>
      </c>
      <c r="L1682" s="2" t="s">
        <v>6154</v>
      </c>
      <c r="M1682" s="2" t="s">
        <v>6146</v>
      </c>
      <c r="N1682" s="2" t="s">
        <v>38</v>
      </c>
      <c r="O1682" s="2" t="s">
        <v>877</v>
      </c>
      <c r="P1682" s="2" t="s">
        <v>3210</v>
      </c>
      <c r="Q1682" s="2" t="s">
        <v>10315</v>
      </c>
      <c r="R1682" s="2" t="s">
        <v>40</v>
      </c>
      <c r="S1682" s="2" t="s">
        <v>10316</v>
      </c>
      <c r="T1682" s="2" t="s">
        <v>6157</v>
      </c>
      <c r="U1682" s="2" t="s">
        <v>10317</v>
      </c>
      <c r="V1682" s="2" t="s">
        <v>10318</v>
      </c>
      <c r="W1682" s="1"/>
      <c r="X1682" s="2" t="s">
        <v>934</v>
      </c>
      <c r="Y1682" s="2" t="s">
        <v>10854</v>
      </c>
      <c r="AA1682" t="str">
        <f t="shared" si="156"/>
        <v>2025-12</v>
      </c>
      <c r="AB1682" t="str">
        <f t="shared" si="157"/>
        <v/>
      </c>
      <c r="AC1682">
        <f t="shared" si="158"/>
        <v>629454.80000000005</v>
      </c>
      <c r="AD1682">
        <f t="shared" si="159"/>
        <v>100</v>
      </c>
      <c r="AE1682">
        <f t="shared" si="160"/>
        <v>154000.26</v>
      </c>
      <c r="AF1682" t="str">
        <f t="shared" si="161"/>
        <v>Paid</v>
      </c>
    </row>
    <row r="1683" spans="1:32" ht="27.75" thickBot="1" x14ac:dyDescent="0.35">
      <c r="A1683" s="2" t="s">
        <v>10881</v>
      </c>
      <c r="B1683" s="2" t="s">
        <v>27</v>
      </c>
      <c r="C1683" s="2" t="s">
        <v>28</v>
      </c>
      <c r="D1683" s="2" t="s">
        <v>97</v>
      </c>
      <c r="E1683" s="2" t="s">
        <v>10848</v>
      </c>
      <c r="F1683" s="2" t="s">
        <v>8445</v>
      </c>
      <c r="G1683" s="2" t="s">
        <v>32</v>
      </c>
      <c r="H1683" s="1"/>
      <c r="I1683" s="2" t="s">
        <v>33</v>
      </c>
      <c r="J1683" s="2" t="s">
        <v>34</v>
      </c>
      <c r="K1683" s="2" t="s">
        <v>10108</v>
      </c>
      <c r="L1683" s="2" t="s">
        <v>10109</v>
      </c>
      <c r="M1683" s="2" t="s">
        <v>6146</v>
      </c>
      <c r="N1683" s="2" t="s">
        <v>38</v>
      </c>
      <c r="O1683" s="2" t="s">
        <v>681</v>
      </c>
      <c r="P1683" s="2" t="s">
        <v>7876</v>
      </c>
      <c r="Q1683" s="2" t="s">
        <v>10882</v>
      </c>
      <c r="R1683" s="2" t="s">
        <v>40</v>
      </c>
      <c r="S1683" s="2" t="s">
        <v>10883</v>
      </c>
      <c r="T1683" s="2" t="s">
        <v>1178</v>
      </c>
      <c r="U1683" s="2" t="s">
        <v>10884</v>
      </c>
      <c r="V1683" s="2" t="s">
        <v>10885</v>
      </c>
      <c r="W1683" s="1"/>
      <c r="X1683" s="2" t="s">
        <v>934</v>
      </c>
      <c r="Y1683" s="2" t="s">
        <v>10854</v>
      </c>
      <c r="AA1683" t="str">
        <f t="shared" si="156"/>
        <v>2025-12</v>
      </c>
      <c r="AB1683" t="str">
        <f t="shared" si="157"/>
        <v/>
      </c>
      <c r="AC1683">
        <f t="shared" si="158"/>
        <v>805644.53</v>
      </c>
      <c r="AD1683">
        <f t="shared" si="159"/>
        <v>79</v>
      </c>
      <c r="AE1683">
        <f t="shared" si="160"/>
        <v>197344.53</v>
      </c>
      <c r="AF1683" t="str">
        <f t="shared" si="161"/>
        <v>Paid</v>
      </c>
    </row>
    <row r="1684" spans="1:32" ht="17.25" thickBot="1" x14ac:dyDescent="0.35">
      <c r="A1684" s="2" t="s">
        <v>10886</v>
      </c>
      <c r="B1684" s="2" t="s">
        <v>27</v>
      </c>
      <c r="C1684" s="2" t="s">
        <v>28</v>
      </c>
      <c r="D1684" s="2" t="s">
        <v>97</v>
      </c>
      <c r="E1684" s="2" t="s">
        <v>10848</v>
      </c>
      <c r="F1684" s="2" t="s">
        <v>8445</v>
      </c>
      <c r="G1684" s="2" t="s">
        <v>32</v>
      </c>
      <c r="H1684" s="1"/>
      <c r="I1684" s="2" t="s">
        <v>33</v>
      </c>
      <c r="J1684" s="2" t="s">
        <v>34</v>
      </c>
      <c r="K1684" s="2" t="s">
        <v>6177</v>
      </c>
      <c r="L1684" s="2" t="s">
        <v>6178</v>
      </c>
      <c r="M1684" s="2" t="s">
        <v>6146</v>
      </c>
      <c r="N1684" s="2" t="s">
        <v>38</v>
      </c>
      <c r="O1684" s="2" t="s">
        <v>1631</v>
      </c>
      <c r="P1684" s="2" t="s">
        <v>10887</v>
      </c>
      <c r="Q1684" s="2" t="s">
        <v>10888</v>
      </c>
      <c r="R1684" s="2" t="s">
        <v>40</v>
      </c>
      <c r="S1684" s="2" t="s">
        <v>10889</v>
      </c>
      <c r="T1684" s="2" t="s">
        <v>6181</v>
      </c>
      <c r="U1684" s="2" t="s">
        <v>10890</v>
      </c>
      <c r="V1684" s="2" t="s">
        <v>10891</v>
      </c>
      <c r="W1684" s="1"/>
      <c r="X1684" s="2" t="s">
        <v>1504</v>
      </c>
      <c r="Y1684" s="2" t="s">
        <v>10854</v>
      </c>
      <c r="AA1684" t="str">
        <f t="shared" si="156"/>
        <v>2025-12</v>
      </c>
      <c r="AB1684" t="str">
        <f t="shared" si="157"/>
        <v/>
      </c>
      <c r="AC1684">
        <f t="shared" si="158"/>
        <v>1787104.28</v>
      </c>
      <c r="AD1684">
        <f t="shared" si="159"/>
        <v>190</v>
      </c>
      <c r="AE1684">
        <f t="shared" si="160"/>
        <v>448467.93</v>
      </c>
      <c r="AF1684" t="str">
        <f t="shared" si="161"/>
        <v>Paid</v>
      </c>
    </row>
    <row r="1685" spans="1:32" ht="17.25" thickBot="1" x14ac:dyDescent="0.35">
      <c r="A1685" s="2" t="s">
        <v>10892</v>
      </c>
      <c r="B1685" s="2" t="s">
        <v>27</v>
      </c>
      <c r="C1685" s="2" t="s">
        <v>28</v>
      </c>
      <c r="D1685" s="2" t="s">
        <v>97</v>
      </c>
      <c r="E1685" s="2" t="s">
        <v>10848</v>
      </c>
      <c r="F1685" s="2" t="s">
        <v>8445</v>
      </c>
      <c r="G1685" s="2" t="s">
        <v>32</v>
      </c>
      <c r="H1685" s="1"/>
      <c r="I1685" s="2" t="s">
        <v>33</v>
      </c>
      <c r="J1685" s="2" t="s">
        <v>34</v>
      </c>
      <c r="K1685" s="2" t="s">
        <v>10893</v>
      </c>
      <c r="L1685" s="2" t="s">
        <v>10894</v>
      </c>
      <c r="M1685" s="2" t="s">
        <v>6146</v>
      </c>
      <c r="N1685" s="2" t="s">
        <v>38</v>
      </c>
      <c r="O1685" s="2" t="s">
        <v>291</v>
      </c>
      <c r="P1685" s="2" t="s">
        <v>132</v>
      </c>
      <c r="Q1685" s="2" t="s">
        <v>10895</v>
      </c>
      <c r="R1685" s="2" t="s">
        <v>40</v>
      </c>
      <c r="S1685" s="2" t="s">
        <v>10896</v>
      </c>
      <c r="T1685" s="2" t="s">
        <v>297</v>
      </c>
      <c r="U1685" s="2" t="s">
        <v>10794</v>
      </c>
      <c r="V1685" s="2" t="s">
        <v>10897</v>
      </c>
      <c r="W1685" s="1"/>
      <c r="X1685" s="2" t="s">
        <v>1774</v>
      </c>
      <c r="Y1685" s="2" t="s">
        <v>10854</v>
      </c>
      <c r="AA1685" t="str">
        <f t="shared" si="156"/>
        <v>2025-12</v>
      </c>
      <c r="AB1685" t="str">
        <f t="shared" si="157"/>
        <v/>
      </c>
      <c r="AC1685">
        <f t="shared" si="158"/>
        <v>378018.58</v>
      </c>
      <c r="AD1685">
        <f t="shared" si="159"/>
        <v>36</v>
      </c>
      <c r="AE1685">
        <f t="shared" si="160"/>
        <v>90018.58</v>
      </c>
      <c r="AF1685" t="str">
        <f t="shared" si="161"/>
        <v>Paid</v>
      </c>
    </row>
    <row r="1686" spans="1:32" ht="17.25" thickBot="1" x14ac:dyDescent="0.35">
      <c r="A1686" s="2" t="s">
        <v>10898</v>
      </c>
      <c r="B1686" s="2" t="s">
        <v>27</v>
      </c>
      <c r="C1686" s="2" t="s">
        <v>28</v>
      </c>
      <c r="D1686" s="2" t="s">
        <v>97</v>
      </c>
      <c r="E1686" s="2" t="s">
        <v>10848</v>
      </c>
      <c r="F1686" s="2" t="s">
        <v>8445</v>
      </c>
      <c r="G1686" s="2" t="s">
        <v>32</v>
      </c>
      <c r="H1686" s="1"/>
      <c r="I1686" s="2" t="s">
        <v>33</v>
      </c>
      <c r="J1686" s="2" t="s">
        <v>34</v>
      </c>
      <c r="K1686" s="2" t="s">
        <v>10320</v>
      </c>
      <c r="L1686" s="2" t="s">
        <v>10321</v>
      </c>
      <c r="M1686" s="2" t="s">
        <v>6146</v>
      </c>
      <c r="N1686" s="2" t="s">
        <v>38</v>
      </c>
      <c r="O1686" s="2" t="s">
        <v>1904</v>
      </c>
      <c r="P1686" s="2" t="s">
        <v>6584</v>
      </c>
      <c r="Q1686" s="2" t="s">
        <v>10899</v>
      </c>
      <c r="R1686" s="2" t="s">
        <v>40</v>
      </c>
      <c r="S1686" s="2" t="s">
        <v>10900</v>
      </c>
      <c r="T1686" s="2" t="s">
        <v>10324</v>
      </c>
      <c r="U1686" s="2" t="s">
        <v>10901</v>
      </c>
      <c r="V1686" s="2" t="s">
        <v>10902</v>
      </c>
      <c r="W1686" s="1"/>
      <c r="X1686" s="2" t="s">
        <v>934</v>
      </c>
      <c r="Y1686" s="2" t="s">
        <v>10854</v>
      </c>
      <c r="AA1686" t="str">
        <f t="shared" si="156"/>
        <v>2025-12</v>
      </c>
      <c r="AB1686" t="str">
        <f t="shared" si="157"/>
        <v/>
      </c>
      <c r="AC1686">
        <f t="shared" si="158"/>
        <v>1974500.32</v>
      </c>
      <c r="AD1686">
        <f t="shared" si="159"/>
        <v>230</v>
      </c>
      <c r="AE1686">
        <f t="shared" si="160"/>
        <v>484100.32</v>
      </c>
      <c r="AF1686" t="str">
        <f t="shared" si="161"/>
        <v>Paid</v>
      </c>
    </row>
    <row r="1687" spans="1:32" ht="17.25" thickBot="1" x14ac:dyDescent="0.35">
      <c r="A1687" s="2" t="s">
        <v>10903</v>
      </c>
      <c r="B1687" s="2" t="s">
        <v>27</v>
      </c>
      <c r="C1687" s="2" t="s">
        <v>28</v>
      </c>
      <c r="D1687" s="2" t="s">
        <v>97</v>
      </c>
      <c r="E1687" s="2" t="s">
        <v>10848</v>
      </c>
      <c r="F1687" s="2" t="s">
        <v>8445</v>
      </c>
      <c r="G1687" s="2" t="s">
        <v>32</v>
      </c>
      <c r="H1687" s="1"/>
      <c r="I1687" s="2" t="s">
        <v>33</v>
      </c>
      <c r="J1687" s="2" t="s">
        <v>34</v>
      </c>
      <c r="K1687" s="2" t="s">
        <v>6227</v>
      </c>
      <c r="L1687" s="2" t="s">
        <v>6228</v>
      </c>
      <c r="M1687" s="2" t="s">
        <v>6146</v>
      </c>
      <c r="N1687" s="2" t="s">
        <v>38</v>
      </c>
      <c r="O1687" s="2" t="s">
        <v>493</v>
      </c>
      <c r="P1687" s="2" t="s">
        <v>10904</v>
      </c>
      <c r="Q1687" s="2" t="s">
        <v>10905</v>
      </c>
      <c r="R1687" s="2" t="s">
        <v>40</v>
      </c>
      <c r="S1687" s="2" t="s">
        <v>10906</v>
      </c>
      <c r="T1687" s="2" t="s">
        <v>10330</v>
      </c>
      <c r="U1687" s="2" t="s">
        <v>10331</v>
      </c>
      <c r="V1687" s="2" t="s">
        <v>10907</v>
      </c>
      <c r="W1687" s="1"/>
      <c r="X1687" s="2" t="s">
        <v>3184</v>
      </c>
      <c r="Y1687" s="2" t="s">
        <v>10854</v>
      </c>
      <c r="AA1687" t="str">
        <f t="shared" si="156"/>
        <v>2025-12</v>
      </c>
      <c r="AB1687" t="str">
        <f t="shared" si="157"/>
        <v/>
      </c>
      <c r="AC1687">
        <f t="shared" si="158"/>
        <v>4343670.24</v>
      </c>
      <c r="AD1687">
        <f t="shared" si="159"/>
        <v>420</v>
      </c>
      <c r="AE1687">
        <f t="shared" si="160"/>
        <v>2079870.24</v>
      </c>
      <c r="AF1687" t="str">
        <f t="shared" si="161"/>
        <v>Paid</v>
      </c>
    </row>
    <row r="1688" spans="1:32" ht="17.25" thickBot="1" x14ac:dyDescent="0.35">
      <c r="A1688" s="2" t="s">
        <v>10908</v>
      </c>
      <c r="B1688" s="2" t="s">
        <v>27</v>
      </c>
      <c r="C1688" s="2" t="s">
        <v>28</v>
      </c>
      <c r="D1688" s="2" t="s">
        <v>97</v>
      </c>
      <c r="E1688" s="2" t="s">
        <v>10848</v>
      </c>
      <c r="F1688" s="2" t="s">
        <v>8445</v>
      </c>
      <c r="G1688" s="2" t="s">
        <v>32</v>
      </c>
      <c r="H1688" s="1"/>
      <c r="I1688" s="2" t="s">
        <v>33</v>
      </c>
      <c r="J1688" s="2" t="s">
        <v>34</v>
      </c>
      <c r="K1688" s="2" t="s">
        <v>6235</v>
      </c>
      <c r="L1688" s="2" t="s">
        <v>6236</v>
      </c>
      <c r="M1688" s="2" t="s">
        <v>6146</v>
      </c>
      <c r="N1688" s="2" t="s">
        <v>38</v>
      </c>
      <c r="O1688" s="2" t="s">
        <v>2057</v>
      </c>
      <c r="P1688" s="2" t="s">
        <v>10335</v>
      </c>
      <c r="Q1688" s="2" t="s">
        <v>10336</v>
      </c>
      <c r="R1688" s="2" t="s">
        <v>40</v>
      </c>
      <c r="S1688" s="2" t="s">
        <v>10337</v>
      </c>
      <c r="T1688" s="2" t="s">
        <v>2490</v>
      </c>
      <c r="U1688" s="2" t="s">
        <v>10338</v>
      </c>
      <c r="V1688" s="2" t="s">
        <v>10339</v>
      </c>
      <c r="W1688" s="1"/>
      <c r="X1688" s="2" t="s">
        <v>2429</v>
      </c>
      <c r="Y1688" s="2" t="s">
        <v>10854</v>
      </c>
      <c r="AA1688" t="str">
        <f t="shared" si="156"/>
        <v>2025-12</v>
      </c>
      <c r="AB1688" t="str">
        <f t="shared" si="157"/>
        <v/>
      </c>
      <c r="AC1688">
        <f t="shared" si="158"/>
        <v>2797977</v>
      </c>
      <c r="AD1688">
        <f t="shared" si="159"/>
        <v>350</v>
      </c>
      <c r="AE1688">
        <f t="shared" si="160"/>
        <v>682067.92</v>
      </c>
      <c r="AF1688" t="str">
        <f t="shared" si="161"/>
        <v>Paid</v>
      </c>
    </row>
    <row r="1689" spans="1:32" ht="17.25" thickBot="1" x14ac:dyDescent="0.35">
      <c r="A1689" s="2" t="s">
        <v>10909</v>
      </c>
      <c r="B1689" s="2" t="s">
        <v>27</v>
      </c>
      <c r="C1689" s="2" t="s">
        <v>28</v>
      </c>
      <c r="D1689" s="2" t="s">
        <v>97</v>
      </c>
      <c r="E1689" s="2" t="s">
        <v>10848</v>
      </c>
      <c r="F1689" s="2" t="s">
        <v>8445</v>
      </c>
      <c r="G1689" s="2" t="s">
        <v>32</v>
      </c>
      <c r="H1689" s="1"/>
      <c r="I1689" s="2" t="s">
        <v>33</v>
      </c>
      <c r="J1689" s="2" t="s">
        <v>34</v>
      </c>
      <c r="K1689" s="2" t="s">
        <v>6243</v>
      </c>
      <c r="L1689" s="2" t="s">
        <v>6244</v>
      </c>
      <c r="M1689" s="2" t="s">
        <v>6146</v>
      </c>
      <c r="N1689" s="2" t="s">
        <v>38</v>
      </c>
      <c r="O1689" s="2" t="s">
        <v>1538</v>
      </c>
      <c r="P1689" s="2" t="s">
        <v>1068</v>
      </c>
      <c r="Q1689" s="2" t="s">
        <v>10341</v>
      </c>
      <c r="R1689" s="2" t="s">
        <v>40</v>
      </c>
      <c r="S1689" s="2" t="s">
        <v>10342</v>
      </c>
      <c r="T1689" s="2" t="s">
        <v>6247</v>
      </c>
      <c r="U1689" s="2" t="s">
        <v>10343</v>
      </c>
      <c r="V1689" s="2" t="s">
        <v>10344</v>
      </c>
      <c r="W1689" s="1"/>
      <c r="X1689" s="2" t="s">
        <v>1437</v>
      </c>
      <c r="Y1689" s="2" t="s">
        <v>10854</v>
      </c>
      <c r="AA1689" t="str">
        <f t="shared" si="156"/>
        <v>2025-12</v>
      </c>
      <c r="AB1689" t="str">
        <f t="shared" si="157"/>
        <v/>
      </c>
      <c r="AC1689">
        <f t="shared" si="158"/>
        <v>4366716.6399999997</v>
      </c>
      <c r="AD1689">
        <f t="shared" si="159"/>
        <v>440</v>
      </c>
      <c r="AE1689">
        <f t="shared" si="160"/>
        <v>1078716.67</v>
      </c>
      <c r="AF1689" t="str">
        <f t="shared" si="161"/>
        <v>Paid</v>
      </c>
    </row>
    <row r="1690" spans="1:32" ht="17.25" thickBot="1" x14ac:dyDescent="0.35">
      <c r="A1690" s="2" t="s">
        <v>10910</v>
      </c>
      <c r="B1690" s="2" t="s">
        <v>27</v>
      </c>
      <c r="C1690" s="2" t="s">
        <v>28</v>
      </c>
      <c r="D1690" s="2" t="s">
        <v>97</v>
      </c>
      <c r="E1690" s="2" t="s">
        <v>10848</v>
      </c>
      <c r="F1690" s="2" t="s">
        <v>8445</v>
      </c>
      <c r="G1690" s="2" t="s">
        <v>32</v>
      </c>
      <c r="H1690" s="1"/>
      <c r="I1690" s="2" t="s">
        <v>33</v>
      </c>
      <c r="J1690" s="2" t="s">
        <v>34</v>
      </c>
      <c r="K1690" s="2" t="s">
        <v>6251</v>
      </c>
      <c r="L1690" s="2" t="s">
        <v>6252</v>
      </c>
      <c r="M1690" s="2" t="s">
        <v>6146</v>
      </c>
      <c r="N1690" s="2" t="s">
        <v>38</v>
      </c>
      <c r="O1690" s="2" t="s">
        <v>359</v>
      </c>
      <c r="P1690" s="2" t="s">
        <v>10115</v>
      </c>
      <c r="Q1690" s="2" t="s">
        <v>10911</v>
      </c>
      <c r="R1690" s="2" t="s">
        <v>40</v>
      </c>
      <c r="S1690" s="2" t="s">
        <v>10912</v>
      </c>
      <c r="T1690" s="2" t="s">
        <v>7304</v>
      </c>
      <c r="U1690" s="2" t="s">
        <v>10913</v>
      </c>
      <c r="V1690" s="2" t="s">
        <v>10914</v>
      </c>
      <c r="W1690" s="1"/>
      <c r="X1690" s="2" t="s">
        <v>1764</v>
      </c>
      <c r="Y1690" s="2" t="s">
        <v>10854</v>
      </c>
      <c r="AA1690" t="str">
        <f t="shared" si="156"/>
        <v>2025-12</v>
      </c>
      <c r="AB1690" t="str">
        <f t="shared" si="157"/>
        <v/>
      </c>
      <c r="AC1690">
        <f t="shared" si="158"/>
        <v>429844.17</v>
      </c>
      <c r="AD1690">
        <f t="shared" si="159"/>
        <v>43</v>
      </c>
      <c r="AE1690">
        <f t="shared" si="160"/>
        <v>109298.72</v>
      </c>
      <c r="AF1690" t="str">
        <f t="shared" si="161"/>
        <v>Paid</v>
      </c>
    </row>
    <row r="1691" spans="1:32" ht="17.25" thickBot="1" x14ac:dyDescent="0.35">
      <c r="A1691" s="2" t="s">
        <v>10915</v>
      </c>
      <c r="B1691" s="2" t="s">
        <v>27</v>
      </c>
      <c r="C1691" s="2" t="s">
        <v>28</v>
      </c>
      <c r="D1691" s="2" t="s">
        <v>97</v>
      </c>
      <c r="E1691" s="2" t="s">
        <v>10848</v>
      </c>
      <c r="F1691" s="2" t="s">
        <v>8445</v>
      </c>
      <c r="G1691" s="2" t="s">
        <v>32</v>
      </c>
      <c r="H1691" s="1"/>
      <c r="I1691" s="2" t="s">
        <v>33</v>
      </c>
      <c r="J1691" s="2" t="s">
        <v>34</v>
      </c>
      <c r="K1691" s="2" t="s">
        <v>6272</v>
      </c>
      <c r="L1691" s="2" t="s">
        <v>6273</v>
      </c>
      <c r="M1691" s="2" t="s">
        <v>6146</v>
      </c>
      <c r="N1691" s="2" t="s">
        <v>38</v>
      </c>
      <c r="O1691" s="2" t="s">
        <v>167</v>
      </c>
      <c r="P1691" s="2" t="s">
        <v>1068</v>
      </c>
      <c r="Q1691" s="2" t="s">
        <v>10916</v>
      </c>
      <c r="R1691" s="2" t="s">
        <v>40</v>
      </c>
      <c r="S1691" s="2" t="s">
        <v>10917</v>
      </c>
      <c r="T1691" s="2" t="s">
        <v>6277</v>
      </c>
      <c r="U1691" s="2" t="s">
        <v>10918</v>
      </c>
      <c r="V1691" s="2" t="s">
        <v>10919</v>
      </c>
      <c r="W1691" s="1"/>
      <c r="X1691" s="2" t="s">
        <v>6280</v>
      </c>
      <c r="Y1691" s="2" t="s">
        <v>10854</v>
      </c>
      <c r="AA1691" t="str">
        <f t="shared" si="156"/>
        <v>2025-12</v>
      </c>
      <c r="AB1691" t="str">
        <f t="shared" si="157"/>
        <v/>
      </c>
      <c r="AC1691">
        <f t="shared" si="158"/>
        <v>7939484.7999999998</v>
      </c>
      <c r="AD1691">
        <f t="shared" si="159"/>
        <v>800</v>
      </c>
      <c r="AE1691">
        <f t="shared" si="160"/>
        <v>2630684.7999999998</v>
      </c>
      <c r="AF1691" t="str">
        <f t="shared" si="161"/>
        <v>Paid</v>
      </c>
    </row>
    <row r="1692" spans="1:32" ht="17.25" thickBot="1" x14ac:dyDescent="0.35">
      <c r="A1692" s="2" t="s">
        <v>10920</v>
      </c>
      <c r="B1692" s="2" t="s">
        <v>27</v>
      </c>
      <c r="C1692" s="2" t="s">
        <v>28</v>
      </c>
      <c r="D1692" s="2" t="s">
        <v>97</v>
      </c>
      <c r="E1692" s="2" t="s">
        <v>10848</v>
      </c>
      <c r="F1692" s="2" t="s">
        <v>8445</v>
      </c>
      <c r="G1692" s="2" t="s">
        <v>32</v>
      </c>
      <c r="H1692" s="1"/>
      <c r="I1692" s="2" t="s">
        <v>33</v>
      </c>
      <c r="J1692" s="2" t="s">
        <v>34</v>
      </c>
      <c r="K1692" s="2" t="s">
        <v>6282</v>
      </c>
      <c r="L1692" s="2" t="s">
        <v>6283</v>
      </c>
      <c r="M1692" s="2" t="s">
        <v>6146</v>
      </c>
      <c r="N1692" s="2" t="s">
        <v>38</v>
      </c>
      <c r="O1692" s="2" t="s">
        <v>466</v>
      </c>
      <c r="P1692" s="2" t="s">
        <v>4912</v>
      </c>
      <c r="Q1692" s="2" t="s">
        <v>10921</v>
      </c>
      <c r="R1692" s="2" t="s">
        <v>40</v>
      </c>
      <c r="S1692" s="2" t="s">
        <v>10922</v>
      </c>
      <c r="T1692" s="2" t="s">
        <v>6287</v>
      </c>
      <c r="U1692" s="2" t="s">
        <v>10923</v>
      </c>
      <c r="V1692" s="2" t="s">
        <v>10924</v>
      </c>
      <c r="W1692" s="1"/>
      <c r="X1692" s="2" t="s">
        <v>934</v>
      </c>
      <c r="Y1692" s="2" t="s">
        <v>10854</v>
      </c>
      <c r="AA1692" t="str">
        <f t="shared" si="156"/>
        <v>2025-12</v>
      </c>
      <c r="AB1692" t="str">
        <f t="shared" si="157"/>
        <v/>
      </c>
      <c r="AC1692">
        <f t="shared" si="158"/>
        <v>631183.28</v>
      </c>
      <c r="AD1692">
        <f t="shared" si="159"/>
        <v>70</v>
      </c>
      <c r="AE1692">
        <f t="shared" si="160"/>
        <v>154546.92000000001</v>
      </c>
      <c r="AF1692" t="str">
        <f t="shared" si="161"/>
        <v>Paid</v>
      </c>
    </row>
    <row r="1693" spans="1:32" ht="17.25" thickBot="1" x14ac:dyDescent="0.35">
      <c r="A1693" s="2" t="s">
        <v>10925</v>
      </c>
      <c r="B1693" s="2" t="s">
        <v>27</v>
      </c>
      <c r="C1693" s="2" t="s">
        <v>28</v>
      </c>
      <c r="D1693" s="2" t="s">
        <v>97</v>
      </c>
      <c r="E1693" s="2" t="s">
        <v>10848</v>
      </c>
      <c r="F1693" s="2" t="s">
        <v>8445</v>
      </c>
      <c r="G1693" s="2" t="s">
        <v>32</v>
      </c>
      <c r="H1693" s="1"/>
      <c r="I1693" s="2" t="s">
        <v>33</v>
      </c>
      <c r="J1693" s="2" t="s">
        <v>34</v>
      </c>
      <c r="K1693" s="2" t="s">
        <v>6290</v>
      </c>
      <c r="L1693" s="2" t="s">
        <v>6291</v>
      </c>
      <c r="M1693" s="2" t="s">
        <v>6146</v>
      </c>
      <c r="N1693" s="2" t="s">
        <v>38</v>
      </c>
      <c r="O1693" s="2" t="s">
        <v>141</v>
      </c>
      <c r="P1693" s="2" t="s">
        <v>2398</v>
      </c>
      <c r="Q1693" s="2" t="s">
        <v>3312</v>
      </c>
      <c r="R1693" s="2" t="s">
        <v>40</v>
      </c>
      <c r="S1693" s="2" t="s">
        <v>10346</v>
      </c>
      <c r="T1693" s="2" t="s">
        <v>6181</v>
      </c>
      <c r="U1693" s="2" t="s">
        <v>10347</v>
      </c>
      <c r="V1693" s="2" t="s">
        <v>10348</v>
      </c>
      <c r="W1693" s="1"/>
      <c r="X1693" s="2" t="s">
        <v>1437</v>
      </c>
      <c r="Y1693" s="2" t="s">
        <v>10854</v>
      </c>
      <c r="AA1693" t="str">
        <f t="shared" si="156"/>
        <v>2025-12</v>
      </c>
      <c r="AB1693" t="str">
        <f t="shared" si="157"/>
        <v/>
      </c>
      <c r="AC1693">
        <f t="shared" si="158"/>
        <v>280878</v>
      </c>
      <c r="AD1693">
        <f t="shared" si="159"/>
        <v>30</v>
      </c>
      <c r="AE1693">
        <f t="shared" si="160"/>
        <v>69514.36</v>
      </c>
      <c r="AF1693" t="str">
        <f t="shared" si="161"/>
        <v>Paid</v>
      </c>
    </row>
    <row r="1694" spans="1:32" ht="17.25" thickBot="1" x14ac:dyDescent="0.35">
      <c r="A1694" s="2" t="s">
        <v>10926</v>
      </c>
      <c r="B1694" s="2" t="s">
        <v>27</v>
      </c>
      <c r="C1694" s="2" t="s">
        <v>28</v>
      </c>
      <c r="D1694" s="2" t="s">
        <v>97</v>
      </c>
      <c r="E1694" s="2" t="s">
        <v>10848</v>
      </c>
      <c r="F1694" s="2" t="s">
        <v>8445</v>
      </c>
      <c r="G1694" s="2" t="s">
        <v>32</v>
      </c>
      <c r="H1694" s="1"/>
      <c r="I1694" s="2" t="s">
        <v>33</v>
      </c>
      <c r="J1694" s="2" t="s">
        <v>34</v>
      </c>
      <c r="K1694" s="2" t="s">
        <v>10927</v>
      </c>
      <c r="L1694" s="2" t="s">
        <v>10928</v>
      </c>
      <c r="M1694" s="2" t="s">
        <v>7387</v>
      </c>
      <c r="N1694" s="2" t="s">
        <v>38</v>
      </c>
      <c r="O1694" s="2" t="s">
        <v>1341</v>
      </c>
      <c r="P1694" s="2" t="s">
        <v>4567</v>
      </c>
      <c r="Q1694" s="2" t="s">
        <v>10929</v>
      </c>
      <c r="R1694" s="2" t="s">
        <v>40</v>
      </c>
      <c r="S1694" s="2" t="s">
        <v>10930</v>
      </c>
      <c r="T1694" s="2" t="s">
        <v>6652</v>
      </c>
      <c r="U1694" s="2" t="s">
        <v>10931</v>
      </c>
      <c r="V1694" s="2" t="s">
        <v>10932</v>
      </c>
      <c r="W1694" s="1"/>
      <c r="X1694" s="2" t="s">
        <v>1357</v>
      </c>
      <c r="Y1694" s="2" t="s">
        <v>10854</v>
      </c>
      <c r="AA1694" t="str">
        <f t="shared" si="156"/>
        <v>2025-12</v>
      </c>
      <c r="AB1694" t="str">
        <f t="shared" si="157"/>
        <v/>
      </c>
      <c r="AC1694">
        <f t="shared" si="158"/>
        <v>1320227.43</v>
      </c>
      <c r="AD1694">
        <f t="shared" si="159"/>
        <v>151</v>
      </c>
      <c r="AE1694">
        <f t="shared" si="160"/>
        <v>338727.43</v>
      </c>
      <c r="AF1694" t="str">
        <f t="shared" si="161"/>
        <v>Paid</v>
      </c>
    </row>
    <row r="1695" spans="1:32" ht="17.25" thickBot="1" x14ac:dyDescent="0.35">
      <c r="A1695" s="2" t="s">
        <v>10933</v>
      </c>
      <c r="B1695" s="2" t="s">
        <v>27</v>
      </c>
      <c r="C1695" s="2" t="s">
        <v>28</v>
      </c>
      <c r="D1695" s="2" t="s">
        <v>97</v>
      </c>
      <c r="E1695" s="2" t="s">
        <v>10848</v>
      </c>
      <c r="F1695" s="2" t="s">
        <v>8445</v>
      </c>
      <c r="G1695" s="2" t="s">
        <v>32</v>
      </c>
      <c r="H1695" s="1"/>
      <c r="I1695" s="2" t="s">
        <v>33</v>
      </c>
      <c r="J1695" s="2" t="s">
        <v>34</v>
      </c>
      <c r="K1695" s="2" t="s">
        <v>10934</v>
      </c>
      <c r="L1695" s="2" t="s">
        <v>10935</v>
      </c>
      <c r="M1695" s="2" t="s">
        <v>7387</v>
      </c>
      <c r="N1695" s="2" t="s">
        <v>38</v>
      </c>
      <c r="O1695" s="2" t="s">
        <v>3139</v>
      </c>
      <c r="P1695" s="2" t="s">
        <v>10115</v>
      </c>
      <c r="Q1695" s="2" t="s">
        <v>10936</v>
      </c>
      <c r="R1695" s="2" t="s">
        <v>40</v>
      </c>
      <c r="S1695" s="2" t="s">
        <v>10937</v>
      </c>
      <c r="T1695" s="2" t="s">
        <v>864</v>
      </c>
      <c r="U1695" s="2" t="s">
        <v>10938</v>
      </c>
      <c r="V1695" s="2" t="s">
        <v>10939</v>
      </c>
      <c r="W1695" s="1"/>
      <c r="X1695" s="2" t="s">
        <v>1375</v>
      </c>
      <c r="Y1695" s="2" t="s">
        <v>10854</v>
      </c>
      <c r="AA1695" t="str">
        <f t="shared" si="156"/>
        <v>2025-12</v>
      </c>
      <c r="AB1695" t="str">
        <f t="shared" si="157"/>
        <v/>
      </c>
      <c r="AC1695">
        <f t="shared" si="158"/>
        <v>3768633.75</v>
      </c>
      <c r="AD1695">
        <f t="shared" si="159"/>
        <v>377</v>
      </c>
      <c r="AE1695">
        <f t="shared" si="160"/>
        <v>941133.75</v>
      </c>
      <c r="AF1695" t="str">
        <f t="shared" si="161"/>
        <v>Paid</v>
      </c>
    </row>
    <row r="1696" spans="1:32" ht="17.25" thickBot="1" x14ac:dyDescent="0.35">
      <c r="A1696" s="2" t="s">
        <v>10940</v>
      </c>
      <c r="B1696" s="2" t="s">
        <v>27</v>
      </c>
      <c r="C1696" s="2" t="s">
        <v>28</v>
      </c>
      <c r="D1696" s="2" t="s">
        <v>97</v>
      </c>
      <c r="E1696" s="2" t="s">
        <v>10848</v>
      </c>
      <c r="F1696" s="2" t="s">
        <v>8445</v>
      </c>
      <c r="G1696" s="2" t="s">
        <v>32</v>
      </c>
      <c r="H1696" s="1"/>
      <c r="I1696" s="2" t="s">
        <v>33</v>
      </c>
      <c r="J1696" s="2" t="s">
        <v>34</v>
      </c>
      <c r="K1696" s="2" t="s">
        <v>10941</v>
      </c>
      <c r="L1696" s="2" t="s">
        <v>10942</v>
      </c>
      <c r="M1696" s="2" t="s">
        <v>7387</v>
      </c>
      <c r="N1696" s="2" t="s">
        <v>38</v>
      </c>
      <c r="O1696" s="2" t="s">
        <v>1230</v>
      </c>
      <c r="P1696" s="2" t="s">
        <v>10115</v>
      </c>
      <c r="Q1696" s="2" t="s">
        <v>10943</v>
      </c>
      <c r="R1696" s="2" t="s">
        <v>40</v>
      </c>
      <c r="S1696" s="2" t="s">
        <v>10944</v>
      </c>
      <c r="T1696" s="2" t="s">
        <v>864</v>
      </c>
      <c r="U1696" s="2" t="s">
        <v>4381</v>
      </c>
      <c r="V1696" s="2" t="s">
        <v>10945</v>
      </c>
      <c r="W1696" s="1"/>
      <c r="X1696" s="2" t="s">
        <v>1375</v>
      </c>
      <c r="Y1696" s="2" t="s">
        <v>10854</v>
      </c>
      <c r="AA1696" t="str">
        <f t="shared" si="156"/>
        <v>2025-12</v>
      </c>
      <c r="AB1696" t="str">
        <f t="shared" si="157"/>
        <v/>
      </c>
      <c r="AC1696">
        <f t="shared" si="158"/>
        <v>1379499.89</v>
      </c>
      <c r="AD1696">
        <f t="shared" si="159"/>
        <v>138</v>
      </c>
      <c r="AE1696">
        <f t="shared" si="160"/>
        <v>344499.89</v>
      </c>
      <c r="AF1696" t="str">
        <f t="shared" si="161"/>
        <v>Paid</v>
      </c>
    </row>
    <row r="1697" spans="1:32" ht="17.25" thickBot="1" x14ac:dyDescent="0.35">
      <c r="A1697" s="2" t="s">
        <v>10946</v>
      </c>
      <c r="B1697" s="2" t="s">
        <v>27</v>
      </c>
      <c r="C1697" s="2" t="s">
        <v>28</v>
      </c>
      <c r="D1697" s="2" t="s">
        <v>97</v>
      </c>
      <c r="E1697" s="2" t="s">
        <v>10848</v>
      </c>
      <c r="F1697" s="2" t="s">
        <v>8445</v>
      </c>
      <c r="G1697" s="2" t="s">
        <v>32</v>
      </c>
      <c r="H1697" s="1"/>
      <c r="I1697" s="2" t="s">
        <v>33</v>
      </c>
      <c r="J1697" s="2" t="s">
        <v>34</v>
      </c>
      <c r="K1697" s="2" t="s">
        <v>10947</v>
      </c>
      <c r="L1697" s="2" t="s">
        <v>10948</v>
      </c>
      <c r="M1697" s="2" t="s">
        <v>7387</v>
      </c>
      <c r="N1697" s="2" t="s">
        <v>38</v>
      </c>
      <c r="O1697" s="2" t="s">
        <v>1150</v>
      </c>
      <c r="P1697" s="2" t="s">
        <v>4064</v>
      </c>
      <c r="Q1697" s="2" t="s">
        <v>4142</v>
      </c>
      <c r="R1697" s="2" t="s">
        <v>40</v>
      </c>
      <c r="S1697" s="2" t="s">
        <v>10949</v>
      </c>
      <c r="T1697" s="2" t="s">
        <v>4667</v>
      </c>
      <c r="U1697" s="2" t="s">
        <v>10950</v>
      </c>
      <c r="V1697" s="2" t="s">
        <v>10951</v>
      </c>
      <c r="W1697" s="1"/>
      <c r="X1697" s="2" t="s">
        <v>806</v>
      </c>
      <c r="Y1697" s="2" t="s">
        <v>10854</v>
      </c>
      <c r="AA1697" t="str">
        <f t="shared" si="156"/>
        <v>2025-12</v>
      </c>
      <c r="AB1697" t="str">
        <f t="shared" si="157"/>
        <v/>
      </c>
      <c r="AC1697">
        <f t="shared" si="158"/>
        <v>1160962.3999999999</v>
      </c>
      <c r="AD1697">
        <f t="shared" si="159"/>
        <v>130</v>
      </c>
      <c r="AE1697">
        <f t="shared" si="160"/>
        <v>296462.40000000002</v>
      </c>
      <c r="AF1697" t="str">
        <f t="shared" si="161"/>
        <v>Paid</v>
      </c>
    </row>
    <row r="1698" spans="1:32" ht="17.25" thickBot="1" x14ac:dyDescent="0.35">
      <c r="A1698" s="2" t="s">
        <v>10952</v>
      </c>
      <c r="B1698" s="2" t="s">
        <v>27</v>
      </c>
      <c r="C1698" s="2" t="s">
        <v>28</v>
      </c>
      <c r="D1698" s="2" t="s">
        <v>97</v>
      </c>
      <c r="E1698" s="2" t="s">
        <v>10848</v>
      </c>
      <c r="F1698" s="2" t="s">
        <v>8445</v>
      </c>
      <c r="G1698" s="2" t="s">
        <v>32</v>
      </c>
      <c r="H1698" s="1"/>
      <c r="I1698" s="2" t="s">
        <v>33</v>
      </c>
      <c r="J1698" s="2" t="s">
        <v>34</v>
      </c>
      <c r="K1698" s="2" t="s">
        <v>10953</v>
      </c>
      <c r="L1698" s="2" t="s">
        <v>10954</v>
      </c>
      <c r="M1698" s="2" t="s">
        <v>7387</v>
      </c>
      <c r="N1698" s="2" t="s">
        <v>38</v>
      </c>
      <c r="O1698" s="2" t="s">
        <v>681</v>
      </c>
      <c r="P1698" s="2" t="s">
        <v>10778</v>
      </c>
      <c r="Q1698" s="2" t="s">
        <v>10955</v>
      </c>
      <c r="R1698" s="2" t="s">
        <v>40</v>
      </c>
      <c r="S1698" s="2" t="s">
        <v>10956</v>
      </c>
      <c r="T1698" s="2" t="s">
        <v>2755</v>
      </c>
      <c r="U1698" s="2" t="s">
        <v>10957</v>
      </c>
      <c r="V1698" s="2" t="s">
        <v>10958</v>
      </c>
      <c r="W1698" s="1"/>
      <c r="X1698" s="2" t="s">
        <v>1504</v>
      </c>
      <c r="Y1698" s="2" t="s">
        <v>10854</v>
      </c>
      <c r="AA1698" t="str">
        <f t="shared" si="156"/>
        <v>2025-12</v>
      </c>
      <c r="AB1698" t="str">
        <f t="shared" si="157"/>
        <v/>
      </c>
      <c r="AC1698">
        <f t="shared" si="158"/>
        <v>600819.65</v>
      </c>
      <c r="AD1698">
        <f t="shared" si="159"/>
        <v>79</v>
      </c>
      <c r="AE1698">
        <f t="shared" si="160"/>
        <v>150519.65</v>
      </c>
      <c r="AF1698" t="str">
        <f t="shared" si="161"/>
        <v>Paid</v>
      </c>
    </row>
    <row r="1699" spans="1:32" ht="17.25" thickBot="1" x14ac:dyDescent="0.35">
      <c r="A1699" s="2" t="s">
        <v>10959</v>
      </c>
      <c r="B1699" s="2" t="s">
        <v>27</v>
      </c>
      <c r="C1699" s="2" t="s">
        <v>28</v>
      </c>
      <c r="D1699" s="2" t="s">
        <v>97</v>
      </c>
      <c r="E1699" s="2" t="s">
        <v>10848</v>
      </c>
      <c r="F1699" s="2" t="s">
        <v>8445</v>
      </c>
      <c r="G1699" s="2" t="s">
        <v>32</v>
      </c>
      <c r="H1699" s="1"/>
      <c r="I1699" s="2" t="s">
        <v>33</v>
      </c>
      <c r="J1699" s="2" t="s">
        <v>34</v>
      </c>
      <c r="K1699" s="2" t="s">
        <v>10960</v>
      </c>
      <c r="L1699" s="2" t="s">
        <v>10961</v>
      </c>
      <c r="M1699" s="2" t="s">
        <v>7387</v>
      </c>
      <c r="N1699" s="2" t="s">
        <v>38</v>
      </c>
      <c r="O1699" s="2" t="s">
        <v>480</v>
      </c>
      <c r="P1699" s="2" t="s">
        <v>2588</v>
      </c>
      <c r="Q1699" s="2" t="s">
        <v>10962</v>
      </c>
      <c r="R1699" s="2" t="s">
        <v>40</v>
      </c>
      <c r="S1699" s="2" t="s">
        <v>10963</v>
      </c>
      <c r="T1699" s="2" t="s">
        <v>10964</v>
      </c>
      <c r="U1699" s="2" t="s">
        <v>767</v>
      </c>
      <c r="V1699" s="2" t="s">
        <v>10965</v>
      </c>
      <c r="W1699" s="1"/>
      <c r="X1699" s="2" t="s">
        <v>1375</v>
      </c>
      <c r="Y1699" s="2" t="s">
        <v>10854</v>
      </c>
      <c r="AA1699" t="str">
        <f t="shared" si="156"/>
        <v>2025-12</v>
      </c>
      <c r="AB1699" t="str">
        <f t="shared" si="157"/>
        <v/>
      </c>
      <c r="AC1699">
        <f t="shared" si="158"/>
        <v>403312</v>
      </c>
      <c r="AD1699">
        <f t="shared" si="159"/>
        <v>56</v>
      </c>
      <c r="AE1699">
        <f t="shared" si="160"/>
        <v>100912</v>
      </c>
      <c r="AF1699" t="str">
        <f t="shared" si="161"/>
        <v>Paid</v>
      </c>
    </row>
    <row r="1700" spans="1:32" ht="17.25" thickBot="1" x14ac:dyDescent="0.35">
      <c r="A1700" s="2" t="s">
        <v>10966</v>
      </c>
      <c r="B1700" s="2" t="s">
        <v>27</v>
      </c>
      <c r="C1700" s="2" t="s">
        <v>28</v>
      </c>
      <c r="D1700" s="2" t="s">
        <v>97</v>
      </c>
      <c r="E1700" s="2" t="s">
        <v>10848</v>
      </c>
      <c r="F1700" s="2" t="s">
        <v>8445</v>
      </c>
      <c r="G1700" s="2" t="s">
        <v>32</v>
      </c>
      <c r="H1700" s="1"/>
      <c r="I1700" s="2" t="s">
        <v>33</v>
      </c>
      <c r="J1700" s="2" t="s">
        <v>34</v>
      </c>
      <c r="K1700" s="2" t="s">
        <v>10967</v>
      </c>
      <c r="L1700" s="2" t="s">
        <v>10968</v>
      </c>
      <c r="M1700" s="2" t="s">
        <v>7387</v>
      </c>
      <c r="N1700" s="2" t="s">
        <v>38</v>
      </c>
      <c r="O1700" s="2" t="s">
        <v>283</v>
      </c>
      <c r="P1700" s="2" t="s">
        <v>10969</v>
      </c>
      <c r="Q1700" s="2" t="s">
        <v>10970</v>
      </c>
      <c r="R1700" s="2" t="s">
        <v>40</v>
      </c>
      <c r="S1700" s="2" t="s">
        <v>10971</v>
      </c>
      <c r="T1700" s="2" t="s">
        <v>7392</v>
      </c>
      <c r="U1700" s="2" t="s">
        <v>10972</v>
      </c>
      <c r="V1700" s="2" t="s">
        <v>10973</v>
      </c>
      <c r="W1700" s="1"/>
      <c r="X1700" s="2" t="s">
        <v>3824</v>
      </c>
      <c r="Y1700" s="2" t="s">
        <v>10854</v>
      </c>
      <c r="AA1700" t="str">
        <f t="shared" si="156"/>
        <v>2025-12</v>
      </c>
      <c r="AB1700" t="str">
        <f t="shared" si="157"/>
        <v/>
      </c>
      <c r="AC1700">
        <f t="shared" si="158"/>
        <v>8136243.4400000004</v>
      </c>
      <c r="AD1700">
        <f t="shared" si="159"/>
        <v>610</v>
      </c>
      <c r="AE1700">
        <f t="shared" si="160"/>
        <v>1237143.44</v>
      </c>
      <c r="AF1700" t="str">
        <f t="shared" si="161"/>
        <v>Paid</v>
      </c>
    </row>
    <row r="1701" spans="1:32" ht="17.25" thickBot="1" x14ac:dyDescent="0.35">
      <c r="A1701" s="2" t="s">
        <v>10974</v>
      </c>
      <c r="B1701" s="2" t="s">
        <v>27</v>
      </c>
      <c r="C1701" s="2" t="s">
        <v>28</v>
      </c>
      <c r="D1701" s="2" t="s">
        <v>97</v>
      </c>
      <c r="E1701" s="2" t="s">
        <v>10848</v>
      </c>
      <c r="F1701" s="2" t="s">
        <v>8445</v>
      </c>
      <c r="G1701" s="2" t="s">
        <v>32</v>
      </c>
      <c r="H1701" s="1"/>
      <c r="I1701" s="2" t="s">
        <v>33</v>
      </c>
      <c r="J1701" s="2" t="s">
        <v>34</v>
      </c>
      <c r="K1701" s="2" t="s">
        <v>10975</v>
      </c>
      <c r="L1701" s="2" t="s">
        <v>10976</v>
      </c>
      <c r="M1701" s="2" t="s">
        <v>7387</v>
      </c>
      <c r="N1701" s="2" t="s">
        <v>38</v>
      </c>
      <c r="O1701" s="2" t="s">
        <v>906</v>
      </c>
      <c r="P1701" s="2" t="s">
        <v>4104</v>
      </c>
      <c r="Q1701" s="2" t="s">
        <v>10977</v>
      </c>
      <c r="R1701" s="2" t="s">
        <v>40</v>
      </c>
      <c r="S1701" s="2" t="s">
        <v>10978</v>
      </c>
      <c r="T1701" s="2" t="s">
        <v>2273</v>
      </c>
      <c r="U1701" s="2" t="s">
        <v>10979</v>
      </c>
      <c r="V1701" s="2" t="s">
        <v>10980</v>
      </c>
      <c r="W1701" s="1"/>
      <c r="X1701" s="2" t="s">
        <v>2429</v>
      </c>
      <c r="Y1701" s="2" t="s">
        <v>10854</v>
      </c>
      <c r="AA1701" t="str">
        <f t="shared" si="156"/>
        <v>2025-12</v>
      </c>
      <c r="AB1701" t="str">
        <f t="shared" si="157"/>
        <v/>
      </c>
      <c r="AC1701">
        <f t="shared" si="158"/>
        <v>1646809.32</v>
      </c>
      <c r="AD1701">
        <f t="shared" si="159"/>
        <v>103</v>
      </c>
      <c r="AE1701">
        <f t="shared" si="160"/>
        <v>401539.32</v>
      </c>
      <c r="AF1701" t="str">
        <f t="shared" si="161"/>
        <v>Paid</v>
      </c>
    </row>
    <row r="1702" spans="1:32" ht="17.25" thickBot="1" x14ac:dyDescent="0.35">
      <c r="A1702" s="2" t="s">
        <v>10981</v>
      </c>
      <c r="B1702" s="2" t="s">
        <v>27</v>
      </c>
      <c r="C1702" s="2" t="s">
        <v>28</v>
      </c>
      <c r="D1702" s="2" t="s">
        <v>97</v>
      </c>
      <c r="E1702" s="2" t="s">
        <v>10848</v>
      </c>
      <c r="F1702" s="2" t="s">
        <v>8445</v>
      </c>
      <c r="G1702" s="2" t="s">
        <v>32</v>
      </c>
      <c r="H1702" s="1"/>
      <c r="I1702" s="2" t="s">
        <v>33</v>
      </c>
      <c r="J1702" s="2" t="s">
        <v>34</v>
      </c>
      <c r="K1702" s="2" t="s">
        <v>7385</v>
      </c>
      <c r="L1702" s="2" t="s">
        <v>7386</v>
      </c>
      <c r="M1702" s="2" t="s">
        <v>7387</v>
      </c>
      <c r="N1702" s="2" t="s">
        <v>38</v>
      </c>
      <c r="O1702" s="2" t="s">
        <v>10982</v>
      </c>
      <c r="P1702" s="2" t="s">
        <v>10969</v>
      </c>
      <c r="Q1702" s="2" t="s">
        <v>10983</v>
      </c>
      <c r="R1702" s="2" t="s">
        <v>40</v>
      </c>
      <c r="S1702" s="2" t="s">
        <v>10984</v>
      </c>
      <c r="T1702" s="2" t="s">
        <v>7392</v>
      </c>
      <c r="U1702" s="2" t="s">
        <v>10985</v>
      </c>
      <c r="V1702" s="2" t="s">
        <v>10986</v>
      </c>
      <c r="W1702" s="1"/>
      <c r="X1702" s="2" t="s">
        <v>3824</v>
      </c>
      <c r="Y1702" s="2" t="s">
        <v>10854</v>
      </c>
      <c r="AA1702" t="str">
        <f t="shared" si="156"/>
        <v>2025-12</v>
      </c>
      <c r="AB1702" t="str">
        <f t="shared" si="157"/>
        <v/>
      </c>
      <c r="AC1702">
        <f t="shared" si="158"/>
        <v>53992644.990000002</v>
      </c>
      <c r="AD1702">
        <f t="shared" si="159"/>
        <v>4048</v>
      </c>
      <c r="AE1702">
        <f t="shared" si="160"/>
        <v>8209764.9900000002</v>
      </c>
      <c r="AF1702" t="str">
        <f t="shared" si="161"/>
        <v>Paid</v>
      </c>
    </row>
    <row r="1703" spans="1:32" ht="17.25" thickBot="1" x14ac:dyDescent="0.35">
      <c r="A1703" s="2" t="s">
        <v>10987</v>
      </c>
      <c r="B1703" s="2" t="s">
        <v>27</v>
      </c>
      <c r="C1703" s="2" t="s">
        <v>28</v>
      </c>
      <c r="D1703" s="2" t="s">
        <v>97</v>
      </c>
      <c r="E1703" s="2" t="s">
        <v>10848</v>
      </c>
      <c r="F1703" s="2" t="s">
        <v>8445</v>
      </c>
      <c r="G1703" s="2" t="s">
        <v>32</v>
      </c>
      <c r="H1703" s="1"/>
      <c r="I1703" s="2" t="s">
        <v>33</v>
      </c>
      <c r="J1703" s="2" t="s">
        <v>34</v>
      </c>
      <c r="K1703" s="2" t="s">
        <v>7385</v>
      </c>
      <c r="L1703" s="2" t="s">
        <v>7386</v>
      </c>
      <c r="M1703" s="2" t="s">
        <v>7387</v>
      </c>
      <c r="N1703" s="2" t="s">
        <v>38</v>
      </c>
      <c r="O1703" s="2" t="s">
        <v>71</v>
      </c>
      <c r="P1703" s="2" t="s">
        <v>10969</v>
      </c>
      <c r="Q1703" s="2" t="s">
        <v>10988</v>
      </c>
      <c r="R1703" s="2" t="s">
        <v>40</v>
      </c>
      <c r="S1703" s="2" t="s">
        <v>10989</v>
      </c>
      <c r="T1703" s="2" t="s">
        <v>7392</v>
      </c>
      <c r="U1703" s="2" t="s">
        <v>10990</v>
      </c>
      <c r="V1703" s="2" t="s">
        <v>10991</v>
      </c>
      <c r="W1703" s="1"/>
      <c r="X1703" s="2" t="s">
        <v>3824</v>
      </c>
      <c r="Y1703" s="2" t="s">
        <v>10854</v>
      </c>
      <c r="AA1703" t="str">
        <f t="shared" si="156"/>
        <v>2025-12</v>
      </c>
      <c r="AB1703" t="str">
        <f t="shared" si="157"/>
        <v/>
      </c>
      <c r="AC1703">
        <f t="shared" si="158"/>
        <v>26676208</v>
      </c>
      <c r="AD1703">
        <f t="shared" si="159"/>
        <v>2000</v>
      </c>
      <c r="AE1703">
        <f t="shared" si="160"/>
        <v>4056208</v>
      </c>
      <c r="AF1703" t="str">
        <f t="shared" si="161"/>
        <v>Paid</v>
      </c>
    </row>
    <row r="1704" spans="1:32" ht="17.25" thickBot="1" x14ac:dyDescent="0.35">
      <c r="A1704" s="2" t="s">
        <v>10992</v>
      </c>
      <c r="B1704" s="2" t="s">
        <v>27</v>
      </c>
      <c r="C1704" s="2" t="s">
        <v>28</v>
      </c>
      <c r="D1704" s="2" t="s">
        <v>97</v>
      </c>
      <c r="E1704" s="2" t="s">
        <v>10848</v>
      </c>
      <c r="F1704" s="2" t="s">
        <v>8445</v>
      </c>
      <c r="G1704" s="2" t="s">
        <v>32</v>
      </c>
      <c r="H1704" s="1"/>
      <c r="I1704" s="2" t="s">
        <v>33</v>
      </c>
      <c r="J1704" s="2" t="s">
        <v>34</v>
      </c>
      <c r="K1704" s="2" t="s">
        <v>10993</v>
      </c>
      <c r="L1704" s="2" t="s">
        <v>10994</v>
      </c>
      <c r="M1704" s="2" t="s">
        <v>7387</v>
      </c>
      <c r="N1704" s="2" t="s">
        <v>38</v>
      </c>
      <c r="O1704" s="2" t="s">
        <v>3048</v>
      </c>
      <c r="P1704" s="2" t="s">
        <v>4310</v>
      </c>
      <c r="Q1704" s="2" t="s">
        <v>10995</v>
      </c>
      <c r="R1704" s="2" t="s">
        <v>40</v>
      </c>
      <c r="S1704" s="2" t="s">
        <v>10996</v>
      </c>
      <c r="T1704" s="2" t="s">
        <v>10997</v>
      </c>
      <c r="U1704" s="2" t="s">
        <v>10998</v>
      </c>
      <c r="V1704" s="2" t="s">
        <v>10999</v>
      </c>
      <c r="W1704" s="1"/>
      <c r="X1704" s="2" t="s">
        <v>7648</v>
      </c>
      <c r="Y1704" s="2" t="s">
        <v>10854</v>
      </c>
      <c r="AA1704" t="str">
        <f t="shared" si="156"/>
        <v>2025-12</v>
      </c>
      <c r="AB1704" t="str">
        <f t="shared" si="157"/>
        <v/>
      </c>
      <c r="AC1704">
        <f t="shared" si="158"/>
        <v>3500517.7</v>
      </c>
      <c r="AD1704">
        <f t="shared" si="159"/>
        <v>366</v>
      </c>
      <c r="AE1704">
        <f t="shared" si="160"/>
        <v>571227.69999999995</v>
      </c>
      <c r="AF1704" t="str">
        <f t="shared" si="161"/>
        <v>Paid</v>
      </c>
    </row>
    <row r="1705" spans="1:32" ht="17.25" thickBot="1" x14ac:dyDescent="0.35">
      <c r="A1705" s="2" t="s">
        <v>11000</v>
      </c>
      <c r="B1705" s="2" t="s">
        <v>27</v>
      </c>
      <c r="C1705" s="2" t="s">
        <v>28</v>
      </c>
      <c r="D1705" s="2" t="s">
        <v>97</v>
      </c>
      <c r="E1705" s="2" t="s">
        <v>10848</v>
      </c>
      <c r="F1705" s="2" t="s">
        <v>8445</v>
      </c>
      <c r="G1705" s="2" t="s">
        <v>32</v>
      </c>
      <c r="H1705" s="1"/>
      <c r="I1705" s="2" t="s">
        <v>33</v>
      </c>
      <c r="J1705" s="2" t="s">
        <v>34</v>
      </c>
      <c r="K1705" s="2" t="s">
        <v>11001</v>
      </c>
      <c r="L1705" s="2" t="s">
        <v>11002</v>
      </c>
      <c r="M1705" s="2" t="s">
        <v>4189</v>
      </c>
      <c r="N1705" s="2" t="s">
        <v>38</v>
      </c>
      <c r="O1705" s="2" t="s">
        <v>517</v>
      </c>
      <c r="P1705" s="2" t="s">
        <v>7016</v>
      </c>
      <c r="Q1705" s="2" t="s">
        <v>11003</v>
      </c>
      <c r="R1705" s="2" t="s">
        <v>40</v>
      </c>
      <c r="S1705" s="2" t="s">
        <v>11004</v>
      </c>
      <c r="T1705" s="2" t="s">
        <v>4418</v>
      </c>
      <c r="U1705" s="2" t="s">
        <v>7019</v>
      </c>
      <c r="V1705" s="2" t="s">
        <v>11005</v>
      </c>
      <c r="W1705" s="1"/>
      <c r="X1705" s="2" t="s">
        <v>4206</v>
      </c>
      <c r="Y1705" s="2" t="s">
        <v>10854</v>
      </c>
      <c r="AA1705" t="str">
        <f t="shared" si="156"/>
        <v>2025-12</v>
      </c>
      <c r="AB1705" t="str">
        <f t="shared" si="157"/>
        <v/>
      </c>
      <c r="AC1705">
        <f t="shared" si="158"/>
        <v>1349942.88</v>
      </c>
      <c r="AD1705">
        <f t="shared" si="159"/>
        <v>120</v>
      </c>
      <c r="AE1705">
        <f t="shared" si="160"/>
        <v>209942.88</v>
      </c>
      <c r="AF1705" t="str">
        <f t="shared" si="161"/>
        <v>Paid</v>
      </c>
    </row>
    <row r="1706" spans="1:32" ht="17.25" thickBot="1" x14ac:dyDescent="0.35">
      <c r="A1706" s="2" t="s">
        <v>11006</v>
      </c>
      <c r="B1706" s="2" t="s">
        <v>27</v>
      </c>
      <c r="C1706" s="2" t="s">
        <v>28</v>
      </c>
      <c r="D1706" s="2" t="s">
        <v>97</v>
      </c>
      <c r="E1706" s="2" t="s">
        <v>10848</v>
      </c>
      <c r="F1706" s="2" t="s">
        <v>8445</v>
      </c>
      <c r="G1706" s="2" t="s">
        <v>32</v>
      </c>
      <c r="H1706" s="1"/>
      <c r="I1706" s="2" t="s">
        <v>33</v>
      </c>
      <c r="J1706" s="2" t="s">
        <v>34</v>
      </c>
      <c r="K1706" s="2" t="s">
        <v>11007</v>
      </c>
      <c r="L1706" s="2" t="s">
        <v>11008</v>
      </c>
      <c r="M1706" s="2" t="s">
        <v>4189</v>
      </c>
      <c r="N1706" s="2" t="s">
        <v>38</v>
      </c>
      <c r="O1706" s="2" t="s">
        <v>174</v>
      </c>
      <c r="P1706" s="2" t="s">
        <v>5876</v>
      </c>
      <c r="Q1706" s="2" t="s">
        <v>11009</v>
      </c>
      <c r="R1706" s="2" t="s">
        <v>40</v>
      </c>
      <c r="S1706" s="2" t="s">
        <v>11010</v>
      </c>
      <c r="T1706" s="2" t="s">
        <v>11011</v>
      </c>
      <c r="U1706" s="2" t="s">
        <v>11012</v>
      </c>
      <c r="V1706" s="2" t="s">
        <v>11013</v>
      </c>
      <c r="W1706" s="1"/>
      <c r="X1706" s="2" t="s">
        <v>11014</v>
      </c>
      <c r="Y1706" s="2" t="s">
        <v>10854</v>
      </c>
      <c r="AA1706" t="str">
        <f t="shared" si="156"/>
        <v>2025-12</v>
      </c>
      <c r="AB1706" t="str">
        <f t="shared" si="157"/>
        <v/>
      </c>
      <c r="AC1706">
        <f t="shared" si="158"/>
        <v>163197.32</v>
      </c>
      <c r="AD1706">
        <f t="shared" si="159"/>
        <v>22</v>
      </c>
      <c r="AE1706">
        <f t="shared" si="160"/>
        <v>25257.32</v>
      </c>
      <c r="AF1706" t="str">
        <f t="shared" si="161"/>
        <v>Paid</v>
      </c>
    </row>
    <row r="1707" spans="1:32" ht="27.75" thickBot="1" x14ac:dyDescent="0.35">
      <c r="A1707" s="2" t="s">
        <v>11015</v>
      </c>
      <c r="B1707" s="2" t="s">
        <v>27</v>
      </c>
      <c r="C1707" s="2" t="s">
        <v>28</v>
      </c>
      <c r="D1707" s="2" t="s">
        <v>97</v>
      </c>
      <c r="E1707" s="2" t="s">
        <v>10848</v>
      </c>
      <c r="F1707" s="2" t="s">
        <v>8445</v>
      </c>
      <c r="G1707" s="2" t="s">
        <v>32</v>
      </c>
      <c r="H1707" s="1"/>
      <c r="I1707" s="2" t="s">
        <v>33</v>
      </c>
      <c r="J1707" s="2" t="s">
        <v>34</v>
      </c>
      <c r="K1707" s="2" t="s">
        <v>11016</v>
      </c>
      <c r="L1707" s="2" t="s">
        <v>11017</v>
      </c>
      <c r="M1707" s="2" t="s">
        <v>4189</v>
      </c>
      <c r="N1707" s="2" t="s">
        <v>38</v>
      </c>
      <c r="O1707" s="2" t="s">
        <v>1333</v>
      </c>
      <c r="P1707" s="2" t="s">
        <v>11018</v>
      </c>
      <c r="Q1707" s="2" t="s">
        <v>11019</v>
      </c>
      <c r="R1707" s="2" t="s">
        <v>40</v>
      </c>
      <c r="S1707" s="2" t="s">
        <v>11020</v>
      </c>
      <c r="T1707" s="2" t="s">
        <v>11021</v>
      </c>
      <c r="U1707" s="2" t="s">
        <v>6832</v>
      </c>
      <c r="V1707" s="2" t="s">
        <v>11022</v>
      </c>
      <c r="W1707" s="1"/>
      <c r="X1707" s="2" t="s">
        <v>4206</v>
      </c>
      <c r="Y1707" s="2" t="s">
        <v>10854</v>
      </c>
      <c r="AA1707" t="str">
        <f t="shared" si="156"/>
        <v>2025-12</v>
      </c>
      <c r="AB1707" t="str">
        <f t="shared" si="157"/>
        <v/>
      </c>
      <c r="AC1707">
        <f t="shared" si="158"/>
        <v>270075</v>
      </c>
      <c r="AD1707">
        <f t="shared" si="159"/>
        <v>150</v>
      </c>
      <c r="AE1707">
        <f t="shared" si="160"/>
        <v>42075</v>
      </c>
      <c r="AF1707" t="str">
        <f t="shared" si="161"/>
        <v>Paid</v>
      </c>
    </row>
    <row r="1708" spans="1:32" ht="27.75" thickBot="1" x14ac:dyDescent="0.35">
      <c r="A1708" s="2" t="s">
        <v>11023</v>
      </c>
      <c r="B1708" s="2" t="s">
        <v>27</v>
      </c>
      <c r="C1708" s="2" t="s">
        <v>28</v>
      </c>
      <c r="D1708" s="2" t="s">
        <v>97</v>
      </c>
      <c r="E1708" s="2" t="s">
        <v>10848</v>
      </c>
      <c r="F1708" s="2" t="s">
        <v>8445</v>
      </c>
      <c r="G1708" s="2" t="s">
        <v>32</v>
      </c>
      <c r="H1708" s="1"/>
      <c r="I1708" s="2" t="s">
        <v>33</v>
      </c>
      <c r="J1708" s="2" t="s">
        <v>34</v>
      </c>
      <c r="K1708" s="2" t="s">
        <v>11024</v>
      </c>
      <c r="L1708" s="2" t="s">
        <v>11025</v>
      </c>
      <c r="M1708" s="2" t="s">
        <v>4189</v>
      </c>
      <c r="N1708" s="2" t="s">
        <v>38</v>
      </c>
      <c r="O1708" s="2" t="s">
        <v>1333</v>
      </c>
      <c r="P1708" s="2" t="s">
        <v>11018</v>
      </c>
      <c r="Q1708" s="2" t="s">
        <v>11019</v>
      </c>
      <c r="R1708" s="2" t="s">
        <v>40</v>
      </c>
      <c r="S1708" s="2" t="s">
        <v>11020</v>
      </c>
      <c r="T1708" s="2" t="s">
        <v>11021</v>
      </c>
      <c r="U1708" s="2" t="s">
        <v>6832</v>
      </c>
      <c r="V1708" s="2" t="s">
        <v>11022</v>
      </c>
      <c r="W1708" s="1"/>
      <c r="X1708" s="2" t="s">
        <v>4206</v>
      </c>
      <c r="Y1708" s="2" t="s">
        <v>10854</v>
      </c>
      <c r="AA1708" t="str">
        <f t="shared" si="156"/>
        <v>2025-12</v>
      </c>
      <c r="AB1708" t="str">
        <f t="shared" si="157"/>
        <v/>
      </c>
      <c r="AC1708">
        <f t="shared" si="158"/>
        <v>270075</v>
      </c>
      <c r="AD1708">
        <f t="shared" si="159"/>
        <v>150</v>
      </c>
      <c r="AE1708">
        <f t="shared" si="160"/>
        <v>42075</v>
      </c>
      <c r="AF1708" t="str">
        <f t="shared" si="161"/>
        <v>Paid</v>
      </c>
    </row>
    <row r="1709" spans="1:32" ht="17.25" thickBot="1" x14ac:dyDescent="0.35">
      <c r="A1709" s="2" t="s">
        <v>11026</v>
      </c>
      <c r="B1709" s="2" t="s">
        <v>27</v>
      </c>
      <c r="C1709" s="2" t="s">
        <v>28</v>
      </c>
      <c r="D1709" s="2" t="s">
        <v>97</v>
      </c>
      <c r="E1709" s="2" t="s">
        <v>10848</v>
      </c>
      <c r="F1709" s="2" t="s">
        <v>8445</v>
      </c>
      <c r="G1709" s="2" t="s">
        <v>32</v>
      </c>
      <c r="H1709" s="1"/>
      <c r="I1709" s="2" t="s">
        <v>33</v>
      </c>
      <c r="J1709" s="2" t="s">
        <v>34</v>
      </c>
      <c r="K1709" s="2" t="s">
        <v>11027</v>
      </c>
      <c r="L1709" s="2" t="s">
        <v>11028</v>
      </c>
      <c r="M1709" s="2" t="s">
        <v>4189</v>
      </c>
      <c r="N1709" s="2" t="s">
        <v>38</v>
      </c>
      <c r="O1709" s="2" t="s">
        <v>156</v>
      </c>
      <c r="P1709" s="2" t="s">
        <v>11029</v>
      </c>
      <c r="Q1709" s="2" t="s">
        <v>11030</v>
      </c>
      <c r="R1709" s="2" t="s">
        <v>40</v>
      </c>
      <c r="S1709" s="2" t="s">
        <v>11031</v>
      </c>
      <c r="T1709" s="2" t="s">
        <v>11032</v>
      </c>
      <c r="U1709" s="2" t="s">
        <v>7924</v>
      </c>
      <c r="V1709" s="2" t="s">
        <v>11033</v>
      </c>
      <c r="W1709" s="1"/>
      <c r="X1709" s="2" t="s">
        <v>4206</v>
      </c>
      <c r="Y1709" s="2" t="s">
        <v>10854</v>
      </c>
      <c r="AA1709" t="str">
        <f t="shared" si="156"/>
        <v>2025-12</v>
      </c>
      <c r="AB1709" t="str">
        <f t="shared" si="157"/>
        <v/>
      </c>
      <c r="AC1709">
        <f t="shared" si="158"/>
        <v>207129.52</v>
      </c>
      <c r="AD1709">
        <f t="shared" si="159"/>
        <v>20</v>
      </c>
      <c r="AE1709">
        <f t="shared" si="160"/>
        <v>32329.52</v>
      </c>
      <c r="AF1709" t="str">
        <f t="shared" si="161"/>
        <v>Paid</v>
      </c>
    </row>
    <row r="1710" spans="1:32" ht="17.25" thickBot="1" x14ac:dyDescent="0.35">
      <c r="A1710" s="2" t="s">
        <v>11034</v>
      </c>
      <c r="B1710" s="2" t="s">
        <v>27</v>
      </c>
      <c r="C1710" s="2" t="s">
        <v>28</v>
      </c>
      <c r="D1710" s="2" t="s">
        <v>97</v>
      </c>
      <c r="E1710" s="2" t="s">
        <v>10848</v>
      </c>
      <c r="F1710" s="2" t="s">
        <v>8445</v>
      </c>
      <c r="G1710" s="2" t="s">
        <v>32</v>
      </c>
      <c r="H1710" s="1"/>
      <c r="I1710" s="2" t="s">
        <v>33</v>
      </c>
      <c r="J1710" s="2" t="s">
        <v>34</v>
      </c>
      <c r="K1710" s="2" t="s">
        <v>3905</v>
      </c>
      <c r="L1710" s="2" t="s">
        <v>3906</v>
      </c>
      <c r="M1710" s="2" t="s">
        <v>701</v>
      </c>
      <c r="N1710" s="2" t="s">
        <v>38</v>
      </c>
      <c r="O1710" s="2" t="s">
        <v>1951</v>
      </c>
      <c r="P1710" s="2" t="s">
        <v>4928</v>
      </c>
      <c r="Q1710" s="2" t="s">
        <v>2694</v>
      </c>
      <c r="R1710" s="2" t="s">
        <v>40</v>
      </c>
      <c r="S1710" s="2" t="s">
        <v>11035</v>
      </c>
      <c r="T1710" s="2" t="s">
        <v>3015</v>
      </c>
      <c r="U1710" s="2" t="s">
        <v>11036</v>
      </c>
      <c r="V1710" s="2" t="s">
        <v>11037</v>
      </c>
      <c r="W1710" s="1"/>
      <c r="X1710" s="2" t="s">
        <v>709</v>
      </c>
      <c r="Y1710" s="2" t="s">
        <v>11038</v>
      </c>
      <c r="AA1710" t="str">
        <f t="shared" si="156"/>
        <v>2025-12</v>
      </c>
      <c r="AB1710" t="str">
        <f t="shared" si="157"/>
        <v/>
      </c>
      <c r="AC1710">
        <f t="shared" si="158"/>
        <v>5698440</v>
      </c>
      <c r="AD1710">
        <f t="shared" si="159"/>
        <v>600</v>
      </c>
      <c r="AE1710">
        <f t="shared" si="160"/>
        <v>910440</v>
      </c>
      <c r="AF1710" t="str">
        <f t="shared" si="161"/>
        <v>Paid</v>
      </c>
    </row>
    <row r="1711" spans="1:32" ht="17.25" thickBot="1" x14ac:dyDescent="0.35">
      <c r="A1711" s="2" t="s">
        <v>11039</v>
      </c>
      <c r="B1711" s="2" t="s">
        <v>27</v>
      </c>
      <c r="C1711" s="2" t="s">
        <v>28</v>
      </c>
      <c r="D1711" s="2" t="s">
        <v>97</v>
      </c>
      <c r="E1711" s="2" t="s">
        <v>10848</v>
      </c>
      <c r="F1711" s="2" t="s">
        <v>8445</v>
      </c>
      <c r="G1711" s="2" t="s">
        <v>32</v>
      </c>
      <c r="H1711" s="1"/>
      <c r="I1711" s="2" t="s">
        <v>33</v>
      </c>
      <c r="J1711" s="2" t="s">
        <v>34</v>
      </c>
      <c r="K1711" s="2" t="s">
        <v>10598</v>
      </c>
      <c r="L1711" s="2" t="s">
        <v>10599</v>
      </c>
      <c r="M1711" s="2" t="s">
        <v>701</v>
      </c>
      <c r="N1711" s="2" t="s">
        <v>38</v>
      </c>
      <c r="O1711" s="2" t="s">
        <v>1914</v>
      </c>
      <c r="P1711" s="2" t="s">
        <v>10600</v>
      </c>
      <c r="Q1711" s="2" t="s">
        <v>11040</v>
      </c>
      <c r="R1711" s="2" t="s">
        <v>40</v>
      </c>
      <c r="S1711" s="2" t="s">
        <v>11041</v>
      </c>
      <c r="T1711" s="2" t="s">
        <v>1444</v>
      </c>
      <c r="U1711" s="2" t="s">
        <v>11042</v>
      </c>
      <c r="V1711" s="2" t="s">
        <v>11043</v>
      </c>
      <c r="W1711" s="1"/>
      <c r="X1711" s="2" t="s">
        <v>3903</v>
      </c>
      <c r="Y1711" s="2" t="s">
        <v>11038</v>
      </c>
      <c r="AA1711" t="str">
        <f t="shared" si="156"/>
        <v>2025-12</v>
      </c>
      <c r="AB1711" t="str">
        <f t="shared" si="157"/>
        <v/>
      </c>
      <c r="AC1711">
        <f t="shared" si="158"/>
        <v>5853852</v>
      </c>
      <c r="AD1711">
        <f t="shared" si="159"/>
        <v>900</v>
      </c>
      <c r="AE1711">
        <f t="shared" si="160"/>
        <v>939852</v>
      </c>
      <c r="AF1711" t="str">
        <f t="shared" si="161"/>
        <v>Paid</v>
      </c>
    </row>
    <row r="1712" spans="1:32" ht="17.25" thickBot="1" x14ac:dyDescent="0.35">
      <c r="A1712" s="2" t="s">
        <v>11044</v>
      </c>
      <c r="B1712" s="2" t="s">
        <v>27</v>
      </c>
      <c r="C1712" s="2" t="s">
        <v>28</v>
      </c>
      <c r="D1712" s="2" t="s">
        <v>97</v>
      </c>
      <c r="E1712" s="2" t="s">
        <v>10848</v>
      </c>
      <c r="F1712" s="2" t="s">
        <v>8445</v>
      </c>
      <c r="G1712" s="2" t="s">
        <v>32</v>
      </c>
      <c r="H1712" s="1"/>
      <c r="I1712" s="2" t="s">
        <v>33</v>
      </c>
      <c r="J1712" s="2" t="s">
        <v>34</v>
      </c>
      <c r="K1712" s="2" t="s">
        <v>699</v>
      </c>
      <c r="L1712" s="2" t="s">
        <v>700</v>
      </c>
      <c r="M1712" s="2" t="s">
        <v>701</v>
      </c>
      <c r="N1712" s="2" t="s">
        <v>38</v>
      </c>
      <c r="O1712" s="2" t="s">
        <v>3068</v>
      </c>
      <c r="P1712" s="2" t="s">
        <v>7296</v>
      </c>
      <c r="Q1712" s="2" t="s">
        <v>11045</v>
      </c>
      <c r="R1712" s="2" t="s">
        <v>40</v>
      </c>
      <c r="S1712" s="2" t="s">
        <v>11046</v>
      </c>
      <c r="T1712" s="2" t="s">
        <v>706</v>
      </c>
      <c r="U1712" s="2" t="s">
        <v>11047</v>
      </c>
      <c r="V1712" s="2" t="s">
        <v>11048</v>
      </c>
      <c r="W1712" s="1"/>
      <c r="X1712" s="2" t="s">
        <v>709</v>
      </c>
      <c r="Y1712" s="2" t="s">
        <v>11038</v>
      </c>
      <c r="AA1712" t="str">
        <f t="shared" si="156"/>
        <v>2025-12</v>
      </c>
      <c r="AB1712" t="str">
        <f t="shared" si="157"/>
        <v/>
      </c>
      <c r="AC1712">
        <f t="shared" si="158"/>
        <v>7000735</v>
      </c>
      <c r="AD1712">
        <f t="shared" si="159"/>
        <v>700</v>
      </c>
      <c r="AE1712">
        <f t="shared" si="160"/>
        <v>1120735</v>
      </c>
      <c r="AF1712" t="str">
        <f t="shared" si="161"/>
        <v>Paid</v>
      </c>
    </row>
    <row r="1713" spans="1:32" ht="17.25" thickBot="1" x14ac:dyDescent="0.35">
      <c r="A1713" s="2" t="s">
        <v>11049</v>
      </c>
      <c r="B1713" s="2" t="s">
        <v>27</v>
      </c>
      <c r="C1713" s="2" t="s">
        <v>28</v>
      </c>
      <c r="D1713" s="2" t="s">
        <v>97</v>
      </c>
      <c r="E1713" s="2" t="s">
        <v>10848</v>
      </c>
      <c r="F1713" s="2" t="s">
        <v>8445</v>
      </c>
      <c r="G1713" s="2" t="s">
        <v>32</v>
      </c>
      <c r="H1713" s="1"/>
      <c r="I1713" s="2" t="s">
        <v>33</v>
      </c>
      <c r="J1713" s="2" t="s">
        <v>34</v>
      </c>
      <c r="K1713" s="2" t="s">
        <v>3930</v>
      </c>
      <c r="L1713" s="2" t="s">
        <v>3931</v>
      </c>
      <c r="M1713" s="2" t="s">
        <v>701</v>
      </c>
      <c r="N1713" s="2" t="s">
        <v>38</v>
      </c>
      <c r="O1713" s="2" t="s">
        <v>221</v>
      </c>
      <c r="P1713" s="2" t="s">
        <v>10620</v>
      </c>
      <c r="Q1713" s="2" t="s">
        <v>11050</v>
      </c>
      <c r="R1713" s="2" t="s">
        <v>40</v>
      </c>
      <c r="S1713" s="2" t="s">
        <v>11051</v>
      </c>
      <c r="T1713" s="2" t="s">
        <v>3936</v>
      </c>
      <c r="U1713" s="2" t="s">
        <v>11052</v>
      </c>
      <c r="V1713" s="2" t="s">
        <v>11053</v>
      </c>
      <c r="W1713" s="1"/>
      <c r="X1713" s="2" t="s">
        <v>709</v>
      </c>
      <c r="Y1713" s="2" t="s">
        <v>11038</v>
      </c>
      <c r="AA1713" t="str">
        <f t="shared" si="156"/>
        <v>2025-12</v>
      </c>
      <c r="AB1713" t="str">
        <f t="shared" si="157"/>
        <v/>
      </c>
      <c r="AC1713">
        <f t="shared" si="158"/>
        <v>2379242.6</v>
      </c>
      <c r="AD1713">
        <f t="shared" si="159"/>
        <v>140</v>
      </c>
      <c r="AE1713">
        <f t="shared" si="160"/>
        <v>380042.6</v>
      </c>
      <c r="AF1713" t="str">
        <f t="shared" si="161"/>
        <v>Paid</v>
      </c>
    </row>
    <row r="1714" spans="1:32" ht="17.25" thickBot="1" x14ac:dyDescent="0.35">
      <c r="A1714" s="2" t="s">
        <v>11054</v>
      </c>
      <c r="B1714" s="2" t="s">
        <v>27</v>
      </c>
      <c r="C1714" s="2" t="s">
        <v>28</v>
      </c>
      <c r="D1714" s="2" t="s">
        <v>97</v>
      </c>
      <c r="E1714" s="2" t="s">
        <v>10848</v>
      </c>
      <c r="F1714" s="2" t="s">
        <v>8445</v>
      </c>
      <c r="G1714" s="2" t="s">
        <v>32</v>
      </c>
      <c r="H1714" s="1"/>
      <c r="I1714" s="2" t="s">
        <v>33</v>
      </c>
      <c r="J1714" s="2" t="s">
        <v>34</v>
      </c>
      <c r="K1714" s="2" t="s">
        <v>3940</v>
      </c>
      <c r="L1714" s="2" t="s">
        <v>3941</v>
      </c>
      <c r="M1714" s="2" t="s">
        <v>701</v>
      </c>
      <c r="N1714" s="2" t="s">
        <v>38</v>
      </c>
      <c r="O1714" s="2" t="s">
        <v>11055</v>
      </c>
      <c r="P1714" s="2" t="s">
        <v>10626</v>
      </c>
      <c r="Q1714" s="2" t="s">
        <v>11056</v>
      </c>
      <c r="R1714" s="2" t="s">
        <v>40</v>
      </c>
      <c r="S1714" s="2" t="s">
        <v>11057</v>
      </c>
      <c r="T1714" s="2" t="s">
        <v>726</v>
      </c>
      <c r="U1714" s="2" t="s">
        <v>11058</v>
      </c>
      <c r="V1714" s="2" t="s">
        <v>11059</v>
      </c>
      <c r="W1714" s="1"/>
      <c r="X1714" s="2" t="s">
        <v>709</v>
      </c>
      <c r="Y1714" s="2" t="s">
        <v>11038</v>
      </c>
      <c r="AA1714" t="str">
        <f t="shared" si="156"/>
        <v>2025-12</v>
      </c>
      <c r="AB1714" t="str">
        <f t="shared" si="157"/>
        <v/>
      </c>
      <c r="AC1714">
        <f t="shared" si="158"/>
        <v>16158531</v>
      </c>
      <c r="AD1714">
        <f t="shared" si="159"/>
        <v>1900</v>
      </c>
      <c r="AE1714">
        <f t="shared" si="160"/>
        <v>2592531</v>
      </c>
      <c r="AF1714" t="str">
        <f t="shared" si="161"/>
        <v>Paid</v>
      </c>
    </row>
    <row r="1715" spans="1:32" ht="17.25" thickBot="1" x14ac:dyDescent="0.35">
      <c r="A1715" s="2" t="s">
        <v>11060</v>
      </c>
      <c r="B1715" s="2" t="s">
        <v>27</v>
      </c>
      <c r="C1715" s="2" t="s">
        <v>28</v>
      </c>
      <c r="D1715" s="2" t="s">
        <v>97</v>
      </c>
      <c r="E1715" s="2" t="s">
        <v>10848</v>
      </c>
      <c r="F1715" s="2" t="s">
        <v>8445</v>
      </c>
      <c r="G1715" s="2" t="s">
        <v>32</v>
      </c>
      <c r="H1715" s="1"/>
      <c r="I1715" s="2" t="s">
        <v>33</v>
      </c>
      <c r="J1715" s="2" t="s">
        <v>34</v>
      </c>
      <c r="K1715" s="2" t="s">
        <v>720</v>
      </c>
      <c r="L1715" s="2" t="s">
        <v>721</v>
      </c>
      <c r="M1715" s="2" t="s">
        <v>701</v>
      </c>
      <c r="N1715" s="2" t="s">
        <v>38</v>
      </c>
      <c r="O1715" s="2" t="s">
        <v>11061</v>
      </c>
      <c r="P1715" s="2" t="s">
        <v>10626</v>
      </c>
      <c r="Q1715" s="2" t="s">
        <v>11062</v>
      </c>
      <c r="R1715" s="2" t="s">
        <v>40</v>
      </c>
      <c r="S1715" s="2" t="s">
        <v>11063</v>
      </c>
      <c r="T1715" s="2" t="s">
        <v>726</v>
      </c>
      <c r="U1715" s="2" t="s">
        <v>3927</v>
      </c>
      <c r="V1715" s="2" t="s">
        <v>11064</v>
      </c>
      <c r="W1715" s="1"/>
      <c r="X1715" s="2" t="s">
        <v>709</v>
      </c>
      <c r="Y1715" s="2" t="s">
        <v>11038</v>
      </c>
      <c r="AA1715" t="str">
        <f t="shared" si="156"/>
        <v>2025-12</v>
      </c>
      <c r="AB1715" t="str">
        <f t="shared" si="157"/>
        <v/>
      </c>
      <c r="AC1715">
        <f t="shared" si="158"/>
        <v>30616164</v>
      </c>
      <c r="AD1715">
        <f t="shared" si="159"/>
        <v>3600</v>
      </c>
      <c r="AE1715">
        <f t="shared" si="160"/>
        <v>4912164</v>
      </c>
      <c r="AF1715" t="str">
        <f t="shared" si="161"/>
        <v>Paid</v>
      </c>
    </row>
    <row r="1716" spans="1:32" ht="17.25" thickBot="1" x14ac:dyDescent="0.35">
      <c r="A1716" s="2" t="s">
        <v>11065</v>
      </c>
      <c r="B1716" s="2" t="s">
        <v>27</v>
      </c>
      <c r="C1716" s="2" t="s">
        <v>28</v>
      </c>
      <c r="D1716" s="2" t="s">
        <v>97</v>
      </c>
      <c r="E1716" s="2" t="s">
        <v>10848</v>
      </c>
      <c r="F1716" s="2" t="s">
        <v>8445</v>
      </c>
      <c r="G1716" s="2" t="s">
        <v>32</v>
      </c>
      <c r="H1716" s="1"/>
      <c r="I1716" s="2" t="s">
        <v>33</v>
      </c>
      <c r="J1716" s="2" t="s">
        <v>34</v>
      </c>
      <c r="K1716" s="2" t="s">
        <v>754</v>
      </c>
      <c r="L1716" s="2" t="s">
        <v>755</v>
      </c>
      <c r="M1716" s="2" t="s">
        <v>701</v>
      </c>
      <c r="N1716" s="2" t="s">
        <v>38</v>
      </c>
      <c r="O1716" s="2" t="s">
        <v>831</v>
      </c>
      <c r="P1716" s="2" t="s">
        <v>6284</v>
      </c>
      <c r="Q1716" s="2" t="s">
        <v>11066</v>
      </c>
      <c r="R1716" s="2" t="s">
        <v>40</v>
      </c>
      <c r="S1716" s="2" t="s">
        <v>11067</v>
      </c>
      <c r="T1716" s="2" t="s">
        <v>759</v>
      </c>
      <c r="U1716" s="2" t="s">
        <v>11068</v>
      </c>
      <c r="V1716" s="2" t="s">
        <v>11069</v>
      </c>
      <c r="W1716" s="1"/>
      <c r="X1716" s="2" t="s">
        <v>5168</v>
      </c>
      <c r="Y1716" s="2" t="s">
        <v>11038</v>
      </c>
      <c r="AA1716" t="str">
        <f t="shared" si="156"/>
        <v>2025-12</v>
      </c>
      <c r="AB1716" t="str">
        <f t="shared" si="157"/>
        <v/>
      </c>
      <c r="AC1716">
        <f t="shared" si="158"/>
        <v>8993750</v>
      </c>
      <c r="AD1716">
        <f t="shared" si="159"/>
        <v>1000</v>
      </c>
      <c r="AE1716">
        <f t="shared" si="160"/>
        <v>1433750</v>
      </c>
      <c r="AF1716" t="str">
        <f t="shared" si="161"/>
        <v>Paid</v>
      </c>
    </row>
    <row r="1717" spans="1:32" ht="17.25" thickBot="1" x14ac:dyDescent="0.35">
      <c r="A1717" s="2" t="s">
        <v>11070</v>
      </c>
      <c r="B1717" s="2" t="s">
        <v>27</v>
      </c>
      <c r="C1717" s="2" t="s">
        <v>28</v>
      </c>
      <c r="D1717" s="2" t="s">
        <v>97</v>
      </c>
      <c r="E1717" s="2" t="s">
        <v>10848</v>
      </c>
      <c r="F1717" s="2" t="s">
        <v>8445</v>
      </c>
      <c r="G1717" s="2" t="s">
        <v>32</v>
      </c>
      <c r="H1717" s="1"/>
      <c r="I1717" s="2" t="s">
        <v>33</v>
      </c>
      <c r="J1717" s="2" t="s">
        <v>34</v>
      </c>
      <c r="K1717" s="2" t="s">
        <v>6331</v>
      </c>
      <c r="L1717" s="2" t="s">
        <v>6332</v>
      </c>
      <c r="M1717" s="2" t="s">
        <v>701</v>
      </c>
      <c r="N1717" s="2" t="s">
        <v>38</v>
      </c>
      <c r="O1717" s="2" t="s">
        <v>831</v>
      </c>
      <c r="P1717" s="2" t="s">
        <v>6284</v>
      </c>
      <c r="Q1717" s="2" t="s">
        <v>11066</v>
      </c>
      <c r="R1717" s="2" t="s">
        <v>40</v>
      </c>
      <c r="S1717" s="2" t="s">
        <v>11067</v>
      </c>
      <c r="T1717" s="2" t="s">
        <v>759</v>
      </c>
      <c r="U1717" s="2" t="s">
        <v>11068</v>
      </c>
      <c r="V1717" s="2" t="s">
        <v>11069</v>
      </c>
      <c r="W1717" s="1"/>
      <c r="X1717" s="2" t="s">
        <v>5168</v>
      </c>
      <c r="Y1717" s="2" t="s">
        <v>11038</v>
      </c>
      <c r="AA1717" t="str">
        <f t="shared" si="156"/>
        <v>2025-12</v>
      </c>
      <c r="AB1717" t="str">
        <f t="shared" si="157"/>
        <v/>
      </c>
      <c r="AC1717">
        <f t="shared" si="158"/>
        <v>8993750</v>
      </c>
      <c r="AD1717">
        <f t="shared" si="159"/>
        <v>1000</v>
      </c>
      <c r="AE1717">
        <f t="shared" si="160"/>
        <v>1433750</v>
      </c>
      <c r="AF1717" t="str">
        <f t="shared" si="161"/>
        <v>Paid</v>
      </c>
    </row>
    <row r="1718" spans="1:32" ht="17.25" thickBot="1" x14ac:dyDescent="0.35">
      <c r="A1718" s="2" t="s">
        <v>11071</v>
      </c>
      <c r="B1718" s="2" t="s">
        <v>27</v>
      </c>
      <c r="C1718" s="2" t="s">
        <v>28</v>
      </c>
      <c r="D1718" s="2" t="s">
        <v>97</v>
      </c>
      <c r="E1718" s="2" t="s">
        <v>10848</v>
      </c>
      <c r="F1718" s="2" t="s">
        <v>8445</v>
      </c>
      <c r="G1718" s="2" t="s">
        <v>32</v>
      </c>
      <c r="H1718" s="1"/>
      <c r="I1718" s="2" t="s">
        <v>33</v>
      </c>
      <c r="J1718" s="2" t="s">
        <v>34</v>
      </c>
      <c r="K1718" s="2" t="s">
        <v>8322</v>
      </c>
      <c r="L1718" s="2" t="s">
        <v>8323</v>
      </c>
      <c r="M1718" s="2" t="s">
        <v>701</v>
      </c>
      <c r="N1718" s="2" t="s">
        <v>38</v>
      </c>
      <c r="O1718" s="2" t="s">
        <v>214</v>
      </c>
      <c r="P1718" s="2" t="s">
        <v>1625</v>
      </c>
      <c r="Q1718" s="2" t="s">
        <v>11072</v>
      </c>
      <c r="R1718" s="2" t="s">
        <v>40</v>
      </c>
      <c r="S1718" s="2" t="s">
        <v>11073</v>
      </c>
      <c r="T1718" s="2" t="s">
        <v>8326</v>
      </c>
      <c r="U1718" s="2" t="s">
        <v>7209</v>
      </c>
      <c r="V1718" s="2" t="s">
        <v>11074</v>
      </c>
      <c r="W1718" s="1"/>
      <c r="X1718" s="2" t="s">
        <v>709</v>
      </c>
      <c r="Y1718" s="2" t="s">
        <v>11038</v>
      </c>
      <c r="AA1718" t="str">
        <f t="shared" si="156"/>
        <v>2025-12</v>
      </c>
      <c r="AB1718" t="str">
        <f t="shared" si="157"/>
        <v/>
      </c>
      <c r="AC1718">
        <f t="shared" si="158"/>
        <v>525235</v>
      </c>
      <c r="AD1718">
        <f t="shared" si="159"/>
        <v>50</v>
      </c>
      <c r="AE1718">
        <f t="shared" si="160"/>
        <v>84235</v>
      </c>
      <c r="AF1718" t="str">
        <f t="shared" si="161"/>
        <v>Paid</v>
      </c>
    </row>
    <row r="1719" spans="1:32" ht="17.25" thickBot="1" x14ac:dyDescent="0.35">
      <c r="A1719" s="2" t="s">
        <v>11075</v>
      </c>
      <c r="B1719" s="2" t="s">
        <v>27</v>
      </c>
      <c r="C1719" s="2" t="s">
        <v>28</v>
      </c>
      <c r="D1719" s="2" t="s">
        <v>97</v>
      </c>
      <c r="E1719" s="2" t="s">
        <v>11076</v>
      </c>
      <c r="F1719" s="2" t="s">
        <v>8445</v>
      </c>
      <c r="G1719" s="2" t="s">
        <v>32</v>
      </c>
      <c r="H1719" s="1"/>
      <c r="I1719" s="2" t="s">
        <v>33</v>
      </c>
      <c r="J1719" s="2" t="s">
        <v>34</v>
      </c>
      <c r="K1719" s="2" t="s">
        <v>10165</v>
      </c>
      <c r="L1719" s="2" t="s">
        <v>10166</v>
      </c>
      <c r="M1719" s="2" t="s">
        <v>7510</v>
      </c>
      <c r="N1719" s="2" t="s">
        <v>38</v>
      </c>
      <c r="O1719" s="2" t="s">
        <v>378</v>
      </c>
      <c r="P1719" s="2" t="s">
        <v>7644</v>
      </c>
      <c r="Q1719" s="2" t="s">
        <v>11077</v>
      </c>
      <c r="R1719" s="2" t="s">
        <v>40</v>
      </c>
      <c r="S1719" s="2" t="s">
        <v>11078</v>
      </c>
      <c r="T1719" s="2" t="s">
        <v>2101</v>
      </c>
      <c r="U1719" s="2" t="s">
        <v>11079</v>
      </c>
      <c r="V1719" s="2" t="s">
        <v>11080</v>
      </c>
      <c r="W1719" s="1"/>
      <c r="X1719" s="2" t="s">
        <v>796</v>
      </c>
      <c r="Y1719" s="2" t="s">
        <v>11081</v>
      </c>
      <c r="AA1719" t="str">
        <f t="shared" si="156"/>
        <v>2025-12</v>
      </c>
      <c r="AB1719" t="str">
        <f t="shared" si="157"/>
        <v/>
      </c>
      <c r="AC1719">
        <f t="shared" si="158"/>
        <v>410717.88</v>
      </c>
      <c r="AD1719">
        <f t="shared" si="159"/>
        <v>45</v>
      </c>
      <c r="AE1719">
        <f t="shared" si="160"/>
        <v>86717.88</v>
      </c>
      <c r="AF1719" t="str">
        <f t="shared" si="161"/>
        <v>Paid</v>
      </c>
    </row>
    <row r="1720" spans="1:32" ht="17.25" thickBot="1" x14ac:dyDescent="0.35">
      <c r="A1720" s="2" t="s">
        <v>11082</v>
      </c>
      <c r="B1720" s="2" t="s">
        <v>27</v>
      </c>
      <c r="C1720" s="2" t="s">
        <v>28</v>
      </c>
      <c r="D1720" s="2" t="s">
        <v>97</v>
      </c>
      <c r="E1720" s="2" t="s">
        <v>11076</v>
      </c>
      <c r="F1720" s="2" t="s">
        <v>8445</v>
      </c>
      <c r="G1720" s="2" t="s">
        <v>32</v>
      </c>
      <c r="H1720" s="1"/>
      <c r="I1720" s="2" t="s">
        <v>33</v>
      </c>
      <c r="J1720" s="2" t="s">
        <v>34</v>
      </c>
      <c r="K1720" s="2" t="s">
        <v>11083</v>
      </c>
      <c r="L1720" s="2" t="s">
        <v>11084</v>
      </c>
      <c r="M1720" s="2" t="s">
        <v>7510</v>
      </c>
      <c r="N1720" s="2" t="s">
        <v>38</v>
      </c>
      <c r="O1720" s="2" t="s">
        <v>378</v>
      </c>
      <c r="P1720" s="2" t="s">
        <v>7644</v>
      </c>
      <c r="Q1720" s="2" t="s">
        <v>11077</v>
      </c>
      <c r="R1720" s="2" t="s">
        <v>40</v>
      </c>
      <c r="S1720" s="2" t="s">
        <v>11078</v>
      </c>
      <c r="T1720" s="2" t="s">
        <v>2101</v>
      </c>
      <c r="U1720" s="2" t="s">
        <v>11079</v>
      </c>
      <c r="V1720" s="2" t="s">
        <v>11080</v>
      </c>
      <c r="W1720" s="1"/>
      <c r="X1720" s="2" t="s">
        <v>796</v>
      </c>
      <c r="Y1720" s="2" t="s">
        <v>11081</v>
      </c>
      <c r="AA1720" t="str">
        <f t="shared" si="156"/>
        <v>2025-12</v>
      </c>
      <c r="AB1720" t="str">
        <f t="shared" si="157"/>
        <v/>
      </c>
      <c r="AC1720">
        <f t="shared" si="158"/>
        <v>410717.88</v>
      </c>
      <c r="AD1720">
        <f t="shared" si="159"/>
        <v>45</v>
      </c>
      <c r="AE1720">
        <f t="shared" si="160"/>
        <v>86717.88</v>
      </c>
      <c r="AF1720" t="str">
        <f t="shared" si="161"/>
        <v>Paid</v>
      </c>
    </row>
    <row r="1721" spans="1:32" ht="17.25" thickBot="1" x14ac:dyDescent="0.35">
      <c r="A1721" s="2" t="s">
        <v>11085</v>
      </c>
      <c r="B1721" s="2" t="s">
        <v>27</v>
      </c>
      <c r="C1721" s="2" t="s">
        <v>28</v>
      </c>
      <c r="D1721" s="2" t="s">
        <v>97</v>
      </c>
      <c r="E1721" s="2" t="s">
        <v>11076</v>
      </c>
      <c r="F1721" s="2" t="s">
        <v>8445</v>
      </c>
      <c r="G1721" s="2" t="s">
        <v>32</v>
      </c>
      <c r="H1721" s="1"/>
      <c r="I1721" s="2" t="s">
        <v>33</v>
      </c>
      <c r="J1721" s="2" t="s">
        <v>34</v>
      </c>
      <c r="K1721" s="2" t="s">
        <v>10179</v>
      </c>
      <c r="L1721" s="2" t="s">
        <v>10180</v>
      </c>
      <c r="M1721" s="2" t="s">
        <v>7510</v>
      </c>
      <c r="N1721" s="2" t="s">
        <v>38</v>
      </c>
      <c r="O1721" s="2" t="s">
        <v>391</v>
      </c>
      <c r="P1721" s="2" t="s">
        <v>10181</v>
      </c>
      <c r="Q1721" s="2" t="s">
        <v>11086</v>
      </c>
      <c r="R1721" s="2" t="s">
        <v>40</v>
      </c>
      <c r="S1721" s="2" t="s">
        <v>11087</v>
      </c>
      <c r="T1721" s="2" t="s">
        <v>1747</v>
      </c>
      <c r="U1721" s="2" t="s">
        <v>1748</v>
      </c>
      <c r="V1721" s="2" t="s">
        <v>11088</v>
      </c>
      <c r="W1721" s="1"/>
      <c r="X1721" s="2" t="s">
        <v>796</v>
      </c>
      <c r="Y1721" s="2" t="s">
        <v>11081</v>
      </c>
      <c r="AA1721" t="str">
        <f t="shared" si="156"/>
        <v>2025-12</v>
      </c>
      <c r="AB1721" t="str">
        <f t="shared" si="157"/>
        <v/>
      </c>
      <c r="AC1721">
        <f t="shared" si="158"/>
        <v>684097.92</v>
      </c>
      <c r="AD1721">
        <f t="shared" si="159"/>
        <v>60</v>
      </c>
      <c r="AE1721">
        <f t="shared" si="160"/>
        <v>144097.92000000001</v>
      </c>
      <c r="AF1721" t="str">
        <f t="shared" si="161"/>
        <v>Paid</v>
      </c>
    </row>
    <row r="1722" spans="1:32" ht="17.25" thickBot="1" x14ac:dyDescent="0.35">
      <c r="A1722" s="2" t="s">
        <v>11089</v>
      </c>
      <c r="B1722" s="2" t="s">
        <v>27</v>
      </c>
      <c r="C1722" s="2" t="s">
        <v>28</v>
      </c>
      <c r="D1722" s="2" t="s">
        <v>97</v>
      </c>
      <c r="E1722" s="2" t="s">
        <v>11076</v>
      </c>
      <c r="F1722" s="2" t="s">
        <v>8445</v>
      </c>
      <c r="G1722" s="2" t="s">
        <v>32</v>
      </c>
      <c r="H1722" s="1"/>
      <c r="I1722" s="2" t="s">
        <v>33</v>
      </c>
      <c r="J1722" s="2" t="s">
        <v>34</v>
      </c>
      <c r="K1722" s="2" t="s">
        <v>11090</v>
      </c>
      <c r="L1722" s="2" t="s">
        <v>11091</v>
      </c>
      <c r="M1722" s="2" t="s">
        <v>7510</v>
      </c>
      <c r="N1722" s="2" t="s">
        <v>38</v>
      </c>
      <c r="O1722" s="2" t="s">
        <v>2379</v>
      </c>
      <c r="P1722" s="2" t="s">
        <v>1001</v>
      </c>
      <c r="Q1722" s="2" t="s">
        <v>11092</v>
      </c>
      <c r="R1722" s="2" t="s">
        <v>40</v>
      </c>
      <c r="S1722" s="2" t="s">
        <v>11093</v>
      </c>
      <c r="T1722" s="2" t="s">
        <v>2206</v>
      </c>
      <c r="U1722" s="2" t="s">
        <v>11094</v>
      </c>
      <c r="V1722" s="2" t="s">
        <v>11095</v>
      </c>
      <c r="W1722" s="1"/>
      <c r="X1722" s="2" t="s">
        <v>897</v>
      </c>
      <c r="Y1722" s="2" t="s">
        <v>11081</v>
      </c>
      <c r="AA1722" t="str">
        <f t="shared" si="156"/>
        <v>2025-12</v>
      </c>
      <c r="AB1722" t="str">
        <f t="shared" si="157"/>
        <v/>
      </c>
      <c r="AC1722">
        <f t="shared" si="158"/>
        <v>2844188.93</v>
      </c>
      <c r="AD1722">
        <f t="shared" si="159"/>
        <v>288</v>
      </c>
      <c r="AE1722">
        <f t="shared" si="160"/>
        <v>597788.93000000005</v>
      </c>
      <c r="AF1722" t="str">
        <f t="shared" si="161"/>
        <v>Paid</v>
      </c>
    </row>
    <row r="1723" spans="1:32" ht="17.25" thickBot="1" x14ac:dyDescent="0.35">
      <c r="A1723" s="2" t="s">
        <v>11096</v>
      </c>
      <c r="B1723" s="2" t="s">
        <v>27</v>
      </c>
      <c r="C1723" s="2" t="s">
        <v>28</v>
      </c>
      <c r="D1723" s="2" t="s">
        <v>97</v>
      </c>
      <c r="E1723" s="2" t="s">
        <v>11076</v>
      </c>
      <c r="F1723" s="2" t="s">
        <v>8445</v>
      </c>
      <c r="G1723" s="2" t="s">
        <v>32</v>
      </c>
      <c r="H1723" s="1"/>
      <c r="I1723" s="2" t="s">
        <v>33</v>
      </c>
      <c r="J1723" s="2" t="s">
        <v>34</v>
      </c>
      <c r="K1723" s="2" t="s">
        <v>7397</v>
      </c>
      <c r="L1723" s="2" t="s">
        <v>7398</v>
      </c>
      <c r="M1723" s="2" t="s">
        <v>772</v>
      </c>
      <c r="N1723" s="2" t="s">
        <v>38</v>
      </c>
      <c r="O1723" s="2" t="s">
        <v>149</v>
      </c>
      <c r="P1723" s="2" t="s">
        <v>11097</v>
      </c>
      <c r="Q1723" s="2" t="s">
        <v>11098</v>
      </c>
      <c r="R1723" s="2" t="s">
        <v>40</v>
      </c>
      <c r="S1723" s="2" t="s">
        <v>11099</v>
      </c>
      <c r="T1723" s="2" t="s">
        <v>5027</v>
      </c>
      <c r="U1723" s="2" t="s">
        <v>11100</v>
      </c>
      <c r="V1723" s="2" t="s">
        <v>11101</v>
      </c>
      <c r="W1723" s="1"/>
      <c r="X1723" s="2" t="s">
        <v>838</v>
      </c>
      <c r="Y1723" s="2" t="s">
        <v>11102</v>
      </c>
      <c r="AA1723" t="str">
        <f t="shared" si="156"/>
        <v>2025-12</v>
      </c>
      <c r="AB1723" t="str">
        <f t="shared" si="157"/>
        <v/>
      </c>
      <c r="AC1723">
        <f t="shared" si="158"/>
        <v>42659241.299999997</v>
      </c>
      <c r="AD1723">
        <f t="shared" si="159"/>
        <v>300</v>
      </c>
      <c r="AE1723">
        <f t="shared" si="160"/>
        <v>8909241.3000000007</v>
      </c>
      <c r="AF1723" t="str">
        <f t="shared" si="161"/>
        <v>Paid</v>
      </c>
    </row>
    <row r="1724" spans="1:32" ht="17.25" thickBot="1" x14ac:dyDescent="0.35">
      <c r="A1724" s="2" t="s">
        <v>11103</v>
      </c>
      <c r="B1724" s="2" t="s">
        <v>27</v>
      </c>
      <c r="C1724" s="2" t="s">
        <v>28</v>
      </c>
      <c r="D1724" s="2" t="s">
        <v>97</v>
      </c>
      <c r="E1724" s="2" t="s">
        <v>11076</v>
      </c>
      <c r="F1724" s="2" t="s">
        <v>8445</v>
      </c>
      <c r="G1724" s="2" t="s">
        <v>32</v>
      </c>
      <c r="H1724" s="1"/>
      <c r="I1724" s="2" t="s">
        <v>33</v>
      </c>
      <c r="J1724" s="2" t="s">
        <v>34</v>
      </c>
      <c r="K1724" s="2" t="s">
        <v>5032</v>
      </c>
      <c r="L1724" s="2" t="s">
        <v>5033</v>
      </c>
      <c r="M1724" s="2" t="s">
        <v>772</v>
      </c>
      <c r="N1724" s="2" t="s">
        <v>38</v>
      </c>
      <c r="O1724" s="2" t="s">
        <v>3068</v>
      </c>
      <c r="P1724" s="2" t="s">
        <v>11097</v>
      </c>
      <c r="Q1724" s="2" t="s">
        <v>11104</v>
      </c>
      <c r="R1724" s="2" t="s">
        <v>40</v>
      </c>
      <c r="S1724" s="2" t="s">
        <v>11105</v>
      </c>
      <c r="T1724" s="2" t="s">
        <v>5027</v>
      </c>
      <c r="U1724" s="2" t="s">
        <v>11106</v>
      </c>
      <c r="V1724" s="2" t="s">
        <v>11107</v>
      </c>
      <c r="W1724" s="1"/>
      <c r="X1724" s="2" t="s">
        <v>838</v>
      </c>
      <c r="Y1724" s="2" t="s">
        <v>11102</v>
      </c>
      <c r="AA1724" t="str">
        <f t="shared" si="156"/>
        <v>2025-12</v>
      </c>
      <c r="AB1724" t="str">
        <f t="shared" si="157"/>
        <v/>
      </c>
      <c r="AC1724">
        <f t="shared" si="158"/>
        <v>99538229.700000003</v>
      </c>
      <c r="AD1724">
        <f t="shared" si="159"/>
        <v>700</v>
      </c>
      <c r="AE1724">
        <f t="shared" si="160"/>
        <v>20788229.699999999</v>
      </c>
      <c r="AF1724" t="str">
        <f t="shared" si="161"/>
        <v>Paid</v>
      </c>
    </row>
    <row r="1725" spans="1:32" ht="17.25" thickBot="1" x14ac:dyDescent="0.35">
      <c r="A1725" s="2" t="s">
        <v>11108</v>
      </c>
      <c r="B1725" s="2" t="s">
        <v>27</v>
      </c>
      <c r="C1725" s="2" t="s">
        <v>28</v>
      </c>
      <c r="D1725" s="2" t="s">
        <v>97</v>
      </c>
      <c r="E1725" s="2" t="s">
        <v>11109</v>
      </c>
      <c r="F1725" s="2" t="s">
        <v>8445</v>
      </c>
      <c r="G1725" s="2" t="s">
        <v>32</v>
      </c>
      <c r="H1725" s="1"/>
      <c r="I1725" s="2" t="s">
        <v>33</v>
      </c>
      <c r="J1725" s="2" t="s">
        <v>34</v>
      </c>
      <c r="K1725" s="2" t="s">
        <v>2138</v>
      </c>
      <c r="L1725" s="2" t="s">
        <v>2139</v>
      </c>
      <c r="M1725" s="2" t="s">
        <v>2140</v>
      </c>
      <c r="N1725" s="2" t="s">
        <v>38</v>
      </c>
      <c r="O1725" s="2" t="s">
        <v>877</v>
      </c>
      <c r="P1725" s="2" t="s">
        <v>5461</v>
      </c>
      <c r="Q1725" s="2" t="s">
        <v>11110</v>
      </c>
      <c r="R1725" s="2" t="s">
        <v>40</v>
      </c>
      <c r="S1725" s="2" t="s">
        <v>11111</v>
      </c>
      <c r="T1725" s="2" t="s">
        <v>6908</v>
      </c>
      <c r="U1725" s="2" t="s">
        <v>11112</v>
      </c>
      <c r="V1725" s="2" t="s">
        <v>11113</v>
      </c>
      <c r="W1725" s="1"/>
      <c r="X1725" s="2" t="s">
        <v>796</v>
      </c>
      <c r="Y1725" s="2" t="s">
        <v>11114</v>
      </c>
      <c r="AA1725" t="str">
        <f t="shared" si="156"/>
        <v>2025-12</v>
      </c>
      <c r="AB1725" t="str">
        <f t="shared" si="157"/>
        <v/>
      </c>
      <c r="AC1725">
        <f t="shared" si="158"/>
        <v>951575.6</v>
      </c>
      <c r="AD1725">
        <f t="shared" si="159"/>
        <v>100</v>
      </c>
      <c r="AE1725">
        <f t="shared" si="160"/>
        <v>200666.51</v>
      </c>
      <c r="AF1725" t="str">
        <f t="shared" si="161"/>
        <v>Paid</v>
      </c>
    </row>
    <row r="1726" spans="1:32" ht="27.75" thickBot="1" x14ac:dyDescent="0.35">
      <c r="A1726" s="2" t="s">
        <v>11115</v>
      </c>
      <c r="B1726" s="2" t="s">
        <v>27</v>
      </c>
      <c r="C1726" s="2" t="s">
        <v>28</v>
      </c>
      <c r="D1726" s="2" t="s">
        <v>97</v>
      </c>
      <c r="E1726" s="2" t="s">
        <v>11109</v>
      </c>
      <c r="F1726" s="2" t="s">
        <v>8445</v>
      </c>
      <c r="G1726" s="2" t="s">
        <v>32</v>
      </c>
      <c r="H1726" s="1"/>
      <c r="I1726" s="2" t="s">
        <v>33</v>
      </c>
      <c r="J1726" s="2" t="s">
        <v>34</v>
      </c>
      <c r="K1726" s="2" t="s">
        <v>2175</v>
      </c>
      <c r="L1726" s="2" t="s">
        <v>2176</v>
      </c>
      <c r="M1726" s="2" t="s">
        <v>2140</v>
      </c>
      <c r="N1726" s="2" t="s">
        <v>38</v>
      </c>
      <c r="O1726" s="2" t="s">
        <v>557</v>
      </c>
      <c r="P1726" s="2" t="s">
        <v>790</v>
      </c>
      <c r="Q1726" s="2" t="s">
        <v>11116</v>
      </c>
      <c r="R1726" s="2" t="s">
        <v>40</v>
      </c>
      <c r="S1726" s="2" t="s">
        <v>11117</v>
      </c>
      <c r="T1726" s="2" t="s">
        <v>2171</v>
      </c>
      <c r="U1726" s="2" t="s">
        <v>11118</v>
      </c>
      <c r="V1726" s="2" t="s">
        <v>11119</v>
      </c>
      <c r="W1726" s="1"/>
      <c r="X1726" s="2" t="s">
        <v>300</v>
      </c>
      <c r="Y1726" s="2" t="s">
        <v>11114</v>
      </c>
      <c r="AA1726" t="str">
        <f t="shared" si="156"/>
        <v>2025-12</v>
      </c>
      <c r="AB1726" t="str">
        <f t="shared" si="157"/>
        <v/>
      </c>
      <c r="AC1726">
        <f t="shared" si="158"/>
        <v>80473.64</v>
      </c>
      <c r="AD1726">
        <f t="shared" si="159"/>
        <v>65</v>
      </c>
      <c r="AE1726">
        <f t="shared" si="160"/>
        <v>24337.279999999999</v>
      </c>
      <c r="AF1726" t="str">
        <f t="shared" si="161"/>
        <v>Paid</v>
      </c>
    </row>
    <row r="1727" spans="1:32" ht="17.25" thickBot="1" x14ac:dyDescent="0.35">
      <c r="A1727" s="2" t="s">
        <v>11120</v>
      </c>
      <c r="B1727" s="2" t="s">
        <v>27</v>
      </c>
      <c r="C1727" s="2" t="s">
        <v>28</v>
      </c>
      <c r="D1727" s="2" t="s">
        <v>97</v>
      </c>
      <c r="E1727" s="2" t="s">
        <v>11109</v>
      </c>
      <c r="F1727" s="2" t="s">
        <v>8445</v>
      </c>
      <c r="G1727" s="2" t="s">
        <v>32</v>
      </c>
      <c r="H1727" s="1"/>
      <c r="I1727" s="2" t="s">
        <v>33</v>
      </c>
      <c r="J1727" s="2" t="s">
        <v>34</v>
      </c>
      <c r="K1727" s="2" t="s">
        <v>8453</v>
      </c>
      <c r="L1727" s="2" t="s">
        <v>8454</v>
      </c>
      <c r="M1727" s="2" t="s">
        <v>2140</v>
      </c>
      <c r="N1727" s="2" t="s">
        <v>38</v>
      </c>
      <c r="O1727" s="2" t="s">
        <v>391</v>
      </c>
      <c r="P1727" s="2" t="s">
        <v>790</v>
      </c>
      <c r="Q1727" s="2" t="s">
        <v>9160</v>
      </c>
      <c r="R1727" s="2" t="s">
        <v>40</v>
      </c>
      <c r="S1727" s="2" t="s">
        <v>11121</v>
      </c>
      <c r="T1727" s="2" t="s">
        <v>2171</v>
      </c>
      <c r="U1727" s="2" t="s">
        <v>9180</v>
      </c>
      <c r="V1727" s="2" t="s">
        <v>11122</v>
      </c>
      <c r="W1727" s="1"/>
      <c r="X1727" s="2" t="s">
        <v>300</v>
      </c>
      <c r="Y1727" s="2" t="s">
        <v>11114</v>
      </c>
      <c r="AA1727" t="str">
        <f t="shared" si="156"/>
        <v>2025-12</v>
      </c>
      <c r="AB1727" t="str">
        <f t="shared" si="157"/>
        <v/>
      </c>
      <c r="AC1727">
        <f t="shared" si="158"/>
        <v>74283.360000000001</v>
      </c>
      <c r="AD1727">
        <f t="shared" si="159"/>
        <v>60</v>
      </c>
      <c r="AE1727">
        <f t="shared" si="160"/>
        <v>22465.18</v>
      </c>
      <c r="AF1727" t="str">
        <f t="shared" si="161"/>
        <v>Paid</v>
      </c>
    </row>
    <row r="1728" spans="1:32" ht="17.25" thickBot="1" x14ac:dyDescent="0.35">
      <c r="A1728" s="2" t="s">
        <v>11123</v>
      </c>
      <c r="B1728" s="2" t="s">
        <v>27</v>
      </c>
      <c r="C1728" s="2" t="s">
        <v>28</v>
      </c>
      <c r="D1728" s="2" t="s">
        <v>97</v>
      </c>
      <c r="E1728" s="2" t="s">
        <v>11109</v>
      </c>
      <c r="F1728" s="2" t="s">
        <v>8445</v>
      </c>
      <c r="G1728" s="2" t="s">
        <v>32</v>
      </c>
      <c r="H1728" s="1"/>
      <c r="I1728" s="2" t="s">
        <v>33</v>
      </c>
      <c r="J1728" s="2" t="s">
        <v>34</v>
      </c>
      <c r="K1728" s="2" t="s">
        <v>8460</v>
      </c>
      <c r="L1728" s="2" t="s">
        <v>8461</v>
      </c>
      <c r="M1728" s="2" t="s">
        <v>2140</v>
      </c>
      <c r="N1728" s="2" t="s">
        <v>38</v>
      </c>
      <c r="O1728" s="2" t="s">
        <v>141</v>
      </c>
      <c r="P1728" s="2" t="s">
        <v>8446</v>
      </c>
      <c r="Q1728" s="2" t="s">
        <v>11124</v>
      </c>
      <c r="R1728" s="2" t="s">
        <v>40</v>
      </c>
      <c r="S1728" s="2" t="s">
        <v>11125</v>
      </c>
      <c r="T1728" s="2" t="s">
        <v>40</v>
      </c>
      <c r="U1728" s="2" t="s">
        <v>40</v>
      </c>
      <c r="V1728" s="2" t="s">
        <v>11125</v>
      </c>
      <c r="W1728" s="1"/>
      <c r="X1728" s="2" t="s">
        <v>2155</v>
      </c>
      <c r="Y1728" s="2" t="s">
        <v>11114</v>
      </c>
      <c r="AA1728" t="str">
        <f t="shared" si="156"/>
        <v>2025-12</v>
      </c>
      <c r="AB1728" t="str">
        <f t="shared" si="157"/>
        <v/>
      </c>
      <c r="AC1728">
        <f t="shared" si="158"/>
        <v>38437.32</v>
      </c>
      <c r="AD1728">
        <f t="shared" si="159"/>
        <v>30</v>
      </c>
      <c r="AE1728">
        <f t="shared" si="160"/>
        <v>38437.32</v>
      </c>
      <c r="AF1728" t="str">
        <f t="shared" si="161"/>
        <v>Paid</v>
      </c>
    </row>
    <row r="1729" spans="1:32" ht="17.25" thickBot="1" x14ac:dyDescent="0.35">
      <c r="A1729" s="2" t="s">
        <v>11126</v>
      </c>
      <c r="B1729" s="2" t="s">
        <v>27</v>
      </c>
      <c r="C1729" s="2" t="s">
        <v>28</v>
      </c>
      <c r="D1729" s="2" t="s">
        <v>97</v>
      </c>
      <c r="E1729" s="2" t="s">
        <v>11109</v>
      </c>
      <c r="F1729" s="2" t="s">
        <v>8445</v>
      </c>
      <c r="G1729" s="2" t="s">
        <v>32</v>
      </c>
      <c r="H1729" s="1"/>
      <c r="I1729" s="2" t="s">
        <v>33</v>
      </c>
      <c r="J1729" s="2" t="s">
        <v>34</v>
      </c>
      <c r="K1729" s="2" t="s">
        <v>8469</v>
      </c>
      <c r="L1729" s="2" t="s">
        <v>8470</v>
      </c>
      <c r="M1729" s="2" t="s">
        <v>2140</v>
      </c>
      <c r="N1729" s="2" t="s">
        <v>38</v>
      </c>
      <c r="O1729" s="2" t="s">
        <v>471</v>
      </c>
      <c r="P1729" s="2" t="s">
        <v>8647</v>
      </c>
      <c r="Q1729" s="2" t="s">
        <v>11127</v>
      </c>
      <c r="R1729" s="2" t="s">
        <v>40</v>
      </c>
      <c r="S1729" s="2" t="s">
        <v>11128</v>
      </c>
      <c r="T1729" s="2" t="s">
        <v>9189</v>
      </c>
      <c r="U1729" s="2" t="s">
        <v>11129</v>
      </c>
      <c r="V1729" s="2" t="s">
        <v>11130</v>
      </c>
      <c r="W1729" s="1"/>
      <c r="X1729" s="2" t="s">
        <v>201</v>
      </c>
      <c r="Y1729" s="2" t="s">
        <v>11114</v>
      </c>
      <c r="AA1729" t="str">
        <f t="shared" si="156"/>
        <v>2025-12</v>
      </c>
      <c r="AB1729" t="str">
        <f t="shared" si="157"/>
        <v/>
      </c>
      <c r="AC1729">
        <f t="shared" si="158"/>
        <v>384805.08</v>
      </c>
      <c r="AD1729">
        <f t="shared" si="159"/>
        <v>55</v>
      </c>
      <c r="AE1729">
        <f t="shared" si="160"/>
        <v>93205.08</v>
      </c>
      <c r="AF1729" t="str">
        <f t="shared" si="161"/>
        <v>Paid</v>
      </c>
    </row>
    <row r="1730" spans="1:32" ht="17.25" thickBot="1" x14ac:dyDescent="0.35">
      <c r="A1730" s="2" t="s">
        <v>11131</v>
      </c>
      <c r="B1730" s="2" t="s">
        <v>27</v>
      </c>
      <c r="C1730" s="2" t="s">
        <v>28</v>
      </c>
      <c r="D1730" s="2" t="s">
        <v>97</v>
      </c>
      <c r="E1730" s="2" t="s">
        <v>11109</v>
      </c>
      <c r="F1730" s="2" t="s">
        <v>8445</v>
      </c>
      <c r="G1730" s="2" t="s">
        <v>32</v>
      </c>
      <c r="H1730" s="1"/>
      <c r="I1730" s="2" t="s">
        <v>33</v>
      </c>
      <c r="J1730" s="2" t="s">
        <v>34</v>
      </c>
      <c r="K1730" s="2" t="s">
        <v>2190</v>
      </c>
      <c r="L1730" s="2" t="s">
        <v>2191</v>
      </c>
      <c r="M1730" s="2" t="s">
        <v>2140</v>
      </c>
      <c r="N1730" s="2" t="s">
        <v>38</v>
      </c>
      <c r="O1730" s="2" t="s">
        <v>645</v>
      </c>
      <c r="P1730" s="2" t="s">
        <v>8647</v>
      </c>
      <c r="Q1730" s="2" t="s">
        <v>11132</v>
      </c>
      <c r="R1730" s="2" t="s">
        <v>40</v>
      </c>
      <c r="S1730" s="2" t="s">
        <v>11133</v>
      </c>
      <c r="T1730" s="2" t="s">
        <v>9189</v>
      </c>
      <c r="U1730" s="2" t="s">
        <v>11134</v>
      </c>
      <c r="V1730" s="2" t="s">
        <v>11135</v>
      </c>
      <c r="W1730" s="1"/>
      <c r="X1730" s="2" t="s">
        <v>201</v>
      </c>
      <c r="Y1730" s="2" t="s">
        <v>11114</v>
      </c>
      <c r="AA1730" t="str">
        <f t="shared" si="156"/>
        <v>2025-12</v>
      </c>
      <c r="AB1730" t="str">
        <f t="shared" si="157"/>
        <v/>
      </c>
      <c r="AC1730">
        <f t="shared" si="158"/>
        <v>1189397.52</v>
      </c>
      <c r="AD1730">
        <f t="shared" si="159"/>
        <v>170</v>
      </c>
      <c r="AE1730">
        <f t="shared" si="160"/>
        <v>288088.44</v>
      </c>
      <c r="AF1730" t="str">
        <f t="shared" si="161"/>
        <v>Paid</v>
      </c>
    </row>
    <row r="1731" spans="1:32" ht="17.25" thickBot="1" x14ac:dyDescent="0.35">
      <c r="A1731" s="2" t="s">
        <v>11136</v>
      </c>
      <c r="B1731" s="2" t="s">
        <v>27</v>
      </c>
      <c r="C1731" s="2" t="s">
        <v>28</v>
      </c>
      <c r="D1731" s="2" t="s">
        <v>97</v>
      </c>
      <c r="E1731" s="2" t="s">
        <v>11109</v>
      </c>
      <c r="F1731" s="2" t="s">
        <v>8445</v>
      </c>
      <c r="G1731" s="2" t="s">
        <v>32</v>
      </c>
      <c r="H1731" s="1"/>
      <c r="I1731" s="2" t="s">
        <v>33</v>
      </c>
      <c r="J1731" s="2" t="s">
        <v>34</v>
      </c>
      <c r="K1731" s="2" t="s">
        <v>2237</v>
      </c>
      <c r="L1731" s="2" t="s">
        <v>2238</v>
      </c>
      <c r="M1731" s="2" t="s">
        <v>2140</v>
      </c>
      <c r="N1731" s="2" t="s">
        <v>38</v>
      </c>
      <c r="O1731" s="2" t="s">
        <v>1333</v>
      </c>
      <c r="P1731" s="2" t="s">
        <v>327</v>
      </c>
      <c r="Q1731" s="2" t="s">
        <v>11137</v>
      </c>
      <c r="R1731" s="2" t="s">
        <v>40</v>
      </c>
      <c r="S1731" s="2" t="s">
        <v>11138</v>
      </c>
      <c r="T1731" s="2" t="s">
        <v>8480</v>
      </c>
      <c r="U1731" s="2" t="s">
        <v>4381</v>
      </c>
      <c r="V1731" s="2" t="s">
        <v>11139</v>
      </c>
      <c r="W1731" s="1"/>
      <c r="X1731" s="2" t="s">
        <v>9214</v>
      </c>
      <c r="Y1731" s="2" t="s">
        <v>11114</v>
      </c>
      <c r="AA1731" t="str">
        <f t="shared" si="156"/>
        <v>2025-12</v>
      </c>
      <c r="AB1731" t="str">
        <f t="shared" si="157"/>
        <v/>
      </c>
      <c r="AC1731">
        <f t="shared" si="158"/>
        <v>1837649.4</v>
      </c>
      <c r="AD1731">
        <f t="shared" si="159"/>
        <v>150</v>
      </c>
      <c r="AE1731">
        <f t="shared" si="160"/>
        <v>802649.4</v>
      </c>
      <c r="AF1731" t="str">
        <f t="shared" si="161"/>
        <v>Paid</v>
      </c>
    </row>
    <row r="1732" spans="1:32" ht="17.25" thickBot="1" x14ac:dyDescent="0.35">
      <c r="A1732" s="2" t="s">
        <v>11140</v>
      </c>
      <c r="B1732" s="2" t="s">
        <v>27</v>
      </c>
      <c r="C1732" s="2" t="s">
        <v>28</v>
      </c>
      <c r="D1732" s="2" t="s">
        <v>97</v>
      </c>
      <c r="E1732" s="2" t="s">
        <v>11109</v>
      </c>
      <c r="F1732" s="2" t="s">
        <v>8445</v>
      </c>
      <c r="G1732" s="2" t="s">
        <v>32</v>
      </c>
      <c r="H1732" s="1"/>
      <c r="I1732" s="2" t="s">
        <v>33</v>
      </c>
      <c r="J1732" s="2" t="s">
        <v>34</v>
      </c>
      <c r="K1732" s="2" t="s">
        <v>2244</v>
      </c>
      <c r="L1732" s="2" t="s">
        <v>2245</v>
      </c>
      <c r="M1732" s="2" t="s">
        <v>2140</v>
      </c>
      <c r="N1732" s="2" t="s">
        <v>38</v>
      </c>
      <c r="O1732" s="2" t="s">
        <v>221</v>
      </c>
      <c r="P1732" s="2" t="s">
        <v>861</v>
      </c>
      <c r="Q1732" s="2" t="s">
        <v>11141</v>
      </c>
      <c r="R1732" s="2" t="s">
        <v>40</v>
      </c>
      <c r="S1732" s="2" t="s">
        <v>11142</v>
      </c>
      <c r="T1732" s="2" t="s">
        <v>9219</v>
      </c>
      <c r="U1732" s="2" t="s">
        <v>9220</v>
      </c>
      <c r="V1732" s="2" t="s">
        <v>11143</v>
      </c>
      <c r="W1732" s="1"/>
      <c r="X1732" s="2" t="s">
        <v>8985</v>
      </c>
      <c r="Y1732" s="2" t="s">
        <v>11114</v>
      </c>
      <c r="AA1732" t="str">
        <f t="shared" ref="AA1732:AA1795" si="162">LEFT(E1732,7)</f>
        <v>2025-12</v>
      </c>
      <c r="AB1732" t="str">
        <f t="shared" ref="AB1732:AB1795" si="163">IF(AND($AA1732&gt;="2025-01",$AA1732&lt;="2025-06"),"H1_2025",IF(AND($AA1732&gt;="2026-01",$AA1732&lt;="2026-06"),"H1_2026",""))</f>
        <v/>
      </c>
      <c r="AC1732">
        <f t="shared" ref="AC1732:AC1795" si="164">IFERROR(VALUE(SUBSTITUTE(S1732,",","")),0)</f>
        <v>1273758.08</v>
      </c>
      <c r="AD1732">
        <f t="shared" ref="AD1732:AD1795" si="165">IFERROR(VALUE(SUBSTITUTE(O1732,",","")),0)</f>
        <v>140</v>
      </c>
      <c r="AE1732">
        <f t="shared" ref="AE1732:AE1795" si="166">IFERROR(VALUE(SUBSTITUTE(V1732,",","")),0)</f>
        <v>436558.08000000002</v>
      </c>
      <c r="AF1732" t="str">
        <f t="shared" ref="AF1732:AF1795" si="167">IF(ISNUMBER(SEARCH("FOC",W1732)),"FOC",IF(ISNUMBER(SEARCH("샘플",W1732)),"Sample","Paid"))</f>
        <v>Paid</v>
      </c>
    </row>
    <row r="1733" spans="1:32" ht="17.25" thickBot="1" x14ac:dyDescent="0.35">
      <c r="A1733" s="2" t="s">
        <v>11144</v>
      </c>
      <c r="B1733" s="2" t="s">
        <v>27</v>
      </c>
      <c r="C1733" s="2" t="s">
        <v>28</v>
      </c>
      <c r="D1733" s="2" t="s">
        <v>97</v>
      </c>
      <c r="E1733" s="2" t="s">
        <v>11109</v>
      </c>
      <c r="F1733" s="2" t="s">
        <v>8445</v>
      </c>
      <c r="G1733" s="2" t="s">
        <v>32</v>
      </c>
      <c r="H1733" s="1"/>
      <c r="I1733" s="2" t="s">
        <v>33</v>
      </c>
      <c r="J1733" s="2" t="s">
        <v>34</v>
      </c>
      <c r="K1733" s="2" t="s">
        <v>2253</v>
      </c>
      <c r="L1733" s="2" t="s">
        <v>2254</v>
      </c>
      <c r="M1733" s="2" t="s">
        <v>2140</v>
      </c>
      <c r="N1733" s="2" t="s">
        <v>38</v>
      </c>
      <c r="O1733" s="2" t="s">
        <v>849</v>
      </c>
      <c r="P1733" s="2" t="s">
        <v>284</v>
      </c>
      <c r="Q1733" s="2" t="s">
        <v>11145</v>
      </c>
      <c r="R1733" s="2" t="s">
        <v>40</v>
      </c>
      <c r="S1733" s="2" t="s">
        <v>11146</v>
      </c>
      <c r="T1733" s="2" t="s">
        <v>931</v>
      </c>
      <c r="U1733" s="2" t="s">
        <v>11147</v>
      </c>
      <c r="V1733" s="2" t="s">
        <v>11148</v>
      </c>
      <c r="W1733" s="1"/>
      <c r="X1733" s="2" t="s">
        <v>9227</v>
      </c>
      <c r="Y1733" s="2" t="s">
        <v>11114</v>
      </c>
      <c r="AA1733" t="str">
        <f t="shared" si="162"/>
        <v>2025-12</v>
      </c>
      <c r="AB1733" t="str">
        <f t="shared" si="163"/>
        <v/>
      </c>
      <c r="AC1733">
        <f t="shared" si="164"/>
        <v>1792014.08</v>
      </c>
      <c r="AD1733">
        <f t="shared" si="165"/>
        <v>160</v>
      </c>
      <c r="AE1733">
        <f t="shared" si="166"/>
        <v>656014.07999999996</v>
      </c>
      <c r="AF1733" t="str">
        <f t="shared" si="167"/>
        <v>Paid</v>
      </c>
    </row>
    <row r="1734" spans="1:32" ht="17.25" thickBot="1" x14ac:dyDescent="0.35">
      <c r="A1734" s="2" t="s">
        <v>11149</v>
      </c>
      <c r="B1734" s="2" t="s">
        <v>27</v>
      </c>
      <c r="C1734" s="2" t="s">
        <v>28</v>
      </c>
      <c r="D1734" s="2" t="s">
        <v>97</v>
      </c>
      <c r="E1734" s="2" t="s">
        <v>11109</v>
      </c>
      <c r="F1734" s="2" t="s">
        <v>8445</v>
      </c>
      <c r="G1734" s="2" t="s">
        <v>32</v>
      </c>
      <c r="H1734" s="1"/>
      <c r="I1734" s="2" t="s">
        <v>33</v>
      </c>
      <c r="J1734" s="2" t="s">
        <v>34</v>
      </c>
      <c r="K1734" s="2" t="s">
        <v>2260</v>
      </c>
      <c r="L1734" s="2" t="s">
        <v>2261</v>
      </c>
      <c r="M1734" s="2" t="s">
        <v>2140</v>
      </c>
      <c r="N1734" s="2" t="s">
        <v>38</v>
      </c>
      <c r="O1734" s="2" t="s">
        <v>849</v>
      </c>
      <c r="P1734" s="2" t="s">
        <v>2182</v>
      </c>
      <c r="Q1734" s="2" t="s">
        <v>11150</v>
      </c>
      <c r="R1734" s="2" t="s">
        <v>40</v>
      </c>
      <c r="S1734" s="2" t="s">
        <v>11151</v>
      </c>
      <c r="T1734" s="2" t="s">
        <v>9231</v>
      </c>
      <c r="U1734" s="2" t="s">
        <v>11152</v>
      </c>
      <c r="V1734" s="2" t="s">
        <v>11153</v>
      </c>
      <c r="W1734" s="1"/>
      <c r="X1734" s="2" t="s">
        <v>1042</v>
      </c>
      <c r="Y1734" s="2" t="s">
        <v>11114</v>
      </c>
      <c r="AA1734" t="str">
        <f t="shared" si="162"/>
        <v>2025-12</v>
      </c>
      <c r="AB1734" t="str">
        <f t="shared" si="163"/>
        <v/>
      </c>
      <c r="AC1734">
        <f t="shared" si="164"/>
        <v>1536341.12</v>
      </c>
      <c r="AD1734">
        <f t="shared" si="165"/>
        <v>160</v>
      </c>
      <c r="AE1734">
        <f t="shared" si="166"/>
        <v>368341.12</v>
      </c>
      <c r="AF1734" t="str">
        <f t="shared" si="167"/>
        <v>Paid</v>
      </c>
    </row>
    <row r="1735" spans="1:32" ht="17.25" thickBot="1" x14ac:dyDescent="0.35">
      <c r="A1735" s="2" t="s">
        <v>11154</v>
      </c>
      <c r="B1735" s="2" t="s">
        <v>27</v>
      </c>
      <c r="C1735" s="2" t="s">
        <v>28</v>
      </c>
      <c r="D1735" s="2" t="s">
        <v>97</v>
      </c>
      <c r="E1735" s="2" t="s">
        <v>11109</v>
      </c>
      <c r="F1735" s="2" t="s">
        <v>8445</v>
      </c>
      <c r="G1735" s="2" t="s">
        <v>32</v>
      </c>
      <c r="H1735" s="1"/>
      <c r="I1735" s="2" t="s">
        <v>33</v>
      </c>
      <c r="J1735" s="2" t="s">
        <v>34</v>
      </c>
      <c r="K1735" s="2" t="s">
        <v>11155</v>
      </c>
      <c r="L1735" s="2" t="s">
        <v>11156</v>
      </c>
      <c r="M1735" s="2" t="s">
        <v>7619</v>
      </c>
      <c r="N1735" s="2" t="s">
        <v>38</v>
      </c>
      <c r="O1735" s="2" t="s">
        <v>466</v>
      </c>
      <c r="P1735" s="2" t="s">
        <v>9528</v>
      </c>
      <c r="Q1735" s="2" t="s">
        <v>11157</v>
      </c>
      <c r="R1735" s="2" t="s">
        <v>40</v>
      </c>
      <c r="S1735" s="2" t="s">
        <v>11158</v>
      </c>
      <c r="T1735" s="2" t="s">
        <v>8502</v>
      </c>
      <c r="U1735" s="2" t="s">
        <v>7592</v>
      </c>
      <c r="V1735" s="2" t="s">
        <v>11159</v>
      </c>
      <c r="W1735" s="1"/>
      <c r="X1735" s="2" t="s">
        <v>3465</v>
      </c>
      <c r="Y1735" s="2" t="s">
        <v>11114</v>
      </c>
      <c r="AA1735" t="str">
        <f t="shared" si="162"/>
        <v>2025-12</v>
      </c>
      <c r="AB1735" t="str">
        <f t="shared" si="163"/>
        <v/>
      </c>
      <c r="AC1735">
        <f t="shared" si="164"/>
        <v>491767.36</v>
      </c>
      <c r="AD1735">
        <f t="shared" si="165"/>
        <v>70</v>
      </c>
      <c r="AE1735">
        <f t="shared" si="166"/>
        <v>88567.360000000001</v>
      </c>
      <c r="AF1735" t="str">
        <f t="shared" si="167"/>
        <v>Paid</v>
      </c>
    </row>
    <row r="1736" spans="1:32" ht="27.75" thickBot="1" x14ac:dyDescent="0.35">
      <c r="A1736" s="2" t="s">
        <v>11160</v>
      </c>
      <c r="B1736" s="2" t="s">
        <v>27</v>
      </c>
      <c r="C1736" s="2" t="s">
        <v>28</v>
      </c>
      <c r="D1736" s="2" t="s">
        <v>97</v>
      </c>
      <c r="E1736" s="2" t="s">
        <v>11109</v>
      </c>
      <c r="F1736" s="2" t="s">
        <v>8445</v>
      </c>
      <c r="G1736" s="2" t="s">
        <v>32</v>
      </c>
      <c r="H1736" s="1"/>
      <c r="I1736" s="2" t="s">
        <v>33</v>
      </c>
      <c r="J1736" s="2" t="s">
        <v>34</v>
      </c>
      <c r="K1736" s="2" t="s">
        <v>261</v>
      </c>
      <c r="L1736" s="2" t="s">
        <v>262</v>
      </c>
      <c r="M1736" s="2" t="s">
        <v>263</v>
      </c>
      <c r="N1736" s="2" t="s">
        <v>38</v>
      </c>
      <c r="O1736" s="2" t="s">
        <v>517</v>
      </c>
      <c r="P1736" s="2" t="s">
        <v>4245</v>
      </c>
      <c r="Q1736" s="2" t="s">
        <v>11161</v>
      </c>
      <c r="R1736" s="2" t="s">
        <v>40</v>
      </c>
      <c r="S1736" s="2" t="s">
        <v>11162</v>
      </c>
      <c r="T1736" s="2" t="s">
        <v>267</v>
      </c>
      <c r="U1736" s="2" t="s">
        <v>11163</v>
      </c>
      <c r="V1736" s="2" t="s">
        <v>11164</v>
      </c>
      <c r="W1736" s="1"/>
      <c r="X1736" s="2" t="s">
        <v>2216</v>
      </c>
      <c r="Y1736" s="2" t="s">
        <v>11114</v>
      </c>
      <c r="AA1736" t="str">
        <f t="shared" si="162"/>
        <v>2025-12</v>
      </c>
      <c r="AB1736" t="str">
        <f t="shared" si="163"/>
        <v/>
      </c>
      <c r="AC1736">
        <f t="shared" si="164"/>
        <v>1103885.28</v>
      </c>
      <c r="AD1736">
        <f t="shared" si="165"/>
        <v>120</v>
      </c>
      <c r="AE1736">
        <f t="shared" si="166"/>
        <v>311885.28000000003</v>
      </c>
      <c r="AF1736" t="str">
        <f t="shared" si="167"/>
        <v>Paid</v>
      </c>
    </row>
    <row r="1737" spans="1:32" ht="17.25" thickBot="1" x14ac:dyDescent="0.35">
      <c r="A1737" s="2" t="s">
        <v>11165</v>
      </c>
      <c r="B1737" s="2" t="s">
        <v>27</v>
      </c>
      <c r="C1737" s="2" t="s">
        <v>28</v>
      </c>
      <c r="D1737" s="2" t="s">
        <v>97</v>
      </c>
      <c r="E1737" s="2" t="s">
        <v>11109</v>
      </c>
      <c r="F1737" s="2" t="s">
        <v>8445</v>
      </c>
      <c r="G1737" s="2" t="s">
        <v>32</v>
      </c>
      <c r="H1737" s="1"/>
      <c r="I1737" s="2" t="s">
        <v>33</v>
      </c>
      <c r="J1737" s="2" t="s">
        <v>34</v>
      </c>
      <c r="K1737" s="2" t="s">
        <v>273</v>
      </c>
      <c r="L1737" s="2" t="s">
        <v>274</v>
      </c>
      <c r="M1737" s="2" t="s">
        <v>263</v>
      </c>
      <c r="N1737" s="2" t="s">
        <v>38</v>
      </c>
      <c r="O1737" s="2" t="s">
        <v>1951</v>
      </c>
      <c r="P1737" s="2" t="s">
        <v>4245</v>
      </c>
      <c r="Q1737" s="2" t="s">
        <v>11166</v>
      </c>
      <c r="R1737" s="2" t="s">
        <v>40</v>
      </c>
      <c r="S1737" s="2" t="s">
        <v>11167</v>
      </c>
      <c r="T1737" s="2" t="s">
        <v>267</v>
      </c>
      <c r="U1737" s="2" t="s">
        <v>11168</v>
      </c>
      <c r="V1737" s="2" t="s">
        <v>11169</v>
      </c>
      <c r="W1737" s="1"/>
      <c r="X1737" s="2" t="s">
        <v>2216</v>
      </c>
      <c r="Y1737" s="2" t="s">
        <v>11114</v>
      </c>
      <c r="AA1737" t="str">
        <f t="shared" si="162"/>
        <v>2025-12</v>
      </c>
      <c r="AB1737" t="str">
        <f t="shared" si="163"/>
        <v/>
      </c>
      <c r="AC1737">
        <f t="shared" si="164"/>
        <v>5519426.4000000004</v>
      </c>
      <c r="AD1737">
        <f t="shared" si="165"/>
        <v>600</v>
      </c>
      <c r="AE1737">
        <f t="shared" si="166"/>
        <v>1559426.4</v>
      </c>
      <c r="AF1737" t="str">
        <f t="shared" si="167"/>
        <v>Paid</v>
      </c>
    </row>
    <row r="1738" spans="1:32" ht="27.75" thickBot="1" x14ac:dyDescent="0.35">
      <c r="A1738" s="2" t="s">
        <v>11170</v>
      </c>
      <c r="B1738" s="2" t="s">
        <v>27</v>
      </c>
      <c r="C1738" s="2" t="s">
        <v>28</v>
      </c>
      <c r="D1738" s="2" t="s">
        <v>97</v>
      </c>
      <c r="E1738" s="2" t="s">
        <v>11109</v>
      </c>
      <c r="F1738" s="2" t="s">
        <v>8445</v>
      </c>
      <c r="G1738" s="2" t="s">
        <v>32</v>
      </c>
      <c r="H1738" s="1"/>
      <c r="I1738" s="2" t="s">
        <v>33</v>
      </c>
      <c r="J1738" s="2" t="s">
        <v>34</v>
      </c>
      <c r="K1738" s="2" t="s">
        <v>4838</v>
      </c>
      <c r="L1738" s="2" t="s">
        <v>4839</v>
      </c>
      <c r="M1738" s="2" t="s">
        <v>263</v>
      </c>
      <c r="N1738" s="2" t="s">
        <v>38</v>
      </c>
      <c r="O1738" s="2" t="s">
        <v>779</v>
      </c>
      <c r="P1738" s="2" t="s">
        <v>4245</v>
      </c>
      <c r="Q1738" s="2" t="s">
        <v>11171</v>
      </c>
      <c r="R1738" s="2" t="s">
        <v>40</v>
      </c>
      <c r="S1738" s="2" t="s">
        <v>11172</v>
      </c>
      <c r="T1738" s="2" t="s">
        <v>267</v>
      </c>
      <c r="U1738" s="2" t="s">
        <v>11173</v>
      </c>
      <c r="V1738" s="2" t="s">
        <v>11174</v>
      </c>
      <c r="W1738" s="1"/>
      <c r="X1738" s="2" t="s">
        <v>2216</v>
      </c>
      <c r="Y1738" s="2" t="s">
        <v>11114</v>
      </c>
      <c r="AA1738" t="str">
        <f t="shared" si="162"/>
        <v>2025-12</v>
      </c>
      <c r="AB1738" t="str">
        <f t="shared" si="163"/>
        <v/>
      </c>
      <c r="AC1738">
        <f t="shared" si="164"/>
        <v>827913.96</v>
      </c>
      <c r="AD1738">
        <f t="shared" si="165"/>
        <v>90</v>
      </c>
      <c r="AE1738">
        <f t="shared" si="166"/>
        <v>233913.96</v>
      </c>
      <c r="AF1738" t="str">
        <f t="shared" si="167"/>
        <v>Paid</v>
      </c>
    </row>
    <row r="1739" spans="1:32" ht="17.25" thickBot="1" x14ac:dyDescent="0.35">
      <c r="A1739" s="2" t="s">
        <v>11175</v>
      </c>
      <c r="B1739" s="2" t="s">
        <v>27</v>
      </c>
      <c r="C1739" s="2" t="s">
        <v>28</v>
      </c>
      <c r="D1739" s="2" t="s">
        <v>97</v>
      </c>
      <c r="E1739" s="2" t="s">
        <v>11109</v>
      </c>
      <c r="F1739" s="2" t="s">
        <v>8445</v>
      </c>
      <c r="G1739" s="2" t="s">
        <v>32</v>
      </c>
      <c r="H1739" s="1"/>
      <c r="I1739" s="2" t="s">
        <v>33</v>
      </c>
      <c r="J1739" s="2" t="s">
        <v>34</v>
      </c>
      <c r="K1739" s="2" t="s">
        <v>4845</v>
      </c>
      <c r="L1739" s="2" t="s">
        <v>4846</v>
      </c>
      <c r="M1739" s="2" t="s">
        <v>263</v>
      </c>
      <c r="N1739" s="2" t="s">
        <v>38</v>
      </c>
      <c r="O1739" s="2" t="s">
        <v>391</v>
      </c>
      <c r="P1739" s="2" t="s">
        <v>4190</v>
      </c>
      <c r="Q1739" s="2" t="s">
        <v>11176</v>
      </c>
      <c r="R1739" s="2" t="s">
        <v>40</v>
      </c>
      <c r="S1739" s="2" t="s">
        <v>11177</v>
      </c>
      <c r="T1739" s="2" t="s">
        <v>4850</v>
      </c>
      <c r="U1739" s="2" t="s">
        <v>11178</v>
      </c>
      <c r="V1739" s="2" t="s">
        <v>11179</v>
      </c>
      <c r="W1739" s="1"/>
      <c r="X1739" s="2" t="s">
        <v>11180</v>
      </c>
      <c r="Y1739" s="2" t="s">
        <v>11114</v>
      </c>
      <c r="AA1739" t="str">
        <f t="shared" si="162"/>
        <v>2025-12</v>
      </c>
      <c r="AB1739" t="str">
        <f t="shared" si="163"/>
        <v/>
      </c>
      <c r="AC1739">
        <f t="shared" si="164"/>
        <v>755790</v>
      </c>
      <c r="AD1739">
        <f t="shared" si="165"/>
        <v>60</v>
      </c>
      <c r="AE1739">
        <f t="shared" si="166"/>
        <v>343410</v>
      </c>
      <c r="AF1739" t="str">
        <f t="shared" si="167"/>
        <v>Paid</v>
      </c>
    </row>
    <row r="1740" spans="1:32" ht="17.25" thickBot="1" x14ac:dyDescent="0.35">
      <c r="A1740" s="2" t="s">
        <v>11181</v>
      </c>
      <c r="B1740" s="2" t="s">
        <v>27</v>
      </c>
      <c r="C1740" s="2" t="s">
        <v>28</v>
      </c>
      <c r="D1740" s="2" t="s">
        <v>97</v>
      </c>
      <c r="E1740" s="2" t="s">
        <v>11109</v>
      </c>
      <c r="F1740" s="2" t="s">
        <v>8445</v>
      </c>
      <c r="G1740" s="2" t="s">
        <v>32</v>
      </c>
      <c r="H1740" s="1"/>
      <c r="I1740" s="2" t="s">
        <v>33</v>
      </c>
      <c r="J1740" s="2" t="s">
        <v>34</v>
      </c>
      <c r="K1740" s="2" t="s">
        <v>8511</v>
      </c>
      <c r="L1740" s="2" t="s">
        <v>8512</v>
      </c>
      <c r="M1740" s="2" t="s">
        <v>7717</v>
      </c>
      <c r="N1740" s="2" t="s">
        <v>38</v>
      </c>
      <c r="O1740" s="2" t="s">
        <v>359</v>
      </c>
      <c r="P1740" s="2" t="s">
        <v>4638</v>
      </c>
      <c r="Q1740" s="2" t="s">
        <v>11182</v>
      </c>
      <c r="R1740" s="2" t="s">
        <v>40</v>
      </c>
      <c r="S1740" s="2" t="s">
        <v>11183</v>
      </c>
      <c r="T1740" s="2" t="s">
        <v>11184</v>
      </c>
      <c r="U1740" s="2" t="s">
        <v>11185</v>
      </c>
      <c r="V1740" s="2" t="s">
        <v>11186</v>
      </c>
      <c r="W1740" s="1"/>
      <c r="X1740" s="2" t="s">
        <v>5958</v>
      </c>
      <c r="Y1740" s="2" t="s">
        <v>11114</v>
      </c>
      <c r="AA1740" t="str">
        <f t="shared" si="162"/>
        <v>2025-12</v>
      </c>
      <c r="AB1740" t="str">
        <f t="shared" si="163"/>
        <v/>
      </c>
      <c r="AC1740">
        <f t="shared" si="164"/>
        <v>287848.02</v>
      </c>
      <c r="AD1740">
        <f t="shared" si="165"/>
        <v>43</v>
      </c>
      <c r="AE1740">
        <f t="shared" si="166"/>
        <v>96294.39</v>
      </c>
      <c r="AF1740" t="str">
        <f t="shared" si="167"/>
        <v>Paid</v>
      </c>
    </row>
    <row r="1741" spans="1:32" ht="17.25" thickBot="1" x14ac:dyDescent="0.35">
      <c r="A1741" s="2" t="s">
        <v>11187</v>
      </c>
      <c r="B1741" s="2" t="s">
        <v>27</v>
      </c>
      <c r="C1741" s="2" t="s">
        <v>28</v>
      </c>
      <c r="D1741" s="2" t="s">
        <v>97</v>
      </c>
      <c r="E1741" s="2" t="s">
        <v>11109</v>
      </c>
      <c r="F1741" s="2" t="s">
        <v>8445</v>
      </c>
      <c r="G1741" s="2" t="s">
        <v>32</v>
      </c>
      <c r="H1741" s="1"/>
      <c r="I1741" s="2" t="s">
        <v>33</v>
      </c>
      <c r="J1741" s="2" t="s">
        <v>34</v>
      </c>
      <c r="K1741" s="2" t="s">
        <v>8521</v>
      </c>
      <c r="L1741" s="2" t="s">
        <v>8522</v>
      </c>
      <c r="M1741" s="2" t="s">
        <v>7717</v>
      </c>
      <c r="N1741" s="2" t="s">
        <v>38</v>
      </c>
      <c r="O1741" s="2" t="s">
        <v>1836</v>
      </c>
      <c r="P1741" s="2" t="s">
        <v>4638</v>
      </c>
      <c r="Q1741" s="2" t="s">
        <v>11188</v>
      </c>
      <c r="R1741" s="2" t="s">
        <v>40</v>
      </c>
      <c r="S1741" s="2" t="s">
        <v>11189</v>
      </c>
      <c r="T1741" s="2" t="s">
        <v>2747</v>
      </c>
      <c r="U1741" s="2" t="s">
        <v>11190</v>
      </c>
      <c r="V1741" s="2" t="s">
        <v>11191</v>
      </c>
      <c r="W1741" s="1"/>
      <c r="X1741" s="2" t="s">
        <v>5958</v>
      </c>
      <c r="Y1741" s="2" t="s">
        <v>11114</v>
      </c>
      <c r="AA1741" t="str">
        <f t="shared" si="162"/>
        <v>2025-12</v>
      </c>
      <c r="AB1741" t="str">
        <f t="shared" si="163"/>
        <v/>
      </c>
      <c r="AC1741">
        <f t="shared" si="164"/>
        <v>1472710.8</v>
      </c>
      <c r="AD1741">
        <f t="shared" si="165"/>
        <v>220</v>
      </c>
      <c r="AE1741">
        <f t="shared" si="166"/>
        <v>492710.81</v>
      </c>
      <c r="AF1741" t="str">
        <f t="shared" si="167"/>
        <v>Paid</v>
      </c>
    </row>
    <row r="1742" spans="1:32" ht="17.25" thickBot="1" x14ac:dyDescent="0.35">
      <c r="A1742" s="2" t="s">
        <v>11192</v>
      </c>
      <c r="B1742" s="2" t="s">
        <v>27</v>
      </c>
      <c r="C1742" s="2" t="s">
        <v>28</v>
      </c>
      <c r="D1742" s="2" t="s">
        <v>97</v>
      </c>
      <c r="E1742" s="2" t="s">
        <v>11109</v>
      </c>
      <c r="F1742" s="2" t="s">
        <v>8445</v>
      </c>
      <c r="G1742" s="2" t="s">
        <v>32</v>
      </c>
      <c r="H1742" s="1"/>
      <c r="I1742" s="2" t="s">
        <v>33</v>
      </c>
      <c r="J1742" s="2" t="s">
        <v>34</v>
      </c>
      <c r="K1742" s="2" t="s">
        <v>2268</v>
      </c>
      <c r="L1742" s="2" t="s">
        <v>2269</v>
      </c>
      <c r="M1742" s="2" t="s">
        <v>2270</v>
      </c>
      <c r="N1742" s="2" t="s">
        <v>38</v>
      </c>
      <c r="O1742" s="2" t="s">
        <v>4788</v>
      </c>
      <c r="P1742" s="2" t="s">
        <v>8506</v>
      </c>
      <c r="Q1742" s="2" t="s">
        <v>11193</v>
      </c>
      <c r="R1742" s="2" t="s">
        <v>40</v>
      </c>
      <c r="S1742" s="2" t="s">
        <v>11194</v>
      </c>
      <c r="T1742" s="2" t="s">
        <v>2275</v>
      </c>
      <c r="U1742" s="2" t="s">
        <v>3095</v>
      </c>
      <c r="V1742" s="2" t="s">
        <v>11195</v>
      </c>
      <c r="W1742" s="1"/>
      <c r="X1742" s="2" t="s">
        <v>2198</v>
      </c>
      <c r="Y1742" s="2" t="s">
        <v>11114</v>
      </c>
      <c r="AA1742" t="str">
        <f t="shared" si="162"/>
        <v>2025-12</v>
      </c>
      <c r="AB1742" t="str">
        <f t="shared" si="163"/>
        <v/>
      </c>
      <c r="AC1742">
        <f t="shared" si="164"/>
        <v>3556387.84</v>
      </c>
      <c r="AD1742">
        <f t="shared" si="165"/>
        <v>640</v>
      </c>
      <c r="AE1742">
        <f t="shared" si="166"/>
        <v>676387.83999999997</v>
      </c>
      <c r="AF1742" t="str">
        <f t="shared" si="167"/>
        <v>Paid</v>
      </c>
    </row>
    <row r="1743" spans="1:32" ht="17.25" thickBot="1" x14ac:dyDescent="0.35">
      <c r="A1743" s="2" t="s">
        <v>11196</v>
      </c>
      <c r="B1743" s="2" t="s">
        <v>27</v>
      </c>
      <c r="C1743" s="2" t="s">
        <v>28</v>
      </c>
      <c r="D1743" s="2" t="s">
        <v>97</v>
      </c>
      <c r="E1743" s="2" t="s">
        <v>11109</v>
      </c>
      <c r="F1743" s="2" t="s">
        <v>8445</v>
      </c>
      <c r="G1743" s="2" t="s">
        <v>32</v>
      </c>
      <c r="H1743" s="1"/>
      <c r="I1743" s="2" t="s">
        <v>33</v>
      </c>
      <c r="J1743" s="2" t="s">
        <v>34</v>
      </c>
      <c r="K1743" s="2" t="s">
        <v>2300</v>
      </c>
      <c r="L1743" s="2" t="s">
        <v>2301</v>
      </c>
      <c r="M1743" s="2" t="s">
        <v>2270</v>
      </c>
      <c r="N1743" s="2" t="s">
        <v>38</v>
      </c>
      <c r="O1743" s="2" t="s">
        <v>391</v>
      </c>
      <c r="P1743" s="2" t="s">
        <v>8506</v>
      </c>
      <c r="Q1743" s="2" t="s">
        <v>11197</v>
      </c>
      <c r="R1743" s="2" t="s">
        <v>40</v>
      </c>
      <c r="S1743" s="2" t="s">
        <v>11198</v>
      </c>
      <c r="T1743" s="2" t="s">
        <v>2275</v>
      </c>
      <c r="U1743" s="2" t="s">
        <v>4410</v>
      </c>
      <c r="V1743" s="2" t="s">
        <v>11199</v>
      </c>
      <c r="W1743" s="1"/>
      <c r="X1743" s="2" t="s">
        <v>2198</v>
      </c>
      <c r="Y1743" s="2" t="s">
        <v>11114</v>
      </c>
      <c r="AA1743" t="str">
        <f t="shared" si="162"/>
        <v>2025-12</v>
      </c>
      <c r="AB1743" t="str">
        <f t="shared" si="163"/>
        <v/>
      </c>
      <c r="AC1743">
        <f t="shared" si="164"/>
        <v>333411.36</v>
      </c>
      <c r="AD1743">
        <f t="shared" si="165"/>
        <v>60</v>
      </c>
      <c r="AE1743">
        <f t="shared" si="166"/>
        <v>63411.360000000001</v>
      </c>
      <c r="AF1743" t="str">
        <f t="shared" si="167"/>
        <v>Paid</v>
      </c>
    </row>
    <row r="1744" spans="1:32" ht="17.25" thickBot="1" x14ac:dyDescent="0.35">
      <c r="A1744" s="2" t="s">
        <v>11200</v>
      </c>
      <c r="B1744" s="2" t="s">
        <v>27</v>
      </c>
      <c r="C1744" s="2" t="s">
        <v>28</v>
      </c>
      <c r="D1744" s="2" t="s">
        <v>97</v>
      </c>
      <c r="E1744" s="2" t="s">
        <v>11109</v>
      </c>
      <c r="F1744" s="2" t="s">
        <v>8445</v>
      </c>
      <c r="G1744" s="2" t="s">
        <v>32</v>
      </c>
      <c r="H1744" s="1"/>
      <c r="I1744" s="2" t="s">
        <v>33</v>
      </c>
      <c r="J1744" s="2" t="s">
        <v>34</v>
      </c>
      <c r="K1744" s="2" t="s">
        <v>2313</v>
      </c>
      <c r="L1744" s="2" t="s">
        <v>2314</v>
      </c>
      <c r="M1744" s="2" t="s">
        <v>2270</v>
      </c>
      <c r="N1744" s="2" t="s">
        <v>38</v>
      </c>
      <c r="O1744" s="2" t="s">
        <v>877</v>
      </c>
      <c r="P1744" s="2" t="s">
        <v>8506</v>
      </c>
      <c r="Q1744" s="2" t="s">
        <v>11201</v>
      </c>
      <c r="R1744" s="2" t="s">
        <v>40</v>
      </c>
      <c r="S1744" s="2" t="s">
        <v>11202</v>
      </c>
      <c r="T1744" s="2" t="s">
        <v>2275</v>
      </c>
      <c r="U1744" s="2" t="s">
        <v>145</v>
      </c>
      <c r="V1744" s="2" t="s">
        <v>11203</v>
      </c>
      <c r="W1744" s="1"/>
      <c r="X1744" s="2" t="s">
        <v>2198</v>
      </c>
      <c r="Y1744" s="2" t="s">
        <v>11114</v>
      </c>
      <c r="AA1744" t="str">
        <f t="shared" si="162"/>
        <v>2025-12</v>
      </c>
      <c r="AB1744" t="str">
        <f t="shared" si="163"/>
        <v/>
      </c>
      <c r="AC1744">
        <f t="shared" si="164"/>
        <v>555685.6</v>
      </c>
      <c r="AD1744">
        <f t="shared" si="165"/>
        <v>100</v>
      </c>
      <c r="AE1744">
        <f t="shared" si="166"/>
        <v>105685.6</v>
      </c>
      <c r="AF1744" t="str">
        <f t="shared" si="167"/>
        <v>Paid</v>
      </c>
    </row>
    <row r="1745" spans="1:32" ht="17.25" thickBot="1" x14ac:dyDescent="0.35">
      <c r="A1745" s="2" t="s">
        <v>11204</v>
      </c>
      <c r="B1745" s="2" t="s">
        <v>27</v>
      </c>
      <c r="C1745" s="2" t="s">
        <v>28</v>
      </c>
      <c r="D1745" s="2" t="s">
        <v>97</v>
      </c>
      <c r="E1745" s="2" t="s">
        <v>11109</v>
      </c>
      <c r="F1745" s="2" t="s">
        <v>8445</v>
      </c>
      <c r="G1745" s="2" t="s">
        <v>32</v>
      </c>
      <c r="H1745" s="1"/>
      <c r="I1745" s="2" t="s">
        <v>33</v>
      </c>
      <c r="J1745" s="2" t="s">
        <v>34</v>
      </c>
      <c r="K1745" s="2" t="s">
        <v>2335</v>
      </c>
      <c r="L1745" s="2" t="s">
        <v>2336</v>
      </c>
      <c r="M1745" s="2" t="s">
        <v>2270</v>
      </c>
      <c r="N1745" s="2" t="s">
        <v>38</v>
      </c>
      <c r="O1745" s="2" t="s">
        <v>849</v>
      </c>
      <c r="P1745" s="2" t="s">
        <v>8506</v>
      </c>
      <c r="Q1745" s="2" t="s">
        <v>11205</v>
      </c>
      <c r="R1745" s="2" t="s">
        <v>40</v>
      </c>
      <c r="S1745" s="2" t="s">
        <v>11206</v>
      </c>
      <c r="T1745" s="2" t="s">
        <v>2275</v>
      </c>
      <c r="U1745" s="2" t="s">
        <v>3087</v>
      </c>
      <c r="V1745" s="2" t="s">
        <v>11207</v>
      </c>
      <c r="W1745" s="1"/>
      <c r="X1745" s="2" t="s">
        <v>2198</v>
      </c>
      <c r="Y1745" s="2" t="s">
        <v>11114</v>
      </c>
      <c r="AA1745" t="str">
        <f t="shared" si="162"/>
        <v>2025-12</v>
      </c>
      <c r="AB1745" t="str">
        <f t="shared" si="163"/>
        <v/>
      </c>
      <c r="AC1745">
        <f t="shared" si="164"/>
        <v>889096.96</v>
      </c>
      <c r="AD1745">
        <f t="shared" si="165"/>
        <v>160</v>
      </c>
      <c r="AE1745">
        <f t="shared" si="166"/>
        <v>169096.95999999999</v>
      </c>
      <c r="AF1745" t="str">
        <f t="shared" si="167"/>
        <v>Paid</v>
      </c>
    </row>
    <row r="1746" spans="1:32" ht="17.25" thickBot="1" x14ac:dyDescent="0.35">
      <c r="A1746" s="2" t="s">
        <v>11208</v>
      </c>
      <c r="B1746" s="2" t="s">
        <v>27</v>
      </c>
      <c r="C1746" s="2" t="s">
        <v>28</v>
      </c>
      <c r="D1746" s="2" t="s">
        <v>97</v>
      </c>
      <c r="E1746" s="2" t="s">
        <v>11109</v>
      </c>
      <c r="F1746" s="2" t="s">
        <v>8445</v>
      </c>
      <c r="G1746" s="2" t="s">
        <v>32</v>
      </c>
      <c r="H1746" s="1"/>
      <c r="I1746" s="2" t="s">
        <v>33</v>
      </c>
      <c r="J1746" s="2" t="s">
        <v>34</v>
      </c>
      <c r="K1746" s="2" t="s">
        <v>2349</v>
      </c>
      <c r="L1746" s="2" t="s">
        <v>2350</v>
      </c>
      <c r="M1746" s="2" t="s">
        <v>2270</v>
      </c>
      <c r="N1746" s="2" t="s">
        <v>38</v>
      </c>
      <c r="O1746" s="2" t="s">
        <v>779</v>
      </c>
      <c r="P1746" s="2" t="s">
        <v>8506</v>
      </c>
      <c r="Q1746" s="2" t="s">
        <v>11209</v>
      </c>
      <c r="R1746" s="2" t="s">
        <v>40</v>
      </c>
      <c r="S1746" s="2" t="s">
        <v>11210</v>
      </c>
      <c r="T1746" s="2" t="s">
        <v>2275</v>
      </c>
      <c r="U1746" s="2" t="s">
        <v>11211</v>
      </c>
      <c r="V1746" s="2" t="s">
        <v>11212</v>
      </c>
      <c r="W1746" s="1"/>
      <c r="X1746" s="2" t="s">
        <v>2198</v>
      </c>
      <c r="Y1746" s="2" t="s">
        <v>11114</v>
      </c>
      <c r="AA1746" t="str">
        <f t="shared" si="162"/>
        <v>2025-12</v>
      </c>
      <c r="AB1746" t="str">
        <f t="shared" si="163"/>
        <v/>
      </c>
      <c r="AC1746">
        <f t="shared" si="164"/>
        <v>500117.04</v>
      </c>
      <c r="AD1746">
        <f t="shared" si="165"/>
        <v>90</v>
      </c>
      <c r="AE1746">
        <f t="shared" si="166"/>
        <v>95117.04</v>
      </c>
      <c r="AF1746" t="str">
        <f t="shared" si="167"/>
        <v>Paid</v>
      </c>
    </row>
    <row r="1747" spans="1:32" ht="27.75" thickBot="1" x14ac:dyDescent="0.35">
      <c r="A1747" s="2" t="s">
        <v>11213</v>
      </c>
      <c r="B1747" s="2" t="s">
        <v>27</v>
      </c>
      <c r="C1747" s="2" t="s">
        <v>28</v>
      </c>
      <c r="D1747" s="2" t="s">
        <v>97</v>
      </c>
      <c r="E1747" s="2" t="s">
        <v>11109</v>
      </c>
      <c r="F1747" s="2" t="s">
        <v>8445</v>
      </c>
      <c r="G1747" s="2" t="s">
        <v>32</v>
      </c>
      <c r="H1747" s="1"/>
      <c r="I1747" s="2" t="s">
        <v>33</v>
      </c>
      <c r="J1747" s="2" t="s">
        <v>34</v>
      </c>
      <c r="K1747" s="2" t="s">
        <v>2356</v>
      </c>
      <c r="L1747" s="2" t="s">
        <v>2357</v>
      </c>
      <c r="M1747" s="2" t="s">
        <v>2270</v>
      </c>
      <c r="N1747" s="2" t="s">
        <v>38</v>
      </c>
      <c r="O1747" s="2" t="s">
        <v>391</v>
      </c>
      <c r="P1747" s="2" t="s">
        <v>8506</v>
      </c>
      <c r="Q1747" s="2" t="s">
        <v>11197</v>
      </c>
      <c r="R1747" s="2" t="s">
        <v>40</v>
      </c>
      <c r="S1747" s="2" t="s">
        <v>11198</v>
      </c>
      <c r="T1747" s="2" t="s">
        <v>2275</v>
      </c>
      <c r="U1747" s="2" t="s">
        <v>4410</v>
      </c>
      <c r="V1747" s="2" t="s">
        <v>11199</v>
      </c>
      <c r="W1747" s="1"/>
      <c r="X1747" s="2" t="s">
        <v>2198</v>
      </c>
      <c r="Y1747" s="2" t="s">
        <v>11114</v>
      </c>
      <c r="AA1747" t="str">
        <f t="shared" si="162"/>
        <v>2025-12</v>
      </c>
      <c r="AB1747" t="str">
        <f t="shared" si="163"/>
        <v/>
      </c>
      <c r="AC1747">
        <f t="shared" si="164"/>
        <v>333411.36</v>
      </c>
      <c r="AD1747">
        <f t="shared" si="165"/>
        <v>60</v>
      </c>
      <c r="AE1747">
        <f t="shared" si="166"/>
        <v>63411.360000000001</v>
      </c>
      <c r="AF1747" t="str">
        <f t="shared" si="167"/>
        <v>Paid</v>
      </c>
    </row>
    <row r="1748" spans="1:32" ht="27.75" thickBot="1" x14ac:dyDescent="0.35">
      <c r="A1748" s="2" t="s">
        <v>11214</v>
      </c>
      <c r="B1748" s="2" t="s">
        <v>27</v>
      </c>
      <c r="C1748" s="2" t="s">
        <v>28</v>
      </c>
      <c r="D1748" s="2" t="s">
        <v>97</v>
      </c>
      <c r="E1748" s="2" t="s">
        <v>11109</v>
      </c>
      <c r="F1748" s="2" t="s">
        <v>8445</v>
      </c>
      <c r="G1748" s="2" t="s">
        <v>32</v>
      </c>
      <c r="H1748" s="1"/>
      <c r="I1748" s="2" t="s">
        <v>33</v>
      </c>
      <c r="J1748" s="2" t="s">
        <v>34</v>
      </c>
      <c r="K1748" s="2" t="s">
        <v>2363</v>
      </c>
      <c r="L1748" s="2" t="s">
        <v>2364</v>
      </c>
      <c r="M1748" s="2" t="s">
        <v>2270</v>
      </c>
      <c r="N1748" s="2" t="s">
        <v>38</v>
      </c>
      <c r="O1748" s="2" t="s">
        <v>391</v>
      </c>
      <c r="P1748" s="2" t="s">
        <v>8506</v>
      </c>
      <c r="Q1748" s="2" t="s">
        <v>11197</v>
      </c>
      <c r="R1748" s="2" t="s">
        <v>40</v>
      </c>
      <c r="S1748" s="2" t="s">
        <v>11198</v>
      </c>
      <c r="T1748" s="2" t="s">
        <v>2275</v>
      </c>
      <c r="U1748" s="2" t="s">
        <v>4410</v>
      </c>
      <c r="V1748" s="2" t="s">
        <v>11199</v>
      </c>
      <c r="W1748" s="1"/>
      <c r="X1748" s="2" t="s">
        <v>2198</v>
      </c>
      <c r="Y1748" s="2" t="s">
        <v>11114</v>
      </c>
      <c r="AA1748" t="str">
        <f t="shared" si="162"/>
        <v>2025-12</v>
      </c>
      <c r="AB1748" t="str">
        <f t="shared" si="163"/>
        <v/>
      </c>
      <c r="AC1748">
        <f t="shared" si="164"/>
        <v>333411.36</v>
      </c>
      <c r="AD1748">
        <f t="shared" si="165"/>
        <v>60</v>
      </c>
      <c r="AE1748">
        <f t="shared" si="166"/>
        <v>63411.360000000001</v>
      </c>
      <c r="AF1748" t="str">
        <f t="shared" si="167"/>
        <v>Paid</v>
      </c>
    </row>
    <row r="1749" spans="1:32" ht="17.25" thickBot="1" x14ac:dyDescent="0.35">
      <c r="A1749" s="2" t="s">
        <v>11215</v>
      </c>
      <c r="B1749" s="2" t="s">
        <v>27</v>
      </c>
      <c r="C1749" s="2" t="s">
        <v>28</v>
      </c>
      <c r="D1749" s="2" t="s">
        <v>97</v>
      </c>
      <c r="E1749" s="2" t="s">
        <v>11109</v>
      </c>
      <c r="F1749" s="2" t="s">
        <v>8445</v>
      </c>
      <c r="G1749" s="2" t="s">
        <v>32</v>
      </c>
      <c r="H1749" s="1"/>
      <c r="I1749" s="2" t="s">
        <v>33</v>
      </c>
      <c r="J1749" s="2" t="s">
        <v>34</v>
      </c>
      <c r="K1749" s="2" t="s">
        <v>8588</v>
      </c>
      <c r="L1749" s="2" t="s">
        <v>8589</v>
      </c>
      <c r="M1749" s="2" t="s">
        <v>2372</v>
      </c>
      <c r="N1749" s="2" t="s">
        <v>38</v>
      </c>
      <c r="O1749" s="2" t="s">
        <v>131</v>
      </c>
      <c r="P1749" s="2" t="s">
        <v>970</v>
      </c>
      <c r="Q1749" s="2" t="s">
        <v>11216</v>
      </c>
      <c r="R1749" s="2" t="s">
        <v>40</v>
      </c>
      <c r="S1749" s="2" t="s">
        <v>11217</v>
      </c>
      <c r="T1749" s="2" t="s">
        <v>3371</v>
      </c>
      <c r="U1749" s="2" t="s">
        <v>9363</v>
      </c>
      <c r="V1749" s="2" t="s">
        <v>11218</v>
      </c>
      <c r="W1749" s="1"/>
      <c r="X1749" s="2" t="s">
        <v>965</v>
      </c>
      <c r="Y1749" s="2" t="s">
        <v>11114</v>
      </c>
      <c r="AA1749" t="str">
        <f t="shared" si="162"/>
        <v>2025-12</v>
      </c>
      <c r="AB1749" t="str">
        <f t="shared" si="163"/>
        <v/>
      </c>
      <c r="AC1749">
        <f t="shared" si="164"/>
        <v>563171.52</v>
      </c>
      <c r="AD1749">
        <f t="shared" si="165"/>
        <v>40</v>
      </c>
      <c r="AE1749">
        <f t="shared" si="166"/>
        <v>144262.43</v>
      </c>
      <c r="AF1749" t="str">
        <f t="shared" si="167"/>
        <v>Paid</v>
      </c>
    </row>
    <row r="1750" spans="1:32" ht="17.25" thickBot="1" x14ac:dyDescent="0.35">
      <c r="A1750" s="2" t="s">
        <v>11219</v>
      </c>
      <c r="B1750" s="2" t="s">
        <v>27</v>
      </c>
      <c r="C1750" s="2" t="s">
        <v>28</v>
      </c>
      <c r="D1750" s="2" t="s">
        <v>97</v>
      </c>
      <c r="E1750" s="2" t="s">
        <v>11109</v>
      </c>
      <c r="F1750" s="2" t="s">
        <v>8445</v>
      </c>
      <c r="G1750" s="2" t="s">
        <v>32</v>
      </c>
      <c r="H1750" s="1"/>
      <c r="I1750" s="2" t="s">
        <v>33</v>
      </c>
      <c r="J1750" s="2" t="s">
        <v>34</v>
      </c>
      <c r="K1750" s="2" t="s">
        <v>2380</v>
      </c>
      <c r="L1750" s="2" t="s">
        <v>2381</v>
      </c>
      <c r="M1750" s="2" t="s">
        <v>2372</v>
      </c>
      <c r="N1750" s="2" t="s">
        <v>38</v>
      </c>
      <c r="O1750" s="2" t="s">
        <v>141</v>
      </c>
      <c r="P1750" s="2" t="s">
        <v>5833</v>
      </c>
      <c r="Q1750" s="2" t="s">
        <v>11220</v>
      </c>
      <c r="R1750" s="2" t="s">
        <v>40</v>
      </c>
      <c r="S1750" s="2" t="s">
        <v>11221</v>
      </c>
      <c r="T1750" s="2" t="s">
        <v>2383</v>
      </c>
      <c r="U1750" s="2" t="s">
        <v>11222</v>
      </c>
      <c r="V1750" s="2" t="s">
        <v>11223</v>
      </c>
      <c r="W1750" s="1"/>
      <c r="X1750" s="2" t="s">
        <v>806</v>
      </c>
      <c r="Y1750" s="2" t="s">
        <v>11114</v>
      </c>
      <c r="AA1750" t="str">
        <f t="shared" si="162"/>
        <v>2025-12</v>
      </c>
      <c r="AB1750" t="str">
        <f t="shared" si="163"/>
        <v/>
      </c>
      <c r="AC1750">
        <f t="shared" si="164"/>
        <v>197801.04</v>
      </c>
      <c r="AD1750">
        <f t="shared" si="165"/>
        <v>30</v>
      </c>
      <c r="AE1750">
        <f t="shared" si="166"/>
        <v>50528.31</v>
      </c>
      <c r="AF1750" t="str">
        <f t="shared" si="167"/>
        <v>Paid</v>
      </c>
    </row>
    <row r="1751" spans="1:32" ht="17.25" thickBot="1" x14ac:dyDescent="0.35">
      <c r="A1751" s="2" t="s">
        <v>11224</v>
      </c>
      <c r="B1751" s="2" t="s">
        <v>27</v>
      </c>
      <c r="C1751" s="2" t="s">
        <v>28</v>
      </c>
      <c r="D1751" s="2" t="s">
        <v>97</v>
      </c>
      <c r="E1751" s="2" t="s">
        <v>11109</v>
      </c>
      <c r="F1751" s="2" t="s">
        <v>8445</v>
      </c>
      <c r="G1751" s="2" t="s">
        <v>32</v>
      </c>
      <c r="H1751" s="1"/>
      <c r="I1751" s="2" t="s">
        <v>33</v>
      </c>
      <c r="J1751" s="2" t="s">
        <v>34</v>
      </c>
      <c r="K1751" s="2" t="s">
        <v>11225</v>
      </c>
      <c r="L1751" s="2" t="s">
        <v>11226</v>
      </c>
      <c r="M1751" s="2" t="s">
        <v>11227</v>
      </c>
      <c r="N1751" s="2" t="s">
        <v>38</v>
      </c>
      <c r="O1751" s="2" t="s">
        <v>76</v>
      </c>
      <c r="P1751" s="2" t="s">
        <v>11228</v>
      </c>
      <c r="Q1751" s="2" t="s">
        <v>11229</v>
      </c>
      <c r="R1751" s="2" t="s">
        <v>40</v>
      </c>
      <c r="S1751" s="2" t="s">
        <v>11230</v>
      </c>
      <c r="T1751" s="2" t="s">
        <v>11231</v>
      </c>
      <c r="U1751" s="2" t="s">
        <v>11232</v>
      </c>
      <c r="V1751" s="2" t="s">
        <v>11233</v>
      </c>
      <c r="W1751" s="1"/>
      <c r="X1751" s="2" t="s">
        <v>4195</v>
      </c>
      <c r="Y1751" s="2" t="s">
        <v>11114</v>
      </c>
      <c r="AA1751" t="str">
        <f t="shared" si="162"/>
        <v>2025-12</v>
      </c>
      <c r="AB1751" t="str">
        <f t="shared" si="163"/>
        <v/>
      </c>
      <c r="AC1751">
        <f t="shared" si="164"/>
        <v>250576.78</v>
      </c>
      <c r="AD1751">
        <f t="shared" si="165"/>
        <v>9</v>
      </c>
      <c r="AE1751">
        <f t="shared" si="166"/>
        <v>37024.78</v>
      </c>
      <c r="AF1751" t="str">
        <f t="shared" si="167"/>
        <v>Paid</v>
      </c>
    </row>
    <row r="1752" spans="1:32" ht="17.25" thickBot="1" x14ac:dyDescent="0.35">
      <c r="A1752" s="2" t="s">
        <v>11234</v>
      </c>
      <c r="B1752" s="2" t="s">
        <v>27</v>
      </c>
      <c r="C1752" s="2" t="s">
        <v>28</v>
      </c>
      <c r="D1752" s="2" t="s">
        <v>97</v>
      </c>
      <c r="E1752" s="2" t="s">
        <v>11109</v>
      </c>
      <c r="F1752" s="2" t="s">
        <v>8445</v>
      </c>
      <c r="G1752" s="2" t="s">
        <v>32</v>
      </c>
      <c r="H1752" s="1"/>
      <c r="I1752" s="2" t="s">
        <v>33</v>
      </c>
      <c r="J1752" s="2" t="s">
        <v>34</v>
      </c>
      <c r="K1752" s="2" t="s">
        <v>2387</v>
      </c>
      <c r="L1752" s="2" t="s">
        <v>2388</v>
      </c>
      <c r="M1752" s="2" t="s">
        <v>2389</v>
      </c>
      <c r="N1752" s="2" t="s">
        <v>38</v>
      </c>
      <c r="O1752" s="2" t="s">
        <v>466</v>
      </c>
      <c r="P1752" s="2" t="s">
        <v>11235</v>
      </c>
      <c r="Q1752" s="2" t="s">
        <v>11236</v>
      </c>
      <c r="R1752" s="2" t="s">
        <v>40</v>
      </c>
      <c r="S1752" s="2" t="s">
        <v>11237</v>
      </c>
      <c r="T1752" s="2" t="s">
        <v>2393</v>
      </c>
      <c r="U1752" s="2" t="s">
        <v>3377</v>
      </c>
      <c r="V1752" s="2" t="s">
        <v>11238</v>
      </c>
      <c r="W1752" s="1"/>
      <c r="X1752" s="2" t="s">
        <v>1437</v>
      </c>
      <c r="Y1752" s="2" t="s">
        <v>11114</v>
      </c>
      <c r="AA1752" t="str">
        <f t="shared" si="162"/>
        <v>2025-12</v>
      </c>
      <c r="AB1752" t="str">
        <f t="shared" si="163"/>
        <v/>
      </c>
      <c r="AC1752">
        <f t="shared" si="164"/>
        <v>287200.2</v>
      </c>
      <c r="AD1752">
        <f t="shared" si="165"/>
        <v>70</v>
      </c>
      <c r="AE1752">
        <f t="shared" si="166"/>
        <v>70836.570000000007</v>
      </c>
      <c r="AF1752" t="str">
        <f t="shared" si="167"/>
        <v>Paid</v>
      </c>
    </row>
    <row r="1753" spans="1:32" ht="17.25" thickBot="1" x14ac:dyDescent="0.35">
      <c r="A1753" s="2" t="s">
        <v>11239</v>
      </c>
      <c r="B1753" s="2" t="s">
        <v>27</v>
      </c>
      <c r="C1753" s="2" t="s">
        <v>28</v>
      </c>
      <c r="D1753" s="2" t="s">
        <v>97</v>
      </c>
      <c r="E1753" s="2" t="s">
        <v>11109</v>
      </c>
      <c r="F1753" s="2" t="s">
        <v>8445</v>
      </c>
      <c r="G1753" s="2" t="s">
        <v>32</v>
      </c>
      <c r="H1753" s="1"/>
      <c r="I1753" s="2" t="s">
        <v>33</v>
      </c>
      <c r="J1753" s="2" t="s">
        <v>34</v>
      </c>
      <c r="K1753" s="2" t="s">
        <v>2396</v>
      </c>
      <c r="L1753" s="2" t="s">
        <v>2397</v>
      </c>
      <c r="M1753" s="2" t="s">
        <v>2389</v>
      </c>
      <c r="N1753" s="2" t="s">
        <v>38</v>
      </c>
      <c r="O1753" s="2" t="s">
        <v>131</v>
      </c>
      <c r="P1753" s="2" t="s">
        <v>646</v>
      </c>
      <c r="Q1753" s="2" t="s">
        <v>11240</v>
      </c>
      <c r="R1753" s="2" t="s">
        <v>40</v>
      </c>
      <c r="S1753" s="2" t="s">
        <v>11241</v>
      </c>
      <c r="T1753" s="2" t="s">
        <v>2401</v>
      </c>
      <c r="U1753" s="2" t="s">
        <v>11242</v>
      </c>
      <c r="V1753" s="2" t="s">
        <v>11243</v>
      </c>
      <c r="W1753" s="1"/>
      <c r="X1753" s="2" t="s">
        <v>965</v>
      </c>
      <c r="Y1753" s="2" t="s">
        <v>11114</v>
      </c>
      <c r="AA1753" t="str">
        <f t="shared" si="162"/>
        <v>2025-12</v>
      </c>
      <c r="AB1753" t="str">
        <f t="shared" si="163"/>
        <v/>
      </c>
      <c r="AC1753">
        <f t="shared" si="164"/>
        <v>371416.8</v>
      </c>
      <c r="AD1753">
        <f t="shared" si="165"/>
        <v>40</v>
      </c>
      <c r="AE1753">
        <f t="shared" si="166"/>
        <v>95016.8</v>
      </c>
      <c r="AF1753" t="str">
        <f t="shared" si="167"/>
        <v>Paid</v>
      </c>
    </row>
    <row r="1754" spans="1:32" ht="17.25" thickBot="1" x14ac:dyDescent="0.35">
      <c r="A1754" s="2" t="s">
        <v>11244</v>
      </c>
      <c r="B1754" s="2" t="s">
        <v>27</v>
      </c>
      <c r="C1754" s="2" t="s">
        <v>28</v>
      </c>
      <c r="D1754" s="2" t="s">
        <v>97</v>
      </c>
      <c r="E1754" s="2" t="s">
        <v>11109</v>
      </c>
      <c r="F1754" s="2" t="s">
        <v>8445</v>
      </c>
      <c r="G1754" s="2" t="s">
        <v>32</v>
      </c>
      <c r="H1754" s="1"/>
      <c r="I1754" s="2" t="s">
        <v>33</v>
      </c>
      <c r="J1754" s="2" t="s">
        <v>34</v>
      </c>
      <c r="K1754" s="2" t="s">
        <v>2405</v>
      </c>
      <c r="L1754" s="2" t="s">
        <v>2406</v>
      </c>
      <c r="M1754" s="2" t="s">
        <v>2389</v>
      </c>
      <c r="N1754" s="2" t="s">
        <v>38</v>
      </c>
      <c r="O1754" s="2" t="s">
        <v>149</v>
      </c>
      <c r="P1754" s="2" t="s">
        <v>11245</v>
      </c>
      <c r="Q1754" s="2" t="s">
        <v>11246</v>
      </c>
      <c r="R1754" s="2" t="s">
        <v>40</v>
      </c>
      <c r="S1754" s="2" t="s">
        <v>11247</v>
      </c>
      <c r="T1754" s="2" t="s">
        <v>2411</v>
      </c>
      <c r="U1754" s="2" t="s">
        <v>163</v>
      </c>
      <c r="V1754" s="2" t="s">
        <v>11248</v>
      </c>
      <c r="W1754" s="1"/>
      <c r="X1754" s="2" t="s">
        <v>4421</v>
      </c>
      <c r="Y1754" s="2" t="s">
        <v>11114</v>
      </c>
      <c r="AA1754" t="str">
        <f t="shared" si="162"/>
        <v>2025-12</v>
      </c>
      <c r="AB1754" t="str">
        <f t="shared" si="163"/>
        <v/>
      </c>
      <c r="AC1754">
        <f t="shared" si="164"/>
        <v>1148800.8</v>
      </c>
      <c r="AD1754">
        <f t="shared" si="165"/>
        <v>300</v>
      </c>
      <c r="AE1754">
        <f t="shared" si="166"/>
        <v>248800.8</v>
      </c>
      <c r="AF1754" t="str">
        <f t="shared" si="167"/>
        <v>Paid</v>
      </c>
    </row>
    <row r="1755" spans="1:32" ht="17.25" thickBot="1" x14ac:dyDescent="0.35">
      <c r="A1755" s="2" t="s">
        <v>11249</v>
      </c>
      <c r="B1755" s="2" t="s">
        <v>27</v>
      </c>
      <c r="C1755" s="2" t="s">
        <v>28</v>
      </c>
      <c r="D1755" s="2" t="s">
        <v>97</v>
      </c>
      <c r="E1755" s="2" t="s">
        <v>11109</v>
      </c>
      <c r="F1755" s="2" t="s">
        <v>8445</v>
      </c>
      <c r="G1755" s="2" t="s">
        <v>32</v>
      </c>
      <c r="H1755" s="1"/>
      <c r="I1755" s="2" t="s">
        <v>33</v>
      </c>
      <c r="J1755" s="2" t="s">
        <v>34</v>
      </c>
      <c r="K1755" s="2" t="s">
        <v>2431</v>
      </c>
      <c r="L1755" s="2" t="s">
        <v>2432</v>
      </c>
      <c r="M1755" s="2" t="s">
        <v>2389</v>
      </c>
      <c r="N1755" s="2" t="s">
        <v>38</v>
      </c>
      <c r="O1755" s="2" t="s">
        <v>156</v>
      </c>
      <c r="P1755" s="2" t="s">
        <v>3069</v>
      </c>
      <c r="Q1755" s="2" t="s">
        <v>11250</v>
      </c>
      <c r="R1755" s="2" t="s">
        <v>40</v>
      </c>
      <c r="S1755" s="2" t="s">
        <v>11251</v>
      </c>
      <c r="T1755" s="2" t="s">
        <v>2436</v>
      </c>
      <c r="U1755" s="2" t="s">
        <v>11252</v>
      </c>
      <c r="V1755" s="2" t="s">
        <v>11253</v>
      </c>
      <c r="W1755" s="1"/>
      <c r="X1755" s="2" t="s">
        <v>1091</v>
      </c>
      <c r="Y1755" s="2" t="s">
        <v>11114</v>
      </c>
      <c r="AA1755" t="str">
        <f t="shared" si="162"/>
        <v>2025-12</v>
      </c>
      <c r="AB1755" t="str">
        <f t="shared" si="163"/>
        <v/>
      </c>
      <c r="AC1755">
        <f t="shared" si="164"/>
        <v>157492.24</v>
      </c>
      <c r="AD1755">
        <f t="shared" si="165"/>
        <v>20</v>
      </c>
      <c r="AE1755">
        <f t="shared" si="166"/>
        <v>39764.97</v>
      </c>
      <c r="AF1755" t="str">
        <f t="shared" si="167"/>
        <v>Paid</v>
      </c>
    </row>
    <row r="1756" spans="1:32" ht="17.25" thickBot="1" x14ac:dyDescent="0.35">
      <c r="A1756" s="2" t="s">
        <v>11254</v>
      </c>
      <c r="B1756" s="2" t="s">
        <v>27</v>
      </c>
      <c r="C1756" s="2" t="s">
        <v>28</v>
      </c>
      <c r="D1756" s="2" t="s">
        <v>97</v>
      </c>
      <c r="E1756" s="2" t="s">
        <v>11109</v>
      </c>
      <c r="F1756" s="2" t="s">
        <v>8445</v>
      </c>
      <c r="G1756" s="2" t="s">
        <v>32</v>
      </c>
      <c r="H1756" s="1"/>
      <c r="I1756" s="2" t="s">
        <v>33</v>
      </c>
      <c r="J1756" s="2" t="s">
        <v>34</v>
      </c>
      <c r="K1756" s="2" t="s">
        <v>2440</v>
      </c>
      <c r="L1756" s="2" t="s">
        <v>2441</v>
      </c>
      <c r="M1756" s="2" t="s">
        <v>2389</v>
      </c>
      <c r="N1756" s="2" t="s">
        <v>38</v>
      </c>
      <c r="O1756" s="2" t="s">
        <v>156</v>
      </c>
      <c r="P1756" s="2" t="s">
        <v>5852</v>
      </c>
      <c r="Q1756" s="2" t="s">
        <v>11255</v>
      </c>
      <c r="R1756" s="2" t="s">
        <v>40</v>
      </c>
      <c r="S1756" s="2" t="s">
        <v>11256</v>
      </c>
      <c r="T1756" s="2" t="s">
        <v>5434</v>
      </c>
      <c r="U1756" s="2" t="s">
        <v>11257</v>
      </c>
      <c r="V1756" s="2" t="s">
        <v>11258</v>
      </c>
      <c r="W1756" s="1"/>
      <c r="X1756" s="2" t="s">
        <v>1437</v>
      </c>
      <c r="Y1756" s="2" t="s">
        <v>11114</v>
      </c>
      <c r="AA1756" t="str">
        <f t="shared" si="162"/>
        <v>2025-12</v>
      </c>
      <c r="AB1756" t="str">
        <f t="shared" si="163"/>
        <v/>
      </c>
      <c r="AC1756">
        <f t="shared" si="164"/>
        <v>127548.56</v>
      </c>
      <c r="AD1756">
        <f t="shared" si="165"/>
        <v>20</v>
      </c>
      <c r="AE1756">
        <f t="shared" si="166"/>
        <v>31548.560000000001</v>
      </c>
      <c r="AF1756" t="str">
        <f t="shared" si="167"/>
        <v>Paid</v>
      </c>
    </row>
    <row r="1757" spans="1:32" ht="17.25" thickBot="1" x14ac:dyDescent="0.35">
      <c r="A1757" s="2" t="s">
        <v>11259</v>
      </c>
      <c r="B1757" s="2" t="s">
        <v>27</v>
      </c>
      <c r="C1757" s="2" t="s">
        <v>28</v>
      </c>
      <c r="D1757" s="2" t="s">
        <v>97</v>
      </c>
      <c r="E1757" s="2" t="s">
        <v>11109</v>
      </c>
      <c r="F1757" s="2" t="s">
        <v>8445</v>
      </c>
      <c r="G1757" s="2" t="s">
        <v>32</v>
      </c>
      <c r="H1757" s="1"/>
      <c r="I1757" s="2" t="s">
        <v>33</v>
      </c>
      <c r="J1757" s="2" t="s">
        <v>34</v>
      </c>
      <c r="K1757" s="2" t="s">
        <v>11260</v>
      </c>
      <c r="L1757" s="2" t="s">
        <v>11261</v>
      </c>
      <c r="M1757" s="2" t="s">
        <v>2389</v>
      </c>
      <c r="N1757" s="2" t="s">
        <v>38</v>
      </c>
      <c r="O1757" s="2" t="s">
        <v>141</v>
      </c>
      <c r="P1757" s="2" t="s">
        <v>11262</v>
      </c>
      <c r="Q1757" s="2" t="s">
        <v>4113</v>
      </c>
      <c r="R1757" s="2" t="s">
        <v>40</v>
      </c>
      <c r="S1757" s="2" t="s">
        <v>11263</v>
      </c>
      <c r="T1757" s="2" t="s">
        <v>3110</v>
      </c>
      <c r="U1757" s="2" t="s">
        <v>3024</v>
      </c>
      <c r="V1757" s="2" t="s">
        <v>11264</v>
      </c>
      <c r="W1757" s="1"/>
      <c r="X1757" s="2" t="s">
        <v>934</v>
      </c>
      <c r="Y1757" s="2" t="s">
        <v>11114</v>
      </c>
      <c r="AA1757" t="str">
        <f t="shared" si="162"/>
        <v>2025-12</v>
      </c>
      <c r="AB1757" t="str">
        <f t="shared" si="163"/>
        <v/>
      </c>
      <c r="AC1757">
        <f t="shared" si="164"/>
        <v>158931.84</v>
      </c>
      <c r="AD1757">
        <f t="shared" si="165"/>
        <v>30</v>
      </c>
      <c r="AE1757">
        <f t="shared" si="166"/>
        <v>38931.839999999997</v>
      </c>
      <c r="AF1757" t="str">
        <f t="shared" si="167"/>
        <v>Paid</v>
      </c>
    </row>
    <row r="1758" spans="1:32" ht="17.25" thickBot="1" x14ac:dyDescent="0.35">
      <c r="A1758" s="2" t="s">
        <v>11265</v>
      </c>
      <c r="B1758" s="2" t="s">
        <v>27</v>
      </c>
      <c r="C1758" s="2" t="s">
        <v>28</v>
      </c>
      <c r="D1758" s="2" t="s">
        <v>97</v>
      </c>
      <c r="E1758" s="2" t="s">
        <v>11109</v>
      </c>
      <c r="F1758" s="2" t="s">
        <v>8445</v>
      </c>
      <c r="G1758" s="2" t="s">
        <v>32</v>
      </c>
      <c r="H1758" s="1"/>
      <c r="I1758" s="2" t="s">
        <v>33</v>
      </c>
      <c r="J1758" s="2" t="s">
        <v>34</v>
      </c>
      <c r="K1758" s="2" t="s">
        <v>2450</v>
      </c>
      <c r="L1758" s="2" t="s">
        <v>2451</v>
      </c>
      <c r="M1758" s="2" t="s">
        <v>2389</v>
      </c>
      <c r="N1758" s="2" t="s">
        <v>38</v>
      </c>
      <c r="O1758" s="2" t="s">
        <v>391</v>
      </c>
      <c r="P1758" s="2" t="s">
        <v>1268</v>
      </c>
      <c r="Q1758" s="2" t="s">
        <v>11266</v>
      </c>
      <c r="R1758" s="2" t="s">
        <v>40</v>
      </c>
      <c r="S1758" s="2" t="s">
        <v>11267</v>
      </c>
      <c r="T1758" s="2" t="s">
        <v>2455</v>
      </c>
      <c r="U1758" s="2" t="s">
        <v>11268</v>
      </c>
      <c r="V1758" s="2" t="s">
        <v>11269</v>
      </c>
      <c r="W1758" s="1"/>
      <c r="X1758" s="2" t="s">
        <v>1437</v>
      </c>
      <c r="Y1758" s="2" t="s">
        <v>11114</v>
      </c>
      <c r="AA1758" t="str">
        <f t="shared" si="162"/>
        <v>2025-12</v>
      </c>
      <c r="AB1758" t="str">
        <f t="shared" si="163"/>
        <v/>
      </c>
      <c r="AC1758">
        <f t="shared" si="164"/>
        <v>344640.24</v>
      </c>
      <c r="AD1758">
        <f t="shared" si="165"/>
        <v>60</v>
      </c>
      <c r="AE1758">
        <f t="shared" si="166"/>
        <v>85003.88</v>
      </c>
      <c r="AF1758" t="str">
        <f t="shared" si="167"/>
        <v>Paid</v>
      </c>
    </row>
    <row r="1759" spans="1:32" ht="17.25" thickBot="1" x14ac:dyDescent="0.35">
      <c r="A1759" s="2" t="s">
        <v>11270</v>
      </c>
      <c r="B1759" s="2" t="s">
        <v>27</v>
      </c>
      <c r="C1759" s="2" t="s">
        <v>28</v>
      </c>
      <c r="D1759" s="2" t="s">
        <v>97</v>
      </c>
      <c r="E1759" s="2" t="s">
        <v>11109</v>
      </c>
      <c r="F1759" s="2" t="s">
        <v>8445</v>
      </c>
      <c r="G1759" s="2" t="s">
        <v>32</v>
      </c>
      <c r="H1759" s="1"/>
      <c r="I1759" s="2" t="s">
        <v>33</v>
      </c>
      <c r="J1759" s="2" t="s">
        <v>34</v>
      </c>
      <c r="K1759" s="2" t="s">
        <v>2459</v>
      </c>
      <c r="L1759" s="2" t="s">
        <v>2460</v>
      </c>
      <c r="M1759" s="2" t="s">
        <v>2389</v>
      </c>
      <c r="N1759" s="2" t="s">
        <v>38</v>
      </c>
      <c r="O1759" s="2" t="s">
        <v>214</v>
      </c>
      <c r="P1759" s="2" t="s">
        <v>11271</v>
      </c>
      <c r="Q1759" s="2" t="s">
        <v>11272</v>
      </c>
      <c r="R1759" s="2" t="s">
        <v>40</v>
      </c>
      <c r="S1759" s="2" t="s">
        <v>11273</v>
      </c>
      <c r="T1759" s="2" t="s">
        <v>2464</v>
      </c>
      <c r="U1759" s="2" t="s">
        <v>11274</v>
      </c>
      <c r="V1759" s="2" t="s">
        <v>11275</v>
      </c>
      <c r="W1759" s="1"/>
      <c r="X1759" s="2" t="s">
        <v>201</v>
      </c>
      <c r="Y1759" s="2" t="s">
        <v>11114</v>
      </c>
      <c r="AA1759" t="str">
        <f t="shared" si="162"/>
        <v>2025-12</v>
      </c>
      <c r="AB1759" t="str">
        <f t="shared" si="163"/>
        <v/>
      </c>
      <c r="AC1759">
        <f t="shared" si="164"/>
        <v>125965</v>
      </c>
      <c r="AD1759">
        <f t="shared" si="165"/>
        <v>50</v>
      </c>
      <c r="AE1759">
        <f t="shared" si="166"/>
        <v>30510.46</v>
      </c>
      <c r="AF1759" t="str">
        <f t="shared" si="167"/>
        <v>Paid</v>
      </c>
    </row>
    <row r="1760" spans="1:32" ht="17.25" thickBot="1" x14ac:dyDescent="0.35">
      <c r="A1760" s="2" t="s">
        <v>11276</v>
      </c>
      <c r="B1760" s="2" t="s">
        <v>27</v>
      </c>
      <c r="C1760" s="2" t="s">
        <v>28</v>
      </c>
      <c r="D1760" s="2" t="s">
        <v>97</v>
      </c>
      <c r="E1760" s="2" t="s">
        <v>11109</v>
      </c>
      <c r="F1760" s="2" t="s">
        <v>8445</v>
      </c>
      <c r="G1760" s="2" t="s">
        <v>32</v>
      </c>
      <c r="H1760" s="1"/>
      <c r="I1760" s="2" t="s">
        <v>33</v>
      </c>
      <c r="J1760" s="2" t="s">
        <v>34</v>
      </c>
      <c r="K1760" s="2" t="s">
        <v>11277</v>
      </c>
      <c r="L1760" s="2" t="s">
        <v>11278</v>
      </c>
      <c r="M1760" s="2" t="s">
        <v>2389</v>
      </c>
      <c r="N1760" s="2" t="s">
        <v>38</v>
      </c>
      <c r="O1760" s="2" t="s">
        <v>877</v>
      </c>
      <c r="P1760" s="2" t="s">
        <v>2373</v>
      </c>
      <c r="Q1760" s="2" t="s">
        <v>11279</v>
      </c>
      <c r="R1760" s="2" t="s">
        <v>40</v>
      </c>
      <c r="S1760" s="2" t="s">
        <v>11280</v>
      </c>
      <c r="T1760" s="2" t="s">
        <v>2505</v>
      </c>
      <c r="U1760" s="2" t="s">
        <v>11281</v>
      </c>
      <c r="V1760" s="2" t="s">
        <v>11282</v>
      </c>
      <c r="W1760" s="1"/>
      <c r="X1760" s="2" t="s">
        <v>817</v>
      </c>
      <c r="Y1760" s="2" t="s">
        <v>11114</v>
      </c>
      <c r="AA1760" t="str">
        <f t="shared" si="162"/>
        <v>2025-12</v>
      </c>
      <c r="AB1760" t="str">
        <f t="shared" si="163"/>
        <v/>
      </c>
      <c r="AC1760">
        <f t="shared" si="164"/>
        <v>1065304</v>
      </c>
      <c r="AD1760">
        <f t="shared" si="165"/>
        <v>100</v>
      </c>
      <c r="AE1760">
        <f t="shared" si="166"/>
        <v>261667.64</v>
      </c>
      <c r="AF1760" t="str">
        <f t="shared" si="167"/>
        <v>Paid</v>
      </c>
    </row>
    <row r="1761" spans="1:32" ht="17.25" thickBot="1" x14ac:dyDescent="0.35">
      <c r="A1761" s="2" t="s">
        <v>11283</v>
      </c>
      <c r="B1761" s="2" t="s">
        <v>27</v>
      </c>
      <c r="C1761" s="2" t="s">
        <v>28</v>
      </c>
      <c r="D1761" s="2" t="s">
        <v>97</v>
      </c>
      <c r="E1761" s="2" t="s">
        <v>11109</v>
      </c>
      <c r="F1761" s="2" t="s">
        <v>8445</v>
      </c>
      <c r="G1761" s="2" t="s">
        <v>32</v>
      </c>
      <c r="H1761" s="1"/>
      <c r="I1761" s="2" t="s">
        <v>33</v>
      </c>
      <c r="J1761" s="2" t="s">
        <v>34</v>
      </c>
      <c r="K1761" s="2" t="s">
        <v>2468</v>
      </c>
      <c r="L1761" s="2" t="s">
        <v>2469</v>
      </c>
      <c r="M1761" s="2" t="s">
        <v>2389</v>
      </c>
      <c r="N1761" s="2" t="s">
        <v>38</v>
      </c>
      <c r="O1761" s="2" t="s">
        <v>185</v>
      </c>
      <c r="P1761" s="2" t="s">
        <v>3868</v>
      </c>
      <c r="Q1761" s="2" t="s">
        <v>11284</v>
      </c>
      <c r="R1761" s="2" t="s">
        <v>40</v>
      </c>
      <c r="S1761" s="2" t="s">
        <v>11285</v>
      </c>
      <c r="T1761" s="2" t="s">
        <v>11286</v>
      </c>
      <c r="U1761" s="2" t="s">
        <v>11287</v>
      </c>
      <c r="V1761" s="2" t="s">
        <v>11288</v>
      </c>
      <c r="W1761" s="1"/>
      <c r="X1761" s="2" t="s">
        <v>965</v>
      </c>
      <c r="Y1761" s="2" t="s">
        <v>11114</v>
      </c>
      <c r="AA1761" t="str">
        <f t="shared" si="162"/>
        <v>2025-12</v>
      </c>
      <c r="AB1761" t="str">
        <f t="shared" si="163"/>
        <v/>
      </c>
      <c r="AC1761">
        <f t="shared" si="164"/>
        <v>252966.51</v>
      </c>
      <c r="AD1761">
        <f t="shared" si="165"/>
        <v>23</v>
      </c>
      <c r="AE1761">
        <f t="shared" si="166"/>
        <v>64780.69</v>
      </c>
      <c r="AF1761" t="str">
        <f t="shared" si="167"/>
        <v>Paid</v>
      </c>
    </row>
    <row r="1762" spans="1:32" ht="17.25" thickBot="1" x14ac:dyDescent="0.35">
      <c r="A1762" s="2" t="s">
        <v>11289</v>
      </c>
      <c r="B1762" s="2" t="s">
        <v>27</v>
      </c>
      <c r="C1762" s="2" t="s">
        <v>28</v>
      </c>
      <c r="D1762" s="2" t="s">
        <v>97</v>
      </c>
      <c r="E1762" s="2" t="s">
        <v>11109</v>
      </c>
      <c r="F1762" s="2" t="s">
        <v>8445</v>
      </c>
      <c r="G1762" s="2" t="s">
        <v>32</v>
      </c>
      <c r="H1762" s="1"/>
      <c r="I1762" s="2" t="s">
        <v>33</v>
      </c>
      <c r="J1762" s="2" t="s">
        <v>34</v>
      </c>
      <c r="K1762" s="2" t="s">
        <v>2477</v>
      </c>
      <c r="L1762" s="2" t="s">
        <v>2478</v>
      </c>
      <c r="M1762" s="2" t="s">
        <v>2389</v>
      </c>
      <c r="N1762" s="2" t="s">
        <v>38</v>
      </c>
      <c r="O1762" s="2" t="s">
        <v>214</v>
      </c>
      <c r="P1762" s="2" t="s">
        <v>11290</v>
      </c>
      <c r="Q1762" s="2" t="s">
        <v>11291</v>
      </c>
      <c r="R1762" s="2" t="s">
        <v>40</v>
      </c>
      <c r="S1762" s="2" t="s">
        <v>11292</v>
      </c>
      <c r="T1762" s="2" t="s">
        <v>2482</v>
      </c>
      <c r="U1762" s="2" t="s">
        <v>3401</v>
      </c>
      <c r="V1762" s="2" t="s">
        <v>11293</v>
      </c>
      <c r="W1762" s="1"/>
      <c r="X1762" s="2" t="s">
        <v>1427</v>
      </c>
      <c r="Y1762" s="2" t="s">
        <v>11114</v>
      </c>
      <c r="AA1762" t="str">
        <f t="shared" si="162"/>
        <v>2025-12</v>
      </c>
      <c r="AB1762" t="str">
        <f t="shared" si="163"/>
        <v/>
      </c>
      <c r="AC1762">
        <f t="shared" si="164"/>
        <v>409566.2</v>
      </c>
      <c r="AD1762">
        <f t="shared" si="165"/>
        <v>50</v>
      </c>
      <c r="AE1762">
        <f t="shared" si="166"/>
        <v>99338.93</v>
      </c>
      <c r="AF1762" t="str">
        <f t="shared" si="167"/>
        <v>Paid</v>
      </c>
    </row>
    <row r="1763" spans="1:32" ht="17.25" thickBot="1" x14ac:dyDescent="0.35">
      <c r="A1763" s="2" t="s">
        <v>11294</v>
      </c>
      <c r="B1763" s="2" t="s">
        <v>27</v>
      </c>
      <c r="C1763" s="2" t="s">
        <v>28</v>
      </c>
      <c r="D1763" s="2" t="s">
        <v>97</v>
      </c>
      <c r="E1763" s="2" t="s">
        <v>11109</v>
      </c>
      <c r="F1763" s="2" t="s">
        <v>8445</v>
      </c>
      <c r="G1763" s="2" t="s">
        <v>32</v>
      </c>
      <c r="H1763" s="1"/>
      <c r="I1763" s="2" t="s">
        <v>33</v>
      </c>
      <c r="J1763" s="2" t="s">
        <v>34</v>
      </c>
      <c r="K1763" s="2" t="s">
        <v>2485</v>
      </c>
      <c r="L1763" s="2" t="s">
        <v>2486</v>
      </c>
      <c r="M1763" s="2" t="s">
        <v>2389</v>
      </c>
      <c r="N1763" s="2" t="s">
        <v>38</v>
      </c>
      <c r="O1763" s="2" t="s">
        <v>141</v>
      </c>
      <c r="P1763" s="2" t="s">
        <v>6237</v>
      </c>
      <c r="Q1763" s="2" t="s">
        <v>9828</v>
      </c>
      <c r="R1763" s="2" t="s">
        <v>40</v>
      </c>
      <c r="S1763" s="2" t="s">
        <v>11295</v>
      </c>
      <c r="T1763" s="2" t="s">
        <v>2490</v>
      </c>
      <c r="U1763" s="2" t="s">
        <v>11296</v>
      </c>
      <c r="V1763" s="2" t="s">
        <v>11297</v>
      </c>
      <c r="W1763" s="1"/>
      <c r="X1763" s="2" t="s">
        <v>201</v>
      </c>
      <c r="Y1763" s="2" t="s">
        <v>11114</v>
      </c>
      <c r="AA1763" t="str">
        <f t="shared" si="162"/>
        <v>2025-12</v>
      </c>
      <c r="AB1763" t="str">
        <f t="shared" si="163"/>
        <v/>
      </c>
      <c r="AC1763">
        <f t="shared" si="164"/>
        <v>239261.52</v>
      </c>
      <c r="AD1763">
        <f t="shared" si="165"/>
        <v>30</v>
      </c>
      <c r="AE1763">
        <f t="shared" si="166"/>
        <v>57897.88</v>
      </c>
      <c r="AF1763" t="str">
        <f t="shared" si="167"/>
        <v>Paid</v>
      </c>
    </row>
    <row r="1764" spans="1:32" ht="17.25" thickBot="1" x14ac:dyDescent="0.35">
      <c r="A1764" s="2" t="s">
        <v>11298</v>
      </c>
      <c r="B1764" s="2" t="s">
        <v>27</v>
      </c>
      <c r="C1764" s="2" t="s">
        <v>28</v>
      </c>
      <c r="D1764" s="2" t="s">
        <v>97</v>
      </c>
      <c r="E1764" s="2" t="s">
        <v>11109</v>
      </c>
      <c r="F1764" s="2" t="s">
        <v>8445</v>
      </c>
      <c r="G1764" s="2" t="s">
        <v>32</v>
      </c>
      <c r="H1764" s="1"/>
      <c r="I1764" s="2" t="s">
        <v>33</v>
      </c>
      <c r="J1764" s="2" t="s">
        <v>34</v>
      </c>
      <c r="K1764" s="2" t="s">
        <v>2494</v>
      </c>
      <c r="L1764" s="2" t="s">
        <v>2495</v>
      </c>
      <c r="M1764" s="2" t="s">
        <v>2389</v>
      </c>
      <c r="N1764" s="2" t="s">
        <v>38</v>
      </c>
      <c r="O1764" s="2" t="s">
        <v>141</v>
      </c>
      <c r="P1764" s="2" t="s">
        <v>6237</v>
      </c>
      <c r="Q1764" s="2" t="s">
        <v>9828</v>
      </c>
      <c r="R1764" s="2" t="s">
        <v>40</v>
      </c>
      <c r="S1764" s="2" t="s">
        <v>11295</v>
      </c>
      <c r="T1764" s="2" t="s">
        <v>2490</v>
      </c>
      <c r="U1764" s="2" t="s">
        <v>11296</v>
      </c>
      <c r="V1764" s="2" t="s">
        <v>11297</v>
      </c>
      <c r="W1764" s="1"/>
      <c r="X1764" s="2" t="s">
        <v>201</v>
      </c>
      <c r="Y1764" s="2" t="s">
        <v>11114</v>
      </c>
      <c r="AA1764" t="str">
        <f t="shared" si="162"/>
        <v>2025-12</v>
      </c>
      <c r="AB1764" t="str">
        <f t="shared" si="163"/>
        <v/>
      </c>
      <c r="AC1764">
        <f t="shared" si="164"/>
        <v>239261.52</v>
      </c>
      <c r="AD1764">
        <f t="shared" si="165"/>
        <v>30</v>
      </c>
      <c r="AE1764">
        <f t="shared" si="166"/>
        <v>57897.88</v>
      </c>
      <c r="AF1764" t="str">
        <f t="shared" si="167"/>
        <v>Paid</v>
      </c>
    </row>
    <row r="1765" spans="1:32" ht="17.25" thickBot="1" x14ac:dyDescent="0.35">
      <c r="A1765" s="2" t="s">
        <v>11299</v>
      </c>
      <c r="B1765" s="2" t="s">
        <v>27</v>
      </c>
      <c r="C1765" s="2" t="s">
        <v>28</v>
      </c>
      <c r="D1765" s="2" t="s">
        <v>97</v>
      </c>
      <c r="E1765" s="2" t="s">
        <v>11109</v>
      </c>
      <c r="F1765" s="2" t="s">
        <v>8445</v>
      </c>
      <c r="G1765" s="2" t="s">
        <v>32</v>
      </c>
      <c r="H1765" s="1"/>
      <c r="I1765" s="2" t="s">
        <v>33</v>
      </c>
      <c r="J1765" s="2" t="s">
        <v>34</v>
      </c>
      <c r="K1765" s="2" t="s">
        <v>2517</v>
      </c>
      <c r="L1765" s="2" t="s">
        <v>2518</v>
      </c>
      <c r="M1765" s="2" t="s">
        <v>2389</v>
      </c>
      <c r="N1765" s="2" t="s">
        <v>38</v>
      </c>
      <c r="O1765" s="2" t="s">
        <v>466</v>
      </c>
      <c r="P1765" s="2" t="s">
        <v>8596</v>
      </c>
      <c r="Q1765" s="2" t="s">
        <v>11300</v>
      </c>
      <c r="R1765" s="2" t="s">
        <v>40</v>
      </c>
      <c r="S1765" s="2" t="s">
        <v>11301</v>
      </c>
      <c r="T1765" s="2" t="s">
        <v>2522</v>
      </c>
      <c r="U1765" s="2" t="s">
        <v>4055</v>
      </c>
      <c r="V1765" s="2" t="s">
        <v>11302</v>
      </c>
      <c r="W1765" s="1"/>
      <c r="X1765" s="2" t="s">
        <v>3393</v>
      </c>
      <c r="Y1765" s="2" t="s">
        <v>11114</v>
      </c>
      <c r="AA1765" t="str">
        <f t="shared" si="162"/>
        <v>2025-12</v>
      </c>
      <c r="AB1765" t="str">
        <f t="shared" si="163"/>
        <v/>
      </c>
      <c r="AC1765">
        <f t="shared" si="164"/>
        <v>475643.84</v>
      </c>
      <c r="AD1765">
        <f t="shared" si="165"/>
        <v>70</v>
      </c>
      <c r="AE1765">
        <f t="shared" si="166"/>
        <v>118643.84</v>
      </c>
      <c r="AF1765" t="str">
        <f t="shared" si="167"/>
        <v>Paid</v>
      </c>
    </row>
    <row r="1766" spans="1:32" ht="17.25" thickBot="1" x14ac:dyDescent="0.35">
      <c r="A1766" s="2" t="s">
        <v>11303</v>
      </c>
      <c r="B1766" s="2" t="s">
        <v>27</v>
      </c>
      <c r="C1766" s="2" t="s">
        <v>28</v>
      </c>
      <c r="D1766" s="2" t="s">
        <v>97</v>
      </c>
      <c r="E1766" s="2" t="s">
        <v>11109</v>
      </c>
      <c r="F1766" s="2" t="s">
        <v>8445</v>
      </c>
      <c r="G1766" s="2" t="s">
        <v>32</v>
      </c>
      <c r="H1766" s="1"/>
      <c r="I1766" s="2" t="s">
        <v>33</v>
      </c>
      <c r="J1766" s="2" t="s">
        <v>34</v>
      </c>
      <c r="K1766" s="2" t="s">
        <v>11304</v>
      </c>
      <c r="L1766" s="2" t="s">
        <v>11305</v>
      </c>
      <c r="M1766" s="2" t="s">
        <v>2389</v>
      </c>
      <c r="N1766" s="2" t="s">
        <v>38</v>
      </c>
      <c r="O1766" s="2" t="s">
        <v>214</v>
      </c>
      <c r="P1766" s="2" t="s">
        <v>8596</v>
      </c>
      <c r="Q1766" s="2" t="s">
        <v>11306</v>
      </c>
      <c r="R1766" s="2" t="s">
        <v>40</v>
      </c>
      <c r="S1766" s="2" t="s">
        <v>11307</v>
      </c>
      <c r="T1766" s="2" t="s">
        <v>2522</v>
      </c>
      <c r="U1766" s="2" t="s">
        <v>2523</v>
      </c>
      <c r="V1766" s="2" t="s">
        <v>11308</v>
      </c>
      <c r="W1766" s="1"/>
      <c r="X1766" s="2" t="s">
        <v>3393</v>
      </c>
      <c r="Y1766" s="2" t="s">
        <v>11114</v>
      </c>
      <c r="AA1766" t="str">
        <f t="shared" si="162"/>
        <v>2025-12</v>
      </c>
      <c r="AB1766" t="str">
        <f t="shared" si="163"/>
        <v/>
      </c>
      <c r="AC1766">
        <f t="shared" si="164"/>
        <v>339745.6</v>
      </c>
      <c r="AD1766">
        <f t="shared" si="165"/>
        <v>50</v>
      </c>
      <c r="AE1766">
        <f t="shared" si="166"/>
        <v>84745.600000000006</v>
      </c>
      <c r="AF1766" t="str">
        <f t="shared" si="167"/>
        <v>Paid</v>
      </c>
    </row>
    <row r="1767" spans="1:32" ht="17.25" thickBot="1" x14ac:dyDescent="0.35">
      <c r="A1767" s="2" t="s">
        <v>11309</v>
      </c>
      <c r="B1767" s="2" t="s">
        <v>27</v>
      </c>
      <c r="C1767" s="2" t="s">
        <v>28</v>
      </c>
      <c r="D1767" s="2" t="s">
        <v>97</v>
      </c>
      <c r="E1767" s="2" t="s">
        <v>11109</v>
      </c>
      <c r="F1767" s="2" t="s">
        <v>8445</v>
      </c>
      <c r="G1767" s="2" t="s">
        <v>32</v>
      </c>
      <c r="H1767" s="1"/>
      <c r="I1767" s="2" t="s">
        <v>33</v>
      </c>
      <c r="J1767" s="2" t="s">
        <v>34</v>
      </c>
      <c r="K1767" s="2" t="s">
        <v>11310</v>
      </c>
      <c r="L1767" s="2" t="s">
        <v>11311</v>
      </c>
      <c r="M1767" s="2" t="s">
        <v>2389</v>
      </c>
      <c r="N1767" s="2" t="s">
        <v>38</v>
      </c>
      <c r="O1767" s="2" t="s">
        <v>391</v>
      </c>
      <c r="P1767" s="2" t="s">
        <v>11312</v>
      </c>
      <c r="Q1767" s="2" t="s">
        <v>11313</v>
      </c>
      <c r="R1767" s="2" t="s">
        <v>40</v>
      </c>
      <c r="S1767" s="2" t="s">
        <v>11314</v>
      </c>
      <c r="T1767" s="2" t="s">
        <v>11315</v>
      </c>
      <c r="U1767" s="2" t="s">
        <v>11316</v>
      </c>
      <c r="V1767" s="2" t="s">
        <v>11317</v>
      </c>
      <c r="W1767" s="1"/>
      <c r="X1767" s="2" t="s">
        <v>817</v>
      </c>
      <c r="Y1767" s="2" t="s">
        <v>11114</v>
      </c>
      <c r="AA1767" t="str">
        <f t="shared" si="162"/>
        <v>2025-12</v>
      </c>
      <c r="AB1767" t="str">
        <f t="shared" si="163"/>
        <v/>
      </c>
      <c r="AC1767">
        <f t="shared" si="164"/>
        <v>418059.84</v>
      </c>
      <c r="AD1767">
        <f t="shared" si="165"/>
        <v>60</v>
      </c>
      <c r="AE1767">
        <f t="shared" si="166"/>
        <v>102787.12</v>
      </c>
      <c r="AF1767" t="str">
        <f t="shared" si="167"/>
        <v>Paid</v>
      </c>
    </row>
    <row r="1768" spans="1:32" ht="17.25" thickBot="1" x14ac:dyDescent="0.35">
      <c r="A1768" s="2" t="s">
        <v>11318</v>
      </c>
      <c r="B1768" s="2" t="s">
        <v>27</v>
      </c>
      <c r="C1768" s="2" t="s">
        <v>28</v>
      </c>
      <c r="D1768" s="2" t="s">
        <v>97</v>
      </c>
      <c r="E1768" s="2" t="s">
        <v>11109</v>
      </c>
      <c r="F1768" s="2" t="s">
        <v>8445</v>
      </c>
      <c r="G1768" s="2" t="s">
        <v>32</v>
      </c>
      <c r="H1768" s="1"/>
      <c r="I1768" s="2" t="s">
        <v>33</v>
      </c>
      <c r="J1768" s="2" t="s">
        <v>34</v>
      </c>
      <c r="K1768" s="2" t="s">
        <v>2535</v>
      </c>
      <c r="L1768" s="2" t="s">
        <v>2536</v>
      </c>
      <c r="M1768" s="2" t="s">
        <v>2389</v>
      </c>
      <c r="N1768" s="2" t="s">
        <v>38</v>
      </c>
      <c r="O1768" s="2" t="s">
        <v>849</v>
      </c>
      <c r="P1768" s="2" t="s">
        <v>3300</v>
      </c>
      <c r="Q1768" s="2" t="s">
        <v>11319</v>
      </c>
      <c r="R1768" s="2" t="s">
        <v>40</v>
      </c>
      <c r="S1768" s="2" t="s">
        <v>11320</v>
      </c>
      <c r="T1768" s="2" t="s">
        <v>2540</v>
      </c>
      <c r="U1768" s="2" t="s">
        <v>11321</v>
      </c>
      <c r="V1768" s="2" t="s">
        <v>11322</v>
      </c>
      <c r="W1768" s="1"/>
      <c r="X1768" s="2" t="s">
        <v>201</v>
      </c>
      <c r="Y1768" s="2" t="s">
        <v>11114</v>
      </c>
      <c r="AA1768" t="str">
        <f t="shared" si="162"/>
        <v>2025-12</v>
      </c>
      <c r="AB1768" t="str">
        <f t="shared" si="163"/>
        <v/>
      </c>
      <c r="AC1768">
        <f t="shared" si="164"/>
        <v>1243814.3999999999</v>
      </c>
      <c r="AD1768">
        <f t="shared" si="165"/>
        <v>160</v>
      </c>
      <c r="AE1768">
        <f t="shared" si="166"/>
        <v>301268.96000000002</v>
      </c>
      <c r="AF1768" t="str">
        <f t="shared" si="167"/>
        <v>Paid</v>
      </c>
    </row>
    <row r="1769" spans="1:32" ht="17.25" thickBot="1" x14ac:dyDescent="0.35">
      <c r="A1769" s="2" t="s">
        <v>11323</v>
      </c>
      <c r="B1769" s="2" t="s">
        <v>27</v>
      </c>
      <c r="C1769" s="2" t="s">
        <v>28</v>
      </c>
      <c r="D1769" s="2" t="s">
        <v>97</v>
      </c>
      <c r="E1769" s="2" t="s">
        <v>11109</v>
      </c>
      <c r="F1769" s="2" t="s">
        <v>8445</v>
      </c>
      <c r="G1769" s="2" t="s">
        <v>32</v>
      </c>
      <c r="H1769" s="1"/>
      <c r="I1769" s="2" t="s">
        <v>33</v>
      </c>
      <c r="J1769" s="2" t="s">
        <v>34</v>
      </c>
      <c r="K1769" s="2" t="s">
        <v>2544</v>
      </c>
      <c r="L1769" s="2" t="s">
        <v>2545</v>
      </c>
      <c r="M1769" s="2" t="s">
        <v>2389</v>
      </c>
      <c r="N1769" s="2" t="s">
        <v>38</v>
      </c>
      <c r="O1769" s="2" t="s">
        <v>779</v>
      </c>
      <c r="P1769" s="2" t="s">
        <v>1001</v>
      </c>
      <c r="Q1769" s="2" t="s">
        <v>11324</v>
      </c>
      <c r="R1769" s="2" t="s">
        <v>40</v>
      </c>
      <c r="S1769" s="2" t="s">
        <v>11325</v>
      </c>
      <c r="T1769" s="2" t="s">
        <v>2549</v>
      </c>
      <c r="U1769" s="2" t="s">
        <v>11326</v>
      </c>
      <c r="V1769" s="2" t="s">
        <v>11327</v>
      </c>
      <c r="W1769" s="1"/>
      <c r="X1769" s="2" t="s">
        <v>1006</v>
      </c>
      <c r="Y1769" s="2" t="s">
        <v>11114</v>
      </c>
      <c r="AA1769" t="str">
        <f t="shared" si="162"/>
        <v>2025-12</v>
      </c>
      <c r="AB1769" t="str">
        <f t="shared" si="163"/>
        <v/>
      </c>
      <c r="AC1769">
        <f t="shared" si="164"/>
        <v>888809.04</v>
      </c>
      <c r="AD1769">
        <f t="shared" si="165"/>
        <v>90</v>
      </c>
      <c r="AE1769">
        <f t="shared" si="166"/>
        <v>229354.5</v>
      </c>
      <c r="AF1769" t="str">
        <f t="shared" si="167"/>
        <v>Paid</v>
      </c>
    </row>
    <row r="1770" spans="1:32" ht="17.25" thickBot="1" x14ac:dyDescent="0.35">
      <c r="A1770" s="2" t="s">
        <v>11328</v>
      </c>
      <c r="B1770" s="2" t="s">
        <v>27</v>
      </c>
      <c r="C1770" s="2" t="s">
        <v>28</v>
      </c>
      <c r="D1770" s="2" t="s">
        <v>97</v>
      </c>
      <c r="E1770" s="2" t="s">
        <v>11109</v>
      </c>
      <c r="F1770" s="2" t="s">
        <v>8445</v>
      </c>
      <c r="G1770" s="2" t="s">
        <v>32</v>
      </c>
      <c r="H1770" s="1"/>
      <c r="I1770" s="2" t="s">
        <v>33</v>
      </c>
      <c r="J1770" s="2" t="s">
        <v>34</v>
      </c>
      <c r="K1770" s="2" t="s">
        <v>2570</v>
      </c>
      <c r="L1770" s="2" t="s">
        <v>2571</v>
      </c>
      <c r="M1770" s="2" t="s">
        <v>2389</v>
      </c>
      <c r="N1770" s="2" t="s">
        <v>38</v>
      </c>
      <c r="O1770" s="2" t="s">
        <v>79</v>
      </c>
      <c r="P1770" s="2" t="s">
        <v>10861</v>
      </c>
      <c r="Q1770" s="2" t="s">
        <v>11329</v>
      </c>
      <c r="R1770" s="2" t="s">
        <v>40</v>
      </c>
      <c r="S1770" s="2" t="s">
        <v>11330</v>
      </c>
      <c r="T1770" s="2" t="s">
        <v>1874</v>
      </c>
      <c r="U1770" s="2" t="s">
        <v>11331</v>
      </c>
      <c r="V1770" s="2" t="s">
        <v>11332</v>
      </c>
      <c r="W1770" s="1"/>
      <c r="X1770" s="2" t="s">
        <v>1427</v>
      </c>
      <c r="Y1770" s="2" t="s">
        <v>11114</v>
      </c>
      <c r="AA1770" t="str">
        <f t="shared" si="162"/>
        <v>2025-12</v>
      </c>
      <c r="AB1770" t="str">
        <f t="shared" si="163"/>
        <v/>
      </c>
      <c r="AC1770">
        <f t="shared" si="164"/>
        <v>117615.32</v>
      </c>
      <c r="AD1770">
        <f t="shared" si="165"/>
        <v>10</v>
      </c>
      <c r="AE1770">
        <f t="shared" si="166"/>
        <v>28524.41</v>
      </c>
      <c r="AF1770" t="str">
        <f t="shared" si="167"/>
        <v>Paid</v>
      </c>
    </row>
    <row r="1771" spans="1:32" ht="17.25" thickBot="1" x14ac:dyDescent="0.35">
      <c r="A1771" s="2" t="s">
        <v>11333</v>
      </c>
      <c r="B1771" s="2" t="s">
        <v>27</v>
      </c>
      <c r="C1771" s="2" t="s">
        <v>28</v>
      </c>
      <c r="D1771" s="2" t="s">
        <v>97</v>
      </c>
      <c r="E1771" s="2" t="s">
        <v>11109</v>
      </c>
      <c r="F1771" s="2" t="s">
        <v>8445</v>
      </c>
      <c r="G1771" s="2" t="s">
        <v>32</v>
      </c>
      <c r="H1771" s="1"/>
      <c r="I1771" s="2" t="s">
        <v>33</v>
      </c>
      <c r="J1771" s="2" t="s">
        <v>34</v>
      </c>
      <c r="K1771" s="2" t="s">
        <v>2586</v>
      </c>
      <c r="L1771" s="2" t="s">
        <v>2587</v>
      </c>
      <c r="M1771" s="2" t="s">
        <v>2389</v>
      </c>
      <c r="N1771" s="2" t="s">
        <v>38</v>
      </c>
      <c r="O1771" s="2" t="s">
        <v>156</v>
      </c>
      <c r="P1771" s="2" t="s">
        <v>11334</v>
      </c>
      <c r="Q1771" s="2" t="s">
        <v>11335</v>
      </c>
      <c r="R1771" s="2" t="s">
        <v>40</v>
      </c>
      <c r="S1771" s="2" t="s">
        <v>11336</v>
      </c>
      <c r="T1771" s="2" t="s">
        <v>11337</v>
      </c>
      <c r="U1771" s="2" t="s">
        <v>11338</v>
      </c>
      <c r="V1771" s="2" t="s">
        <v>11339</v>
      </c>
      <c r="W1771" s="1"/>
      <c r="X1771" s="2" t="s">
        <v>1504</v>
      </c>
      <c r="Y1771" s="2" t="s">
        <v>11114</v>
      </c>
      <c r="AA1771" t="str">
        <f t="shared" si="162"/>
        <v>2025-12</v>
      </c>
      <c r="AB1771" t="str">
        <f t="shared" si="163"/>
        <v/>
      </c>
      <c r="AC1771">
        <f t="shared" si="164"/>
        <v>142808.32000000001</v>
      </c>
      <c r="AD1771">
        <f t="shared" si="165"/>
        <v>20</v>
      </c>
      <c r="AE1771">
        <f t="shared" si="166"/>
        <v>35908.32</v>
      </c>
      <c r="AF1771" t="str">
        <f t="shared" si="167"/>
        <v>Paid</v>
      </c>
    </row>
    <row r="1772" spans="1:32" ht="17.25" thickBot="1" x14ac:dyDescent="0.35">
      <c r="A1772" s="2" t="s">
        <v>11340</v>
      </c>
      <c r="B1772" s="2" t="s">
        <v>27</v>
      </c>
      <c r="C1772" s="2" t="s">
        <v>28</v>
      </c>
      <c r="D1772" s="2" t="s">
        <v>97</v>
      </c>
      <c r="E1772" s="2" t="s">
        <v>11109</v>
      </c>
      <c r="F1772" s="2" t="s">
        <v>8445</v>
      </c>
      <c r="G1772" s="2" t="s">
        <v>32</v>
      </c>
      <c r="H1772" s="1"/>
      <c r="I1772" s="2" t="s">
        <v>33</v>
      </c>
      <c r="J1772" s="2" t="s">
        <v>34</v>
      </c>
      <c r="K1772" s="2" t="s">
        <v>11341</v>
      </c>
      <c r="L1772" s="2" t="s">
        <v>11342</v>
      </c>
      <c r="M1772" s="2" t="s">
        <v>2389</v>
      </c>
      <c r="N1772" s="2" t="s">
        <v>38</v>
      </c>
      <c r="O1772" s="2" t="s">
        <v>141</v>
      </c>
      <c r="P1772" s="2" t="s">
        <v>2433</v>
      </c>
      <c r="Q1772" s="2" t="s">
        <v>11343</v>
      </c>
      <c r="R1772" s="2" t="s">
        <v>40</v>
      </c>
      <c r="S1772" s="2" t="s">
        <v>11344</v>
      </c>
      <c r="T1772" s="2" t="s">
        <v>669</v>
      </c>
      <c r="U1772" s="2" t="s">
        <v>3331</v>
      </c>
      <c r="V1772" s="2" t="s">
        <v>11345</v>
      </c>
      <c r="W1772" s="1"/>
      <c r="X1772" s="2" t="s">
        <v>934</v>
      </c>
      <c r="Y1772" s="2" t="s">
        <v>11114</v>
      </c>
      <c r="AA1772" t="str">
        <f t="shared" si="162"/>
        <v>2025-12</v>
      </c>
      <c r="AB1772" t="str">
        <f t="shared" si="163"/>
        <v/>
      </c>
      <c r="AC1772">
        <f t="shared" si="164"/>
        <v>238397.76</v>
      </c>
      <c r="AD1772">
        <f t="shared" si="165"/>
        <v>30</v>
      </c>
      <c r="AE1772">
        <f t="shared" si="166"/>
        <v>58397.760000000002</v>
      </c>
      <c r="AF1772" t="str">
        <f t="shared" si="167"/>
        <v>Paid</v>
      </c>
    </row>
    <row r="1773" spans="1:32" ht="17.25" thickBot="1" x14ac:dyDescent="0.35">
      <c r="A1773" s="2" t="s">
        <v>11346</v>
      </c>
      <c r="B1773" s="2" t="s">
        <v>27</v>
      </c>
      <c r="C1773" s="2" t="s">
        <v>28</v>
      </c>
      <c r="D1773" s="2" t="s">
        <v>97</v>
      </c>
      <c r="E1773" s="2" t="s">
        <v>11109</v>
      </c>
      <c r="F1773" s="2" t="s">
        <v>8445</v>
      </c>
      <c r="G1773" s="2" t="s">
        <v>32</v>
      </c>
      <c r="H1773" s="1"/>
      <c r="I1773" s="2" t="s">
        <v>33</v>
      </c>
      <c r="J1773" s="2" t="s">
        <v>34</v>
      </c>
      <c r="K1773" s="2" t="s">
        <v>2595</v>
      </c>
      <c r="L1773" s="2" t="s">
        <v>2596</v>
      </c>
      <c r="M1773" s="2" t="s">
        <v>2389</v>
      </c>
      <c r="N1773" s="2" t="s">
        <v>38</v>
      </c>
      <c r="O1773" s="2" t="s">
        <v>141</v>
      </c>
      <c r="P1773" s="2" t="s">
        <v>11334</v>
      </c>
      <c r="Q1773" s="2" t="s">
        <v>11347</v>
      </c>
      <c r="R1773" s="2" t="s">
        <v>40</v>
      </c>
      <c r="S1773" s="2" t="s">
        <v>11348</v>
      </c>
      <c r="T1773" s="2" t="s">
        <v>11337</v>
      </c>
      <c r="U1773" s="2" t="s">
        <v>11349</v>
      </c>
      <c r="V1773" s="2" t="s">
        <v>11350</v>
      </c>
      <c r="W1773" s="1"/>
      <c r="X1773" s="2" t="s">
        <v>1504</v>
      </c>
      <c r="Y1773" s="2" t="s">
        <v>11114</v>
      </c>
      <c r="AA1773" t="str">
        <f t="shared" si="162"/>
        <v>2025-12</v>
      </c>
      <c r="AB1773" t="str">
        <f t="shared" si="163"/>
        <v/>
      </c>
      <c r="AC1773">
        <f t="shared" si="164"/>
        <v>214212.48000000001</v>
      </c>
      <c r="AD1773">
        <f t="shared" si="165"/>
        <v>30</v>
      </c>
      <c r="AE1773">
        <f t="shared" si="166"/>
        <v>53862.48</v>
      </c>
      <c r="AF1773" t="str">
        <f t="shared" si="167"/>
        <v>Paid</v>
      </c>
    </row>
    <row r="1774" spans="1:32" ht="17.25" thickBot="1" x14ac:dyDescent="0.35">
      <c r="A1774" s="2" t="s">
        <v>11351</v>
      </c>
      <c r="B1774" s="2" t="s">
        <v>27</v>
      </c>
      <c r="C1774" s="2" t="s">
        <v>28</v>
      </c>
      <c r="D1774" s="2" t="s">
        <v>97</v>
      </c>
      <c r="E1774" s="2" t="s">
        <v>11109</v>
      </c>
      <c r="F1774" s="2" t="s">
        <v>8445</v>
      </c>
      <c r="G1774" s="2" t="s">
        <v>32</v>
      </c>
      <c r="H1774" s="1"/>
      <c r="I1774" s="2" t="s">
        <v>33</v>
      </c>
      <c r="J1774" s="2" t="s">
        <v>34</v>
      </c>
      <c r="K1774" s="2" t="s">
        <v>2602</v>
      </c>
      <c r="L1774" s="2" t="s">
        <v>2603</v>
      </c>
      <c r="M1774" s="2" t="s">
        <v>2389</v>
      </c>
      <c r="N1774" s="2" t="s">
        <v>38</v>
      </c>
      <c r="O1774" s="2" t="s">
        <v>1631</v>
      </c>
      <c r="P1774" s="2" t="s">
        <v>11352</v>
      </c>
      <c r="Q1774" s="2" t="s">
        <v>11353</v>
      </c>
      <c r="R1774" s="2" t="s">
        <v>40</v>
      </c>
      <c r="S1774" s="2" t="s">
        <v>11354</v>
      </c>
      <c r="T1774" s="2" t="s">
        <v>11355</v>
      </c>
      <c r="U1774" s="2" t="s">
        <v>11356</v>
      </c>
      <c r="V1774" s="2" t="s">
        <v>11357</v>
      </c>
      <c r="W1774" s="1"/>
      <c r="X1774" s="2" t="s">
        <v>201</v>
      </c>
      <c r="Y1774" s="2" t="s">
        <v>11114</v>
      </c>
      <c r="AA1774" t="str">
        <f t="shared" si="162"/>
        <v>2025-12</v>
      </c>
      <c r="AB1774" t="str">
        <f t="shared" si="163"/>
        <v/>
      </c>
      <c r="AC1774">
        <f t="shared" si="164"/>
        <v>2051430</v>
      </c>
      <c r="AD1774">
        <f t="shared" si="165"/>
        <v>190</v>
      </c>
      <c r="AE1774">
        <f t="shared" si="166"/>
        <v>496850</v>
      </c>
      <c r="AF1774" t="str">
        <f t="shared" si="167"/>
        <v>Paid</v>
      </c>
    </row>
    <row r="1775" spans="1:32" ht="17.25" thickBot="1" x14ac:dyDescent="0.35">
      <c r="A1775" s="2" t="s">
        <v>11358</v>
      </c>
      <c r="B1775" s="2" t="s">
        <v>27</v>
      </c>
      <c r="C1775" s="2" t="s">
        <v>28</v>
      </c>
      <c r="D1775" s="2" t="s">
        <v>97</v>
      </c>
      <c r="E1775" s="2" t="s">
        <v>11109</v>
      </c>
      <c r="F1775" s="2" t="s">
        <v>8445</v>
      </c>
      <c r="G1775" s="2" t="s">
        <v>32</v>
      </c>
      <c r="H1775" s="1"/>
      <c r="I1775" s="2" t="s">
        <v>33</v>
      </c>
      <c r="J1775" s="2" t="s">
        <v>34</v>
      </c>
      <c r="K1775" s="2" t="s">
        <v>9421</v>
      </c>
      <c r="L1775" s="2" t="s">
        <v>9422</v>
      </c>
      <c r="M1775" s="2" t="s">
        <v>8664</v>
      </c>
      <c r="N1775" s="2" t="s">
        <v>38</v>
      </c>
      <c r="O1775" s="2" t="s">
        <v>131</v>
      </c>
      <c r="P1775" s="2" t="s">
        <v>11359</v>
      </c>
      <c r="Q1775" s="2" t="s">
        <v>11360</v>
      </c>
      <c r="R1775" s="2" t="s">
        <v>40</v>
      </c>
      <c r="S1775" s="2" t="s">
        <v>11361</v>
      </c>
      <c r="T1775" s="2" t="s">
        <v>9425</v>
      </c>
      <c r="U1775" s="2" t="s">
        <v>11362</v>
      </c>
      <c r="V1775" s="2" t="s">
        <v>11363</v>
      </c>
      <c r="W1775" s="1"/>
      <c r="X1775" s="2" t="s">
        <v>398</v>
      </c>
      <c r="Y1775" s="2" t="s">
        <v>11114</v>
      </c>
      <c r="AA1775" t="str">
        <f t="shared" si="162"/>
        <v>2025-12</v>
      </c>
      <c r="AB1775" t="str">
        <f t="shared" si="163"/>
        <v/>
      </c>
      <c r="AC1775">
        <f t="shared" si="164"/>
        <v>240125.28</v>
      </c>
      <c r="AD1775">
        <f t="shared" si="165"/>
        <v>40</v>
      </c>
      <c r="AE1775">
        <f t="shared" si="166"/>
        <v>28925.279999999999</v>
      </c>
      <c r="AF1775" t="str">
        <f t="shared" si="167"/>
        <v>Paid</v>
      </c>
    </row>
    <row r="1776" spans="1:32" ht="17.25" thickBot="1" x14ac:dyDescent="0.35">
      <c r="A1776" s="2" t="s">
        <v>11364</v>
      </c>
      <c r="B1776" s="2" t="s">
        <v>27</v>
      </c>
      <c r="C1776" s="2" t="s">
        <v>28</v>
      </c>
      <c r="D1776" s="2" t="s">
        <v>97</v>
      </c>
      <c r="E1776" s="2" t="s">
        <v>11109</v>
      </c>
      <c r="F1776" s="2" t="s">
        <v>8445</v>
      </c>
      <c r="G1776" s="2" t="s">
        <v>32</v>
      </c>
      <c r="H1776" s="1"/>
      <c r="I1776" s="2" t="s">
        <v>33</v>
      </c>
      <c r="J1776" s="2" t="s">
        <v>34</v>
      </c>
      <c r="K1776" s="2" t="s">
        <v>9441</v>
      </c>
      <c r="L1776" s="2" t="s">
        <v>9442</v>
      </c>
      <c r="M1776" s="2" t="s">
        <v>8664</v>
      </c>
      <c r="N1776" s="2" t="s">
        <v>38</v>
      </c>
      <c r="O1776" s="2" t="s">
        <v>156</v>
      </c>
      <c r="P1776" s="2" t="s">
        <v>5833</v>
      </c>
      <c r="Q1776" s="2" t="s">
        <v>11365</v>
      </c>
      <c r="R1776" s="2" t="s">
        <v>40</v>
      </c>
      <c r="S1776" s="2" t="s">
        <v>11366</v>
      </c>
      <c r="T1776" s="2" t="s">
        <v>3163</v>
      </c>
      <c r="U1776" s="2" t="s">
        <v>3192</v>
      </c>
      <c r="V1776" s="2" t="s">
        <v>11367</v>
      </c>
      <c r="W1776" s="1"/>
      <c r="X1776" s="2" t="s">
        <v>201</v>
      </c>
      <c r="Y1776" s="2" t="s">
        <v>11114</v>
      </c>
      <c r="AA1776" t="str">
        <f t="shared" si="162"/>
        <v>2025-12</v>
      </c>
      <c r="AB1776" t="str">
        <f t="shared" si="163"/>
        <v/>
      </c>
      <c r="AC1776">
        <f t="shared" si="164"/>
        <v>131867.35999999999</v>
      </c>
      <c r="AD1776">
        <f t="shared" si="165"/>
        <v>20</v>
      </c>
      <c r="AE1776">
        <f t="shared" si="166"/>
        <v>31867.360000000001</v>
      </c>
      <c r="AF1776" t="str">
        <f t="shared" si="167"/>
        <v>Paid</v>
      </c>
    </row>
    <row r="1777" spans="1:32" ht="17.25" thickBot="1" x14ac:dyDescent="0.35">
      <c r="A1777" s="2" t="s">
        <v>11368</v>
      </c>
      <c r="B1777" s="2" t="s">
        <v>27</v>
      </c>
      <c r="C1777" s="2" t="s">
        <v>28</v>
      </c>
      <c r="D1777" s="2" t="s">
        <v>97</v>
      </c>
      <c r="E1777" s="2" t="s">
        <v>11109</v>
      </c>
      <c r="F1777" s="2" t="s">
        <v>8445</v>
      </c>
      <c r="G1777" s="2" t="s">
        <v>32</v>
      </c>
      <c r="H1777" s="1"/>
      <c r="I1777" s="2" t="s">
        <v>33</v>
      </c>
      <c r="J1777" s="2" t="s">
        <v>34</v>
      </c>
      <c r="K1777" s="2" t="s">
        <v>11369</v>
      </c>
      <c r="L1777" s="2" t="s">
        <v>11370</v>
      </c>
      <c r="M1777" s="2" t="s">
        <v>8664</v>
      </c>
      <c r="N1777" s="2" t="s">
        <v>38</v>
      </c>
      <c r="O1777" s="2" t="s">
        <v>779</v>
      </c>
      <c r="P1777" s="2" t="s">
        <v>5833</v>
      </c>
      <c r="Q1777" s="2" t="s">
        <v>11371</v>
      </c>
      <c r="R1777" s="2" t="s">
        <v>40</v>
      </c>
      <c r="S1777" s="2" t="s">
        <v>11372</v>
      </c>
      <c r="T1777" s="2" t="s">
        <v>3213</v>
      </c>
      <c r="U1777" s="2" t="s">
        <v>217</v>
      </c>
      <c r="V1777" s="2" t="s">
        <v>11373</v>
      </c>
      <c r="W1777" s="1"/>
      <c r="X1777" s="2" t="s">
        <v>796</v>
      </c>
      <c r="Y1777" s="2" t="s">
        <v>11114</v>
      </c>
      <c r="AA1777" t="str">
        <f t="shared" si="162"/>
        <v>2025-12</v>
      </c>
      <c r="AB1777" t="str">
        <f t="shared" si="163"/>
        <v/>
      </c>
      <c r="AC1777">
        <f t="shared" si="164"/>
        <v>593403.12</v>
      </c>
      <c r="AD1777">
        <f t="shared" si="165"/>
        <v>90</v>
      </c>
      <c r="AE1777">
        <f t="shared" si="166"/>
        <v>125403.12</v>
      </c>
      <c r="AF1777" t="str">
        <f t="shared" si="167"/>
        <v>Paid</v>
      </c>
    </row>
    <row r="1778" spans="1:32" ht="27.75" thickBot="1" x14ac:dyDescent="0.35">
      <c r="A1778" s="2" t="s">
        <v>11374</v>
      </c>
      <c r="B1778" s="2" t="s">
        <v>27</v>
      </c>
      <c r="C1778" s="2" t="s">
        <v>28</v>
      </c>
      <c r="D1778" s="2" t="s">
        <v>97</v>
      </c>
      <c r="E1778" s="2" t="s">
        <v>11109</v>
      </c>
      <c r="F1778" s="2" t="s">
        <v>8445</v>
      </c>
      <c r="G1778" s="2" t="s">
        <v>32</v>
      </c>
      <c r="H1778" s="1"/>
      <c r="I1778" s="2" t="s">
        <v>33</v>
      </c>
      <c r="J1778" s="2" t="s">
        <v>34</v>
      </c>
      <c r="K1778" s="2" t="s">
        <v>2629</v>
      </c>
      <c r="L1778" s="2" t="s">
        <v>2630</v>
      </c>
      <c r="M1778" s="2" t="s">
        <v>2631</v>
      </c>
      <c r="N1778" s="2" t="s">
        <v>38</v>
      </c>
      <c r="O1778" s="2" t="s">
        <v>79</v>
      </c>
      <c r="P1778" s="2" t="s">
        <v>11375</v>
      </c>
      <c r="Q1778" s="2" t="s">
        <v>11376</v>
      </c>
      <c r="R1778" s="2" t="s">
        <v>40</v>
      </c>
      <c r="S1778" s="2" t="s">
        <v>11377</v>
      </c>
      <c r="T1778" s="2" t="s">
        <v>10627</v>
      </c>
      <c r="U1778" s="2" t="s">
        <v>11378</v>
      </c>
      <c r="V1778" s="2" t="s">
        <v>11379</v>
      </c>
      <c r="W1778" s="1"/>
      <c r="X1778" s="2" t="s">
        <v>7236</v>
      </c>
      <c r="Y1778" s="2" t="s">
        <v>11114</v>
      </c>
      <c r="AA1778" t="str">
        <f t="shared" si="162"/>
        <v>2025-12</v>
      </c>
      <c r="AB1778" t="str">
        <f t="shared" si="163"/>
        <v/>
      </c>
      <c r="AC1778">
        <f t="shared" si="164"/>
        <v>42900.08</v>
      </c>
      <c r="AD1778">
        <f t="shared" si="165"/>
        <v>10</v>
      </c>
      <c r="AE1778">
        <f t="shared" si="166"/>
        <v>7440.08</v>
      </c>
      <c r="AF1778" t="str">
        <f t="shared" si="167"/>
        <v>Paid</v>
      </c>
    </row>
    <row r="1779" spans="1:32" ht="17.25" thickBot="1" x14ac:dyDescent="0.35">
      <c r="A1779" s="2" t="s">
        <v>11380</v>
      </c>
      <c r="B1779" s="2" t="s">
        <v>27</v>
      </c>
      <c r="C1779" s="2" t="s">
        <v>28</v>
      </c>
      <c r="D1779" s="2" t="s">
        <v>97</v>
      </c>
      <c r="E1779" s="2" t="s">
        <v>11109</v>
      </c>
      <c r="F1779" s="2" t="s">
        <v>8445</v>
      </c>
      <c r="G1779" s="2" t="s">
        <v>32</v>
      </c>
      <c r="H1779" s="1"/>
      <c r="I1779" s="2" t="s">
        <v>33</v>
      </c>
      <c r="J1779" s="2" t="s">
        <v>34</v>
      </c>
      <c r="K1779" s="2" t="s">
        <v>2640</v>
      </c>
      <c r="L1779" s="2" t="s">
        <v>2641</v>
      </c>
      <c r="M1779" s="2" t="s">
        <v>2631</v>
      </c>
      <c r="N1779" s="2" t="s">
        <v>38</v>
      </c>
      <c r="O1779" s="2" t="s">
        <v>60</v>
      </c>
      <c r="P1779" s="2" t="s">
        <v>11375</v>
      </c>
      <c r="Q1779" s="2" t="s">
        <v>11381</v>
      </c>
      <c r="R1779" s="2" t="s">
        <v>40</v>
      </c>
      <c r="S1779" s="2" t="s">
        <v>11382</v>
      </c>
      <c r="T1779" s="2" t="s">
        <v>2635</v>
      </c>
      <c r="U1779" s="2" t="s">
        <v>11383</v>
      </c>
      <c r="V1779" s="2" t="s">
        <v>11384</v>
      </c>
      <c r="W1779" s="1"/>
      <c r="X1779" s="2" t="s">
        <v>2638</v>
      </c>
      <c r="Y1779" s="2" t="s">
        <v>11114</v>
      </c>
      <c r="AA1779" t="str">
        <f t="shared" si="162"/>
        <v>2025-12</v>
      </c>
      <c r="AB1779" t="str">
        <f t="shared" si="163"/>
        <v/>
      </c>
      <c r="AC1779">
        <f t="shared" si="164"/>
        <v>25740.05</v>
      </c>
      <c r="AD1779">
        <f t="shared" si="165"/>
        <v>6</v>
      </c>
      <c r="AE1779">
        <f t="shared" si="166"/>
        <v>4467.32</v>
      </c>
      <c r="AF1779" t="str">
        <f t="shared" si="167"/>
        <v>Paid</v>
      </c>
    </row>
    <row r="1780" spans="1:32" ht="27.75" thickBot="1" x14ac:dyDescent="0.35">
      <c r="A1780" s="2" t="s">
        <v>11385</v>
      </c>
      <c r="B1780" s="2" t="s">
        <v>27</v>
      </c>
      <c r="C1780" s="2" t="s">
        <v>28</v>
      </c>
      <c r="D1780" s="2" t="s">
        <v>97</v>
      </c>
      <c r="E1780" s="2" t="s">
        <v>11109</v>
      </c>
      <c r="F1780" s="2" t="s">
        <v>8445</v>
      </c>
      <c r="G1780" s="2" t="s">
        <v>32</v>
      </c>
      <c r="H1780" s="1"/>
      <c r="I1780" s="2" t="s">
        <v>33</v>
      </c>
      <c r="J1780" s="2" t="s">
        <v>34</v>
      </c>
      <c r="K1780" s="2" t="s">
        <v>11386</v>
      </c>
      <c r="L1780" s="2" t="s">
        <v>11387</v>
      </c>
      <c r="M1780" s="2" t="s">
        <v>570</v>
      </c>
      <c r="N1780" s="2" t="s">
        <v>38</v>
      </c>
      <c r="O1780" s="2" t="s">
        <v>779</v>
      </c>
      <c r="P1780" s="2" t="s">
        <v>9459</v>
      </c>
      <c r="Q1780" s="2" t="s">
        <v>11388</v>
      </c>
      <c r="R1780" s="2" t="s">
        <v>40</v>
      </c>
      <c r="S1780" s="2" t="s">
        <v>11389</v>
      </c>
      <c r="T1780" s="2" t="s">
        <v>7463</v>
      </c>
      <c r="U1780" s="2" t="s">
        <v>11390</v>
      </c>
      <c r="V1780" s="2" t="s">
        <v>11391</v>
      </c>
      <c r="W1780" s="1"/>
      <c r="X1780" s="2" t="s">
        <v>2226</v>
      </c>
      <c r="Y1780" s="2" t="s">
        <v>11114</v>
      </c>
      <c r="AA1780" t="str">
        <f t="shared" si="162"/>
        <v>2025-12</v>
      </c>
      <c r="AB1780" t="str">
        <f t="shared" si="163"/>
        <v/>
      </c>
      <c r="AC1780">
        <f t="shared" si="164"/>
        <v>36277.919999999998</v>
      </c>
      <c r="AD1780">
        <f t="shared" si="165"/>
        <v>90</v>
      </c>
      <c r="AE1780">
        <f t="shared" si="166"/>
        <v>6757.92</v>
      </c>
      <c r="AF1780" t="str">
        <f t="shared" si="167"/>
        <v>Paid</v>
      </c>
    </row>
    <row r="1781" spans="1:32" ht="27.75" thickBot="1" x14ac:dyDescent="0.35">
      <c r="A1781" s="2" t="s">
        <v>11392</v>
      </c>
      <c r="B1781" s="2" t="s">
        <v>27</v>
      </c>
      <c r="C1781" s="2" t="s">
        <v>28</v>
      </c>
      <c r="D1781" s="2" t="s">
        <v>97</v>
      </c>
      <c r="E1781" s="2" t="s">
        <v>11109</v>
      </c>
      <c r="F1781" s="2" t="s">
        <v>8445</v>
      </c>
      <c r="G1781" s="2" t="s">
        <v>32</v>
      </c>
      <c r="H1781" s="1"/>
      <c r="I1781" s="2" t="s">
        <v>33</v>
      </c>
      <c r="J1781" s="2" t="s">
        <v>34</v>
      </c>
      <c r="K1781" s="2" t="s">
        <v>9470</v>
      </c>
      <c r="L1781" s="2" t="s">
        <v>9471</v>
      </c>
      <c r="M1781" s="2" t="s">
        <v>570</v>
      </c>
      <c r="N1781" s="2" t="s">
        <v>38</v>
      </c>
      <c r="O1781" s="2" t="s">
        <v>214</v>
      </c>
      <c r="P1781" s="2" t="s">
        <v>9459</v>
      </c>
      <c r="Q1781" s="2" t="s">
        <v>11393</v>
      </c>
      <c r="R1781" s="2" t="s">
        <v>40</v>
      </c>
      <c r="S1781" s="2" t="s">
        <v>11394</v>
      </c>
      <c r="T1781" s="2" t="s">
        <v>7463</v>
      </c>
      <c r="U1781" s="2" t="s">
        <v>11395</v>
      </c>
      <c r="V1781" s="2" t="s">
        <v>11396</v>
      </c>
      <c r="W1781" s="1"/>
      <c r="X1781" s="2" t="s">
        <v>2226</v>
      </c>
      <c r="Y1781" s="2" t="s">
        <v>11114</v>
      </c>
      <c r="AA1781" t="str">
        <f t="shared" si="162"/>
        <v>2025-12</v>
      </c>
      <c r="AB1781" t="str">
        <f t="shared" si="163"/>
        <v/>
      </c>
      <c r="AC1781">
        <f t="shared" si="164"/>
        <v>20154.400000000001</v>
      </c>
      <c r="AD1781">
        <f t="shared" si="165"/>
        <v>50</v>
      </c>
      <c r="AE1781">
        <f t="shared" si="166"/>
        <v>3754.4</v>
      </c>
      <c r="AF1781" t="str">
        <f t="shared" si="167"/>
        <v>Paid</v>
      </c>
    </row>
    <row r="1782" spans="1:32" ht="27.75" thickBot="1" x14ac:dyDescent="0.35">
      <c r="A1782" s="2" t="s">
        <v>11397</v>
      </c>
      <c r="B1782" s="2" t="s">
        <v>27</v>
      </c>
      <c r="C1782" s="2" t="s">
        <v>28</v>
      </c>
      <c r="D1782" s="2" t="s">
        <v>97</v>
      </c>
      <c r="E1782" s="2" t="s">
        <v>11109</v>
      </c>
      <c r="F1782" s="2" t="s">
        <v>8445</v>
      </c>
      <c r="G1782" s="2" t="s">
        <v>32</v>
      </c>
      <c r="H1782" s="1"/>
      <c r="I1782" s="2" t="s">
        <v>33</v>
      </c>
      <c r="J1782" s="2" t="s">
        <v>34</v>
      </c>
      <c r="K1782" s="2" t="s">
        <v>9476</v>
      </c>
      <c r="L1782" s="2" t="s">
        <v>9477</v>
      </c>
      <c r="M1782" s="2" t="s">
        <v>570</v>
      </c>
      <c r="N1782" s="2" t="s">
        <v>38</v>
      </c>
      <c r="O1782" s="2" t="s">
        <v>156</v>
      </c>
      <c r="P1782" s="2" t="s">
        <v>9459</v>
      </c>
      <c r="Q1782" s="2" t="s">
        <v>1798</v>
      </c>
      <c r="R1782" s="2" t="s">
        <v>40</v>
      </c>
      <c r="S1782" s="2" t="s">
        <v>11398</v>
      </c>
      <c r="T1782" s="2" t="s">
        <v>575</v>
      </c>
      <c r="U1782" s="2" t="s">
        <v>2840</v>
      </c>
      <c r="V1782" s="2" t="s">
        <v>11399</v>
      </c>
      <c r="W1782" s="1"/>
      <c r="X1782" s="2" t="s">
        <v>6362</v>
      </c>
      <c r="Y1782" s="2" t="s">
        <v>11114</v>
      </c>
      <c r="AA1782" t="str">
        <f t="shared" si="162"/>
        <v>2025-12</v>
      </c>
      <c r="AB1782" t="str">
        <f t="shared" si="163"/>
        <v/>
      </c>
      <c r="AC1782">
        <f t="shared" si="164"/>
        <v>8061.76</v>
      </c>
      <c r="AD1782">
        <f t="shared" si="165"/>
        <v>20</v>
      </c>
      <c r="AE1782">
        <f t="shared" si="166"/>
        <v>1516.31</v>
      </c>
      <c r="AF1782" t="str">
        <f t="shared" si="167"/>
        <v>Paid</v>
      </c>
    </row>
    <row r="1783" spans="1:32" ht="27.75" thickBot="1" x14ac:dyDescent="0.35">
      <c r="A1783" s="2" t="s">
        <v>11400</v>
      </c>
      <c r="B1783" s="2" t="s">
        <v>27</v>
      </c>
      <c r="C1783" s="2" t="s">
        <v>28</v>
      </c>
      <c r="D1783" s="2" t="s">
        <v>97</v>
      </c>
      <c r="E1783" s="2" t="s">
        <v>11109</v>
      </c>
      <c r="F1783" s="2" t="s">
        <v>8445</v>
      </c>
      <c r="G1783" s="2" t="s">
        <v>32</v>
      </c>
      <c r="H1783" s="1"/>
      <c r="I1783" s="2" t="s">
        <v>33</v>
      </c>
      <c r="J1783" s="2" t="s">
        <v>34</v>
      </c>
      <c r="K1783" s="2" t="s">
        <v>2662</v>
      </c>
      <c r="L1783" s="2" t="s">
        <v>2663</v>
      </c>
      <c r="M1783" s="2" t="s">
        <v>570</v>
      </c>
      <c r="N1783" s="2" t="s">
        <v>38</v>
      </c>
      <c r="O1783" s="2" t="s">
        <v>214</v>
      </c>
      <c r="P1783" s="2" t="s">
        <v>2655</v>
      </c>
      <c r="Q1783" s="2" t="s">
        <v>11401</v>
      </c>
      <c r="R1783" s="2" t="s">
        <v>40</v>
      </c>
      <c r="S1783" s="2" t="s">
        <v>11402</v>
      </c>
      <c r="T1783" s="2" t="s">
        <v>7463</v>
      </c>
      <c r="U1783" s="2" t="s">
        <v>11395</v>
      </c>
      <c r="V1783" s="2" t="s">
        <v>11403</v>
      </c>
      <c r="W1783" s="1"/>
      <c r="X1783" s="2" t="s">
        <v>578</v>
      </c>
      <c r="Y1783" s="2" t="s">
        <v>11114</v>
      </c>
      <c r="AA1783" t="str">
        <f t="shared" si="162"/>
        <v>2025-12</v>
      </c>
      <c r="AB1783" t="str">
        <f t="shared" si="163"/>
        <v/>
      </c>
      <c r="AC1783">
        <f t="shared" si="164"/>
        <v>28072.2</v>
      </c>
      <c r="AD1783">
        <f t="shared" si="165"/>
        <v>50</v>
      </c>
      <c r="AE1783">
        <f t="shared" si="166"/>
        <v>11672.2</v>
      </c>
      <c r="AF1783" t="str">
        <f t="shared" si="167"/>
        <v>Paid</v>
      </c>
    </row>
    <row r="1784" spans="1:32" ht="27.75" thickBot="1" x14ac:dyDescent="0.35">
      <c r="A1784" s="2" t="s">
        <v>11404</v>
      </c>
      <c r="B1784" s="2" t="s">
        <v>27</v>
      </c>
      <c r="C1784" s="2" t="s">
        <v>28</v>
      </c>
      <c r="D1784" s="2" t="s">
        <v>97</v>
      </c>
      <c r="E1784" s="2" t="s">
        <v>11109</v>
      </c>
      <c r="F1784" s="2" t="s">
        <v>8445</v>
      </c>
      <c r="G1784" s="2" t="s">
        <v>32</v>
      </c>
      <c r="H1784" s="1"/>
      <c r="I1784" s="2" t="s">
        <v>33</v>
      </c>
      <c r="J1784" s="2" t="s">
        <v>34</v>
      </c>
      <c r="K1784" s="2" t="s">
        <v>11405</v>
      </c>
      <c r="L1784" s="2" t="s">
        <v>11406</v>
      </c>
      <c r="M1784" s="2" t="s">
        <v>570</v>
      </c>
      <c r="N1784" s="2" t="s">
        <v>38</v>
      </c>
      <c r="O1784" s="2" t="s">
        <v>920</v>
      </c>
      <c r="P1784" s="2" t="s">
        <v>9459</v>
      </c>
      <c r="Q1784" s="2" t="s">
        <v>9472</v>
      </c>
      <c r="R1784" s="2" t="s">
        <v>40</v>
      </c>
      <c r="S1784" s="2" t="s">
        <v>11407</v>
      </c>
      <c r="T1784" s="2" t="s">
        <v>11408</v>
      </c>
      <c r="U1784" s="2" t="s">
        <v>11409</v>
      </c>
      <c r="V1784" s="2" t="s">
        <v>11410</v>
      </c>
      <c r="W1784" s="1"/>
      <c r="X1784" s="2" t="s">
        <v>6362</v>
      </c>
      <c r="Y1784" s="2" t="s">
        <v>11114</v>
      </c>
      <c r="AA1784" t="str">
        <f t="shared" si="162"/>
        <v>2025-12</v>
      </c>
      <c r="AB1784" t="str">
        <f t="shared" si="163"/>
        <v/>
      </c>
      <c r="AC1784">
        <f t="shared" si="164"/>
        <v>189451.36</v>
      </c>
      <c r="AD1784">
        <f t="shared" si="165"/>
        <v>470</v>
      </c>
      <c r="AE1784">
        <f t="shared" si="166"/>
        <v>35567.730000000003</v>
      </c>
      <c r="AF1784" t="str">
        <f t="shared" si="167"/>
        <v>Paid</v>
      </c>
    </row>
    <row r="1785" spans="1:32" ht="27.75" thickBot="1" x14ac:dyDescent="0.35">
      <c r="A1785" s="2" t="s">
        <v>11411</v>
      </c>
      <c r="B1785" s="2" t="s">
        <v>27</v>
      </c>
      <c r="C1785" s="2" t="s">
        <v>28</v>
      </c>
      <c r="D1785" s="2" t="s">
        <v>97</v>
      </c>
      <c r="E1785" s="2" t="s">
        <v>11109</v>
      </c>
      <c r="F1785" s="2" t="s">
        <v>8445</v>
      </c>
      <c r="G1785" s="2" t="s">
        <v>32</v>
      </c>
      <c r="H1785" s="1"/>
      <c r="I1785" s="2" t="s">
        <v>33</v>
      </c>
      <c r="J1785" s="2" t="s">
        <v>34</v>
      </c>
      <c r="K1785" s="2" t="s">
        <v>11412</v>
      </c>
      <c r="L1785" s="2" t="s">
        <v>11413</v>
      </c>
      <c r="M1785" s="2" t="s">
        <v>570</v>
      </c>
      <c r="N1785" s="2" t="s">
        <v>38</v>
      </c>
      <c r="O1785" s="2" t="s">
        <v>466</v>
      </c>
      <c r="P1785" s="2" t="s">
        <v>9459</v>
      </c>
      <c r="Q1785" s="2" t="s">
        <v>11414</v>
      </c>
      <c r="R1785" s="2" t="s">
        <v>40</v>
      </c>
      <c r="S1785" s="2" t="s">
        <v>11415</v>
      </c>
      <c r="T1785" s="2" t="s">
        <v>7463</v>
      </c>
      <c r="U1785" s="2" t="s">
        <v>11416</v>
      </c>
      <c r="V1785" s="2" t="s">
        <v>11417</v>
      </c>
      <c r="W1785" s="1"/>
      <c r="X1785" s="2" t="s">
        <v>2226</v>
      </c>
      <c r="Y1785" s="2" t="s">
        <v>11114</v>
      </c>
      <c r="AA1785" t="str">
        <f t="shared" si="162"/>
        <v>2025-12</v>
      </c>
      <c r="AB1785" t="str">
        <f t="shared" si="163"/>
        <v/>
      </c>
      <c r="AC1785">
        <f t="shared" si="164"/>
        <v>28216.16</v>
      </c>
      <c r="AD1785">
        <f t="shared" si="165"/>
        <v>70</v>
      </c>
      <c r="AE1785">
        <f t="shared" si="166"/>
        <v>5256.16</v>
      </c>
      <c r="AF1785" t="str">
        <f t="shared" si="167"/>
        <v>Paid</v>
      </c>
    </row>
    <row r="1786" spans="1:32" ht="27.75" thickBot="1" x14ac:dyDescent="0.35">
      <c r="A1786" s="2" t="s">
        <v>11418</v>
      </c>
      <c r="B1786" s="2" t="s">
        <v>27</v>
      </c>
      <c r="C1786" s="2" t="s">
        <v>28</v>
      </c>
      <c r="D1786" s="2" t="s">
        <v>97</v>
      </c>
      <c r="E1786" s="2" t="s">
        <v>11109</v>
      </c>
      <c r="F1786" s="2" t="s">
        <v>8445</v>
      </c>
      <c r="G1786" s="2" t="s">
        <v>32</v>
      </c>
      <c r="H1786" s="1"/>
      <c r="I1786" s="2" t="s">
        <v>33</v>
      </c>
      <c r="J1786" s="2" t="s">
        <v>34</v>
      </c>
      <c r="K1786" s="2" t="s">
        <v>11419</v>
      </c>
      <c r="L1786" s="2" t="s">
        <v>11420</v>
      </c>
      <c r="M1786" s="2" t="s">
        <v>570</v>
      </c>
      <c r="N1786" s="2" t="s">
        <v>38</v>
      </c>
      <c r="O1786" s="2" t="s">
        <v>1476</v>
      </c>
      <c r="P1786" s="2" t="s">
        <v>9459</v>
      </c>
      <c r="Q1786" s="2" t="s">
        <v>11421</v>
      </c>
      <c r="R1786" s="2" t="s">
        <v>40</v>
      </c>
      <c r="S1786" s="2" t="s">
        <v>11422</v>
      </c>
      <c r="T1786" s="2" t="s">
        <v>575</v>
      </c>
      <c r="U1786" s="2" t="s">
        <v>9488</v>
      </c>
      <c r="V1786" s="2" t="s">
        <v>11423</v>
      </c>
      <c r="W1786" s="1"/>
      <c r="X1786" s="2" t="s">
        <v>6362</v>
      </c>
      <c r="Y1786" s="2" t="s">
        <v>11114</v>
      </c>
      <c r="AA1786" t="str">
        <f t="shared" si="162"/>
        <v>2025-12</v>
      </c>
      <c r="AB1786" t="str">
        <f t="shared" si="163"/>
        <v/>
      </c>
      <c r="AC1786">
        <f t="shared" si="164"/>
        <v>104802.88</v>
      </c>
      <c r="AD1786">
        <f t="shared" si="165"/>
        <v>260</v>
      </c>
      <c r="AE1786">
        <f t="shared" si="166"/>
        <v>19711.98</v>
      </c>
      <c r="AF1786" t="str">
        <f t="shared" si="167"/>
        <v>Paid</v>
      </c>
    </row>
    <row r="1787" spans="1:32" ht="27.75" thickBot="1" x14ac:dyDescent="0.35">
      <c r="A1787" s="2" t="s">
        <v>11424</v>
      </c>
      <c r="B1787" s="2" t="s">
        <v>27</v>
      </c>
      <c r="C1787" s="2" t="s">
        <v>28</v>
      </c>
      <c r="D1787" s="2" t="s">
        <v>97</v>
      </c>
      <c r="E1787" s="2" t="s">
        <v>11109</v>
      </c>
      <c r="F1787" s="2" t="s">
        <v>8445</v>
      </c>
      <c r="G1787" s="2" t="s">
        <v>32</v>
      </c>
      <c r="H1787" s="1"/>
      <c r="I1787" s="2" t="s">
        <v>33</v>
      </c>
      <c r="J1787" s="2" t="s">
        <v>34</v>
      </c>
      <c r="K1787" s="2" t="s">
        <v>11425</v>
      </c>
      <c r="L1787" s="2" t="s">
        <v>11426</v>
      </c>
      <c r="M1787" s="2" t="s">
        <v>570</v>
      </c>
      <c r="N1787" s="2" t="s">
        <v>38</v>
      </c>
      <c r="O1787" s="2" t="s">
        <v>11427</v>
      </c>
      <c r="P1787" s="2" t="s">
        <v>9459</v>
      </c>
      <c r="Q1787" s="2" t="s">
        <v>11428</v>
      </c>
      <c r="R1787" s="2" t="s">
        <v>40</v>
      </c>
      <c r="S1787" s="2" t="s">
        <v>11429</v>
      </c>
      <c r="T1787" s="2" t="s">
        <v>11430</v>
      </c>
      <c r="U1787" s="2" t="s">
        <v>11431</v>
      </c>
      <c r="V1787" s="2" t="s">
        <v>11432</v>
      </c>
      <c r="W1787" s="1"/>
      <c r="X1787" s="2" t="s">
        <v>6362</v>
      </c>
      <c r="Y1787" s="2" t="s">
        <v>11114</v>
      </c>
      <c r="AA1787" t="str">
        <f t="shared" si="162"/>
        <v>2025-12</v>
      </c>
      <c r="AB1787" t="str">
        <f t="shared" si="163"/>
        <v/>
      </c>
      <c r="AC1787">
        <f t="shared" si="164"/>
        <v>624786.4</v>
      </c>
      <c r="AD1787">
        <f t="shared" si="165"/>
        <v>1550</v>
      </c>
      <c r="AE1787">
        <f t="shared" si="166"/>
        <v>117222.8</v>
      </c>
      <c r="AF1787" t="str">
        <f t="shared" si="167"/>
        <v>Paid</v>
      </c>
    </row>
    <row r="1788" spans="1:32" ht="27.75" thickBot="1" x14ac:dyDescent="0.35">
      <c r="A1788" s="2" t="s">
        <v>11433</v>
      </c>
      <c r="B1788" s="2" t="s">
        <v>27</v>
      </c>
      <c r="C1788" s="2" t="s">
        <v>28</v>
      </c>
      <c r="D1788" s="2" t="s">
        <v>97</v>
      </c>
      <c r="E1788" s="2" t="s">
        <v>11109</v>
      </c>
      <c r="F1788" s="2" t="s">
        <v>8445</v>
      </c>
      <c r="G1788" s="2" t="s">
        <v>32</v>
      </c>
      <c r="H1788" s="1"/>
      <c r="I1788" s="2" t="s">
        <v>33</v>
      </c>
      <c r="J1788" s="2" t="s">
        <v>34</v>
      </c>
      <c r="K1788" s="2" t="s">
        <v>632</v>
      </c>
      <c r="L1788" s="2" t="s">
        <v>633</v>
      </c>
      <c r="M1788" s="2" t="s">
        <v>634</v>
      </c>
      <c r="N1788" s="2" t="s">
        <v>38</v>
      </c>
      <c r="O1788" s="2" t="s">
        <v>79</v>
      </c>
      <c r="P1788" s="2" t="s">
        <v>11434</v>
      </c>
      <c r="Q1788" s="2" t="s">
        <v>11435</v>
      </c>
      <c r="R1788" s="2" t="s">
        <v>40</v>
      </c>
      <c r="S1788" s="2" t="s">
        <v>11436</v>
      </c>
      <c r="T1788" s="2" t="s">
        <v>638</v>
      </c>
      <c r="U1788" s="2" t="s">
        <v>11437</v>
      </c>
      <c r="V1788" s="2" t="s">
        <v>11438</v>
      </c>
      <c r="W1788" s="1"/>
      <c r="X1788" s="2" t="s">
        <v>641</v>
      </c>
      <c r="Y1788" s="2" t="s">
        <v>11114</v>
      </c>
      <c r="AA1788" t="str">
        <f t="shared" si="162"/>
        <v>2025-12</v>
      </c>
      <c r="AB1788" t="str">
        <f t="shared" si="163"/>
        <v/>
      </c>
      <c r="AC1788">
        <f t="shared" si="164"/>
        <v>159939.56</v>
      </c>
      <c r="AD1788">
        <f t="shared" si="165"/>
        <v>10</v>
      </c>
      <c r="AE1788">
        <f t="shared" si="166"/>
        <v>85339.56</v>
      </c>
      <c r="AF1788" t="str">
        <f t="shared" si="167"/>
        <v>Paid</v>
      </c>
    </row>
    <row r="1789" spans="1:32" ht="17.25" thickBot="1" x14ac:dyDescent="0.35">
      <c r="A1789" s="2" t="s">
        <v>11439</v>
      </c>
      <c r="B1789" s="2" t="s">
        <v>27</v>
      </c>
      <c r="C1789" s="2" t="s">
        <v>28</v>
      </c>
      <c r="D1789" s="2" t="s">
        <v>97</v>
      </c>
      <c r="E1789" s="2" t="s">
        <v>11109</v>
      </c>
      <c r="F1789" s="2" t="s">
        <v>8445</v>
      </c>
      <c r="G1789" s="2" t="s">
        <v>32</v>
      </c>
      <c r="H1789" s="1"/>
      <c r="I1789" s="2" t="s">
        <v>33</v>
      </c>
      <c r="J1789" s="2" t="s">
        <v>34</v>
      </c>
      <c r="K1789" s="2" t="s">
        <v>11440</v>
      </c>
      <c r="L1789" s="2" t="s">
        <v>11441</v>
      </c>
      <c r="M1789" s="2" t="s">
        <v>634</v>
      </c>
      <c r="N1789" s="2" t="s">
        <v>38</v>
      </c>
      <c r="O1789" s="2" t="s">
        <v>11442</v>
      </c>
      <c r="P1789" s="2" t="s">
        <v>284</v>
      </c>
      <c r="Q1789" s="2" t="s">
        <v>11443</v>
      </c>
      <c r="R1789" s="2" t="s">
        <v>40</v>
      </c>
      <c r="S1789" s="2" t="s">
        <v>11444</v>
      </c>
      <c r="T1789" s="2" t="s">
        <v>669</v>
      </c>
      <c r="U1789" s="2" t="s">
        <v>11445</v>
      </c>
      <c r="V1789" s="2" t="s">
        <v>11446</v>
      </c>
      <c r="W1789" s="1"/>
      <c r="X1789" s="2" t="s">
        <v>672</v>
      </c>
      <c r="Y1789" s="2" t="s">
        <v>11114</v>
      </c>
      <c r="AA1789" t="str">
        <f t="shared" si="162"/>
        <v>2025-12</v>
      </c>
      <c r="AB1789" t="str">
        <f t="shared" si="163"/>
        <v/>
      </c>
      <c r="AC1789">
        <f t="shared" si="164"/>
        <v>78400616</v>
      </c>
      <c r="AD1789">
        <f t="shared" si="165"/>
        <v>7000</v>
      </c>
      <c r="AE1789">
        <f t="shared" si="166"/>
        <v>36400616</v>
      </c>
      <c r="AF1789" t="str">
        <f t="shared" si="167"/>
        <v>Paid</v>
      </c>
    </row>
    <row r="1790" spans="1:32" ht="17.25" thickBot="1" x14ac:dyDescent="0.35">
      <c r="A1790" s="2" t="s">
        <v>11447</v>
      </c>
      <c r="B1790" s="2" t="s">
        <v>27</v>
      </c>
      <c r="C1790" s="2" t="s">
        <v>28</v>
      </c>
      <c r="D1790" s="2" t="s">
        <v>97</v>
      </c>
      <c r="E1790" s="2" t="s">
        <v>11109</v>
      </c>
      <c r="F1790" s="2" t="s">
        <v>8445</v>
      </c>
      <c r="G1790" s="2" t="s">
        <v>32</v>
      </c>
      <c r="H1790" s="1"/>
      <c r="I1790" s="2" t="s">
        <v>33</v>
      </c>
      <c r="J1790" s="2" t="s">
        <v>34</v>
      </c>
      <c r="K1790" s="2" t="s">
        <v>663</v>
      </c>
      <c r="L1790" s="2" t="s">
        <v>664</v>
      </c>
      <c r="M1790" s="2" t="s">
        <v>634</v>
      </c>
      <c r="N1790" s="2" t="s">
        <v>38</v>
      </c>
      <c r="O1790" s="2" t="s">
        <v>2292</v>
      </c>
      <c r="P1790" s="2" t="s">
        <v>284</v>
      </c>
      <c r="Q1790" s="2" t="s">
        <v>11448</v>
      </c>
      <c r="R1790" s="2" t="s">
        <v>40</v>
      </c>
      <c r="S1790" s="2" t="s">
        <v>11449</v>
      </c>
      <c r="T1790" s="2" t="s">
        <v>669</v>
      </c>
      <c r="U1790" s="2" t="s">
        <v>7123</v>
      </c>
      <c r="V1790" s="2" t="s">
        <v>11450</v>
      </c>
      <c r="W1790" s="1"/>
      <c r="X1790" s="2" t="s">
        <v>672</v>
      </c>
      <c r="Y1790" s="2" t="s">
        <v>11114</v>
      </c>
      <c r="AA1790" t="str">
        <f t="shared" si="162"/>
        <v>2025-12</v>
      </c>
      <c r="AB1790" t="str">
        <f t="shared" si="163"/>
        <v/>
      </c>
      <c r="AC1790">
        <f t="shared" si="164"/>
        <v>3080024.2</v>
      </c>
      <c r="AD1790">
        <f t="shared" si="165"/>
        <v>275</v>
      </c>
      <c r="AE1790">
        <f t="shared" si="166"/>
        <v>1430024.2</v>
      </c>
      <c r="AF1790" t="str">
        <f t="shared" si="167"/>
        <v>Paid</v>
      </c>
    </row>
    <row r="1791" spans="1:32" ht="27.75" thickBot="1" x14ac:dyDescent="0.35">
      <c r="A1791" s="2" t="s">
        <v>11451</v>
      </c>
      <c r="B1791" s="2" t="s">
        <v>27</v>
      </c>
      <c r="C1791" s="2" t="s">
        <v>28</v>
      </c>
      <c r="D1791" s="2" t="s">
        <v>97</v>
      </c>
      <c r="E1791" s="2" t="s">
        <v>11109</v>
      </c>
      <c r="F1791" s="2" t="s">
        <v>8445</v>
      </c>
      <c r="G1791" s="2" t="s">
        <v>32</v>
      </c>
      <c r="H1791" s="1"/>
      <c r="I1791" s="2" t="s">
        <v>33</v>
      </c>
      <c r="J1791" s="2" t="s">
        <v>34</v>
      </c>
      <c r="K1791" s="2" t="s">
        <v>674</v>
      </c>
      <c r="L1791" s="2" t="s">
        <v>675</v>
      </c>
      <c r="M1791" s="2" t="s">
        <v>634</v>
      </c>
      <c r="N1791" s="2" t="s">
        <v>38</v>
      </c>
      <c r="O1791" s="2" t="s">
        <v>2057</v>
      </c>
      <c r="P1791" s="2" t="s">
        <v>284</v>
      </c>
      <c r="Q1791" s="2" t="s">
        <v>11452</v>
      </c>
      <c r="R1791" s="2" t="s">
        <v>40</v>
      </c>
      <c r="S1791" s="2" t="s">
        <v>11453</v>
      </c>
      <c r="T1791" s="2" t="s">
        <v>669</v>
      </c>
      <c r="U1791" s="2" t="s">
        <v>8800</v>
      </c>
      <c r="V1791" s="2" t="s">
        <v>11454</v>
      </c>
      <c r="W1791" s="1"/>
      <c r="X1791" s="2" t="s">
        <v>672</v>
      </c>
      <c r="Y1791" s="2" t="s">
        <v>11114</v>
      </c>
      <c r="AA1791" t="str">
        <f t="shared" si="162"/>
        <v>2025-12</v>
      </c>
      <c r="AB1791" t="str">
        <f t="shared" si="163"/>
        <v/>
      </c>
      <c r="AC1791">
        <f t="shared" si="164"/>
        <v>3920030.8</v>
      </c>
      <c r="AD1791">
        <f t="shared" si="165"/>
        <v>350</v>
      </c>
      <c r="AE1791">
        <f t="shared" si="166"/>
        <v>1820030.8</v>
      </c>
      <c r="AF1791" t="str">
        <f t="shared" si="167"/>
        <v>Paid</v>
      </c>
    </row>
    <row r="1792" spans="1:32" ht="17.25" thickBot="1" x14ac:dyDescent="0.35">
      <c r="A1792" s="2" t="s">
        <v>11455</v>
      </c>
      <c r="B1792" s="2" t="s">
        <v>27</v>
      </c>
      <c r="C1792" s="2" t="s">
        <v>28</v>
      </c>
      <c r="D1792" s="2" t="s">
        <v>97</v>
      </c>
      <c r="E1792" s="2" t="s">
        <v>11109</v>
      </c>
      <c r="F1792" s="2" t="s">
        <v>8445</v>
      </c>
      <c r="G1792" s="2" t="s">
        <v>32</v>
      </c>
      <c r="H1792" s="1"/>
      <c r="I1792" s="2" t="s">
        <v>33</v>
      </c>
      <c r="J1792" s="2" t="s">
        <v>34</v>
      </c>
      <c r="K1792" s="2" t="s">
        <v>11456</v>
      </c>
      <c r="L1792" s="2" t="s">
        <v>11457</v>
      </c>
      <c r="M1792" s="2" t="s">
        <v>634</v>
      </c>
      <c r="N1792" s="2" t="s">
        <v>38</v>
      </c>
      <c r="O1792" s="2" t="s">
        <v>76</v>
      </c>
      <c r="P1792" s="2" t="s">
        <v>11458</v>
      </c>
      <c r="Q1792" s="2" t="s">
        <v>11459</v>
      </c>
      <c r="R1792" s="2" t="s">
        <v>40</v>
      </c>
      <c r="S1792" s="2" t="s">
        <v>11460</v>
      </c>
      <c r="T1792" s="2" t="s">
        <v>287</v>
      </c>
      <c r="U1792" s="2" t="s">
        <v>11461</v>
      </c>
      <c r="V1792" s="2" t="s">
        <v>11462</v>
      </c>
      <c r="W1792" s="1"/>
      <c r="X1792" s="2" t="s">
        <v>11463</v>
      </c>
      <c r="Y1792" s="2" t="s">
        <v>11114</v>
      </c>
      <c r="AA1792" t="str">
        <f t="shared" si="162"/>
        <v>2025-12</v>
      </c>
      <c r="AB1792" t="str">
        <f t="shared" si="163"/>
        <v/>
      </c>
      <c r="AC1792">
        <f t="shared" si="164"/>
        <v>260941.9</v>
      </c>
      <c r="AD1792">
        <f t="shared" si="165"/>
        <v>9</v>
      </c>
      <c r="AE1792">
        <f t="shared" si="166"/>
        <v>197941.9</v>
      </c>
      <c r="AF1792" t="str">
        <f t="shared" si="167"/>
        <v>Paid</v>
      </c>
    </row>
    <row r="1793" spans="1:32" ht="17.25" thickBot="1" x14ac:dyDescent="0.35">
      <c r="A1793" s="2" t="s">
        <v>11464</v>
      </c>
      <c r="B1793" s="2" t="s">
        <v>27</v>
      </c>
      <c r="C1793" s="2" t="s">
        <v>28</v>
      </c>
      <c r="D1793" s="2" t="s">
        <v>97</v>
      </c>
      <c r="E1793" s="2" t="s">
        <v>11109</v>
      </c>
      <c r="F1793" s="2" t="s">
        <v>8445</v>
      </c>
      <c r="G1793" s="2" t="s">
        <v>32</v>
      </c>
      <c r="H1793" s="1"/>
      <c r="I1793" s="2" t="s">
        <v>33</v>
      </c>
      <c r="J1793" s="2" t="s">
        <v>34</v>
      </c>
      <c r="K1793" s="2" t="s">
        <v>6137</v>
      </c>
      <c r="L1793" s="2" t="s">
        <v>6138</v>
      </c>
      <c r="M1793" s="2" t="s">
        <v>634</v>
      </c>
      <c r="N1793" s="2" t="s">
        <v>38</v>
      </c>
      <c r="O1793" s="2" t="s">
        <v>391</v>
      </c>
      <c r="P1793" s="2" t="s">
        <v>10870</v>
      </c>
      <c r="Q1793" s="2" t="s">
        <v>11465</v>
      </c>
      <c r="R1793" s="2" t="s">
        <v>40</v>
      </c>
      <c r="S1793" s="2" t="s">
        <v>11466</v>
      </c>
      <c r="T1793" s="2" t="s">
        <v>297</v>
      </c>
      <c r="U1793" s="2" t="s">
        <v>6688</v>
      </c>
      <c r="V1793" s="2" t="s">
        <v>11467</v>
      </c>
      <c r="W1793" s="1"/>
      <c r="X1793" s="2" t="s">
        <v>6142</v>
      </c>
      <c r="Y1793" s="2" t="s">
        <v>11114</v>
      </c>
      <c r="AA1793" t="str">
        <f t="shared" si="162"/>
        <v>2025-12</v>
      </c>
      <c r="AB1793" t="str">
        <f t="shared" si="163"/>
        <v/>
      </c>
      <c r="AC1793">
        <f t="shared" si="164"/>
        <v>779975.28</v>
      </c>
      <c r="AD1793">
        <f t="shared" si="165"/>
        <v>60</v>
      </c>
      <c r="AE1793">
        <f t="shared" si="166"/>
        <v>299975.28000000003</v>
      </c>
      <c r="AF1793" t="str">
        <f t="shared" si="167"/>
        <v>Paid</v>
      </c>
    </row>
    <row r="1794" spans="1:32" ht="17.25" thickBot="1" x14ac:dyDescent="0.35">
      <c r="A1794" s="2" t="s">
        <v>11468</v>
      </c>
      <c r="B1794" s="2" t="s">
        <v>27</v>
      </c>
      <c r="C1794" s="2" t="s">
        <v>28</v>
      </c>
      <c r="D1794" s="2" t="s">
        <v>97</v>
      </c>
      <c r="E1794" s="2" t="s">
        <v>11109</v>
      </c>
      <c r="F1794" s="2" t="s">
        <v>8445</v>
      </c>
      <c r="G1794" s="2" t="s">
        <v>32</v>
      </c>
      <c r="H1794" s="1"/>
      <c r="I1794" s="2" t="s">
        <v>33</v>
      </c>
      <c r="J1794" s="2" t="s">
        <v>34</v>
      </c>
      <c r="K1794" s="2" t="s">
        <v>11469</v>
      </c>
      <c r="L1794" s="2" t="s">
        <v>11470</v>
      </c>
      <c r="M1794" s="2" t="s">
        <v>634</v>
      </c>
      <c r="N1794" s="2" t="s">
        <v>38</v>
      </c>
      <c r="O1794" s="2" t="s">
        <v>149</v>
      </c>
      <c r="P1794" s="2" t="s">
        <v>10870</v>
      </c>
      <c r="Q1794" s="2" t="s">
        <v>11471</v>
      </c>
      <c r="R1794" s="2" t="s">
        <v>40</v>
      </c>
      <c r="S1794" s="2" t="s">
        <v>11472</v>
      </c>
      <c r="T1794" s="2" t="s">
        <v>297</v>
      </c>
      <c r="U1794" s="2" t="s">
        <v>1881</v>
      </c>
      <c r="V1794" s="2" t="s">
        <v>11473</v>
      </c>
      <c r="W1794" s="1"/>
      <c r="X1794" s="2" t="s">
        <v>6142</v>
      </c>
      <c r="Y1794" s="2" t="s">
        <v>11114</v>
      </c>
      <c r="AA1794" t="str">
        <f t="shared" si="162"/>
        <v>2025-12</v>
      </c>
      <c r="AB1794" t="str">
        <f t="shared" si="163"/>
        <v/>
      </c>
      <c r="AC1794">
        <f t="shared" si="164"/>
        <v>3899876.4</v>
      </c>
      <c r="AD1794">
        <f t="shared" si="165"/>
        <v>300</v>
      </c>
      <c r="AE1794">
        <f t="shared" si="166"/>
        <v>1499876.4</v>
      </c>
      <c r="AF1794" t="str">
        <f t="shared" si="167"/>
        <v>Paid</v>
      </c>
    </row>
    <row r="1795" spans="1:32" ht="17.25" thickBot="1" x14ac:dyDescent="0.35">
      <c r="A1795" s="2" t="s">
        <v>11474</v>
      </c>
      <c r="B1795" s="2" t="s">
        <v>27</v>
      </c>
      <c r="C1795" s="2" t="s">
        <v>28</v>
      </c>
      <c r="D1795" s="2" t="s">
        <v>97</v>
      </c>
      <c r="E1795" s="2" t="s">
        <v>11109</v>
      </c>
      <c r="F1795" s="2" t="s">
        <v>8445</v>
      </c>
      <c r="G1795" s="2" t="s">
        <v>32</v>
      </c>
      <c r="H1795" s="1"/>
      <c r="I1795" s="2" t="s">
        <v>33</v>
      </c>
      <c r="J1795" s="2" t="s">
        <v>34</v>
      </c>
      <c r="K1795" s="2" t="s">
        <v>8728</v>
      </c>
      <c r="L1795" s="2" t="s">
        <v>8729</v>
      </c>
      <c r="M1795" s="2" t="s">
        <v>2710</v>
      </c>
      <c r="N1795" s="2" t="s">
        <v>38</v>
      </c>
      <c r="O1795" s="2" t="s">
        <v>57</v>
      </c>
      <c r="P1795" s="2" t="s">
        <v>11359</v>
      </c>
      <c r="Q1795" s="2" t="s">
        <v>11475</v>
      </c>
      <c r="R1795" s="2" t="s">
        <v>40</v>
      </c>
      <c r="S1795" s="2" t="s">
        <v>11476</v>
      </c>
      <c r="T1795" s="2" t="s">
        <v>11477</v>
      </c>
      <c r="U1795" s="2" t="s">
        <v>11478</v>
      </c>
      <c r="V1795" s="2" t="s">
        <v>11479</v>
      </c>
      <c r="W1795" s="1"/>
      <c r="X1795" s="2" t="s">
        <v>838</v>
      </c>
      <c r="Y1795" s="2" t="s">
        <v>11114</v>
      </c>
      <c r="AA1795" t="str">
        <f t="shared" si="162"/>
        <v>2025-12</v>
      </c>
      <c r="AB1795" t="str">
        <f t="shared" si="163"/>
        <v/>
      </c>
      <c r="AC1795">
        <f t="shared" si="164"/>
        <v>30015.66</v>
      </c>
      <c r="AD1795">
        <f t="shared" si="165"/>
        <v>5</v>
      </c>
      <c r="AE1795">
        <f t="shared" si="166"/>
        <v>6280.36</v>
      </c>
      <c r="AF1795" t="str">
        <f t="shared" si="167"/>
        <v>Paid</v>
      </c>
    </row>
    <row r="1796" spans="1:32" ht="17.25" thickBot="1" x14ac:dyDescent="0.35">
      <c r="A1796" s="2" t="s">
        <v>11480</v>
      </c>
      <c r="B1796" s="2" t="s">
        <v>27</v>
      </c>
      <c r="C1796" s="2" t="s">
        <v>28</v>
      </c>
      <c r="D1796" s="2" t="s">
        <v>97</v>
      </c>
      <c r="E1796" s="2" t="s">
        <v>11109</v>
      </c>
      <c r="F1796" s="2" t="s">
        <v>8445</v>
      </c>
      <c r="G1796" s="2" t="s">
        <v>32</v>
      </c>
      <c r="H1796" s="1"/>
      <c r="I1796" s="2" t="s">
        <v>33</v>
      </c>
      <c r="J1796" s="2" t="s">
        <v>34</v>
      </c>
      <c r="K1796" s="2" t="s">
        <v>11481</v>
      </c>
      <c r="L1796" s="2" t="s">
        <v>11482</v>
      </c>
      <c r="M1796" s="2" t="s">
        <v>2710</v>
      </c>
      <c r="N1796" s="2" t="s">
        <v>38</v>
      </c>
      <c r="O1796" s="2" t="s">
        <v>79</v>
      </c>
      <c r="P1796" s="2" t="s">
        <v>7718</v>
      </c>
      <c r="Q1796" s="2" t="s">
        <v>11483</v>
      </c>
      <c r="R1796" s="2" t="s">
        <v>40</v>
      </c>
      <c r="S1796" s="2" t="s">
        <v>11484</v>
      </c>
      <c r="T1796" s="2" t="s">
        <v>2747</v>
      </c>
      <c r="U1796" s="2" t="s">
        <v>11485</v>
      </c>
      <c r="V1796" s="2" t="s">
        <v>11486</v>
      </c>
      <c r="W1796" s="1"/>
      <c r="X1796" s="2" t="s">
        <v>2198</v>
      </c>
      <c r="Y1796" s="2" t="s">
        <v>11114</v>
      </c>
      <c r="AA1796" t="str">
        <f t="shared" ref="AA1796:AA1859" si="168">LEFT(E1796,7)</f>
        <v>2025-12</v>
      </c>
      <c r="AB1796" t="str">
        <f t="shared" ref="AB1796:AB1859" si="169">IF(AND($AA1796&gt;="2025-01",$AA1796&lt;="2025-06"),"H1_2025",IF(AND($AA1796&gt;="2026-01",$AA1796&lt;="2026-06"),"H1_2026",""))</f>
        <v/>
      </c>
      <c r="AC1796">
        <f t="shared" ref="AC1796:AC1859" si="170">IFERROR(VALUE(SUBSTITUTE(S1796,",","")),0)</f>
        <v>54992.72</v>
      </c>
      <c r="AD1796">
        <f t="shared" ref="AD1796:AD1859" si="171">IFERROR(VALUE(SUBSTITUTE(O1796,",","")),0)</f>
        <v>10</v>
      </c>
      <c r="AE1796">
        <f t="shared" ref="AE1796:AE1859" si="172">IFERROR(VALUE(SUBSTITUTE(V1796,",","")),0)</f>
        <v>10447.27</v>
      </c>
      <c r="AF1796" t="str">
        <f t="shared" ref="AF1796:AF1859" si="173">IF(ISNUMBER(SEARCH("FOC",W1796)),"FOC",IF(ISNUMBER(SEARCH("샘플",W1796)),"Sample","Paid"))</f>
        <v>Paid</v>
      </c>
    </row>
    <row r="1797" spans="1:32" ht="17.25" thickBot="1" x14ac:dyDescent="0.35">
      <c r="A1797" s="2" t="s">
        <v>11487</v>
      </c>
      <c r="B1797" s="2" t="s">
        <v>27</v>
      </c>
      <c r="C1797" s="2" t="s">
        <v>28</v>
      </c>
      <c r="D1797" s="2" t="s">
        <v>97</v>
      </c>
      <c r="E1797" s="2" t="s">
        <v>11109</v>
      </c>
      <c r="F1797" s="2" t="s">
        <v>8445</v>
      </c>
      <c r="G1797" s="2" t="s">
        <v>32</v>
      </c>
      <c r="H1797" s="1"/>
      <c r="I1797" s="2" t="s">
        <v>33</v>
      </c>
      <c r="J1797" s="2" t="s">
        <v>34</v>
      </c>
      <c r="K1797" s="2" t="s">
        <v>3519</v>
      </c>
      <c r="L1797" s="2" t="s">
        <v>3520</v>
      </c>
      <c r="M1797" s="2" t="s">
        <v>2710</v>
      </c>
      <c r="N1797" s="2" t="s">
        <v>38</v>
      </c>
      <c r="O1797" s="2" t="s">
        <v>156</v>
      </c>
      <c r="P1797" s="2" t="s">
        <v>11488</v>
      </c>
      <c r="Q1797" s="2" t="s">
        <v>11489</v>
      </c>
      <c r="R1797" s="2" t="s">
        <v>40</v>
      </c>
      <c r="S1797" s="2" t="s">
        <v>11490</v>
      </c>
      <c r="T1797" s="2" t="s">
        <v>2684</v>
      </c>
      <c r="U1797" s="2" t="s">
        <v>11491</v>
      </c>
      <c r="V1797" s="2" t="s">
        <v>11492</v>
      </c>
      <c r="W1797" s="1"/>
      <c r="X1797" s="2" t="s">
        <v>3310</v>
      </c>
      <c r="Y1797" s="2" t="s">
        <v>11114</v>
      </c>
      <c r="AA1797" t="str">
        <f t="shared" si="168"/>
        <v>2025-12</v>
      </c>
      <c r="AB1797" t="str">
        <f t="shared" si="169"/>
        <v/>
      </c>
      <c r="AC1797">
        <f t="shared" si="170"/>
        <v>136762</v>
      </c>
      <c r="AD1797">
        <f t="shared" si="171"/>
        <v>20</v>
      </c>
      <c r="AE1797">
        <f t="shared" si="172"/>
        <v>26762</v>
      </c>
      <c r="AF1797" t="str">
        <f t="shared" si="173"/>
        <v>Paid</v>
      </c>
    </row>
    <row r="1798" spans="1:32" ht="17.25" thickBot="1" x14ac:dyDescent="0.35">
      <c r="A1798" s="2" t="s">
        <v>11493</v>
      </c>
      <c r="B1798" s="2" t="s">
        <v>27</v>
      </c>
      <c r="C1798" s="2" t="s">
        <v>28</v>
      </c>
      <c r="D1798" s="2" t="s">
        <v>97</v>
      </c>
      <c r="E1798" s="2" t="s">
        <v>11109</v>
      </c>
      <c r="F1798" s="2" t="s">
        <v>8445</v>
      </c>
      <c r="G1798" s="2" t="s">
        <v>32</v>
      </c>
      <c r="H1798" s="1"/>
      <c r="I1798" s="2" t="s">
        <v>33</v>
      </c>
      <c r="J1798" s="2" t="s">
        <v>34</v>
      </c>
      <c r="K1798" s="2" t="s">
        <v>11494</v>
      </c>
      <c r="L1798" s="2" t="s">
        <v>11495</v>
      </c>
      <c r="M1798" s="2" t="s">
        <v>2710</v>
      </c>
      <c r="N1798" s="2" t="s">
        <v>38</v>
      </c>
      <c r="O1798" s="2" t="s">
        <v>131</v>
      </c>
      <c r="P1798" s="2" t="s">
        <v>11488</v>
      </c>
      <c r="Q1798" s="2" t="s">
        <v>11496</v>
      </c>
      <c r="R1798" s="2" t="s">
        <v>40</v>
      </c>
      <c r="S1798" s="2" t="s">
        <v>11497</v>
      </c>
      <c r="T1798" s="2" t="s">
        <v>7339</v>
      </c>
      <c r="U1798" s="2" t="s">
        <v>11498</v>
      </c>
      <c r="V1798" s="2" t="s">
        <v>11499</v>
      </c>
      <c r="W1798" s="1"/>
      <c r="X1798" s="2" t="s">
        <v>11500</v>
      </c>
      <c r="Y1798" s="2" t="s">
        <v>11114</v>
      </c>
      <c r="AA1798" t="str">
        <f t="shared" si="168"/>
        <v>2025-12</v>
      </c>
      <c r="AB1798" t="str">
        <f t="shared" si="169"/>
        <v/>
      </c>
      <c r="AC1798">
        <f t="shared" si="170"/>
        <v>273524</v>
      </c>
      <c r="AD1798">
        <f t="shared" si="171"/>
        <v>40</v>
      </c>
      <c r="AE1798">
        <f t="shared" si="172"/>
        <v>37160.36</v>
      </c>
      <c r="AF1798" t="str">
        <f t="shared" si="173"/>
        <v>Paid</v>
      </c>
    </row>
    <row r="1799" spans="1:32" ht="17.25" thickBot="1" x14ac:dyDescent="0.35">
      <c r="A1799" s="2" t="s">
        <v>11501</v>
      </c>
      <c r="B1799" s="2" t="s">
        <v>27</v>
      </c>
      <c r="C1799" s="2" t="s">
        <v>28</v>
      </c>
      <c r="D1799" s="2" t="s">
        <v>97</v>
      </c>
      <c r="E1799" s="2" t="s">
        <v>11109</v>
      </c>
      <c r="F1799" s="2" t="s">
        <v>8445</v>
      </c>
      <c r="G1799" s="2" t="s">
        <v>32</v>
      </c>
      <c r="H1799" s="1"/>
      <c r="I1799" s="2" t="s">
        <v>33</v>
      </c>
      <c r="J1799" s="2" t="s">
        <v>34</v>
      </c>
      <c r="K1799" s="2" t="s">
        <v>11502</v>
      </c>
      <c r="L1799" s="2" t="s">
        <v>11503</v>
      </c>
      <c r="M1799" s="2" t="s">
        <v>2710</v>
      </c>
      <c r="N1799" s="2" t="s">
        <v>38</v>
      </c>
      <c r="O1799" s="2" t="s">
        <v>79</v>
      </c>
      <c r="P1799" s="2" t="s">
        <v>11504</v>
      </c>
      <c r="Q1799" s="2" t="s">
        <v>7787</v>
      </c>
      <c r="R1799" s="2" t="s">
        <v>40</v>
      </c>
      <c r="S1799" s="2" t="s">
        <v>11505</v>
      </c>
      <c r="T1799" s="2" t="s">
        <v>7354</v>
      </c>
      <c r="U1799" s="2" t="s">
        <v>7355</v>
      </c>
      <c r="V1799" s="2" t="s">
        <v>11506</v>
      </c>
      <c r="W1799" s="1"/>
      <c r="X1799" s="2" t="s">
        <v>1195</v>
      </c>
      <c r="Y1799" s="2" t="s">
        <v>11114</v>
      </c>
      <c r="AA1799" t="str">
        <f t="shared" si="168"/>
        <v>2025-12</v>
      </c>
      <c r="AB1799" t="str">
        <f t="shared" si="169"/>
        <v/>
      </c>
      <c r="AC1799">
        <f t="shared" si="170"/>
        <v>64062.2</v>
      </c>
      <c r="AD1799">
        <f t="shared" si="171"/>
        <v>10</v>
      </c>
      <c r="AE1799">
        <f t="shared" si="172"/>
        <v>9516.75</v>
      </c>
      <c r="AF1799" t="str">
        <f t="shared" si="173"/>
        <v>Paid</v>
      </c>
    </row>
    <row r="1800" spans="1:32" ht="17.25" thickBot="1" x14ac:dyDescent="0.35">
      <c r="A1800" s="2" t="s">
        <v>11507</v>
      </c>
      <c r="B1800" s="2" t="s">
        <v>27</v>
      </c>
      <c r="C1800" s="2" t="s">
        <v>28</v>
      </c>
      <c r="D1800" s="2" t="s">
        <v>97</v>
      </c>
      <c r="E1800" s="2" t="s">
        <v>11109</v>
      </c>
      <c r="F1800" s="2" t="s">
        <v>8445</v>
      </c>
      <c r="G1800" s="2" t="s">
        <v>32</v>
      </c>
      <c r="H1800" s="1"/>
      <c r="I1800" s="2" t="s">
        <v>33</v>
      </c>
      <c r="J1800" s="2" t="s">
        <v>34</v>
      </c>
      <c r="K1800" s="2" t="s">
        <v>11508</v>
      </c>
      <c r="L1800" s="2" t="s">
        <v>11509</v>
      </c>
      <c r="M1800" s="2" t="s">
        <v>2710</v>
      </c>
      <c r="N1800" s="2" t="s">
        <v>38</v>
      </c>
      <c r="O1800" s="2" t="s">
        <v>156</v>
      </c>
      <c r="P1800" s="2" t="s">
        <v>4430</v>
      </c>
      <c r="Q1800" s="2" t="s">
        <v>11510</v>
      </c>
      <c r="R1800" s="2" t="s">
        <v>40</v>
      </c>
      <c r="S1800" s="2" t="s">
        <v>11511</v>
      </c>
      <c r="T1800" s="2" t="s">
        <v>7304</v>
      </c>
      <c r="U1800" s="2" t="s">
        <v>11512</v>
      </c>
      <c r="V1800" s="2" t="s">
        <v>11513</v>
      </c>
      <c r="W1800" s="1"/>
      <c r="X1800" s="2" t="s">
        <v>1437</v>
      </c>
      <c r="Y1800" s="2" t="s">
        <v>11114</v>
      </c>
      <c r="AA1800" t="str">
        <f t="shared" si="168"/>
        <v>2025-12</v>
      </c>
      <c r="AB1800" t="str">
        <f t="shared" si="169"/>
        <v/>
      </c>
      <c r="AC1800">
        <f t="shared" si="170"/>
        <v>198088.95999999999</v>
      </c>
      <c r="AD1800">
        <f t="shared" si="171"/>
        <v>20</v>
      </c>
      <c r="AE1800">
        <f t="shared" si="172"/>
        <v>48998.05</v>
      </c>
      <c r="AF1800" t="str">
        <f t="shared" si="173"/>
        <v>Paid</v>
      </c>
    </row>
    <row r="1801" spans="1:32" ht="27.75" thickBot="1" x14ac:dyDescent="0.35">
      <c r="A1801" s="2" t="s">
        <v>11514</v>
      </c>
      <c r="B1801" s="2" t="s">
        <v>27</v>
      </c>
      <c r="C1801" s="2" t="s">
        <v>28</v>
      </c>
      <c r="D1801" s="2" t="s">
        <v>97</v>
      </c>
      <c r="E1801" s="2" t="s">
        <v>11109</v>
      </c>
      <c r="F1801" s="2" t="s">
        <v>8445</v>
      </c>
      <c r="G1801" s="2" t="s">
        <v>32</v>
      </c>
      <c r="H1801" s="1"/>
      <c r="I1801" s="2" t="s">
        <v>33</v>
      </c>
      <c r="J1801" s="2" t="s">
        <v>34</v>
      </c>
      <c r="K1801" s="2" t="s">
        <v>3538</v>
      </c>
      <c r="L1801" s="2" t="s">
        <v>3539</v>
      </c>
      <c r="M1801" s="2" t="s">
        <v>70</v>
      </c>
      <c r="N1801" s="2" t="s">
        <v>38</v>
      </c>
      <c r="O1801" s="2" t="s">
        <v>156</v>
      </c>
      <c r="P1801" s="2" t="s">
        <v>1520</v>
      </c>
      <c r="Q1801" s="2" t="s">
        <v>11515</v>
      </c>
      <c r="R1801" s="2" t="s">
        <v>40</v>
      </c>
      <c r="S1801" s="2" t="s">
        <v>11516</v>
      </c>
      <c r="T1801" s="2" t="s">
        <v>2755</v>
      </c>
      <c r="U1801" s="2" t="s">
        <v>8894</v>
      </c>
      <c r="V1801" s="2" t="s">
        <v>11517</v>
      </c>
      <c r="W1801" s="1"/>
      <c r="X1801" s="2" t="s">
        <v>2198</v>
      </c>
      <c r="Y1801" s="2" t="s">
        <v>11114</v>
      </c>
      <c r="AA1801" t="str">
        <f t="shared" si="168"/>
        <v>2025-12</v>
      </c>
      <c r="AB1801" t="str">
        <f t="shared" si="169"/>
        <v/>
      </c>
      <c r="AC1801">
        <f t="shared" si="170"/>
        <v>140792.88</v>
      </c>
      <c r="AD1801">
        <f t="shared" si="171"/>
        <v>20</v>
      </c>
      <c r="AE1801">
        <f t="shared" si="172"/>
        <v>26792.880000000001</v>
      </c>
      <c r="AF1801" t="str">
        <f t="shared" si="173"/>
        <v>Paid</v>
      </c>
    </row>
    <row r="1802" spans="1:32" ht="27.75" thickBot="1" x14ac:dyDescent="0.35">
      <c r="A1802" s="2" t="s">
        <v>11518</v>
      </c>
      <c r="B1802" s="2" t="s">
        <v>27</v>
      </c>
      <c r="C1802" s="2" t="s">
        <v>28</v>
      </c>
      <c r="D1802" s="2" t="s">
        <v>97</v>
      </c>
      <c r="E1802" s="2" t="s">
        <v>11109</v>
      </c>
      <c r="F1802" s="2" t="s">
        <v>8445</v>
      </c>
      <c r="G1802" s="2" t="s">
        <v>32</v>
      </c>
      <c r="H1802" s="1"/>
      <c r="I1802" s="2" t="s">
        <v>33</v>
      </c>
      <c r="J1802" s="2" t="s">
        <v>34</v>
      </c>
      <c r="K1802" s="2" t="s">
        <v>2751</v>
      </c>
      <c r="L1802" s="2" t="s">
        <v>2752</v>
      </c>
      <c r="M1802" s="2" t="s">
        <v>70</v>
      </c>
      <c r="N1802" s="2" t="s">
        <v>38</v>
      </c>
      <c r="O1802" s="2" t="s">
        <v>399</v>
      </c>
      <c r="P1802" s="2" t="s">
        <v>1520</v>
      </c>
      <c r="Q1802" s="2" t="s">
        <v>11519</v>
      </c>
      <c r="R1802" s="2" t="s">
        <v>40</v>
      </c>
      <c r="S1802" s="2" t="s">
        <v>11520</v>
      </c>
      <c r="T1802" s="2" t="s">
        <v>2755</v>
      </c>
      <c r="U1802" s="2" t="s">
        <v>11521</v>
      </c>
      <c r="V1802" s="2" t="s">
        <v>11522</v>
      </c>
      <c r="W1802" s="1"/>
      <c r="X1802" s="2" t="s">
        <v>2198</v>
      </c>
      <c r="Y1802" s="2" t="s">
        <v>11114</v>
      </c>
      <c r="AA1802" t="str">
        <f t="shared" si="168"/>
        <v>2025-12</v>
      </c>
      <c r="AB1802" t="str">
        <f t="shared" si="169"/>
        <v/>
      </c>
      <c r="AC1802">
        <f t="shared" si="170"/>
        <v>330863.27</v>
      </c>
      <c r="AD1802">
        <f t="shared" si="171"/>
        <v>47</v>
      </c>
      <c r="AE1802">
        <f t="shared" si="172"/>
        <v>62963.27</v>
      </c>
      <c r="AF1802" t="str">
        <f t="shared" si="173"/>
        <v>Paid</v>
      </c>
    </row>
    <row r="1803" spans="1:32" ht="27.75" thickBot="1" x14ac:dyDescent="0.35">
      <c r="A1803" s="2" t="s">
        <v>11523</v>
      </c>
      <c r="B1803" s="2" t="s">
        <v>27</v>
      </c>
      <c r="C1803" s="2" t="s">
        <v>28</v>
      </c>
      <c r="D1803" s="2" t="s">
        <v>97</v>
      </c>
      <c r="E1803" s="2" t="s">
        <v>11109</v>
      </c>
      <c r="F1803" s="2" t="s">
        <v>8445</v>
      </c>
      <c r="G1803" s="2" t="s">
        <v>32</v>
      </c>
      <c r="H1803" s="1"/>
      <c r="I1803" s="2" t="s">
        <v>33</v>
      </c>
      <c r="J1803" s="2" t="s">
        <v>34</v>
      </c>
      <c r="K1803" s="2" t="s">
        <v>2766</v>
      </c>
      <c r="L1803" s="2" t="s">
        <v>2767</v>
      </c>
      <c r="M1803" s="2" t="s">
        <v>70</v>
      </c>
      <c r="N1803" s="2" t="s">
        <v>38</v>
      </c>
      <c r="O1803" s="2" t="s">
        <v>156</v>
      </c>
      <c r="P1803" s="2" t="s">
        <v>1520</v>
      </c>
      <c r="Q1803" s="2" t="s">
        <v>11515</v>
      </c>
      <c r="R1803" s="2" t="s">
        <v>40</v>
      </c>
      <c r="S1803" s="2" t="s">
        <v>11516</v>
      </c>
      <c r="T1803" s="2" t="s">
        <v>2755</v>
      </c>
      <c r="U1803" s="2" t="s">
        <v>8894</v>
      </c>
      <c r="V1803" s="2" t="s">
        <v>11517</v>
      </c>
      <c r="W1803" s="1"/>
      <c r="X1803" s="2" t="s">
        <v>2198</v>
      </c>
      <c r="Y1803" s="2" t="s">
        <v>11114</v>
      </c>
      <c r="AA1803" t="str">
        <f t="shared" si="168"/>
        <v>2025-12</v>
      </c>
      <c r="AB1803" t="str">
        <f t="shared" si="169"/>
        <v/>
      </c>
      <c r="AC1803">
        <f t="shared" si="170"/>
        <v>140792.88</v>
      </c>
      <c r="AD1803">
        <f t="shared" si="171"/>
        <v>20</v>
      </c>
      <c r="AE1803">
        <f t="shared" si="172"/>
        <v>26792.880000000001</v>
      </c>
      <c r="AF1803" t="str">
        <f t="shared" si="173"/>
        <v>Paid</v>
      </c>
    </row>
    <row r="1804" spans="1:32" ht="27.75" thickBot="1" x14ac:dyDescent="0.35">
      <c r="A1804" s="2" t="s">
        <v>11524</v>
      </c>
      <c r="B1804" s="2" t="s">
        <v>27</v>
      </c>
      <c r="C1804" s="2" t="s">
        <v>28</v>
      </c>
      <c r="D1804" s="2" t="s">
        <v>97</v>
      </c>
      <c r="E1804" s="2" t="s">
        <v>11109</v>
      </c>
      <c r="F1804" s="2" t="s">
        <v>8445</v>
      </c>
      <c r="G1804" s="2" t="s">
        <v>32</v>
      </c>
      <c r="H1804" s="1"/>
      <c r="I1804" s="2" t="s">
        <v>33</v>
      </c>
      <c r="J1804" s="2" t="s">
        <v>34</v>
      </c>
      <c r="K1804" s="2" t="s">
        <v>11525</v>
      </c>
      <c r="L1804" s="2" t="s">
        <v>11526</v>
      </c>
      <c r="M1804" s="2" t="s">
        <v>70</v>
      </c>
      <c r="N1804" s="2" t="s">
        <v>38</v>
      </c>
      <c r="O1804" s="2" t="s">
        <v>156</v>
      </c>
      <c r="P1804" s="2" t="s">
        <v>1520</v>
      </c>
      <c r="Q1804" s="2" t="s">
        <v>11515</v>
      </c>
      <c r="R1804" s="2" t="s">
        <v>40</v>
      </c>
      <c r="S1804" s="2" t="s">
        <v>11516</v>
      </c>
      <c r="T1804" s="2" t="s">
        <v>2755</v>
      </c>
      <c r="U1804" s="2" t="s">
        <v>8894</v>
      </c>
      <c r="V1804" s="2" t="s">
        <v>11517</v>
      </c>
      <c r="W1804" s="1"/>
      <c r="X1804" s="2" t="s">
        <v>2198</v>
      </c>
      <c r="Y1804" s="2" t="s">
        <v>11114</v>
      </c>
      <c r="AA1804" t="str">
        <f t="shared" si="168"/>
        <v>2025-12</v>
      </c>
      <c r="AB1804" t="str">
        <f t="shared" si="169"/>
        <v/>
      </c>
      <c r="AC1804">
        <f t="shared" si="170"/>
        <v>140792.88</v>
      </c>
      <c r="AD1804">
        <f t="shared" si="171"/>
        <v>20</v>
      </c>
      <c r="AE1804">
        <f t="shared" si="172"/>
        <v>26792.880000000001</v>
      </c>
      <c r="AF1804" t="str">
        <f t="shared" si="173"/>
        <v>Paid</v>
      </c>
    </row>
    <row r="1805" spans="1:32" ht="17.25" thickBot="1" x14ac:dyDescent="0.35">
      <c r="A1805" s="2" t="s">
        <v>11527</v>
      </c>
      <c r="B1805" s="2" t="s">
        <v>27</v>
      </c>
      <c r="C1805" s="2" t="s">
        <v>28</v>
      </c>
      <c r="D1805" s="2" t="s">
        <v>97</v>
      </c>
      <c r="E1805" s="2" t="s">
        <v>11109</v>
      </c>
      <c r="F1805" s="2" t="s">
        <v>8445</v>
      </c>
      <c r="G1805" s="2" t="s">
        <v>32</v>
      </c>
      <c r="H1805" s="1"/>
      <c r="I1805" s="2" t="s">
        <v>33</v>
      </c>
      <c r="J1805" s="2" t="s">
        <v>34</v>
      </c>
      <c r="K1805" s="2" t="s">
        <v>2773</v>
      </c>
      <c r="L1805" s="2" t="s">
        <v>2774</v>
      </c>
      <c r="M1805" s="2" t="s">
        <v>70</v>
      </c>
      <c r="N1805" s="2" t="s">
        <v>38</v>
      </c>
      <c r="O1805" s="2" t="s">
        <v>141</v>
      </c>
      <c r="P1805" s="2" t="s">
        <v>11528</v>
      </c>
      <c r="Q1805" s="2" t="s">
        <v>11529</v>
      </c>
      <c r="R1805" s="2" t="s">
        <v>40</v>
      </c>
      <c r="S1805" s="2" t="s">
        <v>11530</v>
      </c>
      <c r="T1805" s="2" t="s">
        <v>2778</v>
      </c>
      <c r="U1805" s="2" t="s">
        <v>3801</v>
      </c>
      <c r="V1805" s="2" t="s">
        <v>11531</v>
      </c>
      <c r="W1805" s="1"/>
      <c r="X1805" s="2" t="s">
        <v>2781</v>
      </c>
      <c r="Y1805" s="2" t="s">
        <v>11114</v>
      </c>
      <c r="AA1805" t="str">
        <f t="shared" si="168"/>
        <v>2025-12</v>
      </c>
      <c r="AB1805" t="str">
        <f t="shared" si="169"/>
        <v/>
      </c>
      <c r="AC1805">
        <f t="shared" si="170"/>
        <v>140361</v>
      </c>
      <c r="AD1805">
        <f t="shared" si="171"/>
        <v>30</v>
      </c>
      <c r="AE1805">
        <f t="shared" si="172"/>
        <v>29088.27</v>
      </c>
      <c r="AF1805" t="str">
        <f t="shared" si="173"/>
        <v>Paid</v>
      </c>
    </row>
    <row r="1806" spans="1:32" ht="17.25" thickBot="1" x14ac:dyDescent="0.35">
      <c r="A1806" s="2" t="s">
        <v>11532</v>
      </c>
      <c r="B1806" s="2" t="s">
        <v>27</v>
      </c>
      <c r="C1806" s="2" t="s">
        <v>28</v>
      </c>
      <c r="D1806" s="2" t="s">
        <v>97</v>
      </c>
      <c r="E1806" s="2" t="s">
        <v>11109</v>
      </c>
      <c r="F1806" s="2" t="s">
        <v>8445</v>
      </c>
      <c r="G1806" s="2" t="s">
        <v>32</v>
      </c>
      <c r="H1806" s="1"/>
      <c r="I1806" s="2" t="s">
        <v>33</v>
      </c>
      <c r="J1806" s="2" t="s">
        <v>34</v>
      </c>
      <c r="K1806" s="2" t="s">
        <v>11533</v>
      </c>
      <c r="L1806" s="2" t="s">
        <v>11534</v>
      </c>
      <c r="M1806" s="2" t="s">
        <v>70</v>
      </c>
      <c r="N1806" s="2" t="s">
        <v>38</v>
      </c>
      <c r="O1806" s="2" t="s">
        <v>391</v>
      </c>
      <c r="P1806" s="2" t="s">
        <v>475</v>
      </c>
      <c r="Q1806" s="2" t="s">
        <v>11535</v>
      </c>
      <c r="R1806" s="2" t="s">
        <v>40</v>
      </c>
      <c r="S1806" s="2" t="s">
        <v>11536</v>
      </c>
      <c r="T1806" s="2" t="s">
        <v>4850</v>
      </c>
      <c r="U1806" s="2" t="s">
        <v>11178</v>
      </c>
      <c r="V1806" s="2" t="s">
        <v>11537</v>
      </c>
      <c r="W1806" s="1"/>
      <c r="X1806" s="2" t="s">
        <v>3589</v>
      </c>
      <c r="Y1806" s="2" t="s">
        <v>11114</v>
      </c>
      <c r="AA1806" t="str">
        <f t="shared" si="168"/>
        <v>2025-12</v>
      </c>
      <c r="AB1806" t="str">
        <f t="shared" si="169"/>
        <v/>
      </c>
      <c r="AC1806">
        <f t="shared" si="170"/>
        <v>518256</v>
      </c>
      <c r="AD1806">
        <f t="shared" si="171"/>
        <v>60</v>
      </c>
      <c r="AE1806">
        <f t="shared" si="172"/>
        <v>105876</v>
      </c>
      <c r="AF1806" t="str">
        <f t="shared" si="173"/>
        <v>Paid</v>
      </c>
    </row>
    <row r="1807" spans="1:32" ht="17.25" thickBot="1" x14ac:dyDescent="0.35">
      <c r="A1807" s="2" t="s">
        <v>11538</v>
      </c>
      <c r="B1807" s="2" t="s">
        <v>27</v>
      </c>
      <c r="C1807" s="2" t="s">
        <v>28</v>
      </c>
      <c r="D1807" s="2" t="s">
        <v>97</v>
      </c>
      <c r="E1807" s="2" t="s">
        <v>11109</v>
      </c>
      <c r="F1807" s="2" t="s">
        <v>8445</v>
      </c>
      <c r="G1807" s="2" t="s">
        <v>32</v>
      </c>
      <c r="H1807" s="1"/>
      <c r="I1807" s="2" t="s">
        <v>33</v>
      </c>
      <c r="J1807" s="2" t="s">
        <v>34</v>
      </c>
      <c r="K1807" s="2" t="s">
        <v>2789</v>
      </c>
      <c r="L1807" s="2" t="s">
        <v>2790</v>
      </c>
      <c r="M1807" s="2" t="s">
        <v>70</v>
      </c>
      <c r="N1807" s="2" t="s">
        <v>38</v>
      </c>
      <c r="O1807" s="2" t="s">
        <v>645</v>
      </c>
      <c r="P1807" s="2" t="s">
        <v>475</v>
      </c>
      <c r="Q1807" s="2" t="s">
        <v>11539</v>
      </c>
      <c r="R1807" s="2" t="s">
        <v>40</v>
      </c>
      <c r="S1807" s="2" t="s">
        <v>11540</v>
      </c>
      <c r="T1807" s="2" t="s">
        <v>11541</v>
      </c>
      <c r="U1807" s="2" t="s">
        <v>11542</v>
      </c>
      <c r="V1807" s="2" t="s">
        <v>11543</v>
      </c>
      <c r="W1807" s="1"/>
      <c r="X1807" s="2" t="s">
        <v>2429</v>
      </c>
      <c r="Y1807" s="2" t="s">
        <v>11114</v>
      </c>
      <c r="AA1807" t="str">
        <f t="shared" si="168"/>
        <v>2025-12</v>
      </c>
      <c r="AB1807" t="str">
        <f t="shared" si="169"/>
        <v/>
      </c>
      <c r="AC1807">
        <f t="shared" si="170"/>
        <v>1468392</v>
      </c>
      <c r="AD1807">
        <f t="shared" si="171"/>
        <v>170</v>
      </c>
      <c r="AE1807">
        <f t="shared" si="172"/>
        <v>358292</v>
      </c>
      <c r="AF1807" t="str">
        <f t="shared" si="173"/>
        <v>Paid</v>
      </c>
    </row>
    <row r="1808" spans="1:32" ht="27.75" thickBot="1" x14ac:dyDescent="0.35">
      <c r="A1808" s="2" t="s">
        <v>11544</v>
      </c>
      <c r="B1808" s="2" t="s">
        <v>27</v>
      </c>
      <c r="C1808" s="2" t="s">
        <v>28</v>
      </c>
      <c r="D1808" s="2" t="s">
        <v>97</v>
      </c>
      <c r="E1808" s="2" t="s">
        <v>11109</v>
      </c>
      <c r="F1808" s="2" t="s">
        <v>8445</v>
      </c>
      <c r="G1808" s="2" t="s">
        <v>32</v>
      </c>
      <c r="H1808" s="1"/>
      <c r="I1808" s="2" t="s">
        <v>33</v>
      </c>
      <c r="J1808" s="2" t="s">
        <v>34</v>
      </c>
      <c r="K1808" s="2" t="s">
        <v>2799</v>
      </c>
      <c r="L1808" s="2" t="s">
        <v>2800</v>
      </c>
      <c r="M1808" s="2" t="s">
        <v>70</v>
      </c>
      <c r="N1808" s="2" t="s">
        <v>38</v>
      </c>
      <c r="O1808" s="2" t="s">
        <v>131</v>
      </c>
      <c r="P1808" s="2" t="s">
        <v>9528</v>
      </c>
      <c r="Q1808" s="2" t="s">
        <v>11545</v>
      </c>
      <c r="R1808" s="2" t="s">
        <v>40</v>
      </c>
      <c r="S1808" s="2" t="s">
        <v>11546</v>
      </c>
      <c r="T1808" s="2" t="s">
        <v>2383</v>
      </c>
      <c r="U1808" s="2" t="s">
        <v>11547</v>
      </c>
      <c r="V1808" s="2" t="s">
        <v>11548</v>
      </c>
      <c r="W1808" s="1"/>
      <c r="X1808" s="2" t="s">
        <v>2806</v>
      </c>
      <c r="Y1808" s="2" t="s">
        <v>11114</v>
      </c>
      <c r="AA1808" t="str">
        <f t="shared" si="168"/>
        <v>2025-12</v>
      </c>
      <c r="AB1808" t="str">
        <f t="shared" si="169"/>
        <v/>
      </c>
      <c r="AC1808">
        <f t="shared" si="170"/>
        <v>281009.91999999998</v>
      </c>
      <c r="AD1808">
        <f t="shared" si="171"/>
        <v>40</v>
      </c>
      <c r="AE1808">
        <f t="shared" si="172"/>
        <v>84646.28</v>
      </c>
      <c r="AF1808" t="str">
        <f t="shared" si="173"/>
        <v>Paid</v>
      </c>
    </row>
    <row r="1809" spans="1:32" ht="27.75" thickBot="1" x14ac:dyDescent="0.35">
      <c r="A1809" s="2" t="s">
        <v>11549</v>
      </c>
      <c r="B1809" s="2" t="s">
        <v>27</v>
      </c>
      <c r="C1809" s="2" t="s">
        <v>28</v>
      </c>
      <c r="D1809" s="2" t="s">
        <v>97</v>
      </c>
      <c r="E1809" s="2" t="s">
        <v>11109</v>
      </c>
      <c r="F1809" s="2" t="s">
        <v>8445</v>
      </c>
      <c r="G1809" s="2" t="s">
        <v>32</v>
      </c>
      <c r="H1809" s="1"/>
      <c r="I1809" s="2" t="s">
        <v>33</v>
      </c>
      <c r="J1809" s="2" t="s">
        <v>34</v>
      </c>
      <c r="K1809" s="2" t="s">
        <v>2808</v>
      </c>
      <c r="L1809" s="2" t="s">
        <v>2809</v>
      </c>
      <c r="M1809" s="2" t="s">
        <v>70</v>
      </c>
      <c r="N1809" s="2" t="s">
        <v>38</v>
      </c>
      <c r="O1809" s="2" t="s">
        <v>391</v>
      </c>
      <c r="P1809" s="2" t="s">
        <v>3568</v>
      </c>
      <c r="Q1809" s="2" t="s">
        <v>11550</v>
      </c>
      <c r="R1809" s="2" t="s">
        <v>40</v>
      </c>
      <c r="S1809" s="2" t="s">
        <v>11551</v>
      </c>
      <c r="T1809" s="2" t="s">
        <v>7901</v>
      </c>
      <c r="U1809" s="2" t="s">
        <v>11552</v>
      </c>
      <c r="V1809" s="2" t="s">
        <v>11553</v>
      </c>
      <c r="W1809" s="1"/>
      <c r="X1809" s="2" t="s">
        <v>9560</v>
      </c>
      <c r="Y1809" s="2" t="s">
        <v>11114</v>
      </c>
      <c r="AA1809" t="str">
        <f t="shared" si="168"/>
        <v>2025-12</v>
      </c>
      <c r="AB1809" t="str">
        <f t="shared" si="169"/>
        <v/>
      </c>
      <c r="AC1809">
        <f t="shared" si="170"/>
        <v>319591.2</v>
      </c>
      <c r="AD1809">
        <f t="shared" si="171"/>
        <v>60</v>
      </c>
      <c r="AE1809">
        <f t="shared" si="172"/>
        <v>98131.199999999997</v>
      </c>
      <c r="AF1809" t="str">
        <f t="shared" si="173"/>
        <v>Paid</v>
      </c>
    </row>
    <row r="1810" spans="1:32" ht="27.75" thickBot="1" x14ac:dyDescent="0.35">
      <c r="A1810" s="2" t="s">
        <v>11554</v>
      </c>
      <c r="B1810" s="2" t="s">
        <v>27</v>
      </c>
      <c r="C1810" s="2" t="s">
        <v>28</v>
      </c>
      <c r="D1810" s="2" t="s">
        <v>97</v>
      </c>
      <c r="E1810" s="2" t="s">
        <v>11109</v>
      </c>
      <c r="F1810" s="2" t="s">
        <v>8445</v>
      </c>
      <c r="G1810" s="2" t="s">
        <v>32</v>
      </c>
      <c r="H1810" s="1"/>
      <c r="I1810" s="2" t="s">
        <v>33</v>
      </c>
      <c r="J1810" s="2" t="s">
        <v>34</v>
      </c>
      <c r="K1810" s="2" t="s">
        <v>2817</v>
      </c>
      <c r="L1810" s="2" t="s">
        <v>2818</v>
      </c>
      <c r="M1810" s="2" t="s">
        <v>70</v>
      </c>
      <c r="N1810" s="2" t="s">
        <v>38</v>
      </c>
      <c r="O1810" s="2" t="s">
        <v>114</v>
      </c>
      <c r="P1810" s="2" t="s">
        <v>3568</v>
      </c>
      <c r="Q1810" s="2" t="s">
        <v>11555</v>
      </c>
      <c r="R1810" s="2" t="s">
        <v>40</v>
      </c>
      <c r="S1810" s="2" t="s">
        <v>11556</v>
      </c>
      <c r="T1810" s="2" t="s">
        <v>2813</v>
      </c>
      <c r="U1810" s="2" t="s">
        <v>11557</v>
      </c>
      <c r="V1810" s="2" t="s">
        <v>11558</v>
      </c>
      <c r="W1810" s="1"/>
      <c r="X1810" s="2" t="s">
        <v>9560</v>
      </c>
      <c r="Y1810" s="2" t="s">
        <v>11114</v>
      </c>
      <c r="AA1810" t="str">
        <f t="shared" si="168"/>
        <v>2025-12</v>
      </c>
      <c r="AB1810" t="str">
        <f t="shared" si="169"/>
        <v/>
      </c>
      <c r="AC1810">
        <f t="shared" si="170"/>
        <v>1278364.8</v>
      </c>
      <c r="AD1810">
        <f t="shared" si="171"/>
        <v>240</v>
      </c>
      <c r="AE1810">
        <f t="shared" si="172"/>
        <v>392546.64</v>
      </c>
      <c r="AF1810" t="str">
        <f t="shared" si="173"/>
        <v>Paid</v>
      </c>
    </row>
    <row r="1811" spans="1:32" ht="17.25" thickBot="1" x14ac:dyDescent="0.35">
      <c r="A1811" s="2" t="s">
        <v>11559</v>
      </c>
      <c r="B1811" s="2" t="s">
        <v>27</v>
      </c>
      <c r="C1811" s="2" t="s">
        <v>28</v>
      </c>
      <c r="D1811" s="2" t="s">
        <v>97</v>
      </c>
      <c r="E1811" s="2" t="s">
        <v>11109</v>
      </c>
      <c r="F1811" s="2" t="s">
        <v>8445</v>
      </c>
      <c r="G1811" s="2" t="s">
        <v>32</v>
      </c>
      <c r="H1811" s="1"/>
      <c r="I1811" s="2" t="s">
        <v>33</v>
      </c>
      <c r="J1811" s="2" t="s">
        <v>34</v>
      </c>
      <c r="K1811" s="2" t="s">
        <v>11560</v>
      </c>
      <c r="L1811" s="2" t="s">
        <v>11561</v>
      </c>
      <c r="M1811" s="2" t="s">
        <v>70</v>
      </c>
      <c r="N1811" s="2" t="s">
        <v>38</v>
      </c>
      <c r="O1811" s="2" t="s">
        <v>79</v>
      </c>
      <c r="P1811" s="2" t="s">
        <v>6890</v>
      </c>
      <c r="Q1811" s="2" t="s">
        <v>11562</v>
      </c>
      <c r="R1811" s="2" t="s">
        <v>40</v>
      </c>
      <c r="S1811" s="2" t="s">
        <v>11563</v>
      </c>
      <c r="T1811" s="2" t="s">
        <v>2101</v>
      </c>
      <c r="U1811" s="2" t="s">
        <v>5740</v>
      </c>
      <c r="V1811" s="2" t="s">
        <v>11564</v>
      </c>
      <c r="W1811" s="1"/>
      <c r="X1811" s="2" t="s">
        <v>3138</v>
      </c>
      <c r="Y1811" s="2" t="s">
        <v>11114</v>
      </c>
      <c r="AA1811" t="str">
        <f t="shared" si="168"/>
        <v>2025-12</v>
      </c>
      <c r="AB1811" t="str">
        <f t="shared" si="169"/>
        <v/>
      </c>
      <c r="AC1811">
        <f t="shared" si="170"/>
        <v>92422.32</v>
      </c>
      <c r="AD1811">
        <f t="shared" si="171"/>
        <v>10</v>
      </c>
      <c r="AE1811">
        <f t="shared" si="172"/>
        <v>20422.32</v>
      </c>
      <c r="AF1811" t="str">
        <f t="shared" si="173"/>
        <v>Paid</v>
      </c>
    </row>
    <row r="1812" spans="1:32" ht="27.75" thickBot="1" x14ac:dyDescent="0.35">
      <c r="A1812" s="2" t="s">
        <v>11565</v>
      </c>
      <c r="B1812" s="2" t="s">
        <v>27</v>
      </c>
      <c r="C1812" s="2" t="s">
        <v>28</v>
      </c>
      <c r="D1812" s="2" t="s">
        <v>97</v>
      </c>
      <c r="E1812" s="2" t="s">
        <v>11109</v>
      </c>
      <c r="F1812" s="2" t="s">
        <v>8445</v>
      </c>
      <c r="G1812" s="2" t="s">
        <v>32</v>
      </c>
      <c r="H1812" s="1"/>
      <c r="I1812" s="2" t="s">
        <v>33</v>
      </c>
      <c r="J1812" s="2" t="s">
        <v>34</v>
      </c>
      <c r="K1812" s="2" t="s">
        <v>2865</v>
      </c>
      <c r="L1812" s="2" t="s">
        <v>2866</v>
      </c>
      <c r="M1812" s="2" t="s">
        <v>70</v>
      </c>
      <c r="N1812" s="2" t="s">
        <v>38</v>
      </c>
      <c r="O1812" s="2" t="s">
        <v>156</v>
      </c>
      <c r="P1812" s="2" t="s">
        <v>5461</v>
      </c>
      <c r="Q1812" s="2" t="s">
        <v>11566</v>
      </c>
      <c r="R1812" s="2" t="s">
        <v>40</v>
      </c>
      <c r="S1812" s="2" t="s">
        <v>11567</v>
      </c>
      <c r="T1812" s="2" t="s">
        <v>2869</v>
      </c>
      <c r="U1812" s="2" t="s">
        <v>2877</v>
      </c>
      <c r="V1812" s="2" t="s">
        <v>11568</v>
      </c>
      <c r="W1812" s="1"/>
      <c r="X1812" s="2" t="s">
        <v>2863</v>
      </c>
      <c r="Y1812" s="2" t="s">
        <v>11114</v>
      </c>
      <c r="AA1812" t="str">
        <f t="shared" si="168"/>
        <v>2025-12</v>
      </c>
      <c r="AB1812" t="str">
        <f t="shared" si="169"/>
        <v/>
      </c>
      <c r="AC1812">
        <f t="shared" si="170"/>
        <v>190315.12</v>
      </c>
      <c r="AD1812">
        <f t="shared" si="171"/>
        <v>20</v>
      </c>
      <c r="AE1812">
        <f t="shared" si="172"/>
        <v>57951.48</v>
      </c>
      <c r="AF1812" t="str">
        <f t="shared" si="173"/>
        <v>Paid</v>
      </c>
    </row>
    <row r="1813" spans="1:32" ht="17.25" thickBot="1" x14ac:dyDescent="0.35">
      <c r="A1813" s="2" t="s">
        <v>11569</v>
      </c>
      <c r="B1813" s="2" t="s">
        <v>27</v>
      </c>
      <c r="C1813" s="2" t="s">
        <v>28</v>
      </c>
      <c r="D1813" s="2" t="s">
        <v>97</v>
      </c>
      <c r="E1813" s="2" t="s">
        <v>11109</v>
      </c>
      <c r="F1813" s="2" t="s">
        <v>8445</v>
      </c>
      <c r="G1813" s="2" t="s">
        <v>32</v>
      </c>
      <c r="H1813" s="1"/>
      <c r="I1813" s="2" t="s">
        <v>33</v>
      </c>
      <c r="J1813" s="2" t="s">
        <v>34</v>
      </c>
      <c r="K1813" s="2" t="s">
        <v>2873</v>
      </c>
      <c r="L1813" s="2" t="s">
        <v>2874</v>
      </c>
      <c r="M1813" s="2" t="s">
        <v>70</v>
      </c>
      <c r="N1813" s="2" t="s">
        <v>38</v>
      </c>
      <c r="O1813" s="2" t="s">
        <v>79</v>
      </c>
      <c r="P1813" s="2" t="s">
        <v>5461</v>
      </c>
      <c r="Q1813" s="2" t="s">
        <v>11570</v>
      </c>
      <c r="R1813" s="2" t="s">
        <v>40</v>
      </c>
      <c r="S1813" s="2" t="s">
        <v>11571</v>
      </c>
      <c r="T1813" s="2" t="s">
        <v>2869</v>
      </c>
      <c r="U1813" s="2" t="s">
        <v>2870</v>
      </c>
      <c r="V1813" s="2" t="s">
        <v>11572</v>
      </c>
      <c r="W1813" s="1"/>
      <c r="X1813" s="2" t="s">
        <v>2863</v>
      </c>
      <c r="Y1813" s="2" t="s">
        <v>11114</v>
      </c>
      <c r="AA1813" t="str">
        <f t="shared" si="168"/>
        <v>2025-12</v>
      </c>
      <c r="AB1813" t="str">
        <f t="shared" si="169"/>
        <v/>
      </c>
      <c r="AC1813">
        <f t="shared" si="170"/>
        <v>95157.56</v>
      </c>
      <c r="AD1813">
        <f t="shared" si="171"/>
        <v>10</v>
      </c>
      <c r="AE1813">
        <f t="shared" si="172"/>
        <v>28975.74</v>
      </c>
      <c r="AF1813" t="str">
        <f t="shared" si="173"/>
        <v>Paid</v>
      </c>
    </row>
    <row r="1814" spans="1:32" ht="17.25" thickBot="1" x14ac:dyDescent="0.35">
      <c r="A1814" s="2" t="s">
        <v>11573</v>
      </c>
      <c r="B1814" s="2" t="s">
        <v>27</v>
      </c>
      <c r="C1814" s="2" t="s">
        <v>28</v>
      </c>
      <c r="D1814" s="2" t="s">
        <v>97</v>
      </c>
      <c r="E1814" s="2" t="s">
        <v>11109</v>
      </c>
      <c r="F1814" s="2" t="s">
        <v>8445</v>
      </c>
      <c r="G1814" s="2" t="s">
        <v>32</v>
      </c>
      <c r="H1814" s="1"/>
      <c r="I1814" s="2" t="s">
        <v>33</v>
      </c>
      <c r="J1814" s="2" t="s">
        <v>34</v>
      </c>
      <c r="K1814" s="2" t="s">
        <v>11574</v>
      </c>
      <c r="L1814" s="2" t="s">
        <v>11575</v>
      </c>
      <c r="M1814" s="2" t="s">
        <v>70</v>
      </c>
      <c r="N1814" s="2" t="s">
        <v>38</v>
      </c>
      <c r="O1814" s="2" t="s">
        <v>79</v>
      </c>
      <c r="P1814" s="2" t="s">
        <v>11352</v>
      </c>
      <c r="Q1814" s="2" t="s">
        <v>11576</v>
      </c>
      <c r="R1814" s="2" t="s">
        <v>40</v>
      </c>
      <c r="S1814" s="2" t="s">
        <v>11577</v>
      </c>
      <c r="T1814" s="2" t="s">
        <v>2531</v>
      </c>
      <c r="U1814" s="2" t="s">
        <v>11578</v>
      </c>
      <c r="V1814" s="2" t="s">
        <v>11579</v>
      </c>
      <c r="W1814" s="1"/>
      <c r="X1814" s="2" t="s">
        <v>2894</v>
      </c>
      <c r="Y1814" s="2" t="s">
        <v>11114</v>
      </c>
      <c r="AA1814" t="str">
        <f t="shared" si="168"/>
        <v>2025-12</v>
      </c>
      <c r="AB1814" t="str">
        <f t="shared" si="169"/>
        <v/>
      </c>
      <c r="AC1814">
        <f t="shared" si="170"/>
        <v>107970</v>
      </c>
      <c r="AD1814">
        <f t="shared" si="171"/>
        <v>10</v>
      </c>
      <c r="AE1814">
        <f t="shared" si="172"/>
        <v>32697.27</v>
      </c>
      <c r="AF1814" t="str">
        <f t="shared" si="173"/>
        <v>Paid</v>
      </c>
    </row>
    <row r="1815" spans="1:32" ht="27.75" thickBot="1" x14ac:dyDescent="0.35">
      <c r="A1815" s="2" t="s">
        <v>11580</v>
      </c>
      <c r="B1815" s="2" t="s">
        <v>27</v>
      </c>
      <c r="C1815" s="2" t="s">
        <v>28</v>
      </c>
      <c r="D1815" s="2" t="s">
        <v>97</v>
      </c>
      <c r="E1815" s="2" t="s">
        <v>11109</v>
      </c>
      <c r="F1815" s="2" t="s">
        <v>8445</v>
      </c>
      <c r="G1815" s="2" t="s">
        <v>32</v>
      </c>
      <c r="H1815" s="1"/>
      <c r="I1815" s="2" t="s">
        <v>33</v>
      </c>
      <c r="J1815" s="2" t="s">
        <v>34</v>
      </c>
      <c r="K1815" s="2" t="s">
        <v>2904</v>
      </c>
      <c r="L1815" s="2" t="s">
        <v>2905</v>
      </c>
      <c r="M1815" s="2" t="s">
        <v>70</v>
      </c>
      <c r="N1815" s="2" t="s">
        <v>38</v>
      </c>
      <c r="O1815" s="2" t="s">
        <v>877</v>
      </c>
      <c r="P1815" s="2" t="s">
        <v>756</v>
      </c>
      <c r="Q1815" s="2" t="s">
        <v>11581</v>
      </c>
      <c r="R1815" s="2" t="s">
        <v>40</v>
      </c>
      <c r="S1815" s="2" t="s">
        <v>11582</v>
      </c>
      <c r="T1815" s="2" t="s">
        <v>2909</v>
      </c>
      <c r="U1815" s="2" t="s">
        <v>11583</v>
      </c>
      <c r="V1815" s="2" t="s">
        <v>11584</v>
      </c>
      <c r="W1815" s="1"/>
      <c r="X1815" s="2" t="s">
        <v>7918</v>
      </c>
      <c r="Y1815" s="2" t="s">
        <v>11114</v>
      </c>
      <c r="AA1815" t="str">
        <f t="shared" si="168"/>
        <v>2025-12</v>
      </c>
      <c r="AB1815" t="str">
        <f t="shared" si="169"/>
        <v/>
      </c>
      <c r="AC1815">
        <f t="shared" si="170"/>
        <v>879595.6</v>
      </c>
      <c r="AD1815">
        <f t="shared" si="171"/>
        <v>100</v>
      </c>
      <c r="AE1815">
        <f t="shared" si="172"/>
        <v>259595.6</v>
      </c>
      <c r="AF1815" t="str">
        <f t="shared" si="173"/>
        <v>Paid</v>
      </c>
    </row>
    <row r="1816" spans="1:32" ht="17.25" thickBot="1" x14ac:dyDescent="0.35">
      <c r="A1816" s="2" t="s">
        <v>11585</v>
      </c>
      <c r="B1816" s="2" t="s">
        <v>27</v>
      </c>
      <c r="C1816" s="2" t="s">
        <v>28</v>
      </c>
      <c r="D1816" s="2" t="s">
        <v>97</v>
      </c>
      <c r="E1816" s="2" t="s">
        <v>11109</v>
      </c>
      <c r="F1816" s="2" t="s">
        <v>8445</v>
      </c>
      <c r="G1816" s="2" t="s">
        <v>32</v>
      </c>
      <c r="H1816" s="1"/>
      <c r="I1816" s="2" t="s">
        <v>33</v>
      </c>
      <c r="J1816" s="2" t="s">
        <v>34</v>
      </c>
      <c r="K1816" s="2" t="s">
        <v>9594</v>
      </c>
      <c r="L1816" s="2" t="s">
        <v>9595</v>
      </c>
      <c r="M1816" s="2" t="s">
        <v>70</v>
      </c>
      <c r="N1816" s="2" t="s">
        <v>38</v>
      </c>
      <c r="O1816" s="2" t="s">
        <v>156</v>
      </c>
      <c r="P1816" s="2" t="s">
        <v>115</v>
      </c>
      <c r="Q1816" s="2" t="s">
        <v>11586</v>
      </c>
      <c r="R1816" s="2" t="s">
        <v>40</v>
      </c>
      <c r="S1816" s="2" t="s">
        <v>11587</v>
      </c>
      <c r="T1816" s="2" t="s">
        <v>2919</v>
      </c>
      <c r="U1816" s="2" t="s">
        <v>11588</v>
      </c>
      <c r="V1816" s="2" t="s">
        <v>11589</v>
      </c>
      <c r="W1816" s="1"/>
      <c r="X1816" s="2" t="s">
        <v>300</v>
      </c>
      <c r="Y1816" s="2" t="s">
        <v>11114</v>
      </c>
      <c r="AA1816" t="str">
        <f t="shared" si="168"/>
        <v>2025-12</v>
      </c>
      <c r="AB1816" t="str">
        <f t="shared" si="169"/>
        <v/>
      </c>
      <c r="AC1816">
        <f t="shared" si="170"/>
        <v>167857.36</v>
      </c>
      <c r="AD1816">
        <f t="shared" si="171"/>
        <v>20</v>
      </c>
      <c r="AE1816">
        <f t="shared" si="172"/>
        <v>50757.36</v>
      </c>
      <c r="AF1816" t="str">
        <f t="shared" si="173"/>
        <v>Paid</v>
      </c>
    </row>
    <row r="1817" spans="1:32" ht="17.25" thickBot="1" x14ac:dyDescent="0.35">
      <c r="A1817" s="2" t="s">
        <v>11590</v>
      </c>
      <c r="B1817" s="2" t="s">
        <v>27</v>
      </c>
      <c r="C1817" s="2" t="s">
        <v>28</v>
      </c>
      <c r="D1817" s="2" t="s">
        <v>97</v>
      </c>
      <c r="E1817" s="2" t="s">
        <v>11109</v>
      </c>
      <c r="F1817" s="2" t="s">
        <v>8445</v>
      </c>
      <c r="G1817" s="2" t="s">
        <v>32</v>
      </c>
      <c r="H1817" s="1"/>
      <c r="I1817" s="2" t="s">
        <v>33</v>
      </c>
      <c r="J1817" s="2" t="s">
        <v>34</v>
      </c>
      <c r="K1817" s="2" t="s">
        <v>11591</v>
      </c>
      <c r="L1817" s="2" t="s">
        <v>11592</v>
      </c>
      <c r="M1817" s="2" t="s">
        <v>70</v>
      </c>
      <c r="N1817" s="2" t="s">
        <v>38</v>
      </c>
      <c r="O1817" s="2" t="s">
        <v>79</v>
      </c>
      <c r="P1817" s="2" t="s">
        <v>115</v>
      </c>
      <c r="Q1817" s="2" t="s">
        <v>11593</v>
      </c>
      <c r="R1817" s="2" t="s">
        <v>40</v>
      </c>
      <c r="S1817" s="2" t="s">
        <v>11594</v>
      </c>
      <c r="T1817" s="2" t="s">
        <v>2919</v>
      </c>
      <c r="U1817" s="2" t="s">
        <v>11595</v>
      </c>
      <c r="V1817" s="2" t="s">
        <v>11596</v>
      </c>
      <c r="W1817" s="1"/>
      <c r="X1817" s="2" t="s">
        <v>300</v>
      </c>
      <c r="Y1817" s="2" t="s">
        <v>11114</v>
      </c>
      <c r="AA1817" t="str">
        <f t="shared" si="168"/>
        <v>2025-12</v>
      </c>
      <c r="AB1817" t="str">
        <f t="shared" si="169"/>
        <v/>
      </c>
      <c r="AC1817">
        <f t="shared" si="170"/>
        <v>83928.68</v>
      </c>
      <c r="AD1817">
        <f t="shared" si="171"/>
        <v>10</v>
      </c>
      <c r="AE1817">
        <f t="shared" si="172"/>
        <v>25378.68</v>
      </c>
      <c r="AF1817" t="str">
        <f t="shared" si="173"/>
        <v>Paid</v>
      </c>
    </row>
    <row r="1818" spans="1:32" ht="17.25" thickBot="1" x14ac:dyDescent="0.35">
      <c r="A1818" s="2" t="s">
        <v>11597</v>
      </c>
      <c r="B1818" s="2" t="s">
        <v>27</v>
      </c>
      <c r="C1818" s="2" t="s">
        <v>28</v>
      </c>
      <c r="D1818" s="2" t="s">
        <v>97</v>
      </c>
      <c r="E1818" s="2" t="s">
        <v>11109</v>
      </c>
      <c r="F1818" s="2" t="s">
        <v>8445</v>
      </c>
      <c r="G1818" s="2" t="s">
        <v>32</v>
      </c>
      <c r="H1818" s="1"/>
      <c r="I1818" s="2" t="s">
        <v>33</v>
      </c>
      <c r="J1818" s="2" t="s">
        <v>34</v>
      </c>
      <c r="K1818" s="2" t="s">
        <v>2923</v>
      </c>
      <c r="L1818" s="2" t="s">
        <v>2924</v>
      </c>
      <c r="M1818" s="2" t="s">
        <v>70</v>
      </c>
      <c r="N1818" s="2" t="s">
        <v>38</v>
      </c>
      <c r="O1818" s="2" t="s">
        <v>79</v>
      </c>
      <c r="P1818" s="2" t="s">
        <v>115</v>
      </c>
      <c r="Q1818" s="2" t="s">
        <v>11593</v>
      </c>
      <c r="R1818" s="2" t="s">
        <v>40</v>
      </c>
      <c r="S1818" s="2" t="s">
        <v>11594</v>
      </c>
      <c r="T1818" s="2" t="s">
        <v>2919</v>
      </c>
      <c r="U1818" s="2" t="s">
        <v>11595</v>
      </c>
      <c r="V1818" s="2" t="s">
        <v>11596</v>
      </c>
      <c r="W1818" s="1"/>
      <c r="X1818" s="2" t="s">
        <v>300</v>
      </c>
      <c r="Y1818" s="2" t="s">
        <v>11114</v>
      </c>
      <c r="AA1818" t="str">
        <f t="shared" si="168"/>
        <v>2025-12</v>
      </c>
      <c r="AB1818" t="str">
        <f t="shared" si="169"/>
        <v/>
      </c>
      <c r="AC1818">
        <f t="shared" si="170"/>
        <v>83928.68</v>
      </c>
      <c r="AD1818">
        <f t="shared" si="171"/>
        <v>10</v>
      </c>
      <c r="AE1818">
        <f t="shared" si="172"/>
        <v>25378.68</v>
      </c>
      <c r="AF1818" t="str">
        <f t="shared" si="173"/>
        <v>Paid</v>
      </c>
    </row>
    <row r="1819" spans="1:32" ht="17.25" thickBot="1" x14ac:dyDescent="0.35">
      <c r="A1819" s="2" t="s">
        <v>11598</v>
      </c>
      <c r="B1819" s="2" t="s">
        <v>27</v>
      </c>
      <c r="C1819" s="2" t="s">
        <v>28</v>
      </c>
      <c r="D1819" s="2" t="s">
        <v>97</v>
      </c>
      <c r="E1819" s="2" t="s">
        <v>11109</v>
      </c>
      <c r="F1819" s="2" t="s">
        <v>8445</v>
      </c>
      <c r="G1819" s="2" t="s">
        <v>32</v>
      </c>
      <c r="H1819" s="1"/>
      <c r="I1819" s="2" t="s">
        <v>33</v>
      </c>
      <c r="J1819" s="2" t="s">
        <v>34</v>
      </c>
      <c r="K1819" s="2" t="s">
        <v>9600</v>
      </c>
      <c r="L1819" s="2" t="s">
        <v>9601</v>
      </c>
      <c r="M1819" s="2" t="s">
        <v>3629</v>
      </c>
      <c r="N1819" s="2" t="s">
        <v>38</v>
      </c>
      <c r="O1819" s="2" t="s">
        <v>141</v>
      </c>
      <c r="P1819" s="2" t="s">
        <v>40</v>
      </c>
      <c r="Q1819" s="2" t="s">
        <v>40</v>
      </c>
      <c r="R1819" s="2" t="s">
        <v>40</v>
      </c>
      <c r="S1819" s="2" t="s">
        <v>40</v>
      </c>
      <c r="T1819" s="2" t="s">
        <v>9605</v>
      </c>
      <c r="U1819" s="2" t="s">
        <v>11599</v>
      </c>
      <c r="V1819" s="2" t="s">
        <v>11600</v>
      </c>
      <c r="W1819" s="2" t="s">
        <v>41</v>
      </c>
      <c r="X1819" s="2" t="s">
        <v>42</v>
      </c>
      <c r="Y1819" s="2" t="s">
        <v>11114</v>
      </c>
      <c r="AA1819" t="str">
        <f t="shared" si="168"/>
        <v>2025-12</v>
      </c>
      <c r="AB1819" t="str">
        <f t="shared" si="169"/>
        <v/>
      </c>
      <c r="AC1819">
        <f t="shared" si="170"/>
        <v>0</v>
      </c>
      <c r="AD1819">
        <f t="shared" si="171"/>
        <v>30</v>
      </c>
      <c r="AE1819">
        <f t="shared" si="172"/>
        <v>-130590</v>
      </c>
      <c r="AF1819" t="str">
        <f t="shared" si="173"/>
        <v>Sample</v>
      </c>
    </row>
    <row r="1820" spans="1:32" ht="17.25" thickBot="1" x14ac:dyDescent="0.35">
      <c r="A1820" s="2" t="s">
        <v>11601</v>
      </c>
      <c r="B1820" s="2" t="s">
        <v>27</v>
      </c>
      <c r="C1820" s="2" t="s">
        <v>28</v>
      </c>
      <c r="D1820" s="2" t="s">
        <v>97</v>
      </c>
      <c r="E1820" s="2" t="s">
        <v>11109</v>
      </c>
      <c r="F1820" s="2" t="s">
        <v>8445</v>
      </c>
      <c r="G1820" s="2" t="s">
        <v>32</v>
      </c>
      <c r="H1820" s="1"/>
      <c r="I1820" s="2" t="s">
        <v>33</v>
      </c>
      <c r="J1820" s="2" t="s">
        <v>34</v>
      </c>
      <c r="K1820" s="2" t="s">
        <v>11602</v>
      </c>
      <c r="L1820" s="2" t="s">
        <v>11603</v>
      </c>
      <c r="M1820" s="2" t="s">
        <v>3629</v>
      </c>
      <c r="N1820" s="2" t="s">
        <v>38</v>
      </c>
      <c r="O1820" s="2" t="s">
        <v>141</v>
      </c>
      <c r="P1820" s="2" t="s">
        <v>11604</v>
      </c>
      <c r="Q1820" s="2" t="s">
        <v>11605</v>
      </c>
      <c r="R1820" s="2" t="s">
        <v>40</v>
      </c>
      <c r="S1820" s="2" t="s">
        <v>11606</v>
      </c>
      <c r="T1820" s="2" t="s">
        <v>11607</v>
      </c>
      <c r="U1820" s="2" t="s">
        <v>11608</v>
      </c>
      <c r="V1820" s="2" t="s">
        <v>11609</v>
      </c>
      <c r="W1820" s="1"/>
      <c r="X1820" s="2" t="s">
        <v>955</v>
      </c>
      <c r="Y1820" s="2" t="s">
        <v>11114</v>
      </c>
      <c r="AA1820" t="str">
        <f t="shared" si="168"/>
        <v>2025-12</v>
      </c>
      <c r="AB1820" t="str">
        <f t="shared" si="169"/>
        <v/>
      </c>
      <c r="AC1820">
        <f t="shared" si="170"/>
        <v>460815.96</v>
      </c>
      <c r="AD1820">
        <f t="shared" si="171"/>
        <v>30</v>
      </c>
      <c r="AE1820">
        <f t="shared" si="172"/>
        <v>108225.96</v>
      </c>
      <c r="AF1820" t="str">
        <f t="shared" si="173"/>
        <v>Paid</v>
      </c>
    </row>
    <row r="1821" spans="1:32" ht="17.25" thickBot="1" x14ac:dyDescent="0.35">
      <c r="A1821" s="2" t="s">
        <v>11610</v>
      </c>
      <c r="B1821" s="2" t="s">
        <v>27</v>
      </c>
      <c r="C1821" s="2" t="s">
        <v>28</v>
      </c>
      <c r="D1821" s="2" t="s">
        <v>97</v>
      </c>
      <c r="E1821" s="2" t="s">
        <v>11109</v>
      </c>
      <c r="F1821" s="2" t="s">
        <v>8445</v>
      </c>
      <c r="G1821" s="2" t="s">
        <v>32</v>
      </c>
      <c r="H1821" s="1"/>
      <c r="I1821" s="2" t="s">
        <v>33</v>
      </c>
      <c r="J1821" s="2" t="s">
        <v>34</v>
      </c>
      <c r="K1821" s="2" t="s">
        <v>11611</v>
      </c>
      <c r="L1821" s="2" t="s">
        <v>11612</v>
      </c>
      <c r="M1821" s="2" t="s">
        <v>9630</v>
      </c>
      <c r="N1821" s="2" t="s">
        <v>38</v>
      </c>
      <c r="O1821" s="2" t="s">
        <v>54</v>
      </c>
      <c r="P1821" s="2" t="s">
        <v>11613</v>
      </c>
      <c r="Q1821" s="2" t="s">
        <v>4284</v>
      </c>
      <c r="R1821" s="2" t="s">
        <v>40</v>
      </c>
      <c r="S1821" s="2" t="s">
        <v>11614</v>
      </c>
      <c r="T1821" s="2" t="s">
        <v>9632</v>
      </c>
      <c r="U1821" s="2" t="s">
        <v>11615</v>
      </c>
      <c r="V1821" s="2" t="s">
        <v>11616</v>
      </c>
      <c r="W1821" s="1"/>
      <c r="X1821" s="2" t="s">
        <v>290</v>
      </c>
      <c r="Y1821" s="2" t="s">
        <v>11114</v>
      </c>
      <c r="AA1821" t="str">
        <f t="shared" si="168"/>
        <v>2025-12</v>
      </c>
      <c r="AB1821" t="str">
        <f t="shared" si="169"/>
        <v/>
      </c>
      <c r="AC1821">
        <f t="shared" si="170"/>
        <v>10422.700000000001</v>
      </c>
      <c r="AD1821">
        <f t="shared" si="171"/>
        <v>4</v>
      </c>
      <c r="AE1821">
        <f t="shared" si="172"/>
        <v>4059.07</v>
      </c>
      <c r="AF1821" t="str">
        <f t="shared" si="173"/>
        <v>Paid</v>
      </c>
    </row>
    <row r="1822" spans="1:32" ht="17.25" thickBot="1" x14ac:dyDescent="0.35">
      <c r="A1822" s="2" t="s">
        <v>11617</v>
      </c>
      <c r="B1822" s="2" t="s">
        <v>27</v>
      </c>
      <c r="C1822" s="2" t="s">
        <v>28</v>
      </c>
      <c r="D1822" s="2" t="s">
        <v>97</v>
      </c>
      <c r="E1822" s="2" t="s">
        <v>11109</v>
      </c>
      <c r="F1822" s="2" t="s">
        <v>8445</v>
      </c>
      <c r="G1822" s="2" t="s">
        <v>32</v>
      </c>
      <c r="H1822" s="1"/>
      <c r="I1822" s="2" t="s">
        <v>33</v>
      </c>
      <c r="J1822" s="2" t="s">
        <v>34</v>
      </c>
      <c r="K1822" s="2" t="s">
        <v>11618</v>
      </c>
      <c r="L1822" s="2" t="s">
        <v>11619</v>
      </c>
      <c r="M1822" s="2" t="s">
        <v>8432</v>
      </c>
      <c r="N1822" s="2" t="s">
        <v>38</v>
      </c>
      <c r="O1822" s="2" t="s">
        <v>131</v>
      </c>
      <c r="P1822" s="2" t="s">
        <v>11393</v>
      </c>
      <c r="Q1822" s="2" t="s">
        <v>11620</v>
      </c>
      <c r="R1822" s="2" t="s">
        <v>40</v>
      </c>
      <c r="S1822" s="2" t="s">
        <v>11621</v>
      </c>
      <c r="T1822" s="2" t="s">
        <v>11622</v>
      </c>
      <c r="U1822" s="2" t="s">
        <v>11623</v>
      </c>
      <c r="V1822" s="2" t="s">
        <v>11624</v>
      </c>
      <c r="W1822" s="1"/>
      <c r="X1822" s="2" t="s">
        <v>1073</v>
      </c>
      <c r="Y1822" s="2" t="s">
        <v>11114</v>
      </c>
      <c r="AA1822" t="str">
        <f t="shared" si="168"/>
        <v>2025-12</v>
      </c>
      <c r="AB1822" t="str">
        <f t="shared" si="169"/>
        <v/>
      </c>
      <c r="AC1822">
        <f t="shared" si="170"/>
        <v>806176</v>
      </c>
      <c r="AD1822">
        <f t="shared" si="171"/>
        <v>40</v>
      </c>
      <c r="AE1822">
        <f t="shared" si="172"/>
        <v>210536</v>
      </c>
      <c r="AF1822" t="str">
        <f t="shared" si="173"/>
        <v>Paid</v>
      </c>
    </row>
    <row r="1823" spans="1:32" ht="17.25" thickBot="1" x14ac:dyDescent="0.35">
      <c r="A1823" s="2" t="s">
        <v>11625</v>
      </c>
      <c r="B1823" s="2" t="s">
        <v>27</v>
      </c>
      <c r="C1823" s="2" t="s">
        <v>28</v>
      </c>
      <c r="D1823" s="2" t="s">
        <v>97</v>
      </c>
      <c r="E1823" s="2" t="s">
        <v>11109</v>
      </c>
      <c r="F1823" s="2" t="s">
        <v>8445</v>
      </c>
      <c r="G1823" s="2" t="s">
        <v>32</v>
      </c>
      <c r="H1823" s="1"/>
      <c r="I1823" s="2" t="s">
        <v>33</v>
      </c>
      <c r="J1823" s="2" t="s">
        <v>34</v>
      </c>
      <c r="K1823" s="2" t="s">
        <v>3002</v>
      </c>
      <c r="L1823" s="2" t="s">
        <v>3003</v>
      </c>
      <c r="M1823" s="2" t="s">
        <v>2933</v>
      </c>
      <c r="N1823" s="2" t="s">
        <v>38</v>
      </c>
      <c r="O1823" s="2" t="s">
        <v>79</v>
      </c>
      <c r="P1823" s="2" t="s">
        <v>2470</v>
      </c>
      <c r="Q1823" s="2" t="s">
        <v>11626</v>
      </c>
      <c r="R1823" s="2" t="s">
        <v>40</v>
      </c>
      <c r="S1823" s="2" t="s">
        <v>11627</v>
      </c>
      <c r="T1823" s="2" t="s">
        <v>3006</v>
      </c>
      <c r="U1823" s="2" t="s">
        <v>3007</v>
      </c>
      <c r="V1823" s="2" t="s">
        <v>11628</v>
      </c>
      <c r="W1823" s="1"/>
      <c r="X1823" s="2" t="s">
        <v>2958</v>
      </c>
      <c r="Y1823" s="2" t="s">
        <v>11114</v>
      </c>
      <c r="AA1823" t="str">
        <f t="shared" si="168"/>
        <v>2025-12</v>
      </c>
      <c r="AB1823" t="str">
        <f t="shared" si="169"/>
        <v/>
      </c>
      <c r="AC1823">
        <f t="shared" si="170"/>
        <v>110993.16</v>
      </c>
      <c r="AD1823">
        <f t="shared" si="171"/>
        <v>10</v>
      </c>
      <c r="AE1823">
        <f t="shared" si="172"/>
        <v>25493.16</v>
      </c>
      <c r="AF1823" t="str">
        <f t="shared" si="173"/>
        <v>Paid</v>
      </c>
    </row>
    <row r="1824" spans="1:32" ht="27.75" thickBot="1" x14ac:dyDescent="0.35">
      <c r="A1824" s="2" t="s">
        <v>11629</v>
      </c>
      <c r="B1824" s="2" t="s">
        <v>27</v>
      </c>
      <c r="C1824" s="2" t="s">
        <v>28</v>
      </c>
      <c r="D1824" s="2" t="s">
        <v>97</v>
      </c>
      <c r="E1824" s="2" t="s">
        <v>11109</v>
      </c>
      <c r="F1824" s="2" t="s">
        <v>8445</v>
      </c>
      <c r="G1824" s="2" t="s">
        <v>32</v>
      </c>
      <c r="H1824" s="1"/>
      <c r="I1824" s="2" t="s">
        <v>33</v>
      </c>
      <c r="J1824" s="2" t="s">
        <v>34</v>
      </c>
      <c r="K1824" s="2" t="s">
        <v>3028</v>
      </c>
      <c r="L1824" s="2" t="s">
        <v>3029</v>
      </c>
      <c r="M1824" s="2" t="s">
        <v>3030</v>
      </c>
      <c r="N1824" s="2" t="s">
        <v>38</v>
      </c>
      <c r="O1824" s="2" t="s">
        <v>79</v>
      </c>
      <c r="P1824" s="2" t="s">
        <v>1361</v>
      </c>
      <c r="Q1824" s="2" t="s">
        <v>11630</v>
      </c>
      <c r="R1824" s="2" t="s">
        <v>40</v>
      </c>
      <c r="S1824" s="2" t="s">
        <v>11631</v>
      </c>
      <c r="T1824" s="2" t="s">
        <v>3034</v>
      </c>
      <c r="U1824" s="2" t="s">
        <v>11632</v>
      </c>
      <c r="V1824" s="2" t="s">
        <v>11633</v>
      </c>
      <c r="W1824" s="1"/>
      <c r="X1824" s="2" t="s">
        <v>3047</v>
      </c>
      <c r="Y1824" s="2" t="s">
        <v>11114</v>
      </c>
      <c r="AA1824" t="str">
        <f t="shared" si="168"/>
        <v>2025-12</v>
      </c>
      <c r="AB1824" t="str">
        <f t="shared" si="169"/>
        <v/>
      </c>
      <c r="AC1824">
        <f t="shared" si="170"/>
        <v>68812.88</v>
      </c>
      <c r="AD1824">
        <f t="shared" si="171"/>
        <v>10</v>
      </c>
      <c r="AE1824">
        <f t="shared" si="172"/>
        <v>23721.97</v>
      </c>
      <c r="AF1824" t="str">
        <f t="shared" si="173"/>
        <v>Paid</v>
      </c>
    </row>
    <row r="1825" spans="1:32" ht="27.75" thickBot="1" x14ac:dyDescent="0.35">
      <c r="A1825" s="2" t="s">
        <v>11634</v>
      </c>
      <c r="B1825" s="2" t="s">
        <v>27</v>
      </c>
      <c r="C1825" s="2" t="s">
        <v>28</v>
      </c>
      <c r="D1825" s="2" t="s">
        <v>97</v>
      </c>
      <c r="E1825" s="2" t="s">
        <v>11109</v>
      </c>
      <c r="F1825" s="2" t="s">
        <v>8445</v>
      </c>
      <c r="G1825" s="2" t="s">
        <v>32</v>
      </c>
      <c r="H1825" s="1"/>
      <c r="I1825" s="2" t="s">
        <v>33</v>
      </c>
      <c r="J1825" s="2" t="s">
        <v>34</v>
      </c>
      <c r="K1825" s="2" t="s">
        <v>11635</v>
      </c>
      <c r="L1825" s="2" t="s">
        <v>11636</v>
      </c>
      <c r="M1825" s="2" t="s">
        <v>3030</v>
      </c>
      <c r="N1825" s="2" t="s">
        <v>38</v>
      </c>
      <c r="O1825" s="2" t="s">
        <v>79</v>
      </c>
      <c r="P1825" s="2" t="s">
        <v>6229</v>
      </c>
      <c r="Q1825" s="2" t="s">
        <v>11637</v>
      </c>
      <c r="R1825" s="2" t="s">
        <v>40</v>
      </c>
      <c r="S1825" s="2" t="s">
        <v>11638</v>
      </c>
      <c r="T1825" s="2" t="s">
        <v>2376</v>
      </c>
      <c r="U1825" s="2" t="s">
        <v>6984</v>
      </c>
      <c r="V1825" s="2" t="s">
        <v>11639</v>
      </c>
      <c r="W1825" s="1"/>
      <c r="X1825" s="2" t="s">
        <v>6902</v>
      </c>
      <c r="Y1825" s="2" t="s">
        <v>11114</v>
      </c>
      <c r="AA1825" t="str">
        <f t="shared" si="168"/>
        <v>2025-12</v>
      </c>
      <c r="AB1825" t="str">
        <f t="shared" si="169"/>
        <v/>
      </c>
      <c r="AC1825">
        <f t="shared" si="170"/>
        <v>103219.32</v>
      </c>
      <c r="AD1825">
        <f t="shared" si="171"/>
        <v>10</v>
      </c>
      <c r="AE1825">
        <f t="shared" si="172"/>
        <v>24673.87</v>
      </c>
      <c r="AF1825" t="str">
        <f t="shared" si="173"/>
        <v>Paid</v>
      </c>
    </row>
    <row r="1826" spans="1:32" ht="27.75" thickBot="1" x14ac:dyDescent="0.35">
      <c r="A1826" s="2" t="s">
        <v>11640</v>
      </c>
      <c r="B1826" s="2" t="s">
        <v>27</v>
      </c>
      <c r="C1826" s="2" t="s">
        <v>28</v>
      </c>
      <c r="D1826" s="2" t="s">
        <v>97</v>
      </c>
      <c r="E1826" s="2" t="s">
        <v>11109</v>
      </c>
      <c r="F1826" s="2" t="s">
        <v>8445</v>
      </c>
      <c r="G1826" s="2" t="s">
        <v>32</v>
      </c>
      <c r="H1826" s="1"/>
      <c r="I1826" s="2" t="s">
        <v>33</v>
      </c>
      <c r="J1826" s="2" t="s">
        <v>34</v>
      </c>
      <c r="K1826" s="2" t="s">
        <v>3065</v>
      </c>
      <c r="L1826" s="2" t="s">
        <v>3066</v>
      </c>
      <c r="M1826" s="2" t="s">
        <v>3067</v>
      </c>
      <c r="N1826" s="2" t="s">
        <v>38</v>
      </c>
      <c r="O1826" s="2" t="s">
        <v>779</v>
      </c>
      <c r="P1826" s="2" t="s">
        <v>3456</v>
      </c>
      <c r="Q1826" s="2" t="s">
        <v>11641</v>
      </c>
      <c r="R1826" s="2" t="s">
        <v>40</v>
      </c>
      <c r="S1826" s="2" t="s">
        <v>11642</v>
      </c>
      <c r="T1826" s="2" t="s">
        <v>2909</v>
      </c>
      <c r="U1826" s="2" t="s">
        <v>11643</v>
      </c>
      <c r="V1826" s="2" t="s">
        <v>11644</v>
      </c>
      <c r="W1826" s="1"/>
      <c r="X1826" s="2" t="s">
        <v>2797</v>
      </c>
      <c r="Y1826" s="2" t="s">
        <v>11114</v>
      </c>
      <c r="AA1826" t="str">
        <f t="shared" si="168"/>
        <v>2025-12</v>
      </c>
      <c r="AB1826" t="str">
        <f t="shared" si="169"/>
        <v/>
      </c>
      <c r="AC1826">
        <f t="shared" si="170"/>
        <v>702236.88</v>
      </c>
      <c r="AD1826">
        <f t="shared" si="171"/>
        <v>90</v>
      </c>
      <c r="AE1826">
        <f t="shared" si="172"/>
        <v>144236.88</v>
      </c>
      <c r="AF1826" t="str">
        <f t="shared" si="173"/>
        <v>Paid</v>
      </c>
    </row>
    <row r="1827" spans="1:32" ht="27.75" thickBot="1" x14ac:dyDescent="0.35">
      <c r="A1827" s="2" t="s">
        <v>11645</v>
      </c>
      <c r="B1827" s="2" t="s">
        <v>27</v>
      </c>
      <c r="C1827" s="2" t="s">
        <v>28</v>
      </c>
      <c r="D1827" s="2" t="s">
        <v>97</v>
      </c>
      <c r="E1827" s="2" t="s">
        <v>11109</v>
      </c>
      <c r="F1827" s="2" t="s">
        <v>8445</v>
      </c>
      <c r="G1827" s="2" t="s">
        <v>32</v>
      </c>
      <c r="H1827" s="1"/>
      <c r="I1827" s="2" t="s">
        <v>33</v>
      </c>
      <c r="J1827" s="2" t="s">
        <v>34</v>
      </c>
      <c r="K1827" s="2" t="s">
        <v>3082</v>
      </c>
      <c r="L1827" s="2" t="s">
        <v>3083</v>
      </c>
      <c r="M1827" s="2" t="s">
        <v>3067</v>
      </c>
      <c r="N1827" s="2" t="s">
        <v>38</v>
      </c>
      <c r="O1827" s="2" t="s">
        <v>779</v>
      </c>
      <c r="P1827" s="2" t="s">
        <v>10802</v>
      </c>
      <c r="Q1827" s="2" t="s">
        <v>11646</v>
      </c>
      <c r="R1827" s="2" t="s">
        <v>40</v>
      </c>
      <c r="S1827" s="2" t="s">
        <v>11647</v>
      </c>
      <c r="T1827" s="2" t="s">
        <v>669</v>
      </c>
      <c r="U1827" s="2" t="s">
        <v>1748</v>
      </c>
      <c r="V1827" s="2" t="s">
        <v>11648</v>
      </c>
      <c r="W1827" s="1"/>
      <c r="X1827" s="2" t="s">
        <v>5636</v>
      </c>
      <c r="Y1827" s="2" t="s">
        <v>11114</v>
      </c>
      <c r="AA1827" t="str">
        <f t="shared" si="168"/>
        <v>2025-12</v>
      </c>
      <c r="AB1827" t="str">
        <f t="shared" si="169"/>
        <v/>
      </c>
      <c r="AC1827">
        <f t="shared" si="170"/>
        <v>669845.88</v>
      </c>
      <c r="AD1827">
        <f t="shared" si="171"/>
        <v>90</v>
      </c>
      <c r="AE1827">
        <f t="shared" si="172"/>
        <v>129845.88</v>
      </c>
      <c r="AF1827" t="str">
        <f t="shared" si="173"/>
        <v>Paid</v>
      </c>
    </row>
    <row r="1828" spans="1:32" ht="27.75" thickBot="1" x14ac:dyDescent="0.35">
      <c r="A1828" s="2" t="s">
        <v>11649</v>
      </c>
      <c r="B1828" s="2" t="s">
        <v>27</v>
      </c>
      <c r="C1828" s="2" t="s">
        <v>28</v>
      </c>
      <c r="D1828" s="2" t="s">
        <v>97</v>
      </c>
      <c r="E1828" s="2" t="s">
        <v>11109</v>
      </c>
      <c r="F1828" s="2" t="s">
        <v>8445</v>
      </c>
      <c r="G1828" s="2" t="s">
        <v>32</v>
      </c>
      <c r="H1828" s="1"/>
      <c r="I1828" s="2" t="s">
        <v>33</v>
      </c>
      <c r="J1828" s="2" t="s">
        <v>34</v>
      </c>
      <c r="K1828" s="2" t="s">
        <v>3105</v>
      </c>
      <c r="L1828" s="2" t="s">
        <v>3106</v>
      </c>
      <c r="M1828" s="2" t="s">
        <v>3067</v>
      </c>
      <c r="N1828" s="2" t="s">
        <v>38</v>
      </c>
      <c r="O1828" s="2" t="s">
        <v>214</v>
      </c>
      <c r="P1828" s="2" t="s">
        <v>7150</v>
      </c>
      <c r="Q1828" s="2" t="s">
        <v>11650</v>
      </c>
      <c r="R1828" s="2" t="s">
        <v>40</v>
      </c>
      <c r="S1828" s="2" t="s">
        <v>11651</v>
      </c>
      <c r="T1828" s="2" t="s">
        <v>3110</v>
      </c>
      <c r="U1828" s="2" t="s">
        <v>11652</v>
      </c>
      <c r="V1828" s="2" t="s">
        <v>11653</v>
      </c>
      <c r="W1828" s="1"/>
      <c r="X1828" s="2" t="s">
        <v>3560</v>
      </c>
      <c r="Y1828" s="2" t="s">
        <v>11114</v>
      </c>
      <c r="AA1828" t="str">
        <f t="shared" si="168"/>
        <v>2025-12</v>
      </c>
      <c r="AB1828" t="str">
        <f t="shared" si="169"/>
        <v/>
      </c>
      <c r="AC1828">
        <f t="shared" si="170"/>
        <v>252649.8</v>
      </c>
      <c r="AD1828">
        <f t="shared" si="171"/>
        <v>50</v>
      </c>
      <c r="AE1828">
        <f t="shared" si="172"/>
        <v>52649.8</v>
      </c>
      <c r="AF1828" t="str">
        <f t="shared" si="173"/>
        <v>Paid</v>
      </c>
    </row>
    <row r="1829" spans="1:32" ht="27.75" thickBot="1" x14ac:dyDescent="0.35">
      <c r="A1829" s="2" t="s">
        <v>11654</v>
      </c>
      <c r="B1829" s="2" t="s">
        <v>27</v>
      </c>
      <c r="C1829" s="2" t="s">
        <v>28</v>
      </c>
      <c r="D1829" s="2" t="s">
        <v>97</v>
      </c>
      <c r="E1829" s="2" t="s">
        <v>11109</v>
      </c>
      <c r="F1829" s="2" t="s">
        <v>8445</v>
      </c>
      <c r="G1829" s="2" t="s">
        <v>32</v>
      </c>
      <c r="H1829" s="1"/>
      <c r="I1829" s="2" t="s">
        <v>33</v>
      </c>
      <c r="J1829" s="2" t="s">
        <v>34</v>
      </c>
      <c r="K1829" s="2" t="s">
        <v>9773</v>
      </c>
      <c r="L1829" s="2" t="s">
        <v>9774</v>
      </c>
      <c r="M1829" s="2" t="s">
        <v>9775</v>
      </c>
      <c r="N1829" s="2" t="s">
        <v>38</v>
      </c>
      <c r="O1829" s="2" t="s">
        <v>141</v>
      </c>
      <c r="P1829" s="2" t="s">
        <v>7718</v>
      </c>
      <c r="Q1829" s="2" t="s">
        <v>11655</v>
      </c>
      <c r="R1829" s="2" t="s">
        <v>40</v>
      </c>
      <c r="S1829" s="2" t="s">
        <v>11656</v>
      </c>
      <c r="T1829" s="2" t="s">
        <v>9778</v>
      </c>
      <c r="U1829" s="2" t="s">
        <v>9786</v>
      </c>
      <c r="V1829" s="2" t="s">
        <v>11657</v>
      </c>
      <c r="W1829" s="1"/>
      <c r="X1829" s="2" t="s">
        <v>4450</v>
      </c>
      <c r="Y1829" s="2" t="s">
        <v>11114</v>
      </c>
      <c r="AA1829" t="str">
        <f t="shared" si="168"/>
        <v>2025-12</v>
      </c>
      <c r="AB1829" t="str">
        <f t="shared" si="169"/>
        <v/>
      </c>
      <c r="AC1829">
        <f t="shared" si="170"/>
        <v>164978.16</v>
      </c>
      <c r="AD1829">
        <f t="shared" si="171"/>
        <v>30</v>
      </c>
      <c r="AE1829">
        <f t="shared" si="172"/>
        <v>36796.339999999997</v>
      </c>
      <c r="AF1829" t="str">
        <f t="shared" si="173"/>
        <v>Paid</v>
      </c>
    </row>
    <row r="1830" spans="1:32" ht="17.25" thickBot="1" x14ac:dyDescent="0.35">
      <c r="A1830" s="2" t="s">
        <v>11658</v>
      </c>
      <c r="B1830" s="2" t="s">
        <v>27</v>
      </c>
      <c r="C1830" s="2" t="s">
        <v>28</v>
      </c>
      <c r="D1830" s="2" t="s">
        <v>97</v>
      </c>
      <c r="E1830" s="2" t="s">
        <v>11109</v>
      </c>
      <c r="F1830" s="2" t="s">
        <v>8445</v>
      </c>
      <c r="G1830" s="2" t="s">
        <v>32</v>
      </c>
      <c r="H1830" s="1"/>
      <c r="I1830" s="2" t="s">
        <v>33</v>
      </c>
      <c r="J1830" s="2" t="s">
        <v>34</v>
      </c>
      <c r="K1830" s="2" t="s">
        <v>3740</v>
      </c>
      <c r="L1830" s="2" t="s">
        <v>3741</v>
      </c>
      <c r="M1830" s="2" t="s">
        <v>1686</v>
      </c>
      <c r="N1830" s="2" t="s">
        <v>38</v>
      </c>
      <c r="O1830" s="2" t="s">
        <v>1904</v>
      </c>
      <c r="P1830" s="2" t="s">
        <v>3742</v>
      </c>
      <c r="Q1830" s="2" t="s">
        <v>11659</v>
      </c>
      <c r="R1830" s="2" t="s">
        <v>40</v>
      </c>
      <c r="S1830" s="2" t="s">
        <v>11660</v>
      </c>
      <c r="T1830" s="2" t="s">
        <v>8056</v>
      </c>
      <c r="U1830" s="2" t="s">
        <v>11661</v>
      </c>
      <c r="V1830" s="2" t="s">
        <v>11662</v>
      </c>
      <c r="W1830" s="1"/>
      <c r="X1830" s="2" t="s">
        <v>4499</v>
      </c>
      <c r="Y1830" s="2" t="s">
        <v>11114</v>
      </c>
      <c r="AA1830" t="str">
        <f t="shared" si="168"/>
        <v>2025-12</v>
      </c>
      <c r="AB1830" t="str">
        <f t="shared" si="169"/>
        <v/>
      </c>
      <c r="AC1830">
        <f t="shared" si="170"/>
        <v>228464.52</v>
      </c>
      <c r="AD1830">
        <f t="shared" si="171"/>
        <v>230</v>
      </c>
      <c r="AE1830">
        <f t="shared" si="172"/>
        <v>50737.26</v>
      </c>
      <c r="AF1830" t="str">
        <f t="shared" si="173"/>
        <v>Paid</v>
      </c>
    </row>
    <row r="1831" spans="1:32" ht="27.75" thickBot="1" x14ac:dyDescent="0.35">
      <c r="A1831" s="2" t="s">
        <v>11663</v>
      </c>
      <c r="B1831" s="2" t="s">
        <v>27</v>
      </c>
      <c r="C1831" s="2" t="s">
        <v>28</v>
      </c>
      <c r="D1831" s="2" t="s">
        <v>97</v>
      </c>
      <c r="E1831" s="2" t="s">
        <v>11109</v>
      </c>
      <c r="F1831" s="2" t="s">
        <v>8445</v>
      </c>
      <c r="G1831" s="2" t="s">
        <v>32</v>
      </c>
      <c r="H1831" s="1"/>
      <c r="I1831" s="2" t="s">
        <v>33</v>
      </c>
      <c r="J1831" s="2" t="s">
        <v>34</v>
      </c>
      <c r="K1831" s="2" t="s">
        <v>11664</v>
      </c>
      <c r="L1831" s="2" t="s">
        <v>11665</v>
      </c>
      <c r="M1831" s="2" t="s">
        <v>1686</v>
      </c>
      <c r="N1831" s="2" t="s">
        <v>38</v>
      </c>
      <c r="O1831" s="2" t="s">
        <v>121</v>
      </c>
      <c r="P1831" s="2" t="s">
        <v>10778</v>
      </c>
      <c r="Q1831" s="2" t="s">
        <v>11666</v>
      </c>
      <c r="R1831" s="2" t="s">
        <v>40</v>
      </c>
      <c r="S1831" s="2" t="s">
        <v>11667</v>
      </c>
      <c r="T1831" s="2" t="s">
        <v>7339</v>
      </c>
      <c r="U1831" s="2" t="s">
        <v>11668</v>
      </c>
      <c r="V1831" s="2" t="s">
        <v>11669</v>
      </c>
      <c r="W1831" s="1"/>
      <c r="X1831" s="2" t="s">
        <v>4450</v>
      </c>
      <c r="Y1831" s="2" t="s">
        <v>11114</v>
      </c>
      <c r="AA1831" t="str">
        <f t="shared" si="168"/>
        <v>2025-12</v>
      </c>
      <c r="AB1831" t="str">
        <f t="shared" si="169"/>
        <v/>
      </c>
      <c r="AC1831">
        <f t="shared" si="170"/>
        <v>121617.41</v>
      </c>
      <c r="AD1831">
        <f t="shared" si="171"/>
        <v>16</v>
      </c>
      <c r="AE1831">
        <f t="shared" si="172"/>
        <v>27071.95</v>
      </c>
      <c r="AF1831" t="str">
        <f t="shared" si="173"/>
        <v>Paid</v>
      </c>
    </row>
    <row r="1832" spans="1:32" ht="27.75" thickBot="1" x14ac:dyDescent="0.35">
      <c r="A1832" s="2" t="s">
        <v>11670</v>
      </c>
      <c r="B1832" s="2" t="s">
        <v>27</v>
      </c>
      <c r="C1832" s="2" t="s">
        <v>28</v>
      </c>
      <c r="D1832" s="2" t="s">
        <v>97</v>
      </c>
      <c r="E1832" s="2" t="s">
        <v>11109</v>
      </c>
      <c r="F1832" s="2" t="s">
        <v>8445</v>
      </c>
      <c r="G1832" s="2" t="s">
        <v>32</v>
      </c>
      <c r="H1832" s="1"/>
      <c r="I1832" s="2" t="s">
        <v>33</v>
      </c>
      <c r="J1832" s="2" t="s">
        <v>34</v>
      </c>
      <c r="K1832" s="2" t="s">
        <v>11671</v>
      </c>
      <c r="L1832" s="2" t="s">
        <v>11672</v>
      </c>
      <c r="M1832" s="2" t="s">
        <v>1686</v>
      </c>
      <c r="N1832" s="2" t="s">
        <v>38</v>
      </c>
      <c r="O1832" s="2" t="s">
        <v>391</v>
      </c>
      <c r="P1832" s="2" t="s">
        <v>7010</v>
      </c>
      <c r="Q1832" s="2" t="s">
        <v>10850</v>
      </c>
      <c r="R1832" s="2" t="s">
        <v>40</v>
      </c>
      <c r="S1832" s="2" t="s">
        <v>11673</v>
      </c>
      <c r="T1832" s="2" t="s">
        <v>2884</v>
      </c>
      <c r="U1832" s="2" t="s">
        <v>2514</v>
      </c>
      <c r="V1832" s="2" t="s">
        <v>11674</v>
      </c>
      <c r="W1832" s="1"/>
      <c r="X1832" s="2" t="s">
        <v>2165</v>
      </c>
      <c r="Y1832" s="2" t="s">
        <v>11114</v>
      </c>
      <c r="AA1832" t="str">
        <f t="shared" si="168"/>
        <v>2025-12</v>
      </c>
      <c r="AB1832" t="str">
        <f t="shared" si="169"/>
        <v/>
      </c>
      <c r="AC1832">
        <f t="shared" si="170"/>
        <v>480250.56</v>
      </c>
      <c r="AD1832">
        <f t="shared" si="171"/>
        <v>60</v>
      </c>
      <c r="AE1832">
        <f t="shared" si="172"/>
        <v>109341.47</v>
      </c>
      <c r="AF1832" t="str">
        <f t="shared" si="173"/>
        <v>Paid</v>
      </c>
    </row>
    <row r="1833" spans="1:32" ht="17.25" thickBot="1" x14ac:dyDescent="0.35">
      <c r="A1833" s="2" t="s">
        <v>11675</v>
      </c>
      <c r="B1833" s="2" t="s">
        <v>27</v>
      </c>
      <c r="C1833" s="2" t="s">
        <v>28</v>
      </c>
      <c r="D1833" s="2" t="s">
        <v>97</v>
      </c>
      <c r="E1833" s="2" t="s">
        <v>11109</v>
      </c>
      <c r="F1833" s="2" t="s">
        <v>8445</v>
      </c>
      <c r="G1833" s="2" t="s">
        <v>32</v>
      </c>
      <c r="H1833" s="1"/>
      <c r="I1833" s="2" t="s">
        <v>33</v>
      </c>
      <c r="J1833" s="2" t="s">
        <v>34</v>
      </c>
      <c r="K1833" s="2" t="s">
        <v>1695</v>
      </c>
      <c r="L1833" s="2" t="s">
        <v>1696</v>
      </c>
      <c r="M1833" s="2" t="s">
        <v>1686</v>
      </c>
      <c r="N1833" s="2" t="s">
        <v>38</v>
      </c>
      <c r="O1833" s="2" t="s">
        <v>79</v>
      </c>
      <c r="P1833" s="2" t="s">
        <v>11676</v>
      </c>
      <c r="Q1833" s="2" t="s">
        <v>11677</v>
      </c>
      <c r="R1833" s="2" t="s">
        <v>40</v>
      </c>
      <c r="S1833" s="2" t="s">
        <v>11678</v>
      </c>
      <c r="T1833" s="2" t="s">
        <v>1700</v>
      </c>
      <c r="U1833" s="2" t="s">
        <v>1701</v>
      </c>
      <c r="V1833" s="2" t="s">
        <v>11679</v>
      </c>
      <c r="W1833" s="1"/>
      <c r="X1833" s="2" t="s">
        <v>3681</v>
      </c>
      <c r="Y1833" s="2" t="s">
        <v>11114</v>
      </c>
      <c r="AA1833" t="str">
        <f t="shared" si="168"/>
        <v>2025-12</v>
      </c>
      <c r="AB1833" t="str">
        <f t="shared" si="169"/>
        <v/>
      </c>
      <c r="AC1833">
        <f t="shared" si="170"/>
        <v>49522.239999999998</v>
      </c>
      <c r="AD1833">
        <f t="shared" si="171"/>
        <v>10</v>
      </c>
      <c r="AE1833">
        <f t="shared" si="172"/>
        <v>11340.42</v>
      </c>
      <c r="AF1833" t="str">
        <f t="shared" si="173"/>
        <v>Paid</v>
      </c>
    </row>
    <row r="1834" spans="1:32" ht="17.25" thickBot="1" x14ac:dyDescent="0.35">
      <c r="A1834" s="2" t="s">
        <v>11680</v>
      </c>
      <c r="B1834" s="2" t="s">
        <v>27</v>
      </c>
      <c r="C1834" s="2" t="s">
        <v>28</v>
      </c>
      <c r="D1834" s="2" t="s">
        <v>97</v>
      </c>
      <c r="E1834" s="2" t="s">
        <v>11109</v>
      </c>
      <c r="F1834" s="2" t="s">
        <v>8445</v>
      </c>
      <c r="G1834" s="2" t="s">
        <v>32</v>
      </c>
      <c r="H1834" s="1"/>
      <c r="I1834" s="2" t="s">
        <v>33</v>
      </c>
      <c r="J1834" s="2" t="s">
        <v>34</v>
      </c>
      <c r="K1834" s="2" t="s">
        <v>11681</v>
      </c>
      <c r="L1834" s="2" t="s">
        <v>11682</v>
      </c>
      <c r="M1834" s="2" t="s">
        <v>37</v>
      </c>
      <c r="N1834" s="2" t="s">
        <v>38</v>
      </c>
      <c r="O1834" s="2" t="s">
        <v>57</v>
      </c>
      <c r="P1834" s="2" t="s">
        <v>6890</v>
      </c>
      <c r="Q1834" s="2" t="s">
        <v>3171</v>
      </c>
      <c r="R1834" s="2" t="s">
        <v>40</v>
      </c>
      <c r="S1834" s="2" t="s">
        <v>11683</v>
      </c>
      <c r="T1834" s="2" t="s">
        <v>267</v>
      </c>
      <c r="U1834" s="2" t="s">
        <v>11684</v>
      </c>
      <c r="V1834" s="2" t="s">
        <v>11685</v>
      </c>
      <c r="W1834" s="1"/>
      <c r="X1834" s="2" t="s">
        <v>1340</v>
      </c>
      <c r="Y1834" s="2" t="s">
        <v>11114</v>
      </c>
      <c r="AA1834" t="str">
        <f t="shared" si="168"/>
        <v>2025-12</v>
      </c>
      <c r="AB1834" t="str">
        <f t="shared" si="169"/>
        <v/>
      </c>
      <c r="AC1834">
        <f t="shared" si="170"/>
        <v>46211.16</v>
      </c>
      <c r="AD1834">
        <f t="shared" si="171"/>
        <v>5</v>
      </c>
      <c r="AE1834">
        <f t="shared" si="172"/>
        <v>13211.16</v>
      </c>
      <c r="AF1834" t="str">
        <f t="shared" si="173"/>
        <v>Paid</v>
      </c>
    </row>
    <row r="1835" spans="1:32" ht="27.75" thickBot="1" x14ac:dyDescent="0.35">
      <c r="A1835" s="2" t="s">
        <v>11686</v>
      </c>
      <c r="B1835" s="2" t="s">
        <v>27</v>
      </c>
      <c r="C1835" s="2" t="s">
        <v>28</v>
      </c>
      <c r="D1835" s="2" t="s">
        <v>97</v>
      </c>
      <c r="E1835" s="2" t="s">
        <v>11109</v>
      </c>
      <c r="F1835" s="2" t="s">
        <v>8445</v>
      </c>
      <c r="G1835" s="2" t="s">
        <v>32</v>
      </c>
      <c r="H1835" s="1"/>
      <c r="I1835" s="2" t="s">
        <v>33</v>
      </c>
      <c r="J1835" s="2" t="s">
        <v>34</v>
      </c>
      <c r="K1835" s="2" t="s">
        <v>11687</v>
      </c>
      <c r="L1835" s="2" t="s">
        <v>11688</v>
      </c>
      <c r="M1835" s="2" t="s">
        <v>37</v>
      </c>
      <c r="N1835" s="2" t="s">
        <v>38</v>
      </c>
      <c r="O1835" s="2" t="s">
        <v>490</v>
      </c>
      <c r="P1835" s="2" t="s">
        <v>9840</v>
      </c>
      <c r="Q1835" s="2" t="s">
        <v>11689</v>
      </c>
      <c r="R1835" s="2" t="s">
        <v>40</v>
      </c>
      <c r="S1835" s="2" t="s">
        <v>11690</v>
      </c>
      <c r="T1835" s="2" t="s">
        <v>1709</v>
      </c>
      <c r="U1835" s="2" t="s">
        <v>11691</v>
      </c>
      <c r="V1835" s="2" t="s">
        <v>11692</v>
      </c>
      <c r="W1835" s="1"/>
      <c r="X1835" s="2" t="s">
        <v>5396</v>
      </c>
      <c r="Y1835" s="2" t="s">
        <v>11114</v>
      </c>
      <c r="AA1835" t="str">
        <f t="shared" si="168"/>
        <v>2025-12</v>
      </c>
      <c r="AB1835" t="str">
        <f t="shared" si="169"/>
        <v/>
      </c>
      <c r="AC1835">
        <f t="shared" si="170"/>
        <v>191193.28</v>
      </c>
      <c r="AD1835">
        <f t="shared" si="171"/>
        <v>57</v>
      </c>
      <c r="AE1835">
        <f t="shared" si="172"/>
        <v>31593.279999999999</v>
      </c>
      <c r="AF1835" t="str">
        <f t="shared" si="173"/>
        <v>Paid</v>
      </c>
    </row>
    <row r="1836" spans="1:32" ht="17.25" thickBot="1" x14ac:dyDescent="0.35">
      <c r="A1836" s="2" t="s">
        <v>11693</v>
      </c>
      <c r="B1836" s="2" t="s">
        <v>27</v>
      </c>
      <c r="C1836" s="2" t="s">
        <v>28</v>
      </c>
      <c r="D1836" s="2" t="s">
        <v>97</v>
      </c>
      <c r="E1836" s="2" t="s">
        <v>11109</v>
      </c>
      <c r="F1836" s="2" t="s">
        <v>8445</v>
      </c>
      <c r="G1836" s="2" t="s">
        <v>32</v>
      </c>
      <c r="H1836" s="1"/>
      <c r="I1836" s="2" t="s">
        <v>33</v>
      </c>
      <c r="J1836" s="2" t="s">
        <v>34</v>
      </c>
      <c r="K1836" s="2" t="s">
        <v>1093</v>
      </c>
      <c r="L1836" s="2" t="s">
        <v>1094</v>
      </c>
      <c r="M1836" s="2" t="s">
        <v>37</v>
      </c>
      <c r="N1836" s="2" t="s">
        <v>38</v>
      </c>
      <c r="O1836" s="2" t="s">
        <v>977</v>
      </c>
      <c r="P1836" s="2" t="s">
        <v>11694</v>
      </c>
      <c r="Q1836" s="2" t="s">
        <v>9317</v>
      </c>
      <c r="R1836" s="2" t="s">
        <v>40</v>
      </c>
      <c r="S1836" s="2" t="s">
        <v>11695</v>
      </c>
      <c r="T1836" s="2" t="s">
        <v>126</v>
      </c>
      <c r="U1836" s="2" t="s">
        <v>1179</v>
      </c>
      <c r="V1836" s="2" t="s">
        <v>11696</v>
      </c>
      <c r="W1836" s="1"/>
      <c r="X1836" s="2" t="s">
        <v>3216</v>
      </c>
      <c r="Y1836" s="2" t="s">
        <v>11114</v>
      </c>
      <c r="AA1836" t="str">
        <f t="shared" si="168"/>
        <v>2025-12</v>
      </c>
      <c r="AB1836" t="str">
        <f t="shared" si="169"/>
        <v/>
      </c>
      <c r="AC1836">
        <f t="shared" si="170"/>
        <v>831369</v>
      </c>
      <c r="AD1836">
        <f t="shared" si="171"/>
        <v>110</v>
      </c>
      <c r="AE1836">
        <f t="shared" si="172"/>
        <v>138369</v>
      </c>
      <c r="AF1836" t="str">
        <f t="shared" si="173"/>
        <v>Paid</v>
      </c>
    </row>
    <row r="1837" spans="1:32" ht="17.25" thickBot="1" x14ac:dyDescent="0.35">
      <c r="A1837" s="2" t="s">
        <v>11697</v>
      </c>
      <c r="B1837" s="2" t="s">
        <v>27</v>
      </c>
      <c r="C1837" s="2" t="s">
        <v>28</v>
      </c>
      <c r="D1837" s="2" t="s">
        <v>97</v>
      </c>
      <c r="E1837" s="2" t="s">
        <v>11109</v>
      </c>
      <c r="F1837" s="2" t="s">
        <v>8445</v>
      </c>
      <c r="G1837" s="2" t="s">
        <v>32</v>
      </c>
      <c r="H1837" s="1"/>
      <c r="I1837" s="2" t="s">
        <v>33</v>
      </c>
      <c r="J1837" s="2" t="s">
        <v>34</v>
      </c>
      <c r="K1837" s="2" t="s">
        <v>5357</v>
      </c>
      <c r="L1837" s="2" t="s">
        <v>5358</v>
      </c>
      <c r="M1837" s="2" t="s">
        <v>37</v>
      </c>
      <c r="N1837" s="2" t="s">
        <v>38</v>
      </c>
      <c r="O1837" s="2" t="s">
        <v>890</v>
      </c>
      <c r="P1837" s="2" t="s">
        <v>8078</v>
      </c>
      <c r="Q1837" s="2" t="s">
        <v>11698</v>
      </c>
      <c r="R1837" s="2" t="s">
        <v>40</v>
      </c>
      <c r="S1837" s="2" t="s">
        <v>11699</v>
      </c>
      <c r="T1837" s="2" t="s">
        <v>1136</v>
      </c>
      <c r="U1837" s="2" t="s">
        <v>695</v>
      </c>
      <c r="V1837" s="2" t="s">
        <v>11700</v>
      </c>
      <c r="W1837" s="1"/>
      <c r="X1837" s="2" t="s">
        <v>3216</v>
      </c>
      <c r="Y1837" s="2" t="s">
        <v>11114</v>
      </c>
      <c r="AA1837" t="str">
        <f t="shared" si="168"/>
        <v>2025-12</v>
      </c>
      <c r="AB1837" t="str">
        <f t="shared" si="169"/>
        <v/>
      </c>
      <c r="AC1837">
        <f t="shared" si="170"/>
        <v>1662738</v>
      </c>
      <c r="AD1837">
        <f t="shared" si="171"/>
        <v>330</v>
      </c>
      <c r="AE1837">
        <f t="shared" si="172"/>
        <v>276738</v>
      </c>
      <c r="AF1837" t="str">
        <f t="shared" si="173"/>
        <v>Paid</v>
      </c>
    </row>
    <row r="1838" spans="1:32" ht="17.25" thickBot="1" x14ac:dyDescent="0.35">
      <c r="A1838" s="2" t="s">
        <v>11701</v>
      </c>
      <c r="B1838" s="2" t="s">
        <v>27</v>
      </c>
      <c r="C1838" s="2" t="s">
        <v>28</v>
      </c>
      <c r="D1838" s="2" t="s">
        <v>97</v>
      </c>
      <c r="E1838" s="2" t="s">
        <v>11109</v>
      </c>
      <c r="F1838" s="2" t="s">
        <v>8445</v>
      </c>
      <c r="G1838" s="2" t="s">
        <v>32</v>
      </c>
      <c r="H1838" s="1"/>
      <c r="I1838" s="2" t="s">
        <v>33</v>
      </c>
      <c r="J1838" s="2" t="s">
        <v>34</v>
      </c>
      <c r="K1838" s="2" t="s">
        <v>1111</v>
      </c>
      <c r="L1838" s="2" t="s">
        <v>1112</v>
      </c>
      <c r="M1838" s="2" t="s">
        <v>37</v>
      </c>
      <c r="N1838" s="2" t="s">
        <v>38</v>
      </c>
      <c r="O1838" s="2" t="s">
        <v>2141</v>
      </c>
      <c r="P1838" s="2" t="s">
        <v>6738</v>
      </c>
      <c r="Q1838" s="2" t="s">
        <v>11702</v>
      </c>
      <c r="R1838" s="2" t="s">
        <v>40</v>
      </c>
      <c r="S1838" s="2" t="s">
        <v>11703</v>
      </c>
      <c r="T1838" s="2" t="s">
        <v>1117</v>
      </c>
      <c r="U1838" s="2" t="s">
        <v>11704</v>
      </c>
      <c r="V1838" s="2" t="s">
        <v>11705</v>
      </c>
      <c r="W1838" s="1"/>
      <c r="X1838" s="2" t="s">
        <v>1120</v>
      </c>
      <c r="Y1838" s="2" t="s">
        <v>11114</v>
      </c>
      <c r="AA1838" t="str">
        <f t="shared" si="168"/>
        <v>2025-12</v>
      </c>
      <c r="AB1838" t="str">
        <f t="shared" si="169"/>
        <v/>
      </c>
      <c r="AC1838">
        <f t="shared" si="170"/>
        <v>1552320.68</v>
      </c>
      <c r="AD1838">
        <f t="shared" si="171"/>
        <v>410</v>
      </c>
      <c r="AE1838">
        <f t="shared" si="172"/>
        <v>260820.68</v>
      </c>
      <c r="AF1838" t="str">
        <f t="shared" si="173"/>
        <v>Paid</v>
      </c>
    </row>
    <row r="1839" spans="1:32" ht="17.25" thickBot="1" x14ac:dyDescent="0.35">
      <c r="A1839" s="2" t="s">
        <v>11706</v>
      </c>
      <c r="B1839" s="2" t="s">
        <v>27</v>
      </c>
      <c r="C1839" s="2" t="s">
        <v>28</v>
      </c>
      <c r="D1839" s="2" t="s">
        <v>97</v>
      </c>
      <c r="E1839" s="2" t="s">
        <v>11109</v>
      </c>
      <c r="F1839" s="2" t="s">
        <v>8445</v>
      </c>
      <c r="G1839" s="2" t="s">
        <v>32</v>
      </c>
      <c r="H1839" s="1"/>
      <c r="I1839" s="2" t="s">
        <v>33</v>
      </c>
      <c r="J1839" s="2" t="s">
        <v>34</v>
      </c>
      <c r="K1839" s="2" t="s">
        <v>1131</v>
      </c>
      <c r="L1839" s="2" t="s">
        <v>1132</v>
      </c>
      <c r="M1839" s="2" t="s">
        <v>37</v>
      </c>
      <c r="N1839" s="2" t="s">
        <v>38</v>
      </c>
      <c r="O1839" s="2" t="s">
        <v>517</v>
      </c>
      <c r="P1839" s="2" t="s">
        <v>8078</v>
      </c>
      <c r="Q1839" s="2" t="s">
        <v>11707</v>
      </c>
      <c r="R1839" s="2" t="s">
        <v>40</v>
      </c>
      <c r="S1839" s="2" t="s">
        <v>11708</v>
      </c>
      <c r="T1839" s="2" t="s">
        <v>1136</v>
      </c>
      <c r="U1839" s="2" t="s">
        <v>7170</v>
      </c>
      <c r="V1839" s="2" t="s">
        <v>11709</v>
      </c>
      <c r="W1839" s="1"/>
      <c r="X1839" s="2" t="s">
        <v>3216</v>
      </c>
      <c r="Y1839" s="2" t="s">
        <v>11114</v>
      </c>
      <c r="AA1839" t="str">
        <f t="shared" si="168"/>
        <v>2025-12</v>
      </c>
      <c r="AB1839" t="str">
        <f t="shared" si="169"/>
        <v/>
      </c>
      <c r="AC1839">
        <f t="shared" si="170"/>
        <v>604632</v>
      </c>
      <c r="AD1839">
        <f t="shared" si="171"/>
        <v>120</v>
      </c>
      <c r="AE1839">
        <f t="shared" si="172"/>
        <v>100632</v>
      </c>
      <c r="AF1839" t="str">
        <f t="shared" si="173"/>
        <v>Paid</v>
      </c>
    </row>
    <row r="1840" spans="1:32" ht="17.25" thickBot="1" x14ac:dyDescent="0.35">
      <c r="A1840" s="2" t="s">
        <v>11710</v>
      </c>
      <c r="B1840" s="2" t="s">
        <v>27</v>
      </c>
      <c r="C1840" s="2" t="s">
        <v>28</v>
      </c>
      <c r="D1840" s="2" t="s">
        <v>97</v>
      </c>
      <c r="E1840" s="2" t="s">
        <v>11109</v>
      </c>
      <c r="F1840" s="2" t="s">
        <v>8445</v>
      </c>
      <c r="G1840" s="2" t="s">
        <v>32</v>
      </c>
      <c r="H1840" s="1"/>
      <c r="I1840" s="2" t="s">
        <v>33</v>
      </c>
      <c r="J1840" s="2" t="s">
        <v>34</v>
      </c>
      <c r="K1840" s="2" t="s">
        <v>11711</v>
      </c>
      <c r="L1840" s="2" t="s">
        <v>11712</v>
      </c>
      <c r="M1840" s="2" t="s">
        <v>37</v>
      </c>
      <c r="N1840" s="2" t="s">
        <v>38</v>
      </c>
      <c r="O1840" s="2" t="s">
        <v>1150</v>
      </c>
      <c r="P1840" s="2" t="s">
        <v>11713</v>
      </c>
      <c r="Q1840" s="2" t="s">
        <v>11714</v>
      </c>
      <c r="R1840" s="2" t="s">
        <v>40</v>
      </c>
      <c r="S1840" s="2" t="s">
        <v>11715</v>
      </c>
      <c r="T1840" s="2" t="s">
        <v>3855</v>
      </c>
      <c r="U1840" s="2" t="s">
        <v>11716</v>
      </c>
      <c r="V1840" s="2" t="s">
        <v>11717</v>
      </c>
      <c r="W1840" s="1"/>
      <c r="X1840" s="2" t="s">
        <v>4206</v>
      </c>
      <c r="Y1840" s="2" t="s">
        <v>11114</v>
      </c>
      <c r="AA1840" t="str">
        <f t="shared" si="168"/>
        <v>2025-12</v>
      </c>
      <c r="AB1840" t="str">
        <f t="shared" si="169"/>
        <v/>
      </c>
      <c r="AC1840">
        <f t="shared" si="170"/>
        <v>600745.07999999996</v>
      </c>
      <c r="AD1840">
        <f t="shared" si="171"/>
        <v>130</v>
      </c>
      <c r="AE1840">
        <f t="shared" si="172"/>
        <v>93745.08</v>
      </c>
      <c r="AF1840" t="str">
        <f t="shared" si="173"/>
        <v>Paid</v>
      </c>
    </row>
    <row r="1841" spans="1:32" ht="17.25" thickBot="1" x14ac:dyDescent="0.35">
      <c r="A1841" s="2" t="s">
        <v>11718</v>
      </c>
      <c r="B1841" s="2" t="s">
        <v>27</v>
      </c>
      <c r="C1841" s="2" t="s">
        <v>28</v>
      </c>
      <c r="D1841" s="2" t="s">
        <v>97</v>
      </c>
      <c r="E1841" s="2" t="s">
        <v>11109</v>
      </c>
      <c r="F1841" s="2" t="s">
        <v>8445</v>
      </c>
      <c r="G1841" s="2" t="s">
        <v>32</v>
      </c>
      <c r="H1841" s="1"/>
      <c r="I1841" s="2" t="s">
        <v>33</v>
      </c>
      <c r="J1841" s="2" t="s">
        <v>34</v>
      </c>
      <c r="K1841" s="2" t="s">
        <v>1140</v>
      </c>
      <c r="L1841" s="2" t="s">
        <v>1141</v>
      </c>
      <c r="M1841" s="2" t="s">
        <v>37</v>
      </c>
      <c r="N1841" s="2" t="s">
        <v>38</v>
      </c>
      <c r="O1841" s="2" t="s">
        <v>490</v>
      </c>
      <c r="P1841" s="2" t="s">
        <v>1687</v>
      </c>
      <c r="Q1841" s="2" t="s">
        <v>11719</v>
      </c>
      <c r="R1841" s="2" t="s">
        <v>40</v>
      </c>
      <c r="S1841" s="2" t="s">
        <v>11720</v>
      </c>
      <c r="T1841" s="2" t="s">
        <v>11721</v>
      </c>
      <c r="U1841" s="2" t="s">
        <v>11722</v>
      </c>
      <c r="V1841" s="2" t="s">
        <v>11723</v>
      </c>
      <c r="W1841" s="1"/>
      <c r="X1841" s="2" t="s">
        <v>2198</v>
      </c>
      <c r="Y1841" s="2" t="s">
        <v>11114</v>
      </c>
      <c r="AA1841" t="str">
        <f t="shared" si="168"/>
        <v>2025-12</v>
      </c>
      <c r="AB1841" t="str">
        <f t="shared" si="169"/>
        <v/>
      </c>
      <c r="AC1841">
        <f t="shared" si="170"/>
        <v>359410.54</v>
      </c>
      <c r="AD1841">
        <f t="shared" si="171"/>
        <v>57</v>
      </c>
      <c r="AE1841">
        <f t="shared" si="172"/>
        <v>68282.539999999994</v>
      </c>
      <c r="AF1841" t="str">
        <f t="shared" si="173"/>
        <v>Paid</v>
      </c>
    </row>
    <row r="1842" spans="1:32" ht="17.25" thickBot="1" x14ac:dyDescent="0.35">
      <c r="A1842" s="2" t="s">
        <v>11724</v>
      </c>
      <c r="B1842" s="2" t="s">
        <v>27</v>
      </c>
      <c r="C1842" s="2" t="s">
        <v>28</v>
      </c>
      <c r="D1842" s="2" t="s">
        <v>97</v>
      </c>
      <c r="E1842" s="2" t="s">
        <v>11109</v>
      </c>
      <c r="F1842" s="2" t="s">
        <v>8445</v>
      </c>
      <c r="G1842" s="2" t="s">
        <v>32</v>
      </c>
      <c r="H1842" s="1"/>
      <c r="I1842" s="2" t="s">
        <v>33</v>
      </c>
      <c r="J1842" s="2" t="s">
        <v>34</v>
      </c>
      <c r="K1842" s="2" t="s">
        <v>6488</v>
      </c>
      <c r="L1842" s="2" t="s">
        <v>6489</v>
      </c>
      <c r="M1842" s="2" t="s">
        <v>37</v>
      </c>
      <c r="N1842" s="2" t="s">
        <v>38</v>
      </c>
      <c r="O1842" s="2" t="s">
        <v>1538</v>
      </c>
      <c r="P1842" s="2" t="s">
        <v>8078</v>
      </c>
      <c r="Q1842" s="2" t="s">
        <v>11725</v>
      </c>
      <c r="R1842" s="2" t="s">
        <v>40</v>
      </c>
      <c r="S1842" s="2" t="s">
        <v>11726</v>
      </c>
      <c r="T1842" s="2" t="s">
        <v>1136</v>
      </c>
      <c r="U1842" s="2" t="s">
        <v>11727</v>
      </c>
      <c r="V1842" s="2" t="s">
        <v>11728</v>
      </c>
      <c r="W1842" s="1"/>
      <c r="X1842" s="2" t="s">
        <v>3216</v>
      </c>
      <c r="Y1842" s="2" t="s">
        <v>11114</v>
      </c>
      <c r="AA1842" t="str">
        <f t="shared" si="168"/>
        <v>2025-12</v>
      </c>
      <c r="AB1842" t="str">
        <f t="shared" si="169"/>
        <v/>
      </c>
      <c r="AC1842">
        <f t="shared" si="170"/>
        <v>2216984</v>
      </c>
      <c r="AD1842">
        <f t="shared" si="171"/>
        <v>440</v>
      </c>
      <c r="AE1842">
        <f t="shared" si="172"/>
        <v>368984</v>
      </c>
      <c r="AF1842" t="str">
        <f t="shared" si="173"/>
        <v>Paid</v>
      </c>
    </row>
    <row r="1843" spans="1:32" ht="17.25" thickBot="1" x14ac:dyDescent="0.35">
      <c r="A1843" s="2" t="s">
        <v>11729</v>
      </c>
      <c r="B1843" s="2" t="s">
        <v>27</v>
      </c>
      <c r="C1843" s="2" t="s">
        <v>28</v>
      </c>
      <c r="D1843" s="2" t="s">
        <v>97</v>
      </c>
      <c r="E1843" s="2" t="s">
        <v>11109</v>
      </c>
      <c r="F1843" s="2" t="s">
        <v>8445</v>
      </c>
      <c r="G1843" s="2" t="s">
        <v>32</v>
      </c>
      <c r="H1843" s="1"/>
      <c r="I1843" s="2" t="s">
        <v>33</v>
      </c>
      <c r="J1843" s="2" t="s">
        <v>34</v>
      </c>
      <c r="K1843" s="2" t="s">
        <v>1148</v>
      </c>
      <c r="L1843" s="2" t="s">
        <v>1149</v>
      </c>
      <c r="M1843" s="2" t="s">
        <v>37</v>
      </c>
      <c r="N1843" s="2" t="s">
        <v>38</v>
      </c>
      <c r="O1843" s="2" t="s">
        <v>977</v>
      </c>
      <c r="P1843" s="2" t="s">
        <v>2691</v>
      </c>
      <c r="Q1843" s="2" t="s">
        <v>11730</v>
      </c>
      <c r="R1843" s="2" t="s">
        <v>40</v>
      </c>
      <c r="S1843" s="2" t="s">
        <v>11731</v>
      </c>
      <c r="T1843" s="2" t="s">
        <v>11732</v>
      </c>
      <c r="U1843" s="2" t="s">
        <v>11733</v>
      </c>
      <c r="V1843" s="2" t="s">
        <v>11734</v>
      </c>
      <c r="W1843" s="1"/>
      <c r="X1843" s="2" t="s">
        <v>4908</v>
      </c>
      <c r="Y1843" s="2" t="s">
        <v>11114</v>
      </c>
      <c r="AA1843" t="str">
        <f t="shared" si="168"/>
        <v>2025-12</v>
      </c>
      <c r="AB1843" t="str">
        <f t="shared" si="169"/>
        <v/>
      </c>
      <c r="AC1843">
        <f t="shared" si="170"/>
        <v>739522.52</v>
      </c>
      <c r="AD1843">
        <f t="shared" si="171"/>
        <v>110</v>
      </c>
      <c r="AE1843">
        <f t="shared" si="172"/>
        <v>134722.51999999999</v>
      </c>
      <c r="AF1843" t="str">
        <f t="shared" si="173"/>
        <v>Paid</v>
      </c>
    </row>
    <row r="1844" spans="1:32" ht="17.25" thickBot="1" x14ac:dyDescent="0.35">
      <c r="A1844" s="2" t="s">
        <v>11735</v>
      </c>
      <c r="B1844" s="2" t="s">
        <v>27</v>
      </c>
      <c r="C1844" s="2" t="s">
        <v>28</v>
      </c>
      <c r="D1844" s="2" t="s">
        <v>97</v>
      </c>
      <c r="E1844" s="2" t="s">
        <v>11109</v>
      </c>
      <c r="F1844" s="2" t="s">
        <v>8445</v>
      </c>
      <c r="G1844" s="2" t="s">
        <v>32</v>
      </c>
      <c r="H1844" s="1"/>
      <c r="I1844" s="2" t="s">
        <v>33</v>
      </c>
      <c r="J1844" s="2" t="s">
        <v>34</v>
      </c>
      <c r="K1844" s="2" t="s">
        <v>8887</v>
      </c>
      <c r="L1844" s="2" t="s">
        <v>8888</v>
      </c>
      <c r="M1844" s="2" t="s">
        <v>37</v>
      </c>
      <c r="N1844" s="2" t="s">
        <v>38</v>
      </c>
      <c r="O1844" s="2" t="s">
        <v>1150</v>
      </c>
      <c r="P1844" s="2" t="s">
        <v>9873</v>
      </c>
      <c r="Q1844" s="2" t="s">
        <v>8079</v>
      </c>
      <c r="R1844" s="2" t="s">
        <v>40</v>
      </c>
      <c r="S1844" s="2" t="s">
        <v>11736</v>
      </c>
      <c r="T1844" s="2" t="s">
        <v>9876</v>
      </c>
      <c r="U1844" s="2" t="s">
        <v>3102</v>
      </c>
      <c r="V1844" s="2" t="s">
        <v>11737</v>
      </c>
      <c r="W1844" s="1"/>
      <c r="X1844" s="2" t="s">
        <v>3216</v>
      </c>
      <c r="Y1844" s="2" t="s">
        <v>11114</v>
      </c>
      <c r="AA1844" t="str">
        <f t="shared" si="168"/>
        <v>2025-12</v>
      </c>
      <c r="AB1844" t="str">
        <f t="shared" si="169"/>
        <v/>
      </c>
      <c r="AC1844">
        <f t="shared" si="170"/>
        <v>196505.4</v>
      </c>
      <c r="AD1844">
        <f t="shared" si="171"/>
        <v>130</v>
      </c>
      <c r="AE1844">
        <f t="shared" si="172"/>
        <v>32705.4</v>
      </c>
      <c r="AF1844" t="str">
        <f t="shared" si="173"/>
        <v>Paid</v>
      </c>
    </row>
    <row r="1845" spans="1:32" ht="17.25" thickBot="1" x14ac:dyDescent="0.35">
      <c r="A1845" s="2" t="s">
        <v>11738</v>
      </c>
      <c r="B1845" s="2" t="s">
        <v>27</v>
      </c>
      <c r="C1845" s="2" t="s">
        <v>28</v>
      </c>
      <c r="D1845" s="2" t="s">
        <v>97</v>
      </c>
      <c r="E1845" s="2" t="s">
        <v>11109</v>
      </c>
      <c r="F1845" s="2" t="s">
        <v>8445</v>
      </c>
      <c r="G1845" s="2" t="s">
        <v>32</v>
      </c>
      <c r="H1845" s="1"/>
      <c r="I1845" s="2" t="s">
        <v>33</v>
      </c>
      <c r="J1845" s="2" t="s">
        <v>34</v>
      </c>
      <c r="K1845" s="2" t="s">
        <v>1164</v>
      </c>
      <c r="L1845" s="2" t="s">
        <v>1165</v>
      </c>
      <c r="M1845" s="2" t="s">
        <v>37</v>
      </c>
      <c r="N1845" s="2" t="s">
        <v>38</v>
      </c>
      <c r="O1845" s="2" t="s">
        <v>466</v>
      </c>
      <c r="P1845" s="2" t="s">
        <v>11694</v>
      </c>
      <c r="Q1845" s="2" t="s">
        <v>11739</v>
      </c>
      <c r="R1845" s="2" t="s">
        <v>40</v>
      </c>
      <c r="S1845" s="2" t="s">
        <v>11740</v>
      </c>
      <c r="T1845" s="2" t="s">
        <v>1168</v>
      </c>
      <c r="U1845" s="2" t="s">
        <v>8030</v>
      </c>
      <c r="V1845" s="2" t="s">
        <v>11741</v>
      </c>
      <c r="W1845" s="1"/>
      <c r="X1845" s="2" t="s">
        <v>1171</v>
      </c>
      <c r="Y1845" s="2" t="s">
        <v>11114</v>
      </c>
      <c r="AA1845" t="str">
        <f t="shared" si="168"/>
        <v>2025-12</v>
      </c>
      <c r="AB1845" t="str">
        <f t="shared" si="169"/>
        <v/>
      </c>
      <c r="AC1845">
        <f t="shared" si="170"/>
        <v>529053</v>
      </c>
      <c r="AD1845">
        <f t="shared" si="171"/>
        <v>70</v>
      </c>
      <c r="AE1845">
        <f t="shared" si="172"/>
        <v>163653</v>
      </c>
      <c r="AF1845" t="str">
        <f t="shared" si="173"/>
        <v>Paid</v>
      </c>
    </row>
    <row r="1846" spans="1:32" ht="17.25" thickBot="1" x14ac:dyDescent="0.35">
      <c r="A1846" s="2" t="s">
        <v>11742</v>
      </c>
      <c r="B1846" s="2" t="s">
        <v>27</v>
      </c>
      <c r="C1846" s="2" t="s">
        <v>28</v>
      </c>
      <c r="D1846" s="2" t="s">
        <v>97</v>
      </c>
      <c r="E1846" s="2" t="s">
        <v>11109</v>
      </c>
      <c r="F1846" s="2" t="s">
        <v>8445</v>
      </c>
      <c r="G1846" s="2" t="s">
        <v>32</v>
      </c>
      <c r="H1846" s="1"/>
      <c r="I1846" s="2" t="s">
        <v>33</v>
      </c>
      <c r="J1846" s="2" t="s">
        <v>34</v>
      </c>
      <c r="K1846" s="2" t="s">
        <v>1182</v>
      </c>
      <c r="L1846" s="2" t="s">
        <v>1183</v>
      </c>
      <c r="M1846" s="2" t="s">
        <v>37</v>
      </c>
      <c r="N1846" s="2" t="s">
        <v>38</v>
      </c>
      <c r="O1846" s="2" t="s">
        <v>388</v>
      </c>
      <c r="P1846" s="2" t="s">
        <v>2691</v>
      </c>
      <c r="Q1846" s="2" t="s">
        <v>11743</v>
      </c>
      <c r="R1846" s="2" t="s">
        <v>40</v>
      </c>
      <c r="S1846" s="2" t="s">
        <v>11744</v>
      </c>
      <c r="T1846" s="2" t="s">
        <v>107</v>
      </c>
      <c r="U1846" s="2" t="s">
        <v>5691</v>
      </c>
      <c r="V1846" s="2" t="s">
        <v>11745</v>
      </c>
      <c r="W1846" s="1"/>
      <c r="X1846" s="2" t="s">
        <v>1100</v>
      </c>
      <c r="Y1846" s="2" t="s">
        <v>11114</v>
      </c>
      <c r="AA1846" t="str">
        <f t="shared" si="168"/>
        <v>2025-12</v>
      </c>
      <c r="AB1846" t="str">
        <f t="shared" si="169"/>
        <v/>
      </c>
      <c r="AC1846">
        <f t="shared" si="170"/>
        <v>309254.87</v>
      </c>
      <c r="AD1846">
        <f t="shared" si="171"/>
        <v>46</v>
      </c>
      <c r="AE1846">
        <f t="shared" si="172"/>
        <v>51654.87</v>
      </c>
      <c r="AF1846" t="str">
        <f t="shared" si="173"/>
        <v>Paid</v>
      </c>
    </row>
    <row r="1847" spans="1:32" ht="17.25" thickBot="1" x14ac:dyDescent="0.35">
      <c r="A1847" s="2" t="s">
        <v>11746</v>
      </c>
      <c r="B1847" s="2" t="s">
        <v>27</v>
      </c>
      <c r="C1847" s="2" t="s">
        <v>28</v>
      </c>
      <c r="D1847" s="2" t="s">
        <v>97</v>
      </c>
      <c r="E1847" s="2" t="s">
        <v>11109</v>
      </c>
      <c r="F1847" s="2" t="s">
        <v>8445</v>
      </c>
      <c r="G1847" s="2" t="s">
        <v>32</v>
      </c>
      <c r="H1847" s="1"/>
      <c r="I1847" s="2" t="s">
        <v>33</v>
      </c>
      <c r="J1847" s="2" t="s">
        <v>34</v>
      </c>
      <c r="K1847" s="2" t="s">
        <v>5660</v>
      </c>
      <c r="L1847" s="2" t="s">
        <v>5661</v>
      </c>
      <c r="M1847" s="2" t="s">
        <v>37</v>
      </c>
      <c r="N1847" s="2" t="s">
        <v>38</v>
      </c>
      <c r="O1847" s="2" t="s">
        <v>517</v>
      </c>
      <c r="P1847" s="2" t="s">
        <v>4545</v>
      </c>
      <c r="Q1847" s="2" t="s">
        <v>11747</v>
      </c>
      <c r="R1847" s="2" t="s">
        <v>40</v>
      </c>
      <c r="S1847" s="2" t="s">
        <v>11748</v>
      </c>
      <c r="T1847" s="2" t="s">
        <v>706</v>
      </c>
      <c r="U1847" s="2" t="s">
        <v>2297</v>
      </c>
      <c r="V1847" s="2" t="s">
        <v>11749</v>
      </c>
      <c r="W1847" s="1"/>
      <c r="X1847" s="2" t="s">
        <v>3216</v>
      </c>
      <c r="Y1847" s="2" t="s">
        <v>11114</v>
      </c>
      <c r="AA1847" t="str">
        <f t="shared" si="168"/>
        <v>2025-12</v>
      </c>
      <c r="AB1847" t="str">
        <f t="shared" si="169"/>
        <v/>
      </c>
      <c r="AC1847">
        <f t="shared" si="170"/>
        <v>1209264</v>
      </c>
      <c r="AD1847">
        <f t="shared" si="171"/>
        <v>120</v>
      </c>
      <c r="AE1847">
        <f t="shared" si="172"/>
        <v>201264</v>
      </c>
      <c r="AF1847" t="str">
        <f t="shared" si="173"/>
        <v>Paid</v>
      </c>
    </row>
    <row r="1848" spans="1:32" ht="17.25" thickBot="1" x14ac:dyDescent="0.35">
      <c r="A1848" s="2" t="s">
        <v>11750</v>
      </c>
      <c r="B1848" s="2" t="s">
        <v>27</v>
      </c>
      <c r="C1848" s="2" t="s">
        <v>28</v>
      </c>
      <c r="D1848" s="2" t="s">
        <v>97</v>
      </c>
      <c r="E1848" s="2" t="s">
        <v>11109</v>
      </c>
      <c r="F1848" s="2" t="s">
        <v>8445</v>
      </c>
      <c r="G1848" s="2" t="s">
        <v>32</v>
      </c>
      <c r="H1848" s="1"/>
      <c r="I1848" s="2" t="s">
        <v>33</v>
      </c>
      <c r="J1848" s="2" t="s">
        <v>34</v>
      </c>
      <c r="K1848" s="2" t="s">
        <v>6543</v>
      </c>
      <c r="L1848" s="2" t="s">
        <v>6544</v>
      </c>
      <c r="M1848" s="2" t="s">
        <v>37</v>
      </c>
      <c r="N1848" s="2" t="s">
        <v>38</v>
      </c>
      <c r="O1848" s="2" t="s">
        <v>645</v>
      </c>
      <c r="P1848" s="2" t="s">
        <v>6237</v>
      </c>
      <c r="Q1848" s="2" t="s">
        <v>11751</v>
      </c>
      <c r="R1848" s="2" t="s">
        <v>40</v>
      </c>
      <c r="S1848" s="2" t="s">
        <v>11752</v>
      </c>
      <c r="T1848" s="2" t="s">
        <v>4667</v>
      </c>
      <c r="U1848" s="2" t="s">
        <v>11753</v>
      </c>
      <c r="V1848" s="2" t="s">
        <v>11754</v>
      </c>
      <c r="W1848" s="1"/>
      <c r="X1848" s="2" t="s">
        <v>3216</v>
      </c>
      <c r="Y1848" s="2" t="s">
        <v>11114</v>
      </c>
      <c r="AA1848" t="str">
        <f t="shared" si="168"/>
        <v>2025-12</v>
      </c>
      <c r="AB1848" t="str">
        <f t="shared" si="169"/>
        <v/>
      </c>
      <c r="AC1848">
        <f t="shared" si="170"/>
        <v>1355815.28</v>
      </c>
      <c r="AD1848">
        <f t="shared" si="171"/>
        <v>170</v>
      </c>
      <c r="AE1848">
        <f t="shared" si="172"/>
        <v>225315.28</v>
      </c>
      <c r="AF1848" t="str">
        <f t="shared" si="173"/>
        <v>Paid</v>
      </c>
    </row>
    <row r="1849" spans="1:32" ht="17.25" thickBot="1" x14ac:dyDescent="0.35">
      <c r="A1849" s="2" t="s">
        <v>11755</v>
      </c>
      <c r="B1849" s="2" t="s">
        <v>27</v>
      </c>
      <c r="C1849" s="2" t="s">
        <v>28</v>
      </c>
      <c r="D1849" s="2" t="s">
        <v>97</v>
      </c>
      <c r="E1849" s="2" t="s">
        <v>11109</v>
      </c>
      <c r="F1849" s="2" t="s">
        <v>8445</v>
      </c>
      <c r="G1849" s="2" t="s">
        <v>32</v>
      </c>
      <c r="H1849" s="1"/>
      <c r="I1849" s="2" t="s">
        <v>33</v>
      </c>
      <c r="J1849" s="2" t="s">
        <v>34</v>
      </c>
      <c r="K1849" s="2" t="s">
        <v>6550</v>
      </c>
      <c r="L1849" s="2" t="s">
        <v>6551</v>
      </c>
      <c r="M1849" s="2" t="s">
        <v>37</v>
      </c>
      <c r="N1849" s="2" t="s">
        <v>38</v>
      </c>
      <c r="O1849" s="2" t="s">
        <v>2816</v>
      </c>
      <c r="P1849" s="2" t="s">
        <v>11756</v>
      </c>
      <c r="Q1849" s="2" t="s">
        <v>11757</v>
      </c>
      <c r="R1849" s="2" t="s">
        <v>40</v>
      </c>
      <c r="S1849" s="2" t="s">
        <v>11758</v>
      </c>
      <c r="T1849" s="2" t="s">
        <v>1262</v>
      </c>
      <c r="U1849" s="2" t="s">
        <v>11759</v>
      </c>
      <c r="V1849" s="2" t="s">
        <v>11760</v>
      </c>
      <c r="W1849" s="1"/>
      <c r="X1849" s="2" t="s">
        <v>3216</v>
      </c>
      <c r="Y1849" s="2" t="s">
        <v>11114</v>
      </c>
      <c r="AA1849" t="str">
        <f t="shared" si="168"/>
        <v>2025-12</v>
      </c>
      <c r="AB1849" t="str">
        <f t="shared" si="169"/>
        <v/>
      </c>
      <c r="AC1849">
        <f t="shared" si="170"/>
        <v>1855068.56</v>
      </c>
      <c r="AD1849">
        <f t="shared" si="171"/>
        <v>340</v>
      </c>
      <c r="AE1849">
        <f t="shared" si="172"/>
        <v>308068.56</v>
      </c>
      <c r="AF1849" t="str">
        <f t="shared" si="173"/>
        <v>Paid</v>
      </c>
    </row>
    <row r="1850" spans="1:32" ht="17.25" thickBot="1" x14ac:dyDescent="0.35">
      <c r="A1850" s="2" t="s">
        <v>11761</v>
      </c>
      <c r="B1850" s="2" t="s">
        <v>27</v>
      </c>
      <c r="C1850" s="2" t="s">
        <v>28</v>
      </c>
      <c r="D1850" s="2" t="s">
        <v>97</v>
      </c>
      <c r="E1850" s="2" t="s">
        <v>11109</v>
      </c>
      <c r="F1850" s="2" t="s">
        <v>8445</v>
      </c>
      <c r="G1850" s="2" t="s">
        <v>32</v>
      </c>
      <c r="H1850" s="1"/>
      <c r="I1850" s="2" t="s">
        <v>33</v>
      </c>
      <c r="J1850" s="2" t="s">
        <v>34</v>
      </c>
      <c r="K1850" s="2" t="s">
        <v>9906</v>
      </c>
      <c r="L1850" s="2" t="s">
        <v>9907</v>
      </c>
      <c r="M1850" s="2" t="s">
        <v>37</v>
      </c>
      <c r="N1850" s="2" t="s">
        <v>38</v>
      </c>
      <c r="O1850" s="2" t="s">
        <v>141</v>
      </c>
      <c r="P1850" s="2" t="s">
        <v>484</v>
      </c>
      <c r="Q1850" s="2" t="s">
        <v>11762</v>
      </c>
      <c r="R1850" s="2" t="s">
        <v>40</v>
      </c>
      <c r="S1850" s="2" t="s">
        <v>11763</v>
      </c>
      <c r="T1850" s="2" t="s">
        <v>5672</v>
      </c>
      <c r="U1850" s="2" t="s">
        <v>11764</v>
      </c>
      <c r="V1850" s="2" t="s">
        <v>11765</v>
      </c>
      <c r="W1850" s="1"/>
      <c r="X1850" s="2" t="s">
        <v>1100</v>
      </c>
      <c r="Y1850" s="2" t="s">
        <v>11114</v>
      </c>
      <c r="AA1850" t="str">
        <f t="shared" si="168"/>
        <v>2025-12</v>
      </c>
      <c r="AB1850" t="str">
        <f t="shared" si="169"/>
        <v/>
      </c>
      <c r="AC1850">
        <f t="shared" si="170"/>
        <v>403375.92</v>
      </c>
      <c r="AD1850">
        <f t="shared" si="171"/>
        <v>30</v>
      </c>
      <c r="AE1850">
        <f t="shared" si="172"/>
        <v>67375.92</v>
      </c>
      <c r="AF1850" t="str">
        <f t="shared" si="173"/>
        <v>Paid</v>
      </c>
    </row>
    <row r="1851" spans="1:32" ht="17.25" thickBot="1" x14ac:dyDescent="0.35">
      <c r="A1851" s="2" t="s">
        <v>11766</v>
      </c>
      <c r="B1851" s="2" t="s">
        <v>27</v>
      </c>
      <c r="C1851" s="2" t="s">
        <v>28</v>
      </c>
      <c r="D1851" s="2" t="s">
        <v>97</v>
      </c>
      <c r="E1851" s="2" t="s">
        <v>11109</v>
      </c>
      <c r="F1851" s="2" t="s">
        <v>8445</v>
      </c>
      <c r="G1851" s="2" t="s">
        <v>32</v>
      </c>
      <c r="H1851" s="1"/>
      <c r="I1851" s="2" t="s">
        <v>33</v>
      </c>
      <c r="J1851" s="2" t="s">
        <v>34</v>
      </c>
      <c r="K1851" s="2" t="s">
        <v>1189</v>
      </c>
      <c r="L1851" s="2" t="s">
        <v>1190</v>
      </c>
      <c r="M1851" s="2" t="s">
        <v>37</v>
      </c>
      <c r="N1851" s="2" t="s">
        <v>38</v>
      </c>
      <c r="O1851" s="2" t="s">
        <v>773</v>
      </c>
      <c r="P1851" s="2" t="s">
        <v>4322</v>
      </c>
      <c r="Q1851" s="2" t="s">
        <v>11767</v>
      </c>
      <c r="R1851" s="2" t="s">
        <v>40</v>
      </c>
      <c r="S1851" s="2" t="s">
        <v>11768</v>
      </c>
      <c r="T1851" s="2" t="s">
        <v>6559</v>
      </c>
      <c r="U1851" s="2" t="s">
        <v>11769</v>
      </c>
      <c r="V1851" s="2" t="s">
        <v>11770</v>
      </c>
      <c r="W1851" s="1"/>
      <c r="X1851" s="2" t="s">
        <v>5565</v>
      </c>
      <c r="Y1851" s="2" t="s">
        <v>11114</v>
      </c>
      <c r="AA1851" t="str">
        <f t="shared" si="168"/>
        <v>2025-12</v>
      </c>
      <c r="AB1851" t="str">
        <f t="shared" si="169"/>
        <v/>
      </c>
      <c r="AC1851">
        <f t="shared" si="170"/>
        <v>2818736.8</v>
      </c>
      <c r="AD1851">
        <f t="shared" si="171"/>
        <v>200</v>
      </c>
      <c r="AE1851">
        <f t="shared" si="172"/>
        <v>1078736.8</v>
      </c>
      <c r="AF1851" t="str">
        <f t="shared" si="173"/>
        <v>Paid</v>
      </c>
    </row>
    <row r="1852" spans="1:32" ht="17.25" thickBot="1" x14ac:dyDescent="0.35">
      <c r="A1852" s="2" t="s">
        <v>11771</v>
      </c>
      <c r="B1852" s="2" t="s">
        <v>27</v>
      </c>
      <c r="C1852" s="2" t="s">
        <v>28</v>
      </c>
      <c r="D1852" s="2" t="s">
        <v>97</v>
      </c>
      <c r="E1852" s="2" t="s">
        <v>11109</v>
      </c>
      <c r="F1852" s="2" t="s">
        <v>8445</v>
      </c>
      <c r="G1852" s="2" t="s">
        <v>32</v>
      </c>
      <c r="H1852" s="1"/>
      <c r="I1852" s="2" t="s">
        <v>33</v>
      </c>
      <c r="J1852" s="2" t="s">
        <v>34</v>
      </c>
      <c r="K1852" s="2" t="s">
        <v>1197</v>
      </c>
      <c r="L1852" s="2" t="s">
        <v>1198</v>
      </c>
      <c r="M1852" s="2" t="s">
        <v>37</v>
      </c>
      <c r="N1852" s="2" t="s">
        <v>38</v>
      </c>
      <c r="O1852" s="2" t="s">
        <v>57</v>
      </c>
      <c r="P1852" s="2" t="s">
        <v>10861</v>
      </c>
      <c r="Q1852" s="2" t="s">
        <v>11772</v>
      </c>
      <c r="R1852" s="2" t="s">
        <v>40</v>
      </c>
      <c r="S1852" s="2" t="s">
        <v>11773</v>
      </c>
      <c r="T1852" s="2" t="s">
        <v>11774</v>
      </c>
      <c r="U1852" s="2" t="s">
        <v>11775</v>
      </c>
      <c r="V1852" s="2" t="s">
        <v>11776</v>
      </c>
      <c r="W1852" s="1"/>
      <c r="X1852" s="2" t="s">
        <v>3560</v>
      </c>
      <c r="Y1852" s="2" t="s">
        <v>11114</v>
      </c>
      <c r="AA1852" t="str">
        <f t="shared" si="168"/>
        <v>2025-12</v>
      </c>
      <c r="AB1852" t="str">
        <f t="shared" si="169"/>
        <v/>
      </c>
      <c r="AC1852">
        <f t="shared" si="170"/>
        <v>58807.66</v>
      </c>
      <c r="AD1852">
        <f t="shared" si="171"/>
        <v>5</v>
      </c>
      <c r="AE1852">
        <f t="shared" si="172"/>
        <v>12257.66</v>
      </c>
      <c r="AF1852" t="str">
        <f t="shared" si="173"/>
        <v>Paid</v>
      </c>
    </row>
    <row r="1853" spans="1:32" ht="17.25" thickBot="1" x14ac:dyDescent="0.35">
      <c r="A1853" s="2" t="s">
        <v>11777</v>
      </c>
      <c r="B1853" s="2" t="s">
        <v>27</v>
      </c>
      <c r="C1853" s="2" t="s">
        <v>28</v>
      </c>
      <c r="D1853" s="2" t="s">
        <v>97</v>
      </c>
      <c r="E1853" s="2" t="s">
        <v>11109</v>
      </c>
      <c r="F1853" s="2" t="s">
        <v>8445</v>
      </c>
      <c r="G1853" s="2" t="s">
        <v>32</v>
      </c>
      <c r="H1853" s="1"/>
      <c r="I1853" s="2" t="s">
        <v>33</v>
      </c>
      <c r="J1853" s="2" t="s">
        <v>34</v>
      </c>
      <c r="K1853" s="2" t="s">
        <v>5667</v>
      </c>
      <c r="L1853" s="2" t="s">
        <v>5668</v>
      </c>
      <c r="M1853" s="2" t="s">
        <v>37</v>
      </c>
      <c r="N1853" s="2" t="s">
        <v>38</v>
      </c>
      <c r="O1853" s="2" t="s">
        <v>645</v>
      </c>
      <c r="P1853" s="2" t="s">
        <v>484</v>
      </c>
      <c r="Q1853" s="2" t="s">
        <v>11778</v>
      </c>
      <c r="R1853" s="2" t="s">
        <v>40</v>
      </c>
      <c r="S1853" s="2" t="s">
        <v>11779</v>
      </c>
      <c r="T1853" s="2" t="s">
        <v>5672</v>
      </c>
      <c r="U1853" s="2" t="s">
        <v>11780</v>
      </c>
      <c r="V1853" s="2" t="s">
        <v>11781</v>
      </c>
      <c r="W1853" s="1"/>
      <c r="X1853" s="2" t="s">
        <v>1100</v>
      </c>
      <c r="Y1853" s="2" t="s">
        <v>11114</v>
      </c>
      <c r="AA1853" t="str">
        <f t="shared" si="168"/>
        <v>2025-12</v>
      </c>
      <c r="AB1853" t="str">
        <f t="shared" si="169"/>
        <v/>
      </c>
      <c r="AC1853">
        <f t="shared" si="170"/>
        <v>2285796.88</v>
      </c>
      <c r="AD1853">
        <f t="shared" si="171"/>
        <v>170</v>
      </c>
      <c r="AE1853">
        <f t="shared" si="172"/>
        <v>381796.88</v>
      </c>
      <c r="AF1853" t="str">
        <f t="shared" si="173"/>
        <v>Paid</v>
      </c>
    </row>
    <row r="1854" spans="1:32" ht="17.25" thickBot="1" x14ac:dyDescent="0.35">
      <c r="A1854" s="2" t="s">
        <v>11782</v>
      </c>
      <c r="B1854" s="2" t="s">
        <v>27</v>
      </c>
      <c r="C1854" s="2" t="s">
        <v>28</v>
      </c>
      <c r="D1854" s="2" t="s">
        <v>97</v>
      </c>
      <c r="E1854" s="2" t="s">
        <v>11109</v>
      </c>
      <c r="F1854" s="2" t="s">
        <v>8445</v>
      </c>
      <c r="G1854" s="2" t="s">
        <v>32</v>
      </c>
      <c r="H1854" s="1"/>
      <c r="I1854" s="2" t="s">
        <v>33</v>
      </c>
      <c r="J1854" s="2" t="s">
        <v>34</v>
      </c>
      <c r="K1854" s="2" t="s">
        <v>1205</v>
      </c>
      <c r="L1854" s="2" t="s">
        <v>1206</v>
      </c>
      <c r="M1854" s="2" t="s">
        <v>37</v>
      </c>
      <c r="N1854" s="2" t="s">
        <v>38</v>
      </c>
      <c r="O1854" s="2" t="s">
        <v>877</v>
      </c>
      <c r="P1854" s="2" t="s">
        <v>4075</v>
      </c>
      <c r="Q1854" s="2" t="s">
        <v>11783</v>
      </c>
      <c r="R1854" s="2" t="s">
        <v>40</v>
      </c>
      <c r="S1854" s="2" t="s">
        <v>11784</v>
      </c>
      <c r="T1854" s="2" t="s">
        <v>1210</v>
      </c>
      <c r="U1854" s="2" t="s">
        <v>6513</v>
      </c>
      <c r="V1854" s="2" t="s">
        <v>11785</v>
      </c>
      <c r="W1854" s="1"/>
      <c r="X1854" s="2" t="s">
        <v>1100</v>
      </c>
      <c r="Y1854" s="2" t="s">
        <v>11114</v>
      </c>
      <c r="AA1854" t="str">
        <f t="shared" si="168"/>
        <v>2025-12</v>
      </c>
      <c r="AB1854" t="str">
        <f t="shared" si="169"/>
        <v/>
      </c>
      <c r="AC1854">
        <f t="shared" si="170"/>
        <v>1134404.8</v>
      </c>
      <c r="AD1854">
        <f t="shared" si="171"/>
        <v>100</v>
      </c>
      <c r="AE1854">
        <f t="shared" si="172"/>
        <v>189404.79999999999</v>
      </c>
      <c r="AF1854" t="str">
        <f t="shared" si="173"/>
        <v>Paid</v>
      </c>
    </row>
    <row r="1855" spans="1:32" ht="17.25" thickBot="1" x14ac:dyDescent="0.35">
      <c r="A1855" s="2" t="s">
        <v>11786</v>
      </c>
      <c r="B1855" s="2" t="s">
        <v>27</v>
      </c>
      <c r="C1855" s="2" t="s">
        <v>28</v>
      </c>
      <c r="D1855" s="2" t="s">
        <v>97</v>
      </c>
      <c r="E1855" s="2" t="s">
        <v>11109</v>
      </c>
      <c r="F1855" s="2" t="s">
        <v>8445</v>
      </c>
      <c r="G1855" s="2" t="s">
        <v>32</v>
      </c>
      <c r="H1855" s="1"/>
      <c r="I1855" s="2" t="s">
        <v>33</v>
      </c>
      <c r="J1855" s="2" t="s">
        <v>34</v>
      </c>
      <c r="K1855" s="2" t="s">
        <v>5676</v>
      </c>
      <c r="L1855" s="2" t="s">
        <v>5677</v>
      </c>
      <c r="M1855" s="2" t="s">
        <v>37</v>
      </c>
      <c r="N1855" s="2" t="s">
        <v>38</v>
      </c>
      <c r="O1855" s="2" t="s">
        <v>149</v>
      </c>
      <c r="P1855" s="2" t="s">
        <v>11787</v>
      </c>
      <c r="Q1855" s="2" t="s">
        <v>11788</v>
      </c>
      <c r="R1855" s="2" t="s">
        <v>40</v>
      </c>
      <c r="S1855" s="2" t="s">
        <v>11789</v>
      </c>
      <c r="T1855" s="2" t="s">
        <v>5680</v>
      </c>
      <c r="U1855" s="2" t="s">
        <v>11790</v>
      </c>
      <c r="V1855" s="2" t="s">
        <v>11791</v>
      </c>
      <c r="W1855" s="1"/>
      <c r="X1855" s="2" t="s">
        <v>1100</v>
      </c>
      <c r="Y1855" s="2" t="s">
        <v>11114</v>
      </c>
      <c r="AA1855" t="str">
        <f t="shared" si="168"/>
        <v>2025-12</v>
      </c>
      <c r="AB1855" t="str">
        <f t="shared" si="169"/>
        <v/>
      </c>
      <c r="AC1855">
        <f t="shared" si="170"/>
        <v>4409494.8</v>
      </c>
      <c r="AD1855">
        <f t="shared" si="171"/>
        <v>300</v>
      </c>
      <c r="AE1855">
        <f t="shared" si="172"/>
        <v>734494.8</v>
      </c>
      <c r="AF1855" t="str">
        <f t="shared" si="173"/>
        <v>Paid</v>
      </c>
    </row>
    <row r="1856" spans="1:32" ht="17.25" thickBot="1" x14ac:dyDescent="0.35">
      <c r="A1856" s="2" t="s">
        <v>11792</v>
      </c>
      <c r="B1856" s="2" t="s">
        <v>27</v>
      </c>
      <c r="C1856" s="2" t="s">
        <v>28</v>
      </c>
      <c r="D1856" s="2" t="s">
        <v>97</v>
      </c>
      <c r="E1856" s="2" t="s">
        <v>11109</v>
      </c>
      <c r="F1856" s="2" t="s">
        <v>8445</v>
      </c>
      <c r="G1856" s="2" t="s">
        <v>32</v>
      </c>
      <c r="H1856" s="1"/>
      <c r="I1856" s="2" t="s">
        <v>33</v>
      </c>
      <c r="J1856" s="2" t="s">
        <v>34</v>
      </c>
      <c r="K1856" s="2" t="s">
        <v>1241</v>
      </c>
      <c r="L1856" s="2" t="s">
        <v>1242</v>
      </c>
      <c r="M1856" s="2" t="s">
        <v>37</v>
      </c>
      <c r="N1856" s="2" t="s">
        <v>38</v>
      </c>
      <c r="O1856" s="2" t="s">
        <v>2807</v>
      </c>
      <c r="P1856" s="2" t="s">
        <v>2691</v>
      </c>
      <c r="Q1856" s="2" t="s">
        <v>11793</v>
      </c>
      <c r="R1856" s="2" t="s">
        <v>40</v>
      </c>
      <c r="S1856" s="2" t="s">
        <v>11794</v>
      </c>
      <c r="T1856" s="2" t="s">
        <v>11795</v>
      </c>
      <c r="U1856" s="2" t="s">
        <v>11796</v>
      </c>
      <c r="V1856" s="2" t="s">
        <v>11797</v>
      </c>
      <c r="W1856" s="1"/>
      <c r="X1856" s="2" t="s">
        <v>3756</v>
      </c>
      <c r="Y1856" s="2" t="s">
        <v>11114</v>
      </c>
      <c r="AA1856" t="str">
        <f t="shared" si="168"/>
        <v>2025-12</v>
      </c>
      <c r="AB1856" t="str">
        <f t="shared" si="169"/>
        <v/>
      </c>
      <c r="AC1856">
        <f t="shared" si="170"/>
        <v>2279073.9500000002</v>
      </c>
      <c r="AD1856">
        <f t="shared" si="171"/>
        <v>339</v>
      </c>
      <c r="AE1856">
        <f t="shared" si="172"/>
        <v>403633.95</v>
      </c>
      <c r="AF1856" t="str">
        <f t="shared" si="173"/>
        <v>Paid</v>
      </c>
    </row>
    <row r="1857" spans="1:32" ht="17.25" thickBot="1" x14ac:dyDescent="0.35">
      <c r="A1857" s="2" t="s">
        <v>11798</v>
      </c>
      <c r="B1857" s="2" t="s">
        <v>27</v>
      </c>
      <c r="C1857" s="2" t="s">
        <v>28</v>
      </c>
      <c r="D1857" s="2" t="s">
        <v>97</v>
      </c>
      <c r="E1857" s="2" t="s">
        <v>11109</v>
      </c>
      <c r="F1857" s="2" t="s">
        <v>8445</v>
      </c>
      <c r="G1857" s="2" t="s">
        <v>32</v>
      </c>
      <c r="H1857" s="1"/>
      <c r="I1857" s="2" t="s">
        <v>33</v>
      </c>
      <c r="J1857" s="2" t="s">
        <v>34</v>
      </c>
      <c r="K1857" s="2" t="s">
        <v>1247</v>
      </c>
      <c r="L1857" s="2" t="s">
        <v>1248</v>
      </c>
      <c r="M1857" s="2" t="s">
        <v>37</v>
      </c>
      <c r="N1857" s="2" t="s">
        <v>38</v>
      </c>
      <c r="O1857" s="2" t="s">
        <v>11799</v>
      </c>
      <c r="P1857" s="2" t="s">
        <v>11800</v>
      </c>
      <c r="Q1857" s="2" t="s">
        <v>11801</v>
      </c>
      <c r="R1857" s="2" t="s">
        <v>40</v>
      </c>
      <c r="S1857" s="2" t="s">
        <v>11802</v>
      </c>
      <c r="T1857" s="2" t="s">
        <v>1253</v>
      </c>
      <c r="U1857" s="2" t="s">
        <v>11803</v>
      </c>
      <c r="V1857" s="2" t="s">
        <v>11804</v>
      </c>
      <c r="W1857" s="1"/>
      <c r="X1857" s="2" t="s">
        <v>1693</v>
      </c>
      <c r="Y1857" s="2" t="s">
        <v>11114</v>
      </c>
      <c r="AA1857" t="str">
        <f t="shared" si="168"/>
        <v>2025-12</v>
      </c>
      <c r="AB1857" t="str">
        <f t="shared" si="169"/>
        <v/>
      </c>
      <c r="AC1857">
        <f t="shared" si="170"/>
        <v>2257004.88</v>
      </c>
      <c r="AD1857">
        <f t="shared" si="171"/>
        <v>1340</v>
      </c>
      <c r="AE1857">
        <f t="shared" si="172"/>
        <v>381004.88</v>
      </c>
      <c r="AF1857" t="str">
        <f t="shared" si="173"/>
        <v>Paid</v>
      </c>
    </row>
    <row r="1858" spans="1:32" ht="17.25" thickBot="1" x14ac:dyDescent="0.35">
      <c r="A1858" s="2" t="s">
        <v>11805</v>
      </c>
      <c r="B1858" s="2" t="s">
        <v>27</v>
      </c>
      <c r="C1858" s="2" t="s">
        <v>28</v>
      </c>
      <c r="D1858" s="2" t="s">
        <v>97</v>
      </c>
      <c r="E1858" s="2" t="s">
        <v>11109</v>
      </c>
      <c r="F1858" s="2" t="s">
        <v>8445</v>
      </c>
      <c r="G1858" s="2" t="s">
        <v>32</v>
      </c>
      <c r="H1858" s="1"/>
      <c r="I1858" s="2" t="s">
        <v>33</v>
      </c>
      <c r="J1858" s="2" t="s">
        <v>34</v>
      </c>
      <c r="K1858" s="2" t="s">
        <v>1257</v>
      </c>
      <c r="L1858" s="2" t="s">
        <v>1258</v>
      </c>
      <c r="M1858" s="2" t="s">
        <v>37</v>
      </c>
      <c r="N1858" s="2" t="s">
        <v>38</v>
      </c>
      <c r="O1858" s="2" t="s">
        <v>645</v>
      </c>
      <c r="P1858" s="2" t="s">
        <v>11756</v>
      </c>
      <c r="Q1858" s="2" t="s">
        <v>11806</v>
      </c>
      <c r="R1858" s="2" t="s">
        <v>40</v>
      </c>
      <c r="S1858" s="2" t="s">
        <v>11807</v>
      </c>
      <c r="T1858" s="2" t="s">
        <v>1262</v>
      </c>
      <c r="U1858" s="2" t="s">
        <v>11808</v>
      </c>
      <c r="V1858" s="2" t="s">
        <v>11809</v>
      </c>
      <c r="W1858" s="1"/>
      <c r="X1858" s="2" t="s">
        <v>3216</v>
      </c>
      <c r="Y1858" s="2" t="s">
        <v>11114</v>
      </c>
      <c r="AA1858" t="str">
        <f t="shared" si="168"/>
        <v>2025-12</v>
      </c>
      <c r="AB1858" t="str">
        <f t="shared" si="169"/>
        <v/>
      </c>
      <c r="AC1858">
        <f t="shared" si="170"/>
        <v>927534.28</v>
      </c>
      <c r="AD1858">
        <f t="shared" si="171"/>
        <v>170</v>
      </c>
      <c r="AE1858">
        <f t="shared" si="172"/>
        <v>154034.28</v>
      </c>
      <c r="AF1858" t="str">
        <f t="shared" si="173"/>
        <v>Paid</v>
      </c>
    </row>
    <row r="1859" spans="1:32" ht="17.25" thickBot="1" x14ac:dyDescent="0.35">
      <c r="A1859" s="2" t="s">
        <v>11810</v>
      </c>
      <c r="B1859" s="2" t="s">
        <v>27</v>
      </c>
      <c r="C1859" s="2" t="s">
        <v>28</v>
      </c>
      <c r="D1859" s="2" t="s">
        <v>97</v>
      </c>
      <c r="E1859" s="2" t="s">
        <v>11109</v>
      </c>
      <c r="F1859" s="2" t="s">
        <v>8445</v>
      </c>
      <c r="G1859" s="2" t="s">
        <v>32</v>
      </c>
      <c r="H1859" s="1"/>
      <c r="I1859" s="2" t="s">
        <v>33</v>
      </c>
      <c r="J1859" s="2" t="s">
        <v>34</v>
      </c>
      <c r="K1859" s="2" t="s">
        <v>1266</v>
      </c>
      <c r="L1859" s="2" t="s">
        <v>1267</v>
      </c>
      <c r="M1859" s="2" t="s">
        <v>37</v>
      </c>
      <c r="N1859" s="2" t="s">
        <v>38</v>
      </c>
      <c r="O1859" s="2" t="s">
        <v>849</v>
      </c>
      <c r="P1859" s="2" t="s">
        <v>6614</v>
      </c>
      <c r="Q1859" s="2" t="s">
        <v>11811</v>
      </c>
      <c r="R1859" s="2" t="s">
        <v>40</v>
      </c>
      <c r="S1859" s="2" t="s">
        <v>11812</v>
      </c>
      <c r="T1859" s="2" t="s">
        <v>1271</v>
      </c>
      <c r="U1859" s="2" t="s">
        <v>11813</v>
      </c>
      <c r="V1859" s="2" t="s">
        <v>11814</v>
      </c>
      <c r="W1859" s="1"/>
      <c r="X1859" s="2" t="s">
        <v>3216</v>
      </c>
      <c r="Y1859" s="2" t="s">
        <v>11114</v>
      </c>
      <c r="AA1859" t="str">
        <f t="shared" si="168"/>
        <v>2025-12</v>
      </c>
      <c r="AB1859" t="str">
        <f t="shared" si="169"/>
        <v/>
      </c>
      <c r="AC1859">
        <f t="shared" si="170"/>
        <v>939770.88</v>
      </c>
      <c r="AD1859">
        <f t="shared" si="171"/>
        <v>160</v>
      </c>
      <c r="AE1859">
        <f t="shared" si="172"/>
        <v>155770.88</v>
      </c>
      <c r="AF1859" t="str">
        <f t="shared" si="173"/>
        <v>Paid</v>
      </c>
    </row>
    <row r="1860" spans="1:32" ht="17.25" thickBot="1" x14ac:dyDescent="0.35">
      <c r="A1860" s="2" t="s">
        <v>11815</v>
      </c>
      <c r="B1860" s="2" t="s">
        <v>27</v>
      </c>
      <c r="C1860" s="2" t="s">
        <v>28</v>
      </c>
      <c r="D1860" s="2" t="s">
        <v>97</v>
      </c>
      <c r="E1860" s="2" t="s">
        <v>11109</v>
      </c>
      <c r="F1860" s="2" t="s">
        <v>8445</v>
      </c>
      <c r="G1860" s="2" t="s">
        <v>32</v>
      </c>
      <c r="H1860" s="1"/>
      <c r="I1860" s="2" t="s">
        <v>33</v>
      </c>
      <c r="J1860" s="2" t="s">
        <v>34</v>
      </c>
      <c r="K1860" s="2" t="s">
        <v>6627</v>
      </c>
      <c r="L1860" s="2" t="s">
        <v>6628</v>
      </c>
      <c r="M1860" s="2" t="s">
        <v>37</v>
      </c>
      <c r="N1860" s="2" t="s">
        <v>38</v>
      </c>
      <c r="O1860" s="2" t="s">
        <v>131</v>
      </c>
      <c r="P1860" s="2" t="s">
        <v>11816</v>
      </c>
      <c r="Q1860" s="2" t="s">
        <v>11817</v>
      </c>
      <c r="R1860" s="2" t="s">
        <v>40</v>
      </c>
      <c r="S1860" s="2" t="s">
        <v>11818</v>
      </c>
      <c r="T1860" s="2" t="s">
        <v>6632</v>
      </c>
      <c r="U1860" s="2" t="s">
        <v>3111</v>
      </c>
      <c r="V1860" s="2" t="s">
        <v>11819</v>
      </c>
      <c r="W1860" s="1"/>
      <c r="X1860" s="2" t="s">
        <v>1195</v>
      </c>
      <c r="Y1860" s="2" t="s">
        <v>11114</v>
      </c>
      <c r="AA1860" t="str">
        <f t="shared" ref="AA1860:AA1923" si="174">LEFT(E1860,7)</f>
        <v>2025-12</v>
      </c>
      <c r="AB1860" t="str">
        <f t="shared" ref="AB1860:AB1923" si="175">IF(AND($AA1860&gt;="2025-01",$AA1860&lt;="2025-06"),"H1_2025",IF(AND($AA1860&gt;="2026-01",$AA1860&lt;="2026-06"),"H1_2026",""))</f>
        <v/>
      </c>
      <c r="AC1860">
        <f t="shared" ref="AC1860:AC1923" si="176">IFERROR(VALUE(SUBSTITUTE(S1860,",","")),0)</f>
        <v>752047.04</v>
      </c>
      <c r="AD1860">
        <f t="shared" ref="AD1860:AD1923" si="177">IFERROR(VALUE(SUBSTITUTE(O1860,",","")),0)</f>
        <v>40</v>
      </c>
      <c r="AE1860">
        <f t="shared" ref="AE1860:AE1923" si="178">IFERROR(VALUE(SUBSTITUTE(V1860,",","")),0)</f>
        <v>112047.03999999999</v>
      </c>
      <c r="AF1860" t="str">
        <f t="shared" ref="AF1860:AF1923" si="179">IF(ISNUMBER(SEARCH("FOC",W1860)),"FOC",IF(ISNUMBER(SEARCH("샘플",W1860)),"Sample","Paid"))</f>
        <v>Paid</v>
      </c>
    </row>
    <row r="1861" spans="1:32" ht="27.75" thickBot="1" x14ac:dyDescent="0.35">
      <c r="A1861" s="2" t="s">
        <v>11820</v>
      </c>
      <c r="B1861" s="2" t="s">
        <v>27</v>
      </c>
      <c r="C1861" s="2" t="s">
        <v>28</v>
      </c>
      <c r="D1861" s="2" t="s">
        <v>97</v>
      </c>
      <c r="E1861" s="2" t="s">
        <v>11109</v>
      </c>
      <c r="F1861" s="2" t="s">
        <v>8445</v>
      </c>
      <c r="G1861" s="2" t="s">
        <v>32</v>
      </c>
      <c r="H1861" s="1"/>
      <c r="I1861" s="2" t="s">
        <v>33</v>
      </c>
      <c r="J1861" s="2" t="s">
        <v>34</v>
      </c>
      <c r="K1861" s="2" t="s">
        <v>7197</v>
      </c>
      <c r="L1861" s="2" t="s">
        <v>7198</v>
      </c>
      <c r="M1861" s="2" t="s">
        <v>37</v>
      </c>
      <c r="N1861" s="2" t="s">
        <v>38</v>
      </c>
      <c r="O1861" s="2" t="s">
        <v>103</v>
      </c>
      <c r="P1861" s="2" t="s">
        <v>11821</v>
      </c>
      <c r="Q1861" s="2" t="s">
        <v>11822</v>
      </c>
      <c r="R1861" s="2" t="s">
        <v>40</v>
      </c>
      <c r="S1861" s="2" t="s">
        <v>11823</v>
      </c>
      <c r="T1861" s="2" t="s">
        <v>3685</v>
      </c>
      <c r="U1861" s="2" t="s">
        <v>3706</v>
      </c>
      <c r="V1861" s="2" t="s">
        <v>11824</v>
      </c>
      <c r="W1861" s="1"/>
      <c r="X1861" s="2" t="s">
        <v>1195</v>
      </c>
      <c r="Y1861" s="2" t="s">
        <v>11114</v>
      </c>
      <c r="AA1861" t="str">
        <f t="shared" si="174"/>
        <v>2025-12</v>
      </c>
      <c r="AB1861" t="str">
        <f t="shared" si="175"/>
        <v/>
      </c>
      <c r="AC1861">
        <f t="shared" si="176"/>
        <v>1128070.56</v>
      </c>
      <c r="AD1861">
        <f t="shared" si="177"/>
        <v>24</v>
      </c>
      <c r="AE1861">
        <f t="shared" si="178"/>
        <v>168070.56</v>
      </c>
      <c r="AF1861" t="str">
        <f t="shared" si="179"/>
        <v>Paid</v>
      </c>
    </row>
    <row r="1862" spans="1:32" ht="17.25" thickBot="1" x14ac:dyDescent="0.35">
      <c r="A1862" s="2" t="s">
        <v>11825</v>
      </c>
      <c r="B1862" s="2" t="s">
        <v>27</v>
      </c>
      <c r="C1862" s="2" t="s">
        <v>28</v>
      </c>
      <c r="D1862" s="2" t="s">
        <v>97</v>
      </c>
      <c r="E1862" s="2" t="s">
        <v>11109</v>
      </c>
      <c r="F1862" s="2" t="s">
        <v>8445</v>
      </c>
      <c r="G1862" s="2" t="s">
        <v>32</v>
      </c>
      <c r="H1862" s="1"/>
      <c r="I1862" s="2" t="s">
        <v>33</v>
      </c>
      <c r="J1862" s="2" t="s">
        <v>34</v>
      </c>
      <c r="K1862" s="2" t="s">
        <v>6636</v>
      </c>
      <c r="L1862" s="2" t="s">
        <v>6637</v>
      </c>
      <c r="M1862" s="2" t="s">
        <v>37</v>
      </c>
      <c r="N1862" s="2" t="s">
        <v>38</v>
      </c>
      <c r="O1862" s="2" t="s">
        <v>131</v>
      </c>
      <c r="P1862" s="2" t="s">
        <v>11826</v>
      </c>
      <c r="Q1862" s="2" t="s">
        <v>11827</v>
      </c>
      <c r="R1862" s="2" t="s">
        <v>40</v>
      </c>
      <c r="S1862" s="2" t="s">
        <v>11828</v>
      </c>
      <c r="T1862" s="2" t="s">
        <v>6641</v>
      </c>
      <c r="U1862" s="2" t="s">
        <v>2102</v>
      </c>
      <c r="V1862" s="2" t="s">
        <v>11829</v>
      </c>
      <c r="W1862" s="1"/>
      <c r="X1862" s="2" t="s">
        <v>1195</v>
      </c>
      <c r="Y1862" s="2" t="s">
        <v>11114</v>
      </c>
      <c r="AA1862" t="str">
        <f t="shared" si="174"/>
        <v>2025-12</v>
      </c>
      <c r="AB1862" t="str">
        <f t="shared" si="175"/>
        <v/>
      </c>
      <c r="AC1862">
        <f t="shared" si="176"/>
        <v>676612</v>
      </c>
      <c r="AD1862">
        <f t="shared" si="177"/>
        <v>40</v>
      </c>
      <c r="AE1862">
        <f t="shared" si="178"/>
        <v>100612</v>
      </c>
      <c r="AF1862" t="str">
        <f t="shared" si="179"/>
        <v>Paid</v>
      </c>
    </row>
    <row r="1863" spans="1:32" ht="17.25" thickBot="1" x14ac:dyDescent="0.35">
      <c r="A1863" s="2" t="s">
        <v>11830</v>
      </c>
      <c r="B1863" s="2" t="s">
        <v>27</v>
      </c>
      <c r="C1863" s="2" t="s">
        <v>28</v>
      </c>
      <c r="D1863" s="2" t="s">
        <v>97</v>
      </c>
      <c r="E1863" s="2" t="s">
        <v>11109</v>
      </c>
      <c r="F1863" s="2" t="s">
        <v>8445</v>
      </c>
      <c r="G1863" s="2" t="s">
        <v>32</v>
      </c>
      <c r="H1863" s="1"/>
      <c r="I1863" s="2" t="s">
        <v>33</v>
      </c>
      <c r="J1863" s="2" t="s">
        <v>34</v>
      </c>
      <c r="K1863" s="2" t="s">
        <v>1284</v>
      </c>
      <c r="L1863" s="2" t="s">
        <v>1285</v>
      </c>
      <c r="M1863" s="2" t="s">
        <v>37</v>
      </c>
      <c r="N1863" s="2" t="s">
        <v>38</v>
      </c>
      <c r="O1863" s="2" t="s">
        <v>779</v>
      </c>
      <c r="P1863" s="2" t="s">
        <v>6614</v>
      </c>
      <c r="Q1863" s="2" t="s">
        <v>11831</v>
      </c>
      <c r="R1863" s="2" t="s">
        <v>40</v>
      </c>
      <c r="S1863" s="2" t="s">
        <v>11832</v>
      </c>
      <c r="T1863" s="2" t="s">
        <v>11833</v>
      </c>
      <c r="U1863" s="2" t="s">
        <v>11834</v>
      </c>
      <c r="V1863" s="2" t="s">
        <v>11835</v>
      </c>
      <c r="W1863" s="1"/>
      <c r="X1863" s="2" t="s">
        <v>3465</v>
      </c>
      <c r="Y1863" s="2" t="s">
        <v>11114</v>
      </c>
      <c r="AA1863" t="str">
        <f t="shared" si="174"/>
        <v>2025-12</v>
      </c>
      <c r="AB1863" t="str">
        <f t="shared" si="175"/>
        <v/>
      </c>
      <c r="AC1863">
        <f t="shared" si="176"/>
        <v>528621.12</v>
      </c>
      <c r="AD1863">
        <f t="shared" si="177"/>
        <v>90</v>
      </c>
      <c r="AE1863">
        <f t="shared" si="178"/>
        <v>94971.12</v>
      </c>
      <c r="AF1863" t="str">
        <f t="shared" si="179"/>
        <v>Paid</v>
      </c>
    </row>
    <row r="1864" spans="1:32" ht="17.25" thickBot="1" x14ac:dyDescent="0.35">
      <c r="A1864" s="2" t="s">
        <v>11836</v>
      </c>
      <c r="B1864" s="2" t="s">
        <v>27</v>
      </c>
      <c r="C1864" s="2" t="s">
        <v>28</v>
      </c>
      <c r="D1864" s="2" t="s">
        <v>97</v>
      </c>
      <c r="E1864" s="2" t="s">
        <v>11109</v>
      </c>
      <c r="F1864" s="2" t="s">
        <v>8445</v>
      </c>
      <c r="G1864" s="2" t="s">
        <v>32</v>
      </c>
      <c r="H1864" s="1"/>
      <c r="I1864" s="2" t="s">
        <v>33</v>
      </c>
      <c r="J1864" s="2" t="s">
        <v>34</v>
      </c>
      <c r="K1864" s="2" t="s">
        <v>1291</v>
      </c>
      <c r="L1864" s="2" t="s">
        <v>1292</v>
      </c>
      <c r="M1864" s="2" t="s">
        <v>37</v>
      </c>
      <c r="N1864" s="2" t="s">
        <v>38</v>
      </c>
      <c r="O1864" s="2" t="s">
        <v>466</v>
      </c>
      <c r="P1864" s="2" t="s">
        <v>11694</v>
      </c>
      <c r="Q1864" s="2" t="s">
        <v>11739</v>
      </c>
      <c r="R1864" s="2" t="s">
        <v>40</v>
      </c>
      <c r="S1864" s="2" t="s">
        <v>11740</v>
      </c>
      <c r="T1864" s="2" t="s">
        <v>126</v>
      </c>
      <c r="U1864" s="2" t="s">
        <v>7209</v>
      </c>
      <c r="V1864" s="2" t="s">
        <v>11837</v>
      </c>
      <c r="W1864" s="1"/>
      <c r="X1864" s="2" t="s">
        <v>3216</v>
      </c>
      <c r="Y1864" s="2" t="s">
        <v>11114</v>
      </c>
      <c r="AA1864" t="str">
        <f t="shared" si="174"/>
        <v>2025-12</v>
      </c>
      <c r="AB1864" t="str">
        <f t="shared" si="175"/>
        <v/>
      </c>
      <c r="AC1864">
        <f t="shared" si="176"/>
        <v>529053</v>
      </c>
      <c r="AD1864">
        <f t="shared" si="177"/>
        <v>70</v>
      </c>
      <c r="AE1864">
        <f t="shared" si="178"/>
        <v>88053</v>
      </c>
      <c r="AF1864" t="str">
        <f t="shared" si="179"/>
        <v>Paid</v>
      </c>
    </row>
    <row r="1865" spans="1:32" ht="17.25" thickBot="1" x14ac:dyDescent="0.35">
      <c r="A1865" s="2" t="s">
        <v>11838</v>
      </c>
      <c r="B1865" s="2" t="s">
        <v>27</v>
      </c>
      <c r="C1865" s="2" t="s">
        <v>28</v>
      </c>
      <c r="D1865" s="2" t="s">
        <v>97</v>
      </c>
      <c r="E1865" s="2" t="s">
        <v>11109</v>
      </c>
      <c r="F1865" s="2" t="s">
        <v>8445</v>
      </c>
      <c r="G1865" s="2" t="s">
        <v>32</v>
      </c>
      <c r="H1865" s="1"/>
      <c r="I1865" s="2" t="s">
        <v>33</v>
      </c>
      <c r="J1865" s="2" t="s">
        <v>34</v>
      </c>
      <c r="K1865" s="2" t="s">
        <v>6656</v>
      </c>
      <c r="L1865" s="2" t="s">
        <v>6657</v>
      </c>
      <c r="M1865" s="2" t="s">
        <v>37</v>
      </c>
      <c r="N1865" s="2" t="s">
        <v>38</v>
      </c>
      <c r="O1865" s="2" t="s">
        <v>779</v>
      </c>
      <c r="P1865" s="2" t="s">
        <v>1687</v>
      </c>
      <c r="Q1865" s="2" t="s">
        <v>11839</v>
      </c>
      <c r="R1865" s="2" t="s">
        <v>40</v>
      </c>
      <c r="S1865" s="2" t="s">
        <v>11840</v>
      </c>
      <c r="T1865" s="2" t="s">
        <v>1364</v>
      </c>
      <c r="U1865" s="2" t="s">
        <v>5521</v>
      </c>
      <c r="V1865" s="2" t="s">
        <v>11841</v>
      </c>
      <c r="W1865" s="1"/>
      <c r="X1865" s="2" t="s">
        <v>1100</v>
      </c>
      <c r="Y1865" s="2" t="s">
        <v>11114</v>
      </c>
      <c r="AA1865" t="str">
        <f t="shared" si="174"/>
        <v>2025-12</v>
      </c>
      <c r="AB1865" t="str">
        <f t="shared" si="175"/>
        <v/>
      </c>
      <c r="AC1865">
        <f t="shared" si="176"/>
        <v>567490.31999999995</v>
      </c>
      <c r="AD1865">
        <f t="shared" si="177"/>
        <v>90</v>
      </c>
      <c r="AE1865">
        <f t="shared" si="178"/>
        <v>94990.32</v>
      </c>
      <c r="AF1865" t="str">
        <f t="shared" si="179"/>
        <v>Paid</v>
      </c>
    </row>
    <row r="1866" spans="1:32" ht="17.25" thickBot="1" x14ac:dyDescent="0.35">
      <c r="A1866" s="2" t="s">
        <v>11842</v>
      </c>
      <c r="B1866" s="2" t="s">
        <v>27</v>
      </c>
      <c r="C1866" s="2" t="s">
        <v>28</v>
      </c>
      <c r="D1866" s="2" t="s">
        <v>97</v>
      </c>
      <c r="E1866" s="2" t="s">
        <v>11109</v>
      </c>
      <c r="F1866" s="2" t="s">
        <v>8445</v>
      </c>
      <c r="G1866" s="2" t="s">
        <v>32</v>
      </c>
      <c r="H1866" s="1"/>
      <c r="I1866" s="2" t="s">
        <v>33</v>
      </c>
      <c r="J1866" s="2" t="s">
        <v>34</v>
      </c>
      <c r="K1866" s="2" t="s">
        <v>5694</v>
      </c>
      <c r="L1866" s="2" t="s">
        <v>5695</v>
      </c>
      <c r="M1866" s="2" t="s">
        <v>37</v>
      </c>
      <c r="N1866" s="2" t="s">
        <v>38</v>
      </c>
      <c r="O1866" s="2" t="s">
        <v>890</v>
      </c>
      <c r="P1866" s="2" t="s">
        <v>2691</v>
      </c>
      <c r="Q1866" s="2" t="s">
        <v>11843</v>
      </c>
      <c r="R1866" s="2" t="s">
        <v>40</v>
      </c>
      <c r="S1866" s="2" t="s">
        <v>11844</v>
      </c>
      <c r="T1866" s="2" t="s">
        <v>107</v>
      </c>
      <c r="U1866" s="2" t="s">
        <v>11727</v>
      </c>
      <c r="V1866" s="2" t="s">
        <v>11845</v>
      </c>
      <c r="W1866" s="1"/>
      <c r="X1866" s="2" t="s">
        <v>1100</v>
      </c>
      <c r="Y1866" s="2" t="s">
        <v>11114</v>
      </c>
      <c r="AA1866" t="str">
        <f t="shared" si="174"/>
        <v>2025-12</v>
      </c>
      <c r="AB1866" t="str">
        <f t="shared" si="175"/>
        <v/>
      </c>
      <c r="AC1866">
        <f t="shared" si="176"/>
        <v>2218567.56</v>
      </c>
      <c r="AD1866">
        <f t="shared" si="177"/>
        <v>330</v>
      </c>
      <c r="AE1866">
        <f t="shared" si="178"/>
        <v>370567.56</v>
      </c>
      <c r="AF1866" t="str">
        <f t="shared" si="179"/>
        <v>Paid</v>
      </c>
    </row>
    <row r="1867" spans="1:32" ht="27.75" thickBot="1" x14ac:dyDescent="0.35">
      <c r="A1867" s="2" t="s">
        <v>11846</v>
      </c>
      <c r="B1867" s="2" t="s">
        <v>27</v>
      </c>
      <c r="C1867" s="2" t="s">
        <v>28</v>
      </c>
      <c r="D1867" s="2" t="s">
        <v>97</v>
      </c>
      <c r="E1867" s="2" t="s">
        <v>11109</v>
      </c>
      <c r="F1867" s="2" t="s">
        <v>8445</v>
      </c>
      <c r="G1867" s="2" t="s">
        <v>32</v>
      </c>
      <c r="H1867" s="1"/>
      <c r="I1867" s="2" t="s">
        <v>33</v>
      </c>
      <c r="J1867" s="2" t="s">
        <v>34</v>
      </c>
      <c r="K1867" s="2" t="s">
        <v>1308</v>
      </c>
      <c r="L1867" s="2" t="s">
        <v>1309</v>
      </c>
      <c r="M1867" s="2" t="s">
        <v>37</v>
      </c>
      <c r="N1867" s="2" t="s">
        <v>38</v>
      </c>
      <c r="O1867" s="2" t="s">
        <v>1333</v>
      </c>
      <c r="P1867" s="2" t="s">
        <v>11847</v>
      </c>
      <c r="Q1867" s="2" t="s">
        <v>11848</v>
      </c>
      <c r="R1867" s="2" t="s">
        <v>40</v>
      </c>
      <c r="S1867" s="2" t="s">
        <v>11849</v>
      </c>
      <c r="T1867" s="2" t="s">
        <v>6668</v>
      </c>
      <c r="U1867" s="2" t="s">
        <v>11850</v>
      </c>
      <c r="V1867" s="2" t="s">
        <v>11851</v>
      </c>
      <c r="W1867" s="1"/>
      <c r="X1867" s="2" t="s">
        <v>1100</v>
      </c>
      <c r="Y1867" s="2" t="s">
        <v>11114</v>
      </c>
      <c r="AA1867" t="str">
        <f t="shared" si="174"/>
        <v>2025-12</v>
      </c>
      <c r="AB1867" t="str">
        <f t="shared" si="175"/>
        <v/>
      </c>
      <c r="AC1867">
        <f t="shared" si="176"/>
        <v>2835292.2</v>
      </c>
      <c r="AD1867">
        <f t="shared" si="177"/>
        <v>150</v>
      </c>
      <c r="AE1867">
        <f t="shared" si="178"/>
        <v>472792.2</v>
      </c>
      <c r="AF1867" t="str">
        <f t="shared" si="179"/>
        <v>Paid</v>
      </c>
    </row>
    <row r="1868" spans="1:32" ht="17.25" thickBot="1" x14ac:dyDescent="0.35">
      <c r="A1868" s="2" t="s">
        <v>11852</v>
      </c>
      <c r="B1868" s="2" t="s">
        <v>27</v>
      </c>
      <c r="C1868" s="2" t="s">
        <v>28</v>
      </c>
      <c r="D1868" s="2" t="s">
        <v>97</v>
      </c>
      <c r="E1868" s="2" t="s">
        <v>11109</v>
      </c>
      <c r="F1868" s="2" t="s">
        <v>8445</v>
      </c>
      <c r="G1868" s="2" t="s">
        <v>32</v>
      </c>
      <c r="H1868" s="1"/>
      <c r="I1868" s="2" t="s">
        <v>33</v>
      </c>
      <c r="J1868" s="2" t="s">
        <v>34</v>
      </c>
      <c r="K1868" s="2" t="s">
        <v>35</v>
      </c>
      <c r="L1868" s="2" t="s">
        <v>36</v>
      </c>
      <c r="M1868" s="2" t="s">
        <v>37</v>
      </c>
      <c r="N1868" s="2" t="s">
        <v>38</v>
      </c>
      <c r="O1868" s="2" t="s">
        <v>156</v>
      </c>
      <c r="P1868" s="2" t="s">
        <v>4545</v>
      </c>
      <c r="Q1868" s="2" t="s">
        <v>11853</v>
      </c>
      <c r="R1868" s="2" t="s">
        <v>40</v>
      </c>
      <c r="S1868" s="2" t="s">
        <v>11854</v>
      </c>
      <c r="T1868" s="2" t="s">
        <v>5426</v>
      </c>
      <c r="U1868" s="2" t="s">
        <v>6877</v>
      </c>
      <c r="V1868" s="2" t="s">
        <v>11855</v>
      </c>
      <c r="W1868" s="1"/>
      <c r="X1868" s="2" t="s">
        <v>6790</v>
      </c>
      <c r="Y1868" s="2" t="s">
        <v>11114</v>
      </c>
      <c r="AA1868" t="str">
        <f t="shared" si="174"/>
        <v>2025-12</v>
      </c>
      <c r="AB1868" t="str">
        <f t="shared" si="175"/>
        <v/>
      </c>
      <c r="AC1868">
        <f t="shared" si="176"/>
        <v>201544</v>
      </c>
      <c r="AD1868">
        <f t="shared" si="177"/>
        <v>20</v>
      </c>
      <c r="AE1868">
        <f t="shared" si="178"/>
        <v>43544</v>
      </c>
      <c r="AF1868" t="str">
        <f t="shared" si="179"/>
        <v>Paid</v>
      </c>
    </row>
    <row r="1869" spans="1:32" ht="17.25" thickBot="1" x14ac:dyDescent="0.35">
      <c r="A1869" s="2" t="s">
        <v>11856</v>
      </c>
      <c r="B1869" s="2" t="s">
        <v>27</v>
      </c>
      <c r="C1869" s="2" t="s">
        <v>28</v>
      </c>
      <c r="D1869" s="2" t="s">
        <v>97</v>
      </c>
      <c r="E1869" s="2" t="s">
        <v>11109</v>
      </c>
      <c r="F1869" s="2" t="s">
        <v>8445</v>
      </c>
      <c r="G1869" s="2" t="s">
        <v>32</v>
      </c>
      <c r="H1869" s="1"/>
      <c r="I1869" s="2" t="s">
        <v>33</v>
      </c>
      <c r="J1869" s="2" t="s">
        <v>34</v>
      </c>
      <c r="K1869" s="2" t="s">
        <v>5422</v>
      </c>
      <c r="L1869" s="2" t="s">
        <v>5423</v>
      </c>
      <c r="M1869" s="2" t="s">
        <v>37</v>
      </c>
      <c r="N1869" s="2" t="s">
        <v>38</v>
      </c>
      <c r="O1869" s="2" t="s">
        <v>391</v>
      </c>
      <c r="P1869" s="2" t="s">
        <v>4545</v>
      </c>
      <c r="Q1869" s="2" t="s">
        <v>11707</v>
      </c>
      <c r="R1869" s="2" t="s">
        <v>40</v>
      </c>
      <c r="S1869" s="2" t="s">
        <v>11708</v>
      </c>
      <c r="T1869" s="2" t="s">
        <v>5426</v>
      </c>
      <c r="U1869" s="2" t="s">
        <v>11857</v>
      </c>
      <c r="V1869" s="2" t="s">
        <v>11858</v>
      </c>
      <c r="W1869" s="1"/>
      <c r="X1869" s="2" t="s">
        <v>6790</v>
      </c>
      <c r="Y1869" s="2" t="s">
        <v>11114</v>
      </c>
      <c r="AA1869" t="str">
        <f t="shared" si="174"/>
        <v>2025-12</v>
      </c>
      <c r="AB1869" t="str">
        <f t="shared" si="175"/>
        <v/>
      </c>
      <c r="AC1869">
        <f t="shared" si="176"/>
        <v>604632</v>
      </c>
      <c r="AD1869">
        <f t="shared" si="177"/>
        <v>60</v>
      </c>
      <c r="AE1869">
        <f t="shared" si="178"/>
        <v>130632</v>
      </c>
      <c r="AF1869" t="str">
        <f t="shared" si="179"/>
        <v>Paid</v>
      </c>
    </row>
    <row r="1870" spans="1:32" ht="17.25" thickBot="1" x14ac:dyDescent="0.35">
      <c r="A1870" s="2" t="s">
        <v>11859</v>
      </c>
      <c r="B1870" s="2" t="s">
        <v>27</v>
      </c>
      <c r="C1870" s="2" t="s">
        <v>28</v>
      </c>
      <c r="D1870" s="2" t="s">
        <v>97</v>
      </c>
      <c r="E1870" s="2" t="s">
        <v>11109</v>
      </c>
      <c r="F1870" s="2" t="s">
        <v>8445</v>
      </c>
      <c r="G1870" s="2" t="s">
        <v>32</v>
      </c>
      <c r="H1870" s="1"/>
      <c r="I1870" s="2" t="s">
        <v>33</v>
      </c>
      <c r="J1870" s="2" t="s">
        <v>34</v>
      </c>
      <c r="K1870" s="2" t="s">
        <v>1325</v>
      </c>
      <c r="L1870" s="2" t="s">
        <v>1326</v>
      </c>
      <c r="M1870" s="2" t="s">
        <v>37</v>
      </c>
      <c r="N1870" s="2" t="s">
        <v>38</v>
      </c>
      <c r="O1870" s="2" t="s">
        <v>79</v>
      </c>
      <c r="P1870" s="2" t="s">
        <v>4545</v>
      </c>
      <c r="Q1870" s="2" t="s">
        <v>11860</v>
      </c>
      <c r="R1870" s="2" t="s">
        <v>40</v>
      </c>
      <c r="S1870" s="2" t="s">
        <v>11861</v>
      </c>
      <c r="T1870" s="2" t="s">
        <v>5426</v>
      </c>
      <c r="U1870" s="2" t="s">
        <v>11862</v>
      </c>
      <c r="V1870" s="2" t="s">
        <v>11863</v>
      </c>
      <c r="W1870" s="1"/>
      <c r="X1870" s="2" t="s">
        <v>6790</v>
      </c>
      <c r="Y1870" s="2" t="s">
        <v>11114</v>
      </c>
      <c r="AA1870" t="str">
        <f t="shared" si="174"/>
        <v>2025-12</v>
      </c>
      <c r="AB1870" t="str">
        <f t="shared" si="175"/>
        <v/>
      </c>
      <c r="AC1870">
        <f t="shared" si="176"/>
        <v>100772</v>
      </c>
      <c r="AD1870">
        <f t="shared" si="177"/>
        <v>10</v>
      </c>
      <c r="AE1870">
        <f t="shared" si="178"/>
        <v>21772</v>
      </c>
      <c r="AF1870" t="str">
        <f t="shared" si="179"/>
        <v>Paid</v>
      </c>
    </row>
    <row r="1871" spans="1:32" ht="17.25" thickBot="1" x14ac:dyDescent="0.35">
      <c r="A1871" s="2" t="s">
        <v>11864</v>
      </c>
      <c r="B1871" s="2" t="s">
        <v>27</v>
      </c>
      <c r="C1871" s="2" t="s">
        <v>28</v>
      </c>
      <c r="D1871" s="2" t="s">
        <v>97</v>
      </c>
      <c r="E1871" s="2" t="s">
        <v>11109</v>
      </c>
      <c r="F1871" s="2" t="s">
        <v>8445</v>
      </c>
      <c r="G1871" s="2" t="s">
        <v>32</v>
      </c>
      <c r="H1871" s="1"/>
      <c r="I1871" s="2" t="s">
        <v>33</v>
      </c>
      <c r="J1871" s="2" t="s">
        <v>34</v>
      </c>
      <c r="K1871" s="2" t="s">
        <v>11865</v>
      </c>
      <c r="L1871" s="2" t="s">
        <v>11866</v>
      </c>
      <c r="M1871" s="2" t="s">
        <v>37</v>
      </c>
      <c r="N1871" s="2" t="s">
        <v>38</v>
      </c>
      <c r="O1871" s="2" t="s">
        <v>148</v>
      </c>
      <c r="P1871" s="2" t="s">
        <v>6237</v>
      </c>
      <c r="Q1871" s="2" t="s">
        <v>11867</v>
      </c>
      <c r="R1871" s="2" t="s">
        <v>40</v>
      </c>
      <c r="S1871" s="2" t="s">
        <v>11868</v>
      </c>
      <c r="T1871" s="2" t="s">
        <v>11869</v>
      </c>
      <c r="U1871" s="2" t="s">
        <v>11870</v>
      </c>
      <c r="V1871" s="2" t="s">
        <v>11871</v>
      </c>
      <c r="W1871" s="1"/>
      <c r="X1871" s="2" t="s">
        <v>1893</v>
      </c>
      <c r="Y1871" s="2" t="s">
        <v>11114</v>
      </c>
      <c r="AA1871" t="str">
        <f t="shared" si="174"/>
        <v>2025-12</v>
      </c>
      <c r="AB1871" t="str">
        <f t="shared" si="175"/>
        <v/>
      </c>
      <c r="AC1871">
        <f t="shared" si="176"/>
        <v>151532.29999999999</v>
      </c>
      <c r="AD1871">
        <f t="shared" si="177"/>
        <v>19</v>
      </c>
      <c r="AE1871">
        <f t="shared" si="178"/>
        <v>39432.300000000003</v>
      </c>
      <c r="AF1871" t="str">
        <f t="shared" si="179"/>
        <v>Paid</v>
      </c>
    </row>
    <row r="1872" spans="1:32" ht="17.25" thickBot="1" x14ac:dyDescent="0.35">
      <c r="A1872" s="2" t="s">
        <v>11872</v>
      </c>
      <c r="B1872" s="2" t="s">
        <v>27</v>
      </c>
      <c r="C1872" s="2" t="s">
        <v>28</v>
      </c>
      <c r="D1872" s="2" t="s">
        <v>97</v>
      </c>
      <c r="E1872" s="2" t="s">
        <v>11109</v>
      </c>
      <c r="F1872" s="2" t="s">
        <v>8445</v>
      </c>
      <c r="G1872" s="2" t="s">
        <v>32</v>
      </c>
      <c r="H1872" s="1"/>
      <c r="I1872" s="2" t="s">
        <v>33</v>
      </c>
      <c r="J1872" s="2" t="s">
        <v>34</v>
      </c>
      <c r="K1872" s="2" t="s">
        <v>1334</v>
      </c>
      <c r="L1872" s="2" t="s">
        <v>1335</v>
      </c>
      <c r="M1872" s="2" t="s">
        <v>37</v>
      </c>
      <c r="N1872" s="2" t="s">
        <v>38</v>
      </c>
      <c r="O1872" s="2" t="s">
        <v>79</v>
      </c>
      <c r="P1872" s="2" t="s">
        <v>6890</v>
      </c>
      <c r="Q1872" s="2" t="s">
        <v>11562</v>
      </c>
      <c r="R1872" s="2" t="s">
        <v>40</v>
      </c>
      <c r="S1872" s="2" t="s">
        <v>11563</v>
      </c>
      <c r="T1872" s="2" t="s">
        <v>267</v>
      </c>
      <c r="U1872" s="2" t="s">
        <v>6915</v>
      </c>
      <c r="V1872" s="2" t="s">
        <v>11873</v>
      </c>
      <c r="W1872" s="1"/>
      <c r="X1872" s="2" t="s">
        <v>1340</v>
      </c>
      <c r="Y1872" s="2" t="s">
        <v>11114</v>
      </c>
      <c r="AA1872" t="str">
        <f t="shared" si="174"/>
        <v>2025-12</v>
      </c>
      <c r="AB1872" t="str">
        <f t="shared" si="175"/>
        <v/>
      </c>
      <c r="AC1872">
        <f t="shared" si="176"/>
        <v>92422.32</v>
      </c>
      <c r="AD1872">
        <f t="shared" si="177"/>
        <v>10</v>
      </c>
      <c r="AE1872">
        <f t="shared" si="178"/>
        <v>26422.32</v>
      </c>
      <c r="AF1872" t="str">
        <f t="shared" si="179"/>
        <v>Paid</v>
      </c>
    </row>
    <row r="1873" spans="1:32" ht="17.25" thickBot="1" x14ac:dyDescent="0.35">
      <c r="A1873" s="2" t="s">
        <v>11874</v>
      </c>
      <c r="B1873" s="2" t="s">
        <v>27</v>
      </c>
      <c r="C1873" s="2" t="s">
        <v>28</v>
      </c>
      <c r="D1873" s="2" t="s">
        <v>97</v>
      </c>
      <c r="E1873" s="2" t="s">
        <v>11109</v>
      </c>
      <c r="F1873" s="2" t="s">
        <v>8445</v>
      </c>
      <c r="G1873" s="2" t="s">
        <v>32</v>
      </c>
      <c r="H1873" s="1"/>
      <c r="I1873" s="2" t="s">
        <v>33</v>
      </c>
      <c r="J1873" s="2" t="s">
        <v>34</v>
      </c>
      <c r="K1873" s="2" t="s">
        <v>1342</v>
      </c>
      <c r="L1873" s="2" t="s">
        <v>1343</v>
      </c>
      <c r="M1873" s="2" t="s">
        <v>37</v>
      </c>
      <c r="N1873" s="2" t="s">
        <v>38</v>
      </c>
      <c r="O1873" s="2" t="s">
        <v>466</v>
      </c>
      <c r="P1873" s="2" t="s">
        <v>115</v>
      </c>
      <c r="Q1873" s="2" t="s">
        <v>11875</v>
      </c>
      <c r="R1873" s="2" t="s">
        <v>40</v>
      </c>
      <c r="S1873" s="2" t="s">
        <v>11876</v>
      </c>
      <c r="T1873" s="2" t="s">
        <v>287</v>
      </c>
      <c r="U1873" s="2" t="s">
        <v>4239</v>
      </c>
      <c r="V1873" s="2" t="s">
        <v>11877</v>
      </c>
      <c r="W1873" s="1"/>
      <c r="X1873" s="2" t="s">
        <v>3216</v>
      </c>
      <c r="Y1873" s="2" t="s">
        <v>11114</v>
      </c>
      <c r="AA1873" t="str">
        <f t="shared" si="174"/>
        <v>2025-12</v>
      </c>
      <c r="AB1873" t="str">
        <f t="shared" si="175"/>
        <v/>
      </c>
      <c r="AC1873">
        <f t="shared" si="176"/>
        <v>587500.76</v>
      </c>
      <c r="AD1873">
        <f t="shared" si="177"/>
        <v>70</v>
      </c>
      <c r="AE1873">
        <f t="shared" si="178"/>
        <v>97500.76</v>
      </c>
      <c r="AF1873" t="str">
        <f t="shared" si="179"/>
        <v>Paid</v>
      </c>
    </row>
    <row r="1874" spans="1:32" ht="17.25" thickBot="1" x14ac:dyDescent="0.35">
      <c r="A1874" s="2" t="s">
        <v>11878</v>
      </c>
      <c r="B1874" s="2" t="s">
        <v>27</v>
      </c>
      <c r="C1874" s="2" t="s">
        <v>28</v>
      </c>
      <c r="D1874" s="2" t="s">
        <v>97</v>
      </c>
      <c r="E1874" s="2" t="s">
        <v>11109</v>
      </c>
      <c r="F1874" s="2" t="s">
        <v>8445</v>
      </c>
      <c r="G1874" s="2" t="s">
        <v>32</v>
      </c>
      <c r="H1874" s="1"/>
      <c r="I1874" s="2" t="s">
        <v>33</v>
      </c>
      <c r="J1874" s="2" t="s">
        <v>34</v>
      </c>
      <c r="K1874" s="2" t="s">
        <v>5707</v>
      </c>
      <c r="L1874" s="2" t="s">
        <v>5708</v>
      </c>
      <c r="M1874" s="2" t="s">
        <v>37</v>
      </c>
      <c r="N1874" s="2" t="s">
        <v>38</v>
      </c>
      <c r="O1874" s="2" t="s">
        <v>156</v>
      </c>
      <c r="P1874" s="2" t="s">
        <v>115</v>
      </c>
      <c r="Q1874" s="2" t="s">
        <v>11586</v>
      </c>
      <c r="R1874" s="2" t="s">
        <v>40</v>
      </c>
      <c r="S1874" s="2" t="s">
        <v>11587</v>
      </c>
      <c r="T1874" s="2" t="s">
        <v>669</v>
      </c>
      <c r="U1874" s="2" t="s">
        <v>3024</v>
      </c>
      <c r="V1874" s="2" t="s">
        <v>11879</v>
      </c>
      <c r="W1874" s="1"/>
      <c r="X1874" s="2" t="s">
        <v>997</v>
      </c>
      <c r="Y1874" s="2" t="s">
        <v>11114</v>
      </c>
      <c r="AA1874" t="str">
        <f t="shared" si="174"/>
        <v>2025-12</v>
      </c>
      <c r="AB1874" t="str">
        <f t="shared" si="175"/>
        <v/>
      </c>
      <c r="AC1874">
        <f t="shared" si="176"/>
        <v>167857.36</v>
      </c>
      <c r="AD1874">
        <f t="shared" si="177"/>
        <v>20</v>
      </c>
      <c r="AE1874">
        <f t="shared" si="178"/>
        <v>47857.36</v>
      </c>
      <c r="AF1874" t="str">
        <f t="shared" si="179"/>
        <v>Paid</v>
      </c>
    </row>
    <row r="1875" spans="1:32" ht="17.25" thickBot="1" x14ac:dyDescent="0.35">
      <c r="A1875" s="2" t="s">
        <v>11880</v>
      </c>
      <c r="B1875" s="2" t="s">
        <v>27</v>
      </c>
      <c r="C1875" s="2" t="s">
        <v>28</v>
      </c>
      <c r="D1875" s="2" t="s">
        <v>97</v>
      </c>
      <c r="E1875" s="2" t="s">
        <v>11109</v>
      </c>
      <c r="F1875" s="2" t="s">
        <v>8445</v>
      </c>
      <c r="G1875" s="2" t="s">
        <v>32</v>
      </c>
      <c r="H1875" s="1"/>
      <c r="I1875" s="2" t="s">
        <v>33</v>
      </c>
      <c r="J1875" s="2" t="s">
        <v>34</v>
      </c>
      <c r="K1875" s="2" t="s">
        <v>3140</v>
      </c>
      <c r="L1875" s="2" t="s">
        <v>3141</v>
      </c>
      <c r="M1875" s="2" t="s">
        <v>3131</v>
      </c>
      <c r="N1875" s="2" t="s">
        <v>38</v>
      </c>
      <c r="O1875" s="2" t="s">
        <v>159</v>
      </c>
      <c r="P1875" s="2" t="s">
        <v>11881</v>
      </c>
      <c r="Q1875" s="2" t="s">
        <v>11882</v>
      </c>
      <c r="R1875" s="2" t="s">
        <v>40</v>
      </c>
      <c r="S1875" s="2" t="s">
        <v>11883</v>
      </c>
      <c r="T1875" s="2" t="s">
        <v>11884</v>
      </c>
      <c r="U1875" s="2" t="s">
        <v>11885</v>
      </c>
      <c r="V1875" s="2" t="s">
        <v>11886</v>
      </c>
      <c r="W1875" s="1"/>
      <c r="X1875" s="2" t="s">
        <v>3259</v>
      </c>
      <c r="Y1875" s="2" t="s">
        <v>11114</v>
      </c>
      <c r="AA1875" t="str">
        <f t="shared" si="174"/>
        <v>2025-12</v>
      </c>
      <c r="AB1875" t="str">
        <f t="shared" si="175"/>
        <v/>
      </c>
      <c r="AC1875">
        <f t="shared" si="176"/>
        <v>1277213.1200000001</v>
      </c>
      <c r="AD1875">
        <f t="shared" si="177"/>
        <v>80</v>
      </c>
      <c r="AE1875">
        <f t="shared" si="178"/>
        <v>289512.12</v>
      </c>
      <c r="AF1875" t="str">
        <f t="shared" si="179"/>
        <v>Paid</v>
      </c>
    </row>
    <row r="1876" spans="1:32" ht="17.25" thickBot="1" x14ac:dyDescent="0.35">
      <c r="A1876" s="2" t="s">
        <v>11887</v>
      </c>
      <c r="B1876" s="2" t="s">
        <v>27</v>
      </c>
      <c r="C1876" s="2" t="s">
        <v>28</v>
      </c>
      <c r="D1876" s="2" t="s">
        <v>97</v>
      </c>
      <c r="E1876" s="2" t="s">
        <v>11109</v>
      </c>
      <c r="F1876" s="2" t="s">
        <v>8445</v>
      </c>
      <c r="G1876" s="2" t="s">
        <v>32</v>
      </c>
      <c r="H1876" s="1"/>
      <c r="I1876" s="2" t="s">
        <v>33</v>
      </c>
      <c r="J1876" s="2" t="s">
        <v>34</v>
      </c>
      <c r="K1876" s="2" t="s">
        <v>1368</v>
      </c>
      <c r="L1876" s="2" t="s">
        <v>1369</v>
      </c>
      <c r="M1876" s="2" t="s">
        <v>84</v>
      </c>
      <c r="N1876" s="2" t="s">
        <v>38</v>
      </c>
      <c r="O1876" s="2" t="s">
        <v>3167</v>
      </c>
      <c r="P1876" s="2" t="s">
        <v>11359</v>
      </c>
      <c r="Q1876" s="2" t="s">
        <v>11888</v>
      </c>
      <c r="R1876" s="2" t="s">
        <v>40</v>
      </c>
      <c r="S1876" s="2" t="s">
        <v>11889</v>
      </c>
      <c r="T1876" s="2" t="s">
        <v>1354</v>
      </c>
      <c r="U1876" s="2" t="s">
        <v>11890</v>
      </c>
      <c r="V1876" s="2" t="s">
        <v>11891</v>
      </c>
      <c r="W1876" s="1"/>
      <c r="X1876" s="2" t="s">
        <v>6709</v>
      </c>
      <c r="Y1876" s="2" t="s">
        <v>11114</v>
      </c>
      <c r="AA1876" t="str">
        <f t="shared" si="174"/>
        <v>2025-12</v>
      </c>
      <c r="AB1876" t="str">
        <f t="shared" si="175"/>
        <v/>
      </c>
      <c r="AC1876">
        <f t="shared" si="176"/>
        <v>2281190.16</v>
      </c>
      <c r="AD1876">
        <f t="shared" si="177"/>
        <v>380</v>
      </c>
      <c r="AE1876">
        <f t="shared" si="178"/>
        <v>483790.16</v>
      </c>
      <c r="AF1876" t="str">
        <f t="shared" si="179"/>
        <v>Paid</v>
      </c>
    </row>
    <row r="1877" spans="1:32" ht="17.25" thickBot="1" x14ac:dyDescent="0.35">
      <c r="A1877" s="2" t="s">
        <v>11892</v>
      </c>
      <c r="B1877" s="2" t="s">
        <v>27</v>
      </c>
      <c r="C1877" s="2" t="s">
        <v>28</v>
      </c>
      <c r="D1877" s="2" t="s">
        <v>97</v>
      </c>
      <c r="E1877" s="2" t="s">
        <v>11109</v>
      </c>
      <c r="F1877" s="2" t="s">
        <v>8445</v>
      </c>
      <c r="G1877" s="2" t="s">
        <v>32</v>
      </c>
      <c r="H1877" s="1"/>
      <c r="I1877" s="2" t="s">
        <v>33</v>
      </c>
      <c r="J1877" s="2" t="s">
        <v>34</v>
      </c>
      <c r="K1877" s="2" t="s">
        <v>1377</v>
      </c>
      <c r="L1877" s="2" t="s">
        <v>1378</v>
      </c>
      <c r="M1877" s="2" t="s">
        <v>84</v>
      </c>
      <c r="N1877" s="2" t="s">
        <v>38</v>
      </c>
      <c r="O1877" s="2" t="s">
        <v>141</v>
      </c>
      <c r="P1877" s="2" t="s">
        <v>8596</v>
      </c>
      <c r="Q1877" s="2" t="s">
        <v>11893</v>
      </c>
      <c r="R1877" s="2" t="s">
        <v>40</v>
      </c>
      <c r="S1877" s="2" t="s">
        <v>11894</v>
      </c>
      <c r="T1877" s="2" t="s">
        <v>1382</v>
      </c>
      <c r="U1877" s="2" t="s">
        <v>11895</v>
      </c>
      <c r="V1877" s="2" t="s">
        <v>11896</v>
      </c>
      <c r="W1877" s="1"/>
      <c r="X1877" s="2" t="s">
        <v>5779</v>
      </c>
      <c r="Y1877" s="2" t="s">
        <v>11114</v>
      </c>
      <c r="AA1877" t="str">
        <f t="shared" si="174"/>
        <v>2025-12</v>
      </c>
      <c r="AB1877" t="str">
        <f t="shared" si="175"/>
        <v/>
      </c>
      <c r="AC1877">
        <f t="shared" si="176"/>
        <v>203847.36</v>
      </c>
      <c r="AD1877">
        <f t="shared" si="177"/>
        <v>30</v>
      </c>
      <c r="AE1877">
        <f t="shared" si="178"/>
        <v>55647.360000000001</v>
      </c>
      <c r="AF1877" t="str">
        <f t="shared" si="179"/>
        <v>Paid</v>
      </c>
    </row>
    <row r="1878" spans="1:32" ht="17.25" thickBot="1" x14ac:dyDescent="0.35">
      <c r="A1878" s="2" t="s">
        <v>11897</v>
      </c>
      <c r="B1878" s="2" t="s">
        <v>27</v>
      </c>
      <c r="C1878" s="2" t="s">
        <v>28</v>
      </c>
      <c r="D1878" s="2" t="s">
        <v>97</v>
      </c>
      <c r="E1878" s="2" t="s">
        <v>11109</v>
      </c>
      <c r="F1878" s="2" t="s">
        <v>8445</v>
      </c>
      <c r="G1878" s="2" t="s">
        <v>32</v>
      </c>
      <c r="H1878" s="1"/>
      <c r="I1878" s="2" t="s">
        <v>33</v>
      </c>
      <c r="J1878" s="2" t="s">
        <v>34</v>
      </c>
      <c r="K1878" s="2" t="s">
        <v>1386</v>
      </c>
      <c r="L1878" s="2" t="s">
        <v>1387</v>
      </c>
      <c r="M1878" s="2" t="s">
        <v>84</v>
      </c>
      <c r="N1878" s="2" t="s">
        <v>38</v>
      </c>
      <c r="O1878" s="2" t="s">
        <v>156</v>
      </c>
      <c r="P1878" s="2" t="s">
        <v>115</v>
      </c>
      <c r="Q1878" s="2" t="s">
        <v>11586</v>
      </c>
      <c r="R1878" s="2" t="s">
        <v>40</v>
      </c>
      <c r="S1878" s="2" t="s">
        <v>11587</v>
      </c>
      <c r="T1878" s="2" t="s">
        <v>1390</v>
      </c>
      <c r="U1878" s="2" t="s">
        <v>11898</v>
      </c>
      <c r="V1878" s="2" t="s">
        <v>11899</v>
      </c>
      <c r="W1878" s="1"/>
      <c r="X1878" s="2" t="s">
        <v>796</v>
      </c>
      <c r="Y1878" s="2" t="s">
        <v>11114</v>
      </c>
      <c r="AA1878" t="str">
        <f t="shared" si="174"/>
        <v>2025-12</v>
      </c>
      <c r="AB1878" t="str">
        <f t="shared" si="175"/>
        <v/>
      </c>
      <c r="AC1878">
        <f t="shared" si="176"/>
        <v>167857.36</v>
      </c>
      <c r="AD1878">
        <f t="shared" si="177"/>
        <v>20</v>
      </c>
      <c r="AE1878">
        <f t="shared" si="178"/>
        <v>35457.360000000001</v>
      </c>
      <c r="AF1878" t="str">
        <f t="shared" si="179"/>
        <v>Paid</v>
      </c>
    </row>
    <row r="1879" spans="1:32" ht="17.25" thickBot="1" x14ac:dyDescent="0.35">
      <c r="A1879" s="2" t="s">
        <v>11900</v>
      </c>
      <c r="B1879" s="2" t="s">
        <v>27</v>
      </c>
      <c r="C1879" s="2" t="s">
        <v>28</v>
      </c>
      <c r="D1879" s="2" t="s">
        <v>97</v>
      </c>
      <c r="E1879" s="2" t="s">
        <v>11109</v>
      </c>
      <c r="F1879" s="2" t="s">
        <v>8445</v>
      </c>
      <c r="G1879" s="2" t="s">
        <v>32</v>
      </c>
      <c r="H1879" s="1"/>
      <c r="I1879" s="2" t="s">
        <v>33</v>
      </c>
      <c r="J1879" s="2" t="s">
        <v>34</v>
      </c>
      <c r="K1879" s="2" t="s">
        <v>5721</v>
      </c>
      <c r="L1879" s="2" t="s">
        <v>5722</v>
      </c>
      <c r="M1879" s="2" t="s">
        <v>84</v>
      </c>
      <c r="N1879" s="2" t="s">
        <v>38</v>
      </c>
      <c r="O1879" s="2" t="s">
        <v>272</v>
      </c>
      <c r="P1879" s="2" t="s">
        <v>9099</v>
      </c>
      <c r="Q1879" s="2" t="s">
        <v>11901</v>
      </c>
      <c r="R1879" s="2" t="s">
        <v>40</v>
      </c>
      <c r="S1879" s="2" t="s">
        <v>11902</v>
      </c>
      <c r="T1879" s="2" t="s">
        <v>126</v>
      </c>
      <c r="U1879" s="2" t="s">
        <v>11903</v>
      </c>
      <c r="V1879" s="2" t="s">
        <v>11904</v>
      </c>
      <c r="W1879" s="1"/>
      <c r="X1879" s="2" t="s">
        <v>6719</v>
      </c>
      <c r="Y1879" s="2" t="s">
        <v>11114</v>
      </c>
      <c r="AA1879" t="str">
        <f t="shared" si="174"/>
        <v>2025-12</v>
      </c>
      <c r="AB1879" t="str">
        <f t="shared" si="175"/>
        <v/>
      </c>
      <c r="AC1879">
        <f t="shared" si="176"/>
        <v>408212.98</v>
      </c>
      <c r="AD1879">
        <f t="shared" si="177"/>
        <v>34</v>
      </c>
      <c r="AE1879">
        <f t="shared" si="178"/>
        <v>194012.98</v>
      </c>
      <c r="AF1879" t="str">
        <f t="shared" si="179"/>
        <v>Paid</v>
      </c>
    </row>
    <row r="1880" spans="1:32" ht="17.25" thickBot="1" x14ac:dyDescent="0.35">
      <c r="A1880" s="2" t="s">
        <v>11905</v>
      </c>
      <c r="B1880" s="2" t="s">
        <v>27</v>
      </c>
      <c r="C1880" s="2" t="s">
        <v>28</v>
      </c>
      <c r="D1880" s="2" t="s">
        <v>97</v>
      </c>
      <c r="E1880" s="2" t="s">
        <v>11109</v>
      </c>
      <c r="F1880" s="2" t="s">
        <v>8445</v>
      </c>
      <c r="G1880" s="2" t="s">
        <v>32</v>
      </c>
      <c r="H1880" s="1"/>
      <c r="I1880" s="2" t="s">
        <v>33</v>
      </c>
      <c r="J1880" s="2" t="s">
        <v>34</v>
      </c>
      <c r="K1880" s="2" t="s">
        <v>1394</v>
      </c>
      <c r="L1880" s="2" t="s">
        <v>1395</v>
      </c>
      <c r="M1880" s="2" t="s">
        <v>84</v>
      </c>
      <c r="N1880" s="2" t="s">
        <v>38</v>
      </c>
      <c r="O1880" s="2" t="s">
        <v>141</v>
      </c>
      <c r="P1880" s="2" t="s">
        <v>284</v>
      </c>
      <c r="Q1880" s="2" t="s">
        <v>11906</v>
      </c>
      <c r="R1880" s="2" t="s">
        <v>40</v>
      </c>
      <c r="S1880" s="2" t="s">
        <v>11907</v>
      </c>
      <c r="T1880" s="2" t="s">
        <v>1399</v>
      </c>
      <c r="U1880" s="2" t="s">
        <v>8134</v>
      </c>
      <c r="V1880" s="2" t="s">
        <v>11908</v>
      </c>
      <c r="W1880" s="1"/>
      <c r="X1880" s="2" t="s">
        <v>3037</v>
      </c>
      <c r="Y1880" s="2" t="s">
        <v>11114</v>
      </c>
      <c r="AA1880" t="str">
        <f t="shared" si="174"/>
        <v>2025-12</v>
      </c>
      <c r="AB1880" t="str">
        <f t="shared" si="175"/>
        <v/>
      </c>
      <c r="AC1880">
        <f t="shared" si="176"/>
        <v>336002.64</v>
      </c>
      <c r="AD1880">
        <f t="shared" si="177"/>
        <v>30</v>
      </c>
      <c r="AE1880">
        <f t="shared" si="178"/>
        <v>115502.64</v>
      </c>
      <c r="AF1880" t="str">
        <f t="shared" si="179"/>
        <v>Paid</v>
      </c>
    </row>
    <row r="1881" spans="1:32" ht="17.25" thickBot="1" x14ac:dyDescent="0.35">
      <c r="A1881" s="2" t="s">
        <v>11909</v>
      </c>
      <c r="B1881" s="2" t="s">
        <v>27</v>
      </c>
      <c r="C1881" s="2" t="s">
        <v>28</v>
      </c>
      <c r="D1881" s="2" t="s">
        <v>97</v>
      </c>
      <c r="E1881" s="2" t="s">
        <v>11109</v>
      </c>
      <c r="F1881" s="2" t="s">
        <v>8445</v>
      </c>
      <c r="G1881" s="2" t="s">
        <v>32</v>
      </c>
      <c r="H1881" s="1"/>
      <c r="I1881" s="2" t="s">
        <v>33</v>
      </c>
      <c r="J1881" s="2" t="s">
        <v>34</v>
      </c>
      <c r="K1881" s="2" t="s">
        <v>1403</v>
      </c>
      <c r="L1881" s="2" t="s">
        <v>1404</v>
      </c>
      <c r="M1881" s="2" t="s">
        <v>84</v>
      </c>
      <c r="N1881" s="2" t="s">
        <v>38</v>
      </c>
      <c r="O1881" s="2" t="s">
        <v>221</v>
      </c>
      <c r="P1881" s="2" t="s">
        <v>10097</v>
      </c>
      <c r="Q1881" s="2" t="s">
        <v>11910</v>
      </c>
      <c r="R1881" s="2" t="s">
        <v>40</v>
      </c>
      <c r="S1881" s="2" t="s">
        <v>11911</v>
      </c>
      <c r="T1881" s="2" t="s">
        <v>1408</v>
      </c>
      <c r="U1881" s="2" t="s">
        <v>11912</v>
      </c>
      <c r="V1881" s="2" t="s">
        <v>11913</v>
      </c>
      <c r="W1881" s="1"/>
      <c r="X1881" s="2" t="s">
        <v>300</v>
      </c>
      <c r="Y1881" s="2" t="s">
        <v>11114</v>
      </c>
      <c r="AA1881" t="str">
        <f t="shared" si="174"/>
        <v>2025-12</v>
      </c>
      <c r="AB1881" t="str">
        <f t="shared" si="175"/>
        <v/>
      </c>
      <c r="AC1881">
        <f t="shared" si="176"/>
        <v>1791726.16</v>
      </c>
      <c r="AD1881">
        <f t="shared" si="177"/>
        <v>140</v>
      </c>
      <c r="AE1881">
        <f t="shared" si="178"/>
        <v>541526.16</v>
      </c>
      <c r="AF1881" t="str">
        <f t="shared" si="179"/>
        <v>Paid</v>
      </c>
    </row>
    <row r="1882" spans="1:32" ht="17.25" thickBot="1" x14ac:dyDescent="0.35">
      <c r="A1882" s="2" t="s">
        <v>11914</v>
      </c>
      <c r="B1882" s="2" t="s">
        <v>27</v>
      </c>
      <c r="C1882" s="2" t="s">
        <v>28</v>
      </c>
      <c r="D1882" s="2" t="s">
        <v>97</v>
      </c>
      <c r="E1882" s="2" t="s">
        <v>11109</v>
      </c>
      <c r="F1882" s="2" t="s">
        <v>8445</v>
      </c>
      <c r="G1882" s="2" t="s">
        <v>32</v>
      </c>
      <c r="H1882" s="1"/>
      <c r="I1882" s="2" t="s">
        <v>33</v>
      </c>
      <c r="J1882" s="2" t="s">
        <v>34</v>
      </c>
      <c r="K1882" s="2" t="s">
        <v>1412</v>
      </c>
      <c r="L1882" s="2" t="s">
        <v>1413</v>
      </c>
      <c r="M1882" s="2" t="s">
        <v>84</v>
      </c>
      <c r="N1882" s="2" t="s">
        <v>38</v>
      </c>
      <c r="O1882" s="2" t="s">
        <v>141</v>
      </c>
      <c r="P1882" s="2" t="s">
        <v>11915</v>
      </c>
      <c r="Q1882" s="2" t="s">
        <v>133</v>
      </c>
      <c r="R1882" s="2" t="s">
        <v>40</v>
      </c>
      <c r="S1882" s="2" t="s">
        <v>11916</v>
      </c>
      <c r="T1882" s="2" t="s">
        <v>1417</v>
      </c>
      <c r="U1882" s="2" t="s">
        <v>11917</v>
      </c>
      <c r="V1882" s="2" t="s">
        <v>11918</v>
      </c>
      <c r="W1882" s="1"/>
      <c r="X1882" s="2" t="s">
        <v>11919</v>
      </c>
      <c r="Y1882" s="2" t="s">
        <v>11114</v>
      </c>
      <c r="AA1882" t="str">
        <f t="shared" si="174"/>
        <v>2025-12</v>
      </c>
      <c r="AB1882" t="str">
        <f t="shared" si="175"/>
        <v/>
      </c>
      <c r="AC1882">
        <f t="shared" si="176"/>
        <v>419787.36</v>
      </c>
      <c r="AD1882">
        <f t="shared" si="177"/>
        <v>30</v>
      </c>
      <c r="AE1882">
        <f t="shared" si="178"/>
        <v>214887.36</v>
      </c>
      <c r="AF1882" t="str">
        <f t="shared" si="179"/>
        <v>Paid</v>
      </c>
    </row>
    <row r="1883" spans="1:32" ht="17.25" thickBot="1" x14ac:dyDescent="0.35">
      <c r="A1883" s="2" t="s">
        <v>11920</v>
      </c>
      <c r="B1883" s="2" t="s">
        <v>27</v>
      </c>
      <c r="C1883" s="2" t="s">
        <v>28</v>
      </c>
      <c r="D1883" s="2" t="s">
        <v>97</v>
      </c>
      <c r="E1883" s="2" t="s">
        <v>11109</v>
      </c>
      <c r="F1883" s="2" t="s">
        <v>8445</v>
      </c>
      <c r="G1883" s="2" t="s">
        <v>32</v>
      </c>
      <c r="H1883" s="1"/>
      <c r="I1883" s="2" t="s">
        <v>33</v>
      </c>
      <c r="J1883" s="2" t="s">
        <v>34</v>
      </c>
      <c r="K1883" s="2" t="s">
        <v>1420</v>
      </c>
      <c r="L1883" s="2" t="s">
        <v>1421</v>
      </c>
      <c r="M1883" s="2" t="s">
        <v>84</v>
      </c>
      <c r="N1883" s="2" t="s">
        <v>38</v>
      </c>
      <c r="O1883" s="2" t="s">
        <v>214</v>
      </c>
      <c r="P1883" s="2" t="s">
        <v>7010</v>
      </c>
      <c r="Q1883" s="2" t="s">
        <v>11921</v>
      </c>
      <c r="R1883" s="2" t="s">
        <v>40</v>
      </c>
      <c r="S1883" s="2" t="s">
        <v>11922</v>
      </c>
      <c r="T1883" s="2" t="s">
        <v>1424</v>
      </c>
      <c r="U1883" s="2" t="s">
        <v>11923</v>
      </c>
      <c r="V1883" s="2" t="s">
        <v>11924</v>
      </c>
      <c r="W1883" s="1"/>
      <c r="X1883" s="2" t="s">
        <v>1222</v>
      </c>
      <c r="Y1883" s="2" t="s">
        <v>11114</v>
      </c>
      <c r="AA1883" t="str">
        <f t="shared" si="174"/>
        <v>2025-12</v>
      </c>
      <c r="AB1883" t="str">
        <f t="shared" si="175"/>
        <v/>
      </c>
      <c r="AC1883">
        <f t="shared" si="176"/>
        <v>400208.8</v>
      </c>
      <c r="AD1883">
        <f t="shared" si="177"/>
        <v>50</v>
      </c>
      <c r="AE1883">
        <f t="shared" si="178"/>
        <v>74708.800000000003</v>
      </c>
      <c r="AF1883" t="str">
        <f t="shared" si="179"/>
        <v>Paid</v>
      </c>
    </row>
    <row r="1884" spans="1:32" ht="17.25" thickBot="1" x14ac:dyDescent="0.35">
      <c r="A1884" s="2" t="s">
        <v>11925</v>
      </c>
      <c r="B1884" s="2" t="s">
        <v>27</v>
      </c>
      <c r="C1884" s="2" t="s">
        <v>28</v>
      </c>
      <c r="D1884" s="2" t="s">
        <v>97</v>
      </c>
      <c r="E1884" s="2" t="s">
        <v>11109</v>
      </c>
      <c r="F1884" s="2" t="s">
        <v>8445</v>
      </c>
      <c r="G1884" s="2" t="s">
        <v>32</v>
      </c>
      <c r="H1884" s="1"/>
      <c r="I1884" s="2" t="s">
        <v>33</v>
      </c>
      <c r="J1884" s="2" t="s">
        <v>34</v>
      </c>
      <c r="K1884" s="2" t="s">
        <v>1429</v>
      </c>
      <c r="L1884" s="2" t="s">
        <v>1430</v>
      </c>
      <c r="M1884" s="2" t="s">
        <v>84</v>
      </c>
      <c r="N1884" s="2" t="s">
        <v>38</v>
      </c>
      <c r="O1884" s="2" t="s">
        <v>466</v>
      </c>
      <c r="P1884" s="2" t="s">
        <v>9099</v>
      </c>
      <c r="Q1884" s="2" t="s">
        <v>11926</v>
      </c>
      <c r="R1884" s="2" t="s">
        <v>40</v>
      </c>
      <c r="S1884" s="2" t="s">
        <v>11927</v>
      </c>
      <c r="T1884" s="2" t="s">
        <v>1434</v>
      </c>
      <c r="U1884" s="2" t="s">
        <v>1153</v>
      </c>
      <c r="V1884" s="2" t="s">
        <v>11928</v>
      </c>
      <c r="W1884" s="1"/>
      <c r="X1884" s="2" t="s">
        <v>6730</v>
      </c>
      <c r="Y1884" s="2" t="s">
        <v>11114</v>
      </c>
      <c r="AA1884" t="str">
        <f t="shared" si="174"/>
        <v>2025-12</v>
      </c>
      <c r="AB1884" t="str">
        <f t="shared" si="175"/>
        <v/>
      </c>
      <c r="AC1884">
        <f t="shared" si="176"/>
        <v>840438.48</v>
      </c>
      <c r="AD1884">
        <f t="shared" si="177"/>
        <v>70</v>
      </c>
      <c r="AE1884">
        <f t="shared" si="178"/>
        <v>112438.48</v>
      </c>
      <c r="AF1884" t="str">
        <f t="shared" si="179"/>
        <v>Paid</v>
      </c>
    </row>
    <row r="1885" spans="1:32" ht="17.25" thickBot="1" x14ac:dyDescent="0.35">
      <c r="A1885" s="2" t="s">
        <v>11929</v>
      </c>
      <c r="B1885" s="2" t="s">
        <v>27</v>
      </c>
      <c r="C1885" s="2" t="s">
        <v>28</v>
      </c>
      <c r="D1885" s="2" t="s">
        <v>97</v>
      </c>
      <c r="E1885" s="2" t="s">
        <v>11109</v>
      </c>
      <c r="F1885" s="2" t="s">
        <v>8445</v>
      </c>
      <c r="G1885" s="2" t="s">
        <v>32</v>
      </c>
      <c r="H1885" s="1"/>
      <c r="I1885" s="2" t="s">
        <v>33</v>
      </c>
      <c r="J1885" s="2" t="s">
        <v>34</v>
      </c>
      <c r="K1885" s="2" t="s">
        <v>1439</v>
      </c>
      <c r="L1885" s="2" t="s">
        <v>1440</v>
      </c>
      <c r="M1885" s="2" t="s">
        <v>84</v>
      </c>
      <c r="N1885" s="2" t="s">
        <v>38</v>
      </c>
      <c r="O1885" s="2" t="s">
        <v>1904</v>
      </c>
      <c r="P1885" s="2" t="s">
        <v>11359</v>
      </c>
      <c r="Q1885" s="2" t="s">
        <v>11930</v>
      </c>
      <c r="R1885" s="2" t="s">
        <v>40</v>
      </c>
      <c r="S1885" s="2" t="s">
        <v>11931</v>
      </c>
      <c r="T1885" s="2" t="s">
        <v>1444</v>
      </c>
      <c r="U1885" s="2" t="s">
        <v>11932</v>
      </c>
      <c r="V1885" s="2" t="s">
        <v>11933</v>
      </c>
      <c r="W1885" s="1"/>
      <c r="X1885" s="2" t="s">
        <v>6735</v>
      </c>
      <c r="Y1885" s="2" t="s">
        <v>11114</v>
      </c>
      <c r="AA1885" t="str">
        <f t="shared" si="174"/>
        <v>2025-12</v>
      </c>
      <c r="AB1885" t="str">
        <f t="shared" si="175"/>
        <v/>
      </c>
      <c r="AC1885">
        <f t="shared" si="176"/>
        <v>1380720.36</v>
      </c>
      <c r="AD1885">
        <f t="shared" si="177"/>
        <v>230</v>
      </c>
      <c r="AE1885">
        <f t="shared" si="178"/>
        <v>124920.36</v>
      </c>
      <c r="AF1885" t="str">
        <f t="shared" si="179"/>
        <v>Paid</v>
      </c>
    </row>
    <row r="1886" spans="1:32" ht="17.25" thickBot="1" x14ac:dyDescent="0.35">
      <c r="A1886" s="2" t="s">
        <v>11934</v>
      </c>
      <c r="B1886" s="2" t="s">
        <v>27</v>
      </c>
      <c r="C1886" s="2" t="s">
        <v>28</v>
      </c>
      <c r="D1886" s="2" t="s">
        <v>97</v>
      </c>
      <c r="E1886" s="2" t="s">
        <v>11109</v>
      </c>
      <c r="F1886" s="2" t="s">
        <v>8445</v>
      </c>
      <c r="G1886" s="2" t="s">
        <v>32</v>
      </c>
      <c r="H1886" s="1"/>
      <c r="I1886" s="2" t="s">
        <v>33</v>
      </c>
      <c r="J1886" s="2" t="s">
        <v>34</v>
      </c>
      <c r="K1886" s="2" t="s">
        <v>6745</v>
      </c>
      <c r="L1886" s="2" t="s">
        <v>6746</v>
      </c>
      <c r="M1886" s="2" t="s">
        <v>84</v>
      </c>
      <c r="N1886" s="2" t="s">
        <v>38</v>
      </c>
      <c r="O1886" s="2" t="s">
        <v>131</v>
      </c>
      <c r="P1886" s="2" t="s">
        <v>10097</v>
      </c>
      <c r="Q1886" s="2" t="s">
        <v>11935</v>
      </c>
      <c r="R1886" s="2" t="s">
        <v>40</v>
      </c>
      <c r="S1886" s="2" t="s">
        <v>11936</v>
      </c>
      <c r="T1886" s="2" t="s">
        <v>706</v>
      </c>
      <c r="U1886" s="2" t="s">
        <v>11764</v>
      </c>
      <c r="V1886" s="2" t="s">
        <v>11937</v>
      </c>
      <c r="W1886" s="1"/>
      <c r="X1886" s="2" t="s">
        <v>3037</v>
      </c>
      <c r="Y1886" s="2" t="s">
        <v>11114</v>
      </c>
      <c r="AA1886" t="str">
        <f t="shared" si="174"/>
        <v>2025-12</v>
      </c>
      <c r="AB1886" t="str">
        <f t="shared" si="175"/>
        <v/>
      </c>
      <c r="AC1886">
        <f t="shared" si="176"/>
        <v>511921.76</v>
      </c>
      <c r="AD1886">
        <f t="shared" si="177"/>
        <v>40</v>
      </c>
      <c r="AE1886">
        <f t="shared" si="178"/>
        <v>175921.76</v>
      </c>
      <c r="AF1886" t="str">
        <f t="shared" si="179"/>
        <v>Paid</v>
      </c>
    </row>
    <row r="1887" spans="1:32" ht="17.25" thickBot="1" x14ac:dyDescent="0.35">
      <c r="A1887" s="2" t="s">
        <v>11938</v>
      </c>
      <c r="B1887" s="2" t="s">
        <v>27</v>
      </c>
      <c r="C1887" s="2" t="s">
        <v>28</v>
      </c>
      <c r="D1887" s="2" t="s">
        <v>97</v>
      </c>
      <c r="E1887" s="2" t="s">
        <v>11109</v>
      </c>
      <c r="F1887" s="2" t="s">
        <v>8445</v>
      </c>
      <c r="G1887" s="2" t="s">
        <v>32</v>
      </c>
      <c r="H1887" s="1"/>
      <c r="I1887" s="2" t="s">
        <v>33</v>
      </c>
      <c r="J1887" s="2" t="s">
        <v>34</v>
      </c>
      <c r="K1887" s="2" t="s">
        <v>4528</v>
      </c>
      <c r="L1887" s="2" t="s">
        <v>4529</v>
      </c>
      <c r="M1887" s="2" t="s">
        <v>84</v>
      </c>
      <c r="N1887" s="2" t="s">
        <v>38</v>
      </c>
      <c r="O1887" s="2" t="s">
        <v>2816</v>
      </c>
      <c r="P1887" s="2" t="s">
        <v>10097</v>
      </c>
      <c r="Q1887" s="2" t="s">
        <v>11939</v>
      </c>
      <c r="R1887" s="2" t="s">
        <v>40</v>
      </c>
      <c r="S1887" s="2" t="s">
        <v>11940</v>
      </c>
      <c r="T1887" s="2" t="s">
        <v>4531</v>
      </c>
      <c r="U1887" s="2" t="s">
        <v>11941</v>
      </c>
      <c r="V1887" s="2" t="s">
        <v>11942</v>
      </c>
      <c r="W1887" s="1"/>
      <c r="X1887" s="2" t="s">
        <v>1332</v>
      </c>
      <c r="Y1887" s="2" t="s">
        <v>11114</v>
      </c>
      <c r="AA1887" t="str">
        <f t="shared" si="174"/>
        <v>2025-12</v>
      </c>
      <c r="AB1887" t="str">
        <f t="shared" si="175"/>
        <v/>
      </c>
      <c r="AC1887">
        <f t="shared" si="176"/>
        <v>4351334.96</v>
      </c>
      <c r="AD1887">
        <f t="shared" si="177"/>
        <v>340</v>
      </c>
      <c r="AE1887">
        <f t="shared" si="178"/>
        <v>1155334.96</v>
      </c>
      <c r="AF1887" t="str">
        <f t="shared" si="179"/>
        <v>Paid</v>
      </c>
    </row>
    <row r="1888" spans="1:32" ht="17.25" thickBot="1" x14ac:dyDescent="0.35">
      <c r="A1888" s="2" t="s">
        <v>11943</v>
      </c>
      <c r="B1888" s="2" t="s">
        <v>27</v>
      </c>
      <c r="C1888" s="2" t="s">
        <v>28</v>
      </c>
      <c r="D1888" s="2" t="s">
        <v>97</v>
      </c>
      <c r="E1888" s="2" t="s">
        <v>11109</v>
      </c>
      <c r="F1888" s="2" t="s">
        <v>8445</v>
      </c>
      <c r="G1888" s="2" t="s">
        <v>32</v>
      </c>
      <c r="H1888" s="1"/>
      <c r="I1888" s="2" t="s">
        <v>33</v>
      </c>
      <c r="J1888" s="2" t="s">
        <v>34</v>
      </c>
      <c r="K1888" s="2" t="s">
        <v>1459</v>
      </c>
      <c r="L1888" s="2" t="s">
        <v>1460</v>
      </c>
      <c r="M1888" s="2" t="s">
        <v>84</v>
      </c>
      <c r="N1888" s="2" t="s">
        <v>38</v>
      </c>
      <c r="O1888" s="2" t="s">
        <v>391</v>
      </c>
      <c r="P1888" s="2" t="s">
        <v>284</v>
      </c>
      <c r="Q1888" s="2" t="s">
        <v>11944</v>
      </c>
      <c r="R1888" s="2" t="s">
        <v>40</v>
      </c>
      <c r="S1888" s="2" t="s">
        <v>11945</v>
      </c>
      <c r="T1888" s="2" t="s">
        <v>1417</v>
      </c>
      <c r="U1888" s="2" t="s">
        <v>1470</v>
      </c>
      <c r="V1888" s="2" t="s">
        <v>11946</v>
      </c>
      <c r="W1888" s="1"/>
      <c r="X1888" s="2" t="s">
        <v>4859</v>
      </c>
      <c r="Y1888" s="2" t="s">
        <v>11114</v>
      </c>
      <c r="AA1888" t="str">
        <f t="shared" si="174"/>
        <v>2025-12</v>
      </c>
      <c r="AB1888" t="str">
        <f t="shared" si="175"/>
        <v/>
      </c>
      <c r="AC1888">
        <f t="shared" si="176"/>
        <v>672005.28</v>
      </c>
      <c r="AD1888">
        <f t="shared" si="177"/>
        <v>60</v>
      </c>
      <c r="AE1888">
        <f t="shared" si="178"/>
        <v>262205.28000000003</v>
      </c>
      <c r="AF1888" t="str">
        <f t="shared" si="179"/>
        <v>Paid</v>
      </c>
    </row>
    <row r="1889" spans="1:32" ht="17.25" thickBot="1" x14ac:dyDescent="0.35">
      <c r="A1889" s="2" t="s">
        <v>11947</v>
      </c>
      <c r="B1889" s="2" t="s">
        <v>27</v>
      </c>
      <c r="C1889" s="2" t="s">
        <v>28</v>
      </c>
      <c r="D1889" s="2" t="s">
        <v>97</v>
      </c>
      <c r="E1889" s="2" t="s">
        <v>11109</v>
      </c>
      <c r="F1889" s="2" t="s">
        <v>8445</v>
      </c>
      <c r="G1889" s="2" t="s">
        <v>32</v>
      </c>
      <c r="H1889" s="1"/>
      <c r="I1889" s="2" t="s">
        <v>33</v>
      </c>
      <c r="J1889" s="2" t="s">
        <v>34</v>
      </c>
      <c r="K1889" s="2" t="s">
        <v>1466</v>
      </c>
      <c r="L1889" s="2" t="s">
        <v>1467</v>
      </c>
      <c r="M1889" s="2" t="s">
        <v>84</v>
      </c>
      <c r="N1889" s="2" t="s">
        <v>38</v>
      </c>
      <c r="O1889" s="2" t="s">
        <v>141</v>
      </c>
      <c r="P1889" s="2" t="s">
        <v>7296</v>
      </c>
      <c r="Q1889" s="2" t="s">
        <v>11948</v>
      </c>
      <c r="R1889" s="2" t="s">
        <v>40</v>
      </c>
      <c r="S1889" s="2" t="s">
        <v>11949</v>
      </c>
      <c r="T1889" s="2" t="s">
        <v>1417</v>
      </c>
      <c r="U1889" s="2" t="s">
        <v>11917</v>
      </c>
      <c r="V1889" s="2" t="s">
        <v>11950</v>
      </c>
      <c r="W1889" s="1"/>
      <c r="X1889" s="2" t="s">
        <v>1513</v>
      </c>
      <c r="Y1889" s="2" t="s">
        <v>11114</v>
      </c>
      <c r="AA1889" t="str">
        <f t="shared" si="174"/>
        <v>2025-12</v>
      </c>
      <c r="AB1889" t="str">
        <f t="shared" si="175"/>
        <v/>
      </c>
      <c r="AC1889">
        <f t="shared" si="176"/>
        <v>300156.59999999998</v>
      </c>
      <c r="AD1889">
        <f t="shared" si="177"/>
        <v>30</v>
      </c>
      <c r="AE1889">
        <f t="shared" si="178"/>
        <v>95256.6</v>
      </c>
      <c r="AF1889" t="str">
        <f t="shared" si="179"/>
        <v>Paid</v>
      </c>
    </row>
    <row r="1890" spans="1:32" ht="17.25" thickBot="1" x14ac:dyDescent="0.35">
      <c r="A1890" s="2" t="s">
        <v>11951</v>
      </c>
      <c r="B1890" s="2" t="s">
        <v>27</v>
      </c>
      <c r="C1890" s="2" t="s">
        <v>28</v>
      </c>
      <c r="D1890" s="2" t="s">
        <v>97</v>
      </c>
      <c r="E1890" s="2" t="s">
        <v>11109</v>
      </c>
      <c r="F1890" s="2" t="s">
        <v>8445</v>
      </c>
      <c r="G1890" s="2" t="s">
        <v>32</v>
      </c>
      <c r="H1890" s="1"/>
      <c r="I1890" s="2" t="s">
        <v>33</v>
      </c>
      <c r="J1890" s="2" t="s">
        <v>34</v>
      </c>
      <c r="K1890" s="2" t="s">
        <v>1474</v>
      </c>
      <c r="L1890" s="2" t="s">
        <v>1475</v>
      </c>
      <c r="M1890" s="2" t="s">
        <v>84</v>
      </c>
      <c r="N1890" s="2" t="s">
        <v>38</v>
      </c>
      <c r="O1890" s="2" t="s">
        <v>159</v>
      </c>
      <c r="P1890" s="2" t="s">
        <v>2182</v>
      </c>
      <c r="Q1890" s="2" t="s">
        <v>11952</v>
      </c>
      <c r="R1890" s="2" t="s">
        <v>40</v>
      </c>
      <c r="S1890" s="2" t="s">
        <v>11953</v>
      </c>
      <c r="T1890" s="2" t="s">
        <v>126</v>
      </c>
      <c r="U1890" s="2" t="s">
        <v>7170</v>
      </c>
      <c r="V1890" s="2" t="s">
        <v>11954</v>
      </c>
      <c r="W1890" s="1"/>
      <c r="X1890" s="2" t="s">
        <v>3037</v>
      </c>
      <c r="Y1890" s="2" t="s">
        <v>11114</v>
      </c>
      <c r="AA1890" t="str">
        <f t="shared" si="174"/>
        <v>2025-12</v>
      </c>
      <c r="AB1890" t="str">
        <f t="shared" si="175"/>
        <v/>
      </c>
      <c r="AC1890">
        <f t="shared" si="176"/>
        <v>768170.56</v>
      </c>
      <c r="AD1890">
        <f t="shared" si="177"/>
        <v>80</v>
      </c>
      <c r="AE1890">
        <f t="shared" si="178"/>
        <v>264170.56</v>
      </c>
      <c r="AF1890" t="str">
        <f t="shared" si="179"/>
        <v>Paid</v>
      </c>
    </row>
    <row r="1891" spans="1:32" ht="17.25" thickBot="1" x14ac:dyDescent="0.35">
      <c r="A1891" s="2" t="s">
        <v>11955</v>
      </c>
      <c r="B1891" s="2" t="s">
        <v>27</v>
      </c>
      <c r="C1891" s="2" t="s">
        <v>28</v>
      </c>
      <c r="D1891" s="2" t="s">
        <v>97</v>
      </c>
      <c r="E1891" s="2" t="s">
        <v>11109</v>
      </c>
      <c r="F1891" s="2" t="s">
        <v>8445</v>
      </c>
      <c r="G1891" s="2" t="s">
        <v>32</v>
      </c>
      <c r="H1891" s="1"/>
      <c r="I1891" s="2" t="s">
        <v>33</v>
      </c>
      <c r="J1891" s="2" t="s">
        <v>34</v>
      </c>
      <c r="K1891" s="2" t="s">
        <v>1482</v>
      </c>
      <c r="L1891" s="2" t="s">
        <v>1483</v>
      </c>
      <c r="M1891" s="2" t="s">
        <v>84</v>
      </c>
      <c r="N1891" s="2" t="s">
        <v>38</v>
      </c>
      <c r="O1891" s="2" t="s">
        <v>391</v>
      </c>
      <c r="P1891" s="2" t="s">
        <v>11956</v>
      </c>
      <c r="Q1891" s="2" t="s">
        <v>11957</v>
      </c>
      <c r="R1891" s="2" t="s">
        <v>40</v>
      </c>
      <c r="S1891" s="2" t="s">
        <v>11958</v>
      </c>
      <c r="T1891" s="2" t="s">
        <v>706</v>
      </c>
      <c r="U1891" s="2" t="s">
        <v>7170</v>
      </c>
      <c r="V1891" s="2" t="s">
        <v>11959</v>
      </c>
      <c r="W1891" s="1"/>
      <c r="X1891" s="2" t="s">
        <v>6894</v>
      </c>
      <c r="Y1891" s="2" t="s">
        <v>11114</v>
      </c>
      <c r="AA1891" t="str">
        <f t="shared" si="174"/>
        <v>2025-12</v>
      </c>
      <c r="AB1891" t="str">
        <f t="shared" si="175"/>
        <v/>
      </c>
      <c r="AC1891">
        <f t="shared" si="176"/>
        <v>710010.72</v>
      </c>
      <c r="AD1891">
        <f t="shared" si="177"/>
        <v>60</v>
      </c>
      <c r="AE1891">
        <f t="shared" si="178"/>
        <v>206010.72</v>
      </c>
      <c r="AF1891" t="str">
        <f t="shared" si="179"/>
        <v>Paid</v>
      </c>
    </row>
    <row r="1892" spans="1:32" ht="17.25" thickBot="1" x14ac:dyDescent="0.35">
      <c r="A1892" s="2" t="s">
        <v>11960</v>
      </c>
      <c r="B1892" s="2" t="s">
        <v>27</v>
      </c>
      <c r="C1892" s="2" t="s">
        <v>28</v>
      </c>
      <c r="D1892" s="2" t="s">
        <v>97</v>
      </c>
      <c r="E1892" s="2" t="s">
        <v>11109</v>
      </c>
      <c r="F1892" s="2" t="s">
        <v>8445</v>
      </c>
      <c r="G1892" s="2" t="s">
        <v>32</v>
      </c>
      <c r="H1892" s="1"/>
      <c r="I1892" s="2" t="s">
        <v>33</v>
      </c>
      <c r="J1892" s="2" t="s">
        <v>34</v>
      </c>
      <c r="K1892" s="2" t="s">
        <v>1496</v>
      </c>
      <c r="L1892" s="2" t="s">
        <v>1497</v>
      </c>
      <c r="M1892" s="2" t="s">
        <v>84</v>
      </c>
      <c r="N1892" s="2" t="s">
        <v>38</v>
      </c>
      <c r="O1892" s="2" t="s">
        <v>141</v>
      </c>
      <c r="P1892" s="2" t="s">
        <v>7296</v>
      </c>
      <c r="Q1892" s="2" t="s">
        <v>11948</v>
      </c>
      <c r="R1892" s="2" t="s">
        <v>40</v>
      </c>
      <c r="S1892" s="2" t="s">
        <v>11949</v>
      </c>
      <c r="T1892" s="2" t="s">
        <v>1501</v>
      </c>
      <c r="U1892" s="2" t="s">
        <v>11961</v>
      </c>
      <c r="V1892" s="2" t="s">
        <v>11962</v>
      </c>
      <c r="W1892" s="1"/>
      <c r="X1892" s="2" t="s">
        <v>9560</v>
      </c>
      <c r="Y1892" s="2" t="s">
        <v>11114</v>
      </c>
      <c r="AA1892" t="str">
        <f t="shared" si="174"/>
        <v>2025-12</v>
      </c>
      <c r="AB1892" t="str">
        <f t="shared" si="175"/>
        <v/>
      </c>
      <c r="AC1892">
        <f t="shared" si="176"/>
        <v>300156.59999999998</v>
      </c>
      <c r="AD1892">
        <f t="shared" si="177"/>
        <v>30</v>
      </c>
      <c r="AE1892">
        <f t="shared" si="178"/>
        <v>92256.6</v>
      </c>
      <c r="AF1892" t="str">
        <f t="shared" si="179"/>
        <v>Paid</v>
      </c>
    </row>
    <row r="1893" spans="1:32" ht="17.25" thickBot="1" x14ac:dyDescent="0.35">
      <c r="A1893" s="2" t="s">
        <v>11963</v>
      </c>
      <c r="B1893" s="2" t="s">
        <v>27</v>
      </c>
      <c r="C1893" s="2" t="s">
        <v>28</v>
      </c>
      <c r="D1893" s="2" t="s">
        <v>97</v>
      </c>
      <c r="E1893" s="2" t="s">
        <v>11109</v>
      </c>
      <c r="F1893" s="2" t="s">
        <v>8445</v>
      </c>
      <c r="G1893" s="2" t="s">
        <v>32</v>
      </c>
      <c r="H1893" s="1"/>
      <c r="I1893" s="2" t="s">
        <v>33</v>
      </c>
      <c r="J1893" s="2" t="s">
        <v>34</v>
      </c>
      <c r="K1893" s="2" t="s">
        <v>1505</v>
      </c>
      <c r="L1893" s="2" t="s">
        <v>1506</v>
      </c>
      <c r="M1893" s="2" t="s">
        <v>84</v>
      </c>
      <c r="N1893" s="2" t="s">
        <v>38</v>
      </c>
      <c r="O1893" s="2" t="s">
        <v>8965</v>
      </c>
      <c r="P1893" s="2" t="s">
        <v>4928</v>
      </c>
      <c r="Q1893" s="2" t="s">
        <v>11964</v>
      </c>
      <c r="R1893" s="2" t="s">
        <v>40</v>
      </c>
      <c r="S1893" s="2" t="s">
        <v>11965</v>
      </c>
      <c r="T1893" s="2" t="s">
        <v>1417</v>
      </c>
      <c r="U1893" s="2" t="s">
        <v>11966</v>
      </c>
      <c r="V1893" s="2" t="s">
        <v>11967</v>
      </c>
      <c r="W1893" s="1"/>
      <c r="X1893" s="2" t="s">
        <v>6770</v>
      </c>
      <c r="Y1893" s="2" t="s">
        <v>11114</v>
      </c>
      <c r="AA1893" t="str">
        <f t="shared" si="174"/>
        <v>2025-12</v>
      </c>
      <c r="AB1893" t="str">
        <f t="shared" si="175"/>
        <v/>
      </c>
      <c r="AC1893">
        <f t="shared" si="176"/>
        <v>16627380</v>
      </c>
      <c r="AD1893">
        <f t="shared" si="177"/>
        <v>1750</v>
      </c>
      <c r="AE1893">
        <f t="shared" si="178"/>
        <v>4674880</v>
      </c>
      <c r="AF1893" t="str">
        <f t="shared" si="179"/>
        <v>Paid</v>
      </c>
    </row>
    <row r="1894" spans="1:32" ht="27.75" thickBot="1" x14ac:dyDescent="0.35">
      <c r="A1894" s="2" t="s">
        <v>11968</v>
      </c>
      <c r="B1894" s="2" t="s">
        <v>27</v>
      </c>
      <c r="C1894" s="2" t="s">
        <v>28</v>
      </c>
      <c r="D1894" s="2" t="s">
        <v>97</v>
      </c>
      <c r="E1894" s="2" t="s">
        <v>11109</v>
      </c>
      <c r="F1894" s="2" t="s">
        <v>8445</v>
      </c>
      <c r="G1894" s="2" t="s">
        <v>32</v>
      </c>
      <c r="H1894" s="1"/>
      <c r="I1894" s="2" t="s">
        <v>33</v>
      </c>
      <c r="J1894" s="2" t="s">
        <v>34</v>
      </c>
      <c r="K1894" s="2" t="s">
        <v>3168</v>
      </c>
      <c r="L1894" s="2" t="s">
        <v>3169</v>
      </c>
      <c r="M1894" s="2" t="s">
        <v>3160</v>
      </c>
      <c r="N1894" s="2" t="s">
        <v>38</v>
      </c>
      <c r="O1894" s="2" t="s">
        <v>141</v>
      </c>
      <c r="P1894" s="2" t="s">
        <v>11969</v>
      </c>
      <c r="Q1894" s="2" t="s">
        <v>11970</v>
      </c>
      <c r="R1894" s="2" t="s">
        <v>40</v>
      </c>
      <c r="S1894" s="2" t="s">
        <v>11971</v>
      </c>
      <c r="T1894" s="2" t="s">
        <v>3173</v>
      </c>
      <c r="U1894" s="2" t="s">
        <v>3174</v>
      </c>
      <c r="V1894" s="2" t="s">
        <v>11972</v>
      </c>
      <c r="W1894" s="1"/>
      <c r="X1894" s="2" t="s">
        <v>3176</v>
      </c>
      <c r="Y1894" s="2" t="s">
        <v>11114</v>
      </c>
      <c r="AA1894" t="str">
        <f t="shared" si="174"/>
        <v>2025-12</v>
      </c>
      <c r="AB1894" t="str">
        <f t="shared" si="175"/>
        <v/>
      </c>
      <c r="AC1894">
        <f t="shared" si="176"/>
        <v>45779.28</v>
      </c>
      <c r="AD1894">
        <f t="shared" si="177"/>
        <v>30</v>
      </c>
      <c r="AE1894">
        <f t="shared" si="178"/>
        <v>8142.92</v>
      </c>
      <c r="AF1894" t="str">
        <f t="shared" si="179"/>
        <v>Paid</v>
      </c>
    </row>
    <row r="1895" spans="1:32" ht="17.25" thickBot="1" x14ac:dyDescent="0.35">
      <c r="A1895" s="2" t="s">
        <v>11973</v>
      </c>
      <c r="B1895" s="2" t="s">
        <v>27</v>
      </c>
      <c r="C1895" s="2" t="s">
        <v>28</v>
      </c>
      <c r="D1895" s="2" t="s">
        <v>97</v>
      </c>
      <c r="E1895" s="2" t="s">
        <v>11109</v>
      </c>
      <c r="F1895" s="2" t="s">
        <v>8445</v>
      </c>
      <c r="G1895" s="2" t="s">
        <v>32</v>
      </c>
      <c r="H1895" s="1"/>
      <c r="I1895" s="2" t="s">
        <v>33</v>
      </c>
      <c r="J1895" s="2" t="s">
        <v>34</v>
      </c>
      <c r="K1895" s="2" t="s">
        <v>11974</v>
      </c>
      <c r="L1895" s="2" t="s">
        <v>11975</v>
      </c>
      <c r="M1895" s="2" t="s">
        <v>3198</v>
      </c>
      <c r="N1895" s="2" t="s">
        <v>38</v>
      </c>
      <c r="O1895" s="2" t="s">
        <v>141</v>
      </c>
      <c r="P1895" s="2" t="s">
        <v>8743</v>
      </c>
      <c r="Q1895" s="2" t="s">
        <v>11976</v>
      </c>
      <c r="R1895" s="2" t="s">
        <v>40</v>
      </c>
      <c r="S1895" s="2" t="s">
        <v>11977</v>
      </c>
      <c r="T1895" s="2" t="s">
        <v>3272</v>
      </c>
      <c r="U1895" s="2" t="s">
        <v>11978</v>
      </c>
      <c r="V1895" s="2" t="s">
        <v>11979</v>
      </c>
      <c r="W1895" s="1"/>
      <c r="X1895" s="2" t="s">
        <v>3205</v>
      </c>
      <c r="Y1895" s="2" t="s">
        <v>11114</v>
      </c>
      <c r="AA1895" t="str">
        <f t="shared" si="174"/>
        <v>2025-12</v>
      </c>
      <c r="AB1895" t="str">
        <f t="shared" si="175"/>
        <v/>
      </c>
      <c r="AC1895">
        <f t="shared" si="176"/>
        <v>234510.84</v>
      </c>
      <c r="AD1895">
        <f t="shared" si="177"/>
        <v>30</v>
      </c>
      <c r="AE1895">
        <f t="shared" si="178"/>
        <v>34410.839999999997</v>
      </c>
      <c r="AF1895" t="str">
        <f t="shared" si="179"/>
        <v>Paid</v>
      </c>
    </row>
    <row r="1896" spans="1:32" ht="17.25" thickBot="1" x14ac:dyDescent="0.35">
      <c r="A1896" s="2" t="s">
        <v>11980</v>
      </c>
      <c r="B1896" s="2" t="s">
        <v>27</v>
      </c>
      <c r="C1896" s="2" t="s">
        <v>28</v>
      </c>
      <c r="D1896" s="2" t="s">
        <v>97</v>
      </c>
      <c r="E1896" s="2" t="s">
        <v>11109</v>
      </c>
      <c r="F1896" s="2" t="s">
        <v>8445</v>
      </c>
      <c r="G1896" s="2" t="s">
        <v>32</v>
      </c>
      <c r="H1896" s="1"/>
      <c r="I1896" s="2" t="s">
        <v>33</v>
      </c>
      <c r="J1896" s="2" t="s">
        <v>34</v>
      </c>
      <c r="K1896" s="2" t="s">
        <v>11981</v>
      </c>
      <c r="L1896" s="2" t="s">
        <v>11982</v>
      </c>
      <c r="M1896" s="2" t="s">
        <v>3198</v>
      </c>
      <c r="N1896" s="2" t="s">
        <v>38</v>
      </c>
      <c r="O1896" s="2" t="s">
        <v>79</v>
      </c>
      <c r="P1896" s="2" t="s">
        <v>774</v>
      </c>
      <c r="Q1896" s="2" t="s">
        <v>11983</v>
      </c>
      <c r="R1896" s="2" t="s">
        <v>40</v>
      </c>
      <c r="S1896" s="2" t="s">
        <v>11984</v>
      </c>
      <c r="T1896" s="2" t="s">
        <v>11985</v>
      </c>
      <c r="U1896" s="2" t="s">
        <v>11986</v>
      </c>
      <c r="V1896" s="2" t="s">
        <v>11987</v>
      </c>
      <c r="W1896" s="1"/>
      <c r="X1896" s="2" t="s">
        <v>11988</v>
      </c>
      <c r="Y1896" s="2" t="s">
        <v>11114</v>
      </c>
      <c r="AA1896" t="str">
        <f t="shared" si="174"/>
        <v>2025-12</v>
      </c>
      <c r="AB1896" t="str">
        <f t="shared" si="175"/>
        <v/>
      </c>
      <c r="AC1896">
        <f t="shared" si="176"/>
        <v>84936.4</v>
      </c>
      <c r="AD1896">
        <f t="shared" si="177"/>
        <v>10</v>
      </c>
      <c r="AE1896">
        <f t="shared" si="178"/>
        <v>12436.4</v>
      </c>
      <c r="AF1896" t="str">
        <f t="shared" si="179"/>
        <v>Paid</v>
      </c>
    </row>
    <row r="1897" spans="1:32" ht="17.25" thickBot="1" x14ac:dyDescent="0.35">
      <c r="A1897" s="2" t="s">
        <v>11989</v>
      </c>
      <c r="B1897" s="2" t="s">
        <v>27</v>
      </c>
      <c r="C1897" s="2" t="s">
        <v>28</v>
      </c>
      <c r="D1897" s="2" t="s">
        <v>97</v>
      </c>
      <c r="E1897" s="2" t="s">
        <v>11109</v>
      </c>
      <c r="F1897" s="2" t="s">
        <v>8445</v>
      </c>
      <c r="G1897" s="2" t="s">
        <v>32</v>
      </c>
      <c r="H1897" s="1"/>
      <c r="I1897" s="2" t="s">
        <v>33</v>
      </c>
      <c r="J1897" s="2" t="s">
        <v>34</v>
      </c>
      <c r="K1897" s="2" t="s">
        <v>10042</v>
      </c>
      <c r="L1897" s="2" t="s">
        <v>10043</v>
      </c>
      <c r="M1897" s="2" t="s">
        <v>1757</v>
      </c>
      <c r="N1897" s="2" t="s">
        <v>38</v>
      </c>
      <c r="O1897" s="2" t="s">
        <v>159</v>
      </c>
      <c r="P1897" s="2" t="s">
        <v>9528</v>
      </c>
      <c r="Q1897" s="2" t="s">
        <v>11990</v>
      </c>
      <c r="R1897" s="2" t="s">
        <v>40</v>
      </c>
      <c r="S1897" s="2" t="s">
        <v>11991</v>
      </c>
      <c r="T1897" s="2" t="s">
        <v>11992</v>
      </c>
      <c r="U1897" s="2" t="s">
        <v>11993</v>
      </c>
      <c r="V1897" s="2" t="s">
        <v>11994</v>
      </c>
      <c r="W1897" s="1"/>
      <c r="X1897" s="2" t="s">
        <v>8557</v>
      </c>
      <c r="Y1897" s="2" t="s">
        <v>11114</v>
      </c>
      <c r="AA1897" t="str">
        <f t="shared" si="174"/>
        <v>2025-12</v>
      </c>
      <c r="AB1897" t="str">
        <f t="shared" si="175"/>
        <v/>
      </c>
      <c r="AC1897">
        <f t="shared" si="176"/>
        <v>562019.83999999997</v>
      </c>
      <c r="AD1897">
        <f t="shared" si="177"/>
        <v>80</v>
      </c>
      <c r="AE1897">
        <f t="shared" si="178"/>
        <v>239139.84</v>
      </c>
      <c r="AF1897" t="str">
        <f t="shared" si="179"/>
        <v>Paid</v>
      </c>
    </row>
    <row r="1898" spans="1:32" ht="17.25" thickBot="1" x14ac:dyDescent="0.35">
      <c r="A1898" s="2" t="s">
        <v>11995</v>
      </c>
      <c r="B1898" s="2" t="s">
        <v>27</v>
      </c>
      <c r="C1898" s="2" t="s">
        <v>28</v>
      </c>
      <c r="D1898" s="2" t="s">
        <v>97</v>
      </c>
      <c r="E1898" s="2" t="s">
        <v>11109</v>
      </c>
      <c r="F1898" s="2" t="s">
        <v>8445</v>
      </c>
      <c r="G1898" s="2" t="s">
        <v>32</v>
      </c>
      <c r="H1898" s="1"/>
      <c r="I1898" s="2" t="s">
        <v>33</v>
      </c>
      <c r="J1898" s="2" t="s">
        <v>34</v>
      </c>
      <c r="K1898" s="2" t="s">
        <v>10051</v>
      </c>
      <c r="L1898" s="2" t="s">
        <v>10052</v>
      </c>
      <c r="M1898" s="2" t="s">
        <v>8178</v>
      </c>
      <c r="N1898" s="2" t="s">
        <v>38</v>
      </c>
      <c r="O1898" s="2" t="s">
        <v>323</v>
      </c>
      <c r="P1898" s="2" t="s">
        <v>5398</v>
      </c>
      <c r="Q1898" s="2" t="s">
        <v>11996</v>
      </c>
      <c r="R1898" s="2" t="s">
        <v>40</v>
      </c>
      <c r="S1898" s="2" t="s">
        <v>11997</v>
      </c>
      <c r="T1898" s="2" t="s">
        <v>2275</v>
      </c>
      <c r="U1898" s="2" t="s">
        <v>8854</v>
      </c>
      <c r="V1898" s="2" t="s">
        <v>11998</v>
      </c>
      <c r="W1898" s="1"/>
      <c r="X1898" s="2" t="s">
        <v>796</v>
      </c>
      <c r="Y1898" s="2" t="s">
        <v>11114</v>
      </c>
      <c r="AA1898" t="str">
        <f t="shared" si="174"/>
        <v>2025-12</v>
      </c>
      <c r="AB1898" t="str">
        <f t="shared" si="175"/>
        <v/>
      </c>
      <c r="AC1898">
        <f t="shared" si="176"/>
        <v>222331.82</v>
      </c>
      <c r="AD1898">
        <f t="shared" si="177"/>
        <v>39</v>
      </c>
      <c r="AE1898">
        <f t="shared" si="178"/>
        <v>46831.82</v>
      </c>
      <c r="AF1898" t="str">
        <f t="shared" si="179"/>
        <v>Paid</v>
      </c>
    </row>
    <row r="1899" spans="1:32" ht="17.25" thickBot="1" x14ac:dyDescent="0.35">
      <c r="A1899" s="2" t="s">
        <v>11999</v>
      </c>
      <c r="B1899" s="2" t="s">
        <v>27</v>
      </c>
      <c r="C1899" s="2" t="s">
        <v>28</v>
      </c>
      <c r="D1899" s="2" t="s">
        <v>97</v>
      </c>
      <c r="E1899" s="2" t="s">
        <v>11109</v>
      </c>
      <c r="F1899" s="2" t="s">
        <v>8445</v>
      </c>
      <c r="G1899" s="2" t="s">
        <v>32</v>
      </c>
      <c r="H1899" s="1"/>
      <c r="I1899" s="2" t="s">
        <v>33</v>
      </c>
      <c r="J1899" s="2" t="s">
        <v>34</v>
      </c>
      <c r="K1899" s="2" t="s">
        <v>3218</v>
      </c>
      <c r="L1899" s="2" t="s">
        <v>3219</v>
      </c>
      <c r="M1899" s="2" t="s">
        <v>3209</v>
      </c>
      <c r="N1899" s="2" t="s">
        <v>38</v>
      </c>
      <c r="O1899" s="2" t="s">
        <v>877</v>
      </c>
      <c r="P1899" s="2" t="s">
        <v>4964</v>
      </c>
      <c r="Q1899" s="2" t="s">
        <v>12000</v>
      </c>
      <c r="R1899" s="2" t="s">
        <v>40</v>
      </c>
      <c r="S1899" s="2" t="s">
        <v>12001</v>
      </c>
      <c r="T1899" s="2" t="s">
        <v>3213</v>
      </c>
      <c r="U1899" s="2" t="s">
        <v>10070</v>
      </c>
      <c r="V1899" s="2" t="s">
        <v>12002</v>
      </c>
      <c r="W1899" s="1"/>
      <c r="X1899" s="2" t="s">
        <v>3216</v>
      </c>
      <c r="Y1899" s="2" t="s">
        <v>11114</v>
      </c>
      <c r="AA1899" t="str">
        <f t="shared" si="174"/>
        <v>2025-12</v>
      </c>
      <c r="AB1899" t="str">
        <f t="shared" si="175"/>
        <v/>
      </c>
      <c r="AC1899">
        <f t="shared" si="176"/>
        <v>623346.80000000005</v>
      </c>
      <c r="AD1899">
        <f t="shared" si="177"/>
        <v>100</v>
      </c>
      <c r="AE1899">
        <f t="shared" si="178"/>
        <v>103346.8</v>
      </c>
      <c r="AF1899" t="str">
        <f t="shared" si="179"/>
        <v>Paid</v>
      </c>
    </row>
    <row r="1900" spans="1:32" ht="17.25" thickBot="1" x14ac:dyDescent="0.35">
      <c r="A1900" s="2" t="s">
        <v>12003</v>
      </c>
      <c r="B1900" s="2" t="s">
        <v>27</v>
      </c>
      <c r="C1900" s="2" t="s">
        <v>28</v>
      </c>
      <c r="D1900" s="2" t="s">
        <v>97</v>
      </c>
      <c r="E1900" s="2" t="s">
        <v>11109</v>
      </c>
      <c r="F1900" s="2" t="s">
        <v>8445</v>
      </c>
      <c r="G1900" s="2" t="s">
        <v>32</v>
      </c>
      <c r="H1900" s="1"/>
      <c r="I1900" s="2" t="s">
        <v>33</v>
      </c>
      <c r="J1900" s="2" t="s">
        <v>34</v>
      </c>
      <c r="K1900" s="2" t="s">
        <v>3240</v>
      </c>
      <c r="L1900" s="2" t="s">
        <v>3241</v>
      </c>
      <c r="M1900" s="2" t="s">
        <v>3227</v>
      </c>
      <c r="N1900" s="2" t="s">
        <v>38</v>
      </c>
      <c r="O1900" s="2" t="s">
        <v>272</v>
      </c>
      <c r="P1900" s="2" t="s">
        <v>1520</v>
      </c>
      <c r="Q1900" s="2" t="s">
        <v>12004</v>
      </c>
      <c r="R1900" s="2" t="s">
        <v>40</v>
      </c>
      <c r="S1900" s="2" t="s">
        <v>12005</v>
      </c>
      <c r="T1900" s="2" t="s">
        <v>3213</v>
      </c>
      <c r="U1900" s="2" t="s">
        <v>5249</v>
      </c>
      <c r="V1900" s="2" t="s">
        <v>12006</v>
      </c>
      <c r="W1900" s="1"/>
      <c r="X1900" s="2" t="s">
        <v>1073</v>
      </c>
      <c r="Y1900" s="2" t="s">
        <v>11114</v>
      </c>
      <c r="AA1900" t="str">
        <f t="shared" si="174"/>
        <v>2025-12</v>
      </c>
      <c r="AB1900" t="str">
        <f t="shared" si="175"/>
        <v/>
      </c>
      <c r="AC1900">
        <f t="shared" si="176"/>
        <v>239347.9</v>
      </c>
      <c r="AD1900">
        <f t="shared" si="177"/>
        <v>34</v>
      </c>
      <c r="AE1900">
        <f t="shared" si="178"/>
        <v>62547.9</v>
      </c>
      <c r="AF1900" t="str">
        <f t="shared" si="179"/>
        <v>Paid</v>
      </c>
    </row>
    <row r="1901" spans="1:32" ht="17.25" thickBot="1" x14ac:dyDescent="0.35">
      <c r="A1901" s="2" t="s">
        <v>12007</v>
      </c>
      <c r="B1901" s="2" t="s">
        <v>27</v>
      </c>
      <c r="C1901" s="2" t="s">
        <v>28</v>
      </c>
      <c r="D1901" s="2" t="s">
        <v>97</v>
      </c>
      <c r="E1901" s="2" t="s">
        <v>11109</v>
      </c>
      <c r="F1901" s="2" t="s">
        <v>8445</v>
      </c>
      <c r="G1901" s="2" t="s">
        <v>32</v>
      </c>
      <c r="H1901" s="1"/>
      <c r="I1901" s="2" t="s">
        <v>33</v>
      </c>
      <c r="J1901" s="2" t="s">
        <v>34</v>
      </c>
      <c r="K1901" s="2" t="s">
        <v>8191</v>
      </c>
      <c r="L1901" s="2" t="s">
        <v>8192</v>
      </c>
      <c r="M1901" s="2" t="s">
        <v>3227</v>
      </c>
      <c r="N1901" s="2" t="s">
        <v>38</v>
      </c>
      <c r="O1901" s="2" t="s">
        <v>66</v>
      </c>
      <c r="P1901" s="2" t="s">
        <v>12008</v>
      </c>
      <c r="Q1901" s="2" t="s">
        <v>12009</v>
      </c>
      <c r="R1901" s="2" t="s">
        <v>40</v>
      </c>
      <c r="S1901" s="2" t="s">
        <v>12010</v>
      </c>
      <c r="T1901" s="2" t="s">
        <v>8195</v>
      </c>
      <c r="U1901" s="2" t="s">
        <v>12011</v>
      </c>
      <c r="V1901" s="2" t="s">
        <v>12012</v>
      </c>
      <c r="W1901" s="1"/>
      <c r="X1901" s="2" t="s">
        <v>8198</v>
      </c>
      <c r="Y1901" s="2" t="s">
        <v>11114</v>
      </c>
      <c r="AA1901" t="str">
        <f t="shared" si="174"/>
        <v>2025-12</v>
      </c>
      <c r="AB1901" t="str">
        <f t="shared" si="175"/>
        <v/>
      </c>
      <c r="AC1901">
        <f t="shared" si="176"/>
        <v>67603.62</v>
      </c>
      <c r="AD1901">
        <f t="shared" si="177"/>
        <v>8</v>
      </c>
      <c r="AE1901">
        <f t="shared" si="178"/>
        <v>17683.62</v>
      </c>
      <c r="AF1901" t="str">
        <f t="shared" si="179"/>
        <v>Paid</v>
      </c>
    </row>
    <row r="1902" spans="1:32" ht="17.25" thickBot="1" x14ac:dyDescent="0.35">
      <c r="A1902" s="2" t="s">
        <v>12013</v>
      </c>
      <c r="B1902" s="2" t="s">
        <v>27</v>
      </c>
      <c r="C1902" s="2" t="s">
        <v>28</v>
      </c>
      <c r="D1902" s="2" t="s">
        <v>97</v>
      </c>
      <c r="E1902" s="2" t="s">
        <v>11109</v>
      </c>
      <c r="F1902" s="2" t="s">
        <v>8445</v>
      </c>
      <c r="G1902" s="2" t="s">
        <v>32</v>
      </c>
      <c r="H1902" s="1"/>
      <c r="I1902" s="2" t="s">
        <v>33</v>
      </c>
      <c r="J1902" s="2" t="s">
        <v>34</v>
      </c>
      <c r="K1902" s="2" t="s">
        <v>10165</v>
      </c>
      <c r="L1902" s="2" t="s">
        <v>10166</v>
      </c>
      <c r="M1902" s="2" t="s">
        <v>7510</v>
      </c>
      <c r="N1902" s="2" t="s">
        <v>38</v>
      </c>
      <c r="O1902" s="2" t="s">
        <v>779</v>
      </c>
      <c r="P1902" s="2" t="s">
        <v>7644</v>
      </c>
      <c r="Q1902" s="2" t="s">
        <v>12014</v>
      </c>
      <c r="R1902" s="2" t="s">
        <v>40</v>
      </c>
      <c r="S1902" s="2" t="s">
        <v>12015</v>
      </c>
      <c r="T1902" s="2" t="s">
        <v>2101</v>
      </c>
      <c r="U1902" s="2" t="s">
        <v>12016</v>
      </c>
      <c r="V1902" s="2" t="s">
        <v>12017</v>
      </c>
      <c r="W1902" s="1"/>
      <c r="X1902" s="2" t="s">
        <v>796</v>
      </c>
      <c r="Y1902" s="2" t="s">
        <v>12018</v>
      </c>
      <c r="AA1902" t="str">
        <f t="shared" si="174"/>
        <v>2025-12</v>
      </c>
      <c r="AB1902" t="str">
        <f t="shared" si="175"/>
        <v/>
      </c>
      <c r="AC1902">
        <f t="shared" si="176"/>
        <v>821435.76</v>
      </c>
      <c r="AD1902">
        <f t="shared" si="177"/>
        <v>90</v>
      </c>
      <c r="AE1902">
        <f t="shared" si="178"/>
        <v>173435.76</v>
      </c>
      <c r="AF1902" t="str">
        <f t="shared" si="179"/>
        <v>Paid</v>
      </c>
    </row>
    <row r="1903" spans="1:32" ht="17.25" thickBot="1" x14ac:dyDescent="0.35">
      <c r="A1903" s="2" t="s">
        <v>12019</v>
      </c>
      <c r="B1903" s="2" t="s">
        <v>27</v>
      </c>
      <c r="C1903" s="2" t="s">
        <v>28</v>
      </c>
      <c r="D1903" s="2" t="s">
        <v>97</v>
      </c>
      <c r="E1903" s="2" t="s">
        <v>11109</v>
      </c>
      <c r="F1903" s="2" t="s">
        <v>8445</v>
      </c>
      <c r="G1903" s="2" t="s">
        <v>32</v>
      </c>
      <c r="H1903" s="1"/>
      <c r="I1903" s="2" t="s">
        <v>33</v>
      </c>
      <c r="J1903" s="2" t="s">
        <v>34</v>
      </c>
      <c r="K1903" s="2" t="s">
        <v>11083</v>
      </c>
      <c r="L1903" s="2" t="s">
        <v>11084</v>
      </c>
      <c r="M1903" s="2" t="s">
        <v>7510</v>
      </c>
      <c r="N1903" s="2" t="s">
        <v>38</v>
      </c>
      <c r="O1903" s="2" t="s">
        <v>2609</v>
      </c>
      <c r="P1903" s="2" t="s">
        <v>7644</v>
      </c>
      <c r="Q1903" s="2" t="s">
        <v>12020</v>
      </c>
      <c r="R1903" s="2" t="s">
        <v>40</v>
      </c>
      <c r="S1903" s="2" t="s">
        <v>12021</v>
      </c>
      <c r="T1903" s="2" t="s">
        <v>2101</v>
      </c>
      <c r="U1903" s="2" t="s">
        <v>12022</v>
      </c>
      <c r="V1903" s="2" t="s">
        <v>12023</v>
      </c>
      <c r="W1903" s="1"/>
      <c r="X1903" s="2" t="s">
        <v>796</v>
      </c>
      <c r="Y1903" s="2" t="s">
        <v>12018</v>
      </c>
      <c r="AA1903" t="str">
        <f t="shared" si="174"/>
        <v>2025-12</v>
      </c>
      <c r="AB1903" t="str">
        <f t="shared" si="175"/>
        <v/>
      </c>
      <c r="AC1903">
        <f t="shared" si="176"/>
        <v>2875025.16</v>
      </c>
      <c r="AD1903">
        <f t="shared" si="177"/>
        <v>315</v>
      </c>
      <c r="AE1903">
        <f t="shared" si="178"/>
        <v>607025.16</v>
      </c>
      <c r="AF1903" t="str">
        <f t="shared" si="179"/>
        <v>Paid</v>
      </c>
    </row>
    <row r="1904" spans="1:32" ht="27.75" thickBot="1" x14ac:dyDescent="0.35">
      <c r="A1904" s="2" t="s">
        <v>12024</v>
      </c>
      <c r="B1904" s="2" t="s">
        <v>27</v>
      </c>
      <c r="C1904" s="2" t="s">
        <v>28</v>
      </c>
      <c r="D1904" s="2" t="s">
        <v>97</v>
      </c>
      <c r="E1904" s="2" t="s">
        <v>11109</v>
      </c>
      <c r="F1904" s="2" t="s">
        <v>8445</v>
      </c>
      <c r="G1904" s="2" t="s">
        <v>32</v>
      </c>
      <c r="H1904" s="1"/>
      <c r="I1904" s="2" t="s">
        <v>33</v>
      </c>
      <c r="J1904" s="2" t="s">
        <v>34</v>
      </c>
      <c r="K1904" s="2" t="s">
        <v>12025</v>
      </c>
      <c r="L1904" s="2" t="s">
        <v>12026</v>
      </c>
      <c r="M1904" s="2" t="s">
        <v>7510</v>
      </c>
      <c r="N1904" s="2" t="s">
        <v>38</v>
      </c>
      <c r="O1904" s="2" t="s">
        <v>159</v>
      </c>
      <c r="P1904" s="2" t="s">
        <v>8791</v>
      </c>
      <c r="Q1904" s="2" t="s">
        <v>12027</v>
      </c>
      <c r="R1904" s="2" t="s">
        <v>40</v>
      </c>
      <c r="S1904" s="2" t="s">
        <v>12028</v>
      </c>
      <c r="T1904" s="2" t="s">
        <v>706</v>
      </c>
      <c r="U1904" s="2" t="s">
        <v>12029</v>
      </c>
      <c r="V1904" s="2" t="s">
        <v>12030</v>
      </c>
      <c r="W1904" s="1"/>
      <c r="X1904" s="2" t="s">
        <v>897</v>
      </c>
      <c r="Y1904" s="2" t="s">
        <v>12018</v>
      </c>
      <c r="AA1904" t="str">
        <f t="shared" si="174"/>
        <v>2025-12</v>
      </c>
      <c r="AB1904" t="str">
        <f t="shared" si="175"/>
        <v/>
      </c>
      <c r="AC1904">
        <f t="shared" si="176"/>
        <v>851091.52</v>
      </c>
      <c r="AD1904">
        <f t="shared" si="177"/>
        <v>80</v>
      </c>
      <c r="AE1904">
        <f t="shared" si="178"/>
        <v>179091.52</v>
      </c>
      <c r="AF1904" t="str">
        <f t="shared" si="179"/>
        <v>Paid</v>
      </c>
    </row>
    <row r="1905" spans="1:32" ht="17.25" thickBot="1" x14ac:dyDescent="0.35">
      <c r="A1905" s="2" t="s">
        <v>12031</v>
      </c>
      <c r="B1905" s="2" t="s">
        <v>27</v>
      </c>
      <c r="C1905" s="2" t="s">
        <v>28</v>
      </c>
      <c r="D1905" s="2" t="s">
        <v>97</v>
      </c>
      <c r="E1905" s="2" t="s">
        <v>11109</v>
      </c>
      <c r="F1905" s="2" t="s">
        <v>8445</v>
      </c>
      <c r="G1905" s="2" t="s">
        <v>32</v>
      </c>
      <c r="H1905" s="1"/>
      <c r="I1905" s="2" t="s">
        <v>33</v>
      </c>
      <c r="J1905" s="2" t="s">
        <v>34</v>
      </c>
      <c r="K1905" s="2" t="s">
        <v>10179</v>
      </c>
      <c r="L1905" s="2" t="s">
        <v>10180</v>
      </c>
      <c r="M1905" s="2" t="s">
        <v>7510</v>
      </c>
      <c r="N1905" s="2" t="s">
        <v>38</v>
      </c>
      <c r="O1905" s="2" t="s">
        <v>517</v>
      </c>
      <c r="P1905" s="2" t="s">
        <v>10181</v>
      </c>
      <c r="Q1905" s="2" t="s">
        <v>12032</v>
      </c>
      <c r="R1905" s="2" t="s">
        <v>40</v>
      </c>
      <c r="S1905" s="2" t="s">
        <v>12033</v>
      </c>
      <c r="T1905" s="2" t="s">
        <v>1747</v>
      </c>
      <c r="U1905" s="2" t="s">
        <v>2135</v>
      </c>
      <c r="V1905" s="2" t="s">
        <v>12034</v>
      </c>
      <c r="W1905" s="1"/>
      <c r="X1905" s="2" t="s">
        <v>796</v>
      </c>
      <c r="Y1905" s="2" t="s">
        <v>12018</v>
      </c>
      <c r="AA1905" t="str">
        <f t="shared" si="174"/>
        <v>2025-12</v>
      </c>
      <c r="AB1905" t="str">
        <f t="shared" si="175"/>
        <v/>
      </c>
      <c r="AC1905">
        <f t="shared" si="176"/>
        <v>1368195.84</v>
      </c>
      <c r="AD1905">
        <f t="shared" si="177"/>
        <v>120</v>
      </c>
      <c r="AE1905">
        <f t="shared" si="178"/>
        <v>288195.84000000003</v>
      </c>
      <c r="AF1905" t="str">
        <f t="shared" si="179"/>
        <v>Paid</v>
      </c>
    </row>
    <row r="1906" spans="1:32" ht="27.75" thickBot="1" x14ac:dyDescent="0.35">
      <c r="A1906" s="2" t="s">
        <v>12035</v>
      </c>
      <c r="B1906" s="2" t="s">
        <v>27</v>
      </c>
      <c r="C1906" s="2" t="s">
        <v>28</v>
      </c>
      <c r="D1906" s="2" t="s">
        <v>97</v>
      </c>
      <c r="E1906" s="2" t="s">
        <v>11109</v>
      </c>
      <c r="F1906" s="2" t="s">
        <v>8445</v>
      </c>
      <c r="G1906" s="2" t="s">
        <v>32</v>
      </c>
      <c r="H1906" s="1"/>
      <c r="I1906" s="2" t="s">
        <v>33</v>
      </c>
      <c r="J1906" s="2" t="s">
        <v>34</v>
      </c>
      <c r="K1906" s="2" t="s">
        <v>12036</v>
      </c>
      <c r="L1906" s="2" t="s">
        <v>12037</v>
      </c>
      <c r="M1906" s="2" t="s">
        <v>7510</v>
      </c>
      <c r="N1906" s="2" t="s">
        <v>38</v>
      </c>
      <c r="O1906" s="2" t="s">
        <v>998</v>
      </c>
      <c r="P1906" s="2" t="s">
        <v>10861</v>
      </c>
      <c r="Q1906" s="2" t="s">
        <v>12038</v>
      </c>
      <c r="R1906" s="2" t="s">
        <v>40</v>
      </c>
      <c r="S1906" s="2" t="s">
        <v>12039</v>
      </c>
      <c r="T1906" s="2" t="s">
        <v>706</v>
      </c>
      <c r="U1906" s="2" t="s">
        <v>12040</v>
      </c>
      <c r="V1906" s="2" t="s">
        <v>12041</v>
      </c>
      <c r="W1906" s="1"/>
      <c r="X1906" s="2" t="s">
        <v>1340</v>
      </c>
      <c r="Y1906" s="2" t="s">
        <v>12018</v>
      </c>
      <c r="AA1906" t="str">
        <f t="shared" si="174"/>
        <v>2025-12</v>
      </c>
      <c r="AB1906" t="str">
        <f t="shared" si="175"/>
        <v/>
      </c>
      <c r="AC1906">
        <f t="shared" si="176"/>
        <v>1317291.58</v>
      </c>
      <c r="AD1906">
        <f t="shared" si="177"/>
        <v>112</v>
      </c>
      <c r="AE1906">
        <f t="shared" si="178"/>
        <v>376491.58</v>
      </c>
      <c r="AF1906" t="str">
        <f t="shared" si="179"/>
        <v>Paid</v>
      </c>
    </row>
    <row r="1907" spans="1:32" ht="17.25" thickBot="1" x14ac:dyDescent="0.35">
      <c r="A1907" s="2" t="s">
        <v>12042</v>
      </c>
      <c r="B1907" s="2" t="s">
        <v>27</v>
      </c>
      <c r="C1907" s="2" t="s">
        <v>28</v>
      </c>
      <c r="D1907" s="2" t="s">
        <v>97</v>
      </c>
      <c r="E1907" s="2" t="s">
        <v>11109</v>
      </c>
      <c r="F1907" s="2" t="s">
        <v>8445</v>
      </c>
      <c r="G1907" s="2" t="s">
        <v>32</v>
      </c>
      <c r="H1907" s="1"/>
      <c r="I1907" s="2" t="s">
        <v>33</v>
      </c>
      <c r="J1907" s="2" t="s">
        <v>34</v>
      </c>
      <c r="K1907" s="2" t="s">
        <v>12043</v>
      </c>
      <c r="L1907" s="2" t="s">
        <v>12044</v>
      </c>
      <c r="M1907" s="2" t="s">
        <v>7510</v>
      </c>
      <c r="N1907" s="2" t="s">
        <v>38</v>
      </c>
      <c r="O1907" s="2" t="s">
        <v>779</v>
      </c>
      <c r="P1907" s="2" t="s">
        <v>1001</v>
      </c>
      <c r="Q1907" s="2" t="s">
        <v>11324</v>
      </c>
      <c r="R1907" s="2" t="s">
        <v>40</v>
      </c>
      <c r="S1907" s="2" t="s">
        <v>11325</v>
      </c>
      <c r="T1907" s="2" t="s">
        <v>12045</v>
      </c>
      <c r="U1907" s="2" t="s">
        <v>12046</v>
      </c>
      <c r="V1907" s="2" t="s">
        <v>12047</v>
      </c>
      <c r="W1907" s="1"/>
      <c r="X1907" s="2" t="s">
        <v>3509</v>
      </c>
      <c r="Y1907" s="2" t="s">
        <v>12018</v>
      </c>
      <c r="AA1907" t="str">
        <f t="shared" si="174"/>
        <v>2025-12</v>
      </c>
      <c r="AB1907" t="str">
        <f t="shared" si="175"/>
        <v/>
      </c>
      <c r="AC1907">
        <f t="shared" si="176"/>
        <v>888809.04</v>
      </c>
      <c r="AD1907">
        <f t="shared" si="177"/>
        <v>90</v>
      </c>
      <c r="AE1907">
        <f t="shared" si="178"/>
        <v>363372.68</v>
      </c>
      <c r="AF1907" t="str">
        <f t="shared" si="179"/>
        <v>Paid</v>
      </c>
    </row>
    <row r="1908" spans="1:32" ht="17.25" thickBot="1" x14ac:dyDescent="0.35">
      <c r="A1908" s="2" t="s">
        <v>12048</v>
      </c>
      <c r="B1908" s="2" t="s">
        <v>27</v>
      </c>
      <c r="C1908" s="2" t="s">
        <v>28</v>
      </c>
      <c r="D1908" s="2" t="s">
        <v>97</v>
      </c>
      <c r="E1908" s="2" t="s">
        <v>11109</v>
      </c>
      <c r="F1908" s="2" t="s">
        <v>8445</v>
      </c>
      <c r="G1908" s="2" t="s">
        <v>32</v>
      </c>
      <c r="H1908" s="1"/>
      <c r="I1908" s="2" t="s">
        <v>33</v>
      </c>
      <c r="J1908" s="2" t="s">
        <v>34</v>
      </c>
      <c r="K1908" s="2" t="s">
        <v>11090</v>
      </c>
      <c r="L1908" s="2" t="s">
        <v>11091</v>
      </c>
      <c r="M1908" s="2" t="s">
        <v>7510</v>
      </c>
      <c r="N1908" s="2" t="s">
        <v>38</v>
      </c>
      <c r="O1908" s="2" t="s">
        <v>351</v>
      </c>
      <c r="P1908" s="2" t="s">
        <v>1001</v>
      </c>
      <c r="Q1908" s="2" t="s">
        <v>12049</v>
      </c>
      <c r="R1908" s="2" t="s">
        <v>40</v>
      </c>
      <c r="S1908" s="2" t="s">
        <v>12050</v>
      </c>
      <c r="T1908" s="2" t="s">
        <v>2206</v>
      </c>
      <c r="U1908" s="2" t="s">
        <v>5458</v>
      </c>
      <c r="V1908" s="2" t="s">
        <v>12051</v>
      </c>
      <c r="W1908" s="1"/>
      <c r="X1908" s="2" t="s">
        <v>897</v>
      </c>
      <c r="Y1908" s="2" t="s">
        <v>12018</v>
      </c>
      <c r="AA1908" t="str">
        <f t="shared" si="174"/>
        <v>2025-12</v>
      </c>
      <c r="AB1908" t="str">
        <f t="shared" si="175"/>
        <v/>
      </c>
      <c r="AC1908">
        <f t="shared" si="176"/>
        <v>414777.55</v>
      </c>
      <c r="AD1908">
        <f t="shared" si="177"/>
        <v>42</v>
      </c>
      <c r="AE1908">
        <f t="shared" si="178"/>
        <v>87177.55</v>
      </c>
      <c r="AF1908" t="str">
        <f t="shared" si="179"/>
        <v>Paid</v>
      </c>
    </row>
    <row r="1909" spans="1:32" ht="17.25" thickBot="1" x14ac:dyDescent="0.35">
      <c r="A1909" s="2" t="s">
        <v>12052</v>
      </c>
      <c r="B1909" s="2" t="s">
        <v>27</v>
      </c>
      <c r="C1909" s="2" t="s">
        <v>28</v>
      </c>
      <c r="D1909" s="2" t="s">
        <v>97</v>
      </c>
      <c r="E1909" s="2" t="s">
        <v>11109</v>
      </c>
      <c r="F1909" s="2" t="s">
        <v>8445</v>
      </c>
      <c r="G1909" s="2" t="s">
        <v>32</v>
      </c>
      <c r="H1909" s="1"/>
      <c r="I1909" s="2" t="s">
        <v>33</v>
      </c>
      <c r="J1909" s="2" t="s">
        <v>34</v>
      </c>
      <c r="K1909" s="2" t="s">
        <v>770</v>
      </c>
      <c r="L1909" s="2" t="s">
        <v>771</v>
      </c>
      <c r="M1909" s="2" t="s">
        <v>772</v>
      </c>
      <c r="N1909" s="2" t="s">
        <v>38</v>
      </c>
      <c r="O1909" s="2" t="s">
        <v>466</v>
      </c>
      <c r="P1909" s="2" t="s">
        <v>8060</v>
      </c>
      <c r="Q1909" s="2" t="s">
        <v>12053</v>
      </c>
      <c r="R1909" s="2" t="s">
        <v>40</v>
      </c>
      <c r="S1909" s="2" t="s">
        <v>12054</v>
      </c>
      <c r="T1909" s="2" t="s">
        <v>2684</v>
      </c>
      <c r="U1909" s="2" t="s">
        <v>1719</v>
      </c>
      <c r="V1909" s="2" t="s">
        <v>12055</v>
      </c>
      <c r="W1909" s="1"/>
      <c r="X1909" s="2" t="s">
        <v>2797</v>
      </c>
      <c r="Y1909" s="2" t="s">
        <v>12056</v>
      </c>
      <c r="AA1909" t="str">
        <f t="shared" si="174"/>
        <v>2025-12</v>
      </c>
      <c r="AB1909" t="str">
        <f t="shared" si="175"/>
        <v/>
      </c>
      <c r="AC1909">
        <f t="shared" si="176"/>
        <v>484544.97</v>
      </c>
      <c r="AD1909">
        <f t="shared" si="177"/>
        <v>70</v>
      </c>
      <c r="AE1909">
        <f t="shared" si="178"/>
        <v>99544.97</v>
      </c>
      <c r="AF1909" t="str">
        <f t="shared" si="179"/>
        <v>Paid</v>
      </c>
    </row>
    <row r="1910" spans="1:32" ht="17.25" thickBot="1" x14ac:dyDescent="0.35">
      <c r="A1910" s="2" t="s">
        <v>12057</v>
      </c>
      <c r="B1910" s="2" t="s">
        <v>27</v>
      </c>
      <c r="C1910" s="2" t="s">
        <v>28</v>
      </c>
      <c r="D1910" s="2" t="s">
        <v>97</v>
      </c>
      <c r="E1910" s="2" t="s">
        <v>11109</v>
      </c>
      <c r="F1910" s="2" t="s">
        <v>8445</v>
      </c>
      <c r="G1910" s="2" t="s">
        <v>32</v>
      </c>
      <c r="H1910" s="1"/>
      <c r="I1910" s="2" t="s">
        <v>33</v>
      </c>
      <c r="J1910" s="2" t="s">
        <v>34</v>
      </c>
      <c r="K1910" s="2" t="s">
        <v>780</v>
      </c>
      <c r="L1910" s="2" t="s">
        <v>781</v>
      </c>
      <c r="M1910" s="2" t="s">
        <v>772</v>
      </c>
      <c r="N1910" s="2" t="s">
        <v>38</v>
      </c>
      <c r="O1910" s="2" t="s">
        <v>206</v>
      </c>
      <c r="P1910" s="2" t="s">
        <v>8536</v>
      </c>
      <c r="Q1910" s="2" t="s">
        <v>12058</v>
      </c>
      <c r="R1910" s="2" t="s">
        <v>40</v>
      </c>
      <c r="S1910" s="2" t="s">
        <v>12059</v>
      </c>
      <c r="T1910" s="2" t="s">
        <v>6652</v>
      </c>
      <c r="U1910" s="2" t="s">
        <v>12060</v>
      </c>
      <c r="V1910" s="2" t="s">
        <v>12061</v>
      </c>
      <c r="W1910" s="1"/>
      <c r="X1910" s="2" t="s">
        <v>838</v>
      </c>
      <c r="Y1910" s="2" t="s">
        <v>12056</v>
      </c>
      <c r="AA1910" t="str">
        <f t="shared" si="174"/>
        <v>2025-12</v>
      </c>
      <c r="AB1910" t="str">
        <f t="shared" si="175"/>
        <v/>
      </c>
      <c r="AC1910">
        <f t="shared" si="176"/>
        <v>4108630.5</v>
      </c>
      <c r="AD1910">
        <f t="shared" si="177"/>
        <v>500</v>
      </c>
      <c r="AE1910">
        <f t="shared" si="178"/>
        <v>858630.5</v>
      </c>
      <c r="AF1910" t="str">
        <f t="shared" si="179"/>
        <v>Paid</v>
      </c>
    </row>
    <row r="1911" spans="1:32" ht="17.25" thickBot="1" x14ac:dyDescent="0.35">
      <c r="A1911" s="2" t="s">
        <v>12062</v>
      </c>
      <c r="B1911" s="2" t="s">
        <v>27</v>
      </c>
      <c r="C1911" s="2" t="s">
        <v>28</v>
      </c>
      <c r="D1911" s="2" t="s">
        <v>97</v>
      </c>
      <c r="E1911" s="2" t="s">
        <v>11109</v>
      </c>
      <c r="F1911" s="2" t="s">
        <v>8445</v>
      </c>
      <c r="G1911" s="2" t="s">
        <v>32</v>
      </c>
      <c r="H1911" s="1"/>
      <c r="I1911" s="2" t="s">
        <v>33</v>
      </c>
      <c r="J1911" s="2" t="s">
        <v>34</v>
      </c>
      <c r="K1911" s="2" t="s">
        <v>12063</v>
      </c>
      <c r="L1911" s="2" t="s">
        <v>12064</v>
      </c>
      <c r="M1911" s="2" t="s">
        <v>772</v>
      </c>
      <c r="N1911" s="2" t="s">
        <v>38</v>
      </c>
      <c r="O1911" s="2" t="s">
        <v>407</v>
      </c>
      <c r="P1911" s="2" t="s">
        <v>7296</v>
      </c>
      <c r="Q1911" s="2" t="s">
        <v>10850</v>
      </c>
      <c r="R1911" s="2" t="s">
        <v>40</v>
      </c>
      <c r="S1911" s="2" t="s">
        <v>12065</v>
      </c>
      <c r="T1911" s="2" t="s">
        <v>297</v>
      </c>
      <c r="U1911" s="2" t="s">
        <v>12066</v>
      </c>
      <c r="V1911" s="2" t="s">
        <v>12067</v>
      </c>
      <c r="W1911" s="1"/>
      <c r="X1911" s="2" t="s">
        <v>2104</v>
      </c>
      <c r="Y1911" s="2" t="s">
        <v>12056</v>
      </c>
      <c r="AA1911" t="str">
        <f t="shared" si="174"/>
        <v>2025-12</v>
      </c>
      <c r="AB1911" t="str">
        <f t="shared" si="175"/>
        <v/>
      </c>
      <c r="AC1911">
        <f t="shared" si="176"/>
        <v>480083.76</v>
      </c>
      <c r="AD1911">
        <f t="shared" si="177"/>
        <v>48</v>
      </c>
      <c r="AE1911">
        <f t="shared" si="178"/>
        <v>96083.76</v>
      </c>
      <c r="AF1911" t="str">
        <f t="shared" si="179"/>
        <v>Paid</v>
      </c>
    </row>
    <row r="1912" spans="1:32" ht="17.25" thickBot="1" x14ac:dyDescent="0.35">
      <c r="A1912" s="2" t="s">
        <v>12068</v>
      </c>
      <c r="B1912" s="2" t="s">
        <v>27</v>
      </c>
      <c r="C1912" s="2" t="s">
        <v>28</v>
      </c>
      <c r="D1912" s="2" t="s">
        <v>97</v>
      </c>
      <c r="E1912" s="2" t="s">
        <v>11109</v>
      </c>
      <c r="F1912" s="2" t="s">
        <v>8445</v>
      </c>
      <c r="G1912" s="2" t="s">
        <v>32</v>
      </c>
      <c r="H1912" s="1"/>
      <c r="I1912" s="2" t="s">
        <v>33</v>
      </c>
      <c r="J1912" s="2" t="s">
        <v>34</v>
      </c>
      <c r="K1912" s="2" t="s">
        <v>7963</v>
      </c>
      <c r="L1912" s="2" t="s">
        <v>7964</v>
      </c>
      <c r="M1912" s="2" t="s">
        <v>772</v>
      </c>
      <c r="N1912" s="2" t="s">
        <v>38</v>
      </c>
      <c r="O1912" s="2" t="s">
        <v>149</v>
      </c>
      <c r="P1912" s="2" t="s">
        <v>4545</v>
      </c>
      <c r="Q1912" s="2" t="s">
        <v>12069</v>
      </c>
      <c r="R1912" s="2" t="s">
        <v>40</v>
      </c>
      <c r="S1912" s="2" t="s">
        <v>12070</v>
      </c>
      <c r="T1912" s="2" t="s">
        <v>297</v>
      </c>
      <c r="U1912" s="2" t="s">
        <v>1881</v>
      </c>
      <c r="V1912" s="2" t="s">
        <v>12071</v>
      </c>
      <c r="W1912" s="1"/>
      <c r="X1912" s="2" t="s">
        <v>827</v>
      </c>
      <c r="Y1912" s="2" t="s">
        <v>12056</v>
      </c>
      <c r="AA1912" t="str">
        <f t="shared" si="174"/>
        <v>2025-12</v>
      </c>
      <c r="AB1912" t="str">
        <f t="shared" si="175"/>
        <v/>
      </c>
      <c r="AC1912">
        <f t="shared" si="176"/>
        <v>3022110</v>
      </c>
      <c r="AD1912">
        <f t="shared" si="177"/>
        <v>300</v>
      </c>
      <c r="AE1912">
        <f t="shared" si="178"/>
        <v>622110</v>
      </c>
      <c r="AF1912" t="str">
        <f t="shared" si="179"/>
        <v>Paid</v>
      </c>
    </row>
    <row r="1913" spans="1:32" ht="27.75" thickBot="1" x14ac:dyDescent="0.35">
      <c r="A1913" s="2" t="s">
        <v>12072</v>
      </c>
      <c r="B1913" s="2" t="s">
        <v>27</v>
      </c>
      <c r="C1913" s="2" t="s">
        <v>28</v>
      </c>
      <c r="D1913" s="2" t="s">
        <v>97</v>
      </c>
      <c r="E1913" s="2" t="s">
        <v>11109</v>
      </c>
      <c r="F1913" s="2" t="s">
        <v>8445</v>
      </c>
      <c r="G1913" s="2" t="s">
        <v>32</v>
      </c>
      <c r="H1913" s="1"/>
      <c r="I1913" s="2" t="s">
        <v>33</v>
      </c>
      <c r="J1913" s="2" t="s">
        <v>34</v>
      </c>
      <c r="K1913" s="2" t="s">
        <v>12073</v>
      </c>
      <c r="L1913" s="2" t="s">
        <v>12074</v>
      </c>
      <c r="M1913" s="2" t="s">
        <v>772</v>
      </c>
      <c r="N1913" s="2" t="s">
        <v>38</v>
      </c>
      <c r="O1913" s="2" t="s">
        <v>517</v>
      </c>
      <c r="P1913" s="2" t="s">
        <v>4536</v>
      </c>
      <c r="Q1913" s="2" t="s">
        <v>12075</v>
      </c>
      <c r="R1913" s="2" t="s">
        <v>40</v>
      </c>
      <c r="S1913" s="2" t="s">
        <v>12076</v>
      </c>
      <c r="T1913" s="2" t="s">
        <v>12077</v>
      </c>
      <c r="U1913" s="2" t="s">
        <v>12078</v>
      </c>
      <c r="V1913" s="2" t="s">
        <v>12079</v>
      </c>
      <c r="W1913" s="1"/>
      <c r="X1913" s="2" t="s">
        <v>7918</v>
      </c>
      <c r="Y1913" s="2" t="s">
        <v>12056</v>
      </c>
      <c r="AA1913" t="str">
        <f t="shared" si="174"/>
        <v>2025-12</v>
      </c>
      <c r="AB1913" t="str">
        <f t="shared" si="175"/>
        <v/>
      </c>
      <c r="AC1913">
        <f t="shared" si="176"/>
        <v>1089686.52</v>
      </c>
      <c r="AD1913">
        <f t="shared" si="177"/>
        <v>120</v>
      </c>
      <c r="AE1913">
        <f t="shared" si="178"/>
        <v>321686.52</v>
      </c>
      <c r="AF1913" t="str">
        <f t="shared" si="179"/>
        <v>Paid</v>
      </c>
    </row>
    <row r="1914" spans="1:32" ht="17.25" thickBot="1" x14ac:dyDescent="0.35">
      <c r="A1914" s="2" t="s">
        <v>12080</v>
      </c>
      <c r="B1914" s="2" t="s">
        <v>27</v>
      </c>
      <c r="C1914" s="2" t="s">
        <v>28</v>
      </c>
      <c r="D1914" s="2" t="s">
        <v>97</v>
      </c>
      <c r="E1914" s="2" t="s">
        <v>11109</v>
      </c>
      <c r="F1914" s="2" t="s">
        <v>8445</v>
      </c>
      <c r="G1914" s="2" t="s">
        <v>32</v>
      </c>
      <c r="H1914" s="1"/>
      <c r="I1914" s="2" t="s">
        <v>33</v>
      </c>
      <c r="J1914" s="2" t="s">
        <v>34</v>
      </c>
      <c r="K1914" s="2" t="s">
        <v>829</v>
      </c>
      <c r="L1914" s="2" t="s">
        <v>830</v>
      </c>
      <c r="M1914" s="2" t="s">
        <v>772</v>
      </c>
      <c r="N1914" s="2" t="s">
        <v>38</v>
      </c>
      <c r="O1914" s="2" t="s">
        <v>159</v>
      </c>
      <c r="P1914" s="2" t="s">
        <v>7939</v>
      </c>
      <c r="Q1914" s="2" t="s">
        <v>12081</v>
      </c>
      <c r="R1914" s="2" t="s">
        <v>40</v>
      </c>
      <c r="S1914" s="2" t="s">
        <v>12082</v>
      </c>
      <c r="T1914" s="2" t="s">
        <v>835</v>
      </c>
      <c r="U1914" s="2" t="s">
        <v>12083</v>
      </c>
      <c r="V1914" s="2" t="s">
        <v>12084</v>
      </c>
      <c r="W1914" s="1"/>
      <c r="X1914" s="2" t="s">
        <v>3089</v>
      </c>
      <c r="Y1914" s="2" t="s">
        <v>12056</v>
      </c>
      <c r="AA1914" t="str">
        <f t="shared" si="174"/>
        <v>2025-12</v>
      </c>
      <c r="AB1914" t="str">
        <f t="shared" si="175"/>
        <v/>
      </c>
      <c r="AC1914">
        <f t="shared" si="176"/>
        <v>1085657.04</v>
      </c>
      <c r="AD1914">
        <f t="shared" si="177"/>
        <v>80</v>
      </c>
      <c r="AE1914">
        <f t="shared" si="178"/>
        <v>210057.04</v>
      </c>
      <c r="AF1914" t="str">
        <f t="shared" si="179"/>
        <v>Paid</v>
      </c>
    </row>
    <row r="1915" spans="1:32" ht="17.25" thickBot="1" x14ac:dyDescent="0.35">
      <c r="A1915" s="2" t="s">
        <v>12085</v>
      </c>
      <c r="B1915" s="2" t="s">
        <v>27</v>
      </c>
      <c r="C1915" s="2" t="s">
        <v>28</v>
      </c>
      <c r="D1915" s="2" t="s">
        <v>97</v>
      </c>
      <c r="E1915" s="2" t="s">
        <v>11109</v>
      </c>
      <c r="F1915" s="2" t="s">
        <v>8445</v>
      </c>
      <c r="G1915" s="2" t="s">
        <v>32</v>
      </c>
      <c r="H1915" s="1"/>
      <c r="I1915" s="2" t="s">
        <v>33</v>
      </c>
      <c r="J1915" s="2" t="s">
        <v>34</v>
      </c>
      <c r="K1915" s="2" t="s">
        <v>9660</v>
      </c>
      <c r="L1915" s="2" t="s">
        <v>9661</v>
      </c>
      <c r="M1915" s="2" t="s">
        <v>772</v>
      </c>
      <c r="N1915" s="2" t="s">
        <v>38</v>
      </c>
      <c r="O1915" s="2" t="s">
        <v>517</v>
      </c>
      <c r="P1915" s="2" t="s">
        <v>8791</v>
      </c>
      <c r="Q1915" s="2" t="s">
        <v>12086</v>
      </c>
      <c r="R1915" s="2" t="s">
        <v>40</v>
      </c>
      <c r="S1915" s="2" t="s">
        <v>12087</v>
      </c>
      <c r="T1915" s="2" t="s">
        <v>9665</v>
      </c>
      <c r="U1915" s="2" t="s">
        <v>12088</v>
      </c>
      <c r="V1915" s="2" t="s">
        <v>12089</v>
      </c>
      <c r="W1915" s="1"/>
      <c r="X1915" s="2" t="s">
        <v>796</v>
      </c>
      <c r="Y1915" s="2" t="s">
        <v>12056</v>
      </c>
      <c r="AA1915" t="str">
        <f t="shared" si="174"/>
        <v>2025-12</v>
      </c>
      <c r="AB1915" t="str">
        <f t="shared" si="175"/>
        <v/>
      </c>
      <c r="AC1915">
        <f t="shared" si="176"/>
        <v>1276193.8799999999</v>
      </c>
      <c r="AD1915">
        <f t="shared" si="177"/>
        <v>120</v>
      </c>
      <c r="AE1915">
        <f t="shared" si="178"/>
        <v>268673.88</v>
      </c>
      <c r="AF1915" t="str">
        <f t="shared" si="179"/>
        <v>Paid</v>
      </c>
    </row>
    <row r="1916" spans="1:32" ht="17.25" thickBot="1" x14ac:dyDescent="0.35">
      <c r="A1916" s="2" t="s">
        <v>12090</v>
      </c>
      <c r="B1916" s="2" t="s">
        <v>27</v>
      </c>
      <c r="C1916" s="2" t="s">
        <v>28</v>
      </c>
      <c r="D1916" s="2" t="s">
        <v>97</v>
      </c>
      <c r="E1916" s="2" t="s">
        <v>11109</v>
      </c>
      <c r="F1916" s="2" t="s">
        <v>8445</v>
      </c>
      <c r="G1916" s="2" t="s">
        <v>32</v>
      </c>
      <c r="H1916" s="1"/>
      <c r="I1916" s="2" t="s">
        <v>33</v>
      </c>
      <c r="J1916" s="2" t="s">
        <v>34</v>
      </c>
      <c r="K1916" s="2" t="s">
        <v>847</v>
      </c>
      <c r="L1916" s="2" t="s">
        <v>848</v>
      </c>
      <c r="M1916" s="2" t="s">
        <v>772</v>
      </c>
      <c r="N1916" s="2" t="s">
        <v>38</v>
      </c>
      <c r="O1916" s="2" t="s">
        <v>517</v>
      </c>
      <c r="P1916" s="2" t="s">
        <v>10904</v>
      </c>
      <c r="Q1916" s="2" t="s">
        <v>12091</v>
      </c>
      <c r="R1916" s="2" t="s">
        <v>40</v>
      </c>
      <c r="S1916" s="2" t="s">
        <v>12092</v>
      </c>
      <c r="T1916" s="2" t="s">
        <v>853</v>
      </c>
      <c r="U1916" s="2" t="s">
        <v>12093</v>
      </c>
      <c r="V1916" s="2" t="s">
        <v>12094</v>
      </c>
      <c r="W1916" s="1"/>
      <c r="X1916" s="2" t="s">
        <v>6362</v>
      </c>
      <c r="Y1916" s="2" t="s">
        <v>12056</v>
      </c>
      <c r="AA1916" t="str">
        <f t="shared" si="174"/>
        <v>2025-12</v>
      </c>
      <c r="AB1916" t="str">
        <f t="shared" si="175"/>
        <v/>
      </c>
      <c r="AC1916">
        <f t="shared" si="176"/>
        <v>1239928.56</v>
      </c>
      <c r="AD1916">
        <f t="shared" si="177"/>
        <v>120</v>
      </c>
      <c r="AE1916">
        <f t="shared" si="178"/>
        <v>233368.56</v>
      </c>
      <c r="AF1916" t="str">
        <f t="shared" si="179"/>
        <v>Paid</v>
      </c>
    </row>
    <row r="1917" spans="1:32" ht="17.25" thickBot="1" x14ac:dyDescent="0.35">
      <c r="A1917" s="2" t="s">
        <v>12095</v>
      </c>
      <c r="B1917" s="2" t="s">
        <v>27</v>
      </c>
      <c r="C1917" s="2" t="s">
        <v>28</v>
      </c>
      <c r="D1917" s="2" t="s">
        <v>97</v>
      </c>
      <c r="E1917" s="2" t="s">
        <v>11109</v>
      </c>
      <c r="F1917" s="2" t="s">
        <v>8445</v>
      </c>
      <c r="G1917" s="2" t="s">
        <v>32</v>
      </c>
      <c r="H1917" s="1"/>
      <c r="I1917" s="2" t="s">
        <v>33</v>
      </c>
      <c r="J1917" s="2" t="s">
        <v>34</v>
      </c>
      <c r="K1917" s="2" t="s">
        <v>868</v>
      </c>
      <c r="L1917" s="2" t="s">
        <v>869</v>
      </c>
      <c r="M1917" s="2" t="s">
        <v>772</v>
      </c>
      <c r="N1917" s="2" t="s">
        <v>38</v>
      </c>
      <c r="O1917" s="2" t="s">
        <v>114</v>
      </c>
      <c r="P1917" s="2" t="s">
        <v>7072</v>
      </c>
      <c r="Q1917" s="2" t="s">
        <v>9695</v>
      </c>
      <c r="R1917" s="2" t="s">
        <v>40</v>
      </c>
      <c r="S1917" s="2" t="s">
        <v>12096</v>
      </c>
      <c r="T1917" s="2" t="s">
        <v>873</v>
      </c>
      <c r="U1917" s="2" t="s">
        <v>12097</v>
      </c>
      <c r="V1917" s="2" t="s">
        <v>12098</v>
      </c>
      <c r="W1917" s="1"/>
      <c r="X1917" s="2" t="s">
        <v>258</v>
      </c>
      <c r="Y1917" s="2" t="s">
        <v>12056</v>
      </c>
      <c r="AA1917" t="str">
        <f t="shared" si="174"/>
        <v>2025-12</v>
      </c>
      <c r="AB1917" t="str">
        <f t="shared" si="175"/>
        <v/>
      </c>
      <c r="AC1917">
        <f t="shared" si="176"/>
        <v>2493672.48</v>
      </c>
      <c r="AD1917">
        <f t="shared" si="177"/>
        <v>240</v>
      </c>
      <c r="AE1917">
        <f t="shared" si="178"/>
        <v>492072.48</v>
      </c>
      <c r="AF1917" t="str">
        <f t="shared" si="179"/>
        <v>Paid</v>
      </c>
    </row>
    <row r="1918" spans="1:32" ht="17.25" thickBot="1" x14ac:dyDescent="0.35">
      <c r="A1918" s="2" t="s">
        <v>12099</v>
      </c>
      <c r="B1918" s="2" t="s">
        <v>27</v>
      </c>
      <c r="C1918" s="2" t="s">
        <v>28</v>
      </c>
      <c r="D1918" s="2" t="s">
        <v>97</v>
      </c>
      <c r="E1918" s="2" t="s">
        <v>11109</v>
      </c>
      <c r="F1918" s="2" t="s">
        <v>8445</v>
      </c>
      <c r="G1918" s="2" t="s">
        <v>32</v>
      </c>
      <c r="H1918" s="1"/>
      <c r="I1918" s="2" t="s">
        <v>33</v>
      </c>
      <c r="J1918" s="2" t="s">
        <v>34</v>
      </c>
      <c r="K1918" s="2" t="s">
        <v>878</v>
      </c>
      <c r="L1918" s="2" t="s">
        <v>879</v>
      </c>
      <c r="M1918" s="2" t="s">
        <v>772</v>
      </c>
      <c r="N1918" s="2" t="s">
        <v>38</v>
      </c>
      <c r="O1918" s="2" t="s">
        <v>773</v>
      </c>
      <c r="P1918" s="2" t="s">
        <v>7994</v>
      </c>
      <c r="Q1918" s="2" t="s">
        <v>12100</v>
      </c>
      <c r="R1918" s="2" t="s">
        <v>40</v>
      </c>
      <c r="S1918" s="2" t="s">
        <v>12101</v>
      </c>
      <c r="T1918" s="2" t="s">
        <v>883</v>
      </c>
      <c r="U1918" s="2" t="s">
        <v>12102</v>
      </c>
      <c r="V1918" s="2" t="s">
        <v>12103</v>
      </c>
      <c r="W1918" s="1"/>
      <c r="X1918" s="2" t="s">
        <v>1222</v>
      </c>
      <c r="Y1918" s="2" t="s">
        <v>12056</v>
      </c>
      <c r="AA1918" t="str">
        <f t="shared" si="174"/>
        <v>2025-12</v>
      </c>
      <c r="AB1918" t="str">
        <f t="shared" si="175"/>
        <v/>
      </c>
      <c r="AC1918">
        <f t="shared" si="176"/>
        <v>2495399.4</v>
      </c>
      <c r="AD1918">
        <f t="shared" si="177"/>
        <v>200</v>
      </c>
      <c r="AE1918">
        <f t="shared" si="178"/>
        <v>465399.4</v>
      </c>
      <c r="AF1918" t="str">
        <f t="shared" si="179"/>
        <v>Paid</v>
      </c>
    </row>
    <row r="1919" spans="1:32" ht="17.25" thickBot="1" x14ac:dyDescent="0.35">
      <c r="A1919" s="2" t="s">
        <v>12104</v>
      </c>
      <c r="B1919" s="2" t="s">
        <v>27</v>
      </c>
      <c r="C1919" s="2" t="s">
        <v>28</v>
      </c>
      <c r="D1919" s="2" t="s">
        <v>97</v>
      </c>
      <c r="E1919" s="2" t="s">
        <v>11109</v>
      </c>
      <c r="F1919" s="2" t="s">
        <v>8445</v>
      </c>
      <c r="G1919" s="2" t="s">
        <v>32</v>
      </c>
      <c r="H1919" s="1"/>
      <c r="I1919" s="2" t="s">
        <v>33</v>
      </c>
      <c r="J1919" s="2" t="s">
        <v>34</v>
      </c>
      <c r="K1919" s="2" t="s">
        <v>12105</v>
      </c>
      <c r="L1919" s="2" t="s">
        <v>12106</v>
      </c>
      <c r="M1919" s="2" t="s">
        <v>772</v>
      </c>
      <c r="N1919" s="2" t="s">
        <v>38</v>
      </c>
      <c r="O1919" s="2" t="s">
        <v>428</v>
      </c>
      <c r="P1919" s="2" t="s">
        <v>10730</v>
      </c>
      <c r="Q1919" s="2" t="s">
        <v>12107</v>
      </c>
      <c r="R1919" s="2" t="s">
        <v>40</v>
      </c>
      <c r="S1919" s="2" t="s">
        <v>12108</v>
      </c>
      <c r="T1919" s="2" t="s">
        <v>894</v>
      </c>
      <c r="U1919" s="2" t="s">
        <v>12109</v>
      </c>
      <c r="V1919" s="2" t="s">
        <v>12110</v>
      </c>
      <c r="W1919" s="1"/>
      <c r="X1919" s="2" t="s">
        <v>897</v>
      </c>
      <c r="Y1919" s="2" t="s">
        <v>12056</v>
      </c>
      <c r="AA1919" t="str">
        <f t="shared" si="174"/>
        <v>2025-12</v>
      </c>
      <c r="AB1919" t="str">
        <f t="shared" si="175"/>
        <v/>
      </c>
      <c r="AC1919">
        <f t="shared" si="176"/>
        <v>3079674</v>
      </c>
      <c r="AD1919">
        <f t="shared" si="177"/>
        <v>250</v>
      </c>
      <c r="AE1919">
        <f t="shared" si="178"/>
        <v>645924</v>
      </c>
      <c r="AF1919" t="str">
        <f t="shared" si="179"/>
        <v>Paid</v>
      </c>
    </row>
    <row r="1920" spans="1:32" ht="17.25" thickBot="1" x14ac:dyDescent="0.35">
      <c r="A1920" s="2" t="s">
        <v>12111</v>
      </c>
      <c r="B1920" s="2" t="s">
        <v>27</v>
      </c>
      <c r="C1920" s="2" t="s">
        <v>28</v>
      </c>
      <c r="D1920" s="2" t="s">
        <v>97</v>
      </c>
      <c r="E1920" s="2" t="s">
        <v>11109</v>
      </c>
      <c r="F1920" s="2" t="s">
        <v>8445</v>
      </c>
      <c r="G1920" s="2" t="s">
        <v>32</v>
      </c>
      <c r="H1920" s="1"/>
      <c r="I1920" s="2" t="s">
        <v>33</v>
      </c>
      <c r="J1920" s="2" t="s">
        <v>34</v>
      </c>
      <c r="K1920" s="2" t="s">
        <v>899</v>
      </c>
      <c r="L1920" s="2" t="s">
        <v>900</v>
      </c>
      <c r="M1920" s="2" t="s">
        <v>772</v>
      </c>
      <c r="N1920" s="2" t="s">
        <v>38</v>
      </c>
      <c r="O1920" s="2" t="s">
        <v>1333</v>
      </c>
      <c r="P1920" s="2" t="s">
        <v>7230</v>
      </c>
      <c r="Q1920" s="2" t="s">
        <v>12112</v>
      </c>
      <c r="R1920" s="2" t="s">
        <v>40</v>
      </c>
      <c r="S1920" s="2" t="s">
        <v>12113</v>
      </c>
      <c r="T1920" s="2" t="s">
        <v>903</v>
      </c>
      <c r="U1920" s="2" t="s">
        <v>12114</v>
      </c>
      <c r="V1920" s="2" t="s">
        <v>12115</v>
      </c>
      <c r="W1920" s="1"/>
      <c r="X1920" s="2" t="s">
        <v>796</v>
      </c>
      <c r="Y1920" s="2" t="s">
        <v>12056</v>
      </c>
      <c r="AA1920" t="str">
        <f t="shared" si="174"/>
        <v>2025-12</v>
      </c>
      <c r="AB1920" t="str">
        <f t="shared" si="175"/>
        <v/>
      </c>
      <c r="AC1920">
        <f t="shared" si="176"/>
        <v>2078779.95</v>
      </c>
      <c r="AD1920">
        <f t="shared" si="177"/>
        <v>150</v>
      </c>
      <c r="AE1920">
        <f t="shared" si="178"/>
        <v>437779.95</v>
      </c>
      <c r="AF1920" t="str">
        <f t="shared" si="179"/>
        <v>Paid</v>
      </c>
    </row>
    <row r="1921" spans="1:32" ht="17.25" thickBot="1" x14ac:dyDescent="0.35">
      <c r="A1921" s="2" t="s">
        <v>12116</v>
      </c>
      <c r="B1921" s="2" t="s">
        <v>27</v>
      </c>
      <c r="C1921" s="2" t="s">
        <v>28</v>
      </c>
      <c r="D1921" s="2" t="s">
        <v>97</v>
      </c>
      <c r="E1921" s="2" t="s">
        <v>11109</v>
      </c>
      <c r="F1921" s="2" t="s">
        <v>8445</v>
      </c>
      <c r="G1921" s="2" t="s">
        <v>32</v>
      </c>
      <c r="H1921" s="1"/>
      <c r="I1921" s="2" t="s">
        <v>33</v>
      </c>
      <c r="J1921" s="2" t="s">
        <v>34</v>
      </c>
      <c r="K1921" s="2" t="s">
        <v>12117</v>
      </c>
      <c r="L1921" s="2" t="s">
        <v>12118</v>
      </c>
      <c r="M1921" s="2" t="s">
        <v>772</v>
      </c>
      <c r="N1921" s="2" t="s">
        <v>38</v>
      </c>
      <c r="O1921" s="2" t="s">
        <v>956</v>
      </c>
      <c r="P1921" s="2" t="s">
        <v>4302</v>
      </c>
      <c r="Q1921" s="2" t="s">
        <v>12119</v>
      </c>
      <c r="R1921" s="2" t="s">
        <v>40</v>
      </c>
      <c r="S1921" s="2" t="s">
        <v>12120</v>
      </c>
      <c r="T1921" s="2" t="s">
        <v>4347</v>
      </c>
      <c r="U1921" s="2" t="s">
        <v>12121</v>
      </c>
      <c r="V1921" s="2" t="s">
        <v>12122</v>
      </c>
      <c r="W1921" s="1"/>
      <c r="X1921" s="2" t="s">
        <v>2278</v>
      </c>
      <c r="Y1921" s="2" t="s">
        <v>12056</v>
      </c>
      <c r="AA1921" t="str">
        <f t="shared" si="174"/>
        <v>2025-12</v>
      </c>
      <c r="AB1921" t="str">
        <f t="shared" si="175"/>
        <v/>
      </c>
      <c r="AC1921">
        <f t="shared" si="176"/>
        <v>1179659.05</v>
      </c>
      <c r="AD1921">
        <f t="shared" si="177"/>
        <v>108</v>
      </c>
      <c r="AE1921">
        <f t="shared" si="178"/>
        <v>224939.05</v>
      </c>
      <c r="AF1921" t="str">
        <f t="shared" si="179"/>
        <v>Paid</v>
      </c>
    </row>
    <row r="1922" spans="1:32" ht="17.25" thickBot="1" x14ac:dyDescent="0.35">
      <c r="A1922" s="2" t="s">
        <v>12123</v>
      </c>
      <c r="B1922" s="2" t="s">
        <v>27</v>
      </c>
      <c r="C1922" s="2" t="s">
        <v>28</v>
      </c>
      <c r="D1922" s="2" t="s">
        <v>97</v>
      </c>
      <c r="E1922" s="2" t="s">
        <v>11109</v>
      </c>
      <c r="F1922" s="2" t="s">
        <v>8445</v>
      </c>
      <c r="G1922" s="2" t="s">
        <v>32</v>
      </c>
      <c r="H1922" s="1"/>
      <c r="I1922" s="2" t="s">
        <v>33</v>
      </c>
      <c r="J1922" s="2" t="s">
        <v>34</v>
      </c>
      <c r="K1922" s="2" t="s">
        <v>12117</v>
      </c>
      <c r="L1922" s="2" t="s">
        <v>12118</v>
      </c>
      <c r="M1922" s="2" t="s">
        <v>772</v>
      </c>
      <c r="N1922" s="2" t="s">
        <v>38</v>
      </c>
      <c r="O1922" s="2" t="s">
        <v>85</v>
      </c>
      <c r="P1922" s="2" t="s">
        <v>4302</v>
      </c>
      <c r="Q1922" s="2" t="s">
        <v>12124</v>
      </c>
      <c r="R1922" s="2" t="s">
        <v>40</v>
      </c>
      <c r="S1922" s="2" t="s">
        <v>12125</v>
      </c>
      <c r="T1922" s="2" t="s">
        <v>4347</v>
      </c>
      <c r="U1922" s="2" t="s">
        <v>12126</v>
      </c>
      <c r="V1922" s="2" t="s">
        <v>12127</v>
      </c>
      <c r="W1922" s="1"/>
      <c r="X1922" s="2" t="s">
        <v>2278</v>
      </c>
      <c r="Y1922" s="2" t="s">
        <v>12056</v>
      </c>
      <c r="AA1922" t="str">
        <f t="shared" si="174"/>
        <v>2025-12</v>
      </c>
      <c r="AB1922" t="str">
        <f t="shared" si="175"/>
        <v/>
      </c>
      <c r="AC1922">
        <f t="shared" si="176"/>
        <v>131073.23000000001</v>
      </c>
      <c r="AD1922">
        <f t="shared" si="177"/>
        <v>12</v>
      </c>
      <c r="AE1922">
        <f t="shared" si="178"/>
        <v>24993.23</v>
      </c>
      <c r="AF1922" t="str">
        <f t="shared" si="179"/>
        <v>Paid</v>
      </c>
    </row>
    <row r="1923" spans="1:32" ht="17.25" thickBot="1" x14ac:dyDescent="0.35">
      <c r="A1923" s="2" t="s">
        <v>12128</v>
      </c>
      <c r="B1923" s="2" t="s">
        <v>27</v>
      </c>
      <c r="C1923" s="2" t="s">
        <v>28</v>
      </c>
      <c r="D1923" s="2" t="s">
        <v>97</v>
      </c>
      <c r="E1923" s="2" t="s">
        <v>11109</v>
      </c>
      <c r="F1923" s="2" t="s">
        <v>8445</v>
      </c>
      <c r="G1923" s="2" t="s">
        <v>32</v>
      </c>
      <c r="H1923" s="1"/>
      <c r="I1923" s="2" t="s">
        <v>33</v>
      </c>
      <c r="J1923" s="2" t="s">
        <v>34</v>
      </c>
      <c r="K1923" s="2" t="s">
        <v>12129</v>
      </c>
      <c r="L1923" s="2" t="s">
        <v>12130</v>
      </c>
      <c r="M1923" s="2" t="s">
        <v>772</v>
      </c>
      <c r="N1923" s="2" t="s">
        <v>38</v>
      </c>
      <c r="O1923" s="2" t="s">
        <v>773</v>
      </c>
      <c r="P1923" s="2" t="s">
        <v>8143</v>
      </c>
      <c r="Q1923" s="2" t="s">
        <v>10246</v>
      </c>
      <c r="R1923" s="2" t="s">
        <v>40</v>
      </c>
      <c r="S1923" s="2" t="s">
        <v>12131</v>
      </c>
      <c r="T1923" s="2" t="s">
        <v>12132</v>
      </c>
      <c r="U1923" s="2" t="s">
        <v>12133</v>
      </c>
      <c r="V1923" s="2" t="s">
        <v>12134</v>
      </c>
      <c r="W1923" s="1"/>
      <c r="X1923" s="2" t="s">
        <v>2000</v>
      </c>
      <c r="Y1923" s="2" t="s">
        <v>12056</v>
      </c>
      <c r="AA1923" t="str">
        <f t="shared" si="174"/>
        <v>2025-12</v>
      </c>
      <c r="AB1923" t="str">
        <f t="shared" si="175"/>
        <v/>
      </c>
      <c r="AC1923">
        <f t="shared" si="176"/>
        <v>3108456</v>
      </c>
      <c r="AD1923">
        <f t="shared" si="177"/>
        <v>200</v>
      </c>
      <c r="AE1923">
        <f t="shared" si="178"/>
        <v>618456</v>
      </c>
      <c r="AF1923" t="str">
        <f t="shared" si="179"/>
        <v>Paid</v>
      </c>
    </row>
    <row r="1924" spans="1:32" ht="17.25" thickBot="1" x14ac:dyDescent="0.35">
      <c r="A1924" s="2" t="s">
        <v>12135</v>
      </c>
      <c r="B1924" s="2" t="s">
        <v>27</v>
      </c>
      <c r="C1924" s="2" t="s">
        <v>28</v>
      </c>
      <c r="D1924" s="2" t="s">
        <v>97</v>
      </c>
      <c r="E1924" s="2" t="s">
        <v>11109</v>
      </c>
      <c r="F1924" s="2" t="s">
        <v>8445</v>
      </c>
      <c r="G1924" s="2" t="s">
        <v>32</v>
      </c>
      <c r="H1924" s="1"/>
      <c r="I1924" s="2" t="s">
        <v>33</v>
      </c>
      <c r="J1924" s="2" t="s">
        <v>34</v>
      </c>
      <c r="K1924" s="2" t="s">
        <v>946</v>
      </c>
      <c r="L1924" s="2" t="s">
        <v>947</v>
      </c>
      <c r="M1924" s="2" t="s">
        <v>772</v>
      </c>
      <c r="N1924" s="2" t="s">
        <v>38</v>
      </c>
      <c r="O1924" s="2" t="s">
        <v>12136</v>
      </c>
      <c r="P1924" s="2" t="s">
        <v>12137</v>
      </c>
      <c r="Q1924" s="2" t="s">
        <v>12138</v>
      </c>
      <c r="R1924" s="2" t="s">
        <v>40</v>
      </c>
      <c r="S1924" s="2" t="s">
        <v>12139</v>
      </c>
      <c r="T1924" s="2" t="s">
        <v>952</v>
      </c>
      <c r="U1924" s="2" t="s">
        <v>12140</v>
      </c>
      <c r="V1924" s="2" t="s">
        <v>12141</v>
      </c>
      <c r="W1924" s="1"/>
      <c r="X1924" s="2" t="s">
        <v>3089</v>
      </c>
      <c r="Y1924" s="2" t="s">
        <v>12056</v>
      </c>
      <c r="AA1924" t="str">
        <f t="shared" ref="AA1924:AA1987" si="180">LEFT(E1924,7)</f>
        <v>2025-12</v>
      </c>
      <c r="AB1924" t="str">
        <f t="shared" ref="AB1924:AB1987" si="181">IF(AND($AA1924&gt;="2025-01",$AA1924&lt;="2025-06"),"H1_2025",IF(AND($AA1924&gt;="2026-01",$AA1924&lt;="2026-06"),"H1_2026",""))</f>
        <v/>
      </c>
      <c r="AC1924">
        <f t="shared" ref="AC1924:AC1987" si="182">IFERROR(VALUE(SUBSTITUTE(S1924,",","")),0)</f>
        <v>16649811.359999999</v>
      </c>
      <c r="AD1924">
        <f t="shared" ref="AD1924:AD1987" si="183">IFERROR(VALUE(SUBSTITUTE(O1924,",","")),0)</f>
        <v>1120</v>
      </c>
      <c r="AE1924">
        <f t="shared" ref="AE1924:AE1987" si="184">IFERROR(VALUE(SUBSTITUTE(V1924,",","")),0)</f>
        <v>3209811.36</v>
      </c>
      <c r="AF1924" t="str">
        <f t="shared" ref="AF1924:AF1987" si="185">IF(ISNUMBER(SEARCH("FOC",W1924)),"FOC",IF(ISNUMBER(SEARCH("샘플",W1924)),"Sample","Paid"))</f>
        <v>Paid</v>
      </c>
    </row>
    <row r="1925" spans="1:32" ht="17.25" thickBot="1" x14ac:dyDescent="0.35">
      <c r="A1925" s="2" t="s">
        <v>12142</v>
      </c>
      <c r="B1925" s="2" t="s">
        <v>27</v>
      </c>
      <c r="C1925" s="2" t="s">
        <v>28</v>
      </c>
      <c r="D1925" s="2" t="s">
        <v>97</v>
      </c>
      <c r="E1925" s="2" t="s">
        <v>11109</v>
      </c>
      <c r="F1925" s="2" t="s">
        <v>8445</v>
      </c>
      <c r="G1925" s="2" t="s">
        <v>32</v>
      </c>
      <c r="H1925" s="1"/>
      <c r="I1925" s="2" t="s">
        <v>33</v>
      </c>
      <c r="J1925" s="2" t="s">
        <v>34</v>
      </c>
      <c r="K1925" s="2" t="s">
        <v>957</v>
      </c>
      <c r="L1925" s="2" t="s">
        <v>958</v>
      </c>
      <c r="M1925" s="2" t="s">
        <v>772</v>
      </c>
      <c r="N1925" s="2" t="s">
        <v>38</v>
      </c>
      <c r="O1925" s="2" t="s">
        <v>149</v>
      </c>
      <c r="P1925" s="2" t="s">
        <v>10969</v>
      </c>
      <c r="Q1925" s="2" t="s">
        <v>12143</v>
      </c>
      <c r="R1925" s="2" t="s">
        <v>40</v>
      </c>
      <c r="S1925" s="2" t="s">
        <v>12144</v>
      </c>
      <c r="T1925" s="2" t="s">
        <v>962</v>
      </c>
      <c r="U1925" s="2" t="s">
        <v>12145</v>
      </c>
      <c r="V1925" s="2" t="s">
        <v>12146</v>
      </c>
      <c r="W1925" s="1"/>
      <c r="X1925" s="2" t="s">
        <v>976</v>
      </c>
      <c r="Y1925" s="2" t="s">
        <v>12056</v>
      </c>
      <c r="AA1925" t="str">
        <f t="shared" si="180"/>
        <v>2025-12</v>
      </c>
      <c r="AB1925" t="str">
        <f t="shared" si="181"/>
        <v/>
      </c>
      <c r="AC1925">
        <f t="shared" si="182"/>
        <v>3997819.8</v>
      </c>
      <c r="AD1925">
        <f t="shared" si="183"/>
        <v>300</v>
      </c>
      <c r="AE1925">
        <f t="shared" si="184"/>
        <v>808819.8</v>
      </c>
      <c r="AF1925" t="str">
        <f t="shared" si="185"/>
        <v>Paid</v>
      </c>
    </row>
    <row r="1926" spans="1:32" ht="17.25" thickBot="1" x14ac:dyDescent="0.35">
      <c r="A1926" s="2" t="s">
        <v>12147</v>
      </c>
      <c r="B1926" s="2" t="s">
        <v>27</v>
      </c>
      <c r="C1926" s="2" t="s">
        <v>28</v>
      </c>
      <c r="D1926" s="2" t="s">
        <v>97</v>
      </c>
      <c r="E1926" s="2" t="s">
        <v>11109</v>
      </c>
      <c r="F1926" s="2" t="s">
        <v>8445</v>
      </c>
      <c r="G1926" s="2" t="s">
        <v>32</v>
      </c>
      <c r="H1926" s="1"/>
      <c r="I1926" s="2" t="s">
        <v>33</v>
      </c>
      <c r="J1926" s="2" t="s">
        <v>34</v>
      </c>
      <c r="K1926" s="2" t="s">
        <v>967</v>
      </c>
      <c r="L1926" s="2" t="s">
        <v>968</v>
      </c>
      <c r="M1926" s="2" t="s">
        <v>772</v>
      </c>
      <c r="N1926" s="2" t="s">
        <v>38</v>
      </c>
      <c r="O1926" s="2" t="s">
        <v>149</v>
      </c>
      <c r="P1926" s="2" t="s">
        <v>3151</v>
      </c>
      <c r="Q1926" s="2" t="s">
        <v>12148</v>
      </c>
      <c r="R1926" s="2" t="s">
        <v>40</v>
      </c>
      <c r="S1926" s="2" t="s">
        <v>12149</v>
      </c>
      <c r="T1926" s="2" t="s">
        <v>973</v>
      </c>
      <c r="U1926" s="2" t="s">
        <v>12150</v>
      </c>
      <c r="V1926" s="2" t="s">
        <v>12151</v>
      </c>
      <c r="W1926" s="1"/>
      <c r="X1926" s="2" t="s">
        <v>976</v>
      </c>
      <c r="Y1926" s="2" t="s">
        <v>12056</v>
      </c>
      <c r="AA1926" t="str">
        <f t="shared" si="180"/>
        <v>2025-12</v>
      </c>
      <c r="AB1926" t="str">
        <f t="shared" si="181"/>
        <v/>
      </c>
      <c r="AC1926">
        <f t="shared" si="182"/>
        <v>4321617.3</v>
      </c>
      <c r="AD1926">
        <f t="shared" si="183"/>
        <v>300</v>
      </c>
      <c r="AE1926">
        <f t="shared" si="184"/>
        <v>871617.3</v>
      </c>
      <c r="AF1926" t="str">
        <f t="shared" si="185"/>
        <v>Paid</v>
      </c>
    </row>
    <row r="1927" spans="1:32" ht="17.25" thickBot="1" x14ac:dyDescent="0.35">
      <c r="A1927" s="2" t="s">
        <v>12152</v>
      </c>
      <c r="B1927" s="2" t="s">
        <v>27</v>
      </c>
      <c r="C1927" s="2" t="s">
        <v>28</v>
      </c>
      <c r="D1927" s="2" t="s">
        <v>97</v>
      </c>
      <c r="E1927" s="2" t="s">
        <v>11109</v>
      </c>
      <c r="F1927" s="2" t="s">
        <v>8445</v>
      </c>
      <c r="G1927" s="2" t="s">
        <v>32</v>
      </c>
      <c r="H1927" s="1"/>
      <c r="I1927" s="2" t="s">
        <v>33</v>
      </c>
      <c r="J1927" s="2" t="s">
        <v>34</v>
      </c>
      <c r="K1927" s="2" t="s">
        <v>999</v>
      </c>
      <c r="L1927" s="2" t="s">
        <v>1000</v>
      </c>
      <c r="M1927" s="2" t="s">
        <v>772</v>
      </c>
      <c r="N1927" s="2" t="s">
        <v>38</v>
      </c>
      <c r="O1927" s="2" t="s">
        <v>1333</v>
      </c>
      <c r="P1927" s="2" t="s">
        <v>12153</v>
      </c>
      <c r="Q1927" s="2" t="s">
        <v>9217</v>
      </c>
      <c r="R1927" s="2" t="s">
        <v>40</v>
      </c>
      <c r="S1927" s="2" t="s">
        <v>12154</v>
      </c>
      <c r="T1927" s="2" t="s">
        <v>8816</v>
      </c>
      <c r="U1927" s="2" t="s">
        <v>12155</v>
      </c>
      <c r="V1927" s="2" t="s">
        <v>12156</v>
      </c>
      <c r="W1927" s="1"/>
      <c r="X1927" s="2" t="s">
        <v>2198</v>
      </c>
      <c r="Y1927" s="2" t="s">
        <v>12056</v>
      </c>
      <c r="AA1927" t="str">
        <f t="shared" si="180"/>
        <v>2025-12</v>
      </c>
      <c r="AB1927" t="str">
        <f t="shared" si="181"/>
        <v/>
      </c>
      <c r="AC1927">
        <f t="shared" si="182"/>
        <v>1269286.2</v>
      </c>
      <c r="AD1927">
        <f t="shared" si="183"/>
        <v>150</v>
      </c>
      <c r="AE1927">
        <f t="shared" si="184"/>
        <v>241036.2</v>
      </c>
      <c r="AF1927" t="str">
        <f t="shared" si="185"/>
        <v>Paid</v>
      </c>
    </row>
    <row r="1928" spans="1:32" ht="17.25" thickBot="1" x14ac:dyDescent="0.35">
      <c r="A1928" s="2" t="s">
        <v>12157</v>
      </c>
      <c r="B1928" s="2" t="s">
        <v>27</v>
      </c>
      <c r="C1928" s="2" t="s">
        <v>28</v>
      </c>
      <c r="D1928" s="2" t="s">
        <v>97</v>
      </c>
      <c r="E1928" s="2" t="s">
        <v>11109</v>
      </c>
      <c r="F1928" s="2" t="s">
        <v>8445</v>
      </c>
      <c r="G1928" s="2" t="s">
        <v>32</v>
      </c>
      <c r="H1928" s="1"/>
      <c r="I1928" s="2" t="s">
        <v>33</v>
      </c>
      <c r="J1928" s="2" t="s">
        <v>34</v>
      </c>
      <c r="K1928" s="2" t="s">
        <v>1008</v>
      </c>
      <c r="L1928" s="2" t="s">
        <v>1009</v>
      </c>
      <c r="M1928" s="2" t="s">
        <v>772</v>
      </c>
      <c r="N1928" s="2" t="s">
        <v>38</v>
      </c>
      <c r="O1928" s="2" t="s">
        <v>3068</v>
      </c>
      <c r="P1928" s="2" t="s">
        <v>7876</v>
      </c>
      <c r="Q1928" s="2" t="s">
        <v>12158</v>
      </c>
      <c r="R1928" s="2" t="s">
        <v>40</v>
      </c>
      <c r="S1928" s="2" t="s">
        <v>12159</v>
      </c>
      <c r="T1928" s="2" t="s">
        <v>9735</v>
      </c>
      <c r="U1928" s="2" t="s">
        <v>12160</v>
      </c>
      <c r="V1928" s="2" t="s">
        <v>12161</v>
      </c>
      <c r="W1928" s="1"/>
      <c r="X1928" s="2" t="s">
        <v>838</v>
      </c>
      <c r="Y1928" s="2" t="s">
        <v>12056</v>
      </c>
      <c r="AA1928" t="str">
        <f t="shared" si="180"/>
        <v>2025-12</v>
      </c>
      <c r="AB1928" t="str">
        <f t="shared" si="181"/>
        <v/>
      </c>
      <c r="AC1928">
        <f t="shared" si="182"/>
        <v>7132179.5999999996</v>
      </c>
      <c r="AD1928">
        <f t="shared" si="183"/>
        <v>700</v>
      </c>
      <c r="AE1928">
        <f t="shared" si="184"/>
        <v>1490179.6</v>
      </c>
      <c r="AF1928" t="str">
        <f t="shared" si="185"/>
        <v>Paid</v>
      </c>
    </row>
    <row r="1929" spans="1:32" ht="17.25" thickBot="1" x14ac:dyDescent="0.35">
      <c r="A1929" s="2" t="s">
        <v>12162</v>
      </c>
      <c r="B1929" s="2" t="s">
        <v>27</v>
      </c>
      <c r="C1929" s="2" t="s">
        <v>28</v>
      </c>
      <c r="D1929" s="2" t="s">
        <v>97</v>
      </c>
      <c r="E1929" s="2" t="s">
        <v>11109</v>
      </c>
      <c r="F1929" s="2" t="s">
        <v>8445</v>
      </c>
      <c r="G1929" s="2" t="s">
        <v>32</v>
      </c>
      <c r="H1929" s="1"/>
      <c r="I1929" s="2" t="s">
        <v>33</v>
      </c>
      <c r="J1929" s="2" t="s">
        <v>34</v>
      </c>
      <c r="K1929" s="2" t="s">
        <v>1026</v>
      </c>
      <c r="L1929" s="2" t="s">
        <v>1027</v>
      </c>
      <c r="M1929" s="2" t="s">
        <v>772</v>
      </c>
      <c r="N1929" s="2" t="s">
        <v>38</v>
      </c>
      <c r="O1929" s="2" t="s">
        <v>149</v>
      </c>
      <c r="P1929" s="2" t="s">
        <v>11694</v>
      </c>
      <c r="Q1929" s="2" t="s">
        <v>12163</v>
      </c>
      <c r="R1929" s="2" t="s">
        <v>40</v>
      </c>
      <c r="S1929" s="2" t="s">
        <v>12164</v>
      </c>
      <c r="T1929" s="2" t="s">
        <v>669</v>
      </c>
      <c r="U1929" s="2" t="s">
        <v>12165</v>
      </c>
      <c r="V1929" s="2" t="s">
        <v>12166</v>
      </c>
      <c r="W1929" s="1"/>
      <c r="X1929" s="2" t="s">
        <v>827</v>
      </c>
      <c r="Y1929" s="2" t="s">
        <v>12056</v>
      </c>
      <c r="AA1929" t="str">
        <f t="shared" si="180"/>
        <v>2025-12</v>
      </c>
      <c r="AB1929" t="str">
        <f t="shared" si="181"/>
        <v/>
      </c>
      <c r="AC1929">
        <f t="shared" si="182"/>
        <v>2266582.5</v>
      </c>
      <c r="AD1929">
        <f t="shared" si="183"/>
        <v>300</v>
      </c>
      <c r="AE1929">
        <f t="shared" si="184"/>
        <v>466582.5</v>
      </c>
      <c r="AF1929" t="str">
        <f t="shared" si="185"/>
        <v>Paid</v>
      </c>
    </row>
    <row r="1930" spans="1:32" ht="17.25" thickBot="1" x14ac:dyDescent="0.35">
      <c r="A1930" s="2" t="s">
        <v>12167</v>
      </c>
      <c r="B1930" s="2" t="s">
        <v>27</v>
      </c>
      <c r="C1930" s="2" t="s">
        <v>28</v>
      </c>
      <c r="D1930" s="2" t="s">
        <v>97</v>
      </c>
      <c r="E1930" s="2" t="s">
        <v>11109</v>
      </c>
      <c r="F1930" s="2" t="s">
        <v>8445</v>
      </c>
      <c r="G1930" s="2" t="s">
        <v>32</v>
      </c>
      <c r="H1930" s="1"/>
      <c r="I1930" s="2" t="s">
        <v>33</v>
      </c>
      <c r="J1930" s="2" t="s">
        <v>34</v>
      </c>
      <c r="K1930" s="2" t="s">
        <v>1033</v>
      </c>
      <c r="L1930" s="2" t="s">
        <v>1034</v>
      </c>
      <c r="M1930" s="2" t="s">
        <v>772</v>
      </c>
      <c r="N1930" s="2" t="s">
        <v>38</v>
      </c>
      <c r="O1930" s="2" t="s">
        <v>71</v>
      </c>
      <c r="P1930" s="2" t="s">
        <v>10724</v>
      </c>
      <c r="Q1930" s="2" t="s">
        <v>12168</v>
      </c>
      <c r="R1930" s="2" t="s">
        <v>40</v>
      </c>
      <c r="S1930" s="2" t="s">
        <v>12169</v>
      </c>
      <c r="T1930" s="2" t="s">
        <v>1039</v>
      </c>
      <c r="U1930" s="2" t="s">
        <v>12170</v>
      </c>
      <c r="V1930" s="2" t="s">
        <v>12171</v>
      </c>
      <c r="W1930" s="1"/>
      <c r="X1930" s="2" t="s">
        <v>2000</v>
      </c>
      <c r="Y1930" s="2" t="s">
        <v>12056</v>
      </c>
      <c r="AA1930" t="str">
        <f t="shared" si="180"/>
        <v>2025-12</v>
      </c>
      <c r="AB1930" t="str">
        <f t="shared" si="181"/>
        <v/>
      </c>
      <c r="AC1930">
        <f t="shared" si="182"/>
        <v>21471372</v>
      </c>
      <c r="AD1930">
        <f t="shared" si="183"/>
        <v>2000</v>
      </c>
      <c r="AE1930">
        <f t="shared" si="184"/>
        <v>4271372</v>
      </c>
      <c r="AF1930" t="str">
        <f t="shared" si="185"/>
        <v>Paid</v>
      </c>
    </row>
    <row r="1931" spans="1:32" ht="17.25" thickBot="1" x14ac:dyDescent="0.35">
      <c r="A1931" s="2" t="s">
        <v>12172</v>
      </c>
      <c r="B1931" s="2" t="s">
        <v>27</v>
      </c>
      <c r="C1931" s="2" t="s">
        <v>28</v>
      </c>
      <c r="D1931" s="2" t="s">
        <v>97</v>
      </c>
      <c r="E1931" s="2" t="s">
        <v>11109</v>
      </c>
      <c r="F1931" s="2" t="s">
        <v>8445</v>
      </c>
      <c r="G1931" s="2" t="s">
        <v>32</v>
      </c>
      <c r="H1931" s="1"/>
      <c r="I1931" s="2" t="s">
        <v>33</v>
      </c>
      <c r="J1931" s="2" t="s">
        <v>34</v>
      </c>
      <c r="K1931" s="2" t="s">
        <v>5322</v>
      </c>
      <c r="L1931" s="2" t="s">
        <v>5323</v>
      </c>
      <c r="M1931" s="2" t="s">
        <v>772</v>
      </c>
      <c r="N1931" s="2" t="s">
        <v>38</v>
      </c>
      <c r="O1931" s="2" t="s">
        <v>5045</v>
      </c>
      <c r="P1931" s="2" t="s">
        <v>2192</v>
      </c>
      <c r="Q1931" s="2" t="s">
        <v>12173</v>
      </c>
      <c r="R1931" s="2" t="s">
        <v>40</v>
      </c>
      <c r="S1931" s="2" t="s">
        <v>12174</v>
      </c>
      <c r="T1931" s="2" t="s">
        <v>1060</v>
      </c>
      <c r="U1931" s="2" t="s">
        <v>12175</v>
      </c>
      <c r="V1931" s="2" t="s">
        <v>12176</v>
      </c>
      <c r="W1931" s="1"/>
      <c r="X1931" s="2" t="s">
        <v>2797</v>
      </c>
      <c r="Y1931" s="2" t="s">
        <v>12056</v>
      </c>
      <c r="AA1931" t="str">
        <f t="shared" si="180"/>
        <v>2025-12</v>
      </c>
      <c r="AB1931" t="str">
        <f t="shared" si="181"/>
        <v/>
      </c>
      <c r="AC1931">
        <f t="shared" si="182"/>
        <v>4804867.08</v>
      </c>
      <c r="AD1931">
        <f t="shared" si="183"/>
        <v>680</v>
      </c>
      <c r="AE1931">
        <f t="shared" si="184"/>
        <v>983267.08</v>
      </c>
      <c r="AF1931" t="str">
        <f t="shared" si="185"/>
        <v>Paid</v>
      </c>
    </row>
    <row r="1932" spans="1:32" ht="17.25" thickBot="1" x14ac:dyDescent="0.35">
      <c r="A1932" s="2" t="s">
        <v>12177</v>
      </c>
      <c r="B1932" s="2" t="s">
        <v>27</v>
      </c>
      <c r="C1932" s="2" t="s">
        <v>28</v>
      </c>
      <c r="D1932" s="2" t="s">
        <v>97</v>
      </c>
      <c r="E1932" s="2" t="s">
        <v>11109</v>
      </c>
      <c r="F1932" s="2" t="s">
        <v>8445</v>
      </c>
      <c r="G1932" s="2" t="s">
        <v>32</v>
      </c>
      <c r="H1932" s="1"/>
      <c r="I1932" s="2" t="s">
        <v>33</v>
      </c>
      <c r="J1932" s="2" t="s">
        <v>34</v>
      </c>
      <c r="K1932" s="2" t="s">
        <v>3885</v>
      </c>
      <c r="L1932" s="2" t="s">
        <v>3886</v>
      </c>
      <c r="M1932" s="2" t="s">
        <v>701</v>
      </c>
      <c r="N1932" s="2" t="s">
        <v>38</v>
      </c>
      <c r="O1932" s="2" t="s">
        <v>12178</v>
      </c>
      <c r="P1932" s="2" t="s">
        <v>3888</v>
      </c>
      <c r="Q1932" s="2" t="s">
        <v>12179</v>
      </c>
      <c r="R1932" s="2" t="s">
        <v>40</v>
      </c>
      <c r="S1932" s="2" t="s">
        <v>12180</v>
      </c>
      <c r="T1932" s="2" t="s">
        <v>706</v>
      </c>
      <c r="U1932" s="2" t="s">
        <v>12181</v>
      </c>
      <c r="V1932" s="2" t="s">
        <v>12182</v>
      </c>
      <c r="W1932" s="1"/>
      <c r="X1932" s="2" t="s">
        <v>5168</v>
      </c>
      <c r="Y1932" s="2" t="s">
        <v>12183</v>
      </c>
      <c r="AA1932" t="str">
        <f t="shared" si="180"/>
        <v>2025-12</v>
      </c>
      <c r="AB1932" t="str">
        <f t="shared" si="181"/>
        <v/>
      </c>
      <c r="AC1932">
        <f t="shared" si="182"/>
        <v>11592882.24</v>
      </c>
      <c r="AD1932">
        <f t="shared" si="183"/>
        <v>1160</v>
      </c>
      <c r="AE1932">
        <f t="shared" si="184"/>
        <v>1848882.24</v>
      </c>
      <c r="AF1932" t="str">
        <f t="shared" si="185"/>
        <v>Paid</v>
      </c>
    </row>
    <row r="1933" spans="1:32" ht="17.25" thickBot="1" x14ac:dyDescent="0.35">
      <c r="A1933" s="2" t="s">
        <v>12184</v>
      </c>
      <c r="B1933" s="2" t="s">
        <v>27</v>
      </c>
      <c r="C1933" s="2" t="s">
        <v>28</v>
      </c>
      <c r="D1933" s="2" t="s">
        <v>97</v>
      </c>
      <c r="E1933" s="2" t="s">
        <v>11109</v>
      </c>
      <c r="F1933" s="2" t="s">
        <v>8445</v>
      </c>
      <c r="G1933" s="2" t="s">
        <v>32</v>
      </c>
      <c r="H1933" s="1"/>
      <c r="I1933" s="2" t="s">
        <v>33</v>
      </c>
      <c r="J1933" s="2" t="s">
        <v>34</v>
      </c>
      <c r="K1933" s="2" t="s">
        <v>3895</v>
      </c>
      <c r="L1933" s="2" t="s">
        <v>3896</v>
      </c>
      <c r="M1933" s="2" t="s">
        <v>701</v>
      </c>
      <c r="N1933" s="2" t="s">
        <v>38</v>
      </c>
      <c r="O1933" s="2" t="s">
        <v>1988</v>
      </c>
      <c r="P1933" s="2" t="s">
        <v>3898</v>
      </c>
      <c r="Q1933" s="2" t="s">
        <v>12185</v>
      </c>
      <c r="R1933" s="2" t="s">
        <v>40</v>
      </c>
      <c r="S1933" s="2" t="s">
        <v>12186</v>
      </c>
      <c r="T1933" s="2" t="s">
        <v>1444</v>
      </c>
      <c r="U1933" s="2" t="s">
        <v>12187</v>
      </c>
      <c r="V1933" s="2" t="s">
        <v>12188</v>
      </c>
      <c r="W1933" s="1"/>
      <c r="X1933" s="2" t="s">
        <v>3903</v>
      </c>
      <c r="Y1933" s="2" t="s">
        <v>12183</v>
      </c>
      <c r="AA1933" t="str">
        <f t="shared" si="180"/>
        <v>2025-12</v>
      </c>
      <c r="AB1933" t="str">
        <f t="shared" si="181"/>
        <v/>
      </c>
      <c r="AC1933">
        <f t="shared" si="182"/>
        <v>11318050.98</v>
      </c>
      <c r="AD1933">
        <f t="shared" si="183"/>
        <v>1740</v>
      </c>
      <c r="AE1933">
        <f t="shared" si="184"/>
        <v>1817650.98</v>
      </c>
      <c r="AF1933" t="str">
        <f t="shared" si="185"/>
        <v>Paid</v>
      </c>
    </row>
    <row r="1934" spans="1:32" ht="17.25" thickBot="1" x14ac:dyDescent="0.35">
      <c r="A1934" s="2" t="s">
        <v>12189</v>
      </c>
      <c r="B1934" s="2" t="s">
        <v>27</v>
      </c>
      <c r="C1934" s="2" t="s">
        <v>28</v>
      </c>
      <c r="D1934" s="2" t="s">
        <v>97</v>
      </c>
      <c r="E1934" s="2" t="s">
        <v>11109</v>
      </c>
      <c r="F1934" s="2" t="s">
        <v>8445</v>
      </c>
      <c r="G1934" s="2" t="s">
        <v>32</v>
      </c>
      <c r="H1934" s="1"/>
      <c r="I1934" s="2" t="s">
        <v>33</v>
      </c>
      <c r="J1934" s="2" t="s">
        <v>34</v>
      </c>
      <c r="K1934" s="2" t="s">
        <v>3905</v>
      </c>
      <c r="L1934" s="2" t="s">
        <v>3906</v>
      </c>
      <c r="M1934" s="2" t="s">
        <v>701</v>
      </c>
      <c r="N1934" s="2" t="s">
        <v>38</v>
      </c>
      <c r="O1934" s="2" t="s">
        <v>5624</v>
      </c>
      <c r="P1934" s="2" t="s">
        <v>3908</v>
      </c>
      <c r="Q1934" s="2" t="s">
        <v>12190</v>
      </c>
      <c r="R1934" s="2" t="s">
        <v>40</v>
      </c>
      <c r="S1934" s="2" t="s">
        <v>12191</v>
      </c>
      <c r="T1934" s="2" t="s">
        <v>3015</v>
      </c>
      <c r="U1934" s="2" t="s">
        <v>12192</v>
      </c>
      <c r="V1934" s="2" t="s">
        <v>12193</v>
      </c>
      <c r="W1934" s="1"/>
      <c r="X1934" s="2" t="s">
        <v>709</v>
      </c>
      <c r="Y1934" s="2" t="s">
        <v>12183</v>
      </c>
      <c r="AA1934" t="str">
        <f t="shared" si="180"/>
        <v>2025-12</v>
      </c>
      <c r="AB1934" t="str">
        <f t="shared" si="181"/>
        <v/>
      </c>
      <c r="AC1934">
        <f t="shared" si="182"/>
        <v>8441024.3000000007</v>
      </c>
      <c r="AD1934">
        <f t="shared" si="183"/>
        <v>888</v>
      </c>
      <c r="AE1934">
        <f t="shared" si="184"/>
        <v>1354784.3</v>
      </c>
      <c r="AF1934" t="str">
        <f t="shared" si="185"/>
        <v>Paid</v>
      </c>
    </row>
    <row r="1935" spans="1:32" ht="17.25" thickBot="1" x14ac:dyDescent="0.35">
      <c r="A1935" s="2" t="s">
        <v>12194</v>
      </c>
      <c r="B1935" s="2" t="s">
        <v>27</v>
      </c>
      <c r="C1935" s="2" t="s">
        <v>28</v>
      </c>
      <c r="D1935" s="2" t="s">
        <v>97</v>
      </c>
      <c r="E1935" s="2" t="s">
        <v>11109</v>
      </c>
      <c r="F1935" s="2" t="s">
        <v>8445</v>
      </c>
      <c r="G1935" s="2" t="s">
        <v>32</v>
      </c>
      <c r="H1935" s="1"/>
      <c r="I1935" s="2" t="s">
        <v>33</v>
      </c>
      <c r="J1935" s="2" t="s">
        <v>34</v>
      </c>
      <c r="K1935" s="2" t="s">
        <v>10598</v>
      </c>
      <c r="L1935" s="2" t="s">
        <v>10599</v>
      </c>
      <c r="M1935" s="2" t="s">
        <v>701</v>
      </c>
      <c r="N1935" s="2" t="s">
        <v>38</v>
      </c>
      <c r="O1935" s="2" t="s">
        <v>448</v>
      </c>
      <c r="P1935" s="2" t="s">
        <v>3898</v>
      </c>
      <c r="Q1935" s="2" t="s">
        <v>12195</v>
      </c>
      <c r="R1935" s="2" t="s">
        <v>40</v>
      </c>
      <c r="S1935" s="2" t="s">
        <v>12196</v>
      </c>
      <c r="T1935" s="2" t="s">
        <v>1444</v>
      </c>
      <c r="U1935" s="2" t="s">
        <v>12197</v>
      </c>
      <c r="V1935" s="2" t="s">
        <v>12198</v>
      </c>
      <c r="W1935" s="1"/>
      <c r="X1935" s="2" t="s">
        <v>3903</v>
      </c>
      <c r="Y1935" s="2" t="s">
        <v>12183</v>
      </c>
      <c r="AA1935" t="str">
        <f t="shared" si="180"/>
        <v>2025-12</v>
      </c>
      <c r="AB1935" t="str">
        <f t="shared" si="181"/>
        <v/>
      </c>
      <c r="AC1935">
        <f t="shared" si="182"/>
        <v>5073609.0599999996</v>
      </c>
      <c r="AD1935">
        <f t="shared" si="183"/>
        <v>780</v>
      </c>
      <c r="AE1935">
        <f t="shared" si="184"/>
        <v>814809.06</v>
      </c>
      <c r="AF1935" t="str">
        <f t="shared" si="185"/>
        <v>Paid</v>
      </c>
    </row>
    <row r="1936" spans="1:32" ht="17.25" thickBot="1" x14ac:dyDescent="0.35">
      <c r="A1936" s="2" t="s">
        <v>12199</v>
      </c>
      <c r="B1936" s="2" t="s">
        <v>27</v>
      </c>
      <c r="C1936" s="2" t="s">
        <v>28</v>
      </c>
      <c r="D1936" s="2" t="s">
        <v>97</v>
      </c>
      <c r="E1936" s="2" t="s">
        <v>11109</v>
      </c>
      <c r="F1936" s="2" t="s">
        <v>8445</v>
      </c>
      <c r="G1936" s="2" t="s">
        <v>32</v>
      </c>
      <c r="H1936" s="1"/>
      <c r="I1936" s="2" t="s">
        <v>33</v>
      </c>
      <c r="J1936" s="2" t="s">
        <v>34</v>
      </c>
      <c r="K1936" s="2" t="s">
        <v>699</v>
      </c>
      <c r="L1936" s="2" t="s">
        <v>700</v>
      </c>
      <c r="M1936" s="2" t="s">
        <v>701</v>
      </c>
      <c r="N1936" s="2" t="s">
        <v>38</v>
      </c>
      <c r="O1936" s="2" t="s">
        <v>177</v>
      </c>
      <c r="P1936" s="2" t="s">
        <v>3888</v>
      </c>
      <c r="Q1936" s="2" t="s">
        <v>12200</v>
      </c>
      <c r="R1936" s="2" t="s">
        <v>40</v>
      </c>
      <c r="S1936" s="2" t="s">
        <v>12201</v>
      </c>
      <c r="T1936" s="2" t="s">
        <v>706</v>
      </c>
      <c r="U1936" s="2" t="s">
        <v>1662</v>
      </c>
      <c r="V1936" s="2" t="s">
        <v>12202</v>
      </c>
      <c r="W1936" s="1"/>
      <c r="X1936" s="2" t="s">
        <v>5168</v>
      </c>
      <c r="Y1936" s="2" t="s">
        <v>12183</v>
      </c>
      <c r="AA1936" t="str">
        <f t="shared" si="180"/>
        <v>2025-12</v>
      </c>
      <c r="AB1936" t="str">
        <f t="shared" si="181"/>
        <v/>
      </c>
      <c r="AC1936">
        <f t="shared" si="182"/>
        <v>3997545.6</v>
      </c>
      <c r="AD1936">
        <f t="shared" si="183"/>
        <v>400</v>
      </c>
      <c r="AE1936">
        <f t="shared" si="184"/>
        <v>637545.6</v>
      </c>
      <c r="AF1936" t="str">
        <f t="shared" si="185"/>
        <v>Paid</v>
      </c>
    </row>
    <row r="1937" spans="1:32" ht="17.25" thickBot="1" x14ac:dyDescent="0.35">
      <c r="A1937" s="2" t="s">
        <v>12203</v>
      </c>
      <c r="B1937" s="2" t="s">
        <v>27</v>
      </c>
      <c r="C1937" s="2" t="s">
        <v>28</v>
      </c>
      <c r="D1937" s="2" t="s">
        <v>97</v>
      </c>
      <c r="E1937" s="2" t="s">
        <v>11109</v>
      </c>
      <c r="F1937" s="2" t="s">
        <v>8445</v>
      </c>
      <c r="G1937" s="2" t="s">
        <v>32</v>
      </c>
      <c r="H1937" s="1"/>
      <c r="I1937" s="2" t="s">
        <v>33</v>
      </c>
      <c r="J1937" s="2" t="s">
        <v>34</v>
      </c>
      <c r="K1937" s="2" t="s">
        <v>3930</v>
      </c>
      <c r="L1937" s="2" t="s">
        <v>3931</v>
      </c>
      <c r="M1937" s="2" t="s">
        <v>701</v>
      </c>
      <c r="N1937" s="2" t="s">
        <v>38</v>
      </c>
      <c r="O1937" s="2" t="s">
        <v>4221</v>
      </c>
      <c r="P1937" s="2" t="s">
        <v>3933</v>
      </c>
      <c r="Q1937" s="2" t="s">
        <v>12204</v>
      </c>
      <c r="R1937" s="2" t="s">
        <v>40</v>
      </c>
      <c r="S1937" s="2" t="s">
        <v>12205</v>
      </c>
      <c r="T1937" s="2" t="s">
        <v>3936</v>
      </c>
      <c r="U1937" s="2" t="s">
        <v>12206</v>
      </c>
      <c r="V1937" s="2" t="s">
        <v>12207</v>
      </c>
      <c r="W1937" s="1"/>
      <c r="X1937" s="2" t="s">
        <v>709</v>
      </c>
      <c r="Y1937" s="2" t="s">
        <v>12183</v>
      </c>
      <c r="AA1937" t="str">
        <f t="shared" si="180"/>
        <v>2025-12</v>
      </c>
      <c r="AB1937" t="str">
        <f t="shared" si="181"/>
        <v/>
      </c>
      <c r="AC1937">
        <f t="shared" si="182"/>
        <v>17341077.120000001</v>
      </c>
      <c r="AD1937">
        <f t="shared" si="183"/>
        <v>1020</v>
      </c>
      <c r="AE1937">
        <f t="shared" si="184"/>
        <v>2775477.12</v>
      </c>
      <c r="AF1937" t="str">
        <f t="shared" si="185"/>
        <v>Paid</v>
      </c>
    </row>
    <row r="1938" spans="1:32" ht="17.25" thickBot="1" x14ac:dyDescent="0.35">
      <c r="A1938" s="2" t="s">
        <v>12208</v>
      </c>
      <c r="B1938" s="2" t="s">
        <v>27</v>
      </c>
      <c r="C1938" s="2" t="s">
        <v>28</v>
      </c>
      <c r="D1938" s="2" t="s">
        <v>97</v>
      </c>
      <c r="E1938" s="2" t="s">
        <v>11109</v>
      </c>
      <c r="F1938" s="2" t="s">
        <v>8445</v>
      </c>
      <c r="G1938" s="2" t="s">
        <v>32</v>
      </c>
      <c r="H1938" s="1"/>
      <c r="I1938" s="2" t="s">
        <v>33</v>
      </c>
      <c r="J1938" s="2" t="s">
        <v>34</v>
      </c>
      <c r="K1938" s="2" t="s">
        <v>3940</v>
      </c>
      <c r="L1938" s="2" t="s">
        <v>3941</v>
      </c>
      <c r="M1938" s="2" t="s">
        <v>701</v>
      </c>
      <c r="N1938" s="2" t="s">
        <v>38</v>
      </c>
      <c r="O1938" s="2" t="s">
        <v>12209</v>
      </c>
      <c r="P1938" s="2" t="s">
        <v>3943</v>
      </c>
      <c r="Q1938" s="2" t="s">
        <v>12210</v>
      </c>
      <c r="R1938" s="2" t="s">
        <v>40</v>
      </c>
      <c r="S1938" s="2" t="s">
        <v>12211</v>
      </c>
      <c r="T1938" s="2" t="s">
        <v>726</v>
      </c>
      <c r="U1938" s="2" t="s">
        <v>12212</v>
      </c>
      <c r="V1938" s="2" t="s">
        <v>12213</v>
      </c>
      <c r="W1938" s="1"/>
      <c r="X1938" s="2" t="s">
        <v>709</v>
      </c>
      <c r="Y1938" s="2" t="s">
        <v>12183</v>
      </c>
      <c r="AA1938" t="str">
        <f t="shared" si="180"/>
        <v>2025-12</v>
      </c>
      <c r="AB1938" t="str">
        <f t="shared" si="181"/>
        <v/>
      </c>
      <c r="AC1938">
        <f t="shared" si="182"/>
        <v>42842661.119999997</v>
      </c>
      <c r="AD1938">
        <f t="shared" si="183"/>
        <v>5040</v>
      </c>
      <c r="AE1938">
        <f t="shared" si="184"/>
        <v>6857061.1200000001</v>
      </c>
      <c r="AF1938" t="str">
        <f t="shared" si="185"/>
        <v>Paid</v>
      </c>
    </row>
    <row r="1939" spans="1:32" ht="17.25" thickBot="1" x14ac:dyDescent="0.35">
      <c r="A1939" s="2" t="s">
        <v>12214</v>
      </c>
      <c r="B1939" s="2" t="s">
        <v>27</v>
      </c>
      <c r="C1939" s="2" t="s">
        <v>28</v>
      </c>
      <c r="D1939" s="2" t="s">
        <v>97</v>
      </c>
      <c r="E1939" s="2" t="s">
        <v>11109</v>
      </c>
      <c r="F1939" s="2" t="s">
        <v>8445</v>
      </c>
      <c r="G1939" s="2" t="s">
        <v>32</v>
      </c>
      <c r="H1939" s="1"/>
      <c r="I1939" s="2" t="s">
        <v>33</v>
      </c>
      <c r="J1939" s="2" t="s">
        <v>34</v>
      </c>
      <c r="K1939" s="2" t="s">
        <v>3940</v>
      </c>
      <c r="L1939" s="2" t="s">
        <v>3941</v>
      </c>
      <c r="M1939" s="2" t="s">
        <v>701</v>
      </c>
      <c r="N1939" s="2" t="s">
        <v>38</v>
      </c>
      <c r="O1939" s="2" t="s">
        <v>391</v>
      </c>
      <c r="P1939" s="2" t="s">
        <v>104</v>
      </c>
      <c r="Q1939" s="2" t="s">
        <v>12215</v>
      </c>
      <c r="R1939" s="2" t="s">
        <v>40</v>
      </c>
      <c r="S1939" s="2" t="s">
        <v>12216</v>
      </c>
      <c r="T1939" s="2" t="s">
        <v>726</v>
      </c>
      <c r="U1939" s="2" t="s">
        <v>9877</v>
      </c>
      <c r="V1939" s="2" t="s">
        <v>12217</v>
      </c>
      <c r="W1939" s="2" t="s">
        <v>41</v>
      </c>
      <c r="X1939" s="2" t="s">
        <v>12218</v>
      </c>
      <c r="Y1939" s="2" t="s">
        <v>12183</v>
      </c>
      <c r="AA1939" t="str">
        <f t="shared" si="180"/>
        <v>2025-12</v>
      </c>
      <c r="AB1939" t="str">
        <f t="shared" si="181"/>
        <v/>
      </c>
      <c r="AC1939">
        <f t="shared" si="182"/>
        <v>861.54</v>
      </c>
      <c r="AD1939">
        <f t="shared" si="183"/>
        <v>60</v>
      </c>
      <c r="AE1939">
        <f t="shared" si="184"/>
        <v>-427538.46</v>
      </c>
      <c r="AF1939" t="str">
        <f t="shared" si="185"/>
        <v>Sample</v>
      </c>
    </row>
    <row r="1940" spans="1:32" ht="17.25" thickBot="1" x14ac:dyDescent="0.35">
      <c r="A1940" s="2" t="s">
        <v>12219</v>
      </c>
      <c r="B1940" s="2" t="s">
        <v>27</v>
      </c>
      <c r="C1940" s="2" t="s">
        <v>28</v>
      </c>
      <c r="D1940" s="2" t="s">
        <v>97</v>
      </c>
      <c r="E1940" s="2" t="s">
        <v>11109</v>
      </c>
      <c r="F1940" s="2" t="s">
        <v>8445</v>
      </c>
      <c r="G1940" s="2" t="s">
        <v>32</v>
      </c>
      <c r="H1940" s="1"/>
      <c r="I1940" s="2" t="s">
        <v>33</v>
      </c>
      <c r="J1940" s="2" t="s">
        <v>34</v>
      </c>
      <c r="K1940" s="2" t="s">
        <v>720</v>
      </c>
      <c r="L1940" s="2" t="s">
        <v>721</v>
      </c>
      <c r="M1940" s="2" t="s">
        <v>701</v>
      </c>
      <c r="N1940" s="2" t="s">
        <v>38</v>
      </c>
      <c r="O1940" s="2" t="s">
        <v>1813</v>
      </c>
      <c r="P1940" s="2" t="s">
        <v>3943</v>
      </c>
      <c r="Q1940" s="2" t="s">
        <v>12220</v>
      </c>
      <c r="R1940" s="2" t="s">
        <v>40</v>
      </c>
      <c r="S1940" s="2" t="s">
        <v>12221</v>
      </c>
      <c r="T1940" s="2" t="s">
        <v>726</v>
      </c>
      <c r="U1940" s="2" t="s">
        <v>12222</v>
      </c>
      <c r="V1940" s="2" t="s">
        <v>12223</v>
      </c>
      <c r="W1940" s="1"/>
      <c r="X1940" s="2" t="s">
        <v>709</v>
      </c>
      <c r="Y1940" s="2" t="s">
        <v>12183</v>
      </c>
      <c r="AA1940" t="str">
        <f t="shared" si="180"/>
        <v>2025-12</v>
      </c>
      <c r="AB1940" t="str">
        <f t="shared" si="181"/>
        <v/>
      </c>
      <c r="AC1940">
        <f t="shared" si="182"/>
        <v>19551214.399999999</v>
      </c>
      <c r="AD1940">
        <f t="shared" si="183"/>
        <v>2300</v>
      </c>
      <c r="AE1940">
        <f t="shared" si="184"/>
        <v>3129214.4</v>
      </c>
      <c r="AF1940" t="str">
        <f t="shared" si="185"/>
        <v>Paid</v>
      </c>
    </row>
    <row r="1941" spans="1:32" ht="17.25" thickBot="1" x14ac:dyDescent="0.35">
      <c r="A1941" s="2" t="s">
        <v>12224</v>
      </c>
      <c r="B1941" s="2" t="s">
        <v>27</v>
      </c>
      <c r="C1941" s="2" t="s">
        <v>28</v>
      </c>
      <c r="D1941" s="2" t="s">
        <v>97</v>
      </c>
      <c r="E1941" s="2" t="s">
        <v>11109</v>
      </c>
      <c r="F1941" s="2" t="s">
        <v>8445</v>
      </c>
      <c r="G1941" s="2" t="s">
        <v>32</v>
      </c>
      <c r="H1941" s="1"/>
      <c r="I1941" s="2" t="s">
        <v>33</v>
      </c>
      <c r="J1941" s="2" t="s">
        <v>34</v>
      </c>
      <c r="K1941" s="2" t="s">
        <v>720</v>
      </c>
      <c r="L1941" s="2" t="s">
        <v>721</v>
      </c>
      <c r="M1941" s="2" t="s">
        <v>701</v>
      </c>
      <c r="N1941" s="2" t="s">
        <v>38</v>
      </c>
      <c r="O1941" s="2" t="s">
        <v>214</v>
      </c>
      <c r="P1941" s="2" t="s">
        <v>104</v>
      </c>
      <c r="Q1941" s="2" t="s">
        <v>215</v>
      </c>
      <c r="R1941" s="2" t="s">
        <v>40</v>
      </c>
      <c r="S1941" s="2" t="s">
        <v>12225</v>
      </c>
      <c r="T1941" s="2" t="s">
        <v>726</v>
      </c>
      <c r="U1941" s="2" t="s">
        <v>4055</v>
      </c>
      <c r="V1941" s="2" t="s">
        <v>12226</v>
      </c>
      <c r="W1941" s="2" t="s">
        <v>41</v>
      </c>
      <c r="X1941" s="2" t="s">
        <v>12218</v>
      </c>
      <c r="Y1941" s="2" t="s">
        <v>12183</v>
      </c>
      <c r="AA1941" t="str">
        <f t="shared" si="180"/>
        <v>2025-12</v>
      </c>
      <c r="AB1941" t="str">
        <f t="shared" si="181"/>
        <v/>
      </c>
      <c r="AC1941">
        <f t="shared" si="182"/>
        <v>717.95</v>
      </c>
      <c r="AD1941">
        <f t="shared" si="183"/>
        <v>50</v>
      </c>
      <c r="AE1941">
        <f t="shared" si="184"/>
        <v>-356282.05</v>
      </c>
      <c r="AF1941" t="str">
        <f t="shared" si="185"/>
        <v>Sample</v>
      </c>
    </row>
    <row r="1942" spans="1:32" ht="17.25" thickBot="1" x14ac:dyDescent="0.35">
      <c r="A1942" s="2" t="s">
        <v>12227</v>
      </c>
      <c r="B1942" s="2" t="s">
        <v>27</v>
      </c>
      <c r="C1942" s="2" t="s">
        <v>28</v>
      </c>
      <c r="D1942" s="2" t="s">
        <v>97</v>
      </c>
      <c r="E1942" s="2" t="s">
        <v>11109</v>
      </c>
      <c r="F1942" s="2" t="s">
        <v>8445</v>
      </c>
      <c r="G1942" s="2" t="s">
        <v>32</v>
      </c>
      <c r="H1942" s="1"/>
      <c r="I1942" s="2" t="s">
        <v>33</v>
      </c>
      <c r="J1942" s="2" t="s">
        <v>34</v>
      </c>
      <c r="K1942" s="2" t="s">
        <v>730</v>
      </c>
      <c r="L1942" s="2" t="s">
        <v>731</v>
      </c>
      <c r="M1942" s="2" t="s">
        <v>701</v>
      </c>
      <c r="N1942" s="2" t="s">
        <v>38</v>
      </c>
      <c r="O1942" s="2" t="s">
        <v>370</v>
      </c>
      <c r="P1942" s="2" t="s">
        <v>891</v>
      </c>
      <c r="Q1942" s="2" t="s">
        <v>12228</v>
      </c>
      <c r="R1942" s="2" t="s">
        <v>40</v>
      </c>
      <c r="S1942" s="2" t="s">
        <v>12229</v>
      </c>
      <c r="T1942" s="2" t="s">
        <v>716</v>
      </c>
      <c r="U1942" s="2" t="s">
        <v>8266</v>
      </c>
      <c r="V1942" s="2" t="s">
        <v>12230</v>
      </c>
      <c r="W1942" s="1"/>
      <c r="X1942" s="2" t="s">
        <v>709</v>
      </c>
      <c r="Y1942" s="2" t="s">
        <v>12183</v>
      </c>
      <c r="AA1942" t="str">
        <f t="shared" si="180"/>
        <v>2025-12</v>
      </c>
      <c r="AB1942" t="str">
        <f t="shared" si="181"/>
        <v/>
      </c>
      <c r="AC1942">
        <f t="shared" si="182"/>
        <v>5761979.5199999996</v>
      </c>
      <c r="AD1942">
        <f t="shared" si="183"/>
        <v>480</v>
      </c>
      <c r="AE1942">
        <f t="shared" si="184"/>
        <v>923579.52</v>
      </c>
      <c r="AF1942" t="str">
        <f t="shared" si="185"/>
        <v>Paid</v>
      </c>
    </row>
    <row r="1943" spans="1:32" ht="17.25" thickBot="1" x14ac:dyDescent="0.35">
      <c r="A1943" s="2" t="s">
        <v>12231</v>
      </c>
      <c r="B1943" s="2" t="s">
        <v>27</v>
      </c>
      <c r="C1943" s="2" t="s">
        <v>28</v>
      </c>
      <c r="D1943" s="2" t="s">
        <v>97</v>
      </c>
      <c r="E1943" s="2" t="s">
        <v>11109</v>
      </c>
      <c r="F1943" s="2" t="s">
        <v>8445</v>
      </c>
      <c r="G1943" s="2" t="s">
        <v>32</v>
      </c>
      <c r="H1943" s="1"/>
      <c r="I1943" s="2" t="s">
        <v>33</v>
      </c>
      <c r="J1943" s="2" t="s">
        <v>34</v>
      </c>
      <c r="K1943" s="2" t="s">
        <v>746</v>
      </c>
      <c r="L1943" s="2" t="s">
        <v>747</v>
      </c>
      <c r="M1943" s="2" t="s">
        <v>701</v>
      </c>
      <c r="N1943" s="2" t="s">
        <v>38</v>
      </c>
      <c r="O1943" s="2" t="s">
        <v>177</v>
      </c>
      <c r="P1943" s="2" t="s">
        <v>891</v>
      </c>
      <c r="Q1943" s="2" t="s">
        <v>12232</v>
      </c>
      <c r="R1943" s="2" t="s">
        <v>40</v>
      </c>
      <c r="S1943" s="2" t="s">
        <v>12233</v>
      </c>
      <c r="T1943" s="2" t="s">
        <v>716</v>
      </c>
      <c r="U1943" s="2" t="s">
        <v>8282</v>
      </c>
      <c r="V1943" s="2" t="s">
        <v>12234</v>
      </c>
      <c r="W1943" s="1"/>
      <c r="X1943" s="2" t="s">
        <v>709</v>
      </c>
      <c r="Y1943" s="2" t="s">
        <v>12183</v>
      </c>
      <c r="AA1943" t="str">
        <f t="shared" si="180"/>
        <v>2025-12</v>
      </c>
      <c r="AB1943" t="str">
        <f t="shared" si="181"/>
        <v/>
      </c>
      <c r="AC1943">
        <f t="shared" si="182"/>
        <v>4801649.5999999996</v>
      </c>
      <c r="AD1943">
        <f t="shared" si="183"/>
        <v>400</v>
      </c>
      <c r="AE1943">
        <f t="shared" si="184"/>
        <v>769649.6</v>
      </c>
      <c r="AF1943" t="str">
        <f t="shared" si="185"/>
        <v>Paid</v>
      </c>
    </row>
    <row r="1944" spans="1:32" ht="17.25" thickBot="1" x14ac:dyDescent="0.35">
      <c r="A1944" s="2" t="s">
        <v>12235</v>
      </c>
      <c r="B1944" s="2" t="s">
        <v>27</v>
      </c>
      <c r="C1944" s="2" t="s">
        <v>28</v>
      </c>
      <c r="D1944" s="2" t="s">
        <v>97</v>
      </c>
      <c r="E1944" s="2" t="s">
        <v>11109</v>
      </c>
      <c r="F1944" s="2" t="s">
        <v>8445</v>
      </c>
      <c r="G1944" s="2" t="s">
        <v>32</v>
      </c>
      <c r="H1944" s="1"/>
      <c r="I1944" s="2" t="s">
        <v>33</v>
      </c>
      <c r="J1944" s="2" t="s">
        <v>34</v>
      </c>
      <c r="K1944" s="2" t="s">
        <v>754</v>
      </c>
      <c r="L1944" s="2" t="s">
        <v>755</v>
      </c>
      <c r="M1944" s="2" t="s">
        <v>701</v>
      </c>
      <c r="N1944" s="2" t="s">
        <v>38</v>
      </c>
      <c r="O1944" s="2" t="s">
        <v>1951</v>
      </c>
      <c r="P1944" s="2" t="s">
        <v>1175</v>
      </c>
      <c r="Q1944" s="2" t="s">
        <v>8285</v>
      </c>
      <c r="R1944" s="2" t="s">
        <v>40</v>
      </c>
      <c r="S1944" s="2" t="s">
        <v>12236</v>
      </c>
      <c r="T1944" s="2" t="s">
        <v>759</v>
      </c>
      <c r="U1944" s="2" t="s">
        <v>8287</v>
      </c>
      <c r="V1944" s="2" t="s">
        <v>12237</v>
      </c>
      <c r="W1944" s="1"/>
      <c r="X1944" s="2" t="s">
        <v>709</v>
      </c>
      <c r="Y1944" s="2" t="s">
        <v>12183</v>
      </c>
      <c r="AA1944" t="str">
        <f t="shared" si="180"/>
        <v>2025-12</v>
      </c>
      <c r="AB1944" t="str">
        <f t="shared" si="181"/>
        <v/>
      </c>
      <c r="AC1944">
        <f t="shared" si="182"/>
        <v>5401855.7999999998</v>
      </c>
      <c r="AD1944">
        <f t="shared" si="183"/>
        <v>600</v>
      </c>
      <c r="AE1944">
        <f t="shared" si="184"/>
        <v>865855.8</v>
      </c>
      <c r="AF1944" t="str">
        <f t="shared" si="185"/>
        <v>Paid</v>
      </c>
    </row>
    <row r="1945" spans="1:32" ht="17.25" thickBot="1" x14ac:dyDescent="0.35">
      <c r="A1945" s="2" t="s">
        <v>12238</v>
      </c>
      <c r="B1945" s="2" t="s">
        <v>27</v>
      </c>
      <c r="C1945" s="2" t="s">
        <v>28</v>
      </c>
      <c r="D1945" s="2" t="s">
        <v>97</v>
      </c>
      <c r="E1945" s="2" t="s">
        <v>11109</v>
      </c>
      <c r="F1945" s="2" t="s">
        <v>8445</v>
      </c>
      <c r="G1945" s="2" t="s">
        <v>32</v>
      </c>
      <c r="H1945" s="1"/>
      <c r="I1945" s="2" t="s">
        <v>33</v>
      </c>
      <c r="J1945" s="2" t="s">
        <v>34</v>
      </c>
      <c r="K1945" s="2" t="s">
        <v>3978</v>
      </c>
      <c r="L1945" s="2" t="s">
        <v>3979</v>
      </c>
      <c r="M1945" s="2" t="s">
        <v>701</v>
      </c>
      <c r="N1945" s="2" t="s">
        <v>38</v>
      </c>
      <c r="O1945" s="2" t="s">
        <v>493</v>
      </c>
      <c r="P1945" s="2" t="s">
        <v>1175</v>
      </c>
      <c r="Q1945" s="2" t="s">
        <v>4016</v>
      </c>
      <c r="R1945" s="2" t="s">
        <v>40</v>
      </c>
      <c r="S1945" s="2" t="s">
        <v>12239</v>
      </c>
      <c r="T1945" s="2" t="s">
        <v>12240</v>
      </c>
      <c r="U1945" s="2" t="s">
        <v>12241</v>
      </c>
      <c r="V1945" s="2" t="s">
        <v>12242</v>
      </c>
      <c r="W1945" s="1"/>
      <c r="X1945" s="2" t="s">
        <v>12243</v>
      </c>
      <c r="Y1945" s="2" t="s">
        <v>12183</v>
      </c>
      <c r="AA1945" t="str">
        <f t="shared" si="180"/>
        <v>2025-12</v>
      </c>
      <c r="AB1945" t="str">
        <f t="shared" si="181"/>
        <v/>
      </c>
      <c r="AC1945">
        <f t="shared" si="182"/>
        <v>3781299.06</v>
      </c>
      <c r="AD1945">
        <f t="shared" si="183"/>
        <v>420</v>
      </c>
      <c r="AE1945">
        <f t="shared" si="184"/>
        <v>1664499.06</v>
      </c>
      <c r="AF1945" t="str">
        <f t="shared" si="185"/>
        <v>Paid</v>
      </c>
    </row>
    <row r="1946" spans="1:32" ht="17.25" thickBot="1" x14ac:dyDescent="0.35">
      <c r="A1946" s="2" t="s">
        <v>12244</v>
      </c>
      <c r="B1946" s="2" t="s">
        <v>27</v>
      </c>
      <c r="C1946" s="2" t="s">
        <v>28</v>
      </c>
      <c r="D1946" s="2" t="s">
        <v>97</v>
      </c>
      <c r="E1946" s="2" t="s">
        <v>11109</v>
      </c>
      <c r="F1946" s="2" t="s">
        <v>8445</v>
      </c>
      <c r="G1946" s="2" t="s">
        <v>32</v>
      </c>
      <c r="H1946" s="1"/>
      <c r="I1946" s="2" t="s">
        <v>33</v>
      </c>
      <c r="J1946" s="2" t="s">
        <v>34</v>
      </c>
      <c r="K1946" s="2" t="s">
        <v>3986</v>
      </c>
      <c r="L1946" s="2" t="s">
        <v>3987</v>
      </c>
      <c r="M1946" s="2" t="s">
        <v>701</v>
      </c>
      <c r="N1946" s="2" t="s">
        <v>38</v>
      </c>
      <c r="O1946" s="2" t="s">
        <v>1007</v>
      </c>
      <c r="P1946" s="2" t="s">
        <v>3943</v>
      </c>
      <c r="Q1946" s="2" t="s">
        <v>12245</v>
      </c>
      <c r="R1946" s="2" t="s">
        <v>40</v>
      </c>
      <c r="S1946" s="2" t="s">
        <v>12246</v>
      </c>
      <c r="T1946" s="2" t="s">
        <v>726</v>
      </c>
      <c r="U1946" s="2" t="s">
        <v>12247</v>
      </c>
      <c r="V1946" s="2" t="s">
        <v>12248</v>
      </c>
      <c r="W1946" s="1"/>
      <c r="X1946" s="2" t="s">
        <v>709</v>
      </c>
      <c r="Y1946" s="2" t="s">
        <v>12183</v>
      </c>
      <c r="AA1946" t="str">
        <f t="shared" si="180"/>
        <v>2025-12</v>
      </c>
      <c r="AB1946" t="str">
        <f t="shared" si="181"/>
        <v/>
      </c>
      <c r="AC1946">
        <f t="shared" si="182"/>
        <v>960559.66</v>
      </c>
      <c r="AD1946">
        <f t="shared" si="183"/>
        <v>113</v>
      </c>
      <c r="AE1946">
        <f t="shared" si="184"/>
        <v>153739.66</v>
      </c>
      <c r="AF1946" t="str">
        <f t="shared" si="185"/>
        <v>Paid</v>
      </c>
    </row>
    <row r="1947" spans="1:32" ht="17.25" thickBot="1" x14ac:dyDescent="0.35">
      <c r="A1947" s="2" t="s">
        <v>12249</v>
      </c>
      <c r="B1947" s="2" t="s">
        <v>27</v>
      </c>
      <c r="C1947" s="2" t="s">
        <v>28</v>
      </c>
      <c r="D1947" s="2" t="s">
        <v>97</v>
      </c>
      <c r="E1947" s="2" t="s">
        <v>11109</v>
      </c>
      <c r="F1947" s="2" t="s">
        <v>8445</v>
      </c>
      <c r="G1947" s="2" t="s">
        <v>32</v>
      </c>
      <c r="H1947" s="1"/>
      <c r="I1947" s="2" t="s">
        <v>33</v>
      </c>
      <c r="J1947" s="2" t="s">
        <v>34</v>
      </c>
      <c r="K1947" s="2" t="s">
        <v>12250</v>
      </c>
      <c r="L1947" s="2" t="s">
        <v>12251</v>
      </c>
      <c r="M1947" s="2" t="s">
        <v>701</v>
      </c>
      <c r="N1947" s="2" t="s">
        <v>38</v>
      </c>
      <c r="O1947" s="2" t="s">
        <v>370</v>
      </c>
      <c r="P1947" s="2" t="s">
        <v>3888</v>
      </c>
      <c r="Q1947" s="2" t="s">
        <v>12252</v>
      </c>
      <c r="R1947" s="2" t="s">
        <v>40</v>
      </c>
      <c r="S1947" s="2" t="s">
        <v>12253</v>
      </c>
      <c r="T1947" s="2" t="s">
        <v>706</v>
      </c>
      <c r="U1947" s="2" t="s">
        <v>8282</v>
      </c>
      <c r="V1947" s="2" t="s">
        <v>12254</v>
      </c>
      <c r="W1947" s="1"/>
      <c r="X1947" s="2" t="s">
        <v>5168</v>
      </c>
      <c r="Y1947" s="2" t="s">
        <v>12183</v>
      </c>
      <c r="AA1947" t="str">
        <f t="shared" si="180"/>
        <v>2025-12</v>
      </c>
      <c r="AB1947" t="str">
        <f t="shared" si="181"/>
        <v/>
      </c>
      <c r="AC1947">
        <f t="shared" si="182"/>
        <v>4797054.72</v>
      </c>
      <c r="AD1947">
        <f t="shared" si="183"/>
        <v>480</v>
      </c>
      <c r="AE1947">
        <f t="shared" si="184"/>
        <v>765054.72</v>
      </c>
      <c r="AF1947" t="str">
        <f t="shared" si="185"/>
        <v>Paid</v>
      </c>
    </row>
    <row r="1948" spans="1:32" ht="17.25" thickBot="1" x14ac:dyDescent="0.35">
      <c r="A1948" s="2" t="s">
        <v>12255</v>
      </c>
      <c r="B1948" s="2" t="s">
        <v>27</v>
      </c>
      <c r="C1948" s="2" t="s">
        <v>28</v>
      </c>
      <c r="D1948" s="2" t="s">
        <v>97</v>
      </c>
      <c r="E1948" s="2" t="s">
        <v>11109</v>
      </c>
      <c r="F1948" s="2" t="s">
        <v>8445</v>
      </c>
      <c r="G1948" s="2" t="s">
        <v>32</v>
      </c>
      <c r="H1948" s="1"/>
      <c r="I1948" s="2" t="s">
        <v>33</v>
      </c>
      <c r="J1948" s="2" t="s">
        <v>34</v>
      </c>
      <c r="K1948" s="2" t="s">
        <v>4606</v>
      </c>
      <c r="L1948" s="2" t="s">
        <v>4607</v>
      </c>
      <c r="M1948" s="2" t="s">
        <v>701</v>
      </c>
      <c r="N1948" s="2" t="s">
        <v>38</v>
      </c>
      <c r="O1948" s="2" t="s">
        <v>3271</v>
      </c>
      <c r="P1948" s="2" t="s">
        <v>1175</v>
      </c>
      <c r="Q1948" s="2" t="s">
        <v>12256</v>
      </c>
      <c r="R1948" s="2" t="s">
        <v>40</v>
      </c>
      <c r="S1948" s="2" t="s">
        <v>12257</v>
      </c>
      <c r="T1948" s="2" t="s">
        <v>759</v>
      </c>
      <c r="U1948" s="2" t="s">
        <v>12258</v>
      </c>
      <c r="V1948" s="2" t="s">
        <v>12259</v>
      </c>
      <c r="W1948" s="1"/>
      <c r="X1948" s="2" t="s">
        <v>709</v>
      </c>
      <c r="Y1948" s="2" t="s">
        <v>12183</v>
      </c>
      <c r="AA1948" t="str">
        <f t="shared" si="180"/>
        <v>2025-12</v>
      </c>
      <c r="AB1948" t="str">
        <f t="shared" si="181"/>
        <v/>
      </c>
      <c r="AC1948">
        <f t="shared" si="182"/>
        <v>8282845.5599999996</v>
      </c>
      <c r="AD1948">
        <f t="shared" si="183"/>
        <v>920</v>
      </c>
      <c r="AE1948">
        <f t="shared" si="184"/>
        <v>1327645.56</v>
      </c>
      <c r="AF1948" t="str">
        <f t="shared" si="185"/>
        <v>Paid</v>
      </c>
    </row>
    <row r="1949" spans="1:32" ht="17.25" thickBot="1" x14ac:dyDescent="0.35">
      <c r="A1949" s="2" t="s">
        <v>12260</v>
      </c>
      <c r="B1949" s="2" t="s">
        <v>27</v>
      </c>
      <c r="C1949" s="2" t="s">
        <v>28</v>
      </c>
      <c r="D1949" s="2" t="s">
        <v>97</v>
      </c>
      <c r="E1949" s="2" t="s">
        <v>11109</v>
      </c>
      <c r="F1949" s="2" t="s">
        <v>8445</v>
      </c>
      <c r="G1949" s="2" t="s">
        <v>32</v>
      </c>
      <c r="H1949" s="1"/>
      <c r="I1949" s="2" t="s">
        <v>33</v>
      </c>
      <c r="J1949" s="2" t="s">
        <v>34</v>
      </c>
      <c r="K1949" s="2" t="s">
        <v>1642</v>
      </c>
      <c r="L1949" s="2" t="s">
        <v>1643</v>
      </c>
      <c r="M1949" s="2" t="s">
        <v>701</v>
      </c>
      <c r="N1949" s="2" t="s">
        <v>38</v>
      </c>
      <c r="O1949" s="2" t="s">
        <v>391</v>
      </c>
      <c r="P1949" s="2" t="s">
        <v>104</v>
      </c>
      <c r="Q1949" s="2" t="s">
        <v>12215</v>
      </c>
      <c r="R1949" s="2" t="s">
        <v>40</v>
      </c>
      <c r="S1949" s="2" t="s">
        <v>12216</v>
      </c>
      <c r="T1949" s="2" t="s">
        <v>759</v>
      </c>
      <c r="U1949" s="2" t="s">
        <v>12261</v>
      </c>
      <c r="V1949" s="2" t="s">
        <v>12262</v>
      </c>
      <c r="W1949" s="2" t="s">
        <v>41</v>
      </c>
      <c r="X1949" s="2" t="s">
        <v>12263</v>
      </c>
      <c r="Y1949" s="2" t="s">
        <v>12183</v>
      </c>
      <c r="AA1949" t="str">
        <f t="shared" si="180"/>
        <v>2025-12</v>
      </c>
      <c r="AB1949" t="str">
        <f t="shared" si="181"/>
        <v/>
      </c>
      <c r="AC1949">
        <f t="shared" si="182"/>
        <v>861.54</v>
      </c>
      <c r="AD1949">
        <f t="shared" si="183"/>
        <v>60</v>
      </c>
      <c r="AE1949">
        <f t="shared" si="184"/>
        <v>-452738.46</v>
      </c>
      <c r="AF1949" t="str">
        <f t="shared" si="185"/>
        <v>Sample</v>
      </c>
    </row>
    <row r="1950" spans="1:32" ht="17.25" thickBot="1" x14ac:dyDescent="0.35">
      <c r="A1950" s="2" t="s">
        <v>12264</v>
      </c>
      <c r="B1950" s="2" t="s">
        <v>27</v>
      </c>
      <c r="C1950" s="2" t="s">
        <v>28</v>
      </c>
      <c r="D1950" s="2" t="s">
        <v>97</v>
      </c>
      <c r="E1950" s="2" t="s">
        <v>11109</v>
      </c>
      <c r="F1950" s="2" t="s">
        <v>8445</v>
      </c>
      <c r="G1950" s="2" t="s">
        <v>32</v>
      </c>
      <c r="H1950" s="1"/>
      <c r="I1950" s="2" t="s">
        <v>33</v>
      </c>
      <c r="J1950" s="2" t="s">
        <v>34</v>
      </c>
      <c r="K1950" s="2" t="s">
        <v>1642</v>
      </c>
      <c r="L1950" s="2" t="s">
        <v>1643</v>
      </c>
      <c r="M1950" s="2" t="s">
        <v>701</v>
      </c>
      <c r="N1950" s="2" t="s">
        <v>38</v>
      </c>
      <c r="O1950" s="2" t="s">
        <v>12265</v>
      </c>
      <c r="P1950" s="2" t="s">
        <v>1175</v>
      </c>
      <c r="Q1950" s="2" t="s">
        <v>12266</v>
      </c>
      <c r="R1950" s="2" t="s">
        <v>40</v>
      </c>
      <c r="S1950" s="2" t="s">
        <v>12267</v>
      </c>
      <c r="T1950" s="2" t="s">
        <v>759</v>
      </c>
      <c r="U1950" s="2" t="s">
        <v>12268</v>
      </c>
      <c r="V1950" s="2" t="s">
        <v>12269</v>
      </c>
      <c r="W1950" s="1"/>
      <c r="X1950" s="2" t="s">
        <v>709</v>
      </c>
      <c r="Y1950" s="2" t="s">
        <v>12183</v>
      </c>
      <c r="AA1950" t="str">
        <f t="shared" si="180"/>
        <v>2025-12</v>
      </c>
      <c r="AB1950" t="str">
        <f t="shared" si="181"/>
        <v/>
      </c>
      <c r="AC1950">
        <f t="shared" si="182"/>
        <v>89670806.280000001</v>
      </c>
      <c r="AD1950">
        <f t="shared" si="183"/>
        <v>9960</v>
      </c>
      <c r="AE1950">
        <f t="shared" si="184"/>
        <v>14373206.279999999</v>
      </c>
      <c r="AF1950" t="str">
        <f t="shared" si="185"/>
        <v>Paid</v>
      </c>
    </row>
    <row r="1951" spans="1:32" ht="17.25" thickBot="1" x14ac:dyDescent="0.35">
      <c r="A1951" s="2" t="s">
        <v>12270</v>
      </c>
      <c r="B1951" s="2" t="s">
        <v>27</v>
      </c>
      <c r="C1951" s="2" t="s">
        <v>28</v>
      </c>
      <c r="D1951" s="2" t="s">
        <v>97</v>
      </c>
      <c r="E1951" s="2" t="s">
        <v>11109</v>
      </c>
      <c r="F1951" s="2" t="s">
        <v>8445</v>
      </c>
      <c r="G1951" s="2" t="s">
        <v>32</v>
      </c>
      <c r="H1951" s="1"/>
      <c r="I1951" s="2" t="s">
        <v>33</v>
      </c>
      <c r="J1951" s="2" t="s">
        <v>34</v>
      </c>
      <c r="K1951" s="2" t="s">
        <v>6331</v>
      </c>
      <c r="L1951" s="2" t="s">
        <v>6332</v>
      </c>
      <c r="M1951" s="2" t="s">
        <v>701</v>
      </c>
      <c r="N1951" s="2" t="s">
        <v>38</v>
      </c>
      <c r="O1951" s="2" t="s">
        <v>8269</v>
      </c>
      <c r="P1951" s="2" t="s">
        <v>1175</v>
      </c>
      <c r="Q1951" s="2" t="s">
        <v>12271</v>
      </c>
      <c r="R1951" s="2" t="s">
        <v>40</v>
      </c>
      <c r="S1951" s="2" t="s">
        <v>12272</v>
      </c>
      <c r="T1951" s="2" t="s">
        <v>759</v>
      </c>
      <c r="U1951" s="2" t="s">
        <v>12273</v>
      </c>
      <c r="V1951" s="2" t="s">
        <v>12274</v>
      </c>
      <c r="W1951" s="1"/>
      <c r="X1951" s="2" t="s">
        <v>709</v>
      </c>
      <c r="Y1951" s="2" t="s">
        <v>12183</v>
      </c>
      <c r="AA1951" t="str">
        <f t="shared" si="180"/>
        <v>2025-12</v>
      </c>
      <c r="AB1951" t="str">
        <f t="shared" si="181"/>
        <v/>
      </c>
      <c r="AC1951">
        <f t="shared" si="182"/>
        <v>21607423.199999999</v>
      </c>
      <c r="AD1951">
        <f t="shared" si="183"/>
        <v>2400</v>
      </c>
      <c r="AE1951">
        <f t="shared" si="184"/>
        <v>3463423.2</v>
      </c>
      <c r="AF1951" t="str">
        <f t="shared" si="185"/>
        <v>Paid</v>
      </c>
    </row>
    <row r="1952" spans="1:32" ht="17.25" thickBot="1" x14ac:dyDescent="0.35">
      <c r="A1952" s="2" t="s">
        <v>12275</v>
      </c>
      <c r="B1952" s="2" t="s">
        <v>27</v>
      </c>
      <c r="C1952" s="2" t="s">
        <v>28</v>
      </c>
      <c r="D1952" s="2" t="s">
        <v>97</v>
      </c>
      <c r="E1952" s="2" t="s">
        <v>11109</v>
      </c>
      <c r="F1952" s="2" t="s">
        <v>8445</v>
      </c>
      <c r="G1952" s="2" t="s">
        <v>32</v>
      </c>
      <c r="H1952" s="1"/>
      <c r="I1952" s="2" t="s">
        <v>33</v>
      </c>
      <c r="J1952" s="2" t="s">
        <v>34</v>
      </c>
      <c r="K1952" s="2" t="s">
        <v>8322</v>
      </c>
      <c r="L1952" s="2" t="s">
        <v>8323</v>
      </c>
      <c r="M1952" s="2" t="s">
        <v>701</v>
      </c>
      <c r="N1952" s="2" t="s">
        <v>38</v>
      </c>
      <c r="O1952" s="2" t="s">
        <v>1367</v>
      </c>
      <c r="P1952" s="2" t="s">
        <v>9732</v>
      </c>
      <c r="Q1952" s="2" t="s">
        <v>12276</v>
      </c>
      <c r="R1952" s="2" t="s">
        <v>40</v>
      </c>
      <c r="S1952" s="2" t="s">
        <v>12277</v>
      </c>
      <c r="T1952" s="2" t="s">
        <v>8326</v>
      </c>
      <c r="U1952" s="2" t="s">
        <v>12278</v>
      </c>
      <c r="V1952" s="2" t="s">
        <v>12279</v>
      </c>
      <c r="W1952" s="1"/>
      <c r="X1952" s="2" t="s">
        <v>709</v>
      </c>
      <c r="Y1952" s="2" t="s">
        <v>12183</v>
      </c>
      <c r="AA1952" t="str">
        <f t="shared" si="180"/>
        <v>2025-12</v>
      </c>
      <c r="AB1952" t="str">
        <f t="shared" si="181"/>
        <v/>
      </c>
      <c r="AC1952">
        <f t="shared" si="182"/>
        <v>1616450.07</v>
      </c>
      <c r="AD1952">
        <f t="shared" si="183"/>
        <v>154</v>
      </c>
      <c r="AE1952">
        <f t="shared" si="184"/>
        <v>258170.07</v>
      </c>
      <c r="AF1952" t="str">
        <f t="shared" si="185"/>
        <v>Paid</v>
      </c>
    </row>
    <row r="1953" spans="1:32" ht="17.25" thickBot="1" x14ac:dyDescent="0.35">
      <c r="A1953" s="2" t="s">
        <v>12280</v>
      </c>
      <c r="B1953" s="2" t="s">
        <v>27</v>
      </c>
      <c r="C1953" s="2" t="s">
        <v>28</v>
      </c>
      <c r="D1953" s="2" t="s">
        <v>97</v>
      </c>
      <c r="E1953" s="2" t="s">
        <v>11109</v>
      </c>
      <c r="F1953" s="2" t="s">
        <v>8445</v>
      </c>
      <c r="G1953" s="2" t="s">
        <v>32</v>
      </c>
      <c r="H1953" s="1"/>
      <c r="I1953" s="2" t="s">
        <v>33</v>
      </c>
      <c r="J1953" s="2" t="s">
        <v>34</v>
      </c>
      <c r="K1953" s="2" t="s">
        <v>12281</v>
      </c>
      <c r="L1953" s="2" t="s">
        <v>12282</v>
      </c>
      <c r="M1953" s="2" t="s">
        <v>4544</v>
      </c>
      <c r="N1953" s="2" t="s">
        <v>38</v>
      </c>
      <c r="O1953" s="2" t="s">
        <v>141</v>
      </c>
      <c r="P1953" s="2" t="s">
        <v>104</v>
      </c>
      <c r="Q1953" s="2" t="s">
        <v>142</v>
      </c>
      <c r="R1953" s="2" t="s">
        <v>40</v>
      </c>
      <c r="S1953" s="2" t="s">
        <v>12283</v>
      </c>
      <c r="T1953" s="2" t="s">
        <v>1747</v>
      </c>
      <c r="U1953" s="2" t="s">
        <v>4410</v>
      </c>
      <c r="V1953" s="2" t="s">
        <v>12284</v>
      </c>
      <c r="W1953" s="2" t="s">
        <v>41</v>
      </c>
      <c r="X1953" s="2" t="s">
        <v>12285</v>
      </c>
      <c r="Y1953" s="2" t="s">
        <v>12286</v>
      </c>
      <c r="AA1953" t="str">
        <f t="shared" si="180"/>
        <v>2025-12</v>
      </c>
      <c r="AB1953" t="str">
        <f t="shared" si="181"/>
        <v/>
      </c>
      <c r="AC1953">
        <f t="shared" si="182"/>
        <v>431.52</v>
      </c>
      <c r="AD1953">
        <f t="shared" si="183"/>
        <v>30</v>
      </c>
      <c r="AE1953">
        <f t="shared" si="184"/>
        <v>-269568.48</v>
      </c>
      <c r="AF1953" t="str">
        <f t="shared" si="185"/>
        <v>Sample</v>
      </c>
    </row>
    <row r="1954" spans="1:32" ht="17.25" thickBot="1" x14ac:dyDescent="0.35">
      <c r="A1954" s="2" t="s">
        <v>12287</v>
      </c>
      <c r="B1954" s="2" t="s">
        <v>27</v>
      </c>
      <c r="C1954" s="2" t="s">
        <v>28</v>
      </c>
      <c r="D1954" s="2" t="s">
        <v>97</v>
      </c>
      <c r="E1954" s="2" t="s">
        <v>11109</v>
      </c>
      <c r="F1954" s="2" t="s">
        <v>8445</v>
      </c>
      <c r="G1954" s="2" t="s">
        <v>32</v>
      </c>
      <c r="H1954" s="1"/>
      <c r="I1954" s="2" t="s">
        <v>33</v>
      </c>
      <c r="J1954" s="2" t="s">
        <v>34</v>
      </c>
      <c r="K1954" s="2" t="s">
        <v>6879</v>
      </c>
      <c r="L1954" s="2" t="s">
        <v>6880</v>
      </c>
      <c r="M1954" s="2" t="s">
        <v>4544</v>
      </c>
      <c r="N1954" s="2" t="s">
        <v>38</v>
      </c>
      <c r="O1954" s="2" t="s">
        <v>206</v>
      </c>
      <c r="P1954" s="2" t="s">
        <v>12288</v>
      </c>
      <c r="Q1954" s="2" t="s">
        <v>12289</v>
      </c>
      <c r="R1954" s="2" t="s">
        <v>40</v>
      </c>
      <c r="S1954" s="2" t="s">
        <v>12290</v>
      </c>
      <c r="T1954" s="2" t="s">
        <v>6883</v>
      </c>
      <c r="U1954" s="2" t="s">
        <v>12291</v>
      </c>
      <c r="V1954" s="2" t="s">
        <v>12292</v>
      </c>
      <c r="W1954" s="1"/>
      <c r="X1954" s="2" t="s">
        <v>1091</v>
      </c>
      <c r="Y1954" s="2" t="s">
        <v>12286</v>
      </c>
      <c r="AA1954" t="str">
        <f t="shared" si="180"/>
        <v>2025-12</v>
      </c>
      <c r="AB1954" t="str">
        <f t="shared" si="181"/>
        <v/>
      </c>
      <c r="AC1954">
        <f t="shared" si="182"/>
        <v>4077864</v>
      </c>
      <c r="AD1954">
        <f t="shared" si="183"/>
        <v>500</v>
      </c>
      <c r="AE1954">
        <f t="shared" si="184"/>
        <v>1027864</v>
      </c>
      <c r="AF1954" t="str">
        <f t="shared" si="185"/>
        <v>Paid</v>
      </c>
    </row>
    <row r="1955" spans="1:32" ht="17.25" thickBot="1" x14ac:dyDescent="0.35">
      <c r="A1955" s="2" t="s">
        <v>12293</v>
      </c>
      <c r="B1955" s="2" t="s">
        <v>27</v>
      </c>
      <c r="C1955" s="2" t="s">
        <v>28</v>
      </c>
      <c r="D1955" s="2" t="s">
        <v>97</v>
      </c>
      <c r="E1955" s="2" t="s">
        <v>11109</v>
      </c>
      <c r="F1955" s="2" t="s">
        <v>8445</v>
      </c>
      <c r="G1955" s="2" t="s">
        <v>32</v>
      </c>
      <c r="H1955" s="1"/>
      <c r="I1955" s="2" t="s">
        <v>33</v>
      </c>
      <c r="J1955" s="2" t="s">
        <v>34</v>
      </c>
      <c r="K1955" s="2" t="s">
        <v>6888</v>
      </c>
      <c r="L1955" s="2" t="s">
        <v>6889</v>
      </c>
      <c r="M1955" s="2" t="s">
        <v>4544</v>
      </c>
      <c r="N1955" s="2" t="s">
        <v>38</v>
      </c>
      <c r="O1955" s="2" t="s">
        <v>3068</v>
      </c>
      <c r="P1955" s="2" t="s">
        <v>1175</v>
      </c>
      <c r="Q1955" s="2" t="s">
        <v>12294</v>
      </c>
      <c r="R1955" s="2" t="s">
        <v>40</v>
      </c>
      <c r="S1955" s="2" t="s">
        <v>12295</v>
      </c>
      <c r="T1955" s="2" t="s">
        <v>6652</v>
      </c>
      <c r="U1955" s="2" t="s">
        <v>12296</v>
      </c>
      <c r="V1955" s="2" t="s">
        <v>12297</v>
      </c>
      <c r="W1955" s="1"/>
      <c r="X1955" s="2" t="s">
        <v>7041</v>
      </c>
      <c r="Y1955" s="2" t="s">
        <v>12286</v>
      </c>
      <c r="AA1955" t="str">
        <f t="shared" si="180"/>
        <v>2025-12</v>
      </c>
      <c r="AB1955" t="str">
        <f t="shared" si="181"/>
        <v/>
      </c>
      <c r="AC1955">
        <f t="shared" si="182"/>
        <v>6313137.5999999996</v>
      </c>
      <c r="AD1955">
        <f t="shared" si="183"/>
        <v>700</v>
      </c>
      <c r="AE1955">
        <f t="shared" si="184"/>
        <v>1763137.6</v>
      </c>
      <c r="AF1955" t="str">
        <f t="shared" si="185"/>
        <v>Paid</v>
      </c>
    </row>
    <row r="1956" spans="1:32" ht="17.25" thickBot="1" x14ac:dyDescent="0.35">
      <c r="A1956" s="2" t="s">
        <v>12298</v>
      </c>
      <c r="B1956" s="2" t="s">
        <v>27</v>
      </c>
      <c r="C1956" s="2" t="s">
        <v>28</v>
      </c>
      <c r="D1956" s="2" t="s">
        <v>97</v>
      </c>
      <c r="E1956" s="2" t="s">
        <v>12299</v>
      </c>
      <c r="F1956" s="2" t="s">
        <v>8445</v>
      </c>
      <c r="G1956" s="2" t="s">
        <v>32</v>
      </c>
      <c r="H1956" s="1"/>
      <c r="I1956" s="2" t="s">
        <v>33</v>
      </c>
      <c r="J1956" s="2" t="s">
        <v>34</v>
      </c>
      <c r="K1956" s="2" t="s">
        <v>10358</v>
      </c>
      <c r="L1956" s="2" t="s">
        <v>10359</v>
      </c>
      <c r="M1956" s="2" t="s">
        <v>304</v>
      </c>
      <c r="N1956" s="2" t="s">
        <v>38</v>
      </c>
      <c r="O1956" s="2" t="s">
        <v>4366</v>
      </c>
      <c r="P1956" s="2" t="s">
        <v>11352</v>
      </c>
      <c r="Q1956" s="2" t="s">
        <v>12300</v>
      </c>
      <c r="R1956" s="2" t="s">
        <v>40</v>
      </c>
      <c r="S1956" s="2" t="s">
        <v>12301</v>
      </c>
      <c r="T1956" s="2" t="s">
        <v>10362</v>
      </c>
      <c r="U1956" s="2" t="s">
        <v>12302</v>
      </c>
      <c r="V1956" s="2" t="s">
        <v>12303</v>
      </c>
      <c r="W1956" s="1"/>
      <c r="X1956" s="2" t="s">
        <v>566</v>
      </c>
      <c r="Y1956" s="2" t="s">
        <v>12304</v>
      </c>
      <c r="AA1956" t="str">
        <f t="shared" si="180"/>
        <v>2025-12</v>
      </c>
      <c r="AB1956" t="str">
        <f t="shared" si="181"/>
        <v/>
      </c>
      <c r="AC1956">
        <f t="shared" si="182"/>
        <v>6216912</v>
      </c>
      <c r="AD1956">
        <f t="shared" si="183"/>
        <v>576</v>
      </c>
      <c r="AE1956">
        <f t="shared" si="184"/>
        <v>687312</v>
      </c>
      <c r="AF1956" t="str">
        <f t="shared" si="185"/>
        <v>Paid</v>
      </c>
    </row>
    <row r="1957" spans="1:32" ht="17.25" thickBot="1" x14ac:dyDescent="0.35">
      <c r="A1957" s="2" t="s">
        <v>12305</v>
      </c>
      <c r="B1957" s="2" t="s">
        <v>27</v>
      </c>
      <c r="C1957" s="2" t="s">
        <v>28</v>
      </c>
      <c r="D1957" s="2" t="s">
        <v>97</v>
      </c>
      <c r="E1957" s="2" t="s">
        <v>12299</v>
      </c>
      <c r="F1957" s="2" t="s">
        <v>8445</v>
      </c>
      <c r="G1957" s="2" t="s">
        <v>32</v>
      </c>
      <c r="H1957" s="1"/>
      <c r="I1957" s="2" t="s">
        <v>33</v>
      </c>
      <c r="J1957" s="2" t="s">
        <v>34</v>
      </c>
      <c r="K1957" s="2" t="s">
        <v>324</v>
      </c>
      <c r="L1957" s="2" t="s">
        <v>325</v>
      </c>
      <c r="M1957" s="2" t="s">
        <v>304</v>
      </c>
      <c r="N1957" s="2" t="s">
        <v>38</v>
      </c>
      <c r="O1957" s="2" t="s">
        <v>12306</v>
      </c>
      <c r="P1957" s="2" t="s">
        <v>7368</v>
      </c>
      <c r="Q1957" s="2" t="s">
        <v>12307</v>
      </c>
      <c r="R1957" s="2" t="s">
        <v>40</v>
      </c>
      <c r="S1957" s="2" t="s">
        <v>12308</v>
      </c>
      <c r="T1957" s="2" t="s">
        <v>12309</v>
      </c>
      <c r="U1957" s="2" t="s">
        <v>12310</v>
      </c>
      <c r="V1957" s="2" t="s">
        <v>12311</v>
      </c>
      <c r="W1957" s="1"/>
      <c r="X1957" s="2" t="s">
        <v>12312</v>
      </c>
      <c r="Y1957" s="2" t="s">
        <v>12304</v>
      </c>
      <c r="AA1957" t="str">
        <f t="shared" si="180"/>
        <v>2025-12</v>
      </c>
      <c r="AB1957" t="str">
        <f t="shared" si="181"/>
        <v/>
      </c>
      <c r="AC1957">
        <f t="shared" si="182"/>
        <v>41903037.420000002</v>
      </c>
      <c r="AD1957">
        <f t="shared" si="183"/>
        <v>3343</v>
      </c>
      <c r="AE1957">
        <f t="shared" si="184"/>
        <v>38900357.420000002</v>
      </c>
      <c r="AF1957" t="str">
        <f t="shared" si="185"/>
        <v>Paid</v>
      </c>
    </row>
    <row r="1958" spans="1:32" ht="17.25" thickBot="1" x14ac:dyDescent="0.35">
      <c r="A1958" s="2" t="s">
        <v>12313</v>
      </c>
      <c r="B1958" s="2" t="s">
        <v>27</v>
      </c>
      <c r="C1958" s="2" t="s">
        <v>28</v>
      </c>
      <c r="D1958" s="2" t="s">
        <v>97</v>
      </c>
      <c r="E1958" s="2" t="s">
        <v>12299</v>
      </c>
      <c r="F1958" s="2" t="s">
        <v>8445</v>
      </c>
      <c r="G1958" s="2" t="s">
        <v>32</v>
      </c>
      <c r="H1958" s="1"/>
      <c r="I1958" s="2" t="s">
        <v>33</v>
      </c>
      <c r="J1958" s="2" t="s">
        <v>34</v>
      </c>
      <c r="K1958" s="2" t="s">
        <v>12314</v>
      </c>
      <c r="L1958" s="2" t="s">
        <v>12315</v>
      </c>
      <c r="M1958" s="2" t="s">
        <v>304</v>
      </c>
      <c r="N1958" s="2" t="s">
        <v>38</v>
      </c>
      <c r="O1958" s="2" t="s">
        <v>2062</v>
      </c>
      <c r="P1958" s="2" t="s">
        <v>10391</v>
      </c>
      <c r="Q1958" s="2" t="s">
        <v>12316</v>
      </c>
      <c r="R1958" s="2" t="s">
        <v>40</v>
      </c>
      <c r="S1958" s="2" t="s">
        <v>12317</v>
      </c>
      <c r="T1958" s="2" t="s">
        <v>5672</v>
      </c>
      <c r="U1958" s="2" t="s">
        <v>12318</v>
      </c>
      <c r="V1958" s="2" t="s">
        <v>12319</v>
      </c>
      <c r="W1958" s="1"/>
      <c r="X1958" s="2" t="s">
        <v>6045</v>
      </c>
      <c r="Y1958" s="2" t="s">
        <v>12304</v>
      </c>
      <c r="AA1958" t="str">
        <f t="shared" si="180"/>
        <v>2025-12</v>
      </c>
      <c r="AB1958" t="str">
        <f t="shared" si="181"/>
        <v/>
      </c>
      <c r="AC1958">
        <f t="shared" si="182"/>
        <v>3126415.97</v>
      </c>
      <c r="AD1958">
        <f t="shared" si="183"/>
        <v>248</v>
      </c>
      <c r="AE1958">
        <f t="shared" si="184"/>
        <v>348815.97</v>
      </c>
      <c r="AF1958" t="str">
        <f t="shared" si="185"/>
        <v>Paid</v>
      </c>
    </row>
    <row r="1959" spans="1:32" ht="17.25" thickBot="1" x14ac:dyDescent="0.35">
      <c r="A1959" s="2" t="s">
        <v>12320</v>
      </c>
      <c r="B1959" s="2" t="s">
        <v>27</v>
      </c>
      <c r="C1959" s="2" t="s">
        <v>28</v>
      </c>
      <c r="D1959" s="2" t="s">
        <v>97</v>
      </c>
      <c r="E1959" s="2" t="s">
        <v>12299</v>
      </c>
      <c r="F1959" s="2" t="s">
        <v>8445</v>
      </c>
      <c r="G1959" s="2" t="s">
        <v>32</v>
      </c>
      <c r="H1959" s="1"/>
      <c r="I1959" s="2" t="s">
        <v>33</v>
      </c>
      <c r="J1959" s="2" t="s">
        <v>34</v>
      </c>
      <c r="K1959" s="2" t="s">
        <v>334</v>
      </c>
      <c r="L1959" s="2" t="s">
        <v>335</v>
      </c>
      <c r="M1959" s="2" t="s">
        <v>304</v>
      </c>
      <c r="N1959" s="2" t="s">
        <v>38</v>
      </c>
      <c r="O1959" s="2" t="s">
        <v>114</v>
      </c>
      <c r="P1959" s="2" t="s">
        <v>5472</v>
      </c>
      <c r="Q1959" s="2" t="s">
        <v>10720</v>
      </c>
      <c r="R1959" s="2" t="s">
        <v>40</v>
      </c>
      <c r="S1959" s="2" t="s">
        <v>12321</v>
      </c>
      <c r="T1959" s="2" t="s">
        <v>309</v>
      </c>
      <c r="U1959" s="2" t="s">
        <v>5771</v>
      </c>
      <c r="V1959" s="2" t="s">
        <v>12322</v>
      </c>
      <c r="W1959" s="1"/>
      <c r="X1959" s="2" t="s">
        <v>398</v>
      </c>
      <c r="Y1959" s="2" t="s">
        <v>12304</v>
      </c>
      <c r="AA1959" t="str">
        <f t="shared" si="180"/>
        <v>2025-12</v>
      </c>
      <c r="AB1959" t="str">
        <f t="shared" si="181"/>
        <v/>
      </c>
      <c r="AC1959">
        <f t="shared" si="182"/>
        <v>2117203.92</v>
      </c>
      <c r="AD1959">
        <f t="shared" si="183"/>
        <v>240</v>
      </c>
      <c r="AE1959">
        <f t="shared" si="184"/>
        <v>254803.92</v>
      </c>
      <c r="AF1959" t="str">
        <f t="shared" si="185"/>
        <v>Paid</v>
      </c>
    </row>
    <row r="1960" spans="1:32" ht="17.25" thickBot="1" x14ac:dyDescent="0.35">
      <c r="A1960" s="2" t="s">
        <v>12323</v>
      </c>
      <c r="B1960" s="2" t="s">
        <v>27</v>
      </c>
      <c r="C1960" s="2" t="s">
        <v>28</v>
      </c>
      <c r="D1960" s="2" t="s">
        <v>97</v>
      </c>
      <c r="E1960" s="2" t="s">
        <v>12299</v>
      </c>
      <c r="F1960" s="2" t="s">
        <v>8445</v>
      </c>
      <c r="G1960" s="2" t="s">
        <v>32</v>
      </c>
      <c r="H1960" s="1"/>
      <c r="I1960" s="2" t="s">
        <v>33</v>
      </c>
      <c r="J1960" s="2" t="s">
        <v>34</v>
      </c>
      <c r="K1960" s="2" t="s">
        <v>341</v>
      </c>
      <c r="L1960" s="2" t="s">
        <v>342</v>
      </c>
      <c r="M1960" s="2" t="s">
        <v>304</v>
      </c>
      <c r="N1960" s="2" t="s">
        <v>38</v>
      </c>
      <c r="O1960" s="2" t="s">
        <v>362</v>
      </c>
      <c r="P1960" s="2" t="s">
        <v>10397</v>
      </c>
      <c r="Q1960" s="2" t="s">
        <v>12324</v>
      </c>
      <c r="R1960" s="2" t="s">
        <v>40</v>
      </c>
      <c r="S1960" s="2" t="s">
        <v>12325</v>
      </c>
      <c r="T1960" s="2" t="s">
        <v>2111</v>
      </c>
      <c r="U1960" s="2" t="s">
        <v>9517</v>
      </c>
      <c r="V1960" s="2" t="s">
        <v>12326</v>
      </c>
      <c r="W1960" s="1"/>
      <c r="X1960" s="2" t="s">
        <v>566</v>
      </c>
      <c r="Y1960" s="2" t="s">
        <v>12304</v>
      </c>
      <c r="AA1960" t="str">
        <f t="shared" si="180"/>
        <v>2025-12</v>
      </c>
      <c r="AB1960" t="str">
        <f t="shared" si="181"/>
        <v/>
      </c>
      <c r="AC1960">
        <f t="shared" si="182"/>
        <v>3601203.84</v>
      </c>
      <c r="AD1960">
        <f t="shared" si="183"/>
        <v>320</v>
      </c>
      <c r="AE1960">
        <f t="shared" si="184"/>
        <v>401203.84</v>
      </c>
      <c r="AF1960" t="str">
        <f t="shared" si="185"/>
        <v>Paid</v>
      </c>
    </row>
    <row r="1961" spans="1:32" ht="27.75" thickBot="1" x14ac:dyDescent="0.35">
      <c r="A1961" s="2" t="s">
        <v>12327</v>
      </c>
      <c r="B1961" s="2" t="s">
        <v>27</v>
      </c>
      <c r="C1961" s="2" t="s">
        <v>28</v>
      </c>
      <c r="D1961" s="2" t="s">
        <v>97</v>
      </c>
      <c r="E1961" s="2" t="s">
        <v>12299</v>
      </c>
      <c r="F1961" s="2" t="s">
        <v>8445</v>
      </c>
      <c r="G1961" s="2" t="s">
        <v>32</v>
      </c>
      <c r="H1961" s="1"/>
      <c r="I1961" s="2" t="s">
        <v>33</v>
      </c>
      <c r="J1961" s="2" t="s">
        <v>34</v>
      </c>
      <c r="K1961" s="2" t="s">
        <v>352</v>
      </c>
      <c r="L1961" s="2" t="s">
        <v>353</v>
      </c>
      <c r="M1961" s="2" t="s">
        <v>304</v>
      </c>
      <c r="N1961" s="2" t="s">
        <v>38</v>
      </c>
      <c r="O1961" s="2" t="s">
        <v>877</v>
      </c>
      <c r="P1961" s="2" t="s">
        <v>5472</v>
      </c>
      <c r="Q1961" s="2" t="s">
        <v>9143</v>
      </c>
      <c r="R1961" s="2" t="s">
        <v>40</v>
      </c>
      <c r="S1961" s="2" t="s">
        <v>12328</v>
      </c>
      <c r="T1961" s="2" t="s">
        <v>309</v>
      </c>
      <c r="U1961" s="2" t="s">
        <v>9145</v>
      </c>
      <c r="V1961" s="2" t="s">
        <v>12329</v>
      </c>
      <c r="W1961" s="1"/>
      <c r="X1961" s="2" t="s">
        <v>398</v>
      </c>
      <c r="Y1961" s="2" t="s">
        <v>12304</v>
      </c>
      <c r="AA1961" t="str">
        <f t="shared" si="180"/>
        <v>2025-12</v>
      </c>
      <c r="AB1961" t="str">
        <f t="shared" si="181"/>
        <v/>
      </c>
      <c r="AC1961">
        <f t="shared" si="182"/>
        <v>882168.3</v>
      </c>
      <c r="AD1961">
        <f t="shared" si="183"/>
        <v>100</v>
      </c>
      <c r="AE1961">
        <f t="shared" si="184"/>
        <v>106168.3</v>
      </c>
      <c r="AF1961" t="str">
        <f t="shared" si="185"/>
        <v>Paid</v>
      </c>
    </row>
    <row r="1962" spans="1:32" ht="27.75" thickBot="1" x14ac:dyDescent="0.35">
      <c r="A1962" s="2" t="s">
        <v>12330</v>
      </c>
      <c r="B1962" s="2" t="s">
        <v>27</v>
      </c>
      <c r="C1962" s="2" t="s">
        <v>28</v>
      </c>
      <c r="D1962" s="2" t="s">
        <v>97</v>
      </c>
      <c r="E1962" s="2" t="s">
        <v>12299</v>
      </c>
      <c r="F1962" s="2" t="s">
        <v>8445</v>
      </c>
      <c r="G1962" s="2" t="s">
        <v>32</v>
      </c>
      <c r="H1962" s="1"/>
      <c r="I1962" s="2" t="s">
        <v>33</v>
      </c>
      <c r="J1962" s="2" t="s">
        <v>34</v>
      </c>
      <c r="K1962" s="2" t="s">
        <v>360</v>
      </c>
      <c r="L1962" s="2" t="s">
        <v>361</v>
      </c>
      <c r="M1962" s="2" t="s">
        <v>304</v>
      </c>
      <c r="N1962" s="2" t="s">
        <v>38</v>
      </c>
      <c r="O1962" s="2" t="s">
        <v>44</v>
      </c>
      <c r="P1962" s="2" t="s">
        <v>5472</v>
      </c>
      <c r="Q1962" s="2" t="s">
        <v>12331</v>
      </c>
      <c r="R1962" s="2" t="s">
        <v>40</v>
      </c>
      <c r="S1962" s="2" t="s">
        <v>12332</v>
      </c>
      <c r="T1962" s="2" t="s">
        <v>12333</v>
      </c>
      <c r="U1962" s="2" t="s">
        <v>12334</v>
      </c>
      <c r="V1962" s="2" t="s">
        <v>12335</v>
      </c>
      <c r="W1962" s="1"/>
      <c r="X1962" s="2" t="s">
        <v>6320</v>
      </c>
      <c r="Y1962" s="2" t="s">
        <v>12304</v>
      </c>
      <c r="AA1962" t="str">
        <f t="shared" si="180"/>
        <v>2025-12</v>
      </c>
      <c r="AB1962" t="str">
        <f t="shared" si="181"/>
        <v/>
      </c>
      <c r="AC1962">
        <f t="shared" si="182"/>
        <v>17643.37</v>
      </c>
      <c r="AD1962">
        <f t="shared" si="183"/>
        <v>2</v>
      </c>
      <c r="AE1962">
        <f t="shared" si="184"/>
        <v>6163.37</v>
      </c>
      <c r="AF1962" t="str">
        <f t="shared" si="185"/>
        <v>Paid</v>
      </c>
    </row>
    <row r="1963" spans="1:32" ht="17.25" thickBot="1" x14ac:dyDescent="0.35">
      <c r="A1963" s="2" t="s">
        <v>12336</v>
      </c>
      <c r="B1963" s="2" t="s">
        <v>27</v>
      </c>
      <c r="C1963" s="2" t="s">
        <v>28</v>
      </c>
      <c r="D1963" s="2" t="s">
        <v>97</v>
      </c>
      <c r="E1963" s="2" t="s">
        <v>12299</v>
      </c>
      <c r="F1963" s="2" t="s">
        <v>8445</v>
      </c>
      <c r="G1963" s="2" t="s">
        <v>32</v>
      </c>
      <c r="H1963" s="1"/>
      <c r="I1963" s="2" t="s">
        <v>33</v>
      </c>
      <c r="J1963" s="2" t="s">
        <v>34</v>
      </c>
      <c r="K1963" s="2" t="s">
        <v>368</v>
      </c>
      <c r="L1963" s="2" t="s">
        <v>369</v>
      </c>
      <c r="M1963" s="2" t="s">
        <v>304</v>
      </c>
      <c r="N1963" s="2" t="s">
        <v>38</v>
      </c>
      <c r="O1963" s="2" t="s">
        <v>362</v>
      </c>
      <c r="P1963" s="2" t="s">
        <v>9148</v>
      </c>
      <c r="Q1963" s="2" t="s">
        <v>12337</v>
      </c>
      <c r="R1963" s="2" t="s">
        <v>40</v>
      </c>
      <c r="S1963" s="2" t="s">
        <v>12338</v>
      </c>
      <c r="T1963" s="2" t="s">
        <v>374</v>
      </c>
      <c r="U1963" s="2" t="s">
        <v>12339</v>
      </c>
      <c r="V1963" s="2" t="s">
        <v>12340</v>
      </c>
      <c r="W1963" s="1"/>
      <c r="X1963" s="2" t="s">
        <v>377</v>
      </c>
      <c r="Y1963" s="2" t="s">
        <v>12304</v>
      </c>
      <c r="AA1963" t="str">
        <f t="shared" si="180"/>
        <v>2025-12</v>
      </c>
      <c r="AB1963" t="str">
        <f t="shared" si="181"/>
        <v/>
      </c>
      <c r="AC1963">
        <f t="shared" si="182"/>
        <v>4222895.04</v>
      </c>
      <c r="AD1963">
        <f t="shared" si="183"/>
        <v>320</v>
      </c>
      <c r="AE1963">
        <f t="shared" si="184"/>
        <v>501295.04</v>
      </c>
      <c r="AF1963" t="str">
        <f t="shared" si="185"/>
        <v>Paid</v>
      </c>
    </row>
    <row r="1964" spans="1:32" ht="27.75" thickBot="1" x14ac:dyDescent="0.35">
      <c r="A1964" s="2" t="s">
        <v>12341</v>
      </c>
      <c r="B1964" s="2" t="s">
        <v>27</v>
      </c>
      <c r="C1964" s="2" t="s">
        <v>28</v>
      </c>
      <c r="D1964" s="2" t="s">
        <v>97</v>
      </c>
      <c r="E1964" s="2" t="s">
        <v>12299</v>
      </c>
      <c r="F1964" s="2" t="s">
        <v>8445</v>
      </c>
      <c r="G1964" s="2" t="s">
        <v>32</v>
      </c>
      <c r="H1964" s="1"/>
      <c r="I1964" s="2" t="s">
        <v>33</v>
      </c>
      <c r="J1964" s="2" t="s">
        <v>34</v>
      </c>
      <c r="K1964" s="2" t="s">
        <v>12342</v>
      </c>
      <c r="L1964" s="2" t="s">
        <v>12343</v>
      </c>
      <c r="M1964" s="2" t="s">
        <v>304</v>
      </c>
      <c r="N1964" s="2" t="s">
        <v>38</v>
      </c>
      <c r="O1964" s="2" t="s">
        <v>773</v>
      </c>
      <c r="P1964" s="2" t="s">
        <v>11018</v>
      </c>
      <c r="Q1964" s="2" t="s">
        <v>12344</v>
      </c>
      <c r="R1964" s="2" t="s">
        <v>40</v>
      </c>
      <c r="S1964" s="2" t="s">
        <v>12345</v>
      </c>
      <c r="T1964" s="2" t="s">
        <v>10437</v>
      </c>
      <c r="U1964" s="2" t="s">
        <v>7980</v>
      </c>
      <c r="V1964" s="2" t="s">
        <v>12346</v>
      </c>
      <c r="W1964" s="1"/>
      <c r="X1964" s="2" t="s">
        <v>566</v>
      </c>
      <c r="Y1964" s="2" t="s">
        <v>12304</v>
      </c>
      <c r="AA1964" t="str">
        <f t="shared" si="180"/>
        <v>2025-12</v>
      </c>
      <c r="AB1964" t="str">
        <f t="shared" si="181"/>
        <v/>
      </c>
      <c r="AC1964">
        <f t="shared" si="182"/>
        <v>359775</v>
      </c>
      <c r="AD1964">
        <f t="shared" si="183"/>
        <v>200</v>
      </c>
      <c r="AE1964">
        <f t="shared" si="184"/>
        <v>39775</v>
      </c>
      <c r="AF1964" t="str">
        <f t="shared" si="185"/>
        <v>Paid</v>
      </c>
    </row>
    <row r="1965" spans="1:32" ht="27.75" thickBot="1" x14ac:dyDescent="0.35">
      <c r="A1965" s="2" t="s">
        <v>12347</v>
      </c>
      <c r="B1965" s="2" t="s">
        <v>27</v>
      </c>
      <c r="C1965" s="2" t="s">
        <v>28</v>
      </c>
      <c r="D1965" s="2" t="s">
        <v>97</v>
      </c>
      <c r="E1965" s="2" t="s">
        <v>12299</v>
      </c>
      <c r="F1965" s="2" t="s">
        <v>8445</v>
      </c>
      <c r="G1965" s="2" t="s">
        <v>32</v>
      </c>
      <c r="H1965" s="1"/>
      <c r="I1965" s="2" t="s">
        <v>33</v>
      </c>
      <c r="J1965" s="2" t="s">
        <v>34</v>
      </c>
      <c r="K1965" s="2" t="s">
        <v>5987</v>
      </c>
      <c r="L1965" s="2" t="s">
        <v>5988</v>
      </c>
      <c r="M1965" s="2" t="s">
        <v>304</v>
      </c>
      <c r="N1965" s="2" t="s">
        <v>38</v>
      </c>
      <c r="O1965" s="2" t="s">
        <v>748</v>
      </c>
      <c r="P1965" s="2" t="s">
        <v>10422</v>
      </c>
      <c r="Q1965" s="2" t="s">
        <v>1745</v>
      </c>
      <c r="R1965" s="2" t="s">
        <v>40</v>
      </c>
      <c r="S1965" s="2" t="s">
        <v>12348</v>
      </c>
      <c r="T1965" s="2" t="s">
        <v>5992</v>
      </c>
      <c r="U1965" s="2" t="s">
        <v>12349</v>
      </c>
      <c r="V1965" s="2" t="s">
        <v>12350</v>
      </c>
      <c r="W1965" s="1"/>
      <c r="X1965" s="2" t="s">
        <v>350</v>
      </c>
      <c r="Y1965" s="2" t="s">
        <v>12304</v>
      </c>
      <c r="AA1965" t="str">
        <f t="shared" si="180"/>
        <v>2025-12</v>
      </c>
      <c r="AB1965" t="str">
        <f t="shared" si="181"/>
        <v/>
      </c>
      <c r="AC1965">
        <f t="shared" si="182"/>
        <v>701129.52</v>
      </c>
      <c r="AD1965">
        <f t="shared" si="183"/>
        <v>280</v>
      </c>
      <c r="AE1965">
        <f t="shared" si="184"/>
        <v>79529.52</v>
      </c>
      <c r="AF1965" t="str">
        <f t="shared" si="185"/>
        <v>Paid</v>
      </c>
    </row>
    <row r="1966" spans="1:32" ht="17.25" thickBot="1" x14ac:dyDescent="0.35">
      <c r="A1966" s="2" t="s">
        <v>12351</v>
      </c>
      <c r="B1966" s="2" t="s">
        <v>27</v>
      </c>
      <c r="C1966" s="2" t="s">
        <v>28</v>
      </c>
      <c r="D1966" s="2" t="s">
        <v>97</v>
      </c>
      <c r="E1966" s="2" t="s">
        <v>12299</v>
      </c>
      <c r="F1966" s="2" t="s">
        <v>8445</v>
      </c>
      <c r="G1966" s="2" t="s">
        <v>32</v>
      </c>
      <c r="H1966" s="1"/>
      <c r="I1966" s="2" t="s">
        <v>33</v>
      </c>
      <c r="J1966" s="2" t="s">
        <v>34</v>
      </c>
      <c r="K1966" s="2" t="s">
        <v>10428</v>
      </c>
      <c r="L1966" s="2" t="s">
        <v>10429</v>
      </c>
      <c r="M1966" s="2" t="s">
        <v>304</v>
      </c>
      <c r="N1966" s="2" t="s">
        <v>38</v>
      </c>
      <c r="O1966" s="2" t="s">
        <v>945</v>
      </c>
      <c r="P1966" s="2" t="s">
        <v>2398</v>
      </c>
      <c r="Q1966" s="2" t="s">
        <v>12352</v>
      </c>
      <c r="R1966" s="2" t="s">
        <v>40</v>
      </c>
      <c r="S1966" s="2" t="s">
        <v>12353</v>
      </c>
      <c r="T1966" s="2" t="s">
        <v>2101</v>
      </c>
      <c r="U1966" s="2" t="s">
        <v>12354</v>
      </c>
      <c r="V1966" s="2" t="s">
        <v>12355</v>
      </c>
      <c r="W1966" s="1"/>
      <c r="X1966" s="2" t="s">
        <v>2958</v>
      </c>
      <c r="Y1966" s="2" t="s">
        <v>12304</v>
      </c>
      <c r="AA1966" t="str">
        <f t="shared" si="180"/>
        <v>2025-12</v>
      </c>
      <c r="AB1966" t="str">
        <f t="shared" si="181"/>
        <v/>
      </c>
      <c r="AC1966">
        <f t="shared" si="182"/>
        <v>1000894.05</v>
      </c>
      <c r="AD1966">
        <f t="shared" si="183"/>
        <v>107</v>
      </c>
      <c r="AE1966">
        <f t="shared" si="184"/>
        <v>230494.05</v>
      </c>
      <c r="AF1966" t="str">
        <f t="shared" si="185"/>
        <v>Paid</v>
      </c>
    </row>
    <row r="1967" spans="1:32" ht="27.75" thickBot="1" x14ac:dyDescent="0.35">
      <c r="A1967" s="2" t="s">
        <v>12356</v>
      </c>
      <c r="B1967" s="2" t="s">
        <v>27</v>
      </c>
      <c r="C1967" s="2" t="s">
        <v>28</v>
      </c>
      <c r="D1967" s="2" t="s">
        <v>97</v>
      </c>
      <c r="E1967" s="2" t="s">
        <v>12299</v>
      </c>
      <c r="F1967" s="2" t="s">
        <v>8445</v>
      </c>
      <c r="G1967" s="2" t="s">
        <v>32</v>
      </c>
      <c r="H1967" s="1"/>
      <c r="I1967" s="2" t="s">
        <v>33</v>
      </c>
      <c r="J1967" s="2" t="s">
        <v>34</v>
      </c>
      <c r="K1967" s="2" t="s">
        <v>379</v>
      </c>
      <c r="L1967" s="2" t="s">
        <v>380</v>
      </c>
      <c r="M1967" s="2" t="s">
        <v>304</v>
      </c>
      <c r="N1967" s="2" t="s">
        <v>38</v>
      </c>
      <c r="O1967" s="2" t="s">
        <v>1476</v>
      </c>
      <c r="P1967" s="2" t="s">
        <v>6930</v>
      </c>
      <c r="Q1967" s="2" t="s">
        <v>12357</v>
      </c>
      <c r="R1967" s="2" t="s">
        <v>40</v>
      </c>
      <c r="S1967" s="2" t="s">
        <v>12358</v>
      </c>
      <c r="T1967" s="2" t="s">
        <v>10437</v>
      </c>
      <c r="U1967" s="2" t="s">
        <v>8996</v>
      </c>
      <c r="V1967" s="2" t="s">
        <v>12359</v>
      </c>
      <c r="W1967" s="1"/>
      <c r="X1967" s="2" t="s">
        <v>5779</v>
      </c>
      <c r="Y1967" s="2" t="s">
        <v>12304</v>
      </c>
      <c r="AA1967" t="str">
        <f t="shared" si="180"/>
        <v>2025-12</v>
      </c>
      <c r="AB1967" t="str">
        <f t="shared" si="181"/>
        <v/>
      </c>
      <c r="AC1967">
        <f t="shared" si="182"/>
        <v>572473.98</v>
      </c>
      <c r="AD1967">
        <f t="shared" si="183"/>
        <v>260</v>
      </c>
      <c r="AE1967">
        <f t="shared" si="184"/>
        <v>156473.98000000001</v>
      </c>
      <c r="AF1967" t="str">
        <f t="shared" si="185"/>
        <v>Paid</v>
      </c>
    </row>
    <row r="1968" spans="1:32" ht="27.75" thickBot="1" x14ac:dyDescent="0.35">
      <c r="A1968" s="2" t="s">
        <v>12360</v>
      </c>
      <c r="B1968" s="2" t="s">
        <v>27</v>
      </c>
      <c r="C1968" s="2" t="s">
        <v>28</v>
      </c>
      <c r="D1968" s="2" t="s">
        <v>97</v>
      </c>
      <c r="E1968" s="2" t="s">
        <v>12299</v>
      </c>
      <c r="F1968" s="2" t="s">
        <v>8445</v>
      </c>
      <c r="G1968" s="2" t="s">
        <v>32</v>
      </c>
      <c r="H1968" s="1"/>
      <c r="I1968" s="2" t="s">
        <v>33</v>
      </c>
      <c r="J1968" s="2" t="s">
        <v>34</v>
      </c>
      <c r="K1968" s="2" t="s">
        <v>7430</v>
      </c>
      <c r="L1968" s="2" t="s">
        <v>7431</v>
      </c>
      <c r="M1968" s="2" t="s">
        <v>304</v>
      </c>
      <c r="N1968" s="2" t="s">
        <v>38</v>
      </c>
      <c r="O1968" s="2" t="s">
        <v>1641</v>
      </c>
      <c r="P1968" s="2" t="s">
        <v>9148</v>
      </c>
      <c r="Q1968" s="2" t="s">
        <v>12361</v>
      </c>
      <c r="R1968" s="2" t="s">
        <v>40</v>
      </c>
      <c r="S1968" s="2" t="s">
        <v>12362</v>
      </c>
      <c r="T1968" s="2" t="s">
        <v>374</v>
      </c>
      <c r="U1968" s="2" t="s">
        <v>12363</v>
      </c>
      <c r="V1968" s="2" t="s">
        <v>12364</v>
      </c>
      <c r="W1968" s="1"/>
      <c r="X1968" s="2" t="s">
        <v>377</v>
      </c>
      <c r="Y1968" s="2" t="s">
        <v>12304</v>
      </c>
      <c r="AA1968" t="str">
        <f t="shared" si="180"/>
        <v>2025-12</v>
      </c>
      <c r="AB1968" t="str">
        <f t="shared" si="181"/>
        <v/>
      </c>
      <c r="AC1968">
        <f t="shared" si="182"/>
        <v>2533737.02</v>
      </c>
      <c r="AD1968">
        <f t="shared" si="183"/>
        <v>192</v>
      </c>
      <c r="AE1968">
        <f t="shared" si="184"/>
        <v>300777.02</v>
      </c>
      <c r="AF1968" t="str">
        <f t="shared" si="185"/>
        <v>Paid</v>
      </c>
    </row>
    <row r="1969" spans="1:32" ht="27.75" thickBot="1" x14ac:dyDescent="0.35">
      <c r="A1969" s="2" t="s">
        <v>12365</v>
      </c>
      <c r="B1969" s="2" t="s">
        <v>27</v>
      </c>
      <c r="C1969" s="2" t="s">
        <v>28</v>
      </c>
      <c r="D1969" s="2" t="s">
        <v>97</v>
      </c>
      <c r="E1969" s="2" t="s">
        <v>12299</v>
      </c>
      <c r="F1969" s="2" t="s">
        <v>8445</v>
      </c>
      <c r="G1969" s="2" t="s">
        <v>32</v>
      </c>
      <c r="H1969" s="1"/>
      <c r="I1969" s="2" t="s">
        <v>33</v>
      </c>
      <c r="J1969" s="2" t="s">
        <v>34</v>
      </c>
      <c r="K1969" s="2" t="s">
        <v>4756</v>
      </c>
      <c r="L1969" s="2" t="s">
        <v>4757</v>
      </c>
      <c r="M1969" s="2" t="s">
        <v>304</v>
      </c>
      <c r="N1969" s="2" t="s">
        <v>38</v>
      </c>
      <c r="O1969" s="2" t="s">
        <v>849</v>
      </c>
      <c r="P1969" s="2" t="s">
        <v>6930</v>
      </c>
      <c r="Q1969" s="2" t="s">
        <v>12366</v>
      </c>
      <c r="R1969" s="2" t="s">
        <v>40</v>
      </c>
      <c r="S1969" s="2" t="s">
        <v>12367</v>
      </c>
      <c r="T1969" s="2" t="s">
        <v>10437</v>
      </c>
      <c r="U1969" s="2" t="s">
        <v>12368</v>
      </c>
      <c r="V1969" s="2" t="s">
        <v>12369</v>
      </c>
      <c r="W1969" s="1"/>
      <c r="X1969" s="2" t="s">
        <v>5779</v>
      </c>
      <c r="Y1969" s="2" t="s">
        <v>12304</v>
      </c>
      <c r="AA1969" t="str">
        <f t="shared" si="180"/>
        <v>2025-12</v>
      </c>
      <c r="AB1969" t="str">
        <f t="shared" si="181"/>
        <v/>
      </c>
      <c r="AC1969">
        <f t="shared" si="182"/>
        <v>352291.68</v>
      </c>
      <c r="AD1969">
        <f t="shared" si="183"/>
        <v>160</v>
      </c>
      <c r="AE1969">
        <f t="shared" si="184"/>
        <v>96291.68</v>
      </c>
      <c r="AF1969" t="str">
        <f t="shared" si="185"/>
        <v>Paid</v>
      </c>
    </row>
    <row r="1970" spans="1:32" ht="27.75" thickBot="1" x14ac:dyDescent="0.35">
      <c r="A1970" s="2" t="s">
        <v>12370</v>
      </c>
      <c r="B1970" s="2" t="s">
        <v>27</v>
      </c>
      <c r="C1970" s="2" t="s">
        <v>28</v>
      </c>
      <c r="D1970" s="2" t="s">
        <v>97</v>
      </c>
      <c r="E1970" s="2" t="s">
        <v>12299</v>
      </c>
      <c r="F1970" s="2" t="s">
        <v>8445</v>
      </c>
      <c r="G1970" s="2" t="s">
        <v>32</v>
      </c>
      <c r="H1970" s="1"/>
      <c r="I1970" s="2" t="s">
        <v>33</v>
      </c>
      <c r="J1970" s="2" t="s">
        <v>34</v>
      </c>
      <c r="K1970" s="2" t="s">
        <v>10454</v>
      </c>
      <c r="L1970" s="2" t="s">
        <v>10455</v>
      </c>
      <c r="M1970" s="2" t="s">
        <v>304</v>
      </c>
      <c r="N1970" s="2" t="s">
        <v>38</v>
      </c>
      <c r="O1970" s="2" t="s">
        <v>79</v>
      </c>
      <c r="P1970" s="2" t="s">
        <v>6930</v>
      </c>
      <c r="Q1970" s="2" t="s">
        <v>9035</v>
      </c>
      <c r="R1970" s="2" t="s">
        <v>40</v>
      </c>
      <c r="S1970" s="2" t="s">
        <v>12371</v>
      </c>
      <c r="T1970" s="2" t="s">
        <v>384</v>
      </c>
      <c r="U1970" s="2" t="s">
        <v>9037</v>
      </c>
      <c r="V1970" s="2" t="s">
        <v>12372</v>
      </c>
      <c r="W1970" s="1"/>
      <c r="X1970" s="2" t="s">
        <v>377</v>
      </c>
      <c r="Y1970" s="2" t="s">
        <v>12304</v>
      </c>
      <c r="AA1970" t="str">
        <f t="shared" si="180"/>
        <v>2025-12</v>
      </c>
      <c r="AB1970" t="str">
        <f t="shared" si="181"/>
        <v/>
      </c>
      <c r="AC1970">
        <f t="shared" si="182"/>
        <v>22018.23</v>
      </c>
      <c r="AD1970">
        <f t="shared" si="183"/>
        <v>10</v>
      </c>
      <c r="AE1970">
        <f t="shared" si="184"/>
        <v>2618.23</v>
      </c>
      <c r="AF1970" t="str">
        <f t="shared" si="185"/>
        <v>Paid</v>
      </c>
    </row>
    <row r="1971" spans="1:32" ht="17.25" thickBot="1" x14ac:dyDescent="0.35">
      <c r="A1971" s="2" t="s">
        <v>12373</v>
      </c>
      <c r="B1971" s="2" t="s">
        <v>27</v>
      </c>
      <c r="C1971" s="2" t="s">
        <v>28</v>
      </c>
      <c r="D1971" s="2" t="s">
        <v>97</v>
      </c>
      <c r="E1971" s="2" t="s">
        <v>12299</v>
      </c>
      <c r="F1971" s="2" t="s">
        <v>8445</v>
      </c>
      <c r="G1971" s="2" t="s">
        <v>32</v>
      </c>
      <c r="H1971" s="1"/>
      <c r="I1971" s="2" t="s">
        <v>33</v>
      </c>
      <c r="J1971" s="2" t="s">
        <v>34</v>
      </c>
      <c r="K1971" s="2" t="s">
        <v>4093</v>
      </c>
      <c r="L1971" s="2" t="s">
        <v>4094</v>
      </c>
      <c r="M1971" s="2" t="s">
        <v>304</v>
      </c>
      <c r="N1971" s="2" t="s">
        <v>38</v>
      </c>
      <c r="O1971" s="2" t="s">
        <v>1538</v>
      </c>
      <c r="P1971" s="2" t="s">
        <v>6930</v>
      </c>
      <c r="Q1971" s="2" t="s">
        <v>12374</v>
      </c>
      <c r="R1971" s="2" t="s">
        <v>40</v>
      </c>
      <c r="S1971" s="2" t="s">
        <v>12375</v>
      </c>
      <c r="T1971" s="2" t="s">
        <v>10437</v>
      </c>
      <c r="U1971" s="2" t="s">
        <v>12376</v>
      </c>
      <c r="V1971" s="2" t="s">
        <v>12377</v>
      </c>
      <c r="W1971" s="1"/>
      <c r="X1971" s="2" t="s">
        <v>5779</v>
      </c>
      <c r="Y1971" s="2" t="s">
        <v>12304</v>
      </c>
      <c r="AA1971" t="str">
        <f t="shared" si="180"/>
        <v>2025-12</v>
      </c>
      <c r="AB1971" t="str">
        <f t="shared" si="181"/>
        <v/>
      </c>
      <c r="AC1971">
        <f t="shared" si="182"/>
        <v>968802.12</v>
      </c>
      <c r="AD1971">
        <f t="shared" si="183"/>
        <v>440</v>
      </c>
      <c r="AE1971">
        <f t="shared" si="184"/>
        <v>264802.12</v>
      </c>
      <c r="AF1971" t="str">
        <f t="shared" si="185"/>
        <v>Paid</v>
      </c>
    </row>
    <row r="1972" spans="1:32" ht="17.25" thickBot="1" x14ac:dyDescent="0.35">
      <c r="A1972" s="2" t="s">
        <v>12378</v>
      </c>
      <c r="B1972" s="2" t="s">
        <v>27</v>
      </c>
      <c r="C1972" s="2" t="s">
        <v>28</v>
      </c>
      <c r="D1972" s="2" t="s">
        <v>97</v>
      </c>
      <c r="E1972" s="2" t="s">
        <v>12299</v>
      </c>
      <c r="F1972" s="2" t="s">
        <v>8445</v>
      </c>
      <c r="G1972" s="2" t="s">
        <v>32</v>
      </c>
      <c r="H1972" s="1"/>
      <c r="I1972" s="2" t="s">
        <v>33</v>
      </c>
      <c r="J1972" s="2" t="s">
        <v>34</v>
      </c>
      <c r="K1972" s="2" t="s">
        <v>10460</v>
      </c>
      <c r="L1972" s="2" t="s">
        <v>10461</v>
      </c>
      <c r="M1972" s="2" t="s">
        <v>304</v>
      </c>
      <c r="N1972" s="2" t="s">
        <v>38</v>
      </c>
      <c r="O1972" s="2" t="s">
        <v>458</v>
      </c>
      <c r="P1972" s="2" t="s">
        <v>9148</v>
      </c>
      <c r="Q1972" s="2" t="s">
        <v>12379</v>
      </c>
      <c r="R1972" s="2" t="s">
        <v>40</v>
      </c>
      <c r="S1972" s="2" t="s">
        <v>12380</v>
      </c>
      <c r="T1972" s="2" t="s">
        <v>10362</v>
      </c>
      <c r="U1972" s="2" t="s">
        <v>12381</v>
      </c>
      <c r="V1972" s="2" t="s">
        <v>12382</v>
      </c>
      <c r="W1972" s="1"/>
      <c r="X1972" s="2" t="s">
        <v>5779</v>
      </c>
      <c r="Y1972" s="2" t="s">
        <v>12304</v>
      </c>
      <c r="AA1972" t="str">
        <f t="shared" si="180"/>
        <v>2025-12</v>
      </c>
      <c r="AB1972" t="str">
        <f t="shared" si="181"/>
        <v/>
      </c>
      <c r="AC1972">
        <f t="shared" si="182"/>
        <v>2956026.53</v>
      </c>
      <c r="AD1972">
        <f t="shared" si="183"/>
        <v>224</v>
      </c>
      <c r="AE1972">
        <f t="shared" si="184"/>
        <v>805626.53</v>
      </c>
      <c r="AF1972" t="str">
        <f t="shared" si="185"/>
        <v>Paid</v>
      </c>
    </row>
    <row r="1973" spans="1:32" ht="17.25" thickBot="1" x14ac:dyDescent="0.35">
      <c r="A1973" s="2" t="s">
        <v>12383</v>
      </c>
      <c r="B1973" s="2" t="s">
        <v>27</v>
      </c>
      <c r="C1973" s="2" t="s">
        <v>28</v>
      </c>
      <c r="D1973" s="2" t="s">
        <v>97</v>
      </c>
      <c r="E1973" s="2" t="s">
        <v>12299</v>
      </c>
      <c r="F1973" s="2" t="s">
        <v>8445</v>
      </c>
      <c r="G1973" s="2" t="s">
        <v>32</v>
      </c>
      <c r="H1973" s="1"/>
      <c r="I1973" s="2" t="s">
        <v>33</v>
      </c>
      <c r="J1973" s="2" t="s">
        <v>34</v>
      </c>
      <c r="K1973" s="2" t="s">
        <v>10465</v>
      </c>
      <c r="L1973" s="2" t="s">
        <v>10466</v>
      </c>
      <c r="M1973" s="2" t="s">
        <v>304</v>
      </c>
      <c r="N1973" s="2" t="s">
        <v>38</v>
      </c>
      <c r="O1973" s="2" t="s">
        <v>867</v>
      </c>
      <c r="P1973" s="2" t="s">
        <v>12384</v>
      </c>
      <c r="Q1973" s="2" t="s">
        <v>12385</v>
      </c>
      <c r="R1973" s="2" t="s">
        <v>40</v>
      </c>
      <c r="S1973" s="2" t="s">
        <v>12386</v>
      </c>
      <c r="T1973" s="2" t="s">
        <v>12387</v>
      </c>
      <c r="U1973" s="2" t="s">
        <v>12388</v>
      </c>
      <c r="V1973" s="2" t="s">
        <v>12389</v>
      </c>
      <c r="W1973" s="1"/>
      <c r="X1973" s="2" t="s">
        <v>3216</v>
      </c>
      <c r="Y1973" s="2" t="s">
        <v>12304</v>
      </c>
      <c r="AA1973" t="str">
        <f t="shared" si="180"/>
        <v>2025-12</v>
      </c>
      <c r="AB1973" t="str">
        <f t="shared" si="181"/>
        <v/>
      </c>
      <c r="AC1973">
        <f t="shared" si="182"/>
        <v>1805106.3</v>
      </c>
      <c r="AD1973">
        <f t="shared" si="183"/>
        <v>99</v>
      </c>
      <c r="AE1973">
        <f t="shared" si="184"/>
        <v>300306.3</v>
      </c>
      <c r="AF1973" t="str">
        <f t="shared" si="185"/>
        <v>Paid</v>
      </c>
    </row>
    <row r="1974" spans="1:32" ht="17.25" thickBot="1" x14ac:dyDescent="0.35">
      <c r="A1974" s="2" t="s">
        <v>12390</v>
      </c>
      <c r="B1974" s="2" t="s">
        <v>27</v>
      </c>
      <c r="C1974" s="2" t="s">
        <v>28</v>
      </c>
      <c r="D1974" s="2" t="s">
        <v>97</v>
      </c>
      <c r="E1974" s="2" t="s">
        <v>12299</v>
      </c>
      <c r="F1974" s="2" t="s">
        <v>8445</v>
      </c>
      <c r="G1974" s="2" t="s">
        <v>32</v>
      </c>
      <c r="H1974" s="1"/>
      <c r="I1974" s="2" t="s">
        <v>33</v>
      </c>
      <c r="J1974" s="2" t="s">
        <v>34</v>
      </c>
      <c r="K1974" s="2" t="s">
        <v>12391</v>
      </c>
      <c r="L1974" s="2" t="s">
        <v>12392</v>
      </c>
      <c r="M1974" s="2" t="s">
        <v>304</v>
      </c>
      <c r="N1974" s="2" t="s">
        <v>38</v>
      </c>
      <c r="O1974" s="2" t="s">
        <v>149</v>
      </c>
      <c r="P1974" s="2" t="s">
        <v>4714</v>
      </c>
      <c r="Q1974" s="2" t="s">
        <v>12393</v>
      </c>
      <c r="R1974" s="2" t="s">
        <v>40</v>
      </c>
      <c r="S1974" s="2" t="s">
        <v>12394</v>
      </c>
      <c r="T1974" s="2" t="s">
        <v>12395</v>
      </c>
      <c r="U1974" s="2" t="s">
        <v>659</v>
      </c>
      <c r="V1974" s="2" t="s">
        <v>12396</v>
      </c>
      <c r="W1974" s="1"/>
      <c r="X1974" s="2" t="s">
        <v>566</v>
      </c>
      <c r="Y1974" s="2" t="s">
        <v>12304</v>
      </c>
      <c r="AA1974" t="str">
        <f t="shared" si="180"/>
        <v>2025-12</v>
      </c>
      <c r="AB1974" t="str">
        <f t="shared" si="181"/>
        <v/>
      </c>
      <c r="AC1974">
        <f t="shared" si="182"/>
        <v>2672408.7000000002</v>
      </c>
      <c r="AD1974">
        <f t="shared" si="183"/>
        <v>300</v>
      </c>
      <c r="AE1974">
        <f t="shared" si="184"/>
        <v>296408.7</v>
      </c>
      <c r="AF1974" t="str">
        <f t="shared" si="185"/>
        <v>Paid</v>
      </c>
    </row>
    <row r="1975" spans="1:32" ht="17.25" thickBot="1" x14ac:dyDescent="0.35">
      <c r="A1975" s="2" t="s">
        <v>12397</v>
      </c>
      <c r="B1975" s="2" t="s">
        <v>27</v>
      </c>
      <c r="C1975" s="2" t="s">
        <v>28</v>
      </c>
      <c r="D1975" s="2" t="s">
        <v>97</v>
      </c>
      <c r="E1975" s="2" t="s">
        <v>12299</v>
      </c>
      <c r="F1975" s="2" t="s">
        <v>8445</v>
      </c>
      <c r="G1975" s="2" t="s">
        <v>32</v>
      </c>
      <c r="H1975" s="1"/>
      <c r="I1975" s="2" t="s">
        <v>33</v>
      </c>
      <c r="J1975" s="2" t="s">
        <v>34</v>
      </c>
      <c r="K1975" s="2" t="s">
        <v>10485</v>
      </c>
      <c r="L1975" s="2" t="s">
        <v>10486</v>
      </c>
      <c r="M1975" s="2" t="s">
        <v>304</v>
      </c>
      <c r="N1975" s="2" t="s">
        <v>38</v>
      </c>
      <c r="O1975" s="2" t="s">
        <v>877</v>
      </c>
      <c r="P1975" s="2" t="s">
        <v>10487</v>
      </c>
      <c r="Q1975" s="2" t="s">
        <v>12398</v>
      </c>
      <c r="R1975" s="2" t="s">
        <v>40</v>
      </c>
      <c r="S1975" s="2" t="s">
        <v>12399</v>
      </c>
      <c r="T1975" s="2" t="s">
        <v>10490</v>
      </c>
      <c r="U1975" s="2" t="s">
        <v>12400</v>
      </c>
      <c r="V1975" s="2" t="s">
        <v>12401</v>
      </c>
      <c r="W1975" s="1"/>
      <c r="X1975" s="2" t="s">
        <v>201</v>
      </c>
      <c r="Y1975" s="2" t="s">
        <v>12304</v>
      </c>
      <c r="AA1975" t="str">
        <f t="shared" si="180"/>
        <v>2025-12</v>
      </c>
      <c r="AB1975" t="str">
        <f t="shared" si="181"/>
        <v/>
      </c>
      <c r="AC1975">
        <f t="shared" si="182"/>
        <v>2160089.1</v>
      </c>
      <c r="AD1975">
        <f t="shared" si="183"/>
        <v>100</v>
      </c>
      <c r="AE1975">
        <f t="shared" si="184"/>
        <v>523689.1</v>
      </c>
      <c r="AF1975" t="str">
        <f t="shared" si="185"/>
        <v>Paid</v>
      </c>
    </row>
    <row r="1976" spans="1:32" ht="27.75" thickBot="1" x14ac:dyDescent="0.35">
      <c r="A1976" s="2" t="s">
        <v>12402</v>
      </c>
      <c r="B1976" s="2" t="s">
        <v>27</v>
      </c>
      <c r="C1976" s="2" t="s">
        <v>28</v>
      </c>
      <c r="D1976" s="2" t="s">
        <v>97</v>
      </c>
      <c r="E1976" s="2" t="s">
        <v>12299</v>
      </c>
      <c r="F1976" s="2" t="s">
        <v>8445</v>
      </c>
      <c r="G1976" s="2" t="s">
        <v>32</v>
      </c>
      <c r="H1976" s="1"/>
      <c r="I1976" s="2" t="s">
        <v>33</v>
      </c>
      <c r="J1976" s="2" t="s">
        <v>34</v>
      </c>
      <c r="K1976" s="2" t="s">
        <v>10494</v>
      </c>
      <c r="L1976" s="2" t="s">
        <v>10495</v>
      </c>
      <c r="M1976" s="2" t="s">
        <v>304</v>
      </c>
      <c r="N1976" s="2" t="s">
        <v>38</v>
      </c>
      <c r="O1976" s="2" t="s">
        <v>12403</v>
      </c>
      <c r="P1976" s="2" t="s">
        <v>9099</v>
      </c>
      <c r="Q1976" s="2" t="s">
        <v>12404</v>
      </c>
      <c r="R1976" s="2" t="s">
        <v>40</v>
      </c>
      <c r="S1976" s="2" t="s">
        <v>12405</v>
      </c>
      <c r="T1976" s="2" t="s">
        <v>8164</v>
      </c>
      <c r="U1976" s="2" t="s">
        <v>12406</v>
      </c>
      <c r="V1976" s="2" t="s">
        <v>12407</v>
      </c>
      <c r="W1976" s="1"/>
      <c r="X1976" s="2" t="s">
        <v>243</v>
      </c>
      <c r="Y1976" s="2" t="s">
        <v>12304</v>
      </c>
      <c r="AA1976" t="str">
        <f t="shared" si="180"/>
        <v>2025-12</v>
      </c>
      <c r="AB1976" t="str">
        <f t="shared" si="181"/>
        <v/>
      </c>
      <c r="AC1976">
        <f t="shared" si="182"/>
        <v>20403559.800000001</v>
      </c>
      <c r="AD1976">
        <f t="shared" si="183"/>
        <v>1700</v>
      </c>
      <c r="AE1976">
        <f t="shared" si="184"/>
        <v>8039459.7999999998</v>
      </c>
      <c r="AF1976" t="str">
        <f t="shared" si="185"/>
        <v>Paid</v>
      </c>
    </row>
    <row r="1977" spans="1:32" ht="17.25" thickBot="1" x14ac:dyDescent="0.35">
      <c r="A1977" s="2" t="s">
        <v>12408</v>
      </c>
      <c r="B1977" s="2" t="s">
        <v>27</v>
      </c>
      <c r="C1977" s="2" t="s">
        <v>28</v>
      </c>
      <c r="D1977" s="2" t="s">
        <v>97</v>
      </c>
      <c r="E1977" s="2" t="s">
        <v>12299</v>
      </c>
      <c r="F1977" s="2" t="s">
        <v>8445</v>
      </c>
      <c r="G1977" s="2" t="s">
        <v>32</v>
      </c>
      <c r="H1977" s="1"/>
      <c r="I1977" s="2" t="s">
        <v>33</v>
      </c>
      <c r="J1977" s="2" t="s">
        <v>34</v>
      </c>
      <c r="K1977" s="2" t="s">
        <v>389</v>
      </c>
      <c r="L1977" s="2" t="s">
        <v>390</v>
      </c>
      <c r="M1977" s="2" t="s">
        <v>304</v>
      </c>
      <c r="N1977" s="2" t="s">
        <v>38</v>
      </c>
      <c r="O1977" s="2" t="s">
        <v>877</v>
      </c>
      <c r="P1977" s="2" t="s">
        <v>7065</v>
      </c>
      <c r="Q1977" s="2" t="s">
        <v>12409</v>
      </c>
      <c r="R1977" s="2" t="s">
        <v>40</v>
      </c>
      <c r="S1977" s="2" t="s">
        <v>12410</v>
      </c>
      <c r="T1977" s="2" t="s">
        <v>12411</v>
      </c>
      <c r="U1977" s="2" t="s">
        <v>12412</v>
      </c>
      <c r="V1977" s="2" t="s">
        <v>12413</v>
      </c>
      <c r="W1977" s="1"/>
      <c r="X1977" s="2" t="s">
        <v>12414</v>
      </c>
      <c r="Y1977" s="2" t="s">
        <v>12304</v>
      </c>
      <c r="AA1977" t="str">
        <f t="shared" si="180"/>
        <v>2025-12</v>
      </c>
      <c r="AB1977" t="str">
        <f t="shared" si="181"/>
        <v/>
      </c>
      <c r="AC1977">
        <f t="shared" si="182"/>
        <v>1410318</v>
      </c>
      <c r="AD1977">
        <f t="shared" si="183"/>
        <v>100</v>
      </c>
      <c r="AE1977">
        <f t="shared" si="184"/>
        <v>180318</v>
      </c>
      <c r="AF1977" t="str">
        <f t="shared" si="185"/>
        <v>Paid</v>
      </c>
    </row>
    <row r="1978" spans="1:32" ht="17.25" thickBot="1" x14ac:dyDescent="0.35">
      <c r="A1978" s="2" t="s">
        <v>12415</v>
      </c>
      <c r="B1978" s="2" t="s">
        <v>27</v>
      </c>
      <c r="C1978" s="2" t="s">
        <v>28</v>
      </c>
      <c r="D1978" s="2" t="s">
        <v>97</v>
      </c>
      <c r="E1978" s="2" t="s">
        <v>12299</v>
      </c>
      <c r="F1978" s="2" t="s">
        <v>8445</v>
      </c>
      <c r="G1978" s="2" t="s">
        <v>32</v>
      </c>
      <c r="H1978" s="1"/>
      <c r="I1978" s="2" t="s">
        <v>33</v>
      </c>
      <c r="J1978" s="2" t="s">
        <v>34</v>
      </c>
      <c r="K1978" s="2" t="s">
        <v>10507</v>
      </c>
      <c r="L1978" s="2" t="s">
        <v>10508</v>
      </c>
      <c r="M1978" s="2" t="s">
        <v>304</v>
      </c>
      <c r="N1978" s="2" t="s">
        <v>38</v>
      </c>
      <c r="O1978" s="2" t="s">
        <v>877</v>
      </c>
      <c r="P1978" s="2" t="s">
        <v>392</v>
      </c>
      <c r="Q1978" s="2" t="s">
        <v>12416</v>
      </c>
      <c r="R1978" s="2" t="s">
        <v>40</v>
      </c>
      <c r="S1978" s="2" t="s">
        <v>12417</v>
      </c>
      <c r="T1978" s="2" t="s">
        <v>2127</v>
      </c>
      <c r="U1978" s="2" t="s">
        <v>2135</v>
      </c>
      <c r="V1978" s="2" t="s">
        <v>12418</v>
      </c>
      <c r="W1978" s="1"/>
      <c r="X1978" s="2" t="s">
        <v>6790</v>
      </c>
      <c r="Y1978" s="2" t="s">
        <v>12304</v>
      </c>
      <c r="AA1978" t="str">
        <f t="shared" si="180"/>
        <v>2025-12</v>
      </c>
      <c r="AB1978" t="str">
        <f t="shared" si="181"/>
        <v/>
      </c>
      <c r="AC1978">
        <f t="shared" si="182"/>
        <v>1377218.7</v>
      </c>
      <c r="AD1978">
        <f t="shared" si="183"/>
        <v>100</v>
      </c>
      <c r="AE1978">
        <f t="shared" si="184"/>
        <v>297218.7</v>
      </c>
      <c r="AF1978" t="str">
        <f t="shared" si="185"/>
        <v>Paid</v>
      </c>
    </row>
    <row r="1979" spans="1:32" ht="17.25" thickBot="1" x14ac:dyDescent="0.35">
      <c r="A1979" s="2" t="s">
        <v>12419</v>
      </c>
      <c r="B1979" s="2" t="s">
        <v>27</v>
      </c>
      <c r="C1979" s="2" t="s">
        <v>28</v>
      </c>
      <c r="D1979" s="2" t="s">
        <v>97</v>
      </c>
      <c r="E1979" s="2" t="s">
        <v>12299</v>
      </c>
      <c r="F1979" s="2" t="s">
        <v>8445</v>
      </c>
      <c r="G1979" s="2" t="s">
        <v>32</v>
      </c>
      <c r="H1979" s="1"/>
      <c r="I1979" s="2" t="s">
        <v>33</v>
      </c>
      <c r="J1979" s="2" t="s">
        <v>34</v>
      </c>
      <c r="K1979" s="2" t="s">
        <v>417</v>
      </c>
      <c r="L1979" s="2" t="s">
        <v>418</v>
      </c>
      <c r="M1979" s="2" t="s">
        <v>304</v>
      </c>
      <c r="N1979" s="2" t="s">
        <v>38</v>
      </c>
      <c r="O1979" s="2" t="s">
        <v>4043</v>
      </c>
      <c r="P1979" s="2" t="s">
        <v>3041</v>
      </c>
      <c r="Q1979" s="2" t="s">
        <v>12420</v>
      </c>
      <c r="R1979" s="2" t="s">
        <v>40</v>
      </c>
      <c r="S1979" s="2" t="s">
        <v>12421</v>
      </c>
      <c r="T1979" s="2" t="s">
        <v>2127</v>
      </c>
      <c r="U1979" s="2" t="s">
        <v>12422</v>
      </c>
      <c r="V1979" s="2" t="s">
        <v>12423</v>
      </c>
      <c r="W1979" s="1"/>
      <c r="X1979" s="2" t="s">
        <v>566</v>
      </c>
      <c r="Y1979" s="2" t="s">
        <v>12304</v>
      </c>
      <c r="AA1979" t="str">
        <f t="shared" si="180"/>
        <v>2025-12</v>
      </c>
      <c r="AB1979" t="str">
        <f t="shared" si="181"/>
        <v/>
      </c>
      <c r="AC1979">
        <f t="shared" si="182"/>
        <v>9838263.2400000002</v>
      </c>
      <c r="AD1979">
        <f t="shared" si="183"/>
        <v>810</v>
      </c>
      <c r="AE1979">
        <f t="shared" si="184"/>
        <v>1090263.24</v>
      </c>
      <c r="AF1979" t="str">
        <f t="shared" si="185"/>
        <v>Paid</v>
      </c>
    </row>
    <row r="1980" spans="1:32" ht="17.25" thickBot="1" x14ac:dyDescent="0.35">
      <c r="A1980" s="2" t="s">
        <v>12424</v>
      </c>
      <c r="B1980" s="2" t="s">
        <v>27</v>
      </c>
      <c r="C1980" s="2" t="s">
        <v>28</v>
      </c>
      <c r="D1980" s="2" t="s">
        <v>97</v>
      </c>
      <c r="E1980" s="2" t="s">
        <v>12299</v>
      </c>
      <c r="F1980" s="2" t="s">
        <v>8445</v>
      </c>
      <c r="G1980" s="2" t="s">
        <v>32</v>
      </c>
      <c r="H1980" s="1"/>
      <c r="I1980" s="2" t="s">
        <v>33</v>
      </c>
      <c r="J1980" s="2" t="s">
        <v>34</v>
      </c>
      <c r="K1980" s="2" t="s">
        <v>426</v>
      </c>
      <c r="L1980" s="2" t="s">
        <v>427</v>
      </c>
      <c r="M1980" s="2" t="s">
        <v>304</v>
      </c>
      <c r="N1980" s="2" t="s">
        <v>38</v>
      </c>
      <c r="O1980" s="2" t="s">
        <v>849</v>
      </c>
      <c r="P1980" s="2" t="s">
        <v>910</v>
      </c>
      <c r="Q1980" s="2" t="s">
        <v>12425</v>
      </c>
      <c r="R1980" s="2" t="s">
        <v>40</v>
      </c>
      <c r="S1980" s="2" t="s">
        <v>12426</v>
      </c>
      <c r="T1980" s="2" t="s">
        <v>12427</v>
      </c>
      <c r="U1980" s="2" t="s">
        <v>12428</v>
      </c>
      <c r="V1980" s="2" t="s">
        <v>12429</v>
      </c>
      <c r="W1980" s="1"/>
      <c r="X1980" s="2" t="s">
        <v>8980</v>
      </c>
      <c r="Y1980" s="2" t="s">
        <v>12304</v>
      </c>
      <c r="AA1980" t="str">
        <f t="shared" si="180"/>
        <v>2025-12</v>
      </c>
      <c r="AB1980" t="str">
        <f t="shared" si="181"/>
        <v/>
      </c>
      <c r="AC1980">
        <f t="shared" si="182"/>
        <v>2120657.7599999998</v>
      </c>
      <c r="AD1980">
        <f t="shared" si="183"/>
        <v>160</v>
      </c>
      <c r="AE1980">
        <f t="shared" si="184"/>
        <v>283057.76</v>
      </c>
      <c r="AF1980" t="str">
        <f t="shared" si="185"/>
        <v>Paid</v>
      </c>
    </row>
    <row r="1981" spans="1:32" ht="27.75" thickBot="1" x14ac:dyDescent="0.35">
      <c r="A1981" s="2" t="s">
        <v>12430</v>
      </c>
      <c r="B1981" s="2" t="s">
        <v>27</v>
      </c>
      <c r="C1981" s="2" t="s">
        <v>28</v>
      </c>
      <c r="D1981" s="2" t="s">
        <v>97</v>
      </c>
      <c r="E1981" s="2" t="s">
        <v>12299</v>
      </c>
      <c r="F1981" s="2" t="s">
        <v>8445</v>
      </c>
      <c r="G1981" s="2" t="s">
        <v>32</v>
      </c>
      <c r="H1981" s="1"/>
      <c r="I1981" s="2" t="s">
        <v>33</v>
      </c>
      <c r="J1981" s="2" t="s">
        <v>34</v>
      </c>
      <c r="K1981" s="2" t="s">
        <v>436</v>
      </c>
      <c r="L1981" s="2" t="s">
        <v>437</v>
      </c>
      <c r="M1981" s="2" t="s">
        <v>304</v>
      </c>
      <c r="N1981" s="2" t="s">
        <v>38</v>
      </c>
      <c r="O1981" s="2" t="s">
        <v>1488</v>
      </c>
      <c r="P1981" s="2" t="s">
        <v>10526</v>
      </c>
      <c r="Q1981" s="2" t="s">
        <v>12431</v>
      </c>
      <c r="R1981" s="2" t="s">
        <v>40</v>
      </c>
      <c r="S1981" s="2" t="s">
        <v>12432</v>
      </c>
      <c r="T1981" s="2" t="s">
        <v>422</v>
      </c>
      <c r="U1981" s="2" t="s">
        <v>12433</v>
      </c>
      <c r="V1981" s="2" t="s">
        <v>12434</v>
      </c>
      <c r="W1981" s="1"/>
      <c r="X1981" s="2" t="s">
        <v>322</v>
      </c>
      <c r="Y1981" s="2" t="s">
        <v>12304</v>
      </c>
      <c r="AA1981" t="str">
        <f t="shared" si="180"/>
        <v>2025-12</v>
      </c>
      <c r="AB1981" t="str">
        <f t="shared" si="181"/>
        <v/>
      </c>
      <c r="AC1981">
        <f t="shared" si="182"/>
        <v>2337904.2999999998</v>
      </c>
      <c r="AD1981">
        <f t="shared" si="183"/>
        <v>168</v>
      </c>
      <c r="AE1981">
        <f t="shared" si="184"/>
        <v>289984.3</v>
      </c>
      <c r="AF1981" t="str">
        <f t="shared" si="185"/>
        <v>Paid</v>
      </c>
    </row>
    <row r="1982" spans="1:32" ht="27.75" thickBot="1" x14ac:dyDescent="0.35">
      <c r="A1982" s="2" t="s">
        <v>12435</v>
      </c>
      <c r="B1982" s="2" t="s">
        <v>27</v>
      </c>
      <c r="C1982" s="2" t="s">
        <v>28</v>
      </c>
      <c r="D1982" s="2" t="s">
        <v>97</v>
      </c>
      <c r="E1982" s="2" t="s">
        <v>12299</v>
      </c>
      <c r="F1982" s="2" t="s">
        <v>8445</v>
      </c>
      <c r="G1982" s="2" t="s">
        <v>32</v>
      </c>
      <c r="H1982" s="1"/>
      <c r="I1982" s="2" t="s">
        <v>33</v>
      </c>
      <c r="J1982" s="2" t="s">
        <v>34</v>
      </c>
      <c r="K1982" s="2" t="s">
        <v>446</v>
      </c>
      <c r="L1982" s="2" t="s">
        <v>447</v>
      </c>
      <c r="M1982" s="2" t="s">
        <v>304</v>
      </c>
      <c r="N1982" s="2" t="s">
        <v>38</v>
      </c>
      <c r="O1982" s="2" t="s">
        <v>849</v>
      </c>
      <c r="P1982" s="2" t="s">
        <v>10532</v>
      </c>
      <c r="Q1982" s="2" t="s">
        <v>12436</v>
      </c>
      <c r="R1982" s="2" t="s">
        <v>40</v>
      </c>
      <c r="S1982" s="2" t="s">
        <v>12437</v>
      </c>
      <c r="T1982" s="2" t="s">
        <v>452</v>
      </c>
      <c r="U1982" s="2" t="s">
        <v>12438</v>
      </c>
      <c r="V1982" s="2" t="s">
        <v>12439</v>
      </c>
      <c r="W1982" s="1"/>
      <c r="X1982" s="2" t="s">
        <v>9074</v>
      </c>
      <c r="Y1982" s="2" t="s">
        <v>12304</v>
      </c>
      <c r="AA1982" t="str">
        <f t="shared" si="180"/>
        <v>2025-12</v>
      </c>
      <c r="AB1982" t="str">
        <f t="shared" si="181"/>
        <v/>
      </c>
      <c r="AC1982">
        <f t="shared" si="182"/>
        <v>2592682.56</v>
      </c>
      <c r="AD1982">
        <f t="shared" si="183"/>
        <v>160</v>
      </c>
      <c r="AE1982">
        <f t="shared" si="184"/>
        <v>819882.56</v>
      </c>
      <c r="AF1982" t="str">
        <f t="shared" si="185"/>
        <v>Paid</v>
      </c>
    </row>
    <row r="1983" spans="1:32" ht="17.25" thickBot="1" x14ac:dyDescent="0.35">
      <c r="A1983" s="2" t="s">
        <v>12440</v>
      </c>
      <c r="B1983" s="2" t="s">
        <v>27</v>
      </c>
      <c r="C1983" s="2" t="s">
        <v>28</v>
      </c>
      <c r="D1983" s="2" t="s">
        <v>97</v>
      </c>
      <c r="E1983" s="2" t="s">
        <v>12299</v>
      </c>
      <c r="F1983" s="2" t="s">
        <v>8445</v>
      </c>
      <c r="G1983" s="2" t="s">
        <v>32</v>
      </c>
      <c r="H1983" s="1"/>
      <c r="I1983" s="2" t="s">
        <v>33</v>
      </c>
      <c r="J1983" s="2" t="s">
        <v>34</v>
      </c>
      <c r="K1983" s="2" t="s">
        <v>4133</v>
      </c>
      <c r="L1983" s="2" t="s">
        <v>4134</v>
      </c>
      <c r="M1983" s="2" t="s">
        <v>304</v>
      </c>
      <c r="N1983" s="2" t="s">
        <v>38</v>
      </c>
      <c r="O1983" s="2" t="s">
        <v>1113</v>
      </c>
      <c r="P1983" s="2" t="s">
        <v>3151</v>
      </c>
      <c r="Q1983" s="2" t="s">
        <v>12441</v>
      </c>
      <c r="R1983" s="2" t="s">
        <v>40</v>
      </c>
      <c r="S1983" s="2" t="s">
        <v>12442</v>
      </c>
      <c r="T1983" s="2" t="s">
        <v>12443</v>
      </c>
      <c r="U1983" s="2" t="s">
        <v>12444</v>
      </c>
      <c r="V1983" s="2" t="s">
        <v>12445</v>
      </c>
      <c r="W1983" s="1"/>
      <c r="X1983" s="2" t="s">
        <v>566</v>
      </c>
      <c r="Y1983" s="2" t="s">
        <v>12304</v>
      </c>
      <c r="AA1983" t="str">
        <f t="shared" si="180"/>
        <v>2025-12</v>
      </c>
      <c r="AB1983" t="str">
        <f t="shared" si="181"/>
        <v/>
      </c>
      <c r="AC1983">
        <f t="shared" si="182"/>
        <v>7778911.1399999997</v>
      </c>
      <c r="AD1983">
        <f t="shared" si="183"/>
        <v>540</v>
      </c>
      <c r="AE1983">
        <f t="shared" si="184"/>
        <v>866911.14</v>
      </c>
      <c r="AF1983" t="str">
        <f t="shared" si="185"/>
        <v>Paid</v>
      </c>
    </row>
    <row r="1984" spans="1:32" ht="17.25" thickBot="1" x14ac:dyDescent="0.35">
      <c r="A1984" s="2" t="s">
        <v>12446</v>
      </c>
      <c r="B1984" s="2" t="s">
        <v>27</v>
      </c>
      <c r="C1984" s="2" t="s">
        <v>28</v>
      </c>
      <c r="D1984" s="2" t="s">
        <v>97</v>
      </c>
      <c r="E1984" s="2" t="s">
        <v>12299</v>
      </c>
      <c r="F1984" s="2" t="s">
        <v>8445</v>
      </c>
      <c r="G1984" s="2" t="s">
        <v>32</v>
      </c>
      <c r="H1984" s="1"/>
      <c r="I1984" s="2" t="s">
        <v>33</v>
      </c>
      <c r="J1984" s="2" t="s">
        <v>34</v>
      </c>
      <c r="K1984" s="2" t="s">
        <v>456</v>
      </c>
      <c r="L1984" s="2" t="s">
        <v>457</v>
      </c>
      <c r="M1984" s="2" t="s">
        <v>304</v>
      </c>
      <c r="N1984" s="2" t="s">
        <v>38</v>
      </c>
      <c r="O1984" s="2" t="s">
        <v>1641</v>
      </c>
      <c r="P1984" s="2" t="s">
        <v>10526</v>
      </c>
      <c r="Q1984" s="2" t="s">
        <v>12447</v>
      </c>
      <c r="R1984" s="2" t="s">
        <v>40</v>
      </c>
      <c r="S1984" s="2" t="s">
        <v>12448</v>
      </c>
      <c r="T1984" s="2" t="s">
        <v>12449</v>
      </c>
      <c r="U1984" s="2" t="s">
        <v>12450</v>
      </c>
      <c r="V1984" s="2" t="s">
        <v>12451</v>
      </c>
      <c r="W1984" s="1"/>
      <c r="X1984" s="2" t="s">
        <v>12414</v>
      </c>
      <c r="Y1984" s="2" t="s">
        <v>12304</v>
      </c>
      <c r="AA1984" t="str">
        <f t="shared" si="180"/>
        <v>2025-12</v>
      </c>
      <c r="AB1984" t="str">
        <f t="shared" si="181"/>
        <v/>
      </c>
      <c r="AC1984">
        <f t="shared" si="182"/>
        <v>2671890.62</v>
      </c>
      <c r="AD1984">
        <f t="shared" si="183"/>
        <v>192</v>
      </c>
      <c r="AE1984">
        <f t="shared" si="184"/>
        <v>341390.62</v>
      </c>
      <c r="AF1984" t="str">
        <f t="shared" si="185"/>
        <v>Paid</v>
      </c>
    </row>
    <row r="1985" spans="1:32" ht="27.75" thickBot="1" x14ac:dyDescent="0.35">
      <c r="A1985" s="2" t="s">
        <v>12452</v>
      </c>
      <c r="B1985" s="2" t="s">
        <v>27</v>
      </c>
      <c r="C1985" s="2" t="s">
        <v>28</v>
      </c>
      <c r="D1985" s="2" t="s">
        <v>97</v>
      </c>
      <c r="E1985" s="2" t="s">
        <v>12299</v>
      </c>
      <c r="F1985" s="2" t="s">
        <v>8445</v>
      </c>
      <c r="G1985" s="2" t="s">
        <v>32</v>
      </c>
      <c r="H1985" s="1"/>
      <c r="I1985" s="2" t="s">
        <v>33</v>
      </c>
      <c r="J1985" s="2" t="s">
        <v>34</v>
      </c>
      <c r="K1985" s="2" t="s">
        <v>472</v>
      </c>
      <c r="L1985" s="2" t="s">
        <v>473</v>
      </c>
      <c r="M1985" s="2" t="s">
        <v>304</v>
      </c>
      <c r="N1985" s="2" t="s">
        <v>38</v>
      </c>
      <c r="O1985" s="2" t="s">
        <v>773</v>
      </c>
      <c r="P1985" s="2" t="s">
        <v>7972</v>
      </c>
      <c r="Q1985" s="2" t="s">
        <v>12453</v>
      </c>
      <c r="R1985" s="2" t="s">
        <v>40</v>
      </c>
      <c r="S1985" s="2" t="s">
        <v>12454</v>
      </c>
      <c r="T1985" s="2" t="s">
        <v>309</v>
      </c>
      <c r="U1985" s="2" t="s">
        <v>5984</v>
      </c>
      <c r="V1985" s="2" t="s">
        <v>12455</v>
      </c>
      <c r="W1985" s="1"/>
      <c r="X1985" s="2" t="s">
        <v>434</v>
      </c>
      <c r="Y1985" s="2" t="s">
        <v>12304</v>
      </c>
      <c r="AA1985" t="str">
        <f t="shared" si="180"/>
        <v>2025-12</v>
      </c>
      <c r="AB1985" t="str">
        <f t="shared" si="181"/>
        <v/>
      </c>
      <c r="AC1985">
        <f t="shared" si="182"/>
        <v>1767214.8</v>
      </c>
      <c r="AD1985">
        <f t="shared" si="183"/>
        <v>200</v>
      </c>
      <c r="AE1985">
        <f t="shared" si="184"/>
        <v>215214.8</v>
      </c>
      <c r="AF1985" t="str">
        <f t="shared" si="185"/>
        <v>Paid</v>
      </c>
    </row>
    <row r="1986" spans="1:32" ht="27.75" thickBot="1" x14ac:dyDescent="0.35">
      <c r="A1986" s="2" t="s">
        <v>12456</v>
      </c>
      <c r="B1986" s="2" t="s">
        <v>27</v>
      </c>
      <c r="C1986" s="2" t="s">
        <v>28</v>
      </c>
      <c r="D1986" s="2" t="s">
        <v>97</v>
      </c>
      <c r="E1986" s="2" t="s">
        <v>12299</v>
      </c>
      <c r="F1986" s="2" t="s">
        <v>8445</v>
      </c>
      <c r="G1986" s="2" t="s">
        <v>32</v>
      </c>
      <c r="H1986" s="1"/>
      <c r="I1986" s="2" t="s">
        <v>33</v>
      </c>
      <c r="J1986" s="2" t="s">
        <v>34</v>
      </c>
      <c r="K1986" s="2" t="s">
        <v>481</v>
      </c>
      <c r="L1986" s="2" t="s">
        <v>482</v>
      </c>
      <c r="M1986" s="2" t="s">
        <v>304</v>
      </c>
      <c r="N1986" s="2" t="s">
        <v>38</v>
      </c>
      <c r="O1986" s="2" t="s">
        <v>12457</v>
      </c>
      <c r="P1986" s="2" t="s">
        <v>10543</v>
      </c>
      <c r="Q1986" s="2" t="s">
        <v>12458</v>
      </c>
      <c r="R1986" s="2" t="s">
        <v>40</v>
      </c>
      <c r="S1986" s="2" t="s">
        <v>12459</v>
      </c>
      <c r="T1986" s="2" t="s">
        <v>422</v>
      </c>
      <c r="U1986" s="2" t="s">
        <v>12460</v>
      </c>
      <c r="V1986" s="2" t="s">
        <v>12461</v>
      </c>
      <c r="W1986" s="1"/>
      <c r="X1986" s="2" t="s">
        <v>489</v>
      </c>
      <c r="Y1986" s="2" t="s">
        <v>12304</v>
      </c>
      <c r="AA1986" t="str">
        <f t="shared" si="180"/>
        <v>2025-12</v>
      </c>
      <c r="AB1986" t="str">
        <f t="shared" si="181"/>
        <v/>
      </c>
      <c r="AC1986">
        <f t="shared" si="182"/>
        <v>39374812.149999999</v>
      </c>
      <c r="AD1986">
        <f t="shared" si="183"/>
        <v>2862</v>
      </c>
      <c r="AE1986">
        <f t="shared" si="184"/>
        <v>4487032.1500000004</v>
      </c>
      <c r="AF1986" t="str">
        <f t="shared" si="185"/>
        <v>Paid</v>
      </c>
    </row>
    <row r="1987" spans="1:32" ht="27.75" thickBot="1" x14ac:dyDescent="0.35">
      <c r="A1987" s="2" t="s">
        <v>12462</v>
      </c>
      <c r="B1987" s="2" t="s">
        <v>27</v>
      </c>
      <c r="C1987" s="2" t="s">
        <v>28</v>
      </c>
      <c r="D1987" s="2" t="s">
        <v>97</v>
      </c>
      <c r="E1987" s="2" t="s">
        <v>12299</v>
      </c>
      <c r="F1987" s="2" t="s">
        <v>8445</v>
      </c>
      <c r="G1987" s="2" t="s">
        <v>32</v>
      </c>
      <c r="H1987" s="1"/>
      <c r="I1987" s="2" t="s">
        <v>33</v>
      </c>
      <c r="J1987" s="2" t="s">
        <v>34</v>
      </c>
      <c r="K1987" s="2" t="s">
        <v>491</v>
      </c>
      <c r="L1987" s="2" t="s">
        <v>492</v>
      </c>
      <c r="M1987" s="2" t="s">
        <v>304</v>
      </c>
      <c r="N1987" s="2" t="s">
        <v>38</v>
      </c>
      <c r="O1987" s="2" t="s">
        <v>428</v>
      </c>
      <c r="P1987" s="2" t="s">
        <v>10556</v>
      </c>
      <c r="Q1987" s="2" t="s">
        <v>12463</v>
      </c>
      <c r="R1987" s="2" t="s">
        <v>40</v>
      </c>
      <c r="S1987" s="2" t="s">
        <v>12464</v>
      </c>
      <c r="T1987" s="2" t="s">
        <v>9078</v>
      </c>
      <c r="U1987" s="2" t="s">
        <v>12465</v>
      </c>
      <c r="V1987" s="2" t="s">
        <v>12466</v>
      </c>
      <c r="W1987" s="1"/>
      <c r="X1987" s="2" t="s">
        <v>566</v>
      </c>
      <c r="Y1987" s="2" t="s">
        <v>12304</v>
      </c>
      <c r="AA1987" t="str">
        <f t="shared" si="180"/>
        <v>2025-12</v>
      </c>
      <c r="AB1987" t="str">
        <f t="shared" si="181"/>
        <v/>
      </c>
      <c r="AC1987">
        <f t="shared" si="182"/>
        <v>4389255</v>
      </c>
      <c r="AD1987">
        <f t="shared" si="183"/>
        <v>250</v>
      </c>
      <c r="AE1987">
        <f t="shared" si="184"/>
        <v>489255</v>
      </c>
      <c r="AF1987" t="str">
        <f t="shared" si="185"/>
        <v>Paid</v>
      </c>
    </row>
    <row r="1988" spans="1:32" ht="17.25" thickBot="1" x14ac:dyDescent="0.35">
      <c r="A1988" s="2" t="s">
        <v>12467</v>
      </c>
      <c r="B1988" s="2" t="s">
        <v>27</v>
      </c>
      <c r="C1988" s="2" t="s">
        <v>28</v>
      </c>
      <c r="D1988" s="2" t="s">
        <v>97</v>
      </c>
      <c r="E1988" s="2" t="s">
        <v>12299</v>
      </c>
      <c r="F1988" s="2" t="s">
        <v>8445</v>
      </c>
      <c r="G1988" s="2" t="s">
        <v>32</v>
      </c>
      <c r="H1988" s="1"/>
      <c r="I1988" s="2" t="s">
        <v>33</v>
      </c>
      <c r="J1988" s="2" t="s">
        <v>34</v>
      </c>
      <c r="K1988" s="2" t="s">
        <v>1566</v>
      </c>
      <c r="L1988" s="2" t="s">
        <v>1567</v>
      </c>
      <c r="M1988" s="2" t="s">
        <v>304</v>
      </c>
      <c r="N1988" s="2" t="s">
        <v>38</v>
      </c>
      <c r="O1988" s="2" t="s">
        <v>4043</v>
      </c>
      <c r="P1988" s="2" t="s">
        <v>10556</v>
      </c>
      <c r="Q1988" s="2" t="s">
        <v>12468</v>
      </c>
      <c r="R1988" s="2" t="s">
        <v>40</v>
      </c>
      <c r="S1988" s="2" t="s">
        <v>12469</v>
      </c>
      <c r="T1988" s="2" t="s">
        <v>9078</v>
      </c>
      <c r="U1988" s="2" t="s">
        <v>12470</v>
      </c>
      <c r="V1988" s="2" t="s">
        <v>12471</v>
      </c>
      <c r="W1988" s="1"/>
      <c r="X1988" s="2" t="s">
        <v>566</v>
      </c>
      <c r="Y1988" s="2" t="s">
        <v>12304</v>
      </c>
      <c r="AA1988" t="str">
        <f t="shared" ref="AA1988:AA2051" si="186">LEFT(E1988,7)</f>
        <v>2025-12</v>
      </c>
      <c r="AB1988" t="str">
        <f t="shared" ref="AB1988:AB2051" si="187">IF(AND($AA1988&gt;="2025-01",$AA1988&lt;="2025-06"),"H1_2025",IF(AND($AA1988&gt;="2026-01",$AA1988&lt;="2026-06"),"H1_2026",""))</f>
        <v/>
      </c>
      <c r="AC1988">
        <f t="shared" ref="AC1988:AC2051" si="188">IFERROR(VALUE(SUBSTITUTE(S1988,",","")),0)</f>
        <v>14221186.199999999</v>
      </c>
      <c r="AD1988">
        <f t="shared" ref="AD1988:AD2051" si="189">IFERROR(VALUE(SUBSTITUTE(O1988,",","")),0)</f>
        <v>810</v>
      </c>
      <c r="AE1988">
        <f t="shared" ref="AE1988:AE2051" si="190">IFERROR(VALUE(SUBSTITUTE(V1988,",","")),0)</f>
        <v>1585186.2</v>
      </c>
      <c r="AF1988" t="str">
        <f t="shared" ref="AF1988:AF2051" si="191">IF(ISNUMBER(SEARCH("FOC",W1988)),"FOC",IF(ISNUMBER(SEARCH("샘플",W1988)),"Sample","Paid"))</f>
        <v>Paid</v>
      </c>
    </row>
    <row r="1989" spans="1:32" ht="27.75" thickBot="1" x14ac:dyDescent="0.35">
      <c r="A1989" s="2" t="s">
        <v>12472</v>
      </c>
      <c r="B1989" s="2" t="s">
        <v>27</v>
      </c>
      <c r="C1989" s="2" t="s">
        <v>28</v>
      </c>
      <c r="D1989" s="2" t="s">
        <v>97</v>
      </c>
      <c r="E1989" s="2" t="s">
        <v>12299</v>
      </c>
      <c r="F1989" s="2" t="s">
        <v>8445</v>
      </c>
      <c r="G1989" s="2" t="s">
        <v>32</v>
      </c>
      <c r="H1989" s="1"/>
      <c r="I1989" s="2" t="s">
        <v>33</v>
      </c>
      <c r="J1989" s="2" t="s">
        <v>34</v>
      </c>
      <c r="K1989" s="2" t="s">
        <v>10567</v>
      </c>
      <c r="L1989" s="2" t="s">
        <v>10568</v>
      </c>
      <c r="M1989" s="2" t="s">
        <v>304</v>
      </c>
      <c r="N1989" s="2" t="s">
        <v>38</v>
      </c>
      <c r="O1989" s="2" t="s">
        <v>12473</v>
      </c>
      <c r="P1989" s="2" t="s">
        <v>10576</v>
      </c>
      <c r="Q1989" s="2" t="s">
        <v>12474</v>
      </c>
      <c r="R1989" s="2" t="s">
        <v>40</v>
      </c>
      <c r="S1989" s="2" t="s">
        <v>12475</v>
      </c>
      <c r="T1989" s="2" t="s">
        <v>6823</v>
      </c>
      <c r="U1989" s="2" t="s">
        <v>12476</v>
      </c>
      <c r="V1989" s="2" t="s">
        <v>12477</v>
      </c>
      <c r="W1989" s="1"/>
      <c r="X1989" s="2" t="s">
        <v>566</v>
      </c>
      <c r="Y1989" s="2" t="s">
        <v>12304</v>
      </c>
      <c r="AA1989" t="str">
        <f t="shared" si="186"/>
        <v>2025-12</v>
      </c>
      <c r="AB1989" t="str">
        <f t="shared" si="187"/>
        <v/>
      </c>
      <c r="AC1989">
        <f t="shared" si="188"/>
        <v>39484226.920000002</v>
      </c>
      <c r="AD1989">
        <f t="shared" si="189"/>
        <v>3025</v>
      </c>
      <c r="AE1989">
        <f t="shared" si="190"/>
        <v>4394226.92</v>
      </c>
      <c r="AF1989" t="str">
        <f t="shared" si="191"/>
        <v>Paid</v>
      </c>
    </row>
    <row r="1990" spans="1:32" ht="17.25" thickBot="1" x14ac:dyDescent="0.35">
      <c r="A1990" s="2" t="s">
        <v>12478</v>
      </c>
      <c r="B1990" s="2" t="s">
        <v>27</v>
      </c>
      <c r="C1990" s="2" t="s">
        <v>28</v>
      </c>
      <c r="D1990" s="2" t="s">
        <v>97</v>
      </c>
      <c r="E1990" s="2" t="s">
        <v>12299</v>
      </c>
      <c r="F1990" s="2" t="s">
        <v>8445</v>
      </c>
      <c r="G1990" s="2" t="s">
        <v>32</v>
      </c>
      <c r="H1990" s="1"/>
      <c r="I1990" s="2" t="s">
        <v>33</v>
      </c>
      <c r="J1990" s="2" t="s">
        <v>34</v>
      </c>
      <c r="K1990" s="2" t="s">
        <v>501</v>
      </c>
      <c r="L1990" s="2" t="s">
        <v>502</v>
      </c>
      <c r="M1990" s="2" t="s">
        <v>304</v>
      </c>
      <c r="N1990" s="2" t="s">
        <v>38</v>
      </c>
      <c r="O1990" s="2" t="s">
        <v>149</v>
      </c>
      <c r="P1990" s="2" t="s">
        <v>9148</v>
      </c>
      <c r="Q1990" s="2" t="s">
        <v>9149</v>
      </c>
      <c r="R1990" s="2" t="s">
        <v>40</v>
      </c>
      <c r="S1990" s="2" t="s">
        <v>12479</v>
      </c>
      <c r="T1990" s="2" t="s">
        <v>374</v>
      </c>
      <c r="U1990" s="2" t="s">
        <v>9151</v>
      </c>
      <c r="V1990" s="2" t="s">
        <v>12480</v>
      </c>
      <c r="W1990" s="1"/>
      <c r="X1990" s="2" t="s">
        <v>377</v>
      </c>
      <c r="Y1990" s="2" t="s">
        <v>12304</v>
      </c>
      <c r="AA1990" t="str">
        <f t="shared" si="186"/>
        <v>2025-12</v>
      </c>
      <c r="AB1990" t="str">
        <f t="shared" si="187"/>
        <v/>
      </c>
      <c r="AC1990">
        <f t="shared" si="188"/>
        <v>3958964.1</v>
      </c>
      <c r="AD1990">
        <f t="shared" si="189"/>
        <v>300</v>
      </c>
      <c r="AE1990">
        <f t="shared" si="190"/>
        <v>469964.1</v>
      </c>
      <c r="AF1990" t="str">
        <f t="shared" si="191"/>
        <v>Paid</v>
      </c>
    </row>
    <row r="1991" spans="1:32" ht="17.25" thickBot="1" x14ac:dyDescent="0.35">
      <c r="A1991" s="2" t="s">
        <v>12481</v>
      </c>
      <c r="B1991" s="2" t="s">
        <v>27</v>
      </c>
      <c r="C1991" s="2" t="s">
        <v>28</v>
      </c>
      <c r="D1991" s="2" t="s">
        <v>97</v>
      </c>
      <c r="E1991" s="2" t="s">
        <v>12299</v>
      </c>
      <c r="F1991" s="2" t="s">
        <v>8445</v>
      </c>
      <c r="G1991" s="2" t="s">
        <v>32</v>
      </c>
      <c r="H1991" s="1"/>
      <c r="I1991" s="2" t="s">
        <v>33</v>
      </c>
      <c r="J1991" s="2" t="s">
        <v>34</v>
      </c>
      <c r="K1991" s="2" t="s">
        <v>509</v>
      </c>
      <c r="L1991" s="2" t="s">
        <v>510</v>
      </c>
      <c r="M1991" s="2" t="s">
        <v>304</v>
      </c>
      <c r="N1991" s="2" t="s">
        <v>38</v>
      </c>
      <c r="O1991" s="2" t="s">
        <v>428</v>
      </c>
      <c r="P1991" s="2" t="s">
        <v>910</v>
      </c>
      <c r="Q1991" s="2" t="s">
        <v>12482</v>
      </c>
      <c r="R1991" s="2" t="s">
        <v>40</v>
      </c>
      <c r="S1991" s="2" t="s">
        <v>12483</v>
      </c>
      <c r="T1991" s="2" t="s">
        <v>374</v>
      </c>
      <c r="U1991" s="2" t="s">
        <v>432</v>
      </c>
      <c r="V1991" s="2" t="s">
        <v>12484</v>
      </c>
      <c r="W1991" s="1"/>
      <c r="X1991" s="2" t="s">
        <v>4068</v>
      </c>
      <c r="Y1991" s="2" t="s">
        <v>12304</v>
      </c>
      <c r="AA1991" t="str">
        <f t="shared" si="186"/>
        <v>2025-12</v>
      </c>
      <c r="AB1991" t="str">
        <f t="shared" si="187"/>
        <v/>
      </c>
      <c r="AC1991">
        <f t="shared" si="188"/>
        <v>3313527.75</v>
      </c>
      <c r="AD1991">
        <f t="shared" si="189"/>
        <v>250</v>
      </c>
      <c r="AE1991">
        <f t="shared" si="190"/>
        <v>406027.75</v>
      </c>
      <c r="AF1991" t="str">
        <f t="shared" si="191"/>
        <v>Paid</v>
      </c>
    </row>
    <row r="1992" spans="1:32" ht="27.75" thickBot="1" x14ac:dyDescent="0.35">
      <c r="A1992" s="2" t="s">
        <v>12485</v>
      </c>
      <c r="B1992" s="2" t="s">
        <v>27</v>
      </c>
      <c r="C1992" s="2" t="s">
        <v>28</v>
      </c>
      <c r="D1992" s="2" t="s">
        <v>97</v>
      </c>
      <c r="E1992" s="2" t="s">
        <v>12299</v>
      </c>
      <c r="F1992" s="2" t="s">
        <v>8445</v>
      </c>
      <c r="G1992" s="2" t="s">
        <v>32</v>
      </c>
      <c r="H1992" s="1"/>
      <c r="I1992" s="2" t="s">
        <v>33</v>
      </c>
      <c r="J1992" s="2" t="s">
        <v>34</v>
      </c>
      <c r="K1992" s="2" t="s">
        <v>515</v>
      </c>
      <c r="L1992" s="2" t="s">
        <v>516</v>
      </c>
      <c r="M1992" s="2" t="s">
        <v>304</v>
      </c>
      <c r="N1992" s="2" t="s">
        <v>38</v>
      </c>
      <c r="O1992" s="2" t="s">
        <v>748</v>
      </c>
      <c r="P1992" s="2" t="s">
        <v>10576</v>
      </c>
      <c r="Q1992" s="2" t="s">
        <v>12486</v>
      </c>
      <c r="R1992" s="2" t="s">
        <v>40</v>
      </c>
      <c r="S1992" s="2" t="s">
        <v>12487</v>
      </c>
      <c r="T1992" s="2" t="s">
        <v>6823</v>
      </c>
      <c r="U1992" s="2" t="s">
        <v>12488</v>
      </c>
      <c r="V1992" s="2" t="s">
        <v>12489</v>
      </c>
      <c r="W1992" s="1"/>
      <c r="X1992" s="2" t="s">
        <v>566</v>
      </c>
      <c r="Y1992" s="2" t="s">
        <v>12304</v>
      </c>
      <c r="AA1992" t="str">
        <f t="shared" si="186"/>
        <v>2025-12</v>
      </c>
      <c r="AB1992" t="str">
        <f t="shared" si="187"/>
        <v/>
      </c>
      <c r="AC1992">
        <f t="shared" si="188"/>
        <v>3654738.36</v>
      </c>
      <c r="AD1992">
        <f t="shared" si="189"/>
        <v>280</v>
      </c>
      <c r="AE1992">
        <f t="shared" si="190"/>
        <v>406738.36</v>
      </c>
      <c r="AF1992" t="str">
        <f t="shared" si="191"/>
        <v>Paid</v>
      </c>
    </row>
    <row r="1993" spans="1:32" ht="17.25" thickBot="1" x14ac:dyDescent="0.35">
      <c r="A1993" s="2" t="s">
        <v>12490</v>
      </c>
      <c r="B1993" s="2" t="s">
        <v>27</v>
      </c>
      <c r="C1993" s="2" t="s">
        <v>28</v>
      </c>
      <c r="D1993" s="2" t="s">
        <v>97</v>
      </c>
      <c r="E1993" s="2" t="s">
        <v>12299</v>
      </c>
      <c r="F1993" s="2" t="s">
        <v>8445</v>
      </c>
      <c r="G1993" s="2" t="s">
        <v>32</v>
      </c>
      <c r="H1993" s="1"/>
      <c r="I1993" s="2" t="s">
        <v>33</v>
      </c>
      <c r="J1993" s="2" t="s">
        <v>34</v>
      </c>
      <c r="K1993" s="2" t="s">
        <v>525</v>
      </c>
      <c r="L1993" s="2" t="s">
        <v>526</v>
      </c>
      <c r="M1993" s="2" t="s">
        <v>304</v>
      </c>
      <c r="N1993" s="2" t="s">
        <v>38</v>
      </c>
      <c r="O1993" s="2" t="s">
        <v>877</v>
      </c>
      <c r="P1993" s="2" t="s">
        <v>5253</v>
      </c>
      <c r="Q1993" s="2" t="s">
        <v>12491</v>
      </c>
      <c r="R1993" s="2" t="s">
        <v>40</v>
      </c>
      <c r="S1993" s="2" t="s">
        <v>12492</v>
      </c>
      <c r="T1993" s="2" t="s">
        <v>2127</v>
      </c>
      <c r="U1993" s="2" t="s">
        <v>2135</v>
      </c>
      <c r="V1993" s="2" t="s">
        <v>12493</v>
      </c>
      <c r="W1993" s="1"/>
      <c r="X1993" s="2" t="s">
        <v>8970</v>
      </c>
      <c r="Y1993" s="2" t="s">
        <v>12304</v>
      </c>
      <c r="AA1993" t="str">
        <f t="shared" si="186"/>
        <v>2025-12</v>
      </c>
      <c r="AB1993" t="str">
        <f t="shared" si="187"/>
        <v/>
      </c>
      <c r="AC1993">
        <f t="shared" si="188"/>
        <v>1188696.6000000001</v>
      </c>
      <c r="AD1993">
        <f t="shared" si="189"/>
        <v>100</v>
      </c>
      <c r="AE1993">
        <f t="shared" si="190"/>
        <v>108696.6</v>
      </c>
      <c r="AF1993" t="str">
        <f t="shared" si="191"/>
        <v>Paid</v>
      </c>
    </row>
    <row r="1994" spans="1:32" ht="27.75" thickBot="1" x14ac:dyDescent="0.35">
      <c r="A1994" s="2" t="s">
        <v>12494</v>
      </c>
      <c r="B1994" s="2" t="s">
        <v>27</v>
      </c>
      <c r="C1994" s="2" t="s">
        <v>28</v>
      </c>
      <c r="D1994" s="2" t="s">
        <v>97</v>
      </c>
      <c r="E1994" s="2" t="s">
        <v>12299</v>
      </c>
      <c r="F1994" s="2" t="s">
        <v>8445</v>
      </c>
      <c r="G1994" s="2" t="s">
        <v>32</v>
      </c>
      <c r="H1994" s="1"/>
      <c r="I1994" s="2" t="s">
        <v>33</v>
      </c>
      <c r="J1994" s="2" t="s">
        <v>34</v>
      </c>
      <c r="K1994" s="2" t="s">
        <v>534</v>
      </c>
      <c r="L1994" s="2" t="s">
        <v>535</v>
      </c>
      <c r="M1994" s="2" t="s">
        <v>304</v>
      </c>
      <c r="N1994" s="2" t="s">
        <v>38</v>
      </c>
      <c r="O1994" s="2" t="s">
        <v>5488</v>
      </c>
      <c r="P1994" s="2" t="s">
        <v>10576</v>
      </c>
      <c r="Q1994" s="2" t="s">
        <v>12495</v>
      </c>
      <c r="R1994" s="2" t="s">
        <v>40</v>
      </c>
      <c r="S1994" s="2" t="s">
        <v>12496</v>
      </c>
      <c r="T1994" s="2" t="s">
        <v>883</v>
      </c>
      <c r="U1994" s="2" t="s">
        <v>12497</v>
      </c>
      <c r="V1994" s="2" t="s">
        <v>12498</v>
      </c>
      <c r="W1994" s="1"/>
      <c r="X1994" s="2" t="s">
        <v>4499</v>
      </c>
      <c r="Y1994" s="2" t="s">
        <v>12304</v>
      </c>
      <c r="AA1994" t="str">
        <f t="shared" si="186"/>
        <v>2025-12</v>
      </c>
      <c r="AB1994" t="str">
        <f t="shared" si="187"/>
        <v/>
      </c>
      <c r="AC1994">
        <f t="shared" si="188"/>
        <v>9867793.5700000003</v>
      </c>
      <c r="AD1994">
        <f t="shared" si="189"/>
        <v>756</v>
      </c>
      <c r="AE1994">
        <f t="shared" si="190"/>
        <v>2194393.5699999998</v>
      </c>
      <c r="AF1994" t="str">
        <f t="shared" si="191"/>
        <v>Paid</v>
      </c>
    </row>
    <row r="1995" spans="1:32" ht="17.25" thickBot="1" x14ac:dyDescent="0.35">
      <c r="A1995" s="2" t="s">
        <v>12499</v>
      </c>
      <c r="B1995" s="2" t="s">
        <v>27</v>
      </c>
      <c r="C1995" s="2" t="s">
        <v>28</v>
      </c>
      <c r="D1995" s="2" t="s">
        <v>97</v>
      </c>
      <c r="E1995" s="2" t="s">
        <v>12299</v>
      </c>
      <c r="F1995" s="2" t="s">
        <v>8445</v>
      </c>
      <c r="G1995" s="2" t="s">
        <v>32</v>
      </c>
      <c r="H1995" s="1"/>
      <c r="I1995" s="2" t="s">
        <v>33</v>
      </c>
      <c r="J1995" s="2" t="s">
        <v>34</v>
      </c>
      <c r="K1995" s="2" t="s">
        <v>542</v>
      </c>
      <c r="L1995" s="2" t="s">
        <v>543</v>
      </c>
      <c r="M1995" s="2" t="s">
        <v>304</v>
      </c>
      <c r="N1995" s="2" t="s">
        <v>38</v>
      </c>
      <c r="O1995" s="2" t="s">
        <v>12500</v>
      </c>
      <c r="P1995" s="2" t="s">
        <v>910</v>
      </c>
      <c r="Q1995" s="2" t="s">
        <v>12501</v>
      </c>
      <c r="R1995" s="2" t="s">
        <v>40</v>
      </c>
      <c r="S1995" s="2" t="s">
        <v>12502</v>
      </c>
      <c r="T1995" s="2" t="s">
        <v>374</v>
      </c>
      <c r="U1995" s="2" t="s">
        <v>12503</v>
      </c>
      <c r="V1995" s="2" t="s">
        <v>12504</v>
      </c>
      <c r="W1995" s="1"/>
      <c r="X1995" s="2" t="s">
        <v>4068</v>
      </c>
      <c r="Y1995" s="2" t="s">
        <v>12304</v>
      </c>
      <c r="AA1995" t="str">
        <f t="shared" si="186"/>
        <v>2025-12</v>
      </c>
      <c r="AB1995" t="str">
        <f t="shared" si="187"/>
        <v/>
      </c>
      <c r="AC1995">
        <f t="shared" si="188"/>
        <v>15109686.539999999</v>
      </c>
      <c r="AD1995">
        <f t="shared" si="189"/>
        <v>1140</v>
      </c>
      <c r="AE1995">
        <f t="shared" si="190"/>
        <v>1851486.54</v>
      </c>
      <c r="AF1995" t="str">
        <f t="shared" si="191"/>
        <v>Paid</v>
      </c>
    </row>
    <row r="1996" spans="1:32" ht="17.25" thickBot="1" x14ac:dyDescent="0.35">
      <c r="A1996" s="2" t="s">
        <v>12505</v>
      </c>
      <c r="B1996" s="2" t="s">
        <v>27</v>
      </c>
      <c r="C1996" s="2" t="s">
        <v>28</v>
      </c>
      <c r="D1996" s="2" t="s">
        <v>97</v>
      </c>
      <c r="E1996" s="2" t="s">
        <v>12299</v>
      </c>
      <c r="F1996" s="2" t="s">
        <v>8445</v>
      </c>
      <c r="G1996" s="2" t="s">
        <v>32</v>
      </c>
      <c r="H1996" s="1"/>
      <c r="I1996" s="2" t="s">
        <v>33</v>
      </c>
      <c r="J1996" s="2" t="s">
        <v>34</v>
      </c>
      <c r="K1996" s="2" t="s">
        <v>558</v>
      </c>
      <c r="L1996" s="2" t="s">
        <v>559</v>
      </c>
      <c r="M1996" s="2" t="s">
        <v>304</v>
      </c>
      <c r="N1996" s="2" t="s">
        <v>38</v>
      </c>
      <c r="O1996" s="2" t="s">
        <v>3864</v>
      </c>
      <c r="P1996" s="2" t="s">
        <v>2076</v>
      </c>
      <c r="Q1996" s="2" t="s">
        <v>12506</v>
      </c>
      <c r="R1996" s="2" t="s">
        <v>40</v>
      </c>
      <c r="S1996" s="2" t="s">
        <v>12507</v>
      </c>
      <c r="T1996" s="2" t="s">
        <v>347</v>
      </c>
      <c r="U1996" s="2" t="s">
        <v>12508</v>
      </c>
      <c r="V1996" s="2" t="s">
        <v>12509</v>
      </c>
      <c r="W1996" s="1"/>
      <c r="X1996" s="2" t="s">
        <v>6045</v>
      </c>
      <c r="Y1996" s="2" t="s">
        <v>12304</v>
      </c>
      <c r="AA1996" t="str">
        <f t="shared" si="186"/>
        <v>2025-12</v>
      </c>
      <c r="AB1996" t="str">
        <f t="shared" si="187"/>
        <v/>
      </c>
      <c r="AC1996">
        <f t="shared" si="188"/>
        <v>5657389.9199999999</v>
      </c>
      <c r="AD1996">
        <f t="shared" si="189"/>
        <v>504</v>
      </c>
      <c r="AE1996">
        <f t="shared" si="190"/>
        <v>632509.92000000004</v>
      </c>
      <c r="AF1996" t="str">
        <f t="shared" si="191"/>
        <v>Paid</v>
      </c>
    </row>
    <row r="1997" spans="1:32" ht="17.25" thickBot="1" x14ac:dyDescent="0.35">
      <c r="A1997" s="2" t="s">
        <v>12510</v>
      </c>
      <c r="B1997" s="2" t="s">
        <v>27</v>
      </c>
      <c r="C1997" s="2" t="s">
        <v>28</v>
      </c>
      <c r="D1997" s="2" t="s">
        <v>97</v>
      </c>
      <c r="E1997" s="2" t="s">
        <v>12299</v>
      </c>
      <c r="F1997" s="2" t="s">
        <v>8445</v>
      </c>
      <c r="G1997" s="2" t="s">
        <v>32</v>
      </c>
      <c r="H1997" s="1"/>
      <c r="I1997" s="2" t="s">
        <v>33</v>
      </c>
      <c r="J1997" s="2" t="s">
        <v>34</v>
      </c>
      <c r="K1997" s="2" t="s">
        <v>3885</v>
      </c>
      <c r="L1997" s="2" t="s">
        <v>3886</v>
      </c>
      <c r="M1997" s="2" t="s">
        <v>701</v>
      </c>
      <c r="N1997" s="2" t="s">
        <v>38</v>
      </c>
      <c r="O1997" s="2" t="s">
        <v>12511</v>
      </c>
      <c r="P1997" s="2" t="s">
        <v>7296</v>
      </c>
      <c r="Q1997" s="2" t="s">
        <v>12512</v>
      </c>
      <c r="R1997" s="2" t="s">
        <v>40</v>
      </c>
      <c r="S1997" s="2" t="s">
        <v>12513</v>
      </c>
      <c r="T1997" s="2" t="s">
        <v>706</v>
      </c>
      <c r="U1997" s="2" t="s">
        <v>12514</v>
      </c>
      <c r="V1997" s="2" t="s">
        <v>12515</v>
      </c>
      <c r="W1997" s="1"/>
      <c r="X1997" s="2" t="s">
        <v>709</v>
      </c>
      <c r="Y1997" s="2" t="s">
        <v>12516</v>
      </c>
      <c r="AA1997" t="str">
        <f t="shared" si="186"/>
        <v>2025-12</v>
      </c>
      <c r="AB1997" t="str">
        <f t="shared" si="187"/>
        <v/>
      </c>
      <c r="AC1997">
        <f t="shared" si="188"/>
        <v>17603071.199999999</v>
      </c>
      <c r="AD1997">
        <f t="shared" si="189"/>
        <v>1760</v>
      </c>
      <c r="AE1997">
        <f t="shared" si="190"/>
        <v>2819071.2</v>
      </c>
      <c r="AF1997" t="str">
        <f t="shared" si="191"/>
        <v>Paid</v>
      </c>
    </row>
    <row r="1998" spans="1:32" ht="17.25" thickBot="1" x14ac:dyDescent="0.35">
      <c r="A1998" s="2" t="s">
        <v>12517</v>
      </c>
      <c r="B1998" s="2" t="s">
        <v>27</v>
      </c>
      <c r="C1998" s="2" t="s">
        <v>28</v>
      </c>
      <c r="D1998" s="2" t="s">
        <v>97</v>
      </c>
      <c r="E1998" s="2" t="s">
        <v>12299</v>
      </c>
      <c r="F1998" s="2" t="s">
        <v>8445</v>
      </c>
      <c r="G1998" s="2" t="s">
        <v>32</v>
      </c>
      <c r="H1998" s="1"/>
      <c r="I1998" s="2" t="s">
        <v>33</v>
      </c>
      <c r="J1998" s="2" t="s">
        <v>34</v>
      </c>
      <c r="K1998" s="2" t="s">
        <v>3895</v>
      </c>
      <c r="L1998" s="2" t="s">
        <v>3896</v>
      </c>
      <c r="M1998" s="2" t="s">
        <v>701</v>
      </c>
      <c r="N1998" s="2" t="s">
        <v>38</v>
      </c>
      <c r="O1998" s="2" t="s">
        <v>12518</v>
      </c>
      <c r="P1998" s="2" t="s">
        <v>10600</v>
      </c>
      <c r="Q1998" s="2" t="s">
        <v>12519</v>
      </c>
      <c r="R1998" s="2" t="s">
        <v>40</v>
      </c>
      <c r="S1998" s="2" t="s">
        <v>12520</v>
      </c>
      <c r="T1998" s="2" t="s">
        <v>1444</v>
      </c>
      <c r="U1998" s="2" t="s">
        <v>12521</v>
      </c>
      <c r="V1998" s="2" t="s">
        <v>12522</v>
      </c>
      <c r="W1998" s="1"/>
      <c r="X1998" s="2" t="s">
        <v>3903</v>
      </c>
      <c r="Y1998" s="2" t="s">
        <v>12516</v>
      </c>
      <c r="AA1998" t="str">
        <f t="shared" si="186"/>
        <v>2025-12</v>
      </c>
      <c r="AB1998" t="str">
        <f t="shared" si="187"/>
        <v/>
      </c>
      <c r="AC1998">
        <f t="shared" si="188"/>
        <v>16001640.720000001</v>
      </c>
      <c r="AD1998">
        <f t="shared" si="189"/>
        <v>2460</v>
      </c>
      <c r="AE1998">
        <f t="shared" si="190"/>
        <v>2570040.7200000002</v>
      </c>
      <c r="AF1998" t="str">
        <f t="shared" si="191"/>
        <v>Paid</v>
      </c>
    </row>
    <row r="1999" spans="1:32" ht="17.25" thickBot="1" x14ac:dyDescent="0.35">
      <c r="A1999" s="2" t="s">
        <v>12523</v>
      </c>
      <c r="B1999" s="2" t="s">
        <v>27</v>
      </c>
      <c r="C1999" s="2" t="s">
        <v>28</v>
      </c>
      <c r="D1999" s="2" t="s">
        <v>97</v>
      </c>
      <c r="E1999" s="2" t="s">
        <v>12299</v>
      </c>
      <c r="F1999" s="2" t="s">
        <v>8445</v>
      </c>
      <c r="G1999" s="2" t="s">
        <v>32</v>
      </c>
      <c r="H1999" s="1"/>
      <c r="I1999" s="2" t="s">
        <v>33</v>
      </c>
      <c r="J1999" s="2" t="s">
        <v>34</v>
      </c>
      <c r="K1999" s="2" t="s">
        <v>3905</v>
      </c>
      <c r="L1999" s="2" t="s">
        <v>3906</v>
      </c>
      <c r="M1999" s="2" t="s">
        <v>701</v>
      </c>
      <c r="N1999" s="2" t="s">
        <v>38</v>
      </c>
      <c r="O1999" s="2" t="s">
        <v>3864</v>
      </c>
      <c r="P1999" s="2" t="s">
        <v>4928</v>
      </c>
      <c r="Q1999" s="2" t="s">
        <v>12524</v>
      </c>
      <c r="R1999" s="2" t="s">
        <v>40</v>
      </c>
      <c r="S1999" s="2" t="s">
        <v>12525</v>
      </c>
      <c r="T1999" s="2" t="s">
        <v>3015</v>
      </c>
      <c r="U1999" s="2" t="s">
        <v>5198</v>
      </c>
      <c r="V1999" s="2" t="s">
        <v>12526</v>
      </c>
      <c r="W1999" s="1"/>
      <c r="X1999" s="2" t="s">
        <v>709</v>
      </c>
      <c r="Y1999" s="2" t="s">
        <v>12516</v>
      </c>
      <c r="AA1999" t="str">
        <f t="shared" si="186"/>
        <v>2025-12</v>
      </c>
      <c r="AB1999" t="str">
        <f t="shared" si="187"/>
        <v/>
      </c>
      <c r="AC1999">
        <f t="shared" si="188"/>
        <v>4787022.24</v>
      </c>
      <c r="AD1999">
        <f t="shared" si="189"/>
        <v>504</v>
      </c>
      <c r="AE1999">
        <f t="shared" si="190"/>
        <v>765102.24</v>
      </c>
      <c r="AF1999" t="str">
        <f t="shared" si="191"/>
        <v>Paid</v>
      </c>
    </row>
    <row r="2000" spans="1:32" ht="17.25" thickBot="1" x14ac:dyDescent="0.35">
      <c r="A2000" s="2" t="s">
        <v>12527</v>
      </c>
      <c r="B2000" s="2" t="s">
        <v>27</v>
      </c>
      <c r="C2000" s="2" t="s">
        <v>28</v>
      </c>
      <c r="D2000" s="2" t="s">
        <v>97</v>
      </c>
      <c r="E2000" s="2" t="s">
        <v>12299</v>
      </c>
      <c r="F2000" s="2" t="s">
        <v>8445</v>
      </c>
      <c r="G2000" s="2" t="s">
        <v>32</v>
      </c>
      <c r="H2000" s="1"/>
      <c r="I2000" s="2" t="s">
        <v>33</v>
      </c>
      <c r="J2000" s="2" t="s">
        <v>34</v>
      </c>
      <c r="K2000" s="2" t="s">
        <v>10598</v>
      </c>
      <c r="L2000" s="2" t="s">
        <v>10599</v>
      </c>
      <c r="M2000" s="2" t="s">
        <v>701</v>
      </c>
      <c r="N2000" s="2" t="s">
        <v>38</v>
      </c>
      <c r="O2000" s="2" t="s">
        <v>12528</v>
      </c>
      <c r="P2000" s="2" t="s">
        <v>10600</v>
      </c>
      <c r="Q2000" s="2" t="s">
        <v>12529</v>
      </c>
      <c r="R2000" s="2" t="s">
        <v>40</v>
      </c>
      <c r="S2000" s="2" t="s">
        <v>12530</v>
      </c>
      <c r="T2000" s="2" t="s">
        <v>1444</v>
      </c>
      <c r="U2000" s="2" t="s">
        <v>12531</v>
      </c>
      <c r="V2000" s="2" t="s">
        <v>12532</v>
      </c>
      <c r="W2000" s="1"/>
      <c r="X2000" s="2" t="s">
        <v>3903</v>
      </c>
      <c r="Y2000" s="2" t="s">
        <v>12516</v>
      </c>
      <c r="AA2000" t="str">
        <f t="shared" si="186"/>
        <v>2025-12</v>
      </c>
      <c r="AB2000" t="str">
        <f t="shared" si="187"/>
        <v/>
      </c>
      <c r="AC2000">
        <f t="shared" si="188"/>
        <v>44707023.039999999</v>
      </c>
      <c r="AD2000">
        <f t="shared" si="189"/>
        <v>6873</v>
      </c>
      <c r="AE2000">
        <f t="shared" si="190"/>
        <v>7180443.04</v>
      </c>
      <c r="AF2000" t="str">
        <f t="shared" si="191"/>
        <v>Paid</v>
      </c>
    </row>
    <row r="2001" spans="1:32" ht="17.25" thickBot="1" x14ac:dyDescent="0.35">
      <c r="A2001" s="2" t="s">
        <v>12533</v>
      </c>
      <c r="B2001" s="2" t="s">
        <v>27</v>
      </c>
      <c r="C2001" s="2" t="s">
        <v>28</v>
      </c>
      <c r="D2001" s="2" t="s">
        <v>97</v>
      </c>
      <c r="E2001" s="2" t="s">
        <v>12299</v>
      </c>
      <c r="F2001" s="2" t="s">
        <v>8445</v>
      </c>
      <c r="G2001" s="2" t="s">
        <v>32</v>
      </c>
      <c r="H2001" s="1"/>
      <c r="I2001" s="2" t="s">
        <v>33</v>
      </c>
      <c r="J2001" s="2" t="s">
        <v>34</v>
      </c>
      <c r="K2001" s="2" t="s">
        <v>699</v>
      </c>
      <c r="L2001" s="2" t="s">
        <v>700</v>
      </c>
      <c r="M2001" s="2" t="s">
        <v>701</v>
      </c>
      <c r="N2001" s="2" t="s">
        <v>38</v>
      </c>
      <c r="O2001" s="2" t="s">
        <v>748</v>
      </c>
      <c r="P2001" s="2" t="s">
        <v>7296</v>
      </c>
      <c r="Q2001" s="2" t="s">
        <v>12534</v>
      </c>
      <c r="R2001" s="2" t="s">
        <v>40</v>
      </c>
      <c r="S2001" s="2" t="s">
        <v>12535</v>
      </c>
      <c r="T2001" s="2" t="s">
        <v>706</v>
      </c>
      <c r="U2001" s="2" t="s">
        <v>12536</v>
      </c>
      <c r="V2001" s="2" t="s">
        <v>12537</v>
      </c>
      <c r="W2001" s="1"/>
      <c r="X2001" s="2" t="s">
        <v>709</v>
      </c>
      <c r="Y2001" s="2" t="s">
        <v>12516</v>
      </c>
      <c r="AA2001" t="str">
        <f t="shared" si="186"/>
        <v>2025-12</v>
      </c>
      <c r="AB2001" t="str">
        <f t="shared" si="187"/>
        <v/>
      </c>
      <c r="AC2001">
        <f t="shared" si="188"/>
        <v>2800488.6</v>
      </c>
      <c r="AD2001">
        <f t="shared" si="189"/>
        <v>280</v>
      </c>
      <c r="AE2001">
        <f t="shared" si="190"/>
        <v>448488.6</v>
      </c>
      <c r="AF2001" t="str">
        <f t="shared" si="191"/>
        <v>Paid</v>
      </c>
    </row>
    <row r="2002" spans="1:32" ht="17.25" thickBot="1" x14ac:dyDescent="0.35">
      <c r="A2002" s="2" t="s">
        <v>12538</v>
      </c>
      <c r="B2002" s="2" t="s">
        <v>27</v>
      </c>
      <c r="C2002" s="2" t="s">
        <v>28</v>
      </c>
      <c r="D2002" s="2" t="s">
        <v>97</v>
      </c>
      <c r="E2002" s="2" t="s">
        <v>12299</v>
      </c>
      <c r="F2002" s="2" t="s">
        <v>8445</v>
      </c>
      <c r="G2002" s="2" t="s">
        <v>32</v>
      </c>
      <c r="H2002" s="1"/>
      <c r="I2002" s="2" t="s">
        <v>33</v>
      </c>
      <c r="J2002" s="2" t="s">
        <v>34</v>
      </c>
      <c r="K2002" s="2" t="s">
        <v>3930</v>
      </c>
      <c r="L2002" s="2" t="s">
        <v>3931</v>
      </c>
      <c r="M2002" s="2" t="s">
        <v>701</v>
      </c>
      <c r="N2002" s="2" t="s">
        <v>38</v>
      </c>
      <c r="O2002" s="2" t="s">
        <v>8339</v>
      </c>
      <c r="P2002" s="2" t="s">
        <v>10620</v>
      </c>
      <c r="Q2002" s="2" t="s">
        <v>12539</v>
      </c>
      <c r="R2002" s="2" t="s">
        <v>40</v>
      </c>
      <c r="S2002" s="2" t="s">
        <v>12540</v>
      </c>
      <c r="T2002" s="2" t="s">
        <v>3936</v>
      </c>
      <c r="U2002" s="2" t="s">
        <v>12541</v>
      </c>
      <c r="V2002" s="2" t="s">
        <v>12542</v>
      </c>
      <c r="W2002" s="1"/>
      <c r="X2002" s="2" t="s">
        <v>709</v>
      </c>
      <c r="Y2002" s="2" t="s">
        <v>12516</v>
      </c>
      <c r="AA2002" t="str">
        <f t="shared" si="186"/>
        <v>2025-12</v>
      </c>
      <c r="AB2002" t="str">
        <f t="shared" si="187"/>
        <v/>
      </c>
      <c r="AC2002">
        <f t="shared" si="188"/>
        <v>22434417.719999999</v>
      </c>
      <c r="AD2002">
        <f t="shared" si="189"/>
        <v>1320</v>
      </c>
      <c r="AE2002">
        <f t="shared" si="190"/>
        <v>3584817.72</v>
      </c>
      <c r="AF2002" t="str">
        <f t="shared" si="191"/>
        <v>Paid</v>
      </c>
    </row>
    <row r="2003" spans="1:32" ht="17.25" thickBot="1" x14ac:dyDescent="0.35">
      <c r="A2003" s="2" t="s">
        <v>12543</v>
      </c>
      <c r="B2003" s="2" t="s">
        <v>27</v>
      </c>
      <c r="C2003" s="2" t="s">
        <v>28</v>
      </c>
      <c r="D2003" s="2" t="s">
        <v>97</v>
      </c>
      <c r="E2003" s="2" t="s">
        <v>12299</v>
      </c>
      <c r="F2003" s="2" t="s">
        <v>8445</v>
      </c>
      <c r="G2003" s="2" t="s">
        <v>32</v>
      </c>
      <c r="H2003" s="1"/>
      <c r="I2003" s="2" t="s">
        <v>33</v>
      </c>
      <c r="J2003" s="2" t="s">
        <v>34</v>
      </c>
      <c r="K2003" s="2" t="s">
        <v>3940</v>
      </c>
      <c r="L2003" s="2" t="s">
        <v>3941</v>
      </c>
      <c r="M2003" s="2" t="s">
        <v>701</v>
      </c>
      <c r="N2003" s="2" t="s">
        <v>38</v>
      </c>
      <c r="O2003" s="2" t="s">
        <v>10121</v>
      </c>
      <c r="P2003" s="2" t="s">
        <v>10626</v>
      </c>
      <c r="Q2003" s="2" t="s">
        <v>12544</v>
      </c>
      <c r="R2003" s="2" t="s">
        <v>40</v>
      </c>
      <c r="S2003" s="2" t="s">
        <v>12545</v>
      </c>
      <c r="T2003" s="2" t="s">
        <v>726</v>
      </c>
      <c r="U2003" s="2" t="s">
        <v>12546</v>
      </c>
      <c r="V2003" s="2" t="s">
        <v>12547</v>
      </c>
      <c r="W2003" s="1"/>
      <c r="X2003" s="2" t="s">
        <v>3903</v>
      </c>
      <c r="Y2003" s="2" t="s">
        <v>12516</v>
      </c>
      <c r="AA2003" t="str">
        <f t="shared" si="186"/>
        <v>2025-12</v>
      </c>
      <c r="AB2003" t="str">
        <f t="shared" si="187"/>
        <v/>
      </c>
      <c r="AC2003">
        <f t="shared" si="188"/>
        <v>25515243</v>
      </c>
      <c r="AD2003">
        <f t="shared" si="189"/>
        <v>3000</v>
      </c>
      <c r="AE2003">
        <f t="shared" si="190"/>
        <v>4095243</v>
      </c>
      <c r="AF2003" t="str">
        <f t="shared" si="191"/>
        <v>Paid</v>
      </c>
    </row>
    <row r="2004" spans="1:32" ht="17.25" thickBot="1" x14ac:dyDescent="0.35">
      <c r="A2004" s="2" t="s">
        <v>12548</v>
      </c>
      <c r="B2004" s="2" t="s">
        <v>27</v>
      </c>
      <c r="C2004" s="2" t="s">
        <v>28</v>
      </c>
      <c r="D2004" s="2" t="s">
        <v>97</v>
      </c>
      <c r="E2004" s="2" t="s">
        <v>12299</v>
      </c>
      <c r="F2004" s="2" t="s">
        <v>8445</v>
      </c>
      <c r="G2004" s="2" t="s">
        <v>32</v>
      </c>
      <c r="H2004" s="1"/>
      <c r="I2004" s="2" t="s">
        <v>33</v>
      </c>
      <c r="J2004" s="2" t="s">
        <v>34</v>
      </c>
      <c r="K2004" s="2" t="s">
        <v>738</v>
      </c>
      <c r="L2004" s="2" t="s">
        <v>739</v>
      </c>
      <c r="M2004" s="2" t="s">
        <v>701</v>
      </c>
      <c r="N2004" s="2" t="s">
        <v>38</v>
      </c>
      <c r="O2004" s="2" t="s">
        <v>618</v>
      </c>
      <c r="P2004" s="2" t="s">
        <v>9099</v>
      </c>
      <c r="Q2004" s="2" t="s">
        <v>12549</v>
      </c>
      <c r="R2004" s="2" t="s">
        <v>40</v>
      </c>
      <c r="S2004" s="2" t="s">
        <v>12550</v>
      </c>
      <c r="T2004" s="2" t="s">
        <v>716</v>
      </c>
      <c r="U2004" s="2" t="s">
        <v>12551</v>
      </c>
      <c r="V2004" s="2" t="s">
        <v>12552</v>
      </c>
      <c r="W2004" s="1"/>
      <c r="X2004" s="2" t="s">
        <v>709</v>
      </c>
      <c r="Y2004" s="2" t="s">
        <v>12516</v>
      </c>
      <c r="AA2004" t="str">
        <f t="shared" si="186"/>
        <v>2025-12</v>
      </c>
      <c r="AB2004" t="str">
        <f t="shared" si="187"/>
        <v/>
      </c>
      <c r="AC2004">
        <f t="shared" si="188"/>
        <v>8641507.6799999997</v>
      </c>
      <c r="AD2004">
        <f t="shared" si="189"/>
        <v>720</v>
      </c>
      <c r="AE2004">
        <f t="shared" si="190"/>
        <v>1383907.68</v>
      </c>
      <c r="AF2004" t="str">
        <f t="shared" si="191"/>
        <v>Paid</v>
      </c>
    </row>
    <row r="2005" spans="1:32" ht="17.25" thickBot="1" x14ac:dyDescent="0.35">
      <c r="A2005" s="2" t="s">
        <v>12553</v>
      </c>
      <c r="B2005" s="2" t="s">
        <v>27</v>
      </c>
      <c r="C2005" s="2" t="s">
        <v>28</v>
      </c>
      <c r="D2005" s="2" t="s">
        <v>97</v>
      </c>
      <c r="E2005" s="2" t="s">
        <v>12299</v>
      </c>
      <c r="F2005" s="2" t="s">
        <v>8445</v>
      </c>
      <c r="G2005" s="2" t="s">
        <v>32</v>
      </c>
      <c r="H2005" s="1"/>
      <c r="I2005" s="2" t="s">
        <v>33</v>
      </c>
      <c r="J2005" s="2" t="s">
        <v>34</v>
      </c>
      <c r="K2005" s="2" t="s">
        <v>746</v>
      </c>
      <c r="L2005" s="2" t="s">
        <v>747</v>
      </c>
      <c r="M2005" s="2" t="s">
        <v>701</v>
      </c>
      <c r="N2005" s="2" t="s">
        <v>38</v>
      </c>
      <c r="O2005" s="2" t="s">
        <v>4788</v>
      </c>
      <c r="P2005" s="2" t="s">
        <v>9099</v>
      </c>
      <c r="Q2005" s="2" t="s">
        <v>12554</v>
      </c>
      <c r="R2005" s="2" t="s">
        <v>40</v>
      </c>
      <c r="S2005" s="2" t="s">
        <v>12555</v>
      </c>
      <c r="T2005" s="2" t="s">
        <v>716</v>
      </c>
      <c r="U2005" s="2" t="s">
        <v>12556</v>
      </c>
      <c r="V2005" s="2" t="s">
        <v>12557</v>
      </c>
      <c r="W2005" s="1"/>
      <c r="X2005" s="2" t="s">
        <v>709</v>
      </c>
      <c r="Y2005" s="2" t="s">
        <v>12516</v>
      </c>
      <c r="AA2005" t="str">
        <f t="shared" si="186"/>
        <v>2025-12</v>
      </c>
      <c r="AB2005" t="str">
        <f t="shared" si="187"/>
        <v/>
      </c>
      <c r="AC2005">
        <f t="shared" si="188"/>
        <v>7681340.1600000001</v>
      </c>
      <c r="AD2005">
        <f t="shared" si="189"/>
        <v>640</v>
      </c>
      <c r="AE2005">
        <f t="shared" si="190"/>
        <v>1230140.1599999999</v>
      </c>
      <c r="AF2005" t="str">
        <f t="shared" si="191"/>
        <v>Paid</v>
      </c>
    </row>
    <row r="2006" spans="1:32" ht="17.25" thickBot="1" x14ac:dyDescent="0.35">
      <c r="A2006" s="2" t="s">
        <v>12558</v>
      </c>
      <c r="B2006" s="2" t="s">
        <v>27</v>
      </c>
      <c r="C2006" s="2" t="s">
        <v>28</v>
      </c>
      <c r="D2006" s="2" t="s">
        <v>97</v>
      </c>
      <c r="E2006" s="2" t="s">
        <v>12299</v>
      </c>
      <c r="F2006" s="2" t="s">
        <v>8445</v>
      </c>
      <c r="G2006" s="2" t="s">
        <v>32</v>
      </c>
      <c r="H2006" s="1"/>
      <c r="I2006" s="2" t="s">
        <v>33</v>
      </c>
      <c r="J2006" s="2" t="s">
        <v>34</v>
      </c>
      <c r="K2006" s="2" t="s">
        <v>754</v>
      </c>
      <c r="L2006" s="2" t="s">
        <v>755</v>
      </c>
      <c r="M2006" s="2" t="s">
        <v>701</v>
      </c>
      <c r="N2006" s="2" t="s">
        <v>38</v>
      </c>
      <c r="O2006" s="2" t="s">
        <v>831</v>
      </c>
      <c r="P2006" s="2" t="s">
        <v>6284</v>
      </c>
      <c r="Q2006" s="2" t="s">
        <v>11066</v>
      </c>
      <c r="R2006" s="2" t="s">
        <v>40</v>
      </c>
      <c r="S2006" s="2" t="s">
        <v>12559</v>
      </c>
      <c r="T2006" s="2" t="s">
        <v>759</v>
      </c>
      <c r="U2006" s="2" t="s">
        <v>11068</v>
      </c>
      <c r="V2006" s="2" t="s">
        <v>12560</v>
      </c>
      <c r="W2006" s="1"/>
      <c r="X2006" s="2" t="s">
        <v>5168</v>
      </c>
      <c r="Y2006" s="2" t="s">
        <v>12516</v>
      </c>
      <c r="AA2006" t="str">
        <f t="shared" si="186"/>
        <v>2025-12</v>
      </c>
      <c r="AB2006" t="str">
        <f t="shared" si="187"/>
        <v/>
      </c>
      <c r="AC2006">
        <f t="shared" si="188"/>
        <v>8994375</v>
      </c>
      <c r="AD2006">
        <f t="shared" si="189"/>
        <v>1000</v>
      </c>
      <c r="AE2006">
        <f t="shared" si="190"/>
        <v>1434375</v>
      </c>
      <c r="AF2006" t="str">
        <f t="shared" si="191"/>
        <v>Paid</v>
      </c>
    </row>
    <row r="2007" spans="1:32" ht="17.25" thickBot="1" x14ac:dyDescent="0.35">
      <c r="A2007" s="2" t="s">
        <v>12561</v>
      </c>
      <c r="B2007" s="2" t="s">
        <v>27</v>
      </c>
      <c r="C2007" s="2" t="s">
        <v>28</v>
      </c>
      <c r="D2007" s="2" t="s">
        <v>97</v>
      </c>
      <c r="E2007" s="2" t="s">
        <v>12299</v>
      </c>
      <c r="F2007" s="2" t="s">
        <v>8445</v>
      </c>
      <c r="G2007" s="2" t="s">
        <v>32</v>
      </c>
      <c r="H2007" s="1"/>
      <c r="I2007" s="2" t="s">
        <v>33</v>
      </c>
      <c r="J2007" s="2" t="s">
        <v>34</v>
      </c>
      <c r="K2007" s="2" t="s">
        <v>12250</v>
      </c>
      <c r="L2007" s="2" t="s">
        <v>12251</v>
      </c>
      <c r="M2007" s="2" t="s">
        <v>701</v>
      </c>
      <c r="N2007" s="2" t="s">
        <v>38</v>
      </c>
      <c r="O2007" s="2" t="s">
        <v>839</v>
      </c>
      <c r="P2007" s="2" t="s">
        <v>7296</v>
      </c>
      <c r="Q2007" s="2" t="s">
        <v>10677</v>
      </c>
      <c r="R2007" s="2" t="s">
        <v>40</v>
      </c>
      <c r="S2007" s="2" t="s">
        <v>12562</v>
      </c>
      <c r="T2007" s="2" t="s">
        <v>706</v>
      </c>
      <c r="U2007" s="2" t="s">
        <v>12563</v>
      </c>
      <c r="V2007" s="2" t="s">
        <v>12564</v>
      </c>
      <c r="W2007" s="1"/>
      <c r="X2007" s="2" t="s">
        <v>709</v>
      </c>
      <c r="Y2007" s="2" t="s">
        <v>12516</v>
      </c>
      <c r="AA2007" t="str">
        <f t="shared" si="186"/>
        <v>2025-12</v>
      </c>
      <c r="AB2007" t="str">
        <f t="shared" si="187"/>
        <v/>
      </c>
      <c r="AC2007">
        <f t="shared" si="188"/>
        <v>960167.52</v>
      </c>
      <c r="AD2007">
        <f t="shared" si="189"/>
        <v>96</v>
      </c>
      <c r="AE2007">
        <f t="shared" si="190"/>
        <v>153767.51999999999</v>
      </c>
      <c r="AF2007" t="str">
        <f t="shared" si="191"/>
        <v>Paid</v>
      </c>
    </row>
    <row r="2008" spans="1:32" ht="17.25" thickBot="1" x14ac:dyDescent="0.35">
      <c r="A2008" s="2" t="s">
        <v>12565</v>
      </c>
      <c r="B2008" s="2" t="s">
        <v>27</v>
      </c>
      <c r="C2008" s="2" t="s">
        <v>28</v>
      </c>
      <c r="D2008" s="2" t="s">
        <v>97</v>
      </c>
      <c r="E2008" s="2" t="s">
        <v>12299</v>
      </c>
      <c r="F2008" s="2" t="s">
        <v>8445</v>
      </c>
      <c r="G2008" s="2" t="s">
        <v>32</v>
      </c>
      <c r="H2008" s="1"/>
      <c r="I2008" s="2" t="s">
        <v>33</v>
      </c>
      <c r="J2008" s="2" t="s">
        <v>34</v>
      </c>
      <c r="K2008" s="2" t="s">
        <v>4606</v>
      </c>
      <c r="L2008" s="2" t="s">
        <v>4607</v>
      </c>
      <c r="M2008" s="2" t="s">
        <v>701</v>
      </c>
      <c r="N2008" s="2" t="s">
        <v>38</v>
      </c>
      <c r="O2008" s="2" t="s">
        <v>4788</v>
      </c>
      <c r="P2008" s="2" t="s">
        <v>6284</v>
      </c>
      <c r="Q2008" s="2" t="s">
        <v>3110</v>
      </c>
      <c r="R2008" s="2" t="s">
        <v>40</v>
      </c>
      <c r="S2008" s="2" t="s">
        <v>12566</v>
      </c>
      <c r="T2008" s="2" t="s">
        <v>759</v>
      </c>
      <c r="U2008" s="2" t="s">
        <v>8266</v>
      </c>
      <c r="V2008" s="2" t="s">
        <v>12567</v>
      </c>
      <c r="W2008" s="1"/>
      <c r="X2008" s="2" t="s">
        <v>5168</v>
      </c>
      <c r="Y2008" s="2" t="s">
        <v>12516</v>
      </c>
      <c r="AA2008" t="str">
        <f t="shared" si="186"/>
        <v>2025-12</v>
      </c>
      <c r="AB2008" t="str">
        <f t="shared" si="187"/>
        <v/>
      </c>
      <c r="AC2008">
        <f t="shared" si="188"/>
        <v>5756400</v>
      </c>
      <c r="AD2008">
        <f t="shared" si="189"/>
        <v>640</v>
      </c>
      <c r="AE2008">
        <f t="shared" si="190"/>
        <v>918000</v>
      </c>
      <c r="AF2008" t="str">
        <f t="shared" si="191"/>
        <v>Paid</v>
      </c>
    </row>
    <row r="2009" spans="1:32" ht="17.25" thickBot="1" x14ac:dyDescent="0.35">
      <c r="A2009" s="2" t="s">
        <v>12568</v>
      </c>
      <c r="B2009" s="2" t="s">
        <v>27</v>
      </c>
      <c r="C2009" s="2" t="s">
        <v>28</v>
      </c>
      <c r="D2009" s="2" t="s">
        <v>97</v>
      </c>
      <c r="E2009" s="2" t="s">
        <v>12299</v>
      </c>
      <c r="F2009" s="2" t="s">
        <v>8445</v>
      </c>
      <c r="G2009" s="2" t="s">
        <v>32</v>
      </c>
      <c r="H2009" s="1"/>
      <c r="I2009" s="2" t="s">
        <v>33</v>
      </c>
      <c r="J2009" s="2" t="s">
        <v>34</v>
      </c>
      <c r="K2009" s="2" t="s">
        <v>8322</v>
      </c>
      <c r="L2009" s="2" t="s">
        <v>8323</v>
      </c>
      <c r="M2009" s="2" t="s">
        <v>701</v>
      </c>
      <c r="N2009" s="2" t="s">
        <v>38</v>
      </c>
      <c r="O2009" s="2" t="s">
        <v>159</v>
      </c>
      <c r="P2009" s="2" t="s">
        <v>1625</v>
      </c>
      <c r="Q2009" s="2" t="s">
        <v>12569</v>
      </c>
      <c r="R2009" s="2" t="s">
        <v>40</v>
      </c>
      <c r="S2009" s="2" t="s">
        <v>12570</v>
      </c>
      <c r="T2009" s="2" t="s">
        <v>8326</v>
      </c>
      <c r="U2009" s="2" t="s">
        <v>12571</v>
      </c>
      <c r="V2009" s="2" t="s">
        <v>12572</v>
      </c>
      <c r="W2009" s="1"/>
      <c r="X2009" s="2" t="s">
        <v>709</v>
      </c>
      <c r="Y2009" s="2" t="s">
        <v>12516</v>
      </c>
      <c r="AA2009" t="str">
        <f t="shared" si="186"/>
        <v>2025-12</v>
      </c>
      <c r="AB2009" t="str">
        <f t="shared" si="187"/>
        <v/>
      </c>
      <c r="AC2009">
        <f t="shared" si="188"/>
        <v>840434.4</v>
      </c>
      <c r="AD2009">
        <f t="shared" si="189"/>
        <v>80</v>
      </c>
      <c r="AE2009">
        <f t="shared" si="190"/>
        <v>134834.4</v>
      </c>
      <c r="AF2009" t="str">
        <f t="shared" si="191"/>
        <v>Paid</v>
      </c>
    </row>
    <row r="2010" spans="1:32" ht="27.75" thickBot="1" x14ac:dyDescent="0.35">
      <c r="A2010" s="2" t="s">
        <v>12573</v>
      </c>
      <c r="B2010" s="2" t="s">
        <v>27</v>
      </c>
      <c r="C2010" s="2" t="s">
        <v>28</v>
      </c>
      <c r="D2010" s="2" t="s">
        <v>97</v>
      </c>
      <c r="E2010" s="2" t="s">
        <v>12574</v>
      </c>
      <c r="F2010" s="2" t="s">
        <v>8445</v>
      </c>
      <c r="G2010" s="2" t="s">
        <v>32</v>
      </c>
      <c r="H2010" s="1"/>
      <c r="I2010" s="2" t="s">
        <v>33</v>
      </c>
      <c r="J2010" s="2" t="s">
        <v>34</v>
      </c>
      <c r="K2010" s="2" t="s">
        <v>12575</v>
      </c>
      <c r="L2010" s="2" t="s">
        <v>12576</v>
      </c>
      <c r="M2010" s="2" t="s">
        <v>1887</v>
      </c>
      <c r="N2010" s="2" t="s">
        <v>38</v>
      </c>
      <c r="O2010" s="2" t="s">
        <v>141</v>
      </c>
      <c r="P2010" s="2" t="s">
        <v>104</v>
      </c>
      <c r="Q2010" s="2" t="s">
        <v>142</v>
      </c>
      <c r="R2010" s="2" t="s">
        <v>40</v>
      </c>
      <c r="S2010" s="2" t="s">
        <v>12577</v>
      </c>
      <c r="T2010" s="2" t="s">
        <v>12578</v>
      </c>
      <c r="U2010" s="2" t="s">
        <v>12579</v>
      </c>
      <c r="V2010" s="2" t="s">
        <v>12580</v>
      </c>
      <c r="W2010" s="2" t="s">
        <v>41</v>
      </c>
      <c r="X2010" s="2" t="s">
        <v>12581</v>
      </c>
      <c r="Y2010" s="2" t="s">
        <v>12582</v>
      </c>
      <c r="AA2010" t="str">
        <f t="shared" si="186"/>
        <v>2025-12</v>
      </c>
      <c r="AB2010" t="str">
        <f t="shared" si="187"/>
        <v/>
      </c>
      <c r="AC2010">
        <f t="shared" si="188"/>
        <v>430.44</v>
      </c>
      <c r="AD2010">
        <f t="shared" si="189"/>
        <v>30</v>
      </c>
      <c r="AE2010">
        <f t="shared" si="190"/>
        <v>-238219.56</v>
      </c>
      <c r="AF2010" t="str">
        <f t="shared" si="191"/>
        <v>Sample</v>
      </c>
    </row>
    <row r="2011" spans="1:32" ht="17.25" thickBot="1" x14ac:dyDescent="0.35">
      <c r="A2011" s="2" t="s">
        <v>12583</v>
      </c>
      <c r="B2011" s="2" t="s">
        <v>27</v>
      </c>
      <c r="C2011" s="2" t="s">
        <v>28</v>
      </c>
      <c r="D2011" s="2" t="s">
        <v>97</v>
      </c>
      <c r="E2011" s="2" t="s">
        <v>12574</v>
      </c>
      <c r="F2011" s="2" t="s">
        <v>8445</v>
      </c>
      <c r="G2011" s="2" t="s">
        <v>32</v>
      </c>
      <c r="H2011" s="1"/>
      <c r="I2011" s="2" t="s">
        <v>33</v>
      </c>
      <c r="J2011" s="2" t="s">
        <v>34</v>
      </c>
      <c r="K2011" s="2" t="s">
        <v>2063</v>
      </c>
      <c r="L2011" s="2" t="s">
        <v>2064</v>
      </c>
      <c r="M2011" s="2" t="s">
        <v>1887</v>
      </c>
      <c r="N2011" s="2" t="s">
        <v>38</v>
      </c>
      <c r="O2011" s="2" t="s">
        <v>407</v>
      </c>
      <c r="P2011" s="2" t="s">
        <v>104</v>
      </c>
      <c r="Q2011" s="2" t="s">
        <v>8528</v>
      </c>
      <c r="R2011" s="2" t="s">
        <v>40</v>
      </c>
      <c r="S2011" s="2" t="s">
        <v>12584</v>
      </c>
      <c r="T2011" s="2" t="s">
        <v>2069</v>
      </c>
      <c r="U2011" s="2" t="s">
        <v>12585</v>
      </c>
      <c r="V2011" s="2" t="s">
        <v>12586</v>
      </c>
      <c r="W2011" s="2" t="s">
        <v>41</v>
      </c>
      <c r="X2011" s="2" t="s">
        <v>12587</v>
      </c>
      <c r="Y2011" s="2" t="s">
        <v>12582</v>
      </c>
      <c r="AA2011" t="str">
        <f t="shared" si="186"/>
        <v>2025-12</v>
      </c>
      <c r="AB2011" t="str">
        <f t="shared" si="187"/>
        <v/>
      </c>
      <c r="AC2011">
        <f t="shared" si="188"/>
        <v>688.7</v>
      </c>
      <c r="AD2011">
        <f t="shared" si="189"/>
        <v>48</v>
      </c>
      <c r="AE2011">
        <f t="shared" si="190"/>
        <v>-421711.3</v>
      </c>
      <c r="AF2011" t="str">
        <f t="shared" si="191"/>
        <v>Sample</v>
      </c>
    </row>
    <row r="2012" spans="1:32" ht="17.25" thickBot="1" x14ac:dyDescent="0.35">
      <c r="A2012" s="2" t="s">
        <v>12588</v>
      </c>
      <c r="B2012" s="2" t="s">
        <v>27</v>
      </c>
      <c r="C2012" s="2" t="s">
        <v>28</v>
      </c>
      <c r="D2012" s="2" t="s">
        <v>97</v>
      </c>
      <c r="E2012" s="2" t="s">
        <v>12574</v>
      </c>
      <c r="F2012" s="2" t="s">
        <v>8445</v>
      </c>
      <c r="G2012" s="2" t="s">
        <v>32</v>
      </c>
      <c r="H2012" s="1"/>
      <c r="I2012" s="2" t="s">
        <v>33</v>
      </c>
      <c r="J2012" s="2" t="s">
        <v>34</v>
      </c>
      <c r="K2012" s="2" t="s">
        <v>12589</v>
      </c>
      <c r="L2012" s="2" t="s">
        <v>12590</v>
      </c>
      <c r="M2012" s="2" t="s">
        <v>10280</v>
      </c>
      <c r="N2012" s="2" t="s">
        <v>38</v>
      </c>
      <c r="O2012" s="2" t="s">
        <v>57</v>
      </c>
      <c r="P2012" s="2" t="s">
        <v>104</v>
      </c>
      <c r="Q2012" s="2" t="s">
        <v>12591</v>
      </c>
      <c r="R2012" s="2" t="s">
        <v>40</v>
      </c>
      <c r="S2012" s="2" t="s">
        <v>12592</v>
      </c>
      <c r="T2012" s="2" t="s">
        <v>40</v>
      </c>
      <c r="U2012" s="2" t="s">
        <v>40</v>
      </c>
      <c r="V2012" s="2" t="s">
        <v>12592</v>
      </c>
      <c r="W2012" s="2" t="s">
        <v>41</v>
      </c>
      <c r="X2012" s="2" t="s">
        <v>2155</v>
      </c>
      <c r="Y2012" s="2" t="s">
        <v>12582</v>
      </c>
      <c r="AA2012" t="str">
        <f t="shared" si="186"/>
        <v>2025-12</v>
      </c>
      <c r="AB2012" t="str">
        <f t="shared" si="187"/>
        <v/>
      </c>
      <c r="AC2012">
        <f t="shared" si="188"/>
        <v>71.739999999999995</v>
      </c>
      <c r="AD2012">
        <f t="shared" si="189"/>
        <v>5</v>
      </c>
      <c r="AE2012">
        <f t="shared" si="190"/>
        <v>71.739999999999995</v>
      </c>
      <c r="AF2012" t="str">
        <f t="shared" si="191"/>
        <v>Sample</v>
      </c>
    </row>
    <row r="2013" spans="1:32" ht="27.75" thickBot="1" x14ac:dyDescent="0.35">
      <c r="A2013" s="2" t="s">
        <v>12593</v>
      </c>
      <c r="B2013" s="2" t="s">
        <v>27</v>
      </c>
      <c r="C2013" s="2" t="s">
        <v>28</v>
      </c>
      <c r="D2013" s="2" t="s">
        <v>97</v>
      </c>
      <c r="E2013" s="2" t="s">
        <v>12574</v>
      </c>
      <c r="F2013" s="2" t="s">
        <v>8445</v>
      </c>
      <c r="G2013" s="2" t="s">
        <v>32</v>
      </c>
      <c r="H2013" s="1"/>
      <c r="I2013" s="2" t="s">
        <v>33</v>
      </c>
      <c r="J2013" s="2" t="s">
        <v>34</v>
      </c>
      <c r="K2013" s="2" t="s">
        <v>10294</v>
      </c>
      <c r="L2013" s="2" t="s">
        <v>10295</v>
      </c>
      <c r="M2013" s="2" t="s">
        <v>10280</v>
      </c>
      <c r="N2013" s="2" t="s">
        <v>38</v>
      </c>
      <c r="O2013" s="2" t="s">
        <v>141</v>
      </c>
      <c r="P2013" s="2" t="s">
        <v>104</v>
      </c>
      <c r="Q2013" s="2" t="s">
        <v>142</v>
      </c>
      <c r="R2013" s="2" t="s">
        <v>40</v>
      </c>
      <c r="S2013" s="2" t="s">
        <v>12577</v>
      </c>
      <c r="T2013" s="2" t="s">
        <v>2684</v>
      </c>
      <c r="U2013" s="2" t="s">
        <v>10232</v>
      </c>
      <c r="V2013" s="2" t="s">
        <v>12594</v>
      </c>
      <c r="W2013" s="2" t="s">
        <v>41</v>
      </c>
      <c r="X2013" s="2" t="s">
        <v>12595</v>
      </c>
      <c r="Y2013" s="2" t="s">
        <v>12582</v>
      </c>
      <c r="AA2013" t="str">
        <f t="shared" si="186"/>
        <v>2025-12</v>
      </c>
      <c r="AB2013" t="str">
        <f t="shared" si="187"/>
        <v/>
      </c>
      <c r="AC2013">
        <f t="shared" si="188"/>
        <v>430.44</v>
      </c>
      <c r="AD2013">
        <f t="shared" si="189"/>
        <v>30</v>
      </c>
      <c r="AE2013">
        <f t="shared" si="190"/>
        <v>-164569.56</v>
      </c>
      <c r="AF2013" t="str">
        <f t="shared" si="191"/>
        <v>Sample</v>
      </c>
    </row>
    <row r="2014" spans="1:32" ht="27.75" thickBot="1" x14ac:dyDescent="0.35">
      <c r="A2014" s="2" t="s">
        <v>12596</v>
      </c>
      <c r="B2014" s="2" t="s">
        <v>27</v>
      </c>
      <c r="C2014" s="2" t="s">
        <v>28</v>
      </c>
      <c r="D2014" s="2" t="s">
        <v>97</v>
      </c>
      <c r="E2014" s="2" t="s">
        <v>12574</v>
      </c>
      <c r="F2014" s="2" t="s">
        <v>8445</v>
      </c>
      <c r="G2014" s="2" t="s">
        <v>32</v>
      </c>
      <c r="H2014" s="1"/>
      <c r="I2014" s="2" t="s">
        <v>33</v>
      </c>
      <c r="J2014" s="2" t="s">
        <v>34</v>
      </c>
      <c r="K2014" s="2" t="s">
        <v>12597</v>
      </c>
      <c r="L2014" s="2" t="s">
        <v>12598</v>
      </c>
      <c r="M2014" s="2" t="s">
        <v>1887</v>
      </c>
      <c r="N2014" s="2" t="s">
        <v>38</v>
      </c>
      <c r="O2014" s="2" t="s">
        <v>877</v>
      </c>
      <c r="P2014" s="2" t="s">
        <v>12599</v>
      </c>
      <c r="Q2014" s="2" t="s">
        <v>12600</v>
      </c>
      <c r="R2014" s="2" t="s">
        <v>40</v>
      </c>
      <c r="S2014" s="2" t="s">
        <v>12601</v>
      </c>
      <c r="T2014" s="2" t="s">
        <v>669</v>
      </c>
      <c r="U2014" s="2" t="s">
        <v>3303</v>
      </c>
      <c r="V2014" s="2" t="s">
        <v>12602</v>
      </c>
      <c r="W2014" s="1"/>
      <c r="X2014" s="2" t="s">
        <v>817</v>
      </c>
      <c r="Y2014" s="2" t="s">
        <v>12603</v>
      </c>
      <c r="AA2014" t="str">
        <f t="shared" si="186"/>
        <v>2025-12</v>
      </c>
      <c r="AB2014" t="str">
        <f t="shared" si="187"/>
        <v/>
      </c>
      <c r="AC2014">
        <f t="shared" si="188"/>
        <v>795368.5</v>
      </c>
      <c r="AD2014">
        <f t="shared" si="189"/>
        <v>100</v>
      </c>
      <c r="AE2014">
        <f t="shared" si="190"/>
        <v>195368.5</v>
      </c>
      <c r="AF2014" t="str">
        <f t="shared" si="191"/>
        <v>Paid</v>
      </c>
    </row>
    <row r="2015" spans="1:32" ht="27.75" thickBot="1" x14ac:dyDescent="0.35">
      <c r="A2015" s="2" t="s">
        <v>12604</v>
      </c>
      <c r="B2015" s="2" t="s">
        <v>27</v>
      </c>
      <c r="C2015" s="2" t="s">
        <v>28</v>
      </c>
      <c r="D2015" s="2" t="s">
        <v>97</v>
      </c>
      <c r="E2015" s="2" t="s">
        <v>12574</v>
      </c>
      <c r="F2015" s="2" t="s">
        <v>8445</v>
      </c>
      <c r="G2015" s="2" t="s">
        <v>32</v>
      </c>
      <c r="H2015" s="1"/>
      <c r="I2015" s="2" t="s">
        <v>33</v>
      </c>
      <c r="J2015" s="2" t="s">
        <v>34</v>
      </c>
      <c r="K2015" s="2" t="s">
        <v>4901</v>
      </c>
      <c r="L2015" s="2" t="s">
        <v>4902</v>
      </c>
      <c r="M2015" s="2" t="s">
        <v>1887</v>
      </c>
      <c r="N2015" s="2" t="s">
        <v>38</v>
      </c>
      <c r="O2015" s="2" t="s">
        <v>877</v>
      </c>
      <c r="P2015" s="2" t="s">
        <v>3041</v>
      </c>
      <c r="Q2015" s="2" t="s">
        <v>12605</v>
      </c>
      <c r="R2015" s="2" t="s">
        <v>40</v>
      </c>
      <c r="S2015" s="2" t="s">
        <v>12606</v>
      </c>
      <c r="T2015" s="2" t="s">
        <v>4905</v>
      </c>
      <c r="U2015" s="2" t="s">
        <v>12607</v>
      </c>
      <c r="V2015" s="2" t="s">
        <v>12608</v>
      </c>
      <c r="W2015" s="1"/>
      <c r="X2015" s="2" t="s">
        <v>934</v>
      </c>
      <c r="Y2015" s="2" t="s">
        <v>12603</v>
      </c>
      <c r="AA2015" t="str">
        <f t="shared" si="186"/>
        <v>2025-12</v>
      </c>
      <c r="AB2015" t="str">
        <f t="shared" si="187"/>
        <v/>
      </c>
      <c r="AC2015">
        <f t="shared" si="188"/>
        <v>1218314</v>
      </c>
      <c r="AD2015">
        <f t="shared" si="189"/>
        <v>100</v>
      </c>
      <c r="AE2015">
        <f t="shared" si="190"/>
        <v>298314</v>
      </c>
      <c r="AF2015" t="str">
        <f t="shared" si="191"/>
        <v>Paid</v>
      </c>
    </row>
    <row r="2016" spans="1:32" ht="27.75" thickBot="1" x14ac:dyDescent="0.35">
      <c r="A2016" s="2" t="s">
        <v>12609</v>
      </c>
      <c r="B2016" s="2" t="s">
        <v>27</v>
      </c>
      <c r="C2016" s="2" t="s">
        <v>28</v>
      </c>
      <c r="D2016" s="2" t="s">
        <v>97</v>
      </c>
      <c r="E2016" s="2" t="s">
        <v>12574</v>
      </c>
      <c r="F2016" s="2" t="s">
        <v>8445</v>
      </c>
      <c r="G2016" s="2" t="s">
        <v>32</v>
      </c>
      <c r="H2016" s="1"/>
      <c r="I2016" s="2" t="s">
        <v>33</v>
      </c>
      <c r="J2016" s="2" t="s">
        <v>34</v>
      </c>
      <c r="K2016" s="2" t="s">
        <v>2122</v>
      </c>
      <c r="L2016" s="2" t="s">
        <v>2123</v>
      </c>
      <c r="M2016" s="2" t="s">
        <v>1887</v>
      </c>
      <c r="N2016" s="2" t="s">
        <v>38</v>
      </c>
      <c r="O2016" s="2" t="s">
        <v>877</v>
      </c>
      <c r="P2016" s="2" t="s">
        <v>4317</v>
      </c>
      <c r="Q2016" s="2" t="s">
        <v>12610</v>
      </c>
      <c r="R2016" s="2" t="s">
        <v>40</v>
      </c>
      <c r="S2016" s="2" t="s">
        <v>12611</v>
      </c>
      <c r="T2016" s="2" t="s">
        <v>2127</v>
      </c>
      <c r="U2016" s="2" t="s">
        <v>2135</v>
      </c>
      <c r="V2016" s="2" t="s">
        <v>12612</v>
      </c>
      <c r="W2016" s="1"/>
      <c r="X2016" s="2" t="s">
        <v>934</v>
      </c>
      <c r="Y2016" s="2" t="s">
        <v>12603</v>
      </c>
      <c r="AA2016" t="str">
        <f t="shared" si="186"/>
        <v>2025-12</v>
      </c>
      <c r="AB2016" t="str">
        <f t="shared" si="187"/>
        <v/>
      </c>
      <c r="AC2016">
        <f t="shared" si="188"/>
        <v>1430508.5</v>
      </c>
      <c r="AD2016">
        <f t="shared" si="189"/>
        <v>100</v>
      </c>
      <c r="AE2016">
        <f t="shared" si="190"/>
        <v>350508.5</v>
      </c>
      <c r="AF2016" t="str">
        <f t="shared" si="191"/>
        <v>Paid</v>
      </c>
    </row>
    <row r="2017" spans="1:32" ht="17.25" thickBot="1" x14ac:dyDescent="0.35">
      <c r="A2017" s="2" t="s">
        <v>12613</v>
      </c>
      <c r="B2017" s="2" t="s">
        <v>27</v>
      </c>
      <c r="C2017" s="2" t="s">
        <v>28</v>
      </c>
      <c r="D2017" s="2" t="s">
        <v>97</v>
      </c>
      <c r="E2017" s="2" t="s">
        <v>12574</v>
      </c>
      <c r="F2017" s="2" t="s">
        <v>8445</v>
      </c>
      <c r="G2017" s="2" t="s">
        <v>32</v>
      </c>
      <c r="H2017" s="1"/>
      <c r="I2017" s="2" t="s">
        <v>33</v>
      </c>
      <c r="J2017" s="2" t="s">
        <v>34</v>
      </c>
      <c r="K2017" s="2" t="s">
        <v>2131</v>
      </c>
      <c r="L2017" s="2" t="s">
        <v>2132</v>
      </c>
      <c r="M2017" s="2" t="s">
        <v>1887</v>
      </c>
      <c r="N2017" s="2" t="s">
        <v>38</v>
      </c>
      <c r="O2017" s="2" t="s">
        <v>877</v>
      </c>
      <c r="P2017" s="2" t="s">
        <v>12614</v>
      </c>
      <c r="Q2017" s="2" t="s">
        <v>12615</v>
      </c>
      <c r="R2017" s="2" t="s">
        <v>40</v>
      </c>
      <c r="S2017" s="2" t="s">
        <v>12616</v>
      </c>
      <c r="T2017" s="2" t="s">
        <v>2111</v>
      </c>
      <c r="U2017" s="2" t="s">
        <v>12617</v>
      </c>
      <c r="V2017" s="2" t="s">
        <v>12618</v>
      </c>
      <c r="W2017" s="1"/>
      <c r="X2017" s="2" t="s">
        <v>934</v>
      </c>
      <c r="Y2017" s="2" t="s">
        <v>12603</v>
      </c>
      <c r="AA2017" t="str">
        <f t="shared" si="186"/>
        <v>2025-12</v>
      </c>
      <c r="AB2017" t="str">
        <f t="shared" si="187"/>
        <v/>
      </c>
      <c r="AC2017">
        <f t="shared" si="188"/>
        <v>1325133</v>
      </c>
      <c r="AD2017">
        <f t="shared" si="189"/>
        <v>100</v>
      </c>
      <c r="AE2017">
        <f t="shared" si="190"/>
        <v>325133</v>
      </c>
      <c r="AF2017" t="str">
        <f t="shared" si="191"/>
        <v>Paid</v>
      </c>
    </row>
    <row r="2018" spans="1:32" ht="27.75" thickBot="1" x14ac:dyDescent="0.35">
      <c r="A2018" s="2" t="s">
        <v>12619</v>
      </c>
      <c r="B2018" s="2" t="s">
        <v>27</v>
      </c>
      <c r="C2018" s="2" t="s">
        <v>28</v>
      </c>
      <c r="D2018" s="2" t="s">
        <v>97</v>
      </c>
      <c r="E2018" s="2" t="s">
        <v>12574</v>
      </c>
      <c r="F2018" s="2" t="s">
        <v>8445</v>
      </c>
      <c r="G2018" s="2" t="s">
        <v>32</v>
      </c>
      <c r="H2018" s="1"/>
      <c r="I2018" s="2" t="s">
        <v>33</v>
      </c>
      <c r="J2018" s="2" t="s">
        <v>34</v>
      </c>
      <c r="K2018" s="2" t="s">
        <v>10294</v>
      </c>
      <c r="L2018" s="2" t="s">
        <v>10295</v>
      </c>
      <c r="M2018" s="2" t="s">
        <v>10280</v>
      </c>
      <c r="N2018" s="2" t="s">
        <v>38</v>
      </c>
      <c r="O2018" s="2" t="s">
        <v>156</v>
      </c>
      <c r="P2018" s="2" t="s">
        <v>104</v>
      </c>
      <c r="Q2018" s="2" t="s">
        <v>12620</v>
      </c>
      <c r="R2018" s="2" t="s">
        <v>40</v>
      </c>
      <c r="S2018" s="2" t="s">
        <v>12621</v>
      </c>
      <c r="T2018" s="2" t="s">
        <v>2684</v>
      </c>
      <c r="U2018" s="2" t="s">
        <v>11491</v>
      </c>
      <c r="V2018" s="2" t="s">
        <v>12622</v>
      </c>
      <c r="W2018" s="2" t="s">
        <v>41</v>
      </c>
      <c r="X2018" s="2" t="s">
        <v>12623</v>
      </c>
      <c r="Y2018" s="2" t="s">
        <v>12603</v>
      </c>
      <c r="AA2018" t="str">
        <f t="shared" si="186"/>
        <v>2025-12</v>
      </c>
      <c r="AB2018" t="str">
        <f t="shared" si="187"/>
        <v/>
      </c>
      <c r="AC2018">
        <f t="shared" si="188"/>
        <v>288.7</v>
      </c>
      <c r="AD2018">
        <f t="shared" si="189"/>
        <v>20</v>
      </c>
      <c r="AE2018">
        <f t="shared" si="190"/>
        <v>-109711.3</v>
      </c>
      <c r="AF2018" t="str">
        <f t="shared" si="191"/>
        <v>Sample</v>
      </c>
    </row>
    <row r="2019" spans="1:32" ht="17.25" thickBot="1" x14ac:dyDescent="0.35">
      <c r="A2019" s="2" t="s">
        <v>12624</v>
      </c>
      <c r="B2019" s="2" t="s">
        <v>27</v>
      </c>
      <c r="C2019" s="2" t="s">
        <v>28</v>
      </c>
      <c r="D2019" s="2" t="s">
        <v>97</v>
      </c>
      <c r="E2019" s="2" t="s">
        <v>12574</v>
      </c>
      <c r="F2019" s="2" t="s">
        <v>8445</v>
      </c>
      <c r="G2019" s="2" t="s">
        <v>32</v>
      </c>
      <c r="H2019" s="1"/>
      <c r="I2019" s="2" t="s">
        <v>33</v>
      </c>
      <c r="J2019" s="2" t="s">
        <v>34</v>
      </c>
      <c r="K2019" s="2" t="s">
        <v>11369</v>
      </c>
      <c r="L2019" s="2" t="s">
        <v>11370</v>
      </c>
      <c r="M2019" s="2" t="s">
        <v>8664</v>
      </c>
      <c r="N2019" s="2" t="s">
        <v>38</v>
      </c>
      <c r="O2019" s="2" t="s">
        <v>517</v>
      </c>
      <c r="P2019" s="2" t="s">
        <v>7727</v>
      </c>
      <c r="Q2019" s="2" t="s">
        <v>12625</v>
      </c>
      <c r="R2019" s="2" t="s">
        <v>40</v>
      </c>
      <c r="S2019" s="2" t="s">
        <v>12626</v>
      </c>
      <c r="T2019" s="2" t="s">
        <v>3213</v>
      </c>
      <c r="U2019" s="2" t="s">
        <v>3222</v>
      </c>
      <c r="V2019" s="2" t="s">
        <v>12627</v>
      </c>
      <c r="W2019" s="1"/>
      <c r="X2019" s="2" t="s">
        <v>4450</v>
      </c>
      <c r="Y2019" s="2" t="s">
        <v>12628</v>
      </c>
      <c r="AA2019" t="str">
        <f t="shared" si="186"/>
        <v>2025-12</v>
      </c>
      <c r="AB2019" t="str">
        <f t="shared" si="187"/>
        <v/>
      </c>
      <c r="AC2019">
        <f t="shared" si="188"/>
        <v>803136</v>
      </c>
      <c r="AD2019">
        <f t="shared" si="189"/>
        <v>120</v>
      </c>
      <c r="AE2019">
        <f t="shared" si="190"/>
        <v>179136</v>
      </c>
      <c r="AF2019" t="str">
        <f t="shared" si="191"/>
        <v>Paid</v>
      </c>
    </row>
    <row r="2020" spans="1:32" ht="17.25" thickBot="1" x14ac:dyDescent="0.35">
      <c r="A2020" s="2" t="s">
        <v>12629</v>
      </c>
      <c r="B2020" s="2" t="s">
        <v>27</v>
      </c>
      <c r="C2020" s="2" t="s">
        <v>28</v>
      </c>
      <c r="D2020" s="2" t="s">
        <v>97</v>
      </c>
      <c r="E2020" s="2" t="s">
        <v>12574</v>
      </c>
      <c r="F2020" s="2" t="s">
        <v>8445</v>
      </c>
      <c r="G2020" s="2" t="s">
        <v>32</v>
      </c>
      <c r="H2020" s="1"/>
      <c r="I2020" s="2" t="s">
        <v>33</v>
      </c>
      <c r="J2020" s="2" t="s">
        <v>34</v>
      </c>
      <c r="K2020" s="2" t="s">
        <v>8723</v>
      </c>
      <c r="L2020" s="2" t="s">
        <v>8724</v>
      </c>
      <c r="M2020" s="2" t="s">
        <v>2710</v>
      </c>
      <c r="N2020" s="2" t="s">
        <v>38</v>
      </c>
      <c r="O2020" s="2" t="s">
        <v>500</v>
      </c>
      <c r="P2020" s="2" t="s">
        <v>12630</v>
      </c>
      <c r="Q2020" s="2" t="s">
        <v>12631</v>
      </c>
      <c r="R2020" s="2" t="s">
        <v>40</v>
      </c>
      <c r="S2020" s="2" t="s">
        <v>12632</v>
      </c>
      <c r="T2020" s="2" t="s">
        <v>1700</v>
      </c>
      <c r="U2020" s="2" t="s">
        <v>12633</v>
      </c>
      <c r="V2020" s="2" t="s">
        <v>12634</v>
      </c>
      <c r="W2020" s="1"/>
      <c r="X2020" s="2" t="s">
        <v>2939</v>
      </c>
      <c r="Y2020" s="2" t="s">
        <v>12628</v>
      </c>
      <c r="AA2020" t="str">
        <f t="shared" si="186"/>
        <v>2025-12</v>
      </c>
      <c r="AB2020" t="str">
        <f t="shared" si="187"/>
        <v/>
      </c>
      <c r="AC2020">
        <f t="shared" si="188"/>
        <v>300634.88</v>
      </c>
      <c r="AD2020">
        <f t="shared" si="189"/>
        <v>58</v>
      </c>
      <c r="AE2020">
        <f t="shared" si="190"/>
        <v>79180.34</v>
      </c>
      <c r="AF2020" t="str">
        <f t="shared" si="191"/>
        <v>Paid</v>
      </c>
    </row>
    <row r="2021" spans="1:32" ht="27.75" thickBot="1" x14ac:dyDescent="0.35">
      <c r="A2021" s="2" t="s">
        <v>12635</v>
      </c>
      <c r="B2021" s="2" t="s">
        <v>27</v>
      </c>
      <c r="C2021" s="2" t="s">
        <v>28</v>
      </c>
      <c r="D2021" s="2" t="s">
        <v>97</v>
      </c>
      <c r="E2021" s="2" t="s">
        <v>12574</v>
      </c>
      <c r="F2021" s="2" t="s">
        <v>8445</v>
      </c>
      <c r="G2021" s="2" t="s">
        <v>32</v>
      </c>
      <c r="H2021" s="1"/>
      <c r="I2021" s="2" t="s">
        <v>33</v>
      </c>
      <c r="J2021" s="2" t="s">
        <v>34</v>
      </c>
      <c r="K2021" s="2" t="s">
        <v>12636</v>
      </c>
      <c r="L2021" s="2" t="s">
        <v>12637</v>
      </c>
      <c r="M2021" s="2" t="s">
        <v>12638</v>
      </c>
      <c r="N2021" s="2" t="s">
        <v>38</v>
      </c>
      <c r="O2021" s="2" t="s">
        <v>79</v>
      </c>
      <c r="P2021" s="2" t="s">
        <v>104</v>
      </c>
      <c r="Q2021" s="2" t="s">
        <v>9111</v>
      </c>
      <c r="R2021" s="2" t="s">
        <v>40</v>
      </c>
      <c r="S2021" s="2" t="s">
        <v>12639</v>
      </c>
      <c r="T2021" s="2" t="s">
        <v>2206</v>
      </c>
      <c r="U2021" s="2" t="s">
        <v>6861</v>
      </c>
      <c r="V2021" s="2" t="s">
        <v>12640</v>
      </c>
      <c r="W2021" s="2" t="s">
        <v>41</v>
      </c>
      <c r="X2021" s="2" t="s">
        <v>12641</v>
      </c>
      <c r="Y2021" s="2" t="s">
        <v>12628</v>
      </c>
      <c r="AA2021" t="str">
        <f t="shared" si="186"/>
        <v>2025-12</v>
      </c>
      <c r="AB2021" t="str">
        <f t="shared" si="187"/>
        <v/>
      </c>
      <c r="AC2021">
        <f t="shared" si="188"/>
        <v>142.4</v>
      </c>
      <c r="AD2021">
        <f t="shared" si="189"/>
        <v>10</v>
      </c>
      <c r="AE2021">
        <f t="shared" si="190"/>
        <v>-77857.600000000006</v>
      </c>
      <c r="AF2021" t="str">
        <f t="shared" si="191"/>
        <v>Sample</v>
      </c>
    </row>
    <row r="2022" spans="1:32" ht="27.75" thickBot="1" x14ac:dyDescent="0.35">
      <c r="A2022" s="2" t="s">
        <v>12642</v>
      </c>
      <c r="B2022" s="2" t="s">
        <v>27</v>
      </c>
      <c r="C2022" s="2" t="s">
        <v>28</v>
      </c>
      <c r="D2022" s="2" t="s">
        <v>97</v>
      </c>
      <c r="E2022" s="2" t="s">
        <v>12574</v>
      </c>
      <c r="F2022" s="2" t="s">
        <v>8445</v>
      </c>
      <c r="G2022" s="2" t="s">
        <v>32</v>
      </c>
      <c r="H2022" s="1"/>
      <c r="I2022" s="2" t="s">
        <v>33</v>
      </c>
      <c r="J2022" s="2" t="s">
        <v>34</v>
      </c>
      <c r="K2022" s="2" t="s">
        <v>12643</v>
      </c>
      <c r="L2022" s="2" t="s">
        <v>12644</v>
      </c>
      <c r="M2022" s="2" t="s">
        <v>12638</v>
      </c>
      <c r="N2022" s="2" t="s">
        <v>38</v>
      </c>
      <c r="O2022" s="2" t="s">
        <v>79</v>
      </c>
      <c r="P2022" s="2" t="s">
        <v>104</v>
      </c>
      <c r="Q2022" s="2" t="s">
        <v>9111</v>
      </c>
      <c r="R2022" s="2" t="s">
        <v>40</v>
      </c>
      <c r="S2022" s="2" t="s">
        <v>12639</v>
      </c>
      <c r="T2022" s="2" t="s">
        <v>2206</v>
      </c>
      <c r="U2022" s="2" t="s">
        <v>6861</v>
      </c>
      <c r="V2022" s="2" t="s">
        <v>12640</v>
      </c>
      <c r="W2022" s="2" t="s">
        <v>41</v>
      </c>
      <c r="X2022" s="2" t="s">
        <v>12641</v>
      </c>
      <c r="Y2022" s="2" t="s">
        <v>12628</v>
      </c>
      <c r="AA2022" t="str">
        <f t="shared" si="186"/>
        <v>2025-12</v>
      </c>
      <c r="AB2022" t="str">
        <f t="shared" si="187"/>
        <v/>
      </c>
      <c r="AC2022">
        <f t="shared" si="188"/>
        <v>142.4</v>
      </c>
      <c r="AD2022">
        <f t="shared" si="189"/>
        <v>10</v>
      </c>
      <c r="AE2022">
        <f t="shared" si="190"/>
        <v>-77857.600000000006</v>
      </c>
      <c r="AF2022" t="str">
        <f t="shared" si="191"/>
        <v>Sample</v>
      </c>
    </row>
    <row r="2023" spans="1:32" ht="17.25" thickBot="1" x14ac:dyDescent="0.35">
      <c r="A2023" s="2" t="s">
        <v>12645</v>
      </c>
      <c r="B2023" s="2" t="s">
        <v>27</v>
      </c>
      <c r="C2023" s="2" t="s">
        <v>28</v>
      </c>
      <c r="D2023" s="2" t="s">
        <v>97</v>
      </c>
      <c r="E2023" s="2" t="s">
        <v>12574</v>
      </c>
      <c r="F2023" s="2" t="s">
        <v>8445</v>
      </c>
      <c r="G2023" s="2" t="s">
        <v>32</v>
      </c>
      <c r="H2023" s="1"/>
      <c r="I2023" s="2" t="s">
        <v>33</v>
      </c>
      <c r="J2023" s="2" t="s">
        <v>34</v>
      </c>
      <c r="K2023" s="2" t="s">
        <v>12646</v>
      </c>
      <c r="L2023" s="2" t="s">
        <v>12647</v>
      </c>
      <c r="M2023" s="2" t="s">
        <v>12638</v>
      </c>
      <c r="N2023" s="2" t="s">
        <v>38</v>
      </c>
      <c r="O2023" s="2" t="s">
        <v>79</v>
      </c>
      <c r="P2023" s="2" t="s">
        <v>104</v>
      </c>
      <c r="Q2023" s="2" t="s">
        <v>9111</v>
      </c>
      <c r="R2023" s="2" t="s">
        <v>40</v>
      </c>
      <c r="S2023" s="2" t="s">
        <v>12639</v>
      </c>
      <c r="T2023" s="2" t="s">
        <v>267</v>
      </c>
      <c r="U2023" s="2" t="s">
        <v>6915</v>
      </c>
      <c r="V2023" s="2" t="s">
        <v>12648</v>
      </c>
      <c r="W2023" s="2" t="s">
        <v>41</v>
      </c>
      <c r="X2023" s="2" t="s">
        <v>12649</v>
      </c>
      <c r="Y2023" s="2" t="s">
        <v>12628</v>
      </c>
      <c r="AA2023" t="str">
        <f t="shared" si="186"/>
        <v>2025-12</v>
      </c>
      <c r="AB2023" t="str">
        <f t="shared" si="187"/>
        <v/>
      </c>
      <c r="AC2023">
        <f t="shared" si="188"/>
        <v>142.4</v>
      </c>
      <c r="AD2023">
        <f t="shared" si="189"/>
        <v>10</v>
      </c>
      <c r="AE2023">
        <f t="shared" si="190"/>
        <v>-65857.600000000006</v>
      </c>
      <c r="AF2023" t="str">
        <f t="shared" si="191"/>
        <v>Sample</v>
      </c>
    </row>
    <row r="2024" spans="1:32" ht="17.25" thickBot="1" x14ac:dyDescent="0.35">
      <c r="A2024" s="2" t="s">
        <v>12650</v>
      </c>
      <c r="B2024" s="2" t="s">
        <v>27</v>
      </c>
      <c r="C2024" s="2" t="s">
        <v>28</v>
      </c>
      <c r="D2024" s="2" t="s">
        <v>97</v>
      </c>
      <c r="E2024" s="2" t="s">
        <v>12574</v>
      </c>
      <c r="F2024" s="2" t="s">
        <v>8445</v>
      </c>
      <c r="G2024" s="2" t="s">
        <v>32</v>
      </c>
      <c r="H2024" s="1"/>
      <c r="I2024" s="2" t="s">
        <v>33</v>
      </c>
      <c r="J2024" s="2" t="s">
        <v>34</v>
      </c>
      <c r="K2024" s="2" t="s">
        <v>957</v>
      </c>
      <c r="L2024" s="2" t="s">
        <v>958</v>
      </c>
      <c r="M2024" s="2" t="s">
        <v>772</v>
      </c>
      <c r="N2024" s="2" t="s">
        <v>38</v>
      </c>
      <c r="O2024" s="2" t="s">
        <v>1476</v>
      </c>
      <c r="P2024" s="2" t="s">
        <v>2005</v>
      </c>
      <c r="Q2024" s="2" t="s">
        <v>12651</v>
      </c>
      <c r="R2024" s="2" t="s">
        <v>40</v>
      </c>
      <c r="S2024" s="2" t="s">
        <v>12652</v>
      </c>
      <c r="T2024" s="2" t="s">
        <v>962</v>
      </c>
      <c r="U2024" s="2" t="s">
        <v>12653</v>
      </c>
      <c r="V2024" s="2" t="s">
        <v>12654</v>
      </c>
      <c r="W2024" s="1"/>
      <c r="X2024" s="2" t="s">
        <v>7125</v>
      </c>
      <c r="Y2024" s="2" t="s">
        <v>12628</v>
      </c>
      <c r="AA2024" t="str">
        <f t="shared" si="186"/>
        <v>2025-12</v>
      </c>
      <c r="AB2024" t="str">
        <f t="shared" si="187"/>
        <v/>
      </c>
      <c r="AC2024">
        <f t="shared" si="188"/>
        <v>3517280</v>
      </c>
      <c r="AD2024">
        <f t="shared" si="189"/>
        <v>260</v>
      </c>
      <c r="AE2024">
        <f t="shared" si="190"/>
        <v>753480</v>
      </c>
      <c r="AF2024" t="str">
        <f t="shared" si="191"/>
        <v>Paid</v>
      </c>
    </row>
    <row r="2025" spans="1:32" ht="17.25" thickBot="1" x14ac:dyDescent="0.35">
      <c r="A2025" s="2" t="s">
        <v>12655</v>
      </c>
      <c r="B2025" s="2" t="s">
        <v>27</v>
      </c>
      <c r="C2025" s="2" t="s">
        <v>28</v>
      </c>
      <c r="D2025" s="2" t="s">
        <v>97</v>
      </c>
      <c r="E2025" s="2" t="s">
        <v>12574</v>
      </c>
      <c r="F2025" s="2" t="s">
        <v>8445</v>
      </c>
      <c r="G2025" s="2" t="s">
        <v>32</v>
      </c>
      <c r="H2025" s="1"/>
      <c r="I2025" s="2" t="s">
        <v>33</v>
      </c>
      <c r="J2025" s="2" t="s">
        <v>34</v>
      </c>
      <c r="K2025" s="2" t="s">
        <v>10165</v>
      </c>
      <c r="L2025" s="2" t="s">
        <v>10166</v>
      </c>
      <c r="M2025" s="2" t="s">
        <v>7510</v>
      </c>
      <c r="N2025" s="2" t="s">
        <v>38</v>
      </c>
      <c r="O2025" s="2" t="s">
        <v>378</v>
      </c>
      <c r="P2025" s="2" t="s">
        <v>4560</v>
      </c>
      <c r="Q2025" s="2" t="s">
        <v>12656</v>
      </c>
      <c r="R2025" s="2" t="s">
        <v>40</v>
      </c>
      <c r="S2025" s="2" t="s">
        <v>12657</v>
      </c>
      <c r="T2025" s="2" t="s">
        <v>2101</v>
      </c>
      <c r="U2025" s="2" t="s">
        <v>11079</v>
      </c>
      <c r="V2025" s="2" t="s">
        <v>12658</v>
      </c>
      <c r="W2025" s="1"/>
      <c r="X2025" s="2" t="s">
        <v>897</v>
      </c>
      <c r="Y2025" s="2" t="s">
        <v>12628</v>
      </c>
      <c r="AA2025" t="str">
        <f t="shared" si="186"/>
        <v>2025-12</v>
      </c>
      <c r="AB2025" t="str">
        <f t="shared" si="187"/>
        <v/>
      </c>
      <c r="AC2025">
        <f t="shared" si="188"/>
        <v>410112</v>
      </c>
      <c r="AD2025">
        <f t="shared" si="189"/>
        <v>45</v>
      </c>
      <c r="AE2025">
        <f t="shared" si="190"/>
        <v>86112</v>
      </c>
      <c r="AF2025" t="str">
        <f t="shared" si="191"/>
        <v>Paid</v>
      </c>
    </row>
    <row r="2026" spans="1:32" ht="17.25" thickBot="1" x14ac:dyDescent="0.35">
      <c r="A2026" s="2" t="s">
        <v>12659</v>
      </c>
      <c r="B2026" s="2" t="s">
        <v>27</v>
      </c>
      <c r="C2026" s="2" t="s">
        <v>28</v>
      </c>
      <c r="D2026" s="2" t="s">
        <v>97</v>
      </c>
      <c r="E2026" s="2" t="s">
        <v>12574</v>
      </c>
      <c r="F2026" s="2" t="s">
        <v>8445</v>
      </c>
      <c r="G2026" s="2" t="s">
        <v>32</v>
      </c>
      <c r="H2026" s="1"/>
      <c r="I2026" s="2" t="s">
        <v>33</v>
      </c>
      <c r="J2026" s="2" t="s">
        <v>34</v>
      </c>
      <c r="K2026" s="2" t="s">
        <v>1131</v>
      </c>
      <c r="L2026" s="2" t="s">
        <v>1132</v>
      </c>
      <c r="M2026" s="2" t="s">
        <v>37</v>
      </c>
      <c r="N2026" s="2" t="s">
        <v>38</v>
      </c>
      <c r="O2026" s="2" t="s">
        <v>141</v>
      </c>
      <c r="P2026" s="2" t="s">
        <v>7263</v>
      </c>
      <c r="Q2026" s="2" t="s">
        <v>12660</v>
      </c>
      <c r="R2026" s="2" t="s">
        <v>40</v>
      </c>
      <c r="S2026" s="2" t="s">
        <v>12661</v>
      </c>
      <c r="T2026" s="2" t="s">
        <v>1136</v>
      </c>
      <c r="U2026" s="2" t="s">
        <v>12662</v>
      </c>
      <c r="V2026" s="2" t="s">
        <v>12663</v>
      </c>
      <c r="W2026" s="1"/>
      <c r="X2026" s="2" t="s">
        <v>3176</v>
      </c>
      <c r="Y2026" s="2" t="s">
        <v>12628</v>
      </c>
      <c r="AA2026" t="str">
        <f t="shared" si="186"/>
        <v>2025-12</v>
      </c>
      <c r="AB2026" t="str">
        <f t="shared" si="187"/>
        <v/>
      </c>
      <c r="AC2026">
        <f t="shared" si="188"/>
        <v>153364.79999999999</v>
      </c>
      <c r="AD2026">
        <f t="shared" si="189"/>
        <v>30</v>
      </c>
      <c r="AE2026">
        <f t="shared" si="190"/>
        <v>27364.799999999999</v>
      </c>
      <c r="AF2026" t="str">
        <f t="shared" si="191"/>
        <v>Paid</v>
      </c>
    </row>
    <row r="2027" spans="1:32" ht="17.25" thickBot="1" x14ac:dyDescent="0.35">
      <c r="A2027" s="2" t="s">
        <v>12664</v>
      </c>
      <c r="B2027" s="2" t="s">
        <v>27</v>
      </c>
      <c r="C2027" s="2" t="s">
        <v>28</v>
      </c>
      <c r="D2027" s="2" t="s">
        <v>97</v>
      </c>
      <c r="E2027" s="2" t="s">
        <v>12574</v>
      </c>
      <c r="F2027" s="2" t="s">
        <v>8445</v>
      </c>
      <c r="G2027" s="2" t="s">
        <v>32</v>
      </c>
      <c r="H2027" s="1"/>
      <c r="I2027" s="2" t="s">
        <v>33</v>
      </c>
      <c r="J2027" s="2" t="s">
        <v>34</v>
      </c>
      <c r="K2027" s="2" t="s">
        <v>1205</v>
      </c>
      <c r="L2027" s="2" t="s">
        <v>1206</v>
      </c>
      <c r="M2027" s="2" t="s">
        <v>37</v>
      </c>
      <c r="N2027" s="2" t="s">
        <v>38</v>
      </c>
      <c r="O2027" s="2" t="s">
        <v>214</v>
      </c>
      <c r="P2027" s="2" t="s">
        <v>12665</v>
      </c>
      <c r="Q2027" s="2" t="s">
        <v>3450</v>
      </c>
      <c r="R2027" s="2" t="s">
        <v>40</v>
      </c>
      <c r="S2027" s="2" t="s">
        <v>12666</v>
      </c>
      <c r="T2027" s="2" t="s">
        <v>1210</v>
      </c>
      <c r="U2027" s="2" t="s">
        <v>5521</v>
      </c>
      <c r="V2027" s="2" t="s">
        <v>12667</v>
      </c>
      <c r="W2027" s="1"/>
      <c r="X2027" s="2" t="s">
        <v>9250</v>
      </c>
      <c r="Y2027" s="2" t="s">
        <v>12628</v>
      </c>
      <c r="AA2027" t="str">
        <f t="shared" si="186"/>
        <v>2025-12</v>
      </c>
      <c r="AB2027" t="str">
        <f t="shared" si="187"/>
        <v/>
      </c>
      <c r="AC2027">
        <f t="shared" si="188"/>
        <v>575296</v>
      </c>
      <c r="AD2027">
        <f t="shared" si="189"/>
        <v>50</v>
      </c>
      <c r="AE2027">
        <f t="shared" si="190"/>
        <v>102796</v>
      </c>
      <c r="AF2027" t="str">
        <f t="shared" si="191"/>
        <v>Paid</v>
      </c>
    </row>
    <row r="2028" spans="1:32" ht="17.25" thickBot="1" x14ac:dyDescent="0.35">
      <c r="A2028" s="2" t="s">
        <v>12668</v>
      </c>
      <c r="B2028" s="2" t="s">
        <v>27</v>
      </c>
      <c r="C2028" s="2" t="s">
        <v>28</v>
      </c>
      <c r="D2028" s="2" t="s">
        <v>97</v>
      </c>
      <c r="E2028" s="2" t="s">
        <v>12574</v>
      </c>
      <c r="F2028" s="2" t="s">
        <v>8445</v>
      </c>
      <c r="G2028" s="2" t="s">
        <v>32</v>
      </c>
      <c r="H2028" s="1"/>
      <c r="I2028" s="2" t="s">
        <v>33</v>
      </c>
      <c r="J2028" s="2" t="s">
        <v>34</v>
      </c>
      <c r="K2028" s="2" t="s">
        <v>6745</v>
      </c>
      <c r="L2028" s="2" t="s">
        <v>6746</v>
      </c>
      <c r="M2028" s="2" t="s">
        <v>84</v>
      </c>
      <c r="N2028" s="2" t="s">
        <v>38</v>
      </c>
      <c r="O2028" s="2" t="s">
        <v>156</v>
      </c>
      <c r="P2028" s="2" t="s">
        <v>9694</v>
      </c>
      <c r="Q2028" s="2" t="s">
        <v>12669</v>
      </c>
      <c r="R2028" s="2" t="s">
        <v>40</v>
      </c>
      <c r="S2028" s="2" t="s">
        <v>12670</v>
      </c>
      <c r="T2028" s="2" t="s">
        <v>706</v>
      </c>
      <c r="U2028" s="2" t="s">
        <v>7440</v>
      </c>
      <c r="V2028" s="2" t="s">
        <v>12671</v>
      </c>
      <c r="W2028" s="1"/>
      <c r="X2028" s="2" t="s">
        <v>12672</v>
      </c>
      <c r="Y2028" s="2" t="s">
        <v>12628</v>
      </c>
      <c r="AA2028" t="str">
        <f t="shared" si="186"/>
        <v>2025-12</v>
      </c>
      <c r="AB2028" t="str">
        <f t="shared" si="187"/>
        <v/>
      </c>
      <c r="AC2028">
        <f t="shared" si="188"/>
        <v>259737.60000000001</v>
      </c>
      <c r="AD2028">
        <f t="shared" si="189"/>
        <v>20</v>
      </c>
      <c r="AE2028">
        <f t="shared" si="190"/>
        <v>91737.600000000006</v>
      </c>
      <c r="AF2028" t="str">
        <f t="shared" si="191"/>
        <v>Paid</v>
      </c>
    </row>
    <row r="2029" spans="1:32" ht="17.25" thickBot="1" x14ac:dyDescent="0.35">
      <c r="A2029" s="2" t="s">
        <v>12673</v>
      </c>
      <c r="B2029" s="2" t="s">
        <v>27</v>
      </c>
      <c r="C2029" s="2" t="s">
        <v>28</v>
      </c>
      <c r="D2029" s="2" t="s">
        <v>97</v>
      </c>
      <c r="E2029" s="2" t="s">
        <v>12574</v>
      </c>
      <c r="F2029" s="2" t="s">
        <v>8445</v>
      </c>
      <c r="G2029" s="2" t="s">
        <v>32</v>
      </c>
      <c r="H2029" s="1"/>
      <c r="I2029" s="2" t="s">
        <v>33</v>
      </c>
      <c r="J2029" s="2" t="s">
        <v>34</v>
      </c>
      <c r="K2029" s="2" t="s">
        <v>10051</v>
      </c>
      <c r="L2029" s="2" t="s">
        <v>10052</v>
      </c>
      <c r="M2029" s="2" t="s">
        <v>8178</v>
      </c>
      <c r="N2029" s="2" t="s">
        <v>38</v>
      </c>
      <c r="O2029" s="2" t="s">
        <v>96</v>
      </c>
      <c r="P2029" s="2" t="s">
        <v>12674</v>
      </c>
      <c r="Q2029" s="2" t="s">
        <v>12675</v>
      </c>
      <c r="R2029" s="2" t="s">
        <v>40</v>
      </c>
      <c r="S2029" s="2" t="s">
        <v>12676</v>
      </c>
      <c r="T2029" s="2" t="s">
        <v>2275</v>
      </c>
      <c r="U2029" s="2" t="s">
        <v>11461</v>
      </c>
      <c r="V2029" s="2" t="s">
        <v>12677</v>
      </c>
      <c r="W2029" s="1"/>
      <c r="X2029" s="2" t="s">
        <v>4499</v>
      </c>
      <c r="Y2029" s="2" t="s">
        <v>12628</v>
      </c>
      <c r="AA2029" t="str">
        <f t="shared" si="186"/>
        <v>2025-12</v>
      </c>
      <c r="AB2029" t="str">
        <f t="shared" si="187"/>
        <v/>
      </c>
      <c r="AC2029">
        <f t="shared" si="188"/>
        <v>80940.160000000003</v>
      </c>
      <c r="AD2029">
        <f t="shared" si="189"/>
        <v>14</v>
      </c>
      <c r="AE2029">
        <f t="shared" si="190"/>
        <v>17940.16</v>
      </c>
      <c r="AF2029" t="str">
        <f t="shared" si="191"/>
        <v>Paid</v>
      </c>
    </row>
    <row r="2030" spans="1:32" ht="17.25" thickBot="1" x14ac:dyDescent="0.35">
      <c r="A2030" s="2" t="s">
        <v>12678</v>
      </c>
      <c r="B2030" s="2" t="s">
        <v>27</v>
      </c>
      <c r="C2030" s="2" t="s">
        <v>28</v>
      </c>
      <c r="D2030" s="2" t="s">
        <v>97</v>
      </c>
      <c r="E2030" s="2" t="s">
        <v>12574</v>
      </c>
      <c r="F2030" s="2" t="s">
        <v>8445</v>
      </c>
      <c r="G2030" s="2" t="s">
        <v>32</v>
      </c>
      <c r="H2030" s="1"/>
      <c r="I2030" s="2" t="s">
        <v>33</v>
      </c>
      <c r="J2030" s="2" t="s">
        <v>34</v>
      </c>
      <c r="K2030" s="2" t="s">
        <v>6783</v>
      </c>
      <c r="L2030" s="2" t="s">
        <v>6784</v>
      </c>
      <c r="M2030" s="2" t="s">
        <v>6785</v>
      </c>
      <c r="N2030" s="2" t="s">
        <v>38</v>
      </c>
      <c r="O2030" s="2" t="s">
        <v>378</v>
      </c>
      <c r="P2030" s="2" t="s">
        <v>7061</v>
      </c>
      <c r="Q2030" s="2" t="s">
        <v>12679</v>
      </c>
      <c r="R2030" s="2" t="s">
        <v>40</v>
      </c>
      <c r="S2030" s="2" t="s">
        <v>12680</v>
      </c>
      <c r="T2030" s="2" t="s">
        <v>2383</v>
      </c>
      <c r="U2030" s="2" t="s">
        <v>12681</v>
      </c>
      <c r="V2030" s="2" t="s">
        <v>12682</v>
      </c>
      <c r="W2030" s="1"/>
      <c r="X2030" s="2" t="s">
        <v>5396</v>
      </c>
      <c r="Y2030" s="2" t="s">
        <v>12628</v>
      </c>
      <c r="AA2030" t="str">
        <f t="shared" si="186"/>
        <v>2025-12</v>
      </c>
      <c r="AB2030" t="str">
        <f t="shared" si="187"/>
        <v/>
      </c>
      <c r="AC2030">
        <f t="shared" si="188"/>
        <v>264650.40000000002</v>
      </c>
      <c r="AD2030">
        <f t="shared" si="189"/>
        <v>45</v>
      </c>
      <c r="AE2030">
        <f t="shared" si="190"/>
        <v>43741.31</v>
      </c>
      <c r="AF2030" t="str">
        <f t="shared" si="191"/>
        <v>Paid</v>
      </c>
    </row>
    <row r="2031" spans="1:32" ht="17.25" thickBot="1" x14ac:dyDescent="0.35">
      <c r="A2031" s="2" t="s">
        <v>12683</v>
      </c>
      <c r="B2031" s="2" t="s">
        <v>27</v>
      </c>
      <c r="C2031" s="2" t="s">
        <v>28</v>
      </c>
      <c r="D2031" s="2" t="s">
        <v>97</v>
      </c>
      <c r="E2031" s="2" t="s">
        <v>12574</v>
      </c>
      <c r="F2031" s="2" t="s">
        <v>8445</v>
      </c>
      <c r="G2031" s="2" t="s">
        <v>32</v>
      </c>
      <c r="H2031" s="1"/>
      <c r="I2031" s="2" t="s">
        <v>33</v>
      </c>
      <c r="J2031" s="2" t="s">
        <v>34</v>
      </c>
      <c r="K2031" s="2" t="s">
        <v>6802</v>
      </c>
      <c r="L2031" s="2" t="s">
        <v>6803</v>
      </c>
      <c r="M2031" s="2" t="s">
        <v>6785</v>
      </c>
      <c r="N2031" s="2" t="s">
        <v>38</v>
      </c>
      <c r="O2031" s="2" t="s">
        <v>214</v>
      </c>
      <c r="P2031" s="2" t="s">
        <v>12599</v>
      </c>
      <c r="Q2031" s="2" t="s">
        <v>12684</v>
      </c>
      <c r="R2031" s="2" t="s">
        <v>40</v>
      </c>
      <c r="S2031" s="2" t="s">
        <v>12685</v>
      </c>
      <c r="T2031" s="2" t="s">
        <v>12686</v>
      </c>
      <c r="U2031" s="2" t="s">
        <v>12687</v>
      </c>
      <c r="V2031" s="2" t="s">
        <v>12688</v>
      </c>
      <c r="W2031" s="1"/>
      <c r="X2031" s="2" t="s">
        <v>1052</v>
      </c>
      <c r="Y2031" s="2" t="s">
        <v>12628</v>
      </c>
      <c r="AA2031" t="str">
        <f t="shared" si="186"/>
        <v>2025-12</v>
      </c>
      <c r="AB2031" t="str">
        <f t="shared" si="187"/>
        <v/>
      </c>
      <c r="AC2031">
        <f t="shared" si="188"/>
        <v>392312</v>
      </c>
      <c r="AD2031">
        <f t="shared" si="189"/>
        <v>50</v>
      </c>
      <c r="AE2031">
        <f t="shared" si="190"/>
        <v>99112</v>
      </c>
      <c r="AF2031" t="str">
        <f t="shared" si="191"/>
        <v>Paid</v>
      </c>
    </row>
    <row r="2032" spans="1:32" ht="17.25" thickBot="1" x14ac:dyDescent="0.35">
      <c r="A2032" s="2" t="s">
        <v>12689</v>
      </c>
      <c r="B2032" s="2" t="s">
        <v>27</v>
      </c>
      <c r="C2032" s="2" t="s">
        <v>28</v>
      </c>
      <c r="D2032" s="2" t="s">
        <v>97</v>
      </c>
      <c r="E2032" s="2" t="s">
        <v>12574</v>
      </c>
      <c r="F2032" s="2" t="s">
        <v>8445</v>
      </c>
      <c r="G2032" s="2" t="s">
        <v>32</v>
      </c>
      <c r="H2032" s="1"/>
      <c r="I2032" s="2" t="s">
        <v>33</v>
      </c>
      <c r="J2032" s="2" t="s">
        <v>34</v>
      </c>
      <c r="K2032" s="2" t="s">
        <v>6879</v>
      </c>
      <c r="L2032" s="2" t="s">
        <v>6880</v>
      </c>
      <c r="M2032" s="2" t="s">
        <v>4544</v>
      </c>
      <c r="N2032" s="2" t="s">
        <v>38</v>
      </c>
      <c r="O2032" s="2" t="s">
        <v>428</v>
      </c>
      <c r="P2032" s="2" t="s">
        <v>12288</v>
      </c>
      <c r="Q2032" s="2" t="s">
        <v>12690</v>
      </c>
      <c r="R2032" s="2" t="s">
        <v>40</v>
      </c>
      <c r="S2032" s="2" t="s">
        <v>12691</v>
      </c>
      <c r="T2032" s="2" t="s">
        <v>6883</v>
      </c>
      <c r="U2032" s="2" t="s">
        <v>12692</v>
      </c>
      <c r="V2032" s="2" t="s">
        <v>12693</v>
      </c>
      <c r="W2032" s="1"/>
      <c r="X2032" s="2" t="s">
        <v>2429</v>
      </c>
      <c r="Y2032" s="2" t="s">
        <v>12628</v>
      </c>
      <c r="AA2032" t="str">
        <f t="shared" si="186"/>
        <v>2025-12</v>
      </c>
      <c r="AB2032" t="str">
        <f t="shared" si="187"/>
        <v/>
      </c>
      <c r="AC2032">
        <f t="shared" si="188"/>
        <v>2018520</v>
      </c>
      <c r="AD2032">
        <f t="shared" si="189"/>
        <v>250</v>
      </c>
      <c r="AE2032">
        <f t="shared" si="190"/>
        <v>493520</v>
      </c>
      <c r="AF2032" t="str">
        <f t="shared" si="191"/>
        <v>Paid</v>
      </c>
    </row>
    <row r="2033" spans="1:32" ht="17.25" thickBot="1" x14ac:dyDescent="0.35">
      <c r="A2033" s="2" t="s">
        <v>12694</v>
      </c>
      <c r="B2033" s="2" t="s">
        <v>27</v>
      </c>
      <c r="C2033" s="2" t="s">
        <v>28</v>
      </c>
      <c r="D2033" s="2" t="s">
        <v>97</v>
      </c>
      <c r="E2033" s="2" t="s">
        <v>12574</v>
      </c>
      <c r="F2033" s="2" t="s">
        <v>8445</v>
      </c>
      <c r="G2033" s="2" t="s">
        <v>32</v>
      </c>
      <c r="H2033" s="1"/>
      <c r="I2033" s="2" t="s">
        <v>33</v>
      </c>
      <c r="J2033" s="2" t="s">
        <v>34</v>
      </c>
      <c r="K2033" s="2" t="s">
        <v>6888</v>
      </c>
      <c r="L2033" s="2" t="s">
        <v>6889</v>
      </c>
      <c r="M2033" s="2" t="s">
        <v>4544</v>
      </c>
      <c r="N2033" s="2" t="s">
        <v>38</v>
      </c>
      <c r="O2033" s="2" t="s">
        <v>206</v>
      </c>
      <c r="P2033" s="2" t="s">
        <v>1175</v>
      </c>
      <c r="Q2033" s="2" t="s">
        <v>12695</v>
      </c>
      <c r="R2033" s="2" t="s">
        <v>40</v>
      </c>
      <c r="S2033" s="2" t="s">
        <v>12696</v>
      </c>
      <c r="T2033" s="2" t="s">
        <v>6652</v>
      </c>
      <c r="U2033" s="2" t="s">
        <v>12060</v>
      </c>
      <c r="V2033" s="2" t="s">
        <v>12697</v>
      </c>
      <c r="W2033" s="1"/>
      <c r="X2033" s="2" t="s">
        <v>9891</v>
      </c>
      <c r="Y2033" s="2" t="s">
        <v>12628</v>
      </c>
      <c r="AA2033" t="str">
        <f t="shared" si="186"/>
        <v>2025-12</v>
      </c>
      <c r="AB2033" t="str">
        <f t="shared" si="187"/>
        <v/>
      </c>
      <c r="AC2033">
        <f t="shared" si="188"/>
        <v>4464240</v>
      </c>
      <c r="AD2033">
        <f t="shared" si="189"/>
        <v>500</v>
      </c>
      <c r="AE2033">
        <f t="shared" si="190"/>
        <v>1214240</v>
      </c>
      <c r="AF2033" t="str">
        <f t="shared" si="191"/>
        <v>Paid</v>
      </c>
    </row>
    <row r="2034" spans="1:32" ht="17.25" thickBot="1" x14ac:dyDescent="0.35">
      <c r="A2034" s="2" t="s">
        <v>12698</v>
      </c>
      <c r="B2034" s="2" t="s">
        <v>27</v>
      </c>
      <c r="C2034" s="2" t="s">
        <v>28</v>
      </c>
      <c r="D2034" s="2" t="s">
        <v>97</v>
      </c>
      <c r="E2034" s="2" t="s">
        <v>12574</v>
      </c>
      <c r="F2034" s="2" t="s">
        <v>8445</v>
      </c>
      <c r="G2034" s="2" t="s">
        <v>32</v>
      </c>
      <c r="H2034" s="1"/>
      <c r="I2034" s="2" t="s">
        <v>33</v>
      </c>
      <c r="J2034" s="2" t="s">
        <v>34</v>
      </c>
      <c r="K2034" s="2" t="s">
        <v>12699</v>
      </c>
      <c r="L2034" s="2" t="s">
        <v>12700</v>
      </c>
      <c r="M2034" s="2" t="s">
        <v>5102</v>
      </c>
      <c r="N2034" s="2" t="s">
        <v>38</v>
      </c>
      <c r="O2034" s="2" t="s">
        <v>710</v>
      </c>
      <c r="P2034" s="2" t="s">
        <v>12701</v>
      </c>
      <c r="Q2034" s="2" t="s">
        <v>12702</v>
      </c>
      <c r="R2034" s="2" t="s">
        <v>40</v>
      </c>
      <c r="S2034" s="2" t="s">
        <v>12703</v>
      </c>
      <c r="T2034" s="2" t="s">
        <v>12704</v>
      </c>
      <c r="U2034" s="2" t="s">
        <v>12705</v>
      </c>
      <c r="V2034" s="2" t="s">
        <v>12706</v>
      </c>
      <c r="W2034" s="1"/>
      <c r="X2034" s="2" t="s">
        <v>258</v>
      </c>
      <c r="Y2034" s="2" t="s">
        <v>12628</v>
      </c>
      <c r="AA2034" t="str">
        <f t="shared" si="186"/>
        <v>2025-12</v>
      </c>
      <c r="AB2034" t="str">
        <f t="shared" si="187"/>
        <v/>
      </c>
      <c r="AC2034">
        <f t="shared" si="188"/>
        <v>390005.12</v>
      </c>
      <c r="AD2034">
        <f t="shared" si="189"/>
        <v>82</v>
      </c>
      <c r="AE2034">
        <f t="shared" si="190"/>
        <v>76929.119999999995</v>
      </c>
      <c r="AF2034" t="str">
        <f t="shared" si="191"/>
        <v>Paid</v>
      </c>
    </row>
    <row r="2035" spans="1:32" ht="17.25" thickBot="1" x14ac:dyDescent="0.35">
      <c r="A2035" s="2" t="s">
        <v>12707</v>
      </c>
      <c r="B2035" s="2" t="s">
        <v>27</v>
      </c>
      <c r="C2035" s="2" t="s">
        <v>28</v>
      </c>
      <c r="D2035" s="2" t="s">
        <v>97</v>
      </c>
      <c r="E2035" s="2" t="s">
        <v>12708</v>
      </c>
      <c r="F2035" s="2" t="s">
        <v>8445</v>
      </c>
      <c r="G2035" s="2" t="s">
        <v>32</v>
      </c>
      <c r="H2035" s="1"/>
      <c r="I2035" s="2" t="s">
        <v>33</v>
      </c>
      <c r="J2035" s="2" t="s">
        <v>34</v>
      </c>
      <c r="K2035" s="2" t="s">
        <v>6203</v>
      </c>
      <c r="L2035" s="2" t="s">
        <v>6204</v>
      </c>
      <c r="M2035" s="2" t="s">
        <v>6146</v>
      </c>
      <c r="N2035" s="2" t="s">
        <v>38</v>
      </c>
      <c r="O2035" s="2" t="s">
        <v>378</v>
      </c>
      <c r="P2035" s="2" t="s">
        <v>12709</v>
      </c>
      <c r="Q2035" s="2" t="s">
        <v>12710</v>
      </c>
      <c r="R2035" s="2" t="s">
        <v>40</v>
      </c>
      <c r="S2035" s="2" t="s">
        <v>12711</v>
      </c>
      <c r="T2035" s="2" t="s">
        <v>6208</v>
      </c>
      <c r="U2035" s="2" t="s">
        <v>12712</v>
      </c>
      <c r="V2035" s="2" t="s">
        <v>12713</v>
      </c>
      <c r="W2035" s="1"/>
      <c r="X2035" s="2" t="s">
        <v>3661</v>
      </c>
      <c r="Y2035" s="2" t="s">
        <v>12714</v>
      </c>
      <c r="AA2035" t="str">
        <f t="shared" si="186"/>
        <v>2025-11</v>
      </c>
      <c r="AB2035" t="str">
        <f t="shared" si="187"/>
        <v/>
      </c>
      <c r="AC2035">
        <f t="shared" si="188"/>
        <v>547369.88</v>
      </c>
      <c r="AD2035">
        <f t="shared" si="189"/>
        <v>45</v>
      </c>
      <c r="AE2035">
        <f t="shared" si="190"/>
        <v>146051.69</v>
      </c>
      <c r="AF2035" t="str">
        <f t="shared" si="191"/>
        <v>Paid</v>
      </c>
    </row>
    <row r="2036" spans="1:32" ht="17.25" thickBot="1" x14ac:dyDescent="0.35">
      <c r="A2036" s="2" t="s">
        <v>12715</v>
      </c>
      <c r="B2036" s="2" t="s">
        <v>27</v>
      </c>
      <c r="C2036" s="2" t="s">
        <v>28</v>
      </c>
      <c r="D2036" s="2" t="s">
        <v>97</v>
      </c>
      <c r="E2036" s="2" t="s">
        <v>12708</v>
      </c>
      <c r="F2036" s="2" t="s">
        <v>8445</v>
      </c>
      <c r="G2036" s="2" t="s">
        <v>32</v>
      </c>
      <c r="H2036" s="1"/>
      <c r="I2036" s="2" t="s">
        <v>33</v>
      </c>
      <c r="J2036" s="2" t="s">
        <v>34</v>
      </c>
      <c r="K2036" s="2" t="s">
        <v>6262</v>
      </c>
      <c r="L2036" s="2" t="s">
        <v>6263</v>
      </c>
      <c r="M2036" s="2" t="s">
        <v>6146</v>
      </c>
      <c r="N2036" s="2" t="s">
        <v>38</v>
      </c>
      <c r="O2036" s="2" t="s">
        <v>149</v>
      </c>
      <c r="P2036" s="2" t="s">
        <v>1068</v>
      </c>
      <c r="Q2036" s="2" t="s">
        <v>12716</v>
      </c>
      <c r="R2036" s="2" t="s">
        <v>40</v>
      </c>
      <c r="S2036" s="2" t="s">
        <v>12717</v>
      </c>
      <c r="T2036" s="2" t="s">
        <v>6267</v>
      </c>
      <c r="U2036" s="2" t="s">
        <v>12718</v>
      </c>
      <c r="V2036" s="2" t="s">
        <v>12719</v>
      </c>
      <c r="W2036" s="1"/>
      <c r="X2036" s="2" t="s">
        <v>6320</v>
      </c>
      <c r="Y2036" s="2" t="s">
        <v>12714</v>
      </c>
      <c r="AA2036" t="str">
        <f t="shared" si="186"/>
        <v>2025-11</v>
      </c>
      <c r="AB2036" t="str">
        <f t="shared" si="187"/>
        <v/>
      </c>
      <c r="AC2036">
        <f t="shared" si="188"/>
        <v>2975446.5</v>
      </c>
      <c r="AD2036">
        <f t="shared" si="189"/>
        <v>300</v>
      </c>
      <c r="AE2036">
        <f t="shared" si="190"/>
        <v>1039082.88</v>
      </c>
      <c r="AF2036" t="str">
        <f t="shared" si="191"/>
        <v>Paid</v>
      </c>
    </row>
    <row r="2037" spans="1:32" ht="17.25" thickBot="1" x14ac:dyDescent="0.35">
      <c r="A2037" s="2" t="s">
        <v>12720</v>
      </c>
      <c r="B2037" s="2" t="s">
        <v>27</v>
      </c>
      <c r="C2037" s="2" t="s">
        <v>28</v>
      </c>
      <c r="D2037" s="2" t="s">
        <v>97</v>
      </c>
      <c r="E2037" s="2" t="s">
        <v>12708</v>
      </c>
      <c r="F2037" s="2" t="s">
        <v>8445</v>
      </c>
      <c r="G2037" s="2" t="s">
        <v>32</v>
      </c>
      <c r="H2037" s="1"/>
      <c r="I2037" s="2" t="s">
        <v>33</v>
      </c>
      <c r="J2037" s="2" t="s">
        <v>34</v>
      </c>
      <c r="K2037" s="2" t="s">
        <v>754</v>
      </c>
      <c r="L2037" s="2" t="s">
        <v>755</v>
      </c>
      <c r="M2037" s="2" t="s">
        <v>701</v>
      </c>
      <c r="N2037" s="2" t="s">
        <v>38</v>
      </c>
      <c r="O2037" s="2" t="s">
        <v>2642</v>
      </c>
      <c r="P2037" s="2" t="s">
        <v>861</v>
      </c>
      <c r="Q2037" s="2" t="s">
        <v>12721</v>
      </c>
      <c r="R2037" s="2" t="s">
        <v>40</v>
      </c>
      <c r="S2037" s="2" t="s">
        <v>12722</v>
      </c>
      <c r="T2037" s="2" t="s">
        <v>759</v>
      </c>
      <c r="U2037" s="2" t="s">
        <v>12723</v>
      </c>
      <c r="V2037" s="2" t="s">
        <v>12724</v>
      </c>
      <c r="W2037" s="1"/>
      <c r="X2037" s="2" t="s">
        <v>1693</v>
      </c>
      <c r="Y2037" s="2" t="s">
        <v>12714</v>
      </c>
      <c r="AA2037" t="str">
        <f t="shared" si="186"/>
        <v>2025-11</v>
      </c>
      <c r="AB2037" t="str">
        <f t="shared" si="187"/>
        <v/>
      </c>
      <c r="AC2037">
        <f t="shared" si="188"/>
        <v>5094678.4000000004</v>
      </c>
      <c r="AD2037">
        <f t="shared" si="189"/>
        <v>560</v>
      </c>
      <c r="AE2037">
        <f t="shared" si="190"/>
        <v>861078.4</v>
      </c>
      <c r="AF2037" t="str">
        <f t="shared" si="191"/>
        <v>Paid</v>
      </c>
    </row>
    <row r="2038" spans="1:32" ht="27.75" thickBot="1" x14ac:dyDescent="0.35">
      <c r="A2038" s="2" t="s">
        <v>12725</v>
      </c>
      <c r="B2038" s="2" t="s">
        <v>27</v>
      </c>
      <c r="C2038" s="2" t="s">
        <v>28</v>
      </c>
      <c r="D2038" s="2" t="s">
        <v>97</v>
      </c>
      <c r="E2038" s="2" t="s">
        <v>12708</v>
      </c>
      <c r="F2038" s="2" t="s">
        <v>8445</v>
      </c>
      <c r="G2038" s="2" t="s">
        <v>32</v>
      </c>
      <c r="H2038" s="1"/>
      <c r="I2038" s="2" t="s">
        <v>33</v>
      </c>
      <c r="J2038" s="2" t="s">
        <v>34</v>
      </c>
      <c r="K2038" s="2" t="s">
        <v>12726</v>
      </c>
      <c r="L2038" s="2" t="s">
        <v>12727</v>
      </c>
      <c r="M2038" s="2" t="s">
        <v>48</v>
      </c>
      <c r="N2038" s="2" t="s">
        <v>38</v>
      </c>
      <c r="O2038" s="2" t="s">
        <v>748</v>
      </c>
      <c r="P2038" s="2" t="s">
        <v>12728</v>
      </c>
      <c r="Q2038" s="2" t="s">
        <v>12729</v>
      </c>
      <c r="R2038" s="2" t="s">
        <v>40</v>
      </c>
      <c r="S2038" s="2" t="s">
        <v>12730</v>
      </c>
      <c r="T2038" s="2" t="s">
        <v>2455</v>
      </c>
      <c r="U2038" s="2" t="s">
        <v>12731</v>
      </c>
      <c r="V2038" s="2" t="s">
        <v>12732</v>
      </c>
      <c r="W2038" s="1"/>
      <c r="X2038" s="2" t="s">
        <v>8384</v>
      </c>
      <c r="Y2038" s="2" t="s">
        <v>12714</v>
      </c>
      <c r="AA2038" t="str">
        <f t="shared" si="186"/>
        <v>2025-11</v>
      </c>
      <c r="AB2038" t="str">
        <f t="shared" si="187"/>
        <v/>
      </c>
      <c r="AC2038">
        <f t="shared" si="188"/>
        <v>2140248.6</v>
      </c>
      <c r="AD2038">
        <f t="shared" si="189"/>
        <v>280</v>
      </c>
      <c r="AE2038">
        <f t="shared" si="190"/>
        <v>928613</v>
      </c>
      <c r="AF2038" t="str">
        <f t="shared" si="191"/>
        <v>Paid</v>
      </c>
    </row>
    <row r="2039" spans="1:32" ht="27.75" thickBot="1" x14ac:dyDescent="0.35">
      <c r="A2039" s="2" t="s">
        <v>12733</v>
      </c>
      <c r="B2039" s="2" t="s">
        <v>27</v>
      </c>
      <c r="C2039" s="2" t="s">
        <v>28</v>
      </c>
      <c r="D2039" s="2" t="s">
        <v>97</v>
      </c>
      <c r="E2039" s="2" t="s">
        <v>12708</v>
      </c>
      <c r="F2039" s="2" t="s">
        <v>8445</v>
      </c>
      <c r="G2039" s="2" t="s">
        <v>32</v>
      </c>
      <c r="H2039" s="1"/>
      <c r="I2039" s="2" t="s">
        <v>33</v>
      </c>
      <c r="J2039" s="2" t="s">
        <v>34</v>
      </c>
      <c r="K2039" s="2" t="s">
        <v>12734</v>
      </c>
      <c r="L2039" s="2" t="s">
        <v>12735</v>
      </c>
      <c r="M2039" s="2" t="s">
        <v>48</v>
      </c>
      <c r="N2039" s="2" t="s">
        <v>38</v>
      </c>
      <c r="O2039" s="2" t="s">
        <v>748</v>
      </c>
      <c r="P2039" s="2" t="s">
        <v>12728</v>
      </c>
      <c r="Q2039" s="2" t="s">
        <v>12729</v>
      </c>
      <c r="R2039" s="2" t="s">
        <v>40</v>
      </c>
      <c r="S2039" s="2" t="s">
        <v>12730</v>
      </c>
      <c r="T2039" s="2" t="s">
        <v>2455</v>
      </c>
      <c r="U2039" s="2" t="s">
        <v>12731</v>
      </c>
      <c r="V2039" s="2" t="s">
        <v>12732</v>
      </c>
      <c r="W2039" s="1"/>
      <c r="X2039" s="2" t="s">
        <v>8384</v>
      </c>
      <c r="Y2039" s="2" t="s">
        <v>12714</v>
      </c>
      <c r="AA2039" t="str">
        <f t="shared" si="186"/>
        <v>2025-11</v>
      </c>
      <c r="AB2039" t="str">
        <f t="shared" si="187"/>
        <v/>
      </c>
      <c r="AC2039">
        <f t="shared" si="188"/>
        <v>2140248.6</v>
      </c>
      <c r="AD2039">
        <f t="shared" si="189"/>
        <v>280</v>
      </c>
      <c r="AE2039">
        <f t="shared" si="190"/>
        <v>928613</v>
      </c>
      <c r="AF2039" t="str">
        <f t="shared" si="191"/>
        <v>Paid</v>
      </c>
    </row>
    <row r="2040" spans="1:32" ht="17.25" thickBot="1" x14ac:dyDescent="0.35">
      <c r="A2040" s="2" t="s">
        <v>12736</v>
      </c>
      <c r="B2040" s="2" t="s">
        <v>27</v>
      </c>
      <c r="C2040" s="2" t="s">
        <v>28</v>
      </c>
      <c r="D2040" s="2" t="s">
        <v>97</v>
      </c>
      <c r="E2040" s="2" t="s">
        <v>12708</v>
      </c>
      <c r="F2040" s="2" t="s">
        <v>8445</v>
      </c>
      <c r="G2040" s="2" t="s">
        <v>32</v>
      </c>
      <c r="H2040" s="1"/>
      <c r="I2040" s="2" t="s">
        <v>33</v>
      </c>
      <c r="J2040" s="2" t="s">
        <v>34</v>
      </c>
      <c r="K2040" s="2" t="s">
        <v>12699</v>
      </c>
      <c r="L2040" s="2" t="s">
        <v>12700</v>
      </c>
      <c r="M2040" s="2" t="s">
        <v>5102</v>
      </c>
      <c r="N2040" s="2" t="s">
        <v>38</v>
      </c>
      <c r="O2040" s="2" t="s">
        <v>26</v>
      </c>
      <c r="P2040" s="2" t="s">
        <v>12701</v>
      </c>
      <c r="Q2040" s="2" t="s">
        <v>12701</v>
      </c>
      <c r="R2040" s="2" t="s">
        <v>40</v>
      </c>
      <c r="S2040" s="2" t="s">
        <v>12737</v>
      </c>
      <c r="T2040" s="2" t="s">
        <v>12704</v>
      </c>
      <c r="U2040" s="2" t="s">
        <v>12704</v>
      </c>
      <c r="V2040" s="2" t="s">
        <v>12738</v>
      </c>
      <c r="W2040" s="1"/>
      <c r="X2040" s="2" t="s">
        <v>827</v>
      </c>
      <c r="Y2040" s="2" t="s">
        <v>12714</v>
      </c>
      <c r="AA2040" t="str">
        <f t="shared" si="186"/>
        <v>2025-11</v>
      </c>
      <c r="AB2040" t="str">
        <f t="shared" si="187"/>
        <v/>
      </c>
      <c r="AC2040">
        <f t="shared" si="188"/>
        <v>4807.93</v>
      </c>
      <c r="AD2040">
        <f t="shared" si="189"/>
        <v>1</v>
      </c>
      <c r="AE2040">
        <f t="shared" si="190"/>
        <v>989.93</v>
      </c>
      <c r="AF2040" t="str">
        <f t="shared" si="191"/>
        <v>Paid</v>
      </c>
    </row>
    <row r="2041" spans="1:32" ht="17.25" thickBot="1" x14ac:dyDescent="0.35">
      <c r="A2041" s="2" t="s">
        <v>12739</v>
      </c>
      <c r="B2041" s="2" t="s">
        <v>27</v>
      </c>
      <c r="C2041" s="2" t="s">
        <v>28</v>
      </c>
      <c r="D2041" s="2" t="s">
        <v>97</v>
      </c>
      <c r="E2041" s="2" t="s">
        <v>12708</v>
      </c>
      <c r="F2041" s="2" t="s">
        <v>8445</v>
      </c>
      <c r="G2041" s="2" t="s">
        <v>32</v>
      </c>
      <c r="H2041" s="1"/>
      <c r="I2041" s="2" t="s">
        <v>33</v>
      </c>
      <c r="J2041" s="2" t="s">
        <v>34</v>
      </c>
      <c r="K2041" s="2" t="s">
        <v>12740</v>
      </c>
      <c r="L2041" s="2" t="s">
        <v>12741</v>
      </c>
      <c r="M2041" s="2" t="s">
        <v>5102</v>
      </c>
      <c r="N2041" s="2" t="s">
        <v>38</v>
      </c>
      <c r="O2041" s="2" t="s">
        <v>63</v>
      </c>
      <c r="P2041" s="2" t="s">
        <v>10861</v>
      </c>
      <c r="Q2041" s="2" t="s">
        <v>12742</v>
      </c>
      <c r="R2041" s="2" t="s">
        <v>40</v>
      </c>
      <c r="S2041" s="2" t="s">
        <v>12743</v>
      </c>
      <c r="T2041" s="2" t="s">
        <v>12744</v>
      </c>
      <c r="U2041" s="2" t="s">
        <v>12745</v>
      </c>
      <c r="V2041" s="2" t="s">
        <v>12746</v>
      </c>
      <c r="W2041" s="1"/>
      <c r="X2041" s="2" t="s">
        <v>12747</v>
      </c>
      <c r="Y2041" s="2" t="s">
        <v>12714</v>
      </c>
      <c r="AA2041" t="str">
        <f t="shared" si="186"/>
        <v>2025-11</v>
      </c>
      <c r="AB2041" t="str">
        <f t="shared" si="187"/>
        <v/>
      </c>
      <c r="AC2041">
        <f t="shared" si="188"/>
        <v>82325.009999999995</v>
      </c>
      <c r="AD2041">
        <f t="shared" si="189"/>
        <v>7</v>
      </c>
      <c r="AE2041">
        <f t="shared" si="190"/>
        <v>53053.01</v>
      </c>
      <c r="AF2041" t="str">
        <f t="shared" si="191"/>
        <v>Paid</v>
      </c>
    </row>
    <row r="2042" spans="1:32" ht="17.25" thickBot="1" x14ac:dyDescent="0.35">
      <c r="A2042" s="2" t="s">
        <v>12748</v>
      </c>
      <c r="B2042" s="2" t="s">
        <v>27</v>
      </c>
      <c r="C2042" s="2" t="s">
        <v>28</v>
      </c>
      <c r="D2042" s="2" t="s">
        <v>97</v>
      </c>
      <c r="E2042" s="2" t="s">
        <v>12708</v>
      </c>
      <c r="F2042" s="2" t="s">
        <v>8445</v>
      </c>
      <c r="G2042" s="2" t="s">
        <v>32</v>
      </c>
      <c r="H2042" s="1"/>
      <c r="I2042" s="2" t="s">
        <v>33</v>
      </c>
      <c r="J2042" s="2" t="s">
        <v>34</v>
      </c>
      <c r="K2042" s="2" t="s">
        <v>2440</v>
      </c>
      <c r="L2042" s="2" t="s">
        <v>2441</v>
      </c>
      <c r="M2042" s="2" t="s">
        <v>2389</v>
      </c>
      <c r="N2042" s="2" t="s">
        <v>38</v>
      </c>
      <c r="O2042" s="2" t="s">
        <v>156</v>
      </c>
      <c r="P2042" s="2" t="s">
        <v>2262</v>
      </c>
      <c r="Q2042" s="2" t="s">
        <v>12749</v>
      </c>
      <c r="R2042" s="2" t="s">
        <v>40</v>
      </c>
      <c r="S2042" s="2" t="s">
        <v>12750</v>
      </c>
      <c r="T2042" s="2" t="s">
        <v>5434</v>
      </c>
      <c r="U2042" s="2" t="s">
        <v>11257</v>
      </c>
      <c r="V2042" s="2" t="s">
        <v>12751</v>
      </c>
      <c r="W2042" s="1"/>
      <c r="X2042" s="2" t="s">
        <v>12752</v>
      </c>
      <c r="Y2042" s="2" t="s">
        <v>12753</v>
      </c>
      <c r="AA2042" t="str">
        <f t="shared" si="186"/>
        <v>2025-11</v>
      </c>
      <c r="AB2042" t="str">
        <f t="shared" si="187"/>
        <v/>
      </c>
      <c r="AC2042">
        <f t="shared" si="188"/>
        <v>197781.6</v>
      </c>
      <c r="AD2042">
        <f t="shared" si="189"/>
        <v>20</v>
      </c>
      <c r="AE2042">
        <f t="shared" si="190"/>
        <v>101781.6</v>
      </c>
      <c r="AF2042" t="str">
        <f t="shared" si="191"/>
        <v>Paid</v>
      </c>
    </row>
    <row r="2043" spans="1:32" ht="17.25" thickBot="1" x14ac:dyDescent="0.35">
      <c r="A2043" s="2" t="s">
        <v>12754</v>
      </c>
      <c r="B2043" s="2" t="s">
        <v>27</v>
      </c>
      <c r="C2043" s="2" t="s">
        <v>28</v>
      </c>
      <c r="D2043" s="2" t="s">
        <v>97</v>
      </c>
      <c r="E2043" s="2" t="s">
        <v>12708</v>
      </c>
      <c r="F2043" s="2" t="s">
        <v>8445</v>
      </c>
      <c r="G2043" s="2" t="s">
        <v>32</v>
      </c>
      <c r="H2043" s="1"/>
      <c r="I2043" s="2" t="s">
        <v>33</v>
      </c>
      <c r="J2043" s="2" t="s">
        <v>34</v>
      </c>
      <c r="K2043" s="2" t="s">
        <v>2640</v>
      </c>
      <c r="L2043" s="2" t="s">
        <v>2641</v>
      </c>
      <c r="M2043" s="2" t="s">
        <v>2631</v>
      </c>
      <c r="N2043" s="2" t="s">
        <v>38</v>
      </c>
      <c r="O2043" s="2" t="s">
        <v>214</v>
      </c>
      <c r="P2043" s="2" t="s">
        <v>12755</v>
      </c>
      <c r="Q2043" s="2" t="s">
        <v>12756</v>
      </c>
      <c r="R2043" s="2" t="s">
        <v>40</v>
      </c>
      <c r="S2043" s="2" t="s">
        <v>12757</v>
      </c>
      <c r="T2043" s="2" t="s">
        <v>2635</v>
      </c>
      <c r="U2043" s="2" t="s">
        <v>12758</v>
      </c>
      <c r="V2043" s="2" t="s">
        <v>12759</v>
      </c>
      <c r="W2043" s="1"/>
      <c r="X2043" s="2" t="s">
        <v>5030</v>
      </c>
      <c r="Y2043" s="2" t="s">
        <v>12753</v>
      </c>
      <c r="AA2043" t="str">
        <f t="shared" si="186"/>
        <v>2025-11</v>
      </c>
      <c r="AB2043" t="str">
        <f t="shared" si="187"/>
        <v/>
      </c>
      <c r="AC2043">
        <f t="shared" si="188"/>
        <v>219279.6</v>
      </c>
      <c r="AD2043">
        <f t="shared" si="189"/>
        <v>50</v>
      </c>
      <c r="AE2043">
        <f t="shared" si="190"/>
        <v>42006.879999999997</v>
      </c>
      <c r="AF2043" t="str">
        <f t="shared" si="191"/>
        <v>Paid</v>
      </c>
    </row>
    <row r="2044" spans="1:32" ht="17.25" thickBot="1" x14ac:dyDescent="0.35">
      <c r="A2044" s="2" t="s">
        <v>12760</v>
      </c>
      <c r="B2044" s="2" t="s">
        <v>27</v>
      </c>
      <c r="C2044" s="2" t="s">
        <v>28</v>
      </c>
      <c r="D2044" s="2" t="s">
        <v>97</v>
      </c>
      <c r="E2044" s="2" t="s">
        <v>12708</v>
      </c>
      <c r="F2044" s="2" t="s">
        <v>8445</v>
      </c>
      <c r="G2044" s="2" t="s">
        <v>32</v>
      </c>
      <c r="H2044" s="1"/>
      <c r="I2044" s="2" t="s">
        <v>33</v>
      </c>
      <c r="J2044" s="2" t="s">
        <v>34</v>
      </c>
      <c r="K2044" s="2" t="s">
        <v>2647</v>
      </c>
      <c r="L2044" s="2" t="s">
        <v>2648</v>
      </c>
      <c r="M2044" s="2" t="s">
        <v>2631</v>
      </c>
      <c r="N2044" s="2" t="s">
        <v>38</v>
      </c>
      <c r="O2044" s="2" t="s">
        <v>79</v>
      </c>
      <c r="P2044" s="2" t="s">
        <v>3718</v>
      </c>
      <c r="Q2044" s="2" t="s">
        <v>12761</v>
      </c>
      <c r="R2044" s="2" t="s">
        <v>40</v>
      </c>
      <c r="S2044" s="2" t="s">
        <v>12762</v>
      </c>
      <c r="T2044" s="2" t="s">
        <v>2651</v>
      </c>
      <c r="U2044" s="2" t="s">
        <v>12763</v>
      </c>
      <c r="V2044" s="2" t="s">
        <v>12764</v>
      </c>
      <c r="W2044" s="1"/>
      <c r="X2044" s="2" t="s">
        <v>5779</v>
      </c>
      <c r="Y2044" s="2" t="s">
        <v>12753</v>
      </c>
      <c r="AA2044" t="str">
        <f t="shared" si="186"/>
        <v>2025-11</v>
      </c>
      <c r="AB2044" t="str">
        <f t="shared" si="187"/>
        <v/>
      </c>
      <c r="AC2044">
        <f t="shared" si="188"/>
        <v>64350.68</v>
      </c>
      <c r="AD2044">
        <f t="shared" si="189"/>
        <v>10</v>
      </c>
      <c r="AE2044">
        <f t="shared" si="190"/>
        <v>17550.68</v>
      </c>
      <c r="AF2044" t="str">
        <f t="shared" si="191"/>
        <v>Paid</v>
      </c>
    </row>
    <row r="2045" spans="1:32" ht="27.75" thickBot="1" x14ac:dyDescent="0.35">
      <c r="A2045" s="2" t="s">
        <v>12765</v>
      </c>
      <c r="B2045" s="2" t="s">
        <v>27</v>
      </c>
      <c r="C2045" s="2" t="s">
        <v>28</v>
      </c>
      <c r="D2045" s="2" t="s">
        <v>97</v>
      </c>
      <c r="E2045" s="2" t="s">
        <v>12708</v>
      </c>
      <c r="F2045" s="2" t="s">
        <v>8445</v>
      </c>
      <c r="G2045" s="2" t="s">
        <v>32</v>
      </c>
      <c r="H2045" s="1"/>
      <c r="I2045" s="2" t="s">
        <v>33</v>
      </c>
      <c r="J2045" s="2" t="s">
        <v>34</v>
      </c>
      <c r="K2045" s="2" t="s">
        <v>12575</v>
      </c>
      <c r="L2045" s="2" t="s">
        <v>12576</v>
      </c>
      <c r="M2045" s="2" t="s">
        <v>1887</v>
      </c>
      <c r="N2045" s="2" t="s">
        <v>38</v>
      </c>
      <c r="O2045" s="2" t="s">
        <v>141</v>
      </c>
      <c r="P2045" s="2" t="s">
        <v>104</v>
      </c>
      <c r="Q2045" s="2" t="s">
        <v>142</v>
      </c>
      <c r="R2045" s="2" t="s">
        <v>40</v>
      </c>
      <c r="S2045" s="2" t="s">
        <v>12766</v>
      </c>
      <c r="T2045" s="2" t="s">
        <v>12578</v>
      </c>
      <c r="U2045" s="2" t="s">
        <v>12579</v>
      </c>
      <c r="V2045" s="2" t="s">
        <v>12767</v>
      </c>
      <c r="W2045" s="2" t="s">
        <v>41</v>
      </c>
      <c r="X2045" s="2" t="s">
        <v>12768</v>
      </c>
      <c r="Y2045" s="2" t="s">
        <v>12753</v>
      </c>
      <c r="AA2045" t="str">
        <f t="shared" si="186"/>
        <v>2025-11</v>
      </c>
      <c r="AB2045" t="str">
        <f t="shared" si="187"/>
        <v/>
      </c>
      <c r="AC2045">
        <f t="shared" si="188"/>
        <v>429.96</v>
      </c>
      <c r="AD2045">
        <f t="shared" si="189"/>
        <v>30</v>
      </c>
      <c r="AE2045">
        <f t="shared" si="190"/>
        <v>-238220.04</v>
      </c>
      <c r="AF2045" t="str">
        <f t="shared" si="191"/>
        <v>Sample</v>
      </c>
    </row>
    <row r="2046" spans="1:32" ht="27.75" thickBot="1" x14ac:dyDescent="0.35">
      <c r="A2046" s="2" t="s">
        <v>12769</v>
      </c>
      <c r="B2046" s="2" t="s">
        <v>27</v>
      </c>
      <c r="C2046" s="2" t="s">
        <v>28</v>
      </c>
      <c r="D2046" s="2" t="s">
        <v>97</v>
      </c>
      <c r="E2046" s="2" t="s">
        <v>12708</v>
      </c>
      <c r="F2046" s="2" t="s">
        <v>8445</v>
      </c>
      <c r="G2046" s="2" t="s">
        <v>32</v>
      </c>
      <c r="H2046" s="1"/>
      <c r="I2046" s="2" t="s">
        <v>33</v>
      </c>
      <c r="J2046" s="2" t="s">
        <v>34</v>
      </c>
      <c r="K2046" s="2" t="s">
        <v>12770</v>
      </c>
      <c r="L2046" s="2" t="s">
        <v>12771</v>
      </c>
      <c r="M2046" s="2" t="s">
        <v>1887</v>
      </c>
      <c r="N2046" s="2" t="s">
        <v>38</v>
      </c>
      <c r="O2046" s="2" t="s">
        <v>156</v>
      </c>
      <c r="P2046" s="2" t="s">
        <v>104</v>
      </c>
      <c r="Q2046" s="2" t="s">
        <v>12620</v>
      </c>
      <c r="R2046" s="2" t="s">
        <v>40</v>
      </c>
      <c r="S2046" s="2" t="s">
        <v>12772</v>
      </c>
      <c r="T2046" s="2" t="s">
        <v>12578</v>
      </c>
      <c r="U2046" s="2" t="s">
        <v>12773</v>
      </c>
      <c r="V2046" s="2" t="s">
        <v>12774</v>
      </c>
      <c r="W2046" s="2" t="s">
        <v>41</v>
      </c>
      <c r="X2046" s="2" t="s">
        <v>12768</v>
      </c>
      <c r="Y2046" s="2" t="s">
        <v>12753</v>
      </c>
      <c r="AA2046" t="str">
        <f t="shared" si="186"/>
        <v>2025-11</v>
      </c>
      <c r="AB2046" t="str">
        <f t="shared" si="187"/>
        <v/>
      </c>
      <c r="AC2046">
        <f t="shared" si="188"/>
        <v>286.64</v>
      </c>
      <c r="AD2046">
        <f t="shared" si="189"/>
        <v>20</v>
      </c>
      <c r="AE2046">
        <f t="shared" si="190"/>
        <v>-158813.35999999999</v>
      </c>
      <c r="AF2046" t="str">
        <f t="shared" si="191"/>
        <v>Sample</v>
      </c>
    </row>
    <row r="2047" spans="1:32" ht="27.75" thickBot="1" x14ac:dyDescent="0.35">
      <c r="A2047" s="2" t="s">
        <v>12775</v>
      </c>
      <c r="B2047" s="2" t="s">
        <v>27</v>
      </c>
      <c r="C2047" s="2" t="s">
        <v>28</v>
      </c>
      <c r="D2047" s="2" t="s">
        <v>97</v>
      </c>
      <c r="E2047" s="2" t="s">
        <v>12708</v>
      </c>
      <c r="F2047" s="2" t="s">
        <v>8445</v>
      </c>
      <c r="G2047" s="2" t="s">
        <v>32</v>
      </c>
      <c r="H2047" s="1"/>
      <c r="I2047" s="2" t="s">
        <v>33</v>
      </c>
      <c r="J2047" s="2" t="s">
        <v>34</v>
      </c>
      <c r="K2047" s="2" t="s">
        <v>12776</v>
      </c>
      <c r="L2047" s="2" t="s">
        <v>12777</v>
      </c>
      <c r="M2047" s="2" t="s">
        <v>1887</v>
      </c>
      <c r="N2047" s="2" t="s">
        <v>38</v>
      </c>
      <c r="O2047" s="2" t="s">
        <v>156</v>
      </c>
      <c r="P2047" s="2" t="s">
        <v>104</v>
      </c>
      <c r="Q2047" s="2" t="s">
        <v>12620</v>
      </c>
      <c r="R2047" s="2" t="s">
        <v>40</v>
      </c>
      <c r="S2047" s="2" t="s">
        <v>12772</v>
      </c>
      <c r="T2047" s="2" t="s">
        <v>12578</v>
      </c>
      <c r="U2047" s="2" t="s">
        <v>12773</v>
      </c>
      <c r="V2047" s="2" t="s">
        <v>12774</v>
      </c>
      <c r="W2047" s="2" t="s">
        <v>41</v>
      </c>
      <c r="X2047" s="2" t="s">
        <v>12768</v>
      </c>
      <c r="Y2047" s="2" t="s">
        <v>12753</v>
      </c>
      <c r="AA2047" t="str">
        <f t="shared" si="186"/>
        <v>2025-11</v>
      </c>
      <c r="AB2047" t="str">
        <f t="shared" si="187"/>
        <v/>
      </c>
      <c r="AC2047">
        <f t="shared" si="188"/>
        <v>286.64</v>
      </c>
      <c r="AD2047">
        <f t="shared" si="189"/>
        <v>20</v>
      </c>
      <c r="AE2047">
        <f t="shared" si="190"/>
        <v>-158813.35999999999</v>
      </c>
      <c r="AF2047" t="str">
        <f t="shared" si="191"/>
        <v>Sample</v>
      </c>
    </row>
    <row r="2048" spans="1:32" ht="17.25" thickBot="1" x14ac:dyDescent="0.35">
      <c r="A2048" s="2" t="s">
        <v>12778</v>
      </c>
      <c r="B2048" s="2" t="s">
        <v>27</v>
      </c>
      <c r="C2048" s="2" t="s">
        <v>28</v>
      </c>
      <c r="D2048" s="2" t="s">
        <v>97</v>
      </c>
      <c r="E2048" s="2" t="s">
        <v>12708</v>
      </c>
      <c r="F2048" s="2" t="s">
        <v>8445</v>
      </c>
      <c r="G2048" s="2" t="s">
        <v>32</v>
      </c>
      <c r="H2048" s="1"/>
      <c r="I2048" s="2" t="s">
        <v>33</v>
      </c>
      <c r="J2048" s="2" t="s">
        <v>34</v>
      </c>
      <c r="K2048" s="2" t="s">
        <v>2678</v>
      </c>
      <c r="L2048" s="2" t="s">
        <v>2679</v>
      </c>
      <c r="M2048" s="2" t="s">
        <v>2680</v>
      </c>
      <c r="N2048" s="2" t="s">
        <v>38</v>
      </c>
      <c r="O2048" s="2" t="s">
        <v>156</v>
      </c>
      <c r="P2048" s="2" t="s">
        <v>4337</v>
      </c>
      <c r="Q2048" s="2" t="s">
        <v>12779</v>
      </c>
      <c r="R2048" s="2" t="s">
        <v>40</v>
      </c>
      <c r="S2048" s="2" t="s">
        <v>12780</v>
      </c>
      <c r="T2048" s="2" t="s">
        <v>2684</v>
      </c>
      <c r="U2048" s="2" t="s">
        <v>11491</v>
      </c>
      <c r="V2048" s="2" t="s">
        <v>12781</v>
      </c>
      <c r="W2048" s="1"/>
      <c r="X2048" s="2" t="s">
        <v>2697</v>
      </c>
      <c r="Y2048" s="2" t="s">
        <v>12753</v>
      </c>
      <c r="AA2048" t="str">
        <f t="shared" si="186"/>
        <v>2025-11</v>
      </c>
      <c r="AB2048" t="str">
        <f t="shared" si="187"/>
        <v/>
      </c>
      <c r="AC2048">
        <f t="shared" si="188"/>
        <v>185169.44</v>
      </c>
      <c r="AD2048">
        <f t="shared" si="189"/>
        <v>20</v>
      </c>
      <c r="AE2048">
        <f t="shared" si="190"/>
        <v>75169.440000000002</v>
      </c>
      <c r="AF2048" t="str">
        <f t="shared" si="191"/>
        <v>Paid</v>
      </c>
    </row>
    <row r="2049" spans="1:32" ht="17.25" thickBot="1" x14ac:dyDescent="0.35">
      <c r="A2049" s="2" t="s">
        <v>12782</v>
      </c>
      <c r="B2049" s="2" t="s">
        <v>27</v>
      </c>
      <c r="C2049" s="2" t="s">
        <v>28</v>
      </c>
      <c r="D2049" s="2" t="s">
        <v>97</v>
      </c>
      <c r="E2049" s="2" t="s">
        <v>12708</v>
      </c>
      <c r="F2049" s="2" t="s">
        <v>8445</v>
      </c>
      <c r="G2049" s="2" t="s">
        <v>32</v>
      </c>
      <c r="H2049" s="1"/>
      <c r="I2049" s="2" t="s">
        <v>33</v>
      </c>
      <c r="J2049" s="2" t="s">
        <v>34</v>
      </c>
      <c r="K2049" s="2" t="s">
        <v>3885</v>
      </c>
      <c r="L2049" s="2" t="s">
        <v>3886</v>
      </c>
      <c r="M2049" s="2" t="s">
        <v>701</v>
      </c>
      <c r="N2049" s="2" t="s">
        <v>38</v>
      </c>
      <c r="O2049" s="2" t="s">
        <v>362</v>
      </c>
      <c r="P2049" s="2" t="s">
        <v>12783</v>
      </c>
      <c r="Q2049" s="2" t="s">
        <v>12784</v>
      </c>
      <c r="R2049" s="2" t="s">
        <v>40</v>
      </c>
      <c r="S2049" s="2" t="s">
        <v>12785</v>
      </c>
      <c r="T2049" s="2" t="s">
        <v>706</v>
      </c>
      <c r="U2049" s="2" t="s">
        <v>12786</v>
      </c>
      <c r="V2049" s="2" t="s">
        <v>12787</v>
      </c>
      <c r="W2049" s="1"/>
      <c r="X2049" s="2" t="s">
        <v>5396</v>
      </c>
      <c r="Y2049" s="2" t="s">
        <v>12753</v>
      </c>
      <c r="AA2049" t="str">
        <f t="shared" si="186"/>
        <v>2025-11</v>
      </c>
      <c r="AB2049" t="str">
        <f t="shared" si="187"/>
        <v/>
      </c>
      <c r="AC2049">
        <f t="shared" si="188"/>
        <v>3219540.48</v>
      </c>
      <c r="AD2049">
        <f t="shared" si="189"/>
        <v>320</v>
      </c>
      <c r="AE2049">
        <f t="shared" si="190"/>
        <v>531540.47999999998</v>
      </c>
      <c r="AF2049" t="str">
        <f t="shared" si="191"/>
        <v>Paid</v>
      </c>
    </row>
    <row r="2050" spans="1:32" ht="17.25" thickBot="1" x14ac:dyDescent="0.35">
      <c r="A2050" s="2" t="s">
        <v>12788</v>
      </c>
      <c r="B2050" s="2" t="s">
        <v>27</v>
      </c>
      <c r="C2050" s="2" t="s">
        <v>28</v>
      </c>
      <c r="D2050" s="2" t="s">
        <v>97</v>
      </c>
      <c r="E2050" s="2" t="s">
        <v>12708</v>
      </c>
      <c r="F2050" s="2" t="s">
        <v>8445</v>
      </c>
      <c r="G2050" s="2" t="s">
        <v>32</v>
      </c>
      <c r="H2050" s="1"/>
      <c r="I2050" s="2" t="s">
        <v>33</v>
      </c>
      <c r="J2050" s="2" t="s">
        <v>34</v>
      </c>
      <c r="K2050" s="2" t="s">
        <v>3895</v>
      </c>
      <c r="L2050" s="2" t="s">
        <v>3896</v>
      </c>
      <c r="M2050" s="2" t="s">
        <v>701</v>
      </c>
      <c r="N2050" s="2" t="s">
        <v>38</v>
      </c>
      <c r="O2050" s="2" t="s">
        <v>4038</v>
      </c>
      <c r="P2050" s="2" t="s">
        <v>1105</v>
      </c>
      <c r="Q2050" s="2" t="s">
        <v>12789</v>
      </c>
      <c r="R2050" s="2" t="s">
        <v>40</v>
      </c>
      <c r="S2050" s="2" t="s">
        <v>12790</v>
      </c>
      <c r="T2050" s="2" t="s">
        <v>1444</v>
      </c>
      <c r="U2050" s="2" t="s">
        <v>12791</v>
      </c>
      <c r="V2050" s="2" t="s">
        <v>12792</v>
      </c>
      <c r="W2050" s="1"/>
      <c r="X2050" s="2" t="s">
        <v>5396</v>
      </c>
      <c r="Y2050" s="2" t="s">
        <v>12753</v>
      </c>
      <c r="AA2050" t="str">
        <f t="shared" si="186"/>
        <v>2025-11</v>
      </c>
      <c r="AB2050" t="str">
        <f t="shared" si="187"/>
        <v/>
      </c>
      <c r="AC2050">
        <f t="shared" si="188"/>
        <v>9803088</v>
      </c>
      <c r="AD2050">
        <f t="shared" si="189"/>
        <v>1500</v>
      </c>
      <c r="AE2050">
        <f t="shared" si="190"/>
        <v>1613088</v>
      </c>
      <c r="AF2050" t="str">
        <f t="shared" si="191"/>
        <v>Paid</v>
      </c>
    </row>
    <row r="2051" spans="1:32" ht="17.25" thickBot="1" x14ac:dyDescent="0.35">
      <c r="A2051" s="2" t="s">
        <v>12793</v>
      </c>
      <c r="B2051" s="2" t="s">
        <v>27</v>
      </c>
      <c r="C2051" s="2" t="s">
        <v>28</v>
      </c>
      <c r="D2051" s="2" t="s">
        <v>97</v>
      </c>
      <c r="E2051" s="2" t="s">
        <v>12708</v>
      </c>
      <c r="F2051" s="2" t="s">
        <v>8445</v>
      </c>
      <c r="G2051" s="2" t="s">
        <v>32</v>
      </c>
      <c r="H2051" s="1"/>
      <c r="I2051" s="2" t="s">
        <v>33</v>
      </c>
      <c r="J2051" s="2" t="s">
        <v>34</v>
      </c>
      <c r="K2051" s="2" t="s">
        <v>746</v>
      </c>
      <c r="L2051" s="2" t="s">
        <v>747</v>
      </c>
      <c r="M2051" s="2" t="s">
        <v>701</v>
      </c>
      <c r="N2051" s="2" t="s">
        <v>38</v>
      </c>
      <c r="O2051" s="2" t="s">
        <v>177</v>
      </c>
      <c r="P2051" s="2" t="s">
        <v>12794</v>
      </c>
      <c r="Q2051" s="2" t="s">
        <v>12795</v>
      </c>
      <c r="R2051" s="2" t="s">
        <v>40</v>
      </c>
      <c r="S2051" s="2" t="s">
        <v>12796</v>
      </c>
      <c r="T2051" s="2" t="s">
        <v>716</v>
      </c>
      <c r="U2051" s="2" t="s">
        <v>8282</v>
      </c>
      <c r="V2051" s="2" t="s">
        <v>12797</v>
      </c>
      <c r="W2051" s="1"/>
      <c r="X2051" s="2" t="s">
        <v>3216</v>
      </c>
      <c r="Y2051" s="2" t="s">
        <v>12753</v>
      </c>
      <c r="AA2051" t="str">
        <f t="shared" si="186"/>
        <v>2025-11</v>
      </c>
      <c r="AB2051" t="str">
        <f t="shared" si="187"/>
        <v/>
      </c>
      <c r="AC2051">
        <f t="shared" si="188"/>
        <v>4832750.4000000004</v>
      </c>
      <c r="AD2051">
        <f t="shared" si="189"/>
        <v>400</v>
      </c>
      <c r="AE2051">
        <f t="shared" si="190"/>
        <v>800750.4</v>
      </c>
      <c r="AF2051" t="str">
        <f t="shared" si="191"/>
        <v>Paid</v>
      </c>
    </row>
    <row r="2052" spans="1:32" ht="17.25" thickBot="1" x14ac:dyDescent="0.35">
      <c r="A2052" s="2" t="s">
        <v>12798</v>
      </c>
      <c r="B2052" s="2" t="s">
        <v>27</v>
      </c>
      <c r="C2052" s="2" t="s">
        <v>28</v>
      </c>
      <c r="D2052" s="2" t="s">
        <v>97</v>
      </c>
      <c r="E2052" s="2" t="s">
        <v>12708</v>
      </c>
      <c r="F2052" s="2" t="s">
        <v>8445</v>
      </c>
      <c r="G2052" s="2" t="s">
        <v>32</v>
      </c>
      <c r="H2052" s="1"/>
      <c r="I2052" s="2" t="s">
        <v>33</v>
      </c>
      <c r="J2052" s="2" t="s">
        <v>34</v>
      </c>
      <c r="K2052" s="2" t="s">
        <v>3986</v>
      </c>
      <c r="L2052" s="2" t="s">
        <v>3987</v>
      </c>
      <c r="M2052" s="2" t="s">
        <v>701</v>
      </c>
      <c r="N2052" s="2" t="s">
        <v>38</v>
      </c>
      <c r="O2052" s="2" t="s">
        <v>114</v>
      </c>
      <c r="P2052" s="2" t="s">
        <v>4750</v>
      </c>
      <c r="Q2052" s="2" t="s">
        <v>12799</v>
      </c>
      <c r="R2052" s="2" t="s">
        <v>40</v>
      </c>
      <c r="S2052" s="2" t="s">
        <v>12800</v>
      </c>
      <c r="T2052" s="2" t="s">
        <v>726</v>
      </c>
      <c r="U2052" s="2" t="s">
        <v>12801</v>
      </c>
      <c r="V2052" s="2" t="s">
        <v>12802</v>
      </c>
      <c r="W2052" s="1"/>
      <c r="X2052" s="2" t="s">
        <v>3216</v>
      </c>
      <c r="Y2052" s="2" t="s">
        <v>12753</v>
      </c>
      <c r="AA2052" t="str">
        <f t="shared" ref="AA2052:AA2115" si="192">LEFT(E2052,7)</f>
        <v>2025-11</v>
      </c>
      <c r="AB2052" t="str">
        <f t="shared" ref="AB2052:AB2115" si="193">IF(AND($AA2052&gt;="2025-01",$AA2052&lt;="2025-06"),"H1_2025",IF(AND($AA2052&gt;="2026-01",$AA2052&lt;="2026-06"),"H1_2026",""))</f>
        <v/>
      </c>
      <c r="AC2052">
        <f t="shared" ref="AC2052:AC2115" si="194">IFERROR(VALUE(SUBSTITUTE(S2052,",","")),0)</f>
        <v>2053488.96</v>
      </c>
      <c r="AD2052">
        <f t="shared" ref="AD2052:AD2115" si="195">IFERROR(VALUE(SUBSTITUTE(O2052,",","")),0)</f>
        <v>240</v>
      </c>
      <c r="AE2052">
        <f t="shared" ref="AE2052:AE2115" si="196">IFERROR(VALUE(SUBSTITUTE(V2052,",","")),0)</f>
        <v>339888.96</v>
      </c>
      <c r="AF2052" t="str">
        <f t="shared" ref="AF2052:AF2115" si="197">IF(ISNUMBER(SEARCH("FOC",W2052)),"FOC",IF(ISNUMBER(SEARCH("샘플",W2052)),"Sample","Paid"))</f>
        <v>Paid</v>
      </c>
    </row>
    <row r="2053" spans="1:32" ht="17.25" thickBot="1" x14ac:dyDescent="0.35">
      <c r="A2053" s="2" t="s">
        <v>12803</v>
      </c>
      <c r="B2053" s="2" t="s">
        <v>27</v>
      </c>
      <c r="C2053" s="2" t="s">
        <v>28</v>
      </c>
      <c r="D2053" s="2" t="s">
        <v>97</v>
      </c>
      <c r="E2053" s="2" t="s">
        <v>12708</v>
      </c>
      <c r="F2053" s="2" t="s">
        <v>8445</v>
      </c>
      <c r="G2053" s="2" t="s">
        <v>32</v>
      </c>
      <c r="H2053" s="1"/>
      <c r="I2053" s="2" t="s">
        <v>33</v>
      </c>
      <c r="J2053" s="2" t="s">
        <v>34</v>
      </c>
      <c r="K2053" s="2" t="s">
        <v>770</v>
      </c>
      <c r="L2053" s="2" t="s">
        <v>771</v>
      </c>
      <c r="M2053" s="2" t="s">
        <v>772</v>
      </c>
      <c r="N2053" s="2" t="s">
        <v>38</v>
      </c>
      <c r="O2053" s="2" t="s">
        <v>391</v>
      </c>
      <c r="P2053" s="2" t="s">
        <v>2711</v>
      </c>
      <c r="Q2053" s="2" t="s">
        <v>3545</v>
      </c>
      <c r="R2053" s="2" t="s">
        <v>40</v>
      </c>
      <c r="S2053" s="2" t="s">
        <v>12804</v>
      </c>
      <c r="T2053" s="2" t="s">
        <v>2684</v>
      </c>
      <c r="U2053" s="2" t="s">
        <v>4497</v>
      </c>
      <c r="V2053" s="2" t="s">
        <v>12805</v>
      </c>
      <c r="W2053" s="1"/>
      <c r="X2053" s="2" t="s">
        <v>4499</v>
      </c>
      <c r="Y2053" s="2" t="s">
        <v>12753</v>
      </c>
      <c r="AA2053" t="str">
        <f t="shared" si="192"/>
        <v>2025-11</v>
      </c>
      <c r="AB2053" t="str">
        <f t="shared" si="193"/>
        <v/>
      </c>
      <c r="AC2053">
        <f t="shared" si="194"/>
        <v>423940.56</v>
      </c>
      <c r="AD2053">
        <f t="shared" si="195"/>
        <v>60</v>
      </c>
      <c r="AE2053">
        <f t="shared" si="196"/>
        <v>93940.56</v>
      </c>
      <c r="AF2053" t="str">
        <f t="shared" si="197"/>
        <v>Paid</v>
      </c>
    </row>
    <row r="2054" spans="1:32" ht="17.25" thickBot="1" x14ac:dyDescent="0.35">
      <c r="A2054" s="2" t="s">
        <v>12806</v>
      </c>
      <c r="B2054" s="2" t="s">
        <v>27</v>
      </c>
      <c r="C2054" s="2" t="s">
        <v>28</v>
      </c>
      <c r="D2054" s="2" t="s">
        <v>97</v>
      </c>
      <c r="E2054" s="2" t="s">
        <v>12708</v>
      </c>
      <c r="F2054" s="2" t="s">
        <v>8445</v>
      </c>
      <c r="G2054" s="2" t="s">
        <v>32</v>
      </c>
      <c r="H2054" s="1"/>
      <c r="I2054" s="2" t="s">
        <v>33</v>
      </c>
      <c r="J2054" s="2" t="s">
        <v>34</v>
      </c>
      <c r="K2054" s="2" t="s">
        <v>819</v>
      </c>
      <c r="L2054" s="2" t="s">
        <v>820</v>
      </c>
      <c r="M2054" s="2" t="s">
        <v>772</v>
      </c>
      <c r="N2054" s="2" t="s">
        <v>38</v>
      </c>
      <c r="O2054" s="2" t="s">
        <v>362</v>
      </c>
      <c r="P2054" s="2" t="s">
        <v>12807</v>
      </c>
      <c r="Q2054" s="2" t="s">
        <v>12808</v>
      </c>
      <c r="R2054" s="2" t="s">
        <v>40</v>
      </c>
      <c r="S2054" s="2" t="s">
        <v>12809</v>
      </c>
      <c r="T2054" s="2" t="s">
        <v>12077</v>
      </c>
      <c r="U2054" s="2" t="s">
        <v>12810</v>
      </c>
      <c r="V2054" s="2" t="s">
        <v>12811</v>
      </c>
      <c r="W2054" s="1"/>
      <c r="X2054" s="2" t="s">
        <v>4450</v>
      </c>
      <c r="Y2054" s="2" t="s">
        <v>12753</v>
      </c>
      <c r="AA2054" t="str">
        <f t="shared" si="192"/>
        <v>2025-11</v>
      </c>
      <c r="AB2054" t="str">
        <f t="shared" si="193"/>
        <v/>
      </c>
      <c r="AC2054">
        <f t="shared" si="194"/>
        <v>2637088</v>
      </c>
      <c r="AD2054">
        <f t="shared" si="195"/>
        <v>320</v>
      </c>
      <c r="AE2054">
        <f t="shared" si="196"/>
        <v>589088</v>
      </c>
      <c r="AF2054" t="str">
        <f t="shared" si="197"/>
        <v>Paid</v>
      </c>
    </row>
    <row r="2055" spans="1:32" ht="17.25" thickBot="1" x14ac:dyDescent="0.35">
      <c r="A2055" s="2" t="s">
        <v>12812</v>
      </c>
      <c r="B2055" s="2" t="s">
        <v>27</v>
      </c>
      <c r="C2055" s="2" t="s">
        <v>28</v>
      </c>
      <c r="D2055" s="2" t="s">
        <v>97</v>
      </c>
      <c r="E2055" s="2" t="s">
        <v>12708</v>
      </c>
      <c r="F2055" s="2" t="s">
        <v>8445</v>
      </c>
      <c r="G2055" s="2" t="s">
        <v>32</v>
      </c>
      <c r="H2055" s="1"/>
      <c r="I2055" s="2" t="s">
        <v>33</v>
      </c>
      <c r="J2055" s="2" t="s">
        <v>34</v>
      </c>
      <c r="K2055" s="2" t="s">
        <v>12813</v>
      </c>
      <c r="L2055" s="2" t="s">
        <v>12814</v>
      </c>
      <c r="M2055" s="2" t="s">
        <v>7510</v>
      </c>
      <c r="N2055" s="2" t="s">
        <v>38</v>
      </c>
      <c r="O2055" s="2" t="s">
        <v>549</v>
      </c>
      <c r="P2055" s="2" t="s">
        <v>12815</v>
      </c>
      <c r="Q2055" s="2" t="s">
        <v>12816</v>
      </c>
      <c r="R2055" s="2" t="s">
        <v>40</v>
      </c>
      <c r="S2055" s="2" t="s">
        <v>12817</v>
      </c>
      <c r="T2055" s="2" t="s">
        <v>2275</v>
      </c>
      <c r="U2055" s="2" t="s">
        <v>10794</v>
      </c>
      <c r="V2055" s="2" t="s">
        <v>12818</v>
      </c>
      <c r="W2055" s="1"/>
      <c r="X2055" s="2" t="s">
        <v>7047</v>
      </c>
      <c r="Y2055" s="2" t="s">
        <v>12753</v>
      </c>
      <c r="AA2055" t="str">
        <f t="shared" si="192"/>
        <v>2025-11</v>
      </c>
      <c r="AB2055" t="str">
        <f t="shared" si="193"/>
        <v/>
      </c>
      <c r="AC2055">
        <f t="shared" si="194"/>
        <v>366899.20000000001</v>
      </c>
      <c r="AD2055">
        <f t="shared" si="195"/>
        <v>64</v>
      </c>
      <c r="AE2055">
        <f t="shared" si="196"/>
        <v>78899.199999999997</v>
      </c>
      <c r="AF2055" t="str">
        <f t="shared" si="197"/>
        <v>Paid</v>
      </c>
    </row>
    <row r="2056" spans="1:32" ht="17.25" thickBot="1" x14ac:dyDescent="0.35">
      <c r="A2056" s="2" t="s">
        <v>12819</v>
      </c>
      <c r="B2056" s="2" t="s">
        <v>27</v>
      </c>
      <c r="C2056" s="2" t="s">
        <v>28</v>
      </c>
      <c r="D2056" s="2" t="s">
        <v>97</v>
      </c>
      <c r="E2056" s="2" t="s">
        <v>12708</v>
      </c>
      <c r="F2056" s="2" t="s">
        <v>8445</v>
      </c>
      <c r="G2056" s="2" t="s">
        <v>32</v>
      </c>
      <c r="H2056" s="1"/>
      <c r="I2056" s="2" t="s">
        <v>33</v>
      </c>
      <c r="J2056" s="2" t="s">
        <v>34</v>
      </c>
      <c r="K2056" s="2" t="s">
        <v>11083</v>
      </c>
      <c r="L2056" s="2" t="s">
        <v>11084</v>
      </c>
      <c r="M2056" s="2" t="s">
        <v>7510</v>
      </c>
      <c r="N2056" s="2" t="s">
        <v>38</v>
      </c>
      <c r="O2056" s="2" t="s">
        <v>779</v>
      </c>
      <c r="P2056" s="2" t="s">
        <v>4560</v>
      </c>
      <c r="Q2056" s="2" t="s">
        <v>12820</v>
      </c>
      <c r="R2056" s="2" t="s">
        <v>40</v>
      </c>
      <c r="S2056" s="2" t="s">
        <v>12821</v>
      </c>
      <c r="T2056" s="2" t="s">
        <v>2101</v>
      </c>
      <c r="U2056" s="2" t="s">
        <v>12016</v>
      </c>
      <c r="V2056" s="2" t="s">
        <v>12822</v>
      </c>
      <c r="W2056" s="1"/>
      <c r="X2056" s="2" t="s">
        <v>7047</v>
      </c>
      <c r="Y2056" s="2" t="s">
        <v>12753</v>
      </c>
      <c r="AA2056" t="str">
        <f t="shared" si="192"/>
        <v>2025-11</v>
      </c>
      <c r="AB2056" t="str">
        <f t="shared" si="193"/>
        <v/>
      </c>
      <c r="AC2056">
        <f t="shared" si="194"/>
        <v>825523.19999999995</v>
      </c>
      <c r="AD2056">
        <f t="shared" si="195"/>
        <v>90</v>
      </c>
      <c r="AE2056">
        <f t="shared" si="196"/>
        <v>177523.20000000001</v>
      </c>
      <c r="AF2056" t="str">
        <f t="shared" si="197"/>
        <v>Paid</v>
      </c>
    </row>
    <row r="2057" spans="1:32" ht="17.25" thickBot="1" x14ac:dyDescent="0.35">
      <c r="A2057" s="2" t="s">
        <v>12823</v>
      </c>
      <c r="B2057" s="2" t="s">
        <v>27</v>
      </c>
      <c r="C2057" s="2" t="s">
        <v>28</v>
      </c>
      <c r="D2057" s="2" t="s">
        <v>97</v>
      </c>
      <c r="E2057" s="2" t="s">
        <v>12708</v>
      </c>
      <c r="F2057" s="2" t="s">
        <v>8445</v>
      </c>
      <c r="G2057" s="2" t="s">
        <v>32</v>
      </c>
      <c r="H2057" s="1"/>
      <c r="I2057" s="2" t="s">
        <v>33</v>
      </c>
      <c r="J2057" s="2" t="s">
        <v>34</v>
      </c>
      <c r="K2057" s="2" t="s">
        <v>11090</v>
      </c>
      <c r="L2057" s="2" t="s">
        <v>11091</v>
      </c>
      <c r="M2057" s="2" t="s">
        <v>7510</v>
      </c>
      <c r="N2057" s="2" t="s">
        <v>38</v>
      </c>
      <c r="O2057" s="2" t="s">
        <v>2379</v>
      </c>
      <c r="P2057" s="2" t="s">
        <v>10115</v>
      </c>
      <c r="Q2057" s="2" t="s">
        <v>12824</v>
      </c>
      <c r="R2057" s="2" t="s">
        <v>40</v>
      </c>
      <c r="S2057" s="2" t="s">
        <v>12825</v>
      </c>
      <c r="T2057" s="2" t="s">
        <v>2206</v>
      </c>
      <c r="U2057" s="2" t="s">
        <v>11094</v>
      </c>
      <c r="V2057" s="2" t="s">
        <v>12826</v>
      </c>
      <c r="W2057" s="1"/>
      <c r="X2057" s="2" t="s">
        <v>6790</v>
      </c>
      <c r="Y2057" s="2" t="s">
        <v>12753</v>
      </c>
      <c r="AA2057" t="str">
        <f t="shared" si="192"/>
        <v>2025-11</v>
      </c>
      <c r="AB2057" t="str">
        <f t="shared" si="193"/>
        <v/>
      </c>
      <c r="AC2057">
        <f t="shared" si="194"/>
        <v>2864565.5</v>
      </c>
      <c r="AD2057">
        <f t="shared" si="195"/>
        <v>288</v>
      </c>
      <c r="AE2057">
        <f t="shared" si="196"/>
        <v>618165.5</v>
      </c>
      <c r="AF2057" t="str">
        <f t="shared" si="197"/>
        <v>Paid</v>
      </c>
    </row>
    <row r="2058" spans="1:32" ht="17.25" thickBot="1" x14ac:dyDescent="0.35">
      <c r="A2058" s="2" t="s">
        <v>12827</v>
      </c>
      <c r="B2058" s="2" t="s">
        <v>27</v>
      </c>
      <c r="C2058" s="2" t="s">
        <v>28</v>
      </c>
      <c r="D2058" s="2" t="s">
        <v>97</v>
      </c>
      <c r="E2058" s="2" t="s">
        <v>12708</v>
      </c>
      <c r="F2058" s="2" t="s">
        <v>8445</v>
      </c>
      <c r="G2058" s="2" t="s">
        <v>32</v>
      </c>
      <c r="H2058" s="1"/>
      <c r="I2058" s="2" t="s">
        <v>33</v>
      </c>
      <c r="J2058" s="2" t="s">
        <v>34</v>
      </c>
      <c r="K2058" s="2" t="s">
        <v>12828</v>
      </c>
      <c r="L2058" s="2" t="s">
        <v>12829</v>
      </c>
      <c r="M2058" s="2" t="s">
        <v>48</v>
      </c>
      <c r="N2058" s="2" t="s">
        <v>38</v>
      </c>
      <c r="O2058" s="2" t="s">
        <v>877</v>
      </c>
      <c r="P2058" s="2" t="s">
        <v>104</v>
      </c>
      <c r="Q2058" s="2" t="s">
        <v>10374</v>
      </c>
      <c r="R2058" s="2" t="s">
        <v>40</v>
      </c>
      <c r="S2058" s="2" t="s">
        <v>12830</v>
      </c>
      <c r="T2058" s="2" t="s">
        <v>12831</v>
      </c>
      <c r="U2058" s="2" t="s">
        <v>12832</v>
      </c>
      <c r="V2058" s="2" t="s">
        <v>12833</v>
      </c>
      <c r="W2058" s="2" t="s">
        <v>41</v>
      </c>
      <c r="X2058" s="2" t="s">
        <v>12834</v>
      </c>
      <c r="Y2058" s="2" t="s">
        <v>12753</v>
      </c>
      <c r="AA2058" t="str">
        <f t="shared" si="192"/>
        <v>2025-11</v>
      </c>
      <c r="AB2058" t="str">
        <f t="shared" si="193"/>
        <v/>
      </c>
      <c r="AC2058">
        <f t="shared" si="194"/>
        <v>1433.2</v>
      </c>
      <c r="AD2058">
        <f t="shared" si="195"/>
        <v>100</v>
      </c>
      <c r="AE2058">
        <f t="shared" si="196"/>
        <v>-221293.8</v>
      </c>
      <c r="AF2058" t="str">
        <f t="shared" si="197"/>
        <v>Sample</v>
      </c>
    </row>
    <row r="2059" spans="1:32" ht="17.25" thickBot="1" x14ac:dyDescent="0.35">
      <c r="A2059" s="2" t="s">
        <v>12835</v>
      </c>
      <c r="B2059" s="2" t="s">
        <v>27</v>
      </c>
      <c r="C2059" s="2" t="s">
        <v>28</v>
      </c>
      <c r="D2059" s="2" t="s">
        <v>97</v>
      </c>
      <c r="E2059" s="2" t="s">
        <v>12708</v>
      </c>
      <c r="F2059" s="2" t="s">
        <v>8445</v>
      </c>
      <c r="G2059" s="2" t="s">
        <v>32</v>
      </c>
      <c r="H2059" s="1"/>
      <c r="I2059" s="2" t="s">
        <v>33</v>
      </c>
      <c r="J2059" s="2" t="s">
        <v>34</v>
      </c>
      <c r="K2059" s="2" t="s">
        <v>1828</v>
      </c>
      <c r="L2059" s="2" t="s">
        <v>1829</v>
      </c>
      <c r="M2059" s="2" t="s">
        <v>48</v>
      </c>
      <c r="N2059" s="2" t="s">
        <v>38</v>
      </c>
      <c r="O2059" s="2" t="s">
        <v>956</v>
      </c>
      <c r="P2059" s="2" t="s">
        <v>12836</v>
      </c>
      <c r="Q2059" s="2" t="s">
        <v>12837</v>
      </c>
      <c r="R2059" s="2" t="s">
        <v>40</v>
      </c>
      <c r="S2059" s="2" t="s">
        <v>12838</v>
      </c>
      <c r="T2059" s="2" t="s">
        <v>1874</v>
      </c>
      <c r="U2059" s="2" t="s">
        <v>12839</v>
      </c>
      <c r="V2059" s="2" t="s">
        <v>12840</v>
      </c>
      <c r="W2059" s="1"/>
      <c r="X2059" s="2" t="s">
        <v>7228</v>
      </c>
      <c r="Y2059" s="2" t="s">
        <v>12753</v>
      </c>
      <c r="AA2059" t="str">
        <f t="shared" si="192"/>
        <v>2025-11</v>
      </c>
      <c r="AB2059" t="str">
        <f t="shared" si="193"/>
        <v/>
      </c>
      <c r="AC2059">
        <f t="shared" si="194"/>
        <v>1360565.42</v>
      </c>
      <c r="AD2059">
        <f t="shared" si="195"/>
        <v>108</v>
      </c>
      <c r="AE2059">
        <f t="shared" si="196"/>
        <v>398383.7</v>
      </c>
      <c r="AF2059" t="str">
        <f t="shared" si="197"/>
        <v>Paid</v>
      </c>
    </row>
    <row r="2060" spans="1:32" ht="27.75" thickBot="1" x14ac:dyDescent="0.35">
      <c r="A2060" s="2" t="s">
        <v>12841</v>
      </c>
      <c r="B2060" s="2" t="s">
        <v>27</v>
      </c>
      <c r="C2060" s="2" t="s">
        <v>28</v>
      </c>
      <c r="D2060" s="2" t="s">
        <v>97</v>
      </c>
      <c r="E2060" s="2" t="s">
        <v>12708</v>
      </c>
      <c r="F2060" s="2" t="s">
        <v>8445</v>
      </c>
      <c r="G2060" s="2" t="s">
        <v>32</v>
      </c>
      <c r="H2060" s="1"/>
      <c r="I2060" s="2" t="s">
        <v>33</v>
      </c>
      <c r="J2060" s="2" t="s">
        <v>34</v>
      </c>
      <c r="K2060" s="2" t="s">
        <v>12842</v>
      </c>
      <c r="L2060" s="2" t="s">
        <v>12843</v>
      </c>
      <c r="M2060" s="2" t="s">
        <v>48</v>
      </c>
      <c r="N2060" s="2" t="s">
        <v>38</v>
      </c>
      <c r="O2060" s="2" t="s">
        <v>1641</v>
      </c>
      <c r="P2060" s="2" t="s">
        <v>12836</v>
      </c>
      <c r="Q2060" s="2" t="s">
        <v>12844</v>
      </c>
      <c r="R2060" s="2" t="s">
        <v>40</v>
      </c>
      <c r="S2060" s="2" t="s">
        <v>12845</v>
      </c>
      <c r="T2060" s="2" t="s">
        <v>1874</v>
      </c>
      <c r="U2060" s="2" t="s">
        <v>12846</v>
      </c>
      <c r="V2060" s="2" t="s">
        <v>12847</v>
      </c>
      <c r="W2060" s="1"/>
      <c r="X2060" s="2" t="s">
        <v>7228</v>
      </c>
      <c r="Y2060" s="2" t="s">
        <v>12753</v>
      </c>
      <c r="AA2060" t="str">
        <f t="shared" si="192"/>
        <v>2025-11</v>
      </c>
      <c r="AB2060" t="str">
        <f t="shared" si="193"/>
        <v/>
      </c>
      <c r="AC2060">
        <f t="shared" si="194"/>
        <v>2418782.98</v>
      </c>
      <c r="AD2060">
        <f t="shared" si="195"/>
        <v>192</v>
      </c>
      <c r="AE2060">
        <f t="shared" si="196"/>
        <v>708237.7</v>
      </c>
      <c r="AF2060" t="str">
        <f t="shared" si="197"/>
        <v>Paid</v>
      </c>
    </row>
    <row r="2061" spans="1:32" ht="27.75" thickBot="1" x14ac:dyDescent="0.35">
      <c r="A2061" s="2" t="s">
        <v>12848</v>
      </c>
      <c r="B2061" s="2" t="s">
        <v>27</v>
      </c>
      <c r="C2061" s="2" t="s">
        <v>28</v>
      </c>
      <c r="D2061" s="2" t="s">
        <v>97</v>
      </c>
      <c r="E2061" s="2" t="s">
        <v>12708</v>
      </c>
      <c r="F2061" s="2" t="s">
        <v>8445</v>
      </c>
      <c r="G2061" s="2" t="s">
        <v>32</v>
      </c>
      <c r="H2061" s="1"/>
      <c r="I2061" s="2" t="s">
        <v>33</v>
      </c>
      <c r="J2061" s="2" t="s">
        <v>34</v>
      </c>
      <c r="K2061" s="2" t="s">
        <v>12849</v>
      </c>
      <c r="L2061" s="2" t="s">
        <v>12850</v>
      </c>
      <c r="M2061" s="2" t="s">
        <v>48</v>
      </c>
      <c r="N2061" s="2" t="s">
        <v>38</v>
      </c>
      <c r="O2061" s="2" t="s">
        <v>1641</v>
      </c>
      <c r="P2061" s="2" t="s">
        <v>12836</v>
      </c>
      <c r="Q2061" s="2" t="s">
        <v>12844</v>
      </c>
      <c r="R2061" s="2" t="s">
        <v>40</v>
      </c>
      <c r="S2061" s="2" t="s">
        <v>12845</v>
      </c>
      <c r="T2061" s="2" t="s">
        <v>12851</v>
      </c>
      <c r="U2061" s="2" t="s">
        <v>12852</v>
      </c>
      <c r="V2061" s="2" t="s">
        <v>12853</v>
      </c>
      <c r="W2061" s="1"/>
      <c r="X2061" s="2" t="s">
        <v>12854</v>
      </c>
      <c r="Y2061" s="2" t="s">
        <v>12753</v>
      </c>
      <c r="AA2061" t="str">
        <f t="shared" si="192"/>
        <v>2025-11</v>
      </c>
      <c r="AB2061" t="str">
        <f t="shared" si="193"/>
        <v/>
      </c>
      <c r="AC2061">
        <f t="shared" si="194"/>
        <v>2418782.98</v>
      </c>
      <c r="AD2061">
        <f t="shared" si="195"/>
        <v>192</v>
      </c>
      <c r="AE2061">
        <f t="shared" si="196"/>
        <v>1126964.93</v>
      </c>
      <c r="AF2061" t="str">
        <f t="shared" si="197"/>
        <v>Paid</v>
      </c>
    </row>
    <row r="2062" spans="1:32" ht="17.25" thickBot="1" x14ac:dyDescent="0.35">
      <c r="A2062" s="2" t="s">
        <v>12855</v>
      </c>
      <c r="B2062" s="2" t="s">
        <v>27</v>
      </c>
      <c r="C2062" s="2" t="s">
        <v>28</v>
      </c>
      <c r="D2062" s="2" t="s">
        <v>97</v>
      </c>
      <c r="E2062" s="2" t="s">
        <v>12708</v>
      </c>
      <c r="F2062" s="2" t="s">
        <v>8445</v>
      </c>
      <c r="G2062" s="2" t="s">
        <v>32</v>
      </c>
      <c r="H2062" s="1"/>
      <c r="I2062" s="2" t="s">
        <v>33</v>
      </c>
      <c r="J2062" s="2" t="s">
        <v>34</v>
      </c>
      <c r="K2062" s="2" t="s">
        <v>6636</v>
      </c>
      <c r="L2062" s="2" t="s">
        <v>6637</v>
      </c>
      <c r="M2062" s="2" t="s">
        <v>37</v>
      </c>
      <c r="N2062" s="2" t="s">
        <v>38</v>
      </c>
      <c r="O2062" s="2" t="s">
        <v>156</v>
      </c>
      <c r="P2062" s="2" t="s">
        <v>12856</v>
      </c>
      <c r="Q2062" s="2" t="s">
        <v>12857</v>
      </c>
      <c r="R2062" s="2" t="s">
        <v>40</v>
      </c>
      <c r="S2062" s="2" t="s">
        <v>12858</v>
      </c>
      <c r="T2062" s="2" t="s">
        <v>6641</v>
      </c>
      <c r="U2062" s="2" t="s">
        <v>10794</v>
      </c>
      <c r="V2062" s="2" t="s">
        <v>12859</v>
      </c>
      <c r="W2062" s="1"/>
      <c r="X2062" s="2" t="s">
        <v>1100</v>
      </c>
      <c r="Y2062" s="2" t="s">
        <v>12753</v>
      </c>
      <c r="AA2062" t="str">
        <f t="shared" si="192"/>
        <v>2025-11</v>
      </c>
      <c r="AB2062" t="str">
        <f t="shared" si="193"/>
        <v/>
      </c>
      <c r="AC2062">
        <f t="shared" si="194"/>
        <v>345687.84</v>
      </c>
      <c r="AD2062">
        <f t="shared" si="195"/>
        <v>20</v>
      </c>
      <c r="AE2062">
        <f t="shared" si="196"/>
        <v>57687.839999999997</v>
      </c>
      <c r="AF2062" t="str">
        <f t="shared" si="197"/>
        <v>Paid</v>
      </c>
    </row>
    <row r="2063" spans="1:32" ht="17.25" thickBot="1" x14ac:dyDescent="0.35">
      <c r="A2063" s="2" t="s">
        <v>12860</v>
      </c>
      <c r="B2063" s="2" t="s">
        <v>27</v>
      </c>
      <c r="C2063" s="2" t="s">
        <v>28</v>
      </c>
      <c r="D2063" s="2" t="s">
        <v>97</v>
      </c>
      <c r="E2063" s="2" t="s">
        <v>12708</v>
      </c>
      <c r="F2063" s="2" t="s">
        <v>8445</v>
      </c>
      <c r="G2063" s="2" t="s">
        <v>32</v>
      </c>
      <c r="H2063" s="1"/>
      <c r="I2063" s="2" t="s">
        <v>33</v>
      </c>
      <c r="J2063" s="2" t="s">
        <v>34</v>
      </c>
      <c r="K2063" s="2" t="s">
        <v>3140</v>
      </c>
      <c r="L2063" s="2" t="s">
        <v>3141</v>
      </c>
      <c r="M2063" s="2" t="s">
        <v>3131</v>
      </c>
      <c r="N2063" s="2" t="s">
        <v>38</v>
      </c>
      <c r="O2063" s="2" t="s">
        <v>156</v>
      </c>
      <c r="P2063" s="2" t="s">
        <v>12861</v>
      </c>
      <c r="Q2063" s="2" t="s">
        <v>12862</v>
      </c>
      <c r="R2063" s="2" t="s">
        <v>40</v>
      </c>
      <c r="S2063" s="2" t="s">
        <v>12863</v>
      </c>
      <c r="T2063" s="2" t="s">
        <v>3145</v>
      </c>
      <c r="U2063" s="2" t="s">
        <v>12864</v>
      </c>
      <c r="V2063" s="2" t="s">
        <v>12865</v>
      </c>
      <c r="W2063" s="1"/>
      <c r="X2063" s="2" t="s">
        <v>4393</v>
      </c>
      <c r="Y2063" s="2" t="s">
        <v>12753</v>
      </c>
      <c r="AA2063" t="str">
        <f t="shared" si="192"/>
        <v>2025-11</v>
      </c>
      <c r="AB2063" t="str">
        <f t="shared" si="193"/>
        <v/>
      </c>
      <c r="AC2063">
        <f t="shared" si="194"/>
        <v>326196.32</v>
      </c>
      <c r="AD2063">
        <f t="shared" si="195"/>
        <v>20</v>
      </c>
      <c r="AE2063">
        <f t="shared" si="196"/>
        <v>77469.05</v>
      </c>
      <c r="AF2063" t="str">
        <f t="shared" si="197"/>
        <v>Paid</v>
      </c>
    </row>
    <row r="2064" spans="1:32" ht="17.25" thickBot="1" x14ac:dyDescent="0.35">
      <c r="A2064" s="2" t="s">
        <v>12866</v>
      </c>
      <c r="B2064" s="2" t="s">
        <v>27</v>
      </c>
      <c r="C2064" s="2" t="s">
        <v>28</v>
      </c>
      <c r="D2064" s="2" t="s">
        <v>97</v>
      </c>
      <c r="E2064" s="2" t="s">
        <v>12708</v>
      </c>
      <c r="F2064" s="2" t="s">
        <v>8445</v>
      </c>
      <c r="G2064" s="2" t="s">
        <v>32</v>
      </c>
      <c r="H2064" s="1"/>
      <c r="I2064" s="2" t="s">
        <v>33</v>
      </c>
      <c r="J2064" s="2" t="s">
        <v>34</v>
      </c>
      <c r="K2064" s="2" t="s">
        <v>3218</v>
      </c>
      <c r="L2064" s="2" t="s">
        <v>3219</v>
      </c>
      <c r="M2064" s="2" t="s">
        <v>3209</v>
      </c>
      <c r="N2064" s="2" t="s">
        <v>38</v>
      </c>
      <c r="O2064" s="2" t="s">
        <v>466</v>
      </c>
      <c r="P2064" s="2" t="s">
        <v>11504</v>
      </c>
      <c r="Q2064" s="2" t="s">
        <v>12867</v>
      </c>
      <c r="R2064" s="2" t="s">
        <v>40</v>
      </c>
      <c r="S2064" s="2" t="s">
        <v>12868</v>
      </c>
      <c r="T2064" s="2" t="s">
        <v>3213</v>
      </c>
      <c r="U2064" s="2" t="s">
        <v>3237</v>
      </c>
      <c r="V2064" s="2" t="s">
        <v>12869</v>
      </c>
      <c r="W2064" s="1"/>
      <c r="X2064" s="2" t="s">
        <v>1299</v>
      </c>
      <c r="Y2064" s="2" t="s">
        <v>12753</v>
      </c>
      <c r="AA2064" t="str">
        <f t="shared" si="192"/>
        <v>2025-11</v>
      </c>
      <c r="AB2064" t="str">
        <f t="shared" si="193"/>
        <v/>
      </c>
      <c r="AC2064">
        <f t="shared" si="194"/>
        <v>446441.8</v>
      </c>
      <c r="AD2064">
        <f t="shared" si="195"/>
        <v>70</v>
      </c>
      <c r="AE2064">
        <f t="shared" si="196"/>
        <v>82441.8</v>
      </c>
      <c r="AF2064" t="str">
        <f t="shared" si="197"/>
        <v>Paid</v>
      </c>
    </row>
    <row r="2065" spans="1:32" ht="17.25" thickBot="1" x14ac:dyDescent="0.35">
      <c r="A2065" s="2" t="s">
        <v>12870</v>
      </c>
      <c r="B2065" s="2" t="s">
        <v>27</v>
      </c>
      <c r="C2065" s="2" t="s">
        <v>28</v>
      </c>
      <c r="D2065" s="2" t="s">
        <v>97</v>
      </c>
      <c r="E2065" s="2" t="s">
        <v>12708</v>
      </c>
      <c r="F2065" s="2" t="s">
        <v>8445</v>
      </c>
      <c r="G2065" s="2" t="s">
        <v>32</v>
      </c>
      <c r="H2065" s="1"/>
      <c r="I2065" s="2" t="s">
        <v>33</v>
      </c>
      <c r="J2065" s="2" t="s">
        <v>34</v>
      </c>
      <c r="K2065" s="2" t="s">
        <v>6783</v>
      </c>
      <c r="L2065" s="2" t="s">
        <v>6784</v>
      </c>
      <c r="M2065" s="2" t="s">
        <v>6785</v>
      </c>
      <c r="N2065" s="2" t="s">
        <v>38</v>
      </c>
      <c r="O2065" s="2" t="s">
        <v>378</v>
      </c>
      <c r="P2065" s="2" t="s">
        <v>11359</v>
      </c>
      <c r="Q2065" s="2" t="s">
        <v>12871</v>
      </c>
      <c r="R2065" s="2" t="s">
        <v>40</v>
      </c>
      <c r="S2065" s="2" t="s">
        <v>12872</v>
      </c>
      <c r="T2065" s="2" t="s">
        <v>2383</v>
      </c>
      <c r="U2065" s="2" t="s">
        <v>12681</v>
      </c>
      <c r="V2065" s="2" t="s">
        <v>12873</v>
      </c>
      <c r="W2065" s="1"/>
      <c r="X2065" s="2" t="s">
        <v>9250</v>
      </c>
      <c r="Y2065" s="2" t="s">
        <v>12753</v>
      </c>
      <c r="AA2065" t="str">
        <f t="shared" si="192"/>
        <v>2025-11</v>
      </c>
      <c r="AB2065" t="str">
        <f t="shared" si="193"/>
        <v/>
      </c>
      <c r="AC2065">
        <f t="shared" si="194"/>
        <v>268939.98</v>
      </c>
      <c r="AD2065">
        <f t="shared" si="195"/>
        <v>45</v>
      </c>
      <c r="AE2065">
        <f t="shared" si="196"/>
        <v>48030.89</v>
      </c>
      <c r="AF2065" t="str">
        <f t="shared" si="197"/>
        <v>Paid</v>
      </c>
    </row>
    <row r="2066" spans="1:32" ht="17.25" thickBot="1" x14ac:dyDescent="0.35">
      <c r="A2066" s="2" t="s">
        <v>12874</v>
      </c>
      <c r="B2066" s="2" t="s">
        <v>27</v>
      </c>
      <c r="C2066" s="2" t="s">
        <v>28</v>
      </c>
      <c r="D2066" s="2" t="s">
        <v>97</v>
      </c>
      <c r="E2066" s="2" t="s">
        <v>12708</v>
      </c>
      <c r="F2066" s="2" t="s">
        <v>8445</v>
      </c>
      <c r="G2066" s="2" t="s">
        <v>32</v>
      </c>
      <c r="H2066" s="1"/>
      <c r="I2066" s="2" t="s">
        <v>33</v>
      </c>
      <c r="J2066" s="2" t="s">
        <v>34</v>
      </c>
      <c r="K2066" s="2" t="s">
        <v>6802</v>
      </c>
      <c r="L2066" s="2" t="s">
        <v>6803</v>
      </c>
      <c r="M2066" s="2" t="s">
        <v>6785</v>
      </c>
      <c r="N2066" s="2" t="s">
        <v>38</v>
      </c>
      <c r="O2066" s="2" t="s">
        <v>877</v>
      </c>
      <c r="P2066" s="2" t="s">
        <v>7010</v>
      </c>
      <c r="Q2066" s="2" t="s">
        <v>10875</v>
      </c>
      <c r="R2066" s="2" t="s">
        <v>40</v>
      </c>
      <c r="S2066" s="2" t="s">
        <v>12875</v>
      </c>
      <c r="T2066" s="2" t="s">
        <v>12686</v>
      </c>
      <c r="U2066" s="2" t="s">
        <v>12876</v>
      </c>
      <c r="V2066" s="2" t="s">
        <v>12877</v>
      </c>
      <c r="W2066" s="1"/>
      <c r="X2066" s="2" t="s">
        <v>6978</v>
      </c>
      <c r="Y2066" s="2" t="s">
        <v>12753</v>
      </c>
      <c r="AA2066" t="str">
        <f t="shared" si="192"/>
        <v>2025-11</v>
      </c>
      <c r="AB2066" t="str">
        <f t="shared" si="193"/>
        <v/>
      </c>
      <c r="AC2066">
        <f t="shared" si="194"/>
        <v>796859.2</v>
      </c>
      <c r="AD2066">
        <f t="shared" si="195"/>
        <v>100</v>
      </c>
      <c r="AE2066">
        <f t="shared" si="196"/>
        <v>210459.2</v>
      </c>
      <c r="AF2066" t="str">
        <f t="shared" si="197"/>
        <v>Paid</v>
      </c>
    </row>
    <row r="2067" spans="1:32" ht="17.25" thickBot="1" x14ac:dyDescent="0.35">
      <c r="A2067" s="2" t="s">
        <v>12878</v>
      </c>
      <c r="B2067" s="2" t="s">
        <v>27</v>
      </c>
      <c r="C2067" s="2" t="s">
        <v>28</v>
      </c>
      <c r="D2067" s="2" t="s">
        <v>97</v>
      </c>
      <c r="E2067" s="2" t="s">
        <v>12879</v>
      </c>
      <c r="F2067" s="2" t="s">
        <v>8445</v>
      </c>
      <c r="G2067" s="2" t="s">
        <v>32</v>
      </c>
      <c r="H2067" s="1"/>
      <c r="I2067" s="2" t="s">
        <v>33</v>
      </c>
      <c r="J2067" s="2" t="s">
        <v>34</v>
      </c>
      <c r="K2067" s="2" t="s">
        <v>2370</v>
      </c>
      <c r="L2067" s="2" t="s">
        <v>2371</v>
      </c>
      <c r="M2067" s="2" t="s">
        <v>2372</v>
      </c>
      <c r="N2067" s="2" t="s">
        <v>38</v>
      </c>
      <c r="O2067" s="2" t="s">
        <v>1641</v>
      </c>
      <c r="P2067" s="2" t="s">
        <v>6865</v>
      </c>
      <c r="Q2067" s="2" t="s">
        <v>12880</v>
      </c>
      <c r="R2067" s="2" t="s">
        <v>40</v>
      </c>
      <c r="S2067" s="2" t="s">
        <v>12881</v>
      </c>
      <c r="T2067" s="2" t="s">
        <v>12882</v>
      </c>
      <c r="U2067" s="2" t="s">
        <v>12883</v>
      </c>
      <c r="V2067" s="2" t="s">
        <v>12884</v>
      </c>
      <c r="W2067" s="1"/>
      <c r="X2067" s="2" t="s">
        <v>965</v>
      </c>
      <c r="Y2067" s="2" t="s">
        <v>12885</v>
      </c>
      <c r="AA2067" t="str">
        <f t="shared" si="192"/>
        <v>2025-11</v>
      </c>
      <c r="AB2067" t="str">
        <f t="shared" si="193"/>
        <v/>
      </c>
      <c r="AC2067">
        <f t="shared" si="194"/>
        <v>2028204.67</v>
      </c>
      <c r="AD2067">
        <f t="shared" si="195"/>
        <v>192</v>
      </c>
      <c r="AE2067">
        <f t="shared" si="196"/>
        <v>520044.67</v>
      </c>
      <c r="AF2067" t="str">
        <f t="shared" si="197"/>
        <v>Paid</v>
      </c>
    </row>
    <row r="2068" spans="1:32" ht="17.25" thickBot="1" x14ac:dyDescent="0.35">
      <c r="A2068" s="2" t="s">
        <v>12886</v>
      </c>
      <c r="B2068" s="2" t="s">
        <v>27</v>
      </c>
      <c r="C2068" s="2" t="s">
        <v>28</v>
      </c>
      <c r="D2068" s="2" t="s">
        <v>97</v>
      </c>
      <c r="E2068" s="2" t="s">
        <v>12879</v>
      </c>
      <c r="F2068" s="2" t="s">
        <v>8445</v>
      </c>
      <c r="G2068" s="2" t="s">
        <v>32</v>
      </c>
      <c r="H2068" s="1"/>
      <c r="I2068" s="2" t="s">
        <v>33</v>
      </c>
      <c r="J2068" s="2" t="s">
        <v>34</v>
      </c>
      <c r="K2068" s="2" t="s">
        <v>8588</v>
      </c>
      <c r="L2068" s="2" t="s">
        <v>8589</v>
      </c>
      <c r="M2068" s="2" t="s">
        <v>2372</v>
      </c>
      <c r="N2068" s="2" t="s">
        <v>38</v>
      </c>
      <c r="O2068" s="2" t="s">
        <v>407</v>
      </c>
      <c r="P2068" s="2" t="s">
        <v>3151</v>
      </c>
      <c r="Q2068" s="2" t="s">
        <v>12887</v>
      </c>
      <c r="R2068" s="2" t="s">
        <v>40</v>
      </c>
      <c r="S2068" s="2" t="s">
        <v>12888</v>
      </c>
      <c r="T2068" s="2" t="s">
        <v>9353</v>
      </c>
      <c r="U2068" s="2" t="s">
        <v>12889</v>
      </c>
      <c r="V2068" s="2" t="s">
        <v>12890</v>
      </c>
      <c r="W2068" s="1"/>
      <c r="X2068" s="2" t="s">
        <v>965</v>
      </c>
      <c r="Y2068" s="2" t="s">
        <v>12885</v>
      </c>
      <c r="AA2068" t="str">
        <f t="shared" si="192"/>
        <v>2025-11</v>
      </c>
      <c r="AB2068" t="str">
        <f t="shared" si="193"/>
        <v/>
      </c>
      <c r="AC2068">
        <f t="shared" si="194"/>
        <v>675843.17</v>
      </c>
      <c r="AD2068">
        <f t="shared" si="195"/>
        <v>48</v>
      </c>
      <c r="AE2068">
        <f t="shared" si="196"/>
        <v>173150.63</v>
      </c>
      <c r="AF2068" t="str">
        <f t="shared" si="197"/>
        <v>Paid</v>
      </c>
    </row>
    <row r="2069" spans="1:32" ht="17.25" thickBot="1" x14ac:dyDescent="0.35">
      <c r="A2069" s="2" t="s">
        <v>12891</v>
      </c>
      <c r="B2069" s="2" t="s">
        <v>27</v>
      </c>
      <c r="C2069" s="2" t="s">
        <v>28</v>
      </c>
      <c r="D2069" s="2" t="s">
        <v>97</v>
      </c>
      <c r="E2069" s="2" t="s">
        <v>12879</v>
      </c>
      <c r="F2069" s="2" t="s">
        <v>8445</v>
      </c>
      <c r="G2069" s="2" t="s">
        <v>32</v>
      </c>
      <c r="H2069" s="1"/>
      <c r="I2069" s="2" t="s">
        <v>33</v>
      </c>
      <c r="J2069" s="2" t="s">
        <v>34</v>
      </c>
      <c r="K2069" s="2" t="s">
        <v>2380</v>
      </c>
      <c r="L2069" s="2" t="s">
        <v>2381</v>
      </c>
      <c r="M2069" s="2" t="s">
        <v>2372</v>
      </c>
      <c r="N2069" s="2" t="s">
        <v>38</v>
      </c>
      <c r="O2069" s="2" t="s">
        <v>407</v>
      </c>
      <c r="P2069" s="2" t="s">
        <v>12892</v>
      </c>
      <c r="Q2069" s="2" t="s">
        <v>12893</v>
      </c>
      <c r="R2069" s="2" t="s">
        <v>40</v>
      </c>
      <c r="S2069" s="2" t="s">
        <v>12894</v>
      </c>
      <c r="T2069" s="2" t="s">
        <v>12895</v>
      </c>
      <c r="U2069" s="2" t="s">
        <v>12896</v>
      </c>
      <c r="V2069" s="2" t="s">
        <v>12897</v>
      </c>
      <c r="W2069" s="1"/>
      <c r="X2069" s="2" t="s">
        <v>965</v>
      </c>
      <c r="Y2069" s="2" t="s">
        <v>12885</v>
      </c>
      <c r="AA2069" t="str">
        <f t="shared" si="192"/>
        <v>2025-11</v>
      </c>
      <c r="AB2069" t="str">
        <f t="shared" si="193"/>
        <v/>
      </c>
      <c r="AC2069">
        <f t="shared" si="194"/>
        <v>316653.78999999998</v>
      </c>
      <c r="AD2069">
        <f t="shared" si="195"/>
        <v>48</v>
      </c>
      <c r="AE2069">
        <f t="shared" si="196"/>
        <v>80973.789999999994</v>
      </c>
      <c r="AF2069" t="str">
        <f t="shared" si="197"/>
        <v>Paid</v>
      </c>
    </row>
    <row r="2070" spans="1:32" ht="17.25" thickBot="1" x14ac:dyDescent="0.35">
      <c r="A2070" s="2" t="s">
        <v>12898</v>
      </c>
      <c r="B2070" s="2" t="s">
        <v>27</v>
      </c>
      <c r="C2070" s="2" t="s">
        <v>28</v>
      </c>
      <c r="D2070" s="2" t="s">
        <v>97</v>
      </c>
      <c r="E2070" s="2" t="s">
        <v>12879</v>
      </c>
      <c r="F2070" s="2" t="s">
        <v>8445</v>
      </c>
      <c r="G2070" s="2" t="s">
        <v>32</v>
      </c>
      <c r="H2070" s="1"/>
      <c r="I2070" s="2" t="s">
        <v>33</v>
      </c>
      <c r="J2070" s="2" t="s">
        <v>34</v>
      </c>
      <c r="K2070" s="2" t="s">
        <v>3149</v>
      </c>
      <c r="L2070" s="2" t="s">
        <v>3150</v>
      </c>
      <c r="M2070" s="2" t="s">
        <v>3131</v>
      </c>
      <c r="N2070" s="2" t="s">
        <v>38</v>
      </c>
      <c r="O2070" s="2" t="s">
        <v>79</v>
      </c>
      <c r="P2070" s="2" t="s">
        <v>12899</v>
      </c>
      <c r="Q2070" s="2" t="s">
        <v>12900</v>
      </c>
      <c r="R2070" s="2" t="s">
        <v>40</v>
      </c>
      <c r="S2070" s="2" t="s">
        <v>12901</v>
      </c>
      <c r="T2070" s="2" t="s">
        <v>3154</v>
      </c>
      <c r="U2070" s="2" t="s">
        <v>3801</v>
      </c>
      <c r="V2070" s="2" t="s">
        <v>12902</v>
      </c>
      <c r="W2070" s="1"/>
      <c r="X2070" s="2" t="s">
        <v>3138</v>
      </c>
      <c r="Y2070" s="2" t="s">
        <v>12885</v>
      </c>
      <c r="AA2070" t="str">
        <f t="shared" si="192"/>
        <v>2025-11</v>
      </c>
      <c r="AB2070" t="str">
        <f t="shared" si="193"/>
        <v/>
      </c>
      <c r="AC2070">
        <f t="shared" si="194"/>
        <v>142769.9</v>
      </c>
      <c r="AD2070">
        <f t="shared" si="195"/>
        <v>10</v>
      </c>
      <c r="AE2070">
        <f t="shared" si="196"/>
        <v>31497.17</v>
      </c>
      <c r="AF2070" t="str">
        <f t="shared" si="197"/>
        <v>Paid</v>
      </c>
    </row>
    <row r="2071" spans="1:32" ht="17.25" thickBot="1" x14ac:dyDescent="0.35">
      <c r="A2071" s="2" t="s">
        <v>12903</v>
      </c>
      <c r="B2071" s="2" t="s">
        <v>27</v>
      </c>
      <c r="C2071" s="2" t="s">
        <v>28</v>
      </c>
      <c r="D2071" s="2" t="s">
        <v>97</v>
      </c>
      <c r="E2071" s="2" t="s">
        <v>12904</v>
      </c>
      <c r="F2071" s="2" t="s">
        <v>8445</v>
      </c>
      <c r="G2071" s="2" t="s">
        <v>32</v>
      </c>
      <c r="H2071" s="1"/>
      <c r="I2071" s="2" t="s">
        <v>33</v>
      </c>
      <c r="J2071" s="2" t="s">
        <v>34</v>
      </c>
      <c r="K2071" s="2" t="s">
        <v>808</v>
      </c>
      <c r="L2071" s="2" t="s">
        <v>809</v>
      </c>
      <c r="M2071" s="2" t="s">
        <v>772</v>
      </c>
      <c r="N2071" s="2" t="s">
        <v>38</v>
      </c>
      <c r="O2071" s="2" t="s">
        <v>26</v>
      </c>
      <c r="P2071" s="2" t="s">
        <v>2124</v>
      </c>
      <c r="Q2071" s="2" t="s">
        <v>2124</v>
      </c>
      <c r="R2071" s="2" t="s">
        <v>40</v>
      </c>
      <c r="S2071" s="2" t="s">
        <v>12905</v>
      </c>
      <c r="T2071" s="2" t="s">
        <v>814</v>
      </c>
      <c r="U2071" s="2" t="s">
        <v>814</v>
      </c>
      <c r="V2071" s="2" t="s">
        <v>12906</v>
      </c>
      <c r="W2071" s="1"/>
      <c r="X2071" s="2" t="s">
        <v>976</v>
      </c>
      <c r="Y2071" s="2" t="s">
        <v>12907</v>
      </c>
      <c r="AA2071" t="str">
        <f t="shared" si="192"/>
        <v>2025-11</v>
      </c>
      <c r="AB2071" t="str">
        <f t="shared" si="193"/>
        <v/>
      </c>
      <c r="AC2071">
        <f t="shared" si="194"/>
        <v>12851.48</v>
      </c>
      <c r="AD2071">
        <f t="shared" si="195"/>
        <v>1</v>
      </c>
      <c r="AE2071">
        <f t="shared" si="196"/>
        <v>2591.48</v>
      </c>
      <c r="AF2071" t="str">
        <f t="shared" si="197"/>
        <v>Paid</v>
      </c>
    </row>
    <row r="2072" spans="1:32" ht="17.25" thickBot="1" x14ac:dyDescent="0.35">
      <c r="A2072" s="2" t="s">
        <v>12908</v>
      </c>
      <c r="B2072" s="2" t="s">
        <v>27</v>
      </c>
      <c r="C2072" s="2" t="s">
        <v>28</v>
      </c>
      <c r="D2072" s="2" t="s">
        <v>97</v>
      </c>
      <c r="E2072" s="2" t="s">
        <v>12904</v>
      </c>
      <c r="F2072" s="2" t="s">
        <v>8445</v>
      </c>
      <c r="G2072" s="2" t="s">
        <v>32</v>
      </c>
      <c r="H2072" s="1"/>
      <c r="I2072" s="2" t="s">
        <v>33</v>
      </c>
      <c r="J2072" s="2" t="s">
        <v>34</v>
      </c>
      <c r="K2072" s="2" t="s">
        <v>11155</v>
      </c>
      <c r="L2072" s="2" t="s">
        <v>11156</v>
      </c>
      <c r="M2072" s="2" t="s">
        <v>7619</v>
      </c>
      <c r="N2072" s="2" t="s">
        <v>38</v>
      </c>
      <c r="O2072" s="2" t="s">
        <v>1333</v>
      </c>
      <c r="P2072" s="2" t="s">
        <v>2588</v>
      </c>
      <c r="Q2072" s="2" t="s">
        <v>12909</v>
      </c>
      <c r="R2072" s="2" t="s">
        <v>40</v>
      </c>
      <c r="S2072" s="2" t="s">
        <v>12910</v>
      </c>
      <c r="T2072" s="2" t="s">
        <v>8502</v>
      </c>
      <c r="U2072" s="2" t="s">
        <v>12911</v>
      </c>
      <c r="V2072" s="2" t="s">
        <v>12912</v>
      </c>
      <c r="W2072" s="1"/>
      <c r="X2072" s="2" t="s">
        <v>7236</v>
      </c>
      <c r="Y2072" s="2" t="s">
        <v>12913</v>
      </c>
      <c r="AA2072" t="str">
        <f t="shared" si="192"/>
        <v>2025-11</v>
      </c>
      <c r="AB2072" t="str">
        <f t="shared" si="193"/>
        <v/>
      </c>
      <c r="AC2072">
        <f t="shared" si="194"/>
        <v>1044900</v>
      </c>
      <c r="AD2072">
        <f t="shared" si="195"/>
        <v>150</v>
      </c>
      <c r="AE2072">
        <f t="shared" si="196"/>
        <v>180900</v>
      </c>
      <c r="AF2072" t="str">
        <f t="shared" si="197"/>
        <v>Paid</v>
      </c>
    </row>
    <row r="2073" spans="1:32" ht="27.75" thickBot="1" x14ac:dyDescent="0.35">
      <c r="A2073" s="2" t="s">
        <v>12914</v>
      </c>
      <c r="B2073" s="2" t="s">
        <v>27</v>
      </c>
      <c r="C2073" s="2" t="s">
        <v>28</v>
      </c>
      <c r="D2073" s="2" t="s">
        <v>97</v>
      </c>
      <c r="E2073" s="2" t="s">
        <v>12904</v>
      </c>
      <c r="F2073" s="2" t="s">
        <v>8445</v>
      </c>
      <c r="G2073" s="2" t="s">
        <v>32</v>
      </c>
      <c r="H2073" s="1"/>
      <c r="I2073" s="2" t="s">
        <v>33</v>
      </c>
      <c r="J2073" s="2" t="s">
        <v>34</v>
      </c>
      <c r="K2073" s="2" t="s">
        <v>261</v>
      </c>
      <c r="L2073" s="2" t="s">
        <v>262</v>
      </c>
      <c r="M2073" s="2" t="s">
        <v>263</v>
      </c>
      <c r="N2073" s="2" t="s">
        <v>38</v>
      </c>
      <c r="O2073" s="2" t="s">
        <v>779</v>
      </c>
      <c r="P2073" s="2" t="s">
        <v>2555</v>
      </c>
      <c r="Q2073" s="2" t="s">
        <v>3060</v>
      </c>
      <c r="R2073" s="2" t="s">
        <v>40</v>
      </c>
      <c r="S2073" s="2" t="s">
        <v>12915</v>
      </c>
      <c r="T2073" s="2" t="s">
        <v>267</v>
      </c>
      <c r="U2073" s="2" t="s">
        <v>11173</v>
      </c>
      <c r="V2073" s="2" t="s">
        <v>12916</v>
      </c>
      <c r="W2073" s="1"/>
      <c r="X2073" s="2" t="s">
        <v>6871</v>
      </c>
      <c r="Y2073" s="2" t="s">
        <v>12913</v>
      </c>
      <c r="AA2073" t="str">
        <f t="shared" si="192"/>
        <v>2025-11</v>
      </c>
      <c r="AB2073" t="str">
        <f t="shared" si="193"/>
        <v/>
      </c>
      <c r="AC2073">
        <f t="shared" si="194"/>
        <v>822545.28</v>
      </c>
      <c r="AD2073">
        <f t="shared" si="195"/>
        <v>90</v>
      </c>
      <c r="AE2073">
        <f t="shared" si="196"/>
        <v>228545.28</v>
      </c>
      <c r="AF2073" t="str">
        <f t="shared" si="197"/>
        <v>Paid</v>
      </c>
    </row>
    <row r="2074" spans="1:32" ht="17.25" thickBot="1" x14ac:dyDescent="0.35">
      <c r="A2074" s="2" t="s">
        <v>12917</v>
      </c>
      <c r="B2074" s="2" t="s">
        <v>27</v>
      </c>
      <c r="C2074" s="2" t="s">
        <v>28</v>
      </c>
      <c r="D2074" s="2" t="s">
        <v>97</v>
      </c>
      <c r="E2074" s="2" t="s">
        <v>12904</v>
      </c>
      <c r="F2074" s="2" t="s">
        <v>8445</v>
      </c>
      <c r="G2074" s="2" t="s">
        <v>32</v>
      </c>
      <c r="H2074" s="1"/>
      <c r="I2074" s="2" t="s">
        <v>33</v>
      </c>
      <c r="J2074" s="2" t="s">
        <v>34</v>
      </c>
      <c r="K2074" s="2" t="s">
        <v>273</v>
      </c>
      <c r="L2074" s="2" t="s">
        <v>274</v>
      </c>
      <c r="M2074" s="2" t="s">
        <v>263</v>
      </c>
      <c r="N2074" s="2" t="s">
        <v>38</v>
      </c>
      <c r="O2074" s="2" t="s">
        <v>167</v>
      </c>
      <c r="P2074" s="2" t="s">
        <v>2555</v>
      </c>
      <c r="Q2074" s="2" t="s">
        <v>12918</v>
      </c>
      <c r="R2074" s="2" t="s">
        <v>40</v>
      </c>
      <c r="S2074" s="2" t="s">
        <v>12919</v>
      </c>
      <c r="T2074" s="2" t="s">
        <v>267</v>
      </c>
      <c r="U2074" s="2" t="s">
        <v>12920</v>
      </c>
      <c r="V2074" s="2" t="s">
        <v>12921</v>
      </c>
      <c r="W2074" s="1"/>
      <c r="X2074" s="2" t="s">
        <v>6871</v>
      </c>
      <c r="Y2074" s="2" t="s">
        <v>12913</v>
      </c>
      <c r="AA2074" t="str">
        <f t="shared" si="192"/>
        <v>2025-11</v>
      </c>
      <c r="AB2074" t="str">
        <f t="shared" si="193"/>
        <v/>
      </c>
      <c r="AC2074">
        <f t="shared" si="194"/>
        <v>7311513.5999999996</v>
      </c>
      <c r="AD2074">
        <f t="shared" si="195"/>
        <v>800</v>
      </c>
      <c r="AE2074">
        <f t="shared" si="196"/>
        <v>2031513.6000000001</v>
      </c>
      <c r="AF2074" t="str">
        <f t="shared" si="197"/>
        <v>Paid</v>
      </c>
    </row>
    <row r="2075" spans="1:32" ht="27.75" thickBot="1" x14ac:dyDescent="0.35">
      <c r="A2075" s="2" t="s">
        <v>12922</v>
      </c>
      <c r="B2075" s="2" t="s">
        <v>27</v>
      </c>
      <c r="C2075" s="2" t="s">
        <v>28</v>
      </c>
      <c r="D2075" s="2" t="s">
        <v>97</v>
      </c>
      <c r="E2075" s="2" t="s">
        <v>12904</v>
      </c>
      <c r="F2075" s="2" t="s">
        <v>8445</v>
      </c>
      <c r="G2075" s="2" t="s">
        <v>32</v>
      </c>
      <c r="H2075" s="1"/>
      <c r="I2075" s="2" t="s">
        <v>33</v>
      </c>
      <c r="J2075" s="2" t="s">
        <v>34</v>
      </c>
      <c r="K2075" s="2" t="s">
        <v>4838</v>
      </c>
      <c r="L2075" s="2" t="s">
        <v>4839</v>
      </c>
      <c r="M2075" s="2" t="s">
        <v>263</v>
      </c>
      <c r="N2075" s="2" t="s">
        <v>38</v>
      </c>
      <c r="O2075" s="2" t="s">
        <v>1476</v>
      </c>
      <c r="P2075" s="2" t="s">
        <v>2555</v>
      </c>
      <c r="Q2075" s="2" t="s">
        <v>12923</v>
      </c>
      <c r="R2075" s="2" t="s">
        <v>40</v>
      </c>
      <c r="S2075" s="2" t="s">
        <v>12924</v>
      </c>
      <c r="T2075" s="2" t="s">
        <v>267</v>
      </c>
      <c r="U2075" s="2" t="s">
        <v>12925</v>
      </c>
      <c r="V2075" s="2" t="s">
        <v>12926</v>
      </c>
      <c r="W2075" s="1"/>
      <c r="X2075" s="2" t="s">
        <v>6871</v>
      </c>
      <c r="Y2075" s="2" t="s">
        <v>12913</v>
      </c>
      <c r="AA2075" t="str">
        <f t="shared" si="192"/>
        <v>2025-11</v>
      </c>
      <c r="AB2075" t="str">
        <f t="shared" si="193"/>
        <v/>
      </c>
      <c r="AC2075">
        <f t="shared" si="194"/>
        <v>2376241.92</v>
      </c>
      <c r="AD2075">
        <f t="shared" si="195"/>
        <v>260</v>
      </c>
      <c r="AE2075">
        <f t="shared" si="196"/>
        <v>660241.92000000004</v>
      </c>
      <c r="AF2075" t="str">
        <f t="shared" si="197"/>
        <v>Paid</v>
      </c>
    </row>
    <row r="2076" spans="1:32" ht="17.25" thickBot="1" x14ac:dyDescent="0.35">
      <c r="A2076" s="2" t="s">
        <v>12927</v>
      </c>
      <c r="B2076" s="2" t="s">
        <v>27</v>
      </c>
      <c r="C2076" s="2" t="s">
        <v>28</v>
      </c>
      <c r="D2076" s="2" t="s">
        <v>97</v>
      </c>
      <c r="E2076" s="2" t="s">
        <v>12904</v>
      </c>
      <c r="F2076" s="2" t="s">
        <v>8445</v>
      </c>
      <c r="G2076" s="2" t="s">
        <v>32</v>
      </c>
      <c r="H2076" s="1"/>
      <c r="I2076" s="2" t="s">
        <v>33</v>
      </c>
      <c r="J2076" s="2" t="s">
        <v>34</v>
      </c>
      <c r="K2076" s="2" t="s">
        <v>4845</v>
      </c>
      <c r="L2076" s="2" t="s">
        <v>4846</v>
      </c>
      <c r="M2076" s="2" t="s">
        <v>263</v>
      </c>
      <c r="N2076" s="2" t="s">
        <v>38</v>
      </c>
      <c r="O2076" s="2" t="s">
        <v>1631</v>
      </c>
      <c r="P2076" s="2" t="s">
        <v>402</v>
      </c>
      <c r="Q2076" s="2" t="s">
        <v>12928</v>
      </c>
      <c r="R2076" s="2" t="s">
        <v>40</v>
      </c>
      <c r="S2076" s="2" t="s">
        <v>12929</v>
      </c>
      <c r="T2076" s="2" t="s">
        <v>4850</v>
      </c>
      <c r="U2076" s="2" t="s">
        <v>12930</v>
      </c>
      <c r="V2076" s="2" t="s">
        <v>12931</v>
      </c>
      <c r="W2076" s="1"/>
      <c r="X2076" s="2" t="s">
        <v>12932</v>
      </c>
      <c r="Y2076" s="2" t="s">
        <v>12913</v>
      </c>
      <c r="AA2076" t="str">
        <f t="shared" si="192"/>
        <v>2025-11</v>
      </c>
      <c r="AB2076" t="str">
        <f t="shared" si="193"/>
        <v/>
      </c>
      <c r="AC2076">
        <f t="shared" si="194"/>
        <v>2377077.84</v>
      </c>
      <c r="AD2076">
        <f t="shared" si="195"/>
        <v>190</v>
      </c>
      <c r="AE2076">
        <f t="shared" si="196"/>
        <v>1071207.8400000001</v>
      </c>
      <c r="AF2076" t="str">
        <f t="shared" si="197"/>
        <v>Paid</v>
      </c>
    </row>
    <row r="2077" spans="1:32" ht="17.25" thickBot="1" x14ac:dyDescent="0.35">
      <c r="A2077" s="2" t="s">
        <v>12933</v>
      </c>
      <c r="B2077" s="2" t="s">
        <v>27</v>
      </c>
      <c r="C2077" s="2" t="s">
        <v>28</v>
      </c>
      <c r="D2077" s="2" t="s">
        <v>97</v>
      </c>
      <c r="E2077" s="2" t="s">
        <v>12904</v>
      </c>
      <c r="F2077" s="2" t="s">
        <v>8445</v>
      </c>
      <c r="G2077" s="2" t="s">
        <v>32</v>
      </c>
      <c r="H2077" s="1"/>
      <c r="I2077" s="2" t="s">
        <v>33</v>
      </c>
      <c r="J2077" s="2" t="s">
        <v>34</v>
      </c>
      <c r="K2077" s="2" t="s">
        <v>8521</v>
      </c>
      <c r="L2077" s="2" t="s">
        <v>8522</v>
      </c>
      <c r="M2077" s="2" t="s">
        <v>7717</v>
      </c>
      <c r="N2077" s="2" t="s">
        <v>38</v>
      </c>
      <c r="O2077" s="2" t="s">
        <v>3048</v>
      </c>
      <c r="P2077" s="2" t="s">
        <v>8060</v>
      </c>
      <c r="Q2077" s="2" t="s">
        <v>12934</v>
      </c>
      <c r="R2077" s="2" t="s">
        <v>40</v>
      </c>
      <c r="S2077" s="2" t="s">
        <v>12935</v>
      </c>
      <c r="T2077" s="2" t="s">
        <v>2747</v>
      </c>
      <c r="U2077" s="2" t="s">
        <v>12936</v>
      </c>
      <c r="V2077" s="2" t="s">
        <v>12937</v>
      </c>
      <c r="W2077" s="1"/>
      <c r="X2077" s="2" t="s">
        <v>5958</v>
      </c>
      <c r="Y2077" s="2" t="s">
        <v>12913</v>
      </c>
      <c r="AA2077" t="str">
        <f t="shared" si="192"/>
        <v>2025-11</v>
      </c>
      <c r="AB2077" t="str">
        <f t="shared" si="193"/>
        <v/>
      </c>
      <c r="AC2077">
        <f t="shared" si="194"/>
        <v>2452672.87</v>
      </c>
      <c r="AD2077">
        <f t="shared" si="195"/>
        <v>366</v>
      </c>
      <c r="AE2077">
        <f t="shared" si="196"/>
        <v>822309.26</v>
      </c>
      <c r="AF2077" t="str">
        <f t="shared" si="197"/>
        <v>Paid</v>
      </c>
    </row>
    <row r="2078" spans="1:32" ht="17.25" thickBot="1" x14ac:dyDescent="0.35">
      <c r="A2078" s="2" t="s">
        <v>12938</v>
      </c>
      <c r="B2078" s="2" t="s">
        <v>27</v>
      </c>
      <c r="C2078" s="2" t="s">
        <v>28</v>
      </c>
      <c r="D2078" s="2" t="s">
        <v>97</v>
      </c>
      <c r="E2078" s="2" t="s">
        <v>12904</v>
      </c>
      <c r="F2078" s="2" t="s">
        <v>8445</v>
      </c>
      <c r="G2078" s="2" t="s">
        <v>32</v>
      </c>
      <c r="H2078" s="1"/>
      <c r="I2078" s="2" t="s">
        <v>33</v>
      </c>
      <c r="J2078" s="2" t="s">
        <v>34</v>
      </c>
      <c r="K2078" s="2" t="s">
        <v>2268</v>
      </c>
      <c r="L2078" s="2" t="s">
        <v>2269</v>
      </c>
      <c r="M2078" s="2" t="s">
        <v>2270</v>
      </c>
      <c r="N2078" s="2" t="s">
        <v>38</v>
      </c>
      <c r="O2078" s="2" t="s">
        <v>141</v>
      </c>
      <c r="P2078" s="2" t="s">
        <v>5398</v>
      </c>
      <c r="Q2078" s="2" t="s">
        <v>5399</v>
      </c>
      <c r="R2078" s="2" t="s">
        <v>40</v>
      </c>
      <c r="S2078" s="2" t="s">
        <v>12939</v>
      </c>
      <c r="T2078" s="2" t="s">
        <v>2275</v>
      </c>
      <c r="U2078" s="2" t="s">
        <v>3357</v>
      </c>
      <c r="V2078" s="2" t="s">
        <v>12940</v>
      </c>
      <c r="W2078" s="1"/>
      <c r="X2078" s="2" t="s">
        <v>12941</v>
      </c>
      <c r="Y2078" s="2" t="s">
        <v>12913</v>
      </c>
      <c r="AA2078" t="str">
        <f t="shared" si="192"/>
        <v>2025-11</v>
      </c>
      <c r="AB2078" t="str">
        <f t="shared" si="193"/>
        <v/>
      </c>
      <c r="AC2078">
        <f t="shared" si="194"/>
        <v>165512.16</v>
      </c>
      <c r="AD2078">
        <f t="shared" si="195"/>
        <v>30</v>
      </c>
      <c r="AE2078">
        <f t="shared" si="196"/>
        <v>30512.16</v>
      </c>
      <c r="AF2078" t="str">
        <f t="shared" si="197"/>
        <v>Paid</v>
      </c>
    </row>
    <row r="2079" spans="1:32" ht="17.25" thickBot="1" x14ac:dyDescent="0.35">
      <c r="A2079" s="2" t="s">
        <v>12942</v>
      </c>
      <c r="B2079" s="2" t="s">
        <v>27</v>
      </c>
      <c r="C2079" s="2" t="s">
        <v>28</v>
      </c>
      <c r="D2079" s="2" t="s">
        <v>97</v>
      </c>
      <c r="E2079" s="2" t="s">
        <v>12904</v>
      </c>
      <c r="F2079" s="2" t="s">
        <v>8445</v>
      </c>
      <c r="G2079" s="2" t="s">
        <v>32</v>
      </c>
      <c r="H2079" s="1"/>
      <c r="I2079" s="2" t="s">
        <v>33</v>
      </c>
      <c r="J2079" s="2" t="s">
        <v>34</v>
      </c>
      <c r="K2079" s="2" t="s">
        <v>2313</v>
      </c>
      <c r="L2079" s="2" t="s">
        <v>2314</v>
      </c>
      <c r="M2079" s="2" t="s">
        <v>2270</v>
      </c>
      <c r="N2079" s="2" t="s">
        <v>38</v>
      </c>
      <c r="O2079" s="2" t="s">
        <v>517</v>
      </c>
      <c r="P2079" s="2" t="s">
        <v>5398</v>
      </c>
      <c r="Q2079" s="2" t="s">
        <v>11086</v>
      </c>
      <c r="R2079" s="2" t="s">
        <v>40</v>
      </c>
      <c r="S2079" s="2" t="s">
        <v>12943</v>
      </c>
      <c r="T2079" s="2" t="s">
        <v>2275</v>
      </c>
      <c r="U2079" s="2" t="s">
        <v>1748</v>
      </c>
      <c r="V2079" s="2" t="s">
        <v>12944</v>
      </c>
      <c r="W2079" s="1"/>
      <c r="X2079" s="2" t="s">
        <v>12941</v>
      </c>
      <c r="Y2079" s="2" t="s">
        <v>12913</v>
      </c>
      <c r="AA2079" t="str">
        <f t="shared" si="192"/>
        <v>2025-11</v>
      </c>
      <c r="AB2079" t="str">
        <f t="shared" si="193"/>
        <v/>
      </c>
      <c r="AC2079">
        <f t="shared" si="194"/>
        <v>662048.64</v>
      </c>
      <c r="AD2079">
        <f t="shared" si="195"/>
        <v>120</v>
      </c>
      <c r="AE2079">
        <f t="shared" si="196"/>
        <v>122048.64</v>
      </c>
      <c r="AF2079" t="str">
        <f t="shared" si="197"/>
        <v>Paid</v>
      </c>
    </row>
    <row r="2080" spans="1:32" ht="17.25" thickBot="1" x14ac:dyDescent="0.35">
      <c r="A2080" s="2" t="s">
        <v>12945</v>
      </c>
      <c r="B2080" s="2" t="s">
        <v>27</v>
      </c>
      <c r="C2080" s="2" t="s">
        <v>28</v>
      </c>
      <c r="D2080" s="2" t="s">
        <v>97</v>
      </c>
      <c r="E2080" s="2" t="s">
        <v>12904</v>
      </c>
      <c r="F2080" s="2" t="s">
        <v>8445</v>
      </c>
      <c r="G2080" s="2" t="s">
        <v>32</v>
      </c>
      <c r="H2080" s="1"/>
      <c r="I2080" s="2" t="s">
        <v>33</v>
      </c>
      <c r="J2080" s="2" t="s">
        <v>34</v>
      </c>
      <c r="K2080" s="2" t="s">
        <v>2332</v>
      </c>
      <c r="L2080" s="2" t="s">
        <v>2333</v>
      </c>
      <c r="M2080" s="2" t="s">
        <v>2270</v>
      </c>
      <c r="N2080" s="2" t="s">
        <v>38</v>
      </c>
      <c r="O2080" s="2" t="s">
        <v>79</v>
      </c>
      <c r="P2080" s="2" t="s">
        <v>5398</v>
      </c>
      <c r="Q2080" s="2" t="s">
        <v>12946</v>
      </c>
      <c r="R2080" s="2" t="s">
        <v>40</v>
      </c>
      <c r="S2080" s="2" t="s">
        <v>12947</v>
      </c>
      <c r="T2080" s="2" t="s">
        <v>2275</v>
      </c>
      <c r="U2080" s="2" t="s">
        <v>6900</v>
      </c>
      <c r="V2080" s="2" t="s">
        <v>12948</v>
      </c>
      <c r="W2080" s="1"/>
      <c r="X2080" s="2" t="s">
        <v>12941</v>
      </c>
      <c r="Y2080" s="2" t="s">
        <v>12913</v>
      </c>
      <c r="AA2080" t="str">
        <f t="shared" si="192"/>
        <v>2025-11</v>
      </c>
      <c r="AB2080" t="str">
        <f t="shared" si="193"/>
        <v/>
      </c>
      <c r="AC2080">
        <f t="shared" si="194"/>
        <v>55170.720000000001</v>
      </c>
      <c r="AD2080">
        <f t="shared" si="195"/>
        <v>10</v>
      </c>
      <c r="AE2080">
        <f t="shared" si="196"/>
        <v>10170.719999999999</v>
      </c>
      <c r="AF2080" t="str">
        <f t="shared" si="197"/>
        <v>Paid</v>
      </c>
    </row>
    <row r="2081" spans="1:32" ht="17.25" thickBot="1" x14ac:dyDescent="0.35">
      <c r="A2081" s="2" t="s">
        <v>12949</v>
      </c>
      <c r="B2081" s="2" t="s">
        <v>27</v>
      </c>
      <c r="C2081" s="2" t="s">
        <v>28</v>
      </c>
      <c r="D2081" s="2" t="s">
        <v>97</v>
      </c>
      <c r="E2081" s="2" t="s">
        <v>12904</v>
      </c>
      <c r="F2081" s="2" t="s">
        <v>8445</v>
      </c>
      <c r="G2081" s="2" t="s">
        <v>32</v>
      </c>
      <c r="H2081" s="1"/>
      <c r="I2081" s="2" t="s">
        <v>33</v>
      </c>
      <c r="J2081" s="2" t="s">
        <v>34</v>
      </c>
      <c r="K2081" s="2" t="s">
        <v>2349</v>
      </c>
      <c r="L2081" s="2" t="s">
        <v>2350</v>
      </c>
      <c r="M2081" s="2" t="s">
        <v>2270</v>
      </c>
      <c r="N2081" s="2" t="s">
        <v>38</v>
      </c>
      <c r="O2081" s="2" t="s">
        <v>214</v>
      </c>
      <c r="P2081" s="2" t="s">
        <v>5398</v>
      </c>
      <c r="Q2081" s="2" t="s">
        <v>12950</v>
      </c>
      <c r="R2081" s="2" t="s">
        <v>40</v>
      </c>
      <c r="S2081" s="2" t="s">
        <v>12951</v>
      </c>
      <c r="T2081" s="2" t="s">
        <v>2275</v>
      </c>
      <c r="U2081" s="2" t="s">
        <v>3314</v>
      </c>
      <c r="V2081" s="2" t="s">
        <v>12952</v>
      </c>
      <c r="W2081" s="1"/>
      <c r="X2081" s="2" t="s">
        <v>12941</v>
      </c>
      <c r="Y2081" s="2" t="s">
        <v>12913</v>
      </c>
      <c r="AA2081" t="str">
        <f t="shared" si="192"/>
        <v>2025-11</v>
      </c>
      <c r="AB2081" t="str">
        <f t="shared" si="193"/>
        <v/>
      </c>
      <c r="AC2081">
        <f t="shared" si="194"/>
        <v>275853.59999999998</v>
      </c>
      <c r="AD2081">
        <f t="shared" si="195"/>
        <v>50</v>
      </c>
      <c r="AE2081">
        <f t="shared" si="196"/>
        <v>50853.599999999999</v>
      </c>
      <c r="AF2081" t="str">
        <f t="shared" si="197"/>
        <v>Paid</v>
      </c>
    </row>
    <row r="2082" spans="1:32" ht="27.75" thickBot="1" x14ac:dyDescent="0.35">
      <c r="A2082" s="2" t="s">
        <v>12953</v>
      </c>
      <c r="B2082" s="2" t="s">
        <v>27</v>
      </c>
      <c r="C2082" s="2" t="s">
        <v>28</v>
      </c>
      <c r="D2082" s="2" t="s">
        <v>97</v>
      </c>
      <c r="E2082" s="2" t="s">
        <v>12904</v>
      </c>
      <c r="F2082" s="2" t="s">
        <v>8445</v>
      </c>
      <c r="G2082" s="2" t="s">
        <v>32</v>
      </c>
      <c r="H2082" s="1"/>
      <c r="I2082" s="2" t="s">
        <v>33</v>
      </c>
      <c r="J2082" s="2" t="s">
        <v>34</v>
      </c>
      <c r="K2082" s="2" t="s">
        <v>2356</v>
      </c>
      <c r="L2082" s="2" t="s">
        <v>2357</v>
      </c>
      <c r="M2082" s="2" t="s">
        <v>2270</v>
      </c>
      <c r="N2082" s="2" t="s">
        <v>38</v>
      </c>
      <c r="O2082" s="2" t="s">
        <v>79</v>
      </c>
      <c r="P2082" s="2" t="s">
        <v>5398</v>
      </c>
      <c r="Q2082" s="2" t="s">
        <v>12946</v>
      </c>
      <c r="R2082" s="2" t="s">
        <v>40</v>
      </c>
      <c r="S2082" s="2" t="s">
        <v>12947</v>
      </c>
      <c r="T2082" s="2" t="s">
        <v>2275</v>
      </c>
      <c r="U2082" s="2" t="s">
        <v>6900</v>
      </c>
      <c r="V2082" s="2" t="s">
        <v>12948</v>
      </c>
      <c r="W2082" s="1"/>
      <c r="X2082" s="2" t="s">
        <v>12941</v>
      </c>
      <c r="Y2082" s="2" t="s">
        <v>12913</v>
      </c>
      <c r="AA2082" t="str">
        <f t="shared" si="192"/>
        <v>2025-11</v>
      </c>
      <c r="AB2082" t="str">
        <f t="shared" si="193"/>
        <v/>
      </c>
      <c r="AC2082">
        <f t="shared" si="194"/>
        <v>55170.720000000001</v>
      </c>
      <c r="AD2082">
        <f t="shared" si="195"/>
        <v>10</v>
      </c>
      <c r="AE2082">
        <f t="shared" si="196"/>
        <v>10170.719999999999</v>
      </c>
      <c r="AF2082" t="str">
        <f t="shared" si="197"/>
        <v>Paid</v>
      </c>
    </row>
    <row r="2083" spans="1:32" ht="17.25" thickBot="1" x14ac:dyDescent="0.35">
      <c r="A2083" s="2" t="s">
        <v>12954</v>
      </c>
      <c r="B2083" s="2" t="s">
        <v>27</v>
      </c>
      <c r="C2083" s="2" t="s">
        <v>28</v>
      </c>
      <c r="D2083" s="2" t="s">
        <v>97</v>
      </c>
      <c r="E2083" s="2" t="s">
        <v>12904</v>
      </c>
      <c r="F2083" s="2" t="s">
        <v>8445</v>
      </c>
      <c r="G2083" s="2" t="s">
        <v>32</v>
      </c>
      <c r="H2083" s="1"/>
      <c r="I2083" s="2" t="s">
        <v>33</v>
      </c>
      <c r="J2083" s="2" t="s">
        <v>34</v>
      </c>
      <c r="K2083" s="2" t="s">
        <v>2387</v>
      </c>
      <c r="L2083" s="2" t="s">
        <v>2388</v>
      </c>
      <c r="M2083" s="2" t="s">
        <v>2389</v>
      </c>
      <c r="N2083" s="2" t="s">
        <v>38</v>
      </c>
      <c r="O2083" s="2" t="s">
        <v>214</v>
      </c>
      <c r="P2083" s="2" t="s">
        <v>3593</v>
      </c>
      <c r="Q2083" s="2" t="s">
        <v>6875</v>
      </c>
      <c r="R2083" s="2" t="s">
        <v>40</v>
      </c>
      <c r="S2083" s="2" t="s">
        <v>12955</v>
      </c>
      <c r="T2083" s="2" t="s">
        <v>2393</v>
      </c>
      <c r="U2083" s="2" t="s">
        <v>12956</v>
      </c>
      <c r="V2083" s="2" t="s">
        <v>12957</v>
      </c>
      <c r="W2083" s="1"/>
      <c r="X2083" s="2" t="s">
        <v>1042</v>
      </c>
      <c r="Y2083" s="2" t="s">
        <v>12913</v>
      </c>
      <c r="AA2083" t="str">
        <f t="shared" si="192"/>
        <v>2025-11</v>
      </c>
      <c r="AB2083" t="str">
        <f t="shared" si="193"/>
        <v/>
      </c>
      <c r="AC2083">
        <f t="shared" si="194"/>
        <v>203407.2</v>
      </c>
      <c r="AD2083">
        <f t="shared" si="195"/>
        <v>50</v>
      </c>
      <c r="AE2083">
        <f t="shared" si="196"/>
        <v>48861.75</v>
      </c>
      <c r="AF2083" t="str">
        <f t="shared" si="197"/>
        <v>Paid</v>
      </c>
    </row>
    <row r="2084" spans="1:32" ht="17.25" thickBot="1" x14ac:dyDescent="0.35">
      <c r="A2084" s="2" t="s">
        <v>12958</v>
      </c>
      <c r="B2084" s="2" t="s">
        <v>27</v>
      </c>
      <c r="C2084" s="2" t="s">
        <v>28</v>
      </c>
      <c r="D2084" s="2" t="s">
        <v>97</v>
      </c>
      <c r="E2084" s="2" t="s">
        <v>12904</v>
      </c>
      <c r="F2084" s="2" t="s">
        <v>8445</v>
      </c>
      <c r="G2084" s="2" t="s">
        <v>32</v>
      </c>
      <c r="H2084" s="1"/>
      <c r="I2084" s="2" t="s">
        <v>33</v>
      </c>
      <c r="J2084" s="2" t="s">
        <v>34</v>
      </c>
      <c r="K2084" s="2" t="s">
        <v>2421</v>
      </c>
      <c r="L2084" s="2" t="s">
        <v>2422</v>
      </c>
      <c r="M2084" s="2" t="s">
        <v>2389</v>
      </c>
      <c r="N2084" s="2" t="s">
        <v>38</v>
      </c>
      <c r="O2084" s="2" t="s">
        <v>79</v>
      </c>
      <c r="P2084" s="2" t="s">
        <v>12959</v>
      </c>
      <c r="Q2084" s="2" t="s">
        <v>12960</v>
      </c>
      <c r="R2084" s="2" t="s">
        <v>40</v>
      </c>
      <c r="S2084" s="2" t="s">
        <v>12961</v>
      </c>
      <c r="T2084" s="2" t="s">
        <v>2426</v>
      </c>
      <c r="U2084" s="2" t="s">
        <v>12962</v>
      </c>
      <c r="V2084" s="2" t="s">
        <v>12963</v>
      </c>
      <c r="W2084" s="1"/>
      <c r="X2084" s="2" t="s">
        <v>2781</v>
      </c>
      <c r="Y2084" s="2" t="s">
        <v>12913</v>
      </c>
      <c r="AA2084" t="str">
        <f t="shared" si="192"/>
        <v>2025-11</v>
      </c>
      <c r="AB2084" t="str">
        <f t="shared" si="193"/>
        <v/>
      </c>
      <c r="AC2084">
        <f t="shared" si="194"/>
        <v>40263.480000000003</v>
      </c>
      <c r="AD2084">
        <f t="shared" si="195"/>
        <v>10</v>
      </c>
      <c r="AE2084">
        <f t="shared" si="196"/>
        <v>8354.39</v>
      </c>
      <c r="AF2084" t="str">
        <f t="shared" si="197"/>
        <v>Paid</v>
      </c>
    </row>
    <row r="2085" spans="1:32" ht="17.25" thickBot="1" x14ac:dyDescent="0.35">
      <c r="A2085" s="2" t="s">
        <v>12964</v>
      </c>
      <c r="B2085" s="2" t="s">
        <v>27</v>
      </c>
      <c r="C2085" s="2" t="s">
        <v>28</v>
      </c>
      <c r="D2085" s="2" t="s">
        <v>97</v>
      </c>
      <c r="E2085" s="2" t="s">
        <v>12904</v>
      </c>
      <c r="F2085" s="2" t="s">
        <v>8445</v>
      </c>
      <c r="G2085" s="2" t="s">
        <v>32</v>
      </c>
      <c r="H2085" s="1"/>
      <c r="I2085" s="2" t="s">
        <v>33</v>
      </c>
      <c r="J2085" s="2" t="s">
        <v>34</v>
      </c>
      <c r="K2085" s="2" t="s">
        <v>2431</v>
      </c>
      <c r="L2085" s="2" t="s">
        <v>2432</v>
      </c>
      <c r="M2085" s="2" t="s">
        <v>2389</v>
      </c>
      <c r="N2085" s="2" t="s">
        <v>38</v>
      </c>
      <c r="O2085" s="2" t="s">
        <v>214</v>
      </c>
      <c r="P2085" s="2" t="s">
        <v>12965</v>
      </c>
      <c r="Q2085" s="2" t="s">
        <v>12966</v>
      </c>
      <c r="R2085" s="2" t="s">
        <v>40</v>
      </c>
      <c r="S2085" s="2" t="s">
        <v>12967</v>
      </c>
      <c r="T2085" s="2" t="s">
        <v>2436</v>
      </c>
      <c r="U2085" s="2" t="s">
        <v>12968</v>
      </c>
      <c r="V2085" s="2" t="s">
        <v>12969</v>
      </c>
      <c r="W2085" s="1"/>
      <c r="X2085" s="2" t="s">
        <v>2958</v>
      </c>
      <c r="Y2085" s="2" t="s">
        <v>12913</v>
      </c>
      <c r="AA2085" t="str">
        <f t="shared" si="192"/>
        <v>2025-11</v>
      </c>
      <c r="AB2085" t="str">
        <f t="shared" si="193"/>
        <v/>
      </c>
      <c r="AC2085">
        <f t="shared" si="194"/>
        <v>382433.4</v>
      </c>
      <c r="AD2085">
        <f t="shared" si="195"/>
        <v>50</v>
      </c>
      <c r="AE2085">
        <f t="shared" si="196"/>
        <v>88115.22</v>
      </c>
      <c r="AF2085" t="str">
        <f t="shared" si="197"/>
        <v>Paid</v>
      </c>
    </row>
    <row r="2086" spans="1:32" ht="17.25" thickBot="1" x14ac:dyDescent="0.35">
      <c r="A2086" s="2" t="s">
        <v>12970</v>
      </c>
      <c r="B2086" s="2" t="s">
        <v>27</v>
      </c>
      <c r="C2086" s="2" t="s">
        <v>28</v>
      </c>
      <c r="D2086" s="2" t="s">
        <v>97</v>
      </c>
      <c r="E2086" s="2" t="s">
        <v>12904</v>
      </c>
      <c r="F2086" s="2" t="s">
        <v>8445</v>
      </c>
      <c r="G2086" s="2" t="s">
        <v>32</v>
      </c>
      <c r="H2086" s="1"/>
      <c r="I2086" s="2" t="s">
        <v>33</v>
      </c>
      <c r="J2086" s="2" t="s">
        <v>34</v>
      </c>
      <c r="K2086" s="2" t="s">
        <v>2459</v>
      </c>
      <c r="L2086" s="2" t="s">
        <v>2460</v>
      </c>
      <c r="M2086" s="2" t="s">
        <v>2389</v>
      </c>
      <c r="N2086" s="2" t="s">
        <v>38</v>
      </c>
      <c r="O2086" s="2" t="s">
        <v>131</v>
      </c>
      <c r="P2086" s="2" t="s">
        <v>8625</v>
      </c>
      <c r="Q2086" s="2" t="s">
        <v>12971</v>
      </c>
      <c r="R2086" s="2" t="s">
        <v>40</v>
      </c>
      <c r="S2086" s="2" t="s">
        <v>12972</v>
      </c>
      <c r="T2086" s="2" t="s">
        <v>2464</v>
      </c>
      <c r="U2086" s="2" t="s">
        <v>12973</v>
      </c>
      <c r="V2086" s="2" t="s">
        <v>12974</v>
      </c>
      <c r="W2086" s="1"/>
      <c r="X2086" s="2" t="s">
        <v>6902</v>
      </c>
      <c r="Y2086" s="2" t="s">
        <v>12913</v>
      </c>
      <c r="AA2086" t="str">
        <f t="shared" si="192"/>
        <v>2025-11</v>
      </c>
      <c r="AB2086" t="str">
        <f t="shared" si="193"/>
        <v/>
      </c>
      <c r="AC2086">
        <f t="shared" si="194"/>
        <v>100310.39999999999</v>
      </c>
      <c r="AD2086">
        <f t="shared" si="195"/>
        <v>40</v>
      </c>
      <c r="AE2086">
        <f t="shared" si="196"/>
        <v>23946.76</v>
      </c>
      <c r="AF2086" t="str">
        <f t="shared" si="197"/>
        <v>Paid</v>
      </c>
    </row>
    <row r="2087" spans="1:32" ht="17.25" thickBot="1" x14ac:dyDescent="0.35">
      <c r="A2087" s="2" t="s">
        <v>12975</v>
      </c>
      <c r="B2087" s="2" t="s">
        <v>27</v>
      </c>
      <c r="C2087" s="2" t="s">
        <v>28</v>
      </c>
      <c r="D2087" s="2" t="s">
        <v>97</v>
      </c>
      <c r="E2087" s="2" t="s">
        <v>12904</v>
      </c>
      <c r="F2087" s="2" t="s">
        <v>8445</v>
      </c>
      <c r="G2087" s="2" t="s">
        <v>32</v>
      </c>
      <c r="H2087" s="1"/>
      <c r="I2087" s="2" t="s">
        <v>33</v>
      </c>
      <c r="J2087" s="2" t="s">
        <v>34</v>
      </c>
      <c r="K2087" s="2" t="s">
        <v>12976</v>
      </c>
      <c r="L2087" s="2" t="s">
        <v>12977</v>
      </c>
      <c r="M2087" s="2" t="s">
        <v>2389</v>
      </c>
      <c r="N2087" s="2" t="s">
        <v>38</v>
      </c>
      <c r="O2087" s="2" t="s">
        <v>849</v>
      </c>
      <c r="P2087" s="2" t="s">
        <v>1217</v>
      </c>
      <c r="Q2087" s="2" t="s">
        <v>12978</v>
      </c>
      <c r="R2087" s="2" t="s">
        <v>40</v>
      </c>
      <c r="S2087" s="2" t="s">
        <v>12979</v>
      </c>
      <c r="T2087" s="2" t="s">
        <v>11615</v>
      </c>
      <c r="U2087" s="2" t="s">
        <v>12980</v>
      </c>
      <c r="V2087" s="2" t="s">
        <v>12981</v>
      </c>
      <c r="W2087" s="1"/>
      <c r="X2087" s="2" t="s">
        <v>7108</v>
      </c>
      <c r="Y2087" s="2" t="s">
        <v>12913</v>
      </c>
      <c r="AA2087" t="str">
        <f t="shared" si="192"/>
        <v>2025-11</v>
      </c>
      <c r="AB2087" t="str">
        <f t="shared" si="193"/>
        <v/>
      </c>
      <c r="AC2087">
        <f t="shared" si="194"/>
        <v>1301806.0800000001</v>
      </c>
      <c r="AD2087">
        <f t="shared" si="195"/>
        <v>160</v>
      </c>
      <c r="AE2087">
        <f t="shared" si="196"/>
        <v>283624.27</v>
      </c>
      <c r="AF2087" t="str">
        <f t="shared" si="197"/>
        <v>Paid</v>
      </c>
    </row>
    <row r="2088" spans="1:32" ht="17.25" thickBot="1" x14ac:dyDescent="0.35">
      <c r="A2088" s="2" t="s">
        <v>12982</v>
      </c>
      <c r="B2088" s="2" t="s">
        <v>27</v>
      </c>
      <c r="C2088" s="2" t="s">
        <v>28</v>
      </c>
      <c r="D2088" s="2" t="s">
        <v>97</v>
      </c>
      <c r="E2088" s="2" t="s">
        <v>12904</v>
      </c>
      <c r="F2088" s="2" t="s">
        <v>8445</v>
      </c>
      <c r="G2088" s="2" t="s">
        <v>32</v>
      </c>
      <c r="H2088" s="1"/>
      <c r="I2088" s="2" t="s">
        <v>33</v>
      </c>
      <c r="J2088" s="2" t="s">
        <v>34</v>
      </c>
      <c r="K2088" s="2" t="s">
        <v>2509</v>
      </c>
      <c r="L2088" s="2" t="s">
        <v>2510</v>
      </c>
      <c r="M2088" s="2" t="s">
        <v>2389</v>
      </c>
      <c r="N2088" s="2" t="s">
        <v>38</v>
      </c>
      <c r="O2088" s="2" t="s">
        <v>131</v>
      </c>
      <c r="P2088" s="2" t="s">
        <v>2720</v>
      </c>
      <c r="Q2088" s="2" t="s">
        <v>12983</v>
      </c>
      <c r="R2088" s="2" t="s">
        <v>40</v>
      </c>
      <c r="S2088" s="2" t="s">
        <v>12984</v>
      </c>
      <c r="T2088" s="2" t="s">
        <v>2513</v>
      </c>
      <c r="U2088" s="2" t="s">
        <v>12985</v>
      </c>
      <c r="V2088" s="2" t="s">
        <v>12986</v>
      </c>
      <c r="W2088" s="1"/>
      <c r="X2088" s="2" t="s">
        <v>1042</v>
      </c>
      <c r="Y2088" s="2" t="s">
        <v>12913</v>
      </c>
      <c r="AA2088" t="str">
        <f t="shared" si="192"/>
        <v>2025-11</v>
      </c>
      <c r="AB2088" t="str">
        <f t="shared" si="193"/>
        <v/>
      </c>
      <c r="AC2088">
        <f t="shared" si="194"/>
        <v>390653.28</v>
      </c>
      <c r="AD2088">
        <f t="shared" si="195"/>
        <v>40</v>
      </c>
      <c r="AE2088">
        <f t="shared" si="196"/>
        <v>93926.01</v>
      </c>
      <c r="AF2088" t="str">
        <f t="shared" si="197"/>
        <v>Paid</v>
      </c>
    </row>
    <row r="2089" spans="1:32" ht="17.25" thickBot="1" x14ac:dyDescent="0.35">
      <c r="A2089" s="2" t="s">
        <v>12987</v>
      </c>
      <c r="B2089" s="2" t="s">
        <v>27</v>
      </c>
      <c r="C2089" s="2" t="s">
        <v>28</v>
      </c>
      <c r="D2089" s="2" t="s">
        <v>97</v>
      </c>
      <c r="E2089" s="2" t="s">
        <v>12904</v>
      </c>
      <c r="F2089" s="2" t="s">
        <v>8445</v>
      </c>
      <c r="G2089" s="2" t="s">
        <v>32</v>
      </c>
      <c r="H2089" s="1"/>
      <c r="I2089" s="2" t="s">
        <v>33</v>
      </c>
      <c r="J2089" s="2" t="s">
        <v>34</v>
      </c>
      <c r="K2089" s="2" t="s">
        <v>12988</v>
      </c>
      <c r="L2089" s="2" t="s">
        <v>12989</v>
      </c>
      <c r="M2089" s="2" t="s">
        <v>2389</v>
      </c>
      <c r="N2089" s="2" t="s">
        <v>38</v>
      </c>
      <c r="O2089" s="2" t="s">
        <v>156</v>
      </c>
      <c r="P2089" s="2" t="s">
        <v>12990</v>
      </c>
      <c r="Q2089" s="2" t="s">
        <v>12991</v>
      </c>
      <c r="R2089" s="2" t="s">
        <v>40</v>
      </c>
      <c r="S2089" s="2" t="s">
        <v>12992</v>
      </c>
      <c r="T2089" s="2" t="s">
        <v>12993</v>
      </c>
      <c r="U2089" s="2" t="s">
        <v>1591</v>
      </c>
      <c r="V2089" s="2" t="s">
        <v>12994</v>
      </c>
      <c r="W2089" s="1"/>
      <c r="X2089" s="2" t="s">
        <v>12995</v>
      </c>
      <c r="Y2089" s="2" t="s">
        <v>12913</v>
      </c>
      <c r="AA2089" t="str">
        <f t="shared" si="192"/>
        <v>2025-11</v>
      </c>
      <c r="AB2089" t="str">
        <f t="shared" si="193"/>
        <v/>
      </c>
      <c r="AC2089">
        <f t="shared" si="194"/>
        <v>57121.2</v>
      </c>
      <c r="AD2089">
        <f t="shared" si="195"/>
        <v>20</v>
      </c>
      <c r="AE2089">
        <f t="shared" si="196"/>
        <v>30939.38</v>
      </c>
      <c r="AF2089" t="str">
        <f t="shared" si="197"/>
        <v>Paid</v>
      </c>
    </row>
    <row r="2090" spans="1:32" ht="17.25" thickBot="1" x14ac:dyDescent="0.35">
      <c r="A2090" s="2" t="s">
        <v>12996</v>
      </c>
      <c r="B2090" s="2" t="s">
        <v>27</v>
      </c>
      <c r="C2090" s="2" t="s">
        <v>28</v>
      </c>
      <c r="D2090" s="2" t="s">
        <v>97</v>
      </c>
      <c r="E2090" s="2" t="s">
        <v>12904</v>
      </c>
      <c r="F2090" s="2" t="s">
        <v>8445</v>
      </c>
      <c r="G2090" s="2" t="s">
        <v>32</v>
      </c>
      <c r="H2090" s="1"/>
      <c r="I2090" s="2" t="s">
        <v>33</v>
      </c>
      <c r="J2090" s="2" t="s">
        <v>34</v>
      </c>
      <c r="K2090" s="2" t="s">
        <v>2570</v>
      </c>
      <c r="L2090" s="2" t="s">
        <v>2571</v>
      </c>
      <c r="M2090" s="2" t="s">
        <v>2389</v>
      </c>
      <c r="N2090" s="2" t="s">
        <v>38</v>
      </c>
      <c r="O2090" s="2" t="s">
        <v>79</v>
      </c>
      <c r="P2090" s="2" t="s">
        <v>6946</v>
      </c>
      <c r="Q2090" s="2" t="s">
        <v>12997</v>
      </c>
      <c r="R2090" s="2" t="s">
        <v>40</v>
      </c>
      <c r="S2090" s="2" t="s">
        <v>12998</v>
      </c>
      <c r="T2090" s="2" t="s">
        <v>1874</v>
      </c>
      <c r="U2090" s="2" t="s">
        <v>11331</v>
      </c>
      <c r="V2090" s="2" t="s">
        <v>12999</v>
      </c>
      <c r="W2090" s="1"/>
      <c r="X2090" s="2" t="s">
        <v>9891</v>
      </c>
      <c r="Y2090" s="2" t="s">
        <v>12913</v>
      </c>
      <c r="AA2090" t="str">
        <f t="shared" si="192"/>
        <v>2025-11</v>
      </c>
      <c r="AB2090" t="str">
        <f t="shared" si="193"/>
        <v/>
      </c>
      <c r="AC2090">
        <f t="shared" si="194"/>
        <v>122322.96</v>
      </c>
      <c r="AD2090">
        <f t="shared" si="195"/>
        <v>10</v>
      </c>
      <c r="AE2090">
        <f t="shared" si="196"/>
        <v>33232.050000000003</v>
      </c>
      <c r="AF2090" t="str">
        <f t="shared" si="197"/>
        <v>Paid</v>
      </c>
    </row>
    <row r="2091" spans="1:32" ht="17.25" thickBot="1" x14ac:dyDescent="0.35">
      <c r="A2091" s="2" t="s">
        <v>13000</v>
      </c>
      <c r="B2091" s="2" t="s">
        <v>27</v>
      </c>
      <c r="C2091" s="2" t="s">
        <v>28</v>
      </c>
      <c r="D2091" s="2" t="s">
        <v>97</v>
      </c>
      <c r="E2091" s="2" t="s">
        <v>12904</v>
      </c>
      <c r="F2091" s="2" t="s">
        <v>8445</v>
      </c>
      <c r="G2091" s="2" t="s">
        <v>32</v>
      </c>
      <c r="H2091" s="1"/>
      <c r="I2091" s="2" t="s">
        <v>33</v>
      </c>
      <c r="J2091" s="2" t="s">
        <v>34</v>
      </c>
      <c r="K2091" s="2" t="s">
        <v>2595</v>
      </c>
      <c r="L2091" s="2" t="s">
        <v>2596</v>
      </c>
      <c r="M2091" s="2" t="s">
        <v>2389</v>
      </c>
      <c r="N2091" s="2" t="s">
        <v>38</v>
      </c>
      <c r="O2091" s="2" t="s">
        <v>156</v>
      </c>
      <c r="P2091" s="2" t="s">
        <v>2031</v>
      </c>
      <c r="Q2091" s="2" t="s">
        <v>13001</v>
      </c>
      <c r="R2091" s="2" t="s">
        <v>40</v>
      </c>
      <c r="S2091" s="2" t="s">
        <v>13002</v>
      </c>
      <c r="T2091" s="2" t="s">
        <v>13003</v>
      </c>
      <c r="U2091" s="2" t="s">
        <v>13004</v>
      </c>
      <c r="V2091" s="2" t="s">
        <v>13005</v>
      </c>
      <c r="W2091" s="1"/>
      <c r="X2091" s="2" t="s">
        <v>817</v>
      </c>
      <c r="Y2091" s="2" t="s">
        <v>12913</v>
      </c>
      <c r="AA2091" t="str">
        <f t="shared" si="192"/>
        <v>2025-11</v>
      </c>
      <c r="AB2091" t="str">
        <f t="shared" si="193"/>
        <v/>
      </c>
      <c r="AC2091">
        <f t="shared" si="194"/>
        <v>141827.76</v>
      </c>
      <c r="AD2091">
        <f t="shared" si="195"/>
        <v>20</v>
      </c>
      <c r="AE2091">
        <f t="shared" si="196"/>
        <v>34907.760000000002</v>
      </c>
      <c r="AF2091" t="str">
        <f t="shared" si="197"/>
        <v>Paid</v>
      </c>
    </row>
    <row r="2092" spans="1:32" ht="17.25" thickBot="1" x14ac:dyDescent="0.35">
      <c r="A2092" s="2" t="s">
        <v>13006</v>
      </c>
      <c r="B2092" s="2" t="s">
        <v>27</v>
      </c>
      <c r="C2092" s="2" t="s">
        <v>28</v>
      </c>
      <c r="D2092" s="2" t="s">
        <v>97</v>
      </c>
      <c r="E2092" s="2" t="s">
        <v>12904</v>
      </c>
      <c r="F2092" s="2" t="s">
        <v>8445</v>
      </c>
      <c r="G2092" s="2" t="s">
        <v>32</v>
      </c>
      <c r="H2092" s="1"/>
      <c r="I2092" s="2" t="s">
        <v>33</v>
      </c>
      <c r="J2092" s="2" t="s">
        <v>34</v>
      </c>
      <c r="K2092" s="2" t="s">
        <v>13007</v>
      </c>
      <c r="L2092" s="2" t="s">
        <v>13008</v>
      </c>
      <c r="M2092" s="2" t="s">
        <v>8664</v>
      </c>
      <c r="N2092" s="2" t="s">
        <v>38</v>
      </c>
      <c r="O2092" s="2" t="s">
        <v>159</v>
      </c>
      <c r="P2092" s="2" t="s">
        <v>1114</v>
      </c>
      <c r="Q2092" s="2" t="s">
        <v>13009</v>
      </c>
      <c r="R2092" s="2" t="s">
        <v>40</v>
      </c>
      <c r="S2092" s="2" t="s">
        <v>13010</v>
      </c>
      <c r="T2092" s="2" t="s">
        <v>13011</v>
      </c>
      <c r="U2092" s="2" t="s">
        <v>3640</v>
      </c>
      <c r="V2092" s="2" t="s">
        <v>13012</v>
      </c>
      <c r="W2092" s="1"/>
      <c r="X2092" s="2" t="s">
        <v>1774</v>
      </c>
      <c r="Y2092" s="2" t="s">
        <v>12913</v>
      </c>
      <c r="AA2092" t="str">
        <f t="shared" si="192"/>
        <v>2025-11</v>
      </c>
      <c r="AB2092" t="str">
        <f t="shared" si="193"/>
        <v/>
      </c>
      <c r="AC2092">
        <f t="shared" si="194"/>
        <v>286441.92</v>
      </c>
      <c r="AD2092">
        <f t="shared" si="195"/>
        <v>80</v>
      </c>
      <c r="AE2092">
        <f t="shared" si="196"/>
        <v>68260.100000000006</v>
      </c>
      <c r="AF2092" t="str">
        <f t="shared" si="197"/>
        <v>Paid</v>
      </c>
    </row>
    <row r="2093" spans="1:32" ht="17.25" thickBot="1" x14ac:dyDescent="0.35">
      <c r="A2093" s="2" t="s">
        <v>13013</v>
      </c>
      <c r="B2093" s="2" t="s">
        <v>27</v>
      </c>
      <c r="C2093" s="2" t="s">
        <v>28</v>
      </c>
      <c r="D2093" s="2" t="s">
        <v>97</v>
      </c>
      <c r="E2093" s="2" t="s">
        <v>12904</v>
      </c>
      <c r="F2093" s="2" t="s">
        <v>8445</v>
      </c>
      <c r="G2093" s="2" t="s">
        <v>32</v>
      </c>
      <c r="H2093" s="1"/>
      <c r="I2093" s="2" t="s">
        <v>33</v>
      </c>
      <c r="J2093" s="2" t="s">
        <v>34</v>
      </c>
      <c r="K2093" s="2" t="s">
        <v>9421</v>
      </c>
      <c r="L2093" s="2" t="s">
        <v>9422</v>
      </c>
      <c r="M2093" s="2" t="s">
        <v>8664</v>
      </c>
      <c r="N2093" s="2" t="s">
        <v>38</v>
      </c>
      <c r="O2093" s="2" t="s">
        <v>221</v>
      </c>
      <c r="P2093" s="2" t="s">
        <v>1124</v>
      </c>
      <c r="Q2093" s="2" t="s">
        <v>13014</v>
      </c>
      <c r="R2093" s="2" t="s">
        <v>40</v>
      </c>
      <c r="S2093" s="2" t="s">
        <v>13015</v>
      </c>
      <c r="T2093" s="2" t="s">
        <v>9425</v>
      </c>
      <c r="U2093" s="2" t="s">
        <v>13016</v>
      </c>
      <c r="V2093" s="2" t="s">
        <v>13017</v>
      </c>
      <c r="W2093" s="1"/>
      <c r="X2093" s="2" t="s">
        <v>425</v>
      </c>
      <c r="Y2093" s="2" t="s">
        <v>12913</v>
      </c>
      <c r="AA2093" t="str">
        <f t="shared" si="192"/>
        <v>2025-11</v>
      </c>
      <c r="AB2093" t="str">
        <f t="shared" si="193"/>
        <v/>
      </c>
      <c r="AC2093">
        <f t="shared" si="194"/>
        <v>834805.44</v>
      </c>
      <c r="AD2093">
        <f t="shared" si="195"/>
        <v>140</v>
      </c>
      <c r="AE2093">
        <f t="shared" si="196"/>
        <v>95605.440000000002</v>
      </c>
      <c r="AF2093" t="str">
        <f t="shared" si="197"/>
        <v>Paid</v>
      </c>
    </row>
    <row r="2094" spans="1:32" ht="27.75" thickBot="1" x14ac:dyDescent="0.35">
      <c r="A2094" s="2" t="s">
        <v>13018</v>
      </c>
      <c r="B2094" s="2" t="s">
        <v>27</v>
      </c>
      <c r="C2094" s="2" t="s">
        <v>28</v>
      </c>
      <c r="D2094" s="2" t="s">
        <v>97</v>
      </c>
      <c r="E2094" s="2" t="s">
        <v>12904</v>
      </c>
      <c r="F2094" s="2" t="s">
        <v>8445</v>
      </c>
      <c r="G2094" s="2" t="s">
        <v>32</v>
      </c>
      <c r="H2094" s="1"/>
      <c r="I2094" s="2" t="s">
        <v>33</v>
      </c>
      <c r="J2094" s="2" t="s">
        <v>34</v>
      </c>
      <c r="K2094" s="2" t="s">
        <v>8662</v>
      </c>
      <c r="L2094" s="2" t="s">
        <v>8663</v>
      </c>
      <c r="M2094" s="2" t="s">
        <v>8664</v>
      </c>
      <c r="N2094" s="2" t="s">
        <v>38</v>
      </c>
      <c r="O2094" s="2" t="s">
        <v>221</v>
      </c>
      <c r="P2094" s="2" t="s">
        <v>1124</v>
      </c>
      <c r="Q2094" s="2" t="s">
        <v>13014</v>
      </c>
      <c r="R2094" s="2" t="s">
        <v>40</v>
      </c>
      <c r="S2094" s="2" t="s">
        <v>13015</v>
      </c>
      <c r="T2094" s="2" t="s">
        <v>13019</v>
      </c>
      <c r="U2094" s="2" t="s">
        <v>13020</v>
      </c>
      <c r="V2094" s="2" t="s">
        <v>13021</v>
      </c>
      <c r="W2094" s="1"/>
      <c r="X2094" s="2" t="s">
        <v>1774</v>
      </c>
      <c r="Y2094" s="2" t="s">
        <v>12913</v>
      </c>
      <c r="AA2094" t="str">
        <f t="shared" si="192"/>
        <v>2025-11</v>
      </c>
      <c r="AB2094" t="str">
        <f t="shared" si="193"/>
        <v/>
      </c>
      <c r="AC2094">
        <f t="shared" si="194"/>
        <v>834805.44</v>
      </c>
      <c r="AD2094">
        <f t="shared" si="195"/>
        <v>140</v>
      </c>
      <c r="AE2094">
        <f t="shared" si="196"/>
        <v>198365.44</v>
      </c>
      <c r="AF2094" t="str">
        <f t="shared" si="197"/>
        <v>Paid</v>
      </c>
    </row>
    <row r="2095" spans="1:32" ht="17.25" thickBot="1" x14ac:dyDescent="0.35">
      <c r="A2095" s="2" t="s">
        <v>13022</v>
      </c>
      <c r="B2095" s="2" t="s">
        <v>27</v>
      </c>
      <c r="C2095" s="2" t="s">
        <v>28</v>
      </c>
      <c r="D2095" s="2" t="s">
        <v>97</v>
      </c>
      <c r="E2095" s="2" t="s">
        <v>12904</v>
      </c>
      <c r="F2095" s="2" t="s">
        <v>8445</v>
      </c>
      <c r="G2095" s="2" t="s">
        <v>32</v>
      </c>
      <c r="H2095" s="1"/>
      <c r="I2095" s="2" t="s">
        <v>33</v>
      </c>
      <c r="J2095" s="2" t="s">
        <v>34</v>
      </c>
      <c r="K2095" s="2" t="s">
        <v>9434</v>
      </c>
      <c r="L2095" s="2" t="s">
        <v>9435</v>
      </c>
      <c r="M2095" s="2" t="s">
        <v>8664</v>
      </c>
      <c r="N2095" s="2" t="s">
        <v>38</v>
      </c>
      <c r="O2095" s="2" t="s">
        <v>141</v>
      </c>
      <c r="P2095" s="2" t="s">
        <v>1124</v>
      </c>
      <c r="Q2095" s="2" t="s">
        <v>13023</v>
      </c>
      <c r="R2095" s="2" t="s">
        <v>40</v>
      </c>
      <c r="S2095" s="2" t="s">
        <v>13024</v>
      </c>
      <c r="T2095" s="2" t="s">
        <v>13019</v>
      </c>
      <c r="U2095" s="2" t="s">
        <v>13025</v>
      </c>
      <c r="V2095" s="2" t="s">
        <v>13026</v>
      </c>
      <c r="W2095" s="1"/>
      <c r="X2095" s="2" t="s">
        <v>1774</v>
      </c>
      <c r="Y2095" s="2" t="s">
        <v>12913</v>
      </c>
      <c r="AA2095" t="str">
        <f t="shared" si="192"/>
        <v>2025-11</v>
      </c>
      <c r="AB2095" t="str">
        <f t="shared" si="193"/>
        <v/>
      </c>
      <c r="AC2095">
        <f t="shared" si="194"/>
        <v>178886.88</v>
      </c>
      <c r="AD2095">
        <f t="shared" si="195"/>
        <v>30</v>
      </c>
      <c r="AE2095">
        <f t="shared" si="196"/>
        <v>42506.879999999997</v>
      </c>
      <c r="AF2095" t="str">
        <f t="shared" si="197"/>
        <v>Paid</v>
      </c>
    </row>
    <row r="2096" spans="1:32" ht="17.25" thickBot="1" x14ac:dyDescent="0.35">
      <c r="A2096" s="2" t="s">
        <v>13027</v>
      </c>
      <c r="B2096" s="2" t="s">
        <v>27</v>
      </c>
      <c r="C2096" s="2" t="s">
        <v>28</v>
      </c>
      <c r="D2096" s="2" t="s">
        <v>97</v>
      </c>
      <c r="E2096" s="2" t="s">
        <v>12904</v>
      </c>
      <c r="F2096" s="2" t="s">
        <v>8445</v>
      </c>
      <c r="G2096" s="2" t="s">
        <v>32</v>
      </c>
      <c r="H2096" s="1"/>
      <c r="I2096" s="2" t="s">
        <v>33</v>
      </c>
      <c r="J2096" s="2" t="s">
        <v>34</v>
      </c>
      <c r="K2096" s="2" t="s">
        <v>9441</v>
      </c>
      <c r="L2096" s="2" t="s">
        <v>9442</v>
      </c>
      <c r="M2096" s="2" t="s">
        <v>8664</v>
      </c>
      <c r="N2096" s="2" t="s">
        <v>38</v>
      </c>
      <c r="O2096" s="2" t="s">
        <v>156</v>
      </c>
      <c r="P2096" s="2" t="s">
        <v>7727</v>
      </c>
      <c r="Q2096" s="2" t="s">
        <v>13028</v>
      </c>
      <c r="R2096" s="2" t="s">
        <v>40</v>
      </c>
      <c r="S2096" s="2" t="s">
        <v>13029</v>
      </c>
      <c r="T2096" s="2" t="s">
        <v>3163</v>
      </c>
      <c r="U2096" s="2" t="s">
        <v>3192</v>
      </c>
      <c r="V2096" s="2" t="s">
        <v>13030</v>
      </c>
      <c r="W2096" s="1"/>
      <c r="X2096" s="2" t="s">
        <v>1082</v>
      </c>
      <c r="Y2096" s="2" t="s">
        <v>12913</v>
      </c>
      <c r="AA2096" t="str">
        <f t="shared" si="192"/>
        <v>2025-11</v>
      </c>
      <c r="AB2096" t="str">
        <f t="shared" si="193"/>
        <v/>
      </c>
      <c r="AC2096">
        <f t="shared" si="194"/>
        <v>130960.8</v>
      </c>
      <c r="AD2096">
        <f t="shared" si="195"/>
        <v>20</v>
      </c>
      <c r="AE2096">
        <f t="shared" si="196"/>
        <v>30960.799999999999</v>
      </c>
      <c r="AF2096" t="str">
        <f t="shared" si="197"/>
        <v>Paid</v>
      </c>
    </row>
    <row r="2097" spans="1:32" ht="17.25" thickBot="1" x14ac:dyDescent="0.35">
      <c r="A2097" s="2" t="s">
        <v>13031</v>
      </c>
      <c r="B2097" s="2" t="s">
        <v>27</v>
      </c>
      <c r="C2097" s="2" t="s">
        <v>28</v>
      </c>
      <c r="D2097" s="2" t="s">
        <v>97</v>
      </c>
      <c r="E2097" s="2" t="s">
        <v>12904</v>
      </c>
      <c r="F2097" s="2" t="s">
        <v>8445</v>
      </c>
      <c r="G2097" s="2" t="s">
        <v>32</v>
      </c>
      <c r="H2097" s="1"/>
      <c r="I2097" s="2" t="s">
        <v>33</v>
      </c>
      <c r="J2097" s="2" t="s">
        <v>34</v>
      </c>
      <c r="K2097" s="2" t="s">
        <v>13032</v>
      </c>
      <c r="L2097" s="2" t="s">
        <v>13033</v>
      </c>
      <c r="M2097" s="2" t="s">
        <v>3474</v>
      </c>
      <c r="N2097" s="2" t="s">
        <v>38</v>
      </c>
      <c r="O2097" s="2" t="s">
        <v>156</v>
      </c>
      <c r="P2097" s="2" t="s">
        <v>13034</v>
      </c>
      <c r="Q2097" s="2" t="s">
        <v>13035</v>
      </c>
      <c r="R2097" s="2" t="s">
        <v>40</v>
      </c>
      <c r="S2097" s="2" t="s">
        <v>13036</v>
      </c>
      <c r="T2097" s="2" t="s">
        <v>13037</v>
      </c>
      <c r="U2097" s="2" t="s">
        <v>13038</v>
      </c>
      <c r="V2097" s="2" t="s">
        <v>13039</v>
      </c>
      <c r="W2097" s="1"/>
      <c r="X2097" s="2" t="s">
        <v>2806</v>
      </c>
      <c r="Y2097" s="2" t="s">
        <v>12913</v>
      </c>
      <c r="AA2097" t="str">
        <f t="shared" si="192"/>
        <v>2025-11</v>
      </c>
      <c r="AB2097" t="str">
        <f t="shared" si="193"/>
        <v/>
      </c>
      <c r="AC2097">
        <f t="shared" si="194"/>
        <v>371705.76</v>
      </c>
      <c r="AD2097">
        <f t="shared" si="195"/>
        <v>20</v>
      </c>
      <c r="AE2097">
        <f t="shared" si="196"/>
        <v>111705.76</v>
      </c>
      <c r="AF2097" t="str">
        <f t="shared" si="197"/>
        <v>Paid</v>
      </c>
    </row>
    <row r="2098" spans="1:32" ht="27.75" thickBot="1" x14ac:dyDescent="0.35">
      <c r="A2098" s="2" t="s">
        <v>13040</v>
      </c>
      <c r="B2098" s="2" t="s">
        <v>27</v>
      </c>
      <c r="C2098" s="2" t="s">
        <v>28</v>
      </c>
      <c r="D2098" s="2" t="s">
        <v>97</v>
      </c>
      <c r="E2098" s="2" t="s">
        <v>12904</v>
      </c>
      <c r="F2098" s="2" t="s">
        <v>8445</v>
      </c>
      <c r="G2098" s="2" t="s">
        <v>32</v>
      </c>
      <c r="H2098" s="1"/>
      <c r="I2098" s="2" t="s">
        <v>33</v>
      </c>
      <c r="J2098" s="2" t="s">
        <v>34</v>
      </c>
      <c r="K2098" s="2" t="s">
        <v>11405</v>
      </c>
      <c r="L2098" s="2" t="s">
        <v>11406</v>
      </c>
      <c r="M2098" s="2" t="s">
        <v>570</v>
      </c>
      <c r="N2098" s="2" t="s">
        <v>38</v>
      </c>
      <c r="O2098" s="2" t="s">
        <v>1086</v>
      </c>
      <c r="P2098" s="2" t="s">
        <v>13041</v>
      </c>
      <c r="Q2098" s="2" t="s">
        <v>13042</v>
      </c>
      <c r="R2098" s="2" t="s">
        <v>40</v>
      </c>
      <c r="S2098" s="2" t="s">
        <v>13043</v>
      </c>
      <c r="T2098" s="2" t="s">
        <v>575</v>
      </c>
      <c r="U2098" s="2" t="s">
        <v>13044</v>
      </c>
      <c r="V2098" s="2" t="s">
        <v>13045</v>
      </c>
      <c r="W2098" s="1"/>
      <c r="X2098" s="2" t="s">
        <v>2198</v>
      </c>
      <c r="Y2098" s="2" t="s">
        <v>12913</v>
      </c>
      <c r="AA2098" t="str">
        <f t="shared" si="192"/>
        <v>2025-11</v>
      </c>
      <c r="AB2098" t="str">
        <f t="shared" si="193"/>
        <v/>
      </c>
      <c r="AC2098">
        <f t="shared" si="194"/>
        <v>303021</v>
      </c>
      <c r="AD2098">
        <f t="shared" si="195"/>
        <v>750</v>
      </c>
      <c r="AE2098">
        <f t="shared" si="196"/>
        <v>57566.48</v>
      </c>
      <c r="AF2098" t="str">
        <f t="shared" si="197"/>
        <v>Paid</v>
      </c>
    </row>
    <row r="2099" spans="1:32" ht="27.75" thickBot="1" x14ac:dyDescent="0.35">
      <c r="A2099" s="2" t="s">
        <v>13046</v>
      </c>
      <c r="B2099" s="2" t="s">
        <v>27</v>
      </c>
      <c r="C2099" s="2" t="s">
        <v>28</v>
      </c>
      <c r="D2099" s="2" t="s">
        <v>97</v>
      </c>
      <c r="E2099" s="2" t="s">
        <v>12904</v>
      </c>
      <c r="F2099" s="2" t="s">
        <v>8445</v>
      </c>
      <c r="G2099" s="2" t="s">
        <v>32</v>
      </c>
      <c r="H2099" s="1"/>
      <c r="I2099" s="2" t="s">
        <v>33</v>
      </c>
      <c r="J2099" s="2" t="s">
        <v>34</v>
      </c>
      <c r="K2099" s="2" t="s">
        <v>632</v>
      </c>
      <c r="L2099" s="2" t="s">
        <v>633</v>
      </c>
      <c r="M2099" s="2" t="s">
        <v>634</v>
      </c>
      <c r="N2099" s="2" t="s">
        <v>38</v>
      </c>
      <c r="O2099" s="2" t="s">
        <v>131</v>
      </c>
      <c r="P2099" s="2" t="s">
        <v>13047</v>
      </c>
      <c r="Q2099" s="2" t="s">
        <v>13048</v>
      </c>
      <c r="R2099" s="2" t="s">
        <v>40</v>
      </c>
      <c r="S2099" s="2" t="s">
        <v>13049</v>
      </c>
      <c r="T2099" s="2" t="s">
        <v>638</v>
      </c>
      <c r="U2099" s="2" t="s">
        <v>13050</v>
      </c>
      <c r="V2099" s="2" t="s">
        <v>13051</v>
      </c>
      <c r="W2099" s="1"/>
      <c r="X2099" s="2" t="s">
        <v>13052</v>
      </c>
      <c r="Y2099" s="2" t="s">
        <v>12913</v>
      </c>
      <c r="AA2099" t="str">
        <f t="shared" si="192"/>
        <v>2025-11</v>
      </c>
      <c r="AB2099" t="str">
        <f t="shared" si="193"/>
        <v/>
      </c>
      <c r="AC2099">
        <f t="shared" si="194"/>
        <v>635299.19999999995</v>
      </c>
      <c r="AD2099">
        <f t="shared" si="195"/>
        <v>40</v>
      </c>
      <c r="AE2099">
        <f t="shared" si="196"/>
        <v>336899.2</v>
      </c>
      <c r="AF2099" t="str">
        <f t="shared" si="197"/>
        <v>Paid</v>
      </c>
    </row>
    <row r="2100" spans="1:32" ht="17.25" thickBot="1" x14ac:dyDescent="0.35">
      <c r="A2100" s="2" t="s">
        <v>13053</v>
      </c>
      <c r="B2100" s="2" t="s">
        <v>27</v>
      </c>
      <c r="C2100" s="2" t="s">
        <v>28</v>
      </c>
      <c r="D2100" s="2" t="s">
        <v>97</v>
      </c>
      <c r="E2100" s="2" t="s">
        <v>12904</v>
      </c>
      <c r="F2100" s="2" t="s">
        <v>8445</v>
      </c>
      <c r="G2100" s="2" t="s">
        <v>32</v>
      </c>
      <c r="H2100" s="1"/>
      <c r="I2100" s="2" t="s">
        <v>33</v>
      </c>
      <c r="J2100" s="2" t="s">
        <v>34</v>
      </c>
      <c r="K2100" s="2" t="s">
        <v>8719</v>
      </c>
      <c r="L2100" s="2" t="s">
        <v>8720</v>
      </c>
      <c r="M2100" s="2" t="s">
        <v>2680</v>
      </c>
      <c r="N2100" s="2" t="s">
        <v>38</v>
      </c>
      <c r="O2100" s="2" t="s">
        <v>466</v>
      </c>
      <c r="P2100" s="2" t="s">
        <v>104</v>
      </c>
      <c r="Q2100" s="2" t="s">
        <v>8053</v>
      </c>
      <c r="R2100" s="2" t="s">
        <v>40</v>
      </c>
      <c r="S2100" s="2" t="s">
        <v>13054</v>
      </c>
      <c r="T2100" s="2" t="s">
        <v>40</v>
      </c>
      <c r="U2100" s="2" t="s">
        <v>40</v>
      </c>
      <c r="V2100" s="2" t="s">
        <v>13054</v>
      </c>
      <c r="W2100" s="2" t="s">
        <v>41</v>
      </c>
      <c r="X2100" s="2" t="s">
        <v>2155</v>
      </c>
      <c r="Y2100" s="2" t="s">
        <v>12913</v>
      </c>
      <c r="AA2100" t="str">
        <f t="shared" si="192"/>
        <v>2025-11</v>
      </c>
      <c r="AB2100" t="str">
        <f t="shared" si="193"/>
        <v/>
      </c>
      <c r="AC2100">
        <f t="shared" si="194"/>
        <v>975.24</v>
      </c>
      <c r="AD2100">
        <f t="shared" si="195"/>
        <v>70</v>
      </c>
      <c r="AE2100">
        <f t="shared" si="196"/>
        <v>975.24</v>
      </c>
      <c r="AF2100" t="str">
        <f t="shared" si="197"/>
        <v>Sample</v>
      </c>
    </row>
    <row r="2101" spans="1:32" ht="17.25" thickBot="1" x14ac:dyDescent="0.35">
      <c r="A2101" s="2" t="s">
        <v>13055</v>
      </c>
      <c r="B2101" s="2" t="s">
        <v>27</v>
      </c>
      <c r="C2101" s="2" t="s">
        <v>28</v>
      </c>
      <c r="D2101" s="2" t="s">
        <v>97</v>
      </c>
      <c r="E2101" s="2" t="s">
        <v>12904</v>
      </c>
      <c r="F2101" s="2" t="s">
        <v>8445</v>
      </c>
      <c r="G2101" s="2" t="s">
        <v>32</v>
      </c>
      <c r="H2101" s="1"/>
      <c r="I2101" s="2" t="s">
        <v>33</v>
      </c>
      <c r="J2101" s="2" t="s">
        <v>34</v>
      </c>
      <c r="K2101" s="2" t="s">
        <v>2699</v>
      </c>
      <c r="L2101" s="2" t="s">
        <v>2700</v>
      </c>
      <c r="M2101" s="2" t="s">
        <v>2680</v>
      </c>
      <c r="N2101" s="2" t="s">
        <v>38</v>
      </c>
      <c r="O2101" s="2" t="s">
        <v>131</v>
      </c>
      <c r="P2101" s="2" t="s">
        <v>2031</v>
      </c>
      <c r="Q2101" s="2" t="s">
        <v>13056</v>
      </c>
      <c r="R2101" s="2" t="s">
        <v>40</v>
      </c>
      <c r="S2101" s="2" t="s">
        <v>13057</v>
      </c>
      <c r="T2101" s="2" t="s">
        <v>2703</v>
      </c>
      <c r="U2101" s="2" t="s">
        <v>13058</v>
      </c>
      <c r="V2101" s="2" t="s">
        <v>13059</v>
      </c>
      <c r="W2101" s="1"/>
      <c r="X2101" s="2" t="s">
        <v>13060</v>
      </c>
      <c r="Y2101" s="2" t="s">
        <v>12913</v>
      </c>
      <c r="AA2101" t="str">
        <f t="shared" si="192"/>
        <v>2025-11</v>
      </c>
      <c r="AB2101" t="str">
        <f t="shared" si="193"/>
        <v/>
      </c>
      <c r="AC2101">
        <f t="shared" si="194"/>
        <v>283655.52</v>
      </c>
      <c r="AD2101">
        <f t="shared" si="195"/>
        <v>40</v>
      </c>
      <c r="AE2101">
        <f t="shared" si="196"/>
        <v>112055.52</v>
      </c>
      <c r="AF2101" t="str">
        <f t="shared" si="197"/>
        <v>Paid</v>
      </c>
    </row>
    <row r="2102" spans="1:32" ht="17.25" thickBot="1" x14ac:dyDescent="0.35">
      <c r="A2102" s="2" t="s">
        <v>13061</v>
      </c>
      <c r="B2102" s="2" t="s">
        <v>27</v>
      </c>
      <c r="C2102" s="2" t="s">
        <v>28</v>
      </c>
      <c r="D2102" s="2" t="s">
        <v>97</v>
      </c>
      <c r="E2102" s="2" t="s">
        <v>12904</v>
      </c>
      <c r="F2102" s="2" t="s">
        <v>8445</v>
      </c>
      <c r="G2102" s="2" t="s">
        <v>32</v>
      </c>
      <c r="H2102" s="1"/>
      <c r="I2102" s="2" t="s">
        <v>33</v>
      </c>
      <c r="J2102" s="2" t="s">
        <v>34</v>
      </c>
      <c r="K2102" s="2" t="s">
        <v>8728</v>
      </c>
      <c r="L2102" s="2" t="s">
        <v>8729</v>
      </c>
      <c r="M2102" s="2" t="s">
        <v>2710</v>
      </c>
      <c r="N2102" s="2" t="s">
        <v>38</v>
      </c>
      <c r="O2102" s="2" t="s">
        <v>79</v>
      </c>
      <c r="P2102" s="2" t="s">
        <v>1124</v>
      </c>
      <c r="Q2102" s="2" t="s">
        <v>13062</v>
      </c>
      <c r="R2102" s="2" t="s">
        <v>40</v>
      </c>
      <c r="S2102" s="2" t="s">
        <v>13063</v>
      </c>
      <c r="T2102" s="2" t="s">
        <v>8732</v>
      </c>
      <c r="U2102" s="2" t="s">
        <v>13064</v>
      </c>
      <c r="V2102" s="2" t="s">
        <v>13065</v>
      </c>
      <c r="W2102" s="1"/>
      <c r="X2102" s="2" t="s">
        <v>5030</v>
      </c>
      <c r="Y2102" s="2" t="s">
        <v>12913</v>
      </c>
      <c r="AA2102" t="str">
        <f t="shared" si="192"/>
        <v>2025-11</v>
      </c>
      <c r="AB2102" t="str">
        <f t="shared" si="193"/>
        <v/>
      </c>
      <c r="AC2102">
        <f t="shared" si="194"/>
        <v>59628.959999999999</v>
      </c>
      <c r="AD2102">
        <f t="shared" si="195"/>
        <v>10</v>
      </c>
      <c r="AE2102">
        <f t="shared" si="196"/>
        <v>11438.96</v>
      </c>
      <c r="AF2102" t="str">
        <f t="shared" si="197"/>
        <v>Paid</v>
      </c>
    </row>
    <row r="2103" spans="1:32" ht="17.25" thickBot="1" x14ac:dyDescent="0.35">
      <c r="A2103" s="2" t="s">
        <v>13066</v>
      </c>
      <c r="B2103" s="2" t="s">
        <v>27</v>
      </c>
      <c r="C2103" s="2" t="s">
        <v>28</v>
      </c>
      <c r="D2103" s="2" t="s">
        <v>97</v>
      </c>
      <c r="E2103" s="2" t="s">
        <v>12904</v>
      </c>
      <c r="F2103" s="2" t="s">
        <v>8445</v>
      </c>
      <c r="G2103" s="2" t="s">
        <v>32</v>
      </c>
      <c r="H2103" s="1"/>
      <c r="I2103" s="2" t="s">
        <v>33</v>
      </c>
      <c r="J2103" s="2" t="s">
        <v>34</v>
      </c>
      <c r="K2103" s="2" t="s">
        <v>11502</v>
      </c>
      <c r="L2103" s="2" t="s">
        <v>11503</v>
      </c>
      <c r="M2103" s="2" t="s">
        <v>2710</v>
      </c>
      <c r="N2103" s="2" t="s">
        <v>38</v>
      </c>
      <c r="O2103" s="2" t="s">
        <v>79</v>
      </c>
      <c r="P2103" s="2" t="s">
        <v>1105</v>
      </c>
      <c r="Q2103" s="2" t="s">
        <v>13067</v>
      </c>
      <c r="R2103" s="2" t="s">
        <v>40</v>
      </c>
      <c r="S2103" s="2" t="s">
        <v>13068</v>
      </c>
      <c r="T2103" s="2" t="s">
        <v>1523</v>
      </c>
      <c r="U2103" s="2" t="s">
        <v>13069</v>
      </c>
      <c r="V2103" s="2" t="s">
        <v>13070</v>
      </c>
      <c r="W2103" s="1"/>
      <c r="X2103" s="2" t="s">
        <v>13071</v>
      </c>
      <c r="Y2103" s="2" t="s">
        <v>12913</v>
      </c>
      <c r="AA2103" t="str">
        <f t="shared" si="192"/>
        <v>2025-11</v>
      </c>
      <c r="AB2103" t="str">
        <f t="shared" si="193"/>
        <v/>
      </c>
      <c r="AC2103">
        <f t="shared" si="194"/>
        <v>63529.919999999998</v>
      </c>
      <c r="AD2103">
        <f t="shared" si="195"/>
        <v>10</v>
      </c>
      <c r="AE2103">
        <f t="shared" si="196"/>
        <v>8979.92</v>
      </c>
      <c r="AF2103" t="str">
        <f t="shared" si="197"/>
        <v>Paid</v>
      </c>
    </row>
    <row r="2104" spans="1:32" ht="27.75" thickBot="1" x14ac:dyDescent="0.35">
      <c r="A2104" s="2" t="s">
        <v>13072</v>
      </c>
      <c r="B2104" s="2" t="s">
        <v>27</v>
      </c>
      <c r="C2104" s="2" t="s">
        <v>28</v>
      </c>
      <c r="D2104" s="2" t="s">
        <v>97</v>
      </c>
      <c r="E2104" s="2" t="s">
        <v>12904</v>
      </c>
      <c r="F2104" s="2" t="s">
        <v>8445</v>
      </c>
      <c r="G2104" s="2" t="s">
        <v>32</v>
      </c>
      <c r="H2104" s="1"/>
      <c r="I2104" s="2" t="s">
        <v>33</v>
      </c>
      <c r="J2104" s="2" t="s">
        <v>34</v>
      </c>
      <c r="K2104" s="2" t="s">
        <v>3538</v>
      </c>
      <c r="L2104" s="2" t="s">
        <v>3539</v>
      </c>
      <c r="M2104" s="2" t="s">
        <v>70</v>
      </c>
      <c r="N2104" s="2" t="s">
        <v>38</v>
      </c>
      <c r="O2104" s="2" t="s">
        <v>391</v>
      </c>
      <c r="P2104" s="2" t="s">
        <v>7132</v>
      </c>
      <c r="Q2104" s="2" t="s">
        <v>13073</v>
      </c>
      <c r="R2104" s="2" t="s">
        <v>40</v>
      </c>
      <c r="S2104" s="2" t="s">
        <v>13074</v>
      </c>
      <c r="T2104" s="2" t="s">
        <v>2755</v>
      </c>
      <c r="U2104" s="2" t="s">
        <v>3547</v>
      </c>
      <c r="V2104" s="2" t="s">
        <v>13075</v>
      </c>
      <c r="W2104" s="1"/>
      <c r="X2104" s="2" t="s">
        <v>1299</v>
      </c>
      <c r="Y2104" s="2" t="s">
        <v>12913</v>
      </c>
      <c r="AA2104" t="str">
        <f t="shared" si="192"/>
        <v>2025-11</v>
      </c>
      <c r="AB2104" t="str">
        <f t="shared" si="193"/>
        <v/>
      </c>
      <c r="AC2104">
        <f t="shared" si="194"/>
        <v>419631.84</v>
      </c>
      <c r="AD2104">
        <f t="shared" si="195"/>
        <v>60</v>
      </c>
      <c r="AE2104">
        <f t="shared" si="196"/>
        <v>77631.839999999997</v>
      </c>
      <c r="AF2104" t="str">
        <f t="shared" si="197"/>
        <v>Paid</v>
      </c>
    </row>
    <row r="2105" spans="1:32" ht="17.25" thickBot="1" x14ac:dyDescent="0.35">
      <c r="A2105" s="2" t="s">
        <v>13076</v>
      </c>
      <c r="B2105" s="2" t="s">
        <v>27</v>
      </c>
      <c r="C2105" s="2" t="s">
        <v>28</v>
      </c>
      <c r="D2105" s="2" t="s">
        <v>97</v>
      </c>
      <c r="E2105" s="2" t="s">
        <v>12904</v>
      </c>
      <c r="F2105" s="2" t="s">
        <v>8445</v>
      </c>
      <c r="G2105" s="2" t="s">
        <v>32</v>
      </c>
      <c r="H2105" s="1"/>
      <c r="I2105" s="2" t="s">
        <v>33</v>
      </c>
      <c r="J2105" s="2" t="s">
        <v>34</v>
      </c>
      <c r="K2105" s="2" t="s">
        <v>2773</v>
      </c>
      <c r="L2105" s="2" t="s">
        <v>2774</v>
      </c>
      <c r="M2105" s="2" t="s">
        <v>70</v>
      </c>
      <c r="N2105" s="2" t="s">
        <v>38</v>
      </c>
      <c r="O2105" s="2" t="s">
        <v>79</v>
      </c>
      <c r="P2105" s="2" t="s">
        <v>12701</v>
      </c>
      <c r="Q2105" s="2" t="s">
        <v>13077</v>
      </c>
      <c r="R2105" s="2" t="s">
        <v>40</v>
      </c>
      <c r="S2105" s="2" t="s">
        <v>13078</v>
      </c>
      <c r="T2105" s="2" t="s">
        <v>2778</v>
      </c>
      <c r="U2105" s="2" t="s">
        <v>7045</v>
      </c>
      <c r="V2105" s="2" t="s">
        <v>13079</v>
      </c>
      <c r="W2105" s="1"/>
      <c r="X2105" s="2" t="s">
        <v>7137</v>
      </c>
      <c r="Y2105" s="2" t="s">
        <v>12913</v>
      </c>
      <c r="AA2105" t="str">
        <f t="shared" si="192"/>
        <v>2025-11</v>
      </c>
      <c r="AB2105" t="str">
        <f t="shared" si="193"/>
        <v/>
      </c>
      <c r="AC2105">
        <f t="shared" si="194"/>
        <v>46532.88</v>
      </c>
      <c r="AD2105">
        <f t="shared" si="195"/>
        <v>10</v>
      </c>
      <c r="AE2105">
        <f t="shared" si="196"/>
        <v>9441.9699999999993</v>
      </c>
      <c r="AF2105" t="str">
        <f t="shared" si="197"/>
        <v>Paid</v>
      </c>
    </row>
    <row r="2106" spans="1:32" ht="17.25" thickBot="1" x14ac:dyDescent="0.35">
      <c r="A2106" s="2" t="s">
        <v>13080</v>
      </c>
      <c r="B2106" s="2" t="s">
        <v>27</v>
      </c>
      <c r="C2106" s="2" t="s">
        <v>28</v>
      </c>
      <c r="D2106" s="2" t="s">
        <v>97</v>
      </c>
      <c r="E2106" s="2" t="s">
        <v>12904</v>
      </c>
      <c r="F2106" s="2" t="s">
        <v>8445</v>
      </c>
      <c r="G2106" s="2" t="s">
        <v>32</v>
      </c>
      <c r="H2106" s="1"/>
      <c r="I2106" s="2" t="s">
        <v>33</v>
      </c>
      <c r="J2106" s="2" t="s">
        <v>34</v>
      </c>
      <c r="K2106" s="2" t="s">
        <v>13081</v>
      </c>
      <c r="L2106" s="2" t="s">
        <v>13082</v>
      </c>
      <c r="M2106" s="2" t="s">
        <v>70</v>
      </c>
      <c r="N2106" s="2" t="s">
        <v>38</v>
      </c>
      <c r="O2106" s="2" t="s">
        <v>156</v>
      </c>
      <c r="P2106" s="2" t="s">
        <v>6844</v>
      </c>
      <c r="Q2106" s="2" t="s">
        <v>3004</v>
      </c>
      <c r="R2106" s="2" t="s">
        <v>40</v>
      </c>
      <c r="S2106" s="2" t="s">
        <v>13083</v>
      </c>
      <c r="T2106" s="2" t="s">
        <v>13084</v>
      </c>
      <c r="U2106" s="2" t="s">
        <v>13085</v>
      </c>
      <c r="V2106" s="2" t="s">
        <v>13086</v>
      </c>
      <c r="W2106" s="1"/>
      <c r="X2106" s="2" t="s">
        <v>2072</v>
      </c>
      <c r="Y2106" s="2" t="s">
        <v>12913</v>
      </c>
      <c r="AA2106" t="str">
        <f t="shared" si="192"/>
        <v>2025-11</v>
      </c>
      <c r="AB2106" t="str">
        <f t="shared" si="193"/>
        <v/>
      </c>
      <c r="AC2106">
        <f t="shared" si="194"/>
        <v>108390.96</v>
      </c>
      <c r="AD2106">
        <f t="shared" si="195"/>
        <v>20</v>
      </c>
      <c r="AE2106">
        <f t="shared" si="196"/>
        <v>21830.959999999999</v>
      </c>
      <c r="AF2106" t="str">
        <f t="shared" si="197"/>
        <v>Paid</v>
      </c>
    </row>
    <row r="2107" spans="1:32" ht="27.75" thickBot="1" x14ac:dyDescent="0.35">
      <c r="A2107" s="2" t="s">
        <v>13087</v>
      </c>
      <c r="B2107" s="2" t="s">
        <v>27</v>
      </c>
      <c r="C2107" s="2" t="s">
        <v>28</v>
      </c>
      <c r="D2107" s="2" t="s">
        <v>97</v>
      </c>
      <c r="E2107" s="2" t="s">
        <v>12904</v>
      </c>
      <c r="F2107" s="2" t="s">
        <v>8445</v>
      </c>
      <c r="G2107" s="2" t="s">
        <v>32</v>
      </c>
      <c r="H2107" s="1"/>
      <c r="I2107" s="2" t="s">
        <v>33</v>
      </c>
      <c r="J2107" s="2" t="s">
        <v>34</v>
      </c>
      <c r="K2107" s="2" t="s">
        <v>2808</v>
      </c>
      <c r="L2107" s="2" t="s">
        <v>2809</v>
      </c>
      <c r="M2107" s="2" t="s">
        <v>70</v>
      </c>
      <c r="N2107" s="2" t="s">
        <v>38</v>
      </c>
      <c r="O2107" s="2" t="s">
        <v>1631</v>
      </c>
      <c r="P2107" s="2" t="s">
        <v>11756</v>
      </c>
      <c r="Q2107" s="2" t="s">
        <v>13088</v>
      </c>
      <c r="R2107" s="2" t="s">
        <v>40</v>
      </c>
      <c r="S2107" s="2" t="s">
        <v>13089</v>
      </c>
      <c r="T2107" s="2" t="s">
        <v>2813</v>
      </c>
      <c r="U2107" s="2" t="s">
        <v>13090</v>
      </c>
      <c r="V2107" s="2" t="s">
        <v>13091</v>
      </c>
      <c r="W2107" s="1"/>
      <c r="X2107" s="2" t="s">
        <v>2806</v>
      </c>
      <c r="Y2107" s="2" t="s">
        <v>12913</v>
      </c>
      <c r="AA2107" t="str">
        <f t="shared" si="192"/>
        <v>2025-11</v>
      </c>
      <c r="AB2107" t="str">
        <f t="shared" si="193"/>
        <v/>
      </c>
      <c r="AC2107">
        <f t="shared" si="194"/>
        <v>1003243.32</v>
      </c>
      <c r="AD2107">
        <f t="shared" si="195"/>
        <v>190</v>
      </c>
      <c r="AE2107">
        <f t="shared" si="196"/>
        <v>301970.61</v>
      </c>
      <c r="AF2107" t="str">
        <f t="shared" si="197"/>
        <v>Paid</v>
      </c>
    </row>
    <row r="2108" spans="1:32" ht="17.25" thickBot="1" x14ac:dyDescent="0.35">
      <c r="A2108" s="2" t="s">
        <v>13092</v>
      </c>
      <c r="B2108" s="2" t="s">
        <v>27</v>
      </c>
      <c r="C2108" s="2" t="s">
        <v>28</v>
      </c>
      <c r="D2108" s="2" t="s">
        <v>97</v>
      </c>
      <c r="E2108" s="2" t="s">
        <v>12904</v>
      </c>
      <c r="F2108" s="2" t="s">
        <v>8445</v>
      </c>
      <c r="G2108" s="2" t="s">
        <v>32</v>
      </c>
      <c r="H2108" s="1"/>
      <c r="I2108" s="2" t="s">
        <v>33</v>
      </c>
      <c r="J2108" s="2" t="s">
        <v>34</v>
      </c>
      <c r="K2108" s="2" t="s">
        <v>11560</v>
      </c>
      <c r="L2108" s="2" t="s">
        <v>11561</v>
      </c>
      <c r="M2108" s="2" t="s">
        <v>70</v>
      </c>
      <c r="N2108" s="2" t="s">
        <v>38</v>
      </c>
      <c r="O2108" s="2" t="s">
        <v>156</v>
      </c>
      <c r="P2108" s="2" t="s">
        <v>7120</v>
      </c>
      <c r="Q2108" s="2" t="s">
        <v>7127</v>
      </c>
      <c r="R2108" s="2" t="s">
        <v>40</v>
      </c>
      <c r="S2108" s="2" t="s">
        <v>13093</v>
      </c>
      <c r="T2108" s="2" t="s">
        <v>2101</v>
      </c>
      <c r="U2108" s="2" t="s">
        <v>13094</v>
      </c>
      <c r="V2108" s="2" t="s">
        <v>13095</v>
      </c>
      <c r="W2108" s="1"/>
      <c r="X2108" s="2" t="s">
        <v>6790</v>
      </c>
      <c r="Y2108" s="2" t="s">
        <v>12913</v>
      </c>
      <c r="AA2108" t="str">
        <f t="shared" si="192"/>
        <v>2025-11</v>
      </c>
      <c r="AB2108" t="str">
        <f t="shared" si="193"/>
        <v/>
      </c>
      <c r="AC2108">
        <f t="shared" si="194"/>
        <v>183623.76</v>
      </c>
      <c r="AD2108">
        <f t="shared" si="195"/>
        <v>20</v>
      </c>
      <c r="AE2108">
        <f t="shared" si="196"/>
        <v>39623.760000000002</v>
      </c>
      <c r="AF2108" t="str">
        <f t="shared" si="197"/>
        <v>Paid</v>
      </c>
    </row>
    <row r="2109" spans="1:32" ht="17.25" thickBot="1" x14ac:dyDescent="0.35">
      <c r="A2109" s="2" t="s">
        <v>13096</v>
      </c>
      <c r="B2109" s="2" t="s">
        <v>27</v>
      </c>
      <c r="C2109" s="2" t="s">
        <v>28</v>
      </c>
      <c r="D2109" s="2" t="s">
        <v>97</v>
      </c>
      <c r="E2109" s="2" t="s">
        <v>12904</v>
      </c>
      <c r="F2109" s="2" t="s">
        <v>8445</v>
      </c>
      <c r="G2109" s="2" t="s">
        <v>32</v>
      </c>
      <c r="H2109" s="1"/>
      <c r="I2109" s="2" t="s">
        <v>33</v>
      </c>
      <c r="J2109" s="2" t="s">
        <v>34</v>
      </c>
      <c r="K2109" s="2" t="s">
        <v>2855</v>
      </c>
      <c r="L2109" s="2" t="s">
        <v>2856</v>
      </c>
      <c r="M2109" s="2" t="s">
        <v>70</v>
      </c>
      <c r="N2109" s="2" t="s">
        <v>38</v>
      </c>
      <c r="O2109" s="2" t="s">
        <v>156</v>
      </c>
      <c r="P2109" s="2" t="s">
        <v>2572</v>
      </c>
      <c r="Q2109" s="2" t="s">
        <v>8751</v>
      </c>
      <c r="R2109" s="2" t="s">
        <v>40</v>
      </c>
      <c r="S2109" s="2" t="s">
        <v>13097</v>
      </c>
      <c r="T2109" s="2" t="s">
        <v>13098</v>
      </c>
      <c r="U2109" s="2" t="s">
        <v>13099</v>
      </c>
      <c r="V2109" s="2" t="s">
        <v>13100</v>
      </c>
      <c r="W2109" s="1"/>
      <c r="X2109" s="2" t="s">
        <v>13101</v>
      </c>
      <c r="Y2109" s="2" t="s">
        <v>12913</v>
      </c>
      <c r="AA2109" t="str">
        <f t="shared" si="192"/>
        <v>2025-11</v>
      </c>
      <c r="AB2109" t="str">
        <f t="shared" si="193"/>
        <v/>
      </c>
      <c r="AC2109">
        <f t="shared" si="194"/>
        <v>229599.35999999999</v>
      </c>
      <c r="AD2109">
        <f t="shared" si="195"/>
        <v>20</v>
      </c>
      <c r="AE2109">
        <f t="shared" si="196"/>
        <v>68859.360000000001</v>
      </c>
      <c r="AF2109" t="str">
        <f t="shared" si="197"/>
        <v>Paid</v>
      </c>
    </row>
    <row r="2110" spans="1:32" ht="27.75" thickBot="1" x14ac:dyDescent="0.35">
      <c r="A2110" s="2" t="s">
        <v>13102</v>
      </c>
      <c r="B2110" s="2" t="s">
        <v>27</v>
      </c>
      <c r="C2110" s="2" t="s">
        <v>28</v>
      </c>
      <c r="D2110" s="2" t="s">
        <v>97</v>
      </c>
      <c r="E2110" s="2" t="s">
        <v>12904</v>
      </c>
      <c r="F2110" s="2" t="s">
        <v>8445</v>
      </c>
      <c r="G2110" s="2" t="s">
        <v>32</v>
      </c>
      <c r="H2110" s="1"/>
      <c r="I2110" s="2" t="s">
        <v>33</v>
      </c>
      <c r="J2110" s="2" t="s">
        <v>34</v>
      </c>
      <c r="K2110" s="2" t="s">
        <v>2865</v>
      </c>
      <c r="L2110" s="2" t="s">
        <v>2866</v>
      </c>
      <c r="M2110" s="2" t="s">
        <v>70</v>
      </c>
      <c r="N2110" s="2" t="s">
        <v>38</v>
      </c>
      <c r="O2110" s="2" t="s">
        <v>156</v>
      </c>
      <c r="P2110" s="2" t="s">
        <v>703</v>
      </c>
      <c r="Q2110" s="2" t="s">
        <v>13103</v>
      </c>
      <c r="R2110" s="2" t="s">
        <v>40</v>
      </c>
      <c r="S2110" s="2" t="s">
        <v>13104</v>
      </c>
      <c r="T2110" s="2" t="s">
        <v>13105</v>
      </c>
      <c r="U2110" s="2" t="s">
        <v>13106</v>
      </c>
      <c r="V2110" s="2" t="s">
        <v>13107</v>
      </c>
      <c r="W2110" s="1"/>
      <c r="X2110" s="2" t="s">
        <v>13101</v>
      </c>
      <c r="Y2110" s="2" t="s">
        <v>12913</v>
      </c>
      <c r="AA2110" t="str">
        <f t="shared" si="192"/>
        <v>2025-11</v>
      </c>
      <c r="AB2110" t="str">
        <f t="shared" si="193"/>
        <v/>
      </c>
      <c r="AC2110">
        <f t="shared" si="194"/>
        <v>189196.56</v>
      </c>
      <c r="AD2110">
        <f t="shared" si="195"/>
        <v>20</v>
      </c>
      <c r="AE2110">
        <f t="shared" si="196"/>
        <v>56816.56</v>
      </c>
      <c r="AF2110" t="str">
        <f t="shared" si="197"/>
        <v>Paid</v>
      </c>
    </row>
    <row r="2111" spans="1:32" ht="17.25" thickBot="1" x14ac:dyDescent="0.35">
      <c r="A2111" s="2" t="s">
        <v>13108</v>
      </c>
      <c r="B2111" s="2" t="s">
        <v>27</v>
      </c>
      <c r="C2111" s="2" t="s">
        <v>28</v>
      </c>
      <c r="D2111" s="2" t="s">
        <v>97</v>
      </c>
      <c r="E2111" s="2" t="s">
        <v>12904</v>
      </c>
      <c r="F2111" s="2" t="s">
        <v>8445</v>
      </c>
      <c r="G2111" s="2" t="s">
        <v>32</v>
      </c>
      <c r="H2111" s="1"/>
      <c r="I2111" s="2" t="s">
        <v>33</v>
      </c>
      <c r="J2111" s="2" t="s">
        <v>34</v>
      </c>
      <c r="K2111" s="2" t="s">
        <v>9576</v>
      </c>
      <c r="L2111" s="2" t="s">
        <v>9577</v>
      </c>
      <c r="M2111" s="2" t="s">
        <v>70</v>
      </c>
      <c r="N2111" s="2" t="s">
        <v>38</v>
      </c>
      <c r="O2111" s="2" t="s">
        <v>156</v>
      </c>
      <c r="P2111" s="2" t="s">
        <v>655</v>
      </c>
      <c r="Q2111" s="2" t="s">
        <v>13109</v>
      </c>
      <c r="R2111" s="2" t="s">
        <v>40</v>
      </c>
      <c r="S2111" s="2" t="s">
        <v>13110</v>
      </c>
      <c r="T2111" s="2" t="s">
        <v>9580</v>
      </c>
      <c r="U2111" s="2" t="s">
        <v>9581</v>
      </c>
      <c r="V2111" s="2" t="s">
        <v>13111</v>
      </c>
      <c r="W2111" s="1"/>
      <c r="X2111" s="2" t="s">
        <v>6894</v>
      </c>
      <c r="Y2111" s="2" t="s">
        <v>12913</v>
      </c>
      <c r="AA2111" t="str">
        <f t="shared" si="192"/>
        <v>2025-11</v>
      </c>
      <c r="AB2111" t="str">
        <f t="shared" si="193"/>
        <v/>
      </c>
      <c r="AC2111">
        <f t="shared" si="194"/>
        <v>222354.72</v>
      </c>
      <c r="AD2111">
        <f t="shared" si="195"/>
        <v>20</v>
      </c>
      <c r="AE2111">
        <f t="shared" si="196"/>
        <v>64534.720000000001</v>
      </c>
      <c r="AF2111" t="str">
        <f t="shared" si="197"/>
        <v>Paid</v>
      </c>
    </row>
    <row r="2112" spans="1:32" ht="27.75" thickBot="1" x14ac:dyDescent="0.35">
      <c r="A2112" s="2" t="s">
        <v>13112</v>
      </c>
      <c r="B2112" s="2" t="s">
        <v>27</v>
      </c>
      <c r="C2112" s="2" t="s">
        <v>28</v>
      </c>
      <c r="D2112" s="2" t="s">
        <v>97</v>
      </c>
      <c r="E2112" s="2" t="s">
        <v>12904</v>
      </c>
      <c r="F2112" s="2" t="s">
        <v>8445</v>
      </c>
      <c r="G2112" s="2" t="s">
        <v>32</v>
      </c>
      <c r="H2112" s="1"/>
      <c r="I2112" s="2" t="s">
        <v>33</v>
      </c>
      <c r="J2112" s="2" t="s">
        <v>34</v>
      </c>
      <c r="K2112" s="2" t="s">
        <v>13113</v>
      </c>
      <c r="L2112" s="2" t="s">
        <v>13114</v>
      </c>
      <c r="M2112" s="2" t="s">
        <v>70</v>
      </c>
      <c r="N2112" s="2" t="s">
        <v>38</v>
      </c>
      <c r="O2112" s="2" t="s">
        <v>159</v>
      </c>
      <c r="P2112" s="2" t="s">
        <v>7541</v>
      </c>
      <c r="Q2112" s="2" t="s">
        <v>13115</v>
      </c>
      <c r="R2112" s="2" t="s">
        <v>40</v>
      </c>
      <c r="S2112" s="2" t="s">
        <v>13116</v>
      </c>
      <c r="T2112" s="2" t="s">
        <v>2079</v>
      </c>
      <c r="U2112" s="2" t="s">
        <v>2080</v>
      </c>
      <c r="V2112" s="2" t="s">
        <v>13117</v>
      </c>
      <c r="W2112" s="1"/>
      <c r="X2112" s="2" t="s">
        <v>13101</v>
      </c>
      <c r="Y2112" s="2" t="s">
        <v>12913</v>
      </c>
      <c r="AA2112" t="str">
        <f t="shared" si="192"/>
        <v>2025-11</v>
      </c>
      <c r="AB2112" t="str">
        <f t="shared" si="193"/>
        <v/>
      </c>
      <c r="AC2112">
        <f t="shared" si="194"/>
        <v>971896.31999999995</v>
      </c>
      <c r="AD2112">
        <f t="shared" si="195"/>
        <v>80</v>
      </c>
      <c r="AE2112">
        <f t="shared" si="196"/>
        <v>291096.32000000001</v>
      </c>
      <c r="AF2112" t="str">
        <f t="shared" si="197"/>
        <v>Paid</v>
      </c>
    </row>
    <row r="2113" spans="1:32" ht="17.25" thickBot="1" x14ac:dyDescent="0.35">
      <c r="A2113" s="2" t="s">
        <v>13118</v>
      </c>
      <c r="B2113" s="2" t="s">
        <v>27</v>
      </c>
      <c r="C2113" s="2" t="s">
        <v>28</v>
      </c>
      <c r="D2113" s="2" t="s">
        <v>97</v>
      </c>
      <c r="E2113" s="2" t="s">
        <v>12904</v>
      </c>
      <c r="F2113" s="2" t="s">
        <v>8445</v>
      </c>
      <c r="G2113" s="2" t="s">
        <v>32</v>
      </c>
      <c r="H2113" s="1"/>
      <c r="I2113" s="2" t="s">
        <v>33</v>
      </c>
      <c r="J2113" s="2" t="s">
        <v>34</v>
      </c>
      <c r="K2113" s="2" t="s">
        <v>2896</v>
      </c>
      <c r="L2113" s="2" t="s">
        <v>2897</v>
      </c>
      <c r="M2113" s="2" t="s">
        <v>70</v>
      </c>
      <c r="N2113" s="2" t="s">
        <v>38</v>
      </c>
      <c r="O2113" s="2" t="s">
        <v>79</v>
      </c>
      <c r="P2113" s="2" t="s">
        <v>7511</v>
      </c>
      <c r="Q2113" s="2" t="s">
        <v>13119</v>
      </c>
      <c r="R2113" s="2" t="s">
        <v>40</v>
      </c>
      <c r="S2113" s="2" t="s">
        <v>13120</v>
      </c>
      <c r="T2113" s="2" t="s">
        <v>7923</v>
      </c>
      <c r="U2113" s="2" t="s">
        <v>13121</v>
      </c>
      <c r="V2113" s="2" t="s">
        <v>13122</v>
      </c>
      <c r="W2113" s="1"/>
      <c r="X2113" s="2" t="s">
        <v>7547</v>
      </c>
      <c r="Y2113" s="2" t="s">
        <v>12913</v>
      </c>
      <c r="AA2113" t="str">
        <f t="shared" si="192"/>
        <v>2025-11</v>
      </c>
      <c r="AB2113" t="str">
        <f t="shared" si="193"/>
        <v/>
      </c>
      <c r="AC2113">
        <f t="shared" si="194"/>
        <v>113267.16</v>
      </c>
      <c r="AD2113">
        <f t="shared" si="195"/>
        <v>10</v>
      </c>
      <c r="AE2113">
        <f t="shared" si="196"/>
        <v>33812.620000000003</v>
      </c>
      <c r="AF2113" t="str">
        <f t="shared" si="197"/>
        <v>Paid</v>
      </c>
    </row>
    <row r="2114" spans="1:32" ht="17.25" thickBot="1" x14ac:dyDescent="0.35">
      <c r="A2114" s="2" t="s">
        <v>13123</v>
      </c>
      <c r="B2114" s="2" t="s">
        <v>27</v>
      </c>
      <c r="C2114" s="2" t="s">
        <v>28</v>
      </c>
      <c r="D2114" s="2" t="s">
        <v>97</v>
      </c>
      <c r="E2114" s="2" t="s">
        <v>12904</v>
      </c>
      <c r="F2114" s="2" t="s">
        <v>8445</v>
      </c>
      <c r="G2114" s="2" t="s">
        <v>32</v>
      </c>
      <c r="H2114" s="1"/>
      <c r="I2114" s="2" t="s">
        <v>33</v>
      </c>
      <c r="J2114" s="2" t="s">
        <v>34</v>
      </c>
      <c r="K2114" s="2" t="s">
        <v>9594</v>
      </c>
      <c r="L2114" s="2" t="s">
        <v>9595</v>
      </c>
      <c r="M2114" s="2" t="s">
        <v>70</v>
      </c>
      <c r="N2114" s="2" t="s">
        <v>38</v>
      </c>
      <c r="O2114" s="2" t="s">
        <v>156</v>
      </c>
      <c r="P2114" s="2" t="s">
        <v>306</v>
      </c>
      <c r="Q2114" s="2" t="s">
        <v>1550</v>
      </c>
      <c r="R2114" s="2" t="s">
        <v>40</v>
      </c>
      <c r="S2114" s="2" t="s">
        <v>13124</v>
      </c>
      <c r="T2114" s="2" t="s">
        <v>13125</v>
      </c>
      <c r="U2114" s="2" t="s">
        <v>13126</v>
      </c>
      <c r="V2114" s="2" t="s">
        <v>13127</v>
      </c>
      <c r="W2114" s="1"/>
      <c r="X2114" s="2" t="s">
        <v>856</v>
      </c>
      <c r="Y2114" s="2" t="s">
        <v>12913</v>
      </c>
      <c r="AA2114" t="str">
        <f t="shared" si="192"/>
        <v>2025-11</v>
      </c>
      <c r="AB2114" t="str">
        <f t="shared" si="193"/>
        <v/>
      </c>
      <c r="AC2114">
        <f t="shared" si="194"/>
        <v>166905.35999999999</v>
      </c>
      <c r="AD2114">
        <f t="shared" si="195"/>
        <v>20</v>
      </c>
      <c r="AE2114">
        <f t="shared" si="196"/>
        <v>49814.45</v>
      </c>
      <c r="AF2114" t="str">
        <f t="shared" si="197"/>
        <v>Paid</v>
      </c>
    </row>
    <row r="2115" spans="1:32" ht="17.25" thickBot="1" x14ac:dyDescent="0.35">
      <c r="A2115" s="2" t="s">
        <v>13128</v>
      </c>
      <c r="B2115" s="2" t="s">
        <v>27</v>
      </c>
      <c r="C2115" s="2" t="s">
        <v>28</v>
      </c>
      <c r="D2115" s="2" t="s">
        <v>97</v>
      </c>
      <c r="E2115" s="2" t="s">
        <v>12904</v>
      </c>
      <c r="F2115" s="2" t="s">
        <v>8445</v>
      </c>
      <c r="G2115" s="2" t="s">
        <v>32</v>
      </c>
      <c r="H2115" s="1"/>
      <c r="I2115" s="2" t="s">
        <v>33</v>
      </c>
      <c r="J2115" s="2" t="s">
        <v>34</v>
      </c>
      <c r="K2115" s="2" t="s">
        <v>11611</v>
      </c>
      <c r="L2115" s="2" t="s">
        <v>11612</v>
      </c>
      <c r="M2115" s="2" t="s">
        <v>9630</v>
      </c>
      <c r="N2115" s="2" t="s">
        <v>38</v>
      </c>
      <c r="O2115" s="2" t="s">
        <v>156</v>
      </c>
      <c r="P2115" s="2" t="s">
        <v>13129</v>
      </c>
      <c r="Q2115" s="2" t="s">
        <v>13130</v>
      </c>
      <c r="R2115" s="2" t="s">
        <v>40</v>
      </c>
      <c r="S2115" s="2" t="s">
        <v>13131</v>
      </c>
      <c r="T2115" s="2" t="s">
        <v>9632</v>
      </c>
      <c r="U2115" s="2" t="s">
        <v>9633</v>
      </c>
      <c r="V2115" s="2" t="s">
        <v>13132</v>
      </c>
      <c r="W2115" s="1"/>
      <c r="X2115" s="2" t="s">
        <v>5565</v>
      </c>
      <c r="Y2115" s="2" t="s">
        <v>12913</v>
      </c>
      <c r="AA2115" t="str">
        <f t="shared" si="192"/>
        <v>2025-11</v>
      </c>
      <c r="AB2115" t="str">
        <f t="shared" si="193"/>
        <v/>
      </c>
      <c r="AC2115">
        <f t="shared" si="194"/>
        <v>51548.4</v>
      </c>
      <c r="AD2115">
        <f t="shared" si="195"/>
        <v>20</v>
      </c>
      <c r="AE2115">
        <f t="shared" si="196"/>
        <v>19730.22</v>
      </c>
      <c r="AF2115" t="str">
        <f t="shared" si="197"/>
        <v>Paid</v>
      </c>
    </row>
    <row r="2116" spans="1:32" ht="17.25" thickBot="1" x14ac:dyDescent="0.35">
      <c r="A2116" s="2" t="s">
        <v>13133</v>
      </c>
      <c r="B2116" s="2" t="s">
        <v>27</v>
      </c>
      <c r="C2116" s="2" t="s">
        <v>28</v>
      </c>
      <c r="D2116" s="2" t="s">
        <v>97</v>
      </c>
      <c r="E2116" s="2" t="s">
        <v>12904</v>
      </c>
      <c r="F2116" s="2" t="s">
        <v>8445</v>
      </c>
      <c r="G2116" s="2" t="s">
        <v>32</v>
      </c>
      <c r="H2116" s="1"/>
      <c r="I2116" s="2" t="s">
        <v>33</v>
      </c>
      <c r="J2116" s="2" t="s">
        <v>34</v>
      </c>
      <c r="K2116" s="2" t="s">
        <v>780</v>
      </c>
      <c r="L2116" s="2" t="s">
        <v>781</v>
      </c>
      <c r="M2116" s="2" t="s">
        <v>772</v>
      </c>
      <c r="N2116" s="2" t="s">
        <v>38</v>
      </c>
      <c r="O2116" s="2" t="s">
        <v>221</v>
      </c>
      <c r="P2116" s="2" t="s">
        <v>3622</v>
      </c>
      <c r="Q2116" s="2" t="s">
        <v>13134</v>
      </c>
      <c r="R2116" s="2" t="s">
        <v>40</v>
      </c>
      <c r="S2116" s="2" t="s">
        <v>13135</v>
      </c>
      <c r="T2116" s="2" t="s">
        <v>6652</v>
      </c>
      <c r="U2116" s="2" t="s">
        <v>13136</v>
      </c>
      <c r="V2116" s="2" t="s">
        <v>13137</v>
      </c>
      <c r="W2116" s="1"/>
      <c r="X2116" s="2" t="s">
        <v>976</v>
      </c>
      <c r="Y2116" s="2" t="s">
        <v>12913</v>
      </c>
      <c r="AA2116" t="str">
        <f t="shared" ref="AA2116:AA2179" si="198">LEFT(E2116,7)</f>
        <v>2025-11</v>
      </c>
      <c r="AB2116" t="str">
        <f t="shared" ref="AB2116:AB2179" si="199">IF(AND($AA2116&gt;="2025-01",$AA2116&lt;="2025-06"),"H1_2025",IF(AND($AA2116&gt;="2026-01",$AA2116&lt;="2026-06"),"H1_2026",""))</f>
        <v/>
      </c>
      <c r="AC2116">
        <f t="shared" ref="AC2116:AC2179" si="200">IFERROR(VALUE(SUBSTITUTE(S2116,",","")),0)</f>
        <v>1141030.8</v>
      </c>
      <c r="AD2116">
        <f t="shared" ref="AD2116:AD2179" si="201">IFERROR(VALUE(SUBSTITUTE(O2116,",","")),0)</f>
        <v>140</v>
      </c>
      <c r="AE2116">
        <f t="shared" ref="AE2116:AE2179" si="202">IFERROR(VALUE(SUBSTITUTE(V2116,",","")),0)</f>
        <v>231030.8</v>
      </c>
      <c r="AF2116" t="str">
        <f t="shared" ref="AF2116:AF2179" si="203">IF(ISNUMBER(SEARCH("FOC",W2116)),"FOC",IF(ISNUMBER(SEARCH("샘플",W2116)),"Sample","Paid"))</f>
        <v>Paid</v>
      </c>
    </row>
    <row r="2117" spans="1:32" ht="17.25" thickBot="1" x14ac:dyDescent="0.35">
      <c r="A2117" s="2" t="s">
        <v>13138</v>
      </c>
      <c r="B2117" s="2" t="s">
        <v>27</v>
      </c>
      <c r="C2117" s="2" t="s">
        <v>28</v>
      </c>
      <c r="D2117" s="2" t="s">
        <v>97</v>
      </c>
      <c r="E2117" s="2" t="s">
        <v>12904</v>
      </c>
      <c r="F2117" s="2" t="s">
        <v>8445</v>
      </c>
      <c r="G2117" s="2" t="s">
        <v>32</v>
      </c>
      <c r="H2117" s="1"/>
      <c r="I2117" s="2" t="s">
        <v>33</v>
      </c>
      <c r="J2117" s="2" t="s">
        <v>34</v>
      </c>
      <c r="K2117" s="2" t="s">
        <v>12063</v>
      </c>
      <c r="L2117" s="2" t="s">
        <v>12064</v>
      </c>
      <c r="M2117" s="2" t="s">
        <v>772</v>
      </c>
      <c r="N2117" s="2" t="s">
        <v>38</v>
      </c>
      <c r="O2117" s="2" t="s">
        <v>79</v>
      </c>
      <c r="P2117" s="2" t="s">
        <v>5289</v>
      </c>
      <c r="Q2117" s="2" t="s">
        <v>13139</v>
      </c>
      <c r="R2117" s="2" t="s">
        <v>40</v>
      </c>
      <c r="S2117" s="2" t="s">
        <v>13140</v>
      </c>
      <c r="T2117" s="2" t="s">
        <v>297</v>
      </c>
      <c r="U2117" s="2" t="s">
        <v>5407</v>
      </c>
      <c r="V2117" s="2" t="s">
        <v>13141</v>
      </c>
      <c r="W2117" s="1"/>
      <c r="X2117" s="2" t="s">
        <v>5636</v>
      </c>
      <c r="Y2117" s="2" t="s">
        <v>12913</v>
      </c>
      <c r="AA2117" t="str">
        <f t="shared" si="198"/>
        <v>2025-11</v>
      </c>
      <c r="AB2117" t="str">
        <f t="shared" si="199"/>
        <v/>
      </c>
      <c r="AC2117">
        <f t="shared" si="200"/>
        <v>99195.839999999997</v>
      </c>
      <c r="AD2117">
        <f t="shared" si="201"/>
        <v>10</v>
      </c>
      <c r="AE2117">
        <f t="shared" si="202"/>
        <v>19195.84</v>
      </c>
      <c r="AF2117" t="str">
        <f t="shared" si="203"/>
        <v>Paid</v>
      </c>
    </row>
    <row r="2118" spans="1:32" ht="17.25" thickBot="1" x14ac:dyDescent="0.35">
      <c r="A2118" s="2" t="s">
        <v>13142</v>
      </c>
      <c r="B2118" s="2" t="s">
        <v>27</v>
      </c>
      <c r="C2118" s="2" t="s">
        <v>28</v>
      </c>
      <c r="D2118" s="2" t="s">
        <v>97</v>
      </c>
      <c r="E2118" s="2" t="s">
        <v>12904</v>
      </c>
      <c r="F2118" s="2" t="s">
        <v>8445</v>
      </c>
      <c r="G2118" s="2" t="s">
        <v>32</v>
      </c>
      <c r="H2118" s="1"/>
      <c r="I2118" s="2" t="s">
        <v>33</v>
      </c>
      <c r="J2118" s="2" t="s">
        <v>34</v>
      </c>
      <c r="K2118" s="2" t="s">
        <v>808</v>
      </c>
      <c r="L2118" s="2" t="s">
        <v>809</v>
      </c>
      <c r="M2118" s="2" t="s">
        <v>772</v>
      </c>
      <c r="N2118" s="2" t="s">
        <v>38</v>
      </c>
      <c r="O2118" s="2" t="s">
        <v>3789</v>
      </c>
      <c r="P2118" s="2" t="s">
        <v>2124</v>
      </c>
      <c r="Q2118" s="2" t="s">
        <v>13143</v>
      </c>
      <c r="R2118" s="2" t="s">
        <v>40</v>
      </c>
      <c r="S2118" s="2" t="s">
        <v>13144</v>
      </c>
      <c r="T2118" s="2" t="s">
        <v>814</v>
      </c>
      <c r="U2118" s="2" t="s">
        <v>13145</v>
      </c>
      <c r="V2118" s="2" t="s">
        <v>13146</v>
      </c>
      <c r="W2118" s="1"/>
      <c r="X2118" s="2" t="s">
        <v>3310</v>
      </c>
      <c r="Y2118" s="2" t="s">
        <v>12913</v>
      </c>
      <c r="AA2118" t="str">
        <f t="shared" si="198"/>
        <v>2025-11</v>
      </c>
      <c r="AB2118" t="str">
        <f t="shared" si="199"/>
        <v/>
      </c>
      <c r="AC2118">
        <f t="shared" si="200"/>
        <v>6240477.1699999999</v>
      </c>
      <c r="AD2118">
        <f t="shared" si="201"/>
        <v>489</v>
      </c>
      <c r="AE2118">
        <f t="shared" si="202"/>
        <v>1223337.17</v>
      </c>
      <c r="AF2118" t="str">
        <f t="shared" si="203"/>
        <v>Paid</v>
      </c>
    </row>
    <row r="2119" spans="1:32" ht="17.25" thickBot="1" x14ac:dyDescent="0.35">
      <c r="A2119" s="2" t="s">
        <v>13147</v>
      </c>
      <c r="B2119" s="2" t="s">
        <v>27</v>
      </c>
      <c r="C2119" s="2" t="s">
        <v>28</v>
      </c>
      <c r="D2119" s="2" t="s">
        <v>97</v>
      </c>
      <c r="E2119" s="2" t="s">
        <v>12904</v>
      </c>
      <c r="F2119" s="2" t="s">
        <v>8445</v>
      </c>
      <c r="G2119" s="2" t="s">
        <v>32</v>
      </c>
      <c r="H2119" s="1"/>
      <c r="I2119" s="2" t="s">
        <v>33</v>
      </c>
      <c r="J2119" s="2" t="s">
        <v>34</v>
      </c>
      <c r="K2119" s="2" t="s">
        <v>819</v>
      </c>
      <c r="L2119" s="2" t="s">
        <v>820</v>
      </c>
      <c r="M2119" s="2" t="s">
        <v>772</v>
      </c>
      <c r="N2119" s="2" t="s">
        <v>38</v>
      </c>
      <c r="O2119" s="2" t="s">
        <v>156</v>
      </c>
      <c r="P2119" s="2" t="s">
        <v>12807</v>
      </c>
      <c r="Q2119" s="2" t="s">
        <v>13148</v>
      </c>
      <c r="R2119" s="2" t="s">
        <v>40</v>
      </c>
      <c r="S2119" s="2" t="s">
        <v>13149</v>
      </c>
      <c r="T2119" s="2" t="s">
        <v>12077</v>
      </c>
      <c r="U2119" s="2" t="s">
        <v>13150</v>
      </c>
      <c r="V2119" s="2" t="s">
        <v>13151</v>
      </c>
      <c r="W2119" s="1"/>
      <c r="X2119" s="2" t="s">
        <v>2072</v>
      </c>
      <c r="Y2119" s="2" t="s">
        <v>12913</v>
      </c>
      <c r="AA2119" t="str">
        <f t="shared" si="198"/>
        <v>2025-11</v>
      </c>
      <c r="AB2119" t="str">
        <f t="shared" si="199"/>
        <v/>
      </c>
      <c r="AC2119">
        <f t="shared" si="200"/>
        <v>160218</v>
      </c>
      <c r="AD2119">
        <f t="shared" si="201"/>
        <v>20</v>
      </c>
      <c r="AE2119">
        <f t="shared" si="202"/>
        <v>32218</v>
      </c>
      <c r="AF2119" t="str">
        <f t="shared" si="203"/>
        <v>Paid</v>
      </c>
    </row>
    <row r="2120" spans="1:32" ht="17.25" thickBot="1" x14ac:dyDescent="0.35">
      <c r="A2120" s="2" t="s">
        <v>13152</v>
      </c>
      <c r="B2120" s="2" t="s">
        <v>27</v>
      </c>
      <c r="C2120" s="2" t="s">
        <v>28</v>
      </c>
      <c r="D2120" s="2" t="s">
        <v>97</v>
      </c>
      <c r="E2120" s="2" t="s">
        <v>12904</v>
      </c>
      <c r="F2120" s="2" t="s">
        <v>8445</v>
      </c>
      <c r="G2120" s="2" t="s">
        <v>32</v>
      </c>
      <c r="H2120" s="1"/>
      <c r="I2120" s="2" t="s">
        <v>33</v>
      </c>
      <c r="J2120" s="2" t="s">
        <v>34</v>
      </c>
      <c r="K2120" s="2" t="s">
        <v>9660</v>
      </c>
      <c r="L2120" s="2" t="s">
        <v>9661</v>
      </c>
      <c r="M2120" s="2" t="s">
        <v>772</v>
      </c>
      <c r="N2120" s="2" t="s">
        <v>38</v>
      </c>
      <c r="O2120" s="2" t="s">
        <v>779</v>
      </c>
      <c r="P2120" s="2" t="s">
        <v>13153</v>
      </c>
      <c r="Q2120" s="2" t="s">
        <v>13154</v>
      </c>
      <c r="R2120" s="2" t="s">
        <v>40</v>
      </c>
      <c r="S2120" s="2" t="s">
        <v>13155</v>
      </c>
      <c r="T2120" s="2" t="s">
        <v>9665</v>
      </c>
      <c r="U2120" s="2" t="s">
        <v>13156</v>
      </c>
      <c r="V2120" s="2" t="s">
        <v>13157</v>
      </c>
      <c r="W2120" s="1"/>
      <c r="X2120" s="2" t="s">
        <v>2797</v>
      </c>
      <c r="Y2120" s="2" t="s">
        <v>12913</v>
      </c>
      <c r="AA2120" t="str">
        <f t="shared" si="198"/>
        <v>2025-11</v>
      </c>
      <c r="AB2120" t="str">
        <f t="shared" si="199"/>
        <v/>
      </c>
      <c r="AC2120">
        <f t="shared" si="200"/>
        <v>950441.04</v>
      </c>
      <c r="AD2120">
        <f t="shared" si="201"/>
        <v>90</v>
      </c>
      <c r="AE2120">
        <f t="shared" si="202"/>
        <v>194801.04</v>
      </c>
      <c r="AF2120" t="str">
        <f t="shared" si="203"/>
        <v>Paid</v>
      </c>
    </row>
    <row r="2121" spans="1:32" ht="17.25" thickBot="1" x14ac:dyDescent="0.35">
      <c r="A2121" s="2" t="s">
        <v>13158</v>
      </c>
      <c r="B2121" s="2" t="s">
        <v>27</v>
      </c>
      <c r="C2121" s="2" t="s">
        <v>28</v>
      </c>
      <c r="D2121" s="2" t="s">
        <v>97</v>
      </c>
      <c r="E2121" s="2" t="s">
        <v>12904</v>
      </c>
      <c r="F2121" s="2" t="s">
        <v>8445</v>
      </c>
      <c r="G2121" s="2" t="s">
        <v>32</v>
      </c>
      <c r="H2121" s="1"/>
      <c r="I2121" s="2" t="s">
        <v>33</v>
      </c>
      <c r="J2121" s="2" t="s">
        <v>34</v>
      </c>
      <c r="K2121" s="2" t="s">
        <v>7970</v>
      </c>
      <c r="L2121" s="2" t="s">
        <v>7971</v>
      </c>
      <c r="M2121" s="2" t="s">
        <v>772</v>
      </c>
      <c r="N2121" s="2" t="s">
        <v>38</v>
      </c>
      <c r="O2121" s="2" t="s">
        <v>131</v>
      </c>
      <c r="P2121" s="2" t="s">
        <v>1414</v>
      </c>
      <c r="Q2121" s="2" t="s">
        <v>13159</v>
      </c>
      <c r="R2121" s="2" t="s">
        <v>40</v>
      </c>
      <c r="S2121" s="2" t="s">
        <v>13160</v>
      </c>
      <c r="T2121" s="2" t="s">
        <v>7175</v>
      </c>
      <c r="U2121" s="2" t="s">
        <v>7975</v>
      </c>
      <c r="V2121" s="2" t="s">
        <v>13161</v>
      </c>
      <c r="W2121" s="1"/>
      <c r="X2121" s="2" t="s">
        <v>5030</v>
      </c>
      <c r="Y2121" s="2" t="s">
        <v>12913</v>
      </c>
      <c r="AA2121" t="str">
        <f t="shared" si="198"/>
        <v>2025-11</v>
      </c>
      <c r="AB2121" t="str">
        <f t="shared" si="199"/>
        <v/>
      </c>
      <c r="AC2121">
        <f t="shared" si="200"/>
        <v>344399.04</v>
      </c>
      <c r="AD2121">
        <f t="shared" si="201"/>
        <v>40</v>
      </c>
      <c r="AE2121">
        <f t="shared" si="202"/>
        <v>65999.039999999994</v>
      </c>
      <c r="AF2121" t="str">
        <f t="shared" si="203"/>
        <v>Paid</v>
      </c>
    </row>
    <row r="2122" spans="1:32" ht="17.25" thickBot="1" x14ac:dyDescent="0.35">
      <c r="A2122" s="2" t="s">
        <v>13162</v>
      </c>
      <c r="B2122" s="2" t="s">
        <v>27</v>
      </c>
      <c r="C2122" s="2" t="s">
        <v>28</v>
      </c>
      <c r="D2122" s="2" t="s">
        <v>97</v>
      </c>
      <c r="E2122" s="2" t="s">
        <v>12904</v>
      </c>
      <c r="F2122" s="2" t="s">
        <v>8445</v>
      </c>
      <c r="G2122" s="2" t="s">
        <v>32</v>
      </c>
      <c r="H2122" s="1"/>
      <c r="I2122" s="2" t="s">
        <v>33</v>
      </c>
      <c r="J2122" s="2" t="s">
        <v>34</v>
      </c>
      <c r="K2122" s="2" t="s">
        <v>840</v>
      </c>
      <c r="L2122" s="2" t="s">
        <v>841</v>
      </c>
      <c r="M2122" s="2" t="s">
        <v>772</v>
      </c>
      <c r="N2122" s="2" t="s">
        <v>38</v>
      </c>
      <c r="O2122" s="2" t="s">
        <v>141</v>
      </c>
      <c r="P2122" s="2" t="s">
        <v>10904</v>
      </c>
      <c r="Q2122" s="2" t="s">
        <v>13163</v>
      </c>
      <c r="R2122" s="2" t="s">
        <v>40</v>
      </c>
      <c r="S2122" s="2" t="s">
        <v>13164</v>
      </c>
      <c r="T2122" s="2" t="s">
        <v>297</v>
      </c>
      <c r="U2122" s="2" t="s">
        <v>2257</v>
      </c>
      <c r="V2122" s="2" t="s">
        <v>13165</v>
      </c>
      <c r="W2122" s="1"/>
      <c r="X2122" s="2" t="s">
        <v>2104</v>
      </c>
      <c r="Y2122" s="2" t="s">
        <v>12913</v>
      </c>
      <c r="AA2122" t="str">
        <f t="shared" si="198"/>
        <v>2025-11</v>
      </c>
      <c r="AB2122" t="str">
        <f t="shared" si="199"/>
        <v/>
      </c>
      <c r="AC2122">
        <f t="shared" si="200"/>
        <v>300095.28000000003</v>
      </c>
      <c r="AD2122">
        <f t="shared" si="201"/>
        <v>30</v>
      </c>
      <c r="AE2122">
        <f t="shared" si="202"/>
        <v>60095.28</v>
      </c>
      <c r="AF2122" t="str">
        <f t="shared" si="203"/>
        <v>Paid</v>
      </c>
    </row>
    <row r="2123" spans="1:32" ht="17.25" thickBot="1" x14ac:dyDescent="0.35">
      <c r="A2123" s="2" t="s">
        <v>13166</v>
      </c>
      <c r="B2123" s="2" t="s">
        <v>27</v>
      </c>
      <c r="C2123" s="2" t="s">
        <v>28</v>
      </c>
      <c r="D2123" s="2" t="s">
        <v>97</v>
      </c>
      <c r="E2123" s="2" t="s">
        <v>12904</v>
      </c>
      <c r="F2123" s="2" t="s">
        <v>8445</v>
      </c>
      <c r="G2123" s="2" t="s">
        <v>32</v>
      </c>
      <c r="H2123" s="1"/>
      <c r="I2123" s="2" t="s">
        <v>33</v>
      </c>
      <c r="J2123" s="2" t="s">
        <v>34</v>
      </c>
      <c r="K2123" s="2" t="s">
        <v>847</v>
      </c>
      <c r="L2123" s="2" t="s">
        <v>848</v>
      </c>
      <c r="M2123" s="2" t="s">
        <v>772</v>
      </c>
      <c r="N2123" s="2" t="s">
        <v>38</v>
      </c>
      <c r="O2123" s="2" t="s">
        <v>877</v>
      </c>
      <c r="P2123" s="2" t="s">
        <v>9662</v>
      </c>
      <c r="Q2123" s="2" t="s">
        <v>13167</v>
      </c>
      <c r="R2123" s="2" t="s">
        <v>40</v>
      </c>
      <c r="S2123" s="2" t="s">
        <v>13168</v>
      </c>
      <c r="T2123" s="2" t="s">
        <v>853</v>
      </c>
      <c r="U2123" s="2" t="s">
        <v>13169</v>
      </c>
      <c r="V2123" s="2" t="s">
        <v>13170</v>
      </c>
      <c r="W2123" s="1"/>
      <c r="X2123" s="2" t="s">
        <v>4934</v>
      </c>
      <c r="Y2123" s="2" t="s">
        <v>12913</v>
      </c>
      <c r="AA2123" t="str">
        <f t="shared" si="198"/>
        <v>2025-11</v>
      </c>
      <c r="AB2123" t="str">
        <f t="shared" si="199"/>
        <v/>
      </c>
      <c r="AC2123">
        <f t="shared" si="200"/>
        <v>1026788.4</v>
      </c>
      <c r="AD2123">
        <f t="shared" si="201"/>
        <v>100</v>
      </c>
      <c r="AE2123">
        <f t="shared" si="202"/>
        <v>187988.4</v>
      </c>
      <c r="AF2123" t="str">
        <f t="shared" si="203"/>
        <v>Paid</v>
      </c>
    </row>
    <row r="2124" spans="1:32" ht="17.25" thickBot="1" x14ac:dyDescent="0.35">
      <c r="A2124" s="2" t="s">
        <v>13171</v>
      </c>
      <c r="B2124" s="2" t="s">
        <v>27</v>
      </c>
      <c r="C2124" s="2" t="s">
        <v>28</v>
      </c>
      <c r="D2124" s="2" t="s">
        <v>97</v>
      </c>
      <c r="E2124" s="2" t="s">
        <v>12904</v>
      </c>
      <c r="F2124" s="2" t="s">
        <v>8445</v>
      </c>
      <c r="G2124" s="2" t="s">
        <v>32</v>
      </c>
      <c r="H2124" s="1"/>
      <c r="I2124" s="2" t="s">
        <v>33</v>
      </c>
      <c r="J2124" s="2" t="s">
        <v>34</v>
      </c>
      <c r="K2124" s="2" t="s">
        <v>4295</v>
      </c>
      <c r="L2124" s="2" t="s">
        <v>4296</v>
      </c>
      <c r="M2124" s="2" t="s">
        <v>772</v>
      </c>
      <c r="N2124" s="2" t="s">
        <v>38</v>
      </c>
      <c r="O2124" s="2" t="s">
        <v>1904</v>
      </c>
      <c r="P2124" s="2" t="s">
        <v>12153</v>
      </c>
      <c r="Q2124" s="2" t="s">
        <v>13172</v>
      </c>
      <c r="R2124" s="2" t="s">
        <v>40</v>
      </c>
      <c r="S2124" s="2" t="s">
        <v>13173</v>
      </c>
      <c r="T2124" s="2" t="s">
        <v>6652</v>
      </c>
      <c r="U2124" s="2" t="s">
        <v>13174</v>
      </c>
      <c r="V2124" s="2" t="s">
        <v>13175</v>
      </c>
      <c r="W2124" s="1"/>
      <c r="X2124" s="2" t="s">
        <v>2781</v>
      </c>
      <c r="Y2124" s="2" t="s">
        <v>12913</v>
      </c>
      <c r="AA2124" t="str">
        <f t="shared" si="198"/>
        <v>2025-11</v>
      </c>
      <c r="AB2124" t="str">
        <f t="shared" si="199"/>
        <v/>
      </c>
      <c r="AC2124">
        <f t="shared" si="200"/>
        <v>1884163.68</v>
      </c>
      <c r="AD2124">
        <f t="shared" si="201"/>
        <v>230</v>
      </c>
      <c r="AE2124">
        <f t="shared" si="202"/>
        <v>389163.68</v>
      </c>
      <c r="AF2124" t="str">
        <f t="shared" si="203"/>
        <v>Paid</v>
      </c>
    </row>
    <row r="2125" spans="1:32" ht="17.25" thickBot="1" x14ac:dyDescent="0.35">
      <c r="A2125" s="2" t="s">
        <v>13176</v>
      </c>
      <c r="B2125" s="2" t="s">
        <v>27</v>
      </c>
      <c r="C2125" s="2" t="s">
        <v>28</v>
      </c>
      <c r="D2125" s="2" t="s">
        <v>97</v>
      </c>
      <c r="E2125" s="2" t="s">
        <v>12904</v>
      </c>
      <c r="F2125" s="2" t="s">
        <v>8445</v>
      </c>
      <c r="G2125" s="2" t="s">
        <v>32</v>
      </c>
      <c r="H2125" s="1"/>
      <c r="I2125" s="2" t="s">
        <v>33</v>
      </c>
      <c r="J2125" s="2" t="s">
        <v>34</v>
      </c>
      <c r="K2125" s="2" t="s">
        <v>878</v>
      </c>
      <c r="L2125" s="2" t="s">
        <v>879</v>
      </c>
      <c r="M2125" s="2" t="s">
        <v>772</v>
      </c>
      <c r="N2125" s="2" t="s">
        <v>38</v>
      </c>
      <c r="O2125" s="2" t="s">
        <v>221</v>
      </c>
      <c r="P2125" s="2" t="s">
        <v>10097</v>
      </c>
      <c r="Q2125" s="2" t="s">
        <v>11910</v>
      </c>
      <c r="R2125" s="2" t="s">
        <v>40</v>
      </c>
      <c r="S2125" s="2" t="s">
        <v>13177</v>
      </c>
      <c r="T2125" s="2" t="s">
        <v>883</v>
      </c>
      <c r="U2125" s="2" t="s">
        <v>13178</v>
      </c>
      <c r="V2125" s="2" t="s">
        <v>13179</v>
      </c>
      <c r="W2125" s="1"/>
      <c r="X2125" s="2" t="s">
        <v>3465</v>
      </c>
      <c r="Y2125" s="2" t="s">
        <v>12913</v>
      </c>
      <c r="AA2125" t="str">
        <f t="shared" si="198"/>
        <v>2025-11</v>
      </c>
      <c r="AB2125" t="str">
        <f t="shared" si="199"/>
        <v/>
      </c>
      <c r="AC2125">
        <f t="shared" si="200"/>
        <v>1733976.72</v>
      </c>
      <c r="AD2125">
        <f t="shared" si="201"/>
        <v>140</v>
      </c>
      <c r="AE2125">
        <f t="shared" si="202"/>
        <v>312976.71999999997</v>
      </c>
      <c r="AF2125" t="str">
        <f t="shared" si="203"/>
        <v>Paid</v>
      </c>
    </row>
    <row r="2126" spans="1:32" ht="17.25" thickBot="1" x14ac:dyDescent="0.35">
      <c r="A2126" s="2" t="s">
        <v>13180</v>
      </c>
      <c r="B2126" s="2" t="s">
        <v>27</v>
      </c>
      <c r="C2126" s="2" t="s">
        <v>28</v>
      </c>
      <c r="D2126" s="2" t="s">
        <v>97</v>
      </c>
      <c r="E2126" s="2" t="s">
        <v>12904</v>
      </c>
      <c r="F2126" s="2" t="s">
        <v>8445</v>
      </c>
      <c r="G2126" s="2" t="s">
        <v>32</v>
      </c>
      <c r="H2126" s="1"/>
      <c r="I2126" s="2" t="s">
        <v>33</v>
      </c>
      <c r="J2126" s="2" t="s">
        <v>34</v>
      </c>
      <c r="K2126" s="2" t="s">
        <v>12105</v>
      </c>
      <c r="L2126" s="2" t="s">
        <v>12106</v>
      </c>
      <c r="M2126" s="2" t="s">
        <v>772</v>
      </c>
      <c r="N2126" s="2" t="s">
        <v>38</v>
      </c>
      <c r="O2126" s="2" t="s">
        <v>645</v>
      </c>
      <c r="P2126" s="2" t="s">
        <v>6946</v>
      </c>
      <c r="Q2126" s="2" t="s">
        <v>13181</v>
      </c>
      <c r="R2126" s="2" t="s">
        <v>40</v>
      </c>
      <c r="S2126" s="2" t="s">
        <v>13182</v>
      </c>
      <c r="T2126" s="2" t="s">
        <v>894</v>
      </c>
      <c r="U2126" s="2" t="s">
        <v>13183</v>
      </c>
      <c r="V2126" s="2" t="s">
        <v>13184</v>
      </c>
      <c r="W2126" s="1"/>
      <c r="X2126" s="2" t="s">
        <v>3589</v>
      </c>
      <c r="Y2126" s="2" t="s">
        <v>12913</v>
      </c>
      <c r="AA2126" t="str">
        <f t="shared" si="198"/>
        <v>2025-11</v>
      </c>
      <c r="AB2126" t="str">
        <f t="shared" si="199"/>
        <v/>
      </c>
      <c r="AC2126">
        <f t="shared" si="200"/>
        <v>2079490.32</v>
      </c>
      <c r="AD2126">
        <f t="shared" si="201"/>
        <v>170</v>
      </c>
      <c r="AE2126">
        <f t="shared" si="202"/>
        <v>424540.32</v>
      </c>
      <c r="AF2126" t="str">
        <f t="shared" si="203"/>
        <v>Paid</v>
      </c>
    </row>
    <row r="2127" spans="1:32" ht="17.25" thickBot="1" x14ac:dyDescent="0.35">
      <c r="A2127" s="2" t="s">
        <v>13185</v>
      </c>
      <c r="B2127" s="2" t="s">
        <v>27</v>
      </c>
      <c r="C2127" s="2" t="s">
        <v>28</v>
      </c>
      <c r="D2127" s="2" t="s">
        <v>97</v>
      </c>
      <c r="E2127" s="2" t="s">
        <v>12904</v>
      </c>
      <c r="F2127" s="2" t="s">
        <v>8445</v>
      </c>
      <c r="G2127" s="2" t="s">
        <v>32</v>
      </c>
      <c r="H2127" s="1"/>
      <c r="I2127" s="2" t="s">
        <v>33</v>
      </c>
      <c r="J2127" s="2" t="s">
        <v>34</v>
      </c>
      <c r="K2127" s="2" t="s">
        <v>899</v>
      </c>
      <c r="L2127" s="2" t="s">
        <v>900</v>
      </c>
      <c r="M2127" s="2" t="s">
        <v>772</v>
      </c>
      <c r="N2127" s="2" t="s">
        <v>38</v>
      </c>
      <c r="O2127" s="2" t="s">
        <v>849</v>
      </c>
      <c r="P2127" s="2" t="s">
        <v>2735</v>
      </c>
      <c r="Q2127" s="2" t="s">
        <v>13186</v>
      </c>
      <c r="R2127" s="2" t="s">
        <v>40</v>
      </c>
      <c r="S2127" s="2" t="s">
        <v>13187</v>
      </c>
      <c r="T2127" s="2" t="s">
        <v>903</v>
      </c>
      <c r="U2127" s="2" t="s">
        <v>13188</v>
      </c>
      <c r="V2127" s="2" t="s">
        <v>13189</v>
      </c>
      <c r="W2127" s="1"/>
      <c r="X2127" s="2" t="s">
        <v>2797</v>
      </c>
      <c r="Y2127" s="2" t="s">
        <v>12913</v>
      </c>
      <c r="AA2127" t="str">
        <f t="shared" si="198"/>
        <v>2025-11</v>
      </c>
      <c r="AB2127" t="str">
        <f t="shared" si="199"/>
        <v/>
      </c>
      <c r="AC2127">
        <f t="shared" si="200"/>
        <v>2202370.56</v>
      </c>
      <c r="AD2127">
        <f t="shared" si="201"/>
        <v>160</v>
      </c>
      <c r="AE2127">
        <f t="shared" si="202"/>
        <v>451970.56</v>
      </c>
      <c r="AF2127" t="str">
        <f t="shared" si="203"/>
        <v>Paid</v>
      </c>
    </row>
    <row r="2128" spans="1:32" ht="17.25" thickBot="1" x14ac:dyDescent="0.35">
      <c r="A2128" s="2" t="s">
        <v>13190</v>
      </c>
      <c r="B2128" s="2" t="s">
        <v>27</v>
      </c>
      <c r="C2128" s="2" t="s">
        <v>28</v>
      </c>
      <c r="D2128" s="2" t="s">
        <v>97</v>
      </c>
      <c r="E2128" s="2" t="s">
        <v>12904</v>
      </c>
      <c r="F2128" s="2" t="s">
        <v>8445</v>
      </c>
      <c r="G2128" s="2" t="s">
        <v>32</v>
      </c>
      <c r="H2128" s="1"/>
      <c r="I2128" s="2" t="s">
        <v>33</v>
      </c>
      <c r="J2128" s="2" t="s">
        <v>34</v>
      </c>
      <c r="K2128" s="2" t="s">
        <v>907</v>
      </c>
      <c r="L2128" s="2" t="s">
        <v>908</v>
      </c>
      <c r="M2128" s="2" t="s">
        <v>772</v>
      </c>
      <c r="N2128" s="2" t="s">
        <v>38</v>
      </c>
      <c r="O2128" s="2" t="s">
        <v>159</v>
      </c>
      <c r="P2128" s="2" t="s">
        <v>13191</v>
      </c>
      <c r="Q2128" s="2" t="s">
        <v>13192</v>
      </c>
      <c r="R2128" s="2" t="s">
        <v>40</v>
      </c>
      <c r="S2128" s="2" t="s">
        <v>13193</v>
      </c>
      <c r="T2128" s="2" t="s">
        <v>913</v>
      </c>
      <c r="U2128" s="2" t="s">
        <v>13194</v>
      </c>
      <c r="V2128" s="2" t="s">
        <v>13195</v>
      </c>
      <c r="W2128" s="1"/>
      <c r="X2128" s="2" t="s">
        <v>4934</v>
      </c>
      <c r="Y2128" s="2" t="s">
        <v>12913</v>
      </c>
      <c r="AA2128" t="str">
        <f t="shared" si="198"/>
        <v>2025-11</v>
      </c>
      <c r="AB2128" t="str">
        <f t="shared" si="199"/>
        <v/>
      </c>
      <c r="AC2128">
        <f t="shared" si="200"/>
        <v>1045457.28</v>
      </c>
      <c r="AD2128">
        <f t="shared" si="201"/>
        <v>80</v>
      </c>
      <c r="AE2128">
        <f t="shared" si="202"/>
        <v>191057.28</v>
      </c>
      <c r="AF2128" t="str">
        <f t="shared" si="203"/>
        <v>Paid</v>
      </c>
    </row>
    <row r="2129" spans="1:32" ht="17.25" thickBot="1" x14ac:dyDescent="0.35">
      <c r="A2129" s="2" t="s">
        <v>13196</v>
      </c>
      <c r="B2129" s="2" t="s">
        <v>27</v>
      </c>
      <c r="C2129" s="2" t="s">
        <v>28</v>
      </c>
      <c r="D2129" s="2" t="s">
        <v>97</v>
      </c>
      <c r="E2129" s="2" t="s">
        <v>12904</v>
      </c>
      <c r="F2129" s="2" t="s">
        <v>8445</v>
      </c>
      <c r="G2129" s="2" t="s">
        <v>32</v>
      </c>
      <c r="H2129" s="1"/>
      <c r="I2129" s="2" t="s">
        <v>33</v>
      </c>
      <c r="J2129" s="2" t="s">
        <v>34</v>
      </c>
      <c r="K2129" s="2" t="s">
        <v>12117</v>
      </c>
      <c r="L2129" s="2" t="s">
        <v>12118</v>
      </c>
      <c r="M2129" s="2" t="s">
        <v>772</v>
      </c>
      <c r="N2129" s="2" t="s">
        <v>38</v>
      </c>
      <c r="O2129" s="2" t="s">
        <v>877</v>
      </c>
      <c r="P2129" s="2" t="s">
        <v>284</v>
      </c>
      <c r="Q2129" s="2" t="s">
        <v>10866</v>
      </c>
      <c r="R2129" s="2" t="s">
        <v>40</v>
      </c>
      <c r="S2129" s="2" t="s">
        <v>13197</v>
      </c>
      <c r="T2129" s="2" t="s">
        <v>4347</v>
      </c>
      <c r="U2129" s="2" t="s">
        <v>13198</v>
      </c>
      <c r="V2129" s="2" t="s">
        <v>13199</v>
      </c>
      <c r="W2129" s="1"/>
      <c r="X2129" s="2" t="s">
        <v>12941</v>
      </c>
      <c r="Y2129" s="2" t="s">
        <v>12913</v>
      </c>
      <c r="AA2129" t="str">
        <f t="shared" si="198"/>
        <v>2025-11</v>
      </c>
      <c r="AB2129" t="str">
        <f t="shared" si="199"/>
        <v/>
      </c>
      <c r="AC2129">
        <f t="shared" si="200"/>
        <v>1083909.6000000001</v>
      </c>
      <c r="AD2129">
        <f t="shared" si="201"/>
        <v>100</v>
      </c>
      <c r="AE2129">
        <f t="shared" si="202"/>
        <v>199909.6</v>
      </c>
      <c r="AF2129" t="str">
        <f t="shared" si="203"/>
        <v>Paid</v>
      </c>
    </row>
    <row r="2130" spans="1:32" ht="17.25" thickBot="1" x14ac:dyDescent="0.35">
      <c r="A2130" s="2" t="s">
        <v>13200</v>
      </c>
      <c r="B2130" s="2" t="s">
        <v>27</v>
      </c>
      <c r="C2130" s="2" t="s">
        <v>28</v>
      </c>
      <c r="D2130" s="2" t="s">
        <v>97</v>
      </c>
      <c r="E2130" s="2" t="s">
        <v>12904</v>
      </c>
      <c r="F2130" s="2" t="s">
        <v>8445</v>
      </c>
      <c r="G2130" s="2" t="s">
        <v>32</v>
      </c>
      <c r="H2130" s="1"/>
      <c r="I2130" s="2" t="s">
        <v>33</v>
      </c>
      <c r="J2130" s="2" t="s">
        <v>34</v>
      </c>
      <c r="K2130" s="2" t="s">
        <v>936</v>
      </c>
      <c r="L2130" s="2" t="s">
        <v>937</v>
      </c>
      <c r="M2130" s="2" t="s">
        <v>772</v>
      </c>
      <c r="N2130" s="2" t="s">
        <v>38</v>
      </c>
      <c r="O2130" s="2" t="s">
        <v>1538</v>
      </c>
      <c r="P2130" s="2" t="s">
        <v>13201</v>
      </c>
      <c r="Q2130" s="2" t="s">
        <v>13202</v>
      </c>
      <c r="R2130" s="2" t="s">
        <v>40</v>
      </c>
      <c r="S2130" s="2" t="s">
        <v>13203</v>
      </c>
      <c r="T2130" s="2" t="s">
        <v>942</v>
      </c>
      <c r="U2130" s="2" t="s">
        <v>13204</v>
      </c>
      <c r="V2130" s="2" t="s">
        <v>13205</v>
      </c>
      <c r="W2130" s="1"/>
      <c r="X2130" s="2" t="s">
        <v>5030</v>
      </c>
      <c r="Y2130" s="2" t="s">
        <v>12913</v>
      </c>
      <c r="AA2130" t="str">
        <f t="shared" si="198"/>
        <v>2025-11</v>
      </c>
      <c r="AB2130" t="str">
        <f t="shared" si="199"/>
        <v/>
      </c>
      <c r="AC2130">
        <f t="shared" si="200"/>
        <v>5351559.84</v>
      </c>
      <c r="AD2130">
        <f t="shared" si="201"/>
        <v>440</v>
      </c>
      <c r="AE2130">
        <f t="shared" si="202"/>
        <v>1026799.84</v>
      </c>
      <c r="AF2130" t="str">
        <f t="shared" si="203"/>
        <v>Paid</v>
      </c>
    </row>
    <row r="2131" spans="1:32" ht="17.25" thickBot="1" x14ac:dyDescent="0.35">
      <c r="A2131" s="2" t="s">
        <v>13206</v>
      </c>
      <c r="B2131" s="2" t="s">
        <v>27</v>
      </c>
      <c r="C2131" s="2" t="s">
        <v>28</v>
      </c>
      <c r="D2131" s="2" t="s">
        <v>97</v>
      </c>
      <c r="E2131" s="2" t="s">
        <v>12904</v>
      </c>
      <c r="F2131" s="2" t="s">
        <v>8445</v>
      </c>
      <c r="G2131" s="2" t="s">
        <v>32</v>
      </c>
      <c r="H2131" s="1"/>
      <c r="I2131" s="2" t="s">
        <v>33</v>
      </c>
      <c r="J2131" s="2" t="s">
        <v>34</v>
      </c>
      <c r="K2131" s="2" t="s">
        <v>8820</v>
      </c>
      <c r="L2131" s="2" t="s">
        <v>8821</v>
      </c>
      <c r="M2131" s="2" t="s">
        <v>772</v>
      </c>
      <c r="N2131" s="2" t="s">
        <v>38</v>
      </c>
      <c r="O2131" s="2" t="s">
        <v>773</v>
      </c>
      <c r="P2131" s="2" t="s">
        <v>13207</v>
      </c>
      <c r="Q2131" s="2" t="s">
        <v>13208</v>
      </c>
      <c r="R2131" s="2" t="s">
        <v>40</v>
      </c>
      <c r="S2131" s="2" t="s">
        <v>13209</v>
      </c>
      <c r="T2131" s="2" t="s">
        <v>983</v>
      </c>
      <c r="U2131" s="2" t="s">
        <v>13210</v>
      </c>
      <c r="V2131" s="2" t="s">
        <v>13211</v>
      </c>
      <c r="W2131" s="1"/>
      <c r="X2131" s="2" t="s">
        <v>3589</v>
      </c>
      <c r="Y2131" s="2" t="s">
        <v>12913</v>
      </c>
      <c r="AA2131" t="str">
        <f t="shared" si="198"/>
        <v>2025-11</v>
      </c>
      <c r="AB2131" t="str">
        <f t="shared" si="199"/>
        <v/>
      </c>
      <c r="AC2131">
        <f t="shared" si="200"/>
        <v>2674944</v>
      </c>
      <c r="AD2131">
        <f t="shared" si="201"/>
        <v>200</v>
      </c>
      <c r="AE2131">
        <f t="shared" si="202"/>
        <v>544944</v>
      </c>
      <c r="AF2131" t="str">
        <f t="shared" si="203"/>
        <v>Paid</v>
      </c>
    </row>
    <row r="2132" spans="1:32" ht="17.25" thickBot="1" x14ac:dyDescent="0.35">
      <c r="A2132" s="2" t="s">
        <v>13212</v>
      </c>
      <c r="B2132" s="2" t="s">
        <v>27</v>
      </c>
      <c r="C2132" s="2" t="s">
        <v>28</v>
      </c>
      <c r="D2132" s="2" t="s">
        <v>97</v>
      </c>
      <c r="E2132" s="2" t="s">
        <v>12904</v>
      </c>
      <c r="F2132" s="2" t="s">
        <v>8445</v>
      </c>
      <c r="G2132" s="2" t="s">
        <v>32</v>
      </c>
      <c r="H2132" s="1"/>
      <c r="I2132" s="2" t="s">
        <v>33</v>
      </c>
      <c r="J2132" s="2" t="s">
        <v>34</v>
      </c>
      <c r="K2132" s="2" t="s">
        <v>1008</v>
      </c>
      <c r="L2132" s="2" t="s">
        <v>1009</v>
      </c>
      <c r="M2132" s="2" t="s">
        <v>772</v>
      </c>
      <c r="N2132" s="2" t="s">
        <v>38</v>
      </c>
      <c r="O2132" s="2" t="s">
        <v>1631</v>
      </c>
      <c r="P2132" s="2" t="s">
        <v>3012</v>
      </c>
      <c r="Q2132" s="2" t="s">
        <v>13213</v>
      </c>
      <c r="R2132" s="2" t="s">
        <v>40</v>
      </c>
      <c r="S2132" s="2" t="s">
        <v>13214</v>
      </c>
      <c r="T2132" s="2" t="s">
        <v>9735</v>
      </c>
      <c r="U2132" s="2" t="s">
        <v>13215</v>
      </c>
      <c r="V2132" s="2" t="s">
        <v>13216</v>
      </c>
      <c r="W2132" s="1"/>
      <c r="X2132" s="2" t="s">
        <v>7137</v>
      </c>
      <c r="Y2132" s="2" t="s">
        <v>12913</v>
      </c>
      <c r="AA2132" t="str">
        <f t="shared" si="198"/>
        <v>2025-11</v>
      </c>
      <c r="AB2132" t="str">
        <f t="shared" si="199"/>
        <v/>
      </c>
      <c r="AC2132">
        <f t="shared" si="200"/>
        <v>1921780.08</v>
      </c>
      <c r="AD2132">
        <f t="shared" si="201"/>
        <v>190</v>
      </c>
      <c r="AE2132">
        <f t="shared" si="202"/>
        <v>390380.08</v>
      </c>
      <c r="AF2132" t="str">
        <f t="shared" si="203"/>
        <v>Paid</v>
      </c>
    </row>
    <row r="2133" spans="1:32" ht="17.25" thickBot="1" x14ac:dyDescent="0.35">
      <c r="A2133" s="2" t="s">
        <v>13217</v>
      </c>
      <c r="B2133" s="2" t="s">
        <v>27</v>
      </c>
      <c r="C2133" s="2" t="s">
        <v>28</v>
      </c>
      <c r="D2133" s="2" t="s">
        <v>97</v>
      </c>
      <c r="E2133" s="2" t="s">
        <v>12904</v>
      </c>
      <c r="F2133" s="2" t="s">
        <v>8445</v>
      </c>
      <c r="G2133" s="2" t="s">
        <v>32</v>
      </c>
      <c r="H2133" s="1"/>
      <c r="I2133" s="2" t="s">
        <v>33</v>
      </c>
      <c r="J2133" s="2" t="s">
        <v>34</v>
      </c>
      <c r="K2133" s="2" t="s">
        <v>1018</v>
      </c>
      <c r="L2133" s="2" t="s">
        <v>1019</v>
      </c>
      <c r="M2133" s="2" t="s">
        <v>772</v>
      </c>
      <c r="N2133" s="2" t="s">
        <v>38</v>
      </c>
      <c r="O2133" s="2" t="s">
        <v>890</v>
      </c>
      <c r="P2133" s="2" t="s">
        <v>13218</v>
      </c>
      <c r="Q2133" s="2" t="s">
        <v>13219</v>
      </c>
      <c r="R2133" s="2" t="s">
        <v>40</v>
      </c>
      <c r="S2133" s="2" t="s">
        <v>13220</v>
      </c>
      <c r="T2133" s="2" t="s">
        <v>669</v>
      </c>
      <c r="U2133" s="2" t="s">
        <v>13221</v>
      </c>
      <c r="V2133" s="2" t="s">
        <v>13222</v>
      </c>
      <c r="W2133" s="1"/>
      <c r="X2133" s="2" t="s">
        <v>2072</v>
      </c>
      <c r="Y2133" s="2" t="s">
        <v>12913</v>
      </c>
      <c r="AA2133" t="str">
        <f t="shared" si="198"/>
        <v>2025-11</v>
      </c>
      <c r="AB2133" t="str">
        <f t="shared" si="199"/>
        <v/>
      </c>
      <c r="AC2133">
        <f t="shared" si="200"/>
        <v>2478084.84</v>
      </c>
      <c r="AD2133">
        <f t="shared" si="201"/>
        <v>330</v>
      </c>
      <c r="AE2133">
        <f t="shared" si="202"/>
        <v>498084.84</v>
      </c>
      <c r="AF2133" t="str">
        <f t="shared" si="203"/>
        <v>Paid</v>
      </c>
    </row>
    <row r="2134" spans="1:32" ht="17.25" thickBot="1" x14ac:dyDescent="0.35">
      <c r="A2134" s="2" t="s">
        <v>13223</v>
      </c>
      <c r="B2134" s="2" t="s">
        <v>27</v>
      </c>
      <c r="C2134" s="2" t="s">
        <v>28</v>
      </c>
      <c r="D2134" s="2" t="s">
        <v>97</v>
      </c>
      <c r="E2134" s="2" t="s">
        <v>12904</v>
      </c>
      <c r="F2134" s="2" t="s">
        <v>8445</v>
      </c>
      <c r="G2134" s="2" t="s">
        <v>32</v>
      </c>
      <c r="H2134" s="1"/>
      <c r="I2134" s="2" t="s">
        <v>33</v>
      </c>
      <c r="J2134" s="2" t="s">
        <v>34</v>
      </c>
      <c r="K2134" s="2" t="s">
        <v>1026</v>
      </c>
      <c r="L2134" s="2" t="s">
        <v>1027</v>
      </c>
      <c r="M2134" s="2" t="s">
        <v>772</v>
      </c>
      <c r="N2134" s="2" t="s">
        <v>38</v>
      </c>
      <c r="O2134" s="2" t="s">
        <v>131</v>
      </c>
      <c r="P2134" s="2" t="s">
        <v>13218</v>
      </c>
      <c r="Q2134" s="2" t="s">
        <v>13224</v>
      </c>
      <c r="R2134" s="2" t="s">
        <v>40</v>
      </c>
      <c r="S2134" s="2" t="s">
        <v>13225</v>
      </c>
      <c r="T2134" s="2" t="s">
        <v>669</v>
      </c>
      <c r="U2134" s="2" t="s">
        <v>2257</v>
      </c>
      <c r="V2134" s="2" t="s">
        <v>13226</v>
      </c>
      <c r="W2134" s="1"/>
      <c r="X2134" s="2" t="s">
        <v>2072</v>
      </c>
      <c r="Y2134" s="2" t="s">
        <v>12913</v>
      </c>
      <c r="AA2134" t="str">
        <f t="shared" si="198"/>
        <v>2025-11</v>
      </c>
      <c r="AB2134" t="str">
        <f t="shared" si="199"/>
        <v/>
      </c>
      <c r="AC2134">
        <f t="shared" si="200"/>
        <v>300373.92</v>
      </c>
      <c r="AD2134">
        <f t="shared" si="201"/>
        <v>40</v>
      </c>
      <c r="AE2134">
        <f t="shared" si="202"/>
        <v>60373.919999999998</v>
      </c>
      <c r="AF2134" t="str">
        <f t="shared" si="203"/>
        <v>Paid</v>
      </c>
    </row>
    <row r="2135" spans="1:32" ht="17.25" thickBot="1" x14ac:dyDescent="0.35">
      <c r="A2135" s="2" t="s">
        <v>13227</v>
      </c>
      <c r="B2135" s="2" t="s">
        <v>27</v>
      </c>
      <c r="C2135" s="2" t="s">
        <v>28</v>
      </c>
      <c r="D2135" s="2" t="s">
        <v>97</v>
      </c>
      <c r="E2135" s="2" t="s">
        <v>12904</v>
      </c>
      <c r="F2135" s="2" t="s">
        <v>8445</v>
      </c>
      <c r="G2135" s="2" t="s">
        <v>32</v>
      </c>
      <c r="H2135" s="1"/>
      <c r="I2135" s="2" t="s">
        <v>33</v>
      </c>
      <c r="J2135" s="2" t="s">
        <v>34</v>
      </c>
      <c r="K2135" s="2" t="s">
        <v>1033</v>
      </c>
      <c r="L2135" s="2" t="s">
        <v>1034</v>
      </c>
      <c r="M2135" s="2" t="s">
        <v>772</v>
      </c>
      <c r="N2135" s="2" t="s">
        <v>38</v>
      </c>
      <c r="O2135" s="2" t="s">
        <v>391</v>
      </c>
      <c r="P2135" s="2" t="s">
        <v>13228</v>
      </c>
      <c r="Q2135" s="2" t="s">
        <v>10440</v>
      </c>
      <c r="R2135" s="2" t="s">
        <v>40</v>
      </c>
      <c r="S2135" s="2" t="s">
        <v>13229</v>
      </c>
      <c r="T2135" s="2" t="s">
        <v>1039</v>
      </c>
      <c r="U2135" s="2" t="s">
        <v>13230</v>
      </c>
      <c r="V2135" s="2" t="s">
        <v>13231</v>
      </c>
      <c r="W2135" s="1"/>
      <c r="X2135" s="2" t="s">
        <v>3089</v>
      </c>
      <c r="Y2135" s="2" t="s">
        <v>12913</v>
      </c>
      <c r="AA2135" t="str">
        <f t="shared" si="198"/>
        <v>2025-11</v>
      </c>
      <c r="AB2135" t="str">
        <f t="shared" si="199"/>
        <v/>
      </c>
      <c r="AC2135">
        <f t="shared" si="200"/>
        <v>639478.80000000005</v>
      </c>
      <c r="AD2135">
        <f t="shared" si="201"/>
        <v>60</v>
      </c>
      <c r="AE2135">
        <f t="shared" si="202"/>
        <v>123478.8</v>
      </c>
      <c r="AF2135" t="str">
        <f t="shared" si="203"/>
        <v>Paid</v>
      </c>
    </row>
    <row r="2136" spans="1:32" ht="17.25" thickBot="1" x14ac:dyDescent="0.35">
      <c r="A2136" s="2" t="s">
        <v>13232</v>
      </c>
      <c r="B2136" s="2" t="s">
        <v>27</v>
      </c>
      <c r="C2136" s="2" t="s">
        <v>28</v>
      </c>
      <c r="D2136" s="2" t="s">
        <v>97</v>
      </c>
      <c r="E2136" s="2" t="s">
        <v>12904</v>
      </c>
      <c r="F2136" s="2" t="s">
        <v>8445</v>
      </c>
      <c r="G2136" s="2" t="s">
        <v>32</v>
      </c>
      <c r="H2136" s="1"/>
      <c r="I2136" s="2" t="s">
        <v>33</v>
      </c>
      <c r="J2136" s="2" t="s">
        <v>34</v>
      </c>
      <c r="K2136" s="2" t="s">
        <v>5322</v>
      </c>
      <c r="L2136" s="2" t="s">
        <v>5323</v>
      </c>
      <c r="M2136" s="2" t="s">
        <v>772</v>
      </c>
      <c r="N2136" s="2" t="s">
        <v>38</v>
      </c>
      <c r="O2136" s="2" t="s">
        <v>391</v>
      </c>
      <c r="P2136" s="2" t="s">
        <v>13233</v>
      </c>
      <c r="Q2136" s="2" t="s">
        <v>9246</v>
      </c>
      <c r="R2136" s="2" t="s">
        <v>40</v>
      </c>
      <c r="S2136" s="2" t="s">
        <v>13234</v>
      </c>
      <c r="T2136" s="2" t="s">
        <v>1060</v>
      </c>
      <c r="U2136" s="2" t="s">
        <v>13235</v>
      </c>
      <c r="V2136" s="2" t="s">
        <v>13236</v>
      </c>
      <c r="W2136" s="1"/>
      <c r="X2136" s="2" t="s">
        <v>2104</v>
      </c>
      <c r="Y2136" s="2" t="s">
        <v>12913</v>
      </c>
      <c r="AA2136" t="str">
        <f t="shared" si="198"/>
        <v>2025-11</v>
      </c>
      <c r="AB2136" t="str">
        <f t="shared" si="199"/>
        <v/>
      </c>
      <c r="AC2136">
        <f t="shared" si="200"/>
        <v>421303.68</v>
      </c>
      <c r="AD2136">
        <f t="shared" si="201"/>
        <v>60</v>
      </c>
      <c r="AE2136">
        <f t="shared" si="202"/>
        <v>84103.679999999993</v>
      </c>
      <c r="AF2136" t="str">
        <f t="shared" si="203"/>
        <v>Paid</v>
      </c>
    </row>
    <row r="2137" spans="1:32" ht="17.25" thickBot="1" x14ac:dyDescent="0.35">
      <c r="A2137" s="2" t="s">
        <v>13237</v>
      </c>
      <c r="B2137" s="2" t="s">
        <v>27</v>
      </c>
      <c r="C2137" s="2" t="s">
        <v>28</v>
      </c>
      <c r="D2137" s="2" t="s">
        <v>97</v>
      </c>
      <c r="E2137" s="2" t="s">
        <v>12904</v>
      </c>
      <c r="F2137" s="2" t="s">
        <v>8445</v>
      </c>
      <c r="G2137" s="2" t="s">
        <v>32</v>
      </c>
      <c r="H2137" s="1"/>
      <c r="I2137" s="2" t="s">
        <v>33</v>
      </c>
      <c r="J2137" s="2" t="s">
        <v>34</v>
      </c>
      <c r="K2137" s="2" t="s">
        <v>6441</v>
      </c>
      <c r="L2137" s="2" t="s">
        <v>6442</v>
      </c>
      <c r="M2137" s="2" t="s">
        <v>772</v>
      </c>
      <c r="N2137" s="2" t="s">
        <v>38</v>
      </c>
      <c r="O2137" s="2" t="s">
        <v>54</v>
      </c>
      <c r="P2137" s="2" t="s">
        <v>2555</v>
      </c>
      <c r="Q2137" s="2" t="s">
        <v>13238</v>
      </c>
      <c r="R2137" s="2" t="s">
        <v>40</v>
      </c>
      <c r="S2137" s="2" t="s">
        <v>13239</v>
      </c>
      <c r="T2137" s="2" t="s">
        <v>40</v>
      </c>
      <c r="U2137" s="2" t="s">
        <v>40</v>
      </c>
      <c r="V2137" s="2" t="s">
        <v>13239</v>
      </c>
      <c r="W2137" s="1"/>
      <c r="X2137" s="2" t="s">
        <v>2155</v>
      </c>
      <c r="Y2137" s="2" t="s">
        <v>12913</v>
      </c>
      <c r="AA2137" t="str">
        <f t="shared" si="198"/>
        <v>2025-11</v>
      </c>
      <c r="AB2137" t="str">
        <f t="shared" si="199"/>
        <v/>
      </c>
      <c r="AC2137">
        <f t="shared" si="200"/>
        <v>36557.57</v>
      </c>
      <c r="AD2137">
        <f t="shared" si="201"/>
        <v>4</v>
      </c>
      <c r="AE2137">
        <f t="shared" si="202"/>
        <v>36557.57</v>
      </c>
      <c r="AF2137" t="str">
        <f t="shared" si="203"/>
        <v>Paid</v>
      </c>
    </row>
    <row r="2138" spans="1:32" ht="27.75" thickBot="1" x14ac:dyDescent="0.35">
      <c r="A2138" s="2" t="s">
        <v>13240</v>
      </c>
      <c r="B2138" s="2" t="s">
        <v>27</v>
      </c>
      <c r="C2138" s="2" t="s">
        <v>28</v>
      </c>
      <c r="D2138" s="2" t="s">
        <v>97</v>
      </c>
      <c r="E2138" s="2" t="s">
        <v>12904</v>
      </c>
      <c r="F2138" s="2" t="s">
        <v>8445</v>
      </c>
      <c r="G2138" s="2" t="s">
        <v>32</v>
      </c>
      <c r="H2138" s="1"/>
      <c r="I2138" s="2" t="s">
        <v>33</v>
      </c>
      <c r="J2138" s="2" t="s">
        <v>34</v>
      </c>
      <c r="K2138" s="2" t="s">
        <v>13241</v>
      </c>
      <c r="L2138" s="2" t="s">
        <v>13242</v>
      </c>
      <c r="M2138" s="2" t="s">
        <v>7510</v>
      </c>
      <c r="N2138" s="2" t="s">
        <v>38</v>
      </c>
      <c r="O2138" s="2" t="s">
        <v>1951</v>
      </c>
      <c r="P2138" s="2" t="s">
        <v>1838</v>
      </c>
      <c r="Q2138" s="2" t="s">
        <v>8853</v>
      </c>
      <c r="R2138" s="2" t="s">
        <v>40</v>
      </c>
      <c r="S2138" s="2" t="s">
        <v>13243</v>
      </c>
      <c r="T2138" s="2" t="s">
        <v>2127</v>
      </c>
      <c r="U2138" s="2" t="s">
        <v>10755</v>
      </c>
      <c r="V2138" s="2" t="s">
        <v>13244</v>
      </c>
      <c r="W2138" s="1"/>
      <c r="X2138" s="2" t="s">
        <v>2797</v>
      </c>
      <c r="Y2138" s="2" t="s">
        <v>12913</v>
      </c>
      <c r="AA2138" t="str">
        <f t="shared" si="198"/>
        <v>2025-11</v>
      </c>
      <c r="AB2138" t="str">
        <f t="shared" si="199"/>
        <v/>
      </c>
      <c r="AC2138">
        <f t="shared" si="200"/>
        <v>8150220</v>
      </c>
      <c r="AD2138">
        <f t="shared" si="201"/>
        <v>600</v>
      </c>
      <c r="AE2138">
        <f t="shared" si="202"/>
        <v>1670220</v>
      </c>
      <c r="AF2138" t="str">
        <f t="shared" si="203"/>
        <v>Paid</v>
      </c>
    </row>
    <row r="2139" spans="1:32" ht="27.75" thickBot="1" x14ac:dyDescent="0.35">
      <c r="A2139" s="2" t="s">
        <v>13245</v>
      </c>
      <c r="B2139" s="2" t="s">
        <v>27</v>
      </c>
      <c r="C2139" s="2" t="s">
        <v>28</v>
      </c>
      <c r="D2139" s="2" t="s">
        <v>97</v>
      </c>
      <c r="E2139" s="2" t="s">
        <v>12904</v>
      </c>
      <c r="F2139" s="2" t="s">
        <v>8445</v>
      </c>
      <c r="G2139" s="2" t="s">
        <v>32</v>
      </c>
      <c r="H2139" s="1"/>
      <c r="I2139" s="2" t="s">
        <v>33</v>
      </c>
      <c r="J2139" s="2" t="s">
        <v>34</v>
      </c>
      <c r="K2139" s="2" t="s">
        <v>10783</v>
      </c>
      <c r="L2139" s="2" t="s">
        <v>10784</v>
      </c>
      <c r="M2139" s="2" t="s">
        <v>7510</v>
      </c>
      <c r="N2139" s="2" t="s">
        <v>38</v>
      </c>
      <c r="O2139" s="2" t="s">
        <v>177</v>
      </c>
      <c r="P2139" s="2" t="s">
        <v>2398</v>
      </c>
      <c r="Q2139" s="2" t="s">
        <v>13246</v>
      </c>
      <c r="R2139" s="2" t="s">
        <v>40</v>
      </c>
      <c r="S2139" s="2" t="s">
        <v>13247</v>
      </c>
      <c r="T2139" s="2" t="s">
        <v>2101</v>
      </c>
      <c r="U2139" s="2" t="s">
        <v>3095</v>
      </c>
      <c r="V2139" s="2" t="s">
        <v>13248</v>
      </c>
      <c r="W2139" s="1"/>
      <c r="X2139" s="2" t="s">
        <v>2797</v>
      </c>
      <c r="Y2139" s="2" t="s">
        <v>12913</v>
      </c>
      <c r="AA2139" t="str">
        <f t="shared" si="198"/>
        <v>2025-11</v>
      </c>
      <c r="AB2139" t="str">
        <f t="shared" si="199"/>
        <v/>
      </c>
      <c r="AC2139">
        <f t="shared" si="200"/>
        <v>3622320</v>
      </c>
      <c r="AD2139">
        <f t="shared" si="201"/>
        <v>400</v>
      </c>
      <c r="AE2139">
        <f t="shared" si="202"/>
        <v>742320</v>
      </c>
      <c r="AF2139" t="str">
        <f t="shared" si="203"/>
        <v>Paid</v>
      </c>
    </row>
    <row r="2140" spans="1:32" ht="27.75" thickBot="1" x14ac:dyDescent="0.35">
      <c r="A2140" s="2" t="s">
        <v>13249</v>
      </c>
      <c r="B2140" s="2" t="s">
        <v>27</v>
      </c>
      <c r="C2140" s="2" t="s">
        <v>28</v>
      </c>
      <c r="D2140" s="2" t="s">
        <v>97</v>
      </c>
      <c r="E2140" s="2" t="s">
        <v>12904</v>
      </c>
      <c r="F2140" s="2" t="s">
        <v>8445</v>
      </c>
      <c r="G2140" s="2" t="s">
        <v>32</v>
      </c>
      <c r="H2140" s="1"/>
      <c r="I2140" s="2" t="s">
        <v>33</v>
      </c>
      <c r="J2140" s="2" t="s">
        <v>34</v>
      </c>
      <c r="K2140" s="2" t="s">
        <v>8848</v>
      </c>
      <c r="L2140" s="2" t="s">
        <v>8849</v>
      </c>
      <c r="M2140" s="2" t="s">
        <v>8850</v>
      </c>
      <c r="N2140" s="2" t="s">
        <v>38</v>
      </c>
      <c r="O2140" s="2" t="s">
        <v>877</v>
      </c>
      <c r="P2140" s="2" t="s">
        <v>7010</v>
      </c>
      <c r="Q2140" s="2" t="s">
        <v>10875</v>
      </c>
      <c r="R2140" s="2" t="s">
        <v>40</v>
      </c>
      <c r="S2140" s="2" t="s">
        <v>13250</v>
      </c>
      <c r="T2140" s="2" t="s">
        <v>8853</v>
      </c>
      <c r="U2140" s="2" t="s">
        <v>13251</v>
      </c>
      <c r="V2140" s="2" t="s">
        <v>13252</v>
      </c>
      <c r="W2140" s="1"/>
      <c r="X2140" s="2" t="s">
        <v>934</v>
      </c>
      <c r="Y2140" s="2" t="s">
        <v>12913</v>
      </c>
      <c r="AA2140" t="str">
        <f t="shared" si="198"/>
        <v>2025-11</v>
      </c>
      <c r="AB2140" t="str">
        <f t="shared" si="199"/>
        <v/>
      </c>
      <c r="AC2140">
        <f t="shared" si="200"/>
        <v>774619.2</v>
      </c>
      <c r="AD2140">
        <f t="shared" si="201"/>
        <v>100</v>
      </c>
      <c r="AE2140">
        <f t="shared" si="202"/>
        <v>189619.20000000001</v>
      </c>
      <c r="AF2140" t="str">
        <f t="shared" si="203"/>
        <v>Paid</v>
      </c>
    </row>
    <row r="2141" spans="1:32" ht="27.75" thickBot="1" x14ac:dyDescent="0.35">
      <c r="A2141" s="2" t="s">
        <v>13253</v>
      </c>
      <c r="B2141" s="2" t="s">
        <v>27</v>
      </c>
      <c r="C2141" s="2" t="s">
        <v>28</v>
      </c>
      <c r="D2141" s="2" t="s">
        <v>97</v>
      </c>
      <c r="E2141" s="2" t="s">
        <v>12904</v>
      </c>
      <c r="F2141" s="2" t="s">
        <v>8445</v>
      </c>
      <c r="G2141" s="2" t="s">
        <v>32</v>
      </c>
      <c r="H2141" s="1"/>
      <c r="I2141" s="2" t="s">
        <v>33</v>
      </c>
      <c r="J2141" s="2" t="s">
        <v>34</v>
      </c>
      <c r="K2141" s="2" t="s">
        <v>13254</v>
      </c>
      <c r="L2141" s="2" t="s">
        <v>13255</v>
      </c>
      <c r="M2141" s="2" t="s">
        <v>8850</v>
      </c>
      <c r="N2141" s="2" t="s">
        <v>38</v>
      </c>
      <c r="O2141" s="2" t="s">
        <v>645</v>
      </c>
      <c r="P2141" s="2" t="s">
        <v>13256</v>
      </c>
      <c r="Q2141" s="2" t="s">
        <v>13257</v>
      </c>
      <c r="R2141" s="2" t="s">
        <v>40</v>
      </c>
      <c r="S2141" s="2" t="s">
        <v>13258</v>
      </c>
      <c r="T2141" s="2" t="s">
        <v>13259</v>
      </c>
      <c r="U2141" s="2" t="s">
        <v>13260</v>
      </c>
      <c r="V2141" s="2" t="s">
        <v>13261</v>
      </c>
      <c r="W2141" s="1"/>
      <c r="X2141" s="2" t="s">
        <v>9096</v>
      </c>
      <c r="Y2141" s="2" t="s">
        <v>12913</v>
      </c>
      <c r="AA2141" t="str">
        <f t="shared" si="198"/>
        <v>2025-11</v>
      </c>
      <c r="AB2141" t="str">
        <f t="shared" si="199"/>
        <v/>
      </c>
      <c r="AC2141">
        <f t="shared" si="200"/>
        <v>975797.28</v>
      </c>
      <c r="AD2141">
        <f t="shared" si="201"/>
        <v>170</v>
      </c>
      <c r="AE2141">
        <f t="shared" si="202"/>
        <v>141947.28</v>
      </c>
      <c r="AF2141" t="str">
        <f t="shared" si="203"/>
        <v>Paid</v>
      </c>
    </row>
    <row r="2142" spans="1:32" ht="27.75" thickBot="1" x14ac:dyDescent="0.35">
      <c r="A2142" s="2" t="s">
        <v>13262</v>
      </c>
      <c r="B2142" s="2" t="s">
        <v>27</v>
      </c>
      <c r="C2142" s="2" t="s">
        <v>28</v>
      </c>
      <c r="D2142" s="2" t="s">
        <v>97</v>
      </c>
      <c r="E2142" s="2" t="s">
        <v>12904</v>
      </c>
      <c r="F2142" s="2" t="s">
        <v>8445</v>
      </c>
      <c r="G2142" s="2" t="s">
        <v>32</v>
      </c>
      <c r="H2142" s="1"/>
      <c r="I2142" s="2" t="s">
        <v>33</v>
      </c>
      <c r="J2142" s="2" t="s">
        <v>34</v>
      </c>
      <c r="K2142" s="2" t="s">
        <v>3082</v>
      </c>
      <c r="L2142" s="2" t="s">
        <v>3083</v>
      </c>
      <c r="M2142" s="2" t="s">
        <v>3067</v>
      </c>
      <c r="N2142" s="2" t="s">
        <v>38</v>
      </c>
      <c r="O2142" s="2" t="s">
        <v>141</v>
      </c>
      <c r="P2142" s="2" t="s">
        <v>7269</v>
      </c>
      <c r="Q2142" s="2" t="s">
        <v>13263</v>
      </c>
      <c r="R2142" s="2" t="s">
        <v>40</v>
      </c>
      <c r="S2142" s="2" t="s">
        <v>13264</v>
      </c>
      <c r="T2142" s="2" t="s">
        <v>669</v>
      </c>
      <c r="U2142" s="2" t="s">
        <v>3331</v>
      </c>
      <c r="V2142" s="2" t="s">
        <v>13265</v>
      </c>
      <c r="W2142" s="1"/>
      <c r="X2142" s="2" t="s">
        <v>1222</v>
      </c>
      <c r="Y2142" s="2" t="s">
        <v>12913</v>
      </c>
      <c r="AA2142" t="str">
        <f t="shared" si="198"/>
        <v>2025-11</v>
      </c>
      <c r="AB2142" t="str">
        <f t="shared" si="199"/>
        <v/>
      </c>
      <c r="AC2142">
        <f t="shared" si="200"/>
        <v>221518.8</v>
      </c>
      <c r="AD2142">
        <f t="shared" si="201"/>
        <v>30</v>
      </c>
      <c r="AE2142">
        <f t="shared" si="202"/>
        <v>41518.800000000003</v>
      </c>
      <c r="AF2142" t="str">
        <f t="shared" si="203"/>
        <v>Paid</v>
      </c>
    </row>
    <row r="2143" spans="1:32" ht="27.75" thickBot="1" x14ac:dyDescent="0.35">
      <c r="A2143" s="2" t="s">
        <v>13266</v>
      </c>
      <c r="B2143" s="2" t="s">
        <v>27</v>
      </c>
      <c r="C2143" s="2" t="s">
        <v>28</v>
      </c>
      <c r="D2143" s="2" t="s">
        <v>97</v>
      </c>
      <c r="E2143" s="2" t="s">
        <v>12904</v>
      </c>
      <c r="F2143" s="2" t="s">
        <v>8445</v>
      </c>
      <c r="G2143" s="2" t="s">
        <v>32</v>
      </c>
      <c r="H2143" s="1"/>
      <c r="I2143" s="2" t="s">
        <v>33</v>
      </c>
      <c r="J2143" s="2" t="s">
        <v>34</v>
      </c>
      <c r="K2143" s="2" t="s">
        <v>13267</v>
      </c>
      <c r="L2143" s="2" t="s">
        <v>13268</v>
      </c>
      <c r="M2143" s="2" t="s">
        <v>3067</v>
      </c>
      <c r="N2143" s="2" t="s">
        <v>38</v>
      </c>
      <c r="O2143" s="2" t="s">
        <v>1904</v>
      </c>
      <c r="P2143" s="2" t="s">
        <v>5890</v>
      </c>
      <c r="Q2143" s="2" t="s">
        <v>13269</v>
      </c>
      <c r="R2143" s="2" t="s">
        <v>40</v>
      </c>
      <c r="S2143" s="2" t="s">
        <v>13270</v>
      </c>
      <c r="T2143" s="2" t="s">
        <v>297</v>
      </c>
      <c r="U2143" s="2" t="s">
        <v>9757</v>
      </c>
      <c r="V2143" s="2" t="s">
        <v>13271</v>
      </c>
      <c r="W2143" s="1"/>
      <c r="X2143" s="2" t="s">
        <v>12941</v>
      </c>
      <c r="Y2143" s="2" t="s">
        <v>12913</v>
      </c>
      <c r="AA2143" t="str">
        <f t="shared" si="198"/>
        <v>2025-11</v>
      </c>
      <c r="AB2143" t="str">
        <f t="shared" si="199"/>
        <v/>
      </c>
      <c r="AC2143">
        <f t="shared" si="200"/>
        <v>2255869.44</v>
      </c>
      <c r="AD2143">
        <f t="shared" si="201"/>
        <v>230</v>
      </c>
      <c r="AE2143">
        <f t="shared" si="202"/>
        <v>415869.44</v>
      </c>
      <c r="AF2143" t="str">
        <f t="shared" si="203"/>
        <v>Paid</v>
      </c>
    </row>
    <row r="2144" spans="1:32" ht="17.25" thickBot="1" x14ac:dyDescent="0.35">
      <c r="A2144" s="2" t="s">
        <v>13272</v>
      </c>
      <c r="B2144" s="2" t="s">
        <v>27</v>
      </c>
      <c r="C2144" s="2" t="s">
        <v>28</v>
      </c>
      <c r="D2144" s="2" t="s">
        <v>97</v>
      </c>
      <c r="E2144" s="2" t="s">
        <v>12904</v>
      </c>
      <c r="F2144" s="2" t="s">
        <v>8445</v>
      </c>
      <c r="G2144" s="2" t="s">
        <v>32</v>
      </c>
      <c r="H2144" s="1"/>
      <c r="I2144" s="2" t="s">
        <v>33</v>
      </c>
      <c r="J2144" s="2" t="s">
        <v>34</v>
      </c>
      <c r="K2144" s="2" t="s">
        <v>13273</v>
      </c>
      <c r="L2144" s="2" t="s">
        <v>13274</v>
      </c>
      <c r="M2144" s="2" t="s">
        <v>8850</v>
      </c>
      <c r="N2144" s="2" t="s">
        <v>38</v>
      </c>
      <c r="O2144" s="2" t="s">
        <v>141</v>
      </c>
      <c r="P2144" s="2" t="s">
        <v>3898</v>
      </c>
      <c r="Q2144" s="2" t="s">
        <v>13275</v>
      </c>
      <c r="R2144" s="2" t="s">
        <v>40</v>
      </c>
      <c r="S2144" s="2" t="s">
        <v>13276</v>
      </c>
      <c r="T2144" s="2" t="s">
        <v>10964</v>
      </c>
      <c r="U2144" s="2" t="s">
        <v>13277</v>
      </c>
      <c r="V2144" s="2" t="s">
        <v>13278</v>
      </c>
      <c r="W2144" s="1"/>
      <c r="X2144" s="2" t="s">
        <v>1826</v>
      </c>
      <c r="Y2144" s="2" t="s">
        <v>12913</v>
      </c>
      <c r="AA2144" t="str">
        <f t="shared" si="198"/>
        <v>2025-11</v>
      </c>
      <c r="AB2144" t="str">
        <f t="shared" si="199"/>
        <v/>
      </c>
      <c r="AC2144">
        <f t="shared" si="200"/>
        <v>189335.88</v>
      </c>
      <c r="AD2144">
        <f t="shared" si="201"/>
        <v>30</v>
      </c>
      <c r="AE2144">
        <f t="shared" si="202"/>
        <v>27335.88</v>
      </c>
      <c r="AF2144" t="str">
        <f t="shared" si="203"/>
        <v>Paid</v>
      </c>
    </row>
    <row r="2145" spans="1:32" ht="17.25" thickBot="1" x14ac:dyDescent="0.35">
      <c r="A2145" s="2" t="s">
        <v>13279</v>
      </c>
      <c r="B2145" s="2" t="s">
        <v>27</v>
      </c>
      <c r="C2145" s="2" t="s">
        <v>28</v>
      </c>
      <c r="D2145" s="2" t="s">
        <v>97</v>
      </c>
      <c r="E2145" s="2" t="s">
        <v>12904</v>
      </c>
      <c r="F2145" s="2" t="s">
        <v>8445</v>
      </c>
      <c r="G2145" s="2" t="s">
        <v>32</v>
      </c>
      <c r="H2145" s="1"/>
      <c r="I2145" s="2" t="s">
        <v>33</v>
      </c>
      <c r="J2145" s="2" t="s">
        <v>34</v>
      </c>
      <c r="K2145" s="2" t="s">
        <v>1704</v>
      </c>
      <c r="L2145" s="2" t="s">
        <v>1705</v>
      </c>
      <c r="M2145" s="2" t="s">
        <v>37</v>
      </c>
      <c r="N2145" s="2" t="s">
        <v>38</v>
      </c>
      <c r="O2145" s="2" t="s">
        <v>1150</v>
      </c>
      <c r="P2145" s="2" t="s">
        <v>13280</v>
      </c>
      <c r="Q2145" s="2" t="s">
        <v>13281</v>
      </c>
      <c r="R2145" s="2" t="s">
        <v>40</v>
      </c>
      <c r="S2145" s="2" t="s">
        <v>13282</v>
      </c>
      <c r="T2145" s="2" t="s">
        <v>1709</v>
      </c>
      <c r="U2145" s="2" t="s">
        <v>3237</v>
      </c>
      <c r="V2145" s="2" t="s">
        <v>13283</v>
      </c>
      <c r="W2145" s="1"/>
      <c r="X2145" s="2" t="s">
        <v>5168</v>
      </c>
      <c r="Y2145" s="2" t="s">
        <v>12913</v>
      </c>
      <c r="AA2145" t="str">
        <f t="shared" si="198"/>
        <v>2025-11</v>
      </c>
      <c r="AB2145" t="str">
        <f t="shared" si="199"/>
        <v/>
      </c>
      <c r="AC2145">
        <f t="shared" si="200"/>
        <v>432867.24</v>
      </c>
      <c r="AD2145">
        <f t="shared" si="201"/>
        <v>130</v>
      </c>
      <c r="AE2145">
        <f t="shared" si="202"/>
        <v>68867.240000000005</v>
      </c>
      <c r="AF2145" t="str">
        <f t="shared" si="203"/>
        <v>Paid</v>
      </c>
    </row>
    <row r="2146" spans="1:32" ht="17.25" thickBot="1" x14ac:dyDescent="0.35">
      <c r="A2146" s="2" t="s">
        <v>13284</v>
      </c>
      <c r="B2146" s="2" t="s">
        <v>27</v>
      </c>
      <c r="C2146" s="2" t="s">
        <v>28</v>
      </c>
      <c r="D2146" s="2" t="s">
        <v>97</v>
      </c>
      <c r="E2146" s="2" t="s">
        <v>12904</v>
      </c>
      <c r="F2146" s="2" t="s">
        <v>8445</v>
      </c>
      <c r="G2146" s="2" t="s">
        <v>32</v>
      </c>
      <c r="H2146" s="1"/>
      <c r="I2146" s="2" t="s">
        <v>33</v>
      </c>
      <c r="J2146" s="2" t="s">
        <v>34</v>
      </c>
      <c r="K2146" s="2" t="s">
        <v>1093</v>
      </c>
      <c r="L2146" s="2" t="s">
        <v>1094</v>
      </c>
      <c r="M2146" s="2" t="s">
        <v>37</v>
      </c>
      <c r="N2146" s="2" t="s">
        <v>38</v>
      </c>
      <c r="O2146" s="2" t="s">
        <v>131</v>
      </c>
      <c r="P2146" s="2" t="s">
        <v>13218</v>
      </c>
      <c r="Q2146" s="2" t="s">
        <v>13224</v>
      </c>
      <c r="R2146" s="2" t="s">
        <v>40</v>
      </c>
      <c r="S2146" s="2" t="s">
        <v>13225</v>
      </c>
      <c r="T2146" s="2" t="s">
        <v>126</v>
      </c>
      <c r="U2146" s="2" t="s">
        <v>135</v>
      </c>
      <c r="V2146" s="2" t="s">
        <v>13285</v>
      </c>
      <c r="W2146" s="1"/>
      <c r="X2146" s="2" t="s">
        <v>3903</v>
      </c>
      <c r="Y2146" s="2" t="s">
        <v>12913</v>
      </c>
      <c r="AA2146" t="str">
        <f t="shared" si="198"/>
        <v>2025-11</v>
      </c>
      <c r="AB2146" t="str">
        <f t="shared" si="199"/>
        <v/>
      </c>
      <c r="AC2146">
        <f t="shared" si="200"/>
        <v>300373.92</v>
      </c>
      <c r="AD2146">
        <f t="shared" si="201"/>
        <v>40</v>
      </c>
      <c r="AE2146">
        <f t="shared" si="202"/>
        <v>48373.919999999998</v>
      </c>
      <c r="AF2146" t="str">
        <f t="shared" si="203"/>
        <v>Paid</v>
      </c>
    </row>
    <row r="2147" spans="1:32" ht="17.25" thickBot="1" x14ac:dyDescent="0.35">
      <c r="A2147" s="2" t="s">
        <v>13286</v>
      </c>
      <c r="B2147" s="2" t="s">
        <v>27</v>
      </c>
      <c r="C2147" s="2" t="s">
        <v>28</v>
      </c>
      <c r="D2147" s="2" t="s">
        <v>97</v>
      </c>
      <c r="E2147" s="2" t="s">
        <v>12904</v>
      </c>
      <c r="F2147" s="2" t="s">
        <v>8445</v>
      </c>
      <c r="G2147" s="2" t="s">
        <v>32</v>
      </c>
      <c r="H2147" s="1"/>
      <c r="I2147" s="2" t="s">
        <v>33</v>
      </c>
      <c r="J2147" s="2" t="s">
        <v>34</v>
      </c>
      <c r="K2147" s="2" t="s">
        <v>5357</v>
      </c>
      <c r="L2147" s="2" t="s">
        <v>5358</v>
      </c>
      <c r="M2147" s="2" t="s">
        <v>37</v>
      </c>
      <c r="N2147" s="2" t="s">
        <v>38</v>
      </c>
      <c r="O2147" s="2" t="s">
        <v>221</v>
      </c>
      <c r="P2147" s="2" t="s">
        <v>7263</v>
      </c>
      <c r="Q2147" s="2" t="s">
        <v>7264</v>
      </c>
      <c r="R2147" s="2" t="s">
        <v>40</v>
      </c>
      <c r="S2147" s="2" t="s">
        <v>13287</v>
      </c>
      <c r="T2147" s="2" t="s">
        <v>1136</v>
      </c>
      <c r="U2147" s="2" t="s">
        <v>1400</v>
      </c>
      <c r="V2147" s="2" t="s">
        <v>13288</v>
      </c>
      <c r="W2147" s="1"/>
      <c r="X2147" s="2" t="s">
        <v>709</v>
      </c>
      <c r="Y2147" s="2" t="s">
        <v>12913</v>
      </c>
      <c r="AA2147" t="str">
        <f t="shared" si="198"/>
        <v>2025-11</v>
      </c>
      <c r="AB2147" t="str">
        <f t="shared" si="199"/>
        <v/>
      </c>
      <c r="AC2147">
        <f t="shared" si="200"/>
        <v>700222.32</v>
      </c>
      <c r="AD2147">
        <f t="shared" si="201"/>
        <v>140</v>
      </c>
      <c r="AE2147">
        <f t="shared" si="202"/>
        <v>112222.32</v>
      </c>
      <c r="AF2147" t="str">
        <f t="shared" si="203"/>
        <v>Paid</v>
      </c>
    </row>
    <row r="2148" spans="1:32" ht="17.25" thickBot="1" x14ac:dyDescent="0.35">
      <c r="A2148" s="2" t="s">
        <v>13289</v>
      </c>
      <c r="B2148" s="2" t="s">
        <v>27</v>
      </c>
      <c r="C2148" s="2" t="s">
        <v>28</v>
      </c>
      <c r="D2148" s="2" t="s">
        <v>97</v>
      </c>
      <c r="E2148" s="2" t="s">
        <v>12904</v>
      </c>
      <c r="F2148" s="2" t="s">
        <v>8445</v>
      </c>
      <c r="G2148" s="2" t="s">
        <v>32</v>
      </c>
      <c r="H2148" s="1"/>
      <c r="I2148" s="2" t="s">
        <v>33</v>
      </c>
      <c r="J2148" s="2" t="s">
        <v>34</v>
      </c>
      <c r="K2148" s="2" t="s">
        <v>1102</v>
      </c>
      <c r="L2148" s="2" t="s">
        <v>1103</v>
      </c>
      <c r="M2148" s="2" t="s">
        <v>37</v>
      </c>
      <c r="N2148" s="2" t="s">
        <v>38</v>
      </c>
      <c r="O2148" s="2" t="s">
        <v>79</v>
      </c>
      <c r="P2148" s="2" t="s">
        <v>3521</v>
      </c>
      <c r="Q2148" s="2" t="s">
        <v>13290</v>
      </c>
      <c r="R2148" s="2" t="s">
        <v>40</v>
      </c>
      <c r="S2148" s="2" t="s">
        <v>13291</v>
      </c>
      <c r="T2148" s="2" t="s">
        <v>107</v>
      </c>
      <c r="U2148" s="2" t="s">
        <v>13292</v>
      </c>
      <c r="V2148" s="2" t="s">
        <v>13293</v>
      </c>
      <c r="W2148" s="1"/>
      <c r="X2148" s="2" t="s">
        <v>3903</v>
      </c>
      <c r="Y2148" s="2" t="s">
        <v>12913</v>
      </c>
      <c r="AA2148" t="str">
        <f t="shared" si="198"/>
        <v>2025-11</v>
      </c>
      <c r="AB2148" t="str">
        <f t="shared" si="199"/>
        <v/>
      </c>
      <c r="AC2148">
        <f t="shared" si="200"/>
        <v>66734.28</v>
      </c>
      <c r="AD2148">
        <f t="shared" si="201"/>
        <v>10</v>
      </c>
      <c r="AE2148">
        <f t="shared" si="202"/>
        <v>10734.28</v>
      </c>
      <c r="AF2148" t="str">
        <f t="shared" si="203"/>
        <v>Paid</v>
      </c>
    </row>
    <row r="2149" spans="1:32" ht="17.25" thickBot="1" x14ac:dyDescent="0.35">
      <c r="A2149" s="2" t="s">
        <v>13294</v>
      </c>
      <c r="B2149" s="2" t="s">
        <v>27</v>
      </c>
      <c r="C2149" s="2" t="s">
        <v>28</v>
      </c>
      <c r="D2149" s="2" t="s">
        <v>97</v>
      </c>
      <c r="E2149" s="2" t="s">
        <v>12904</v>
      </c>
      <c r="F2149" s="2" t="s">
        <v>8445</v>
      </c>
      <c r="G2149" s="2" t="s">
        <v>32</v>
      </c>
      <c r="H2149" s="1"/>
      <c r="I2149" s="2" t="s">
        <v>33</v>
      </c>
      <c r="J2149" s="2" t="s">
        <v>34</v>
      </c>
      <c r="K2149" s="2" t="s">
        <v>1131</v>
      </c>
      <c r="L2149" s="2" t="s">
        <v>1132</v>
      </c>
      <c r="M2149" s="2" t="s">
        <v>37</v>
      </c>
      <c r="N2149" s="2" t="s">
        <v>38</v>
      </c>
      <c r="O2149" s="2" t="s">
        <v>79</v>
      </c>
      <c r="P2149" s="2" t="s">
        <v>7263</v>
      </c>
      <c r="Q2149" s="2" t="s">
        <v>7345</v>
      </c>
      <c r="R2149" s="2" t="s">
        <v>40</v>
      </c>
      <c r="S2149" s="2" t="s">
        <v>3345</v>
      </c>
      <c r="T2149" s="2" t="s">
        <v>1136</v>
      </c>
      <c r="U2149" s="2" t="s">
        <v>7152</v>
      </c>
      <c r="V2149" s="2" t="s">
        <v>13295</v>
      </c>
      <c r="W2149" s="1"/>
      <c r="X2149" s="2" t="s">
        <v>709</v>
      </c>
      <c r="Y2149" s="2" t="s">
        <v>12913</v>
      </c>
      <c r="AA2149" t="str">
        <f t="shared" si="198"/>
        <v>2025-11</v>
      </c>
      <c r="AB2149" t="str">
        <f t="shared" si="199"/>
        <v/>
      </c>
      <c r="AC2149">
        <f t="shared" si="200"/>
        <v>50015.88</v>
      </c>
      <c r="AD2149">
        <f t="shared" si="201"/>
        <v>10</v>
      </c>
      <c r="AE2149">
        <f t="shared" si="202"/>
        <v>8015.88</v>
      </c>
      <c r="AF2149" t="str">
        <f t="shared" si="203"/>
        <v>Paid</v>
      </c>
    </row>
    <row r="2150" spans="1:32" ht="17.25" thickBot="1" x14ac:dyDescent="0.35">
      <c r="A2150" s="2" t="s">
        <v>13296</v>
      </c>
      <c r="B2150" s="2" t="s">
        <v>27</v>
      </c>
      <c r="C2150" s="2" t="s">
        <v>28</v>
      </c>
      <c r="D2150" s="2" t="s">
        <v>97</v>
      </c>
      <c r="E2150" s="2" t="s">
        <v>12904</v>
      </c>
      <c r="F2150" s="2" t="s">
        <v>8445</v>
      </c>
      <c r="G2150" s="2" t="s">
        <v>32</v>
      </c>
      <c r="H2150" s="1"/>
      <c r="I2150" s="2" t="s">
        <v>33</v>
      </c>
      <c r="J2150" s="2" t="s">
        <v>34</v>
      </c>
      <c r="K2150" s="2" t="s">
        <v>6488</v>
      </c>
      <c r="L2150" s="2" t="s">
        <v>6489</v>
      </c>
      <c r="M2150" s="2" t="s">
        <v>37</v>
      </c>
      <c r="N2150" s="2" t="s">
        <v>38</v>
      </c>
      <c r="O2150" s="2" t="s">
        <v>849</v>
      </c>
      <c r="P2150" s="2" t="s">
        <v>7263</v>
      </c>
      <c r="Q2150" s="2" t="s">
        <v>13297</v>
      </c>
      <c r="R2150" s="2" t="s">
        <v>40</v>
      </c>
      <c r="S2150" s="2" t="s">
        <v>13298</v>
      </c>
      <c r="T2150" s="2" t="s">
        <v>1136</v>
      </c>
      <c r="U2150" s="2" t="s">
        <v>12029</v>
      </c>
      <c r="V2150" s="2" t="s">
        <v>13299</v>
      </c>
      <c r="W2150" s="1"/>
      <c r="X2150" s="2" t="s">
        <v>709</v>
      </c>
      <c r="Y2150" s="2" t="s">
        <v>12913</v>
      </c>
      <c r="AA2150" t="str">
        <f t="shared" si="198"/>
        <v>2025-11</v>
      </c>
      <c r="AB2150" t="str">
        <f t="shared" si="199"/>
        <v/>
      </c>
      <c r="AC2150">
        <f t="shared" si="200"/>
        <v>800254.08</v>
      </c>
      <c r="AD2150">
        <f t="shared" si="201"/>
        <v>160</v>
      </c>
      <c r="AE2150">
        <f t="shared" si="202"/>
        <v>128254.08</v>
      </c>
      <c r="AF2150" t="str">
        <f t="shared" si="203"/>
        <v>Paid</v>
      </c>
    </row>
    <row r="2151" spans="1:32" ht="27.75" thickBot="1" x14ac:dyDescent="0.35">
      <c r="A2151" s="2" t="s">
        <v>13300</v>
      </c>
      <c r="B2151" s="2" t="s">
        <v>27</v>
      </c>
      <c r="C2151" s="2" t="s">
        <v>28</v>
      </c>
      <c r="D2151" s="2" t="s">
        <v>97</v>
      </c>
      <c r="E2151" s="2" t="s">
        <v>12904</v>
      </c>
      <c r="F2151" s="2" t="s">
        <v>8445</v>
      </c>
      <c r="G2151" s="2" t="s">
        <v>32</v>
      </c>
      <c r="H2151" s="1"/>
      <c r="I2151" s="2" t="s">
        <v>33</v>
      </c>
      <c r="J2151" s="2" t="s">
        <v>34</v>
      </c>
      <c r="K2151" s="2" t="s">
        <v>7155</v>
      </c>
      <c r="L2151" s="2" t="s">
        <v>7156</v>
      </c>
      <c r="M2151" s="2" t="s">
        <v>37</v>
      </c>
      <c r="N2151" s="2" t="s">
        <v>38</v>
      </c>
      <c r="O2151" s="2" t="s">
        <v>156</v>
      </c>
      <c r="P2151" s="2" t="s">
        <v>7120</v>
      </c>
      <c r="Q2151" s="2" t="s">
        <v>7127</v>
      </c>
      <c r="R2151" s="2" t="s">
        <v>40</v>
      </c>
      <c r="S2151" s="2" t="s">
        <v>13093</v>
      </c>
      <c r="T2151" s="2" t="s">
        <v>1178</v>
      </c>
      <c r="U2151" s="2" t="s">
        <v>13301</v>
      </c>
      <c r="V2151" s="2" t="s">
        <v>13302</v>
      </c>
      <c r="W2151" s="1"/>
      <c r="X2151" s="2" t="s">
        <v>3903</v>
      </c>
      <c r="Y2151" s="2" t="s">
        <v>12913</v>
      </c>
      <c r="AA2151" t="str">
        <f t="shared" si="198"/>
        <v>2025-11</v>
      </c>
      <c r="AB2151" t="str">
        <f t="shared" si="199"/>
        <v/>
      </c>
      <c r="AC2151">
        <f t="shared" si="200"/>
        <v>183623.76</v>
      </c>
      <c r="AD2151">
        <f t="shared" si="201"/>
        <v>20</v>
      </c>
      <c r="AE2151">
        <f t="shared" si="202"/>
        <v>29623.759999999998</v>
      </c>
      <c r="AF2151" t="str">
        <f t="shared" si="203"/>
        <v>Paid</v>
      </c>
    </row>
    <row r="2152" spans="1:32" ht="17.25" thickBot="1" x14ac:dyDescent="0.35">
      <c r="A2152" s="2" t="s">
        <v>13303</v>
      </c>
      <c r="B2152" s="2" t="s">
        <v>27</v>
      </c>
      <c r="C2152" s="2" t="s">
        <v>28</v>
      </c>
      <c r="D2152" s="2" t="s">
        <v>97</v>
      </c>
      <c r="E2152" s="2" t="s">
        <v>12904</v>
      </c>
      <c r="F2152" s="2" t="s">
        <v>8445</v>
      </c>
      <c r="G2152" s="2" t="s">
        <v>32</v>
      </c>
      <c r="H2152" s="1"/>
      <c r="I2152" s="2" t="s">
        <v>33</v>
      </c>
      <c r="J2152" s="2" t="s">
        <v>34</v>
      </c>
      <c r="K2152" s="2" t="s">
        <v>1148</v>
      </c>
      <c r="L2152" s="2" t="s">
        <v>1149</v>
      </c>
      <c r="M2152" s="2" t="s">
        <v>37</v>
      </c>
      <c r="N2152" s="2" t="s">
        <v>38</v>
      </c>
      <c r="O2152" s="2" t="s">
        <v>156</v>
      </c>
      <c r="P2152" s="2" t="s">
        <v>3521</v>
      </c>
      <c r="Q2152" s="2" t="s">
        <v>13304</v>
      </c>
      <c r="R2152" s="2" t="s">
        <v>40</v>
      </c>
      <c r="S2152" s="2" t="s">
        <v>13305</v>
      </c>
      <c r="T2152" s="2" t="s">
        <v>1271</v>
      </c>
      <c r="U2152" s="2" t="s">
        <v>1202</v>
      </c>
      <c r="V2152" s="2" t="s">
        <v>13306</v>
      </c>
      <c r="W2152" s="1"/>
      <c r="X2152" s="2" t="s">
        <v>1332</v>
      </c>
      <c r="Y2152" s="2" t="s">
        <v>12913</v>
      </c>
      <c r="AA2152" t="str">
        <f t="shared" si="198"/>
        <v>2025-11</v>
      </c>
      <c r="AB2152" t="str">
        <f t="shared" si="199"/>
        <v/>
      </c>
      <c r="AC2152">
        <f t="shared" si="200"/>
        <v>133468.56</v>
      </c>
      <c r="AD2152">
        <f t="shared" si="201"/>
        <v>20</v>
      </c>
      <c r="AE2152">
        <f t="shared" si="202"/>
        <v>35468.559999999998</v>
      </c>
      <c r="AF2152" t="str">
        <f t="shared" si="203"/>
        <v>Paid</v>
      </c>
    </row>
    <row r="2153" spans="1:32" ht="17.25" thickBot="1" x14ac:dyDescent="0.35">
      <c r="A2153" s="2" t="s">
        <v>13307</v>
      </c>
      <c r="B2153" s="2" t="s">
        <v>27</v>
      </c>
      <c r="C2153" s="2" t="s">
        <v>28</v>
      </c>
      <c r="D2153" s="2" t="s">
        <v>97</v>
      </c>
      <c r="E2153" s="2" t="s">
        <v>12904</v>
      </c>
      <c r="F2153" s="2" t="s">
        <v>8445</v>
      </c>
      <c r="G2153" s="2" t="s">
        <v>32</v>
      </c>
      <c r="H2153" s="1"/>
      <c r="I2153" s="2" t="s">
        <v>33</v>
      </c>
      <c r="J2153" s="2" t="s">
        <v>34</v>
      </c>
      <c r="K2153" s="2" t="s">
        <v>4657</v>
      </c>
      <c r="L2153" s="2" t="s">
        <v>4658</v>
      </c>
      <c r="M2153" s="2" t="s">
        <v>37</v>
      </c>
      <c r="N2153" s="2" t="s">
        <v>38</v>
      </c>
      <c r="O2153" s="2" t="s">
        <v>131</v>
      </c>
      <c r="P2153" s="2" t="s">
        <v>306</v>
      </c>
      <c r="Q2153" s="2" t="s">
        <v>1388</v>
      </c>
      <c r="R2153" s="2" t="s">
        <v>40</v>
      </c>
      <c r="S2153" s="2" t="s">
        <v>13308</v>
      </c>
      <c r="T2153" s="2" t="s">
        <v>287</v>
      </c>
      <c r="U2153" s="2" t="s">
        <v>5210</v>
      </c>
      <c r="V2153" s="2" t="s">
        <v>13309</v>
      </c>
      <c r="W2153" s="1"/>
      <c r="X2153" s="2" t="s">
        <v>3903</v>
      </c>
      <c r="Y2153" s="2" t="s">
        <v>12913</v>
      </c>
      <c r="AA2153" t="str">
        <f t="shared" si="198"/>
        <v>2025-11</v>
      </c>
      <c r="AB2153" t="str">
        <f t="shared" si="199"/>
        <v/>
      </c>
      <c r="AC2153">
        <f t="shared" si="200"/>
        <v>333810.71999999997</v>
      </c>
      <c r="AD2153">
        <f t="shared" si="201"/>
        <v>40</v>
      </c>
      <c r="AE2153">
        <f t="shared" si="202"/>
        <v>53810.720000000001</v>
      </c>
      <c r="AF2153" t="str">
        <f t="shared" si="203"/>
        <v>Paid</v>
      </c>
    </row>
    <row r="2154" spans="1:32" ht="17.25" thickBot="1" x14ac:dyDescent="0.35">
      <c r="A2154" s="2" t="s">
        <v>13310</v>
      </c>
      <c r="B2154" s="2" t="s">
        <v>27</v>
      </c>
      <c r="C2154" s="2" t="s">
        <v>28</v>
      </c>
      <c r="D2154" s="2" t="s">
        <v>97</v>
      </c>
      <c r="E2154" s="2" t="s">
        <v>12904</v>
      </c>
      <c r="F2154" s="2" t="s">
        <v>8445</v>
      </c>
      <c r="G2154" s="2" t="s">
        <v>32</v>
      </c>
      <c r="H2154" s="1"/>
      <c r="I2154" s="2" t="s">
        <v>33</v>
      </c>
      <c r="J2154" s="2" t="s">
        <v>34</v>
      </c>
      <c r="K2154" s="2" t="s">
        <v>5660</v>
      </c>
      <c r="L2154" s="2" t="s">
        <v>5661</v>
      </c>
      <c r="M2154" s="2" t="s">
        <v>37</v>
      </c>
      <c r="N2154" s="2" t="s">
        <v>38</v>
      </c>
      <c r="O2154" s="2" t="s">
        <v>977</v>
      </c>
      <c r="P2154" s="2" t="s">
        <v>10904</v>
      </c>
      <c r="Q2154" s="2" t="s">
        <v>13311</v>
      </c>
      <c r="R2154" s="2" t="s">
        <v>40</v>
      </c>
      <c r="S2154" s="2" t="s">
        <v>13312</v>
      </c>
      <c r="T2154" s="2" t="s">
        <v>7175</v>
      </c>
      <c r="U2154" s="2" t="s">
        <v>10238</v>
      </c>
      <c r="V2154" s="2" t="s">
        <v>13313</v>
      </c>
      <c r="W2154" s="1"/>
      <c r="X2154" s="2" t="s">
        <v>4216</v>
      </c>
      <c r="Y2154" s="2" t="s">
        <v>12913</v>
      </c>
      <c r="AA2154" t="str">
        <f t="shared" si="198"/>
        <v>2025-11</v>
      </c>
      <c r="AB2154" t="str">
        <f t="shared" si="199"/>
        <v/>
      </c>
      <c r="AC2154">
        <f t="shared" si="200"/>
        <v>1100349.3600000001</v>
      </c>
      <c r="AD2154">
        <f t="shared" si="201"/>
        <v>110</v>
      </c>
      <c r="AE2154">
        <f t="shared" si="202"/>
        <v>334749.36</v>
      </c>
      <c r="AF2154" t="str">
        <f t="shared" si="203"/>
        <v>Paid</v>
      </c>
    </row>
    <row r="2155" spans="1:32" ht="17.25" thickBot="1" x14ac:dyDescent="0.35">
      <c r="A2155" s="2" t="s">
        <v>13314</v>
      </c>
      <c r="B2155" s="2" t="s">
        <v>27</v>
      </c>
      <c r="C2155" s="2" t="s">
        <v>28</v>
      </c>
      <c r="D2155" s="2" t="s">
        <v>97</v>
      </c>
      <c r="E2155" s="2" t="s">
        <v>12904</v>
      </c>
      <c r="F2155" s="2" t="s">
        <v>8445</v>
      </c>
      <c r="G2155" s="2" t="s">
        <v>32</v>
      </c>
      <c r="H2155" s="1"/>
      <c r="I2155" s="2" t="s">
        <v>33</v>
      </c>
      <c r="J2155" s="2" t="s">
        <v>34</v>
      </c>
      <c r="K2155" s="2" t="s">
        <v>6550</v>
      </c>
      <c r="L2155" s="2" t="s">
        <v>6551</v>
      </c>
      <c r="M2155" s="2" t="s">
        <v>37</v>
      </c>
      <c r="N2155" s="2" t="s">
        <v>38</v>
      </c>
      <c r="O2155" s="2" t="s">
        <v>849</v>
      </c>
      <c r="P2155" s="2" t="s">
        <v>6844</v>
      </c>
      <c r="Q2155" s="2" t="s">
        <v>13315</v>
      </c>
      <c r="R2155" s="2" t="s">
        <v>40</v>
      </c>
      <c r="S2155" s="2" t="s">
        <v>13316</v>
      </c>
      <c r="T2155" s="2" t="s">
        <v>1262</v>
      </c>
      <c r="U2155" s="2" t="s">
        <v>1153</v>
      </c>
      <c r="V2155" s="2" t="s">
        <v>13317</v>
      </c>
      <c r="W2155" s="1"/>
      <c r="X2155" s="2" t="s">
        <v>709</v>
      </c>
      <c r="Y2155" s="2" t="s">
        <v>12913</v>
      </c>
      <c r="AA2155" t="str">
        <f t="shared" si="198"/>
        <v>2025-11</v>
      </c>
      <c r="AB2155" t="str">
        <f t="shared" si="199"/>
        <v/>
      </c>
      <c r="AC2155">
        <f t="shared" si="200"/>
        <v>867127.68</v>
      </c>
      <c r="AD2155">
        <f t="shared" si="201"/>
        <v>160</v>
      </c>
      <c r="AE2155">
        <f t="shared" si="202"/>
        <v>139127.67999999999</v>
      </c>
      <c r="AF2155" t="str">
        <f t="shared" si="203"/>
        <v>Paid</v>
      </c>
    </row>
    <row r="2156" spans="1:32" ht="17.25" thickBot="1" x14ac:dyDescent="0.35">
      <c r="A2156" s="2" t="s">
        <v>13318</v>
      </c>
      <c r="B2156" s="2" t="s">
        <v>27</v>
      </c>
      <c r="C2156" s="2" t="s">
        <v>28</v>
      </c>
      <c r="D2156" s="2" t="s">
        <v>97</v>
      </c>
      <c r="E2156" s="2" t="s">
        <v>12904</v>
      </c>
      <c r="F2156" s="2" t="s">
        <v>8445</v>
      </c>
      <c r="G2156" s="2" t="s">
        <v>32</v>
      </c>
      <c r="H2156" s="1"/>
      <c r="I2156" s="2" t="s">
        <v>33</v>
      </c>
      <c r="J2156" s="2" t="s">
        <v>34</v>
      </c>
      <c r="K2156" s="2" t="s">
        <v>8910</v>
      </c>
      <c r="L2156" s="2" t="s">
        <v>8911</v>
      </c>
      <c r="M2156" s="2" t="s">
        <v>37</v>
      </c>
      <c r="N2156" s="2" t="s">
        <v>38</v>
      </c>
      <c r="O2156" s="2" t="s">
        <v>156</v>
      </c>
      <c r="P2156" s="2" t="s">
        <v>306</v>
      </c>
      <c r="Q2156" s="2" t="s">
        <v>1550</v>
      </c>
      <c r="R2156" s="2" t="s">
        <v>40</v>
      </c>
      <c r="S2156" s="2" t="s">
        <v>13124</v>
      </c>
      <c r="T2156" s="2" t="s">
        <v>287</v>
      </c>
      <c r="U2156" s="2" t="s">
        <v>13319</v>
      </c>
      <c r="V2156" s="2" t="s">
        <v>13320</v>
      </c>
      <c r="W2156" s="1"/>
      <c r="X2156" s="2" t="s">
        <v>3903</v>
      </c>
      <c r="Y2156" s="2" t="s">
        <v>12913</v>
      </c>
      <c r="AA2156" t="str">
        <f t="shared" si="198"/>
        <v>2025-11</v>
      </c>
      <c r="AB2156" t="str">
        <f t="shared" si="199"/>
        <v/>
      </c>
      <c r="AC2156">
        <f t="shared" si="200"/>
        <v>166905.35999999999</v>
      </c>
      <c r="AD2156">
        <f t="shared" si="201"/>
        <v>20</v>
      </c>
      <c r="AE2156">
        <f t="shared" si="202"/>
        <v>26905.360000000001</v>
      </c>
      <c r="AF2156" t="str">
        <f t="shared" si="203"/>
        <v>Paid</v>
      </c>
    </row>
    <row r="2157" spans="1:32" ht="17.25" thickBot="1" x14ac:dyDescent="0.35">
      <c r="A2157" s="2" t="s">
        <v>13321</v>
      </c>
      <c r="B2157" s="2" t="s">
        <v>27</v>
      </c>
      <c r="C2157" s="2" t="s">
        <v>28</v>
      </c>
      <c r="D2157" s="2" t="s">
        <v>97</v>
      </c>
      <c r="E2157" s="2" t="s">
        <v>12904</v>
      </c>
      <c r="F2157" s="2" t="s">
        <v>8445</v>
      </c>
      <c r="G2157" s="2" t="s">
        <v>32</v>
      </c>
      <c r="H2157" s="1"/>
      <c r="I2157" s="2" t="s">
        <v>33</v>
      </c>
      <c r="J2157" s="2" t="s">
        <v>34</v>
      </c>
      <c r="K2157" s="2" t="s">
        <v>9906</v>
      </c>
      <c r="L2157" s="2" t="s">
        <v>9907</v>
      </c>
      <c r="M2157" s="2" t="s">
        <v>37</v>
      </c>
      <c r="N2157" s="2" t="s">
        <v>38</v>
      </c>
      <c r="O2157" s="2" t="s">
        <v>156</v>
      </c>
      <c r="P2157" s="2" t="s">
        <v>13322</v>
      </c>
      <c r="Q2157" s="2" t="s">
        <v>13323</v>
      </c>
      <c r="R2157" s="2" t="s">
        <v>40</v>
      </c>
      <c r="S2157" s="2" t="s">
        <v>13324</v>
      </c>
      <c r="T2157" s="2" t="s">
        <v>5672</v>
      </c>
      <c r="U2157" s="2" t="s">
        <v>5704</v>
      </c>
      <c r="V2157" s="2" t="s">
        <v>13325</v>
      </c>
      <c r="W2157" s="1"/>
      <c r="X2157" s="2" t="s">
        <v>3903</v>
      </c>
      <c r="Y2157" s="2" t="s">
        <v>12913</v>
      </c>
      <c r="AA2157" t="str">
        <f t="shared" si="198"/>
        <v>2025-11</v>
      </c>
      <c r="AB2157" t="str">
        <f t="shared" si="199"/>
        <v/>
      </c>
      <c r="AC2157">
        <f t="shared" si="200"/>
        <v>266937.12</v>
      </c>
      <c r="AD2157">
        <f t="shared" si="201"/>
        <v>20</v>
      </c>
      <c r="AE2157">
        <f t="shared" si="202"/>
        <v>42937.120000000003</v>
      </c>
      <c r="AF2157" t="str">
        <f t="shared" si="203"/>
        <v>Paid</v>
      </c>
    </row>
    <row r="2158" spans="1:32" ht="17.25" thickBot="1" x14ac:dyDescent="0.35">
      <c r="A2158" s="2" t="s">
        <v>13326</v>
      </c>
      <c r="B2158" s="2" t="s">
        <v>27</v>
      </c>
      <c r="C2158" s="2" t="s">
        <v>28</v>
      </c>
      <c r="D2158" s="2" t="s">
        <v>97</v>
      </c>
      <c r="E2158" s="2" t="s">
        <v>12904</v>
      </c>
      <c r="F2158" s="2" t="s">
        <v>8445</v>
      </c>
      <c r="G2158" s="2" t="s">
        <v>32</v>
      </c>
      <c r="H2158" s="1"/>
      <c r="I2158" s="2" t="s">
        <v>33</v>
      </c>
      <c r="J2158" s="2" t="s">
        <v>34</v>
      </c>
      <c r="K2158" s="2" t="s">
        <v>1197</v>
      </c>
      <c r="L2158" s="2" t="s">
        <v>1198</v>
      </c>
      <c r="M2158" s="2" t="s">
        <v>37</v>
      </c>
      <c r="N2158" s="2" t="s">
        <v>38</v>
      </c>
      <c r="O2158" s="2" t="s">
        <v>156</v>
      </c>
      <c r="P2158" s="2" t="s">
        <v>195</v>
      </c>
      <c r="Q2158" s="2" t="s">
        <v>13327</v>
      </c>
      <c r="R2158" s="2" t="s">
        <v>40</v>
      </c>
      <c r="S2158" s="2" t="s">
        <v>13328</v>
      </c>
      <c r="T2158" s="2" t="s">
        <v>1201</v>
      </c>
      <c r="U2158" s="2" t="s">
        <v>13329</v>
      </c>
      <c r="V2158" s="2" t="s">
        <v>13330</v>
      </c>
      <c r="W2158" s="1"/>
      <c r="X2158" s="2" t="s">
        <v>3903</v>
      </c>
      <c r="Y2158" s="2" t="s">
        <v>12913</v>
      </c>
      <c r="AA2158" t="str">
        <f t="shared" si="198"/>
        <v>2025-11</v>
      </c>
      <c r="AB2158" t="str">
        <f t="shared" si="199"/>
        <v/>
      </c>
      <c r="AC2158">
        <f t="shared" si="200"/>
        <v>233500.32</v>
      </c>
      <c r="AD2158">
        <f t="shared" si="201"/>
        <v>20</v>
      </c>
      <c r="AE2158">
        <f t="shared" si="202"/>
        <v>37500.32</v>
      </c>
      <c r="AF2158" t="str">
        <f t="shared" si="203"/>
        <v>Paid</v>
      </c>
    </row>
    <row r="2159" spans="1:32" ht="27.75" thickBot="1" x14ac:dyDescent="0.35">
      <c r="A2159" s="2" t="s">
        <v>13331</v>
      </c>
      <c r="B2159" s="2" t="s">
        <v>27</v>
      </c>
      <c r="C2159" s="2" t="s">
        <v>28</v>
      </c>
      <c r="D2159" s="2" t="s">
        <v>97</v>
      </c>
      <c r="E2159" s="2" t="s">
        <v>12904</v>
      </c>
      <c r="F2159" s="2" t="s">
        <v>8445</v>
      </c>
      <c r="G2159" s="2" t="s">
        <v>32</v>
      </c>
      <c r="H2159" s="1"/>
      <c r="I2159" s="2" t="s">
        <v>33</v>
      </c>
      <c r="J2159" s="2" t="s">
        <v>34</v>
      </c>
      <c r="K2159" s="2" t="s">
        <v>80</v>
      </c>
      <c r="L2159" s="2" t="s">
        <v>81</v>
      </c>
      <c r="M2159" s="2" t="s">
        <v>37</v>
      </c>
      <c r="N2159" s="2" t="s">
        <v>38</v>
      </c>
      <c r="O2159" s="2" t="s">
        <v>156</v>
      </c>
      <c r="P2159" s="2" t="s">
        <v>5331</v>
      </c>
      <c r="Q2159" s="2" t="s">
        <v>13332</v>
      </c>
      <c r="R2159" s="2" t="s">
        <v>40</v>
      </c>
      <c r="S2159" s="2" t="s">
        <v>13333</v>
      </c>
      <c r="T2159" s="2" t="s">
        <v>10034</v>
      </c>
      <c r="U2159" s="2" t="s">
        <v>13334</v>
      </c>
      <c r="V2159" s="2" t="s">
        <v>13335</v>
      </c>
      <c r="W2159" s="1"/>
      <c r="X2159" s="2" t="s">
        <v>2863</v>
      </c>
      <c r="Y2159" s="2" t="s">
        <v>12913</v>
      </c>
      <c r="AA2159" t="str">
        <f t="shared" si="198"/>
        <v>2025-11</v>
      </c>
      <c r="AB2159" t="str">
        <f t="shared" si="199"/>
        <v/>
      </c>
      <c r="AC2159">
        <f t="shared" si="200"/>
        <v>175264.56</v>
      </c>
      <c r="AD2159">
        <f t="shared" si="201"/>
        <v>20</v>
      </c>
      <c r="AE2159">
        <f t="shared" si="202"/>
        <v>53464.56</v>
      </c>
      <c r="AF2159" t="str">
        <f t="shared" si="203"/>
        <v>Paid</v>
      </c>
    </row>
    <row r="2160" spans="1:32" ht="17.25" thickBot="1" x14ac:dyDescent="0.35">
      <c r="A2160" s="2" t="s">
        <v>13336</v>
      </c>
      <c r="B2160" s="2" t="s">
        <v>27</v>
      </c>
      <c r="C2160" s="2" t="s">
        <v>28</v>
      </c>
      <c r="D2160" s="2" t="s">
        <v>97</v>
      </c>
      <c r="E2160" s="2" t="s">
        <v>12904</v>
      </c>
      <c r="F2160" s="2" t="s">
        <v>8445</v>
      </c>
      <c r="G2160" s="2" t="s">
        <v>32</v>
      </c>
      <c r="H2160" s="1"/>
      <c r="I2160" s="2" t="s">
        <v>33</v>
      </c>
      <c r="J2160" s="2" t="s">
        <v>34</v>
      </c>
      <c r="K2160" s="2" t="s">
        <v>1241</v>
      </c>
      <c r="L2160" s="2" t="s">
        <v>1242</v>
      </c>
      <c r="M2160" s="2" t="s">
        <v>37</v>
      </c>
      <c r="N2160" s="2" t="s">
        <v>38</v>
      </c>
      <c r="O2160" s="2" t="s">
        <v>977</v>
      </c>
      <c r="P2160" s="2" t="s">
        <v>3521</v>
      </c>
      <c r="Q2160" s="2" t="s">
        <v>8523</v>
      </c>
      <c r="R2160" s="2" t="s">
        <v>40</v>
      </c>
      <c r="S2160" s="2" t="s">
        <v>13337</v>
      </c>
      <c r="T2160" s="2" t="s">
        <v>13338</v>
      </c>
      <c r="U2160" s="2" t="s">
        <v>13339</v>
      </c>
      <c r="V2160" s="2" t="s">
        <v>13340</v>
      </c>
      <c r="W2160" s="1"/>
      <c r="X2160" s="2" t="s">
        <v>2781</v>
      </c>
      <c r="Y2160" s="2" t="s">
        <v>12913</v>
      </c>
      <c r="AA2160" t="str">
        <f t="shared" si="198"/>
        <v>2025-11</v>
      </c>
      <c r="AB2160" t="str">
        <f t="shared" si="199"/>
        <v/>
      </c>
      <c r="AC2160">
        <f t="shared" si="200"/>
        <v>734077.08</v>
      </c>
      <c r="AD2160">
        <f t="shared" si="201"/>
        <v>110</v>
      </c>
      <c r="AE2160">
        <f t="shared" si="202"/>
        <v>151677.07999999999</v>
      </c>
      <c r="AF2160" t="str">
        <f t="shared" si="203"/>
        <v>Paid</v>
      </c>
    </row>
    <row r="2161" spans="1:32" ht="17.25" thickBot="1" x14ac:dyDescent="0.35">
      <c r="A2161" s="2" t="s">
        <v>13341</v>
      </c>
      <c r="B2161" s="2" t="s">
        <v>27</v>
      </c>
      <c r="C2161" s="2" t="s">
        <v>28</v>
      </c>
      <c r="D2161" s="2" t="s">
        <v>97</v>
      </c>
      <c r="E2161" s="2" t="s">
        <v>12904</v>
      </c>
      <c r="F2161" s="2" t="s">
        <v>8445</v>
      </c>
      <c r="G2161" s="2" t="s">
        <v>32</v>
      </c>
      <c r="H2161" s="1"/>
      <c r="I2161" s="2" t="s">
        <v>33</v>
      </c>
      <c r="J2161" s="2" t="s">
        <v>34</v>
      </c>
      <c r="K2161" s="2" t="s">
        <v>1257</v>
      </c>
      <c r="L2161" s="2" t="s">
        <v>1258</v>
      </c>
      <c r="M2161" s="2" t="s">
        <v>37</v>
      </c>
      <c r="N2161" s="2" t="s">
        <v>38</v>
      </c>
      <c r="O2161" s="2" t="s">
        <v>214</v>
      </c>
      <c r="P2161" s="2" t="s">
        <v>6844</v>
      </c>
      <c r="Q2161" s="2" t="s">
        <v>13342</v>
      </c>
      <c r="R2161" s="2" t="s">
        <v>40</v>
      </c>
      <c r="S2161" s="2" t="s">
        <v>13343</v>
      </c>
      <c r="T2161" s="2" t="s">
        <v>9899</v>
      </c>
      <c r="U2161" s="2" t="s">
        <v>13344</v>
      </c>
      <c r="V2161" s="2" t="s">
        <v>13345</v>
      </c>
      <c r="W2161" s="1"/>
      <c r="X2161" s="2" t="s">
        <v>4216</v>
      </c>
      <c r="Y2161" s="2" t="s">
        <v>12913</v>
      </c>
      <c r="AA2161" t="str">
        <f t="shared" si="198"/>
        <v>2025-11</v>
      </c>
      <c r="AB2161" t="str">
        <f t="shared" si="199"/>
        <v/>
      </c>
      <c r="AC2161">
        <f t="shared" si="200"/>
        <v>270977.40000000002</v>
      </c>
      <c r="AD2161">
        <f t="shared" si="201"/>
        <v>50</v>
      </c>
      <c r="AE2161">
        <f t="shared" si="202"/>
        <v>82477.399999999994</v>
      </c>
      <c r="AF2161" t="str">
        <f t="shared" si="203"/>
        <v>Paid</v>
      </c>
    </row>
    <row r="2162" spans="1:32" ht="17.25" thickBot="1" x14ac:dyDescent="0.35">
      <c r="A2162" s="2" t="s">
        <v>13346</v>
      </c>
      <c r="B2162" s="2" t="s">
        <v>27</v>
      </c>
      <c r="C2162" s="2" t="s">
        <v>28</v>
      </c>
      <c r="D2162" s="2" t="s">
        <v>97</v>
      </c>
      <c r="E2162" s="2" t="s">
        <v>12904</v>
      </c>
      <c r="F2162" s="2" t="s">
        <v>8445</v>
      </c>
      <c r="G2162" s="2" t="s">
        <v>32</v>
      </c>
      <c r="H2162" s="1"/>
      <c r="I2162" s="2" t="s">
        <v>33</v>
      </c>
      <c r="J2162" s="2" t="s">
        <v>34</v>
      </c>
      <c r="K2162" s="2" t="s">
        <v>6627</v>
      </c>
      <c r="L2162" s="2" t="s">
        <v>6628</v>
      </c>
      <c r="M2162" s="2" t="s">
        <v>37</v>
      </c>
      <c r="N2162" s="2" t="s">
        <v>38</v>
      </c>
      <c r="O2162" s="2" t="s">
        <v>156</v>
      </c>
      <c r="P2162" s="2" t="s">
        <v>13347</v>
      </c>
      <c r="Q2162" s="2" t="s">
        <v>13348</v>
      </c>
      <c r="R2162" s="2" t="s">
        <v>40</v>
      </c>
      <c r="S2162" s="2" t="s">
        <v>13349</v>
      </c>
      <c r="T2162" s="2" t="s">
        <v>973</v>
      </c>
      <c r="U2162" s="2" t="s">
        <v>4471</v>
      </c>
      <c r="V2162" s="2" t="s">
        <v>13350</v>
      </c>
      <c r="W2162" s="1"/>
      <c r="X2162" s="2" t="s">
        <v>13351</v>
      </c>
      <c r="Y2162" s="2" t="s">
        <v>12913</v>
      </c>
      <c r="AA2162" t="str">
        <f t="shared" si="198"/>
        <v>2025-11</v>
      </c>
      <c r="AB2162" t="str">
        <f t="shared" si="199"/>
        <v/>
      </c>
      <c r="AC2162">
        <f t="shared" si="200"/>
        <v>373377.6</v>
      </c>
      <c r="AD2162">
        <f t="shared" si="201"/>
        <v>20</v>
      </c>
      <c r="AE2162">
        <f t="shared" si="202"/>
        <v>143377.60000000001</v>
      </c>
      <c r="AF2162" t="str">
        <f t="shared" si="203"/>
        <v>Paid</v>
      </c>
    </row>
    <row r="2163" spans="1:32" ht="27.75" thickBot="1" x14ac:dyDescent="0.35">
      <c r="A2163" s="2" t="s">
        <v>13352</v>
      </c>
      <c r="B2163" s="2" t="s">
        <v>27</v>
      </c>
      <c r="C2163" s="2" t="s">
        <v>28</v>
      </c>
      <c r="D2163" s="2" t="s">
        <v>97</v>
      </c>
      <c r="E2163" s="2" t="s">
        <v>12904</v>
      </c>
      <c r="F2163" s="2" t="s">
        <v>8445</v>
      </c>
      <c r="G2163" s="2" t="s">
        <v>32</v>
      </c>
      <c r="H2163" s="1"/>
      <c r="I2163" s="2" t="s">
        <v>33</v>
      </c>
      <c r="J2163" s="2" t="s">
        <v>34</v>
      </c>
      <c r="K2163" s="2" t="s">
        <v>7197</v>
      </c>
      <c r="L2163" s="2" t="s">
        <v>7198</v>
      </c>
      <c r="M2163" s="2" t="s">
        <v>37</v>
      </c>
      <c r="N2163" s="2" t="s">
        <v>38</v>
      </c>
      <c r="O2163" s="2" t="s">
        <v>466</v>
      </c>
      <c r="P2163" s="2" t="s">
        <v>13353</v>
      </c>
      <c r="Q2163" s="2" t="s">
        <v>13354</v>
      </c>
      <c r="R2163" s="2" t="s">
        <v>40</v>
      </c>
      <c r="S2163" s="2" t="s">
        <v>13355</v>
      </c>
      <c r="T2163" s="2" t="s">
        <v>13356</v>
      </c>
      <c r="U2163" s="2" t="s">
        <v>13357</v>
      </c>
      <c r="V2163" s="2" t="s">
        <v>13358</v>
      </c>
      <c r="W2163" s="1"/>
      <c r="X2163" s="2" t="s">
        <v>7125</v>
      </c>
      <c r="Y2163" s="2" t="s">
        <v>12913</v>
      </c>
      <c r="AA2163" t="str">
        <f t="shared" si="198"/>
        <v>2025-11</v>
      </c>
      <c r="AB2163" t="str">
        <f t="shared" si="199"/>
        <v/>
      </c>
      <c r="AC2163">
        <f t="shared" si="200"/>
        <v>3267054</v>
      </c>
      <c r="AD2163">
        <f t="shared" si="201"/>
        <v>70</v>
      </c>
      <c r="AE2163">
        <f t="shared" si="202"/>
        <v>698054</v>
      </c>
      <c r="AF2163" t="str">
        <f t="shared" si="203"/>
        <v>Paid</v>
      </c>
    </row>
    <row r="2164" spans="1:32" ht="17.25" thickBot="1" x14ac:dyDescent="0.35">
      <c r="A2164" s="2" t="s">
        <v>13359</v>
      </c>
      <c r="B2164" s="2" t="s">
        <v>27</v>
      </c>
      <c r="C2164" s="2" t="s">
        <v>28</v>
      </c>
      <c r="D2164" s="2" t="s">
        <v>97</v>
      </c>
      <c r="E2164" s="2" t="s">
        <v>12904</v>
      </c>
      <c r="F2164" s="2" t="s">
        <v>8445</v>
      </c>
      <c r="G2164" s="2" t="s">
        <v>32</v>
      </c>
      <c r="H2164" s="1"/>
      <c r="I2164" s="2" t="s">
        <v>33</v>
      </c>
      <c r="J2164" s="2" t="s">
        <v>34</v>
      </c>
      <c r="K2164" s="2" t="s">
        <v>1291</v>
      </c>
      <c r="L2164" s="2" t="s">
        <v>1292</v>
      </c>
      <c r="M2164" s="2" t="s">
        <v>37</v>
      </c>
      <c r="N2164" s="2" t="s">
        <v>38</v>
      </c>
      <c r="O2164" s="2" t="s">
        <v>156</v>
      </c>
      <c r="P2164" s="2" t="s">
        <v>13218</v>
      </c>
      <c r="Q2164" s="2" t="s">
        <v>13360</v>
      </c>
      <c r="R2164" s="2" t="s">
        <v>40</v>
      </c>
      <c r="S2164" s="2" t="s">
        <v>13361</v>
      </c>
      <c r="T2164" s="2" t="s">
        <v>126</v>
      </c>
      <c r="U2164" s="2" t="s">
        <v>12662</v>
      </c>
      <c r="V2164" s="2" t="s">
        <v>13362</v>
      </c>
      <c r="W2164" s="1"/>
      <c r="X2164" s="2" t="s">
        <v>3903</v>
      </c>
      <c r="Y2164" s="2" t="s">
        <v>12913</v>
      </c>
      <c r="AA2164" t="str">
        <f t="shared" si="198"/>
        <v>2025-11</v>
      </c>
      <c r="AB2164" t="str">
        <f t="shared" si="199"/>
        <v/>
      </c>
      <c r="AC2164">
        <f t="shared" si="200"/>
        <v>150186.96</v>
      </c>
      <c r="AD2164">
        <f t="shared" si="201"/>
        <v>20</v>
      </c>
      <c r="AE2164">
        <f t="shared" si="202"/>
        <v>24186.959999999999</v>
      </c>
      <c r="AF2164" t="str">
        <f t="shared" si="203"/>
        <v>Paid</v>
      </c>
    </row>
    <row r="2165" spans="1:32" ht="17.25" thickBot="1" x14ac:dyDescent="0.35">
      <c r="A2165" s="2" t="s">
        <v>13363</v>
      </c>
      <c r="B2165" s="2" t="s">
        <v>27</v>
      </c>
      <c r="C2165" s="2" t="s">
        <v>28</v>
      </c>
      <c r="D2165" s="2" t="s">
        <v>97</v>
      </c>
      <c r="E2165" s="2" t="s">
        <v>12904</v>
      </c>
      <c r="F2165" s="2" t="s">
        <v>8445</v>
      </c>
      <c r="G2165" s="2" t="s">
        <v>32</v>
      </c>
      <c r="H2165" s="1"/>
      <c r="I2165" s="2" t="s">
        <v>33</v>
      </c>
      <c r="J2165" s="2" t="s">
        <v>34</v>
      </c>
      <c r="K2165" s="2" t="s">
        <v>1301</v>
      </c>
      <c r="L2165" s="2" t="s">
        <v>1302</v>
      </c>
      <c r="M2165" s="2" t="s">
        <v>37</v>
      </c>
      <c r="N2165" s="2" t="s">
        <v>38</v>
      </c>
      <c r="O2165" s="2" t="s">
        <v>156</v>
      </c>
      <c r="P2165" s="2" t="s">
        <v>3521</v>
      </c>
      <c r="Q2165" s="2" t="s">
        <v>13304</v>
      </c>
      <c r="R2165" s="2" t="s">
        <v>40</v>
      </c>
      <c r="S2165" s="2" t="s">
        <v>13305</v>
      </c>
      <c r="T2165" s="2" t="s">
        <v>107</v>
      </c>
      <c r="U2165" s="2" t="s">
        <v>8539</v>
      </c>
      <c r="V2165" s="2" t="s">
        <v>13364</v>
      </c>
      <c r="W2165" s="1"/>
      <c r="X2165" s="2" t="s">
        <v>3903</v>
      </c>
      <c r="Y2165" s="2" t="s">
        <v>12913</v>
      </c>
      <c r="AA2165" t="str">
        <f t="shared" si="198"/>
        <v>2025-11</v>
      </c>
      <c r="AB2165" t="str">
        <f t="shared" si="199"/>
        <v/>
      </c>
      <c r="AC2165">
        <f t="shared" si="200"/>
        <v>133468.56</v>
      </c>
      <c r="AD2165">
        <f t="shared" si="201"/>
        <v>20</v>
      </c>
      <c r="AE2165">
        <f t="shared" si="202"/>
        <v>21468.560000000001</v>
      </c>
      <c r="AF2165" t="str">
        <f t="shared" si="203"/>
        <v>Paid</v>
      </c>
    </row>
    <row r="2166" spans="1:32" ht="17.25" thickBot="1" x14ac:dyDescent="0.35">
      <c r="A2166" s="2" t="s">
        <v>13365</v>
      </c>
      <c r="B2166" s="2" t="s">
        <v>27</v>
      </c>
      <c r="C2166" s="2" t="s">
        <v>28</v>
      </c>
      <c r="D2166" s="2" t="s">
        <v>97</v>
      </c>
      <c r="E2166" s="2" t="s">
        <v>12904</v>
      </c>
      <c r="F2166" s="2" t="s">
        <v>8445</v>
      </c>
      <c r="G2166" s="2" t="s">
        <v>32</v>
      </c>
      <c r="H2166" s="1"/>
      <c r="I2166" s="2" t="s">
        <v>33</v>
      </c>
      <c r="J2166" s="2" t="s">
        <v>34</v>
      </c>
      <c r="K2166" s="2" t="s">
        <v>6656</v>
      </c>
      <c r="L2166" s="2" t="s">
        <v>6657</v>
      </c>
      <c r="M2166" s="2" t="s">
        <v>37</v>
      </c>
      <c r="N2166" s="2" t="s">
        <v>38</v>
      </c>
      <c r="O2166" s="2" t="s">
        <v>156</v>
      </c>
      <c r="P2166" s="2" t="s">
        <v>3718</v>
      </c>
      <c r="Q2166" s="2" t="s">
        <v>13366</v>
      </c>
      <c r="R2166" s="2" t="s">
        <v>40</v>
      </c>
      <c r="S2166" s="2" t="s">
        <v>13367</v>
      </c>
      <c r="T2166" s="2" t="s">
        <v>2275</v>
      </c>
      <c r="U2166" s="2" t="s">
        <v>10061</v>
      </c>
      <c r="V2166" s="2" t="s">
        <v>13368</v>
      </c>
      <c r="W2166" s="1"/>
      <c r="X2166" s="2" t="s">
        <v>6770</v>
      </c>
      <c r="Y2166" s="2" t="s">
        <v>12913</v>
      </c>
      <c r="AA2166" t="str">
        <f t="shared" si="198"/>
        <v>2025-11</v>
      </c>
      <c r="AB2166" t="str">
        <f t="shared" si="199"/>
        <v/>
      </c>
      <c r="AC2166">
        <f t="shared" si="200"/>
        <v>125109.36</v>
      </c>
      <c r="AD2166">
        <f t="shared" si="201"/>
        <v>20</v>
      </c>
      <c r="AE2166">
        <f t="shared" si="202"/>
        <v>35109.360000000001</v>
      </c>
      <c r="AF2166" t="str">
        <f t="shared" si="203"/>
        <v>Paid</v>
      </c>
    </row>
    <row r="2167" spans="1:32" ht="27.75" thickBot="1" x14ac:dyDescent="0.35">
      <c r="A2167" s="2" t="s">
        <v>13369</v>
      </c>
      <c r="B2167" s="2" t="s">
        <v>27</v>
      </c>
      <c r="C2167" s="2" t="s">
        <v>28</v>
      </c>
      <c r="D2167" s="2" t="s">
        <v>97</v>
      </c>
      <c r="E2167" s="2" t="s">
        <v>12904</v>
      </c>
      <c r="F2167" s="2" t="s">
        <v>8445</v>
      </c>
      <c r="G2167" s="2" t="s">
        <v>32</v>
      </c>
      <c r="H2167" s="1"/>
      <c r="I2167" s="2" t="s">
        <v>33</v>
      </c>
      <c r="J2167" s="2" t="s">
        <v>34</v>
      </c>
      <c r="K2167" s="2" t="s">
        <v>1308</v>
      </c>
      <c r="L2167" s="2" t="s">
        <v>1309</v>
      </c>
      <c r="M2167" s="2" t="s">
        <v>37</v>
      </c>
      <c r="N2167" s="2" t="s">
        <v>38</v>
      </c>
      <c r="O2167" s="2" t="s">
        <v>877</v>
      </c>
      <c r="P2167" s="2" t="s">
        <v>13370</v>
      </c>
      <c r="Q2167" s="2" t="s">
        <v>13371</v>
      </c>
      <c r="R2167" s="2" t="s">
        <v>40</v>
      </c>
      <c r="S2167" s="2" t="s">
        <v>13372</v>
      </c>
      <c r="T2167" s="2" t="s">
        <v>6668</v>
      </c>
      <c r="U2167" s="2" t="s">
        <v>224</v>
      </c>
      <c r="V2167" s="2" t="s">
        <v>13373</v>
      </c>
      <c r="W2167" s="1"/>
      <c r="X2167" s="2" t="s">
        <v>3903</v>
      </c>
      <c r="Y2167" s="2" t="s">
        <v>12913</v>
      </c>
      <c r="AA2167" t="str">
        <f t="shared" si="198"/>
        <v>2025-11</v>
      </c>
      <c r="AB2167" t="str">
        <f t="shared" si="199"/>
        <v/>
      </c>
      <c r="AC2167">
        <f t="shared" si="200"/>
        <v>1876640.4</v>
      </c>
      <c r="AD2167">
        <f t="shared" si="201"/>
        <v>100</v>
      </c>
      <c r="AE2167">
        <f t="shared" si="202"/>
        <v>301640.40000000002</v>
      </c>
      <c r="AF2167" t="str">
        <f t="shared" si="203"/>
        <v>Paid</v>
      </c>
    </row>
    <row r="2168" spans="1:32" ht="17.25" thickBot="1" x14ac:dyDescent="0.35">
      <c r="A2168" s="2" t="s">
        <v>13374</v>
      </c>
      <c r="B2168" s="2" t="s">
        <v>27</v>
      </c>
      <c r="C2168" s="2" t="s">
        <v>28</v>
      </c>
      <c r="D2168" s="2" t="s">
        <v>97</v>
      </c>
      <c r="E2168" s="2" t="s">
        <v>12904</v>
      </c>
      <c r="F2168" s="2" t="s">
        <v>8445</v>
      </c>
      <c r="G2168" s="2" t="s">
        <v>32</v>
      </c>
      <c r="H2168" s="1"/>
      <c r="I2168" s="2" t="s">
        <v>33</v>
      </c>
      <c r="J2168" s="2" t="s">
        <v>34</v>
      </c>
      <c r="K2168" s="2" t="s">
        <v>1318</v>
      </c>
      <c r="L2168" s="2" t="s">
        <v>1319</v>
      </c>
      <c r="M2168" s="2" t="s">
        <v>37</v>
      </c>
      <c r="N2168" s="2" t="s">
        <v>38</v>
      </c>
      <c r="O2168" s="2" t="s">
        <v>159</v>
      </c>
      <c r="P2168" s="2" t="s">
        <v>7927</v>
      </c>
      <c r="Q2168" s="2" t="s">
        <v>13375</v>
      </c>
      <c r="R2168" s="2" t="s">
        <v>40</v>
      </c>
      <c r="S2168" s="2" t="s">
        <v>13376</v>
      </c>
      <c r="T2168" s="2" t="s">
        <v>1271</v>
      </c>
      <c r="U2168" s="2" t="s">
        <v>1322</v>
      </c>
      <c r="V2168" s="2" t="s">
        <v>13377</v>
      </c>
      <c r="W2168" s="1"/>
      <c r="X2168" s="2" t="s">
        <v>3903</v>
      </c>
      <c r="Y2168" s="2" t="s">
        <v>12913</v>
      </c>
      <c r="AA2168" t="str">
        <f t="shared" si="198"/>
        <v>2025-11</v>
      </c>
      <c r="AB2168" t="str">
        <f t="shared" si="199"/>
        <v/>
      </c>
      <c r="AC2168">
        <f t="shared" si="200"/>
        <v>467000.64</v>
      </c>
      <c r="AD2168">
        <f t="shared" si="201"/>
        <v>80</v>
      </c>
      <c r="AE2168">
        <f t="shared" si="202"/>
        <v>75000.639999999999</v>
      </c>
      <c r="AF2168" t="str">
        <f t="shared" si="203"/>
        <v>Paid</v>
      </c>
    </row>
    <row r="2169" spans="1:32" ht="17.25" thickBot="1" x14ac:dyDescent="0.35">
      <c r="A2169" s="2" t="s">
        <v>13378</v>
      </c>
      <c r="B2169" s="2" t="s">
        <v>27</v>
      </c>
      <c r="C2169" s="2" t="s">
        <v>28</v>
      </c>
      <c r="D2169" s="2" t="s">
        <v>97</v>
      </c>
      <c r="E2169" s="2" t="s">
        <v>12904</v>
      </c>
      <c r="F2169" s="2" t="s">
        <v>8445</v>
      </c>
      <c r="G2169" s="2" t="s">
        <v>32</v>
      </c>
      <c r="H2169" s="1"/>
      <c r="I2169" s="2" t="s">
        <v>33</v>
      </c>
      <c r="J2169" s="2" t="s">
        <v>34</v>
      </c>
      <c r="K2169" s="2" t="s">
        <v>35</v>
      </c>
      <c r="L2169" s="2" t="s">
        <v>36</v>
      </c>
      <c r="M2169" s="2" t="s">
        <v>37</v>
      </c>
      <c r="N2169" s="2" t="s">
        <v>38</v>
      </c>
      <c r="O2169" s="2" t="s">
        <v>156</v>
      </c>
      <c r="P2169" s="2" t="s">
        <v>10904</v>
      </c>
      <c r="Q2169" s="2" t="s">
        <v>13379</v>
      </c>
      <c r="R2169" s="2" t="s">
        <v>40</v>
      </c>
      <c r="S2169" s="2" t="s">
        <v>13380</v>
      </c>
      <c r="T2169" s="2" t="s">
        <v>5426</v>
      </c>
      <c r="U2169" s="2" t="s">
        <v>6877</v>
      </c>
      <c r="V2169" s="2" t="s">
        <v>13381</v>
      </c>
      <c r="W2169" s="1"/>
      <c r="X2169" s="2" t="s">
        <v>897</v>
      </c>
      <c r="Y2169" s="2" t="s">
        <v>12913</v>
      </c>
      <c r="AA2169" t="str">
        <f t="shared" si="198"/>
        <v>2025-11</v>
      </c>
      <c r="AB2169" t="str">
        <f t="shared" si="199"/>
        <v/>
      </c>
      <c r="AC2169">
        <f t="shared" si="200"/>
        <v>200063.52</v>
      </c>
      <c r="AD2169">
        <f t="shared" si="201"/>
        <v>20</v>
      </c>
      <c r="AE2169">
        <f t="shared" si="202"/>
        <v>42063.519999999997</v>
      </c>
      <c r="AF2169" t="str">
        <f t="shared" si="203"/>
        <v>Paid</v>
      </c>
    </row>
    <row r="2170" spans="1:32" ht="17.25" thickBot="1" x14ac:dyDescent="0.35">
      <c r="A2170" s="2" t="s">
        <v>13382</v>
      </c>
      <c r="B2170" s="2" t="s">
        <v>27</v>
      </c>
      <c r="C2170" s="2" t="s">
        <v>28</v>
      </c>
      <c r="D2170" s="2" t="s">
        <v>97</v>
      </c>
      <c r="E2170" s="2" t="s">
        <v>12904</v>
      </c>
      <c r="F2170" s="2" t="s">
        <v>8445</v>
      </c>
      <c r="G2170" s="2" t="s">
        <v>32</v>
      </c>
      <c r="H2170" s="1"/>
      <c r="I2170" s="2" t="s">
        <v>33</v>
      </c>
      <c r="J2170" s="2" t="s">
        <v>34</v>
      </c>
      <c r="K2170" s="2" t="s">
        <v>5422</v>
      </c>
      <c r="L2170" s="2" t="s">
        <v>5423</v>
      </c>
      <c r="M2170" s="2" t="s">
        <v>37</v>
      </c>
      <c r="N2170" s="2" t="s">
        <v>38</v>
      </c>
      <c r="O2170" s="2" t="s">
        <v>79</v>
      </c>
      <c r="P2170" s="2" t="s">
        <v>10904</v>
      </c>
      <c r="Q2170" s="2" t="s">
        <v>13383</v>
      </c>
      <c r="R2170" s="2" t="s">
        <v>40</v>
      </c>
      <c r="S2170" s="2" t="s">
        <v>13384</v>
      </c>
      <c r="T2170" s="2" t="s">
        <v>5426</v>
      </c>
      <c r="U2170" s="2" t="s">
        <v>11862</v>
      </c>
      <c r="V2170" s="2" t="s">
        <v>13385</v>
      </c>
      <c r="W2170" s="1"/>
      <c r="X2170" s="2" t="s">
        <v>897</v>
      </c>
      <c r="Y2170" s="2" t="s">
        <v>12913</v>
      </c>
      <c r="AA2170" t="str">
        <f t="shared" si="198"/>
        <v>2025-11</v>
      </c>
      <c r="AB2170" t="str">
        <f t="shared" si="199"/>
        <v/>
      </c>
      <c r="AC2170">
        <f t="shared" si="200"/>
        <v>100031.76</v>
      </c>
      <c r="AD2170">
        <f t="shared" si="201"/>
        <v>10</v>
      </c>
      <c r="AE2170">
        <f t="shared" si="202"/>
        <v>21031.759999999998</v>
      </c>
      <c r="AF2170" t="str">
        <f t="shared" si="203"/>
        <v>Paid</v>
      </c>
    </row>
    <row r="2171" spans="1:32" ht="17.25" thickBot="1" x14ac:dyDescent="0.35">
      <c r="A2171" s="2" t="s">
        <v>13386</v>
      </c>
      <c r="B2171" s="2" t="s">
        <v>27</v>
      </c>
      <c r="C2171" s="2" t="s">
        <v>28</v>
      </c>
      <c r="D2171" s="2" t="s">
        <v>97</v>
      </c>
      <c r="E2171" s="2" t="s">
        <v>12904</v>
      </c>
      <c r="F2171" s="2" t="s">
        <v>8445</v>
      </c>
      <c r="G2171" s="2" t="s">
        <v>32</v>
      </c>
      <c r="H2171" s="1"/>
      <c r="I2171" s="2" t="s">
        <v>33</v>
      </c>
      <c r="J2171" s="2" t="s">
        <v>34</v>
      </c>
      <c r="K2171" s="2" t="s">
        <v>11865</v>
      </c>
      <c r="L2171" s="2" t="s">
        <v>11866</v>
      </c>
      <c r="M2171" s="2" t="s">
        <v>37</v>
      </c>
      <c r="N2171" s="2" t="s">
        <v>38</v>
      </c>
      <c r="O2171" s="2" t="s">
        <v>214</v>
      </c>
      <c r="P2171" s="2" t="s">
        <v>11290</v>
      </c>
      <c r="Q2171" s="2" t="s">
        <v>11291</v>
      </c>
      <c r="R2171" s="2" t="s">
        <v>40</v>
      </c>
      <c r="S2171" s="2" t="s">
        <v>13387</v>
      </c>
      <c r="T2171" s="2" t="s">
        <v>11869</v>
      </c>
      <c r="U2171" s="2" t="s">
        <v>13388</v>
      </c>
      <c r="V2171" s="2" t="s">
        <v>13389</v>
      </c>
      <c r="W2171" s="1"/>
      <c r="X2171" s="2" t="s">
        <v>965</v>
      </c>
      <c r="Y2171" s="2" t="s">
        <v>12913</v>
      </c>
      <c r="AA2171" t="str">
        <f t="shared" si="198"/>
        <v>2025-11</v>
      </c>
      <c r="AB2171" t="str">
        <f t="shared" si="199"/>
        <v/>
      </c>
      <c r="AC2171">
        <f t="shared" si="200"/>
        <v>396365.4</v>
      </c>
      <c r="AD2171">
        <f t="shared" si="201"/>
        <v>50</v>
      </c>
      <c r="AE2171">
        <f t="shared" si="202"/>
        <v>101365.4</v>
      </c>
      <c r="AF2171" t="str">
        <f t="shared" si="203"/>
        <v>Paid</v>
      </c>
    </row>
    <row r="2172" spans="1:32" ht="17.25" thickBot="1" x14ac:dyDescent="0.35">
      <c r="A2172" s="2" t="s">
        <v>13390</v>
      </c>
      <c r="B2172" s="2" t="s">
        <v>27</v>
      </c>
      <c r="C2172" s="2" t="s">
        <v>28</v>
      </c>
      <c r="D2172" s="2" t="s">
        <v>97</v>
      </c>
      <c r="E2172" s="2" t="s">
        <v>12904</v>
      </c>
      <c r="F2172" s="2" t="s">
        <v>8445</v>
      </c>
      <c r="G2172" s="2" t="s">
        <v>32</v>
      </c>
      <c r="H2172" s="1"/>
      <c r="I2172" s="2" t="s">
        <v>33</v>
      </c>
      <c r="J2172" s="2" t="s">
        <v>34</v>
      </c>
      <c r="K2172" s="2" t="s">
        <v>5707</v>
      </c>
      <c r="L2172" s="2" t="s">
        <v>5708</v>
      </c>
      <c r="M2172" s="2" t="s">
        <v>37</v>
      </c>
      <c r="N2172" s="2" t="s">
        <v>38</v>
      </c>
      <c r="O2172" s="2" t="s">
        <v>877</v>
      </c>
      <c r="P2172" s="2" t="s">
        <v>306</v>
      </c>
      <c r="Q2172" s="2" t="s">
        <v>13391</v>
      </c>
      <c r="R2172" s="2" t="s">
        <v>40</v>
      </c>
      <c r="S2172" s="2" t="s">
        <v>13392</v>
      </c>
      <c r="T2172" s="2" t="s">
        <v>669</v>
      </c>
      <c r="U2172" s="2" t="s">
        <v>3303</v>
      </c>
      <c r="V2172" s="2" t="s">
        <v>13393</v>
      </c>
      <c r="W2172" s="1"/>
      <c r="X2172" s="2" t="s">
        <v>6770</v>
      </c>
      <c r="Y2172" s="2" t="s">
        <v>12913</v>
      </c>
      <c r="AA2172" t="str">
        <f t="shared" si="198"/>
        <v>2025-11</v>
      </c>
      <c r="AB2172" t="str">
        <f t="shared" si="199"/>
        <v/>
      </c>
      <c r="AC2172">
        <f t="shared" si="200"/>
        <v>834526.8</v>
      </c>
      <c r="AD2172">
        <f t="shared" si="201"/>
        <v>100</v>
      </c>
      <c r="AE2172">
        <f t="shared" si="202"/>
        <v>234526.8</v>
      </c>
      <c r="AF2172" t="str">
        <f t="shared" si="203"/>
        <v>Paid</v>
      </c>
    </row>
    <row r="2173" spans="1:32" ht="17.25" thickBot="1" x14ac:dyDescent="0.35">
      <c r="A2173" s="2" t="s">
        <v>13394</v>
      </c>
      <c r="B2173" s="2" t="s">
        <v>27</v>
      </c>
      <c r="C2173" s="2" t="s">
        <v>28</v>
      </c>
      <c r="D2173" s="2" t="s">
        <v>97</v>
      </c>
      <c r="E2173" s="2" t="s">
        <v>12904</v>
      </c>
      <c r="F2173" s="2" t="s">
        <v>8445</v>
      </c>
      <c r="G2173" s="2" t="s">
        <v>32</v>
      </c>
      <c r="H2173" s="1"/>
      <c r="I2173" s="2" t="s">
        <v>33</v>
      </c>
      <c r="J2173" s="2" t="s">
        <v>34</v>
      </c>
      <c r="K2173" s="2" t="s">
        <v>3149</v>
      </c>
      <c r="L2173" s="2" t="s">
        <v>3150</v>
      </c>
      <c r="M2173" s="2" t="s">
        <v>3131</v>
      </c>
      <c r="N2173" s="2" t="s">
        <v>38</v>
      </c>
      <c r="O2173" s="2" t="s">
        <v>745</v>
      </c>
      <c r="P2173" s="2" t="s">
        <v>12899</v>
      </c>
      <c r="Q2173" s="2" t="s">
        <v>13395</v>
      </c>
      <c r="R2173" s="2" t="s">
        <v>40</v>
      </c>
      <c r="S2173" s="2" t="s">
        <v>13396</v>
      </c>
      <c r="T2173" s="2" t="s">
        <v>3154</v>
      </c>
      <c r="U2173" s="2" t="s">
        <v>13397</v>
      </c>
      <c r="V2173" s="2" t="s">
        <v>13398</v>
      </c>
      <c r="W2173" s="1"/>
      <c r="X2173" s="2" t="s">
        <v>916</v>
      </c>
      <c r="Y2173" s="2" t="s">
        <v>12913</v>
      </c>
      <c r="AA2173" t="str">
        <f t="shared" si="198"/>
        <v>2025-11</v>
      </c>
      <c r="AB2173" t="str">
        <f t="shared" si="199"/>
        <v/>
      </c>
      <c r="AC2173">
        <f t="shared" si="200"/>
        <v>1216124.28</v>
      </c>
      <c r="AD2173">
        <f t="shared" si="201"/>
        <v>86</v>
      </c>
      <c r="AE2173">
        <f t="shared" si="202"/>
        <v>259178.83</v>
      </c>
      <c r="AF2173" t="str">
        <f t="shared" si="203"/>
        <v>Paid</v>
      </c>
    </row>
    <row r="2174" spans="1:32" ht="17.25" thickBot="1" x14ac:dyDescent="0.35">
      <c r="A2174" s="2" t="s">
        <v>13399</v>
      </c>
      <c r="B2174" s="2" t="s">
        <v>27</v>
      </c>
      <c r="C2174" s="2" t="s">
        <v>28</v>
      </c>
      <c r="D2174" s="2" t="s">
        <v>97</v>
      </c>
      <c r="E2174" s="2" t="s">
        <v>12904</v>
      </c>
      <c r="F2174" s="2" t="s">
        <v>8445</v>
      </c>
      <c r="G2174" s="2" t="s">
        <v>32</v>
      </c>
      <c r="H2174" s="1"/>
      <c r="I2174" s="2" t="s">
        <v>33</v>
      </c>
      <c r="J2174" s="2" t="s">
        <v>34</v>
      </c>
      <c r="K2174" s="2" t="s">
        <v>3149</v>
      </c>
      <c r="L2174" s="2" t="s">
        <v>3150</v>
      </c>
      <c r="M2174" s="2" t="s">
        <v>3131</v>
      </c>
      <c r="N2174" s="2" t="s">
        <v>38</v>
      </c>
      <c r="O2174" s="2" t="s">
        <v>141</v>
      </c>
      <c r="P2174" s="2" t="s">
        <v>13400</v>
      </c>
      <c r="Q2174" s="2" t="s">
        <v>2032</v>
      </c>
      <c r="R2174" s="2" t="s">
        <v>40</v>
      </c>
      <c r="S2174" s="2" t="s">
        <v>13401</v>
      </c>
      <c r="T2174" s="2" t="s">
        <v>3154</v>
      </c>
      <c r="U2174" s="2" t="s">
        <v>13402</v>
      </c>
      <c r="V2174" s="2" t="s">
        <v>13403</v>
      </c>
      <c r="W2174" s="1"/>
      <c r="X2174" s="2" t="s">
        <v>7047</v>
      </c>
      <c r="Y2174" s="2" t="s">
        <v>12913</v>
      </c>
      <c r="AA2174" t="str">
        <f t="shared" si="198"/>
        <v>2025-11</v>
      </c>
      <c r="AB2174" t="str">
        <f t="shared" si="199"/>
        <v/>
      </c>
      <c r="AC2174">
        <f t="shared" si="200"/>
        <v>425483.28</v>
      </c>
      <c r="AD2174">
        <f t="shared" si="201"/>
        <v>30</v>
      </c>
      <c r="AE2174">
        <f t="shared" si="202"/>
        <v>91665.1</v>
      </c>
      <c r="AF2174" t="str">
        <f t="shared" si="203"/>
        <v>Paid</v>
      </c>
    </row>
    <row r="2175" spans="1:32" ht="17.25" thickBot="1" x14ac:dyDescent="0.35">
      <c r="A2175" s="2" t="s">
        <v>13404</v>
      </c>
      <c r="B2175" s="2" t="s">
        <v>27</v>
      </c>
      <c r="C2175" s="2" t="s">
        <v>28</v>
      </c>
      <c r="D2175" s="2" t="s">
        <v>97</v>
      </c>
      <c r="E2175" s="2" t="s">
        <v>12904</v>
      </c>
      <c r="F2175" s="2" t="s">
        <v>8445</v>
      </c>
      <c r="G2175" s="2" t="s">
        <v>32</v>
      </c>
      <c r="H2175" s="1"/>
      <c r="I2175" s="2" t="s">
        <v>33</v>
      </c>
      <c r="J2175" s="2" t="s">
        <v>34</v>
      </c>
      <c r="K2175" s="2" t="s">
        <v>1742</v>
      </c>
      <c r="L2175" s="2" t="s">
        <v>1743</v>
      </c>
      <c r="M2175" s="2" t="s">
        <v>84</v>
      </c>
      <c r="N2175" s="2" t="s">
        <v>38</v>
      </c>
      <c r="O2175" s="2" t="s">
        <v>114</v>
      </c>
      <c r="P2175" s="2" t="s">
        <v>6089</v>
      </c>
      <c r="Q2175" s="2" t="s">
        <v>13405</v>
      </c>
      <c r="R2175" s="2" t="s">
        <v>40</v>
      </c>
      <c r="S2175" s="2" t="s">
        <v>13406</v>
      </c>
      <c r="T2175" s="2" t="s">
        <v>1747</v>
      </c>
      <c r="U2175" s="2" t="s">
        <v>1919</v>
      </c>
      <c r="V2175" s="2" t="s">
        <v>13407</v>
      </c>
      <c r="W2175" s="1"/>
      <c r="X2175" s="2" t="s">
        <v>6709</v>
      </c>
      <c r="Y2175" s="2" t="s">
        <v>12913</v>
      </c>
      <c r="AA2175" t="str">
        <f t="shared" si="198"/>
        <v>2025-11</v>
      </c>
      <c r="AB2175" t="str">
        <f t="shared" si="199"/>
        <v/>
      </c>
      <c r="AC2175">
        <f t="shared" si="200"/>
        <v>2741817.6</v>
      </c>
      <c r="AD2175">
        <f t="shared" si="201"/>
        <v>240</v>
      </c>
      <c r="AE2175">
        <f t="shared" si="202"/>
        <v>581817.59999999998</v>
      </c>
      <c r="AF2175" t="str">
        <f t="shared" si="203"/>
        <v>Paid</v>
      </c>
    </row>
    <row r="2176" spans="1:32" ht="17.25" thickBot="1" x14ac:dyDescent="0.35">
      <c r="A2176" s="2" t="s">
        <v>13408</v>
      </c>
      <c r="B2176" s="2" t="s">
        <v>27</v>
      </c>
      <c r="C2176" s="2" t="s">
        <v>28</v>
      </c>
      <c r="D2176" s="2" t="s">
        <v>97</v>
      </c>
      <c r="E2176" s="2" t="s">
        <v>12904</v>
      </c>
      <c r="F2176" s="2" t="s">
        <v>8445</v>
      </c>
      <c r="G2176" s="2" t="s">
        <v>32</v>
      </c>
      <c r="H2176" s="1"/>
      <c r="I2176" s="2" t="s">
        <v>33</v>
      </c>
      <c r="J2176" s="2" t="s">
        <v>34</v>
      </c>
      <c r="K2176" s="2" t="s">
        <v>1377</v>
      </c>
      <c r="L2176" s="2" t="s">
        <v>1378</v>
      </c>
      <c r="M2176" s="2" t="s">
        <v>84</v>
      </c>
      <c r="N2176" s="2" t="s">
        <v>38</v>
      </c>
      <c r="O2176" s="2" t="s">
        <v>156</v>
      </c>
      <c r="P2176" s="2" t="s">
        <v>7485</v>
      </c>
      <c r="Q2176" s="2" t="s">
        <v>13409</v>
      </c>
      <c r="R2176" s="2" t="s">
        <v>40</v>
      </c>
      <c r="S2176" s="2" t="s">
        <v>13410</v>
      </c>
      <c r="T2176" s="2" t="s">
        <v>1382</v>
      </c>
      <c r="U2176" s="2" t="s">
        <v>1752</v>
      </c>
      <c r="V2176" s="2" t="s">
        <v>13411</v>
      </c>
      <c r="W2176" s="1"/>
      <c r="X2176" s="2" t="s">
        <v>13412</v>
      </c>
      <c r="Y2176" s="2" t="s">
        <v>12913</v>
      </c>
      <c r="AA2176" t="str">
        <f t="shared" si="198"/>
        <v>2025-11</v>
      </c>
      <c r="AB2176" t="str">
        <f t="shared" si="199"/>
        <v/>
      </c>
      <c r="AC2176">
        <f t="shared" si="200"/>
        <v>135140.4</v>
      </c>
      <c r="AD2176">
        <f t="shared" si="201"/>
        <v>20</v>
      </c>
      <c r="AE2176">
        <f t="shared" si="202"/>
        <v>36340.400000000001</v>
      </c>
      <c r="AF2176" t="str">
        <f t="shared" si="203"/>
        <v>Paid</v>
      </c>
    </row>
    <row r="2177" spans="1:32" ht="17.25" thickBot="1" x14ac:dyDescent="0.35">
      <c r="A2177" s="2" t="s">
        <v>13413</v>
      </c>
      <c r="B2177" s="2" t="s">
        <v>27</v>
      </c>
      <c r="C2177" s="2" t="s">
        <v>28</v>
      </c>
      <c r="D2177" s="2" t="s">
        <v>97</v>
      </c>
      <c r="E2177" s="2" t="s">
        <v>12904</v>
      </c>
      <c r="F2177" s="2" t="s">
        <v>8445</v>
      </c>
      <c r="G2177" s="2" t="s">
        <v>32</v>
      </c>
      <c r="H2177" s="1"/>
      <c r="I2177" s="2" t="s">
        <v>33</v>
      </c>
      <c r="J2177" s="2" t="s">
        <v>34</v>
      </c>
      <c r="K2177" s="2" t="s">
        <v>1386</v>
      </c>
      <c r="L2177" s="2" t="s">
        <v>1387</v>
      </c>
      <c r="M2177" s="2" t="s">
        <v>84</v>
      </c>
      <c r="N2177" s="2" t="s">
        <v>38</v>
      </c>
      <c r="O2177" s="2" t="s">
        <v>79</v>
      </c>
      <c r="P2177" s="2" t="s">
        <v>306</v>
      </c>
      <c r="Q2177" s="2" t="s">
        <v>13414</v>
      </c>
      <c r="R2177" s="2" t="s">
        <v>40</v>
      </c>
      <c r="S2177" s="2" t="s">
        <v>13415</v>
      </c>
      <c r="T2177" s="2" t="s">
        <v>1390</v>
      </c>
      <c r="U2177" s="2" t="s">
        <v>8974</v>
      </c>
      <c r="V2177" s="2" t="s">
        <v>13416</v>
      </c>
      <c r="W2177" s="1"/>
      <c r="X2177" s="2" t="s">
        <v>2781</v>
      </c>
      <c r="Y2177" s="2" t="s">
        <v>12913</v>
      </c>
      <c r="AA2177" t="str">
        <f t="shared" si="198"/>
        <v>2025-11</v>
      </c>
      <c r="AB2177" t="str">
        <f t="shared" si="199"/>
        <v/>
      </c>
      <c r="AC2177">
        <f t="shared" si="200"/>
        <v>83452.679999999993</v>
      </c>
      <c r="AD2177">
        <f t="shared" si="201"/>
        <v>10</v>
      </c>
      <c r="AE2177">
        <f t="shared" si="202"/>
        <v>17252.68</v>
      </c>
      <c r="AF2177" t="str">
        <f t="shared" si="203"/>
        <v>Paid</v>
      </c>
    </row>
    <row r="2178" spans="1:32" ht="17.25" thickBot="1" x14ac:dyDescent="0.35">
      <c r="A2178" s="2" t="s">
        <v>13417</v>
      </c>
      <c r="B2178" s="2" t="s">
        <v>27</v>
      </c>
      <c r="C2178" s="2" t="s">
        <v>28</v>
      </c>
      <c r="D2178" s="2" t="s">
        <v>97</v>
      </c>
      <c r="E2178" s="2" t="s">
        <v>12904</v>
      </c>
      <c r="F2178" s="2" t="s">
        <v>8445</v>
      </c>
      <c r="G2178" s="2" t="s">
        <v>32</v>
      </c>
      <c r="H2178" s="1"/>
      <c r="I2178" s="2" t="s">
        <v>33</v>
      </c>
      <c r="J2178" s="2" t="s">
        <v>34</v>
      </c>
      <c r="K2178" s="2" t="s">
        <v>1403</v>
      </c>
      <c r="L2178" s="2" t="s">
        <v>1404</v>
      </c>
      <c r="M2178" s="2" t="s">
        <v>84</v>
      </c>
      <c r="N2178" s="2" t="s">
        <v>38</v>
      </c>
      <c r="O2178" s="2" t="s">
        <v>214</v>
      </c>
      <c r="P2178" s="2" t="s">
        <v>9694</v>
      </c>
      <c r="Q2178" s="2" t="s">
        <v>13048</v>
      </c>
      <c r="R2178" s="2" t="s">
        <v>40</v>
      </c>
      <c r="S2178" s="2" t="s">
        <v>13049</v>
      </c>
      <c r="T2178" s="2" t="s">
        <v>1408</v>
      </c>
      <c r="U2178" s="2" t="s">
        <v>13418</v>
      </c>
      <c r="V2178" s="2" t="s">
        <v>13419</v>
      </c>
      <c r="W2178" s="1"/>
      <c r="X2178" s="2" t="s">
        <v>2188</v>
      </c>
      <c r="Y2178" s="2" t="s">
        <v>12913</v>
      </c>
      <c r="AA2178" t="str">
        <f t="shared" si="198"/>
        <v>2025-11</v>
      </c>
      <c r="AB2178" t="str">
        <f t="shared" si="199"/>
        <v/>
      </c>
      <c r="AC2178">
        <f t="shared" si="200"/>
        <v>635299.19999999995</v>
      </c>
      <c r="AD2178">
        <f t="shared" si="201"/>
        <v>50</v>
      </c>
      <c r="AE2178">
        <f t="shared" si="202"/>
        <v>188799.2</v>
      </c>
      <c r="AF2178" t="str">
        <f t="shared" si="203"/>
        <v>Paid</v>
      </c>
    </row>
    <row r="2179" spans="1:32" ht="17.25" thickBot="1" x14ac:dyDescent="0.35">
      <c r="A2179" s="2" t="s">
        <v>13420</v>
      </c>
      <c r="B2179" s="2" t="s">
        <v>27</v>
      </c>
      <c r="C2179" s="2" t="s">
        <v>28</v>
      </c>
      <c r="D2179" s="2" t="s">
        <v>97</v>
      </c>
      <c r="E2179" s="2" t="s">
        <v>12904</v>
      </c>
      <c r="F2179" s="2" t="s">
        <v>8445</v>
      </c>
      <c r="G2179" s="2" t="s">
        <v>32</v>
      </c>
      <c r="H2179" s="1"/>
      <c r="I2179" s="2" t="s">
        <v>33</v>
      </c>
      <c r="J2179" s="2" t="s">
        <v>34</v>
      </c>
      <c r="K2179" s="2" t="s">
        <v>1412</v>
      </c>
      <c r="L2179" s="2" t="s">
        <v>1413</v>
      </c>
      <c r="M2179" s="2" t="s">
        <v>84</v>
      </c>
      <c r="N2179" s="2" t="s">
        <v>38</v>
      </c>
      <c r="O2179" s="2" t="s">
        <v>79</v>
      </c>
      <c r="P2179" s="2" t="s">
        <v>6392</v>
      </c>
      <c r="Q2179" s="2" t="s">
        <v>13421</v>
      </c>
      <c r="R2179" s="2" t="s">
        <v>40</v>
      </c>
      <c r="S2179" s="2" t="s">
        <v>13422</v>
      </c>
      <c r="T2179" s="2" t="s">
        <v>1417</v>
      </c>
      <c r="U2179" s="2" t="s">
        <v>13423</v>
      </c>
      <c r="V2179" s="2" t="s">
        <v>13424</v>
      </c>
      <c r="W2179" s="1"/>
      <c r="X2179" s="2" t="s">
        <v>13425</v>
      </c>
      <c r="Y2179" s="2" t="s">
        <v>12913</v>
      </c>
      <c r="AA2179" t="str">
        <f t="shared" si="198"/>
        <v>2025-11</v>
      </c>
      <c r="AB2179" t="str">
        <f t="shared" si="199"/>
        <v/>
      </c>
      <c r="AC2179">
        <f t="shared" si="200"/>
        <v>139041.35999999999</v>
      </c>
      <c r="AD2179">
        <f t="shared" si="201"/>
        <v>10</v>
      </c>
      <c r="AE2179">
        <f t="shared" si="202"/>
        <v>70741.36</v>
      </c>
      <c r="AF2179" t="str">
        <f t="shared" si="203"/>
        <v>Paid</v>
      </c>
    </row>
    <row r="2180" spans="1:32" ht="17.25" thickBot="1" x14ac:dyDescent="0.35">
      <c r="A2180" s="2" t="s">
        <v>13426</v>
      </c>
      <c r="B2180" s="2" t="s">
        <v>27</v>
      </c>
      <c r="C2180" s="2" t="s">
        <v>28</v>
      </c>
      <c r="D2180" s="2" t="s">
        <v>97</v>
      </c>
      <c r="E2180" s="2" t="s">
        <v>12904</v>
      </c>
      <c r="F2180" s="2" t="s">
        <v>8445</v>
      </c>
      <c r="G2180" s="2" t="s">
        <v>32</v>
      </c>
      <c r="H2180" s="1"/>
      <c r="I2180" s="2" t="s">
        <v>33</v>
      </c>
      <c r="J2180" s="2" t="s">
        <v>34</v>
      </c>
      <c r="K2180" s="2" t="s">
        <v>1420</v>
      </c>
      <c r="L2180" s="2" t="s">
        <v>1421</v>
      </c>
      <c r="M2180" s="2" t="s">
        <v>84</v>
      </c>
      <c r="N2180" s="2" t="s">
        <v>38</v>
      </c>
      <c r="O2180" s="2" t="s">
        <v>156</v>
      </c>
      <c r="P2180" s="2" t="s">
        <v>1344</v>
      </c>
      <c r="Q2180" s="2" t="s">
        <v>8736</v>
      </c>
      <c r="R2180" s="2" t="s">
        <v>40</v>
      </c>
      <c r="S2180" s="2" t="s">
        <v>13427</v>
      </c>
      <c r="T2180" s="2" t="s">
        <v>13428</v>
      </c>
      <c r="U2180" s="2" t="s">
        <v>13429</v>
      </c>
      <c r="V2180" s="2" t="s">
        <v>13430</v>
      </c>
      <c r="W2180" s="1"/>
      <c r="X2180" s="2" t="s">
        <v>6362</v>
      </c>
      <c r="Y2180" s="2" t="s">
        <v>12913</v>
      </c>
      <c r="AA2180" t="str">
        <f t="shared" ref="AA2180:AA2243" si="204">LEFT(E2180,7)</f>
        <v>2025-11</v>
      </c>
      <c r="AB2180" t="str">
        <f t="shared" ref="AB2180:AB2243" si="205">IF(AND($AA2180&gt;="2025-01",$AA2180&lt;="2025-06"),"H1_2025",IF(AND($AA2180&gt;="2026-01",$AA2180&lt;="2026-06"),"H1_2026",""))</f>
        <v/>
      </c>
      <c r="AC2180">
        <f t="shared" ref="AC2180:AC2243" si="206">IFERROR(VALUE(SUBSTITUTE(S2180,",","")),0)</f>
        <v>158824.79999999999</v>
      </c>
      <c r="AD2180">
        <f t="shared" ref="AD2180:AD2243" si="207">IFERROR(VALUE(SUBSTITUTE(O2180,",","")),0)</f>
        <v>20</v>
      </c>
      <c r="AE2180">
        <f t="shared" ref="AE2180:AE2243" si="208">IFERROR(VALUE(SUBSTITUTE(V2180,",","")),0)</f>
        <v>29926.799999999999</v>
      </c>
      <c r="AF2180" t="str">
        <f t="shared" ref="AF2180:AF2243" si="209">IF(ISNUMBER(SEARCH("FOC",W2180)),"FOC",IF(ISNUMBER(SEARCH("샘플",W2180)),"Sample","Paid"))</f>
        <v>Paid</v>
      </c>
    </row>
    <row r="2181" spans="1:32" ht="17.25" thickBot="1" x14ac:dyDescent="0.35">
      <c r="A2181" s="2" t="s">
        <v>13431</v>
      </c>
      <c r="B2181" s="2" t="s">
        <v>27</v>
      </c>
      <c r="C2181" s="2" t="s">
        <v>28</v>
      </c>
      <c r="D2181" s="2" t="s">
        <v>97</v>
      </c>
      <c r="E2181" s="2" t="s">
        <v>12904</v>
      </c>
      <c r="F2181" s="2" t="s">
        <v>8445</v>
      </c>
      <c r="G2181" s="2" t="s">
        <v>32</v>
      </c>
      <c r="H2181" s="1"/>
      <c r="I2181" s="2" t="s">
        <v>33</v>
      </c>
      <c r="J2181" s="2" t="s">
        <v>34</v>
      </c>
      <c r="K2181" s="2" t="s">
        <v>1429</v>
      </c>
      <c r="L2181" s="2" t="s">
        <v>1430</v>
      </c>
      <c r="M2181" s="2" t="s">
        <v>84</v>
      </c>
      <c r="N2181" s="2" t="s">
        <v>38</v>
      </c>
      <c r="O2181" s="2" t="s">
        <v>174</v>
      </c>
      <c r="P2181" s="2" t="s">
        <v>449</v>
      </c>
      <c r="Q2181" s="2" t="s">
        <v>13432</v>
      </c>
      <c r="R2181" s="2" t="s">
        <v>40</v>
      </c>
      <c r="S2181" s="2" t="s">
        <v>13433</v>
      </c>
      <c r="T2181" s="2" t="s">
        <v>1434</v>
      </c>
      <c r="U2181" s="2" t="s">
        <v>13434</v>
      </c>
      <c r="V2181" s="2" t="s">
        <v>13435</v>
      </c>
      <c r="W2181" s="1"/>
      <c r="X2181" s="2" t="s">
        <v>6962</v>
      </c>
      <c r="Y2181" s="2" t="s">
        <v>12913</v>
      </c>
      <c r="AA2181" t="str">
        <f t="shared" si="204"/>
        <v>2025-11</v>
      </c>
      <c r="AB2181" t="str">
        <f t="shared" si="205"/>
        <v/>
      </c>
      <c r="AC2181">
        <f t="shared" si="206"/>
        <v>262060.92</v>
      </c>
      <c r="AD2181">
        <f t="shared" si="207"/>
        <v>22</v>
      </c>
      <c r="AE2181">
        <f t="shared" si="208"/>
        <v>33260.92</v>
      </c>
      <c r="AF2181" t="str">
        <f t="shared" si="209"/>
        <v>Paid</v>
      </c>
    </row>
    <row r="2182" spans="1:32" ht="17.25" thickBot="1" x14ac:dyDescent="0.35">
      <c r="A2182" s="2" t="s">
        <v>13436</v>
      </c>
      <c r="B2182" s="2" t="s">
        <v>27</v>
      </c>
      <c r="C2182" s="2" t="s">
        <v>28</v>
      </c>
      <c r="D2182" s="2" t="s">
        <v>97</v>
      </c>
      <c r="E2182" s="2" t="s">
        <v>12904</v>
      </c>
      <c r="F2182" s="2" t="s">
        <v>8445</v>
      </c>
      <c r="G2182" s="2" t="s">
        <v>32</v>
      </c>
      <c r="H2182" s="1"/>
      <c r="I2182" s="2" t="s">
        <v>33</v>
      </c>
      <c r="J2182" s="2" t="s">
        <v>34</v>
      </c>
      <c r="K2182" s="2" t="s">
        <v>1482</v>
      </c>
      <c r="L2182" s="2" t="s">
        <v>1483</v>
      </c>
      <c r="M2182" s="2" t="s">
        <v>84</v>
      </c>
      <c r="N2182" s="2" t="s">
        <v>38</v>
      </c>
      <c r="O2182" s="2" t="s">
        <v>79</v>
      </c>
      <c r="P2182" s="2" t="s">
        <v>3041</v>
      </c>
      <c r="Q2182" s="2" t="s">
        <v>13437</v>
      </c>
      <c r="R2182" s="2" t="s">
        <v>40</v>
      </c>
      <c r="S2182" s="2" t="s">
        <v>13438</v>
      </c>
      <c r="T2182" s="2" t="s">
        <v>706</v>
      </c>
      <c r="U2182" s="2" t="s">
        <v>1710</v>
      </c>
      <c r="V2182" s="2" t="s">
        <v>13439</v>
      </c>
      <c r="W2182" s="1"/>
      <c r="X2182" s="2" t="s">
        <v>1340</v>
      </c>
      <c r="Y2182" s="2" t="s">
        <v>12913</v>
      </c>
      <c r="AA2182" t="str">
        <f t="shared" si="204"/>
        <v>2025-11</v>
      </c>
      <c r="AB2182" t="str">
        <f t="shared" si="205"/>
        <v/>
      </c>
      <c r="AC2182">
        <f t="shared" si="206"/>
        <v>117586.08</v>
      </c>
      <c r="AD2182">
        <f t="shared" si="207"/>
        <v>10</v>
      </c>
      <c r="AE2182">
        <f t="shared" si="208"/>
        <v>33586.080000000002</v>
      </c>
      <c r="AF2182" t="str">
        <f t="shared" si="209"/>
        <v>Paid</v>
      </c>
    </row>
    <row r="2183" spans="1:32" ht="17.25" thickBot="1" x14ac:dyDescent="0.35">
      <c r="A2183" s="2" t="s">
        <v>13440</v>
      </c>
      <c r="B2183" s="2" t="s">
        <v>27</v>
      </c>
      <c r="C2183" s="2" t="s">
        <v>28</v>
      </c>
      <c r="D2183" s="2" t="s">
        <v>97</v>
      </c>
      <c r="E2183" s="2" t="s">
        <v>12904</v>
      </c>
      <c r="F2183" s="2" t="s">
        <v>8445</v>
      </c>
      <c r="G2183" s="2" t="s">
        <v>32</v>
      </c>
      <c r="H2183" s="1"/>
      <c r="I2183" s="2" t="s">
        <v>33</v>
      </c>
      <c r="J2183" s="2" t="s">
        <v>34</v>
      </c>
      <c r="K2183" s="2" t="s">
        <v>11981</v>
      </c>
      <c r="L2183" s="2" t="s">
        <v>11982</v>
      </c>
      <c r="M2183" s="2" t="s">
        <v>3198</v>
      </c>
      <c r="N2183" s="2" t="s">
        <v>38</v>
      </c>
      <c r="O2183" s="2" t="s">
        <v>79</v>
      </c>
      <c r="P2183" s="2" t="s">
        <v>2791</v>
      </c>
      <c r="Q2183" s="2" t="s">
        <v>13441</v>
      </c>
      <c r="R2183" s="2" t="s">
        <v>40</v>
      </c>
      <c r="S2183" s="2" t="s">
        <v>13442</v>
      </c>
      <c r="T2183" s="2" t="s">
        <v>11985</v>
      </c>
      <c r="U2183" s="2" t="s">
        <v>11986</v>
      </c>
      <c r="V2183" s="2" t="s">
        <v>13443</v>
      </c>
      <c r="W2183" s="1"/>
      <c r="X2183" s="2" t="s">
        <v>13071</v>
      </c>
      <c r="Y2183" s="2" t="s">
        <v>12913</v>
      </c>
      <c r="AA2183" t="str">
        <f t="shared" si="204"/>
        <v>2025-11</v>
      </c>
      <c r="AB2183" t="str">
        <f t="shared" si="205"/>
        <v/>
      </c>
      <c r="AC2183">
        <f t="shared" si="206"/>
        <v>84427.92</v>
      </c>
      <c r="AD2183">
        <f t="shared" si="207"/>
        <v>10</v>
      </c>
      <c r="AE2183">
        <f t="shared" si="208"/>
        <v>11927.92</v>
      </c>
      <c r="AF2183" t="str">
        <f t="shared" si="209"/>
        <v>Paid</v>
      </c>
    </row>
    <row r="2184" spans="1:32" ht="17.25" thickBot="1" x14ac:dyDescent="0.35">
      <c r="A2184" s="2" t="s">
        <v>13444</v>
      </c>
      <c r="B2184" s="2" t="s">
        <v>27</v>
      </c>
      <c r="C2184" s="2" t="s">
        <v>28</v>
      </c>
      <c r="D2184" s="2" t="s">
        <v>97</v>
      </c>
      <c r="E2184" s="2" t="s">
        <v>12904</v>
      </c>
      <c r="F2184" s="2" t="s">
        <v>8445</v>
      </c>
      <c r="G2184" s="2" t="s">
        <v>32</v>
      </c>
      <c r="H2184" s="1"/>
      <c r="I2184" s="2" t="s">
        <v>33</v>
      </c>
      <c r="J2184" s="2" t="s">
        <v>34</v>
      </c>
      <c r="K2184" s="2" t="s">
        <v>13445</v>
      </c>
      <c r="L2184" s="2" t="s">
        <v>13446</v>
      </c>
      <c r="M2184" s="2" t="s">
        <v>3198</v>
      </c>
      <c r="N2184" s="2" t="s">
        <v>38</v>
      </c>
      <c r="O2184" s="2" t="s">
        <v>79</v>
      </c>
      <c r="P2184" s="2" t="s">
        <v>13447</v>
      </c>
      <c r="Q2184" s="2" t="s">
        <v>13448</v>
      </c>
      <c r="R2184" s="2" t="s">
        <v>40</v>
      </c>
      <c r="S2184" s="2" t="s">
        <v>13449</v>
      </c>
      <c r="T2184" s="2" t="s">
        <v>8703</v>
      </c>
      <c r="U2184" s="2" t="s">
        <v>8704</v>
      </c>
      <c r="V2184" s="2" t="s">
        <v>13450</v>
      </c>
      <c r="W2184" s="1"/>
      <c r="X2184" s="2" t="s">
        <v>13071</v>
      </c>
      <c r="Y2184" s="2" t="s">
        <v>12913</v>
      </c>
      <c r="AA2184" t="str">
        <f t="shared" si="204"/>
        <v>2025-11</v>
      </c>
      <c r="AB2184" t="str">
        <f t="shared" si="205"/>
        <v/>
      </c>
      <c r="AC2184">
        <f t="shared" si="206"/>
        <v>111456</v>
      </c>
      <c r="AD2184">
        <f t="shared" si="207"/>
        <v>10</v>
      </c>
      <c r="AE2184">
        <f t="shared" si="208"/>
        <v>15756</v>
      </c>
      <c r="AF2184" t="str">
        <f t="shared" si="209"/>
        <v>Paid</v>
      </c>
    </row>
    <row r="2185" spans="1:32" ht="17.25" thickBot="1" x14ac:dyDescent="0.35">
      <c r="A2185" s="2" t="s">
        <v>13451</v>
      </c>
      <c r="B2185" s="2" t="s">
        <v>27</v>
      </c>
      <c r="C2185" s="2" t="s">
        <v>28</v>
      </c>
      <c r="D2185" s="2" t="s">
        <v>97</v>
      </c>
      <c r="E2185" s="2" t="s">
        <v>12904</v>
      </c>
      <c r="F2185" s="2" t="s">
        <v>8445</v>
      </c>
      <c r="G2185" s="2" t="s">
        <v>32</v>
      </c>
      <c r="H2185" s="1"/>
      <c r="I2185" s="2" t="s">
        <v>33</v>
      </c>
      <c r="J2185" s="2" t="s">
        <v>34</v>
      </c>
      <c r="K2185" s="2" t="s">
        <v>10042</v>
      </c>
      <c r="L2185" s="2" t="s">
        <v>10043</v>
      </c>
      <c r="M2185" s="2" t="s">
        <v>1757</v>
      </c>
      <c r="N2185" s="2" t="s">
        <v>38</v>
      </c>
      <c r="O2185" s="2" t="s">
        <v>1836</v>
      </c>
      <c r="P2185" s="2" t="s">
        <v>8471</v>
      </c>
      <c r="Q2185" s="2" t="s">
        <v>13452</v>
      </c>
      <c r="R2185" s="2" t="s">
        <v>40</v>
      </c>
      <c r="S2185" s="2" t="s">
        <v>13453</v>
      </c>
      <c r="T2185" s="2" t="s">
        <v>13454</v>
      </c>
      <c r="U2185" s="2" t="s">
        <v>13455</v>
      </c>
      <c r="V2185" s="2" t="s">
        <v>13456</v>
      </c>
      <c r="W2185" s="1"/>
      <c r="X2185" s="2" t="s">
        <v>13457</v>
      </c>
      <c r="Y2185" s="2" t="s">
        <v>12913</v>
      </c>
      <c r="AA2185" t="str">
        <f t="shared" si="204"/>
        <v>2025-11</v>
      </c>
      <c r="AB2185" t="str">
        <f t="shared" si="205"/>
        <v/>
      </c>
      <c r="AC2185">
        <f t="shared" si="206"/>
        <v>1535585.04</v>
      </c>
      <c r="AD2185">
        <f t="shared" si="207"/>
        <v>220</v>
      </c>
      <c r="AE2185">
        <f t="shared" si="208"/>
        <v>647581.23</v>
      </c>
      <c r="AF2185" t="str">
        <f t="shared" si="209"/>
        <v>Paid</v>
      </c>
    </row>
    <row r="2186" spans="1:32" ht="17.25" thickBot="1" x14ac:dyDescent="0.35">
      <c r="A2186" s="2" t="s">
        <v>13458</v>
      </c>
      <c r="B2186" s="2" t="s">
        <v>27</v>
      </c>
      <c r="C2186" s="2" t="s">
        <v>28</v>
      </c>
      <c r="D2186" s="2" t="s">
        <v>97</v>
      </c>
      <c r="E2186" s="2" t="s">
        <v>12904</v>
      </c>
      <c r="F2186" s="2" t="s">
        <v>8445</v>
      </c>
      <c r="G2186" s="2" t="s">
        <v>32</v>
      </c>
      <c r="H2186" s="1"/>
      <c r="I2186" s="2" t="s">
        <v>33</v>
      </c>
      <c r="J2186" s="2" t="s">
        <v>34</v>
      </c>
      <c r="K2186" s="2" t="s">
        <v>3240</v>
      </c>
      <c r="L2186" s="2" t="s">
        <v>3241</v>
      </c>
      <c r="M2186" s="2" t="s">
        <v>3227</v>
      </c>
      <c r="N2186" s="2" t="s">
        <v>38</v>
      </c>
      <c r="O2186" s="2" t="s">
        <v>214</v>
      </c>
      <c r="P2186" s="2" t="s">
        <v>7132</v>
      </c>
      <c r="Q2186" s="2" t="s">
        <v>13459</v>
      </c>
      <c r="R2186" s="2" t="s">
        <v>40</v>
      </c>
      <c r="S2186" s="2" t="s">
        <v>13460</v>
      </c>
      <c r="T2186" s="2" t="s">
        <v>3213</v>
      </c>
      <c r="U2186" s="2" t="s">
        <v>13038</v>
      </c>
      <c r="V2186" s="2" t="s">
        <v>13461</v>
      </c>
      <c r="W2186" s="1"/>
      <c r="X2186" s="2" t="s">
        <v>965</v>
      </c>
      <c r="Y2186" s="2" t="s">
        <v>12913</v>
      </c>
      <c r="AA2186" t="str">
        <f t="shared" si="204"/>
        <v>2025-11</v>
      </c>
      <c r="AB2186" t="str">
        <f t="shared" si="205"/>
        <v/>
      </c>
      <c r="AC2186">
        <f t="shared" si="206"/>
        <v>349693.2</v>
      </c>
      <c r="AD2186">
        <f t="shared" si="207"/>
        <v>50</v>
      </c>
      <c r="AE2186">
        <f t="shared" si="208"/>
        <v>89693.2</v>
      </c>
      <c r="AF2186" t="str">
        <f t="shared" si="209"/>
        <v>Paid</v>
      </c>
    </row>
    <row r="2187" spans="1:32" ht="27.75" thickBot="1" x14ac:dyDescent="0.35">
      <c r="A2187" s="2" t="s">
        <v>13462</v>
      </c>
      <c r="B2187" s="2" t="s">
        <v>27</v>
      </c>
      <c r="C2187" s="2" t="s">
        <v>28</v>
      </c>
      <c r="D2187" s="2" t="s">
        <v>97</v>
      </c>
      <c r="E2187" s="2" t="s">
        <v>12904</v>
      </c>
      <c r="F2187" s="2" t="s">
        <v>8445</v>
      </c>
      <c r="G2187" s="2" t="s">
        <v>32</v>
      </c>
      <c r="H2187" s="1"/>
      <c r="I2187" s="2" t="s">
        <v>33</v>
      </c>
      <c r="J2187" s="2" t="s">
        <v>34</v>
      </c>
      <c r="K2187" s="2" t="s">
        <v>13463</v>
      </c>
      <c r="L2187" s="2" t="s">
        <v>13464</v>
      </c>
      <c r="M2187" s="2" t="s">
        <v>13465</v>
      </c>
      <c r="N2187" s="2" t="s">
        <v>38</v>
      </c>
      <c r="O2187" s="2" t="s">
        <v>203</v>
      </c>
      <c r="P2187" s="2" t="s">
        <v>13466</v>
      </c>
      <c r="Q2187" s="2" t="s">
        <v>13467</v>
      </c>
      <c r="R2187" s="2" t="s">
        <v>40</v>
      </c>
      <c r="S2187" s="2" t="s">
        <v>13468</v>
      </c>
      <c r="T2187" s="2" t="s">
        <v>13469</v>
      </c>
      <c r="U2187" s="2" t="s">
        <v>13470</v>
      </c>
      <c r="V2187" s="2" t="s">
        <v>13471</v>
      </c>
      <c r="W2187" s="1"/>
      <c r="X2187" s="2" t="s">
        <v>4859</v>
      </c>
      <c r="Y2187" s="2" t="s">
        <v>12913</v>
      </c>
      <c r="AA2187" t="str">
        <f t="shared" si="204"/>
        <v>2025-11</v>
      </c>
      <c r="AB2187" t="str">
        <f t="shared" si="205"/>
        <v/>
      </c>
      <c r="AC2187">
        <f t="shared" si="206"/>
        <v>63390.6</v>
      </c>
      <c r="AD2187">
        <f t="shared" si="207"/>
        <v>25</v>
      </c>
      <c r="AE2187">
        <f t="shared" si="208"/>
        <v>24740.6</v>
      </c>
      <c r="AF2187" t="str">
        <f t="shared" si="209"/>
        <v>Paid</v>
      </c>
    </row>
    <row r="2188" spans="1:32" ht="27.75" thickBot="1" x14ac:dyDescent="0.35">
      <c r="A2188" s="2" t="s">
        <v>13472</v>
      </c>
      <c r="B2188" s="2" t="s">
        <v>27</v>
      </c>
      <c r="C2188" s="2" t="s">
        <v>28</v>
      </c>
      <c r="D2188" s="2" t="s">
        <v>97</v>
      </c>
      <c r="E2188" s="2" t="s">
        <v>12904</v>
      </c>
      <c r="F2188" s="2" t="s">
        <v>8445</v>
      </c>
      <c r="G2188" s="2" t="s">
        <v>32</v>
      </c>
      <c r="H2188" s="1"/>
      <c r="I2188" s="2" t="s">
        <v>33</v>
      </c>
      <c r="J2188" s="2" t="s">
        <v>34</v>
      </c>
      <c r="K2188" s="2" t="s">
        <v>10372</v>
      </c>
      <c r="L2188" s="2" t="s">
        <v>10373</v>
      </c>
      <c r="M2188" s="2" t="s">
        <v>304</v>
      </c>
      <c r="N2188" s="2" t="s">
        <v>38</v>
      </c>
      <c r="O2188" s="2" t="s">
        <v>503</v>
      </c>
      <c r="P2188" s="2" t="s">
        <v>104</v>
      </c>
      <c r="Q2188" s="2" t="s">
        <v>13473</v>
      </c>
      <c r="R2188" s="2" t="s">
        <v>40</v>
      </c>
      <c r="S2188" s="2" t="s">
        <v>13474</v>
      </c>
      <c r="T2188" s="2" t="s">
        <v>3023</v>
      </c>
      <c r="U2188" s="2" t="s">
        <v>11583</v>
      </c>
      <c r="V2188" s="2" t="s">
        <v>13475</v>
      </c>
      <c r="W2188" s="2" t="s">
        <v>41</v>
      </c>
      <c r="X2188" s="2" t="s">
        <v>13476</v>
      </c>
      <c r="Y2188" s="2" t="s">
        <v>13477</v>
      </c>
      <c r="AA2188" t="str">
        <f t="shared" si="204"/>
        <v>2025-11</v>
      </c>
      <c r="AB2188" t="str">
        <f t="shared" si="205"/>
        <v/>
      </c>
      <c r="AC2188">
        <f t="shared" si="206"/>
        <v>4358.91</v>
      </c>
      <c r="AD2188">
        <f t="shared" si="207"/>
        <v>310</v>
      </c>
      <c r="AE2188">
        <f t="shared" si="208"/>
        <v>-615641.09</v>
      </c>
      <c r="AF2188" t="str">
        <f t="shared" si="209"/>
        <v>Sample</v>
      </c>
    </row>
    <row r="2189" spans="1:32" ht="27.75" thickBot="1" x14ac:dyDescent="0.35">
      <c r="A2189" s="2" t="s">
        <v>13478</v>
      </c>
      <c r="B2189" s="2" t="s">
        <v>27</v>
      </c>
      <c r="C2189" s="2" t="s">
        <v>28</v>
      </c>
      <c r="D2189" s="2" t="s">
        <v>97</v>
      </c>
      <c r="E2189" s="2" t="s">
        <v>12904</v>
      </c>
      <c r="F2189" s="2" t="s">
        <v>8445</v>
      </c>
      <c r="G2189" s="2" t="s">
        <v>32</v>
      </c>
      <c r="H2189" s="1"/>
      <c r="I2189" s="2" t="s">
        <v>33</v>
      </c>
      <c r="J2189" s="2" t="s">
        <v>34</v>
      </c>
      <c r="K2189" s="2" t="s">
        <v>13479</v>
      </c>
      <c r="L2189" s="2" t="s">
        <v>13480</v>
      </c>
      <c r="M2189" s="2" t="s">
        <v>304</v>
      </c>
      <c r="N2189" s="2" t="s">
        <v>38</v>
      </c>
      <c r="O2189" s="2" t="s">
        <v>214</v>
      </c>
      <c r="P2189" s="2" t="s">
        <v>10391</v>
      </c>
      <c r="Q2189" s="2" t="s">
        <v>13481</v>
      </c>
      <c r="R2189" s="2" t="s">
        <v>40</v>
      </c>
      <c r="S2189" s="2" t="s">
        <v>13482</v>
      </c>
      <c r="T2189" s="2" t="s">
        <v>13483</v>
      </c>
      <c r="U2189" s="2" t="s">
        <v>13484</v>
      </c>
      <c r="V2189" s="2" t="s">
        <v>13485</v>
      </c>
      <c r="W2189" s="1"/>
      <c r="X2189" s="2" t="s">
        <v>7694</v>
      </c>
      <c r="Y2189" s="2" t="s">
        <v>13477</v>
      </c>
      <c r="AA2189" t="str">
        <f t="shared" si="204"/>
        <v>2025-11</v>
      </c>
      <c r="AB2189" t="str">
        <f t="shared" si="205"/>
        <v/>
      </c>
      <c r="AC2189">
        <f t="shared" si="206"/>
        <v>615871.80000000005</v>
      </c>
      <c r="AD2189">
        <f t="shared" si="207"/>
        <v>50</v>
      </c>
      <c r="AE2189">
        <f t="shared" si="208"/>
        <v>208571.8</v>
      </c>
      <c r="AF2189" t="str">
        <f t="shared" si="209"/>
        <v>Paid</v>
      </c>
    </row>
    <row r="2190" spans="1:32" ht="17.25" thickBot="1" x14ac:dyDescent="0.35">
      <c r="A2190" s="2" t="s">
        <v>13486</v>
      </c>
      <c r="B2190" s="2" t="s">
        <v>27</v>
      </c>
      <c r="C2190" s="2" t="s">
        <v>28</v>
      </c>
      <c r="D2190" s="2" t="s">
        <v>97</v>
      </c>
      <c r="E2190" s="2" t="s">
        <v>12904</v>
      </c>
      <c r="F2190" s="2" t="s">
        <v>8445</v>
      </c>
      <c r="G2190" s="2" t="s">
        <v>32</v>
      </c>
      <c r="H2190" s="1"/>
      <c r="I2190" s="2" t="s">
        <v>33</v>
      </c>
      <c r="J2190" s="2" t="s">
        <v>34</v>
      </c>
      <c r="K2190" s="2" t="s">
        <v>368</v>
      </c>
      <c r="L2190" s="2" t="s">
        <v>369</v>
      </c>
      <c r="M2190" s="2" t="s">
        <v>304</v>
      </c>
      <c r="N2190" s="2" t="s">
        <v>38</v>
      </c>
      <c r="O2190" s="2" t="s">
        <v>159</v>
      </c>
      <c r="P2190" s="2" t="s">
        <v>6865</v>
      </c>
      <c r="Q2190" s="2" t="s">
        <v>13487</v>
      </c>
      <c r="R2190" s="2" t="s">
        <v>40</v>
      </c>
      <c r="S2190" s="2" t="s">
        <v>13488</v>
      </c>
      <c r="T2190" s="2" t="s">
        <v>10362</v>
      </c>
      <c r="U2190" s="2" t="s">
        <v>12078</v>
      </c>
      <c r="V2190" s="2" t="s">
        <v>13489</v>
      </c>
      <c r="W2190" s="1"/>
      <c r="X2190" s="2" t="s">
        <v>8970</v>
      </c>
      <c r="Y2190" s="2" t="s">
        <v>13477</v>
      </c>
      <c r="AA2190" t="str">
        <f t="shared" si="204"/>
        <v>2025-11</v>
      </c>
      <c r="AB2190" t="str">
        <f t="shared" si="205"/>
        <v/>
      </c>
      <c r="AC2190">
        <f t="shared" si="206"/>
        <v>844784.88</v>
      </c>
      <c r="AD2190">
        <f t="shared" si="207"/>
        <v>80</v>
      </c>
      <c r="AE2190">
        <f t="shared" si="208"/>
        <v>76784.88</v>
      </c>
      <c r="AF2190" t="str">
        <f t="shared" si="209"/>
        <v>Paid</v>
      </c>
    </row>
    <row r="2191" spans="1:32" ht="27.75" thickBot="1" x14ac:dyDescent="0.35">
      <c r="A2191" s="2" t="s">
        <v>13490</v>
      </c>
      <c r="B2191" s="2" t="s">
        <v>27</v>
      </c>
      <c r="C2191" s="2" t="s">
        <v>28</v>
      </c>
      <c r="D2191" s="2" t="s">
        <v>97</v>
      </c>
      <c r="E2191" s="2" t="s">
        <v>12904</v>
      </c>
      <c r="F2191" s="2" t="s">
        <v>8445</v>
      </c>
      <c r="G2191" s="2" t="s">
        <v>32</v>
      </c>
      <c r="H2191" s="1"/>
      <c r="I2191" s="2" t="s">
        <v>33</v>
      </c>
      <c r="J2191" s="2" t="s">
        <v>34</v>
      </c>
      <c r="K2191" s="2" t="s">
        <v>7430</v>
      </c>
      <c r="L2191" s="2" t="s">
        <v>7431</v>
      </c>
      <c r="M2191" s="2" t="s">
        <v>304</v>
      </c>
      <c r="N2191" s="2" t="s">
        <v>38</v>
      </c>
      <c r="O2191" s="2" t="s">
        <v>252</v>
      </c>
      <c r="P2191" s="2" t="s">
        <v>6865</v>
      </c>
      <c r="Q2191" s="2" t="s">
        <v>13491</v>
      </c>
      <c r="R2191" s="2" t="s">
        <v>40</v>
      </c>
      <c r="S2191" s="2" t="s">
        <v>13492</v>
      </c>
      <c r="T2191" s="2" t="s">
        <v>10362</v>
      </c>
      <c r="U2191" s="2" t="s">
        <v>13493</v>
      </c>
      <c r="V2191" s="2" t="s">
        <v>13494</v>
      </c>
      <c r="W2191" s="1"/>
      <c r="X2191" s="2" t="s">
        <v>8970</v>
      </c>
      <c r="Y2191" s="2" t="s">
        <v>13477</v>
      </c>
      <c r="AA2191" t="str">
        <f t="shared" si="204"/>
        <v>2025-11</v>
      </c>
      <c r="AB2191" t="str">
        <f t="shared" si="205"/>
        <v/>
      </c>
      <c r="AC2191">
        <f t="shared" si="206"/>
        <v>337913.95</v>
      </c>
      <c r="AD2191">
        <f t="shared" si="207"/>
        <v>32</v>
      </c>
      <c r="AE2191">
        <f t="shared" si="208"/>
        <v>30713.95</v>
      </c>
      <c r="AF2191" t="str">
        <f t="shared" si="209"/>
        <v>Paid</v>
      </c>
    </row>
    <row r="2192" spans="1:32" ht="27.75" thickBot="1" x14ac:dyDescent="0.35">
      <c r="A2192" s="2" t="s">
        <v>13495</v>
      </c>
      <c r="B2192" s="2" t="s">
        <v>27</v>
      </c>
      <c r="C2192" s="2" t="s">
        <v>28</v>
      </c>
      <c r="D2192" s="2" t="s">
        <v>97</v>
      </c>
      <c r="E2192" s="2" t="s">
        <v>12904</v>
      </c>
      <c r="F2192" s="2" t="s">
        <v>8445</v>
      </c>
      <c r="G2192" s="2" t="s">
        <v>32</v>
      </c>
      <c r="H2192" s="1"/>
      <c r="I2192" s="2" t="s">
        <v>33</v>
      </c>
      <c r="J2192" s="2" t="s">
        <v>34</v>
      </c>
      <c r="K2192" s="2" t="s">
        <v>4756</v>
      </c>
      <c r="L2192" s="2" t="s">
        <v>4757</v>
      </c>
      <c r="M2192" s="2" t="s">
        <v>304</v>
      </c>
      <c r="N2192" s="2" t="s">
        <v>38</v>
      </c>
      <c r="O2192" s="2" t="s">
        <v>177</v>
      </c>
      <c r="P2192" s="2" t="s">
        <v>11018</v>
      </c>
      <c r="Q2192" s="2" t="s">
        <v>13496</v>
      </c>
      <c r="R2192" s="2" t="s">
        <v>40</v>
      </c>
      <c r="S2192" s="2" t="s">
        <v>13497</v>
      </c>
      <c r="T2192" s="2" t="s">
        <v>10437</v>
      </c>
      <c r="U2192" s="2" t="s">
        <v>3111</v>
      </c>
      <c r="V2192" s="2" t="s">
        <v>13498</v>
      </c>
      <c r="W2192" s="1"/>
      <c r="X2192" s="2" t="s">
        <v>6735</v>
      </c>
      <c r="Y2192" s="2" t="s">
        <v>13477</v>
      </c>
      <c r="AA2192" t="str">
        <f t="shared" si="204"/>
        <v>2025-11</v>
      </c>
      <c r="AB2192" t="str">
        <f t="shared" si="205"/>
        <v/>
      </c>
      <c r="AC2192">
        <f t="shared" si="206"/>
        <v>703050</v>
      </c>
      <c r="AD2192">
        <f t="shared" si="207"/>
        <v>400</v>
      </c>
      <c r="AE2192">
        <f t="shared" si="208"/>
        <v>63050</v>
      </c>
      <c r="AF2192" t="str">
        <f t="shared" si="209"/>
        <v>Paid</v>
      </c>
    </row>
    <row r="2193" spans="1:32" ht="17.25" thickBot="1" x14ac:dyDescent="0.35">
      <c r="A2193" s="2" t="s">
        <v>13499</v>
      </c>
      <c r="B2193" s="2" t="s">
        <v>27</v>
      </c>
      <c r="C2193" s="2" t="s">
        <v>28</v>
      </c>
      <c r="D2193" s="2" t="s">
        <v>97</v>
      </c>
      <c r="E2193" s="2" t="s">
        <v>12904</v>
      </c>
      <c r="F2193" s="2" t="s">
        <v>8445</v>
      </c>
      <c r="G2193" s="2" t="s">
        <v>32</v>
      </c>
      <c r="H2193" s="1"/>
      <c r="I2193" s="2" t="s">
        <v>33</v>
      </c>
      <c r="J2193" s="2" t="s">
        <v>34</v>
      </c>
      <c r="K2193" s="2" t="s">
        <v>10460</v>
      </c>
      <c r="L2193" s="2" t="s">
        <v>10461</v>
      </c>
      <c r="M2193" s="2" t="s">
        <v>304</v>
      </c>
      <c r="N2193" s="2" t="s">
        <v>38</v>
      </c>
      <c r="O2193" s="2" t="s">
        <v>849</v>
      </c>
      <c r="P2193" s="2" t="s">
        <v>6865</v>
      </c>
      <c r="Q2193" s="2" t="s">
        <v>13500</v>
      </c>
      <c r="R2193" s="2" t="s">
        <v>40</v>
      </c>
      <c r="S2193" s="2" t="s">
        <v>13501</v>
      </c>
      <c r="T2193" s="2" t="s">
        <v>10362</v>
      </c>
      <c r="U2193" s="2" t="s">
        <v>13502</v>
      </c>
      <c r="V2193" s="2" t="s">
        <v>13503</v>
      </c>
      <c r="W2193" s="1"/>
      <c r="X2193" s="2" t="s">
        <v>8970</v>
      </c>
      <c r="Y2193" s="2" t="s">
        <v>13477</v>
      </c>
      <c r="AA2193" t="str">
        <f t="shared" si="204"/>
        <v>2025-11</v>
      </c>
      <c r="AB2193" t="str">
        <f t="shared" si="205"/>
        <v/>
      </c>
      <c r="AC2193">
        <f t="shared" si="206"/>
        <v>1689569.76</v>
      </c>
      <c r="AD2193">
        <f t="shared" si="207"/>
        <v>160</v>
      </c>
      <c r="AE2193">
        <f t="shared" si="208"/>
        <v>153569.76</v>
      </c>
      <c r="AF2193" t="str">
        <f t="shared" si="209"/>
        <v>Paid</v>
      </c>
    </row>
    <row r="2194" spans="1:32" ht="17.25" thickBot="1" x14ac:dyDescent="0.35">
      <c r="A2194" s="2" t="s">
        <v>13504</v>
      </c>
      <c r="B2194" s="2" t="s">
        <v>27</v>
      </c>
      <c r="C2194" s="2" t="s">
        <v>28</v>
      </c>
      <c r="D2194" s="2" t="s">
        <v>97</v>
      </c>
      <c r="E2194" s="2" t="s">
        <v>12904</v>
      </c>
      <c r="F2194" s="2" t="s">
        <v>8445</v>
      </c>
      <c r="G2194" s="2" t="s">
        <v>32</v>
      </c>
      <c r="H2194" s="1"/>
      <c r="I2194" s="2" t="s">
        <v>33</v>
      </c>
      <c r="J2194" s="2" t="s">
        <v>34</v>
      </c>
      <c r="K2194" s="2" t="s">
        <v>10465</v>
      </c>
      <c r="L2194" s="2" t="s">
        <v>10466</v>
      </c>
      <c r="M2194" s="2" t="s">
        <v>304</v>
      </c>
      <c r="N2194" s="2" t="s">
        <v>38</v>
      </c>
      <c r="O2194" s="2" t="s">
        <v>729</v>
      </c>
      <c r="P2194" s="2" t="s">
        <v>13505</v>
      </c>
      <c r="Q2194" s="2" t="s">
        <v>13506</v>
      </c>
      <c r="R2194" s="2" t="s">
        <v>40</v>
      </c>
      <c r="S2194" s="2" t="s">
        <v>13507</v>
      </c>
      <c r="T2194" s="2" t="s">
        <v>13508</v>
      </c>
      <c r="U2194" s="2" t="s">
        <v>13509</v>
      </c>
      <c r="V2194" s="2" t="s">
        <v>13510</v>
      </c>
      <c r="W2194" s="1"/>
      <c r="X2194" s="2" t="s">
        <v>13511</v>
      </c>
      <c r="Y2194" s="2" t="s">
        <v>13477</v>
      </c>
      <c r="AA2194" t="str">
        <f t="shared" si="204"/>
        <v>2025-11</v>
      </c>
      <c r="AB2194" t="str">
        <f t="shared" si="205"/>
        <v/>
      </c>
      <c r="AC2194">
        <f t="shared" si="206"/>
        <v>1404356.44</v>
      </c>
      <c r="AD2194">
        <f t="shared" si="207"/>
        <v>84</v>
      </c>
      <c r="AE2194">
        <f t="shared" si="208"/>
        <v>129456.44</v>
      </c>
      <c r="AF2194" t="str">
        <f t="shared" si="209"/>
        <v>Paid</v>
      </c>
    </row>
    <row r="2195" spans="1:32" ht="17.25" thickBot="1" x14ac:dyDescent="0.35">
      <c r="A2195" s="2" t="s">
        <v>13512</v>
      </c>
      <c r="B2195" s="2" t="s">
        <v>27</v>
      </c>
      <c r="C2195" s="2" t="s">
        <v>28</v>
      </c>
      <c r="D2195" s="2" t="s">
        <v>97</v>
      </c>
      <c r="E2195" s="2" t="s">
        <v>12904</v>
      </c>
      <c r="F2195" s="2" t="s">
        <v>8445</v>
      </c>
      <c r="G2195" s="2" t="s">
        <v>32</v>
      </c>
      <c r="H2195" s="1"/>
      <c r="I2195" s="2" t="s">
        <v>33</v>
      </c>
      <c r="J2195" s="2" t="s">
        <v>34</v>
      </c>
      <c r="K2195" s="2" t="s">
        <v>389</v>
      </c>
      <c r="L2195" s="2" t="s">
        <v>390</v>
      </c>
      <c r="M2195" s="2" t="s">
        <v>304</v>
      </c>
      <c r="N2195" s="2" t="s">
        <v>38</v>
      </c>
      <c r="O2195" s="2" t="s">
        <v>517</v>
      </c>
      <c r="P2195" s="2" t="s">
        <v>832</v>
      </c>
      <c r="Q2195" s="2" t="s">
        <v>4913</v>
      </c>
      <c r="R2195" s="2" t="s">
        <v>40</v>
      </c>
      <c r="S2195" s="2" t="s">
        <v>13513</v>
      </c>
      <c r="T2195" s="2" t="s">
        <v>952</v>
      </c>
      <c r="U2195" s="2" t="s">
        <v>13514</v>
      </c>
      <c r="V2195" s="2" t="s">
        <v>13515</v>
      </c>
      <c r="W2195" s="1"/>
      <c r="X2195" s="2" t="s">
        <v>8970</v>
      </c>
      <c r="Y2195" s="2" t="s">
        <v>13477</v>
      </c>
      <c r="AA2195" t="str">
        <f t="shared" si="204"/>
        <v>2025-11</v>
      </c>
      <c r="AB2195" t="str">
        <f t="shared" si="205"/>
        <v/>
      </c>
      <c r="AC2195">
        <f t="shared" si="206"/>
        <v>1584393.48</v>
      </c>
      <c r="AD2195">
        <f t="shared" si="207"/>
        <v>120</v>
      </c>
      <c r="AE2195">
        <f t="shared" si="208"/>
        <v>144393.48000000001</v>
      </c>
      <c r="AF2195" t="str">
        <f t="shared" si="209"/>
        <v>Paid</v>
      </c>
    </row>
    <row r="2196" spans="1:32" ht="17.25" thickBot="1" x14ac:dyDescent="0.35">
      <c r="A2196" s="2" t="s">
        <v>13516</v>
      </c>
      <c r="B2196" s="2" t="s">
        <v>27</v>
      </c>
      <c r="C2196" s="2" t="s">
        <v>28</v>
      </c>
      <c r="D2196" s="2" t="s">
        <v>97</v>
      </c>
      <c r="E2196" s="2" t="s">
        <v>12904</v>
      </c>
      <c r="F2196" s="2" t="s">
        <v>8445</v>
      </c>
      <c r="G2196" s="2" t="s">
        <v>32</v>
      </c>
      <c r="H2196" s="1"/>
      <c r="I2196" s="2" t="s">
        <v>33</v>
      </c>
      <c r="J2196" s="2" t="s">
        <v>34</v>
      </c>
      <c r="K2196" s="2" t="s">
        <v>10507</v>
      </c>
      <c r="L2196" s="2" t="s">
        <v>10508</v>
      </c>
      <c r="M2196" s="2" t="s">
        <v>304</v>
      </c>
      <c r="N2196" s="2" t="s">
        <v>38</v>
      </c>
      <c r="O2196" s="2" t="s">
        <v>956</v>
      </c>
      <c r="P2196" s="2" t="s">
        <v>12709</v>
      </c>
      <c r="Q2196" s="2" t="s">
        <v>13517</v>
      </c>
      <c r="R2196" s="2" t="s">
        <v>40</v>
      </c>
      <c r="S2196" s="2" t="s">
        <v>13518</v>
      </c>
      <c r="T2196" s="2" t="s">
        <v>2127</v>
      </c>
      <c r="U2196" s="2" t="s">
        <v>13519</v>
      </c>
      <c r="V2196" s="2" t="s">
        <v>13520</v>
      </c>
      <c r="W2196" s="1"/>
      <c r="X2196" s="2" t="s">
        <v>8970</v>
      </c>
      <c r="Y2196" s="2" t="s">
        <v>13477</v>
      </c>
      <c r="AA2196" t="str">
        <f t="shared" si="204"/>
        <v>2025-11</v>
      </c>
      <c r="AB2196" t="str">
        <f t="shared" si="205"/>
        <v/>
      </c>
      <c r="AC2196">
        <f t="shared" si="206"/>
        <v>1283206.8600000001</v>
      </c>
      <c r="AD2196">
        <f t="shared" si="207"/>
        <v>108</v>
      </c>
      <c r="AE2196">
        <f t="shared" si="208"/>
        <v>116806.86</v>
      </c>
      <c r="AF2196" t="str">
        <f t="shared" si="209"/>
        <v>Paid</v>
      </c>
    </row>
    <row r="2197" spans="1:32" ht="27.75" thickBot="1" x14ac:dyDescent="0.35">
      <c r="A2197" s="2" t="s">
        <v>13521</v>
      </c>
      <c r="B2197" s="2" t="s">
        <v>27</v>
      </c>
      <c r="C2197" s="2" t="s">
        <v>28</v>
      </c>
      <c r="D2197" s="2" t="s">
        <v>97</v>
      </c>
      <c r="E2197" s="2" t="s">
        <v>12904</v>
      </c>
      <c r="F2197" s="2" t="s">
        <v>8445</v>
      </c>
      <c r="G2197" s="2" t="s">
        <v>32</v>
      </c>
      <c r="H2197" s="1"/>
      <c r="I2197" s="2" t="s">
        <v>33</v>
      </c>
      <c r="J2197" s="2" t="s">
        <v>34</v>
      </c>
      <c r="K2197" s="2" t="s">
        <v>515</v>
      </c>
      <c r="L2197" s="2" t="s">
        <v>516</v>
      </c>
      <c r="M2197" s="2" t="s">
        <v>304</v>
      </c>
      <c r="N2197" s="2" t="s">
        <v>38</v>
      </c>
      <c r="O2197" s="2" t="s">
        <v>131</v>
      </c>
      <c r="P2197" s="2" t="s">
        <v>10576</v>
      </c>
      <c r="Q2197" s="2" t="s">
        <v>13522</v>
      </c>
      <c r="R2197" s="2" t="s">
        <v>40</v>
      </c>
      <c r="S2197" s="2" t="s">
        <v>13523</v>
      </c>
      <c r="T2197" s="2" t="s">
        <v>6823</v>
      </c>
      <c r="U2197" s="2" t="s">
        <v>13524</v>
      </c>
      <c r="V2197" s="2" t="s">
        <v>13525</v>
      </c>
      <c r="W2197" s="1"/>
      <c r="X2197" s="2" t="s">
        <v>6735</v>
      </c>
      <c r="Y2197" s="2" t="s">
        <v>13477</v>
      </c>
      <c r="AA2197" t="str">
        <f t="shared" si="204"/>
        <v>2025-11</v>
      </c>
      <c r="AB2197" t="str">
        <f t="shared" si="205"/>
        <v/>
      </c>
      <c r="AC2197">
        <f t="shared" si="206"/>
        <v>510133.08</v>
      </c>
      <c r="AD2197">
        <f t="shared" si="207"/>
        <v>40</v>
      </c>
      <c r="AE2197">
        <f t="shared" si="208"/>
        <v>46133.08</v>
      </c>
      <c r="AF2197" t="str">
        <f t="shared" si="209"/>
        <v>Paid</v>
      </c>
    </row>
    <row r="2198" spans="1:32" ht="17.25" thickBot="1" x14ac:dyDescent="0.35">
      <c r="A2198" s="2" t="s">
        <v>13526</v>
      </c>
      <c r="B2198" s="2" t="s">
        <v>27</v>
      </c>
      <c r="C2198" s="2" t="s">
        <v>28</v>
      </c>
      <c r="D2198" s="2" t="s">
        <v>97</v>
      </c>
      <c r="E2198" s="2" t="s">
        <v>12904</v>
      </c>
      <c r="F2198" s="2" t="s">
        <v>8445</v>
      </c>
      <c r="G2198" s="2" t="s">
        <v>32</v>
      </c>
      <c r="H2198" s="1"/>
      <c r="I2198" s="2" t="s">
        <v>33</v>
      </c>
      <c r="J2198" s="2" t="s">
        <v>34</v>
      </c>
      <c r="K2198" s="2" t="s">
        <v>10598</v>
      </c>
      <c r="L2198" s="2" t="s">
        <v>10599</v>
      </c>
      <c r="M2198" s="2" t="s">
        <v>701</v>
      </c>
      <c r="N2198" s="2" t="s">
        <v>38</v>
      </c>
      <c r="O2198" s="2" t="s">
        <v>618</v>
      </c>
      <c r="P2198" s="2" t="s">
        <v>13527</v>
      </c>
      <c r="Q2198" s="2" t="s">
        <v>12524</v>
      </c>
      <c r="R2198" s="2" t="s">
        <v>40</v>
      </c>
      <c r="S2198" s="2" t="s">
        <v>13528</v>
      </c>
      <c r="T2198" s="2" t="s">
        <v>1444</v>
      </c>
      <c r="U2198" s="2" t="s">
        <v>13529</v>
      </c>
      <c r="V2198" s="2" t="s">
        <v>13530</v>
      </c>
      <c r="W2198" s="1"/>
      <c r="X2198" s="2" t="s">
        <v>709</v>
      </c>
      <c r="Y2198" s="2" t="s">
        <v>13477</v>
      </c>
      <c r="AA2198" t="str">
        <f t="shared" si="204"/>
        <v>2025-11</v>
      </c>
      <c r="AB2198" t="str">
        <f t="shared" si="205"/>
        <v/>
      </c>
      <c r="AC2198">
        <f t="shared" si="206"/>
        <v>4677251.04</v>
      </c>
      <c r="AD2198">
        <f t="shared" si="207"/>
        <v>720</v>
      </c>
      <c r="AE2198">
        <f t="shared" si="208"/>
        <v>746051.04</v>
      </c>
      <c r="AF2198" t="str">
        <f t="shared" si="209"/>
        <v>Paid</v>
      </c>
    </row>
    <row r="2199" spans="1:32" ht="17.25" thickBot="1" x14ac:dyDescent="0.35">
      <c r="A2199" s="2" t="s">
        <v>13531</v>
      </c>
      <c r="B2199" s="2" t="s">
        <v>27</v>
      </c>
      <c r="C2199" s="2" t="s">
        <v>28</v>
      </c>
      <c r="D2199" s="2" t="s">
        <v>97</v>
      </c>
      <c r="E2199" s="2" t="s">
        <v>12904</v>
      </c>
      <c r="F2199" s="2" t="s">
        <v>8445</v>
      </c>
      <c r="G2199" s="2" t="s">
        <v>32</v>
      </c>
      <c r="H2199" s="1"/>
      <c r="I2199" s="2" t="s">
        <v>33</v>
      </c>
      <c r="J2199" s="2" t="s">
        <v>34</v>
      </c>
      <c r="K2199" s="2" t="s">
        <v>746</v>
      </c>
      <c r="L2199" s="2" t="s">
        <v>747</v>
      </c>
      <c r="M2199" s="2" t="s">
        <v>701</v>
      </c>
      <c r="N2199" s="2" t="s">
        <v>38</v>
      </c>
      <c r="O2199" s="2" t="s">
        <v>849</v>
      </c>
      <c r="P2199" s="2" t="s">
        <v>4794</v>
      </c>
      <c r="Q2199" s="2" t="s">
        <v>13532</v>
      </c>
      <c r="R2199" s="2" t="s">
        <v>40</v>
      </c>
      <c r="S2199" s="2" t="s">
        <v>13533</v>
      </c>
      <c r="T2199" s="2" t="s">
        <v>716</v>
      </c>
      <c r="U2199" s="2" t="s">
        <v>13534</v>
      </c>
      <c r="V2199" s="2" t="s">
        <v>13535</v>
      </c>
      <c r="W2199" s="1"/>
      <c r="X2199" s="2" t="s">
        <v>709</v>
      </c>
      <c r="Y2199" s="2" t="s">
        <v>13477</v>
      </c>
      <c r="AA2199" t="str">
        <f t="shared" si="204"/>
        <v>2025-11</v>
      </c>
      <c r="AB2199" t="str">
        <f t="shared" si="205"/>
        <v/>
      </c>
      <c r="AC2199">
        <f t="shared" si="206"/>
        <v>1919045.28</v>
      </c>
      <c r="AD2199">
        <f t="shared" si="207"/>
        <v>160</v>
      </c>
      <c r="AE2199">
        <f t="shared" si="208"/>
        <v>306245.28000000003</v>
      </c>
      <c r="AF2199" t="str">
        <f t="shared" si="209"/>
        <v>Paid</v>
      </c>
    </row>
    <row r="2200" spans="1:32" ht="17.25" thickBot="1" x14ac:dyDescent="0.35">
      <c r="A2200" s="2" t="s">
        <v>13536</v>
      </c>
      <c r="B2200" s="2" t="s">
        <v>27</v>
      </c>
      <c r="C2200" s="2" t="s">
        <v>28</v>
      </c>
      <c r="D2200" s="2" t="s">
        <v>97</v>
      </c>
      <c r="E2200" s="2" t="s">
        <v>12904</v>
      </c>
      <c r="F2200" s="2" t="s">
        <v>8445</v>
      </c>
      <c r="G2200" s="2" t="s">
        <v>32</v>
      </c>
      <c r="H2200" s="1"/>
      <c r="I2200" s="2" t="s">
        <v>33</v>
      </c>
      <c r="J2200" s="2" t="s">
        <v>34</v>
      </c>
      <c r="K2200" s="2" t="s">
        <v>754</v>
      </c>
      <c r="L2200" s="2" t="s">
        <v>755</v>
      </c>
      <c r="M2200" s="2" t="s">
        <v>701</v>
      </c>
      <c r="N2200" s="2" t="s">
        <v>38</v>
      </c>
      <c r="O2200" s="2" t="s">
        <v>849</v>
      </c>
      <c r="P2200" s="2" t="s">
        <v>4560</v>
      </c>
      <c r="Q2200" s="2" t="s">
        <v>13537</v>
      </c>
      <c r="R2200" s="2" t="s">
        <v>40</v>
      </c>
      <c r="S2200" s="2" t="s">
        <v>13538</v>
      </c>
      <c r="T2200" s="2" t="s">
        <v>759</v>
      </c>
      <c r="U2200" s="2" t="s">
        <v>13539</v>
      </c>
      <c r="V2200" s="2" t="s">
        <v>13540</v>
      </c>
      <c r="W2200" s="1"/>
      <c r="X2200" s="2" t="s">
        <v>709</v>
      </c>
      <c r="Y2200" s="2" t="s">
        <v>13477</v>
      </c>
      <c r="AA2200" t="str">
        <f t="shared" si="204"/>
        <v>2025-11</v>
      </c>
      <c r="AB2200" t="str">
        <f t="shared" si="205"/>
        <v/>
      </c>
      <c r="AC2200">
        <f t="shared" si="206"/>
        <v>1439846.3999999999</v>
      </c>
      <c r="AD2200">
        <f t="shared" si="207"/>
        <v>160</v>
      </c>
      <c r="AE2200">
        <f t="shared" si="208"/>
        <v>230246.39999999999</v>
      </c>
      <c r="AF2200" t="str">
        <f t="shared" si="209"/>
        <v>Paid</v>
      </c>
    </row>
    <row r="2201" spans="1:32" ht="17.25" thickBot="1" x14ac:dyDescent="0.35">
      <c r="A2201" s="2" t="s">
        <v>13541</v>
      </c>
      <c r="B2201" s="2" t="s">
        <v>27</v>
      </c>
      <c r="C2201" s="2" t="s">
        <v>28</v>
      </c>
      <c r="D2201" s="2" t="s">
        <v>97</v>
      </c>
      <c r="E2201" s="2" t="s">
        <v>12904</v>
      </c>
      <c r="F2201" s="2" t="s">
        <v>8445</v>
      </c>
      <c r="G2201" s="2" t="s">
        <v>32</v>
      </c>
      <c r="H2201" s="1"/>
      <c r="I2201" s="2" t="s">
        <v>33</v>
      </c>
      <c r="J2201" s="2" t="s">
        <v>34</v>
      </c>
      <c r="K2201" s="2" t="s">
        <v>3978</v>
      </c>
      <c r="L2201" s="2" t="s">
        <v>3979</v>
      </c>
      <c r="M2201" s="2" t="s">
        <v>701</v>
      </c>
      <c r="N2201" s="2" t="s">
        <v>38</v>
      </c>
      <c r="O2201" s="2" t="s">
        <v>1158</v>
      </c>
      <c r="P2201" s="2" t="s">
        <v>4560</v>
      </c>
      <c r="Q2201" s="2" t="s">
        <v>13542</v>
      </c>
      <c r="R2201" s="2" t="s">
        <v>40</v>
      </c>
      <c r="S2201" s="2" t="s">
        <v>13543</v>
      </c>
      <c r="T2201" s="2" t="s">
        <v>759</v>
      </c>
      <c r="U2201" s="2" t="s">
        <v>5586</v>
      </c>
      <c r="V2201" s="2" t="s">
        <v>13544</v>
      </c>
      <c r="W2201" s="1"/>
      <c r="X2201" s="2" t="s">
        <v>709</v>
      </c>
      <c r="Y2201" s="2" t="s">
        <v>13477</v>
      </c>
      <c r="AA2201" t="str">
        <f t="shared" si="204"/>
        <v>2025-11</v>
      </c>
      <c r="AB2201" t="str">
        <f t="shared" si="205"/>
        <v/>
      </c>
      <c r="AC2201">
        <f t="shared" si="206"/>
        <v>1619827.2</v>
      </c>
      <c r="AD2201">
        <f t="shared" si="207"/>
        <v>180</v>
      </c>
      <c r="AE2201">
        <f t="shared" si="208"/>
        <v>259027.20000000001</v>
      </c>
      <c r="AF2201" t="str">
        <f t="shared" si="209"/>
        <v>Paid</v>
      </c>
    </row>
    <row r="2202" spans="1:32" ht="27.75" thickBot="1" x14ac:dyDescent="0.35">
      <c r="A2202" s="2" t="s">
        <v>13545</v>
      </c>
      <c r="B2202" s="2" t="s">
        <v>27</v>
      </c>
      <c r="C2202" s="2" t="s">
        <v>28</v>
      </c>
      <c r="D2202" s="2" t="s">
        <v>97</v>
      </c>
      <c r="E2202" s="2" t="s">
        <v>12904</v>
      </c>
      <c r="F2202" s="2" t="s">
        <v>8445</v>
      </c>
      <c r="G2202" s="2" t="s">
        <v>32</v>
      </c>
      <c r="H2202" s="1"/>
      <c r="I2202" s="2" t="s">
        <v>33</v>
      </c>
      <c r="J2202" s="2" t="s">
        <v>34</v>
      </c>
      <c r="K2202" s="2" t="s">
        <v>6170</v>
      </c>
      <c r="L2202" s="2" t="s">
        <v>6171</v>
      </c>
      <c r="M2202" s="2" t="s">
        <v>6146</v>
      </c>
      <c r="N2202" s="2" t="s">
        <v>38</v>
      </c>
      <c r="O2202" s="2" t="s">
        <v>466</v>
      </c>
      <c r="P2202" s="2" t="s">
        <v>4750</v>
      </c>
      <c r="Q2202" s="2" t="s">
        <v>13546</v>
      </c>
      <c r="R2202" s="2" t="s">
        <v>40</v>
      </c>
      <c r="S2202" s="2" t="s">
        <v>13547</v>
      </c>
      <c r="T2202" s="2" t="s">
        <v>3777</v>
      </c>
      <c r="U2202" s="2" t="s">
        <v>13548</v>
      </c>
      <c r="V2202" s="2" t="s">
        <v>13549</v>
      </c>
      <c r="W2202" s="1"/>
      <c r="X2202" s="2" t="s">
        <v>6978</v>
      </c>
      <c r="Y2202" s="2" t="s">
        <v>13550</v>
      </c>
      <c r="AA2202" t="str">
        <f t="shared" si="204"/>
        <v>2025-11</v>
      </c>
      <c r="AB2202" t="str">
        <f t="shared" si="205"/>
        <v/>
      </c>
      <c r="AC2202">
        <f t="shared" si="206"/>
        <v>587818.14</v>
      </c>
      <c r="AD2202">
        <f t="shared" si="207"/>
        <v>70</v>
      </c>
      <c r="AE2202">
        <f t="shared" si="208"/>
        <v>155078.14000000001</v>
      </c>
      <c r="AF2202" t="str">
        <f t="shared" si="209"/>
        <v>Paid</v>
      </c>
    </row>
    <row r="2203" spans="1:32" ht="17.25" thickBot="1" x14ac:dyDescent="0.35">
      <c r="A2203" s="2" t="s">
        <v>13551</v>
      </c>
      <c r="B2203" s="2" t="s">
        <v>27</v>
      </c>
      <c r="C2203" s="2" t="s">
        <v>28</v>
      </c>
      <c r="D2203" s="2" t="s">
        <v>97</v>
      </c>
      <c r="E2203" s="2" t="s">
        <v>12904</v>
      </c>
      <c r="F2203" s="2" t="s">
        <v>8445</v>
      </c>
      <c r="G2203" s="2" t="s">
        <v>32</v>
      </c>
      <c r="H2203" s="1"/>
      <c r="I2203" s="2" t="s">
        <v>33</v>
      </c>
      <c r="J2203" s="2" t="s">
        <v>34</v>
      </c>
      <c r="K2203" s="2" t="s">
        <v>13552</v>
      </c>
      <c r="L2203" s="2" t="s">
        <v>13553</v>
      </c>
      <c r="M2203" s="2" t="s">
        <v>6146</v>
      </c>
      <c r="N2203" s="2" t="s">
        <v>38</v>
      </c>
      <c r="O2203" s="2" t="s">
        <v>121</v>
      </c>
      <c r="P2203" s="2" t="s">
        <v>11312</v>
      </c>
      <c r="Q2203" s="2" t="s">
        <v>13554</v>
      </c>
      <c r="R2203" s="2" t="s">
        <v>40</v>
      </c>
      <c r="S2203" s="2" t="s">
        <v>13555</v>
      </c>
      <c r="T2203" s="2" t="s">
        <v>13556</v>
      </c>
      <c r="U2203" s="2" t="s">
        <v>13557</v>
      </c>
      <c r="V2203" s="2" t="s">
        <v>13558</v>
      </c>
      <c r="W2203" s="1"/>
      <c r="X2203" s="2" t="s">
        <v>965</v>
      </c>
      <c r="Y2203" s="2" t="s">
        <v>13550</v>
      </c>
      <c r="AA2203" t="str">
        <f t="shared" si="204"/>
        <v>2025-11</v>
      </c>
      <c r="AB2203" t="str">
        <f t="shared" si="205"/>
        <v/>
      </c>
      <c r="AC2203">
        <f t="shared" si="206"/>
        <v>108927.1</v>
      </c>
      <c r="AD2203">
        <f t="shared" si="207"/>
        <v>16</v>
      </c>
      <c r="AE2203">
        <f t="shared" si="208"/>
        <v>27903.1</v>
      </c>
      <c r="AF2203" t="str">
        <f t="shared" si="209"/>
        <v>Paid</v>
      </c>
    </row>
    <row r="2204" spans="1:32" ht="17.25" thickBot="1" x14ac:dyDescent="0.35">
      <c r="A2204" s="2" t="s">
        <v>13559</v>
      </c>
      <c r="B2204" s="2" t="s">
        <v>27</v>
      </c>
      <c r="C2204" s="2" t="s">
        <v>28</v>
      </c>
      <c r="D2204" s="2" t="s">
        <v>97</v>
      </c>
      <c r="E2204" s="2" t="s">
        <v>12904</v>
      </c>
      <c r="F2204" s="2" t="s">
        <v>8445</v>
      </c>
      <c r="G2204" s="2" t="s">
        <v>32</v>
      </c>
      <c r="H2204" s="1"/>
      <c r="I2204" s="2" t="s">
        <v>33</v>
      </c>
      <c r="J2204" s="2" t="s">
        <v>34</v>
      </c>
      <c r="K2204" s="2" t="s">
        <v>6203</v>
      </c>
      <c r="L2204" s="2" t="s">
        <v>6204</v>
      </c>
      <c r="M2204" s="2" t="s">
        <v>6146</v>
      </c>
      <c r="N2204" s="2" t="s">
        <v>38</v>
      </c>
      <c r="O2204" s="2" t="s">
        <v>378</v>
      </c>
      <c r="P2204" s="2" t="s">
        <v>12709</v>
      </c>
      <c r="Q2204" s="2" t="s">
        <v>12710</v>
      </c>
      <c r="R2204" s="2" t="s">
        <v>40</v>
      </c>
      <c r="S2204" s="2" t="s">
        <v>13560</v>
      </c>
      <c r="T2204" s="2" t="s">
        <v>6208</v>
      </c>
      <c r="U2204" s="2" t="s">
        <v>12712</v>
      </c>
      <c r="V2204" s="2" t="s">
        <v>13561</v>
      </c>
      <c r="W2204" s="1"/>
      <c r="X2204" s="2" t="s">
        <v>1375</v>
      </c>
      <c r="Y2204" s="2" t="s">
        <v>13550</v>
      </c>
      <c r="AA2204" t="str">
        <f t="shared" si="204"/>
        <v>2025-11</v>
      </c>
      <c r="AB2204" t="str">
        <f t="shared" si="205"/>
        <v/>
      </c>
      <c r="AC2204">
        <f t="shared" si="206"/>
        <v>534859.65</v>
      </c>
      <c r="AD2204">
        <f t="shared" si="207"/>
        <v>45</v>
      </c>
      <c r="AE2204">
        <f t="shared" si="208"/>
        <v>133541.47</v>
      </c>
      <c r="AF2204" t="str">
        <f t="shared" si="209"/>
        <v>Paid</v>
      </c>
    </row>
    <row r="2205" spans="1:32" ht="17.25" thickBot="1" x14ac:dyDescent="0.35">
      <c r="A2205" s="2" t="s">
        <v>13562</v>
      </c>
      <c r="B2205" s="2" t="s">
        <v>27</v>
      </c>
      <c r="C2205" s="2" t="s">
        <v>28</v>
      </c>
      <c r="D2205" s="2" t="s">
        <v>97</v>
      </c>
      <c r="E2205" s="2" t="s">
        <v>12904</v>
      </c>
      <c r="F2205" s="2" t="s">
        <v>8445</v>
      </c>
      <c r="G2205" s="2" t="s">
        <v>32</v>
      </c>
      <c r="H2205" s="1"/>
      <c r="I2205" s="2" t="s">
        <v>33</v>
      </c>
      <c r="J2205" s="2" t="s">
        <v>34</v>
      </c>
      <c r="K2205" s="2" t="s">
        <v>13563</v>
      </c>
      <c r="L2205" s="2" t="s">
        <v>13564</v>
      </c>
      <c r="M2205" s="2" t="s">
        <v>6146</v>
      </c>
      <c r="N2205" s="2" t="s">
        <v>38</v>
      </c>
      <c r="O2205" s="2" t="s">
        <v>1158</v>
      </c>
      <c r="P2205" s="2" t="s">
        <v>12836</v>
      </c>
      <c r="Q2205" s="2" t="s">
        <v>13565</v>
      </c>
      <c r="R2205" s="2" t="s">
        <v>40</v>
      </c>
      <c r="S2205" s="2" t="s">
        <v>13566</v>
      </c>
      <c r="T2205" s="2" t="s">
        <v>13567</v>
      </c>
      <c r="U2205" s="2" t="s">
        <v>13568</v>
      </c>
      <c r="V2205" s="2" t="s">
        <v>13569</v>
      </c>
      <c r="W2205" s="1"/>
      <c r="X2205" s="2" t="s">
        <v>6757</v>
      </c>
      <c r="Y2205" s="2" t="s">
        <v>13550</v>
      </c>
      <c r="AA2205" t="str">
        <f t="shared" si="204"/>
        <v>2025-11</v>
      </c>
      <c r="AB2205" t="str">
        <f t="shared" si="205"/>
        <v/>
      </c>
      <c r="AC2205">
        <f t="shared" si="206"/>
        <v>2225522.52</v>
      </c>
      <c r="AD2205">
        <f t="shared" si="207"/>
        <v>180</v>
      </c>
      <c r="AE2205">
        <f t="shared" si="208"/>
        <v>589142.52</v>
      </c>
      <c r="AF2205" t="str">
        <f t="shared" si="209"/>
        <v>Paid</v>
      </c>
    </row>
    <row r="2206" spans="1:32" ht="17.25" thickBot="1" x14ac:dyDescent="0.35">
      <c r="A2206" s="2" t="s">
        <v>13570</v>
      </c>
      <c r="B2206" s="2" t="s">
        <v>27</v>
      </c>
      <c r="C2206" s="2" t="s">
        <v>28</v>
      </c>
      <c r="D2206" s="2" t="s">
        <v>97</v>
      </c>
      <c r="E2206" s="2" t="s">
        <v>12904</v>
      </c>
      <c r="F2206" s="2" t="s">
        <v>8445</v>
      </c>
      <c r="G2206" s="2" t="s">
        <v>32</v>
      </c>
      <c r="H2206" s="1"/>
      <c r="I2206" s="2" t="s">
        <v>33</v>
      </c>
      <c r="J2206" s="2" t="s">
        <v>34</v>
      </c>
      <c r="K2206" s="2" t="s">
        <v>13571</v>
      </c>
      <c r="L2206" s="2" t="s">
        <v>13572</v>
      </c>
      <c r="M2206" s="2" t="s">
        <v>6146</v>
      </c>
      <c r="N2206" s="2" t="s">
        <v>38</v>
      </c>
      <c r="O2206" s="2" t="s">
        <v>4788</v>
      </c>
      <c r="P2206" s="2" t="s">
        <v>13573</v>
      </c>
      <c r="Q2206" s="2" t="s">
        <v>13574</v>
      </c>
      <c r="R2206" s="2" t="s">
        <v>40</v>
      </c>
      <c r="S2206" s="2" t="s">
        <v>13575</v>
      </c>
      <c r="T2206" s="2" t="s">
        <v>13576</v>
      </c>
      <c r="U2206" s="2" t="s">
        <v>13577</v>
      </c>
      <c r="V2206" s="2" t="s">
        <v>13578</v>
      </c>
      <c r="W2206" s="1"/>
      <c r="X2206" s="2" t="s">
        <v>1375</v>
      </c>
      <c r="Y2206" s="2" t="s">
        <v>13550</v>
      </c>
      <c r="AA2206" t="str">
        <f t="shared" si="204"/>
        <v>2025-11</v>
      </c>
      <c r="AB2206" t="str">
        <f t="shared" si="205"/>
        <v/>
      </c>
      <c r="AC2206">
        <f t="shared" si="206"/>
        <v>11522867.199999999</v>
      </c>
      <c r="AD2206">
        <f t="shared" si="207"/>
        <v>640</v>
      </c>
      <c r="AE2206">
        <f t="shared" si="208"/>
        <v>2882867.2000000002</v>
      </c>
      <c r="AF2206" t="str">
        <f t="shared" si="209"/>
        <v>Paid</v>
      </c>
    </row>
    <row r="2207" spans="1:32" ht="17.25" thickBot="1" x14ac:dyDescent="0.35">
      <c r="A2207" s="2" t="s">
        <v>13579</v>
      </c>
      <c r="B2207" s="2" t="s">
        <v>27</v>
      </c>
      <c r="C2207" s="2" t="s">
        <v>28</v>
      </c>
      <c r="D2207" s="2" t="s">
        <v>97</v>
      </c>
      <c r="E2207" s="2" t="s">
        <v>12904</v>
      </c>
      <c r="F2207" s="2" t="s">
        <v>8445</v>
      </c>
      <c r="G2207" s="2" t="s">
        <v>32</v>
      </c>
      <c r="H2207" s="1"/>
      <c r="I2207" s="2" t="s">
        <v>33</v>
      </c>
      <c r="J2207" s="2" t="s">
        <v>34</v>
      </c>
      <c r="K2207" s="2" t="s">
        <v>13571</v>
      </c>
      <c r="L2207" s="2" t="s">
        <v>13572</v>
      </c>
      <c r="M2207" s="2" t="s">
        <v>6146</v>
      </c>
      <c r="N2207" s="2" t="s">
        <v>38</v>
      </c>
      <c r="O2207" s="2" t="s">
        <v>1519</v>
      </c>
      <c r="P2207" s="2" t="s">
        <v>13573</v>
      </c>
      <c r="Q2207" s="2" t="s">
        <v>13580</v>
      </c>
      <c r="R2207" s="2" t="s">
        <v>40</v>
      </c>
      <c r="S2207" s="2" t="s">
        <v>13581</v>
      </c>
      <c r="T2207" s="2" t="s">
        <v>13576</v>
      </c>
      <c r="U2207" s="2" t="s">
        <v>13582</v>
      </c>
      <c r="V2207" s="2" t="s">
        <v>13583</v>
      </c>
      <c r="W2207" s="1"/>
      <c r="X2207" s="2" t="s">
        <v>1375</v>
      </c>
      <c r="Y2207" s="2" t="s">
        <v>13550</v>
      </c>
      <c r="AA2207" t="str">
        <f t="shared" si="204"/>
        <v>2025-11</v>
      </c>
      <c r="AB2207" t="str">
        <f t="shared" si="205"/>
        <v/>
      </c>
      <c r="AC2207">
        <f t="shared" si="206"/>
        <v>6481612.7999999998</v>
      </c>
      <c r="AD2207">
        <f t="shared" si="207"/>
        <v>360</v>
      </c>
      <c r="AE2207">
        <f t="shared" si="208"/>
        <v>1621612.8</v>
      </c>
      <c r="AF2207" t="str">
        <f t="shared" si="209"/>
        <v>Paid</v>
      </c>
    </row>
    <row r="2208" spans="1:32" ht="17.25" thickBot="1" x14ac:dyDescent="0.35">
      <c r="A2208" s="2" t="s">
        <v>13584</v>
      </c>
      <c r="B2208" s="2" t="s">
        <v>27</v>
      </c>
      <c r="C2208" s="2" t="s">
        <v>28</v>
      </c>
      <c r="D2208" s="2" t="s">
        <v>97</v>
      </c>
      <c r="E2208" s="2" t="s">
        <v>12904</v>
      </c>
      <c r="F2208" s="2" t="s">
        <v>8445</v>
      </c>
      <c r="G2208" s="2" t="s">
        <v>32</v>
      </c>
      <c r="H2208" s="1"/>
      <c r="I2208" s="2" t="s">
        <v>33</v>
      </c>
      <c r="J2208" s="2" t="s">
        <v>34</v>
      </c>
      <c r="K2208" s="2" t="s">
        <v>4177</v>
      </c>
      <c r="L2208" s="2" t="s">
        <v>4178</v>
      </c>
      <c r="M2208" s="2" t="s">
        <v>4179</v>
      </c>
      <c r="N2208" s="2" t="s">
        <v>38</v>
      </c>
      <c r="O2208" s="2" t="s">
        <v>214</v>
      </c>
      <c r="P2208" s="2" t="s">
        <v>13585</v>
      </c>
      <c r="Q2208" s="2" t="s">
        <v>13586</v>
      </c>
      <c r="R2208" s="2" t="s">
        <v>40</v>
      </c>
      <c r="S2208" s="2" t="s">
        <v>13587</v>
      </c>
      <c r="T2208" s="2" t="s">
        <v>1178</v>
      </c>
      <c r="U2208" s="2" t="s">
        <v>1719</v>
      </c>
      <c r="V2208" s="2" t="s">
        <v>13588</v>
      </c>
      <c r="W2208" s="1"/>
      <c r="X2208" s="2" t="s">
        <v>13589</v>
      </c>
      <c r="Y2208" s="2" t="s">
        <v>13590</v>
      </c>
      <c r="AA2208" t="str">
        <f t="shared" si="204"/>
        <v>2025-11</v>
      </c>
      <c r="AB2208" t="str">
        <f t="shared" si="205"/>
        <v/>
      </c>
      <c r="AC2208">
        <f t="shared" si="206"/>
        <v>748030.35</v>
      </c>
      <c r="AD2208">
        <f t="shared" si="207"/>
        <v>50</v>
      </c>
      <c r="AE2208">
        <f t="shared" si="208"/>
        <v>363030.35</v>
      </c>
      <c r="AF2208" t="str">
        <f t="shared" si="209"/>
        <v>Paid</v>
      </c>
    </row>
    <row r="2209" spans="1:32" ht="27.75" thickBot="1" x14ac:dyDescent="0.35">
      <c r="A2209" s="2" t="s">
        <v>13591</v>
      </c>
      <c r="B2209" s="2" t="s">
        <v>27</v>
      </c>
      <c r="C2209" s="2" t="s">
        <v>28</v>
      </c>
      <c r="D2209" s="2" t="s">
        <v>97</v>
      </c>
      <c r="E2209" s="2" t="s">
        <v>12904</v>
      </c>
      <c r="F2209" s="2" t="s">
        <v>8445</v>
      </c>
      <c r="G2209" s="2" t="s">
        <v>32</v>
      </c>
      <c r="H2209" s="1"/>
      <c r="I2209" s="2" t="s">
        <v>33</v>
      </c>
      <c r="J2209" s="2" t="s">
        <v>34</v>
      </c>
      <c r="K2209" s="2" t="s">
        <v>13592</v>
      </c>
      <c r="L2209" s="2" t="s">
        <v>13593</v>
      </c>
      <c r="M2209" s="2" t="s">
        <v>9775</v>
      </c>
      <c r="N2209" s="2" t="s">
        <v>38</v>
      </c>
      <c r="O2209" s="2" t="s">
        <v>141</v>
      </c>
      <c r="P2209" s="2" t="s">
        <v>5398</v>
      </c>
      <c r="Q2209" s="2" t="s">
        <v>5399</v>
      </c>
      <c r="R2209" s="2" t="s">
        <v>40</v>
      </c>
      <c r="S2209" s="2" t="s">
        <v>13594</v>
      </c>
      <c r="T2209" s="2" t="s">
        <v>9778</v>
      </c>
      <c r="U2209" s="2" t="s">
        <v>9786</v>
      </c>
      <c r="V2209" s="2" t="s">
        <v>13595</v>
      </c>
      <c r="W2209" s="1"/>
      <c r="X2209" s="2" t="s">
        <v>4450</v>
      </c>
      <c r="Y2209" s="2" t="s">
        <v>13590</v>
      </c>
      <c r="AA2209" t="str">
        <f t="shared" si="204"/>
        <v>2025-11</v>
      </c>
      <c r="AB2209" t="str">
        <f t="shared" si="205"/>
        <v/>
      </c>
      <c r="AC2209">
        <f t="shared" si="206"/>
        <v>165025.07999999999</v>
      </c>
      <c r="AD2209">
        <f t="shared" si="207"/>
        <v>30</v>
      </c>
      <c r="AE2209">
        <f t="shared" si="208"/>
        <v>36843.26</v>
      </c>
      <c r="AF2209" t="str">
        <f t="shared" si="209"/>
        <v>Paid</v>
      </c>
    </row>
    <row r="2210" spans="1:32" ht="17.25" thickBot="1" x14ac:dyDescent="0.35">
      <c r="A2210" s="2" t="s">
        <v>13596</v>
      </c>
      <c r="B2210" s="2" t="s">
        <v>27</v>
      </c>
      <c r="C2210" s="2" t="s">
        <v>28</v>
      </c>
      <c r="D2210" s="2" t="s">
        <v>97</v>
      </c>
      <c r="E2210" s="2" t="s">
        <v>13597</v>
      </c>
      <c r="F2210" s="2" t="s">
        <v>8445</v>
      </c>
      <c r="G2210" s="2" t="s">
        <v>32</v>
      </c>
      <c r="H2210" s="1"/>
      <c r="I2210" s="2" t="s">
        <v>33</v>
      </c>
      <c r="J2210" s="2" t="s">
        <v>34</v>
      </c>
      <c r="K2210" s="2" t="s">
        <v>13598</v>
      </c>
      <c r="L2210" s="2" t="s">
        <v>13599</v>
      </c>
      <c r="M2210" s="2" t="s">
        <v>1887</v>
      </c>
      <c r="N2210" s="2" t="s">
        <v>38</v>
      </c>
      <c r="O2210" s="2" t="s">
        <v>79</v>
      </c>
      <c r="P2210" s="2" t="s">
        <v>2546</v>
      </c>
      <c r="Q2210" s="2" t="s">
        <v>7526</v>
      </c>
      <c r="R2210" s="2" t="s">
        <v>40</v>
      </c>
      <c r="S2210" s="2" t="s">
        <v>13600</v>
      </c>
      <c r="T2210" s="2" t="s">
        <v>13601</v>
      </c>
      <c r="U2210" s="2" t="s">
        <v>13602</v>
      </c>
      <c r="V2210" s="2" t="s">
        <v>13603</v>
      </c>
      <c r="W2210" s="1"/>
      <c r="X2210" s="2" t="s">
        <v>6735</v>
      </c>
      <c r="Y2210" s="2" t="s">
        <v>13604</v>
      </c>
      <c r="AA2210" t="str">
        <f t="shared" si="204"/>
        <v>2025-10</v>
      </c>
      <c r="AB2210" t="str">
        <f t="shared" si="205"/>
        <v/>
      </c>
      <c r="AC2210">
        <f t="shared" si="206"/>
        <v>94956.24</v>
      </c>
      <c r="AD2210">
        <f t="shared" si="207"/>
        <v>10</v>
      </c>
      <c r="AE2210">
        <f t="shared" si="208"/>
        <v>8586.24</v>
      </c>
      <c r="AF2210" t="str">
        <f t="shared" si="209"/>
        <v>Paid</v>
      </c>
    </row>
    <row r="2211" spans="1:32" ht="17.25" thickBot="1" x14ac:dyDescent="0.35">
      <c r="A2211" s="2" t="s">
        <v>13605</v>
      </c>
      <c r="B2211" s="2" t="s">
        <v>27</v>
      </c>
      <c r="C2211" s="2" t="s">
        <v>28</v>
      </c>
      <c r="D2211" s="2" t="s">
        <v>97</v>
      </c>
      <c r="E2211" s="2" t="s">
        <v>13597</v>
      </c>
      <c r="F2211" s="2" t="s">
        <v>8445</v>
      </c>
      <c r="G2211" s="2" t="s">
        <v>32</v>
      </c>
      <c r="H2211" s="1"/>
      <c r="I2211" s="2" t="s">
        <v>33</v>
      </c>
      <c r="J2211" s="2" t="s">
        <v>34</v>
      </c>
      <c r="K2211" s="2" t="s">
        <v>13606</v>
      </c>
      <c r="L2211" s="2" t="s">
        <v>13607</v>
      </c>
      <c r="M2211" s="2" t="s">
        <v>1887</v>
      </c>
      <c r="N2211" s="2" t="s">
        <v>38</v>
      </c>
      <c r="O2211" s="2" t="s">
        <v>156</v>
      </c>
      <c r="P2211" s="2" t="s">
        <v>6078</v>
      </c>
      <c r="Q2211" s="2" t="s">
        <v>13608</v>
      </c>
      <c r="R2211" s="2" t="s">
        <v>40</v>
      </c>
      <c r="S2211" s="2" t="s">
        <v>13609</v>
      </c>
      <c r="T2211" s="2" t="s">
        <v>13610</v>
      </c>
      <c r="U2211" s="2" t="s">
        <v>13611</v>
      </c>
      <c r="V2211" s="2" t="s">
        <v>13612</v>
      </c>
      <c r="W2211" s="1"/>
      <c r="X2211" s="2" t="s">
        <v>8970</v>
      </c>
      <c r="Y2211" s="2" t="s">
        <v>13604</v>
      </c>
      <c r="AA2211" t="str">
        <f t="shared" si="204"/>
        <v>2025-10</v>
      </c>
      <c r="AB2211" t="str">
        <f t="shared" si="205"/>
        <v/>
      </c>
      <c r="AC2211">
        <f t="shared" si="206"/>
        <v>250014.84</v>
      </c>
      <c r="AD2211">
        <f t="shared" si="207"/>
        <v>20</v>
      </c>
      <c r="AE2211">
        <f t="shared" si="208"/>
        <v>22734.84</v>
      </c>
      <c r="AF2211" t="str">
        <f t="shared" si="209"/>
        <v>Paid</v>
      </c>
    </row>
    <row r="2212" spans="1:32" ht="17.25" thickBot="1" x14ac:dyDescent="0.35">
      <c r="A2212" s="2" t="s">
        <v>13613</v>
      </c>
      <c r="B2212" s="2" t="s">
        <v>27</v>
      </c>
      <c r="C2212" s="2" t="s">
        <v>28</v>
      </c>
      <c r="D2212" s="2" t="s">
        <v>97</v>
      </c>
      <c r="E2212" s="2" t="s">
        <v>13597</v>
      </c>
      <c r="F2212" s="2" t="s">
        <v>8445</v>
      </c>
      <c r="G2212" s="2" t="s">
        <v>32</v>
      </c>
      <c r="H2212" s="1"/>
      <c r="I2212" s="2" t="s">
        <v>33</v>
      </c>
      <c r="J2212" s="2" t="s">
        <v>34</v>
      </c>
      <c r="K2212" s="2" t="s">
        <v>11440</v>
      </c>
      <c r="L2212" s="2" t="s">
        <v>11441</v>
      </c>
      <c r="M2212" s="2" t="s">
        <v>634</v>
      </c>
      <c r="N2212" s="2" t="s">
        <v>38</v>
      </c>
      <c r="O2212" s="2" t="s">
        <v>13614</v>
      </c>
      <c r="P2212" s="2" t="s">
        <v>850</v>
      </c>
      <c r="Q2212" s="2" t="s">
        <v>13615</v>
      </c>
      <c r="R2212" s="2" t="s">
        <v>40</v>
      </c>
      <c r="S2212" s="2" t="s">
        <v>13616</v>
      </c>
      <c r="T2212" s="2" t="s">
        <v>669</v>
      </c>
      <c r="U2212" s="2" t="s">
        <v>13617</v>
      </c>
      <c r="V2212" s="2" t="s">
        <v>13618</v>
      </c>
      <c r="W2212" s="1"/>
      <c r="X2212" s="2" t="s">
        <v>10102</v>
      </c>
      <c r="Y2212" s="2" t="s">
        <v>13619</v>
      </c>
      <c r="AA2212" t="str">
        <f t="shared" si="204"/>
        <v>2025-10</v>
      </c>
      <c r="AB2212" t="str">
        <f t="shared" si="205"/>
        <v/>
      </c>
      <c r="AC2212">
        <f t="shared" si="206"/>
        <v>83464065</v>
      </c>
      <c r="AD2212">
        <f t="shared" si="207"/>
        <v>7500</v>
      </c>
      <c r="AE2212">
        <f t="shared" si="208"/>
        <v>38464065</v>
      </c>
      <c r="AF2212" t="str">
        <f t="shared" si="209"/>
        <v>Paid</v>
      </c>
    </row>
    <row r="2213" spans="1:32" ht="27.75" thickBot="1" x14ac:dyDescent="0.35">
      <c r="A2213" s="2" t="s">
        <v>13620</v>
      </c>
      <c r="B2213" s="2" t="s">
        <v>27</v>
      </c>
      <c r="C2213" s="2" t="s">
        <v>28</v>
      </c>
      <c r="D2213" s="2" t="s">
        <v>97</v>
      </c>
      <c r="E2213" s="2" t="s">
        <v>13597</v>
      </c>
      <c r="F2213" s="2" t="s">
        <v>8445</v>
      </c>
      <c r="G2213" s="2" t="s">
        <v>32</v>
      </c>
      <c r="H2213" s="1"/>
      <c r="I2213" s="2" t="s">
        <v>33</v>
      </c>
      <c r="J2213" s="2" t="s">
        <v>34</v>
      </c>
      <c r="K2213" s="2" t="s">
        <v>2751</v>
      </c>
      <c r="L2213" s="2" t="s">
        <v>2752</v>
      </c>
      <c r="M2213" s="2" t="s">
        <v>70</v>
      </c>
      <c r="N2213" s="2" t="s">
        <v>38</v>
      </c>
      <c r="O2213" s="2" t="s">
        <v>1333</v>
      </c>
      <c r="P2213" s="2" t="s">
        <v>5351</v>
      </c>
      <c r="Q2213" s="2" t="s">
        <v>13621</v>
      </c>
      <c r="R2213" s="2" t="s">
        <v>40</v>
      </c>
      <c r="S2213" s="2" t="s">
        <v>13622</v>
      </c>
      <c r="T2213" s="2" t="s">
        <v>2755</v>
      </c>
      <c r="U2213" s="2" t="s">
        <v>13623</v>
      </c>
      <c r="V2213" s="2" t="s">
        <v>13624</v>
      </c>
      <c r="W2213" s="1"/>
      <c r="X2213" s="2" t="s">
        <v>2226</v>
      </c>
      <c r="Y2213" s="2" t="s">
        <v>13619</v>
      </c>
      <c r="AA2213" t="str">
        <f t="shared" si="204"/>
        <v>2025-10</v>
      </c>
      <c r="AB2213" t="str">
        <f t="shared" si="205"/>
        <v/>
      </c>
      <c r="AC2213">
        <f t="shared" si="206"/>
        <v>1049733</v>
      </c>
      <c r="AD2213">
        <f t="shared" si="207"/>
        <v>150</v>
      </c>
      <c r="AE2213">
        <f t="shared" si="208"/>
        <v>194733</v>
      </c>
      <c r="AF2213" t="str">
        <f t="shared" si="209"/>
        <v>Paid</v>
      </c>
    </row>
    <row r="2214" spans="1:32" ht="27.75" thickBot="1" x14ac:dyDescent="0.35">
      <c r="A2214" s="2" t="s">
        <v>13625</v>
      </c>
      <c r="B2214" s="2" t="s">
        <v>27</v>
      </c>
      <c r="C2214" s="2" t="s">
        <v>28</v>
      </c>
      <c r="D2214" s="2" t="s">
        <v>97</v>
      </c>
      <c r="E2214" s="2" t="s">
        <v>13597</v>
      </c>
      <c r="F2214" s="2" t="s">
        <v>8445</v>
      </c>
      <c r="G2214" s="2" t="s">
        <v>32</v>
      </c>
      <c r="H2214" s="1"/>
      <c r="I2214" s="2" t="s">
        <v>33</v>
      </c>
      <c r="J2214" s="2" t="s">
        <v>34</v>
      </c>
      <c r="K2214" s="2" t="s">
        <v>2766</v>
      </c>
      <c r="L2214" s="2" t="s">
        <v>2767</v>
      </c>
      <c r="M2214" s="2" t="s">
        <v>70</v>
      </c>
      <c r="N2214" s="2" t="s">
        <v>38</v>
      </c>
      <c r="O2214" s="2" t="s">
        <v>877</v>
      </c>
      <c r="P2214" s="2" t="s">
        <v>5351</v>
      </c>
      <c r="Q2214" s="2" t="s">
        <v>13626</v>
      </c>
      <c r="R2214" s="2" t="s">
        <v>40</v>
      </c>
      <c r="S2214" s="2" t="s">
        <v>13627</v>
      </c>
      <c r="T2214" s="2" t="s">
        <v>2755</v>
      </c>
      <c r="U2214" s="2" t="s">
        <v>13628</v>
      </c>
      <c r="V2214" s="2" t="s">
        <v>13629</v>
      </c>
      <c r="W2214" s="1"/>
      <c r="X2214" s="2" t="s">
        <v>2226</v>
      </c>
      <c r="Y2214" s="2" t="s">
        <v>13619</v>
      </c>
      <c r="AA2214" t="str">
        <f t="shared" si="204"/>
        <v>2025-10</v>
      </c>
      <c r="AB2214" t="str">
        <f t="shared" si="205"/>
        <v/>
      </c>
      <c r="AC2214">
        <f t="shared" si="206"/>
        <v>699822</v>
      </c>
      <c r="AD2214">
        <f t="shared" si="207"/>
        <v>100</v>
      </c>
      <c r="AE2214">
        <f t="shared" si="208"/>
        <v>129822</v>
      </c>
      <c r="AF2214" t="str">
        <f t="shared" si="209"/>
        <v>Paid</v>
      </c>
    </row>
    <row r="2215" spans="1:32" ht="27.75" thickBot="1" x14ac:dyDescent="0.35">
      <c r="A2215" s="2" t="s">
        <v>13630</v>
      </c>
      <c r="B2215" s="2" t="s">
        <v>27</v>
      </c>
      <c r="C2215" s="2" t="s">
        <v>28</v>
      </c>
      <c r="D2215" s="2" t="s">
        <v>97</v>
      </c>
      <c r="E2215" s="2" t="s">
        <v>13597</v>
      </c>
      <c r="F2215" s="2" t="s">
        <v>8445</v>
      </c>
      <c r="G2215" s="2" t="s">
        <v>32</v>
      </c>
      <c r="H2215" s="1"/>
      <c r="I2215" s="2" t="s">
        <v>33</v>
      </c>
      <c r="J2215" s="2" t="s">
        <v>34</v>
      </c>
      <c r="K2215" s="2" t="s">
        <v>11525</v>
      </c>
      <c r="L2215" s="2" t="s">
        <v>11526</v>
      </c>
      <c r="M2215" s="2" t="s">
        <v>70</v>
      </c>
      <c r="N2215" s="2" t="s">
        <v>38</v>
      </c>
      <c r="O2215" s="2" t="s">
        <v>466</v>
      </c>
      <c r="P2215" s="2" t="s">
        <v>5351</v>
      </c>
      <c r="Q2215" s="2" t="s">
        <v>9874</v>
      </c>
      <c r="R2215" s="2" t="s">
        <v>40</v>
      </c>
      <c r="S2215" s="2" t="s">
        <v>13631</v>
      </c>
      <c r="T2215" s="2" t="s">
        <v>2755</v>
      </c>
      <c r="U2215" s="2" t="s">
        <v>3016</v>
      </c>
      <c r="V2215" s="2" t="s">
        <v>13632</v>
      </c>
      <c r="W2215" s="1"/>
      <c r="X2215" s="2" t="s">
        <v>2226</v>
      </c>
      <c r="Y2215" s="2" t="s">
        <v>13619</v>
      </c>
      <c r="AA2215" t="str">
        <f t="shared" si="204"/>
        <v>2025-10</v>
      </c>
      <c r="AB2215" t="str">
        <f t="shared" si="205"/>
        <v/>
      </c>
      <c r="AC2215">
        <f t="shared" si="206"/>
        <v>489875.4</v>
      </c>
      <c r="AD2215">
        <f t="shared" si="207"/>
        <v>70</v>
      </c>
      <c r="AE2215">
        <f t="shared" si="208"/>
        <v>90875.4</v>
      </c>
      <c r="AF2215" t="str">
        <f t="shared" si="209"/>
        <v>Paid</v>
      </c>
    </row>
    <row r="2216" spans="1:32" ht="17.25" thickBot="1" x14ac:dyDescent="0.35">
      <c r="A2216" s="2" t="s">
        <v>13633</v>
      </c>
      <c r="B2216" s="2" t="s">
        <v>27</v>
      </c>
      <c r="C2216" s="2" t="s">
        <v>28</v>
      </c>
      <c r="D2216" s="2" t="s">
        <v>97</v>
      </c>
      <c r="E2216" s="2" t="s">
        <v>13597</v>
      </c>
      <c r="F2216" s="2" t="s">
        <v>8445</v>
      </c>
      <c r="G2216" s="2" t="s">
        <v>32</v>
      </c>
      <c r="H2216" s="1"/>
      <c r="I2216" s="2" t="s">
        <v>33</v>
      </c>
      <c r="J2216" s="2" t="s">
        <v>34</v>
      </c>
      <c r="K2216" s="2" t="s">
        <v>2773</v>
      </c>
      <c r="L2216" s="2" t="s">
        <v>2774</v>
      </c>
      <c r="M2216" s="2" t="s">
        <v>70</v>
      </c>
      <c r="N2216" s="2" t="s">
        <v>38</v>
      </c>
      <c r="O2216" s="2" t="s">
        <v>141</v>
      </c>
      <c r="P2216" s="2" t="s">
        <v>1697</v>
      </c>
      <c r="Q2216" s="2" t="s">
        <v>13634</v>
      </c>
      <c r="R2216" s="2" t="s">
        <v>40</v>
      </c>
      <c r="S2216" s="2" t="s">
        <v>13635</v>
      </c>
      <c r="T2216" s="2" t="s">
        <v>13636</v>
      </c>
      <c r="U2216" s="2" t="s">
        <v>13637</v>
      </c>
      <c r="V2216" s="2" t="s">
        <v>13638</v>
      </c>
      <c r="W2216" s="1"/>
      <c r="X2216" s="2" t="s">
        <v>976</v>
      </c>
      <c r="Y2216" s="2" t="s">
        <v>13619</v>
      </c>
      <c r="AA2216" t="str">
        <f t="shared" si="204"/>
        <v>2025-10</v>
      </c>
      <c r="AB2216" t="str">
        <f t="shared" si="205"/>
        <v/>
      </c>
      <c r="AC2216">
        <f t="shared" si="206"/>
        <v>139552.74</v>
      </c>
      <c r="AD2216">
        <f t="shared" si="207"/>
        <v>30</v>
      </c>
      <c r="AE2216">
        <f t="shared" si="208"/>
        <v>28252.74</v>
      </c>
      <c r="AF2216" t="str">
        <f t="shared" si="209"/>
        <v>Paid</v>
      </c>
    </row>
    <row r="2217" spans="1:32" ht="17.25" thickBot="1" x14ac:dyDescent="0.35">
      <c r="A2217" s="2" t="s">
        <v>13639</v>
      </c>
      <c r="B2217" s="2" t="s">
        <v>27</v>
      </c>
      <c r="C2217" s="2" t="s">
        <v>28</v>
      </c>
      <c r="D2217" s="2" t="s">
        <v>97</v>
      </c>
      <c r="E2217" s="2" t="s">
        <v>13597</v>
      </c>
      <c r="F2217" s="2" t="s">
        <v>8445</v>
      </c>
      <c r="G2217" s="2" t="s">
        <v>32</v>
      </c>
      <c r="H2217" s="1"/>
      <c r="I2217" s="2" t="s">
        <v>33</v>
      </c>
      <c r="J2217" s="2" t="s">
        <v>34</v>
      </c>
      <c r="K2217" s="2" t="s">
        <v>2782</v>
      </c>
      <c r="L2217" s="2" t="s">
        <v>2783</v>
      </c>
      <c r="M2217" s="2" t="s">
        <v>70</v>
      </c>
      <c r="N2217" s="2" t="s">
        <v>38</v>
      </c>
      <c r="O2217" s="2" t="s">
        <v>149</v>
      </c>
      <c r="P2217" s="2" t="s">
        <v>1697</v>
      </c>
      <c r="Q2217" s="2" t="s">
        <v>3851</v>
      </c>
      <c r="R2217" s="2" t="s">
        <v>40</v>
      </c>
      <c r="S2217" s="2" t="s">
        <v>13640</v>
      </c>
      <c r="T2217" s="2" t="s">
        <v>13636</v>
      </c>
      <c r="U2217" s="2" t="s">
        <v>13641</v>
      </c>
      <c r="V2217" s="2" t="s">
        <v>13642</v>
      </c>
      <c r="W2217" s="1"/>
      <c r="X2217" s="2" t="s">
        <v>976</v>
      </c>
      <c r="Y2217" s="2" t="s">
        <v>13619</v>
      </c>
      <c r="AA2217" t="str">
        <f t="shared" si="204"/>
        <v>2025-10</v>
      </c>
      <c r="AB2217" t="str">
        <f t="shared" si="205"/>
        <v/>
      </c>
      <c r="AC2217">
        <f t="shared" si="206"/>
        <v>1395527.4</v>
      </c>
      <c r="AD2217">
        <f t="shared" si="207"/>
        <v>300</v>
      </c>
      <c r="AE2217">
        <f t="shared" si="208"/>
        <v>282527.40000000002</v>
      </c>
      <c r="AF2217" t="str">
        <f t="shared" si="209"/>
        <v>Paid</v>
      </c>
    </row>
    <row r="2218" spans="1:32" ht="17.25" thickBot="1" x14ac:dyDescent="0.35">
      <c r="A2218" s="2" t="s">
        <v>13643</v>
      </c>
      <c r="B2218" s="2" t="s">
        <v>27</v>
      </c>
      <c r="C2218" s="2" t="s">
        <v>28</v>
      </c>
      <c r="D2218" s="2" t="s">
        <v>97</v>
      </c>
      <c r="E2218" s="2" t="s">
        <v>13597</v>
      </c>
      <c r="F2218" s="2" t="s">
        <v>8445</v>
      </c>
      <c r="G2218" s="2" t="s">
        <v>32</v>
      </c>
      <c r="H2218" s="1"/>
      <c r="I2218" s="2" t="s">
        <v>33</v>
      </c>
      <c r="J2218" s="2" t="s">
        <v>34</v>
      </c>
      <c r="K2218" s="2" t="s">
        <v>13644</v>
      </c>
      <c r="L2218" s="2" t="s">
        <v>13645</v>
      </c>
      <c r="M2218" s="2" t="s">
        <v>70</v>
      </c>
      <c r="N2218" s="2" t="s">
        <v>38</v>
      </c>
      <c r="O2218" s="2" t="s">
        <v>177</v>
      </c>
      <c r="P2218" s="2" t="s">
        <v>8857</v>
      </c>
      <c r="Q2218" s="2" t="s">
        <v>13646</v>
      </c>
      <c r="R2218" s="2" t="s">
        <v>40</v>
      </c>
      <c r="S2218" s="2" t="s">
        <v>13647</v>
      </c>
      <c r="T2218" s="2" t="s">
        <v>13648</v>
      </c>
      <c r="U2218" s="2" t="s">
        <v>13649</v>
      </c>
      <c r="V2218" s="2" t="s">
        <v>13650</v>
      </c>
      <c r="W2218" s="1"/>
      <c r="X2218" s="2" t="s">
        <v>661</v>
      </c>
      <c r="Y2218" s="2" t="s">
        <v>13619</v>
      </c>
      <c r="AA2218" t="str">
        <f t="shared" si="204"/>
        <v>2025-10</v>
      </c>
      <c r="AB2218" t="str">
        <f t="shared" si="205"/>
        <v/>
      </c>
      <c r="AC2218">
        <f t="shared" si="206"/>
        <v>1986945.6</v>
      </c>
      <c r="AD2218">
        <f t="shared" si="207"/>
        <v>400</v>
      </c>
      <c r="AE2218">
        <f t="shared" si="208"/>
        <v>314145.59999999998</v>
      </c>
      <c r="AF2218" t="str">
        <f t="shared" si="209"/>
        <v>Paid</v>
      </c>
    </row>
    <row r="2219" spans="1:32" ht="17.25" thickBot="1" x14ac:dyDescent="0.35">
      <c r="A2219" s="2" t="s">
        <v>13651</v>
      </c>
      <c r="B2219" s="2" t="s">
        <v>27</v>
      </c>
      <c r="C2219" s="2" t="s">
        <v>28</v>
      </c>
      <c r="D2219" s="2" t="s">
        <v>97</v>
      </c>
      <c r="E2219" s="2" t="s">
        <v>13597</v>
      </c>
      <c r="F2219" s="2" t="s">
        <v>8445</v>
      </c>
      <c r="G2219" s="2" t="s">
        <v>32</v>
      </c>
      <c r="H2219" s="1"/>
      <c r="I2219" s="2" t="s">
        <v>33</v>
      </c>
      <c r="J2219" s="2" t="s">
        <v>34</v>
      </c>
      <c r="K2219" s="2" t="s">
        <v>13652</v>
      </c>
      <c r="L2219" s="2" t="s">
        <v>13653</v>
      </c>
      <c r="M2219" s="2" t="s">
        <v>70</v>
      </c>
      <c r="N2219" s="2" t="s">
        <v>38</v>
      </c>
      <c r="O2219" s="2" t="s">
        <v>466</v>
      </c>
      <c r="P2219" s="2" t="s">
        <v>7895</v>
      </c>
      <c r="Q2219" s="2" t="s">
        <v>13654</v>
      </c>
      <c r="R2219" s="2" t="s">
        <v>40</v>
      </c>
      <c r="S2219" s="2" t="s">
        <v>13655</v>
      </c>
      <c r="T2219" s="2" t="s">
        <v>13648</v>
      </c>
      <c r="U2219" s="2" t="s">
        <v>13656</v>
      </c>
      <c r="V2219" s="2" t="s">
        <v>13657</v>
      </c>
      <c r="W2219" s="1"/>
      <c r="X2219" s="2" t="s">
        <v>5228</v>
      </c>
      <c r="Y2219" s="2" t="s">
        <v>13619</v>
      </c>
      <c r="AA2219" t="str">
        <f t="shared" si="204"/>
        <v>2025-10</v>
      </c>
      <c r="AB2219" t="str">
        <f t="shared" si="205"/>
        <v/>
      </c>
      <c r="AC2219">
        <f t="shared" si="206"/>
        <v>361163.04</v>
      </c>
      <c r="AD2219">
        <f t="shared" si="207"/>
        <v>70</v>
      </c>
      <c r="AE2219">
        <f t="shared" si="208"/>
        <v>68423.039999999994</v>
      </c>
      <c r="AF2219" t="str">
        <f t="shared" si="209"/>
        <v>Paid</v>
      </c>
    </row>
    <row r="2220" spans="1:32" ht="17.25" thickBot="1" x14ac:dyDescent="0.35">
      <c r="A2220" s="2" t="s">
        <v>13658</v>
      </c>
      <c r="B2220" s="2" t="s">
        <v>27</v>
      </c>
      <c r="C2220" s="2" t="s">
        <v>28</v>
      </c>
      <c r="D2220" s="2" t="s">
        <v>97</v>
      </c>
      <c r="E2220" s="2" t="s">
        <v>13597</v>
      </c>
      <c r="F2220" s="2" t="s">
        <v>8445</v>
      </c>
      <c r="G2220" s="2" t="s">
        <v>32</v>
      </c>
      <c r="H2220" s="1"/>
      <c r="I2220" s="2" t="s">
        <v>33</v>
      </c>
      <c r="J2220" s="2" t="s">
        <v>34</v>
      </c>
      <c r="K2220" s="2" t="s">
        <v>11533</v>
      </c>
      <c r="L2220" s="2" t="s">
        <v>11534</v>
      </c>
      <c r="M2220" s="2" t="s">
        <v>70</v>
      </c>
      <c r="N2220" s="2" t="s">
        <v>38</v>
      </c>
      <c r="O2220" s="2" t="s">
        <v>206</v>
      </c>
      <c r="P2220" s="2" t="s">
        <v>6284</v>
      </c>
      <c r="Q2220" s="2" t="s">
        <v>13659</v>
      </c>
      <c r="R2220" s="2" t="s">
        <v>40</v>
      </c>
      <c r="S2220" s="2" t="s">
        <v>13660</v>
      </c>
      <c r="T2220" s="2" t="s">
        <v>4850</v>
      </c>
      <c r="U2220" s="2" t="s">
        <v>13661</v>
      </c>
      <c r="V2220" s="2" t="s">
        <v>13662</v>
      </c>
      <c r="W2220" s="1"/>
      <c r="X2220" s="2" t="s">
        <v>2000</v>
      </c>
      <c r="Y2220" s="2" t="s">
        <v>13619</v>
      </c>
      <c r="AA2220" t="str">
        <f t="shared" si="204"/>
        <v>2025-10</v>
      </c>
      <c r="AB2220" t="str">
        <f t="shared" si="205"/>
        <v/>
      </c>
      <c r="AC2220">
        <f t="shared" si="206"/>
        <v>4288125</v>
      </c>
      <c r="AD2220">
        <f t="shared" si="207"/>
        <v>500</v>
      </c>
      <c r="AE2220">
        <f t="shared" si="208"/>
        <v>851625</v>
      </c>
      <c r="AF2220" t="str">
        <f t="shared" si="209"/>
        <v>Paid</v>
      </c>
    </row>
    <row r="2221" spans="1:32" ht="17.25" thickBot="1" x14ac:dyDescent="0.35">
      <c r="A2221" s="2" t="s">
        <v>13663</v>
      </c>
      <c r="B2221" s="2" t="s">
        <v>27</v>
      </c>
      <c r="C2221" s="2" t="s">
        <v>28</v>
      </c>
      <c r="D2221" s="2" t="s">
        <v>97</v>
      </c>
      <c r="E2221" s="2" t="s">
        <v>13597</v>
      </c>
      <c r="F2221" s="2" t="s">
        <v>8445</v>
      </c>
      <c r="G2221" s="2" t="s">
        <v>32</v>
      </c>
      <c r="H2221" s="1"/>
      <c r="I2221" s="2" t="s">
        <v>33</v>
      </c>
      <c r="J2221" s="2" t="s">
        <v>34</v>
      </c>
      <c r="K2221" s="2" t="s">
        <v>2789</v>
      </c>
      <c r="L2221" s="2" t="s">
        <v>2790</v>
      </c>
      <c r="M2221" s="2" t="s">
        <v>70</v>
      </c>
      <c r="N2221" s="2" t="s">
        <v>38</v>
      </c>
      <c r="O2221" s="2" t="s">
        <v>1914</v>
      </c>
      <c r="P2221" s="2" t="s">
        <v>6284</v>
      </c>
      <c r="Q2221" s="2" t="s">
        <v>13664</v>
      </c>
      <c r="R2221" s="2" t="s">
        <v>40</v>
      </c>
      <c r="S2221" s="2" t="s">
        <v>13665</v>
      </c>
      <c r="T2221" s="2" t="s">
        <v>4850</v>
      </c>
      <c r="U2221" s="2" t="s">
        <v>13666</v>
      </c>
      <c r="V2221" s="2" t="s">
        <v>13667</v>
      </c>
      <c r="W2221" s="1"/>
      <c r="X2221" s="2" t="s">
        <v>2000</v>
      </c>
      <c r="Y2221" s="2" t="s">
        <v>13619</v>
      </c>
      <c r="AA2221" t="str">
        <f t="shared" si="204"/>
        <v>2025-10</v>
      </c>
      <c r="AB2221" t="str">
        <f t="shared" si="205"/>
        <v/>
      </c>
      <c r="AC2221">
        <f t="shared" si="206"/>
        <v>7718625</v>
      </c>
      <c r="AD2221">
        <f t="shared" si="207"/>
        <v>900</v>
      </c>
      <c r="AE2221">
        <f t="shared" si="208"/>
        <v>1532925</v>
      </c>
      <c r="AF2221" t="str">
        <f t="shared" si="209"/>
        <v>Paid</v>
      </c>
    </row>
    <row r="2222" spans="1:32" ht="17.25" thickBot="1" x14ac:dyDescent="0.35">
      <c r="A2222" s="2" t="s">
        <v>13668</v>
      </c>
      <c r="B2222" s="2" t="s">
        <v>27</v>
      </c>
      <c r="C2222" s="2" t="s">
        <v>28</v>
      </c>
      <c r="D2222" s="2" t="s">
        <v>97</v>
      </c>
      <c r="E2222" s="2" t="s">
        <v>13597</v>
      </c>
      <c r="F2222" s="2" t="s">
        <v>8445</v>
      </c>
      <c r="G2222" s="2" t="s">
        <v>32</v>
      </c>
      <c r="H2222" s="1"/>
      <c r="I2222" s="2" t="s">
        <v>33</v>
      </c>
      <c r="J2222" s="2" t="s">
        <v>34</v>
      </c>
      <c r="K2222" s="2" t="s">
        <v>13081</v>
      </c>
      <c r="L2222" s="2" t="s">
        <v>13082</v>
      </c>
      <c r="M2222" s="2" t="s">
        <v>70</v>
      </c>
      <c r="N2222" s="2" t="s">
        <v>38</v>
      </c>
      <c r="O2222" s="2" t="s">
        <v>391</v>
      </c>
      <c r="P2222" s="2" t="s">
        <v>10053</v>
      </c>
      <c r="Q2222" s="2" t="s">
        <v>13669</v>
      </c>
      <c r="R2222" s="2" t="s">
        <v>40</v>
      </c>
      <c r="S2222" s="2" t="s">
        <v>13670</v>
      </c>
      <c r="T2222" s="2" t="s">
        <v>13084</v>
      </c>
      <c r="U2222" s="2" t="s">
        <v>13671</v>
      </c>
      <c r="V2222" s="2" t="s">
        <v>13672</v>
      </c>
      <c r="W2222" s="1"/>
      <c r="X2222" s="2" t="s">
        <v>976</v>
      </c>
      <c r="Y2222" s="2" t="s">
        <v>13619</v>
      </c>
      <c r="AA2222" t="str">
        <f t="shared" si="204"/>
        <v>2025-10</v>
      </c>
      <c r="AB2222" t="str">
        <f t="shared" si="205"/>
        <v/>
      </c>
      <c r="AC2222">
        <f t="shared" si="206"/>
        <v>325211.40000000002</v>
      </c>
      <c r="AD2222">
        <f t="shared" si="207"/>
        <v>60</v>
      </c>
      <c r="AE2222">
        <f t="shared" si="208"/>
        <v>65531.4</v>
      </c>
      <c r="AF2222" t="str">
        <f t="shared" si="209"/>
        <v>Paid</v>
      </c>
    </row>
    <row r="2223" spans="1:32" ht="27.75" thickBot="1" x14ac:dyDescent="0.35">
      <c r="A2223" s="2" t="s">
        <v>13673</v>
      </c>
      <c r="B2223" s="2" t="s">
        <v>27</v>
      </c>
      <c r="C2223" s="2" t="s">
        <v>28</v>
      </c>
      <c r="D2223" s="2" t="s">
        <v>97</v>
      </c>
      <c r="E2223" s="2" t="s">
        <v>13597</v>
      </c>
      <c r="F2223" s="2" t="s">
        <v>8445</v>
      </c>
      <c r="G2223" s="2" t="s">
        <v>32</v>
      </c>
      <c r="H2223" s="1"/>
      <c r="I2223" s="2" t="s">
        <v>33</v>
      </c>
      <c r="J2223" s="2" t="s">
        <v>34</v>
      </c>
      <c r="K2223" s="2" t="s">
        <v>2799</v>
      </c>
      <c r="L2223" s="2" t="s">
        <v>2800</v>
      </c>
      <c r="M2223" s="2" t="s">
        <v>70</v>
      </c>
      <c r="N2223" s="2" t="s">
        <v>38</v>
      </c>
      <c r="O2223" s="2" t="s">
        <v>1150</v>
      </c>
      <c r="P2223" s="2" t="s">
        <v>2015</v>
      </c>
      <c r="Q2223" s="2" t="s">
        <v>13674</v>
      </c>
      <c r="R2223" s="2" t="s">
        <v>40</v>
      </c>
      <c r="S2223" s="2" t="s">
        <v>13675</v>
      </c>
      <c r="T2223" s="2" t="s">
        <v>12895</v>
      </c>
      <c r="U2223" s="2" t="s">
        <v>13676</v>
      </c>
      <c r="V2223" s="2" t="s">
        <v>13677</v>
      </c>
      <c r="W2223" s="1"/>
      <c r="X2223" s="2" t="s">
        <v>2912</v>
      </c>
      <c r="Y2223" s="2" t="s">
        <v>13619</v>
      </c>
      <c r="AA2223" t="str">
        <f t="shared" si="204"/>
        <v>2025-10</v>
      </c>
      <c r="AB2223" t="str">
        <f t="shared" si="205"/>
        <v/>
      </c>
      <c r="AC2223">
        <f t="shared" si="206"/>
        <v>906200.88</v>
      </c>
      <c r="AD2223">
        <f t="shared" si="207"/>
        <v>130</v>
      </c>
      <c r="AE2223">
        <f t="shared" si="208"/>
        <v>267900.88</v>
      </c>
      <c r="AF2223" t="str">
        <f t="shared" si="209"/>
        <v>Paid</v>
      </c>
    </row>
    <row r="2224" spans="1:32" ht="27.75" thickBot="1" x14ac:dyDescent="0.35">
      <c r="A2224" s="2" t="s">
        <v>13678</v>
      </c>
      <c r="B2224" s="2" t="s">
        <v>27</v>
      </c>
      <c r="C2224" s="2" t="s">
        <v>28</v>
      </c>
      <c r="D2224" s="2" t="s">
        <v>97</v>
      </c>
      <c r="E2224" s="2" t="s">
        <v>13597</v>
      </c>
      <c r="F2224" s="2" t="s">
        <v>8445</v>
      </c>
      <c r="G2224" s="2" t="s">
        <v>32</v>
      </c>
      <c r="H2224" s="1"/>
      <c r="I2224" s="2" t="s">
        <v>33</v>
      </c>
      <c r="J2224" s="2" t="s">
        <v>34</v>
      </c>
      <c r="K2224" s="2" t="s">
        <v>68</v>
      </c>
      <c r="L2224" s="2" t="s">
        <v>69</v>
      </c>
      <c r="M2224" s="2" t="s">
        <v>70</v>
      </c>
      <c r="N2224" s="2" t="s">
        <v>38</v>
      </c>
      <c r="O2224" s="2" t="s">
        <v>1914</v>
      </c>
      <c r="P2224" s="2" t="s">
        <v>12701</v>
      </c>
      <c r="Q2224" s="2" t="s">
        <v>13679</v>
      </c>
      <c r="R2224" s="2" t="s">
        <v>40</v>
      </c>
      <c r="S2224" s="2" t="s">
        <v>13680</v>
      </c>
      <c r="T2224" s="2" t="s">
        <v>7901</v>
      </c>
      <c r="U2224" s="2" t="s">
        <v>13681</v>
      </c>
      <c r="V2224" s="2" t="s">
        <v>13682</v>
      </c>
      <c r="W2224" s="1"/>
      <c r="X2224" s="2" t="s">
        <v>155</v>
      </c>
      <c r="Y2224" s="2" t="s">
        <v>13619</v>
      </c>
      <c r="AA2224" t="str">
        <f t="shared" si="204"/>
        <v>2025-10</v>
      </c>
      <c r="AB2224" t="str">
        <f t="shared" si="205"/>
        <v/>
      </c>
      <c r="AC2224">
        <f t="shared" si="206"/>
        <v>4124833.2</v>
      </c>
      <c r="AD2224">
        <f t="shared" si="207"/>
        <v>900</v>
      </c>
      <c r="AE2224">
        <f t="shared" si="208"/>
        <v>802933.2</v>
      </c>
      <c r="AF2224" t="str">
        <f t="shared" si="209"/>
        <v>Paid</v>
      </c>
    </row>
    <row r="2225" spans="1:32" ht="27.75" thickBot="1" x14ac:dyDescent="0.35">
      <c r="A2225" s="2" t="s">
        <v>13683</v>
      </c>
      <c r="B2225" s="2" t="s">
        <v>27</v>
      </c>
      <c r="C2225" s="2" t="s">
        <v>28</v>
      </c>
      <c r="D2225" s="2" t="s">
        <v>97</v>
      </c>
      <c r="E2225" s="2" t="s">
        <v>13597</v>
      </c>
      <c r="F2225" s="2" t="s">
        <v>8445</v>
      </c>
      <c r="G2225" s="2" t="s">
        <v>32</v>
      </c>
      <c r="H2225" s="1"/>
      <c r="I2225" s="2" t="s">
        <v>33</v>
      </c>
      <c r="J2225" s="2" t="s">
        <v>34</v>
      </c>
      <c r="K2225" s="2" t="s">
        <v>13684</v>
      </c>
      <c r="L2225" s="2" t="s">
        <v>13685</v>
      </c>
      <c r="M2225" s="2" t="s">
        <v>70</v>
      </c>
      <c r="N2225" s="2" t="s">
        <v>38</v>
      </c>
      <c r="O2225" s="2" t="s">
        <v>26</v>
      </c>
      <c r="P2225" s="2" t="s">
        <v>13686</v>
      </c>
      <c r="Q2225" s="2" t="s">
        <v>13686</v>
      </c>
      <c r="R2225" s="2" t="s">
        <v>40</v>
      </c>
      <c r="S2225" s="2" t="s">
        <v>13687</v>
      </c>
      <c r="T2225" s="2" t="s">
        <v>13688</v>
      </c>
      <c r="U2225" s="2" t="s">
        <v>13688</v>
      </c>
      <c r="V2225" s="2" t="s">
        <v>13689</v>
      </c>
      <c r="W2225" s="1"/>
      <c r="X2225" s="2" t="s">
        <v>2226</v>
      </c>
      <c r="Y2225" s="2" t="s">
        <v>13619</v>
      </c>
      <c r="AA2225" t="str">
        <f t="shared" si="204"/>
        <v>2025-10</v>
      </c>
      <c r="AB2225" t="str">
        <f t="shared" si="205"/>
        <v/>
      </c>
      <c r="AC2225">
        <f t="shared" si="206"/>
        <v>15190.25</v>
      </c>
      <c r="AD2225">
        <f t="shared" si="207"/>
        <v>1</v>
      </c>
      <c r="AE2225">
        <f t="shared" si="208"/>
        <v>2826.25</v>
      </c>
      <c r="AF2225" t="str">
        <f t="shared" si="209"/>
        <v>Paid</v>
      </c>
    </row>
    <row r="2226" spans="1:32" ht="27.75" thickBot="1" x14ac:dyDescent="0.35">
      <c r="A2226" s="2" t="s">
        <v>13690</v>
      </c>
      <c r="B2226" s="2" t="s">
        <v>27</v>
      </c>
      <c r="C2226" s="2" t="s">
        <v>28</v>
      </c>
      <c r="D2226" s="2" t="s">
        <v>97</v>
      </c>
      <c r="E2226" s="2" t="s">
        <v>13597</v>
      </c>
      <c r="F2226" s="2" t="s">
        <v>8445</v>
      </c>
      <c r="G2226" s="2" t="s">
        <v>32</v>
      </c>
      <c r="H2226" s="1"/>
      <c r="I2226" s="2" t="s">
        <v>33</v>
      </c>
      <c r="J2226" s="2" t="s">
        <v>34</v>
      </c>
      <c r="K2226" s="2" t="s">
        <v>13691</v>
      </c>
      <c r="L2226" s="2" t="s">
        <v>13692</v>
      </c>
      <c r="M2226" s="2" t="s">
        <v>70</v>
      </c>
      <c r="N2226" s="2" t="s">
        <v>38</v>
      </c>
      <c r="O2226" s="2" t="s">
        <v>149</v>
      </c>
      <c r="P2226" s="2" t="s">
        <v>13693</v>
      </c>
      <c r="Q2226" s="2" t="s">
        <v>13694</v>
      </c>
      <c r="R2226" s="2" t="s">
        <v>40</v>
      </c>
      <c r="S2226" s="2" t="s">
        <v>13695</v>
      </c>
      <c r="T2226" s="2" t="s">
        <v>2832</v>
      </c>
      <c r="U2226" s="2" t="s">
        <v>13696</v>
      </c>
      <c r="V2226" s="2" t="s">
        <v>13697</v>
      </c>
      <c r="W2226" s="1"/>
      <c r="X2226" s="2" t="s">
        <v>3089</v>
      </c>
      <c r="Y2226" s="2" t="s">
        <v>13619</v>
      </c>
      <c r="AA2226" t="str">
        <f t="shared" si="204"/>
        <v>2025-10</v>
      </c>
      <c r="AB2226" t="str">
        <f t="shared" si="205"/>
        <v/>
      </c>
      <c r="AC2226">
        <f t="shared" si="206"/>
        <v>2490543</v>
      </c>
      <c r="AD2226">
        <f t="shared" si="207"/>
        <v>300</v>
      </c>
      <c r="AE2226">
        <f t="shared" si="208"/>
        <v>480543</v>
      </c>
      <c r="AF2226" t="str">
        <f t="shared" si="209"/>
        <v>Paid</v>
      </c>
    </row>
    <row r="2227" spans="1:32" ht="17.25" thickBot="1" x14ac:dyDescent="0.35">
      <c r="A2227" s="2" t="s">
        <v>13698</v>
      </c>
      <c r="B2227" s="2" t="s">
        <v>27</v>
      </c>
      <c r="C2227" s="2" t="s">
        <v>28</v>
      </c>
      <c r="D2227" s="2" t="s">
        <v>97</v>
      </c>
      <c r="E2227" s="2" t="s">
        <v>13597</v>
      </c>
      <c r="F2227" s="2" t="s">
        <v>8445</v>
      </c>
      <c r="G2227" s="2" t="s">
        <v>32</v>
      </c>
      <c r="H2227" s="1"/>
      <c r="I2227" s="2" t="s">
        <v>33</v>
      </c>
      <c r="J2227" s="2" t="s">
        <v>34</v>
      </c>
      <c r="K2227" s="2" t="s">
        <v>3591</v>
      </c>
      <c r="L2227" s="2" t="s">
        <v>3592</v>
      </c>
      <c r="M2227" s="2" t="s">
        <v>70</v>
      </c>
      <c r="N2227" s="2" t="s">
        <v>38</v>
      </c>
      <c r="O2227" s="2" t="s">
        <v>114</v>
      </c>
      <c r="P2227" s="2" t="s">
        <v>11245</v>
      </c>
      <c r="Q2227" s="2" t="s">
        <v>13699</v>
      </c>
      <c r="R2227" s="2" t="s">
        <v>40</v>
      </c>
      <c r="S2227" s="2" t="s">
        <v>13700</v>
      </c>
      <c r="T2227" s="2" t="s">
        <v>13701</v>
      </c>
      <c r="U2227" s="2" t="s">
        <v>13702</v>
      </c>
      <c r="V2227" s="2" t="s">
        <v>13703</v>
      </c>
      <c r="W2227" s="1"/>
      <c r="X2227" s="2" t="s">
        <v>7137</v>
      </c>
      <c r="Y2227" s="2" t="s">
        <v>13619</v>
      </c>
      <c r="AA2227" t="str">
        <f t="shared" si="204"/>
        <v>2025-10</v>
      </c>
      <c r="AB2227" t="str">
        <f t="shared" si="205"/>
        <v/>
      </c>
      <c r="AC2227">
        <f t="shared" si="206"/>
        <v>876012.48</v>
      </c>
      <c r="AD2227">
        <f t="shared" si="207"/>
        <v>240</v>
      </c>
      <c r="AE2227">
        <f t="shared" si="208"/>
        <v>177612.48</v>
      </c>
      <c r="AF2227" t="str">
        <f t="shared" si="209"/>
        <v>Paid</v>
      </c>
    </row>
    <row r="2228" spans="1:32" ht="17.25" thickBot="1" x14ac:dyDescent="0.35">
      <c r="A2228" s="2" t="s">
        <v>13704</v>
      </c>
      <c r="B2228" s="2" t="s">
        <v>27</v>
      </c>
      <c r="C2228" s="2" t="s">
        <v>28</v>
      </c>
      <c r="D2228" s="2" t="s">
        <v>97</v>
      </c>
      <c r="E2228" s="2" t="s">
        <v>13597</v>
      </c>
      <c r="F2228" s="2" t="s">
        <v>8445</v>
      </c>
      <c r="G2228" s="2" t="s">
        <v>32</v>
      </c>
      <c r="H2228" s="1"/>
      <c r="I2228" s="2" t="s">
        <v>33</v>
      </c>
      <c r="J2228" s="2" t="s">
        <v>34</v>
      </c>
      <c r="K2228" s="2" t="s">
        <v>11560</v>
      </c>
      <c r="L2228" s="2" t="s">
        <v>11561</v>
      </c>
      <c r="M2228" s="2" t="s">
        <v>70</v>
      </c>
      <c r="N2228" s="2" t="s">
        <v>38</v>
      </c>
      <c r="O2228" s="2" t="s">
        <v>131</v>
      </c>
      <c r="P2228" s="2" t="s">
        <v>5845</v>
      </c>
      <c r="Q2228" s="2" t="s">
        <v>13705</v>
      </c>
      <c r="R2228" s="2" t="s">
        <v>40</v>
      </c>
      <c r="S2228" s="2" t="s">
        <v>13706</v>
      </c>
      <c r="T2228" s="2" t="s">
        <v>2101</v>
      </c>
      <c r="U2228" s="2" t="s">
        <v>10794</v>
      </c>
      <c r="V2228" s="2" t="s">
        <v>13707</v>
      </c>
      <c r="W2228" s="1"/>
      <c r="X2228" s="2" t="s">
        <v>6790</v>
      </c>
      <c r="Y2228" s="2" t="s">
        <v>13619</v>
      </c>
      <c r="AA2228" t="str">
        <f t="shared" si="204"/>
        <v>2025-10</v>
      </c>
      <c r="AB2228" t="str">
        <f t="shared" si="205"/>
        <v/>
      </c>
      <c r="AC2228">
        <f t="shared" si="206"/>
        <v>367200.72</v>
      </c>
      <c r="AD2228">
        <f t="shared" si="207"/>
        <v>40</v>
      </c>
      <c r="AE2228">
        <f t="shared" si="208"/>
        <v>79200.72</v>
      </c>
      <c r="AF2228" t="str">
        <f t="shared" si="209"/>
        <v>Paid</v>
      </c>
    </row>
    <row r="2229" spans="1:32" ht="17.25" thickBot="1" x14ac:dyDescent="0.35">
      <c r="A2229" s="2" t="s">
        <v>13708</v>
      </c>
      <c r="B2229" s="2" t="s">
        <v>27</v>
      </c>
      <c r="C2229" s="2" t="s">
        <v>28</v>
      </c>
      <c r="D2229" s="2" t="s">
        <v>97</v>
      </c>
      <c r="E2229" s="2" t="s">
        <v>13597</v>
      </c>
      <c r="F2229" s="2" t="s">
        <v>8445</v>
      </c>
      <c r="G2229" s="2" t="s">
        <v>32</v>
      </c>
      <c r="H2229" s="1"/>
      <c r="I2229" s="2" t="s">
        <v>33</v>
      </c>
      <c r="J2229" s="2" t="s">
        <v>34</v>
      </c>
      <c r="K2229" s="2" t="s">
        <v>2836</v>
      </c>
      <c r="L2229" s="2" t="s">
        <v>2837</v>
      </c>
      <c r="M2229" s="2" t="s">
        <v>70</v>
      </c>
      <c r="N2229" s="2" t="s">
        <v>38</v>
      </c>
      <c r="O2229" s="2" t="s">
        <v>779</v>
      </c>
      <c r="P2229" s="2" t="s">
        <v>518</v>
      </c>
      <c r="Q2229" s="2" t="s">
        <v>13709</v>
      </c>
      <c r="R2229" s="2" t="s">
        <v>40</v>
      </c>
      <c r="S2229" s="2" t="s">
        <v>13710</v>
      </c>
      <c r="T2229" s="2" t="s">
        <v>2079</v>
      </c>
      <c r="U2229" s="2" t="s">
        <v>13711</v>
      </c>
      <c r="V2229" s="2" t="s">
        <v>13712</v>
      </c>
      <c r="W2229" s="1"/>
      <c r="X2229" s="2" t="s">
        <v>13101</v>
      </c>
      <c r="Y2229" s="2" t="s">
        <v>13619</v>
      </c>
      <c r="AA2229" t="str">
        <f t="shared" si="204"/>
        <v>2025-10</v>
      </c>
      <c r="AB2229" t="str">
        <f t="shared" si="205"/>
        <v/>
      </c>
      <c r="AC2229">
        <f t="shared" si="206"/>
        <v>1094192.28</v>
      </c>
      <c r="AD2229">
        <f t="shared" si="207"/>
        <v>90</v>
      </c>
      <c r="AE2229">
        <f t="shared" si="208"/>
        <v>328292.28000000003</v>
      </c>
      <c r="AF2229" t="str">
        <f t="shared" si="209"/>
        <v>Paid</v>
      </c>
    </row>
    <row r="2230" spans="1:32" ht="27.75" thickBot="1" x14ac:dyDescent="0.35">
      <c r="A2230" s="2" t="s">
        <v>13713</v>
      </c>
      <c r="B2230" s="2" t="s">
        <v>27</v>
      </c>
      <c r="C2230" s="2" t="s">
        <v>28</v>
      </c>
      <c r="D2230" s="2" t="s">
        <v>97</v>
      </c>
      <c r="E2230" s="2" t="s">
        <v>13597</v>
      </c>
      <c r="F2230" s="2" t="s">
        <v>8445</v>
      </c>
      <c r="G2230" s="2" t="s">
        <v>32</v>
      </c>
      <c r="H2230" s="1"/>
      <c r="I2230" s="2" t="s">
        <v>33</v>
      </c>
      <c r="J2230" s="2" t="s">
        <v>34</v>
      </c>
      <c r="K2230" s="2" t="s">
        <v>2845</v>
      </c>
      <c r="L2230" s="2" t="s">
        <v>2846</v>
      </c>
      <c r="M2230" s="2" t="s">
        <v>70</v>
      </c>
      <c r="N2230" s="2" t="s">
        <v>38</v>
      </c>
      <c r="O2230" s="2" t="s">
        <v>779</v>
      </c>
      <c r="P2230" s="2" t="s">
        <v>13714</v>
      </c>
      <c r="Q2230" s="2" t="s">
        <v>13715</v>
      </c>
      <c r="R2230" s="2" t="s">
        <v>40</v>
      </c>
      <c r="S2230" s="2" t="s">
        <v>13716</v>
      </c>
      <c r="T2230" s="2" t="s">
        <v>9531</v>
      </c>
      <c r="U2230" s="2" t="s">
        <v>13717</v>
      </c>
      <c r="V2230" s="2" t="s">
        <v>13718</v>
      </c>
      <c r="W2230" s="1"/>
      <c r="X2230" s="2" t="s">
        <v>2806</v>
      </c>
      <c r="Y2230" s="2" t="s">
        <v>13619</v>
      </c>
      <c r="AA2230" t="str">
        <f t="shared" si="204"/>
        <v>2025-10</v>
      </c>
      <c r="AB2230" t="str">
        <f t="shared" si="205"/>
        <v/>
      </c>
      <c r="AC2230">
        <f t="shared" si="206"/>
        <v>679239</v>
      </c>
      <c r="AD2230">
        <f t="shared" si="207"/>
        <v>90</v>
      </c>
      <c r="AE2230">
        <f t="shared" si="208"/>
        <v>204669</v>
      </c>
      <c r="AF2230" t="str">
        <f t="shared" si="209"/>
        <v>Paid</v>
      </c>
    </row>
    <row r="2231" spans="1:32" ht="17.25" thickBot="1" x14ac:dyDescent="0.35">
      <c r="A2231" s="2" t="s">
        <v>13719</v>
      </c>
      <c r="B2231" s="2" t="s">
        <v>27</v>
      </c>
      <c r="C2231" s="2" t="s">
        <v>28</v>
      </c>
      <c r="D2231" s="2" t="s">
        <v>97</v>
      </c>
      <c r="E2231" s="2" t="s">
        <v>13597</v>
      </c>
      <c r="F2231" s="2" t="s">
        <v>8445</v>
      </c>
      <c r="G2231" s="2" t="s">
        <v>32</v>
      </c>
      <c r="H2231" s="1"/>
      <c r="I2231" s="2" t="s">
        <v>33</v>
      </c>
      <c r="J2231" s="2" t="s">
        <v>34</v>
      </c>
      <c r="K2231" s="2" t="s">
        <v>2855</v>
      </c>
      <c r="L2231" s="2" t="s">
        <v>2856</v>
      </c>
      <c r="M2231" s="2" t="s">
        <v>70</v>
      </c>
      <c r="N2231" s="2" t="s">
        <v>38</v>
      </c>
      <c r="O2231" s="2" t="s">
        <v>156</v>
      </c>
      <c r="P2231" s="2" t="s">
        <v>7023</v>
      </c>
      <c r="Q2231" s="2" t="s">
        <v>4677</v>
      </c>
      <c r="R2231" s="2" t="s">
        <v>40</v>
      </c>
      <c r="S2231" s="2" t="s">
        <v>13720</v>
      </c>
      <c r="T2231" s="2" t="s">
        <v>13098</v>
      </c>
      <c r="U2231" s="2" t="s">
        <v>13099</v>
      </c>
      <c r="V2231" s="2" t="s">
        <v>13721</v>
      </c>
      <c r="W2231" s="1"/>
      <c r="X2231" s="2" t="s">
        <v>13101</v>
      </c>
      <c r="Y2231" s="2" t="s">
        <v>13619</v>
      </c>
      <c r="AA2231" t="str">
        <f t="shared" si="204"/>
        <v>2025-10</v>
      </c>
      <c r="AB2231" t="str">
        <f t="shared" si="205"/>
        <v/>
      </c>
      <c r="AC2231">
        <f t="shared" si="206"/>
        <v>229706.28</v>
      </c>
      <c r="AD2231">
        <f t="shared" si="207"/>
        <v>20</v>
      </c>
      <c r="AE2231">
        <f t="shared" si="208"/>
        <v>68966.28</v>
      </c>
      <c r="AF2231" t="str">
        <f t="shared" si="209"/>
        <v>Paid</v>
      </c>
    </row>
    <row r="2232" spans="1:32" ht="27.75" thickBot="1" x14ac:dyDescent="0.35">
      <c r="A2232" s="2" t="s">
        <v>13722</v>
      </c>
      <c r="B2232" s="2" t="s">
        <v>27</v>
      </c>
      <c r="C2232" s="2" t="s">
        <v>28</v>
      </c>
      <c r="D2232" s="2" t="s">
        <v>97</v>
      </c>
      <c r="E2232" s="2" t="s">
        <v>13597</v>
      </c>
      <c r="F2232" s="2" t="s">
        <v>8445</v>
      </c>
      <c r="G2232" s="2" t="s">
        <v>32</v>
      </c>
      <c r="H2232" s="1"/>
      <c r="I2232" s="2" t="s">
        <v>33</v>
      </c>
      <c r="J2232" s="2" t="s">
        <v>34</v>
      </c>
      <c r="K2232" s="2" t="s">
        <v>2865</v>
      </c>
      <c r="L2232" s="2" t="s">
        <v>2866</v>
      </c>
      <c r="M2232" s="2" t="s">
        <v>70</v>
      </c>
      <c r="N2232" s="2" t="s">
        <v>38</v>
      </c>
      <c r="O2232" s="2" t="s">
        <v>159</v>
      </c>
      <c r="P2232" s="2" t="s">
        <v>1068</v>
      </c>
      <c r="Q2232" s="2" t="s">
        <v>13723</v>
      </c>
      <c r="R2232" s="2" t="s">
        <v>40</v>
      </c>
      <c r="S2232" s="2" t="s">
        <v>13724</v>
      </c>
      <c r="T2232" s="2" t="s">
        <v>13105</v>
      </c>
      <c r="U2232" s="2" t="s">
        <v>13725</v>
      </c>
      <c r="V2232" s="2" t="s">
        <v>13726</v>
      </c>
      <c r="W2232" s="1"/>
      <c r="X2232" s="2" t="s">
        <v>13101</v>
      </c>
      <c r="Y2232" s="2" t="s">
        <v>13619</v>
      </c>
      <c r="AA2232" t="str">
        <f t="shared" si="204"/>
        <v>2025-10</v>
      </c>
      <c r="AB2232" t="str">
        <f t="shared" si="205"/>
        <v/>
      </c>
      <c r="AC2232">
        <f t="shared" si="206"/>
        <v>756356.64</v>
      </c>
      <c r="AD2232">
        <f t="shared" si="207"/>
        <v>80</v>
      </c>
      <c r="AE2232">
        <f t="shared" si="208"/>
        <v>226836.64</v>
      </c>
      <c r="AF2232" t="str">
        <f t="shared" si="209"/>
        <v>Paid</v>
      </c>
    </row>
    <row r="2233" spans="1:32" ht="17.25" thickBot="1" x14ac:dyDescent="0.35">
      <c r="A2233" s="2" t="s">
        <v>13727</v>
      </c>
      <c r="B2233" s="2" t="s">
        <v>27</v>
      </c>
      <c r="C2233" s="2" t="s">
        <v>28</v>
      </c>
      <c r="D2233" s="2" t="s">
        <v>97</v>
      </c>
      <c r="E2233" s="2" t="s">
        <v>13597</v>
      </c>
      <c r="F2233" s="2" t="s">
        <v>8445</v>
      </c>
      <c r="G2233" s="2" t="s">
        <v>32</v>
      </c>
      <c r="H2233" s="1"/>
      <c r="I2233" s="2" t="s">
        <v>33</v>
      </c>
      <c r="J2233" s="2" t="s">
        <v>34</v>
      </c>
      <c r="K2233" s="2" t="s">
        <v>2873</v>
      </c>
      <c r="L2233" s="2" t="s">
        <v>2874</v>
      </c>
      <c r="M2233" s="2" t="s">
        <v>70</v>
      </c>
      <c r="N2233" s="2" t="s">
        <v>38</v>
      </c>
      <c r="O2233" s="2" t="s">
        <v>466</v>
      </c>
      <c r="P2233" s="2" t="s">
        <v>1068</v>
      </c>
      <c r="Q2233" s="2" t="s">
        <v>13728</v>
      </c>
      <c r="R2233" s="2" t="s">
        <v>40</v>
      </c>
      <c r="S2233" s="2" t="s">
        <v>13729</v>
      </c>
      <c r="T2233" s="2" t="s">
        <v>13105</v>
      </c>
      <c r="U2233" s="2" t="s">
        <v>13730</v>
      </c>
      <c r="V2233" s="2" t="s">
        <v>13731</v>
      </c>
      <c r="W2233" s="1"/>
      <c r="X2233" s="2" t="s">
        <v>13101</v>
      </c>
      <c r="Y2233" s="2" t="s">
        <v>13619</v>
      </c>
      <c r="AA2233" t="str">
        <f t="shared" si="204"/>
        <v>2025-10</v>
      </c>
      <c r="AB2233" t="str">
        <f t="shared" si="205"/>
        <v/>
      </c>
      <c r="AC2233">
        <f t="shared" si="206"/>
        <v>661812.06000000006</v>
      </c>
      <c r="AD2233">
        <f t="shared" si="207"/>
        <v>70</v>
      </c>
      <c r="AE2233">
        <f t="shared" si="208"/>
        <v>198482.06</v>
      </c>
      <c r="AF2233" t="str">
        <f t="shared" si="209"/>
        <v>Paid</v>
      </c>
    </row>
    <row r="2234" spans="1:32" ht="17.25" thickBot="1" x14ac:dyDescent="0.35">
      <c r="A2234" s="2" t="s">
        <v>13732</v>
      </c>
      <c r="B2234" s="2" t="s">
        <v>27</v>
      </c>
      <c r="C2234" s="2" t="s">
        <v>28</v>
      </c>
      <c r="D2234" s="2" t="s">
        <v>97</v>
      </c>
      <c r="E2234" s="2" t="s">
        <v>13597</v>
      </c>
      <c r="F2234" s="2" t="s">
        <v>8445</v>
      </c>
      <c r="G2234" s="2" t="s">
        <v>32</v>
      </c>
      <c r="H2234" s="1"/>
      <c r="I2234" s="2" t="s">
        <v>33</v>
      </c>
      <c r="J2234" s="2" t="s">
        <v>34</v>
      </c>
      <c r="K2234" s="2" t="s">
        <v>11574</v>
      </c>
      <c r="L2234" s="2" t="s">
        <v>11575</v>
      </c>
      <c r="M2234" s="2" t="s">
        <v>70</v>
      </c>
      <c r="N2234" s="2" t="s">
        <v>38</v>
      </c>
      <c r="O2234" s="2" t="s">
        <v>214</v>
      </c>
      <c r="P2234" s="2" t="s">
        <v>10397</v>
      </c>
      <c r="Q2234" s="2" t="s">
        <v>13733</v>
      </c>
      <c r="R2234" s="2" t="s">
        <v>40</v>
      </c>
      <c r="S2234" s="2" t="s">
        <v>13734</v>
      </c>
      <c r="T2234" s="2" t="s">
        <v>13735</v>
      </c>
      <c r="U2234" s="2" t="s">
        <v>13736</v>
      </c>
      <c r="V2234" s="2" t="s">
        <v>13737</v>
      </c>
      <c r="W2234" s="1"/>
      <c r="X2234" s="2" t="s">
        <v>856</v>
      </c>
      <c r="Y2234" s="2" t="s">
        <v>13619</v>
      </c>
      <c r="AA2234" t="str">
        <f t="shared" si="204"/>
        <v>2025-10</v>
      </c>
      <c r="AB2234" t="str">
        <f t="shared" si="205"/>
        <v/>
      </c>
      <c r="AC2234">
        <f t="shared" si="206"/>
        <v>536530.19999999995</v>
      </c>
      <c r="AD2234">
        <f t="shared" si="207"/>
        <v>50</v>
      </c>
      <c r="AE2234">
        <f t="shared" si="208"/>
        <v>160130.20000000001</v>
      </c>
      <c r="AF2234" t="str">
        <f t="shared" si="209"/>
        <v>Paid</v>
      </c>
    </row>
    <row r="2235" spans="1:32" ht="27.75" thickBot="1" x14ac:dyDescent="0.35">
      <c r="A2235" s="2" t="s">
        <v>13738</v>
      </c>
      <c r="B2235" s="2" t="s">
        <v>27</v>
      </c>
      <c r="C2235" s="2" t="s">
        <v>28</v>
      </c>
      <c r="D2235" s="2" t="s">
        <v>97</v>
      </c>
      <c r="E2235" s="2" t="s">
        <v>13597</v>
      </c>
      <c r="F2235" s="2" t="s">
        <v>8445</v>
      </c>
      <c r="G2235" s="2" t="s">
        <v>32</v>
      </c>
      <c r="H2235" s="1"/>
      <c r="I2235" s="2" t="s">
        <v>33</v>
      </c>
      <c r="J2235" s="2" t="s">
        <v>34</v>
      </c>
      <c r="K2235" s="2" t="s">
        <v>2904</v>
      </c>
      <c r="L2235" s="2" t="s">
        <v>2905</v>
      </c>
      <c r="M2235" s="2" t="s">
        <v>70</v>
      </c>
      <c r="N2235" s="2" t="s">
        <v>38</v>
      </c>
      <c r="O2235" s="2" t="s">
        <v>517</v>
      </c>
      <c r="P2235" s="2" t="s">
        <v>4630</v>
      </c>
      <c r="Q2235" s="2" t="s">
        <v>13739</v>
      </c>
      <c r="R2235" s="2" t="s">
        <v>40</v>
      </c>
      <c r="S2235" s="2" t="s">
        <v>13740</v>
      </c>
      <c r="T2235" s="2" t="s">
        <v>2909</v>
      </c>
      <c r="U2235" s="2" t="s">
        <v>13741</v>
      </c>
      <c r="V2235" s="2" t="s">
        <v>13742</v>
      </c>
      <c r="W2235" s="1"/>
      <c r="X2235" s="2" t="s">
        <v>10084</v>
      </c>
      <c r="Y2235" s="2" t="s">
        <v>13619</v>
      </c>
      <c r="AA2235" t="str">
        <f t="shared" si="204"/>
        <v>2025-10</v>
      </c>
      <c r="AB2235" t="str">
        <f t="shared" si="205"/>
        <v/>
      </c>
      <c r="AC2235">
        <f t="shared" si="206"/>
        <v>1048909.68</v>
      </c>
      <c r="AD2235">
        <f t="shared" si="207"/>
        <v>120</v>
      </c>
      <c r="AE2235">
        <f t="shared" si="208"/>
        <v>304909.68</v>
      </c>
      <c r="AF2235" t="str">
        <f t="shared" si="209"/>
        <v>Paid</v>
      </c>
    </row>
    <row r="2236" spans="1:32" ht="17.25" thickBot="1" x14ac:dyDescent="0.35">
      <c r="A2236" s="2" t="s">
        <v>13743</v>
      </c>
      <c r="B2236" s="2" t="s">
        <v>27</v>
      </c>
      <c r="C2236" s="2" t="s">
        <v>28</v>
      </c>
      <c r="D2236" s="2" t="s">
        <v>97</v>
      </c>
      <c r="E2236" s="2" t="s">
        <v>13597</v>
      </c>
      <c r="F2236" s="2" t="s">
        <v>8445</v>
      </c>
      <c r="G2236" s="2" t="s">
        <v>32</v>
      </c>
      <c r="H2236" s="1"/>
      <c r="I2236" s="2" t="s">
        <v>33</v>
      </c>
      <c r="J2236" s="2" t="s">
        <v>34</v>
      </c>
      <c r="K2236" s="2" t="s">
        <v>11591</v>
      </c>
      <c r="L2236" s="2" t="s">
        <v>11592</v>
      </c>
      <c r="M2236" s="2" t="s">
        <v>70</v>
      </c>
      <c r="N2236" s="2" t="s">
        <v>38</v>
      </c>
      <c r="O2236" s="2" t="s">
        <v>849</v>
      </c>
      <c r="P2236" s="2" t="s">
        <v>327</v>
      </c>
      <c r="Q2236" s="2" t="s">
        <v>13744</v>
      </c>
      <c r="R2236" s="2" t="s">
        <v>40</v>
      </c>
      <c r="S2236" s="2" t="s">
        <v>13745</v>
      </c>
      <c r="T2236" s="2" t="s">
        <v>2919</v>
      </c>
      <c r="U2236" s="2" t="s">
        <v>13746</v>
      </c>
      <c r="V2236" s="2" t="s">
        <v>13747</v>
      </c>
      <c r="W2236" s="1"/>
      <c r="X2236" s="2" t="s">
        <v>13748</v>
      </c>
      <c r="Y2236" s="2" t="s">
        <v>13619</v>
      </c>
      <c r="AA2236" t="str">
        <f t="shared" si="204"/>
        <v>2025-10</v>
      </c>
      <c r="AB2236" t="str">
        <f t="shared" si="205"/>
        <v/>
      </c>
      <c r="AC2236">
        <f t="shared" si="206"/>
        <v>1868387.52</v>
      </c>
      <c r="AD2236">
        <f t="shared" si="207"/>
        <v>160</v>
      </c>
      <c r="AE2236">
        <f t="shared" si="208"/>
        <v>931587.52</v>
      </c>
      <c r="AF2236" t="str">
        <f t="shared" si="209"/>
        <v>Paid</v>
      </c>
    </row>
    <row r="2237" spans="1:32" ht="17.25" thickBot="1" x14ac:dyDescent="0.35">
      <c r="A2237" s="2" t="s">
        <v>13749</v>
      </c>
      <c r="B2237" s="2" t="s">
        <v>27</v>
      </c>
      <c r="C2237" s="2" t="s">
        <v>28</v>
      </c>
      <c r="D2237" s="2" t="s">
        <v>97</v>
      </c>
      <c r="E2237" s="2" t="s">
        <v>13597</v>
      </c>
      <c r="F2237" s="2" t="s">
        <v>8445</v>
      </c>
      <c r="G2237" s="2" t="s">
        <v>32</v>
      </c>
      <c r="H2237" s="1"/>
      <c r="I2237" s="2" t="s">
        <v>33</v>
      </c>
      <c r="J2237" s="2" t="s">
        <v>34</v>
      </c>
      <c r="K2237" s="2" t="s">
        <v>13750</v>
      </c>
      <c r="L2237" s="2" t="s">
        <v>13751</v>
      </c>
      <c r="M2237" s="2" t="s">
        <v>13752</v>
      </c>
      <c r="N2237" s="2" t="s">
        <v>38</v>
      </c>
      <c r="O2237" s="2" t="s">
        <v>407</v>
      </c>
      <c r="P2237" s="2" t="s">
        <v>104</v>
      </c>
      <c r="Q2237" s="2" t="s">
        <v>8528</v>
      </c>
      <c r="R2237" s="2" t="s">
        <v>40</v>
      </c>
      <c r="S2237" s="2" t="s">
        <v>13753</v>
      </c>
      <c r="T2237" s="2" t="s">
        <v>13754</v>
      </c>
      <c r="U2237" s="2" t="s">
        <v>13755</v>
      </c>
      <c r="V2237" s="2" t="s">
        <v>13756</v>
      </c>
      <c r="W2237" s="2" t="s">
        <v>41</v>
      </c>
      <c r="X2237" s="2" t="s">
        <v>13757</v>
      </c>
      <c r="Y2237" s="2" t="s">
        <v>13619</v>
      </c>
      <c r="AA2237" t="str">
        <f t="shared" si="204"/>
        <v>2025-10</v>
      </c>
      <c r="AB2237" t="str">
        <f t="shared" si="205"/>
        <v/>
      </c>
      <c r="AC2237">
        <f t="shared" si="206"/>
        <v>658.66</v>
      </c>
      <c r="AD2237">
        <f t="shared" si="207"/>
        <v>48</v>
      </c>
      <c r="AE2237">
        <f t="shared" si="208"/>
        <v>-442861.34</v>
      </c>
      <c r="AF2237" t="str">
        <f t="shared" si="209"/>
        <v>Sample</v>
      </c>
    </row>
    <row r="2238" spans="1:32" ht="17.25" thickBot="1" x14ac:dyDescent="0.35">
      <c r="A2238" s="2" t="s">
        <v>13758</v>
      </c>
      <c r="B2238" s="2" t="s">
        <v>27</v>
      </c>
      <c r="C2238" s="2" t="s">
        <v>28</v>
      </c>
      <c r="D2238" s="2" t="s">
        <v>97</v>
      </c>
      <c r="E2238" s="2" t="s">
        <v>13597</v>
      </c>
      <c r="F2238" s="2" t="s">
        <v>8445</v>
      </c>
      <c r="G2238" s="2" t="s">
        <v>32</v>
      </c>
      <c r="H2238" s="1"/>
      <c r="I2238" s="2" t="s">
        <v>33</v>
      </c>
      <c r="J2238" s="2" t="s">
        <v>34</v>
      </c>
      <c r="K2238" s="2" t="s">
        <v>13759</v>
      </c>
      <c r="L2238" s="2" t="s">
        <v>13760</v>
      </c>
      <c r="M2238" s="2" t="s">
        <v>13752</v>
      </c>
      <c r="N2238" s="2" t="s">
        <v>38</v>
      </c>
      <c r="O2238" s="2" t="s">
        <v>391</v>
      </c>
      <c r="P2238" s="2" t="s">
        <v>104</v>
      </c>
      <c r="Q2238" s="2" t="s">
        <v>12215</v>
      </c>
      <c r="R2238" s="2" t="s">
        <v>40</v>
      </c>
      <c r="S2238" s="2" t="s">
        <v>13761</v>
      </c>
      <c r="T2238" s="2" t="s">
        <v>12395</v>
      </c>
      <c r="U2238" s="2" t="s">
        <v>3452</v>
      </c>
      <c r="V2238" s="2" t="s">
        <v>13762</v>
      </c>
      <c r="W2238" s="2" t="s">
        <v>41</v>
      </c>
      <c r="X2238" s="2" t="s">
        <v>13763</v>
      </c>
      <c r="Y2238" s="2" t="s">
        <v>13619</v>
      </c>
      <c r="AA2238" t="str">
        <f t="shared" si="204"/>
        <v>2025-10</v>
      </c>
      <c r="AB2238" t="str">
        <f t="shared" si="205"/>
        <v/>
      </c>
      <c r="AC2238">
        <f t="shared" si="206"/>
        <v>823.32</v>
      </c>
      <c r="AD2238">
        <f t="shared" si="207"/>
        <v>60</v>
      </c>
      <c r="AE2238">
        <f t="shared" si="208"/>
        <v>-474376.68</v>
      </c>
      <c r="AF2238" t="str">
        <f t="shared" si="209"/>
        <v>Sample</v>
      </c>
    </row>
    <row r="2239" spans="1:32" ht="17.25" thickBot="1" x14ac:dyDescent="0.35">
      <c r="A2239" s="2" t="s">
        <v>13764</v>
      </c>
      <c r="B2239" s="2" t="s">
        <v>27</v>
      </c>
      <c r="C2239" s="2" t="s">
        <v>28</v>
      </c>
      <c r="D2239" s="2" t="s">
        <v>97</v>
      </c>
      <c r="E2239" s="2" t="s">
        <v>13597</v>
      </c>
      <c r="F2239" s="2" t="s">
        <v>8445</v>
      </c>
      <c r="G2239" s="2" t="s">
        <v>32</v>
      </c>
      <c r="H2239" s="1"/>
      <c r="I2239" s="2" t="s">
        <v>33</v>
      </c>
      <c r="J2239" s="2" t="s">
        <v>34</v>
      </c>
      <c r="K2239" s="2" t="s">
        <v>13765</v>
      </c>
      <c r="L2239" s="2" t="s">
        <v>13766</v>
      </c>
      <c r="M2239" s="2" t="s">
        <v>13752</v>
      </c>
      <c r="N2239" s="2" t="s">
        <v>38</v>
      </c>
      <c r="O2239" s="2" t="s">
        <v>466</v>
      </c>
      <c r="P2239" s="2" t="s">
        <v>104</v>
      </c>
      <c r="Q2239" s="2" t="s">
        <v>8053</v>
      </c>
      <c r="R2239" s="2" t="s">
        <v>40</v>
      </c>
      <c r="S2239" s="2" t="s">
        <v>13767</v>
      </c>
      <c r="T2239" s="2" t="s">
        <v>12395</v>
      </c>
      <c r="U2239" s="2" t="s">
        <v>13768</v>
      </c>
      <c r="V2239" s="2" t="s">
        <v>13769</v>
      </c>
      <c r="W2239" s="2" t="s">
        <v>41</v>
      </c>
      <c r="X2239" s="2" t="s">
        <v>13763</v>
      </c>
      <c r="Y2239" s="2" t="s">
        <v>13619</v>
      </c>
      <c r="AA2239" t="str">
        <f t="shared" si="204"/>
        <v>2025-10</v>
      </c>
      <c r="AB2239" t="str">
        <f t="shared" si="205"/>
        <v/>
      </c>
      <c r="AC2239">
        <f t="shared" si="206"/>
        <v>960.54</v>
      </c>
      <c r="AD2239">
        <f t="shared" si="207"/>
        <v>70</v>
      </c>
      <c r="AE2239">
        <f t="shared" si="208"/>
        <v>-553439.46</v>
      </c>
      <c r="AF2239" t="str">
        <f t="shared" si="209"/>
        <v>Sample</v>
      </c>
    </row>
    <row r="2240" spans="1:32" ht="17.25" thickBot="1" x14ac:dyDescent="0.35">
      <c r="A2240" s="2" t="s">
        <v>13770</v>
      </c>
      <c r="B2240" s="2" t="s">
        <v>27</v>
      </c>
      <c r="C2240" s="2" t="s">
        <v>28</v>
      </c>
      <c r="D2240" s="2" t="s">
        <v>97</v>
      </c>
      <c r="E2240" s="2" t="s">
        <v>13597</v>
      </c>
      <c r="F2240" s="2" t="s">
        <v>8445</v>
      </c>
      <c r="G2240" s="2" t="s">
        <v>32</v>
      </c>
      <c r="H2240" s="1"/>
      <c r="I2240" s="2" t="s">
        <v>33</v>
      </c>
      <c r="J2240" s="2" t="s">
        <v>34</v>
      </c>
      <c r="K2240" s="2" t="s">
        <v>13771</v>
      </c>
      <c r="L2240" s="2" t="s">
        <v>13772</v>
      </c>
      <c r="M2240" s="2" t="s">
        <v>13752</v>
      </c>
      <c r="N2240" s="2" t="s">
        <v>38</v>
      </c>
      <c r="O2240" s="2" t="s">
        <v>463</v>
      </c>
      <c r="P2240" s="2" t="s">
        <v>104</v>
      </c>
      <c r="Q2240" s="2" t="s">
        <v>10569</v>
      </c>
      <c r="R2240" s="2" t="s">
        <v>40</v>
      </c>
      <c r="S2240" s="2" t="s">
        <v>13773</v>
      </c>
      <c r="T2240" s="2" t="s">
        <v>12395</v>
      </c>
      <c r="U2240" s="2" t="s">
        <v>13774</v>
      </c>
      <c r="V2240" s="2" t="s">
        <v>13775</v>
      </c>
      <c r="W2240" s="2" t="s">
        <v>41</v>
      </c>
      <c r="X2240" s="2" t="s">
        <v>13763</v>
      </c>
      <c r="Y2240" s="2" t="s">
        <v>13619</v>
      </c>
      <c r="AA2240" t="str">
        <f t="shared" si="204"/>
        <v>2025-10</v>
      </c>
      <c r="AB2240" t="str">
        <f t="shared" si="205"/>
        <v/>
      </c>
      <c r="AC2240">
        <f t="shared" si="206"/>
        <v>740.99</v>
      </c>
      <c r="AD2240">
        <f t="shared" si="207"/>
        <v>54</v>
      </c>
      <c r="AE2240">
        <f t="shared" si="208"/>
        <v>-426939.01</v>
      </c>
      <c r="AF2240" t="str">
        <f t="shared" si="209"/>
        <v>Sample</v>
      </c>
    </row>
    <row r="2241" spans="1:32" ht="17.25" thickBot="1" x14ac:dyDescent="0.35">
      <c r="A2241" s="2" t="s">
        <v>13776</v>
      </c>
      <c r="B2241" s="2" t="s">
        <v>27</v>
      </c>
      <c r="C2241" s="2" t="s">
        <v>28</v>
      </c>
      <c r="D2241" s="2" t="s">
        <v>97</v>
      </c>
      <c r="E2241" s="2" t="s">
        <v>13597</v>
      </c>
      <c r="F2241" s="2" t="s">
        <v>8445</v>
      </c>
      <c r="G2241" s="2" t="s">
        <v>32</v>
      </c>
      <c r="H2241" s="1"/>
      <c r="I2241" s="2" t="s">
        <v>33</v>
      </c>
      <c r="J2241" s="2" t="s">
        <v>34</v>
      </c>
      <c r="K2241" s="2" t="s">
        <v>13777</v>
      </c>
      <c r="L2241" s="2" t="s">
        <v>13778</v>
      </c>
      <c r="M2241" s="2" t="s">
        <v>13752</v>
      </c>
      <c r="N2241" s="2" t="s">
        <v>38</v>
      </c>
      <c r="O2241" s="2" t="s">
        <v>391</v>
      </c>
      <c r="P2241" s="2" t="s">
        <v>104</v>
      </c>
      <c r="Q2241" s="2" t="s">
        <v>12215</v>
      </c>
      <c r="R2241" s="2" t="s">
        <v>40</v>
      </c>
      <c r="S2241" s="2" t="s">
        <v>13761</v>
      </c>
      <c r="T2241" s="2" t="s">
        <v>12395</v>
      </c>
      <c r="U2241" s="2" t="s">
        <v>3452</v>
      </c>
      <c r="V2241" s="2" t="s">
        <v>13762</v>
      </c>
      <c r="W2241" s="2" t="s">
        <v>41</v>
      </c>
      <c r="X2241" s="2" t="s">
        <v>13763</v>
      </c>
      <c r="Y2241" s="2" t="s">
        <v>13619</v>
      </c>
      <c r="AA2241" t="str">
        <f t="shared" si="204"/>
        <v>2025-10</v>
      </c>
      <c r="AB2241" t="str">
        <f t="shared" si="205"/>
        <v/>
      </c>
      <c r="AC2241">
        <f t="shared" si="206"/>
        <v>823.32</v>
      </c>
      <c r="AD2241">
        <f t="shared" si="207"/>
        <v>60</v>
      </c>
      <c r="AE2241">
        <f t="shared" si="208"/>
        <v>-474376.68</v>
      </c>
      <c r="AF2241" t="str">
        <f t="shared" si="209"/>
        <v>Sample</v>
      </c>
    </row>
    <row r="2242" spans="1:32" ht="17.25" thickBot="1" x14ac:dyDescent="0.35">
      <c r="A2242" s="2" t="s">
        <v>13779</v>
      </c>
      <c r="B2242" s="2" t="s">
        <v>27</v>
      </c>
      <c r="C2242" s="2" t="s">
        <v>28</v>
      </c>
      <c r="D2242" s="2" t="s">
        <v>97</v>
      </c>
      <c r="E2242" s="2" t="s">
        <v>13597</v>
      </c>
      <c r="F2242" s="2" t="s">
        <v>8445</v>
      </c>
      <c r="G2242" s="2" t="s">
        <v>32</v>
      </c>
      <c r="H2242" s="1"/>
      <c r="I2242" s="2" t="s">
        <v>33</v>
      </c>
      <c r="J2242" s="2" t="s">
        <v>34</v>
      </c>
      <c r="K2242" s="2" t="s">
        <v>808</v>
      </c>
      <c r="L2242" s="2" t="s">
        <v>809</v>
      </c>
      <c r="M2242" s="2" t="s">
        <v>772</v>
      </c>
      <c r="N2242" s="2" t="s">
        <v>38</v>
      </c>
      <c r="O2242" s="2" t="s">
        <v>7388</v>
      </c>
      <c r="P2242" s="2" t="s">
        <v>8691</v>
      </c>
      <c r="Q2242" s="2" t="s">
        <v>13780</v>
      </c>
      <c r="R2242" s="2" t="s">
        <v>40</v>
      </c>
      <c r="S2242" s="2" t="s">
        <v>13781</v>
      </c>
      <c r="T2242" s="2" t="s">
        <v>814</v>
      </c>
      <c r="U2242" s="2" t="s">
        <v>13782</v>
      </c>
      <c r="V2242" s="2" t="s">
        <v>13783</v>
      </c>
      <c r="W2242" s="1"/>
      <c r="X2242" s="2" t="s">
        <v>3310</v>
      </c>
      <c r="Y2242" s="2" t="s">
        <v>13619</v>
      </c>
      <c r="AA2242" t="str">
        <f t="shared" si="204"/>
        <v>2025-10</v>
      </c>
      <c r="AB2242" t="str">
        <f t="shared" si="205"/>
        <v/>
      </c>
      <c r="AC2242">
        <f t="shared" si="206"/>
        <v>51045840</v>
      </c>
      <c r="AD2242">
        <f t="shared" si="207"/>
        <v>4000</v>
      </c>
      <c r="AE2242">
        <f t="shared" si="208"/>
        <v>10005840</v>
      </c>
      <c r="AF2242" t="str">
        <f t="shared" si="209"/>
        <v>Paid</v>
      </c>
    </row>
    <row r="2243" spans="1:32" ht="17.25" thickBot="1" x14ac:dyDescent="0.35">
      <c r="A2243" s="2" t="s">
        <v>13784</v>
      </c>
      <c r="B2243" s="2" t="s">
        <v>27</v>
      </c>
      <c r="C2243" s="2" t="s">
        <v>28</v>
      </c>
      <c r="D2243" s="2" t="s">
        <v>97</v>
      </c>
      <c r="E2243" s="2" t="s">
        <v>13597</v>
      </c>
      <c r="F2243" s="2" t="s">
        <v>8445</v>
      </c>
      <c r="G2243" s="2" t="s">
        <v>32</v>
      </c>
      <c r="H2243" s="1"/>
      <c r="I2243" s="2" t="s">
        <v>33</v>
      </c>
      <c r="J2243" s="2" t="s">
        <v>34</v>
      </c>
      <c r="K2243" s="2" t="s">
        <v>12117</v>
      </c>
      <c r="L2243" s="2" t="s">
        <v>12118</v>
      </c>
      <c r="M2243" s="2" t="s">
        <v>772</v>
      </c>
      <c r="N2243" s="2" t="s">
        <v>38</v>
      </c>
      <c r="O2243" s="2" t="s">
        <v>773</v>
      </c>
      <c r="P2243" s="2" t="s">
        <v>5916</v>
      </c>
      <c r="Q2243" s="2" t="s">
        <v>13785</v>
      </c>
      <c r="R2243" s="2" t="s">
        <v>40</v>
      </c>
      <c r="S2243" s="2" t="s">
        <v>13786</v>
      </c>
      <c r="T2243" s="2" t="s">
        <v>4347</v>
      </c>
      <c r="U2243" s="2" t="s">
        <v>13787</v>
      </c>
      <c r="V2243" s="2" t="s">
        <v>13788</v>
      </c>
      <c r="W2243" s="1"/>
      <c r="X2243" s="2" t="s">
        <v>1299</v>
      </c>
      <c r="Y2243" s="2" t="s">
        <v>13619</v>
      </c>
      <c r="AA2243" t="str">
        <f t="shared" si="204"/>
        <v>2025-10</v>
      </c>
      <c r="AB2243" t="str">
        <f t="shared" si="205"/>
        <v/>
      </c>
      <c r="AC2243">
        <f t="shared" si="206"/>
        <v>2168076</v>
      </c>
      <c r="AD2243">
        <f t="shared" si="207"/>
        <v>200</v>
      </c>
      <c r="AE2243">
        <f t="shared" si="208"/>
        <v>400076</v>
      </c>
      <c r="AF2243" t="str">
        <f t="shared" si="209"/>
        <v>Paid</v>
      </c>
    </row>
    <row r="2244" spans="1:32" ht="17.25" thickBot="1" x14ac:dyDescent="0.35">
      <c r="A2244" s="2" t="s">
        <v>13789</v>
      </c>
      <c r="B2244" s="2" t="s">
        <v>27</v>
      </c>
      <c r="C2244" s="2" t="s">
        <v>28</v>
      </c>
      <c r="D2244" s="2" t="s">
        <v>97</v>
      </c>
      <c r="E2244" s="2" t="s">
        <v>13597</v>
      </c>
      <c r="F2244" s="2" t="s">
        <v>8445</v>
      </c>
      <c r="G2244" s="2" t="s">
        <v>32</v>
      </c>
      <c r="H2244" s="1"/>
      <c r="I2244" s="2" t="s">
        <v>33</v>
      </c>
      <c r="J2244" s="2" t="s">
        <v>34</v>
      </c>
      <c r="K2244" s="2" t="s">
        <v>936</v>
      </c>
      <c r="L2244" s="2" t="s">
        <v>937</v>
      </c>
      <c r="M2244" s="2" t="s">
        <v>772</v>
      </c>
      <c r="N2244" s="2" t="s">
        <v>38</v>
      </c>
      <c r="O2244" s="2" t="s">
        <v>13790</v>
      </c>
      <c r="P2244" s="2" t="s">
        <v>6747</v>
      </c>
      <c r="Q2244" s="2" t="s">
        <v>13791</v>
      </c>
      <c r="R2244" s="2" t="s">
        <v>40</v>
      </c>
      <c r="S2244" s="2" t="s">
        <v>13792</v>
      </c>
      <c r="T2244" s="2" t="s">
        <v>942</v>
      </c>
      <c r="U2244" s="2" t="s">
        <v>13793</v>
      </c>
      <c r="V2244" s="2" t="s">
        <v>13794</v>
      </c>
      <c r="W2244" s="1"/>
      <c r="X2244" s="2" t="s">
        <v>5030</v>
      </c>
      <c r="Y2244" s="2" t="s">
        <v>13619</v>
      </c>
      <c r="AA2244" t="str">
        <f t="shared" ref="AA2244:AA2307" si="210">LEFT(E2244,7)</f>
        <v>2025-10</v>
      </c>
      <c r="AB2244" t="str">
        <f t="shared" ref="AB2244:AB2307" si="211">IF(AND($AA2244&gt;="2025-01",$AA2244&lt;="2025-06"),"H1_2025",IF(AND($AA2244&gt;="2026-01",$AA2244&lt;="2026-06"),"H1_2026",""))</f>
        <v/>
      </c>
      <c r="AC2244">
        <f t="shared" ref="AC2244:AC2307" si="212">IFERROR(VALUE(SUBSTITUTE(S2244,",","")),0)</f>
        <v>30428535</v>
      </c>
      <c r="AD2244">
        <f t="shared" ref="AD2244:AD2307" si="213">IFERROR(VALUE(SUBSTITUTE(O2244,",","")),0)</f>
        <v>2500</v>
      </c>
      <c r="AE2244">
        <f t="shared" ref="AE2244:AE2307" si="214">IFERROR(VALUE(SUBSTITUTE(V2244,",","")),0)</f>
        <v>5856035</v>
      </c>
      <c r="AF2244" t="str">
        <f t="shared" ref="AF2244:AF2307" si="215">IF(ISNUMBER(SEARCH("FOC",W2244)),"FOC",IF(ISNUMBER(SEARCH("샘플",W2244)),"Sample","Paid"))</f>
        <v>Paid</v>
      </c>
    </row>
    <row r="2245" spans="1:32" ht="17.25" thickBot="1" x14ac:dyDescent="0.35">
      <c r="A2245" s="2" t="s">
        <v>13795</v>
      </c>
      <c r="B2245" s="2" t="s">
        <v>27</v>
      </c>
      <c r="C2245" s="2" t="s">
        <v>28</v>
      </c>
      <c r="D2245" s="2" t="s">
        <v>97</v>
      </c>
      <c r="E2245" s="2" t="s">
        <v>13597</v>
      </c>
      <c r="F2245" s="2" t="s">
        <v>8445</v>
      </c>
      <c r="G2245" s="2" t="s">
        <v>32</v>
      </c>
      <c r="H2245" s="1"/>
      <c r="I2245" s="2" t="s">
        <v>33</v>
      </c>
      <c r="J2245" s="2" t="s">
        <v>34</v>
      </c>
      <c r="K2245" s="2" t="s">
        <v>12129</v>
      </c>
      <c r="L2245" s="2" t="s">
        <v>12130</v>
      </c>
      <c r="M2245" s="2" t="s">
        <v>772</v>
      </c>
      <c r="N2245" s="2" t="s">
        <v>38</v>
      </c>
      <c r="O2245" s="2" t="s">
        <v>149</v>
      </c>
      <c r="P2245" s="2" t="s">
        <v>9040</v>
      </c>
      <c r="Q2245" s="2" t="s">
        <v>13796</v>
      </c>
      <c r="R2245" s="2" t="s">
        <v>40</v>
      </c>
      <c r="S2245" s="2" t="s">
        <v>13797</v>
      </c>
      <c r="T2245" s="2" t="s">
        <v>12132</v>
      </c>
      <c r="U2245" s="2" t="s">
        <v>13798</v>
      </c>
      <c r="V2245" s="2" t="s">
        <v>13799</v>
      </c>
      <c r="W2245" s="1"/>
      <c r="X2245" s="2" t="s">
        <v>5766</v>
      </c>
      <c r="Y2245" s="2" t="s">
        <v>13619</v>
      </c>
      <c r="AA2245" t="str">
        <f t="shared" si="210"/>
        <v>2025-10</v>
      </c>
      <c r="AB2245" t="str">
        <f t="shared" si="211"/>
        <v/>
      </c>
      <c r="AC2245">
        <f t="shared" si="212"/>
        <v>4503560.4000000004</v>
      </c>
      <c r="AD2245">
        <f t="shared" si="213"/>
        <v>300</v>
      </c>
      <c r="AE2245">
        <f t="shared" si="214"/>
        <v>768560.4</v>
      </c>
      <c r="AF2245" t="str">
        <f t="shared" si="215"/>
        <v>Paid</v>
      </c>
    </row>
    <row r="2246" spans="1:32" ht="17.25" thickBot="1" x14ac:dyDescent="0.35">
      <c r="A2246" s="2" t="s">
        <v>13800</v>
      </c>
      <c r="B2246" s="2" t="s">
        <v>27</v>
      </c>
      <c r="C2246" s="2" t="s">
        <v>28</v>
      </c>
      <c r="D2246" s="2" t="s">
        <v>97</v>
      </c>
      <c r="E2246" s="2" t="s">
        <v>13597</v>
      </c>
      <c r="F2246" s="2" t="s">
        <v>8445</v>
      </c>
      <c r="G2246" s="2" t="s">
        <v>32</v>
      </c>
      <c r="H2246" s="1"/>
      <c r="I2246" s="2" t="s">
        <v>33</v>
      </c>
      <c r="J2246" s="2" t="s">
        <v>34</v>
      </c>
      <c r="K2246" s="2" t="s">
        <v>946</v>
      </c>
      <c r="L2246" s="2" t="s">
        <v>947</v>
      </c>
      <c r="M2246" s="2" t="s">
        <v>772</v>
      </c>
      <c r="N2246" s="2" t="s">
        <v>38</v>
      </c>
      <c r="O2246" s="2" t="s">
        <v>206</v>
      </c>
      <c r="P2246" s="2" t="s">
        <v>13801</v>
      </c>
      <c r="Q2246" s="2" t="s">
        <v>13802</v>
      </c>
      <c r="R2246" s="2" t="s">
        <v>40</v>
      </c>
      <c r="S2246" s="2" t="s">
        <v>13803</v>
      </c>
      <c r="T2246" s="2" t="s">
        <v>13804</v>
      </c>
      <c r="U2246" s="2" t="s">
        <v>12920</v>
      </c>
      <c r="V2246" s="2" t="s">
        <v>13805</v>
      </c>
      <c r="W2246" s="1"/>
      <c r="X2246" s="2" t="s">
        <v>997</v>
      </c>
      <c r="Y2246" s="2" t="s">
        <v>13619</v>
      </c>
      <c r="AA2246" t="str">
        <f t="shared" si="210"/>
        <v>2025-10</v>
      </c>
      <c r="AB2246" t="str">
        <f t="shared" si="211"/>
        <v/>
      </c>
      <c r="AC2246">
        <f t="shared" si="212"/>
        <v>7382436</v>
      </c>
      <c r="AD2246">
        <f t="shared" si="213"/>
        <v>500</v>
      </c>
      <c r="AE2246">
        <f t="shared" si="214"/>
        <v>2102436</v>
      </c>
      <c r="AF2246" t="str">
        <f t="shared" si="215"/>
        <v>Paid</v>
      </c>
    </row>
    <row r="2247" spans="1:32" ht="17.25" thickBot="1" x14ac:dyDescent="0.35">
      <c r="A2247" s="2" t="s">
        <v>13806</v>
      </c>
      <c r="B2247" s="2" t="s">
        <v>27</v>
      </c>
      <c r="C2247" s="2" t="s">
        <v>28</v>
      </c>
      <c r="D2247" s="2" t="s">
        <v>97</v>
      </c>
      <c r="E2247" s="2" t="s">
        <v>13597</v>
      </c>
      <c r="F2247" s="2" t="s">
        <v>8445</v>
      </c>
      <c r="G2247" s="2" t="s">
        <v>32</v>
      </c>
      <c r="H2247" s="1"/>
      <c r="I2247" s="2" t="s">
        <v>33</v>
      </c>
      <c r="J2247" s="2" t="s">
        <v>34</v>
      </c>
      <c r="K2247" s="2" t="s">
        <v>967</v>
      </c>
      <c r="L2247" s="2" t="s">
        <v>968</v>
      </c>
      <c r="M2247" s="2" t="s">
        <v>772</v>
      </c>
      <c r="N2247" s="2" t="s">
        <v>38</v>
      </c>
      <c r="O2247" s="2" t="s">
        <v>149</v>
      </c>
      <c r="P2247" s="2" t="s">
        <v>13807</v>
      </c>
      <c r="Q2247" s="2" t="s">
        <v>13808</v>
      </c>
      <c r="R2247" s="2" t="s">
        <v>40</v>
      </c>
      <c r="S2247" s="2" t="s">
        <v>13809</v>
      </c>
      <c r="T2247" s="2" t="s">
        <v>973</v>
      </c>
      <c r="U2247" s="2" t="s">
        <v>12150</v>
      </c>
      <c r="V2247" s="2" t="s">
        <v>13810</v>
      </c>
      <c r="W2247" s="1"/>
      <c r="X2247" s="2" t="s">
        <v>3310</v>
      </c>
      <c r="Y2247" s="2" t="s">
        <v>13619</v>
      </c>
      <c r="AA2247" t="str">
        <f t="shared" si="210"/>
        <v>2025-10</v>
      </c>
      <c r="AB2247" t="str">
        <f t="shared" si="211"/>
        <v/>
      </c>
      <c r="AC2247">
        <f t="shared" si="212"/>
        <v>4293613.8</v>
      </c>
      <c r="AD2247">
        <f t="shared" si="213"/>
        <v>300</v>
      </c>
      <c r="AE2247">
        <f t="shared" si="214"/>
        <v>843613.8</v>
      </c>
      <c r="AF2247" t="str">
        <f t="shared" si="215"/>
        <v>Paid</v>
      </c>
    </row>
    <row r="2248" spans="1:32" ht="17.25" thickBot="1" x14ac:dyDescent="0.35">
      <c r="A2248" s="2" t="s">
        <v>13811</v>
      </c>
      <c r="B2248" s="2" t="s">
        <v>27</v>
      </c>
      <c r="C2248" s="2" t="s">
        <v>28</v>
      </c>
      <c r="D2248" s="2" t="s">
        <v>97</v>
      </c>
      <c r="E2248" s="2" t="s">
        <v>13597</v>
      </c>
      <c r="F2248" s="2" t="s">
        <v>8445</v>
      </c>
      <c r="G2248" s="2" t="s">
        <v>32</v>
      </c>
      <c r="H2248" s="1"/>
      <c r="I2248" s="2" t="s">
        <v>33</v>
      </c>
      <c r="J2248" s="2" t="s">
        <v>34</v>
      </c>
      <c r="K2248" s="2" t="s">
        <v>978</v>
      </c>
      <c r="L2248" s="2" t="s">
        <v>979</v>
      </c>
      <c r="M2248" s="2" t="s">
        <v>772</v>
      </c>
      <c r="N2248" s="2" t="s">
        <v>38</v>
      </c>
      <c r="O2248" s="2" t="s">
        <v>3068</v>
      </c>
      <c r="P2248" s="2" t="s">
        <v>1838</v>
      </c>
      <c r="Q2248" s="2" t="s">
        <v>13812</v>
      </c>
      <c r="R2248" s="2" t="s">
        <v>40</v>
      </c>
      <c r="S2248" s="2" t="s">
        <v>13813</v>
      </c>
      <c r="T2248" s="2" t="s">
        <v>983</v>
      </c>
      <c r="U2248" s="2" t="s">
        <v>13814</v>
      </c>
      <c r="V2248" s="2" t="s">
        <v>13815</v>
      </c>
      <c r="W2248" s="1"/>
      <c r="X2248" s="2" t="s">
        <v>3589</v>
      </c>
      <c r="Y2248" s="2" t="s">
        <v>13619</v>
      </c>
      <c r="AA2248" t="str">
        <f t="shared" si="210"/>
        <v>2025-10</v>
      </c>
      <c r="AB2248" t="str">
        <f t="shared" si="211"/>
        <v/>
      </c>
      <c r="AC2248">
        <f t="shared" si="212"/>
        <v>9365265</v>
      </c>
      <c r="AD2248">
        <f t="shared" si="213"/>
        <v>700</v>
      </c>
      <c r="AE2248">
        <f t="shared" si="214"/>
        <v>1910265</v>
      </c>
      <c r="AF2248" t="str">
        <f t="shared" si="215"/>
        <v>Paid</v>
      </c>
    </row>
    <row r="2249" spans="1:32" ht="17.25" thickBot="1" x14ac:dyDescent="0.35">
      <c r="A2249" s="2" t="s">
        <v>13816</v>
      </c>
      <c r="B2249" s="2" t="s">
        <v>27</v>
      </c>
      <c r="C2249" s="2" t="s">
        <v>28</v>
      </c>
      <c r="D2249" s="2" t="s">
        <v>97</v>
      </c>
      <c r="E2249" s="2" t="s">
        <v>13597</v>
      </c>
      <c r="F2249" s="2" t="s">
        <v>8445</v>
      </c>
      <c r="G2249" s="2" t="s">
        <v>32</v>
      </c>
      <c r="H2249" s="1"/>
      <c r="I2249" s="2" t="s">
        <v>33</v>
      </c>
      <c r="J2249" s="2" t="s">
        <v>34</v>
      </c>
      <c r="K2249" s="2" t="s">
        <v>988</v>
      </c>
      <c r="L2249" s="2" t="s">
        <v>989</v>
      </c>
      <c r="M2249" s="2" t="s">
        <v>772</v>
      </c>
      <c r="N2249" s="2" t="s">
        <v>38</v>
      </c>
      <c r="O2249" s="2" t="s">
        <v>228</v>
      </c>
      <c r="P2249" s="2" t="s">
        <v>6567</v>
      </c>
      <c r="Q2249" s="2" t="s">
        <v>13817</v>
      </c>
      <c r="R2249" s="2" t="s">
        <v>40</v>
      </c>
      <c r="S2249" s="2" t="s">
        <v>13818</v>
      </c>
      <c r="T2249" s="2" t="s">
        <v>994</v>
      </c>
      <c r="U2249" s="2" t="s">
        <v>13819</v>
      </c>
      <c r="V2249" s="2" t="s">
        <v>13820</v>
      </c>
      <c r="W2249" s="1"/>
      <c r="X2249" s="2" t="s">
        <v>2278</v>
      </c>
      <c r="Y2249" s="2" t="s">
        <v>13619</v>
      </c>
      <c r="AA2249" t="str">
        <f t="shared" si="210"/>
        <v>2025-10</v>
      </c>
      <c r="AB2249" t="str">
        <f t="shared" si="211"/>
        <v/>
      </c>
      <c r="AC2249">
        <f t="shared" si="212"/>
        <v>17904465.600000001</v>
      </c>
      <c r="AD2249">
        <f t="shared" si="213"/>
        <v>1400</v>
      </c>
      <c r="AE2249">
        <f t="shared" si="214"/>
        <v>3414465.6</v>
      </c>
      <c r="AF2249" t="str">
        <f t="shared" si="215"/>
        <v>Paid</v>
      </c>
    </row>
    <row r="2250" spans="1:32" ht="17.25" thickBot="1" x14ac:dyDescent="0.35">
      <c r="A2250" s="2" t="s">
        <v>13821</v>
      </c>
      <c r="B2250" s="2" t="s">
        <v>27</v>
      </c>
      <c r="C2250" s="2" t="s">
        <v>28</v>
      </c>
      <c r="D2250" s="2" t="s">
        <v>97</v>
      </c>
      <c r="E2250" s="2" t="s">
        <v>13597</v>
      </c>
      <c r="F2250" s="2" t="s">
        <v>8445</v>
      </c>
      <c r="G2250" s="2" t="s">
        <v>32</v>
      </c>
      <c r="H2250" s="1"/>
      <c r="I2250" s="2" t="s">
        <v>33</v>
      </c>
      <c r="J2250" s="2" t="s">
        <v>34</v>
      </c>
      <c r="K2250" s="2" t="s">
        <v>1026</v>
      </c>
      <c r="L2250" s="2" t="s">
        <v>1027</v>
      </c>
      <c r="M2250" s="2" t="s">
        <v>772</v>
      </c>
      <c r="N2250" s="2" t="s">
        <v>38</v>
      </c>
      <c r="O2250" s="2" t="s">
        <v>206</v>
      </c>
      <c r="P2250" s="2" t="s">
        <v>3069</v>
      </c>
      <c r="Q2250" s="2" t="s">
        <v>13822</v>
      </c>
      <c r="R2250" s="2" t="s">
        <v>40</v>
      </c>
      <c r="S2250" s="2" t="s">
        <v>13823</v>
      </c>
      <c r="T2250" s="2" t="s">
        <v>669</v>
      </c>
      <c r="U2250" s="2" t="s">
        <v>13824</v>
      </c>
      <c r="V2250" s="2" t="s">
        <v>13825</v>
      </c>
      <c r="W2250" s="1"/>
      <c r="X2250" s="2" t="s">
        <v>2072</v>
      </c>
      <c r="Y2250" s="2" t="s">
        <v>13619</v>
      </c>
      <c r="AA2250" t="str">
        <f t="shared" si="210"/>
        <v>2025-10</v>
      </c>
      <c r="AB2250" t="str">
        <f t="shared" si="211"/>
        <v/>
      </c>
      <c r="AC2250">
        <f t="shared" si="212"/>
        <v>3752967</v>
      </c>
      <c r="AD2250">
        <f t="shared" si="213"/>
        <v>500</v>
      </c>
      <c r="AE2250">
        <f t="shared" si="214"/>
        <v>752967</v>
      </c>
      <c r="AF2250" t="str">
        <f t="shared" si="215"/>
        <v>Paid</v>
      </c>
    </row>
    <row r="2251" spans="1:32" ht="17.25" thickBot="1" x14ac:dyDescent="0.35">
      <c r="A2251" s="2" t="s">
        <v>13826</v>
      </c>
      <c r="B2251" s="2" t="s">
        <v>27</v>
      </c>
      <c r="C2251" s="2" t="s">
        <v>28</v>
      </c>
      <c r="D2251" s="2" t="s">
        <v>97</v>
      </c>
      <c r="E2251" s="2" t="s">
        <v>13597</v>
      </c>
      <c r="F2251" s="2" t="s">
        <v>8445</v>
      </c>
      <c r="G2251" s="2" t="s">
        <v>32</v>
      </c>
      <c r="H2251" s="1"/>
      <c r="I2251" s="2" t="s">
        <v>33</v>
      </c>
      <c r="J2251" s="2" t="s">
        <v>34</v>
      </c>
      <c r="K2251" s="2" t="s">
        <v>1368</v>
      </c>
      <c r="L2251" s="2" t="s">
        <v>1369</v>
      </c>
      <c r="M2251" s="2" t="s">
        <v>84</v>
      </c>
      <c r="N2251" s="2" t="s">
        <v>38</v>
      </c>
      <c r="O2251" s="2" t="s">
        <v>1914</v>
      </c>
      <c r="P2251" s="2" t="s">
        <v>13827</v>
      </c>
      <c r="Q2251" s="2" t="s">
        <v>13828</v>
      </c>
      <c r="R2251" s="2" t="s">
        <v>40</v>
      </c>
      <c r="S2251" s="2" t="s">
        <v>13829</v>
      </c>
      <c r="T2251" s="2" t="s">
        <v>1354</v>
      </c>
      <c r="U2251" s="2" t="s">
        <v>13830</v>
      </c>
      <c r="V2251" s="2" t="s">
        <v>13831</v>
      </c>
      <c r="W2251" s="1"/>
      <c r="X2251" s="2" t="s">
        <v>827</v>
      </c>
      <c r="Y2251" s="2" t="s">
        <v>13619</v>
      </c>
      <c r="AA2251" t="str">
        <f t="shared" si="210"/>
        <v>2025-10</v>
      </c>
      <c r="AB2251" t="str">
        <f t="shared" si="211"/>
        <v/>
      </c>
      <c r="AC2251">
        <f t="shared" si="212"/>
        <v>5359813.2</v>
      </c>
      <c r="AD2251">
        <f t="shared" si="213"/>
        <v>900</v>
      </c>
      <c r="AE2251">
        <f t="shared" si="214"/>
        <v>1102813.2</v>
      </c>
      <c r="AF2251" t="str">
        <f t="shared" si="215"/>
        <v>Paid</v>
      </c>
    </row>
    <row r="2252" spans="1:32" ht="17.25" thickBot="1" x14ac:dyDescent="0.35">
      <c r="A2252" s="2" t="s">
        <v>13832</v>
      </c>
      <c r="B2252" s="2" t="s">
        <v>27</v>
      </c>
      <c r="C2252" s="2" t="s">
        <v>28</v>
      </c>
      <c r="D2252" s="2" t="s">
        <v>97</v>
      </c>
      <c r="E2252" s="2" t="s">
        <v>13597</v>
      </c>
      <c r="F2252" s="2" t="s">
        <v>8445</v>
      </c>
      <c r="G2252" s="2" t="s">
        <v>32</v>
      </c>
      <c r="H2252" s="1"/>
      <c r="I2252" s="2" t="s">
        <v>33</v>
      </c>
      <c r="J2252" s="2" t="s">
        <v>34</v>
      </c>
      <c r="K2252" s="2" t="s">
        <v>1377</v>
      </c>
      <c r="L2252" s="2" t="s">
        <v>1378</v>
      </c>
      <c r="M2252" s="2" t="s">
        <v>84</v>
      </c>
      <c r="N2252" s="2" t="s">
        <v>38</v>
      </c>
      <c r="O2252" s="2" t="s">
        <v>762</v>
      </c>
      <c r="P2252" s="2" t="s">
        <v>2801</v>
      </c>
      <c r="Q2252" s="2" t="s">
        <v>13833</v>
      </c>
      <c r="R2252" s="2" t="s">
        <v>40</v>
      </c>
      <c r="S2252" s="2" t="s">
        <v>13834</v>
      </c>
      <c r="T2252" s="2" t="s">
        <v>13835</v>
      </c>
      <c r="U2252" s="2" t="s">
        <v>13836</v>
      </c>
      <c r="V2252" s="2" t="s">
        <v>13837</v>
      </c>
      <c r="W2252" s="1"/>
      <c r="X2252" s="2" t="s">
        <v>1016</v>
      </c>
      <c r="Y2252" s="2" t="s">
        <v>13619</v>
      </c>
      <c r="AA2252" t="str">
        <f t="shared" si="210"/>
        <v>2025-10</v>
      </c>
      <c r="AB2252" t="str">
        <f t="shared" si="211"/>
        <v/>
      </c>
      <c r="AC2252">
        <f t="shared" si="212"/>
        <v>594107.71</v>
      </c>
      <c r="AD2252">
        <f t="shared" si="213"/>
        <v>88</v>
      </c>
      <c r="AE2252">
        <f t="shared" si="214"/>
        <v>173219.71</v>
      </c>
      <c r="AF2252" t="str">
        <f t="shared" si="215"/>
        <v>Paid</v>
      </c>
    </row>
    <row r="2253" spans="1:32" ht="17.25" thickBot="1" x14ac:dyDescent="0.35">
      <c r="A2253" s="2" t="s">
        <v>13838</v>
      </c>
      <c r="B2253" s="2" t="s">
        <v>27</v>
      </c>
      <c r="C2253" s="2" t="s">
        <v>28</v>
      </c>
      <c r="D2253" s="2" t="s">
        <v>97</v>
      </c>
      <c r="E2253" s="2" t="s">
        <v>13597</v>
      </c>
      <c r="F2253" s="2" t="s">
        <v>8445</v>
      </c>
      <c r="G2253" s="2" t="s">
        <v>32</v>
      </c>
      <c r="H2253" s="1"/>
      <c r="I2253" s="2" t="s">
        <v>33</v>
      </c>
      <c r="J2253" s="2" t="s">
        <v>34</v>
      </c>
      <c r="K2253" s="2" t="s">
        <v>1386</v>
      </c>
      <c r="L2253" s="2" t="s">
        <v>1387</v>
      </c>
      <c r="M2253" s="2" t="s">
        <v>84</v>
      </c>
      <c r="N2253" s="2" t="s">
        <v>38</v>
      </c>
      <c r="O2253" s="2" t="s">
        <v>185</v>
      </c>
      <c r="P2253" s="2" t="s">
        <v>13839</v>
      </c>
      <c r="Q2253" s="2" t="s">
        <v>13840</v>
      </c>
      <c r="R2253" s="2" t="s">
        <v>40</v>
      </c>
      <c r="S2253" s="2" t="s">
        <v>13841</v>
      </c>
      <c r="T2253" s="2" t="s">
        <v>13842</v>
      </c>
      <c r="U2253" s="2" t="s">
        <v>13843</v>
      </c>
      <c r="V2253" s="2" t="s">
        <v>13844</v>
      </c>
      <c r="W2253" s="1"/>
      <c r="X2253" s="2" t="s">
        <v>1340</v>
      </c>
      <c r="Y2253" s="2" t="s">
        <v>13619</v>
      </c>
      <c r="AA2253" t="str">
        <f t="shared" si="210"/>
        <v>2025-10</v>
      </c>
      <c r="AB2253" t="str">
        <f t="shared" si="211"/>
        <v/>
      </c>
      <c r="AC2253">
        <f t="shared" si="212"/>
        <v>191888.45</v>
      </c>
      <c r="AD2253">
        <f t="shared" si="213"/>
        <v>23</v>
      </c>
      <c r="AE2253">
        <f t="shared" si="214"/>
        <v>54854.45</v>
      </c>
      <c r="AF2253" t="str">
        <f t="shared" si="215"/>
        <v>Paid</v>
      </c>
    </row>
    <row r="2254" spans="1:32" ht="17.25" thickBot="1" x14ac:dyDescent="0.35">
      <c r="A2254" s="2" t="s">
        <v>13845</v>
      </c>
      <c r="B2254" s="2" t="s">
        <v>27</v>
      </c>
      <c r="C2254" s="2" t="s">
        <v>28</v>
      </c>
      <c r="D2254" s="2" t="s">
        <v>97</v>
      </c>
      <c r="E2254" s="2" t="s">
        <v>13597</v>
      </c>
      <c r="F2254" s="2" t="s">
        <v>8445</v>
      </c>
      <c r="G2254" s="2" t="s">
        <v>32</v>
      </c>
      <c r="H2254" s="1"/>
      <c r="I2254" s="2" t="s">
        <v>33</v>
      </c>
      <c r="J2254" s="2" t="s">
        <v>34</v>
      </c>
      <c r="K2254" s="2" t="s">
        <v>1403</v>
      </c>
      <c r="L2254" s="2" t="s">
        <v>1404</v>
      </c>
      <c r="M2254" s="2" t="s">
        <v>84</v>
      </c>
      <c r="N2254" s="2" t="s">
        <v>38</v>
      </c>
      <c r="O2254" s="2" t="s">
        <v>2449</v>
      </c>
      <c r="P2254" s="2" t="s">
        <v>10969</v>
      </c>
      <c r="Q2254" s="2" t="s">
        <v>13846</v>
      </c>
      <c r="R2254" s="2" t="s">
        <v>40</v>
      </c>
      <c r="S2254" s="2" t="s">
        <v>13847</v>
      </c>
      <c r="T2254" s="2" t="s">
        <v>1408</v>
      </c>
      <c r="U2254" s="2" t="s">
        <v>13848</v>
      </c>
      <c r="V2254" s="2" t="s">
        <v>13849</v>
      </c>
      <c r="W2254" s="1"/>
      <c r="X2254" s="2" t="s">
        <v>2188</v>
      </c>
      <c r="Y2254" s="2" t="s">
        <v>13619</v>
      </c>
      <c r="AA2254" t="str">
        <f t="shared" si="210"/>
        <v>2025-10</v>
      </c>
      <c r="AB2254" t="str">
        <f t="shared" si="211"/>
        <v/>
      </c>
      <c r="AC2254">
        <f t="shared" si="212"/>
        <v>3761145.31</v>
      </c>
      <c r="AD2254">
        <f t="shared" si="213"/>
        <v>296</v>
      </c>
      <c r="AE2254">
        <f t="shared" si="214"/>
        <v>1117865.31</v>
      </c>
      <c r="AF2254" t="str">
        <f t="shared" si="215"/>
        <v>Paid</v>
      </c>
    </row>
    <row r="2255" spans="1:32" ht="17.25" thickBot="1" x14ac:dyDescent="0.35">
      <c r="A2255" s="2" t="s">
        <v>13850</v>
      </c>
      <c r="B2255" s="2" t="s">
        <v>27</v>
      </c>
      <c r="C2255" s="2" t="s">
        <v>28</v>
      </c>
      <c r="D2255" s="2" t="s">
        <v>97</v>
      </c>
      <c r="E2255" s="2" t="s">
        <v>13597</v>
      </c>
      <c r="F2255" s="2" t="s">
        <v>8445</v>
      </c>
      <c r="G2255" s="2" t="s">
        <v>32</v>
      </c>
      <c r="H2255" s="1"/>
      <c r="I2255" s="2" t="s">
        <v>33</v>
      </c>
      <c r="J2255" s="2" t="s">
        <v>34</v>
      </c>
      <c r="K2255" s="2" t="s">
        <v>1412</v>
      </c>
      <c r="L2255" s="2" t="s">
        <v>1413</v>
      </c>
      <c r="M2255" s="2" t="s">
        <v>84</v>
      </c>
      <c r="N2255" s="2" t="s">
        <v>38</v>
      </c>
      <c r="O2255" s="2" t="s">
        <v>391</v>
      </c>
      <c r="P2255" s="2" t="s">
        <v>13851</v>
      </c>
      <c r="Q2255" s="2" t="s">
        <v>13852</v>
      </c>
      <c r="R2255" s="2" t="s">
        <v>40</v>
      </c>
      <c r="S2255" s="2" t="s">
        <v>13853</v>
      </c>
      <c r="T2255" s="2" t="s">
        <v>1417</v>
      </c>
      <c r="U2255" s="2" t="s">
        <v>1470</v>
      </c>
      <c r="V2255" s="2" t="s">
        <v>13854</v>
      </c>
      <c r="W2255" s="1"/>
      <c r="X2255" s="2" t="s">
        <v>13425</v>
      </c>
      <c r="Y2255" s="2" t="s">
        <v>13619</v>
      </c>
      <c r="AA2255" t="str">
        <f t="shared" si="210"/>
        <v>2025-10</v>
      </c>
      <c r="AB2255" t="str">
        <f t="shared" si="211"/>
        <v/>
      </c>
      <c r="AC2255">
        <f t="shared" si="212"/>
        <v>834023.16</v>
      </c>
      <c r="AD2255">
        <f t="shared" si="213"/>
        <v>60</v>
      </c>
      <c r="AE2255">
        <f t="shared" si="214"/>
        <v>424223.16</v>
      </c>
      <c r="AF2255" t="str">
        <f t="shared" si="215"/>
        <v>Paid</v>
      </c>
    </row>
    <row r="2256" spans="1:32" ht="17.25" thickBot="1" x14ac:dyDescent="0.35">
      <c r="A2256" s="2" t="s">
        <v>13855</v>
      </c>
      <c r="B2256" s="2" t="s">
        <v>27</v>
      </c>
      <c r="C2256" s="2" t="s">
        <v>28</v>
      </c>
      <c r="D2256" s="2" t="s">
        <v>97</v>
      </c>
      <c r="E2256" s="2" t="s">
        <v>13597</v>
      </c>
      <c r="F2256" s="2" t="s">
        <v>8445</v>
      </c>
      <c r="G2256" s="2" t="s">
        <v>32</v>
      </c>
      <c r="H2256" s="1"/>
      <c r="I2256" s="2" t="s">
        <v>33</v>
      </c>
      <c r="J2256" s="2" t="s">
        <v>34</v>
      </c>
      <c r="K2256" s="2" t="s">
        <v>1420</v>
      </c>
      <c r="L2256" s="2" t="s">
        <v>1421</v>
      </c>
      <c r="M2256" s="2" t="s">
        <v>84</v>
      </c>
      <c r="N2256" s="2" t="s">
        <v>38</v>
      </c>
      <c r="O2256" s="2" t="s">
        <v>214</v>
      </c>
      <c r="P2256" s="2" t="s">
        <v>3709</v>
      </c>
      <c r="Q2256" s="2" t="s">
        <v>13856</v>
      </c>
      <c r="R2256" s="2" t="s">
        <v>40</v>
      </c>
      <c r="S2256" s="2" t="s">
        <v>13857</v>
      </c>
      <c r="T2256" s="2" t="s">
        <v>13858</v>
      </c>
      <c r="U2256" s="2" t="s">
        <v>13859</v>
      </c>
      <c r="V2256" s="2" t="s">
        <v>13860</v>
      </c>
      <c r="W2256" s="1"/>
      <c r="X2256" s="2" t="s">
        <v>2939</v>
      </c>
      <c r="Y2256" s="2" t="s">
        <v>13619</v>
      </c>
      <c r="AA2256" t="str">
        <f t="shared" si="210"/>
        <v>2025-10</v>
      </c>
      <c r="AB2256" t="str">
        <f t="shared" si="211"/>
        <v/>
      </c>
      <c r="AC2256">
        <f t="shared" si="212"/>
        <v>397251.9</v>
      </c>
      <c r="AD2256">
        <f t="shared" si="213"/>
        <v>50</v>
      </c>
      <c r="AE2256">
        <f t="shared" si="214"/>
        <v>104301.9</v>
      </c>
      <c r="AF2256" t="str">
        <f t="shared" si="215"/>
        <v>Paid</v>
      </c>
    </row>
    <row r="2257" spans="1:32" ht="17.25" thickBot="1" x14ac:dyDescent="0.35">
      <c r="A2257" s="2" t="s">
        <v>13861</v>
      </c>
      <c r="B2257" s="2" t="s">
        <v>27</v>
      </c>
      <c r="C2257" s="2" t="s">
        <v>28</v>
      </c>
      <c r="D2257" s="2" t="s">
        <v>97</v>
      </c>
      <c r="E2257" s="2" t="s">
        <v>13597</v>
      </c>
      <c r="F2257" s="2" t="s">
        <v>8445</v>
      </c>
      <c r="G2257" s="2" t="s">
        <v>32</v>
      </c>
      <c r="H2257" s="1"/>
      <c r="I2257" s="2" t="s">
        <v>33</v>
      </c>
      <c r="J2257" s="2" t="s">
        <v>34</v>
      </c>
      <c r="K2257" s="2" t="s">
        <v>1439</v>
      </c>
      <c r="L2257" s="2" t="s">
        <v>1440</v>
      </c>
      <c r="M2257" s="2" t="s">
        <v>84</v>
      </c>
      <c r="N2257" s="2" t="s">
        <v>38</v>
      </c>
      <c r="O2257" s="2" t="s">
        <v>1951</v>
      </c>
      <c r="P2257" s="2" t="s">
        <v>13827</v>
      </c>
      <c r="Q2257" s="2" t="s">
        <v>13862</v>
      </c>
      <c r="R2257" s="2" t="s">
        <v>40</v>
      </c>
      <c r="S2257" s="2" t="s">
        <v>13863</v>
      </c>
      <c r="T2257" s="2" t="s">
        <v>1444</v>
      </c>
      <c r="U2257" s="2" t="s">
        <v>13864</v>
      </c>
      <c r="V2257" s="2" t="s">
        <v>13865</v>
      </c>
      <c r="W2257" s="1"/>
      <c r="X2257" s="2" t="s">
        <v>13866</v>
      </c>
      <c r="Y2257" s="2" t="s">
        <v>13619</v>
      </c>
      <c r="AA2257" t="str">
        <f t="shared" si="210"/>
        <v>2025-10</v>
      </c>
      <c r="AB2257" t="str">
        <f t="shared" si="211"/>
        <v/>
      </c>
      <c r="AC2257">
        <f t="shared" si="212"/>
        <v>3573208.8</v>
      </c>
      <c r="AD2257">
        <f t="shared" si="213"/>
        <v>600</v>
      </c>
      <c r="AE2257">
        <f t="shared" si="214"/>
        <v>297208.8</v>
      </c>
      <c r="AF2257" t="str">
        <f t="shared" si="215"/>
        <v>Paid</v>
      </c>
    </row>
    <row r="2258" spans="1:32" ht="17.25" thickBot="1" x14ac:dyDescent="0.35">
      <c r="A2258" s="2" t="s">
        <v>13867</v>
      </c>
      <c r="B2258" s="2" t="s">
        <v>27</v>
      </c>
      <c r="C2258" s="2" t="s">
        <v>28</v>
      </c>
      <c r="D2258" s="2" t="s">
        <v>97</v>
      </c>
      <c r="E2258" s="2" t="s">
        <v>13597</v>
      </c>
      <c r="F2258" s="2" t="s">
        <v>8445</v>
      </c>
      <c r="G2258" s="2" t="s">
        <v>32</v>
      </c>
      <c r="H2258" s="1"/>
      <c r="I2258" s="2" t="s">
        <v>33</v>
      </c>
      <c r="J2258" s="2" t="s">
        <v>34</v>
      </c>
      <c r="K2258" s="2" t="s">
        <v>1448</v>
      </c>
      <c r="L2258" s="2" t="s">
        <v>1449</v>
      </c>
      <c r="M2258" s="2" t="s">
        <v>84</v>
      </c>
      <c r="N2258" s="2" t="s">
        <v>38</v>
      </c>
      <c r="O2258" s="2" t="s">
        <v>1951</v>
      </c>
      <c r="P2258" s="2" t="s">
        <v>13868</v>
      </c>
      <c r="Q2258" s="2" t="s">
        <v>13869</v>
      </c>
      <c r="R2258" s="2" t="s">
        <v>40</v>
      </c>
      <c r="S2258" s="2" t="s">
        <v>13870</v>
      </c>
      <c r="T2258" s="2" t="s">
        <v>1454</v>
      </c>
      <c r="U2258" s="2" t="s">
        <v>10623</v>
      </c>
      <c r="V2258" s="2" t="s">
        <v>13871</v>
      </c>
      <c r="W2258" s="1"/>
      <c r="X2258" s="2" t="s">
        <v>13872</v>
      </c>
      <c r="Y2258" s="2" t="s">
        <v>13619</v>
      </c>
      <c r="AA2258" t="str">
        <f t="shared" si="210"/>
        <v>2025-10</v>
      </c>
      <c r="AB2258" t="str">
        <f t="shared" si="211"/>
        <v/>
      </c>
      <c r="AC2258">
        <f t="shared" si="212"/>
        <v>2264130</v>
      </c>
      <c r="AD2258">
        <f t="shared" si="213"/>
        <v>600</v>
      </c>
      <c r="AE2258">
        <f t="shared" si="214"/>
        <v>122130</v>
      </c>
      <c r="AF2258" t="str">
        <f t="shared" si="215"/>
        <v>Paid</v>
      </c>
    </row>
    <row r="2259" spans="1:32" ht="17.25" thickBot="1" x14ac:dyDescent="0.35">
      <c r="A2259" s="2" t="s">
        <v>13873</v>
      </c>
      <c r="B2259" s="2" t="s">
        <v>27</v>
      </c>
      <c r="C2259" s="2" t="s">
        <v>28</v>
      </c>
      <c r="D2259" s="2" t="s">
        <v>97</v>
      </c>
      <c r="E2259" s="2" t="s">
        <v>13597</v>
      </c>
      <c r="F2259" s="2" t="s">
        <v>8445</v>
      </c>
      <c r="G2259" s="2" t="s">
        <v>32</v>
      </c>
      <c r="H2259" s="1"/>
      <c r="I2259" s="2" t="s">
        <v>33</v>
      </c>
      <c r="J2259" s="2" t="s">
        <v>34</v>
      </c>
      <c r="K2259" s="2" t="s">
        <v>4528</v>
      </c>
      <c r="L2259" s="2" t="s">
        <v>4529</v>
      </c>
      <c r="M2259" s="2" t="s">
        <v>84</v>
      </c>
      <c r="N2259" s="2" t="s">
        <v>38</v>
      </c>
      <c r="O2259" s="2" t="s">
        <v>3068</v>
      </c>
      <c r="P2259" s="2" t="s">
        <v>10969</v>
      </c>
      <c r="Q2259" s="2" t="s">
        <v>13874</v>
      </c>
      <c r="R2259" s="2" t="s">
        <v>40</v>
      </c>
      <c r="S2259" s="2" t="s">
        <v>13875</v>
      </c>
      <c r="T2259" s="2" t="s">
        <v>4531</v>
      </c>
      <c r="U2259" s="2" t="s">
        <v>13876</v>
      </c>
      <c r="V2259" s="2" t="s">
        <v>13877</v>
      </c>
      <c r="W2259" s="1"/>
      <c r="X2259" s="2" t="s">
        <v>1893</v>
      </c>
      <c r="Y2259" s="2" t="s">
        <v>13619</v>
      </c>
      <c r="AA2259" t="str">
        <f t="shared" si="210"/>
        <v>2025-10</v>
      </c>
      <c r="AB2259" t="str">
        <f t="shared" si="211"/>
        <v/>
      </c>
      <c r="AC2259">
        <f t="shared" si="212"/>
        <v>8894600.4000000004</v>
      </c>
      <c r="AD2259">
        <f t="shared" si="213"/>
        <v>700</v>
      </c>
      <c r="AE2259">
        <f t="shared" si="214"/>
        <v>2314600.4</v>
      </c>
      <c r="AF2259" t="str">
        <f t="shared" si="215"/>
        <v>Paid</v>
      </c>
    </row>
    <row r="2260" spans="1:32" ht="17.25" thickBot="1" x14ac:dyDescent="0.35">
      <c r="A2260" s="2" t="s">
        <v>13878</v>
      </c>
      <c r="B2260" s="2" t="s">
        <v>27</v>
      </c>
      <c r="C2260" s="2" t="s">
        <v>28</v>
      </c>
      <c r="D2260" s="2" t="s">
        <v>97</v>
      </c>
      <c r="E2260" s="2" t="s">
        <v>13597</v>
      </c>
      <c r="F2260" s="2" t="s">
        <v>8445</v>
      </c>
      <c r="G2260" s="2" t="s">
        <v>32</v>
      </c>
      <c r="H2260" s="1"/>
      <c r="I2260" s="2" t="s">
        <v>33</v>
      </c>
      <c r="J2260" s="2" t="s">
        <v>34</v>
      </c>
      <c r="K2260" s="2" t="s">
        <v>1466</v>
      </c>
      <c r="L2260" s="2" t="s">
        <v>1467</v>
      </c>
      <c r="M2260" s="2" t="s">
        <v>84</v>
      </c>
      <c r="N2260" s="2" t="s">
        <v>38</v>
      </c>
      <c r="O2260" s="2" t="s">
        <v>159</v>
      </c>
      <c r="P2260" s="2" t="s">
        <v>4284</v>
      </c>
      <c r="Q2260" s="2" t="s">
        <v>13879</v>
      </c>
      <c r="R2260" s="2" t="s">
        <v>40</v>
      </c>
      <c r="S2260" s="2" t="s">
        <v>13880</v>
      </c>
      <c r="T2260" s="2" t="s">
        <v>13881</v>
      </c>
      <c r="U2260" s="2" t="s">
        <v>13882</v>
      </c>
      <c r="V2260" s="2" t="s">
        <v>13883</v>
      </c>
      <c r="W2260" s="1"/>
      <c r="X2260" s="2" t="s">
        <v>9050</v>
      </c>
      <c r="Y2260" s="2" t="s">
        <v>13619</v>
      </c>
      <c r="AA2260" t="str">
        <f t="shared" si="210"/>
        <v>2025-10</v>
      </c>
      <c r="AB2260" t="str">
        <f t="shared" si="211"/>
        <v/>
      </c>
      <c r="AC2260">
        <f t="shared" si="212"/>
        <v>794778.24</v>
      </c>
      <c r="AD2260">
        <f t="shared" si="213"/>
        <v>80</v>
      </c>
      <c r="AE2260">
        <f t="shared" si="214"/>
        <v>290041.24</v>
      </c>
      <c r="AF2260" t="str">
        <f t="shared" si="215"/>
        <v>Paid</v>
      </c>
    </row>
    <row r="2261" spans="1:32" ht="17.25" thickBot="1" x14ac:dyDescent="0.35">
      <c r="A2261" s="2" t="s">
        <v>13884</v>
      </c>
      <c r="B2261" s="2" t="s">
        <v>27</v>
      </c>
      <c r="C2261" s="2" t="s">
        <v>28</v>
      </c>
      <c r="D2261" s="2" t="s">
        <v>97</v>
      </c>
      <c r="E2261" s="2" t="s">
        <v>13597</v>
      </c>
      <c r="F2261" s="2" t="s">
        <v>8445</v>
      </c>
      <c r="G2261" s="2" t="s">
        <v>32</v>
      </c>
      <c r="H2261" s="1"/>
      <c r="I2261" s="2" t="s">
        <v>33</v>
      </c>
      <c r="J2261" s="2" t="s">
        <v>34</v>
      </c>
      <c r="K2261" s="2" t="s">
        <v>1474</v>
      </c>
      <c r="L2261" s="2" t="s">
        <v>1475</v>
      </c>
      <c r="M2261" s="2" t="s">
        <v>84</v>
      </c>
      <c r="N2261" s="2" t="s">
        <v>38</v>
      </c>
      <c r="O2261" s="2" t="s">
        <v>1333</v>
      </c>
      <c r="P2261" s="2" t="s">
        <v>7296</v>
      </c>
      <c r="Q2261" s="2" t="s">
        <v>13885</v>
      </c>
      <c r="R2261" s="2" t="s">
        <v>40</v>
      </c>
      <c r="S2261" s="2" t="s">
        <v>13886</v>
      </c>
      <c r="T2261" s="2" t="s">
        <v>126</v>
      </c>
      <c r="U2261" s="2" t="s">
        <v>6513</v>
      </c>
      <c r="V2261" s="2" t="s">
        <v>13887</v>
      </c>
      <c r="W2261" s="1"/>
      <c r="X2261" s="2" t="s">
        <v>7694</v>
      </c>
      <c r="Y2261" s="2" t="s">
        <v>13619</v>
      </c>
      <c r="AA2261" t="str">
        <f t="shared" si="210"/>
        <v>2025-10</v>
      </c>
      <c r="AB2261" t="str">
        <f t="shared" si="211"/>
        <v/>
      </c>
      <c r="AC2261">
        <f t="shared" si="212"/>
        <v>1430518.5</v>
      </c>
      <c r="AD2261">
        <f t="shared" si="213"/>
        <v>150</v>
      </c>
      <c r="AE2261">
        <f t="shared" si="214"/>
        <v>485518.5</v>
      </c>
      <c r="AF2261" t="str">
        <f t="shared" si="215"/>
        <v>Paid</v>
      </c>
    </row>
    <row r="2262" spans="1:32" ht="17.25" thickBot="1" x14ac:dyDescent="0.35">
      <c r="A2262" s="2" t="s">
        <v>13888</v>
      </c>
      <c r="B2262" s="2" t="s">
        <v>27</v>
      </c>
      <c r="C2262" s="2" t="s">
        <v>28</v>
      </c>
      <c r="D2262" s="2" t="s">
        <v>97</v>
      </c>
      <c r="E2262" s="2" t="s">
        <v>13597</v>
      </c>
      <c r="F2262" s="2" t="s">
        <v>8445</v>
      </c>
      <c r="G2262" s="2" t="s">
        <v>32</v>
      </c>
      <c r="H2262" s="1"/>
      <c r="I2262" s="2" t="s">
        <v>33</v>
      </c>
      <c r="J2262" s="2" t="s">
        <v>34</v>
      </c>
      <c r="K2262" s="2" t="s">
        <v>1482</v>
      </c>
      <c r="L2262" s="2" t="s">
        <v>1483</v>
      </c>
      <c r="M2262" s="2" t="s">
        <v>84</v>
      </c>
      <c r="N2262" s="2" t="s">
        <v>38</v>
      </c>
      <c r="O2262" s="2" t="s">
        <v>221</v>
      </c>
      <c r="P2262" s="2" t="s">
        <v>13889</v>
      </c>
      <c r="Q2262" s="2" t="s">
        <v>13890</v>
      </c>
      <c r="R2262" s="2" t="s">
        <v>40</v>
      </c>
      <c r="S2262" s="2" t="s">
        <v>13891</v>
      </c>
      <c r="T2262" s="2" t="s">
        <v>706</v>
      </c>
      <c r="U2262" s="2" t="s">
        <v>1137</v>
      </c>
      <c r="V2262" s="2" t="s">
        <v>13892</v>
      </c>
      <c r="W2262" s="1"/>
      <c r="X2262" s="2" t="s">
        <v>1340</v>
      </c>
      <c r="Y2262" s="2" t="s">
        <v>13619</v>
      </c>
      <c r="AA2262" t="str">
        <f t="shared" si="210"/>
        <v>2025-10</v>
      </c>
      <c r="AB2262" t="str">
        <f t="shared" si="211"/>
        <v/>
      </c>
      <c r="AC2262">
        <f t="shared" si="212"/>
        <v>1646365.56</v>
      </c>
      <c r="AD2262">
        <f t="shared" si="213"/>
        <v>140</v>
      </c>
      <c r="AE2262">
        <f t="shared" si="214"/>
        <v>470365.56</v>
      </c>
      <c r="AF2262" t="str">
        <f t="shared" si="215"/>
        <v>Paid</v>
      </c>
    </row>
    <row r="2263" spans="1:32" ht="17.25" thickBot="1" x14ac:dyDescent="0.35">
      <c r="A2263" s="2" t="s">
        <v>13893</v>
      </c>
      <c r="B2263" s="2" t="s">
        <v>27</v>
      </c>
      <c r="C2263" s="2" t="s">
        <v>28</v>
      </c>
      <c r="D2263" s="2" t="s">
        <v>97</v>
      </c>
      <c r="E2263" s="2" t="s">
        <v>13597</v>
      </c>
      <c r="F2263" s="2" t="s">
        <v>8445</v>
      </c>
      <c r="G2263" s="2" t="s">
        <v>32</v>
      </c>
      <c r="H2263" s="1"/>
      <c r="I2263" s="2" t="s">
        <v>33</v>
      </c>
      <c r="J2263" s="2" t="s">
        <v>34</v>
      </c>
      <c r="K2263" s="2" t="s">
        <v>1496</v>
      </c>
      <c r="L2263" s="2" t="s">
        <v>1497</v>
      </c>
      <c r="M2263" s="2" t="s">
        <v>84</v>
      </c>
      <c r="N2263" s="2" t="s">
        <v>38</v>
      </c>
      <c r="O2263" s="2" t="s">
        <v>214</v>
      </c>
      <c r="P2263" s="2" t="s">
        <v>4284</v>
      </c>
      <c r="Q2263" s="2" t="s">
        <v>13894</v>
      </c>
      <c r="R2263" s="2" t="s">
        <v>40</v>
      </c>
      <c r="S2263" s="2" t="s">
        <v>13895</v>
      </c>
      <c r="T2263" s="2" t="s">
        <v>1501</v>
      </c>
      <c r="U2263" s="2" t="s">
        <v>13896</v>
      </c>
      <c r="V2263" s="2" t="s">
        <v>13897</v>
      </c>
      <c r="W2263" s="1"/>
      <c r="X2263" s="2" t="s">
        <v>300</v>
      </c>
      <c r="Y2263" s="2" t="s">
        <v>13619</v>
      </c>
      <c r="AA2263" t="str">
        <f t="shared" si="210"/>
        <v>2025-10</v>
      </c>
      <c r="AB2263" t="str">
        <f t="shared" si="211"/>
        <v/>
      </c>
      <c r="AC2263">
        <f t="shared" si="212"/>
        <v>496736.4</v>
      </c>
      <c r="AD2263">
        <f t="shared" si="213"/>
        <v>50</v>
      </c>
      <c r="AE2263">
        <f t="shared" si="214"/>
        <v>150236.4</v>
      </c>
      <c r="AF2263" t="str">
        <f t="shared" si="215"/>
        <v>Paid</v>
      </c>
    </row>
    <row r="2264" spans="1:32" ht="17.25" thickBot="1" x14ac:dyDescent="0.35">
      <c r="A2264" s="2" t="s">
        <v>13898</v>
      </c>
      <c r="B2264" s="2" t="s">
        <v>27</v>
      </c>
      <c r="C2264" s="2" t="s">
        <v>28</v>
      </c>
      <c r="D2264" s="2" t="s">
        <v>97</v>
      </c>
      <c r="E2264" s="2" t="s">
        <v>13597</v>
      </c>
      <c r="F2264" s="2" t="s">
        <v>8445</v>
      </c>
      <c r="G2264" s="2" t="s">
        <v>32</v>
      </c>
      <c r="H2264" s="1"/>
      <c r="I2264" s="2" t="s">
        <v>33</v>
      </c>
      <c r="J2264" s="2" t="s">
        <v>34</v>
      </c>
      <c r="K2264" s="2" t="s">
        <v>1505</v>
      </c>
      <c r="L2264" s="2" t="s">
        <v>1506</v>
      </c>
      <c r="M2264" s="2" t="s">
        <v>84</v>
      </c>
      <c r="N2264" s="2" t="s">
        <v>38</v>
      </c>
      <c r="O2264" s="2" t="s">
        <v>13899</v>
      </c>
      <c r="P2264" s="2" t="s">
        <v>4430</v>
      </c>
      <c r="Q2264" s="2" t="s">
        <v>13900</v>
      </c>
      <c r="R2264" s="2" t="s">
        <v>40</v>
      </c>
      <c r="S2264" s="2" t="s">
        <v>13901</v>
      </c>
      <c r="T2264" s="2" t="s">
        <v>1510</v>
      </c>
      <c r="U2264" s="2" t="s">
        <v>6768</v>
      </c>
      <c r="V2264" s="2" t="s">
        <v>13902</v>
      </c>
      <c r="W2264" s="1"/>
      <c r="X2264" s="2" t="s">
        <v>6320</v>
      </c>
      <c r="Y2264" s="2" t="s">
        <v>13619</v>
      </c>
      <c r="AA2264" t="str">
        <f t="shared" si="210"/>
        <v>2025-10</v>
      </c>
      <c r="AB2264" t="str">
        <f t="shared" si="211"/>
        <v/>
      </c>
      <c r="AC2264">
        <f t="shared" si="212"/>
        <v>45315532.799999997</v>
      </c>
      <c r="AD2264">
        <f t="shared" si="213"/>
        <v>4800</v>
      </c>
      <c r="AE2264">
        <f t="shared" si="214"/>
        <v>15809932.800000001</v>
      </c>
      <c r="AF2264" t="str">
        <f t="shared" si="215"/>
        <v>Paid</v>
      </c>
    </row>
    <row r="2265" spans="1:32" ht="17.25" thickBot="1" x14ac:dyDescent="0.35">
      <c r="A2265" s="2" t="s">
        <v>13903</v>
      </c>
      <c r="B2265" s="2" t="s">
        <v>27</v>
      </c>
      <c r="C2265" s="2" t="s">
        <v>28</v>
      </c>
      <c r="D2265" s="2" t="s">
        <v>97</v>
      </c>
      <c r="E2265" s="2" t="s">
        <v>13597</v>
      </c>
      <c r="F2265" s="2" t="s">
        <v>8445</v>
      </c>
      <c r="G2265" s="2" t="s">
        <v>32</v>
      </c>
      <c r="H2265" s="1"/>
      <c r="I2265" s="2" t="s">
        <v>33</v>
      </c>
      <c r="J2265" s="2" t="s">
        <v>34</v>
      </c>
      <c r="K2265" s="2" t="s">
        <v>11155</v>
      </c>
      <c r="L2265" s="2" t="s">
        <v>11156</v>
      </c>
      <c r="M2265" s="2" t="s">
        <v>7619</v>
      </c>
      <c r="N2265" s="2" t="s">
        <v>38</v>
      </c>
      <c r="O2265" s="2" t="s">
        <v>2141</v>
      </c>
      <c r="P2265" s="2" t="s">
        <v>2015</v>
      </c>
      <c r="Q2265" s="2" t="s">
        <v>13904</v>
      </c>
      <c r="R2265" s="2" t="s">
        <v>40</v>
      </c>
      <c r="S2265" s="2" t="s">
        <v>13905</v>
      </c>
      <c r="T2265" s="2" t="s">
        <v>8502</v>
      </c>
      <c r="U2265" s="2" t="s">
        <v>13906</v>
      </c>
      <c r="V2265" s="2" t="s">
        <v>13907</v>
      </c>
      <c r="W2265" s="1"/>
      <c r="X2265" s="2" t="s">
        <v>9250</v>
      </c>
      <c r="Y2265" s="2" t="s">
        <v>13908</v>
      </c>
      <c r="AA2265" t="str">
        <f t="shared" si="210"/>
        <v>2025-10</v>
      </c>
      <c r="AB2265" t="str">
        <f t="shared" si="211"/>
        <v/>
      </c>
      <c r="AC2265">
        <f t="shared" si="212"/>
        <v>2877596.48</v>
      </c>
      <c r="AD2265">
        <f t="shared" si="213"/>
        <v>410</v>
      </c>
      <c r="AE2265">
        <f t="shared" si="214"/>
        <v>515996.48</v>
      </c>
      <c r="AF2265" t="str">
        <f t="shared" si="215"/>
        <v>Paid</v>
      </c>
    </row>
    <row r="2266" spans="1:32" ht="17.25" thickBot="1" x14ac:dyDescent="0.35">
      <c r="A2266" s="2" t="s">
        <v>13909</v>
      </c>
      <c r="B2266" s="2" t="s">
        <v>27</v>
      </c>
      <c r="C2266" s="2" t="s">
        <v>28</v>
      </c>
      <c r="D2266" s="2" t="s">
        <v>97</v>
      </c>
      <c r="E2266" s="2" t="s">
        <v>13597</v>
      </c>
      <c r="F2266" s="2" t="s">
        <v>8445</v>
      </c>
      <c r="G2266" s="2" t="s">
        <v>32</v>
      </c>
      <c r="H2266" s="1"/>
      <c r="I2266" s="2" t="s">
        <v>33</v>
      </c>
      <c r="J2266" s="2" t="s">
        <v>34</v>
      </c>
      <c r="K2266" s="2" t="s">
        <v>2268</v>
      </c>
      <c r="L2266" s="2" t="s">
        <v>2269</v>
      </c>
      <c r="M2266" s="2" t="s">
        <v>2270</v>
      </c>
      <c r="N2266" s="2" t="s">
        <v>38</v>
      </c>
      <c r="O2266" s="2" t="s">
        <v>6309</v>
      </c>
      <c r="P2266" s="2" t="s">
        <v>2452</v>
      </c>
      <c r="Q2266" s="2" t="s">
        <v>13910</v>
      </c>
      <c r="R2266" s="2" t="s">
        <v>40</v>
      </c>
      <c r="S2266" s="2" t="s">
        <v>13911</v>
      </c>
      <c r="T2266" s="2" t="s">
        <v>2275</v>
      </c>
      <c r="U2266" s="2" t="s">
        <v>13912</v>
      </c>
      <c r="V2266" s="2" t="s">
        <v>13913</v>
      </c>
      <c r="W2266" s="1"/>
      <c r="X2266" s="2" t="s">
        <v>2198</v>
      </c>
      <c r="Y2266" s="2" t="s">
        <v>13908</v>
      </c>
      <c r="AA2266" t="str">
        <f t="shared" si="210"/>
        <v>2025-10</v>
      </c>
      <c r="AB2266" t="str">
        <f t="shared" si="211"/>
        <v/>
      </c>
      <c r="AC2266">
        <f t="shared" si="212"/>
        <v>8108886.7199999997</v>
      </c>
      <c r="AD2266">
        <f t="shared" si="213"/>
        <v>1460</v>
      </c>
      <c r="AE2266">
        <f t="shared" si="214"/>
        <v>1538886.72</v>
      </c>
      <c r="AF2266" t="str">
        <f t="shared" si="215"/>
        <v>Paid</v>
      </c>
    </row>
    <row r="2267" spans="1:32" ht="17.25" thickBot="1" x14ac:dyDescent="0.35">
      <c r="A2267" s="2" t="s">
        <v>13914</v>
      </c>
      <c r="B2267" s="2" t="s">
        <v>27</v>
      </c>
      <c r="C2267" s="2" t="s">
        <v>28</v>
      </c>
      <c r="D2267" s="2" t="s">
        <v>97</v>
      </c>
      <c r="E2267" s="2" t="s">
        <v>13597</v>
      </c>
      <c r="F2267" s="2" t="s">
        <v>8445</v>
      </c>
      <c r="G2267" s="2" t="s">
        <v>32</v>
      </c>
      <c r="H2267" s="1"/>
      <c r="I2267" s="2" t="s">
        <v>33</v>
      </c>
      <c r="J2267" s="2" t="s">
        <v>34</v>
      </c>
      <c r="K2267" s="2" t="s">
        <v>2313</v>
      </c>
      <c r="L2267" s="2" t="s">
        <v>2314</v>
      </c>
      <c r="M2267" s="2" t="s">
        <v>2270</v>
      </c>
      <c r="N2267" s="2" t="s">
        <v>38</v>
      </c>
      <c r="O2267" s="2" t="s">
        <v>2141</v>
      </c>
      <c r="P2267" s="2" t="s">
        <v>2452</v>
      </c>
      <c r="Q2267" s="2" t="s">
        <v>13915</v>
      </c>
      <c r="R2267" s="2" t="s">
        <v>40</v>
      </c>
      <c r="S2267" s="2" t="s">
        <v>13916</v>
      </c>
      <c r="T2267" s="2" t="s">
        <v>2275</v>
      </c>
      <c r="U2267" s="2" t="s">
        <v>13917</v>
      </c>
      <c r="V2267" s="2" t="s">
        <v>13918</v>
      </c>
      <c r="W2267" s="1"/>
      <c r="X2267" s="2" t="s">
        <v>2198</v>
      </c>
      <c r="Y2267" s="2" t="s">
        <v>13908</v>
      </c>
      <c r="AA2267" t="str">
        <f t="shared" si="210"/>
        <v>2025-10</v>
      </c>
      <c r="AB2267" t="str">
        <f t="shared" si="211"/>
        <v/>
      </c>
      <c r="AC2267">
        <f t="shared" si="212"/>
        <v>2277153.12</v>
      </c>
      <c r="AD2267">
        <f t="shared" si="213"/>
        <v>410</v>
      </c>
      <c r="AE2267">
        <f t="shared" si="214"/>
        <v>432153.12</v>
      </c>
      <c r="AF2267" t="str">
        <f t="shared" si="215"/>
        <v>Paid</v>
      </c>
    </row>
    <row r="2268" spans="1:32" ht="27.75" thickBot="1" x14ac:dyDescent="0.35">
      <c r="A2268" s="2" t="s">
        <v>13919</v>
      </c>
      <c r="B2268" s="2" t="s">
        <v>27</v>
      </c>
      <c r="C2268" s="2" t="s">
        <v>28</v>
      </c>
      <c r="D2268" s="2" t="s">
        <v>97</v>
      </c>
      <c r="E2268" s="2" t="s">
        <v>13597</v>
      </c>
      <c r="F2268" s="2" t="s">
        <v>8445</v>
      </c>
      <c r="G2268" s="2" t="s">
        <v>32</v>
      </c>
      <c r="H2268" s="1"/>
      <c r="I2268" s="2" t="s">
        <v>33</v>
      </c>
      <c r="J2268" s="2" t="s">
        <v>34</v>
      </c>
      <c r="K2268" s="2" t="s">
        <v>2325</v>
      </c>
      <c r="L2268" s="2" t="s">
        <v>2326</v>
      </c>
      <c r="M2268" s="2" t="s">
        <v>2270</v>
      </c>
      <c r="N2268" s="2" t="s">
        <v>38</v>
      </c>
      <c r="O2268" s="2" t="s">
        <v>665</v>
      </c>
      <c r="P2268" s="2" t="s">
        <v>2452</v>
      </c>
      <c r="Q2268" s="2" t="s">
        <v>13920</v>
      </c>
      <c r="R2268" s="2" t="s">
        <v>40</v>
      </c>
      <c r="S2268" s="2" t="s">
        <v>13921</v>
      </c>
      <c r="T2268" s="2" t="s">
        <v>2275</v>
      </c>
      <c r="U2268" s="2" t="s">
        <v>6513</v>
      </c>
      <c r="V2268" s="2" t="s">
        <v>13922</v>
      </c>
      <c r="W2268" s="1"/>
      <c r="X2268" s="2" t="s">
        <v>2198</v>
      </c>
      <c r="Y2268" s="2" t="s">
        <v>13908</v>
      </c>
      <c r="AA2268" t="str">
        <f t="shared" si="210"/>
        <v>2025-10</v>
      </c>
      <c r="AB2268" t="str">
        <f t="shared" si="211"/>
        <v/>
      </c>
      <c r="AC2268">
        <f t="shared" si="212"/>
        <v>1166346.72</v>
      </c>
      <c r="AD2268">
        <f t="shared" si="213"/>
        <v>210</v>
      </c>
      <c r="AE2268">
        <f t="shared" si="214"/>
        <v>221346.72</v>
      </c>
      <c r="AF2268" t="str">
        <f t="shared" si="215"/>
        <v>Paid</v>
      </c>
    </row>
    <row r="2269" spans="1:32" ht="17.25" thickBot="1" x14ac:dyDescent="0.35">
      <c r="A2269" s="2" t="s">
        <v>13923</v>
      </c>
      <c r="B2269" s="2" t="s">
        <v>27</v>
      </c>
      <c r="C2269" s="2" t="s">
        <v>28</v>
      </c>
      <c r="D2269" s="2" t="s">
        <v>97</v>
      </c>
      <c r="E2269" s="2" t="s">
        <v>13597</v>
      </c>
      <c r="F2269" s="2" t="s">
        <v>8445</v>
      </c>
      <c r="G2269" s="2" t="s">
        <v>32</v>
      </c>
      <c r="H2269" s="1"/>
      <c r="I2269" s="2" t="s">
        <v>33</v>
      </c>
      <c r="J2269" s="2" t="s">
        <v>34</v>
      </c>
      <c r="K2269" s="2" t="s">
        <v>2335</v>
      </c>
      <c r="L2269" s="2" t="s">
        <v>2336</v>
      </c>
      <c r="M2269" s="2" t="s">
        <v>2270</v>
      </c>
      <c r="N2269" s="2" t="s">
        <v>38</v>
      </c>
      <c r="O2269" s="2" t="s">
        <v>503</v>
      </c>
      <c r="P2269" s="2" t="s">
        <v>2452</v>
      </c>
      <c r="Q2269" s="2" t="s">
        <v>13924</v>
      </c>
      <c r="R2269" s="2" t="s">
        <v>40</v>
      </c>
      <c r="S2269" s="2" t="s">
        <v>13925</v>
      </c>
      <c r="T2269" s="2" t="s">
        <v>2275</v>
      </c>
      <c r="U2269" s="2" t="s">
        <v>13926</v>
      </c>
      <c r="V2269" s="2" t="s">
        <v>13927</v>
      </c>
      <c r="W2269" s="1"/>
      <c r="X2269" s="2" t="s">
        <v>2198</v>
      </c>
      <c r="Y2269" s="2" t="s">
        <v>13908</v>
      </c>
      <c r="AA2269" t="str">
        <f t="shared" si="210"/>
        <v>2025-10</v>
      </c>
      <c r="AB2269" t="str">
        <f t="shared" si="211"/>
        <v/>
      </c>
      <c r="AC2269">
        <f t="shared" si="212"/>
        <v>1721749.92</v>
      </c>
      <c r="AD2269">
        <f t="shared" si="213"/>
        <v>310</v>
      </c>
      <c r="AE2269">
        <f t="shared" si="214"/>
        <v>326749.92</v>
      </c>
      <c r="AF2269" t="str">
        <f t="shared" si="215"/>
        <v>Paid</v>
      </c>
    </row>
    <row r="2270" spans="1:32" ht="17.25" thickBot="1" x14ac:dyDescent="0.35">
      <c r="A2270" s="2" t="s">
        <v>13928</v>
      </c>
      <c r="B2270" s="2" t="s">
        <v>27</v>
      </c>
      <c r="C2270" s="2" t="s">
        <v>28</v>
      </c>
      <c r="D2270" s="2" t="s">
        <v>97</v>
      </c>
      <c r="E2270" s="2" t="s">
        <v>13597</v>
      </c>
      <c r="F2270" s="2" t="s">
        <v>8445</v>
      </c>
      <c r="G2270" s="2" t="s">
        <v>32</v>
      </c>
      <c r="H2270" s="1"/>
      <c r="I2270" s="2" t="s">
        <v>33</v>
      </c>
      <c r="J2270" s="2" t="s">
        <v>34</v>
      </c>
      <c r="K2270" s="2" t="s">
        <v>2349</v>
      </c>
      <c r="L2270" s="2" t="s">
        <v>2350</v>
      </c>
      <c r="M2270" s="2" t="s">
        <v>2270</v>
      </c>
      <c r="N2270" s="2" t="s">
        <v>38</v>
      </c>
      <c r="O2270" s="2" t="s">
        <v>645</v>
      </c>
      <c r="P2270" s="2" t="s">
        <v>2452</v>
      </c>
      <c r="Q2270" s="2" t="s">
        <v>13929</v>
      </c>
      <c r="R2270" s="2" t="s">
        <v>40</v>
      </c>
      <c r="S2270" s="2" t="s">
        <v>13930</v>
      </c>
      <c r="T2270" s="2" t="s">
        <v>2275</v>
      </c>
      <c r="U2270" s="2" t="s">
        <v>10285</v>
      </c>
      <c r="V2270" s="2" t="s">
        <v>13931</v>
      </c>
      <c r="W2270" s="1"/>
      <c r="X2270" s="2" t="s">
        <v>2198</v>
      </c>
      <c r="Y2270" s="2" t="s">
        <v>13908</v>
      </c>
      <c r="AA2270" t="str">
        <f t="shared" si="210"/>
        <v>2025-10</v>
      </c>
      <c r="AB2270" t="str">
        <f t="shared" si="211"/>
        <v/>
      </c>
      <c r="AC2270">
        <f t="shared" si="212"/>
        <v>944185.44</v>
      </c>
      <c r="AD2270">
        <f t="shared" si="213"/>
        <v>170</v>
      </c>
      <c r="AE2270">
        <f t="shared" si="214"/>
        <v>179185.44</v>
      </c>
      <c r="AF2270" t="str">
        <f t="shared" si="215"/>
        <v>Paid</v>
      </c>
    </row>
    <row r="2271" spans="1:32" ht="27.75" thickBot="1" x14ac:dyDescent="0.35">
      <c r="A2271" s="2" t="s">
        <v>13932</v>
      </c>
      <c r="B2271" s="2" t="s">
        <v>27</v>
      </c>
      <c r="C2271" s="2" t="s">
        <v>28</v>
      </c>
      <c r="D2271" s="2" t="s">
        <v>97</v>
      </c>
      <c r="E2271" s="2" t="s">
        <v>13597</v>
      </c>
      <c r="F2271" s="2" t="s">
        <v>8445</v>
      </c>
      <c r="G2271" s="2" t="s">
        <v>32</v>
      </c>
      <c r="H2271" s="1"/>
      <c r="I2271" s="2" t="s">
        <v>33</v>
      </c>
      <c r="J2271" s="2" t="s">
        <v>34</v>
      </c>
      <c r="K2271" s="2" t="s">
        <v>2356</v>
      </c>
      <c r="L2271" s="2" t="s">
        <v>2357</v>
      </c>
      <c r="M2271" s="2" t="s">
        <v>2270</v>
      </c>
      <c r="N2271" s="2" t="s">
        <v>38</v>
      </c>
      <c r="O2271" s="2" t="s">
        <v>1150</v>
      </c>
      <c r="P2271" s="2" t="s">
        <v>2452</v>
      </c>
      <c r="Q2271" s="2" t="s">
        <v>13933</v>
      </c>
      <c r="R2271" s="2" t="s">
        <v>40</v>
      </c>
      <c r="S2271" s="2" t="s">
        <v>13934</v>
      </c>
      <c r="T2271" s="2" t="s">
        <v>2275</v>
      </c>
      <c r="U2271" s="2" t="s">
        <v>13251</v>
      </c>
      <c r="V2271" s="2" t="s">
        <v>13935</v>
      </c>
      <c r="W2271" s="1"/>
      <c r="X2271" s="2" t="s">
        <v>2198</v>
      </c>
      <c r="Y2271" s="2" t="s">
        <v>13908</v>
      </c>
      <c r="AA2271" t="str">
        <f t="shared" si="210"/>
        <v>2025-10</v>
      </c>
      <c r="AB2271" t="str">
        <f t="shared" si="211"/>
        <v/>
      </c>
      <c r="AC2271">
        <f t="shared" si="212"/>
        <v>722024.16</v>
      </c>
      <c r="AD2271">
        <f t="shared" si="213"/>
        <v>130</v>
      </c>
      <c r="AE2271">
        <f t="shared" si="214"/>
        <v>137024.16</v>
      </c>
      <c r="AF2271" t="str">
        <f t="shared" si="215"/>
        <v>Paid</v>
      </c>
    </row>
    <row r="2272" spans="1:32" ht="27.75" thickBot="1" x14ac:dyDescent="0.35">
      <c r="A2272" s="2" t="s">
        <v>13936</v>
      </c>
      <c r="B2272" s="2" t="s">
        <v>27</v>
      </c>
      <c r="C2272" s="2" t="s">
        <v>28</v>
      </c>
      <c r="D2272" s="2" t="s">
        <v>97</v>
      </c>
      <c r="E2272" s="2" t="s">
        <v>13597</v>
      </c>
      <c r="F2272" s="2" t="s">
        <v>8445</v>
      </c>
      <c r="G2272" s="2" t="s">
        <v>32</v>
      </c>
      <c r="H2272" s="1"/>
      <c r="I2272" s="2" t="s">
        <v>33</v>
      </c>
      <c r="J2272" s="2" t="s">
        <v>34</v>
      </c>
      <c r="K2272" s="2" t="s">
        <v>2363</v>
      </c>
      <c r="L2272" s="2" t="s">
        <v>2364</v>
      </c>
      <c r="M2272" s="2" t="s">
        <v>2270</v>
      </c>
      <c r="N2272" s="2" t="s">
        <v>38</v>
      </c>
      <c r="O2272" s="2" t="s">
        <v>1871</v>
      </c>
      <c r="P2272" s="2" t="s">
        <v>2452</v>
      </c>
      <c r="Q2272" s="2" t="s">
        <v>13937</v>
      </c>
      <c r="R2272" s="2" t="s">
        <v>40</v>
      </c>
      <c r="S2272" s="2" t="s">
        <v>13938</v>
      </c>
      <c r="T2272" s="2" t="s">
        <v>2275</v>
      </c>
      <c r="U2272" s="2" t="s">
        <v>13939</v>
      </c>
      <c r="V2272" s="2" t="s">
        <v>13940</v>
      </c>
      <c r="W2272" s="1"/>
      <c r="X2272" s="2" t="s">
        <v>2198</v>
      </c>
      <c r="Y2272" s="2" t="s">
        <v>13908</v>
      </c>
      <c r="AA2272" t="str">
        <f t="shared" si="210"/>
        <v>2025-10</v>
      </c>
      <c r="AB2272" t="str">
        <f t="shared" si="211"/>
        <v/>
      </c>
      <c r="AC2272">
        <f t="shared" si="212"/>
        <v>1255211.23</v>
      </c>
      <c r="AD2272">
        <f t="shared" si="213"/>
        <v>226</v>
      </c>
      <c r="AE2272">
        <f t="shared" si="214"/>
        <v>238211.23</v>
      </c>
      <c r="AF2272" t="str">
        <f t="shared" si="215"/>
        <v>Paid</v>
      </c>
    </row>
    <row r="2273" spans="1:32" ht="17.25" thickBot="1" x14ac:dyDescent="0.35">
      <c r="A2273" s="2" t="s">
        <v>13941</v>
      </c>
      <c r="B2273" s="2" t="s">
        <v>27</v>
      </c>
      <c r="C2273" s="2" t="s">
        <v>28</v>
      </c>
      <c r="D2273" s="2" t="s">
        <v>97</v>
      </c>
      <c r="E2273" s="2" t="s">
        <v>13597</v>
      </c>
      <c r="F2273" s="2" t="s">
        <v>8445</v>
      </c>
      <c r="G2273" s="2" t="s">
        <v>32</v>
      </c>
      <c r="H2273" s="1"/>
      <c r="I2273" s="2" t="s">
        <v>33</v>
      </c>
      <c r="J2273" s="2" t="s">
        <v>34</v>
      </c>
      <c r="K2273" s="2" t="s">
        <v>13942</v>
      </c>
      <c r="L2273" s="2" t="s">
        <v>13943</v>
      </c>
      <c r="M2273" s="2" t="s">
        <v>2389</v>
      </c>
      <c r="N2273" s="2" t="s">
        <v>38</v>
      </c>
      <c r="O2273" s="2" t="s">
        <v>517</v>
      </c>
      <c r="P2273" s="2" t="s">
        <v>10887</v>
      </c>
      <c r="Q2273" s="2" t="s">
        <v>11822</v>
      </c>
      <c r="R2273" s="2" t="s">
        <v>40</v>
      </c>
      <c r="S2273" s="2" t="s">
        <v>13944</v>
      </c>
      <c r="T2273" s="2" t="s">
        <v>13945</v>
      </c>
      <c r="U2273" s="2" t="s">
        <v>13946</v>
      </c>
      <c r="V2273" s="2" t="s">
        <v>13947</v>
      </c>
      <c r="W2273" s="1"/>
      <c r="X2273" s="2" t="s">
        <v>817</v>
      </c>
      <c r="Y2273" s="2" t="s">
        <v>13908</v>
      </c>
      <c r="AA2273" t="str">
        <f t="shared" si="210"/>
        <v>2025-10</v>
      </c>
      <c r="AB2273" t="str">
        <f t="shared" si="211"/>
        <v/>
      </c>
      <c r="AC2273">
        <f t="shared" si="212"/>
        <v>1082621.76</v>
      </c>
      <c r="AD2273">
        <f t="shared" si="213"/>
        <v>120</v>
      </c>
      <c r="AE2273">
        <f t="shared" si="214"/>
        <v>266621.76</v>
      </c>
      <c r="AF2273" t="str">
        <f t="shared" si="215"/>
        <v>Paid</v>
      </c>
    </row>
    <row r="2274" spans="1:32" ht="17.25" thickBot="1" x14ac:dyDescent="0.35">
      <c r="A2274" s="2" t="s">
        <v>13948</v>
      </c>
      <c r="B2274" s="2" t="s">
        <v>27</v>
      </c>
      <c r="C2274" s="2" t="s">
        <v>28</v>
      </c>
      <c r="D2274" s="2" t="s">
        <v>97</v>
      </c>
      <c r="E2274" s="2" t="s">
        <v>13597</v>
      </c>
      <c r="F2274" s="2" t="s">
        <v>8445</v>
      </c>
      <c r="G2274" s="2" t="s">
        <v>32</v>
      </c>
      <c r="H2274" s="1"/>
      <c r="I2274" s="2" t="s">
        <v>33</v>
      </c>
      <c r="J2274" s="2" t="s">
        <v>34</v>
      </c>
      <c r="K2274" s="2" t="s">
        <v>13949</v>
      </c>
      <c r="L2274" s="2" t="s">
        <v>13950</v>
      </c>
      <c r="M2274" s="2" t="s">
        <v>2389</v>
      </c>
      <c r="N2274" s="2" t="s">
        <v>38</v>
      </c>
      <c r="O2274" s="2" t="s">
        <v>480</v>
      </c>
      <c r="P2274" s="2" t="s">
        <v>6578</v>
      </c>
      <c r="Q2274" s="2" t="s">
        <v>13951</v>
      </c>
      <c r="R2274" s="2" t="s">
        <v>40</v>
      </c>
      <c r="S2274" s="2" t="s">
        <v>13952</v>
      </c>
      <c r="T2274" s="2" t="s">
        <v>1628</v>
      </c>
      <c r="U2274" s="2" t="s">
        <v>12261</v>
      </c>
      <c r="V2274" s="2" t="s">
        <v>13953</v>
      </c>
      <c r="W2274" s="1"/>
      <c r="X2274" s="2" t="s">
        <v>13954</v>
      </c>
      <c r="Y2274" s="2" t="s">
        <v>13908</v>
      </c>
      <c r="AA2274" t="str">
        <f t="shared" si="210"/>
        <v>2025-10</v>
      </c>
      <c r="AB2274" t="str">
        <f t="shared" si="211"/>
        <v/>
      </c>
      <c r="AC2274">
        <f t="shared" si="212"/>
        <v>788396.22</v>
      </c>
      <c r="AD2274">
        <f t="shared" si="213"/>
        <v>56</v>
      </c>
      <c r="AE2274">
        <f t="shared" si="214"/>
        <v>334796.21999999997</v>
      </c>
      <c r="AF2274" t="str">
        <f t="shared" si="215"/>
        <v>Paid</v>
      </c>
    </row>
    <row r="2275" spans="1:32" ht="17.25" thickBot="1" x14ac:dyDescent="0.35">
      <c r="A2275" s="2" t="s">
        <v>13955</v>
      </c>
      <c r="B2275" s="2" t="s">
        <v>27</v>
      </c>
      <c r="C2275" s="2" t="s">
        <v>28</v>
      </c>
      <c r="D2275" s="2" t="s">
        <v>97</v>
      </c>
      <c r="E2275" s="2" t="s">
        <v>13597</v>
      </c>
      <c r="F2275" s="2" t="s">
        <v>8445</v>
      </c>
      <c r="G2275" s="2" t="s">
        <v>32</v>
      </c>
      <c r="H2275" s="1"/>
      <c r="I2275" s="2" t="s">
        <v>33</v>
      </c>
      <c r="J2275" s="2" t="s">
        <v>34</v>
      </c>
      <c r="K2275" s="2" t="s">
        <v>2405</v>
      </c>
      <c r="L2275" s="2" t="s">
        <v>2406</v>
      </c>
      <c r="M2275" s="2" t="s">
        <v>2389</v>
      </c>
      <c r="N2275" s="2" t="s">
        <v>38</v>
      </c>
      <c r="O2275" s="2" t="s">
        <v>3291</v>
      </c>
      <c r="P2275" s="2" t="s">
        <v>6993</v>
      </c>
      <c r="Q2275" s="2" t="s">
        <v>13956</v>
      </c>
      <c r="R2275" s="2" t="s">
        <v>40</v>
      </c>
      <c r="S2275" s="2" t="s">
        <v>13957</v>
      </c>
      <c r="T2275" s="2" t="s">
        <v>2411</v>
      </c>
      <c r="U2275" s="2" t="s">
        <v>13958</v>
      </c>
      <c r="V2275" s="2" t="s">
        <v>13959</v>
      </c>
      <c r="W2275" s="1"/>
      <c r="X2275" s="2" t="s">
        <v>6790</v>
      </c>
      <c r="Y2275" s="2" t="s">
        <v>13908</v>
      </c>
      <c r="AA2275" t="str">
        <f t="shared" si="210"/>
        <v>2025-10</v>
      </c>
      <c r="AB2275" t="str">
        <f t="shared" si="211"/>
        <v/>
      </c>
      <c r="AC2275">
        <f t="shared" si="212"/>
        <v>1523158.74</v>
      </c>
      <c r="AD2275">
        <f t="shared" si="213"/>
        <v>398</v>
      </c>
      <c r="AE2275">
        <f t="shared" si="214"/>
        <v>329158.74</v>
      </c>
      <c r="AF2275" t="str">
        <f t="shared" si="215"/>
        <v>Paid</v>
      </c>
    </row>
    <row r="2276" spans="1:32" ht="17.25" thickBot="1" x14ac:dyDescent="0.35">
      <c r="A2276" s="2" t="s">
        <v>13960</v>
      </c>
      <c r="B2276" s="2" t="s">
        <v>27</v>
      </c>
      <c r="C2276" s="2" t="s">
        <v>28</v>
      </c>
      <c r="D2276" s="2" t="s">
        <v>97</v>
      </c>
      <c r="E2276" s="2" t="s">
        <v>13597</v>
      </c>
      <c r="F2276" s="2" t="s">
        <v>8445</v>
      </c>
      <c r="G2276" s="2" t="s">
        <v>32</v>
      </c>
      <c r="H2276" s="1"/>
      <c r="I2276" s="2" t="s">
        <v>33</v>
      </c>
      <c r="J2276" s="2" t="s">
        <v>34</v>
      </c>
      <c r="K2276" s="2" t="s">
        <v>11260</v>
      </c>
      <c r="L2276" s="2" t="s">
        <v>11261</v>
      </c>
      <c r="M2276" s="2" t="s">
        <v>2389</v>
      </c>
      <c r="N2276" s="2" t="s">
        <v>38</v>
      </c>
      <c r="O2276" s="2" t="s">
        <v>517</v>
      </c>
      <c r="P2276" s="2" t="s">
        <v>10044</v>
      </c>
      <c r="Q2276" s="2" t="s">
        <v>13961</v>
      </c>
      <c r="R2276" s="2" t="s">
        <v>40</v>
      </c>
      <c r="S2276" s="2" t="s">
        <v>13962</v>
      </c>
      <c r="T2276" s="2" t="s">
        <v>3110</v>
      </c>
      <c r="U2276" s="2" t="s">
        <v>6688</v>
      </c>
      <c r="V2276" s="2" t="s">
        <v>13963</v>
      </c>
      <c r="W2276" s="1"/>
      <c r="X2276" s="2" t="s">
        <v>817</v>
      </c>
      <c r="Y2276" s="2" t="s">
        <v>13908</v>
      </c>
      <c r="AA2276" t="str">
        <f t="shared" si="210"/>
        <v>2025-10</v>
      </c>
      <c r="AB2276" t="str">
        <f t="shared" si="211"/>
        <v/>
      </c>
      <c r="AC2276">
        <f t="shared" si="212"/>
        <v>636641.28000000003</v>
      </c>
      <c r="AD2276">
        <f t="shared" si="213"/>
        <v>120</v>
      </c>
      <c r="AE2276">
        <f t="shared" si="214"/>
        <v>156641.28</v>
      </c>
      <c r="AF2276" t="str">
        <f t="shared" si="215"/>
        <v>Paid</v>
      </c>
    </row>
    <row r="2277" spans="1:32" ht="17.25" thickBot="1" x14ac:dyDescent="0.35">
      <c r="A2277" s="2" t="s">
        <v>13964</v>
      </c>
      <c r="B2277" s="2" t="s">
        <v>27</v>
      </c>
      <c r="C2277" s="2" t="s">
        <v>28</v>
      </c>
      <c r="D2277" s="2" t="s">
        <v>97</v>
      </c>
      <c r="E2277" s="2" t="s">
        <v>13597</v>
      </c>
      <c r="F2277" s="2" t="s">
        <v>8445</v>
      </c>
      <c r="G2277" s="2" t="s">
        <v>32</v>
      </c>
      <c r="H2277" s="1"/>
      <c r="I2277" s="2" t="s">
        <v>33</v>
      </c>
      <c r="J2277" s="2" t="s">
        <v>34</v>
      </c>
      <c r="K2277" s="2" t="s">
        <v>2450</v>
      </c>
      <c r="L2277" s="2" t="s">
        <v>2451</v>
      </c>
      <c r="M2277" s="2" t="s">
        <v>2389</v>
      </c>
      <c r="N2277" s="2" t="s">
        <v>38</v>
      </c>
      <c r="O2277" s="2" t="s">
        <v>517</v>
      </c>
      <c r="P2277" s="2" t="s">
        <v>4508</v>
      </c>
      <c r="Q2277" s="2" t="s">
        <v>13965</v>
      </c>
      <c r="R2277" s="2" t="s">
        <v>40</v>
      </c>
      <c r="S2277" s="2" t="s">
        <v>13966</v>
      </c>
      <c r="T2277" s="2" t="s">
        <v>2455</v>
      </c>
      <c r="U2277" s="2" t="s">
        <v>13967</v>
      </c>
      <c r="V2277" s="2" t="s">
        <v>13968</v>
      </c>
      <c r="W2277" s="1"/>
      <c r="X2277" s="2" t="s">
        <v>856</v>
      </c>
      <c r="Y2277" s="2" t="s">
        <v>13908</v>
      </c>
      <c r="AA2277" t="str">
        <f t="shared" si="210"/>
        <v>2025-10</v>
      </c>
      <c r="AB2277" t="str">
        <f t="shared" si="211"/>
        <v/>
      </c>
      <c r="AC2277">
        <f t="shared" si="212"/>
        <v>739432.32</v>
      </c>
      <c r="AD2277">
        <f t="shared" si="213"/>
        <v>120</v>
      </c>
      <c r="AE2277">
        <f t="shared" si="214"/>
        <v>220159.6</v>
      </c>
      <c r="AF2277" t="str">
        <f t="shared" si="215"/>
        <v>Paid</v>
      </c>
    </row>
    <row r="2278" spans="1:32" ht="17.25" thickBot="1" x14ac:dyDescent="0.35">
      <c r="A2278" s="2" t="s">
        <v>13969</v>
      </c>
      <c r="B2278" s="2" t="s">
        <v>27</v>
      </c>
      <c r="C2278" s="2" t="s">
        <v>28</v>
      </c>
      <c r="D2278" s="2" t="s">
        <v>97</v>
      </c>
      <c r="E2278" s="2" t="s">
        <v>13597</v>
      </c>
      <c r="F2278" s="2" t="s">
        <v>8445</v>
      </c>
      <c r="G2278" s="2" t="s">
        <v>32</v>
      </c>
      <c r="H2278" s="1"/>
      <c r="I2278" s="2" t="s">
        <v>33</v>
      </c>
      <c r="J2278" s="2" t="s">
        <v>34</v>
      </c>
      <c r="K2278" s="2" t="s">
        <v>13970</v>
      </c>
      <c r="L2278" s="2" t="s">
        <v>13971</v>
      </c>
      <c r="M2278" s="2" t="s">
        <v>2389</v>
      </c>
      <c r="N2278" s="2" t="s">
        <v>38</v>
      </c>
      <c r="O2278" s="2" t="s">
        <v>130</v>
      </c>
      <c r="P2278" s="2" t="s">
        <v>13972</v>
      </c>
      <c r="Q2278" s="2" t="s">
        <v>13973</v>
      </c>
      <c r="R2278" s="2" t="s">
        <v>40</v>
      </c>
      <c r="S2278" s="2" t="s">
        <v>13974</v>
      </c>
      <c r="T2278" s="2" t="s">
        <v>6823</v>
      </c>
      <c r="U2278" s="2" t="s">
        <v>13975</v>
      </c>
      <c r="V2278" s="2" t="s">
        <v>13976</v>
      </c>
      <c r="W2278" s="1"/>
      <c r="X2278" s="2" t="s">
        <v>13977</v>
      </c>
      <c r="Y2278" s="2" t="s">
        <v>13908</v>
      </c>
      <c r="AA2278" t="str">
        <f t="shared" si="210"/>
        <v>2025-10</v>
      </c>
      <c r="AB2278" t="str">
        <f t="shared" si="211"/>
        <v/>
      </c>
      <c r="AC2278">
        <f t="shared" si="212"/>
        <v>433808.58</v>
      </c>
      <c r="AD2278">
        <f t="shared" si="213"/>
        <v>17</v>
      </c>
      <c r="AE2278">
        <f t="shared" si="214"/>
        <v>236608.58</v>
      </c>
      <c r="AF2278" t="str">
        <f t="shared" si="215"/>
        <v>Paid</v>
      </c>
    </row>
    <row r="2279" spans="1:32" ht="17.25" thickBot="1" x14ac:dyDescent="0.35">
      <c r="A2279" s="2" t="s">
        <v>13978</v>
      </c>
      <c r="B2279" s="2" t="s">
        <v>27</v>
      </c>
      <c r="C2279" s="2" t="s">
        <v>28</v>
      </c>
      <c r="D2279" s="2" t="s">
        <v>97</v>
      </c>
      <c r="E2279" s="2" t="s">
        <v>13597</v>
      </c>
      <c r="F2279" s="2" t="s">
        <v>8445</v>
      </c>
      <c r="G2279" s="2" t="s">
        <v>32</v>
      </c>
      <c r="H2279" s="1"/>
      <c r="I2279" s="2" t="s">
        <v>33</v>
      </c>
      <c r="J2279" s="2" t="s">
        <v>34</v>
      </c>
      <c r="K2279" s="2" t="s">
        <v>12976</v>
      </c>
      <c r="L2279" s="2" t="s">
        <v>12977</v>
      </c>
      <c r="M2279" s="2" t="s">
        <v>2389</v>
      </c>
      <c r="N2279" s="2" t="s">
        <v>38</v>
      </c>
      <c r="O2279" s="2" t="s">
        <v>149</v>
      </c>
      <c r="P2279" s="2" t="s">
        <v>13979</v>
      </c>
      <c r="Q2279" s="2" t="s">
        <v>13980</v>
      </c>
      <c r="R2279" s="2" t="s">
        <v>40</v>
      </c>
      <c r="S2279" s="2" t="s">
        <v>13981</v>
      </c>
      <c r="T2279" s="2" t="s">
        <v>13982</v>
      </c>
      <c r="U2279" s="2" t="s">
        <v>13983</v>
      </c>
      <c r="V2279" s="2" t="s">
        <v>13984</v>
      </c>
      <c r="W2279" s="1"/>
      <c r="X2279" s="2" t="s">
        <v>6663</v>
      </c>
      <c r="Y2279" s="2" t="s">
        <v>13908</v>
      </c>
      <c r="AA2279" t="str">
        <f t="shared" si="210"/>
        <v>2025-10</v>
      </c>
      <c r="AB2279" t="str">
        <f t="shared" si="211"/>
        <v/>
      </c>
      <c r="AC2279">
        <f t="shared" si="212"/>
        <v>2462011.2000000002</v>
      </c>
      <c r="AD2279">
        <f t="shared" si="213"/>
        <v>300</v>
      </c>
      <c r="AE2279">
        <f t="shared" si="214"/>
        <v>552811.19999999995</v>
      </c>
      <c r="AF2279" t="str">
        <f t="shared" si="215"/>
        <v>Paid</v>
      </c>
    </row>
    <row r="2280" spans="1:32" ht="17.25" thickBot="1" x14ac:dyDescent="0.35">
      <c r="A2280" s="2" t="s">
        <v>13985</v>
      </c>
      <c r="B2280" s="2" t="s">
        <v>27</v>
      </c>
      <c r="C2280" s="2" t="s">
        <v>28</v>
      </c>
      <c r="D2280" s="2" t="s">
        <v>97</v>
      </c>
      <c r="E2280" s="2" t="s">
        <v>13597</v>
      </c>
      <c r="F2280" s="2" t="s">
        <v>8445</v>
      </c>
      <c r="G2280" s="2" t="s">
        <v>32</v>
      </c>
      <c r="H2280" s="1"/>
      <c r="I2280" s="2" t="s">
        <v>33</v>
      </c>
      <c r="J2280" s="2" t="s">
        <v>34</v>
      </c>
      <c r="K2280" s="2" t="s">
        <v>11304</v>
      </c>
      <c r="L2280" s="2" t="s">
        <v>11305</v>
      </c>
      <c r="M2280" s="2" t="s">
        <v>2389</v>
      </c>
      <c r="N2280" s="2" t="s">
        <v>38</v>
      </c>
      <c r="O2280" s="2" t="s">
        <v>1904</v>
      </c>
      <c r="P2280" s="2" t="s">
        <v>13233</v>
      </c>
      <c r="Q2280" s="2" t="s">
        <v>13986</v>
      </c>
      <c r="R2280" s="2" t="s">
        <v>40</v>
      </c>
      <c r="S2280" s="2" t="s">
        <v>13987</v>
      </c>
      <c r="T2280" s="2" t="s">
        <v>2522</v>
      </c>
      <c r="U2280" s="2" t="s">
        <v>13988</v>
      </c>
      <c r="V2280" s="2" t="s">
        <v>13989</v>
      </c>
      <c r="W2280" s="1"/>
      <c r="X2280" s="2" t="s">
        <v>886</v>
      </c>
      <c r="Y2280" s="2" t="s">
        <v>13908</v>
      </c>
      <c r="AA2280" t="str">
        <f t="shared" si="210"/>
        <v>2025-10</v>
      </c>
      <c r="AB2280" t="str">
        <f t="shared" si="211"/>
        <v/>
      </c>
      <c r="AC2280">
        <f t="shared" si="212"/>
        <v>1601550.72</v>
      </c>
      <c r="AD2280">
        <f t="shared" si="213"/>
        <v>230</v>
      </c>
      <c r="AE2280">
        <f t="shared" si="214"/>
        <v>428550.72</v>
      </c>
      <c r="AF2280" t="str">
        <f t="shared" si="215"/>
        <v>Paid</v>
      </c>
    </row>
    <row r="2281" spans="1:32" ht="17.25" thickBot="1" x14ac:dyDescent="0.35">
      <c r="A2281" s="2" t="s">
        <v>13990</v>
      </c>
      <c r="B2281" s="2" t="s">
        <v>27</v>
      </c>
      <c r="C2281" s="2" t="s">
        <v>28</v>
      </c>
      <c r="D2281" s="2" t="s">
        <v>97</v>
      </c>
      <c r="E2281" s="2" t="s">
        <v>13597</v>
      </c>
      <c r="F2281" s="2" t="s">
        <v>8445</v>
      </c>
      <c r="G2281" s="2" t="s">
        <v>32</v>
      </c>
      <c r="H2281" s="1"/>
      <c r="I2281" s="2" t="s">
        <v>33</v>
      </c>
      <c r="J2281" s="2" t="s">
        <v>34</v>
      </c>
      <c r="K2281" s="2" t="s">
        <v>11310</v>
      </c>
      <c r="L2281" s="2" t="s">
        <v>11311</v>
      </c>
      <c r="M2281" s="2" t="s">
        <v>2389</v>
      </c>
      <c r="N2281" s="2" t="s">
        <v>38</v>
      </c>
      <c r="O2281" s="2" t="s">
        <v>1158</v>
      </c>
      <c r="P2281" s="2" t="s">
        <v>13233</v>
      </c>
      <c r="Q2281" s="2" t="s">
        <v>13991</v>
      </c>
      <c r="R2281" s="2" t="s">
        <v>40</v>
      </c>
      <c r="S2281" s="2" t="s">
        <v>13992</v>
      </c>
      <c r="T2281" s="2" t="s">
        <v>13993</v>
      </c>
      <c r="U2281" s="2" t="s">
        <v>13994</v>
      </c>
      <c r="V2281" s="2" t="s">
        <v>13995</v>
      </c>
      <c r="W2281" s="1"/>
      <c r="X2281" s="2" t="s">
        <v>934</v>
      </c>
      <c r="Y2281" s="2" t="s">
        <v>13908</v>
      </c>
      <c r="AA2281" t="str">
        <f t="shared" si="210"/>
        <v>2025-10</v>
      </c>
      <c r="AB2281" t="str">
        <f t="shared" si="211"/>
        <v/>
      </c>
      <c r="AC2281">
        <f t="shared" si="212"/>
        <v>1253387.52</v>
      </c>
      <c r="AD2281">
        <f t="shared" si="213"/>
        <v>180</v>
      </c>
      <c r="AE2281">
        <f t="shared" si="214"/>
        <v>307487.52</v>
      </c>
      <c r="AF2281" t="str">
        <f t="shared" si="215"/>
        <v>Paid</v>
      </c>
    </row>
    <row r="2282" spans="1:32" ht="17.25" thickBot="1" x14ac:dyDescent="0.35">
      <c r="A2282" s="2" t="s">
        <v>13996</v>
      </c>
      <c r="B2282" s="2" t="s">
        <v>27</v>
      </c>
      <c r="C2282" s="2" t="s">
        <v>28</v>
      </c>
      <c r="D2282" s="2" t="s">
        <v>97</v>
      </c>
      <c r="E2282" s="2" t="s">
        <v>13597</v>
      </c>
      <c r="F2282" s="2" t="s">
        <v>8445</v>
      </c>
      <c r="G2282" s="2" t="s">
        <v>32</v>
      </c>
      <c r="H2282" s="1"/>
      <c r="I2282" s="2" t="s">
        <v>33</v>
      </c>
      <c r="J2282" s="2" t="s">
        <v>34</v>
      </c>
      <c r="K2282" s="2" t="s">
        <v>2535</v>
      </c>
      <c r="L2282" s="2" t="s">
        <v>2536</v>
      </c>
      <c r="M2282" s="2" t="s">
        <v>2389</v>
      </c>
      <c r="N2282" s="2" t="s">
        <v>38</v>
      </c>
      <c r="O2282" s="2" t="s">
        <v>920</v>
      </c>
      <c r="P2282" s="2" t="s">
        <v>5845</v>
      </c>
      <c r="Q2282" s="2" t="s">
        <v>13997</v>
      </c>
      <c r="R2282" s="2" t="s">
        <v>40</v>
      </c>
      <c r="S2282" s="2" t="s">
        <v>13998</v>
      </c>
      <c r="T2282" s="2" t="s">
        <v>13999</v>
      </c>
      <c r="U2282" s="2" t="s">
        <v>14000</v>
      </c>
      <c r="V2282" s="2" t="s">
        <v>14001</v>
      </c>
      <c r="W2282" s="1"/>
      <c r="X2282" s="2" t="s">
        <v>14002</v>
      </c>
      <c r="Y2282" s="2" t="s">
        <v>13908</v>
      </c>
      <c r="AA2282" t="str">
        <f t="shared" si="210"/>
        <v>2025-10</v>
      </c>
      <c r="AB2282" t="str">
        <f t="shared" si="211"/>
        <v/>
      </c>
      <c r="AC2282">
        <f t="shared" si="212"/>
        <v>4344164.88</v>
      </c>
      <c r="AD2282">
        <f t="shared" si="213"/>
        <v>470</v>
      </c>
      <c r="AE2282">
        <f t="shared" si="214"/>
        <v>1575394.88</v>
      </c>
      <c r="AF2282" t="str">
        <f t="shared" si="215"/>
        <v>Paid</v>
      </c>
    </row>
    <row r="2283" spans="1:32" ht="17.25" thickBot="1" x14ac:dyDescent="0.35">
      <c r="A2283" s="2" t="s">
        <v>14003</v>
      </c>
      <c r="B2283" s="2" t="s">
        <v>27</v>
      </c>
      <c r="C2283" s="2" t="s">
        <v>28</v>
      </c>
      <c r="D2283" s="2" t="s">
        <v>97</v>
      </c>
      <c r="E2283" s="2" t="s">
        <v>13597</v>
      </c>
      <c r="F2283" s="2" t="s">
        <v>8445</v>
      </c>
      <c r="G2283" s="2" t="s">
        <v>32</v>
      </c>
      <c r="H2283" s="1"/>
      <c r="I2283" s="2" t="s">
        <v>33</v>
      </c>
      <c r="J2283" s="2" t="s">
        <v>34</v>
      </c>
      <c r="K2283" s="2" t="s">
        <v>12988</v>
      </c>
      <c r="L2283" s="2" t="s">
        <v>12989</v>
      </c>
      <c r="M2283" s="2" t="s">
        <v>2389</v>
      </c>
      <c r="N2283" s="2" t="s">
        <v>38</v>
      </c>
      <c r="O2283" s="2" t="s">
        <v>779</v>
      </c>
      <c r="P2283" s="2" t="s">
        <v>14004</v>
      </c>
      <c r="Q2283" s="2" t="s">
        <v>7145</v>
      </c>
      <c r="R2283" s="2" t="s">
        <v>40</v>
      </c>
      <c r="S2283" s="2" t="s">
        <v>14005</v>
      </c>
      <c r="T2283" s="2" t="s">
        <v>14006</v>
      </c>
      <c r="U2283" s="2" t="s">
        <v>14007</v>
      </c>
      <c r="V2283" s="2" t="s">
        <v>14008</v>
      </c>
      <c r="W2283" s="1"/>
      <c r="X2283" s="2" t="s">
        <v>14009</v>
      </c>
      <c r="Y2283" s="2" t="s">
        <v>13908</v>
      </c>
      <c r="AA2283" t="str">
        <f t="shared" si="210"/>
        <v>2025-10</v>
      </c>
      <c r="AB2283" t="str">
        <f t="shared" si="211"/>
        <v/>
      </c>
      <c r="AC2283">
        <f t="shared" si="212"/>
        <v>258635.51999999999</v>
      </c>
      <c r="AD2283">
        <f t="shared" si="213"/>
        <v>90</v>
      </c>
      <c r="AE2283">
        <f t="shared" si="214"/>
        <v>140735.51999999999</v>
      </c>
      <c r="AF2283" t="str">
        <f t="shared" si="215"/>
        <v>Paid</v>
      </c>
    </row>
    <row r="2284" spans="1:32" ht="17.25" thickBot="1" x14ac:dyDescent="0.35">
      <c r="A2284" s="2" t="s">
        <v>14010</v>
      </c>
      <c r="B2284" s="2" t="s">
        <v>27</v>
      </c>
      <c r="C2284" s="2" t="s">
        <v>28</v>
      </c>
      <c r="D2284" s="2" t="s">
        <v>97</v>
      </c>
      <c r="E2284" s="2" t="s">
        <v>13597</v>
      </c>
      <c r="F2284" s="2" t="s">
        <v>8445</v>
      </c>
      <c r="G2284" s="2" t="s">
        <v>32</v>
      </c>
      <c r="H2284" s="1"/>
      <c r="I2284" s="2" t="s">
        <v>33</v>
      </c>
      <c r="J2284" s="2" t="s">
        <v>34</v>
      </c>
      <c r="K2284" s="2" t="s">
        <v>2544</v>
      </c>
      <c r="L2284" s="2" t="s">
        <v>2545</v>
      </c>
      <c r="M2284" s="2" t="s">
        <v>2389</v>
      </c>
      <c r="N2284" s="2" t="s">
        <v>38</v>
      </c>
      <c r="O2284" s="2" t="s">
        <v>1904</v>
      </c>
      <c r="P2284" s="2" t="s">
        <v>14011</v>
      </c>
      <c r="Q2284" s="2" t="s">
        <v>14012</v>
      </c>
      <c r="R2284" s="2" t="s">
        <v>40</v>
      </c>
      <c r="S2284" s="2" t="s">
        <v>14013</v>
      </c>
      <c r="T2284" s="2" t="s">
        <v>14014</v>
      </c>
      <c r="U2284" s="2" t="s">
        <v>14015</v>
      </c>
      <c r="V2284" s="2" t="s">
        <v>14016</v>
      </c>
      <c r="W2284" s="1"/>
      <c r="X2284" s="2" t="s">
        <v>7490</v>
      </c>
      <c r="Y2284" s="2" t="s">
        <v>13908</v>
      </c>
      <c r="AA2284" t="str">
        <f t="shared" si="210"/>
        <v>2025-10</v>
      </c>
      <c r="AB2284" t="str">
        <f t="shared" si="211"/>
        <v/>
      </c>
      <c r="AC2284">
        <f t="shared" si="212"/>
        <v>2453168.96</v>
      </c>
      <c r="AD2284">
        <f t="shared" si="213"/>
        <v>230</v>
      </c>
      <c r="AE2284">
        <f t="shared" si="214"/>
        <v>767728.96</v>
      </c>
      <c r="AF2284" t="str">
        <f t="shared" si="215"/>
        <v>Paid</v>
      </c>
    </row>
    <row r="2285" spans="1:32" ht="17.25" thickBot="1" x14ac:dyDescent="0.35">
      <c r="A2285" s="2" t="s">
        <v>14017</v>
      </c>
      <c r="B2285" s="2" t="s">
        <v>27</v>
      </c>
      <c r="C2285" s="2" t="s">
        <v>28</v>
      </c>
      <c r="D2285" s="2" t="s">
        <v>97</v>
      </c>
      <c r="E2285" s="2" t="s">
        <v>13597</v>
      </c>
      <c r="F2285" s="2" t="s">
        <v>8445</v>
      </c>
      <c r="G2285" s="2" t="s">
        <v>32</v>
      </c>
      <c r="H2285" s="1"/>
      <c r="I2285" s="2" t="s">
        <v>33</v>
      </c>
      <c r="J2285" s="2" t="s">
        <v>34</v>
      </c>
      <c r="K2285" s="2" t="s">
        <v>2562</v>
      </c>
      <c r="L2285" s="2" t="s">
        <v>2563</v>
      </c>
      <c r="M2285" s="2" t="s">
        <v>2389</v>
      </c>
      <c r="N2285" s="2" t="s">
        <v>38</v>
      </c>
      <c r="O2285" s="2" t="s">
        <v>159</v>
      </c>
      <c r="P2285" s="2" t="s">
        <v>4508</v>
      </c>
      <c r="Q2285" s="2" t="s">
        <v>14018</v>
      </c>
      <c r="R2285" s="2" t="s">
        <v>40</v>
      </c>
      <c r="S2285" s="2" t="s">
        <v>14019</v>
      </c>
      <c r="T2285" s="2" t="s">
        <v>14020</v>
      </c>
      <c r="U2285" s="2" t="s">
        <v>14021</v>
      </c>
      <c r="V2285" s="2" t="s">
        <v>14022</v>
      </c>
      <c r="W2285" s="1"/>
      <c r="X2285" s="2" t="s">
        <v>1082</v>
      </c>
      <c r="Y2285" s="2" t="s">
        <v>13908</v>
      </c>
      <c r="AA2285" t="str">
        <f t="shared" si="210"/>
        <v>2025-10</v>
      </c>
      <c r="AB2285" t="str">
        <f t="shared" si="211"/>
        <v/>
      </c>
      <c r="AC2285">
        <f t="shared" si="212"/>
        <v>492954.88</v>
      </c>
      <c r="AD2285">
        <f t="shared" si="213"/>
        <v>80</v>
      </c>
      <c r="AE2285">
        <f t="shared" si="214"/>
        <v>116154.88</v>
      </c>
      <c r="AF2285" t="str">
        <f t="shared" si="215"/>
        <v>Paid</v>
      </c>
    </row>
    <row r="2286" spans="1:32" ht="17.25" thickBot="1" x14ac:dyDescent="0.35">
      <c r="A2286" s="2" t="s">
        <v>14023</v>
      </c>
      <c r="B2286" s="2" t="s">
        <v>27</v>
      </c>
      <c r="C2286" s="2" t="s">
        <v>28</v>
      </c>
      <c r="D2286" s="2" t="s">
        <v>97</v>
      </c>
      <c r="E2286" s="2" t="s">
        <v>13597</v>
      </c>
      <c r="F2286" s="2" t="s">
        <v>8445</v>
      </c>
      <c r="G2286" s="2" t="s">
        <v>32</v>
      </c>
      <c r="H2286" s="1"/>
      <c r="I2286" s="2" t="s">
        <v>33</v>
      </c>
      <c r="J2286" s="2" t="s">
        <v>34</v>
      </c>
      <c r="K2286" s="2" t="s">
        <v>2570</v>
      </c>
      <c r="L2286" s="2" t="s">
        <v>2571</v>
      </c>
      <c r="M2286" s="2" t="s">
        <v>2389</v>
      </c>
      <c r="N2286" s="2" t="s">
        <v>38</v>
      </c>
      <c r="O2286" s="2" t="s">
        <v>391</v>
      </c>
      <c r="P2286" s="2" t="s">
        <v>8803</v>
      </c>
      <c r="Q2286" s="2" t="s">
        <v>13965</v>
      </c>
      <c r="R2286" s="2" t="s">
        <v>40</v>
      </c>
      <c r="S2286" s="2" t="s">
        <v>13966</v>
      </c>
      <c r="T2286" s="2" t="s">
        <v>7535</v>
      </c>
      <c r="U2286" s="2" t="s">
        <v>14024</v>
      </c>
      <c r="V2286" s="2" t="s">
        <v>14025</v>
      </c>
      <c r="W2286" s="1"/>
      <c r="X2286" s="2" t="s">
        <v>14026</v>
      </c>
      <c r="Y2286" s="2" t="s">
        <v>13908</v>
      </c>
      <c r="AA2286" t="str">
        <f t="shared" si="210"/>
        <v>2025-10</v>
      </c>
      <c r="AB2286" t="str">
        <f t="shared" si="211"/>
        <v/>
      </c>
      <c r="AC2286">
        <f t="shared" si="212"/>
        <v>739432.32</v>
      </c>
      <c r="AD2286">
        <f t="shared" si="213"/>
        <v>60</v>
      </c>
      <c r="AE2286">
        <f t="shared" si="214"/>
        <v>204832.32</v>
      </c>
      <c r="AF2286" t="str">
        <f t="shared" si="215"/>
        <v>Paid</v>
      </c>
    </row>
    <row r="2287" spans="1:32" ht="17.25" thickBot="1" x14ac:dyDescent="0.35">
      <c r="A2287" s="2" t="s">
        <v>14027</v>
      </c>
      <c r="B2287" s="2" t="s">
        <v>27</v>
      </c>
      <c r="C2287" s="2" t="s">
        <v>28</v>
      </c>
      <c r="D2287" s="2" t="s">
        <v>97</v>
      </c>
      <c r="E2287" s="2" t="s">
        <v>13597</v>
      </c>
      <c r="F2287" s="2" t="s">
        <v>8445</v>
      </c>
      <c r="G2287" s="2" t="s">
        <v>32</v>
      </c>
      <c r="H2287" s="1"/>
      <c r="I2287" s="2" t="s">
        <v>33</v>
      </c>
      <c r="J2287" s="2" t="s">
        <v>34</v>
      </c>
      <c r="K2287" s="2" t="s">
        <v>2586</v>
      </c>
      <c r="L2287" s="2" t="s">
        <v>2587</v>
      </c>
      <c r="M2287" s="2" t="s">
        <v>2389</v>
      </c>
      <c r="N2287" s="2" t="s">
        <v>38</v>
      </c>
      <c r="O2287" s="2" t="s">
        <v>234</v>
      </c>
      <c r="P2287" s="2" t="s">
        <v>10802</v>
      </c>
      <c r="Q2287" s="2" t="s">
        <v>14028</v>
      </c>
      <c r="R2287" s="2" t="s">
        <v>40</v>
      </c>
      <c r="S2287" s="2" t="s">
        <v>14029</v>
      </c>
      <c r="T2287" s="2" t="s">
        <v>13003</v>
      </c>
      <c r="U2287" s="2" t="s">
        <v>14030</v>
      </c>
      <c r="V2287" s="2" t="s">
        <v>14031</v>
      </c>
      <c r="W2287" s="1"/>
      <c r="X2287" s="2" t="s">
        <v>1091</v>
      </c>
      <c r="Y2287" s="2" t="s">
        <v>13908</v>
      </c>
      <c r="AA2287" t="str">
        <f t="shared" si="210"/>
        <v>2025-10</v>
      </c>
      <c r="AB2287" t="str">
        <f t="shared" si="211"/>
        <v/>
      </c>
      <c r="AC2287">
        <f t="shared" si="212"/>
        <v>207143.29</v>
      </c>
      <c r="AD2287">
        <f t="shared" si="213"/>
        <v>29</v>
      </c>
      <c r="AE2287">
        <f t="shared" si="214"/>
        <v>52109.29</v>
      </c>
      <c r="AF2287" t="str">
        <f t="shared" si="215"/>
        <v>Paid</v>
      </c>
    </row>
    <row r="2288" spans="1:32" ht="17.25" thickBot="1" x14ac:dyDescent="0.35">
      <c r="A2288" s="2" t="s">
        <v>14032</v>
      </c>
      <c r="B2288" s="2" t="s">
        <v>27</v>
      </c>
      <c r="C2288" s="2" t="s">
        <v>28</v>
      </c>
      <c r="D2288" s="2" t="s">
        <v>97</v>
      </c>
      <c r="E2288" s="2" t="s">
        <v>13597</v>
      </c>
      <c r="F2288" s="2" t="s">
        <v>8445</v>
      </c>
      <c r="G2288" s="2" t="s">
        <v>32</v>
      </c>
      <c r="H2288" s="1"/>
      <c r="I2288" s="2" t="s">
        <v>33</v>
      </c>
      <c r="J2288" s="2" t="s">
        <v>34</v>
      </c>
      <c r="K2288" s="2" t="s">
        <v>11341</v>
      </c>
      <c r="L2288" s="2" t="s">
        <v>11342</v>
      </c>
      <c r="M2288" s="2" t="s">
        <v>2389</v>
      </c>
      <c r="N2288" s="2" t="s">
        <v>38</v>
      </c>
      <c r="O2288" s="2" t="s">
        <v>391</v>
      </c>
      <c r="P2288" s="2" t="s">
        <v>12807</v>
      </c>
      <c r="Q2288" s="2" t="s">
        <v>2511</v>
      </c>
      <c r="R2288" s="2" t="s">
        <v>40</v>
      </c>
      <c r="S2288" s="2" t="s">
        <v>14033</v>
      </c>
      <c r="T2288" s="2" t="s">
        <v>669</v>
      </c>
      <c r="U2288" s="2" t="s">
        <v>4484</v>
      </c>
      <c r="V2288" s="2" t="s">
        <v>14034</v>
      </c>
      <c r="W2288" s="1"/>
      <c r="X2288" s="2" t="s">
        <v>934</v>
      </c>
      <c r="Y2288" s="2" t="s">
        <v>13908</v>
      </c>
      <c r="AA2288" t="str">
        <f t="shared" si="210"/>
        <v>2025-10</v>
      </c>
      <c r="AB2288" t="str">
        <f t="shared" si="211"/>
        <v/>
      </c>
      <c r="AC2288">
        <f t="shared" si="212"/>
        <v>476652</v>
      </c>
      <c r="AD2288">
        <f t="shared" si="213"/>
        <v>60</v>
      </c>
      <c r="AE2288">
        <f t="shared" si="214"/>
        <v>116652</v>
      </c>
      <c r="AF2288" t="str">
        <f t="shared" si="215"/>
        <v>Paid</v>
      </c>
    </row>
    <row r="2289" spans="1:32" ht="17.25" thickBot="1" x14ac:dyDescent="0.35">
      <c r="A2289" s="2" t="s">
        <v>14035</v>
      </c>
      <c r="B2289" s="2" t="s">
        <v>27</v>
      </c>
      <c r="C2289" s="2" t="s">
        <v>28</v>
      </c>
      <c r="D2289" s="2" t="s">
        <v>97</v>
      </c>
      <c r="E2289" s="2" t="s">
        <v>13597</v>
      </c>
      <c r="F2289" s="2" t="s">
        <v>8445</v>
      </c>
      <c r="G2289" s="2" t="s">
        <v>32</v>
      </c>
      <c r="H2289" s="1"/>
      <c r="I2289" s="2" t="s">
        <v>33</v>
      </c>
      <c r="J2289" s="2" t="s">
        <v>34</v>
      </c>
      <c r="K2289" s="2" t="s">
        <v>2595</v>
      </c>
      <c r="L2289" s="2" t="s">
        <v>2596</v>
      </c>
      <c r="M2289" s="2" t="s">
        <v>2389</v>
      </c>
      <c r="N2289" s="2" t="s">
        <v>38</v>
      </c>
      <c r="O2289" s="2" t="s">
        <v>977</v>
      </c>
      <c r="P2289" s="2" t="s">
        <v>10802</v>
      </c>
      <c r="Q2289" s="2" t="s">
        <v>14036</v>
      </c>
      <c r="R2289" s="2" t="s">
        <v>40</v>
      </c>
      <c r="S2289" s="2" t="s">
        <v>14037</v>
      </c>
      <c r="T2289" s="2" t="s">
        <v>13003</v>
      </c>
      <c r="U2289" s="2" t="s">
        <v>14038</v>
      </c>
      <c r="V2289" s="2" t="s">
        <v>14039</v>
      </c>
      <c r="W2289" s="1"/>
      <c r="X2289" s="2" t="s">
        <v>1091</v>
      </c>
      <c r="Y2289" s="2" t="s">
        <v>13908</v>
      </c>
      <c r="AA2289" t="str">
        <f t="shared" si="210"/>
        <v>2025-10</v>
      </c>
      <c r="AB2289" t="str">
        <f t="shared" si="211"/>
        <v/>
      </c>
      <c r="AC2289">
        <f t="shared" si="212"/>
        <v>785715.92</v>
      </c>
      <c r="AD2289">
        <f t="shared" si="213"/>
        <v>110</v>
      </c>
      <c r="AE2289">
        <f t="shared" si="214"/>
        <v>197655.92</v>
      </c>
      <c r="AF2289" t="str">
        <f t="shared" si="215"/>
        <v>Paid</v>
      </c>
    </row>
    <row r="2290" spans="1:32" ht="27.75" thickBot="1" x14ac:dyDescent="0.35">
      <c r="A2290" s="2" t="s">
        <v>14040</v>
      </c>
      <c r="B2290" s="2" t="s">
        <v>27</v>
      </c>
      <c r="C2290" s="2" t="s">
        <v>28</v>
      </c>
      <c r="D2290" s="2" t="s">
        <v>97</v>
      </c>
      <c r="E2290" s="2" t="s">
        <v>13597</v>
      </c>
      <c r="F2290" s="2" t="s">
        <v>8445</v>
      </c>
      <c r="G2290" s="2" t="s">
        <v>32</v>
      </c>
      <c r="H2290" s="1"/>
      <c r="I2290" s="2" t="s">
        <v>33</v>
      </c>
      <c r="J2290" s="2" t="s">
        <v>34</v>
      </c>
      <c r="K2290" s="2" t="s">
        <v>2620</v>
      </c>
      <c r="L2290" s="2" t="s">
        <v>2621</v>
      </c>
      <c r="M2290" s="2" t="s">
        <v>2389</v>
      </c>
      <c r="N2290" s="2" t="s">
        <v>38</v>
      </c>
      <c r="O2290" s="2" t="s">
        <v>2816</v>
      </c>
      <c r="P2290" s="2" t="s">
        <v>5817</v>
      </c>
      <c r="Q2290" s="2" t="s">
        <v>14041</v>
      </c>
      <c r="R2290" s="2" t="s">
        <v>40</v>
      </c>
      <c r="S2290" s="2" t="s">
        <v>14042</v>
      </c>
      <c r="T2290" s="2" t="s">
        <v>2625</v>
      </c>
      <c r="U2290" s="2" t="s">
        <v>14043</v>
      </c>
      <c r="V2290" s="2" t="s">
        <v>14044</v>
      </c>
      <c r="W2290" s="1"/>
      <c r="X2290" s="2" t="s">
        <v>14045</v>
      </c>
      <c r="Y2290" s="2" t="s">
        <v>13908</v>
      </c>
      <c r="AA2290" t="str">
        <f t="shared" si="210"/>
        <v>2025-10</v>
      </c>
      <c r="AB2290" t="str">
        <f t="shared" si="211"/>
        <v/>
      </c>
      <c r="AC2290">
        <f t="shared" si="212"/>
        <v>2973479.52</v>
      </c>
      <c r="AD2290">
        <f t="shared" si="213"/>
        <v>340</v>
      </c>
      <c r="AE2290">
        <f t="shared" si="214"/>
        <v>970879.52</v>
      </c>
      <c r="AF2290" t="str">
        <f t="shared" si="215"/>
        <v>Paid</v>
      </c>
    </row>
    <row r="2291" spans="1:32" ht="17.25" thickBot="1" x14ac:dyDescent="0.35">
      <c r="A2291" s="2" t="s">
        <v>14046</v>
      </c>
      <c r="B2291" s="2" t="s">
        <v>27</v>
      </c>
      <c r="C2291" s="2" t="s">
        <v>28</v>
      </c>
      <c r="D2291" s="2" t="s">
        <v>97</v>
      </c>
      <c r="E2291" s="2" t="s">
        <v>13597</v>
      </c>
      <c r="F2291" s="2" t="s">
        <v>8445</v>
      </c>
      <c r="G2291" s="2" t="s">
        <v>32</v>
      </c>
      <c r="H2291" s="1"/>
      <c r="I2291" s="2" t="s">
        <v>33</v>
      </c>
      <c r="J2291" s="2" t="s">
        <v>34</v>
      </c>
      <c r="K2291" s="2" t="s">
        <v>14047</v>
      </c>
      <c r="L2291" s="2" t="s">
        <v>14048</v>
      </c>
      <c r="M2291" s="2" t="s">
        <v>2389</v>
      </c>
      <c r="N2291" s="2" t="s">
        <v>38</v>
      </c>
      <c r="O2291" s="2" t="s">
        <v>466</v>
      </c>
      <c r="P2291" s="2" t="s">
        <v>8803</v>
      </c>
      <c r="Q2291" s="2" t="s">
        <v>14049</v>
      </c>
      <c r="R2291" s="2" t="s">
        <v>40</v>
      </c>
      <c r="S2291" s="2" t="s">
        <v>14050</v>
      </c>
      <c r="T2291" s="2" t="s">
        <v>14051</v>
      </c>
      <c r="U2291" s="2" t="s">
        <v>14052</v>
      </c>
      <c r="V2291" s="2" t="s">
        <v>14053</v>
      </c>
      <c r="W2291" s="1"/>
      <c r="X2291" s="2" t="s">
        <v>14054</v>
      </c>
      <c r="Y2291" s="2" t="s">
        <v>13908</v>
      </c>
      <c r="AA2291" t="str">
        <f t="shared" si="210"/>
        <v>2025-10</v>
      </c>
      <c r="AB2291" t="str">
        <f t="shared" si="211"/>
        <v/>
      </c>
      <c r="AC2291">
        <f t="shared" si="212"/>
        <v>862671.04</v>
      </c>
      <c r="AD2291">
        <f t="shared" si="213"/>
        <v>70</v>
      </c>
      <c r="AE2291">
        <f t="shared" si="214"/>
        <v>443231.04</v>
      </c>
      <c r="AF2291" t="str">
        <f t="shared" si="215"/>
        <v>Paid</v>
      </c>
    </row>
    <row r="2292" spans="1:32" ht="17.25" thickBot="1" x14ac:dyDescent="0.35">
      <c r="A2292" s="2" t="s">
        <v>14055</v>
      </c>
      <c r="B2292" s="2" t="s">
        <v>27</v>
      </c>
      <c r="C2292" s="2" t="s">
        <v>28</v>
      </c>
      <c r="D2292" s="2" t="s">
        <v>97</v>
      </c>
      <c r="E2292" s="2" t="s">
        <v>13597</v>
      </c>
      <c r="F2292" s="2" t="s">
        <v>8445</v>
      </c>
      <c r="G2292" s="2" t="s">
        <v>32</v>
      </c>
      <c r="H2292" s="1"/>
      <c r="I2292" s="2" t="s">
        <v>33</v>
      </c>
      <c r="J2292" s="2" t="s">
        <v>34</v>
      </c>
      <c r="K2292" s="2" t="s">
        <v>13007</v>
      </c>
      <c r="L2292" s="2" t="s">
        <v>13008</v>
      </c>
      <c r="M2292" s="2" t="s">
        <v>8664</v>
      </c>
      <c r="N2292" s="2" t="s">
        <v>38</v>
      </c>
      <c r="O2292" s="2" t="s">
        <v>1150</v>
      </c>
      <c r="P2292" s="2" t="s">
        <v>14056</v>
      </c>
      <c r="Q2292" s="2" t="s">
        <v>14057</v>
      </c>
      <c r="R2292" s="2" t="s">
        <v>40</v>
      </c>
      <c r="S2292" s="2" t="s">
        <v>14058</v>
      </c>
      <c r="T2292" s="2" t="s">
        <v>14059</v>
      </c>
      <c r="U2292" s="2" t="s">
        <v>14060</v>
      </c>
      <c r="V2292" s="2" t="s">
        <v>14061</v>
      </c>
      <c r="W2292" s="1"/>
      <c r="X2292" s="2" t="s">
        <v>1427</v>
      </c>
      <c r="Y2292" s="2" t="s">
        <v>13908</v>
      </c>
      <c r="AA2292" t="str">
        <f t="shared" si="210"/>
        <v>2025-10</v>
      </c>
      <c r="AB2292" t="str">
        <f t="shared" si="211"/>
        <v/>
      </c>
      <c r="AC2292">
        <f t="shared" si="212"/>
        <v>468776.88</v>
      </c>
      <c r="AD2292">
        <f t="shared" si="213"/>
        <v>130</v>
      </c>
      <c r="AE2292">
        <f t="shared" si="214"/>
        <v>114136.88</v>
      </c>
      <c r="AF2292" t="str">
        <f t="shared" si="215"/>
        <v>Paid</v>
      </c>
    </row>
    <row r="2293" spans="1:32" ht="17.25" thickBot="1" x14ac:dyDescent="0.35">
      <c r="A2293" s="2" t="s">
        <v>14062</v>
      </c>
      <c r="B2293" s="2" t="s">
        <v>27</v>
      </c>
      <c r="C2293" s="2" t="s">
        <v>28</v>
      </c>
      <c r="D2293" s="2" t="s">
        <v>97</v>
      </c>
      <c r="E2293" s="2" t="s">
        <v>13597</v>
      </c>
      <c r="F2293" s="2" t="s">
        <v>8445</v>
      </c>
      <c r="G2293" s="2" t="s">
        <v>32</v>
      </c>
      <c r="H2293" s="1"/>
      <c r="I2293" s="2" t="s">
        <v>33</v>
      </c>
      <c r="J2293" s="2" t="s">
        <v>34</v>
      </c>
      <c r="K2293" s="2" t="s">
        <v>2640</v>
      </c>
      <c r="L2293" s="2" t="s">
        <v>2641</v>
      </c>
      <c r="M2293" s="2" t="s">
        <v>2631</v>
      </c>
      <c r="N2293" s="2" t="s">
        <v>38</v>
      </c>
      <c r="O2293" s="2" t="s">
        <v>149</v>
      </c>
      <c r="P2293" s="2" t="s">
        <v>14063</v>
      </c>
      <c r="Q2293" s="2" t="s">
        <v>14064</v>
      </c>
      <c r="R2293" s="2" t="s">
        <v>40</v>
      </c>
      <c r="S2293" s="2" t="s">
        <v>14065</v>
      </c>
      <c r="T2293" s="2" t="s">
        <v>10627</v>
      </c>
      <c r="U2293" s="2" t="s">
        <v>14066</v>
      </c>
      <c r="V2293" s="2" t="s">
        <v>14067</v>
      </c>
      <c r="W2293" s="1"/>
      <c r="X2293" s="2" t="s">
        <v>4626</v>
      </c>
      <c r="Y2293" s="2" t="s">
        <v>13908</v>
      </c>
      <c r="AA2293" t="str">
        <f t="shared" si="210"/>
        <v>2025-10</v>
      </c>
      <c r="AB2293" t="str">
        <f t="shared" si="211"/>
        <v/>
      </c>
      <c r="AC2293">
        <f t="shared" si="212"/>
        <v>1289032.8</v>
      </c>
      <c r="AD2293">
        <f t="shared" si="213"/>
        <v>300</v>
      </c>
      <c r="AE2293">
        <f t="shared" si="214"/>
        <v>225232.8</v>
      </c>
      <c r="AF2293" t="str">
        <f t="shared" si="215"/>
        <v>Paid</v>
      </c>
    </row>
    <row r="2294" spans="1:32" ht="17.25" thickBot="1" x14ac:dyDescent="0.35">
      <c r="A2294" s="2" t="s">
        <v>14068</v>
      </c>
      <c r="B2294" s="2" t="s">
        <v>27</v>
      </c>
      <c r="C2294" s="2" t="s">
        <v>28</v>
      </c>
      <c r="D2294" s="2" t="s">
        <v>97</v>
      </c>
      <c r="E2294" s="2" t="s">
        <v>13597</v>
      </c>
      <c r="F2294" s="2" t="s">
        <v>8445</v>
      </c>
      <c r="G2294" s="2" t="s">
        <v>32</v>
      </c>
      <c r="H2294" s="1"/>
      <c r="I2294" s="2" t="s">
        <v>33</v>
      </c>
      <c r="J2294" s="2" t="s">
        <v>34</v>
      </c>
      <c r="K2294" s="2" t="s">
        <v>2647</v>
      </c>
      <c r="L2294" s="2" t="s">
        <v>2648</v>
      </c>
      <c r="M2294" s="2" t="s">
        <v>2631</v>
      </c>
      <c r="N2294" s="2" t="s">
        <v>38</v>
      </c>
      <c r="O2294" s="2" t="s">
        <v>416</v>
      </c>
      <c r="P2294" s="2" t="s">
        <v>1105</v>
      </c>
      <c r="Q2294" s="2" t="s">
        <v>14069</v>
      </c>
      <c r="R2294" s="2" t="s">
        <v>40</v>
      </c>
      <c r="S2294" s="2" t="s">
        <v>14070</v>
      </c>
      <c r="T2294" s="2" t="s">
        <v>2651</v>
      </c>
      <c r="U2294" s="2" t="s">
        <v>14071</v>
      </c>
      <c r="V2294" s="2" t="s">
        <v>14072</v>
      </c>
      <c r="W2294" s="1"/>
      <c r="X2294" s="2" t="s">
        <v>1357</v>
      </c>
      <c r="Y2294" s="2" t="s">
        <v>13908</v>
      </c>
      <c r="AA2294" t="str">
        <f t="shared" si="210"/>
        <v>2025-10</v>
      </c>
      <c r="AB2294" t="str">
        <f t="shared" si="211"/>
        <v/>
      </c>
      <c r="AC2294">
        <f t="shared" si="212"/>
        <v>308704.7</v>
      </c>
      <c r="AD2294">
        <f t="shared" si="213"/>
        <v>49</v>
      </c>
      <c r="AE2294">
        <f t="shared" si="214"/>
        <v>79384.7</v>
      </c>
      <c r="AF2294" t="str">
        <f t="shared" si="215"/>
        <v>Paid</v>
      </c>
    </row>
    <row r="2295" spans="1:32" ht="27.75" thickBot="1" x14ac:dyDescent="0.35">
      <c r="A2295" s="2" t="s">
        <v>14073</v>
      </c>
      <c r="B2295" s="2" t="s">
        <v>27</v>
      </c>
      <c r="C2295" s="2" t="s">
        <v>28</v>
      </c>
      <c r="D2295" s="2" t="s">
        <v>97</v>
      </c>
      <c r="E2295" s="2" t="s">
        <v>13597</v>
      </c>
      <c r="F2295" s="2" t="s">
        <v>8445</v>
      </c>
      <c r="G2295" s="2" t="s">
        <v>32</v>
      </c>
      <c r="H2295" s="1"/>
      <c r="I2295" s="2" t="s">
        <v>33</v>
      </c>
      <c r="J2295" s="2" t="s">
        <v>34</v>
      </c>
      <c r="K2295" s="2" t="s">
        <v>9457</v>
      </c>
      <c r="L2295" s="2" t="s">
        <v>9458</v>
      </c>
      <c r="M2295" s="2" t="s">
        <v>570</v>
      </c>
      <c r="N2295" s="2" t="s">
        <v>38</v>
      </c>
      <c r="O2295" s="2" t="s">
        <v>5390</v>
      </c>
      <c r="P2295" s="2" t="s">
        <v>13041</v>
      </c>
      <c r="Q2295" s="2" t="s">
        <v>14074</v>
      </c>
      <c r="R2295" s="2" t="s">
        <v>40</v>
      </c>
      <c r="S2295" s="2" t="s">
        <v>14075</v>
      </c>
      <c r="T2295" s="2" t="s">
        <v>7463</v>
      </c>
      <c r="U2295" s="2" t="s">
        <v>14076</v>
      </c>
      <c r="V2295" s="2" t="s">
        <v>14077</v>
      </c>
      <c r="W2295" s="1"/>
      <c r="X2295" s="2" t="s">
        <v>3454</v>
      </c>
      <c r="Y2295" s="2" t="s">
        <v>13908</v>
      </c>
      <c r="AA2295" t="str">
        <f t="shared" si="210"/>
        <v>2025-10</v>
      </c>
      <c r="AB2295" t="str">
        <f t="shared" si="211"/>
        <v/>
      </c>
      <c r="AC2295">
        <f t="shared" si="212"/>
        <v>316524.56</v>
      </c>
      <c r="AD2295">
        <f t="shared" si="213"/>
        <v>790</v>
      </c>
      <c r="AE2295">
        <f t="shared" si="214"/>
        <v>57404.56</v>
      </c>
      <c r="AF2295" t="str">
        <f t="shared" si="215"/>
        <v>Paid</v>
      </c>
    </row>
    <row r="2296" spans="1:32" ht="27.75" thickBot="1" x14ac:dyDescent="0.35">
      <c r="A2296" s="2" t="s">
        <v>14078</v>
      </c>
      <c r="B2296" s="2" t="s">
        <v>27</v>
      </c>
      <c r="C2296" s="2" t="s">
        <v>28</v>
      </c>
      <c r="D2296" s="2" t="s">
        <v>97</v>
      </c>
      <c r="E2296" s="2" t="s">
        <v>13597</v>
      </c>
      <c r="F2296" s="2" t="s">
        <v>8445</v>
      </c>
      <c r="G2296" s="2" t="s">
        <v>32</v>
      </c>
      <c r="H2296" s="1"/>
      <c r="I2296" s="2" t="s">
        <v>33</v>
      </c>
      <c r="J2296" s="2" t="s">
        <v>34</v>
      </c>
      <c r="K2296" s="2" t="s">
        <v>9483</v>
      </c>
      <c r="L2296" s="2" t="s">
        <v>9484</v>
      </c>
      <c r="M2296" s="2" t="s">
        <v>570</v>
      </c>
      <c r="N2296" s="2" t="s">
        <v>38</v>
      </c>
      <c r="O2296" s="2" t="s">
        <v>5050</v>
      </c>
      <c r="P2296" s="2" t="s">
        <v>13041</v>
      </c>
      <c r="Q2296" s="2" t="s">
        <v>14079</v>
      </c>
      <c r="R2296" s="2" t="s">
        <v>40</v>
      </c>
      <c r="S2296" s="2" t="s">
        <v>14080</v>
      </c>
      <c r="T2296" s="2" t="s">
        <v>7463</v>
      </c>
      <c r="U2296" s="2" t="s">
        <v>14081</v>
      </c>
      <c r="V2296" s="2" t="s">
        <v>14082</v>
      </c>
      <c r="W2296" s="1"/>
      <c r="X2296" s="2" t="s">
        <v>3454</v>
      </c>
      <c r="Y2296" s="2" t="s">
        <v>13908</v>
      </c>
      <c r="AA2296" t="str">
        <f t="shared" si="210"/>
        <v>2025-10</v>
      </c>
      <c r="AB2296" t="str">
        <f t="shared" si="211"/>
        <v/>
      </c>
      <c r="AC2296">
        <f t="shared" si="212"/>
        <v>272852.18</v>
      </c>
      <c r="AD2296">
        <f t="shared" si="213"/>
        <v>681</v>
      </c>
      <c r="AE2296">
        <f t="shared" si="214"/>
        <v>49484.18</v>
      </c>
      <c r="AF2296" t="str">
        <f t="shared" si="215"/>
        <v>Paid</v>
      </c>
    </row>
    <row r="2297" spans="1:32" ht="27.75" thickBot="1" x14ac:dyDescent="0.35">
      <c r="A2297" s="2" t="s">
        <v>14083</v>
      </c>
      <c r="B2297" s="2" t="s">
        <v>27</v>
      </c>
      <c r="C2297" s="2" t="s">
        <v>28</v>
      </c>
      <c r="D2297" s="2" t="s">
        <v>97</v>
      </c>
      <c r="E2297" s="2" t="s">
        <v>13597</v>
      </c>
      <c r="F2297" s="2" t="s">
        <v>8445</v>
      </c>
      <c r="G2297" s="2" t="s">
        <v>32</v>
      </c>
      <c r="H2297" s="1"/>
      <c r="I2297" s="2" t="s">
        <v>33</v>
      </c>
      <c r="J2297" s="2" t="s">
        <v>34</v>
      </c>
      <c r="K2297" s="2" t="s">
        <v>2662</v>
      </c>
      <c r="L2297" s="2" t="s">
        <v>2663</v>
      </c>
      <c r="M2297" s="2" t="s">
        <v>570</v>
      </c>
      <c r="N2297" s="2" t="s">
        <v>38</v>
      </c>
      <c r="O2297" s="2" t="s">
        <v>517</v>
      </c>
      <c r="P2297" s="2" t="s">
        <v>14084</v>
      </c>
      <c r="Q2297" s="2" t="s">
        <v>14085</v>
      </c>
      <c r="R2297" s="2" t="s">
        <v>40</v>
      </c>
      <c r="S2297" s="2" t="s">
        <v>14086</v>
      </c>
      <c r="T2297" s="2" t="s">
        <v>7463</v>
      </c>
      <c r="U2297" s="2" t="s">
        <v>14087</v>
      </c>
      <c r="V2297" s="2" t="s">
        <v>14088</v>
      </c>
      <c r="W2297" s="1"/>
      <c r="X2297" s="2" t="s">
        <v>7840</v>
      </c>
      <c r="Y2297" s="2" t="s">
        <v>13908</v>
      </c>
      <c r="AA2297" t="str">
        <f t="shared" si="210"/>
        <v>2025-10</v>
      </c>
      <c r="AB2297" t="str">
        <f t="shared" si="211"/>
        <v/>
      </c>
      <c r="AC2297">
        <f t="shared" si="212"/>
        <v>67974.720000000001</v>
      </c>
      <c r="AD2297">
        <f t="shared" si="213"/>
        <v>120</v>
      </c>
      <c r="AE2297">
        <f t="shared" si="214"/>
        <v>28614.720000000001</v>
      </c>
      <c r="AF2297" t="str">
        <f t="shared" si="215"/>
        <v>Paid</v>
      </c>
    </row>
    <row r="2298" spans="1:32" ht="27.75" thickBot="1" x14ac:dyDescent="0.35">
      <c r="A2298" s="2" t="s">
        <v>14089</v>
      </c>
      <c r="B2298" s="2" t="s">
        <v>27</v>
      </c>
      <c r="C2298" s="2" t="s">
        <v>28</v>
      </c>
      <c r="D2298" s="2" t="s">
        <v>97</v>
      </c>
      <c r="E2298" s="2" t="s">
        <v>13597</v>
      </c>
      <c r="F2298" s="2" t="s">
        <v>8445</v>
      </c>
      <c r="G2298" s="2" t="s">
        <v>32</v>
      </c>
      <c r="H2298" s="1"/>
      <c r="I2298" s="2" t="s">
        <v>33</v>
      </c>
      <c r="J2298" s="2" t="s">
        <v>34</v>
      </c>
      <c r="K2298" s="2" t="s">
        <v>11412</v>
      </c>
      <c r="L2298" s="2" t="s">
        <v>11413</v>
      </c>
      <c r="M2298" s="2" t="s">
        <v>570</v>
      </c>
      <c r="N2298" s="2" t="s">
        <v>38</v>
      </c>
      <c r="O2298" s="2" t="s">
        <v>503</v>
      </c>
      <c r="P2298" s="2" t="s">
        <v>13041</v>
      </c>
      <c r="Q2298" s="2" t="s">
        <v>14090</v>
      </c>
      <c r="R2298" s="2" t="s">
        <v>40</v>
      </c>
      <c r="S2298" s="2" t="s">
        <v>14091</v>
      </c>
      <c r="T2298" s="2" t="s">
        <v>7463</v>
      </c>
      <c r="U2298" s="2" t="s">
        <v>14092</v>
      </c>
      <c r="V2298" s="2" t="s">
        <v>14093</v>
      </c>
      <c r="W2298" s="1"/>
      <c r="X2298" s="2" t="s">
        <v>3454</v>
      </c>
      <c r="Y2298" s="2" t="s">
        <v>13908</v>
      </c>
      <c r="AA2298" t="str">
        <f t="shared" si="210"/>
        <v>2025-10</v>
      </c>
      <c r="AB2298" t="str">
        <f t="shared" si="211"/>
        <v/>
      </c>
      <c r="AC2298">
        <f t="shared" si="212"/>
        <v>124205.84</v>
      </c>
      <c r="AD2298">
        <f t="shared" si="213"/>
        <v>310</v>
      </c>
      <c r="AE2298">
        <f t="shared" si="214"/>
        <v>22525.84</v>
      </c>
      <c r="AF2298" t="str">
        <f t="shared" si="215"/>
        <v>Paid</v>
      </c>
    </row>
    <row r="2299" spans="1:32" ht="27.75" thickBot="1" x14ac:dyDescent="0.35">
      <c r="A2299" s="2" t="s">
        <v>14094</v>
      </c>
      <c r="B2299" s="2" t="s">
        <v>27</v>
      </c>
      <c r="C2299" s="2" t="s">
        <v>28</v>
      </c>
      <c r="D2299" s="2" t="s">
        <v>97</v>
      </c>
      <c r="E2299" s="2" t="s">
        <v>13597</v>
      </c>
      <c r="F2299" s="2" t="s">
        <v>8445</v>
      </c>
      <c r="G2299" s="2" t="s">
        <v>32</v>
      </c>
      <c r="H2299" s="1"/>
      <c r="I2299" s="2" t="s">
        <v>33</v>
      </c>
      <c r="J2299" s="2" t="s">
        <v>34</v>
      </c>
      <c r="K2299" s="2" t="s">
        <v>11425</v>
      </c>
      <c r="L2299" s="2" t="s">
        <v>11426</v>
      </c>
      <c r="M2299" s="2" t="s">
        <v>570</v>
      </c>
      <c r="N2299" s="2" t="s">
        <v>38</v>
      </c>
      <c r="O2299" s="2" t="s">
        <v>466</v>
      </c>
      <c r="P2299" s="2" t="s">
        <v>13041</v>
      </c>
      <c r="Q2299" s="2" t="s">
        <v>14095</v>
      </c>
      <c r="R2299" s="2" t="s">
        <v>40</v>
      </c>
      <c r="S2299" s="2" t="s">
        <v>14096</v>
      </c>
      <c r="T2299" s="2" t="s">
        <v>7463</v>
      </c>
      <c r="U2299" s="2" t="s">
        <v>11416</v>
      </c>
      <c r="V2299" s="2" t="s">
        <v>14097</v>
      </c>
      <c r="W2299" s="1"/>
      <c r="X2299" s="2" t="s">
        <v>3454</v>
      </c>
      <c r="Y2299" s="2" t="s">
        <v>13908</v>
      </c>
      <c r="AA2299" t="str">
        <f t="shared" si="210"/>
        <v>2025-10</v>
      </c>
      <c r="AB2299" t="str">
        <f t="shared" si="211"/>
        <v/>
      </c>
      <c r="AC2299">
        <f t="shared" si="212"/>
        <v>28046.48</v>
      </c>
      <c r="AD2299">
        <f t="shared" si="213"/>
        <v>70</v>
      </c>
      <c r="AE2299">
        <f t="shared" si="214"/>
        <v>5086.4799999999996</v>
      </c>
      <c r="AF2299" t="str">
        <f t="shared" si="215"/>
        <v>Paid</v>
      </c>
    </row>
    <row r="2300" spans="1:32" ht="17.25" thickBot="1" x14ac:dyDescent="0.35">
      <c r="A2300" s="2" t="s">
        <v>14098</v>
      </c>
      <c r="B2300" s="2" t="s">
        <v>27</v>
      </c>
      <c r="C2300" s="2" t="s">
        <v>28</v>
      </c>
      <c r="D2300" s="2" t="s">
        <v>97</v>
      </c>
      <c r="E2300" s="2" t="s">
        <v>13597</v>
      </c>
      <c r="F2300" s="2" t="s">
        <v>8445</v>
      </c>
      <c r="G2300" s="2" t="s">
        <v>32</v>
      </c>
      <c r="H2300" s="1"/>
      <c r="I2300" s="2" t="s">
        <v>33</v>
      </c>
      <c r="J2300" s="2" t="s">
        <v>34</v>
      </c>
      <c r="K2300" s="2" t="s">
        <v>8728</v>
      </c>
      <c r="L2300" s="2" t="s">
        <v>8729</v>
      </c>
      <c r="M2300" s="2" t="s">
        <v>2710</v>
      </c>
      <c r="N2300" s="2" t="s">
        <v>38</v>
      </c>
      <c r="O2300" s="2" t="s">
        <v>466</v>
      </c>
      <c r="P2300" s="2" t="s">
        <v>13827</v>
      </c>
      <c r="Q2300" s="2" t="s">
        <v>14099</v>
      </c>
      <c r="R2300" s="2" t="s">
        <v>40</v>
      </c>
      <c r="S2300" s="2" t="s">
        <v>14100</v>
      </c>
      <c r="T2300" s="2" t="s">
        <v>8732</v>
      </c>
      <c r="U2300" s="2" t="s">
        <v>14101</v>
      </c>
      <c r="V2300" s="2" t="s">
        <v>14102</v>
      </c>
      <c r="W2300" s="1"/>
      <c r="X2300" s="2" t="s">
        <v>3310</v>
      </c>
      <c r="Y2300" s="2" t="s">
        <v>13908</v>
      </c>
      <c r="AA2300" t="str">
        <f t="shared" si="210"/>
        <v>2025-10</v>
      </c>
      <c r="AB2300" t="str">
        <f t="shared" si="211"/>
        <v/>
      </c>
      <c r="AC2300">
        <f t="shared" si="212"/>
        <v>419730.08</v>
      </c>
      <c r="AD2300">
        <f t="shared" si="213"/>
        <v>70</v>
      </c>
      <c r="AE2300">
        <f t="shared" si="214"/>
        <v>82400.08</v>
      </c>
      <c r="AF2300" t="str">
        <f t="shared" si="215"/>
        <v>Paid</v>
      </c>
    </row>
    <row r="2301" spans="1:32" ht="17.25" thickBot="1" x14ac:dyDescent="0.35">
      <c r="A2301" s="2" t="s">
        <v>14103</v>
      </c>
      <c r="B2301" s="2" t="s">
        <v>27</v>
      </c>
      <c r="C2301" s="2" t="s">
        <v>28</v>
      </c>
      <c r="D2301" s="2" t="s">
        <v>97</v>
      </c>
      <c r="E2301" s="2" t="s">
        <v>13597</v>
      </c>
      <c r="F2301" s="2" t="s">
        <v>8445</v>
      </c>
      <c r="G2301" s="2" t="s">
        <v>32</v>
      </c>
      <c r="H2301" s="1"/>
      <c r="I2301" s="2" t="s">
        <v>33</v>
      </c>
      <c r="J2301" s="2" t="s">
        <v>34</v>
      </c>
      <c r="K2301" s="2" t="s">
        <v>11481</v>
      </c>
      <c r="L2301" s="2" t="s">
        <v>11482</v>
      </c>
      <c r="M2301" s="2" t="s">
        <v>2710</v>
      </c>
      <c r="N2301" s="2" t="s">
        <v>38</v>
      </c>
      <c r="O2301" s="2" t="s">
        <v>252</v>
      </c>
      <c r="P2301" s="2" t="s">
        <v>8568</v>
      </c>
      <c r="Q2301" s="2" t="s">
        <v>14104</v>
      </c>
      <c r="R2301" s="2" t="s">
        <v>40</v>
      </c>
      <c r="S2301" s="2" t="s">
        <v>14105</v>
      </c>
      <c r="T2301" s="2" t="s">
        <v>9272</v>
      </c>
      <c r="U2301" s="2" t="s">
        <v>14106</v>
      </c>
      <c r="V2301" s="2" t="s">
        <v>14107</v>
      </c>
      <c r="W2301" s="1"/>
      <c r="X2301" s="2" t="s">
        <v>2198</v>
      </c>
      <c r="Y2301" s="2" t="s">
        <v>13908</v>
      </c>
      <c r="AA2301" t="str">
        <f t="shared" si="210"/>
        <v>2025-10</v>
      </c>
      <c r="AB2301" t="str">
        <f t="shared" si="211"/>
        <v/>
      </c>
      <c r="AC2301">
        <f t="shared" si="212"/>
        <v>175960.58</v>
      </c>
      <c r="AD2301">
        <f t="shared" si="213"/>
        <v>32</v>
      </c>
      <c r="AE2301">
        <f t="shared" si="214"/>
        <v>33400.58</v>
      </c>
      <c r="AF2301" t="str">
        <f t="shared" si="215"/>
        <v>Paid</v>
      </c>
    </row>
    <row r="2302" spans="1:32" ht="17.25" thickBot="1" x14ac:dyDescent="0.35">
      <c r="A2302" s="2" t="s">
        <v>14108</v>
      </c>
      <c r="B2302" s="2" t="s">
        <v>27</v>
      </c>
      <c r="C2302" s="2" t="s">
        <v>28</v>
      </c>
      <c r="D2302" s="2" t="s">
        <v>97</v>
      </c>
      <c r="E2302" s="2" t="s">
        <v>13597</v>
      </c>
      <c r="F2302" s="2" t="s">
        <v>8445</v>
      </c>
      <c r="G2302" s="2" t="s">
        <v>32</v>
      </c>
      <c r="H2302" s="1"/>
      <c r="I2302" s="2" t="s">
        <v>33</v>
      </c>
      <c r="J2302" s="2" t="s">
        <v>34</v>
      </c>
      <c r="K2302" s="2" t="s">
        <v>3519</v>
      </c>
      <c r="L2302" s="2" t="s">
        <v>3520</v>
      </c>
      <c r="M2302" s="2" t="s">
        <v>2710</v>
      </c>
      <c r="N2302" s="2" t="s">
        <v>38</v>
      </c>
      <c r="O2302" s="2" t="s">
        <v>455</v>
      </c>
      <c r="P2302" s="2" t="s">
        <v>5483</v>
      </c>
      <c r="Q2302" s="2" t="s">
        <v>5484</v>
      </c>
      <c r="R2302" s="2" t="s">
        <v>40</v>
      </c>
      <c r="S2302" s="2" t="s">
        <v>14109</v>
      </c>
      <c r="T2302" s="2" t="s">
        <v>2684</v>
      </c>
      <c r="U2302" s="2" t="s">
        <v>14110</v>
      </c>
      <c r="V2302" s="2" t="s">
        <v>14111</v>
      </c>
      <c r="W2302" s="1"/>
      <c r="X2302" s="2" t="s">
        <v>3310</v>
      </c>
      <c r="Y2302" s="2" t="s">
        <v>13908</v>
      </c>
      <c r="AA2302" t="str">
        <f t="shared" si="210"/>
        <v>2025-10</v>
      </c>
      <c r="AB2302" t="str">
        <f t="shared" si="211"/>
        <v/>
      </c>
      <c r="AC2302">
        <f t="shared" si="212"/>
        <v>362462.76</v>
      </c>
      <c r="AD2302">
        <f t="shared" si="213"/>
        <v>53</v>
      </c>
      <c r="AE2302">
        <f t="shared" si="214"/>
        <v>70962.759999999995</v>
      </c>
      <c r="AF2302" t="str">
        <f t="shared" si="215"/>
        <v>Paid</v>
      </c>
    </row>
    <row r="2303" spans="1:32" ht="17.25" thickBot="1" x14ac:dyDescent="0.35">
      <c r="A2303" s="2" t="s">
        <v>14112</v>
      </c>
      <c r="B2303" s="2" t="s">
        <v>27</v>
      </c>
      <c r="C2303" s="2" t="s">
        <v>28</v>
      </c>
      <c r="D2303" s="2" t="s">
        <v>97</v>
      </c>
      <c r="E2303" s="2" t="s">
        <v>13597</v>
      </c>
      <c r="F2303" s="2" t="s">
        <v>8445</v>
      </c>
      <c r="G2303" s="2" t="s">
        <v>32</v>
      </c>
      <c r="H2303" s="1"/>
      <c r="I2303" s="2" t="s">
        <v>33</v>
      </c>
      <c r="J2303" s="2" t="s">
        <v>34</v>
      </c>
      <c r="K2303" s="2" t="s">
        <v>11494</v>
      </c>
      <c r="L2303" s="2" t="s">
        <v>11495</v>
      </c>
      <c r="M2303" s="2" t="s">
        <v>2710</v>
      </c>
      <c r="N2303" s="2" t="s">
        <v>38</v>
      </c>
      <c r="O2303" s="2" t="s">
        <v>662</v>
      </c>
      <c r="P2303" s="2" t="s">
        <v>5483</v>
      </c>
      <c r="Q2303" s="2" t="s">
        <v>14113</v>
      </c>
      <c r="R2303" s="2" t="s">
        <v>40</v>
      </c>
      <c r="S2303" s="2" t="s">
        <v>14114</v>
      </c>
      <c r="T2303" s="2" t="s">
        <v>14115</v>
      </c>
      <c r="U2303" s="2" t="s">
        <v>14116</v>
      </c>
      <c r="V2303" s="2" t="s">
        <v>14117</v>
      </c>
      <c r="W2303" s="1"/>
      <c r="X2303" s="2" t="s">
        <v>11500</v>
      </c>
      <c r="Y2303" s="2" t="s">
        <v>13908</v>
      </c>
      <c r="AA2303" t="str">
        <f t="shared" si="210"/>
        <v>2025-10</v>
      </c>
      <c r="AB2303" t="str">
        <f t="shared" si="211"/>
        <v/>
      </c>
      <c r="AC2303">
        <f t="shared" si="212"/>
        <v>526596.84</v>
      </c>
      <c r="AD2303">
        <f t="shared" si="213"/>
        <v>77</v>
      </c>
      <c r="AE2303">
        <f t="shared" si="214"/>
        <v>71526.84</v>
      </c>
      <c r="AF2303" t="str">
        <f t="shared" si="215"/>
        <v>Paid</v>
      </c>
    </row>
    <row r="2304" spans="1:32" ht="17.25" thickBot="1" x14ac:dyDescent="0.35">
      <c r="A2304" s="2" t="s">
        <v>14118</v>
      </c>
      <c r="B2304" s="2" t="s">
        <v>27</v>
      </c>
      <c r="C2304" s="2" t="s">
        <v>28</v>
      </c>
      <c r="D2304" s="2" t="s">
        <v>97</v>
      </c>
      <c r="E2304" s="2" t="s">
        <v>13597</v>
      </c>
      <c r="F2304" s="2" t="s">
        <v>8445</v>
      </c>
      <c r="G2304" s="2" t="s">
        <v>32</v>
      </c>
      <c r="H2304" s="1"/>
      <c r="I2304" s="2" t="s">
        <v>33</v>
      </c>
      <c r="J2304" s="2" t="s">
        <v>34</v>
      </c>
      <c r="K2304" s="2" t="s">
        <v>11502</v>
      </c>
      <c r="L2304" s="2" t="s">
        <v>11503</v>
      </c>
      <c r="M2304" s="2" t="s">
        <v>2710</v>
      </c>
      <c r="N2304" s="2" t="s">
        <v>38</v>
      </c>
      <c r="O2304" s="2" t="s">
        <v>391</v>
      </c>
      <c r="P2304" s="2" t="s">
        <v>1758</v>
      </c>
      <c r="Q2304" s="2" t="s">
        <v>14119</v>
      </c>
      <c r="R2304" s="2" t="s">
        <v>40</v>
      </c>
      <c r="S2304" s="2" t="s">
        <v>14120</v>
      </c>
      <c r="T2304" s="2" t="s">
        <v>1523</v>
      </c>
      <c r="U2304" s="2" t="s">
        <v>14121</v>
      </c>
      <c r="V2304" s="2" t="s">
        <v>14122</v>
      </c>
      <c r="W2304" s="1"/>
      <c r="X2304" s="2" t="s">
        <v>3205</v>
      </c>
      <c r="Y2304" s="2" t="s">
        <v>13908</v>
      </c>
      <c r="AA2304" t="str">
        <f t="shared" si="210"/>
        <v>2025-10</v>
      </c>
      <c r="AB2304" t="str">
        <f t="shared" si="211"/>
        <v/>
      </c>
      <c r="AC2304">
        <f t="shared" si="212"/>
        <v>383808.48</v>
      </c>
      <c r="AD2304">
        <f t="shared" si="213"/>
        <v>60</v>
      </c>
      <c r="AE2304">
        <f t="shared" si="214"/>
        <v>56508.480000000003</v>
      </c>
      <c r="AF2304" t="str">
        <f t="shared" si="215"/>
        <v>Paid</v>
      </c>
    </row>
    <row r="2305" spans="1:32" ht="17.25" thickBot="1" x14ac:dyDescent="0.35">
      <c r="A2305" s="2" t="s">
        <v>14123</v>
      </c>
      <c r="B2305" s="2" t="s">
        <v>27</v>
      </c>
      <c r="C2305" s="2" t="s">
        <v>28</v>
      </c>
      <c r="D2305" s="2" t="s">
        <v>97</v>
      </c>
      <c r="E2305" s="2" t="s">
        <v>13597</v>
      </c>
      <c r="F2305" s="2" t="s">
        <v>8445</v>
      </c>
      <c r="G2305" s="2" t="s">
        <v>32</v>
      </c>
      <c r="H2305" s="1"/>
      <c r="I2305" s="2" t="s">
        <v>33</v>
      </c>
      <c r="J2305" s="2" t="s">
        <v>34</v>
      </c>
      <c r="K2305" s="2" t="s">
        <v>11508</v>
      </c>
      <c r="L2305" s="2" t="s">
        <v>11509</v>
      </c>
      <c r="M2305" s="2" t="s">
        <v>2710</v>
      </c>
      <c r="N2305" s="2" t="s">
        <v>38</v>
      </c>
      <c r="O2305" s="2" t="s">
        <v>113</v>
      </c>
      <c r="P2305" s="2" t="s">
        <v>6229</v>
      </c>
      <c r="Q2305" s="2" t="s">
        <v>14124</v>
      </c>
      <c r="R2305" s="2" t="s">
        <v>40</v>
      </c>
      <c r="S2305" s="2" t="s">
        <v>14125</v>
      </c>
      <c r="T2305" s="2" t="s">
        <v>14126</v>
      </c>
      <c r="U2305" s="2" t="s">
        <v>14127</v>
      </c>
      <c r="V2305" s="2" t="s">
        <v>14128</v>
      </c>
      <c r="W2305" s="1"/>
      <c r="X2305" s="2" t="s">
        <v>1437</v>
      </c>
      <c r="Y2305" s="2" t="s">
        <v>13908</v>
      </c>
      <c r="AA2305" t="str">
        <f t="shared" si="210"/>
        <v>2025-10</v>
      </c>
      <c r="AB2305" t="str">
        <f t="shared" si="211"/>
        <v/>
      </c>
      <c r="AC2305">
        <f t="shared" si="212"/>
        <v>148591.07999999999</v>
      </c>
      <c r="AD2305">
        <f t="shared" si="213"/>
        <v>15</v>
      </c>
      <c r="AE2305">
        <f t="shared" si="214"/>
        <v>36766.080000000002</v>
      </c>
      <c r="AF2305" t="str">
        <f t="shared" si="215"/>
        <v>Paid</v>
      </c>
    </row>
    <row r="2306" spans="1:32" ht="17.25" thickBot="1" x14ac:dyDescent="0.35">
      <c r="A2306" s="2" t="s">
        <v>14129</v>
      </c>
      <c r="B2306" s="2" t="s">
        <v>27</v>
      </c>
      <c r="C2306" s="2" t="s">
        <v>28</v>
      </c>
      <c r="D2306" s="2" t="s">
        <v>97</v>
      </c>
      <c r="E2306" s="2" t="s">
        <v>13597</v>
      </c>
      <c r="F2306" s="2" t="s">
        <v>8445</v>
      </c>
      <c r="G2306" s="2" t="s">
        <v>32</v>
      </c>
      <c r="H2306" s="1"/>
      <c r="I2306" s="2" t="s">
        <v>33</v>
      </c>
      <c r="J2306" s="2" t="s">
        <v>34</v>
      </c>
      <c r="K2306" s="2" t="s">
        <v>14130</v>
      </c>
      <c r="L2306" s="2" t="s">
        <v>14131</v>
      </c>
      <c r="M2306" s="2" t="s">
        <v>3629</v>
      </c>
      <c r="N2306" s="2" t="s">
        <v>38</v>
      </c>
      <c r="O2306" s="2" t="s">
        <v>185</v>
      </c>
      <c r="P2306" s="2" t="s">
        <v>14132</v>
      </c>
      <c r="Q2306" s="2" t="s">
        <v>14133</v>
      </c>
      <c r="R2306" s="2" t="s">
        <v>40</v>
      </c>
      <c r="S2306" s="2" t="s">
        <v>14134</v>
      </c>
      <c r="T2306" s="2" t="s">
        <v>8761</v>
      </c>
      <c r="U2306" s="2" t="s">
        <v>14135</v>
      </c>
      <c r="V2306" s="2" t="s">
        <v>14136</v>
      </c>
      <c r="W2306" s="1"/>
      <c r="X2306" s="2" t="s">
        <v>4550</v>
      </c>
      <c r="Y2306" s="2" t="s">
        <v>13908</v>
      </c>
      <c r="AA2306" t="str">
        <f t="shared" si="210"/>
        <v>2025-10</v>
      </c>
      <c r="AB2306" t="str">
        <f t="shared" si="211"/>
        <v/>
      </c>
      <c r="AC2306">
        <f t="shared" si="212"/>
        <v>320310.14</v>
      </c>
      <c r="AD2306">
        <f t="shared" si="213"/>
        <v>23</v>
      </c>
      <c r="AE2306">
        <f t="shared" si="214"/>
        <v>70024.14</v>
      </c>
      <c r="AF2306" t="str">
        <f t="shared" si="215"/>
        <v>Paid</v>
      </c>
    </row>
    <row r="2307" spans="1:32" ht="17.25" thickBot="1" x14ac:dyDescent="0.35">
      <c r="A2307" s="2" t="s">
        <v>14137</v>
      </c>
      <c r="B2307" s="2" t="s">
        <v>27</v>
      </c>
      <c r="C2307" s="2" t="s">
        <v>28</v>
      </c>
      <c r="D2307" s="2" t="s">
        <v>97</v>
      </c>
      <c r="E2307" s="2" t="s">
        <v>13597</v>
      </c>
      <c r="F2307" s="2" t="s">
        <v>8445</v>
      </c>
      <c r="G2307" s="2" t="s">
        <v>32</v>
      </c>
      <c r="H2307" s="1"/>
      <c r="I2307" s="2" t="s">
        <v>33</v>
      </c>
      <c r="J2307" s="2" t="s">
        <v>34</v>
      </c>
      <c r="K2307" s="2" t="s">
        <v>14138</v>
      </c>
      <c r="L2307" s="2" t="s">
        <v>14139</v>
      </c>
      <c r="M2307" s="2" t="s">
        <v>3629</v>
      </c>
      <c r="N2307" s="2" t="s">
        <v>38</v>
      </c>
      <c r="O2307" s="2" t="s">
        <v>79</v>
      </c>
      <c r="P2307" s="2" t="s">
        <v>14132</v>
      </c>
      <c r="Q2307" s="2" t="s">
        <v>14140</v>
      </c>
      <c r="R2307" s="2" t="s">
        <v>40</v>
      </c>
      <c r="S2307" s="2" t="s">
        <v>14141</v>
      </c>
      <c r="T2307" s="2" t="s">
        <v>8761</v>
      </c>
      <c r="U2307" s="2" t="s">
        <v>8762</v>
      </c>
      <c r="V2307" s="2" t="s">
        <v>14142</v>
      </c>
      <c r="W2307" s="1"/>
      <c r="X2307" s="2" t="s">
        <v>4550</v>
      </c>
      <c r="Y2307" s="2" t="s">
        <v>13908</v>
      </c>
      <c r="AA2307" t="str">
        <f t="shared" si="210"/>
        <v>2025-10</v>
      </c>
      <c r="AB2307" t="str">
        <f t="shared" si="211"/>
        <v/>
      </c>
      <c r="AC2307">
        <f t="shared" si="212"/>
        <v>139265.28</v>
      </c>
      <c r="AD2307">
        <f t="shared" si="213"/>
        <v>10</v>
      </c>
      <c r="AE2307">
        <f t="shared" si="214"/>
        <v>30445.279999999999</v>
      </c>
      <c r="AF2307" t="str">
        <f t="shared" si="215"/>
        <v>Paid</v>
      </c>
    </row>
    <row r="2308" spans="1:32" ht="17.25" thickBot="1" x14ac:dyDescent="0.35">
      <c r="A2308" s="2" t="s">
        <v>14143</v>
      </c>
      <c r="B2308" s="2" t="s">
        <v>27</v>
      </c>
      <c r="C2308" s="2" t="s">
        <v>28</v>
      </c>
      <c r="D2308" s="2" t="s">
        <v>97</v>
      </c>
      <c r="E2308" s="2" t="s">
        <v>13597</v>
      </c>
      <c r="F2308" s="2" t="s">
        <v>8445</v>
      </c>
      <c r="G2308" s="2" t="s">
        <v>32</v>
      </c>
      <c r="H2308" s="1"/>
      <c r="I2308" s="2" t="s">
        <v>33</v>
      </c>
      <c r="J2308" s="2" t="s">
        <v>34</v>
      </c>
      <c r="K2308" s="2" t="s">
        <v>14144</v>
      </c>
      <c r="L2308" s="2" t="s">
        <v>14145</v>
      </c>
      <c r="M2308" s="2" t="s">
        <v>14146</v>
      </c>
      <c r="N2308" s="2" t="s">
        <v>38</v>
      </c>
      <c r="O2308" s="2" t="s">
        <v>54</v>
      </c>
      <c r="P2308" s="2" t="s">
        <v>8743</v>
      </c>
      <c r="Q2308" s="2" t="s">
        <v>14147</v>
      </c>
      <c r="R2308" s="2" t="s">
        <v>40</v>
      </c>
      <c r="S2308" s="2" t="s">
        <v>14148</v>
      </c>
      <c r="T2308" s="2" t="s">
        <v>6652</v>
      </c>
      <c r="U2308" s="2" t="s">
        <v>14149</v>
      </c>
      <c r="V2308" s="2" t="s">
        <v>14150</v>
      </c>
      <c r="W2308" s="1"/>
      <c r="X2308" s="2" t="s">
        <v>6730</v>
      </c>
      <c r="Y2308" s="2" t="s">
        <v>13908</v>
      </c>
      <c r="AA2308" t="str">
        <f t="shared" ref="AA2308:AA2371" si="216">LEFT(E2308,7)</f>
        <v>2025-10</v>
      </c>
      <c r="AB2308" t="str">
        <f t="shared" ref="AB2308:AB2371" si="217">IF(AND($AA2308&gt;="2025-01",$AA2308&lt;="2025-06"),"H1_2025",IF(AND($AA2308&gt;="2026-01",$AA2308&lt;="2026-06"),"H1_2026",""))</f>
        <v/>
      </c>
      <c r="AC2308">
        <f t="shared" ref="AC2308:AC2371" si="218">IFERROR(VALUE(SUBSTITUTE(S2308,",","")),0)</f>
        <v>30008.35</v>
      </c>
      <c r="AD2308">
        <f t="shared" ref="AD2308:AD2371" si="219">IFERROR(VALUE(SUBSTITUTE(O2308,",","")),0)</f>
        <v>4</v>
      </c>
      <c r="AE2308">
        <f t="shared" ref="AE2308:AE2371" si="220">IFERROR(VALUE(SUBSTITUTE(V2308,",","")),0)</f>
        <v>4008.35</v>
      </c>
      <c r="AF2308" t="str">
        <f t="shared" ref="AF2308:AF2371" si="221">IF(ISNUMBER(SEARCH("FOC",W2308)),"FOC",IF(ISNUMBER(SEARCH("샘플",W2308)),"Sample","Paid"))</f>
        <v>Paid</v>
      </c>
    </row>
    <row r="2309" spans="1:32" ht="17.25" thickBot="1" x14ac:dyDescent="0.35">
      <c r="A2309" s="2" t="s">
        <v>14151</v>
      </c>
      <c r="B2309" s="2" t="s">
        <v>27</v>
      </c>
      <c r="C2309" s="2" t="s">
        <v>28</v>
      </c>
      <c r="D2309" s="2" t="s">
        <v>97</v>
      </c>
      <c r="E2309" s="2" t="s">
        <v>13597</v>
      </c>
      <c r="F2309" s="2" t="s">
        <v>8445</v>
      </c>
      <c r="G2309" s="2" t="s">
        <v>32</v>
      </c>
      <c r="H2309" s="1"/>
      <c r="I2309" s="2" t="s">
        <v>33</v>
      </c>
      <c r="J2309" s="2" t="s">
        <v>34</v>
      </c>
      <c r="K2309" s="2" t="s">
        <v>14152</v>
      </c>
      <c r="L2309" s="2" t="s">
        <v>14153</v>
      </c>
      <c r="M2309" s="2" t="s">
        <v>2933</v>
      </c>
      <c r="N2309" s="2" t="s">
        <v>38</v>
      </c>
      <c r="O2309" s="2" t="s">
        <v>141</v>
      </c>
      <c r="P2309" s="2" t="s">
        <v>14154</v>
      </c>
      <c r="Q2309" s="2" t="s">
        <v>14155</v>
      </c>
      <c r="R2309" s="2" t="s">
        <v>40</v>
      </c>
      <c r="S2309" s="2" t="s">
        <v>14156</v>
      </c>
      <c r="T2309" s="2" t="s">
        <v>14157</v>
      </c>
      <c r="U2309" s="2" t="s">
        <v>14158</v>
      </c>
      <c r="V2309" s="2" t="s">
        <v>14159</v>
      </c>
      <c r="W2309" s="1"/>
      <c r="X2309" s="2" t="s">
        <v>7047</v>
      </c>
      <c r="Y2309" s="2" t="s">
        <v>13908</v>
      </c>
      <c r="AA2309" t="str">
        <f t="shared" si="216"/>
        <v>2025-10</v>
      </c>
      <c r="AB2309" t="str">
        <f t="shared" si="217"/>
        <v/>
      </c>
      <c r="AC2309">
        <f t="shared" si="218"/>
        <v>343189.44</v>
      </c>
      <c r="AD2309">
        <f t="shared" si="219"/>
        <v>30</v>
      </c>
      <c r="AE2309">
        <f t="shared" si="220"/>
        <v>73729.440000000002</v>
      </c>
      <c r="AF2309" t="str">
        <f t="shared" si="221"/>
        <v>Paid</v>
      </c>
    </row>
    <row r="2310" spans="1:32" ht="27.75" thickBot="1" x14ac:dyDescent="0.35">
      <c r="A2310" s="2" t="s">
        <v>14160</v>
      </c>
      <c r="B2310" s="2" t="s">
        <v>27</v>
      </c>
      <c r="C2310" s="2" t="s">
        <v>28</v>
      </c>
      <c r="D2310" s="2" t="s">
        <v>97</v>
      </c>
      <c r="E2310" s="2" t="s">
        <v>13597</v>
      </c>
      <c r="F2310" s="2" t="s">
        <v>8445</v>
      </c>
      <c r="G2310" s="2" t="s">
        <v>32</v>
      </c>
      <c r="H2310" s="1"/>
      <c r="I2310" s="2" t="s">
        <v>33</v>
      </c>
      <c r="J2310" s="2" t="s">
        <v>34</v>
      </c>
      <c r="K2310" s="2" t="s">
        <v>3028</v>
      </c>
      <c r="L2310" s="2" t="s">
        <v>3029</v>
      </c>
      <c r="M2310" s="2" t="s">
        <v>3030</v>
      </c>
      <c r="N2310" s="2" t="s">
        <v>38</v>
      </c>
      <c r="O2310" s="2" t="s">
        <v>214</v>
      </c>
      <c r="P2310" s="2" t="s">
        <v>7889</v>
      </c>
      <c r="Q2310" s="2" t="s">
        <v>14161</v>
      </c>
      <c r="R2310" s="2" t="s">
        <v>40</v>
      </c>
      <c r="S2310" s="2" t="s">
        <v>14162</v>
      </c>
      <c r="T2310" s="2" t="s">
        <v>14163</v>
      </c>
      <c r="U2310" s="2" t="s">
        <v>14164</v>
      </c>
      <c r="V2310" s="2" t="s">
        <v>14165</v>
      </c>
      <c r="W2310" s="1"/>
      <c r="X2310" s="2" t="s">
        <v>3047</v>
      </c>
      <c r="Y2310" s="2" t="s">
        <v>13908</v>
      </c>
      <c r="AA2310" t="str">
        <f t="shared" si="216"/>
        <v>2025-10</v>
      </c>
      <c r="AB2310" t="str">
        <f t="shared" si="217"/>
        <v/>
      </c>
      <c r="AC2310">
        <f t="shared" si="218"/>
        <v>344018.4</v>
      </c>
      <c r="AD2310">
        <f t="shared" si="219"/>
        <v>50</v>
      </c>
      <c r="AE2310">
        <f t="shared" si="220"/>
        <v>118518.39999999999</v>
      </c>
      <c r="AF2310" t="str">
        <f t="shared" si="221"/>
        <v>Paid</v>
      </c>
    </row>
    <row r="2311" spans="1:32" ht="27.75" thickBot="1" x14ac:dyDescent="0.35">
      <c r="A2311" s="2" t="s">
        <v>14166</v>
      </c>
      <c r="B2311" s="2" t="s">
        <v>27</v>
      </c>
      <c r="C2311" s="2" t="s">
        <v>28</v>
      </c>
      <c r="D2311" s="2" t="s">
        <v>97</v>
      </c>
      <c r="E2311" s="2" t="s">
        <v>13597</v>
      </c>
      <c r="F2311" s="2" t="s">
        <v>8445</v>
      </c>
      <c r="G2311" s="2" t="s">
        <v>32</v>
      </c>
      <c r="H2311" s="1"/>
      <c r="I2311" s="2" t="s">
        <v>33</v>
      </c>
      <c r="J2311" s="2" t="s">
        <v>34</v>
      </c>
      <c r="K2311" s="2" t="s">
        <v>11635</v>
      </c>
      <c r="L2311" s="2" t="s">
        <v>11636</v>
      </c>
      <c r="M2311" s="2" t="s">
        <v>3030</v>
      </c>
      <c r="N2311" s="2" t="s">
        <v>38</v>
      </c>
      <c r="O2311" s="2" t="s">
        <v>131</v>
      </c>
      <c r="P2311" s="2" t="s">
        <v>2066</v>
      </c>
      <c r="Q2311" s="2" t="s">
        <v>2503</v>
      </c>
      <c r="R2311" s="2" t="s">
        <v>40</v>
      </c>
      <c r="S2311" s="2" t="s">
        <v>14167</v>
      </c>
      <c r="T2311" s="2" t="s">
        <v>12882</v>
      </c>
      <c r="U2311" s="2" t="s">
        <v>14168</v>
      </c>
      <c r="V2311" s="2" t="s">
        <v>14169</v>
      </c>
      <c r="W2311" s="1"/>
      <c r="X2311" s="2" t="s">
        <v>6902</v>
      </c>
      <c r="Y2311" s="2" t="s">
        <v>13908</v>
      </c>
      <c r="AA2311" t="str">
        <f t="shared" si="216"/>
        <v>2025-10</v>
      </c>
      <c r="AB2311" t="str">
        <f t="shared" si="217"/>
        <v/>
      </c>
      <c r="AC2311">
        <f t="shared" si="218"/>
        <v>412822.08</v>
      </c>
      <c r="AD2311">
        <f t="shared" si="219"/>
        <v>40</v>
      </c>
      <c r="AE2311">
        <f t="shared" si="220"/>
        <v>98622.080000000002</v>
      </c>
      <c r="AF2311" t="str">
        <f t="shared" si="221"/>
        <v>Paid</v>
      </c>
    </row>
    <row r="2312" spans="1:32" ht="27.75" thickBot="1" x14ac:dyDescent="0.35">
      <c r="A2312" s="2" t="s">
        <v>14170</v>
      </c>
      <c r="B2312" s="2" t="s">
        <v>27</v>
      </c>
      <c r="C2312" s="2" t="s">
        <v>28</v>
      </c>
      <c r="D2312" s="2" t="s">
        <v>97</v>
      </c>
      <c r="E2312" s="2" t="s">
        <v>13597</v>
      </c>
      <c r="F2312" s="2" t="s">
        <v>8445</v>
      </c>
      <c r="G2312" s="2" t="s">
        <v>32</v>
      </c>
      <c r="H2312" s="1"/>
      <c r="I2312" s="2" t="s">
        <v>33</v>
      </c>
      <c r="J2312" s="2" t="s">
        <v>34</v>
      </c>
      <c r="K2312" s="2" t="s">
        <v>3039</v>
      </c>
      <c r="L2312" s="2" t="s">
        <v>3040</v>
      </c>
      <c r="M2312" s="2" t="s">
        <v>3030</v>
      </c>
      <c r="N2312" s="2" t="s">
        <v>38</v>
      </c>
      <c r="O2312" s="2" t="s">
        <v>252</v>
      </c>
      <c r="P2312" s="2" t="s">
        <v>7368</v>
      </c>
      <c r="Q2312" s="2" t="s">
        <v>14171</v>
      </c>
      <c r="R2312" s="2" t="s">
        <v>40</v>
      </c>
      <c r="S2312" s="2" t="s">
        <v>14172</v>
      </c>
      <c r="T2312" s="2" t="s">
        <v>9580</v>
      </c>
      <c r="U2312" s="2" t="s">
        <v>14173</v>
      </c>
      <c r="V2312" s="2" t="s">
        <v>14174</v>
      </c>
      <c r="W2312" s="1"/>
      <c r="X2312" s="2" t="s">
        <v>3037</v>
      </c>
      <c r="Y2312" s="2" t="s">
        <v>13908</v>
      </c>
      <c r="AA2312" t="str">
        <f t="shared" si="216"/>
        <v>2025-10</v>
      </c>
      <c r="AB2312" t="str">
        <f t="shared" si="217"/>
        <v/>
      </c>
      <c r="AC2312">
        <f t="shared" si="218"/>
        <v>385079.55</v>
      </c>
      <c r="AD2312">
        <f t="shared" si="219"/>
        <v>32</v>
      </c>
      <c r="AE2312">
        <f t="shared" si="220"/>
        <v>132567.54999999999</v>
      </c>
      <c r="AF2312" t="str">
        <f t="shared" si="221"/>
        <v>Paid</v>
      </c>
    </row>
    <row r="2313" spans="1:32" ht="27.75" thickBot="1" x14ac:dyDescent="0.35">
      <c r="A2313" s="2" t="s">
        <v>14175</v>
      </c>
      <c r="B2313" s="2" t="s">
        <v>27</v>
      </c>
      <c r="C2313" s="2" t="s">
        <v>28</v>
      </c>
      <c r="D2313" s="2" t="s">
        <v>97</v>
      </c>
      <c r="E2313" s="2" t="s">
        <v>13597</v>
      </c>
      <c r="F2313" s="2" t="s">
        <v>8445</v>
      </c>
      <c r="G2313" s="2" t="s">
        <v>32</v>
      </c>
      <c r="H2313" s="1"/>
      <c r="I2313" s="2" t="s">
        <v>33</v>
      </c>
      <c r="J2313" s="2" t="s">
        <v>34</v>
      </c>
      <c r="K2313" s="2" t="s">
        <v>13254</v>
      </c>
      <c r="L2313" s="2" t="s">
        <v>13255</v>
      </c>
      <c r="M2313" s="2" t="s">
        <v>8850</v>
      </c>
      <c r="N2313" s="2" t="s">
        <v>38</v>
      </c>
      <c r="O2313" s="2" t="s">
        <v>890</v>
      </c>
      <c r="P2313" s="2" t="s">
        <v>14176</v>
      </c>
      <c r="Q2313" s="2" t="s">
        <v>13213</v>
      </c>
      <c r="R2313" s="2" t="s">
        <v>40</v>
      </c>
      <c r="S2313" s="2" t="s">
        <v>14177</v>
      </c>
      <c r="T2313" s="2" t="s">
        <v>13259</v>
      </c>
      <c r="U2313" s="2" t="s">
        <v>14178</v>
      </c>
      <c r="V2313" s="2" t="s">
        <v>14179</v>
      </c>
      <c r="W2313" s="1"/>
      <c r="X2313" s="2" t="s">
        <v>523</v>
      </c>
      <c r="Y2313" s="2" t="s">
        <v>13908</v>
      </c>
      <c r="AA2313" t="str">
        <f t="shared" si="216"/>
        <v>2025-10</v>
      </c>
      <c r="AB2313" t="str">
        <f t="shared" si="217"/>
        <v/>
      </c>
      <c r="AC2313">
        <f t="shared" si="218"/>
        <v>1905779.04</v>
      </c>
      <c r="AD2313">
        <f t="shared" si="219"/>
        <v>330</v>
      </c>
      <c r="AE2313">
        <f t="shared" si="220"/>
        <v>287129.03999999998</v>
      </c>
      <c r="AF2313" t="str">
        <f t="shared" si="221"/>
        <v>Paid</v>
      </c>
    </row>
    <row r="2314" spans="1:32" ht="27.75" thickBot="1" x14ac:dyDescent="0.35">
      <c r="A2314" s="2" t="s">
        <v>14180</v>
      </c>
      <c r="B2314" s="2" t="s">
        <v>27</v>
      </c>
      <c r="C2314" s="2" t="s">
        <v>28</v>
      </c>
      <c r="D2314" s="2" t="s">
        <v>97</v>
      </c>
      <c r="E2314" s="2" t="s">
        <v>13597</v>
      </c>
      <c r="F2314" s="2" t="s">
        <v>8445</v>
      </c>
      <c r="G2314" s="2" t="s">
        <v>32</v>
      </c>
      <c r="H2314" s="1"/>
      <c r="I2314" s="2" t="s">
        <v>33</v>
      </c>
      <c r="J2314" s="2" t="s">
        <v>34</v>
      </c>
      <c r="K2314" s="2" t="s">
        <v>3065</v>
      </c>
      <c r="L2314" s="2" t="s">
        <v>3066</v>
      </c>
      <c r="M2314" s="2" t="s">
        <v>3067</v>
      </c>
      <c r="N2314" s="2" t="s">
        <v>38</v>
      </c>
      <c r="O2314" s="2" t="s">
        <v>14181</v>
      </c>
      <c r="P2314" s="2" t="s">
        <v>2246</v>
      </c>
      <c r="Q2314" s="2" t="s">
        <v>14182</v>
      </c>
      <c r="R2314" s="2" t="s">
        <v>40</v>
      </c>
      <c r="S2314" s="2" t="s">
        <v>14183</v>
      </c>
      <c r="T2314" s="2" t="s">
        <v>14184</v>
      </c>
      <c r="U2314" s="2" t="s">
        <v>14185</v>
      </c>
      <c r="V2314" s="2" t="s">
        <v>14186</v>
      </c>
      <c r="W2314" s="1"/>
      <c r="X2314" s="2" t="s">
        <v>14002</v>
      </c>
      <c r="Y2314" s="2" t="s">
        <v>13908</v>
      </c>
      <c r="AA2314" t="str">
        <f t="shared" si="216"/>
        <v>2025-10</v>
      </c>
      <c r="AB2314" t="str">
        <f t="shared" si="217"/>
        <v/>
      </c>
      <c r="AC2314">
        <f t="shared" si="218"/>
        <v>8664704.4000000004</v>
      </c>
      <c r="AD2314">
        <f t="shared" si="219"/>
        <v>1110</v>
      </c>
      <c r="AE2314">
        <f t="shared" si="220"/>
        <v>3146704.4</v>
      </c>
      <c r="AF2314" t="str">
        <f t="shared" si="221"/>
        <v>Paid</v>
      </c>
    </row>
    <row r="2315" spans="1:32" ht="27.75" thickBot="1" x14ac:dyDescent="0.35">
      <c r="A2315" s="2" t="s">
        <v>14187</v>
      </c>
      <c r="B2315" s="2" t="s">
        <v>27</v>
      </c>
      <c r="C2315" s="2" t="s">
        <v>28</v>
      </c>
      <c r="D2315" s="2" t="s">
        <v>97</v>
      </c>
      <c r="E2315" s="2" t="s">
        <v>13597</v>
      </c>
      <c r="F2315" s="2" t="s">
        <v>8445</v>
      </c>
      <c r="G2315" s="2" t="s">
        <v>32</v>
      </c>
      <c r="H2315" s="1"/>
      <c r="I2315" s="2" t="s">
        <v>33</v>
      </c>
      <c r="J2315" s="2" t="s">
        <v>34</v>
      </c>
      <c r="K2315" s="2" t="s">
        <v>3082</v>
      </c>
      <c r="L2315" s="2" t="s">
        <v>3083</v>
      </c>
      <c r="M2315" s="2" t="s">
        <v>3067</v>
      </c>
      <c r="N2315" s="2" t="s">
        <v>38</v>
      </c>
      <c r="O2315" s="2" t="s">
        <v>1150</v>
      </c>
      <c r="P2315" s="2" t="s">
        <v>13218</v>
      </c>
      <c r="Q2315" s="2" t="s">
        <v>14188</v>
      </c>
      <c r="R2315" s="2" t="s">
        <v>40</v>
      </c>
      <c r="S2315" s="2" t="s">
        <v>14189</v>
      </c>
      <c r="T2315" s="2" t="s">
        <v>669</v>
      </c>
      <c r="U2315" s="2" t="s">
        <v>14190</v>
      </c>
      <c r="V2315" s="2" t="s">
        <v>14191</v>
      </c>
      <c r="W2315" s="1"/>
      <c r="X2315" s="2" t="s">
        <v>5636</v>
      </c>
      <c r="Y2315" s="2" t="s">
        <v>13908</v>
      </c>
      <c r="AA2315" t="str">
        <f t="shared" si="216"/>
        <v>2025-10</v>
      </c>
      <c r="AB2315" t="str">
        <f t="shared" si="217"/>
        <v/>
      </c>
      <c r="AC2315">
        <f t="shared" si="218"/>
        <v>968087.12</v>
      </c>
      <c r="AD2315">
        <f t="shared" si="219"/>
        <v>130</v>
      </c>
      <c r="AE2315">
        <f t="shared" si="220"/>
        <v>188087.12</v>
      </c>
      <c r="AF2315" t="str">
        <f t="shared" si="221"/>
        <v>Paid</v>
      </c>
    </row>
    <row r="2316" spans="1:32" ht="27.75" thickBot="1" x14ac:dyDescent="0.35">
      <c r="A2316" s="2" t="s">
        <v>14192</v>
      </c>
      <c r="B2316" s="2" t="s">
        <v>27</v>
      </c>
      <c r="C2316" s="2" t="s">
        <v>28</v>
      </c>
      <c r="D2316" s="2" t="s">
        <v>97</v>
      </c>
      <c r="E2316" s="2" t="s">
        <v>13597</v>
      </c>
      <c r="F2316" s="2" t="s">
        <v>8445</v>
      </c>
      <c r="G2316" s="2" t="s">
        <v>32</v>
      </c>
      <c r="H2316" s="1"/>
      <c r="I2316" s="2" t="s">
        <v>33</v>
      </c>
      <c r="J2316" s="2" t="s">
        <v>34</v>
      </c>
      <c r="K2316" s="2" t="s">
        <v>13267</v>
      </c>
      <c r="L2316" s="2" t="s">
        <v>13268</v>
      </c>
      <c r="M2316" s="2" t="s">
        <v>3067</v>
      </c>
      <c r="N2316" s="2" t="s">
        <v>38</v>
      </c>
      <c r="O2316" s="2" t="s">
        <v>177</v>
      </c>
      <c r="P2316" s="2" t="s">
        <v>4222</v>
      </c>
      <c r="Q2316" s="2" t="s">
        <v>14193</v>
      </c>
      <c r="R2316" s="2" t="s">
        <v>40</v>
      </c>
      <c r="S2316" s="2" t="s">
        <v>14194</v>
      </c>
      <c r="T2316" s="2" t="s">
        <v>297</v>
      </c>
      <c r="U2316" s="2" t="s">
        <v>9517</v>
      </c>
      <c r="V2316" s="2" t="s">
        <v>14195</v>
      </c>
      <c r="W2316" s="1"/>
      <c r="X2316" s="2" t="s">
        <v>2198</v>
      </c>
      <c r="Y2316" s="2" t="s">
        <v>13908</v>
      </c>
      <c r="AA2316" t="str">
        <f t="shared" si="216"/>
        <v>2025-10</v>
      </c>
      <c r="AB2316" t="str">
        <f t="shared" si="217"/>
        <v/>
      </c>
      <c r="AC2316">
        <f t="shared" si="218"/>
        <v>3951376</v>
      </c>
      <c r="AD2316">
        <f t="shared" si="219"/>
        <v>400</v>
      </c>
      <c r="AE2316">
        <f t="shared" si="220"/>
        <v>751376</v>
      </c>
      <c r="AF2316" t="str">
        <f t="shared" si="221"/>
        <v>Paid</v>
      </c>
    </row>
    <row r="2317" spans="1:32" ht="17.25" thickBot="1" x14ac:dyDescent="0.35">
      <c r="A2317" s="2" t="s">
        <v>14196</v>
      </c>
      <c r="B2317" s="2" t="s">
        <v>27</v>
      </c>
      <c r="C2317" s="2" t="s">
        <v>28</v>
      </c>
      <c r="D2317" s="2" t="s">
        <v>97</v>
      </c>
      <c r="E2317" s="2" t="s">
        <v>13597</v>
      </c>
      <c r="F2317" s="2" t="s">
        <v>8445</v>
      </c>
      <c r="G2317" s="2" t="s">
        <v>32</v>
      </c>
      <c r="H2317" s="1"/>
      <c r="I2317" s="2" t="s">
        <v>33</v>
      </c>
      <c r="J2317" s="2" t="s">
        <v>34</v>
      </c>
      <c r="K2317" s="2" t="s">
        <v>14197</v>
      </c>
      <c r="L2317" s="2" t="s">
        <v>14198</v>
      </c>
      <c r="M2317" s="2" t="s">
        <v>3067</v>
      </c>
      <c r="N2317" s="2" t="s">
        <v>38</v>
      </c>
      <c r="O2317" s="2" t="s">
        <v>1333</v>
      </c>
      <c r="P2317" s="2" t="s">
        <v>6229</v>
      </c>
      <c r="Q2317" s="2" t="s">
        <v>14199</v>
      </c>
      <c r="R2317" s="2" t="s">
        <v>40</v>
      </c>
      <c r="S2317" s="2" t="s">
        <v>14200</v>
      </c>
      <c r="T2317" s="2" t="s">
        <v>2206</v>
      </c>
      <c r="U2317" s="2" t="s">
        <v>14201</v>
      </c>
      <c r="V2317" s="2" t="s">
        <v>14202</v>
      </c>
      <c r="W2317" s="1"/>
      <c r="X2317" s="2" t="s">
        <v>916</v>
      </c>
      <c r="Y2317" s="2" t="s">
        <v>13908</v>
      </c>
      <c r="AA2317" t="str">
        <f t="shared" si="216"/>
        <v>2025-10</v>
      </c>
      <c r="AB2317" t="str">
        <f t="shared" si="217"/>
        <v/>
      </c>
      <c r="AC2317">
        <f t="shared" si="218"/>
        <v>1485910.8</v>
      </c>
      <c r="AD2317">
        <f t="shared" si="219"/>
        <v>150</v>
      </c>
      <c r="AE2317">
        <f t="shared" si="220"/>
        <v>315910.8</v>
      </c>
      <c r="AF2317" t="str">
        <f t="shared" si="221"/>
        <v>Paid</v>
      </c>
    </row>
    <row r="2318" spans="1:32" ht="27.75" thickBot="1" x14ac:dyDescent="0.35">
      <c r="A2318" s="2" t="s">
        <v>14203</v>
      </c>
      <c r="B2318" s="2" t="s">
        <v>27</v>
      </c>
      <c r="C2318" s="2" t="s">
        <v>28</v>
      </c>
      <c r="D2318" s="2" t="s">
        <v>97</v>
      </c>
      <c r="E2318" s="2" t="s">
        <v>13597</v>
      </c>
      <c r="F2318" s="2" t="s">
        <v>8445</v>
      </c>
      <c r="G2318" s="2" t="s">
        <v>32</v>
      </c>
      <c r="H2318" s="1"/>
      <c r="I2318" s="2" t="s">
        <v>33</v>
      </c>
      <c r="J2318" s="2" t="s">
        <v>34</v>
      </c>
      <c r="K2318" s="2" t="s">
        <v>3105</v>
      </c>
      <c r="L2318" s="2" t="s">
        <v>3106</v>
      </c>
      <c r="M2318" s="2" t="s">
        <v>3067</v>
      </c>
      <c r="N2318" s="2" t="s">
        <v>38</v>
      </c>
      <c r="O2318" s="2" t="s">
        <v>391</v>
      </c>
      <c r="P2318" s="2" t="s">
        <v>14204</v>
      </c>
      <c r="Q2318" s="2" t="s">
        <v>14205</v>
      </c>
      <c r="R2318" s="2" t="s">
        <v>40</v>
      </c>
      <c r="S2318" s="2" t="s">
        <v>14206</v>
      </c>
      <c r="T2318" s="2" t="s">
        <v>3110</v>
      </c>
      <c r="U2318" s="2" t="s">
        <v>2257</v>
      </c>
      <c r="V2318" s="2" t="s">
        <v>14207</v>
      </c>
      <c r="W2318" s="1"/>
      <c r="X2318" s="2" t="s">
        <v>838</v>
      </c>
      <c r="Y2318" s="2" t="s">
        <v>13908</v>
      </c>
      <c r="AA2318" t="str">
        <f t="shared" si="216"/>
        <v>2025-10</v>
      </c>
      <c r="AB2318" t="str">
        <f t="shared" si="217"/>
        <v/>
      </c>
      <c r="AC2318">
        <f t="shared" si="218"/>
        <v>303399.36</v>
      </c>
      <c r="AD2318">
        <f t="shared" si="219"/>
        <v>60</v>
      </c>
      <c r="AE2318">
        <f t="shared" si="220"/>
        <v>63399.360000000001</v>
      </c>
      <c r="AF2318" t="str">
        <f t="shared" si="221"/>
        <v>Paid</v>
      </c>
    </row>
    <row r="2319" spans="1:32" ht="17.25" thickBot="1" x14ac:dyDescent="0.35">
      <c r="A2319" s="2" t="s">
        <v>14208</v>
      </c>
      <c r="B2319" s="2" t="s">
        <v>27</v>
      </c>
      <c r="C2319" s="2" t="s">
        <v>28</v>
      </c>
      <c r="D2319" s="2" t="s">
        <v>97</v>
      </c>
      <c r="E2319" s="2" t="s">
        <v>13597</v>
      </c>
      <c r="F2319" s="2" t="s">
        <v>8445</v>
      </c>
      <c r="G2319" s="2" t="s">
        <v>32</v>
      </c>
      <c r="H2319" s="1"/>
      <c r="I2319" s="2" t="s">
        <v>33</v>
      </c>
      <c r="J2319" s="2" t="s">
        <v>34</v>
      </c>
      <c r="K2319" s="2" t="s">
        <v>13273</v>
      </c>
      <c r="L2319" s="2" t="s">
        <v>13274</v>
      </c>
      <c r="M2319" s="2" t="s">
        <v>8850</v>
      </c>
      <c r="N2319" s="2" t="s">
        <v>38</v>
      </c>
      <c r="O2319" s="2" t="s">
        <v>214</v>
      </c>
      <c r="P2319" s="2" t="s">
        <v>14209</v>
      </c>
      <c r="Q2319" s="2" t="s">
        <v>14210</v>
      </c>
      <c r="R2319" s="2" t="s">
        <v>40</v>
      </c>
      <c r="S2319" s="2" t="s">
        <v>14211</v>
      </c>
      <c r="T2319" s="2" t="s">
        <v>10964</v>
      </c>
      <c r="U2319" s="2" t="s">
        <v>4410</v>
      </c>
      <c r="V2319" s="2" t="s">
        <v>14212</v>
      </c>
      <c r="W2319" s="1"/>
      <c r="X2319" s="2" t="s">
        <v>14213</v>
      </c>
      <c r="Y2319" s="2" t="s">
        <v>13908</v>
      </c>
      <c r="AA2319" t="str">
        <f t="shared" si="216"/>
        <v>2025-10</v>
      </c>
      <c r="AB2319" t="str">
        <f t="shared" si="217"/>
        <v/>
      </c>
      <c r="AC2319">
        <f t="shared" si="218"/>
        <v>317768</v>
      </c>
      <c r="AD2319">
        <f t="shared" si="219"/>
        <v>50</v>
      </c>
      <c r="AE2319">
        <f t="shared" si="220"/>
        <v>47768</v>
      </c>
      <c r="AF2319" t="str">
        <f t="shared" si="221"/>
        <v>Paid</v>
      </c>
    </row>
    <row r="2320" spans="1:32" ht="17.25" thickBot="1" x14ac:dyDescent="0.35">
      <c r="A2320" s="2" t="s">
        <v>14214</v>
      </c>
      <c r="B2320" s="2" t="s">
        <v>27</v>
      </c>
      <c r="C2320" s="2" t="s">
        <v>28</v>
      </c>
      <c r="D2320" s="2" t="s">
        <v>97</v>
      </c>
      <c r="E2320" s="2" t="s">
        <v>13597</v>
      </c>
      <c r="F2320" s="2" t="s">
        <v>8445</v>
      </c>
      <c r="G2320" s="2" t="s">
        <v>32</v>
      </c>
      <c r="H2320" s="1"/>
      <c r="I2320" s="2" t="s">
        <v>33</v>
      </c>
      <c r="J2320" s="2" t="s">
        <v>34</v>
      </c>
      <c r="K2320" s="2" t="s">
        <v>14215</v>
      </c>
      <c r="L2320" s="2" t="s">
        <v>14216</v>
      </c>
      <c r="M2320" s="2" t="s">
        <v>3198</v>
      </c>
      <c r="N2320" s="2" t="s">
        <v>38</v>
      </c>
      <c r="O2320" s="2" t="s">
        <v>645</v>
      </c>
      <c r="P2320" s="2" t="s">
        <v>2801</v>
      </c>
      <c r="Q2320" s="2" t="s">
        <v>14217</v>
      </c>
      <c r="R2320" s="2" t="s">
        <v>40</v>
      </c>
      <c r="S2320" s="2" t="s">
        <v>14218</v>
      </c>
      <c r="T2320" s="2" t="s">
        <v>3079</v>
      </c>
      <c r="U2320" s="2" t="s">
        <v>14219</v>
      </c>
      <c r="V2320" s="2" t="s">
        <v>14220</v>
      </c>
      <c r="W2320" s="1"/>
      <c r="X2320" s="2" t="s">
        <v>3205</v>
      </c>
      <c r="Y2320" s="2" t="s">
        <v>13908</v>
      </c>
      <c r="AA2320" t="str">
        <f t="shared" si="216"/>
        <v>2025-10</v>
      </c>
      <c r="AB2320" t="str">
        <f t="shared" si="217"/>
        <v/>
      </c>
      <c r="AC2320">
        <f t="shared" si="218"/>
        <v>1155570.24</v>
      </c>
      <c r="AD2320">
        <f t="shared" si="219"/>
        <v>170</v>
      </c>
      <c r="AE2320">
        <f t="shared" si="220"/>
        <v>169570.24</v>
      </c>
      <c r="AF2320" t="str">
        <f t="shared" si="221"/>
        <v>Paid</v>
      </c>
    </row>
    <row r="2321" spans="1:32" ht="17.25" thickBot="1" x14ac:dyDescent="0.35">
      <c r="A2321" s="2" t="s">
        <v>14221</v>
      </c>
      <c r="B2321" s="2" t="s">
        <v>27</v>
      </c>
      <c r="C2321" s="2" t="s">
        <v>28</v>
      </c>
      <c r="D2321" s="2" t="s">
        <v>97</v>
      </c>
      <c r="E2321" s="2" t="s">
        <v>13597</v>
      </c>
      <c r="F2321" s="2" t="s">
        <v>8445</v>
      </c>
      <c r="G2321" s="2" t="s">
        <v>32</v>
      </c>
      <c r="H2321" s="1"/>
      <c r="I2321" s="2" t="s">
        <v>33</v>
      </c>
      <c r="J2321" s="2" t="s">
        <v>34</v>
      </c>
      <c r="K2321" s="2" t="s">
        <v>14222</v>
      </c>
      <c r="L2321" s="2" t="s">
        <v>14223</v>
      </c>
      <c r="M2321" s="2" t="s">
        <v>3198</v>
      </c>
      <c r="N2321" s="2" t="s">
        <v>38</v>
      </c>
      <c r="O2321" s="2" t="s">
        <v>1631</v>
      </c>
      <c r="P2321" s="2" t="s">
        <v>1068</v>
      </c>
      <c r="Q2321" s="2" t="s">
        <v>14224</v>
      </c>
      <c r="R2321" s="2" t="s">
        <v>40</v>
      </c>
      <c r="S2321" s="2" t="s">
        <v>14225</v>
      </c>
      <c r="T2321" s="2" t="s">
        <v>3202</v>
      </c>
      <c r="U2321" s="2" t="s">
        <v>14226</v>
      </c>
      <c r="V2321" s="2" t="s">
        <v>14227</v>
      </c>
      <c r="W2321" s="1"/>
      <c r="X2321" s="2" t="s">
        <v>3756</v>
      </c>
      <c r="Y2321" s="2" t="s">
        <v>13908</v>
      </c>
      <c r="AA2321" t="str">
        <f t="shared" si="216"/>
        <v>2025-10</v>
      </c>
      <c r="AB2321" t="str">
        <f t="shared" si="217"/>
        <v/>
      </c>
      <c r="AC2321">
        <f t="shared" si="218"/>
        <v>1808652.56</v>
      </c>
      <c r="AD2321">
        <f t="shared" si="219"/>
        <v>190</v>
      </c>
      <c r="AE2321">
        <f t="shared" si="220"/>
        <v>320952.56</v>
      </c>
      <c r="AF2321" t="str">
        <f t="shared" si="221"/>
        <v>Paid</v>
      </c>
    </row>
    <row r="2322" spans="1:32" ht="27.75" thickBot="1" x14ac:dyDescent="0.35">
      <c r="A2322" s="2" t="s">
        <v>14228</v>
      </c>
      <c r="B2322" s="2" t="s">
        <v>27</v>
      </c>
      <c r="C2322" s="2" t="s">
        <v>28</v>
      </c>
      <c r="D2322" s="2" t="s">
        <v>97</v>
      </c>
      <c r="E2322" s="2" t="s">
        <v>13597</v>
      </c>
      <c r="F2322" s="2" t="s">
        <v>8445</v>
      </c>
      <c r="G2322" s="2" t="s">
        <v>32</v>
      </c>
      <c r="H2322" s="1"/>
      <c r="I2322" s="2" t="s">
        <v>33</v>
      </c>
      <c r="J2322" s="2" t="s">
        <v>34</v>
      </c>
      <c r="K2322" s="2" t="s">
        <v>14229</v>
      </c>
      <c r="L2322" s="2" t="s">
        <v>14230</v>
      </c>
      <c r="M2322" s="2" t="s">
        <v>3198</v>
      </c>
      <c r="N2322" s="2" t="s">
        <v>38</v>
      </c>
      <c r="O2322" s="2" t="s">
        <v>524</v>
      </c>
      <c r="P2322" s="2" t="s">
        <v>9392</v>
      </c>
      <c r="Q2322" s="2" t="s">
        <v>14231</v>
      </c>
      <c r="R2322" s="2" t="s">
        <v>40</v>
      </c>
      <c r="S2322" s="2" t="s">
        <v>14232</v>
      </c>
      <c r="T2322" s="2" t="s">
        <v>6559</v>
      </c>
      <c r="U2322" s="2" t="s">
        <v>14233</v>
      </c>
      <c r="V2322" s="2" t="s">
        <v>14234</v>
      </c>
      <c r="W2322" s="1"/>
      <c r="X2322" s="2" t="s">
        <v>3205</v>
      </c>
      <c r="Y2322" s="2" t="s">
        <v>13908</v>
      </c>
      <c r="AA2322" t="str">
        <f t="shared" si="216"/>
        <v>2025-10</v>
      </c>
      <c r="AB2322" t="str">
        <f t="shared" si="217"/>
        <v/>
      </c>
      <c r="AC2322">
        <f t="shared" si="218"/>
        <v>621968.68999999994</v>
      </c>
      <c r="AD2322">
        <f t="shared" si="219"/>
        <v>61</v>
      </c>
      <c r="AE2322">
        <f t="shared" si="220"/>
        <v>91268.69</v>
      </c>
      <c r="AF2322" t="str">
        <f t="shared" si="221"/>
        <v>Paid</v>
      </c>
    </row>
    <row r="2323" spans="1:32" ht="17.25" thickBot="1" x14ac:dyDescent="0.35">
      <c r="A2323" s="2" t="s">
        <v>14235</v>
      </c>
      <c r="B2323" s="2" t="s">
        <v>27</v>
      </c>
      <c r="C2323" s="2" t="s">
        <v>28</v>
      </c>
      <c r="D2323" s="2" t="s">
        <v>97</v>
      </c>
      <c r="E2323" s="2" t="s">
        <v>13597</v>
      </c>
      <c r="F2323" s="2" t="s">
        <v>8445</v>
      </c>
      <c r="G2323" s="2" t="s">
        <v>32</v>
      </c>
      <c r="H2323" s="1"/>
      <c r="I2323" s="2" t="s">
        <v>33</v>
      </c>
      <c r="J2323" s="2" t="s">
        <v>34</v>
      </c>
      <c r="K2323" s="2" t="s">
        <v>10030</v>
      </c>
      <c r="L2323" s="2" t="s">
        <v>10031</v>
      </c>
      <c r="M2323" s="2" t="s">
        <v>3198</v>
      </c>
      <c r="N2323" s="2" t="s">
        <v>38</v>
      </c>
      <c r="O2323" s="2" t="s">
        <v>159</v>
      </c>
      <c r="P2323" s="2" t="s">
        <v>10802</v>
      </c>
      <c r="Q2323" s="2" t="s">
        <v>14236</v>
      </c>
      <c r="R2323" s="2" t="s">
        <v>40</v>
      </c>
      <c r="S2323" s="2" t="s">
        <v>14237</v>
      </c>
      <c r="T2323" s="2" t="s">
        <v>10034</v>
      </c>
      <c r="U2323" s="2" t="s">
        <v>7176</v>
      </c>
      <c r="V2323" s="2" t="s">
        <v>14238</v>
      </c>
      <c r="W2323" s="1"/>
      <c r="X2323" s="2" t="s">
        <v>3205</v>
      </c>
      <c r="Y2323" s="2" t="s">
        <v>13908</v>
      </c>
      <c r="AA2323" t="str">
        <f t="shared" si="216"/>
        <v>2025-10</v>
      </c>
      <c r="AB2323" t="str">
        <f t="shared" si="217"/>
        <v/>
      </c>
      <c r="AC2323">
        <f t="shared" si="218"/>
        <v>571429.76</v>
      </c>
      <c r="AD2323">
        <f t="shared" si="219"/>
        <v>80</v>
      </c>
      <c r="AE2323">
        <f t="shared" si="220"/>
        <v>84229.759999999995</v>
      </c>
      <c r="AF2323" t="str">
        <f t="shared" si="221"/>
        <v>Paid</v>
      </c>
    </row>
    <row r="2324" spans="1:32" ht="17.25" thickBot="1" x14ac:dyDescent="0.35">
      <c r="A2324" s="2" t="s">
        <v>14239</v>
      </c>
      <c r="B2324" s="2" t="s">
        <v>27</v>
      </c>
      <c r="C2324" s="2" t="s">
        <v>28</v>
      </c>
      <c r="D2324" s="2" t="s">
        <v>97</v>
      </c>
      <c r="E2324" s="2" t="s">
        <v>13597</v>
      </c>
      <c r="F2324" s="2" t="s">
        <v>8445</v>
      </c>
      <c r="G2324" s="2" t="s">
        <v>32</v>
      </c>
      <c r="H2324" s="1"/>
      <c r="I2324" s="2" t="s">
        <v>33</v>
      </c>
      <c r="J2324" s="2" t="s">
        <v>34</v>
      </c>
      <c r="K2324" s="2" t="s">
        <v>11981</v>
      </c>
      <c r="L2324" s="2" t="s">
        <v>11982</v>
      </c>
      <c r="M2324" s="2" t="s">
        <v>3198</v>
      </c>
      <c r="N2324" s="2" t="s">
        <v>38</v>
      </c>
      <c r="O2324" s="2" t="s">
        <v>221</v>
      </c>
      <c r="P2324" s="2" t="s">
        <v>6924</v>
      </c>
      <c r="Q2324" s="2" t="s">
        <v>14240</v>
      </c>
      <c r="R2324" s="2" t="s">
        <v>40</v>
      </c>
      <c r="S2324" s="2" t="s">
        <v>14241</v>
      </c>
      <c r="T2324" s="2" t="s">
        <v>11985</v>
      </c>
      <c r="U2324" s="2" t="s">
        <v>14242</v>
      </c>
      <c r="V2324" s="2" t="s">
        <v>14243</v>
      </c>
      <c r="W2324" s="1"/>
      <c r="X2324" s="2" t="s">
        <v>3205</v>
      </c>
      <c r="Y2324" s="2" t="s">
        <v>13908</v>
      </c>
      <c r="AA2324" t="str">
        <f t="shared" si="216"/>
        <v>2025-10</v>
      </c>
      <c r="AB2324" t="str">
        <f t="shared" si="217"/>
        <v/>
      </c>
      <c r="AC2324">
        <f t="shared" si="218"/>
        <v>1189557.6000000001</v>
      </c>
      <c r="AD2324">
        <f t="shared" si="219"/>
        <v>140</v>
      </c>
      <c r="AE2324">
        <f t="shared" si="220"/>
        <v>174557.6</v>
      </c>
      <c r="AF2324" t="str">
        <f t="shared" si="221"/>
        <v>Paid</v>
      </c>
    </row>
    <row r="2325" spans="1:32" ht="17.25" thickBot="1" x14ac:dyDescent="0.35">
      <c r="A2325" s="2" t="s">
        <v>14244</v>
      </c>
      <c r="B2325" s="2" t="s">
        <v>27</v>
      </c>
      <c r="C2325" s="2" t="s">
        <v>28</v>
      </c>
      <c r="D2325" s="2" t="s">
        <v>97</v>
      </c>
      <c r="E2325" s="2" t="s">
        <v>13597</v>
      </c>
      <c r="F2325" s="2" t="s">
        <v>8445</v>
      </c>
      <c r="G2325" s="2" t="s">
        <v>32</v>
      </c>
      <c r="H2325" s="1"/>
      <c r="I2325" s="2" t="s">
        <v>33</v>
      </c>
      <c r="J2325" s="2" t="s">
        <v>34</v>
      </c>
      <c r="K2325" s="2" t="s">
        <v>3207</v>
      </c>
      <c r="L2325" s="2" t="s">
        <v>3208</v>
      </c>
      <c r="M2325" s="2" t="s">
        <v>3209</v>
      </c>
      <c r="N2325" s="2" t="s">
        <v>38</v>
      </c>
      <c r="O2325" s="2" t="s">
        <v>877</v>
      </c>
      <c r="P2325" s="2" t="s">
        <v>10600</v>
      </c>
      <c r="Q2325" s="2" t="s">
        <v>14245</v>
      </c>
      <c r="R2325" s="2" t="s">
        <v>40</v>
      </c>
      <c r="S2325" s="2" t="s">
        <v>14246</v>
      </c>
      <c r="T2325" s="2" t="s">
        <v>3213</v>
      </c>
      <c r="U2325" s="2" t="s">
        <v>10070</v>
      </c>
      <c r="V2325" s="2" t="s">
        <v>14247</v>
      </c>
      <c r="W2325" s="1"/>
      <c r="X2325" s="2" t="s">
        <v>1100</v>
      </c>
      <c r="Y2325" s="2" t="s">
        <v>13908</v>
      </c>
      <c r="AA2325" t="str">
        <f t="shared" si="216"/>
        <v>2025-10</v>
      </c>
      <c r="AB2325" t="str">
        <f t="shared" si="217"/>
        <v/>
      </c>
      <c r="AC2325">
        <f t="shared" si="218"/>
        <v>624483.19999999995</v>
      </c>
      <c r="AD2325">
        <f t="shared" si="219"/>
        <v>100</v>
      </c>
      <c r="AE2325">
        <f t="shared" si="220"/>
        <v>104483.2</v>
      </c>
      <c r="AF2325" t="str">
        <f t="shared" si="221"/>
        <v>Paid</v>
      </c>
    </row>
    <row r="2326" spans="1:32" ht="17.25" thickBot="1" x14ac:dyDescent="0.35">
      <c r="A2326" s="2" t="s">
        <v>14248</v>
      </c>
      <c r="B2326" s="2" t="s">
        <v>27</v>
      </c>
      <c r="C2326" s="2" t="s">
        <v>28</v>
      </c>
      <c r="D2326" s="2" t="s">
        <v>97</v>
      </c>
      <c r="E2326" s="2" t="s">
        <v>13597</v>
      </c>
      <c r="F2326" s="2" t="s">
        <v>8445</v>
      </c>
      <c r="G2326" s="2" t="s">
        <v>32</v>
      </c>
      <c r="H2326" s="1"/>
      <c r="I2326" s="2" t="s">
        <v>33</v>
      </c>
      <c r="J2326" s="2" t="s">
        <v>34</v>
      </c>
      <c r="K2326" s="2" t="s">
        <v>3225</v>
      </c>
      <c r="L2326" s="2" t="s">
        <v>3226</v>
      </c>
      <c r="M2326" s="2" t="s">
        <v>3227</v>
      </c>
      <c r="N2326" s="2" t="s">
        <v>38</v>
      </c>
      <c r="O2326" s="2" t="s">
        <v>156</v>
      </c>
      <c r="P2326" s="2" t="s">
        <v>5351</v>
      </c>
      <c r="Q2326" s="2" t="s">
        <v>14249</v>
      </c>
      <c r="R2326" s="2" t="s">
        <v>40</v>
      </c>
      <c r="S2326" s="2" t="s">
        <v>14250</v>
      </c>
      <c r="T2326" s="2" t="s">
        <v>3213</v>
      </c>
      <c r="U2326" s="2" t="s">
        <v>3244</v>
      </c>
      <c r="V2326" s="2" t="s">
        <v>14251</v>
      </c>
      <c r="W2326" s="1"/>
      <c r="X2326" s="2" t="s">
        <v>8198</v>
      </c>
      <c r="Y2326" s="2" t="s">
        <v>13908</v>
      </c>
      <c r="AA2326" t="str">
        <f t="shared" si="216"/>
        <v>2025-10</v>
      </c>
      <c r="AB2326" t="str">
        <f t="shared" si="217"/>
        <v/>
      </c>
      <c r="AC2326">
        <f t="shared" si="218"/>
        <v>140923.20000000001</v>
      </c>
      <c r="AD2326">
        <f t="shared" si="219"/>
        <v>20</v>
      </c>
      <c r="AE2326">
        <f t="shared" si="220"/>
        <v>36923.199999999997</v>
      </c>
      <c r="AF2326" t="str">
        <f t="shared" si="221"/>
        <v>Paid</v>
      </c>
    </row>
    <row r="2327" spans="1:32" ht="17.25" thickBot="1" x14ac:dyDescent="0.35">
      <c r="A2327" s="2" t="s">
        <v>14252</v>
      </c>
      <c r="B2327" s="2" t="s">
        <v>27</v>
      </c>
      <c r="C2327" s="2" t="s">
        <v>28</v>
      </c>
      <c r="D2327" s="2" t="s">
        <v>97</v>
      </c>
      <c r="E2327" s="2" t="s">
        <v>13597</v>
      </c>
      <c r="F2327" s="2" t="s">
        <v>8445</v>
      </c>
      <c r="G2327" s="2" t="s">
        <v>32</v>
      </c>
      <c r="H2327" s="1"/>
      <c r="I2327" s="2" t="s">
        <v>33</v>
      </c>
      <c r="J2327" s="2" t="s">
        <v>34</v>
      </c>
      <c r="K2327" s="2" t="s">
        <v>3233</v>
      </c>
      <c r="L2327" s="2" t="s">
        <v>3234</v>
      </c>
      <c r="M2327" s="2" t="s">
        <v>3227</v>
      </c>
      <c r="N2327" s="2" t="s">
        <v>38</v>
      </c>
      <c r="O2327" s="2" t="s">
        <v>156</v>
      </c>
      <c r="P2327" s="2" t="s">
        <v>5351</v>
      </c>
      <c r="Q2327" s="2" t="s">
        <v>14249</v>
      </c>
      <c r="R2327" s="2" t="s">
        <v>40</v>
      </c>
      <c r="S2327" s="2" t="s">
        <v>14250</v>
      </c>
      <c r="T2327" s="2" t="s">
        <v>3213</v>
      </c>
      <c r="U2327" s="2" t="s">
        <v>3244</v>
      </c>
      <c r="V2327" s="2" t="s">
        <v>14251</v>
      </c>
      <c r="W2327" s="1"/>
      <c r="X2327" s="2" t="s">
        <v>8198</v>
      </c>
      <c r="Y2327" s="2" t="s">
        <v>13908</v>
      </c>
      <c r="AA2327" t="str">
        <f t="shared" si="216"/>
        <v>2025-10</v>
      </c>
      <c r="AB2327" t="str">
        <f t="shared" si="217"/>
        <v/>
      </c>
      <c r="AC2327">
        <f t="shared" si="218"/>
        <v>140923.20000000001</v>
      </c>
      <c r="AD2327">
        <f t="shared" si="219"/>
        <v>20</v>
      </c>
      <c r="AE2327">
        <f t="shared" si="220"/>
        <v>36923.199999999997</v>
      </c>
      <c r="AF2327" t="str">
        <f t="shared" si="221"/>
        <v>Paid</v>
      </c>
    </row>
    <row r="2328" spans="1:32" ht="17.25" thickBot="1" x14ac:dyDescent="0.35">
      <c r="A2328" s="2" t="s">
        <v>14253</v>
      </c>
      <c r="B2328" s="2" t="s">
        <v>27</v>
      </c>
      <c r="C2328" s="2" t="s">
        <v>28</v>
      </c>
      <c r="D2328" s="2" t="s">
        <v>97</v>
      </c>
      <c r="E2328" s="2" t="s">
        <v>13597</v>
      </c>
      <c r="F2328" s="2" t="s">
        <v>8445</v>
      </c>
      <c r="G2328" s="2" t="s">
        <v>32</v>
      </c>
      <c r="H2328" s="1"/>
      <c r="I2328" s="2" t="s">
        <v>33</v>
      </c>
      <c r="J2328" s="2" t="s">
        <v>34</v>
      </c>
      <c r="K2328" s="2" t="s">
        <v>8191</v>
      </c>
      <c r="L2328" s="2" t="s">
        <v>8192</v>
      </c>
      <c r="M2328" s="2" t="s">
        <v>3227</v>
      </c>
      <c r="N2328" s="2" t="s">
        <v>38</v>
      </c>
      <c r="O2328" s="2" t="s">
        <v>156</v>
      </c>
      <c r="P2328" s="2" t="s">
        <v>756</v>
      </c>
      <c r="Q2328" s="2" t="s">
        <v>14254</v>
      </c>
      <c r="R2328" s="2" t="s">
        <v>40</v>
      </c>
      <c r="S2328" s="2" t="s">
        <v>14255</v>
      </c>
      <c r="T2328" s="2" t="s">
        <v>8195</v>
      </c>
      <c r="U2328" s="2" t="s">
        <v>14256</v>
      </c>
      <c r="V2328" s="2" t="s">
        <v>14257</v>
      </c>
      <c r="W2328" s="1"/>
      <c r="X2328" s="2" t="s">
        <v>1073</v>
      </c>
      <c r="Y2328" s="2" t="s">
        <v>13908</v>
      </c>
      <c r="AA2328" t="str">
        <f t="shared" si="216"/>
        <v>2025-10</v>
      </c>
      <c r="AB2328" t="str">
        <f t="shared" si="217"/>
        <v/>
      </c>
      <c r="AC2328">
        <f t="shared" si="218"/>
        <v>168831.52</v>
      </c>
      <c r="AD2328">
        <f t="shared" si="219"/>
        <v>20</v>
      </c>
      <c r="AE2328">
        <f t="shared" si="220"/>
        <v>44031.519999999997</v>
      </c>
      <c r="AF2328" t="str">
        <f t="shared" si="221"/>
        <v>Paid</v>
      </c>
    </row>
    <row r="2329" spans="1:32" ht="27.75" thickBot="1" x14ac:dyDescent="0.35">
      <c r="A2329" s="2" t="s">
        <v>14258</v>
      </c>
      <c r="B2329" s="2" t="s">
        <v>27</v>
      </c>
      <c r="C2329" s="2" t="s">
        <v>28</v>
      </c>
      <c r="D2329" s="2" t="s">
        <v>97</v>
      </c>
      <c r="E2329" s="2" t="s">
        <v>14259</v>
      </c>
      <c r="F2329" s="2" t="s">
        <v>8445</v>
      </c>
      <c r="G2329" s="2" t="s">
        <v>32</v>
      </c>
      <c r="H2329" s="1"/>
      <c r="I2329" s="2" t="s">
        <v>33</v>
      </c>
      <c r="J2329" s="2" t="s">
        <v>34</v>
      </c>
      <c r="K2329" s="2" t="s">
        <v>302</v>
      </c>
      <c r="L2329" s="2" t="s">
        <v>303</v>
      </c>
      <c r="M2329" s="2" t="s">
        <v>304</v>
      </c>
      <c r="N2329" s="2" t="s">
        <v>38</v>
      </c>
      <c r="O2329" s="2" t="s">
        <v>14260</v>
      </c>
      <c r="P2329" s="2" t="s">
        <v>6297</v>
      </c>
      <c r="Q2329" s="2" t="s">
        <v>14261</v>
      </c>
      <c r="R2329" s="2" t="s">
        <v>40</v>
      </c>
      <c r="S2329" s="2" t="s">
        <v>14262</v>
      </c>
      <c r="T2329" s="2" t="s">
        <v>107</v>
      </c>
      <c r="U2329" s="2" t="s">
        <v>14263</v>
      </c>
      <c r="V2329" s="2" t="s">
        <v>14264</v>
      </c>
      <c r="W2329" s="1"/>
      <c r="X2329" s="2" t="s">
        <v>6735</v>
      </c>
      <c r="Y2329" s="2" t="s">
        <v>14265</v>
      </c>
      <c r="AA2329" t="str">
        <f t="shared" si="216"/>
        <v>2025-10</v>
      </c>
      <c r="AB2329" t="str">
        <f t="shared" si="217"/>
        <v/>
      </c>
      <c r="AC2329">
        <f t="shared" si="218"/>
        <v>27768358.190000001</v>
      </c>
      <c r="AD2329">
        <f t="shared" si="219"/>
        <v>4511</v>
      </c>
      <c r="AE2329">
        <f t="shared" si="220"/>
        <v>2506758.19</v>
      </c>
      <c r="AF2329" t="str">
        <f t="shared" si="221"/>
        <v>Paid</v>
      </c>
    </row>
    <row r="2330" spans="1:32" ht="27.75" thickBot="1" x14ac:dyDescent="0.35">
      <c r="A2330" s="2" t="s">
        <v>14266</v>
      </c>
      <c r="B2330" s="2" t="s">
        <v>27</v>
      </c>
      <c r="C2330" s="2" t="s">
        <v>28</v>
      </c>
      <c r="D2330" s="2" t="s">
        <v>97</v>
      </c>
      <c r="E2330" s="2" t="s">
        <v>14259</v>
      </c>
      <c r="F2330" s="2" t="s">
        <v>8445</v>
      </c>
      <c r="G2330" s="2" t="s">
        <v>32</v>
      </c>
      <c r="H2330" s="1"/>
      <c r="I2330" s="2" t="s">
        <v>33</v>
      </c>
      <c r="J2330" s="2" t="s">
        <v>34</v>
      </c>
      <c r="K2330" s="2" t="s">
        <v>302</v>
      </c>
      <c r="L2330" s="2" t="s">
        <v>303</v>
      </c>
      <c r="M2330" s="2" t="s">
        <v>304</v>
      </c>
      <c r="N2330" s="2" t="s">
        <v>38</v>
      </c>
      <c r="O2330" s="2" t="s">
        <v>5094</v>
      </c>
      <c r="P2330" s="2" t="s">
        <v>6297</v>
      </c>
      <c r="Q2330" s="2" t="s">
        <v>14267</v>
      </c>
      <c r="R2330" s="2" t="s">
        <v>40</v>
      </c>
      <c r="S2330" s="2" t="s">
        <v>14268</v>
      </c>
      <c r="T2330" s="2" t="s">
        <v>107</v>
      </c>
      <c r="U2330" s="2" t="s">
        <v>14269</v>
      </c>
      <c r="V2330" s="2" t="s">
        <v>14270</v>
      </c>
      <c r="W2330" s="1"/>
      <c r="X2330" s="2" t="s">
        <v>6735</v>
      </c>
      <c r="Y2330" s="2" t="s">
        <v>14265</v>
      </c>
      <c r="AA2330" t="str">
        <f t="shared" si="216"/>
        <v>2025-10</v>
      </c>
      <c r="AB2330" t="str">
        <f t="shared" si="217"/>
        <v/>
      </c>
      <c r="AC2330">
        <f t="shared" si="218"/>
        <v>4241276.6100000003</v>
      </c>
      <c r="AD2330">
        <f t="shared" si="219"/>
        <v>689</v>
      </c>
      <c r="AE2330">
        <f t="shared" si="220"/>
        <v>382876.61</v>
      </c>
      <c r="AF2330" t="str">
        <f t="shared" si="221"/>
        <v>Paid</v>
      </c>
    </row>
    <row r="2331" spans="1:32" ht="17.25" thickBot="1" x14ac:dyDescent="0.35">
      <c r="A2331" s="2" t="s">
        <v>14271</v>
      </c>
      <c r="B2331" s="2" t="s">
        <v>27</v>
      </c>
      <c r="C2331" s="2" t="s">
        <v>28</v>
      </c>
      <c r="D2331" s="2" t="s">
        <v>97</v>
      </c>
      <c r="E2331" s="2" t="s">
        <v>14259</v>
      </c>
      <c r="F2331" s="2" t="s">
        <v>8445</v>
      </c>
      <c r="G2331" s="2" t="s">
        <v>32</v>
      </c>
      <c r="H2331" s="1"/>
      <c r="I2331" s="2" t="s">
        <v>33</v>
      </c>
      <c r="J2331" s="2" t="s">
        <v>34</v>
      </c>
      <c r="K2331" s="2" t="s">
        <v>10358</v>
      </c>
      <c r="L2331" s="2" t="s">
        <v>10359</v>
      </c>
      <c r="M2331" s="2" t="s">
        <v>304</v>
      </c>
      <c r="N2331" s="2" t="s">
        <v>38</v>
      </c>
      <c r="O2331" s="2" t="s">
        <v>14272</v>
      </c>
      <c r="P2331" s="2" t="s">
        <v>14273</v>
      </c>
      <c r="Q2331" s="2" t="s">
        <v>14274</v>
      </c>
      <c r="R2331" s="2" t="s">
        <v>40</v>
      </c>
      <c r="S2331" s="2" t="s">
        <v>14275</v>
      </c>
      <c r="T2331" s="2" t="s">
        <v>10362</v>
      </c>
      <c r="U2331" s="2" t="s">
        <v>14276</v>
      </c>
      <c r="V2331" s="2" t="s">
        <v>14277</v>
      </c>
      <c r="W2331" s="1"/>
      <c r="X2331" s="2" t="s">
        <v>8970</v>
      </c>
      <c r="Y2331" s="2" t="s">
        <v>14265</v>
      </c>
      <c r="AA2331" t="str">
        <f t="shared" si="216"/>
        <v>2025-10</v>
      </c>
      <c r="AB2331" t="str">
        <f t="shared" si="217"/>
        <v/>
      </c>
      <c r="AC2331">
        <f t="shared" si="218"/>
        <v>11663015.9</v>
      </c>
      <c r="AD2331">
        <f t="shared" si="219"/>
        <v>1104</v>
      </c>
      <c r="AE2331">
        <f t="shared" si="220"/>
        <v>1064615.8999999999</v>
      </c>
      <c r="AF2331" t="str">
        <f t="shared" si="221"/>
        <v>Paid</v>
      </c>
    </row>
    <row r="2332" spans="1:32" ht="27.75" thickBot="1" x14ac:dyDescent="0.35">
      <c r="A2332" s="2" t="s">
        <v>14278</v>
      </c>
      <c r="B2332" s="2" t="s">
        <v>27</v>
      </c>
      <c r="C2332" s="2" t="s">
        <v>28</v>
      </c>
      <c r="D2332" s="2" t="s">
        <v>97</v>
      </c>
      <c r="E2332" s="2" t="s">
        <v>14259</v>
      </c>
      <c r="F2332" s="2" t="s">
        <v>8445</v>
      </c>
      <c r="G2332" s="2" t="s">
        <v>32</v>
      </c>
      <c r="H2332" s="1"/>
      <c r="I2332" s="2" t="s">
        <v>33</v>
      </c>
      <c r="J2332" s="2" t="s">
        <v>34</v>
      </c>
      <c r="K2332" s="2" t="s">
        <v>10372</v>
      </c>
      <c r="L2332" s="2" t="s">
        <v>10373</v>
      </c>
      <c r="M2332" s="2" t="s">
        <v>304</v>
      </c>
      <c r="N2332" s="2" t="s">
        <v>38</v>
      </c>
      <c r="O2332" s="2" t="s">
        <v>773</v>
      </c>
      <c r="P2332" s="2" t="s">
        <v>14279</v>
      </c>
      <c r="Q2332" s="2" t="s">
        <v>14280</v>
      </c>
      <c r="R2332" s="2" t="s">
        <v>40</v>
      </c>
      <c r="S2332" s="2" t="s">
        <v>14281</v>
      </c>
      <c r="T2332" s="2" t="s">
        <v>3023</v>
      </c>
      <c r="U2332" s="2" t="s">
        <v>844</v>
      </c>
      <c r="V2332" s="2" t="s">
        <v>14282</v>
      </c>
      <c r="W2332" s="1"/>
      <c r="X2332" s="2" t="s">
        <v>6735</v>
      </c>
      <c r="Y2332" s="2" t="s">
        <v>14265</v>
      </c>
      <c r="AA2332" t="str">
        <f t="shared" si="216"/>
        <v>2025-10</v>
      </c>
      <c r="AB2332" t="str">
        <f t="shared" si="217"/>
        <v/>
      </c>
      <c r="AC2332">
        <f t="shared" si="218"/>
        <v>439497.8</v>
      </c>
      <c r="AD2332">
        <f t="shared" si="219"/>
        <v>200</v>
      </c>
      <c r="AE2332">
        <f t="shared" si="220"/>
        <v>39497.800000000003</v>
      </c>
      <c r="AF2332" t="str">
        <f t="shared" si="221"/>
        <v>Paid</v>
      </c>
    </row>
    <row r="2333" spans="1:32" ht="17.25" thickBot="1" x14ac:dyDescent="0.35">
      <c r="A2333" s="2" t="s">
        <v>14283</v>
      </c>
      <c r="B2333" s="2" t="s">
        <v>27</v>
      </c>
      <c r="C2333" s="2" t="s">
        <v>28</v>
      </c>
      <c r="D2333" s="2" t="s">
        <v>97</v>
      </c>
      <c r="E2333" s="2" t="s">
        <v>14259</v>
      </c>
      <c r="F2333" s="2" t="s">
        <v>8445</v>
      </c>
      <c r="G2333" s="2" t="s">
        <v>32</v>
      </c>
      <c r="H2333" s="1"/>
      <c r="I2333" s="2" t="s">
        <v>33</v>
      </c>
      <c r="J2333" s="2" t="s">
        <v>34</v>
      </c>
      <c r="K2333" s="2" t="s">
        <v>324</v>
      </c>
      <c r="L2333" s="2" t="s">
        <v>325</v>
      </c>
      <c r="M2333" s="2" t="s">
        <v>304</v>
      </c>
      <c r="N2333" s="2" t="s">
        <v>38</v>
      </c>
      <c r="O2333" s="2" t="s">
        <v>14284</v>
      </c>
      <c r="P2333" s="2" t="s">
        <v>2528</v>
      </c>
      <c r="Q2333" s="2" t="s">
        <v>14285</v>
      </c>
      <c r="R2333" s="2" t="s">
        <v>40</v>
      </c>
      <c r="S2333" s="2" t="s">
        <v>14286</v>
      </c>
      <c r="T2333" s="2" t="s">
        <v>2069</v>
      </c>
      <c r="U2333" s="2" t="s">
        <v>14287</v>
      </c>
      <c r="V2333" s="2" t="s">
        <v>14288</v>
      </c>
      <c r="W2333" s="1"/>
      <c r="X2333" s="2" t="s">
        <v>8970</v>
      </c>
      <c r="Y2333" s="2" t="s">
        <v>14265</v>
      </c>
      <c r="AA2333" t="str">
        <f t="shared" si="216"/>
        <v>2025-10</v>
      </c>
      <c r="AB2333" t="str">
        <f t="shared" si="217"/>
        <v/>
      </c>
      <c r="AC2333">
        <f t="shared" si="218"/>
        <v>40750440.75</v>
      </c>
      <c r="AD2333">
        <f t="shared" si="219"/>
        <v>4211</v>
      </c>
      <c r="AE2333">
        <f t="shared" si="220"/>
        <v>3693640.75</v>
      </c>
      <c r="AF2333" t="str">
        <f t="shared" si="221"/>
        <v>Paid</v>
      </c>
    </row>
    <row r="2334" spans="1:32" ht="17.25" thickBot="1" x14ac:dyDescent="0.35">
      <c r="A2334" s="2" t="s">
        <v>14289</v>
      </c>
      <c r="B2334" s="2" t="s">
        <v>27</v>
      </c>
      <c r="C2334" s="2" t="s">
        <v>28</v>
      </c>
      <c r="D2334" s="2" t="s">
        <v>97</v>
      </c>
      <c r="E2334" s="2" t="s">
        <v>14259</v>
      </c>
      <c r="F2334" s="2" t="s">
        <v>8445</v>
      </c>
      <c r="G2334" s="2" t="s">
        <v>32</v>
      </c>
      <c r="H2334" s="1"/>
      <c r="I2334" s="2" t="s">
        <v>33</v>
      </c>
      <c r="J2334" s="2" t="s">
        <v>34</v>
      </c>
      <c r="K2334" s="2" t="s">
        <v>324</v>
      </c>
      <c r="L2334" s="2" t="s">
        <v>325</v>
      </c>
      <c r="M2334" s="2" t="s">
        <v>304</v>
      </c>
      <c r="N2334" s="2" t="s">
        <v>38</v>
      </c>
      <c r="O2334" s="2" t="s">
        <v>4444</v>
      </c>
      <c r="P2334" s="2" t="s">
        <v>2528</v>
      </c>
      <c r="Q2334" s="2" t="s">
        <v>14290</v>
      </c>
      <c r="R2334" s="2" t="s">
        <v>40</v>
      </c>
      <c r="S2334" s="2" t="s">
        <v>14291</v>
      </c>
      <c r="T2334" s="2" t="s">
        <v>2069</v>
      </c>
      <c r="U2334" s="2" t="s">
        <v>14292</v>
      </c>
      <c r="V2334" s="2" t="s">
        <v>14293</v>
      </c>
      <c r="W2334" s="1"/>
      <c r="X2334" s="2" t="s">
        <v>8970</v>
      </c>
      <c r="Y2334" s="2" t="s">
        <v>14265</v>
      </c>
      <c r="AA2334" t="str">
        <f t="shared" si="216"/>
        <v>2025-10</v>
      </c>
      <c r="AB2334" t="str">
        <f t="shared" si="217"/>
        <v/>
      </c>
      <c r="AC2334">
        <f t="shared" si="218"/>
        <v>5699836.0499999998</v>
      </c>
      <c r="AD2334">
        <f t="shared" si="219"/>
        <v>589</v>
      </c>
      <c r="AE2334">
        <f t="shared" si="220"/>
        <v>516636.05</v>
      </c>
      <c r="AF2334" t="str">
        <f t="shared" si="221"/>
        <v>Paid</v>
      </c>
    </row>
    <row r="2335" spans="1:32" ht="17.25" thickBot="1" x14ac:dyDescent="0.35">
      <c r="A2335" s="2" t="s">
        <v>14294</v>
      </c>
      <c r="B2335" s="2" t="s">
        <v>27</v>
      </c>
      <c r="C2335" s="2" t="s">
        <v>28</v>
      </c>
      <c r="D2335" s="2" t="s">
        <v>97</v>
      </c>
      <c r="E2335" s="2" t="s">
        <v>14259</v>
      </c>
      <c r="F2335" s="2" t="s">
        <v>8445</v>
      </c>
      <c r="G2335" s="2" t="s">
        <v>32</v>
      </c>
      <c r="H2335" s="1"/>
      <c r="I2335" s="2" t="s">
        <v>33</v>
      </c>
      <c r="J2335" s="2" t="s">
        <v>34</v>
      </c>
      <c r="K2335" s="2" t="s">
        <v>324</v>
      </c>
      <c r="L2335" s="2" t="s">
        <v>325</v>
      </c>
      <c r="M2335" s="2" t="s">
        <v>304</v>
      </c>
      <c r="N2335" s="2" t="s">
        <v>38</v>
      </c>
      <c r="O2335" s="2" t="s">
        <v>2057</v>
      </c>
      <c r="P2335" s="2" t="s">
        <v>2528</v>
      </c>
      <c r="Q2335" s="2" t="s">
        <v>14295</v>
      </c>
      <c r="R2335" s="2" t="s">
        <v>40</v>
      </c>
      <c r="S2335" s="2" t="s">
        <v>14296</v>
      </c>
      <c r="T2335" s="2" t="s">
        <v>2069</v>
      </c>
      <c r="U2335" s="2" t="s">
        <v>1541</v>
      </c>
      <c r="V2335" s="2" t="s">
        <v>14297</v>
      </c>
      <c r="W2335" s="1"/>
      <c r="X2335" s="2" t="s">
        <v>8970</v>
      </c>
      <c r="Y2335" s="2" t="s">
        <v>14265</v>
      </c>
      <c r="AA2335" t="str">
        <f t="shared" si="216"/>
        <v>2025-10</v>
      </c>
      <c r="AB2335" t="str">
        <f t="shared" si="217"/>
        <v/>
      </c>
      <c r="AC2335">
        <f t="shared" si="218"/>
        <v>3386999.35</v>
      </c>
      <c r="AD2335">
        <f t="shared" si="219"/>
        <v>350</v>
      </c>
      <c r="AE2335">
        <f t="shared" si="220"/>
        <v>306999.34999999998</v>
      </c>
      <c r="AF2335" t="str">
        <f t="shared" si="221"/>
        <v>Paid</v>
      </c>
    </row>
    <row r="2336" spans="1:32" ht="27.75" thickBot="1" x14ac:dyDescent="0.35">
      <c r="A2336" s="2" t="s">
        <v>14298</v>
      </c>
      <c r="B2336" s="2" t="s">
        <v>27</v>
      </c>
      <c r="C2336" s="2" t="s">
        <v>28</v>
      </c>
      <c r="D2336" s="2" t="s">
        <v>97</v>
      </c>
      <c r="E2336" s="2" t="s">
        <v>14259</v>
      </c>
      <c r="F2336" s="2" t="s">
        <v>8445</v>
      </c>
      <c r="G2336" s="2" t="s">
        <v>32</v>
      </c>
      <c r="H2336" s="1"/>
      <c r="I2336" s="2" t="s">
        <v>33</v>
      </c>
      <c r="J2336" s="2" t="s">
        <v>34</v>
      </c>
      <c r="K2336" s="2" t="s">
        <v>13479</v>
      </c>
      <c r="L2336" s="2" t="s">
        <v>13480</v>
      </c>
      <c r="M2336" s="2" t="s">
        <v>304</v>
      </c>
      <c r="N2336" s="2" t="s">
        <v>38</v>
      </c>
      <c r="O2336" s="2" t="s">
        <v>8220</v>
      </c>
      <c r="P2336" s="2" t="s">
        <v>10870</v>
      </c>
      <c r="Q2336" s="2" t="s">
        <v>14299</v>
      </c>
      <c r="R2336" s="2" t="s">
        <v>40</v>
      </c>
      <c r="S2336" s="2" t="s">
        <v>14300</v>
      </c>
      <c r="T2336" s="2" t="s">
        <v>13483</v>
      </c>
      <c r="U2336" s="2" t="s">
        <v>14301</v>
      </c>
      <c r="V2336" s="2" t="s">
        <v>14302</v>
      </c>
      <c r="W2336" s="1"/>
      <c r="X2336" s="2" t="s">
        <v>7694</v>
      </c>
      <c r="Y2336" s="2" t="s">
        <v>14265</v>
      </c>
      <c r="AA2336" t="str">
        <f t="shared" si="216"/>
        <v>2025-10</v>
      </c>
      <c r="AB2336" t="str">
        <f t="shared" si="217"/>
        <v/>
      </c>
      <c r="AC2336">
        <f t="shared" si="218"/>
        <v>23664090.239999998</v>
      </c>
      <c r="AD2336">
        <f t="shared" si="219"/>
        <v>1920</v>
      </c>
      <c r="AE2336">
        <f t="shared" si="220"/>
        <v>8023770.2400000002</v>
      </c>
      <c r="AF2336" t="str">
        <f t="shared" si="221"/>
        <v>Paid</v>
      </c>
    </row>
    <row r="2337" spans="1:32" ht="17.25" thickBot="1" x14ac:dyDescent="0.35">
      <c r="A2337" s="2" t="s">
        <v>14303</v>
      </c>
      <c r="B2337" s="2" t="s">
        <v>27</v>
      </c>
      <c r="C2337" s="2" t="s">
        <v>28</v>
      </c>
      <c r="D2337" s="2" t="s">
        <v>97</v>
      </c>
      <c r="E2337" s="2" t="s">
        <v>14259</v>
      </c>
      <c r="F2337" s="2" t="s">
        <v>8445</v>
      </c>
      <c r="G2337" s="2" t="s">
        <v>32</v>
      </c>
      <c r="H2337" s="1"/>
      <c r="I2337" s="2" t="s">
        <v>33</v>
      </c>
      <c r="J2337" s="2" t="s">
        <v>34</v>
      </c>
      <c r="K2337" s="2" t="s">
        <v>341</v>
      </c>
      <c r="L2337" s="2" t="s">
        <v>342</v>
      </c>
      <c r="M2337" s="2" t="s">
        <v>304</v>
      </c>
      <c r="N2337" s="2" t="s">
        <v>38</v>
      </c>
      <c r="O2337" s="2" t="s">
        <v>3271</v>
      </c>
      <c r="P2337" s="2" t="s">
        <v>528</v>
      </c>
      <c r="Q2337" s="2" t="s">
        <v>14304</v>
      </c>
      <c r="R2337" s="2" t="s">
        <v>40</v>
      </c>
      <c r="S2337" s="2" t="s">
        <v>14305</v>
      </c>
      <c r="T2337" s="2" t="s">
        <v>2111</v>
      </c>
      <c r="U2337" s="2" t="s">
        <v>14306</v>
      </c>
      <c r="V2337" s="2" t="s">
        <v>14307</v>
      </c>
      <c r="W2337" s="1"/>
      <c r="X2337" s="2" t="s">
        <v>8970</v>
      </c>
      <c r="Y2337" s="2" t="s">
        <v>14265</v>
      </c>
      <c r="AA2337" t="str">
        <f t="shared" si="216"/>
        <v>2025-10</v>
      </c>
      <c r="AB2337" t="str">
        <f t="shared" si="217"/>
        <v/>
      </c>
      <c r="AC2337">
        <f t="shared" si="218"/>
        <v>10121006.48</v>
      </c>
      <c r="AD2337">
        <f t="shared" si="219"/>
        <v>920</v>
      </c>
      <c r="AE2337">
        <f t="shared" si="220"/>
        <v>921006.48</v>
      </c>
      <c r="AF2337" t="str">
        <f t="shared" si="221"/>
        <v>Paid</v>
      </c>
    </row>
    <row r="2338" spans="1:32" ht="27.75" thickBot="1" x14ac:dyDescent="0.35">
      <c r="A2338" s="2" t="s">
        <v>14308</v>
      </c>
      <c r="B2338" s="2" t="s">
        <v>27</v>
      </c>
      <c r="C2338" s="2" t="s">
        <v>28</v>
      </c>
      <c r="D2338" s="2" t="s">
        <v>97</v>
      </c>
      <c r="E2338" s="2" t="s">
        <v>14259</v>
      </c>
      <c r="F2338" s="2" t="s">
        <v>8445</v>
      </c>
      <c r="G2338" s="2" t="s">
        <v>32</v>
      </c>
      <c r="H2338" s="1"/>
      <c r="I2338" s="2" t="s">
        <v>33</v>
      </c>
      <c r="J2338" s="2" t="s">
        <v>34</v>
      </c>
      <c r="K2338" s="2" t="s">
        <v>352</v>
      </c>
      <c r="L2338" s="2" t="s">
        <v>353</v>
      </c>
      <c r="M2338" s="2" t="s">
        <v>304</v>
      </c>
      <c r="N2338" s="2" t="s">
        <v>38</v>
      </c>
      <c r="O2338" s="2" t="s">
        <v>1951</v>
      </c>
      <c r="P2338" s="2" t="s">
        <v>6297</v>
      </c>
      <c r="Q2338" s="2" t="s">
        <v>14309</v>
      </c>
      <c r="R2338" s="2" t="s">
        <v>40</v>
      </c>
      <c r="S2338" s="2" t="s">
        <v>14310</v>
      </c>
      <c r="T2338" s="2" t="s">
        <v>107</v>
      </c>
      <c r="U2338" s="2" t="s">
        <v>1662</v>
      </c>
      <c r="V2338" s="2" t="s">
        <v>14311</v>
      </c>
      <c r="W2338" s="1"/>
      <c r="X2338" s="2" t="s">
        <v>6735</v>
      </c>
      <c r="Y2338" s="2" t="s">
        <v>14265</v>
      </c>
      <c r="AA2338" t="str">
        <f t="shared" si="216"/>
        <v>2025-10</v>
      </c>
      <c r="AB2338" t="str">
        <f t="shared" si="217"/>
        <v/>
      </c>
      <c r="AC2338">
        <f t="shared" si="218"/>
        <v>3693419.4</v>
      </c>
      <c r="AD2338">
        <f t="shared" si="219"/>
        <v>600</v>
      </c>
      <c r="AE2338">
        <f t="shared" si="220"/>
        <v>333419.40000000002</v>
      </c>
      <c r="AF2338" t="str">
        <f t="shared" si="221"/>
        <v>Paid</v>
      </c>
    </row>
    <row r="2339" spans="1:32" ht="27.75" thickBot="1" x14ac:dyDescent="0.35">
      <c r="A2339" s="2" t="s">
        <v>14312</v>
      </c>
      <c r="B2339" s="2" t="s">
        <v>27</v>
      </c>
      <c r="C2339" s="2" t="s">
        <v>28</v>
      </c>
      <c r="D2339" s="2" t="s">
        <v>97</v>
      </c>
      <c r="E2339" s="2" t="s">
        <v>14259</v>
      </c>
      <c r="F2339" s="2" t="s">
        <v>8445</v>
      </c>
      <c r="G2339" s="2" t="s">
        <v>32</v>
      </c>
      <c r="H2339" s="1"/>
      <c r="I2339" s="2" t="s">
        <v>33</v>
      </c>
      <c r="J2339" s="2" t="s">
        <v>34</v>
      </c>
      <c r="K2339" s="2" t="s">
        <v>360</v>
      </c>
      <c r="L2339" s="2" t="s">
        <v>361</v>
      </c>
      <c r="M2339" s="2" t="s">
        <v>304</v>
      </c>
      <c r="N2339" s="2" t="s">
        <v>38</v>
      </c>
      <c r="O2339" s="2" t="s">
        <v>877</v>
      </c>
      <c r="P2339" s="2" t="s">
        <v>6297</v>
      </c>
      <c r="Q2339" s="2" t="s">
        <v>14313</v>
      </c>
      <c r="R2339" s="2" t="s">
        <v>40</v>
      </c>
      <c r="S2339" s="2" t="s">
        <v>14314</v>
      </c>
      <c r="T2339" s="2" t="s">
        <v>107</v>
      </c>
      <c r="U2339" s="2" t="s">
        <v>14315</v>
      </c>
      <c r="V2339" s="2" t="s">
        <v>14316</v>
      </c>
      <c r="W2339" s="1"/>
      <c r="X2339" s="2" t="s">
        <v>6735</v>
      </c>
      <c r="Y2339" s="2" t="s">
        <v>14265</v>
      </c>
      <c r="AA2339" t="str">
        <f t="shared" si="216"/>
        <v>2025-10</v>
      </c>
      <c r="AB2339" t="str">
        <f t="shared" si="217"/>
        <v/>
      </c>
      <c r="AC2339">
        <f t="shared" si="218"/>
        <v>615569.9</v>
      </c>
      <c r="AD2339">
        <f t="shared" si="219"/>
        <v>100</v>
      </c>
      <c r="AE2339">
        <f t="shared" si="220"/>
        <v>55569.9</v>
      </c>
      <c r="AF2339" t="str">
        <f t="shared" si="221"/>
        <v>Paid</v>
      </c>
    </row>
    <row r="2340" spans="1:32" ht="17.25" thickBot="1" x14ac:dyDescent="0.35">
      <c r="A2340" s="2" t="s">
        <v>14317</v>
      </c>
      <c r="B2340" s="2" t="s">
        <v>27</v>
      </c>
      <c r="C2340" s="2" t="s">
        <v>28</v>
      </c>
      <c r="D2340" s="2" t="s">
        <v>97</v>
      </c>
      <c r="E2340" s="2" t="s">
        <v>14259</v>
      </c>
      <c r="F2340" s="2" t="s">
        <v>8445</v>
      </c>
      <c r="G2340" s="2" t="s">
        <v>32</v>
      </c>
      <c r="H2340" s="1"/>
      <c r="I2340" s="2" t="s">
        <v>33</v>
      </c>
      <c r="J2340" s="2" t="s">
        <v>34</v>
      </c>
      <c r="K2340" s="2" t="s">
        <v>368</v>
      </c>
      <c r="L2340" s="2" t="s">
        <v>369</v>
      </c>
      <c r="M2340" s="2" t="s">
        <v>304</v>
      </c>
      <c r="N2340" s="2" t="s">
        <v>38</v>
      </c>
      <c r="O2340" s="2" t="s">
        <v>877</v>
      </c>
      <c r="P2340" s="2" t="s">
        <v>14273</v>
      </c>
      <c r="Q2340" s="2" t="s">
        <v>14318</v>
      </c>
      <c r="R2340" s="2" t="s">
        <v>40</v>
      </c>
      <c r="S2340" s="2" t="s">
        <v>14319</v>
      </c>
      <c r="T2340" s="2" t="s">
        <v>10362</v>
      </c>
      <c r="U2340" s="2" t="s">
        <v>3706</v>
      </c>
      <c r="V2340" s="2" t="s">
        <v>14320</v>
      </c>
      <c r="W2340" s="1"/>
      <c r="X2340" s="2" t="s">
        <v>8970</v>
      </c>
      <c r="Y2340" s="2" t="s">
        <v>14265</v>
      </c>
      <c r="AA2340" t="str">
        <f t="shared" si="216"/>
        <v>2025-10</v>
      </c>
      <c r="AB2340" t="str">
        <f t="shared" si="217"/>
        <v/>
      </c>
      <c r="AC2340">
        <f t="shared" si="218"/>
        <v>1056432.6000000001</v>
      </c>
      <c r="AD2340">
        <f t="shared" si="219"/>
        <v>100</v>
      </c>
      <c r="AE2340">
        <f t="shared" si="220"/>
        <v>96432.6</v>
      </c>
      <c r="AF2340" t="str">
        <f t="shared" si="221"/>
        <v>Paid</v>
      </c>
    </row>
    <row r="2341" spans="1:32" ht="27.75" thickBot="1" x14ac:dyDescent="0.35">
      <c r="A2341" s="2" t="s">
        <v>14321</v>
      </c>
      <c r="B2341" s="2" t="s">
        <v>27</v>
      </c>
      <c r="C2341" s="2" t="s">
        <v>28</v>
      </c>
      <c r="D2341" s="2" t="s">
        <v>97</v>
      </c>
      <c r="E2341" s="2" t="s">
        <v>14259</v>
      </c>
      <c r="F2341" s="2" t="s">
        <v>8445</v>
      </c>
      <c r="G2341" s="2" t="s">
        <v>32</v>
      </c>
      <c r="H2341" s="1"/>
      <c r="I2341" s="2" t="s">
        <v>33</v>
      </c>
      <c r="J2341" s="2" t="s">
        <v>34</v>
      </c>
      <c r="K2341" s="2" t="s">
        <v>12342</v>
      </c>
      <c r="L2341" s="2" t="s">
        <v>12343</v>
      </c>
      <c r="M2341" s="2" t="s">
        <v>304</v>
      </c>
      <c r="N2341" s="2" t="s">
        <v>38</v>
      </c>
      <c r="O2341" s="2" t="s">
        <v>177</v>
      </c>
      <c r="P2341" s="2" t="s">
        <v>104</v>
      </c>
      <c r="Q2341" s="2" t="s">
        <v>12815</v>
      </c>
      <c r="R2341" s="2" t="s">
        <v>40</v>
      </c>
      <c r="S2341" s="2" t="s">
        <v>14322</v>
      </c>
      <c r="T2341" s="2" t="s">
        <v>10437</v>
      </c>
      <c r="U2341" s="2" t="s">
        <v>3111</v>
      </c>
      <c r="V2341" s="2" t="s">
        <v>14323</v>
      </c>
      <c r="W2341" s="2" t="s">
        <v>41</v>
      </c>
      <c r="X2341" s="2" t="s">
        <v>14324</v>
      </c>
      <c r="Y2341" s="2" t="s">
        <v>14265</v>
      </c>
      <c r="AA2341" t="str">
        <f t="shared" si="216"/>
        <v>2025-10</v>
      </c>
      <c r="AB2341" t="str">
        <f t="shared" si="217"/>
        <v/>
      </c>
      <c r="AC2341">
        <f t="shared" si="218"/>
        <v>5459.6</v>
      </c>
      <c r="AD2341">
        <f t="shared" si="219"/>
        <v>400</v>
      </c>
      <c r="AE2341">
        <f t="shared" si="220"/>
        <v>-634540.4</v>
      </c>
      <c r="AF2341" t="str">
        <f t="shared" si="221"/>
        <v>Sample</v>
      </c>
    </row>
    <row r="2342" spans="1:32" ht="17.25" thickBot="1" x14ac:dyDescent="0.35">
      <c r="A2342" s="2" t="s">
        <v>14325</v>
      </c>
      <c r="B2342" s="2" t="s">
        <v>27</v>
      </c>
      <c r="C2342" s="2" t="s">
        <v>28</v>
      </c>
      <c r="D2342" s="2" t="s">
        <v>97</v>
      </c>
      <c r="E2342" s="2" t="s">
        <v>14259</v>
      </c>
      <c r="F2342" s="2" t="s">
        <v>8445</v>
      </c>
      <c r="G2342" s="2" t="s">
        <v>32</v>
      </c>
      <c r="H2342" s="1"/>
      <c r="I2342" s="2" t="s">
        <v>33</v>
      </c>
      <c r="J2342" s="2" t="s">
        <v>34</v>
      </c>
      <c r="K2342" s="2" t="s">
        <v>10413</v>
      </c>
      <c r="L2342" s="2" t="s">
        <v>10414</v>
      </c>
      <c r="M2342" s="2" t="s">
        <v>304</v>
      </c>
      <c r="N2342" s="2" t="s">
        <v>38</v>
      </c>
      <c r="O2342" s="2" t="s">
        <v>2014</v>
      </c>
      <c r="P2342" s="2" t="s">
        <v>104</v>
      </c>
      <c r="Q2342" s="2" t="s">
        <v>13207</v>
      </c>
      <c r="R2342" s="2" t="s">
        <v>40</v>
      </c>
      <c r="S2342" s="2" t="s">
        <v>14326</v>
      </c>
      <c r="T2342" s="2" t="s">
        <v>10437</v>
      </c>
      <c r="U2342" s="2" t="s">
        <v>13502</v>
      </c>
      <c r="V2342" s="2" t="s">
        <v>14327</v>
      </c>
      <c r="W2342" s="2" t="s">
        <v>41</v>
      </c>
      <c r="X2342" s="2" t="s">
        <v>14324</v>
      </c>
      <c r="Y2342" s="2" t="s">
        <v>14265</v>
      </c>
      <c r="AA2342" t="str">
        <f t="shared" si="216"/>
        <v>2025-10</v>
      </c>
      <c r="AB2342" t="str">
        <f t="shared" si="217"/>
        <v/>
      </c>
      <c r="AC2342">
        <f t="shared" si="218"/>
        <v>13103.04</v>
      </c>
      <c r="AD2342">
        <f t="shared" si="219"/>
        <v>960</v>
      </c>
      <c r="AE2342">
        <f t="shared" si="220"/>
        <v>-1522896.96</v>
      </c>
      <c r="AF2342" t="str">
        <f t="shared" si="221"/>
        <v>Sample</v>
      </c>
    </row>
    <row r="2343" spans="1:32" ht="27.75" thickBot="1" x14ac:dyDescent="0.35">
      <c r="A2343" s="2" t="s">
        <v>14328</v>
      </c>
      <c r="B2343" s="2" t="s">
        <v>27</v>
      </c>
      <c r="C2343" s="2" t="s">
        <v>28</v>
      </c>
      <c r="D2343" s="2" t="s">
        <v>97</v>
      </c>
      <c r="E2343" s="2" t="s">
        <v>14259</v>
      </c>
      <c r="F2343" s="2" t="s">
        <v>8445</v>
      </c>
      <c r="G2343" s="2" t="s">
        <v>32</v>
      </c>
      <c r="H2343" s="1"/>
      <c r="I2343" s="2" t="s">
        <v>33</v>
      </c>
      <c r="J2343" s="2" t="s">
        <v>34</v>
      </c>
      <c r="K2343" s="2" t="s">
        <v>5987</v>
      </c>
      <c r="L2343" s="2" t="s">
        <v>5988</v>
      </c>
      <c r="M2343" s="2" t="s">
        <v>304</v>
      </c>
      <c r="N2343" s="2" t="s">
        <v>38</v>
      </c>
      <c r="O2343" s="2" t="s">
        <v>177</v>
      </c>
      <c r="P2343" s="2" t="s">
        <v>104</v>
      </c>
      <c r="Q2343" s="2" t="s">
        <v>12815</v>
      </c>
      <c r="R2343" s="2" t="s">
        <v>40</v>
      </c>
      <c r="S2343" s="2" t="s">
        <v>14322</v>
      </c>
      <c r="T2343" s="2" t="s">
        <v>3023</v>
      </c>
      <c r="U2343" s="2" t="s">
        <v>3286</v>
      </c>
      <c r="V2343" s="2" t="s">
        <v>14329</v>
      </c>
      <c r="W2343" s="2" t="s">
        <v>41</v>
      </c>
      <c r="X2343" s="2" t="s">
        <v>14330</v>
      </c>
      <c r="Y2343" s="2" t="s">
        <v>14265</v>
      </c>
      <c r="AA2343" t="str">
        <f t="shared" si="216"/>
        <v>2025-10</v>
      </c>
      <c r="AB2343" t="str">
        <f t="shared" si="217"/>
        <v/>
      </c>
      <c r="AC2343">
        <f t="shared" si="218"/>
        <v>5459.6</v>
      </c>
      <c r="AD2343">
        <f t="shared" si="219"/>
        <v>400</v>
      </c>
      <c r="AE2343">
        <f t="shared" si="220"/>
        <v>-794540.4</v>
      </c>
      <c r="AF2343" t="str">
        <f t="shared" si="221"/>
        <v>Sample</v>
      </c>
    </row>
    <row r="2344" spans="1:32" ht="27.75" thickBot="1" x14ac:dyDescent="0.35">
      <c r="A2344" s="2" t="s">
        <v>14331</v>
      </c>
      <c r="B2344" s="2" t="s">
        <v>27</v>
      </c>
      <c r="C2344" s="2" t="s">
        <v>28</v>
      </c>
      <c r="D2344" s="2" t="s">
        <v>97</v>
      </c>
      <c r="E2344" s="2" t="s">
        <v>14259</v>
      </c>
      <c r="F2344" s="2" t="s">
        <v>8445</v>
      </c>
      <c r="G2344" s="2" t="s">
        <v>32</v>
      </c>
      <c r="H2344" s="1"/>
      <c r="I2344" s="2" t="s">
        <v>33</v>
      </c>
      <c r="J2344" s="2" t="s">
        <v>34</v>
      </c>
      <c r="K2344" s="2" t="s">
        <v>5987</v>
      </c>
      <c r="L2344" s="2" t="s">
        <v>5988</v>
      </c>
      <c r="M2344" s="2" t="s">
        <v>304</v>
      </c>
      <c r="N2344" s="2" t="s">
        <v>38</v>
      </c>
      <c r="O2344" s="2" t="s">
        <v>177</v>
      </c>
      <c r="P2344" s="2" t="s">
        <v>14279</v>
      </c>
      <c r="Q2344" s="2" t="s">
        <v>14332</v>
      </c>
      <c r="R2344" s="2" t="s">
        <v>40</v>
      </c>
      <c r="S2344" s="2" t="s">
        <v>14333</v>
      </c>
      <c r="T2344" s="2" t="s">
        <v>3023</v>
      </c>
      <c r="U2344" s="2" t="s">
        <v>3286</v>
      </c>
      <c r="V2344" s="2" t="s">
        <v>14334</v>
      </c>
      <c r="W2344" s="1"/>
      <c r="X2344" s="2" t="s">
        <v>6735</v>
      </c>
      <c r="Y2344" s="2" t="s">
        <v>14265</v>
      </c>
      <c r="AA2344" t="str">
        <f t="shared" si="216"/>
        <v>2025-10</v>
      </c>
      <c r="AB2344" t="str">
        <f t="shared" si="217"/>
        <v/>
      </c>
      <c r="AC2344">
        <f t="shared" si="218"/>
        <v>878995.6</v>
      </c>
      <c r="AD2344">
        <f t="shared" si="219"/>
        <v>400</v>
      </c>
      <c r="AE2344">
        <f t="shared" si="220"/>
        <v>78995.600000000006</v>
      </c>
      <c r="AF2344" t="str">
        <f t="shared" si="221"/>
        <v>Paid</v>
      </c>
    </row>
    <row r="2345" spans="1:32" ht="17.25" thickBot="1" x14ac:dyDescent="0.35">
      <c r="A2345" s="2" t="s">
        <v>14335</v>
      </c>
      <c r="B2345" s="2" t="s">
        <v>27</v>
      </c>
      <c r="C2345" s="2" t="s">
        <v>28</v>
      </c>
      <c r="D2345" s="2" t="s">
        <v>97</v>
      </c>
      <c r="E2345" s="2" t="s">
        <v>14259</v>
      </c>
      <c r="F2345" s="2" t="s">
        <v>8445</v>
      </c>
      <c r="G2345" s="2" t="s">
        <v>32</v>
      </c>
      <c r="H2345" s="1"/>
      <c r="I2345" s="2" t="s">
        <v>33</v>
      </c>
      <c r="J2345" s="2" t="s">
        <v>34</v>
      </c>
      <c r="K2345" s="2" t="s">
        <v>10428</v>
      </c>
      <c r="L2345" s="2" t="s">
        <v>10429</v>
      </c>
      <c r="M2345" s="2" t="s">
        <v>304</v>
      </c>
      <c r="N2345" s="2" t="s">
        <v>38</v>
      </c>
      <c r="O2345" s="2" t="s">
        <v>3998</v>
      </c>
      <c r="P2345" s="2" t="s">
        <v>2230</v>
      </c>
      <c r="Q2345" s="2" t="s">
        <v>14336</v>
      </c>
      <c r="R2345" s="2" t="s">
        <v>40</v>
      </c>
      <c r="S2345" s="2" t="s">
        <v>14337</v>
      </c>
      <c r="T2345" s="2" t="s">
        <v>2101</v>
      </c>
      <c r="U2345" s="2" t="s">
        <v>5003</v>
      </c>
      <c r="V2345" s="2" t="s">
        <v>14338</v>
      </c>
      <c r="W2345" s="1"/>
      <c r="X2345" s="2" t="s">
        <v>6735</v>
      </c>
      <c r="Y2345" s="2" t="s">
        <v>14265</v>
      </c>
      <c r="AA2345" t="str">
        <f t="shared" si="216"/>
        <v>2025-10</v>
      </c>
      <c r="AB2345" t="str">
        <f t="shared" si="217"/>
        <v/>
      </c>
      <c r="AC2345">
        <f t="shared" si="218"/>
        <v>4116538.4</v>
      </c>
      <c r="AD2345">
        <f t="shared" si="219"/>
        <v>520</v>
      </c>
      <c r="AE2345">
        <f t="shared" si="220"/>
        <v>372538.4</v>
      </c>
      <c r="AF2345" t="str">
        <f t="shared" si="221"/>
        <v>Paid</v>
      </c>
    </row>
    <row r="2346" spans="1:32" ht="27.75" thickBot="1" x14ac:dyDescent="0.35">
      <c r="A2346" s="2" t="s">
        <v>14339</v>
      </c>
      <c r="B2346" s="2" t="s">
        <v>27</v>
      </c>
      <c r="C2346" s="2" t="s">
        <v>28</v>
      </c>
      <c r="D2346" s="2" t="s">
        <v>97</v>
      </c>
      <c r="E2346" s="2" t="s">
        <v>14259</v>
      </c>
      <c r="F2346" s="2" t="s">
        <v>8445</v>
      </c>
      <c r="G2346" s="2" t="s">
        <v>32</v>
      </c>
      <c r="H2346" s="1"/>
      <c r="I2346" s="2" t="s">
        <v>33</v>
      </c>
      <c r="J2346" s="2" t="s">
        <v>34</v>
      </c>
      <c r="K2346" s="2" t="s">
        <v>379</v>
      </c>
      <c r="L2346" s="2" t="s">
        <v>380</v>
      </c>
      <c r="M2346" s="2" t="s">
        <v>304</v>
      </c>
      <c r="N2346" s="2" t="s">
        <v>38</v>
      </c>
      <c r="O2346" s="2" t="s">
        <v>167</v>
      </c>
      <c r="P2346" s="2" t="s">
        <v>14340</v>
      </c>
      <c r="Q2346" s="2" t="s">
        <v>14341</v>
      </c>
      <c r="R2346" s="2" t="s">
        <v>40</v>
      </c>
      <c r="S2346" s="2" t="s">
        <v>14342</v>
      </c>
      <c r="T2346" s="2" t="s">
        <v>10437</v>
      </c>
      <c r="U2346" s="2" t="s">
        <v>188</v>
      </c>
      <c r="V2346" s="2" t="s">
        <v>14343</v>
      </c>
      <c r="W2346" s="1"/>
      <c r="X2346" s="2" t="s">
        <v>8970</v>
      </c>
      <c r="Y2346" s="2" t="s">
        <v>14265</v>
      </c>
      <c r="AA2346" t="str">
        <f t="shared" si="216"/>
        <v>2025-10</v>
      </c>
      <c r="AB2346" t="str">
        <f t="shared" si="217"/>
        <v/>
      </c>
      <c r="AC2346">
        <f t="shared" si="218"/>
        <v>1408576.8</v>
      </c>
      <c r="AD2346">
        <f t="shared" si="219"/>
        <v>800</v>
      </c>
      <c r="AE2346">
        <f t="shared" si="220"/>
        <v>128576.8</v>
      </c>
      <c r="AF2346" t="str">
        <f t="shared" si="221"/>
        <v>Paid</v>
      </c>
    </row>
    <row r="2347" spans="1:32" ht="27.75" thickBot="1" x14ac:dyDescent="0.35">
      <c r="A2347" s="2" t="s">
        <v>14344</v>
      </c>
      <c r="B2347" s="2" t="s">
        <v>27</v>
      </c>
      <c r="C2347" s="2" t="s">
        <v>28</v>
      </c>
      <c r="D2347" s="2" t="s">
        <v>97</v>
      </c>
      <c r="E2347" s="2" t="s">
        <v>14259</v>
      </c>
      <c r="F2347" s="2" t="s">
        <v>8445</v>
      </c>
      <c r="G2347" s="2" t="s">
        <v>32</v>
      </c>
      <c r="H2347" s="1"/>
      <c r="I2347" s="2" t="s">
        <v>33</v>
      </c>
      <c r="J2347" s="2" t="s">
        <v>34</v>
      </c>
      <c r="K2347" s="2" t="s">
        <v>7430</v>
      </c>
      <c r="L2347" s="2" t="s">
        <v>7431</v>
      </c>
      <c r="M2347" s="2" t="s">
        <v>304</v>
      </c>
      <c r="N2347" s="2" t="s">
        <v>38</v>
      </c>
      <c r="O2347" s="2" t="s">
        <v>877</v>
      </c>
      <c r="P2347" s="2" t="s">
        <v>14273</v>
      </c>
      <c r="Q2347" s="2" t="s">
        <v>14318</v>
      </c>
      <c r="R2347" s="2" t="s">
        <v>40</v>
      </c>
      <c r="S2347" s="2" t="s">
        <v>14319</v>
      </c>
      <c r="T2347" s="2" t="s">
        <v>10362</v>
      </c>
      <c r="U2347" s="2" t="s">
        <v>3706</v>
      </c>
      <c r="V2347" s="2" t="s">
        <v>14320</v>
      </c>
      <c r="W2347" s="1"/>
      <c r="X2347" s="2" t="s">
        <v>8970</v>
      </c>
      <c r="Y2347" s="2" t="s">
        <v>14265</v>
      </c>
      <c r="AA2347" t="str">
        <f t="shared" si="216"/>
        <v>2025-10</v>
      </c>
      <c r="AB2347" t="str">
        <f t="shared" si="217"/>
        <v/>
      </c>
      <c r="AC2347">
        <f t="shared" si="218"/>
        <v>1056432.6000000001</v>
      </c>
      <c r="AD2347">
        <f t="shared" si="219"/>
        <v>100</v>
      </c>
      <c r="AE2347">
        <f t="shared" si="220"/>
        <v>96432.6</v>
      </c>
      <c r="AF2347" t="str">
        <f t="shared" si="221"/>
        <v>Paid</v>
      </c>
    </row>
    <row r="2348" spans="1:32" ht="27.75" thickBot="1" x14ac:dyDescent="0.35">
      <c r="A2348" s="2" t="s">
        <v>14345</v>
      </c>
      <c r="B2348" s="2" t="s">
        <v>27</v>
      </c>
      <c r="C2348" s="2" t="s">
        <v>28</v>
      </c>
      <c r="D2348" s="2" t="s">
        <v>97</v>
      </c>
      <c r="E2348" s="2" t="s">
        <v>14259</v>
      </c>
      <c r="F2348" s="2" t="s">
        <v>8445</v>
      </c>
      <c r="G2348" s="2" t="s">
        <v>32</v>
      </c>
      <c r="H2348" s="1"/>
      <c r="I2348" s="2" t="s">
        <v>33</v>
      </c>
      <c r="J2348" s="2" t="s">
        <v>34</v>
      </c>
      <c r="K2348" s="2" t="s">
        <v>4756</v>
      </c>
      <c r="L2348" s="2" t="s">
        <v>4757</v>
      </c>
      <c r="M2348" s="2" t="s">
        <v>304</v>
      </c>
      <c r="N2348" s="2" t="s">
        <v>38</v>
      </c>
      <c r="O2348" s="2" t="s">
        <v>1644</v>
      </c>
      <c r="P2348" s="2" t="s">
        <v>14340</v>
      </c>
      <c r="Q2348" s="2" t="s">
        <v>14346</v>
      </c>
      <c r="R2348" s="2" t="s">
        <v>40</v>
      </c>
      <c r="S2348" s="2" t="s">
        <v>14347</v>
      </c>
      <c r="T2348" s="2" t="s">
        <v>10437</v>
      </c>
      <c r="U2348" s="2" t="s">
        <v>4725</v>
      </c>
      <c r="V2348" s="2" t="s">
        <v>14348</v>
      </c>
      <c r="W2348" s="1"/>
      <c r="X2348" s="2" t="s">
        <v>8970</v>
      </c>
      <c r="Y2348" s="2" t="s">
        <v>14265</v>
      </c>
      <c r="AA2348" t="str">
        <f t="shared" si="216"/>
        <v>2025-10</v>
      </c>
      <c r="AB2348" t="str">
        <f t="shared" si="217"/>
        <v/>
      </c>
      <c r="AC2348">
        <f t="shared" si="218"/>
        <v>2112865.2000000002</v>
      </c>
      <c r="AD2348">
        <f t="shared" si="219"/>
        <v>1200</v>
      </c>
      <c r="AE2348">
        <f t="shared" si="220"/>
        <v>192865.2</v>
      </c>
      <c r="AF2348" t="str">
        <f t="shared" si="221"/>
        <v>Paid</v>
      </c>
    </row>
    <row r="2349" spans="1:32" ht="27.75" thickBot="1" x14ac:dyDescent="0.35">
      <c r="A2349" s="2" t="s">
        <v>14349</v>
      </c>
      <c r="B2349" s="2" t="s">
        <v>27</v>
      </c>
      <c r="C2349" s="2" t="s">
        <v>28</v>
      </c>
      <c r="D2349" s="2" t="s">
        <v>97</v>
      </c>
      <c r="E2349" s="2" t="s">
        <v>14259</v>
      </c>
      <c r="F2349" s="2" t="s">
        <v>8445</v>
      </c>
      <c r="G2349" s="2" t="s">
        <v>32</v>
      </c>
      <c r="H2349" s="1"/>
      <c r="I2349" s="2" t="s">
        <v>33</v>
      </c>
      <c r="J2349" s="2" t="s">
        <v>34</v>
      </c>
      <c r="K2349" s="2" t="s">
        <v>4756</v>
      </c>
      <c r="L2349" s="2" t="s">
        <v>4757</v>
      </c>
      <c r="M2349" s="2" t="s">
        <v>304</v>
      </c>
      <c r="N2349" s="2" t="s">
        <v>38</v>
      </c>
      <c r="O2349" s="2" t="s">
        <v>177</v>
      </c>
      <c r="P2349" s="2" t="s">
        <v>104</v>
      </c>
      <c r="Q2349" s="2" t="s">
        <v>12815</v>
      </c>
      <c r="R2349" s="2" t="s">
        <v>40</v>
      </c>
      <c r="S2349" s="2" t="s">
        <v>14322</v>
      </c>
      <c r="T2349" s="2" t="s">
        <v>10437</v>
      </c>
      <c r="U2349" s="2" t="s">
        <v>3111</v>
      </c>
      <c r="V2349" s="2" t="s">
        <v>14323</v>
      </c>
      <c r="W2349" s="2" t="s">
        <v>41</v>
      </c>
      <c r="X2349" s="2" t="s">
        <v>14324</v>
      </c>
      <c r="Y2349" s="2" t="s">
        <v>14265</v>
      </c>
      <c r="AA2349" t="str">
        <f t="shared" si="216"/>
        <v>2025-10</v>
      </c>
      <c r="AB2349" t="str">
        <f t="shared" si="217"/>
        <v/>
      </c>
      <c r="AC2349">
        <f t="shared" si="218"/>
        <v>5459.6</v>
      </c>
      <c r="AD2349">
        <f t="shared" si="219"/>
        <v>400</v>
      </c>
      <c r="AE2349">
        <f t="shared" si="220"/>
        <v>-634540.4</v>
      </c>
      <c r="AF2349" t="str">
        <f t="shared" si="221"/>
        <v>Sample</v>
      </c>
    </row>
    <row r="2350" spans="1:32" ht="27.75" thickBot="1" x14ac:dyDescent="0.35">
      <c r="A2350" s="2" t="s">
        <v>14350</v>
      </c>
      <c r="B2350" s="2" t="s">
        <v>27</v>
      </c>
      <c r="C2350" s="2" t="s">
        <v>28</v>
      </c>
      <c r="D2350" s="2" t="s">
        <v>97</v>
      </c>
      <c r="E2350" s="2" t="s">
        <v>14259</v>
      </c>
      <c r="F2350" s="2" t="s">
        <v>8445</v>
      </c>
      <c r="G2350" s="2" t="s">
        <v>32</v>
      </c>
      <c r="H2350" s="1"/>
      <c r="I2350" s="2" t="s">
        <v>33</v>
      </c>
      <c r="J2350" s="2" t="s">
        <v>34</v>
      </c>
      <c r="K2350" s="2" t="s">
        <v>10454</v>
      </c>
      <c r="L2350" s="2" t="s">
        <v>10455</v>
      </c>
      <c r="M2350" s="2" t="s">
        <v>304</v>
      </c>
      <c r="N2350" s="2" t="s">
        <v>38</v>
      </c>
      <c r="O2350" s="2" t="s">
        <v>167</v>
      </c>
      <c r="P2350" s="2" t="s">
        <v>14340</v>
      </c>
      <c r="Q2350" s="2" t="s">
        <v>14341</v>
      </c>
      <c r="R2350" s="2" t="s">
        <v>40</v>
      </c>
      <c r="S2350" s="2" t="s">
        <v>14342</v>
      </c>
      <c r="T2350" s="2" t="s">
        <v>10437</v>
      </c>
      <c r="U2350" s="2" t="s">
        <v>188</v>
      </c>
      <c r="V2350" s="2" t="s">
        <v>14343</v>
      </c>
      <c r="W2350" s="1"/>
      <c r="X2350" s="2" t="s">
        <v>8970</v>
      </c>
      <c r="Y2350" s="2" t="s">
        <v>14265</v>
      </c>
      <c r="AA2350" t="str">
        <f t="shared" si="216"/>
        <v>2025-10</v>
      </c>
      <c r="AB2350" t="str">
        <f t="shared" si="217"/>
        <v/>
      </c>
      <c r="AC2350">
        <f t="shared" si="218"/>
        <v>1408576.8</v>
      </c>
      <c r="AD2350">
        <f t="shared" si="219"/>
        <v>800</v>
      </c>
      <c r="AE2350">
        <f t="shared" si="220"/>
        <v>128576.8</v>
      </c>
      <c r="AF2350" t="str">
        <f t="shared" si="221"/>
        <v>Paid</v>
      </c>
    </row>
    <row r="2351" spans="1:32" ht="27.75" thickBot="1" x14ac:dyDescent="0.35">
      <c r="A2351" s="2" t="s">
        <v>14351</v>
      </c>
      <c r="B2351" s="2" t="s">
        <v>27</v>
      </c>
      <c r="C2351" s="2" t="s">
        <v>28</v>
      </c>
      <c r="D2351" s="2" t="s">
        <v>97</v>
      </c>
      <c r="E2351" s="2" t="s">
        <v>14259</v>
      </c>
      <c r="F2351" s="2" t="s">
        <v>8445</v>
      </c>
      <c r="G2351" s="2" t="s">
        <v>32</v>
      </c>
      <c r="H2351" s="1"/>
      <c r="I2351" s="2" t="s">
        <v>33</v>
      </c>
      <c r="J2351" s="2" t="s">
        <v>34</v>
      </c>
      <c r="K2351" s="2" t="s">
        <v>10454</v>
      </c>
      <c r="L2351" s="2" t="s">
        <v>10455</v>
      </c>
      <c r="M2351" s="2" t="s">
        <v>304</v>
      </c>
      <c r="N2351" s="2" t="s">
        <v>38</v>
      </c>
      <c r="O2351" s="2" t="s">
        <v>177</v>
      </c>
      <c r="P2351" s="2" t="s">
        <v>104</v>
      </c>
      <c r="Q2351" s="2" t="s">
        <v>12815</v>
      </c>
      <c r="R2351" s="2" t="s">
        <v>40</v>
      </c>
      <c r="S2351" s="2" t="s">
        <v>14322</v>
      </c>
      <c r="T2351" s="2" t="s">
        <v>10437</v>
      </c>
      <c r="U2351" s="2" t="s">
        <v>3111</v>
      </c>
      <c r="V2351" s="2" t="s">
        <v>14323</v>
      </c>
      <c r="W2351" s="2" t="s">
        <v>41</v>
      </c>
      <c r="X2351" s="2" t="s">
        <v>14324</v>
      </c>
      <c r="Y2351" s="2" t="s">
        <v>14265</v>
      </c>
      <c r="AA2351" t="str">
        <f t="shared" si="216"/>
        <v>2025-10</v>
      </c>
      <c r="AB2351" t="str">
        <f t="shared" si="217"/>
        <v/>
      </c>
      <c r="AC2351">
        <f t="shared" si="218"/>
        <v>5459.6</v>
      </c>
      <c r="AD2351">
        <f t="shared" si="219"/>
        <v>400</v>
      </c>
      <c r="AE2351">
        <f t="shared" si="220"/>
        <v>-634540.4</v>
      </c>
      <c r="AF2351" t="str">
        <f t="shared" si="221"/>
        <v>Sample</v>
      </c>
    </row>
    <row r="2352" spans="1:32" ht="17.25" thickBot="1" x14ac:dyDescent="0.35">
      <c r="A2352" s="2" t="s">
        <v>14352</v>
      </c>
      <c r="B2352" s="2" t="s">
        <v>27</v>
      </c>
      <c r="C2352" s="2" t="s">
        <v>28</v>
      </c>
      <c r="D2352" s="2" t="s">
        <v>97</v>
      </c>
      <c r="E2352" s="2" t="s">
        <v>14259</v>
      </c>
      <c r="F2352" s="2" t="s">
        <v>8445</v>
      </c>
      <c r="G2352" s="2" t="s">
        <v>32</v>
      </c>
      <c r="H2352" s="1"/>
      <c r="I2352" s="2" t="s">
        <v>33</v>
      </c>
      <c r="J2352" s="2" t="s">
        <v>34</v>
      </c>
      <c r="K2352" s="2" t="s">
        <v>4093</v>
      </c>
      <c r="L2352" s="2" t="s">
        <v>4094</v>
      </c>
      <c r="M2352" s="2" t="s">
        <v>304</v>
      </c>
      <c r="N2352" s="2" t="s">
        <v>38</v>
      </c>
      <c r="O2352" s="2" t="s">
        <v>370</v>
      </c>
      <c r="P2352" s="2" t="s">
        <v>104</v>
      </c>
      <c r="Q2352" s="2" t="s">
        <v>8882</v>
      </c>
      <c r="R2352" s="2" t="s">
        <v>40</v>
      </c>
      <c r="S2352" s="2" t="s">
        <v>14353</v>
      </c>
      <c r="T2352" s="2" t="s">
        <v>10437</v>
      </c>
      <c r="U2352" s="2" t="s">
        <v>12078</v>
      </c>
      <c r="V2352" s="2" t="s">
        <v>14354</v>
      </c>
      <c r="W2352" s="2" t="s">
        <v>41</v>
      </c>
      <c r="X2352" s="2" t="s">
        <v>14324</v>
      </c>
      <c r="Y2352" s="2" t="s">
        <v>14265</v>
      </c>
      <c r="AA2352" t="str">
        <f t="shared" si="216"/>
        <v>2025-10</v>
      </c>
      <c r="AB2352" t="str">
        <f t="shared" si="217"/>
        <v/>
      </c>
      <c r="AC2352">
        <f t="shared" si="218"/>
        <v>6551.52</v>
      </c>
      <c r="AD2352">
        <f t="shared" si="219"/>
        <v>480</v>
      </c>
      <c r="AE2352">
        <f t="shared" si="220"/>
        <v>-761448.48</v>
      </c>
      <c r="AF2352" t="str">
        <f t="shared" si="221"/>
        <v>Sample</v>
      </c>
    </row>
    <row r="2353" spans="1:32" ht="17.25" thickBot="1" x14ac:dyDescent="0.35">
      <c r="A2353" s="2" t="s">
        <v>14355</v>
      </c>
      <c r="B2353" s="2" t="s">
        <v>27</v>
      </c>
      <c r="C2353" s="2" t="s">
        <v>28</v>
      </c>
      <c r="D2353" s="2" t="s">
        <v>97</v>
      </c>
      <c r="E2353" s="2" t="s">
        <v>14259</v>
      </c>
      <c r="F2353" s="2" t="s">
        <v>8445</v>
      </c>
      <c r="G2353" s="2" t="s">
        <v>32</v>
      </c>
      <c r="H2353" s="1"/>
      <c r="I2353" s="2" t="s">
        <v>33</v>
      </c>
      <c r="J2353" s="2" t="s">
        <v>34</v>
      </c>
      <c r="K2353" s="2" t="s">
        <v>4093</v>
      </c>
      <c r="L2353" s="2" t="s">
        <v>4094</v>
      </c>
      <c r="M2353" s="2" t="s">
        <v>304</v>
      </c>
      <c r="N2353" s="2" t="s">
        <v>38</v>
      </c>
      <c r="O2353" s="2" t="s">
        <v>1538</v>
      </c>
      <c r="P2353" s="2" t="s">
        <v>14340</v>
      </c>
      <c r="Q2353" s="2" t="s">
        <v>14356</v>
      </c>
      <c r="R2353" s="2" t="s">
        <v>40</v>
      </c>
      <c r="S2353" s="2" t="s">
        <v>14357</v>
      </c>
      <c r="T2353" s="2" t="s">
        <v>10437</v>
      </c>
      <c r="U2353" s="2" t="s">
        <v>12376</v>
      </c>
      <c r="V2353" s="2" t="s">
        <v>14358</v>
      </c>
      <c r="W2353" s="1"/>
      <c r="X2353" s="2" t="s">
        <v>8970</v>
      </c>
      <c r="Y2353" s="2" t="s">
        <v>14265</v>
      </c>
      <c r="AA2353" t="str">
        <f t="shared" si="216"/>
        <v>2025-10</v>
      </c>
      <c r="AB2353" t="str">
        <f t="shared" si="217"/>
        <v/>
      </c>
      <c r="AC2353">
        <f t="shared" si="218"/>
        <v>774717.24</v>
      </c>
      <c r="AD2353">
        <f t="shared" si="219"/>
        <v>440</v>
      </c>
      <c r="AE2353">
        <f t="shared" si="220"/>
        <v>70717.240000000005</v>
      </c>
      <c r="AF2353" t="str">
        <f t="shared" si="221"/>
        <v>Paid</v>
      </c>
    </row>
    <row r="2354" spans="1:32" ht="17.25" thickBot="1" x14ac:dyDescent="0.35">
      <c r="A2354" s="2" t="s">
        <v>14359</v>
      </c>
      <c r="B2354" s="2" t="s">
        <v>27</v>
      </c>
      <c r="C2354" s="2" t="s">
        <v>28</v>
      </c>
      <c r="D2354" s="2" t="s">
        <v>97</v>
      </c>
      <c r="E2354" s="2" t="s">
        <v>14259</v>
      </c>
      <c r="F2354" s="2" t="s">
        <v>8445</v>
      </c>
      <c r="G2354" s="2" t="s">
        <v>32</v>
      </c>
      <c r="H2354" s="1"/>
      <c r="I2354" s="2" t="s">
        <v>33</v>
      </c>
      <c r="J2354" s="2" t="s">
        <v>34</v>
      </c>
      <c r="K2354" s="2" t="s">
        <v>10460</v>
      </c>
      <c r="L2354" s="2" t="s">
        <v>10461</v>
      </c>
      <c r="M2354" s="2" t="s">
        <v>304</v>
      </c>
      <c r="N2354" s="2" t="s">
        <v>38</v>
      </c>
      <c r="O2354" s="2" t="s">
        <v>14360</v>
      </c>
      <c r="P2354" s="2" t="s">
        <v>14273</v>
      </c>
      <c r="Q2354" s="2" t="s">
        <v>14361</v>
      </c>
      <c r="R2354" s="2" t="s">
        <v>40</v>
      </c>
      <c r="S2354" s="2" t="s">
        <v>14362</v>
      </c>
      <c r="T2354" s="2" t="s">
        <v>10362</v>
      </c>
      <c r="U2354" s="2" t="s">
        <v>14363</v>
      </c>
      <c r="V2354" s="2" t="s">
        <v>14364</v>
      </c>
      <c r="W2354" s="1"/>
      <c r="X2354" s="2" t="s">
        <v>8970</v>
      </c>
      <c r="Y2354" s="2" t="s">
        <v>14265</v>
      </c>
      <c r="AA2354" t="str">
        <f t="shared" si="216"/>
        <v>2025-10</v>
      </c>
      <c r="AB2354" t="str">
        <f t="shared" si="217"/>
        <v/>
      </c>
      <c r="AC2354">
        <f t="shared" si="218"/>
        <v>17198722.73</v>
      </c>
      <c r="AD2354">
        <f t="shared" si="219"/>
        <v>1628</v>
      </c>
      <c r="AE2354">
        <f t="shared" si="220"/>
        <v>1569922.73</v>
      </c>
      <c r="AF2354" t="str">
        <f t="shared" si="221"/>
        <v>Paid</v>
      </c>
    </row>
    <row r="2355" spans="1:32" ht="17.25" thickBot="1" x14ac:dyDescent="0.35">
      <c r="A2355" s="2" t="s">
        <v>14365</v>
      </c>
      <c r="B2355" s="2" t="s">
        <v>27</v>
      </c>
      <c r="C2355" s="2" t="s">
        <v>28</v>
      </c>
      <c r="D2355" s="2" t="s">
        <v>97</v>
      </c>
      <c r="E2355" s="2" t="s">
        <v>14259</v>
      </c>
      <c r="F2355" s="2" t="s">
        <v>8445</v>
      </c>
      <c r="G2355" s="2" t="s">
        <v>32</v>
      </c>
      <c r="H2355" s="1"/>
      <c r="I2355" s="2" t="s">
        <v>33</v>
      </c>
      <c r="J2355" s="2" t="s">
        <v>34</v>
      </c>
      <c r="K2355" s="2" t="s">
        <v>10460</v>
      </c>
      <c r="L2355" s="2" t="s">
        <v>10461</v>
      </c>
      <c r="M2355" s="2" t="s">
        <v>304</v>
      </c>
      <c r="N2355" s="2" t="s">
        <v>38</v>
      </c>
      <c r="O2355" s="2" t="s">
        <v>1458</v>
      </c>
      <c r="P2355" s="2" t="s">
        <v>14273</v>
      </c>
      <c r="Q2355" s="2" t="s">
        <v>14366</v>
      </c>
      <c r="R2355" s="2" t="s">
        <v>40</v>
      </c>
      <c r="S2355" s="2" t="s">
        <v>14367</v>
      </c>
      <c r="T2355" s="2" t="s">
        <v>10362</v>
      </c>
      <c r="U2355" s="2" t="s">
        <v>14368</v>
      </c>
      <c r="V2355" s="2" t="s">
        <v>14369</v>
      </c>
      <c r="W2355" s="1"/>
      <c r="X2355" s="2" t="s">
        <v>8970</v>
      </c>
      <c r="Y2355" s="2" t="s">
        <v>14265</v>
      </c>
      <c r="AA2355" t="str">
        <f t="shared" si="216"/>
        <v>2025-10</v>
      </c>
      <c r="AB2355" t="str">
        <f t="shared" si="217"/>
        <v/>
      </c>
      <c r="AC2355">
        <f t="shared" si="218"/>
        <v>1732549.46</v>
      </c>
      <c r="AD2355">
        <f t="shared" si="219"/>
        <v>164</v>
      </c>
      <c r="AE2355">
        <f t="shared" si="220"/>
        <v>158149.46</v>
      </c>
      <c r="AF2355" t="str">
        <f t="shared" si="221"/>
        <v>Paid</v>
      </c>
    </row>
    <row r="2356" spans="1:32" ht="17.25" thickBot="1" x14ac:dyDescent="0.35">
      <c r="A2356" s="2" t="s">
        <v>14370</v>
      </c>
      <c r="B2356" s="2" t="s">
        <v>27</v>
      </c>
      <c r="C2356" s="2" t="s">
        <v>28</v>
      </c>
      <c r="D2356" s="2" t="s">
        <v>97</v>
      </c>
      <c r="E2356" s="2" t="s">
        <v>14259</v>
      </c>
      <c r="F2356" s="2" t="s">
        <v>8445</v>
      </c>
      <c r="G2356" s="2" t="s">
        <v>32</v>
      </c>
      <c r="H2356" s="1"/>
      <c r="I2356" s="2" t="s">
        <v>33</v>
      </c>
      <c r="J2356" s="2" t="s">
        <v>34</v>
      </c>
      <c r="K2356" s="2" t="s">
        <v>14371</v>
      </c>
      <c r="L2356" s="2" t="s">
        <v>14372</v>
      </c>
      <c r="M2356" s="2" t="s">
        <v>304</v>
      </c>
      <c r="N2356" s="2" t="s">
        <v>38</v>
      </c>
      <c r="O2356" s="2" t="s">
        <v>2677</v>
      </c>
      <c r="P2356" s="2" t="s">
        <v>14373</v>
      </c>
      <c r="Q2356" s="2" t="s">
        <v>14374</v>
      </c>
      <c r="R2356" s="2" t="s">
        <v>40</v>
      </c>
      <c r="S2356" s="2" t="s">
        <v>14375</v>
      </c>
      <c r="T2356" s="2" t="s">
        <v>14376</v>
      </c>
      <c r="U2356" s="2" t="s">
        <v>14377</v>
      </c>
      <c r="V2356" s="2" t="s">
        <v>14378</v>
      </c>
      <c r="W2356" s="1"/>
      <c r="X2356" s="2" t="s">
        <v>7648</v>
      </c>
      <c r="Y2356" s="2" t="s">
        <v>14265</v>
      </c>
      <c r="AA2356" t="str">
        <f t="shared" si="216"/>
        <v>2025-10</v>
      </c>
      <c r="AB2356" t="str">
        <f t="shared" si="217"/>
        <v/>
      </c>
      <c r="AC2356">
        <f t="shared" si="218"/>
        <v>4705301.66</v>
      </c>
      <c r="AD2356">
        <f t="shared" si="219"/>
        <v>324</v>
      </c>
      <c r="AE2356">
        <f t="shared" si="220"/>
        <v>767944.91</v>
      </c>
      <c r="AF2356" t="str">
        <f t="shared" si="221"/>
        <v>Paid</v>
      </c>
    </row>
    <row r="2357" spans="1:32" ht="17.25" thickBot="1" x14ac:dyDescent="0.35">
      <c r="A2357" s="2" t="s">
        <v>14379</v>
      </c>
      <c r="B2357" s="2" t="s">
        <v>27</v>
      </c>
      <c r="C2357" s="2" t="s">
        <v>28</v>
      </c>
      <c r="D2357" s="2" t="s">
        <v>97</v>
      </c>
      <c r="E2357" s="2" t="s">
        <v>14259</v>
      </c>
      <c r="F2357" s="2" t="s">
        <v>8445</v>
      </c>
      <c r="G2357" s="2" t="s">
        <v>32</v>
      </c>
      <c r="H2357" s="1"/>
      <c r="I2357" s="2" t="s">
        <v>33</v>
      </c>
      <c r="J2357" s="2" t="s">
        <v>34</v>
      </c>
      <c r="K2357" s="2" t="s">
        <v>10465</v>
      </c>
      <c r="L2357" s="2" t="s">
        <v>10466</v>
      </c>
      <c r="M2357" s="2" t="s">
        <v>304</v>
      </c>
      <c r="N2357" s="2" t="s">
        <v>38</v>
      </c>
      <c r="O2357" s="2" t="s">
        <v>2096</v>
      </c>
      <c r="P2357" s="2" t="s">
        <v>14380</v>
      </c>
      <c r="Q2357" s="2" t="s">
        <v>14381</v>
      </c>
      <c r="R2357" s="2" t="s">
        <v>40</v>
      </c>
      <c r="S2357" s="2" t="s">
        <v>14382</v>
      </c>
      <c r="T2357" s="2" t="s">
        <v>12387</v>
      </c>
      <c r="U2357" s="2" t="s">
        <v>14383</v>
      </c>
      <c r="V2357" s="2" t="s">
        <v>14384</v>
      </c>
      <c r="W2357" s="1"/>
      <c r="X2357" s="2" t="s">
        <v>8970</v>
      </c>
      <c r="Y2357" s="2" t="s">
        <v>14265</v>
      </c>
      <c r="AA2357" t="str">
        <f t="shared" si="216"/>
        <v>2025-10</v>
      </c>
      <c r="AB2357" t="str">
        <f t="shared" si="217"/>
        <v/>
      </c>
      <c r="AC2357">
        <f t="shared" si="218"/>
        <v>4213446.3</v>
      </c>
      <c r="AD2357">
        <f t="shared" si="219"/>
        <v>252</v>
      </c>
      <c r="AE2357">
        <f t="shared" si="220"/>
        <v>383046.3</v>
      </c>
      <c r="AF2357" t="str">
        <f t="shared" si="221"/>
        <v>Paid</v>
      </c>
    </row>
    <row r="2358" spans="1:32" ht="17.25" thickBot="1" x14ac:dyDescent="0.35">
      <c r="A2358" s="2" t="s">
        <v>14385</v>
      </c>
      <c r="B2358" s="2" t="s">
        <v>27</v>
      </c>
      <c r="C2358" s="2" t="s">
        <v>28</v>
      </c>
      <c r="D2358" s="2" t="s">
        <v>97</v>
      </c>
      <c r="E2358" s="2" t="s">
        <v>14259</v>
      </c>
      <c r="F2358" s="2" t="s">
        <v>8445</v>
      </c>
      <c r="G2358" s="2" t="s">
        <v>32</v>
      </c>
      <c r="H2358" s="1"/>
      <c r="I2358" s="2" t="s">
        <v>33</v>
      </c>
      <c r="J2358" s="2" t="s">
        <v>34</v>
      </c>
      <c r="K2358" s="2" t="s">
        <v>12391</v>
      </c>
      <c r="L2358" s="2" t="s">
        <v>12392</v>
      </c>
      <c r="M2358" s="2" t="s">
        <v>304</v>
      </c>
      <c r="N2358" s="2" t="s">
        <v>38</v>
      </c>
      <c r="O2358" s="2" t="s">
        <v>149</v>
      </c>
      <c r="P2358" s="2" t="s">
        <v>801</v>
      </c>
      <c r="Q2358" s="2" t="s">
        <v>14386</v>
      </c>
      <c r="R2358" s="2" t="s">
        <v>40</v>
      </c>
      <c r="S2358" s="2" t="s">
        <v>14387</v>
      </c>
      <c r="T2358" s="2" t="s">
        <v>12395</v>
      </c>
      <c r="U2358" s="2" t="s">
        <v>659</v>
      </c>
      <c r="V2358" s="2" t="s">
        <v>14388</v>
      </c>
      <c r="W2358" s="1"/>
      <c r="X2358" s="2" t="s">
        <v>6735</v>
      </c>
      <c r="Y2358" s="2" t="s">
        <v>14265</v>
      </c>
      <c r="AA2358" t="str">
        <f t="shared" si="216"/>
        <v>2025-10</v>
      </c>
      <c r="AB2358" t="str">
        <f t="shared" si="217"/>
        <v/>
      </c>
      <c r="AC2358">
        <f t="shared" si="218"/>
        <v>2612418.6</v>
      </c>
      <c r="AD2358">
        <f t="shared" si="219"/>
        <v>300</v>
      </c>
      <c r="AE2358">
        <f t="shared" si="220"/>
        <v>236418.6</v>
      </c>
      <c r="AF2358" t="str">
        <f t="shared" si="221"/>
        <v>Paid</v>
      </c>
    </row>
    <row r="2359" spans="1:32" ht="17.25" thickBot="1" x14ac:dyDescent="0.35">
      <c r="A2359" s="2" t="s">
        <v>14389</v>
      </c>
      <c r="B2359" s="2" t="s">
        <v>27</v>
      </c>
      <c r="C2359" s="2" t="s">
        <v>28</v>
      </c>
      <c r="D2359" s="2" t="s">
        <v>97</v>
      </c>
      <c r="E2359" s="2" t="s">
        <v>14259</v>
      </c>
      <c r="F2359" s="2" t="s">
        <v>8445</v>
      </c>
      <c r="G2359" s="2" t="s">
        <v>32</v>
      </c>
      <c r="H2359" s="1"/>
      <c r="I2359" s="2" t="s">
        <v>33</v>
      </c>
      <c r="J2359" s="2" t="s">
        <v>34</v>
      </c>
      <c r="K2359" s="2" t="s">
        <v>4110</v>
      </c>
      <c r="L2359" s="2" t="s">
        <v>4111</v>
      </c>
      <c r="M2359" s="2" t="s">
        <v>304</v>
      </c>
      <c r="N2359" s="2" t="s">
        <v>38</v>
      </c>
      <c r="O2359" s="2" t="s">
        <v>610</v>
      </c>
      <c r="P2359" s="2" t="s">
        <v>14390</v>
      </c>
      <c r="Q2359" s="2" t="s">
        <v>14391</v>
      </c>
      <c r="R2359" s="2" t="s">
        <v>40</v>
      </c>
      <c r="S2359" s="2" t="s">
        <v>14392</v>
      </c>
      <c r="T2359" s="2" t="s">
        <v>9043</v>
      </c>
      <c r="U2359" s="2" t="s">
        <v>4001</v>
      </c>
      <c r="V2359" s="2" t="s">
        <v>14393</v>
      </c>
      <c r="W2359" s="1"/>
      <c r="X2359" s="2" t="s">
        <v>8970</v>
      </c>
      <c r="Y2359" s="2" t="s">
        <v>14265</v>
      </c>
      <c r="AA2359" t="str">
        <f t="shared" si="216"/>
        <v>2025-10</v>
      </c>
      <c r="AB2359" t="str">
        <f t="shared" si="217"/>
        <v/>
      </c>
      <c r="AC2359">
        <f t="shared" si="218"/>
        <v>6928232.4000000004</v>
      </c>
      <c r="AD2359">
        <f t="shared" si="219"/>
        <v>450</v>
      </c>
      <c r="AE2359">
        <f t="shared" si="220"/>
        <v>628232.4</v>
      </c>
      <c r="AF2359" t="str">
        <f t="shared" si="221"/>
        <v>Paid</v>
      </c>
    </row>
    <row r="2360" spans="1:32" ht="17.25" thickBot="1" x14ac:dyDescent="0.35">
      <c r="A2360" s="2" t="s">
        <v>14394</v>
      </c>
      <c r="B2360" s="2" t="s">
        <v>27</v>
      </c>
      <c r="C2360" s="2" t="s">
        <v>28</v>
      </c>
      <c r="D2360" s="2" t="s">
        <v>97</v>
      </c>
      <c r="E2360" s="2" t="s">
        <v>14259</v>
      </c>
      <c r="F2360" s="2" t="s">
        <v>8445</v>
      </c>
      <c r="G2360" s="2" t="s">
        <v>32</v>
      </c>
      <c r="H2360" s="1"/>
      <c r="I2360" s="2" t="s">
        <v>33</v>
      </c>
      <c r="J2360" s="2" t="s">
        <v>34</v>
      </c>
      <c r="K2360" s="2" t="s">
        <v>5786</v>
      </c>
      <c r="L2360" s="2" t="s">
        <v>5787</v>
      </c>
      <c r="M2360" s="2" t="s">
        <v>304</v>
      </c>
      <c r="N2360" s="2" t="s">
        <v>38</v>
      </c>
      <c r="O2360" s="2" t="s">
        <v>7388</v>
      </c>
      <c r="P2360" s="2" t="s">
        <v>528</v>
      </c>
      <c r="Q2360" s="2" t="s">
        <v>14395</v>
      </c>
      <c r="R2360" s="2" t="s">
        <v>40</v>
      </c>
      <c r="S2360" s="2" t="s">
        <v>14396</v>
      </c>
      <c r="T2360" s="2" t="s">
        <v>2111</v>
      </c>
      <c r="U2360" s="2" t="s">
        <v>14397</v>
      </c>
      <c r="V2360" s="2" t="s">
        <v>14398</v>
      </c>
      <c r="W2360" s="1"/>
      <c r="X2360" s="2" t="s">
        <v>8970</v>
      </c>
      <c r="Y2360" s="2" t="s">
        <v>14265</v>
      </c>
      <c r="AA2360" t="str">
        <f t="shared" si="216"/>
        <v>2025-10</v>
      </c>
      <c r="AB2360" t="str">
        <f t="shared" si="217"/>
        <v/>
      </c>
      <c r="AC2360">
        <f t="shared" si="218"/>
        <v>44004376</v>
      </c>
      <c r="AD2360">
        <f t="shared" si="219"/>
        <v>4000</v>
      </c>
      <c r="AE2360">
        <f t="shared" si="220"/>
        <v>4004376</v>
      </c>
      <c r="AF2360" t="str">
        <f t="shared" si="221"/>
        <v>Paid</v>
      </c>
    </row>
    <row r="2361" spans="1:32" ht="17.25" thickBot="1" x14ac:dyDescent="0.35">
      <c r="A2361" s="2" t="s">
        <v>14399</v>
      </c>
      <c r="B2361" s="2" t="s">
        <v>27</v>
      </c>
      <c r="C2361" s="2" t="s">
        <v>28</v>
      </c>
      <c r="D2361" s="2" t="s">
        <v>97</v>
      </c>
      <c r="E2361" s="2" t="s">
        <v>14259</v>
      </c>
      <c r="F2361" s="2" t="s">
        <v>8445</v>
      </c>
      <c r="G2361" s="2" t="s">
        <v>32</v>
      </c>
      <c r="H2361" s="1"/>
      <c r="I2361" s="2" t="s">
        <v>33</v>
      </c>
      <c r="J2361" s="2" t="s">
        <v>34</v>
      </c>
      <c r="K2361" s="2" t="s">
        <v>10485</v>
      </c>
      <c r="L2361" s="2" t="s">
        <v>10486</v>
      </c>
      <c r="M2361" s="2" t="s">
        <v>304</v>
      </c>
      <c r="N2361" s="2" t="s">
        <v>38</v>
      </c>
      <c r="O2361" s="2" t="s">
        <v>206</v>
      </c>
      <c r="P2361" s="2" t="s">
        <v>14400</v>
      </c>
      <c r="Q2361" s="2" t="s">
        <v>14401</v>
      </c>
      <c r="R2361" s="2" t="s">
        <v>40</v>
      </c>
      <c r="S2361" s="2" t="s">
        <v>14402</v>
      </c>
      <c r="T2361" s="2" t="s">
        <v>10490</v>
      </c>
      <c r="U2361" s="2" t="s">
        <v>14403</v>
      </c>
      <c r="V2361" s="2" t="s">
        <v>14404</v>
      </c>
      <c r="W2361" s="1"/>
      <c r="X2361" s="2" t="s">
        <v>2638</v>
      </c>
      <c r="Y2361" s="2" t="s">
        <v>14265</v>
      </c>
      <c r="AA2361" t="str">
        <f t="shared" si="216"/>
        <v>2025-10</v>
      </c>
      <c r="AB2361" t="str">
        <f t="shared" si="217"/>
        <v/>
      </c>
      <c r="AC2361">
        <f t="shared" si="218"/>
        <v>9902349.5</v>
      </c>
      <c r="AD2361">
        <f t="shared" si="219"/>
        <v>500</v>
      </c>
      <c r="AE2361">
        <f t="shared" si="220"/>
        <v>1720349.5</v>
      </c>
      <c r="AF2361" t="str">
        <f t="shared" si="221"/>
        <v>Paid</v>
      </c>
    </row>
    <row r="2362" spans="1:32" ht="27.75" thickBot="1" x14ac:dyDescent="0.35">
      <c r="A2362" s="2" t="s">
        <v>14405</v>
      </c>
      <c r="B2362" s="2" t="s">
        <v>27</v>
      </c>
      <c r="C2362" s="2" t="s">
        <v>28</v>
      </c>
      <c r="D2362" s="2" t="s">
        <v>97</v>
      </c>
      <c r="E2362" s="2" t="s">
        <v>14259</v>
      </c>
      <c r="F2362" s="2" t="s">
        <v>8445</v>
      </c>
      <c r="G2362" s="2" t="s">
        <v>32</v>
      </c>
      <c r="H2362" s="1"/>
      <c r="I2362" s="2" t="s">
        <v>33</v>
      </c>
      <c r="J2362" s="2" t="s">
        <v>34</v>
      </c>
      <c r="K2362" s="2" t="s">
        <v>10494</v>
      </c>
      <c r="L2362" s="2" t="s">
        <v>10495</v>
      </c>
      <c r="M2362" s="2" t="s">
        <v>304</v>
      </c>
      <c r="N2362" s="2" t="s">
        <v>38</v>
      </c>
      <c r="O2362" s="2" t="s">
        <v>773</v>
      </c>
      <c r="P2362" s="2" t="s">
        <v>104</v>
      </c>
      <c r="Q2362" s="2" t="s">
        <v>10415</v>
      </c>
      <c r="R2362" s="2" t="s">
        <v>40</v>
      </c>
      <c r="S2362" s="2" t="s">
        <v>14406</v>
      </c>
      <c r="T2362" s="2" t="s">
        <v>8164</v>
      </c>
      <c r="U2362" s="2" t="s">
        <v>14407</v>
      </c>
      <c r="V2362" s="2" t="s">
        <v>14408</v>
      </c>
      <c r="W2362" s="2" t="s">
        <v>41</v>
      </c>
      <c r="X2362" s="2" t="s">
        <v>14409</v>
      </c>
      <c r="Y2362" s="2" t="s">
        <v>14265</v>
      </c>
      <c r="AA2362" t="str">
        <f t="shared" si="216"/>
        <v>2025-10</v>
      </c>
      <c r="AB2362" t="str">
        <f t="shared" si="217"/>
        <v/>
      </c>
      <c r="AC2362">
        <f t="shared" si="218"/>
        <v>2729.8</v>
      </c>
      <c r="AD2362">
        <f t="shared" si="219"/>
        <v>200</v>
      </c>
      <c r="AE2362">
        <f t="shared" si="220"/>
        <v>-1451870.2</v>
      </c>
      <c r="AF2362" t="str">
        <f t="shared" si="221"/>
        <v>Sample</v>
      </c>
    </row>
    <row r="2363" spans="1:32" ht="17.25" thickBot="1" x14ac:dyDescent="0.35">
      <c r="A2363" s="2" t="s">
        <v>14410</v>
      </c>
      <c r="B2363" s="2" t="s">
        <v>27</v>
      </c>
      <c r="C2363" s="2" t="s">
        <v>28</v>
      </c>
      <c r="D2363" s="2" t="s">
        <v>97</v>
      </c>
      <c r="E2363" s="2" t="s">
        <v>14259</v>
      </c>
      <c r="F2363" s="2" t="s">
        <v>8445</v>
      </c>
      <c r="G2363" s="2" t="s">
        <v>32</v>
      </c>
      <c r="H2363" s="1"/>
      <c r="I2363" s="2" t="s">
        <v>33</v>
      </c>
      <c r="J2363" s="2" t="s">
        <v>34</v>
      </c>
      <c r="K2363" s="2" t="s">
        <v>389</v>
      </c>
      <c r="L2363" s="2" t="s">
        <v>390</v>
      </c>
      <c r="M2363" s="2" t="s">
        <v>304</v>
      </c>
      <c r="N2363" s="2" t="s">
        <v>38</v>
      </c>
      <c r="O2363" s="2" t="s">
        <v>1519</v>
      </c>
      <c r="P2363" s="2" t="s">
        <v>10526</v>
      </c>
      <c r="Q2363" s="2" t="s">
        <v>14411</v>
      </c>
      <c r="R2363" s="2" t="s">
        <v>40</v>
      </c>
      <c r="S2363" s="2" t="s">
        <v>14412</v>
      </c>
      <c r="T2363" s="2" t="s">
        <v>952</v>
      </c>
      <c r="U2363" s="2" t="s">
        <v>2128</v>
      </c>
      <c r="V2363" s="2" t="s">
        <v>14413</v>
      </c>
      <c r="W2363" s="1"/>
      <c r="X2363" s="2" t="s">
        <v>8970</v>
      </c>
      <c r="Y2363" s="2" t="s">
        <v>14265</v>
      </c>
      <c r="AA2363" t="str">
        <f t="shared" si="216"/>
        <v>2025-10</v>
      </c>
      <c r="AB2363" t="str">
        <f t="shared" si="217"/>
        <v/>
      </c>
      <c r="AC2363">
        <f t="shared" si="218"/>
        <v>4751489.88</v>
      </c>
      <c r="AD2363">
        <f t="shared" si="219"/>
        <v>360</v>
      </c>
      <c r="AE2363">
        <f t="shared" si="220"/>
        <v>431489.88</v>
      </c>
      <c r="AF2363" t="str">
        <f t="shared" si="221"/>
        <v>Paid</v>
      </c>
    </row>
    <row r="2364" spans="1:32" ht="17.25" thickBot="1" x14ac:dyDescent="0.35">
      <c r="A2364" s="2" t="s">
        <v>14414</v>
      </c>
      <c r="B2364" s="2" t="s">
        <v>27</v>
      </c>
      <c r="C2364" s="2" t="s">
        <v>28</v>
      </c>
      <c r="D2364" s="2" t="s">
        <v>97</v>
      </c>
      <c r="E2364" s="2" t="s">
        <v>14259</v>
      </c>
      <c r="F2364" s="2" t="s">
        <v>8445</v>
      </c>
      <c r="G2364" s="2" t="s">
        <v>32</v>
      </c>
      <c r="H2364" s="1"/>
      <c r="I2364" s="2" t="s">
        <v>33</v>
      </c>
      <c r="J2364" s="2" t="s">
        <v>34</v>
      </c>
      <c r="K2364" s="2" t="s">
        <v>10507</v>
      </c>
      <c r="L2364" s="2" t="s">
        <v>10508</v>
      </c>
      <c r="M2364" s="2" t="s">
        <v>304</v>
      </c>
      <c r="N2364" s="2" t="s">
        <v>38</v>
      </c>
      <c r="O2364" s="2" t="s">
        <v>2677</v>
      </c>
      <c r="P2364" s="2" t="s">
        <v>5961</v>
      </c>
      <c r="Q2364" s="2" t="s">
        <v>14415</v>
      </c>
      <c r="R2364" s="2" t="s">
        <v>40</v>
      </c>
      <c r="S2364" s="2" t="s">
        <v>14416</v>
      </c>
      <c r="T2364" s="2" t="s">
        <v>2127</v>
      </c>
      <c r="U2364" s="2" t="s">
        <v>14417</v>
      </c>
      <c r="V2364" s="2" t="s">
        <v>14418</v>
      </c>
      <c r="W2364" s="1"/>
      <c r="X2364" s="2" t="s">
        <v>6735</v>
      </c>
      <c r="Y2364" s="2" t="s">
        <v>14265</v>
      </c>
      <c r="AA2364" t="str">
        <f t="shared" si="216"/>
        <v>2025-10</v>
      </c>
      <c r="AB2364" t="str">
        <f t="shared" si="217"/>
        <v/>
      </c>
      <c r="AC2364">
        <f t="shared" si="218"/>
        <v>3847380.12</v>
      </c>
      <c r="AD2364">
        <f t="shared" si="219"/>
        <v>324</v>
      </c>
      <c r="AE2364">
        <f t="shared" si="220"/>
        <v>348180.12</v>
      </c>
      <c r="AF2364" t="str">
        <f t="shared" si="221"/>
        <v>Paid</v>
      </c>
    </row>
    <row r="2365" spans="1:32" ht="27.75" thickBot="1" x14ac:dyDescent="0.35">
      <c r="A2365" s="2" t="s">
        <v>14419</v>
      </c>
      <c r="B2365" s="2" t="s">
        <v>27</v>
      </c>
      <c r="C2365" s="2" t="s">
        <v>28</v>
      </c>
      <c r="D2365" s="2" t="s">
        <v>97</v>
      </c>
      <c r="E2365" s="2" t="s">
        <v>14259</v>
      </c>
      <c r="F2365" s="2" t="s">
        <v>8445</v>
      </c>
      <c r="G2365" s="2" t="s">
        <v>32</v>
      </c>
      <c r="H2365" s="1"/>
      <c r="I2365" s="2" t="s">
        <v>33</v>
      </c>
      <c r="J2365" s="2" t="s">
        <v>34</v>
      </c>
      <c r="K2365" s="2" t="s">
        <v>14420</v>
      </c>
      <c r="L2365" s="2" t="s">
        <v>14421</v>
      </c>
      <c r="M2365" s="2" t="s">
        <v>304</v>
      </c>
      <c r="N2365" s="2" t="s">
        <v>38</v>
      </c>
      <c r="O2365" s="2" t="s">
        <v>517</v>
      </c>
      <c r="P2365" s="2" t="s">
        <v>5961</v>
      </c>
      <c r="Q2365" s="2" t="s">
        <v>14422</v>
      </c>
      <c r="R2365" s="2" t="s">
        <v>40</v>
      </c>
      <c r="S2365" s="2" t="s">
        <v>14423</v>
      </c>
      <c r="T2365" s="2" t="s">
        <v>1210</v>
      </c>
      <c r="U2365" s="2" t="s">
        <v>7051</v>
      </c>
      <c r="V2365" s="2" t="s">
        <v>14424</v>
      </c>
      <c r="W2365" s="1"/>
      <c r="X2365" s="2" t="s">
        <v>3589</v>
      </c>
      <c r="Y2365" s="2" t="s">
        <v>14265</v>
      </c>
      <c r="AA2365" t="str">
        <f t="shared" si="216"/>
        <v>2025-10</v>
      </c>
      <c r="AB2365" t="str">
        <f t="shared" si="217"/>
        <v/>
      </c>
      <c r="AC2365">
        <f t="shared" si="218"/>
        <v>1424955.6</v>
      </c>
      <c r="AD2365">
        <f t="shared" si="219"/>
        <v>120</v>
      </c>
      <c r="AE2365">
        <f t="shared" si="220"/>
        <v>290955.59999999998</v>
      </c>
      <c r="AF2365" t="str">
        <f t="shared" si="221"/>
        <v>Paid</v>
      </c>
    </row>
    <row r="2366" spans="1:32" ht="17.25" thickBot="1" x14ac:dyDescent="0.35">
      <c r="A2366" s="2" t="s">
        <v>14425</v>
      </c>
      <c r="B2366" s="2" t="s">
        <v>27</v>
      </c>
      <c r="C2366" s="2" t="s">
        <v>28</v>
      </c>
      <c r="D2366" s="2" t="s">
        <v>97</v>
      </c>
      <c r="E2366" s="2" t="s">
        <v>14259</v>
      </c>
      <c r="F2366" s="2" t="s">
        <v>8445</v>
      </c>
      <c r="G2366" s="2" t="s">
        <v>32</v>
      </c>
      <c r="H2366" s="1"/>
      <c r="I2366" s="2" t="s">
        <v>33</v>
      </c>
      <c r="J2366" s="2" t="s">
        <v>34</v>
      </c>
      <c r="K2366" s="2" t="s">
        <v>417</v>
      </c>
      <c r="L2366" s="2" t="s">
        <v>418</v>
      </c>
      <c r="M2366" s="2" t="s">
        <v>304</v>
      </c>
      <c r="N2366" s="2" t="s">
        <v>38</v>
      </c>
      <c r="O2366" s="2" t="s">
        <v>14426</v>
      </c>
      <c r="P2366" s="2" t="s">
        <v>5961</v>
      </c>
      <c r="Q2366" s="2" t="s">
        <v>14427</v>
      </c>
      <c r="R2366" s="2" t="s">
        <v>40</v>
      </c>
      <c r="S2366" s="2" t="s">
        <v>14428</v>
      </c>
      <c r="T2366" s="2" t="s">
        <v>2127</v>
      </c>
      <c r="U2366" s="2" t="s">
        <v>14429</v>
      </c>
      <c r="V2366" s="2" t="s">
        <v>14430</v>
      </c>
      <c r="W2366" s="1"/>
      <c r="X2366" s="2" t="s">
        <v>6735</v>
      </c>
      <c r="Y2366" s="2" t="s">
        <v>14265</v>
      </c>
      <c r="AA2366" t="str">
        <f t="shared" si="216"/>
        <v>2025-10</v>
      </c>
      <c r="AB2366" t="str">
        <f t="shared" si="217"/>
        <v/>
      </c>
      <c r="AC2366">
        <f t="shared" si="218"/>
        <v>17954440.559999999</v>
      </c>
      <c r="AD2366">
        <f t="shared" si="219"/>
        <v>1512</v>
      </c>
      <c r="AE2366">
        <f t="shared" si="220"/>
        <v>1624840.56</v>
      </c>
      <c r="AF2366" t="str">
        <f t="shared" si="221"/>
        <v>Paid</v>
      </c>
    </row>
    <row r="2367" spans="1:32" ht="17.25" thickBot="1" x14ac:dyDescent="0.35">
      <c r="A2367" s="2" t="s">
        <v>14431</v>
      </c>
      <c r="B2367" s="2" t="s">
        <v>27</v>
      </c>
      <c r="C2367" s="2" t="s">
        <v>28</v>
      </c>
      <c r="D2367" s="2" t="s">
        <v>97</v>
      </c>
      <c r="E2367" s="2" t="s">
        <v>14259</v>
      </c>
      <c r="F2367" s="2" t="s">
        <v>8445</v>
      </c>
      <c r="G2367" s="2" t="s">
        <v>32</v>
      </c>
      <c r="H2367" s="1"/>
      <c r="I2367" s="2" t="s">
        <v>33</v>
      </c>
      <c r="J2367" s="2" t="s">
        <v>34</v>
      </c>
      <c r="K2367" s="2" t="s">
        <v>426</v>
      </c>
      <c r="L2367" s="2" t="s">
        <v>427</v>
      </c>
      <c r="M2367" s="2" t="s">
        <v>304</v>
      </c>
      <c r="N2367" s="2" t="s">
        <v>38</v>
      </c>
      <c r="O2367" s="2" t="s">
        <v>362</v>
      </c>
      <c r="P2367" s="2" t="s">
        <v>528</v>
      </c>
      <c r="Q2367" s="2" t="s">
        <v>14432</v>
      </c>
      <c r="R2367" s="2" t="s">
        <v>40</v>
      </c>
      <c r="S2367" s="2" t="s">
        <v>14433</v>
      </c>
      <c r="T2367" s="2" t="s">
        <v>2111</v>
      </c>
      <c r="U2367" s="2" t="s">
        <v>9517</v>
      </c>
      <c r="V2367" s="2" t="s">
        <v>14434</v>
      </c>
      <c r="W2367" s="1"/>
      <c r="X2367" s="2" t="s">
        <v>8970</v>
      </c>
      <c r="Y2367" s="2" t="s">
        <v>14265</v>
      </c>
      <c r="AA2367" t="str">
        <f t="shared" si="216"/>
        <v>2025-10</v>
      </c>
      <c r="AB2367" t="str">
        <f t="shared" si="217"/>
        <v/>
      </c>
      <c r="AC2367">
        <f t="shared" si="218"/>
        <v>3520350.08</v>
      </c>
      <c r="AD2367">
        <f t="shared" si="219"/>
        <v>320</v>
      </c>
      <c r="AE2367">
        <f t="shared" si="220"/>
        <v>320350.08000000002</v>
      </c>
      <c r="AF2367" t="str">
        <f t="shared" si="221"/>
        <v>Paid</v>
      </c>
    </row>
    <row r="2368" spans="1:32" ht="27.75" thickBot="1" x14ac:dyDescent="0.35">
      <c r="A2368" s="2" t="s">
        <v>14435</v>
      </c>
      <c r="B2368" s="2" t="s">
        <v>27</v>
      </c>
      <c r="C2368" s="2" t="s">
        <v>28</v>
      </c>
      <c r="D2368" s="2" t="s">
        <v>97</v>
      </c>
      <c r="E2368" s="2" t="s">
        <v>14259</v>
      </c>
      <c r="F2368" s="2" t="s">
        <v>8445</v>
      </c>
      <c r="G2368" s="2" t="s">
        <v>32</v>
      </c>
      <c r="H2368" s="1"/>
      <c r="I2368" s="2" t="s">
        <v>33</v>
      </c>
      <c r="J2368" s="2" t="s">
        <v>34</v>
      </c>
      <c r="K2368" s="2" t="s">
        <v>436</v>
      </c>
      <c r="L2368" s="2" t="s">
        <v>437</v>
      </c>
      <c r="M2368" s="2" t="s">
        <v>304</v>
      </c>
      <c r="N2368" s="2" t="s">
        <v>38</v>
      </c>
      <c r="O2368" s="2" t="s">
        <v>174</v>
      </c>
      <c r="P2368" s="2" t="s">
        <v>14273</v>
      </c>
      <c r="Q2368" s="2" t="s">
        <v>3339</v>
      </c>
      <c r="R2368" s="2" t="s">
        <v>40</v>
      </c>
      <c r="S2368" s="2" t="s">
        <v>14436</v>
      </c>
      <c r="T2368" s="2" t="s">
        <v>10362</v>
      </c>
      <c r="U2368" s="2" t="s">
        <v>11362</v>
      </c>
      <c r="V2368" s="2" t="s">
        <v>14437</v>
      </c>
      <c r="W2368" s="1"/>
      <c r="X2368" s="2" t="s">
        <v>8970</v>
      </c>
      <c r="Y2368" s="2" t="s">
        <v>14265</v>
      </c>
      <c r="AA2368" t="str">
        <f t="shared" si="216"/>
        <v>2025-10</v>
      </c>
      <c r="AB2368" t="str">
        <f t="shared" si="217"/>
        <v/>
      </c>
      <c r="AC2368">
        <f t="shared" si="218"/>
        <v>232415.17</v>
      </c>
      <c r="AD2368">
        <f t="shared" si="219"/>
        <v>22</v>
      </c>
      <c r="AE2368">
        <f t="shared" si="220"/>
        <v>21215.17</v>
      </c>
      <c r="AF2368" t="str">
        <f t="shared" si="221"/>
        <v>Paid</v>
      </c>
    </row>
    <row r="2369" spans="1:32" ht="27.75" thickBot="1" x14ac:dyDescent="0.35">
      <c r="A2369" s="2" t="s">
        <v>14438</v>
      </c>
      <c r="B2369" s="2" t="s">
        <v>27</v>
      </c>
      <c r="C2369" s="2" t="s">
        <v>28</v>
      </c>
      <c r="D2369" s="2" t="s">
        <v>97</v>
      </c>
      <c r="E2369" s="2" t="s">
        <v>14259</v>
      </c>
      <c r="F2369" s="2" t="s">
        <v>8445</v>
      </c>
      <c r="G2369" s="2" t="s">
        <v>32</v>
      </c>
      <c r="H2369" s="1"/>
      <c r="I2369" s="2" t="s">
        <v>33</v>
      </c>
      <c r="J2369" s="2" t="s">
        <v>34</v>
      </c>
      <c r="K2369" s="2" t="s">
        <v>436</v>
      </c>
      <c r="L2369" s="2" t="s">
        <v>437</v>
      </c>
      <c r="M2369" s="2" t="s">
        <v>304</v>
      </c>
      <c r="N2369" s="2" t="s">
        <v>38</v>
      </c>
      <c r="O2369" s="2" t="s">
        <v>3731</v>
      </c>
      <c r="P2369" s="2" t="s">
        <v>14273</v>
      </c>
      <c r="Q2369" s="2" t="s">
        <v>14439</v>
      </c>
      <c r="R2369" s="2" t="s">
        <v>40</v>
      </c>
      <c r="S2369" s="2" t="s">
        <v>14440</v>
      </c>
      <c r="T2369" s="2" t="s">
        <v>10362</v>
      </c>
      <c r="U2369" s="2" t="s">
        <v>14441</v>
      </c>
      <c r="V2369" s="2" t="s">
        <v>14442</v>
      </c>
      <c r="W2369" s="1"/>
      <c r="X2369" s="2" t="s">
        <v>8970</v>
      </c>
      <c r="Y2369" s="2" t="s">
        <v>14265</v>
      </c>
      <c r="AA2369" t="str">
        <f t="shared" si="216"/>
        <v>2025-10</v>
      </c>
      <c r="AB2369" t="str">
        <f t="shared" si="217"/>
        <v/>
      </c>
      <c r="AC2369">
        <f t="shared" si="218"/>
        <v>5092005.13</v>
      </c>
      <c r="AD2369">
        <f t="shared" si="219"/>
        <v>482</v>
      </c>
      <c r="AE2369">
        <f t="shared" si="220"/>
        <v>464805.13</v>
      </c>
      <c r="AF2369" t="str">
        <f t="shared" si="221"/>
        <v>Paid</v>
      </c>
    </row>
    <row r="2370" spans="1:32" ht="27.75" thickBot="1" x14ac:dyDescent="0.35">
      <c r="A2370" s="2" t="s">
        <v>14443</v>
      </c>
      <c r="B2370" s="2" t="s">
        <v>27</v>
      </c>
      <c r="C2370" s="2" t="s">
        <v>28</v>
      </c>
      <c r="D2370" s="2" t="s">
        <v>97</v>
      </c>
      <c r="E2370" s="2" t="s">
        <v>14259</v>
      </c>
      <c r="F2370" s="2" t="s">
        <v>8445</v>
      </c>
      <c r="G2370" s="2" t="s">
        <v>32</v>
      </c>
      <c r="H2370" s="1"/>
      <c r="I2370" s="2" t="s">
        <v>33</v>
      </c>
      <c r="J2370" s="2" t="s">
        <v>34</v>
      </c>
      <c r="K2370" s="2" t="s">
        <v>446</v>
      </c>
      <c r="L2370" s="2" t="s">
        <v>447</v>
      </c>
      <c r="M2370" s="2" t="s">
        <v>304</v>
      </c>
      <c r="N2370" s="2" t="s">
        <v>38</v>
      </c>
      <c r="O2370" s="2" t="s">
        <v>362</v>
      </c>
      <c r="P2370" s="2" t="s">
        <v>14444</v>
      </c>
      <c r="Q2370" s="2" t="s">
        <v>14445</v>
      </c>
      <c r="R2370" s="2" t="s">
        <v>40</v>
      </c>
      <c r="S2370" s="2" t="s">
        <v>14446</v>
      </c>
      <c r="T2370" s="2" t="s">
        <v>6641</v>
      </c>
      <c r="U2370" s="2" t="s">
        <v>14447</v>
      </c>
      <c r="V2370" s="2" t="s">
        <v>14448</v>
      </c>
      <c r="W2370" s="1"/>
      <c r="X2370" s="2" t="s">
        <v>8970</v>
      </c>
      <c r="Y2370" s="2" t="s">
        <v>14265</v>
      </c>
      <c r="AA2370" t="str">
        <f t="shared" si="216"/>
        <v>2025-10</v>
      </c>
      <c r="AB2370" t="str">
        <f t="shared" si="217"/>
        <v/>
      </c>
      <c r="AC2370">
        <f t="shared" si="218"/>
        <v>5070876.4800000004</v>
      </c>
      <c r="AD2370">
        <f t="shared" si="219"/>
        <v>320</v>
      </c>
      <c r="AE2370">
        <f t="shared" si="220"/>
        <v>462876.48</v>
      </c>
      <c r="AF2370" t="str">
        <f t="shared" si="221"/>
        <v>Paid</v>
      </c>
    </row>
    <row r="2371" spans="1:32" ht="17.25" thickBot="1" x14ac:dyDescent="0.35">
      <c r="A2371" s="2" t="s">
        <v>14449</v>
      </c>
      <c r="B2371" s="2" t="s">
        <v>27</v>
      </c>
      <c r="C2371" s="2" t="s">
        <v>28</v>
      </c>
      <c r="D2371" s="2" t="s">
        <v>97</v>
      </c>
      <c r="E2371" s="2" t="s">
        <v>14259</v>
      </c>
      <c r="F2371" s="2" t="s">
        <v>8445</v>
      </c>
      <c r="G2371" s="2" t="s">
        <v>32</v>
      </c>
      <c r="H2371" s="1"/>
      <c r="I2371" s="2" t="s">
        <v>33</v>
      </c>
      <c r="J2371" s="2" t="s">
        <v>34</v>
      </c>
      <c r="K2371" s="2" t="s">
        <v>4133</v>
      </c>
      <c r="L2371" s="2" t="s">
        <v>4134</v>
      </c>
      <c r="M2371" s="2" t="s">
        <v>304</v>
      </c>
      <c r="N2371" s="2" t="s">
        <v>38</v>
      </c>
      <c r="O2371" s="2" t="s">
        <v>4559</v>
      </c>
      <c r="P2371" s="2" t="s">
        <v>14450</v>
      </c>
      <c r="Q2371" s="2" t="s">
        <v>14451</v>
      </c>
      <c r="R2371" s="2" t="s">
        <v>40</v>
      </c>
      <c r="S2371" s="2" t="s">
        <v>14452</v>
      </c>
      <c r="T2371" s="2" t="s">
        <v>12443</v>
      </c>
      <c r="U2371" s="2" t="s">
        <v>14453</v>
      </c>
      <c r="V2371" s="2" t="s">
        <v>14454</v>
      </c>
      <c r="W2371" s="1"/>
      <c r="X2371" s="2" t="s">
        <v>8970</v>
      </c>
      <c r="Y2371" s="2" t="s">
        <v>14265</v>
      </c>
      <c r="AA2371" t="str">
        <f t="shared" si="216"/>
        <v>2025-10</v>
      </c>
      <c r="AB2371" t="str">
        <f t="shared" si="217"/>
        <v/>
      </c>
      <c r="AC2371">
        <f t="shared" si="218"/>
        <v>8535975.4100000001</v>
      </c>
      <c r="AD2371">
        <f t="shared" si="219"/>
        <v>606</v>
      </c>
      <c r="AE2371">
        <f t="shared" si="220"/>
        <v>779175.41</v>
      </c>
      <c r="AF2371" t="str">
        <f t="shared" si="221"/>
        <v>Paid</v>
      </c>
    </row>
    <row r="2372" spans="1:32" ht="17.25" thickBot="1" x14ac:dyDescent="0.35">
      <c r="A2372" s="2" t="s">
        <v>14455</v>
      </c>
      <c r="B2372" s="2" t="s">
        <v>27</v>
      </c>
      <c r="C2372" s="2" t="s">
        <v>28</v>
      </c>
      <c r="D2372" s="2" t="s">
        <v>97</v>
      </c>
      <c r="E2372" s="2" t="s">
        <v>14259</v>
      </c>
      <c r="F2372" s="2" t="s">
        <v>8445</v>
      </c>
      <c r="G2372" s="2" t="s">
        <v>32</v>
      </c>
      <c r="H2372" s="1"/>
      <c r="I2372" s="2" t="s">
        <v>33</v>
      </c>
      <c r="J2372" s="2" t="s">
        <v>34</v>
      </c>
      <c r="K2372" s="2" t="s">
        <v>4133</v>
      </c>
      <c r="L2372" s="2" t="s">
        <v>4134</v>
      </c>
      <c r="M2372" s="2" t="s">
        <v>304</v>
      </c>
      <c r="N2372" s="2" t="s">
        <v>38</v>
      </c>
      <c r="O2372" s="2" t="s">
        <v>1716</v>
      </c>
      <c r="P2372" s="2" t="s">
        <v>14450</v>
      </c>
      <c r="Q2372" s="2" t="s">
        <v>14456</v>
      </c>
      <c r="R2372" s="2" t="s">
        <v>40</v>
      </c>
      <c r="S2372" s="2" t="s">
        <v>14457</v>
      </c>
      <c r="T2372" s="2" t="s">
        <v>12443</v>
      </c>
      <c r="U2372" s="2" t="s">
        <v>14458</v>
      </c>
      <c r="V2372" s="2" t="s">
        <v>14459</v>
      </c>
      <c r="W2372" s="1"/>
      <c r="X2372" s="2" t="s">
        <v>8970</v>
      </c>
      <c r="Y2372" s="2" t="s">
        <v>14265</v>
      </c>
      <c r="AA2372" t="str">
        <f t="shared" ref="AA2372:AA2435" si="222">LEFT(E2372,7)</f>
        <v>2025-10</v>
      </c>
      <c r="AB2372" t="str">
        <f t="shared" ref="AB2372:AB2435" si="223">IF(AND($AA2372&gt;="2025-01",$AA2372&lt;="2025-06"),"H1_2025",IF(AND($AA2372&gt;="2026-01",$AA2372&lt;="2026-06"),"H1_2026",""))</f>
        <v/>
      </c>
      <c r="AC2372">
        <f t="shared" ref="AC2372:AC2435" si="224">IFERROR(VALUE(SUBSTITUTE(S2372,",","")),0)</f>
        <v>2873496.67</v>
      </c>
      <c r="AD2372">
        <f t="shared" ref="AD2372:AD2435" si="225">IFERROR(VALUE(SUBSTITUTE(O2372,",","")),0)</f>
        <v>204</v>
      </c>
      <c r="AE2372">
        <f t="shared" ref="AE2372:AE2435" si="226">IFERROR(VALUE(SUBSTITUTE(V2372,",","")),0)</f>
        <v>262296.67</v>
      </c>
      <c r="AF2372" t="str">
        <f t="shared" ref="AF2372:AF2435" si="227">IF(ISNUMBER(SEARCH("FOC",W2372)),"FOC",IF(ISNUMBER(SEARCH("샘플",W2372)),"Sample","Paid"))</f>
        <v>Paid</v>
      </c>
    </row>
    <row r="2373" spans="1:32" ht="17.25" thickBot="1" x14ac:dyDescent="0.35">
      <c r="A2373" s="2" t="s">
        <v>14460</v>
      </c>
      <c r="B2373" s="2" t="s">
        <v>27</v>
      </c>
      <c r="C2373" s="2" t="s">
        <v>28</v>
      </c>
      <c r="D2373" s="2" t="s">
        <v>97</v>
      </c>
      <c r="E2373" s="2" t="s">
        <v>14259</v>
      </c>
      <c r="F2373" s="2" t="s">
        <v>8445</v>
      </c>
      <c r="G2373" s="2" t="s">
        <v>32</v>
      </c>
      <c r="H2373" s="1"/>
      <c r="I2373" s="2" t="s">
        <v>33</v>
      </c>
      <c r="J2373" s="2" t="s">
        <v>34</v>
      </c>
      <c r="K2373" s="2" t="s">
        <v>456</v>
      </c>
      <c r="L2373" s="2" t="s">
        <v>457</v>
      </c>
      <c r="M2373" s="2" t="s">
        <v>304</v>
      </c>
      <c r="N2373" s="2" t="s">
        <v>38</v>
      </c>
      <c r="O2373" s="2" t="s">
        <v>3864</v>
      </c>
      <c r="P2373" s="2" t="s">
        <v>14273</v>
      </c>
      <c r="Q2373" s="2" t="s">
        <v>14461</v>
      </c>
      <c r="R2373" s="2" t="s">
        <v>40</v>
      </c>
      <c r="S2373" s="2" t="s">
        <v>14462</v>
      </c>
      <c r="T2373" s="2" t="s">
        <v>10362</v>
      </c>
      <c r="U2373" s="2" t="s">
        <v>8266</v>
      </c>
      <c r="V2373" s="2" t="s">
        <v>14463</v>
      </c>
      <c r="W2373" s="1"/>
      <c r="X2373" s="2" t="s">
        <v>8970</v>
      </c>
      <c r="Y2373" s="2" t="s">
        <v>14265</v>
      </c>
      <c r="AA2373" t="str">
        <f t="shared" si="222"/>
        <v>2025-10</v>
      </c>
      <c r="AB2373" t="str">
        <f t="shared" si="223"/>
        <v/>
      </c>
      <c r="AC2373">
        <f t="shared" si="224"/>
        <v>5324420.3</v>
      </c>
      <c r="AD2373">
        <f t="shared" si="225"/>
        <v>504</v>
      </c>
      <c r="AE2373">
        <f t="shared" si="226"/>
        <v>486020.3</v>
      </c>
      <c r="AF2373" t="str">
        <f t="shared" si="227"/>
        <v>Paid</v>
      </c>
    </row>
    <row r="2374" spans="1:32" ht="27.75" thickBot="1" x14ac:dyDescent="0.35">
      <c r="A2374" s="2" t="s">
        <v>14464</v>
      </c>
      <c r="B2374" s="2" t="s">
        <v>27</v>
      </c>
      <c r="C2374" s="2" t="s">
        <v>28</v>
      </c>
      <c r="D2374" s="2" t="s">
        <v>97</v>
      </c>
      <c r="E2374" s="2" t="s">
        <v>14259</v>
      </c>
      <c r="F2374" s="2" t="s">
        <v>8445</v>
      </c>
      <c r="G2374" s="2" t="s">
        <v>32</v>
      </c>
      <c r="H2374" s="1"/>
      <c r="I2374" s="2" t="s">
        <v>33</v>
      </c>
      <c r="J2374" s="2" t="s">
        <v>34</v>
      </c>
      <c r="K2374" s="2" t="s">
        <v>464</v>
      </c>
      <c r="L2374" s="2" t="s">
        <v>465</v>
      </c>
      <c r="M2374" s="2" t="s">
        <v>304</v>
      </c>
      <c r="N2374" s="2" t="s">
        <v>38</v>
      </c>
      <c r="O2374" s="2" t="s">
        <v>5144</v>
      </c>
      <c r="P2374" s="2" t="s">
        <v>14273</v>
      </c>
      <c r="Q2374" s="2" t="s">
        <v>14465</v>
      </c>
      <c r="R2374" s="2" t="s">
        <v>40</v>
      </c>
      <c r="S2374" s="2" t="s">
        <v>14466</v>
      </c>
      <c r="T2374" s="2" t="s">
        <v>10362</v>
      </c>
      <c r="U2374" s="2" t="s">
        <v>14467</v>
      </c>
      <c r="V2374" s="2" t="s">
        <v>14468</v>
      </c>
      <c r="W2374" s="1"/>
      <c r="X2374" s="2" t="s">
        <v>8970</v>
      </c>
      <c r="Y2374" s="2" t="s">
        <v>14265</v>
      </c>
      <c r="AA2374" t="str">
        <f t="shared" si="222"/>
        <v>2025-10</v>
      </c>
      <c r="AB2374" t="str">
        <f t="shared" si="223"/>
        <v/>
      </c>
      <c r="AC2374">
        <f t="shared" si="224"/>
        <v>7352770.9000000004</v>
      </c>
      <c r="AD2374">
        <f t="shared" si="225"/>
        <v>696</v>
      </c>
      <c r="AE2374">
        <f t="shared" si="226"/>
        <v>671170.9</v>
      </c>
      <c r="AF2374" t="str">
        <f t="shared" si="227"/>
        <v>Paid</v>
      </c>
    </row>
    <row r="2375" spans="1:32" ht="17.25" thickBot="1" x14ac:dyDescent="0.35">
      <c r="A2375" s="2" t="s">
        <v>14469</v>
      </c>
      <c r="B2375" s="2" t="s">
        <v>27</v>
      </c>
      <c r="C2375" s="2" t="s">
        <v>28</v>
      </c>
      <c r="D2375" s="2" t="s">
        <v>97</v>
      </c>
      <c r="E2375" s="2" t="s">
        <v>14259</v>
      </c>
      <c r="F2375" s="2" t="s">
        <v>8445</v>
      </c>
      <c r="G2375" s="2" t="s">
        <v>32</v>
      </c>
      <c r="H2375" s="1"/>
      <c r="I2375" s="2" t="s">
        <v>33</v>
      </c>
      <c r="J2375" s="2" t="s">
        <v>34</v>
      </c>
      <c r="K2375" s="2" t="s">
        <v>14470</v>
      </c>
      <c r="L2375" s="2" t="s">
        <v>14471</v>
      </c>
      <c r="M2375" s="2" t="s">
        <v>304</v>
      </c>
      <c r="N2375" s="2" t="s">
        <v>38</v>
      </c>
      <c r="O2375" s="2" t="s">
        <v>877</v>
      </c>
      <c r="P2375" s="2" t="s">
        <v>14472</v>
      </c>
      <c r="Q2375" s="2" t="s">
        <v>14473</v>
      </c>
      <c r="R2375" s="2" t="s">
        <v>40</v>
      </c>
      <c r="S2375" s="2" t="s">
        <v>14474</v>
      </c>
      <c r="T2375" s="2" t="s">
        <v>2522</v>
      </c>
      <c r="U2375" s="2" t="s">
        <v>14475</v>
      </c>
      <c r="V2375" s="2" t="s">
        <v>14476</v>
      </c>
      <c r="W2375" s="1"/>
      <c r="X2375" s="2" t="s">
        <v>6532</v>
      </c>
      <c r="Y2375" s="2" t="s">
        <v>14265</v>
      </c>
      <c r="AA2375" t="str">
        <f t="shared" si="222"/>
        <v>2025-10</v>
      </c>
      <c r="AB2375" t="str">
        <f t="shared" si="223"/>
        <v/>
      </c>
      <c r="AC2375">
        <f t="shared" si="224"/>
        <v>747965.2</v>
      </c>
      <c r="AD2375">
        <f t="shared" si="225"/>
        <v>100</v>
      </c>
      <c r="AE2375">
        <f t="shared" si="226"/>
        <v>237965.2</v>
      </c>
      <c r="AF2375" t="str">
        <f t="shared" si="227"/>
        <v>Paid</v>
      </c>
    </row>
    <row r="2376" spans="1:32" ht="27.75" thickBot="1" x14ac:dyDescent="0.35">
      <c r="A2376" s="2" t="s">
        <v>14477</v>
      </c>
      <c r="B2376" s="2" t="s">
        <v>27</v>
      </c>
      <c r="C2376" s="2" t="s">
        <v>28</v>
      </c>
      <c r="D2376" s="2" t="s">
        <v>97</v>
      </c>
      <c r="E2376" s="2" t="s">
        <v>14259</v>
      </c>
      <c r="F2376" s="2" t="s">
        <v>8445</v>
      </c>
      <c r="G2376" s="2" t="s">
        <v>32</v>
      </c>
      <c r="H2376" s="1"/>
      <c r="I2376" s="2" t="s">
        <v>33</v>
      </c>
      <c r="J2376" s="2" t="s">
        <v>34</v>
      </c>
      <c r="K2376" s="2" t="s">
        <v>472</v>
      </c>
      <c r="L2376" s="2" t="s">
        <v>473</v>
      </c>
      <c r="M2376" s="2" t="s">
        <v>304</v>
      </c>
      <c r="N2376" s="2" t="s">
        <v>38</v>
      </c>
      <c r="O2376" s="2" t="s">
        <v>149</v>
      </c>
      <c r="P2376" s="2" t="s">
        <v>14472</v>
      </c>
      <c r="Q2376" s="2" t="s">
        <v>14478</v>
      </c>
      <c r="R2376" s="2" t="s">
        <v>40</v>
      </c>
      <c r="S2376" s="2" t="s">
        <v>14479</v>
      </c>
      <c r="T2376" s="2" t="s">
        <v>13945</v>
      </c>
      <c r="U2376" s="2" t="s">
        <v>14480</v>
      </c>
      <c r="V2376" s="2" t="s">
        <v>14481</v>
      </c>
      <c r="W2376" s="1"/>
      <c r="X2376" s="2" t="s">
        <v>8970</v>
      </c>
      <c r="Y2376" s="2" t="s">
        <v>14265</v>
      </c>
      <c r="AA2376" t="str">
        <f t="shared" si="222"/>
        <v>2025-10</v>
      </c>
      <c r="AB2376" t="str">
        <f t="shared" si="223"/>
        <v/>
      </c>
      <c r="AC2376">
        <f t="shared" si="224"/>
        <v>2243895.6</v>
      </c>
      <c r="AD2376">
        <f t="shared" si="225"/>
        <v>300</v>
      </c>
      <c r="AE2376">
        <f t="shared" si="226"/>
        <v>203895.6</v>
      </c>
      <c r="AF2376" t="str">
        <f t="shared" si="227"/>
        <v>Paid</v>
      </c>
    </row>
    <row r="2377" spans="1:32" ht="27.75" thickBot="1" x14ac:dyDescent="0.35">
      <c r="A2377" s="2" t="s">
        <v>14482</v>
      </c>
      <c r="B2377" s="2" t="s">
        <v>27</v>
      </c>
      <c r="C2377" s="2" t="s">
        <v>28</v>
      </c>
      <c r="D2377" s="2" t="s">
        <v>97</v>
      </c>
      <c r="E2377" s="2" t="s">
        <v>14259</v>
      </c>
      <c r="F2377" s="2" t="s">
        <v>8445</v>
      </c>
      <c r="G2377" s="2" t="s">
        <v>32</v>
      </c>
      <c r="H2377" s="1"/>
      <c r="I2377" s="2" t="s">
        <v>33</v>
      </c>
      <c r="J2377" s="2" t="s">
        <v>34</v>
      </c>
      <c r="K2377" s="2" t="s">
        <v>481</v>
      </c>
      <c r="L2377" s="2" t="s">
        <v>482</v>
      </c>
      <c r="M2377" s="2" t="s">
        <v>304</v>
      </c>
      <c r="N2377" s="2" t="s">
        <v>38</v>
      </c>
      <c r="O2377" s="2" t="s">
        <v>956</v>
      </c>
      <c r="P2377" s="2" t="s">
        <v>104</v>
      </c>
      <c r="Q2377" s="2" t="s">
        <v>8142</v>
      </c>
      <c r="R2377" s="2" t="s">
        <v>40</v>
      </c>
      <c r="S2377" s="2" t="s">
        <v>14483</v>
      </c>
      <c r="T2377" s="2" t="s">
        <v>5672</v>
      </c>
      <c r="U2377" s="2" t="s">
        <v>13539</v>
      </c>
      <c r="V2377" s="2" t="s">
        <v>14484</v>
      </c>
      <c r="W2377" s="2" t="s">
        <v>41</v>
      </c>
      <c r="X2377" s="2" t="s">
        <v>14485</v>
      </c>
      <c r="Y2377" s="2" t="s">
        <v>14265</v>
      </c>
      <c r="AA2377" t="str">
        <f t="shared" si="222"/>
        <v>2025-10</v>
      </c>
      <c r="AB2377" t="str">
        <f t="shared" si="223"/>
        <v/>
      </c>
      <c r="AC2377">
        <f t="shared" si="224"/>
        <v>1474.09</v>
      </c>
      <c r="AD2377">
        <f t="shared" si="225"/>
        <v>108</v>
      </c>
      <c r="AE2377">
        <f t="shared" si="226"/>
        <v>-1208125.9099999999</v>
      </c>
      <c r="AF2377" t="str">
        <f t="shared" si="227"/>
        <v>Sample</v>
      </c>
    </row>
    <row r="2378" spans="1:32" ht="27.75" thickBot="1" x14ac:dyDescent="0.35">
      <c r="A2378" s="2" t="s">
        <v>14486</v>
      </c>
      <c r="B2378" s="2" t="s">
        <v>27</v>
      </c>
      <c r="C2378" s="2" t="s">
        <v>28</v>
      </c>
      <c r="D2378" s="2" t="s">
        <v>97</v>
      </c>
      <c r="E2378" s="2" t="s">
        <v>14259</v>
      </c>
      <c r="F2378" s="2" t="s">
        <v>8445</v>
      </c>
      <c r="G2378" s="2" t="s">
        <v>32</v>
      </c>
      <c r="H2378" s="1"/>
      <c r="I2378" s="2" t="s">
        <v>33</v>
      </c>
      <c r="J2378" s="2" t="s">
        <v>34</v>
      </c>
      <c r="K2378" s="2" t="s">
        <v>481</v>
      </c>
      <c r="L2378" s="2" t="s">
        <v>482</v>
      </c>
      <c r="M2378" s="2" t="s">
        <v>304</v>
      </c>
      <c r="N2378" s="2" t="s">
        <v>38</v>
      </c>
      <c r="O2378" s="2" t="s">
        <v>14487</v>
      </c>
      <c r="P2378" s="2" t="s">
        <v>14450</v>
      </c>
      <c r="Q2378" s="2" t="s">
        <v>14488</v>
      </c>
      <c r="R2378" s="2" t="s">
        <v>40</v>
      </c>
      <c r="S2378" s="2" t="s">
        <v>14489</v>
      </c>
      <c r="T2378" s="2" t="s">
        <v>5672</v>
      </c>
      <c r="U2378" s="2" t="s">
        <v>14490</v>
      </c>
      <c r="V2378" s="2" t="s">
        <v>14491</v>
      </c>
      <c r="W2378" s="1"/>
      <c r="X2378" s="2" t="s">
        <v>2797</v>
      </c>
      <c r="Y2378" s="2" t="s">
        <v>14265</v>
      </c>
      <c r="AA2378" t="str">
        <f t="shared" si="222"/>
        <v>2025-10</v>
      </c>
      <c r="AB2378" t="str">
        <f t="shared" si="223"/>
        <v/>
      </c>
      <c r="AC2378">
        <f t="shared" si="224"/>
        <v>70738726.900000006</v>
      </c>
      <c r="AD2378">
        <f t="shared" si="225"/>
        <v>5022</v>
      </c>
      <c r="AE2378">
        <f t="shared" si="226"/>
        <v>14492326.9</v>
      </c>
      <c r="AF2378" t="str">
        <f t="shared" si="227"/>
        <v>Paid</v>
      </c>
    </row>
    <row r="2379" spans="1:32" ht="27.75" thickBot="1" x14ac:dyDescent="0.35">
      <c r="A2379" s="2" t="s">
        <v>14492</v>
      </c>
      <c r="B2379" s="2" t="s">
        <v>27</v>
      </c>
      <c r="C2379" s="2" t="s">
        <v>28</v>
      </c>
      <c r="D2379" s="2" t="s">
        <v>97</v>
      </c>
      <c r="E2379" s="2" t="s">
        <v>14259</v>
      </c>
      <c r="F2379" s="2" t="s">
        <v>8445</v>
      </c>
      <c r="G2379" s="2" t="s">
        <v>32</v>
      </c>
      <c r="H2379" s="1"/>
      <c r="I2379" s="2" t="s">
        <v>33</v>
      </c>
      <c r="J2379" s="2" t="s">
        <v>34</v>
      </c>
      <c r="K2379" s="2" t="s">
        <v>491</v>
      </c>
      <c r="L2379" s="2" t="s">
        <v>492</v>
      </c>
      <c r="M2379" s="2" t="s">
        <v>304</v>
      </c>
      <c r="N2379" s="2" t="s">
        <v>38</v>
      </c>
      <c r="O2379" s="2" t="s">
        <v>206</v>
      </c>
      <c r="P2379" s="2" t="s">
        <v>14493</v>
      </c>
      <c r="Q2379" s="2" t="s">
        <v>14494</v>
      </c>
      <c r="R2379" s="2" t="s">
        <v>40</v>
      </c>
      <c r="S2379" s="2" t="s">
        <v>14495</v>
      </c>
      <c r="T2379" s="2" t="s">
        <v>14496</v>
      </c>
      <c r="U2379" s="2" t="s">
        <v>14497</v>
      </c>
      <c r="V2379" s="2" t="s">
        <v>14498</v>
      </c>
      <c r="W2379" s="1"/>
      <c r="X2379" s="2" t="s">
        <v>489</v>
      </c>
      <c r="Y2379" s="2" t="s">
        <v>14265</v>
      </c>
      <c r="AA2379" t="str">
        <f t="shared" si="222"/>
        <v>2025-10</v>
      </c>
      <c r="AB2379" t="str">
        <f t="shared" si="223"/>
        <v/>
      </c>
      <c r="AC2379">
        <f t="shared" si="224"/>
        <v>8578396.5</v>
      </c>
      <c r="AD2379">
        <f t="shared" si="225"/>
        <v>500</v>
      </c>
      <c r="AE2379">
        <f t="shared" si="226"/>
        <v>981196.5</v>
      </c>
      <c r="AF2379" t="str">
        <f t="shared" si="227"/>
        <v>Paid</v>
      </c>
    </row>
    <row r="2380" spans="1:32" ht="17.25" thickBot="1" x14ac:dyDescent="0.35">
      <c r="A2380" s="2" t="s">
        <v>14499</v>
      </c>
      <c r="B2380" s="2" t="s">
        <v>27</v>
      </c>
      <c r="C2380" s="2" t="s">
        <v>28</v>
      </c>
      <c r="D2380" s="2" t="s">
        <v>97</v>
      </c>
      <c r="E2380" s="2" t="s">
        <v>14259</v>
      </c>
      <c r="F2380" s="2" t="s">
        <v>8445</v>
      </c>
      <c r="G2380" s="2" t="s">
        <v>32</v>
      </c>
      <c r="H2380" s="1"/>
      <c r="I2380" s="2" t="s">
        <v>33</v>
      </c>
      <c r="J2380" s="2" t="s">
        <v>34</v>
      </c>
      <c r="K2380" s="2" t="s">
        <v>1566</v>
      </c>
      <c r="L2380" s="2" t="s">
        <v>1567</v>
      </c>
      <c r="M2380" s="2" t="s">
        <v>304</v>
      </c>
      <c r="N2380" s="2" t="s">
        <v>38</v>
      </c>
      <c r="O2380" s="2" t="s">
        <v>1113</v>
      </c>
      <c r="P2380" s="2" t="s">
        <v>14493</v>
      </c>
      <c r="Q2380" s="2" t="s">
        <v>14500</v>
      </c>
      <c r="R2380" s="2" t="s">
        <v>40</v>
      </c>
      <c r="S2380" s="2" t="s">
        <v>14501</v>
      </c>
      <c r="T2380" s="2" t="s">
        <v>9078</v>
      </c>
      <c r="U2380" s="2" t="s">
        <v>14502</v>
      </c>
      <c r="V2380" s="2" t="s">
        <v>14503</v>
      </c>
      <c r="W2380" s="1"/>
      <c r="X2380" s="2" t="s">
        <v>8970</v>
      </c>
      <c r="Y2380" s="2" t="s">
        <v>14265</v>
      </c>
      <c r="AA2380" t="str">
        <f t="shared" si="222"/>
        <v>2025-10</v>
      </c>
      <c r="AB2380" t="str">
        <f t="shared" si="223"/>
        <v/>
      </c>
      <c r="AC2380">
        <f t="shared" si="224"/>
        <v>9264668.2200000007</v>
      </c>
      <c r="AD2380">
        <f t="shared" si="225"/>
        <v>540</v>
      </c>
      <c r="AE2380">
        <f t="shared" si="226"/>
        <v>840668.22</v>
      </c>
      <c r="AF2380" t="str">
        <f t="shared" si="227"/>
        <v>Paid</v>
      </c>
    </row>
    <row r="2381" spans="1:32" ht="27.75" thickBot="1" x14ac:dyDescent="0.35">
      <c r="A2381" s="2" t="s">
        <v>14504</v>
      </c>
      <c r="B2381" s="2" t="s">
        <v>27</v>
      </c>
      <c r="C2381" s="2" t="s">
        <v>28</v>
      </c>
      <c r="D2381" s="2" t="s">
        <v>97</v>
      </c>
      <c r="E2381" s="2" t="s">
        <v>14259</v>
      </c>
      <c r="F2381" s="2" t="s">
        <v>8445</v>
      </c>
      <c r="G2381" s="2" t="s">
        <v>32</v>
      </c>
      <c r="H2381" s="1"/>
      <c r="I2381" s="2" t="s">
        <v>33</v>
      </c>
      <c r="J2381" s="2" t="s">
        <v>34</v>
      </c>
      <c r="K2381" s="2" t="s">
        <v>10567</v>
      </c>
      <c r="L2381" s="2" t="s">
        <v>10568</v>
      </c>
      <c r="M2381" s="2" t="s">
        <v>304</v>
      </c>
      <c r="N2381" s="2" t="s">
        <v>38</v>
      </c>
      <c r="O2381" s="2" t="s">
        <v>14505</v>
      </c>
      <c r="P2381" s="2" t="s">
        <v>419</v>
      </c>
      <c r="Q2381" s="2" t="s">
        <v>14506</v>
      </c>
      <c r="R2381" s="2" t="s">
        <v>40</v>
      </c>
      <c r="S2381" s="2" t="s">
        <v>14507</v>
      </c>
      <c r="T2381" s="2" t="s">
        <v>883</v>
      </c>
      <c r="U2381" s="2" t="s">
        <v>14508</v>
      </c>
      <c r="V2381" s="2" t="s">
        <v>14509</v>
      </c>
      <c r="W2381" s="1"/>
      <c r="X2381" s="2" t="s">
        <v>2797</v>
      </c>
      <c r="Y2381" s="2" t="s">
        <v>14265</v>
      </c>
      <c r="AA2381" t="str">
        <f t="shared" si="222"/>
        <v>2025-10</v>
      </c>
      <c r="AB2381" t="str">
        <f t="shared" si="223"/>
        <v/>
      </c>
      <c r="AC2381">
        <f t="shared" si="224"/>
        <v>91655355.329999998</v>
      </c>
      <c r="AD2381">
        <f t="shared" si="225"/>
        <v>7182</v>
      </c>
      <c r="AE2381">
        <f t="shared" si="226"/>
        <v>18758055.329999998</v>
      </c>
      <c r="AF2381" t="str">
        <f t="shared" si="227"/>
        <v>Paid</v>
      </c>
    </row>
    <row r="2382" spans="1:32" ht="17.25" thickBot="1" x14ac:dyDescent="0.35">
      <c r="A2382" s="2" t="s">
        <v>14510</v>
      </c>
      <c r="B2382" s="2" t="s">
        <v>27</v>
      </c>
      <c r="C2382" s="2" t="s">
        <v>28</v>
      </c>
      <c r="D2382" s="2" t="s">
        <v>97</v>
      </c>
      <c r="E2382" s="2" t="s">
        <v>14259</v>
      </c>
      <c r="F2382" s="2" t="s">
        <v>8445</v>
      </c>
      <c r="G2382" s="2" t="s">
        <v>32</v>
      </c>
      <c r="H2382" s="1"/>
      <c r="I2382" s="2" t="s">
        <v>33</v>
      </c>
      <c r="J2382" s="2" t="s">
        <v>34</v>
      </c>
      <c r="K2382" s="2" t="s">
        <v>509</v>
      </c>
      <c r="L2382" s="2" t="s">
        <v>510</v>
      </c>
      <c r="M2382" s="2" t="s">
        <v>304</v>
      </c>
      <c r="N2382" s="2" t="s">
        <v>38</v>
      </c>
      <c r="O2382" s="2" t="s">
        <v>177</v>
      </c>
      <c r="P2382" s="2" t="s">
        <v>528</v>
      </c>
      <c r="Q2382" s="2" t="s">
        <v>14511</v>
      </c>
      <c r="R2382" s="2" t="s">
        <v>40</v>
      </c>
      <c r="S2382" s="2" t="s">
        <v>14512</v>
      </c>
      <c r="T2382" s="2" t="s">
        <v>4418</v>
      </c>
      <c r="U2382" s="2" t="s">
        <v>14513</v>
      </c>
      <c r="V2382" s="2" t="s">
        <v>14514</v>
      </c>
      <c r="W2382" s="1"/>
      <c r="X2382" s="2" t="s">
        <v>11500</v>
      </c>
      <c r="Y2382" s="2" t="s">
        <v>14265</v>
      </c>
      <c r="AA2382" t="str">
        <f t="shared" si="222"/>
        <v>2025-10</v>
      </c>
      <c r="AB2382" t="str">
        <f t="shared" si="223"/>
        <v/>
      </c>
      <c r="AC2382">
        <f t="shared" si="224"/>
        <v>4400437.5999999996</v>
      </c>
      <c r="AD2382">
        <f t="shared" si="225"/>
        <v>400</v>
      </c>
      <c r="AE2382">
        <f t="shared" si="226"/>
        <v>600437.6</v>
      </c>
      <c r="AF2382" t="str">
        <f t="shared" si="227"/>
        <v>Paid</v>
      </c>
    </row>
    <row r="2383" spans="1:32" ht="27.75" thickBot="1" x14ac:dyDescent="0.35">
      <c r="A2383" s="2" t="s">
        <v>14515</v>
      </c>
      <c r="B2383" s="2" t="s">
        <v>27</v>
      </c>
      <c r="C2383" s="2" t="s">
        <v>28</v>
      </c>
      <c r="D2383" s="2" t="s">
        <v>97</v>
      </c>
      <c r="E2383" s="2" t="s">
        <v>14259</v>
      </c>
      <c r="F2383" s="2" t="s">
        <v>8445</v>
      </c>
      <c r="G2383" s="2" t="s">
        <v>32</v>
      </c>
      <c r="H2383" s="1"/>
      <c r="I2383" s="2" t="s">
        <v>33</v>
      </c>
      <c r="J2383" s="2" t="s">
        <v>34</v>
      </c>
      <c r="K2383" s="2" t="s">
        <v>515</v>
      </c>
      <c r="L2383" s="2" t="s">
        <v>516</v>
      </c>
      <c r="M2383" s="2" t="s">
        <v>304</v>
      </c>
      <c r="N2383" s="2" t="s">
        <v>38</v>
      </c>
      <c r="O2383" s="2" t="s">
        <v>1951</v>
      </c>
      <c r="P2383" s="2" t="s">
        <v>419</v>
      </c>
      <c r="Q2383" s="2" t="s">
        <v>14516</v>
      </c>
      <c r="R2383" s="2" t="s">
        <v>40</v>
      </c>
      <c r="S2383" s="2" t="s">
        <v>14517</v>
      </c>
      <c r="T2383" s="2" t="s">
        <v>6823</v>
      </c>
      <c r="U2383" s="2" t="s">
        <v>14518</v>
      </c>
      <c r="V2383" s="2" t="s">
        <v>14519</v>
      </c>
      <c r="W2383" s="1"/>
      <c r="X2383" s="2" t="s">
        <v>8970</v>
      </c>
      <c r="Y2383" s="2" t="s">
        <v>14265</v>
      </c>
      <c r="AA2383" t="str">
        <f t="shared" si="222"/>
        <v>2025-10</v>
      </c>
      <c r="AB2383" t="str">
        <f t="shared" si="223"/>
        <v/>
      </c>
      <c r="AC2383">
        <f t="shared" si="224"/>
        <v>7657089</v>
      </c>
      <c r="AD2383">
        <f t="shared" si="225"/>
        <v>600</v>
      </c>
      <c r="AE2383">
        <f t="shared" si="226"/>
        <v>697089</v>
      </c>
      <c r="AF2383" t="str">
        <f t="shared" si="227"/>
        <v>Paid</v>
      </c>
    </row>
    <row r="2384" spans="1:32" ht="17.25" thickBot="1" x14ac:dyDescent="0.35">
      <c r="A2384" s="2" t="s">
        <v>14520</v>
      </c>
      <c r="B2384" s="2" t="s">
        <v>27</v>
      </c>
      <c r="C2384" s="2" t="s">
        <v>28</v>
      </c>
      <c r="D2384" s="2" t="s">
        <v>97</v>
      </c>
      <c r="E2384" s="2" t="s">
        <v>14259</v>
      </c>
      <c r="F2384" s="2" t="s">
        <v>8445</v>
      </c>
      <c r="G2384" s="2" t="s">
        <v>32</v>
      </c>
      <c r="H2384" s="1"/>
      <c r="I2384" s="2" t="s">
        <v>33</v>
      </c>
      <c r="J2384" s="2" t="s">
        <v>34</v>
      </c>
      <c r="K2384" s="2" t="s">
        <v>525</v>
      </c>
      <c r="L2384" s="2" t="s">
        <v>526</v>
      </c>
      <c r="M2384" s="2" t="s">
        <v>304</v>
      </c>
      <c r="N2384" s="2" t="s">
        <v>38</v>
      </c>
      <c r="O2384" s="2" t="s">
        <v>1951</v>
      </c>
      <c r="P2384" s="2" t="s">
        <v>5961</v>
      </c>
      <c r="Q2384" s="2" t="s">
        <v>1168</v>
      </c>
      <c r="R2384" s="2" t="s">
        <v>40</v>
      </c>
      <c r="S2384" s="2" t="s">
        <v>14521</v>
      </c>
      <c r="T2384" s="2" t="s">
        <v>1210</v>
      </c>
      <c r="U2384" s="2" t="s">
        <v>14522</v>
      </c>
      <c r="V2384" s="2" t="s">
        <v>14523</v>
      </c>
      <c r="W2384" s="1"/>
      <c r="X2384" s="2" t="s">
        <v>3589</v>
      </c>
      <c r="Y2384" s="2" t="s">
        <v>14265</v>
      </c>
      <c r="AA2384" t="str">
        <f t="shared" si="222"/>
        <v>2025-10</v>
      </c>
      <c r="AB2384" t="str">
        <f t="shared" si="223"/>
        <v/>
      </c>
      <c r="AC2384">
        <f t="shared" si="224"/>
        <v>7124778</v>
      </c>
      <c r="AD2384">
        <f t="shared" si="225"/>
        <v>600</v>
      </c>
      <c r="AE2384">
        <f t="shared" si="226"/>
        <v>1454778</v>
      </c>
      <c r="AF2384" t="str">
        <f t="shared" si="227"/>
        <v>Paid</v>
      </c>
    </row>
    <row r="2385" spans="1:32" ht="27.75" thickBot="1" x14ac:dyDescent="0.35">
      <c r="A2385" s="2" t="s">
        <v>14524</v>
      </c>
      <c r="B2385" s="2" t="s">
        <v>27</v>
      </c>
      <c r="C2385" s="2" t="s">
        <v>28</v>
      </c>
      <c r="D2385" s="2" t="s">
        <v>97</v>
      </c>
      <c r="E2385" s="2" t="s">
        <v>14259</v>
      </c>
      <c r="F2385" s="2" t="s">
        <v>8445</v>
      </c>
      <c r="G2385" s="2" t="s">
        <v>32</v>
      </c>
      <c r="H2385" s="1"/>
      <c r="I2385" s="2" t="s">
        <v>33</v>
      </c>
      <c r="J2385" s="2" t="s">
        <v>34</v>
      </c>
      <c r="K2385" s="2" t="s">
        <v>534</v>
      </c>
      <c r="L2385" s="2" t="s">
        <v>535</v>
      </c>
      <c r="M2385" s="2" t="s">
        <v>304</v>
      </c>
      <c r="N2385" s="2" t="s">
        <v>38</v>
      </c>
      <c r="O2385" s="2" t="s">
        <v>14525</v>
      </c>
      <c r="P2385" s="2" t="s">
        <v>419</v>
      </c>
      <c r="Q2385" s="2" t="s">
        <v>14526</v>
      </c>
      <c r="R2385" s="2" t="s">
        <v>40</v>
      </c>
      <c r="S2385" s="2" t="s">
        <v>14527</v>
      </c>
      <c r="T2385" s="2" t="s">
        <v>883</v>
      </c>
      <c r="U2385" s="2" t="s">
        <v>14528</v>
      </c>
      <c r="V2385" s="2" t="s">
        <v>14529</v>
      </c>
      <c r="W2385" s="1"/>
      <c r="X2385" s="2" t="s">
        <v>2797</v>
      </c>
      <c r="Y2385" s="2" t="s">
        <v>14265</v>
      </c>
      <c r="AA2385" t="str">
        <f t="shared" si="222"/>
        <v>2025-10</v>
      </c>
      <c r="AB2385" t="str">
        <f t="shared" si="223"/>
        <v/>
      </c>
      <c r="AC2385">
        <f t="shared" si="224"/>
        <v>16539312.24</v>
      </c>
      <c r="AD2385">
        <f t="shared" si="225"/>
        <v>1296</v>
      </c>
      <c r="AE2385">
        <f t="shared" si="226"/>
        <v>3384912.24</v>
      </c>
      <c r="AF2385" t="str">
        <f t="shared" si="227"/>
        <v>Paid</v>
      </c>
    </row>
    <row r="2386" spans="1:32" ht="17.25" thickBot="1" x14ac:dyDescent="0.35">
      <c r="A2386" s="2" t="s">
        <v>14530</v>
      </c>
      <c r="B2386" s="2" t="s">
        <v>27</v>
      </c>
      <c r="C2386" s="2" t="s">
        <v>28</v>
      </c>
      <c r="D2386" s="2" t="s">
        <v>97</v>
      </c>
      <c r="E2386" s="2" t="s">
        <v>14259</v>
      </c>
      <c r="F2386" s="2" t="s">
        <v>8445</v>
      </c>
      <c r="G2386" s="2" t="s">
        <v>32</v>
      </c>
      <c r="H2386" s="1"/>
      <c r="I2386" s="2" t="s">
        <v>33</v>
      </c>
      <c r="J2386" s="2" t="s">
        <v>34</v>
      </c>
      <c r="K2386" s="2" t="s">
        <v>542</v>
      </c>
      <c r="L2386" s="2" t="s">
        <v>543</v>
      </c>
      <c r="M2386" s="2" t="s">
        <v>304</v>
      </c>
      <c r="N2386" s="2" t="s">
        <v>38</v>
      </c>
      <c r="O2386" s="2" t="s">
        <v>11055</v>
      </c>
      <c r="P2386" s="2" t="s">
        <v>528</v>
      </c>
      <c r="Q2386" s="2" t="s">
        <v>14531</v>
      </c>
      <c r="R2386" s="2" t="s">
        <v>40</v>
      </c>
      <c r="S2386" s="2" t="s">
        <v>14532</v>
      </c>
      <c r="T2386" s="2" t="s">
        <v>2111</v>
      </c>
      <c r="U2386" s="2" t="s">
        <v>14533</v>
      </c>
      <c r="V2386" s="2" t="s">
        <v>14534</v>
      </c>
      <c r="W2386" s="1"/>
      <c r="X2386" s="2" t="s">
        <v>8970</v>
      </c>
      <c r="Y2386" s="2" t="s">
        <v>14265</v>
      </c>
      <c r="AA2386" t="str">
        <f t="shared" si="222"/>
        <v>2025-10</v>
      </c>
      <c r="AB2386" t="str">
        <f t="shared" si="223"/>
        <v/>
      </c>
      <c r="AC2386">
        <f t="shared" si="224"/>
        <v>20902078.600000001</v>
      </c>
      <c r="AD2386">
        <f t="shared" si="225"/>
        <v>1900</v>
      </c>
      <c r="AE2386">
        <f t="shared" si="226"/>
        <v>1902078.6</v>
      </c>
      <c r="AF2386" t="str">
        <f t="shared" si="227"/>
        <v>Paid</v>
      </c>
    </row>
    <row r="2387" spans="1:32" ht="17.25" thickBot="1" x14ac:dyDescent="0.35">
      <c r="A2387" s="2" t="s">
        <v>14535</v>
      </c>
      <c r="B2387" s="2" t="s">
        <v>27</v>
      </c>
      <c r="C2387" s="2" t="s">
        <v>28</v>
      </c>
      <c r="D2387" s="2" t="s">
        <v>97</v>
      </c>
      <c r="E2387" s="2" t="s">
        <v>14259</v>
      </c>
      <c r="F2387" s="2" t="s">
        <v>8445</v>
      </c>
      <c r="G2387" s="2" t="s">
        <v>32</v>
      </c>
      <c r="H2387" s="1"/>
      <c r="I2387" s="2" t="s">
        <v>33</v>
      </c>
      <c r="J2387" s="2" t="s">
        <v>34</v>
      </c>
      <c r="K2387" s="2" t="s">
        <v>550</v>
      </c>
      <c r="L2387" s="2" t="s">
        <v>551</v>
      </c>
      <c r="M2387" s="2" t="s">
        <v>304</v>
      </c>
      <c r="N2387" s="2" t="s">
        <v>38</v>
      </c>
      <c r="O2387" s="2" t="s">
        <v>114</v>
      </c>
      <c r="P2387" s="2" t="s">
        <v>528</v>
      </c>
      <c r="Q2387" s="2" t="s">
        <v>14536</v>
      </c>
      <c r="R2387" s="2" t="s">
        <v>40</v>
      </c>
      <c r="S2387" s="2" t="s">
        <v>14537</v>
      </c>
      <c r="T2387" s="2" t="s">
        <v>2111</v>
      </c>
      <c r="U2387" s="2" t="s">
        <v>1881</v>
      </c>
      <c r="V2387" s="2" t="s">
        <v>14538</v>
      </c>
      <c r="W2387" s="1"/>
      <c r="X2387" s="2" t="s">
        <v>8970</v>
      </c>
      <c r="Y2387" s="2" t="s">
        <v>14265</v>
      </c>
      <c r="AA2387" t="str">
        <f t="shared" si="222"/>
        <v>2025-10</v>
      </c>
      <c r="AB2387" t="str">
        <f t="shared" si="223"/>
        <v/>
      </c>
      <c r="AC2387">
        <f t="shared" si="224"/>
        <v>2640262.56</v>
      </c>
      <c r="AD2387">
        <f t="shared" si="225"/>
        <v>240</v>
      </c>
      <c r="AE2387">
        <f t="shared" si="226"/>
        <v>240262.56</v>
      </c>
      <c r="AF2387" t="str">
        <f t="shared" si="227"/>
        <v>Paid</v>
      </c>
    </row>
    <row r="2388" spans="1:32" ht="17.25" thickBot="1" x14ac:dyDescent="0.35">
      <c r="A2388" s="2" t="s">
        <v>14539</v>
      </c>
      <c r="B2388" s="2" t="s">
        <v>27</v>
      </c>
      <c r="C2388" s="2" t="s">
        <v>28</v>
      </c>
      <c r="D2388" s="2" t="s">
        <v>97</v>
      </c>
      <c r="E2388" s="2" t="s">
        <v>14259</v>
      </c>
      <c r="F2388" s="2" t="s">
        <v>8445</v>
      </c>
      <c r="G2388" s="2" t="s">
        <v>32</v>
      </c>
      <c r="H2388" s="1"/>
      <c r="I2388" s="2" t="s">
        <v>33</v>
      </c>
      <c r="J2388" s="2" t="s">
        <v>34</v>
      </c>
      <c r="K2388" s="2" t="s">
        <v>558</v>
      </c>
      <c r="L2388" s="2" t="s">
        <v>559</v>
      </c>
      <c r="M2388" s="2" t="s">
        <v>304</v>
      </c>
      <c r="N2388" s="2" t="s">
        <v>38</v>
      </c>
      <c r="O2388" s="2" t="s">
        <v>3864</v>
      </c>
      <c r="P2388" s="2" t="s">
        <v>2528</v>
      </c>
      <c r="Q2388" s="2" t="s">
        <v>14540</v>
      </c>
      <c r="R2388" s="2" t="s">
        <v>40</v>
      </c>
      <c r="S2388" s="2" t="s">
        <v>14541</v>
      </c>
      <c r="T2388" s="2" t="s">
        <v>2069</v>
      </c>
      <c r="U2388" s="2" t="s">
        <v>14542</v>
      </c>
      <c r="V2388" s="2" t="s">
        <v>14543</v>
      </c>
      <c r="W2388" s="1"/>
      <c r="X2388" s="2" t="s">
        <v>8970</v>
      </c>
      <c r="Y2388" s="2" t="s">
        <v>14265</v>
      </c>
      <c r="AA2388" t="str">
        <f t="shared" si="222"/>
        <v>2025-10</v>
      </c>
      <c r="AB2388" t="str">
        <f t="shared" si="223"/>
        <v/>
      </c>
      <c r="AC2388">
        <f t="shared" si="224"/>
        <v>4877279.0599999996</v>
      </c>
      <c r="AD2388">
        <f t="shared" si="225"/>
        <v>504</v>
      </c>
      <c r="AE2388">
        <f t="shared" si="226"/>
        <v>442079.06</v>
      </c>
      <c r="AF2388" t="str">
        <f t="shared" si="227"/>
        <v>Paid</v>
      </c>
    </row>
    <row r="2389" spans="1:32" ht="17.25" thickBot="1" x14ac:dyDescent="0.35">
      <c r="A2389" s="2" t="s">
        <v>14544</v>
      </c>
      <c r="B2389" s="2" t="s">
        <v>27</v>
      </c>
      <c r="C2389" s="2" t="s">
        <v>28</v>
      </c>
      <c r="D2389" s="2" t="s">
        <v>97</v>
      </c>
      <c r="E2389" s="2" t="s">
        <v>14259</v>
      </c>
      <c r="F2389" s="2" t="s">
        <v>8445</v>
      </c>
      <c r="G2389" s="2" t="s">
        <v>32</v>
      </c>
      <c r="H2389" s="1"/>
      <c r="I2389" s="2" t="s">
        <v>33</v>
      </c>
      <c r="J2389" s="2" t="s">
        <v>34</v>
      </c>
      <c r="K2389" s="2" t="s">
        <v>4636</v>
      </c>
      <c r="L2389" s="2" t="s">
        <v>4637</v>
      </c>
      <c r="M2389" s="2" t="s">
        <v>37</v>
      </c>
      <c r="N2389" s="2" t="s">
        <v>38</v>
      </c>
      <c r="O2389" s="2" t="s">
        <v>1064</v>
      </c>
      <c r="P2389" s="2" t="s">
        <v>2711</v>
      </c>
      <c r="Q2389" s="2" t="s">
        <v>14545</v>
      </c>
      <c r="R2389" s="2" t="s">
        <v>40</v>
      </c>
      <c r="S2389" s="2" t="s">
        <v>14546</v>
      </c>
      <c r="T2389" s="2" t="s">
        <v>107</v>
      </c>
      <c r="U2389" s="2" t="s">
        <v>14547</v>
      </c>
      <c r="V2389" s="2" t="s">
        <v>14548</v>
      </c>
      <c r="W2389" s="1"/>
      <c r="X2389" s="2" t="s">
        <v>1100</v>
      </c>
      <c r="Y2389" s="2" t="s">
        <v>14549</v>
      </c>
      <c r="AA2389" t="str">
        <f t="shared" si="222"/>
        <v>2025-10</v>
      </c>
      <c r="AB2389" t="str">
        <f t="shared" si="223"/>
        <v/>
      </c>
      <c r="AC2389">
        <f t="shared" si="224"/>
        <v>800100.55</v>
      </c>
      <c r="AD2389">
        <f t="shared" si="225"/>
        <v>119</v>
      </c>
      <c r="AE2389">
        <f t="shared" si="226"/>
        <v>133700.54999999999</v>
      </c>
      <c r="AF2389" t="str">
        <f t="shared" si="227"/>
        <v>Paid</v>
      </c>
    </row>
    <row r="2390" spans="1:32" ht="17.25" thickBot="1" x14ac:dyDescent="0.35">
      <c r="A2390" s="2" t="s">
        <v>14550</v>
      </c>
      <c r="B2390" s="2" t="s">
        <v>27</v>
      </c>
      <c r="C2390" s="2" t="s">
        <v>28</v>
      </c>
      <c r="D2390" s="2" t="s">
        <v>97</v>
      </c>
      <c r="E2390" s="2" t="s">
        <v>14259</v>
      </c>
      <c r="F2390" s="2" t="s">
        <v>8445</v>
      </c>
      <c r="G2390" s="2" t="s">
        <v>32</v>
      </c>
      <c r="H2390" s="1"/>
      <c r="I2390" s="2" t="s">
        <v>33</v>
      </c>
      <c r="J2390" s="2" t="s">
        <v>34</v>
      </c>
      <c r="K2390" s="2" t="s">
        <v>6453</v>
      </c>
      <c r="L2390" s="2" t="s">
        <v>6454</v>
      </c>
      <c r="M2390" s="2" t="s">
        <v>37</v>
      </c>
      <c r="N2390" s="2" t="s">
        <v>38</v>
      </c>
      <c r="O2390" s="2" t="s">
        <v>2227</v>
      </c>
      <c r="P2390" s="2" t="s">
        <v>2711</v>
      </c>
      <c r="Q2390" s="2" t="s">
        <v>14551</v>
      </c>
      <c r="R2390" s="2" t="s">
        <v>40</v>
      </c>
      <c r="S2390" s="2" t="s">
        <v>14552</v>
      </c>
      <c r="T2390" s="2" t="s">
        <v>107</v>
      </c>
      <c r="U2390" s="2" t="s">
        <v>7989</v>
      </c>
      <c r="V2390" s="2" t="s">
        <v>14553</v>
      </c>
      <c r="W2390" s="1"/>
      <c r="X2390" s="2" t="s">
        <v>1100</v>
      </c>
      <c r="Y2390" s="2" t="s">
        <v>14549</v>
      </c>
      <c r="AA2390" t="str">
        <f t="shared" si="222"/>
        <v>2025-10</v>
      </c>
      <c r="AB2390" t="str">
        <f t="shared" si="223"/>
        <v/>
      </c>
      <c r="AC2390">
        <f t="shared" si="224"/>
        <v>1795183.58</v>
      </c>
      <c r="AD2390">
        <f t="shared" si="225"/>
        <v>267</v>
      </c>
      <c r="AE2390">
        <f t="shared" si="226"/>
        <v>299983.58</v>
      </c>
      <c r="AF2390" t="str">
        <f t="shared" si="227"/>
        <v>Paid</v>
      </c>
    </row>
    <row r="2391" spans="1:32" ht="17.25" thickBot="1" x14ac:dyDescent="0.35">
      <c r="A2391" s="2" t="s">
        <v>14554</v>
      </c>
      <c r="B2391" s="2" t="s">
        <v>27</v>
      </c>
      <c r="C2391" s="2" t="s">
        <v>28</v>
      </c>
      <c r="D2391" s="2" t="s">
        <v>97</v>
      </c>
      <c r="E2391" s="2" t="s">
        <v>14259</v>
      </c>
      <c r="F2391" s="2" t="s">
        <v>8445</v>
      </c>
      <c r="G2391" s="2" t="s">
        <v>32</v>
      </c>
      <c r="H2391" s="1"/>
      <c r="I2391" s="2" t="s">
        <v>33</v>
      </c>
      <c r="J2391" s="2" t="s">
        <v>34</v>
      </c>
      <c r="K2391" s="2" t="s">
        <v>6453</v>
      </c>
      <c r="L2391" s="2" t="s">
        <v>6454</v>
      </c>
      <c r="M2391" s="2" t="s">
        <v>37</v>
      </c>
      <c r="N2391" s="2" t="s">
        <v>38</v>
      </c>
      <c r="O2391" s="2" t="s">
        <v>4070</v>
      </c>
      <c r="P2391" s="2" t="s">
        <v>2711</v>
      </c>
      <c r="Q2391" s="2" t="s">
        <v>14555</v>
      </c>
      <c r="R2391" s="2" t="s">
        <v>40</v>
      </c>
      <c r="S2391" s="2" t="s">
        <v>14556</v>
      </c>
      <c r="T2391" s="2" t="s">
        <v>107</v>
      </c>
      <c r="U2391" s="2" t="s">
        <v>14557</v>
      </c>
      <c r="V2391" s="2" t="s">
        <v>14558</v>
      </c>
      <c r="W2391" s="1"/>
      <c r="X2391" s="2" t="s">
        <v>1100</v>
      </c>
      <c r="Y2391" s="2" t="s">
        <v>14549</v>
      </c>
      <c r="AA2391" t="str">
        <f t="shared" si="222"/>
        <v>2025-10</v>
      </c>
      <c r="AB2391" t="str">
        <f t="shared" si="223"/>
        <v/>
      </c>
      <c r="AC2391">
        <f t="shared" si="224"/>
        <v>3583643.62</v>
      </c>
      <c r="AD2391">
        <f t="shared" si="225"/>
        <v>533</v>
      </c>
      <c r="AE2391">
        <f t="shared" si="226"/>
        <v>598843.62</v>
      </c>
      <c r="AF2391" t="str">
        <f t="shared" si="227"/>
        <v>Paid</v>
      </c>
    </row>
    <row r="2392" spans="1:32" ht="17.25" thickBot="1" x14ac:dyDescent="0.35">
      <c r="A2392" s="2" t="s">
        <v>14559</v>
      </c>
      <c r="B2392" s="2" t="s">
        <v>27</v>
      </c>
      <c r="C2392" s="2" t="s">
        <v>28</v>
      </c>
      <c r="D2392" s="2" t="s">
        <v>97</v>
      </c>
      <c r="E2392" s="2" t="s">
        <v>14259</v>
      </c>
      <c r="F2392" s="2" t="s">
        <v>8445</v>
      </c>
      <c r="G2392" s="2" t="s">
        <v>32</v>
      </c>
      <c r="H2392" s="1"/>
      <c r="I2392" s="2" t="s">
        <v>33</v>
      </c>
      <c r="J2392" s="2" t="s">
        <v>34</v>
      </c>
      <c r="K2392" s="2" t="s">
        <v>11681</v>
      </c>
      <c r="L2392" s="2" t="s">
        <v>11682</v>
      </c>
      <c r="M2392" s="2" t="s">
        <v>37</v>
      </c>
      <c r="N2392" s="2" t="s">
        <v>38</v>
      </c>
      <c r="O2392" s="2" t="s">
        <v>131</v>
      </c>
      <c r="P2392" s="2" t="s">
        <v>14560</v>
      </c>
      <c r="Q2392" s="2" t="s">
        <v>14561</v>
      </c>
      <c r="R2392" s="2" t="s">
        <v>40</v>
      </c>
      <c r="S2392" s="2" t="s">
        <v>14562</v>
      </c>
      <c r="T2392" s="2" t="s">
        <v>267</v>
      </c>
      <c r="U2392" s="2" t="s">
        <v>14563</v>
      </c>
      <c r="V2392" s="2" t="s">
        <v>14564</v>
      </c>
      <c r="W2392" s="1"/>
      <c r="X2392" s="2" t="s">
        <v>1340</v>
      </c>
      <c r="Y2392" s="2" t="s">
        <v>14549</v>
      </c>
      <c r="AA2392" t="str">
        <f t="shared" si="222"/>
        <v>2025-10</v>
      </c>
      <c r="AB2392" t="str">
        <f t="shared" si="223"/>
        <v/>
      </c>
      <c r="AC2392">
        <f t="shared" si="224"/>
        <v>369862.56</v>
      </c>
      <c r="AD2392">
        <f t="shared" si="225"/>
        <v>40</v>
      </c>
      <c r="AE2392">
        <f t="shared" si="226"/>
        <v>105862.56</v>
      </c>
      <c r="AF2392" t="str">
        <f t="shared" si="227"/>
        <v>Paid</v>
      </c>
    </row>
    <row r="2393" spans="1:32" ht="17.25" thickBot="1" x14ac:dyDescent="0.35">
      <c r="A2393" s="2" t="s">
        <v>14565</v>
      </c>
      <c r="B2393" s="2" t="s">
        <v>27</v>
      </c>
      <c r="C2393" s="2" t="s">
        <v>28</v>
      </c>
      <c r="D2393" s="2" t="s">
        <v>97</v>
      </c>
      <c r="E2393" s="2" t="s">
        <v>14259</v>
      </c>
      <c r="F2393" s="2" t="s">
        <v>8445</v>
      </c>
      <c r="G2393" s="2" t="s">
        <v>32</v>
      </c>
      <c r="H2393" s="1"/>
      <c r="I2393" s="2" t="s">
        <v>33</v>
      </c>
      <c r="J2393" s="2" t="s">
        <v>34</v>
      </c>
      <c r="K2393" s="2" t="s">
        <v>1093</v>
      </c>
      <c r="L2393" s="2" t="s">
        <v>1094</v>
      </c>
      <c r="M2393" s="2" t="s">
        <v>37</v>
      </c>
      <c r="N2393" s="2" t="s">
        <v>38</v>
      </c>
      <c r="O2393" s="2" t="s">
        <v>114</v>
      </c>
      <c r="P2393" s="2" t="s">
        <v>6237</v>
      </c>
      <c r="Q2393" s="2" t="s">
        <v>14566</v>
      </c>
      <c r="R2393" s="2" t="s">
        <v>40</v>
      </c>
      <c r="S2393" s="2" t="s">
        <v>14567</v>
      </c>
      <c r="T2393" s="2" t="s">
        <v>126</v>
      </c>
      <c r="U2393" s="2" t="s">
        <v>1858</v>
      </c>
      <c r="V2393" s="2" t="s">
        <v>14568</v>
      </c>
      <c r="W2393" s="1"/>
      <c r="X2393" s="2" t="s">
        <v>3216</v>
      </c>
      <c r="Y2393" s="2" t="s">
        <v>14549</v>
      </c>
      <c r="AA2393" t="str">
        <f t="shared" si="222"/>
        <v>2025-10</v>
      </c>
      <c r="AB2393" t="str">
        <f t="shared" si="223"/>
        <v/>
      </c>
      <c r="AC2393">
        <f t="shared" si="224"/>
        <v>1813308.48</v>
      </c>
      <c r="AD2393">
        <f t="shared" si="225"/>
        <v>240</v>
      </c>
      <c r="AE2393">
        <f t="shared" si="226"/>
        <v>301308.48</v>
      </c>
      <c r="AF2393" t="str">
        <f t="shared" si="227"/>
        <v>Paid</v>
      </c>
    </row>
    <row r="2394" spans="1:32" ht="17.25" thickBot="1" x14ac:dyDescent="0.35">
      <c r="A2394" s="2" t="s">
        <v>14569</v>
      </c>
      <c r="B2394" s="2" t="s">
        <v>27</v>
      </c>
      <c r="C2394" s="2" t="s">
        <v>28</v>
      </c>
      <c r="D2394" s="2" t="s">
        <v>97</v>
      </c>
      <c r="E2394" s="2" t="s">
        <v>14259</v>
      </c>
      <c r="F2394" s="2" t="s">
        <v>8445</v>
      </c>
      <c r="G2394" s="2" t="s">
        <v>32</v>
      </c>
      <c r="H2394" s="1"/>
      <c r="I2394" s="2" t="s">
        <v>33</v>
      </c>
      <c r="J2394" s="2" t="s">
        <v>34</v>
      </c>
      <c r="K2394" s="2" t="s">
        <v>5357</v>
      </c>
      <c r="L2394" s="2" t="s">
        <v>5358</v>
      </c>
      <c r="M2394" s="2" t="s">
        <v>37</v>
      </c>
      <c r="N2394" s="2" t="s">
        <v>38</v>
      </c>
      <c r="O2394" s="2" t="s">
        <v>1914</v>
      </c>
      <c r="P2394" s="2" t="s">
        <v>3568</v>
      </c>
      <c r="Q2394" s="2" t="s">
        <v>14570</v>
      </c>
      <c r="R2394" s="2" t="s">
        <v>40</v>
      </c>
      <c r="S2394" s="2" t="s">
        <v>14571</v>
      </c>
      <c r="T2394" s="2" t="s">
        <v>1136</v>
      </c>
      <c r="U2394" s="2" t="s">
        <v>14572</v>
      </c>
      <c r="V2394" s="2" t="s">
        <v>14573</v>
      </c>
      <c r="W2394" s="1"/>
      <c r="X2394" s="2" t="s">
        <v>1120</v>
      </c>
      <c r="Y2394" s="2" t="s">
        <v>14549</v>
      </c>
      <c r="AA2394" t="str">
        <f t="shared" si="222"/>
        <v>2025-10</v>
      </c>
      <c r="AB2394" t="str">
        <f t="shared" si="223"/>
        <v/>
      </c>
      <c r="AC2394">
        <f t="shared" si="224"/>
        <v>4541454</v>
      </c>
      <c r="AD2394">
        <f t="shared" si="225"/>
        <v>900</v>
      </c>
      <c r="AE2394">
        <f t="shared" si="226"/>
        <v>761454</v>
      </c>
      <c r="AF2394" t="str">
        <f t="shared" si="227"/>
        <v>Paid</v>
      </c>
    </row>
    <row r="2395" spans="1:32" ht="17.25" thickBot="1" x14ac:dyDescent="0.35">
      <c r="A2395" s="2" t="s">
        <v>14574</v>
      </c>
      <c r="B2395" s="2" t="s">
        <v>27</v>
      </c>
      <c r="C2395" s="2" t="s">
        <v>28</v>
      </c>
      <c r="D2395" s="2" t="s">
        <v>97</v>
      </c>
      <c r="E2395" s="2" t="s">
        <v>14259</v>
      </c>
      <c r="F2395" s="2" t="s">
        <v>8445</v>
      </c>
      <c r="G2395" s="2" t="s">
        <v>32</v>
      </c>
      <c r="H2395" s="1"/>
      <c r="I2395" s="2" t="s">
        <v>33</v>
      </c>
      <c r="J2395" s="2" t="s">
        <v>34</v>
      </c>
      <c r="K2395" s="2" t="s">
        <v>1102</v>
      </c>
      <c r="L2395" s="2" t="s">
        <v>1103</v>
      </c>
      <c r="M2395" s="2" t="s">
        <v>37</v>
      </c>
      <c r="N2395" s="2" t="s">
        <v>38</v>
      </c>
      <c r="O2395" s="2" t="s">
        <v>2420</v>
      </c>
      <c r="P2395" s="2" t="s">
        <v>2711</v>
      </c>
      <c r="Q2395" s="2" t="s">
        <v>14575</v>
      </c>
      <c r="R2395" s="2" t="s">
        <v>40</v>
      </c>
      <c r="S2395" s="2" t="s">
        <v>14576</v>
      </c>
      <c r="T2395" s="2" t="s">
        <v>107</v>
      </c>
      <c r="U2395" s="2" t="s">
        <v>14577</v>
      </c>
      <c r="V2395" s="2" t="s">
        <v>14578</v>
      </c>
      <c r="W2395" s="1"/>
      <c r="X2395" s="2" t="s">
        <v>1100</v>
      </c>
      <c r="Y2395" s="2" t="s">
        <v>14549</v>
      </c>
      <c r="AA2395" t="str">
        <f t="shared" si="222"/>
        <v>2025-10</v>
      </c>
      <c r="AB2395" t="str">
        <f t="shared" si="223"/>
        <v/>
      </c>
      <c r="AC2395">
        <f t="shared" si="224"/>
        <v>1969995.46</v>
      </c>
      <c r="AD2395">
        <f t="shared" si="225"/>
        <v>293</v>
      </c>
      <c r="AE2395">
        <f t="shared" si="226"/>
        <v>329195.46000000002</v>
      </c>
      <c r="AF2395" t="str">
        <f t="shared" si="227"/>
        <v>Paid</v>
      </c>
    </row>
    <row r="2396" spans="1:32" ht="17.25" thickBot="1" x14ac:dyDescent="0.35">
      <c r="A2396" s="2" t="s">
        <v>14579</v>
      </c>
      <c r="B2396" s="2" t="s">
        <v>27</v>
      </c>
      <c r="C2396" s="2" t="s">
        <v>28</v>
      </c>
      <c r="D2396" s="2" t="s">
        <v>97</v>
      </c>
      <c r="E2396" s="2" t="s">
        <v>14259</v>
      </c>
      <c r="F2396" s="2" t="s">
        <v>8445</v>
      </c>
      <c r="G2396" s="2" t="s">
        <v>32</v>
      </c>
      <c r="H2396" s="1"/>
      <c r="I2396" s="2" t="s">
        <v>33</v>
      </c>
      <c r="J2396" s="2" t="s">
        <v>34</v>
      </c>
      <c r="K2396" s="2" t="s">
        <v>1111</v>
      </c>
      <c r="L2396" s="2" t="s">
        <v>1112</v>
      </c>
      <c r="M2396" s="2" t="s">
        <v>37</v>
      </c>
      <c r="N2396" s="2" t="s">
        <v>38</v>
      </c>
      <c r="O2396" s="2" t="s">
        <v>2619</v>
      </c>
      <c r="P2396" s="2" t="s">
        <v>6993</v>
      </c>
      <c r="Q2396" s="2" t="s">
        <v>14580</v>
      </c>
      <c r="R2396" s="2" t="s">
        <v>40</v>
      </c>
      <c r="S2396" s="2" t="s">
        <v>14581</v>
      </c>
      <c r="T2396" s="2" t="s">
        <v>1117</v>
      </c>
      <c r="U2396" s="2" t="s">
        <v>14582</v>
      </c>
      <c r="V2396" s="2" t="s">
        <v>14583</v>
      </c>
      <c r="W2396" s="1"/>
      <c r="X2396" s="2" t="s">
        <v>3216</v>
      </c>
      <c r="Y2396" s="2" t="s">
        <v>14549</v>
      </c>
      <c r="AA2396" t="str">
        <f t="shared" si="222"/>
        <v>2025-10</v>
      </c>
      <c r="AB2396" t="str">
        <f t="shared" si="223"/>
        <v/>
      </c>
      <c r="AC2396">
        <f t="shared" si="224"/>
        <v>1193761.42</v>
      </c>
      <c r="AD2396">
        <f t="shared" si="225"/>
        <v>316</v>
      </c>
      <c r="AE2396">
        <f t="shared" si="226"/>
        <v>198361.42</v>
      </c>
      <c r="AF2396" t="str">
        <f t="shared" si="227"/>
        <v>Paid</v>
      </c>
    </row>
    <row r="2397" spans="1:32" ht="17.25" thickBot="1" x14ac:dyDescent="0.35">
      <c r="A2397" s="2" t="s">
        <v>14584</v>
      </c>
      <c r="B2397" s="2" t="s">
        <v>27</v>
      </c>
      <c r="C2397" s="2" t="s">
        <v>28</v>
      </c>
      <c r="D2397" s="2" t="s">
        <v>97</v>
      </c>
      <c r="E2397" s="2" t="s">
        <v>14259</v>
      </c>
      <c r="F2397" s="2" t="s">
        <v>8445</v>
      </c>
      <c r="G2397" s="2" t="s">
        <v>32</v>
      </c>
      <c r="H2397" s="1"/>
      <c r="I2397" s="2" t="s">
        <v>33</v>
      </c>
      <c r="J2397" s="2" t="s">
        <v>34</v>
      </c>
      <c r="K2397" s="2" t="s">
        <v>1122</v>
      </c>
      <c r="L2397" s="2" t="s">
        <v>1123</v>
      </c>
      <c r="M2397" s="2" t="s">
        <v>37</v>
      </c>
      <c r="N2397" s="2" t="s">
        <v>38</v>
      </c>
      <c r="O2397" s="2" t="s">
        <v>221</v>
      </c>
      <c r="P2397" s="2" t="s">
        <v>13527</v>
      </c>
      <c r="Q2397" s="2" t="s">
        <v>14585</v>
      </c>
      <c r="R2397" s="2" t="s">
        <v>40</v>
      </c>
      <c r="S2397" s="2" t="s">
        <v>14586</v>
      </c>
      <c r="T2397" s="2" t="s">
        <v>14587</v>
      </c>
      <c r="U2397" s="2" t="s">
        <v>14588</v>
      </c>
      <c r="V2397" s="2" t="s">
        <v>14589</v>
      </c>
      <c r="W2397" s="1"/>
      <c r="X2397" s="2" t="s">
        <v>201</v>
      </c>
      <c r="Y2397" s="2" t="s">
        <v>14549</v>
      </c>
      <c r="AA2397" t="str">
        <f t="shared" si="222"/>
        <v>2025-10</v>
      </c>
      <c r="AB2397" t="str">
        <f t="shared" si="223"/>
        <v/>
      </c>
      <c r="AC2397">
        <f t="shared" si="224"/>
        <v>882105.84</v>
      </c>
      <c r="AD2397">
        <f t="shared" si="225"/>
        <v>140</v>
      </c>
      <c r="AE2397">
        <f t="shared" si="226"/>
        <v>213705.84</v>
      </c>
      <c r="AF2397" t="str">
        <f t="shared" si="227"/>
        <v>Paid</v>
      </c>
    </row>
    <row r="2398" spans="1:32" ht="17.25" thickBot="1" x14ac:dyDescent="0.35">
      <c r="A2398" s="2" t="s">
        <v>14590</v>
      </c>
      <c r="B2398" s="2" t="s">
        <v>27</v>
      </c>
      <c r="C2398" s="2" t="s">
        <v>28</v>
      </c>
      <c r="D2398" s="2" t="s">
        <v>97</v>
      </c>
      <c r="E2398" s="2" t="s">
        <v>14259</v>
      </c>
      <c r="F2398" s="2" t="s">
        <v>8445</v>
      </c>
      <c r="G2398" s="2" t="s">
        <v>32</v>
      </c>
      <c r="H2398" s="1"/>
      <c r="I2398" s="2" t="s">
        <v>33</v>
      </c>
      <c r="J2398" s="2" t="s">
        <v>34</v>
      </c>
      <c r="K2398" s="2" t="s">
        <v>1131</v>
      </c>
      <c r="L2398" s="2" t="s">
        <v>1132</v>
      </c>
      <c r="M2398" s="2" t="s">
        <v>37</v>
      </c>
      <c r="N2398" s="2" t="s">
        <v>38</v>
      </c>
      <c r="O2398" s="2" t="s">
        <v>1333</v>
      </c>
      <c r="P2398" s="2" t="s">
        <v>3568</v>
      </c>
      <c r="Q2398" s="2" t="s">
        <v>14591</v>
      </c>
      <c r="R2398" s="2" t="s">
        <v>40</v>
      </c>
      <c r="S2398" s="2" t="s">
        <v>14592</v>
      </c>
      <c r="T2398" s="2" t="s">
        <v>1136</v>
      </c>
      <c r="U2398" s="2" t="s">
        <v>6717</v>
      </c>
      <c r="V2398" s="2" t="s">
        <v>14593</v>
      </c>
      <c r="W2398" s="1"/>
      <c r="X2398" s="2" t="s">
        <v>1120</v>
      </c>
      <c r="Y2398" s="2" t="s">
        <v>14549</v>
      </c>
      <c r="AA2398" t="str">
        <f t="shared" si="222"/>
        <v>2025-10</v>
      </c>
      <c r="AB2398" t="str">
        <f t="shared" si="223"/>
        <v/>
      </c>
      <c r="AC2398">
        <f t="shared" si="224"/>
        <v>756909</v>
      </c>
      <c r="AD2398">
        <f t="shared" si="225"/>
        <v>150</v>
      </c>
      <c r="AE2398">
        <f t="shared" si="226"/>
        <v>126909</v>
      </c>
      <c r="AF2398" t="str">
        <f t="shared" si="227"/>
        <v>Paid</v>
      </c>
    </row>
    <row r="2399" spans="1:32" ht="27.75" thickBot="1" x14ac:dyDescent="0.35">
      <c r="A2399" s="2" t="s">
        <v>14594</v>
      </c>
      <c r="B2399" s="2" t="s">
        <v>27</v>
      </c>
      <c r="C2399" s="2" t="s">
        <v>28</v>
      </c>
      <c r="D2399" s="2" t="s">
        <v>97</v>
      </c>
      <c r="E2399" s="2" t="s">
        <v>14259</v>
      </c>
      <c r="F2399" s="2" t="s">
        <v>8445</v>
      </c>
      <c r="G2399" s="2" t="s">
        <v>32</v>
      </c>
      <c r="H2399" s="1"/>
      <c r="I2399" s="2" t="s">
        <v>33</v>
      </c>
      <c r="J2399" s="2" t="s">
        <v>34</v>
      </c>
      <c r="K2399" s="2" t="s">
        <v>7155</v>
      </c>
      <c r="L2399" s="2" t="s">
        <v>7156</v>
      </c>
      <c r="M2399" s="2" t="s">
        <v>37</v>
      </c>
      <c r="N2399" s="2" t="s">
        <v>38</v>
      </c>
      <c r="O2399" s="2" t="s">
        <v>1385</v>
      </c>
      <c r="P2399" s="2" t="s">
        <v>14560</v>
      </c>
      <c r="Q2399" s="2" t="s">
        <v>14595</v>
      </c>
      <c r="R2399" s="2" t="s">
        <v>40</v>
      </c>
      <c r="S2399" s="2" t="s">
        <v>14596</v>
      </c>
      <c r="T2399" s="2" t="s">
        <v>1178</v>
      </c>
      <c r="U2399" s="2" t="s">
        <v>14597</v>
      </c>
      <c r="V2399" s="2" t="s">
        <v>14598</v>
      </c>
      <c r="W2399" s="1"/>
      <c r="X2399" s="2" t="s">
        <v>1100</v>
      </c>
      <c r="Y2399" s="2" t="s">
        <v>14549</v>
      </c>
      <c r="AA2399" t="str">
        <f t="shared" si="222"/>
        <v>2025-10</v>
      </c>
      <c r="AB2399" t="str">
        <f t="shared" si="223"/>
        <v/>
      </c>
      <c r="AC2399">
        <f t="shared" si="224"/>
        <v>1442463.98</v>
      </c>
      <c r="AD2399">
        <f t="shared" si="225"/>
        <v>156</v>
      </c>
      <c r="AE2399">
        <f t="shared" si="226"/>
        <v>241263.98</v>
      </c>
      <c r="AF2399" t="str">
        <f t="shared" si="227"/>
        <v>Paid</v>
      </c>
    </row>
    <row r="2400" spans="1:32" ht="17.25" thickBot="1" x14ac:dyDescent="0.35">
      <c r="A2400" s="2" t="s">
        <v>14599</v>
      </c>
      <c r="B2400" s="2" t="s">
        <v>27</v>
      </c>
      <c r="C2400" s="2" t="s">
        <v>28</v>
      </c>
      <c r="D2400" s="2" t="s">
        <v>97</v>
      </c>
      <c r="E2400" s="2" t="s">
        <v>14259</v>
      </c>
      <c r="F2400" s="2" t="s">
        <v>8445</v>
      </c>
      <c r="G2400" s="2" t="s">
        <v>32</v>
      </c>
      <c r="H2400" s="1"/>
      <c r="I2400" s="2" t="s">
        <v>33</v>
      </c>
      <c r="J2400" s="2" t="s">
        <v>34</v>
      </c>
      <c r="K2400" s="2" t="s">
        <v>1148</v>
      </c>
      <c r="L2400" s="2" t="s">
        <v>1149</v>
      </c>
      <c r="M2400" s="2" t="s">
        <v>37</v>
      </c>
      <c r="N2400" s="2" t="s">
        <v>38</v>
      </c>
      <c r="O2400" s="2" t="s">
        <v>607</v>
      </c>
      <c r="P2400" s="2" t="s">
        <v>2711</v>
      </c>
      <c r="Q2400" s="2" t="s">
        <v>14600</v>
      </c>
      <c r="R2400" s="2" t="s">
        <v>40</v>
      </c>
      <c r="S2400" s="2" t="s">
        <v>14601</v>
      </c>
      <c r="T2400" s="2" t="s">
        <v>14602</v>
      </c>
      <c r="U2400" s="2" t="s">
        <v>14603</v>
      </c>
      <c r="V2400" s="2" t="s">
        <v>14604</v>
      </c>
      <c r="W2400" s="1"/>
      <c r="X2400" s="2" t="s">
        <v>201</v>
      </c>
      <c r="Y2400" s="2" t="s">
        <v>14549</v>
      </c>
      <c r="AA2400" t="str">
        <f t="shared" si="222"/>
        <v>2025-10</v>
      </c>
      <c r="AB2400" t="str">
        <f t="shared" si="223"/>
        <v/>
      </c>
      <c r="AC2400">
        <f t="shared" si="224"/>
        <v>477370.91</v>
      </c>
      <c r="AD2400">
        <f t="shared" si="225"/>
        <v>71</v>
      </c>
      <c r="AE2400">
        <f t="shared" si="226"/>
        <v>115470.91</v>
      </c>
      <c r="AF2400" t="str">
        <f t="shared" si="227"/>
        <v>Paid</v>
      </c>
    </row>
    <row r="2401" spans="1:32" ht="17.25" thickBot="1" x14ac:dyDescent="0.35">
      <c r="A2401" s="2" t="s">
        <v>14605</v>
      </c>
      <c r="B2401" s="2" t="s">
        <v>27</v>
      </c>
      <c r="C2401" s="2" t="s">
        <v>28</v>
      </c>
      <c r="D2401" s="2" t="s">
        <v>97</v>
      </c>
      <c r="E2401" s="2" t="s">
        <v>14259</v>
      </c>
      <c r="F2401" s="2" t="s">
        <v>8445</v>
      </c>
      <c r="G2401" s="2" t="s">
        <v>32</v>
      </c>
      <c r="H2401" s="1"/>
      <c r="I2401" s="2" t="s">
        <v>33</v>
      </c>
      <c r="J2401" s="2" t="s">
        <v>34</v>
      </c>
      <c r="K2401" s="2" t="s">
        <v>6499</v>
      </c>
      <c r="L2401" s="2" t="s">
        <v>6500</v>
      </c>
      <c r="M2401" s="2" t="s">
        <v>37</v>
      </c>
      <c r="N2401" s="2" t="s">
        <v>38</v>
      </c>
      <c r="O2401" s="2" t="s">
        <v>1150</v>
      </c>
      <c r="P2401" s="2" t="s">
        <v>14560</v>
      </c>
      <c r="Q2401" s="2" t="s">
        <v>14606</v>
      </c>
      <c r="R2401" s="2" t="s">
        <v>40</v>
      </c>
      <c r="S2401" s="2" t="s">
        <v>14607</v>
      </c>
      <c r="T2401" s="2" t="s">
        <v>1178</v>
      </c>
      <c r="U2401" s="2" t="s">
        <v>7182</v>
      </c>
      <c r="V2401" s="2" t="s">
        <v>14608</v>
      </c>
      <c r="W2401" s="1"/>
      <c r="X2401" s="2" t="s">
        <v>1100</v>
      </c>
      <c r="Y2401" s="2" t="s">
        <v>14549</v>
      </c>
      <c r="AA2401" t="str">
        <f t="shared" si="222"/>
        <v>2025-10</v>
      </c>
      <c r="AB2401" t="str">
        <f t="shared" si="223"/>
        <v/>
      </c>
      <c r="AC2401">
        <f t="shared" si="224"/>
        <v>1202053.32</v>
      </c>
      <c r="AD2401">
        <f t="shared" si="225"/>
        <v>130</v>
      </c>
      <c r="AE2401">
        <f t="shared" si="226"/>
        <v>201053.32</v>
      </c>
      <c r="AF2401" t="str">
        <f t="shared" si="227"/>
        <v>Paid</v>
      </c>
    </row>
    <row r="2402" spans="1:32" ht="17.25" thickBot="1" x14ac:dyDescent="0.35">
      <c r="A2402" s="2" t="s">
        <v>14609</v>
      </c>
      <c r="B2402" s="2" t="s">
        <v>27</v>
      </c>
      <c r="C2402" s="2" t="s">
        <v>28</v>
      </c>
      <c r="D2402" s="2" t="s">
        <v>97</v>
      </c>
      <c r="E2402" s="2" t="s">
        <v>14259</v>
      </c>
      <c r="F2402" s="2" t="s">
        <v>8445</v>
      </c>
      <c r="G2402" s="2" t="s">
        <v>32</v>
      </c>
      <c r="H2402" s="1"/>
      <c r="I2402" s="2" t="s">
        <v>33</v>
      </c>
      <c r="J2402" s="2" t="s">
        <v>34</v>
      </c>
      <c r="K2402" s="2" t="s">
        <v>4657</v>
      </c>
      <c r="L2402" s="2" t="s">
        <v>4658</v>
      </c>
      <c r="M2402" s="2" t="s">
        <v>37</v>
      </c>
      <c r="N2402" s="2" t="s">
        <v>38</v>
      </c>
      <c r="O2402" s="2" t="s">
        <v>466</v>
      </c>
      <c r="P2402" s="2" t="s">
        <v>6952</v>
      </c>
      <c r="Q2402" s="2" t="s">
        <v>14610</v>
      </c>
      <c r="R2402" s="2" t="s">
        <v>40</v>
      </c>
      <c r="S2402" s="2" t="s">
        <v>14611</v>
      </c>
      <c r="T2402" s="2" t="s">
        <v>287</v>
      </c>
      <c r="U2402" s="2" t="s">
        <v>4239</v>
      </c>
      <c r="V2402" s="2" t="s">
        <v>14612</v>
      </c>
      <c r="W2402" s="1"/>
      <c r="X2402" s="2" t="s">
        <v>1100</v>
      </c>
      <c r="Y2402" s="2" t="s">
        <v>14549</v>
      </c>
      <c r="AA2402" t="str">
        <f t="shared" si="222"/>
        <v>2025-10</v>
      </c>
      <c r="AB2402" t="str">
        <f t="shared" si="223"/>
        <v/>
      </c>
      <c r="AC2402">
        <f t="shared" si="224"/>
        <v>588070.56000000006</v>
      </c>
      <c r="AD2402">
        <f t="shared" si="225"/>
        <v>70</v>
      </c>
      <c r="AE2402">
        <f t="shared" si="226"/>
        <v>98070.56</v>
      </c>
      <c r="AF2402" t="str">
        <f t="shared" si="227"/>
        <v>Paid</v>
      </c>
    </row>
    <row r="2403" spans="1:32" ht="17.25" thickBot="1" x14ac:dyDescent="0.35">
      <c r="A2403" s="2" t="s">
        <v>14613</v>
      </c>
      <c r="B2403" s="2" t="s">
        <v>27</v>
      </c>
      <c r="C2403" s="2" t="s">
        <v>28</v>
      </c>
      <c r="D2403" s="2" t="s">
        <v>97</v>
      </c>
      <c r="E2403" s="2" t="s">
        <v>14259</v>
      </c>
      <c r="F2403" s="2" t="s">
        <v>8445</v>
      </c>
      <c r="G2403" s="2" t="s">
        <v>32</v>
      </c>
      <c r="H2403" s="1"/>
      <c r="I2403" s="2" t="s">
        <v>33</v>
      </c>
      <c r="J2403" s="2" t="s">
        <v>34</v>
      </c>
      <c r="K2403" s="2" t="s">
        <v>14614</v>
      </c>
      <c r="L2403" s="2" t="s">
        <v>14615</v>
      </c>
      <c r="M2403" s="2" t="s">
        <v>37</v>
      </c>
      <c r="N2403" s="2" t="s">
        <v>38</v>
      </c>
      <c r="O2403" s="2" t="s">
        <v>141</v>
      </c>
      <c r="P2403" s="2" t="s">
        <v>3622</v>
      </c>
      <c r="Q2403" s="2" t="s">
        <v>11650</v>
      </c>
      <c r="R2403" s="2" t="s">
        <v>40</v>
      </c>
      <c r="S2403" s="2" t="s">
        <v>14616</v>
      </c>
      <c r="T2403" s="2" t="s">
        <v>14617</v>
      </c>
      <c r="U2403" s="2" t="s">
        <v>14618</v>
      </c>
      <c r="V2403" s="2" t="s">
        <v>14619</v>
      </c>
      <c r="W2403" s="1"/>
      <c r="X2403" s="2" t="s">
        <v>1375</v>
      </c>
      <c r="Y2403" s="2" t="s">
        <v>14549</v>
      </c>
      <c r="AA2403" t="str">
        <f t="shared" si="222"/>
        <v>2025-10</v>
      </c>
      <c r="AB2403" t="str">
        <f t="shared" si="223"/>
        <v/>
      </c>
      <c r="AC2403">
        <f t="shared" si="224"/>
        <v>239346.9</v>
      </c>
      <c r="AD2403">
        <f t="shared" si="225"/>
        <v>30</v>
      </c>
      <c r="AE2403">
        <f t="shared" si="226"/>
        <v>59796.9</v>
      </c>
      <c r="AF2403" t="str">
        <f t="shared" si="227"/>
        <v>Paid</v>
      </c>
    </row>
    <row r="2404" spans="1:32" ht="17.25" thickBot="1" x14ac:dyDescent="0.35">
      <c r="A2404" s="2" t="s">
        <v>14620</v>
      </c>
      <c r="B2404" s="2" t="s">
        <v>27</v>
      </c>
      <c r="C2404" s="2" t="s">
        <v>28</v>
      </c>
      <c r="D2404" s="2" t="s">
        <v>97</v>
      </c>
      <c r="E2404" s="2" t="s">
        <v>14259</v>
      </c>
      <c r="F2404" s="2" t="s">
        <v>8445</v>
      </c>
      <c r="G2404" s="2" t="s">
        <v>32</v>
      </c>
      <c r="H2404" s="1"/>
      <c r="I2404" s="2" t="s">
        <v>33</v>
      </c>
      <c r="J2404" s="2" t="s">
        <v>34</v>
      </c>
      <c r="K2404" s="2" t="s">
        <v>1164</v>
      </c>
      <c r="L2404" s="2" t="s">
        <v>1165</v>
      </c>
      <c r="M2404" s="2" t="s">
        <v>37</v>
      </c>
      <c r="N2404" s="2" t="s">
        <v>38</v>
      </c>
      <c r="O2404" s="2" t="s">
        <v>1904</v>
      </c>
      <c r="P2404" s="2" t="s">
        <v>6237</v>
      </c>
      <c r="Q2404" s="2" t="s">
        <v>14621</v>
      </c>
      <c r="R2404" s="2" t="s">
        <v>40</v>
      </c>
      <c r="S2404" s="2" t="s">
        <v>14622</v>
      </c>
      <c r="T2404" s="2" t="s">
        <v>1168</v>
      </c>
      <c r="U2404" s="2" t="s">
        <v>14623</v>
      </c>
      <c r="V2404" s="2" t="s">
        <v>14624</v>
      </c>
      <c r="W2404" s="1"/>
      <c r="X2404" s="2" t="s">
        <v>1171</v>
      </c>
      <c r="Y2404" s="2" t="s">
        <v>14549</v>
      </c>
      <c r="AA2404" t="str">
        <f t="shared" si="222"/>
        <v>2025-10</v>
      </c>
      <c r="AB2404" t="str">
        <f t="shared" si="223"/>
        <v/>
      </c>
      <c r="AC2404">
        <f t="shared" si="224"/>
        <v>1737753.96</v>
      </c>
      <c r="AD2404">
        <f t="shared" si="225"/>
        <v>230</v>
      </c>
      <c r="AE2404">
        <f t="shared" si="226"/>
        <v>537153.96</v>
      </c>
      <c r="AF2404" t="str">
        <f t="shared" si="227"/>
        <v>Paid</v>
      </c>
    </row>
    <row r="2405" spans="1:32" ht="17.25" thickBot="1" x14ac:dyDescent="0.35">
      <c r="A2405" s="2" t="s">
        <v>14625</v>
      </c>
      <c r="B2405" s="2" t="s">
        <v>27</v>
      </c>
      <c r="C2405" s="2" t="s">
        <v>28</v>
      </c>
      <c r="D2405" s="2" t="s">
        <v>97</v>
      </c>
      <c r="E2405" s="2" t="s">
        <v>14259</v>
      </c>
      <c r="F2405" s="2" t="s">
        <v>8445</v>
      </c>
      <c r="G2405" s="2" t="s">
        <v>32</v>
      </c>
      <c r="H2405" s="1"/>
      <c r="I2405" s="2" t="s">
        <v>33</v>
      </c>
      <c r="J2405" s="2" t="s">
        <v>34</v>
      </c>
      <c r="K2405" s="2" t="s">
        <v>1182</v>
      </c>
      <c r="L2405" s="2" t="s">
        <v>1183</v>
      </c>
      <c r="M2405" s="2" t="s">
        <v>37</v>
      </c>
      <c r="N2405" s="2" t="s">
        <v>38</v>
      </c>
      <c r="O2405" s="2" t="s">
        <v>159</v>
      </c>
      <c r="P2405" s="2" t="s">
        <v>2711</v>
      </c>
      <c r="Q2405" s="2" t="s">
        <v>14626</v>
      </c>
      <c r="R2405" s="2" t="s">
        <v>40</v>
      </c>
      <c r="S2405" s="2" t="s">
        <v>14627</v>
      </c>
      <c r="T2405" s="2" t="s">
        <v>107</v>
      </c>
      <c r="U2405" s="2" t="s">
        <v>7165</v>
      </c>
      <c r="V2405" s="2" t="s">
        <v>14628</v>
      </c>
      <c r="W2405" s="1"/>
      <c r="X2405" s="2" t="s">
        <v>1100</v>
      </c>
      <c r="Y2405" s="2" t="s">
        <v>14549</v>
      </c>
      <c r="AA2405" t="str">
        <f t="shared" si="222"/>
        <v>2025-10</v>
      </c>
      <c r="AB2405" t="str">
        <f t="shared" si="223"/>
        <v/>
      </c>
      <c r="AC2405">
        <f t="shared" si="224"/>
        <v>537882.72</v>
      </c>
      <c r="AD2405">
        <f t="shared" si="225"/>
        <v>80</v>
      </c>
      <c r="AE2405">
        <f t="shared" si="226"/>
        <v>89882.72</v>
      </c>
      <c r="AF2405" t="str">
        <f t="shared" si="227"/>
        <v>Paid</v>
      </c>
    </row>
    <row r="2406" spans="1:32" ht="17.25" thickBot="1" x14ac:dyDescent="0.35">
      <c r="A2406" s="2" t="s">
        <v>14629</v>
      </c>
      <c r="B2406" s="2" t="s">
        <v>27</v>
      </c>
      <c r="C2406" s="2" t="s">
        <v>28</v>
      </c>
      <c r="D2406" s="2" t="s">
        <v>97</v>
      </c>
      <c r="E2406" s="2" t="s">
        <v>14259</v>
      </c>
      <c r="F2406" s="2" t="s">
        <v>8445</v>
      </c>
      <c r="G2406" s="2" t="s">
        <v>32</v>
      </c>
      <c r="H2406" s="1"/>
      <c r="I2406" s="2" t="s">
        <v>33</v>
      </c>
      <c r="J2406" s="2" t="s">
        <v>34</v>
      </c>
      <c r="K2406" s="2" t="s">
        <v>5660</v>
      </c>
      <c r="L2406" s="2" t="s">
        <v>5661</v>
      </c>
      <c r="M2406" s="2" t="s">
        <v>37</v>
      </c>
      <c r="N2406" s="2" t="s">
        <v>38</v>
      </c>
      <c r="O2406" s="2" t="s">
        <v>1631</v>
      </c>
      <c r="P2406" s="2" t="s">
        <v>8791</v>
      </c>
      <c r="Q2406" s="2" t="s">
        <v>14630</v>
      </c>
      <c r="R2406" s="2" t="s">
        <v>40</v>
      </c>
      <c r="S2406" s="2" t="s">
        <v>14631</v>
      </c>
      <c r="T2406" s="2" t="s">
        <v>706</v>
      </c>
      <c r="U2406" s="2" t="s">
        <v>14632</v>
      </c>
      <c r="V2406" s="2" t="s">
        <v>14633</v>
      </c>
      <c r="W2406" s="1"/>
      <c r="X2406" s="2" t="s">
        <v>1100</v>
      </c>
      <c r="Y2406" s="2" t="s">
        <v>14549</v>
      </c>
      <c r="AA2406" t="str">
        <f t="shared" si="222"/>
        <v>2025-10</v>
      </c>
      <c r="AB2406" t="str">
        <f t="shared" si="223"/>
        <v/>
      </c>
      <c r="AC2406">
        <f t="shared" si="224"/>
        <v>1914911.58</v>
      </c>
      <c r="AD2406">
        <f t="shared" si="225"/>
        <v>190</v>
      </c>
      <c r="AE2406">
        <f t="shared" si="226"/>
        <v>318911.58</v>
      </c>
      <c r="AF2406" t="str">
        <f t="shared" si="227"/>
        <v>Paid</v>
      </c>
    </row>
    <row r="2407" spans="1:32" ht="17.25" thickBot="1" x14ac:dyDescent="0.35">
      <c r="A2407" s="2" t="s">
        <v>14634</v>
      </c>
      <c r="B2407" s="2" t="s">
        <v>27</v>
      </c>
      <c r="C2407" s="2" t="s">
        <v>28</v>
      </c>
      <c r="D2407" s="2" t="s">
        <v>97</v>
      </c>
      <c r="E2407" s="2" t="s">
        <v>14259</v>
      </c>
      <c r="F2407" s="2" t="s">
        <v>8445</v>
      </c>
      <c r="G2407" s="2" t="s">
        <v>32</v>
      </c>
      <c r="H2407" s="1"/>
      <c r="I2407" s="2" t="s">
        <v>33</v>
      </c>
      <c r="J2407" s="2" t="s">
        <v>34</v>
      </c>
      <c r="K2407" s="2" t="s">
        <v>6550</v>
      </c>
      <c r="L2407" s="2" t="s">
        <v>6551</v>
      </c>
      <c r="M2407" s="2" t="s">
        <v>37</v>
      </c>
      <c r="N2407" s="2" t="s">
        <v>38</v>
      </c>
      <c r="O2407" s="2" t="s">
        <v>567</v>
      </c>
      <c r="P2407" s="2" t="s">
        <v>12815</v>
      </c>
      <c r="Q2407" s="2" t="s">
        <v>14635</v>
      </c>
      <c r="R2407" s="2" t="s">
        <v>40</v>
      </c>
      <c r="S2407" s="2" t="s">
        <v>14636</v>
      </c>
      <c r="T2407" s="2" t="s">
        <v>9899</v>
      </c>
      <c r="U2407" s="2" t="s">
        <v>9900</v>
      </c>
      <c r="V2407" s="2" t="s">
        <v>14637</v>
      </c>
      <c r="W2407" s="1"/>
      <c r="X2407" s="2" t="s">
        <v>1171</v>
      </c>
      <c r="Y2407" s="2" t="s">
        <v>14549</v>
      </c>
      <c r="AA2407" t="str">
        <f t="shared" si="222"/>
        <v>2025-10</v>
      </c>
      <c r="AB2407" t="str">
        <f t="shared" si="223"/>
        <v/>
      </c>
      <c r="AC2407">
        <f t="shared" si="224"/>
        <v>360043.2</v>
      </c>
      <c r="AD2407">
        <f t="shared" si="225"/>
        <v>66</v>
      </c>
      <c r="AE2407">
        <f t="shared" si="226"/>
        <v>111223.2</v>
      </c>
      <c r="AF2407" t="str">
        <f t="shared" si="227"/>
        <v>Paid</v>
      </c>
    </row>
    <row r="2408" spans="1:32" ht="17.25" thickBot="1" x14ac:dyDescent="0.35">
      <c r="A2408" s="2" t="s">
        <v>14638</v>
      </c>
      <c r="B2408" s="2" t="s">
        <v>27</v>
      </c>
      <c r="C2408" s="2" t="s">
        <v>28</v>
      </c>
      <c r="D2408" s="2" t="s">
        <v>97</v>
      </c>
      <c r="E2408" s="2" t="s">
        <v>14259</v>
      </c>
      <c r="F2408" s="2" t="s">
        <v>8445</v>
      </c>
      <c r="G2408" s="2" t="s">
        <v>32</v>
      </c>
      <c r="H2408" s="1"/>
      <c r="I2408" s="2" t="s">
        <v>33</v>
      </c>
      <c r="J2408" s="2" t="s">
        <v>34</v>
      </c>
      <c r="K2408" s="2" t="s">
        <v>9906</v>
      </c>
      <c r="L2408" s="2" t="s">
        <v>9907</v>
      </c>
      <c r="M2408" s="2" t="s">
        <v>37</v>
      </c>
      <c r="N2408" s="2" t="s">
        <v>38</v>
      </c>
      <c r="O2408" s="2" t="s">
        <v>877</v>
      </c>
      <c r="P2408" s="2" t="s">
        <v>2980</v>
      </c>
      <c r="Q2408" s="2" t="s">
        <v>14639</v>
      </c>
      <c r="R2408" s="2" t="s">
        <v>40</v>
      </c>
      <c r="S2408" s="2" t="s">
        <v>14640</v>
      </c>
      <c r="T2408" s="2" t="s">
        <v>5672</v>
      </c>
      <c r="U2408" s="2" t="s">
        <v>9044</v>
      </c>
      <c r="V2408" s="2" t="s">
        <v>14641</v>
      </c>
      <c r="W2408" s="1"/>
      <c r="X2408" s="2" t="s">
        <v>3216</v>
      </c>
      <c r="Y2408" s="2" t="s">
        <v>14549</v>
      </c>
      <c r="AA2408" t="str">
        <f t="shared" si="222"/>
        <v>2025-10</v>
      </c>
      <c r="AB2408" t="str">
        <f t="shared" si="223"/>
        <v/>
      </c>
      <c r="AC2408">
        <f t="shared" si="224"/>
        <v>1343343</v>
      </c>
      <c r="AD2408">
        <f t="shared" si="225"/>
        <v>100</v>
      </c>
      <c r="AE2408">
        <f t="shared" si="226"/>
        <v>223343</v>
      </c>
      <c r="AF2408" t="str">
        <f t="shared" si="227"/>
        <v>Paid</v>
      </c>
    </row>
    <row r="2409" spans="1:32" ht="17.25" thickBot="1" x14ac:dyDescent="0.35">
      <c r="A2409" s="2" t="s">
        <v>14642</v>
      </c>
      <c r="B2409" s="2" t="s">
        <v>27</v>
      </c>
      <c r="C2409" s="2" t="s">
        <v>28</v>
      </c>
      <c r="D2409" s="2" t="s">
        <v>97</v>
      </c>
      <c r="E2409" s="2" t="s">
        <v>14259</v>
      </c>
      <c r="F2409" s="2" t="s">
        <v>8445</v>
      </c>
      <c r="G2409" s="2" t="s">
        <v>32</v>
      </c>
      <c r="H2409" s="1"/>
      <c r="I2409" s="2" t="s">
        <v>33</v>
      </c>
      <c r="J2409" s="2" t="s">
        <v>34</v>
      </c>
      <c r="K2409" s="2" t="s">
        <v>1189</v>
      </c>
      <c r="L2409" s="2" t="s">
        <v>1190</v>
      </c>
      <c r="M2409" s="2" t="s">
        <v>37</v>
      </c>
      <c r="N2409" s="2" t="s">
        <v>38</v>
      </c>
      <c r="O2409" s="2" t="s">
        <v>177</v>
      </c>
      <c r="P2409" s="2" t="s">
        <v>14643</v>
      </c>
      <c r="Q2409" s="2" t="s">
        <v>14644</v>
      </c>
      <c r="R2409" s="2" t="s">
        <v>40</v>
      </c>
      <c r="S2409" s="2" t="s">
        <v>14645</v>
      </c>
      <c r="T2409" s="2" t="s">
        <v>952</v>
      </c>
      <c r="U2409" s="2" t="s">
        <v>6122</v>
      </c>
      <c r="V2409" s="2" t="s">
        <v>14646</v>
      </c>
      <c r="W2409" s="1"/>
      <c r="X2409" s="2" t="s">
        <v>1195</v>
      </c>
      <c r="Y2409" s="2" t="s">
        <v>14549</v>
      </c>
      <c r="AA2409" t="str">
        <f t="shared" si="222"/>
        <v>2025-10</v>
      </c>
      <c r="AB2409" t="str">
        <f t="shared" si="223"/>
        <v/>
      </c>
      <c r="AC2409">
        <f t="shared" si="224"/>
        <v>5640676.7999999998</v>
      </c>
      <c r="AD2409">
        <f t="shared" si="225"/>
        <v>400</v>
      </c>
      <c r="AE2409">
        <f t="shared" si="226"/>
        <v>840676.8</v>
      </c>
      <c r="AF2409" t="str">
        <f t="shared" si="227"/>
        <v>Paid</v>
      </c>
    </row>
    <row r="2410" spans="1:32" ht="27.75" thickBot="1" x14ac:dyDescent="0.35">
      <c r="A2410" s="2" t="s">
        <v>14647</v>
      </c>
      <c r="B2410" s="2" t="s">
        <v>27</v>
      </c>
      <c r="C2410" s="2" t="s">
        <v>28</v>
      </c>
      <c r="D2410" s="2" t="s">
        <v>97</v>
      </c>
      <c r="E2410" s="2" t="s">
        <v>14259</v>
      </c>
      <c r="F2410" s="2" t="s">
        <v>8445</v>
      </c>
      <c r="G2410" s="2" t="s">
        <v>32</v>
      </c>
      <c r="H2410" s="1"/>
      <c r="I2410" s="2" t="s">
        <v>33</v>
      </c>
      <c r="J2410" s="2" t="s">
        <v>34</v>
      </c>
      <c r="K2410" s="2" t="s">
        <v>14648</v>
      </c>
      <c r="L2410" s="2" t="s">
        <v>14649</v>
      </c>
      <c r="M2410" s="2" t="s">
        <v>37</v>
      </c>
      <c r="N2410" s="2" t="s">
        <v>38</v>
      </c>
      <c r="O2410" s="2" t="s">
        <v>665</v>
      </c>
      <c r="P2410" s="2" t="s">
        <v>6237</v>
      </c>
      <c r="Q2410" s="2" t="s">
        <v>14650</v>
      </c>
      <c r="R2410" s="2" t="s">
        <v>40</v>
      </c>
      <c r="S2410" s="2" t="s">
        <v>14651</v>
      </c>
      <c r="T2410" s="2" t="s">
        <v>1168</v>
      </c>
      <c r="U2410" s="2" t="s">
        <v>14652</v>
      </c>
      <c r="V2410" s="2" t="s">
        <v>14653</v>
      </c>
      <c r="W2410" s="1"/>
      <c r="X2410" s="2" t="s">
        <v>1171</v>
      </c>
      <c r="Y2410" s="2" t="s">
        <v>14549</v>
      </c>
      <c r="AA2410" t="str">
        <f t="shared" si="222"/>
        <v>2025-10</v>
      </c>
      <c r="AB2410" t="str">
        <f t="shared" si="223"/>
        <v/>
      </c>
      <c r="AC2410">
        <f t="shared" si="224"/>
        <v>1586644.92</v>
      </c>
      <c r="AD2410">
        <f t="shared" si="225"/>
        <v>210</v>
      </c>
      <c r="AE2410">
        <f t="shared" si="226"/>
        <v>490444.92</v>
      </c>
      <c r="AF2410" t="str">
        <f t="shared" si="227"/>
        <v>Paid</v>
      </c>
    </row>
    <row r="2411" spans="1:32" ht="17.25" thickBot="1" x14ac:dyDescent="0.35">
      <c r="A2411" s="2" t="s">
        <v>14654</v>
      </c>
      <c r="B2411" s="2" t="s">
        <v>27</v>
      </c>
      <c r="C2411" s="2" t="s">
        <v>28</v>
      </c>
      <c r="D2411" s="2" t="s">
        <v>97</v>
      </c>
      <c r="E2411" s="2" t="s">
        <v>14259</v>
      </c>
      <c r="F2411" s="2" t="s">
        <v>8445</v>
      </c>
      <c r="G2411" s="2" t="s">
        <v>32</v>
      </c>
      <c r="H2411" s="1"/>
      <c r="I2411" s="2" t="s">
        <v>33</v>
      </c>
      <c r="J2411" s="2" t="s">
        <v>34</v>
      </c>
      <c r="K2411" s="2" t="s">
        <v>1197</v>
      </c>
      <c r="L2411" s="2" t="s">
        <v>1198</v>
      </c>
      <c r="M2411" s="2" t="s">
        <v>37</v>
      </c>
      <c r="N2411" s="2" t="s">
        <v>38</v>
      </c>
      <c r="O2411" s="2" t="s">
        <v>159</v>
      </c>
      <c r="P2411" s="2" t="s">
        <v>14655</v>
      </c>
      <c r="Q2411" s="2" t="s">
        <v>14656</v>
      </c>
      <c r="R2411" s="2" t="s">
        <v>40</v>
      </c>
      <c r="S2411" s="2" t="s">
        <v>14657</v>
      </c>
      <c r="T2411" s="2" t="s">
        <v>9919</v>
      </c>
      <c r="U2411" s="2" t="s">
        <v>14658</v>
      </c>
      <c r="V2411" s="2" t="s">
        <v>14659</v>
      </c>
      <c r="W2411" s="1"/>
      <c r="X2411" s="2" t="s">
        <v>1171</v>
      </c>
      <c r="Y2411" s="2" t="s">
        <v>14549</v>
      </c>
      <c r="AA2411" t="str">
        <f t="shared" si="222"/>
        <v>2025-10</v>
      </c>
      <c r="AB2411" t="str">
        <f t="shared" si="223"/>
        <v/>
      </c>
      <c r="AC2411">
        <f t="shared" si="224"/>
        <v>940476.48</v>
      </c>
      <c r="AD2411">
        <f t="shared" si="225"/>
        <v>80</v>
      </c>
      <c r="AE2411">
        <f t="shared" si="226"/>
        <v>290876.48</v>
      </c>
      <c r="AF2411" t="str">
        <f t="shared" si="227"/>
        <v>Paid</v>
      </c>
    </row>
    <row r="2412" spans="1:32" ht="17.25" thickBot="1" x14ac:dyDescent="0.35">
      <c r="A2412" s="2" t="s">
        <v>14660</v>
      </c>
      <c r="B2412" s="2" t="s">
        <v>27</v>
      </c>
      <c r="C2412" s="2" t="s">
        <v>28</v>
      </c>
      <c r="D2412" s="2" t="s">
        <v>97</v>
      </c>
      <c r="E2412" s="2" t="s">
        <v>14259</v>
      </c>
      <c r="F2412" s="2" t="s">
        <v>8445</v>
      </c>
      <c r="G2412" s="2" t="s">
        <v>32</v>
      </c>
      <c r="H2412" s="1"/>
      <c r="I2412" s="2" t="s">
        <v>33</v>
      </c>
      <c r="J2412" s="2" t="s">
        <v>34</v>
      </c>
      <c r="K2412" s="2" t="s">
        <v>5667</v>
      </c>
      <c r="L2412" s="2" t="s">
        <v>5668</v>
      </c>
      <c r="M2412" s="2" t="s">
        <v>37</v>
      </c>
      <c r="N2412" s="2" t="s">
        <v>38</v>
      </c>
      <c r="O2412" s="2" t="s">
        <v>645</v>
      </c>
      <c r="P2412" s="2" t="s">
        <v>2980</v>
      </c>
      <c r="Q2412" s="2" t="s">
        <v>14661</v>
      </c>
      <c r="R2412" s="2" t="s">
        <v>40</v>
      </c>
      <c r="S2412" s="2" t="s">
        <v>14662</v>
      </c>
      <c r="T2412" s="2" t="s">
        <v>5672</v>
      </c>
      <c r="U2412" s="2" t="s">
        <v>11780</v>
      </c>
      <c r="V2412" s="2" t="s">
        <v>14663</v>
      </c>
      <c r="W2412" s="1"/>
      <c r="X2412" s="2" t="s">
        <v>3216</v>
      </c>
      <c r="Y2412" s="2" t="s">
        <v>14549</v>
      </c>
      <c r="AA2412" t="str">
        <f t="shared" si="222"/>
        <v>2025-10</v>
      </c>
      <c r="AB2412" t="str">
        <f t="shared" si="223"/>
        <v/>
      </c>
      <c r="AC2412">
        <f t="shared" si="224"/>
        <v>2283683.1</v>
      </c>
      <c r="AD2412">
        <f t="shared" si="225"/>
        <v>170</v>
      </c>
      <c r="AE2412">
        <f t="shared" si="226"/>
        <v>379683.1</v>
      </c>
      <c r="AF2412" t="str">
        <f t="shared" si="227"/>
        <v>Paid</v>
      </c>
    </row>
    <row r="2413" spans="1:32" ht="17.25" thickBot="1" x14ac:dyDescent="0.35">
      <c r="A2413" s="2" t="s">
        <v>14664</v>
      </c>
      <c r="B2413" s="2" t="s">
        <v>27</v>
      </c>
      <c r="C2413" s="2" t="s">
        <v>28</v>
      </c>
      <c r="D2413" s="2" t="s">
        <v>97</v>
      </c>
      <c r="E2413" s="2" t="s">
        <v>14259</v>
      </c>
      <c r="F2413" s="2" t="s">
        <v>8445</v>
      </c>
      <c r="G2413" s="2" t="s">
        <v>32</v>
      </c>
      <c r="H2413" s="1"/>
      <c r="I2413" s="2" t="s">
        <v>33</v>
      </c>
      <c r="J2413" s="2" t="s">
        <v>34</v>
      </c>
      <c r="K2413" s="2" t="s">
        <v>1205</v>
      </c>
      <c r="L2413" s="2" t="s">
        <v>1206</v>
      </c>
      <c r="M2413" s="2" t="s">
        <v>37</v>
      </c>
      <c r="N2413" s="2" t="s">
        <v>38</v>
      </c>
      <c r="O2413" s="2" t="s">
        <v>665</v>
      </c>
      <c r="P2413" s="2" t="s">
        <v>6125</v>
      </c>
      <c r="Q2413" s="2" t="s">
        <v>14665</v>
      </c>
      <c r="R2413" s="2" t="s">
        <v>40</v>
      </c>
      <c r="S2413" s="2" t="s">
        <v>14666</v>
      </c>
      <c r="T2413" s="2" t="s">
        <v>1210</v>
      </c>
      <c r="U2413" s="2" t="s">
        <v>14667</v>
      </c>
      <c r="V2413" s="2" t="s">
        <v>14668</v>
      </c>
      <c r="W2413" s="1"/>
      <c r="X2413" s="2" t="s">
        <v>1100</v>
      </c>
      <c r="Y2413" s="2" t="s">
        <v>14549</v>
      </c>
      <c r="AA2413" t="str">
        <f t="shared" si="222"/>
        <v>2025-10</v>
      </c>
      <c r="AB2413" t="str">
        <f t="shared" si="223"/>
        <v/>
      </c>
      <c r="AC2413">
        <f t="shared" si="224"/>
        <v>2382831.36</v>
      </c>
      <c r="AD2413">
        <f t="shared" si="225"/>
        <v>210</v>
      </c>
      <c r="AE2413">
        <f t="shared" si="226"/>
        <v>398331.36</v>
      </c>
      <c r="AF2413" t="str">
        <f t="shared" si="227"/>
        <v>Paid</v>
      </c>
    </row>
    <row r="2414" spans="1:32" ht="27.75" thickBot="1" x14ac:dyDescent="0.35">
      <c r="A2414" s="2" t="s">
        <v>14669</v>
      </c>
      <c r="B2414" s="2" t="s">
        <v>27</v>
      </c>
      <c r="C2414" s="2" t="s">
        <v>28</v>
      </c>
      <c r="D2414" s="2" t="s">
        <v>97</v>
      </c>
      <c r="E2414" s="2" t="s">
        <v>14259</v>
      </c>
      <c r="F2414" s="2" t="s">
        <v>8445</v>
      </c>
      <c r="G2414" s="2" t="s">
        <v>32</v>
      </c>
      <c r="H2414" s="1"/>
      <c r="I2414" s="2" t="s">
        <v>33</v>
      </c>
      <c r="J2414" s="2" t="s">
        <v>34</v>
      </c>
      <c r="K2414" s="2" t="s">
        <v>80</v>
      </c>
      <c r="L2414" s="2" t="s">
        <v>81</v>
      </c>
      <c r="M2414" s="2" t="s">
        <v>37</v>
      </c>
      <c r="N2414" s="2" t="s">
        <v>38</v>
      </c>
      <c r="O2414" s="2" t="s">
        <v>877</v>
      </c>
      <c r="P2414" s="2" t="s">
        <v>14670</v>
      </c>
      <c r="Q2414" s="2" t="s">
        <v>14671</v>
      </c>
      <c r="R2414" s="2" t="s">
        <v>40</v>
      </c>
      <c r="S2414" s="2" t="s">
        <v>14672</v>
      </c>
      <c r="T2414" s="2" t="s">
        <v>1399</v>
      </c>
      <c r="U2414" s="2" t="s">
        <v>14673</v>
      </c>
      <c r="V2414" s="2" t="s">
        <v>14674</v>
      </c>
      <c r="W2414" s="1"/>
      <c r="X2414" s="2" t="s">
        <v>1100</v>
      </c>
      <c r="Y2414" s="2" t="s">
        <v>14549</v>
      </c>
      <c r="AA2414" t="str">
        <f t="shared" si="222"/>
        <v>2025-10</v>
      </c>
      <c r="AB2414" t="str">
        <f t="shared" si="223"/>
        <v/>
      </c>
      <c r="AC2414">
        <f t="shared" si="224"/>
        <v>882378.6</v>
      </c>
      <c r="AD2414">
        <f t="shared" si="225"/>
        <v>100</v>
      </c>
      <c r="AE2414">
        <f t="shared" si="226"/>
        <v>147378.6</v>
      </c>
      <c r="AF2414" t="str">
        <f t="shared" si="227"/>
        <v>Paid</v>
      </c>
    </row>
    <row r="2415" spans="1:32" ht="17.25" thickBot="1" x14ac:dyDescent="0.35">
      <c r="A2415" s="2" t="s">
        <v>14675</v>
      </c>
      <c r="B2415" s="2" t="s">
        <v>27</v>
      </c>
      <c r="C2415" s="2" t="s">
        <v>28</v>
      </c>
      <c r="D2415" s="2" t="s">
        <v>97</v>
      </c>
      <c r="E2415" s="2" t="s">
        <v>14259</v>
      </c>
      <c r="F2415" s="2" t="s">
        <v>8445</v>
      </c>
      <c r="G2415" s="2" t="s">
        <v>32</v>
      </c>
      <c r="H2415" s="1"/>
      <c r="I2415" s="2" t="s">
        <v>33</v>
      </c>
      <c r="J2415" s="2" t="s">
        <v>34</v>
      </c>
      <c r="K2415" s="2" t="s">
        <v>1214</v>
      </c>
      <c r="L2415" s="2" t="s">
        <v>1215</v>
      </c>
      <c r="M2415" s="2" t="s">
        <v>37</v>
      </c>
      <c r="N2415" s="2" t="s">
        <v>38</v>
      </c>
      <c r="O2415" s="2" t="s">
        <v>167</v>
      </c>
      <c r="P2415" s="2" t="s">
        <v>4536</v>
      </c>
      <c r="Q2415" s="2" t="s">
        <v>14676</v>
      </c>
      <c r="R2415" s="2" t="s">
        <v>40</v>
      </c>
      <c r="S2415" s="2" t="s">
        <v>14677</v>
      </c>
      <c r="T2415" s="2" t="s">
        <v>287</v>
      </c>
      <c r="U2415" s="2" t="s">
        <v>14678</v>
      </c>
      <c r="V2415" s="2" t="s">
        <v>14679</v>
      </c>
      <c r="W2415" s="1"/>
      <c r="X2415" s="2" t="s">
        <v>1222</v>
      </c>
      <c r="Y2415" s="2" t="s">
        <v>14549</v>
      </c>
      <c r="AA2415" t="str">
        <f t="shared" si="222"/>
        <v>2025-10</v>
      </c>
      <c r="AB2415" t="str">
        <f t="shared" si="223"/>
        <v/>
      </c>
      <c r="AC2415">
        <f t="shared" si="224"/>
        <v>6884462.4000000004</v>
      </c>
      <c r="AD2415">
        <f t="shared" si="225"/>
        <v>800</v>
      </c>
      <c r="AE2415">
        <f t="shared" si="226"/>
        <v>1284462.3999999999</v>
      </c>
      <c r="AF2415" t="str">
        <f t="shared" si="227"/>
        <v>Paid</v>
      </c>
    </row>
    <row r="2416" spans="1:32" ht="17.25" thickBot="1" x14ac:dyDescent="0.35">
      <c r="A2416" s="2" t="s">
        <v>14680</v>
      </c>
      <c r="B2416" s="2" t="s">
        <v>27</v>
      </c>
      <c r="C2416" s="2" t="s">
        <v>28</v>
      </c>
      <c r="D2416" s="2" t="s">
        <v>97</v>
      </c>
      <c r="E2416" s="2" t="s">
        <v>14259</v>
      </c>
      <c r="F2416" s="2" t="s">
        <v>8445</v>
      </c>
      <c r="G2416" s="2" t="s">
        <v>32</v>
      </c>
      <c r="H2416" s="1"/>
      <c r="I2416" s="2" t="s">
        <v>33</v>
      </c>
      <c r="J2416" s="2" t="s">
        <v>34</v>
      </c>
      <c r="K2416" s="2" t="s">
        <v>1224</v>
      </c>
      <c r="L2416" s="2" t="s">
        <v>1225</v>
      </c>
      <c r="M2416" s="2" t="s">
        <v>37</v>
      </c>
      <c r="N2416" s="2" t="s">
        <v>38</v>
      </c>
      <c r="O2416" s="2" t="s">
        <v>177</v>
      </c>
      <c r="P2416" s="2" t="s">
        <v>6237</v>
      </c>
      <c r="Q2416" s="2" t="s">
        <v>14681</v>
      </c>
      <c r="R2416" s="2" t="s">
        <v>40</v>
      </c>
      <c r="S2416" s="2" t="s">
        <v>14682</v>
      </c>
      <c r="T2416" s="2" t="s">
        <v>126</v>
      </c>
      <c r="U2416" s="2" t="s">
        <v>14683</v>
      </c>
      <c r="V2416" s="2" t="s">
        <v>14684</v>
      </c>
      <c r="W2416" s="1"/>
      <c r="X2416" s="2" t="s">
        <v>3216</v>
      </c>
      <c r="Y2416" s="2" t="s">
        <v>14549</v>
      </c>
      <c r="AA2416" t="str">
        <f t="shared" si="222"/>
        <v>2025-10</v>
      </c>
      <c r="AB2416" t="str">
        <f t="shared" si="223"/>
        <v/>
      </c>
      <c r="AC2416">
        <f t="shared" si="224"/>
        <v>3022180.8</v>
      </c>
      <c r="AD2416">
        <f t="shared" si="225"/>
        <v>400</v>
      </c>
      <c r="AE2416">
        <f t="shared" si="226"/>
        <v>502180.8</v>
      </c>
      <c r="AF2416" t="str">
        <f t="shared" si="227"/>
        <v>Paid</v>
      </c>
    </row>
    <row r="2417" spans="1:32" ht="17.25" thickBot="1" x14ac:dyDescent="0.35">
      <c r="A2417" s="2" t="s">
        <v>14685</v>
      </c>
      <c r="B2417" s="2" t="s">
        <v>27</v>
      </c>
      <c r="C2417" s="2" t="s">
        <v>28</v>
      </c>
      <c r="D2417" s="2" t="s">
        <v>97</v>
      </c>
      <c r="E2417" s="2" t="s">
        <v>14259</v>
      </c>
      <c r="F2417" s="2" t="s">
        <v>8445</v>
      </c>
      <c r="G2417" s="2" t="s">
        <v>32</v>
      </c>
      <c r="H2417" s="1"/>
      <c r="I2417" s="2" t="s">
        <v>33</v>
      </c>
      <c r="J2417" s="2" t="s">
        <v>34</v>
      </c>
      <c r="K2417" s="2" t="s">
        <v>14686</v>
      </c>
      <c r="L2417" s="2" t="s">
        <v>14687</v>
      </c>
      <c r="M2417" s="2" t="s">
        <v>37</v>
      </c>
      <c r="N2417" s="2" t="s">
        <v>38</v>
      </c>
      <c r="O2417" s="2" t="s">
        <v>149</v>
      </c>
      <c r="P2417" s="2" t="s">
        <v>3568</v>
      </c>
      <c r="Q2417" s="2" t="s">
        <v>14688</v>
      </c>
      <c r="R2417" s="2" t="s">
        <v>40</v>
      </c>
      <c r="S2417" s="2" t="s">
        <v>14689</v>
      </c>
      <c r="T2417" s="2" t="s">
        <v>1136</v>
      </c>
      <c r="U2417" s="2" t="s">
        <v>670</v>
      </c>
      <c r="V2417" s="2" t="s">
        <v>14690</v>
      </c>
      <c r="W2417" s="1"/>
      <c r="X2417" s="2" t="s">
        <v>1120</v>
      </c>
      <c r="Y2417" s="2" t="s">
        <v>14549</v>
      </c>
      <c r="AA2417" t="str">
        <f t="shared" si="222"/>
        <v>2025-10</v>
      </c>
      <c r="AB2417" t="str">
        <f t="shared" si="223"/>
        <v/>
      </c>
      <c r="AC2417">
        <f t="shared" si="224"/>
        <v>1513818</v>
      </c>
      <c r="AD2417">
        <f t="shared" si="225"/>
        <v>300</v>
      </c>
      <c r="AE2417">
        <f t="shared" si="226"/>
        <v>253818</v>
      </c>
      <c r="AF2417" t="str">
        <f t="shared" si="227"/>
        <v>Paid</v>
      </c>
    </row>
    <row r="2418" spans="1:32" ht="17.25" thickBot="1" x14ac:dyDescent="0.35">
      <c r="A2418" s="2" t="s">
        <v>14691</v>
      </c>
      <c r="B2418" s="2" t="s">
        <v>27</v>
      </c>
      <c r="C2418" s="2" t="s">
        <v>28</v>
      </c>
      <c r="D2418" s="2" t="s">
        <v>97</v>
      </c>
      <c r="E2418" s="2" t="s">
        <v>14259</v>
      </c>
      <c r="F2418" s="2" t="s">
        <v>8445</v>
      </c>
      <c r="G2418" s="2" t="s">
        <v>32</v>
      </c>
      <c r="H2418" s="1"/>
      <c r="I2418" s="2" t="s">
        <v>33</v>
      </c>
      <c r="J2418" s="2" t="s">
        <v>34</v>
      </c>
      <c r="K2418" s="2" t="s">
        <v>1241</v>
      </c>
      <c r="L2418" s="2" t="s">
        <v>1242</v>
      </c>
      <c r="M2418" s="2" t="s">
        <v>37</v>
      </c>
      <c r="N2418" s="2" t="s">
        <v>38</v>
      </c>
      <c r="O2418" s="2" t="s">
        <v>5010</v>
      </c>
      <c r="P2418" s="2" t="s">
        <v>2711</v>
      </c>
      <c r="Q2418" s="2" t="s">
        <v>14692</v>
      </c>
      <c r="R2418" s="2" t="s">
        <v>40</v>
      </c>
      <c r="S2418" s="2" t="s">
        <v>14693</v>
      </c>
      <c r="T2418" s="2" t="s">
        <v>107</v>
      </c>
      <c r="U2418" s="2" t="s">
        <v>14572</v>
      </c>
      <c r="V2418" s="2" t="s">
        <v>14694</v>
      </c>
      <c r="W2418" s="1"/>
      <c r="X2418" s="2" t="s">
        <v>1100</v>
      </c>
      <c r="Y2418" s="2" t="s">
        <v>14549</v>
      </c>
      <c r="AA2418" t="str">
        <f t="shared" si="222"/>
        <v>2025-10</v>
      </c>
      <c r="AB2418" t="str">
        <f t="shared" si="223"/>
        <v/>
      </c>
      <c r="AC2418">
        <f t="shared" si="224"/>
        <v>4538385.45</v>
      </c>
      <c r="AD2418">
        <f t="shared" si="225"/>
        <v>675</v>
      </c>
      <c r="AE2418">
        <f t="shared" si="226"/>
        <v>758385.45</v>
      </c>
      <c r="AF2418" t="str">
        <f t="shared" si="227"/>
        <v>Paid</v>
      </c>
    </row>
    <row r="2419" spans="1:32" ht="17.25" thickBot="1" x14ac:dyDescent="0.35">
      <c r="A2419" s="2" t="s">
        <v>14695</v>
      </c>
      <c r="B2419" s="2" t="s">
        <v>27</v>
      </c>
      <c r="C2419" s="2" t="s">
        <v>28</v>
      </c>
      <c r="D2419" s="2" t="s">
        <v>97</v>
      </c>
      <c r="E2419" s="2" t="s">
        <v>14259</v>
      </c>
      <c r="F2419" s="2" t="s">
        <v>8445</v>
      </c>
      <c r="G2419" s="2" t="s">
        <v>32</v>
      </c>
      <c r="H2419" s="1"/>
      <c r="I2419" s="2" t="s">
        <v>33</v>
      </c>
      <c r="J2419" s="2" t="s">
        <v>34</v>
      </c>
      <c r="K2419" s="2" t="s">
        <v>1247</v>
      </c>
      <c r="L2419" s="2" t="s">
        <v>1248</v>
      </c>
      <c r="M2419" s="2" t="s">
        <v>37</v>
      </c>
      <c r="N2419" s="2" t="s">
        <v>38</v>
      </c>
      <c r="O2419" s="2" t="s">
        <v>8269</v>
      </c>
      <c r="P2419" s="2" t="s">
        <v>14696</v>
      </c>
      <c r="Q2419" s="2" t="s">
        <v>14697</v>
      </c>
      <c r="R2419" s="2" t="s">
        <v>40</v>
      </c>
      <c r="S2419" s="2" t="s">
        <v>14698</v>
      </c>
      <c r="T2419" s="2" t="s">
        <v>1253</v>
      </c>
      <c r="U2419" s="2" t="s">
        <v>1662</v>
      </c>
      <c r="V2419" s="2" t="s">
        <v>14699</v>
      </c>
      <c r="W2419" s="1"/>
      <c r="X2419" s="2" t="s">
        <v>5396</v>
      </c>
      <c r="Y2419" s="2" t="s">
        <v>14549</v>
      </c>
      <c r="AA2419" t="str">
        <f t="shared" si="222"/>
        <v>2025-10</v>
      </c>
      <c r="AB2419" t="str">
        <f t="shared" si="223"/>
        <v/>
      </c>
      <c r="AC2419">
        <f t="shared" si="224"/>
        <v>4025937.6</v>
      </c>
      <c r="AD2419">
        <f t="shared" si="225"/>
        <v>2400</v>
      </c>
      <c r="AE2419">
        <f t="shared" si="226"/>
        <v>665937.6</v>
      </c>
      <c r="AF2419" t="str">
        <f t="shared" si="227"/>
        <v>Paid</v>
      </c>
    </row>
    <row r="2420" spans="1:32" ht="17.25" thickBot="1" x14ac:dyDescent="0.35">
      <c r="A2420" s="2" t="s">
        <v>14700</v>
      </c>
      <c r="B2420" s="2" t="s">
        <v>27</v>
      </c>
      <c r="C2420" s="2" t="s">
        <v>28</v>
      </c>
      <c r="D2420" s="2" t="s">
        <v>97</v>
      </c>
      <c r="E2420" s="2" t="s">
        <v>14259</v>
      </c>
      <c r="F2420" s="2" t="s">
        <v>8445</v>
      </c>
      <c r="G2420" s="2" t="s">
        <v>32</v>
      </c>
      <c r="H2420" s="1"/>
      <c r="I2420" s="2" t="s">
        <v>33</v>
      </c>
      <c r="J2420" s="2" t="s">
        <v>34</v>
      </c>
      <c r="K2420" s="2" t="s">
        <v>1257</v>
      </c>
      <c r="L2420" s="2" t="s">
        <v>1258</v>
      </c>
      <c r="M2420" s="2" t="s">
        <v>37</v>
      </c>
      <c r="N2420" s="2" t="s">
        <v>38</v>
      </c>
      <c r="O2420" s="2" t="s">
        <v>1731</v>
      </c>
      <c r="P2420" s="2" t="s">
        <v>12815</v>
      </c>
      <c r="Q2420" s="2" t="s">
        <v>14701</v>
      </c>
      <c r="R2420" s="2" t="s">
        <v>40</v>
      </c>
      <c r="S2420" s="2" t="s">
        <v>14702</v>
      </c>
      <c r="T2420" s="2" t="s">
        <v>9899</v>
      </c>
      <c r="U2420" s="2" t="s">
        <v>14703</v>
      </c>
      <c r="V2420" s="2" t="s">
        <v>14704</v>
      </c>
      <c r="W2420" s="1"/>
      <c r="X2420" s="2" t="s">
        <v>1171</v>
      </c>
      <c r="Y2420" s="2" t="s">
        <v>14549</v>
      </c>
      <c r="AA2420" t="str">
        <f t="shared" si="222"/>
        <v>2025-10</v>
      </c>
      <c r="AB2420" t="str">
        <f t="shared" si="223"/>
        <v/>
      </c>
      <c r="AC2420">
        <f t="shared" si="224"/>
        <v>1129226.3999999999</v>
      </c>
      <c r="AD2420">
        <f t="shared" si="225"/>
        <v>207</v>
      </c>
      <c r="AE2420">
        <f t="shared" si="226"/>
        <v>348836.4</v>
      </c>
      <c r="AF2420" t="str">
        <f t="shared" si="227"/>
        <v>Paid</v>
      </c>
    </row>
    <row r="2421" spans="1:32" ht="17.25" thickBot="1" x14ac:dyDescent="0.35">
      <c r="A2421" s="2" t="s">
        <v>14705</v>
      </c>
      <c r="B2421" s="2" t="s">
        <v>27</v>
      </c>
      <c r="C2421" s="2" t="s">
        <v>28</v>
      </c>
      <c r="D2421" s="2" t="s">
        <v>97</v>
      </c>
      <c r="E2421" s="2" t="s">
        <v>14259</v>
      </c>
      <c r="F2421" s="2" t="s">
        <v>8445</v>
      </c>
      <c r="G2421" s="2" t="s">
        <v>32</v>
      </c>
      <c r="H2421" s="1"/>
      <c r="I2421" s="2" t="s">
        <v>33</v>
      </c>
      <c r="J2421" s="2" t="s">
        <v>34</v>
      </c>
      <c r="K2421" s="2" t="s">
        <v>1266</v>
      </c>
      <c r="L2421" s="2" t="s">
        <v>1267</v>
      </c>
      <c r="M2421" s="2" t="s">
        <v>37</v>
      </c>
      <c r="N2421" s="2" t="s">
        <v>38</v>
      </c>
      <c r="O2421" s="2" t="s">
        <v>177</v>
      </c>
      <c r="P2421" s="2" t="s">
        <v>14706</v>
      </c>
      <c r="Q2421" s="2" t="s">
        <v>14707</v>
      </c>
      <c r="R2421" s="2" t="s">
        <v>40</v>
      </c>
      <c r="S2421" s="2" t="s">
        <v>14708</v>
      </c>
      <c r="T2421" s="2" t="s">
        <v>1271</v>
      </c>
      <c r="U2421" s="2" t="s">
        <v>14709</v>
      </c>
      <c r="V2421" s="2" t="s">
        <v>14710</v>
      </c>
      <c r="W2421" s="1"/>
      <c r="X2421" s="2" t="s">
        <v>3216</v>
      </c>
      <c r="Y2421" s="2" t="s">
        <v>14549</v>
      </c>
      <c r="AA2421" t="str">
        <f t="shared" si="222"/>
        <v>2025-10</v>
      </c>
      <c r="AB2421" t="str">
        <f t="shared" si="223"/>
        <v/>
      </c>
      <c r="AC2421">
        <f t="shared" si="224"/>
        <v>2351191.2000000002</v>
      </c>
      <c r="AD2421">
        <f t="shared" si="225"/>
        <v>400</v>
      </c>
      <c r="AE2421">
        <f t="shared" si="226"/>
        <v>391191.2</v>
      </c>
      <c r="AF2421" t="str">
        <f t="shared" si="227"/>
        <v>Paid</v>
      </c>
    </row>
    <row r="2422" spans="1:32" ht="17.25" thickBot="1" x14ac:dyDescent="0.35">
      <c r="A2422" s="2" t="s">
        <v>14711</v>
      </c>
      <c r="B2422" s="2" t="s">
        <v>27</v>
      </c>
      <c r="C2422" s="2" t="s">
        <v>28</v>
      </c>
      <c r="D2422" s="2" t="s">
        <v>97</v>
      </c>
      <c r="E2422" s="2" t="s">
        <v>14259</v>
      </c>
      <c r="F2422" s="2" t="s">
        <v>8445</v>
      </c>
      <c r="G2422" s="2" t="s">
        <v>32</v>
      </c>
      <c r="H2422" s="1"/>
      <c r="I2422" s="2" t="s">
        <v>33</v>
      </c>
      <c r="J2422" s="2" t="s">
        <v>34</v>
      </c>
      <c r="K2422" s="2" t="s">
        <v>1275</v>
      </c>
      <c r="L2422" s="2" t="s">
        <v>1276</v>
      </c>
      <c r="M2422" s="2" t="s">
        <v>37</v>
      </c>
      <c r="N2422" s="2" t="s">
        <v>38</v>
      </c>
      <c r="O2422" s="2" t="s">
        <v>221</v>
      </c>
      <c r="P2422" s="2" t="s">
        <v>14712</v>
      </c>
      <c r="Q2422" s="2" t="s">
        <v>14713</v>
      </c>
      <c r="R2422" s="2" t="s">
        <v>40</v>
      </c>
      <c r="S2422" s="2" t="s">
        <v>14714</v>
      </c>
      <c r="T2422" s="2" t="s">
        <v>14715</v>
      </c>
      <c r="U2422" s="2" t="s">
        <v>14716</v>
      </c>
      <c r="V2422" s="2" t="s">
        <v>14717</v>
      </c>
      <c r="W2422" s="1"/>
      <c r="X2422" s="2" t="s">
        <v>14718</v>
      </c>
      <c r="Y2422" s="2" t="s">
        <v>14549</v>
      </c>
      <c r="AA2422" t="str">
        <f t="shared" si="222"/>
        <v>2025-10</v>
      </c>
      <c r="AB2422" t="str">
        <f t="shared" si="223"/>
        <v/>
      </c>
      <c r="AC2422">
        <f t="shared" si="224"/>
        <v>3289758.36</v>
      </c>
      <c r="AD2422">
        <f t="shared" si="225"/>
        <v>140</v>
      </c>
      <c r="AE2422">
        <f t="shared" si="226"/>
        <v>1067258.3600000001</v>
      </c>
      <c r="AF2422" t="str">
        <f t="shared" si="227"/>
        <v>Paid</v>
      </c>
    </row>
    <row r="2423" spans="1:32" ht="17.25" thickBot="1" x14ac:dyDescent="0.35">
      <c r="A2423" s="2" t="s">
        <v>14719</v>
      </c>
      <c r="B2423" s="2" t="s">
        <v>27</v>
      </c>
      <c r="C2423" s="2" t="s">
        <v>28</v>
      </c>
      <c r="D2423" s="2" t="s">
        <v>97</v>
      </c>
      <c r="E2423" s="2" t="s">
        <v>14259</v>
      </c>
      <c r="F2423" s="2" t="s">
        <v>8445</v>
      </c>
      <c r="G2423" s="2" t="s">
        <v>32</v>
      </c>
      <c r="H2423" s="1"/>
      <c r="I2423" s="2" t="s">
        <v>33</v>
      </c>
      <c r="J2423" s="2" t="s">
        <v>34</v>
      </c>
      <c r="K2423" s="2" t="s">
        <v>6627</v>
      </c>
      <c r="L2423" s="2" t="s">
        <v>6628</v>
      </c>
      <c r="M2423" s="2" t="s">
        <v>37</v>
      </c>
      <c r="N2423" s="2" t="s">
        <v>38</v>
      </c>
      <c r="O2423" s="2" t="s">
        <v>214</v>
      </c>
      <c r="P2423" s="2" t="s">
        <v>14720</v>
      </c>
      <c r="Q2423" s="2" t="s">
        <v>14721</v>
      </c>
      <c r="R2423" s="2" t="s">
        <v>40</v>
      </c>
      <c r="S2423" s="2" t="s">
        <v>14722</v>
      </c>
      <c r="T2423" s="2" t="s">
        <v>6632</v>
      </c>
      <c r="U2423" s="2" t="s">
        <v>3286</v>
      </c>
      <c r="V2423" s="2" t="s">
        <v>14723</v>
      </c>
      <c r="W2423" s="1"/>
      <c r="X2423" s="2" t="s">
        <v>1195</v>
      </c>
      <c r="Y2423" s="2" t="s">
        <v>14549</v>
      </c>
      <c r="AA2423" t="str">
        <f t="shared" si="222"/>
        <v>2025-10</v>
      </c>
      <c r="AB2423" t="str">
        <f t="shared" si="223"/>
        <v/>
      </c>
      <c r="AC2423">
        <f t="shared" si="224"/>
        <v>940340.1</v>
      </c>
      <c r="AD2423">
        <f t="shared" si="225"/>
        <v>50</v>
      </c>
      <c r="AE2423">
        <f t="shared" si="226"/>
        <v>140340.1</v>
      </c>
      <c r="AF2423" t="str">
        <f t="shared" si="227"/>
        <v>Paid</v>
      </c>
    </row>
    <row r="2424" spans="1:32" ht="27.75" thickBot="1" x14ac:dyDescent="0.35">
      <c r="A2424" s="2" t="s">
        <v>14724</v>
      </c>
      <c r="B2424" s="2" t="s">
        <v>27</v>
      </c>
      <c r="C2424" s="2" t="s">
        <v>28</v>
      </c>
      <c r="D2424" s="2" t="s">
        <v>97</v>
      </c>
      <c r="E2424" s="2" t="s">
        <v>14259</v>
      </c>
      <c r="F2424" s="2" t="s">
        <v>8445</v>
      </c>
      <c r="G2424" s="2" t="s">
        <v>32</v>
      </c>
      <c r="H2424" s="1"/>
      <c r="I2424" s="2" t="s">
        <v>33</v>
      </c>
      <c r="J2424" s="2" t="s">
        <v>34</v>
      </c>
      <c r="K2424" s="2" t="s">
        <v>7197</v>
      </c>
      <c r="L2424" s="2" t="s">
        <v>7198</v>
      </c>
      <c r="M2424" s="2" t="s">
        <v>37</v>
      </c>
      <c r="N2424" s="2" t="s">
        <v>38</v>
      </c>
      <c r="O2424" s="2" t="s">
        <v>1333</v>
      </c>
      <c r="P2424" s="2" t="s">
        <v>14725</v>
      </c>
      <c r="Q2424" s="2" t="s">
        <v>14726</v>
      </c>
      <c r="R2424" s="2" t="s">
        <v>40</v>
      </c>
      <c r="S2424" s="2" t="s">
        <v>14727</v>
      </c>
      <c r="T2424" s="2" t="s">
        <v>14728</v>
      </c>
      <c r="U2424" s="2" t="s">
        <v>14729</v>
      </c>
      <c r="V2424" s="2" t="s">
        <v>14730</v>
      </c>
      <c r="W2424" s="1"/>
      <c r="X2424" s="2" t="s">
        <v>5565</v>
      </c>
      <c r="Y2424" s="2" t="s">
        <v>14549</v>
      </c>
      <c r="AA2424" t="str">
        <f t="shared" si="222"/>
        <v>2025-10</v>
      </c>
      <c r="AB2424" t="str">
        <f t="shared" si="223"/>
        <v/>
      </c>
      <c r="AC2424">
        <f t="shared" si="224"/>
        <v>7049482.2000000002</v>
      </c>
      <c r="AD2424">
        <f t="shared" si="225"/>
        <v>150</v>
      </c>
      <c r="AE2424">
        <f t="shared" si="226"/>
        <v>2699482.2</v>
      </c>
      <c r="AF2424" t="str">
        <f t="shared" si="227"/>
        <v>Paid</v>
      </c>
    </row>
    <row r="2425" spans="1:32" ht="17.25" thickBot="1" x14ac:dyDescent="0.35">
      <c r="A2425" s="2" t="s">
        <v>14731</v>
      </c>
      <c r="B2425" s="2" t="s">
        <v>27</v>
      </c>
      <c r="C2425" s="2" t="s">
        <v>28</v>
      </c>
      <c r="D2425" s="2" t="s">
        <v>97</v>
      </c>
      <c r="E2425" s="2" t="s">
        <v>14259</v>
      </c>
      <c r="F2425" s="2" t="s">
        <v>8445</v>
      </c>
      <c r="G2425" s="2" t="s">
        <v>32</v>
      </c>
      <c r="H2425" s="1"/>
      <c r="I2425" s="2" t="s">
        <v>33</v>
      </c>
      <c r="J2425" s="2" t="s">
        <v>34</v>
      </c>
      <c r="K2425" s="2" t="s">
        <v>6636</v>
      </c>
      <c r="L2425" s="2" t="s">
        <v>6637</v>
      </c>
      <c r="M2425" s="2" t="s">
        <v>37</v>
      </c>
      <c r="N2425" s="2" t="s">
        <v>38</v>
      </c>
      <c r="O2425" s="2" t="s">
        <v>214</v>
      </c>
      <c r="P2425" s="2" t="s">
        <v>14732</v>
      </c>
      <c r="Q2425" s="2" t="s">
        <v>14733</v>
      </c>
      <c r="R2425" s="2" t="s">
        <v>40</v>
      </c>
      <c r="S2425" s="2" t="s">
        <v>14734</v>
      </c>
      <c r="T2425" s="2" t="s">
        <v>14735</v>
      </c>
      <c r="U2425" s="2" t="s">
        <v>14736</v>
      </c>
      <c r="V2425" s="2" t="s">
        <v>14737</v>
      </c>
      <c r="W2425" s="1"/>
      <c r="X2425" s="2" t="s">
        <v>7108</v>
      </c>
      <c r="Y2425" s="2" t="s">
        <v>14549</v>
      </c>
      <c r="AA2425" t="str">
        <f t="shared" si="222"/>
        <v>2025-10</v>
      </c>
      <c r="AB2425" t="str">
        <f t="shared" si="223"/>
        <v/>
      </c>
      <c r="AC2425">
        <f t="shared" si="224"/>
        <v>846237.9</v>
      </c>
      <c r="AD2425">
        <f t="shared" si="225"/>
        <v>50</v>
      </c>
      <c r="AE2425">
        <f t="shared" si="226"/>
        <v>184737.9</v>
      </c>
      <c r="AF2425" t="str">
        <f t="shared" si="227"/>
        <v>Paid</v>
      </c>
    </row>
    <row r="2426" spans="1:32" ht="17.25" thickBot="1" x14ac:dyDescent="0.35">
      <c r="A2426" s="2" t="s">
        <v>14738</v>
      </c>
      <c r="B2426" s="2" t="s">
        <v>27</v>
      </c>
      <c r="C2426" s="2" t="s">
        <v>28</v>
      </c>
      <c r="D2426" s="2" t="s">
        <v>97</v>
      </c>
      <c r="E2426" s="2" t="s">
        <v>14259</v>
      </c>
      <c r="F2426" s="2" t="s">
        <v>8445</v>
      </c>
      <c r="G2426" s="2" t="s">
        <v>32</v>
      </c>
      <c r="H2426" s="1"/>
      <c r="I2426" s="2" t="s">
        <v>33</v>
      </c>
      <c r="J2426" s="2" t="s">
        <v>34</v>
      </c>
      <c r="K2426" s="2" t="s">
        <v>1284</v>
      </c>
      <c r="L2426" s="2" t="s">
        <v>1285</v>
      </c>
      <c r="M2426" s="2" t="s">
        <v>37</v>
      </c>
      <c r="N2426" s="2" t="s">
        <v>38</v>
      </c>
      <c r="O2426" s="2" t="s">
        <v>1951</v>
      </c>
      <c r="P2426" s="2" t="s">
        <v>14706</v>
      </c>
      <c r="Q2426" s="2" t="s">
        <v>14739</v>
      </c>
      <c r="R2426" s="2" t="s">
        <v>40</v>
      </c>
      <c r="S2426" s="2" t="s">
        <v>14740</v>
      </c>
      <c r="T2426" s="2" t="s">
        <v>1136</v>
      </c>
      <c r="U2426" s="2" t="s">
        <v>14683</v>
      </c>
      <c r="V2426" s="2" t="s">
        <v>14741</v>
      </c>
      <c r="W2426" s="1"/>
      <c r="X2426" s="2" t="s">
        <v>997</v>
      </c>
      <c r="Y2426" s="2" t="s">
        <v>14549</v>
      </c>
      <c r="AA2426" t="str">
        <f t="shared" si="222"/>
        <v>2025-10</v>
      </c>
      <c r="AB2426" t="str">
        <f t="shared" si="223"/>
        <v/>
      </c>
      <c r="AC2426">
        <f t="shared" si="224"/>
        <v>3526786.8</v>
      </c>
      <c r="AD2426">
        <f t="shared" si="225"/>
        <v>600</v>
      </c>
      <c r="AE2426">
        <f t="shared" si="226"/>
        <v>1006786.8</v>
      </c>
      <c r="AF2426" t="str">
        <f t="shared" si="227"/>
        <v>Paid</v>
      </c>
    </row>
    <row r="2427" spans="1:32" ht="17.25" thickBot="1" x14ac:dyDescent="0.35">
      <c r="A2427" s="2" t="s">
        <v>14742</v>
      </c>
      <c r="B2427" s="2" t="s">
        <v>27</v>
      </c>
      <c r="C2427" s="2" t="s">
        <v>28</v>
      </c>
      <c r="D2427" s="2" t="s">
        <v>97</v>
      </c>
      <c r="E2427" s="2" t="s">
        <v>14259</v>
      </c>
      <c r="F2427" s="2" t="s">
        <v>8445</v>
      </c>
      <c r="G2427" s="2" t="s">
        <v>32</v>
      </c>
      <c r="H2427" s="1"/>
      <c r="I2427" s="2" t="s">
        <v>33</v>
      </c>
      <c r="J2427" s="2" t="s">
        <v>34</v>
      </c>
      <c r="K2427" s="2" t="s">
        <v>1291</v>
      </c>
      <c r="L2427" s="2" t="s">
        <v>1292</v>
      </c>
      <c r="M2427" s="2" t="s">
        <v>37</v>
      </c>
      <c r="N2427" s="2" t="s">
        <v>38</v>
      </c>
      <c r="O2427" s="2" t="s">
        <v>121</v>
      </c>
      <c r="P2427" s="2" t="s">
        <v>6237</v>
      </c>
      <c r="Q2427" s="2" t="s">
        <v>14743</v>
      </c>
      <c r="R2427" s="2" t="s">
        <v>40</v>
      </c>
      <c r="S2427" s="2" t="s">
        <v>14744</v>
      </c>
      <c r="T2427" s="2" t="s">
        <v>10964</v>
      </c>
      <c r="U2427" s="2" t="s">
        <v>14745</v>
      </c>
      <c r="V2427" s="2" t="s">
        <v>14746</v>
      </c>
      <c r="W2427" s="1"/>
      <c r="X2427" s="2" t="s">
        <v>997</v>
      </c>
      <c r="Y2427" s="2" t="s">
        <v>14549</v>
      </c>
      <c r="AA2427" t="str">
        <f t="shared" si="222"/>
        <v>2025-10</v>
      </c>
      <c r="AB2427" t="str">
        <f t="shared" si="223"/>
        <v/>
      </c>
      <c r="AC2427">
        <f t="shared" si="224"/>
        <v>120887.23</v>
      </c>
      <c r="AD2427">
        <f t="shared" si="225"/>
        <v>16</v>
      </c>
      <c r="AE2427">
        <f t="shared" si="226"/>
        <v>34487.230000000003</v>
      </c>
      <c r="AF2427" t="str">
        <f t="shared" si="227"/>
        <v>Paid</v>
      </c>
    </row>
    <row r="2428" spans="1:32" ht="17.25" thickBot="1" x14ac:dyDescent="0.35">
      <c r="A2428" s="2" t="s">
        <v>14747</v>
      </c>
      <c r="B2428" s="2" t="s">
        <v>27</v>
      </c>
      <c r="C2428" s="2" t="s">
        <v>28</v>
      </c>
      <c r="D2428" s="2" t="s">
        <v>97</v>
      </c>
      <c r="E2428" s="2" t="s">
        <v>14259</v>
      </c>
      <c r="F2428" s="2" t="s">
        <v>8445</v>
      </c>
      <c r="G2428" s="2" t="s">
        <v>32</v>
      </c>
      <c r="H2428" s="1"/>
      <c r="I2428" s="2" t="s">
        <v>33</v>
      </c>
      <c r="J2428" s="2" t="s">
        <v>34</v>
      </c>
      <c r="K2428" s="2" t="s">
        <v>1301</v>
      </c>
      <c r="L2428" s="2" t="s">
        <v>1302</v>
      </c>
      <c r="M2428" s="2" t="s">
        <v>37</v>
      </c>
      <c r="N2428" s="2" t="s">
        <v>38</v>
      </c>
      <c r="O2428" s="2" t="s">
        <v>159</v>
      </c>
      <c r="P2428" s="2" t="s">
        <v>2711</v>
      </c>
      <c r="Q2428" s="2" t="s">
        <v>14626</v>
      </c>
      <c r="R2428" s="2" t="s">
        <v>40</v>
      </c>
      <c r="S2428" s="2" t="s">
        <v>14627</v>
      </c>
      <c r="T2428" s="2" t="s">
        <v>107</v>
      </c>
      <c r="U2428" s="2" t="s">
        <v>7165</v>
      </c>
      <c r="V2428" s="2" t="s">
        <v>14628</v>
      </c>
      <c r="W2428" s="1"/>
      <c r="X2428" s="2" t="s">
        <v>1100</v>
      </c>
      <c r="Y2428" s="2" t="s">
        <v>14549</v>
      </c>
      <c r="AA2428" t="str">
        <f t="shared" si="222"/>
        <v>2025-10</v>
      </c>
      <c r="AB2428" t="str">
        <f t="shared" si="223"/>
        <v/>
      </c>
      <c r="AC2428">
        <f t="shared" si="224"/>
        <v>537882.72</v>
      </c>
      <c r="AD2428">
        <f t="shared" si="225"/>
        <v>80</v>
      </c>
      <c r="AE2428">
        <f t="shared" si="226"/>
        <v>89882.72</v>
      </c>
      <c r="AF2428" t="str">
        <f t="shared" si="227"/>
        <v>Paid</v>
      </c>
    </row>
    <row r="2429" spans="1:32" ht="17.25" thickBot="1" x14ac:dyDescent="0.35">
      <c r="A2429" s="2" t="s">
        <v>14748</v>
      </c>
      <c r="B2429" s="2" t="s">
        <v>27</v>
      </c>
      <c r="C2429" s="2" t="s">
        <v>28</v>
      </c>
      <c r="D2429" s="2" t="s">
        <v>97</v>
      </c>
      <c r="E2429" s="2" t="s">
        <v>14259</v>
      </c>
      <c r="F2429" s="2" t="s">
        <v>8445</v>
      </c>
      <c r="G2429" s="2" t="s">
        <v>32</v>
      </c>
      <c r="H2429" s="1"/>
      <c r="I2429" s="2" t="s">
        <v>33</v>
      </c>
      <c r="J2429" s="2" t="s">
        <v>34</v>
      </c>
      <c r="K2429" s="2" t="s">
        <v>6656</v>
      </c>
      <c r="L2429" s="2" t="s">
        <v>6657</v>
      </c>
      <c r="M2429" s="2" t="s">
        <v>37</v>
      </c>
      <c r="N2429" s="2" t="s">
        <v>38</v>
      </c>
      <c r="O2429" s="2" t="s">
        <v>517</v>
      </c>
      <c r="P2429" s="2" t="s">
        <v>13527</v>
      </c>
      <c r="Q2429" s="2" t="s">
        <v>14749</v>
      </c>
      <c r="R2429" s="2" t="s">
        <v>40</v>
      </c>
      <c r="S2429" s="2" t="s">
        <v>14750</v>
      </c>
      <c r="T2429" s="2" t="s">
        <v>1364</v>
      </c>
      <c r="U2429" s="2" t="s">
        <v>6717</v>
      </c>
      <c r="V2429" s="2" t="s">
        <v>14751</v>
      </c>
      <c r="W2429" s="1"/>
      <c r="X2429" s="2" t="s">
        <v>1100</v>
      </c>
      <c r="Y2429" s="2" t="s">
        <v>14549</v>
      </c>
      <c r="AA2429" t="str">
        <f t="shared" si="222"/>
        <v>2025-10</v>
      </c>
      <c r="AB2429" t="str">
        <f t="shared" si="223"/>
        <v/>
      </c>
      <c r="AC2429">
        <f t="shared" si="224"/>
        <v>756090.72</v>
      </c>
      <c r="AD2429">
        <f t="shared" si="225"/>
        <v>120</v>
      </c>
      <c r="AE2429">
        <f t="shared" si="226"/>
        <v>126090.72</v>
      </c>
      <c r="AF2429" t="str">
        <f t="shared" si="227"/>
        <v>Paid</v>
      </c>
    </row>
    <row r="2430" spans="1:32" ht="27.75" thickBot="1" x14ac:dyDescent="0.35">
      <c r="A2430" s="2" t="s">
        <v>14752</v>
      </c>
      <c r="B2430" s="2" t="s">
        <v>27</v>
      </c>
      <c r="C2430" s="2" t="s">
        <v>28</v>
      </c>
      <c r="D2430" s="2" t="s">
        <v>97</v>
      </c>
      <c r="E2430" s="2" t="s">
        <v>14259</v>
      </c>
      <c r="F2430" s="2" t="s">
        <v>8445</v>
      </c>
      <c r="G2430" s="2" t="s">
        <v>32</v>
      </c>
      <c r="H2430" s="1"/>
      <c r="I2430" s="2" t="s">
        <v>33</v>
      </c>
      <c r="J2430" s="2" t="s">
        <v>34</v>
      </c>
      <c r="K2430" s="2" t="s">
        <v>1308</v>
      </c>
      <c r="L2430" s="2" t="s">
        <v>1309</v>
      </c>
      <c r="M2430" s="2" t="s">
        <v>37</v>
      </c>
      <c r="N2430" s="2" t="s">
        <v>38</v>
      </c>
      <c r="O2430" s="2" t="s">
        <v>1385</v>
      </c>
      <c r="P2430" s="2" t="s">
        <v>14753</v>
      </c>
      <c r="Q2430" s="2" t="s">
        <v>14754</v>
      </c>
      <c r="R2430" s="2" t="s">
        <v>40</v>
      </c>
      <c r="S2430" s="2" t="s">
        <v>14755</v>
      </c>
      <c r="T2430" s="2" t="s">
        <v>6668</v>
      </c>
      <c r="U2430" s="2" t="s">
        <v>14756</v>
      </c>
      <c r="V2430" s="2" t="s">
        <v>14757</v>
      </c>
      <c r="W2430" s="1"/>
      <c r="X2430" s="2" t="s">
        <v>1100</v>
      </c>
      <c r="Y2430" s="2" t="s">
        <v>14549</v>
      </c>
      <c r="AA2430" t="str">
        <f t="shared" si="222"/>
        <v>2025-10</v>
      </c>
      <c r="AB2430" t="str">
        <f t="shared" si="223"/>
        <v/>
      </c>
      <c r="AC2430">
        <f t="shared" si="224"/>
        <v>2948753.81</v>
      </c>
      <c r="AD2430">
        <f t="shared" si="225"/>
        <v>156</v>
      </c>
      <c r="AE2430">
        <f t="shared" si="226"/>
        <v>491753.81</v>
      </c>
      <c r="AF2430" t="str">
        <f t="shared" si="227"/>
        <v>Paid</v>
      </c>
    </row>
    <row r="2431" spans="1:32" ht="17.25" thickBot="1" x14ac:dyDescent="0.35">
      <c r="A2431" s="2" t="s">
        <v>14758</v>
      </c>
      <c r="B2431" s="2" t="s">
        <v>27</v>
      </c>
      <c r="C2431" s="2" t="s">
        <v>28</v>
      </c>
      <c r="D2431" s="2" t="s">
        <v>97</v>
      </c>
      <c r="E2431" s="2" t="s">
        <v>14259</v>
      </c>
      <c r="F2431" s="2" t="s">
        <v>8445</v>
      </c>
      <c r="G2431" s="2" t="s">
        <v>32</v>
      </c>
      <c r="H2431" s="1"/>
      <c r="I2431" s="2" t="s">
        <v>33</v>
      </c>
      <c r="J2431" s="2" t="s">
        <v>34</v>
      </c>
      <c r="K2431" s="2" t="s">
        <v>35</v>
      </c>
      <c r="L2431" s="2" t="s">
        <v>36</v>
      </c>
      <c r="M2431" s="2" t="s">
        <v>37</v>
      </c>
      <c r="N2431" s="2" t="s">
        <v>38</v>
      </c>
      <c r="O2431" s="2" t="s">
        <v>159</v>
      </c>
      <c r="P2431" s="2" t="s">
        <v>8791</v>
      </c>
      <c r="Q2431" s="2" t="s">
        <v>12027</v>
      </c>
      <c r="R2431" s="2" t="s">
        <v>40</v>
      </c>
      <c r="S2431" s="2" t="s">
        <v>14759</v>
      </c>
      <c r="T2431" s="2" t="s">
        <v>5426</v>
      </c>
      <c r="U2431" s="2" t="s">
        <v>6354</v>
      </c>
      <c r="V2431" s="2" t="s">
        <v>14760</v>
      </c>
      <c r="W2431" s="1"/>
      <c r="X2431" s="2" t="s">
        <v>6790</v>
      </c>
      <c r="Y2431" s="2" t="s">
        <v>14549</v>
      </c>
      <c r="AA2431" t="str">
        <f t="shared" si="222"/>
        <v>2025-10</v>
      </c>
      <c r="AB2431" t="str">
        <f t="shared" si="223"/>
        <v/>
      </c>
      <c r="AC2431">
        <f t="shared" si="224"/>
        <v>806278.56</v>
      </c>
      <c r="AD2431">
        <f t="shared" si="225"/>
        <v>80</v>
      </c>
      <c r="AE2431">
        <f t="shared" si="226"/>
        <v>174278.56</v>
      </c>
      <c r="AF2431" t="str">
        <f t="shared" si="227"/>
        <v>Paid</v>
      </c>
    </row>
    <row r="2432" spans="1:32" ht="17.25" thickBot="1" x14ac:dyDescent="0.35">
      <c r="A2432" s="2" t="s">
        <v>14761</v>
      </c>
      <c r="B2432" s="2" t="s">
        <v>27</v>
      </c>
      <c r="C2432" s="2" t="s">
        <v>28</v>
      </c>
      <c r="D2432" s="2" t="s">
        <v>97</v>
      </c>
      <c r="E2432" s="2" t="s">
        <v>14259</v>
      </c>
      <c r="F2432" s="2" t="s">
        <v>8445</v>
      </c>
      <c r="G2432" s="2" t="s">
        <v>32</v>
      </c>
      <c r="H2432" s="1"/>
      <c r="I2432" s="2" t="s">
        <v>33</v>
      </c>
      <c r="J2432" s="2" t="s">
        <v>34</v>
      </c>
      <c r="K2432" s="2" t="s">
        <v>5422</v>
      </c>
      <c r="L2432" s="2" t="s">
        <v>5423</v>
      </c>
      <c r="M2432" s="2" t="s">
        <v>37</v>
      </c>
      <c r="N2432" s="2" t="s">
        <v>38</v>
      </c>
      <c r="O2432" s="2" t="s">
        <v>517</v>
      </c>
      <c r="P2432" s="2" t="s">
        <v>8791</v>
      </c>
      <c r="Q2432" s="2" t="s">
        <v>12086</v>
      </c>
      <c r="R2432" s="2" t="s">
        <v>40</v>
      </c>
      <c r="S2432" s="2" t="s">
        <v>14762</v>
      </c>
      <c r="T2432" s="2" t="s">
        <v>5426</v>
      </c>
      <c r="U2432" s="2" t="s">
        <v>14763</v>
      </c>
      <c r="V2432" s="2" t="s">
        <v>14764</v>
      </c>
      <c r="W2432" s="1"/>
      <c r="X2432" s="2" t="s">
        <v>6790</v>
      </c>
      <c r="Y2432" s="2" t="s">
        <v>14549</v>
      </c>
      <c r="AA2432" t="str">
        <f t="shared" si="222"/>
        <v>2025-10</v>
      </c>
      <c r="AB2432" t="str">
        <f t="shared" si="223"/>
        <v/>
      </c>
      <c r="AC2432">
        <f t="shared" si="224"/>
        <v>1209417.8400000001</v>
      </c>
      <c r="AD2432">
        <f t="shared" si="225"/>
        <v>120</v>
      </c>
      <c r="AE2432">
        <f t="shared" si="226"/>
        <v>261417.84</v>
      </c>
      <c r="AF2432" t="str">
        <f t="shared" si="227"/>
        <v>Paid</v>
      </c>
    </row>
    <row r="2433" spans="1:32" ht="17.25" thickBot="1" x14ac:dyDescent="0.35">
      <c r="A2433" s="2" t="s">
        <v>14765</v>
      </c>
      <c r="B2433" s="2" t="s">
        <v>27</v>
      </c>
      <c r="C2433" s="2" t="s">
        <v>28</v>
      </c>
      <c r="D2433" s="2" t="s">
        <v>97</v>
      </c>
      <c r="E2433" s="2" t="s">
        <v>14259</v>
      </c>
      <c r="F2433" s="2" t="s">
        <v>8445</v>
      </c>
      <c r="G2433" s="2" t="s">
        <v>32</v>
      </c>
      <c r="H2433" s="1"/>
      <c r="I2433" s="2" t="s">
        <v>33</v>
      </c>
      <c r="J2433" s="2" t="s">
        <v>34</v>
      </c>
      <c r="K2433" s="2" t="s">
        <v>1325</v>
      </c>
      <c r="L2433" s="2" t="s">
        <v>1326</v>
      </c>
      <c r="M2433" s="2" t="s">
        <v>37</v>
      </c>
      <c r="N2433" s="2" t="s">
        <v>38</v>
      </c>
      <c r="O2433" s="2" t="s">
        <v>131</v>
      </c>
      <c r="P2433" s="2" t="s">
        <v>8791</v>
      </c>
      <c r="Q2433" s="2" t="s">
        <v>14766</v>
      </c>
      <c r="R2433" s="2" t="s">
        <v>40</v>
      </c>
      <c r="S2433" s="2" t="s">
        <v>14767</v>
      </c>
      <c r="T2433" s="2" t="s">
        <v>5426</v>
      </c>
      <c r="U2433" s="2" t="s">
        <v>14768</v>
      </c>
      <c r="V2433" s="2" t="s">
        <v>14769</v>
      </c>
      <c r="W2433" s="1"/>
      <c r="X2433" s="2" t="s">
        <v>6790</v>
      </c>
      <c r="Y2433" s="2" t="s">
        <v>14549</v>
      </c>
      <c r="AA2433" t="str">
        <f t="shared" si="222"/>
        <v>2025-10</v>
      </c>
      <c r="AB2433" t="str">
        <f t="shared" si="223"/>
        <v/>
      </c>
      <c r="AC2433">
        <f t="shared" si="224"/>
        <v>403139.28</v>
      </c>
      <c r="AD2433">
        <f t="shared" si="225"/>
        <v>40</v>
      </c>
      <c r="AE2433">
        <f t="shared" si="226"/>
        <v>87139.28</v>
      </c>
      <c r="AF2433" t="str">
        <f t="shared" si="227"/>
        <v>Paid</v>
      </c>
    </row>
    <row r="2434" spans="1:32" ht="17.25" thickBot="1" x14ac:dyDescent="0.35">
      <c r="A2434" s="2" t="s">
        <v>14770</v>
      </c>
      <c r="B2434" s="2" t="s">
        <v>27</v>
      </c>
      <c r="C2434" s="2" t="s">
        <v>28</v>
      </c>
      <c r="D2434" s="2" t="s">
        <v>97</v>
      </c>
      <c r="E2434" s="2" t="s">
        <v>14259</v>
      </c>
      <c r="F2434" s="2" t="s">
        <v>8445</v>
      </c>
      <c r="G2434" s="2" t="s">
        <v>32</v>
      </c>
      <c r="H2434" s="1"/>
      <c r="I2434" s="2" t="s">
        <v>33</v>
      </c>
      <c r="J2434" s="2" t="s">
        <v>34</v>
      </c>
      <c r="K2434" s="2" t="s">
        <v>14771</v>
      </c>
      <c r="L2434" s="2" t="s">
        <v>14772</v>
      </c>
      <c r="M2434" s="2" t="s">
        <v>37</v>
      </c>
      <c r="N2434" s="2" t="s">
        <v>38</v>
      </c>
      <c r="O2434" s="2" t="s">
        <v>1204</v>
      </c>
      <c r="P2434" s="2" t="s">
        <v>14560</v>
      </c>
      <c r="Q2434" s="2" t="s">
        <v>14773</v>
      </c>
      <c r="R2434" s="2" t="s">
        <v>40</v>
      </c>
      <c r="S2434" s="2" t="s">
        <v>14774</v>
      </c>
      <c r="T2434" s="2" t="s">
        <v>2832</v>
      </c>
      <c r="U2434" s="2" t="s">
        <v>14775</v>
      </c>
      <c r="V2434" s="2" t="s">
        <v>14776</v>
      </c>
      <c r="W2434" s="1"/>
      <c r="X2434" s="2" t="s">
        <v>6886</v>
      </c>
      <c r="Y2434" s="2" t="s">
        <v>14549</v>
      </c>
      <c r="AA2434" t="str">
        <f t="shared" si="222"/>
        <v>2025-10</v>
      </c>
      <c r="AB2434" t="str">
        <f t="shared" si="223"/>
        <v/>
      </c>
      <c r="AC2434">
        <f t="shared" si="224"/>
        <v>1248286.1399999999</v>
      </c>
      <c r="AD2434">
        <f t="shared" si="225"/>
        <v>135</v>
      </c>
      <c r="AE2434">
        <f t="shared" si="226"/>
        <v>343786.14</v>
      </c>
      <c r="AF2434" t="str">
        <f t="shared" si="227"/>
        <v>Paid</v>
      </c>
    </row>
    <row r="2435" spans="1:32" ht="17.25" thickBot="1" x14ac:dyDescent="0.35">
      <c r="A2435" s="2" t="s">
        <v>14777</v>
      </c>
      <c r="B2435" s="2" t="s">
        <v>27</v>
      </c>
      <c r="C2435" s="2" t="s">
        <v>28</v>
      </c>
      <c r="D2435" s="2" t="s">
        <v>97</v>
      </c>
      <c r="E2435" s="2" t="s">
        <v>14259</v>
      </c>
      <c r="F2435" s="2" t="s">
        <v>8445</v>
      </c>
      <c r="G2435" s="2" t="s">
        <v>32</v>
      </c>
      <c r="H2435" s="1"/>
      <c r="I2435" s="2" t="s">
        <v>33</v>
      </c>
      <c r="J2435" s="2" t="s">
        <v>34</v>
      </c>
      <c r="K2435" s="2" t="s">
        <v>1334</v>
      </c>
      <c r="L2435" s="2" t="s">
        <v>1335</v>
      </c>
      <c r="M2435" s="2" t="s">
        <v>37</v>
      </c>
      <c r="N2435" s="2" t="s">
        <v>38</v>
      </c>
      <c r="O2435" s="2" t="s">
        <v>156</v>
      </c>
      <c r="P2435" s="2" t="s">
        <v>14560</v>
      </c>
      <c r="Q2435" s="2" t="s">
        <v>7797</v>
      </c>
      <c r="R2435" s="2" t="s">
        <v>40</v>
      </c>
      <c r="S2435" s="2" t="s">
        <v>14778</v>
      </c>
      <c r="T2435" s="2" t="s">
        <v>267</v>
      </c>
      <c r="U2435" s="2" t="s">
        <v>4842</v>
      </c>
      <c r="V2435" s="2" t="s">
        <v>14779</v>
      </c>
      <c r="W2435" s="1"/>
      <c r="X2435" s="2" t="s">
        <v>1340</v>
      </c>
      <c r="Y2435" s="2" t="s">
        <v>14549</v>
      </c>
      <c r="AA2435" t="str">
        <f t="shared" si="222"/>
        <v>2025-10</v>
      </c>
      <c r="AB2435" t="str">
        <f t="shared" si="223"/>
        <v/>
      </c>
      <c r="AC2435">
        <f t="shared" si="224"/>
        <v>184931.28</v>
      </c>
      <c r="AD2435">
        <f t="shared" si="225"/>
        <v>20</v>
      </c>
      <c r="AE2435">
        <f t="shared" si="226"/>
        <v>52931.28</v>
      </c>
      <c r="AF2435" t="str">
        <f t="shared" si="227"/>
        <v>Paid</v>
      </c>
    </row>
    <row r="2436" spans="1:32" ht="41.25" thickBot="1" x14ac:dyDescent="0.35">
      <c r="A2436" s="2" t="s">
        <v>14780</v>
      </c>
      <c r="B2436" s="2" t="s">
        <v>27</v>
      </c>
      <c r="C2436" s="2" t="s">
        <v>28</v>
      </c>
      <c r="D2436" s="2" t="s">
        <v>97</v>
      </c>
      <c r="E2436" s="2" t="s">
        <v>14259</v>
      </c>
      <c r="F2436" s="2" t="s">
        <v>8445</v>
      </c>
      <c r="G2436" s="2" t="s">
        <v>32</v>
      </c>
      <c r="H2436" s="1"/>
      <c r="I2436" s="2" t="s">
        <v>33</v>
      </c>
      <c r="J2436" s="2" t="s">
        <v>34</v>
      </c>
      <c r="K2436" s="2" t="s">
        <v>14781</v>
      </c>
      <c r="L2436" s="2" t="s">
        <v>14782</v>
      </c>
      <c r="M2436" s="2" t="s">
        <v>37</v>
      </c>
      <c r="N2436" s="2" t="s">
        <v>38</v>
      </c>
      <c r="O2436" s="2" t="s">
        <v>463</v>
      </c>
      <c r="P2436" s="2" t="s">
        <v>6952</v>
      </c>
      <c r="Q2436" s="2" t="s">
        <v>14783</v>
      </c>
      <c r="R2436" s="2" t="s">
        <v>40</v>
      </c>
      <c r="S2436" s="2" t="s">
        <v>14784</v>
      </c>
      <c r="T2436" s="2" t="s">
        <v>287</v>
      </c>
      <c r="U2436" s="2" t="s">
        <v>5499</v>
      </c>
      <c r="V2436" s="2" t="s">
        <v>14785</v>
      </c>
      <c r="W2436" s="1"/>
      <c r="X2436" s="2" t="s">
        <v>1100</v>
      </c>
      <c r="Y2436" s="2" t="s">
        <v>14549</v>
      </c>
      <c r="AA2436" t="str">
        <f t="shared" ref="AA2436:AA2499" si="228">LEFT(E2436,7)</f>
        <v>2025-10</v>
      </c>
      <c r="AB2436" t="str">
        <f t="shared" ref="AB2436:AB2499" si="229">IF(AND($AA2436&gt;="2025-01",$AA2436&lt;="2025-06"),"H1_2025",IF(AND($AA2436&gt;="2026-01",$AA2436&lt;="2026-06"),"H1_2026",""))</f>
        <v/>
      </c>
      <c r="AC2436">
        <f t="shared" ref="AC2436:AC2499" si="230">IFERROR(VALUE(SUBSTITUTE(S2436,",","")),0)</f>
        <v>453654.43</v>
      </c>
      <c r="AD2436">
        <f t="shared" ref="AD2436:AD2499" si="231">IFERROR(VALUE(SUBSTITUTE(O2436,",","")),0)</f>
        <v>54</v>
      </c>
      <c r="AE2436">
        <f t="shared" ref="AE2436:AE2499" si="232">IFERROR(VALUE(SUBSTITUTE(V2436,",","")),0)</f>
        <v>75654.429999999993</v>
      </c>
      <c r="AF2436" t="str">
        <f t="shared" ref="AF2436:AF2499" si="233">IF(ISNUMBER(SEARCH("FOC",W2436)),"FOC",IF(ISNUMBER(SEARCH("샘플",W2436)),"Sample","Paid"))</f>
        <v>Paid</v>
      </c>
    </row>
    <row r="2437" spans="1:32" ht="17.25" thickBot="1" x14ac:dyDescent="0.35">
      <c r="A2437" s="2" t="s">
        <v>14786</v>
      </c>
      <c r="B2437" s="2" t="s">
        <v>27</v>
      </c>
      <c r="C2437" s="2" t="s">
        <v>28</v>
      </c>
      <c r="D2437" s="2" t="s">
        <v>97</v>
      </c>
      <c r="E2437" s="2" t="s">
        <v>14259</v>
      </c>
      <c r="F2437" s="2" t="s">
        <v>8445</v>
      </c>
      <c r="G2437" s="2" t="s">
        <v>32</v>
      </c>
      <c r="H2437" s="1"/>
      <c r="I2437" s="2" t="s">
        <v>33</v>
      </c>
      <c r="J2437" s="2" t="s">
        <v>34</v>
      </c>
      <c r="K2437" s="2" t="s">
        <v>14787</v>
      </c>
      <c r="L2437" s="2" t="s">
        <v>14788</v>
      </c>
      <c r="M2437" s="2" t="s">
        <v>37</v>
      </c>
      <c r="N2437" s="2" t="s">
        <v>38</v>
      </c>
      <c r="O2437" s="2" t="s">
        <v>156</v>
      </c>
      <c r="P2437" s="2" t="s">
        <v>6952</v>
      </c>
      <c r="Q2437" s="2" t="s">
        <v>14789</v>
      </c>
      <c r="R2437" s="2" t="s">
        <v>40</v>
      </c>
      <c r="S2437" s="2" t="s">
        <v>14790</v>
      </c>
      <c r="T2437" s="2" t="s">
        <v>11869</v>
      </c>
      <c r="U2437" s="2" t="s">
        <v>14791</v>
      </c>
      <c r="V2437" s="2" t="s">
        <v>14792</v>
      </c>
      <c r="W2437" s="1"/>
      <c r="X2437" s="2" t="s">
        <v>856</v>
      </c>
      <c r="Y2437" s="2" t="s">
        <v>14549</v>
      </c>
      <c r="AA2437" t="str">
        <f t="shared" si="228"/>
        <v>2025-10</v>
      </c>
      <c r="AB2437" t="str">
        <f t="shared" si="229"/>
        <v/>
      </c>
      <c r="AC2437">
        <f t="shared" si="230"/>
        <v>168020.16</v>
      </c>
      <c r="AD2437">
        <f t="shared" si="231"/>
        <v>20</v>
      </c>
      <c r="AE2437">
        <f t="shared" si="232"/>
        <v>50020.160000000003</v>
      </c>
      <c r="AF2437" t="str">
        <f t="shared" si="233"/>
        <v>Paid</v>
      </c>
    </row>
    <row r="2438" spans="1:32" ht="17.25" thickBot="1" x14ac:dyDescent="0.35">
      <c r="A2438" s="2" t="s">
        <v>14793</v>
      </c>
      <c r="B2438" s="2" t="s">
        <v>27</v>
      </c>
      <c r="C2438" s="2" t="s">
        <v>28</v>
      </c>
      <c r="D2438" s="2" t="s">
        <v>97</v>
      </c>
      <c r="E2438" s="2" t="s">
        <v>14259</v>
      </c>
      <c r="F2438" s="2" t="s">
        <v>8445</v>
      </c>
      <c r="G2438" s="2" t="s">
        <v>32</v>
      </c>
      <c r="H2438" s="1"/>
      <c r="I2438" s="2" t="s">
        <v>33</v>
      </c>
      <c r="J2438" s="2" t="s">
        <v>34</v>
      </c>
      <c r="K2438" s="2" t="s">
        <v>14794</v>
      </c>
      <c r="L2438" s="2" t="s">
        <v>14795</v>
      </c>
      <c r="M2438" s="2" t="s">
        <v>37</v>
      </c>
      <c r="N2438" s="2" t="s">
        <v>38</v>
      </c>
      <c r="O2438" s="2" t="s">
        <v>131</v>
      </c>
      <c r="P2438" s="2" t="s">
        <v>6952</v>
      </c>
      <c r="Q2438" s="2" t="s">
        <v>14796</v>
      </c>
      <c r="R2438" s="2" t="s">
        <v>40</v>
      </c>
      <c r="S2438" s="2" t="s">
        <v>14797</v>
      </c>
      <c r="T2438" s="2" t="s">
        <v>669</v>
      </c>
      <c r="U2438" s="2" t="s">
        <v>2257</v>
      </c>
      <c r="V2438" s="2" t="s">
        <v>14798</v>
      </c>
      <c r="W2438" s="1"/>
      <c r="X2438" s="2" t="s">
        <v>1340</v>
      </c>
      <c r="Y2438" s="2" t="s">
        <v>14549</v>
      </c>
      <c r="AA2438" t="str">
        <f t="shared" si="228"/>
        <v>2025-10</v>
      </c>
      <c r="AB2438" t="str">
        <f t="shared" si="229"/>
        <v/>
      </c>
      <c r="AC2438">
        <f t="shared" si="230"/>
        <v>336040.32</v>
      </c>
      <c r="AD2438">
        <f t="shared" si="231"/>
        <v>40</v>
      </c>
      <c r="AE2438">
        <f t="shared" si="232"/>
        <v>96040.320000000007</v>
      </c>
      <c r="AF2438" t="str">
        <f t="shared" si="233"/>
        <v>Paid</v>
      </c>
    </row>
    <row r="2439" spans="1:32" ht="17.25" thickBot="1" x14ac:dyDescent="0.35">
      <c r="A2439" s="2" t="s">
        <v>14799</v>
      </c>
      <c r="B2439" s="2" t="s">
        <v>27</v>
      </c>
      <c r="C2439" s="2" t="s">
        <v>28</v>
      </c>
      <c r="D2439" s="2" t="s">
        <v>97</v>
      </c>
      <c r="E2439" s="2" t="s">
        <v>14800</v>
      </c>
      <c r="F2439" s="2" t="s">
        <v>8445</v>
      </c>
      <c r="G2439" s="2" t="s">
        <v>32</v>
      </c>
      <c r="H2439" s="1"/>
      <c r="I2439" s="2" t="s">
        <v>33</v>
      </c>
      <c r="J2439" s="2" t="s">
        <v>34</v>
      </c>
      <c r="K2439" s="2" t="s">
        <v>14222</v>
      </c>
      <c r="L2439" s="2" t="s">
        <v>14223</v>
      </c>
      <c r="M2439" s="2" t="s">
        <v>3198</v>
      </c>
      <c r="N2439" s="2" t="s">
        <v>38</v>
      </c>
      <c r="O2439" s="2" t="s">
        <v>517</v>
      </c>
      <c r="P2439" s="2" t="s">
        <v>1068</v>
      </c>
      <c r="Q2439" s="2" t="s">
        <v>10682</v>
      </c>
      <c r="R2439" s="2" t="s">
        <v>40</v>
      </c>
      <c r="S2439" s="2" t="s">
        <v>14801</v>
      </c>
      <c r="T2439" s="2" t="s">
        <v>3202</v>
      </c>
      <c r="U2439" s="2" t="s">
        <v>14802</v>
      </c>
      <c r="V2439" s="2" t="s">
        <v>14803</v>
      </c>
      <c r="W2439" s="1"/>
      <c r="X2439" s="2" t="s">
        <v>3756</v>
      </c>
      <c r="Y2439" s="2" t="s">
        <v>14804</v>
      </c>
      <c r="AA2439" t="str">
        <f t="shared" si="228"/>
        <v>2025-10</v>
      </c>
      <c r="AB2439" t="str">
        <f t="shared" si="229"/>
        <v/>
      </c>
      <c r="AC2439">
        <f t="shared" si="230"/>
        <v>1142306.8799999999</v>
      </c>
      <c r="AD2439">
        <f t="shared" si="231"/>
        <v>120</v>
      </c>
      <c r="AE2439">
        <f t="shared" si="232"/>
        <v>202706.88</v>
      </c>
      <c r="AF2439" t="str">
        <f t="shared" si="233"/>
        <v>Paid</v>
      </c>
    </row>
    <row r="2440" spans="1:32" ht="17.25" thickBot="1" x14ac:dyDescent="0.35">
      <c r="A2440" s="2" t="s">
        <v>14805</v>
      </c>
      <c r="B2440" s="2" t="s">
        <v>27</v>
      </c>
      <c r="C2440" s="2" t="s">
        <v>28</v>
      </c>
      <c r="D2440" s="2" t="s">
        <v>97</v>
      </c>
      <c r="E2440" s="2" t="s">
        <v>14800</v>
      </c>
      <c r="F2440" s="2" t="s">
        <v>8445</v>
      </c>
      <c r="G2440" s="2" t="s">
        <v>32</v>
      </c>
      <c r="H2440" s="1"/>
      <c r="I2440" s="2" t="s">
        <v>33</v>
      </c>
      <c r="J2440" s="2" t="s">
        <v>34</v>
      </c>
      <c r="K2440" s="2" t="s">
        <v>11155</v>
      </c>
      <c r="L2440" s="2" t="s">
        <v>11156</v>
      </c>
      <c r="M2440" s="2" t="s">
        <v>7619</v>
      </c>
      <c r="N2440" s="2" t="s">
        <v>38</v>
      </c>
      <c r="O2440" s="2" t="s">
        <v>1631</v>
      </c>
      <c r="P2440" s="2" t="s">
        <v>2015</v>
      </c>
      <c r="Q2440" s="2" t="s">
        <v>14806</v>
      </c>
      <c r="R2440" s="2" t="s">
        <v>40</v>
      </c>
      <c r="S2440" s="2" t="s">
        <v>14807</v>
      </c>
      <c r="T2440" s="2" t="s">
        <v>8502</v>
      </c>
      <c r="U2440" s="2" t="s">
        <v>14808</v>
      </c>
      <c r="V2440" s="2" t="s">
        <v>14809</v>
      </c>
      <c r="W2440" s="1"/>
      <c r="X2440" s="2" t="s">
        <v>9250</v>
      </c>
      <c r="Y2440" s="2" t="s">
        <v>14810</v>
      </c>
      <c r="AA2440" t="str">
        <f t="shared" si="228"/>
        <v>2025-10</v>
      </c>
      <c r="AB2440" t="str">
        <f t="shared" si="229"/>
        <v/>
      </c>
      <c r="AC2440">
        <f t="shared" si="230"/>
        <v>1333520.32</v>
      </c>
      <c r="AD2440">
        <f t="shared" si="231"/>
        <v>190</v>
      </c>
      <c r="AE2440">
        <f t="shared" si="232"/>
        <v>239120.32</v>
      </c>
      <c r="AF2440" t="str">
        <f t="shared" si="233"/>
        <v>Paid</v>
      </c>
    </row>
    <row r="2441" spans="1:32" ht="17.25" thickBot="1" x14ac:dyDescent="0.35">
      <c r="A2441" s="2" t="s">
        <v>14811</v>
      </c>
      <c r="B2441" s="2" t="s">
        <v>27</v>
      </c>
      <c r="C2441" s="2" t="s">
        <v>28</v>
      </c>
      <c r="D2441" s="2" t="s">
        <v>97</v>
      </c>
      <c r="E2441" s="2" t="s">
        <v>14800</v>
      </c>
      <c r="F2441" s="2" t="s">
        <v>8445</v>
      </c>
      <c r="G2441" s="2" t="s">
        <v>32</v>
      </c>
      <c r="H2441" s="1"/>
      <c r="I2441" s="2" t="s">
        <v>33</v>
      </c>
      <c r="J2441" s="2" t="s">
        <v>34</v>
      </c>
      <c r="K2441" s="2" t="s">
        <v>2313</v>
      </c>
      <c r="L2441" s="2" t="s">
        <v>2314</v>
      </c>
      <c r="M2441" s="2" t="s">
        <v>2270</v>
      </c>
      <c r="N2441" s="2" t="s">
        <v>38</v>
      </c>
      <c r="O2441" s="2" t="s">
        <v>156</v>
      </c>
      <c r="P2441" s="2" t="s">
        <v>2452</v>
      </c>
      <c r="Q2441" s="2" t="s">
        <v>2453</v>
      </c>
      <c r="R2441" s="2" t="s">
        <v>40</v>
      </c>
      <c r="S2441" s="2" t="s">
        <v>14812</v>
      </c>
      <c r="T2441" s="2" t="s">
        <v>2275</v>
      </c>
      <c r="U2441" s="2" t="s">
        <v>10061</v>
      </c>
      <c r="V2441" s="2" t="s">
        <v>14813</v>
      </c>
      <c r="W2441" s="1"/>
      <c r="X2441" s="2" t="s">
        <v>2198</v>
      </c>
      <c r="Y2441" s="2" t="s">
        <v>14810</v>
      </c>
      <c r="AA2441" t="str">
        <f t="shared" si="228"/>
        <v>2025-10</v>
      </c>
      <c r="AB2441" t="str">
        <f t="shared" si="229"/>
        <v/>
      </c>
      <c r="AC2441">
        <f t="shared" si="230"/>
        <v>111080.64</v>
      </c>
      <c r="AD2441">
        <f t="shared" si="231"/>
        <v>20</v>
      </c>
      <c r="AE2441">
        <f t="shared" si="232"/>
        <v>21080.639999999999</v>
      </c>
      <c r="AF2441" t="str">
        <f t="shared" si="233"/>
        <v>Paid</v>
      </c>
    </row>
    <row r="2442" spans="1:32" ht="17.25" thickBot="1" x14ac:dyDescent="0.35">
      <c r="A2442" s="2" t="s">
        <v>14814</v>
      </c>
      <c r="B2442" s="2" t="s">
        <v>27</v>
      </c>
      <c r="C2442" s="2" t="s">
        <v>28</v>
      </c>
      <c r="D2442" s="2" t="s">
        <v>97</v>
      </c>
      <c r="E2442" s="2" t="s">
        <v>14800</v>
      </c>
      <c r="F2442" s="2" t="s">
        <v>8445</v>
      </c>
      <c r="G2442" s="2" t="s">
        <v>32</v>
      </c>
      <c r="H2442" s="1"/>
      <c r="I2442" s="2" t="s">
        <v>33</v>
      </c>
      <c r="J2442" s="2" t="s">
        <v>34</v>
      </c>
      <c r="K2442" s="2" t="s">
        <v>2335</v>
      </c>
      <c r="L2442" s="2" t="s">
        <v>2336</v>
      </c>
      <c r="M2442" s="2" t="s">
        <v>2270</v>
      </c>
      <c r="N2442" s="2" t="s">
        <v>38</v>
      </c>
      <c r="O2442" s="2" t="s">
        <v>1631</v>
      </c>
      <c r="P2442" s="2" t="s">
        <v>2452</v>
      </c>
      <c r="Q2442" s="2" t="s">
        <v>14815</v>
      </c>
      <c r="R2442" s="2" t="s">
        <v>40</v>
      </c>
      <c r="S2442" s="2" t="s">
        <v>14816</v>
      </c>
      <c r="T2442" s="2" t="s">
        <v>2275</v>
      </c>
      <c r="U2442" s="2" t="s">
        <v>13623</v>
      </c>
      <c r="V2442" s="2" t="s">
        <v>14817</v>
      </c>
      <c r="W2442" s="1"/>
      <c r="X2442" s="2" t="s">
        <v>2198</v>
      </c>
      <c r="Y2442" s="2" t="s">
        <v>14810</v>
      </c>
      <c r="AA2442" t="str">
        <f t="shared" si="228"/>
        <v>2025-10</v>
      </c>
      <c r="AB2442" t="str">
        <f t="shared" si="229"/>
        <v/>
      </c>
      <c r="AC2442">
        <f t="shared" si="230"/>
        <v>1055266.08</v>
      </c>
      <c r="AD2442">
        <f t="shared" si="231"/>
        <v>190</v>
      </c>
      <c r="AE2442">
        <f t="shared" si="232"/>
        <v>200266.08</v>
      </c>
      <c r="AF2442" t="str">
        <f t="shared" si="233"/>
        <v>Paid</v>
      </c>
    </row>
    <row r="2443" spans="1:32" ht="17.25" thickBot="1" x14ac:dyDescent="0.35">
      <c r="A2443" s="2" t="s">
        <v>14818</v>
      </c>
      <c r="B2443" s="2" t="s">
        <v>27</v>
      </c>
      <c r="C2443" s="2" t="s">
        <v>28</v>
      </c>
      <c r="D2443" s="2" t="s">
        <v>97</v>
      </c>
      <c r="E2443" s="2" t="s">
        <v>14800</v>
      </c>
      <c r="F2443" s="2" t="s">
        <v>8445</v>
      </c>
      <c r="G2443" s="2" t="s">
        <v>32</v>
      </c>
      <c r="H2443" s="1"/>
      <c r="I2443" s="2" t="s">
        <v>33</v>
      </c>
      <c r="J2443" s="2" t="s">
        <v>34</v>
      </c>
      <c r="K2443" s="2" t="s">
        <v>2349</v>
      </c>
      <c r="L2443" s="2" t="s">
        <v>2350</v>
      </c>
      <c r="M2443" s="2" t="s">
        <v>2270</v>
      </c>
      <c r="N2443" s="2" t="s">
        <v>38</v>
      </c>
      <c r="O2443" s="2" t="s">
        <v>131</v>
      </c>
      <c r="P2443" s="2" t="s">
        <v>2452</v>
      </c>
      <c r="Q2443" s="2" t="s">
        <v>14819</v>
      </c>
      <c r="R2443" s="2" t="s">
        <v>40</v>
      </c>
      <c r="S2443" s="2" t="s">
        <v>14820</v>
      </c>
      <c r="T2443" s="2" t="s">
        <v>2275</v>
      </c>
      <c r="U2443" s="2" t="s">
        <v>3331</v>
      </c>
      <c r="V2443" s="2" t="s">
        <v>14821</v>
      </c>
      <c r="W2443" s="1"/>
      <c r="X2443" s="2" t="s">
        <v>2198</v>
      </c>
      <c r="Y2443" s="2" t="s">
        <v>14810</v>
      </c>
      <c r="AA2443" t="str">
        <f t="shared" si="228"/>
        <v>2025-10</v>
      </c>
      <c r="AB2443" t="str">
        <f t="shared" si="229"/>
        <v/>
      </c>
      <c r="AC2443">
        <f t="shared" si="230"/>
        <v>222161.28</v>
      </c>
      <c r="AD2443">
        <f t="shared" si="231"/>
        <v>40</v>
      </c>
      <c r="AE2443">
        <f t="shared" si="232"/>
        <v>42161.279999999999</v>
      </c>
      <c r="AF2443" t="str">
        <f t="shared" si="233"/>
        <v>Paid</v>
      </c>
    </row>
    <row r="2444" spans="1:32" ht="27.75" thickBot="1" x14ac:dyDescent="0.35">
      <c r="A2444" s="2" t="s">
        <v>14822</v>
      </c>
      <c r="B2444" s="2" t="s">
        <v>27</v>
      </c>
      <c r="C2444" s="2" t="s">
        <v>28</v>
      </c>
      <c r="D2444" s="2" t="s">
        <v>97</v>
      </c>
      <c r="E2444" s="2" t="s">
        <v>14800</v>
      </c>
      <c r="F2444" s="2" t="s">
        <v>8445</v>
      </c>
      <c r="G2444" s="2" t="s">
        <v>32</v>
      </c>
      <c r="H2444" s="1"/>
      <c r="I2444" s="2" t="s">
        <v>33</v>
      </c>
      <c r="J2444" s="2" t="s">
        <v>34</v>
      </c>
      <c r="K2444" s="2" t="s">
        <v>2356</v>
      </c>
      <c r="L2444" s="2" t="s">
        <v>2357</v>
      </c>
      <c r="M2444" s="2" t="s">
        <v>2270</v>
      </c>
      <c r="N2444" s="2" t="s">
        <v>38</v>
      </c>
      <c r="O2444" s="2" t="s">
        <v>391</v>
      </c>
      <c r="P2444" s="2" t="s">
        <v>2452</v>
      </c>
      <c r="Q2444" s="2" t="s">
        <v>12857</v>
      </c>
      <c r="R2444" s="2" t="s">
        <v>40</v>
      </c>
      <c r="S2444" s="2" t="s">
        <v>14823</v>
      </c>
      <c r="T2444" s="2" t="s">
        <v>2275</v>
      </c>
      <c r="U2444" s="2" t="s">
        <v>4410</v>
      </c>
      <c r="V2444" s="2" t="s">
        <v>14824</v>
      </c>
      <c r="W2444" s="1"/>
      <c r="X2444" s="2" t="s">
        <v>2198</v>
      </c>
      <c r="Y2444" s="2" t="s">
        <v>14810</v>
      </c>
      <c r="AA2444" t="str">
        <f t="shared" si="228"/>
        <v>2025-10</v>
      </c>
      <c r="AB2444" t="str">
        <f t="shared" si="229"/>
        <v/>
      </c>
      <c r="AC2444">
        <f t="shared" si="230"/>
        <v>333241.92</v>
      </c>
      <c r="AD2444">
        <f t="shared" si="231"/>
        <v>60</v>
      </c>
      <c r="AE2444">
        <f t="shared" si="232"/>
        <v>63241.919999999998</v>
      </c>
      <c r="AF2444" t="str">
        <f t="shared" si="233"/>
        <v>Paid</v>
      </c>
    </row>
    <row r="2445" spans="1:32" ht="27.75" thickBot="1" x14ac:dyDescent="0.35">
      <c r="A2445" s="2" t="s">
        <v>14825</v>
      </c>
      <c r="B2445" s="2" t="s">
        <v>27</v>
      </c>
      <c r="C2445" s="2" t="s">
        <v>28</v>
      </c>
      <c r="D2445" s="2" t="s">
        <v>97</v>
      </c>
      <c r="E2445" s="2" t="s">
        <v>14800</v>
      </c>
      <c r="F2445" s="2" t="s">
        <v>8445</v>
      </c>
      <c r="G2445" s="2" t="s">
        <v>32</v>
      </c>
      <c r="H2445" s="1"/>
      <c r="I2445" s="2" t="s">
        <v>33</v>
      </c>
      <c r="J2445" s="2" t="s">
        <v>34</v>
      </c>
      <c r="K2445" s="2" t="s">
        <v>2363</v>
      </c>
      <c r="L2445" s="2" t="s">
        <v>2364</v>
      </c>
      <c r="M2445" s="2" t="s">
        <v>2270</v>
      </c>
      <c r="N2445" s="2" t="s">
        <v>38</v>
      </c>
      <c r="O2445" s="2" t="s">
        <v>1333</v>
      </c>
      <c r="P2445" s="2" t="s">
        <v>2452</v>
      </c>
      <c r="Q2445" s="2" t="s">
        <v>14826</v>
      </c>
      <c r="R2445" s="2" t="s">
        <v>40</v>
      </c>
      <c r="S2445" s="2" t="s">
        <v>14827</v>
      </c>
      <c r="T2445" s="2" t="s">
        <v>2275</v>
      </c>
      <c r="U2445" s="2" t="s">
        <v>9319</v>
      </c>
      <c r="V2445" s="2" t="s">
        <v>14828</v>
      </c>
      <c r="W2445" s="1"/>
      <c r="X2445" s="2" t="s">
        <v>2198</v>
      </c>
      <c r="Y2445" s="2" t="s">
        <v>14810</v>
      </c>
      <c r="AA2445" t="str">
        <f t="shared" si="228"/>
        <v>2025-10</v>
      </c>
      <c r="AB2445" t="str">
        <f t="shared" si="229"/>
        <v/>
      </c>
      <c r="AC2445">
        <f t="shared" si="230"/>
        <v>833104.8</v>
      </c>
      <c r="AD2445">
        <f t="shared" si="231"/>
        <v>150</v>
      </c>
      <c r="AE2445">
        <f t="shared" si="232"/>
        <v>158104.79999999999</v>
      </c>
      <c r="AF2445" t="str">
        <f t="shared" si="233"/>
        <v>Paid</v>
      </c>
    </row>
    <row r="2446" spans="1:32" ht="17.25" thickBot="1" x14ac:dyDescent="0.35">
      <c r="A2446" s="2" t="s">
        <v>14829</v>
      </c>
      <c r="B2446" s="2" t="s">
        <v>27</v>
      </c>
      <c r="C2446" s="2" t="s">
        <v>28</v>
      </c>
      <c r="D2446" s="2" t="s">
        <v>97</v>
      </c>
      <c r="E2446" s="2" t="s">
        <v>14800</v>
      </c>
      <c r="F2446" s="2" t="s">
        <v>8445</v>
      </c>
      <c r="G2446" s="2" t="s">
        <v>32</v>
      </c>
      <c r="H2446" s="1"/>
      <c r="I2446" s="2" t="s">
        <v>33</v>
      </c>
      <c r="J2446" s="2" t="s">
        <v>34</v>
      </c>
      <c r="K2446" s="2" t="s">
        <v>13942</v>
      </c>
      <c r="L2446" s="2" t="s">
        <v>13943</v>
      </c>
      <c r="M2446" s="2" t="s">
        <v>2389</v>
      </c>
      <c r="N2446" s="2" t="s">
        <v>38</v>
      </c>
      <c r="O2446" s="2" t="s">
        <v>466</v>
      </c>
      <c r="P2446" s="2" t="s">
        <v>10887</v>
      </c>
      <c r="Q2446" s="2" t="s">
        <v>14830</v>
      </c>
      <c r="R2446" s="2" t="s">
        <v>40</v>
      </c>
      <c r="S2446" s="2" t="s">
        <v>14831</v>
      </c>
      <c r="T2446" s="2" t="s">
        <v>13945</v>
      </c>
      <c r="U2446" s="2" t="s">
        <v>14832</v>
      </c>
      <c r="V2446" s="2" t="s">
        <v>14833</v>
      </c>
      <c r="W2446" s="1"/>
      <c r="X2446" s="2" t="s">
        <v>817</v>
      </c>
      <c r="Y2446" s="2" t="s">
        <v>14810</v>
      </c>
      <c r="AA2446" t="str">
        <f t="shared" si="228"/>
        <v>2025-10</v>
      </c>
      <c r="AB2446" t="str">
        <f t="shared" si="229"/>
        <v/>
      </c>
      <c r="AC2446">
        <f t="shared" si="230"/>
        <v>631529.36</v>
      </c>
      <c r="AD2446">
        <f t="shared" si="231"/>
        <v>70</v>
      </c>
      <c r="AE2446">
        <f t="shared" si="232"/>
        <v>155529.35999999999</v>
      </c>
      <c r="AF2446" t="str">
        <f t="shared" si="233"/>
        <v>Paid</v>
      </c>
    </row>
    <row r="2447" spans="1:32" ht="17.25" thickBot="1" x14ac:dyDescent="0.35">
      <c r="A2447" s="2" t="s">
        <v>14834</v>
      </c>
      <c r="B2447" s="2" t="s">
        <v>27</v>
      </c>
      <c r="C2447" s="2" t="s">
        <v>28</v>
      </c>
      <c r="D2447" s="2" t="s">
        <v>97</v>
      </c>
      <c r="E2447" s="2" t="s">
        <v>14800</v>
      </c>
      <c r="F2447" s="2" t="s">
        <v>8445</v>
      </c>
      <c r="G2447" s="2" t="s">
        <v>32</v>
      </c>
      <c r="H2447" s="1"/>
      <c r="I2447" s="2" t="s">
        <v>33</v>
      </c>
      <c r="J2447" s="2" t="s">
        <v>34</v>
      </c>
      <c r="K2447" s="2" t="s">
        <v>2387</v>
      </c>
      <c r="L2447" s="2" t="s">
        <v>2388</v>
      </c>
      <c r="M2447" s="2" t="s">
        <v>2389</v>
      </c>
      <c r="N2447" s="2" t="s">
        <v>38</v>
      </c>
      <c r="O2447" s="2" t="s">
        <v>301</v>
      </c>
      <c r="P2447" s="2" t="s">
        <v>9447</v>
      </c>
      <c r="Q2447" s="2" t="s">
        <v>14835</v>
      </c>
      <c r="R2447" s="2" t="s">
        <v>40</v>
      </c>
      <c r="S2447" s="2" t="s">
        <v>14836</v>
      </c>
      <c r="T2447" s="2" t="s">
        <v>14837</v>
      </c>
      <c r="U2447" s="2" t="s">
        <v>14838</v>
      </c>
      <c r="V2447" s="2" t="s">
        <v>14839</v>
      </c>
      <c r="W2447" s="1"/>
      <c r="X2447" s="2" t="s">
        <v>1437</v>
      </c>
      <c r="Y2447" s="2" t="s">
        <v>14810</v>
      </c>
      <c r="AA2447" t="str">
        <f t="shared" si="228"/>
        <v>2025-10</v>
      </c>
      <c r="AB2447" t="str">
        <f t="shared" si="229"/>
        <v/>
      </c>
      <c r="AC2447">
        <f t="shared" si="230"/>
        <v>151824.01999999999</v>
      </c>
      <c r="AD2447">
        <f t="shared" si="231"/>
        <v>37</v>
      </c>
      <c r="AE2447">
        <f t="shared" si="232"/>
        <v>37457.019999999997</v>
      </c>
      <c r="AF2447" t="str">
        <f t="shared" si="233"/>
        <v>Paid</v>
      </c>
    </row>
    <row r="2448" spans="1:32" ht="17.25" thickBot="1" x14ac:dyDescent="0.35">
      <c r="A2448" s="2" t="s">
        <v>14840</v>
      </c>
      <c r="B2448" s="2" t="s">
        <v>27</v>
      </c>
      <c r="C2448" s="2" t="s">
        <v>28</v>
      </c>
      <c r="D2448" s="2" t="s">
        <v>97</v>
      </c>
      <c r="E2448" s="2" t="s">
        <v>14800</v>
      </c>
      <c r="F2448" s="2" t="s">
        <v>8445</v>
      </c>
      <c r="G2448" s="2" t="s">
        <v>32</v>
      </c>
      <c r="H2448" s="1"/>
      <c r="I2448" s="2" t="s">
        <v>33</v>
      </c>
      <c r="J2448" s="2" t="s">
        <v>34</v>
      </c>
      <c r="K2448" s="2" t="s">
        <v>2396</v>
      </c>
      <c r="L2448" s="2" t="s">
        <v>2397</v>
      </c>
      <c r="M2448" s="2" t="s">
        <v>2389</v>
      </c>
      <c r="N2448" s="2" t="s">
        <v>38</v>
      </c>
      <c r="O2448" s="2" t="s">
        <v>301</v>
      </c>
      <c r="P2448" s="2" t="s">
        <v>811</v>
      </c>
      <c r="Q2448" s="2" t="s">
        <v>14841</v>
      </c>
      <c r="R2448" s="2" t="s">
        <v>40</v>
      </c>
      <c r="S2448" s="2" t="s">
        <v>14842</v>
      </c>
      <c r="T2448" s="2" t="s">
        <v>2401</v>
      </c>
      <c r="U2448" s="2" t="s">
        <v>14843</v>
      </c>
      <c r="V2448" s="2" t="s">
        <v>14844</v>
      </c>
      <c r="W2448" s="1"/>
      <c r="X2448" s="2" t="s">
        <v>14845</v>
      </c>
      <c r="Y2448" s="2" t="s">
        <v>14810</v>
      </c>
      <c r="AA2448" t="str">
        <f t="shared" si="228"/>
        <v>2025-10</v>
      </c>
      <c r="AB2448" t="str">
        <f t="shared" si="229"/>
        <v/>
      </c>
      <c r="AC2448">
        <f t="shared" si="230"/>
        <v>472341.41</v>
      </c>
      <c r="AD2448">
        <f t="shared" si="231"/>
        <v>37</v>
      </c>
      <c r="AE2448">
        <f t="shared" si="232"/>
        <v>216671.41</v>
      </c>
      <c r="AF2448" t="str">
        <f t="shared" si="233"/>
        <v>Paid</v>
      </c>
    </row>
    <row r="2449" spans="1:32" ht="17.25" thickBot="1" x14ac:dyDescent="0.35">
      <c r="A2449" s="2" t="s">
        <v>14846</v>
      </c>
      <c r="B2449" s="2" t="s">
        <v>27</v>
      </c>
      <c r="C2449" s="2" t="s">
        <v>28</v>
      </c>
      <c r="D2449" s="2" t="s">
        <v>97</v>
      </c>
      <c r="E2449" s="2" t="s">
        <v>14800</v>
      </c>
      <c r="F2449" s="2" t="s">
        <v>8445</v>
      </c>
      <c r="G2449" s="2" t="s">
        <v>32</v>
      </c>
      <c r="H2449" s="1"/>
      <c r="I2449" s="2" t="s">
        <v>33</v>
      </c>
      <c r="J2449" s="2" t="s">
        <v>34</v>
      </c>
      <c r="K2449" s="2" t="s">
        <v>13949</v>
      </c>
      <c r="L2449" s="2" t="s">
        <v>13950</v>
      </c>
      <c r="M2449" s="2" t="s">
        <v>2389</v>
      </c>
      <c r="N2449" s="2" t="s">
        <v>38</v>
      </c>
      <c r="O2449" s="2" t="s">
        <v>1333</v>
      </c>
      <c r="P2449" s="2" t="s">
        <v>6578</v>
      </c>
      <c r="Q2449" s="2" t="s">
        <v>14847</v>
      </c>
      <c r="R2449" s="2" t="s">
        <v>40</v>
      </c>
      <c r="S2449" s="2" t="s">
        <v>14848</v>
      </c>
      <c r="T2449" s="2" t="s">
        <v>1628</v>
      </c>
      <c r="U2449" s="2" t="s">
        <v>14849</v>
      </c>
      <c r="V2449" s="2" t="s">
        <v>14850</v>
      </c>
      <c r="W2449" s="1"/>
      <c r="X2449" s="2" t="s">
        <v>13954</v>
      </c>
      <c r="Y2449" s="2" t="s">
        <v>14810</v>
      </c>
      <c r="AA2449" t="str">
        <f t="shared" si="228"/>
        <v>2025-10</v>
      </c>
      <c r="AB2449" t="str">
        <f t="shared" si="229"/>
        <v/>
      </c>
      <c r="AC2449">
        <f t="shared" si="230"/>
        <v>2111775.6</v>
      </c>
      <c r="AD2449">
        <f t="shared" si="231"/>
        <v>150</v>
      </c>
      <c r="AE2449">
        <f t="shared" si="232"/>
        <v>896775.6</v>
      </c>
      <c r="AF2449" t="str">
        <f t="shared" si="233"/>
        <v>Paid</v>
      </c>
    </row>
    <row r="2450" spans="1:32" ht="17.25" thickBot="1" x14ac:dyDescent="0.35">
      <c r="A2450" s="2" t="s">
        <v>14851</v>
      </c>
      <c r="B2450" s="2" t="s">
        <v>27</v>
      </c>
      <c r="C2450" s="2" t="s">
        <v>28</v>
      </c>
      <c r="D2450" s="2" t="s">
        <v>97</v>
      </c>
      <c r="E2450" s="2" t="s">
        <v>14800</v>
      </c>
      <c r="F2450" s="2" t="s">
        <v>8445</v>
      </c>
      <c r="G2450" s="2" t="s">
        <v>32</v>
      </c>
      <c r="H2450" s="1"/>
      <c r="I2450" s="2" t="s">
        <v>33</v>
      </c>
      <c r="J2450" s="2" t="s">
        <v>34</v>
      </c>
      <c r="K2450" s="2" t="s">
        <v>2405</v>
      </c>
      <c r="L2450" s="2" t="s">
        <v>2406</v>
      </c>
      <c r="M2450" s="2" t="s">
        <v>2389</v>
      </c>
      <c r="N2450" s="2" t="s">
        <v>38</v>
      </c>
      <c r="O2450" s="2" t="s">
        <v>773</v>
      </c>
      <c r="P2450" s="2" t="s">
        <v>6993</v>
      </c>
      <c r="Q2450" s="2" t="s">
        <v>14852</v>
      </c>
      <c r="R2450" s="2" t="s">
        <v>40</v>
      </c>
      <c r="S2450" s="2" t="s">
        <v>14853</v>
      </c>
      <c r="T2450" s="2" t="s">
        <v>2411</v>
      </c>
      <c r="U2450" s="2" t="s">
        <v>3303</v>
      </c>
      <c r="V2450" s="2" t="s">
        <v>14854</v>
      </c>
      <c r="W2450" s="1"/>
      <c r="X2450" s="2" t="s">
        <v>6790</v>
      </c>
      <c r="Y2450" s="2" t="s">
        <v>14810</v>
      </c>
      <c r="AA2450" t="str">
        <f t="shared" si="228"/>
        <v>2025-10</v>
      </c>
      <c r="AB2450" t="str">
        <f t="shared" si="229"/>
        <v/>
      </c>
      <c r="AC2450">
        <f t="shared" si="230"/>
        <v>765406.4</v>
      </c>
      <c r="AD2450">
        <f t="shared" si="231"/>
        <v>200</v>
      </c>
      <c r="AE2450">
        <f t="shared" si="232"/>
        <v>165406.39999999999</v>
      </c>
      <c r="AF2450" t="str">
        <f t="shared" si="233"/>
        <v>Paid</v>
      </c>
    </row>
    <row r="2451" spans="1:32" ht="17.25" thickBot="1" x14ac:dyDescent="0.35">
      <c r="A2451" s="2" t="s">
        <v>14855</v>
      </c>
      <c r="B2451" s="2" t="s">
        <v>27</v>
      </c>
      <c r="C2451" s="2" t="s">
        <v>28</v>
      </c>
      <c r="D2451" s="2" t="s">
        <v>97</v>
      </c>
      <c r="E2451" s="2" t="s">
        <v>14800</v>
      </c>
      <c r="F2451" s="2" t="s">
        <v>8445</v>
      </c>
      <c r="G2451" s="2" t="s">
        <v>32</v>
      </c>
      <c r="H2451" s="1"/>
      <c r="I2451" s="2" t="s">
        <v>33</v>
      </c>
      <c r="J2451" s="2" t="s">
        <v>34</v>
      </c>
      <c r="K2451" s="2" t="s">
        <v>11260</v>
      </c>
      <c r="L2451" s="2" t="s">
        <v>11261</v>
      </c>
      <c r="M2451" s="2" t="s">
        <v>2389</v>
      </c>
      <c r="N2451" s="2" t="s">
        <v>38</v>
      </c>
      <c r="O2451" s="2" t="s">
        <v>466</v>
      </c>
      <c r="P2451" s="2" t="s">
        <v>10044</v>
      </c>
      <c r="Q2451" s="2" t="s">
        <v>14856</v>
      </c>
      <c r="R2451" s="2" t="s">
        <v>40</v>
      </c>
      <c r="S2451" s="2" t="s">
        <v>14857</v>
      </c>
      <c r="T2451" s="2" t="s">
        <v>3110</v>
      </c>
      <c r="U2451" s="2" t="s">
        <v>5210</v>
      </c>
      <c r="V2451" s="2" t="s">
        <v>14858</v>
      </c>
      <c r="W2451" s="1"/>
      <c r="X2451" s="2" t="s">
        <v>817</v>
      </c>
      <c r="Y2451" s="2" t="s">
        <v>14810</v>
      </c>
      <c r="AA2451" t="str">
        <f t="shared" si="228"/>
        <v>2025-10</v>
      </c>
      <c r="AB2451" t="str">
        <f t="shared" si="229"/>
        <v/>
      </c>
      <c r="AC2451">
        <f t="shared" si="230"/>
        <v>371374.08000000002</v>
      </c>
      <c r="AD2451">
        <f t="shared" si="231"/>
        <v>70</v>
      </c>
      <c r="AE2451">
        <f t="shared" si="232"/>
        <v>91374.080000000002</v>
      </c>
      <c r="AF2451" t="str">
        <f t="shared" si="233"/>
        <v>Paid</v>
      </c>
    </row>
    <row r="2452" spans="1:32" ht="17.25" thickBot="1" x14ac:dyDescent="0.35">
      <c r="A2452" s="2" t="s">
        <v>14859</v>
      </c>
      <c r="B2452" s="2" t="s">
        <v>27</v>
      </c>
      <c r="C2452" s="2" t="s">
        <v>28</v>
      </c>
      <c r="D2452" s="2" t="s">
        <v>97</v>
      </c>
      <c r="E2452" s="2" t="s">
        <v>14800</v>
      </c>
      <c r="F2452" s="2" t="s">
        <v>8445</v>
      </c>
      <c r="G2452" s="2" t="s">
        <v>32</v>
      </c>
      <c r="H2452" s="1"/>
      <c r="I2452" s="2" t="s">
        <v>33</v>
      </c>
      <c r="J2452" s="2" t="s">
        <v>34</v>
      </c>
      <c r="K2452" s="2" t="s">
        <v>2450</v>
      </c>
      <c r="L2452" s="2" t="s">
        <v>2451</v>
      </c>
      <c r="M2452" s="2" t="s">
        <v>2389</v>
      </c>
      <c r="N2452" s="2" t="s">
        <v>38</v>
      </c>
      <c r="O2452" s="2" t="s">
        <v>391</v>
      </c>
      <c r="P2452" s="2" t="s">
        <v>4508</v>
      </c>
      <c r="Q2452" s="2" t="s">
        <v>13705</v>
      </c>
      <c r="R2452" s="2" t="s">
        <v>40</v>
      </c>
      <c r="S2452" s="2" t="s">
        <v>14860</v>
      </c>
      <c r="T2452" s="2" t="s">
        <v>14861</v>
      </c>
      <c r="U2452" s="2" t="s">
        <v>14862</v>
      </c>
      <c r="V2452" s="2" t="s">
        <v>14863</v>
      </c>
      <c r="W2452" s="1"/>
      <c r="X2452" s="2" t="s">
        <v>856</v>
      </c>
      <c r="Y2452" s="2" t="s">
        <v>14810</v>
      </c>
      <c r="AA2452" t="str">
        <f t="shared" si="228"/>
        <v>2025-10</v>
      </c>
      <c r="AB2452" t="str">
        <f t="shared" si="229"/>
        <v/>
      </c>
      <c r="AC2452">
        <f t="shared" si="230"/>
        <v>369716.16</v>
      </c>
      <c r="AD2452">
        <f t="shared" si="231"/>
        <v>60</v>
      </c>
      <c r="AE2452">
        <f t="shared" si="232"/>
        <v>110058.71</v>
      </c>
      <c r="AF2452" t="str">
        <f t="shared" si="233"/>
        <v>Paid</v>
      </c>
    </row>
    <row r="2453" spans="1:32" ht="17.25" thickBot="1" x14ac:dyDescent="0.35">
      <c r="A2453" s="2" t="s">
        <v>14864</v>
      </c>
      <c r="B2453" s="2" t="s">
        <v>27</v>
      </c>
      <c r="C2453" s="2" t="s">
        <v>28</v>
      </c>
      <c r="D2453" s="2" t="s">
        <v>97</v>
      </c>
      <c r="E2453" s="2" t="s">
        <v>14800</v>
      </c>
      <c r="F2453" s="2" t="s">
        <v>8445</v>
      </c>
      <c r="G2453" s="2" t="s">
        <v>32</v>
      </c>
      <c r="H2453" s="1"/>
      <c r="I2453" s="2" t="s">
        <v>33</v>
      </c>
      <c r="J2453" s="2" t="s">
        <v>34</v>
      </c>
      <c r="K2453" s="2" t="s">
        <v>13970</v>
      </c>
      <c r="L2453" s="2" t="s">
        <v>13971</v>
      </c>
      <c r="M2453" s="2" t="s">
        <v>2389</v>
      </c>
      <c r="N2453" s="2" t="s">
        <v>38</v>
      </c>
      <c r="O2453" s="2" t="s">
        <v>156</v>
      </c>
      <c r="P2453" s="2" t="s">
        <v>13972</v>
      </c>
      <c r="Q2453" s="2" t="s">
        <v>14865</v>
      </c>
      <c r="R2453" s="2" t="s">
        <v>40</v>
      </c>
      <c r="S2453" s="2" t="s">
        <v>14866</v>
      </c>
      <c r="T2453" s="2" t="s">
        <v>6823</v>
      </c>
      <c r="U2453" s="2" t="s">
        <v>14867</v>
      </c>
      <c r="V2453" s="2" t="s">
        <v>14868</v>
      </c>
      <c r="W2453" s="1"/>
      <c r="X2453" s="2" t="s">
        <v>13977</v>
      </c>
      <c r="Y2453" s="2" t="s">
        <v>14810</v>
      </c>
      <c r="AA2453" t="str">
        <f t="shared" si="228"/>
        <v>2025-10</v>
      </c>
      <c r="AB2453" t="str">
        <f t="shared" si="229"/>
        <v/>
      </c>
      <c r="AC2453">
        <f t="shared" si="230"/>
        <v>510363.04</v>
      </c>
      <c r="AD2453">
        <f t="shared" si="231"/>
        <v>20</v>
      </c>
      <c r="AE2453">
        <f t="shared" si="232"/>
        <v>278363.03999999998</v>
      </c>
      <c r="AF2453" t="str">
        <f t="shared" si="233"/>
        <v>Paid</v>
      </c>
    </row>
    <row r="2454" spans="1:32" ht="17.25" thickBot="1" x14ac:dyDescent="0.35">
      <c r="A2454" s="2" t="s">
        <v>14869</v>
      </c>
      <c r="B2454" s="2" t="s">
        <v>27</v>
      </c>
      <c r="C2454" s="2" t="s">
        <v>28</v>
      </c>
      <c r="D2454" s="2" t="s">
        <v>97</v>
      </c>
      <c r="E2454" s="2" t="s">
        <v>14800</v>
      </c>
      <c r="F2454" s="2" t="s">
        <v>8445</v>
      </c>
      <c r="G2454" s="2" t="s">
        <v>32</v>
      </c>
      <c r="H2454" s="1"/>
      <c r="I2454" s="2" t="s">
        <v>33</v>
      </c>
      <c r="J2454" s="2" t="s">
        <v>34</v>
      </c>
      <c r="K2454" s="2" t="s">
        <v>11304</v>
      </c>
      <c r="L2454" s="2" t="s">
        <v>11305</v>
      </c>
      <c r="M2454" s="2" t="s">
        <v>2389</v>
      </c>
      <c r="N2454" s="2" t="s">
        <v>38</v>
      </c>
      <c r="O2454" s="2" t="s">
        <v>1150</v>
      </c>
      <c r="P2454" s="2" t="s">
        <v>13233</v>
      </c>
      <c r="Q2454" s="2" t="s">
        <v>6937</v>
      </c>
      <c r="R2454" s="2" t="s">
        <v>40</v>
      </c>
      <c r="S2454" s="2" t="s">
        <v>14870</v>
      </c>
      <c r="T2454" s="2" t="s">
        <v>2522</v>
      </c>
      <c r="U2454" s="2" t="s">
        <v>14871</v>
      </c>
      <c r="V2454" s="2" t="s">
        <v>14872</v>
      </c>
      <c r="W2454" s="1"/>
      <c r="X2454" s="2" t="s">
        <v>886</v>
      </c>
      <c r="Y2454" s="2" t="s">
        <v>14810</v>
      </c>
      <c r="AA2454" t="str">
        <f t="shared" si="228"/>
        <v>2025-10</v>
      </c>
      <c r="AB2454" t="str">
        <f t="shared" si="229"/>
        <v/>
      </c>
      <c r="AC2454">
        <f t="shared" si="230"/>
        <v>905224.32</v>
      </c>
      <c r="AD2454">
        <f t="shared" si="231"/>
        <v>130</v>
      </c>
      <c r="AE2454">
        <f t="shared" si="232"/>
        <v>242224.32</v>
      </c>
      <c r="AF2454" t="str">
        <f t="shared" si="233"/>
        <v>Paid</v>
      </c>
    </row>
    <row r="2455" spans="1:32" ht="17.25" thickBot="1" x14ac:dyDescent="0.35">
      <c r="A2455" s="2" t="s">
        <v>14873</v>
      </c>
      <c r="B2455" s="2" t="s">
        <v>27</v>
      </c>
      <c r="C2455" s="2" t="s">
        <v>28</v>
      </c>
      <c r="D2455" s="2" t="s">
        <v>97</v>
      </c>
      <c r="E2455" s="2" t="s">
        <v>14800</v>
      </c>
      <c r="F2455" s="2" t="s">
        <v>8445</v>
      </c>
      <c r="G2455" s="2" t="s">
        <v>32</v>
      </c>
      <c r="H2455" s="1"/>
      <c r="I2455" s="2" t="s">
        <v>33</v>
      </c>
      <c r="J2455" s="2" t="s">
        <v>34</v>
      </c>
      <c r="K2455" s="2" t="s">
        <v>11310</v>
      </c>
      <c r="L2455" s="2" t="s">
        <v>11311</v>
      </c>
      <c r="M2455" s="2" t="s">
        <v>2389</v>
      </c>
      <c r="N2455" s="2" t="s">
        <v>38</v>
      </c>
      <c r="O2455" s="2" t="s">
        <v>877</v>
      </c>
      <c r="P2455" s="2" t="s">
        <v>13233</v>
      </c>
      <c r="Q2455" s="2" t="s">
        <v>14874</v>
      </c>
      <c r="R2455" s="2" t="s">
        <v>40</v>
      </c>
      <c r="S2455" s="2" t="s">
        <v>14875</v>
      </c>
      <c r="T2455" s="2" t="s">
        <v>13993</v>
      </c>
      <c r="U2455" s="2" t="s">
        <v>14876</v>
      </c>
      <c r="V2455" s="2" t="s">
        <v>14877</v>
      </c>
      <c r="W2455" s="1"/>
      <c r="X2455" s="2" t="s">
        <v>934</v>
      </c>
      <c r="Y2455" s="2" t="s">
        <v>14810</v>
      </c>
      <c r="AA2455" t="str">
        <f t="shared" si="228"/>
        <v>2025-10</v>
      </c>
      <c r="AB2455" t="str">
        <f t="shared" si="229"/>
        <v/>
      </c>
      <c r="AC2455">
        <f t="shared" si="230"/>
        <v>696326.4</v>
      </c>
      <c r="AD2455">
        <f t="shared" si="231"/>
        <v>100</v>
      </c>
      <c r="AE2455">
        <f t="shared" si="232"/>
        <v>170826.4</v>
      </c>
      <c r="AF2455" t="str">
        <f t="shared" si="233"/>
        <v>Paid</v>
      </c>
    </row>
    <row r="2456" spans="1:32" ht="17.25" thickBot="1" x14ac:dyDescent="0.35">
      <c r="A2456" s="2" t="s">
        <v>14878</v>
      </c>
      <c r="B2456" s="2" t="s">
        <v>27</v>
      </c>
      <c r="C2456" s="2" t="s">
        <v>28</v>
      </c>
      <c r="D2456" s="2" t="s">
        <v>97</v>
      </c>
      <c r="E2456" s="2" t="s">
        <v>14800</v>
      </c>
      <c r="F2456" s="2" t="s">
        <v>8445</v>
      </c>
      <c r="G2456" s="2" t="s">
        <v>32</v>
      </c>
      <c r="H2456" s="1"/>
      <c r="I2456" s="2" t="s">
        <v>33</v>
      </c>
      <c r="J2456" s="2" t="s">
        <v>34</v>
      </c>
      <c r="K2456" s="2" t="s">
        <v>2535</v>
      </c>
      <c r="L2456" s="2" t="s">
        <v>2536</v>
      </c>
      <c r="M2456" s="2" t="s">
        <v>2389</v>
      </c>
      <c r="N2456" s="2" t="s">
        <v>38</v>
      </c>
      <c r="O2456" s="2" t="s">
        <v>149</v>
      </c>
      <c r="P2456" s="2" t="s">
        <v>5845</v>
      </c>
      <c r="Q2456" s="2" t="s">
        <v>14879</v>
      </c>
      <c r="R2456" s="2" t="s">
        <v>40</v>
      </c>
      <c r="S2456" s="2" t="s">
        <v>14880</v>
      </c>
      <c r="T2456" s="2" t="s">
        <v>13999</v>
      </c>
      <c r="U2456" s="2" t="s">
        <v>14881</v>
      </c>
      <c r="V2456" s="2" t="s">
        <v>14882</v>
      </c>
      <c r="W2456" s="1"/>
      <c r="X2456" s="2" t="s">
        <v>14002</v>
      </c>
      <c r="Y2456" s="2" t="s">
        <v>14810</v>
      </c>
      <c r="AA2456" t="str">
        <f t="shared" si="228"/>
        <v>2025-10</v>
      </c>
      <c r="AB2456" t="str">
        <f t="shared" si="229"/>
        <v/>
      </c>
      <c r="AC2456">
        <f t="shared" si="230"/>
        <v>2772871.2</v>
      </c>
      <c r="AD2456">
        <f t="shared" si="231"/>
        <v>300</v>
      </c>
      <c r="AE2456">
        <f t="shared" si="232"/>
        <v>1005571.2</v>
      </c>
      <c r="AF2456" t="str">
        <f t="shared" si="233"/>
        <v>Paid</v>
      </c>
    </row>
    <row r="2457" spans="1:32" ht="17.25" thickBot="1" x14ac:dyDescent="0.35">
      <c r="A2457" s="2" t="s">
        <v>14883</v>
      </c>
      <c r="B2457" s="2" t="s">
        <v>27</v>
      </c>
      <c r="C2457" s="2" t="s">
        <v>28</v>
      </c>
      <c r="D2457" s="2" t="s">
        <v>97</v>
      </c>
      <c r="E2457" s="2" t="s">
        <v>14800</v>
      </c>
      <c r="F2457" s="2" t="s">
        <v>8445</v>
      </c>
      <c r="G2457" s="2" t="s">
        <v>32</v>
      </c>
      <c r="H2457" s="1"/>
      <c r="I2457" s="2" t="s">
        <v>33</v>
      </c>
      <c r="J2457" s="2" t="s">
        <v>34</v>
      </c>
      <c r="K2457" s="2" t="s">
        <v>12988</v>
      </c>
      <c r="L2457" s="2" t="s">
        <v>12989</v>
      </c>
      <c r="M2457" s="2" t="s">
        <v>2389</v>
      </c>
      <c r="N2457" s="2" t="s">
        <v>38</v>
      </c>
      <c r="O2457" s="2" t="s">
        <v>214</v>
      </c>
      <c r="P2457" s="2" t="s">
        <v>14004</v>
      </c>
      <c r="Q2457" s="2" t="s">
        <v>14884</v>
      </c>
      <c r="R2457" s="2" t="s">
        <v>40</v>
      </c>
      <c r="S2457" s="2" t="s">
        <v>14885</v>
      </c>
      <c r="T2457" s="2" t="s">
        <v>14006</v>
      </c>
      <c r="U2457" s="2" t="s">
        <v>14886</v>
      </c>
      <c r="V2457" s="2" t="s">
        <v>14887</v>
      </c>
      <c r="W2457" s="1"/>
      <c r="X2457" s="2" t="s">
        <v>14009</v>
      </c>
      <c r="Y2457" s="2" t="s">
        <v>14810</v>
      </c>
      <c r="AA2457" t="str">
        <f t="shared" si="228"/>
        <v>2025-10</v>
      </c>
      <c r="AB2457" t="str">
        <f t="shared" si="229"/>
        <v/>
      </c>
      <c r="AC2457">
        <f t="shared" si="230"/>
        <v>143686.39999999999</v>
      </c>
      <c r="AD2457">
        <f t="shared" si="231"/>
        <v>50</v>
      </c>
      <c r="AE2457">
        <f t="shared" si="232"/>
        <v>78186.399999999994</v>
      </c>
      <c r="AF2457" t="str">
        <f t="shared" si="233"/>
        <v>Paid</v>
      </c>
    </row>
    <row r="2458" spans="1:32" ht="17.25" thickBot="1" x14ac:dyDescent="0.35">
      <c r="A2458" s="2" t="s">
        <v>14888</v>
      </c>
      <c r="B2458" s="2" t="s">
        <v>27</v>
      </c>
      <c r="C2458" s="2" t="s">
        <v>28</v>
      </c>
      <c r="D2458" s="2" t="s">
        <v>97</v>
      </c>
      <c r="E2458" s="2" t="s">
        <v>14800</v>
      </c>
      <c r="F2458" s="2" t="s">
        <v>8445</v>
      </c>
      <c r="G2458" s="2" t="s">
        <v>32</v>
      </c>
      <c r="H2458" s="1"/>
      <c r="I2458" s="2" t="s">
        <v>33</v>
      </c>
      <c r="J2458" s="2" t="s">
        <v>34</v>
      </c>
      <c r="K2458" s="2" t="s">
        <v>2544</v>
      </c>
      <c r="L2458" s="2" t="s">
        <v>2545</v>
      </c>
      <c r="M2458" s="2" t="s">
        <v>2389</v>
      </c>
      <c r="N2458" s="2" t="s">
        <v>38</v>
      </c>
      <c r="O2458" s="2" t="s">
        <v>517</v>
      </c>
      <c r="P2458" s="2" t="s">
        <v>14011</v>
      </c>
      <c r="Q2458" s="2" t="s">
        <v>14889</v>
      </c>
      <c r="R2458" s="2" t="s">
        <v>40</v>
      </c>
      <c r="S2458" s="2" t="s">
        <v>14890</v>
      </c>
      <c r="T2458" s="2" t="s">
        <v>14014</v>
      </c>
      <c r="U2458" s="2" t="s">
        <v>14891</v>
      </c>
      <c r="V2458" s="2" t="s">
        <v>14892</v>
      </c>
      <c r="W2458" s="1"/>
      <c r="X2458" s="2" t="s">
        <v>7490</v>
      </c>
      <c r="Y2458" s="2" t="s">
        <v>14810</v>
      </c>
      <c r="AA2458" t="str">
        <f t="shared" si="228"/>
        <v>2025-10</v>
      </c>
      <c r="AB2458" t="str">
        <f t="shared" si="229"/>
        <v/>
      </c>
      <c r="AC2458">
        <f t="shared" si="230"/>
        <v>1279914.24</v>
      </c>
      <c r="AD2458">
        <f t="shared" si="231"/>
        <v>120</v>
      </c>
      <c r="AE2458">
        <f t="shared" si="232"/>
        <v>400554.23999999999</v>
      </c>
      <c r="AF2458" t="str">
        <f t="shared" si="233"/>
        <v>Paid</v>
      </c>
    </row>
    <row r="2459" spans="1:32" ht="17.25" thickBot="1" x14ac:dyDescent="0.35">
      <c r="A2459" s="2" t="s">
        <v>14893</v>
      </c>
      <c r="B2459" s="2" t="s">
        <v>27</v>
      </c>
      <c r="C2459" s="2" t="s">
        <v>28</v>
      </c>
      <c r="D2459" s="2" t="s">
        <v>97</v>
      </c>
      <c r="E2459" s="2" t="s">
        <v>14800</v>
      </c>
      <c r="F2459" s="2" t="s">
        <v>8445</v>
      </c>
      <c r="G2459" s="2" t="s">
        <v>32</v>
      </c>
      <c r="H2459" s="1"/>
      <c r="I2459" s="2" t="s">
        <v>33</v>
      </c>
      <c r="J2459" s="2" t="s">
        <v>34</v>
      </c>
      <c r="K2459" s="2" t="s">
        <v>2562</v>
      </c>
      <c r="L2459" s="2" t="s">
        <v>2563</v>
      </c>
      <c r="M2459" s="2" t="s">
        <v>2389</v>
      </c>
      <c r="N2459" s="2" t="s">
        <v>38</v>
      </c>
      <c r="O2459" s="2" t="s">
        <v>214</v>
      </c>
      <c r="P2459" s="2" t="s">
        <v>4508</v>
      </c>
      <c r="Q2459" s="2" t="s">
        <v>14894</v>
      </c>
      <c r="R2459" s="2" t="s">
        <v>40</v>
      </c>
      <c r="S2459" s="2" t="s">
        <v>14895</v>
      </c>
      <c r="T2459" s="2" t="s">
        <v>14020</v>
      </c>
      <c r="U2459" s="2" t="s">
        <v>14896</v>
      </c>
      <c r="V2459" s="2" t="s">
        <v>14897</v>
      </c>
      <c r="W2459" s="1"/>
      <c r="X2459" s="2" t="s">
        <v>1082</v>
      </c>
      <c r="Y2459" s="2" t="s">
        <v>14810</v>
      </c>
      <c r="AA2459" t="str">
        <f t="shared" si="228"/>
        <v>2025-10</v>
      </c>
      <c r="AB2459" t="str">
        <f t="shared" si="229"/>
        <v/>
      </c>
      <c r="AC2459">
        <f t="shared" si="230"/>
        <v>308096.8</v>
      </c>
      <c r="AD2459">
        <f t="shared" si="231"/>
        <v>50</v>
      </c>
      <c r="AE2459">
        <f t="shared" si="232"/>
        <v>72596.800000000003</v>
      </c>
      <c r="AF2459" t="str">
        <f t="shared" si="233"/>
        <v>Paid</v>
      </c>
    </row>
    <row r="2460" spans="1:32" ht="17.25" thickBot="1" x14ac:dyDescent="0.35">
      <c r="A2460" s="2" t="s">
        <v>14898</v>
      </c>
      <c r="B2460" s="2" t="s">
        <v>27</v>
      </c>
      <c r="C2460" s="2" t="s">
        <v>28</v>
      </c>
      <c r="D2460" s="2" t="s">
        <v>97</v>
      </c>
      <c r="E2460" s="2" t="s">
        <v>14800</v>
      </c>
      <c r="F2460" s="2" t="s">
        <v>8445</v>
      </c>
      <c r="G2460" s="2" t="s">
        <v>32</v>
      </c>
      <c r="H2460" s="1"/>
      <c r="I2460" s="2" t="s">
        <v>33</v>
      </c>
      <c r="J2460" s="2" t="s">
        <v>34</v>
      </c>
      <c r="K2460" s="2" t="s">
        <v>2570</v>
      </c>
      <c r="L2460" s="2" t="s">
        <v>2571</v>
      </c>
      <c r="M2460" s="2" t="s">
        <v>2389</v>
      </c>
      <c r="N2460" s="2" t="s">
        <v>38</v>
      </c>
      <c r="O2460" s="2" t="s">
        <v>156</v>
      </c>
      <c r="P2460" s="2" t="s">
        <v>8803</v>
      </c>
      <c r="Q2460" s="2" t="s">
        <v>14899</v>
      </c>
      <c r="R2460" s="2" t="s">
        <v>40</v>
      </c>
      <c r="S2460" s="2" t="s">
        <v>14900</v>
      </c>
      <c r="T2460" s="2" t="s">
        <v>7535</v>
      </c>
      <c r="U2460" s="2" t="s">
        <v>3478</v>
      </c>
      <c r="V2460" s="2" t="s">
        <v>14901</v>
      </c>
      <c r="W2460" s="1"/>
      <c r="X2460" s="2" t="s">
        <v>14026</v>
      </c>
      <c r="Y2460" s="2" t="s">
        <v>14810</v>
      </c>
      <c r="AA2460" t="str">
        <f t="shared" si="228"/>
        <v>2025-10</v>
      </c>
      <c r="AB2460" t="str">
        <f t="shared" si="229"/>
        <v/>
      </c>
      <c r="AC2460">
        <f t="shared" si="230"/>
        <v>246477.44</v>
      </c>
      <c r="AD2460">
        <f t="shared" si="231"/>
        <v>20</v>
      </c>
      <c r="AE2460">
        <f t="shared" si="232"/>
        <v>68277.440000000002</v>
      </c>
      <c r="AF2460" t="str">
        <f t="shared" si="233"/>
        <v>Paid</v>
      </c>
    </row>
    <row r="2461" spans="1:32" ht="17.25" thickBot="1" x14ac:dyDescent="0.35">
      <c r="A2461" s="2" t="s">
        <v>14902</v>
      </c>
      <c r="B2461" s="2" t="s">
        <v>27</v>
      </c>
      <c r="C2461" s="2" t="s">
        <v>28</v>
      </c>
      <c r="D2461" s="2" t="s">
        <v>97</v>
      </c>
      <c r="E2461" s="2" t="s">
        <v>14800</v>
      </c>
      <c r="F2461" s="2" t="s">
        <v>8445</v>
      </c>
      <c r="G2461" s="2" t="s">
        <v>32</v>
      </c>
      <c r="H2461" s="1"/>
      <c r="I2461" s="2" t="s">
        <v>33</v>
      </c>
      <c r="J2461" s="2" t="s">
        <v>34</v>
      </c>
      <c r="K2461" s="2" t="s">
        <v>2586</v>
      </c>
      <c r="L2461" s="2" t="s">
        <v>2587</v>
      </c>
      <c r="M2461" s="2" t="s">
        <v>2389</v>
      </c>
      <c r="N2461" s="2" t="s">
        <v>38</v>
      </c>
      <c r="O2461" s="2" t="s">
        <v>141</v>
      </c>
      <c r="P2461" s="2" t="s">
        <v>10802</v>
      </c>
      <c r="Q2461" s="2" t="s">
        <v>14903</v>
      </c>
      <c r="R2461" s="2" t="s">
        <v>40</v>
      </c>
      <c r="S2461" s="2" t="s">
        <v>14904</v>
      </c>
      <c r="T2461" s="2" t="s">
        <v>13003</v>
      </c>
      <c r="U2461" s="2" t="s">
        <v>14905</v>
      </c>
      <c r="V2461" s="2" t="s">
        <v>14906</v>
      </c>
      <c r="W2461" s="1"/>
      <c r="X2461" s="2" t="s">
        <v>1091</v>
      </c>
      <c r="Y2461" s="2" t="s">
        <v>14810</v>
      </c>
      <c r="AA2461" t="str">
        <f t="shared" si="228"/>
        <v>2025-10</v>
      </c>
      <c r="AB2461" t="str">
        <f t="shared" si="229"/>
        <v/>
      </c>
      <c r="AC2461">
        <f t="shared" si="230"/>
        <v>214286.16</v>
      </c>
      <c r="AD2461">
        <f t="shared" si="231"/>
        <v>30</v>
      </c>
      <c r="AE2461">
        <f t="shared" si="232"/>
        <v>53906.16</v>
      </c>
      <c r="AF2461" t="str">
        <f t="shared" si="233"/>
        <v>Paid</v>
      </c>
    </row>
    <row r="2462" spans="1:32" ht="17.25" thickBot="1" x14ac:dyDescent="0.35">
      <c r="A2462" s="2" t="s">
        <v>14907</v>
      </c>
      <c r="B2462" s="2" t="s">
        <v>27</v>
      </c>
      <c r="C2462" s="2" t="s">
        <v>28</v>
      </c>
      <c r="D2462" s="2" t="s">
        <v>97</v>
      </c>
      <c r="E2462" s="2" t="s">
        <v>14800</v>
      </c>
      <c r="F2462" s="2" t="s">
        <v>8445</v>
      </c>
      <c r="G2462" s="2" t="s">
        <v>32</v>
      </c>
      <c r="H2462" s="1"/>
      <c r="I2462" s="2" t="s">
        <v>33</v>
      </c>
      <c r="J2462" s="2" t="s">
        <v>34</v>
      </c>
      <c r="K2462" s="2" t="s">
        <v>11341</v>
      </c>
      <c r="L2462" s="2" t="s">
        <v>11342</v>
      </c>
      <c r="M2462" s="2" t="s">
        <v>2389</v>
      </c>
      <c r="N2462" s="2" t="s">
        <v>38</v>
      </c>
      <c r="O2462" s="2" t="s">
        <v>156</v>
      </c>
      <c r="P2462" s="2" t="s">
        <v>12807</v>
      </c>
      <c r="Q2462" s="2" t="s">
        <v>13148</v>
      </c>
      <c r="R2462" s="2" t="s">
        <v>40</v>
      </c>
      <c r="S2462" s="2" t="s">
        <v>14908</v>
      </c>
      <c r="T2462" s="2" t="s">
        <v>669</v>
      </c>
      <c r="U2462" s="2" t="s">
        <v>3024</v>
      </c>
      <c r="V2462" s="2" t="s">
        <v>14909</v>
      </c>
      <c r="W2462" s="1"/>
      <c r="X2462" s="2" t="s">
        <v>934</v>
      </c>
      <c r="Y2462" s="2" t="s">
        <v>14810</v>
      </c>
      <c r="AA2462" t="str">
        <f t="shared" si="228"/>
        <v>2025-10</v>
      </c>
      <c r="AB2462" t="str">
        <f t="shared" si="229"/>
        <v/>
      </c>
      <c r="AC2462">
        <f t="shared" si="230"/>
        <v>158884</v>
      </c>
      <c r="AD2462">
        <f t="shared" si="231"/>
        <v>20</v>
      </c>
      <c r="AE2462">
        <f t="shared" si="232"/>
        <v>38884</v>
      </c>
      <c r="AF2462" t="str">
        <f t="shared" si="233"/>
        <v>Paid</v>
      </c>
    </row>
    <row r="2463" spans="1:32" ht="17.25" thickBot="1" x14ac:dyDescent="0.35">
      <c r="A2463" s="2" t="s">
        <v>14910</v>
      </c>
      <c r="B2463" s="2" t="s">
        <v>27</v>
      </c>
      <c r="C2463" s="2" t="s">
        <v>28</v>
      </c>
      <c r="D2463" s="2" t="s">
        <v>97</v>
      </c>
      <c r="E2463" s="2" t="s">
        <v>14800</v>
      </c>
      <c r="F2463" s="2" t="s">
        <v>8445</v>
      </c>
      <c r="G2463" s="2" t="s">
        <v>32</v>
      </c>
      <c r="H2463" s="1"/>
      <c r="I2463" s="2" t="s">
        <v>33</v>
      </c>
      <c r="J2463" s="2" t="s">
        <v>34</v>
      </c>
      <c r="K2463" s="2" t="s">
        <v>2595</v>
      </c>
      <c r="L2463" s="2" t="s">
        <v>2596</v>
      </c>
      <c r="M2463" s="2" t="s">
        <v>2389</v>
      </c>
      <c r="N2463" s="2" t="s">
        <v>38</v>
      </c>
      <c r="O2463" s="2" t="s">
        <v>141</v>
      </c>
      <c r="P2463" s="2" t="s">
        <v>10802</v>
      </c>
      <c r="Q2463" s="2" t="s">
        <v>14903</v>
      </c>
      <c r="R2463" s="2" t="s">
        <v>40</v>
      </c>
      <c r="S2463" s="2" t="s">
        <v>14904</v>
      </c>
      <c r="T2463" s="2" t="s">
        <v>13003</v>
      </c>
      <c r="U2463" s="2" t="s">
        <v>14905</v>
      </c>
      <c r="V2463" s="2" t="s">
        <v>14906</v>
      </c>
      <c r="W2463" s="1"/>
      <c r="X2463" s="2" t="s">
        <v>1091</v>
      </c>
      <c r="Y2463" s="2" t="s">
        <v>14810</v>
      </c>
      <c r="AA2463" t="str">
        <f t="shared" si="228"/>
        <v>2025-10</v>
      </c>
      <c r="AB2463" t="str">
        <f t="shared" si="229"/>
        <v/>
      </c>
      <c r="AC2463">
        <f t="shared" si="230"/>
        <v>214286.16</v>
      </c>
      <c r="AD2463">
        <f t="shared" si="231"/>
        <v>30</v>
      </c>
      <c r="AE2463">
        <f t="shared" si="232"/>
        <v>53906.16</v>
      </c>
      <c r="AF2463" t="str">
        <f t="shared" si="233"/>
        <v>Paid</v>
      </c>
    </row>
    <row r="2464" spans="1:32" ht="27.75" thickBot="1" x14ac:dyDescent="0.35">
      <c r="A2464" s="2" t="s">
        <v>14911</v>
      </c>
      <c r="B2464" s="2" t="s">
        <v>27</v>
      </c>
      <c r="C2464" s="2" t="s">
        <v>28</v>
      </c>
      <c r="D2464" s="2" t="s">
        <v>97</v>
      </c>
      <c r="E2464" s="2" t="s">
        <v>14800</v>
      </c>
      <c r="F2464" s="2" t="s">
        <v>8445</v>
      </c>
      <c r="G2464" s="2" t="s">
        <v>32</v>
      </c>
      <c r="H2464" s="1"/>
      <c r="I2464" s="2" t="s">
        <v>33</v>
      </c>
      <c r="J2464" s="2" t="s">
        <v>34</v>
      </c>
      <c r="K2464" s="2" t="s">
        <v>2620</v>
      </c>
      <c r="L2464" s="2" t="s">
        <v>2621</v>
      </c>
      <c r="M2464" s="2" t="s">
        <v>2389</v>
      </c>
      <c r="N2464" s="2" t="s">
        <v>38</v>
      </c>
      <c r="O2464" s="2" t="s">
        <v>1150</v>
      </c>
      <c r="P2464" s="2" t="s">
        <v>5817</v>
      </c>
      <c r="Q2464" s="2" t="s">
        <v>14912</v>
      </c>
      <c r="R2464" s="2" t="s">
        <v>40</v>
      </c>
      <c r="S2464" s="2" t="s">
        <v>14913</v>
      </c>
      <c r="T2464" s="2" t="s">
        <v>2625</v>
      </c>
      <c r="U2464" s="2" t="s">
        <v>14914</v>
      </c>
      <c r="V2464" s="2" t="s">
        <v>14915</v>
      </c>
      <c r="W2464" s="1"/>
      <c r="X2464" s="2" t="s">
        <v>14045</v>
      </c>
      <c r="Y2464" s="2" t="s">
        <v>14810</v>
      </c>
      <c r="AA2464" t="str">
        <f t="shared" si="228"/>
        <v>2025-10</v>
      </c>
      <c r="AB2464" t="str">
        <f t="shared" si="229"/>
        <v/>
      </c>
      <c r="AC2464">
        <f t="shared" si="230"/>
        <v>1136918.6399999999</v>
      </c>
      <c r="AD2464">
        <f t="shared" si="231"/>
        <v>130</v>
      </c>
      <c r="AE2464">
        <f t="shared" si="232"/>
        <v>371218.64</v>
      </c>
      <c r="AF2464" t="str">
        <f t="shared" si="233"/>
        <v>Paid</v>
      </c>
    </row>
    <row r="2465" spans="1:32" ht="17.25" thickBot="1" x14ac:dyDescent="0.35">
      <c r="A2465" s="2" t="s">
        <v>14916</v>
      </c>
      <c r="B2465" s="2" t="s">
        <v>27</v>
      </c>
      <c r="C2465" s="2" t="s">
        <v>28</v>
      </c>
      <c r="D2465" s="2" t="s">
        <v>97</v>
      </c>
      <c r="E2465" s="2" t="s">
        <v>14800</v>
      </c>
      <c r="F2465" s="2" t="s">
        <v>8445</v>
      </c>
      <c r="G2465" s="2" t="s">
        <v>32</v>
      </c>
      <c r="H2465" s="1"/>
      <c r="I2465" s="2" t="s">
        <v>33</v>
      </c>
      <c r="J2465" s="2" t="s">
        <v>34</v>
      </c>
      <c r="K2465" s="2" t="s">
        <v>14047</v>
      </c>
      <c r="L2465" s="2" t="s">
        <v>14048</v>
      </c>
      <c r="M2465" s="2" t="s">
        <v>2389</v>
      </c>
      <c r="N2465" s="2" t="s">
        <v>38</v>
      </c>
      <c r="O2465" s="2" t="s">
        <v>214</v>
      </c>
      <c r="P2465" s="2" t="s">
        <v>8803</v>
      </c>
      <c r="Q2465" s="2" t="s">
        <v>14917</v>
      </c>
      <c r="R2465" s="2" t="s">
        <v>40</v>
      </c>
      <c r="S2465" s="2" t="s">
        <v>14918</v>
      </c>
      <c r="T2465" s="2" t="s">
        <v>14051</v>
      </c>
      <c r="U2465" s="2" t="s">
        <v>14919</v>
      </c>
      <c r="V2465" s="2" t="s">
        <v>14920</v>
      </c>
      <c r="W2465" s="1"/>
      <c r="X2465" s="2" t="s">
        <v>14054</v>
      </c>
      <c r="Y2465" s="2" t="s">
        <v>14810</v>
      </c>
      <c r="AA2465" t="str">
        <f t="shared" si="228"/>
        <v>2025-10</v>
      </c>
      <c r="AB2465" t="str">
        <f t="shared" si="229"/>
        <v/>
      </c>
      <c r="AC2465">
        <f t="shared" si="230"/>
        <v>616193.6</v>
      </c>
      <c r="AD2465">
        <f t="shared" si="231"/>
        <v>50</v>
      </c>
      <c r="AE2465">
        <f t="shared" si="232"/>
        <v>316593.59999999998</v>
      </c>
      <c r="AF2465" t="str">
        <f t="shared" si="233"/>
        <v>Paid</v>
      </c>
    </row>
    <row r="2466" spans="1:32" ht="17.25" thickBot="1" x14ac:dyDescent="0.35">
      <c r="A2466" s="2" t="s">
        <v>14921</v>
      </c>
      <c r="B2466" s="2" t="s">
        <v>27</v>
      </c>
      <c r="C2466" s="2" t="s">
        <v>28</v>
      </c>
      <c r="D2466" s="2" t="s">
        <v>97</v>
      </c>
      <c r="E2466" s="2" t="s">
        <v>14800</v>
      </c>
      <c r="F2466" s="2" t="s">
        <v>8445</v>
      </c>
      <c r="G2466" s="2" t="s">
        <v>32</v>
      </c>
      <c r="H2466" s="1"/>
      <c r="I2466" s="2" t="s">
        <v>33</v>
      </c>
      <c r="J2466" s="2" t="s">
        <v>34</v>
      </c>
      <c r="K2466" s="2" t="s">
        <v>2640</v>
      </c>
      <c r="L2466" s="2" t="s">
        <v>2641</v>
      </c>
      <c r="M2466" s="2" t="s">
        <v>2631</v>
      </c>
      <c r="N2466" s="2" t="s">
        <v>38</v>
      </c>
      <c r="O2466" s="2" t="s">
        <v>79</v>
      </c>
      <c r="P2466" s="2" t="s">
        <v>14063</v>
      </c>
      <c r="Q2466" s="2" t="s">
        <v>14922</v>
      </c>
      <c r="R2466" s="2" t="s">
        <v>40</v>
      </c>
      <c r="S2466" s="2" t="s">
        <v>14923</v>
      </c>
      <c r="T2466" s="2" t="s">
        <v>10627</v>
      </c>
      <c r="U2466" s="2" t="s">
        <v>11378</v>
      </c>
      <c r="V2466" s="2" t="s">
        <v>14924</v>
      </c>
      <c r="W2466" s="1"/>
      <c r="X2466" s="2" t="s">
        <v>4626</v>
      </c>
      <c r="Y2466" s="2" t="s">
        <v>14810</v>
      </c>
      <c r="AA2466" t="str">
        <f t="shared" si="228"/>
        <v>2025-10</v>
      </c>
      <c r="AB2466" t="str">
        <f t="shared" si="229"/>
        <v/>
      </c>
      <c r="AC2466">
        <f t="shared" si="230"/>
        <v>42967.76</v>
      </c>
      <c r="AD2466">
        <f t="shared" si="231"/>
        <v>10</v>
      </c>
      <c r="AE2466">
        <f t="shared" si="232"/>
        <v>7507.76</v>
      </c>
      <c r="AF2466" t="str">
        <f t="shared" si="233"/>
        <v>Paid</v>
      </c>
    </row>
    <row r="2467" spans="1:32" ht="17.25" thickBot="1" x14ac:dyDescent="0.35">
      <c r="A2467" s="2" t="s">
        <v>14925</v>
      </c>
      <c r="B2467" s="2" t="s">
        <v>27</v>
      </c>
      <c r="C2467" s="2" t="s">
        <v>28</v>
      </c>
      <c r="D2467" s="2" t="s">
        <v>97</v>
      </c>
      <c r="E2467" s="2" t="s">
        <v>14800</v>
      </c>
      <c r="F2467" s="2" t="s">
        <v>8445</v>
      </c>
      <c r="G2467" s="2" t="s">
        <v>32</v>
      </c>
      <c r="H2467" s="1"/>
      <c r="I2467" s="2" t="s">
        <v>33</v>
      </c>
      <c r="J2467" s="2" t="s">
        <v>34</v>
      </c>
      <c r="K2467" s="2" t="s">
        <v>2647</v>
      </c>
      <c r="L2467" s="2" t="s">
        <v>2648</v>
      </c>
      <c r="M2467" s="2" t="s">
        <v>2631</v>
      </c>
      <c r="N2467" s="2" t="s">
        <v>38</v>
      </c>
      <c r="O2467" s="2" t="s">
        <v>214</v>
      </c>
      <c r="P2467" s="2" t="s">
        <v>1105</v>
      </c>
      <c r="Q2467" s="2" t="s">
        <v>14926</v>
      </c>
      <c r="R2467" s="2" t="s">
        <v>40</v>
      </c>
      <c r="S2467" s="2" t="s">
        <v>14927</v>
      </c>
      <c r="T2467" s="2" t="s">
        <v>2651</v>
      </c>
      <c r="U2467" s="2" t="s">
        <v>4548</v>
      </c>
      <c r="V2467" s="2" t="s">
        <v>14928</v>
      </c>
      <c r="W2467" s="1"/>
      <c r="X2467" s="2" t="s">
        <v>1357</v>
      </c>
      <c r="Y2467" s="2" t="s">
        <v>14810</v>
      </c>
      <c r="AA2467" t="str">
        <f t="shared" si="228"/>
        <v>2025-10</v>
      </c>
      <c r="AB2467" t="str">
        <f t="shared" si="229"/>
        <v/>
      </c>
      <c r="AC2467">
        <f t="shared" si="230"/>
        <v>315004.79999999999</v>
      </c>
      <c r="AD2467">
        <f t="shared" si="231"/>
        <v>50</v>
      </c>
      <c r="AE2467">
        <f t="shared" si="232"/>
        <v>81004.800000000003</v>
      </c>
      <c r="AF2467" t="str">
        <f t="shared" si="233"/>
        <v>Paid</v>
      </c>
    </row>
    <row r="2468" spans="1:32" ht="17.25" thickBot="1" x14ac:dyDescent="0.35">
      <c r="A2468" s="2" t="s">
        <v>14929</v>
      </c>
      <c r="B2468" s="2" t="s">
        <v>27</v>
      </c>
      <c r="C2468" s="2" t="s">
        <v>28</v>
      </c>
      <c r="D2468" s="2" t="s">
        <v>97</v>
      </c>
      <c r="E2468" s="2" t="s">
        <v>14800</v>
      </c>
      <c r="F2468" s="2" t="s">
        <v>8445</v>
      </c>
      <c r="G2468" s="2" t="s">
        <v>32</v>
      </c>
      <c r="H2468" s="1"/>
      <c r="I2468" s="2" t="s">
        <v>33</v>
      </c>
      <c r="J2468" s="2" t="s">
        <v>34</v>
      </c>
      <c r="K2468" s="2" t="s">
        <v>8728</v>
      </c>
      <c r="L2468" s="2" t="s">
        <v>8729</v>
      </c>
      <c r="M2468" s="2" t="s">
        <v>2710</v>
      </c>
      <c r="N2468" s="2" t="s">
        <v>38</v>
      </c>
      <c r="O2468" s="2" t="s">
        <v>141</v>
      </c>
      <c r="P2468" s="2" t="s">
        <v>13827</v>
      </c>
      <c r="Q2468" s="2" t="s">
        <v>14930</v>
      </c>
      <c r="R2468" s="2" t="s">
        <v>40</v>
      </c>
      <c r="S2468" s="2" t="s">
        <v>14931</v>
      </c>
      <c r="T2468" s="2" t="s">
        <v>8732</v>
      </c>
      <c r="U2468" s="2" t="s">
        <v>14932</v>
      </c>
      <c r="V2468" s="2" t="s">
        <v>14933</v>
      </c>
      <c r="W2468" s="1"/>
      <c r="X2468" s="2" t="s">
        <v>3310</v>
      </c>
      <c r="Y2468" s="2" t="s">
        <v>14810</v>
      </c>
      <c r="AA2468" t="str">
        <f t="shared" si="228"/>
        <v>2025-10</v>
      </c>
      <c r="AB2468" t="str">
        <f t="shared" si="229"/>
        <v/>
      </c>
      <c r="AC2468">
        <f t="shared" si="230"/>
        <v>179884.32</v>
      </c>
      <c r="AD2468">
        <f t="shared" si="231"/>
        <v>30</v>
      </c>
      <c r="AE2468">
        <f t="shared" si="232"/>
        <v>35314.32</v>
      </c>
      <c r="AF2468" t="str">
        <f t="shared" si="233"/>
        <v>Paid</v>
      </c>
    </row>
    <row r="2469" spans="1:32" ht="17.25" thickBot="1" x14ac:dyDescent="0.35">
      <c r="A2469" s="2" t="s">
        <v>14934</v>
      </c>
      <c r="B2469" s="2" t="s">
        <v>27</v>
      </c>
      <c r="C2469" s="2" t="s">
        <v>28</v>
      </c>
      <c r="D2469" s="2" t="s">
        <v>97</v>
      </c>
      <c r="E2469" s="2" t="s">
        <v>14800</v>
      </c>
      <c r="F2469" s="2" t="s">
        <v>8445</v>
      </c>
      <c r="G2469" s="2" t="s">
        <v>32</v>
      </c>
      <c r="H2469" s="1"/>
      <c r="I2469" s="2" t="s">
        <v>33</v>
      </c>
      <c r="J2469" s="2" t="s">
        <v>34</v>
      </c>
      <c r="K2469" s="2" t="s">
        <v>11481</v>
      </c>
      <c r="L2469" s="2" t="s">
        <v>11482</v>
      </c>
      <c r="M2469" s="2" t="s">
        <v>2710</v>
      </c>
      <c r="N2469" s="2" t="s">
        <v>38</v>
      </c>
      <c r="O2469" s="2" t="s">
        <v>79</v>
      </c>
      <c r="P2469" s="2" t="s">
        <v>8568</v>
      </c>
      <c r="Q2469" s="2" t="s">
        <v>7947</v>
      </c>
      <c r="R2469" s="2" t="s">
        <v>40</v>
      </c>
      <c r="S2469" s="2" t="s">
        <v>14935</v>
      </c>
      <c r="T2469" s="2" t="s">
        <v>9272</v>
      </c>
      <c r="U2469" s="2" t="s">
        <v>14936</v>
      </c>
      <c r="V2469" s="2" t="s">
        <v>14937</v>
      </c>
      <c r="W2469" s="1"/>
      <c r="X2469" s="2" t="s">
        <v>2198</v>
      </c>
      <c r="Y2469" s="2" t="s">
        <v>14810</v>
      </c>
      <c r="AA2469" t="str">
        <f t="shared" si="228"/>
        <v>2025-10</v>
      </c>
      <c r="AB2469" t="str">
        <f t="shared" si="229"/>
        <v/>
      </c>
      <c r="AC2469">
        <f t="shared" si="230"/>
        <v>54987.68</v>
      </c>
      <c r="AD2469">
        <f t="shared" si="231"/>
        <v>10</v>
      </c>
      <c r="AE2469">
        <f t="shared" si="232"/>
        <v>10437.68</v>
      </c>
      <c r="AF2469" t="str">
        <f t="shared" si="233"/>
        <v>Paid</v>
      </c>
    </row>
    <row r="2470" spans="1:32" ht="17.25" thickBot="1" x14ac:dyDescent="0.35">
      <c r="A2470" s="2" t="s">
        <v>14938</v>
      </c>
      <c r="B2470" s="2" t="s">
        <v>27</v>
      </c>
      <c r="C2470" s="2" t="s">
        <v>28</v>
      </c>
      <c r="D2470" s="2" t="s">
        <v>97</v>
      </c>
      <c r="E2470" s="2" t="s">
        <v>14800</v>
      </c>
      <c r="F2470" s="2" t="s">
        <v>8445</v>
      </c>
      <c r="G2470" s="2" t="s">
        <v>32</v>
      </c>
      <c r="H2470" s="1"/>
      <c r="I2470" s="2" t="s">
        <v>33</v>
      </c>
      <c r="J2470" s="2" t="s">
        <v>34</v>
      </c>
      <c r="K2470" s="2" t="s">
        <v>3519</v>
      </c>
      <c r="L2470" s="2" t="s">
        <v>3520</v>
      </c>
      <c r="M2470" s="2" t="s">
        <v>2710</v>
      </c>
      <c r="N2470" s="2" t="s">
        <v>38</v>
      </c>
      <c r="O2470" s="2" t="s">
        <v>131</v>
      </c>
      <c r="P2470" s="2" t="s">
        <v>5483</v>
      </c>
      <c r="Q2470" s="2" t="s">
        <v>12950</v>
      </c>
      <c r="R2470" s="2" t="s">
        <v>40</v>
      </c>
      <c r="S2470" s="2" t="s">
        <v>14939</v>
      </c>
      <c r="T2470" s="2" t="s">
        <v>2684</v>
      </c>
      <c r="U2470" s="2" t="s">
        <v>14940</v>
      </c>
      <c r="V2470" s="2" t="s">
        <v>14941</v>
      </c>
      <c r="W2470" s="1"/>
      <c r="X2470" s="2" t="s">
        <v>3310</v>
      </c>
      <c r="Y2470" s="2" t="s">
        <v>14810</v>
      </c>
      <c r="AA2470" t="str">
        <f t="shared" si="228"/>
        <v>2025-10</v>
      </c>
      <c r="AB2470" t="str">
        <f t="shared" si="229"/>
        <v/>
      </c>
      <c r="AC2470">
        <f t="shared" si="230"/>
        <v>273556.8</v>
      </c>
      <c r="AD2470">
        <f t="shared" si="231"/>
        <v>40</v>
      </c>
      <c r="AE2470">
        <f t="shared" si="232"/>
        <v>53556.800000000003</v>
      </c>
      <c r="AF2470" t="str">
        <f t="shared" si="233"/>
        <v>Paid</v>
      </c>
    </row>
    <row r="2471" spans="1:32" ht="17.25" thickBot="1" x14ac:dyDescent="0.35">
      <c r="A2471" s="2" t="s">
        <v>14942</v>
      </c>
      <c r="B2471" s="2" t="s">
        <v>27</v>
      </c>
      <c r="C2471" s="2" t="s">
        <v>28</v>
      </c>
      <c r="D2471" s="2" t="s">
        <v>97</v>
      </c>
      <c r="E2471" s="2" t="s">
        <v>14800</v>
      </c>
      <c r="F2471" s="2" t="s">
        <v>8445</v>
      </c>
      <c r="G2471" s="2" t="s">
        <v>32</v>
      </c>
      <c r="H2471" s="1"/>
      <c r="I2471" s="2" t="s">
        <v>33</v>
      </c>
      <c r="J2471" s="2" t="s">
        <v>34</v>
      </c>
      <c r="K2471" s="2" t="s">
        <v>11494</v>
      </c>
      <c r="L2471" s="2" t="s">
        <v>11495</v>
      </c>
      <c r="M2471" s="2" t="s">
        <v>2710</v>
      </c>
      <c r="N2471" s="2" t="s">
        <v>38</v>
      </c>
      <c r="O2471" s="2" t="s">
        <v>141</v>
      </c>
      <c r="P2471" s="2" t="s">
        <v>5483</v>
      </c>
      <c r="Q2471" s="2" t="s">
        <v>10032</v>
      </c>
      <c r="R2471" s="2" t="s">
        <v>40</v>
      </c>
      <c r="S2471" s="2" t="s">
        <v>14943</v>
      </c>
      <c r="T2471" s="2" t="s">
        <v>14115</v>
      </c>
      <c r="U2471" s="2" t="s">
        <v>14944</v>
      </c>
      <c r="V2471" s="2" t="s">
        <v>14945</v>
      </c>
      <c r="W2471" s="1"/>
      <c r="X2471" s="2" t="s">
        <v>11500</v>
      </c>
      <c r="Y2471" s="2" t="s">
        <v>14810</v>
      </c>
      <c r="AA2471" t="str">
        <f t="shared" si="228"/>
        <v>2025-10</v>
      </c>
      <c r="AB2471" t="str">
        <f t="shared" si="229"/>
        <v/>
      </c>
      <c r="AC2471">
        <f t="shared" si="230"/>
        <v>205167.6</v>
      </c>
      <c r="AD2471">
        <f t="shared" si="231"/>
        <v>30</v>
      </c>
      <c r="AE2471">
        <f t="shared" si="232"/>
        <v>27867.599999999999</v>
      </c>
      <c r="AF2471" t="str">
        <f t="shared" si="233"/>
        <v>Paid</v>
      </c>
    </row>
    <row r="2472" spans="1:32" ht="17.25" thickBot="1" x14ac:dyDescent="0.35">
      <c r="A2472" s="2" t="s">
        <v>14946</v>
      </c>
      <c r="B2472" s="2" t="s">
        <v>27</v>
      </c>
      <c r="C2472" s="2" t="s">
        <v>28</v>
      </c>
      <c r="D2472" s="2" t="s">
        <v>97</v>
      </c>
      <c r="E2472" s="2" t="s">
        <v>14800</v>
      </c>
      <c r="F2472" s="2" t="s">
        <v>8445</v>
      </c>
      <c r="G2472" s="2" t="s">
        <v>32</v>
      </c>
      <c r="H2472" s="1"/>
      <c r="I2472" s="2" t="s">
        <v>33</v>
      </c>
      <c r="J2472" s="2" t="s">
        <v>34</v>
      </c>
      <c r="K2472" s="2" t="s">
        <v>11502</v>
      </c>
      <c r="L2472" s="2" t="s">
        <v>11503</v>
      </c>
      <c r="M2472" s="2" t="s">
        <v>2710</v>
      </c>
      <c r="N2472" s="2" t="s">
        <v>38</v>
      </c>
      <c r="O2472" s="2" t="s">
        <v>156</v>
      </c>
      <c r="P2472" s="2" t="s">
        <v>1758</v>
      </c>
      <c r="Q2472" s="2" t="s">
        <v>14947</v>
      </c>
      <c r="R2472" s="2" t="s">
        <v>40</v>
      </c>
      <c r="S2472" s="2" t="s">
        <v>14948</v>
      </c>
      <c r="T2472" s="2" t="s">
        <v>1523</v>
      </c>
      <c r="U2472" s="2" t="s">
        <v>14949</v>
      </c>
      <c r="V2472" s="2" t="s">
        <v>14950</v>
      </c>
      <c r="W2472" s="1"/>
      <c r="X2472" s="2" t="s">
        <v>3205</v>
      </c>
      <c r="Y2472" s="2" t="s">
        <v>14810</v>
      </c>
      <c r="AA2472" t="str">
        <f t="shared" si="228"/>
        <v>2025-10</v>
      </c>
      <c r="AB2472" t="str">
        <f t="shared" si="229"/>
        <v/>
      </c>
      <c r="AC2472">
        <f t="shared" si="230"/>
        <v>127936.16</v>
      </c>
      <c r="AD2472">
        <f t="shared" si="231"/>
        <v>20</v>
      </c>
      <c r="AE2472">
        <f t="shared" si="232"/>
        <v>18836.16</v>
      </c>
      <c r="AF2472" t="str">
        <f t="shared" si="233"/>
        <v>Paid</v>
      </c>
    </row>
    <row r="2473" spans="1:32" ht="17.25" thickBot="1" x14ac:dyDescent="0.35">
      <c r="A2473" s="2" t="s">
        <v>14951</v>
      </c>
      <c r="B2473" s="2" t="s">
        <v>27</v>
      </c>
      <c r="C2473" s="2" t="s">
        <v>28</v>
      </c>
      <c r="D2473" s="2" t="s">
        <v>97</v>
      </c>
      <c r="E2473" s="2" t="s">
        <v>14800</v>
      </c>
      <c r="F2473" s="2" t="s">
        <v>8445</v>
      </c>
      <c r="G2473" s="2" t="s">
        <v>32</v>
      </c>
      <c r="H2473" s="1"/>
      <c r="I2473" s="2" t="s">
        <v>33</v>
      </c>
      <c r="J2473" s="2" t="s">
        <v>34</v>
      </c>
      <c r="K2473" s="2" t="s">
        <v>11508</v>
      </c>
      <c r="L2473" s="2" t="s">
        <v>11509</v>
      </c>
      <c r="M2473" s="2" t="s">
        <v>2710</v>
      </c>
      <c r="N2473" s="2" t="s">
        <v>38</v>
      </c>
      <c r="O2473" s="2" t="s">
        <v>141</v>
      </c>
      <c r="P2473" s="2" t="s">
        <v>6229</v>
      </c>
      <c r="Q2473" s="2" t="s">
        <v>14952</v>
      </c>
      <c r="R2473" s="2" t="s">
        <v>40</v>
      </c>
      <c r="S2473" s="2" t="s">
        <v>14953</v>
      </c>
      <c r="T2473" s="2" t="s">
        <v>14126</v>
      </c>
      <c r="U2473" s="2" t="s">
        <v>14954</v>
      </c>
      <c r="V2473" s="2" t="s">
        <v>14955</v>
      </c>
      <c r="W2473" s="1"/>
      <c r="X2473" s="2" t="s">
        <v>1437</v>
      </c>
      <c r="Y2473" s="2" t="s">
        <v>14810</v>
      </c>
      <c r="AA2473" t="str">
        <f t="shared" si="228"/>
        <v>2025-10</v>
      </c>
      <c r="AB2473" t="str">
        <f t="shared" si="229"/>
        <v/>
      </c>
      <c r="AC2473">
        <f t="shared" si="230"/>
        <v>297182.15999999997</v>
      </c>
      <c r="AD2473">
        <f t="shared" si="231"/>
        <v>30</v>
      </c>
      <c r="AE2473">
        <f t="shared" si="232"/>
        <v>73532.160000000003</v>
      </c>
      <c r="AF2473" t="str">
        <f t="shared" si="233"/>
        <v>Paid</v>
      </c>
    </row>
    <row r="2474" spans="1:32" ht="17.25" thickBot="1" x14ac:dyDescent="0.35">
      <c r="A2474" s="2" t="s">
        <v>14956</v>
      </c>
      <c r="B2474" s="2" t="s">
        <v>27</v>
      </c>
      <c r="C2474" s="2" t="s">
        <v>28</v>
      </c>
      <c r="D2474" s="2" t="s">
        <v>97</v>
      </c>
      <c r="E2474" s="2" t="s">
        <v>14800</v>
      </c>
      <c r="F2474" s="2" t="s">
        <v>8445</v>
      </c>
      <c r="G2474" s="2" t="s">
        <v>32</v>
      </c>
      <c r="H2474" s="1"/>
      <c r="I2474" s="2" t="s">
        <v>33</v>
      </c>
      <c r="J2474" s="2" t="s">
        <v>34</v>
      </c>
      <c r="K2474" s="2" t="s">
        <v>14130</v>
      </c>
      <c r="L2474" s="2" t="s">
        <v>14131</v>
      </c>
      <c r="M2474" s="2" t="s">
        <v>3629</v>
      </c>
      <c r="N2474" s="2" t="s">
        <v>38</v>
      </c>
      <c r="O2474" s="2" t="s">
        <v>141</v>
      </c>
      <c r="P2474" s="2" t="s">
        <v>14132</v>
      </c>
      <c r="Q2474" s="2" t="s">
        <v>9246</v>
      </c>
      <c r="R2474" s="2" t="s">
        <v>40</v>
      </c>
      <c r="S2474" s="2" t="s">
        <v>14957</v>
      </c>
      <c r="T2474" s="2" t="s">
        <v>8761</v>
      </c>
      <c r="U2474" s="2" t="s">
        <v>14958</v>
      </c>
      <c r="V2474" s="2" t="s">
        <v>14959</v>
      </c>
      <c r="W2474" s="1"/>
      <c r="X2474" s="2" t="s">
        <v>4550</v>
      </c>
      <c r="Y2474" s="2" t="s">
        <v>14810</v>
      </c>
      <c r="AA2474" t="str">
        <f t="shared" si="228"/>
        <v>2025-10</v>
      </c>
      <c r="AB2474" t="str">
        <f t="shared" si="229"/>
        <v/>
      </c>
      <c r="AC2474">
        <f t="shared" si="230"/>
        <v>417795.84000000003</v>
      </c>
      <c r="AD2474">
        <f t="shared" si="231"/>
        <v>30</v>
      </c>
      <c r="AE2474">
        <f t="shared" si="232"/>
        <v>91335.84</v>
      </c>
      <c r="AF2474" t="str">
        <f t="shared" si="233"/>
        <v>Paid</v>
      </c>
    </row>
    <row r="2475" spans="1:32" ht="17.25" thickBot="1" x14ac:dyDescent="0.35">
      <c r="A2475" s="2" t="s">
        <v>14960</v>
      </c>
      <c r="B2475" s="2" t="s">
        <v>27</v>
      </c>
      <c r="C2475" s="2" t="s">
        <v>28</v>
      </c>
      <c r="D2475" s="2" t="s">
        <v>97</v>
      </c>
      <c r="E2475" s="2" t="s">
        <v>14800</v>
      </c>
      <c r="F2475" s="2" t="s">
        <v>8445</v>
      </c>
      <c r="G2475" s="2" t="s">
        <v>32</v>
      </c>
      <c r="H2475" s="1"/>
      <c r="I2475" s="2" t="s">
        <v>33</v>
      </c>
      <c r="J2475" s="2" t="s">
        <v>34</v>
      </c>
      <c r="K2475" s="2" t="s">
        <v>14138</v>
      </c>
      <c r="L2475" s="2" t="s">
        <v>14139</v>
      </c>
      <c r="M2475" s="2" t="s">
        <v>3629</v>
      </c>
      <c r="N2475" s="2" t="s">
        <v>38</v>
      </c>
      <c r="O2475" s="2" t="s">
        <v>79</v>
      </c>
      <c r="P2475" s="2" t="s">
        <v>14132</v>
      </c>
      <c r="Q2475" s="2" t="s">
        <v>14140</v>
      </c>
      <c r="R2475" s="2" t="s">
        <v>40</v>
      </c>
      <c r="S2475" s="2" t="s">
        <v>14141</v>
      </c>
      <c r="T2475" s="2" t="s">
        <v>8761</v>
      </c>
      <c r="U2475" s="2" t="s">
        <v>8762</v>
      </c>
      <c r="V2475" s="2" t="s">
        <v>14142</v>
      </c>
      <c r="W2475" s="1"/>
      <c r="X2475" s="2" t="s">
        <v>4550</v>
      </c>
      <c r="Y2475" s="2" t="s">
        <v>14810</v>
      </c>
      <c r="AA2475" t="str">
        <f t="shared" si="228"/>
        <v>2025-10</v>
      </c>
      <c r="AB2475" t="str">
        <f t="shared" si="229"/>
        <v/>
      </c>
      <c r="AC2475">
        <f t="shared" si="230"/>
        <v>139265.28</v>
      </c>
      <c r="AD2475">
        <f t="shared" si="231"/>
        <v>10</v>
      </c>
      <c r="AE2475">
        <f t="shared" si="232"/>
        <v>30445.279999999999</v>
      </c>
      <c r="AF2475" t="str">
        <f t="shared" si="233"/>
        <v>Paid</v>
      </c>
    </row>
    <row r="2476" spans="1:32" ht="17.25" thickBot="1" x14ac:dyDescent="0.35">
      <c r="A2476" s="2" t="s">
        <v>14961</v>
      </c>
      <c r="B2476" s="2" t="s">
        <v>27</v>
      </c>
      <c r="C2476" s="2" t="s">
        <v>28</v>
      </c>
      <c r="D2476" s="2" t="s">
        <v>97</v>
      </c>
      <c r="E2476" s="2" t="s">
        <v>14800</v>
      </c>
      <c r="F2476" s="2" t="s">
        <v>8445</v>
      </c>
      <c r="G2476" s="2" t="s">
        <v>32</v>
      </c>
      <c r="H2476" s="1"/>
      <c r="I2476" s="2" t="s">
        <v>33</v>
      </c>
      <c r="J2476" s="2" t="s">
        <v>34</v>
      </c>
      <c r="K2476" s="2" t="s">
        <v>11602</v>
      </c>
      <c r="L2476" s="2" t="s">
        <v>11603</v>
      </c>
      <c r="M2476" s="2" t="s">
        <v>3629</v>
      </c>
      <c r="N2476" s="2" t="s">
        <v>38</v>
      </c>
      <c r="O2476" s="2" t="s">
        <v>113</v>
      </c>
      <c r="P2476" s="2" t="s">
        <v>10849</v>
      </c>
      <c r="Q2476" s="2" t="s">
        <v>11360</v>
      </c>
      <c r="R2476" s="2" t="s">
        <v>40</v>
      </c>
      <c r="S2476" s="2" t="s">
        <v>14962</v>
      </c>
      <c r="T2476" s="2" t="s">
        <v>11607</v>
      </c>
      <c r="U2476" s="2" t="s">
        <v>14963</v>
      </c>
      <c r="V2476" s="2" t="s">
        <v>14964</v>
      </c>
      <c r="W2476" s="1"/>
      <c r="X2476" s="2" t="s">
        <v>955</v>
      </c>
      <c r="Y2476" s="2" t="s">
        <v>14810</v>
      </c>
      <c r="AA2476" t="str">
        <f t="shared" si="228"/>
        <v>2025-10</v>
      </c>
      <c r="AB2476" t="str">
        <f t="shared" si="229"/>
        <v/>
      </c>
      <c r="AC2476">
        <f t="shared" si="230"/>
        <v>230450.88</v>
      </c>
      <c r="AD2476">
        <f t="shared" si="231"/>
        <v>15</v>
      </c>
      <c r="AE2476">
        <f t="shared" si="232"/>
        <v>54155.88</v>
      </c>
      <c r="AF2476" t="str">
        <f t="shared" si="233"/>
        <v>Paid</v>
      </c>
    </row>
    <row r="2477" spans="1:32" ht="17.25" thickBot="1" x14ac:dyDescent="0.35">
      <c r="A2477" s="2" t="s">
        <v>14965</v>
      </c>
      <c r="B2477" s="2" t="s">
        <v>27</v>
      </c>
      <c r="C2477" s="2" t="s">
        <v>28</v>
      </c>
      <c r="D2477" s="2" t="s">
        <v>97</v>
      </c>
      <c r="E2477" s="2" t="s">
        <v>14800</v>
      </c>
      <c r="F2477" s="2" t="s">
        <v>8445</v>
      </c>
      <c r="G2477" s="2" t="s">
        <v>32</v>
      </c>
      <c r="H2477" s="1"/>
      <c r="I2477" s="2" t="s">
        <v>33</v>
      </c>
      <c r="J2477" s="2" t="s">
        <v>34</v>
      </c>
      <c r="K2477" s="2" t="s">
        <v>14144</v>
      </c>
      <c r="L2477" s="2" t="s">
        <v>14145</v>
      </c>
      <c r="M2477" s="2" t="s">
        <v>14146</v>
      </c>
      <c r="N2477" s="2" t="s">
        <v>38</v>
      </c>
      <c r="O2477" s="2" t="s">
        <v>141</v>
      </c>
      <c r="P2477" s="2" t="s">
        <v>8743</v>
      </c>
      <c r="Q2477" s="2" t="s">
        <v>11976</v>
      </c>
      <c r="R2477" s="2" t="s">
        <v>40</v>
      </c>
      <c r="S2477" s="2" t="s">
        <v>14966</v>
      </c>
      <c r="T2477" s="2" t="s">
        <v>6652</v>
      </c>
      <c r="U2477" s="2" t="s">
        <v>14967</v>
      </c>
      <c r="V2477" s="2" t="s">
        <v>14968</v>
      </c>
      <c r="W2477" s="1"/>
      <c r="X2477" s="2" t="s">
        <v>6730</v>
      </c>
      <c r="Y2477" s="2" t="s">
        <v>14810</v>
      </c>
      <c r="AA2477" t="str">
        <f t="shared" si="228"/>
        <v>2025-10</v>
      </c>
      <c r="AB2477" t="str">
        <f t="shared" si="229"/>
        <v/>
      </c>
      <c r="AC2477">
        <f t="shared" si="230"/>
        <v>225062.64</v>
      </c>
      <c r="AD2477">
        <f t="shared" si="231"/>
        <v>30</v>
      </c>
      <c r="AE2477">
        <f t="shared" si="232"/>
        <v>30062.639999999999</v>
      </c>
      <c r="AF2477" t="str">
        <f t="shared" si="233"/>
        <v>Paid</v>
      </c>
    </row>
    <row r="2478" spans="1:32" ht="17.25" thickBot="1" x14ac:dyDescent="0.35">
      <c r="A2478" s="2" t="s">
        <v>14969</v>
      </c>
      <c r="B2478" s="2" t="s">
        <v>27</v>
      </c>
      <c r="C2478" s="2" t="s">
        <v>28</v>
      </c>
      <c r="D2478" s="2" t="s">
        <v>97</v>
      </c>
      <c r="E2478" s="2" t="s">
        <v>14800</v>
      </c>
      <c r="F2478" s="2" t="s">
        <v>8445</v>
      </c>
      <c r="G2478" s="2" t="s">
        <v>32</v>
      </c>
      <c r="H2478" s="1"/>
      <c r="I2478" s="2" t="s">
        <v>33</v>
      </c>
      <c r="J2478" s="2" t="s">
        <v>34</v>
      </c>
      <c r="K2478" s="2" t="s">
        <v>14152</v>
      </c>
      <c r="L2478" s="2" t="s">
        <v>14153</v>
      </c>
      <c r="M2478" s="2" t="s">
        <v>2933</v>
      </c>
      <c r="N2478" s="2" t="s">
        <v>38</v>
      </c>
      <c r="O2478" s="2" t="s">
        <v>156</v>
      </c>
      <c r="P2478" s="2" t="s">
        <v>14154</v>
      </c>
      <c r="Q2478" s="2" t="s">
        <v>11343</v>
      </c>
      <c r="R2478" s="2" t="s">
        <v>40</v>
      </c>
      <c r="S2478" s="2" t="s">
        <v>14970</v>
      </c>
      <c r="T2478" s="2" t="s">
        <v>14157</v>
      </c>
      <c r="U2478" s="2" t="s">
        <v>14971</v>
      </c>
      <c r="V2478" s="2" t="s">
        <v>14972</v>
      </c>
      <c r="W2478" s="1"/>
      <c r="X2478" s="2" t="s">
        <v>7047</v>
      </c>
      <c r="Y2478" s="2" t="s">
        <v>14810</v>
      </c>
      <c r="AA2478" t="str">
        <f t="shared" si="228"/>
        <v>2025-10</v>
      </c>
      <c r="AB2478" t="str">
        <f t="shared" si="229"/>
        <v/>
      </c>
      <c r="AC2478">
        <f t="shared" si="230"/>
        <v>228792.95999999999</v>
      </c>
      <c r="AD2478">
        <f t="shared" si="231"/>
        <v>20</v>
      </c>
      <c r="AE2478">
        <f t="shared" si="232"/>
        <v>49152.959999999999</v>
      </c>
      <c r="AF2478" t="str">
        <f t="shared" si="233"/>
        <v>Paid</v>
      </c>
    </row>
    <row r="2479" spans="1:32" ht="27.75" thickBot="1" x14ac:dyDescent="0.35">
      <c r="A2479" s="2" t="s">
        <v>14973</v>
      </c>
      <c r="B2479" s="2" t="s">
        <v>27</v>
      </c>
      <c r="C2479" s="2" t="s">
        <v>28</v>
      </c>
      <c r="D2479" s="2" t="s">
        <v>97</v>
      </c>
      <c r="E2479" s="2" t="s">
        <v>14800</v>
      </c>
      <c r="F2479" s="2" t="s">
        <v>8445</v>
      </c>
      <c r="G2479" s="2" t="s">
        <v>32</v>
      </c>
      <c r="H2479" s="1"/>
      <c r="I2479" s="2" t="s">
        <v>33</v>
      </c>
      <c r="J2479" s="2" t="s">
        <v>34</v>
      </c>
      <c r="K2479" s="2" t="s">
        <v>3028</v>
      </c>
      <c r="L2479" s="2" t="s">
        <v>3029</v>
      </c>
      <c r="M2479" s="2" t="s">
        <v>3030</v>
      </c>
      <c r="N2479" s="2" t="s">
        <v>38</v>
      </c>
      <c r="O2479" s="2" t="s">
        <v>141</v>
      </c>
      <c r="P2479" s="2" t="s">
        <v>7889</v>
      </c>
      <c r="Q2479" s="2" t="s">
        <v>7759</v>
      </c>
      <c r="R2479" s="2" t="s">
        <v>40</v>
      </c>
      <c r="S2479" s="2" t="s">
        <v>14974</v>
      </c>
      <c r="T2479" s="2" t="s">
        <v>14163</v>
      </c>
      <c r="U2479" s="2" t="s">
        <v>14975</v>
      </c>
      <c r="V2479" s="2" t="s">
        <v>14976</v>
      </c>
      <c r="W2479" s="1"/>
      <c r="X2479" s="2" t="s">
        <v>3047</v>
      </c>
      <c r="Y2479" s="2" t="s">
        <v>14810</v>
      </c>
      <c r="AA2479" t="str">
        <f t="shared" si="228"/>
        <v>2025-10</v>
      </c>
      <c r="AB2479" t="str">
        <f t="shared" si="229"/>
        <v/>
      </c>
      <c r="AC2479">
        <f t="shared" si="230"/>
        <v>206411.04</v>
      </c>
      <c r="AD2479">
        <f t="shared" si="231"/>
        <v>30</v>
      </c>
      <c r="AE2479">
        <f t="shared" si="232"/>
        <v>71111.039999999994</v>
      </c>
      <c r="AF2479" t="str">
        <f t="shared" si="233"/>
        <v>Paid</v>
      </c>
    </row>
    <row r="2480" spans="1:32" ht="27.75" thickBot="1" x14ac:dyDescent="0.35">
      <c r="A2480" s="2" t="s">
        <v>14977</v>
      </c>
      <c r="B2480" s="2" t="s">
        <v>27</v>
      </c>
      <c r="C2480" s="2" t="s">
        <v>28</v>
      </c>
      <c r="D2480" s="2" t="s">
        <v>97</v>
      </c>
      <c r="E2480" s="2" t="s">
        <v>14800</v>
      </c>
      <c r="F2480" s="2" t="s">
        <v>8445</v>
      </c>
      <c r="G2480" s="2" t="s">
        <v>32</v>
      </c>
      <c r="H2480" s="1"/>
      <c r="I2480" s="2" t="s">
        <v>33</v>
      </c>
      <c r="J2480" s="2" t="s">
        <v>34</v>
      </c>
      <c r="K2480" s="2" t="s">
        <v>11635</v>
      </c>
      <c r="L2480" s="2" t="s">
        <v>11636</v>
      </c>
      <c r="M2480" s="2" t="s">
        <v>3030</v>
      </c>
      <c r="N2480" s="2" t="s">
        <v>38</v>
      </c>
      <c r="O2480" s="2" t="s">
        <v>156</v>
      </c>
      <c r="P2480" s="2" t="s">
        <v>2066</v>
      </c>
      <c r="Q2480" s="2" t="s">
        <v>7759</v>
      </c>
      <c r="R2480" s="2" t="s">
        <v>40</v>
      </c>
      <c r="S2480" s="2" t="s">
        <v>14974</v>
      </c>
      <c r="T2480" s="2" t="s">
        <v>12882</v>
      </c>
      <c r="U2480" s="2" t="s">
        <v>14978</v>
      </c>
      <c r="V2480" s="2" t="s">
        <v>14979</v>
      </c>
      <c r="W2480" s="1"/>
      <c r="X2480" s="2" t="s">
        <v>6902</v>
      </c>
      <c r="Y2480" s="2" t="s">
        <v>14810</v>
      </c>
      <c r="AA2480" t="str">
        <f t="shared" si="228"/>
        <v>2025-10</v>
      </c>
      <c r="AB2480" t="str">
        <f t="shared" si="229"/>
        <v/>
      </c>
      <c r="AC2480">
        <f t="shared" si="230"/>
        <v>206411.04</v>
      </c>
      <c r="AD2480">
        <f t="shared" si="231"/>
        <v>20</v>
      </c>
      <c r="AE2480">
        <f t="shared" si="232"/>
        <v>49311.040000000001</v>
      </c>
      <c r="AF2480" t="str">
        <f t="shared" si="233"/>
        <v>Paid</v>
      </c>
    </row>
    <row r="2481" spans="1:32" ht="27.75" thickBot="1" x14ac:dyDescent="0.35">
      <c r="A2481" s="2" t="s">
        <v>14980</v>
      </c>
      <c r="B2481" s="2" t="s">
        <v>27</v>
      </c>
      <c r="C2481" s="2" t="s">
        <v>28</v>
      </c>
      <c r="D2481" s="2" t="s">
        <v>97</v>
      </c>
      <c r="E2481" s="2" t="s">
        <v>14800</v>
      </c>
      <c r="F2481" s="2" t="s">
        <v>8445</v>
      </c>
      <c r="G2481" s="2" t="s">
        <v>32</v>
      </c>
      <c r="H2481" s="1"/>
      <c r="I2481" s="2" t="s">
        <v>33</v>
      </c>
      <c r="J2481" s="2" t="s">
        <v>34</v>
      </c>
      <c r="K2481" s="2" t="s">
        <v>3039</v>
      </c>
      <c r="L2481" s="2" t="s">
        <v>3040</v>
      </c>
      <c r="M2481" s="2" t="s">
        <v>3030</v>
      </c>
      <c r="N2481" s="2" t="s">
        <v>38</v>
      </c>
      <c r="O2481" s="2" t="s">
        <v>79</v>
      </c>
      <c r="P2481" s="2" t="s">
        <v>7368</v>
      </c>
      <c r="Q2481" s="2" t="s">
        <v>14981</v>
      </c>
      <c r="R2481" s="2" t="s">
        <v>40</v>
      </c>
      <c r="S2481" s="2" t="s">
        <v>14982</v>
      </c>
      <c r="T2481" s="2" t="s">
        <v>9580</v>
      </c>
      <c r="U2481" s="2" t="s">
        <v>14983</v>
      </c>
      <c r="V2481" s="2" t="s">
        <v>14984</v>
      </c>
      <c r="W2481" s="1"/>
      <c r="X2481" s="2" t="s">
        <v>3037</v>
      </c>
      <c r="Y2481" s="2" t="s">
        <v>14810</v>
      </c>
      <c r="AA2481" t="str">
        <f t="shared" si="228"/>
        <v>2025-10</v>
      </c>
      <c r="AB2481" t="str">
        <f t="shared" si="229"/>
        <v/>
      </c>
      <c r="AC2481">
        <f t="shared" si="230"/>
        <v>120337.36</v>
      </c>
      <c r="AD2481">
        <f t="shared" si="231"/>
        <v>10</v>
      </c>
      <c r="AE2481">
        <f t="shared" si="232"/>
        <v>41427.360000000001</v>
      </c>
      <c r="AF2481" t="str">
        <f t="shared" si="233"/>
        <v>Paid</v>
      </c>
    </row>
    <row r="2482" spans="1:32" ht="27.75" thickBot="1" x14ac:dyDescent="0.35">
      <c r="A2482" s="2" t="s">
        <v>14985</v>
      </c>
      <c r="B2482" s="2" t="s">
        <v>27</v>
      </c>
      <c r="C2482" s="2" t="s">
        <v>28</v>
      </c>
      <c r="D2482" s="2" t="s">
        <v>97</v>
      </c>
      <c r="E2482" s="2" t="s">
        <v>14800</v>
      </c>
      <c r="F2482" s="2" t="s">
        <v>8445</v>
      </c>
      <c r="G2482" s="2" t="s">
        <v>32</v>
      </c>
      <c r="H2482" s="1"/>
      <c r="I2482" s="2" t="s">
        <v>33</v>
      </c>
      <c r="J2482" s="2" t="s">
        <v>34</v>
      </c>
      <c r="K2482" s="2" t="s">
        <v>13254</v>
      </c>
      <c r="L2482" s="2" t="s">
        <v>13255</v>
      </c>
      <c r="M2482" s="2" t="s">
        <v>8850</v>
      </c>
      <c r="N2482" s="2" t="s">
        <v>38</v>
      </c>
      <c r="O2482" s="2" t="s">
        <v>645</v>
      </c>
      <c r="P2482" s="2" t="s">
        <v>14176</v>
      </c>
      <c r="Q2482" s="2" t="s">
        <v>14986</v>
      </c>
      <c r="R2482" s="2" t="s">
        <v>40</v>
      </c>
      <c r="S2482" s="2" t="s">
        <v>14987</v>
      </c>
      <c r="T2482" s="2" t="s">
        <v>13259</v>
      </c>
      <c r="U2482" s="2" t="s">
        <v>13260</v>
      </c>
      <c r="V2482" s="2" t="s">
        <v>14988</v>
      </c>
      <c r="W2482" s="1"/>
      <c r="X2482" s="2" t="s">
        <v>523</v>
      </c>
      <c r="Y2482" s="2" t="s">
        <v>14810</v>
      </c>
      <c r="AA2482" t="str">
        <f t="shared" si="228"/>
        <v>2025-10</v>
      </c>
      <c r="AB2482" t="str">
        <f t="shared" si="229"/>
        <v/>
      </c>
      <c r="AC2482">
        <f t="shared" si="230"/>
        <v>981764.96</v>
      </c>
      <c r="AD2482">
        <f t="shared" si="231"/>
        <v>170</v>
      </c>
      <c r="AE2482">
        <f t="shared" si="232"/>
        <v>147914.96</v>
      </c>
      <c r="AF2482" t="str">
        <f t="shared" si="233"/>
        <v>Paid</v>
      </c>
    </row>
    <row r="2483" spans="1:32" ht="27.75" thickBot="1" x14ac:dyDescent="0.35">
      <c r="A2483" s="2" t="s">
        <v>14989</v>
      </c>
      <c r="B2483" s="2" t="s">
        <v>27</v>
      </c>
      <c r="C2483" s="2" t="s">
        <v>28</v>
      </c>
      <c r="D2483" s="2" t="s">
        <v>97</v>
      </c>
      <c r="E2483" s="2" t="s">
        <v>14800</v>
      </c>
      <c r="F2483" s="2" t="s">
        <v>8445</v>
      </c>
      <c r="G2483" s="2" t="s">
        <v>32</v>
      </c>
      <c r="H2483" s="1"/>
      <c r="I2483" s="2" t="s">
        <v>33</v>
      </c>
      <c r="J2483" s="2" t="s">
        <v>34</v>
      </c>
      <c r="K2483" s="2" t="s">
        <v>3065</v>
      </c>
      <c r="L2483" s="2" t="s">
        <v>3066</v>
      </c>
      <c r="M2483" s="2" t="s">
        <v>3067</v>
      </c>
      <c r="N2483" s="2" t="s">
        <v>38</v>
      </c>
      <c r="O2483" s="2" t="s">
        <v>2252</v>
      </c>
      <c r="P2483" s="2" t="s">
        <v>2246</v>
      </c>
      <c r="Q2483" s="2" t="s">
        <v>14990</v>
      </c>
      <c r="R2483" s="2" t="s">
        <v>40</v>
      </c>
      <c r="S2483" s="2" t="s">
        <v>14991</v>
      </c>
      <c r="T2483" s="2" t="s">
        <v>2909</v>
      </c>
      <c r="U2483" s="2" t="s">
        <v>14992</v>
      </c>
      <c r="V2483" s="2" t="s">
        <v>14993</v>
      </c>
      <c r="W2483" s="1"/>
      <c r="X2483" s="2" t="s">
        <v>827</v>
      </c>
      <c r="Y2483" s="2" t="s">
        <v>14810</v>
      </c>
      <c r="AA2483" t="str">
        <f t="shared" si="228"/>
        <v>2025-10</v>
      </c>
      <c r="AB2483" t="str">
        <f t="shared" si="229"/>
        <v/>
      </c>
      <c r="AC2483">
        <f t="shared" si="230"/>
        <v>2107630.7999999998</v>
      </c>
      <c r="AD2483">
        <f t="shared" si="231"/>
        <v>270</v>
      </c>
      <c r="AE2483">
        <f t="shared" si="232"/>
        <v>433630.8</v>
      </c>
      <c r="AF2483" t="str">
        <f t="shared" si="233"/>
        <v>Paid</v>
      </c>
    </row>
    <row r="2484" spans="1:32" ht="27.75" thickBot="1" x14ac:dyDescent="0.35">
      <c r="A2484" s="2" t="s">
        <v>14994</v>
      </c>
      <c r="B2484" s="2" t="s">
        <v>27</v>
      </c>
      <c r="C2484" s="2" t="s">
        <v>28</v>
      </c>
      <c r="D2484" s="2" t="s">
        <v>97</v>
      </c>
      <c r="E2484" s="2" t="s">
        <v>14800</v>
      </c>
      <c r="F2484" s="2" t="s">
        <v>8445</v>
      </c>
      <c r="G2484" s="2" t="s">
        <v>32</v>
      </c>
      <c r="H2484" s="1"/>
      <c r="I2484" s="2" t="s">
        <v>33</v>
      </c>
      <c r="J2484" s="2" t="s">
        <v>34</v>
      </c>
      <c r="K2484" s="2" t="s">
        <v>3082</v>
      </c>
      <c r="L2484" s="2" t="s">
        <v>3083</v>
      </c>
      <c r="M2484" s="2" t="s">
        <v>3067</v>
      </c>
      <c r="N2484" s="2" t="s">
        <v>38</v>
      </c>
      <c r="O2484" s="2" t="s">
        <v>214</v>
      </c>
      <c r="P2484" s="2" t="s">
        <v>13218</v>
      </c>
      <c r="Q2484" s="2" t="s">
        <v>14995</v>
      </c>
      <c r="R2484" s="2" t="s">
        <v>40</v>
      </c>
      <c r="S2484" s="2" t="s">
        <v>14996</v>
      </c>
      <c r="T2484" s="2" t="s">
        <v>669</v>
      </c>
      <c r="U2484" s="2" t="s">
        <v>5544</v>
      </c>
      <c r="V2484" s="2" t="s">
        <v>14997</v>
      </c>
      <c r="W2484" s="1"/>
      <c r="X2484" s="2" t="s">
        <v>5636</v>
      </c>
      <c r="Y2484" s="2" t="s">
        <v>14810</v>
      </c>
      <c r="AA2484" t="str">
        <f t="shared" si="228"/>
        <v>2025-10</v>
      </c>
      <c r="AB2484" t="str">
        <f t="shared" si="229"/>
        <v/>
      </c>
      <c r="AC2484">
        <f t="shared" si="230"/>
        <v>372341.2</v>
      </c>
      <c r="AD2484">
        <f t="shared" si="231"/>
        <v>50</v>
      </c>
      <c r="AE2484">
        <f t="shared" si="232"/>
        <v>72341.2</v>
      </c>
      <c r="AF2484" t="str">
        <f t="shared" si="233"/>
        <v>Paid</v>
      </c>
    </row>
    <row r="2485" spans="1:32" ht="17.25" thickBot="1" x14ac:dyDescent="0.35">
      <c r="A2485" s="2" t="s">
        <v>14998</v>
      </c>
      <c r="B2485" s="2" t="s">
        <v>27</v>
      </c>
      <c r="C2485" s="2" t="s">
        <v>28</v>
      </c>
      <c r="D2485" s="2" t="s">
        <v>97</v>
      </c>
      <c r="E2485" s="2" t="s">
        <v>14800</v>
      </c>
      <c r="F2485" s="2" t="s">
        <v>8445</v>
      </c>
      <c r="G2485" s="2" t="s">
        <v>32</v>
      </c>
      <c r="H2485" s="1"/>
      <c r="I2485" s="2" t="s">
        <v>33</v>
      </c>
      <c r="J2485" s="2" t="s">
        <v>34</v>
      </c>
      <c r="K2485" s="2" t="s">
        <v>14197</v>
      </c>
      <c r="L2485" s="2" t="s">
        <v>14198</v>
      </c>
      <c r="M2485" s="2" t="s">
        <v>3067</v>
      </c>
      <c r="N2485" s="2" t="s">
        <v>38</v>
      </c>
      <c r="O2485" s="2" t="s">
        <v>779</v>
      </c>
      <c r="P2485" s="2" t="s">
        <v>6229</v>
      </c>
      <c r="Q2485" s="2" t="s">
        <v>14999</v>
      </c>
      <c r="R2485" s="2" t="s">
        <v>40</v>
      </c>
      <c r="S2485" s="2" t="s">
        <v>15000</v>
      </c>
      <c r="T2485" s="2" t="s">
        <v>2206</v>
      </c>
      <c r="U2485" s="2" t="s">
        <v>2360</v>
      </c>
      <c r="V2485" s="2" t="s">
        <v>15001</v>
      </c>
      <c r="W2485" s="1"/>
      <c r="X2485" s="2" t="s">
        <v>916</v>
      </c>
      <c r="Y2485" s="2" t="s">
        <v>14810</v>
      </c>
      <c r="AA2485" t="str">
        <f t="shared" si="228"/>
        <v>2025-10</v>
      </c>
      <c r="AB2485" t="str">
        <f t="shared" si="229"/>
        <v/>
      </c>
      <c r="AC2485">
        <f t="shared" si="230"/>
        <v>891546.48</v>
      </c>
      <c r="AD2485">
        <f t="shared" si="231"/>
        <v>90</v>
      </c>
      <c r="AE2485">
        <f t="shared" si="232"/>
        <v>189546.48</v>
      </c>
      <c r="AF2485" t="str">
        <f t="shared" si="233"/>
        <v>Paid</v>
      </c>
    </row>
    <row r="2486" spans="1:32" ht="27.75" thickBot="1" x14ac:dyDescent="0.35">
      <c r="A2486" s="2" t="s">
        <v>15002</v>
      </c>
      <c r="B2486" s="2" t="s">
        <v>27</v>
      </c>
      <c r="C2486" s="2" t="s">
        <v>28</v>
      </c>
      <c r="D2486" s="2" t="s">
        <v>97</v>
      </c>
      <c r="E2486" s="2" t="s">
        <v>14800</v>
      </c>
      <c r="F2486" s="2" t="s">
        <v>8445</v>
      </c>
      <c r="G2486" s="2" t="s">
        <v>32</v>
      </c>
      <c r="H2486" s="1"/>
      <c r="I2486" s="2" t="s">
        <v>33</v>
      </c>
      <c r="J2486" s="2" t="s">
        <v>34</v>
      </c>
      <c r="K2486" s="2" t="s">
        <v>3105</v>
      </c>
      <c r="L2486" s="2" t="s">
        <v>3106</v>
      </c>
      <c r="M2486" s="2" t="s">
        <v>3067</v>
      </c>
      <c r="N2486" s="2" t="s">
        <v>38</v>
      </c>
      <c r="O2486" s="2" t="s">
        <v>131</v>
      </c>
      <c r="P2486" s="2" t="s">
        <v>14204</v>
      </c>
      <c r="Q2486" s="2" t="s">
        <v>9538</v>
      </c>
      <c r="R2486" s="2" t="s">
        <v>40</v>
      </c>
      <c r="S2486" s="2" t="s">
        <v>15003</v>
      </c>
      <c r="T2486" s="2" t="s">
        <v>3110</v>
      </c>
      <c r="U2486" s="2" t="s">
        <v>15004</v>
      </c>
      <c r="V2486" s="2" t="s">
        <v>15005</v>
      </c>
      <c r="W2486" s="1"/>
      <c r="X2486" s="2" t="s">
        <v>838</v>
      </c>
      <c r="Y2486" s="2" t="s">
        <v>14810</v>
      </c>
      <c r="AA2486" t="str">
        <f t="shared" si="228"/>
        <v>2025-10</v>
      </c>
      <c r="AB2486" t="str">
        <f t="shared" si="229"/>
        <v/>
      </c>
      <c r="AC2486">
        <f t="shared" si="230"/>
        <v>202266.23999999999</v>
      </c>
      <c r="AD2486">
        <f t="shared" si="231"/>
        <v>40</v>
      </c>
      <c r="AE2486">
        <f t="shared" si="232"/>
        <v>42266.239999999998</v>
      </c>
      <c r="AF2486" t="str">
        <f t="shared" si="233"/>
        <v>Paid</v>
      </c>
    </row>
    <row r="2487" spans="1:32" ht="17.25" thickBot="1" x14ac:dyDescent="0.35">
      <c r="A2487" s="2" t="s">
        <v>15006</v>
      </c>
      <c r="B2487" s="2" t="s">
        <v>27</v>
      </c>
      <c r="C2487" s="2" t="s">
        <v>28</v>
      </c>
      <c r="D2487" s="2" t="s">
        <v>97</v>
      </c>
      <c r="E2487" s="2" t="s">
        <v>14800</v>
      </c>
      <c r="F2487" s="2" t="s">
        <v>8445</v>
      </c>
      <c r="G2487" s="2" t="s">
        <v>32</v>
      </c>
      <c r="H2487" s="1"/>
      <c r="I2487" s="2" t="s">
        <v>33</v>
      </c>
      <c r="J2487" s="2" t="s">
        <v>34</v>
      </c>
      <c r="K2487" s="2" t="s">
        <v>13273</v>
      </c>
      <c r="L2487" s="2" t="s">
        <v>13274</v>
      </c>
      <c r="M2487" s="2" t="s">
        <v>8850</v>
      </c>
      <c r="N2487" s="2" t="s">
        <v>38</v>
      </c>
      <c r="O2487" s="2" t="s">
        <v>141</v>
      </c>
      <c r="P2487" s="2" t="s">
        <v>14209</v>
      </c>
      <c r="Q2487" s="2" t="s">
        <v>12749</v>
      </c>
      <c r="R2487" s="2" t="s">
        <v>40</v>
      </c>
      <c r="S2487" s="2" t="s">
        <v>15007</v>
      </c>
      <c r="T2487" s="2" t="s">
        <v>10964</v>
      </c>
      <c r="U2487" s="2" t="s">
        <v>13277</v>
      </c>
      <c r="V2487" s="2" t="s">
        <v>15008</v>
      </c>
      <c r="W2487" s="1"/>
      <c r="X2487" s="2" t="s">
        <v>14213</v>
      </c>
      <c r="Y2487" s="2" t="s">
        <v>14810</v>
      </c>
      <c r="AA2487" t="str">
        <f t="shared" si="228"/>
        <v>2025-10</v>
      </c>
      <c r="AB2487" t="str">
        <f t="shared" si="229"/>
        <v/>
      </c>
      <c r="AC2487">
        <f t="shared" si="230"/>
        <v>190660.8</v>
      </c>
      <c r="AD2487">
        <f t="shared" si="231"/>
        <v>30</v>
      </c>
      <c r="AE2487">
        <f t="shared" si="232"/>
        <v>28660.799999999999</v>
      </c>
      <c r="AF2487" t="str">
        <f t="shared" si="233"/>
        <v>Paid</v>
      </c>
    </row>
    <row r="2488" spans="1:32" ht="27.75" thickBot="1" x14ac:dyDescent="0.35">
      <c r="A2488" s="2" t="s">
        <v>15009</v>
      </c>
      <c r="B2488" s="2" t="s">
        <v>27</v>
      </c>
      <c r="C2488" s="2" t="s">
        <v>28</v>
      </c>
      <c r="D2488" s="2" t="s">
        <v>97</v>
      </c>
      <c r="E2488" s="2" t="s">
        <v>14800</v>
      </c>
      <c r="F2488" s="2" t="s">
        <v>8445</v>
      </c>
      <c r="G2488" s="2" t="s">
        <v>32</v>
      </c>
      <c r="H2488" s="1"/>
      <c r="I2488" s="2" t="s">
        <v>33</v>
      </c>
      <c r="J2488" s="2" t="s">
        <v>34</v>
      </c>
      <c r="K2488" s="2" t="s">
        <v>15010</v>
      </c>
      <c r="L2488" s="2" t="s">
        <v>15011</v>
      </c>
      <c r="M2488" s="2" t="s">
        <v>1757</v>
      </c>
      <c r="N2488" s="2" t="s">
        <v>38</v>
      </c>
      <c r="O2488" s="2" t="s">
        <v>977</v>
      </c>
      <c r="P2488" s="2" t="s">
        <v>15012</v>
      </c>
      <c r="Q2488" s="2" t="s">
        <v>15013</v>
      </c>
      <c r="R2488" s="2" t="s">
        <v>40</v>
      </c>
      <c r="S2488" s="2" t="s">
        <v>15014</v>
      </c>
      <c r="T2488" s="2" t="s">
        <v>15015</v>
      </c>
      <c r="U2488" s="2" t="s">
        <v>15016</v>
      </c>
      <c r="V2488" s="2" t="s">
        <v>15017</v>
      </c>
      <c r="W2488" s="1"/>
      <c r="X2488" s="2" t="s">
        <v>1764</v>
      </c>
      <c r="Y2488" s="2" t="s">
        <v>14810</v>
      </c>
      <c r="AA2488" t="str">
        <f t="shared" si="228"/>
        <v>2025-10</v>
      </c>
      <c r="AB2488" t="str">
        <f t="shared" si="229"/>
        <v/>
      </c>
      <c r="AC2488">
        <f t="shared" si="230"/>
        <v>217325.68</v>
      </c>
      <c r="AD2488">
        <f t="shared" si="231"/>
        <v>110</v>
      </c>
      <c r="AE2488">
        <f t="shared" si="232"/>
        <v>55295.68</v>
      </c>
      <c r="AF2488" t="str">
        <f t="shared" si="233"/>
        <v>Paid</v>
      </c>
    </row>
    <row r="2489" spans="1:32" ht="17.25" thickBot="1" x14ac:dyDescent="0.35">
      <c r="A2489" s="2" t="s">
        <v>15018</v>
      </c>
      <c r="B2489" s="2" t="s">
        <v>27</v>
      </c>
      <c r="C2489" s="2" t="s">
        <v>28</v>
      </c>
      <c r="D2489" s="2" t="s">
        <v>97</v>
      </c>
      <c r="E2489" s="2" t="s">
        <v>14800</v>
      </c>
      <c r="F2489" s="2" t="s">
        <v>8445</v>
      </c>
      <c r="G2489" s="2" t="s">
        <v>32</v>
      </c>
      <c r="H2489" s="1"/>
      <c r="I2489" s="2" t="s">
        <v>33</v>
      </c>
      <c r="J2489" s="2" t="s">
        <v>34</v>
      </c>
      <c r="K2489" s="2" t="s">
        <v>14215</v>
      </c>
      <c r="L2489" s="2" t="s">
        <v>14216</v>
      </c>
      <c r="M2489" s="2" t="s">
        <v>3198</v>
      </c>
      <c r="N2489" s="2" t="s">
        <v>38</v>
      </c>
      <c r="O2489" s="2" t="s">
        <v>131</v>
      </c>
      <c r="P2489" s="2" t="s">
        <v>2801</v>
      </c>
      <c r="Q2489" s="2" t="s">
        <v>15019</v>
      </c>
      <c r="R2489" s="2" t="s">
        <v>40</v>
      </c>
      <c r="S2489" s="2" t="s">
        <v>15020</v>
      </c>
      <c r="T2489" s="2" t="s">
        <v>3079</v>
      </c>
      <c r="U2489" s="2" t="s">
        <v>14867</v>
      </c>
      <c r="V2489" s="2" t="s">
        <v>15021</v>
      </c>
      <c r="W2489" s="1"/>
      <c r="X2489" s="2" t="s">
        <v>3205</v>
      </c>
      <c r="Y2489" s="2" t="s">
        <v>14810</v>
      </c>
      <c r="AA2489" t="str">
        <f t="shared" si="228"/>
        <v>2025-10</v>
      </c>
      <c r="AB2489" t="str">
        <f t="shared" si="229"/>
        <v/>
      </c>
      <c r="AC2489">
        <f t="shared" si="230"/>
        <v>271898.88</v>
      </c>
      <c r="AD2489">
        <f t="shared" si="231"/>
        <v>40</v>
      </c>
      <c r="AE2489">
        <f t="shared" si="232"/>
        <v>39898.879999999997</v>
      </c>
      <c r="AF2489" t="str">
        <f t="shared" si="233"/>
        <v>Paid</v>
      </c>
    </row>
    <row r="2490" spans="1:32" ht="27.75" thickBot="1" x14ac:dyDescent="0.35">
      <c r="A2490" s="2" t="s">
        <v>15022</v>
      </c>
      <c r="B2490" s="2" t="s">
        <v>27</v>
      </c>
      <c r="C2490" s="2" t="s">
        <v>28</v>
      </c>
      <c r="D2490" s="2" t="s">
        <v>97</v>
      </c>
      <c r="E2490" s="2" t="s">
        <v>14800</v>
      </c>
      <c r="F2490" s="2" t="s">
        <v>8445</v>
      </c>
      <c r="G2490" s="2" t="s">
        <v>32</v>
      </c>
      <c r="H2490" s="1"/>
      <c r="I2490" s="2" t="s">
        <v>33</v>
      </c>
      <c r="J2490" s="2" t="s">
        <v>34</v>
      </c>
      <c r="K2490" s="2" t="s">
        <v>14229</v>
      </c>
      <c r="L2490" s="2" t="s">
        <v>14230</v>
      </c>
      <c r="M2490" s="2" t="s">
        <v>3198</v>
      </c>
      <c r="N2490" s="2" t="s">
        <v>38</v>
      </c>
      <c r="O2490" s="2" t="s">
        <v>63</v>
      </c>
      <c r="P2490" s="2" t="s">
        <v>9392</v>
      </c>
      <c r="Q2490" s="2" t="s">
        <v>15023</v>
      </c>
      <c r="R2490" s="2" t="s">
        <v>40</v>
      </c>
      <c r="S2490" s="2" t="s">
        <v>15024</v>
      </c>
      <c r="T2490" s="2" t="s">
        <v>6559</v>
      </c>
      <c r="U2490" s="2" t="s">
        <v>15025</v>
      </c>
      <c r="V2490" s="2" t="s">
        <v>15026</v>
      </c>
      <c r="W2490" s="1"/>
      <c r="X2490" s="2" t="s">
        <v>3205</v>
      </c>
      <c r="Y2490" s="2" t="s">
        <v>14810</v>
      </c>
      <c r="AA2490" t="str">
        <f t="shared" si="228"/>
        <v>2025-10</v>
      </c>
      <c r="AB2490" t="str">
        <f t="shared" si="229"/>
        <v/>
      </c>
      <c r="AC2490">
        <f t="shared" si="230"/>
        <v>71373.460000000006</v>
      </c>
      <c r="AD2490">
        <f t="shared" si="231"/>
        <v>7</v>
      </c>
      <c r="AE2490">
        <f t="shared" si="232"/>
        <v>10473.459999999999</v>
      </c>
      <c r="AF2490" t="str">
        <f t="shared" si="233"/>
        <v>Paid</v>
      </c>
    </row>
    <row r="2491" spans="1:32" ht="17.25" thickBot="1" x14ac:dyDescent="0.35">
      <c r="A2491" s="2" t="s">
        <v>15027</v>
      </c>
      <c r="B2491" s="2" t="s">
        <v>27</v>
      </c>
      <c r="C2491" s="2" t="s">
        <v>28</v>
      </c>
      <c r="D2491" s="2" t="s">
        <v>97</v>
      </c>
      <c r="E2491" s="2" t="s">
        <v>14800</v>
      </c>
      <c r="F2491" s="2" t="s">
        <v>8445</v>
      </c>
      <c r="G2491" s="2" t="s">
        <v>32</v>
      </c>
      <c r="H2491" s="1"/>
      <c r="I2491" s="2" t="s">
        <v>33</v>
      </c>
      <c r="J2491" s="2" t="s">
        <v>34</v>
      </c>
      <c r="K2491" s="2" t="s">
        <v>11981</v>
      </c>
      <c r="L2491" s="2" t="s">
        <v>11982</v>
      </c>
      <c r="M2491" s="2" t="s">
        <v>3198</v>
      </c>
      <c r="N2491" s="2" t="s">
        <v>38</v>
      </c>
      <c r="O2491" s="2" t="s">
        <v>391</v>
      </c>
      <c r="P2491" s="2" t="s">
        <v>6924</v>
      </c>
      <c r="Q2491" s="2" t="s">
        <v>15028</v>
      </c>
      <c r="R2491" s="2" t="s">
        <v>40</v>
      </c>
      <c r="S2491" s="2" t="s">
        <v>15029</v>
      </c>
      <c r="T2491" s="2" t="s">
        <v>11985</v>
      </c>
      <c r="U2491" s="2" t="s">
        <v>15030</v>
      </c>
      <c r="V2491" s="2" t="s">
        <v>15031</v>
      </c>
      <c r="W2491" s="1"/>
      <c r="X2491" s="2" t="s">
        <v>3205</v>
      </c>
      <c r="Y2491" s="2" t="s">
        <v>14810</v>
      </c>
      <c r="AA2491" t="str">
        <f t="shared" si="228"/>
        <v>2025-10</v>
      </c>
      <c r="AB2491" t="str">
        <f t="shared" si="229"/>
        <v/>
      </c>
      <c r="AC2491">
        <f t="shared" si="230"/>
        <v>509810.4</v>
      </c>
      <c r="AD2491">
        <f t="shared" si="231"/>
        <v>60</v>
      </c>
      <c r="AE2491">
        <f t="shared" si="232"/>
        <v>74810.399999999994</v>
      </c>
      <c r="AF2491" t="str">
        <f t="shared" si="233"/>
        <v>Paid</v>
      </c>
    </row>
    <row r="2492" spans="1:32" ht="17.25" thickBot="1" x14ac:dyDescent="0.35">
      <c r="A2492" s="2" t="s">
        <v>15032</v>
      </c>
      <c r="B2492" s="2" t="s">
        <v>27</v>
      </c>
      <c r="C2492" s="2" t="s">
        <v>28</v>
      </c>
      <c r="D2492" s="2" t="s">
        <v>97</v>
      </c>
      <c r="E2492" s="2" t="s">
        <v>14800</v>
      </c>
      <c r="F2492" s="2" t="s">
        <v>8445</v>
      </c>
      <c r="G2492" s="2" t="s">
        <v>32</v>
      </c>
      <c r="H2492" s="1"/>
      <c r="I2492" s="2" t="s">
        <v>33</v>
      </c>
      <c r="J2492" s="2" t="s">
        <v>34</v>
      </c>
      <c r="K2492" s="2" t="s">
        <v>10042</v>
      </c>
      <c r="L2492" s="2" t="s">
        <v>10043</v>
      </c>
      <c r="M2492" s="2" t="s">
        <v>1757</v>
      </c>
      <c r="N2492" s="2" t="s">
        <v>38</v>
      </c>
      <c r="O2492" s="2" t="s">
        <v>259</v>
      </c>
      <c r="P2492" s="2" t="s">
        <v>2031</v>
      </c>
      <c r="Q2492" s="2" t="s">
        <v>15033</v>
      </c>
      <c r="R2492" s="2" t="s">
        <v>40</v>
      </c>
      <c r="S2492" s="2" t="s">
        <v>15034</v>
      </c>
      <c r="T2492" s="2" t="s">
        <v>15035</v>
      </c>
      <c r="U2492" s="2" t="s">
        <v>15036</v>
      </c>
      <c r="V2492" s="2" t="s">
        <v>15037</v>
      </c>
      <c r="W2492" s="1"/>
      <c r="X2492" s="2" t="s">
        <v>8557</v>
      </c>
      <c r="Y2492" s="2" t="s">
        <v>14810</v>
      </c>
      <c r="AA2492" t="str">
        <f t="shared" si="228"/>
        <v>2025-10</v>
      </c>
      <c r="AB2492" t="str">
        <f t="shared" si="229"/>
        <v/>
      </c>
      <c r="AC2492">
        <f t="shared" si="230"/>
        <v>232067.35</v>
      </c>
      <c r="AD2492">
        <f t="shared" si="231"/>
        <v>33</v>
      </c>
      <c r="AE2492">
        <f t="shared" si="232"/>
        <v>98846.35</v>
      </c>
      <c r="AF2492" t="str">
        <f t="shared" si="233"/>
        <v>Paid</v>
      </c>
    </row>
    <row r="2493" spans="1:32" ht="17.25" thickBot="1" x14ac:dyDescent="0.35">
      <c r="A2493" s="2" t="s">
        <v>15038</v>
      </c>
      <c r="B2493" s="2" t="s">
        <v>27</v>
      </c>
      <c r="C2493" s="2" t="s">
        <v>28</v>
      </c>
      <c r="D2493" s="2" t="s">
        <v>97</v>
      </c>
      <c r="E2493" s="2" t="s">
        <v>14800</v>
      </c>
      <c r="F2493" s="2" t="s">
        <v>8445</v>
      </c>
      <c r="G2493" s="2" t="s">
        <v>32</v>
      </c>
      <c r="H2493" s="1"/>
      <c r="I2493" s="2" t="s">
        <v>33</v>
      </c>
      <c r="J2493" s="2" t="s">
        <v>34</v>
      </c>
      <c r="K2493" s="2" t="s">
        <v>15039</v>
      </c>
      <c r="L2493" s="2" t="s">
        <v>15040</v>
      </c>
      <c r="M2493" s="2" t="s">
        <v>1757</v>
      </c>
      <c r="N2493" s="2" t="s">
        <v>38</v>
      </c>
      <c r="O2493" s="2" t="s">
        <v>877</v>
      </c>
      <c r="P2493" s="2" t="s">
        <v>3084</v>
      </c>
      <c r="Q2493" s="2" t="s">
        <v>15041</v>
      </c>
      <c r="R2493" s="2" t="s">
        <v>40</v>
      </c>
      <c r="S2493" s="2" t="s">
        <v>15042</v>
      </c>
      <c r="T2493" s="2" t="s">
        <v>8172</v>
      </c>
      <c r="U2493" s="2" t="s">
        <v>15043</v>
      </c>
      <c r="V2493" s="2" t="s">
        <v>15044</v>
      </c>
      <c r="W2493" s="1"/>
      <c r="X2493" s="2" t="s">
        <v>7228</v>
      </c>
      <c r="Y2493" s="2" t="s">
        <v>14810</v>
      </c>
      <c r="AA2493" t="str">
        <f t="shared" si="228"/>
        <v>2025-10</v>
      </c>
      <c r="AB2493" t="str">
        <f t="shared" si="229"/>
        <v/>
      </c>
      <c r="AC2493">
        <f t="shared" si="230"/>
        <v>719813.6</v>
      </c>
      <c r="AD2493">
        <f t="shared" si="231"/>
        <v>100</v>
      </c>
      <c r="AE2493">
        <f t="shared" si="232"/>
        <v>210713.60000000001</v>
      </c>
      <c r="AF2493" t="str">
        <f t="shared" si="233"/>
        <v>Paid</v>
      </c>
    </row>
    <row r="2494" spans="1:32" ht="17.25" thickBot="1" x14ac:dyDescent="0.35">
      <c r="A2494" s="2" t="s">
        <v>15045</v>
      </c>
      <c r="B2494" s="2" t="s">
        <v>27</v>
      </c>
      <c r="C2494" s="2" t="s">
        <v>28</v>
      </c>
      <c r="D2494" s="2" t="s">
        <v>97</v>
      </c>
      <c r="E2494" s="2" t="s">
        <v>14800</v>
      </c>
      <c r="F2494" s="2" t="s">
        <v>8445</v>
      </c>
      <c r="G2494" s="2" t="s">
        <v>32</v>
      </c>
      <c r="H2494" s="1"/>
      <c r="I2494" s="2" t="s">
        <v>33</v>
      </c>
      <c r="J2494" s="2" t="s">
        <v>34</v>
      </c>
      <c r="K2494" s="2" t="s">
        <v>3207</v>
      </c>
      <c r="L2494" s="2" t="s">
        <v>3208</v>
      </c>
      <c r="M2494" s="2" t="s">
        <v>3209</v>
      </c>
      <c r="N2494" s="2" t="s">
        <v>38</v>
      </c>
      <c r="O2494" s="2" t="s">
        <v>391</v>
      </c>
      <c r="P2494" s="2" t="s">
        <v>10600</v>
      </c>
      <c r="Q2494" s="2" t="s">
        <v>14561</v>
      </c>
      <c r="R2494" s="2" t="s">
        <v>40</v>
      </c>
      <c r="S2494" s="2" t="s">
        <v>15046</v>
      </c>
      <c r="T2494" s="2" t="s">
        <v>3213</v>
      </c>
      <c r="U2494" s="2" t="s">
        <v>3214</v>
      </c>
      <c r="V2494" s="2" t="s">
        <v>15047</v>
      </c>
      <c r="W2494" s="1"/>
      <c r="X2494" s="2" t="s">
        <v>1100</v>
      </c>
      <c r="Y2494" s="2" t="s">
        <v>14810</v>
      </c>
      <c r="AA2494" t="str">
        <f t="shared" si="228"/>
        <v>2025-10</v>
      </c>
      <c r="AB2494" t="str">
        <f t="shared" si="229"/>
        <v/>
      </c>
      <c r="AC2494">
        <f t="shared" si="230"/>
        <v>374689.92</v>
      </c>
      <c r="AD2494">
        <f t="shared" si="231"/>
        <v>60</v>
      </c>
      <c r="AE2494">
        <f t="shared" si="232"/>
        <v>62689.919999999998</v>
      </c>
      <c r="AF2494" t="str">
        <f t="shared" si="233"/>
        <v>Paid</v>
      </c>
    </row>
    <row r="2495" spans="1:32" ht="17.25" thickBot="1" x14ac:dyDescent="0.35">
      <c r="A2495" s="2" t="s">
        <v>15048</v>
      </c>
      <c r="B2495" s="2" t="s">
        <v>27</v>
      </c>
      <c r="C2495" s="2" t="s">
        <v>28</v>
      </c>
      <c r="D2495" s="2" t="s">
        <v>97</v>
      </c>
      <c r="E2495" s="2" t="s">
        <v>14800</v>
      </c>
      <c r="F2495" s="2" t="s">
        <v>8445</v>
      </c>
      <c r="G2495" s="2" t="s">
        <v>32</v>
      </c>
      <c r="H2495" s="1"/>
      <c r="I2495" s="2" t="s">
        <v>33</v>
      </c>
      <c r="J2495" s="2" t="s">
        <v>34</v>
      </c>
      <c r="K2495" s="2" t="s">
        <v>3225</v>
      </c>
      <c r="L2495" s="2" t="s">
        <v>3226</v>
      </c>
      <c r="M2495" s="2" t="s">
        <v>3227</v>
      </c>
      <c r="N2495" s="2" t="s">
        <v>38</v>
      </c>
      <c r="O2495" s="2" t="s">
        <v>156</v>
      </c>
      <c r="P2495" s="2" t="s">
        <v>5351</v>
      </c>
      <c r="Q2495" s="2" t="s">
        <v>14249</v>
      </c>
      <c r="R2495" s="2" t="s">
        <v>40</v>
      </c>
      <c r="S2495" s="2" t="s">
        <v>14250</v>
      </c>
      <c r="T2495" s="2" t="s">
        <v>3213</v>
      </c>
      <c r="U2495" s="2" t="s">
        <v>3244</v>
      </c>
      <c r="V2495" s="2" t="s">
        <v>14251</v>
      </c>
      <c r="W2495" s="1"/>
      <c r="X2495" s="2" t="s">
        <v>8198</v>
      </c>
      <c r="Y2495" s="2" t="s">
        <v>14810</v>
      </c>
      <c r="AA2495" t="str">
        <f t="shared" si="228"/>
        <v>2025-10</v>
      </c>
      <c r="AB2495" t="str">
        <f t="shared" si="229"/>
        <v/>
      </c>
      <c r="AC2495">
        <f t="shared" si="230"/>
        <v>140923.20000000001</v>
      </c>
      <c r="AD2495">
        <f t="shared" si="231"/>
        <v>20</v>
      </c>
      <c r="AE2495">
        <f t="shared" si="232"/>
        <v>36923.199999999997</v>
      </c>
      <c r="AF2495" t="str">
        <f t="shared" si="233"/>
        <v>Paid</v>
      </c>
    </row>
    <row r="2496" spans="1:32" ht="17.25" thickBot="1" x14ac:dyDescent="0.35">
      <c r="A2496" s="2" t="s">
        <v>15049</v>
      </c>
      <c r="B2496" s="2" t="s">
        <v>27</v>
      </c>
      <c r="C2496" s="2" t="s">
        <v>28</v>
      </c>
      <c r="D2496" s="2" t="s">
        <v>97</v>
      </c>
      <c r="E2496" s="2" t="s">
        <v>14800</v>
      </c>
      <c r="F2496" s="2" t="s">
        <v>8445</v>
      </c>
      <c r="G2496" s="2" t="s">
        <v>32</v>
      </c>
      <c r="H2496" s="1"/>
      <c r="I2496" s="2" t="s">
        <v>33</v>
      </c>
      <c r="J2496" s="2" t="s">
        <v>34</v>
      </c>
      <c r="K2496" s="2" t="s">
        <v>3233</v>
      </c>
      <c r="L2496" s="2" t="s">
        <v>3234</v>
      </c>
      <c r="M2496" s="2" t="s">
        <v>3227</v>
      </c>
      <c r="N2496" s="2" t="s">
        <v>38</v>
      </c>
      <c r="O2496" s="2" t="s">
        <v>156</v>
      </c>
      <c r="P2496" s="2" t="s">
        <v>5351</v>
      </c>
      <c r="Q2496" s="2" t="s">
        <v>14249</v>
      </c>
      <c r="R2496" s="2" t="s">
        <v>40</v>
      </c>
      <c r="S2496" s="2" t="s">
        <v>14250</v>
      </c>
      <c r="T2496" s="2" t="s">
        <v>3213</v>
      </c>
      <c r="U2496" s="2" t="s">
        <v>3244</v>
      </c>
      <c r="V2496" s="2" t="s">
        <v>14251</v>
      </c>
      <c r="W2496" s="1"/>
      <c r="X2496" s="2" t="s">
        <v>8198</v>
      </c>
      <c r="Y2496" s="2" t="s">
        <v>14810</v>
      </c>
      <c r="AA2496" t="str">
        <f t="shared" si="228"/>
        <v>2025-10</v>
      </c>
      <c r="AB2496" t="str">
        <f t="shared" si="229"/>
        <v/>
      </c>
      <c r="AC2496">
        <f t="shared" si="230"/>
        <v>140923.20000000001</v>
      </c>
      <c r="AD2496">
        <f t="shared" si="231"/>
        <v>20</v>
      </c>
      <c r="AE2496">
        <f t="shared" si="232"/>
        <v>36923.199999999997</v>
      </c>
      <c r="AF2496" t="str">
        <f t="shared" si="233"/>
        <v>Paid</v>
      </c>
    </row>
    <row r="2497" spans="1:32" ht="17.25" thickBot="1" x14ac:dyDescent="0.35">
      <c r="A2497" s="2" t="s">
        <v>15050</v>
      </c>
      <c r="B2497" s="2" t="s">
        <v>27</v>
      </c>
      <c r="C2497" s="2" t="s">
        <v>28</v>
      </c>
      <c r="D2497" s="2" t="s">
        <v>97</v>
      </c>
      <c r="E2497" s="2" t="s">
        <v>14800</v>
      </c>
      <c r="F2497" s="2" t="s">
        <v>8445</v>
      </c>
      <c r="G2497" s="2" t="s">
        <v>32</v>
      </c>
      <c r="H2497" s="1"/>
      <c r="I2497" s="2" t="s">
        <v>33</v>
      </c>
      <c r="J2497" s="2" t="s">
        <v>34</v>
      </c>
      <c r="K2497" s="2" t="s">
        <v>8191</v>
      </c>
      <c r="L2497" s="2" t="s">
        <v>8192</v>
      </c>
      <c r="M2497" s="2" t="s">
        <v>3227</v>
      </c>
      <c r="N2497" s="2" t="s">
        <v>38</v>
      </c>
      <c r="O2497" s="2" t="s">
        <v>156</v>
      </c>
      <c r="P2497" s="2" t="s">
        <v>756</v>
      </c>
      <c r="Q2497" s="2" t="s">
        <v>14254</v>
      </c>
      <c r="R2497" s="2" t="s">
        <v>40</v>
      </c>
      <c r="S2497" s="2" t="s">
        <v>14255</v>
      </c>
      <c r="T2497" s="2" t="s">
        <v>8195</v>
      </c>
      <c r="U2497" s="2" t="s">
        <v>14256</v>
      </c>
      <c r="V2497" s="2" t="s">
        <v>14257</v>
      </c>
      <c r="W2497" s="1"/>
      <c r="X2497" s="2" t="s">
        <v>1073</v>
      </c>
      <c r="Y2497" s="2" t="s">
        <v>14810</v>
      </c>
      <c r="AA2497" t="str">
        <f t="shared" si="228"/>
        <v>2025-10</v>
      </c>
      <c r="AB2497" t="str">
        <f t="shared" si="229"/>
        <v/>
      </c>
      <c r="AC2497">
        <f t="shared" si="230"/>
        <v>168831.52</v>
      </c>
      <c r="AD2497">
        <f t="shared" si="231"/>
        <v>20</v>
      </c>
      <c r="AE2497">
        <f t="shared" si="232"/>
        <v>44031.519999999997</v>
      </c>
      <c r="AF2497" t="str">
        <f t="shared" si="233"/>
        <v>Paid</v>
      </c>
    </row>
    <row r="2498" spans="1:32" ht="17.25" thickBot="1" x14ac:dyDescent="0.35">
      <c r="A2498" s="2" t="s">
        <v>15051</v>
      </c>
      <c r="B2498" s="2" t="s">
        <v>27</v>
      </c>
      <c r="C2498" s="2" t="s">
        <v>28</v>
      </c>
      <c r="D2498" s="2" t="s">
        <v>97</v>
      </c>
      <c r="E2498" s="2" t="s">
        <v>14800</v>
      </c>
      <c r="F2498" s="2" t="s">
        <v>8445</v>
      </c>
      <c r="G2498" s="2" t="s">
        <v>32</v>
      </c>
      <c r="H2498" s="1"/>
      <c r="I2498" s="2" t="s">
        <v>33</v>
      </c>
      <c r="J2498" s="2" t="s">
        <v>34</v>
      </c>
      <c r="K2498" s="2" t="s">
        <v>15052</v>
      </c>
      <c r="L2498" s="2" t="s">
        <v>15053</v>
      </c>
      <c r="M2498" s="2" t="s">
        <v>4179</v>
      </c>
      <c r="N2498" s="2" t="s">
        <v>38</v>
      </c>
      <c r="O2498" s="2" t="s">
        <v>206</v>
      </c>
      <c r="P2498" s="2" t="s">
        <v>15054</v>
      </c>
      <c r="Q2498" s="2" t="s">
        <v>15055</v>
      </c>
      <c r="R2498" s="2" t="s">
        <v>40</v>
      </c>
      <c r="S2498" s="2" t="s">
        <v>15056</v>
      </c>
      <c r="T2498" s="2" t="s">
        <v>297</v>
      </c>
      <c r="U2498" s="2" t="s">
        <v>15057</v>
      </c>
      <c r="V2498" s="2" t="s">
        <v>15058</v>
      </c>
      <c r="W2498" s="1"/>
      <c r="X2498" s="2" t="s">
        <v>2660</v>
      </c>
      <c r="Y2498" s="2" t="s">
        <v>15059</v>
      </c>
      <c r="AA2498" t="str">
        <f t="shared" si="228"/>
        <v>2025-10</v>
      </c>
      <c r="AB2498" t="str">
        <f t="shared" si="229"/>
        <v/>
      </c>
      <c r="AC2498">
        <f t="shared" si="230"/>
        <v>6797472</v>
      </c>
      <c r="AD2498">
        <f t="shared" si="231"/>
        <v>500</v>
      </c>
      <c r="AE2498">
        <f t="shared" si="232"/>
        <v>2797472</v>
      </c>
      <c r="AF2498" t="str">
        <f t="shared" si="233"/>
        <v>Paid</v>
      </c>
    </row>
    <row r="2499" spans="1:32" ht="17.25" thickBot="1" x14ac:dyDescent="0.35">
      <c r="A2499" s="2" t="s">
        <v>15060</v>
      </c>
      <c r="B2499" s="2" t="s">
        <v>27</v>
      </c>
      <c r="C2499" s="2" t="s">
        <v>28</v>
      </c>
      <c r="D2499" s="2" t="s">
        <v>97</v>
      </c>
      <c r="E2499" s="2" t="s">
        <v>14800</v>
      </c>
      <c r="F2499" s="2" t="s">
        <v>8445</v>
      </c>
      <c r="G2499" s="2" t="s">
        <v>32</v>
      </c>
      <c r="H2499" s="1"/>
      <c r="I2499" s="2" t="s">
        <v>33</v>
      </c>
      <c r="J2499" s="2" t="s">
        <v>34</v>
      </c>
      <c r="K2499" s="2" t="s">
        <v>11440</v>
      </c>
      <c r="L2499" s="2" t="s">
        <v>11441</v>
      </c>
      <c r="M2499" s="2" t="s">
        <v>634</v>
      </c>
      <c r="N2499" s="2" t="s">
        <v>38</v>
      </c>
      <c r="O2499" s="2" t="s">
        <v>15061</v>
      </c>
      <c r="P2499" s="2" t="s">
        <v>850</v>
      </c>
      <c r="Q2499" s="2" t="s">
        <v>15062</v>
      </c>
      <c r="R2499" s="2" t="s">
        <v>40</v>
      </c>
      <c r="S2499" s="2" t="s">
        <v>15063</v>
      </c>
      <c r="T2499" s="2" t="s">
        <v>669</v>
      </c>
      <c r="U2499" s="2" t="s">
        <v>15064</v>
      </c>
      <c r="V2499" s="2" t="s">
        <v>15065</v>
      </c>
      <c r="W2499" s="1"/>
      <c r="X2499" s="2" t="s">
        <v>2843</v>
      </c>
      <c r="Y2499" s="2" t="s">
        <v>15059</v>
      </c>
      <c r="AA2499" t="str">
        <f t="shared" si="228"/>
        <v>2025-10</v>
      </c>
      <c r="AB2499" t="str">
        <f t="shared" si="229"/>
        <v/>
      </c>
      <c r="AC2499">
        <f t="shared" si="230"/>
        <v>47620298</v>
      </c>
      <c r="AD2499">
        <f t="shared" si="231"/>
        <v>4250</v>
      </c>
      <c r="AE2499">
        <f t="shared" si="232"/>
        <v>22120298</v>
      </c>
      <c r="AF2499" t="str">
        <f t="shared" si="233"/>
        <v>Paid</v>
      </c>
    </row>
    <row r="2500" spans="1:32" ht="27.75" thickBot="1" x14ac:dyDescent="0.35">
      <c r="A2500" s="2" t="s">
        <v>15066</v>
      </c>
      <c r="B2500" s="2" t="s">
        <v>27</v>
      </c>
      <c r="C2500" s="2" t="s">
        <v>28</v>
      </c>
      <c r="D2500" s="2" t="s">
        <v>97</v>
      </c>
      <c r="E2500" s="2" t="s">
        <v>14800</v>
      </c>
      <c r="F2500" s="2" t="s">
        <v>8445</v>
      </c>
      <c r="G2500" s="2" t="s">
        <v>32</v>
      </c>
      <c r="H2500" s="1"/>
      <c r="I2500" s="2" t="s">
        <v>33</v>
      </c>
      <c r="J2500" s="2" t="s">
        <v>34</v>
      </c>
      <c r="K2500" s="2" t="s">
        <v>2751</v>
      </c>
      <c r="L2500" s="2" t="s">
        <v>2752</v>
      </c>
      <c r="M2500" s="2" t="s">
        <v>70</v>
      </c>
      <c r="N2500" s="2" t="s">
        <v>38</v>
      </c>
      <c r="O2500" s="2" t="s">
        <v>779</v>
      </c>
      <c r="P2500" s="2" t="s">
        <v>5351</v>
      </c>
      <c r="Q2500" s="2" t="s">
        <v>10440</v>
      </c>
      <c r="R2500" s="2" t="s">
        <v>40</v>
      </c>
      <c r="S2500" s="2" t="s">
        <v>15067</v>
      </c>
      <c r="T2500" s="2" t="s">
        <v>2755</v>
      </c>
      <c r="U2500" s="2" t="s">
        <v>15068</v>
      </c>
      <c r="V2500" s="2" t="s">
        <v>15069</v>
      </c>
      <c r="W2500" s="1"/>
      <c r="X2500" s="2" t="s">
        <v>2278</v>
      </c>
      <c r="Y2500" s="2" t="s">
        <v>15059</v>
      </c>
      <c r="AA2500" t="str">
        <f t="shared" ref="AA2500:AA2563" si="234">LEFT(E2500,7)</f>
        <v>2025-10</v>
      </c>
      <c r="AB2500" t="str">
        <f t="shared" ref="AB2500:AB2563" si="235">IF(AND($AA2500&gt;="2025-01",$AA2500&lt;="2025-06"),"H1_2025",IF(AND($AA2500&gt;="2026-01",$AA2500&lt;="2026-06"),"H1_2026",""))</f>
        <v/>
      </c>
      <c r="AC2500">
        <f t="shared" ref="AC2500:AC2563" si="236">IFERROR(VALUE(SUBSTITUTE(S2500,",","")),0)</f>
        <v>634154.4</v>
      </c>
      <c r="AD2500">
        <f t="shared" ref="AD2500:AD2563" si="237">IFERROR(VALUE(SUBSTITUTE(O2500,",","")),0)</f>
        <v>90</v>
      </c>
      <c r="AE2500">
        <f t="shared" ref="AE2500:AE2563" si="238">IFERROR(VALUE(SUBSTITUTE(V2500,",","")),0)</f>
        <v>121154.4</v>
      </c>
      <c r="AF2500" t="str">
        <f t="shared" ref="AF2500:AF2563" si="239">IF(ISNUMBER(SEARCH("FOC",W2500)),"FOC",IF(ISNUMBER(SEARCH("샘플",W2500)),"Sample","Paid"))</f>
        <v>Paid</v>
      </c>
    </row>
    <row r="2501" spans="1:32" ht="27.75" thickBot="1" x14ac:dyDescent="0.35">
      <c r="A2501" s="2" t="s">
        <v>15070</v>
      </c>
      <c r="B2501" s="2" t="s">
        <v>27</v>
      </c>
      <c r="C2501" s="2" t="s">
        <v>28</v>
      </c>
      <c r="D2501" s="2" t="s">
        <v>97</v>
      </c>
      <c r="E2501" s="2" t="s">
        <v>14800</v>
      </c>
      <c r="F2501" s="2" t="s">
        <v>8445</v>
      </c>
      <c r="G2501" s="2" t="s">
        <v>32</v>
      </c>
      <c r="H2501" s="1"/>
      <c r="I2501" s="2" t="s">
        <v>33</v>
      </c>
      <c r="J2501" s="2" t="s">
        <v>34</v>
      </c>
      <c r="K2501" s="2" t="s">
        <v>2766</v>
      </c>
      <c r="L2501" s="2" t="s">
        <v>2767</v>
      </c>
      <c r="M2501" s="2" t="s">
        <v>70</v>
      </c>
      <c r="N2501" s="2" t="s">
        <v>38</v>
      </c>
      <c r="O2501" s="2" t="s">
        <v>391</v>
      </c>
      <c r="P2501" s="2" t="s">
        <v>5351</v>
      </c>
      <c r="Q2501" s="2" t="s">
        <v>15071</v>
      </c>
      <c r="R2501" s="2" t="s">
        <v>40</v>
      </c>
      <c r="S2501" s="2" t="s">
        <v>15072</v>
      </c>
      <c r="T2501" s="2" t="s">
        <v>2755</v>
      </c>
      <c r="U2501" s="2" t="s">
        <v>3547</v>
      </c>
      <c r="V2501" s="2" t="s">
        <v>15073</v>
      </c>
      <c r="W2501" s="1"/>
      <c r="X2501" s="2" t="s">
        <v>2278</v>
      </c>
      <c r="Y2501" s="2" t="s">
        <v>15059</v>
      </c>
      <c r="AA2501" t="str">
        <f t="shared" si="234"/>
        <v>2025-10</v>
      </c>
      <c r="AB2501" t="str">
        <f t="shared" si="235"/>
        <v/>
      </c>
      <c r="AC2501">
        <f t="shared" si="236"/>
        <v>422769.6</v>
      </c>
      <c r="AD2501">
        <f t="shared" si="237"/>
        <v>60</v>
      </c>
      <c r="AE2501">
        <f t="shared" si="238"/>
        <v>80769.600000000006</v>
      </c>
      <c r="AF2501" t="str">
        <f t="shared" si="239"/>
        <v>Paid</v>
      </c>
    </row>
    <row r="2502" spans="1:32" ht="27.75" thickBot="1" x14ac:dyDescent="0.35">
      <c r="A2502" s="2" t="s">
        <v>15074</v>
      </c>
      <c r="B2502" s="2" t="s">
        <v>27</v>
      </c>
      <c r="C2502" s="2" t="s">
        <v>28</v>
      </c>
      <c r="D2502" s="2" t="s">
        <v>97</v>
      </c>
      <c r="E2502" s="2" t="s">
        <v>14800</v>
      </c>
      <c r="F2502" s="2" t="s">
        <v>8445</v>
      </c>
      <c r="G2502" s="2" t="s">
        <v>32</v>
      </c>
      <c r="H2502" s="1"/>
      <c r="I2502" s="2" t="s">
        <v>33</v>
      </c>
      <c r="J2502" s="2" t="s">
        <v>34</v>
      </c>
      <c r="K2502" s="2" t="s">
        <v>11525</v>
      </c>
      <c r="L2502" s="2" t="s">
        <v>11526</v>
      </c>
      <c r="M2502" s="2" t="s">
        <v>70</v>
      </c>
      <c r="N2502" s="2" t="s">
        <v>38</v>
      </c>
      <c r="O2502" s="2" t="s">
        <v>131</v>
      </c>
      <c r="P2502" s="2" t="s">
        <v>5351</v>
      </c>
      <c r="Q2502" s="2" t="s">
        <v>4504</v>
      </c>
      <c r="R2502" s="2" t="s">
        <v>40</v>
      </c>
      <c r="S2502" s="2" t="s">
        <v>15075</v>
      </c>
      <c r="T2502" s="2" t="s">
        <v>2755</v>
      </c>
      <c r="U2502" s="2" t="s">
        <v>6832</v>
      </c>
      <c r="V2502" s="2" t="s">
        <v>15076</v>
      </c>
      <c r="W2502" s="1"/>
      <c r="X2502" s="2" t="s">
        <v>2278</v>
      </c>
      <c r="Y2502" s="2" t="s">
        <v>15059</v>
      </c>
      <c r="AA2502" t="str">
        <f t="shared" si="234"/>
        <v>2025-10</v>
      </c>
      <c r="AB2502" t="str">
        <f t="shared" si="235"/>
        <v/>
      </c>
      <c r="AC2502">
        <f t="shared" si="236"/>
        <v>281846.40000000002</v>
      </c>
      <c r="AD2502">
        <f t="shared" si="237"/>
        <v>40</v>
      </c>
      <c r="AE2502">
        <f t="shared" si="238"/>
        <v>53846.400000000001</v>
      </c>
      <c r="AF2502" t="str">
        <f t="shared" si="239"/>
        <v>Paid</v>
      </c>
    </row>
    <row r="2503" spans="1:32" ht="17.25" thickBot="1" x14ac:dyDescent="0.35">
      <c r="A2503" s="2" t="s">
        <v>15077</v>
      </c>
      <c r="B2503" s="2" t="s">
        <v>27</v>
      </c>
      <c r="C2503" s="2" t="s">
        <v>28</v>
      </c>
      <c r="D2503" s="2" t="s">
        <v>97</v>
      </c>
      <c r="E2503" s="2" t="s">
        <v>14800</v>
      </c>
      <c r="F2503" s="2" t="s">
        <v>8445</v>
      </c>
      <c r="G2503" s="2" t="s">
        <v>32</v>
      </c>
      <c r="H2503" s="1"/>
      <c r="I2503" s="2" t="s">
        <v>33</v>
      </c>
      <c r="J2503" s="2" t="s">
        <v>34</v>
      </c>
      <c r="K2503" s="2" t="s">
        <v>13644</v>
      </c>
      <c r="L2503" s="2" t="s">
        <v>13645</v>
      </c>
      <c r="M2503" s="2" t="s">
        <v>70</v>
      </c>
      <c r="N2503" s="2" t="s">
        <v>38</v>
      </c>
      <c r="O2503" s="2" t="s">
        <v>214</v>
      </c>
      <c r="P2503" s="2" t="s">
        <v>8857</v>
      </c>
      <c r="Q2503" s="2" t="s">
        <v>15078</v>
      </c>
      <c r="R2503" s="2" t="s">
        <v>40</v>
      </c>
      <c r="S2503" s="2" t="s">
        <v>15079</v>
      </c>
      <c r="T2503" s="2" t="s">
        <v>13648</v>
      </c>
      <c r="U2503" s="2" t="s">
        <v>15080</v>
      </c>
      <c r="V2503" s="2" t="s">
        <v>15081</v>
      </c>
      <c r="W2503" s="1"/>
      <c r="X2503" s="2" t="s">
        <v>6032</v>
      </c>
      <c r="Y2503" s="2" t="s">
        <v>15059</v>
      </c>
      <c r="AA2503" t="str">
        <f t="shared" si="234"/>
        <v>2025-10</v>
      </c>
      <c r="AB2503" t="str">
        <f t="shared" si="235"/>
        <v/>
      </c>
      <c r="AC2503">
        <f t="shared" si="236"/>
        <v>250069.6</v>
      </c>
      <c r="AD2503">
        <f t="shared" si="237"/>
        <v>50</v>
      </c>
      <c r="AE2503">
        <f t="shared" si="238"/>
        <v>40969.599999999999</v>
      </c>
      <c r="AF2503" t="str">
        <f t="shared" si="239"/>
        <v>Paid</v>
      </c>
    </row>
    <row r="2504" spans="1:32" ht="27.75" thickBot="1" x14ac:dyDescent="0.35">
      <c r="A2504" s="2" t="s">
        <v>15082</v>
      </c>
      <c r="B2504" s="2" t="s">
        <v>27</v>
      </c>
      <c r="C2504" s="2" t="s">
        <v>28</v>
      </c>
      <c r="D2504" s="2" t="s">
        <v>97</v>
      </c>
      <c r="E2504" s="2" t="s">
        <v>14800</v>
      </c>
      <c r="F2504" s="2" t="s">
        <v>8445</v>
      </c>
      <c r="G2504" s="2" t="s">
        <v>32</v>
      </c>
      <c r="H2504" s="1"/>
      <c r="I2504" s="2" t="s">
        <v>33</v>
      </c>
      <c r="J2504" s="2" t="s">
        <v>34</v>
      </c>
      <c r="K2504" s="2" t="s">
        <v>2799</v>
      </c>
      <c r="L2504" s="2" t="s">
        <v>2800</v>
      </c>
      <c r="M2504" s="2" t="s">
        <v>70</v>
      </c>
      <c r="N2504" s="2" t="s">
        <v>38</v>
      </c>
      <c r="O2504" s="2" t="s">
        <v>159</v>
      </c>
      <c r="P2504" s="2" t="s">
        <v>2015</v>
      </c>
      <c r="Q2504" s="2" t="s">
        <v>15083</v>
      </c>
      <c r="R2504" s="2" t="s">
        <v>40</v>
      </c>
      <c r="S2504" s="2" t="s">
        <v>15084</v>
      </c>
      <c r="T2504" s="2" t="s">
        <v>12895</v>
      </c>
      <c r="U2504" s="2" t="s">
        <v>15085</v>
      </c>
      <c r="V2504" s="2" t="s">
        <v>15086</v>
      </c>
      <c r="W2504" s="1"/>
      <c r="X2504" s="2" t="s">
        <v>13101</v>
      </c>
      <c r="Y2504" s="2" t="s">
        <v>15059</v>
      </c>
      <c r="AA2504" t="str">
        <f t="shared" si="234"/>
        <v>2025-10</v>
      </c>
      <c r="AB2504" t="str">
        <f t="shared" si="235"/>
        <v/>
      </c>
      <c r="AC2504">
        <f t="shared" si="236"/>
        <v>561482.23999999999</v>
      </c>
      <c r="AD2504">
        <f t="shared" si="237"/>
        <v>80</v>
      </c>
      <c r="AE2504">
        <f t="shared" si="238"/>
        <v>168682.23999999999</v>
      </c>
      <c r="AF2504" t="str">
        <f t="shared" si="239"/>
        <v>Paid</v>
      </c>
    </row>
    <row r="2505" spans="1:32" ht="27.75" thickBot="1" x14ac:dyDescent="0.35">
      <c r="A2505" s="2" t="s">
        <v>15087</v>
      </c>
      <c r="B2505" s="2" t="s">
        <v>27</v>
      </c>
      <c r="C2505" s="2" t="s">
        <v>28</v>
      </c>
      <c r="D2505" s="2" t="s">
        <v>97</v>
      </c>
      <c r="E2505" s="2" t="s">
        <v>14800</v>
      </c>
      <c r="F2505" s="2" t="s">
        <v>8445</v>
      </c>
      <c r="G2505" s="2" t="s">
        <v>32</v>
      </c>
      <c r="H2505" s="1"/>
      <c r="I2505" s="2" t="s">
        <v>33</v>
      </c>
      <c r="J2505" s="2" t="s">
        <v>34</v>
      </c>
      <c r="K2505" s="2" t="s">
        <v>13684</v>
      </c>
      <c r="L2505" s="2" t="s">
        <v>13685</v>
      </c>
      <c r="M2505" s="2" t="s">
        <v>70</v>
      </c>
      <c r="N2505" s="2" t="s">
        <v>38</v>
      </c>
      <c r="O2505" s="2" t="s">
        <v>391</v>
      </c>
      <c r="P2505" s="2" t="s">
        <v>13686</v>
      </c>
      <c r="Q2505" s="2" t="s">
        <v>15088</v>
      </c>
      <c r="R2505" s="2" t="s">
        <v>40</v>
      </c>
      <c r="S2505" s="2" t="s">
        <v>15089</v>
      </c>
      <c r="T2505" s="2" t="s">
        <v>13688</v>
      </c>
      <c r="U2505" s="2" t="s">
        <v>15090</v>
      </c>
      <c r="V2505" s="2" t="s">
        <v>15091</v>
      </c>
      <c r="W2505" s="1"/>
      <c r="X2505" s="2" t="s">
        <v>5030</v>
      </c>
      <c r="Y2505" s="2" t="s">
        <v>15059</v>
      </c>
      <c r="AA2505" t="str">
        <f t="shared" si="234"/>
        <v>2025-10</v>
      </c>
      <c r="AB2505" t="str">
        <f t="shared" si="235"/>
        <v/>
      </c>
      <c r="AC2505">
        <f t="shared" si="236"/>
        <v>917658.72</v>
      </c>
      <c r="AD2505">
        <f t="shared" si="237"/>
        <v>60</v>
      </c>
      <c r="AE2505">
        <f t="shared" si="238"/>
        <v>175818.72</v>
      </c>
      <c r="AF2505" t="str">
        <f t="shared" si="239"/>
        <v>Paid</v>
      </c>
    </row>
    <row r="2506" spans="1:32" ht="17.25" thickBot="1" x14ac:dyDescent="0.35">
      <c r="A2506" s="2" t="s">
        <v>15092</v>
      </c>
      <c r="B2506" s="2" t="s">
        <v>27</v>
      </c>
      <c r="C2506" s="2" t="s">
        <v>28</v>
      </c>
      <c r="D2506" s="2" t="s">
        <v>97</v>
      </c>
      <c r="E2506" s="2" t="s">
        <v>14800</v>
      </c>
      <c r="F2506" s="2" t="s">
        <v>8445</v>
      </c>
      <c r="G2506" s="2" t="s">
        <v>32</v>
      </c>
      <c r="H2506" s="1"/>
      <c r="I2506" s="2" t="s">
        <v>33</v>
      </c>
      <c r="J2506" s="2" t="s">
        <v>34</v>
      </c>
      <c r="K2506" s="2" t="s">
        <v>2873</v>
      </c>
      <c r="L2506" s="2" t="s">
        <v>2874</v>
      </c>
      <c r="M2506" s="2" t="s">
        <v>70</v>
      </c>
      <c r="N2506" s="2" t="s">
        <v>38</v>
      </c>
      <c r="O2506" s="2" t="s">
        <v>141</v>
      </c>
      <c r="P2506" s="2" t="s">
        <v>1068</v>
      </c>
      <c r="Q2506" s="2" t="s">
        <v>15093</v>
      </c>
      <c r="R2506" s="2" t="s">
        <v>40</v>
      </c>
      <c r="S2506" s="2" t="s">
        <v>15094</v>
      </c>
      <c r="T2506" s="2" t="s">
        <v>13105</v>
      </c>
      <c r="U2506" s="2" t="s">
        <v>15095</v>
      </c>
      <c r="V2506" s="2" t="s">
        <v>15096</v>
      </c>
      <c r="W2506" s="1"/>
      <c r="X2506" s="2" t="s">
        <v>2863</v>
      </c>
      <c r="Y2506" s="2" t="s">
        <v>15059</v>
      </c>
      <c r="AA2506" t="str">
        <f t="shared" si="234"/>
        <v>2025-10</v>
      </c>
      <c r="AB2506" t="str">
        <f t="shared" si="235"/>
        <v/>
      </c>
      <c r="AC2506">
        <f t="shared" si="236"/>
        <v>285576.71999999997</v>
      </c>
      <c r="AD2506">
        <f t="shared" si="237"/>
        <v>30</v>
      </c>
      <c r="AE2506">
        <f t="shared" si="238"/>
        <v>87006.720000000001</v>
      </c>
      <c r="AF2506" t="str">
        <f t="shared" si="239"/>
        <v>Paid</v>
      </c>
    </row>
    <row r="2507" spans="1:32" ht="27.75" thickBot="1" x14ac:dyDescent="0.35">
      <c r="A2507" s="2" t="s">
        <v>15097</v>
      </c>
      <c r="B2507" s="2" t="s">
        <v>27</v>
      </c>
      <c r="C2507" s="2" t="s">
        <v>28</v>
      </c>
      <c r="D2507" s="2" t="s">
        <v>97</v>
      </c>
      <c r="E2507" s="2" t="s">
        <v>14800</v>
      </c>
      <c r="F2507" s="2" t="s">
        <v>8445</v>
      </c>
      <c r="G2507" s="2" t="s">
        <v>32</v>
      </c>
      <c r="H2507" s="1"/>
      <c r="I2507" s="2" t="s">
        <v>33</v>
      </c>
      <c r="J2507" s="2" t="s">
        <v>34</v>
      </c>
      <c r="K2507" s="2" t="s">
        <v>2904</v>
      </c>
      <c r="L2507" s="2" t="s">
        <v>2905</v>
      </c>
      <c r="M2507" s="2" t="s">
        <v>70</v>
      </c>
      <c r="N2507" s="2" t="s">
        <v>38</v>
      </c>
      <c r="O2507" s="2" t="s">
        <v>466</v>
      </c>
      <c r="P2507" s="2" t="s">
        <v>4630</v>
      </c>
      <c r="Q2507" s="2" t="s">
        <v>15098</v>
      </c>
      <c r="R2507" s="2" t="s">
        <v>40</v>
      </c>
      <c r="S2507" s="2" t="s">
        <v>15099</v>
      </c>
      <c r="T2507" s="2" t="s">
        <v>2909</v>
      </c>
      <c r="U2507" s="2" t="s">
        <v>4661</v>
      </c>
      <c r="V2507" s="2" t="s">
        <v>15100</v>
      </c>
      <c r="W2507" s="1"/>
      <c r="X2507" s="2" t="s">
        <v>2912</v>
      </c>
      <c r="Y2507" s="2" t="s">
        <v>15059</v>
      </c>
      <c r="AA2507" t="str">
        <f t="shared" si="234"/>
        <v>2025-10</v>
      </c>
      <c r="AB2507" t="str">
        <f t="shared" si="235"/>
        <v/>
      </c>
      <c r="AC2507">
        <f t="shared" si="236"/>
        <v>616055.43999999994</v>
      </c>
      <c r="AD2507">
        <f t="shared" si="237"/>
        <v>70</v>
      </c>
      <c r="AE2507">
        <f t="shared" si="238"/>
        <v>182055.44</v>
      </c>
      <c r="AF2507" t="str">
        <f t="shared" si="239"/>
        <v>Paid</v>
      </c>
    </row>
    <row r="2508" spans="1:32" ht="17.25" thickBot="1" x14ac:dyDescent="0.35">
      <c r="A2508" s="2" t="s">
        <v>15101</v>
      </c>
      <c r="B2508" s="2" t="s">
        <v>27</v>
      </c>
      <c r="C2508" s="2" t="s">
        <v>28</v>
      </c>
      <c r="D2508" s="2" t="s">
        <v>97</v>
      </c>
      <c r="E2508" s="2" t="s">
        <v>14800</v>
      </c>
      <c r="F2508" s="2" t="s">
        <v>8445</v>
      </c>
      <c r="G2508" s="2" t="s">
        <v>32</v>
      </c>
      <c r="H2508" s="1"/>
      <c r="I2508" s="2" t="s">
        <v>33</v>
      </c>
      <c r="J2508" s="2" t="s">
        <v>34</v>
      </c>
      <c r="K2508" s="2" t="s">
        <v>9594</v>
      </c>
      <c r="L2508" s="2" t="s">
        <v>9595</v>
      </c>
      <c r="M2508" s="2" t="s">
        <v>70</v>
      </c>
      <c r="N2508" s="2" t="s">
        <v>38</v>
      </c>
      <c r="O2508" s="2" t="s">
        <v>234</v>
      </c>
      <c r="P2508" s="2" t="s">
        <v>13839</v>
      </c>
      <c r="Q2508" s="2" t="s">
        <v>15102</v>
      </c>
      <c r="R2508" s="2" t="s">
        <v>40</v>
      </c>
      <c r="S2508" s="2" t="s">
        <v>15103</v>
      </c>
      <c r="T2508" s="2" t="s">
        <v>2919</v>
      </c>
      <c r="U2508" s="2" t="s">
        <v>15104</v>
      </c>
      <c r="V2508" s="2" t="s">
        <v>15105</v>
      </c>
      <c r="W2508" s="1"/>
      <c r="X2508" s="2" t="s">
        <v>2894</v>
      </c>
      <c r="Y2508" s="2" t="s">
        <v>15059</v>
      </c>
      <c r="AA2508" t="str">
        <f t="shared" si="234"/>
        <v>2025-10</v>
      </c>
      <c r="AB2508" t="str">
        <f t="shared" si="235"/>
        <v/>
      </c>
      <c r="AC2508">
        <f t="shared" si="236"/>
        <v>243603.71</v>
      </c>
      <c r="AD2508">
        <f t="shared" si="237"/>
        <v>29</v>
      </c>
      <c r="AE2508">
        <f t="shared" si="238"/>
        <v>73808.710000000006</v>
      </c>
      <c r="AF2508" t="str">
        <f t="shared" si="239"/>
        <v>Paid</v>
      </c>
    </row>
    <row r="2509" spans="1:32" ht="17.25" thickBot="1" x14ac:dyDescent="0.35">
      <c r="A2509" s="2" t="s">
        <v>15106</v>
      </c>
      <c r="B2509" s="2" t="s">
        <v>27</v>
      </c>
      <c r="C2509" s="2" t="s">
        <v>28</v>
      </c>
      <c r="D2509" s="2" t="s">
        <v>97</v>
      </c>
      <c r="E2509" s="2" t="s">
        <v>14800</v>
      </c>
      <c r="F2509" s="2" t="s">
        <v>8445</v>
      </c>
      <c r="G2509" s="2" t="s">
        <v>32</v>
      </c>
      <c r="H2509" s="1"/>
      <c r="I2509" s="2" t="s">
        <v>33</v>
      </c>
      <c r="J2509" s="2" t="s">
        <v>34</v>
      </c>
      <c r="K2509" s="2" t="s">
        <v>11591</v>
      </c>
      <c r="L2509" s="2" t="s">
        <v>11592</v>
      </c>
      <c r="M2509" s="2" t="s">
        <v>70</v>
      </c>
      <c r="N2509" s="2" t="s">
        <v>38</v>
      </c>
      <c r="O2509" s="2" t="s">
        <v>877</v>
      </c>
      <c r="P2509" s="2" t="s">
        <v>327</v>
      </c>
      <c r="Q2509" s="2" t="s">
        <v>15107</v>
      </c>
      <c r="R2509" s="2" t="s">
        <v>40</v>
      </c>
      <c r="S2509" s="2" t="s">
        <v>15108</v>
      </c>
      <c r="T2509" s="2" t="s">
        <v>2919</v>
      </c>
      <c r="U2509" s="2" t="s">
        <v>15109</v>
      </c>
      <c r="V2509" s="2" t="s">
        <v>15110</v>
      </c>
      <c r="W2509" s="1"/>
      <c r="X2509" s="2" t="s">
        <v>15111</v>
      </c>
      <c r="Y2509" s="2" t="s">
        <v>15059</v>
      </c>
      <c r="AA2509" t="str">
        <f t="shared" si="234"/>
        <v>2025-10</v>
      </c>
      <c r="AB2509" t="str">
        <f t="shared" si="235"/>
        <v/>
      </c>
      <c r="AC2509">
        <f t="shared" si="236"/>
        <v>1175741.6000000001</v>
      </c>
      <c r="AD2509">
        <f t="shared" si="237"/>
        <v>100</v>
      </c>
      <c r="AE2509">
        <f t="shared" si="238"/>
        <v>590241.6</v>
      </c>
      <c r="AF2509" t="str">
        <f t="shared" si="239"/>
        <v>Paid</v>
      </c>
    </row>
    <row r="2510" spans="1:32" ht="17.25" thickBot="1" x14ac:dyDescent="0.35">
      <c r="A2510" s="2" t="s">
        <v>15112</v>
      </c>
      <c r="B2510" s="2" t="s">
        <v>27</v>
      </c>
      <c r="C2510" s="2" t="s">
        <v>28</v>
      </c>
      <c r="D2510" s="2" t="s">
        <v>97</v>
      </c>
      <c r="E2510" s="2" t="s">
        <v>14800</v>
      </c>
      <c r="F2510" s="2" t="s">
        <v>8445</v>
      </c>
      <c r="G2510" s="2" t="s">
        <v>32</v>
      </c>
      <c r="H2510" s="1"/>
      <c r="I2510" s="2" t="s">
        <v>33</v>
      </c>
      <c r="J2510" s="2" t="s">
        <v>34</v>
      </c>
      <c r="K2510" s="2" t="s">
        <v>907</v>
      </c>
      <c r="L2510" s="2" t="s">
        <v>908</v>
      </c>
      <c r="M2510" s="2" t="s">
        <v>772</v>
      </c>
      <c r="N2510" s="2" t="s">
        <v>38</v>
      </c>
      <c r="O2510" s="2" t="s">
        <v>466</v>
      </c>
      <c r="P2510" s="2" t="s">
        <v>811</v>
      </c>
      <c r="Q2510" s="2" t="s">
        <v>14585</v>
      </c>
      <c r="R2510" s="2" t="s">
        <v>40</v>
      </c>
      <c r="S2510" s="2" t="s">
        <v>15113</v>
      </c>
      <c r="T2510" s="2" t="s">
        <v>913</v>
      </c>
      <c r="U2510" s="2" t="s">
        <v>15114</v>
      </c>
      <c r="V2510" s="2" t="s">
        <v>15115</v>
      </c>
      <c r="W2510" s="1"/>
      <c r="X2510" s="2" t="s">
        <v>7648</v>
      </c>
      <c r="Y2510" s="2" t="s">
        <v>15059</v>
      </c>
      <c r="AA2510" t="str">
        <f t="shared" si="234"/>
        <v>2025-10</v>
      </c>
      <c r="AB2510" t="str">
        <f t="shared" si="235"/>
        <v/>
      </c>
      <c r="AC2510">
        <f t="shared" si="236"/>
        <v>893618.88</v>
      </c>
      <c r="AD2510">
        <f t="shared" si="237"/>
        <v>70</v>
      </c>
      <c r="AE2510">
        <f t="shared" si="238"/>
        <v>146018.88</v>
      </c>
      <c r="AF2510" t="str">
        <f t="shared" si="239"/>
        <v>Paid</v>
      </c>
    </row>
    <row r="2511" spans="1:32" ht="17.25" thickBot="1" x14ac:dyDescent="0.35">
      <c r="A2511" s="2" t="s">
        <v>15116</v>
      </c>
      <c r="B2511" s="2" t="s">
        <v>27</v>
      </c>
      <c r="C2511" s="2" t="s">
        <v>28</v>
      </c>
      <c r="D2511" s="2" t="s">
        <v>97</v>
      </c>
      <c r="E2511" s="2" t="s">
        <v>14800</v>
      </c>
      <c r="F2511" s="2" t="s">
        <v>8445</v>
      </c>
      <c r="G2511" s="2" t="s">
        <v>32</v>
      </c>
      <c r="H2511" s="1"/>
      <c r="I2511" s="2" t="s">
        <v>33</v>
      </c>
      <c r="J2511" s="2" t="s">
        <v>34</v>
      </c>
      <c r="K2511" s="2" t="s">
        <v>936</v>
      </c>
      <c r="L2511" s="2" t="s">
        <v>937</v>
      </c>
      <c r="M2511" s="2" t="s">
        <v>772</v>
      </c>
      <c r="N2511" s="2" t="s">
        <v>38</v>
      </c>
      <c r="O2511" s="2" t="s">
        <v>831</v>
      </c>
      <c r="P2511" s="2" t="s">
        <v>6747</v>
      </c>
      <c r="Q2511" s="2" t="s">
        <v>15117</v>
      </c>
      <c r="R2511" s="2" t="s">
        <v>40</v>
      </c>
      <c r="S2511" s="2" t="s">
        <v>15118</v>
      </c>
      <c r="T2511" s="2" t="s">
        <v>942</v>
      </c>
      <c r="U2511" s="2" t="s">
        <v>7112</v>
      </c>
      <c r="V2511" s="2" t="s">
        <v>15119</v>
      </c>
      <c r="W2511" s="1"/>
      <c r="X2511" s="2" t="s">
        <v>3583</v>
      </c>
      <c r="Y2511" s="2" t="s">
        <v>15059</v>
      </c>
      <c r="AA2511" t="str">
        <f t="shared" si="234"/>
        <v>2025-10</v>
      </c>
      <c r="AB2511" t="str">
        <f t="shared" si="235"/>
        <v/>
      </c>
      <c r="AC2511">
        <f t="shared" si="236"/>
        <v>12254792</v>
      </c>
      <c r="AD2511">
        <f t="shared" si="237"/>
        <v>1000</v>
      </c>
      <c r="AE2511">
        <f t="shared" si="238"/>
        <v>2425792</v>
      </c>
      <c r="AF2511" t="str">
        <f t="shared" si="239"/>
        <v>Paid</v>
      </c>
    </row>
    <row r="2512" spans="1:32" ht="17.25" thickBot="1" x14ac:dyDescent="0.35">
      <c r="A2512" s="2" t="s">
        <v>15120</v>
      </c>
      <c r="B2512" s="2" t="s">
        <v>27</v>
      </c>
      <c r="C2512" s="2" t="s">
        <v>28</v>
      </c>
      <c r="D2512" s="2" t="s">
        <v>97</v>
      </c>
      <c r="E2512" s="2" t="s">
        <v>14800</v>
      </c>
      <c r="F2512" s="2" t="s">
        <v>8445</v>
      </c>
      <c r="G2512" s="2" t="s">
        <v>32</v>
      </c>
      <c r="H2512" s="1"/>
      <c r="I2512" s="2" t="s">
        <v>33</v>
      </c>
      <c r="J2512" s="2" t="s">
        <v>34</v>
      </c>
      <c r="K2512" s="2" t="s">
        <v>12129</v>
      </c>
      <c r="L2512" s="2" t="s">
        <v>12130</v>
      </c>
      <c r="M2512" s="2" t="s">
        <v>772</v>
      </c>
      <c r="N2512" s="2" t="s">
        <v>38</v>
      </c>
      <c r="O2512" s="2" t="s">
        <v>849</v>
      </c>
      <c r="P2512" s="2" t="s">
        <v>9040</v>
      </c>
      <c r="Q2512" s="2" t="s">
        <v>15121</v>
      </c>
      <c r="R2512" s="2" t="s">
        <v>40</v>
      </c>
      <c r="S2512" s="2" t="s">
        <v>15122</v>
      </c>
      <c r="T2512" s="2" t="s">
        <v>12132</v>
      </c>
      <c r="U2512" s="2" t="s">
        <v>15123</v>
      </c>
      <c r="V2512" s="2" t="s">
        <v>15124</v>
      </c>
      <c r="W2512" s="1"/>
      <c r="X2512" s="2" t="s">
        <v>2618</v>
      </c>
      <c r="Y2512" s="2" t="s">
        <v>15059</v>
      </c>
      <c r="AA2512" t="str">
        <f t="shared" si="234"/>
        <v>2025-10</v>
      </c>
      <c r="AB2512" t="str">
        <f t="shared" si="235"/>
        <v/>
      </c>
      <c r="AC2512">
        <f t="shared" si="236"/>
        <v>2418352.64</v>
      </c>
      <c r="AD2512">
        <f t="shared" si="237"/>
        <v>160</v>
      </c>
      <c r="AE2512">
        <f t="shared" si="238"/>
        <v>426352.64000000001</v>
      </c>
      <c r="AF2512" t="str">
        <f t="shared" si="239"/>
        <v>Paid</v>
      </c>
    </row>
    <row r="2513" spans="1:32" ht="17.25" thickBot="1" x14ac:dyDescent="0.35">
      <c r="A2513" s="2" t="s">
        <v>15125</v>
      </c>
      <c r="B2513" s="2" t="s">
        <v>27</v>
      </c>
      <c r="C2513" s="2" t="s">
        <v>28</v>
      </c>
      <c r="D2513" s="2" t="s">
        <v>97</v>
      </c>
      <c r="E2513" s="2" t="s">
        <v>14800</v>
      </c>
      <c r="F2513" s="2" t="s">
        <v>8445</v>
      </c>
      <c r="G2513" s="2" t="s">
        <v>32</v>
      </c>
      <c r="H2513" s="1"/>
      <c r="I2513" s="2" t="s">
        <v>33</v>
      </c>
      <c r="J2513" s="2" t="s">
        <v>34</v>
      </c>
      <c r="K2513" s="2" t="s">
        <v>978</v>
      </c>
      <c r="L2513" s="2" t="s">
        <v>979</v>
      </c>
      <c r="M2513" s="2" t="s">
        <v>772</v>
      </c>
      <c r="N2513" s="2" t="s">
        <v>38</v>
      </c>
      <c r="O2513" s="2" t="s">
        <v>665</v>
      </c>
      <c r="P2513" s="2" t="s">
        <v>1838</v>
      </c>
      <c r="Q2513" s="2" t="s">
        <v>15126</v>
      </c>
      <c r="R2513" s="2" t="s">
        <v>40</v>
      </c>
      <c r="S2513" s="2" t="s">
        <v>15127</v>
      </c>
      <c r="T2513" s="2" t="s">
        <v>983</v>
      </c>
      <c r="U2513" s="2" t="s">
        <v>15128</v>
      </c>
      <c r="V2513" s="2" t="s">
        <v>15129</v>
      </c>
      <c r="W2513" s="1"/>
      <c r="X2513" s="2" t="s">
        <v>838</v>
      </c>
      <c r="Y2513" s="2" t="s">
        <v>15059</v>
      </c>
      <c r="AA2513" t="str">
        <f t="shared" si="234"/>
        <v>2025-10</v>
      </c>
      <c r="AB2513" t="str">
        <f t="shared" si="235"/>
        <v/>
      </c>
      <c r="AC2513">
        <f t="shared" si="236"/>
        <v>2828826</v>
      </c>
      <c r="AD2513">
        <f t="shared" si="237"/>
        <v>210</v>
      </c>
      <c r="AE2513">
        <f t="shared" si="238"/>
        <v>592326</v>
      </c>
      <c r="AF2513" t="str">
        <f t="shared" si="239"/>
        <v>Paid</v>
      </c>
    </row>
    <row r="2514" spans="1:32" ht="17.25" thickBot="1" x14ac:dyDescent="0.35">
      <c r="A2514" s="2" t="s">
        <v>15130</v>
      </c>
      <c r="B2514" s="2" t="s">
        <v>27</v>
      </c>
      <c r="C2514" s="2" t="s">
        <v>28</v>
      </c>
      <c r="D2514" s="2" t="s">
        <v>97</v>
      </c>
      <c r="E2514" s="2" t="s">
        <v>14800</v>
      </c>
      <c r="F2514" s="2" t="s">
        <v>8445</v>
      </c>
      <c r="G2514" s="2" t="s">
        <v>32</v>
      </c>
      <c r="H2514" s="1"/>
      <c r="I2514" s="2" t="s">
        <v>33</v>
      </c>
      <c r="J2514" s="2" t="s">
        <v>34</v>
      </c>
      <c r="K2514" s="2" t="s">
        <v>1386</v>
      </c>
      <c r="L2514" s="2" t="s">
        <v>1387</v>
      </c>
      <c r="M2514" s="2" t="s">
        <v>84</v>
      </c>
      <c r="N2514" s="2" t="s">
        <v>38</v>
      </c>
      <c r="O2514" s="2" t="s">
        <v>156</v>
      </c>
      <c r="P2514" s="2" t="s">
        <v>13839</v>
      </c>
      <c r="Q2514" s="2" t="s">
        <v>15131</v>
      </c>
      <c r="R2514" s="2" t="s">
        <v>40</v>
      </c>
      <c r="S2514" s="2" t="s">
        <v>15132</v>
      </c>
      <c r="T2514" s="2" t="s">
        <v>13842</v>
      </c>
      <c r="U2514" s="2" t="s">
        <v>15133</v>
      </c>
      <c r="V2514" s="2" t="s">
        <v>15134</v>
      </c>
      <c r="W2514" s="1"/>
      <c r="X2514" s="2" t="s">
        <v>10084</v>
      </c>
      <c r="Y2514" s="2" t="s">
        <v>15059</v>
      </c>
      <c r="AA2514" t="str">
        <f t="shared" si="234"/>
        <v>2025-10</v>
      </c>
      <c r="AB2514" t="str">
        <f t="shared" si="235"/>
        <v/>
      </c>
      <c r="AC2514">
        <f t="shared" si="236"/>
        <v>168002.56</v>
      </c>
      <c r="AD2514">
        <f t="shared" si="237"/>
        <v>20</v>
      </c>
      <c r="AE2514">
        <f t="shared" si="238"/>
        <v>48842.559999999998</v>
      </c>
      <c r="AF2514" t="str">
        <f t="shared" si="239"/>
        <v>Paid</v>
      </c>
    </row>
    <row r="2515" spans="1:32" ht="17.25" thickBot="1" x14ac:dyDescent="0.35">
      <c r="A2515" s="2" t="s">
        <v>15135</v>
      </c>
      <c r="B2515" s="2" t="s">
        <v>27</v>
      </c>
      <c r="C2515" s="2" t="s">
        <v>28</v>
      </c>
      <c r="D2515" s="2" t="s">
        <v>97</v>
      </c>
      <c r="E2515" s="2" t="s">
        <v>14800</v>
      </c>
      <c r="F2515" s="2" t="s">
        <v>8445</v>
      </c>
      <c r="G2515" s="2" t="s">
        <v>32</v>
      </c>
      <c r="H2515" s="1"/>
      <c r="I2515" s="2" t="s">
        <v>33</v>
      </c>
      <c r="J2515" s="2" t="s">
        <v>34</v>
      </c>
      <c r="K2515" s="2" t="s">
        <v>1386</v>
      </c>
      <c r="L2515" s="2" t="s">
        <v>1387</v>
      </c>
      <c r="M2515" s="2" t="s">
        <v>84</v>
      </c>
      <c r="N2515" s="2" t="s">
        <v>38</v>
      </c>
      <c r="O2515" s="2" t="s">
        <v>156</v>
      </c>
      <c r="P2515" s="2" t="s">
        <v>13839</v>
      </c>
      <c r="Q2515" s="2" t="s">
        <v>15131</v>
      </c>
      <c r="R2515" s="2" t="s">
        <v>40</v>
      </c>
      <c r="S2515" s="2" t="s">
        <v>15132</v>
      </c>
      <c r="T2515" s="2" t="s">
        <v>13842</v>
      </c>
      <c r="U2515" s="2" t="s">
        <v>15133</v>
      </c>
      <c r="V2515" s="2" t="s">
        <v>15134</v>
      </c>
      <c r="W2515" s="1"/>
      <c r="X2515" s="2" t="s">
        <v>10084</v>
      </c>
      <c r="Y2515" s="2" t="s">
        <v>15059</v>
      </c>
      <c r="AA2515" t="str">
        <f t="shared" si="234"/>
        <v>2025-10</v>
      </c>
      <c r="AB2515" t="str">
        <f t="shared" si="235"/>
        <v/>
      </c>
      <c r="AC2515">
        <f t="shared" si="236"/>
        <v>168002.56</v>
      </c>
      <c r="AD2515">
        <f t="shared" si="237"/>
        <v>20</v>
      </c>
      <c r="AE2515">
        <f t="shared" si="238"/>
        <v>48842.559999999998</v>
      </c>
      <c r="AF2515" t="str">
        <f t="shared" si="239"/>
        <v>Paid</v>
      </c>
    </row>
    <row r="2516" spans="1:32" ht="17.25" thickBot="1" x14ac:dyDescent="0.35">
      <c r="A2516" s="2" t="s">
        <v>15136</v>
      </c>
      <c r="B2516" s="2" t="s">
        <v>27</v>
      </c>
      <c r="C2516" s="2" t="s">
        <v>28</v>
      </c>
      <c r="D2516" s="2" t="s">
        <v>97</v>
      </c>
      <c r="E2516" s="2" t="s">
        <v>14800</v>
      </c>
      <c r="F2516" s="2" t="s">
        <v>8445</v>
      </c>
      <c r="G2516" s="2" t="s">
        <v>32</v>
      </c>
      <c r="H2516" s="1"/>
      <c r="I2516" s="2" t="s">
        <v>33</v>
      </c>
      <c r="J2516" s="2" t="s">
        <v>34</v>
      </c>
      <c r="K2516" s="2" t="s">
        <v>1403</v>
      </c>
      <c r="L2516" s="2" t="s">
        <v>1404</v>
      </c>
      <c r="M2516" s="2" t="s">
        <v>84</v>
      </c>
      <c r="N2516" s="2" t="s">
        <v>38</v>
      </c>
      <c r="O2516" s="2" t="s">
        <v>1150</v>
      </c>
      <c r="P2516" s="2" t="s">
        <v>10969</v>
      </c>
      <c r="Q2516" s="2" t="s">
        <v>15137</v>
      </c>
      <c r="R2516" s="2" t="s">
        <v>40</v>
      </c>
      <c r="S2516" s="2" t="s">
        <v>15138</v>
      </c>
      <c r="T2516" s="2" t="s">
        <v>1408</v>
      </c>
      <c r="U2516" s="2" t="s">
        <v>15139</v>
      </c>
      <c r="V2516" s="2" t="s">
        <v>15140</v>
      </c>
      <c r="W2516" s="1"/>
      <c r="X2516" s="2" t="s">
        <v>300</v>
      </c>
      <c r="Y2516" s="2" t="s">
        <v>15059</v>
      </c>
      <c r="AA2516" t="str">
        <f t="shared" si="234"/>
        <v>2025-10</v>
      </c>
      <c r="AB2516" t="str">
        <f t="shared" si="235"/>
        <v/>
      </c>
      <c r="AC2516">
        <f t="shared" si="236"/>
        <v>1663170.08</v>
      </c>
      <c r="AD2516">
        <f t="shared" si="237"/>
        <v>130</v>
      </c>
      <c r="AE2516">
        <f t="shared" si="238"/>
        <v>502270.08</v>
      </c>
      <c r="AF2516" t="str">
        <f t="shared" si="239"/>
        <v>Paid</v>
      </c>
    </row>
    <row r="2517" spans="1:32" ht="17.25" thickBot="1" x14ac:dyDescent="0.35">
      <c r="A2517" s="2" t="s">
        <v>15141</v>
      </c>
      <c r="B2517" s="2" t="s">
        <v>27</v>
      </c>
      <c r="C2517" s="2" t="s">
        <v>28</v>
      </c>
      <c r="D2517" s="2" t="s">
        <v>97</v>
      </c>
      <c r="E2517" s="2" t="s">
        <v>14800</v>
      </c>
      <c r="F2517" s="2" t="s">
        <v>8445</v>
      </c>
      <c r="G2517" s="2" t="s">
        <v>32</v>
      </c>
      <c r="H2517" s="1"/>
      <c r="I2517" s="2" t="s">
        <v>33</v>
      </c>
      <c r="J2517" s="2" t="s">
        <v>34</v>
      </c>
      <c r="K2517" s="2" t="s">
        <v>1412</v>
      </c>
      <c r="L2517" s="2" t="s">
        <v>1413</v>
      </c>
      <c r="M2517" s="2" t="s">
        <v>84</v>
      </c>
      <c r="N2517" s="2" t="s">
        <v>38</v>
      </c>
      <c r="O2517" s="2" t="s">
        <v>141</v>
      </c>
      <c r="P2517" s="2" t="s">
        <v>13851</v>
      </c>
      <c r="Q2517" s="2" t="s">
        <v>15142</v>
      </c>
      <c r="R2517" s="2" t="s">
        <v>40</v>
      </c>
      <c r="S2517" s="2" t="s">
        <v>15143</v>
      </c>
      <c r="T2517" s="2" t="s">
        <v>1417</v>
      </c>
      <c r="U2517" s="2" t="s">
        <v>11917</v>
      </c>
      <c r="V2517" s="2" t="s">
        <v>15144</v>
      </c>
      <c r="W2517" s="1"/>
      <c r="X2517" s="2" t="s">
        <v>11919</v>
      </c>
      <c r="Y2517" s="2" t="s">
        <v>15059</v>
      </c>
      <c r="AA2517" t="str">
        <f t="shared" si="234"/>
        <v>2025-10</v>
      </c>
      <c r="AB2517" t="str">
        <f t="shared" si="235"/>
        <v/>
      </c>
      <c r="AC2517">
        <f t="shared" si="236"/>
        <v>419868.24</v>
      </c>
      <c r="AD2517">
        <f t="shared" si="237"/>
        <v>30</v>
      </c>
      <c r="AE2517">
        <f t="shared" si="238"/>
        <v>214968.24</v>
      </c>
      <c r="AF2517" t="str">
        <f t="shared" si="239"/>
        <v>Paid</v>
      </c>
    </row>
    <row r="2518" spans="1:32" ht="17.25" thickBot="1" x14ac:dyDescent="0.35">
      <c r="A2518" s="2" t="s">
        <v>15145</v>
      </c>
      <c r="B2518" s="2" t="s">
        <v>27</v>
      </c>
      <c r="C2518" s="2" t="s">
        <v>28</v>
      </c>
      <c r="D2518" s="2" t="s">
        <v>97</v>
      </c>
      <c r="E2518" s="2" t="s">
        <v>14800</v>
      </c>
      <c r="F2518" s="2" t="s">
        <v>8445</v>
      </c>
      <c r="G2518" s="2" t="s">
        <v>32</v>
      </c>
      <c r="H2518" s="1"/>
      <c r="I2518" s="2" t="s">
        <v>33</v>
      </c>
      <c r="J2518" s="2" t="s">
        <v>34</v>
      </c>
      <c r="K2518" s="2" t="s">
        <v>1466</v>
      </c>
      <c r="L2518" s="2" t="s">
        <v>1467</v>
      </c>
      <c r="M2518" s="2" t="s">
        <v>84</v>
      </c>
      <c r="N2518" s="2" t="s">
        <v>38</v>
      </c>
      <c r="O2518" s="2" t="s">
        <v>131</v>
      </c>
      <c r="P2518" s="2" t="s">
        <v>4284</v>
      </c>
      <c r="Q2518" s="2" t="s">
        <v>15146</v>
      </c>
      <c r="R2518" s="2" t="s">
        <v>40</v>
      </c>
      <c r="S2518" s="2" t="s">
        <v>15147</v>
      </c>
      <c r="T2518" s="2" t="s">
        <v>1510</v>
      </c>
      <c r="U2518" s="2" t="s">
        <v>15148</v>
      </c>
      <c r="V2518" s="2" t="s">
        <v>15149</v>
      </c>
      <c r="W2518" s="1"/>
      <c r="X2518" s="2" t="s">
        <v>6142</v>
      </c>
      <c r="Y2518" s="2" t="s">
        <v>15059</v>
      </c>
      <c r="AA2518" t="str">
        <f t="shared" si="234"/>
        <v>2025-10</v>
      </c>
      <c r="AB2518" t="str">
        <f t="shared" si="235"/>
        <v/>
      </c>
      <c r="AC2518">
        <f t="shared" si="236"/>
        <v>400111.35999999999</v>
      </c>
      <c r="AD2518">
        <f t="shared" si="237"/>
        <v>40</v>
      </c>
      <c r="AE2518">
        <f t="shared" si="238"/>
        <v>154231.35999999999</v>
      </c>
      <c r="AF2518" t="str">
        <f t="shared" si="239"/>
        <v>Paid</v>
      </c>
    </row>
    <row r="2519" spans="1:32" ht="17.25" thickBot="1" x14ac:dyDescent="0.35">
      <c r="A2519" s="2" t="s">
        <v>15150</v>
      </c>
      <c r="B2519" s="2" t="s">
        <v>27</v>
      </c>
      <c r="C2519" s="2" t="s">
        <v>28</v>
      </c>
      <c r="D2519" s="2" t="s">
        <v>97</v>
      </c>
      <c r="E2519" s="2" t="s">
        <v>14800</v>
      </c>
      <c r="F2519" s="2" t="s">
        <v>8445</v>
      </c>
      <c r="G2519" s="2" t="s">
        <v>32</v>
      </c>
      <c r="H2519" s="1"/>
      <c r="I2519" s="2" t="s">
        <v>33</v>
      </c>
      <c r="J2519" s="2" t="s">
        <v>34</v>
      </c>
      <c r="K2519" s="2" t="s">
        <v>1474</v>
      </c>
      <c r="L2519" s="2" t="s">
        <v>1475</v>
      </c>
      <c r="M2519" s="2" t="s">
        <v>84</v>
      </c>
      <c r="N2519" s="2" t="s">
        <v>38</v>
      </c>
      <c r="O2519" s="2" t="s">
        <v>977</v>
      </c>
      <c r="P2519" s="2" t="s">
        <v>7296</v>
      </c>
      <c r="Q2519" s="2" t="s">
        <v>15151</v>
      </c>
      <c r="R2519" s="2" t="s">
        <v>40</v>
      </c>
      <c r="S2519" s="2" t="s">
        <v>15152</v>
      </c>
      <c r="T2519" s="2" t="s">
        <v>15153</v>
      </c>
      <c r="U2519" s="2" t="s">
        <v>15154</v>
      </c>
      <c r="V2519" s="2" t="s">
        <v>15155</v>
      </c>
      <c r="W2519" s="1"/>
      <c r="X2519" s="2" t="s">
        <v>15156</v>
      </c>
      <c r="Y2519" s="2" t="s">
        <v>15059</v>
      </c>
      <c r="AA2519" t="str">
        <f t="shared" si="234"/>
        <v>2025-10</v>
      </c>
      <c r="AB2519" t="str">
        <f t="shared" si="235"/>
        <v/>
      </c>
      <c r="AC2519">
        <f t="shared" si="236"/>
        <v>1056233.2</v>
      </c>
      <c r="AD2519">
        <f t="shared" si="237"/>
        <v>110</v>
      </c>
      <c r="AE2519">
        <f t="shared" si="238"/>
        <v>395993.2</v>
      </c>
      <c r="AF2519" t="str">
        <f t="shared" si="239"/>
        <v>Paid</v>
      </c>
    </row>
    <row r="2520" spans="1:32" ht="17.25" thickBot="1" x14ac:dyDescent="0.35">
      <c r="A2520" s="2" t="s">
        <v>15157</v>
      </c>
      <c r="B2520" s="2" t="s">
        <v>27</v>
      </c>
      <c r="C2520" s="2" t="s">
        <v>28</v>
      </c>
      <c r="D2520" s="2" t="s">
        <v>97</v>
      </c>
      <c r="E2520" s="2" t="s">
        <v>14800</v>
      </c>
      <c r="F2520" s="2" t="s">
        <v>8445</v>
      </c>
      <c r="G2520" s="2" t="s">
        <v>32</v>
      </c>
      <c r="H2520" s="1"/>
      <c r="I2520" s="2" t="s">
        <v>33</v>
      </c>
      <c r="J2520" s="2" t="s">
        <v>34</v>
      </c>
      <c r="K2520" s="2" t="s">
        <v>1482</v>
      </c>
      <c r="L2520" s="2" t="s">
        <v>1483</v>
      </c>
      <c r="M2520" s="2" t="s">
        <v>84</v>
      </c>
      <c r="N2520" s="2" t="s">
        <v>38</v>
      </c>
      <c r="O2520" s="2" t="s">
        <v>466</v>
      </c>
      <c r="P2520" s="2" t="s">
        <v>13889</v>
      </c>
      <c r="Q2520" s="2" t="s">
        <v>15158</v>
      </c>
      <c r="R2520" s="2" t="s">
        <v>40</v>
      </c>
      <c r="S2520" s="2" t="s">
        <v>15159</v>
      </c>
      <c r="T2520" s="2" t="s">
        <v>706</v>
      </c>
      <c r="U2520" s="2" t="s">
        <v>1400</v>
      </c>
      <c r="V2520" s="2" t="s">
        <v>15160</v>
      </c>
      <c r="W2520" s="1"/>
      <c r="X2520" s="2" t="s">
        <v>10084</v>
      </c>
      <c r="Y2520" s="2" t="s">
        <v>15059</v>
      </c>
      <c r="AA2520" t="str">
        <f t="shared" si="234"/>
        <v>2025-10</v>
      </c>
      <c r="AB2520" t="str">
        <f t="shared" si="235"/>
        <v/>
      </c>
      <c r="AC2520">
        <f t="shared" si="236"/>
        <v>828821.84</v>
      </c>
      <c r="AD2520">
        <f t="shared" si="237"/>
        <v>70</v>
      </c>
      <c r="AE2520">
        <f t="shared" si="238"/>
        <v>240821.84</v>
      </c>
      <c r="AF2520" t="str">
        <f t="shared" si="239"/>
        <v>Paid</v>
      </c>
    </row>
    <row r="2521" spans="1:32" ht="17.25" thickBot="1" x14ac:dyDescent="0.35">
      <c r="A2521" s="2" t="s">
        <v>15161</v>
      </c>
      <c r="B2521" s="2" t="s">
        <v>27</v>
      </c>
      <c r="C2521" s="2" t="s">
        <v>28</v>
      </c>
      <c r="D2521" s="2" t="s">
        <v>97</v>
      </c>
      <c r="E2521" s="2" t="s">
        <v>14800</v>
      </c>
      <c r="F2521" s="2" t="s">
        <v>8445</v>
      </c>
      <c r="G2521" s="2" t="s">
        <v>32</v>
      </c>
      <c r="H2521" s="1"/>
      <c r="I2521" s="2" t="s">
        <v>33</v>
      </c>
      <c r="J2521" s="2" t="s">
        <v>34</v>
      </c>
      <c r="K2521" s="2" t="s">
        <v>1496</v>
      </c>
      <c r="L2521" s="2" t="s">
        <v>1497</v>
      </c>
      <c r="M2521" s="2" t="s">
        <v>84</v>
      </c>
      <c r="N2521" s="2" t="s">
        <v>38</v>
      </c>
      <c r="O2521" s="2" t="s">
        <v>141</v>
      </c>
      <c r="P2521" s="2" t="s">
        <v>4284</v>
      </c>
      <c r="Q2521" s="2" t="s">
        <v>1612</v>
      </c>
      <c r="R2521" s="2" t="s">
        <v>40</v>
      </c>
      <c r="S2521" s="2" t="s">
        <v>15162</v>
      </c>
      <c r="T2521" s="2" t="s">
        <v>1501</v>
      </c>
      <c r="U2521" s="2" t="s">
        <v>11961</v>
      </c>
      <c r="V2521" s="2" t="s">
        <v>15163</v>
      </c>
      <c r="W2521" s="1"/>
      <c r="X2521" s="2" t="s">
        <v>9560</v>
      </c>
      <c r="Y2521" s="2" t="s">
        <v>15059</v>
      </c>
      <c r="AA2521" t="str">
        <f t="shared" si="234"/>
        <v>2025-10</v>
      </c>
      <c r="AB2521" t="str">
        <f t="shared" si="235"/>
        <v/>
      </c>
      <c r="AC2521">
        <f t="shared" si="236"/>
        <v>300083.52</v>
      </c>
      <c r="AD2521">
        <f t="shared" si="237"/>
        <v>30</v>
      </c>
      <c r="AE2521">
        <f t="shared" si="238"/>
        <v>92183.52</v>
      </c>
      <c r="AF2521" t="str">
        <f t="shared" si="239"/>
        <v>Paid</v>
      </c>
    </row>
    <row r="2522" spans="1:32" ht="17.25" thickBot="1" x14ac:dyDescent="0.35">
      <c r="A2522" s="2" t="s">
        <v>15164</v>
      </c>
      <c r="B2522" s="2" t="s">
        <v>27</v>
      </c>
      <c r="C2522" s="2" t="s">
        <v>28</v>
      </c>
      <c r="D2522" s="2" t="s">
        <v>97</v>
      </c>
      <c r="E2522" s="2" t="s">
        <v>14800</v>
      </c>
      <c r="F2522" s="2" t="s">
        <v>8445</v>
      </c>
      <c r="G2522" s="2" t="s">
        <v>32</v>
      </c>
      <c r="H2522" s="1"/>
      <c r="I2522" s="2" t="s">
        <v>33</v>
      </c>
      <c r="J2522" s="2" t="s">
        <v>34</v>
      </c>
      <c r="K2522" s="2" t="s">
        <v>1505</v>
      </c>
      <c r="L2522" s="2" t="s">
        <v>1506</v>
      </c>
      <c r="M2522" s="2" t="s">
        <v>84</v>
      </c>
      <c r="N2522" s="2" t="s">
        <v>38</v>
      </c>
      <c r="O2522" s="2" t="s">
        <v>773</v>
      </c>
      <c r="P2522" s="2" t="s">
        <v>4430</v>
      </c>
      <c r="Q2522" s="2" t="s">
        <v>15165</v>
      </c>
      <c r="R2522" s="2" t="s">
        <v>40</v>
      </c>
      <c r="S2522" s="2" t="s">
        <v>15166</v>
      </c>
      <c r="T2522" s="2" t="s">
        <v>1510</v>
      </c>
      <c r="U2522" s="2" t="s">
        <v>15167</v>
      </c>
      <c r="V2522" s="2" t="s">
        <v>15168</v>
      </c>
      <c r="W2522" s="1"/>
      <c r="X2522" s="2" t="s">
        <v>12672</v>
      </c>
      <c r="Y2522" s="2" t="s">
        <v>15059</v>
      </c>
      <c r="AA2522" t="str">
        <f t="shared" si="234"/>
        <v>2025-10</v>
      </c>
      <c r="AB2522" t="str">
        <f t="shared" si="235"/>
        <v/>
      </c>
      <c r="AC2522">
        <f t="shared" si="236"/>
        <v>1901081.6000000001</v>
      </c>
      <c r="AD2522">
        <f t="shared" si="237"/>
        <v>200</v>
      </c>
      <c r="AE2522">
        <f t="shared" si="238"/>
        <v>671681.6</v>
      </c>
      <c r="AF2522" t="str">
        <f t="shared" si="239"/>
        <v>Paid</v>
      </c>
    </row>
    <row r="2523" spans="1:32" ht="17.25" thickBot="1" x14ac:dyDescent="0.35">
      <c r="A2523" s="2" t="s">
        <v>15169</v>
      </c>
      <c r="B2523" s="2" t="s">
        <v>27</v>
      </c>
      <c r="C2523" s="2" t="s">
        <v>28</v>
      </c>
      <c r="D2523" s="2" t="s">
        <v>97</v>
      </c>
      <c r="E2523" s="2" t="s">
        <v>15170</v>
      </c>
      <c r="F2523" s="2" t="s">
        <v>8445</v>
      </c>
      <c r="G2523" s="2" t="s">
        <v>32</v>
      </c>
      <c r="H2523" s="1"/>
      <c r="I2523" s="2" t="s">
        <v>33</v>
      </c>
      <c r="J2523" s="2" t="s">
        <v>34</v>
      </c>
      <c r="K2523" s="2" t="s">
        <v>15171</v>
      </c>
      <c r="L2523" s="2" t="s">
        <v>15172</v>
      </c>
      <c r="M2523" s="2" t="s">
        <v>11227</v>
      </c>
      <c r="N2523" s="2" t="s">
        <v>38</v>
      </c>
      <c r="O2523" s="2" t="s">
        <v>66</v>
      </c>
      <c r="P2523" s="2" t="s">
        <v>10532</v>
      </c>
      <c r="Q2523" s="2" t="s">
        <v>15173</v>
      </c>
      <c r="R2523" s="2" t="s">
        <v>40</v>
      </c>
      <c r="S2523" s="2" t="s">
        <v>15174</v>
      </c>
      <c r="T2523" s="2" t="s">
        <v>40</v>
      </c>
      <c r="U2523" s="2" t="s">
        <v>40</v>
      </c>
      <c r="V2523" s="2" t="s">
        <v>15174</v>
      </c>
      <c r="W2523" s="1"/>
      <c r="X2523" s="2" t="s">
        <v>2155</v>
      </c>
      <c r="Y2523" s="2" t="s">
        <v>15175</v>
      </c>
      <c r="AA2523" t="str">
        <f t="shared" si="234"/>
        <v>2025-10</v>
      </c>
      <c r="AB2523" t="str">
        <f t="shared" si="235"/>
        <v/>
      </c>
      <c r="AC2523">
        <f t="shared" si="236"/>
        <v>123607.78</v>
      </c>
      <c r="AD2523">
        <f t="shared" si="237"/>
        <v>8</v>
      </c>
      <c r="AE2523">
        <f t="shared" si="238"/>
        <v>123607.78</v>
      </c>
      <c r="AF2523" t="str">
        <f t="shared" si="239"/>
        <v>Paid</v>
      </c>
    </row>
    <row r="2524" spans="1:32" ht="17.25" thickBot="1" x14ac:dyDescent="0.35">
      <c r="A2524" s="2" t="s">
        <v>15176</v>
      </c>
      <c r="B2524" s="2" t="s">
        <v>27</v>
      </c>
      <c r="C2524" s="2" t="s">
        <v>28</v>
      </c>
      <c r="D2524" s="2" t="s">
        <v>97</v>
      </c>
      <c r="E2524" s="2" t="s">
        <v>15170</v>
      </c>
      <c r="F2524" s="2" t="s">
        <v>8445</v>
      </c>
      <c r="G2524" s="2" t="s">
        <v>32</v>
      </c>
      <c r="H2524" s="1"/>
      <c r="I2524" s="2" t="s">
        <v>33</v>
      </c>
      <c r="J2524" s="2" t="s">
        <v>34</v>
      </c>
      <c r="K2524" s="2" t="s">
        <v>15177</v>
      </c>
      <c r="L2524" s="2" t="s">
        <v>15178</v>
      </c>
      <c r="M2524" s="2" t="s">
        <v>11227</v>
      </c>
      <c r="N2524" s="2" t="s">
        <v>38</v>
      </c>
      <c r="O2524" s="2" t="s">
        <v>779</v>
      </c>
      <c r="P2524" s="2" t="s">
        <v>15179</v>
      </c>
      <c r="Q2524" s="2" t="s">
        <v>15180</v>
      </c>
      <c r="R2524" s="2" t="s">
        <v>40</v>
      </c>
      <c r="S2524" s="2" t="s">
        <v>15181</v>
      </c>
      <c r="T2524" s="2" t="s">
        <v>15182</v>
      </c>
      <c r="U2524" s="2" t="s">
        <v>15183</v>
      </c>
      <c r="V2524" s="2" t="s">
        <v>15184</v>
      </c>
      <c r="W2524" s="1"/>
      <c r="X2524" s="2" t="s">
        <v>15185</v>
      </c>
      <c r="Y2524" s="2" t="s">
        <v>15175</v>
      </c>
      <c r="AA2524" t="str">
        <f t="shared" si="234"/>
        <v>2025-10</v>
      </c>
      <c r="AB2524" t="str">
        <f t="shared" si="235"/>
        <v/>
      </c>
      <c r="AC2524">
        <f t="shared" si="236"/>
        <v>2085881.22</v>
      </c>
      <c r="AD2524">
        <f t="shared" si="237"/>
        <v>90</v>
      </c>
      <c r="AE2524">
        <f t="shared" si="238"/>
        <v>318551.21999999997</v>
      </c>
      <c r="AF2524" t="str">
        <f t="shared" si="239"/>
        <v>Paid</v>
      </c>
    </row>
    <row r="2525" spans="1:32" ht="17.25" thickBot="1" x14ac:dyDescent="0.35">
      <c r="A2525" s="2" t="s">
        <v>15186</v>
      </c>
      <c r="B2525" s="2" t="s">
        <v>27</v>
      </c>
      <c r="C2525" s="2" t="s">
        <v>28</v>
      </c>
      <c r="D2525" s="2" t="s">
        <v>97</v>
      </c>
      <c r="E2525" s="2" t="s">
        <v>15170</v>
      </c>
      <c r="F2525" s="2" t="s">
        <v>8445</v>
      </c>
      <c r="G2525" s="2" t="s">
        <v>32</v>
      </c>
      <c r="H2525" s="1"/>
      <c r="I2525" s="2" t="s">
        <v>33</v>
      </c>
      <c r="J2525" s="2" t="s">
        <v>34</v>
      </c>
      <c r="K2525" s="2" t="s">
        <v>15187</v>
      </c>
      <c r="L2525" s="2" t="s">
        <v>15188</v>
      </c>
      <c r="M2525" s="2" t="s">
        <v>11227</v>
      </c>
      <c r="N2525" s="2" t="s">
        <v>38</v>
      </c>
      <c r="O2525" s="2" t="s">
        <v>54</v>
      </c>
      <c r="P2525" s="2" t="s">
        <v>15189</v>
      </c>
      <c r="Q2525" s="2" t="s">
        <v>15190</v>
      </c>
      <c r="R2525" s="2" t="s">
        <v>40</v>
      </c>
      <c r="S2525" s="2" t="s">
        <v>15191</v>
      </c>
      <c r="T2525" s="2" t="s">
        <v>15192</v>
      </c>
      <c r="U2525" s="2" t="s">
        <v>15193</v>
      </c>
      <c r="V2525" s="2" t="s">
        <v>15194</v>
      </c>
      <c r="W2525" s="1"/>
      <c r="X2525" s="2" t="s">
        <v>3465</v>
      </c>
      <c r="Y2525" s="2" t="s">
        <v>15175</v>
      </c>
      <c r="AA2525" t="str">
        <f t="shared" si="234"/>
        <v>2025-10</v>
      </c>
      <c r="AB2525" t="str">
        <f t="shared" si="235"/>
        <v/>
      </c>
      <c r="AC2525">
        <f t="shared" si="236"/>
        <v>119765.62</v>
      </c>
      <c r="AD2525">
        <f t="shared" si="237"/>
        <v>4</v>
      </c>
      <c r="AE2525">
        <f t="shared" si="238"/>
        <v>21581.62</v>
      </c>
      <c r="AF2525" t="str">
        <f t="shared" si="239"/>
        <v>Paid</v>
      </c>
    </row>
    <row r="2526" spans="1:32" ht="17.25" thickBot="1" x14ac:dyDescent="0.35">
      <c r="A2526" s="2" t="s">
        <v>15195</v>
      </c>
      <c r="B2526" s="2" t="s">
        <v>27</v>
      </c>
      <c r="C2526" s="2" t="s">
        <v>28</v>
      </c>
      <c r="D2526" s="2" t="s">
        <v>97</v>
      </c>
      <c r="E2526" s="2" t="s">
        <v>15170</v>
      </c>
      <c r="F2526" s="2" t="s">
        <v>8445</v>
      </c>
      <c r="G2526" s="2" t="s">
        <v>32</v>
      </c>
      <c r="H2526" s="1"/>
      <c r="I2526" s="2" t="s">
        <v>33</v>
      </c>
      <c r="J2526" s="2" t="s">
        <v>34</v>
      </c>
      <c r="K2526" s="2" t="s">
        <v>15196</v>
      </c>
      <c r="L2526" s="2" t="s">
        <v>15197</v>
      </c>
      <c r="M2526" s="2" t="s">
        <v>11227</v>
      </c>
      <c r="N2526" s="2" t="s">
        <v>38</v>
      </c>
      <c r="O2526" s="2" t="s">
        <v>51</v>
      </c>
      <c r="P2526" s="2" t="s">
        <v>15198</v>
      </c>
      <c r="Q2526" s="2" t="s">
        <v>15199</v>
      </c>
      <c r="R2526" s="2" t="s">
        <v>40</v>
      </c>
      <c r="S2526" s="2" t="s">
        <v>15200</v>
      </c>
      <c r="T2526" s="2" t="s">
        <v>15201</v>
      </c>
      <c r="U2526" s="2" t="s">
        <v>15202</v>
      </c>
      <c r="V2526" s="2" t="s">
        <v>15203</v>
      </c>
      <c r="W2526" s="1"/>
      <c r="X2526" s="2" t="s">
        <v>1100</v>
      </c>
      <c r="Y2526" s="2" t="s">
        <v>15175</v>
      </c>
      <c r="AA2526" t="str">
        <f t="shared" si="234"/>
        <v>2025-10</v>
      </c>
      <c r="AB2526" t="str">
        <f t="shared" si="235"/>
        <v/>
      </c>
      <c r="AC2526">
        <f t="shared" si="236"/>
        <v>84019.81</v>
      </c>
      <c r="AD2526">
        <f t="shared" si="237"/>
        <v>3</v>
      </c>
      <c r="AE2526">
        <f t="shared" si="238"/>
        <v>14062.81</v>
      </c>
      <c r="AF2526" t="str">
        <f t="shared" si="239"/>
        <v>Paid</v>
      </c>
    </row>
    <row r="2527" spans="1:32" ht="17.25" thickBot="1" x14ac:dyDescent="0.35">
      <c r="A2527" s="2" t="s">
        <v>15204</v>
      </c>
      <c r="B2527" s="2" t="s">
        <v>27</v>
      </c>
      <c r="C2527" s="2" t="s">
        <v>28</v>
      </c>
      <c r="D2527" s="2" t="s">
        <v>97</v>
      </c>
      <c r="E2527" s="2" t="s">
        <v>15170</v>
      </c>
      <c r="F2527" s="2" t="s">
        <v>8445</v>
      </c>
      <c r="G2527" s="2" t="s">
        <v>32</v>
      </c>
      <c r="H2527" s="1"/>
      <c r="I2527" s="2" t="s">
        <v>33</v>
      </c>
      <c r="J2527" s="2" t="s">
        <v>34</v>
      </c>
      <c r="K2527" s="2" t="s">
        <v>15205</v>
      </c>
      <c r="L2527" s="2" t="s">
        <v>15206</v>
      </c>
      <c r="M2527" s="2" t="s">
        <v>6146</v>
      </c>
      <c r="N2527" s="2" t="s">
        <v>38</v>
      </c>
      <c r="O2527" s="2" t="s">
        <v>1158</v>
      </c>
      <c r="P2527" s="2" t="s">
        <v>402</v>
      </c>
      <c r="Q2527" s="2" t="s">
        <v>15207</v>
      </c>
      <c r="R2527" s="2" t="s">
        <v>40</v>
      </c>
      <c r="S2527" s="2" t="s">
        <v>15208</v>
      </c>
      <c r="T2527" s="2" t="s">
        <v>13567</v>
      </c>
      <c r="U2527" s="2" t="s">
        <v>13568</v>
      </c>
      <c r="V2527" s="2" t="s">
        <v>15209</v>
      </c>
      <c r="W2527" s="1"/>
      <c r="X2527" s="2" t="s">
        <v>8198</v>
      </c>
      <c r="Y2527" s="2" t="s">
        <v>15175</v>
      </c>
      <c r="AA2527" t="str">
        <f t="shared" si="234"/>
        <v>2025-10</v>
      </c>
      <c r="AB2527" t="str">
        <f t="shared" si="235"/>
        <v/>
      </c>
      <c r="AC2527">
        <f t="shared" si="236"/>
        <v>2218024.08</v>
      </c>
      <c r="AD2527">
        <f t="shared" si="237"/>
        <v>180</v>
      </c>
      <c r="AE2527">
        <f t="shared" si="238"/>
        <v>581644.07999999996</v>
      </c>
      <c r="AF2527" t="str">
        <f t="shared" si="239"/>
        <v>Paid</v>
      </c>
    </row>
    <row r="2528" spans="1:32" ht="17.25" thickBot="1" x14ac:dyDescent="0.35">
      <c r="A2528" s="2" t="s">
        <v>15210</v>
      </c>
      <c r="B2528" s="2" t="s">
        <v>27</v>
      </c>
      <c r="C2528" s="2" t="s">
        <v>28</v>
      </c>
      <c r="D2528" s="2" t="s">
        <v>97</v>
      </c>
      <c r="E2528" s="2" t="s">
        <v>15170</v>
      </c>
      <c r="F2528" s="2" t="s">
        <v>8445</v>
      </c>
      <c r="G2528" s="2" t="s">
        <v>32</v>
      </c>
      <c r="H2528" s="1"/>
      <c r="I2528" s="2" t="s">
        <v>33</v>
      </c>
      <c r="J2528" s="2" t="s">
        <v>34</v>
      </c>
      <c r="K2528" s="2" t="s">
        <v>15211</v>
      </c>
      <c r="L2528" s="2" t="s">
        <v>15212</v>
      </c>
      <c r="M2528" s="2" t="s">
        <v>6146</v>
      </c>
      <c r="N2528" s="2" t="s">
        <v>38</v>
      </c>
      <c r="O2528" s="2" t="s">
        <v>998</v>
      </c>
      <c r="P2528" s="2" t="s">
        <v>10025</v>
      </c>
      <c r="Q2528" s="2" t="s">
        <v>15213</v>
      </c>
      <c r="R2528" s="2" t="s">
        <v>40</v>
      </c>
      <c r="S2528" s="2" t="s">
        <v>15214</v>
      </c>
      <c r="T2528" s="2" t="s">
        <v>15215</v>
      </c>
      <c r="U2528" s="2" t="s">
        <v>15216</v>
      </c>
      <c r="V2528" s="2" t="s">
        <v>15217</v>
      </c>
      <c r="W2528" s="1"/>
      <c r="X2528" s="2" t="s">
        <v>1006</v>
      </c>
      <c r="Y2528" s="2" t="s">
        <v>15175</v>
      </c>
      <c r="AA2528" t="str">
        <f t="shared" si="234"/>
        <v>2025-10</v>
      </c>
      <c r="AB2528" t="str">
        <f t="shared" si="235"/>
        <v/>
      </c>
      <c r="AC2528">
        <f t="shared" si="236"/>
        <v>1261765.3400000001</v>
      </c>
      <c r="AD2528">
        <f t="shared" si="237"/>
        <v>112</v>
      </c>
      <c r="AE2528">
        <f t="shared" si="238"/>
        <v>324997.34000000003</v>
      </c>
      <c r="AF2528" t="str">
        <f t="shared" si="239"/>
        <v>Paid</v>
      </c>
    </row>
    <row r="2529" spans="1:32" ht="17.25" thickBot="1" x14ac:dyDescent="0.35">
      <c r="A2529" s="2" t="s">
        <v>15218</v>
      </c>
      <c r="B2529" s="2" t="s">
        <v>27</v>
      </c>
      <c r="C2529" s="2" t="s">
        <v>28</v>
      </c>
      <c r="D2529" s="2" t="s">
        <v>97</v>
      </c>
      <c r="E2529" s="2" t="s">
        <v>15170</v>
      </c>
      <c r="F2529" s="2" t="s">
        <v>8445</v>
      </c>
      <c r="G2529" s="2" t="s">
        <v>32</v>
      </c>
      <c r="H2529" s="1"/>
      <c r="I2529" s="2" t="s">
        <v>33</v>
      </c>
      <c r="J2529" s="2" t="s">
        <v>34</v>
      </c>
      <c r="K2529" s="2" t="s">
        <v>6272</v>
      </c>
      <c r="L2529" s="2" t="s">
        <v>6273</v>
      </c>
      <c r="M2529" s="2" t="s">
        <v>6146</v>
      </c>
      <c r="N2529" s="2" t="s">
        <v>38</v>
      </c>
      <c r="O2529" s="2" t="s">
        <v>391</v>
      </c>
      <c r="P2529" s="2" t="s">
        <v>7680</v>
      </c>
      <c r="Q2529" s="2" t="s">
        <v>11839</v>
      </c>
      <c r="R2529" s="2" t="s">
        <v>40</v>
      </c>
      <c r="S2529" s="2" t="s">
        <v>15219</v>
      </c>
      <c r="T2529" s="2" t="s">
        <v>15220</v>
      </c>
      <c r="U2529" s="2" t="s">
        <v>15221</v>
      </c>
      <c r="V2529" s="2" t="s">
        <v>15222</v>
      </c>
      <c r="W2529" s="1"/>
      <c r="X2529" s="2" t="s">
        <v>6978</v>
      </c>
      <c r="Y2529" s="2" t="s">
        <v>15175</v>
      </c>
      <c r="AA2529" t="str">
        <f t="shared" si="234"/>
        <v>2025-10</v>
      </c>
      <c r="AB2529" t="str">
        <f t="shared" si="235"/>
        <v/>
      </c>
      <c r="AC2529">
        <f t="shared" si="236"/>
        <v>540921.24</v>
      </c>
      <c r="AD2529">
        <f t="shared" si="237"/>
        <v>60</v>
      </c>
      <c r="AE2529">
        <f t="shared" si="238"/>
        <v>142701.24</v>
      </c>
      <c r="AF2529" t="str">
        <f t="shared" si="239"/>
        <v>Paid</v>
      </c>
    </row>
    <row r="2530" spans="1:32" ht="17.25" thickBot="1" x14ac:dyDescent="0.35">
      <c r="A2530" s="2" t="s">
        <v>15223</v>
      </c>
      <c r="B2530" s="2" t="s">
        <v>27</v>
      </c>
      <c r="C2530" s="2" t="s">
        <v>28</v>
      </c>
      <c r="D2530" s="2" t="s">
        <v>97</v>
      </c>
      <c r="E2530" s="2" t="s">
        <v>15170</v>
      </c>
      <c r="F2530" s="2" t="s">
        <v>8445</v>
      </c>
      <c r="G2530" s="2" t="s">
        <v>32</v>
      </c>
      <c r="H2530" s="1"/>
      <c r="I2530" s="2" t="s">
        <v>33</v>
      </c>
      <c r="J2530" s="2" t="s">
        <v>34</v>
      </c>
      <c r="K2530" s="2" t="s">
        <v>15224</v>
      </c>
      <c r="L2530" s="2" t="s">
        <v>15225</v>
      </c>
      <c r="M2530" s="2" t="s">
        <v>1807</v>
      </c>
      <c r="N2530" s="2" t="s">
        <v>38</v>
      </c>
      <c r="O2530" s="2" t="s">
        <v>26</v>
      </c>
      <c r="P2530" s="2" t="s">
        <v>1596</v>
      </c>
      <c r="Q2530" s="2" t="s">
        <v>1596</v>
      </c>
      <c r="R2530" s="2" t="s">
        <v>40</v>
      </c>
      <c r="S2530" s="2" t="s">
        <v>15226</v>
      </c>
      <c r="T2530" s="2" t="s">
        <v>14020</v>
      </c>
      <c r="U2530" s="2" t="s">
        <v>14020</v>
      </c>
      <c r="V2530" s="2" t="s">
        <v>15227</v>
      </c>
      <c r="W2530" s="1"/>
      <c r="X2530" s="2" t="s">
        <v>15228</v>
      </c>
      <c r="Y2530" s="2" t="s">
        <v>15175</v>
      </c>
      <c r="AA2530" t="str">
        <f t="shared" si="234"/>
        <v>2025-10</v>
      </c>
      <c r="AB2530" t="str">
        <f t="shared" si="235"/>
        <v/>
      </c>
      <c r="AC2530">
        <f t="shared" si="236"/>
        <v>5214.3599999999997</v>
      </c>
      <c r="AD2530">
        <f t="shared" si="237"/>
        <v>1</v>
      </c>
      <c r="AE2530">
        <f t="shared" si="238"/>
        <v>504.36</v>
      </c>
      <c r="AF2530" t="str">
        <f t="shared" si="239"/>
        <v>Paid</v>
      </c>
    </row>
    <row r="2531" spans="1:32" ht="17.25" thickBot="1" x14ac:dyDescent="0.35">
      <c r="A2531" s="2" t="s">
        <v>15229</v>
      </c>
      <c r="B2531" s="2" t="s">
        <v>27</v>
      </c>
      <c r="C2531" s="2" t="s">
        <v>28</v>
      </c>
      <c r="D2531" s="2" t="s">
        <v>97</v>
      </c>
      <c r="E2531" s="2" t="s">
        <v>15170</v>
      </c>
      <c r="F2531" s="2" t="s">
        <v>8445</v>
      </c>
      <c r="G2531" s="2" t="s">
        <v>32</v>
      </c>
      <c r="H2531" s="1"/>
      <c r="I2531" s="2" t="s">
        <v>33</v>
      </c>
      <c r="J2531" s="2" t="s">
        <v>34</v>
      </c>
      <c r="K2531" s="2" t="s">
        <v>15230</v>
      </c>
      <c r="L2531" s="2" t="s">
        <v>15231</v>
      </c>
      <c r="M2531" s="2" t="s">
        <v>15232</v>
      </c>
      <c r="N2531" s="2" t="s">
        <v>38</v>
      </c>
      <c r="O2531" s="2" t="s">
        <v>435</v>
      </c>
      <c r="P2531" s="2" t="s">
        <v>4075</v>
      </c>
      <c r="Q2531" s="2" t="s">
        <v>15233</v>
      </c>
      <c r="R2531" s="2" t="s">
        <v>40</v>
      </c>
      <c r="S2531" s="2" t="s">
        <v>15234</v>
      </c>
      <c r="T2531" s="2" t="s">
        <v>13982</v>
      </c>
      <c r="U2531" s="2" t="s">
        <v>15235</v>
      </c>
      <c r="V2531" s="2" t="s">
        <v>15236</v>
      </c>
      <c r="W2531" s="1"/>
      <c r="X2531" s="2" t="s">
        <v>15237</v>
      </c>
      <c r="Y2531" s="2" t="s">
        <v>15175</v>
      </c>
      <c r="AA2531" t="str">
        <f t="shared" si="234"/>
        <v>2025-10</v>
      </c>
      <c r="AB2531" t="str">
        <f t="shared" si="235"/>
        <v/>
      </c>
      <c r="AC2531">
        <f t="shared" si="236"/>
        <v>551459.74</v>
      </c>
      <c r="AD2531">
        <f t="shared" si="237"/>
        <v>51</v>
      </c>
      <c r="AE2531">
        <f t="shared" si="238"/>
        <v>226895.74</v>
      </c>
      <c r="AF2531" t="str">
        <f t="shared" si="239"/>
        <v>Paid</v>
      </c>
    </row>
    <row r="2532" spans="1:32" ht="17.25" thickBot="1" x14ac:dyDescent="0.35">
      <c r="A2532" s="2" t="s">
        <v>15238</v>
      </c>
      <c r="B2532" s="2" t="s">
        <v>27</v>
      </c>
      <c r="C2532" s="2" t="s">
        <v>28</v>
      </c>
      <c r="D2532" s="2" t="s">
        <v>97</v>
      </c>
      <c r="E2532" s="2" t="s">
        <v>15170</v>
      </c>
      <c r="F2532" s="2" t="s">
        <v>8445</v>
      </c>
      <c r="G2532" s="2" t="s">
        <v>32</v>
      </c>
      <c r="H2532" s="1"/>
      <c r="I2532" s="2" t="s">
        <v>33</v>
      </c>
      <c r="J2532" s="2" t="s">
        <v>34</v>
      </c>
      <c r="K2532" s="2" t="s">
        <v>4636</v>
      </c>
      <c r="L2532" s="2" t="s">
        <v>4637</v>
      </c>
      <c r="M2532" s="2" t="s">
        <v>37</v>
      </c>
      <c r="N2532" s="2" t="s">
        <v>38</v>
      </c>
      <c r="O2532" s="2" t="s">
        <v>779</v>
      </c>
      <c r="P2532" s="2" t="s">
        <v>2711</v>
      </c>
      <c r="Q2532" s="2" t="s">
        <v>15239</v>
      </c>
      <c r="R2532" s="2" t="s">
        <v>40</v>
      </c>
      <c r="S2532" s="2" t="s">
        <v>15240</v>
      </c>
      <c r="T2532" s="2" t="s">
        <v>107</v>
      </c>
      <c r="U2532" s="2" t="s">
        <v>7170</v>
      </c>
      <c r="V2532" s="2" t="s">
        <v>15241</v>
      </c>
      <c r="W2532" s="1"/>
      <c r="X2532" s="2" t="s">
        <v>1100</v>
      </c>
      <c r="Y2532" s="2" t="s">
        <v>15242</v>
      </c>
      <c r="AA2532" t="str">
        <f t="shared" si="234"/>
        <v>2025-10</v>
      </c>
      <c r="AB2532" t="str">
        <f t="shared" si="235"/>
        <v/>
      </c>
      <c r="AC2532">
        <f t="shared" si="236"/>
        <v>605118.06000000006</v>
      </c>
      <c r="AD2532">
        <f t="shared" si="237"/>
        <v>90</v>
      </c>
      <c r="AE2532">
        <f t="shared" si="238"/>
        <v>101118.06</v>
      </c>
      <c r="AF2532" t="str">
        <f t="shared" si="239"/>
        <v>Paid</v>
      </c>
    </row>
    <row r="2533" spans="1:32" ht="17.25" thickBot="1" x14ac:dyDescent="0.35">
      <c r="A2533" s="2" t="s">
        <v>15243</v>
      </c>
      <c r="B2533" s="2" t="s">
        <v>27</v>
      </c>
      <c r="C2533" s="2" t="s">
        <v>28</v>
      </c>
      <c r="D2533" s="2" t="s">
        <v>97</v>
      </c>
      <c r="E2533" s="2" t="s">
        <v>15170</v>
      </c>
      <c r="F2533" s="2" t="s">
        <v>8445</v>
      </c>
      <c r="G2533" s="2" t="s">
        <v>32</v>
      </c>
      <c r="H2533" s="1"/>
      <c r="I2533" s="2" t="s">
        <v>33</v>
      </c>
      <c r="J2533" s="2" t="s">
        <v>34</v>
      </c>
      <c r="K2533" s="2" t="s">
        <v>1093</v>
      </c>
      <c r="L2533" s="2" t="s">
        <v>1094</v>
      </c>
      <c r="M2533" s="2" t="s">
        <v>37</v>
      </c>
      <c r="N2533" s="2" t="s">
        <v>38</v>
      </c>
      <c r="O2533" s="2" t="s">
        <v>977</v>
      </c>
      <c r="P2533" s="2" t="s">
        <v>6237</v>
      </c>
      <c r="Q2533" s="2" t="s">
        <v>15244</v>
      </c>
      <c r="R2533" s="2" t="s">
        <v>40</v>
      </c>
      <c r="S2533" s="2" t="s">
        <v>15245</v>
      </c>
      <c r="T2533" s="2" t="s">
        <v>126</v>
      </c>
      <c r="U2533" s="2" t="s">
        <v>1179</v>
      </c>
      <c r="V2533" s="2" t="s">
        <v>15246</v>
      </c>
      <c r="W2533" s="1"/>
      <c r="X2533" s="2" t="s">
        <v>3216</v>
      </c>
      <c r="Y2533" s="2" t="s">
        <v>15242</v>
      </c>
      <c r="AA2533" t="str">
        <f t="shared" si="234"/>
        <v>2025-10</v>
      </c>
      <c r="AB2533" t="str">
        <f t="shared" si="235"/>
        <v/>
      </c>
      <c r="AC2533">
        <f t="shared" si="236"/>
        <v>831099.72</v>
      </c>
      <c r="AD2533">
        <f t="shared" si="237"/>
        <v>110</v>
      </c>
      <c r="AE2533">
        <f t="shared" si="238"/>
        <v>138099.72</v>
      </c>
      <c r="AF2533" t="str">
        <f t="shared" si="239"/>
        <v>Paid</v>
      </c>
    </row>
    <row r="2534" spans="1:32" ht="17.25" thickBot="1" x14ac:dyDescent="0.35">
      <c r="A2534" s="2" t="s">
        <v>15247</v>
      </c>
      <c r="B2534" s="2" t="s">
        <v>27</v>
      </c>
      <c r="C2534" s="2" t="s">
        <v>28</v>
      </c>
      <c r="D2534" s="2" t="s">
        <v>97</v>
      </c>
      <c r="E2534" s="2" t="s">
        <v>15170</v>
      </c>
      <c r="F2534" s="2" t="s">
        <v>8445</v>
      </c>
      <c r="G2534" s="2" t="s">
        <v>32</v>
      </c>
      <c r="H2534" s="1"/>
      <c r="I2534" s="2" t="s">
        <v>33</v>
      </c>
      <c r="J2534" s="2" t="s">
        <v>34</v>
      </c>
      <c r="K2534" s="2" t="s">
        <v>5357</v>
      </c>
      <c r="L2534" s="2" t="s">
        <v>5358</v>
      </c>
      <c r="M2534" s="2" t="s">
        <v>37</v>
      </c>
      <c r="N2534" s="2" t="s">
        <v>38</v>
      </c>
      <c r="O2534" s="2" t="s">
        <v>1333</v>
      </c>
      <c r="P2534" s="2" t="s">
        <v>3568</v>
      </c>
      <c r="Q2534" s="2" t="s">
        <v>14591</v>
      </c>
      <c r="R2534" s="2" t="s">
        <v>40</v>
      </c>
      <c r="S2534" s="2" t="s">
        <v>14592</v>
      </c>
      <c r="T2534" s="2" t="s">
        <v>1136</v>
      </c>
      <c r="U2534" s="2" t="s">
        <v>6717</v>
      </c>
      <c r="V2534" s="2" t="s">
        <v>14593</v>
      </c>
      <c r="W2534" s="1"/>
      <c r="X2534" s="2" t="s">
        <v>1120</v>
      </c>
      <c r="Y2534" s="2" t="s">
        <v>15242</v>
      </c>
      <c r="AA2534" t="str">
        <f t="shared" si="234"/>
        <v>2025-10</v>
      </c>
      <c r="AB2534" t="str">
        <f t="shared" si="235"/>
        <v/>
      </c>
      <c r="AC2534">
        <f t="shared" si="236"/>
        <v>756909</v>
      </c>
      <c r="AD2534">
        <f t="shared" si="237"/>
        <v>150</v>
      </c>
      <c r="AE2534">
        <f t="shared" si="238"/>
        <v>126909</v>
      </c>
      <c r="AF2534" t="str">
        <f t="shared" si="239"/>
        <v>Paid</v>
      </c>
    </row>
    <row r="2535" spans="1:32" ht="17.25" thickBot="1" x14ac:dyDescent="0.35">
      <c r="A2535" s="2" t="s">
        <v>15248</v>
      </c>
      <c r="B2535" s="2" t="s">
        <v>27</v>
      </c>
      <c r="C2535" s="2" t="s">
        <v>28</v>
      </c>
      <c r="D2535" s="2" t="s">
        <v>97</v>
      </c>
      <c r="E2535" s="2" t="s">
        <v>15170</v>
      </c>
      <c r="F2535" s="2" t="s">
        <v>8445</v>
      </c>
      <c r="G2535" s="2" t="s">
        <v>32</v>
      </c>
      <c r="H2535" s="1"/>
      <c r="I2535" s="2" t="s">
        <v>33</v>
      </c>
      <c r="J2535" s="2" t="s">
        <v>34</v>
      </c>
      <c r="K2535" s="2" t="s">
        <v>1102</v>
      </c>
      <c r="L2535" s="2" t="s">
        <v>1103</v>
      </c>
      <c r="M2535" s="2" t="s">
        <v>37</v>
      </c>
      <c r="N2535" s="2" t="s">
        <v>38</v>
      </c>
      <c r="O2535" s="2" t="s">
        <v>141</v>
      </c>
      <c r="P2535" s="2" t="s">
        <v>2711</v>
      </c>
      <c r="Q2535" s="2" t="s">
        <v>15249</v>
      </c>
      <c r="R2535" s="2" t="s">
        <v>40</v>
      </c>
      <c r="S2535" s="2" t="s">
        <v>15250</v>
      </c>
      <c r="T2535" s="2" t="s">
        <v>107</v>
      </c>
      <c r="U2535" s="2" t="s">
        <v>7440</v>
      </c>
      <c r="V2535" s="2" t="s">
        <v>15251</v>
      </c>
      <c r="W2535" s="1"/>
      <c r="X2535" s="2" t="s">
        <v>1100</v>
      </c>
      <c r="Y2535" s="2" t="s">
        <v>15242</v>
      </c>
      <c r="AA2535" t="str">
        <f t="shared" si="234"/>
        <v>2025-10</v>
      </c>
      <c r="AB2535" t="str">
        <f t="shared" si="235"/>
        <v/>
      </c>
      <c r="AC2535">
        <f t="shared" si="236"/>
        <v>201706.02</v>
      </c>
      <c r="AD2535">
        <f t="shared" si="237"/>
        <v>30</v>
      </c>
      <c r="AE2535">
        <f t="shared" si="238"/>
        <v>33706.019999999997</v>
      </c>
      <c r="AF2535" t="str">
        <f t="shared" si="239"/>
        <v>Paid</v>
      </c>
    </row>
    <row r="2536" spans="1:32" ht="27.75" thickBot="1" x14ac:dyDescent="0.35">
      <c r="A2536" s="2" t="s">
        <v>15252</v>
      </c>
      <c r="B2536" s="2" t="s">
        <v>27</v>
      </c>
      <c r="C2536" s="2" t="s">
        <v>28</v>
      </c>
      <c r="D2536" s="2" t="s">
        <v>97</v>
      </c>
      <c r="E2536" s="2" t="s">
        <v>15170</v>
      </c>
      <c r="F2536" s="2" t="s">
        <v>8445</v>
      </c>
      <c r="G2536" s="2" t="s">
        <v>32</v>
      </c>
      <c r="H2536" s="1"/>
      <c r="I2536" s="2" t="s">
        <v>33</v>
      </c>
      <c r="J2536" s="2" t="s">
        <v>34</v>
      </c>
      <c r="K2536" s="2" t="s">
        <v>7155</v>
      </c>
      <c r="L2536" s="2" t="s">
        <v>7156</v>
      </c>
      <c r="M2536" s="2" t="s">
        <v>37</v>
      </c>
      <c r="N2536" s="2" t="s">
        <v>38</v>
      </c>
      <c r="O2536" s="2" t="s">
        <v>517</v>
      </c>
      <c r="P2536" s="2" t="s">
        <v>14560</v>
      </c>
      <c r="Q2536" s="2" t="s">
        <v>15253</v>
      </c>
      <c r="R2536" s="2" t="s">
        <v>40</v>
      </c>
      <c r="S2536" s="2" t="s">
        <v>15254</v>
      </c>
      <c r="T2536" s="2" t="s">
        <v>1178</v>
      </c>
      <c r="U2536" s="2" t="s">
        <v>15255</v>
      </c>
      <c r="V2536" s="2" t="s">
        <v>15256</v>
      </c>
      <c r="W2536" s="1"/>
      <c r="X2536" s="2" t="s">
        <v>1100</v>
      </c>
      <c r="Y2536" s="2" t="s">
        <v>15242</v>
      </c>
      <c r="AA2536" t="str">
        <f t="shared" si="234"/>
        <v>2025-10</v>
      </c>
      <c r="AB2536" t="str">
        <f t="shared" si="235"/>
        <v/>
      </c>
      <c r="AC2536">
        <f t="shared" si="236"/>
        <v>1109587.68</v>
      </c>
      <c r="AD2536">
        <f t="shared" si="237"/>
        <v>120</v>
      </c>
      <c r="AE2536">
        <f t="shared" si="238"/>
        <v>185587.68</v>
      </c>
      <c r="AF2536" t="str">
        <f t="shared" si="239"/>
        <v>Paid</v>
      </c>
    </row>
    <row r="2537" spans="1:32" ht="17.25" thickBot="1" x14ac:dyDescent="0.35">
      <c r="A2537" s="2" t="s">
        <v>15257</v>
      </c>
      <c r="B2537" s="2" t="s">
        <v>27</v>
      </c>
      <c r="C2537" s="2" t="s">
        <v>28</v>
      </c>
      <c r="D2537" s="2" t="s">
        <v>97</v>
      </c>
      <c r="E2537" s="2" t="s">
        <v>15170</v>
      </c>
      <c r="F2537" s="2" t="s">
        <v>8445</v>
      </c>
      <c r="G2537" s="2" t="s">
        <v>32</v>
      </c>
      <c r="H2537" s="1"/>
      <c r="I2537" s="2" t="s">
        <v>33</v>
      </c>
      <c r="J2537" s="2" t="s">
        <v>34</v>
      </c>
      <c r="K2537" s="2" t="s">
        <v>1148</v>
      </c>
      <c r="L2537" s="2" t="s">
        <v>1149</v>
      </c>
      <c r="M2537" s="2" t="s">
        <v>37</v>
      </c>
      <c r="N2537" s="2" t="s">
        <v>38</v>
      </c>
      <c r="O2537" s="2" t="s">
        <v>877</v>
      </c>
      <c r="P2537" s="2" t="s">
        <v>2711</v>
      </c>
      <c r="Q2537" s="2" t="s">
        <v>15258</v>
      </c>
      <c r="R2537" s="2" t="s">
        <v>40</v>
      </c>
      <c r="S2537" s="2" t="s">
        <v>15259</v>
      </c>
      <c r="T2537" s="2" t="s">
        <v>107</v>
      </c>
      <c r="U2537" s="2" t="s">
        <v>14315</v>
      </c>
      <c r="V2537" s="2" t="s">
        <v>15260</v>
      </c>
      <c r="W2537" s="1"/>
      <c r="X2537" s="2" t="s">
        <v>1100</v>
      </c>
      <c r="Y2537" s="2" t="s">
        <v>15242</v>
      </c>
      <c r="AA2537" t="str">
        <f t="shared" si="234"/>
        <v>2025-10</v>
      </c>
      <c r="AB2537" t="str">
        <f t="shared" si="235"/>
        <v/>
      </c>
      <c r="AC2537">
        <f t="shared" si="236"/>
        <v>672353.4</v>
      </c>
      <c r="AD2537">
        <f t="shared" si="237"/>
        <v>100</v>
      </c>
      <c r="AE2537">
        <f t="shared" si="238"/>
        <v>112353.4</v>
      </c>
      <c r="AF2537" t="str">
        <f t="shared" si="239"/>
        <v>Paid</v>
      </c>
    </row>
    <row r="2538" spans="1:32" ht="17.25" thickBot="1" x14ac:dyDescent="0.35">
      <c r="A2538" s="2" t="s">
        <v>15261</v>
      </c>
      <c r="B2538" s="2" t="s">
        <v>27</v>
      </c>
      <c r="C2538" s="2" t="s">
        <v>28</v>
      </c>
      <c r="D2538" s="2" t="s">
        <v>97</v>
      </c>
      <c r="E2538" s="2" t="s">
        <v>15170</v>
      </c>
      <c r="F2538" s="2" t="s">
        <v>8445</v>
      </c>
      <c r="G2538" s="2" t="s">
        <v>32</v>
      </c>
      <c r="H2538" s="1"/>
      <c r="I2538" s="2" t="s">
        <v>33</v>
      </c>
      <c r="J2538" s="2" t="s">
        <v>34</v>
      </c>
      <c r="K2538" s="2" t="s">
        <v>6499</v>
      </c>
      <c r="L2538" s="2" t="s">
        <v>6500</v>
      </c>
      <c r="M2538" s="2" t="s">
        <v>37</v>
      </c>
      <c r="N2538" s="2" t="s">
        <v>38</v>
      </c>
      <c r="O2538" s="2" t="s">
        <v>131</v>
      </c>
      <c r="P2538" s="2" t="s">
        <v>14560</v>
      </c>
      <c r="Q2538" s="2" t="s">
        <v>14561</v>
      </c>
      <c r="R2538" s="2" t="s">
        <v>40</v>
      </c>
      <c r="S2538" s="2" t="s">
        <v>14562</v>
      </c>
      <c r="T2538" s="2" t="s">
        <v>15262</v>
      </c>
      <c r="U2538" s="2" t="s">
        <v>15263</v>
      </c>
      <c r="V2538" s="2" t="s">
        <v>15264</v>
      </c>
      <c r="W2538" s="1"/>
      <c r="X2538" s="2" t="s">
        <v>1299</v>
      </c>
      <c r="Y2538" s="2" t="s">
        <v>15242</v>
      </c>
      <c r="AA2538" t="str">
        <f t="shared" si="234"/>
        <v>2025-10</v>
      </c>
      <c r="AB2538" t="str">
        <f t="shared" si="235"/>
        <v/>
      </c>
      <c r="AC2538">
        <f t="shared" si="236"/>
        <v>369862.56</v>
      </c>
      <c r="AD2538">
        <f t="shared" si="237"/>
        <v>40</v>
      </c>
      <c r="AE2538">
        <f t="shared" si="238"/>
        <v>68262.559999999998</v>
      </c>
      <c r="AF2538" t="str">
        <f t="shared" si="239"/>
        <v>Paid</v>
      </c>
    </row>
    <row r="2539" spans="1:32" ht="17.25" thickBot="1" x14ac:dyDescent="0.35">
      <c r="A2539" s="2" t="s">
        <v>15265</v>
      </c>
      <c r="B2539" s="2" t="s">
        <v>27</v>
      </c>
      <c r="C2539" s="2" t="s">
        <v>28</v>
      </c>
      <c r="D2539" s="2" t="s">
        <v>97</v>
      </c>
      <c r="E2539" s="2" t="s">
        <v>15170</v>
      </c>
      <c r="F2539" s="2" t="s">
        <v>8445</v>
      </c>
      <c r="G2539" s="2" t="s">
        <v>32</v>
      </c>
      <c r="H2539" s="1"/>
      <c r="I2539" s="2" t="s">
        <v>33</v>
      </c>
      <c r="J2539" s="2" t="s">
        <v>34</v>
      </c>
      <c r="K2539" s="2" t="s">
        <v>1182</v>
      </c>
      <c r="L2539" s="2" t="s">
        <v>1183</v>
      </c>
      <c r="M2539" s="2" t="s">
        <v>37</v>
      </c>
      <c r="N2539" s="2" t="s">
        <v>38</v>
      </c>
      <c r="O2539" s="2" t="s">
        <v>131</v>
      </c>
      <c r="P2539" s="2" t="s">
        <v>2711</v>
      </c>
      <c r="Q2539" s="2" t="s">
        <v>3228</v>
      </c>
      <c r="R2539" s="2" t="s">
        <v>40</v>
      </c>
      <c r="S2539" s="2" t="s">
        <v>15266</v>
      </c>
      <c r="T2539" s="2" t="s">
        <v>107</v>
      </c>
      <c r="U2539" s="2" t="s">
        <v>5704</v>
      </c>
      <c r="V2539" s="2" t="s">
        <v>15267</v>
      </c>
      <c r="W2539" s="1"/>
      <c r="X2539" s="2" t="s">
        <v>1100</v>
      </c>
      <c r="Y2539" s="2" t="s">
        <v>15242</v>
      </c>
      <c r="AA2539" t="str">
        <f t="shared" si="234"/>
        <v>2025-10</v>
      </c>
      <c r="AB2539" t="str">
        <f t="shared" si="235"/>
        <v/>
      </c>
      <c r="AC2539">
        <f t="shared" si="236"/>
        <v>268941.36</v>
      </c>
      <c r="AD2539">
        <f t="shared" si="237"/>
        <v>40</v>
      </c>
      <c r="AE2539">
        <f t="shared" si="238"/>
        <v>44941.36</v>
      </c>
      <c r="AF2539" t="str">
        <f t="shared" si="239"/>
        <v>Paid</v>
      </c>
    </row>
    <row r="2540" spans="1:32" ht="17.25" thickBot="1" x14ac:dyDescent="0.35">
      <c r="A2540" s="2" t="s">
        <v>15268</v>
      </c>
      <c r="B2540" s="2" t="s">
        <v>27</v>
      </c>
      <c r="C2540" s="2" t="s">
        <v>28</v>
      </c>
      <c r="D2540" s="2" t="s">
        <v>97</v>
      </c>
      <c r="E2540" s="2" t="s">
        <v>15170</v>
      </c>
      <c r="F2540" s="2" t="s">
        <v>8445</v>
      </c>
      <c r="G2540" s="2" t="s">
        <v>32</v>
      </c>
      <c r="H2540" s="1"/>
      <c r="I2540" s="2" t="s">
        <v>33</v>
      </c>
      <c r="J2540" s="2" t="s">
        <v>34</v>
      </c>
      <c r="K2540" s="2" t="s">
        <v>5660</v>
      </c>
      <c r="L2540" s="2" t="s">
        <v>5661</v>
      </c>
      <c r="M2540" s="2" t="s">
        <v>37</v>
      </c>
      <c r="N2540" s="2" t="s">
        <v>38</v>
      </c>
      <c r="O2540" s="2" t="s">
        <v>391</v>
      </c>
      <c r="P2540" s="2" t="s">
        <v>8791</v>
      </c>
      <c r="Q2540" s="2" t="s">
        <v>15269</v>
      </c>
      <c r="R2540" s="2" t="s">
        <v>40</v>
      </c>
      <c r="S2540" s="2" t="s">
        <v>15270</v>
      </c>
      <c r="T2540" s="2" t="s">
        <v>706</v>
      </c>
      <c r="U2540" s="2" t="s">
        <v>7170</v>
      </c>
      <c r="V2540" s="2" t="s">
        <v>15271</v>
      </c>
      <c r="W2540" s="1"/>
      <c r="X2540" s="2" t="s">
        <v>1100</v>
      </c>
      <c r="Y2540" s="2" t="s">
        <v>15242</v>
      </c>
      <c r="AA2540" t="str">
        <f t="shared" si="234"/>
        <v>2025-10</v>
      </c>
      <c r="AB2540" t="str">
        <f t="shared" si="235"/>
        <v/>
      </c>
      <c r="AC2540">
        <f t="shared" si="236"/>
        <v>604708.92000000004</v>
      </c>
      <c r="AD2540">
        <f t="shared" si="237"/>
        <v>60</v>
      </c>
      <c r="AE2540">
        <f t="shared" si="238"/>
        <v>100708.92</v>
      </c>
      <c r="AF2540" t="str">
        <f t="shared" si="239"/>
        <v>Paid</v>
      </c>
    </row>
    <row r="2541" spans="1:32" ht="17.25" thickBot="1" x14ac:dyDescent="0.35">
      <c r="A2541" s="2" t="s">
        <v>15272</v>
      </c>
      <c r="B2541" s="2" t="s">
        <v>27</v>
      </c>
      <c r="C2541" s="2" t="s">
        <v>28</v>
      </c>
      <c r="D2541" s="2" t="s">
        <v>97</v>
      </c>
      <c r="E2541" s="2" t="s">
        <v>15170</v>
      </c>
      <c r="F2541" s="2" t="s">
        <v>8445</v>
      </c>
      <c r="G2541" s="2" t="s">
        <v>32</v>
      </c>
      <c r="H2541" s="1"/>
      <c r="I2541" s="2" t="s">
        <v>33</v>
      </c>
      <c r="J2541" s="2" t="s">
        <v>34</v>
      </c>
      <c r="K2541" s="2" t="s">
        <v>6550</v>
      </c>
      <c r="L2541" s="2" t="s">
        <v>6551</v>
      </c>
      <c r="M2541" s="2" t="s">
        <v>37</v>
      </c>
      <c r="N2541" s="2" t="s">
        <v>38</v>
      </c>
      <c r="O2541" s="2" t="s">
        <v>149</v>
      </c>
      <c r="P2541" s="2" t="s">
        <v>12815</v>
      </c>
      <c r="Q2541" s="2" t="s">
        <v>2445</v>
      </c>
      <c r="R2541" s="2" t="s">
        <v>40</v>
      </c>
      <c r="S2541" s="2" t="s">
        <v>15273</v>
      </c>
      <c r="T2541" s="2" t="s">
        <v>15274</v>
      </c>
      <c r="U2541" s="2" t="s">
        <v>15275</v>
      </c>
      <c r="V2541" s="2" t="s">
        <v>15276</v>
      </c>
      <c r="W2541" s="1"/>
      <c r="X2541" s="2" t="s">
        <v>5766</v>
      </c>
      <c r="Y2541" s="2" t="s">
        <v>15242</v>
      </c>
      <c r="AA2541" t="str">
        <f t="shared" si="234"/>
        <v>2025-10</v>
      </c>
      <c r="AB2541" t="str">
        <f t="shared" si="235"/>
        <v/>
      </c>
      <c r="AC2541">
        <f t="shared" si="236"/>
        <v>1636560</v>
      </c>
      <c r="AD2541">
        <f t="shared" si="237"/>
        <v>300</v>
      </c>
      <c r="AE2541">
        <f t="shared" si="238"/>
        <v>280140</v>
      </c>
      <c r="AF2541" t="str">
        <f t="shared" si="239"/>
        <v>Paid</v>
      </c>
    </row>
    <row r="2542" spans="1:32" ht="17.25" thickBot="1" x14ac:dyDescent="0.35">
      <c r="A2542" s="2" t="s">
        <v>15277</v>
      </c>
      <c r="B2542" s="2" t="s">
        <v>27</v>
      </c>
      <c r="C2542" s="2" t="s">
        <v>28</v>
      </c>
      <c r="D2542" s="2" t="s">
        <v>97</v>
      </c>
      <c r="E2542" s="2" t="s">
        <v>15170</v>
      </c>
      <c r="F2542" s="2" t="s">
        <v>8445</v>
      </c>
      <c r="G2542" s="2" t="s">
        <v>32</v>
      </c>
      <c r="H2542" s="1"/>
      <c r="I2542" s="2" t="s">
        <v>33</v>
      </c>
      <c r="J2542" s="2" t="s">
        <v>34</v>
      </c>
      <c r="K2542" s="2" t="s">
        <v>9906</v>
      </c>
      <c r="L2542" s="2" t="s">
        <v>9907</v>
      </c>
      <c r="M2542" s="2" t="s">
        <v>37</v>
      </c>
      <c r="N2542" s="2" t="s">
        <v>38</v>
      </c>
      <c r="O2542" s="2" t="s">
        <v>156</v>
      </c>
      <c r="P2542" s="2" t="s">
        <v>2980</v>
      </c>
      <c r="Q2542" s="2" t="s">
        <v>15278</v>
      </c>
      <c r="R2542" s="2" t="s">
        <v>40</v>
      </c>
      <c r="S2542" s="2" t="s">
        <v>15279</v>
      </c>
      <c r="T2542" s="2" t="s">
        <v>5672</v>
      </c>
      <c r="U2542" s="2" t="s">
        <v>5704</v>
      </c>
      <c r="V2542" s="2" t="s">
        <v>15280</v>
      </c>
      <c r="W2542" s="1"/>
      <c r="X2542" s="2" t="s">
        <v>3216</v>
      </c>
      <c r="Y2542" s="2" t="s">
        <v>15242</v>
      </c>
      <c r="AA2542" t="str">
        <f t="shared" si="234"/>
        <v>2025-10</v>
      </c>
      <c r="AB2542" t="str">
        <f t="shared" si="235"/>
        <v/>
      </c>
      <c r="AC2542">
        <f t="shared" si="236"/>
        <v>268668.59999999998</v>
      </c>
      <c r="AD2542">
        <f t="shared" si="237"/>
        <v>20</v>
      </c>
      <c r="AE2542">
        <f t="shared" si="238"/>
        <v>44668.6</v>
      </c>
      <c r="AF2542" t="str">
        <f t="shared" si="239"/>
        <v>Paid</v>
      </c>
    </row>
    <row r="2543" spans="1:32" ht="17.25" thickBot="1" x14ac:dyDescent="0.35">
      <c r="A2543" s="2" t="s">
        <v>15281</v>
      </c>
      <c r="B2543" s="2" t="s">
        <v>27</v>
      </c>
      <c r="C2543" s="2" t="s">
        <v>28</v>
      </c>
      <c r="D2543" s="2" t="s">
        <v>97</v>
      </c>
      <c r="E2543" s="2" t="s">
        <v>15170</v>
      </c>
      <c r="F2543" s="2" t="s">
        <v>8445</v>
      </c>
      <c r="G2543" s="2" t="s">
        <v>32</v>
      </c>
      <c r="H2543" s="1"/>
      <c r="I2543" s="2" t="s">
        <v>33</v>
      </c>
      <c r="J2543" s="2" t="s">
        <v>34</v>
      </c>
      <c r="K2543" s="2" t="s">
        <v>1205</v>
      </c>
      <c r="L2543" s="2" t="s">
        <v>1206</v>
      </c>
      <c r="M2543" s="2" t="s">
        <v>37</v>
      </c>
      <c r="N2543" s="2" t="s">
        <v>38</v>
      </c>
      <c r="O2543" s="2" t="s">
        <v>779</v>
      </c>
      <c r="P2543" s="2" t="s">
        <v>6125</v>
      </c>
      <c r="Q2543" s="2" t="s">
        <v>15282</v>
      </c>
      <c r="R2543" s="2" t="s">
        <v>40</v>
      </c>
      <c r="S2543" s="2" t="s">
        <v>15283</v>
      </c>
      <c r="T2543" s="2" t="s">
        <v>15284</v>
      </c>
      <c r="U2543" s="2" t="s">
        <v>15285</v>
      </c>
      <c r="V2543" s="2" t="s">
        <v>15286</v>
      </c>
      <c r="W2543" s="1"/>
      <c r="X2543" s="2" t="s">
        <v>997</v>
      </c>
      <c r="Y2543" s="2" t="s">
        <v>15242</v>
      </c>
      <c r="AA2543" t="str">
        <f t="shared" si="234"/>
        <v>2025-10</v>
      </c>
      <c r="AB2543" t="str">
        <f t="shared" si="235"/>
        <v/>
      </c>
      <c r="AC2543">
        <f t="shared" si="236"/>
        <v>1021213.44</v>
      </c>
      <c r="AD2543">
        <f t="shared" si="237"/>
        <v>90</v>
      </c>
      <c r="AE2543">
        <f t="shared" si="238"/>
        <v>290593.44</v>
      </c>
      <c r="AF2543" t="str">
        <f t="shared" si="239"/>
        <v>Paid</v>
      </c>
    </row>
    <row r="2544" spans="1:32" ht="27.75" thickBot="1" x14ac:dyDescent="0.35">
      <c r="A2544" s="2" t="s">
        <v>15287</v>
      </c>
      <c r="B2544" s="2" t="s">
        <v>27</v>
      </c>
      <c r="C2544" s="2" t="s">
        <v>28</v>
      </c>
      <c r="D2544" s="2" t="s">
        <v>97</v>
      </c>
      <c r="E2544" s="2" t="s">
        <v>15170</v>
      </c>
      <c r="F2544" s="2" t="s">
        <v>8445</v>
      </c>
      <c r="G2544" s="2" t="s">
        <v>32</v>
      </c>
      <c r="H2544" s="1"/>
      <c r="I2544" s="2" t="s">
        <v>33</v>
      </c>
      <c r="J2544" s="2" t="s">
        <v>34</v>
      </c>
      <c r="K2544" s="2" t="s">
        <v>80</v>
      </c>
      <c r="L2544" s="2" t="s">
        <v>81</v>
      </c>
      <c r="M2544" s="2" t="s">
        <v>37</v>
      </c>
      <c r="N2544" s="2" t="s">
        <v>38</v>
      </c>
      <c r="O2544" s="2" t="s">
        <v>391</v>
      </c>
      <c r="P2544" s="2" t="s">
        <v>14670</v>
      </c>
      <c r="Q2544" s="2" t="s">
        <v>15288</v>
      </c>
      <c r="R2544" s="2" t="s">
        <v>40</v>
      </c>
      <c r="S2544" s="2" t="s">
        <v>15289</v>
      </c>
      <c r="T2544" s="2" t="s">
        <v>1399</v>
      </c>
      <c r="U2544" s="2" t="s">
        <v>7209</v>
      </c>
      <c r="V2544" s="2" t="s">
        <v>15290</v>
      </c>
      <c r="W2544" s="1"/>
      <c r="X2544" s="2" t="s">
        <v>1100</v>
      </c>
      <c r="Y2544" s="2" t="s">
        <v>15242</v>
      </c>
      <c r="AA2544" t="str">
        <f t="shared" si="234"/>
        <v>2025-10</v>
      </c>
      <c r="AB2544" t="str">
        <f t="shared" si="235"/>
        <v/>
      </c>
      <c r="AC2544">
        <f t="shared" si="236"/>
        <v>529427.16</v>
      </c>
      <c r="AD2544">
        <f t="shared" si="237"/>
        <v>60</v>
      </c>
      <c r="AE2544">
        <f t="shared" si="238"/>
        <v>88427.16</v>
      </c>
      <c r="AF2544" t="str">
        <f t="shared" si="239"/>
        <v>Paid</v>
      </c>
    </row>
    <row r="2545" spans="1:32" ht="27.75" thickBot="1" x14ac:dyDescent="0.35">
      <c r="A2545" s="2" t="s">
        <v>15291</v>
      </c>
      <c r="B2545" s="2" t="s">
        <v>27</v>
      </c>
      <c r="C2545" s="2" t="s">
        <v>28</v>
      </c>
      <c r="D2545" s="2" t="s">
        <v>97</v>
      </c>
      <c r="E2545" s="2" t="s">
        <v>15170</v>
      </c>
      <c r="F2545" s="2" t="s">
        <v>8445</v>
      </c>
      <c r="G2545" s="2" t="s">
        <v>32</v>
      </c>
      <c r="H2545" s="1"/>
      <c r="I2545" s="2" t="s">
        <v>33</v>
      </c>
      <c r="J2545" s="2" t="s">
        <v>34</v>
      </c>
      <c r="K2545" s="2" t="s">
        <v>1231</v>
      </c>
      <c r="L2545" s="2" t="s">
        <v>1232</v>
      </c>
      <c r="M2545" s="2" t="s">
        <v>37</v>
      </c>
      <c r="N2545" s="2" t="s">
        <v>38</v>
      </c>
      <c r="O2545" s="2" t="s">
        <v>524</v>
      </c>
      <c r="P2545" s="2" t="s">
        <v>15292</v>
      </c>
      <c r="Q2545" s="2" t="s">
        <v>15293</v>
      </c>
      <c r="R2545" s="2" t="s">
        <v>40</v>
      </c>
      <c r="S2545" s="2" t="s">
        <v>15294</v>
      </c>
      <c r="T2545" s="2" t="s">
        <v>15295</v>
      </c>
      <c r="U2545" s="2" t="s">
        <v>15296</v>
      </c>
      <c r="V2545" s="2" t="s">
        <v>15297</v>
      </c>
      <c r="W2545" s="1"/>
      <c r="X2545" s="2" t="s">
        <v>15298</v>
      </c>
      <c r="Y2545" s="2" t="s">
        <v>15242</v>
      </c>
      <c r="AA2545" t="str">
        <f t="shared" si="234"/>
        <v>2025-10</v>
      </c>
      <c r="AB2545" t="str">
        <f t="shared" si="235"/>
        <v/>
      </c>
      <c r="AC2545">
        <f t="shared" si="236"/>
        <v>1998267.04</v>
      </c>
      <c r="AD2545">
        <f t="shared" si="237"/>
        <v>61</v>
      </c>
      <c r="AE2545">
        <f t="shared" si="238"/>
        <v>1852467.04</v>
      </c>
      <c r="AF2545" t="str">
        <f t="shared" si="239"/>
        <v>Paid</v>
      </c>
    </row>
    <row r="2546" spans="1:32" ht="17.25" thickBot="1" x14ac:dyDescent="0.35">
      <c r="A2546" s="2" t="s">
        <v>15299</v>
      </c>
      <c r="B2546" s="2" t="s">
        <v>27</v>
      </c>
      <c r="C2546" s="2" t="s">
        <v>28</v>
      </c>
      <c r="D2546" s="2" t="s">
        <v>97</v>
      </c>
      <c r="E2546" s="2" t="s">
        <v>15170</v>
      </c>
      <c r="F2546" s="2" t="s">
        <v>8445</v>
      </c>
      <c r="G2546" s="2" t="s">
        <v>32</v>
      </c>
      <c r="H2546" s="1"/>
      <c r="I2546" s="2" t="s">
        <v>33</v>
      </c>
      <c r="J2546" s="2" t="s">
        <v>34</v>
      </c>
      <c r="K2546" s="2" t="s">
        <v>1257</v>
      </c>
      <c r="L2546" s="2" t="s">
        <v>1258</v>
      </c>
      <c r="M2546" s="2" t="s">
        <v>37</v>
      </c>
      <c r="N2546" s="2" t="s">
        <v>38</v>
      </c>
      <c r="O2546" s="2" t="s">
        <v>665</v>
      </c>
      <c r="P2546" s="2" t="s">
        <v>12815</v>
      </c>
      <c r="Q2546" s="2" t="s">
        <v>11747</v>
      </c>
      <c r="R2546" s="2" t="s">
        <v>40</v>
      </c>
      <c r="S2546" s="2" t="s">
        <v>15300</v>
      </c>
      <c r="T2546" s="2" t="s">
        <v>15301</v>
      </c>
      <c r="U2546" s="2" t="s">
        <v>15302</v>
      </c>
      <c r="V2546" s="2" t="s">
        <v>15303</v>
      </c>
      <c r="W2546" s="1"/>
      <c r="X2546" s="2" t="s">
        <v>6362</v>
      </c>
      <c r="Y2546" s="2" t="s">
        <v>15242</v>
      </c>
      <c r="AA2546" t="str">
        <f t="shared" si="234"/>
        <v>2025-10</v>
      </c>
      <c r="AB2546" t="str">
        <f t="shared" si="235"/>
        <v/>
      </c>
      <c r="AC2546">
        <f t="shared" si="236"/>
        <v>1145592</v>
      </c>
      <c r="AD2546">
        <f t="shared" si="237"/>
        <v>210</v>
      </c>
      <c r="AE2546">
        <f t="shared" si="238"/>
        <v>215832</v>
      </c>
      <c r="AF2546" t="str">
        <f t="shared" si="239"/>
        <v>Paid</v>
      </c>
    </row>
    <row r="2547" spans="1:32" ht="17.25" thickBot="1" x14ac:dyDescent="0.35">
      <c r="A2547" s="2" t="s">
        <v>15304</v>
      </c>
      <c r="B2547" s="2" t="s">
        <v>27</v>
      </c>
      <c r="C2547" s="2" t="s">
        <v>28</v>
      </c>
      <c r="D2547" s="2" t="s">
        <v>97</v>
      </c>
      <c r="E2547" s="2" t="s">
        <v>15170</v>
      </c>
      <c r="F2547" s="2" t="s">
        <v>8445</v>
      </c>
      <c r="G2547" s="2" t="s">
        <v>32</v>
      </c>
      <c r="H2547" s="1"/>
      <c r="I2547" s="2" t="s">
        <v>33</v>
      </c>
      <c r="J2547" s="2" t="s">
        <v>34</v>
      </c>
      <c r="K2547" s="2" t="s">
        <v>6627</v>
      </c>
      <c r="L2547" s="2" t="s">
        <v>6628</v>
      </c>
      <c r="M2547" s="2" t="s">
        <v>37</v>
      </c>
      <c r="N2547" s="2" t="s">
        <v>38</v>
      </c>
      <c r="O2547" s="2" t="s">
        <v>156</v>
      </c>
      <c r="P2547" s="2" t="s">
        <v>14720</v>
      </c>
      <c r="Q2547" s="2" t="s">
        <v>15305</v>
      </c>
      <c r="R2547" s="2" t="s">
        <v>40</v>
      </c>
      <c r="S2547" s="2" t="s">
        <v>15306</v>
      </c>
      <c r="T2547" s="2" t="s">
        <v>15307</v>
      </c>
      <c r="U2547" s="2" t="s">
        <v>15308</v>
      </c>
      <c r="V2547" s="2" t="s">
        <v>15309</v>
      </c>
      <c r="W2547" s="1"/>
      <c r="X2547" s="2" t="s">
        <v>15310</v>
      </c>
      <c r="Y2547" s="2" t="s">
        <v>15242</v>
      </c>
      <c r="AA2547" t="str">
        <f t="shared" si="234"/>
        <v>2025-10</v>
      </c>
      <c r="AB2547" t="str">
        <f t="shared" si="235"/>
        <v/>
      </c>
      <c r="AC2547">
        <f t="shared" si="236"/>
        <v>376136.04</v>
      </c>
      <c r="AD2547">
        <f t="shared" si="237"/>
        <v>20</v>
      </c>
      <c r="AE2547">
        <f t="shared" si="238"/>
        <v>141636.04</v>
      </c>
      <c r="AF2547" t="str">
        <f t="shared" si="239"/>
        <v>Paid</v>
      </c>
    </row>
    <row r="2548" spans="1:32" ht="27.75" thickBot="1" x14ac:dyDescent="0.35">
      <c r="A2548" s="2" t="s">
        <v>15311</v>
      </c>
      <c r="B2548" s="2" t="s">
        <v>27</v>
      </c>
      <c r="C2548" s="2" t="s">
        <v>28</v>
      </c>
      <c r="D2548" s="2" t="s">
        <v>97</v>
      </c>
      <c r="E2548" s="2" t="s">
        <v>15170</v>
      </c>
      <c r="F2548" s="2" t="s">
        <v>8445</v>
      </c>
      <c r="G2548" s="2" t="s">
        <v>32</v>
      </c>
      <c r="H2548" s="1"/>
      <c r="I2548" s="2" t="s">
        <v>33</v>
      </c>
      <c r="J2548" s="2" t="s">
        <v>34</v>
      </c>
      <c r="K2548" s="2" t="s">
        <v>7197</v>
      </c>
      <c r="L2548" s="2" t="s">
        <v>7198</v>
      </c>
      <c r="M2548" s="2" t="s">
        <v>37</v>
      </c>
      <c r="N2548" s="2" t="s">
        <v>38</v>
      </c>
      <c r="O2548" s="2" t="s">
        <v>391</v>
      </c>
      <c r="P2548" s="2" t="s">
        <v>14725</v>
      </c>
      <c r="Q2548" s="2" t="s">
        <v>15312</v>
      </c>
      <c r="R2548" s="2" t="s">
        <v>40</v>
      </c>
      <c r="S2548" s="2" t="s">
        <v>15313</v>
      </c>
      <c r="T2548" s="2" t="s">
        <v>15314</v>
      </c>
      <c r="U2548" s="2" t="s">
        <v>15315</v>
      </c>
      <c r="V2548" s="2" t="s">
        <v>15316</v>
      </c>
      <c r="W2548" s="1"/>
      <c r="X2548" s="2" t="s">
        <v>14718</v>
      </c>
      <c r="Y2548" s="2" t="s">
        <v>15242</v>
      </c>
      <c r="AA2548" t="str">
        <f t="shared" si="234"/>
        <v>2025-10</v>
      </c>
      <c r="AB2548" t="str">
        <f t="shared" si="235"/>
        <v/>
      </c>
      <c r="AC2548">
        <f t="shared" si="236"/>
        <v>2819792.88</v>
      </c>
      <c r="AD2548">
        <f t="shared" si="237"/>
        <v>60</v>
      </c>
      <c r="AE2548">
        <f t="shared" si="238"/>
        <v>914792.88</v>
      </c>
      <c r="AF2548" t="str">
        <f t="shared" si="239"/>
        <v>Paid</v>
      </c>
    </row>
    <row r="2549" spans="1:32" ht="17.25" thickBot="1" x14ac:dyDescent="0.35">
      <c r="A2549" s="2" t="s">
        <v>15317</v>
      </c>
      <c r="B2549" s="2" t="s">
        <v>27</v>
      </c>
      <c r="C2549" s="2" t="s">
        <v>28</v>
      </c>
      <c r="D2549" s="2" t="s">
        <v>97</v>
      </c>
      <c r="E2549" s="2" t="s">
        <v>15170</v>
      </c>
      <c r="F2549" s="2" t="s">
        <v>8445</v>
      </c>
      <c r="G2549" s="2" t="s">
        <v>32</v>
      </c>
      <c r="H2549" s="1"/>
      <c r="I2549" s="2" t="s">
        <v>33</v>
      </c>
      <c r="J2549" s="2" t="s">
        <v>34</v>
      </c>
      <c r="K2549" s="2" t="s">
        <v>6636</v>
      </c>
      <c r="L2549" s="2" t="s">
        <v>6637</v>
      </c>
      <c r="M2549" s="2" t="s">
        <v>37</v>
      </c>
      <c r="N2549" s="2" t="s">
        <v>38</v>
      </c>
      <c r="O2549" s="2" t="s">
        <v>156</v>
      </c>
      <c r="P2549" s="2" t="s">
        <v>14732</v>
      </c>
      <c r="Q2549" s="2" t="s">
        <v>15318</v>
      </c>
      <c r="R2549" s="2" t="s">
        <v>40</v>
      </c>
      <c r="S2549" s="2" t="s">
        <v>15319</v>
      </c>
      <c r="T2549" s="2" t="s">
        <v>6641</v>
      </c>
      <c r="U2549" s="2" t="s">
        <v>10794</v>
      </c>
      <c r="V2549" s="2" t="s">
        <v>15320</v>
      </c>
      <c r="W2549" s="1"/>
      <c r="X2549" s="2" t="s">
        <v>1195</v>
      </c>
      <c r="Y2549" s="2" t="s">
        <v>15242</v>
      </c>
      <c r="AA2549" t="str">
        <f t="shared" si="234"/>
        <v>2025-10</v>
      </c>
      <c r="AB2549" t="str">
        <f t="shared" si="235"/>
        <v/>
      </c>
      <c r="AC2549">
        <f t="shared" si="236"/>
        <v>338495.16</v>
      </c>
      <c r="AD2549">
        <f t="shared" si="237"/>
        <v>20</v>
      </c>
      <c r="AE2549">
        <f t="shared" si="238"/>
        <v>50495.16</v>
      </c>
      <c r="AF2549" t="str">
        <f t="shared" si="239"/>
        <v>Paid</v>
      </c>
    </row>
    <row r="2550" spans="1:32" ht="17.25" thickBot="1" x14ac:dyDescent="0.35">
      <c r="A2550" s="2" t="s">
        <v>15321</v>
      </c>
      <c r="B2550" s="2" t="s">
        <v>27</v>
      </c>
      <c r="C2550" s="2" t="s">
        <v>28</v>
      </c>
      <c r="D2550" s="2" t="s">
        <v>97</v>
      </c>
      <c r="E2550" s="2" t="s">
        <v>15170</v>
      </c>
      <c r="F2550" s="2" t="s">
        <v>8445</v>
      </c>
      <c r="G2550" s="2" t="s">
        <v>32</v>
      </c>
      <c r="H2550" s="1"/>
      <c r="I2550" s="2" t="s">
        <v>33</v>
      </c>
      <c r="J2550" s="2" t="s">
        <v>34</v>
      </c>
      <c r="K2550" s="2" t="s">
        <v>1291</v>
      </c>
      <c r="L2550" s="2" t="s">
        <v>1292</v>
      </c>
      <c r="M2550" s="2" t="s">
        <v>37</v>
      </c>
      <c r="N2550" s="2" t="s">
        <v>38</v>
      </c>
      <c r="O2550" s="2" t="s">
        <v>214</v>
      </c>
      <c r="P2550" s="2" t="s">
        <v>6237</v>
      </c>
      <c r="Q2550" s="2" t="s">
        <v>15322</v>
      </c>
      <c r="R2550" s="2" t="s">
        <v>40</v>
      </c>
      <c r="S2550" s="2" t="s">
        <v>15323</v>
      </c>
      <c r="T2550" s="2" t="s">
        <v>15324</v>
      </c>
      <c r="U2550" s="2" t="s">
        <v>15325</v>
      </c>
      <c r="V2550" s="2" t="s">
        <v>15326</v>
      </c>
      <c r="W2550" s="1"/>
      <c r="X2550" s="2" t="s">
        <v>838</v>
      </c>
      <c r="Y2550" s="2" t="s">
        <v>15242</v>
      </c>
      <c r="AA2550" t="str">
        <f t="shared" si="234"/>
        <v>2025-10</v>
      </c>
      <c r="AB2550" t="str">
        <f t="shared" si="235"/>
        <v/>
      </c>
      <c r="AC2550">
        <f t="shared" si="236"/>
        <v>377772.6</v>
      </c>
      <c r="AD2550">
        <f t="shared" si="237"/>
        <v>50</v>
      </c>
      <c r="AE2550">
        <f t="shared" si="238"/>
        <v>78972.600000000006</v>
      </c>
      <c r="AF2550" t="str">
        <f t="shared" si="239"/>
        <v>Paid</v>
      </c>
    </row>
    <row r="2551" spans="1:32" ht="17.25" thickBot="1" x14ac:dyDescent="0.35">
      <c r="A2551" s="2" t="s">
        <v>15327</v>
      </c>
      <c r="B2551" s="2" t="s">
        <v>27</v>
      </c>
      <c r="C2551" s="2" t="s">
        <v>28</v>
      </c>
      <c r="D2551" s="2" t="s">
        <v>97</v>
      </c>
      <c r="E2551" s="2" t="s">
        <v>15170</v>
      </c>
      <c r="F2551" s="2" t="s">
        <v>8445</v>
      </c>
      <c r="G2551" s="2" t="s">
        <v>32</v>
      </c>
      <c r="H2551" s="1"/>
      <c r="I2551" s="2" t="s">
        <v>33</v>
      </c>
      <c r="J2551" s="2" t="s">
        <v>34</v>
      </c>
      <c r="K2551" s="2" t="s">
        <v>6656</v>
      </c>
      <c r="L2551" s="2" t="s">
        <v>6657</v>
      </c>
      <c r="M2551" s="2" t="s">
        <v>37</v>
      </c>
      <c r="N2551" s="2" t="s">
        <v>38</v>
      </c>
      <c r="O2551" s="2" t="s">
        <v>466</v>
      </c>
      <c r="P2551" s="2" t="s">
        <v>13527</v>
      </c>
      <c r="Q2551" s="2" t="s">
        <v>10856</v>
      </c>
      <c r="R2551" s="2" t="s">
        <v>40</v>
      </c>
      <c r="S2551" s="2" t="s">
        <v>15328</v>
      </c>
      <c r="T2551" s="2" t="s">
        <v>1364</v>
      </c>
      <c r="U2551" s="2" t="s">
        <v>15329</v>
      </c>
      <c r="V2551" s="2" t="s">
        <v>15330</v>
      </c>
      <c r="W2551" s="1"/>
      <c r="X2551" s="2" t="s">
        <v>1100</v>
      </c>
      <c r="Y2551" s="2" t="s">
        <v>15242</v>
      </c>
      <c r="AA2551" t="str">
        <f t="shared" si="234"/>
        <v>2025-10</v>
      </c>
      <c r="AB2551" t="str">
        <f t="shared" si="235"/>
        <v/>
      </c>
      <c r="AC2551">
        <f t="shared" si="236"/>
        <v>441052.92</v>
      </c>
      <c r="AD2551">
        <f t="shared" si="237"/>
        <v>70</v>
      </c>
      <c r="AE2551">
        <f t="shared" si="238"/>
        <v>73552.92</v>
      </c>
      <c r="AF2551" t="str">
        <f t="shared" si="239"/>
        <v>Paid</v>
      </c>
    </row>
    <row r="2552" spans="1:32" ht="27.75" thickBot="1" x14ac:dyDescent="0.35">
      <c r="A2552" s="2" t="s">
        <v>15331</v>
      </c>
      <c r="B2552" s="2" t="s">
        <v>27</v>
      </c>
      <c r="C2552" s="2" t="s">
        <v>28</v>
      </c>
      <c r="D2552" s="2" t="s">
        <v>97</v>
      </c>
      <c r="E2552" s="2" t="s">
        <v>15170</v>
      </c>
      <c r="F2552" s="2" t="s">
        <v>8445</v>
      </c>
      <c r="G2552" s="2" t="s">
        <v>32</v>
      </c>
      <c r="H2552" s="1"/>
      <c r="I2552" s="2" t="s">
        <v>33</v>
      </c>
      <c r="J2552" s="2" t="s">
        <v>34</v>
      </c>
      <c r="K2552" s="2" t="s">
        <v>1308</v>
      </c>
      <c r="L2552" s="2" t="s">
        <v>1309</v>
      </c>
      <c r="M2552" s="2" t="s">
        <v>37</v>
      </c>
      <c r="N2552" s="2" t="s">
        <v>38</v>
      </c>
      <c r="O2552" s="2" t="s">
        <v>141</v>
      </c>
      <c r="P2552" s="2" t="s">
        <v>14753</v>
      </c>
      <c r="Q2552" s="2" t="s">
        <v>15332</v>
      </c>
      <c r="R2552" s="2" t="s">
        <v>40</v>
      </c>
      <c r="S2552" s="2" t="s">
        <v>15333</v>
      </c>
      <c r="T2552" s="2" t="s">
        <v>6668</v>
      </c>
      <c r="U2552" s="2" t="s">
        <v>5521</v>
      </c>
      <c r="V2552" s="2" t="s">
        <v>15334</v>
      </c>
      <c r="W2552" s="1"/>
      <c r="X2552" s="2" t="s">
        <v>1100</v>
      </c>
      <c r="Y2552" s="2" t="s">
        <v>15242</v>
      </c>
      <c r="AA2552" t="str">
        <f t="shared" si="234"/>
        <v>2025-10</v>
      </c>
      <c r="AB2552" t="str">
        <f t="shared" si="235"/>
        <v/>
      </c>
      <c r="AC2552">
        <f t="shared" si="236"/>
        <v>567068.04</v>
      </c>
      <c r="AD2552">
        <f t="shared" si="237"/>
        <v>30</v>
      </c>
      <c r="AE2552">
        <f t="shared" si="238"/>
        <v>94568.04</v>
      </c>
      <c r="AF2552" t="str">
        <f t="shared" si="239"/>
        <v>Paid</v>
      </c>
    </row>
    <row r="2553" spans="1:32" ht="17.25" thickBot="1" x14ac:dyDescent="0.35">
      <c r="A2553" s="2" t="s">
        <v>15335</v>
      </c>
      <c r="B2553" s="2" t="s">
        <v>27</v>
      </c>
      <c r="C2553" s="2" t="s">
        <v>28</v>
      </c>
      <c r="D2553" s="2" t="s">
        <v>97</v>
      </c>
      <c r="E2553" s="2" t="s">
        <v>15170</v>
      </c>
      <c r="F2553" s="2" t="s">
        <v>8445</v>
      </c>
      <c r="G2553" s="2" t="s">
        <v>32</v>
      </c>
      <c r="H2553" s="1"/>
      <c r="I2553" s="2" t="s">
        <v>33</v>
      </c>
      <c r="J2553" s="2" t="s">
        <v>34</v>
      </c>
      <c r="K2553" s="2" t="s">
        <v>35</v>
      </c>
      <c r="L2553" s="2" t="s">
        <v>36</v>
      </c>
      <c r="M2553" s="2" t="s">
        <v>37</v>
      </c>
      <c r="N2553" s="2" t="s">
        <v>38</v>
      </c>
      <c r="O2553" s="2" t="s">
        <v>141</v>
      </c>
      <c r="P2553" s="2" t="s">
        <v>8791</v>
      </c>
      <c r="Q2553" s="2" t="s">
        <v>15336</v>
      </c>
      <c r="R2553" s="2" t="s">
        <v>40</v>
      </c>
      <c r="S2553" s="2" t="s">
        <v>15337</v>
      </c>
      <c r="T2553" s="2" t="s">
        <v>5426</v>
      </c>
      <c r="U2553" s="2" t="s">
        <v>15338</v>
      </c>
      <c r="V2553" s="2" t="s">
        <v>15339</v>
      </c>
      <c r="W2553" s="1"/>
      <c r="X2553" s="2" t="s">
        <v>6790</v>
      </c>
      <c r="Y2553" s="2" t="s">
        <v>15242</v>
      </c>
      <c r="AA2553" t="str">
        <f t="shared" si="234"/>
        <v>2025-10</v>
      </c>
      <c r="AB2553" t="str">
        <f t="shared" si="235"/>
        <v/>
      </c>
      <c r="AC2553">
        <f t="shared" si="236"/>
        <v>302354.46000000002</v>
      </c>
      <c r="AD2553">
        <f t="shared" si="237"/>
        <v>30</v>
      </c>
      <c r="AE2553">
        <f t="shared" si="238"/>
        <v>65354.46</v>
      </c>
      <c r="AF2553" t="str">
        <f t="shared" si="239"/>
        <v>Paid</v>
      </c>
    </row>
    <row r="2554" spans="1:32" ht="17.25" thickBot="1" x14ac:dyDescent="0.35">
      <c r="A2554" s="2" t="s">
        <v>15340</v>
      </c>
      <c r="B2554" s="2" t="s">
        <v>27</v>
      </c>
      <c r="C2554" s="2" t="s">
        <v>28</v>
      </c>
      <c r="D2554" s="2" t="s">
        <v>97</v>
      </c>
      <c r="E2554" s="2" t="s">
        <v>15170</v>
      </c>
      <c r="F2554" s="2" t="s">
        <v>8445</v>
      </c>
      <c r="G2554" s="2" t="s">
        <v>32</v>
      </c>
      <c r="H2554" s="1"/>
      <c r="I2554" s="2" t="s">
        <v>33</v>
      </c>
      <c r="J2554" s="2" t="s">
        <v>34</v>
      </c>
      <c r="K2554" s="2" t="s">
        <v>5422</v>
      </c>
      <c r="L2554" s="2" t="s">
        <v>5423</v>
      </c>
      <c r="M2554" s="2" t="s">
        <v>37</v>
      </c>
      <c r="N2554" s="2" t="s">
        <v>38</v>
      </c>
      <c r="O2554" s="2" t="s">
        <v>466</v>
      </c>
      <c r="P2554" s="2" t="s">
        <v>8791</v>
      </c>
      <c r="Q2554" s="2" t="s">
        <v>8792</v>
      </c>
      <c r="R2554" s="2" t="s">
        <v>40</v>
      </c>
      <c r="S2554" s="2" t="s">
        <v>15341</v>
      </c>
      <c r="T2554" s="2" t="s">
        <v>5426</v>
      </c>
      <c r="U2554" s="2" t="s">
        <v>15342</v>
      </c>
      <c r="V2554" s="2" t="s">
        <v>15343</v>
      </c>
      <c r="W2554" s="1"/>
      <c r="X2554" s="2" t="s">
        <v>6790</v>
      </c>
      <c r="Y2554" s="2" t="s">
        <v>15242</v>
      </c>
      <c r="AA2554" t="str">
        <f t="shared" si="234"/>
        <v>2025-10</v>
      </c>
      <c r="AB2554" t="str">
        <f t="shared" si="235"/>
        <v/>
      </c>
      <c r="AC2554">
        <f t="shared" si="236"/>
        <v>705493.74</v>
      </c>
      <c r="AD2554">
        <f t="shared" si="237"/>
        <v>70</v>
      </c>
      <c r="AE2554">
        <f t="shared" si="238"/>
        <v>152493.74</v>
      </c>
      <c r="AF2554" t="str">
        <f t="shared" si="239"/>
        <v>Paid</v>
      </c>
    </row>
    <row r="2555" spans="1:32" ht="17.25" thickBot="1" x14ac:dyDescent="0.35">
      <c r="A2555" s="2" t="s">
        <v>15344</v>
      </c>
      <c r="B2555" s="2" t="s">
        <v>27</v>
      </c>
      <c r="C2555" s="2" t="s">
        <v>28</v>
      </c>
      <c r="D2555" s="2" t="s">
        <v>97</v>
      </c>
      <c r="E2555" s="2" t="s">
        <v>15170</v>
      </c>
      <c r="F2555" s="2" t="s">
        <v>8445</v>
      </c>
      <c r="G2555" s="2" t="s">
        <v>32</v>
      </c>
      <c r="H2555" s="1"/>
      <c r="I2555" s="2" t="s">
        <v>33</v>
      </c>
      <c r="J2555" s="2" t="s">
        <v>34</v>
      </c>
      <c r="K2555" s="2" t="s">
        <v>14794</v>
      </c>
      <c r="L2555" s="2" t="s">
        <v>14795</v>
      </c>
      <c r="M2555" s="2" t="s">
        <v>37</v>
      </c>
      <c r="N2555" s="2" t="s">
        <v>38</v>
      </c>
      <c r="O2555" s="2" t="s">
        <v>156</v>
      </c>
      <c r="P2555" s="2" t="s">
        <v>6952</v>
      </c>
      <c r="Q2555" s="2" t="s">
        <v>14789</v>
      </c>
      <c r="R2555" s="2" t="s">
        <v>40</v>
      </c>
      <c r="S2555" s="2" t="s">
        <v>14790</v>
      </c>
      <c r="T2555" s="2" t="s">
        <v>669</v>
      </c>
      <c r="U2555" s="2" t="s">
        <v>3024</v>
      </c>
      <c r="V2555" s="2" t="s">
        <v>15345</v>
      </c>
      <c r="W2555" s="1"/>
      <c r="X2555" s="2" t="s">
        <v>1340</v>
      </c>
      <c r="Y2555" s="2" t="s">
        <v>15242</v>
      </c>
      <c r="AA2555" t="str">
        <f t="shared" si="234"/>
        <v>2025-10</v>
      </c>
      <c r="AB2555" t="str">
        <f t="shared" si="235"/>
        <v/>
      </c>
      <c r="AC2555">
        <f t="shared" si="236"/>
        <v>168020.16</v>
      </c>
      <c r="AD2555">
        <f t="shared" si="237"/>
        <v>20</v>
      </c>
      <c r="AE2555">
        <f t="shared" si="238"/>
        <v>48020.160000000003</v>
      </c>
      <c r="AF2555" t="str">
        <f t="shared" si="239"/>
        <v>Paid</v>
      </c>
    </row>
    <row r="2556" spans="1:32" ht="17.25" thickBot="1" x14ac:dyDescent="0.35">
      <c r="A2556" s="2" t="s">
        <v>15346</v>
      </c>
      <c r="B2556" s="2" t="s">
        <v>27</v>
      </c>
      <c r="C2556" s="2" t="s">
        <v>28</v>
      </c>
      <c r="D2556" s="2" t="s">
        <v>97</v>
      </c>
      <c r="E2556" s="2" t="s">
        <v>15347</v>
      </c>
      <c r="F2556" s="2" t="s">
        <v>8445</v>
      </c>
      <c r="G2556" s="2" t="s">
        <v>32</v>
      </c>
      <c r="H2556" s="1"/>
      <c r="I2556" s="2" t="s">
        <v>33</v>
      </c>
      <c r="J2556" s="2" t="s">
        <v>34</v>
      </c>
      <c r="K2556" s="2" t="s">
        <v>324</v>
      </c>
      <c r="L2556" s="2" t="s">
        <v>325</v>
      </c>
      <c r="M2556" s="2" t="s">
        <v>304</v>
      </c>
      <c r="N2556" s="2" t="s">
        <v>38</v>
      </c>
      <c r="O2556" s="2" t="s">
        <v>15348</v>
      </c>
      <c r="P2556" s="2" t="s">
        <v>6229</v>
      </c>
      <c r="Q2556" s="2" t="s">
        <v>15349</v>
      </c>
      <c r="R2556" s="2" t="s">
        <v>40</v>
      </c>
      <c r="S2556" s="2" t="s">
        <v>15350</v>
      </c>
      <c r="T2556" s="2" t="s">
        <v>2069</v>
      </c>
      <c r="U2556" s="2" t="s">
        <v>15351</v>
      </c>
      <c r="V2556" s="2" t="s">
        <v>15352</v>
      </c>
      <c r="W2556" s="1"/>
      <c r="X2556" s="2" t="s">
        <v>15353</v>
      </c>
      <c r="Y2556" s="2" t="s">
        <v>15354</v>
      </c>
      <c r="AA2556" t="str">
        <f t="shared" si="234"/>
        <v>2025-09</v>
      </c>
      <c r="AB2556" t="str">
        <f t="shared" si="235"/>
        <v/>
      </c>
      <c r="AC2556">
        <f t="shared" si="236"/>
        <v>21002077.199999999</v>
      </c>
      <c r="AD2556">
        <f t="shared" si="237"/>
        <v>2150</v>
      </c>
      <c r="AE2556">
        <f t="shared" si="238"/>
        <v>2082077.2</v>
      </c>
      <c r="AF2556" t="str">
        <f t="shared" si="239"/>
        <v>Paid</v>
      </c>
    </row>
    <row r="2557" spans="1:32" ht="17.25" thickBot="1" x14ac:dyDescent="0.35">
      <c r="A2557" s="2" t="s">
        <v>15355</v>
      </c>
      <c r="B2557" s="2" t="s">
        <v>27</v>
      </c>
      <c r="C2557" s="2" t="s">
        <v>28</v>
      </c>
      <c r="D2557" s="2" t="s">
        <v>97</v>
      </c>
      <c r="E2557" s="2" t="s">
        <v>15347</v>
      </c>
      <c r="F2557" s="2" t="s">
        <v>8445</v>
      </c>
      <c r="G2557" s="2" t="s">
        <v>32</v>
      </c>
      <c r="H2557" s="1"/>
      <c r="I2557" s="2" t="s">
        <v>33</v>
      </c>
      <c r="J2557" s="2" t="s">
        <v>34</v>
      </c>
      <c r="K2557" s="2" t="s">
        <v>324</v>
      </c>
      <c r="L2557" s="2" t="s">
        <v>325</v>
      </c>
      <c r="M2557" s="2" t="s">
        <v>304</v>
      </c>
      <c r="N2557" s="2" t="s">
        <v>38</v>
      </c>
      <c r="O2557" s="2" t="s">
        <v>839</v>
      </c>
      <c r="P2557" s="2" t="s">
        <v>104</v>
      </c>
      <c r="Q2557" s="2" t="s">
        <v>15356</v>
      </c>
      <c r="R2557" s="2" t="s">
        <v>40</v>
      </c>
      <c r="S2557" s="2" t="s">
        <v>15357</v>
      </c>
      <c r="T2557" s="2" t="s">
        <v>2069</v>
      </c>
      <c r="U2557" s="2" t="s">
        <v>15358</v>
      </c>
      <c r="V2557" s="2" t="s">
        <v>15359</v>
      </c>
      <c r="W2557" s="2" t="s">
        <v>41</v>
      </c>
      <c r="X2557" s="2" t="s">
        <v>15360</v>
      </c>
      <c r="Y2557" s="2" t="s">
        <v>15354</v>
      </c>
      <c r="AA2557" t="str">
        <f t="shared" si="234"/>
        <v>2025-09</v>
      </c>
      <c r="AB2557" t="str">
        <f t="shared" si="235"/>
        <v/>
      </c>
      <c r="AC2557">
        <f t="shared" si="236"/>
        <v>1307.9000000000001</v>
      </c>
      <c r="AD2557">
        <f t="shared" si="237"/>
        <v>96</v>
      </c>
      <c r="AE2557">
        <f t="shared" si="238"/>
        <v>-843492.1</v>
      </c>
      <c r="AF2557" t="str">
        <f t="shared" si="239"/>
        <v>Sample</v>
      </c>
    </row>
    <row r="2558" spans="1:32" ht="17.25" thickBot="1" x14ac:dyDescent="0.35">
      <c r="A2558" s="2" t="s">
        <v>15361</v>
      </c>
      <c r="B2558" s="2" t="s">
        <v>27</v>
      </c>
      <c r="C2558" s="2" t="s">
        <v>28</v>
      </c>
      <c r="D2558" s="2" t="s">
        <v>97</v>
      </c>
      <c r="E2558" s="2" t="s">
        <v>15347</v>
      </c>
      <c r="F2558" s="2" t="s">
        <v>8445</v>
      </c>
      <c r="G2558" s="2" t="s">
        <v>32</v>
      </c>
      <c r="H2558" s="1"/>
      <c r="I2558" s="2" t="s">
        <v>33</v>
      </c>
      <c r="J2558" s="2" t="s">
        <v>34</v>
      </c>
      <c r="K2558" s="2" t="s">
        <v>341</v>
      </c>
      <c r="L2558" s="2" t="s">
        <v>342</v>
      </c>
      <c r="M2558" s="2" t="s">
        <v>304</v>
      </c>
      <c r="N2558" s="2" t="s">
        <v>38</v>
      </c>
      <c r="O2558" s="2" t="s">
        <v>3455</v>
      </c>
      <c r="P2558" s="2" t="s">
        <v>5253</v>
      </c>
      <c r="Q2558" s="2" t="s">
        <v>15362</v>
      </c>
      <c r="R2558" s="2" t="s">
        <v>40</v>
      </c>
      <c r="S2558" s="2" t="s">
        <v>15363</v>
      </c>
      <c r="T2558" s="2" t="s">
        <v>15364</v>
      </c>
      <c r="U2558" s="2" t="s">
        <v>15365</v>
      </c>
      <c r="V2558" s="2" t="s">
        <v>15366</v>
      </c>
      <c r="W2558" s="1"/>
      <c r="X2558" s="2" t="s">
        <v>4499</v>
      </c>
      <c r="Y2558" s="2" t="s">
        <v>15354</v>
      </c>
      <c r="AA2558" t="str">
        <f t="shared" si="234"/>
        <v>2025-09</v>
      </c>
      <c r="AB2558" t="str">
        <f t="shared" si="235"/>
        <v/>
      </c>
      <c r="AC2558">
        <f t="shared" si="236"/>
        <v>4838972.32</v>
      </c>
      <c r="AD2558">
        <f t="shared" si="237"/>
        <v>430</v>
      </c>
      <c r="AE2558">
        <f t="shared" si="238"/>
        <v>1076472.3200000001</v>
      </c>
      <c r="AF2558" t="str">
        <f t="shared" si="239"/>
        <v>Paid</v>
      </c>
    </row>
    <row r="2559" spans="1:32" ht="17.25" thickBot="1" x14ac:dyDescent="0.35">
      <c r="A2559" s="2" t="s">
        <v>15367</v>
      </c>
      <c r="B2559" s="2" t="s">
        <v>27</v>
      </c>
      <c r="C2559" s="2" t="s">
        <v>28</v>
      </c>
      <c r="D2559" s="2" t="s">
        <v>97</v>
      </c>
      <c r="E2559" s="2" t="s">
        <v>15347</v>
      </c>
      <c r="F2559" s="2" t="s">
        <v>8445</v>
      </c>
      <c r="G2559" s="2" t="s">
        <v>32</v>
      </c>
      <c r="H2559" s="1"/>
      <c r="I2559" s="2" t="s">
        <v>33</v>
      </c>
      <c r="J2559" s="2" t="s">
        <v>34</v>
      </c>
      <c r="K2559" s="2" t="s">
        <v>341</v>
      </c>
      <c r="L2559" s="2" t="s">
        <v>342</v>
      </c>
      <c r="M2559" s="2" t="s">
        <v>304</v>
      </c>
      <c r="N2559" s="2" t="s">
        <v>38</v>
      </c>
      <c r="O2559" s="2" t="s">
        <v>159</v>
      </c>
      <c r="P2559" s="2" t="s">
        <v>104</v>
      </c>
      <c r="Q2559" s="2" t="s">
        <v>160</v>
      </c>
      <c r="R2559" s="2" t="s">
        <v>40</v>
      </c>
      <c r="S2559" s="2" t="s">
        <v>15368</v>
      </c>
      <c r="T2559" s="2" t="s">
        <v>15364</v>
      </c>
      <c r="U2559" s="2" t="s">
        <v>3164</v>
      </c>
      <c r="V2559" s="2" t="s">
        <v>15369</v>
      </c>
      <c r="W2559" s="2" t="s">
        <v>41</v>
      </c>
      <c r="X2559" s="2" t="s">
        <v>15370</v>
      </c>
      <c r="Y2559" s="2" t="s">
        <v>15354</v>
      </c>
      <c r="AA2559" t="str">
        <f t="shared" si="234"/>
        <v>2025-09</v>
      </c>
      <c r="AB2559" t="str">
        <f t="shared" si="235"/>
        <v/>
      </c>
      <c r="AC2559">
        <f t="shared" si="236"/>
        <v>1089.92</v>
      </c>
      <c r="AD2559">
        <f t="shared" si="237"/>
        <v>80</v>
      </c>
      <c r="AE2559">
        <f t="shared" si="238"/>
        <v>-698910.08</v>
      </c>
      <c r="AF2559" t="str">
        <f t="shared" si="239"/>
        <v>Sample</v>
      </c>
    </row>
    <row r="2560" spans="1:32" ht="27.75" thickBot="1" x14ac:dyDescent="0.35">
      <c r="A2560" s="2" t="s">
        <v>15371</v>
      </c>
      <c r="B2560" s="2" t="s">
        <v>27</v>
      </c>
      <c r="C2560" s="2" t="s">
        <v>28</v>
      </c>
      <c r="D2560" s="2" t="s">
        <v>97</v>
      </c>
      <c r="E2560" s="2" t="s">
        <v>15347</v>
      </c>
      <c r="F2560" s="2" t="s">
        <v>8445</v>
      </c>
      <c r="G2560" s="2" t="s">
        <v>32</v>
      </c>
      <c r="H2560" s="1"/>
      <c r="I2560" s="2" t="s">
        <v>33</v>
      </c>
      <c r="J2560" s="2" t="s">
        <v>34</v>
      </c>
      <c r="K2560" s="2" t="s">
        <v>352</v>
      </c>
      <c r="L2560" s="2" t="s">
        <v>353</v>
      </c>
      <c r="M2560" s="2" t="s">
        <v>304</v>
      </c>
      <c r="N2560" s="2" t="s">
        <v>38</v>
      </c>
      <c r="O2560" s="2" t="s">
        <v>1836</v>
      </c>
      <c r="P2560" s="2" t="s">
        <v>13527</v>
      </c>
      <c r="Q2560" s="2" t="s">
        <v>6941</v>
      </c>
      <c r="R2560" s="2" t="s">
        <v>40</v>
      </c>
      <c r="S2560" s="2" t="s">
        <v>15372</v>
      </c>
      <c r="T2560" s="2" t="s">
        <v>107</v>
      </c>
      <c r="U2560" s="2" t="s">
        <v>15373</v>
      </c>
      <c r="V2560" s="2" t="s">
        <v>15374</v>
      </c>
      <c r="W2560" s="1"/>
      <c r="X2560" s="2" t="s">
        <v>7436</v>
      </c>
      <c r="Y2560" s="2" t="s">
        <v>15354</v>
      </c>
      <c r="AA2560" t="str">
        <f t="shared" si="234"/>
        <v>2025-09</v>
      </c>
      <c r="AB2560" t="str">
        <f t="shared" si="235"/>
        <v/>
      </c>
      <c r="AC2560">
        <f t="shared" si="236"/>
        <v>1384743.36</v>
      </c>
      <c r="AD2560">
        <f t="shared" si="237"/>
        <v>220</v>
      </c>
      <c r="AE2560">
        <f t="shared" si="238"/>
        <v>152743.35999999999</v>
      </c>
      <c r="AF2560" t="str">
        <f t="shared" si="239"/>
        <v>Paid</v>
      </c>
    </row>
    <row r="2561" spans="1:32" ht="17.25" thickBot="1" x14ac:dyDescent="0.35">
      <c r="A2561" s="2" t="s">
        <v>15375</v>
      </c>
      <c r="B2561" s="2" t="s">
        <v>27</v>
      </c>
      <c r="C2561" s="2" t="s">
        <v>28</v>
      </c>
      <c r="D2561" s="2" t="s">
        <v>97</v>
      </c>
      <c r="E2561" s="2" t="s">
        <v>15347</v>
      </c>
      <c r="F2561" s="2" t="s">
        <v>8445</v>
      </c>
      <c r="G2561" s="2" t="s">
        <v>32</v>
      </c>
      <c r="H2561" s="1"/>
      <c r="I2561" s="2" t="s">
        <v>33</v>
      </c>
      <c r="J2561" s="2" t="s">
        <v>34</v>
      </c>
      <c r="K2561" s="2" t="s">
        <v>10428</v>
      </c>
      <c r="L2561" s="2" t="s">
        <v>10429</v>
      </c>
      <c r="M2561" s="2" t="s">
        <v>304</v>
      </c>
      <c r="N2561" s="2" t="s">
        <v>38</v>
      </c>
      <c r="O2561" s="2" t="s">
        <v>1836</v>
      </c>
      <c r="P2561" s="2" t="s">
        <v>4621</v>
      </c>
      <c r="Q2561" s="2" t="s">
        <v>15376</v>
      </c>
      <c r="R2561" s="2" t="s">
        <v>40</v>
      </c>
      <c r="S2561" s="2" t="s">
        <v>15377</v>
      </c>
      <c r="T2561" s="2" t="s">
        <v>2101</v>
      </c>
      <c r="U2561" s="2" t="s">
        <v>15378</v>
      </c>
      <c r="V2561" s="2" t="s">
        <v>15379</v>
      </c>
      <c r="W2561" s="1"/>
      <c r="X2561" s="2" t="s">
        <v>6045</v>
      </c>
      <c r="Y2561" s="2" t="s">
        <v>15354</v>
      </c>
      <c r="AA2561" t="str">
        <f t="shared" si="234"/>
        <v>2025-09</v>
      </c>
      <c r="AB2561" t="str">
        <f t="shared" si="235"/>
        <v/>
      </c>
      <c r="AC2561">
        <f t="shared" si="236"/>
        <v>1783381.6</v>
      </c>
      <c r="AD2561">
        <f t="shared" si="237"/>
        <v>220</v>
      </c>
      <c r="AE2561">
        <f t="shared" si="238"/>
        <v>199381.6</v>
      </c>
      <c r="AF2561" t="str">
        <f t="shared" si="239"/>
        <v>Paid</v>
      </c>
    </row>
    <row r="2562" spans="1:32" ht="17.25" thickBot="1" x14ac:dyDescent="0.35">
      <c r="A2562" s="2" t="s">
        <v>15380</v>
      </c>
      <c r="B2562" s="2" t="s">
        <v>27</v>
      </c>
      <c r="C2562" s="2" t="s">
        <v>28</v>
      </c>
      <c r="D2562" s="2" t="s">
        <v>97</v>
      </c>
      <c r="E2562" s="2" t="s">
        <v>15347</v>
      </c>
      <c r="F2562" s="2" t="s">
        <v>8445</v>
      </c>
      <c r="G2562" s="2" t="s">
        <v>32</v>
      </c>
      <c r="H2562" s="1"/>
      <c r="I2562" s="2" t="s">
        <v>33</v>
      </c>
      <c r="J2562" s="2" t="s">
        <v>34</v>
      </c>
      <c r="K2562" s="2" t="s">
        <v>10465</v>
      </c>
      <c r="L2562" s="2" t="s">
        <v>10466</v>
      </c>
      <c r="M2562" s="2" t="s">
        <v>304</v>
      </c>
      <c r="N2562" s="2" t="s">
        <v>38</v>
      </c>
      <c r="O2562" s="2" t="s">
        <v>779</v>
      </c>
      <c r="P2562" s="2" t="s">
        <v>15381</v>
      </c>
      <c r="Q2562" s="2" t="s">
        <v>15382</v>
      </c>
      <c r="R2562" s="2" t="s">
        <v>40</v>
      </c>
      <c r="S2562" s="2" t="s">
        <v>15383</v>
      </c>
      <c r="T2562" s="2" t="s">
        <v>12387</v>
      </c>
      <c r="U2562" s="2" t="s">
        <v>15384</v>
      </c>
      <c r="V2562" s="2" t="s">
        <v>15385</v>
      </c>
      <c r="W2562" s="1"/>
      <c r="X2562" s="2" t="s">
        <v>566</v>
      </c>
      <c r="Y2562" s="2" t="s">
        <v>15354</v>
      </c>
      <c r="AA2562" t="str">
        <f t="shared" si="234"/>
        <v>2025-09</v>
      </c>
      <c r="AB2562" t="str">
        <f t="shared" si="235"/>
        <v/>
      </c>
      <c r="AC2562">
        <f t="shared" si="236"/>
        <v>1538830.8</v>
      </c>
      <c r="AD2562">
        <f t="shared" si="237"/>
        <v>90</v>
      </c>
      <c r="AE2562">
        <f t="shared" si="238"/>
        <v>170830.8</v>
      </c>
      <c r="AF2562" t="str">
        <f t="shared" si="239"/>
        <v>Paid</v>
      </c>
    </row>
    <row r="2563" spans="1:32" ht="17.25" thickBot="1" x14ac:dyDescent="0.35">
      <c r="A2563" s="2" t="s">
        <v>15386</v>
      </c>
      <c r="B2563" s="2" t="s">
        <v>27</v>
      </c>
      <c r="C2563" s="2" t="s">
        <v>28</v>
      </c>
      <c r="D2563" s="2" t="s">
        <v>97</v>
      </c>
      <c r="E2563" s="2" t="s">
        <v>15347</v>
      </c>
      <c r="F2563" s="2" t="s">
        <v>8445</v>
      </c>
      <c r="G2563" s="2" t="s">
        <v>32</v>
      </c>
      <c r="H2563" s="1"/>
      <c r="I2563" s="2" t="s">
        <v>33</v>
      </c>
      <c r="J2563" s="2" t="s">
        <v>34</v>
      </c>
      <c r="K2563" s="2" t="s">
        <v>15387</v>
      </c>
      <c r="L2563" s="2" t="s">
        <v>15388</v>
      </c>
      <c r="M2563" s="2" t="s">
        <v>304</v>
      </c>
      <c r="N2563" s="2" t="s">
        <v>38</v>
      </c>
      <c r="O2563" s="2" t="s">
        <v>3998</v>
      </c>
      <c r="P2563" s="2" t="s">
        <v>4160</v>
      </c>
      <c r="Q2563" s="2" t="s">
        <v>1908</v>
      </c>
      <c r="R2563" s="2" t="s">
        <v>40</v>
      </c>
      <c r="S2563" s="2" t="s">
        <v>15389</v>
      </c>
      <c r="T2563" s="2" t="s">
        <v>5672</v>
      </c>
      <c r="U2563" s="2" t="s">
        <v>15390</v>
      </c>
      <c r="V2563" s="2" t="s">
        <v>15391</v>
      </c>
      <c r="W2563" s="1"/>
      <c r="X2563" s="2" t="s">
        <v>566</v>
      </c>
      <c r="Y2563" s="2" t="s">
        <v>15354</v>
      </c>
      <c r="AA2563" t="str">
        <f t="shared" si="234"/>
        <v>2025-09</v>
      </c>
      <c r="AB2563" t="str">
        <f t="shared" si="235"/>
        <v/>
      </c>
      <c r="AC2563">
        <f t="shared" si="236"/>
        <v>6553144</v>
      </c>
      <c r="AD2563">
        <f t="shared" si="237"/>
        <v>520</v>
      </c>
      <c r="AE2563">
        <f t="shared" si="238"/>
        <v>729144</v>
      </c>
      <c r="AF2563" t="str">
        <f t="shared" si="239"/>
        <v>Paid</v>
      </c>
    </row>
    <row r="2564" spans="1:32" ht="17.25" thickBot="1" x14ac:dyDescent="0.35">
      <c r="A2564" s="2" t="s">
        <v>15392</v>
      </c>
      <c r="B2564" s="2" t="s">
        <v>27</v>
      </c>
      <c r="C2564" s="2" t="s">
        <v>28</v>
      </c>
      <c r="D2564" s="2" t="s">
        <v>97</v>
      </c>
      <c r="E2564" s="2" t="s">
        <v>15347</v>
      </c>
      <c r="F2564" s="2" t="s">
        <v>8445</v>
      </c>
      <c r="G2564" s="2" t="s">
        <v>32</v>
      </c>
      <c r="H2564" s="1"/>
      <c r="I2564" s="2" t="s">
        <v>33</v>
      </c>
      <c r="J2564" s="2" t="s">
        <v>34</v>
      </c>
      <c r="K2564" s="2" t="s">
        <v>10485</v>
      </c>
      <c r="L2564" s="2" t="s">
        <v>10486</v>
      </c>
      <c r="M2564" s="2" t="s">
        <v>304</v>
      </c>
      <c r="N2564" s="2" t="s">
        <v>38</v>
      </c>
      <c r="O2564" s="2" t="s">
        <v>428</v>
      </c>
      <c r="P2564" s="2" t="s">
        <v>15393</v>
      </c>
      <c r="Q2564" s="2" t="s">
        <v>15394</v>
      </c>
      <c r="R2564" s="2" t="s">
        <v>40</v>
      </c>
      <c r="S2564" s="2" t="s">
        <v>15395</v>
      </c>
      <c r="T2564" s="2" t="s">
        <v>10490</v>
      </c>
      <c r="U2564" s="2" t="s">
        <v>15396</v>
      </c>
      <c r="V2564" s="2" t="s">
        <v>15397</v>
      </c>
      <c r="W2564" s="1"/>
      <c r="X2564" s="2" t="s">
        <v>5030</v>
      </c>
      <c r="Y2564" s="2" t="s">
        <v>15354</v>
      </c>
      <c r="AA2564" t="str">
        <f t="shared" ref="AA2564:AA2627" si="240">LEFT(E2564,7)</f>
        <v>2025-09</v>
      </c>
      <c r="AB2564" t="str">
        <f t="shared" ref="AB2564:AB2627" si="241">IF(AND($AA2564&gt;="2025-01",$AA2564&lt;="2025-06"),"H1_2025",IF(AND($AA2564&gt;="2026-01",$AA2564&lt;="2026-06"),"H1_2026",""))</f>
        <v/>
      </c>
      <c r="AC2564">
        <f t="shared" ref="AC2564:AC2627" si="242">IFERROR(VALUE(SUBSTITUTE(S2564,",","")),0)</f>
        <v>5061316</v>
      </c>
      <c r="AD2564">
        <f t="shared" ref="AD2564:AD2627" si="243">IFERROR(VALUE(SUBSTITUTE(O2564,",","")),0)</f>
        <v>250</v>
      </c>
      <c r="AE2564">
        <f t="shared" ref="AE2564:AE2627" si="244">IFERROR(VALUE(SUBSTITUTE(V2564,",","")),0)</f>
        <v>970316</v>
      </c>
      <c r="AF2564" t="str">
        <f t="shared" ref="AF2564:AF2627" si="245">IF(ISNUMBER(SEARCH("FOC",W2564)),"FOC",IF(ISNUMBER(SEARCH("샘플",W2564)),"Sample","Paid"))</f>
        <v>Paid</v>
      </c>
    </row>
    <row r="2565" spans="1:32" ht="17.25" thickBot="1" x14ac:dyDescent="0.35">
      <c r="A2565" s="2" t="s">
        <v>15398</v>
      </c>
      <c r="B2565" s="2" t="s">
        <v>27</v>
      </c>
      <c r="C2565" s="2" t="s">
        <v>28</v>
      </c>
      <c r="D2565" s="2" t="s">
        <v>97</v>
      </c>
      <c r="E2565" s="2" t="s">
        <v>15347</v>
      </c>
      <c r="F2565" s="2" t="s">
        <v>8445</v>
      </c>
      <c r="G2565" s="2" t="s">
        <v>32</v>
      </c>
      <c r="H2565" s="1"/>
      <c r="I2565" s="2" t="s">
        <v>33</v>
      </c>
      <c r="J2565" s="2" t="s">
        <v>34</v>
      </c>
      <c r="K2565" s="2" t="s">
        <v>417</v>
      </c>
      <c r="L2565" s="2" t="s">
        <v>418</v>
      </c>
      <c r="M2565" s="2" t="s">
        <v>304</v>
      </c>
      <c r="N2565" s="2" t="s">
        <v>38</v>
      </c>
      <c r="O2565" s="2" t="s">
        <v>3167</v>
      </c>
      <c r="P2565" s="2" t="s">
        <v>8803</v>
      </c>
      <c r="Q2565" s="2" t="s">
        <v>15399</v>
      </c>
      <c r="R2565" s="2" t="s">
        <v>40</v>
      </c>
      <c r="S2565" s="2" t="s">
        <v>15400</v>
      </c>
      <c r="T2565" s="2" t="s">
        <v>2127</v>
      </c>
      <c r="U2565" s="2" t="s">
        <v>15401</v>
      </c>
      <c r="V2565" s="2" t="s">
        <v>15402</v>
      </c>
      <c r="W2565" s="1"/>
      <c r="X2565" s="2" t="s">
        <v>566</v>
      </c>
      <c r="Y2565" s="2" t="s">
        <v>15354</v>
      </c>
      <c r="AA2565" t="str">
        <f t="shared" si="240"/>
        <v>2025-09</v>
      </c>
      <c r="AB2565" t="str">
        <f t="shared" si="241"/>
        <v/>
      </c>
      <c r="AC2565">
        <f t="shared" si="242"/>
        <v>4617991.04</v>
      </c>
      <c r="AD2565">
        <f t="shared" si="243"/>
        <v>380</v>
      </c>
      <c r="AE2565">
        <f t="shared" si="244"/>
        <v>513991.04</v>
      </c>
      <c r="AF2565" t="str">
        <f t="shared" si="245"/>
        <v>Paid</v>
      </c>
    </row>
    <row r="2566" spans="1:32" ht="17.25" thickBot="1" x14ac:dyDescent="0.35">
      <c r="A2566" s="2" t="s">
        <v>15403</v>
      </c>
      <c r="B2566" s="2" t="s">
        <v>27</v>
      </c>
      <c r="C2566" s="2" t="s">
        <v>28</v>
      </c>
      <c r="D2566" s="2" t="s">
        <v>97</v>
      </c>
      <c r="E2566" s="2" t="s">
        <v>15347</v>
      </c>
      <c r="F2566" s="2" t="s">
        <v>8445</v>
      </c>
      <c r="G2566" s="2" t="s">
        <v>32</v>
      </c>
      <c r="H2566" s="1"/>
      <c r="I2566" s="2" t="s">
        <v>33</v>
      </c>
      <c r="J2566" s="2" t="s">
        <v>34</v>
      </c>
      <c r="K2566" s="2" t="s">
        <v>426</v>
      </c>
      <c r="L2566" s="2" t="s">
        <v>427</v>
      </c>
      <c r="M2566" s="2" t="s">
        <v>304</v>
      </c>
      <c r="N2566" s="2" t="s">
        <v>38</v>
      </c>
      <c r="O2566" s="2" t="s">
        <v>391</v>
      </c>
      <c r="P2566" s="2" t="s">
        <v>5253</v>
      </c>
      <c r="Q2566" s="2" t="s">
        <v>15404</v>
      </c>
      <c r="R2566" s="2" t="s">
        <v>40</v>
      </c>
      <c r="S2566" s="2" t="s">
        <v>15405</v>
      </c>
      <c r="T2566" s="2" t="s">
        <v>2111</v>
      </c>
      <c r="U2566" s="2" t="s">
        <v>3303</v>
      </c>
      <c r="V2566" s="2" t="s">
        <v>15406</v>
      </c>
      <c r="W2566" s="1"/>
      <c r="X2566" s="2" t="s">
        <v>566</v>
      </c>
      <c r="Y2566" s="2" t="s">
        <v>15354</v>
      </c>
      <c r="AA2566" t="str">
        <f t="shared" si="240"/>
        <v>2025-09</v>
      </c>
      <c r="AB2566" t="str">
        <f t="shared" si="241"/>
        <v/>
      </c>
      <c r="AC2566">
        <f t="shared" si="242"/>
        <v>675205.44</v>
      </c>
      <c r="AD2566">
        <f t="shared" si="243"/>
        <v>60</v>
      </c>
      <c r="AE2566">
        <f t="shared" si="244"/>
        <v>75205.440000000002</v>
      </c>
      <c r="AF2566" t="str">
        <f t="shared" si="245"/>
        <v>Paid</v>
      </c>
    </row>
    <row r="2567" spans="1:32" ht="27.75" thickBot="1" x14ac:dyDescent="0.35">
      <c r="A2567" s="2" t="s">
        <v>15407</v>
      </c>
      <c r="B2567" s="2" t="s">
        <v>27</v>
      </c>
      <c r="C2567" s="2" t="s">
        <v>28</v>
      </c>
      <c r="D2567" s="2" t="s">
        <v>97</v>
      </c>
      <c r="E2567" s="2" t="s">
        <v>15347</v>
      </c>
      <c r="F2567" s="2" t="s">
        <v>8445</v>
      </c>
      <c r="G2567" s="2" t="s">
        <v>32</v>
      </c>
      <c r="H2567" s="1"/>
      <c r="I2567" s="2" t="s">
        <v>33</v>
      </c>
      <c r="J2567" s="2" t="s">
        <v>34</v>
      </c>
      <c r="K2567" s="2" t="s">
        <v>446</v>
      </c>
      <c r="L2567" s="2" t="s">
        <v>447</v>
      </c>
      <c r="M2567" s="2" t="s">
        <v>304</v>
      </c>
      <c r="N2567" s="2" t="s">
        <v>38</v>
      </c>
      <c r="O2567" s="2" t="s">
        <v>779</v>
      </c>
      <c r="P2567" s="2" t="s">
        <v>13505</v>
      </c>
      <c r="Q2567" s="2" t="s">
        <v>15408</v>
      </c>
      <c r="R2567" s="2" t="s">
        <v>40</v>
      </c>
      <c r="S2567" s="2" t="s">
        <v>15409</v>
      </c>
      <c r="T2567" s="2" t="s">
        <v>15410</v>
      </c>
      <c r="U2567" s="2" t="s">
        <v>15411</v>
      </c>
      <c r="V2567" s="2" t="s">
        <v>15412</v>
      </c>
      <c r="W2567" s="1"/>
      <c r="X2567" s="2" t="s">
        <v>15185</v>
      </c>
      <c r="Y2567" s="2" t="s">
        <v>15354</v>
      </c>
      <c r="AA2567" t="str">
        <f t="shared" si="240"/>
        <v>2025-09</v>
      </c>
      <c r="AB2567" t="str">
        <f t="shared" si="241"/>
        <v/>
      </c>
      <c r="AC2567">
        <f t="shared" si="242"/>
        <v>1457904.24</v>
      </c>
      <c r="AD2567">
        <f t="shared" si="243"/>
        <v>90</v>
      </c>
      <c r="AE2567">
        <f t="shared" si="244"/>
        <v>223104.24</v>
      </c>
      <c r="AF2567" t="str">
        <f t="shared" si="245"/>
        <v>Paid</v>
      </c>
    </row>
    <row r="2568" spans="1:32" ht="27.75" thickBot="1" x14ac:dyDescent="0.35">
      <c r="A2568" s="2" t="s">
        <v>15413</v>
      </c>
      <c r="B2568" s="2" t="s">
        <v>27</v>
      </c>
      <c r="C2568" s="2" t="s">
        <v>28</v>
      </c>
      <c r="D2568" s="2" t="s">
        <v>97</v>
      </c>
      <c r="E2568" s="2" t="s">
        <v>15347</v>
      </c>
      <c r="F2568" s="2" t="s">
        <v>8445</v>
      </c>
      <c r="G2568" s="2" t="s">
        <v>32</v>
      </c>
      <c r="H2568" s="1"/>
      <c r="I2568" s="2" t="s">
        <v>33</v>
      </c>
      <c r="J2568" s="2" t="s">
        <v>34</v>
      </c>
      <c r="K2568" s="2" t="s">
        <v>464</v>
      </c>
      <c r="L2568" s="2" t="s">
        <v>465</v>
      </c>
      <c r="M2568" s="2" t="s">
        <v>304</v>
      </c>
      <c r="N2568" s="2" t="s">
        <v>38</v>
      </c>
      <c r="O2568" s="2" t="s">
        <v>474</v>
      </c>
      <c r="P2568" s="2" t="s">
        <v>4854</v>
      </c>
      <c r="Q2568" s="2" t="s">
        <v>15414</v>
      </c>
      <c r="R2568" s="2" t="s">
        <v>40</v>
      </c>
      <c r="S2568" s="2" t="s">
        <v>15415</v>
      </c>
      <c r="T2568" s="2" t="s">
        <v>10362</v>
      </c>
      <c r="U2568" s="2" t="s">
        <v>5003</v>
      </c>
      <c r="V2568" s="2" t="s">
        <v>15416</v>
      </c>
      <c r="W2568" s="1"/>
      <c r="X2568" s="2" t="s">
        <v>566</v>
      </c>
      <c r="Y2568" s="2" t="s">
        <v>15354</v>
      </c>
      <c r="AA2568" t="str">
        <f t="shared" si="240"/>
        <v>2025-09</v>
      </c>
      <c r="AB2568" t="str">
        <f t="shared" si="241"/>
        <v/>
      </c>
      <c r="AC2568">
        <f t="shared" si="242"/>
        <v>4213494.4800000004</v>
      </c>
      <c r="AD2568">
        <f t="shared" si="243"/>
        <v>390</v>
      </c>
      <c r="AE2568">
        <f t="shared" si="244"/>
        <v>469494.48</v>
      </c>
      <c r="AF2568" t="str">
        <f t="shared" si="245"/>
        <v>Paid</v>
      </c>
    </row>
    <row r="2569" spans="1:32" ht="41.25" thickBot="1" x14ac:dyDescent="0.35">
      <c r="A2569" s="2" t="s">
        <v>15417</v>
      </c>
      <c r="B2569" s="2" t="s">
        <v>27</v>
      </c>
      <c r="C2569" s="2" t="s">
        <v>28</v>
      </c>
      <c r="D2569" s="2" t="s">
        <v>97</v>
      </c>
      <c r="E2569" s="2" t="s">
        <v>15347</v>
      </c>
      <c r="F2569" s="2" t="s">
        <v>8445</v>
      </c>
      <c r="G2569" s="2" t="s">
        <v>32</v>
      </c>
      <c r="H2569" s="1"/>
      <c r="I2569" s="2" t="s">
        <v>33</v>
      </c>
      <c r="J2569" s="2" t="s">
        <v>34</v>
      </c>
      <c r="K2569" s="2" t="s">
        <v>15418</v>
      </c>
      <c r="L2569" s="2" t="s">
        <v>15419</v>
      </c>
      <c r="M2569" s="2" t="s">
        <v>304</v>
      </c>
      <c r="N2569" s="2" t="s">
        <v>38</v>
      </c>
      <c r="O2569" s="2" t="s">
        <v>214</v>
      </c>
      <c r="P2569" s="2" t="s">
        <v>104</v>
      </c>
      <c r="Q2569" s="2" t="s">
        <v>215</v>
      </c>
      <c r="R2569" s="2" t="s">
        <v>40</v>
      </c>
      <c r="S2569" s="2" t="s">
        <v>15420</v>
      </c>
      <c r="T2569" s="2" t="s">
        <v>15421</v>
      </c>
      <c r="U2569" s="2" t="s">
        <v>15422</v>
      </c>
      <c r="V2569" s="2" t="s">
        <v>15423</v>
      </c>
      <c r="W2569" s="2" t="s">
        <v>41</v>
      </c>
      <c r="X2569" s="2" t="s">
        <v>15424</v>
      </c>
      <c r="Y2569" s="2" t="s">
        <v>15354</v>
      </c>
      <c r="AA2569" t="str">
        <f t="shared" si="240"/>
        <v>2025-09</v>
      </c>
      <c r="AB2569" t="str">
        <f t="shared" si="241"/>
        <v/>
      </c>
      <c r="AC2569">
        <f t="shared" si="242"/>
        <v>681.2</v>
      </c>
      <c r="AD2569">
        <f t="shared" si="243"/>
        <v>50</v>
      </c>
      <c r="AE2569">
        <f t="shared" si="244"/>
        <v>-982018.8</v>
      </c>
      <c r="AF2569" t="str">
        <f t="shared" si="245"/>
        <v>Sample</v>
      </c>
    </row>
    <row r="2570" spans="1:32" ht="27.75" thickBot="1" x14ac:dyDescent="0.35">
      <c r="A2570" s="2" t="s">
        <v>15425</v>
      </c>
      <c r="B2570" s="2" t="s">
        <v>27</v>
      </c>
      <c r="C2570" s="2" t="s">
        <v>28</v>
      </c>
      <c r="D2570" s="2" t="s">
        <v>97</v>
      </c>
      <c r="E2570" s="2" t="s">
        <v>15347</v>
      </c>
      <c r="F2570" s="2" t="s">
        <v>8445</v>
      </c>
      <c r="G2570" s="2" t="s">
        <v>32</v>
      </c>
      <c r="H2570" s="1"/>
      <c r="I2570" s="2" t="s">
        <v>33</v>
      </c>
      <c r="J2570" s="2" t="s">
        <v>34</v>
      </c>
      <c r="K2570" s="2" t="s">
        <v>481</v>
      </c>
      <c r="L2570" s="2" t="s">
        <v>482</v>
      </c>
      <c r="M2570" s="2" t="s">
        <v>304</v>
      </c>
      <c r="N2570" s="2" t="s">
        <v>38</v>
      </c>
      <c r="O2570" s="2" t="s">
        <v>15426</v>
      </c>
      <c r="P2570" s="2" t="s">
        <v>15427</v>
      </c>
      <c r="Q2570" s="2" t="s">
        <v>15428</v>
      </c>
      <c r="R2570" s="2" t="s">
        <v>40</v>
      </c>
      <c r="S2570" s="2" t="s">
        <v>15429</v>
      </c>
      <c r="T2570" s="2" t="s">
        <v>5672</v>
      </c>
      <c r="U2570" s="2" t="s">
        <v>15430</v>
      </c>
      <c r="V2570" s="2" t="s">
        <v>15431</v>
      </c>
      <c r="W2570" s="1"/>
      <c r="X2570" s="2" t="s">
        <v>4499</v>
      </c>
      <c r="Y2570" s="2" t="s">
        <v>15354</v>
      </c>
      <c r="AA2570" t="str">
        <f t="shared" si="240"/>
        <v>2025-09</v>
      </c>
      <c r="AB2570" t="str">
        <f t="shared" si="241"/>
        <v/>
      </c>
      <c r="AC2570">
        <f t="shared" si="242"/>
        <v>41761647.200000003</v>
      </c>
      <c r="AD2570">
        <f t="shared" si="243"/>
        <v>2900</v>
      </c>
      <c r="AE2570">
        <f t="shared" si="244"/>
        <v>9281647.1999999993</v>
      </c>
      <c r="AF2570" t="str">
        <f t="shared" si="245"/>
        <v>Paid</v>
      </c>
    </row>
    <row r="2571" spans="1:32" ht="27.75" thickBot="1" x14ac:dyDescent="0.35">
      <c r="A2571" s="2" t="s">
        <v>15432</v>
      </c>
      <c r="B2571" s="2" t="s">
        <v>27</v>
      </c>
      <c r="C2571" s="2" t="s">
        <v>28</v>
      </c>
      <c r="D2571" s="2" t="s">
        <v>97</v>
      </c>
      <c r="E2571" s="2" t="s">
        <v>15347</v>
      </c>
      <c r="F2571" s="2" t="s">
        <v>8445</v>
      </c>
      <c r="G2571" s="2" t="s">
        <v>32</v>
      </c>
      <c r="H2571" s="1"/>
      <c r="I2571" s="2" t="s">
        <v>33</v>
      </c>
      <c r="J2571" s="2" t="s">
        <v>34</v>
      </c>
      <c r="K2571" s="2" t="s">
        <v>481</v>
      </c>
      <c r="L2571" s="2" t="s">
        <v>482</v>
      </c>
      <c r="M2571" s="2" t="s">
        <v>304</v>
      </c>
      <c r="N2571" s="2" t="s">
        <v>38</v>
      </c>
      <c r="O2571" s="2" t="s">
        <v>463</v>
      </c>
      <c r="P2571" s="2" t="s">
        <v>104</v>
      </c>
      <c r="Q2571" s="2" t="s">
        <v>10569</v>
      </c>
      <c r="R2571" s="2" t="s">
        <v>40</v>
      </c>
      <c r="S2571" s="2" t="s">
        <v>15433</v>
      </c>
      <c r="T2571" s="2" t="s">
        <v>5672</v>
      </c>
      <c r="U2571" s="2" t="s">
        <v>11733</v>
      </c>
      <c r="V2571" s="2" t="s">
        <v>15434</v>
      </c>
      <c r="W2571" s="2" t="s">
        <v>41</v>
      </c>
      <c r="X2571" s="2" t="s">
        <v>15435</v>
      </c>
      <c r="Y2571" s="2" t="s">
        <v>15354</v>
      </c>
      <c r="AA2571" t="str">
        <f t="shared" si="240"/>
        <v>2025-09</v>
      </c>
      <c r="AB2571" t="str">
        <f t="shared" si="241"/>
        <v/>
      </c>
      <c r="AC2571">
        <f t="shared" si="242"/>
        <v>735.7</v>
      </c>
      <c r="AD2571">
        <f t="shared" si="243"/>
        <v>54</v>
      </c>
      <c r="AE2571">
        <f t="shared" si="244"/>
        <v>-604064.30000000005</v>
      </c>
      <c r="AF2571" t="str">
        <f t="shared" si="245"/>
        <v>Sample</v>
      </c>
    </row>
    <row r="2572" spans="1:32" ht="27.75" thickBot="1" x14ac:dyDescent="0.35">
      <c r="A2572" s="2" t="s">
        <v>15436</v>
      </c>
      <c r="B2572" s="2" t="s">
        <v>27</v>
      </c>
      <c r="C2572" s="2" t="s">
        <v>28</v>
      </c>
      <c r="D2572" s="2" t="s">
        <v>97</v>
      </c>
      <c r="E2572" s="2" t="s">
        <v>15347</v>
      </c>
      <c r="F2572" s="2" t="s">
        <v>8445</v>
      </c>
      <c r="G2572" s="2" t="s">
        <v>32</v>
      </c>
      <c r="H2572" s="1"/>
      <c r="I2572" s="2" t="s">
        <v>33</v>
      </c>
      <c r="J2572" s="2" t="s">
        <v>34</v>
      </c>
      <c r="K2572" s="2" t="s">
        <v>491</v>
      </c>
      <c r="L2572" s="2" t="s">
        <v>492</v>
      </c>
      <c r="M2572" s="2" t="s">
        <v>304</v>
      </c>
      <c r="N2572" s="2" t="s">
        <v>38</v>
      </c>
      <c r="O2572" s="2" t="s">
        <v>114</v>
      </c>
      <c r="P2572" s="2" t="s">
        <v>15437</v>
      </c>
      <c r="Q2572" s="2" t="s">
        <v>15438</v>
      </c>
      <c r="R2572" s="2" t="s">
        <v>40</v>
      </c>
      <c r="S2572" s="2" t="s">
        <v>15439</v>
      </c>
      <c r="T2572" s="2" t="s">
        <v>9078</v>
      </c>
      <c r="U2572" s="2" t="s">
        <v>5003</v>
      </c>
      <c r="V2572" s="2" t="s">
        <v>15440</v>
      </c>
      <c r="W2572" s="1"/>
      <c r="X2572" s="2" t="s">
        <v>566</v>
      </c>
      <c r="Y2572" s="2" t="s">
        <v>15354</v>
      </c>
      <c r="AA2572" t="str">
        <f t="shared" si="240"/>
        <v>2025-09</v>
      </c>
      <c r="AB2572" t="str">
        <f t="shared" si="241"/>
        <v/>
      </c>
      <c r="AC2572">
        <f t="shared" si="242"/>
        <v>4211450.88</v>
      </c>
      <c r="AD2572">
        <f t="shared" si="243"/>
        <v>240</v>
      </c>
      <c r="AE2572">
        <f t="shared" si="244"/>
        <v>467450.88</v>
      </c>
      <c r="AF2572" t="str">
        <f t="shared" si="245"/>
        <v>Paid</v>
      </c>
    </row>
    <row r="2573" spans="1:32" ht="27.75" thickBot="1" x14ac:dyDescent="0.35">
      <c r="A2573" s="2" t="s">
        <v>15441</v>
      </c>
      <c r="B2573" s="2" t="s">
        <v>27</v>
      </c>
      <c r="C2573" s="2" t="s">
        <v>28</v>
      </c>
      <c r="D2573" s="2" t="s">
        <v>97</v>
      </c>
      <c r="E2573" s="2" t="s">
        <v>15347</v>
      </c>
      <c r="F2573" s="2" t="s">
        <v>8445</v>
      </c>
      <c r="G2573" s="2" t="s">
        <v>32</v>
      </c>
      <c r="H2573" s="1"/>
      <c r="I2573" s="2" t="s">
        <v>33</v>
      </c>
      <c r="J2573" s="2" t="s">
        <v>34</v>
      </c>
      <c r="K2573" s="2" t="s">
        <v>10567</v>
      </c>
      <c r="L2573" s="2" t="s">
        <v>10568</v>
      </c>
      <c r="M2573" s="2" t="s">
        <v>304</v>
      </c>
      <c r="N2573" s="2" t="s">
        <v>38</v>
      </c>
      <c r="O2573" s="2" t="s">
        <v>15442</v>
      </c>
      <c r="P2573" s="2" t="s">
        <v>13322</v>
      </c>
      <c r="Q2573" s="2" t="s">
        <v>15443</v>
      </c>
      <c r="R2573" s="2" t="s">
        <v>40</v>
      </c>
      <c r="S2573" s="2" t="s">
        <v>15444</v>
      </c>
      <c r="T2573" s="2" t="s">
        <v>883</v>
      </c>
      <c r="U2573" s="2" t="s">
        <v>15445</v>
      </c>
      <c r="V2573" s="2" t="s">
        <v>15446</v>
      </c>
      <c r="W2573" s="1"/>
      <c r="X2573" s="2" t="s">
        <v>4499</v>
      </c>
      <c r="Y2573" s="2" t="s">
        <v>15354</v>
      </c>
      <c r="AA2573" t="str">
        <f t="shared" si="240"/>
        <v>2025-09</v>
      </c>
      <c r="AB2573" t="str">
        <f t="shared" si="241"/>
        <v/>
      </c>
      <c r="AC2573">
        <f t="shared" si="242"/>
        <v>20882867.199999999</v>
      </c>
      <c r="AD2573">
        <f t="shared" si="243"/>
        <v>1600</v>
      </c>
      <c r="AE2573">
        <f t="shared" si="244"/>
        <v>4642867.2000000002</v>
      </c>
      <c r="AF2573" t="str">
        <f t="shared" si="245"/>
        <v>Paid</v>
      </c>
    </row>
    <row r="2574" spans="1:32" ht="27.75" thickBot="1" x14ac:dyDescent="0.35">
      <c r="A2574" s="2" t="s">
        <v>15447</v>
      </c>
      <c r="B2574" s="2" t="s">
        <v>27</v>
      </c>
      <c r="C2574" s="2" t="s">
        <v>28</v>
      </c>
      <c r="D2574" s="2" t="s">
        <v>97</v>
      </c>
      <c r="E2574" s="2" t="s">
        <v>15347</v>
      </c>
      <c r="F2574" s="2" t="s">
        <v>8445</v>
      </c>
      <c r="G2574" s="2" t="s">
        <v>32</v>
      </c>
      <c r="H2574" s="1"/>
      <c r="I2574" s="2" t="s">
        <v>33</v>
      </c>
      <c r="J2574" s="2" t="s">
        <v>34</v>
      </c>
      <c r="K2574" s="2" t="s">
        <v>515</v>
      </c>
      <c r="L2574" s="2" t="s">
        <v>516</v>
      </c>
      <c r="M2574" s="2" t="s">
        <v>304</v>
      </c>
      <c r="N2574" s="2" t="s">
        <v>38</v>
      </c>
      <c r="O2574" s="2" t="s">
        <v>676</v>
      </c>
      <c r="P2574" s="2" t="s">
        <v>13322</v>
      </c>
      <c r="Q2574" s="2" t="s">
        <v>15448</v>
      </c>
      <c r="R2574" s="2" t="s">
        <v>40</v>
      </c>
      <c r="S2574" s="2" t="s">
        <v>15449</v>
      </c>
      <c r="T2574" s="2" t="s">
        <v>6823</v>
      </c>
      <c r="U2574" s="2" t="s">
        <v>15450</v>
      </c>
      <c r="V2574" s="2" t="s">
        <v>15451</v>
      </c>
      <c r="W2574" s="1"/>
      <c r="X2574" s="2" t="s">
        <v>566</v>
      </c>
      <c r="Y2574" s="2" t="s">
        <v>15354</v>
      </c>
      <c r="AA2574" t="str">
        <f t="shared" si="240"/>
        <v>2025-09</v>
      </c>
      <c r="AB2574" t="str">
        <f t="shared" si="241"/>
        <v/>
      </c>
      <c r="AC2574">
        <f t="shared" si="242"/>
        <v>4829163.04</v>
      </c>
      <c r="AD2574">
        <f t="shared" si="243"/>
        <v>370</v>
      </c>
      <c r="AE2574">
        <f t="shared" si="244"/>
        <v>537163.04</v>
      </c>
      <c r="AF2574" t="str">
        <f t="shared" si="245"/>
        <v>Paid</v>
      </c>
    </row>
    <row r="2575" spans="1:32" ht="17.25" thickBot="1" x14ac:dyDescent="0.35">
      <c r="A2575" s="2" t="s">
        <v>15452</v>
      </c>
      <c r="B2575" s="2" t="s">
        <v>27</v>
      </c>
      <c r="C2575" s="2" t="s">
        <v>28</v>
      </c>
      <c r="D2575" s="2" t="s">
        <v>97</v>
      </c>
      <c r="E2575" s="2" t="s">
        <v>15347</v>
      </c>
      <c r="F2575" s="2" t="s">
        <v>8445</v>
      </c>
      <c r="G2575" s="2" t="s">
        <v>32</v>
      </c>
      <c r="H2575" s="1"/>
      <c r="I2575" s="2" t="s">
        <v>33</v>
      </c>
      <c r="J2575" s="2" t="s">
        <v>34</v>
      </c>
      <c r="K2575" s="2" t="s">
        <v>525</v>
      </c>
      <c r="L2575" s="2" t="s">
        <v>526</v>
      </c>
      <c r="M2575" s="2" t="s">
        <v>304</v>
      </c>
      <c r="N2575" s="2" t="s">
        <v>38</v>
      </c>
      <c r="O2575" s="2" t="s">
        <v>748</v>
      </c>
      <c r="P2575" s="2" t="s">
        <v>8803</v>
      </c>
      <c r="Q2575" s="2" t="s">
        <v>15453</v>
      </c>
      <c r="R2575" s="2" t="s">
        <v>40</v>
      </c>
      <c r="S2575" s="2" t="s">
        <v>15454</v>
      </c>
      <c r="T2575" s="2" t="s">
        <v>1210</v>
      </c>
      <c r="U2575" s="2" t="s">
        <v>6473</v>
      </c>
      <c r="V2575" s="2" t="s">
        <v>15455</v>
      </c>
      <c r="W2575" s="1"/>
      <c r="X2575" s="2" t="s">
        <v>4499</v>
      </c>
      <c r="Y2575" s="2" t="s">
        <v>15354</v>
      </c>
      <c r="AA2575" t="str">
        <f t="shared" si="240"/>
        <v>2025-09</v>
      </c>
      <c r="AB2575" t="str">
        <f t="shared" si="241"/>
        <v/>
      </c>
      <c r="AC2575">
        <f t="shared" si="242"/>
        <v>3402730.24</v>
      </c>
      <c r="AD2575">
        <f t="shared" si="243"/>
        <v>280</v>
      </c>
      <c r="AE2575">
        <f t="shared" si="244"/>
        <v>756730.24</v>
      </c>
      <c r="AF2575" t="str">
        <f t="shared" si="245"/>
        <v>Paid</v>
      </c>
    </row>
    <row r="2576" spans="1:32" ht="17.25" thickBot="1" x14ac:dyDescent="0.35">
      <c r="A2576" s="2" t="s">
        <v>15456</v>
      </c>
      <c r="B2576" s="2" t="s">
        <v>27</v>
      </c>
      <c r="C2576" s="2" t="s">
        <v>28</v>
      </c>
      <c r="D2576" s="2" t="s">
        <v>97</v>
      </c>
      <c r="E2576" s="2" t="s">
        <v>15347</v>
      </c>
      <c r="F2576" s="2" t="s">
        <v>8445</v>
      </c>
      <c r="G2576" s="2" t="s">
        <v>32</v>
      </c>
      <c r="H2576" s="1"/>
      <c r="I2576" s="2" t="s">
        <v>33</v>
      </c>
      <c r="J2576" s="2" t="s">
        <v>34</v>
      </c>
      <c r="K2576" s="2" t="s">
        <v>542</v>
      </c>
      <c r="L2576" s="2" t="s">
        <v>543</v>
      </c>
      <c r="M2576" s="2" t="s">
        <v>304</v>
      </c>
      <c r="N2576" s="2" t="s">
        <v>38</v>
      </c>
      <c r="O2576" s="2" t="s">
        <v>4176</v>
      </c>
      <c r="P2576" s="2" t="s">
        <v>5253</v>
      </c>
      <c r="Q2576" s="2" t="s">
        <v>15457</v>
      </c>
      <c r="R2576" s="2" t="s">
        <v>40</v>
      </c>
      <c r="S2576" s="2" t="s">
        <v>15458</v>
      </c>
      <c r="T2576" s="2" t="s">
        <v>2111</v>
      </c>
      <c r="U2576" s="2" t="s">
        <v>15459</v>
      </c>
      <c r="V2576" s="2" t="s">
        <v>15460</v>
      </c>
      <c r="W2576" s="1"/>
      <c r="X2576" s="2" t="s">
        <v>566</v>
      </c>
      <c r="Y2576" s="2" t="s">
        <v>15354</v>
      </c>
      <c r="AA2576" t="str">
        <f t="shared" si="240"/>
        <v>2025-09</v>
      </c>
      <c r="AB2576" t="str">
        <f t="shared" si="241"/>
        <v/>
      </c>
      <c r="AC2576">
        <f t="shared" si="242"/>
        <v>6189383.2000000002</v>
      </c>
      <c r="AD2576">
        <f t="shared" si="243"/>
        <v>550</v>
      </c>
      <c r="AE2576">
        <f t="shared" si="244"/>
        <v>689383.2</v>
      </c>
      <c r="AF2576" t="str">
        <f t="shared" si="245"/>
        <v>Paid</v>
      </c>
    </row>
    <row r="2577" spans="1:32" ht="17.25" thickBot="1" x14ac:dyDescent="0.35">
      <c r="A2577" s="2" t="s">
        <v>15461</v>
      </c>
      <c r="B2577" s="2" t="s">
        <v>27</v>
      </c>
      <c r="C2577" s="2" t="s">
        <v>28</v>
      </c>
      <c r="D2577" s="2" t="s">
        <v>97</v>
      </c>
      <c r="E2577" s="2" t="s">
        <v>15462</v>
      </c>
      <c r="F2577" s="2" t="s">
        <v>8445</v>
      </c>
      <c r="G2577" s="2" t="s">
        <v>32</v>
      </c>
      <c r="H2577" s="1"/>
      <c r="I2577" s="2" t="s">
        <v>33</v>
      </c>
      <c r="J2577" s="2" t="s">
        <v>34</v>
      </c>
      <c r="K2577" s="2" t="s">
        <v>10598</v>
      </c>
      <c r="L2577" s="2" t="s">
        <v>10599</v>
      </c>
      <c r="M2577" s="2" t="s">
        <v>701</v>
      </c>
      <c r="N2577" s="2" t="s">
        <v>38</v>
      </c>
      <c r="O2577" s="2" t="s">
        <v>4221</v>
      </c>
      <c r="P2577" s="2" t="s">
        <v>5325</v>
      </c>
      <c r="Q2577" s="2" t="s">
        <v>15463</v>
      </c>
      <c r="R2577" s="2" t="s">
        <v>40</v>
      </c>
      <c r="S2577" s="2" t="s">
        <v>15464</v>
      </c>
      <c r="T2577" s="2" t="s">
        <v>1444</v>
      </c>
      <c r="U2577" s="2" t="s">
        <v>15465</v>
      </c>
      <c r="V2577" s="2" t="s">
        <v>15466</v>
      </c>
      <c r="W2577" s="1"/>
      <c r="X2577" s="2" t="s">
        <v>11014</v>
      </c>
      <c r="Y2577" s="2" t="s">
        <v>15467</v>
      </c>
      <c r="AA2577" t="str">
        <f t="shared" si="240"/>
        <v>2025-09</v>
      </c>
      <c r="AB2577" t="str">
        <f t="shared" si="241"/>
        <v/>
      </c>
      <c r="AC2577">
        <f t="shared" si="242"/>
        <v>6591905.04</v>
      </c>
      <c r="AD2577">
        <f t="shared" si="243"/>
        <v>1020</v>
      </c>
      <c r="AE2577">
        <f t="shared" si="244"/>
        <v>1022705.04</v>
      </c>
      <c r="AF2577" t="str">
        <f t="shared" si="245"/>
        <v>Paid</v>
      </c>
    </row>
    <row r="2578" spans="1:32" ht="17.25" thickBot="1" x14ac:dyDescent="0.35">
      <c r="A2578" s="2" t="s">
        <v>15468</v>
      </c>
      <c r="B2578" s="2" t="s">
        <v>27</v>
      </c>
      <c r="C2578" s="2" t="s">
        <v>28</v>
      </c>
      <c r="D2578" s="2" t="s">
        <v>97</v>
      </c>
      <c r="E2578" s="2" t="s">
        <v>15462</v>
      </c>
      <c r="F2578" s="2" t="s">
        <v>8445</v>
      </c>
      <c r="G2578" s="2" t="s">
        <v>32</v>
      </c>
      <c r="H2578" s="1"/>
      <c r="I2578" s="2" t="s">
        <v>33</v>
      </c>
      <c r="J2578" s="2" t="s">
        <v>34</v>
      </c>
      <c r="K2578" s="2" t="s">
        <v>3930</v>
      </c>
      <c r="L2578" s="2" t="s">
        <v>3931</v>
      </c>
      <c r="M2578" s="2" t="s">
        <v>701</v>
      </c>
      <c r="N2578" s="2" t="s">
        <v>38</v>
      </c>
      <c r="O2578" s="2" t="s">
        <v>4935</v>
      </c>
      <c r="P2578" s="2" t="s">
        <v>15469</v>
      </c>
      <c r="Q2578" s="2" t="s">
        <v>15470</v>
      </c>
      <c r="R2578" s="2" t="s">
        <v>40</v>
      </c>
      <c r="S2578" s="2" t="s">
        <v>15471</v>
      </c>
      <c r="T2578" s="2" t="s">
        <v>3936</v>
      </c>
      <c r="U2578" s="2" t="s">
        <v>15472</v>
      </c>
      <c r="V2578" s="2" t="s">
        <v>15473</v>
      </c>
      <c r="W2578" s="1"/>
      <c r="X2578" s="2" t="s">
        <v>11014</v>
      </c>
      <c r="Y2578" s="2" t="s">
        <v>15467</v>
      </c>
      <c r="AA2578" t="str">
        <f t="shared" si="240"/>
        <v>2025-09</v>
      </c>
      <c r="AB2578" t="str">
        <f t="shared" si="241"/>
        <v/>
      </c>
      <c r="AC2578">
        <f t="shared" si="242"/>
        <v>11156220.9</v>
      </c>
      <c r="AD2578">
        <f t="shared" si="243"/>
        <v>660</v>
      </c>
      <c r="AE2578">
        <f t="shared" si="244"/>
        <v>1731420.9</v>
      </c>
      <c r="AF2578" t="str">
        <f t="shared" si="245"/>
        <v>Paid</v>
      </c>
    </row>
    <row r="2579" spans="1:32" ht="17.25" thickBot="1" x14ac:dyDescent="0.35">
      <c r="A2579" s="2" t="s">
        <v>15474</v>
      </c>
      <c r="B2579" s="2" t="s">
        <v>27</v>
      </c>
      <c r="C2579" s="2" t="s">
        <v>28</v>
      </c>
      <c r="D2579" s="2" t="s">
        <v>97</v>
      </c>
      <c r="E2579" s="2" t="s">
        <v>15462</v>
      </c>
      <c r="F2579" s="2" t="s">
        <v>8445</v>
      </c>
      <c r="G2579" s="2" t="s">
        <v>32</v>
      </c>
      <c r="H2579" s="1"/>
      <c r="I2579" s="2" t="s">
        <v>33</v>
      </c>
      <c r="J2579" s="2" t="s">
        <v>34</v>
      </c>
      <c r="K2579" s="2" t="s">
        <v>3940</v>
      </c>
      <c r="L2579" s="2" t="s">
        <v>3941</v>
      </c>
      <c r="M2579" s="2" t="s">
        <v>701</v>
      </c>
      <c r="N2579" s="2" t="s">
        <v>38</v>
      </c>
      <c r="O2579" s="2" t="s">
        <v>391</v>
      </c>
      <c r="P2579" s="2" t="s">
        <v>104</v>
      </c>
      <c r="Q2579" s="2" t="s">
        <v>12215</v>
      </c>
      <c r="R2579" s="2" t="s">
        <v>40</v>
      </c>
      <c r="S2579" s="2" t="s">
        <v>15475</v>
      </c>
      <c r="T2579" s="2" t="s">
        <v>726</v>
      </c>
      <c r="U2579" s="2" t="s">
        <v>9877</v>
      </c>
      <c r="V2579" s="2" t="s">
        <v>15476</v>
      </c>
      <c r="W2579" s="2" t="s">
        <v>41</v>
      </c>
      <c r="X2579" s="2" t="s">
        <v>15477</v>
      </c>
      <c r="Y2579" s="2" t="s">
        <v>15467</v>
      </c>
      <c r="AA2579" t="str">
        <f t="shared" si="240"/>
        <v>2025-09</v>
      </c>
      <c r="AB2579" t="str">
        <f t="shared" si="241"/>
        <v/>
      </c>
      <c r="AC2579">
        <f t="shared" si="242"/>
        <v>814.62</v>
      </c>
      <c r="AD2579">
        <f t="shared" si="243"/>
        <v>60</v>
      </c>
      <c r="AE2579">
        <f t="shared" si="244"/>
        <v>-427585.38</v>
      </c>
      <c r="AF2579" t="str">
        <f t="shared" si="245"/>
        <v>Sample</v>
      </c>
    </row>
    <row r="2580" spans="1:32" ht="17.25" thickBot="1" x14ac:dyDescent="0.35">
      <c r="A2580" s="2" t="s">
        <v>15478</v>
      </c>
      <c r="B2580" s="2" t="s">
        <v>27</v>
      </c>
      <c r="C2580" s="2" t="s">
        <v>28</v>
      </c>
      <c r="D2580" s="2" t="s">
        <v>97</v>
      </c>
      <c r="E2580" s="2" t="s">
        <v>15462</v>
      </c>
      <c r="F2580" s="2" t="s">
        <v>8445</v>
      </c>
      <c r="G2580" s="2" t="s">
        <v>32</v>
      </c>
      <c r="H2580" s="1"/>
      <c r="I2580" s="2" t="s">
        <v>33</v>
      </c>
      <c r="J2580" s="2" t="s">
        <v>34</v>
      </c>
      <c r="K2580" s="2" t="s">
        <v>3940</v>
      </c>
      <c r="L2580" s="2" t="s">
        <v>3941</v>
      </c>
      <c r="M2580" s="2" t="s">
        <v>701</v>
      </c>
      <c r="N2580" s="2" t="s">
        <v>38</v>
      </c>
      <c r="O2580" s="2" t="s">
        <v>15479</v>
      </c>
      <c r="P2580" s="2" t="s">
        <v>4730</v>
      </c>
      <c r="Q2580" s="2" t="s">
        <v>15480</v>
      </c>
      <c r="R2580" s="2" t="s">
        <v>40</v>
      </c>
      <c r="S2580" s="2" t="s">
        <v>15481</v>
      </c>
      <c r="T2580" s="2" t="s">
        <v>726</v>
      </c>
      <c r="U2580" s="2" t="s">
        <v>15482</v>
      </c>
      <c r="V2580" s="2" t="s">
        <v>15483</v>
      </c>
      <c r="W2580" s="1"/>
      <c r="X2580" s="2" t="s">
        <v>11014</v>
      </c>
      <c r="Y2580" s="2" t="s">
        <v>15467</v>
      </c>
      <c r="AA2580" t="str">
        <f t="shared" si="240"/>
        <v>2025-09</v>
      </c>
      <c r="AB2580" t="str">
        <f t="shared" si="241"/>
        <v/>
      </c>
      <c r="AC2580">
        <f t="shared" si="242"/>
        <v>34455167.520000003</v>
      </c>
      <c r="AD2580">
        <f t="shared" si="243"/>
        <v>4080</v>
      </c>
      <c r="AE2580">
        <f t="shared" si="244"/>
        <v>5323967.5199999996</v>
      </c>
      <c r="AF2580" t="str">
        <f t="shared" si="245"/>
        <v>Paid</v>
      </c>
    </row>
    <row r="2581" spans="1:32" ht="17.25" thickBot="1" x14ac:dyDescent="0.35">
      <c r="A2581" s="2" t="s">
        <v>15484</v>
      </c>
      <c r="B2581" s="2" t="s">
        <v>27</v>
      </c>
      <c r="C2581" s="2" t="s">
        <v>28</v>
      </c>
      <c r="D2581" s="2" t="s">
        <v>97</v>
      </c>
      <c r="E2581" s="2" t="s">
        <v>15462</v>
      </c>
      <c r="F2581" s="2" t="s">
        <v>8445</v>
      </c>
      <c r="G2581" s="2" t="s">
        <v>32</v>
      </c>
      <c r="H2581" s="1"/>
      <c r="I2581" s="2" t="s">
        <v>33</v>
      </c>
      <c r="J2581" s="2" t="s">
        <v>34</v>
      </c>
      <c r="K2581" s="2" t="s">
        <v>15485</v>
      </c>
      <c r="L2581" s="2" t="s">
        <v>15486</v>
      </c>
      <c r="M2581" s="2" t="s">
        <v>701</v>
      </c>
      <c r="N2581" s="2" t="s">
        <v>38</v>
      </c>
      <c r="O2581" s="2" t="s">
        <v>3068</v>
      </c>
      <c r="P2581" s="2" t="s">
        <v>4730</v>
      </c>
      <c r="Q2581" s="2" t="s">
        <v>15487</v>
      </c>
      <c r="R2581" s="2" t="s">
        <v>40</v>
      </c>
      <c r="S2581" s="2" t="s">
        <v>15488</v>
      </c>
      <c r="T2581" s="2" t="s">
        <v>726</v>
      </c>
      <c r="U2581" s="2" t="s">
        <v>8388</v>
      </c>
      <c r="V2581" s="2" t="s">
        <v>15489</v>
      </c>
      <c r="W2581" s="1"/>
      <c r="X2581" s="2" t="s">
        <v>11014</v>
      </c>
      <c r="Y2581" s="2" t="s">
        <v>15467</v>
      </c>
      <c r="AA2581" t="str">
        <f t="shared" si="240"/>
        <v>2025-09</v>
      </c>
      <c r="AB2581" t="str">
        <f t="shared" si="241"/>
        <v/>
      </c>
      <c r="AC2581">
        <f t="shared" si="242"/>
        <v>5911425.7999999998</v>
      </c>
      <c r="AD2581">
        <f t="shared" si="243"/>
        <v>700</v>
      </c>
      <c r="AE2581">
        <f t="shared" si="244"/>
        <v>913425.8</v>
      </c>
      <c r="AF2581" t="str">
        <f t="shared" si="245"/>
        <v>Paid</v>
      </c>
    </row>
    <row r="2582" spans="1:32" ht="17.25" thickBot="1" x14ac:dyDescent="0.35">
      <c r="A2582" s="2" t="s">
        <v>15490</v>
      </c>
      <c r="B2582" s="2" t="s">
        <v>27</v>
      </c>
      <c r="C2582" s="2" t="s">
        <v>28</v>
      </c>
      <c r="D2582" s="2" t="s">
        <v>97</v>
      </c>
      <c r="E2582" s="2" t="s">
        <v>15462</v>
      </c>
      <c r="F2582" s="2" t="s">
        <v>8445</v>
      </c>
      <c r="G2582" s="2" t="s">
        <v>32</v>
      </c>
      <c r="H2582" s="1"/>
      <c r="I2582" s="2" t="s">
        <v>33</v>
      </c>
      <c r="J2582" s="2" t="s">
        <v>34</v>
      </c>
      <c r="K2582" s="2" t="s">
        <v>3978</v>
      </c>
      <c r="L2582" s="2" t="s">
        <v>3979</v>
      </c>
      <c r="M2582" s="2" t="s">
        <v>701</v>
      </c>
      <c r="N2582" s="2" t="s">
        <v>38</v>
      </c>
      <c r="O2582" s="2" t="s">
        <v>831</v>
      </c>
      <c r="P2582" s="2" t="s">
        <v>7120</v>
      </c>
      <c r="Q2582" s="2" t="s">
        <v>15491</v>
      </c>
      <c r="R2582" s="2" t="s">
        <v>40</v>
      </c>
      <c r="S2582" s="2" t="s">
        <v>15492</v>
      </c>
      <c r="T2582" s="2" t="s">
        <v>759</v>
      </c>
      <c r="U2582" s="2" t="s">
        <v>11068</v>
      </c>
      <c r="V2582" s="2" t="s">
        <v>15493</v>
      </c>
      <c r="W2582" s="1"/>
      <c r="X2582" s="2" t="s">
        <v>11014</v>
      </c>
      <c r="Y2582" s="2" t="s">
        <v>15467</v>
      </c>
      <c r="AA2582" t="str">
        <f t="shared" si="240"/>
        <v>2025-09</v>
      </c>
      <c r="AB2582" t="str">
        <f t="shared" si="241"/>
        <v/>
      </c>
      <c r="AC2582">
        <f t="shared" si="242"/>
        <v>8947243</v>
      </c>
      <c r="AD2582">
        <f t="shared" si="243"/>
        <v>1000</v>
      </c>
      <c r="AE2582">
        <f t="shared" si="244"/>
        <v>1387243</v>
      </c>
      <c r="AF2582" t="str">
        <f t="shared" si="245"/>
        <v>Paid</v>
      </c>
    </row>
    <row r="2583" spans="1:32" ht="17.25" thickBot="1" x14ac:dyDescent="0.35">
      <c r="A2583" s="2" t="s">
        <v>15494</v>
      </c>
      <c r="B2583" s="2" t="s">
        <v>27</v>
      </c>
      <c r="C2583" s="2" t="s">
        <v>28</v>
      </c>
      <c r="D2583" s="2" t="s">
        <v>97</v>
      </c>
      <c r="E2583" s="2" t="s">
        <v>15462</v>
      </c>
      <c r="F2583" s="2" t="s">
        <v>8445</v>
      </c>
      <c r="G2583" s="2" t="s">
        <v>32</v>
      </c>
      <c r="H2583" s="1"/>
      <c r="I2583" s="2" t="s">
        <v>33</v>
      </c>
      <c r="J2583" s="2" t="s">
        <v>34</v>
      </c>
      <c r="K2583" s="2" t="s">
        <v>1642</v>
      </c>
      <c r="L2583" s="2" t="s">
        <v>1643</v>
      </c>
      <c r="M2583" s="2" t="s">
        <v>701</v>
      </c>
      <c r="N2583" s="2" t="s">
        <v>38</v>
      </c>
      <c r="O2583" s="2" t="s">
        <v>391</v>
      </c>
      <c r="P2583" s="2" t="s">
        <v>104</v>
      </c>
      <c r="Q2583" s="2" t="s">
        <v>12215</v>
      </c>
      <c r="R2583" s="2" t="s">
        <v>40</v>
      </c>
      <c r="S2583" s="2" t="s">
        <v>15475</v>
      </c>
      <c r="T2583" s="2" t="s">
        <v>759</v>
      </c>
      <c r="U2583" s="2" t="s">
        <v>12261</v>
      </c>
      <c r="V2583" s="2" t="s">
        <v>15495</v>
      </c>
      <c r="W2583" s="2" t="s">
        <v>41</v>
      </c>
      <c r="X2583" s="2" t="s">
        <v>15496</v>
      </c>
      <c r="Y2583" s="2" t="s">
        <v>15467</v>
      </c>
      <c r="AA2583" t="str">
        <f t="shared" si="240"/>
        <v>2025-09</v>
      </c>
      <c r="AB2583" t="str">
        <f t="shared" si="241"/>
        <v/>
      </c>
      <c r="AC2583">
        <f t="shared" si="242"/>
        <v>814.62</v>
      </c>
      <c r="AD2583">
        <f t="shared" si="243"/>
        <v>60</v>
      </c>
      <c r="AE2583">
        <f t="shared" si="244"/>
        <v>-452785.38</v>
      </c>
      <c r="AF2583" t="str">
        <f t="shared" si="245"/>
        <v>Sample</v>
      </c>
    </row>
    <row r="2584" spans="1:32" ht="17.25" thickBot="1" x14ac:dyDescent="0.35">
      <c r="A2584" s="2" t="s">
        <v>15497</v>
      </c>
      <c r="B2584" s="2" t="s">
        <v>27</v>
      </c>
      <c r="C2584" s="2" t="s">
        <v>28</v>
      </c>
      <c r="D2584" s="2" t="s">
        <v>97</v>
      </c>
      <c r="E2584" s="2" t="s">
        <v>15462</v>
      </c>
      <c r="F2584" s="2" t="s">
        <v>8445</v>
      </c>
      <c r="G2584" s="2" t="s">
        <v>32</v>
      </c>
      <c r="H2584" s="1"/>
      <c r="I2584" s="2" t="s">
        <v>33</v>
      </c>
      <c r="J2584" s="2" t="s">
        <v>34</v>
      </c>
      <c r="K2584" s="2" t="s">
        <v>1642</v>
      </c>
      <c r="L2584" s="2" t="s">
        <v>1643</v>
      </c>
      <c r="M2584" s="2" t="s">
        <v>701</v>
      </c>
      <c r="N2584" s="2" t="s">
        <v>38</v>
      </c>
      <c r="O2584" s="2" t="s">
        <v>15498</v>
      </c>
      <c r="P2584" s="2" t="s">
        <v>7120</v>
      </c>
      <c r="Q2584" s="2" t="s">
        <v>15499</v>
      </c>
      <c r="R2584" s="2" t="s">
        <v>40</v>
      </c>
      <c r="S2584" s="2" t="s">
        <v>15500</v>
      </c>
      <c r="T2584" s="2" t="s">
        <v>759</v>
      </c>
      <c r="U2584" s="2" t="s">
        <v>15501</v>
      </c>
      <c r="V2584" s="2" t="s">
        <v>15502</v>
      </c>
      <c r="W2584" s="1"/>
      <c r="X2584" s="2" t="s">
        <v>11014</v>
      </c>
      <c r="Y2584" s="2" t="s">
        <v>15467</v>
      </c>
      <c r="AA2584" t="str">
        <f t="shared" si="240"/>
        <v>2025-09</v>
      </c>
      <c r="AB2584" t="str">
        <f t="shared" si="241"/>
        <v/>
      </c>
      <c r="AC2584">
        <f t="shared" si="242"/>
        <v>208291817.03999999</v>
      </c>
      <c r="AD2584">
        <f t="shared" si="243"/>
        <v>23280</v>
      </c>
      <c r="AE2584">
        <f t="shared" si="244"/>
        <v>32295017.039999999</v>
      </c>
      <c r="AF2584" t="str">
        <f t="shared" si="245"/>
        <v>Paid</v>
      </c>
    </row>
    <row r="2585" spans="1:32" ht="17.25" thickBot="1" x14ac:dyDescent="0.35">
      <c r="A2585" s="2" t="s">
        <v>15503</v>
      </c>
      <c r="B2585" s="2" t="s">
        <v>27</v>
      </c>
      <c r="C2585" s="2" t="s">
        <v>28</v>
      </c>
      <c r="D2585" s="2" t="s">
        <v>97</v>
      </c>
      <c r="E2585" s="2" t="s">
        <v>15462</v>
      </c>
      <c r="F2585" s="2" t="s">
        <v>8445</v>
      </c>
      <c r="G2585" s="2" t="s">
        <v>32</v>
      </c>
      <c r="H2585" s="1"/>
      <c r="I2585" s="2" t="s">
        <v>33</v>
      </c>
      <c r="J2585" s="2" t="s">
        <v>34</v>
      </c>
      <c r="K2585" s="2" t="s">
        <v>6331</v>
      </c>
      <c r="L2585" s="2" t="s">
        <v>6332</v>
      </c>
      <c r="M2585" s="2" t="s">
        <v>701</v>
      </c>
      <c r="N2585" s="2" t="s">
        <v>38</v>
      </c>
      <c r="O2585" s="2" t="s">
        <v>8269</v>
      </c>
      <c r="P2585" s="2" t="s">
        <v>7120</v>
      </c>
      <c r="Q2585" s="2" t="s">
        <v>15504</v>
      </c>
      <c r="R2585" s="2" t="s">
        <v>40</v>
      </c>
      <c r="S2585" s="2" t="s">
        <v>15505</v>
      </c>
      <c r="T2585" s="2" t="s">
        <v>759</v>
      </c>
      <c r="U2585" s="2" t="s">
        <v>12273</v>
      </c>
      <c r="V2585" s="2" t="s">
        <v>15506</v>
      </c>
      <c r="W2585" s="1"/>
      <c r="X2585" s="2" t="s">
        <v>11014</v>
      </c>
      <c r="Y2585" s="2" t="s">
        <v>15467</v>
      </c>
      <c r="AA2585" t="str">
        <f t="shared" si="240"/>
        <v>2025-09</v>
      </c>
      <c r="AB2585" t="str">
        <f t="shared" si="241"/>
        <v/>
      </c>
      <c r="AC2585">
        <f t="shared" si="242"/>
        <v>21473383.199999999</v>
      </c>
      <c r="AD2585">
        <f t="shared" si="243"/>
        <v>2400</v>
      </c>
      <c r="AE2585">
        <f t="shared" si="244"/>
        <v>3329383.2</v>
      </c>
      <c r="AF2585" t="str">
        <f t="shared" si="245"/>
        <v>Paid</v>
      </c>
    </row>
    <row r="2586" spans="1:32" ht="17.25" thickBot="1" x14ac:dyDescent="0.35">
      <c r="A2586" s="2" t="s">
        <v>15507</v>
      </c>
      <c r="B2586" s="2" t="s">
        <v>27</v>
      </c>
      <c r="C2586" s="2" t="s">
        <v>28</v>
      </c>
      <c r="D2586" s="2" t="s">
        <v>97</v>
      </c>
      <c r="E2586" s="2" t="s">
        <v>15462</v>
      </c>
      <c r="F2586" s="2" t="s">
        <v>8445</v>
      </c>
      <c r="G2586" s="2" t="s">
        <v>32</v>
      </c>
      <c r="H2586" s="1"/>
      <c r="I2586" s="2" t="s">
        <v>33</v>
      </c>
      <c r="J2586" s="2" t="s">
        <v>34</v>
      </c>
      <c r="K2586" s="2" t="s">
        <v>8322</v>
      </c>
      <c r="L2586" s="2" t="s">
        <v>8323</v>
      </c>
      <c r="M2586" s="2" t="s">
        <v>701</v>
      </c>
      <c r="N2586" s="2" t="s">
        <v>38</v>
      </c>
      <c r="O2586" s="2" t="s">
        <v>665</v>
      </c>
      <c r="P2586" s="2" t="s">
        <v>15508</v>
      </c>
      <c r="Q2586" s="2" t="s">
        <v>15509</v>
      </c>
      <c r="R2586" s="2" t="s">
        <v>40</v>
      </c>
      <c r="S2586" s="2" t="s">
        <v>15510</v>
      </c>
      <c r="T2586" s="2" t="s">
        <v>8326</v>
      </c>
      <c r="U2586" s="2" t="s">
        <v>15511</v>
      </c>
      <c r="V2586" s="2" t="s">
        <v>15512</v>
      </c>
      <c r="W2586" s="1"/>
      <c r="X2586" s="2" t="s">
        <v>11014</v>
      </c>
      <c r="Y2586" s="2" t="s">
        <v>15467</v>
      </c>
      <c r="AA2586" t="str">
        <f t="shared" si="240"/>
        <v>2025-09</v>
      </c>
      <c r="AB2586" t="str">
        <f t="shared" si="241"/>
        <v/>
      </c>
      <c r="AC2586">
        <f t="shared" si="242"/>
        <v>2192549.73</v>
      </c>
      <c r="AD2586">
        <f t="shared" si="243"/>
        <v>210</v>
      </c>
      <c r="AE2586">
        <f t="shared" si="244"/>
        <v>340349.73</v>
      </c>
      <c r="AF2586" t="str">
        <f t="shared" si="245"/>
        <v>Paid</v>
      </c>
    </row>
    <row r="2587" spans="1:32" ht="27.75" thickBot="1" x14ac:dyDescent="0.35">
      <c r="A2587" s="2" t="s">
        <v>15513</v>
      </c>
      <c r="B2587" s="2" t="s">
        <v>27</v>
      </c>
      <c r="C2587" s="2" t="s">
        <v>28</v>
      </c>
      <c r="D2587" s="2" t="s">
        <v>97</v>
      </c>
      <c r="E2587" s="2" t="s">
        <v>15462</v>
      </c>
      <c r="F2587" s="2" t="s">
        <v>8445</v>
      </c>
      <c r="G2587" s="2" t="s">
        <v>32</v>
      </c>
      <c r="H2587" s="1"/>
      <c r="I2587" s="2" t="s">
        <v>33</v>
      </c>
      <c r="J2587" s="2" t="s">
        <v>34</v>
      </c>
      <c r="K2587" s="2" t="s">
        <v>15514</v>
      </c>
      <c r="L2587" s="2" t="s">
        <v>15515</v>
      </c>
      <c r="M2587" s="2" t="s">
        <v>15516</v>
      </c>
      <c r="N2587" s="2" t="s">
        <v>38</v>
      </c>
      <c r="O2587" s="2" t="s">
        <v>156</v>
      </c>
      <c r="P2587" s="2" t="s">
        <v>104</v>
      </c>
      <c r="Q2587" s="2" t="s">
        <v>12620</v>
      </c>
      <c r="R2587" s="2" t="s">
        <v>40</v>
      </c>
      <c r="S2587" s="2" t="s">
        <v>15517</v>
      </c>
      <c r="T2587" s="2" t="s">
        <v>7325</v>
      </c>
      <c r="U2587" s="2" t="s">
        <v>15518</v>
      </c>
      <c r="V2587" s="2" t="s">
        <v>15519</v>
      </c>
      <c r="W2587" s="2" t="s">
        <v>41</v>
      </c>
      <c r="X2587" s="2" t="s">
        <v>15520</v>
      </c>
      <c r="Y2587" s="2" t="s">
        <v>15467</v>
      </c>
      <c r="AA2587" t="str">
        <f t="shared" si="240"/>
        <v>2025-09</v>
      </c>
      <c r="AB2587" t="str">
        <f t="shared" si="241"/>
        <v/>
      </c>
      <c r="AC2587">
        <f t="shared" si="242"/>
        <v>271.54000000000002</v>
      </c>
      <c r="AD2587">
        <f t="shared" si="243"/>
        <v>20</v>
      </c>
      <c r="AE2587">
        <f t="shared" si="244"/>
        <v>-91728.46</v>
      </c>
      <c r="AF2587" t="str">
        <f t="shared" si="245"/>
        <v>Sample</v>
      </c>
    </row>
    <row r="2588" spans="1:32" ht="27.75" thickBot="1" x14ac:dyDescent="0.35">
      <c r="A2588" s="2" t="s">
        <v>15521</v>
      </c>
      <c r="B2588" s="2" t="s">
        <v>27</v>
      </c>
      <c r="C2588" s="2" t="s">
        <v>28</v>
      </c>
      <c r="D2588" s="2" t="s">
        <v>97</v>
      </c>
      <c r="E2588" s="2" t="s">
        <v>15462</v>
      </c>
      <c r="F2588" s="2" t="s">
        <v>8445</v>
      </c>
      <c r="G2588" s="2" t="s">
        <v>32</v>
      </c>
      <c r="H2588" s="1"/>
      <c r="I2588" s="2" t="s">
        <v>33</v>
      </c>
      <c r="J2588" s="2" t="s">
        <v>34</v>
      </c>
      <c r="K2588" s="2" t="s">
        <v>15522</v>
      </c>
      <c r="L2588" s="2" t="s">
        <v>15523</v>
      </c>
      <c r="M2588" s="2" t="s">
        <v>15516</v>
      </c>
      <c r="N2588" s="2" t="s">
        <v>38</v>
      </c>
      <c r="O2588" s="2" t="s">
        <v>156</v>
      </c>
      <c r="P2588" s="2" t="s">
        <v>104</v>
      </c>
      <c r="Q2588" s="2" t="s">
        <v>12620</v>
      </c>
      <c r="R2588" s="2" t="s">
        <v>40</v>
      </c>
      <c r="S2588" s="2" t="s">
        <v>15517</v>
      </c>
      <c r="T2588" s="2" t="s">
        <v>7325</v>
      </c>
      <c r="U2588" s="2" t="s">
        <v>15518</v>
      </c>
      <c r="V2588" s="2" t="s">
        <v>15519</v>
      </c>
      <c r="W2588" s="2" t="s">
        <v>41</v>
      </c>
      <c r="X2588" s="2" t="s">
        <v>15520</v>
      </c>
      <c r="Y2588" s="2" t="s">
        <v>15467</v>
      </c>
      <c r="AA2588" t="str">
        <f t="shared" si="240"/>
        <v>2025-09</v>
      </c>
      <c r="AB2588" t="str">
        <f t="shared" si="241"/>
        <v/>
      </c>
      <c r="AC2588">
        <f t="shared" si="242"/>
        <v>271.54000000000002</v>
      </c>
      <c r="AD2588">
        <f t="shared" si="243"/>
        <v>20</v>
      </c>
      <c r="AE2588">
        <f t="shared" si="244"/>
        <v>-91728.46</v>
      </c>
      <c r="AF2588" t="str">
        <f t="shared" si="245"/>
        <v>Sample</v>
      </c>
    </row>
    <row r="2589" spans="1:32" ht="17.25" thickBot="1" x14ac:dyDescent="0.35">
      <c r="A2589" s="2" t="s">
        <v>15524</v>
      </c>
      <c r="B2589" s="2" t="s">
        <v>27</v>
      </c>
      <c r="C2589" s="2" t="s">
        <v>28</v>
      </c>
      <c r="D2589" s="2" t="s">
        <v>97</v>
      </c>
      <c r="E2589" s="2" t="s">
        <v>15462</v>
      </c>
      <c r="F2589" s="2" t="s">
        <v>8445</v>
      </c>
      <c r="G2589" s="2" t="s">
        <v>32</v>
      </c>
      <c r="H2589" s="1"/>
      <c r="I2589" s="2" t="s">
        <v>33</v>
      </c>
      <c r="J2589" s="2" t="s">
        <v>34</v>
      </c>
      <c r="K2589" s="2" t="s">
        <v>15525</v>
      </c>
      <c r="L2589" s="2" t="s">
        <v>15526</v>
      </c>
      <c r="M2589" s="2" t="s">
        <v>15516</v>
      </c>
      <c r="N2589" s="2" t="s">
        <v>38</v>
      </c>
      <c r="O2589" s="2" t="s">
        <v>156</v>
      </c>
      <c r="P2589" s="2" t="s">
        <v>104</v>
      </c>
      <c r="Q2589" s="2" t="s">
        <v>12620</v>
      </c>
      <c r="R2589" s="2" t="s">
        <v>40</v>
      </c>
      <c r="S2589" s="2" t="s">
        <v>15517</v>
      </c>
      <c r="T2589" s="2" t="s">
        <v>10964</v>
      </c>
      <c r="U2589" s="2" t="s">
        <v>8045</v>
      </c>
      <c r="V2589" s="2" t="s">
        <v>15527</v>
      </c>
      <c r="W2589" s="2" t="s">
        <v>41</v>
      </c>
      <c r="X2589" s="2" t="s">
        <v>15528</v>
      </c>
      <c r="Y2589" s="2" t="s">
        <v>15467</v>
      </c>
      <c r="AA2589" t="str">
        <f t="shared" si="240"/>
        <v>2025-09</v>
      </c>
      <c r="AB2589" t="str">
        <f t="shared" si="241"/>
        <v/>
      </c>
      <c r="AC2589">
        <f t="shared" si="242"/>
        <v>271.54000000000002</v>
      </c>
      <c r="AD2589">
        <f t="shared" si="243"/>
        <v>20</v>
      </c>
      <c r="AE2589">
        <f t="shared" si="244"/>
        <v>-107728.46</v>
      </c>
      <c r="AF2589" t="str">
        <f t="shared" si="245"/>
        <v>Sample</v>
      </c>
    </row>
    <row r="2590" spans="1:32" ht="27.75" thickBot="1" x14ac:dyDescent="0.35">
      <c r="A2590" s="2" t="s">
        <v>15529</v>
      </c>
      <c r="B2590" s="2" t="s">
        <v>27</v>
      </c>
      <c r="C2590" s="2" t="s">
        <v>28</v>
      </c>
      <c r="D2590" s="2" t="s">
        <v>97</v>
      </c>
      <c r="E2590" s="2" t="s">
        <v>15462</v>
      </c>
      <c r="F2590" s="2" t="s">
        <v>8445</v>
      </c>
      <c r="G2590" s="2" t="s">
        <v>32</v>
      </c>
      <c r="H2590" s="1"/>
      <c r="I2590" s="2" t="s">
        <v>33</v>
      </c>
      <c r="J2590" s="2" t="s">
        <v>34</v>
      </c>
      <c r="K2590" s="2" t="s">
        <v>15530</v>
      </c>
      <c r="L2590" s="2" t="s">
        <v>15531</v>
      </c>
      <c r="M2590" s="2" t="s">
        <v>15516</v>
      </c>
      <c r="N2590" s="2" t="s">
        <v>38</v>
      </c>
      <c r="O2590" s="2" t="s">
        <v>156</v>
      </c>
      <c r="P2590" s="2" t="s">
        <v>104</v>
      </c>
      <c r="Q2590" s="2" t="s">
        <v>12620</v>
      </c>
      <c r="R2590" s="2" t="s">
        <v>40</v>
      </c>
      <c r="S2590" s="2" t="s">
        <v>15517</v>
      </c>
      <c r="T2590" s="2" t="s">
        <v>15532</v>
      </c>
      <c r="U2590" s="2" t="s">
        <v>15533</v>
      </c>
      <c r="V2590" s="2" t="s">
        <v>15534</v>
      </c>
      <c r="W2590" s="2" t="s">
        <v>41</v>
      </c>
      <c r="X2590" s="2" t="s">
        <v>15535</v>
      </c>
      <c r="Y2590" s="2" t="s">
        <v>15467</v>
      </c>
      <c r="AA2590" t="str">
        <f t="shared" si="240"/>
        <v>2025-09</v>
      </c>
      <c r="AB2590" t="str">
        <f t="shared" si="241"/>
        <v/>
      </c>
      <c r="AC2590">
        <f t="shared" si="242"/>
        <v>271.54000000000002</v>
      </c>
      <c r="AD2590">
        <f t="shared" si="243"/>
        <v>20</v>
      </c>
      <c r="AE2590">
        <f t="shared" si="244"/>
        <v>-91968.46</v>
      </c>
      <c r="AF2590" t="str">
        <f t="shared" si="245"/>
        <v>Sample</v>
      </c>
    </row>
    <row r="2591" spans="1:32" ht="17.25" thickBot="1" x14ac:dyDescent="0.35">
      <c r="A2591" s="2" t="s">
        <v>15536</v>
      </c>
      <c r="B2591" s="2" t="s">
        <v>27</v>
      </c>
      <c r="C2591" s="2" t="s">
        <v>28</v>
      </c>
      <c r="D2591" s="2" t="s">
        <v>97</v>
      </c>
      <c r="E2591" s="2" t="s">
        <v>15462</v>
      </c>
      <c r="F2591" s="2" t="s">
        <v>8445</v>
      </c>
      <c r="G2591" s="2" t="s">
        <v>32</v>
      </c>
      <c r="H2591" s="1"/>
      <c r="I2591" s="2" t="s">
        <v>33</v>
      </c>
      <c r="J2591" s="2" t="s">
        <v>34</v>
      </c>
      <c r="K2591" s="2" t="s">
        <v>15537</v>
      </c>
      <c r="L2591" s="2" t="s">
        <v>15538</v>
      </c>
      <c r="M2591" s="2" t="s">
        <v>4544</v>
      </c>
      <c r="N2591" s="2" t="s">
        <v>38</v>
      </c>
      <c r="O2591" s="2" t="s">
        <v>1333</v>
      </c>
      <c r="P2591" s="2" t="s">
        <v>104</v>
      </c>
      <c r="Q2591" s="2" t="s">
        <v>15539</v>
      </c>
      <c r="R2591" s="2" t="s">
        <v>40</v>
      </c>
      <c r="S2591" s="2" t="s">
        <v>15540</v>
      </c>
      <c r="T2591" s="2" t="s">
        <v>3023</v>
      </c>
      <c r="U2591" s="2" t="s">
        <v>5544</v>
      </c>
      <c r="V2591" s="2" t="s">
        <v>15541</v>
      </c>
      <c r="W2591" s="2" t="s">
        <v>41</v>
      </c>
      <c r="X2591" s="2" t="s">
        <v>15542</v>
      </c>
      <c r="Y2591" s="2" t="s">
        <v>15467</v>
      </c>
      <c r="AA2591" t="str">
        <f t="shared" si="240"/>
        <v>2025-09</v>
      </c>
      <c r="AB2591" t="str">
        <f t="shared" si="241"/>
        <v/>
      </c>
      <c r="AC2591">
        <f t="shared" si="242"/>
        <v>2036.55</v>
      </c>
      <c r="AD2591">
        <f t="shared" si="243"/>
        <v>150</v>
      </c>
      <c r="AE2591">
        <f t="shared" si="244"/>
        <v>-297963.45</v>
      </c>
      <c r="AF2591" t="str">
        <f t="shared" si="245"/>
        <v>Sample</v>
      </c>
    </row>
    <row r="2592" spans="1:32" ht="17.25" thickBot="1" x14ac:dyDescent="0.35">
      <c r="A2592" s="2" t="s">
        <v>15543</v>
      </c>
      <c r="B2592" s="2" t="s">
        <v>27</v>
      </c>
      <c r="C2592" s="2" t="s">
        <v>28</v>
      </c>
      <c r="D2592" s="2" t="s">
        <v>97</v>
      </c>
      <c r="E2592" s="2" t="s">
        <v>15462</v>
      </c>
      <c r="F2592" s="2" t="s">
        <v>8445</v>
      </c>
      <c r="G2592" s="2" t="s">
        <v>32</v>
      </c>
      <c r="H2592" s="1"/>
      <c r="I2592" s="2" t="s">
        <v>33</v>
      </c>
      <c r="J2592" s="2" t="s">
        <v>34</v>
      </c>
      <c r="K2592" s="2" t="s">
        <v>15544</v>
      </c>
      <c r="L2592" s="2" t="s">
        <v>15545</v>
      </c>
      <c r="M2592" s="2" t="s">
        <v>4544</v>
      </c>
      <c r="N2592" s="2" t="s">
        <v>38</v>
      </c>
      <c r="O2592" s="2" t="s">
        <v>1333</v>
      </c>
      <c r="P2592" s="2" t="s">
        <v>104</v>
      </c>
      <c r="Q2592" s="2" t="s">
        <v>15539</v>
      </c>
      <c r="R2592" s="2" t="s">
        <v>40</v>
      </c>
      <c r="S2592" s="2" t="s">
        <v>15540</v>
      </c>
      <c r="T2592" s="2" t="s">
        <v>3023</v>
      </c>
      <c r="U2592" s="2" t="s">
        <v>5544</v>
      </c>
      <c r="V2592" s="2" t="s">
        <v>15541</v>
      </c>
      <c r="W2592" s="2" t="s">
        <v>41</v>
      </c>
      <c r="X2592" s="2" t="s">
        <v>15542</v>
      </c>
      <c r="Y2592" s="2" t="s">
        <v>15467</v>
      </c>
      <c r="AA2592" t="str">
        <f t="shared" si="240"/>
        <v>2025-09</v>
      </c>
      <c r="AB2592" t="str">
        <f t="shared" si="241"/>
        <v/>
      </c>
      <c r="AC2592">
        <f t="shared" si="242"/>
        <v>2036.55</v>
      </c>
      <c r="AD2592">
        <f t="shared" si="243"/>
        <v>150</v>
      </c>
      <c r="AE2592">
        <f t="shared" si="244"/>
        <v>-297963.45</v>
      </c>
      <c r="AF2592" t="str">
        <f t="shared" si="245"/>
        <v>Sample</v>
      </c>
    </row>
    <row r="2593" spans="1:32" ht="17.25" thickBot="1" x14ac:dyDescent="0.35">
      <c r="A2593" s="2" t="s">
        <v>15546</v>
      </c>
      <c r="B2593" s="2" t="s">
        <v>27</v>
      </c>
      <c r="C2593" s="2" t="s">
        <v>28</v>
      </c>
      <c r="D2593" s="2" t="s">
        <v>97</v>
      </c>
      <c r="E2593" s="2" t="s">
        <v>15462</v>
      </c>
      <c r="F2593" s="2" t="s">
        <v>8445</v>
      </c>
      <c r="G2593" s="2" t="s">
        <v>32</v>
      </c>
      <c r="H2593" s="1"/>
      <c r="I2593" s="2" t="s">
        <v>33</v>
      </c>
      <c r="J2593" s="2" t="s">
        <v>34</v>
      </c>
      <c r="K2593" s="2" t="s">
        <v>15547</v>
      </c>
      <c r="L2593" s="2" t="s">
        <v>15548</v>
      </c>
      <c r="M2593" s="2" t="s">
        <v>4544</v>
      </c>
      <c r="N2593" s="2" t="s">
        <v>38</v>
      </c>
      <c r="O2593" s="2" t="s">
        <v>1333</v>
      </c>
      <c r="P2593" s="2" t="s">
        <v>104</v>
      </c>
      <c r="Q2593" s="2" t="s">
        <v>15539</v>
      </c>
      <c r="R2593" s="2" t="s">
        <v>40</v>
      </c>
      <c r="S2593" s="2" t="s">
        <v>15540</v>
      </c>
      <c r="T2593" s="2" t="s">
        <v>3023</v>
      </c>
      <c r="U2593" s="2" t="s">
        <v>5544</v>
      </c>
      <c r="V2593" s="2" t="s">
        <v>15541</v>
      </c>
      <c r="W2593" s="2" t="s">
        <v>41</v>
      </c>
      <c r="X2593" s="2" t="s">
        <v>15542</v>
      </c>
      <c r="Y2593" s="2" t="s">
        <v>15467</v>
      </c>
      <c r="AA2593" t="str">
        <f t="shared" si="240"/>
        <v>2025-09</v>
      </c>
      <c r="AB2593" t="str">
        <f t="shared" si="241"/>
        <v/>
      </c>
      <c r="AC2593">
        <f t="shared" si="242"/>
        <v>2036.55</v>
      </c>
      <c r="AD2593">
        <f t="shared" si="243"/>
        <v>150</v>
      </c>
      <c r="AE2593">
        <f t="shared" si="244"/>
        <v>-297963.45</v>
      </c>
      <c r="AF2593" t="str">
        <f t="shared" si="245"/>
        <v>Sample</v>
      </c>
    </row>
    <row r="2594" spans="1:32" ht="17.25" thickBot="1" x14ac:dyDescent="0.35">
      <c r="A2594" s="2" t="s">
        <v>15549</v>
      </c>
      <c r="B2594" s="2" t="s">
        <v>27</v>
      </c>
      <c r="C2594" s="2" t="s">
        <v>28</v>
      </c>
      <c r="D2594" s="2" t="s">
        <v>97</v>
      </c>
      <c r="E2594" s="2" t="s">
        <v>15462</v>
      </c>
      <c r="F2594" s="2" t="s">
        <v>8445</v>
      </c>
      <c r="G2594" s="2" t="s">
        <v>32</v>
      </c>
      <c r="H2594" s="1"/>
      <c r="I2594" s="2" t="s">
        <v>33</v>
      </c>
      <c r="J2594" s="2" t="s">
        <v>34</v>
      </c>
      <c r="K2594" s="2" t="s">
        <v>15550</v>
      </c>
      <c r="L2594" s="2" t="s">
        <v>15551</v>
      </c>
      <c r="M2594" s="2" t="s">
        <v>4544</v>
      </c>
      <c r="N2594" s="2" t="s">
        <v>38</v>
      </c>
      <c r="O2594" s="2" t="s">
        <v>773</v>
      </c>
      <c r="P2594" s="2" t="s">
        <v>104</v>
      </c>
      <c r="Q2594" s="2" t="s">
        <v>10415</v>
      </c>
      <c r="R2594" s="2" t="s">
        <v>40</v>
      </c>
      <c r="S2594" s="2" t="s">
        <v>15552</v>
      </c>
      <c r="T2594" s="2" t="s">
        <v>2275</v>
      </c>
      <c r="U2594" s="2" t="s">
        <v>163</v>
      </c>
      <c r="V2594" s="2" t="s">
        <v>15553</v>
      </c>
      <c r="W2594" s="2" t="s">
        <v>41</v>
      </c>
      <c r="X2594" s="2" t="s">
        <v>15554</v>
      </c>
      <c r="Y2594" s="2" t="s">
        <v>15467</v>
      </c>
      <c r="AA2594" t="str">
        <f t="shared" si="240"/>
        <v>2025-09</v>
      </c>
      <c r="AB2594" t="str">
        <f t="shared" si="241"/>
        <v/>
      </c>
      <c r="AC2594">
        <f t="shared" si="242"/>
        <v>2715.4</v>
      </c>
      <c r="AD2594">
        <f t="shared" si="243"/>
        <v>200</v>
      </c>
      <c r="AE2594">
        <f t="shared" si="244"/>
        <v>-897284.6</v>
      </c>
      <c r="AF2594" t="str">
        <f t="shared" si="245"/>
        <v>Sample</v>
      </c>
    </row>
    <row r="2595" spans="1:32" ht="17.25" thickBot="1" x14ac:dyDescent="0.35">
      <c r="A2595" s="2" t="s">
        <v>15555</v>
      </c>
      <c r="B2595" s="2" t="s">
        <v>27</v>
      </c>
      <c r="C2595" s="2" t="s">
        <v>28</v>
      </c>
      <c r="D2595" s="2" t="s">
        <v>97</v>
      </c>
      <c r="E2595" s="2" t="s">
        <v>15462</v>
      </c>
      <c r="F2595" s="2" t="s">
        <v>8445</v>
      </c>
      <c r="G2595" s="2" t="s">
        <v>32</v>
      </c>
      <c r="H2595" s="1"/>
      <c r="I2595" s="2" t="s">
        <v>33</v>
      </c>
      <c r="J2595" s="2" t="s">
        <v>34</v>
      </c>
      <c r="K2595" s="2" t="s">
        <v>15556</v>
      </c>
      <c r="L2595" s="2" t="s">
        <v>15557</v>
      </c>
      <c r="M2595" s="2" t="s">
        <v>4544</v>
      </c>
      <c r="N2595" s="2" t="s">
        <v>38</v>
      </c>
      <c r="O2595" s="2" t="s">
        <v>773</v>
      </c>
      <c r="P2595" s="2" t="s">
        <v>104</v>
      </c>
      <c r="Q2595" s="2" t="s">
        <v>10415</v>
      </c>
      <c r="R2595" s="2" t="s">
        <v>40</v>
      </c>
      <c r="S2595" s="2" t="s">
        <v>15552</v>
      </c>
      <c r="T2595" s="2" t="s">
        <v>2275</v>
      </c>
      <c r="U2595" s="2" t="s">
        <v>163</v>
      </c>
      <c r="V2595" s="2" t="s">
        <v>15553</v>
      </c>
      <c r="W2595" s="2" t="s">
        <v>41</v>
      </c>
      <c r="X2595" s="2" t="s">
        <v>15554</v>
      </c>
      <c r="Y2595" s="2" t="s">
        <v>15467</v>
      </c>
      <c r="AA2595" t="str">
        <f t="shared" si="240"/>
        <v>2025-09</v>
      </c>
      <c r="AB2595" t="str">
        <f t="shared" si="241"/>
        <v/>
      </c>
      <c r="AC2595">
        <f t="shared" si="242"/>
        <v>2715.4</v>
      </c>
      <c r="AD2595">
        <f t="shared" si="243"/>
        <v>200</v>
      </c>
      <c r="AE2595">
        <f t="shared" si="244"/>
        <v>-897284.6</v>
      </c>
      <c r="AF2595" t="str">
        <f t="shared" si="245"/>
        <v>Sample</v>
      </c>
    </row>
    <row r="2596" spans="1:32" ht="17.25" thickBot="1" x14ac:dyDescent="0.35">
      <c r="A2596" s="2" t="s">
        <v>15558</v>
      </c>
      <c r="B2596" s="2" t="s">
        <v>27</v>
      </c>
      <c r="C2596" s="2" t="s">
        <v>28</v>
      </c>
      <c r="D2596" s="2" t="s">
        <v>97</v>
      </c>
      <c r="E2596" s="2" t="s">
        <v>15462</v>
      </c>
      <c r="F2596" s="2" t="s">
        <v>8445</v>
      </c>
      <c r="G2596" s="2" t="s">
        <v>32</v>
      </c>
      <c r="H2596" s="1"/>
      <c r="I2596" s="2" t="s">
        <v>33</v>
      </c>
      <c r="J2596" s="2" t="s">
        <v>34</v>
      </c>
      <c r="K2596" s="2" t="s">
        <v>6896</v>
      </c>
      <c r="L2596" s="2" t="s">
        <v>6897</v>
      </c>
      <c r="M2596" s="2" t="s">
        <v>4544</v>
      </c>
      <c r="N2596" s="2" t="s">
        <v>38</v>
      </c>
      <c r="O2596" s="2" t="s">
        <v>773</v>
      </c>
      <c r="P2596" s="2" t="s">
        <v>104</v>
      </c>
      <c r="Q2596" s="2" t="s">
        <v>10415</v>
      </c>
      <c r="R2596" s="2" t="s">
        <v>40</v>
      </c>
      <c r="S2596" s="2" t="s">
        <v>15552</v>
      </c>
      <c r="T2596" s="2" t="s">
        <v>2275</v>
      </c>
      <c r="U2596" s="2" t="s">
        <v>163</v>
      </c>
      <c r="V2596" s="2" t="s">
        <v>15553</v>
      </c>
      <c r="W2596" s="2" t="s">
        <v>41</v>
      </c>
      <c r="X2596" s="2" t="s">
        <v>15554</v>
      </c>
      <c r="Y2596" s="2" t="s">
        <v>15467</v>
      </c>
      <c r="AA2596" t="str">
        <f t="shared" si="240"/>
        <v>2025-09</v>
      </c>
      <c r="AB2596" t="str">
        <f t="shared" si="241"/>
        <v/>
      </c>
      <c r="AC2596">
        <f t="shared" si="242"/>
        <v>2715.4</v>
      </c>
      <c r="AD2596">
        <f t="shared" si="243"/>
        <v>200</v>
      </c>
      <c r="AE2596">
        <f t="shared" si="244"/>
        <v>-897284.6</v>
      </c>
      <c r="AF2596" t="str">
        <f t="shared" si="245"/>
        <v>Sample</v>
      </c>
    </row>
    <row r="2597" spans="1:32" ht="17.25" thickBot="1" x14ac:dyDescent="0.35">
      <c r="A2597" s="2" t="s">
        <v>15559</v>
      </c>
      <c r="B2597" s="2" t="s">
        <v>27</v>
      </c>
      <c r="C2597" s="2" t="s">
        <v>28</v>
      </c>
      <c r="D2597" s="2" t="s">
        <v>97</v>
      </c>
      <c r="E2597" s="2" t="s">
        <v>30</v>
      </c>
      <c r="F2597" s="2" t="s">
        <v>8445</v>
      </c>
      <c r="G2597" s="2" t="s">
        <v>32</v>
      </c>
      <c r="H2597" s="1"/>
      <c r="I2597" s="2" t="s">
        <v>33</v>
      </c>
      <c r="J2597" s="2" t="s">
        <v>34</v>
      </c>
      <c r="K2597" s="2" t="s">
        <v>15560</v>
      </c>
      <c r="L2597" s="2" t="s">
        <v>15561</v>
      </c>
      <c r="M2597" s="2" t="s">
        <v>701</v>
      </c>
      <c r="N2597" s="2" t="s">
        <v>38</v>
      </c>
      <c r="O2597" s="2" t="s">
        <v>149</v>
      </c>
      <c r="P2597" s="2" t="s">
        <v>3419</v>
      </c>
      <c r="Q2597" s="2" t="s">
        <v>15562</v>
      </c>
      <c r="R2597" s="2" t="s">
        <v>40</v>
      </c>
      <c r="S2597" s="2" t="s">
        <v>15563</v>
      </c>
      <c r="T2597" s="2" t="s">
        <v>12240</v>
      </c>
      <c r="U2597" s="2" t="s">
        <v>1858</v>
      </c>
      <c r="V2597" s="2" t="s">
        <v>15564</v>
      </c>
      <c r="W2597" s="1"/>
      <c r="X2597" s="2" t="s">
        <v>5168</v>
      </c>
      <c r="Y2597" s="2" t="s">
        <v>15565</v>
      </c>
      <c r="AA2597" t="str">
        <f t="shared" si="240"/>
        <v>2025-09</v>
      </c>
      <c r="AB2597" t="str">
        <f t="shared" si="241"/>
        <v/>
      </c>
      <c r="AC2597">
        <f t="shared" si="242"/>
        <v>1798495.2</v>
      </c>
      <c r="AD2597">
        <f t="shared" si="243"/>
        <v>300</v>
      </c>
      <c r="AE2597">
        <f t="shared" si="244"/>
        <v>286495.2</v>
      </c>
      <c r="AF2597" t="str">
        <f t="shared" si="245"/>
        <v>Paid</v>
      </c>
    </row>
    <row r="2598" spans="1:32" ht="17.25" thickBot="1" x14ac:dyDescent="0.35">
      <c r="A2598" s="2" t="s">
        <v>15566</v>
      </c>
      <c r="B2598" s="2" t="s">
        <v>27</v>
      </c>
      <c r="C2598" s="2" t="s">
        <v>28</v>
      </c>
      <c r="D2598" s="2" t="s">
        <v>97</v>
      </c>
      <c r="E2598" s="2" t="s">
        <v>30</v>
      </c>
      <c r="F2598" s="2" t="s">
        <v>8445</v>
      </c>
      <c r="G2598" s="2" t="s">
        <v>32</v>
      </c>
      <c r="H2598" s="1"/>
      <c r="I2598" s="2" t="s">
        <v>33</v>
      </c>
      <c r="J2598" s="2" t="s">
        <v>34</v>
      </c>
      <c r="K2598" s="2" t="s">
        <v>1642</v>
      </c>
      <c r="L2598" s="2" t="s">
        <v>1643</v>
      </c>
      <c r="M2598" s="2" t="s">
        <v>701</v>
      </c>
      <c r="N2598" s="2" t="s">
        <v>38</v>
      </c>
      <c r="O2598" s="2" t="s">
        <v>370</v>
      </c>
      <c r="P2598" s="2" t="s">
        <v>7120</v>
      </c>
      <c r="Q2598" s="2" t="s">
        <v>15567</v>
      </c>
      <c r="R2598" s="2" t="s">
        <v>40</v>
      </c>
      <c r="S2598" s="2" t="s">
        <v>15568</v>
      </c>
      <c r="T2598" s="2" t="s">
        <v>759</v>
      </c>
      <c r="U2598" s="2" t="s">
        <v>15569</v>
      </c>
      <c r="V2598" s="2" t="s">
        <v>15570</v>
      </c>
      <c r="W2598" s="1"/>
      <c r="X2598" s="2" t="s">
        <v>709</v>
      </c>
      <c r="Y2598" s="2" t="s">
        <v>15565</v>
      </c>
      <c r="AA2598" t="str">
        <f t="shared" si="240"/>
        <v>2025-09</v>
      </c>
      <c r="AB2598" t="str">
        <f t="shared" si="241"/>
        <v/>
      </c>
      <c r="AC2598">
        <f t="shared" si="242"/>
        <v>4319665.92</v>
      </c>
      <c r="AD2598">
        <f t="shared" si="243"/>
        <v>480</v>
      </c>
      <c r="AE2598">
        <f t="shared" si="244"/>
        <v>690865.92</v>
      </c>
      <c r="AF2598" t="str">
        <f t="shared" si="245"/>
        <v>Paid</v>
      </c>
    </row>
    <row r="2599" spans="1:32" ht="17.25" thickBot="1" x14ac:dyDescent="0.35">
      <c r="A2599" s="2" t="s">
        <v>15571</v>
      </c>
      <c r="B2599" s="2" t="s">
        <v>27</v>
      </c>
      <c r="C2599" s="2" t="s">
        <v>28</v>
      </c>
      <c r="D2599" s="2" t="s">
        <v>97</v>
      </c>
      <c r="E2599" s="2" t="s">
        <v>30</v>
      </c>
      <c r="F2599" s="2" t="s">
        <v>8445</v>
      </c>
      <c r="G2599" s="2" t="s">
        <v>32</v>
      </c>
      <c r="H2599" s="1"/>
      <c r="I2599" s="2" t="s">
        <v>33</v>
      </c>
      <c r="J2599" s="2" t="s">
        <v>34</v>
      </c>
      <c r="K2599" s="2" t="s">
        <v>6331</v>
      </c>
      <c r="L2599" s="2" t="s">
        <v>6332</v>
      </c>
      <c r="M2599" s="2" t="s">
        <v>701</v>
      </c>
      <c r="N2599" s="2" t="s">
        <v>38</v>
      </c>
      <c r="O2599" s="2" t="s">
        <v>15572</v>
      </c>
      <c r="P2599" s="2" t="s">
        <v>7120</v>
      </c>
      <c r="Q2599" s="2" t="s">
        <v>15573</v>
      </c>
      <c r="R2599" s="2" t="s">
        <v>40</v>
      </c>
      <c r="S2599" s="2" t="s">
        <v>15574</v>
      </c>
      <c r="T2599" s="2" t="s">
        <v>759</v>
      </c>
      <c r="U2599" s="2" t="s">
        <v>15575</v>
      </c>
      <c r="V2599" s="2" t="s">
        <v>15576</v>
      </c>
      <c r="W2599" s="1"/>
      <c r="X2599" s="2" t="s">
        <v>709</v>
      </c>
      <c r="Y2599" s="2" t="s">
        <v>15565</v>
      </c>
      <c r="AA2599" t="str">
        <f t="shared" si="240"/>
        <v>2025-09</v>
      </c>
      <c r="AB2599" t="str">
        <f t="shared" si="241"/>
        <v/>
      </c>
      <c r="AC2599">
        <f t="shared" si="242"/>
        <v>9719248.3200000003</v>
      </c>
      <c r="AD2599">
        <f t="shared" si="243"/>
        <v>1080</v>
      </c>
      <c r="AE2599">
        <f t="shared" si="244"/>
        <v>1554448.32</v>
      </c>
      <c r="AF2599" t="str">
        <f t="shared" si="245"/>
        <v>Paid</v>
      </c>
    </row>
    <row r="2600" spans="1:32" ht="17.25" thickBot="1" x14ac:dyDescent="0.35">
      <c r="A2600" s="2" t="s">
        <v>15577</v>
      </c>
      <c r="B2600" s="2" t="s">
        <v>27</v>
      </c>
      <c r="C2600" s="2" t="s">
        <v>28</v>
      </c>
      <c r="D2600" s="2" t="s">
        <v>97</v>
      </c>
      <c r="E2600" s="2" t="s">
        <v>30</v>
      </c>
      <c r="F2600" s="2" t="s">
        <v>8445</v>
      </c>
      <c r="G2600" s="2" t="s">
        <v>32</v>
      </c>
      <c r="H2600" s="1"/>
      <c r="I2600" s="2" t="s">
        <v>33</v>
      </c>
      <c r="J2600" s="2" t="s">
        <v>34</v>
      </c>
      <c r="K2600" s="2" t="s">
        <v>3049</v>
      </c>
      <c r="L2600" s="2" t="s">
        <v>3050</v>
      </c>
      <c r="M2600" s="2" t="s">
        <v>3051</v>
      </c>
      <c r="N2600" s="2" t="s">
        <v>38</v>
      </c>
      <c r="O2600" s="2" t="s">
        <v>280</v>
      </c>
      <c r="P2600" s="2" t="s">
        <v>104</v>
      </c>
      <c r="Q2600" s="2" t="s">
        <v>15578</v>
      </c>
      <c r="R2600" s="2" t="s">
        <v>40</v>
      </c>
      <c r="S2600" s="2" t="s">
        <v>15579</v>
      </c>
      <c r="T2600" s="2" t="s">
        <v>15580</v>
      </c>
      <c r="U2600" s="2" t="s">
        <v>15581</v>
      </c>
      <c r="V2600" s="2" t="s">
        <v>15582</v>
      </c>
      <c r="W2600" s="2" t="s">
        <v>41</v>
      </c>
      <c r="X2600" s="2" t="s">
        <v>15583</v>
      </c>
      <c r="Y2600" s="2" t="s">
        <v>15565</v>
      </c>
      <c r="AA2600" t="str">
        <f t="shared" si="240"/>
        <v>2025-09</v>
      </c>
      <c r="AB2600" t="str">
        <f t="shared" si="241"/>
        <v/>
      </c>
      <c r="AC2600">
        <f t="shared" si="242"/>
        <v>477.96</v>
      </c>
      <c r="AD2600">
        <f t="shared" si="243"/>
        <v>35</v>
      </c>
      <c r="AE2600">
        <f t="shared" si="244"/>
        <v>-154742.04</v>
      </c>
      <c r="AF2600" t="str">
        <f t="shared" si="245"/>
        <v>Sample</v>
      </c>
    </row>
    <row r="2601" spans="1:32" ht="17.25" thickBot="1" x14ac:dyDescent="0.35">
      <c r="A2601" s="2" t="s">
        <v>15584</v>
      </c>
      <c r="B2601" s="2" t="s">
        <v>27</v>
      </c>
      <c r="C2601" s="2" t="s">
        <v>28</v>
      </c>
      <c r="D2601" s="2" t="s">
        <v>97</v>
      </c>
      <c r="E2601" s="2" t="s">
        <v>30</v>
      </c>
      <c r="F2601" s="2" t="s">
        <v>31</v>
      </c>
      <c r="G2601" s="2" t="s">
        <v>32</v>
      </c>
      <c r="H2601" s="1"/>
      <c r="I2601" s="2" t="s">
        <v>33</v>
      </c>
      <c r="J2601" s="2" t="s">
        <v>34</v>
      </c>
      <c r="K2601" s="2" t="s">
        <v>8521</v>
      </c>
      <c r="L2601" s="2" t="s">
        <v>8522</v>
      </c>
      <c r="M2601" s="2" t="s">
        <v>7717</v>
      </c>
      <c r="N2601" s="2" t="s">
        <v>38</v>
      </c>
      <c r="O2601" s="2" t="s">
        <v>149</v>
      </c>
      <c r="P2601" s="2" t="s">
        <v>14204</v>
      </c>
      <c r="Q2601" s="2" t="s">
        <v>15585</v>
      </c>
      <c r="R2601" s="2" t="s">
        <v>40</v>
      </c>
      <c r="S2601" s="2" t="s">
        <v>15586</v>
      </c>
      <c r="T2601" s="2" t="s">
        <v>9272</v>
      </c>
      <c r="U2601" s="2" t="s">
        <v>15587</v>
      </c>
      <c r="V2601" s="2" t="s">
        <v>15588</v>
      </c>
      <c r="W2601" s="1"/>
      <c r="X2601" s="2" t="s">
        <v>6095</v>
      </c>
      <c r="Y2601" s="2" t="s">
        <v>15589</v>
      </c>
      <c r="AA2601" t="str">
        <f t="shared" si="240"/>
        <v>2025-09</v>
      </c>
      <c r="AB2601" t="str">
        <f t="shared" si="241"/>
        <v/>
      </c>
      <c r="AC2601">
        <f t="shared" si="242"/>
        <v>1499428.8</v>
      </c>
      <c r="AD2601">
        <f t="shared" si="243"/>
        <v>300</v>
      </c>
      <c r="AE2601">
        <f t="shared" si="244"/>
        <v>162928.79999999999</v>
      </c>
      <c r="AF2601" t="str">
        <f t="shared" si="245"/>
        <v>Paid</v>
      </c>
    </row>
    <row r="2602" spans="1:32" ht="17.25" thickBot="1" x14ac:dyDescent="0.35">
      <c r="A2602" s="2" t="s">
        <v>15590</v>
      </c>
      <c r="B2602" s="2" t="s">
        <v>27</v>
      </c>
      <c r="C2602" s="2" t="s">
        <v>28</v>
      </c>
      <c r="D2602" s="2" t="s">
        <v>97</v>
      </c>
      <c r="E2602" s="2" t="s">
        <v>15591</v>
      </c>
      <c r="F2602" s="2" t="s">
        <v>31</v>
      </c>
      <c r="G2602" s="2" t="s">
        <v>32</v>
      </c>
      <c r="H2602" s="1"/>
      <c r="I2602" s="2" t="s">
        <v>33</v>
      </c>
      <c r="J2602" s="2" t="s">
        <v>34</v>
      </c>
      <c r="K2602" s="2" t="s">
        <v>6262</v>
      </c>
      <c r="L2602" s="2" t="s">
        <v>6263</v>
      </c>
      <c r="M2602" s="2" t="s">
        <v>6146</v>
      </c>
      <c r="N2602" s="2" t="s">
        <v>38</v>
      </c>
      <c r="O2602" s="2" t="s">
        <v>141</v>
      </c>
      <c r="P2602" s="2" t="s">
        <v>4245</v>
      </c>
      <c r="Q2602" s="2" t="s">
        <v>4246</v>
      </c>
      <c r="R2602" s="2" t="s">
        <v>40</v>
      </c>
      <c r="S2602" s="2" t="s">
        <v>15592</v>
      </c>
      <c r="T2602" s="2" t="s">
        <v>15593</v>
      </c>
      <c r="U2602" s="2" t="s">
        <v>15594</v>
      </c>
      <c r="V2602" s="2" t="s">
        <v>15595</v>
      </c>
      <c r="W2602" s="1"/>
      <c r="X2602" s="2" t="s">
        <v>1006</v>
      </c>
      <c r="Y2602" s="2" t="s">
        <v>15596</v>
      </c>
      <c r="AA2602" t="str">
        <f t="shared" si="240"/>
        <v>2025-08</v>
      </c>
      <c r="AB2602" t="str">
        <f t="shared" si="241"/>
        <v/>
      </c>
      <c r="AC2602">
        <f t="shared" si="242"/>
        <v>260980.38</v>
      </c>
      <c r="AD2602">
        <f t="shared" si="243"/>
        <v>30</v>
      </c>
      <c r="AE2602">
        <f t="shared" si="244"/>
        <v>67330.38</v>
      </c>
      <c r="AF2602" t="str">
        <f t="shared" si="245"/>
        <v>Paid</v>
      </c>
    </row>
    <row r="2603" spans="1:32" ht="17.25" thickBot="1" x14ac:dyDescent="0.35">
      <c r="A2603" s="2" t="s">
        <v>15597</v>
      </c>
      <c r="B2603" s="2" t="s">
        <v>27</v>
      </c>
      <c r="C2603" s="2" t="s">
        <v>28</v>
      </c>
      <c r="D2603" s="2" t="s">
        <v>97</v>
      </c>
      <c r="E2603" s="2" t="s">
        <v>15591</v>
      </c>
      <c r="F2603" s="2" t="s">
        <v>31</v>
      </c>
      <c r="G2603" s="2" t="s">
        <v>32</v>
      </c>
      <c r="H2603" s="1"/>
      <c r="I2603" s="2" t="s">
        <v>33</v>
      </c>
      <c r="J2603" s="2" t="s">
        <v>34</v>
      </c>
      <c r="K2603" s="2" t="s">
        <v>6272</v>
      </c>
      <c r="L2603" s="2" t="s">
        <v>6273</v>
      </c>
      <c r="M2603" s="2" t="s">
        <v>6146</v>
      </c>
      <c r="N2603" s="2" t="s">
        <v>38</v>
      </c>
      <c r="O2603" s="2" t="s">
        <v>141</v>
      </c>
      <c r="P2603" s="2" t="s">
        <v>6765</v>
      </c>
      <c r="Q2603" s="2" t="s">
        <v>15598</v>
      </c>
      <c r="R2603" s="2" t="s">
        <v>40</v>
      </c>
      <c r="S2603" s="2" t="s">
        <v>15599</v>
      </c>
      <c r="T2603" s="2" t="s">
        <v>15220</v>
      </c>
      <c r="U2603" s="2" t="s">
        <v>15600</v>
      </c>
      <c r="V2603" s="2" t="s">
        <v>15601</v>
      </c>
      <c r="W2603" s="1"/>
      <c r="X2603" s="2" t="s">
        <v>2020</v>
      </c>
      <c r="Y2603" s="2" t="s">
        <v>15596</v>
      </c>
      <c r="AA2603" t="str">
        <f t="shared" si="240"/>
        <v>2025-08</v>
      </c>
      <c r="AB2603" t="str">
        <f t="shared" si="241"/>
        <v/>
      </c>
      <c r="AC2603">
        <f t="shared" si="242"/>
        <v>268740.36</v>
      </c>
      <c r="AD2603">
        <f t="shared" si="243"/>
        <v>30</v>
      </c>
      <c r="AE2603">
        <f t="shared" si="244"/>
        <v>69630.36</v>
      </c>
      <c r="AF2603" t="str">
        <f t="shared" si="245"/>
        <v>Paid</v>
      </c>
    </row>
    <row r="2604" spans="1:32" ht="17.25" thickBot="1" x14ac:dyDescent="0.35">
      <c r="A2604" s="2" t="s">
        <v>15602</v>
      </c>
      <c r="B2604" s="2" t="s">
        <v>27</v>
      </c>
      <c r="C2604" s="2" t="s">
        <v>28</v>
      </c>
      <c r="D2604" s="2" t="s">
        <v>97</v>
      </c>
      <c r="E2604" s="2" t="s">
        <v>15591</v>
      </c>
      <c r="F2604" s="2" t="s">
        <v>31</v>
      </c>
      <c r="G2604" s="2" t="s">
        <v>32</v>
      </c>
      <c r="H2604" s="1"/>
      <c r="I2604" s="2" t="s">
        <v>33</v>
      </c>
      <c r="J2604" s="2" t="s">
        <v>34</v>
      </c>
      <c r="K2604" s="2" t="s">
        <v>2678</v>
      </c>
      <c r="L2604" s="2" t="s">
        <v>2679</v>
      </c>
      <c r="M2604" s="2" t="s">
        <v>2680</v>
      </c>
      <c r="N2604" s="2" t="s">
        <v>38</v>
      </c>
      <c r="O2604" s="2" t="s">
        <v>57</v>
      </c>
      <c r="P2604" s="2" t="s">
        <v>104</v>
      </c>
      <c r="Q2604" s="2" t="s">
        <v>12591</v>
      </c>
      <c r="R2604" s="2" t="s">
        <v>40</v>
      </c>
      <c r="S2604" s="2" t="s">
        <v>15603</v>
      </c>
      <c r="T2604" s="2" t="s">
        <v>2684</v>
      </c>
      <c r="U2604" s="2" t="s">
        <v>15604</v>
      </c>
      <c r="V2604" s="2" t="s">
        <v>15605</v>
      </c>
      <c r="W2604" s="2" t="s">
        <v>41</v>
      </c>
      <c r="X2604" s="2" t="s">
        <v>15606</v>
      </c>
      <c r="Y2604" s="2" t="s">
        <v>15596</v>
      </c>
      <c r="AA2604" t="str">
        <f t="shared" si="240"/>
        <v>2025-08</v>
      </c>
      <c r="AB2604" t="str">
        <f t="shared" si="241"/>
        <v/>
      </c>
      <c r="AC2604">
        <f t="shared" si="242"/>
        <v>68.069999999999993</v>
      </c>
      <c r="AD2604">
        <f t="shared" si="243"/>
        <v>5</v>
      </c>
      <c r="AE2604">
        <f t="shared" si="244"/>
        <v>-27431.93</v>
      </c>
      <c r="AF2604" t="str">
        <f t="shared" si="245"/>
        <v>Sample</v>
      </c>
    </row>
    <row r="2605" spans="1:32" ht="17.25" thickBot="1" x14ac:dyDescent="0.35">
      <c r="A2605" s="2" t="s">
        <v>15607</v>
      </c>
      <c r="B2605" s="2" t="s">
        <v>27</v>
      </c>
      <c r="C2605" s="2" t="s">
        <v>28</v>
      </c>
      <c r="D2605" s="2" t="s">
        <v>97</v>
      </c>
      <c r="E2605" s="2" t="s">
        <v>15591</v>
      </c>
      <c r="F2605" s="2" t="s">
        <v>31</v>
      </c>
      <c r="G2605" s="2" t="s">
        <v>32</v>
      </c>
      <c r="H2605" s="1"/>
      <c r="I2605" s="2" t="s">
        <v>33</v>
      </c>
      <c r="J2605" s="2" t="s">
        <v>34</v>
      </c>
      <c r="K2605" s="2" t="s">
        <v>2689</v>
      </c>
      <c r="L2605" s="2" t="s">
        <v>2690</v>
      </c>
      <c r="M2605" s="2" t="s">
        <v>2680</v>
      </c>
      <c r="N2605" s="2" t="s">
        <v>38</v>
      </c>
      <c r="O2605" s="2" t="s">
        <v>57</v>
      </c>
      <c r="P2605" s="2" t="s">
        <v>104</v>
      </c>
      <c r="Q2605" s="2" t="s">
        <v>12591</v>
      </c>
      <c r="R2605" s="2" t="s">
        <v>40</v>
      </c>
      <c r="S2605" s="2" t="s">
        <v>15603</v>
      </c>
      <c r="T2605" s="2" t="s">
        <v>2694</v>
      </c>
      <c r="U2605" s="2" t="s">
        <v>15608</v>
      </c>
      <c r="V2605" s="2" t="s">
        <v>15609</v>
      </c>
      <c r="W2605" s="2" t="s">
        <v>41</v>
      </c>
      <c r="X2605" s="2" t="s">
        <v>15610</v>
      </c>
      <c r="Y2605" s="2" t="s">
        <v>15596</v>
      </c>
      <c r="AA2605" t="str">
        <f t="shared" si="240"/>
        <v>2025-08</v>
      </c>
      <c r="AB2605" t="str">
        <f t="shared" si="241"/>
        <v/>
      </c>
      <c r="AC2605">
        <f t="shared" si="242"/>
        <v>68.069999999999993</v>
      </c>
      <c r="AD2605">
        <f t="shared" si="243"/>
        <v>5</v>
      </c>
      <c r="AE2605">
        <f t="shared" si="244"/>
        <v>-19731.93</v>
      </c>
      <c r="AF2605" t="str">
        <f t="shared" si="245"/>
        <v>Sample</v>
      </c>
    </row>
    <row r="2606" spans="1:32" ht="17.25" thickBot="1" x14ac:dyDescent="0.35">
      <c r="A2606" s="2" t="s">
        <v>15611</v>
      </c>
      <c r="B2606" s="2" t="s">
        <v>27</v>
      </c>
      <c r="C2606" s="2" t="s">
        <v>28</v>
      </c>
      <c r="D2606" s="2" t="s">
        <v>97</v>
      </c>
      <c r="E2606" s="2" t="s">
        <v>15591</v>
      </c>
      <c r="F2606" s="2" t="s">
        <v>31</v>
      </c>
      <c r="G2606" s="2" t="s">
        <v>32</v>
      </c>
      <c r="H2606" s="1"/>
      <c r="I2606" s="2" t="s">
        <v>33</v>
      </c>
      <c r="J2606" s="2" t="s">
        <v>34</v>
      </c>
      <c r="K2606" s="2" t="s">
        <v>2699</v>
      </c>
      <c r="L2606" s="2" t="s">
        <v>2700</v>
      </c>
      <c r="M2606" s="2" t="s">
        <v>2680</v>
      </c>
      <c r="N2606" s="2" t="s">
        <v>38</v>
      </c>
      <c r="O2606" s="2" t="s">
        <v>57</v>
      </c>
      <c r="P2606" s="2" t="s">
        <v>104</v>
      </c>
      <c r="Q2606" s="2" t="s">
        <v>12591</v>
      </c>
      <c r="R2606" s="2" t="s">
        <v>40</v>
      </c>
      <c r="S2606" s="2" t="s">
        <v>15603</v>
      </c>
      <c r="T2606" s="2" t="s">
        <v>2703</v>
      </c>
      <c r="U2606" s="2" t="s">
        <v>15612</v>
      </c>
      <c r="V2606" s="2" t="s">
        <v>15613</v>
      </c>
      <c r="W2606" s="2" t="s">
        <v>41</v>
      </c>
      <c r="X2606" s="2" t="s">
        <v>15614</v>
      </c>
      <c r="Y2606" s="2" t="s">
        <v>15596</v>
      </c>
      <c r="AA2606" t="str">
        <f t="shared" si="240"/>
        <v>2025-08</v>
      </c>
      <c r="AB2606" t="str">
        <f t="shared" si="241"/>
        <v/>
      </c>
      <c r="AC2606">
        <f t="shared" si="242"/>
        <v>68.069999999999993</v>
      </c>
      <c r="AD2606">
        <f t="shared" si="243"/>
        <v>5</v>
      </c>
      <c r="AE2606">
        <f t="shared" si="244"/>
        <v>-21381.93</v>
      </c>
      <c r="AF2606" t="str">
        <f t="shared" si="245"/>
        <v>Sample</v>
      </c>
    </row>
    <row r="2607" spans="1:32" ht="17.25" thickBot="1" x14ac:dyDescent="0.35">
      <c r="A2607" s="2" t="s">
        <v>15615</v>
      </c>
      <c r="B2607" s="2" t="s">
        <v>27</v>
      </c>
      <c r="C2607" s="2" t="s">
        <v>28</v>
      </c>
      <c r="D2607" s="2" t="s">
        <v>97</v>
      </c>
      <c r="E2607" s="2" t="s">
        <v>15591</v>
      </c>
      <c r="F2607" s="2" t="s">
        <v>31</v>
      </c>
      <c r="G2607" s="2" t="s">
        <v>32</v>
      </c>
      <c r="H2607" s="1"/>
      <c r="I2607" s="2" t="s">
        <v>33</v>
      </c>
      <c r="J2607" s="2" t="s">
        <v>34</v>
      </c>
      <c r="K2607" s="2" t="s">
        <v>770</v>
      </c>
      <c r="L2607" s="2" t="s">
        <v>771</v>
      </c>
      <c r="M2607" s="2" t="s">
        <v>772</v>
      </c>
      <c r="N2607" s="2" t="s">
        <v>38</v>
      </c>
      <c r="O2607" s="2" t="s">
        <v>141</v>
      </c>
      <c r="P2607" s="2" t="s">
        <v>2031</v>
      </c>
      <c r="Q2607" s="2" t="s">
        <v>15616</v>
      </c>
      <c r="R2607" s="2" t="s">
        <v>40</v>
      </c>
      <c r="S2607" s="2" t="s">
        <v>15617</v>
      </c>
      <c r="T2607" s="2" t="s">
        <v>2684</v>
      </c>
      <c r="U2607" s="2" t="s">
        <v>10232</v>
      </c>
      <c r="V2607" s="2" t="s">
        <v>15618</v>
      </c>
      <c r="W2607" s="1"/>
      <c r="X2607" s="2" t="s">
        <v>827</v>
      </c>
      <c r="Y2607" s="2" t="s">
        <v>15596</v>
      </c>
      <c r="AA2607" t="str">
        <f t="shared" si="240"/>
        <v>2025-08</v>
      </c>
      <c r="AB2607" t="str">
        <f t="shared" si="241"/>
        <v/>
      </c>
      <c r="AC2607">
        <f t="shared" si="242"/>
        <v>207885.78</v>
      </c>
      <c r="AD2607">
        <f t="shared" si="243"/>
        <v>30</v>
      </c>
      <c r="AE2607">
        <f t="shared" si="244"/>
        <v>42885.78</v>
      </c>
      <c r="AF2607" t="str">
        <f t="shared" si="245"/>
        <v>Paid</v>
      </c>
    </row>
    <row r="2608" spans="1:32" ht="17.25" thickBot="1" x14ac:dyDescent="0.35">
      <c r="A2608" s="2" t="s">
        <v>15619</v>
      </c>
      <c r="B2608" s="2" t="s">
        <v>27</v>
      </c>
      <c r="C2608" s="2" t="s">
        <v>28</v>
      </c>
      <c r="D2608" s="2" t="s">
        <v>97</v>
      </c>
      <c r="E2608" s="2" t="s">
        <v>15591</v>
      </c>
      <c r="F2608" s="2" t="s">
        <v>31</v>
      </c>
      <c r="G2608" s="2" t="s">
        <v>32</v>
      </c>
      <c r="H2608" s="1"/>
      <c r="I2608" s="2" t="s">
        <v>33</v>
      </c>
      <c r="J2608" s="2" t="s">
        <v>34</v>
      </c>
      <c r="K2608" s="2" t="s">
        <v>12063</v>
      </c>
      <c r="L2608" s="2" t="s">
        <v>12064</v>
      </c>
      <c r="M2608" s="2" t="s">
        <v>772</v>
      </c>
      <c r="N2608" s="2" t="s">
        <v>38</v>
      </c>
      <c r="O2608" s="2" t="s">
        <v>141</v>
      </c>
      <c r="P2608" s="2" t="s">
        <v>3283</v>
      </c>
      <c r="Q2608" s="2" t="s">
        <v>15620</v>
      </c>
      <c r="R2608" s="2" t="s">
        <v>40</v>
      </c>
      <c r="S2608" s="2" t="s">
        <v>15621</v>
      </c>
      <c r="T2608" s="2" t="s">
        <v>297</v>
      </c>
      <c r="U2608" s="2" t="s">
        <v>2257</v>
      </c>
      <c r="V2608" s="2" t="s">
        <v>15622</v>
      </c>
      <c r="W2608" s="1"/>
      <c r="X2608" s="2" t="s">
        <v>2000</v>
      </c>
      <c r="Y2608" s="2" t="s">
        <v>15596</v>
      </c>
      <c r="AA2608" t="str">
        <f t="shared" si="240"/>
        <v>2025-08</v>
      </c>
      <c r="AB2608" t="str">
        <f t="shared" si="241"/>
        <v/>
      </c>
      <c r="AC2608">
        <f t="shared" si="242"/>
        <v>299780.28000000003</v>
      </c>
      <c r="AD2608">
        <f t="shared" si="243"/>
        <v>30</v>
      </c>
      <c r="AE2608">
        <f t="shared" si="244"/>
        <v>59780.28</v>
      </c>
      <c r="AF2608" t="str">
        <f t="shared" si="245"/>
        <v>Paid</v>
      </c>
    </row>
    <row r="2609" spans="1:32" ht="17.25" thickBot="1" x14ac:dyDescent="0.35">
      <c r="A2609" s="2" t="s">
        <v>15623</v>
      </c>
      <c r="B2609" s="2" t="s">
        <v>27</v>
      </c>
      <c r="C2609" s="2" t="s">
        <v>28</v>
      </c>
      <c r="D2609" s="2" t="s">
        <v>97</v>
      </c>
      <c r="E2609" s="2" t="s">
        <v>15591</v>
      </c>
      <c r="F2609" s="2" t="s">
        <v>31</v>
      </c>
      <c r="G2609" s="2" t="s">
        <v>32</v>
      </c>
      <c r="H2609" s="1"/>
      <c r="I2609" s="2" t="s">
        <v>33</v>
      </c>
      <c r="J2609" s="2" t="s">
        <v>34</v>
      </c>
      <c r="K2609" s="2" t="s">
        <v>7963</v>
      </c>
      <c r="L2609" s="2" t="s">
        <v>7964</v>
      </c>
      <c r="M2609" s="2" t="s">
        <v>772</v>
      </c>
      <c r="N2609" s="2" t="s">
        <v>38</v>
      </c>
      <c r="O2609" s="2" t="s">
        <v>141</v>
      </c>
      <c r="P2609" s="2" t="s">
        <v>15624</v>
      </c>
      <c r="Q2609" s="2" t="s">
        <v>15625</v>
      </c>
      <c r="R2609" s="2" t="s">
        <v>40</v>
      </c>
      <c r="S2609" s="2" t="s">
        <v>15626</v>
      </c>
      <c r="T2609" s="2" t="s">
        <v>12077</v>
      </c>
      <c r="U2609" s="2" t="s">
        <v>7147</v>
      </c>
      <c r="V2609" s="2" t="s">
        <v>15627</v>
      </c>
      <c r="W2609" s="1"/>
      <c r="X2609" s="2" t="s">
        <v>444</v>
      </c>
      <c r="Y2609" s="2" t="s">
        <v>15596</v>
      </c>
      <c r="AA2609" t="str">
        <f t="shared" si="240"/>
        <v>2025-08</v>
      </c>
      <c r="AB2609" t="str">
        <f t="shared" si="241"/>
        <v/>
      </c>
      <c r="AC2609">
        <f t="shared" si="242"/>
        <v>219321.54</v>
      </c>
      <c r="AD2609">
        <f t="shared" si="243"/>
        <v>30</v>
      </c>
      <c r="AE2609">
        <f t="shared" si="244"/>
        <v>27321.54</v>
      </c>
      <c r="AF2609" t="str">
        <f t="shared" si="245"/>
        <v>Paid</v>
      </c>
    </row>
    <row r="2610" spans="1:32" ht="17.25" thickBot="1" x14ac:dyDescent="0.35">
      <c r="A2610" s="2" t="s">
        <v>15628</v>
      </c>
      <c r="B2610" s="2" t="s">
        <v>27</v>
      </c>
      <c r="C2610" s="2" t="s">
        <v>28</v>
      </c>
      <c r="D2610" s="2" t="s">
        <v>97</v>
      </c>
      <c r="E2610" s="2" t="s">
        <v>15591</v>
      </c>
      <c r="F2610" s="2" t="s">
        <v>31</v>
      </c>
      <c r="G2610" s="2" t="s">
        <v>32</v>
      </c>
      <c r="H2610" s="1"/>
      <c r="I2610" s="2" t="s">
        <v>33</v>
      </c>
      <c r="J2610" s="2" t="s">
        <v>34</v>
      </c>
      <c r="K2610" s="2" t="s">
        <v>9660</v>
      </c>
      <c r="L2610" s="2" t="s">
        <v>9661</v>
      </c>
      <c r="M2610" s="2" t="s">
        <v>772</v>
      </c>
      <c r="N2610" s="2" t="s">
        <v>38</v>
      </c>
      <c r="O2610" s="2" t="s">
        <v>141</v>
      </c>
      <c r="P2610" s="2" t="s">
        <v>7016</v>
      </c>
      <c r="Q2610" s="2" t="s">
        <v>15629</v>
      </c>
      <c r="R2610" s="2" t="s">
        <v>40</v>
      </c>
      <c r="S2610" s="2" t="s">
        <v>15630</v>
      </c>
      <c r="T2610" s="2" t="s">
        <v>9665</v>
      </c>
      <c r="U2610" s="2" t="s">
        <v>15631</v>
      </c>
      <c r="V2610" s="2" t="s">
        <v>15632</v>
      </c>
      <c r="W2610" s="1"/>
      <c r="X2610" s="2" t="s">
        <v>897</v>
      </c>
      <c r="Y2610" s="2" t="s">
        <v>15596</v>
      </c>
      <c r="AA2610" t="str">
        <f t="shared" si="240"/>
        <v>2025-08</v>
      </c>
      <c r="AB2610" t="str">
        <f t="shared" si="241"/>
        <v/>
      </c>
      <c r="AC2610">
        <f t="shared" si="242"/>
        <v>318976.02</v>
      </c>
      <c r="AD2610">
        <f t="shared" si="243"/>
        <v>30</v>
      </c>
      <c r="AE2610">
        <f t="shared" si="244"/>
        <v>67096.02</v>
      </c>
      <c r="AF2610" t="str">
        <f t="shared" si="245"/>
        <v>Paid</v>
      </c>
    </row>
    <row r="2611" spans="1:32" ht="17.25" thickBot="1" x14ac:dyDescent="0.35">
      <c r="A2611" s="2" t="s">
        <v>15633</v>
      </c>
      <c r="B2611" s="2" t="s">
        <v>27</v>
      </c>
      <c r="C2611" s="2" t="s">
        <v>28</v>
      </c>
      <c r="D2611" s="2" t="s">
        <v>97</v>
      </c>
      <c r="E2611" s="2" t="s">
        <v>15591</v>
      </c>
      <c r="F2611" s="2" t="s">
        <v>31</v>
      </c>
      <c r="G2611" s="2" t="s">
        <v>32</v>
      </c>
      <c r="H2611" s="1"/>
      <c r="I2611" s="2" t="s">
        <v>33</v>
      </c>
      <c r="J2611" s="2" t="s">
        <v>34</v>
      </c>
      <c r="K2611" s="2" t="s">
        <v>7970</v>
      </c>
      <c r="L2611" s="2" t="s">
        <v>7971</v>
      </c>
      <c r="M2611" s="2" t="s">
        <v>772</v>
      </c>
      <c r="N2611" s="2" t="s">
        <v>38</v>
      </c>
      <c r="O2611" s="2" t="s">
        <v>141</v>
      </c>
      <c r="P2611" s="2" t="s">
        <v>4630</v>
      </c>
      <c r="Q2611" s="2" t="s">
        <v>15634</v>
      </c>
      <c r="R2611" s="2" t="s">
        <v>40</v>
      </c>
      <c r="S2611" s="2" t="s">
        <v>15635</v>
      </c>
      <c r="T2611" s="2" t="s">
        <v>7175</v>
      </c>
      <c r="U2611" s="2" t="s">
        <v>15636</v>
      </c>
      <c r="V2611" s="2" t="s">
        <v>15637</v>
      </c>
      <c r="W2611" s="1"/>
      <c r="X2611" s="2" t="s">
        <v>258</v>
      </c>
      <c r="Y2611" s="2" t="s">
        <v>15596</v>
      </c>
      <c r="AA2611" t="str">
        <f t="shared" si="240"/>
        <v>2025-08</v>
      </c>
      <c r="AB2611" t="str">
        <f t="shared" si="241"/>
        <v/>
      </c>
      <c r="AC2611">
        <f t="shared" si="242"/>
        <v>260163.54</v>
      </c>
      <c r="AD2611">
        <f t="shared" si="243"/>
        <v>30</v>
      </c>
      <c r="AE2611">
        <f t="shared" si="244"/>
        <v>51363.54</v>
      </c>
      <c r="AF2611" t="str">
        <f t="shared" si="245"/>
        <v>Paid</v>
      </c>
    </row>
    <row r="2612" spans="1:32" ht="17.25" thickBot="1" x14ac:dyDescent="0.35">
      <c r="A2612" s="2" t="s">
        <v>15638</v>
      </c>
      <c r="B2612" s="2" t="s">
        <v>27</v>
      </c>
      <c r="C2612" s="2" t="s">
        <v>28</v>
      </c>
      <c r="D2612" s="2" t="s">
        <v>97</v>
      </c>
      <c r="E2612" s="2" t="s">
        <v>15591</v>
      </c>
      <c r="F2612" s="2" t="s">
        <v>31</v>
      </c>
      <c r="G2612" s="2" t="s">
        <v>32</v>
      </c>
      <c r="H2612" s="1"/>
      <c r="I2612" s="2" t="s">
        <v>33</v>
      </c>
      <c r="J2612" s="2" t="s">
        <v>34</v>
      </c>
      <c r="K2612" s="2" t="s">
        <v>840</v>
      </c>
      <c r="L2612" s="2" t="s">
        <v>841</v>
      </c>
      <c r="M2612" s="2" t="s">
        <v>772</v>
      </c>
      <c r="N2612" s="2" t="s">
        <v>38</v>
      </c>
      <c r="O2612" s="2" t="s">
        <v>141</v>
      </c>
      <c r="P2612" s="2" t="s">
        <v>15639</v>
      </c>
      <c r="Q2612" s="2" t="s">
        <v>15640</v>
      </c>
      <c r="R2612" s="2" t="s">
        <v>40</v>
      </c>
      <c r="S2612" s="2" t="s">
        <v>15641</v>
      </c>
      <c r="T2612" s="2" t="s">
        <v>297</v>
      </c>
      <c r="U2612" s="2" t="s">
        <v>2257</v>
      </c>
      <c r="V2612" s="2" t="s">
        <v>15642</v>
      </c>
      <c r="W2612" s="1"/>
      <c r="X2612" s="2" t="s">
        <v>2781</v>
      </c>
      <c r="Y2612" s="2" t="s">
        <v>15596</v>
      </c>
      <c r="AA2612" t="str">
        <f t="shared" si="240"/>
        <v>2025-08</v>
      </c>
      <c r="AB2612" t="str">
        <f t="shared" si="241"/>
        <v/>
      </c>
      <c r="AC2612">
        <f t="shared" si="242"/>
        <v>302639.21999999997</v>
      </c>
      <c r="AD2612">
        <f t="shared" si="243"/>
        <v>30</v>
      </c>
      <c r="AE2612">
        <f t="shared" si="244"/>
        <v>62639.22</v>
      </c>
      <c r="AF2612" t="str">
        <f t="shared" si="245"/>
        <v>Paid</v>
      </c>
    </row>
    <row r="2613" spans="1:32" ht="17.25" thickBot="1" x14ac:dyDescent="0.35">
      <c r="A2613" s="2" t="s">
        <v>15643</v>
      </c>
      <c r="B2613" s="2" t="s">
        <v>27</v>
      </c>
      <c r="C2613" s="2" t="s">
        <v>28</v>
      </c>
      <c r="D2613" s="2" t="s">
        <v>97</v>
      </c>
      <c r="E2613" s="2" t="s">
        <v>15591</v>
      </c>
      <c r="F2613" s="2" t="s">
        <v>31</v>
      </c>
      <c r="G2613" s="2" t="s">
        <v>32</v>
      </c>
      <c r="H2613" s="1"/>
      <c r="I2613" s="2" t="s">
        <v>33</v>
      </c>
      <c r="J2613" s="2" t="s">
        <v>34</v>
      </c>
      <c r="K2613" s="2" t="s">
        <v>847</v>
      </c>
      <c r="L2613" s="2" t="s">
        <v>848</v>
      </c>
      <c r="M2613" s="2" t="s">
        <v>772</v>
      </c>
      <c r="N2613" s="2" t="s">
        <v>38</v>
      </c>
      <c r="O2613" s="2" t="s">
        <v>141</v>
      </c>
      <c r="P2613" s="2" t="s">
        <v>4302</v>
      </c>
      <c r="Q2613" s="2" t="s">
        <v>15644</v>
      </c>
      <c r="R2613" s="2" t="s">
        <v>40</v>
      </c>
      <c r="S2613" s="2" t="s">
        <v>15645</v>
      </c>
      <c r="T2613" s="2" t="s">
        <v>853</v>
      </c>
      <c r="U2613" s="2" t="s">
        <v>15646</v>
      </c>
      <c r="V2613" s="2" t="s">
        <v>15647</v>
      </c>
      <c r="W2613" s="1"/>
      <c r="X2613" s="2" t="s">
        <v>6362</v>
      </c>
      <c r="Y2613" s="2" t="s">
        <v>15596</v>
      </c>
      <c r="AA2613" t="str">
        <f t="shared" si="240"/>
        <v>2025-08</v>
      </c>
      <c r="AB2613" t="str">
        <f t="shared" si="241"/>
        <v/>
      </c>
      <c r="AC2613">
        <f t="shared" si="242"/>
        <v>309990.78000000003</v>
      </c>
      <c r="AD2613">
        <f t="shared" si="243"/>
        <v>30</v>
      </c>
      <c r="AE2613">
        <f t="shared" si="244"/>
        <v>58350.78</v>
      </c>
      <c r="AF2613" t="str">
        <f t="shared" si="245"/>
        <v>Paid</v>
      </c>
    </row>
    <row r="2614" spans="1:32" ht="17.25" thickBot="1" x14ac:dyDescent="0.35">
      <c r="A2614" s="2" t="s">
        <v>15648</v>
      </c>
      <c r="B2614" s="2" t="s">
        <v>27</v>
      </c>
      <c r="C2614" s="2" t="s">
        <v>28</v>
      </c>
      <c r="D2614" s="2" t="s">
        <v>97</v>
      </c>
      <c r="E2614" s="2" t="s">
        <v>15591</v>
      </c>
      <c r="F2614" s="2" t="s">
        <v>31</v>
      </c>
      <c r="G2614" s="2" t="s">
        <v>32</v>
      </c>
      <c r="H2614" s="1"/>
      <c r="I2614" s="2" t="s">
        <v>33</v>
      </c>
      <c r="J2614" s="2" t="s">
        <v>34</v>
      </c>
      <c r="K2614" s="2" t="s">
        <v>4295</v>
      </c>
      <c r="L2614" s="2" t="s">
        <v>4296</v>
      </c>
      <c r="M2614" s="2" t="s">
        <v>772</v>
      </c>
      <c r="N2614" s="2" t="s">
        <v>38</v>
      </c>
      <c r="O2614" s="2" t="s">
        <v>141</v>
      </c>
      <c r="P2614" s="2" t="s">
        <v>2791</v>
      </c>
      <c r="Q2614" s="2" t="s">
        <v>15649</v>
      </c>
      <c r="R2614" s="2" t="s">
        <v>40</v>
      </c>
      <c r="S2614" s="2" t="s">
        <v>15650</v>
      </c>
      <c r="T2614" s="2" t="s">
        <v>6652</v>
      </c>
      <c r="U2614" s="2" t="s">
        <v>14967</v>
      </c>
      <c r="V2614" s="2" t="s">
        <v>15651</v>
      </c>
      <c r="W2614" s="1"/>
      <c r="X2614" s="2" t="s">
        <v>6709</v>
      </c>
      <c r="Y2614" s="2" t="s">
        <v>15596</v>
      </c>
      <c r="AA2614" t="str">
        <f t="shared" si="240"/>
        <v>2025-08</v>
      </c>
      <c r="AB2614" t="str">
        <f t="shared" si="241"/>
        <v/>
      </c>
      <c r="AC2614">
        <f t="shared" si="242"/>
        <v>247502.52</v>
      </c>
      <c r="AD2614">
        <f t="shared" si="243"/>
        <v>30</v>
      </c>
      <c r="AE2614">
        <f t="shared" si="244"/>
        <v>52502.52</v>
      </c>
      <c r="AF2614" t="str">
        <f t="shared" si="245"/>
        <v>Paid</v>
      </c>
    </row>
    <row r="2615" spans="1:32" ht="17.25" thickBot="1" x14ac:dyDescent="0.35">
      <c r="A2615" s="2" t="s">
        <v>15652</v>
      </c>
      <c r="B2615" s="2" t="s">
        <v>27</v>
      </c>
      <c r="C2615" s="2" t="s">
        <v>28</v>
      </c>
      <c r="D2615" s="2" t="s">
        <v>97</v>
      </c>
      <c r="E2615" s="2" t="s">
        <v>15591</v>
      </c>
      <c r="F2615" s="2" t="s">
        <v>31</v>
      </c>
      <c r="G2615" s="2" t="s">
        <v>32</v>
      </c>
      <c r="H2615" s="1"/>
      <c r="I2615" s="2" t="s">
        <v>33</v>
      </c>
      <c r="J2615" s="2" t="s">
        <v>34</v>
      </c>
      <c r="K2615" s="2" t="s">
        <v>878</v>
      </c>
      <c r="L2615" s="2" t="s">
        <v>879</v>
      </c>
      <c r="M2615" s="2" t="s">
        <v>772</v>
      </c>
      <c r="N2615" s="2" t="s">
        <v>38</v>
      </c>
      <c r="O2615" s="2" t="s">
        <v>141</v>
      </c>
      <c r="P2615" s="2" t="s">
        <v>2124</v>
      </c>
      <c r="Q2615" s="2" t="s">
        <v>15653</v>
      </c>
      <c r="R2615" s="2" t="s">
        <v>40</v>
      </c>
      <c r="S2615" s="2" t="s">
        <v>15654</v>
      </c>
      <c r="T2615" s="2" t="s">
        <v>883</v>
      </c>
      <c r="U2615" s="2" t="s">
        <v>15655</v>
      </c>
      <c r="V2615" s="2" t="s">
        <v>15656</v>
      </c>
      <c r="W2615" s="1"/>
      <c r="X2615" s="2" t="s">
        <v>2226</v>
      </c>
      <c r="Y2615" s="2" t="s">
        <v>15596</v>
      </c>
      <c r="AA2615" t="str">
        <f t="shared" si="240"/>
        <v>2025-08</v>
      </c>
      <c r="AB2615" t="str">
        <f t="shared" si="241"/>
        <v/>
      </c>
      <c r="AC2615">
        <f t="shared" si="242"/>
        <v>374112.72</v>
      </c>
      <c r="AD2615">
        <f t="shared" si="243"/>
        <v>30</v>
      </c>
      <c r="AE2615">
        <f t="shared" si="244"/>
        <v>69612.72</v>
      </c>
      <c r="AF2615" t="str">
        <f t="shared" si="245"/>
        <v>Paid</v>
      </c>
    </row>
    <row r="2616" spans="1:32" ht="17.25" thickBot="1" x14ac:dyDescent="0.35">
      <c r="A2616" s="2" t="s">
        <v>15657</v>
      </c>
      <c r="B2616" s="2" t="s">
        <v>27</v>
      </c>
      <c r="C2616" s="2" t="s">
        <v>28</v>
      </c>
      <c r="D2616" s="2" t="s">
        <v>97</v>
      </c>
      <c r="E2616" s="2" t="s">
        <v>15591</v>
      </c>
      <c r="F2616" s="2" t="s">
        <v>31</v>
      </c>
      <c r="G2616" s="2" t="s">
        <v>32</v>
      </c>
      <c r="H2616" s="1"/>
      <c r="I2616" s="2" t="s">
        <v>33</v>
      </c>
      <c r="J2616" s="2" t="s">
        <v>34</v>
      </c>
      <c r="K2616" s="2" t="s">
        <v>907</v>
      </c>
      <c r="L2616" s="2" t="s">
        <v>908</v>
      </c>
      <c r="M2616" s="2" t="s">
        <v>772</v>
      </c>
      <c r="N2616" s="2" t="s">
        <v>38</v>
      </c>
      <c r="O2616" s="2" t="s">
        <v>141</v>
      </c>
      <c r="P2616" s="2" t="s">
        <v>13191</v>
      </c>
      <c r="Q2616" s="2" t="s">
        <v>15658</v>
      </c>
      <c r="R2616" s="2" t="s">
        <v>40</v>
      </c>
      <c r="S2616" s="2" t="s">
        <v>15659</v>
      </c>
      <c r="T2616" s="2" t="s">
        <v>913</v>
      </c>
      <c r="U2616" s="2" t="s">
        <v>15660</v>
      </c>
      <c r="V2616" s="2" t="s">
        <v>15661</v>
      </c>
      <c r="W2616" s="1"/>
      <c r="X2616" s="2" t="s">
        <v>6032</v>
      </c>
      <c r="Y2616" s="2" t="s">
        <v>15596</v>
      </c>
      <c r="AA2616" t="str">
        <f t="shared" si="240"/>
        <v>2025-08</v>
      </c>
      <c r="AB2616" t="str">
        <f t="shared" si="241"/>
        <v/>
      </c>
      <c r="AC2616">
        <f t="shared" si="242"/>
        <v>383097.96</v>
      </c>
      <c r="AD2616">
        <f t="shared" si="243"/>
        <v>30</v>
      </c>
      <c r="AE2616">
        <f t="shared" si="244"/>
        <v>62697.96</v>
      </c>
      <c r="AF2616" t="str">
        <f t="shared" si="245"/>
        <v>Paid</v>
      </c>
    </row>
    <row r="2617" spans="1:32" ht="17.25" thickBot="1" x14ac:dyDescent="0.35">
      <c r="A2617" s="2" t="s">
        <v>15662</v>
      </c>
      <c r="B2617" s="2" t="s">
        <v>27</v>
      </c>
      <c r="C2617" s="2" t="s">
        <v>28</v>
      </c>
      <c r="D2617" s="2" t="s">
        <v>97</v>
      </c>
      <c r="E2617" s="2" t="s">
        <v>15591</v>
      </c>
      <c r="F2617" s="2" t="s">
        <v>31</v>
      </c>
      <c r="G2617" s="2" t="s">
        <v>32</v>
      </c>
      <c r="H2617" s="1"/>
      <c r="I2617" s="2" t="s">
        <v>33</v>
      </c>
      <c r="J2617" s="2" t="s">
        <v>34</v>
      </c>
      <c r="K2617" s="2" t="s">
        <v>957</v>
      </c>
      <c r="L2617" s="2" t="s">
        <v>958</v>
      </c>
      <c r="M2617" s="2" t="s">
        <v>772</v>
      </c>
      <c r="N2617" s="2" t="s">
        <v>38</v>
      </c>
      <c r="O2617" s="2" t="s">
        <v>141</v>
      </c>
      <c r="P2617" s="2" t="s">
        <v>4322</v>
      </c>
      <c r="Q2617" s="2" t="s">
        <v>15663</v>
      </c>
      <c r="R2617" s="2" t="s">
        <v>40</v>
      </c>
      <c r="S2617" s="2" t="s">
        <v>15664</v>
      </c>
      <c r="T2617" s="2" t="s">
        <v>962</v>
      </c>
      <c r="U2617" s="2" t="s">
        <v>15665</v>
      </c>
      <c r="V2617" s="2" t="s">
        <v>15666</v>
      </c>
      <c r="W2617" s="1"/>
      <c r="X2617" s="2" t="s">
        <v>976</v>
      </c>
      <c r="Y2617" s="2" t="s">
        <v>15596</v>
      </c>
      <c r="AA2617" t="str">
        <f t="shared" si="240"/>
        <v>2025-08</v>
      </c>
      <c r="AB2617" t="str">
        <f t="shared" si="241"/>
        <v/>
      </c>
      <c r="AC2617">
        <f t="shared" si="242"/>
        <v>399843.18</v>
      </c>
      <c r="AD2617">
        <f t="shared" si="243"/>
        <v>30</v>
      </c>
      <c r="AE2617">
        <f t="shared" si="244"/>
        <v>80943.179999999993</v>
      </c>
      <c r="AF2617" t="str">
        <f t="shared" si="245"/>
        <v>Paid</v>
      </c>
    </row>
    <row r="2618" spans="1:32" ht="17.25" thickBot="1" x14ac:dyDescent="0.35">
      <c r="A2618" s="2" t="s">
        <v>15667</v>
      </c>
      <c r="B2618" s="2" t="s">
        <v>27</v>
      </c>
      <c r="C2618" s="2" t="s">
        <v>28</v>
      </c>
      <c r="D2618" s="2" t="s">
        <v>97</v>
      </c>
      <c r="E2618" s="2" t="s">
        <v>15591</v>
      </c>
      <c r="F2618" s="2" t="s">
        <v>31</v>
      </c>
      <c r="G2618" s="2" t="s">
        <v>32</v>
      </c>
      <c r="H2618" s="1"/>
      <c r="I2618" s="2" t="s">
        <v>33</v>
      </c>
      <c r="J2618" s="2" t="s">
        <v>34</v>
      </c>
      <c r="K2618" s="2" t="s">
        <v>1033</v>
      </c>
      <c r="L2618" s="2" t="s">
        <v>1034</v>
      </c>
      <c r="M2618" s="2" t="s">
        <v>772</v>
      </c>
      <c r="N2618" s="2" t="s">
        <v>38</v>
      </c>
      <c r="O2618" s="2" t="s">
        <v>141</v>
      </c>
      <c r="P2618" s="2" t="s">
        <v>4075</v>
      </c>
      <c r="Q2618" s="2" t="s">
        <v>15668</v>
      </c>
      <c r="R2618" s="2" t="s">
        <v>40</v>
      </c>
      <c r="S2618" s="2" t="s">
        <v>15669</v>
      </c>
      <c r="T2618" s="2" t="s">
        <v>1039</v>
      </c>
      <c r="U2618" s="2" t="s">
        <v>4456</v>
      </c>
      <c r="V2618" s="2" t="s">
        <v>15670</v>
      </c>
      <c r="W2618" s="1"/>
      <c r="X2618" s="2" t="s">
        <v>3583</v>
      </c>
      <c r="Y2618" s="2" t="s">
        <v>15596</v>
      </c>
      <c r="AA2618" t="str">
        <f t="shared" si="240"/>
        <v>2025-08</v>
      </c>
      <c r="AB2618" t="str">
        <f t="shared" si="241"/>
        <v/>
      </c>
      <c r="AC2618">
        <f t="shared" si="242"/>
        <v>321834.96000000002</v>
      </c>
      <c r="AD2618">
        <f t="shared" si="243"/>
        <v>30</v>
      </c>
      <c r="AE2618">
        <f t="shared" si="244"/>
        <v>63834.96</v>
      </c>
      <c r="AF2618" t="str">
        <f t="shared" si="245"/>
        <v>Paid</v>
      </c>
    </row>
    <row r="2619" spans="1:32" ht="17.25" thickBot="1" x14ac:dyDescent="0.35">
      <c r="A2619" s="2" t="s">
        <v>15671</v>
      </c>
      <c r="B2619" s="2" t="s">
        <v>27</v>
      </c>
      <c r="C2619" s="2" t="s">
        <v>28</v>
      </c>
      <c r="D2619" s="2" t="s">
        <v>97</v>
      </c>
      <c r="E2619" s="2" t="s">
        <v>15591</v>
      </c>
      <c r="F2619" s="2" t="s">
        <v>31</v>
      </c>
      <c r="G2619" s="2" t="s">
        <v>32</v>
      </c>
      <c r="H2619" s="1"/>
      <c r="I2619" s="2" t="s">
        <v>33</v>
      </c>
      <c r="J2619" s="2" t="s">
        <v>34</v>
      </c>
      <c r="K2619" s="2" t="s">
        <v>5322</v>
      </c>
      <c r="L2619" s="2" t="s">
        <v>5323</v>
      </c>
      <c r="M2619" s="2" t="s">
        <v>772</v>
      </c>
      <c r="N2619" s="2" t="s">
        <v>38</v>
      </c>
      <c r="O2619" s="2" t="s">
        <v>141</v>
      </c>
      <c r="P2619" s="2" t="s">
        <v>7139</v>
      </c>
      <c r="Q2619" s="2" t="s">
        <v>15672</v>
      </c>
      <c r="R2619" s="2" t="s">
        <v>40</v>
      </c>
      <c r="S2619" s="2" t="s">
        <v>15673</v>
      </c>
      <c r="T2619" s="2" t="s">
        <v>1060</v>
      </c>
      <c r="U2619" s="2" t="s">
        <v>15674</v>
      </c>
      <c r="V2619" s="2" t="s">
        <v>15675</v>
      </c>
      <c r="W2619" s="1"/>
      <c r="X2619" s="2" t="s">
        <v>2797</v>
      </c>
      <c r="Y2619" s="2" t="s">
        <v>15596</v>
      </c>
      <c r="AA2619" t="str">
        <f t="shared" si="240"/>
        <v>2025-08</v>
      </c>
      <c r="AB2619" t="str">
        <f t="shared" si="241"/>
        <v/>
      </c>
      <c r="AC2619">
        <f t="shared" si="242"/>
        <v>211969.98</v>
      </c>
      <c r="AD2619">
        <f t="shared" si="243"/>
        <v>30</v>
      </c>
      <c r="AE2619">
        <f t="shared" si="244"/>
        <v>43369.98</v>
      </c>
      <c r="AF2619" t="str">
        <f t="shared" si="245"/>
        <v>Paid</v>
      </c>
    </row>
    <row r="2620" spans="1:32" ht="17.25" thickBot="1" x14ac:dyDescent="0.35">
      <c r="A2620" s="2" t="s">
        <v>15676</v>
      </c>
      <c r="B2620" s="2" t="s">
        <v>27</v>
      </c>
      <c r="C2620" s="2" t="s">
        <v>28</v>
      </c>
      <c r="D2620" s="2" t="s">
        <v>97</v>
      </c>
      <c r="E2620" s="2" t="s">
        <v>15591</v>
      </c>
      <c r="F2620" s="2" t="s">
        <v>31</v>
      </c>
      <c r="G2620" s="2" t="s">
        <v>32</v>
      </c>
      <c r="H2620" s="1"/>
      <c r="I2620" s="2" t="s">
        <v>33</v>
      </c>
      <c r="J2620" s="2" t="s">
        <v>34</v>
      </c>
      <c r="K2620" s="2" t="s">
        <v>6441</v>
      </c>
      <c r="L2620" s="2" t="s">
        <v>6442</v>
      </c>
      <c r="M2620" s="2" t="s">
        <v>772</v>
      </c>
      <c r="N2620" s="2" t="s">
        <v>38</v>
      </c>
      <c r="O2620" s="2" t="s">
        <v>131</v>
      </c>
      <c r="P2620" s="2" t="s">
        <v>104</v>
      </c>
      <c r="Q2620" s="2" t="s">
        <v>186</v>
      </c>
      <c r="R2620" s="2" t="s">
        <v>40</v>
      </c>
      <c r="S2620" s="2" t="s">
        <v>15677</v>
      </c>
      <c r="T2620" s="2" t="s">
        <v>40</v>
      </c>
      <c r="U2620" s="2" t="s">
        <v>40</v>
      </c>
      <c r="V2620" s="2" t="s">
        <v>15677</v>
      </c>
      <c r="W2620" s="2" t="s">
        <v>41</v>
      </c>
      <c r="X2620" s="2" t="s">
        <v>2155</v>
      </c>
      <c r="Y2620" s="2" t="s">
        <v>15596</v>
      </c>
      <c r="AA2620" t="str">
        <f t="shared" si="240"/>
        <v>2025-08</v>
      </c>
      <c r="AB2620" t="str">
        <f t="shared" si="241"/>
        <v/>
      </c>
      <c r="AC2620">
        <f t="shared" si="242"/>
        <v>544.55999999999995</v>
      </c>
      <c r="AD2620">
        <f t="shared" si="243"/>
        <v>40</v>
      </c>
      <c r="AE2620">
        <f t="shared" si="244"/>
        <v>544.55999999999995</v>
      </c>
      <c r="AF2620" t="str">
        <f t="shared" si="245"/>
        <v>Sample</v>
      </c>
    </row>
    <row r="2621" spans="1:32" ht="17.25" thickBot="1" x14ac:dyDescent="0.35">
      <c r="A2621" s="2" t="s">
        <v>15678</v>
      </c>
      <c r="B2621" s="2" t="s">
        <v>27</v>
      </c>
      <c r="C2621" s="2" t="s">
        <v>28</v>
      </c>
      <c r="D2621" s="2" t="s">
        <v>97</v>
      </c>
      <c r="E2621" s="2" t="s">
        <v>15591</v>
      </c>
      <c r="F2621" s="2" t="s">
        <v>31</v>
      </c>
      <c r="G2621" s="2" t="s">
        <v>32</v>
      </c>
      <c r="H2621" s="1"/>
      <c r="I2621" s="2" t="s">
        <v>33</v>
      </c>
      <c r="J2621" s="2" t="s">
        <v>34</v>
      </c>
      <c r="K2621" s="2" t="s">
        <v>15679</v>
      </c>
      <c r="L2621" s="2" t="s">
        <v>15680</v>
      </c>
      <c r="M2621" s="2" t="s">
        <v>15681</v>
      </c>
      <c r="N2621" s="2" t="s">
        <v>38</v>
      </c>
      <c r="O2621" s="2" t="s">
        <v>141</v>
      </c>
      <c r="P2621" s="2" t="s">
        <v>475</v>
      </c>
      <c r="Q2621" s="2" t="s">
        <v>15682</v>
      </c>
      <c r="R2621" s="2" t="s">
        <v>40</v>
      </c>
      <c r="S2621" s="2" t="s">
        <v>15683</v>
      </c>
      <c r="T2621" s="2" t="s">
        <v>15684</v>
      </c>
      <c r="U2621" s="2" t="s">
        <v>15685</v>
      </c>
      <c r="V2621" s="2" t="s">
        <v>15686</v>
      </c>
      <c r="W2621" s="1"/>
      <c r="X2621" s="2" t="s">
        <v>4350</v>
      </c>
      <c r="Y2621" s="2" t="s">
        <v>15596</v>
      </c>
      <c r="AA2621" t="str">
        <f t="shared" si="240"/>
        <v>2025-08</v>
      </c>
      <c r="AB2621" t="str">
        <f t="shared" si="241"/>
        <v/>
      </c>
      <c r="AC2621">
        <f t="shared" si="242"/>
        <v>245052</v>
      </c>
      <c r="AD2621">
        <f t="shared" si="243"/>
        <v>30</v>
      </c>
      <c r="AE2621">
        <f t="shared" si="244"/>
        <v>57402</v>
      </c>
      <c r="AF2621" t="str">
        <f t="shared" si="245"/>
        <v>Paid</v>
      </c>
    </row>
    <row r="2622" spans="1:32" ht="17.25" thickBot="1" x14ac:dyDescent="0.35">
      <c r="A2622" s="2" t="s">
        <v>15687</v>
      </c>
      <c r="B2622" s="2" t="s">
        <v>27</v>
      </c>
      <c r="C2622" s="2" t="s">
        <v>28</v>
      </c>
      <c r="D2622" s="2" t="s">
        <v>97</v>
      </c>
      <c r="E2622" s="2" t="s">
        <v>15591</v>
      </c>
      <c r="F2622" s="2" t="s">
        <v>31</v>
      </c>
      <c r="G2622" s="2" t="s">
        <v>32</v>
      </c>
      <c r="H2622" s="1"/>
      <c r="I2622" s="2" t="s">
        <v>33</v>
      </c>
      <c r="J2622" s="2" t="s">
        <v>34</v>
      </c>
      <c r="K2622" s="2" t="s">
        <v>15688</v>
      </c>
      <c r="L2622" s="2" t="s">
        <v>15689</v>
      </c>
      <c r="M2622" s="2" t="s">
        <v>15681</v>
      </c>
      <c r="N2622" s="2" t="s">
        <v>38</v>
      </c>
      <c r="O2622" s="2" t="s">
        <v>141</v>
      </c>
      <c r="P2622" s="2" t="s">
        <v>15690</v>
      </c>
      <c r="Q2622" s="2" t="s">
        <v>15691</v>
      </c>
      <c r="R2622" s="2" t="s">
        <v>40</v>
      </c>
      <c r="S2622" s="2" t="s">
        <v>15692</v>
      </c>
      <c r="T2622" s="2" t="s">
        <v>15693</v>
      </c>
      <c r="U2622" s="2" t="s">
        <v>15694</v>
      </c>
      <c r="V2622" s="2" t="s">
        <v>15695</v>
      </c>
      <c r="W2622" s="1"/>
      <c r="X2622" s="2" t="s">
        <v>986</v>
      </c>
      <c r="Y2622" s="2" t="s">
        <v>15596</v>
      </c>
      <c r="AA2622" t="str">
        <f t="shared" si="240"/>
        <v>2025-08</v>
      </c>
      <c r="AB2622" t="str">
        <f t="shared" si="241"/>
        <v/>
      </c>
      <c r="AC2622">
        <f t="shared" si="242"/>
        <v>76374.539999999994</v>
      </c>
      <c r="AD2622">
        <f t="shared" si="243"/>
        <v>30</v>
      </c>
      <c r="AE2622">
        <f t="shared" si="244"/>
        <v>17724.54</v>
      </c>
      <c r="AF2622" t="str">
        <f t="shared" si="245"/>
        <v>Paid</v>
      </c>
    </row>
    <row r="2623" spans="1:32" ht="27.75" thickBot="1" x14ac:dyDescent="0.35">
      <c r="A2623" s="2" t="s">
        <v>15696</v>
      </c>
      <c r="B2623" s="2" t="s">
        <v>27</v>
      </c>
      <c r="C2623" s="2" t="s">
        <v>28</v>
      </c>
      <c r="D2623" s="2" t="s">
        <v>97</v>
      </c>
      <c r="E2623" s="2" t="s">
        <v>15591</v>
      </c>
      <c r="F2623" s="2" t="s">
        <v>31</v>
      </c>
      <c r="G2623" s="2" t="s">
        <v>32</v>
      </c>
      <c r="H2623" s="1"/>
      <c r="I2623" s="2" t="s">
        <v>33</v>
      </c>
      <c r="J2623" s="2" t="s">
        <v>34</v>
      </c>
      <c r="K2623" s="2" t="s">
        <v>15697</v>
      </c>
      <c r="L2623" s="2" t="s">
        <v>15698</v>
      </c>
      <c r="M2623" s="2" t="s">
        <v>15681</v>
      </c>
      <c r="N2623" s="2" t="s">
        <v>38</v>
      </c>
      <c r="O2623" s="2" t="s">
        <v>141</v>
      </c>
      <c r="P2623" s="2" t="s">
        <v>15690</v>
      </c>
      <c r="Q2623" s="2" t="s">
        <v>15691</v>
      </c>
      <c r="R2623" s="2" t="s">
        <v>40</v>
      </c>
      <c r="S2623" s="2" t="s">
        <v>15692</v>
      </c>
      <c r="T2623" s="2" t="s">
        <v>15693</v>
      </c>
      <c r="U2623" s="2" t="s">
        <v>15694</v>
      </c>
      <c r="V2623" s="2" t="s">
        <v>15695</v>
      </c>
      <c r="W2623" s="1"/>
      <c r="X2623" s="2" t="s">
        <v>986</v>
      </c>
      <c r="Y2623" s="2" t="s">
        <v>15596</v>
      </c>
      <c r="AA2623" t="str">
        <f t="shared" si="240"/>
        <v>2025-08</v>
      </c>
      <c r="AB2623" t="str">
        <f t="shared" si="241"/>
        <v/>
      </c>
      <c r="AC2623">
        <f t="shared" si="242"/>
        <v>76374.539999999994</v>
      </c>
      <c r="AD2623">
        <f t="shared" si="243"/>
        <v>30</v>
      </c>
      <c r="AE2623">
        <f t="shared" si="244"/>
        <v>17724.54</v>
      </c>
      <c r="AF2623" t="str">
        <f t="shared" si="245"/>
        <v>Paid</v>
      </c>
    </row>
    <row r="2624" spans="1:32" ht="27.75" thickBot="1" x14ac:dyDescent="0.35">
      <c r="A2624" s="2" t="s">
        <v>15699</v>
      </c>
      <c r="B2624" s="2" t="s">
        <v>27</v>
      </c>
      <c r="C2624" s="2" t="s">
        <v>28</v>
      </c>
      <c r="D2624" s="2" t="s">
        <v>97</v>
      </c>
      <c r="E2624" s="2" t="s">
        <v>15591</v>
      </c>
      <c r="F2624" s="2" t="s">
        <v>31</v>
      </c>
      <c r="G2624" s="2" t="s">
        <v>32</v>
      </c>
      <c r="H2624" s="1"/>
      <c r="I2624" s="2" t="s">
        <v>33</v>
      </c>
      <c r="J2624" s="2" t="s">
        <v>34</v>
      </c>
      <c r="K2624" s="2" t="s">
        <v>15700</v>
      </c>
      <c r="L2624" s="2" t="s">
        <v>15701</v>
      </c>
      <c r="M2624" s="2" t="s">
        <v>15681</v>
      </c>
      <c r="N2624" s="2" t="s">
        <v>38</v>
      </c>
      <c r="O2624" s="2" t="s">
        <v>141</v>
      </c>
      <c r="P2624" s="2" t="s">
        <v>15690</v>
      </c>
      <c r="Q2624" s="2" t="s">
        <v>15691</v>
      </c>
      <c r="R2624" s="2" t="s">
        <v>40</v>
      </c>
      <c r="S2624" s="2" t="s">
        <v>15692</v>
      </c>
      <c r="T2624" s="2" t="s">
        <v>15693</v>
      </c>
      <c r="U2624" s="2" t="s">
        <v>15694</v>
      </c>
      <c r="V2624" s="2" t="s">
        <v>15695</v>
      </c>
      <c r="W2624" s="1"/>
      <c r="X2624" s="2" t="s">
        <v>986</v>
      </c>
      <c r="Y2624" s="2" t="s">
        <v>15596</v>
      </c>
      <c r="AA2624" t="str">
        <f t="shared" si="240"/>
        <v>2025-08</v>
      </c>
      <c r="AB2624" t="str">
        <f t="shared" si="241"/>
        <v/>
      </c>
      <c r="AC2624">
        <f t="shared" si="242"/>
        <v>76374.539999999994</v>
      </c>
      <c r="AD2624">
        <f t="shared" si="243"/>
        <v>30</v>
      </c>
      <c r="AE2624">
        <f t="shared" si="244"/>
        <v>17724.54</v>
      </c>
      <c r="AF2624" t="str">
        <f t="shared" si="245"/>
        <v>Paid</v>
      </c>
    </row>
    <row r="2625" spans="1:32" ht="17.25" thickBot="1" x14ac:dyDescent="0.35">
      <c r="A2625" s="2" t="s">
        <v>15702</v>
      </c>
      <c r="B2625" s="2" t="s">
        <v>27</v>
      </c>
      <c r="C2625" s="2" t="s">
        <v>28</v>
      </c>
      <c r="D2625" s="2" t="s">
        <v>97</v>
      </c>
      <c r="E2625" s="2" t="s">
        <v>15591</v>
      </c>
      <c r="F2625" s="2" t="s">
        <v>31</v>
      </c>
      <c r="G2625" s="2" t="s">
        <v>32</v>
      </c>
      <c r="H2625" s="1"/>
      <c r="I2625" s="2" t="s">
        <v>33</v>
      </c>
      <c r="J2625" s="2" t="s">
        <v>34</v>
      </c>
      <c r="K2625" s="2" t="s">
        <v>15703</v>
      </c>
      <c r="L2625" s="2" t="s">
        <v>15704</v>
      </c>
      <c r="M2625" s="2" t="s">
        <v>15681</v>
      </c>
      <c r="N2625" s="2" t="s">
        <v>38</v>
      </c>
      <c r="O2625" s="2" t="s">
        <v>141</v>
      </c>
      <c r="P2625" s="2" t="s">
        <v>11694</v>
      </c>
      <c r="Q2625" s="2" t="s">
        <v>15705</v>
      </c>
      <c r="R2625" s="2" t="s">
        <v>40</v>
      </c>
      <c r="S2625" s="2" t="s">
        <v>15706</v>
      </c>
      <c r="T2625" s="2" t="s">
        <v>5346</v>
      </c>
      <c r="U2625" s="2" t="s">
        <v>15707</v>
      </c>
      <c r="V2625" s="2" t="s">
        <v>15708</v>
      </c>
      <c r="W2625" s="1"/>
      <c r="X2625" s="2" t="s">
        <v>4350</v>
      </c>
      <c r="Y2625" s="2" t="s">
        <v>15596</v>
      </c>
      <c r="AA2625" t="str">
        <f t="shared" si="240"/>
        <v>2025-08</v>
      </c>
      <c r="AB2625" t="str">
        <f t="shared" si="241"/>
        <v/>
      </c>
      <c r="AC2625">
        <f t="shared" si="242"/>
        <v>214420.5</v>
      </c>
      <c r="AD2625">
        <f t="shared" si="243"/>
        <v>30</v>
      </c>
      <c r="AE2625">
        <f t="shared" si="244"/>
        <v>50230.5</v>
      </c>
      <c r="AF2625" t="str">
        <f t="shared" si="245"/>
        <v>Paid</v>
      </c>
    </row>
    <row r="2626" spans="1:32" ht="17.25" thickBot="1" x14ac:dyDescent="0.35">
      <c r="A2626" s="2" t="s">
        <v>15709</v>
      </c>
      <c r="B2626" s="2" t="s">
        <v>27</v>
      </c>
      <c r="C2626" s="2" t="s">
        <v>28</v>
      </c>
      <c r="D2626" s="2" t="s">
        <v>97</v>
      </c>
      <c r="E2626" s="2" t="s">
        <v>15591</v>
      </c>
      <c r="F2626" s="2" t="s">
        <v>31</v>
      </c>
      <c r="G2626" s="2" t="s">
        <v>32</v>
      </c>
      <c r="H2626" s="1"/>
      <c r="I2626" s="2" t="s">
        <v>33</v>
      </c>
      <c r="J2626" s="2" t="s">
        <v>34</v>
      </c>
      <c r="K2626" s="2" t="s">
        <v>15710</v>
      </c>
      <c r="L2626" s="2" t="s">
        <v>15711</v>
      </c>
      <c r="M2626" s="2" t="s">
        <v>15681</v>
      </c>
      <c r="N2626" s="2" t="s">
        <v>38</v>
      </c>
      <c r="O2626" s="2" t="s">
        <v>141</v>
      </c>
      <c r="P2626" s="2" t="s">
        <v>475</v>
      </c>
      <c r="Q2626" s="2" t="s">
        <v>15682</v>
      </c>
      <c r="R2626" s="2" t="s">
        <v>40</v>
      </c>
      <c r="S2626" s="2" t="s">
        <v>15683</v>
      </c>
      <c r="T2626" s="2" t="s">
        <v>15684</v>
      </c>
      <c r="U2626" s="2" t="s">
        <v>15685</v>
      </c>
      <c r="V2626" s="2" t="s">
        <v>15686</v>
      </c>
      <c r="W2626" s="1"/>
      <c r="X2626" s="2" t="s">
        <v>4350</v>
      </c>
      <c r="Y2626" s="2" t="s">
        <v>15596</v>
      </c>
      <c r="AA2626" t="str">
        <f t="shared" si="240"/>
        <v>2025-08</v>
      </c>
      <c r="AB2626" t="str">
        <f t="shared" si="241"/>
        <v/>
      </c>
      <c r="AC2626">
        <f t="shared" si="242"/>
        <v>245052</v>
      </c>
      <c r="AD2626">
        <f t="shared" si="243"/>
        <v>30</v>
      </c>
      <c r="AE2626">
        <f t="shared" si="244"/>
        <v>57402</v>
      </c>
      <c r="AF2626" t="str">
        <f t="shared" si="245"/>
        <v>Paid</v>
      </c>
    </row>
    <row r="2627" spans="1:32" ht="17.25" thickBot="1" x14ac:dyDescent="0.35">
      <c r="A2627" s="2" t="s">
        <v>15712</v>
      </c>
      <c r="B2627" s="2" t="s">
        <v>27</v>
      </c>
      <c r="C2627" s="2" t="s">
        <v>28</v>
      </c>
      <c r="D2627" s="2" t="s">
        <v>97</v>
      </c>
      <c r="E2627" s="2" t="s">
        <v>15591</v>
      </c>
      <c r="F2627" s="2" t="s">
        <v>31</v>
      </c>
      <c r="G2627" s="2" t="s">
        <v>32</v>
      </c>
      <c r="H2627" s="1"/>
      <c r="I2627" s="2" t="s">
        <v>33</v>
      </c>
      <c r="J2627" s="2" t="s">
        <v>34</v>
      </c>
      <c r="K2627" s="2" t="s">
        <v>15713</v>
      </c>
      <c r="L2627" s="2" t="s">
        <v>15714</v>
      </c>
      <c r="M2627" s="2" t="s">
        <v>15681</v>
      </c>
      <c r="N2627" s="2" t="s">
        <v>38</v>
      </c>
      <c r="O2627" s="2" t="s">
        <v>141</v>
      </c>
      <c r="P2627" s="2" t="s">
        <v>9602</v>
      </c>
      <c r="Q2627" s="2" t="s">
        <v>15715</v>
      </c>
      <c r="R2627" s="2" t="s">
        <v>40</v>
      </c>
      <c r="S2627" s="2" t="s">
        <v>15716</v>
      </c>
      <c r="T2627" s="2" t="s">
        <v>12686</v>
      </c>
      <c r="U2627" s="2" t="s">
        <v>15717</v>
      </c>
      <c r="V2627" s="2" t="s">
        <v>15718</v>
      </c>
      <c r="W2627" s="1"/>
      <c r="X2627" s="2" t="s">
        <v>4350</v>
      </c>
      <c r="Y2627" s="2" t="s">
        <v>15596</v>
      </c>
      <c r="AA2627" t="str">
        <f t="shared" si="240"/>
        <v>2025-08</v>
      </c>
      <c r="AB2627" t="str">
        <f t="shared" si="241"/>
        <v/>
      </c>
      <c r="AC2627">
        <f t="shared" si="242"/>
        <v>229532.04</v>
      </c>
      <c r="AD2627">
        <f t="shared" si="243"/>
        <v>30</v>
      </c>
      <c r="AE2627">
        <f t="shared" si="244"/>
        <v>53612.04</v>
      </c>
      <c r="AF2627" t="str">
        <f t="shared" si="245"/>
        <v>Paid</v>
      </c>
    </row>
    <row r="2628" spans="1:32" ht="17.25" thickBot="1" x14ac:dyDescent="0.35">
      <c r="A2628" s="2" t="s">
        <v>15719</v>
      </c>
      <c r="B2628" s="2" t="s">
        <v>27</v>
      </c>
      <c r="C2628" s="2" t="s">
        <v>28</v>
      </c>
      <c r="D2628" s="2" t="s">
        <v>97</v>
      </c>
      <c r="E2628" s="2" t="s">
        <v>15591</v>
      </c>
      <c r="F2628" s="2" t="s">
        <v>31</v>
      </c>
      <c r="G2628" s="2" t="s">
        <v>32</v>
      </c>
      <c r="H2628" s="1"/>
      <c r="I2628" s="2" t="s">
        <v>33</v>
      </c>
      <c r="J2628" s="2" t="s">
        <v>34</v>
      </c>
      <c r="K2628" s="2" t="s">
        <v>15720</v>
      </c>
      <c r="L2628" s="2" t="s">
        <v>15721</v>
      </c>
      <c r="M2628" s="2" t="s">
        <v>15681</v>
      </c>
      <c r="N2628" s="2" t="s">
        <v>38</v>
      </c>
      <c r="O2628" s="2" t="s">
        <v>141</v>
      </c>
      <c r="P2628" s="2" t="s">
        <v>15722</v>
      </c>
      <c r="Q2628" s="2" t="s">
        <v>15723</v>
      </c>
      <c r="R2628" s="2" t="s">
        <v>40</v>
      </c>
      <c r="S2628" s="2" t="s">
        <v>15724</v>
      </c>
      <c r="T2628" s="2" t="s">
        <v>15725</v>
      </c>
      <c r="U2628" s="2" t="s">
        <v>15726</v>
      </c>
      <c r="V2628" s="2" t="s">
        <v>15727</v>
      </c>
      <c r="W2628" s="1"/>
      <c r="X2628" s="2" t="s">
        <v>4350</v>
      </c>
      <c r="Y2628" s="2" t="s">
        <v>15596</v>
      </c>
      <c r="AA2628" t="str">
        <f t="shared" ref="AA2628:AA2691" si="246">LEFT(E2628,7)</f>
        <v>2025-08</v>
      </c>
      <c r="AB2628" t="str">
        <f t="shared" ref="AB2628:AB2691" si="247">IF(AND($AA2628&gt;="2025-01",$AA2628&lt;="2025-06"),"H1_2025",IF(AND($AA2628&gt;="2026-01",$AA2628&lt;="2026-06"),"H1_2026",""))</f>
        <v/>
      </c>
      <c r="AC2628">
        <f t="shared" ref="AC2628:AC2691" si="248">IFERROR(VALUE(SUBSTITUTE(S2628,",","")),0)</f>
        <v>413321.04</v>
      </c>
      <c r="AD2628">
        <f t="shared" ref="AD2628:AD2691" si="249">IFERROR(VALUE(SUBSTITUTE(O2628,",","")),0)</f>
        <v>30</v>
      </c>
      <c r="AE2628">
        <f t="shared" ref="AE2628:AE2691" si="250">IFERROR(VALUE(SUBSTITUTE(V2628,",","")),0)</f>
        <v>96671.039999999994</v>
      </c>
      <c r="AF2628" t="str">
        <f t="shared" ref="AF2628:AF2691" si="251">IF(ISNUMBER(SEARCH("FOC",W2628)),"FOC",IF(ISNUMBER(SEARCH("샘플",W2628)),"Sample","Paid"))</f>
        <v>Paid</v>
      </c>
    </row>
    <row r="2629" spans="1:32" ht="17.25" thickBot="1" x14ac:dyDescent="0.35">
      <c r="A2629" s="2" t="s">
        <v>15728</v>
      </c>
      <c r="B2629" s="2" t="s">
        <v>27</v>
      </c>
      <c r="C2629" s="2" t="s">
        <v>28</v>
      </c>
      <c r="D2629" s="2" t="s">
        <v>97</v>
      </c>
      <c r="E2629" s="2" t="s">
        <v>15591</v>
      </c>
      <c r="F2629" s="2" t="s">
        <v>31</v>
      </c>
      <c r="G2629" s="2" t="s">
        <v>32</v>
      </c>
      <c r="H2629" s="1"/>
      <c r="I2629" s="2" t="s">
        <v>33</v>
      </c>
      <c r="J2629" s="2" t="s">
        <v>34</v>
      </c>
      <c r="K2629" s="2" t="s">
        <v>15729</v>
      </c>
      <c r="L2629" s="2" t="s">
        <v>15730</v>
      </c>
      <c r="M2629" s="2" t="s">
        <v>15681</v>
      </c>
      <c r="N2629" s="2" t="s">
        <v>38</v>
      </c>
      <c r="O2629" s="2" t="s">
        <v>141</v>
      </c>
      <c r="P2629" s="2" t="s">
        <v>15731</v>
      </c>
      <c r="Q2629" s="2" t="s">
        <v>8137</v>
      </c>
      <c r="R2629" s="2" t="s">
        <v>40</v>
      </c>
      <c r="S2629" s="2" t="s">
        <v>15732</v>
      </c>
      <c r="T2629" s="2" t="s">
        <v>15733</v>
      </c>
      <c r="U2629" s="2" t="s">
        <v>15734</v>
      </c>
      <c r="V2629" s="2" t="s">
        <v>15735</v>
      </c>
      <c r="W2629" s="1"/>
      <c r="X2629" s="2" t="s">
        <v>6342</v>
      </c>
      <c r="Y2629" s="2" t="s">
        <v>15596</v>
      </c>
      <c r="AA2629" t="str">
        <f t="shared" si="246"/>
        <v>2025-08</v>
      </c>
      <c r="AB2629" t="str">
        <f t="shared" si="247"/>
        <v/>
      </c>
      <c r="AC2629">
        <f t="shared" si="248"/>
        <v>45743.040000000001</v>
      </c>
      <c r="AD2629">
        <f t="shared" si="249"/>
        <v>30</v>
      </c>
      <c r="AE2629">
        <f t="shared" si="250"/>
        <v>10553.04</v>
      </c>
      <c r="AF2629" t="str">
        <f t="shared" si="251"/>
        <v>Paid</v>
      </c>
    </row>
    <row r="2630" spans="1:32" ht="17.25" thickBot="1" x14ac:dyDescent="0.35">
      <c r="A2630" s="2" t="s">
        <v>15736</v>
      </c>
      <c r="B2630" s="2" t="s">
        <v>27</v>
      </c>
      <c r="C2630" s="2" t="s">
        <v>28</v>
      </c>
      <c r="D2630" s="2" t="s">
        <v>97</v>
      </c>
      <c r="E2630" s="2" t="s">
        <v>15591</v>
      </c>
      <c r="F2630" s="2" t="s">
        <v>31</v>
      </c>
      <c r="G2630" s="2" t="s">
        <v>32</v>
      </c>
      <c r="H2630" s="1"/>
      <c r="I2630" s="2" t="s">
        <v>33</v>
      </c>
      <c r="J2630" s="2" t="s">
        <v>34</v>
      </c>
      <c r="K2630" s="2" t="s">
        <v>15737</v>
      </c>
      <c r="L2630" s="2" t="s">
        <v>15738</v>
      </c>
      <c r="M2630" s="2" t="s">
        <v>15681</v>
      </c>
      <c r="N2630" s="2" t="s">
        <v>38</v>
      </c>
      <c r="O2630" s="2" t="s">
        <v>141</v>
      </c>
      <c r="P2630" s="2" t="s">
        <v>15722</v>
      </c>
      <c r="Q2630" s="2" t="s">
        <v>15723</v>
      </c>
      <c r="R2630" s="2" t="s">
        <v>40</v>
      </c>
      <c r="S2630" s="2" t="s">
        <v>15724</v>
      </c>
      <c r="T2630" s="2" t="s">
        <v>15725</v>
      </c>
      <c r="U2630" s="2" t="s">
        <v>15726</v>
      </c>
      <c r="V2630" s="2" t="s">
        <v>15727</v>
      </c>
      <c r="W2630" s="1"/>
      <c r="X2630" s="2" t="s">
        <v>4350</v>
      </c>
      <c r="Y2630" s="2" t="s">
        <v>15596</v>
      </c>
      <c r="AA2630" t="str">
        <f t="shared" si="246"/>
        <v>2025-08</v>
      </c>
      <c r="AB2630" t="str">
        <f t="shared" si="247"/>
        <v/>
      </c>
      <c r="AC2630">
        <f t="shared" si="248"/>
        <v>413321.04</v>
      </c>
      <c r="AD2630">
        <f t="shared" si="249"/>
        <v>30</v>
      </c>
      <c r="AE2630">
        <f t="shared" si="250"/>
        <v>96671.039999999994</v>
      </c>
      <c r="AF2630" t="str">
        <f t="shared" si="251"/>
        <v>Paid</v>
      </c>
    </row>
    <row r="2631" spans="1:32" ht="17.25" thickBot="1" x14ac:dyDescent="0.35">
      <c r="A2631" s="2" t="s">
        <v>15739</v>
      </c>
      <c r="B2631" s="2" t="s">
        <v>27</v>
      </c>
      <c r="C2631" s="2" t="s">
        <v>28</v>
      </c>
      <c r="D2631" s="2" t="s">
        <v>97</v>
      </c>
      <c r="E2631" s="2" t="s">
        <v>15591</v>
      </c>
      <c r="F2631" s="2" t="s">
        <v>31</v>
      </c>
      <c r="G2631" s="2" t="s">
        <v>32</v>
      </c>
      <c r="H2631" s="1"/>
      <c r="I2631" s="2" t="s">
        <v>33</v>
      </c>
      <c r="J2631" s="2" t="s">
        <v>34</v>
      </c>
      <c r="K2631" s="2" t="s">
        <v>15740</v>
      </c>
      <c r="L2631" s="2" t="s">
        <v>15741</v>
      </c>
      <c r="M2631" s="2" t="s">
        <v>15681</v>
      </c>
      <c r="N2631" s="2" t="s">
        <v>38</v>
      </c>
      <c r="O2631" s="2" t="s">
        <v>103</v>
      </c>
      <c r="P2631" s="2" t="s">
        <v>15722</v>
      </c>
      <c r="Q2631" s="2" t="s">
        <v>15742</v>
      </c>
      <c r="R2631" s="2" t="s">
        <v>40</v>
      </c>
      <c r="S2631" s="2" t="s">
        <v>15743</v>
      </c>
      <c r="T2631" s="2" t="s">
        <v>15725</v>
      </c>
      <c r="U2631" s="2" t="s">
        <v>15744</v>
      </c>
      <c r="V2631" s="2" t="s">
        <v>15745</v>
      </c>
      <c r="W2631" s="1"/>
      <c r="X2631" s="2" t="s">
        <v>4350</v>
      </c>
      <c r="Y2631" s="2" t="s">
        <v>15596</v>
      </c>
      <c r="AA2631" t="str">
        <f t="shared" si="246"/>
        <v>2025-08</v>
      </c>
      <c r="AB2631" t="str">
        <f t="shared" si="247"/>
        <v/>
      </c>
      <c r="AC2631">
        <f t="shared" si="248"/>
        <v>330656.83</v>
      </c>
      <c r="AD2631">
        <f t="shared" si="249"/>
        <v>24</v>
      </c>
      <c r="AE2631">
        <f t="shared" si="250"/>
        <v>77336.83</v>
      </c>
      <c r="AF2631" t="str">
        <f t="shared" si="251"/>
        <v>Paid</v>
      </c>
    </row>
    <row r="2632" spans="1:32" ht="17.25" thickBot="1" x14ac:dyDescent="0.35">
      <c r="A2632" s="2" t="s">
        <v>15746</v>
      </c>
      <c r="B2632" s="2" t="s">
        <v>27</v>
      </c>
      <c r="C2632" s="2" t="s">
        <v>28</v>
      </c>
      <c r="D2632" s="2" t="s">
        <v>97</v>
      </c>
      <c r="E2632" s="2" t="s">
        <v>15591</v>
      </c>
      <c r="F2632" s="2" t="s">
        <v>31</v>
      </c>
      <c r="G2632" s="2" t="s">
        <v>32</v>
      </c>
      <c r="H2632" s="1"/>
      <c r="I2632" s="2" t="s">
        <v>33</v>
      </c>
      <c r="J2632" s="2" t="s">
        <v>34</v>
      </c>
      <c r="K2632" s="2" t="s">
        <v>15740</v>
      </c>
      <c r="L2632" s="2" t="s">
        <v>15741</v>
      </c>
      <c r="M2632" s="2" t="s">
        <v>15681</v>
      </c>
      <c r="N2632" s="2" t="s">
        <v>38</v>
      </c>
      <c r="O2632" s="2" t="s">
        <v>60</v>
      </c>
      <c r="P2632" s="2" t="s">
        <v>15722</v>
      </c>
      <c r="Q2632" s="2" t="s">
        <v>15747</v>
      </c>
      <c r="R2632" s="2" t="s">
        <v>40</v>
      </c>
      <c r="S2632" s="2" t="s">
        <v>15748</v>
      </c>
      <c r="T2632" s="2" t="s">
        <v>15725</v>
      </c>
      <c r="U2632" s="2" t="s">
        <v>15749</v>
      </c>
      <c r="V2632" s="2" t="s">
        <v>15750</v>
      </c>
      <c r="W2632" s="1"/>
      <c r="X2632" s="2" t="s">
        <v>4350</v>
      </c>
      <c r="Y2632" s="2" t="s">
        <v>15596</v>
      </c>
      <c r="AA2632" t="str">
        <f t="shared" si="246"/>
        <v>2025-08</v>
      </c>
      <c r="AB2632" t="str">
        <f t="shared" si="247"/>
        <v/>
      </c>
      <c r="AC2632">
        <f t="shared" si="248"/>
        <v>82664.210000000006</v>
      </c>
      <c r="AD2632">
        <f t="shared" si="249"/>
        <v>6</v>
      </c>
      <c r="AE2632">
        <f t="shared" si="250"/>
        <v>19334.21</v>
      </c>
      <c r="AF2632" t="str">
        <f t="shared" si="251"/>
        <v>Paid</v>
      </c>
    </row>
    <row r="2633" spans="1:32" ht="17.25" thickBot="1" x14ac:dyDescent="0.35">
      <c r="A2633" s="2" t="s">
        <v>15751</v>
      </c>
      <c r="B2633" s="2" t="s">
        <v>27</v>
      </c>
      <c r="C2633" s="2" t="s">
        <v>28</v>
      </c>
      <c r="D2633" s="2" t="s">
        <v>97</v>
      </c>
      <c r="E2633" s="2" t="s">
        <v>15591</v>
      </c>
      <c r="F2633" s="2" t="s">
        <v>31</v>
      </c>
      <c r="G2633" s="2" t="s">
        <v>32</v>
      </c>
      <c r="H2633" s="1"/>
      <c r="I2633" s="2" t="s">
        <v>33</v>
      </c>
      <c r="J2633" s="2" t="s">
        <v>34</v>
      </c>
      <c r="K2633" s="2" t="s">
        <v>15752</v>
      </c>
      <c r="L2633" s="2" t="s">
        <v>15753</v>
      </c>
      <c r="M2633" s="2" t="s">
        <v>15681</v>
      </c>
      <c r="N2633" s="2" t="s">
        <v>38</v>
      </c>
      <c r="O2633" s="2" t="s">
        <v>141</v>
      </c>
      <c r="P2633" s="2" t="s">
        <v>15754</v>
      </c>
      <c r="Q2633" s="2" t="s">
        <v>15755</v>
      </c>
      <c r="R2633" s="2" t="s">
        <v>40</v>
      </c>
      <c r="S2633" s="2" t="s">
        <v>15756</v>
      </c>
      <c r="T2633" s="2" t="s">
        <v>15757</v>
      </c>
      <c r="U2633" s="2" t="s">
        <v>15758</v>
      </c>
      <c r="V2633" s="2" t="s">
        <v>15759</v>
      </c>
      <c r="W2633" s="1"/>
      <c r="X2633" s="2" t="s">
        <v>3610</v>
      </c>
      <c r="Y2633" s="2" t="s">
        <v>15596</v>
      </c>
      <c r="AA2633" t="str">
        <f t="shared" si="246"/>
        <v>2025-08</v>
      </c>
      <c r="AB2633" t="str">
        <f t="shared" si="247"/>
        <v/>
      </c>
      <c r="AC2633">
        <f t="shared" si="248"/>
        <v>397801.08</v>
      </c>
      <c r="AD2633">
        <f t="shared" si="249"/>
        <v>30</v>
      </c>
      <c r="AE2633">
        <f t="shared" si="250"/>
        <v>92881.08</v>
      </c>
      <c r="AF2633" t="str">
        <f t="shared" si="251"/>
        <v>Paid</v>
      </c>
    </row>
    <row r="2634" spans="1:32" ht="17.25" thickBot="1" x14ac:dyDescent="0.35">
      <c r="A2634" s="2" t="s">
        <v>15760</v>
      </c>
      <c r="B2634" s="2" t="s">
        <v>27</v>
      </c>
      <c r="C2634" s="2" t="s">
        <v>28</v>
      </c>
      <c r="D2634" s="2" t="s">
        <v>97</v>
      </c>
      <c r="E2634" s="2" t="s">
        <v>15591</v>
      </c>
      <c r="F2634" s="2" t="s">
        <v>31</v>
      </c>
      <c r="G2634" s="2" t="s">
        <v>32</v>
      </c>
      <c r="H2634" s="1"/>
      <c r="I2634" s="2" t="s">
        <v>33</v>
      </c>
      <c r="J2634" s="2" t="s">
        <v>34</v>
      </c>
      <c r="K2634" s="2" t="s">
        <v>15761</v>
      </c>
      <c r="L2634" s="2" t="s">
        <v>15762</v>
      </c>
      <c r="M2634" s="2" t="s">
        <v>15681</v>
      </c>
      <c r="N2634" s="2" t="s">
        <v>38</v>
      </c>
      <c r="O2634" s="2" t="s">
        <v>141</v>
      </c>
      <c r="P2634" s="2" t="s">
        <v>15754</v>
      </c>
      <c r="Q2634" s="2" t="s">
        <v>15755</v>
      </c>
      <c r="R2634" s="2" t="s">
        <v>40</v>
      </c>
      <c r="S2634" s="2" t="s">
        <v>15756</v>
      </c>
      <c r="T2634" s="2" t="s">
        <v>15757</v>
      </c>
      <c r="U2634" s="2" t="s">
        <v>15758</v>
      </c>
      <c r="V2634" s="2" t="s">
        <v>15759</v>
      </c>
      <c r="W2634" s="1"/>
      <c r="X2634" s="2" t="s">
        <v>3610</v>
      </c>
      <c r="Y2634" s="2" t="s">
        <v>15596</v>
      </c>
      <c r="AA2634" t="str">
        <f t="shared" si="246"/>
        <v>2025-08</v>
      </c>
      <c r="AB2634" t="str">
        <f t="shared" si="247"/>
        <v/>
      </c>
      <c r="AC2634">
        <f t="shared" si="248"/>
        <v>397801.08</v>
      </c>
      <c r="AD2634">
        <f t="shared" si="249"/>
        <v>30</v>
      </c>
      <c r="AE2634">
        <f t="shared" si="250"/>
        <v>92881.08</v>
      </c>
      <c r="AF2634" t="str">
        <f t="shared" si="251"/>
        <v>Paid</v>
      </c>
    </row>
    <row r="2635" spans="1:32" ht="17.25" thickBot="1" x14ac:dyDescent="0.35">
      <c r="A2635" s="2" t="s">
        <v>15763</v>
      </c>
      <c r="B2635" s="2" t="s">
        <v>27</v>
      </c>
      <c r="C2635" s="2" t="s">
        <v>28</v>
      </c>
      <c r="D2635" s="2" t="s">
        <v>97</v>
      </c>
      <c r="E2635" s="2" t="s">
        <v>15591</v>
      </c>
      <c r="F2635" s="2" t="s">
        <v>31</v>
      </c>
      <c r="G2635" s="2" t="s">
        <v>32</v>
      </c>
      <c r="H2635" s="1"/>
      <c r="I2635" s="2" t="s">
        <v>33</v>
      </c>
      <c r="J2635" s="2" t="s">
        <v>34</v>
      </c>
      <c r="K2635" s="2" t="s">
        <v>15764</v>
      </c>
      <c r="L2635" s="2" t="s">
        <v>15765</v>
      </c>
      <c r="M2635" s="2" t="s">
        <v>15681</v>
      </c>
      <c r="N2635" s="2" t="s">
        <v>38</v>
      </c>
      <c r="O2635" s="2" t="s">
        <v>141</v>
      </c>
      <c r="P2635" s="2" t="s">
        <v>15754</v>
      </c>
      <c r="Q2635" s="2" t="s">
        <v>15755</v>
      </c>
      <c r="R2635" s="2" t="s">
        <v>40</v>
      </c>
      <c r="S2635" s="2" t="s">
        <v>15756</v>
      </c>
      <c r="T2635" s="2" t="s">
        <v>15757</v>
      </c>
      <c r="U2635" s="2" t="s">
        <v>15758</v>
      </c>
      <c r="V2635" s="2" t="s">
        <v>15759</v>
      </c>
      <c r="W2635" s="1"/>
      <c r="X2635" s="2" t="s">
        <v>3610</v>
      </c>
      <c r="Y2635" s="2" t="s">
        <v>15596</v>
      </c>
      <c r="AA2635" t="str">
        <f t="shared" si="246"/>
        <v>2025-08</v>
      </c>
      <c r="AB2635" t="str">
        <f t="shared" si="247"/>
        <v/>
      </c>
      <c r="AC2635">
        <f t="shared" si="248"/>
        <v>397801.08</v>
      </c>
      <c r="AD2635">
        <f t="shared" si="249"/>
        <v>30</v>
      </c>
      <c r="AE2635">
        <f t="shared" si="250"/>
        <v>92881.08</v>
      </c>
      <c r="AF2635" t="str">
        <f t="shared" si="251"/>
        <v>Paid</v>
      </c>
    </row>
    <row r="2636" spans="1:32" ht="17.25" thickBot="1" x14ac:dyDescent="0.35">
      <c r="A2636" s="2" t="s">
        <v>15766</v>
      </c>
      <c r="B2636" s="2" t="s">
        <v>27</v>
      </c>
      <c r="C2636" s="2" t="s">
        <v>28</v>
      </c>
      <c r="D2636" s="2" t="s">
        <v>97</v>
      </c>
      <c r="E2636" s="2" t="s">
        <v>15591</v>
      </c>
      <c r="F2636" s="2" t="s">
        <v>31</v>
      </c>
      <c r="G2636" s="2" t="s">
        <v>32</v>
      </c>
      <c r="H2636" s="1"/>
      <c r="I2636" s="2" t="s">
        <v>33</v>
      </c>
      <c r="J2636" s="2" t="s">
        <v>34</v>
      </c>
      <c r="K2636" s="2" t="s">
        <v>15767</v>
      </c>
      <c r="L2636" s="2" t="s">
        <v>15768</v>
      </c>
      <c r="M2636" s="2" t="s">
        <v>15681</v>
      </c>
      <c r="N2636" s="2" t="s">
        <v>38</v>
      </c>
      <c r="O2636" s="2" t="s">
        <v>141</v>
      </c>
      <c r="P2636" s="2" t="s">
        <v>15722</v>
      </c>
      <c r="Q2636" s="2" t="s">
        <v>15723</v>
      </c>
      <c r="R2636" s="2" t="s">
        <v>40</v>
      </c>
      <c r="S2636" s="2" t="s">
        <v>15724</v>
      </c>
      <c r="T2636" s="2" t="s">
        <v>15725</v>
      </c>
      <c r="U2636" s="2" t="s">
        <v>15726</v>
      </c>
      <c r="V2636" s="2" t="s">
        <v>15727</v>
      </c>
      <c r="W2636" s="1"/>
      <c r="X2636" s="2" t="s">
        <v>4350</v>
      </c>
      <c r="Y2636" s="2" t="s">
        <v>15596</v>
      </c>
      <c r="AA2636" t="str">
        <f t="shared" si="246"/>
        <v>2025-08</v>
      </c>
      <c r="AB2636" t="str">
        <f t="shared" si="247"/>
        <v/>
      </c>
      <c r="AC2636">
        <f t="shared" si="248"/>
        <v>413321.04</v>
      </c>
      <c r="AD2636">
        <f t="shared" si="249"/>
        <v>30</v>
      </c>
      <c r="AE2636">
        <f t="shared" si="250"/>
        <v>96671.039999999994</v>
      </c>
      <c r="AF2636" t="str">
        <f t="shared" si="251"/>
        <v>Paid</v>
      </c>
    </row>
    <row r="2637" spans="1:32" ht="17.25" thickBot="1" x14ac:dyDescent="0.35">
      <c r="A2637" s="2" t="s">
        <v>15769</v>
      </c>
      <c r="B2637" s="2" t="s">
        <v>27</v>
      </c>
      <c r="C2637" s="2" t="s">
        <v>28</v>
      </c>
      <c r="D2637" s="2" t="s">
        <v>97</v>
      </c>
      <c r="E2637" s="2" t="s">
        <v>15591</v>
      </c>
      <c r="F2637" s="2" t="s">
        <v>31</v>
      </c>
      <c r="G2637" s="2" t="s">
        <v>32</v>
      </c>
      <c r="H2637" s="1"/>
      <c r="I2637" s="2" t="s">
        <v>33</v>
      </c>
      <c r="J2637" s="2" t="s">
        <v>34</v>
      </c>
      <c r="K2637" s="2" t="s">
        <v>15770</v>
      </c>
      <c r="L2637" s="2" t="s">
        <v>15771</v>
      </c>
      <c r="M2637" s="2" t="s">
        <v>15681</v>
      </c>
      <c r="N2637" s="2" t="s">
        <v>38</v>
      </c>
      <c r="O2637" s="2" t="s">
        <v>141</v>
      </c>
      <c r="P2637" s="2" t="s">
        <v>429</v>
      </c>
      <c r="Q2637" s="2" t="s">
        <v>15772</v>
      </c>
      <c r="R2637" s="2" t="s">
        <v>40</v>
      </c>
      <c r="S2637" s="2" t="s">
        <v>15773</v>
      </c>
      <c r="T2637" s="2" t="s">
        <v>15774</v>
      </c>
      <c r="U2637" s="2" t="s">
        <v>15775</v>
      </c>
      <c r="V2637" s="2" t="s">
        <v>15776</v>
      </c>
      <c r="W2637" s="1"/>
      <c r="X2637" s="2" t="s">
        <v>3610</v>
      </c>
      <c r="Y2637" s="2" t="s">
        <v>15596</v>
      </c>
      <c r="AA2637" t="str">
        <f t="shared" si="246"/>
        <v>2025-08</v>
      </c>
      <c r="AB2637" t="str">
        <f t="shared" si="247"/>
        <v/>
      </c>
      <c r="AC2637">
        <f t="shared" si="248"/>
        <v>367169.58</v>
      </c>
      <c r="AD2637">
        <f t="shared" si="249"/>
        <v>30</v>
      </c>
      <c r="AE2637">
        <f t="shared" si="250"/>
        <v>85709.58</v>
      </c>
      <c r="AF2637" t="str">
        <f t="shared" si="251"/>
        <v>Paid</v>
      </c>
    </row>
    <row r="2638" spans="1:32" ht="17.25" thickBot="1" x14ac:dyDescent="0.35">
      <c r="A2638" s="2" t="s">
        <v>15777</v>
      </c>
      <c r="B2638" s="2" t="s">
        <v>27</v>
      </c>
      <c r="C2638" s="2" t="s">
        <v>28</v>
      </c>
      <c r="D2638" s="2" t="s">
        <v>97</v>
      </c>
      <c r="E2638" s="2" t="s">
        <v>15591</v>
      </c>
      <c r="F2638" s="2" t="s">
        <v>31</v>
      </c>
      <c r="G2638" s="2" t="s">
        <v>32</v>
      </c>
      <c r="H2638" s="1"/>
      <c r="I2638" s="2" t="s">
        <v>33</v>
      </c>
      <c r="J2638" s="2" t="s">
        <v>34</v>
      </c>
      <c r="K2638" s="2" t="s">
        <v>15778</v>
      </c>
      <c r="L2638" s="2" t="s">
        <v>15779</v>
      </c>
      <c r="M2638" s="2" t="s">
        <v>15681</v>
      </c>
      <c r="N2638" s="2" t="s">
        <v>38</v>
      </c>
      <c r="O2638" s="2" t="s">
        <v>141</v>
      </c>
      <c r="P2638" s="2" t="s">
        <v>15754</v>
      </c>
      <c r="Q2638" s="2" t="s">
        <v>15755</v>
      </c>
      <c r="R2638" s="2" t="s">
        <v>40</v>
      </c>
      <c r="S2638" s="2" t="s">
        <v>15756</v>
      </c>
      <c r="T2638" s="2" t="s">
        <v>15757</v>
      </c>
      <c r="U2638" s="2" t="s">
        <v>15758</v>
      </c>
      <c r="V2638" s="2" t="s">
        <v>15759</v>
      </c>
      <c r="W2638" s="1"/>
      <c r="X2638" s="2" t="s">
        <v>3610</v>
      </c>
      <c r="Y2638" s="2" t="s">
        <v>15596</v>
      </c>
      <c r="AA2638" t="str">
        <f t="shared" si="246"/>
        <v>2025-08</v>
      </c>
      <c r="AB2638" t="str">
        <f t="shared" si="247"/>
        <v/>
      </c>
      <c r="AC2638">
        <f t="shared" si="248"/>
        <v>397801.08</v>
      </c>
      <c r="AD2638">
        <f t="shared" si="249"/>
        <v>30</v>
      </c>
      <c r="AE2638">
        <f t="shared" si="250"/>
        <v>92881.08</v>
      </c>
      <c r="AF2638" t="str">
        <f t="shared" si="251"/>
        <v>Paid</v>
      </c>
    </row>
    <row r="2639" spans="1:32" ht="17.25" thickBot="1" x14ac:dyDescent="0.35">
      <c r="A2639" s="2" t="s">
        <v>15780</v>
      </c>
      <c r="B2639" s="2" t="s">
        <v>27</v>
      </c>
      <c r="C2639" s="2" t="s">
        <v>28</v>
      </c>
      <c r="D2639" s="2" t="s">
        <v>97</v>
      </c>
      <c r="E2639" s="2" t="s">
        <v>15591</v>
      </c>
      <c r="F2639" s="2" t="s">
        <v>31</v>
      </c>
      <c r="G2639" s="2" t="s">
        <v>32</v>
      </c>
      <c r="H2639" s="1"/>
      <c r="I2639" s="2" t="s">
        <v>33</v>
      </c>
      <c r="J2639" s="2" t="s">
        <v>34</v>
      </c>
      <c r="K2639" s="2" t="s">
        <v>15781</v>
      </c>
      <c r="L2639" s="2" t="s">
        <v>15782</v>
      </c>
      <c r="M2639" s="2" t="s">
        <v>15681</v>
      </c>
      <c r="N2639" s="2" t="s">
        <v>38</v>
      </c>
      <c r="O2639" s="2" t="s">
        <v>234</v>
      </c>
      <c r="P2639" s="2" t="s">
        <v>15783</v>
      </c>
      <c r="Q2639" s="2" t="s">
        <v>15784</v>
      </c>
      <c r="R2639" s="2" t="s">
        <v>40</v>
      </c>
      <c r="S2639" s="2" t="s">
        <v>15785</v>
      </c>
      <c r="T2639" s="2" t="s">
        <v>15786</v>
      </c>
      <c r="U2639" s="2" t="s">
        <v>15787</v>
      </c>
      <c r="V2639" s="2" t="s">
        <v>15788</v>
      </c>
      <c r="W2639" s="1"/>
      <c r="X2639" s="2" t="s">
        <v>3610</v>
      </c>
      <c r="Y2639" s="2" t="s">
        <v>15596</v>
      </c>
      <c r="AA2639" t="str">
        <f t="shared" si="246"/>
        <v>2025-08</v>
      </c>
      <c r="AB2639" t="str">
        <f t="shared" si="247"/>
        <v/>
      </c>
      <c r="AC2639">
        <f t="shared" si="248"/>
        <v>295709.69</v>
      </c>
      <c r="AD2639">
        <f t="shared" si="249"/>
        <v>29</v>
      </c>
      <c r="AE2639">
        <f t="shared" si="250"/>
        <v>68958.69</v>
      </c>
      <c r="AF2639" t="str">
        <f t="shared" si="251"/>
        <v>Paid</v>
      </c>
    </row>
    <row r="2640" spans="1:32" ht="17.25" thickBot="1" x14ac:dyDescent="0.35">
      <c r="A2640" s="2" t="s">
        <v>15789</v>
      </c>
      <c r="B2640" s="2" t="s">
        <v>27</v>
      </c>
      <c r="C2640" s="2" t="s">
        <v>28</v>
      </c>
      <c r="D2640" s="2" t="s">
        <v>97</v>
      </c>
      <c r="E2640" s="2" t="s">
        <v>15591</v>
      </c>
      <c r="F2640" s="2" t="s">
        <v>31</v>
      </c>
      <c r="G2640" s="2" t="s">
        <v>32</v>
      </c>
      <c r="H2640" s="1"/>
      <c r="I2640" s="2" t="s">
        <v>33</v>
      </c>
      <c r="J2640" s="2" t="s">
        <v>34</v>
      </c>
      <c r="K2640" s="2" t="s">
        <v>15781</v>
      </c>
      <c r="L2640" s="2" t="s">
        <v>15782</v>
      </c>
      <c r="M2640" s="2" t="s">
        <v>15681</v>
      </c>
      <c r="N2640" s="2" t="s">
        <v>38</v>
      </c>
      <c r="O2640" s="2" t="s">
        <v>26</v>
      </c>
      <c r="P2640" s="2" t="s">
        <v>15783</v>
      </c>
      <c r="Q2640" s="2" t="s">
        <v>15783</v>
      </c>
      <c r="R2640" s="2" t="s">
        <v>40</v>
      </c>
      <c r="S2640" s="2" t="s">
        <v>15790</v>
      </c>
      <c r="T2640" s="2" t="s">
        <v>15786</v>
      </c>
      <c r="U2640" s="2" t="s">
        <v>15786</v>
      </c>
      <c r="V2640" s="2" t="s">
        <v>15791</v>
      </c>
      <c r="W2640" s="1"/>
      <c r="X2640" s="2" t="s">
        <v>3610</v>
      </c>
      <c r="Y2640" s="2" t="s">
        <v>15596</v>
      </c>
      <c r="AA2640" t="str">
        <f t="shared" si="246"/>
        <v>2025-08</v>
      </c>
      <c r="AB2640" t="str">
        <f t="shared" si="247"/>
        <v/>
      </c>
      <c r="AC2640">
        <f t="shared" si="248"/>
        <v>10196.89</v>
      </c>
      <c r="AD2640">
        <f t="shared" si="249"/>
        <v>1</v>
      </c>
      <c r="AE2640">
        <f t="shared" si="250"/>
        <v>2377.89</v>
      </c>
      <c r="AF2640" t="str">
        <f t="shared" si="251"/>
        <v>Paid</v>
      </c>
    </row>
    <row r="2641" spans="1:32" ht="17.25" thickBot="1" x14ac:dyDescent="0.35">
      <c r="A2641" s="2" t="s">
        <v>15792</v>
      </c>
      <c r="B2641" s="2" t="s">
        <v>27</v>
      </c>
      <c r="C2641" s="2" t="s">
        <v>28</v>
      </c>
      <c r="D2641" s="2" t="s">
        <v>97</v>
      </c>
      <c r="E2641" s="2" t="s">
        <v>15591</v>
      </c>
      <c r="F2641" s="2" t="s">
        <v>31</v>
      </c>
      <c r="G2641" s="2" t="s">
        <v>32</v>
      </c>
      <c r="H2641" s="1"/>
      <c r="I2641" s="2" t="s">
        <v>33</v>
      </c>
      <c r="J2641" s="2" t="s">
        <v>34</v>
      </c>
      <c r="K2641" s="2" t="s">
        <v>15793</v>
      </c>
      <c r="L2641" s="2" t="s">
        <v>15794</v>
      </c>
      <c r="M2641" s="2" t="s">
        <v>15681</v>
      </c>
      <c r="N2641" s="2" t="s">
        <v>38</v>
      </c>
      <c r="O2641" s="2" t="s">
        <v>141</v>
      </c>
      <c r="P2641" s="2" t="s">
        <v>2934</v>
      </c>
      <c r="Q2641" s="2" t="s">
        <v>15795</v>
      </c>
      <c r="R2641" s="2" t="s">
        <v>40</v>
      </c>
      <c r="S2641" s="2" t="s">
        <v>15796</v>
      </c>
      <c r="T2641" s="2" t="s">
        <v>15797</v>
      </c>
      <c r="U2641" s="2" t="s">
        <v>15798</v>
      </c>
      <c r="V2641" s="2" t="s">
        <v>15799</v>
      </c>
      <c r="W2641" s="1"/>
      <c r="X2641" s="2" t="s">
        <v>3610</v>
      </c>
      <c r="Y2641" s="2" t="s">
        <v>15596</v>
      </c>
      <c r="AA2641" t="str">
        <f t="shared" si="246"/>
        <v>2025-08</v>
      </c>
      <c r="AB2641" t="str">
        <f t="shared" si="247"/>
        <v/>
      </c>
      <c r="AC2641">
        <f t="shared" si="248"/>
        <v>275275.08</v>
      </c>
      <c r="AD2641">
        <f t="shared" si="249"/>
        <v>30</v>
      </c>
      <c r="AE2641">
        <f t="shared" si="250"/>
        <v>64165.08</v>
      </c>
      <c r="AF2641" t="str">
        <f t="shared" si="251"/>
        <v>Paid</v>
      </c>
    </row>
    <row r="2642" spans="1:32" ht="17.25" thickBot="1" x14ac:dyDescent="0.35">
      <c r="A2642" s="2" t="s">
        <v>15800</v>
      </c>
      <c r="B2642" s="2" t="s">
        <v>27</v>
      </c>
      <c r="C2642" s="2" t="s">
        <v>28</v>
      </c>
      <c r="D2642" s="2" t="s">
        <v>97</v>
      </c>
      <c r="E2642" s="2" t="s">
        <v>15591</v>
      </c>
      <c r="F2642" s="2" t="s">
        <v>31</v>
      </c>
      <c r="G2642" s="2" t="s">
        <v>32</v>
      </c>
      <c r="H2642" s="1"/>
      <c r="I2642" s="2" t="s">
        <v>33</v>
      </c>
      <c r="J2642" s="2" t="s">
        <v>34</v>
      </c>
      <c r="K2642" s="2" t="s">
        <v>15801</v>
      </c>
      <c r="L2642" s="2" t="s">
        <v>15802</v>
      </c>
      <c r="M2642" s="2" t="s">
        <v>15681</v>
      </c>
      <c r="N2642" s="2" t="s">
        <v>38</v>
      </c>
      <c r="O2642" s="2" t="s">
        <v>92</v>
      </c>
      <c r="P2642" s="2" t="s">
        <v>15722</v>
      </c>
      <c r="Q2642" s="2" t="s">
        <v>8193</v>
      </c>
      <c r="R2642" s="2" t="s">
        <v>40</v>
      </c>
      <c r="S2642" s="2" t="s">
        <v>15803</v>
      </c>
      <c r="T2642" s="2" t="s">
        <v>15725</v>
      </c>
      <c r="U2642" s="2" t="s">
        <v>15804</v>
      </c>
      <c r="V2642" s="2" t="s">
        <v>15805</v>
      </c>
      <c r="W2642" s="1"/>
      <c r="X2642" s="2" t="s">
        <v>4350</v>
      </c>
      <c r="Y2642" s="2" t="s">
        <v>15596</v>
      </c>
      <c r="AA2642" t="str">
        <f t="shared" si="246"/>
        <v>2025-08</v>
      </c>
      <c r="AB2642" t="str">
        <f t="shared" si="247"/>
        <v/>
      </c>
      <c r="AC2642">
        <f t="shared" si="248"/>
        <v>179105.78</v>
      </c>
      <c r="AD2642">
        <f t="shared" si="249"/>
        <v>13</v>
      </c>
      <c r="AE2642">
        <f t="shared" si="250"/>
        <v>41890.78</v>
      </c>
      <c r="AF2642" t="str">
        <f t="shared" si="251"/>
        <v>Paid</v>
      </c>
    </row>
    <row r="2643" spans="1:32" ht="17.25" thickBot="1" x14ac:dyDescent="0.35">
      <c r="A2643" s="2" t="s">
        <v>15806</v>
      </c>
      <c r="B2643" s="2" t="s">
        <v>27</v>
      </c>
      <c r="C2643" s="2" t="s">
        <v>28</v>
      </c>
      <c r="D2643" s="2" t="s">
        <v>97</v>
      </c>
      <c r="E2643" s="2" t="s">
        <v>15591</v>
      </c>
      <c r="F2643" s="2" t="s">
        <v>31</v>
      </c>
      <c r="G2643" s="2" t="s">
        <v>32</v>
      </c>
      <c r="H2643" s="1"/>
      <c r="I2643" s="2" t="s">
        <v>33</v>
      </c>
      <c r="J2643" s="2" t="s">
        <v>34</v>
      </c>
      <c r="K2643" s="2" t="s">
        <v>15801</v>
      </c>
      <c r="L2643" s="2" t="s">
        <v>15802</v>
      </c>
      <c r="M2643" s="2" t="s">
        <v>15681</v>
      </c>
      <c r="N2643" s="2" t="s">
        <v>38</v>
      </c>
      <c r="O2643" s="2" t="s">
        <v>130</v>
      </c>
      <c r="P2643" s="2" t="s">
        <v>15722</v>
      </c>
      <c r="Q2643" s="2" t="s">
        <v>15807</v>
      </c>
      <c r="R2643" s="2" t="s">
        <v>40</v>
      </c>
      <c r="S2643" s="2" t="s">
        <v>15808</v>
      </c>
      <c r="T2643" s="2" t="s">
        <v>15725</v>
      </c>
      <c r="U2643" s="2" t="s">
        <v>15809</v>
      </c>
      <c r="V2643" s="2" t="s">
        <v>15810</v>
      </c>
      <c r="W2643" s="1"/>
      <c r="X2643" s="2" t="s">
        <v>4350</v>
      </c>
      <c r="Y2643" s="2" t="s">
        <v>15596</v>
      </c>
      <c r="AA2643" t="str">
        <f t="shared" si="246"/>
        <v>2025-08</v>
      </c>
      <c r="AB2643" t="str">
        <f t="shared" si="247"/>
        <v/>
      </c>
      <c r="AC2643">
        <f t="shared" si="248"/>
        <v>234215.26</v>
      </c>
      <c r="AD2643">
        <f t="shared" si="249"/>
        <v>17</v>
      </c>
      <c r="AE2643">
        <f t="shared" si="250"/>
        <v>54780.26</v>
      </c>
      <c r="AF2643" t="str">
        <f t="shared" si="251"/>
        <v>Paid</v>
      </c>
    </row>
    <row r="2644" spans="1:32" ht="17.25" thickBot="1" x14ac:dyDescent="0.35">
      <c r="A2644" s="2" t="s">
        <v>15811</v>
      </c>
      <c r="B2644" s="2" t="s">
        <v>27</v>
      </c>
      <c r="C2644" s="2" t="s">
        <v>28</v>
      </c>
      <c r="D2644" s="2" t="s">
        <v>97</v>
      </c>
      <c r="E2644" s="2" t="s">
        <v>15591</v>
      </c>
      <c r="F2644" s="2" t="s">
        <v>31</v>
      </c>
      <c r="G2644" s="2" t="s">
        <v>32</v>
      </c>
      <c r="H2644" s="1"/>
      <c r="I2644" s="2" t="s">
        <v>33</v>
      </c>
      <c r="J2644" s="2" t="s">
        <v>34</v>
      </c>
      <c r="K2644" s="2" t="s">
        <v>10927</v>
      </c>
      <c r="L2644" s="2" t="s">
        <v>10928</v>
      </c>
      <c r="M2644" s="2" t="s">
        <v>7387</v>
      </c>
      <c r="N2644" s="2" t="s">
        <v>38</v>
      </c>
      <c r="O2644" s="2" t="s">
        <v>141</v>
      </c>
      <c r="P2644" s="2" t="s">
        <v>104</v>
      </c>
      <c r="Q2644" s="2" t="s">
        <v>142</v>
      </c>
      <c r="R2644" s="2" t="s">
        <v>40</v>
      </c>
      <c r="S2644" s="2" t="s">
        <v>15812</v>
      </c>
      <c r="T2644" s="2" t="s">
        <v>6652</v>
      </c>
      <c r="U2644" s="2" t="s">
        <v>14967</v>
      </c>
      <c r="V2644" s="2" t="s">
        <v>15813</v>
      </c>
      <c r="W2644" s="2" t="s">
        <v>41</v>
      </c>
      <c r="X2644" s="2" t="s">
        <v>15814</v>
      </c>
      <c r="Y2644" s="2" t="s">
        <v>15815</v>
      </c>
      <c r="AA2644" t="str">
        <f t="shared" si="246"/>
        <v>2025-08</v>
      </c>
      <c r="AB2644" t="str">
        <f t="shared" si="247"/>
        <v/>
      </c>
      <c r="AC2644">
        <f t="shared" si="248"/>
        <v>404.73</v>
      </c>
      <c r="AD2644">
        <f t="shared" si="249"/>
        <v>30</v>
      </c>
      <c r="AE2644">
        <f t="shared" si="250"/>
        <v>-194595.27</v>
      </c>
      <c r="AF2644" t="str">
        <f t="shared" si="251"/>
        <v>Sample</v>
      </c>
    </row>
    <row r="2645" spans="1:32" ht="17.25" thickBot="1" x14ac:dyDescent="0.35">
      <c r="A2645" s="2" t="s">
        <v>15816</v>
      </c>
      <c r="B2645" s="2" t="s">
        <v>27</v>
      </c>
      <c r="C2645" s="2" t="s">
        <v>28</v>
      </c>
      <c r="D2645" s="2" t="s">
        <v>97</v>
      </c>
      <c r="E2645" s="2" t="s">
        <v>15591</v>
      </c>
      <c r="F2645" s="2" t="s">
        <v>31</v>
      </c>
      <c r="G2645" s="2" t="s">
        <v>32</v>
      </c>
      <c r="H2645" s="1"/>
      <c r="I2645" s="2" t="s">
        <v>33</v>
      </c>
      <c r="J2645" s="2" t="s">
        <v>34</v>
      </c>
      <c r="K2645" s="2" t="s">
        <v>10934</v>
      </c>
      <c r="L2645" s="2" t="s">
        <v>10935</v>
      </c>
      <c r="M2645" s="2" t="s">
        <v>7387</v>
      </c>
      <c r="N2645" s="2" t="s">
        <v>38</v>
      </c>
      <c r="O2645" s="2" t="s">
        <v>114</v>
      </c>
      <c r="P2645" s="2" t="s">
        <v>15639</v>
      </c>
      <c r="Q2645" s="2" t="s">
        <v>15817</v>
      </c>
      <c r="R2645" s="2" t="s">
        <v>40</v>
      </c>
      <c r="S2645" s="2" t="s">
        <v>15818</v>
      </c>
      <c r="T2645" s="2" t="s">
        <v>864</v>
      </c>
      <c r="U2645" s="2" t="s">
        <v>12165</v>
      </c>
      <c r="V2645" s="2" t="s">
        <v>15819</v>
      </c>
      <c r="W2645" s="1"/>
      <c r="X2645" s="2" t="s">
        <v>1375</v>
      </c>
      <c r="Y2645" s="2" t="s">
        <v>15815</v>
      </c>
      <c r="AA2645" t="str">
        <f t="shared" si="246"/>
        <v>2025-08</v>
      </c>
      <c r="AB2645" t="str">
        <f t="shared" si="247"/>
        <v/>
      </c>
      <c r="AC2645">
        <f t="shared" si="248"/>
        <v>2399239.44</v>
      </c>
      <c r="AD2645">
        <f t="shared" si="249"/>
        <v>240</v>
      </c>
      <c r="AE2645">
        <f t="shared" si="250"/>
        <v>599239.43999999994</v>
      </c>
      <c r="AF2645" t="str">
        <f t="shared" si="251"/>
        <v>Paid</v>
      </c>
    </row>
    <row r="2646" spans="1:32" ht="17.25" thickBot="1" x14ac:dyDescent="0.35">
      <c r="A2646" s="2" t="s">
        <v>15820</v>
      </c>
      <c r="B2646" s="2" t="s">
        <v>27</v>
      </c>
      <c r="C2646" s="2" t="s">
        <v>28</v>
      </c>
      <c r="D2646" s="2" t="s">
        <v>97</v>
      </c>
      <c r="E2646" s="2" t="s">
        <v>15591</v>
      </c>
      <c r="F2646" s="2" t="s">
        <v>31</v>
      </c>
      <c r="G2646" s="2" t="s">
        <v>32</v>
      </c>
      <c r="H2646" s="1"/>
      <c r="I2646" s="2" t="s">
        <v>33</v>
      </c>
      <c r="J2646" s="2" t="s">
        <v>34</v>
      </c>
      <c r="K2646" s="2" t="s">
        <v>10941</v>
      </c>
      <c r="L2646" s="2" t="s">
        <v>10942</v>
      </c>
      <c r="M2646" s="2" t="s">
        <v>7387</v>
      </c>
      <c r="N2646" s="2" t="s">
        <v>38</v>
      </c>
      <c r="O2646" s="2" t="s">
        <v>156</v>
      </c>
      <c r="P2646" s="2" t="s">
        <v>104</v>
      </c>
      <c r="Q2646" s="2" t="s">
        <v>12620</v>
      </c>
      <c r="R2646" s="2" t="s">
        <v>40</v>
      </c>
      <c r="S2646" s="2" t="s">
        <v>15821</v>
      </c>
      <c r="T2646" s="2" t="s">
        <v>864</v>
      </c>
      <c r="U2646" s="2" t="s">
        <v>7129</v>
      </c>
      <c r="V2646" s="2" t="s">
        <v>15822</v>
      </c>
      <c r="W2646" s="2" t="s">
        <v>41</v>
      </c>
      <c r="X2646" s="2" t="s">
        <v>15823</v>
      </c>
      <c r="Y2646" s="2" t="s">
        <v>15815</v>
      </c>
      <c r="AA2646" t="str">
        <f t="shared" si="246"/>
        <v>2025-08</v>
      </c>
      <c r="AB2646" t="str">
        <f t="shared" si="247"/>
        <v/>
      </c>
      <c r="AC2646">
        <f t="shared" si="248"/>
        <v>269.82</v>
      </c>
      <c r="AD2646">
        <f t="shared" si="249"/>
        <v>20</v>
      </c>
      <c r="AE2646">
        <f t="shared" si="250"/>
        <v>-149730.18</v>
      </c>
      <c r="AF2646" t="str">
        <f t="shared" si="251"/>
        <v>Sample</v>
      </c>
    </row>
    <row r="2647" spans="1:32" ht="17.25" thickBot="1" x14ac:dyDescent="0.35">
      <c r="A2647" s="2" t="s">
        <v>15824</v>
      </c>
      <c r="B2647" s="2" t="s">
        <v>27</v>
      </c>
      <c r="C2647" s="2" t="s">
        <v>28</v>
      </c>
      <c r="D2647" s="2" t="s">
        <v>97</v>
      </c>
      <c r="E2647" s="2" t="s">
        <v>15591</v>
      </c>
      <c r="F2647" s="2" t="s">
        <v>31</v>
      </c>
      <c r="G2647" s="2" t="s">
        <v>32</v>
      </c>
      <c r="H2647" s="1"/>
      <c r="I2647" s="2" t="s">
        <v>33</v>
      </c>
      <c r="J2647" s="2" t="s">
        <v>34</v>
      </c>
      <c r="K2647" s="2" t="s">
        <v>10960</v>
      </c>
      <c r="L2647" s="2" t="s">
        <v>10961</v>
      </c>
      <c r="M2647" s="2" t="s">
        <v>7387</v>
      </c>
      <c r="N2647" s="2" t="s">
        <v>38</v>
      </c>
      <c r="O2647" s="2" t="s">
        <v>156</v>
      </c>
      <c r="P2647" s="2" t="s">
        <v>104</v>
      </c>
      <c r="Q2647" s="2" t="s">
        <v>12620</v>
      </c>
      <c r="R2647" s="2" t="s">
        <v>40</v>
      </c>
      <c r="S2647" s="2" t="s">
        <v>15821</v>
      </c>
      <c r="T2647" s="2" t="s">
        <v>10964</v>
      </c>
      <c r="U2647" s="2" t="s">
        <v>8045</v>
      </c>
      <c r="V2647" s="2" t="s">
        <v>15825</v>
      </c>
      <c r="W2647" s="2" t="s">
        <v>41</v>
      </c>
      <c r="X2647" s="2" t="s">
        <v>15826</v>
      </c>
      <c r="Y2647" s="2" t="s">
        <v>15815</v>
      </c>
      <c r="AA2647" t="str">
        <f t="shared" si="246"/>
        <v>2025-08</v>
      </c>
      <c r="AB2647" t="str">
        <f t="shared" si="247"/>
        <v/>
      </c>
      <c r="AC2647">
        <f t="shared" si="248"/>
        <v>269.82</v>
      </c>
      <c r="AD2647">
        <f t="shared" si="249"/>
        <v>20</v>
      </c>
      <c r="AE2647">
        <f t="shared" si="250"/>
        <v>-107730.18</v>
      </c>
      <c r="AF2647" t="str">
        <f t="shared" si="251"/>
        <v>Sample</v>
      </c>
    </row>
    <row r="2648" spans="1:32" ht="17.25" thickBot="1" x14ac:dyDescent="0.35">
      <c r="A2648" s="2" t="s">
        <v>15827</v>
      </c>
      <c r="B2648" s="2" t="s">
        <v>27</v>
      </c>
      <c r="C2648" s="2" t="s">
        <v>28</v>
      </c>
      <c r="D2648" s="2" t="s">
        <v>97</v>
      </c>
      <c r="E2648" s="2" t="s">
        <v>15591</v>
      </c>
      <c r="F2648" s="2" t="s">
        <v>31</v>
      </c>
      <c r="G2648" s="2" t="s">
        <v>32</v>
      </c>
      <c r="H2648" s="1"/>
      <c r="I2648" s="2" t="s">
        <v>33</v>
      </c>
      <c r="J2648" s="2" t="s">
        <v>34</v>
      </c>
      <c r="K2648" s="2" t="s">
        <v>10967</v>
      </c>
      <c r="L2648" s="2" t="s">
        <v>10968</v>
      </c>
      <c r="M2648" s="2" t="s">
        <v>7387</v>
      </c>
      <c r="N2648" s="2" t="s">
        <v>38</v>
      </c>
      <c r="O2648" s="2" t="s">
        <v>1644</v>
      </c>
      <c r="P2648" s="2" t="s">
        <v>15828</v>
      </c>
      <c r="Q2648" s="2" t="s">
        <v>15829</v>
      </c>
      <c r="R2648" s="2" t="s">
        <v>40</v>
      </c>
      <c r="S2648" s="2" t="s">
        <v>15830</v>
      </c>
      <c r="T2648" s="2" t="s">
        <v>7392</v>
      </c>
      <c r="U2648" s="2" t="s">
        <v>15831</v>
      </c>
      <c r="V2648" s="2" t="s">
        <v>15832</v>
      </c>
      <c r="W2648" s="1"/>
      <c r="X2648" s="2" t="s">
        <v>3824</v>
      </c>
      <c r="Y2648" s="2" t="s">
        <v>15815</v>
      </c>
      <c r="AA2648" t="str">
        <f t="shared" si="246"/>
        <v>2025-08</v>
      </c>
      <c r="AB2648" t="str">
        <f t="shared" si="247"/>
        <v/>
      </c>
      <c r="AC2648">
        <f t="shared" si="248"/>
        <v>16011118.800000001</v>
      </c>
      <c r="AD2648">
        <f t="shared" si="249"/>
        <v>1200</v>
      </c>
      <c r="AE2648">
        <f t="shared" si="250"/>
        <v>2439118.7999999998</v>
      </c>
      <c r="AF2648" t="str">
        <f t="shared" si="251"/>
        <v>Paid</v>
      </c>
    </row>
    <row r="2649" spans="1:32" ht="17.25" thickBot="1" x14ac:dyDescent="0.35">
      <c r="A2649" s="2" t="s">
        <v>15833</v>
      </c>
      <c r="B2649" s="2" t="s">
        <v>27</v>
      </c>
      <c r="C2649" s="2" t="s">
        <v>28</v>
      </c>
      <c r="D2649" s="2" t="s">
        <v>97</v>
      </c>
      <c r="E2649" s="2" t="s">
        <v>15591</v>
      </c>
      <c r="F2649" s="2" t="s">
        <v>31</v>
      </c>
      <c r="G2649" s="2" t="s">
        <v>32</v>
      </c>
      <c r="H2649" s="1"/>
      <c r="I2649" s="2" t="s">
        <v>33</v>
      </c>
      <c r="J2649" s="2" t="s">
        <v>34</v>
      </c>
      <c r="K2649" s="2" t="s">
        <v>10975</v>
      </c>
      <c r="L2649" s="2" t="s">
        <v>10976</v>
      </c>
      <c r="M2649" s="2" t="s">
        <v>7387</v>
      </c>
      <c r="N2649" s="2" t="s">
        <v>38</v>
      </c>
      <c r="O2649" s="2" t="s">
        <v>877</v>
      </c>
      <c r="P2649" s="2" t="s">
        <v>8236</v>
      </c>
      <c r="Q2649" s="2" t="s">
        <v>15834</v>
      </c>
      <c r="R2649" s="2" t="s">
        <v>40</v>
      </c>
      <c r="S2649" s="2" t="s">
        <v>15835</v>
      </c>
      <c r="T2649" s="2" t="s">
        <v>2273</v>
      </c>
      <c r="U2649" s="2" t="s">
        <v>15836</v>
      </c>
      <c r="V2649" s="2" t="s">
        <v>15837</v>
      </c>
      <c r="W2649" s="1"/>
      <c r="X2649" s="2" t="s">
        <v>2429</v>
      </c>
      <c r="Y2649" s="2" t="s">
        <v>15815</v>
      </c>
      <c r="AA2649" t="str">
        <f t="shared" si="246"/>
        <v>2025-08</v>
      </c>
      <c r="AB2649" t="str">
        <f t="shared" si="247"/>
        <v/>
      </c>
      <c r="AC2649">
        <f t="shared" si="248"/>
        <v>1598683.5</v>
      </c>
      <c r="AD2649">
        <f t="shared" si="249"/>
        <v>100</v>
      </c>
      <c r="AE2649">
        <f t="shared" si="250"/>
        <v>389683.5</v>
      </c>
      <c r="AF2649" t="str">
        <f t="shared" si="251"/>
        <v>Paid</v>
      </c>
    </row>
    <row r="2650" spans="1:32" ht="17.25" thickBot="1" x14ac:dyDescent="0.35">
      <c r="A2650" s="2" t="s">
        <v>15838</v>
      </c>
      <c r="B2650" s="2" t="s">
        <v>27</v>
      </c>
      <c r="C2650" s="2" t="s">
        <v>28</v>
      </c>
      <c r="D2650" s="2" t="s">
        <v>97</v>
      </c>
      <c r="E2650" s="2" t="s">
        <v>15591</v>
      </c>
      <c r="F2650" s="2" t="s">
        <v>31</v>
      </c>
      <c r="G2650" s="2" t="s">
        <v>32</v>
      </c>
      <c r="H2650" s="1"/>
      <c r="I2650" s="2" t="s">
        <v>33</v>
      </c>
      <c r="J2650" s="2" t="s">
        <v>34</v>
      </c>
      <c r="K2650" s="2" t="s">
        <v>10993</v>
      </c>
      <c r="L2650" s="2" t="s">
        <v>10994</v>
      </c>
      <c r="M2650" s="2" t="s">
        <v>7387</v>
      </c>
      <c r="N2650" s="2" t="s">
        <v>38</v>
      </c>
      <c r="O2650" s="2" t="s">
        <v>156</v>
      </c>
      <c r="P2650" s="2" t="s">
        <v>104</v>
      </c>
      <c r="Q2650" s="2" t="s">
        <v>12620</v>
      </c>
      <c r="R2650" s="2" t="s">
        <v>40</v>
      </c>
      <c r="S2650" s="2" t="s">
        <v>15821</v>
      </c>
      <c r="T2650" s="2" t="s">
        <v>9919</v>
      </c>
      <c r="U2650" s="2" t="s">
        <v>15839</v>
      </c>
      <c r="V2650" s="2" t="s">
        <v>15840</v>
      </c>
      <c r="W2650" s="2" t="s">
        <v>41</v>
      </c>
      <c r="X2650" s="2" t="s">
        <v>15841</v>
      </c>
      <c r="Y2650" s="2" t="s">
        <v>15815</v>
      </c>
      <c r="AA2650" t="str">
        <f t="shared" si="246"/>
        <v>2025-08</v>
      </c>
      <c r="AB2650" t="str">
        <f t="shared" si="247"/>
        <v/>
      </c>
      <c r="AC2650">
        <f t="shared" si="248"/>
        <v>269.82</v>
      </c>
      <c r="AD2650">
        <f t="shared" si="249"/>
        <v>20</v>
      </c>
      <c r="AE2650">
        <f t="shared" si="250"/>
        <v>-162130.18</v>
      </c>
      <c r="AF2650" t="str">
        <f t="shared" si="251"/>
        <v>Sample</v>
      </c>
    </row>
    <row r="2651" spans="1:32" ht="17.25" thickBot="1" x14ac:dyDescent="0.35">
      <c r="A2651" s="2" t="s">
        <v>15842</v>
      </c>
      <c r="B2651" s="2" t="s">
        <v>27</v>
      </c>
      <c r="C2651" s="2" t="s">
        <v>28</v>
      </c>
      <c r="D2651" s="2" t="s">
        <v>97</v>
      </c>
      <c r="E2651" s="2" t="s">
        <v>15591</v>
      </c>
      <c r="F2651" s="2" t="s">
        <v>31</v>
      </c>
      <c r="G2651" s="2" t="s">
        <v>32</v>
      </c>
      <c r="H2651" s="1"/>
      <c r="I2651" s="2" t="s">
        <v>33</v>
      </c>
      <c r="J2651" s="2" t="s">
        <v>34</v>
      </c>
      <c r="K2651" s="2" t="s">
        <v>10273</v>
      </c>
      <c r="L2651" s="2" t="s">
        <v>10274</v>
      </c>
      <c r="M2651" s="2" t="s">
        <v>7387</v>
      </c>
      <c r="N2651" s="2" t="s">
        <v>38</v>
      </c>
      <c r="O2651" s="2" t="s">
        <v>4176</v>
      </c>
      <c r="P2651" s="2" t="s">
        <v>4430</v>
      </c>
      <c r="Q2651" s="2" t="s">
        <v>15843</v>
      </c>
      <c r="R2651" s="2" t="s">
        <v>40</v>
      </c>
      <c r="S2651" s="2" t="s">
        <v>15844</v>
      </c>
      <c r="T2651" s="2" t="s">
        <v>9919</v>
      </c>
      <c r="U2651" s="2" t="s">
        <v>15845</v>
      </c>
      <c r="V2651" s="2" t="s">
        <v>15846</v>
      </c>
      <c r="W2651" s="1"/>
      <c r="X2651" s="2" t="s">
        <v>444</v>
      </c>
      <c r="Y2651" s="2" t="s">
        <v>15815</v>
      </c>
      <c r="AA2651" t="str">
        <f t="shared" si="246"/>
        <v>2025-08</v>
      </c>
      <c r="AB2651" t="str">
        <f t="shared" si="247"/>
        <v/>
      </c>
      <c r="AC2651">
        <f t="shared" si="248"/>
        <v>5104994.4000000004</v>
      </c>
      <c r="AD2651">
        <f t="shared" si="249"/>
        <v>550</v>
      </c>
      <c r="AE2651">
        <f t="shared" si="250"/>
        <v>638994.4</v>
      </c>
      <c r="AF2651" t="str">
        <f t="shared" si="251"/>
        <v>Paid</v>
      </c>
    </row>
    <row r="2652" spans="1:32" ht="17.25" thickBot="1" x14ac:dyDescent="0.35">
      <c r="A2652" s="2" t="s">
        <v>15847</v>
      </c>
      <c r="B2652" s="2" t="s">
        <v>27</v>
      </c>
      <c r="C2652" s="2" t="s">
        <v>28</v>
      </c>
      <c r="D2652" s="2" t="s">
        <v>97</v>
      </c>
      <c r="E2652" s="2" t="s">
        <v>15591</v>
      </c>
      <c r="F2652" s="2" t="s">
        <v>31</v>
      </c>
      <c r="G2652" s="2" t="s">
        <v>32</v>
      </c>
      <c r="H2652" s="1"/>
      <c r="I2652" s="2" t="s">
        <v>33</v>
      </c>
      <c r="J2652" s="2" t="s">
        <v>34</v>
      </c>
      <c r="K2652" s="2" t="s">
        <v>15848</v>
      </c>
      <c r="L2652" s="2" t="s">
        <v>15849</v>
      </c>
      <c r="M2652" s="2" t="s">
        <v>7387</v>
      </c>
      <c r="N2652" s="2" t="s">
        <v>38</v>
      </c>
      <c r="O2652" s="2" t="s">
        <v>156</v>
      </c>
      <c r="P2652" s="2" t="s">
        <v>104</v>
      </c>
      <c r="Q2652" s="2" t="s">
        <v>12620</v>
      </c>
      <c r="R2652" s="2" t="s">
        <v>40</v>
      </c>
      <c r="S2652" s="2" t="s">
        <v>15821</v>
      </c>
      <c r="T2652" s="2" t="s">
        <v>15850</v>
      </c>
      <c r="U2652" s="2" t="s">
        <v>15851</v>
      </c>
      <c r="V2652" s="2" t="s">
        <v>15852</v>
      </c>
      <c r="W2652" s="2" t="s">
        <v>41</v>
      </c>
      <c r="X2652" s="2" t="s">
        <v>15853</v>
      </c>
      <c r="Y2652" s="2" t="s">
        <v>15815</v>
      </c>
      <c r="AA2652" t="str">
        <f t="shared" si="246"/>
        <v>2025-08</v>
      </c>
      <c r="AB2652" t="str">
        <f t="shared" si="247"/>
        <v/>
      </c>
      <c r="AC2652">
        <f t="shared" si="248"/>
        <v>269.82</v>
      </c>
      <c r="AD2652">
        <f t="shared" si="249"/>
        <v>20</v>
      </c>
      <c r="AE2652">
        <f t="shared" si="250"/>
        <v>-154730.18</v>
      </c>
      <c r="AF2652" t="str">
        <f t="shared" si="251"/>
        <v>Sample</v>
      </c>
    </row>
    <row r="2653" spans="1:32" ht="17.25" thickBot="1" x14ac:dyDescent="0.35">
      <c r="A2653" s="2" t="s">
        <v>15854</v>
      </c>
      <c r="B2653" s="2" t="s">
        <v>27</v>
      </c>
      <c r="C2653" s="2" t="s">
        <v>28</v>
      </c>
      <c r="D2653" s="2" t="s">
        <v>97</v>
      </c>
      <c r="E2653" s="2" t="s">
        <v>15591</v>
      </c>
      <c r="F2653" s="2" t="s">
        <v>31</v>
      </c>
      <c r="G2653" s="2" t="s">
        <v>32</v>
      </c>
      <c r="H2653" s="1"/>
      <c r="I2653" s="2" t="s">
        <v>33</v>
      </c>
      <c r="J2653" s="2" t="s">
        <v>34</v>
      </c>
      <c r="K2653" s="2" t="s">
        <v>15855</v>
      </c>
      <c r="L2653" s="2" t="s">
        <v>15856</v>
      </c>
      <c r="M2653" s="2" t="s">
        <v>7387</v>
      </c>
      <c r="N2653" s="2" t="s">
        <v>38</v>
      </c>
      <c r="O2653" s="2" t="s">
        <v>156</v>
      </c>
      <c r="P2653" s="2" t="s">
        <v>104</v>
      </c>
      <c r="Q2653" s="2" t="s">
        <v>12620</v>
      </c>
      <c r="R2653" s="2" t="s">
        <v>40</v>
      </c>
      <c r="S2653" s="2" t="s">
        <v>15821</v>
      </c>
      <c r="T2653" s="2" t="s">
        <v>15850</v>
      </c>
      <c r="U2653" s="2" t="s">
        <v>15851</v>
      </c>
      <c r="V2653" s="2" t="s">
        <v>15852</v>
      </c>
      <c r="W2653" s="2" t="s">
        <v>41</v>
      </c>
      <c r="X2653" s="2" t="s">
        <v>15853</v>
      </c>
      <c r="Y2653" s="2" t="s">
        <v>15815</v>
      </c>
      <c r="AA2653" t="str">
        <f t="shared" si="246"/>
        <v>2025-08</v>
      </c>
      <c r="AB2653" t="str">
        <f t="shared" si="247"/>
        <v/>
      </c>
      <c r="AC2653">
        <f t="shared" si="248"/>
        <v>269.82</v>
      </c>
      <c r="AD2653">
        <f t="shared" si="249"/>
        <v>20</v>
      </c>
      <c r="AE2653">
        <f t="shared" si="250"/>
        <v>-154730.18</v>
      </c>
      <c r="AF2653" t="str">
        <f t="shared" si="251"/>
        <v>Sample</v>
      </c>
    </row>
    <row r="2654" spans="1:32" ht="17.25" thickBot="1" x14ac:dyDescent="0.35">
      <c r="A2654" s="2" t="s">
        <v>15857</v>
      </c>
      <c r="B2654" s="2" t="s">
        <v>27</v>
      </c>
      <c r="C2654" s="2" t="s">
        <v>28</v>
      </c>
      <c r="D2654" s="2" t="s">
        <v>97</v>
      </c>
      <c r="E2654" s="2" t="s">
        <v>15591</v>
      </c>
      <c r="F2654" s="2" t="s">
        <v>31</v>
      </c>
      <c r="G2654" s="2" t="s">
        <v>32</v>
      </c>
      <c r="H2654" s="1"/>
      <c r="I2654" s="2" t="s">
        <v>33</v>
      </c>
      <c r="J2654" s="2" t="s">
        <v>34</v>
      </c>
      <c r="K2654" s="2" t="s">
        <v>2789</v>
      </c>
      <c r="L2654" s="2" t="s">
        <v>2790</v>
      </c>
      <c r="M2654" s="2" t="s">
        <v>70</v>
      </c>
      <c r="N2654" s="2" t="s">
        <v>38</v>
      </c>
      <c r="O2654" s="2" t="s">
        <v>2108</v>
      </c>
      <c r="P2654" s="2" t="s">
        <v>4560</v>
      </c>
      <c r="Q2654" s="2" t="s">
        <v>15858</v>
      </c>
      <c r="R2654" s="2" t="s">
        <v>40</v>
      </c>
      <c r="S2654" s="2" t="s">
        <v>15859</v>
      </c>
      <c r="T2654" s="2" t="s">
        <v>4850</v>
      </c>
      <c r="U2654" s="2" t="s">
        <v>15860</v>
      </c>
      <c r="V2654" s="2" t="s">
        <v>15861</v>
      </c>
      <c r="W2654" s="1"/>
      <c r="X2654" s="2" t="s">
        <v>3589</v>
      </c>
      <c r="Y2654" s="2" t="s">
        <v>15815</v>
      </c>
      <c r="AA2654" t="str">
        <f t="shared" si="246"/>
        <v>2025-08</v>
      </c>
      <c r="AB2654" t="str">
        <f t="shared" si="247"/>
        <v/>
      </c>
      <c r="AC2654">
        <f t="shared" si="248"/>
        <v>8979609.5999999996</v>
      </c>
      <c r="AD2654">
        <f t="shared" si="249"/>
        <v>1040</v>
      </c>
      <c r="AE2654">
        <f t="shared" si="250"/>
        <v>1831689.6</v>
      </c>
      <c r="AF2654" t="str">
        <f t="shared" si="251"/>
        <v>Paid</v>
      </c>
    </row>
    <row r="2655" spans="1:32" ht="17.25" thickBot="1" x14ac:dyDescent="0.35">
      <c r="A2655" s="2" t="s">
        <v>15862</v>
      </c>
      <c r="B2655" s="2" t="s">
        <v>27</v>
      </c>
      <c r="C2655" s="2" t="s">
        <v>28</v>
      </c>
      <c r="D2655" s="2" t="s">
        <v>97</v>
      </c>
      <c r="E2655" s="2" t="s">
        <v>15863</v>
      </c>
      <c r="F2655" s="2" t="s">
        <v>31</v>
      </c>
      <c r="G2655" s="2" t="s">
        <v>32</v>
      </c>
      <c r="H2655" s="1"/>
      <c r="I2655" s="2" t="s">
        <v>33</v>
      </c>
      <c r="J2655" s="2" t="s">
        <v>34</v>
      </c>
      <c r="K2655" s="2" t="s">
        <v>2931</v>
      </c>
      <c r="L2655" s="2" t="s">
        <v>2932</v>
      </c>
      <c r="M2655" s="2" t="s">
        <v>2933</v>
      </c>
      <c r="N2655" s="2" t="s">
        <v>38</v>
      </c>
      <c r="O2655" s="2" t="s">
        <v>141</v>
      </c>
      <c r="P2655" s="2" t="s">
        <v>6369</v>
      </c>
      <c r="Q2655" s="2" t="s">
        <v>15864</v>
      </c>
      <c r="R2655" s="2" t="s">
        <v>40</v>
      </c>
      <c r="S2655" s="2" t="s">
        <v>15865</v>
      </c>
      <c r="T2655" s="2" t="s">
        <v>15866</v>
      </c>
      <c r="U2655" s="2" t="s">
        <v>15867</v>
      </c>
      <c r="V2655" s="2" t="s">
        <v>15868</v>
      </c>
      <c r="W2655" s="1"/>
      <c r="X2655" s="2" t="s">
        <v>120</v>
      </c>
      <c r="Y2655" s="2" t="s">
        <v>15869</v>
      </c>
      <c r="AA2655" t="str">
        <f t="shared" si="246"/>
        <v>2025-07</v>
      </c>
      <c r="AB2655" t="str">
        <f t="shared" si="247"/>
        <v/>
      </c>
      <c r="AC2655">
        <f t="shared" si="248"/>
        <v>343154.28</v>
      </c>
      <c r="AD2655">
        <f t="shared" si="249"/>
        <v>30</v>
      </c>
      <c r="AE2655">
        <f t="shared" si="250"/>
        <v>120854.28</v>
      </c>
      <c r="AF2655" t="str">
        <f t="shared" si="251"/>
        <v>Paid</v>
      </c>
    </row>
    <row r="2656" spans="1:32" ht="17.25" thickBot="1" x14ac:dyDescent="0.35">
      <c r="A2656" s="2" t="s">
        <v>15870</v>
      </c>
      <c r="B2656" s="2" t="s">
        <v>27</v>
      </c>
      <c r="C2656" s="2" t="s">
        <v>28</v>
      </c>
      <c r="D2656" s="2" t="s">
        <v>97</v>
      </c>
      <c r="E2656" s="2" t="s">
        <v>15863</v>
      </c>
      <c r="F2656" s="2" t="s">
        <v>31</v>
      </c>
      <c r="G2656" s="2" t="s">
        <v>32</v>
      </c>
      <c r="H2656" s="1"/>
      <c r="I2656" s="2" t="s">
        <v>33</v>
      </c>
      <c r="J2656" s="2" t="s">
        <v>34</v>
      </c>
      <c r="K2656" s="2" t="s">
        <v>2950</v>
      </c>
      <c r="L2656" s="2" t="s">
        <v>2951</v>
      </c>
      <c r="M2656" s="2" t="s">
        <v>2933</v>
      </c>
      <c r="N2656" s="2" t="s">
        <v>38</v>
      </c>
      <c r="O2656" s="2" t="s">
        <v>57</v>
      </c>
      <c r="P2656" s="2" t="s">
        <v>15871</v>
      </c>
      <c r="Q2656" s="2" t="s">
        <v>15872</v>
      </c>
      <c r="R2656" s="2" t="s">
        <v>40</v>
      </c>
      <c r="S2656" s="2" t="s">
        <v>15873</v>
      </c>
      <c r="T2656" s="2" t="s">
        <v>2955</v>
      </c>
      <c r="U2656" s="2" t="s">
        <v>15874</v>
      </c>
      <c r="V2656" s="2" t="s">
        <v>15875</v>
      </c>
      <c r="W2656" s="1"/>
      <c r="X2656" s="2" t="s">
        <v>120</v>
      </c>
      <c r="Y2656" s="2" t="s">
        <v>15869</v>
      </c>
      <c r="AA2656" t="str">
        <f t="shared" si="246"/>
        <v>2025-07</v>
      </c>
      <c r="AB2656" t="str">
        <f t="shared" si="247"/>
        <v/>
      </c>
      <c r="AC2656">
        <f t="shared" si="248"/>
        <v>74805.490000000005</v>
      </c>
      <c r="AD2656">
        <f t="shared" si="249"/>
        <v>5</v>
      </c>
      <c r="AE2656">
        <f t="shared" si="250"/>
        <v>26355.49</v>
      </c>
      <c r="AF2656" t="str">
        <f t="shared" si="251"/>
        <v>Paid</v>
      </c>
    </row>
    <row r="2657" spans="1:32" ht="17.25" thickBot="1" x14ac:dyDescent="0.35">
      <c r="A2657" s="2" t="s">
        <v>15876</v>
      </c>
      <c r="B2657" s="2" t="s">
        <v>27</v>
      </c>
      <c r="C2657" s="2" t="s">
        <v>28</v>
      </c>
      <c r="D2657" s="2" t="s">
        <v>97</v>
      </c>
      <c r="E2657" s="2" t="s">
        <v>15863</v>
      </c>
      <c r="F2657" s="2" t="s">
        <v>31</v>
      </c>
      <c r="G2657" s="2" t="s">
        <v>32</v>
      </c>
      <c r="H2657" s="1"/>
      <c r="I2657" s="2" t="s">
        <v>33</v>
      </c>
      <c r="J2657" s="2" t="s">
        <v>34</v>
      </c>
      <c r="K2657" s="2" t="s">
        <v>2987</v>
      </c>
      <c r="L2657" s="2" t="s">
        <v>2988</v>
      </c>
      <c r="M2657" s="2" t="s">
        <v>2933</v>
      </c>
      <c r="N2657" s="2" t="s">
        <v>38</v>
      </c>
      <c r="O2657" s="2" t="s">
        <v>141</v>
      </c>
      <c r="P2657" s="2" t="s">
        <v>4378</v>
      </c>
      <c r="Q2657" s="2" t="s">
        <v>15877</v>
      </c>
      <c r="R2657" s="2" t="s">
        <v>40</v>
      </c>
      <c r="S2657" s="2" t="s">
        <v>15878</v>
      </c>
      <c r="T2657" s="2" t="s">
        <v>2992</v>
      </c>
      <c r="U2657" s="2" t="s">
        <v>15879</v>
      </c>
      <c r="V2657" s="2" t="s">
        <v>15880</v>
      </c>
      <c r="W2657" s="1"/>
      <c r="X2657" s="2" t="s">
        <v>120</v>
      </c>
      <c r="Y2657" s="2" t="s">
        <v>15869</v>
      </c>
      <c r="AA2657" t="str">
        <f t="shared" si="246"/>
        <v>2025-07</v>
      </c>
      <c r="AB2657" t="str">
        <f t="shared" si="247"/>
        <v/>
      </c>
      <c r="AC2657">
        <f t="shared" si="248"/>
        <v>422312.82</v>
      </c>
      <c r="AD2657">
        <f t="shared" si="249"/>
        <v>30</v>
      </c>
      <c r="AE2657">
        <f t="shared" si="250"/>
        <v>148712.82</v>
      </c>
      <c r="AF2657" t="str">
        <f t="shared" si="251"/>
        <v>Paid</v>
      </c>
    </row>
    <row r="2658" spans="1:32" ht="17.25" thickBot="1" x14ac:dyDescent="0.35">
      <c r="A2658" s="2" t="s">
        <v>15881</v>
      </c>
      <c r="B2658" s="2" t="s">
        <v>27</v>
      </c>
      <c r="C2658" s="2" t="s">
        <v>28</v>
      </c>
      <c r="D2658" s="2" t="s">
        <v>97</v>
      </c>
      <c r="E2658" s="2" t="s">
        <v>15863</v>
      </c>
      <c r="F2658" s="2" t="s">
        <v>31</v>
      </c>
      <c r="G2658" s="2" t="s">
        <v>32</v>
      </c>
      <c r="H2658" s="1"/>
      <c r="I2658" s="2" t="s">
        <v>33</v>
      </c>
      <c r="J2658" s="2" t="s">
        <v>34</v>
      </c>
      <c r="K2658" s="2" t="s">
        <v>2995</v>
      </c>
      <c r="L2658" s="2" t="s">
        <v>2996</v>
      </c>
      <c r="M2658" s="2" t="s">
        <v>2933</v>
      </c>
      <c r="N2658" s="2" t="s">
        <v>38</v>
      </c>
      <c r="O2658" s="2" t="s">
        <v>113</v>
      </c>
      <c r="P2658" s="2" t="s">
        <v>15882</v>
      </c>
      <c r="Q2658" s="2" t="s">
        <v>15883</v>
      </c>
      <c r="R2658" s="2" t="s">
        <v>40</v>
      </c>
      <c r="S2658" s="2" t="s">
        <v>15884</v>
      </c>
      <c r="T2658" s="2" t="s">
        <v>814</v>
      </c>
      <c r="U2658" s="2" t="s">
        <v>15885</v>
      </c>
      <c r="V2658" s="2" t="s">
        <v>15886</v>
      </c>
      <c r="W2658" s="1"/>
      <c r="X2658" s="2" t="s">
        <v>120</v>
      </c>
      <c r="Y2658" s="2" t="s">
        <v>15869</v>
      </c>
      <c r="AA2658" t="str">
        <f t="shared" si="246"/>
        <v>2025-07</v>
      </c>
      <c r="AB2658" t="str">
        <f t="shared" si="247"/>
        <v/>
      </c>
      <c r="AC2658">
        <f t="shared" si="248"/>
        <v>237676.53</v>
      </c>
      <c r="AD2658">
        <f t="shared" si="249"/>
        <v>15</v>
      </c>
      <c r="AE2658">
        <f t="shared" si="250"/>
        <v>83776.53</v>
      </c>
      <c r="AF2658" t="str">
        <f t="shared" si="251"/>
        <v>Paid</v>
      </c>
    </row>
    <row r="2659" spans="1:32" ht="17.25" thickBot="1" x14ac:dyDescent="0.35">
      <c r="A2659" s="2" t="s">
        <v>15887</v>
      </c>
      <c r="B2659" s="2" t="s">
        <v>27</v>
      </c>
      <c r="C2659" s="2" t="s">
        <v>28</v>
      </c>
      <c r="D2659" s="2" t="s">
        <v>97</v>
      </c>
      <c r="E2659" s="2" t="s">
        <v>15863</v>
      </c>
      <c r="F2659" s="2" t="s">
        <v>31</v>
      </c>
      <c r="G2659" s="2" t="s">
        <v>32</v>
      </c>
      <c r="H2659" s="1"/>
      <c r="I2659" s="2" t="s">
        <v>33</v>
      </c>
      <c r="J2659" s="2" t="s">
        <v>34</v>
      </c>
      <c r="K2659" s="2" t="s">
        <v>3010</v>
      </c>
      <c r="L2659" s="2" t="s">
        <v>3011</v>
      </c>
      <c r="M2659" s="2" t="s">
        <v>2933</v>
      </c>
      <c r="N2659" s="2" t="s">
        <v>38</v>
      </c>
      <c r="O2659" s="2" t="s">
        <v>141</v>
      </c>
      <c r="P2659" s="2" t="s">
        <v>6957</v>
      </c>
      <c r="Q2659" s="2" t="s">
        <v>2263</v>
      </c>
      <c r="R2659" s="2" t="s">
        <v>40</v>
      </c>
      <c r="S2659" s="2" t="s">
        <v>15888</v>
      </c>
      <c r="T2659" s="2" t="s">
        <v>3015</v>
      </c>
      <c r="U2659" s="2" t="s">
        <v>15889</v>
      </c>
      <c r="V2659" s="2" t="s">
        <v>15890</v>
      </c>
      <c r="W2659" s="1"/>
      <c r="X2659" s="2" t="s">
        <v>120</v>
      </c>
      <c r="Y2659" s="2" t="s">
        <v>15869</v>
      </c>
      <c r="AA2659" t="str">
        <f t="shared" si="246"/>
        <v>2025-07</v>
      </c>
      <c r="AB2659" t="str">
        <f t="shared" si="247"/>
        <v/>
      </c>
      <c r="AC2659">
        <f t="shared" si="248"/>
        <v>369674.4</v>
      </c>
      <c r="AD2659">
        <f t="shared" si="249"/>
        <v>30</v>
      </c>
      <c r="AE2659">
        <f t="shared" si="250"/>
        <v>130274.4</v>
      </c>
      <c r="AF2659" t="str">
        <f t="shared" si="251"/>
        <v>Paid</v>
      </c>
    </row>
    <row r="2660" spans="1:32" ht="17.25" thickBot="1" x14ac:dyDescent="0.35">
      <c r="A2660" s="2" t="s">
        <v>15891</v>
      </c>
      <c r="B2660" s="2" t="s">
        <v>27</v>
      </c>
      <c r="C2660" s="2" t="s">
        <v>28</v>
      </c>
      <c r="D2660" s="2" t="s">
        <v>97</v>
      </c>
      <c r="E2660" s="2" t="s">
        <v>15863</v>
      </c>
      <c r="F2660" s="2" t="s">
        <v>31</v>
      </c>
      <c r="G2660" s="2" t="s">
        <v>32</v>
      </c>
      <c r="H2660" s="1"/>
      <c r="I2660" s="2" t="s">
        <v>33</v>
      </c>
      <c r="J2660" s="2" t="s">
        <v>34</v>
      </c>
      <c r="K2660" s="2" t="s">
        <v>8088</v>
      </c>
      <c r="L2660" s="2" t="s">
        <v>8089</v>
      </c>
      <c r="M2660" s="2" t="s">
        <v>1686</v>
      </c>
      <c r="N2660" s="2" t="s">
        <v>38</v>
      </c>
      <c r="O2660" s="2" t="s">
        <v>26</v>
      </c>
      <c r="P2660" s="2" t="s">
        <v>1361</v>
      </c>
      <c r="Q2660" s="2" t="s">
        <v>1361</v>
      </c>
      <c r="R2660" s="2" t="s">
        <v>40</v>
      </c>
      <c r="S2660" s="2" t="s">
        <v>15892</v>
      </c>
      <c r="T2660" s="2" t="s">
        <v>3163</v>
      </c>
      <c r="U2660" s="2" t="s">
        <v>3163</v>
      </c>
      <c r="V2660" s="2" t="s">
        <v>15893</v>
      </c>
      <c r="W2660" s="1"/>
      <c r="X2660" s="2" t="s">
        <v>4550</v>
      </c>
      <c r="Y2660" s="2" t="s">
        <v>15869</v>
      </c>
      <c r="AA2660" t="str">
        <f t="shared" si="246"/>
        <v>2025-07</v>
      </c>
      <c r="AB2660" t="str">
        <f t="shared" si="247"/>
        <v/>
      </c>
      <c r="AC2660">
        <f t="shared" si="248"/>
        <v>6402.33</v>
      </c>
      <c r="AD2660">
        <f t="shared" si="249"/>
        <v>1</v>
      </c>
      <c r="AE2660">
        <f t="shared" si="250"/>
        <v>1402.33</v>
      </c>
      <c r="AF2660" t="str">
        <f t="shared" si="251"/>
        <v>Paid</v>
      </c>
    </row>
    <row r="2661" spans="1:32" ht="17.25" thickBot="1" x14ac:dyDescent="0.35">
      <c r="A2661" s="2" t="s">
        <v>15894</v>
      </c>
      <c r="B2661" s="2" t="s">
        <v>27</v>
      </c>
      <c r="C2661" s="2" t="s">
        <v>28</v>
      </c>
      <c r="D2661" s="2" t="s">
        <v>97</v>
      </c>
      <c r="E2661" s="2" t="s">
        <v>15863</v>
      </c>
      <c r="F2661" s="2" t="s">
        <v>31</v>
      </c>
      <c r="G2661" s="2" t="s">
        <v>32</v>
      </c>
      <c r="H2661" s="1"/>
      <c r="I2661" s="2" t="s">
        <v>33</v>
      </c>
      <c r="J2661" s="2" t="s">
        <v>34</v>
      </c>
      <c r="K2661" s="2" t="s">
        <v>8088</v>
      </c>
      <c r="L2661" s="2" t="s">
        <v>8089</v>
      </c>
      <c r="M2661" s="2" t="s">
        <v>1686</v>
      </c>
      <c r="N2661" s="2" t="s">
        <v>38</v>
      </c>
      <c r="O2661" s="2" t="s">
        <v>54</v>
      </c>
      <c r="P2661" s="2" t="s">
        <v>1361</v>
      </c>
      <c r="Q2661" s="2" t="s">
        <v>15895</v>
      </c>
      <c r="R2661" s="2" t="s">
        <v>40</v>
      </c>
      <c r="S2661" s="2" t="s">
        <v>15896</v>
      </c>
      <c r="T2661" s="2" t="s">
        <v>3163</v>
      </c>
      <c r="U2661" s="2" t="s">
        <v>1280</v>
      </c>
      <c r="V2661" s="2" t="s">
        <v>15897</v>
      </c>
      <c r="W2661" s="1"/>
      <c r="X2661" s="2" t="s">
        <v>4550</v>
      </c>
      <c r="Y2661" s="2" t="s">
        <v>15869</v>
      </c>
      <c r="AA2661" t="str">
        <f t="shared" si="246"/>
        <v>2025-07</v>
      </c>
      <c r="AB2661" t="str">
        <f t="shared" si="247"/>
        <v/>
      </c>
      <c r="AC2661">
        <f t="shared" si="248"/>
        <v>25609.33</v>
      </c>
      <c r="AD2661">
        <f t="shared" si="249"/>
        <v>4</v>
      </c>
      <c r="AE2661">
        <f t="shared" si="250"/>
        <v>5609.33</v>
      </c>
      <c r="AF2661" t="str">
        <f t="shared" si="251"/>
        <v>Paid</v>
      </c>
    </row>
    <row r="2662" spans="1:32" ht="17.25" thickBot="1" x14ac:dyDescent="0.35">
      <c r="A2662" s="2" t="s">
        <v>15898</v>
      </c>
      <c r="B2662" s="2" t="s">
        <v>27</v>
      </c>
      <c r="C2662" s="2" t="s">
        <v>28</v>
      </c>
      <c r="D2662" s="2" t="s">
        <v>97</v>
      </c>
      <c r="E2662" s="2" t="s">
        <v>15863</v>
      </c>
      <c r="F2662" s="2" t="s">
        <v>31</v>
      </c>
      <c r="G2662" s="2" t="s">
        <v>32</v>
      </c>
      <c r="H2662" s="1"/>
      <c r="I2662" s="2" t="s">
        <v>33</v>
      </c>
      <c r="J2662" s="2" t="s">
        <v>34</v>
      </c>
      <c r="K2662" s="2" t="s">
        <v>2268</v>
      </c>
      <c r="L2662" s="2" t="s">
        <v>2269</v>
      </c>
      <c r="M2662" s="2" t="s">
        <v>2270</v>
      </c>
      <c r="N2662" s="2" t="s">
        <v>38</v>
      </c>
      <c r="O2662" s="2" t="s">
        <v>2543</v>
      </c>
      <c r="P2662" s="2" t="s">
        <v>2744</v>
      </c>
      <c r="Q2662" s="2" t="s">
        <v>15899</v>
      </c>
      <c r="R2662" s="2" t="s">
        <v>40</v>
      </c>
      <c r="S2662" s="2" t="s">
        <v>15900</v>
      </c>
      <c r="T2662" s="2" t="s">
        <v>2275</v>
      </c>
      <c r="U2662" s="2" t="s">
        <v>15901</v>
      </c>
      <c r="V2662" s="2" t="s">
        <v>15902</v>
      </c>
      <c r="W2662" s="1"/>
      <c r="X2662" s="2" t="s">
        <v>5030</v>
      </c>
      <c r="Y2662" s="2" t="s">
        <v>15903</v>
      </c>
      <c r="AA2662" t="str">
        <f t="shared" si="246"/>
        <v>2025-07</v>
      </c>
      <c r="AB2662" t="str">
        <f t="shared" si="247"/>
        <v/>
      </c>
      <c r="AC2662">
        <f t="shared" si="248"/>
        <v>1708786.56</v>
      </c>
      <c r="AD2662">
        <f t="shared" si="249"/>
        <v>307</v>
      </c>
      <c r="AE2662">
        <f t="shared" si="250"/>
        <v>327286.56</v>
      </c>
      <c r="AF2662" t="str">
        <f t="shared" si="251"/>
        <v>Paid</v>
      </c>
    </row>
    <row r="2663" spans="1:32" ht="27.75" thickBot="1" x14ac:dyDescent="0.35">
      <c r="A2663" s="2" t="s">
        <v>15904</v>
      </c>
      <c r="B2663" s="2" t="s">
        <v>27</v>
      </c>
      <c r="C2663" s="2" t="s">
        <v>28</v>
      </c>
      <c r="D2663" s="2" t="s">
        <v>97</v>
      </c>
      <c r="E2663" s="2" t="s">
        <v>15863</v>
      </c>
      <c r="F2663" s="2" t="s">
        <v>31</v>
      </c>
      <c r="G2663" s="2" t="s">
        <v>32</v>
      </c>
      <c r="H2663" s="1"/>
      <c r="I2663" s="2" t="s">
        <v>33</v>
      </c>
      <c r="J2663" s="2" t="s">
        <v>34</v>
      </c>
      <c r="K2663" s="2" t="s">
        <v>2325</v>
      </c>
      <c r="L2663" s="2" t="s">
        <v>2326</v>
      </c>
      <c r="M2663" s="2" t="s">
        <v>2270</v>
      </c>
      <c r="N2663" s="2" t="s">
        <v>38</v>
      </c>
      <c r="O2663" s="2" t="s">
        <v>1583</v>
      </c>
      <c r="P2663" s="2" t="s">
        <v>2744</v>
      </c>
      <c r="Q2663" s="2" t="s">
        <v>15905</v>
      </c>
      <c r="R2663" s="2" t="s">
        <v>40</v>
      </c>
      <c r="S2663" s="2" t="s">
        <v>15906</v>
      </c>
      <c r="T2663" s="2" t="s">
        <v>2275</v>
      </c>
      <c r="U2663" s="2" t="s">
        <v>15907</v>
      </c>
      <c r="V2663" s="2" t="s">
        <v>15908</v>
      </c>
      <c r="W2663" s="1"/>
      <c r="X2663" s="2" t="s">
        <v>5030</v>
      </c>
      <c r="Y2663" s="2" t="s">
        <v>15903</v>
      </c>
      <c r="AA2663" t="str">
        <f t="shared" si="246"/>
        <v>2025-07</v>
      </c>
      <c r="AB2663" t="str">
        <f t="shared" si="247"/>
        <v/>
      </c>
      <c r="AC2663">
        <f t="shared" si="248"/>
        <v>1007460.48</v>
      </c>
      <c r="AD2663">
        <f t="shared" si="249"/>
        <v>181</v>
      </c>
      <c r="AE2663">
        <f t="shared" si="250"/>
        <v>192960.48</v>
      </c>
      <c r="AF2663" t="str">
        <f t="shared" si="251"/>
        <v>Paid</v>
      </c>
    </row>
    <row r="2664" spans="1:32" ht="27.75" thickBot="1" x14ac:dyDescent="0.35">
      <c r="A2664" s="2" t="s">
        <v>15909</v>
      </c>
      <c r="B2664" s="2" t="s">
        <v>27</v>
      </c>
      <c r="C2664" s="2" t="s">
        <v>28</v>
      </c>
      <c r="D2664" s="2" t="s">
        <v>97</v>
      </c>
      <c r="E2664" s="2" t="s">
        <v>15863</v>
      </c>
      <c r="F2664" s="2" t="s">
        <v>31</v>
      </c>
      <c r="G2664" s="2" t="s">
        <v>32</v>
      </c>
      <c r="H2664" s="1"/>
      <c r="I2664" s="2" t="s">
        <v>33</v>
      </c>
      <c r="J2664" s="2" t="s">
        <v>34</v>
      </c>
      <c r="K2664" s="2" t="s">
        <v>2325</v>
      </c>
      <c r="L2664" s="2" t="s">
        <v>2326</v>
      </c>
      <c r="M2664" s="2" t="s">
        <v>2270</v>
      </c>
      <c r="N2664" s="2" t="s">
        <v>38</v>
      </c>
      <c r="O2664" s="2" t="s">
        <v>1641</v>
      </c>
      <c r="P2664" s="2" t="s">
        <v>2744</v>
      </c>
      <c r="Q2664" s="2" t="s">
        <v>15910</v>
      </c>
      <c r="R2664" s="2" t="s">
        <v>40</v>
      </c>
      <c r="S2664" s="2" t="s">
        <v>15911</v>
      </c>
      <c r="T2664" s="2" t="s">
        <v>2275</v>
      </c>
      <c r="U2664" s="2" t="s">
        <v>12911</v>
      </c>
      <c r="V2664" s="2" t="s">
        <v>15912</v>
      </c>
      <c r="W2664" s="1"/>
      <c r="X2664" s="2" t="s">
        <v>5030</v>
      </c>
      <c r="Y2664" s="2" t="s">
        <v>15903</v>
      </c>
      <c r="AA2664" t="str">
        <f t="shared" si="246"/>
        <v>2025-07</v>
      </c>
      <c r="AB2664" t="str">
        <f t="shared" si="247"/>
        <v/>
      </c>
      <c r="AC2664">
        <f t="shared" si="248"/>
        <v>1068687.3600000001</v>
      </c>
      <c r="AD2664">
        <f t="shared" si="249"/>
        <v>192</v>
      </c>
      <c r="AE2664">
        <f t="shared" si="250"/>
        <v>204687.35999999999</v>
      </c>
      <c r="AF2664" t="str">
        <f t="shared" si="251"/>
        <v>Paid</v>
      </c>
    </row>
    <row r="2665" spans="1:32" ht="17.25" thickBot="1" x14ac:dyDescent="0.35">
      <c r="A2665" s="2" t="s">
        <v>15913</v>
      </c>
      <c r="B2665" s="2" t="s">
        <v>27</v>
      </c>
      <c r="C2665" s="2" t="s">
        <v>28</v>
      </c>
      <c r="D2665" s="2" t="s">
        <v>97</v>
      </c>
      <c r="E2665" s="2" t="s">
        <v>15863</v>
      </c>
      <c r="F2665" s="2" t="s">
        <v>31</v>
      </c>
      <c r="G2665" s="2" t="s">
        <v>32</v>
      </c>
      <c r="H2665" s="1"/>
      <c r="I2665" s="2" t="s">
        <v>33</v>
      </c>
      <c r="J2665" s="2" t="s">
        <v>34</v>
      </c>
      <c r="K2665" s="2" t="s">
        <v>2332</v>
      </c>
      <c r="L2665" s="2" t="s">
        <v>2333</v>
      </c>
      <c r="M2665" s="2" t="s">
        <v>2270</v>
      </c>
      <c r="N2665" s="2" t="s">
        <v>38</v>
      </c>
      <c r="O2665" s="2" t="s">
        <v>141</v>
      </c>
      <c r="P2665" s="2" t="s">
        <v>40</v>
      </c>
      <c r="Q2665" s="2" t="s">
        <v>40</v>
      </c>
      <c r="R2665" s="2" t="s">
        <v>40</v>
      </c>
      <c r="S2665" s="2" t="s">
        <v>40</v>
      </c>
      <c r="T2665" s="2" t="s">
        <v>2275</v>
      </c>
      <c r="U2665" s="2" t="s">
        <v>3357</v>
      </c>
      <c r="V2665" s="2" t="s">
        <v>15914</v>
      </c>
      <c r="W2665" s="2" t="s">
        <v>41</v>
      </c>
      <c r="X2665" s="2" t="s">
        <v>42</v>
      </c>
      <c r="Y2665" s="2" t="s">
        <v>15903</v>
      </c>
      <c r="AA2665" t="str">
        <f t="shared" si="246"/>
        <v>2025-07</v>
      </c>
      <c r="AB2665" t="str">
        <f t="shared" si="247"/>
        <v/>
      </c>
      <c r="AC2665">
        <f t="shared" si="248"/>
        <v>0</v>
      </c>
      <c r="AD2665">
        <f t="shared" si="249"/>
        <v>30</v>
      </c>
      <c r="AE2665">
        <f t="shared" si="250"/>
        <v>-135000</v>
      </c>
      <c r="AF2665" t="str">
        <f t="shared" si="251"/>
        <v>Sample</v>
      </c>
    </row>
    <row r="2666" spans="1:32" ht="17.25" thickBot="1" x14ac:dyDescent="0.35">
      <c r="A2666" s="2" t="s">
        <v>15915</v>
      </c>
      <c r="B2666" s="2" t="s">
        <v>27</v>
      </c>
      <c r="C2666" s="2" t="s">
        <v>28</v>
      </c>
      <c r="D2666" s="2" t="s">
        <v>97</v>
      </c>
      <c r="E2666" s="2" t="s">
        <v>15863</v>
      </c>
      <c r="F2666" s="2" t="s">
        <v>31</v>
      </c>
      <c r="G2666" s="2" t="s">
        <v>32</v>
      </c>
      <c r="H2666" s="1"/>
      <c r="I2666" s="2" t="s">
        <v>33</v>
      </c>
      <c r="J2666" s="2" t="s">
        <v>34</v>
      </c>
      <c r="K2666" s="2" t="s">
        <v>2405</v>
      </c>
      <c r="L2666" s="2" t="s">
        <v>2406</v>
      </c>
      <c r="M2666" s="2" t="s">
        <v>2389</v>
      </c>
      <c r="N2666" s="2" t="s">
        <v>38</v>
      </c>
      <c r="O2666" s="2" t="s">
        <v>1333</v>
      </c>
      <c r="P2666" s="2" t="s">
        <v>6987</v>
      </c>
      <c r="Q2666" s="2" t="s">
        <v>3486</v>
      </c>
      <c r="R2666" s="2" t="s">
        <v>40</v>
      </c>
      <c r="S2666" s="2" t="s">
        <v>15916</v>
      </c>
      <c r="T2666" s="2" t="s">
        <v>2411</v>
      </c>
      <c r="U2666" s="2" t="s">
        <v>145</v>
      </c>
      <c r="V2666" s="2" t="s">
        <v>15917</v>
      </c>
      <c r="W2666" s="1"/>
      <c r="X2666" s="2" t="s">
        <v>6790</v>
      </c>
      <c r="Y2666" s="2" t="s">
        <v>15903</v>
      </c>
      <c r="AA2666" t="str">
        <f t="shared" si="246"/>
        <v>2025-07</v>
      </c>
      <c r="AB2666" t="str">
        <f t="shared" si="247"/>
        <v/>
      </c>
      <c r="AC2666">
        <f t="shared" si="248"/>
        <v>574002</v>
      </c>
      <c r="AD2666">
        <f t="shared" si="249"/>
        <v>150</v>
      </c>
      <c r="AE2666">
        <f t="shared" si="250"/>
        <v>124002</v>
      </c>
      <c r="AF2666" t="str">
        <f t="shared" si="251"/>
        <v>Paid</v>
      </c>
    </row>
    <row r="2667" spans="1:32" ht="17.25" thickBot="1" x14ac:dyDescent="0.35">
      <c r="A2667" s="2" t="s">
        <v>15918</v>
      </c>
      <c r="B2667" s="2" t="s">
        <v>27</v>
      </c>
      <c r="C2667" s="2" t="s">
        <v>28</v>
      </c>
      <c r="D2667" s="2" t="s">
        <v>97</v>
      </c>
      <c r="E2667" s="2" t="s">
        <v>15863</v>
      </c>
      <c r="F2667" s="2" t="s">
        <v>31</v>
      </c>
      <c r="G2667" s="2" t="s">
        <v>32</v>
      </c>
      <c r="H2667" s="1"/>
      <c r="I2667" s="2" t="s">
        <v>33</v>
      </c>
      <c r="J2667" s="2" t="s">
        <v>34</v>
      </c>
      <c r="K2667" s="2" t="s">
        <v>15919</v>
      </c>
      <c r="L2667" s="2" t="s">
        <v>15920</v>
      </c>
      <c r="M2667" s="2" t="s">
        <v>2389</v>
      </c>
      <c r="N2667" s="2" t="s">
        <v>38</v>
      </c>
      <c r="O2667" s="2" t="s">
        <v>773</v>
      </c>
      <c r="P2667" s="2" t="s">
        <v>15921</v>
      </c>
      <c r="Q2667" s="2" t="s">
        <v>9313</v>
      </c>
      <c r="R2667" s="2" t="s">
        <v>40</v>
      </c>
      <c r="S2667" s="2" t="s">
        <v>15922</v>
      </c>
      <c r="T2667" s="2" t="s">
        <v>13134</v>
      </c>
      <c r="U2667" s="2" t="s">
        <v>3102</v>
      </c>
      <c r="V2667" s="2" t="s">
        <v>15923</v>
      </c>
      <c r="W2667" s="1"/>
      <c r="X2667" s="2" t="s">
        <v>2797</v>
      </c>
      <c r="Y2667" s="2" t="s">
        <v>15903</v>
      </c>
      <c r="AA2667" t="str">
        <f t="shared" si="246"/>
        <v>2025-07</v>
      </c>
      <c r="AB2667" t="str">
        <f t="shared" si="247"/>
        <v/>
      </c>
      <c r="AC2667">
        <f t="shared" si="248"/>
        <v>206052</v>
      </c>
      <c r="AD2667">
        <f t="shared" si="249"/>
        <v>200</v>
      </c>
      <c r="AE2667">
        <f t="shared" si="250"/>
        <v>42252</v>
      </c>
      <c r="AF2667" t="str">
        <f t="shared" si="251"/>
        <v>Paid</v>
      </c>
    </row>
    <row r="2668" spans="1:32" ht="17.25" thickBot="1" x14ac:dyDescent="0.35">
      <c r="A2668" s="2" t="s">
        <v>15924</v>
      </c>
      <c r="B2668" s="2" t="s">
        <v>27</v>
      </c>
      <c r="C2668" s="2" t="s">
        <v>28</v>
      </c>
      <c r="D2668" s="2" t="s">
        <v>97</v>
      </c>
      <c r="E2668" s="2" t="s">
        <v>15863</v>
      </c>
      <c r="F2668" s="2" t="s">
        <v>31</v>
      </c>
      <c r="G2668" s="2" t="s">
        <v>32</v>
      </c>
      <c r="H2668" s="1"/>
      <c r="I2668" s="2" t="s">
        <v>33</v>
      </c>
      <c r="J2668" s="2" t="s">
        <v>34</v>
      </c>
      <c r="K2668" s="2" t="s">
        <v>15925</v>
      </c>
      <c r="L2668" s="2" t="s">
        <v>15926</v>
      </c>
      <c r="M2668" s="2" t="s">
        <v>2389</v>
      </c>
      <c r="N2668" s="2" t="s">
        <v>38</v>
      </c>
      <c r="O2668" s="2" t="s">
        <v>203</v>
      </c>
      <c r="P2668" s="2" t="s">
        <v>15927</v>
      </c>
      <c r="Q2668" s="2" t="s">
        <v>15928</v>
      </c>
      <c r="R2668" s="2" t="s">
        <v>40</v>
      </c>
      <c r="S2668" s="2" t="s">
        <v>15929</v>
      </c>
      <c r="T2668" s="2" t="s">
        <v>11355</v>
      </c>
      <c r="U2668" s="2" t="s">
        <v>15930</v>
      </c>
      <c r="V2668" s="2" t="s">
        <v>15931</v>
      </c>
      <c r="W2668" s="1"/>
      <c r="X2668" s="2" t="s">
        <v>1357</v>
      </c>
      <c r="Y2668" s="2" t="s">
        <v>15903</v>
      </c>
      <c r="AA2668" t="str">
        <f t="shared" si="246"/>
        <v>2025-07</v>
      </c>
      <c r="AB2668" t="str">
        <f t="shared" si="247"/>
        <v/>
      </c>
      <c r="AC2668">
        <f t="shared" si="248"/>
        <v>275293.5</v>
      </c>
      <c r="AD2668">
        <f t="shared" si="249"/>
        <v>25</v>
      </c>
      <c r="AE2668">
        <f t="shared" si="250"/>
        <v>70743.5</v>
      </c>
      <c r="AF2668" t="str">
        <f t="shared" si="251"/>
        <v>Paid</v>
      </c>
    </row>
    <row r="2669" spans="1:32" ht="17.25" thickBot="1" x14ac:dyDescent="0.35">
      <c r="A2669" s="2" t="s">
        <v>15932</v>
      </c>
      <c r="B2669" s="2" t="s">
        <v>27</v>
      </c>
      <c r="C2669" s="2" t="s">
        <v>28</v>
      </c>
      <c r="D2669" s="2" t="s">
        <v>97</v>
      </c>
      <c r="E2669" s="2" t="s">
        <v>15863</v>
      </c>
      <c r="F2669" s="2" t="s">
        <v>31</v>
      </c>
      <c r="G2669" s="2" t="s">
        <v>32</v>
      </c>
      <c r="H2669" s="1"/>
      <c r="I2669" s="2" t="s">
        <v>33</v>
      </c>
      <c r="J2669" s="2" t="s">
        <v>34</v>
      </c>
      <c r="K2669" s="2" t="s">
        <v>12976</v>
      </c>
      <c r="L2669" s="2" t="s">
        <v>12977</v>
      </c>
      <c r="M2669" s="2" t="s">
        <v>2389</v>
      </c>
      <c r="N2669" s="2" t="s">
        <v>38</v>
      </c>
      <c r="O2669" s="2" t="s">
        <v>428</v>
      </c>
      <c r="P2669" s="2" t="s">
        <v>5472</v>
      </c>
      <c r="Q2669" s="2" t="s">
        <v>15933</v>
      </c>
      <c r="R2669" s="2" t="s">
        <v>40</v>
      </c>
      <c r="S2669" s="2" t="s">
        <v>15934</v>
      </c>
      <c r="T2669" s="2" t="s">
        <v>13982</v>
      </c>
      <c r="U2669" s="2" t="s">
        <v>15935</v>
      </c>
      <c r="V2669" s="2" t="s">
        <v>15936</v>
      </c>
      <c r="W2669" s="1"/>
      <c r="X2669" s="2" t="s">
        <v>4241</v>
      </c>
      <c r="Y2669" s="2" t="s">
        <v>15903</v>
      </c>
      <c r="AA2669" t="str">
        <f t="shared" si="246"/>
        <v>2025-07</v>
      </c>
      <c r="AB2669" t="str">
        <f t="shared" si="247"/>
        <v/>
      </c>
      <c r="AC2669">
        <f t="shared" si="248"/>
        <v>2050485</v>
      </c>
      <c r="AD2669">
        <f t="shared" si="249"/>
        <v>250</v>
      </c>
      <c r="AE2669">
        <f t="shared" si="250"/>
        <v>459485</v>
      </c>
      <c r="AF2669" t="str">
        <f t="shared" si="251"/>
        <v>Paid</v>
      </c>
    </row>
    <row r="2670" spans="1:32" ht="27.75" thickBot="1" x14ac:dyDescent="0.35">
      <c r="A2670" s="2" t="s">
        <v>15937</v>
      </c>
      <c r="B2670" s="2" t="s">
        <v>27</v>
      </c>
      <c r="C2670" s="2" t="s">
        <v>28</v>
      </c>
      <c r="D2670" s="2" t="s">
        <v>97</v>
      </c>
      <c r="E2670" s="2" t="s">
        <v>15863</v>
      </c>
      <c r="F2670" s="2" t="s">
        <v>31</v>
      </c>
      <c r="G2670" s="2" t="s">
        <v>32</v>
      </c>
      <c r="H2670" s="1"/>
      <c r="I2670" s="2" t="s">
        <v>33</v>
      </c>
      <c r="J2670" s="2" t="s">
        <v>34</v>
      </c>
      <c r="K2670" s="2" t="s">
        <v>2620</v>
      </c>
      <c r="L2670" s="2" t="s">
        <v>2621</v>
      </c>
      <c r="M2670" s="2" t="s">
        <v>2389</v>
      </c>
      <c r="N2670" s="2" t="s">
        <v>38</v>
      </c>
      <c r="O2670" s="2" t="s">
        <v>177</v>
      </c>
      <c r="P2670" s="2" t="s">
        <v>15938</v>
      </c>
      <c r="Q2670" s="2" t="s">
        <v>15939</v>
      </c>
      <c r="R2670" s="2" t="s">
        <v>40</v>
      </c>
      <c r="S2670" s="2" t="s">
        <v>15940</v>
      </c>
      <c r="T2670" s="2" t="s">
        <v>15941</v>
      </c>
      <c r="U2670" s="2" t="s">
        <v>13221</v>
      </c>
      <c r="V2670" s="2" t="s">
        <v>15942</v>
      </c>
      <c r="W2670" s="1"/>
      <c r="X2670" s="2" t="s">
        <v>8384</v>
      </c>
      <c r="Y2670" s="2" t="s">
        <v>15903</v>
      </c>
      <c r="AA2670" t="str">
        <f t="shared" si="246"/>
        <v>2025-07</v>
      </c>
      <c r="AB2670" t="str">
        <f t="shared" si="247"/>
        <v/>
      </c>
      <c r="AC2670">
        <f t="shared" si="248"/>
        <v>3500208</v>
      </c>
      <c r="AD2670">
        <f t="shared" si="249"/>
        <v>400</v>
      </c>
      <c r="AE2670">
        <f t="shared" si="250"/>
        <v>1520208</v>
      </c>
      <c r="AF2670" t="str">
        <f t="shared" si="251"/>
        <v>Paid</v>
      </c>
    </row>
    <row r="2671" spans="1:32" ht="17.25" thickBot="1" x14ac:dyDescent="0.35">
      <c r="A2671" s="2" t="s">
        <v>15943</v>
      </c>
      <c r="B2671" s="2" t="s">
        <v>27</v>
      </c>
      <c r="C2671" s="2" t="s">
        <v>28</v>
      </c>
      <c r="D2671" s="2" t="s">
        <v>97</v>
      </c>
      <c r="E2671" s="2" t="s">
        <v>15863</v>
      </c>
      <c r="F2671" s="2" t="s">
        <v>31</v>
      </c>
      <c r="G2671" s="2" t="s">
        <v>32</v>
      </c>
      <c r="H2671" s="1"/>
      <c r="I2671" s="2" t="s">
        <v>33</v>
      </c>
      <c r="J2671" s="2" t="s">
        <v>34</v>
      </c>
      <c r="K2671" s="2" t="s">
        <v>9416</v>
      </c>
      <c r="L2671" s="2" t="s">
        <v>9417</v>
      </c>
      <c r="M2671" s="2" t="s">
        <v>2389</v>
      </c>
      <c r="N2671" s="2" t="s">
        <v>38</v>
      </c>
      <c r="O2671" s="2" t="s">
        <v>877</v>
      </c>
      <c r="P2671" s="2" t="s">
        <v>4430</v>
      </c>
      <c r="Q2671" s="2" t="s">
        <v>15944</v>
      </c>
      <c r="R2671" s="2" t="s">
        <v>40</v>
      </c>
      <c r="S2671" s="2" t="s">
        <v>15945</v>
      </c>
      <c r="T2671" s="2" t="s">
        <v>3079</v>
      </c>
      <c r="U2671" s="2" t="s">
        <v>15946</v>
      </c>
      <c r="V2671" s="2" t="s">
        <v>15947</v>
      </c>
      <c r="W2671" s="1"/>
      <c r="X2671" s="2" t="s">
        <v>15948</v>
      </c>
      <c r="Y2671" s="2" t="s">
        <v>15903</v>
      </c>
      <c r="AA2671" t="str">
        <f t="shared" si="246"/>
        <v>2025-07</v>
      </c>
      <c r="AB2671" t="str">
        <f t="shared" si="247"/>
        <v/>
      </c>
      <c r="AC2671">
        <f t="shared" si="248"/>
        <v>920544</v>
      </c>
      <c r="AD2671">
        <f t="shared" si="249"/>
        <v>100</v>
      </c>
      <c r="AE2671">
        <f t="shared" si="250"/>
        <v>340544</v>
      </c>
      <c r="AF2671" t="str">
        <f t="shared" si="251"/>
        <v>Paid</v>
      </c>
    </row>
    <row r="2672" spans="1:32" ht="17.25" thickBot="1" x14ac:dyDescent="0.35">
      <c r="A2672" s="2" t="s">
        <v>15949</v>
      </c>
      <c r="B2672" s="2" t="s">
        <v>27</v>
      </c>
      <c r="C2672" s="2" t="s">
        <v>28</v>
      </c>
      <c r="D2672" s="2" t="s">
        <v>97</v>
      </c>
      <c r="E2672" s="2" t="s">
        <v>15863</v>
      </c>
      <c r="F2672" s="2" t="s">
        <v>31</v>
      </c>
      <c r="G2672" s="2" t="s">
        <v>32</v>
      </c>
      <c r="H2672" s="1"/>
      <c r="I2672" s="2" t="s">
        <v>33</v>
      </c>
      <c r="J2672" s="2" t="s">
        <v>34</v>
      </c>
      <c r="K2672" s="2" t="s">
        <v>9416</v>
      </c>
      <c r="L2672" s="2" t="s">
        <v>9417</v>
      </c>
      <c r="M2672" s="2" t="s">
        <v>2389</v>
      </c>
      <c r="N2672" s="2" t="s">
        <v>38</v>
      </c>
      <c r="O2672" s="2" t="s">
        <v>877</v>
      </c>
      <c r="P2672" s="2" t="s">
        <v>4430</v>
      </c>
      <c r="Q2672" s="2" t="s">
        <v>15944</v>
      </c>
      <c r="R2672" s="2" t="s">
        <v>40</v>
      </c>
      <c r="S2672" s="2" t="s">
        <v>15945</v>
      </c>
      <c r="T2672" s="2" t="s">
        <v>3079</v>
      </c>
      <c r="U2672" s="2" t="s">
        <v>15946</v>
      </c>
      <c r="V2672" s="2" t="s">
        <v>15947</v>
      </c>
      <c r="W2672" s="1"/>
      <c r="X2672" s="2" t="s">
        <v>15948</v>
      </c>
      <c r="Y2672" s="2" t="s">
        <v>15903</v>
      </c>
      <c r="AA2672" t="str">
        <f t="shared" si="246"/>
        <v>2025-07</v>
      </c>
      <c r="AB2672" t="str">
        <f t="shared" si="247"/>
        <v/>
      </c>
      <c r="AC2672">
        <f t="shared" si="248"/>
        <v>920544</v>
      </c>
      <c r="AD2672">
        <f t="shared" si="249"/>
        <v>100</v>
      </c>
      <c r="AE2672">
        <f t="shared" si="250"/>
        <v>340544</v>
      </c>
      <c r="AF2672" t="str">
        <f t="shared" si="251"/>
        <v>Paid</v>
      </c>
    </row>
    <row r="2673" spans="1:32" ht="27.75" thickBot="1" x14ac:dyDescent="0.35">
      <c r="A2673" s="2" t="s">
        <v>15950</v>
      </c>
      <c r="B2673" s="2" t="s">
        <v>27</v>
      </c>
      <c r="C2673" s="2" t="s">
        <v>28</v>
      </c>
      <c r="D2673" s="2" t="s">
        <v>97</v>
      </c>
      <c r="E2673" s="2" t="s">
        <v>15863</v>
      </c>
      <c r="F2673" s="2" t="s">
        <v>31</v>
      </c>
      <c r="G2673" s="2" t="s">
        <v>32</v>
      </c>
      <c r="H2673" s="1"/>
      <c r="I2673" s="2" t="s">
        <v>33</v>
      </c>
      <c r="J2673" s="2" t="s">
        <v>34</v>
      </c>
      <c r="K2673" s="2" t="s">
        <v>9457</v>
      </c>
      <c r="L2673" s="2" t="s">
        <v>9458</v>
      </c>
      <c r="M2673" s="2" t="s">
        <v>570</v>
      </c>
      <c r="N2673" s="2" t="s">
        <v>38</v>
      </c>
      <c r="O2673" s="2" t="s">
        <v>94</v>
      </c>
      <c r="P2673" s="2" t="s">
        <v>142</v>
      </c>
      <c r="Q2673" s="2" t="s">
        <v>4416</v>
      </c>
      <c r="R2673" s="2" t="s">
        <v>40</v>
      </c>
      <c r="S2673" s="2" t="s">
        <v>15951</v>
      </c>
      <c r="T2673" s="2" t="s">
        <v>7463</v>
      </c>
      <c r="U2673" s="2" t="s">
        <v>15952</v>
      </c>
      <c r="V2673" s="2" t="s">
        <v>15953</v>
      </c>
      <c r="W2673" s="1"/>
      <c r="X2673" s="2" t="s">
        <v>4934</v>
      </c>
      <c r="Y2673" s="2" t="s">
        <v>15903</v>
      </c>
      <c r="AA2673" t="str">
        <f t="shared" si="246"/>
        <v>2025-07</v>
      </c>
      <c r="AB2673" t="str">
        <f t="shared" si="247"/>
        <v/>
      </c>
      <c r="AC2673">
        <f t="shared" si="248"/>
        <v>341190</v>
      </c>
      <c r="AD2673">
        <f t="shared" si="249"/>
        <v>850</v>
      </c>
      <c r="AE2673">
        <f t="shared" si="250"/>
        <v>62390</v>
      </c>
      <c r="AF2673" t="str">
        <f t="shared" si="251"/>
        <v>Paid</v>
      </c>
    </row>
    <row r="2674" spans="1:32" ht="27.75" thickBot="1" x14ac:dyDescent="0.35">
      <c r="A2674" s="2" t="s">
        <v>15954</v>
      </c>
      <c r="B2674" s="2" t="s">
        <v>27</v>
      </c>
      <c r="C2674" s="2" t="s">
        <v>28</v>
      </c>
      <c r="D2674" s="2" t="s">
        <v>97</v>
      </c>
      <c r="E2674" s="2" t="s">
        <v>15863</v>
      </c>
      <c r="F2674" s="2" t="s">
        <v>31</v>
      </c>
      <c r="G2674" s="2" t="s">
        <v>32</v>
      </c>
      <c r="H2674" s="1"/>
      <c r="I2674" s="2" t="s">
        <v>33</v>
      </c>
      <c r="J2674" s="2" t="s">
        <v>34</v>
      </c>
      <c r="K2674" s="2" t="s">
        <v>11386</v>
      </c>
      <c r="L2674" s="2" t="s">
        <v>11387</v>
      </c>
      <c r="M2674" s="2" t="s">
        <v>570</v>
      </c>
      <c r="N2674" s="2" t="s">
        <v>38</v>
      </c>
      <c r="O2674" s="2" t="s">
        <v>3793</v>
      </c>
      <c r="P2674" s="2" t="s">
        <v>142</v>
      </c>
      <c r="Q2674" s="2" t="s">
        <v>15955</v>
      </c>
      <c r="R2674" s="2" t="s">
        <v>40</v>
      </c>
      <c r="S2674" s="2" t="s">
        <v>15956</v>
      </c>
      <c r="T2674" s="2" t="s">
        <v>7463</v>
      </c>
      <c r="U2674" s="2" t="s">
        <v>2861</v>
      </c>
      <c r="V2674" s="2" t="s">
        <v>15957</v>
      </c>
      <c r="W2674" s="1"/>
      <c r="X2674" s="2" t="s">
        <v>4934</v>
      </c>
      <c r="Y2674" s="2" t="s">
        <v>15903</v>
      </c>
      <c r="AA2674" t="str">
        <f t="shared" si="246"/>
        <v>2025-07</v>
      </c>
      <c r="AB2674" t="str">
        <f t="shared" si="247"/>
        <v/>
      </c>
      <c r="AC2674">
        <f t="shared" si="248"/>
        <v>196686</v>
      </c>
      <c r="AD2674">
        <f t="shared" si="249"/>
        <v>490</v>
      </c>
      <c r="AE2674">
        <f t="shared" si="250"/>
        <v>35966</v>
      </c>
      <c r="AF2674" t="str">
        <f t="shared" si="251"/>
        <v>Paid</v>
      </c>
    </row>
    <row r="2675" spans="1:32" ht="27.75" thickBot="1" x14ac:dyDescent="0.35">
      <c r="A2675" s="2" t="s">
        <v>15958</v>
      </c>
      <c r="B2675" s="2" t="s">
        <v>27</v>
      </c>
      <c r="C2675" s="2" t="s">
        <v>28</v>
      </c>
      <c r="D2675" s="2" t="s">
        <v>97</v>
      </c>
      <c r="E2675" s="2" t="s">
        <v>15863</v>
      </c>
      <c r="F2675" s="2" t="s">
        <v>31</v>
      </c>
      <c r="G2675" s="2" t="s">
        <v>32</v>
      </c>
      <c r="H2675" s="1"/>
      <c r="I2675" s="2" t="s">
        <v>33</v>
      </c>
      <c r="J2675" s="2" t="s">
        <v>34</v>
      </c>
      <c r="K2675" s="2" t="s">
        <v>9470</v>
      </c>
      <c r="L2675" s="2" t="s">
        <v>9471</v>
      </c>
      <c r="M2675" s="2" t="s">
        <v>570</v>
      </c>
      <c r="N2675" s="2" t="s">
        <v>38</v>
      </c>
      <c r="O2675" s="2" t="s">
        <v>610</v>
      </c>
      <c r="P2675" s="2" t="s">
        <v>142</v>
      </c>
      <c r="Q2675" s="2" t="s">
        <v>15959</v>
      </c>
      <c r="R2675" s="2" t="s">
        <v>40</v>
      </c>
      <c r="S2675" s="2" t="s">
        <v>15960</v>
      </c>
      <c r="T2675" s="2" t="s">
        <v>7463</v>
      </c>
      <c r="U2675" s="2" t="s">
        <v>15961</v>
      </c>
      <c r="V2675" s="2" t="s">
        <v>15962</v>
      </c>
      <c r="W2675" s="1"/>
      <c r="X2675" s="2" t="s">
        <v>4934</v>
      </c>
      <c r="Y2675" s="2" t="s">
        <v>15903</v>
      </c>
      <c r="AA2675" t="str">
        <f t="shared" si="246"/>
        <v>2025-07</v>
      </c>
      <c r="AB2675" t="str">
        <f t="shared" si="247"/>
        <v/>
      </c>
      <c r="AC2675">
        <f t="shared" si="248"/>
        <v>180630</v>
      </c>
      <c r="AD2675">
        <f t="shared" si="249"/>
        <v>450</v>
      </c>
      <c r="AE2675">
        <f t="shared" si="250"/>
        <v>33030</v>
      </c>
      <c r="AF2675" t="str">
        <f t="shared" si="251"/>
        <v>Paid</v>
      </c>
    </row>
    <row r="2676" spans="1:32" ht="27.75" thickBot="1" x14ac:dyDescent="0.35">
      <c r="A2676" s="2" t="s">
        <v>15963</v>
      </c>
      <c r="B2676" s="2" t="s">
        <v>27</v>
      </c>
      <c r="C2676" s="2" t="s">
        <v>28</v>
      </c>
      <c r="D2676" s="2" t="s">
        <v>97</v>
      </c>
      <c r="E2676" s="2" t="s">
        <v>15863</v>
      </c>
      <c r="F2676" s="2" t="s">
        <v>31</v>
      </c>
      <c r="G2676" s="2" t="s">
        <v>32</v>
      </c>
      <c r="H2676" s="1"/>
      <c r="I2676" s="2" t="s">
        <v>33</v>
      </c>
      <c r="J2676" s="2" t="s">
        <v>34</v>
      </c>
      <c r="K2676" s="2" t="s">
        <v>9476</v>
      </c>
      <c r="L2676" s="2" t="s">
        <v>9477</v>
      </c>
      <c r="M2676" s="2" t="s">
        <v>570</v>
      </c>
      <c r="N2676" s="2" t="s">
        <v>38</v>
      </c>
      <c r="O2676" s="2" t="s">
        <v>2057</v>
      </c>
      <c r="P2676" s="2" t="s">
        <v>142</v>
      </c>
      <c r="Q2676" s="2" t="s">
        <v>15964</v>
      </c>
      <c r="R2676" s="2" t="s">
        <v>40</v>
      </c>
      <c r="S2676" s="2" t="s">
        <v>15965</v>
      </c>
      <c r="T2676" s="2" t="s">
        <v>7463</v>
      </c>
      <c r="U2676" s="2" t="s">
        <v>15966</v>
      </c>
      <c r="V2676" s="2" t="s">
        <v>15967</v>
      </c>
      <c r="W2676" s="1"/>
      <c r="X2676" s="2" t="s">
        <v>4934</v>
      </c>
      <c r="Y2676" s="2" t="s">
        <v>15903</v>
      </c>
      <c r="AA2676" t="str">
        <f t="shared" si="246"/>
        <v>2025-07</v>
      </c>
      <c r="AB2676" t="str">
        <f t="shared" si="247"/>
        <v/>
      </c>
      <c r="AC2676">
        <f t="shared" si="248"/>
        <v>140490</v>
      </c>
      <c r="AD2676">
        <f t="shared" si="249"/>
        <v>350</v>
      </c>
      <c r="AE2676">
        <f t="shared" si="250"/>
        <v>25690</v>
      </c>
      <c r="AF2676" t="str">
        <f t="shared" si="251"/>
        <v>Paid</v>
      </c>
    </row>
    <row r="2677" spans="1:32" ht="27.75" thickBot="1" x14ac:dyDescent="0.35">
      <c r="A2677" s="2" t="s">
        <v>15968</v>
      </c>
      <c r="B2677" s="2" t="s">
        <v>27</v>
      </c>
      <c r="C2677" s="2" t="s">
        <v>28</v>
      </c>
      <c r="D2677" s="2" t="s">
        <v>97</v>
      </c>
      <c r="E2677" s="2" t="s">
        <v>15863</v>
      </c>
      <c r="F2677" s="2" t="s">
        <v>31</v>
      </c>
      <c r="G2677" s="2" t="s">
        <v>32</v>
      </c>
      <c r="H2677" s="1"/>
      <c r="I2677" s="2" t="s">
        <v>33</v>
      </c>
      <c r="J2677" s="2" t="s">
        <v>34</v>
      </c>
      <c r="K2677" s="2" t="s">
        <v>9483</v>
      </c>
      <c r="L2677" s="2" t="s">
        <v>9484</v>
      </c>
      <c r="M2677" s="2" t="s">
        <v>570</v>
      </c>
      <c r="N2677" s="2" t="s">
        <v>38</v>
      </c>
      <c r="O2677" s="2" t="s">
        <v>1644</v>
      </c>
      <c r="P2677" s="2" t="s">
        <v>142</v>
      </c>
      <c r="Q2677" s="2" t="s">
        <v>11535</v>
      </c>
      <c r="R2677" s="2" t="s">
        <v>40</v>
      </c>
      <c r="S2677" s="2" t="s">
        <v>15969</v>
      </c>
      <c r="T2677" s="2" t="s">
        <v>7463</v>
      </c>
      <c r="U2677" s="2" t="s">
        <v>15970</v>
      </c>
      <c r="V2677" s="2" t="s">
        <v>15971</v>
      </c>
      <c r="W2677" s="1"/>
      <c r="X2677" s="2" t="s">
        <v>4934</v>
      </c>
      <c r="Y2677" s="2" t="s">
        <v>15903</v>
      </c>
      <c r="AA2677" t="str">
        <f t="shared" si="246"/>
        <v>2025-07</v>
      </c>
      <c r="AB2677" t="str">
        <f t="shared" si="247"/>
        <v/>
      </c>
      <c r="AC2677">
        <f t="shared" si="248"/>
        <v>481680</v>
      </c>
      <c r="AD2677">
        <f t="shared" si="249"/>
        <v>1200</v>
      </c>
      <c r="AE2677">
        <f t="shared" si="250"/>
        <v>88080</v>
      </c>
      <c r="AF2677" t="str">
        <f t="shared" si="251"/>
        <v>Paid</v>
      </c>
    </row>
    <row r="2678" spans="1:32" ht="27.75" thickBot="1" x14ac:dyDescent="0.35">
      <c r="A2678" s="2" t="s">
        <v>15972</v>
      </c>
      <c r="B2678" s="2" t="s">
        <v>27</v>
      </c>
      <c r="C2678" s="2" t="s">
        <v>28</v>
      </c>
      <c r="D2678" s="2" t="s">
        <v>97</v>
      </c>
      <c r="E2678" s="2" t="s">
        <v>15863</v>
      </c>
      <c r="F2678" s="2" t="s">
        <v>31</v>
      </c>
      <c r="G2678" s="2" t="s">
        <v>32</v>
      </c>
      <c r="H2678" s="1"/>
      <c r="I2678" s="2" t="s">
        <v>33</v>
      </c>
      <c r="J2678" s="2" t="s">
        <v>34</v>
      </c>
      <c r="K2678" s="2" t="s">
        <v>9483</v>
      </c>
      <c r="L2678" s="2" t="s">
        <v>9484</v>
      </c>
      <c r="M2678" s="2" t="s">
        <v>570</v>
      </c>
      <c r="N2678" s="2" t="s">
        <v>38</v>
      </c>
      <c r="O2678" s="2" t="s">
        <v>6737</v>
      </c>
      <c r="P2678" s="2" t="s">
        <v>142</v>
      </c>
      <c r="Q2678" s="2" t="s">
        <v>8942</v>
      </c>
      <c r="R2678" s="2" t="s">
        <v>40</v>
      </c>
      <c r="S2678" s="2" t="s">
        <v>15973</v>
      </c>
      <c r="T2678" s="2" t="s">
        <v>7463</v>
      </c>
      <c r="U2678" s="2" t="s">
        <v>15974</v>
      </c>
      <c r="V2678" s="2" t="s">
        <v>15975</v>
      </c>
      <c r="W2678" s="1"/>
      <c r="X2678" s="2" t="s">
        <v>4934</v>
      </c>
      <c r="Y2678" s="2" t="s">
        <v>15903</v>
      </c>
      <c r="AA2678" t="str">
        <f t="shared" si="246"/>
        <v>2025-07</v>
      </c>
      <c r="AB2678" t="str">
        <f t="shared" si="247"/>
        <v/>
      </c>
      <c r="AC2678">
        <f t="shared" si="248"/>
        <v>393372</v>
      </c>
      <c r="AD2678">
        <f t="shared" si="249"/>
        <v>980</v>
      </c>
      <c r="AE2678">
        <f t="shared" si="250"/>
        <v>71932</v>
      </c>
      <c r="AF2678" t="str">
        <f t="shared" si="251"/>
        <v>Paid</v>
      </c>
    </row>
    <row r="2679" spans="1:32" ht="27.75" thickBot="1" x14ac:dyDescent="0.35">
      <c r="A2679" s="2" t="s">
        <v>15976</v>
      </c>
      <c r="B2679" s="2" t="s">
        <v>27</v>
      </c>
      <c r="C2679" s="2" t="s">
        <v>28</v>
      </c>
      <c r="D2679" s="2" t="s">
        <v>97</v>
      </c>
      <c r="E2679" s="2" t="s">
        <v>15863</v>
      </c>
      <c r="F2679" s="2" t="s">
        <v>31</v>
      </c>
      <c r="G2679" s="2" t="s">
        <v>32</v>
      </c>
      <c r="H2679" s="1"/>
      <c r="I2679" s="2" t="s">
        <v>33</v>
      </c>
      <c r="J2679" s="2" t="s">
        <v>34</v>
      </c>
      <c r="K2679" s="2" t="s">
        <v>2662</v>
      </c>
      <c r="L2679" s="2" t="s">
        <v>2663</v>
      </c>
      <c r="M2679" s="2" t="s">
        <v>570</v>
      </c>
      <c r="N2679" s="2" t="s">
        <v>38</v>
      </c>
      <c r="O2679" s="2" t="s">
        <v>428</v>
      </c>
      <c r="P2679" s="2" t="s">
        <v>15977</v>
      </c>
      <c r="Q2679" s="2" t="s">
        <v>15964</v>
      </c>
      <c r="R2679" s="2" t="s">
        <v>40</v>
      </c>
      <c r="S2679" s="2" t="s">
        <v>15965</v>
      </c>
      <c r="T2679" s="2" t="s">
        <v>7463</v>
      </c>
      <c r="U2679" s="2" t="s">
        <v>6854</v>
      </c>
      <c r="V2679" s="2" t="s">
        <v>15978</v>
      </c>
      <c r="W2679" s="1"/>
      <c r="X2679" s="2" t="s">
        <v>578</v>
      </c>
      <c r="Y2679" s="2" t="s">
        <v>15903</v>
      </c>
      <c r="AA2679" t="str">
        <f t="shared" si="246"/>
        <v>2025-07</v>
      </c>
      <c r="AB2679" t="str">
        <f t="shared" si="247"/>
        <v/>
      </c>
      <c r="AC2679">
        <f t="shared" si="248"/>
        <v>140490</v>
      </c>
      <c r="AD2679">
        <f t="shared" si="249"/>
        <v>250</v>
      </c>
      <c r="AE2679">
        <f t="shared" si="250"/>
        <v>58490</v>
      </c>
      <c r="AF2679" t="str">
        <f t="shared" si="251"/>
        <v>Paid</v>
      </c>
    </row>
    <row r="2680" spans="1:32" ht="27.75" thickBot="1" x14ac:dyDescent="0.35">
      <c r="A2680" s="2" t="s">
        <v>15979</v>
      </c>
      <c r="B2680" s="2" t="s">
        <v>27</v>
      </c>
      <c r="C2680" s="2" t="s">
        <v>28</v>
      </c>
      <c r="D2680" s="2" t="s">
        <v>97</v>
      </c>
      <c r="E2680" s="2" t="s">
        <v>15863</v>
      </c>
      <c r="F2680" s="2" t="s">
        <v>31</v>
      </c>
      <c r="G2680" s="2" t="s">
        <v>32</v>
      </c>
      <c r="H2680" s="1"/>
      <c r="I2680" s="2" t="s">
        <v>33</v>
      </c>
      <c r="J2680" s="2" t="s">
        <v>34</v>
      </c>
      <c r="K2680" s="2" t="s">
        <v>11405</v>
      </c>
      <c r="L2680" s="2" t="s">
        <v>11406</v>
      </c>
      <c r="M2680" s="2" t="s">
        <v>570</v>
      </c>
      <c r="N2680" s="2" t="s">
        <v>38</v>
      </c>
      <c r="O2680" s="2" t="s">
        <v>428</v>
      </c>
      <c r="P2680" s="2" t="s">
        <v>142</v>
      </c>
      <c r="Q2680" s="2" t="s">
        <v>11576</v>
      </c>
      <c r="R2680" s="2" t="s">
        <v>40</v>
      </c>
      <c r="S2680" s="2" t="s">
        <v>15980</v>
      </c>
      <c r="T2680" s="2" t="s">
        <v>7463</v>
      </c>
      <c r="U2680" s="2" t="s">
        <v>6854</v>
      </c>
      <c r="V2680" s="2" t="s">
        <v>15981</v>
      </c>
      <c r="W2680" s="1"/>
      <c r="X2680" s="2" t="s">
        <v>4934</v>
      </c>
      <c r="Y2680" s="2" t="s">
        <v>15903</v>
      </c>
      <c r="AA2680" t="str">
        <f t="shared" si="246"/>
        <v>2025-07</v>
      </c>
      <c r="AB2680" t="str">
        <f t="shared" si="247"/>
        <v/>
      </c>
      <c r="AC2680">
        <f t="shared" si="248"/>
        <v>100350</v>
      </c>
      <c r="AD2680">
        <f t="shared" si="249"/>
        <v>250</v>
      </c>
      <c r="AE2680">
        <f t="shared" si="250"/>
        <v>18350</v>
      </c>
      <c r="AF2680" t="str">
        <f t="shared" si="251"/>
        <v>Paid</v>
      </c>
    </row>
    <row r="2681" spans="1:32" ht="27.75" thickBot="1" x14ac:dyDescent="0.35">
      <c r="A2681" s="2" t="s">
        <v>15982</v>
      </c>
      <c r="B2681" s="2" t="s">
        <v>27</v>
      </c>
      <c r="C2681" s="2" t="s">
        <v>28</v>
      </c>
      <c r="D2681" s="2" t="s">
        <v>97</v>
      </c>
      <c r="E2681" s="2" t="s">
        <v>15863</v>
      </c>
      <c r="F2681" s="2" t="s">
        <v>31</v>
      </c>
      <c r="G2681" s="2" t="s">
        <v>32</v>
      </c>
      <c r="H2681" s="1"/>
      <c r="I2681" s="2" t="s">
        <v>33</v>
      </c>
      <c r="J2681" s="2" t="s">
        <v>34</v>
      </c>
      <c r="K2681" s="2" t="s">
        <v>11412</v>
      </c>
      <c r="L2681" s="2" t="s">
        <v>11413</v>
      </c>
      <c r="M2681" s="2" t="s">
        <v>570</v>
      </c>
      <c r="N2681" s="2" t="s">
        <v>38</v>
      </c>
      <c r="O2681" s="2" t="s">
        <v>149</v>
      </c>
      <c r="P2681" s="2" t="s">
        <v>142</v>
      </c>
      <c r="Q2681" s="2" t="s">
        <v>1750</v>
      </c>
      <c r="R2681" s="2" t="s">
        <v>40</v>
      </c>
      <c r="S2681" s="2" t="s">
        <v>15983</v>
      </c>
      <c r="T2681" s="2" t="s">
        <v>7463</v>
      </c>
      <c r="U2681" s="2" t="s">
        <v>15984</v>
      </c>
      <c r="V2681" s="2" t="s">
        <v>15985</v>
      </c>
      <c r="W2681" s="1"/>
      <c r="X2681" s="2" t="s">
        <v>4934</v>
      </c>
      <c r="Y2681" s="2" t="s">
        <v>15903</v>
      </c>
      <c r="AA2681" t="str">
        <f t="shared" si="246"/>
        <v>2025-07</v>
      </c>
      <c r="AB2681" t="str">
        <f t="shared" si="247"/>
        <v/>
      </c>
      <c r="AC2681">
        <f t="shared" si="248"/>
        <v>120420</v>
      </c>
      <c r="AD2681">
        <f t="shared" si="249"/>
        <v>300</v>
      </c>
      <c r="AE2681">
        <f t="shared" si="250"/>
        <v>22020</v>
      </c>
      <c r="AF2681" t="str">
        <f t="shared" si="251"/>
        <v>Paid</v>
      </c>
    </row>
    <row r="2682" spans="1:32" ht="27.75" thickBot="1" x14ac:dyDescent="0.35">
      <c r="A2682" s="2" t="s">
        <v>15986</v>
      </c>
      <c r="B2682" s="2" t="s">
        <v>27</v>
      </c>
      <c r="C2682" s="2" t="s">
        <v>28</v>
      </c>
      <c r="D2682" s="2" t="s">
        <v>97</v>
      </c>
      <c r="E2682" s="2" t="s">
        <v>15863</v>
      </c>
      <c r="F2682" s="2" t="s">
        <v>31</v>
      </c>
      <c r="G2682" s="2" t="s">
        <v>32</v>
      </c>
      <c r="H2682" s="1"/>
      <c r="I2682" s="2" t="s">
        <v>33</v>
      </c>
      <c r="J2682" s="2" t="s">
        <v>34</v>
      </c>
      <c r="K2682" s="2" t="s">
        <v>11419</v>
      </c>
      <c r="L2682" s="2" t="s">
        <v>11420</v>
      </c>
      <c r="M2682" s="2" t="s">
        <v>570</v>
      </c>
      <c r="N2682" s="2" t="s">
        <v>38</v>
      </c>
      <c r="O2682" s="2" t="s">
        <v>610</v>
      </c>
      <c r="P2682" s="2" t="s">
        <v>142</v>
      </c>
      <c r="Q2682" s="2" t="s">
        <v>15959</v>
      </c>
      <c r="R2682" s="2" t="s">
        <v>40</v>
      </c>
      <c r="S2682" s="2" t="s">
        <v>15960</v>
      </c>
      <c r="T2682" s="2" t="s">
        <v>7463</v>
      </c>
      <c r="U2682" s="2" t="s">
        <v>15961</v>
      </c>
      <c r="V2682" s="2" t="s">
        <v>15962</v>
      </c>
      <c r="W2682" s="1"/>
      <c r="X2682" s="2" t="s">
        <v>4934</v>
      </c>
      <c r="Y2682" s="2" t="s">
        <v>15903</v>
      </c>
      <c r="AA2682" t="str">
        <f t="shared" si="246"/>
        <v>2025-07</v>
      </c>
      <c r="AB2682" t="str">
        <f t="shared" si="247"/>
        <v/>
      </c>
      <c r="AC2682">
        <f t="shared" si="248"/>
        <v>180630</v>
      </c>
      <c r="AD2682">
        <f t="shared" si="249"/>
        <v>450</v>
      </c>
      <c r="AE2682">
        <f t="shared" si="250"/>
        <v>33030</v>
      </c>
      <c r="AF2682" t="str">
        <f t="shared" si="251"/>
        <v>Paid</v>
      </c>
    </row>
    <row r="2683" spans="1:32" ht="27.75" thickBot="1" x14ac:dyDescent="0.35">
      <c r="A2683" s="2" t="s">
        <v>15987</v>
      </c>
      <c r="B2683" s="2" t="s">
        <v>27</v>
      </c>
      <c r="C2683" s="2" t="s">
        <v>28</v>
      </c>
      <c r="D2683" s="2" t="s">
        <v>97</v>
      </c>
      <c r="E2683" s="2" t="s">
        <v>15863</v>
      </c>
      <c r="F2683" s="2" t="s">
        <v>31</v>
      </c>
      <c r="G2683" s="2" t="s">
        <v>32</v>
      </c>
      <c r="H2683" s="1"/>
      <c r="I2683" s="2" t="s">
        <v>33</v>
      </c>
      <c r="J2683" s="2" t="s">
        <v>34</v>
      </c>
      <c r="K2683" s="2" t="s">
        <v>11425</v>
      </c>
      <c r="L2683" s="2" t="s">
        <v>11426</v>
      </c>
      <c r="M2683" s="2" t="s">
        <v>570</v>
      </c>
      <c r="N2683" s="2" t="s">
        <v>38</v>
      </c>
      <c r="O2683" s="2" t="s">
        <v>149</v>
      </c>
      <c r="P2683" s="2" t="s">
        <v>142</v>
      </c>
      <c r="Q2683" s="2" t="s">
        <v>1750</v>
      </c>
      <c r="R2683" s="2" t="s">
        <v>40</v>
      </c>
      <c r="S2683" s="2" t="s">
        <v>15983</v>
      </c>
      <c r="T2683" s="2" t="s">
        <v>7463</v>
      </c>
      <c r="U2683" s="2" t="s">
        <v>15984</v>
      </c>
      <c r="V2683" s="2" t="s">
        <v>15985</v>
      </c>
      <c r="W2683" s="1"/>
      <c r="X2683" s="2" t="s">
        <v>4934</v>
      </c>
      <c r="Y2683" s="2" t="s">
        <v>15903</v>
      </c>
      <c r="AA2683" t="str">
        <f t="shared" si="246"/>
        <v>2025-07</v>
      </c>
      <c r="AB2683" t="str">
        <f t="shared" si="247"/>
        <v/>
      </c>
      <c r="AC2683">
        <f t="shared" si="248"/>
        <v>120420</v>
      </c>
      <c r="AD2683">
        <f t="shared" si="249"/>
        <v>300</v>
      </c>
      <c r="AE2683">
        <f t="shared" si="250"/>
        <v>22020</v>
      </c>
      <c r="AF2683" t="str">
        <f t="shared" si="251"/>
        <v>Paid</v>
      </c>
    </row>
    <row r="2684" spans="1:32" ht="27.75" thickBot="1" x14ac:dyDescent="0.35">
      <c r="A2684" s="2" t="s">
        <v>15988</v>
      </c>
      <c r="B2684" s="2" t="s">
        <v>27</v>
      </c>
      <c r="C2684" s="2" t="s">
        <v>28</v>
      </c>
      <c r="D2684" s="2" t="s">
        <v>97</v>
      </c>
      <c r="E2684" s="2" t="s">
        <v>15863</v>
      </c>
      <c r="F2684" s="2" t="s">
        <v>31</v>
      </c>
      <c r="G2684" s="2" t="s">
        <v>32</v>
      </c>
      <c r="H2684" s="1"/>
      <c r="I2684" s="2" t="s">
        <v>33</v>
      </c>
      <c r="J2684" s="2" t="s">
        <v>34</v>
      </c>
      <c r="K2684" s="2" t="s">
        <v>11425</v>
      </c>
      <c r="L2684" s="2" t="s">
        <v>11426</v>
      </c>
      <c r="M2684" s="2" t="s">
        <v>570</v>
      </c>
      <c r="N2684" s="2" t="s">
        <v>38</v>
      </c>
      <c r="O2684" s="2" t="s">
        <v>71</v>
      </c>
      <c r="P2684" s="2" t="s">
        <v>142</v>
      </c>
      <c r="Q2684" s="2" t="s">
        <v>15989</v>
      </c>
      <c r="R2684" s="2" t="s">
        <v>40</v>
      </c>
      <c r="S2684" s="2" t="s">
        <v>15990</v>
      </c>
      <c r="T2684" s="2" t="s">
        <v>7463</v>
      </c>
      <c r="U2684" s="2" t="s">
        <v>15991</v>
      </c>
      <c r="V2684" s="2" t="s">
        <v>15992</v>
      </c>
      <c r="W2684" s="1"/>
      <c r="X2684" s="2" t="s">
        <v>4934</v>
      </c>
      <c r="Y2684" s="2" t="s">
        <v>15903</v>
      </c>
      <c r="AA2684" t="str">
        <f t="shared" si="246"/>
        <v>2025-07</v>
      </c>
      <c r="AB2684" t="str">
        <f t="shared" si="247"/>
        <v/>
      </c>
      <c r="AC2684">
        <f t="shared" si="248"/>
        <v>802800</v>
      </c>
      <c r="AD2684">
        <f t="shared" si="249"/>
        <v>2000</v>
      </c>
      <c r="AE2684">
        <f t="shared" si="250"/>
        <v>146800</v>
      </c>
      <c r="AF2684" t="str">
        <f t="shared" si="251"/>
        <v>Paid</v>
      </c>
    </row>
    <row r="2685" spans="1:32" ht="17.25" thickBot="1" x14ac:dyDescent="0.35">
      <c r="A2685" s="2" t="s">
        <v>15993</v>
      </c>
      <c r="B2685" s="2" t="s">
        <v>27</v>
      </c>
      <c r="C2685" s="2" t="s">
        <v>28</v>
      </c>
      <c r="D2685" s="2" t="s">
        <v>97</v>
      </c>
      <c r="E2685" s="2" t="s">
        <v>15863</v>
      </c>
      <c r="F2685" s="2" t="s">
        <v>31</v>
      </c>
      <c r="G2685" s="2" t="s">
        <v>32</v>
      </c>
      <c r="H2685" s="1"/>
      <c r="I2685" s="2" t="s">
        <v>33</v>
      </c>
      <c r="J2685" s="2" t="s">
        <v>34</v>
      </c>
      <c r="K2685" s="2" t="s">
        <v>15994</v>
      </c>
      <c r="L2685" s="2" t="s">
        <v>15995</v>
      </c>
      <c r="M2685" s="2" t="s">
        <v>6146</v>
      </c>
      <c r="N2685" s="2" t="s">
        <v>38</v>
      </c>
      <c r="O2685" s="2" t="s">
        <v>773</v>
      </c>
      <c r="P2685" s="2" t="s">
        <v>5246</v>
      </c>
      <c r="Q2685" s="2" t="s">
        <v>15996</v>
      </c>
      <c r="R2685" s="2" t="s">
        <v>40</v>
      </c>
      <c r="S2685" s="2" t="s">
        <v>15997</v>
      </c>
      <c r="T2685" s="2" t="s">
        <v>1178</v>
      </c>
      <c r="U2685" s="2" t="s">
        <v>15998</v>
      </c>
      <c r="V2685" s="2" t="s">
        <v>15999</v>
      </c>
      <c r="W2685" s="1"/>
      <c r="X2685" s="2" t="s">
        <v>7108</v>
      </c>
      <c r="Y2685" s="2" t="s">
        <v>15903</v>
      </c>
      <c r="AA2685" t="str">
        <f t="shared" si="246"/>
        <v>2025-07</v>
      </c>
      <c r="AB2685" t="str">
        <f t="shared" si="247"/>
        <v/>
      </c>
      <c r="AC2685">
        <f t="shared" si="248"/>
        <v>1969536</v>
      </c>
      <c r="AD2685">
        <f t="shared" si="249"/>
        <v>200</v>
      </c>
      <c r="AE2685">
        <f t="shared" si="250"/>
        <v>429536</v>
      </c>
      <c r="AF2685" t="str">
        <f t="shared" si="251"/>
        <v>Paid</v>
      </c>
    </row>
    <row r="2686" spans="1:32" ht="17.25" thickBot="1" x14ac:dyDescent="0.35">
      <c r="A2686" s="2" t="s">
        <v>16000</v>
      </c>
      <c r="B2686" s="2" t="s">
        <v>27</v>
      </c>
      <c r="C2686" s="2" t="s">
        <v>28</v>
      </c>
      <c r="D2686" s="2" t="s">
        <v>97</v>
      </c>
      <c r="E2686" s="2" t="s">
        <v>15863</v>
      </c>
      <c r="F2686" s="2" t="s">
        <v>31</v>
      </c>
      <c r="G2686" s="2" t="s">
        <v>32</v>
      </c>
      <c r="H2686" s="1"/>
      <c r="I2686" s="2" t="s">
        <v>33</v>
      </c>
      <c r="J2686" s="2" t="s">
        <v>34</v>
      </c>
      <c r="K2686" s="2" t="s">
        <v>16001</v>
      </c>
      <c r="L2686" s="2" t="s">
        <v>16002</v>
      </c>
      <c r="M2686" s="2" t="s">
        <v>1787</v>
      </c>
      <c r="N2686" s="2" t="s">
        <v>38</v>
      </c>
      <c r="O2686" s="2" t="s">
        <v>138</v>
      </c>
      <c r="P2686" s="2" t="s">
        <v>40</v>
      </c>
      <c r="Q2686" s="2" t="s">
        <v>40</v>
      </c>
      <c r="R2686" s="2" t="s">
        <v>40</v>
      </c>
      <c r="S2686" s="2" t="s">
        <v>40</v>
      </c>
      <c r="T2686" s="2" t="s">
        <v>1792</v>
      </c>
      <c r="U2686" s="2" t="s">
        <v>16003</v>
      </c>
      <c r="V2686" s="2" t="s">
        <v>16004</v>
      </c>
      <c r="W2686" s="2" t="s">
        <v>41</v>
      </c>
      <c r="X2686" s="2" t="s">
        <v>42</v>
      </c>
      <c r="Y2686" s="2" t="s">
        <v>15903</v>
      </c>
      <c r="AA2686" t="str">
        <f t="shared" si="246"/>
        <v>2025-07</v>
      </c>
      <c r="AB2686" t="str">
        <f t="shared" si="247"/>
        <v/>
      </c>
      <c r="AC2686">
        <f t="shared" si="248"/>
        <v>0</v>
      </c>
      <c r="AD2686">
        <f t="shared" si="249"/>
        <v>18</v>
      </c>
      <c r="AE2686">
        <f t="shared" si="250"/>
        <v>-84600</v>
      </c>
      <c r="AF2686" t="str">
        <f t="shared" si="251"/>
        <v>Sample</v>
      </c>
    </row>
    <row r="2687" spans="1:32" ht="17.25" thickBot="1" x14ac:dyDescent="0.35">
      <c r="A2687" s="2" t="s">
        <v>16005</v>
      </c>
      <c r="B2687" s="2" t="s">
        <v>27</v>
      </c>
      <c r="C2687" s="2" t="s">
        <v>28</v>
      </c>
      <c r="D2687" s="2" t="s">
        <v>97</v>
      </c>
      <c r="E2687" s="2" t="s">
        <v>15863</v>
      </c>
      <c r="F2687" s="2" t="s">
        <v>31</v>
      </c>
      <c r="G2687" s="2" t="s">
        <v>32</v>
      </c>
      <c r="H2687" s="1"/>
      <c r="I2687" s="2" t="s">
        <v>33</v>
      </c>
      <c r="J2687" s="2" t="s">
        <v>34</v>
      </c>
      <c r="K2687" s="2" t="s">
        <v>16006</v>
      </c>
      <c r="L2687" s="2" t="s">
        <v>16007</v>
      </c>
      <c r="M2687" s="2" t="s">
        <v>1787</v>
      </c>
      <c r="N2687" s="2" t="s">
        <v>38</v>
      </c>
      <c r="O2687" s="2" t="s">
        <v>148</v>
      </c>
      <c r="P2687" s="2" t="s">
        <v>40</v>
      </c>
      <c r="Q2687" s="2" t="s">
        <v>40</v>
      </c>
      <c r="R2687" s="2" t="s">
        <v>40</v>
      </c>
      <c r="S2687" s="2" t="s">
        <v>40</v>
      </c>
      <c r="T2687" s="2" t="s">
        <v>1792</v>
      </c>
      <c r="U2687" s="2" t="s">
        <v>16008</v>
      </c>
      <c r="V2687" s="2" t="s">
        <v>16009</v>
      </c>
      <c r="W2687" s="2" t="s">
        <v>41</v>
      </c>
      <c r="X2687" s="2" t="s">
        <v>42</v>
      </c>
      <c r="Y2687" s="2" t="s">
        <v>15903</v>
      </c>
      <c r="AA2687" t="str">
        <f t="shared" si="246"/>
        <v>2025-07</v>
      </c>
      <c r="AB2687" t="str">
        <f t="shared" si="247"/>
        <v/>
      </c>
      <c r="AC2687">
        <f t="shared" si="248"/>
        <v>0</v>
      </c>
      <c r="AD2687">
        <f t="shared" si="249"/>
        <v>19</v>
      </c>
      <c r="AE2687">
        <f t="shared" si="250"/>
        <v>-89300</v>
      </c>
      <c r="AF2687" t="str">
        <f t="shared" si="251"/>
        <v>Sample</v>
      </c>
    </row>
    <row r="2688" spans="1:32" ht="27.75" thickBot="1" x14ac:dyDescent="0.35">
      <c r="A2688" s="2" t="s">
        <v>16010</v>
      </c>
      <c r="B2688" s="2" t="s">
        <v>27</v>
      </c>
      <c r="C2688" s="2" t="s">
        <v>28</v>
      </c>
      <c r="D2688" s="2" t="s">
        <v>97</v>
      </c>
      <c r="E2688" s="2" t="s">
        <v>15863</v>
      </c>
      <c r="F2688" s="2" t="s">
        <v>31</v>
      </c>
      <c r="G2688" s="2" t="s">
        <v>32</v>
      </c>
      <c r="H2688" s="1"/>
      <c r="I2688" s="2" t="s">
        <v>33</v>
      </c>
      <c r="J2688" s="2" t="s">
        <v>34</v>
      </c>
      <c r="K2688" s="2" t="s">
        <v>16011</v>
      </c>
      <c r="L2688" s="2" t="s">
        <v>16012</v>
      </c>
      <c r="M2688" s="2" t="s">
        <v>16013</v>
      </c>
      <c r="N2688" s="2" t="s">
        <v>38</v>
      </c>
      <c r="O2688" s="2" t="s">
        <v>428</v>
      </c>
      <c r="P2688" s="2" t="s">
        <v>3031</v>
      </c>
      <c r="Q2688" s="2" t="s">
        <v>16014</v>
      </c>
      <c r="R2688" s="2" t="s">
        <v>40</v>
      </c>
      <c r="S2688" s="2" t="s">
        <v>16015</v>
      </c>
      <c r="T2688" s="2" t="s">
        <v>3213</v>
      </c>
      <c r="U2688" s="2" t="s">
        <v>16016</v>
      </c>
      <c r="V2688" s="2" t="s">
        <v>16017</v>
      </c>
      <c r="W2688" s="1"/>
      <c r="X2688" s="2" t="s">
        <v>5636</v>
      </c>
      <c r="Y2688" s="2" t="s">
        <v>15903</v>
      </c>
      <c r="AA2688" t="str">
        <f t="shared" si="246"/>
        <v>2025-07</v>
      </c>
      <c r="AB2688" t="str">
        <f t="shared" si="247"/>
        <v/>
      </c>
      <c r="AC2688">
        <f t="shared" si="248"/>
        <v>1612290</v>
      </c>
      <c r="AD2688">
        <f t="shared" si="249"/>
        <v>250</v>
      </c>
      <c r="AE2688">
        <f t="shared" si="250"/>
        <v>312290</v>
      </c>
      <c r="AF2688" t="str">
        <f t="shared" si="251"/>
        <v>Paid</v>
      </c>
    </row>
    <row r="2689" spans="1:32" ht="27.75" thickBot="1" x14ac:dyDescent="0.35">
      <c r="A2689" s="2" t="s">
        <v>16018</v>
      </c>
      <c r="B2689" s="2" t="s">
        <v>27</v>
      </c>
      <c r="C2689" s="2" t="s">
        <v>28</v>
      </c>
      <c r="D2689" s="2" t="s">
        <v>97</v>
      </c>
      <c r="E2689" s="2" t="s">
        <v>15863</v>
      </c>
      <c r="F2689" s="2" t="s">
        <v>31</v>
      </c>
      <c r="G2689" s="2" t="s">
        <v>32</v>
      </c>
      <c r="H2689" s="1"/>
      <c r="I2689" s="2" t="s">
        <v>33</v>
      </c>
      <c r="J2689" s="2" t="s">
        <v>34</v>
      </c>
      <c r="K2689" s="2" t="s">
        <v>16019</v>
      </c>
      <c r="L2689" s="2" t="s">
        <v>16020</v>
      </c>
      <c r="M2689" s="2" t="s">
        <v>16013</v>
      </c>
      <c r="N2689" s="2" t="s">
        <v>38</v>
      </c>
      <c r="O2689" s="2" t="s">
        <v>149</v>
      </c>
      <c r="P2689" s="2" t="s">
        <v>195</v>
      </c>
      <c r="Q2689" s="2" t="s">
        <v>16021</v>
      </c>
      <c r="R2689" s="2" t="s">
        <v>40</v>
      </c>
      <c r="S2689" s="2" t="s">
        <v>16022</v>
      </c>
      <c r="T2689" s="2" t="s">
        <v>864</v>
      </c>
      <c r="U2689" s="2" t="s">
        <v>10742</v>
      </c>
      <c r="V2689" s="2" t="s">
        <v>16023</v>
      </c>
      <c r="W2689" s="1"/>
      <c r="X2689" s="2" t="s">
        <v>6280</v>
      </c>
      <c r="Y2689" s="2" t="s">
        <v>15903</v>
      </c>
      <c r="AA2689" t="str">
        <f t="shared" si="246"/>
        <v>2025-07</v>
      </c>
      <c r="AB2689" t="str">
        <f t="shared" si="247"/>
        <v/>
      </c>
      <c r="AC2689">
        <f t="shared" si="248"/>
        <v>3363732</v>
      </c>
      <c r="AD2689">
        <f t="shared" si="249"/>
        <v>300</v>
      </c>
      <c r="AE2689">
        <f t="shared" si="250"/>
        <v>1113732</v>
      </c>
      <c r="AF2689" t="str">
        <f t="shared" si="251"/>
        <v>Paid</v>
      </c>
    </row>
    <row r="2690" spans="1:32" ht="27.75" thickBot="1" x14ac:dyDescent="0.35">
      <c r="A2690" s="2" t="s">
        <v>16024</v>
      </c>
      <c r="B2690" s="2" t="s">
        <v>27</v>
      </c>
      <c r="C2690" s="2" t="s">
        <v>28</v>
      </c>
      <c r="D2690" s="2" t="s">
        <v>97</v>
      </c>
      <c r="E2690" s="2" t="s">
        <v>15863</v>
      </c>
      <c r="F2690" s="2" t="s">
        <v>31</v>
      </c>
      <c r="G2690" s="2" t="s">
        <v>32</v>
      </c>
      <c r="H2690" s="1"/>
      <c r="I2690" s="2" t="s">
        <v>33</v>
      </c>
      <c r="J2690" s="2" t="s">
        <v>34</v>
      </c>
      <c r="K2690" s="2" t="s">
        <v>2759</v>
      </c>
      <c r="L2690" s="2" t="s">
        <v>2760</v>
      </c>
      <c r="M2690" s="2" t="s">
        <v>70</v>
      </c>
      <c r="N2690" s="2" t="s">
        <v>38</v>
      </c>
      <c r="O2690" s="2" t="s">
        <v>114</v>
      </c>
      <c r="P2690" s="2" t="s">
        <v>7206</v>
      </c>
      <c r="Q2690" s="2" t="s">
        <v>16025</v>
      </c>
      <c r="R2690" s="2" t="s">
        <v>40</v>
      </c>
      <c r="S2690" s="2" t="s">
        <v>16026</v>
      </c>
      <c r="T2690" s="2" t="s">
        <v>2755</v>
      </c>
      <c r="U2690" s="2" t="s">
        <v>15384</v>
      </c>
      <c r="V2690" s="2" t="s">
        <v>16027</v>
      </c>
      <c r="W2690" s="1"/>
      <c r="X2690" s="2" t="s">
        <v>5030</v>
      </c>
      <c r="Y2690" s="2" t="s">
        <v>15903</v>
      </c>
      <c r="AA2690" t="str">
        <f t="shared" si="246"/>
        <v>2025-07</v>
      </c>
      <c r="AB2690" t="str">
        <f t="shared" si="247"/>
        <v/>
      </c>
      <c r="AC2690">
        <f t="shared" si="248"/>
        <v>1692302.4</v>
      </c>
      <c r="AD2690">
        <f t="shared" si="249"/>
        <v>240</v>
      </c>
      <c r="AE2690">
        <f t="shared" si="250"/>
        <v>324302.40000000002</v>
      </c>
      <c r="AF2690" t="str">
        <f t="shared" si="251"/>
        <v>Paid</v>
      </c>
    </row>
    <row r="2691" spans="1:32" ht="17.25" thickBot="1" x14ac:dyDescent="0.35">
      <c r="A2691" s="2" t="s">
        <v>16028</v>
      </c>
      <c r="B2691" s="2" t="s">
        <v>27</v>
      </c>
      <c r="C2691" s="2" t="s">
        <v>28</v>
      </c>
      <c r="D2691" s="2" t="s">
        <v>97</v>
      </c>
      <c r="E2691" s="2" t="s">
        <v>15863</v>
      </c>
      <c r="F2691" s="2" t="s">
        <v>31</v>
      </c>
      <c r="G2691" s="2" t="s">
        <v>32</v>
      </c>
      <c r="H2691" s="1"/>
      <c r="I2691" s="2" t="s">
        <v>33</v>
      </c>
      <c r="J2691" s="2" t="s">
        <v>34</v>
      </c>
      <c r="K2691" s="2" t="s">
        <v>2782</v>
      </c>
      <c r="L2691" s="2" t="s">
        <v>2783</v>
      </c>
      <c r="M2691" s="2" t="s">
        <v>70</v>
      </c>
      <c r="N2691" s="2" t="s">
        <v>38</v>
      </c>
      <c r="O2691" s="2" t="s">
        <v>362</v>
      </c>
      <c r="P2691" s="2" t="s">
        <v>8078</v>
      </c>
      <c r="Q2691" s="2" t="s">
        <v>1856</v>
      </c>
      <c r="R2691" s="2" t="s">
        <v>40</v>
      </c>
      <c r="S2691" s="2" t="s">
        <v>16029</v>
      </c>
      <c r="T2691" s="2" t="s">
        <v>13636</v>
      </c>
      <c r="U2691" s="2" t="s">
        <v>16030</v>
      </c>
      <c r="V2691" s="2" t="s">
        <v>16031</v>
      </c>
      <c r="W2691" s="1"/>
      <c r="X2691" s="2" t="s">
        <v>3560</v>
      </c>
      <c r="Y2691" s="2" t="s">
        <v>15903</v>
      </c>
      <c r="AA2691" t="str">
        <f t="shared" si="246"/>
        <v>2025-07</v>
      </c>
      <c r="AB2691" t="str">
        <f t="shared" si="247"/>
        <v/>
      </c>
      <c r="AC2691">
        <f t="shared" si="248"/>
        <v>1498560</v>
      </c>
      <c r="AD2691">
        <f t="shared" si="249"/>
        <v>320</v>
      </c>
      <c r="AE2691">
        <f t="shared" si="250"/>
        <v>311360</v>
      </c>
      <c r="AF2691" t="str">
        <f t="shared" si="251"/>
        <v>Paid</v>
      </c>
    </row>
    <row r="2692" spans="1:32" ht="17.25" thickBot="1" x14ac:dyDescent="0.35">
      <c r="A2692" s="2" t="s">
        <v>16032</v>
      </c>
      <c r="B2692" s="2" t="s">
        <v>27</v>
      </c>
      <c r="C2692" s="2" t="s">
        <v>28</v>
      </c>
      <c r="D2692" s="2" t="s">
        <v>97</v>
      </c>
      <c r="E2692" s="2" t="s">
        <v>15863</v>
      </c>
      <c r="F2692" s="2" t="s">
        <v>31</v>
      </c>
      <c r="G2692" s="2" t="s">
        <v>32</v>
      </c>
      <c r="H2692" s="1"/>
      <c r="I2692" s="2" t="s">
        <v>33</v>
      </c>
      <c r="J2692" s="2" t="s">
        <v>34</v>
      </c>
      <c r="K2692" s="2" t="s">
        <v>13644</v>
      </c>
      <c r="L2692" s="2" t="s">
        <v>13645</v>
      </c>
      <c r="M2692" s="2" t="s">
        <v>70</v>
      </c>
      <c r="N2692" s="2" t="s">
        <v>38</v>
      </c>
      <c r="O2692" s="2" t="s">
        <v>114</v>
      </c>
      <c r="P2692" s="2" t="s">
        <v>9257</v>
      </c>
      <c r="Q2692" s="2" t="s">
        <v>16033</v>
      </c>
      <c r="R2692" s="2" t="s">
        <v>40</v>
      </c>
      <c r="S2692" s="2" t="s">
        <v>16034</v>
      </c>
      <c r="T2692" s="2" t="s">
        <v>40</v>
      </c>
      <c r="U2692" s="2" t="s">
        <v>40</v>
      </c>
      <c r="V2692" s="2" t="s">
        <v>16034</v>
      </c>
      <c r="W2692" s="1"/>
      <c r="X2692" s="2" t="s">
        <v>2155</v>
      </c>
      <c r="Y2692" s="2" t="s">
        <v>15903</v>
      </c>
      <c r="AA2692" t="str">
        <f t="shared" ref="AA2692:AA2755" si="252">LEFT(E2692,7)</f>
        <v>2025-07</v>
      </c>
      <c r="AB2692" t="str">
        <f t="shared" ref="AB2692:AB2755" si="253">IF(AND($AA2692&gt;="2025-01",$AA2692&lt;="2025-06"),"H1_2025",IF(AND($AA2692&gt;="2026-01",$AA2692&lt;="2026-06"),"H1_2026",""))</f>
        <v/>
      </c>
      <c r="AC2692">
        <f t="shared" ref="AC2692:AC2755" si="254">IFERROR(VALUE(SUBSTITUTE(S2692,",","")),0)</f>
        <v>1200988.8</v>
      </c>
      <c r="AD2692">
        <f t="shared" ref="AD2692:AD2755" si="255">IFERROR(VALUE(SUBSTITUTE(O2692,",","")),0)</f>
        <v>240</v>
      </c>
      <c r="AE2692">
        <f t="shared" ref="AE2692:AE2755" si="256">IFERROR(VALUE(SUBSTITUTE(V2692,",","")),0)</f>
        <v>1200988.8</v>
      </c>
      <c r="AF2692" t="str">
        <f t="shared" ref="AF2692:AF2755" si="257">IF(ISNUMBER(SEARCH("FOC",W2692)),"FOC",IF(ISNUMBER(SEARCH("샘플",W2692)),"Sample","Paid"))</f>
        <v>Paid</v>
      </c>
    </row>
    <row r="2693" spans="1:32" ht="17.25" thickBot="1" x14ac:dyDescent="0.35">
      <c r="A2693" s="2" t="s">
        <v>16035</v>
      </c>
      <c r="B2693" s="2" t="s">
        <v>27</v>
      </c>
      <c r="C2693" s="2" t="s">
        <v>28</v>
      </c>
      <c r="D2693" s="2" t="s">
        <v>97</v>
      </c>
      <c r="E2693" s="2" t="s">
        <v>15863</v>
      </c>
      <c r="F2693" s="2" t="s">
        <v>31</v>
      </c>
      <c r="G2693" s="2" t="s">
        <v>32</v>
      </c>
      <c r="H2693" s="1"/>
      <c r="I2693" s="2" t="s">
        <v>33</v>
      </c>
      <c r="J2693" s="2" t="s">
        <v>34</v>
      </c>
      <c r="K2693" s="2" t="s">
        <v>13652</v>
      </c>
      <c r="L2693" s="2" t="s">
        <v>13653</v>
      </c>
      <c r="M2693" s="2" t="s">
        <v>70</v>
      </c>
      <c r="N2693" s="2" t="s">
        <v>38</v>
      </c>
      <c r="O2693" s="2" t="s">
        <v>114</v>
      </c>
      <c r="P2693" s="2" t="s">
        <v>6844</v>
      </c>
      <c r="Q2693" s="2" t="s">
        <v>16036</v>
      </c>
      <c r="R2693" s="2" t="s">
        <v>40</v>
      </c>
      <c r="S2693" s="2" t="s">
        <v>16037</v>
      </c>
      <c r="T2693" s="2" t="s">
        <v>40</v>
      </c>
      <c r="U2693" s="2" t="s">
        <v>40</v>
      </c>
      <c r="V2693" s="2" t="s">
        <v>16037</v>
      </c>
      <c r="W2693" s="1"/>
      <c r="X2693" s="2" t="s">
        <v>2155</v>
      </c>
      <c r="Y2693" s="2" t="s">
        <v>15903</v>
      </c>
      <c r="AA2693" t="str">
        <f t="shared" si="252"/>
        <v>2025-07</v>
      </c>
      <c r="AB2693" t="str">
        <f t="shared" si="253"/>
        <v/>
      </c>
      <c r="AC2693">
        <f t="shared" si="254"/>
        <v>1249156.8</v>
      </c>
      <c r="AD2693">
        <f t="shared" si="255"/>
        <v>240</v>
      </c>
      <c r="AE2693">
        <f t="shared" si="256"/>
        <v>1249156.8</v>
      </c>
      <c r="AF2693" t="str">
        <f t="shared" si="257"/>
        <v>Paid</v>
      </c>
    </row>
    <row r="2694" spans="1:32" ht="17.25" thickBot="1" x14ac:dyDescent="0.35">
      <c r="A2694" s="2" t="s">
        <v>16038</v>
      </c>
      <c r="B2694" s="2" t="s">
        <v>27</v>
      </c>
      <c r="C2694" s="2" t="s">
        <v>28</v>
      </c>
      <c r="D2694" s="2" t="s">
        <v>97</v>
      </c>
      <c r="E2694" s="2" t="s">
        <v>15863</v>
      </c>
      <c r="F2694" s="2" t="s">
        <v>31</v>
      </c>
      <c r="G2694" s="2" t="s">
        <v>32</v>
      </c>
      <c r="H2694" s="1"/>
      <c r="I2694" s="2" t="s">
        <v>33</v>
      </c>
      <c r="J2694" s="2" t="s">
        <v>34</v>
      </c>
      <c r="K2694" s="2" t="s">
        <v>11533</v>
      </c>
      <c r="L2694" s="2" t="s">
        <v>11534</v>
      </c>
      <c r="M2694" s="2" t="s">
        <v>70</v>
      </c>
      <c r="N2694" s="2" t="s">
        <v>38</v>
      </c>
      <c r="O2694" s="2" t="s">
        <v>362</v>
      </c>
      <c r="P2694" s="2" t="s">
        <v>4337</v>
      </c>
      <c r="Q2694" s="2" t="s">
        <v>16039</v>
      </c>
      <c r="R2694" s="2" t="s">
        <v>40</v>
      </c>
      <c r="S2694" s="2" t="s">
        <v>16040</v>
      </c>
      <c r="T2694" s="2" t="s">
        <v>4850</v>
      </c>
      <c r="U2694" s="2" t="s">
        <v>16041</v>
      </c>
      <c r="V2694" s="2" t="s">
        <v>16042</v>
      </c>
      <c r="W2694" s="1"/>
      <c r="X2694" s="2" t="s">
        <v>2797</v>
      </c>
      <c r="Y2694" s="2" t="s">
        <v>15903</v>
      </c>
      <c r="AA2694" t="str">
        <f t="shared" si="252"/>
        <v>2025-07</v>
      </c>
      <c r="AB2694" t="str">
        <f t="shared" si="253"/>
        <v/>
      </c>
      <c r="AC2694">
        <f t="shared" si="254"/>
        <v>2765913.6</v>
      </c>
      <c r="AD2694">
        <f t="shared" si="255"/>
        <v>320</v>
      </c>
      <c r="AE2694">
        <f t="shared" si="256"/>
        <v>566553.59999999998</v>
      </c>
      <c r="AF2694" t="str">
        <f t="shared" si="257"/>
        <v>Paid</v>
      </c>
    </row>
    <row r="2695" spans="1:32" ht="17.25" thickBot="1" x14ac:dyDescent="0.35">
      <c r="A2695" s="2" t="s">
        <v>16043</v>
      </c>
      <c r="B2695" s="2" t="s">
        <v>27</v>
      </c>
      <c r="C2695" s="2" t="s">
        <v>28</v>
      </c>
      <c r="D2695" s="2" t="s">
        <v>97</v>
      </c>
      <c r="E2695" s="2" t="s">
        <v>15863</v>
      </c>
      <c r="F2695" s="2" t="s">
        <v>31</v>
      </c>
      <c r="G2695" s="2" t="s">
        <v>32</v>
      </c>
      <c r="H2695" s="1"/>
      <c r="I2695" s="2" t="s">
        <v>33</v>
      </c>
      <c r="J2695" s="2" t="s">
        <v>34</v>
      </c>
      <c r="K2695" s="2" t="s">
        <v>2789</v>
      </c>
      <c r="L2695" s="2" t="s">
        <v>2790</v>
      </c>
      <c r="M2695" s="2" t="s">
        <v>70</v>
      </c>
      <c r="N2695" s="2" t="s">
        <v>38</v>
      </c>
      <c r="O2695" s="2" t="s">
        <v>849</v>
      </c>
      <c r="P2695" s="2" t="s">
        <v>4337</v>
      </c>
      <c r="Q2695" s="2" t="s">
        <v>16044</v>
      </c>
      <c r="R2695" s="2" t="s">
        <v>40</v>
      </c>
      <c r="S2695" s="2" t="s">
        <v>16045</v>
      </c>
      <c r="T2695" s="2" t="s">
        <v>4850</v>
      </c>
      <c r="U2695" s="2" t="s">
        <v>16046</v>
      </c>
      <c r="V2695" s="2" t="s">
        <v>16047</v>
      </c>
      <c r="W2695" s="1"/>
      <c r="X2695" s="2" t="s">
        <v>2797</v>
      </c>
      <c r="Y2695" s="2" t="s">
        <v>15903</v>
      </c>
      <c r="AA2695" t="str">
        <f t="shared" si="252"/>
        <v>2025-07</v>
      </c>
      <c r="AB2695" t="str">
        <f t="shared" si="253"/>
        <v/>
      </c>
      <c r="AC2695">
        <f t="shared" si="254"/>
        <v>1382956.8</v>
      </c>
      <c r="AD2695">
        <f t="shared" si="255"/>
        <v>160</v>
      </c>
      <c r="AE2695">
        <f t="shared" si="256"/>
        <v>283276.79999999999</v>
      </c>
      <c r="AF2695" t="str">
        <f t="shared" si="257"/>
        <v>Paid</v>
      </c>
    </row>
    <row r="2696" spans="1:32" ht="27.75" thickBot="1" x14ac:dyDescent="0.35">
      <c r="A2696" s="2" t="s">
        <v>16048</v>
      </c>
      <c r="B2696" s="2" t="s">
        <v>27</v>
      </c>
      <c r="C2696" s="2" t="s">
        <v>28</v>
      </c>
      <c r="D2696" s="2" t="s">
        <v>97</v>
      </c>
      <c r="E2696" s="2" t="s">
        <v>15863</v>
      </c>
      <c r="F2696" s="2" t="s">
        <v>31</v>
      </c>
      <c r="G2696" s="2" t="s">
        <v>32</v>
      </c>
      <c r="H2696" s="1"/>
      <c r="I2696" s="2" t="s">
        <v>33</v>
      </c>
      <c r="J2696" s="2" t="s">
        <v>34</v>
      </c>
      <c r="K2696" s="2" t="s">
        <v>68</v>
      </c>
      <c r="L2696" s="2" t="s">
        <v>69</v>
      </c>
      <c r="M2696" s="2" t="s">
        <v>70</v>
      </c>
      <c r="N2696" s="2" t="s">
        <v>38</v>
      </c>
      <c r="O2696" s="2" t="s">
        <v>1914</v>
      </c>
      <c r="P2696" s="2" t="s">
        <v>16049</v>
      </c>
      <c r="Q2696" s="2" t="s">
        <v>16050</v>
      </c>
      <c r="R2696" s="2" t="s">
        <v>40</v>
      </c>
      <c r="S2696" s="2" t="s">
        <v>16051</v>
      </c>
      <c r="T2696" s="2" t="s">
        <v>14059</v>
      </c>
      <c r="U2696" s="2" t="s">
        <v>16052</v>
      </c>
      <c r="V2696" s="2" t="s">
        <v>16053</v>
      </c>
      <c r="W2696" s="1"/>
      <c r="X2696" s="2" t="s">
        <v>15237</v>
      </c>
      <c r="Y2696" s="2" t="s">
        <v>15903</v>
      </c>
      <c r="AA2696" t="str">
        <f t="shared" si="252"/>
        <v>2025-07</v>
      </c>
      <c r="AB2696" t="str">
        <f t="shared" si="253"/>
        <v/>
      </c>
      <c r="AC2696">
        <f t="shared" si="254"/>
        <v>4166532</v>
      </c>
      <c r="AD2696">
        <f t="shared" si="255"/>
        <v>900</v>
      </c>
      <c r="AE2696">
        <f t="shared" si="256"/>
        <v>1711332</v>
      </c>
      <c r="AF2696" t="str">
        <f t="shared" si="257"/>
        <v>Paid</v>
      </c>
    </row>
    <row r="2697" spans="1:32" ht="27.75" thickBot="1" x14ac:dyDescent="0.35">
      <c r="A2697" s="2" t="s">
        <v>16054</v>
      </c>
      <c r="B2697" s="2" t="s">
        <v>27</v>
      </c>
      <c r="C2697" s="2" t="s">
        <v>28</v>
      </c>
      <c r="D2697" s="2" t="s">
        <v>97</v>
      </c>
      <c r="E2697" s="2" t="s">
        <v>15863</v>
      </c>
      <c r="F2697" s="2" t="s">
        <v>31</v>
      </c>
      <c r="G2697" s="2" t="s">
        <v>32</v>
      </c>
      <c r="H2697" s="1"/>
      <c r="I2697" s="2" t="s">
        <v>33</v>
      </c>
      <c r="J2697" s="2" t="s">
        <v>34</v>
      </c>
      <c r="K2697" s="2" t="s">
        <v>2817</v>
      </c>
      <c r="L2697" s="2" t="s">
        <v>2818</v>
      </c>
      <c r="M2697" s="2" t="s">
        <v>70</v>
      </c>
      <c r="N2697" s="2" t="s">
        <v>38</v>
      </c>
      <c r="O2697" s="2" t="s">
        <v>149</v>
      </c>
      <c r="P2697" s="2" t="s">
        <v>16049</v>
      </c>
      <c r="Q2697" s="2" t="s">
        <v>16055</v>
      </c>
      <c r="R2697" s="2" t="s">
        <v>40</v>
      </c>
      <c r="S2697" s="2" t="s">
        <v>16056</v>
      </c>
      <c r="T2697" s="2" t="s">
        <v>16057</v>
      </c>
      <c r="U2697" s="2" t="s">
        <v>16058</v>
      </c>
      <c r="V2697" s="2" t="s">
        <v>16059</v>
      </c>
      <c r="W2697" s="1"/>
      <c r="X2697" s="2" t="s">
        <v>16060</v>
      </c>
      <c r="Y2697" s="2" t="s">
        <v>15903</v>
      </c>
      <c r="AA2697" t="str">
        <f t="shared" si="252"/>
        <v>2025-07</v>
      </c>
      <c r="AB2697" t="str">
        <f t="shared" si="253"/>
        <v/>
      </c>
      <c r="AC2697">
        <f t="shared" si="254"/>
        <v>1388844</v>
      </c>
      <c r="AD2697">
        <f t="shared" si="255"/>
        <v>300</v>
      </c>
      <c r="AE2697">
        <f t="shared" si="256"/>
        <v>380343</v>
      </c>
      <c r="AF2697" t="str">
        <f t="shared" si="257"/>
        <v>Paid</v>
      </c>
    </row>
    <row r="2698" spans="1:32" ht="27.75" thickBot="1" x14ac:dyDescent="0.35">
      <c r="A2698" s="2" t="s">
        <v>16061</v>
      </c>
      <c r="B2698" s="2" t="s">
        <v>27</v>
      </c>
      <c r="C2698" s="2" t="s">
        <v>28</v>
      </c>
      <c r="D2698" s="2" t="s">
        <v>97</v>
      </c>
      <c r="E2698" s="2" t="s">
        <v>15863</v>
      </c>
      <c r="F2698" s="2" t="s">
        <v>31</v>
      </c>
      <c r="G2698" s="2" t="s">
        <v>32</v>
      </c>
      <c r="H2698" s="1"/>
      <c r="I2698" s="2" t="s">
        <v>33</v>
      </c>
      <c r="J2698" s="2" t="s">
        <v>34</v>
      </c>
      <c r="K2698" s="2" t="s">
        <v>16062</v>
      </c>
      <c r="L2698" s="2" t="s">
        <v>16063</v>
      </c>
      <c r="M2698" s="2" t="s">
        <v>70</v>
      </c>
      <c r="N2698" s="2" t="s">
        <v>38</v>
      </c>
      <c r="O2698" s="2" t="s">
        <v>272</v>
      </c>
      <c r="P2698" s="2" t="s">
        <v>16064</v>
      </c>
      <c r="Q2698" s="2" t="s">
        <v>16065</v>
      </c>
      <c r="R2698" s="2" t="s">
        <v>40</v>
      </c>
      <c r="S2698" s="2" t="s">
        <v>16066</v>
      </c>
      <c r="T2698" s="2" t="s">
        <v>13688</v>
      </c>
      <c r="U2698" s="2" t="s">
        <v>16067</v>
      </c>
      <c r="V2698" s="2" t="s">
        <v>16068</v>
      </c>
      <c r="W2698" s="1"/>
      <c r="X2698" s="2" t="s">
        <v>3089</v>
      </c>
      <c r="Y2698" s="2" t="s">
        <v>15903</v>
      </c>
      <c r="AA2698" t="str">
        <f t="shared" si="252"/>
        <v>2025-07</v>
      </c>
      <c r="AB2698" t="str">
        <f t="shared" si="253"/>
        <v/>
      </c>
      <c r="AC2698">
        <f t="shared" si="254"/>
        <v>520883.4</v>
      </c>
      <c r="AD2698">
        <f t="shared" si="255"/>
        <v>34</v>
      </c>
      <c r="AE2698">
        <f t="shared" si="256"/>
        <v>100507.4</v>
      </c>
      <c r="AF2698" t="str">
        <f t="shared" si="257"/>
        <v>Paid</v>
      </c>
    </row>
    <row r="2699" spans="1:32" ht="27.75" thickBot="1" x14ac:dyDescent="0.35">
      <c r="A2699" s="2" t="s">
        <v>16069</v>
      </c>
      <c r="B2699" s="2" t="s">
        <v>27</v>
      </c>
      <c r="C2699" s="2" t="s">
        <v>28</v>
      </c>
      <c r="D2699" s="2" t="s">
        <v>97</v>
      </c>
      <c r="E2699" s="2" t="s">
        <v>15863</v>
      </c>
      <c r="F2699" s="2" t="s">
        <v>31</v>
      </c>
      <c r="G2699" s="2" t="s">
        <v>32</v>
      </c>
      <c r="H2699" s="1"/>
      <c r="I2699" s="2" t="s">
        <v>33</v>
      </c>
      <c r="J2699" s="2" t="s">
        <v>34</v>
      </c>
      <c r="K2699" s="2" t="s">
        <v>13691</v>
      </c>
      <c r="L2699" s="2" t="s">
        <v>13692</v>
      </c>
      <c r="M2699" s="2" t="s">
        <v>70</v>
      </c>
      <c r="N2699" s="2" t="s">
        <v>38</v>
      </c>
      <c r="O2699" s="2" t="s">
        <v>362</v>
      </c>
      <c r="P2699" s="2" t="s">
        <v>6284</v>
      </c>
      <c r="Q2699" s="2" t="s">
        <v>3023</v>
      </c>
      <c r="R2699" s="2" t="s">
        <v>40</v>
      </c>
      <c r="S2699" s="2" t="s">
        <v>16070</v>
      </c>
      <c r="T2699" s="2" t="s">
        <v>2832</v>
      </c>
      <c r="U2699" s="2" t="s">
        <v>16071</v>
      </c>
      <c r="V2699" s="2" t="s">
        <v>16072</v>
      </c>
      <c r="W2699" s="1"/>
      <c r="X2699" s="2" t="s">
        <v>2000</v>
      </c>
      <c r="Y2699" s="2" t="s">
        <v>15903</v>
      </c>
      <c r="AA2699" t="str">
        <f t="shared" si="252"/>
        <v>2025-07</v>
      </c>
      <c r="AB2699" t="str">
        <f t="shared" si="253"/>
        <v/>
      </c>
      <c r="AC2699">
        <f t="shared" si="254"/>
        <v>2676000</v>
      </c>
      <c r="AD2699">
        <f t="shared" si="255"/>
        <v>320</v>
      </c>
      <c r="AE2699">
        <f t="shared" si="256"/>
        <v>532000</v>
      </c>
      <c r="AF2699" t="str">
        <f t="shared" si="257"/>
        <v>Paid</v>
      </c>
    </row>
    <row r="2700" spans="1:32" ht="17.25" thickBot="1" x14ac:dyDescent="0.35">
      <c r="A2700" s="2" t="s">
        <v>16073</v>
      </c>
      <c r="B2700" s="2" t="s">
        <v>27</v>
      </c>
      <c r="C2700" s="2" t="s">
        <v>28</v>
      </c>
      <c r="D2700" s="2" t="s">
        <v>97</v>
      </c>
      <c r="E2700" s="2" t="s">
        <v>15863</v>
      </c>
      <c r="F2700" s="2" t="s">
        <v>31</v>
      </c>
      <c r="G2700" s="2" t="s">
        <v>32</v>
      </c>
      <c r="H2700" s="1"/>
      <c r="I2700" s="2" t="s">
        <v>33</v>
      </c>
      <c r="J2700" s="2" t="s">
        <v>34</v>
      </c>
      <c r="K2700" s="2" t="s">
        <v>3591</v>
      </c>
      <c r="L2700" s="2" t="s">
        <v>3592</v>
      </c>
      <c r="M2700" s="2" t="s">
        <v>70</v>
      </c>
      <c r="N2700" s="2" t="s">
        <v>38</v>
      </c>
      <c r="O2700" s="2" t="s">
        <v>773</v>
      </c>
      <c r="P2700" s="2" t="s">
        <v>13868</v>
      </c>
      <c r="Q2700" s="2" t="s">
        <v>16074</v>
      </c>
      <c r="R2700" s="2" t="s">
        <v>40</v>
      </c>
      <c r="S2700" s="2" t="s">
        <v>16075</v>
      </c>
      <c r="T2700" s="2" t="s">
        <v>13701</v>
      </c>
      <c r="U2700" s="2" t="s">
        <v>16076</v>
      </c>
      <c r="V2700" s="2" t="s">
        <v>15885</v>
      </c>
      <c r="W2700" s="1"/>
      <c r="X2700" s="2" t="s">
        <v>838</v>
      </c>
      <c r="Y2700" s="2" t="s">
        <v>15903</v>
      </c>
      <c r="AA2700" t="str">
        <f t="shared" si="252"/>
        <v>2025-07</v>
      </c>
      <c r="AB2700" t="str">
        <f t="shared" si="253"/>
        <v/>
      </c>
      <c r="AC2700">
        <f t="shared" si="254"/>
        <v>735900</v>
      </c>
      <c r="AD2700">
        <f t="shared" si="255"/>
        <v>200</v>
      </c>
      <c r="AE2700">
        <f t="shared" si="256"/>
        <v>153900</v>
      </c>
      <c r="AF2700" t="str">
        <f t="shared" si="257"/>
        <v>Paid</v>
      </c>
    </row>
    <row r="2701" spans="1:32" ht="17.25" thickBot="1" x14ac:dyDescent="0.35">
      <c r="A2701" s="2" t="s">
        <v>16077</v>
      </c>
      <c r="B2701" s="2" t="s">
        <v>27</v>
      </c>
      <c r="C2701" s="2" t="s">
        <v>28</v>
      </c>
      <c r="D2701" s="2" t="s">
        <v>97</v>
      </c>
      <c r="E2701" s="2" t="s">
        <v>15863</v>
      </c>
      <c r="F2701" s="2" t="s">
        <v>31</v>
      </c>
      <c r="G2701" s="2" t="s">
        <v>32</v>
      </c>
      <c r="H2701" s="1"/>
      <c r="I2701" s="2" t="s">
        <v>33</v>
      </c>
      <c r="J2701" s="2" t="s">
        <v>34</v>
      </c>
      <c r="K2701" s="2" t="s">
        <v>11618</v>
      </c>
      <c r="L2701" s="2" t="s">
        <v>11619</v>
      </c>
      <c r="M2701" s="2" t="s">
        <v>8432</v>
      </c>
      <c r="N2701" s="2" t="s">
        <v>38</v>
      </c>
      <c r="O2701" s="2" t="s">
        <v>177</v>
      </c>
      <c r="P2701" s="2" t="s">
        <v>16078</v>
      </c>
      <c r="Q2701" s="2" t="s">
        <v>16079</v>
      </c>
      <c r="R2701" s="2" t="s">
        <v>40</v>
      </c>
      <c r="S2701" s="2" t="s">
        <v>16080</v>
      </c>
      <c r="T2701" s="2" t="s">
        <v>11622</v>
      </c>
      <c r="U2701" s="2" t="s">
        <v>16081</v>
      </c>
      <c r="V2701" s="2" t="s">
        <v>16082</v>
      </c>
      <c r="W2701" s="1"/>
      <c r="X2701" s="2" t="s">
        <v>8198</v>
      </c>
      <c r="Y2701" s="2" t="s">
        <v>15903</v>
      </c>
      <c r="AA2701" t="str">
        <f t="shared" si="252"/>
        <v>2025-07</v>
      </c>
      <c r="AB2701" t="str">
        <f t="shared" si="253"/>
        <v/>
      </c>
      <c r="AC2701">
        <f t="shared" si="254"/>
        <v>8070816</v>
      </c>
      <c r="AD2701">
        <f t="shared" si="255"/>
        <v>400</v>
      </c>
      <c r="AE2701">
        <f t="shared" si="256"/>
        <v>2114416</v>
      </c>
      <c r="AF2701" t="str">
        <f t="shared" si="257"/>
        <v>Paid</v>
      </c>
    </row>
    <row r="2702" spans="1:32" ht="17.25" thickBot="1" x14ac:dyDescent="0.35">
      <c r="A2702" s="2" t="s">
        <v>16083</v>
      </c>
      <c r="B2702" s="2" t="s">
        <v>27</v>
      </c>
      <c r="C2702" s="2" t="s">
        <v>28</v>
      </c>
      <c r="D2702" s="2" t="s">
        <v>97</v>
      </c>
      <c r="E2702" s="2" t="s">
        <v>15863</v>
      </c>
      <c r="F2702" s="2" t="s">
        <v>31</v>
      </c>
      <c r="G2702" s="2" t="s">
        <v>32</v>
      </c>
      <c r="H2702" s="1"/>
      <c r="I2702" s="2" t="s">
        <v>33</v>
      </c>
      <c r="J2702" s="2" t="s">
        <v>34</v>
      </c>
      <c r="K2702" s="2" t="s">
        <v>808</v>
      </c>
      <c r="L2702" s="2" t="s">
        <v>809</v>
      </c>
      <c r="M2702" s="2" t="s">
        <v>772</v>
      </c>
      <c r="N2702" s="2" t="s">
        <v>38</v>
      </c>
      <c r="O2702" s="2" t="s">
        <v>177</v>
      </c>
      <c r="P2702" s="2" t="s">
        <v>5794</v>
      </c>
      <c r="Q2702" s="2" t="s">
        <v>16084</v>
      </c>
      <c r="R2702" s="2" t="s">
        <v>40</v>
      </c>
      <c r="S2702" s="2" t="s">
        <v>16085</v>
      </c>
      <c r="T2702" s="2" t="s">
        <v>814</v>
      </c>
      <c r="U2702" s="2" t="s">
        <v>15401</v>
      </c>
      <c r="V2702" s="2" t="s">
        <v>16086</v>
      </c>
      <c r="W2702" s="1"/>
      <c r="X2702" s="2" t="s">
        <v>976</v>
      </c>
      <c r="Y2702" s="2" t="s">
        <v>15903</v>
      </c>
      <c r="AA2702" t="str">
        <f t="shared" si="252"/>
        <v>2025-07</v>
      </c>
      <c r="AB2702" t="str">
        <f t="shared" si="253"/>
        <v/>
      </c>
      <c r="AC2702">
        <f t="shared" si="254"/>
        <v>5143272</v>
      </c>
      <c r="AD2702">
        <f t="shared" si="255"/>
        <v>400</v>
      </c>
      <c r="AE2702">
        <f t="shared" si="256"/>
        <v>1039272</v>
      </c>
      <c r="AF2702" t="str">
        <f t="shared" si="257"/>
        <v>Paid</v>
      </c>
    </row>
    <row r="2703" spans="1:32" ht="17.25" thickBot="1" x14ac:dyDescent="0.35">
      <c r="A2703" s="2" t="s">
        <v>16087</v>
      </c>
      <c r="B2703" s="2" t="s">
        <v>27</v>
      </c>
      <c r="C2703" s="2" t="s">
        <v>28</v>
      </c>
      <c r="D2703" s="2" t="s">
        <v>97</v>
      </c>
      <c r="E2703" s="2" t="s">
        <v>15863</v>
      </c>
      <c r="F2703" s="2" t="s">
        <v>31</v>
      </c>
      <c r="G2703" s="2" t="s">
        <v>32</v>
      </c>
      <c r="H2703" s="1"/>
      <c r="I2703" s="2" t="s">
        <v>33</v>
      </c>
      <c r="J2703" s="2" t="s">
        <v>34</v>
      </c>
      <c r="K2703" s="2" t="s">
        <v>4295</v>
      </c>
      <c r="L2703" s="2" t="s">
        <v>4296</v>
      </c>
      <c r="M2703" s="2" t="s">
        <v>772</v>
      </c>
      <c r="N2703" s="2" t="s">
        <v>38</v>
      </c>
      <c r="O2703" s="2" t="s">
        <v>141</v>
      </c>
      <c r="P2703" s="2" t="s">
        <v>40</v>
      </c>
      <c r="Q2703" s="2" t="s">
        <v>40</v>
      </c>
      <c r="R2703" s="2" t="s">
        <v>40</v>
      </c>
      <c r="S2703" s="2" t="s">
        <v>40</v>
      </c>
      <c r="T2703" s="2" t="s">
        <v>6652</v>
      </c>
      <c r="U2703" s="2" t="s">
        <v>14967</v>
      </c>
      <c r="V2703" s="2" t="s">
        <v>16088</v>
      </c>
      <c r="W2703" s="2" t="s">
        <v>41</v>
      </c>
      <c r="X2703" s="2" t="s">
        <v>42</v>
      </c>
      <c r="Y2703" s="2" t="s">
        <v>15903</v>
      </c>
      <c r="AA2703" t="str">
        <f t="shared" si="252"/>
        <v>2025-07</v>
      </c>
      <c r="AB2703" t="str">
        <f t="shared" si="253"/>
        <v/>
      </c>
      <c r="AC2703">
        <f t="shared" si="254"/>
        <v>0</v>
      </c>
      <c r="AD2703">
        <f t="shared" si="255"/>
        <v>30</v>
      </c>
      <c r="AE2703">
        <f t="shared" si="256"/>
        <v>-195000</v>
      </c>
      <c r="AF2703" t="str">
        <f t="shared" si="257"/>
        <v>Sample</v>
      </c>
    </row>
    <row r="2704" spans="1:32" ht="17.25" thickBot="1" x14ac:dyDescent="0.35">
      <c r="A2704" s="2" t="s">
        <v>16089</v>
      </c>
      <c r="B2704" s="2" t="s">
        <v>27</v>
      </c>
      <c r="C2704" s="2" t="s">
        <v>28</v>
      </c>
      <c r="D2704" s="2" t="s">
        <v>97</v>
      </c>
      <c r="E2704" s="2" t="s">
        <v>15863</v>
      </c>
      <c r="F2704" s="2" t="s">
        <v>31</v>
      </c>
      <c r="G2704" s="2" t="s">
        <v>32</v>
      </c>
      <c r="H2704" s="1"/>
      <c r="I2704" s="2" t="s">
        <v>33</v>
      </c>
      <c r="J2704" s="2" t="s">
        <v>34</v>
      </c>
      <c r="K2704" s="2" t="s">
        <v>16090</v>
      </c>
      <c r="L2704" s="2" t="s">
        <v>16091</v>
      </c>
      <c r="M2704" s="2" t="s">
        <v>772</v>
      </c>
      <c r="N2704" s="2" t="s">
        <v>38</v>
      </c>
      <c r="O2704" s="2" t="s">
        <v>214</v>
      </c>
      <c r="P2704" s="2" t="s">
        <v>2124</v>
      </c>
      <c r="Q2704" s="2" t="s">
        <v>16092</v>
      </c>
      <c r="R2704" s="2" t="s">
        <v>40</v>
      </c>
      <c r="S2704" s="2" t="s">
        <v>16093</v>
      </c>
      <c r="T2704" s="2" t="s">
        <v>942</v>
      </c>
      <c r="U2704" s="2" t="s">
        <v>16094</v>
      </c>
      <c r="V2704" s="2" t="s">
        <v>16095</v>
      </c>
      <c r="W2704" s="1"/>
      <c r="X2704" s="2" t="s">
        <v>3583</v>
      </c>
      <c r="Y2704" s="2" t="s">
        <v>15903</v>
      </c>
      <c r="AA2704" t="str">
        <f t="shared" si="252"/>
        <v>2025-07</v>
      </c>
      <c r="AB2704" t="str">
        <f t="shared" si="253"/>
        <v/>
      </c>
      <c r="AC2704">
        <f t="shared" si="254"/>
        <v>612804</v>
      </c>
      <c r="AD2704">
        <f t="shared" si="255"/>
        <v>50</v>
      </c>
      <c r="AE2704">
        <f t="shared" si="256"/>
        <v>121354</v>
      </c>
      <c r="AF2704" t="str">
        <f t="shared" si="257"/>
        <v>Paid</v>
      </c>
    </row>
    <row r="2705" spans="1:32" ht="17.25" thickBot="1" x14ac:dyDescent="0.35">
      <c r="A2705" s="2" t="s">
        <v>16096</v>
      </c>
      <c r="B2705" s="2" t="s">
        <v>27</v>
      </c>
      <c r="C2705" s="2" t="s">
        <v>28</v>
      </c>
      <c r="D2705" s="2" t="s">
        <v>97</v>
      </c>
      <c r="E2705" s="2" t="s">
        <v>15863</v>
      </c>
      <c r="F2705" s="2" t="s">
        <v>31</v>
      </c>
      <c r="G2705" s="2" t="s">
        <v>32</v>
      </c>
      <c r="H2705" s="1"/>
      <c r="I2705" s="2" t="s">
        <v>33</v>
      </c>
      <c r="J2705" s="2" t="s">
        <v>34</v>
      </c>
      <c r="K2705" s="2" t="s">
        <v>946</v>
      </c>
      <c r="L2705" s="2" t="s">
        <v>947</v>
      </c>
      <c r="M2705" s="2" t="s">
        <v>772</v>
      </c>
      <c r="N2705" s="2" t="s">
        <v>38</v>
      </c>
      <c r="O2705" s="2" t="s">
        <v>1158</v>
      </c>
      <c r="P2705" s="2" t="s">
        <v>10849</v>
      </c>
      <c r="Q2705" s="2" t="s">
        <v>16097</v>
      </c>
      <c r="R2705" s="2" t="s">
        <v>40</v>
      </c>
      <c r="S2705" s="2" t="s">
        <v>16098</v>
      </c>
      <c r="T2705" s="2" t="s">
        <v>952</v>
      </c>
      <c r="U2705" s="2" t="s">
        <v>1919</v>
      </c>
      <c r="V2705" s="2" t="s">
        <v>16099</v>
      </c>
      <c r="W2705" s="1"/>
      <c r="X2705" s="2" t="s">
        <v>3089</v>
      </c>
      <c r="Y2705" s="2" t="s">
        <v>15903</v>
      </c>
      <c r="AA2705" t="str">
        <f t="shared" si="252"/>
        <v>2025-07</v>
      </c>
      <c r="AB2705" t="str">
        <f t="shared" si="253"/>
        <v/>
      </c>
      <c r="AC2705">
        <f t="shared" si="254"/>
        <v>2678140.7999999998</v>
      </c>
      <c r="AD2705">
        <f t="shared" si="255"/>
        <v>180</v>
      </c>
      <c r="AE2705">
        <f t="shared" si="256"/>
        <v>518140.8</v>
      </c>
      <c r="AF2705" t="str">
        <f t="shared" si="257"/>
        <v>Paid</v>
      </c>
    </row>
    <row r="2706" spans="1:32" ht="17.25" thickBot="1" x14ac:dyDescent="0.35">
      <c r="A2706" s="2" t="s">
        <v>16100</v>
      </c>
      <c r="B2706" s="2" t="s">
        <v>27</v>
      </c>
      <c r="C2706" s="2" t="s">
        <v>28</v>
      </c>
      <c r="D2706" s="2" t="s">
        <v>97</v>
      </c>
      <c r="E2706" s="2" t="s">
        <v>15863</v>
      </c>
      <c r="F2706" s="2" t="s">
        <v>31</v>
      </c>
      <c r="G2706" s="2" t="s">
        <v>32</v>
      </c>
      <c r="H2706" s="1"/>
      <c r="I2706" s="2" t="s">
        <v>33</v>
      </c>
      <c r="J2706" s="2" t="s">
        <v>34</v>
      </c>
      <c r="K2706" s="2" t="s">
        <v>967</v>
      </c>
      <c r="L2706" s="2" t="s">
        <v>968</v>
      </c>
      <c r="M2706" s="2" t="s">
        <v>772</v>
      </c>
      <c r="N2706" s="2" t="s">
        <v>38</v>
      </c>
      <c r="O2706" s="2" t="s">
        <v>849</v>
      </c>
      <c r="P2706" s="2" t="s">
        <v>16101</v>
      </c>
      <c r="Q2706" s="2" t="s">
        <v>16102</v>
      </c>
      <c r="R2706" s="2" t="s">
        <v>40</v>
      </c>
      <c r="S2706" s="2" t="s">
        <v>16103</v>
      </c>
      <c r="T2706" s="2" t="s">
        <v>973</v>
      </c>
      <c r="U2706" s="2" t="s">
        <v>9757</v>
      </c>
      <c r="V2706" s="2" t="s">
        <v>16104</v>
      </c>
      <c r="W2706" s="1"/>
      <c r="X2706" s="2" t="s">
        <v>7137</v>
      </c>
      <c r="Y2706" s="2" t="s">
        <v>15903</v>
      </c>
      <c r="AA2706" t="str">
        <f t="shared" si="252"/>
        <v>2025-07</v>
      </c>
      <c r="AB2706" t="str">
        <f t="shared" si="253"/>
        <v/>
      </c>
      <c r="AC2706">
        <f t="shared" si="254"/>
        <v>2307782.4</v>
      </c>
      <c r="AD2706">
        <f t="shared" si="255"/>
        <v>160</v>
      </c>
      <c r="AE2706">
        <f t="shared" si="256"/>
        <v>467782.40000000002</v>
      </c>
      <c r="AF2706" t="str">
        <f t="shared" si="257"/>
        <v>Paid</v>
      </c>
    </row>
    <row r="2707" spans="1:32" ht="17.25" thickBot="1" x14ac:dyDescent="0.35">
      <c r="A2707" s="2" t="s">
        <v>16105</v>
      </c>
      <c r="B2707" s="2" t="s">
        <v>27</v>
      </c>
      <c r="C2707" s="2" t="s">
        <v>28</v>
      </c>
      <c r="D2707" s="2" t="s">
        <v>97</v>
      </c>
      <c r="E2707" s="2" t="s">
        <v>15863</v>
      </c>
      <c r="F2707" s="2" t="s">
        <v>31</v>
      </c>
      <c r="G2707" s="2" t="s">
        <v>32</v>
      </c>
      <c r="H2707" s="1"/>
      <c r="I2707" s="2" t="s">
        <v>33</v>
      </c>
      <c r="J2707" s="2" t="s">
        <v>34</v>
      </c>
      <c r="K2707" s="2" t="s">
        <v>988</v>
      </c>
      <c r="L2707" s="2" t="s">
        <v>989</v>
      </c>
      <c r="M2707" s="2" t="s">
        <v>772</v>
      </c>
      <c r="N2707" s="2" t="s">
        <v>38</v>
      </c>
      <c r="O2707" s="2" t="s">
        <v>15572</v>
      </c>
      <c r="P2707" s="2" t="s">
        <v>7230</v>
      </c>
      <c r="Q2707" s="2" t="s">
        <v>16106</v>
      </c>
      <c r="R2707" s="2" t="s">
        <v>40</v>
      </c>
      <c r="S2707" s="2" t="s">
        <v>16107</v>
      </c>
      <c r="T2707" s="2" t="s">
        <v>994</v>
      </c>
      <c r="U2707" s="2" t="s">
        <v>16108</v>
      </c>
      <c r="V2707" s="2" t="s">
        <v>16109</v>
      </c>
      <c r="W2707" s="1"/>
      <c r="X2707" s="2" t="s">
        <v>258</v>
      </c>
      <c r="Y2707" s="2" t="s">
        <v>15903</v>
      </c>
      <c r="AA2707" t="str">
        <f t="shared" si="252"/>
        <v>2025-07</v>
      </c>
      <c r="AB2707" t="str">
        <f t="shared" si="253"/>
        <v/>
      </c>
      <c r="AC2707">
        <f t="shared" si="254"/>
        <v>13915735.199999999</v>
      </c>
      <c r="AD2707">
        <f t="shared" si="255"/>
        <v>1080</v>
      </c>
      <c r="AE2707">
        <f t="shared" si="256"/>
        <v>2737735.2</v>
      </c>
      <c r="AF2707" t="str">
        <f t="shared" si="257"/>
        <v>Paid</v>
      </c>
    </row>
    <row r="2708" spans="1:32" ht="17.25" thickBot="1" x14ac:dyDescent="0.35">
      <c r="A2708" s="2" t="s">
        <v>16110</v>
      </c>
      <c r="B2708" s="2" t="s">
        <v>27</v>
      </c>
      <c r="C2708" s="2" t="s">
        <v>28</v>
      </c>
      <c r="D2708" s="2" t="s">
        <v>97</v>
      </c>
      <c r="E2708" s="2" t="s">
        <v>15863</v>
      </c>
      <c r="F2708" s="2" t="s">
        <v>31</v>
      </c>
      <c r="G2708" s="2" t="s">
        <v>32</v>
      </c>
      <c r="H2708" s="1"/>
      <c r="I2708" s="2" t="s">
        <v>33</v>
      </c>
      <c r="J2708" s="2" t="s">
        <v>34</v>
      </c>
      <c r="K2708" s="2" t="s">
        <v>999</v>
      </c>
      <c r="L2708" s="2" t="s">
        <v>1000</v>
      </c>
      <c r="M2708" s="2" t="s">
        <v>772</v>
      </c>
      <c r="N2708" s="2" t="s">
        <v>38</v>
      </c>
      <c r="O2708" s="2" t="s">
        <v>391</v>
      </c>
      <c r="P2708" s="2" t="s">
        <v>5817</v>
      </c>
      <c r="Q2708" s="2" t="s">
        <v>16111</v>
      </c>
      <c r="R2708" s="2" t="s">
        <v>40</v>
      </c>
      <c r="S2708" s="2" t="s">
        <v>16112</v>
      </c>
      <c r="T2708" s="2" t="s">
        <v>8816</v>
      </c>
      <c r="U2708" s="2" t="s">
        <v>16113</v>
      </c>
      <c r="V2708" s="2" t="s">
        <v>16114</v>
      </c>
      <c r="W2708" s="1"/>
      <c r="X2708" s="2" t="s">
        <v>2278</v>
      </c>
      <c r="Y2708" s="2" t="s">
        <v>15903</v>
      </c>
      <c r="AA2708" t="str">
        <f t="shared" si="252"/>
        <v>2025-07</v>
      </c>
      <c r="AB2708" t="str">
        <f t="shared" si="253"/>
        <v/>
      </c>
      <c r="AC2708">
        <f t="shared" si="254"/>
        <v>508172.4</v>
      </c>
      <c r="AD2708">
        <f t="shared" si="255"/>
        <v>60</v>
      </c>
      <c r="AE2708">
        <f t="shared" si="256"/>
        <v>96872.4</v>
      </c>
      <c r="AF2708" t="str">
        <f t="shared" si="257"/>
        <v>Paid</v>
      </c>
    </row>
    <row r="2709" spans="1:32" ht="27.75" thickBot="1" x14ac:dyDescent="0.35">
      <c r="A2709" s="2" t="s">
        <v>16115</v>
      </c>
      <c r="B2709" s="2" t="s">
        <v>27</v>
      </c>
      <c r="C2709" s="2" t="s">
        <v>28</v>
      </c>
      <c r="D2709" s="2" t="s">
        <v>97</v>
      </c>
      <c r="E2709" s="2" t="s">
        <v>15863</v>
      </c>
      <c r="F2709" s="2" t="s">
        <v>31</v>
      </c>
      <c r="G2709" s="2" t="s">
        <v>32</v>
      </c>
      <c r="H2709" s="1"/>
      <c r="I2709" s="2" t="s">
        <v>33</v>
      </c>
      <c r="J2709" s="2" t="s">
        <v>34</v>
      </c>
      <c r="K2709" s="2" t="s">
        <v>16116</v>
      </c>
      <c r="L2709" s="2" t="s">
        <v>16117</v>
      </c>
      <c r="M2709" s="2" t="s">
        <v>10280</v>
      </c>
      <c r="N2709" s="2" t="s">
        <v>38</v>
      </c>
      <c r="O2709" s="2" t="s">
        <v>1113</v>
      </c>
      <c r="P2709" s="2" t="s">
        <v>16118</v>
      </c>
      <c r="Q2709" s="2" t="s">
        <v>16119</v>
      </c>
      <c r="R2709" s="2" t="s">
        <v>40</v>
      </c>
      <c r="S2709" s="2" t="s">
        <v>16120</v>
      </c>
      <c r="T2709" s="2" t="s">
        <v>12409</v>
      </c>
      <c r="U2709" s="2" t="s">
        <v>6617</v>
      </c>
      <c r="V2709" s="2" t="s">
        <v>16121</v>
      </c>
      <c r="W2709" s="1"/>
      <c r="X2709" s="2" t="s">
        <v>14002</v>
      </c>
      <c r="Y2709" s="2" t="s">
        <v>15903</v>
      </c>
      <c r="AA2709" t="str">
        <f t="shared" si="252"/>
        <v>2025-07</v>
      </c>
      <c r="AB2709" t="str">
        <f t="shared" si="253"/>
        <v/>
      </c>
      <c r="AC2709">
        <f t="shared" si="254"/>
        <v>830898</v>
      </c>
      <c r="AD2709">
        <f t="shared" si="255"/>
        <v>540</v>
      </c>
      <c r="AE2709">
        <f t="shared" si="256"/>
        <v>301698</v>
      </c>
      <c r="AF2709" t="str">
        <f t="shared" si="257"/>
        <v>Paid</v>
      </c>
    </row>
    <row r="2710" spans="1:32" ht="17.25" thickBot="1" x14ac:dyDescent="0.35">
      <c r="A2710" s="2" t="s">
        <v>16122</v>
      </c>
      <c r="B2710" s="2" t="s">
        <v>27</v>
      </c>
      <c r="C2710" s="2" t="s">
        <v>28</v>
      </c>
      <c r="D2710" s="2" t="s">
        <v>97</v>
      </c>
      <c r="E2710" s="2" t="s">
        <v>15863</v>
      </c>
      <c r="F2710" s="2" t="s">
        <v>31</v>
      </c>
      <c r="G2710" s="2" t="s">
        <v>32</v>
      </c>
      <c r="H2710" s="1"/>
      <c r="I2710" s="2" t="s">
        <v>33</v>
      </c>
      <c r="J2710" s="2" t="s">
        <v>34</v>
      </c>
      <c r="K2710" s="2" t="s">
        <v>5357</v>
      </c>
      <c r="L2710" s="2" t="s">
        <v>5358</v>
      </c>
      <c r="M2710" s="2" t="s">
        <v>37</v>
      </c>
      <c r="N2710" s="2" t="s">
        <v>38</v>
      </c>
      <c r="O2710" s="2" t="s">
        <v>214</v>
      </c>
      <c r="P2710" s="2" t="s">
        <v>16123</v>
      </c>
      <c r="Q2710" s="2" t="s">
        <v>16124</v>
      </c>
      <c r="R2710" s="2" t="s">
        <v>40</v>
      </c>
      <c r="S2710" s="2" t="s">
        <v>16125</v>
      </c>
      <c r="T2710" s="2" t="s">
        <v>1136</v>
      </c>
      <c r="U2710" s="2" t="s">
        <v>4248</v>
      </c>
      <c r="V2710" s="2" t="s">
        <v>16126</v>
      </c>
      <c r="W2710" s="1"/>
      <c r="X2710" s="2" t="s">
        <v>965</v>
      </c>
      <c r="Y2710" s="2" t="s">
        <v>15903</v>
      </c>
      <c r="AA2710" t="str">
        <f t="shared" si="252"/>
        <v>2025-07</v>
      </c>
      <c r="AB2710" t="str">
        <f t="shared" si="253"/>
        <v/>
      </c>
      <c r="AC2710">
        <f t="shared" si="254"/>
        <v>282318</v>
      </c>
      <c r="AD2710">
        <f t="shared" si="255"/>
        <v>50</v>
      </c>
      <c r="AE2710">
        <f t="shared" si="256"/>
        <v>72318</v>
      </c>
      <c r="AF2710" t="str">
        <f t="shared" si="257"/>
        <v>Paid</v>
      </c>
    </row>
    <row r="2711" spans="1:32" ht="17.25" thickBot="1" x14ac:dyDescent="0.35">
      <c r="A2711" s="2" t="s">
        <v>16127</v>
      </c>
      <c r="B2711" s="2" t="s">
        <v>27</v>
      </c>
      <c r="C2711" s="2" t="s">
        <v>28</v>
      </c>
      <c r="D2711" s="2" t="s">
        <v>97</v>
      </c>
      <c r="E2711" s="2" t="s">
        <v>15863</v>
      </c>
      <c r="F2711" s="2" t="s">
        <v>31</v>
      </c>
      <c r="G2711" s="2" t="s">
        <v>32</v>
      </c>
      <c r="H2711" s="1"/>
      <c r="I2711" s="2" t="s">
        <v>33</v>
      </c>
      <c r="J2711" s="2" t="s">
        <v>34</v>
      </c>
      <c r="K2711" s="2" t="s">
        <v>1102</v>
      </c>
      <c r="L2711" s="2" t="s">
        <v>1103</v>
      </c>
      <c r="M2711" s="2" t="s">
        <v>37</v>
      </c>
      <c r="N2711" s="2" t="s">
        <v>38</v>
      </c>
      <c r="O2711" s="2" t="s">
        <v>773</v>
      </c>
      <c r="P2711" s="2" t="s">
        <v>8619</v>
      </c>
      <c r="Q2711" s="2" t="s">
        <v>16128</v>
      </c>
      <c r="R2711" s="2" t="s">
        <v>40</v>
      </c>
      <c r="S2711" s="2" t="s">
        <v>16129</v>
      </c>
      <c r="T2711" s="2" t="s">
        <v>107</v>
      </c>
      <c r="U2711" s="2" t="s">
        <v>9044</v>
      </c>
      <c r="V2711" s="2" t="s">
        <v>16130</v>
      </c>
      <c r="W2711" s="1"/>
      <c r="X2711" s="2" t="s">
        <v>1357</v>
      </c>
      <c r="Y2711" s="2" t="s">
        <v>15903</v>
      </c>
      <c r="AA2711" t="str">
        <f t="shared" si="252"/>
        <v>2025-07</v>
      </c>
      <c r="AB2711" t="str">
        <f t="shared" si="253"/>
        <v/>
      </c>
      <c r="AC2711">
        <f t="shared" si="254"/>
        <v>1506588</v>
      </c>
      <c r="AD2711">
        <f t="shared" si="255"/>
        <v>200</v>
      </c>
      <c r="AE2711">
        <f t="shared" si="256"/>
        <v>386588</v>
      </c>
      <c r="AF2711" t="str">
        <f t="shared" si="257"/>
        <v>Paid</v>
      </c>
    </row>
    <row r="2712" spans="1:32" ht="17.25" thickBot="1" x14ac:dyDescent="0.35">
      <c r="A2712" s="2" t="s">
        <v>16131</v>
      </c>
      <c r="B2712" s="2" t="s">
        <v>27</v>
      </c>
      <c r="C2712" s="2" t="s">
        <v>28</v>
      </c>
      <c r="D2712" s="2" t="s">
        <v>97</v>
      </c>
      <c r="E2712" s="2" t="s">
        <v>15863</v>
      </c>
      <c r="F2712" s="2" t="s">
        <v>31</v>
      </c>
      <c r="G2712" s="2" t="s">
        <v>32</v>
      </c>
      <c r="H2712" s="1"/>
      <c r="I2712" s="2" t="s">
        <v>33</v>
      </c>
      <c r="J2712" s="2" t="s">
        <v>34</v>
      </c>
      <c r="K2712" s="2" t="s">
        <v>1111</v>
      </c>
      <c r="L2712" s="2" t="s">
        <v>1112</v>
      </c>
      <c r="M2712" s="2" t="s">
        <v>37</v>
      </c>
      <c r="N2712" s="2" t="s">
        <v>38</v>
      </c>
      <c r="O2712" s="2" t="s">
        <v>206</v>
      </c>
      <c r="P2712" s="2" t="s">
        <v>16132</v>
      </c>
      <c r="Q2712" s="2" t="s">
        <v>13785</v>
      </c>
      <c r="R2712" s="2" t="s">
        <v>40</v>
      </c>
      <c r="S2712" s="2" t="s">
        <v>16133</v>
      </c>
      <c r="T2712" s="2" t="s">
        <v>1117</v>
      </c>
      <c r="U2712" s="2" t="s">
        <v>224</v>
      </c>
      <c r="V2712" s="2" t="s">
        <v>16134</v>
      </c>
      <c r="W2712" s="1"/>
      <c r="X2712" s="2" t="s">
        <v>806</v>
      </c>
      <c r="Y2712" s="2" t="s">
        <v>15903</v>
      </c>
      <c r="AA2712" t="str">
        <f t="shared" si="252"/>
        <v>2025-07</v>
      </c>
      <c r="AB2712" t="str">
        <f t="shared" si="253"/>
        <v/>
      </c>
      <c r="AC2712">
        <f t="shared" si="254"/>
        <v>2114040</v>
      </c>
      <c r="AD2712">
        <f t="shared" si="255"/>
        <v>500</v>
      </c>
      <c r="AE2712">
        <f t="shared" si="256"/>
        <v>539040</v>
      </c>
      <c r="AF2712" t="str">
        <f t="shared" si="257"/>
        <v>Paid</v>
      </c>
    </row>
    <row r="2713" spans="1:32" ht="17.25" thickBot="1" x14ac:dyDescent="0.35">
      <c r="A2713" s="2" t="s">
        <v>16135</v>
      </c>
      <c r="B2713" s="2" t="s">
        <v>27</v>
      </c>
      <c r="C2713" s="2" t="s">
        <v>28</v>
      </c>
      <c r="D2713" s="2" t="s">
        <v>97</v>
      </c>
      <c r="E2713" s="2" t="s">
        <v>15863</v>
      </c>
      <c r="F2713" s="2" t="s">
        <v>31</v>
      </c>
      <c r="G2713" s="2" t="s">
        <v>32</v>
      </c>
      <c r="H2713" s="1"/>
      <c r="I2713" s="2" t="s">
        <v>33</v>
      </c>
      <c r="J2713" s="2" t="s">
        <v>34</v>
      </c>
      <c r="K2713" s="2" t="s">
        <v>1122</v>
      </c>
      <c r="L2713" s="2" t="s">
        <v>1123</v>
      </c>
      <c r="M2713" s="2" t="s">
        <v>37</v>
      </c>
      <c r="N2713" s="2" t="s">
        <v>38</v>
      </c>
      <c r="O2713" s="2" t="s">
        <v>828</v>
      </c>
      <c r="P2713" s="2" t="s">
        <v>7206</v>
      </c>
      <c r="Q2713" s="2" t="s">
        <v>16136</v>
      </c>
      <c r="R2713" s="2" t="s">
        <v>40</v>
      </c>
      <c r="S2713" s="2" t="s">
        <v>16137</v>
      </c>
      <c r="T2713" s="2" t="s">
        <v>107</v>
      </c>
      <c r="U2713" s="2" t="s">
        <v>16072</v>
      </c>
      <c r="V2713" s="2" t="s">
        <v>16138</v>
      </c>
      <c r="W2713" s="1"/>
      <c r="X2713" s="2" t="s">
        <v>827</v>
      </c>
      <c r="Y2713" s="2" t="s">
        <v>15903</v>
      </c>
      <c r="AA2713" t="str">
        <f t="shared" si="252"/>
        <v>2025-07</v>
      </c>
      <c r="AB2713" t="str">
        <f t="shared" si="253"/>
        <v/>
      </c>
      <c r="AC2713">
        <f t="shared" si="254"/>
        <v>669869.69999999995</v>
      </c>
      <c r="AD2713">
        <f t="shared" si="255"/>
        <v>95</v>
      </c>
      <c r="AE2713">
        <f t="shared" si="256"/>
        <v>137869.70000000001</v>
      </c>
      <c r="AF2713" t="str">
        <f t="shared" si="257"/>
        <v>Paid</v>
      </c>
    </row>
    <row r="2714" spans="1:32" ht="17.25" thickBot="1" x14ac:dyDescent="0.35">
      <c r="A2714" s="2" t="s">
        <v>16139</v>
      </c>
      <c r="B2714" s="2" t="s">
        <v>27</v>
      </c>
      <c r="C2714" s="2" t="s">
        <v>28</v>
      </c>
      <c r="D2714" s="2" t="s">
        <v>97</v>
      </c>
      <c r="E2714" s="2" t="s">
        <v>15863</v>
      </c>
      <c r="F2714" s="2" t="s">
        <v>31</v>
      </c>
      <c r="G2714" s="2" t="s">
        <v>32</v>
      </c>
      <c r="H2714" s="1"/>
      <c r="I2714" s="2" t="s">
        <v>33</v>
      </c>
      <c r="J2714" s="2" t="s">
        <v>34</v>
      </c>
      <c r="K2714" s="2" t="s">
        <v>1122</v>
      </c>
      <c r="L2714" s="2" t="s">
        <v>1123</v>
      </c>
      <c r="M2714" s="2" t="s">
        <v>37</v>
      </c>
      <c r="N2714" s="2" t="s">
        <v>38</v>
      </c>
      <c r="O2714" s="2" t="s">
        <v>925</v>
      </c>
      <c r="P2714" s="2" t="s">
        <v>7206</v>
      </c>
      <c r="Q2714" s="2" t="s">
        <v>16140</v>
      </c>
      <c r="R2714" s="2" t="s">
        <v>40</v>
      </c>
      <c r="S2714" s="2" t="s">
        <v>16141</v>
      </c>
      <c r="T2714" s="2" t="s">
        <v>107</v>
      </c>
      <c r="U2714" s="2" t="s">
        <v>1400</v>
      </c>
      <c r="V2714" s="2" t="s">
        <v>16142</v>
      </c>
      <c r="W2714" s="1"/>
      <c r="X2714" s="2" t="s">
        <v>827</v>
      </c>
      <c r="Y2714" s="2" t="s">
        <v>15903</v>
      </c>
      <c r="AA2714" t="str">
        <f t="shared" si="252"/>
        <v>2025-07</v>
      </c>
      <c r="AB2714" t="str">
        <f t="shared" si="253"/>
        <v/>
      </c>
      <c r="AC2714">
        <f t="shared" si="254"/>
        <v>740382.3</v>
      </c>
      <c r="AD2714">
        <f t="shared" si="255"/>
        <v>105</v>
      </c>
      <c r="AE2714">
        <f t="shared" si="256"/>
        <v>152382.29999999999</v>
      </c>
      <c r="AF2714" t="str">
        <f t="shared" si="257"/>
        <v>Paid</v>
      </c>
    </row>
    <row r="2715" spans="1:32" ht="27.75" thickBot="1" x14ac:dyDescent="0.35">
      <c r="A2715" s="2" t="s">
        <v>16143</v>
      </c>
      <c r="B2715" s="2" t="s">
        <v>27</v>
      </c>
      <c r="C2715" s="2" t="s">
        <v>28</v>
      </c>
      <c r="D2715" s="2" t="s">
        <v>97</v>
      </c>
      <c r="E2715" s="2" t="s">
        <v>15863</v>
      </c>
      <c r="F2715" s="2" t="s">
        <v>31</v>
      </c>
      <c r="G2715" s="2" t="s">
        <v>32</v>
      </c>
      <c r="H2715" s="1"/>
      <c r="I2715" s="2" t="s">
        <v>33</v>
      </c>
      <c r="J2715" s="2" t="s">
        <v>34</v>
      </c>
      <c r="K2715" s="2" t="s">
        <v>7155</v>
      </c>
      <c r="L2715" s="2" t="s">
        <v>7156</v>
      </c>
      <c r="M2715" s="2" t="s">
        <v>37</v>
      </c>
      <c r="N2715" s="2" t="s">
        <v>38</v>
      </c>
      <c r="O2715" s="2" t="s">
        <v>367</v>
      </c>
      <c r="P2715" s="2" t="s">
        <v>16144</v>
      </c>
      <c r="Q2715" s="2" t="s">
        <v>16145</v>
      </c>
      <c r="R2715" s="2" t="s">
        <v>40</v>
      </c>
      <c r="S2715" s="2" t="s">
        <v>16146</v>
      </c>
      <c r="T2715" s="2" t="s">
        <v>8480</v>
      </c>
      <c r="U2715" s="2" t="s">
        <v>16147</v>
      </c>
      <c r="V2715" s="2" t="s">
        <v>16148</v>
      </c>
      <c r="W2715" s="1"/>
      <c r="X2715" s="2" t="s">
        <v>7722</v>
      </c>
      <c r="Y2715" s="2" t="s">
        <v>15903</v>
      </c>
      <c r="AA2715" t="str">
        <f t="shared" si="252"/>
        <v>2025-07</v>
      </c>
      <c r="AB2715" t="str">
        <f t="shared" si="253"/>
        <v/>
      </c>
      <c r="AC2715">
        <f t="shared" si="254"/>
        <v>455080.56</v>
      </c>
      <c r="AD2715">
        <f t="shared" si="255"/>
        <v>44</v>
      </c>
      <c r="AE2715">
        <f t="shared" si="256"/>
        <v>151480.56</v>
      </c>
      <c r="AF2715" t="str">
        <f t="shared" si="257"/>
        <v>Paid</v>
      </c>
    </row>
    <row r="2716" spans="1:32" ht="27.75" thickBot="1" x14ac:dyDescent="0.35">
      <c r="A2716" s="2" t="s">
        <v>16149</v>
      </c>
      <c r="B2716" s="2" t="s">
        <v>27</v>
      </c>
      <c r="C2716" s="2" t="s">
        <v>28</v>
      </c>
      <c r="D2716" s="2" t="s">
        <v>97</v>
      </c>
      <c r="E2716" s="2" t="s">
        <v>15863</v>
      </c>
      <c r="F2716" s="2" t="s">
        <v>31</v>
      </c>
      <c r="G2716" s="2" t="s">
        <v>32</v>
      </c>
      <c r="H2716" s="1"/>
      <c r="I2716" s="2" t="s">
        <v>33</v>
      </c>
      <c r="J2716" s="2" t="s">
        <v>34</v>
      </c>
      <c r="K2716" s="2" t="s">
        <v>16150</v>
      </c>
      <c r="L2716" s="2" t="s">
        <v>16151</v>
      </c>
      <c r="M2716" s="2" t="s">
        <v>37</v>
      </c>
      <c r="N2716" s="2" t="s">
        <v>38</v>
      </c>
      <c r="O2716" s="2" t="s">
        <v>177</v>
      </c>
      <c r="P2716" s="2" t="s">
        <v>16152</v>
      </c>
      <c r="Q2716" s="2" t="s">
        <v>16153</v>
      </c>
      <c r="R2716" s="2" t="s">
        <v>40</v>
      </c>
      <c r="S2716" s="2" t="s">
        <v>16154</v>
      </c>
      <c r="T2716" s="2" t="s">
        <v>16155</v>
      </c>
      <c r="U2716" s="2" t="s">
        <v>16156</v>
      </c>
      <c r="V2716" s="2" t="s">
        <v>16157</v>
      </c>
      <c r="W2716" s="1"/>
      <c r="X2716" s="2" t="s">
        <v>997</v>
      </c>
      <c r="Y2716" s="2" t="s">
        <v>15903</v>
      </c>
      <c r="AA2716" t="str">
        <f t="shared" si="252"/>
        <v>2025-07</v>
      </c>
      <c r="AB2716" t="str">
        <f t="shared" si="253"/>
        <v/>
      </c>
      <c r="AC2716">
        <f t="shared" si="254"/>
        <v>679704</v>
      </c>
      <c r="AD2716">
        <f t="shared" si="255"/>
        <v>400</v>
      </c>
      <c r="AE2716">
        <f t="shared" si="256"/>
        <v>193704</v>
      </c>
      <c r="AF2716" t="str">
        <f t="shared" si="257"/>
        <v>Paid</v>
      </c>
    </row>
    <row r="2717" spans="1:32" ht="17.25" thickBot="1" x14ac:dyDescent="0.35">
      <c r="A2717" s="2" t="s">
        <v>16158</v>
      </c>
      <c r="B2717" s="2" t="s">
        <v>27</v>
      </c>
      <c r="C2717" s="2" t="s">
        <v>28</v>
      </c>
      <c r="D2717" s="2" t="s">
        <v>97</v>
      </c>
      <c r="E2717" s="2" t="s">
        <v>15863</v>
      </c>
      <c r="F2717" s="2" t="s">
        <v>31</v>
      </c>
      <c r="G2717" s="2" t="s">
        <v>32</v>
      </c>
      <c r="H2717" s="1"/>
      <c r="I2717" s="2" t="s">
        <v>33</v>
      </c>
      <c r="J2717" s="2" t="s">
        <v>34</v>
      </c>
      <c r="K2717" s="2" t="s">
        <v>16159</v>
      </c>
      <c r="L2717" s="2" t="s">
        <v>16160</v>
      </c>
      <c r="M2717" s="2" t="s">
        <v>37</v>
      </c>
      <c r="N2717" s="2" t="s">
        <v>38</v>
      </c>
      <c r="O2717" s="2" t="s">
        <v>610</v>
      </c>
      <c r="P2717" s="2" t="s">
        <v>6905</v>
      </c>
      <c r="Q2717" s="2" t="s">
        <v>16161</v>
      </c>
      <c r="R2717" s="2" t="s">
        <v>40</v>
      </c>
      <c r="S2717" s="2" t="s">
        <v>16162</v>
      </c>
      <c r="T2717" s="2" t="s">
        <v>287</v>
      </c>
      <c r="U2717" s="2" t="s">
        <v>4403</v>
      </c>
      <c r="V2717" s="2" t="s">
        <v>16163</v>
      </c>
      <c r="W2717" s="1"/>
      <c r="X2717" s="2" t="s">
        <v>965</v>
      </c>
      <c r="Y2717" s="2" t="s">
        <v>15903</v>
      </c>
      <c r="AA2717" t="str">
        <f t="shared" si="252"/>
        <v>2025-07</v>
      </c>
      <c r="AB2717" t="str">
        <f t="shared" si="253"/>
        <v/>
      </c>
      <c r="AC2717">
        <f t="shared" si="254"/>
        <v>4232763</v>
      </c>
      <c r="AD2717">
        <f t="shared" si="255"/>
        <v>450</v>
      </c>
      <c r="AE2717">
        <f t="shared" si="256"/>
        <v>1082763</v>
      </c>
      <c r="AF2717" t="str">
        <f t="shared" si="257"/>
        <v>Paid</v>
      </c>
    </row>
    <row r="2718" spans="1:32" ht="17.25" thickBot="1" x14ac:dyDescent="0.35">
      <c r="A2718" s="2" t="s">
        <v>16164</v>
      </c>
      <c r="B2718" s="2" t="s">
        <v>27</v>
      </c>
      <c r="C2718" s="2" t="s">
        <v>28</v>
      </c>
      <c r="D2718" s="2" t="s">
        <v>97</v>
      </c>
      <c r="E2718" s="2" t="s">
        <v>15863</v>
      </c>
      <c r="F2718" s="2" t="s">
        <v>31</v>
      </c>
      <c r="G2718" s="2" t="s">
        <v>32</v>
      </c>
      <c r="H2718" s="1"/>
      <c r="I2718" s="2" t="s">
        <v>33</v>
      </c>
      <c r="J2718" s="2" t="s">
        <v>34</v>
      </c>
      <c r="K2718" s="2" t="s">
        <v>1164</v>
      </c>
      <c r="L2718" s="2" t="s">
        <v>1165</v>
      </c>
      <c r="M2718" s="2" t="s">
        <v>37</v>
      </c>
      <c r="N2718" s="2" t="s">
        <v>38</v>
      </c>
      <c r="O2718" s="2" t="s">
        <v>428</v>
      </c>
      <c r="P2718" s="2" t="s">
        <v>5817</v>
      </c>
      <c r="Q2718" s="2" t="s">
        <v>16165</v>
      </c>
      <c r="R2718" s="2" t="s">
        <v>40</v>
      </c>
      <c r="S2718" s="2" t="s">
        <v>16166</v>
      </c>
      <c r="T2718" s="2" t="s">
        <v>1168</v>
      </c>
      <c r="U2718" s="2" t="s">
        <v>16167</v>
      </c>
      <c r="V2718" s="2" t="s">
        <v>16168</v>
      </c>
      <c r="W2718" s="1"/>
      <c r="X2718" s="2" t="s">
        <v>13351</v>
      </c>
      <c r="Y2718" s="2" t="s">
        <v>15903</v>
      </c>
      <c r="AA2718" t="str">
        <f t="shared" si="252"/>
        <v>2025-07</v>
      </c>
      <c r="AB2718" t="str">
        <f t="shared" si="253"/>
        <v/>
      </c>
      <c r="AC2718">
        <f t="shared" si="254"/>
        <v>2117385</v>
      </c>
      <c r="AD2718">
        <f t="shared" si="255"/>
        <v>250</v>
      </c>
      <c r="AE2718">
        <f t="shared" si="256"/>
        <v>812385</v>
      </c>
      <c r="AF2718" t="str">
        <f t="shared" si="257"/>
        <v>Paid</v>
      </c>
    </row>
    <row r="2719" spans="1:32" ht="17.25" thickBot="1" x14ac:dyDescent="0.35">
      <c r="A2719" s="2" t="s">
        <v>16169</v>
      </c>
      <c r="B2719" s="2" t="s">
        <v>27</v>
      </c>
      <c r="C2719" s="2" t="s">
        <v>28</v>
      </c>
      <c r="D2719" s="2" t="s">
        <v>97</v>
      </c>
      <c r="E2719" s="2" t="s">
        <v>15863</v>
      </c>
      <c r="F2719" s="2" t="s">
        <v>31</v>
      </c>
      <c r="G2719" s="2" t="s">
        <v>32</v>
      </c>
      <c r="H2719" s="1"/>
      <c r="I2719" s="2" t="s">
        <v>33</v>
      </c>
      <c r="J2719" s="2" t="s">
        <v>34</v>
      </c>
      <c r="K2719" s="2" t="s">
        <v>1189</v>
      </c>
      <c r="L2719" s="2" t="s">
        <v>1190</v>
      </c>
      <c r="M2719" s="2" t="s">
        <v>37</v>
      </c>
      <c r="N2719" s="2" t="s">
        <v>38</v>
      </c>
      <c r="O2719" s="2" t="s">
        <v>177</v>
      </c>
      <c r="P2719" s="2" t="s">
        <v>13505</v>
      </c>
      <c r="Q2719" s="2" t="s">
        <v>16170</v>
      </c>
      <c r="R2719" s="2" t="s">
        <v>40</v>
      </c>
      <c r="S2719" s="2" t="s">
        <v>16171</v>
      </c>
      <c r="T2719" s="2" t="s">
        <v>952</v>
      </c>
      <c r="U2719" s="2" t="s">
        <v>6122</v>
      </c>
      <c r="V2719" s="2" t="s">
        <v>16172</v>
      </c>
      <c r="W2719" s="1"/>
      <c r="X2719" s="2" t="s">
        <v>817</v>
      </c>
      <c r="Y2719" s="2" t="s">
        <v>15903</v>
      </c>
      <c r="AA2719" t="str">
        <f t="shared" si="252"/>
        <v>2025-07</v>
      </c>
      <c r="AB2719" t="str">
        <f t="shared" si="253"/>
        <v/>
      </c>
      <c r="AC2719">
        <f t="shared" si="254"/>
        <v>6363528</v>
      </c>
      <c r="AD2719">
        <f t="shared" si="255"/>
        <v>400</v>
      </c>
      <c r="AE2719">
        <f t="shared" si="256"/>
        <v>1563528</v>
      </c>
      <c r="AF2719" t="str">
        <f t="shared" si="257"/>
        <v>Paid</v>
      </c>
    </row>
    <row r="2720" spans="1:32" ht="27.75" thickBot="1" x14ac:dyDescent="0.35">
      <c r="A2720" s="2" t="s">
        <v>16173</v>
      </c>
      <c r="B2720" s="2" t="s">
        <v>27</v>
      </c>
      <c r="C2720" s="2" t="s">
        <v>28</v>
      </c>
      <c r="D2720" s="2" t="s">
        <v>97</v>
      </c>
      <c r="E2720" s="2" t="s">
        <v>15863</v>
      </c>
      <c r="F2720" s="2" t="s">
        <v>31</v>
      </c>
      <c r="G2720" s="2" t="s">
        <v>32</v>
      </c>
      <c r="H2720" s="1"/>
      <c r="I2720" s="2" t="s">
        <v>33</v>
      </c>
      <c r="J2720" s="2" t="s">
        <v>34</v>
      </c>
      <c r="K2720" s="2" t="s">
        <v>14648</v>
      </c>
      <c r="L2720" s="2" t="s">
        <v>14649</v>
      </c>
      <c r="M2720" s="2" t="s">
        <v>37</v>
      </c>
      <c r="N2720" s="2" t="s">
        <v>38</v>
      </c>
      <c r="O2720" s="2" t="s">
        <v>428</v>
      </c>
      <c r="P2720" s="2" t="s">
        <v>5817</v>
      </c>
      <c r="Q2720" s="2" t="s">
        <v>16165</v>
      </c>
      <c r="R2720" s="2" t="s">
        <v>40</v>
      </c>
      <c r="S2720" s="2" t="s">
        <v>16166</v>
      </c>
      <c r="T2720" s="2" t="s">
        <v>1168</v>
      </c>
      <c r="U2720" s="2" t="s">
        <v>16167</v>
      </c>
      <c r="V2720" s="2" t="s">
        <v>16168</v>
      </c>
      <c r="W2720" s="1"/>
      <c r="X2720" s="2" t="s">
        <v>13351</v>
      </c>
      <c r="Y2720" s="2" t="s">
        <v>15903</v>
      </c>
      <c r="AA2720" t="str">
        <f t="shared" si="252"/>
        <v>2025-07</v>
      </c>
      <c r="AB2720" t="str">
        <f t="shared" si="253"/>
        <v/>
      </c>
      <c r="AC2720">
        <f t="shared" si="254"/>
        <v>2117385</v>
      </c>
      <c r="AD2720">
        <f t="shared" si="255"/>
        <v>250</v>
      </c>
      <c r="AE2720">
        <f t="shared" si="256"/>
        <v>812385</v>
      </c>
      <c r="AF2720" t="str">
        <f t="shared" si="257"/>
        <v>Paid</v>
      </c>
    </row>
    <row r="2721" spans="1:32" ht="17.25" thickBot="1" x14ac:dyDescent="0.35">
      <c r="A2721" s="2" t="s">
        <v>16174</v>
      </c>
      <c r="B2721" s="2" t="s">
        <v>27</v>
      </c>
      <c r="C2721" s="2" t="s">
        <v>28</v>
      </c>
      <c r="D2721" s="2" t="s">
        <v>97</v>
      </c>
      <c r="E2721" s="2" t="s">
        <v>15863</v>
      </c>
      <c r="F2721" s="2" t="s">
        <v>31</v>
      </c>
      <c r="G2721" s="2" t="s">
        <v>32</v>
      </c>
      <c r="H2721" s="1"/>
      <c r="I2721" s="2" t="s">
        <v>33</v>
      </c>
      <c r="J2721" s="2" t="s">
        <v>34</v>
      </c>
      <c r="K2721" s="2" t="s">
        <v>1224</v>
      </c>
      <c r="L2721" s="2" t="s">
        <v>1225</v>
      </c>
      <c r="M2721" s="2" t="s">
        <v>37</v>
      </c>
      <c r="N2721" s="2" t="s">
        <v>38</v>
      </c>
      <c r="O2721" s="2" t="s">
        <v>206</v>
      </c>
      <c r="P2721" s="2" t="s">
        <v>5817</v>
      </c>
      <c r="Q2721" s="2" t="s">
        <v>16175</v>
      </c>
      <c r="R2721" s="2" t="s">
        <v>40</v>
      </c>
      <c r="S2721" s="2" t="s">
        <v>16176</v>
      </c>
      <c r="T2721" s="2" t="s">
        <v>126</v>
      </c>
      <c r="U2721" s="2" t="s">
        <v>4403</v>
      </c>
      <c r="V2721" s="2" t="s">
        <v>16177</v>
      </c>
      <c r="W2721" s="1"/>
      <c r="X2721" s="2" t="s">
        <v>965</v>
      </c>
      <c r="Y2721" s="2" t="s">
        <v>15903</v>
      </c>
      <c r="AA2721" t="str">
        <f t="shared" si="252"/>
        <v>2025-07</v>
      </c>
      <c r="AB2721" t="str">
        <f t="shared" si="253"/>
        <v/>
      </c>
      <c r="AC2721">
        <f t="shared" si="254"/>
        <v>4234770</v>
      </c>
      <c r="AD2721">
        <f t="shared" si="255"/>
        <v>500</v>
      </c>
      <c r="AE2721">
        <f t="shared" si="256"/>
        <v>1084770</v>
      </c>
      <c r="AF2721" t="str">
        <f t="shared" si="257"/>
        <v>Paid</v>
      </c>
    </row>
    <row r="2722" spans="1:32" ht="17.25" thickBot="1" x14ac:dyDescent="0.35">
      <c r="A2722" s="2" t="s">
        <v>16178</v>
      </c>
      <c r="B2722" s="2" t="s">
        <v>27</v>
      </c>
      <c r="C2722" s="2" t="s">
        <v>28</v>
      </c>
      <c r="D2722" s="2" t="s">
        <v>97</v>
      </c>
      <c r="E2722" s="2" t="s">
        <v>15863</v>
      </c>
      <c r="F2722" s="2" t="s">
        <v>31</v>
      </c>
      <c r="G2722" s="2" t="s">
        <v>32</v>
      </c>
      <c r="H2722" s="1"/>
      <c r="I2722" s="2" t="s">
        <v>33</v>
      </c>
      <c r="J2722" s="2" t="s">
        <v>34</v>
      </c>
      <c r="K2722" s="2" t="s">
        <v>14686</v>
      </c>
      <c r="L2722" s="2" t="s">
        <v>14687</v>
      </c>
      <c r="M2722" s="2" t="s">
        <v>37</v>
      </c>
      <c r="N2722" s="2" t="s">
        <v>38</v>
      </c>
      <c r="O2722" s="2" t="s">
        <v>428</v>
      </c>
      <c r="P2722" s="2" t="s">
        <v>16123</v>
      </c>
      <c r="Q2722" s="2" t="s">
        <v>16179</v>
      </c>
      <c r="R2722" s="2" t="s">
        <v>40</v>
      </c>
      <c r="S2722" s="2" t="s">
        <v>16180</v>
      </c>
      <c r="T2722" s="2" t="s">
        <v>1136</v>
      </c>
      <c r="U2722" s="2" t="s">
        <v>7096</v>
      </c>
      <c r="V2722" s="2" t="s">
        <v>16181</v>
      </c>
      <c r="W2722" s="1"/>
      <c r="X2722" s="2" t="s">
        <v>965</v>
      </c>
      <c r="Y2722" s="2" t="s">
        <v>15903</v>
      </c>
      <c r="AA2722" t="str">
        <f t="shared" si="252"/>
        <v>2025-07</v>
      </c>
      <c r="AB2722" t="str">
        <f t="shared" si="253"/>
        <v/>
      </c>
      <c r="AC2722">
        <f t="shared" si="254"/>
        <v>1411590</v>
      </c>
      <c r="AD2722">
        <f t="shared" si="255"/>
        <v>250</v>
      </c>
      <c r="AE2722">
        <f t="shared" si="256"/>
        <v>361590</v>
      </c>
      <c r="AF2722" t="str">
        <f t="shared" si="257"/>
        <v>Paid</v>
      </c>
    </row>
    <row r="2723" spans="1:32" ht="17.25" thickBot="1" x14ac:dyDescent="0.35">
      <c r="A2723" s="2" t="s">
        <v>16182</v>
      </c>
      <c r="B2723" s="2" t="s">
        <v>27</v>
      </c>
      <c r="C2723" s="2" t="s">
        <v>28</v>
      </c>
      <c r="D2723" s="2" t="s">
        <v>97</v>
      </c>
      <c r="E2723" s="2" t="s">
        <v>15863</v>
      </c>
      <c r="F2723" s="2" t="s">
        <v>31</v>
      </c>
      <c r="G2723" s="2" t="s">
        <v>32</v>
      </c>
      <c r="H2723" s="1"/>
      <c r="I2723" s="2" t="s">
        <v>33</v>
      </c>
      <c r="J2723" s="2" t="s">
        <v>34</v>
      </c>
      <c r="K2723" s="2" t="s">
        <v>1247</v>
      </c>
      <c r="L2723" s="2" t="s">
        <v>1248</v>
      </c>
      <c r="M2723" s="2" t="s">
        <v>37</v>
      </c>
      <c r="N2723" s="2" t="s">
        <v>38</v>
      </c>
      <c r="O2723" s="2" t="s">
        <v>3068</v>
      </c>
      <c r="P2723" s="2" t="s">
        <v>16183</v>
      </c>
      <c r="Q2723" s="2" t="s">
        <v>16184</v>
      </c>
      <c r="R2723" s="2" t="s">
        <v>40</v>
      </c>
      <c r="S2723" s="2" t="s">
        <v>16185</v>
      </c>
      <c r="T2723" s="2" t="s">
        <v>16186</v>
      </c>
      <c r="U2723" s="2" t="s">
        <v>16187</v>
      </c>
      <c r="V2723" s="2" t="s">
        <v>16188</v>
      </c>
      <c r="W2723" s="1"/>
      <c r="X2723" s="2" t="s">
        <v>1006</v>
      </c>
      <c r="Y2723" s="2" t="s">
        <v>15903</v>
      </c>
      <c r="AA2723" t="str">
        <f t="shared" si="252"/>
        <v>2025-07</v>
      </c>
      <c r="AB2723" t="str">
        <f t="shared" si="253"/>
        <v/>
      </c>
      <c r="AC2723">
        <f t="shared" si="254"/>
        <v>1320606</v>
      </c>
      <c r="AD2723">
        <f t="shared" si="255"/>
        <v>700</v>
      </c>
      <c r="AE2723">
        <f t="shared" si="256"/>
        <v>340746</v>
      </c>
      <c r="AF2723" t="str">
        <f t="shared" si="257"/>
        <v>Paid</v>
      </c>
    </row>
    <row r="2724" spans="1:32" ht="17.25" thickBot="1" x14ac:dyDescent="0.35">
      <c r="A2724" s="2" t="s">
        <v>16189</v>
      </c>
      <c r="B2724" s="2" t="s">
        <v>27</v>
      </c>
      <c r="C2724" s="2" t="s">
        <v>28</v>
      </c>
      <c r="D2724" s="2" t="s">
        <v>97</v>
      </c>
      <c r="E2724" s="2" t="s">
        <v>15863</v>
      </c>
      <c r="F2724" s="2" t="s">
        <v>31</v>
      </c>
      <c r="G2724" s="2" t="s">
        <v>32</v>
      </c>
      <c r="H2724" s="1"/>
      <c r="I2724" s="2" t="s">
        <v>33</v>
      </c>
      <c r="J2724" s="2" t="s">
        <v>34</v>
      </c>
      <c r="K2724" s="2" t="s">
        <v>1266</v>
      </c>
      <c r="L2724" s="2" t="s">
        <v>1267</v>
      </c>
      <c r="M2724" s="2" t="s">
        <v>37</v>
      </c>
      <c r="N2724" s="2" t="s">
        <v>38</v>
      </c>
      <c r="O2724" s="2" t="s">
        <v>773</v>
      </c>
      <c r="P2724" s="2" t="s">
        <v>2801</v>
      </c>
      <c r="Q2724" s="2" t="s">
        <v>16190</v>
      </c>
      <c r="R2724" s="2" t="s">
        <v>40</v>
      </c>
      <c r="S2724" s="2" t="s">
        <v>16191</v>
      </c>
      <c r="T2724" s="2" t="s">
        <v>1271</v>
      </c>
      <c r="U2724" s="2" t="s">
        <v>16192</v>
      </c>
      <c r="V2724" s="2" t="s">
        <v>16193</v>
      </c>
      <c r="W2724" s="1"/>
      <c r="X2724" s="2" t="s">
        <v>965</v>
      </c>
      <c r="Y2724" s="2" t="s">
        <v>15903</v>
      </c>
      <c r="AA2724" t="str">
        <f t="shared" si="252"/>
        <v>2025-07</v>
      </c>
      <c r="AB2724" t="str">
        <f t="shared" si="253"/>
        <v/>
      </c>
      <c r="AC2724">
        <f t="shared" si="254"/>
        <v>1316592</v>
      </c>
      <c r="AD2724">
        <f t="shared" si="255"/>
        <v>200</v>
      </c>
      <c r="AE2724">
        <f t="shared" si="256"/>
        <v>336592</v>
      </c>
      <c r="AF2724" t="str">
        <f t="shared" si="257"/>
        <v>Paid</v>
      </c>
    </row>
    <row r="2725" spans="1:32" ht="17.25" thickBot="1" x14ac:dyDescent="0.35">
      <c r="A2725" s="2" t="s">
        <v>16194</v>
      </c>
      <c r="B2725" s="2" t="s">
        <v>27</v>
      </c>
      <c r="C2725" s="2" t="s">
        <v>28</v>
      </c>
      <c r="D2725" s="2" t="s">
        <v>97</v>
      </c>
      <c r="E2725" s="2" t="s">
        <v>15863</v>
      </c>
      <c r="F2725" s="2" t="s">
        <v>31</v>
      </c>
      <c r="G2725" s="2" t="s">
        <v>32</v>
      </c>
      <c r="H2725" s="1"/>
      <c r="I2725" s="2" t="s">
        <v>33</v>
      </c>
      <c r="J2725" s="2" t="s">
        <v>34</v>
      </c>
      <c r="K2725" s="2" t="s">
        <v>1275</v>
      </c>
      <c r="L2725" s="2" t="s">
        <v>1276</v>
      </c>
      <c r="M2725" s="2" t="s">
        <v>37</v>
      </c>
      <c r="N2725" s="2" t="s">
        <v>38</v>
      </c>
      <c r="O2725" s="2" t="s">
        <v>773</v>
      </c>
      <c r="P2725" s="2" t="s">
        <v>16195</v>
      </c>
      <c r="Q2725" s="2" t="s">
        <v>16196</v>
      </c>
      <c r="R2725" s="2" t="s">
        <v>40</v>
      </c>
      <c r="S2725" s="2" t="s">
        <v>16197</v>
      </c>
      <c r="T2725" s="2" t="s">
        <v>1280</v>
      </c>
      <c r="U2725" s="2" t="s">
        <v>15057</v>
      </c>
      <c r="V2725" s="2" t="s">
        <v>16198</v>
      </c>
      <c r="W2725" s="1"/>
      <c r="X2725" s="2" t="s">
        <v>817</v>
      </c>
      <c r="Y2725" s="2" t="s">
        <v>15903</v>
      </c>
      <c r="AA2725" t="str">
        <f t="shared" si="252"/>
        <v>2025-07</v>
      </c>
      <c r="AB2725" t="str">
        <f t="shared" si="253"/>
        <v/>
      </c>
      <c r="AC2725">
        <f t="shared" si="254"/>
        <v>5303832</v>
      </c>
      <c r="AD2725">
        <f t="shared" si="255"/>
        <v>200</v>
      </c>
      <c r="AE2725">
        <f t="shared" si="256"/>
        <v>1303832</v>
      </c>
      <c r="AF2725" t="str">
        <f t="shared" si="257"/>
        <v>Paid</v>
      </c>
    </row>
    <row r="2726" spans="1:32" ht="17.25" thickBot="1" x14ac:dyDescent="0.35">
      <c r="A2726" s="2" t="s">
        <v>16199</v>
      </c>
      <c r="B2726" s="2" t="s">
        <v>27</v>
      </c>
      <c r="C2726" s="2" t="s">
        <v>28</v>
      </c>
      <c r="D2726" s="2" t="s">
        <v>97</v>
      </c>
      <c r="E2726" s="2" t="s">
        <v>15863</v>
      </c>
      <c r="F2726" s="2" t="s">
        <v>31</v>
      </c>
      <c r="G2726" s="2" t="s">
        <v>32</v>
      </c>
      <c r="H2726" s="1"/>
      <c r="I2726" s="2" t="s">
        <v>33</v>
      </c>
      <c r="J2726" s="2" t="s">
        <v>34</v>
      </c>
      <c r="K2726" s="2" t="s">
        <v>1284</v>
      </c>
      <c r="L2726" s="2" t="s">
        <v>1285</v>
      </c>
      <c r="M2726" s="2" t="s">
        <v>37</v>
      </c>
      <c r="N2726" s="2" t="s">
        <v>38</v>
      </c>
      <c r="O2726" s="2" t="s">
        <v>3265</v>
      </c>
      <c r="P2726" s="2" t="s">
        <v>2801</v>
      </c>
      <c r="Q2726" s="2" t="s">
        <v>16200</v>
      </c>
      <c r="R2726" s="2" t="s">
        <v>40</v>
      </c>
      <c r="S2726" s="2" t="s">
        <v>16201</v>
      </c>
      <c r="T2726" s="2" t="s">
        <v>16202</v>
      </c>
      <c r="U2726" s="2" t="s">
        <v>16203</v>
      </c>
      <c r="V2726" s="2" t="s">
        <v>16204</v>
      </c>
      <c r="W2726" s="1"/>
      <c r="X2726" s="2" t="s">
        <v>1893</v>
      </c>
      <c r="Y2726" s="2" t="s">
        <v>15903</v>
      </c>
      <c r="AA2726" t="str">
        <f t="shared" si="252"/>
        <v>2025-07</v>
      </c>
      <c r="AB2726" t="str">
        <f t="shared" si="253"/>
        <v/>
      </c>
      <c r="AC2726">
        <f t="shared" si="254"/>
        <v>2587103.2799999998</v>
      </c>
      <c r="AD2726">
        <f t="shared" si="255"/>
        <v>393</v>
      </c>
      <c r="AE2726">
        <f t="shared" si="256"/>
        <v>673653.28</v>
      </c>
      <c r="AF2726" t="str">
        <f t="shared" si="257"/>
        <v>Paid</v>
      </c>
    </row>
    <row r="2727" spans="1:32" ht="17.25" thickBot="1" x14ac:dyDescent="0.35">
      <c r="A2727" s="2" t="s">
        <v>16205</v>
      </c>
      <c r="B2727" s="2" t="s">
        <v>27</v>
      </c>
      <c r="C2727" s="2" t="s">
        <v>28</v>
      </c>
      <c r="D2727" s="2" t="s">
        <v>97</v>
      </c>
      <c r="E2727" s="2" t="s">
        <v>15863</v>
      </c>
      <c r="F2727" s="2" t="s">
        <v>31</v>
      </c>
      <c r="G2727" s="2" t="s">
        <v>32</v>
      </c>
      <c r="H2727" s="1"/>
      <c r="I2727" s="2" t="s">
        <v>33</v>
      </c>
      <c r="J2727" s="2" t="s">
        <v>34</v>
      </c>
      <c r="K2727" s="2" t="s">
        <v>14771</v>
      </c>
      <c r="L2727" s="2" t="s">
        <v>14772</v>
      </c>
      <c r="M2727" s="2" t="s">
        <v>37</v>
      </c>
      <c r="N2727" s="2" t="s">
        <v>38</v>
      </c>
      <c r="O2727" s="2" t="s">
        <v>517</v>
      </c>
      <c r="P2727" s="2" t="s">
        <v>16144</v>
      </c>
      <c r="Q2727" s="2" t="s">
        <v>16206</v>
      </c>
      <c r="R2727" s="2" t="s">
        <v>40</v>
      </c>
      <c r="S2727" s="2" t="s">
        <v>16207</v>
      </c>
      <c r="T2727" s="2" t="s">
        <v>16208</v>
      </c>
      <c r="U2727" s="2" t="s">
        <v>16209</v>
      </c>
      <c r="V2727" s="2" t="s">
        <v>16210</v>
      </c>
      <c r="W2727" s="1"/>
      <c r="X2727" s="2" t="s">
        <v>16211</v>
      </c>
      <c r="Y2727" s="2" t="s">
        <v>15903</v>
      </c>
      <c r="AA2727" t="str">
        <f t="shared" si="252"/>
        <v>2025-07</v>
      </c>
      <c r="AB2727" t="str">
        <f t="shared" si="253"/>
        <v/>
      </c>
      <c r="AC2727">
        <f t="shared" si="254"/>
        <v>1241128.8</v>
      </c>
      <c r="AD2727">
        <f t="shared" si="255"/>
        <v>120</v>
      </c>
      <c r="AE2727">
        <f t="shared" si="256"/>
        <v>487078.8</v>
      </c>
      <c r="AF2727" t="str">
        <f t="shared" si="257"/>
        <v>Paid</v>
      </c>
    </row>
    <row r="2728" spans="1:32" ht="17.25" thickBot="1" x14ac:dyDescent="0.35">
      <c r="A2728" s="2" t="s">
        <v>16212</v>
      </c>
      <c r="B2728" s="2" t="s">
        <v>27</v>
      </c>
      <c r="C2728" s="2" t="s">
        <v>28</v>
      </c>
      <c r="D2728" s="2" t="s">
        <v>97</v>
      </c>
      <c r="E2728" s="2" t="s">
        <v>15863</v>
      </c>
      <c r="F2728" s="2" t="s">
        <v>31</v>
      </c>
      <c r="G2728" s="2" t="s">
        <v>32</v>
      </c>
      <c r="H2728" s="1"/>
      <c r="I2728" s="2" t="s">
        <v>33</v>
      </c>
      <c r="J2728" s="2" t="s">
        <v>34</v>
      </c>
      <c r="K2728" s="2" t="s">
        <v>14771</v>
      </c>
      <c r="L2728" s="2" t="s">
        <v>14772</v>
      </c>
      <c r="M2728" s="2" t="s">
        <v>37</v>
      </c>
      <c r="N2728" s="2" t="s">
        <v>38</v>
      </c>
      <c r="O2728" s="2" t="s">
        <v>925</v>
      </c>
      <c r="P2728" s="2" t="s">
        <v>16144</v>
      </c>
      <c r="Q2728" s="2" t="s">
        <v>16213</v>
      </c>
      <c r="R2728" s="2" t="s">
        <v>40</v>
      </c>
      <c r="S2728" s="2" t="s">
        <v>16214</v>
      </c>
      <c r="T2728" s="2" t="s">
        <v>267</v>
      </c>
      <c r="U2728" s="2" t="s">
        <v>1179</v>
      </c>
      <c r="V2728" s="2" t="s">
        <v>16215</v>
      </c>
      <c r="W2728" s="1"/>
      <c r="X2728" s="2" t="s">
        <v>6038</v>
      </c>
      <c r="Y2728" s="2" t="s">
        <v>15903</v>
      </c>
      <c r="AA2728" t="str">
        <f t="shared" si="252"/>
        <v>2025-07</v>
      </c>
      <c r="AB2728" t="str">
        <f t="shared" si="253"/>
        <v/>
      </c>
      <c r="AC2728">
        <f t="shared" si="254"/>
        <v>1085987.7</v>
      </c>
      <c r="AD2728">
        <f t="shared" si="255"/>
        <v>105</v>
      </c>
      <c r="AE2728">
        <f t="shared" si="256"/>
        <v>392987.7</v>
      </c>
      <c r="AF2728" t="str">
        <f t="shared" si="257"/>
        <v>Paid</v>
      </c>
    </row>
    <row r="2729" spans="1:32" ht="17.25" thickBot="1" x14ac:dyDescent="0.35">
      <c r="A2729" s="2" t="s">
        <v>16216</v>
      </c>
      <c r="B2729" s="2" t="s">
        <v>27</v>
      </c>
      <c r="C2729" s="2" t="s">
        <v>28</v>
      </c>
      <c r="D2729" s="2" t="s">
        <v>97</v>
      </c>
      <c r="E2729" s="2" t="s">
        <v>15863</v>
      </c>
      <c r="F2729" s="2" t="s">
        <v>31</v>
      </c>
      <c r="G2729" s="2" t="s">
        <v>32</v>
      </c>
      <c r="H2729" s="1"/>
      <c r="I2729" s="2" t="s">
        <v>33</v>
      </c>
      <c r="J2729" s="2" t="s">
        <v>34</v>
      </c>
      <c r="K2729" s="2" t="s">
        <v>5430</v>
      </c>
      <c r="L2729" s="2" t="s">
        <v>5431</v>
      </c>
      <c r="M2729" s="2" t="s">
        <v>37</v>
      </c>
      <c r="N2729" s="2" t="s">
        <v>38</v>
      </c>
      <c r="O2729" s="2" t="s">
        <v>773</v>
      </c>
      <c r="P2729" s="2" t="s">
        <v>8619</v>
      </c>
      <c r="Q2729" s="2" t="s">
        <v>16128</v>
      </c>
      <c r="R2729" s="2" t="s">
        <v>40</v>
      </c>
      <c r="S2729" s="2" t="s">
        <v>16129</v>
      </c>
      <c r="T2729" s="2" t="s">
        <v>5434</v>
      </c>
      <c r="U2729" s="2" t="s">
        <v>3706</v>
      </c>
      <c r="V2729" s="2" t="s">
        <v>16217</v>
      </c>
      <c r="W2729" s="1"/>
      <c r="X2729" s="2" t="s">
        <v>14002</v>
      </c>
      <c r="Y2729" s="2" t="s">
        <v>15903</v>
      </c>
      <c r="AA2729" t="str">
        <f t="shared" si="252"/>
        <v>2025-07</v>
      </c>
      <c r="AB2729" t="str">
        <f t="shared" si="253"/>
        <v/>
      </c>
      <c r="AC2729">
        <f t="shared" si="254"/>
        <v>1506588</v>
      </c>
      <c r="AD2729">
        <f t="shared" si="255"/>
        <v>200</v>
      </c>
      <c r="AE2729">
        <f t="shared" si="256"/>
        <v>546588</v>
      </c>
      <c r="AF2729" t="str">
        <f t="shared" si="257"/>
        <v>Paid</v>
      </c>
    </row>
    <row r="2730" spans="1:32" ht="17.25" thickBot="1" x14ac:dyDescent="0.35">
      <c r="A2730" s="2" t="s">
        <v>16218</v>
      </c>
      <c r="B2730" s="2" t="s">
        <v>27</v>
      </c>
      <c r="C2730" s="2" t="s">
        <v>28</v>
      </c>
      <c r="D2730" s="2" t="s">
        <v>97</v>
      </c>
      <c r="E2730" s="2" t="s">
        <v>15863</v>
      </c>
      <c r="F2730" s="2" t="s">
        <v>31</v>
      </c>
      <c r="G2730" s="2" t="s">
        <v>32</v>
      </c>
      <c r="H2730" s="1"/>
      <c r="I2730" s="2" t="s">
        <v>33</v>
      </c>
      <c r="J2730" s="2" t="s">
        <v>34</v>
      </c>
      <c r="K2730" s="2" t="s">
        <v>82</v>
      </c>
      <c r="L2730" s="2" t="s">
        <v>83</v>
      </c>
      <c r="M2730" s="2" t="s">
        <v>84</v>
      </c>
      <c r="N2730" s="2" t="s">
        <v>38</v>
      </c>
      <c r="O2730" s="2" t="s">
        <v>16219</v>
      </c>
      <c r="P2730" s="2" t="s">
        <v>6844</v>
      </c>
      <c r="Q2730" s="2" t="s">
        <v>16220</v>
      </c>
      <c r="R2730" s="2" t="s">
        <v>40</v>
      </c>
      <c r="S2730" s="2" t="s">
        <v>16221</v>
      </c>
      <c r="T2730" s="2" t="s">
        <v>2275</v>
      </c>
      <c r="U2730" s="2" t="s">
        <v>16222</v>
      </c>
      <c r="V2730" s="2" t="s">
        <v>16223</v>
      </c>
      <c r="W2730" s="1"/>
      <c r="X2730" s="2" t="s">
        <v>1239</v>
      </c>
      <c r="Y2730" s="2" t="s">
        <v>15903</v>
      </c>
      <c r="AA2730" t="str">
        <f t="shared" si="252"/>
        <v>2025-07</v>
      </c>
      <c r="AB2730" t="str">
        <f t="shared" si="253"/>
        <v/>
      </c>
      <c r="AC2730">
        <f t="shared" si="254"/>
        <v>15458315.4</v>
      </c>
      <c r="AD2730">
        <f t="shared" si="255"/>
        <v>2970</v>
      </c>
      <c r="AE2730">
        <f t="shared" si="256"/>
        <v>2093315.4</v>
      </c>
      <c r="AF2730" t="str">
        <f t="shared" si="257"/>
        <v>Paid</v>
      </c>
    </row>
    <row r="2731" spans="1:32" ht="17.25" thickBot="1" x14ac:dyDescent="0.35">
      <c r="A2731" s="2" t="s">
        <v>16224</v>
      </c>
      <c r="B2731" s="2" t="s">
        <v>27</v>
      </c>
      <c r="C2731" s="2" t="s">
        <v>28</v>
      </c>
      <c r="D2731" s="2" t="s">
        <v>97</v>
      </c>
      <c r="E2731" s="2" t="s">
        <v>15863</v>
      </c>
      <c r="F2731" s="2" t="s">
        <v>31</v>
      </c>
      <c r="G2731" s="2" t="s">
        <v>32</v>
      </c>
      <c r="H2731" s="1"/>
      <c r="I2731" s="2" t="s">
        <v>33</v>
      </c>
      <c r="J2731" s="2" t="s">
        <v>34</v>
      </c>
      <c r="K2731" s="2" t="s">
        <v>1368</v>
      </c>
      <c r="L2731" s="2" t="s">
        <v>1369</v>
      </c>
      <c r="M2731" s="2" t="s">
        <v>84</v>
      </c>
      <c r="N2731" s="2" t="s">
        <v>38</v>
      </c>
      <c r="O2731" s="2" t="s">
        <v>2337</v>
      </c>
      <c r="P2731" s="2" t="s">
        <v>3718</v>
      </c>
      <c r="Q2731" s="2" t="s">
        <v>16225</v>
      </c>
      <c r="R2731" s="2" t="s">
        <v>40</v>
      </c>
      <c r="S2731" s="2" t="s">
        <v>16226</v>
      </c>
      <c r="T2731" s="2" t="s">
        <v>2275</v>
      </c>
      <c r="U2731" s="2" t="s">
        <v>2339</v>
      </c>
      <c r="V2731" s="2" t="s">
        <v>16227</v>
      </c>
      <c r="W2731" s="1"/>
      <c r="X2731" s="2" t="s">
        <v>1504</v>
      </c>
      <c r="Y2731" s="2" t="s">
        <v>15903</v>
      </c>
      <c r="AA2731" t="str">
        <f t="shared" si="252"/>
        <v>2025-07</v>
      </c>
      <c r="AB2731" t="str">
        <f t="shared" si="253"/>
        <v/>
      </c>
      <c r="AC2731">
        <f t="shared" si="254"/>
        <v>3424343.4</v>
      </c>
      <c r="AD2731">
        <f t="shared" si="255"/>
        <v>570</v>
      </c>
      <c r="AE2731">
        <f t="shared" si="256"/>
        <v>859343.4</v>
      </c>
      <c r="AF2731" t="str">
        <f t="shared" si="257"/>
        <v>Paid</v>
      </c>
    </row>
    <row r="2732" spans="1:32" ht="17.25" thickBot="1" x14ac:dyDescent="0.35">
      <c r="A2732" s="2" t="s">
        <v>16228</v>
      </c>
      <c r="B2732" s="2" t="s">
        <v>27</v>
      </c>
      <c r="C2732" s="2" t="s">
        <v>28</v>
      </c>
      <c r="D2732" s="2" t="s">
        <v>97</v>
      </c>
      <c r="E2732" s="2" t="s">
        <v>15863</v>
      </c>
      <c r="F2732" s="2" t="s">
        <v>31</v>
      </c>
      <c r="G2732" s="2" t="s">
        <v>32</v>
      </c>
      <c r="H2732" s="1"/>
      <c r="I2732" s="2" t="s">
        <v>33</v>
      </c>
      <c r="J2732" s="2" t="s">
        <v>34</v>
      </c>
      <c r="K2732" s="2" t="s">
        <v>1439</v>
      </c>
      <c r="L2732" s="2" t="s">
        <v>1440</v>
      </c>
      <c r="M2732" s="2" t="s">
        <v>84</v>
      </c>
      <c r="N2732" s="2" t="s">
        <v>38</v>
      </c>
      <c r="O2732" s="2" t="s">
        <v>665</v>
      </c>
      <c r="P2732" s="2" t="s">
        <v>3718</v>
      </c>
      <c r="Q2732" s="2" t="s">
        <v>16229</v>
      </c>
      <c r="R2732" s="2" t="s">
        <v>40</v>
      </c>
      <c r="S2732" s="2" t="s">
        <v>16230</v>
      </c>
      <c r="T2732" s="2" t="s">
        <v>3213</v>
      </c>
      <c r="U2732" s="2" t="s">
        <v>1263</v>
      </c>
      <c r="V2732" s="2" t="s">
        <v>16231</v>
      </c>
      <c r="W2732" s="1"/>
      <c r="X2732" s="2" t="s">
        <v>6730</v>
      </c>
      <c r="Y2732" s="2" t="s">
        <v>15903</v>
      </c>
      <c r="AA2732" t="str">
        <f t="shared" si="252"/>
        <v>2025-07</v>
      </c>
      <c r="AB2732" t="str">
        <f t="shared" si="253"/>
        <v/>
      </c>
      <c r="AC2732">
        <f t="shared" si="254"/>
        <v>1261600.2</v>
      </c>
      <c r="AD2732">
        <f t="shared" si="255"/>
        <v>210</v>
      </c>
      <c r="AE2732">
        <f t="shared" si="256"/>
        <v>169600.2</v>
      </c>
      <c r="AF2732" t="str">
        <f t="shared" si="257"/>
        <v>Paid</v>
      </c>
    </row>
    <row r="2733" spans="1:32" ht="17.25" thickBot="1" x14ac:dyDescent="0.35">
      <c r="A2733" s="2" t="s">
        <v>16232</v>
      </c>
      <c r="B2733" s="2" t="s">
        <v>27</v>
      </c>
      <c r="C2733" s="2" t="s">
        <v>28</v>
      </c>
      <c r="D2733" s="2" t="s">
        <v>97</v>
      </c>
      <c r="E2733" s="2" t="s">
        <v>15863</v>
      </c>
      <c r="F2733" s="2" t="s">
        <v>31</v>
      </c>
      <c r="G2733" s="2" t="s">
        <v>32</v>
      </c>
      <c r="H2733" s="1"/>
      <c r="I2733" s="2" t="s">
        <v>33</v>
      </c>
      <c r="J2733" s="2" t="s">
        <v>34</v>
      </c>
      <c r="K2733" s="2" t="s">
        <v>1448</v>
      </c>
      <c r="L2733" s="2" t="s">
        <v>1449</v>
      </c>
      <c r="M2733" s="2" t="s">
        <v>84</v>
      </c>
      <c r="N2733" s="2" t="s">
        <v>38</v>
      </c>
      <c r="O2733" s="2" t="s">
        <v>5000</v>
      </c>
      <c r="P2733" s="2" t="s">
        <v>16233</v>
      </c>
      <c r="Q2733" s="2" t="s">
        <v>16234</v>
      </c>
      <c r="R2733" s="2" t="s">
        <v>40</v>
      </c>
      <c r="S2733" s="2" t="s">
        <v>16235</v>
      </c>
      <c r="T2733" s="2" t="s">
        <v>1454</v>
      </c>
      <c r="U2733" s="2" t="s">
        <v>16236</v>
      </c>
      <c r="V2733" s="2" t="s">
        <v>16237</v>
      </c>
      <c r="W2733" s="1"/>
      <c r="X2733" s="2" t="s">
        <v>16238</v>
      </c>
      <c r="Y2733" s="2" t="s">
        <v>15903</v>
      </c>
      <c r="AA2733" t="str">
        <f t="shared" si="252"/>
        <v>2025-07</v>
      </c>
      <c r="AB2733" t="str">
        <f t="shared" si="253"/>
        <v/>
      </c>
      <c r="AC2733">
        <f t="shared" si="254"/>
        <v>2553546.2400000002</v>
      </c>
      <c r="AD2733">
        <f t="shared" si="255"/>
        <v>672</v>
      </c>
      <c r="AE2733">
        <f t="shared" si="256"/>
        <v>154506.23999999999</v>
      </c>
      <c r="AF2733" t="str">
        <f t="shared" si="257"/>
        <v>Paid</v>
      </c>
    </row>
    <row r="2734" spans="1:32" ht="17.25" thickBot="1" x14ac:dyDescent="0.35">
      <c r="A2734" s="2" t="s">
        <v>16239</v>
      </c>
      <c r="B2734" s="2" t="s">
        <v>27</v>
      </c>
      <c r="C2734" s="2" t="s">
        <v>28</v>
      </c>
      <c r="D2734" s="2" t="s">
        <v>97</v>
      </c>
      <c r="E2734" s="2" t="s">
        <v>15863</v>
      </c>
      <c r="F2734" s="2" t="s">
        <v>31</v>
      </c>
      <c r="G2734" s="2" t="s">
        <v>32</v>
      </c>
      <c r="H2734" s="1"/>
      <c r="I2734" s="2" t="s">
        <v>33</v>
      </c>
      <c r="J2734" s="2" t="s">
        <v>34</v>
      </c>
      <c r="K2734" s="2" t="s">
        <v>4528</v>
      </c>
      <c r="L2734" s="2" t="s">
        <v>4529</v>
      </c>
      <c r="M2734" s="2" t="s">
        <v>84</v>
      </c>
      <c r="N2734" s="2" t="s">
        <v>38</v>
      </c>
      <c r="O2734" s="2" t="s">
        <v>2642</v>
      </c>
      <c r="P2734" s="2" t="s">
        <v>13322</v>
      </c>
      <c r="Q2734" s="2" t="s">
        <v>16240</v>
      </c>
      <c r="R2734" s="2" t="s">
        <v>40</v>
      </c>
      <c r="S2734" s="2" t="s">
        <v>16241</v>
      </c>
      <c r="T2734" s="2" t="s">
        <v>4531</v>
      </c>
      <c r="U2734" s="2" t="s">
        <v>16242</v>
      </c>
      <c r="V2734" s="2" t="s">
        <v>16243</v>
      </c>
      <c r="W2734" s="1"/>
      <c r="X2734" s="2" t="s">
        <v>3661</v>
      </c>
      <c r="Y2734" s="2" t="s">
        <v>15903</v>
      </c>
      <c r="AA2734" t="str">
        <f t="shared" si="252"/>
        <v>2025-07</v>
      </c>
      <c r="AB2734" t="str">
        <f t="shared" si="253"/>
        <v/>
      </c>
      <c r="AC2734">
        <f t="shared" si="254"/>
        <v>7178102.4000000004</v>
      </c>
      <c r="AD2734">
        <f t="shared" si="255"/>
        <v>560</v>
      </c>
      <c r="AE2734">
        <f t="shared" si="256"/>
        <v>1914102.4</v>
      </c>
      <c r="AF2734" t="str">
        <f t="shared" si="257"/>
        <v>Paid</v>
      </c>
    </row>
    <row r="2735" spans="1:32" ht="17.25" thickBot="1" x14ac:dyDescent="0.35">
      <c r="A2735" s="2" t="s">
        <v>16244</v>
      </c>
      <c r="B2735" s="2" t="s">
        <v>27</v>
      </c>
      <c r="C2735" s="2" t="s">
        <v>28</v>
      </c>
      <c r="D2735" s="2" t="s">
        <v>97</v>
      </c>
      <c r="E2735" s="2" t="s">
        <v>15863</v>
      </c>
      <c r="F2735" s="2" t="s">
        <v>31</v>
      </c>
      <c r="G2735" s="2" t="s">
        <v>32</v>
      </c>
      <c r="H2735" s="1"/>
      <c r="I2735" s="2" t="s">
        <v>33</v>
      </c>
      <c r="J2735" s="2" t="s">
        <v>34</v>
      </c>
      <c r="K2735" s="2" t="s">
        <v>1505</v>
      </c>
      <c r="L2735" s="2" t="s">
        <v>1506</v>
      </c>
      <c r="M2735" s="2" t="s">
        <v>84</v>
      </c>
      <c r="N2735" s="2" t="s">
        <v>38</v>
      </c>
      <c r="O2735" s="2" t="s">
        <v>8269</v>
      </c>
      <c r="P2735" s="2" t="s">
        <v>2159</v>
      </c>
      <c r="Q2735" s="2" t="s">
        <v>16245</v>
      </c>
      <c r="R2735" s="2" t="s">
        <v>40</v>
      </c>
      <c r="S2735" s="2" t="s">
        <v>16246</v>
      </c>
      <c r="T2735" s="2" t="s">
        <v>16247</v>
      </c>
      <c r="U2735" s="2" t="s">
        <v>16248</v>
      </c>
      <c r="V2735" s="2" t="s">
        <v>16249</v>
      </c>
      <c r="W2735" s="1"/>
      <c r="X2735" s="2" t="s">
        <v>12672</v>
      </c>
      <c r="Y2735" s="2" t="s">
        <v>15903</v>
      </c>
      <c r="AA2735" t="str">
        <f t="shared" si="252"/>
        <v>2025-07</v>
      </c>
      <c r="AB2735" t="str">
        <f t="shared" si="253"/>
        <v/>
      </c>
      <c r="AC2735">
        <f t="shared" si="254"/>
        <v>22831632</v>
      </c>
      <c r="AD2735">
        <f t="shared" si="255"/>
        <v>2400</v>
      </c>
      <c r="AE2735">
        <f t="shared" si="256"/>
        <v>8068242</v>
      </c>
      <c r="AF2735" t="str">
        <f t="shared" si="257"/>
        <v>Paid</v>
      </c>
    </row>
    <row r="2736" spans="1:32" ht="17.25" thickBot="1" x14ac:dyDescent="0.35">
      <c r="A2736" s="2" t="s">
        <v>16250</v>
      </c>
      <c r="B2736" s="2" t="s">
        <v>27</v>
      </c>
      <c r="C2736" s="2" t="s">
        <v>28</v>
      </c>
      <c r="D2736" s="2" t="s">
        <v>97</v>
      </c>
      <c r="E2736" s="2" t="s">
        <v>15863</v>
      </c>
      <c r="F2736" s="2" t="s">
        <v>31</v>
      </c>
      <c r="G2736" s="2" t="s">
        <v>32</v>
      </c>
      <c r="H2736" s="1"/>
      <c r="I2736" s="2" t="s">
        <v>33</v>
      </c>
      <c r="J2736" s="2" t="s">
        <v>34</v>
      </c>
      <c r="K2736" s="2" t="s">
        <v>10030</v>
      </c>
      <c r="L2736" s="2" t="s">
        <v>10031</v>
      </c>
      <c r="M2736" s="2" t="s">
        <v>3198</v>
      </c>
      <c r="N2736" s="2" t="s">
        <v>38</v>
      </c>
      <c r="O2736" s="2" t="s">
        <v>3206</v>
      </c>
      <c r="P2736" s="2" t="s">
        <v>16251</v>
      </c>
      <c r="Q2736" s="2" t="s">
        <v>16252</v>
      </c>
      <c r="R2736" s="2" t="s">
        <v>40</v>
      </c>
      <c r="S2736" s="2" t="s">
        <v>16253</v>
      </c>
      <c r="T2736" s="2" t="s">
        <v>10034</v>
      </c>
      <c r="U2736" s="2" t="s">
        <v>16254</v>
      </c>
      <c r="V2736" s="2" t="s">
        <v>16255</v>
      </c>
      <c r="W2736" s="1"/>
      <c r="X2736" s="2" t="s">
        <v>4195</v>
      </c>
      <c r="Y2736" s="2" t="s">
        <v>15903</v>
      </c>
      <c r="AA2736" t="str">
        <f t="shared" si="252"/>
        <v>2025-07</v>
      </c>
      <c r="AB2736" t="str">
        <f t="shared" si="253"/>
        <v/>
      </c>
      <c r="AC2736">
        <f t="shared" si="254"/>
        <v>2743649.28</v>
      </c>
      <c r="AD2736">
        <f t="shared" si="255"/>
        <v>384</v>
      </c>
      <c r="AE2736">
        <f t="shared" si="256"/>
        <v>405089.28000000003</v>
      </c>
      <c r="AF2736" t="str">
        <f t="shared" si="257"/>
        <v>Paid</v>
      </c>
    </row>
    <row r="2737" spans="1:32" ht="17.25" thickBot="1" x14ac:dyDescent="0.35">
      <c r="A2737" s="2" t="s">
        <v>16256</v>
      </c>
      <c r="B2737" s="2" t="s">
        <v>27</v>
      </c>
      <c r="C2737" s="2" t="s">
        <v>28</v>
      </c>
      <c r="D2737" s="2" t="s">
        <v>97</v>
      </c>
      <c r="E2737" s="2" t="s">
        <v>15863</v>
      </c>
      <c r="F2737" s="2" t="s">
        <v>31</v>
      </c>
      <c r="G2737" s="2" t="s">
        <v>32</v>
      </c>
      <c r="H2737" s="1"/>
      <c r="I2737" s="2" t="s">
        <v>33</v>
      </c>
      <c r="J2737" s="2" t="s">
        <v>34</v>
      </c>
      <c r="K2737" s="2" t="s">
        <v>10030</v>
      </c>
      <c r="L2737" s="2" t="s">
        <v>10031</v>
      </c>
      <c r="M2737" s="2" t="s">
        <v>3198</v>
      </c>
      <c r="N2737" s="2" t="s">
        <v>38</v>
      </c>
      <c r="O2737" s="2" t="s">
        <v>839</v>
      </c>
      <c r="P2737" s="2" t="s">
        <v>16251</v>
      </c>
      <c r="Q2737" s="2" t="s">
        <v>16257</v>
      </c>
      <c r="R2737" s="2" t="s">
        <v>40</v>
      </c>
      <c r="S2737" s="2" t="s">
        <v>16258</v>
      </c>
      <c r="T2737" s="2" t="s">
        <v>10034</v>
      </c>
      <c r="U2737" s="2" t="s">
        <v>16259</v>
      </c>
      <c r="V2737" s="2" t="s">
        <v>16260</v>
      </c>
      <c r="W2737" s="1"/>
      <c r="X2737" s="2" t="s">
        <v>4195</v>
      </c>
      <c r="Y2737" s="2" t="s">
        <v>15903</v>
      </c>
      <c r="AA2737" t="str">
        <f t="shared" si="252"/>
        <v>2025-07</v>
      </c>
      <c r="AB2737" t="str">
        <f t="shared" si="253"/>
        <v/>
      </c>
      <c r="AC2737">
        <f t="shared" si="254"/>
        <v>685912.32</v>
      </c>
      <c r="AD2737">
        <f t="shared" si="255"/>
        <v>96</v>
      </c>
      <c r="AE2737">
        <f t="shared" si="256"/>
        <v>101272.32000000001</v>
      </c>
      <c r="AF2737" t="str">
        <f t="shared" si="257"/>
        <v>Paid</v>
      </c>
    </row>
    <row r="2738" spans="1:32" ht="17.25" thickBot="1" x14ac:dyDescent="0.35">
      <c r="A2738" s="2" t="s">
        <v>16261</v>
      </c>
      <c r="B2738" s="2" t="s">
        <v>27</v>
      </c>
      <c r="C2738" s="2" t="s">
        <v>28</v>
      </c>
      <c r="D2738" s="2" t="s">
        <v>97</v>
      </c>
      <c r="E2738" s="2" t="s">
        <v>15863</v>
      </c>
      <c r="F2738" s="2" t="s">
        <v>31</v>
      </c>
      <c r="G2738" s="2" t="s">
        <v>32</v>
      </c>
      <c r="H2738" s="1"/>
      <c r="I2738" s="2" t="s">
        <v>33</v>
      </c>
      <c r="J2738" s="2" t="s">
        <v>34</v>
      </c>
      <c r="K2738" s="2" t="s">
        <v>3196</v>
      </c>
      <c r="L2738" s="2" t="s">
        <v>3197</v>
      </c>
      <c r="M2738" s="2" t="s">
        <v>3198</v>
      </c>
      <c r="N2738" s="2" t="s">
        <v>38</v>
      </c>
      <c r="O2738" s="2" t="s">
        <v>1674</v>
      </c>
      <c r="P2738" s="2" t="s">
        <v>5461</v>
      </c>
      <c r="Q2738" s="2" t="s">
        <v>16262</v>
      </c>
      <c r="R2738" s="2" t="s">
        <v>40</v>
      </c>
      <c r="S2738" s="2" t="s">
        <v>16263</v>
      </c>
      <c r="T2738" s="2" t="s">
        <v>15262</v>
      </c>
      <c r="U2738" s="2" t="s">
        <v>16264</v>
      </c>
      <c r="V2738" s="2" t="s">
        <v>16265</v>
      </c>
      <c r="W2738" s="1"/>
      <c r="X2738" s="2" t="s">
        <v>3205</v>
      </c>
      <c r="Y2738" s="2" t="s">
        <v>15903</v>
      </c>
      <c r="AA2738" t="str">
        <f t="shared" si="252"/>
        <v>2025-07</v>
      </c>
      <c r="AB2738" t="str">
        <f t="shared" si="253"/>
        <v/>
      </c>
      <c r="AC2738">
        <f t="shared" si="254"/>
        <v>1751147.64</v>
      </c>
      <c r="AD2738">
        <f t="shared" si="255"/>
        <v>198</v>
      </c>
      <c r="AE2738">
        <f t="shared" si="256"/>
        <v>258227.64</v>
      </c>
      <c r="AF2738" t="str">
        <f t="shared" si="257"/>
        <v>Paid</v>
      </c>
    </row>
    <row r="2739" spans="1:32" ht="17.25" thickBot="1" x14ac:dyDescent="0.35">
      <c r="A2739" s="2" t="s">
        <v>16266</v>
      </c>
      <c r="B2739" s="2" t="s">
        <v>27</v>
      </c>
      <c r="C2739" s="2" t="s">
        <v>28</v>
      </c>
      <c r="D2739" s="2" t="s">
        <v>97</v>
      </c>
      <c r="E2739" s="2" t="s">
        <v>15863</v>
      </c>
      <c r="F2739" s="2" t="s">
        <v>31</v>
      </c>
      <c r="G2739" s="2" t="s">
        <v>32</v>
      </c>
      <c r="H2739" s="1"/>
      <c r="I2739" s="2" t="s">
        <v>33</v>
      </c>
      <c r="J2739" s="2" t="s">
        <v>34</v>
      </c>
      <c r="K2739" s="2" t="s">
        <v>13445</v>
      </c>
      <c r="L2739" s="2" t="s">
        <v>13446</v>
      </c>
      <c r="M2739" s="2" t="s">
        <v>3198</v>
      </c>
      <c r="N2739" s="2" t="s">
        <v>38</v>
      </c>
      <c r="O2739" s="2" t="s">
        <v>103</v>
      </c>
      <c r="P2739" s="2" t="s">
        <v>40</v>
      </c>
      <c r="Q2739" s="2" t="s">
        <v>40</v>
      </c>
      <c r="R2739" s="2" t="s">
        <v>40</v>
      </c>
      <c r="S2739" s="2" t="s">
        <v>40</v>
      </c>
      <c r="T2739" s="2" t="s">
        <v>9925</v>
      </c>
      <c r="U2739" s="2" t="s">
        <v>16267</v>
      </c>
      <c r="V2739" s="2" t="s">
        <v>16268</v>
      </c>
      <c r="W2739" s="2" t="s">
        <v>41</v>
      </c>
      <c r="X2739" s="2" t="s">
        <v>42</v>
      </c>
      <c r="Y2739" s="2" t="s">
        <v>15903</v>
      </c>
      <c r="AA2739" t="str">
        <f t="shared" si="252"/>
        <v>2025-07</v>
      </c>
      <c r="AB2739" t="str">
        <f t="shared" si="253"/>
        <v/>
      </c>
      <c r="AC2739">
        <f t="shared" si="254"/>
        <v>0</v>
      </c>
      <c r="AD2739">
        <f t="shared" si="255"/>
        <v>24</v>
      </c>
      <c r="AE2739">
        <f t="shared" si="256"/>
        <v>-222720</v>
      </c>
      <c r="AF2739" t="str">
        <f t="shared" si="257"/>
        <v>Sample</v>
      </c>
    </row>
    <row r="2740" spans="1:32" ht="27.75" thickBot="1" x14ac:dyDescent="0.35">
      <c r="A2740" s="2" t="s">
        <v>16269</v>
      </c>
      <c r="B2740" s="2" t="s">
        <v>27</v>
      </c>
      <c r="C2740" s="2" t="s">
        <v>28</v>
      </c>
      <c r="D2740" s="2" t="s">
        <v>97</v>
      </c>
      <c r="E2740" s="2" t="s">
        <v>15863</v>
      </c>
      <c r="F2740" s="2" t="s">
        <v>31</v>
      </c>
      <c r="G2740" s="2" t="s">
        <v>32</v>
      </c>
      <c r="H2740" s="1"/>
      <c r="I2740" s="2" t="s">
        <v>33</v>
      </c>
      <c r="J2740" s="2" t="s">
        <v>34</v>
      </c>
      <c r="K2740" s="2" t="s">
        <v>16270</v>
      </c>
      <c r="L2740" s="2" t="s">
        <v>16271</v>
      </c>
      <c r="M2740" s="2" t="s">
        <v>1757</v>
      </c>
      <c r="N2740" s="2" t="s">
        <v>38</v>
      </c>
      <c r="O2740" s="2" t="s">
        <v>1914</v>
      </c>
      <c r="P2740" s="2" t="s">
        <v>5876</v>
      </c>
      <c r="Q2740" s="2" t="s">
        <v>16272</v>
      </c>
      <c r="R2740" s="2" t="s">
        <v>40</v>
      </c>
      <c r="S2740" s="2" t="s">
        <v>16273</v>
      </c>
      <c r="T2740" s="2" t="s">
        <v>8172</v>
      </c>
      <c r="U2740" s="2" t="s">
        <v>16274</v>
      </c>
      <c r="V2740" s="2" t="s">
        <v>16275</v>
      </c>
      <c r="W2740" s="1"/>
      <c r="X2740" s="2" t="s">
        <v>1073</v>
      </c>
      <c r="Y2740" s="2" t="s">
        <v>15903</v>
      </c>
      <c r="AA2740" t="str">
        <f t="shared" si="252"/>
        <v>2025-07</v>
      </c>
      <c r="AB2740" t="str">
        <f t="shared" si="253"/>
        <v/>
      </c>
      <c r="AC2740">
        <f t="shared" si="254"/>
        <v>6201630</v>
      </c>
      <c r="AD2740">
        <f t="shared" si="255"/>
        <v>900</v>
      </c>
      <c r="AE2740">
        <f t="shared" si="256"/>
        <v>1619730</v>
      </c>
      <c r="AF2740" t="str">
        <f t="shared" si="257"/>
        <v>Paid</v>
      </c>
    </row>
    <row r="2741" spans="1:32" ht="27.75" thickBot="1" x14ac:dyDescent="0.35">
      <c r="A2741" s="2" t="s">
        <v>16276</v>
      </c>
      <c r="B2741" s="2" t="s">
        <v>27</v>
      </c>
      <c r="C2741" s="2" t="s">
        <v>28</v>
      </c>
      <c r="D2741" s="2" t="s">
        <v>97</v>
      </c>
      <c r="E2741" s="2" t="s">
        <v>15863</v>
      </c>
      <c r="F2741" s="2" t="s">
        <v>31</v>
      </c>
      <c r="G2741" s="2" t="s">
        <v>32</v>
      </c>
      <c r="H2741" s="1"/>
      <c r="I2741" s="2" t="s">
        <v>33</v>
      </c>
      <c r="J2741" s="2" t="s">
        <v>34</v>
      </c>
      <c r="K2741" s="2" t="s">
        <v>16270</v>
      </c>
      <c r="L2741" s="2" t="s">
        <v>16271</v>
      </c>
      <c r="M2741" s="2" t="s">
        <v>1757</v>
      </c>
      <c r="N2741" s="2" t="s">
        <v>38</v>
      </c>
      <c r="O2741" s="2" t="s">
        <v>94</v>
      </c>
      <c r="P2741" s="2" t="s">
        <v>5876</v>
      </c>
      <c r="Q2741" s="2" t="s">
        <v>16277</v>
      </c>
      <c r="R2741" s="2" t="s">
        <v>40</v>
      </c>
      <c r="S2741" s="2" t="s">
        <v>16278</v>
      </c>
      <c r="T2741" s="2" t="s">
        <v>8172</v>
      </c>
      <c r="U2741" s="2" t="s">
        <v>16279</v>
      </c>
      <c r="V2741" s="2" t="s">
        <v>16280</v>
      </c>
      <c r="W2741" s="1"/>
      <c r="X2741" s="2" t="s">
        <v>1073</v>
      </c>
      <c r="Y2741" s="2" t="s">
        <v>15903</v>
      </c>
      <c r="AA2741" t="str">
        <f t="shared" si="252"/>
        <v>2025-07</v>
      </c>
      <c r="AB2741" t="str">
        <f t="shared" si="253"/>
        <v/>
      </c>
      <c r="AC2741">
        <f t="shared" si="254"/>
        <v>5857095</v>
      </c>
      <c r="AD2741">
        <f t="shared" si="255"/>
        <v>850</v>
      </c>
      <c r="AE2741">
        <f t="shared" si="256"/>
        <v>1529745</v>
      </c>
      <c r="AF2741" t="str">
        <f t="shared" si="257"/>
        <v>Paid</v>
      </c>
    </row>
    <row r="2742" spans="1:32" ht="27.75" thickBot="1" x14ac:dyDescent="0.35">
      <c r="A2742" s="2" t="s">
        <v>16281</v>
      </c>
      <c r="B2742" s="2" t="s">
        <v>27</v>
      </c>
      <c r="C2742" s="2" t="s">
        <v>28</v>
      </c>
      <c r="D2742" s="2" t="s">
        <v>97</v>
      </c>
      <c r="E2742" s="2" t="s">
        <v>15863</v>
      </c>
      <c r="F2742" s="2" t="s">
        <v>31</v>
      </c>
      <c r="G2742" s="2" t="s">
        <v>32</v>
      </c>
      <c r="H2742" s="1"/>
      <c r="I2742" s="2" t="s">
        <v>33</v>
      </c>
      <c r="J2742" s="2" t="s">
        <v>34</v>
      </c>
      <c r="K2742" s="2" t="s">
        <v>16270</v>
      </c>
      <c r="L2742" s="2" t="s">
        <v>16271</v>
      </c>
      <c r="M2742" s="2" t="s">
        <v>1757</v>
      </c>
      <c r="N2742" s="2" t="s">
        <v>38</v>
      </c>
      <c r="O2742" s="2" t="s">
        <v>1333</v>
      </c>
      <c r="P2742" s="2" t="s">
        <v>5876</v>
      </c>
      <c r="Q2742" s="2" t="s">
        <v>16282</v>
      </c>
      <c r="R2742" s="2" t="s">
        <v>40</v>
      </c>
      <c r="S2742" s="2" t="s">
        <v>16283</v>
      </c>
      <c r="T2742" s="2" t="s">
        <v>8172</v>
      </c>
      <c r="U2742" s="2" t="s">
        <v>16284</v>
      </c>
      <c r="V2742" s="2" t="s">
        <v>16285</v>
      </c>
      <c r="W2742" s="1"/>
      <c r="X2742" s="2" t="s">
        <v>1073</v>
      </c>
      <c r="Y2742" s="2" t="s">
        <v>15903</v>
      </c>
      <c r="AA2742" t="str">
        <f t="shared" si="252"/>
        <v>2025-07</v>
      </c>
      <c r="AB2742" t="str">
        <f t="shared" si="253"/>
        <v/>
      </c>
      <c r="AC2742">
        <f t="shared" si="254"/>
        <v>1033605</v>
      </c>
      <c r="AD2742">
        <f t="shared" si="255"/>
        <v>150</v>
      </c>
      <c r="AE2742">
        <f t="shared" si="256"/>
        <v>269955</v>
      </c>
      <c r="AF2742" t="str">
        <f t="shared" si="257"/>
        <v>Paid</v>
      </c>
    </row>
    <row r="2743" spans="1:32" ht="17.25" thickBot="1" x14ac:dyDescent="0.35">
      <c r="A2743" s="2" t="s">
        <v>16286</v>
      </c>
      <c r="B2743" s="2" t="s">
        <v>27</v>
      </c>
      <c r="C2743" s="2" t="s">
        <v>28</v>
      </c>
      <c r="D2743" s="2" t="s">
        <v>97</v>
      </c>
      <c r="E2743" s="2" t="s">
        <v>15863</v>
      </c>
      <c r="F2743" s="2" t="s">
        <v>31</v>
      </c>
      <c r="G2743" s="2" t="s">
        <v>32</v>
      </c>
      <c r="H2743" s="1"/>
      <c r="I2743" s="2" t="s">
        <v>33</v>
      </c>
      <c r="J2743" s="2" t="s">
        <v>34</v>
      </c>
      <c r="K2743" s="2" t="s">
        <v>3218</v>
      </c>
      <c r="L2743" s="2" t="s">
        <v>3219</v>
      </c>
      <c r="M2743" s="2" t="s">
        <v>3209</v>
      </c>
      <c r="N2743" s="2" t="s">
        <v>38</v>
      </c>
      <c r="O2743" s="2" t="s">
        <v>435</v>
      </c>
      <c r="P2743" s="2" t="s">
        <v>1687</v>
      </c>
      <c r="Q2743" s="2" t="s">
        <v>16287</v>
      </c>
      <c r="R2743" s="2" t="s">
        <v>40</v>
      </c>
      <c r="S2743" s="2" t="s">
        <v>16288</v>
      </c>
      <c r="T2743" s="2" t="s">
        <v>16289</v>
      </c>
      <c r="U2743" s="2" t="s">
        <v>16290</v>
      </c>
      <c r="V2743" s="2" t="s">
        <v>16291</v>
      </c>
      <c r="W2743" s="1"/>
      <c r="X2743" s="2" t="s">
        <v>16292</v>
      </c>
      <c r="Y2743" s="2" t="s">
        <v>15903</v>
      </c>
      <c r="AA2743" t="str">
        <f t="shared" si="252"/>
        <v>2025-07</v>
      </c>
      <c r="AB2743" t="str">
        <f t="shared" si="253"/>
        <v/>
      </c>
      <c r="AC2743">
        <f t="shared" si="254"/>
        <v>298882.44</v>
      </c>
      <c r="AD2743">
        <f t="shared" si="255"/>
        <v>51</v>
      </c>
      <c r="AE2743">
        <f t="shared" si="256"/>
        <v>106000.44</v>
      </c>
      <c r="AF2743" t="str">
        <f t="shared" si="257"/>
        <v>Paid</v>
      </c>
    </row>
    <row r="2744" spans="1:32" ht="27.75" thickBot="1" x14ac:dyDescent="0.35">
      <c r="A2744" s="2" t="s">
        <v>16293</v>
      </c>
      <c r="B2744" s="2" t="s">
        <v>27</v>
      </c>
      <c r="C2744" s="2" t="s">
        <v>28</v>
      </c>
      <c r="D2744" s="2" t="s">
        <v>97</v>
      </c>
      <c r="E2744" s="2" t="s">
        <v>15863</v>
      </c>
      <c r="F2744" s="2" t="s">
        <v>31</v>
      </c>
      <c r="G2744" s="2" t="s">
        <v>32</v>
      </c>
      <c r="H2744" s="1"/>
      <c r="I2744" s="2" t="s">
        <v>33</v>
      </c>
      <c r="J2744" s="2" t="s">
        <v>34</v>
      </c>
      <c r="K2744" s="2" t="s">
        <v>16294</v>
      </c>
      <c r="L2744" s="2" t="s">
        <v>16295</v>
      </c>
      <c r="M2744" s="2" t="s">
        <v>4544</v>
      </c>
      <c r="N2744" s="2" t="s">
        <v>38</v>
      </c>
      <c r="O2744" s="2" t="s">
        <v>16296</v>
      </c>
      <c r="P2744" s="2" t="s">
        <v>40</v>
      </c>
      <c r="Q2744" s="2" t="s">
        <v>40</v>
      </c>
      <c r="R2744" s="2" t="s">
        <v>40</v>
      </c>
      <c r="S2744" s="2" t="s">
        <v>40</v>
      </c>
      <c r="T2744" s="2" t="s">
        <v>16297</v>
      </c>
      <c r="U2744" s="2" t="s">
        <v>16298</v>
      </c>
      <c r="V2744" s="2" t="s">
        <v>16299</v>
      </c>
      <c r="W2744" s="2" t="s">
        <v>41</v>
      </c>
      <c r="X2744" s="2" t="s">
        <v>42</v>
      </c>
      <c r="Y2744" s="2" t="s">
        <v>15903</v>
      </c>
      <c r="AA2744" t="str">
        <f t="shared" si="252"/>
        <v>2025-07</v>
      </c>
      <c r="AB2744" t="str">
        <f t="shared" si="253"/>
        <v/>
      </c>
      <c r="AC2744">
        <f t="shared" si="254"/>
        <v>0</v>
      </c>
      <c r="AD2744">
        <f t="shared" si="255"/>
        <v>9299</v>
      </c>
      <c r="AE2744">
        <f t="shared" si="256"/>
        <v>-1394850</v>
      </c>
      <c r="AF2744" t="str">
        <f t="shared" si="257"/>
        <v>Sample</v>
      </c>
    </row>
    <row r="2745" spans="1:32" ht="17.25" thickBot="1" x14ac:dyDescent="0.35">
      <c r="A2745" s="2" t="s">
        <v>16300</v>
      </c>
      <c r="B2745" s="2" t="s">
        <v>27</v>
      </c>
      <c r="C2745" s="2" t="s">
        <v>28</v>
      </c>
      <c r="D2745" s="2" t="s">
        <v>97</v>
      </c>
      <c r="E2745" s="2" t="s">
        <v>15863</v>
      </c>
      <c r="F2745" s="2" t="s">
        <v>31</v>
      </c>
      <c r="G2745" s="2" t="s">
        <v>32</v>
      </c>
      <c r="H2745" s="1"/>
      <c r="I2745" s="2" t="s">
        <v>33</v>
      </c>
      <c r="J2745" s="2" t="s">
        <v>34</v>
      </c>
      <c r="K2745" s="2" t="s">
        <v>2150</v>
      </c>
      <c r="L2745" s="2" t="s">
        <v>2151</v>
      </c>
      <c r="M2745" s="2" t="s">
        <v>2140</v>
      </c>
      <c r="N2745" s="2" t="s">
        <v>38</v>
      </c>
      <c r="O2745" s="2" t="s">
        <v>141</v>
      </c>
      <c r="P2745" s="2" t="s">
        <v>14176</v>
      </c>
      <c r="Q2745" s="2" t="s">
        <v>1461</v>
      </c>
      <c r="R2745" s="2" t="s">
        <v>40</v>
      </c>
      <c r="S2745" s="2" t="s">
        <v>16301</v>
      </c>
      <c r="T2745" s="2" t="s">
        <v>1136</v>
      </c>
      <c r="U2745" s="2" t="s">
        <v>12662</v>
      </c>
      <c r="V2745" s="2" t="s">
        <v>16302</v>
      </c>
      <c r="W2745" s="1"/>
      <c r="X2745" s="2" t="s">
        <v>1091</v>
      </c>
      <c r="Y2745" s="2" t="s">
        <v>16303</v>
      </c>
      <c r="AA2745" t="str">
        <f t="shared" si="252"/>
        <v>2025-07</v>
      </c>
      <c r="AB2745" t="str">
        <f t="shared" si="253"/>
        <v/>
      </c>
      <c r="AC2745">
        <f t="shared" si="254"/>
        <v>168412.2</v>
      </c>
      <c r="AD2745">
        <f t="shared" si="255"/>
        <v>30</v>
      </c>
      <c r="AE2745">
        <f t="shared" si="256"/>
        <v>42412.2</v>
      </c>
      <c r="AF2745" t="str">
        <f t="shared" si="257"/>
        <v>Paid</v>
      </c>
    </row>
    <row r="2746" spans="1:32" ht="27.75" thickBot="1" x14ac:dyDescent="0.35">
      <c r="A2746" s="2" t="s">
        <v>16304</v>
      </c>
      <c r="B2746" s="2" t="s">
        <v>27</v>
      </c>
      <c r="C2746" s="2" t="s">
        <v>28</v>
      </c>
      <c r="D2746" s="2" t="s">
        <v>97</v>
      </c>
      <c r="E2746" s="2" t="s">
        <v>15863</v>
      </c>
      <c r="F2746" s="2" t="s">
        <v>31</v>
      </c>
      <c r="G2746" s="2" t="s">
        <v>32</v>
      </c>
      <c r="H2746" s="1"/>
      <c r="I2746" s="2" t="s">
        <v>33</v>
      </c>
      <c r="J2746" s="2" t="s">
        <v>34</v>
      </c>
      <c r="K2746" s="2" t="s">
        <v>2166</v>
      </c>
      <c r="L2746" s="2" t="s">
        <v>2167</v>
      </c>
      <c r="M2746" s="2" t="s">
        <v>2140</v>
      </c>
      <c r="N2746" s="2" t="s">
        <v>38</v>
      </c>
      <c r="O2746" s="2" t="s">
        <v>141</v>
      </c>
      <c r="P2746" s="2" t="s">
        <v>16305</v>
      </c>
      <c r="Q2746" s="2" t="s">
        <v>16306</v>
      </c>
      <c r="R2746" s="2" t="s">
        <v>40</v>
      </c>
      <c r="S2746" s="2" t="s">
        <v>16307</v>
      </c>
      <c r="T2746" s="2" t="s">
        <v>11319</v>
      </c>
      <c r="U2746" s="2" t="s">
        <v>16308</v>
      </c>
      <c r="V2746" s="2" t="s">
        <v>16309</v>
      </c>
      <c r="W2746" s="1"/>
      <c r="X2746" s="2" t="s">
        <v>3620</v>
      </c>
      <c r="Y2746" s="2" t="s">
        <v>16303</v>
      </c>
      <c r="AA2746" t="str">
        <f t="shared" si="252"/>
        <v>2025-07</v>
      </c>
      <c r="AB2746" t="str">
        <f t="shared" si="253"/>
        <v/>
      </c>
      <c r="AC2746">
        <f t="shared" si="254"/>
        <v>37469.699999999997</v>
      </c>
      <c r="AD2746">
        <f t="shared" si="255"/>
        <v>30</v>
      </c>
      <c r="AE2746">
        <f t="shared" si="256"/>
        <v>11549.7</v>
      </c>
      <c r="AF2746" t="str">
        <f t="shared" si="257"/>
        <v>Paid</v>
      </c>
    </row>
    <row r="2747" spans="1:32" ht="27.75" thickBot="1" x14ac:dyDescent="0.35">
      <c r="A2747" s="2" t="s">
        <v>16310</v>
      </c>
      <c r="B2747" s="2" t="s">
        <v>27</v>
      </c>
      <c r="C2747" s="2" t="s">
        <v>28</v>
      </c>
      <c r="D2747" s="2" t="s">
        <v>97</v>
      </c>
      <c r="E2747" s="2" t="s">
        <v>15863</v>
      </c>
      <c r="F2747" s="2" t="s">
        <v>31</v>
      </c>
      <c r="G2747" s="2" t="s">
        <v>32</v>
      </c>
      <c r="H2747" s="1"/>
      <c r="I2747" s="2" t="s">
        <v>33</v>
      </c>
      <c r="J2747" s="2" t="s">
        <v>34</v>
      </c>
      <c r="K2747" s="2" t="s">
        <v>16311</v>
      </c>
      <c r="L2747" s="2" t="s">
        <v>16312</v>
      </c>
      <c r="M2747" s="2" t="s">
        <v>2140</v>
      </c>
      <c r="N2747" s="2" t="s">
        <v>38</v>
      </c>
      <c r="O2747" s="2" t="s">
        <v>141</v>
      </c>
      <c r="P2747" s="2" t="s">
        <v>16305</v>
      </c>
      <c r="Q2747" s="2" t="s">
        <v>16306</v>
      </c>
      <c r="R2747" s="2" t="s">
        <v>40</v>
      </c>
      <c r="S2747" s="2" t="s">
        <v>16307</v>
      </c>
      <c r="T2747" s="2" t="s">
        <v>16313</v>
      </c>
      <c r="U2747" s="2" t="s">
        <v>16314</v>
      </c>
      <c r="V2747" s="2" t="s">
        <v>16315</v>
      </c>
      <c r="W2747" s="1"/>
      <c r="X2747" s="2" t="s">
        <v>8985</v>
      </c>
      <c r="Y2747" s="2" t="s">
        <v>16303</v>
      </c>
      <c r="AA2747" t="str">
        <f t="shared" si="252"/>
        <v>2025-07</v>
      </c>
      <c r="AB2747" t="str">
        <f t="shared" si="253"/>
        <v/>
      </c>
      <c r="AC2747">
        <f t="shared" si="254"/>
        <v>37469.699999999997</v>
      </c>
      <c r="AD2747">
        <f t="shared" si="255"/>
        <v>30</v>
      </c>
      <c r="AE2747">
        <f t="shared" si="256"/>
        <v>12839.7</v>
      </c>
      <c r="AF2747" t="str">
        <f t="shared" si="257"/>
        <v>Paid</v>
      </c>
    </row>
    <row r="2748" spans="1:32" ht="17.25" thickBot="1" x14ac:dyDescent="0.35">
      <c r="A2748" s="2" t="s">
        <v>16316</v>
      </c>
      <c r="B2748" s="2" t="s">
        <v>27</v>
      </c>
      <c r="C2748" s="2" t="s">
        <v>28</v>
      </c>
      <c r="D2748" s="2" t="s">
        <v>97</v>
      </c>
      <c r="E2748" s="2" t="s">
        <v>15863</v>
      </c>
      <c r="F2748" s="2" t="s">
        <v>31</v>
      </c>
      <c r="G2748" s="2" t="s">
        <v>32</v>
      </c>
      <c r="H2748" s="1"/>
      <c r="I2748" s="2" t="s">
        <v>33</v>
      </c>
      <c r="J2748" s="2" t="s">
        <v>34</v>
      </c>
      <c r="K2748" s="2" t="s">
        <v>8453</v>
      </c>
      <c r="L2748" s="2" t="s">
        <v>8454</v>
      </c>
      <c r="M2748" s="2" t="s">
        <v>2140</v>
      </c>
      <c r="N2748" s="2" t="s">
        <v>38</v>
      </c>
      <c r="O2748" s="2" t="s">
        <v>141</v>
      </c>
      <c r="P2748" s="2" t="s">
        <v>16305</v>
      </c>
      <c r="Q2748" s="2" t="s">
        <v>16306</v>
      </c>
      <c r="R2748" s="2" t="s">
        <v>40</v>
      </c>
      <c r="S2748" s="2" t="s">
        <v>16307</v>
      </c>
      <c r="T2748" s="2" t="s">
        <v>11319</v>
      </c>
      <c r="U2748" s="2" t="s">
        <v>16308</v>
      </c>
      <c r="V2748" s="2" t="s">
        <v>16309</v>
      </c>
      <c r="W2748" s="1"/>
      <c r="X2748" s="2" t="s">
        <v>3620</v>
      </c>
      <c r="Y2748" s="2" t="s">
        <v>16303</v>
      </c>
      <c r="AA2748" t="str">
        <f t="shared" si="252"/>
        <v>2025-07</v>
      </c>
      <c r="AB2748" t="str">
        <f t="shared" si="253"/>
        <v/>
      </c>
      <c r="AC2748">
        <f t="shared" si="254"/>
        <v>37469.699999999997</v>
      </c>
      <c r="AD2748">
        <f t="shared" si="255"/>
        <v>30</v>
      </c>
      <c r="AE2748">
        <f t="shared" si="256"/>
        <v>11549.7</v>
      </c>
      <c r="AF2748" t="str">
        <f t="shared" si="257"/>
        <v>Paid</v>
      </c>
    </row>
    <row r="2749" spans="1:32" ht="17.25" thickBot="1" x14ac:dyDescent="0.35">
      <c r="A2749" s="2" t="s">
        <v>16317</v>
      </c>
      <c r="B2749" s="2" t="s">
        <v>27</v>
      </c>
      <c r="C2749" s="2" t="s">
        <v>28</v>
      </c>
      <c r="D2749" s="2" t="s">
        <v>97</v>
      </c>
      <c r="E2749" s="2" t="s">
        <v>15863</v>
      </c>
      <c r="F2749" s="2" t="s">
        <v>31</v>
      </c>
      <c r="G2749" s="2" t="s">
        <v>32</v>
      </c>
      <c r="H2749" s="1"/>
      <c r="I2749" s="2" t="s">
        <v>33</v>
      </c>
      <c r="J2749" s="2" t="s">
        <v>34</v>
      </c>
      <c r="K2749" s="2" t="s">
        <v>8460</v>
      </c>
      <c r="L2749" s="2" t="s">
        <v>8461</v>
      </c>
      <c r="M2749" s="2" t="s">
        <v>2140</v>
      </c>
      <c r="N2749" s="2" t="s">
        <v>38</v>
      </c>
      <c r="O2749" s="2" t="s">
        <v>141</v>
      </c>
      <c r="P2749" s="2" t="s">
        <v>15356</v>
      </c>
      <c r="Q2749" s="2" t="s">
        <v>8544</v>
      </c>
      <c r="R2749" s="2" t="s">
        <v>40</v>
      </c>
      <c r="S2749" s="2" t="s">
        <v>16318</v>
      </c>
      <c r="T2749" s="2" t="s">
        <v>16319</v>
      </c>
      <c r="U2749" s="2" t="s">
        <v>16320</v>
      </c>
      <c r="V2749" s="2" t="s">
        <v>16321</v>
      </c>
      <c r="W2749" s="1"/>
      <c r="X2749" s="2" t="s">
        <v>6894</v>
      </c>
      <c r="Y2749" s="2" t="s">
        <v>16303</v>
      </c>
      <c r="AA2749" t="str">
        <f t="shared" si="252"/>
        <v>2025-07</v>
      </c>
      <c r="AB2749" t="str">
        <f t="shared" si="253"/>
        <v/>
      </c>
      <c r="AC2749">
        <f t="shared" si="254"/>
        <v>38678.400000000001</v>
      </c>
      <c r="AD2749">
        <f t="shared" si="255"/>
        <v>30</v>
      </c>
      <c r="AE2749">
        <f t="shared" si="256"/>
        <v>11198.4</v>
      </c>
      <c r="AF2749" t="str">
        <f t="shared" si="257"/>
        <v>Paid</v>
      </c>
    </row>
    <row r="2750" spans="1:32" ht="17.25" thickBot="1" x14ac:dyDescent="0.35">
      <c r="A2750" s="2" t="s">
        <v>16322</v>
      </c>
      <c r="B2750" s="2" t="s">
        <v>27</v>
      </c>
      <c r="C2750" s="2" t="s">
        <v>28</v>
      </c>
      <c r="D2750" s="2" t="s">
        <v>97</v>
      </c>
      <c r="E2750" s="2" t="s">
        <v>15863</v>
      </c>
      <c r="F2750" s="2" t="s">
        <v>31</v>
      </c>
      <c r="G2750" s="2" t="s">
        <v>32</v>
      </c>
      <c r="H2750" s="1"/>
      <c r="I2750" s="2" t="s">
        <v>33</v>
      </c>
      <c r="J2750" s="2" t="s">
        <v>34</v>
      </c>
      <c r="K2750" s="2" t="s">
        <v>8469</v>
      </c>
      <c r="L2750" s="2" t="s">
        <v>8470</v>
      </c>
      <c r="M2750" s="2" t="s">
        <v>2140</v>
      </c>
      <c r="N2750" s="2" t="s">
        <v>38</v>
      </c>
      <c r="O2750" s="2" t="s">
        <v>66</v>
      </c>
      <c r="P2750" s="2" t="s">
        <v>4671</v>
      </c>
      <c r="Q2750" s="2" t="s">
        <v>16323</v>
      </c>
      <c r="R2750" s="2" t="s">
        <v>40</v>
      </c>
      <c r="S2750" s="2" t="s">
        <v>16324</v>
      </c>
      <c r="T2750" s="2" t="s">
        <v>16325</v>
      </c>
      <c r="U2750" s="2" t="s">
        <v>16326</v>
      </c>
      <c r="V2750" s="2" t="s">
        <v>16327</v>
      </c>
      <c r="W2750" s="1"/>
      <c r="X2750" s="2" t="s">
        <v>934</v>
      </c>
      <c r="Y2750" s="2" t="s">
        <v>16303</v>
      </c>
      <c r="AA2750" t="str">
        <f t="shared" si="252"/>
        <v>2025-07</v>
      </c>
      <c r="AB2750" t="str">
        <f t="shared" si="253"/>
        <v/>
      </c>
      <c r="AC2750">
        <f t="shared" si="254"/>
        <v>56191.12</v>
      </c>
      <c r="AD2750">
        <f t="shared" si="255"/>
        <v>8</v>
      </c>
      <c r="AE2750">
        <f t="shared" si="256"/>
        <v>13775.12</v>
      </c>
      <c r="AF2750" t="str">
        <f t="shared" si="257"/>
        <v>Paid</v>
      </c>
    </row>
    <row r="2751" spans="1:32" ht="17.25" thickBot="1" x14ac:dyDescent="0.35">
      <c r="A2751" s="2" t="s">
        <v>16328</v>
      </c>
      <c r="B2751" s="2" t="s">
        <v>27</v>
      </c>
      <c r="C2751" s="2" t="s">
        <v>28</v>
      </c>
      <c r="D2751" s="2" t="s">
        <v>97</v>
      </c>
      <c r="E2751" s="2" t="s">
        <v>15863</v>
      </c>
      <c r="F2751" s="2" t="s">
        <v>31</v>
      </c>
      <c r="G2751" s="2" t="s">
        <v>32</v>
      </c>
      <c r="H2751" s="1"/>
      <c r="I2751" s="2" t="s">
        <v>33</v>
      </c>
      <c r="J2751" s="2" t="s">
        <v>34</v>
      </c>
      <c r="K2751" s="2" t="s">
        <v>16329</v>
      </c>
      <c r="L2751" s="2" t="s">
        <v>16330</v>
      </c>
      <c r="M2751" s="2" t="s">
        <v>2140</v>
      </c>
      <c r="N2751" s="2" t="s">
        <v>38</v>
      </c>
      <c r="O2751" s="2" t="s">
        <v>141</v>
      </c>
      <c r="P2751" s="2" t="s">
        <v>16331</v>
      </c>
      <c r="Q2751" s="2" t="s">
        <v>16332</v>
      </c>
      <c r="R2751" s="2" t="s">
        <v>40</v>
      </c>
      <c r="S2751" s="2" t="s">
        <v>16333</v>
      </c>
      <c r="T2751" s="2" t="s">
        <v>16334</v>
      </c>
      <c r="U2751" s="2" t="s">
        <v>16335</v>
      </c>
      <c r="V2751" s="2" t="s">
        <v>16336</v>
      </c>
      <c r="W2751" s="1"/>
      <c r="X2751" s="2" t="s">
        <v>817</v>
      </c>
      <c r="Y2751" s="2" t="s">
        <v>16303</v>
      </c>
      <c r="AA2751" t="str">
        <f t="shared" si="252"/>
        <v>2025-07</v>
      </c>
      <c r="AB2751" t="str">
        <f t="shared" si="253"/>
        <v/>
      </c>
      <c r="AC2751">
        <f t="shared" si="254"/>
        <v>52779.9</v>
      </c>
      <c r="AD2751">
        <f t="shared" si="255"/>
        <v>30</v>
      </c>
      <c r="AE2751">
        <f t="shared" si="256"/>
        <v>12999.9</v>
      </c>
      <c r="AF2751" t="str">
        <f t="shared" si="257"/>
        <v>Paid</v>
      </c>
    </row>
    <row r="2752" spans="1:32" ht="17.25" thickBot="1" x14ac:dyDescent="0.35">
      <c r="A2752" s="2" t="s">
        <v>16337</v>
      </c>
      <c r="B2752" s="2" t="s">
        <v>27</v>
      </c>
      <c r="C2752" s="2" t="s">
        <v>28</v>
      </c>
      <c r="D2752" s="2" t="s">
        <v>97</v>
      </c>
      <c r="E2752" s="2" t="s">
        <v>15863</v>
      </c>
      <c r="F2752" s="2" t="s">
        <v>31</v>
      </c>
      <c r="G2752" s="2" t="s">
        <v>32</v>
      </c>
      <c r="H2752" s="1"/>
      <c r="I2752" s="2" t="s">
        <v>33</v>
      </c>
      <c r="J2752" s="2" t="s">
        <v>34</v>
      </c>
      <c r="K2752" s="2" t="s">
        <v>2190</v>
      </c>
      <c r="L2752" s="2" t="s">
        <v>2191</v>
      </c>
      <c r="M2752" s="2" t="s">
        <v>2140</v>
      </c>
      <c r="N2752" s="2" t="s">
        <v>38</v>
      </c>
      <c r="O2752" s="2" t="s">
        <v>66</v>
      </c>
      <c r="P2752" s="2" t="s">
        <v>4671</v>
      </c>
      <c r="Q2752" s="2" t="s">
        <v>16323</v>
      </c>
      <c r="R2752" s="2" t="s">
        <v>40</v>
      </c>
      <c r="S2752" s="2" t="s">
        <v>16324</v>
      </c>
      <c r="T2752" s="2" t="s">
        <v>16325</v>
      </c>
      <c r="U2752" s="2" t="s">
        <v>16326</v>
      </c>
      <c r="V2752" s="2" t="s">
        <v>16327</v>
      </c>
      <c r="W2752" s="1"/>
      <c r="X2752" s="2" t="s">
        <v>934</v>
      </c>
      <c r="Y2752" s="2" t="s">
        <v>16303</v>
      </c>
      <c r="AA2752" t="str">
        <f t="shared" si="252"/>
        <v>2025-07</v>
      </c>
      <c r="AB2752" t="str">
        <f t="shared" si="253"/>
        <v/>
      </c>
      <c r="AC2752">
        <f t="shared" si="254"/>
        <v>56191.12</v>
      </c>
      <c r="AD2752">
        <f t="shared" si="255"/>
        <v>8</v>
      </c>
      <c r="AE2752">
        <f t="shared" si="256"/>
        <v>13775.12</v>
      </c>
      <c r="AF2752" t="str">
        <f t="shared" si="257"/>
        <v>Paid</v>
      </c>
    </row>
    <row r="2753" spans="1:32" ht="17.25" thickBot="1" x14ac:dyDescent="0.35">
      <c r="A2753" s="2" t="s">
        <v>16338</v>
      </c>
      <c r="B2753" s="2" t="s">
        <v>27</v>
      </c>
      <c r="C2753" s="2" t="s">
        <v>28</v>
      </c>
      <c r="D2753" s="2" t="s">
        <v>97</v>
      </c>
      <c r="E2753" s="2" t="s">
        <v>15863</v>
      </c>
      <c r="F2753" s="2" t="s">
        <v>31</v>
      </c>
      <c r="G2753" s="2" t="s">
        <v>32</v>
      </c>
      <c r="H2753" s="1"/>
      <c r="I2753" s="2" t="s">
        <v>33</v>
      </c>
      <c r="J2753" s="2" t="s">
        <v>34</v>
      </c>
      <c r="K2753" s="2" t="s">
        <v>2200</v>
      </c>
      <c r="L2753" s="2" t="s">
        <v>2201</v>
      </c>
      <c r="M2753" s="2" t="s">
        <v>2140</v>
      </c>
      <c r="N2753" s="2" t="s">
        <v>38</v>
      </c>
      <c r="O2753" s="2" t="s">
        <v>141</v>
      </c>
      <c r="P2753" s="2" t="s">
        <v>3677</v>
      </c>
      <c r="Q2753" s="2" t="s">
        <v>4083</v>
      </c>
      <c r="R2753" s="2" t="s">
        <v>40</v>
      </c>
      <c r="S2753" s="2" t="s">
        <v>16339</v>
      </c>
      <c r="T2753" s="2" t="s">
        <v>16340</v>
      </c>
      <c r="U2753" s="2" t="s">
        <v>16341</v>
      </c>
      <c r="V2753" s="2" t="s">
        <v>16342</v>
      </c>
      <c r="W2753" s="1"/>
      <c r="X2753" s="2" t="s">
        <v>7108</v>
      </c>
      <c r="Y2753" s="2" t="s">
        <v>16303</v>
      </c>
      <c r="AA2753" t="str">
        <f t="shared" si="252"/>
        <v>2025-07</v>
      </c>
      <c r="AB2753" t="str">
        <f t="shared" si="253"/>
        <v/>
      </c>
      <c r="AC2753">
        <f t="shared" si="254"/>
        <v>290490.90000000002</v>
      </c>
      <c r="AD2753">
        <f t="shared" si="255"/>
        <v>30</v>
      </c>
      <c r="AE2753">
        <f t="shared" si="256"/>
        <v>63450.9</v>
      </c>
      <c r="AF2753" t="str">
        <f t="shared" si="257"/>
        <v>Paid</v>
      </c>
    </row>
    <row r="2754" spans="1:32" ht="17.25" thickBot="1" x14ac:dyDescent="0.35">
      <c r="A2754" s="2" t="s">
        <v>16343</v>
      </c>
      <c r="B2754" s="2" t="s">
        <v>27</v>
      </c>
      <c r="C2754" s="2" t="s">
        <v>28</v>
      </c>
      <c r="D2754" s="2" t="s">
        <v>97</v>
      </c>
      <c r="E2754" s="2" t="s">
        <v>15863</v>
      </c>
      <c r="F2754" s="2" t="s">
        <v>31</v>
      </c>
      <c r="G2754" s="2" t="s">
        <v>32</v>
      </c>
      <c r="H2754" s="1"/>
      <c r="I2754" s="2" t="s">
        <v>33</v>
      </c>
      <c r="J2754" s="2" t="s">
        <v>34</v>
      </c>
      <c r="K2754" s="2" t="s">
        <v>2210</v>
      </c>
      <c r="L2754" s="2" t="s">
        <v>2211</v>
      </c>
      <c r="M2754" s="2" t="s">
        <v>2140</v>
      </c>
      <c r="N2754" s="2" t="s">
        <v>38</v>
      </c>
      <c r="O2754" s="2" t="s">
        <v>174</v>
      </c>
      <c r="P2754" s="2" t="s">
        <v>6415</v>
      </c>
      <c r="Q2754" s="2" t="s">
        <v>16344</v>
      </c>
      <c r="R2754" s="2" t="s">
        <v>40</v>
      </c>
      <c r="S2754" s="2" t="s">
        <v>16345</v>
      </c>
      <c r="T2754" s="2" t="s">
        <v>8480</v>
      </c>
      <c r="U2754" s="2" t="s">
        <v>16346</v>
      </c>
      <c r="V2754" s="2" t="s">
        <v>16347</v>
      </c>
      <c r="W2754" s="1"/>
      <c r="X2754" s="2" t="s">
        <v>856</v>
      </c>
      <c r="Y2754" s="2" t="s">
        <v>16303</v>
      </c>
      <c r="AA2754" t="str">
        <f t="shared" si="252"/>
        <v>2025-07</v>
      </c>
      <c r="AB2754" t="str">
        <f t="shared" si="253"/>
        <v/>
      </c>
      <c r="AC2754">
        <f t="shared" si="254"/>
        <v>216276.72</v>
      </c>
      <c r="AD2754">
        <f t="shared" si="255"/>
        <v>22</v>
      </c>
      <c r="AE2754">
        <f t="shared" si="256"/>
        <v>64476.72</v>
      </c>
      <c r="AF2754" t="str">
        <f t="shared" si="257"/>
        <v>Paid</v>
      </c>
    </row>
    <row r="2755" spans="1:32" ht="17.25" thickBot="1" x14ac:dyDescent="0.35">
      <c r="A2755" s="2" t="s">
        <v>16348</v>
      </c>
      <c r="B2755" s="2" t="s">
        <v>27</v>
      </c>
      <c r="C2755" s="2" t="s">
        <v>28</v>
      </c>
      <c r="D2755" s="2" t="s">
        <v>97</v>
      </c>
      <c r="E2755" s="2" t="s">
        <v>15863</v>
      </c>
      <c r="F2755" s="2" t="s">
        <v>31</v>
      </c>
      <c r="G2755" s="2" t="s">
        <v>32</v>
      </c>
      <c r="H2755" s="1"/>
      <c r="I2755" s="2" t="s">
        <v>33</v>
      </c>
      <c r="J2755" s="2" t="s">
        <v>34</v>
      </c>
      <c r="K2755" s="2" t="s">
        <v>2210</v>
      </c>
      <c r="L2755" s="2" t="s">
        <v>2211</v>
      </c>
      <c r="M2755" s="2" t="s">
        <v>2140</v>
      </c>
      <c r="N2755" s="2" t="s">
        <v>38</v>
      </c>
      <c r="O2755" s="2" t="s">
        <v>66</v>
      </c>
      <c r="P2755" s="2" t="s">
        <v>6415</v>
      </c>
      <c r="Q2755" s="2" t="s">
        <v>16349</v>
      </c>
      <c r="R2755" s="2" t="s">
        <v>40</v>
      </c>
      <c r="S2755" s="2" t="s">
        <v>16350</v>
      </c>
      <c r="T2755" s="2" t="s">
        <v>8480</v>
      </c>
      <c r="U2755" s="2" t="s">
        <v>16351</v>
      </c>
      <c r="V2755" s="2" t="s">
        <v>16352</v>
      </c>
      <c r="W2755" s="1"/>
      <c r="X2755" s="2" t="s">
        <v>856</v>
      </c>
      <c r="Y2755" s="2" t="s">
        <v>16303</v>
      </c>
      <c r="AA2755" t="str">
        <f t="shared" si="252"/>
        <v>2025-07</v>
      </c>
      <c r="AB2755" t="str">
        <f t="shared" si="253"/>
        <v/>
      </c>
      <c r="AC2755">
        <f t="shared" si="254"/>
        <v>78646.080000000002</v>
      </c>
      <c r="AD2755">
        <f t="shared" si="255"/>
        <v>8</v>
      </c>
      <c r="AE2755">
        <f t="shared" si="256"/>
        <v>23446.080000000002</v>
      </c>
      <c r="AF2755" t="str">
        <f t="shared" si="257"/>
        <v>Paid</v>
      </c>
    </row>
    <row r="2756" spans="1:32" ht="17.25" thickBot="1" x14ac:dyDescent="0.35">
      <c r="A2756" s="2" t="s">
        <v>16353</v>
      </c>
      <c r="B2756" s="2" t="s">
        <v>27</v>
      </c>
      <c r="C2756" s="2" t="s">
        <v>28</v>
      </c>
      <c r="D2756" s="2" t="s">
        <v>97</v>
      </c>
      <c r="E2756" s="2" t="s">
        <v>15863</v>
      </c>
      <c r="F2756" s="2" t="s">
        <v>31</v>
      </c>
      <c r="G2756" s="2" t="s">
        <v>32</v>
      </c>
      <c r="H2756" s="1"/>
      <c r="I2756" s="2" t="s">
        <v>33</v>
      </c>
      <c r="J2756" s="2" t="s">
        <v>34</v>
      </c>
      <c r="K2756" s="2" t="s">
        <v>2218</v>
      </c>
      <c r="L2756" s="2" t="s">
        <v>2219</v>
      </c>
      <c r="M2756" s="2" t="s">
        <v>2140</v>
      </c>
      <c r="N2756" s="2" t="s">
        <v>38</v>
      </c>
      <c r="O2756" s="2" t="s">
        <v>141</v>
      </c>
      <c r="P2756" s="2" t="s">
        <v>6229</v>
      </c>
      <c r="Q2756" s="2" t="s">
        <v>14952</v>
      </c>
      <c r="R2756" s="2" t="s">
        <v>40</v>
      </c>
      <c r="S2756" s="2" t="s">
        <v>16354</v>
      </c>
      <c r="T2756" s="2" t="s">
        <v>40</v>
      </c>
      <c r="U2756" s="2" t="s">
        <v>40</v>
      </c>
      <c r="V2756" s="2" t="s">
        <v>16354</v>
      </c>
      <c r="W2756" s="1"/>
      <c r="X2756" s="2" t="s">
        <v>2155</v>
      </c>
      <c r="Y2756" s="2" t="s">
        <v>16303</v>
      </c>
      <c r="AA2756" t="str">
        <f t="shared" ref="AA2756:AA2819" si="258">LEFT(E2756,7)</f>
        <v>2025-07</v>
      </c>
      <c r="AB2756" t="str">
        <f t="shared" ref="AB2756:AB2819" si="259">IF(AND($AA2756&gt;="2025-01",$AA2756&lt;="2025-06"),"H1_2025",IF(AND($AA2756&gt;="2026-01",$AA2756&lt;="2026-06"),"H1_2026",""))</f>
        <v/>
      </c>
      <c r="AC2756">
        <f t="shared" ref="AC2756:AC2819" si="260">IFERROR(VALUE(SUBSTITUTE(S2756,",","")),0)</f>
        <v>288879.3</v>
      </c>
      <c r="AD2756">
        <f t="shared" ref="AD2756:AD2819" si="261">IFERROR(VALUE(SUBSTITUTE(O2756,",","")),0)</f>
        <v>30</v>
      </c>
      <c r="AE2756">
        <f t="shared" ref="AE2756:AE2819" si="262">IFERROR(VALUE(SUBSTITUTE(V2756,",","")),0)</f>
        <v>288879.3</v>
      </c>
      <c r="AF2756" t="str">
        <f t="shared" ref="AF2756:AF2819" si="263">IF(ISNUMBER(SEARCH("FOC",W2756)),"FOC",IF(ISNUMBER(SEARCH("샘플",W2756)),"Sample","Paid"))</f>
        <v>Paid</v>
      </c>
    </row>
    <row r="2757" spans="1:32" ht="17.25" thickBot="1" x14ac:dyDescent="0.35">
      <c r="A2757" s="2" t="s">
        <v>16355</v>
      </c>
      <c r="B2757" s="2" t="s">
        <v>27</v>
      </c>
      <c r="C2757" s="2" t="s">
        <v>28</v>
      </c>
      <c r="D2757" s="2" t="s">
        <v>97</v>
      </c>
      <c r="E2757" s="2" t="s">
        <v>15863</v>
      </c>
      <c r="F2757" s="2" t="s">
        <v>31</v>
      </c>
      <c r="G2757" s="2" t="s">
        <v>32</v>
      </c>
      <c r="H2757" s="1"/>
      <c r="I2757" s="2" t="s">
        <v>33</v>
      </c>
      <c r="J2757" s="2" t="s">
        <v>34</v>
      </c>
      <c r="K2757" s="2" t="s">
        <v>2237</v>
      </c>
      <c r="L2757" s="2" t="s">
        <v>2238</v>
      </c>
      <c r="M2757" s="2" t="s">
        <v>2140</v>
      </c>
      <c r="N2757" s="2" t="s">
        <v>38</v>
      </c>
      <c r="O2757" s="2" t="s">
        <v>141</v>
      </c>
      <c r="P2757" s="2" t="s">
        <v>5788</v>
      </c>
      <c r="Q2757" s="2" t="s">
        <v>12966</v>
      </c>
      <c r="R2757" s="2" t="s">
        <v>40</v>
      </c>
      <c r="S2757" s="2" t="s">
        <v>16356</v>
      </c>
      <c r="T2757" s="2" t="s">
        <v>8480</v>
      </c>
      <c r="U2757" s="2" t="s">
        <v>16357</v>
      </c>
      <c r="V2757" s="2" t="s">
        <v>16358</v>
      </c>
      <c r="W2757" s="1"/>
      <c r="X2757" s="2" t="s">
        <v>16359</v>
      </c>
      <c r="Y2757" s="2" t="s">
        <v>16303</v>
      </c>
      <c r="AA2757" t="str">
        <f t="shared" si="258"/>
        <v>2025-07</v>
      </c>
      <c r="AB2757" t="str">
        <f t="shared" si="259"/>
        <v/>
      </c>
      <c r="AC2757">
        <f t="shared" si="260"/>
        <v>368653.5</v>
      </c>
      <c r="AD2757">
        <f t="shared" si="261"/>
        <v>30</v>
      </c>
      <c r="AE2757">
        <f t="shared" si="262"/>
        <v>161653.5</v>
      </c>
      <c r="AF2757" t="str">
        <f t="shared" si="263"/>
        <v>Paid</v>
      </c>
    </row>
    <row r="2758" spans="1:32" ht="17.25" thickBot="1" x14ac:dyDescent="0.35">
      <c r="A2758" s="2" t="s">
        <v>16360</v>
      </c>
      <c r="B2758" s="2" t="s">
        <v>27</v>
      </c>
      <c r="C2758" s="2" t="s">
        <v>28</v>
      </c>
      <c r="D2758" s="2" t="s">
        <v>97</v>
      </c>
      <c r="E2758" s="2" t="s">
        <v>15863</v>
      </c>
      <c r="F2758" s="2" t="s">
        <v>31</v>
      </c>
      <c r="G2758" s="2" t="s">
        <v>32</v>
      </c>
      <c r="H2758" s="1"/>
      <c r="I2758" s="2" t="s">
        <v>33</v>
      </c>
      <c r="J2758" s="2" t="s">
        <v>34</v>
      </c>
      <c r="K2758" s="2" t="s">
        <v>2244</v>
      </c>
      <c r="L2758" s="2" t="s">
        <v>2245</v>
      </c>
      <c r="M2758" s="2" t="s">
        <v>2140</v>
      </c>
      <c r="N2758" s="2" t="s">
        <v>38</v>
      </c>
      <c r="O2758" s="2" t="s">
        <v>141</v>
      </c>
      <c r="P2758" s="2" t="s">
        <v>703</v>
      </c>
      <c r="Q2758" s="2" t="s">
        <v>16361</v>
      </c>
      <c r="R2758" s="2" t="s">
        <v>40</v>
      </c>
      <c r="S2758" s="2" t="s">
        <v>16362</v>
      </c>
      <c r="T2758" s="2" t="s">
        <v>9219</v>
      </c>
      <c r="U2758" s="2" t="s">
        <v>16363</v>
      </c>
      <c r="V2758" s="2" t="s">
        <v>16364</v>
      </c>
      <c r="W2758" s="1"/>
      <c r="X2758" s="2" t="s">
        <v>3037</v>
      </c>
      <c r="Y2758" s="2" t="s">
        <v>16303</v>
      </c>
      <c r="AA2758" t="str">
        <f t="shared" si="258"/>
        <v>2025-07</v>
      </c>
      <c r="AB2758" t="str">
        <f t="shared" si="259"/>
        <v/>
      </c>
      <c r="AC2758">
        <f t="shared" si="260"/>
        <v>273569.09999999998</v>
      </c>
      <c r="AD2758">
        <f t="shared" si="261"/>
        <v>30</v>
      </c>
      <c r="AE2758">
        <f t="shared" si="262"/>
        <v>94169.1</v>
      </c>
      <c r="AF2758" t="str">
        <f t="shared" si="263"/>
        <v>Paid</v>
      </c>
    </row>
    <row r="2759" spans="1:32" ht="17.25" thickBot="1" x14ac:dyDescent="0.35">
      <c r="A2759" s="2" t="s">
        <v>16365</v>
      </c>
      <c r="B2759" s="2" t="s">
        <v>27</v>
      </c>
      <c r="C2759" s="2" t="s">
        <v>28</v>
      </c>
      <c r="D2759" s="2" t="s">
        <v>97</v>
      </c>
      <c r="E2759" s="2" t="s">
        <v>15863</v>
      </c>
      <c r="F2759" s="2" t="s">
        <v>31</v>
      </c>
      <c r="G2759" s="2" t="s">
        <v>32</v>
      </c>
      <c r="H2759" s="1"/>
      <c r="I2759" s="2" t="s">
        <v>33</v>
      </c>
      <c r="J2759" s="2" t="s">
        <v>34</v>
      </c>
      <c r="K2759" s="2" t="s">
        <v>2253</v>
      </c>
      <c r="L2759" s="2" t="s">
        <v>2254</v>
      </c>
      <c r="M2759" s="2" t="s">
        <v>2140</v>
      </c>
      <c r="N2759" s="2" t="s">
        <v>38</v>
      </c>
      <c r="O2759" s="2" t="s">
        <v>141</v>
      </c>
      <c r="P2759" s="2" t="s">
        <v>891</v>
      </c>
      <c r="Q2759" s="2" t="s">
        <v>16366</v>
      </c>
      <c r="R2759" s="2" t="s">
        <v>40</v>
      </c>
      <c r="S2759" s="2" t="s">
        <v>16367</v>
      </c>
      <c r="T2759" s="2" t="s">
        <v>931</v>
      </c>
      <c r="U2759" s="2" t="s">
        <v>16368</v>
      </c>
      <c r="V2759" s="2" t="s">
        <v>16369</v>
      </c>
      <c r="W2759" s="1"/>
      <c r="X2759" s="2" t="s">
        <v>8769</v>
      </c>
      <c r="Y2759" s="2" t="s">
        <v>16303</v>
      </c>
      <c r="AA2759" t="str">
        <f t="shared" si="258"/>
        <v>2025-07</v>
      </c>
      <c r="AB2759" t="str">
        <f t="shared" si="259"/>
        <v/>
      </c>
      <c r="AC2759">
        <f t="shared" si="260"/>
        <v>336824.4</v>
      </c>
      <c r="AD2759">
        <f t="shared" si="261"/>
        <v>30</v>
      </c>
      <c r="AE2759">
        <f t="shared" si="262"/>
        <v>123824.4</v>
      </c>
      <c r="AF2759" t="str">
        <f t="shared" si="263"/>
        <v>Paid</v>
      </c>
    </row>
    <row r="2760" spans="1:32" ht="17.25" thickBot="1" x14ac:dyDescent="0.35">
      <c r="A2760" s="2" t="s">
        <v>16370</v>
      </c>
      <c r="B2760" s="2" t="s">
        <v>27</v>
      </c>
      <c r="C2760" s="2" t="s">
        <v>28</v>
      </c>
      <c r="D2760" s="2" t="s">
        <v>97</v>
      </c>
      <c r="E2760" s="2" t="s">
        <v>15863</v>
      </c>
      <c r="F2760" s="2" t="s">
        <v>31</v>
      </c>
      <c r="G2760" s="2" t="s">
        <v>32</v>
      </c>
      <c r="H2760" s="1"/>
      <c r="I2760" s="2" t="s">
        <v>33</v>
      </c>
      <c r="J2760" s="2" t="s">
        <v>34</v>
      </c>
      <c r="K2760" s="2" t="s">
        <v>2260</v>
      </c>
      <c r="L2760" s="2" t="s">
        <v>2261</v>
      </c>
      <c r="M2760" s="2" t="s">
        <v>2140</v>
      </c>
      <c r="N2760" s="2" t="s">
        <v>38</v>
      </c>
      <c r="O2760" s="2" t="s">
        <v>141</v>
      </c>
      <c r="P2760" s="2" t="s">
        <v>6229</v>
      </c>
      <c r="Q2760" s="2" t="s">
        <v>14952</v>
      </c>
      <c r="R2760" s="2" t="s">
        <v>40</v>
      </c>
      <c r="S2760" s="2" t="s">
        <v>16354</v>
      </c>
      <c r="T2760" s="2" t="s">
        <v>9231</v>
      </c>
      <c r="U2760" s="2" t="s">
        <v>16371</v>
      </c>
      <c r="V2760" s="2" t="s">
        <v>16372</v>
      </c>
      <c r="W2760" s="1"/>
      <c r="X2760" s="2" t="s">
        <v>201</v>
      </c>
      <c r="Y2760" s="2" t="s">
        <v>16303</v>
      </c>
      <c r="AA2760" t="str">
        <f t="shared" si="258"/>
        <v>2025-07</v>
      </c>
      <c r="AB2760" t="str">
        <f t="shared" si="259"/>
        <v/>
      </c>
      <c r="AC2760">
        <f t="shared" si="260"/>
        <v>288879.3</v>
      </c>
      <c r="AD2760">
        <f t="shared" si="261"/>
        <v>30</v>
      </c>
      <c r="AE2760">
        <f t="shared" si="262"/>
        <v>69879.3</v>
      </c>
      <c r="AF2760" t="str">
        <f t="shared" si="263"/>
        <v>Paid</v>
      </c>
    </row>
    <row r="2761" spans="1:32" ht="17.25" thickBot="1" x14ac:dyDescent="0.35">
      <c r="A2761" s="2" t="s">
        <v>16373</v>
      </c>
      <c r="B2761" s="2" t="s">
        <v>27</v>
      </c>
      <c r="C2761" s="2" t="s">
        <v>28</v>
      </c>
      <c r="D2761" s="2" t="s">
        <v>97</v>
      </c>
      <c r="E2761" s="2" t="s">
        <v>15863</v>
      </c>
      <c r="F2761" s="2" t="s">
        <v>31</v>
      </c>
      <c r="G2761" s="2" t="s">
        <v>32</v>
      </c>
      <c r="H2761" s="1"/>
      <c r="I2761" s="2" t="s">
        <v>33</v>
      </c>
      <c r="J2761" s="2" t="s">
        <v>34</v>
      </c>
      <c r="K2761" s="2" t="s">
        <v>16374</v>
      </c>
      <c r="L2761" s="2" t="s">
        <v>16375</v>
      </c>
      <c r="M2761" s="2" t="s">
        <v>2140</v>
      </c>
      <c r="N2761" s="2" t="s">
        <v>38</v>
      </c>
      <c r="O2761" s="2" t="s">
        <v>141</v>
      </c>
      <c r="P2761" s="2" t="s">
        <v>2066</v>
      </c>
      <c r="Q2761" s="2" t="s">
        <v>16376</v>
      </c>
      <c r="R2761" s="2" t="s">
        <v>40</v>
      </c>
      <c r="S2761" s="2" t="s">
        <v>16377</v>
      </c>
      <c r="T2761" s="2" t="s">
        <v>16378</v>
      </c>
      <c r="U2761" s="2" t="s">
        <v>16379</v>
      </c>
      <c r="V2761" s="2" t="s">
        <v>16380</v>
      </c>
      <c r="W2761" s="1"/>
      <c r="X2761" s="2" t="s">
        <v>955</v>
      </c>
      <c r="Y2761" s="2" t="s">
        <v>16303</v>
      </c>
      <c r="AA2761" t="str">
        <f t="shared" si="258"/>
        <v>2025-07</v>
      </c>
      <c r="AB2761" t="str">
        <f t="shared" si="259"/>
        <v/>
      </c>
      <c r="AC2761">
        <f t="shared" si="260"/>
        <v>300966.3</v>
      </c>
      <c r="AD2761">
        <f t="shared" si="261"/>
        <v>30</v>
      </c>
      <c r="AE2761">
        <f t="shared" si="262"/>
        <v>70806.3</v>
      </c>
      <c r="AF2761" t="str">
        <f t="shared" si="263"/>
        <v>Paid</v>
      </c>
    </row>
    <row r="2762" spans="1:32" ht="27.75" thickBot="1" x14ac:dyDescent="0.35">
      <c r="A2762" s="2" t="s">
        <v>16381</v>
      </c>
      <c r="B2762" s="2" t="s">
        <v>27</v>
      </c>
      <c r="C2762" s="2" t="s">
        <v>28</v>
      </c>
      <c r="D2762" s="2" t="s">
        <v>97</v>
      </c>
      <c r="E2762" s="2" t="s">
        <v>15863</v>
      </c>
      <c r="F2762" s="2" t="s">
        <v>31</v>
      </c>
      <c r="G2762" s="2" t="s">
        <v>32</v>
      </c>
      <c r="H2762" s="1"/>
      <c r="I2762" s="2" t="s">
        <v>33</v>
      </c>
      <c r="J2762" s="2" t="s">
        <v>34</v>
      </c>
      <c r="K2762" s="2" t="s">
        <v>8498</v>
      </c>
      <c r="L2762" s="2" t="s">
        <v>8499</v>
      </c>
      <c r="M2762" s="2" t="s">
        <v>7619</v>
      </c>
      <c r="N2762" s="2" t="s">
        <v>38</v>
      </c>
      <c r="O2762" s="2" t="s">
        <v>156</v>
      </c>
      <c r="P2762" s="2" t="s">
        <v>3709</v>
      </c>
      <c r="Q2762" s="2" t="s">
        <v>16382</v>
      </c>
      <c r="R2762" s="2" t="s">
        <v>40</v>
      </c>
      <c r="S2762" s="2" t="s">
        <v>16383</v>
      </c>
      <c r="T2762" s="2" t="s">
        <v>8502</v>
      </c>
      <c r="U2762" s="2" t="s">
        <v>3372</v>
      </c>
      <c r="V2762" s="2" t="s">
        <v>16384</v>
      </c>
      <c r="W2762" s="1"/>
      <c r="X2762" s="2" t="s">
        <v>2020</v>
      </c>
      <c r="Y2762" s="2" t="s">
        <v>16303</v>
      </c>
      <c r="AA2762" t="str">
        <f t="shared" si="258"/>
        <v>2025-07</v>
      </c>
      <c r="AB2762" t="str">
        <f t="shared" si="259"/>
        <v/>
      </c>
      <c r="AC2762">
        <f t="shared" si="260"/>
        <v>155519.4</v>
      </c>
      <c r="AD2762">
        <f t="shared" si="261"/>
        <v>20</v>
      </c>
      <c r="AE2762">
        <f t="shared" si="262"/>
        <v>40319.4</v>
      </c>
      <c r="AF2762" t="str">
        <f t="shared" si="263"/>
        <v>Paid</v>
      </c>
    </row>
    <row r="2763" spans="1:32" ht="17.25" thickBot="1" x14ac:dyDescent="0.35">
      <c r="A2763" s="2" t="s">
        <v>16385</v>
      </c>
      <c r="B2763" s="2" t="s">
        <v>27</v>
      </c>
      <c r="C2763" s="2" t="s">
        <v>28</v>
      </c>
      <c r="D2763" s="2" t="s">
        <v>97</v>
      </c>
      <c r="E2763" s="2" t="s">
        <v>15863</v>
      </c>
      <c r="F2763" s="2" t="s">
        <v>31</v>
      </c>
      <c r="G2763" s="2" t="s">
        <v>32</v>
      </c>
      <c r="H2763" s="1"/>
      <c r="I2763" s="2" t="s">
        <v>33</v>
      </c>
      <c r="J2763" s="2" t="s">
        <v>34</v>
      </c>
      <c r="K2763" s="2" t="s">
        <v>7617</v>
      </c>
      <c r="L2763" s="2" t="s">
        <v>7618</v>
      </c>
      <c r="M2763" s="2" t="s">
        <v>7619</v>
      </c>
      <c r="N2763" s="2" t="s">
        <v>38</v>
      </c>
      <c r="O2763" s="2" t="s">
        <v>280</v>
      </c>
      <c r="P2763" s="2" t="s">
        <v>10861</v>
      </c>
      <c r="Q2763" s="2" t="s">
        <v>16386</v>
      </c>
      <c r="R2763" s="2" t="s">
        <v>40</v>
      </c>
      <c r="S2763" s="2" t="s">
        <v>16387</v>
      </c>
      <c r="T2763" s="2" t="s">
        <v>7622</v>
      </c>
      <c r="U2763" s="2" t="s">
        <v>16388</v>
      </c>
      <c r="V2763" s="2" t="s">
        <v>16389</v>
      </c>
      <c r="W2763" s="1"/>
      <c r="X2763" s="2" t="s">
        <v>4934</v>
      </c>
      <c r="Y2763" s="2" t="s">
        <v>16303</v>
      </c>
      <c r="AA2763" t="str">
        <f t="shared" si="258"/>
        <v>2025-07</v>
      </c>
      <c r="AB2763" t="str">
        <f t="shared" si="259"/>
        <v/>
      </c>
      <c r="AC2763">
        <f t="shared" si="260"/>
        <v>384030.85</v>
      </c>
      <c r="AD2763">
        <f t="shared" si="261"/>
        <v>35</v>
      </c>
      <c r="AE2763">
        <f t="shared" si="262"/>
        <v>70430.850000000006</v>
      </c>
      <c r="AF2763" t="str">
        <f t="shared" si="263"/>
        <v>Paid</v>
      </c>
    </row>
    <row r="2764" spans="1:32" ht="17.25" thickBot="1" x14ac:dyDescent="0.35">
      <c r="A2764" s="2" t="s">
        <v>16390</v>
      </c>
      <c r="B2764" s="2" t="s">
        <v>27</v>
      </c>
      <c r="C2764" s="2" t="s">
        <v>28</v>
      </c>
      <c r="D2764" s="2" t="s">
        <v>97</v>
      </c>
      <c r="E2764" s="2" t="s">
        <v>15863</v>
      </c>
      <c r="F2764" s="2" t="s">
        <v>31</v>
      </c>
      <c r="G2764" s="2" t="s">
        <v>32</v>
      </c>
      <c r="H2764" s="1"/>
      <c r="I2764" s="2" t="s">
        <v>33</v>
      </c>
      <c r="J2764" s="2" t="s">
        <v>34</v>
      </c>
      <c r="K2764" s="2" t="s">
        <v>9252</v>
      </c>
      <c r="L2764" s="2" t="s">
        <v>9253</v>
      </c>
      <c r="M2764" s="2" t="s">
        <v>7619</v>
      </c>
      <c r="N2764" s="2" t="s">
        <v>38</v>
      </c>
      <c r="O2764" s="2" t="s">
        <v>252</v>
      </c>
      <c r="P2764" s="2" t="s">
        <v>132</v>
      </c>
      <c r="Q2764" s="2" t="s">
        <v>16391</v>
      </c>
      <c r="R2764" s="2" t="s">
        <v>40</v>
      </c>
      <c r="S2764" s="2" t="s">
        <v>16392</v>
      </c>
      <c r="T2764" s="2" t="s">
        <v>297</v>
      </c>
      <c r="U2764" s="2" t="s">
        <v>12368</v>
      </c>
      <c r="V2764" s="2" t="s">
        <v>16393</v>
      </c>
      <c r="W2764" s="1"/>
      <c r="X2764" s="2" t="s">
        <v>4934</v>
      </c>
      <c r="Y2764" s="2" t="s">
        <v>16303</v>
      </c>
      <c r="AA2764" t="str">
        <f t="shared" si="258"/>
        <v>2025-07</v>
      </c>
      <c r="AB2764" t="str">
        <f t="shared" si="259"/>
        <v/>
      </c>
      <c r="AC2764">
        <f t="shared" si="260"/>
        <v>313295.03999999998</v>
      </c>
      <c r="AD2764">
        <f t="shared" si="261"/>
        <v>32</v>
      </c>
      <c r="AE2764">
        <f t="shared" si="262"/>
        <v>57295.040000000001</v>
      </c>
      <c r="AF2764" t="str">
        <f t="shared" si="263"/>
        <v>Paid</v>
      </c>
    </row>
    <row r="2765" spans="1:32" ht="27.75" thickBot="1" x14ac:dyDescent="0.35">
      <c r="A2765" s="2" t="s">
        <v>16394</v>
      </c>
      <c r="B2765" s="2" t="s">
        <v>27</v>
      </c>
      <c r="C2765" s="2" t="s">
        <v>28</v>
      </c>
      <c r="D2765" s="2" t="s">
        <v>97</v>
      </c>
      <c r="E2765" s="2" t="s">
        <v>15863</v>
      </c>
      <c r="F2765" s="2" t="s">
        <v>31</v>
      </c>
      <c r="G2765" s="2" t="s">
        <v>32</v>
      </c>
      <c r="H2765" s="1"/>
      <c r="I2765" s="2" t="s">
        <v>33</v>
      </c>
      <c r="J2765" s="2" t="s">
        <v>34</v>
      </c>
      <c r="K2765" s="2" t="s">
        <v>261</v>
      </c>
      <c r="L2765" s="2" t="s">
        <v>262</v>
      </c>
      <c r="M2765" s="2" t="s">
        <v>263</v>
      </c>
      <c r="N2765" s="2" t="s">
        <v>38</v>
      </c>
      <c r="O2765" s="2" t="s">
        <v>1158</v>
      </c>
      <c r="P2765" s="2" t="s">
        <v>16395</v>
      </c>
      <c r="Q2765" s="2" t="s">
        <v>16396</v>
      </c>
      <c r="R2765" s="2" t="s">
        <v>40</v>
      </c>
      <c r="S2765" s="2" t="s">
        <v>16397</v>
      </c>
      <c r="T2765" s="2" t="s">
        <v>3728</v>
      </c>
      <c r="U2765" s="2" t="s">
        <v>16398</v>
      </c>
      <c r="V2765" s="2" t="s">
        <v>16399</v>
      </c>
      <c r="W2765" s="1"/>
      <c r="X2765" s="2" t="s">
        <v>9468</v>
      </c>
      <c r="Y2765" s="2" t="s">
        <v>16303</v>
      </c>
      <c r="AA2765" t="str">
        <f t="shared" si="258"/>
        <v>2025-07</v>
      </c>
      <c r="AB2765" t="str">
        <f t="shared" si="259"/>
        <v/>
      </c>
      <c r="AC2765">
        <f t="shared" si="260"/>
        <v>1660753.8</v>
      </c>
      <c r="AD2765">
        <f t="shared" si="261"/>
        <v>180</v>
      </c>
      <c r="AE2765">
        <f t="shared" si="262"/>
        <v>695233.8</v>
      </c>
      <c r="AF2765" t="str">
        <f t="shared" si="263"/>
        <v>Paid</v>
      </c>
    </row>
    <row r="2766" spans="1:32" ht="17.25" thickBot="1" x14ac:dyDescent="0.35">
      <c r="A2766" s="2" t="s">
        <v>16400</v>
      </c>
      <c r="B2766" s="2" t="s">
        <v>27</v>
      </c>
      <c r="C2766" s="2" t="s">
        <v>28</v>
      </c>
      <c r="D2766" s="2" t="s">
        <v>97</v>
      </c>
      <c r="E2766" s="2" t="s">
        <v>15863</v>
      </c>
      <c r="F2766" s="2" t="s">
        <v>31</v>
      </c>
      <c r="G2766" s="2" t="s">
        <v>32</v>
      </c>
      <c r="H2766" s="1"/>
      <c r="I2766" s="2" t="s">
        <v>33</v>
      </c>
      <c r="J2766" s="2" t="s">
        <v>34</v>
      </c>
      <c r="K2766" s="2" t="s">
        <v>273</v>
      </c>
      <c r="L2766" s="2" t="s">
        <v>274</v>
      </c>
      <c r="M2766" s="2" t="s">
        <v>263</v>
      </c>
      <c r="N2766" s="2" t="s">
        <v>38</v>
      </c>
      <c r="O2766" s="2" t="s">
        <v>1519</v>
      </c>
      <c r="P2766" s="2" t="s">
        <v>4430</v>
      </c>
      <c r="Q2766" s="2" t="s">
        <v>16401</v>
      </c>
      <c r="R2766" s="2" t="s">
        <v>40</v>
      </c>
      <c r="S2766" s="2" t="s">
        <v>16402</v>
      </c>
      <c r="T2766" s="2" t="s">
        <v>267</v>
      </c>
      <c r="U2766" s="2" t="s">
        <v>659</v>
      </c>
      <c r="V2766" s="2" t="s">
        <v>16403</v>
      </c>
      <c r="W2766" s="1"/>
      <c r="X2766" s="2" t="s">
        <v>1340</v>
      </c>
      <c r="Y2766" s="2" t="s">
        <v>16303</v>
      </c>
      <c r="AA2766" t="str">
        <f t="shared" si="258"/>
        <v>2025-07</v>
      </c>
      <c r="AB2766" t="str">
        <f t="shared" si="259"/>
        <v/>
      </c>
      <c r="AC2766">
        <f t="shared" si="260"/>
        <v>3326342.4</v>
      </c>
      <c r="AD2766">
        <f t="shared" si="261"/>
        <v>360</v>
      </c>
      <c r="AE2766">
        <f t="shared" si="262"/>
        <v>950342.4</v>
      </c>
      <c r="AF2766" t="str">
        <f t="shared" si="263"/>
        <v>Paid</v>
      </c>
    </row>
    <row r="2767" spans="1:32" ht="27.75" thickBot="1" x14ac:dyDescent="0.35">
      <c r="A2767" s="2" t="s">
        <v>16404</v>
      </c>
      <c r="B2767" s="2" t="s">
        <v>27</v>
      </c>
      <c r="C2767" s="2" t="s">
        <v>28</v>
      </c>
      <c r="D2767" s="2" t="s">
        <v>97</v>
      </c>
      <c r="E2767" s="2" t="s">
        <v>15863</v>
      </c>
      <c r="F2767" s="2" t="s">
        <v>31</v>
      </c>
      <c r="G2767" s="2" t="s">
        <v>32</v>
      </c>
      <c r="H2767" s="1"/>
      <c r="I2767" s="2" t="s">
        <v>33</v>
      </c>
      <c r="J2767" s="2" t="s">
        <v>34</v>
      </c>
      <c r="K2767" s="2" t="s">
        <v>4838</v>
      </c>
      <c r="L2767" s="2" t="s">
        <v>4839</v>
      </c>
      <c r="M2767" s="2" t="s">
        <v>263</v>
      </c>
      <c r="N2767" s="2" t="s">
        <v>38</v>
      </c>
      <c r="O2767" s="2" t="s">
        <v>1158</v>
      </c>
      <c r="P2767" s="2" t="s">
        <v>16395</v>
      </c>
      <c r="Q2767" s="2" t="s">
        <v>16396</v>
      </c>
      <c r="R2767" s="2" t="s">
        <v>40</v>
      </c>
      <c r="S2767" s="2" t="s">
        <v>16397</v>
      </c>
      <c r="T2767" s="2" t="s">
        <v>267</v>
      </c>
      <c r="U2767" s="2" t="s">
        <v>4448</v>
      </c>
      <c r="V2767" s="2" t="s">
        <v>16405</v>
      </c>
      <c r="W2767" s="1"/>
      <c r="X2767" s="2" t="s">
        <v>997</v>
      </c>
      <c r="Y2767" s="2" t="s">
        <v>16303</v>
      </c>
      <c r="AA2767" t="str">
        <f t="shared" si="258"/>
        <v>2025-07</v>
      </c>
      <c r="AB2767" t="str">
        <f t="shared" si="259"/>
        <v/>
      </c>
      <c r="AC2767">
        <f t="shared" si="260"/>
        <v>1660753.8</v>
      </c>
      <c r="AD2767">
        <f t="shared" si="261"/>
        <v>180</v>
      </c>
      <c r="AE2767">
        <f t="shared" si="262"/>
        <v>472753.8</v>
      </c>
      <c r="AF2767" t="str">
        <f t="shared" si="263"/>
        <v>Paid</v>
      </c>
    </row>
    <row r="2768" spans="1:32" ht="17.25" thickBot="1" x14ac:dyDescent="0.35">
      <c r="A2768" s="2" t="s">
        <v>16406</v>
      </c>
      <c r="B2768" s="2" t="s">
        <v>27</v>
      </c>
      <c r="C2768" s="2" t="s">
        <v>28</v>
      </c>
      <c r="D2768" s="2" t="s">
        <v>97</v>
      </c>
      <c r="E2768" s="2" t="s">
        <v>15863</v>
      </c>
      <c r="F2768" s="2" t="s">
        <v>31</v>
      </c>
      <c r="G2768" s="2" t="s">
        <v>32</v>
      </c>
      <c r="H2768" s="1"/>
      <c r="I2768" s="2" t="s">
        <v>33</v>
      </c>
      <c r="J2768" s="2" t="s">
        <v>34</v>
      </c>
      <c r="K2768" s="2" t="s">
        <v>4845</v>
      </c>
      <c r="L2768" s="2" t="s">
        <v>4846</v>
      </c>
      <c r="M2768" s="2" t="s">
        <v>263</v>
      </c>
      <c r="N2768" s="2" t="s">
        <v>38</v>
      </c>
      <c r="O2768" s="2" t="s">
        <v>1804</v>
      </c>
      <c r="P2768" s="2" t="s">
        <v>4776</v>
      </c>
      <c r="Q2768" s="2" t="s">
        <v>16407</v>
      </c>
      <c r="R2768" s="2" t="s">
        <v>40</v>
      </c>
      <c r="S2768" s="2" t="s">
        <v>16408</v>
      </c>
      <c r="T2768" s="2" t="s">
        <v>4850</v>
      </c>
      <c r="U2768" s="2" t="s">
        <v>16409</v>
      </c>
      <c r="V2768" s="2" t="s">
        <v>16410</v>
      </c>
      <c r="W2768" s="1"/>
      <c r="X2768" s="2" t="s">
        <v>16411</v>
      </c>
      <c r="Y2768" s="2" t="s">
        <v>16303</v>
      </c>
      <c r="AA2768" t="str">
        <f t="shared" si="258"/>
        <v>2025-07</v>
      </c>
      <c r="AB2768" t="str">
        <f t="shared" si="259"/>
        <v/>
      </c>
      <c r="AC2768">
        <f t="shared" si="260"/>
        <v>3092338.08</v>
      </c>
      <c r="AD2768">
        <f t="shared" si="261"/>
        <v>216</v>
      </c>
      <c r="AE2768">
        <f t="shared" si="262"/>
        <v>1607770.08</v>
      </c>
      <c r="AF2768" t="str">
        <f t="shared" si="263"/>
        <v>Paid</v>
      </c>
    </row>
    <row r="2769" spans="1:32" ht="17.25" thickBot="1" x14ac:dyDescent="0.35">
      <c r="A2769" s="2" t="s">
        <v>16412</v>
      </c>
      <c r="B2769" s="2" t="s">
        <v>27</v>
      </c>
      <c r="C2769" s="2" t="s">
        <v>28</v>
      </c>
      <c r="D2769" s="2" t="s">
        <v>97</v>
      </c>
      <c r="E2769" s="2" t="s">
        <v>15863</v>
      </c>
      <c r="F2769" s="2" t="s">
        <v>31</v>
      </c>
      <c r="G2769" s="2" t="s">
        <v>32</v>
      </c>
      <c r="H2769" s="1"/>
      <c r="I2769" s="2" t="s">
        <v>33</v>
      </c>
      <c r="J2769" s="2" t="s">
        <v>34</v>
      </c>
      <c r="K2769" s="2" t="s">
        <v>16413</v>
      </c>
      <c r="L2769" s="2" t="s">
        <v>16414</v>
      </c>
      <c r="M2769" s="2" t="s">
        <v>16415</v>
      </c>
      <c r="N2769" s="2" t="s">
        <v>38</v>
      </c>
      <c r="O2769" s="2" t="s">
        <v>141</v>
      </c>
      <c r="P2769" s="2" t="s">
        <v>4445</v>
      </c>
      <c r="Q2769" s="2" t="s">
        <v>16416</v>
      </c>
      <c r="R2769" s="2" t="s">
        <v>40</v>
      </c>
      <c r="S2769" s="2" t="s">
        <v>16417</v>
      </c>
      <c r="T2769" s="2" t="s">
        <v>16418</v>
      </c>
      <c r="U2769" s="2" t="s">
        <v>16419</v>
      </c>
      <c r="V2769" s="2" t="s">
        <v>16420</v>
      </c>
      <c r="W2769" s="1"/>
      <c r="X2769" s="2" t="s">
        <v>16421</v>
      </c>
      <c r="Y2769" s="2" t="s">
        <v>16303</v>
      </c>
      <c r="AA2769" t="str">
        <f t="shared" si="258"/>
        <v>2025-07</v>
      </c>
      <c r="AB2769" t="str">
        <f t="shared" si="259"/>
        <v/>
      </c>
      <c r="AC2769">
        <f t="shared" si="260"/>
        <v>359789.7</v>
      </c>
      <c r="AD2769">
        <f t="shared" si="261"/>
        <v>30</v>
      </c>
      <c r="AE2769">
        <f t="shared" si="262"/>
        <v>142844.70000000001</v>
      </c>
      <c r="AF2769" t="str">
        <f t="shared" si="263"/>
        <v>Paid</v>
      </c>
    </row>
    <row r="2770" spans="1:32" ht="17.25" thickBot="1" x14ac:dyDescent="0.35">
      <c r="A2770" s="2" t="s">
        <v>16422</v>
      </c>
      <c r="B2770" s="2" t="s">
        <v>27</v>
      </c>
      <c r="C2770" s="2" t="s">
        <v>28</v>
      </c>
      <c r="D2770" s="2" t="s">
        <v>97</v>
      </c>
      <c r="E2770" s="2" t="s">
        <v>15863</v>
      </c>
      <c r="F2770" s="2" t="s">
        <v>31</v>
      </c>
      <c r="G2770" s="2" t="s">
        <v>32</v>
      </c>
      <c r="H2770" s="1"/>
      <c r="I2770" s="2" t="s">
        <v>33</v>
      </c>
      <c r="J2770" s="2" t="s">
        <v>34</v>
      </c>
      <c r="K2770" s="2" t="s">
        <v>16423</v>
      </c>
      <c r="L2770" s="2" t="s">
        <v>16424</v>
      </c>
      <c r="M2770" s="2" t="s">
        <v>16415</v>
      </c>
      <c r="N2770" s="2" t="s">
        <v>38</v>
      </c>
      <c r="O2770" s="2" t="s">
        <v>121</v>
      </c>
      <c r="P2770" s="2" t="s">
        <v>16425</v>
      </c>
      <c r="Q2770" s="2" t="s">
        <v>16426</v>
      </c>
      <c r="R2770" s="2" t="s">
        <v>40</v>
      </c>
      <c r="S2770" s="2" t="s">
        <v>16427</v>
      </c>
      <c r="T2770" s="2" t="s">
        <v>16428</v>
      </c>
      <c r="U2770" s="2" t="s">
        <v>16429</v>
      </c>
      <c r="V2770" s="2" t="s">
        <v>16430</v>
      </c>
      <c r="W2770" s="1"/>
      <c r="X2770" s="2" t="s">
        <v>1504</v>
      </c>
      <c r="Y2770" s="2" t="s">
        <v>16303</v>
      </c>
      <c r="AA2770" t="str">
        <f t="shared" si="258"/>
        <v>2025-07</v>
      </c>
      <c r="AB2770" t="str">
        <f t="shared" si="259"/>
        <v/>
      </c>
      <c r="AC2770">
        <f t="shared" si="260"/>
        <v>331559.84000000003</v>
      </c>
      <c r="AD2770">
        <f t="shared" si="261"/>
        <v>16</v>
      </c>
      <c r="AE2770">
        <f t="shared" si="262"/>
        <v>83159.839999999997</v>
      </c>
      <c r="AF2770" t="str">
        <f t="shared" si="263"/>
        <v>Paid</v>
      </c>
    </row>
    <row r="2771" spans="1:32" ht="17.25" thickBot="1" x14ac:dyDescent="0.35">
      <c r="A2771" s="2" t="s">
        <v>16431</v>
      </c>
      <c r="B2771" s="2" t="s">
        <v>27</v>
      </c>
      <c r="C2771" s="2" t="s">
        <v>28</v>
      </c>
      <c r="D2771" s="2" t="s">
        <v>97</v>
      </c>
      <c r="E2771" s="2" t="s">
        <v>15863</v>
      </c>
      <c r="F2771" s="2" t="s">
        <v>31</v>
      </c>
      <c r="G2771" s="2" t="s">
        <v>32</v>
      </c>
      <c r="H2771" s="1"/>
      <c r="I2771" s="2" t="s">
        <v>33</v>
      </c>
      <c r="J2771" s="2" t="s">
        <v>34</v>
      </c>
      <c r="K2771" s="2" t="s">
        <v>16423</v>
      </c>
      <c r="L2771" s="2" t="s">
        <v>16424</v>
      </c>
      <c r="M2771" s="2" t="s">
        <v>16415</v>
      </c>
      <c r="N2771" s="2" t="s">
        <v>38</v>
      </c>
      <c r="O2771" s="2" t="s">
        <v>51</v>
      </c>
      <c r="P2771" s="2" t="s">
        <v>16425</v>
      </c>
      <c r="Q2771" s="2" t="s">
        <v>16432</v>
      </c>
      <c r="R2771" s="2" t="s">
        <v>40</v>
      </c>
      <c r="S2771" s="2" t="s">
        <v>16433</v>
      </c>
      <c r="T2771" s="2" t="s">
        <v>16428</v>
      </c>
      <c r="U2771" s="2" t="s">
        <v>16434</v>
      </c>
      <c r="V2771" s="2" t="s">
        <v>16435</v>
      </c>
      <c r="W2771" s="1"/>
      <c r="X2771" s="2" t="s">
        <v>1504</v>
      </c>
      <c r="Y2771" s="2" t="s">
        <v>16303</v>
      </c>
      <c r="AA2771" t="str">
        <f t="shared" si="258"/>
        <v>2025-07</v>
      </c>
      <c r="AB2771" t="str">
        <f t="shared" si="259"/>
        <v/>
      </c>
      <c r="AC2771">
        <f t="shared" si="260"/>
        <v>62167.47</v>
      </c>
      <c r="AD2771">
        <f t="shared" si="261"/>
        <v>3</v>
      </c>
      <c r="AE2771">
        <f t="shared" si="262"/>
        <v>15592.47</v>
      </c>
      <c r="AF2771" t="str">
        <f t="shared" si="263"/>
        <v>Paid</v>
      </c>
    </row>
    <row r="2772" spans="1:32" ht="17.25" thickBot="1" x14ac:dyDescent="0.35">
      <c r="A2772" s="2" t="s">
        <v>16436</v>
      </c>
      <c r="B2772" s="2" t="s">
        <v>27</v>
      </c>
      <c r="C2772" s="2" t="s">
        <v>28</v>
      </c>
      <c r="D2772" s="2" t="s">
        <v>97</v>
      </c>
      <c r="E2772" s="2" t="s">
        <v>15863</v>
      </c>
      <c r="F2772" s="2" t="s">
        <v>31</v>
      </c>
      <c r="G2772" s="2" t="s">
        <v>32</v>
      </c>
      <c r="H2772" s="1"/>
      <c r="I2772" s="2" t="s">
        <v>33</v>
      </c>
      <c r="J2772" s="2" t="s">
        <v>34</v>
      </c>
      <c r="K2772" s="2" t="s">
        <v>16437</v>
      </c>
      <c r="L2772" s="2" t="s">
        <v>16438</v>
      </c>
      <c r="M2772" s="2" t="s">
        <v>16415</v>
      </c>
      <c r="N2772" s="2" t="s">
        <v>38</v>
      </c>
      <c r="O2772" s="2" t="s">
        <v>141</v>
      </c>
      <c r="P2772" s="2" t="s">
        <v>9245</v>
      </c>
      <c r="Q2772" s="2" t="s">
        <v>16439</v>
      </c>
      <c r="R2772" s="2" t="s">
        <v>40</v>
      </c>
      <c r="S2772" s="2" t="s">
        <v>16440</v>
      </c>
      <c r="T2772" s="2" t="s">
        <v>16441</v>
      </c>
      <c r="U2772" s="2" t="s">
        <v>16442</v>
      </c>
      <c r="V2772" s="2" t="s">
        <v>16443</v>
      </c>
      <c r="W2772" s="1"/>
      <c r="X2772" s="2" t="s">
        <v>16444</v>
      </c>
      <c r="Y2772" s="2" t="s">
        <v>16303</v>
      </c>
      <c r="AA2772" t="str">
        <f t="shared" si="258"/>
        <v>2025-07</v>
      </c>
      <c r="AB2772" t="str">
        <f t="shared" si="259"/>
        <v/>
      </c>
      <c r="AC2772">
        <f t="shared" si="260"/>
        <v>304592.40000000002</v>
      </c>
      <c r="AD2772">
        <f t="shared" si="261"/>
        <v>30</v>
      </c>
      <c r="AE2772">
        <f t="shared" si="262"/>
        <v>128972.4</v>
      </c>
      <c r="AF2772" t="str">
        <f t="shared" si="263"/>
        <v>Paid</v>
      </c>
    </row>
    <row r="2773" spans="1:32" ht="17.25" thickBot="1" x14ac:dyDescent="0.35">
      <c r="A2773" s="2" t="s">
        <v>16445</v>
      </c>
      <c r="B2773" s="2" t="s">
        <v>27</v>
      </c>
      <c r="C2773" s="2" t="s">
        <v>28</v>
      </c>
      <c r="D2773" s="2" t="s">
        <v>97</v>
      </c>
      <c r="E2773" s="2" t="s">
        <v>15863</v>
      </c>
      <c r="F2773" s="2" t="s">
        <v>31</v>
      </c>
      <c r="G2773" s="2" t="s">
        <v>32</v>
      </c>
      <c r="H2773" s="1"/>
      <c r="I2773" s="2" t="s">
        <v>33</v>
      </c>
      <c r="J2773" s="2" t="s">
        <v>34</v>
      </c>
      <c r="K2773" s="2" t="s">
        <v>16446</v>
      </c>
      <c r="L2773" s="2" t="s">
        <v>16447</v>
      </c>
      <c r="M2773" s="2" t="s">
        <v>16415</v>
      </c>
      <c r="N2773" s="2" t="s">
        <v>38</v>
      </c>
      <c r="O2773" s="2" t="s">
        <v>141</v>
      </c>
      <c r="P2773" s="2" t="s">
        <v>561</v>
      </c>
      <c r="Q2773" s="2" t="s">
        <v>16448</v>
      </c>
      <c r="R2773" s="2" t="s">
        <v>40</v>
      </c>
      <c r="S2773" s="2" t="s">
        <v>16449</v>
      </c>
      <c r="T2773" s="2" t="s">
        <v>16450</v>
      </c>
      <c r="U2773" s="2" t="s">
        <v>16451</v>
      </c>
      <c r="V2773" s="2" t="s">
        <v>16452</v>
      </c>
      <c r="W2773" s="1"/>
      <c r="X2773" s="2" t="s">
        <v>2843</v>
      </c>
      <c r="Y2773" s="2" t="s">
        <v>16303</v>
      </c>
      <c r="AA2773" t="str">
        <f t="shared" si="258"/>
        <v>2025-07</v>
      </c>
      <c r="AB2773" t="str">
        <f t="shared" si="259"/>
        <v/>
      </c>
      <c r="AC2773">
        <f t="shared" si="260"/>
        <v>306606.90000000002</v>
      </c>
      <c r="AD2773">
        <f t="shared" si="261"/>
        <v>30</v>
      </c>
      <c r="AE2773">
        <f t="shared" si="262"/>
        <v>142716.9</v>
      </c>
      <c r="AF2773" t="str">
        <f t="shared" si="263"/>
        <v>Paid</v>
      </c>
    </row>
    <row r="2774" spans="1:32" ht="17.25" thickBot="1" x14ac:dyDescent="0.35">
      <c r="A2774" s="2" t="s">
        <v>16453</v>
      </c>
      <c r="B2774" s="2" t="s">
        <v>27</v>
      </c>
      <c r="C2774" s="2" t="s">
        <v>28</v>
      </c>
      <c r="D2774" s="2" t="s">
        <v>97</v>
      </c>
      <c r="E2774" s="2" t="s">
        <v>15863</v>
      </c>
      <c r="F2774" s="2" t="s">
        <v>31</v>
      </c>
      <c r="G2774" s="2" t="s">
        <v>32</v>
      </c>
      <c r="H2774" s="1"/>
      <c r="I2774" s="2" t="s">
        <v>33</v>
      </c>
      <c r="J2774" s="2" t="s">
        <v>34</v>
      </c>
      <c r="K2774" s="2" t="s">
        <v>16454</v>
      </c>
      <c r="L2774" s="2" t="s">
        <v>16455</v>
      </c>
      <c r="M2774" s="2" t="s">
        <v>16415</v>
      </c>
      <c r="N2774" s="2" t="s">
        <v>38</v>
      </c>
      <c r="O2774" s="2" t="s">
        <v>141</v>
      </c>
      <c r="P2774" s="2" t="s">
        <v>4210</v>
      </c>
      <c r="Q2774" s="2" t="s">
        <v>16456</v>
      </c>
      <c r="R2774" s="2" t="s">
        <v>40</v>
      </c>
      <c r="S2774" s="2" t="s">
        <v>16457</v>
      </c>
      <c r="T2774" s="2" t="s">
        <v>8502</v>
      </c>
      <c r="U2774" s="2" t="s">
        <v>16458</v>
      </c>
      <c r="V2774" s="2" t="s">
        <v>16459</v>
      </c>
      <c r="W2774" s="1"/>
      <c r="X2774" s="2" t="s">
        <v>16460</v>
      </c>
      <c r="Y2774" s="2" t="s">
        <v>16303</v>
      </c>
      <c r="AA2774" t="str">
        <f t="shared" si="258"/>
        <v>2025-07</v>
      </c>
      <c r="AB2774" t="str">
        <f t="shared" si="259"/>
        <v/>
      </c>
      <c r="AC2774">
        <f t="shared" si="260"/>
        <v>406526.1</v>
      </c>
      <c r="AD2774">
        <f t="shared" si="261"/>
        <v>30</v>
      </c>
      <c r="AE2774">
        <f t="shared" si="262"/>
        <v>233726.1</v>
      </c>
      <c r="AF2774" t="str">
        <f t="shared" si="263"/>
        <v>Paid</v>
      </c>
    </row>
    <row r="2775" spans="1:32" ht="17.25" thickBot="1" x14ac:dyDescent="0.35">
      <c r="A2775" s="2" t="s">
        <v>16461</v>
      </c>
      <c r="B2775" s="2" t="s">
        <v>27</v>
      </c>
      <c r="C2775" s="2" t="s">
        <v>28</v>
      </c>
      <c r="D2775" s="2" t="s">
        <v>97</v>
      </c>
      <c r="E2775" s="2" t="s">
        <v>15863</v>
      </c>
      <c r="F2775" s="2" t="s">
        <v>31</v>
      </c>
      <c r="G2775" s="2" t="s">
        <v>32</v>
      </c>
      <c r="H2775" s="1"/>
      <c r="I2775" s="2" t="s">
        <v>33</v>
      </c>
      <c r="J2775" s="2" t="s">
        <v>34</v>
      </c>
      <c r="K2775" s="2" t="s">
        <v>16462</v>
      </c>
      <c r="L2775" s="2" t="s">
        <v>16463</v>
      </c>
      <c r="M2775" s="2" t="s">
        <v>16415</v>
      </c>
      <c r="N2775" s="2" t="s">
        <v>38</v>
      </c>
      <c r="O2775" s="2" t="s">
        <v>141</v>
      </c>
      <c r="P2775" s="2" t="s">
        <v>16464</v>
      </c>
      <c r="Q2775" s="2" t="s">
        <v>16465</v>
      </c>
      <c r="R2775" s="2" t="s">
        <v>40</v>
      </c>
      <c r="S2775" s="2" t="s">
        <v>16466</v>
      </c>
      <c r="T2775" s="2" t="s">
        <v>209</v>
      </c>
      <c r="U2775" s="2" t="s">
        <v>16467</v>
      </c>
      <c r="V2775" s="2" t="s">
        <v>16468</v>
      </c>
      <c r="W2775" s="1"/>
      <c r="X2775" s="2" t="s">
        <v>16469</v>
      </c>
      <c r="Y2775" s="2" t="s">
        <v>16303</v>
      </c>
      <c r="AA2775" t="str">
        <f t="shared" si="258"/>
        <v>2025-07</v>
      </c>
      <c r="AB2775" t="str">
        <f t="shared" si="259"/>
        <v/>
      </c>
      <c r="AC2775">
        <f t="shared" si="260"/>
        <v>589845.6</v>
      </c>
      <c r="AD2775">
        <f t="shared" si="261"/>
        <v>30</v>
      </c>
      <c r="AE2775">
        <f t="shared" si="262"/>
        <v>309045.59999999998</v>
      </c>
      <c r="AF2775" t="str">
        <f t="shared" si="263"/>
        <v>Paid</v>
      </c>
    </row>
    <row r="2776" spans="1:32" ht="17.25" thickBot="1" x14ac:dyDescent="0.35">
      <c r="A2776" s="2" t="s">
        <v>16470</v>
      </c>
      <c r="B2776" s="2" t="s">
        <v>27</v>
      </c>
      <c r="C2776" s="2" t="s">
        <v>28</v>
      </c>
      <c r="D2776" s="2" t="s">
        <v>97</v>
      </c>
      <c r="E2776" s="2" t="s">
        <v>15863</v>
      </c>
      <c r="F2776" s="2" t="s">
        <v>31</v>
      </c>
      <c r="G2776" s="2" t="s">
        <v>32</v>
      </c>
      <c r="H2776" s="1"/>
      <c r="I2776" s="2" t="s">
        <v>33</v>
      </c>
      <c r="J2776" s="2" t="s">
        <v>34</v>
      </c>
      <c r="K2776" s="2" t="s">
        <v>16471</v>
      </c>
      <c r="L2776" s="2" t="s">
        <v>16472</v>
      </c>
      <c r="M2776" s="2" t="s">
        <v>16415</v>
      </c>
      <c r="N2776" s="2" t="s">
        <v>38</v>
      </c>
      <c r="O2776" s="2" t="s">
        <v>141</v>
      </c>
      <c r="P2776" s="2" t="s">
        <v>16473</v>
      </c>
      <c r="Q2776" s="2" t="s">
        <v>16474</v>
      </c>
      <c r="R2776" s="2" t="s">
        <v>40</v>
      </c>
      <c r="S2776" s="2" t="s">
        <v>16475</v>
      </c>
      <c r="T2776" s="2" t="s">
        <v>16476</v>
      </c>
      <c r="U2776" s="2" t="s">
        <v>16477</v>
      </c>
      <c r="V2776" s="2" t="s">
        <v>16478</v>
      </c>
      <c r="W2776" s="1"/>
      <c r="X2776" s="2" t="s">
        <v>16479</v>
      </c>
      <c r="Y2776" s="2" t="s">
        <v>16303</v>
      </c>
      <c r="AA2776" t="str">
        <f t="shared" si="258"/>
        <v>2025-07</v>
      </c>
      <c r="AB2776" t="str">
        <f t="shared" si="259"/>
        <v/>
      </c>
      <c r="AC2776">
        <f t="shared" si="260"/>
        <v>497581.5</v>
      </c>
      <c r="AD2776">
        <f t="shared" si="261"/>
        <v>30</v>
      </c>
      <c r="AE2776">
        <f t="shared" si="262"/>
        <v>247801.5</v>
      </c>
      <c r="AF2776" t="str">
        <f t="shared" si="263"/>
        <v>Paid</v>
      </c>
    </row>
    <row r="2777" spans="1:32" ht="27.75" thickBot="1" x14ac:dyDescent="0.35">
      <c r="A2777" s="2" t="s">
        <v>16480</v>
      </c>
      <c r="B2777" s="2" t="s">
        <v>27</v>
      </c>
      <c r="C2777" s="2" t="s">
        <v>28</v>
      </c>
      <c r="D2777" s="2" t="s">
        <v>97</v>
      </c>
      <c r="E2777" s="2" t="s">
        <v>15863</v>
      </c>
      <c r="F2777" s="2" t="s">
        <v>31</v>
      </c>
      <c r="G2777" s="2" t="s">
        <v>32</v>
      </c>
      <c r="H2777" s="1"/>
      <c r="I2777" s="2" t="s">
        <v>33</v>
      </c>
      <c r="J2777" s="2" t="s">
        <v>34</v>
      </c>
      <c r="K2777" s="2" t="s">
        <v>16481</v>
      </c>
      <c r="L2777" s="2" t="s">
        <v>16482</v>
      </c>
      <c r="M2777" s="2" t="s">
        <v>16415</v>
      </c>
      <c r="N2777" s="2" t="s">
        <v>38</v>
      </c>
      <c r="O2777" s="2" t="s">
        <v>141</v>
      </c>
      <c r="P2777" s="2" t="s">
        <v>16483</v>
      </c>
      <c r="Q2777" s="2" t="s">
        <v>16484</v>
      </c>
      <c r="R2777" s="2" t="s">
        <v>40</v>
      </c>
      <c r="S2777" s="2" t="s">
        <v>16485</v>
      </c>
      <c r="T2777" s="2" t="s">
        <v>16486</v>
      </c>
      <c r="U2777" s="2" t="s">
        <v>16487</v>
      </c>
      <c r="V2777" s="2" t="s">
        <v>16488</v>
      </c>
      <c r="W2777" s="1"/>
      <c r="X2777" s="2" t="s">
        <v>14026</v>
      </c>
      <c r="Y2777" s="2" t="s">
        <v>16303</v>
      </c>
      <c r="AA2777" t="str">
        <f t="shared" si="258"/>
        <v>2025-07</v>
      </c>
      <c r="AB2777" t="str">
        <f t="shared" si="259"/>
        <v/>
      </c>
      <c r="AC2777">
        <f t="shared" si="260"/>
        <v>539483.1</v>
      </c>
      <c r="AD2777">
        <f t="shared" si="261"/>
        <v>30</v>
      </c>
      <c r="AE2777">
        <f t="shared" si="262"/>
        <v>149633.1</v>
      </c>
      <c r="AF2777" t="str">
        <f t="shared" si="263"/>
        <v>Paid</v>
      </c>
    </row>
    <row r="2778" spans="1:32" ht="17.25" thickBot="1" x14ac:dyDescent="0.35">
      <c r="A2778" s="2" t="s">
        <v>16489</v>
      </c>
      <c r="B2778" s="2" t="s">
        <v>27</v>
      </c>
      <c r="C2778" s="2" t="s">
        <v>28</v>
      </c>
      <c r="D2778" s="2" t="s">
        <v>97</v>
      </c>
      <c r="E2778" s="2" t="s">
        <v>15863</v>
      </c>
      <c r="F2778" s="2" t="s">
        <v>31</v>
      </c>
      <c r="G2778" s="2" t="s">
        <v>32</v>
      </c>
      <c r="H2778" s="1"/>
      <c r="I2778" s="2" t="s">
        <v>33</v>
      </c>
      <c r="J2778" s="2" t="s">
        <v>34</v>
      </c>
      <c r="K2778" s="2" t="s">
        <v>2415</v>
      </c>
      <c r="L2778" s="2" t="s">
        <v>2416</v>
      </c>
      <c r="M2778" s="2" t="s">
        <v>2389</v>
      </c>
      <c r="N2778" s="2" t="s">
        <v>38</v>
      </c>
      <c r="O2778" s="2" t="s">
        <v>227</v>
      </c>
      <c r="P2778" s="2" t="s">
        <v>16490</v>
      </c>
      <c r="Q2778" s="2" t="s">
        <v>16491</v>
      </c>
      <c r="R2778" s="2" t="s">
        <v>40</v>
      </c>
      <c r="S2778" s="2" t="s">
        <v>16492</v>
      </c>
      <c r="T2778" s="2" t="s">
        <v>669</v>
      </c>
      <c r="U2778" s="2" t="s">
        <v>7440</v>
      </c>
      <c r="V2778" s="2" t="s">
        <v>16493</v>
      </c>
      <c r="W2778" s="1"/>
      <c r="X2778" s="2" t="s">
        <v>7070</v>
      </c>
      <c r="Y2778" s="2" t="s">
        <v>16303</v>
      </c>
      <c r="AA2778" t="str">
        <f t="shared" si="258"/>
        <v>2025-07</v>
      </c>
      <c r="AB2778" t="str">
        <f t="shared" si="259"/>
        <v/>
      </c>
      <c r="AC2778">
        <f t="shared" si="260"/>
        <v>230136.48</v>
      </c>
      <c r="AD2778">
        <f t="shared" si="261"/>
        <v>28</v>
      </c>
      <c r="AE2778">
        <f t="shared" si="262"/>
        <v>62136.480000000003</v>
      </c>
      <c r="AF2778" t="str">
        <f t="shared" si="263"/>
        <v>Paid</v>
      </c>
    </row>
    <row r="2779" spans="1:32" ht="17.25" thickBot="1" x14ac:dyDescent="0.35">
      <c r="A2779" s="2" t="s">
        <v>16494</v>
      </c>
      <c r="B2779" s="2" t="s">
        <v>27</v>
      </c>
      <c r="C2779" s="2" t="s">
        <v>28</v>
      </c>
      <c r="D2779" s="2" t="s">
        <v>97</v>
      </c>
      <c r="E2779" s="2" t="s">
        <v>15863</v>
      </c>
      <c r="F2779" s="2" t="s">
        <v>31</v>
      </c>
      <c r="G2779" s="2" t="s">
        <v>32</v>
      </c>
      <c r="H2779" s="1"/>
      <c r="I2779" s="2" t="s">
        <v>33</v>
      </c>
      <c r="J2779" s="2" t="s">
        <v>34</v>
      </c>
      <c r="K2779" s="2" t="s">
        <v>13970</v>
      </c>
      <c r="L2779" s="2" t="s">
        <v>13971</v>
      </c>
      <c r="M2779" s="2" t="s">
        <v>2389</v>
      </c>
      <c r="N2779" s="2" t="s">
        <v>38</v>
      </c>
      <c r="O2779" s="2" t="s">
        <v>156</v>
      </c>
      <c r="P2779" s="2" t="s">
        <v>16495</v>
      </c>
      <c r="Q2779" s="2" t="s">
        <v>16496</v>
      </c>
      <c r="R2779" s="2" t="s">
        <v>40</v>
      </c>
      <c r="S2779" s="2" t="s">
        <v>16497</v>
      </c>
      <c r="T2779" s="2" t="s">
        <v>6823</v>
      </c>
      <c r="U2779" s="2" t="s">
        <v>14867</v>
      </c>
      <c r="V2779" s="2" t="s">
        <v>16498</v>
      </c>
      <c r="W2779" s="1"/>
      <c r="X2779" s="2" t="s">
        <v>16499</v>
      </c>
      <c r="Y2779" s="2" t="s">
        <v>16303</v>
      </c>
      <c r="AA2779" t="str">
        <f t="shared" si="258"/>
        <v>2025-07</v>
      </c>
      <c r="AB2779" t="str">
        <f t="shared" si="259"/>
        <v/>
      </c>
      <c r="AC2779">
        <f t="shared" si="260"/>
        <v>512757.4</v>
      </c>
      <c r="AD2779">
        <f t="shared" si="261"/>
        <v>20</v>
      </c>
      <c r="AE2779">
        <f t="shared" si="262"/>
        <v>280757.40000000002</v>
      </c>
      <c r="AF2779" t="str">
        <f t="shared" si="263"/>
        <v>Paid</v>
      </c>
    </row>
    <row r="2780" spans="1:32" ht="17.25" thickBot="1" x14ac:dyDescent="0.35">
      <c r="A2780" s="2" t="s">
        <v>16500</v>
      </c>
      <c r="B2780" s="2" t="s">
        <v>27</v>
      </c>
      <c r="C2780" s="2" t="s">
        <v>28</v>
      </c>
      <c r="D2780" s="2" t="s">
        <v>97</v>
      </c>
      <c r="E2780" s="2" t="s">
        <v>15863</v>
      </c>
      <c r="F2780" s="2" t="s">
        <v>31</v>
      </c>
      <c r="G2780" s="2" t="s">
        <v>32</v>
      </c>
      <c r="H2780" s="1"/>
      <c r="I2780" s="2" t="s">
        <v>33</v>
      </c>
      <c r="J2780" s="2" t="s">
        <v>34</v>
      </c>
      <c r="K2780" s="2" t="s">
        <v>11277</v>
      </c>
      <c r="L2780" s="2" t="s">
        <v>11278</v>
      </c>
      <c r="M2780" s="2" t="s">
        <v>2389</v>
      </c>
      <c r="N2780" s="2" t="s">
        <v>38</v>
      </c>
      <c r="O2780" s="2" t="s">
        <v>141</v>
      </c>
      <c r="P2780" s="2" t="s">
        <v>10281</v>
      </c>
      <c r="Q2780" s="2" t="s">
        <v>16501</v>
      </c>
      <c r="R2780" s="2" t="s">
        <v>40</v>
      </c>
      <c r="S2780" s="2" t="s">
        <v>16502</v>
      </c>
      <c r="T2780" s="2" t="s">
        <v>13098</v>
      </c>
      <c r="U2780" s="2" t="s">
        <v>16503</v>
      </c>
      <c r="V2780" s="2" t="s">
        <v>16504</v>
      </c>
      <c r="W2780" s="1"/>
      <c r="X2780" s="2" t="s">
        <v>1457</v>
      </c>
      <c r="Y2780" s="2" t="s">
        <v>16303</v>
      </c>
      <c r="AA2780" t="str">
        <f t="shared" si="258"/>
        <v>2025-07</v>
      </c>
      <c r="AB2780" t="str">
        <f t="shared" si="259"/>
        <v/>
      </c>
      <c r="AC2780">
        <f t="shared" si="260"/>
        <v>320708.40000000002</v>
      </c>
      <c r="AD2780">
        <f t="shared" si="261"/>
        <v>30</v>
      </c>
      <c r="AE2780">
        <f t="shared" si="262"/>
        <v>79598.399999999994</v>
      </c>
      <c r="AF2780" t="str">
        <f t="shared" si="263"/>
        <v>Paid</v>
      </c>
    </row>
    <row r="2781" spans="1:32" ht="17.25" thickBot="1" x14ac:dyDescent="0.35">
      <c r="A2781" s="2" t="s">
        <v>16505</v>
      </c>
      <c r="B2781" s="2" t="s">
        <v>27</v>
      </c>
      <c r="C2781" s="2" t="s">
        <v>28</v>
      </c>
      <c r="D2781" s="2" t="s">
        <v>97</v>
      </c>
      <c r="E2781" s="2" t="s">
        <v>15863</v>
      </c>
      <c r="F2781" s="2" t="s">
        <v>31</v>
      </c>
      <c r="G2781" s="2" t="s">
        <v>32</v>
      </c>
      <c r="H2781" s="1"/>
      <c r="I2781" s="2" t="s">
        <v>33</v>
      </c>
      <c r="J2781" s="2" t="s">
        <v>34</v>
      </c>
      <c r="K2781" s="2" t="s">
        <v>15919</v>
      </c>
      <c r="L2781" s="2" t="s">
        <v>15920</v>
      </c>
      <c r="M2781" s="2" t="s">
        <v>2389</v>
      </c>
      <c r="N2781" s="2" t="s">
        <v>38</v>
      </c>
      <c r="O2781" s="2" t="s">
        <v>141</v>
      </c>
      <c r="P2781" s="2" t="s">
        <v>15921</v>
      </c>
      <c r="Q2781" s="2" t="s">
        <v>16506</v>
      </c>
      <c r="R2781" s="2" t="s">
        <v>40</v>
      </c>
      <c r="S2781" s="2" t="s">
        <v>16507</v>
      </c>
      <c r="T2781" s="2" t="s">
        <v>13134</v>
      </c>
      <c r="U2781" s="2" t="s">
        <v>16508</v>
      </c>
      <c r="V2781" s="2" t="s">
        <v>16509</v>
      </c>
      <c r="W2781" s="1"/>
      <c r="X2781" s="2" t="s">
        <v>3560</v>
      </c>
      <c r="Y2781" s="2" t="s">
        <v>16303</v>
      </c>
      <c r="AA2781" t="str">
        <f t="shared" si="258"/>
        <v>2025-07</v>
      </c>
      <c r="AB2781" t="str">
        <f t="shared" si="259"/>
        <v/>
      </c>
      <c r="AC2781">
        <f t="shared" si="260"/>
        <v>31023.3</v>
      </c>
      <c r="AD2781">
        <f t="shared" si="261"/>
        <v>30</v>
      </c>
      <c r="AE2781">
        <f t="shared" si="262"/>
        <v>6453.3</v>
      </c>
      <c r="AF2781" t="str">
        <f t="shared" si="263"/>
        <v>Paid</v>
      </c>
    </row>
    <row r="2782" spans="1:32" ht="17.25" thickBot="1" x14ac:dyDescent="0.35">
      <c r="A2782" s="2" t="s">
        <v>16510</v>
      </c>
      <c r="B2782" s="2" t="s">
        <v>27</v>
      </c>
      <c r="C2782" s="2" t="s">
        <v>28</v>
      </c>
      <c r="D2782" s="2" t="s">
        <v>97</v>
      </c>
      <c r="E2782" s="2" t="s">
        <v>15863</v>
      </c>
      <c r="F2782" s="2" t="s">
        <v>31</v>
      </c>
      <c r="G2782" s="2" t="s">
        <v>32</v>
      </c>
      <c r="H2782" s="1"/>
      <c r="I2782" s="2" t="s">
        <v>33</v>
      </c>
      <c r="J2782" s="2" t="s">
        <v>34</v>
      </c>
      <c r="K2782" s="2" t="s">
        <v>15925</v>
      </c>
      <c r="L2782" s="2" t="s">
        <v>15926</v>
      </c>
      <c r="M2782" s="2" t="s">
        <v>2389</v>
      </c>
      <c r="N2782" s="2" t="s">
        <v>38</v>
      </c>
      <c r="O2782" s="2" t="s">
        <v>63</v>
      </c>
      <c r="P2782" s="2" t="s">
        <v>10025</v>
      </c>
      <c r="Q2782" s="2" t="s">
        <v>16511</v>
      </c>
      <c r="R2782" s="2" t="s">
        <v>40</v>
      </c>
      <c r="S2782" s="2" t="s">
        <v>16512</v>
      </c>
      <c r="T2782" s="2" t="s">
        <v>11355</v>
      </c>
      <c r="U2782" s="2" t="s">
        <v>16513</v>
      </c>
      <c r="V2782" s="2" t="s">
        <v>16514</v>
      </c>
      <c r="W2782" s="1"/>
      <c r="X2782" s="2" t="s">
        <v>1006</v>
      </c>
      <c r="Y2782" s="2" t="s">
        <v>16303</v>
      </c>
      <c r="AA2782" t="str">
        <f t="shared" si="258"/>
        <v>2025-07</v>
      </c>
      <c r="AB2782" t="str">
        <f t="shared" si="259"/>
        <v/>
      </c>
      <c r="AC2782">
        <f t="shared" si="260"/>
        <v>77182.210000000006</v>
      </c>
      <c r="AD2782">
        <f t="shared" si="261"/>
        <v>7</v>
      </c>
      <c r="AE2782">
        <f t="shared" si="262"/>
        <v>19908.21</v>
      </c>
      <c r="AF2782" t="str">
        <f t="shared" si="263"/>
        <v>Paid</v>
      </c>
    </row>
    <row r="2783" spans="1:32" ht="17.25" thickBot="1" x14ac:dyDescent="0.35">
      <c r="A2783" s="2" t="s">
        <v>16515</v>
      </c>
      <c r="B2783" s="2" t="s">
        <v>27</v>
      </c>
      <c r="C2783" s="2" t="s">
        <v>28</v>
      </c>
      <c r="D2783" s="2" t="s">
        <v>97</v>
      </c>
      <c r="E2783" s="2" t="s">
        <v>15863</v>
      </c>
      <c r="F2783" s="2" t="s">
        <v>31</v>
      </c>
      <c r="G2783" s="2" t="s">
        <v>32</v>
      </c>
      <c r="H2783" s="1"/>
      <c r="I2783" s="2" t="s">
        <v>33</v>
      </c>
      <c r="J2783" s="2" t="s">
        <v>34</v>
      </c>
      <c r="K2783" s="2" t="s">
        <v>16516</v>
      </c>
      <c r="L2783" s="2" t="s">
        <v>16517</v>
      </c>
      <c r="M2783" s="2" t="s">
        <v>2389</v>
      </c>
      <c r="N2783" s="2" t="s">
        <v>38</v>
      </c>
      <c r="O2783" s="2" t="s">
        <v>174</v>
      </c>
      <c r="P2783" s="2" t="s">
        <v>6369</v>
      </c>
      <c r="Q2783" s="2" t="s">
        <v>16518</v>
      </c>
      <c r="R2783" s="2" t="s">
        <v>40</v>
      </c>
      <c r="S2783" s="2" t="s">
        <v>16519</v>
      </c>
      <c r="T2783" s="2" t="s">
        <v>16520</v>
      </c>
      <c r="U2783" s="2" t="s">
        <v>16521</v>
      </c>
      <c r="V2783" s="2" t="s">
        <v>16522</v>
      </c>
      <c r="W2783" s="1"/>
      <c r="X2783" s="2" t="s">
        <v>4604</v>
      </c>
      <c r="Y2783" s="2" t="s">
        <v>16303</v>
      </c>
      <c r="AA2783" t="str">
        <f t="shared" si="258"/>
        <v>2025-07</v>
      </c>
      <c r="AB2783" t="str">
        <f t="shared" si="259"/>
        <v/>
      </c>
      <c r="AC2783">
        <f t="shared" si="260"/>
        <v>252322.84</v>
      </c>
      <c r="AD2783">
        <f t="shared" si="261"/>
        <v>22</v>
      </c>
      <c r="AE2783">
        <f t="shared" si="262"/>
        <v>111918.84</v>
      </c>
      <c r="AF2783" t="str">
        <f t="shared" si="263"/>
        <v>Paid</v>
      </c>
    </row>
    <row r="2784" spans="1:32" ht="17.25" thickBot="1" x14ac:dyDescent="0.35">
      <c r="A2784" s="2" t="s">
        <v>16523</v>
      </c>
      <c r="B2784" s="2" t="s">
        <v>27</v>
      </c>
      <c r="C2784" s="2" t="s">
        <v>28</v>
      </c>
      <c r="D2784" s="2" t="s">
        <v>97</v>
      </c>
      <c r="E2784" s="2" t="s">
        <v>15863</v>
      </c>
      <c r="F2784" s="2" t="s">
        <v>31</v>
      </c>
      <c r="G2784" s="2" t="s">
        <v>32</v>
      </c>
      <c r="H2784" s="1"/>
      <c r="I2784" s="2" t="s">
        <v>33</v>
      </c>
      <c r="J2784" s="2" t="s">
        <v>34</v>
      </c>
      <c r="K2784" s="2" t="s">
        <v>12976</v>
      </c>
      <c r="L2784" s="2" t="s">
        <v>12977</v>
      </c>
      <c r="M2784" s="2" t="s">
        <v>2389</v>
      </c>
      <c r="N2784" s="2" t="s">
        <v>38</v>
      </c>
      <c r="O2784" s="2" t="s">
        <v>141</v>
      </c>
      <c r="P2784" s="2" t="s">
        <v>16490</v>
      </c>
      <c r="Q2784" s="2" t="s">
        <v>16524</v>
      </c>
      <c r="R2784" s="2" t="s">
        <v>40</v>
      </c>
      <c r="S2784" s="2" t="s">
        <v>16525</v>
      </c>
      <c r="T2784" s="2" t="s">
        <v>13982</v>
      </c>
      <c r="U2784" s="2" t="s">
        <v>16526</v>
      </c>
      <c r="V2784" s="2" t="s">
        <v>16527</v>
      </c>
      <c r="W2784" s="1"/>
      <c r="X2784" s="2" t="s">
        <v>3305</v>
      </c>
      <c r="Y2784" s="2" t="s">
        <v>16303</v>
      </c>
      <c r="AA2784" t="str">
        <f t="shared" si="258"/>
        <v>2025-07</v>
      </c>
      <c r="AB2784" t="str">
        <f t="shared" si="259"/>
        <v/>
      </c>
      <c r="AC2784">
        <f t="shared" si="260"/>
        <v>246574.8</v>
      </c>
      <c r="AD2784">
        <f t="shared" si="261"/>
        <v>30</v>
      </c>
      <c r="AE2784">
        <f t="shared" si="262"/>
        <v>55654.8</v>
      </c>
      <c r="AF2784" t="str">
        <f t="shared" si="263"/>
        <v>Paid</v>
      </c>
    </row>
    <row r="2785" spans="1:32" ht="17.25" thickBot="1" x14ac:dyDescent="0.35">
      <c r="A2785" s="2" t="s">
        <v>16528</v>
      </c>
      <c r="B2785" s="2" t="s">
        <v>27</v>
      </c>
      <c r="C2785" s="2" t="s">
        <v>28</v>
      </c>
      <c r="D2785" s="2" t="s">
        <v>97</v>
      </c>
      <c r="E2785" s="2" t="s">
        <v>15863</v>
      </c>
      <c r="F2785" s="2" t="s">
        <v>31</v>
      </c>
      <c r="G2785" s="2" t="s">
        <v>32</v>
      </c>
      <c r="H2785" s="1"/>
      <c r="I2785" s="2" t="s">
        <v>33</v>
      </c>
      <c r="J2785" s="2" t="s">
        <v>34</v>
      </c>
      <c r="K2785" s="2" t="s">
        <v>7814</v>
      </c>
      <c r="L2785" s="2" t="s">
        <v>7815</v>
      </c>
      <c r="M2785" s="2" t="s">
        <v>2389</v>
      </c>
      <c r="N2785" s="2" t="s">
        <v>38</v>
      </c>
      <c r="O2785" s="2" t="s">
        <v>141</v>
      </c>
      <c r="P2785" s="2" t="s">
        <v>16529</v>
      </c>
      <c r="Q2785" s="2" t="s">
        <v>16530</v>
      </c>
      <c r="R2785" s="2" t="s">
        <v>40</v>
      </c>
      <c r="S2785" s="2" t="s">
        <v>16531</v>
      </c>
      <c r="T2785" s="2" t="s">
        <v>13098</v>
      </c>
      <c r="U2785" s="2" t="s">
        <v>16503</v>
      </c>
      <c r="V2785" s="2" t="s">
        <v>16532</v>
      </c>
      <c r="W2785" s="1"/>
      <c r="X2785" s="2" t="s">
        <v>3393</v>
      </c>
      <c r="Y2785" s="2" t="s">
        <v>16303</v>
      </c>
      <c r="AA2785" t="str">
        <f t="shared" si="258"/>
        <v>2025-07</v>
      </c>
      <c r="AB2785" t="str">
        <f t="shared" si="259"/>
        <v/>
      </c>
      <c r="AC2785">
        <f t="shared" si="260"/>
        <v>321111.3</v>
      </c>
      <c r="AD2785">
        <f t="shared" si="261"/>
        <v>30</v>
      </c>
      <c r="AE2785">
        <f t="shared" si="262"/>
        <v>80001.3</v>
      </c>
      <c r="AF2785" t="str">
        <f t="shared" si="263"/>
        <v>Paid</v>
      </c>
    </row>
    <row r="2786" spans="1:32" ht="17.25" thickBot="1" x14ac:dyDescent="0.35">
      <c r="A2786" s="2" t="s">
        <v>16533</v>
      </c>
      <c r="B2786" s="2" t="s">
        <v>27</v>
      </c>
      <c r="C2786" s="2" t="s">
        <v>28</v>
      </c>
      <c r="D2786" s="2" t="s">
        <v>97</v>
      </c>
      <c r="E2786" s="2" t="s">
        <v>15863</v>
      </c>
      <c r="F2786" s="2" t="s">
        <v>31</v>
      </c>
      <c r="G2786" s="2" t="s">
        <v>32</v>
      </c>
      <c r="H2786" s="1"/>
      <c r="I2786" s="2" t="s">
        <v>33</v>
      </c>
      <c r="J2786" s="2" t="s">
        <v>34</v>
      </c>
      <c r="K2786" s="2" t="s">
        <v>16534</v>
      </c>
      <c r="L2786" s="2" t="s">
        <v>16535</v>
      </c>
      <c r="M2786" s="2" t="s">
        <v>2389</v>
      </c>
      <c r="N2786" s="2" t="s">
        <v>38</v>
      </c>
      <c r="O2786" s="2" t="s">
        <v>141</v>
      </c>
      <c r="P2786" s="2" t="s">
        <v>3579</v>
      </c>
      <c r="Q2786" s="2" t="s">
        <v>9880</v>
      </c>
      <c r="R2786" s="2" t="s">
        <v>40</v>
      </c>
      <c r="S2786" s="2" t="s">
        <v>16536</v>
      </c>
      <c r="T2786" s="2" t="s">
        <v>40</v>
      </c>
      <c r="U2786" s="2" t="s">
        <v>40</v>
      </c>
      <c r="V2786" s="2" t="s">
        <v>16536</v>
      </c>
      <c r="W2786" s="1"/>
      <c r="X2786" s="2" t="s">
        <v>2155</v>
      </c>
      <c r="Y2786" s="2" t="s">
        <v>16303</v>
      </c>
      <c r="AA2786" t="str">
        <f t="shared" si="258"/>
        <v>2025-07</v>
      </c>
      <c r="AB2786" t="str">
        <f t="shared" si="259"/>
        <v/>
      </c>
      <c r="AC2786">
        <f t="shared" si="260"/>
        <v>234487.8</v>
      </c>
      <c r="AD2786">
        <f t="shared" si="261"/>
        <v>30</v>
      </c>
      <c r="AE2786">
        <f t="shared" si="262"/>
        <v>234487.8</v>
      </c>
      <c r="AF2786" t="str">
        <f t="shared" si="263"/>
        <v>Paid</v>
      </c>
    </row>
    <row r="2787" spans="1:32" ht="17.25" thickBot="1" x14ac:dyDescent="0.35">
      <c r="A2787" s="2" t="s">
        <v>16537</v>
      </c>
      <c r="B2787" s="2" t="s">
        <v>27</v>
      </c>
      <c r="C2787" s="2" t="s">
        <v>28</v>
      </c>
      <c r="D2787" s="2" t="s">
        <v>97</v>
      </c>
      <c r="E2787" s="2" t="s">
        <v>15863</v>
      </c>
      <c r="F2787" s="2" t="s">
        <v>31</v>
      </c>
      <c r="G2787" s="2" t="s">
        <v>32</v>
      </c>
      <c r="H2787" s="1"/>
      <c r="I2787" s="2" t="s">
        <v>33</v>
      </c>
      <c r="J2787" s="2" t="s">
        <v>34</v>
      </c>
      <c r="K2787" s="2" t="s">
        <v>2553</v>
      </c>
      <c r="L2787" s="2" t="s">
        <v>2554</v>
      </c>
      <c r="M2787" s="2" t="s">
        <v>2389</v>
      </c>
      <c r="N2787" s="2" t="s">
        <v>38</v>
      </c>
      <c r="O2787" s="2" t="s">
        <v>141</v>
      </c>
      <c r="P2787" s="2" t="s">
        <v>16538</v>
      </c>
      <c r="Q2787" s="2" t="s">
        <v>16539</v>
      </c>
      <c r="R2787" s="2" t="s">
        <v>40</v>
      </c>
      <c r="S2787" s="2" t="s">
        <v>16540</v>
      </c>
      <c r="T2787" s="2" t="s">
        <v>16541</v>
      </c>
      <c r="U2787" s="2" t="s">
        <v>16542</v>
      </c>
      <c r="V2787" s="2" t="s">
        <v>16543</v>
      </c>
      <c r="W2787" s="1"/>
      <c r="X2787" s="2" t="s">
        <v>7228</v>
      </c>
      <c r="Y2787" s="2" t="s">
        <v>16303</v>
      </c>
      <c r="AA2787" t="str">
        <f t="shared" si="258"/>
        <v>2025-07</v>
      </c>
      <c r="AB2787" t="str">
        <f t="shared" si="259"/>
        <v/>
      </c>
      <c r="AC2787">
        <f t="shared" si="260"/>
        <v>296131.5</v>
      </c>
      <c r="AD2787">
        <f t="shared" si="261"/>
        <v>30</v>
      </c>
      <c r="AE2787">
        <f t="shared" si="262"/>
        <v>86671.5</v>
      </c>
      <c r="AF2787" t="str">
        <f t="shared" si="263"/>
        <v>Paid</v>
      </c>
    </row>
    <row r="2788" spans="1:32" ht="27.75" thickBot="1" x14ac:dyDescent="0.35">
      <c r="A2788" s="2" t="s">
        <v>16544</v>
      </c>
      <c r="B2788" s="2" t="s">
        <v>27</v>
      </c>
      <c r="C2788" s="2" t="s">
        <v>28</v>
      </c>
      <c r="D2788" s="2" t="s">
        <v>97</v>
      </c>
      <c r="E2788" s="2" t="s">
        <v>15863</v>
      </c>
      <c r="F2788" s="2" t="s">
        <v>31</v>
      </c>
      <c r="G2788" s="2" t="s">
        <v>32</v>
      </c>
      <c r="H2788" s="1"/>
      <c r="I2788" s="2" t="s">
        <v>33</v>
      </c>
      <c r="J2788" s="2" t="s">
        <v>34</v>
      </c>
      <c r="K2788" s="2" t="s">
        <v>16545</v>
      </c>
      <c r="L2788" s="2" t="s">
        <v>16546</v>
      </c>
      <c r="M2788" s="2" t="s">
        <v>2389</v>
      </c>
      <c r="N2788" s="2" t="s">
        <v>38</v>
      </c>
      <c r="O2788" s="2" t="s">
        <v>141</v>
      </c>
      <c r="P2788" s="2" t="s">
        <v>6351</v>
      </c>
      <c r="Q2788" s="2" t="s">
        <v>16547</v>
      </c>
      <c r="R2788" s="2" t="s">
        <v>40</v>
      </c>
      <c r="S2788" s="2" t="s">
        <v>16548</v>
      </c>
      <c r="T2788" s="2" t="s">
        <v>16541</v>
      </c>
      <c r="U2788" s="2" t="s">
        <v>16542</v>
      </c>
      <c r="V2788" s="2" t="s">
        <v>16549</v>
      </c>
      <c r="W2788" s="1"/>
      <c r="X2788" s="2" t="s">
        <v>965</v>
      </c>
      <c r="Y2788" s="2" t="s">
        <v>16303</v>
      </c>
      <c r="AA2788" t="str">
        <f t="shared" si="258"/>
        <v>2025-07</v>
      </c>
      <c r="AB2788" t="str">
        <f t="shared" si="259"/>
        <v/>
      </c>
      <c r="AC2788">
        <f t="shared" si="260"/>
        <v>281627.09999999998</v>
      </c>
      <c r="AD2788">
        <f t="shared" si="261"/>
        <v>30</v>
      </c>
      <c r="AE2788">
        <f t="shared" si="262"/>
        <v>72167.100000000006</v>
      </c>
      <c r="AF2788" t="str">
        <f t="shared" si="263"/>
        <v>Paid</v>
      </c>
    </row>
    <row r="2789" spans="1:32" ht="17.25" thickBot="1" x14ac:dyDescent="0.35">
      <c r="A2789" s="2" t="s">
        <v>16550</v>
      </c>
      <c r="B2789" s="2" t="s">
        <v>27</v>
      </c>
      <c r="C2789" s="2" t="s">
        <v>28</v>
      </c>
      <c r="D2789" s="2" t="s">
        <v>97</v>
      </c>
      <c r="E2789" s="2" t="s">
        <v>15863</v>
      </c>
      <c r="F2789" s="2" t="s">
        <v>31</v>
      </c>
      <c r="G2789" s="2" t="s">
        <v>32</v>
      </c>
      <c r="H2789" s="1"/>
      <c r="I2789" s="2" t="s">
        <v>33</v>
      </c>
      <c r="J2789" s="2" t="s">
        <v>34</v>
      </c>
      <c r="K2789" s="2" t="s">
        <v>3437</v>
      </c>
      <c r="L2789" s="2" t="s">
        <v>3438</v>
      </c>
      <c r="M2789" s="2" t="s">
        <v>2389</v>
      </c>
      <c r="N2789" s="2" t="s">
        <v>38</v>
      </c>
      <c r="O2789" s="2" t="s">
        <v>141</v>
      </c>
      <c r="P2789" s="2" t="s">
        <v>6369</v>
      </c>
      <c r="Q2789" s="2" t="s">
        <v>15864</v>
      </c>
      <c r="R2789" s="2" t="s">
        <v>40</v>
      </c>
      <c r="S2789" s="2" t="s">
        <v>16551</v>
      </c>
      <c r="T2789" s="2" t="s">
        <v>3441</v>
      </c>
      <c r="U2789" s="2" t="s">
        <v>16552</v>
      </c>
      <c r="V2789" s="2" t="s">
        <v>16553</v>
      </c>
      <c r="W2789" s="1"/>
      <c r="X2789" s="2" t="s">
        <v>4185</v>
      </c>
      <c r="Y2789" s="2" t="s">
        <v>16303</v>
      </c>
      <c r="AA2789" t="str">
        <f t="shared" si="258"/>
        <v>2025-07</v>
      </c>
      <c r="AB2789" t="str">
        <f t="shared" si="259"/>
        <v/>
      </c>
      <c r="AC2789">
        <f t="shared" si="260"/>
        <v>344076.6</v>
      </c>
      <c r="AD2789">
        <f t="shared" si="261"/>
        <v>30</v>
      </c>
      <c r="AE2789">
        <f t="shared" si="262"/>
        <v>165366.6</v>
      </c>
      <c r="AF2789" t="str">
        <f t="shared" si="263"/>
        <v>Paid</v>
      </c>
    </row>
    <row r="2790" spans="1:32" ht="17.25" thickBot="1" x14ac:dyDescent="0.35">
      <c r="A2790" s="2" t="s">
        <v>16554</v>
      </c>
      <c r="B2790" s="2" t="s">
        <v>27</v>
      </c>
      <c r="C2790" s="2" t="s">
        <v>28</v>
      </c>
      <c r="D2790" s="2" t="s">
        <v>97</v>
      </c>
      <c r="E2790" s="2" t="s">
        <v>15863</v>
      </c>
      <c r="F2790" s="2" t="s">
        <v>31</v>
      </c>
      <c r="G2790" s="2" t="s">
        <v>32</v>
      </c>
      <c r="H2790" s="1"/>
      <c r="I2790" s="2" t="s">
        <v>33</v>
      </c>
      <c r="J2790" s="2" t="s">
        <v>34</v>
      </c>
      <c r="K2790" s="2" t="s">
        <v>2602</v>
      </c>
      <c r="L2790" s="2" t="s">
        <v>2603</v>
      </c>
      <c r="M2790" s="2" t="s">
        <v>2389</v>
      </c>
      <c r="N2790" s="2" t="s">
        <v>38</v>
      </c>
      <c r="O2790" s="2" t="s">
        <v>141</v>
      </c>
      <c r="P2790" s="2" t="s">
        <v>15882</v>
      </c>
      <c r="Q2790" s="2" t="s">
        <v>16555</v>
      </c>
      <c r="R2790" s="2" t="s">
        <v>40</v>
      </c>
      <c r="S2790" s="2" t="s">
        <v>16556</v>
      </c>
      <c r="T2790" s="2" t="s">
        <v>11355</v>
      </c>
      <c r="U2790" s="2" t="s">
        <v>16557</v>
      </c>
      <c r="V2790" s="2" t="s">
        <v>16558</v>
      </c>
      <c r="W2790" s="1"/>
      <c r="X2790" s="2" t="s">
        <v>13589</v>
      </c>
      <c r="Y2790" s="2" t="s">
        <v>16303</v>
      </c>
      <c r="AA2790" t="str">
        <f t="shared" si="258"/>
        <v>2025-07</v>
      </c>
      <c r="AB2790" t="str">
        <f t="shared" si="259"/>
        <v/>
      </c>
      <c r="AC2790">
        <f t="shared" si="260"/>
        <v>476630.7</v>
      </c>
      <c r="AD2790">
        <f t="shared" si="261"/>
        <v>30</v>
      </c>
      <c r="AE2790">
        <f t="shared" si="262"/>
        <v>231170.7</v>
      </c>
      <c r="AF2790" t="str">
        <f t="shared" si="263"/>
        <v>Paid</v>
      </c>
    </row>
    <row r="2791" spans="1:32" ht="17.25" thickBot="1" x14ac:dyDescent="0.35">
      <c r="A2791" s="2" t="s">
        <v>16559</v>
      </c>
      <c r="B2791" s="2" t="s">
        <v>27</v>
      </c>
      <c r="C2791" s="2" t="s">
        <v>28</v>
      </c>
      <c r="D2791" s="2" t="s">
        <v>97</v>
      </c>
      <c r="E2791" s="2" t="s">
        <v>15863</v>
      </c>
      <c r="F2791" s="2" t="s">
        <v>31</v>
      </c>
      <c r="G2791" s="2" t="s">
        <v>32</v>
      </c>
      <c r="H2791" s="1"/>
      <c r="I2791" s="2" t="s">
        <v>33</v>
      </c>
      <c r="J2791" s="2" t="s">
        <v>34</v>
      </c>
      <c r="K2791" s="2" t="s">
        <v>9421</v>
      </c>
      <c r="L2791" s="2" t="s">
        <v>9422</v>
      </c>
      <c r="M2791" s="2" t="s">
        <v>8664</v>
      </c>
      <c r="N2791" s="2" t="s">
        <v>38</v>
      </c>
      <c r="O2791" s="2" t="s">
        <v>141</v>
      </c>
      <c r="P2791" s="2" t="s">
        <v>16560</v>
      </c>
      <c r="Q2791" s="2" t="s">
        <v>16561</v>
      </c>
      <c r="R2791" s="2" t="s">
        <v>40</v>
      </c>
      <c r="S2791" s="2" t="s">
        <v>16562</v>
      </c>
      <c r="T2791" s="2" t="s">
        <v>9425</v>
      </c>
      <c r="U2791" s="2" t="s">
        <v>16563</v>
      </c>
      <c r="V2791" s="2" t="s">
        <v>16564</v>
      </c>
      <c r="W2791" s="1"/>
      <c r="X2791" s="2" t="s">
        <v>434</v>
      </c>
      <c r="Y2791" s="2" t="s">
        <v>16303</v>
      </c>
      <c r="AA2791" t="str">
        <f t="shared" si="258"/>
        <v>2025-07</v>
      </c>
      <c r="AB2791" t="str">
        <f t="shared" si="259"/>
        <v/>
      </c>
      <c r="AC2791">
        <f t="shared" si="260"/>
        <v>180499.20000000001</v>
      </c>
      <c r="AD2791">
        <f t="shared" si="261"/>
        <v>30</v>
      </c>
      <c r="AE2791">
        <f t="shared" si="262"/>
        <v>22099.200000000001</v>
      </c>
      <c r="AF2791" t="str">
        <f t="shared" si="263"/>
        <v>Paid</v>
      </c>
    </row>
    <row r="2792" spans="1:32" ht="27.75" thickBot="1" x14ac:dyDescent="0.35">
      <c r="A2792" s="2" t="s">
        <v>16565</v>
      </c>
      <c r="B2792" s="2" t="s">
        <v>27</v>
      </c>
      <c r="C2792" s="2" t="s">
        <v>28</v>
      </c>
      <c r="D2792" s="2" t="s">
        <v>97</v>
      </c>
      <c r="E2792" s="2" t="s">
        <v>15863</v>
      </c>
      <c r="F2792" s="2" t="s">
        <v>31</v>
      </c>
      <c r="G2792" s="2" t="s">
        <v>32</v>
      </c>
      <c r="H2792" s="1"/>
      <c r="I2792" s="2" t="s">
        <v>33</v>
      </c>
      <c r="J2792" s="2" t="s">
        <v>34</v>
      </c>
      <c r="K2792" s="2" t="s">
        <v>8662</v>
      </c>
      <c r="L2792" s="2" t="s">
        <v>8663</v>
      </c>
      <c r="M2792" s="2" t="s">
        <v>8664</v>
      </c>
      <c r="N2792" s="2" t="s">
        <v>38</v>
      </c>
      <c r="O2792" s="2" t="s">
        <v>141</v>
      </c>
      <c r="P2792" s="2" t="s">
        <v>16560</v>
      </c>
      <c r="Q2792" s="2" t="s">
        <v>16561</v>
      </c>
      <c r="R2792" s="2" t="s">
        <v>40</v>
      </c>
      <c r="S2792" s="2" t="s">
        <v>16562</v>
      </c>
      <c r="T2792" s="2" t="s">
        <v>13019</v>
      </c>
      <c r="U2792" s="2" t="s">
        <v>13025</v>
      </c>
      <c r="V2792" s="2" t="s">
        <v>16566</v>
      </c>
      <c r="W2792" s="1"/>
      <c r="X2792" s="2" t="s">
        <v>2429</v>
      </c>
      <c r="Y2792" s="2" t="s">
        <v>16303</v>
      </c>
      <c r="AA2792" t="str">
        <f t="shared" si="258"/>
        <v>2025-07</v>
      </c>
      <c r="AB2792" t="str">
        <f t="shared" si="259"/>
        <v/>
      </c>
      <c r="AC2792">
        <f t="shared" si="260"/>
        <v>180499.20000000001</v>
      </c>
      <c r="AD2792">
        <f t="shared" si="261"/>
        <v>30</v>
      </c>
      <c r="AE2792">
        <f t="shared" si="262"/>
        <v>44119.199999999997</v>
      </c>
      <c r="AF2792" t="str">
        <f t="shared" si="263"/>
        <v>Paid</v>
      </c>
    </row>
    <row r="2793" spans="1:32" ht="27.75" thickBot="1" x14ac:dyDescent="0.35">
      <c r="A2793" s="2" t="s">
        <v>16567</v>
      </c>
      <c r="B2793" s="2" t="s">
        <v>27</v>
      </c>
      <c r="C2793" s="2" t="s">
        <v>28</v>
      </c>
      <c r="D2793" s="2" t="s">
        <v>97</v>
      </c>
      <c r="E2793" s="2" t="s">
        <v>15863</v>
      </c>
      <c r="F2793" s="2" t="s">
        <v>31</v>
      </c>
      <c r="G2793" s="2" t="s">
        <v>32</v>
      </c>
      <c r="H2793" s="1"/>
      <c r="I2793" s="2" t="s">
        <v>33</v>
      </c>
      <c r="J2793" s="2" t="s">
        <v>34</v>
      </c>
      <c r="K2793" s="2" t="s">
        <v>16568</v>
      </c>
      <c r="L2793" s="2" t="s">
        <v>16569</v>
      </c>
      <c r="M2793" s="2" t="s">
        <v>8664</v>
      </c>
      <c r="N2793" s="2" t="s">
        <v>38</v>
      </c>
      <c r="O2793" s="2" t="s">
        <v>141</v>
      </c>
      <c r="P2793" s="2" t="s">
        <v>5876</v>
      </c>
      <c r="Q2793" s="2" t="s">
        <v>16570</v>
      </c>
      <c r="R2793" s="2" t="s">
        <v>40</v>
      </c>
      <c r="S2793" s="2" t="s">
        <v>16571</v>
      </c>
      <c r="T2793" s="2" t="s">
        <v>16572</v>
      </c>
      <c r="U2793" s="2" t="s">
        <v>16573</v>
      </c>
      <c r="V2793" s="2" t="s">
        <v>16574</v>
      </c>
      <c r="W2793" s="1"/>
      <c r="X2793" s="2" t="s">
        <v>916</v>
      </c>
      <c r="Y2793" s="2" t="s">
        <v>16303</v>
      </c>
      <c r="AA2793" t="str">
        <f t="shared" si="258"/>
        <v>2025-07</v>
      </c>
      <c r="AB2793" t="str">
        <f t="shared" si="259"/>
        <v/>
      </c>
      <c r="AC2793">
        <f t="shared" si="260"/>
        <v>207493.5</v>
      </c>
      <c r="AD2793">
        <f t="shared" si="261"/>
        <v>30</v>
      </c>
      <c r="AE2793">
        <f t="shared" si="262"/>
        <v>44293.5</v>
      </c>
      <c r="AF2793" t="str">
        <f t="shared" si="263"/>
        <v>Paid</v>
      </c>
    </row>
    <row r="2794" spans="1:32" ht="17.25" thickBot="1" x14ac:dyDescent="0.35">
      <c r="A2794" s="2" t="s">
        <v>16575</v>
      </c>
      <c r="B2794" s="2" t="s">
        <v>27</v>
      </c>
      <c r="C2794" s="2" t="s">
        <v>28</v>
      </c>
      <c r="D2794" s="2" t="s">
        <v>97</v>
      </c>
      <c r="E2794" s="2" t="s">
        <v>15863</v>
      </c>
      <c r="F2794" s="2" t="s">
        <v>31</v>
      </c>
      <c r="G2794" s="2" t="s">
        <v>32</v>
      </c>
      <c r="H2794" s="1"/>
      <c r="I2794" s="2" t="s">
        <v>33</v>
      </c>
      <c r="J2794" s="2" t="s">
        <v>34</v>
      </c>
      <c r="K2794" s="2" t="s">
        <v>16576</v>
      </c>
      <c r="L2794" s="2" t="s">
        <v>16577</v>
      </c>
      <c r="M2794" s="2" t="s">
        <v>8664</v>
      </c>
      <c r="N2794" s="2" t="s">
        <v>38</v>
      </c>
      <c r="O2794" s="2" t="s">
        <v>141</v>
      </c>
      <c r="P2794" s="2" t="s">
        <v>1970</v>
      </c>
      <c r="Q2794" s="2" t="s">
        <v>16578</v>
      </c>
      <c r="R2794" s="2" t="s">
        <v>40</v>
      </c>
      <c r="S2794" s="2" t="s">
        <v>16579</v>
      </c>
      <c r="T2794" s="2" t="s">
        <v>3213</v>
      </c>
      <c r="U2794" s="2" t="s">
        <v>6653</v>
      </c>
      <c r="V2794" s="2" t="s">
        <v>16580</v>
      </c>
      <c r="W2794" s="1"/>
      <c r="X2794" s="2" t="s">
        <v>6978</v>
      </c>
      <c r="Y2794" s="2" t="s">
        <v>16303</v>
      </c>
      <c r="AA2794" t="str">
        <f t="shared" si="258"/>
        <v>2025-07</v>
      </c>
      <c r="AB2794" t="str">
        <f t="shared" si="259"/>
        <v/>
      </c>
      <c r="AC2794">
        <f t="shared" si="260"/>
        <v>211925.4</v>
      </c>
      <c r="AD2794">
        <f t="shared" si="261"/>
        <v>30</v>
      </c>
      <c r="AE2794">
        <f t="shared" si="262"/>
        <v>55925.4</v>
      </c>
      <c r="AF2794" t="str">
        <f t="shared" si="263"/>
        <v>Paid</v>
      </c>
    </row>
    <row r="2795" spans="1:32" ht="17.25" thickBot="1" x14ac:dyDescent="0.35">
      <c r="A2795" s="2" t="s">
        <v>16581</v>
      </c>
      <c r="B2795" s="2" t="s">
        <v>27</v>
      </c>
      <c r="C2795" s="2" t="s">
        <v>28</v>
      </c>
      <c r="D2795" s="2" t="s">
        <v>97</v>
      </c>
      <c r="E2795" s="2" t="s">
        <v>15863</v>
      </c>
      <c r="F2795" s="2" t="s">
        <v>31</v>
      </c>
      <c r="G2795" s="2" t="s">
        <v>32</v>
      </c>
      <c r="H2795" s="1"/>
      <c r="I2795" s="2" t="s">
        <v>33</v>
      </c>
      <c r="J2795" s="2" t="s">
        <v>34</v>
      </c>
      <c r="K2795" s="2" t="s">
        <v>16582</v>
      </c>
      <c r="L2795" s="2" t="s">
        <v>16583</v>
      </c>
      <c r="M2795" s="2" t="s">
        <v>8664</v>
      </c>
      <c r="N2795" s="2" t="s">
        <v>38</v>
      </c>
      <c r="O2795" s="2" t="s">
        <v>141</v>
      </c>
      <c r="P2795" s="2" t="s">
        <v>327</v>
      </c>
      <c r="Q2795" s="2" t="s">
        <v>16584</v>
      </c>
      <c r="R2795" s="2" t="s">
        <v>40</v>
      </c>
      <c r="S2795" s="2" t="s">
        <v>16585</v>
      </c>
      <c r="T2795" s="2" t="s">
        <v>13601</v>
      </c>
      <c r="U2795" s="2" t="s">
        <v>16586</v>
      </c>
      <c r="V2795" s="2" t="s">
        <v>16587</v>
      </c>
      <c r="W2795" s="1"/>
      <c r="X2795" s="2" t="s">
        <v>2429</v>
      </c>
      <c r="Y2795" s="2" t="s">
        <v>16303</v>
      </c>
      <c r="AA2795" t="str">
        <f t="shared" si="258"/>
        <v>2025-07</v>
      </c>
      <c r="AB2795" t="str">
        <f t="shared" si="259"/>
        <v/>
      </c>
      <c r="AC2795">
        <f t="shared" si="260"/>
        <v>342867.9</v>
      </c>
      <c r="AD2795">
        <f t="shared" si="261"/>
        <v>30</v>
      </c>
      <c r="AE2795">
        <f t="shared" si="262"/>
        <v>83757.899999999994</v>
      </c>
      <c r="AF2795" t="str">
        <f t="shared" si="263"/>
        <v>Paid</v>
      </c>
    </row>
    <row r="2796" spans="1:32" ht="17.25" thickBot="1" x14ac:dyDescent="0.35">
      <c r="A2796" s="2" t="s">
        <v>16588</v>
      </c>
      <c r="B2796" s="2" t="s">
        <v>27</v>
      </c>
      <c r="C2796" s="2" t="s">
        <v>28</v>
      </c>
      <c r="D2796" s="2" t="s">
        <v>97</v>
      </c>
      <c r="E2796" s="2" t="s">
        <v>15863</v>
      </c>
      <c r="F2796" s="2" t="s">
        <v>31</v>
      </c>
      <c r="G2796" s="2" t="s">
        <v>32</v>
      </c>
      <c r="H2796" s="1"/>
      <c r="I2796" s="2" t="s">
        <v>33</v>
      </c>
      <c r="J2796" s="2" t="s">
        <v>34</v>
      </c>
      <c r="K2796" s="2" t="s">
        <v>16589</v>
      </c>
      <c r="L2796" s="2" t="s">
        <v>16590</v>
      </c>
      <c r="M2796" s="2" t="s">
        <v>8664</v>
      </c>
      <c r="N2796" s="2" t="s">
        <v>38</v>
      </c>
      <c r="O2796" s="2" t="s">
        <v>141</v>
      </c>
      <c r="P2796" s="2" t="s">
        <v>5876</v>
      </c>
      <c r="Q2796" s="2" t="s">
        <v>16570</v>
      </c>
      <c r="R2796" s="2" t="s">
        <v>40</v>
      </c>
      <c r="S2796" s="2" t="s">
        <v>16571</v>
      </c>
      <c r="T2796" s="2" t="s">
        <v>16591</v>
      </c>
      <c r="U2796" s="2" t="s">
        <v>16592</v>
      </c>
      <c r="V2796" s="2" t="s">
        <v>16593</v>
      </c>
      <c r="W2796" s="1"/>
      <c r="X2796" s="2" t="s">
        <v>2429</v>
      </c>
      <c r="Y2796" s="2" t="s">
        <v>16303</v>
      </c>
      <c r="AA2796" t="str">
        <f t="shared" si="258"/>
        <v>2025-07</v>
      </c>
      <c r="AB2796" t="str">
        <f t="shared" si="259"/>
        <v/>
      </c>
      <c r="AC2796">
        <f t="shared" si="260"/>
        <v>207493.5</v>
      </c>
      <c r="AD2796">
        <f t="shared" si="261"/>
        <v>30</v>
      </c>
      <c r="AE2796">
        <f t="shared" si="262"/>
        <v>50593.5</v>
      </c>
      <c r="AF2796" t="str">
        <f t="shared" si="263"/>
        <v>Paid</v>
      </c>
    </row>
    <row r="2797" spans="1:32" ht="27.75" thickBot="1" x14ac:dyDescent="0.35">
      <c r="A2797" s="2" t="s">
        <v>16594</v>
      </c>
      <c r="B2797" s="2" t="s">
        <v>27</v>
      </c>
      <c r="C2797" s="2" t="s">
        <v>28</v>
      </c>
      <c r="D2797" s="2" t="s">
        <v>97</v>
      </c>
      <c r="E2797" s="2" t="s">
        <v>15863</v>
      </c>
      <c r="F2797" s="2" t="s">
        <v>31</v>
      </c>
      <c r="G2797" s="2" t="s">
        <v>32</v>
      </c>
      <c r="H2797" s="1"/>
      <c r="I2797" s="2" t="s">
        <v>33</v>
      </c>
      <c r="J2797" s="2" t="s">
        <v>34</v>
      </c>
      <c r="K2797" s="2" t="s">
        <v>16595</v>
      </c>
      <c r="L2797" s="2" t="s">
        <v>16596</v>
      </c>
      <c r="M2797" s="2" t="s">
        <v>8664</v>
      </c>
      <c r="N2797" s="2" t="s">
        <v>38</v>
      </c>
      <c r="O2797" s="2" t="s">
        <v>391</v>
      </c>
      <c r="P2797" s="2" t="s">
        <v>16597</v>
      </c>
      <c r="Q2797" s="2" t="s">
        <v>16598</v>
      </c>
      <c r="R2797" s="2" t="s">
        <v>40</v>
      </c>
      <c r="S2797" s="2" t="s">
        <v>16599</v>
      </c>
      <c r="T2797" s="2" t="s">
        <v>9813</v>
      </c>
      <c r="U2797" s="2" t="s">
        <v>16600</v>
      </c>
      <c r="V2797" s="2" t="s">
        <v>16601</v>
      </c>
      <c r="W2797" s="1"/>
      <c r="X2797" s="2" t="s">
        <v>934</v>
      </c>
      <c r="Y2797" s="2" t="s">
        <v>16303</v>
      </c>
      <c r="AA2797" t="str">
        <f t="shared" si="258"/>
        <v>2025-07</v>
      </c>
      <c r="AB2797" t="str">
        <f t="shared" si="259"/>
        <v/>
      </c>
      <c r="AC2797">
        <f t="shared" si="260"/>
        <v>343270.8</v>
      </c>
      <c r="AD2797">
        <f t="shared" si="261"/>
        <v>60</v>
      </c>
      <c r="AE2797">
        <f t="shared" si="262"/>
        <v>84130.8</v>
      </c>
      <c r="AF2797" t="str">
        <f t="shared" si="263"/>
        <v>Paid</v>
      </c>
    </row>
    <row r="2798" spans="1:32" ht="17.25" thickBot="1" x14ac:dyDescent="0.35">
      <c r="A2798" s="2" t="s">
        <v>16602</v>
      </c>
      <c r="B2798" s="2" t="s">
        <v>27</v>
      </c>
      <c r="C2798" s="2" t="s">
        <v>28</v>
      </c>
      <c r="D2798" s="2" t="s">
        <v>97</v>
      </c>
      <c r="E2798" s="2" t="s">
        <v>15863</v>
      </c>
      <c r="F2798" s="2" t="s">
        <v>31</v>
      </c>
      <c r="G2798" s="2" t="s">
        <v>32</v>
      </c>
      <c r="H2798" s="1"/>
      <c r="I2798" s="2" t="s">
        <v>33</v>
      </c>
      <c r="J2798" s="2" t="s">
        <v>34</v>
      </c>
      <c r="K2798" s="2" t="s">
        <v>16603</v>
      </c>
      <c r="L2798" s="2" t="s">
        <v>16604</v>
      </c>
      <c r="M2798" s="2" t="s">
        <v>634</v>
      </c>
      <c r="N2798" s="2" t="s">
        <v>38</v>
      </c>
      <c r="O2798" s="2" t="s">
        <v>213</v>
      </c>
      <c r="P2798" s="2" t="s">
        <v>16605</v>
      </c>
      <c r="Q2798" s="2" t="s">
        <v>16606</v>
      </c>
      <c r="R2798" s="2" t="s">
        <v>40</v>
      </c>
      <c r="S2798" s="2" t="s">
        <v>16607</v>
      </c>
      <c r="T2798" s="2" t="s">
        <v>16608</v>
      </c>
      <c r="U2798" s="2" t="s">
        <v>16609</v>
      </c>
      <c r="V2798" s="2" t="s">
        <v>16610</v>
      </c>
      <c r="W2798" s="1"/>
      <c r="X2798" s="2" t="s">
        <v>16611</v>
      </c>
      <c r="Y2798" s="2" t="s">
        <v>16303</v>
      </c>
      <c r="AA2798" t="str">
        <f t="shared" si="258"/>
        <v>2025-07</v>
      </c>
      <c r="AB2798" t="str">
        <f t="shared" si="259"/>
        <v/>
      </c>
      <c r="AC2798">
        <f t="shared" si="260"/>
        <v>364893.1</v>
      </c>
      <c r="AD2798">
        <f t="shared" si="261"/>
        <v>26</v>
      </c>
      <c r="AE2798">
        <f t="shared" si="262"/>
        <v>118933.1</v>
      </c>
      <c r="AF2798" t="str">
        <f t="shared" si="263"/>
        <v>Paid</v>
      </c>
    </row>
    <row r="2799" spans="1:32" ht="17.25" thickBot="1" x14ac:dyDescent="0.35">
      <c r="A2799" s="2" t="s">
        <v>16612</v>
      </c>
      <c r="B2799" s="2" t="s">
        <v>27</v>
      </c>
      <c r="C2799" s="2" t="s">
        <v>28</v>
      </c>
      <c r="D2799" s="2" t="s">
        <v>97</v>
      </c>
      <c r="E2799" s="2" t="s">
        <v>15863</v>
      </c>
      <c r="F2799" s="2" t="s">
        <v>31</v>
      </c>
      <c r="G2799" s="2" t="s">
        <v>32</v>
      </c>
      <c r="H2799" s="1"/>
      <c r="I2799" s="2" t="s">
        <v>33</v>
      </c>
      <c r="J2799" s="2" t="s">
        <v>34</v>
      </c>
      <c r="K2799" s="2" t="s">
        <v>16603</v>
      </c>
      <c r="L2799" s="2" t="s">
        <v>16604</v>
      </c>
      <c r="M2799" s="2" t="s">
        <v>634</v>
      </c>
      <c r="N2799" s="2" t="s">
        <v>38</v>
      </c>
      <c r="O2799" s="2" t="s">
        <v>141</v>
      </c>
      <c r="P2799" s="2" t="s">
        <v>16605</v>
      </c>
      <c r="Q2799" s="2" t="s">
        <v>1717</v>
      </c>
      <c r="R2799" s="2" t="s">
        <v>40</v>
      </c>
      <c r="S2799" s="2" t="s">
        <v>16613</v>
      </c>
      <c r="T2799" s="2" t="s">
        <v>16608</v>
      </c>
      <c r="U2799" s="2" t="s">
        <v>16614</v>
      </c>
      <c r="V2799" s="2" t="s">
        <v>16615</v>
      </c>
      <c r="W2799" s="1"/>
      <c r="X2799" s="2" t="s">
        <v>16611</v>
      </c>
      <c r="Y2799" s="2" t="s">
        <v>16303</v>
      </c>
      <c r="AA2799" t="str">
        <f t="shared" si="258"/>
        <v>2025-07</v>
      </c>
      <c r="AB2799" t="str">
        <f t="shared" si="259"/>
        <v/>
      </c>
      <c r="AC2799">
        <f t="shared" si="260"/>
        <v>421030.5</v>
      </c>
      <c r="AD2799">
        <f t="shared" si="261"/>
        <v>30</v>
      </c>
      <c r="AE2799">
        <f t="shared" si="262"/>
        <v>137230.5</v>
      </c>
      <c r="AF2799" t="str">
        <f t="shared" si="263"/>
        <v>Paid</v>
      </c>
    </row>
    <row r="2800" spans="1:32" ht="17.25" thickBot="1" x14ac:dyDescent="0.35">
      <c r="A2800" s="2" t="s">
        <v>16616</v>
      </c>
      <c r="B2800" s="2" t="s">
        <v>27</v>
      </c>
      <c r="C2800" s="2" t="s">
        <v>28</v>
      </c>
      <c r="D2800" s="2" t="s">
        <v>97</v>
      </c>
      <c r="E2800" s="2" t="s">
        <v>15863</v>
      </c>
      <c r="F2800" s="2" t="s">
        <v>31</v>
      </c>
      <c r="G2800" s="2" t="s">
        <v>32</v>
      </c>
      <c r="H2800" s="1"/>
      <c r="I2800" s="2" t="s">
        <v>33</v>
      </c>
      <c r="J2800" s="2" t="s">
        <v>34</v>
      </c>
      <c r="K2800" s="2" t="s">
        <v>663</v>
      </c>
      <c r="L2800" s="2" t="s">
        <v>664</v>
      </c>
      <c r="M2800" s="2" t="s">
        <v>634</v>
      </c>
      <c r="N2800" s="2" t="s">
        <v>38</v>
      </c>
      <c r="O2800" s="2" t="s">
        <v>141</v>
      </c>
      <c r="P2800" s="2" t="s">
        <v>891</v>
      </c>
      <c r="Q2800" s="2" t="s">
        <v>16366</v>
      </c>
      <c r="R2800" s="2" t="s">
        <v>40</v>
      </c>
      <c r="S2800" s="2" t="s">
        <v>16367</v>
      </c>
      <c r="T2800" s="2" t="s">
        <v>669</v>
      </c>
      <c r="U2800" s="2" t="s">
        <v>3331</v>
      </c>
      <c r="V2800" s="2" t="s">
        <v>16617</v>
      </c>
      <c r="W2800" s="1"/>
      <c r="X2800" s="2" t="s">
        <v>12854</v>
      </c>
      <c r="Y2800" s="2" t="s">
        <v>16303</v>
      </c>
      <c r="AA2800" t="str">
        <f t="shared" si="258"/>
        <v>2025-07</v>
      </c>
      <c r="AB2800" t="str">
        <f t="shared" si="259"/>
        <v/>
      </c>
      <c r="AC2800">
        <f t="shared" si="260"/>
        <v>336824.4</v>
      </c>
      <c r="AD2800">
        <f t="shared" si="261"/>
        <v>30</v>
      </c>
      <c r="AE2800">
        <f t="shared" si="262"/>
        <v>156824.4</v>
      </c>
      <c r="AF2800" t="str">
        <f t="shared" si="263"/>
        <v>Paid</v>
      </c>
    </row>
    <row r="2801" spans="1:32" ht="27.75" thickBot="1" x14ac:dyDescent="0.35">
      <c r="A2801" s="2" t="s">
        <v>16618</v>
      </c>
      <c r="B2801" s="2" t="s">
        <v>27</v>
      </c>
      <c r="C2801" s="2" t="s">
        <v>28</v>
      </c>
      <c r="D2801" s="2" t="s">
        <v>97</v>
      </c>
      <c r="E2801" s="2" t="s">
        <v>15863</v>
      </c>
      <c r="F2801" s="2" t="s">
        <v>31</v>
      </c>
      <c r="G2801" s="2" t="s">
        <v>32</v>
      </c>
      <c r="H2801" s="1"/>
      <c r="I2801" s="2" t="s">
        <v>33</v>
      </c>
      <c r="J2801" s="2" t="s">
        <v>34</v>
      </c>
      <c r="K2801" s="2" t="s">
        <v>674</v>
      </c>
      <c r="L2801" s="2" t="s">
        <v>675</v>
      </c>
      <c r="M2801" s="2" t="s">
        <v>634</v>
      </c>
      <c r="N2801" s="2" t="s">
        <v>38</v>
      </c>
      <c r="O2801" s="2" t="s">
        <v>141</v>
      </c>
      <c r="P2801" s="2" t="s">
        <v>891</v>
      </c>
      <c r="Q2801" s="2" t="s">
        <v>16366</v>
      </c>
      <c r="R2801" s="2" t="s">
        <v>40</v>
      </c>
      <c r="S2801" s="2" t="s">
        <v>16367</v>
      </c>
      <c r="T2801" s="2" t="s">
        <v>669</v>
      </c>
      <c r="U2801" s="2" t="s">
        <v>3331</v>
      </c>
      <c r="V2801" s="2" t="s">
        <v>16617</v>
      </c>
      <c r="W2801" s="1"/>
      <c r="X2801" s="2" t="s">
        <v>12854</v>
      </c>
      <c r="Y2801" s="2" t="s">
        <v>16303</v>
      </c>
      <c r="AA2801" t="str">
        <f t="shared" si="258"/>
        <v>2025-07</v>
      </c>
      <c r="AB2801" t="str">
        <f t="shared" si="259"/>
        <v/>
      </c>
      <c r="AC2801">
        <f t="shared" si="260"/>
        <v>336824.4</v>
      </c>
      <c r="AD2801">
        <f t="shared" si="261"/>
        <v>30</v>
      </c>
      <c r="AE2801">
        <f t="shared" si="262"/>
        <v>156824.4</v>
      </c>
      <c r="AF2801" t="str">
        <f t="shared" si="263"/>
        <v>Paid</v>
      </c>
    </row>
    <row r="2802" spans="1:32" ht="17.25" thickBot="1" x14ac:dyDescent="0.35">
      <c r="A2802" s="2" t="s">
        <v>16619</v>
      </c>
      <c r="B2802" s="2" t="s">
        <v>27</v>
      </c>
      <c r="C2802" s="2" t="s">
        <v>28</v>
      </c>
      <c r="D2802" s="2" t="s">
        <v>97</v>
      </c>
      <c r="E2802" s="2" t="s">
        <v>15863</v>
      </c>
      <c r="F2802" s="2" t="s">
        <v>31</v>
      </c>
      <c r="G2802" s="2" t="s">
        <v>32</v>
      </c>
      <c r="H2802" s="1"/>
      <c r="I2802" s="2" t="s">
        <v>33</v>
      </c>
      <c r="J2802" s="2" t="s">
        <v>34</v>
      </c>
      <c r="K2802" s="2" t="s">
        <v>16620</v>
      </c>
      <c r="L2802" s="2" t="s">
        <v>16621</v>
      </c>
      <c r="M2802" s="2" t="s">
        <v>634</v>
      </c>
      <c r="N2802" s="2" t="s">
        <v>38</v>
      </c>
      <c r="O2802" s="2" t="s">
        <v>141</v>
      </c>
      <c r="P2802" s="2" t="s">
        <v>16605</v>
      </c>
      <c r="Q2802" s="2" t="s">
        <v>1717</v>
      </c>
      <c r="R2802" s="2" t="s">
        <v>40</v>
      </c>
      <c r="S2802" s="2" t="s">
        <v>16613</v>
      </c>
      <c r="T2802" s="2" t="s">
        <v>638</v>
      </c>
      <c r="U2802" s="2" t="s">
        <v>10852</v>
      </c>
      <c r="V2802" s="2" t="s">
        <v>16622</v>
      </c>
      <c r="W2802" s="1"/>
      <c r="X2802" s="2" t="s">
        <v>16623</v>
      </c>
      <c r="Y2802" s="2" t="s">
        <v>16303</v>
      </c>
      <c r="AA2802" t="str">
        <f t="shared" si="258"/>
        <v>2025-07</v>
      </c>
      <c r="AB2802" t="str">
        <f t="shared" si="259"/>
        <v/>
      </c>
      <c r="AC2802">
        <f t="shared" si="260"/>
        <v>421030.5</v>
      </c>
      <c r="AD2802">
        <f t="shared" si="261"/>
        <v>30</v>
      </c>
      <c r="AE2802">
        <f t="shared" si="262"/>
        <v>197230.5</v>
      </c>
      <c r="AF2802" t="str">
        <f t="shared" si="263"/>
        <v>Paid</v>
      </c>
    </row>
    <row r="2803" spans="1:32" ht="17.25" thickBot="1" x14ac:dyDescent="0.35">
      <c r="A2803" s="2" t="s">
        <v>16624</v>
      </c>
      <c r="B2803" s="2" t="s">
        <v>27</v>
      </c>
      <c r="C2803" s="2" t="s">
        <v>28</v>
      </c>
      <c r="D2803" s="2" t="s">
        <v>97</v>
      </c>
      <c r="E2803" s="2" t="s">
        <v>15863</v>
      </c>
      <c r="F2803" s="2" t="s">
        <v>31</v>
      </c>
      <c r="G2803" s="2" t="s">
        <v>32</v>
      </c>
      <c r="H2803" s="1"/>
      <c r="I2803" s="2" t="s">
        <v>33</v>
      </c>
      <c r="J2803" s="2" t="s">
        <v>34</v>
      </c>
      <c r="K2803" s="2" t="s">
        <v>16625</v>
      </c>
      <c r="L2803" s="2" t="s">
        <v>16626</v>
      </c>
      <c r="M2803" s="2" t="s">
        <v>634</v>
      </c>
      <c r="N2803" s="2" t="s">
        <v>38</v>
      </c>
      <c r="O2803" s="2" t="s">
        <v>141</v>
      </c>
      <c r="P2803" s="2" t="s">
        <v>371</v>
      </c>
      <c r="Q2803" s="2" t="s">
        <v>14856</v>
      </c>
      <c r="R2803" s="2" t="s">
        <v>40</v>
      </c>
      <c r="S2803" s="2" t="s">
        <v>16627</v>
      </c>
      <c r="T2803" s="2" t="s">
        <v>687</v>
      </c>
      <c r="U2803" s="2" t="s">
        <v>688</v>
      </c>
      <c r="V2803" s="2" t="s">
        <v>16628</v>
      </c>
      <c r="W2803" s="1"/>
      <c r="X2803" s="2" t="s">
        <v>7033</v>
      </c>
      <c r="Y2803" s="2" t="s">
        <v>16303</v>
      </c>
      <c r="AA2803" t="str">
        <f t="shared" si="258"/>
        <v>2025-07</v>
      </c>
      <c r="AB2803" t="str">
        <f t="shared" si="259"/>
        <v/>
      </c>
      <c r="AC2803">
        <f t="shared" si="260"/>
        <v>360998.40000000002</v>
      </c>
      <c r="AD2803">
        <f t="shared" si="261"/>
        <v>30</v>
      </c>
      <c r="AE2803">
        <f t="shared" si="262"/>
        <v>169898.4</v>
      </c>
      <c r="AF2803" t="str">
        <f t="shared" si="263"/>
        <v>Paid</v>
      </c>
    </row>
    <row r="2804" spans="1:32" ht="17.25" thickBot="1" x14ac:dyDescent="0.35">
      <c r="A2804" s="2" t="s">
        <v>16629</v>
      </c>
      <c r="B2804" s="2" t="s">
        <v>27</v>
      </c>
      <c r="C2804" s="2" t="s">
        <v>28</v>
      </c>
      <c r="D2804" s="2" t="s">
        <v>97</v>
      </c>
      <c r="E2804" s="2" t="s">
        <v>15863</v>
      </c>
      <c r="F2804" s="2" t="s">
        <v>31</v>
      </c>
      <c r="G2804" s="2" t="s">
        <v>32</v>
      </c>
      <c r="H2804" s="1"/>
      <c r="I2804" s="2" t="s">
        <v>33</v>
      </c>
      <c r="J2804" s="2" t="s">
        <v>34</v>
      </c>
      <c r="K2804" s="2" t="s">
        <v>16630</v>
      </c>
      <c r="L2804" s="2" t="s">
        <v>16631</v>
      </c>
      <c r="M2804" s="2" t="s">
        <v>634</v>
      </c>
      <c r="N2804" s="2" t="s">
        <v>38</v>
      </c>
      <c r="O2804" s="2" t="s">
        <v>141</v>
      </c>
      <c r="P2804" s="2" t="s">
        <v>16632</v>
      </c>
      <c r="Q2804" s="2" t="s">
        <v>16633</v>
      </c>
      <c r="R2804" s="2" t="s">
        <v>40</v>
      </c>
      <c r="S2804" s="2" t="s">
        <v>16634</v>
      </c>
      <c r="T2804" s="2" t="s">
        <v>16635</v>
      </c>
      <c r="U2804" s="2" t="s">
        <v>16636</v>
      </c>
      <c r="V2804" s="2" t="s">
        <v>16637</v>
      </c>
      <c r="W2804" s="1"/>
      <c r="X2804" s="2" t="s">
        <v>16638</v>
      </c>
      <c r="Y2804" s="2" t="s">
        <v>16303</v>
      </c>
      <c r="AA2804" t="str">
        <f t="shared" si="258"/>
        <v>2025-07</v>
      </c>
      <c r="AB2804" t="str">
        <f t="shared" si="259"/>
        <v/>
      </c>
      <c r="AC2804">
        <f t="shared" si="260"/>
        <v>842061</v>
      </c>
      <c r="AD2804">
        <f t="shared" si="261"/>
        <v>30</v>
      </c>
      <c r="AE2804">
        <f t="shared" si="262"/>
        <v>361761</v>
      </c>
      <c r="AF2804" t="str">
        <f t="shared" si="263"/>
        <v>Paid</v>
      </c>
    </row>
    <row r="2805" spans="1:32" ht="17.25" thickBot="1" x14ac:dyDescent="0.35">
      <c r="A2805" s="2" t="s">
        <v>16639</v>
      </c>
      <c r="B2805" s="2" t="s">
        <v>27</v>
      </c>
      <c r="C2805" s="2" t="s">
        <v>28</v>
      </c>
      <c r="D2805" s="2" t="s">
        <v>97</v>
      </c>
      <c r="E2805" s="2" t="s">
        <v>15863</v>
      </c>
      <c r="F2805" s="2" t="s">
        <v>31</v>
      </c>
      <c r="G2805" s="2" t="s">
        <v>32</v>
      </c>
      <c r="H2805" s="1"/>
      <c r="I2805" s="2" t="s">
        <v>33</v>
      </c>
      <c r="J2805" s="2" t="s">
        <v>34</v>
      </c>
      <c r="K2805" s="2" t="s">
        <v>16640</v>
      </c>
      <c r="L2805" s="2" t="s">
        <v>16641</v>
      </c>
      <c r="M2805" s="2" t="s">
        <v>634</v>
      </c>
      <c r="N2805" s="2" t="s">
        <v>38</v>
      </c>
      <c r="O2805" s="2" t="s">
        <v>141</v>
      </c>
      <c r="P2805" s="2" t="s">
        <v>16632</v>
      </c>
      <c r="Q2805" s="2" t="s">
        <v>16633</v>
      </c>
      <c r="R2805" s="2" t="s">
        <v>40</v>
      </c>
      <c r="S2805" s="2" t="s">
        <v>16634</v>
      </c>
      <c r="T2805" s="2" t="s">
        <v>16635</v>
      </c>
      <c r="U2805" s="2" t="s">
        <v>16636</v>
      </c>
      <c r="V2805" s="2" t="s">
        <v>16637</v>
      </c>
      <c r="W2805" s="1"/>
      <c r="X2805" s="2" t="s">
        <v>16638</v>
      </c>
      <c r="Y2805" s="2" t="s">
        <v>16303</v>
      </c>
      <c r="AA2805" t="str">
        <f t="shared" si="258"/>
        <v>2025-07</v>
      </c>
      <c r="AB2805" t="str">
        <f t="shared" si="259"/>
        <v/>
      </c>
      <c r="AC2805">
        <f t="shared" si="260"/>
        <v>842061</v>
      </c>
      <c r="AD2805">
        <f t="shared" si="261"/>
        <v>30</v>
      </c>
      <c r="AE2805">
        <f t="shared" si="262"/>
        <v>361761</v>
      </c>
      <c r="AF2805" t="str">
        <f t="shared" si="263"/>
        <v>Paid</v>
      </c>
    </row>
    <row r="2806" spans="1:32" ht="17.25" thickBot="1" x14ac:dyDescent="0.35">
      <c r="A2806" s="2" t="s">
        <v>16642</v>
      </c>
      <c r="B2806" s="2" t="s">
        <v>27</v>
      </c>
      <c r="C2806" s="2" t="s">
        <v>28</v>
      </c>
      <c r="D2806" s="2" t="s">
        <v>97</v>
      </c>
      <c r="E2806" s="2" t="s">
        <v>15863</v>
      </c>
      <c r="F2806" s="2" t="s">
        <v>31</v>
      </c>
      <c r="G2806" s="2" t="s">
        <v>32</v>
      </c>
      <c r="H2806" s="1"/>
      <c r="I2806" s="2" t="s">
        <v>33</v>
      </c>
      <c r="J2806" s="2" t="s">
        <v>34</v>
      </c>
      <c r="K2806" s="2" t="s">
        <v>16643</v>
      </c>
      <c r="L2806" s="2" t="s">
        <v>16644</v>
      </c>
      <c r="M2806" s="2" t="s">
        <v>634</v>
      </c>
      <c r="N2806" s="2" t="s">
        <v>38</v>
      </c>
      <c r="O2806" s="2" t="s">
        <v>391</v>
      </c>
      <c r="P2806" s="2" t="s">
        <v>16645</v>
      </c>
      <c r="Q2806" s="2" t="s">
        <v>16646</v>
      </c>
      <c r="R2806" s="2" t="s">
        <v>40</v>
      </c>
      <c r="S2806" s="2" t="s">
        <v>16647</v>
      </c>
      <c r="T2806" s="2" t="s">
        <v>16648</v>
      </c>
      <c r="U2806" s="2" t="s">
        <v>16649</v>
      </c>
      <c r="V2806" s="2" t="s">
        <v>16650</v>
      </c>
      <c r="W2806" s="1"/>
      <c r="X2806" s="2" t="s">
        <v>12932</v>
      </c>
      <c r="Y2806" s="2" t="s">
        <v>16303</v>
      </c>
      <c r="AA2806" t="str">
        <f t="shared" si="258"/>
        <v>2025-07</v>
      </c>
      <c r="AB2806" t="str">
        <f t="shared" si="259"/>
        <v/>
      </c>
      <c r="AC2806">
        <f t="shared" si="260"/>
        <v>1744557</v>
      </c>
      <c r="AD2806">
        <f t="shared" si="261"/>
        <v>60</v>
      </c>
      <c r="AE2806">
        <f t="shared" si="262"/>
        <v>786357</v>
      </c>
      <c r="AF2806" t="str">
        <f t="shared" si="263"/>
        <v>Paid</v>
      </c>
    </row>
    <row r="2807" spans="1:32" ht="17.25" thickBot="1" x14ac:dyDescent="0.35">
      <c r="A2807" s="2" t="s">
        <v>16651</v>
      </c>
      <c r="B2807" s="2" t="s">
        <v>27</v>
      </c>
      <c r="C2807" s="2" t="s">
        <v>28</v>
      </c>
      <c r="D2807" s="2" t="s">
        <v>97</v>
      </c>
      <c r="E2807" s="2" t="s">
        <v>15863</v>
      </c>
      <c r="F2807" s="2" t="s">
        <v>31</v>
      </c>
      <c r="G2807" s="2" t="s">
        <v>32</v>
      </c>
      <c r="H2807" s="1"/>
      <c r="I2807" s="2" t="s">
        <v>33</v>
      </c>
      <c r="J2807" s="2" t="s">
        <v>34</v>
      </c>
      <c r="K2807" s="2" t="s">
        <v>16652</v>
      </c>
      <c r="L2807" s="2" t="s">
        <v>16653</v>
      </c>
      <c r="M2807" s="2" t="s">
        <v>634</v>
      </c>
      <c r="N2807" s="2" t="s">
        <v>38</v>
      </c>
      <c r="O2807" s="2" t="s">
        <v>141</v>
      </c>
      <c r="P2807" s="2" t="s">
        <v>16654</v>
      </c>
      <c r="Q2807" s="2" t="s">
        <v>16655</v>
      </c>
      <c r="R2807" s="2" t="s">
        <v>40</v>
      </c>
      <c r="S2807" s="2" t="s">
        <v>16656</v>
      </c>
      <c r="T2807" s="2" t="s">
        <v>16657</v>
      </c>
      <c r="U2807" s="2" t="s">
        <v>16658</v>
      </c>
      <c r="V2807" s="2" t="s">
        <v>16659</v>
      </c>
      <c r="W2807" s="1"/>
      <c r="X2807" s="2" t="s">
        <v>16660</v>
      </c>
      <c r="Y2807" s="2" t="s">
        <v>16303</v>
      </c>
      <c r="AA2807" t="str">
        <f t="shared" si="258"/>
        <v>2025-07</v>
      </c>
      <c r="AB2807" t="str">
        <f t="shared" si="259"/>
        <v/>
      </c>
      <c r="AC2807">
        <f t="shared" si="260"/>
        <v>796936.2</v>
      </c>
      <c r="AD2807">
        <f t="shared" si="261"/>
        <v>30</v>
      </c>
      <c r="AE2807">
        <f t="shared" si="262"/>
        <v>382636.2</v>
      </c>
      <c r="AF2807" t="str">
        <f t="shared" si="263"/>
        <v>Paid</v>
      </c>
    </row>
    <row r="2808" spans="1:32" ht="17.25" thickBot="1" x14ac:dyDescent="0.35">
      <c r="A2808" s="2" t="s">
        <v>16661</v>
      </c>
      <c r="B2808" s="2" t="s">
        <v>27</v>
      </c>
      <c r="C2808" s="2" t="s">
        <v>28</v>
      </c>
      <c r="D2808" s="2" t="s">
        <v>97</v>
      </c>
      <c r="E2808" s="2" t="s">
        <v>15863</v>
      </c>
      <c r="F2808" s="2" t="s">
        <v>31</v>
      </c>
      <c r="G2808" s="2" t="s">
        <v>32</v>
      </c>
      <c r="H2808" s="1"/>
      <c r="I2808" s="2" t="s">
        <v>33</v>
      </c>
      <c r="J2808" s="2" t="s">
        <v>34</v>
      </c>
      <c r="K2808" s="2" t="s">
        <v>5547</v>
      </c>
      <c r="L2808" s="2" t="s">
        <v>5548</v>
      </c>
      <c r="M2808" s="2" t="s">
        <v>634</v>
      </c>
      <c r="N2808" s="2" t="s">
        <v>38</v>
      </c>
      <c r="O2808" s="2" t="s">
        <v>141</v>
      </c>
      <c r="P2808" s="2" t="s">
        <v>16662</v>
      </c>
      <c r="Q2808" s="2" t="s">
        <v>16663</v>
      </c>
      <c r="R2808" s="2" t="s">
        <v>40</v>
      </c>
      <c r="S2808" s="2" t="s">
        <v>16664</v>
      </c>
      <c r="T2808" s="2" t="s">
        <v>5551</v>
      </c>
      <c r="U2808" s="2" t="s">
        <v>16665</v>
      </c>
      <c r="V2808" s="2" t="s">
        <v>16666</v>
      </c>
      <c r="W2808" s="1"/>
      <c r="X2808" s="2" t="s">
        <v>16667</v>
      </c>
      <c r="Y2808" s="2" t="s">
        <v>16303</v>
      </c>
      <c r="AA2808" t="str">
        <f t="shared" si="258"/>
        <v>2025-07</v>
      </c>
      <c r="AB2808" t="str">
        <f t="shared" si="259"/>
        <v/>
      </c>
      <c r="AC2808">
        <f t="shared" si="260"/>
        <v>721996.80000000005</v>
      </c>
      <c r="AD2808">
        <f t="shared" si="261"/>
        <v>30</v>
      </c>
      <c r="AE2808">
        <f t="shared" si="262"/>
        <v>337096.8</v>
      </c>
      <c r="AF2808" t="str">
        <f t="shared" si="263"/>
        <v>Paid</v>
      </c>
    </row>
    <row r="2809" spans="1:32" ht="17.25" thickBot="1" x14ac:dyDescent="0.35">
      <c r="A2809" s="2" t="s">
        <v>16668</v>
      </c>
      <c r="B2809" s="2" t="s">
        <v>27</v>
      </c>
      <c r="C2809" s="2" t="s">
        <v>28</v>
      </c>
      <c r="D2809" s="2" t="s">
        <v>97</v>
      </c>
      <c r="E2809" s="2" t="s">
        <v>15863</v>
      </c>
      <c r="F2809" s="2" t="s">
        <v>31</v>
      </c>
      <c r="G2809" s="2" t="s">
        <v>32</v>
      </c>
      <c r="H2809" s="1"/>
      <c r="I2809" s="2" t="s">
        <v>33</v>
      </c>
      <c r="J2809" s="2" t="s">
        <v>34</v>
      </c>
      <c r="K2809" s="2" t="s">
        <v>6137</v>
      </c>
      <c r="L2809" s="2" t="s">
        <v>6138</v>
      </c>
      <c r="M2809" s="2" t="s">
        <v>634</v>
      </c>
      <c r="N2809" s="2" t="s">
        <v>38</v>
      </c>
      <c r="O2809" s="2" t="s">
        <v>141</v>
      </c>
      <c r="P2809" s="2" t="s">
        <v>5266</v>
      </c>
      <c r="Q2809" s="2" t="s">
        <v>16669</v>
      </c>
      <c r="R2809" s="2" t="s">
        <v>40</v>
      </c>
      <c r="S2809" s="2" t="s">
        <v>16670</v>
      </c>
      <c r="T2809" s="2" t="s">
        <v>297</v>
      </c>
      <c r="U2809" s="2" t="s">
        <v>2257</v>
      </c>
      <c r="V2809" s="2" t="s">
        <v>16671</v>
      </c>
      <c r="W2809" s="1"/>
      <c r="X2809" s="2" t="s">
        <v>16672</v>
      </c>
      <c r="Y2809" s="2" t="s">
        <v>16303</v>
      </c>
      <c r="AA2809" t="str">
        <f t="shared" si="258"/>
        <v>2025-07</v>
      </c>
      <c r="AB2809" t="str">
        <f t="shared" si="259"/>
        <v/>
      </c>
      <c r="AC2809">
        <f t="shared" si="260"/>
        <v>391215.9</v>
      </c>
      <c r="AD2809">
        <f t="shared" si="261"/>
        <v>30</v>
      </c>
      <c r="AE2809">
        <f t="shared" si="262"/>
        <v>151215.9</v>
      </c>
      <c r="AF2809" t="str">
        <f t="shared" si="263"/>
        <v>Paid</v>
      </c>
    </row>
    <row r="2810" spans="1:32" ht="17.25" thickBot="1" x14ac:dyDescent="0.35">
      <c r="A2810" s="2" t="s">
        <v>16673</v>
      </c>
      <c r="B2810" s="2" t="s">
        <v>27</v>
      </c>
      <c r="C2810" s="2" t="s">
        <v>28</v>
      </c>
      <c r="D2810" s="2" t="s">
        <v>97</v>
      </c>
      <c r="E2810" s="2" t="s">
        <v>15863</v>
      </c>
      <c r="F2810" s="2" t="s">
        <v>31</v>
      </c>
      <c r="G2810" s="2" t="s">
        <v>32</v>
      </c>
      <c r="H2810" s="1"/>
      <c r="I2810" s="2" t="s">
        <v>33</v>
      </c>
      <c r="J2810" s="2" t="s">
        <v>34</v>
      </c>
      <c r="K2810" s="2" t="s">
        <v>11469</v>
      </c>
      <c r="L2810" s="2" t="s">
        <v>11470</v>
      </c>
      <c r="M2810" s="2" t="s">
        <v>634</v>
      </c>
      <c r="N2810" s="2" t="s">
        <v>38</v>
      </c>
      <c r="O2810" s="2" t="s">
        <v>141</v>
      </c>
      <c r="P2810" s="2" t="s">
        <v>5266</v>
      </c>
      <c r="Q2810" s="2" t="s">
        <v>16669</v>
      </c>
      <c r="R2810" s="2" t="s">
        <v>40</v>
      </c>
      <c r="S2810" s="2" t="s">
        <v>16670</v>
      </c>
      <c r="T2810" s="2" t="s">
        <v>297</v>
      </c>
      <c r="U2810" s="2" t="s">
        <v>2257</v>
      </c>
      <c r="V2810" s="2" t="s">
        <v>16671</v>
      </c>
      <c r="W2810" s="1"/>
      <c r="X2810" s="2" t="s">
        <v>16672</v>
      </c>
      <c r="Y2810" s="2" t="s">
        <v>16303</v>
      </c>
      <c r="AA2810" t="str">
        <f t="shared" si="258"/>
        <v>2025-07</v>
      </c>
      <c r="AB2810" t="str">
        <f t="shared" si="259"/>
        <v/>
      </c>
      <c r="AC2810">
        <f t="shared" si="260"/>
        <v>391215.9</v>
      </c>
      <c r="AD2810">
        <f t="shared" si="261"/>
        <v>30</v>
      </c>
      <c r="AE2810">
        <f t="shared" si="262"/>
        <v>151215.9</v>
      </c>
      <c r="AF2810" t="str">
        <f t="shared" si="263"/>
        <v>Paid</v>
      </c>
    </row>
    <row r="2811" spans="1:32" ht="17.25" thickBot="1" x14ac:dyDescent="0.35">
      <c r="A2811" s="2" t="s">
        <v>16674</v>
      </c>
      <c r="B2811" s="2" t="s">
        <v>27</v>
      </c>
      <c r="C2811" s="2" t="s">
        <v>28</v>
      </c>
      <c r="D2811" s="2" t="s">
        <v>97</v>
      </c>
      <c r="E2811" s="2" t="s">
        <v>15863</v>
      </c>
      <c r="F2811" s="2" t="s">
        <v>31</v>
      </c>
      <c r="G2811" s="2" t="s">
        <v>32</v>
      </c>
      <c r="H2811" s="1"/>
      <c r="I2811" s="2" t="s">
        <v>33</v>
      </c>
      <c r="J2811" s="2" t="s">
        <v>34</v>
      </c>
      <c r="K2811" s="2" t="s">
        <v>7249</v>
      </c>
      <c r="L2811" s="2" t="s">
        <v>7250</v>
      </c>
      <c r="M2811" s="2" t="s">
        <v>6146</v>
      </c>
      <c r="N2811" s="2" t="s">
        <v>38</v>
      </c>
      <c r="O2811" s="2" t="s">
        <v>141</v>
      </c>
      <c r="P2811" s="2" t="s">
        <v>8536</v>
      </c>
      <c r="Q2811" s="2" t="s">
        <v>16675</v>
      </c>
      <c r="R2811" s="2" t="s">
        <v>40</v>
      </c>
      <c r="S2811" s="2" t="s">
        <v>16676</v>
      </c>
      <c r="T2811" s="2" t="s">
        <v>16677</v>
      </c>
      <c r="U2811" s="2" t="s">
        <v>16678</v>
      </c>
      <c r="V2811" s="2" t="s">
        <v>16679</v>
      </c>
      <c r="W2811" s="1"/>
      <c r="X2811" s="2" t="s">
        <v>6902</v>
      </c>
      <c r="Y2811" s="2" t="s">
        <v>16303</v>
      </c>
      <c r="AA2811" t="str">
        <f t="shared" si="258"/>
        <v>2025-07</v>
      </c>
      <c r="AB2811" t="str">
        <f t="shared" si="259"/>
        <v/>
      </c>
      <c r="AC2811">
        <f t="shared" si="260"/>
        <v>230055.9</v>
      </c>
      <c r="AD2811">
        <f t="shared" si="261"/>
        <v>30</v>
      </c>
      <c r="AE2811">
        <f t="shared" si="262"/>
        <v>54945.9</v>
      </c>
      <c r="AF2811" t="str">
        <f t="shared" si="263"/>
        <v>Paid</v>
      </c>
    </row>
    <row r="2812" spans="1:32" ht="27.75" thickBot="1" x14ac:dyDescent="0.35">
      <c r="A2812" s="2" t="s">
        <v>16680</v>
      </c>
      <c r="B2812" s="2" t="s">
        <v>27</v>
      </c>
      <c r="C2812" s="2" t="s">
        <v>28</v>
      </c>
      <c r="D2812" s="2" t="s">
        <v>97</v>
      </c>
      <c r="E2812" s="2" t="s">
        <v>15863</v>
      </c>
      <c r="F2812" s="2" t="s">
        <v>31</v>
      </c>
      <c r="G2812" s="2" t="s">
        <v>32</v>
      </c>
      <c r="H2812" s="1"/>
      <c r="I2812" s="2" t="s">
        <v>33</v>
      </c>
      <c r="J2812" s="2" t="s">
        <v>34</v>
      </c>
      <c r="K2812" s="2" t="s">
        <v>16681</v>
      </c>
      <c r="L2812" s="2" t="s">
        <v>16682</v>
      </c>
      <c r="M2812" s="2" t="s">
        <v>6146</v>
      </c>
      <c r="N2812" s="2" t="s">
        <v>38</v>
      </c>
      <c r="O2812" s="2" t="s">
        <v>141</v>
      </c>
      <c r="P2812" s="2" t="s">
        <v>646</v>
      </c>
      <c r="Q2812" s="2" t="s">
        <v>16683</v>
      </c>
      <c r="R2812" s="2" t="s">
        <v>40</v>
      </c>
      <c r="S2812" s="2" t="s">
        <v>16684</v>
      </c>
      <c r="T2812" s="2" t="s">
        <v>16685</v>
      </c>
      <c r="U2812" s="2" t="s">
        <v>16686</v>
      </c>
      <c r="V2812" s="2" t="s">
        <v>16687</v>
      </c>
      <c r="W2812" s="1"/>
      <c r="X2812" s="2" t="s">
        <v>934</v>
      </c>
      <c r="Y2812" s="2" t="s">
        <v>16303</v>
      </c>
      <c r="AA2812" t="str">
        <f t="shared" si="258"/>
        <v>2025-07</v>
      </c>
      <c r="AB2812" t="str">
        <f t="shared" si="259"/>
        <v/>
      </c>
      <c r="AC2812">
        <f t="shared" si="260"/>
        <v>259870.5</v>
      </c>
      <c r="AD2812">
        <f t="shared" si="261"/>
        <v>30</v>
      </c>
      <c r="AE2812">
        <f t="shared" si="262"/>
        <v>63760.5</v>
      </c>
      <c r="AF2812" t="str">
        <f t="shared" si="263"/>
        <v>Paid</v>
      </c>
    </row>
    <row r="2813" spans="1:32" ht="17.25" thickBot="1" x14ac:dyDescent="0.35">
      <c r="A2813" s="2" t="s">
        <v>16688</v>
      </c>
      <c r="B2813" s="2" t="s">
        <v>27</v>
      </c>
      <c r="C2813" s="2" t="s">
        <v>28</v>
      </c>
      <c r="D2813" s="2" t="s">
        <v>97</v>
      </c>
      <c r="E2813" s="2" t="s">
        <v>15863</v>
      </c>
      <c r="F2813" s="2" t="s">
        <v>31</v>
      </c>
      <c r="G2813" s="2" t="s">
        <v>32</v>
      </c>
      <c r="H2813" s="1"/>
      <c r="I2813" s="2" t="s">
        <v>33</v>
      </c>
      <c r="J2813" s="2" t="s">
        <v>34</v>
      </c>
      <c r="K2813" s="2" t="s">
        <v>6153</v>
      </c>
      <c r="L2813" s="2" t="s">
        <v>6154</v>
      </c>
      <c r="M2813" s="2" t="s">
        <v>6146</v>
      </c>
      <c r="N2813" s="2" t="s">
        <v>38</v>
      </c>
      <c r="O2813" s="2" t="s">
        <v>141</v>
      </c>
      <c r="P2813" s="2" t="s">
        <v>1768</v>
      </c>
      <c r="Q2813" s="2" t="s">
        <v>16689</v>
      </c>
      <c r="R2813" s="2" t="s">
        <v>40</v>
      </c>
      <c r="S2813" s="2" t="s">
        <v>16690</v>
      </c>
      <c r="T2813" s="2" t="s">
        <v>16691</v>
      </c>
      <c r="U2813" s="2" t="s">
        <v>16692</v>
      </c>
      <c r="V2813" s="2" t="s">
        <v>16693</v>
      </c>
      <c r="W2813" s="1"/>
      <c r="X2813" s="2" t="s">
        <v>4626</v>
      </c>
      <c r="Y2813" s="2" t="s">
        <v>16303</v>
      </c>
      <c r="AA2813" t="str">
        <f t="shared" si="258"/>
        <v>2025-07</v>
      </c>
      <c r="AB2813" t="str">
        <f t="shared" si="259"/>
        <v/>
      </c>
      <c r="AC2813">
        <f t="shared" si="260"/>
        <v>172844.1</v>
      </c>
      <c r="AD2813">
        <f t="shared" si="261"/>
        <v>30</v>
      </c>
      <c r="AE2813">
        <f t="shared" si="262"/>
        <v>30194.1</v>
      </c>
      <c r="AF2813" t="str">
        <f t="shared" si="263"/>
        <v>Paid</v>
      </c>
    </row>
    <row r="2814" spans="1:32" ht="27.75" thickBot="1" x14ac:dyDescent="0.35">
      <c r="A2814" s="2" t="s">
        <v>16694</v>
      </c>
      <c r="B2814" s="2" t="s">
        <v>27</v>
      </c>
      <c r="C2814" s="2" t="s">
        <v>28</v>
      </c>
      <c r="D2814" s="2" t="s">
        <v>97</v>
      </c>
      <c r="E2814" s="2" t="s">
        <v>15863</v>
      </c>
      <c r="F2814" s="2" t="s">
        <v>31</v>
      </c>
      <c r="G2814" s="2" t="s">
        <v>32</v>
      </c>
      <c r="H2814" s="1"/>
      <c r="I2814" s="2" t="s">
        <v>33</v>
      </c>
      <c r="J2814" s="2" t="s">
        <v>34</v>
      </c>
      <c r="K2814" s="2" t="s">
        <v>10108</v>
      </c>
      <c r="L2814" s="2" t="s">
        <v>10109</v>
      </c>
      <c r="M2814" s="2" t="s">
        <v>6146</v>
      </c>
      <c r="N2814" s="2" t="s">
        <v>38</v>
      </c>
      <c r="O2814" s="2" t="s">
        <v>141</v>
      </c>
      <c r="P2814" s="2" t="s">
        <v>2066</v>
      </c>
      <c r="Q2814" s="2" t="s">
        <v>16376</v>
      </c>
      <c r="R2814" s="2" t="s">
        <v>40</v>
      </c>
      <c r="S2814" s="2" t="s">
        <v>16377</v>
      </c>
      <c r="T2814" s="2" t="s">
        <v>1178</v>
      </c>
      <c r="U2814" s="2" t="s">
        <v>16695</v>
      </c>
      <c r="V2814" s="2" t="s">
        <v>16696</v>
      </c>
      <c r="W2814" s="1"/>
      <c r="X2814" s="2" t="s">
        <v>986</v>
      </c>
      <c r="Y2814" s="2" t="s">
        <v>16303</v>
      </c>
      <c r="AA2814" t="str">
        <f t="shared" si="258"/>
        <v>2025-07</v>
      </c>
      <c r="AB2814" t="str">
        <f t="shared" si="259"/>
        <v/>
      </c>
      <c r="AC2814">
        <f t="shared" si="260"/>
        <v>300966.3</v>
      </c>
      <c r="AD2814">
        <f t="shared" si="261"/>
        <v>30</v>
      </c>
      <c r="AE2814">
        <f t="shared" si="262"/>
        <v>69966.3</v>
      </c>
      <c r="AF2814" t="str">
        <f t="shared" si="263"/>
        <v>Paid</v>
      </c>
    </row>
    <row r="2815" spans="1:32" ht="17.25" thickBot="1" x14ac:dyDescent="0.35">
      <c r="A2815" s="2" t="s">
        <v>16697</v>
      </c>
      <c r="B2815" s="2" t="s">
        <v>27</v>
      </c>
      <c r="C2815" s="2" t="s">
        <v>28</v>
      </c>
      <c r="D2815" s="2" t="s">
        <v>97</v>
      </c>
      <c r="E2815" s="2" t="s">
        <v>15863</v>
      </c>
      <c r="F2815" s="2" t="s">
        <v>31</v>
      </c>
      <c r="G2815" s="2" t="s">
        <v>32</v>
      </c>
      <c r="H2815" s="1"/>
      <c r="I2815" s="2" t="s">
        <v>33</v>
      </c>
      <c r="J2815" s="2" t="s">
        <v>34</v>
      </c>
      <c r="K2815" s="2" t="s">
        <v>6161</v>
      </c>
      <c r="L2815" s="2" t="s">
        <v>6162</v>
      </c>
      <c r="M2815" s="2" t="s">
        <v>6146</v>
      </c>
      <c r="N2815" s="2" t="s">
        <v>38</v>
      </c>
      <c r="O2815" s="2" t="s">
        <v>141</v>
      </c>
      <c r="P2815" s="2" t="s">
        <v>7895</v>
      </c>
      <c r="Q2815" s="2" t="s">
        <v>16698</v>
      </c>
      <c r="R2815" s="2" t="s">
        <v>40</v>
      </c>
      <c r="S2815" s="2" t="s">
        <v>16699</v>
      </c>
      <c r="T2815" s="2" t="s">
        <v>16700</v>
      </c>
      <c r="U2815" s="2" t="s">
        <v>16701</v>
      </c>
      <c r="V2815" s="2" t="s">
        <v>16702</v>
      </c>
      <c r="W2815" s="1"/>
      <c r="X2815" s="2" t="s">
        <v>4393</v>
      </c>
      <c r="Y2815" s="2" t="s">
        <v>16303</v>
      </c>
      <c r="AA2815" t="str">
        <f t="shared" si="258"/>
        <v>2025-07</v>
      </c>
      <c r="AB2815" t="str">
        <f t="shared" si="259"/>
        <v/>
      </c>
      <c r="AC2815">
        <f t="shared" si="260"/>
        <v>151490.4</v>
      </c>
      <c r="AD2815">
        <f t="shared" si="261"/>
        <v>30</v>
      </c>
      <c r="AE2815">
        <f t="shared" si="262"/>
        <v>35840.400000000001</v>
      </c>
      <c r="AF2815" t="str">
        <f t="shared" si="263"/>
        <v>Paid</v>
      </c>
    </row>
    <row r="2816" spans="1:32" ht="17.25" thickBot="1" x14ac:dyDescent="0.35">
      <c r="A2816" s="2" t="s">
        <v>16703</v>
      </c>
      <c r="B2816" s="2" t="s">
        <v>27</v>
      </c>
      <c r="C2816" s="2" t="s">
        <v>28</v>
      </c>
      <c r="D2816" s="2" t="s">
        <v>97</v>
      </c>
      <c r="E2816" s="2" t="s">
        <v>15863</v>
      </c>
      <c r="F2816" s="2" t="s">
        <v>31</v>
      </c>
      <c r="G2816" s="2" t="s">
        <v>32</v>
      </c>
      <c r="H2816" s="1"/>
      <c r="I2816" s="2" t="s">
        <v>33</v>
      </c>
      <c r="J2816" s="2" t="s">
        <v>34</v>
      </c>
      <c r="K2816" s="2" t="s">
        <v>6177</v>
      </c>
      <c r="L2816" s="2" t="s">
        <v>6178</v>
      </c>
      <c r="M2816" s="2" t="s">
        <v>6146</v>
      </c>
      <c r="N2816" s="2" t="s">
        <v>38</v>
      </c>
      <c r="O2816" s="2" t="s">
        <v>141</v>
      </c>
      <c r="P2816" s="2" t="s">
        <v>6229</v>
      </c>
      <c r="Q2816" s="2" t="s">
        <v>14952</v>
      </c>
      <c r="R2816" s="2" t="s">
        <v>40</v>
      </c>
      <c r="S2816" s="2" t="s">
        <v>16354</v>
      </c>
      <c r="T2816" s="2" t="s">
        <v>16704</v>
      </c>
      <c r="U2816" s="2" t="s">
        <v>16705</v>
      </c>
      <c r="V2816" s="2" t="s">
        <v>16706</v>
      </c>
      <c r="W2816" s="1"/>
      <c r="X2816" s="2" t="s">
        <v>886</v>
      </c>
      <c r="Y2816" s="2" t="s">
        <v>16303</v>
      </c>
      <c r="AA2816" t="str">
        <f t="shared" si="258"/>
        <v>2025-07</v>
      </c>
      <c r="AB2816" t="str">
        <f t="shared" si="259"/>
        <v/>
      </c>
      <c r="AC2816">
        <f t="shared" si="260"/>
        <v>288879.3</v>
      </c>
      <c r="AD2816">
        <f t="shared" si="261"/>
        <v>30</v>
      </c>
      <c r="AE2816">
        <f t="shared" si="262"/>
        <v>77499.3</v>
      </c>
      <c r="AF2816" t="str">
        <f t="shared" si="263"/>
        <v>Paid</v>
      </c>
    </row>
    <row r="2817" spans="1:32" ht="17.25" thickBot="1" x14ac:dyDescent="0.35">
      <c r="A2817" s="2" t="s">
        <v>16707</v>
      </c>
      <c r="B2817" s="2" t="s">
        <v>27</v>
      </c>
      <c r="C2817" s="2" t="s">
        <v>28</v>
      </c>
      <c r="D2817" s="2" t="s">
        <v>97</v>
      </c>
      <c r="E2817" s="2" t="s">
        <v>15863</v>
      </c>
      <c r="F2817" s="2" t="s">
        <v>31</v>
      </c>
      <c r="G2817" s="2" t="s">
        <v>32</v>
      </c>
      <c r="H2817" s="1"/>
      <c r="I2817" s="2" t="s">
        <v>33</v>
      </c>
      <c r="J2817" s="2" t="s">
        <v>34</v>
      </c>
      <c r="K2817" s="2" t="s">
        <v>6185</v>
      </c>
      <c r="L2817" s="2" t="s">
        <v>6186</v>
      </c>
      <c r="M2817" s="2" t="s">
        <v>6146</v>
      </c>
      <c r="N2817" s="2" t="s">
        <v>38</v>
      </c>
      <c r="O2817" s="2" t="s">
        <v>141</v>
      </c>
      <c r="P2817" s="2" t="s">
        <v>12599</v>
      </c>
      <c r="Q2817" s="2" t="s">
        <v>16708</v>
      </c>
      <c r="R2817" s="2" t="s">
        <v>40</v>
      </c>
      <c r="S2817" s="2" t="s">
        <v>16709</v>
      </c>
      <c r="T2817" s="2" t="s">
        <v>16710</v>
      </c>
      <c r="U2817" s="2" t="s">
        <v>16711</v>
      </c>
      <c r="V2817" s="2" t="s">
        <v>16712</v>
      </c>
      <c r="W2817" s="1"/>
      <c r="X2817" s="2" t="s">
        <v>3305</v>
      </c>
      <c r="Y2817" s="2" t="s">
        <v>16303</v>
      </c>
      <c r="AA2817" t="str">
        <f t="shared" si="258"/>
        <v>2025-07</v>
      </c>
      <c r="AB2817" t="str">
        <f t="shared" si="259"/>
        <v/>
      </c>
      <c r="AC2817">
        <f t="shared" si="260"/>
        <v>221997.9</v>
      </c>
      <c r="AD2817">
        <f t="shared" si="261"/>
        <v>30</v>
      </c>
      <c r="AE2817">
        <f t="shared" si="262"/>
        <v>50157.9</v>
      </c>
      <c r="AF2817" t="str">
        <f t="shared" si="263"/>
        <v>Paid</v>
      </c>
    </row>
    <row r="2818" spans="1:32" ht="17.25" thickBot="1" x14ac:dyDescent="0.35">
      <c r="A2818" s="2" t="s">
        <v>16713</v>
      </c>
      <c r="B2818" s="2" t="s">
        <v>27</v>
      </c>
      <c r="C2818" s="2" t="s">
        <v>28</v>
      </c>
      <c r="D2818" s="2" t="s">
        <v>97</v>
      </c>
      <c r="E2818" s="2" t="s">
        <v>15863</v>
      </c>
      <c r="F2818" s="2" t="s">
        <v>31</v>
      </c>
      <c r="G2818" s="2" t="s">
        <v>32</v>
      </c>
      <c r="H2818" s="1"/>
      <c r="I2818" s="2" t="s">
        <v>33</v>
      </c>
      <c r="J2818" s="2" t="s">
        <v>34</v>
      </c>
      <c r="K2818" s="2" t="s">
        <v>10893</v>
      </c>
      <c r="L2818" s="2" t="s">
        <v>10894</v>
      </c>
      <c r="M2818" s="2" t="s">
        <v>6146</v>
      </c>
      <c r="N2818" s="2" t="s">
        <v>38</v>
      </c>
      <c r="O2818" s="2" t="s">
        <v>141</v>
      </c>
      <c r="P2818" s="2" t="s">
        <v>16714</v>
      </c>
      <c r="Q2818" s="2" t="s">
        <v>8028</v>
      </c>
      <c r="R2818" s="2" t="s">
        <v>40</v>
      </c>
      <c r="S2818" s="2" t="s">
        <v>16715</v>
      </c>
      <c r="T2818" s="2" t="s">
        <v>297</v>
      </c>
      <c r="U2818" s="2" t="s">
        <v>2257</v>
      </c>
      <c r="V2818" s="2" t="s">
        <v>16716</v>
      </c>
      <c r="W2818" s="1"/>
      <c r="X2818" s="2" t="s">
        <v>4604</v>
      </c>
      <c r="Y2818" s="2" t="s">
        <v>16303</v>
      </c>
      <c r="AA2818" t="str">
        <f t="shared" si="258"/>
        <v>2025-07</v>
      </c>
      <c r="AB2818" t="str">
        <f t="shared" si="259"/>
        <v/>
      </c>
      <c r="AC2818">
        <f t="shared" si="260"/>
        <v>431505.9</v>
      </c>
      <c r="AD2818">
        <f t="shared" si="261"/>
        <v>30</v>
      </c>
      <c r="AE2818">
        <f t="shared" si="262"/>
        <v>191505.9</v>
      </c>
      <c r="AF2818" t="str">
        <f t="shared" si="263"/>
        <v>Paid</v>
      </c>
    </row>
    <row r="2819" spans="1:32" ht="17.25" thickBot="1" x14ac:dyDescent="0.35">
      <c r="A2819" s="2" t="s">
        <v>16717</v>
      </c>
      <c r="B2819" s="2" t="s">
        <v>27</v>
      </c>
      <c r="C2819" s="2" t="s">
        <v>28</v>
      </c>
      <c r="D2819" s="2" t="s">
        <v>97</v>
      </c>
      <c r="E2819" s="2" t="s">
        <v>15863</v>
      </c>
      <c r="F2819" s="2" t="s">
        <v>31</v>
      </c>
      <c r="G2819" s="2" t="s">
        <v>32</v>
      </c>
      <c r="H2819" s="1"/>
      <c r="I2819" s="2" t="s">
        <v>33</v>
      </c>
      <c r="J2819" s="2" t="s">
        <v>34</v>
      </c>
      <c r="K2819" s="2" t="s">
        <v>10320</v>
      </c>
      <c r="L2819" s="2" t="s">
        <v>10321</v>
      </c>
      <c r="M2819" s="2" t="s">
        <v>6146</v>
      </c>
      <c r="N2819" s="2" t="s">
        <v>38</v>
      </c>
      <c r="O2819" s="2" t="s">
        <v>141</v>
      </c>
      <c r="P2819" s="2" t="s">
        <v>2220</v>
      </c>
      <c r="Q2819" s="2" t="s">
        <v>2255</v>
      </c>
      <c r="R2819" s="2" t="s">
        <v>40</v>
      </c>
      <c r="S2819" s="2" t="s">
        <v>16718</v>
      </c>
      <c r="T2819" s="2" t="s">
        <v>10324</v>
      </c>
      <c r="U2819" s="2" t="s">
        <v>16719</v>
      </c>
      <c r="V2819" s="2" t="s">
        <v>16720</v>
      </c>
      <c r="W2819" s="1"/>
      <c r="X2819" s="2" t="s">
        <v>2216</v>
      </c>
      <c r="Y2819" s="2" t="s">
        <v>16303</v>
      </c>
      <c r="AA2819" t="str">
        <f t="shared" si="258"/>
        <v>2025-07</v>
      </c>
      <c r="AB2819" t="str">
        <f t="shared" si="259"/>
        <v/>
      </c>
      <c r="AC2819">
        <f t="shared" si="260"/>
        <v>271151.7</v>
      </c>
      <c r="AD2819">
        <f t="shared" si="261"/>
        <v>30</v>
      </c>
      <c r="AE2819">
        <f t="shared" si="262"/>
        <v>76751.7</v>
      </c>
      <c r="AF2819" t="str">
        <f t="shared" si="263"/>
        <v>Paid</v>
      </c>
    </row>
    <row r="2820" spans="1:32" ht="17.25" thickBot="1" x14ac:dyDescent="0.35">
      <c r="A2820" s="2" t="s">
        <v>16721</v>
      </c>
      <c r="B2820" s="2" t="s">
        <v>27</v>
      </c>
      <c r="C2820" s="2" t="s">
        <v>28</v>
      </c>
      <c r="D2820" s="2" t="s">
        <v>97</v>
      </c>
      <c r="E2820" s="2" t="s">
        <v>15863</v>
      </c>
      <c r="F2820" s="2" t="s">
        <v>31</v>
      </c>
      <c r="G2820" s="2" t="s">
        <v>32</v>
      </c>
      <c r="H2820" s="1"/>
      <c r="I2820" s="2" t="s">
        <v>33</v>
      </c>
      <c r="J2820" s="2" t="s">
        <v>34</v>
      </c>
      <c r="K2820" s="2" t="s">
        <v>6227</v>
      </c>
      <c r="L2820" s="2" t="s">
        <v>6228</v>
      </c>
      <c r="M2820" s="2" t="s">
        <v>6146</v>
      </c>
      <c r="N2820" s="2" t="s">
        <v>38</v>
      </c>
      <c r="O2820" s="2" t="s">
        <v>141</v>
      </c>
      <c r="P2820" s="2" t="s">
        <v>4075</v>
      </c>
      <c r="Q2820" s="2" t="s">
        <v>15668</v>
      </c>
      <c r="R2820" s="2" t="s">
        <v>40</v>
      </c>
      <c r="S2820" s="2" t="s">
        <v>16722</v>
      </c>
      <c r="T2820" s="2" t="s">
        <v>1178</v>
      </c>
      <c r="U2820" s="2" t="s">
        <v>16695</v>
      </c>
      <c r="V2820" s="2" t="s">
        <v>16723</v>
      </c>
      <c r="W2820" s="1"/>
      <c r="X2820" s="2" t="s">
        <v>9891</v>
      </c>
      <c r="Y2820" s="2" t="s">
        <v>16303</v>
      </c>
      <c r="AA2820" t="str">
        <f t="shared" ref="AA2820:AA2883" si="264">LEFT(E2820,7)</f>
        <v>2025-07</v>
      </c>
      <c r="AB2820" t="str">
        <f t="shared" ref="AB2820:AB2883" si="265">IF(AND($AA2820&gt;="2025-01",$AA2820&lt;="2025-06"),"H1_2025",IF(AND($AA2820&gt;="2026-01",$AA2820&lt;="2026-06"),"H1_2026",""))</f>
        <v/>
      </c>
      <c r="AC2820">
        <f t="shared" ref="AC2820:AC2883" si="266">IFERROR(VALUE(SUBSTITUTE(S2820,",","")),0)</f>
        <v>317485.2</v>
      </c>
      <c r="AD2820">
        <f t="shared" ref="AD2820:AD2883" si="267">IFERROR(VALUE(SUBSTITUTE(O2820,",","")),0)</f>
        <v>30</v>
      </c>
      <c r="AE2820">
        <f t="shared" ref="AE2820:AE2883" si="268">IFERROR(VALUE(SUBSTITUTE(V2820,",","")),0)</f>
        <v>86485.2</v>
      </c>
      <c r="AF2820" t="str">
        <f t="shared" ref="AF2820:AF2883" si="269">IF(ISNUMBER(SEARCH("FOC",W2820)),"FOC",IF(ISNUMBER(SEARCH("샘플",W2820)),"Sample","Paid"))</f>
        <v>Paid</v>
      </c>
    </row>
    <row r="2821" spans="1:32" ht="17.25" thickBot="1" x14ac:dyDescent="0.35">
      <c r="A2821" s="2" t="s">
        <v>16724</v>
      </c>
      <c r="B2821" s="2" t="s">
        <v>27</v>
      </c>
      <c r="C2821" s="2" t="s">
        <v>28</v>
      </c>
      <c r="D2821" s="2" t="s">
        <v>97</v>
      </c>
      <c r="E2821" s="2" t="s">
        <v>15863</v>
      </c>
      <c r="F2821" s="2" t="s">
        <v>31</v>
      </c>
      <c r="G2821" s="2" t="s">
        <v>32</v>
      </c>
      <c r="H2821" s="1"/>
      <c r="I2821" s="2" t="s">
        <v>33</v>
      </c>
      <c r="J2821" s="2" t="s">
        <v>34</v>
      </c>
      <c r="K2821" s="2" t="s">
        <v>6235</v>
      </c>
      <c r="L2821" s="2" t="s">
        <v>6236</v>
      </c>
      <c r="M2821" s="2" t="s">
        <v>6146</v>
      </c>
      <c r="N2821" s="2" t="s">
        <v>38</v>
      </c>
      <c r="O2821" s="2" t="s">
        <v>141</v>
      </c>
      <c r="P2821" s="2" t="s">
        <v>16490</v>
      </c>
      <c r="Q2821" s="2" t="s">
        <v>16524</v>
      </c>
      <c r="R2821" s="2" t="s">
        <v>40</v>
      </c>
      <c r="S2821" s="2" t="s">
        <v>16525</v>
      </c>
      <c r="T2821" s="2" t="s">
        <v>16725</v>
      </c>
      <c r="U2821" s="2" t="s">
        <v>16726</v>
      </c>
      <c r="V2821" s="2" t="s">
        <v>16727</v>
      </c>
      <c r="W2821" s="1"/>
      <c r="X2821" s="2" t="s">
        <v>6978</v>
      </c>
      <c r="Y2821" s="2" t="s">
        <v>16303</v>
      </c>
      <c r="AA2821" t="str">
        <f t="shared" si="264"/>
        <v>2025-07</v>
      </c>
      <c r="AB2821" t="str">
        <f t="shared" si="265"/>
        <v/>
      </c>
      <c r="AC2821">
        <f t="shared" si="266"/>
        <v>246574.8</v>
      </c>
      <c r="AD2821">
        <f t="shared" si="267"/>
        <v>30</v>
      </c>
      <c r="AE2821">
        <f t="shared" si="268"/>
        <v>65194.8</v>
      </c>
      <c r="AF2821" t="str">
        <f t="shared" si="269"/>
        <v>Paid</v>
      </c>
    </row>
    <row r="2822" spans="1:32" ht="17.25" thickBot="1" x14ac:dyDescent="0.35">
      <c r="A2822" s="2" t="s">
        <v>16728</v>
      </c>
      <c r="B2822" s="2" t="s">
        <v>27</v>
      </c>
      <c r="C2822" s="2" t="s">
        <v>28</v>
      </c>
      <c r="D2822" s="2" t="s">
        <v>97</v>
      </c>
      <c r="E2822" s="2" t="s">
        <v>15863</v>
      </c>
      <c r="F2822" s="2" t="s">
        <v>31</v>
      </c>
      <c r="G2822" s="2" t="s">
        <v>32</v>
      </c>
      <c r="H2822" s="1"/>
      <c r="I2822" s="2" t="s">
        <v>33</v>
      </c>
      <c r="J2822" s="2" t="s">
        <v>34</v>
      </c>
      <c r="K2822" s="2" t="s">
        <v>6243</v>
      </c>
      <c r="L2822" s="2" t="s">
        <v>6244</v>
      </c>
      <c r="M2822" s="2" t="s">
        <v>6146</v>
      </c>
      <c r="N2822" s="2" t="s">
        <v>38</v>
      </c>
      <c r="O2822" s="2" t="s">
        <v>141</v>
      </c>
      <c r="P2822" s="2" t="s">
        <v>7065</v>
      </c>
      <c r="Q2822" s="2" t="s">
        <v>8942</v>
      </c>
      <c r="R2822" s="2" t="s">
        <v>40</v>
      </c>
      <c r="S2822" s="2" t="s">
        <v>16729</v>
      </c>
      <c r="T2822" s="2" t="s">
        <v>16730</v>
      </c>
      <c r="U2822" s="2" t="s">
        <v>16731</v>
      </c>
      <c r="V2822" s="2" t="s">
        <v>16732</v>
      </c>
      <c r="W2822" s="1"/>
      <c r="X2822" s="2" t="s">
        <v>233</v>
      </c>
      <c r="Y2822" s="2" t="s">
        <v>16303</v>
      </c>
      <c r="AA2822" t="str">
        <f t="shared" si="264"/>
        <v>2025-07</v>
      </c>
      <c r="AB2822" t="str">
        <f t="shared" si="265"/>
        <v/>
      </c>
      <c r="AC2822">
        <f t="shared" si="266"/>
        <v>394842</v>
      </c>
      <c r="AD2822">
        <f t="shared" si="267"/>
        <v>30</v>
      </c>
      <c r="AE2822">
        <f t="shared" si="268"/>
        <v>170652</v>
      </c>
      <c r="AF2822" t="str">
        <f t="shared" si="269"/>
        <v>Paid</v>
      </c>
    </row>
    <row r="2823" spans="1:32" ht="17.25" thickBot="1" x14ac:dyDescent="0.35">
      <c r="A2823" s="2" t="s">
        <v>16733</v>
      </c>
      <c r="B2823" s="2" t="s">
        <v>27</v>
      </c>
      <c r="C2823" s="2" t="s">
        <v>28</v>
      </c>
      <c r="D2823" s="2" t="s">
        <v>97</v>
      </c>
      <c r="E2823" s="2" t="s">
        <v>15863</v>
      </c>
      <c r="F2823" s="2" t="s">
        <v>31</v>
      </c>
      <c r="G2823" s="2" t="s">
        <v>32</v>
      </c>
      <c r="H2823" s="1"/>
      <c r="I2823" s="2" t="s">
        <v>33</v>
      </c>
      <c r="J2823" s="2" t="s">
        <v>34</v>
      </c>
      <c r="K2823" s="2" t="s">
        <v>6251</v>
      </c>
      <c r="L2823" s="2" t="s">
        <v>6252</v>
      </c>
      <c r="M2823" s="2" t="s">
        <v>6146</v>
      </c>
      <c r="N2823" s="2" t="s">
        <v>38</v>
      </c>
      <c r="O2823" s="2" t="s">
        <v>141</v>
      </c>
      <c r="P2823" s="2" t="s">
        <v>13228</v>
      </c>
      <c r="Q2823" s="2" t="s">
        <v>16734</v>
      </c>
      <c r="R2823" s="2" t="s">
        <v>40</v>
      </c>
      <c r="S2823" s="2" t="s">
        <v>16735</v>
      </c>
      <c r="T2823" s="2" t="s">
        <v>40</v>
      </c>
      <c r="U2823" s="2" t="s">
        <v>40</v>
      </c>
      <c r="V2823" s="2" t="s">
        <v>16735</v>
      </c>
      <c r="W2823" s="1"/>
      <c r="X2823" s="2" t="s">
        <v>2155</v>
      </c>
      <c r="Y2823" s="2" t="s">
        <v>16303</v>
      </c>
      <c r="AA2823" t="str">
        <f t="shared" si="264"/>
        <v>2025-07</v>
      </c>
      <c r="AB2823" t="str">
        <f t="shared" si="265"/>
        <v/>
      </c>
      <c r="AC2823">
        <f t="shared" si="266"/>
        <v>308218.5</v>
      </c>
      <c r="AD2823">
        <f t="shared" si="267"/>
        <v>30</v>
      </c>
      <c r="AE2823">
        <f t="shared" si="268"/>
        <v>308218.5</v>
      </c>
      <c r="AF2823" t="str">
        <f t="shared" si="269"/>
        <v>Paid</v>
      </c>
    </row>
    <row r="2824" spans="1:32" ht="17.25" thickBot="1" x14ac:dyDescent="0.35">
      <c r="A2824" s="2" t="s">
        <v>16736</v>
      </c>
      <c r="B2824" s="2" t="s">
        <v>27</v>
      </c>
      <c r="C2824" s="2" t="s">
        <v>28</v>
      </c>
      <c r="D2824" s="2" t="s">
        <v>97</v>
      </c>
      <c r="E2824" s="2" t="s">
        <v>15863</v>
      </c>
      <c r="F2824" s="2" t="s">
        <v>31</v>
      </c>
      <c r="G2824" s="2" t="s">
        <v>32</v>
      </c>
      <c r="H2824" s="1"/>
      <c r="I2824" s="2" t="s">
        <v>33</v>
      </c>
      <c r="J2824" s="2" t="s">
        <v>34</v>
      </c>
      <c r="K2824" s="2" t="s">
        <v>6262</v>
      </c>
      <c r="L2824" s="2" t="s">
        <v>6263</v>
      </c>
      <c r="M2824" s="2" t="s">
        <v>6146</v>
      </c>
      <c r="N2824" s="2" t="s">
        <v>38</v>
      </c>
      <c r="O2824" s="2" t="s">
        <v>141</v>
      </c>
      <c r="P2824" s="2" t="s">
        <v>1175</v>
      </c>
      <c r="Q2824" s="2" t="s">
        <v>13432</v>
      </c>
      <c r="R2824" s="2" t="s">
        <v>40</v>
      </c>
      <c r="S2824" s="2" t="s">
        <v>16737</v>
      </c>
      <c r="T2824" s="2" t="s">
        <v>15593</v>
      </c>
      <c r="U2824" s="2" t="s">
        <v>15594</v>
      </c>
      <c r="V2824" s="2" t="s">
        <v>16738</v>
      </c>
      <c r="W2824" s="1"/>
      <c r="X2824" s="2" t="s">
        <v>3610</v>
      </c>
      <c r="Y2824" s="2" t="s">
        <v>16303</v>
      </c>
      <c r="AA2824" t="str">
        <f t="shared" si="264"/>
        <v>2025-07</v>
      </c>
      <c r="AB2824" t="str">
        <f t="shared" si="265"/>
        <v/>
      </c>
      <c r="AC2824">
        <f t="shared" si="266"/>
        <v>252618.3</v>
      </c>
      <c r="AD2824">
        <f t="shared" si="267"/>
        <v>30</v>
      </c>
      <c r="AE2824">
        <f t="shared" si="268"/>
        <v>58968.3</v>
      </c>
      <c r="AF2824" t="str">
        <f t="shared" si="269"/>
        <v>Paid</v>
      </c>
    </row>
    <row r="2825" spans="1:32" ht="17.25" thickBot="1" x14ac:dyDescent="0.35">
      <c r="A2825" s="2" t="s">
        <v>16739</v>
      </c>
      <c r="B2825" s="2" t="s">
        <v>27</v>
      </c>
      <c r="C2825" s="2" t="s">
        <v>28</v>
      </c>
      <c r="D2825" s="2" t="s">
        <v>97</v>
      </c>
      <c r="E2825" s="2" t="s">
        <v>15863</v>
      </c>
      <c r="F2825" s="2" t="s">
        <v>31</v>
      </c>
      <c r="G2825" s="2" t="s">
        <v>32</v>
      </c>
      <c r="H2825" s="1"/>
      <c r="I2825" s="2" t="s">
        <v>33</v>
      </c>
      <c r="J2825" s="2" t="s">
        <v>34</v>
      </c>
      <c r="K2825" s="2" t="s">
        <v>6282</v>
      </c>
      <c r="L2825" s="2" t="s">
        <v>6283</v>
      </c>
      <c r="M2825" s="2" t="s">
        <v>6146</v>
      </c>
      <c r="N2825" s="2" t="s">
        <v>38</v>
      </c>
      <c r="O2825" s="2" t="s">
        <v>141</v>
      </c>
      <c r="P2825" s="2" t="s">
        <v>2220</v>
      </c>
      <c r="Q2825" s="2" t="s">
        <v>2255</v>
      </c>
      <c r="R2825" s="2" t="s">
        <v>40</v>
      </c>
      <c r="S2825" s="2" t="s">
        <v>16718</v>
      </c>
      <c r="T2825" s="2" t="s">
        <v>16740</v>
      </c>
      <c r="U2825" s="2" t="s">
        <v>16741</v>
      </c>
      <c r="V2825" s="2" t="s">
        <v>16742</v>
      </c>
      <c r="W2825" s="1"/>
      <c r="X2825" s="2" t="s">
        <v>1437</v>
      </c>
      <c r="Y2825" s="2" t="s">
        <v>16303</v>
      </c>
      <c r="AA2825" t="str">
        <f t="shared" si="264"/>
        <v>2025-07</v>
      </c>
      <c r="AB2825" t="str">
        <f t="shared" si="265"/>
        <v/>
      </c>
      <c r="AC2825">
        <f t="shared" si="266"/>
        <v>271151.7</v>
      </c>
      <c r="AD2825">
        <f t="shared" si="267"/>
        <v>30</v>
      </c>
      <c r="AE2825">
        <f t="shared" si="268"/>
        <v>66851.7</v>
      </c>
      <c r="AF2825" t="str">
        <f t="shared" si="269"/>
        <v>Paid</v>
      </c>
    </row>
    <row r="2826" spans="1:32" ht="17.25" thickBot="1" x14ac:dyDescent="0.35">
      <c r="A2826" s="2" t="s">
        <v>16743</v>
      </c>
      <c r="B2826" s="2" t="s">
        <v>27</v>
      </c>
      <c r="C2826" s="2" t="s">
        <v>28</v>
      </c>
      <c r="D2826" s="2" t="s">
        <v>97</v>
      </c>
      <c r="E2826" s="2" t="s">
        <v>15863</v>
      </c>
      <c r="F2826" s="2" t="s">
        <v>31</v>
      </c>
      <c r="G2826" s="2" t="s">
        <v>32</v>
      </c>
      <c r="H2826" s="1"/>
      <c r="I2826" s="2" t="s">
        <v>33</v>
      </c>
      <c r="J2826" s="2" t="s">
        <v>34</v>
      </c>
      <c r="K2826" s="2" t="s">
        <v>6290</v>
      </c>
      <c r="L2826" s="2" t="s">
        <v>6291</v>
      </c>
      <c r="M2826" s="2" t="s">
        <v>6146</v>
      </c>
      <c r="N2826" s="2" t="s">
        <v>38</v>
      </c>
      <c r="O2826" s="2" t="s">
        <v>141</v>
      </c>
      <c r="P2826" s="2" t="s">
        <v>4545</v>
      </c>
      <c r="Q2826" s="2" t="s">
        <v>4546</v>
      </c>
      <c r="R2826" s="2" t="s">
        <v>40</v>
      </c>
      <c r="S2826" s="2" t="s">
        <v>16744</v>
      </c>
      <c r="T2826" s="2" t="s">
        <v>16704</v>
      </c>
      <c r="U2826" s="2" t="s">
        <v>16705</v>
      </c>
      <c r="V2826" s="2" t="s">
        <v>16745</v>
      </c>
      <c r="W2826" s="1"/>
      <c r="X2826" s="2" t="s">
        <v>1504</v>
      </c>
      <c r="Y2826" s="2" t="s">
        <v>16303</v>
      </c>
      <c r="AA2826" t="str">
        <f t="shared" si="264"/>
        <v>2025-07</v>
      </c>
      <c r="AB2826" t="str">
        <f t="shared" si="265"/>
        <v/>
      </c>
      <c r="AC2826">
        <f t="shared" si="266"/>
        <v>282030</v>
      </c>
      <c r="AD2826">
        <f t="shared" si="267"/>
        <v>30</v>
      </c>
      <c r="AE2826">
        <f t="shared" si="268"/>
        <v>70650</v>
      </c>
      <c r="AF2826" t="str">
        <f t="shared" si="269"/>
        <v>Paid</v>
      </c>
    </row>
    <row r="2827" spans="1:32" ht="27.75" thickBot="1" x14ac:dyDescent="0.35">
      <c r="A2827" s="2" t="s">
        <v>16746</v>
      </c>
      <c r="B2827" s="2" t="s">
        <v>27</v>
      </c>
      <c r="C2827" s="2" t="s">
        <v>28</v>
      </c>
      <c r="D2827" s="2" t="s">
        <v>97</v>
      </c>
      <c r="E2827" s="2" t="s">
        <v>15863</v>
      </c>
      <c r="F2827" s="2" t="s">
        <v>31</v>
      </c>
      <c r="G2827" s="2" t="s">
        <v>32</v>
      </c>
      <c r="H2827" s="1"/>
      <c r="I2827" s="2" t="s">
        <v>33</v>
      </c>
      <c r="J2827" s="2" t="s">
        <v>34</v>
      </c>
      <c r="K2827" s="2" t="s">
        <v>12575</v>
      </c>
      <c r="L2827" s="2" t="s">
        <v>12576</v>
      </c>
      <c r="M2827" s="2" t="s">
        <v>1887</v>
      </c>
      <c r="N2827" s="2" t="s">
        <v>38</v>
      </c>
      <c r="O2827" s="2" t="s">
        <v>877</v>
      </c>
      <c r="P2827" s="2" t="s">
        <v>16747</v>
      </c>
      <c r="Q2827" s="2" t="s">
        <v>16748</v>
      </c>
      <c r="R2827" s="2" t="s">
        <v>40</v>
      </c>
      <c r="S2827" s="2" t="s">
        <v>16749</v>
      </c>
      <c r="T2827" s="2" t="s">
        <v>12578</v>
      </c>
      <c r="U2827" s="2" t="s">
        <v>16750</v>
      </c>
      <c r="V2827" s="2" t="s">
        <v>16751</v>
      </c>
      <c r="W2827" s="1"/>
      <c r="X2827" s="2" t="s">
        <v>3216</v>
      </c>
      <c r="Y2827" s="2" t="s">
        <v>16303</v>
      </c>
      <c r="AA2827" t="str">
        <f t="shared" si="264"/>
        <v>2025-07</v>
      </c>
      <c r="AB2827" t="str">
        <f t="shared" si="265"/>
        <v/>
      </c>
      <c r="AC2827">
        <f t="shared" si="266"/>
        <v>953530</v>
      </c>
      <c r="AD2827">
        <f t="shared" si="267"/>
        <v>100</v>
      </c>
      <c r="AE2827">
        <f t="shared" si="268"/>
        <v>158030</v>
      </c>
      <c r="AF2827" t="str">
        <f t="shared" si="269"/>
        <v>Paid</v>
      </c>
    </row>
    <row r="2828" spans="1:32" ht="27.75" thickBot="1" x14ac:dyDescent="0.35">
      <c r="A2828" s="2" t="s">
        <v>16752</v>
      </c>
      <c r="B2828" s="2" t="s">
        <v>27</v>
      </c>
      <c r="C2828" s="2" t="s">
        <v>28</v>
      </c>
      <c r="D2828" s="2" t="s">
        <v>97</v>
      </c>
      <c r="E2828" s="2" t="s">
        <v>15863</v>
      </c>
      <c r="F2828" s="2" t="s">
        <v>31</v>
      </c>
      <c r="G2828" s="2" t="s">
        <v>32</v>
      </c>
      <c r="H2828" s="1"/>
      <c r="I2828" s="2" t="s">
        <v>33</v>
      </c>
      <c r="J2828" s="2" t="s">
        <v>34</v>
      </c>
      <c r="K2828" s="2" t="s">
        <v>12575</v>
      </c>
      <c r="L2828" s="2" t="s">
        <v>12576</v>
      </c>
      <c r="M2828" s="2" t="s">
        <v>1887</v>
      </c>
      <c r="N2828" s="2" t="s">
        <v>38</v>
      </c>
      <c r="O2828" s="2" t="s">
        <v>214</v>
      </c>
      <c r="P2828" s="2" t="s">
        <v>40</v>
      </c>
      <c r="Q2828" s="2" t="s">
        <v>40</v>
      </c>
      <c r="R2828" s="2" t="s">
        <v>40</v>
      </c>
      <c r="S2828" s="2" t="s">
        <v>40</v>
      </c>
      <c r="T2828" s="2" t="s">
        <v>12578</v>
      </c>
      <c r="U2828" s="2" t="s">
        <v>16753</v>
      </c>
      <c r="V2828" s="2" t="s">
        <v>16754</v>
      </c>
      <c r="W2828" s="2" t="s">
        <v>41</v>
      </c>
      <c r="X2828" s="2" t="s">
        <v>42</v>
      </c>
      <c r="Y2828" s="2" t="s">
        <v>16303</v>
      </c>
      <c r="AA2828" t="str">
        <f t="shared" si="264"/>
        <v>2025-07</v>
      </c>
      <c r="AB2828" t="str">
        <f t="shared" si="265"/>
        <v/>
      </c>
      <c r="AC2828">
        <f t="shared" si="266"/>
        <v>0</v>
      </c>
      <c r="AD2828">
        <f t="shared" si="267"/>
        <v>50</v>
      </c>
      <c r="AE2828">
        <f t="shared" si="268"/>
        <v>-397750</v>
      </c>
      <c r="AF2828" t="str">
        <f t="shared" si="269"/>
        <v>Sample</v>
      </c>
    </row>
    <row r="2829" spans="1:32" ht="27.75" thickBot="1" x14ac:dyDescent="0.35">
      <c r="A2829" s="2" t="s">
        <v>16755</v>
      </c>
      <c r="B2829" s="2" t="s">
        <v>27</v>
      </c>
      <c r="C2829" s="2" t="s">
        <v>28</v>
      </c>
      <c r="D2829" s="2" t="s">
        <v>97</v>
      </c>
      <c r="E2829" s="2" t="s">
        <v>15863</v>
      </c>
      <c r="F2829" s="2" t="s">
        <v>31</v>
      </c>
      <c r="G2829" s="2" t="s">
        <v>32</v>
      </c>
      <c r="H2829" s="1"/>
      <c r="I2829" s="2" t="s">
        <v>33</v>
      </c>
      <c r="J2829" s="2" t="s">
        <v>34</v>
      </c>
      <c r="K2829" s="2" t="s">
        <v>12770</v>
      </c>
      <c r="L2829" s="2" t="s">
        <v>12771</v>
      </c>
      <c r="M2829" s="2" t="s">
        <v>1887</v>
      </c>
      <c r="N2829" s="2" t="s">
        <v>38</v>
      </c>
      <c r="O2829" s="2" t="s">
        <v>877</v>
      </c>
      <c r="P2829" s="2" t="s">
        <v>16747</v>
      </c>
      <c r="Q2829" s="2" t="s">
        <v>16748</v>
      </c>
      <c r="R2829" s="2" t="s">
        <v>40</v>
      </c>
      <c r="S2829" s="2" t="s">
        <v>16749</v>
      </c>
      <c r="T2829" s="2" t="s">
        <v>12578</v>
      </c>
      <c r="U2829" s="2" t="s">
        <v>16750</v>
      </c>
      <c r="V2829" s="2" t="s">
        <v>16751</v>
      </c>
      <c r="W2829" s="1"/>
      <c r="X2829" s="2" t="s">
        <v>3216</v>
      </c>
      <c r="Y2829" s="2" t="s">
        <v>16303</v>
      </c>
      <c r="AA2829" t="str">
        <f t="shared" si="264"/>
        <v>2025-07</v>
      </c>
      <c r="AB2829" t="str">
        <f t="shared" si="265"/>
        <v/>
      </c>
      <c r="AC2829">
        <f t="shared" si="266"/>
        <v>953530</v>
      </c>
      <c r="AD2829">
        <f t="shared" si="267"/>
        <v>100</v>
      </c>
      <c r="AE2829">
        <f t="shared" si="268"/>
        <v>158030</v>
      </c>
      <c r="AF2829" t="str">
        <f t="shared" si="269"/>
        <v>Paid</v>
      </c>
    </row>
    <row r="2830" spans="1:32" ht="27.75" thickBot="1" x14ac:dyDescent="0.35">
      <c r="A2830" s="2" t="s">
        <v>16756</v>
      </c>
      <c r="B2830" s="2" t="s">
        <v>27</v>
      </c>
      <c r="C2830" s="2" t="s">
        <v>28</v>
      </c>
      <c r="D2830" s="2" t="s">
        <v>97</v>
      </c>
      <c r="E2830" s="2" t="s">
        <v>15863</v>
      </c>
      <c r="F2830" s="2" t="s">
        <v>31</v>
      </c>
      <c r="G2830" s="2" t="s">
        <v>32</v>
      </c>
      <c r="H2830" s="1"/>
      <c r="I2830" s="2" t="s">
        <v>33</v>
      </c>
      <c r="J2830" s="2" t="s">
        <v>34</v>
      </c>
      <c r="K2830" s="2" t="s">
        <v>12770</v>
      </c>
      <c r="L2830" s="2" t="s">
        <v>12771</v>
      </c>
      <c r="M2830" s="2" t="s">
        <v>1887</v>
      </c>
      <c r="N2830" s="2" t="s">
        <v>38</v>
      </c>
      <c r="O2830" s="2" t="s">
        <v>214</v>
      </c>
      <c r="P2830" s="2" t="s">
        <v>40</v>
      </c>
      <c r="Q2830" s="2" t="s">
        <v>40</v>
      </c>
      <c r="R2830" s="2" t="s">
        <v>40</v>
      </c>
      <c r="S2830" s="2" t="s">
        <v>40</v>
      </c>
      <c r="T2830" s="2" t="s">
        <v>12578</v>
      </c>
      <c r="U2830" s="2" t="s">
        <v>16753</v>
      </c>
      <c r="V2830" s="2" t="s">
        <v>16754</v>
      </c>
      <c r="W2830" s="2" t="s">
        <v>41</v>
      </c>
      <c r="X2830" s="2" t="s">
        <v>42</v>
      </c>
      <c r="Y2830" s="2" t="s">
        <v>16303</v>
      </c>
      <c r="AA2830" t="str">
        <f t="shared" si="264"/>
        <v>2025-07</v>
      </c>
      <c r="AB2830" t="str">
        <f t="shared" si="265"/>
        <v/>
      </c>
      <c r="AC2830">
        <f t="shared" si="266"/>
        <v>0</v>
      </c>
      <c r="AD2830">
        <f t="shared" si="267"/>
        <v>50</v>
      </c>
      <c r="AE2830">
        <f t="shared" si="268"/>
        <v>-397750</v>
      </c>
      <c r="AF2830" t="str">
        <f t="shared" si="269"/>
        <v>Sample</v>
      </c>
    </row>
    <row r="2831" spans="1:32" ht="27.75" thickBot="1" x14ac:dyDescent="0.35">
      <c r="A2831" s="2" t="s">
        <v>16757</v>
      </c>
      <c r="B2831" s="2" t="s">
        <v>27</v>
      </c>
      <c r="C2831" s="2" t="s">
        <v>28</v>
      </c>
      <c r="D2831" s="2" t="s">
        <v>97</v>
      </c>
      <c r="E2831" s="2" t="s">
        <v>15863</v>
      </c>
      <c r="F2831" s="2" t="s">
        <v>31</v>
      </c>
      <c r="G2831" s="2" t="s">
        <v>32</v>
      </c>
      <c r="H2831" s="1"/>
      <c r="I2831" s="2" t="s">
        <v>33</v>
      </c>
      <c r="J2831" s="2" t="s">
        <v>34</v>
      </c>
      <c r="K2831" s="2" t="s">
        <v>12776</v>
      </c>
      <c r="L2831" s="2" t="s">
        <v>12777</v>
      </c>
      <c r="M2831" s="2" t="s">
        <v>1887</v>
      </c>
      <c r="N2831" s="2" t="s">
        <v>38</v>
      </c>
      <c r="O2831" s="2" t="s">
        <v>877</v>
      </c>
      <c r="P2831" s="2" t="s">
        <v>16747</v>
      </c>
      <c r="Q2831" s="2" t="s">
        <v>16748</v>
      </c>
      <c r="R2831" s="2" t="s">
        <v>40</v>
      </c>
      <c r="S2831" s="2" t="s">
        <v>16749</v>
      </c>
      <c r="T2831" s="2" t="s">
        <v>12578</v>
      </c>
      <c r="U2831" s="2" t="s">
        <v>16750</v>
      </c>
      <c r="V2831" s="2" t="s">
        <v>16751</v>
      </c>
      <c r="W2831" s="1"/>
      <c r="X2831" s="2" t="s">
        <v>3216</v>
      </c>
      <c r="Y2831" s="2" t="s">
        <v>16303</v>
      </c>
      <c r="AA2831" t="str">
        <f t="shared" si="264"/>
        <v>2025-07</v>
      </c>
      <c r="AB2831" t="str">
        <f t="shared" si="265"/>
        <v/>
      </c>
      <c r="AC2831">
        <f t="shared" si="266"/>
        <v>953530</v>
      </c>
      <c r="AD2831">
        <f t="shared" si="267"/>
        <v>100</v>
      </c>
      <c r="AE2831">
        <f t="shared" si="268"/>
        <v>158030</v>
      </c>
      <c r="AF2831" t="str">
        <f t="shared" si="269"/>
        <v>Paid</v>
      </c>
    </row>
    <row r="2832" spans="1:32" ht="27.75" thickBot="1" x14ac:dyDescent="0.35">
      <c r="A2832" s="2" t="s">
        <v>16758</v>
      </c>
      <c r="B2832" s="2" t="s">
        <v>27</v>
      </c>
      <c r="C2832" s="2" t="s">
        <v>28</v>
      </c>
      <c r="D2832" s="2" t="s">
        <v>97</v>
      </c>
      <c r="E2832" s="2" t="s">
        <v>15863</v>
      </c>
      <c r="F2832" s="2" t="s">
        <v>31</v>
      </c>
      <c r="G2832" s="2" t="s">
        <v>32</v>
      </c>
      <c r="H2832" s="1"/>
      <c r="I2832" s="2" t="s">
        <v>33</v>
      </c>
      <c r="J2832" s="2" t="s">
        <v>34</v>
      </c>
      <c r="K2832" s="2" t="s">
        <v>12776</v>
      </c>
      <c r="L2832" s="2" t="s">
        <v>12777</v>
      </c>
      <c r="M2832" s="2" t="s">
        <v>1887</v>
      </c>
      <c r="N2832" s="2" t="s">
        <v>38</v>
      </c>
      <c r="O2832" s="2" t="s">
        <v>214</v>
      </c>
      <c r="P2832" s="2" t="s">
        <v>40</v>
      </c>
      <c r="Q2832" s="2" t="s">
        <v>40</v>
      </c>
      <c r="R2832" s="2" t="s">
        <v>40</v>
      </c>
      <c r="S2832" s="2" t="s">
        <v>40</v>
      </c>
      <c r="T2832" s="2" t="s">
        <v>12578</v>
      </c>
      <c r="U2832" s="2" t="s">
        <v>16753</v>
      </c>
      <c r="V2832" s="2" t="s">
        <v>16754</v>
      </c>
      <c r="W2832" s="2" t="s">
        <v>41</v>
      </c>
      <c r="X2832" s="2" t="s">
        <v>42</v>
      </c>
      <c r="Y2832" s="2" t="s">
        <v>16303</v>
      </c>
      <c r="AA2832" t="str">
        <f t="shared" si="264"/>
        <v>2025-07</v>
      </c>
      <c r="AB2832" t="str">
        <f t="shared" si="265"/>
        <v/>
      </c>
      <c r="AC2832">
        <f t="shared" si="266"/>
        <v>0</v>
      </c>
      <c r="AD2832">
        <f t="shared" si="267"/>
        <v>50</v>
      </c>
      <c r="AE2832">
        <f t="shared" si="268"/>
        <v>-397750</v>
      </c>
      <c r="AF2832" t="str">
        <f t="shared" si="269"/>
        <v>Sample</v>
      </c>
    </row>
    <row r="2833" spans="1:32" ht="17.25" thickBot="1" x14ac:dyDescent="0.35">
      <c r="A2833" s="2" t="s">
        <v>16759</v>
      </c>
      <c r="B2833" s="2" t="s">
        <v>27</v>
      </c>
      <c r="C2833" s="2" t="s">
        <v>28</v>
      </c>
      <c r="D2833" s="2" t="s">
        <v>97</v>
      </c>
      <c r="E2833" s="2" t="s">
        <v>15863</v>
      </c>
      <c r="F2833" s="2" t="s">
        <v>31</v>
      </c>
      <c r="G2833" s="2" t="s">
        <v>32</v>
      </c>
      <c r="H2833" s="1"/>
      <c r="I2833" s="2" t="s">
        <v>33</v>
      </c>
      <c r="J2833" s="2" t="s">
        <v>34</v>
      </c>
      <c r="K2833" s="2" t="s">
        <v>16760</v>
      </c>
      <c r="L2833" s="2" t="s">
        <v>16761</v>
      </c>
      <c r="M2833" s="2" t="s">
        <v>16762</v>
      </c>
      <c r="N2833" s="2" t="s">
        <v>38</v>
      </c>
      <c r="O2833" s="2" t="s">
        <v>166</v>
      </c>
      <c r="P2833" s="2" t="s">
        <v>1414</v>
      </c>
      <c r="Q2833" s="2" t="s">
        <v>16763</v>
      </c>
      <c r="R2833" s="2" t="s">
        <v>40</v>
      </c>
      <c r="S2833" s="2" t="s">
        <v>16764</v>
      </c>
      <c r="T2833" s="2" t="s">
        <v>7691</v>
      </c>
      <c r="U2833" s="2" t="s">
        <v>16765</v>
      </c>
      <c r="V2833" s="2" t="s">
        <v>16766</v>
      </c>
      <c r="W2833" s="1"/>
      <c r="X2833" s="2" t="s">
        <v>2429</v>
      </c>
      <c r="Y2833" s="2" t="s">
        <v>16303</v>
      </c>
      <c r="AA2833" t="str">
        <f t="shared" si="264"/>
        <v>2025-07</v>
      </c>
      <c r="AB2833" t="str">
        <f t="shared" si="265"/>
        <v/>
      </c>
      <c r="AC2833">
        <f t="shared" si="266"/>
        <v>174294.54</v>
      </c>
      <c r="AD2833">
        <f t="shared" si="267"/>
        <v>21</v>
      </c>
      <c r="AE2833">
        <f t="shared" si="268"/>
        <v>42561.54</v>
      </c>
      <c r="AF2833" t="str">
        <f t="shared" si="269"/>
        <v>Paid</v>
      </c>
    </row>
    <row r="2834" spans="1:32" ht="17.25" thickBot="1" x14ac:dyDescent="0.35">
      <c r="A2834" s="2" t="s">
        <v>16767</v>
      </c>
      <c r="B2834" s="2" t="s">
        <v>27</v>
      </c>
      <c r="C2834" s="2" t="s">
        <v>28</v>
      </c>
      <c r="D2834" s="2" t="s">
        <v>97</v>
      </c>
      <c r="E2834" s="2" t="s">
        <v>15863</v>
      </c>
      <c r="F2834" s="2" t="s">
        <v>31</v>
      </c>
      <c r="G2834" s="2" t="s">
        <v>32</v>
      </c>
      <c r="H2834" s="1"/>
      <c r="I2834" s="2" t="s">
        <v>33</v>
      </c>
      <c r="J2834" s="2" t="s">
        <v>34</v>
      </c>
      <c r="K2834" s="2" t="s">
        <v>10993</v>
      </c>
      <c r="L2834" s="2" t="s">
        <v>10994</v>
      </c>
      <c r="M2834" s="2" t="s">
        <v>7387</v>
      </c>
      <c r="N2834" s="2" t="s">
        <v>38</v>
      </c>
      <c r="O2834" s="2" t="s">
        <v>141</v>
      </c>
      <c r="P2834" s="2" t="s">
        <v>5246</v>
      </c>
      <c r="Q2834" s="2" t="s">
        <v>6795</v>
      </c>
      <c r="R2834" s="2" t="s">
        <v>40</v>
      </c>
      <c r="S2834" s="2" t="s">
        <v>16768</v>
      </c>
      <c r="T2834" s="2" t="s">
        <v>9919</v>
      </c>
      <c r="U2834" s="2" t="s">
        <v>16769</v>
      </c>
      <c r="V2834" s="2" t="s">
        <v>16770</v>
      </c>
      <c r="W2834" s="1"/>
      <c r="X2834" s="2" t="s">
        <v>9250</v>
      </c>
      <c r="Y2834" s="2" t="s">
        <v>16303</v>
      </c>
      <c r="AA2834" t="str">
        <f t="shared" si="264"/>
        <v>2025-07</v>
      </c>
      <c r="AB2834" t="str">
        <f t="shared" si="265"/>
        <v/>
      </c>
      <c r="AC2834">
        <f t="shared" si="266"/>
        <v>296534.40000000002</v>
      </c>
      <c r="AD2834">
        <f t="shared" si="267"/>
        <v>30</v>
      </c>
      <c r="AE2834">
        <f t="shared" si="268"/>
        <v>52934.400000000001</v>
      </c>
      <c r="AF2834" t="str">
        <f t="shared" si="269"/>
        <v>Paid</v>
      </c>
    </row>
    <row r="2835" spans="1:32" ht="17.25" thickBot="1" x14ac:dyDescent="0.35">
      <c r="A2835" s="2" t="s">
        <v>16771</v>
      </c>
      <c r="B2835" s="2" t="s">
        <v>27</v>
      </c>
      <c r="C2835" s="2" t="s">
        <v>28</v>
      </c>
      <c r="D2835" s="2" t="s">
        <v>97</v>
      </c>
      <c r="E2835" s="2" t="s">
        <v>15863</v>
      </c>
      <c r="F2835" s="2" t="s">
        <v>31</v>
      </c>
      <c r="G2835" s="2" t="s">
        <v>32</v>
      </c>
      <c r="H2835" s="1"/>
      <c r="I2835" s="2" t="s">
        <v>33</v>
      </c>
      <c r="J2835" s="2" t="s">
        <v>34</v>
      </c>
      <c r="K2835" s="2" t="s">
        <v>16772</v>
      </c>
      <c r="L2835" s="2" t="s">
        <v>16773</v>
      </c>
      <c r="M2835" s="2" t="s">
        <v>7387</v>
      </c>
      <c r="N2835" s="2" t="s">
        <v>38</v>
      </c>
      <c r="O2835" s="2" t="s">
        <v>141</v>
      </c>
      <c r="P2835" s="2" t="s">
        <v>8987</v>
      </c>
      <c r="Q2835" s="2" t="s">
        <v>16774</v>
      </c>
      <c r="R2835" s="2" t="s">
        <v>40</v>
      </c>
      <c r="S2835" s="2" t="s">
        <v>16775</v>
      </c>
      <c r="T2835" s="2" t="s">
        <v>9919</v>
      </c>
      <c r="U2835" s="2" t="s">
        <v>16769</v>
      </c>
      <c r="V2835" s="2" t="s">
        <v>16776</v>
      </c>
      <c r="W2835" s="1"/>
      <c r="X2835" s="2" t="s">
        <v>934</v>
      </c>
      <c r="Y2835" s="2" t="s">
        <v>16303</v>
      </c>
      <c r="AA2835" t="str">
        <f t="shared" si="264"/>
        <v>2025-07</v>
      </c>
      <c r="AB2835" t="str">
        <f t="shared" si="265"/>
        <v/>
      </c>
      <c r="AC2835">
        <f t="shared" si="266"/>
        <v>322722.90000000002</v>
      </c>
      <c r="AD2835">
        <f t="shared" si="267"/>
        <v>30</v>
      </c>
      <c r="AE2835">
        <f t="shared" si="268"/>
        <v>79122.899999999994</v>
      </c>
      <c r="AF2835" t="str">
        <f t="shared" si="269"/>
        <v>Paid</v>
      </c>
    </row>
    <row r="2836" spans="1:32" ht="17.25" thickBot="1" x14ac:dyDescent="0.35">
      <c r="A2836" s="2" t="s">
        <v>16777</v>
      </c>
      <c r="B2836" s="2" t="s">
        <v>27</v>
      </c>
      <c r="C2836" s="2" t="s">
        <v>28</v>
      </c>
      <c r="D2836" s="2" t="s">
        <v>97</v>
      </c>
      <c r="E2836" s="2" t="s">
        <v>15863</v>
      </c>
      <c r="F2836" s="2" t="s">
        <v>31</v>
      </c>
      <c r="G2836" s="2" t="s">
        <v>32</v>
      </c>
      <c r="H2836" s="1"/>
      <c r="I2836" s="2" t="s">
        <v>33</v>
      </c>
      <c r="J2836" s="2" t="s">
        <v>34</v>
      </c>
      <c r="K2836" s="2" t="s">
        <v>16778</v>
      </c>
      <c r="L2836" s="2" t="s">
        <v>16779</v>
      </c>
      <c r="M2836" s="2" t="s">
        <v>7387</v>
      </c>
      <c r="N2836" s="2" t="s">
        <v>38</v>
      </c>
      <c r="O2836" s="2" t="s">
        <v>141</v>
      </c>
      <c r="P2836" s="2" t="s">
        <v>4985</v>
      </c>
      <c r="Q2836" s="2" t="s">
        <v>16780</v>
      </c>
      <c r="R2836" s="2" t="s">
        <v>40</v>
      </c>
      <c r="S2836" s="2" t="s">
        <v>16781</v>
      </c>
      <c r="T2836" s="2" t="s">
        <v>16782</v>
      </c>
      <c r="U2836" s="2" t="s">
        <v>16783</v>
      </c>
      <c r="V2836" s="2" t="s">
        <v>16784</v>
      </c>
      <c r="W2836" s="1"/>
      <c r="X2836" s="2" t="s">
        <v>1893</v>
      </c>
      <c r="Y2836" s="2" t="s">
        <v>16303</v>
      </c>
      <c r="AA2836" t="str">
        <f t="shared" si="264"/>
        <v>2025-07</v>
      </c>
      <c r="AB2836" t="str">
        <f t="shared" si="265"/>
        <v/>
      </c>
      <c r="AC2836">
        <f t="shared" si="266"/>
        <v>177276</v>
      </c>
      <c r="AD2836">
        <f t="shared" si="267"/>
        <v>30</v>
      </c>
      <c r="AE2836">
        <f t="shared" si="268"/>
        <v>46176</v>
      </c>
      <c r="AF2836" t="str">
        <f t="shared" si="269"/>
        <v>Paid</v>
      </c>
    </row>
    <row r="2837" spans="1:32" ht="17.25" thickBot="1" x14ac:dyDescent="0.35">
      <c r="A2837" s="2" t="s">
        <v>16785</v>
      </c>
      <c r="B2837" s="2" t="s">
        <v>27</v>
      </c>
      <c r="C2837" s="2" t="s">
        <v>28</v>
      </c>
      <c r="D2837" s="2" t="s">
        <v>97</v>
      </c>
      <c r="E2837" s="2" t="s">
        <v>15863</v>
      </c>
      <c r="F2837" s="2" t="s">
        <v>31</v>
      </c>
      <c r="G2837" s="2" t="s">
        <v>32</v>
      </c>
      <c r="H2837" s="1"/>
      <c r="I2837" s="2" t="s">
        <v>33</v>
      </c>
      <c r="J2837" s="2" t="s">
        <v>34</v>
      </c>
      <c r="K2837" s="2" t="s">
        <v>16786</v>
      </c>
      <c r="L2837" s="2" t="s">
        <v>16787</v>
      </c>
      <c r="M2837" s="2" t="s">
        <v>7387</v>
      </c>
      <c r="N2837" s="2" t="s">
        <v>38</v>
      </c>
      <c r="O2837" s="2" t="s">
        <v>141</v>
      </c>
      <c r="P2837" s="2" t="s">
        <v>4985</v>
      </c>
      <c r="Q2837" s="2" t="s">
        <v>16780</v>
      </c>
      <c r="R2837" s="2" t="s">
        <v>40</v>
      </c>
      <c r="S2837" s="2" t="s">
        <v>16781</v>
      </c>
      <c r="T2837" s="2" t="s">
        <v>16782</v>
      </c>
      <c r="U2837" s="2" t="s">
        <v>16783</v>
      </c>
      <c r="V2837" s="2" t="s">
        <v>16784</v>
      </c>
      <c r="W2837" s="1"/>
      <c r="X2837" s="2" t="s">
        <v>1893</v>
      </c>
      <c r="Y2837" s="2" t="s">
        <v>16303</v>
      </c>
      <c r="AA2837" t="str">
        <f t="shared" si="264"/>
        <v>2025-07</v>
      </c>
      <c r="AB2837" t="str">
        <f t="shared" si="265"/>
        <v/>
      </c>
      <c r="AC2837">
        <f t="shared" si="266"/>
        <v>177276</v>
      </c>
      <c r="AD2837">
        <f t="shared" si="267"/>
        <v>30</v>
      </c>
      <c r="AE2837">
        <f t="shared" si="268"/>
        <v>46176</v>
      </c>
      <c r="AF2837" t="str">
        <f t="shared" si="269"/>
        <v>Paid</v>
      </c>
    </row>
    <row r="2838" spans="1:32" ht="17.25" thickBot="1" x14ac:dyDescent="0.35">
      <c r="A2838" s="2" t="s">
        <v>16788</v>
      </c>
      <c r="B2838" s="2" t="s">
        <v>27</v>
      </c>
      <c r="C2838" s="2" t="s">
        <v>28</v>
      </c>
      <c r="D2838" s="2" t="s">
        <v>97</v>
      </c>
      <c r="E2838" s="2" t="s">
        <v>15863</v>
      </c>
      <c r="F2838" s="2" t="s">
        <v>31</v>
      </c>
      <c r="G2838" s="2" t="s">
        <v>32</v>
      </c>
      <c r="H2838" s="1"/>
      <c r="I2838" s="2" t="s">
        <v>33</v>
      </c>
      <c r="J2838" s="2" t="s">
        <v>34</v>
      </c>
      <c r="K2838" s="2" t="s">
        <v>16789</v>
      </c>
      <c r="L2838" s="2" t="s">
        <v>16790</v>
      </c>
      <c r="M2838" s="2" t="s">
        <v>1787</v>
      </c>
      <c r="N2838" s="2" t="s">
        <v>38</v>
      </c>
      <c r="O2838" s="2" t="s">
        <v>141</v>
      </c>
      <c r="P2838" s="2" t="s">
        <v>1798</v>
      </c>
      <c r="Q2838" s="2" t="s">
        <v>16791</v>
      </c>
      <c r="R2838" s="2" t="s">
        <v>40</v>
      </c>
      <c r="S2838" s="2" t="s">
        <v>16792</v>
      </c>
      <c r="T2838" s="2" t="s">
        <v>16793</v>
      </c>
      <c r="U2838" s="2" t="s">
        <v>16794</v>
      </c>
      <c r="V2838" s="2" t="s">
        <v>16795</v>
      </c>
      <c r="W2838" s="1"/>
      <c r="X2838" s="2" t="s">
        <v>6663</v>
      </c>
      <c r="Y2838" s="2" t="s">
        <v>16303</v>
      </c>
      <c r="AA2838" t="str">
        <f t="shared" si="264"/>
        <v>2025-07</v>
      </c>
      <c r="AB2838" t="str">
        <f t="shared" si="265"/>
        <v/>
      </c>
      <c r="AC2838">
        <f t="shared" si="266"/>
        <v>225624</v>
      </c>
      <c r="AD2838">
        <f t="shared" si="267"/>
        <v>30</v>
      </c>
      <c r="AE2838">
        <f t="shared" si="268"/>
        <v>50814</v>
      </c>
      <c r="AF2838" t="str">
        <f t="shared" si="269"/>
        <v>Paid</v>
      </c>
    </row>
    <row r="2839" spans="1:32" ht="17.25" thickBot="1" x14ac:dyDescent="0.35">
      <c r="A2839" s="2" t="s">
        <v>16796</v>
      </c>
      <c r="B2839" s="2" t="s">
        <v>27</v>
      </c>
      <c r="C2839" s="2" t="s">
        <v>28</v>
      </c>
      <c r="D2839" s="2" t="s">
        <v>97</v>
      </c>
      <c r="E2839" s="2" t="s">
        <v>15863</v>
      </c>
      <c r="F2839" s="2" t="s">
        <v>31</v>
      </c>
      <c r="G2839" s="2" t="s">
        <v>32</v>
      </c>
      <c r="H2839" s="1"/>
      <c r="I2839" s="2" t="s">
        <v>33</v>
      </c>
      <c r="J2839" s="2" t="s">
        <v>34</v>
      </c>
      <c r="K2839" s="2" t="s">
        <v>16797</v>
      </c>
      <c r="L2839" s="2" t="s">
        <v>16798</v>
      </c>
      <c r="M2839" s="2" t="s">
        <v>1787</v>
      </c>
      <c r="N2839" s="2" t="s">
        <v>38</v>
      </c>
      <c r="O2839" s="2" t="s">
        <v>141</v>
      </c>
      <c r="P2839" s="2" t="s">
        <v>15690</v>
      </c>
      <c r="Q2839" s="2" t="s">
        <v>15691</v>
      </c>
      <c r="R2839" s="2" t="s">
        <v>40</v>
      </c>
      <c r="S2839" s="2" t="s">
        <v>16799</v>
      </c>
      <c r="T2839" s="2" t="s">
        <v>16800</v>
      </c>
      <c r="U2839" s="2" t="s">
        <v>16801</v>
      </c>
      <c r="V2839" s="2" t="s">
        <v>16802</v>
      </c>
      <c r="W2839" s="1"/>
      <c r="X2839" s="2" t="s">
        <v>1195</v>
      </c>
      <c r="Y2839" s="2" t="s">
        <v>16303</v>
      </c>
      <c r="AA2839" t="str">
        <f t="shared" si="264"/>
        <v>2025-07</v>
      </c>
      <c r="AB2839" t="str">
        <f t="shared" si="265"/>
        <v/>
      </c>
      <c r="AC2839">
        <f t="shared" si="266"/>
        <v>75342.3</v>
      </c>
      <c r="AD2839">
        <f t="shared" si="267"/>
        <v>30</v>
      </c>
      <c r="AE2839">
        <f t="shared" si="268"/>
        <v>11232.3</v>
      </c>
      <c r="AF2839" t="str">
        <f t="shared" si="269"/>
        <v>Paid</v>
      </c>
    </row>
    <row r="2840" spans="1:32" ht="17.25" thickBot="1" x14ac:dyDescent="0.35">
      <c r="A2840" s="2" t="s">
        <v>16803</v>
      </c>
      <c r="B2840" s="2" t="s">
        <v>27</v>
      </c>
      <c r="C2840" s="2" t="s">
        <v>28</v>
      </c>
      <c r="D2840" s="2" t="s">
        <v>97</v>
      </c>
      <c r="E2840" s="2" t="s">
        <v>15863</v>
      </c>
      <c r="F2840" s="2" t="s">
        <v>31</v>
      </c>
      <c r="G2840" s="2" t="s">
        <v>32</v>
      </c>
      <c r="H2840" s="1"/>
      <c r="I2840" s="2" t="s">
        <v>33</v>
      </c>
      <c r="J2840" s="2" t="s">
        <v>34</v>
      </c>
      <c r="K2840" s="2" t="s">
        <v>16804</v>
      </c>
      <c r="L2840" s="2" t="s">
        <v>16805</v>
      </c>
      <c r="M2840" s="2" t="s">
        <v>1787</v>
      </c>
      <c r="N2840" s="2" t="s">
        <v>38</v>
      </c>
      <c r="O2840" s="2" t="s">
        <v>141</v>
      </c>
      <c r="P2840" s="2" t="s">
        <v>16806</v>
      </c>
      <c r="Q2840" s="2" t="s">
        <v>16807</v>
      </c>
      <c r="R2840" s="2" t="s">
        <v>40</v>
      </c>
      <c r="S2840" s="2" t="s">
        <v>16808</v>
      </c>
      <c r="T2840" s="2" t="s">
        <v>1792</v>
      </c>
      <c r="U2840" s="2" t="s">
        <v>16809</v>
      </c>
      <c r="V2840" s="2" t="s">
        <v>16810</v>
      </c>
      <c r="W2840" s="1"/>
      <c r="X2840" s="2" t="s">
        <v>1195</v>
      </c>
      <c r="Y2840" s="2" t="s">
        <v>16303</v>
      </c>
      <c r="AA2840" t="str">
        <f t="shared" si="264"/>
        <v>2025-07</v>
      </c>
      <c r="AB2840" t="str">
        <f t="shared" si="265"/>
        <v/>
      </c>
      <c r="AC2840">
        <f t="shared" si="266"/>
        <v>165591.9</v>
      </c>
      <c r="AD2840">
        <f t="shared" si="267"/>
        <v>30</v>
      </c>
      <c r="AE2840">
        <f t="shared" si="268"/>
        <v>24591.9</v>
      </c>
      <c r="AF2840" t="str">
        <f t="shared" si="269"/>
        <v>Paid</v>
      </c>
    </row>
    <row r="2841" spans="1:32" ht="17.25" thickBot="1" x14ac:dyDescent="0.35">
      <c r="A2841" s="2" t="s">
        <v>16811</v>
      </c>
      <c r="B2841" s="2" t="s">
        <v>27</v>
      </c>
      <c r="C2841" s="2" t="s">
        <v>28</v>
      </c>
      <c r="D2841" s="2" t="s">
        <v>97</v>
      </c>
      <c r="E2841" s="2" t="s">
        <v>15863</v>
      </c>
      <c r="F2841" s="2" t="s">
        <v>31</v>
      </c>
      <c r="G2841" s="2" t="s">
        <v>32</v>
      </c>
      <c r="H2841" s="1"/>
      <c r="I2841" s="2" t="s">
        <v>33</v>
      </c>
      <c r="J2841" s="2" t="s">
        <v>34</v>
      </c>
      <c r="K2841" s="2" t="s">
        <v>16812</v>
      </c>
      <c r="L2841" s="2" t="s">
        <v>16813</v>
      </c>
      <c r="M2841" s="2" t="s">
        <v>1787</v>
      </c>
      <c r="N2841" s="2" t="s">
        <v>38</v>
      </c>
      <c r="O2841" s="2" t="s">
        <v>141</v>
      </c>
      <c r="P2841" s="2" t="s">
        <v>16806</v>
      </c>
      <c r="Q2841" s="2" t="s">
        <v>16807</v>
      </c>
      <c r="R2841" s="2" t="s">
        <v>40</v>
      </c>
      <c r="S2841" s="2" t="s">
        <v>16808</v>
      </c>
      <c r="T2841" s="2" t="s">
        <v>1792</v>
      </c>
      <c r="U2841" s="2" t="s">
        <v>16809</v>
      </c>
      <c r="V2841" s="2" t="s">
        <v>16810</v>
      </c>
      <c r="W2841" s="1"/>
      <c r="X2841" s="2" t="s">
        <v>1195</v>
      </c>
      <c r="Y2841" s="2" t="s">
        <v>16303</v>
      </c>
      <c r="AA2841" t="str">
        <f t="shared" si="264"/>
        <v>2025-07</v>
      </c>
      <c r="AB2841" t="str">
        <f t="shared" si="265"/>
        <v/>
      </c>
      <c r="AC2841">
        <f t="shared" si="266"/>
        <v>165591.9</v>
      </c>
      <c r="AD2841">
        <f t="shared" si="267"/>
        <v>30</v>
      </c>
      <c r="AE2841">
        <f t="shared" si="268"/>
        <v>24591.9</v>
      </c>
      <c r="AF2841" t="str">
        <f t="shared" si="269"/>
        <v>Paid</v>
      </c>
    </row>
    <row r="2842" spans="1:32" ht="17.25" thickBot="1" x14ac:dyDescent="0.35">
      <c r="A2842" s="2" t="s">
        <v>16814</v>
      </c>
      <c r="B2842" s="2" t="s">
        <v>27</v>
      </c>
      <c r="C2842" s="2" t="s">
        <v>28</v>
      </c>
      <c r="D2842" s="2" t="s">
        <v>97</v>
      </c>
      <c r="E2842" s="2" t="s">
        <v>15863</v>
      </c>
      <c r="F2842" s="2" t="s">
        <v>31</v>
      </c>
      <c r="G2842" s="2" t="s">
        <v>32</v>
      </c>
      <c r="H2842" s="1"/>
      <c r="I2842" s="2" t="s">
        <v>33</v>
      </c>
      <c r="J2842" s="2" t="s">
        <v>34</v>
      </c>
      <c r="K2842" s="2" t="s">
        <v>16815</v>
      </c>
      <c r="L2842" s="2" t="s">
        <v>16816</v>
      </c>
      <c r="M2842" s="2" t="s">
        <v>1787</v>
      </c>
      <c r="N2842" s="2" t="s">
        <v>38</v>
      </c>
      <c r="O2842" s="2" t="s">
        <v>130</v>
      </c>
      <c r="P2842" s="2" t="s">
        <v>16806</v>
      </c>
      <c r="Q2842" s="2" t="s">
        <v>16817</v>
      </c>
      <c r="R2842" s="2" t="s">
        <v>40</v>
      </c>
      <c r="S2842" s="2" t="s">
        <v>16818</v>
      </c>
      <c r="T2842" s="2" t="s">
        <v>1792</v>
      </c>
      <c r="U2842" s="2" t="s">
        <v>16819</v>
      </c>
      <c r="V2842" s="2" t="s">
        <v>16820</v>
      </c>
      <c r="W2842" s="1"/>
      <c r="X2842" s="2" t="s">
        <v>1195</v>
      </c>
      <c r="Y2842" s="2" t="s">
        <v>16303</v>
      </c>
      <c r="AA2842" t="str">
        <f t="shared" si="264"/>
        <v>2025-07</v>
      </c>
      <c r="AB2842" t="str">
        <f t="shared" si="265"/>
        <v/>
      </c>
      <c r="AC2842">
        <f t="shared" si="266"/>
        <v>93835.41</v>
      </c>
      <c r="AD2842">
        <f t="shared" si="267"/>
        <v>17</v>
      </c>
      <c r="AE2842">
        <f t="shared" si="268"/>
        <v>13935.41</v>
      </c>
      <c r="AF2842" t="str">
        <f t="shared" si="269"/>
        <v>Paid</v>
      </c>
    </row>
    <row r="2843" spans="1:32" ht="17.25" thickBot="1" x14ac:dyDescent="0.35">
      <c r="A2843" s="2" t="s">
        <v>16821</v>
      </c>
      <c r="B2843" s="2" t="s">
        <v>27</v>
      </c>
      <c r="C2843" s="2" t="s">
        <v>28</v>
      </c>
      <c r="D2843" s="2" t="s">
        <v>97</v>
      </c>
      <c r="E2843" s="2" t="s">
        <v>15863</v>
      </c>
      <c r="F2843" s="2" t="s">
        <v>31</v>
      </c>
      <c r="G2843" s="2" t="s">
        <v>32</v>
      </c>
      <c r="H2843" s="1"/>
      <c r="I2843" s="2" t="s">
        <v>33</v>
      </c>
      <c r="J2843" s="2" t="s">
        <v>34</v>
      </c>
      <c r="K2843" s="2" t="s">
        <v>16815</v>
      </c>
      <c r="L2843" s="2" t="s">
        <v>16816</v>
      </c>
      <c r="M2843" s="2" t="s">
        <v>1787</v>
      </c>
      <c r="N2843" s="2" t="s">
        <v>38</v>
      </c>
      <c r="O2843" s="2" t="s">
        <v>92</v>
      </c>
      <c r="P2843" s="2" t="s">
        <v>16806</v>
      </c>
      <c r="Q2843" s="2" t="s">
        <v>16822</v>
      </c>
      <c r="R2843" s="2" t="s">
        <v>40</v>
      </c>
      <c r="S2843" s="2" t="s">
        <v>16823</v>
      </c>
      <c r="T2843" s="2" t="s">
        <v>1792</v>
      </c>
      <c r="U2843" s="2" t="s">
        <v>16824</v>
      </c>
      <c r="V2843" s="2" t="s">
        <v>16825</v>
      </c>
      <c r="W2843" s="1"/>
      <c r="X2843" s="2" t="s">
        <v>1195</v>
      </c>
      <c r="Y2843" s="2" t="s">
        <v>16303</v>
      </c>
      <c r="AA2843" t="str">
        <f t="shared" si="264"/>
        <v>2025-07</v>
      </c>
      <c r="AB2843" t="str">
        <f t="shared" si="265"/>
        <v/>
      </c>
      <c r="AC2843">
        <f t="shared" si="266"/>
        <v>71756.490000000005</v>
      </c>
      <c r="AD2843">
        <f t="shared" si="267"/>
        <v>13</v>
      </c>
      <c r="AE2843">
        <f t="shared" si="268"/>
        <v>10656.49</v>
      </c>
      <c r="AF2843" t="str">
        <f t="shared" si="269"/>
        <v>Paid</v>
      </c>
    </row>
    <row r="2844" spans="1:32" ht="17.25" thickBot="1" x14ac:dyDescent="0.35">
      <c r="A2844" s="2" t="s">
        <v>16826</v>
      </c>
      <c r="B2844" s="2" t="s">
        <v>27</v>
      </c>
      <c r="C2844" s="2" t="s">
        <v>28</v>
      </c>
      <c r="D2844" s="2" t="s">
        <v>97</v>
      </c>
      <c r="E2844" s="2" t="s">
        <v>15863</v>
      </c>
      <c r="F2844" s="2" t="s">
        <v>31</v>
      </c>
      <c r="G2844" s="2" t="s">
        <v>32</v>
      </c>
      <c r="H2844" s="1"/>
      <c r="I2844" s="2" t="s">
        <v>33</v>
      </c>
      <c r="J2844" s="2" t="s">
        <v>34</v>
      </c>
      <c r="K2844" s="2" t="s">
        <v>16827</v>
      </c>
      <c r="L2844" s="2" t="s">
        <v>16828</v>
      </c>
      <c r="M2844" s="2" t="s">
        <v>1787</v>
      </c>
      <c r="N2844" s="2" t="s">
        <v>38</v>
      </c>
      <c r="O2844" s="2" t="s">
        <v>113</v>
      </c>
      <c r="P2844" s="2" t="s">
        <v>16806</v>
      </c>
      <c r="Q2844" s="2" t="s">
        <v>16829</v>
      </c>
      <c r="R2844" s="2" t="s">
        <v>40</v>
      </c>
      <c r="S2844" s="2" t="s">
        <v>16830</v>
      </c>
      <c r="T2844" s="2" t="s">
        <v>1792</v>
      </c>
      <c r="U2844" s="2" t="s">
        <v>16831</v>
      </c>
      <c r="V2844" s="2" t="s">
        <v>16832</v>
      </c>
      <c r="W2844" s="1"/>
      <c r="X2844" s="2" t="s">
        <v>1195</v>
      </c>
      <c r="Y2844" s="2" t="s">
        <v>16303</v>
      </c>
      <c r="AA2844" t="str">
        <f t="shared" si="264"/>
        <v>2025-07</v>
      </c>
      <c r="AB2844" t="str">
        <f t="shared" si="265"/>
        <v/>
      </c>
      <c r="AC2844">
        <f t="shared" si="266"/>
        <v>82795.95</v>
      </c>
      <c r="AD2844">
        <f t="shared" si="267"/>
        <v>15</v>
      </c>
      <c r="AE2844">
        <f t="shared" si="268"/>
        <v>12295.95</v>
      </c>
      <c r="AF2844" t="str">
        <f t="shared" si="269"/>
        <v>Paid</v>
      </c>
    </row>
    <row r="2845" spans="1:32" ht="17.25" thickBot="1" x14ac:dyDescent="0.35">
      <c r="A2845" s="2" t="s">
        <v>16833</v>
      </c>
      <c r="B2845" s="2" t="s">
        <v>27</v>
      </c>
      <c r="C2845" s="2" t="s">
        <v>28</v>
      </c>
      <c r="D2845" s="2" t="s">
        <v>97</v>
      </c>
      <c r="E2845" s="2" t="s">
        <v>15863</v>
      </c>
      <c r="F2845" s="2" t="s">
        <v>31</v>
      </c>
      <c r="G2845" s="2" t="s">
        <v>32</v>
      </c>
      <c r="H2845" s="1"/>
      <c r="I2845" s="2" t="s">
        <v>33</v>
      </c>
      <c r="J2845" s="2" t="s">
        <v>34</v>
      </c>
      <c r="K2845" s="2" t="s">
        <v>16834</v>
      </c>
      <c r="L2845" s="2" t="s">
        <v>16835</v>
      </c>
      <c r="M2845" s="2" t="s">
        <v>1787</v>
      </c>
      <c r="N2845" s="2" t="s">
        <v>38</v>
      </c>
      <c r="O2845" s="2" t="s">
        <v>141</v>
      </c>
      <c r="P2845" s="2" t="s">
        <v>15690</v>
      </c>
      <c r="Q2845" s="2" t="s">
        <v>15691</v>
      </c>
      <c r="R2845" s="2" t="s">
        <v>40</v>
      </c>
      <c r="S2845" s="2" t="s">
        <v>16799</v>
      </c>
      <c r="T2845" s="2" t="s">
        <v>16836</v>
      </c>
      <c r="U2845" s="2" t="s">
        <v>16837</v>
      </c>
      <c r="V2845" s="2" t="s">
        <v>16838</v>
      </c>
      <c r="W2845" s="1"/>
      <c r="X2845" s="2" t="s">
        <v>1195</v>
      </c>
      <c r="Y2845" s="2" t="s">
        <v>16303</v>
      </c>
      <c r="AA2845" t="str">
        <f t="shared" si="264"/>
        <v>2025-07</v>
      </c>
      <c r="AB2845" t="str">
        <f t="shared" si="265"/>
        <v/>
      </c>
      <c r="AC2845">
        <f t="shared" si="266"/>
        <v>75342.3</v>
      </c>
      <c r="AD2845">
        <f t="shared" si="267"/>
        <v>30</v>
      </c>
      <c r="AE2845">
        <f t="shared" si="268"/>
        <v>11202.3</v>
      </c>
      <c r="AF2845" t="str">
        <f t="shared" si="269"/>
        <v>Paid</v>
      </c>
    </row>
    <row r="2846" spans="1:32" ht="17.25" thickBot="1" x14ac:dyDescent="0.35">
      <c r="A2846" s="2" t="s">
        <v>16839</v>
      </c>
      <c r="B2846" s="2" t="s">
        <v>27</v>
      </c>
      <c r="C2846" s="2" t="s">
        <v>28</v>
      </c>
      <c r="D2846" s="2" t="s">
        <v>97</v>
      </c>
      <c r="E2846" s="2" t="s">
        <v>15863</v>
      </c>
      <c r="F2846" s="2" t="s">
        <v>31</v>
      </c>
      <c r="G2846" s="2" t="s">
        <v>32</v>
      </c>
      <c r="H2846" s="1"/>
      <c r="I2846" s="2" t="s">
        <v>33</v>
      </c>
      <c r="J2846" s="2" t="s">
        <v>34</v>
      </c>
      <c r="K2846" s="2" t="s">
        <v>16840</v>
      </c>
      <c r="L2846" s="2" t="s">
        <v>16841</v>
      </c>
      <c r="M2846" s="2" t="s">
        <v>1787</v>
      </c>
      <c r="N2846" s="2" t="s">
        <v>38</v>
      </c>
      <c r="O2846" s="2" t="s">
        <v>141</v>
      </c>
      <c r="P2846" s="2" t="s">
        <v>7775</v>
      </c>
      <c r="Q2846" s="2" t="s">
        <v>16842</v>
      </c>
      <c r="R2846" s="2" t="s">
        <v>40</v>
      </c>
      <c r="S2846" s="2" t="s">
        <v>16843</v>
      </c>
      <c r="T2846" s="2" t="s">
        <v>16844</v>
      </c>
      <c r="U2846" s="2" t="s">
        <v>16845</v>
      </c>
      <c r="V2846" s="2" t="s">
        <v>16846</v>
      </c>
      <c r="W2846" s="1"/>
      <c r="X2846" s="2" t="s">
        <v>1195</v>
      </c>
      <c r="Y2846" s="2" t="s">
        <v>16303</v>
      </c>
      <c r="AA2846" t="str">
        <f t="shared" si="264"/>
        <v>2025-07</v>
      </c>
      <c r="AB2846" t="str">
        <f t="shared" si="265"/>
        <v/>
      </c>
      <c r="AC2846">
        <f t="shared" si="266"/>
        <v>120467.1</v>
      </c>
      <c r="AD2846">
        <f t="shared" si="267"/>
        <v>30</v>
      </c>
      <c r="AE2846">
        <f t="shared" si="268"/>
        <v>17897.099999999999</v>
      </c>
      <c r="AF2846" t="str">
        <f t="shared" si="269"/>
        <v>Paid</v>
      </c>
    </row>
    <row r="2847" spans="1:32" ht="17.25" thickBot="1" x14ac:dyDescent="0.35">
      <c r="A2847" s="2" t="s">
        <v>16847</v>
      </c>
      <c r="B2847" s="2" t="s">
        <v>27</v>
      </c>
      <c r="C2847" s="2" t="s">
        <v>28</v>
      </c>
      <c r="D2847" s="2" t="s">
        <v>97</v>
      </c>
      <c r="E2847" s="2" t="s">
        <v>15863</v>
      </c>
      <c r="F2847" s="2" t="s">
        <v>31</v>
      </c>
      <c r="G2847" s="2" t="s">
        <v>32</v>
      </c>
      <c r="H2847" s="1"/>
      <c r="I2847" s="2" t="s">
        <v>33</v>
      </c>
      <c r="J2847" s="2" t="s">
        <v>34</v>
      </c>
      <c r="K2847" s="2" t="s">
        <v>16848</v>
      </c>
      <c r="L2847" s="2" t="s">
        <v>16849</v>
      </c>
      <c r="M2847" s="2" t="s">
        <v>1787</v>
      </c>
      <c r="N2847" s="2" t="s">
        <v>38</v>
      </c>
      <c r="O2847" s="2" t="s">
        <v>141</v>
      </c>
      <c r="P2847" s="2" t="s">
        <v>7775</v>
      </c>
      <c r="Q2847" s="2" t="s">
        <v>16842</v>
      </c>
      <c r="R2847" s="2" t="s">
        <v>40</v>
      </c>
      <c r="S2847" s="2" t="s">
        <v>16843</v>
      </c>
      <c r="T2847" s="2" t="s">
        <v>16844</v>
      </c>
      <c r="U2847" s="2" t="s">
        <v>16845</v>
      </c>
      <c r="V2847" s="2" t="s">
        <v>16846</v>
      </c>
      <c r="W2847" s="1"/>
      <c r="X2847" s="2" t="s">
        <v>1195</v>
      </c>
      <c r="Y2847" s="2" t="s">
        <v>16303</v>
      </c>
      <c r="AA2847" t="str">
        <f t="shared" si="264"/>
        <v>2025-07</v>
      </c>
      <c r="AB2847" t="str">
        <f t="shared" si="265"/>
        <v/>
      </c>
      <c r="AC2847">
        <f t="shared" si="266"/>
        <v>120467.1</v>
      </c>
      <c r="AD2847">
        <f t="shared" si="267"/>
        <v>30</v>
      </c>
      <c r="AE2847">
        <f t="shared" si="268"/>
        <v>17897.099999999999</v>
      </c>
      <c r="AF2847" t="str">
        <f t="shared" si="269"/>
        <v>Paid</v>
      </c>
    </row>
    <row r="2848" spans="1:32" ht="17.25" thickBot="1" x14ac:dyDescent="0.35">
      <c r="A2848" s="2" t="s">
        <v>16850</v>
      </c>
      <c r="B2848" s="2" t="s">
        <v>27</v>
      </c>
      <c r="C2848" s="2" t="s">
        <v>28</v>
      </c>
      <c r="D2848" s="2" t="s">
        <v>97</v>
      </c>
      <c r="E2848" s="2" t="s">
        <v>15863</v>
      </c>
      <c r="F2848" s="2" t="s">
        <v>31</v>
      </c>
      <c r="G2848" s="2" t="s">
        <v>32</v>
      </c>
      <c r="H2848" s="1"/>
      <c r="I2848" s="2" t="s">
        <v>33</v>
      </c>
      <c r="J2848" s="2" t="s">
        <v>34</v>
      </c>
      <c r="K2848" s="2" t="s">
        <v>16851</v>
      </c>
      <c r="L2848" s="2" t="s">
        <v>16852</v>
      </c>
      <c r="M2848" s="2" t="s">
        <v>1787</v>
      </c>
      <c r="N2848" s="2" t="s">
        <v>38</v>
      </c>
      <c r="O2848" s="2" t="s">
        <v>141</v>
      </c>
      <c r="P2848" s="2" t="s">
        <v>7775</v>
      </c>
      <c r="Q2848" s="2" t="s">
        <v>16842</v>
      </c>
      <c r="R2848" s="2" t="s">
        <v>40</v>
      </c>
      <c r="S2848" s="2" t="s">
        <v>16843</v>
      </c>
      <c r="T2848" s="2" t="s">
        <v>16844</v>
      </c>
      <c r="U2848" s="2" t="s">
        <v>16845</v>
      </c>
      <c r="V2848" s="2" t="s">
        <v>16846</v>
      </c>
      <c r="W2848" s="1"/>
      <c r="X2848" s="2" t="s">
        <v>1195</v>
      </c>
      <c r="Y2848" s="2" t="s">
        <v>16303</v>
      </c>
      <c r="AA2848" t="str">
        <f t="shared" si="264"/>
        <v>2025-07</v>
      </c>
      <c r="AB2848" t="str">
        <f t="shared" si="265"/>
        <v/>
      </c>
      <c r="AC2848">
        <f t="shared" si="266"/>
        <v>120467.1</v>
      </c>
      <c r="AD2848">
        <f t="shared" si="267"/>
        <v>30</v>
      </c>
      <c r="AE2848">
        <f t="shared" si="268"/>
        <v>17897.099999999999</v>
      </c>
      <c r="AF2848" t="str">
        <f t="shared" si="269"/>
        <v>Paid</v>
      </c>
    </row>
    <row r="2849" spans="1:32" ht="17.25" thickBot="1" x14ac:dyDescent="0.35">
      <c r="A2849" s="2" t="s">
        <v>16853</v>
      </c>
      <c r="B2849" s="2" t="s">
        <v>27</v>
      </c>
      <c r="C2849" s="2" t="s">
        <v>28</v>
      </c>
      <c r="D2849" s="2" t="s">
        <v>97</v>
      </c>
      <c r="E2849" s="2" t="s">
        <v>15863</v>
      </c>
      <c r="F2849" s="2" t="s">
        <v>31</v>
      </c>
      <c r="G2849" s="2" t="s">
        <v>32</v>
      </c>
      <c r="H2849" s="1"/>
      <c r="I2849" s="2" t="s">
        <v>33</v>
      </c>
      <c r="J2849" s="2" t="s">
        <v>34</v>
      </c>
      <c r="K2849" s="2" t="s">
        <v>16854</v>
      </c>
      <c r="L2849" s="2" t="s">
        <v>16855</v>
      </c>
      <c r="M2849" s="2" t="s">
        <v>1787</v>
      </c>
      <c r="N2849" s="2" t="s">
        <v>38</v>
      </c>
      <c r="O2849" s="2" t="s">
        <v>141</v>
      </c>
      <c r="P2849" s="2" t="s">
        <v>7775</v>
      </c>
      <c r="Q2849" s="2" t="s">
        <v>16842</v>
      </c>
      <c r="R2849" s="2" t="s">
        <v>40</v>
      </c>
      <c r="S2849" s="2" t="s">
        <v>16843</v>
      </c>
      <c r="T2849" s="2" t="s">
        <v>16844</v>
      </c>
      <c r="U2849" s="2" t="s">
        <v>16845</v>
      </c>
      <c r="V2849" s="2" t="s">
        <v>16846</v>
      </c>
      <c r="W2849" s="1"/>
      <c r="X2849" s="2" t="s">
        <v>1195</v>
      </c>
      <c r="Y2849" s="2" t="s">
        <v>16303</v>
      </c>
      <c r="AA2849" t="str">
        <f t="shared" si="264"/>
        <v>2025-07</v>
      </c>
      <c r="AB2849" t="str">
        <f t="shared" si="265"/>
        <v/>
      </c>
      <c r="AC2849">
        <f t="shared" si="266"/>
        <v>120467.1</v>
      </c>
      <c r="AD2849">
        <f t="shared" si="267"/>
        <v>30</v>
      </c>
      <c r="AE2849">
        <f t="shared" si="268"/>
        <v>17897.099999999999</v>
      </c>
      <c r="AF2849" t="str">
        <f t="shared" si="269"/>
        <v>Paid</v>
      </c>
    </row>
    <row r="2850" spans="1:32" ht="17.25" thickBot="1" x14ac:dyDescent="0.35">
      <c r="A2850" s="2" t="s">
        <v>16856</v>
      </c>
      <c r="B2850" s="2" t="s">
        <v>27</v>
      </c>
      <c r="C2850" s="2" t="s">
        <v>28</v>
      </c>
      <c r="D2850" s="2" t="s">
        <v>97</v>
      </c>
      <c r="E2850" s="2" t="s">
        <v>15863</v>
      </c>
      <c r="F2850" s="2" t="s">
        <v>31</v>
      </c>
      <c r="G2850" s="2" t="s">
        <v>32</v>
      </c>
      <c r="H2850" s="1"/>
      <c r="I2850" s="2" t="s">
        <v>33</v>
      </c>
      <c r="J2850" s="2" t="s">
        <v>34</v>
      </c>
      <c r="K2850" s="2" t="s">
        <v>16857</v>
      </c>
      <c r="L2850" s="2" t="s">
        <v>16858</v>
      </c>
      <c r="M2850" s="2" t="s">
        <v>1787</v>
      </c>
      <c r="N2850" s="2" t="s">
        <v>38</v>
      </c>
      <c r="O2850" s="2" t="s">
        <v>141</v>
      </c>
      <c r="P2850" s="2" t="s">
        <v>7775</v>
      </c>
      <c r="Q2850" s="2" t="s">
        <v>16842</v>
      </c>
      <c r="R2850" s="2" t="s">
        <v>40</v>
      </c>
      <c r="S2850" s="2" t="s">
        <v>16843</v>
      </c>
      <c r="T2850" s="2" t="s">
        <v>16844</v>
      </c>
      <c r="U2850" s="2" t="s">
        <v>16845</v>
      </c>
      <c r="V2850" s="2" t="s">
        <v>16846</v>
      </c>
      <c r="W2850" s="1"/>
      <c r="X2850" s="2" t="s">
        <v>1195</v>
      </c>
      <c r="Y2850" s="2" t="s">
        <v>16303</v>
      </c>
      <c r="AA2850" t="str">
        <f t="shared" si="264"/>
        <v>2025-07</v>
      </c>
      <c r="AB2850" t="str">
        <f t="shared" si="265"/>
        <v/>
      </c>
      <c r="AC2850">
        <f t="shared" si="266"/>
        <v>120467.1</v>
      </c>
      <c r="AD2850">
        <f t="shared" si="267"/>
        <v>30</v>
      </c>
      <c r="AE2850">
        <f t="shared" si="268"/>
        <v>17897.099999999999</v>
      </c>
      <c r="AF2850" t="str">
        <f t="shared" si="269"/>
        <v>Paid</v>
      </c>
    </row>
    <row r="2851" spans="1:32" ht="17.25" thickBot="1" x14ac:dyDescent="0.35">
      <c r="A2851" s="2" t="s">
        <v>16859</v>
      </c>
      <c r="B2851" s="2" t="s">
        <v>27</v>
      </c>
      <c r="C2851" s="2" t="s">
        <v>28</v>
      </c>
      <c r="D2851" s="2" t="s">
        <v>97</v>
      </c>
      <c r="E2851" s="2" t="s">
        <v>15863</v>
      </c>
      <c r="F2851" s="2" t="s">
        <v>31</v>
      </c>
      <c r="G2851" s="2" t="s">
        <v>32</v>
      </c>
      <c r="H2851" s="1"/>
      <c r="I2851" s="2" t="s">
        <v>33</v>
      </c>
      <c r="J2851" s="2" t="s">
        <v>34</v>
      </c>
      <c r="K2851" s="2" t="s">
        <v>16860</v>
      </c>
      <c r="L2851" s="2" t="s">
        <v>16861</v>
      </c>
      <c r="M2851" s="2" t="s">
        <v>1787</v>
      </c>
      <c r="N2851" s="2" t="s">
        <v>38</v>
      </c>
      <c r="O2851" s="2" t="s">
        <v>141</v>
      </c>
      <c r="P2851" s="2" t="s">
        <v>4750</v>
      </c>
      <c r="Q2851" s="2" t="s">
        <v>16862</v>
      </c>
      <c r="R2851" s="2" t="s">
        <v>40</v>
      </c>
      <c r="S2851" s="2" t="s">
        <v>16863</v>
      </c>
      <c r="T2851" s="2" t="s">
        <v>16864</v>
      </c>
      <c r="U2851" s="2" t="s">
        <v>16865</v>
      </c>
      <c r="V2851" s="2" t="s">
        <v>16866</v>
      </c>
      <c r="W2851" s="1"/>
      <c r="X2851" s="2" t="s">
        <v>3205</v>
      </c>
      <c r="Y2851" s="2" t="s">
        <v>16303</v>
      </c>
      <c r="AA2851" t="str">
        <f t="shared" si="264"/>
        <v>2025-07</v>
      </c>
      <c r="AB2851" t="str">
        <f t="shared" si="265"/>
        <v/>
      </c>
      <c r="AC2851">
        <f t="shared" si="266"/>
        <v>240531.3</v>
      </c>
      <c r="AD2851">
        <f t="shared" si="267"/>
        <v>30</v>
      </c>
      <c r="AE2851">
        <f t="shared" si="268"/>
        <v>35421.300000000003</v>
      </c>
      <c r="AF2851" t="str">
        <f t="shared" si="269"/>
        <v>Paid</v>
      </c>
    </row>
    <row r="2852" spans="1:32" ht="17.25" thickBot="1" x14ac:dyDescent="0.35">
      <c r="A2852" s="2" t="s">
        <v>16867</v>
      </c>
      <c r="B2852" s="2" t="s">
        <v>27</v>
      </c>
      <c r="C2852" s="2" t="s">
        <v>28</v>
      </c>
      <c r="D2852" s="2" t="s">
        <v>97</v>
      </c>
      <c r="E2852" s="2" t="s">
        <v>15863</v>
      </c>
      <c r="F2852" s="2" t="s">
        <v>31</v>
      </c>
      <c r="G2852" s="2" t="s">
        <v>32</v>
      </c>
      <c r="H2852" s="1"/>
      <c r="I2852" s="2" t="s">
        <v>33</v>
      </c>
      <c r="J2852" s="2" t="s">
        <v>34</v>
      </c>
      <c r="K2852" s="2" t="s">
        <v>16868</v>
      </c>
      <c r="L2852" s="2" t="s">
        <v>16869</v>
      </c>
      <c r="M2852" s="2" t="s">
        <v>1787</v>
      </c>
      <c r="N2852" s="2" t="s">
        <v>38</v>
      </c>
      <c r="O2852" s="2" t="s">
        <v>141</v>
      </c>
      <c r="P2852" s="2" t="s">
        <v>5084</v>
      </c>
      <c r="Q2852" s="2" t="s">
        <v>16870</v>
      </c>
      <c r="R2852" s="2" t="s">
        <v>40</v>
      </c>
      <c r="S2852" s="2" t="s">
        <v>16871</v>
      </c>
      <c r="T2852" s="2" t="s">
        <v>16864</v>
      </c>
      <c r="U2852" s="2" t="s">
        <v>16865</v>
      </c>
      <c r="V2852" s="2" t="s">
        <v>16872</v>
      </c>
      <c r="W2852" s="1"/>
      <c r="X2852" s="2" t="s">
        <v>1195</v>
      </c>
      <c r="Y2852" s="2" t="s">
        <v>16303</v>
      </c>
      <c r="AA2852" t="str">
        <f t="shared" si="264"/>
        <v>2025-07</v>
      </c>
      <c r="AB2852" t="str">
        <f t="shared" si="265"/>
        <v/>
      </c>
      <c r="AC2852">
        <f t="shared" si="266"/>
        <v>240934.2</v>
      </c>
      <c r="AD2852">
        <f t="shared" si="267"/>
        <v>30</v>
      </c>
      <c r="AE2852">
        <f t="shared" si="268"/>
        <v>35824.199999999997</v>
      </c>
      <c r="AF2852" t="str">
        <f t="shared" si="269"/>
        <v>Paid</v>
      </c>
    </row>
    <row r="2853" spans="1:32" ht="17.25" thickBot="1" x14ac:dyDescent="0.35">
      <c r="A2853" s="2" t="s">
        <v>16873</v>
      </c>
      <c r="B2853" s="2" t="s">
        <v>27</v>
      </c>
      <c r="C2853" s="2" t="s">
        <v>28</v>
      </c>
      <c r="D2853" s="2" t="s">
        <v>97</v>
      </c>
      <c r="E2853" s="2" t="s">
        <v>15863</v>
      </c>
      <c r="F2853" s="2" t="s">
        <v>31</v>
      </c>
      <c r="G2853" s="2" t="s">
        <v>32</v>
      </c>
      <c r="H2853" s="1"/>
      <c r="I2853" s="2" t="s">
        <v>33</v>
      </c>
      <c r="J2853" s="2" t="s">
        <v>34</v>
      </c>
      <c r="K2853" s="2" t="s">
        <v>16874</v>
      </c>
      <c r="L2853" s="2" t="s">
        <v>16875</v>
      </c>
      <c r="M2853" s="2" t="s">
        <v>1787</v>
      </c>
      <c r="N2853" s="2" t="s">
        <v>38</v>
      </c>
      <c r="O2853" s="2" t="s">
        <v>141</v>
      </c>
      <c r="P2853" s="2" t="s">
        <v>4750</v>
      </c>
      <c r="Q2853" s="2" t="s">
        <v>16862</v>
      </c>
      <c r="R2853" s="2" t="s">
        <v>40</v>
      </c>
      <c r="S2853" s="2" t="s">
        <v>16863</v>
      </c>
      <c r="T2853" s="2" t="s">
        <v>16864</v>
      </c>
      <c r="U2853" s="2" t="s">
        <v>16865</v>
      </c>
      <c r="V2853" s="2" t="s">
        <v>16866</v>
      </c>
      <c r="W2853" s="1"/>
      <c r="X2853" s="2" t="s">
        <v>3205</v>
      </c>
      <c r="Y2853" s="2" t="s">
        <v>16303</v>
      </c>
      <c r="AA2853" t="str">
        <f t="shared" si="264"/>
        <v>2025-07</v>
      </c>
      <c r="AB2853" t="str">
        <f t="shared" si="265"/>
        <v/>
      </c>
      <c r="AC2853">
        <f t="shared" si="266"/>
        <v>240531.3</v>
      </c>
      <c r="AD2853">
        <f t="shared" si="267"/>
        <v>30</v>
      </c>
      <c r="AE2853">
        <f t="shared" si="268"/>
        <v>35421.300000000003</v>
      </c>
      <c r="AF2853" t="str">
        <f t="shared" si="269"/>
        <v>Paid</v>
      </c>
    </row>
    <row r="2854" spans="1:32" ht="17.25" thickBot="1" x14ac:dyDescent="0.35">
      <c r="A2854" s="2" t="s">
        <v>16876</v>
      </c>
      <c r="B2854" s="2" t="s">
        <v>27</v>
      </c>
      <c r="C2854" s="2" t="s">
        <v>28</v>
      </c>
      <c r="D2854" s="2" t="s">
        <v>97</v>
      </c>
      <c r="E2854" s="2" t="s">
        <v>15863</v>
      </c>
      <c r="F2854" s="2" t="s">
        <v>31</v>
      </c>
      <c r="G2854" s="2" t="s">
        <v>32</v>
      </c>
      <c r="H2854" s="1"/>
      <c r="I2854" s="2" t="s">
        <v>33</v>
      </c>
      <c r="J2854" s="2" t="s">
        <v>34</v>
      </c>
      <c r="K2854" s="2" t="s">
        <v>16877</v>
      </c>
      <c r="L2854" s="2" t="s">
        <v>16878</v>
      </c>
      <c r="M2854" s="2" t="s">
        <v>1787</v>
      </c>
      <c r="N2854" s="2" t="s">
        <v>38</v>
      </c>
      <c r="O2854" s="2" t="s">
        <v>141</v>
      </c>
      <c r="P2854" s="2" t="s">
        <v>4750</v>
      </c>
      <c r="Q2854" s="2" t="s">
        <v>16862</v>
      </c>
      <c r="R2854" s="2" t="s">
        <v>40</v>
      </c>
      <c r="S2854" s="2" t="s">
        <v>16863</v>
      </c>
      <c r="T2854" s="2" t="s">
        <v>16864</v>
      </c>
      <c r="U2854" s="2" t="s">
        <v>16865</v>
      </c>
      <c r="V2854" s="2" t="s">
        <v>16866</v>
      </c>
      <c r="W2854" s="1"/>
      <c r="X2854" s="2" t="s">
        <v>3205</v>
      </c>
      <c r="Y2854" s="2" t="s">
        <v>16303</v>
      </c>
      <c r="AA2854" t="str">
        <f t="shared" si="264"/>
        <v>2025-07</v>
      </c>
      <c r="AB2854" t="str">
        <f t="shared" si="265"/>
        <v/>
      </c>
      <c r="AC2854">
        <f t="shared" si="266"/>
        <v>240531.3</v>
      </c>
      <c r="AD2854">
        <f t="shared" si="267"/>
        <v>30</v>
      </c>
      <c r="AE2854">
        <f t="shared" si="268"/>
        <v>35421.300000000003</v>
      </c>
      <c r="AF2854" t="str">
        <f t="shared" si="269"/>
        <v>Paid</v>
      </c>
    </row>
    <row r="2855" spans="1:32" ht="17.25" thickBot="1" x14ac:dyDescent="0.35">
      <c r="A2855" s="2" t="s">
        <v>16879</v>
      </c>
      <c r="B2855" s="2" t="s">
        <v>27</v>
      </c>
      <c r="C2855" s="2" t="s">
        <v>28</v>
      </c>
      <c r="D2855" s="2" t="s">
        <v>97</v>
      </c>
      <c r="E2855" s="2" t="s">
        <v>15863</v>
      </c>
      <c r="F2855" s="2" t="s">
        <v>31</v>
      </c>
      <c r="G2855" s="2" t="s">
        <v>32</v>
      </c>
      <c r="H2855" s="1"/>
      <c r="I2855" s="2" t="s">
        <v>33</v>
      </c>
      <c r="J2855" s="2" t="s">
        <v>34</v>
      </c>
      <c r="K2855" s="2" t="s">
        <v>16880</v>
      </c>
      <c r="L2855" s="2" t="s">
        <v>16881</v>
      </c>
      <c r="M2855" s="2" t="s">
        <v>1787</v>
      </c>
      <c r="N2855" s="2" t="s">
        <v>38</v>
      </c>
      <c r="O2855" s="2" t="s">
        <v>141</v>
      </c>
      <c r="P2855" s="2" t="s">
        <v>7775</v>
      </c>
      <c r="Q2855" s="2" t="s">
        <v>16842</v>
      </c>
      <c r="R2855" s="2" t="s">
        <v>40</v>
      </c>
      <c r="S2855" s="2" t="s">
        <v>16843</v>
      </c>
      <c r="T2855" s="2" t="s">
        <v>16844</v>
      </c>
      <c r="U2855" s="2" t="s">
        <v>16845</v>
      </c>
      <c r="V2855" s="2" t="s">
        <v>16846</v>
      </c>
      <c r="W2855" s="1"/>
      <c r="X2855" s="2" t="s">
        <v>1195</v>
      </c>
      <c r="Y2855" s="2" t="s">
        <v>16303</v>
      </c>
      <c r="AA2855" t="str">
        <f t="shared" si="264"/>
        <v>2025-07</v>
      </c>
      <c r="AB2855" t="str">
        <f t="shared" si="265"/>
        <v/>
      </c>
      <c r="AC2855">
        <f t="shared" si="266"/>
        <v>120467.1</v>
      </c>
      <c r="AD2855">
        <f t="shared" si="267"/>
        <v>30</v>
      </c>
      <c r="AE2855">
        <f t="shared" si="268"/>
        <v>17897.099999999999</v>
      </c>
      <c r="AF2855" t="str">
        <f t="shared" si="269"/>
        <v>Paid</v>
      </c>
    </row>
    <row r="2856" spans="1:32" ht="17.25" thickBot="1" x14ac:dyDescent="0.35">
      <c r="A2856" s="2" t="s">
        <v>16882</v>
      </c>
      <c r="B2856" s="2" t="s">
        <v>27</v>
      </c>
      <c r="C2856" s="2" t="s">
        <v>28</v>
      </c>
      <c r="D2856" s="2" t="s">
        <v>97</v>
      </c>
      <c r="E2856" s="2" t="s">
        <v>15863</v>
      </c>
      <c r="F2856" s="2" t="s">
        <v>31</v>
      </c>
      <c r="G2856" s="2" t="s">
        <v>32</v>
      </c>
      <c r="H2856" s="1"/>
      <c r="I2856" s="2" t="s">
        <v>33</v>
      </c>
      <c r="J2856" s="2" t="s">
        <v>34</v>
      </c>
      <c r="K2856" s="2" t="s">
        <v>16883</v>
      </c>
      <c r="L2856" s="2" t="s">
        <v>16884</v>
      </c>
      <c r="M2856" s="2" t="s">
        <v>1787</v>
      </c>
      <c r="N2856" s="2" t="s">
        <v>38</v>
      </c>
      <c r="O2856" s="2" t="s">
        <v>141</v>
      </c>
      <c r="P2856" s="2" t="s">
        <v>7775</v>
      </c>
      <c r="Q2856" s="2" t="s">
        <v>16842</v>
      </c>
      <c r="R2856" s="2" t="s">
        <v>40</v>
      </c>
      <c r="S2856" s="2" t="s">
        <v>16843</v>
      </c>
      <c r="T2856" s="2" t="s">
        <v>16844</v>
      </c>
      <c r="U2856" s="2" t="s">
        <v>16845</v>
      </c>
      <c r="V2856" s="2" t="s">
        <v>16846</v>
      </c>
      <c r="W2856" s="1"/>
      <c r="X2856" s="2" t="s">
        <v>1195</v>
      </c>
      <c r="Y2856" s="2" t="s">
        <v>16303</v>
      </c>
      <c r="AA2856" t="str">
        <f t="shared" si="264"/>
        <v>2025-07</v>
      </c>
      <c r="AB2856" t="str">
        <f t="shared" si="265"/>
        <v/>
      </c>
      <c r="AC2856">
        <f t="shared" si="266"/>
        <v>120467.1</v>
      </c>
      <c r="AD2856">
        <f t="shared" si="267"/>
        <v>30</v>
      </c>
      <c r="AE2856">
        <f t="shared" si="268"/>
        <v>17897.099999999999</v>
      </c>
      <c r="AF2856" t="str">
        <f t="shared" si="269"/>
        <v>Paid</v>
      </c>
    </row>
    <row r="2857" spans="1:32" ht="17.25" thickBot="1" x14ac:dyDescent="0.35">
      <c r="A2857" s="2" t="s">
        <v>16885</v>
      </c>
      <c r="B2857" s="2" t="s">
        <v>27</v>
      </c>
      <c r="C2857" s="2" t="s">
        <v>28</v>
      </c>
      <c r="D2857" s="2" t="s">
        <v>97</v>
      </c>
      <c r="E2857" s="2" t="s">
        <v>15863</v>
      </c>
      <c r="F2857" s="2" t="s">
        <v>31</v>
      </c>
      <c r="G2857" s="2" t="s">
        <v>32</v>
      </c>
      <c r="H2857" s="1"/>
      <c r="I2857" s="2" t="s">
        <v>33</v>
      </c>
      <c r="J2857" s="2" t="s">
        <v>34</v>
      </c>
      <c r="K2857" s="2" t="s">
        <v>16886</v>
      </c>
      <c r="L2857" s="2" t="s">
        <v>16887</v>
      </c>
      <c r="M2857" s="2" t="s">
        <v>1787</v>
      </c>
      <c r="N2857" s="2" t="s">
        <v>38</v>
      </c>
      <c r="O2857" s="2" t="s">
        <v>85</v>
      </c>
      <c r="P2857" s="2" t="s">
        <v>4671</v>
      </c>
      <c r="Q2857" s="2" t="s">
        <v>16888</v>
      </c>
      <c r="R2857" s="2" t="s">
        <v>40</v>
      </c>
      <c r="S2857" s="2" t="s">
        <v>16889</v>
      </c>
      <c r="T2857" s="2" t="s">
        <v>16890</v>
      </c>
      <c r="U2857" s="2" t="s">
        <v>16891</v>
      </c>
      <c r="V2857" s="2" t="s">
        <v>16892</v>
      </c>
      <c r="W2857" s="1"/>
      <c r="X2857" s="2" t="s">
        <v>4195</v>
      </c>
      <c r="Y2857" s="2" t="s">
        <v>16303</v>
      </c>
      <c r="AA2857" t="str">
        <f t="shared" si="264"/>
        <v>2025-07</v>
      </c>
      <c r="AB2857" t="str">
        <f t="shared" si="265"/>
        <v/>
      </c>
      <c r="AC2857">
        <f t="shared" si="266"/>
        <v>84286.68</v>
      </c>
      <c r="AD2857">
        <f t="shared" si="267"/>
        <v>12</v>
      </c>
      <c r="AE2857">
        <f t="shared" si="268"/>
        <v>12502.68</v>
      </c>
      <c r="AF2857" t="str">
        <f t="shared" si="269"/>
        <v>Paid</v>
      </c>
    </row>
    <row r="2858" spans="1:32" ht="17.25" thickBot="1" x14ac:dyDescent="0.35">
      <c r="A2858" s="2" t="s">
        <v>16893</v>
      </c>
      <c r="B2858" s="2" t="s">
        <v>27</v>
      </c>
      <c r="C2858" s="2" t="s">
        <v>28</v>
      </c>
      <c r="D2858" s="2" t="s">
        <v>97</v>
      </c>
      <c r="E2858" s="2" t="s">
        <v>15863</v>
      </c>
      <c r="F2858" s="2" t="s">
        <v>31</v>
      </c>
      <c r="G2858" s="2" t="s">
        <v>32</v>
      </c>
      <c r="H2858" s="1"/>
      <c r="I2858" s="2" t="s">
        <v>33</v>
      </c>
      <c r="J2858" s="2" t="s">
        <v>34</v>
      </c>
      <c r="K2858" s="2" t="s">
        <v>16894</v>
      </c>
      <c r="L2858" s="2" t="s">
        <v>16895</v>
      </c>
      <c r="M2858" s="2" t="s">
        <v>1787</v>
      </c>
      <c r="N2858" s="2" t="s">
        <v>38</v>
      </c>
      <c r="O2858" s="2" t="s">
        <v>141</v>
      </c>
      <c r="P2858" s="2" t="s">
        <v>16560</v>
      </c>
      <c r="Q2858" s="2" t="s">
        <v>16561</v>
      </c>
      <c r="R2858" s="2" t="s">
        <v>40</v>
      </c>
      <c r="S2858" s="2" t="s">
        <v>16562</v>
      </c>
      <c r="T2858" s="2" t="s">
        <v>1982</v>
      </c>
      <c r="U2858" s="2" t="s">
        <v>16896</v>
      </c>
      <c r="V2858" s="2" t="s">
        <v>16897</v>
      </c>
      <c r="W2858" s="1"/>
      <c r="X2858" s="2" t="s">
        <v>6663</v>
      </c>
      <c r="Y2858" s="2" t="s">
        <v>16303</v>
      </c>
      <c r="AA2858" t="str">
        <f t="shared" si="264"/>
        <v>2025-07</v>
      </c>
      <c r="AB2858" t="str">
        <f t="shared" si="265"/>
        <v/>
      </c>
      <c r="AC2858">
        <f t="shared" si="266"/>
        <v>180499.20000000001</v>
      </c>
      <c r="AD2858">
        <f t="shared" si="267"/>
        <v>30</v>
      </c>
      <c r="AE2858">
        <f t="shared" si="268"/>
        <v>40639.199999999997</v>
      </c>
      <c r="AF2858" t="str">
        <f t="shared" si="269"/>
        <v>Paid</v>
      </c>
    </row>
    <row r="2859" spans="1:32" ht="17.25" thickBot="1" x14ac:dyDescent="0.35">
      <c r="A2859" s="2" t="s">
        <v>16898</v>
      </c>
      <c r="B2859" s="2" t="s">
        <v>27</v>
      </c>
      <c r="C2859" s="2" t="s">
        <v>28</v>
      </c>
      <c r="D2859" s="2" t="s">
        <v>97</v>
      </c>
      <c r="E2859" s="2" t="s">
        <v>15863</v>
      </c>
      <c r="F2859" s="2" t="s">
        <v>31</v>
      </c>
      <c r="G2859" s="2" t="s">
        <v>32</v>
      </c>
      <c r="H2859" s="1"/>
      <c r="I2859" s="2" t="s">
        <v>33</v>
      </c>
      <c r="J2859" s="2" t="s">
        <v>34</v>
      </c>
      <c r="K2859" s="2" t="s">
        <v>16899</v>
      </c>
      <c r="L2859" s="2" t="s">
        <v>16900</v>
      </c>
      <c r="M2859" s="2" t="s">
        <v>1787</v>
      </c>
      <c r="N2859" s="2" t="s">
        <v>38</v>
      </c>
      <c r="O2859" s="2" t="s">
        <v>141</v>
      </c>
      <c r="P2859" s="2" t="s">
        <v>4671</v>
      </c>
      <c r="Q2859" s="2" t="s">
        <v>16901</v>
      </c>
      <c r="R2859" s="2" t="s">
        <v>40</v>
      </c>
      <c r="S2859" s="2" t="s">
        <v>16902</v>
      </c>
      <c r="T2859" s="2" t="s">
        <v>16890</v>
      </c>
      <c r="U2859" s="2" t="s">
        <v>16903</v>
      </c>
      <c r="V2859" s="2" t="s">
        <v>16904</v>
      </c>
      <c r="W2859" s="1"/>
      <c r="X2859" s="2" t="s">
        <v>4195</v>
      </c>
      <c r="Y2859" s="2" t="s">
        <v>16303</v>
      </c>
      <c r="AA2859" t="str">
        <f t="shared" si="264"/>
        <v>2025-07</v>
      </c>
      <c r="AB2859" t="str">
        <f t="shared" si="265"/>
        <v/>
      </c>
      <c r="AC2859">
        <f t="shared" si="266"/>
        <v>210716.7</v>
      </c>
      <c r="AD2859">
        <f t="shared" si="267"/>
        <v>30</v>
      </c>
      <c r="AE2859">
        <f t="shared" si="268"/>
        <v>31256.7</v>
      </c>
      <c r="AF2859" t="str">
        <f t="shared" si="269"/>
        <v>Paid</v>
      </c>
    </row>
    <row r="2860" spans="1:32" ht="17.25" thickBot="1" x14ac:dyDescent="0.35">
      <c r="A2860" s="2" t="s">
        <v>16905</v>
      </c>
      <c r="B2860" s="2" t="s">
        <v>27</v>
      </c>
      <c r="C2860" s="2" t="s">
        <v>28</v>
      </c>
      <c r="D2860" s="2" t="s">
        <v>97</v>
      </c>
      <c r="E2860" s="2" t="s">
        <v>15863</v>
      </c>
      <c r="F2860" s="2" t="s">
        <v>31</v>
      </c>
      <c r="G2860" s="2" t="s">
        <v>32</v>
      </c>
      <c r="H2860" s="1"/>
      <c r="I2860" s="2" t="s">
        <v>33</v>
      </c>
      <c r="J2860" s="2" t="s">
        <v>34</v>
      </c>
      <c r="K2860" s="2" t="s">
        <v>16906</v>
      </c>
      <c r="L2860" s="2" t="s">
        <v>16907</v>
      </c>
      <c r="M2860" s="2" t="s">
        <v>1787</v>
      </c>
      <c r="N2860" s="2" t="s">
        <v>38</v>
      </c>
      <c r="O2860" s="2" t="s">
        <v>57</v>
      </c>
      <c r="P2860" s="2" t="s">
        <v>16560</v>
      </c>
      <c r="Q2860" s="2" t="s">
        <v>16908</v>
      </c>
      <c r="R2860" s="2" t="s">
        <v>40</v>
      </c>
      <c r="S2860" s="2" t="s">
        <v>16909</v>
      </c>
      <c r="T2860" s="2" t="s">
        <v>16910</v>
      </c>
      <c r="U2860" s="2" t="s">
        <v>16911</v>
      </c>
      <c r="V2860" s="2" t="s">
        <v>16912</v>
      </c>
      <c r="W2860" s="1"/>
      <c r="X2860" s="2" t="s">
        <v>4195</v>
      </c>
      <c r="Y2860" s="2" t="s">
        <v>16303</v>
      </c>
      <c r="AA2860" t="str">
        <f t="shared" si="264"/>
        <v>2025-07</v>
      </c>
      <c r="AB2860" t="str">
        <f t="shared" si="265"/>
        <v/>
      </c>
      <c r="AC2860">
        <f t="shared" si="266"/>
        <v>30083.200000000001</v>
      </c>
      <c r="AD2860">
        <f t="shared" si="267"/>
        <v>5</v>
      </c>
      <c r="AE2860">
        <f t="shared" si="268"/>
        <v>4443.2</v>
      </c>
      <c r="AF2860" t="str">
        <f t="shared" si="269"/>
        <v>Paid</v>
      </c>
    </row>
    <row r="2861" spans="1:32" ht="17.25" thickBot="1" x14ac:dyDescent="0.35">
      <c r="A2861" s="2" t="s">
        <v>16913</v>
      </c>
      <c r="B2861" s="2" t="s">
        <v>27</v>
      </c>
      <c r="C2861" s="2" t="s">
        <v>28</v>
      </c>
      <c r="D2861" s="2" t="s">
        <v>97</v>
      </c>
      <c r="E2861" s="2" t="s">
        <v>15863</v>
      </c>
      <c r="F2861" s="2" t="s">
        <v>31</v>
      </c>
      <c r="G2861" s="2" t="s">
        <v>32</v>
      </c>
      <c r="H2861" s="1"/>
      <c r="I2861" s="2" t="s">
        <v>33</v>
      </c>
      <c r="J2861" s="2" t="s">
        <v>34</v>
      </c>
      <c r="K2861" s="2" t="s">
        <v>16914</v>
      </c>
      <c r="L2861" s="2" t="s">
        <v>16915</v>
      </c>
      <c r="M2861" s="2" t="s">
        <v>1787</v>
      </c>
      <c r="N2861" s="2" t="s">
        <v>38</v>
      </c>
      <c r="O2861" s="2" t="s">
        <v>79</v>
      </c>
      <c r="P2861" s="2" t="s">
        <v>16560</v>
      </c>
      <c r="Q2861" s="2" t="s">
        <v>16916</v>
      </c>
      <c r="R2861" s="2" t="s">
        <v>40</v>
      </c>
      <c r="S2861" s="2" t="s">
        <v>16917</v>
      </c>
      <c r="T2861" s="2" t="s">
        <v>16910</v>
      </c>
      <c r="U2861" s="2" t="s">
        <v>16918</v>
      </c>
      <c r="V2861" s="2" t="s">
        <v>16919</v>
      </c>
      <c r="W2861" s="1"/>
      <c r="X2861" s="2" t="s">
        <v>4195</v>
      </c>
      <c r="Y2861" s="2" t="s">
        <v>16303</v>
      </c>
      <c r="AA2861" t="str">
        <f t="shared" si="264"/>
        <v>2025-07</v>
      </c>
      <c r="AB2861" t="str">
        <f t="shared" si="265"/>
        <v/>
      </c>
      <c r="AC2861">
        <f t="shared" si="266"/>
        <v>60166.400000000001</v>
      </c>
      <c r="AD2861">
        <f t="shared" si="267"/>
        <v>10</v>
      </c>
      <c r="AE2861">
        <f t="shared" si="268"/>
        <v>8886.4</v>
      </c>
      <c r="AF2861" t="str">
        <f t="shared" si="269"/>
        <v>Paid</v>
      </c>
    </row>
    <row r="2862" spans="1:32" ht="17.25" thickBot="1" x14ac:dyDescent="0.35">
      <c r="A2862" s="2" t="s">
        <v>16920</v>
      </c>
      <c r="B2862" s="2" t="s">
        <v>27</v>
      </c>
      <c r="C2862" s="2" t="s">
        <v>28</v>
      </c>
      <c r="D2862" s="2" t="s">
        <v>97</v>
      </c>
      <c r="E2862" s="2" t="s">
        <v>15863</v>
      </c>
      <c r="F2862" s="2" t="s">
        <v>31</v>
      </c>
      <c r="G2862" s="2" t="s">
        <v>32</v>
      </c>
      <c r="H2862" s="1"/>
      <c r="I2862" s="2" t="s">
        <v>33</v>
      </c>
      <c r="J2862" s="2" t="s">
        <v>34</v>
      </c>
      <c r="K2862" s="2" t="s">
        <v>16914</v>
      </c>
      <c r="L2862" s="2" t="s">
        <v>16915</v>
      </c>
      <c r="M2862" s="2" t="s">
        <v>1787</v>
      </c>
      <c r="N2862" s="2" t="s">
        <v>38</v>
      </c>
      <c r="O2862" s="2" t="s">
        <v>148</v>
      </c>
      <c r="P2862" s="2" t="s">
        <v>16560</v>
      </c>
      <c r="Q2862" s="2" t="s">
        <v>16921</v>
      </c>
      <c r="R2862" s="2" t="s">
        <v>40</v>
      </c>
      <c r="S2862" s="2" t="s">
        <v>16922</v>
      </c>
      <c r="T2862" s="2" t="s">
        <v>16910</v>
      </c>
      <c r="U2862" s="2" t="s">
        <v>16923</v>
      </c>
      <c r="V2862" s="2" t="s">
        <v>16924</v>
      </c>
      <c r="W2862" s="1"/>
      <c r="X2862" s="2" t="s">
        <v>4195</v>
      </c>
      <c r="Y2862" s="2" t="s">
        <v>16303</v>
      </c>
      <c r="AA2862" t="str">
        <f t="shared" si="264"/>
        <v>2025-07</v>
      </c>
      <c r="AB2862" t="str">
        <f t="shared" si="265"/>
        <v/>
      </c>
      <c r="AC2862">
        <f t="shared" si="266"/>
        <v>114316.16</v>
      </c>
      <c r="AD2862">
        <f t="shared" si="267"/>
        <v>19</v>
      </c>
      <c r="AE2862">
        <f t="shared" si="268"/>
        <v>16884.16</v>
      </c>
      <c r="AF2862" t="str">
        <f t="shared" si="269"/>
        <v>Paid</v>
      </c>
    </row>
    <row r="2863" spans="1:32" ht="17.25" thickBot="1" x14ac:dyDescent="0.35">
      <c r="A2863" s="2" t="s">
        <v>16925</v>
      </c>
      <c r="B2863" s="2" t="s">
        <v>27</v>
      </c>
      <c r="C2863" s="2" t="s">
        <v>28</v>
      </c>
      <c r="D2863" s="2" t="s">
        <v>97</v>
      </c>
      <c r="E2863" s="2" t="s">
        <v>15863</v>
      </c>
      <c r="F2863" s="2" t="s">
        <v>31</v>
      </c>
      <c r="G2863" s="2" t="s">
        <v>32</v>
      </c>
      <c r="H2863" s="1"/>
      <c r="I2863" s="2" t="s">
        <v>33</v>
      </c>
      <c r="J2863" s="2" t="s">
        <v>34</v>
      </c>
      <c r="K2863" s="2" t="s">
        <v>16926</v>
      </c>
      <c r="L2863" s="2" t="s">
        <v>16927</v>
      </c>
      <c r="M2863" s="2" t="s">
        <v>1787</v>
      </c>
      <c r="N2863" s="2" t="s">
        <v>38</v>
      </c>
      <c r="O2863" s="2" t="s">
        <v>54</v>
      </c>
      <c r="P2863" s="2" t="s">
        <v>4671</v>
      </c>
      <c r="Q2863" s="2" t="s">
        <v>16928</v>
      </c>
      <c r="R2863" s="2" t="s">
        <v>40</v>
      </c>
      <c r="S2863" s="2" t="s">
        <v>16929</v>
      </c>
      <c r="T2863" s="2" t="s">
        <v>16890</v>
      </c>
      <c r="U2863" s="2" t="s">
        <v>16930</v>
      </c>
      <c r="V2863" s="2" t="s">
        <v>16931</v>
      </c>
      <c r="W2863" s="1"/>
      <c r="X2863" s="2" t="s">
        <v>4195</v>
      </c>
      <c r="Y2863" s="2" t="s">
        <v>16303</v>
      </c>
      <c r="AA2863" t="str">
        <f t="shared" si="264"/>
        <v>2025-07</v>
      </c>
      <c r="AB2863" t="str">
        <f t="shared" si="265"/>
        <v/>
      </c>
      <c r="AC2863">
        <f t="shared" si="266"/>
        <v>28095.56</v>
      </c>
      <c r="AD2863">
        <f t="shared" si="267"/>
        <v>4</v>
      </c>
      <c r="AE2863">
        <f t="shared" si="268"/>
        <v>4167.5600000000004</v>
      </c>
      <c r="AF2863" t="str">
        <f t="shared" si="269"/>
        <v>Paid</v>
      </c>
    </row>
    <row r="2864" spans="1:32" ht="17.25" thickBot="1" x14ac:dyDescent="0.35">
      <c r="A2864" s="2" t="s">
        <v>16932</v>
      </c>
      <c r="B2864" s="2" t="s">
        <v>27</v>
      </c>
      <c r="C2864" s="2" t="s">
        <v>28</v>
      </c>
      <c r="D2864" s="2" t="s">
        <v>97</v>
      </c>
      <c r="E2864" s="2" t="s">
        <v>15863</v>
      </c>
      <c r="F2864" s="2" t="s">
        <v>31</v>
      </c>
      <c r="G2864" s="2" t="s">
        <v>32</v>
      </c>
      <c r="H2864" s="1"/>
      <c r="I2864" s="2" t="s">
        <v>33</v>
      </c>
      <c r="J2864" s="2" t="s">
        <v>34</v>
      </c>
      <c r="K2864" s="2" t="s">
        <v>16926</v>
      </c>
      <c r="L2864" s="2" t="s">
        <v>16927</v>
      </c>
      <c r="M2864" s="2" t="s">
        <v>1787</v>
      </c>
      <c r="N2864" s="2" t="s">
        <v>38</v>
      </c>
      <c r="O2864" s="2" t="s">
        <v>399</v>
      </c>
      <c r="P2864" s="2" t="s">
        <v>4671</v>
      </c>
      <c r="Q2864" s="2" t="s">
        <v>16933</v>
      </c>
      <c r="R2864" s="2" t="s">
        <v>40</v>
      </c>
      <c r="S2864" s="2" t="s">
        <v>16934</v>
      </c>
      <c r="T2864" s="2" t="s">
        <v>16890</v>
      </c>
      <c r="U2864" s="2" t="s">
        <v>16935</v>
      </c>
      <c r="V2864" s="2" t="s">
        <v>16936</v>
      </c>
      <c r="W2864" s="1"/>
      <c r="X2864" s="2" t="s">
        <v>4195</v>
      </c>
      <c r="Y2864" s="2" t="s">
        <v>16303</v>
      </c>
      <c r="AA2864" t="str">
        <f t="shared" si="264"/>
        <v>2025-07</v>
      </c>
      <c r="AB2864" t="str">
        <f t="shared" si="265"/>
        <v/>
      </c>
      <c r="AC2864">
        <f t="shared" si="266"/>
        <v>330122.83</v>
      </c>
      <c r="AD2864">
        <f t="shared" si="267"/>
        <v>47</v>
      </c>
      <c r="AE2864">
        <f t="shared" si="268"/>
        <v>48968.83</v>
      </c>
      <c r="AF2864" t="str">
        <f t="shared" si="269"/>
        <v>Paid</v>
      </c>
    </row>
    <row r="2865" spans="1:32" ht="17.25" thickBot="1" x14ac:dyDescent="0.35">
      <c r="A2865" s="2" t="s">
        <v>16937</v>
      </c>
      <c r="B2865" s="2" t="s">
        <v>27</v>
      </c>
      <c r="C2865" s="2" t="s">
        <v>28</v>
      </c>
      <c r="D2865" s="2" t="s">
        <v>97</v>
      </c>
      <c r="E2865" s="2" t="s">
        <v>15863</v>
      </c>
      <c r="F2865" s="2" t="s">
        <v>31</v>
      </c>
      <c r="G2865" s="2" t="s">
        <v>32</v>
      </c>
      <c r="H2865" s="1"/>
      <c r="I2865" s="2" t="s">
        <v>33</v>
      </c>
      <c r="J2865" s="2" t="s">
        <v>34</v>
      </c>
      <c r="K2865" s="2" t="s">
        <v>16938</v>
      </c>
      <c r="L2865" s="2" t="s">
        <v>16939</v>
      </c>
      <c r="M2865" s="2" t="s">
        <v>1787</v>
      </c>
      <c r="N2865" s="2" t="s">
        <v>38</v>
      </c>
      <c r="O2865" s="2" t="s">
        <v>121</v>
      </c>
      <c r="P2865" s="2" t="s">
        <v>16560</v>
      </c>
      <c r="Q2865" s="2" t="s">
        <v>16940</v>
      </c>
      <c r="R2865" s="2" t="s">
        <v>40</v>
      </c>
      <c r="S2865" s="2" t="s">
        <v>16941</v>
      </c>
      <c r="T2865" s="2" t="s">
        <v>1982</v>
      </c>
      <c r="U2865" s="2" t="s">
        <v>16942</v>
      </c>
      <c r="V2865" s="2" t="s">
        <v>16943</v>
      </c>
      <c r="W2865" s="1"/>
      <c r="X2865" s="2" t="s">
        <v>6663</v>
      </c>
      <c r="Y2865" s="2" t="s">
        <v>16303</v>
      </c>
      <c r="AA2865" t="str">
        <f t="shared" si="264"/>
        <v>2025-07</v>
      </c>
      <c r="AB2865" t="str">
        <f t="shared" si="265"/>
        <v/>
      </c>
      <c r="AC2865">
        <f t="shared" si="266"/>
        <v>96266.240000000005</v>
      </c>
      <c r="AD2865">
        <f t="shared" si="267"/>
        <v>16</v>
      </c>
      <c r="AE2865">
        <f t="shared" si="268"/>
        <v>21674.240000000002</v>
      </c>
      <c r="AF2865" t="str">
        <f t="shared" si="269"/>
        <v>Paid</v>
      </c>
    </row>
    <row r="2866" spans="1:32" ht="17.25" thickBot="1" x14ac:dyDescent="0.35">
      <c r="A2866" s="2" t="s">
        <v>16944</v>
      </c>
      <c r="B2866" s="2" t="s">
        <v>27</v>
      </c>
      <c r="C2866" s="2" t="s">
        <v>28</v>
      </c>
      <c r="D2866" s="2" t="s">
        <v>97</v>
      </c>
      <c r="E2866" s="2" t="s">
        <v>15863</v>
      </c>
      <c r="F2866" s="2" t="s">
        <v>31</v>
      </c>
      <c r="G2866" s="2" t="s">
        <v>32</v>
      </c>
      <c r="H2866" s="1"/>
      <c r="I2866" s="2" t="s">
        <v>33</v>
      </c>
      <c r="J2866" s="2" t="s">
        <v>34</v>
      </c>
      <c r="K2866" s="2" t="s">
        <v>16938</v>
      </c>
      <c r="L2866" s="2" t="s">
        <v>16939</v>
      </c>
      <c r="M2866" s="2" t="s">
        <v>1787</v>
      </c>
      <c r="N2866" s="2" t="s">
        <v>38</v>
      </c>
      <c r="O2866" s="2" t="s">
        <v>54</v>
      </c>
      <c r="P2866" s="2" t="s">
        <v>16560</v>
      </c>
      <c r="Q2866" s="2" t="s">
        <v>16662</v>
      </c>
      <c r="R2866" s="2" t="s">
        <v>40</v>
      </c>
      <c r="S2866" s="2" t="s">
        <v>16945</v>
      </c>
      <c r="T2866" s="2" t="s">
        <v>16946</v>
      </c>
      <c r="U2866" s="2" t="s">
        <v>16947</v>
      </c>
      <c r="V2866" s="2" t="s">
        <v>16948</v>
      </c>
      <c r="W2866" s="1"/>
      <c r="X2866" s="2" t="s">
        <v>3589</v>
      </c>
      <c r="Y2866" s="2" t="s">
        <v>16303</v>
      </c>
      <c r="AA2866" t="str">
        <f t="shared" si="264"/>
        <v>2025-07</v>
      </c>
      <c r="AB2866" t="str">
        <f t="shared" si="265"/>
        <v/>
      </c>
      <c r="AC2866">
        <f t="shared" si="266"/>
        <v>24066.560000000001</v>
      </c>
      <c r="AD2866">
        <f t="shared" si="267"/>
        <v>4</v>
      </c>
      <c r="AE2866">
        <f t="shared" si="268"/>
        <v>4910.2</v>
      </c>
      <c r="AF2866" t="str">
        <f t="shared" si="269"/>
        <v>Paid</v>
      </c>
    </row>
    <row r="2867" spans="1:32" ht="17.25" thickBot="1" x14ac:dyDescent="0.35">
      <c r="A2867" s="2" t="s">
        <v>16949</v>
      </c>
      <c r="B2867" s="2" t="s">
        <v>27</v>
      </c>
      <c r="C2867" s="2" t="s">
        <v>28</v>
      </c>
      <c r="D2867" s="2" t="s">
        <v>97</v>
      </c>
      <c r="E2867" s="2" t="s">
        <v>15863</v>
      </c>
      <c r="F2867" s="2" t="s">
        <v>31</v>
      </c>
      <c r="G2867" s="2" t="s">
        <v>32</v>
      </c>
      <c r="H2867" s="1"/>
      <c r="I2867" s="2" t="s">
        <v>33</v>
      </c>
      <c r="J2867" s="2" t="s">
        <v>34</v>
      </c>
      <c r="K2867" s="2" t="s">
        <v>16950</v>
      </c>
      <c r="L2867" s="2" t="s">
        <v>16951</v>
      </c>
      <c r="M2867" s="2" t="s">
        <v>1787</v>
      </c>
      <c r="N2867" s="2" t="s">
        <v>38</v>
      </c>
      <c r="O2867" s="2" t="s">
        <v>141</v>
      </c>
      <c r="P2867" s="2" t="s">
        <v>4671</v>
      </c>
      <c r="Q2867" s="2" t="s">
        <v>16901</v>
      </c>
      <c r="R2867" s="2" t="s">
        <v>40</v>
      </c>
      <c r="S2867" s="2" t="s">
        <v>16902</v>
      </c>
      <c r="T2867" s="2" t="s">
        <v>16890</v>
      </c>
      <c r="U2867" s="2" t="s">
        <v>16903</v>
      </c>
      <c r="V2867" s="2" t="s">
        <v>16904</v>
      </c>
      <c r="W2867" s="1"/>
      <c r="X2867" s="2" t="s">
        <v>4195</v>
      </c>
      <c r="Y2867" s="2" t="s">
        <v>16303</v>
      </c>
      <c r="AA2867" t="str">
        <f t="shared" si="264"/>
        <v>2025-07</v>
      </c>
      <c r="AB2867" t="str">
        <f t="shared" si="265"/>
        <v/>
      </c>
      <c r="AC2867">
        <f t="shared" si="266"/>
        <v>210716.7</v>
      </c>
      <c r="AD2867">
        <f t="shared" si="267"/>
        <v>30</v>
      </c>
      <c r="AE2867">
        <f t="shared" si="268"/>
        <v>31256.7</v>
      </c>
      <c r="AF2867" t="str">
        <f t="shared" si="269"/>
        <v>Paid</v>
      </c>
    </row>
    <row r="2868" spans="1:32" ht="17.25" thickBot="1" x14ac:dyDescent="0.35">
      <c r="A2868" s="2" t="s">
        <v>16952</v>
      </c>
      <c r="B2868" s="2" t="s">
        <v>27</v>
      </c>
      <c r="C2868" s="2" t="s">
        <v>28</v>
      </c>
      <c r="D2868" s="2" t="s">
        <v>97</v>
      </c>
      <c r="E2868" s="2" t="s">
        <v>15863</v>
      </c>
      <c r="F2868" s="2" t="s">
        <v>31</v>
      </c>
      <c r="G2868" s="2" t="s">
        <v>32</v>
      </c>
      <c r="H2868" s="1"/>
      <c r="I2868" s="2" t="s">
        <v>33</v>
      </c>
      <c r="J2868" s="2" t="s">
        <v>34</v>
      </c>
      <c r="K2868" s="2" t="s">
        <v>16953</v>
      </c>
      <c r="L2868" s="2" t="s">
        <v>16954</v>
      </c>
      <c r="M2868" s="2" t="s">
        <v>1787</v>
      </c>
      <c r="N2868" s="2" t="s">
        <v>38</v>
      </c>
      <c r="O2868" s="2" t="s">
        <v>141</v>
      </c>
      <c r="P2868" s="2" t="s">
        <v>16560</v>
      </c>
      <c r="Q2868" s="2" t="s">
        <v>16561</v>
      </c>
      <c r="R2868" s="2" t="s">
        <v>40</v>
      </c>
      <c r="S2868" s="2" t="s">
        <v>16562</v>
      </c>
      <c r="T2868" s="2" t="s">
        <v>16910</v>
      </c>
      <c r="U2868" s="2" t="s">
        <v>16955</v>
      </c>
      <c r="V2868" s="2" t="s">
        <v>16956</v>
      </c>
      <c r="W2868" s="1"/>
      <c r="X2868" s="2" t="s">
        <v>4195</v>
      </c>
      <c r="Y2868" s="2" t="s">
        <v>16303</v>
      </c>
      <c r="AA2868" t="str">
        <f t="shared" si="264"/>
        <v>2025-07</v>
      </c>
      <c r="AB2868" t="str">
        <f t="shared" si="265"/>
        <v/>
      </c>
      <c r="AC2868">
        <f t="shared" si="266"/>
        <v>180499.20000000001</v>
      </c>
      <c r="AD2868">
        <f t="shared" si="267"/>
        <v>30</v>
      </c>
      <c r="AE2868">
        <f t="shared" si="268"/>
        <v>26659.200000000001</v>
      </c>
      <c r="AF2868" t="str">
        <f t="shared" si="269"/>
        <v>Paid</v>
      </c>
    </row>
    <row r="2869" spans="1:32" ht="17.25" thickBot="1" x14ac:dyDescent="0.35">
      <c r="A2869" s="2" t="s">
        <v>16957</v>
      </c>
      <c r="B2869" s="2" t="s">
        <v>27</v>
      </c>
      <c r="C2869" s="2" t="s">
        <v>28</v>
      </c>
      <c r="D2869" s="2" t="s">
        <v>97</v>
      </c>
      <c r="E2869" s="2" t="s">
        <v>15863</v>
      </c>
      <c r="F2869" s="2" t="s">
        <v>31</v>
      </c>
      <c r="G2869" s="2" t="s">
        <v>32</v>
      </c>
      <c r="H2869" s="1"/>
      <c r="I2869" s="2" t="s">
        <v>33</v>
      </c>
      <c r="J2869" s="2" t="s">
        <v>34</v>
      </c>
      <c r="K2869" s="2" t="s">
        <v>16958</v>
      </c>
      <c r="L2869" s="2" t="s">
        <v>16959</v>
      </c>
      <c r="M2869" s="2" t="s">
        <v>1787</v>
      </c>
      <c r="N2869" s="2" t="s">
        <v>38</v>
      </c>
      <c r="O2869" s="2" t="s">
        <v>79</v>
      </c>
      <c r="P2869" s="2" t="s">
        <v>4671</v>
      </c>
      <c r="Q2869" s="2" t="s">
        <v>16960</v>
      </c>
      <c r="R2869" s="2" t="s">
        <v>40</v>
      </c>
      <c r="S2869" s="2" t="s">
        <v>16961</v>
      </c>
      <c r="T2869" s="2" t="s">
        <v>16890</v>
      </c>
      <c r="U2869" s="2" t="s">
        <v>16962</v>
      </c>
      <c r="V2869" s="2" t="s">
        <v>16963</v>
      </c>
      <c r="W2869" s="1"/>
      <c r="X2869" s="2" t="s">
        <v>4195</v>
      </c>
      <c r="Y2869" s="2" t="s">
        <v>16303</v>
      </c>
      <c r="AA2869" t="str">
        <f t="shared" si="264"/>
        <v>2025-07</v>
      </c>
      <c r="AB2869" t="str">
        <f t="shared" si="265"/>
        <v/>
      </c>
      <c r="AC2869">
        <f t="shared" si="266"/>
        <v>70238.899999999994</v>
      </c>
      <c r="AD2869">
        <f t="shared" si="267"/>
        <v>10</v>
      </c>
      <c r="AE2869">
        <f t="shared" si="268"/>
        <v>10418.9</v>
      </c>
      <c r="AF2869" t="str">
        <f t="shared" si="269"/>
        <v>Paid</v>
      </c>
    </row>
    <row r="2870" spans="1:32" ht="17.25" thickBot="1" x14ac:dyDescent="0.35">
      <c r="A2870" s="2" t="s">
        <v>16964</v>
      </c>
      <c r="B2870" s="2" t="s">
        <v>27</v>
      </c>
      <c r="C2870" s="2" t="s">
        <v>28</v>
      </c>
      <c r="D2870" s="2" t="s">
        <v>97</v>
      </c>
      <c r="E2870" s="2" t="s">
        <v>15863</v>
      </c>
      <c r="F2870" s="2" t="s">
        <v>31</v>
      </c>
      <c r="G2870" s="2" t="s">
        <v>32</v>
      </c>
      <c r="H2870" s="1"/>
      <c r="I2870" s="2" t="s">
        <v>33</v>
      </c>
      <c r="J2870" s="2" t="s">
        <v>34</v>
      </c>
      <c r="K2870" s="2" t="s">
        <v>16965</v>
      </c>
      <c r="L2870" s="2" t="s">
        <v>16966</v>
      </c>
      <c r="M2870" s="2" t="s">
        <v>1787</v>
      </c>
      <c r="N2870" s="2" t="s">
        <v>38</v>
      </c>
      <c r="O2870" s="2" t="s">
        <v>141</v>
      </c>
      <c r="P2870" s="2" t="s">
        <v>16560</v>
      </c>
      <c r="Q2870" s="2" t="s">
        <v>16561</v>
      </c>
      <c r="R2870" s="2" t="s">
        <v>40</v>
      </c>
      <c r="S2870" s="2" t="s">
        <v>16562</v>
      </c>
      <c r="T2870" s="2" t="s">
        <v>16910</v>
      </c>
      <c r="U2870" s="2" t="s">
        <v>16955</v>
      </c>
      <c r="V2870" s="2" t="s">
        <v>16956</v>
      </c>
      <c r="W2870" s="1"/>
      <c r="X2870" s="2" t="s">
        <v>4195</v>
      </c>
      <c r="Y2870" s="2" t="s">
        <v>16303</v>
      </c>
      <c r="AA2870" t="str">
        <f t="shared" si="264"/>
        <v>2025-07</v>
      </c>
      <c r="AB2870" t="str">
        <f t="shared" si="265"/>
        <v/>
      </c>
      <c r="AC2870">
        <f t="shared" si="266"/>
        <v>180499.20000000001</v>
      </c>
      <c r="AD2870">
        <f t="shared" si="267"/>
        <v>30</v>
      </c>
      <c r="AE2870">
        <f t="shared" si="268"/>
        <v>26659.200000000001</v>
      </c>
      <c r="AF2870" t="str">
        <f t="shared" si="269"/>
        <v>Paid</v>
      </c>
    </row>
    <row r="2871" spans="1:32" ht="17.25" thickBot="1" x14ac:dyDescent="0.35">
      <c r="A2871" s="2" t="s">
        <v>16967</v>
      </c>
      <c r="B2871" s="2" t="s">
        <v>27</v>
      </c>
      <c r="C2871" s="2" t="s">
        <v>28</v>
      </c>
      <c r="D2871" s="2" t="s">
        <v>97</v>
      </c>
      <c r="E2871" s="2" t="s">
        <v>15863</v>
      </c>
      <c r="F2871" s="2" t="s">
        <v>31</v>
      </c>
      <c r="G2871" s="2" t="s">
        <v>32</v>
      </c>
      <c r="H2871" s="1"/>
      <c r="I2871" s="2" t="s">
        <v>33</v>
      </c>
      <c r="J2871" s="2" t="s">
        <v>34</v>
      </c>
      <c r="K2871" s="2" t="s">
        <v>16968</v>
      </c>
      <c r="L2871" s="2" t="s">
        <v>16969</v>
      </c>
      <c r="M2871" s="2" t="s">
        <v>1787</v>
      </c>
      <c r="N2871" s="2" t="s">
        <v>38</v>
      </c>
      <c r="O2871" s="2" t="s">
        <v>44</v>
      </c>
      <c r="P2871" s="2" t="s">
        <v>4671</v>
      </c>
      <c r="Q2871" s="2" t="s">
        <v>16970</v>
      </c>
      <c r="R2871" s="2" t="s">
        <v>40</v>
      </c>
      <c r="S2871" s="2" t="s">
        <v>16971</v>
      </c>
      <c r="T2871" s="2" t="s">
        <v>16890</v>
      </c>
      <c r="U2871" s="2" t="s">
        <v>16972</v>
      </c>
      <c r="V2871" s="2" t="s">
        <v>16973</v>
      </c>
      <c r="W2871" s="1"/>
      <c r="X2871" s="2" t="s">
        <v>4195</v>
      </c>
      <c r="Y2871" s="2" t="s">
        <v>16303</v>
      </c>
      <c r="AA2871" t="str">
        <f t="shared" si="264"/>
        <v>2025-07</v>
      </c>
      <c r="AB2871" t="str">
        <f t="shared" si="265"/>
        <v/>
      </c>
      <c r="AC2871">
        <f t="shared" si="266"/>
        <v>14047.78</v>
      </c>
      <c r="AD2871">
        <f t="shared" si="267"/>
        <v>2</v>
      </c>
      <c r="AE2871">
        <f t="shared" si="268"/>
        <v>2083.7800000000002</v>
      </c>
      <c r="AF2871" t="str">
        <f t="shared" si="269"/>
        <v>Paid</v>
      </c>
    </row>
    <row r="2872" spans="1:32" ht="17.25" thickBot="1" x14ac:dyDescent="0.35">
      <c r="A2872" s="2" t="s">
        <v>16974</v>
      </c>
      <c r="B2872" s="2" t="s">
        <v>27</v>
      </c>
      <c r="C2872" s="2" t="s">
        <v>28</v>
      </c>
      <c r="D2872" s="2" t="s">
        <v>97</v>
      </c>
      <c r="E2872" s="2" t="s">
        <v>15863</v>
      </c>
      <c r="F2872" s="2" t="s">
        <v>31</v>
      </c>
      <c r="G2872" s="2" t="s">
        <v>32</v>
      </c>
      <c r="H2872" s="1"/>
      <c r="I2872" s="2" t="s">
        <v>33</v>
      </c>
      <c r="J2872" s="2" t="s">
        <v>34</v>
      </c>
      <c r="K2872" s="2" t="s">
        <v>16975</v>
      </c>
      <c r="L2872" s="2" t="s">
        <v>16976</v>
      </c>
      <c r="M2872" s="2" t="s">
        <v>1787</v>
      </c>
      <c r="N2872" s="2" t="s">
        <v>38</v>
      </c>
      <c r="O2872" s="2" t="s">
        <v>66</v>
      </c>
      <c r="P2872" s="2" t="s">
        <v>16560</v>
      </c>
      <c r="Q2872" s="2" t="s">
        <v>16977</v>
      </c>
      <c r="R2872" s="2" t="s">
        <v>40</v>
      </c>
      <c r="S2872" s="2" t="s">
        <v>16978</v>
      </c>
      <c r="T2872" s="2" t="s">
        <v>16910</v>
      </c>
      <c r="U2872" s="2" t="s">
        <v>16979</v>
      </c>
      <c r="V2872" s="2" t="s">
        <v>16980</v>
      </c>
      <c r="W2872" s="1"/>
      <c r="X2872" s="2" t="s">
        <v>4195</v>
      </c>
      <c r="Y2872" s="2" t="s">
        <v>16303</v>
      </c>
      <c r="AA2872" t="str">
        <f t="shared" si="264"/>
        <v>2025-07</v>
      </c>
      <c r="AB2872" t="str">
        <f t="shared" si="265"/>
        <v/>
      </c>
      <c r="AC2872">
        <f t="shared" si="266"/>
        <v>48133.120000000003</v>
      </c>
      <c r="AD2872">
        <f t="shared" si="267"/>
        <v>8</v>
      </c>
      <c r="AE2872">
        <f t="shared" si="268"/>
        <v>7109.12</v>
      </c>
      <c r="AF2872" t="str">
        <f t="shared" si="269"/>
        <v>Paid</v>
      </c>
    </row>
    <row r="2873" spans="1:32" ht="17.25" thickBot="1" x14ac:dyDescent="0.35">
      <c r="A2873" s="2" t="s">
        <v>16981</v>
      </c>
      <c r="B2873" s="2" t="s">
        <v>27</v>
      </c>
      <c r="C2873" s="2" t="s">
        <v>28</v>
      </c>
      <c r="D2873" s="2" t="s">
        <v>97</v>
      </c>
      <c r="E2873" s="2" t="s">
        <v>15863</v>
      </c>
      <c r="F2873" s="2" t="s">
        <v>31</v>
      </c>
      <c r="G2873" s="2" t="s">
        <v>32</v>
      </c>
      <c r="H2873" s="1"/>
      <c r="I2873" s="2" t="s">
        <v>33</v>
      </c>
      <c r="J2873" s="2" t="s">
        <v>34</v>
      </c>
      <c r="K2873" s="2" t="s">
        <v>16975</v>
      </c>
      <c r="L2873" s="2" t="s">
        <v>16976</v>
      </c>
      <c r="M2873" s="2" t="s">
        <v>1787</v>
      </c>
      <c r="N2873" s="2" t="s">
        <v>38</v>
      </c>
      <c r="O2873" s="2" t="s">
        <v>174</v>
      </c>
      <c r="P2873" s="2" t="s">
        <v>16560</v>
      </c>
      <c r="Q2873" s="2" t="s">
        <v>16982</v>
      </c>
      <c r="R2873" s="2" t="s">
        <v>40</v>
      </c>
      <c r="S2873" s="2" t="s">
        <v>16983</v>
      </c>
      <c r="T2873" s="2" t="s">
        <v>16910</v>
      </c>
      <c r="U2873" s="2" t="s">
        <v>16984</v>
      </c>
      <c r="V2873" s="2" t="s">
        <v>16985</v>
      </c>
      <c r="W2873" s="1"/>
      <c r="X2873" s="2" t="s">
        <v>4195</v>
      </c>
      <c r="Y2873" s="2" t="s">
        <v>16303</v>
      </c>
      <c r="AA2873" t="str">
        <f t="shared" si="264"/>
        <v>2025-07</v>
      </c>
      <c r="AB2873" t="str">
        <f t="shared" si="265"/>
        <v/>
      </c>
      <c r="AC2873">
        <f t="shared" si="266"/>
        <v>132366.07999999999</v>
      </c>
      <c r="AD2873">
        <f t="shared" si="267"/>
        <v>22</v>
      </c>
      <c r="AE2873">
        <f t="shared" si="268"/>
        <v>19550.080000000002</v>
      </c>
      <c r="AF2873" t="str">
        <f t="shared" si="269"/>
        <v>Paid</v>
      </c>
    </row>
    <row r="2874" spans="1:32" ht="17.25" thickBot="1" x14ac:dyDescent="0.35">
      <c r="A2874" s="2" t="s">
        <v>16986</v>
      </c>
      <c r="B2874" s="2" t="s">
        <v>27</v>
      </c>
      <c r="C2874" s="2" t="s">
        <v>28</v>
      </c>
      <c r="D2874" s="2" t="s">
        <v>97</v>
      </c>
      <c r="E2874" s="2" t="s">
        <v>15863</v>
      </c>
      <c r="F2874" s="2" t="s">
        <v>31</v>
      </c>
      <c r="G2874" s="2" t="s">
        <v>32</v>
      </c>
      <c r="H2874" s="1"/>
      <c r="I2874" s="2" t="s">
        <v>33</v>
      </c>
      <c r="J2874" s="2" t="s">
        <v>34</v>
      </c>
      <c r="K2874" s="2" t="s">
        <v>16987</v>
      </c>
      <c r="L2874" s="2" t="s">
        <v>16988</v>
      </c>
      <c r="M2874" s="2" t="s">
        <v>1787</v>
      </c>
      <c r="N2874" s="2" t="s">
        <v>38</v>
      </c>
      <c r="O2874" s="2" t="s">
        <v>141</v>
      </c>
      <c r="P2874" s="2" t="s">
        <v>16560</v>
      </c>
      <c r="Q2874" s="2" t="s">
        <v>16561</v>
      </c>
      <c r="R2874" s="2" t="s">
        <v>40</v>
      </c>
      <c r="S2874" s="2" t="s">
        <v>16562</v>
      </c>
      <c r="T2874" s="2" t="s">
        <v>16910</v>
      </c>
      <c r="U2874" s="2" t="s">
        <v>16955</v>
      </c>
      <c r="V2874" s="2" t="s">
        <v>16956</v>
      </c>
      <c r="W2874" s="1"/>
      <c r="X2874" s="2" t="s">
        <v>4195</v>
      </c>
      <c r="Y2874" s="2" t="s">
        <v>16303</v>
      </c>
      <c r="AA2874" t="str">
        <f t="shared" si="264"/>
        <v>2025-07</v>
      </c>
      <c r="AB2874" t="str">
        <f t="shared" si="265"/>
        <v/>
      </c>
      <c r="AC2874">
        <f t="shared" si="266"/>
        <v>180499.20000000001</v>
      </c>
      <c r="AD2874">
        <f t="shared" si="267"/>
        <v>30</v>
      </c>
      <c r="AE2874">
        <f t="shared" si="268"/>
        <v>26659.200000000001</v>
      </c>
      <c r="AF2874" t="str">
        <f t="shared" si="269"/>
        <v>Paid</v>
      </c>
    </row>
    <row r="2875" spans="1:32" ht="17.25" thickBot="1" x14ac:dyDescent="0.35">
      <c r="A2875" s="2" t="s">
        <v>16989</v>
      </c>
      <c r="B2875" s="2" t="s">
        <v>27</v>
      </c>
      <c r="C2875" s="2" t="s">
        <v>28</v>
      </c>
      <c r="D2875" s="2" t="s">
        <v>97</v>
      </c>
      <c r="E2875" s="2" t="s">
        <v>15863</v>
      </c>
      <c r="F2875" s="2" t="s">
        <v>31</v>
      </c>
      <c r="G2875" s="2" t="s">
        <v>32</v>
      </c>
      <c r="H2875" s="1"/>
      <c r="I2875" s="2" t="s">
        <v>33</v>
      </c>
      <c r="J2875" s="2" t="s">
        <v>34</v>
      </c>
      <c r="K2875" s="2" t="s">
        <v>16990</v>
      </c>
      <c r="L2875" s="2" t="s">
        <v>16991</v>
      </c>
      <c r="M2875" s="2" t="s">
        <v>1787</v>
      </c>
      <c r="N2875" s="2" t="s">
        <v>38</v>
      </c>
      <c r="O2875" s="2" t="s">
        <v>141</v>
      </c>
      <c r="P2875" s="2" t="s">
        <v>16560</v>
      </c>
      <c r="Q2875" s="2" t="s">
        <v>16561</v>
      </c>
      <c r="R2875" s="2" t="s">
        <v>40</v>
      </c>
      <c r="S2875" s="2" t="s">
        <v>16562</v>
      </c>
      <c r="T2875" s="2" t="s">
        <v>16910</v>
      </c>
      <c r="U2875" s="2" t="s">
        <v>16955</v>
      </c>
      <c r="V2875" s="2" t="s">
        <v>16956</v>
      </c>
      <c r="W2875" s="1"/>
      <c r="X2875" s="2" t="s">
        <v>4195</v>
      </c>
      <c r="Y2875" s="2" t="s">
        <v>16303</v>
      </c>
      <c r="AA2875" t="str">
        <f t="shared" si="264"/>
        <v>2025-07</v>
      </c>
      <c r="AB2875" t="str">
        <f t="shared" si="265"/>
        <v/>
      </c>
      <c r="AC2875">
        <f t="shared" si="266"/>
        <v>180499.20000000001</v>
      </c>
      <c r="AD2875">
        <f t="shared" si="267"/>
        <v>30</v>
      </c>
      <c r="AE2875">
        <f t="shared" si="268"/>
        <v>26659.200000000001</v>
      </c>
      <c r="AF2875" t="str">
        <f t="shared" si="269"/>
        <v>Paid</v>
      </c>
    </row>
    <row r="2876" spans="1:32" ht="17.25" thickBot="1" x14ac:dyDescent="0.35">
      <c r="A2876" s="2" t="s">
        <v>16992</v>
      </c>
      <c r="B2876" s="2" t="s">
        <v>27</v>
      </c>
      <c r="C2876" s="2" t="s">
        <v>28</v>
      </c>
      <c r="D2876" s="2" t="s">
        <v>97</v>
      </c>
      <c r="E2876" s="2" t="s">
        <v>15863</v>
      </c>
      <c r="F2876" s="2" t="s">
        <v>31</v>
      </c>
      <c r="G2876" s="2" t="s">
        <v>32</v>
      </c>
      <c r="H2876" s="1"/>
      <c r="I2876" s="2" t="s">
        <v>33</v>
      </c>
      <c r="J2876" s="2" t="s">
        <v>34</v>
      </c>
      <c r="K2876" s="2" t="s">
        <v>16993</v>
      </c>
      <c r="L2876" s="2" t="s">
        <v>16994</v>
      </c>
      <c r="M2876" s="2" t="s">
        <v>1787</v>
      </c>
      <c r="N2876" s="2" t="s">
        <v>38</v>
      </c>
      <c r="O2876" s="2" t="s">
        <v>141</v>
      </c>
      <c r="P2876" s="2" t="s">
        <v>16560</v>
      </c>
      <c r="Q2876" s="2" t="s">
        <v>16561</v>
      </c>
      <c r="R2876" s="2" t="s">
        <v>40</v>
      </c>
      <c r="S2876" s="2" t="s">
        <v>16562</v>
      </c>
      <c r="T2876" s="2" t="s">
        <v>16910</v>
      </c>
      <c r="U2876" s="2" t="s">
        <v>16955</v>
      </c>
      <c r="V2876" s="2" t="s">
        <v>16956</v>
      </c>
      <c r="W2876" s="1"/>
      <c r="X2876" s="2" t="s">
        <v>4195</v>
      </c>
      <c r="Y2876" s="2" t="s">
        <v>16303</v>
      </c>
      <c r="AA2876" t="str">
        <f t="shared" si="264"/>
        <v>2025-07</v>
      </c>
      <c r="AB2876" t="str">
        <f t="shared" si="265"/>
        <v/>
      </c>
      <c r="AC2876">
        <f t="shared" si="266"/>
        <v>180499.20000000001</v>
      </c>
      <c r="AD2876">
        <f t="shared" si="267"/>
        <v>30</v>
      </c>
      <c r="AE2876">
        <f t="shared" si="268"/>
        <v>26659.200000000001</v>
      </c>
      <c r="AF2876" t="str">
        <f t="shared" si="269"/>
        <v>Paid</v>
      </c>
    </row>
    <row r="2877" spans="1:32" ht="17.25" thickBot="1" x14ac:dyDescent="0.35">
      <c r="A2877" s="2" t="s">
        <v>16995</v>
      </c>
      <c r="B2877" s="2" t="s">
        <v>27</v>
      </c>
      <c r="C2877" s="2" t="s">
        <v>28</v>
      </c>
      <c r="D2877" s="2" t="s">
        <v>97</v>
      </c>
      <c r="E2877" s="2" t="s">
        <v>15863</v>
      </c>
      <c r="F2877" s="2" t="s">
        <v>31</v>
      </c>
      <c r="G2877" s="2" t="s">
        <v>32</v>
      </c>
      <c r="H2877" s="1"/>
      <c r="I2877" s="2" t="s">
        <v>33</v>
      </c>
      <c r="J2877" s="2" t="s">
        <v>34</v>
      </c>
      <c r="K2877" s="2" t="s">
        <v>16996</v>
      </c>
      <c r="L2877" s="2" t="s">
        <v>16997</v>
      </c>
      <c r="M2877" s="2" t="s">
        <v>1787</v>
      </c>
      <c r="N2877" s="2" t="s">
        <v>38</v>
      </c>
      <c r="O2877" s="2" t="s">
        <v>141</v>
      </c>
      <c r="P2877" s="2" t="s">
        <v>16560</v>
      </c>
      <c r="Q2877" s="2" t="s">
        <v>16561</v>
      </c>
      <c r="R2877" s="2" t="s">
        <v>40</v>
      </c>
      <c r="S2877" s="2" t="s">
        <v>16562</v>
      </c>
      <c r="T2877" s="2" t="s">
        <v>16910</v>
      </c>
      <c r="U2877" s="2" t="s">
        <v>16955</v>
      </c>
      <c r="V2877" s="2" t="s">
        <v>16956</v>
      </c>
      <c r="W2877" s="1"/>
      <c r="X2877" s="2" t="s">
        <v>4195</v>
      </c>
      <c r="Y2877" s="2" t="s">
        <v>16303</v>
      </c>
      <c r="AA2877" t="str">
        <f t="shared" si="264"/>
        <v>2025-07</v>
      </c>
      <c r="AB2877" t="str">
        <f t="shared" si="265"/>
        <v/>
      </c>
      <c r="AC2877">
        <f t="shared" si="266"/>
        <v>180499.20000000001</v>
      </c>
      <c r="AD2877">
        <f t="shared" si="267"/>
        <v>30</v>
      </c>
      <c r="AE2877">
        <f t="shared" si="268"/>
        <v>26659.200000000001</v>
      </c>
      <c r="AF2877" t="str">
        <f t="shared" si="269"/>
        <v>Paid</v>
      </c>
    </row>
    <row r="2878" spans="1:32" ht="17.25" thickBot="1" x14ac:dyDescent="0.35">
      <c r="A2878" s="2" t="s">
        <v>16998</v>
      </c>
      <c r="B2878" s="2" t="s">
        <v>27</v>
      </c>
      <c r="C2878" s="2" t="s">
        <v>28</v>
      </c>
      <c r="D2878" s="2" t="s">
        <v>97</v>
      </c>
      <c r="E2878" s="2" t="s">
        <v>15863</v>
      </c>
      <c r="F2878" s="2" t="s">
        <v>31</v>
      </c>
      <c r="G2878" s="2" t="s">
        <v>32</v>
      </c>
      <c r="H2878" s="1"/>
      <c r="I2878" s="2" t="s">
        <v>33</v>
      </c>
      <c r="J2878" s="2" t="s">
        <v>34</v>
      </c>
      <c r="K2878" s="2" t="s">
        <v>16999</v>
      </c>
      <c r="L2878" s="2" t="s">
        <v>17000</v>
      </c>
      <c r="M2878" s="2" t="s">
        <v>1787</v>
      </c>
      <c r="N2878" s="2" t="s">
        <v>38</v>
      </c>
      <c r="O2878" s="2" t="s">
        <v>141</v>
      </c>
      <c r="P2878" s="2" t="s">
        <v>17001</v>
      </c>
      <c r="Q2878" s="2" t="s">
        <v>17002</v>
      </c>
      <c r="R2878" s="2" t="s">
        <v>40</v>
      </c>
      <c r="S2878" s="2" t="s">
        <v>17003</v>
      </c>
      <c r="T2878" s="2" t="s">
        <v>17004</v>
      </c>
      <c r="U2878" s="2" t="s">
        <v>17005</v>
      </c>
      <c r="V2878" s="2" t="s">
        <v>17006</v>
      </c>
      <c r="W2878" s="1"/>
      <c r="X2878" s="2" t="s">
        <v>4195</v>
      </c>
      <c r="Y2878" s="2" t="s">
        <v>16303</v>
      </c>
      <c r="AA2878" t="str">
        <f t="shared" si="264"/>
        <v>2025-07</v>
      </c>
      <c r="AB2878" t="str">
        <f t="shared" si="265"/>
        <v/>
      </c>
      <c r="AC2878">
        <f t="shared" si="266"/>
        <v>112812</v>
      </c>
      <c r="AD2878">
        <f t="shared" si="267"/>
        <v>30</v>
      </c>
      <c r="AE2878">
        <f t="shared" si="268"/>
        <v>16662</v>
      </c>
      <c r="AF2878" t="str">
        <f t="shared" si="269"/>
        <v>Paid</v>
      </c>
    </row>
    <row r="2879" spans="1:32" ht="17.25" thickBot="1" x14ac:dyDescent="0.35">
      <c r="A2879" s="2" t="s">
        <v>17007</v>
      </c>
      <c r="B2879" s="2" t="s">
        <v>27</v>
      </c>
      <c r="C2879" s="2" t="s">
        <v>28</v>
      </c>
      <c r="D2879" s="2" t="s">
        <v>97</v>
      </c>
      <c r="E2879" s="2" t="s">
        <v>15863</v>
      </c>
      <c r="F2879" s="2" t="s">
        <v>31</v>
      </c>
      <c r="G2879" s="2" t="s">
        <v>32</v>
      </c>
      <c r="H2879" s="1"/>
      <c r="I2879" s="2" t="s">
        <v>33</v>
      </c>
      <c r="J2879" s="2" t="s">
        <v>34</v>
      </c>
      <c r="K2879" s="2" t="s">
        <v>17008</v>
      </c>
      <c r="L2879" s="2" t="s">
        <v>17009</v>
      </c>
      <c r="M2879" s="2" t="s">
        <v>1787</v>
      </c>
      <c r="N2879" s="2" t="s">
        <v>38</v>
      </c>
      <c r="O2879" s="2" t="s">
        <v>156</v>
      </c>
      <c r="P2879" s="2" t="s">
        <v>9726</v>
      </c>
      <c r="Q2879" s="2" t="s">
        <v>17010</v>
      </c>
      <c r="R2879" s="2" t="s">
        <v>40</v>
      </c>
      <c r="S2879" s="2" t="s">
        <v>17011</v>
      </c>
      <c r="T2879" s="2" t="s">
        <v>17012</v>
      </c>
      <c r="U2879" s="2" t="s">
        <v>17013</v>
      </c>
      <c r="V2879" s="2" t="s">
        <v>17014</v>
      </c>
      <c r="W2879" s="1"/>
      <c r="X2879" s="2" t="s">
        <v>6663</v>
      </c>
      <c r="Y2879" s="2" t="s">
        <v>16303</v>
      </c>
      <c r="AA2879" t="str">
        <f t="shared" si="264"/>
        <v>2025-07</v>
      </c>
      <c r="AB2879" t="str">
        <f t="shared" si="265"/>
        <v/>
      </c>
      <c r="AC2879">
        <f t="shared" si="266"/>
        <v>250603.8</v>
      </c>
      <c r="AD2879">
        <f t="shared" si="267"/>
        <v>20</v>
      </c>
      <c r="AE2879">
        <f t="shared" si="268"/>
        <v>56383.8</v>
      </c>
      <c r="AF2879" t="str">
        <f t="shared" si="269"/>
        <v>Paid</v>
      </c>
    </row>
    <row r="2880" spans="1:32" ht="17.25" thickBot="1" x14ac:dyDescent="0.35">
      <c r="A2880" s="2" t="s">
        <v>17015</v>
      </c>
      <c r="B2880" s="2" t="s">
        <v>27</v>
      </c>
      <c r="C2880" s="2" t="s">
        <v>28</v>
      </c>
      <c r="D2880" s="2" t="s">
        <v>97</v>
      </c>
      <c r="E2880" s="2" t="s">
        <v>15863</v>
      </c>
      <c r="F2880" s="2" t="s">
        <v>31</v>
      </c>
      <c r="G2880" s="2" t="s">
        <v>32</v>
      </c>
      <c r="H2880" s="1"/>
      <c r="I2880" s="2" t="s">
        <v>33</v>
      </c>
      <c r="J2880" s="2" t="s">
        <v>34</v>
      </c>
      <c r="K2880" s="2" t="s">
        <v>2718</v>
      </c>
      <c r="L2880" s="2" t="s">
        <v>2719</v>
      </c>
      <c r="M2880" s="2" t="s">
        <v>2710</v>
      </c>
      <c r="N2880" s="2" t="s">
        <v>38</v>
      </c>
      <c r="O2880" s="2" t="s">
        <v>141</v>
      </c>
      <c r="P2880" s="2" t="s">
        <v>2066</v>
      </c>
      <c r="Q2880" s="2" t="s">
        <v>16376</v>
      </c>
      <c r="R2880" s="2" t="s">
        <v>40</v>
      </c>
      <c r="S2880" s="2" t="s">
        <v>16377</v>
      </c>
      <c r="T2880" s="2" t="s">
        <v>17016</v>
      </c>
      <c r="U2880" s="2" t="s">
        <v>17017</v>
      </c>
      <c r="V2880" s="2" t="s">
        <v>17018</v>
      </c>
      <c r="W2880" s="1"/>
      <c r="X2880" s="2" t="s">
        <v>3089</v>
      </c>
      <c r="Y2880" s="2" t="s">
        <v>16303</v>
      </c>
      <c r="AA2880" t="str">
        <f t="shared" si="264"/>
        <v>2025-07</v>
      </c>
      <c r="AB2880" t="str">
        <f t="shared" si="265"/>
        <v/>
      </c>
      <c r="AC2880">
        <f t="shared" si="266"/>
        <v>300966.3</v>
      </c>
      <c r="AD2880">
        <f t="shared" si="267"/>
        <v>30</v>
      </c>
      <c r="AE2880">
        <f t="shared" si="268"/>
        <v>58236.3</v>
      </c>
      <c r="AF2880" t="str">
        <f t="shared" si="269"/>
        <v>Paid</v>
      </c>
    </row>
    <row r="2881" spans="1:32" ht="17.25" thickBot="1" x14ac:dyDescent="0.35">
      <c r="A2881" s="2" t="s">
        <v>17019</v>
      </c>
      <c r="B2881" s="2" t="s">
        <v>27</v>
      </c>
      <c r="C2881" s="2" t="s">
        <v>28</v>
      </c>
      <c r="D2881" s="2" t="s">
        <v>97</v>
      </c>
      <c r="E2881" s="2" t="s">
        <v>15863</v>
      </c>
      <c r="F2881" s="2" t="s">
        <v>31</v>
      </c>
      <c r="G2881" s="2" t="s">
        <v>32</v>
      </c>
      <c r="H2881" s="1"/>
      <c r="I2881" s="2" t="s">
        <v>33</v>
      </c>
      <c r="J2881" s="2" t="s">
        <v>34</v>
      </c>
      <c r="K2881" s="2" t="s">
        <v>2727</v>
      </c>
      <c r="L2881" s="2" t="s">
        <v>2728</v>
      </c>
      <c r="M2881" s="2" t="s">
        <v>2710</v>
      </c>
      <c r="N2881" s="2" t="s">
        <v>38</v>
      </c>
      <c r="O2881" s="2" t="s">
        <v>141</v>
      </c>
      <c r="P2881" s="2" t="s">
        <v>2066</v>
      </c>
      <c r="Q2881" s="2" t="s">
        <v>16376</v>
      </c>
      <c r="R2881" s="2" t="s">
        <v>40</v>
      </c>
      <c r="S2881" s="2" t="s">
        <v>16377</v>
      </c>
      <c r="T2881" s="2" t="s">
        <v>17016</v>
      </c>
      <c r="U2881" s="2" t="s">
        <v>17017</v>
      </c>
      <c r="V2881" s="2" t="s">
        <v>17018</v>
      </c>
      <c r="W2881" s="1"/>
      <c r="X2881" s="2" t="s">
        <v>3089</v>
      </c>
      <c r="Y2881" s="2" t="s">
        <v>16303</v>
      </c>
      <c r="AA2881" t="str">
        <f t="shared" si="264"/>
        <v>2025-07</v>
      </c>
      <c r="AB2881" t="str">
        <f t="shared" si="265"/>
        <v/>
      </c>
      <c r="AC2881">
        <f t="shared" si="266"/>
        <v>300966.3</v>
      </c>
      <c r="AD2881">
        <f t="shared" si="267"/>
        <v>30</v>
      </c>
      <c r="AE2881">
        <f t="shared" si="268"/>
        <v>58236.3</v>
      </c>
      <c r="AF2881" t="str">
        <f t="shared" si="269"/>
        <v>Paid</v>
      </c>
    </row>
    <row r="2882" spans="1:32" ht="17.25" thickBot="1" x14ac:dyDescent="0.35">
      <c r="A2882" s="2" t="s">
        <v>17020</v>
      </c>
      <c r="B2882" s="2" t="s">
        <v>27</v>
      </c>
      <c r="C2882" s="2" t="s">
        <v>28</v>
      </c>
      <c r="D2882" s="2" t="s">
        <v>97</v>
      </c>
      <c r="E2882" s="2" t="s">
        <v>15863</v>
      </c>
      <c r="F2882" s="2" t="s">
        <v>31</v>
      </c>
      <c r="G2882" s="2" t="s">
        <v>32</v>
      </c>
      <c r="H2882" s="1"/>
      <c r="I2882" s="2" t="s">
        <v>33</v>
      </c>
      <c r="J2882" s="2" t="s">
        <v>34</v>
      </c>
      <c r="K2882" s="2" t="s">
        <v>2733</v>
      </c>
      <c r="L2882" s="2" t="s">
        <v>2734</v>
      </c>
      <c r="M2882" s="2" t="s">
        <v>2710</v>
      </c>
      <c r="N2882" s="2" t="s">
        <v>38</v>
      </c>
      <c r="O2882" s="2" t="s">
        <v>141</v>
      </c>
      <c r="P2882" s="2" t="s">
        <v>17021</v>
      </c>
      <c r="Q2882" s="2" t="s">
        <v>17022</v>
      </c>
      <c r="R2882" s="2" t="s">
        <v>40</v>
      </c>
      <c r="S2882" s="2" t="s">
        <v>17023</v>
      </c>
      <c r="T2882" s="2" t="s">
        <v>17024</v>
      </c>
      <c r="U2882" s="2" t="s">
        <v>17025</v>
      </c>
      <c r="V2882" s="2" t="s">
        <v>17026</v>
      </c>
      <c r="W2882" s="1"/>
      <c r="X2882" s="2" t="s">
        <v>997</v>
      </c>
      <c r="Y2882" s="2" t="s">
        <v>16303</v>
      </c>
      <c r="AA2882" t="str">
        <f t="shared" si="264"/>
        <v>2025-07</v>
      </c>
      <c r="AB2882" t="str">
        <f t="shared" si="265"/>
        <v/>
      </c>
      <c r="AC2882">
        <f t="shared" si="266"/>
        <v>424253.7</v>
      </c>
      <c r="AD2882">
        <f t="shared" si="267"/>
        <v>30</v>
      </c>
      <c r="AE2882">
        <f t="shared" si="268"/>
        <v>121103.7</v>
      </c>
      <c r="AF2882" t="str">
        <f t="shared" si="269"/>
        <v>Paid</v>
      </c>
    </row>
    <row r="2883" spans="1:32" ht="27.75" thickBot="1" x14ac:dyDescent="0.35">
      <c r="A2883" s="2" t="s">
        <v>17027</v>
      </c>
      <c r="B2883" s="2" t="s">
        <v>27</v>
      </c>
      <c r="C2883" s="2" t="s">
        <v>28</v>
      </c>
      <c r="D2883" s="2" t="s">
        <v>97</v>
      </c>
      <c r="E2883" s="2" t="s">
        <v>15863</v>
      </c>
      <c r="F2883" s="2" t="s">
        <v>31</v>
      </c>
      <c r="G2883" s="2" t="s">
        <v>32</v>
      </c>
      <c r="H2883" s="1"/>
      <c r="I2883" s="2" t="s">
        <v>33</v>
      </c>
      <c r="J2883" s="2" t="s">
        <v>34</v>
      </c>
      <c r="K2883" s="2" t="s">
        <v>17028</v>
      </c>
      <c r="L2883" s="2" t="s">
        <v>17029</v>
      </c>
      <c r="M2883" s="2" t="s">
        <v>194</v>
      </c>
      <c r="N2883" s="2" t="s">
        <v>38</v>
      </c>
      <c r="O2883" s="2" t="s">
        <v>3271</v>
      </c>
      <c r="P2883" s="2" t="s">
        <v>17030</v>
      </c>
      <c r="Q2883" s="2" t="s">
        <v>17031</v>
      </c>
      <c r="R2883" s="2" t="s">
        <v>40</v>
      </c>
      <c r="S2883" s="2" t="s">
        <v>17032</v>
      </c>
      <c r="T2883" s="2" t="s">
        <v>17033</v>
      </c>
      <c r="U2883" s="2" t="s">
        <v>17034</v>
      </c>
      <c r="V2883" s="2" t="s">
        <v>17035</v>
      </c>
      <c r="W2883" s="1"/>
      <c r="X2883" s="2" t="s">
        <v>817</v>
      </c>
      <c r="Y2883" s="2" t="s">
        <v>16303</v>
      </c>
      <c r="AA2883" t="str">
        <f t="shared" si="264"/>
        <v>2025-07</v>
      </c>
      <c r="AB2883" t="str">
        <f t="shared" si="265"/>
        <v/>
      </c>
      <c r="AC2883">
        <f t="shared" si="266"/>
        <v>13751782.800000001</v>
      </c>
      <c r="AD2883">
        <f t="shared" si="267"/>
        <v>920</v>
      </c>
      <c r="AE2883">
        <f t="shared" si="268"/>
        <v>3380622.8</v>
      </c>
      <c r="AF2883" t="str">
        <f t="shared" si="269"/>
        <v>Paid</v>
      </c>
    </row>
    <row r="2884" spans="1:32" ht="17.25" thickBot="1" x14ac:dyDescent="0.35">
      <c r="A2884" s="2" t="s">
        <v>17036</v>
      </c>
      <c r="B2884" s="2" t="s">
        <v>27</v>
      </c>
      <c r="C2884" s="2" t="s">
        <v>28</v>
      </c>
      <c r="D2884" s="2" t="s">
        <v>97</v>
      </c>
      <c r="E2884" s="2" t="s">
        <v>15863</v>
      </c>
      <c r="F2884" s="2" t="s">
        <v>31</v>
      </c>
      <c r="G2884" s="2" t="s">
        <v>32</v>
      </c>
      <c r="H2884" s="1"/>
      <c r="I2884" s="2" t="s">
        <v>33</v>
      </c>
      <c r="J2884" s="2" t="s">
        <v>34</v>
      </c>
      <c r="K2884" s="2" t="s">
        <v>17037</v>
      </c>
      <c r="L2884" s="2" t="s">
        <v>17038</v>
      </c>
      <c r="M2884" s="2" t="s">
        <v>17039</v>
      </c>
      <c r="N2884" s="2" t="s">
        <v>38</v>
      </c>
      <c r="O2884" s="2" t="s">
        <v>79</v>
      </c>
      <c r="P2884" s="2" t="s">
        <v>6351</v>
      </c>
      <c r="Q2884" s="2" t="s">
        <v>6449</v>
      </c>
      <c r="R2884" s="2" t="s">
        <v>40</v>
      </c>
      <c r="S2884" s="2" t="s">
        <v>17040</v>
      </c>
      <c r="T2884" s="2" t="s">
        <v>1523</v>
      </c>
      <c r="U2884" s="2" t="s">
        <v>13069</v>
      </c>
      <c r="V2884" s="2" t="s">
        <v>17041</v>
      </c>
      <c r="W2884" s="1"/>
      <c r="X2884" s="2" t="s">
        <v>9468</v>
      </c>
      <c r="Y2884" s="2" t="s">
        <v>16303</v>
      </c>
      <c r="AA2884" t="str">
        <f t="shared" ref="AA2884:AA2947" si="270">LEFT(E2884,7)</f>
        <v>2025-07</v>
      </c>
      <c r="AB2884" t="str">
        <f t="shared" ref="AB2884:AB2947" si="271">IF(AND($AA2884&gt;="2025-01",$AA2884&lt;="2025-06"),"H1_2025",IF(AND($AA2884&gt;="2026-01",$AA2884&lt;="2026-06"),"H1_2026",""))</f>
        <v/>
      </c>
      <c r="AC2884">
        <f t="shared" ref="AC2884:AC2947" si="272">IFERROR(VALUE(SUBSTITUTE(S2884,",","")),0)</f>
        <v>93875.7</v>
      </c>
      <c r="AD2884">
        <f t="shared" ref="AD2884:AD2947" si="273">IFERROR(VALUE(SUBSTITUTE(O2884,",","")),0)</f>
        <v>10</v>
      </c>
      <c r="AE2884">
        <f t="shared" ref="AE2884:AE2947" si="274">IFERROR(VALUE(SUBSTITUTE(V2884,",","")),0)</f>
        <v>39325.699999999997</v>
      </c>
      <c r="AF2884" t="str">
        <f t="shared" ref="AF2884:AF2947" si="275">IF(ISNUMBER(SEARCH("FOC",W2884)),"FOC",IF(ISNUMBER(SEARCH("샘플",W2884)),"Sample","Paid"))</f>
        <v>Paid</v>
      </c>
    </row>
    <row r="2885" spans="1:32" ht="17.25" thickBot="1" x14ac:dyDescent="0.35">
      <c r="A2885" s="2" t="s">
        <v>17042</v>
      </c>
      <c r="B2885" s="2" t="s">
        <v>27</v>
      </c>
      <c r="C2885" s="2" t="s">
        <v>28</v>
      </c>
      <c r="D2885" s="2" t="s">
        <v>97</v>
      </c>
      <c r="E2885" s="2" t="s">
        <v>15863</v>
      </c>
      <c r="F2885" s="2" t="s">
        <v>31</v>
      </c>
      <c r="G2885" s="2" t="s">
        <v>32</v>
      </c>
      <c r="H2885" s="1"/>
      <c r="I2885" s="2" t="s">
        <v>33</v>
      </c>
      <c r="J2885" s="2" t="s">
        <v>34</v>
      </c>
      <c r="K2885" s="2" t="s">
        <v>17043</v>
      </c>
      <c r="L2885" s="2" t="s">
        <v>17044</v>
      </c>
      <c r="M2885" s="2" t="s">
        <v>16013</v>
      </c>
      <c r="N2885" s="2" t="s">
        <v>38</v>
      </c>
      <c r="O2885" s="2" t="s">
        <v>141</v>
      </c>
      <c r="P2885" s="2" t="s">
        <v>17045</v>
      </c>
      <c r="Q2885" s="2" t="s">
        <v>17046</v>
      </c>
      <c r="R2885" s="2" t="s">
        <v>40</v>
      </c>
      <c r="S2885" s="2" t="s">
        <v>17047</v>
      </c>
      <c r="T2885" s="2" t="s">
        <v>40</v>
      </c>
      <c r="U2885" s="2" t="s">
        <v>40</v>
      </c>
      <c r="V2885" s="2" t="s">
        <v>17047</v>
      </c>
      <c r="W2885" s="1"/>
      <c r="X2885" s="2" t="s">
        <v>2155</v>
      </c>
      <c r="Y2885" s="2" t="s">
        <v>16303</v>
      </c>
      <c r="AA2885" t="str">
        <f t="shared" si="270"/>
        <v>2025-07</v>
      </c>
      <c r="AB2885" t="str">
        <f t="shared" si="271"/>
        <v/>
      </c>
      <c r="AC2885">
        <f t="shared" si="272"/>
        <v>117243.9</v>
      </c>
      <c r="AD2885">
        <f t="shared" si="273"/>
        <v>30</v>
      </c>
      <c r="AE2885">
        <f t="shared" si="274"/>
        <v>117243.9</v>
      </c>
      <c r="AF2885" t="str">
        <f t="shared" si="275"/>
        <v>Paid</v>
      </c>
    </row>
    <row r="2886" spans="1:32" ht="17.25" thickBot="1" x14ac:dyDescent="0.35">
      <c r="A2886" s="2" t="s">
        <v>17048</v>
      </c>
      <c r="B2886" s="2" t="s">
        <v>27</v>
      </c>
      <c r="C2886" s="2" t="s">
        <v>28</v>
      </c>
      <c r="D2886" s="2" t="s">
        <v>97</v>
      </c>
      <c r="E2886" s="2" t="s">
        <v>15863</v>
      </c>
      <c r="F2886" s="2" t="s">
        <v>31</v>
      </c>
      <c r="G2886" s="2" t="s">
        <v>32</v>
      </c>
      <c r="H2886" s="1"/>
      <c r="I2886" s="2" t="s">
        <v>33</v>
      </c>
      <c r="J2886" s="2" t="s">
        <v>34</v>
      </c>
      <c r="K2886" s="2" t="s">
        <v>17049</v>
      </c>
      <c r="L2886" s="2" t="s">
        <v>17050</v>
      </c>
      <c r="M2886" s="2" t="s">
        <v>16013</v>
      </c>
      <c r="N2886" s="2" t="s">
        <v>38</v>
      </c>
      <c r="O2886" s="2" t="s">
        <v>141</v>
      </c>
      <c r="P2886" s="2" t="s">
        <v>2066</v>
      </c>
      <c r="Q2886" s="2" t="s">
        <v>16376</v>
      </c>
      <c r="R2886" s="2" t="s">
        <v>40</v>
      </c>
      <c r="S2886" s="2" t="s">
        <v>16377</v>
      </c>
      <c r="T2886" s="2" t="s">
        <v>1013</v>
      </c>
      <c r="U2886" s="2" t="s">
        <v>2523</v>
      </c>
      <c r="V2886" s="2" t="s">
        <v>17051</v>
      </c>
      <c r="W2886" s="1"/>
      <c r="X2886" s="2" t="s">
        <v>15185</v>
      </c>
      <c r="Y2886" s="2" t="s">
        <v>16303</v>
      </c>
      <c r="AA2886" t="str">
        <f t="shared" si="270"/>
        <v>2025-07</v>
      </c>
      <c r="AB2886" t="str">
        <f t="shared" si="271"/>
        <v/>
      </c>
      <c r="AC2886">
        <f t="shared" si="272"/>
        <v>300966.3</v>
      </c>
      <c r="AD2886">
        <f t="shared" si="273"/>
        <v>30</v>
      </c>
      <c r="AE2886">
        <f t="shared" si="274"/>
        <v>45966.3</v>
      </c>
      <c r="AF2886" t="str">
        <f t="shared" si="275"/>
        <v>Paid</v>
      </c>
    </row>
    <row r="2887" spans="1:32" ht="27.75" thickBot="1" x14ac:dyDescent="0.35">
      <c r="A2887" s="2" t="s">
        <v>17052</v>
      </c>
      <c r="B2887" s="2" t="s">
        <v>27</v>
      </c>
      <c r="C2887" s="2" t="s">
        <v>28</v>
      </c>
      <c r="D2887" s="2" t="s">
        <v>97</v>
      </c>
      <c r="E2887" s="2" t="s">
        <v>15863</v>
      </c>
      <c r="F2887" s="2" t="s">
        <v>31</v>
      </c>
      <c r="G2887" s="2" t="s">
        <v>32</v>
      </c>
      <c r="H2887" s="1"/>
      <c r="I2887" s="2" t="s">
        <v>33</v>
      </c>
      <c r="J2887" s="2" t="s">
        <v>34</v>
      </c>
      <c r="K2887" s="2" t="s">
        <v>3538</v>
      </c>
      <c r="L2887" s="2" t="s">
        <v>3539</v>
      </c>
      <c r="M2887" s="2" t="s">
        <v>70</v>
      </c>
      <c r="N2887" s="2" t="s">
        <v>38</v>
      </c>
      <c r="O2887" s="2" t="s">
        <v>141</v>
      </c>
      <c r="P2887" s="2" t="s">
        <v>1970</v>
      </c>
      <c r="Q2887" s="2" t="s">
        <v>16578</v>
      </c>
      <c r="R2887" s="2" t="s">
        <v>40</v>
      </c>
      <c r="S2887" s="2" t="s">
        <v>16579</v>
      </c>
      <c r="T2887" s="2" t="s">
        <v>2755</v>
      </c>
      <c r="U2887" s="2" t="s">
        <v>9540</v>
      </c>
      <c r="V2887" s="2" t="s">
        <v>17053</v>
      </c>
      <c r="W2887" s="1"/>
      <c r="X2887" s="2" t="s">
        <v>3089</v>
      </c>
      <c r="Y2887" s="2" t="s">
        <v>16303</v>
      </c>
      <c r="AA2887" t="str">
        <f t="shared" si="270"/>
        <v>2025-07</v>
      </c>
      <c r="AB2887" t="str">
        <f t="shared" si="271"/>
        <v/>
      </c>
      <c r="AC2887">
        <f t="shared" si="272"/>
        <v>211925.4</v>
      </c>
      <c r="AD2887">
        <f t="shared" si="273"/>
        <v>30</v>
      </c>
      <c r="AE2887">
        <f t="shared" si="274"/>
        <v>40925.4</v>
      </c>
      <c r="AF2887" t="str">
        <f t="shared" si="275"/>
        <v>Paid</v>
      </c>
    </row>
    <row r="2888" spans="1:32" ht="27.75" thickBot="1" x14ac:dyDescent="0.35">
      <c r="A2888" s="2" t="s">
        <v>17054</v>
      </c>
      <c r="B2888" s="2" t="s">
        <v>27</v>
      </c>
      <c r="C2888" s="2" t="s">
        <v>28</v>
      </c>
      <c r="D2888" s="2" t="s">
        <v>97</v>
      </c>
      <c r="E2888" s="2" t="s">
        <v>15863</v>
      </c>
      <c r="F2888" s="2" t="s">
        <v>31</v>
      </c>
      <c r="G2888" s="2" t="s">
        <v>32</v>
      </c>
      <c r="H2888" s="1"/>
      <c r="I2888" s="2" t="s">
        <v>33</v>
      </c>
      <c r="J2888" s="2" t="s">
        <v>34</v>
      </c>
      <c r="K2888" s="2" t="s">
        <v>2759</v>
      </c>
      <c r="L2888" s="2" t="s">
        <v>2760</v>
      </c>
      <c r="M2888" s="2" t="s">
        <v>70</v>
      </c>
      <c r="N2888" s="2" t="s">
        <v>38</v>
      </c>
      <c r="O2888" s="2" t="s">
        <v>141</v>
      </c>
      <c r="P2888" s="2" t="s">
        <v>1970</v>
      </c>
      <c r="Q2888" s="2" t="s">
        <v>16578</v>
      </c>
      <c r="R2888" s="2" t="s">
        <v>40</v>
      </c>
      <c r="S2888" s="2" t="s">
        <v>16579</v>
      </c>
      <c r="T2888" s="2" t="s">
        <v>2755</v>
      </c>
      <c r="U2888" s="2" t="s">
        <v>9540</v>
      </c>
      <c r="V2888" s="2" t="s">
        <v>17053</v>
      </c>
      <c r="W2888" s="1"/>
      <c r="X2888" s="2" t="s">
        <v>3089</v>
      </c>
      <c r="Y2888" s="2" t="s">
        <v>16303</v>
      </c>
      <c r="AA2888" t="str">
        <f t="shared" si="270"/>
        <v>2025-07</v>
      </c>
      <c r="AB2888" t="str">
        <f t="shared" si="271"/>
        <v/>
      </c>
      <c r="AC2888">
        <f t="shared" si="272"/>
        <v>211925.4</v>
      </c>
      <c r="AD2888">
        <f t="shared" si="273"/>
        <v>30</v>
      </c>
      <c r="AE2888">
        <f t="shared" si="274"/>
        <v>40925.4</v>
      </c>
      <c r="AF2888" t="str">
        <f t="shared" si="275"/>
        <v>Paid</v>
      </c>
    </row>
    <row r="2889" spans="1:32" ht="17.25" thickBot="1" x14ac:dyDescent="0.35">
      <c r="A2889" s="2" t="s">
        <v>17055</v>
      </c>
      <c r="B2889" s="2" t="s">
        <v>27</v>
      </c>
      <c r="C2889" s="2" t="s">
        <v>28</v>
      </c>
      <c r="D2889" s="2" t="s">
        <v>97</v>
      </c>
      <c r="E2889" s="2" t="s">
        <v>15863</v>
      </c>
      <c r="F2889" s="2" t="s">
        <v>31</v>
      </c>
      <c r="G2889" s="2" t="s">
        <v>32</v>
      </c>
      <c r="H2889" s="1"/>
      <c r="I2889" s="2" t="s">
        <v>33</v>
      </c>
      <c r="J2889" s="2" t="s">
        <v>34</v>
      </c>
      <c r="K2889" s="2" t="s">
        <v>17056</v>
      </c>
      <c r="L2889" s="2" t="s">
        <v>17057</v>
      </c>
      <c r="M2889" s="2" t="s">
        <v>70</v>
      </c>
      <c r="N2889" s="2" t="s">
        <v>38</v>
      </c>
      <c r="O2889" s="2" t="s">
        <v>141</v>
      </c>
      <c r="P2889" s="2" t="s">
        <v>1970</v>
      </c>
      <c r="Q2889" s="2" t="s">
        <v>16578</v>
      </c>
      <c r="R2889" s="2" t="s">
        <v>40</v>
      </c>
      <c r="S2889" s="2" t="s">
        <v>16579</v>
      </c>
      <c r="T2889" s="2" t="s">
        <v>17058</v>
      </c>
      <c r="U2889" s="2" t="s">
        <v>17059</v>
      </c>
      <c r="V2889" s="2" t="s">
        <v>17060</v>
      </c>
      <c r="W2889" s="1"/>
      <c r="X2889" s="2" t="s">
        <v>15111</v>
      </c>
      <c r="Y2889" s="2" t="s">
        <v>16303</v>
      </c>
      <c r="AA2889" t="str">
        <f t="shared" si="270"/>
        <v>2025-07</v>
      </c>
      <c r="AB2889" t="str">
        <f t="shared" si="271"/>
        <v/>
      </c>
      <c r="AC2889">
        <f t="shared" si="272"/>
        <v>211925.4</v>
      </c>
      <c r="AD2889">
        <f t="shared" si="273"/>
        <v>30</v>
      </c>
      <c r="AE2889">
        <f t="shared" si="274"/>
        <v>106475.4</v>
      </c>
      <c r="AF2889" t="str">
        <f t="shared" si="275"/>
        <v>Paid</v>
      </c>
    </row>
    <row r="2890" spans="1:32" ht="27.75" thickBot="1" x14ac:dyDescent="0.35">
      <c r="A2890" s="2" t="s">
        <v>17061</v>
      </c>
      <c r="B2890" s="2" t="s">
        <v>27</v>
      </c>
      <c r="C2890" s="2" t="s">
        <v>28</v>
      </c>
      <c r="D2890" s="2" t="s">
        <v>97</v>
      </c>
      <c r="E2890" s="2" t="s">
        <v>15863</v>
      </c>
      <c r="F2890" s="2" t="s">
        <v>31</v>
      </c>
      <c r="G2890" s="2" t="s">
        <v>32</v>
      </c>
      <c r="H2890" s="1"/>
      <c r="I2890" s="2" t="s">
        <v>33</v>
      </c>
      <c r="J2890" s="2" t="s">
        <v>34</v>
      </c>
      <c r="K2890" s="2" t="s">
        <v>17062</v>
      </c>
      <c r="L2890" s="2" t="s">
        <v>17063</v>
      </c>
      <c r="M2890" s="2" t="s">
        <v>70</v>
      </c>
      <c r="N2890" s="2" t="s">
        <v>38</v>
      </c>
      <c r="O2890" s="2" t="s">
        <v>141</v>
      </c>
      <c r="P2890" s="2" t="s">
        <v>1970</v>
      </c>
      <c r="Q2890" s="2" t="s">
        <v>16578</v>
      </c>
      <c r="R2890" s="2" t="s">
        <v>40</v>
      </c>
      <c r="S2890" s="2" t="s">
        <v>16579</v>
      </c>
      <c r="T2890" s="2" t="s">
        <v>40</v>
      </c>
      <c r="U2890" s="2" t="s">
        <v>40</v>
      </c>
      <c r="V2890" s="2" t="s">
        <v>16579</v>
      </c>
      <c r="W2890" s="1"/>
      <c r="X2890" s="2" t="s">
        <v>2155</v>
      </c>
      <c r="Y2890" s="2" t="s">
        <v>16303</v>
      </c>
      <c r="AA2890" t="str">
        <f t="shared" si="270"/>
        <v>2025-07</v>
      </c>
      <c r="AB2890" t="str">
        <f t="shared" si="271"/>
        <v/>
      </c>
      <c r="AC2890">
        <f t="shared" si="272"/>
        <v>211925.4</v>
      </c>
      <c r="AD2890">
        <f t="shared" si="273"/>
        <v>30</v>
      </c>
      <c r="AE2890">
        <f t="shared" si="274"/>
        <v>211925.4</v>
      </c>
      <c r="AF2890" t="str">
        <f t="shared" si="275"/>
        <v>Paid</v>
      </c>
    </row>
    <row r="2891" spans="1:32" ht="17.25" thickBot="1" x14ac:dyDescent="0.35">
      <c r="A2891" s="2" t="s">
        <v>17064</v>
      </c>
      <c r="B2891" s="2" t="s">
        <v>27</v>
      </c>
      <c r="C2891" s="2" t="s">
        <v>28</v>
      </c>
      <c r="D2891" s="2" t="s">
        <v>97</v>
      </c>
      <c r="E2891" s="2" t="s">
        <v>15863</v>
      </c>
      <c r="F2891" s="2" t="s">
        <v>31</v>
      </c>
      <c r="G2891" s="2" t="s">
        <v>32</v>
      </c>
      <c r="H2891" s="1"/>
      <c r="I2891" s="2" t="s">
        <v>33</v>
      </c>
      <c r="J2891" s="2" t="s">
        <v>34</v>
      </c>
      <c r="K2891" s="2" t="s">
        <v>17065</v>
      </c>
      <c r="L2891" s="2" t="s">
        <v>17066</v>
      </c>
      <c r="M2891" s="2" t="s">
        <v>70</v>
      </c>
      <c r="N2891" s="2" t="s">
        <v>38</v>
      </c>
      <c r="O2891" s="2" t="s">
        <v>141</v>
      </c>
      <c r="P2891" s="2" t="s">
        <v>1970</v>
      </c>
      <c r="Q2891" s="2" t="s">
        <v>16578</v>
      </c>
      <c r="R2891" s="2" t="s">
        <v>40</v>
      </c>
      <c r="S2891" s="2" t="s">
        <v>16579</v>
      </c>
      <c r="T2891" s="2" t="s">
        <v>2755</v>
      </c>
      <c r="U2891" s="2" t="s">
        <v>9540</v>
      </c>
      <c r="V2891" s="2" t="s">
        <v>17053</v>
      </c>
      <c r="W2891" s="1"/>
      <c r="X2891" s="2" t="s">
        <v>3089</v>
      </c>
      <c r="Y2891" s="2" t="s">
        <v>16303</v>
      </c>
      <c r="AA2891" t="str">
        <f t="shared" si="270"/>
        <v>2025-07</v>
      </c>
      <c r="AB2891" t="str">
        <f t="shared" si="271"/>
        <v/>
      </c>
      <c r="AC2891">
        <f t="shared" si="272"/>
        <v>211925.4</v>
      </c>
      <c r="AD2891">
        <f t="shared" si="273"/>
        <v>30</v>
      </c>
      <c r="AE2891">
        <f t="shared" si="274"/>
        <v>40925.4</v>
      </c>
      <c r="AF2891" t="str">
        <f t="shared" si="275"/>
        <v>Paid</v>
      </c>
    </row>
    <row r="2892" spans="1:32" ht="17.25" thickBot="1" x14ac:dyDescent="0.35">
      <c r="A2892" s="2" t="s">
        <v>17067</v>
      </c>
      <c r="B2892" s="2" t="s">
        <v>27</v>
      </c>
      <c r="C2892" s="2" t="s">
        <v>28</v>
      </c>
      <c r="D2892" s="2" t="s">
        <v>97</v>
      </c>
      <c r="E2892" s="2" t="s">
        <v>15863</v>
      </c>
      <c r="F2892" s="2" t="s">
        <v>31</v>
      </c>
      <c r="G2892" s="2" t="s">
        <v>32</v>
      </c>
      <c r="H2892" s="1"/>
      <c r="I2892" s="2" t="s">
        <v>33</v>
      </c>
      <c r="J2892" s="2" t="s">
        <v>34</v>
      </c>
      <c r="K2892" s="2" t="s">
        <v>9576</v>
      </c>
      <c r="L2892" s="2" t="s">
        <v>9577</v>
      </c>
      <c r="M2892" s="2" t="s">
        <v>70</v>
      </c>
      <c r="N2892" s="2" t="s">
        <v>38</v>
      </c>
      <c r="O2892" s="2" t="s">
        <v>141</v>
      </c>
      <c r="P2892" s="2" t="s">
        <v>16144</v>
      </c>
      <c r="Q2892" s="2" t="s">
        <v>17068</v>
      </c>
      <c r="R2892" s="2" t="s">
        <v>40</v>
      </c>
      <c r="S2892" s="2" t="s">
        <v>17069</v>
      </c>
      <c r="T2892" s="2" t="s">
        <v>9580</v>
      </c>
      <c r="U2892" s="2" t="s">
        <v>17070</v>
      </c>
      <c r="V2892" s="2" t="s">
        <v>17071</v>
      </c>
      <c r="W2892" s="1"/>
      <c r="X2892" s="2" t="s">
        <v>1042</v>
      </c>
      <c r="Y2892" s="2" t="s">
        <v>16303</v>
      </c>
      <c r="AA2892" t="str">
        <f t="shared" si="270"/>
        <v>2025-07</v>
      </c>
      <c r="AB2892" t="str">
        <f t="shared" si="271"/>
        <v/>
      </c>
      <c r="AC2892">
        <f t="shared" si="272"/>
        <v>311441.7</v>
      </c>
      <c r="AD2892">
        <f t="shared" si="273"/>
        <v>30</v>
      </c>
      <c r="AE2892">
        <f t="shared" si="274"/>
        <v>74711.7</v>
      </c>
      <c r="AF2892" t="str">
        <f t="shared" si="275"/>
        <v>Paid</v>
      </c>
    </row>
    <row r="2893" spans="1:32" ht="17.25" thickBot="1" x14ac:dyDescent="0.35">
      <c r="A2893" s="2" t="s">
        <v>17072</v>
      </c>
      <c r="B2893" s="2" t="s">
        <v>27</v>
      </c>
      <c r="C2893" s="2" t="s">
        <v>28</v>
      </c>
      <c r="D2893" s="2" t="s">
        <v>97</v>
      </c>
      <c r="E2893" s="2" t="s">
        <v>15863</v>
      </c>
      <c r="F2893" s="2" t="s">
        <v>31</v>
      </c>
      <c r="G2893" s="2" t="s">
        <v>32</v>
      </c>
      <c r="H2893" s="1"/>
      <c r="I2893" s="2" t="s">
        <v>33</v>
      </c>
      <c r="J2893" s="2" t="s">
        <v>34</v>
      </c>
      <c r="K2893" s="2" t="s">
        <v>9576</v>
      </c>
      <c r="L2893" s="2" t="s">
        <v>9577</v>
      </c>
      <c r="M2893" s="2" t="s">
        <v>70</v>
      </c>
      <c r="N2893" s="2" t="s">
        <v>38</v>
      </c>
      <c r="O2893" s="2" t="s">
        <v>156</v>
      </c>
      <c r="P2893" s="2" t="s">
        <v>16144</v>
      </c>
      <c r="Q2893" s="2" t="s">
        <v>17073</v>
      </c>
      <c r="R2893" s="2" t="s">
        <v>40</v>
      </c>
      <c r="S2893" s="2" t="s">
        <v>17074</v>
      </c>
      <c r="T2893" s="2" t="s">
        <v>9580</v>
      </c>
      <c r="U2893" s="2" t="s">
        <v>9581</v>
      </c>
      <c r="V2893" s="2" t="s">
        <v>17075</v>
      </c>
      <c r="W2893" s="1"/>
      <c r="X2893" s="2" t="s">
        <v>1042</v>
      </c>
      <c r="Y2893" s="2" t="s">
        <v>16303</v>
      </c>
      <c r="AA2893" t="str">
        <f t="shared" si="270"/>
        <v>2025-07</v>
      </c>
      <c r="AB2893" t="str">
        <f t="shared" si="271"/>
        <v/>
      </c>
      <c r="AC2893">
        <f t="shared" si="272"/>
        <v>207627.8</v>
      </c>
      <c r="AD2893">
        <f t="shared" si="273"/>
        <v>20</v>
      </c>
      <c r="AE2893">
        <f t="shared" si="274"/>
        <v>49807.8</v>
      </c>
      <c r="AF2893" t="str">
        <f t="shared" si="275"/>
        <v>Paid</v>
      </c>
    </row>
    <row r="2894" spans="1:32" ht="27.75" thickBot="1" x14ac:dyDescent="0.35">
      <c r="A2894" s="2" t="s">
        <v>17076</v>
      </c>
      <c r="B2894" s="2" t="s">
        <v>27</v>
      </c>
      <c r="C2894" s="2" t="s">
        <v>28</v>
      </c>
      <c r="D2894" s="2" t="s">
        <v>97</v>
      </c>
      <c r="E2894" s="2" t="s">
        <v>15863</v>
      </c>
      <c r="F2894" s="2" t="s">
        <v>31</v>
      </c>
      <c r="G2894" s="2" t="s">
        <v>32</v>
      </c>
      <c r="H2894" s="1"/>
      <c r="I2894" s="2" t="s">
        <v>33</v>
      </c>
      <c r="J2894" s="2" t="s">
        <v>34</v>
      </c>
      <c r="K2894" s="2" t="s">
        <v>17077</v>
      </c>
      <c r="L2894" s="2" t="s">
        <v>17078</v>
      </c>
      <c r="M2894" s="2" t="s">
        <v>70</v>
      </c>
      <c r="N2894" s="2" t="s">
        <v>38</v>
      </c>
      <c r="O2894" s="2" t="s">
        <v>141</v>
      </c>
      <c r="P2894" s="2" t="s">
        <v>17079</v>
      </c>
      <c r="Q2894" s="2" t="s">
        <v>17080</v>
      </c>
      <c r="R2894" s="2" t="s">
        <v>40</v>
      </c>
      <c r="S2894" s="2" t="s">
        <v>17081</v>
      </c>
      <c r="T2894" s="2" t="s">
        <v>2079</v>
      </c>
      <c r="U2894" s="2" t="s">
        <v>17082</v>
      </c>
      <c r="V2894" s="2" t="s">
        <v>17083</v>
      </c>
      <c r="W2894" s="1"/>
      <c r="X2894" s="2" t="s">
        <v>9560</v>
      </c>
      <c r="Y2894" s="2" t="s">
        <v>16303</v>
      </c>
      <c r="AA2894" t="str">
        <f t="shared" si="270"/>
        <v>2025-07</v>
      </c>
      <c r="AB2894" t="str">
        <f t="shared" si="271"/>
        <v/>
      </c>
      <c r="AC2894">
        <f t="shared" si="272"/>
        <v>368250.6</v>
      </c>
      <c r="AD2894">
        <f t="shared" si="273"/>
        <v>30</v>
      </c>
      <c r="AE2894">
        <f t="shared" si="274"/>
        <v>112950.6</v>
      </c>
      <c r="AF2894" t="str">
        <f t="shared" si="275"/>
        <v>Paid</v>
      </c>
    </row>
    <row r="2895" spans="1:32" ht="27.75" thickBot="1" x14ac:dyDescent="0.35">
      <c r="A2895" s="2" t="s">
        <v>17084</v>
      </c>
      <c r="B2895" s="2" t="s">
        <v>27</v>
      </c>
      <c r="C2895" s="2" t="s">
        <v>28</v>
      </c>
      <c r="D2895" s="2" t="s">
        <v>97</v>
      </c>
      <c r="E2895" s="2" t="s">
        <v>15863</v>
      </c>
      <c r="F2895" s="2" t="s">
        <v>31</v>
      </c>
      <c r="G2895" s="2" t="s">
        <v>32</v>
      </c>
      <c r="H2895" s="1"/>
      <c r="I2895" s="2" t="s">
        <v>33</v>
      </c>
      <c r="J2895" s="2" t="s">
        <v>34</v>
      </c>
      <c r="K2895" s="2" t="s">
        <v>17085</v>
      </c>
      <c r="L2895" s="2" t="s">
        <v>17086</v>
      </c>
      <c r="M2895" s="2" t="s">
        <v>70</v>
      </c>
      <c r="N2895" s="2" t="s">
        <v>38</v>
      </c>
      <c r="O2895" s="2" t="s">
        <v>51</v>
      </c>
      <c r="P2895" s="2" t="s">
        <v>17087</v>
      </c>
      <c r="Q2895" s="2" t="s">
        <v>1698</v>
      </c>
      <c r="R2895" s="2" t="s">
        <v>40</v>
      </c>
      <c r="S2895" s="2" t="s">
        <v>17088</v>
      </c>
      <c r="T2895" s="2" t="s">
        <v>17089</v>
      </c>
      <c r="U2895" s="2" t="s">
        <v>17090</v>
      </c>
      <c r="V2895" s="2" t="s">
        <v>17091</v>
      </c>
      <c r="W2895" s="1"/>
      <c r="X2895" s="2" t="s">
        <v>17092</v>
      </c>
      <c r="Y2895" s="2" t="s">
        <v>16303</v>
      </c>
      <c r="AA2895" t="str">
        <f t="shared" si="270"/>
        <v>2025-07</v>
      </c>
      <c r="AB2895" t="str">
        <f t="shared" si="271"/>
        <v/>
      </c>
      <c r="AC2895">
        <f t="shared" si="272"/>
        <v>45527.7</v>
      </c>
      <c r="AD2895">
        <f t="shared" si="273"/>
        <v>3</v>
      </c>
      <c r="AE2895">
        <f t="shared" si="274"/>
        <v>35981.699999999997</v>
      </c>
      <c r="AF2895" t="str">
        <f t="shared" si="275"/>
        <v>Paid</v>
      </c>
    </row>
    <row r="2896" spans="1:32" ht="27.75" thickBot="1" x14ac:dyDescent="0.35">
      <c r="A2896" s="2" t="s">
        <v>17093</v>
      </c>
      <c r="B2896" s="2" t="s">
        <v>27</v>
      </c>
      <c r="C2896" s="2" t="s">
        <v>28</v>
      </c>
      <c r="D2896" s="2" t="s">
        <v>97</v>
      </c>
      <c r="E2896" s="2" t="s">
        <v>15863</v>
      </c>
      <c r="F2896" s="2" t="s">
        <v>31</v>
      </c>
      <c r="G2896" s="2" t="s">
        <v>32</v>
      </c>
      <c r="H2896" s="1"/>
      <c r="I2896" s="2" t="s">
        <v>33</v>
      </c>
      <c r="J2896" s="2" t="s">
        <v>34</v>
      </c>
      <c r="K2896" s="2" t="s">
        <v>13113</v>
      </c>
      <c r="L2896" s="2" t="s">
        <v>13114</v>
      </c>
      <c r="M2896" s="2" t="s">
        <v>70</v>
      </c>
      <c r="N2896" s="2" t="s">
        <v>38</v>
      </c>
      <c r="O2896" s="2" t="s">
        <v>141</v>
      </c>
      <c r="P2896" s="2" t="s">
        <v>17079</v>
      </c>
      <c r="Q2896" s="2" t="s">
        <v>17080</v>
      </c>
      <c r="R2896" s="2" t="s">
        <v>40</v>
      </c>
      <c r="S2896" s="2" t="s">
        <v>17081</v>
      </c>
      <c r="T2896" s="2" t="s">
        <v>2079</v>
      </c>
      <c r="U2896" s="2" t="s">
        <v>17082</v>
      </c>
      <c r="V2896" s="2" t="s">
        <v>17083</v>
      </c>
      <c r="W2896" s="1"/>
      <c r="X2896" s="2" t="s">
        <v>9560</v>
      </c>
      <c r="Y2896" s="2" t="s">
        <v>16303</v>
      </c>
      <c r="AA2896" t="str">
        <f t="shared" si="270"/>
        <v>2025-07</v>
      </c>
      <c r="AB2896" t="str">
        <f t="shared" si="271"/>
        <v/>
      </c>
      <c r="AC2896">
        <f t="shared" si="272"/>
        <v>368250.6</v>
      </c>
      <c r="AD2896">
        <f t="shared" si="273"/>
        <v>30</v>
      </c>
      <c r="AE2896">
        <f t="shared" si="274"/>
        <v>112950.6</v>
      </c>
      <c r="AF2896" t="str">
        <f t="shared" si="275"/>
        <v>Paid</v>
      </c>
    </row>
    <row r="2897" spans="1:32" ht="27.75" thickBot="1" x14ac:dyDescent="0.35">
      <c r="A2897" s="2" t="s">
        <v>17094</v>
      </c>
      <c r="B2897" s="2" t="s">
        <v>27</v>
      </c>
      <c r="C2897" s="2" t="s">
        <v>28</v>
      </c>
      <c r="D2897" s="2" t="s">
        <v>97</v>
      </c>
      <c r="E2897" s="2" t="s">
        <v>15863</v>
      </c>
      <c r="F2897" s="2" t="s">
        <v>31</v>
      </c>
      <c r="G2897" s="2" t="s">
        <v>32</v>
      </c>
      <c r="H2897" s="1"/>
      <c r="I2897" s="2" t="s">
        <v>33</v>
      </c>
      <c r="J2897" s="2" t="s">
        <v>34</v>
      </c>
      <c r="K2897" s="2" t="s">
        <v>17095</v>
      </c>
      <c r="L2897" s="2" t="s">
        <v>17096</v>
      </c>
      <c r="M2897" s="2" t="s">
        <v>70</v>
      </c>
      <c r="N2897" s="2" t="s">
        <v>38</v>
      </c>
      <c r="O2897" s="2" t="s">
        <v>141</v>
      </c>
      <c r="P2897" s="2" t="s">
        <v>5301</v>
      </c>
      <c r="Q2897" s="2" t="s">
        <v>17097</v>
      </c>
      <c r="R2897" s="2" t="s">
        <v>40</v>
      </c>
      <c r="S2897" s="2" t="s">
        <v>17098</v>
      </c>
      <c r="T2897" s="2" t="s">
        <v>13945</v>
      </c>
      <c r="U2897" s="2" t="s">
        <v>17099</v>
      </c>
      <c r="V2897" s="2" t="s">
        <v>17100</v>
      </c>
      <c r="W2897" s="1"/>
      <c r="X2897" s="2" t="s">
        <v>13101</v>
      </c>
      <c r="Y2897" s="2" t="s">
        <v>16303</v>
      </c>
      <c r="AA2897" t="str">
        <f t="shared" si="270"/>
        <v>2025-07</v>
      </c>
      <c r="AB2897" t="str">
        <f t="shared" si="271"/>
        <v/>
      </c>
      <c r="AC2897">
        <f t="shared" si="272"/>
        <v>291296.7</v>
      </c>
      <c r="AD2897">
        <f t="shared" si="273"/>
        <v>30</v>
      </c>
      <c r="AE2897">
        <f t="shared" si="274"/>
        <v>87296.7</v>
      </c>
      <c r="AF2897" t="str">
        <f t="shared" si="275"/>
        <v>Paid</v>
      </c>
    </row>
    <row r="2898" spans="1:32" ht="17.25" thickBot="1" x14ac:dyDescent="0.35">
      <c r="A2898" s="2" t="s">
        <v>17101</v>
      </c>
      <c r="B2898" s="2" t="s">
        <v>27</v>
      </c>
      <c r="C2898" s="2" t="s">
        <v>28</v>
      </c>
      <c r="D2898" s="2" t="s">
        <v>97</v>
      </c>
      <c r="E2898" s="2" t="s">
        <v>15863</v>
      </c>
      <c r="F2898" s="2" t="s">
        <v>31</v>
      </c>
      <c r="G2898" s="2" t="s">
        <v>32</v>
      </c>
      <c r="H2898" s="1"/>
      <c r="I2898" s="2" t="s">
        <v>33</v>
      </c>
      <c r="J2898" s="2" t="s">
        <v>34</v>
      </c>
      <c r="K2898" s="2" t="s">
        <v>11007</v>
      </c>
      <c r="L2898" s="2" t="s">
        <v>11008</v>
      </c>
      <c r="M2898" s="2" t="s">
        <v>4189</v>
      </c>
      <c r="N2898" s="2" t="s">
        <v>38</v>
      </c>
      <c r="O2898" s="2" t="s">
        <v>141</v>
      </c>
      <c r="P2898" s="2" t="s">
        <v>6237</v>
      </c>
      <c r="Q2898" s="2" t="s">
        <v>9828</v>
      </c>
      <c r="R2898" s="2" t="s">
        <v>40</v>
      </c>
      <c r="S2898" s="2" t="s">
        <v>17102</v>
      </c>
      <c r="T2898" s="2" t="s">
        <v>2615</v>
      </c>
      <c r="U2898" s="2" t="s">
        <v>3478</v>
      </c>
      <c r="V2898" s="2" t="s">
        <v>17103</v>
      </c>
      <c r="W2898" s="1"/>
      <c r="X2898" s="2" t="s">
        <v>976</v>
      </c>
      <c r="Y2898" s="2" t="s">
        <v>16303</v>
      </c>
      <c r="AA2898" t="str">
        <f t="shared" si="270"/>
        <v>2025-07</v>
      </c>
      <c r="AB2898" t="str">
        <f t="shared" si="271"/>
        <v/>
      </c>
      <c r="AC2898">
        <f t="shared" si="272"/>
        <v>223206.6</v>
      </c>
      <c r="AD2898">
        <f t="shared" si="273"/>
        <v>30</v>
      </c>
      <c r="AE2898">
        <f t="shared" si="274"/>
        <v>45006.6</v>
      </c>
      <c r="AF2898" t="str">
        <f t="shared" si="275"/>
        <v>Paid</v>
      </c>
    </row>
    <row r="2899" spans="1:32" ht="17.25" thickBot="1" x14ac:dyDescent="0.35">
      <c r="A2899" s="2" t="s">
        <v>17104</v>
      </c>
      <c r="B2899" s="2" t="s">
        <v>27</v>
      </c>
      <c r="C2899" s="2" t="s">
        <v>28</v>
      </c>
      <c r="D2899" s="2" t="s">
        <v>97</v>
      </c>
      <c r="E2899" s="2" t="s">
        <v>15863</v>
      </c>
      <c r="F2899" s="2" t="s">
        <v>31</v>
      </c>
      <c r="G2899" s="2" t="s">
        <v>32</v>
      </c>
      <c r="H2899" s="1"/>
      <c r="I2899" s="2" t="s">
        <v>33</v>
      </c>
      <c r="J2899" s="2" t="s">
        <v>34</v>
      </c>
      <c r="K2899" s="2" t="s">
        <v>17105</v>
      </c>
      <c r="L2899" s="2" t="s">
        <v>17106</v>
      </c>
      <c r="M2899" s="2" t="s">
        <v>4189</v>
      </c>
      <c r="N2899" s="2" t="s">
        <v>38</v>
      </c>
      <c r="O2899" s="2" t="s">
        <v>141</v>
      </c>
      <c r="P2899" s="2" t="s">
        <v>17107</v>
      </c>
      <c r="Q2899" s="2" t="s">
        <v>17108</v>
      </c>
      <c r="R2899" s="2" t="s">
        <v>40</v>
      </c>
      <c r="S2899" s="2" t="s">
        <v>17109</v>
      </c>
      <c r="T2899" s="2" t="s">
        <v>17110</v>
      </c>
      <c r="U2899" s="2" t="s">
        <v>17111</v>
      </c>
      <c r="V2899" s="2" t="s">
        <v>17112</v>
      </c>
      <c r="W2899" s="1"/>
      <c r="X2899" s="2" t="s">
        <v>661</v>
      </c>
      <c r="Y2899" s="2" t="s">
        <v>16303</v>
      </c>
      <c r="AA2899" t="str">
        <f t="shared" si="270"/>
        <v>2025-07</v>
      </c>
      <c r="AB2899" t="str">
        <f t="shared" si="271"/>
        <v/>
      </c>
      <c r="AC2899">
        <f t="shared" si="272"/>
        <v>433117.5</v>
      </c>
      <c r="AD2899">
        <f t="shared" si="273"/>
        <v>30</v>
      </c>
      <c r="AE2899">
        <f t="shared" si="274"/>
        <v>68317.5</v>
      </c>
      <c r="AF2899" t="str">
        <f t="shared" si="275"/>
        <v>Paid</v>
      </c>
    </row>
    <row r="2900" spans="1:32" ht="17.25" thickBot="1" x14ac:dyDescent="0.35">
      <c r="A2900" s="2" t="s">
        <v>17113</v>
      </c>
      <c r="B2900" s="2" t="s">
        <v>27</v>
      </c>
      <c r="C2900" s="2" t="s">
        <v>28</v>
      </c>
      <c r="D2900" s="2" t="s">
        <v>97</v>
      </c>
      <c r="E2900" s="2" t="s">
        <v>15863</v>
      </c>
      <c r="F2900" s="2" t="s">
        <v>31</v>
      </c>
      <c r="G2900" s="2" t="s">
        <v>32</v>
      </c>
      <c r="H2900" s="1"/>
      <c r="I2900" s="2" t="s">
        <v>33</v>
      </c>
      <c r="J2900" s="2" t="s">
        <v>34</v>
      </c>
      <c r="K2900" s="2" t="s">
        <v>17114</v>
      </c>
      <c r="L2900" s="2" t="s">
        <v>17115</v>
      </c>
      <c r="M2900" s="2" t="s">
        <v>4189</v>
      </c>
      <c r="N2900" s="2" t="s">
        <v>38</v>
      </c>
      <c r="O2900" s="2" t="s">
        <v>141</v>
      </c>
      <c r="P2900" s="2" t="s">
        <v>8791</v>
      </c>
      <c r="Q2900" s="2" t="s">
        <v>15336</v>
      </c>
      <c r="R2900" s="2" t="s">
        <v>40</v>
      </c>
      <c r="S2900" s="2" t="s">
        <v>17116</v>
      </c>
      <c r="T2900" s="2" t="s">
        <v>17117</v>
      </c>
      <c r="U2900" s="2" t="s">
        <v>17118</v>
      </c>
      <c r="V2900" s="2" t="s">
        <v>17119</v>
      </c>
      <c r="W2900" s="1"/>
      <c r="X2900" s="2" t="s">
        <v>661</v>
      </c>
      <c r="Y2900" s="2" t="s">
        <v>16303</v>
      </c>
      <c r="AA2900" t="str">
        <f t="shared" si="270"/>
        <v>2025-07</v>
      </c>
      <c r="AB2900" t="str">
        <f t="shared" si="271"/>
        <v/>
      </c>
      <c r="AC2900">
        <f t="shared" si="272"/>
        <v>297743.09999999998</v>
      </c>
      <c r="AD2900">
        <f t="shared" si="273"/>
        <v>30</v>
      </c>
      <c r="AE2900">
        <f t="shared" si="274"/>
        <v>46943.1</v>
      </c>
      <c r="AF2900" t="str">
        <f t="shared" si="275"/>
        <v>Paid</v>
      </c>
    </row>
    <row r="2901" spans="1:32" ht="17.25" thickBot="1" x14ac:dyDescent="0.35">
      <c r="A2901" s="2" t="s">
        <v>17120</v>
      </c>
      <c r="B2901" s="2" t="s">
        <v>27</v>
      </c>
      <c r="C2901" s="2" t="s">
        <v>28</v>
      </c>
      <c r="D2901" s="2" t="s">
        <v>97</v>
      </c>
      <c r="E2901" s="2" t="s">
        <v>15863</v>
      </c>
      <c r="F2901" s="2" t="s">
        <v>31</v>
      </c>
      <c r="G2901" s="2" t="s">
        <v>32</v>
      </c>
      <c r="H2901" s="1"/>
      <c r="I2901" s="2" t="s">
        <v>33</v>
      </c>
      <c r="J2901" s="2" t="s">
        <v>34</v>
      </c>
      <c r="K2901" s="2" t="s">
        <v>17121</v>
      </c>
      <c r="L2901" s="2" t="s">
        <v>17122</v>
      </c>
      <c r="M2901" s="2" t="s">
        <v>89</v>
      </c>
      <c r="N2901" s="2" t="s">
        <v>38</v>
      </c>
      <c r="O2901" s="2" t="s">
        <v>206</v>
      </c>
      <c r="P2901" s="2" t="s">
        <v>40</v>
      </c>
      <c r="Q2901" s="2" t="s">
        <v>40</v>
      </c>
      <c r="R2901" s="2" t="s">
        <v>40</v>
      </c>
      <c r="S2901" s="2" t="s">
        <v>40</v>
      </c>
      <c r="T2901" s="2" t="s">
        <v>40</v>
      </c>
      <c r="U2901" s="2" t="s">
        <v>40</v>
      </c>
      <c r="V2901" s="2" t="s">
        <v>40</v>
      </c>
      <c r="W2901" s="2" t="s">
        <v>41</v>
      </c>
      <c r="X2901" s="2" t="s">
        <v>42</v>
      </c>
      <c r="Y2901" s="2" t="s">
        <v>16303</v>
      </c>
      <c r="AA2901" t="str">
        <f t="shared" si="270"/>
        <v>2025-07</v>
      </c>
      <c r="AB2901" t="str">
        <f t="shared" si="271"/>
        <v/>
      </c>
      <c r="AC2901">
        <f t="shared" si="272"/>
        <v>0</v>
      </c>
      <c r="AD2901">
        <f t="shared" si="273"/>
        <v>500</v>
      </c>
      <c r="AE2901">
        <f t="shared" si="274"/>
        <v>0</v>
      </c>
      <c r="AF2901" t="str">
        <f t="shared" si="275"/>
        <v>Sample</v>
      </c>
    </row>
    <row r="2902" spans="1:32" ht="17.25" thickBot="1" x14ac:dyDescent="0.35">
      <c r="A2902" s="2" t="s">
        <v>17123</v>
      </c>
      <c r="B2902" s="2" t="s">
        <v>27</v>
      </c>
      <c r="C2902" s="2" t="s">
        <v>28</v>
      </c>
      <c r="D2902" s="2" t="s">
        <v>97</v>
      </c>
      <c r="E2902" s="2" t="s">
        <v>15863</v>
      </c>
      <c r="F2902" s="2" t="s">
        <v>31</v>
      </c>
      <c r="G2902" s="2" t="s">
        <v>32</v>
      </c>
      <c r="H2902" s="1"/>
      <c r="I2902" s="2" t="s">
        <v>33</v>
      </c>
      <c r="J2902" s="2" t="s">
        <v>34</v>
      </c>
      <c r="K2902" s="2" t="s">
        <v>17124</v>
      </c>
      <c r="L2902" s="2" t="s">
        <v>17125</v>
      </c>
      <c r="M2902" s="2" t="s">
        <v>89</v>
      </c>
      <c r="N2902" s="2" t="s">
        <v>38</v>
      </c>
      <c r="O2902" s="2" t="s">
        <v>113</v>
      </c>
      <c r="P2902" s="2" t="s">
        <v>17126</v>
      </c>
      <c r="Q2902" s="2" t="s">
        <v>17127</v>
      </c>
      <c r="R2902" s="2" t="s">
        <v>40</v>
      </c>
      <c r="S2902" s="2" t="s">
        <v>17128</v>
      </c>
      <c r="T2902" s="2" t="s">
        <v>1628</v>
      </c>
      <c r="U2902" s="2" t="s">
        <v>17129</v>
      </c>
      <c r="V2902" s="2" t="s">
        <v>17130</v>
      </c>
      <c r="W2902" s="1"/>
      <c r="X2902" s="2" t="s">
        <v>1042</v>
      </c>
      <c r="Y2902" s="2" t="s">
        <v>16303</v>
      </c>
      <c r="AA2902" t="str">
        <f t="shared" si="270"/>
        <v>2025-07</v>
      </c>
      <c r="AB2902" t="str">
        <f t="shared" si="271"/>
        <v/>
      </c>
      <c r="AC2902">
        <f t="shared" si="272"/>
        <v>159951.29999999999</v>
      </c>
      <c r="AD2902">
        <f t="shared" si="273"/>
        <v>15</v>
      </c>
      <c r="AE2902">
        <f t="shared" si="274"/>
        <v>38451.300000000003</v>
      </c>
      <c r="AF2902" t="str">
        <f t="shared" si="275"/>
        <v>Paid</v>
      </c>
    </row>
    <row r="2903" spans="1:32" ht="17.25" thickBot="1" x14ac:dyDescent="0.35">
      <c r="A2903" s="2" t="s">
        <v>17131</v>
      </c>
      <c r="B2903" s="2" t="s">
        <v>27</v>
      </c>
      <c r="C2903" s="2" t="s">
        <v>28</v>
      </c>
      <c r="D2903" s="2" t="s">
        <v>97</v>
      </c>
      <c r="E2903" s="2" t="s">
        <v>15863</v>
      </c>
      <c r="F2903" s="2" t="s">
        <v>31</v>
      </c>
      <c r="G2903" s="2" t="s">
        <v>32</v>
      </c>
      <c r="H2903" s="1"/>
      <c r="I2903" s="2" t="s">
        <v>33</v>
      </c>
      <c r="J2903" s="2" t="s">
        <v>34</v>
      </c>
      <c r="K2903" s="2" t="s">
        <v>17132</v>
      </c>
      <c r="L2903" s="2" t="s">
        <v>17133</v>
      </c>
      <c r="M2903" s="2" t="s">
        <v>89</v>
      </c>
      <c r="N2903" s="2" t="s">
        <v>38</v>
      </c>
      <c r="O2903" s="2" t="s">
        <v>206</v>
      </c>
      <c r="P2903" s="2" t="s">
        <v>10181</v>
      </c>
      <c r="Q2903" s="2" t="s">
        <v>2694</v>
      </c>
      <c r="R2903" s="2" t="s">
        <v>40</v>
      </c>
      <c r="S2903" s="2" t="s">
        <v>17134</v>
      </c>
      <c r="T2903" s="2" t="s">
        <v>931</v>
      </c>
      <c r="U2903" s="2" t="s">
        <v>17135</v>
      </c>
      <c r="V2903" s="2" t="s">
        <v>17136</v>
      </c>
      <c r="W2903" s="1"/>
      <c r="X2903" s="2" t="s">
        <v>8183</v>
      </c>
      <c r="Y2903" s="2" t="s">
        <v>16303</v>
      </c>
      <c r="AA2903" t="str">
        <f t="shared" si="270"/>
        <v>2025-07</v>
      </c>
      <c r="AB2903" t="str">
        <f t="shared" si="271"/>
        <v/>
      </c>
      <c r="AC2903">
        <f t="shared" si="272"/>
        <v>5318280</v>
      </c>
      <c r="AD2903">
        <f t="shared" si="273"/>
        <v>500</v>
      </c>
      <c r="AE2903">
        <f t="shared" si="274"/>
        <v>1768280</v>
      </c>
      <c r="AF2903" t="str">
        <f t="shared" si="275"/>
        <v>Paid</v>
      </c>
    </row>
    <row r="2904" spans="1:32" ht="17.25" thickBot="1" x14ac:dyDescent="0.35">
      <c r="A2904" s="2" t="s">
        <v>17137</v>
      </c>
      <c r="B2904" s="2" t="s">
        <v>27</v>
      </c>
      <c r="C2904" s="2" t="s">
        <v>28</v>
      </c>
      <c r="D2904" s="2" t="s">
        <v>97</v>
      </c>
      <c r="E2904" s="2" t="s">
        <v>15863</v>
      </c>
      <c r="F2904" s="2" t="s">
        <v>31</v>
      </c>
      <c r="G2904" s="2" t="s">
        <v>32</v>
      </c>
      <c r="H2904" s="1"/>
      <c r="I2904" s="2" t="s">
        <v>33</v>
      </c>
      <c r="J2904" s="2" t="s">
        <v>34</v>
      </c>
      <c r="K2904" s="2" t="s">
        <v>2941</v>
      </c>
      <c r="L2904" s="2" t="s">
        <v>2942</v>
      </c>
      <c r="M2904" s="2" t="s">
        <v>2933</v>
      </c>
      <c r="N2904" s="2" t="s">
        <v>38</v>
      </c>
      <c r="O2904" s="2" t="s">
        <v>141</v>
      </c>
      <c r="P2904" s="2" t="s">
        <v>1970</v>
      </c>
      <c r="Q2904" s="2" t="s">
        <v>16578</v>
      </c>
      <c r="R2904" s="2" t="s">
        <v>40</v>
      </c>
      <c r="S2904" s="2" t="s">
        <v>16579</v>
      </c>
      <c r="T2904" s="2" t="s">
        <v>17138</v>
      </c>
      <c r="U2904" s="2" t="s">
        <v>17139</v>
      </c>
      <c r="V2904" s="2" t="s">
        <v>17140</v>
      </c>
      <c r="W2904" s="1"/>
      <c r="X2904" s="2" t="s">
        <v>17141</v>
      </c>
      <c r="Y2904" s="2" t="s">
        <v>16303</v>
      </c>
      <c r="AA2904" t="str">
        <f t="shared" si="270"/>
        <v>2025-07</v>
      </c>
      <c r="AB2904" t="str">
        <f t="shared" si="271"/>
        <v/>
      </c>
      <c r="AC2904">
        <f t="shared" si="272"/>
        <v>211925.4</v>
      </c>
      <c r="AD2904">
        <f t="shared" si="273"/>
        <v>30</v>
      </c>
      <c r="AE2904">
        <f t="shared" si="274"/>
        <v>75125.399999999994</v>
      </c>
      <c r="AF2904" t="str">
        <f t="shared" si="275"/>
        <v>Paid</v>
      </c>
    </row>
    <row r="2905" spans="1:32" ht="17.25" thickBot="1" x14ac:dyDescent="0.35">
      <c r="A2905" s="2" t="s">
        <v>17142</v>
      </c>
      <c r="B2905" s="2" t="s">
        <v>27</v>
      </c>
      <c r="C2905" s="2" t="s">
        <v>28</v>
      </c>
      <c r="D2905" s="2" t="s">
        <v>97</v>
      </c>
      <c r="E2905" s="2" t="s">
        <v>15863</v>
      </c>
      <c r="F2905" s="2" t="s">
        <v>31</v>
      </c>
      <c r="G2905" s="2" t="s">
        <v>32</v>
      </c>
      <c r="H2905" s="1"/>
      <c r="I2905" s="2" t="s">
        <v>33</v>
      </c>
      <c r="J2905" s="2" t="s">
        <v>34</v>
      </c>
      <c r="K2905" s="2" t="s">
        <v>2950</v>
      </c>
      <c r="L2905" s="2" t="s">
        <v>2951</v>
      </c>
      <c r="M2905" s="2" t="s">
        <v>2933</v>
      </c>
      <c r="N2905" s="2" t="s">
        <v>38</v>
      </c>
      <c r="O2905" s="2" t="s">
        <v>203</v>
      </c>
      <c r="P2905" s="2" t="s">
        <v>15871</v>
      </c>
      <c r="Q2905" s="2" t="s">
        <v>17143</v>
      </c>
      <c r="R2905" s="2" t="s">
        <v>40</v>
      </c>
      <c r="S2905" s="2" t="s">
        <v>17144</v>
      </c>
      <c r="T2905" s="2" t="s">
        <v>2955</v>
      </c>
      <c r="U2905" s="2" t="s">
        <v>17145</v>
      </c>
      <c r="V2905" s="2" t="s">
        <v>17146</v>
      </c>
      <c r="W2905" s="1"/>
      <c r="X2905" s="2" t="s">
        <v>17141</v>
      </c>
      <c r="Y2905" s="2" t="s">
        <v>16303</v>
      </c>
      <c r="AA2905" t="str">
        <f t="shared" si="270"/>
        <v>2025-07</v>
      </c>
      <c r="AB2905" t="str">
        <f t="shared" si="271"/>
        <v/>
      </c>
      <c r="AC2905">
        <f t="shared" si="272"/>
        <v>375032.75</v>
      </c>
      <c r="AD2905">
        <f t="shared" si="273"/>
        <v>25</v>
      </c>
      <c r="AE2905">
        <f t="shared" si="274"/>
        <v>132782.75</v>
      </c>
      <c r="AF2905" t="str">
        <f t="shared" si="275"/>
        <v>Paid</v>
      </c>
    </row>
    <row r="2906" spans="1:32" ht="17.25" thickBot="1" x14ac:dyDescent="0.35">
      <c r="A2906" s="2" t="s">
        <v>17147</v>
      </c>
      <c r="B2906" s="2" t="s">
        <v>27</v>
      </c>
      <c r="C2906" s="2" t="s">
        <v>28</v>
      </c>
      <c r="D2906" s="2" t="s">
        <v>97</v>
      </c>
      <c r="E2906" s="2" t="s">
        <v>15863</v>
      </c>
      <c r="F2906" s="2" t="s">
        <v>31</v>
      </c>
      <c r="G2906" s="2" t="s">
        <v>32</v>
      </c>
      <c r="H2906" s="1"/>
      <c r="I2906" s="2" t="s">
        <v>33</v>
      </c>
      <c r="J2906" s="2" t="s">
        <v>34</v>
      </c>
      <c r="K2906" s="2" t="s">
        <v>2960</v>
      </c>
      <c r="L2906" s="2" t="s">
        <v>2961</v>
      </c>
      <c r="M2906" s="2" t="s">
        <v>2933</v>
      </c>
      <c r="N2906" s="2" t="s">
        <v>38</v>
      </c>
      <c r="O2906" s="2" t="s">
        <v>141</v>
      </c>
      <c r="P2906" s="2" t="s">
        <v>17148</v>
      </c>
      <c r="Q2906" s="2" t="s">
        <v>17149</v>
      </c>
      <c r="R2906" s="2" t="s">
        <v>40</v>
      </c>
      <c r="S2906" s="2" t="s">
        <v>17150</v>
      </c>
      <c r="T2906" s="2" t="s">
        <v>17151</v>
      </c>
      <c r="U2906" s="2" t="s">
        <v>17152</v>
      </c>
      <c r="V2906" s="2" t="s">
        <v>17153</v>
      </c>
      <c r="W2906" s="1"/>
      <c r="X2906" s="2" t="s">
        <v>876</v>
      </c>
      <c r="Y2906" s="2" t="s">
        <v>16303</v>
      </c>
      <c r="AA2906" t="str">
        <f t="shared" si="270"/>
        <v>2025-07</v>
      </c>
      <c r="AB2906" t="str">
        <f t="shared" si="271"/>
        <v/>
      </c>
      <c r="AC2906">
        <f t="shared" si="272"/>
        <v>556002</v>
      </c>
      <c r="AD2906">
        <f t="shared" si="273"/>
        <v>30</v>
      </c>
      <c r="AE2906">
        <f t="shared" si="274"/>
        <v>186742</v>
      </c>
      <c r="AF2906" t="str">
        <f t="shared" si="275"/>
        <v>Paid</v>
      </c>
    </row>
    <row r="2907" spans="1:32" ht="17.25" thickBot="1" x14ac:dyDescent="0.35">
      <c r="A2907" s="2" t="s">
        <v>17154</v>
      </c>
      <c r="B2907" s="2" t="s">
        <v>27</v>
      </c>
      <c r="C2907" s="2" t="s">
        <v>28</v>
      </c>
      <c r="D2907" s="2" t="s">
        <v>97</v>
      </c>
      <c r="E2907" s="2" t="s">
        <v>15863</v>
      </c>
      <c r="F2907" s="2" t="s">
        <v>31</v>
      </c>
      <c r="G2907" s="2" t="s">
        <v>32</v>
      </c>
      <c r="H2907" s="1"/>
      <c r="I2907" s="2" t="s">
        <v>33</v>
      </c>
      <c r="J2907" s="2" t="s">
        <v>34</v>
      </c>
      <c r="K2907" s="2" t="s">
        <v>2969</v>
      </c>
      <c r="L2907" s="2" t="s">
        <v>2970</v>
      </c>
      <c r="M2907" s="2" t="s">
        <v>2933</v>
      </c>
      <c r="N2907" s="2" t="s">
        <v>38</v>
      </c>
      <c r="O2907" s="2" t="s">
        <v>141</v>
      </c>
      <c r="P2907" s="2" t="s">
        <v>15882</v>
      </c>
      <c r="Q2907" s="2" t="s">
        <v>16555</v>
      </c>
      <c r="R2907" s="2" t="s">
        <v>40</v>
      </c>
      <c r="S2907" s="2" t="s">
        <v>16556</v>
      </c>
      <c r="T2907" s="2" t="s">
        <v>814</v>
      </c>
      <c r="U2907" s="2" t="s">
        <v>17155</v>
      </c>
      <c r="V2907" s="2" t="s">
        <v>17156</v>
      </c>
      <c r="W2907" s="1"/>
      <c r="X2907" s="2" t="s">
        <v>17141</v>
      </c>
      <c r="Y2907" s="2" t="s">
        <v>16303</v>
      </c>
      <c r="AA2907" t="str">
        <f t="shared" si="270"/>
        <v>2025-07</v>
      </c>
      <c r="AB2907" t="str">
        <f t="shared" si="271"/>
        <v/>
      </c>
      <c r="AC2907">
        <f t="shared" si="272"/>
        <v>476630.7</v>
      </c>
      <c r="AD2907">
        <f t="shared" si="273"/>
        <v>30</v>
      </c>
      <c r="AE2907">
        <f t="shared" si="274"/>
        <v>168830.7</v>
      </c>
      <c r="AF2907" t="str">
        <f t="shared" si="275"/>
        <v>Paid</v>
      </c>
    </row>
    <row r="2908" spans="1:32" ht="17.25" thickBot="1" x14ac:dyDescent="0.35">
      <c r="A2908" s="2" t="s">
        <v>17157</v>
      </c>
      <c r="B2908" s="2" t="s">
        <v>27</v>
      </c>
      <c r="C2908" s="2" t="s">
        <v>28</v>
      </c>
      <c r="D2908" s="2" t="s">
        <v>97</v>
      </c>
      <c r="E2908" s="2" t="s">
        <v>15863</v>
      </c>
      <c r="F2908" s="2" t="s">
        <v>31</v>
      </c>
      <c r="G2908" s="2" t="s">
        <v>32</v>
      </c>
      <c r="H2908" s="1"/>
      <c r="I2908" s="2" t="s">
        <v>33</v>
      </c>
      <c r="J2908" s="2" t="s">
        <v>34</v>
      </c>
      <c r="K2908" s="2" t="s">
        <v>2978</v>
      </c>
      <c r="L2908" s="2" t="s">
        <v>2979</v>
      </c>
      <c r="M2908" s="2" t="s">
        <v>2933</v>
      </c>
      <c r="N2908" s="2" t="s">
        <v>38</v>
      </c>
      <c r="O2908" s="2" t="s">
        <v>141</v>
      </c>
      <c r="P2908" s="2" t="s">
        <v>265</v>
      </c>
      <c r="Q2908" s="2" t="s">
        <v>7163</v>
      </c>
      <c r="R2908" s="2" t="s">
        <v>40</v>
      </c>
      <c r="S2908" s="2" t="s">
        <v>17158</v>
      </c>
      <c r="T2908" s="2" t="s">
        <v>17159</v>
      </c>
      <c r="U2908" s="2" t="s">
        <v>17160</v>
      </c>
      <c r="V2908" s="2" t="s">
        <v>17161</v>
      </c>
      <c r="W2908" s="1"/>
      <c r="X2908" s="2" t="s">
        <v>17141</v>
      </c>
      <c r="Y2908" s="2" t="s">
        <v>16303</v>
      </c>
      <c r="AA2908" t="str">
        <f t="shared" si="270"/>
        <v>2025-07</v>
      </c>
      <c r="AB2908" t="str">
        <f t="shared" si="271"/>
        <v/>
      </c>
      <c r="AC2908">
        <f t="shared" si="272"/>
        <v>502819.2</v>
      </c>
      <c r="AD2908">
        <f t="shared" si="273"/>
        <v>30</v>
      </c>
      <c r="AE2908">
        <f t="shared" si="274"/>
        <v>177919.2</v>
      </c>
      <c r="AF2908" t="str">
        <f t="shared" si="275"/>
        <v>Paid</v>
      </c>
    </row>
    <row r="2909" spans="1:32" ht="17.25" thickBot="1" x14ac:dyDescent="0.35">
      <c r="A2909" s="2" t="s">
        <v>17162</v>
      </c>
      <c r="B2909" s="2" t="s">
        <v>27</v>
      </c>
      <c r="C2909" s="2" t="s">
        <v>28</v>
      </c>
      <c r="D2909" s="2" t="s">
        <v>97</v>
      </c>
      <c r="E2909" s="2" t="s">
        <v>15863</v>
      </c>
      <c r="F2909" s="2" t="s">
        <v>31</v>
      </c>
      <c r="G2909" s="2" t="s">
        <v>32</v>
      </c>
      <c r="H2909" s="1"/>
      <c r="I2909" s="2" t="s">
        <v>33</v>
      </c>
      <c r="J2909" s="2" t="s">
        <v>34</v>
      </c>
      <c r="K2909" s="2" t="s">
        <v>2995</v>
      </c>
      <c r="L2909" s="2" t="s">
        <v>2996</v>
      </c>
      <c r="M2909" s="2" t="s">
        <v>2933</v>
      </c>
      <c r="N2909" s="2" t="s">
        <v>38</v>
      </c>
      <c r="O2909" s="2" t="s">
        <v>113</v>
      </c>
      <c r="P2909" s="2" t="s">
        <v>15882</v>
      </c>
      <c r="Q2909" s="2" t="s">
        <v>15883</v>
      </c>
      <c r="R2909" s="2" t="s">
        <v>40</v>
      </c>
      <c r="S2909" s="2" t="s">
        <v>17163</v>
      </c>
      <c r="T2909" s="2" t="s">
        <v>2127</v>
      </c>
      <c r="U2909" s="2" t="s">
        <v>13277</v>
      </c>
      <c r="V2909" s="2" t="s">
        <v>17164</v>
      </c>
      <c r="W2909" s="1"/>
      <c r="X2909" s="2" t="s">
        <v>10266</v>
      </c>
      <c r="Y2909" s="2" t="s">
        <v>16303</v>
      </c>
      <c r="AA2909" t="str">
        <f t="shared" si="270"/>
        <v>2025-07</v>
      </c>
      <c r="AB2909" t="str">
        <f t="shared" si="271"/>
        <v/>
      </c>
      <c r="AC2909">
        <f t="shared" si="272"/>
        <v>238315.35</v>
      </c>
      <c r="AD2909">
        <f t="shared" si="273"/>
        <v>15</v>
      </c>
      <c r="AE2909">
        <f t="shared" si="274"/>
        <v>76315.350000000006</v>
      </c>
      <c r="AF2909" t="str">
        <f t="shared" si="275"/>
        <v>Paid</v>
      </c>
    </row>
    <row r="2910" spans="1:32" ht="17.25" thickBot="1" x14ac:dyDescent="0.35">
      <c r="A2910" s="2" t="s">
        <v>17165</v>
      </c>
      <c r="B2910" s="2" t="s">
        <v>27</v>
      </c>
      <c r="C2910" s="2" t="s">
        <v>28</v>
      </c>
      <c r="D2910" s="2" t="s">
        <v>97</v>
      </c>
      <c r="E2910" s="2" t="s">
        <v>15863</v>
      </c>
      <c r="F2910" s="2" t="s">
        <v>31</v>
      </c>
      <c r="G2910" s="2" t="s">
        <v>32</v>
      </c>
      <c r="H2910" s="1"/>
      <c r="I2910" s="2" t="s">
        <v>33</v>
      </c>
      <c r="J2910" s="2" t="s">
        <v>34</v>
      </c>
      <c r="K2910" s="2" t="s">
        <v>3019</v>
      </c>
      <c r="L2910" s="2" t="s">
        <v>3020</v>
      </c>
      <c r="M2910" s="2" t="s">
        <v>2933</v>
      </c>
      <c r="N2910" s="2" t="s">
        <v>38</v>
      </c>
      <c r="O2910" s="2" t="s">
        <v>141</v>
      </c>
      <c r="P2910" s="2" t="s">
        <v>6957</v>
      </c>
      <c r="Q2910" s="2" t="s">
        <v>2263</v>
      </c>
      <c r="R2910" s="2" t="s">
        <v>40</v>
      </c>
      <c r="S2910" s="2" t="s">
        <v>17166</v>
      </c>
      <c r="T2910" s="2" t="s">
        <v>9580</v>
      </c>
      <c r="U2910" s="2" t="s">
        <v>17070</v>
      </c>
      <c r="V2910" s="2" t="s">
        <v>17167</v>
      </c>
      <c r="W2910" s="1"/>
      <c r="X2910" s="2" t="s">
        <v>17168</v>
      </c>
      <c r="Y2910" s="2" t="s">
        <v>16303</v>
      </c>
      <c r="AA2910" t="str">
        <f t="shared" si="270"/>
        <v>2025-07</v>
      </c>
      <c r="AB2910" t="str">
        <f t="shared" si="271"/>
        <v/>
      </c>
      <c r="AC2910">
        <f t="shared" si="272"/>
        <v>370668</v>
      </c>
      <c r="AD2910">
        <f t="shared" si="273"/>
        <v>30</v>
      </c>
      <c r="AE2910">
        <f t="shared" si="274"/>
        <v>133938</v>
      </c>
      <c r="AF2910" t="str">
        <f t="shared" si="275"/>
        <v>Paid</v>
      </c>
    </row>
    <row r="2911" spans="1:32" ht="17.25" thickBot="1" x14ac:dyDescent="0.35">
      <c r="A2911" s="2" t="s">
        <v>17169</v>
      </c>
      <c r="B2911" s="2" t="s">
        <v>27</v>
      </c>
      <c r="C2911" s="2" t="s">
        <v>28</v>
      </c>
      <c r="D2911" s="2" t="s">
        <v>97</v>
      </c>
      <c r="E2911" s="2" t="s">
        <v>15863</v>
      </c>
      <c r="F2911" s="2" t="s">
        <v>31</v>
      </c>
      <c r="G2911" s="2" t="s">
        <v>32</v>
      </c>
      <c r="H2911" s="1"/>
      <c r="I2911" s="2" t="s">
        <v>33</v>
      </c>
      <c r="J2911" s="2" t="s">
        <v>34</v>
      </c>
      <c r="K2911" s="2" t="s">
        <v>780</v>
      </c>
      <c r="L2911" s="2" t="s">
        <v>781</v>
      </c>
      <c r="M2911" s="2" t="s">
        <v>772</v>
      </c>
      <c r="N2911" s="2" t="s">
        <v>38</v>
      </c>
      <c r="O2911" s="2" t="s">
        <v>141</v>
      </c>
      <c r="P2911" s="2" t="s">
        <v>5472</v>
      </c>
      <c r="Q2911" s="2" t="s">
        <v>17170</v>
      </c>
      <c r="R2911" s="2" t="s">
        <v>40</v>
      </c>
      <c r="S2911" s="2" t="s">
        <v>17171</v>
      </c>
      <c r="T2911" s="2" t="s">
        <v>6652</v>
      </c>
      <c r="U2911" s="2" t="s">
        <v>14967</v>
      </c>
      <c r="V2911" s="2" t="s">
        <v>17172</v>
      </c>
      <c r="W2911" s="1"/>
      <c r="X2911" s="2" t="s">
        <v>897</v>
      </c>
      <c r="Y2911" s="2" t="s">
        <v>16303</v>
      </c>
      <c r="AA2911" t="str">
        <f t="shared" si="270"/>
        <v>2025-07</v>
      </c>
      <c r="AB2911" t="str">
        <f t="shared" si="271"/>
        <v/>
      </c>
      <c r="AC2911">
        <f t="shared" si="272"/>
        <v>246977.7</v>
      </c>
      <c r="AD2911">
        <f t="shared" si="273"/>
        <v>30</v>
      </c>
      <c r="AE2911">
        <f t="shared" si="274"/>
        <v>51977.7</v>
      </c>
      <c r="AF2911" t="str">
        <f t="shared" si="275"/>
        <v>Paid</v>
      </c>
    </row>
    <row r="2912" spans="1:32" ht="17.25" thickBot="1" x14ac:dyDescent="0.35">
      <c r="A2912" s="2" t="s">
        <v>17173</v>
      </c>
      <c r="B2912" s="2" t="s">
        <v>27</v>
      </c>
      <c r="C2912" s="2" t="s">
        <v>28</v>
      </c>
      <c r="D2912" s="2" t="s">
        <v>97</v>
      </c>
      <c r="E2912" s="2" t="s">
        <v>15863</v>
      </c>
      <c r="F2912" s="2" t="s">
        <v>31</v>
      </c>
      <c r="G2912" s="2" t="s">
        <v>32</v>
      </c>
      <c r="H2912" s="1"/>
      <c r="I2912" s="2" t="s">
        <v>33</v>
      </c>
      <c r="J2912" s="2" t="s">
        <v>34</v>
      </c>
      <c r="K2912" s="2" t="s">
        <v>878</v>
      </c>
      <c r="L2912" s="2" t="s">
        <v>879</v>
      </c>
      <c r="M2912" s="2" t="s">
        <v>772</v>
      </c>
      <c r="N2912" s="2" t="s">
        <v>38</v>
      </c>
      <c r="O2912" s="2" t="s">
        <v>141</v>
      </c>
      <c r="P2912" s="2" t="s">
        <v>4801</v>
      </c>
      <c r="Q2912" s="2" t="s">
        <v>17174</v>
      </c>
      <c r="R2912" s="2" t="s">
        <v>40</v>
      </c>
      <c r="S2912" s="2" t="s">
        <v>17175</v>
      </c>
      <c r="T2912" s="2" t="s">
        <v>883</v>
      </c>
      <c r="U2912" s="2" t="s">
        <v>15655</v>
      </c>
      <c r="V2912" s="2" t="s">
        <v>17176</v>
      </c>
      <c r="W2912" s="1"/>
      <c r="X2912" s="2" t="s">
        <v>6362</v>
      </c>
      <c r="Y2912" s="2" t="s">
        <v>16303</v>
      </c>
      <c r="AA2912" t="str">
        <f t="shared" si="270"/>
        <v>2025-07</v>
      </c>
      <c r="AB2912" t="str">
        <f t="shared" si="271"/>
        <v/>
      </c>
      <c r="AC2912">
        <f t="shared" si="272"/>
        <v>375099.9</v>
      </c>
      <c r="AD2912">
        <f t="shared" si="273"/>
        <v>30</v>
      </c>
      <c r="AE2912">
        <f t="shared" si="274"/>
        <v>70599.899999999994</v>
      </c>
      <c r="AF2912" t="str">
        <f t="shared" si="275"/>
        <v>Paid</v>
      </c>
    </row>
    <row r="2913" spans="1:32" ht="17.25" thickBot="1" x14ac:dyDescent="0.35">
      <c r="A2913" s="2" t="s">
        <v>17177</v>
      </c>
      <c r="B2913" s="2" t="s">
        <v>27</v>
      </c>
      <c r="C2913" s="2" t="s">
        <v>28</v>
      </c>
      <c r="D2913" s="2" t="s">
        <v>97</v>
      </c>
      <c r="E2913" s="2" t="s">
        <v>15863</v>
      </c>
      <c r="F2913" s="2" t="s">
        <v>31</v>
      </c>
      <c r="G2913" s="2" t="s">
        <v>32</v>
      </c>
      <c r="H2913" s="1"/>
      <c r="I2913" s="2" t="s">
        <v>33</v>
      </c>
      <c r="J2913" s="2" t="s">
        <v>34</v>
      </c>
      <c r="K2913" s="2" t="s">
        <v>12105</v>
      </c>
      <c r="L2913" s="2" t="s">
        <v>12106</v>
      </c>
      <c r="M2913" s="2" t="s">
        <v>772</v>
      </c>
      <c r="N2913" s="2" t="s">
        <v>38</v>
      </c>
      <c r="O2913" s="2" t="s">
        <v>141</v>
      </c>
      <c r="P2913" s="2" t="s">
        <v>6957</v>
      </c>
      <c r="Q2913" s="2" t="s">
        <v>2263</v>
      </c>
      <c r="R2913" s="2" t="s">
        <v>40</v>
      </c>
      <c r="S2913" s="2" t="s">
        <v>17166</v>
      </c>
      <c r="T2913" s="2" t="s">
        <v>894</v>
      </c>
      <c r="U2913" s="2" t="s">
        <v>17178</v>
      </c>
      <c r="V2913" s="2" t="s">
        <v>17179</v>
      </c>
      <c r="W2913" s="1"/>
      <c r="X2913" s="2" t="s">
        <v>6709</v>
      </c>
      <c r="Y2913" s="2" t="s">
        <v>16303</v>
      </c>
      <c r="AA2913" t="str">
        <f t="shared" si="270"/>
        <v>2025-07</v>
      </c>
      <c r="AB2913" t="str">
        <f t="shared" si="271"/>
        <v/>
      </c>
      <c r="AC2913">
        <f t="shared" si="272"/>
        <v>370668</v>
      </c>
      <c r="AD2913">
        <f t="shared" si="273"/>
        <v>30</v>
      </c>
      <c r="AE2913">
        <f t="shared" si="274"/>
        <v>78618</v>
      </c>
      <c r="AF2913" t="str">
        <f t="shared" si="275"/>
        <v>Paid</v>
      </c>
    </row>
    <row r="2914" spans="1:32" ht="17.25" thickBot="1" x14ac:dyDescent="0.35">
      <c r="A2914" s="2" t="s">
        <v>17180</v>
      </c>
      <c r="B2914" s="2" t="s">
        <v>27</v>
      </c>
      <c r="C2914" s="2" t="s">
        <v>28</v>
      </c>
      <c r="D2914" s="2" t="s">
        <v>97</v>
      </c>
      <c r="E2914" s="2" t="s">
        <v>15863</v>
      </c>
      <c r="F2914" s="2" t="s">
        <v>31</v>
      </c>
      <c r="G2914" s="2" t="s">
        <v>32</v>
      </c>
      <c r="H2914" s="1"/>
      <c r="I2914" s="2" t="s">
        <v>33</v>
      </c>
      <c r="J2914" s="2" t="s">
        <v>34</v>
      </c>
      <c r="K2914" s="2" t="s">
        <v>899</v>
      </c>
      <c r="L2914" s="2" t="s">
        <v>900</v>
      </c>
      <c r="M2914" s="2" t="s">
        <v>772</v>
      </c>
      <c r="N2914" s="2" t="s">
        <v>38</v>
      </c>
      <c r="O2914" s="2" t="s">
        <v>141</v>
      </c>
      <c r="P2914" s="2" t="s">
        <v>17181</v>
      </c>
      <c r="Q2914" s="2" t="s">
        <v>17182</v>
      </c>
      <c r="R2914" s="2" t="s">
        <v>40</v>
      </c>
      <c r="S2914" s="2" t="s">
        <v>17183</v>
      </c>
      <c r="T2914" s="2" t="s">
        <v>903</v>
      </c>
      <c r="U2914" s="2" t="s">
        <v>4320</v>
      </c>
      <c r="V2914" s="2" t="s">
        <v>17184</v>
      </c>
      <c r="W2914" s="1"/>
      <c r="X2914" s="2" t="s">
        <v>916</v>
      </c>
      <c r="Y2914" s="2" t="s">
        <v>16303</v>
      </c>
      <c r="AA2914" t="str">
        <f t="shared" si="270"/>
        <v>2025-07</v>
      </c>
      <c r="AB2914" t="str">
        <f t="shared" si="271"/>
        <v/>
      </c>
      <c r="AC2914">
        <f t="shared" si="272"/>
        <v>417001.5</v>
      </c>
      <c r="AD2914">
        <f t="shared" si="273"/>
        <v>30</v>
      </c>
      <c r="AE2914">
        <f t="shared" si="274"/>
        <v>88801.5</v>
      </c>
      <c r="AF2914" t="str">
        <f t="shared" si="275"/>
        <v>Paid</v>
      </c>
    </row>
    <row r="2915" spans="1:32" ht="17.25" thickBot="1" x14ac:dyDescent="0.35">
      <c r="A2915" s="2" t="s">
        <v>17185</v>
      </c>
      <c r="B2915" s="2" t="s">
        <v>27</v>
      </c>
      <c r="C2915" s="2" t="s">
        <v>28</v>
      </c>
      <c r="D2915" s="2" t="s">
        <v>97</v>
      </c>
      <c r="E2915" s="2" t="s">
        <v>15863</v>
      </c>
      <c r="F2915" s="2" t="s">
        <v>31</v>
      </c>
      <c r="G2915" s="2" t="s">
        <v>32</v>
      </c>
      <c r="H2915" s="1"/>
      <c r="I2915" s="2" t="s">
        <v>33</v>
      </c>
      <c r="J2915" s="2" t="s">
        <v>34</v>
      </c>
      <c r="K2915" s="2" t="s">
        <v>1008</v>
      </c>
      <c r="L2915" s="2" t="s">
        <v>1009</v>
      </c>
      <c r="M2915" s="2" t="s">
        <v>772</v>
      </c>
      <c r="N2915" s="2" t="s">
        <v>38</v>
      </c>
      <c r="O2915" s="2" t="s">
        <v>141</v>
      </c>
      <c r="P2915" s="2" t="s">
        <v>561</v>
      </c>
      <c r="Q2915" s="2" t="s">
        <v>16448</v>
      </c>
      <c r="R2915" s="2" t="s">
        <v>40</v>
      </c>
      <c r="S2915" s="2" t="s">
        <v>16449</v>
      </c>
      <c r="T2915" s="2" t="s">
        <v>9735</v>
      </c>
      <c r="U2915" s="2" t="s">
        <v>17186</v>
      </c>
      <c r="V2915" s="2" t="s">
        <v>17187</v>
      </c>
      <c r="W2915" s="1"/>
      <c r="X2915" s="2" t="s">
        <v>796</v>
      </c>
      <c r="Y2915" s="2" t="s">
        <v>16303</v>
      </c>
      <c r="AA2915" t="str">
        <f t="shared" si="270"/>
        <v>2025-07</v>
      </c>
      <c r="AB2915" t="str">
        <f t="shared" si="271"/>
        <v/>
      </c>
      <c r="AC2915">
        <f t="shared" si="272"/>
        <v>306606.90000000002</v>
      </c>
      <c r="AD2915">
        <f t="shared" si="273"/>
        <v>30</v>
      </c>
      <c r="AE2915">
        <f t="shared" si="274"/>
        <v>64806.9</v>
      </c>
      <c r="AF2915" t="str">
        <f t="shared" si="275"/>
        <v>Paid</v>
      </c>
    </row>
    <row r="2916" spans="1:32" ht="17.25" thickBot="1" x14ac:dyDescent="0.35">
      <c r="A2916" s="2" t="s">
        <v>17188</v>
      </c>
      <c r="B2916" s="2" t="s">
        <v>27</v>
      </c>
      <c r="C2916" s="2" t="s">
        <v>28</v>
      </c>
      <c r="D2916" s="2" t="s">
        <v>97</v>
      </c>
      <c r="E2916" s="2" t="s">
        <v>15863</v>
      </c>
      <c r="F2916" s="2" t="s">
        <v>31</v>
      </c>
      <c r="G2916" s="2" t="s">
        <v>32</v>
      </c>
      <c r="H2916" s="1"/>
      <c r="I2916" s="2" t="s">
        <v>33</v>
      </c>
      <c r="J2916" s="2" t="s">
        <v>34</v>
      </c>
      <c r="K2916" s="2" t="s">
        <v>1018</v>
      </c>
      <c r="L2916" s="2" t="s">
        <v>1019</v>
      </c>
      <c r="M2916" s="2" t="s">
        <v>772</v>
      </c>
      <c r="N2916" s="2" t="s">
        <v>38</v>
      </c>
      <c r="O2916" s="2" t="s">
        <v>141</v>
      </c>
      <c r="P2916" s="2" t="s">
        <v>17189</v>
      </c>
      <c r="Q2916" s="2" t="s">
        <v>17190</v>
      </c>
      <c r="R2916" s="2" t="s">
        <v>40</v>
      </c>
      <c r="S2916" s="2" t="s">
        <v>17191</v>
      </c>
      <c r="T2916" s="2" t="s">
        <v>17192</v>
      </c>
      <c r="U2916" s="2" t="s">
        <v>17193</v>
      </c>
      <c r="V2916" s="2" t="s">
        <v>17194</v>
      </c>
      <c r="W2916" s="1"/>
      <c r="X2916" s="2" t="s">
        <v>7047</v>
      </c>
      <c r="Y2916" s="2" t="s">
        <v>16303</v>
      </c>
      <c r="AA2916" t="str">
        <f t="shared" si="270"/>
        <v>2025-07</v>
      </c>
      <c r="AB2916" t="str">
        <f t="shared" si="271"/>
        <v/>
      </c>
      <c r="AC2916">
        <f t="shared" si="272"/>
        <v>227235.6</v>
      </c>
      <c r="AD2916">
        <f t="shared" si="273"/>
        <v>30</v>
      </c>
      <c r="AE2916">
        <f t="shared" si="274"/>
        <v>48755.6</v>
      </c>
      <c r="AF2916" t="str">
        <f t="shared" si="275"/>
        <v>Paid</v>
      </c>
    </row>
    <row r="2917" spans="1:32" ht="17.25" thickBot="1" x14ac:dyDescent="0.35">
      <c r="A2917" s="2" t="s">
        <v>17195</v>
      </c>
      <c r="B2917" s="2" t="s">
        <v>27</v>
      </c>
      <c r="C2917" s="2" t="s">
        <v>28</v>
      </c>
      <c r="D2917" s="2" t="s">
        <v>97</v>
      </c>
      <c r="E2917" s="2" t="s">
        <v>15863</v>
      </c>
      <c r="F2917" s="2" t="s">
        <v>31</v>
      </c>
      <c r="G2917" s="2" t="s">
        <v>32</v>
      </c>
      <c r="H2917" s="1"/>
      <c r="I2917" s="2" t="s">
        <v>33</v>
      </c>
      <c r="J2917" s="2" t="s">
        <v>34</v>
      </c>
      <c r="K2917" s="2" t="s">
        <v>17196</v>
      </c>
      <c r="L2917" s="2" t="s">
        <v>17197</v>
      </c>
      <c r="M2917" s="2" t="s">
        <v>17198</v>
      </c>
      <c r="N2917" s="2" t="s">
        <v>38</v>
      </c>
      <c r="O2917" s="2" t="s">
        <v>141</v>
      </c>
      <c r="P2917" s="2" t="s">
        <v>8536</v>
      </c>
      <c r="Q2917" s="2" t="s">
        <v>16675</v>
      </c>
      <c r="R2917" s="2" t="s">
        <v>40</v>
      </c>
      <c r="S2917" s="2" t="s">
        <v>16676</v>
      </c>
      <c r="T2917" s="2" t="s">
        <v>12895</v>
      </c>
      <c r="U2917" s="2" t="s">
        <v>17199</v>
      </c>
      <c r="V2917" s="2" t="s">
        <v>17200</v>
      </c>
      <c r="W2917" s="1"/>
      <c r="X2917" s="2" t="s">
        <v>17201</v>
      </c>
      <c r="Y2917" s="2" t="s">
        <v>16303</v>
      </c>
      <c r="AA2917" t="str">
        <f t="shared" si="270"/>
        <v>2025-07</v>
      </c>
      <c r="AB2917" t="str">
        <f t="shared" si="271"/>
        <v/>
      </c>
      <c r="AC2917">
        <f t="shared" si="272"/>
        <v>230055.9</v>
      </c>
      <c r="AD2917">
        <f t="shared" si="273"/>
        <v>30</v>
      </c>
      <c r="AE2917">
        <f t="shared" si="274"/>
        <v>82755.899999999994</v>
      </c>
      <c r="AF2917" t="str">
        <f t="shared" si="275"/>
        <v>Paid</v>
      </c>
    </row>
    <row r="2918" spans="1:32" ht="17.25" thickBot="1" x14ac:dyDescent="0.35">
      <c r="A2918" s="2" t="s">
        <v>17202</v>
      </c>
      <c r="B2918" s="2" t="s">
        <v>27</v>
      </c>
      <c r="C2918" s="2" t="s">
        <v>28</v>
      </c>
      <c r="D2918" s="2" t="s">
        <v>97</v>
      </c>
      <c r="E2918" s="2" t="s">
        <v>15863</v>
      </c>
      <c r="F2918" s="2" t="s">
        <v>31</v>
      </c>
      <c r="G2918" s="2" t="s">
        <v>32</v>
      </c>
      <c r="H2918" s="1"/>
      <c r="I2918" s="2" t="s">
        <v>33</v>
      </c>
      <c r="J2918" s="2" t="s">
        <v>34</v>
      </c>
      <c r="K2918" s="2" t="s">
        <v>17203</v>
      </c>
      <c r="L2918" s="2" t="s">
        <v>17204</v>
      </c>
      <c r="M2918" s="2" t="s">
        <v>10280</v>
      </c>
      <c r="N2918" s="2" t="s">
        <v>38</v>
      </c>
      <c r="O2918" s="2" t="s">
        <v>141</v>
      </c>
      <c r="P2918" s="2" t="s">
        <v>5266</v>
      </c>
      <c r="Q2918" s="2" t="s">
        <v>16669</v>
      </c>
      <c r="R2918" s="2" t="s">
        <v>40</v>
      </c>
      <c r="S2918" s="2" t="s">
        <v>16670</v>
      </c>
      <c r="T2918" s="2" t="s">
        <v>10195</v>
      </c>
      <c r="U2918" s="2" t="s">
        <v>17205</v>
      </c>
      <c r="V2918" s="2" t="s">
        <v>17206</v>
      </c>
      <c r="W2918" s="1"/>
      <c r="X2918" s="2" t="s">
        <v>934</v>
      </c>
      <c r="Y2918" s="2" t="s">
        <v>16303</v>
      </c>
      <c r="AA2918" t="str">
        <f t="shared" si="270"/>
        <v>2025-07</v>
      </c>
      <c r="AB2918" t="str">
        <f t="shared" si="271"/>
        <v/>
      </c>
      <c r="AC2918">
        <f t="shared" si="272"/>
        <v>391215.9</v>
      </c>
      <c r="AD2918">
        <f t="shared" si="273"/>
        <v>30</v>
      </c>
      <c r="AE2918">
        <f t="shared" si="274"/>
        <v>95715.9</v>
      </c>
      <c r="AF2918" t="str">
        <f t="shared" si="275"/>
        <v>Paid</v>
      </c>
    </row>
    <row r="2919" spans="1:32" ht="17.25" thickBot="1" x14ac:dyDescent="0.35">
      <c r="A2919" s="2" t="s">
        <v>17207</v>
      </c>
      <c r="B2919" s="2" t="s">
        <v>27</v>
      </c>
      <c r="C2919" s="2" t="s">
        <v>28</v>
      </c>
      <c r="D2919" s="2" t="s">
        <v>97</v>
      </c>
      <c r="E2919" s="2" t="s">
        <v>15863</v>
      </c>
      <c r="F2919" s="2" t="s">
        <v>31</v>
      </c>
      <c r="G2919" s="2" t="s">
        <v>32</v>
      </c>
      <c r="H2919" s="1"/>
      <c r="I2919" s="2" t="s">
        <v>33</v>
      </c>
      <c r="J2919" s="2" t="s">
        <v>34</v>
      </c>
      <c r="K2919" s="2" t="s">
        <v>17208</v>
      </c>
      <c r="L2919" s="2" t="s">
        <v>17209</v>
      </c>
      <c r="M2919" s="2" t="s">
        <v>10280</v>
      </c>
      <c r="N2919" s="2" t="s">
        <v>38</v>
      </c>
      <c r="O2919" s="2" t="s">
        <v>141</v>
      </c>
      <c r="P2919" s="2" t="s">
        <v>939</v>
      </c>
      <c r="Q2919" s="2" t="s">
        <v>17210</v>
      </c>
      <c r="R2919" s="2" t="s">
        <v>40</v>
      </c>
      <c r="S2919" s="2" t="s">
        <v>17211</v>
      </c>
      <c r="T2919" s="2" t="s">
        <v>17212</v>
      </c>
      <c r="U2919" s="2" t="s">
        <v>17213</v>
      </c>
      <c r="V2919" s="2" t="s">
        <v>17214</v>
      </c>
      <c r="W2919" s="1"/>
      <c r="X2919" s="2" t="s">
        <v>2429</v>
      </c>
      <c r="Y2919" s="2" t="s">
        <v>16303</v>
      </c>
      <c r="AA2919" t="str">
        <f t="shared" si="270"/>
        <v>2025-07</v>
      </c>
      <c r="AB2919" t="str">
        <f t="shared" si="271"/>
        <v/>
      </c>
      <c r="AC2919">
        <f t="shared" si="272"/>
        <v>334809.90000000002</v>
      </c>
      <c r="AD2919">
        <f t="shared" si="273"/>
        <v>30</v>
      </c>
      <c r="AE2919">
        <f t="shared" si="274"/>
        <v>81609.899999999994</v>
      </c>
      <c r="AF2919" t="str">
        <f t="shared" si="275"/>
        <v>Paid</v>
      </c>
    </row>
    <row r="2920" spans="1:32" ht="17.25" thickBot="1" x14ac:dyDescent="0.35">
      <c r="A2920" s="2" t="s">
        <v>17215</v>
      </c>
      <c r="B2920" s="2" t="s">
        <v>27</v>
      </c>
      <c r="C2920" s="2" t="s">
        <v>28</v>
      </c>
      <c r="D2920" s="2" t="s">
        <v>97</v>
      </c>
      <c r="E2920" s="2" t="s">
        <v>15863</v>
      </c>
      <c r="F2920" s="2" t="s">
        <v>31</v>
      </c>
      <c r="G2920" s="2" t="s">
        <v>32</v>
      </c>
      <c r="H2920" s="1"/>
      <c r="I2920" s="2" t="s">
        <v>33</v>
      </c>
      <c r="J2920" s="2" t="s">
        <v>34</v>
      </c>
      <c r="K2920" s="2" t="s">
        <v>17216</v>
      </c>
      <c r="L2920" s="2" t="s">
        <v>17217</v>
      </c>
      <c r="M2920" s="2" t="s">
        <v>10280</v>
      </c>
      <c r="N2920" s="2" t="s">
        <v>38</v>
      </c>
      <c r="O2920" s="2" t="s">
        <v>141</v>
      </c>
      <c r="P2920" s="2" t="s">
        <v>12755</v>
      </c>
      <c r="Q2920" s="2" t="s">
        <v>17218</v>
      </c>
      <c r="R2920" s="2" t="s">
        <v>40</v>
      </c>
      <c r="S2920" s="2" t="s">
        <v>17219</v>
      </c>
      <c r="T2920" s="2" t="s">
        <v>12463</v>
      </c>
      <c r="U2920" s="2" t="s">
        <v>17220</v>
      </c>
      <c r="V2920" s="2" t="s">
        <v>17221</v>
      </c>
      <c r="W2920" s="1"/>
      <c r="X2920" s="2" t="s">
        <v>1006</v>
      </c>
      <c r="Y2920" s="2" t="s">
        <v>16303</v>
      </c>
      <c r="AA2920" t="str">
        <f t="shared" si="270"/>
        <v>2025-07</v>
      </c>
      <c r="AB2920" t="str">
        <f t="shared" si="271"/>
        <v/>
      </c>
      <c r="AC2920">
        <f t="shared" si="272"/>
        <v>123287.4</v>
      </c>
      <c r="AD2920">
        <f t="shared" si="273"/>
        <v>30</v>
      </c>
      <c r="AE2920">
        <f t="shared" si="274"/>
        <v>31787.4</v>
      </c>
      <c r="AF2920" t="str">
        <f t="shared" si="275"/>
        <v>Paid</v>
      </c>
    </row>
    <row r="2921" spans="1:32" ht="17.25" thickBot="1" x14ac:dyDescent="0.35">
      <c r="A2921" s="2" t="s">
        <v>17222</v>
      </c>
      <c r="B2921" s="2" t="s">
        <v>27</v>
      </c>
      <c r="C2921" s="2" t="s">
        <v>28</v>
      </c>
      <c r="D2921" s="2" t="s">
        <v>97</v>
      </c>
      <c r="E2921" s="2" t="s">
        <v>15863</v>
      </c>
      <c r="F2921" s="2" t="s">
        <v>31</v>
      </c>
      <c r="G2921" s="2" t="s">
        <v>32</v>
      </c>
      <c r="H2921" s="1"/>
      <c r="I2921" s="2" t="s">
        <v>33</v>
      </c>
      <c r="J2921" s="2" t="s">
        <v>34</v>
      </c>
      <c r="K2921" s="2" t="s">
        <v>17223</v>
      </c>
      <c r="L2921" s="2" t="s">
        <v>17224</v>
      </c>
      <c r="M2921" s="2" t="s">
        <v>10280</v>
      </c>
      <c r="N2921" s="2" t="s">
        <v>38</v>
      </c>
      <c r="O2921" s="2" t="s">
        <v>141</v>
      </c>
      <c r="P2921" s="2" t="s">
        <v>12755</v>
      </c>
      <c r="Q2921" s="2" t="s">
        <v>17218</v>
      </c>
      <c r="R2921" s="2" t="s">
        <v>40</v>
      </c>
      <c r="S2921" s="2" t="s">
        <v>17219</v>
      </c>
      <c r="T2921" s="2" t="s">
        <v>12463</v>
      </c>
      <c r="U2921" s="2" t="s">
        <v>17220</v>
      </c>
      <c r="V2921" s="2" t="s">
        <v>17221</v>
      </c>
      <c r="W2921" s="1"/>
      <c r="X2921" s="2" t="s">
        <v>1006</v>
      </c>
      <c r="Y2921" s="2" t="s">
        <v>16303</v>
      </c>
      <c r="AA2921" t="str">
        <f t="shared" si="270"/>
        <v>2025-07</v>
      </c>
      <c r="AB2921" t="str">
        <f t="shared" si="271"/>
        <v/>
      </c>
      <c r="AC2921">
        <f t="shared" si="272"/>
        <v>123287.4</v>
      </c>
      <c r="AD2921">
        <f t="shared" si="273"/>
        <v>30</v>
      </c>
      <c r="AE2921">
        <f t="shared" si="274"/>
        <v>31787.4</v>
      </c>
      <c r="AF2921" t="str">
        <f t="shared" si="275"/>
        <v>Paid</v>
      </c>
    </row>
    <row r="2922" spans="1:32" ht="17.25" thickBot="1" x14ac:dyDescent="0.35">
      <c r="A2922" s="2" t="s">
        <v>17225</v>
      </c>
      <c r="B2922" s="2" t="s">
        <v>27</v>
      </c>
      <c r="C2922" s="2" t="s">
        <v>28</v>
      </c>
      <c r="D2922" s="2" t="s">
        <v>97</v>
      </c>
      <c r="E2922" s="2" t="s">
        <v>15863</v>
      </c>
      <c r="F2922" s="2" t="s">
        <v>31</v>
      </c>
      <c r="G2922" s="2" t="s">
        <v>32</v>
      </c>
      <c r="H2922" s="1"/>
      <c r="I2922" s="2" t="s">
        <v>33</v>
      </c>
      <c r="J2922" s="2" t="s">
        <v>34</v>
      </c>
      <c r="K2922" s="2" t="s">
        <v>17226</v>
      </c>
      <c r="L2922" s="2" t="s">
        <v>17227</v>
      </c>
      <c r="M2922" s="2" t="s">
        <v>10280</v>
      </c>
      <c r="N2922" s="2" t="s">
        <v>38</v>
      </c>
      <c r="O2922" s="2" t="s">
        <v>141</v>
      </c>
      <c r="P2922" s="2" t="s">
        <v>12755</v>
      </c>
      <c r="Q2922" s="2" t="s">
        <v>17218</v>
      </c>
      <c r="R2922" s="2" t="s">
        <v>40</v>
      </c>
      <c r="S2922" s="2" t="s">
        <v>17219</v>
      </c>
      <c r="T2922" s="2" t="s">
        <v>12463</v>
      </c>
      <c r="U2922" s="2" t="s">
        <v>17220</v>
      </c>
      <c r="V2922" s="2" t="s">
        <v>17221</v>
      </c>
      <c r="W2922" s="1"/>
      <c r="X2922" s="2" t="s">
        <v>1006</v>
      </c>
      <c r="Y2922" s="2" t="s">
        <v>16303</v>
      </c>
      <c r="AA2922" t="str">
        <f t="shared" si="270"/>
        <v>2025-07</v>
      </c>
      <c r="AB2922" t="str">
        <f t="shared" si="271"/>
        <v/>
      </c>
      <c r="AC2922">
        <f t="shared" si="272"/>
        <v>123287.4</v>
      </c>
      <c r="AD2922">
        <f t="shared" si="273"/>
        <v>30</v>
      </c>
      <c r="AE2922">
        <f t="shared" si="274"/>
        <v>31787.4</v>
      </c>
      <c r="AF2922" t="str">
        <f t="shared" si="275"/>
        <v>Paid</v>
      </c>
    </row>
    <row r="2923" spans="1:32" ht="17.25" thickBot="1" x14ac:dyDescent="0.35">
      <c r="A2923" s="2" t="s">
        <v>17228</v>
      </c>
      <c r="B2923" s="2" t="s">
        <v>27</v>
      </c>
      <c r="C2923" s="2" t="s">
        <v>28</v>
      </c>
      <c r="D2923" s="2" t="s">
        <v>97</v>
      </c>
      <c r="E2923" s="2" t="s">
        <v>15863</v>
      </c>
      <c r="F2923" s="2" t="s">
        <v>31</v>
      </c>
      <c r="G2923" s="2" t="s">
        <v>32</v>
      </c>
      <c r="H2923" s="1"/>
      <c r="I2923" s="2" t="s">
        <v>33</v>
      </c>
      <c r="J2923" s="2" t="s">
        <v>34</v>
      </c>
      <c r="K2923" s="2" t="s">
        <v>17229</v>
      </c>
      <c r="L2923" s="2" t="s">
        <v>17230</v>
      </c>
      <c r="M2923" s="2" t="s">
        <v>10280</v>
      </c>
      <c r="N2923" s="2" t="s">
        <v>38</v>
      </c>
      <c r="O2923" s="2" t="s">
        <v>141</v>
      </c>
      <c r="P2923" s="2" t="s">
        <v>13889</v>
      </c>
      <c r="Q2923" s="2" t="s">
        <v>17231</v>
      </c>
      <c r="R2923" s="2" t="s">
        <v>40</v>
      </c>
      <c r="S2923" s="2" t="s">
        <v>17232</v>
      </c>
      <c r="T2923" s="2" t="s">
        <v>17233</v>
      </c>
      <c r="U2923" s="2" t="s">
        <v>17234</v>
      </c>
      <c r="V2923" s="2" t="s">
        <v>17235</v>
      </c>
      <c r="W2923" s="1"/>
      <c r="X2923" s="2" t="s">
        <v>17236</v>
      </c>
      <c r="Y2923" s="2" t="s">
        <v>16303</v>
      </c>
      <c r="AA2923" t="str">
        <f t="shared" si="270"/>
        <v>2025-07</v>
      </c>
      <c r="AB2923" t="str">
        <f t="shared" si="271"/>
        <v/>
      </c>
      <c r="AC2923">
        <f t="shared" si="272"/>
        <v>345285.3</v>
      </c>
      <c r="AD2923">
        <f t="shared" si="273"/>
        <v>30</v>
      </c>
      <c r="AE2923">
        <f t="shared" si="274"/>
        <v>113985.3</v>
      </c>
      <c r="AF2923" t="str">
        <f t="shared" si="275"/>
        <v>Paid</v>
      </c>
    </row>
    <row r="2924" spans="1:32" ht="27.75" thickBot="1" x14ac:dyDescent="0.35">
      <c r="A2924" s="2" t="s">
        <v>17237</v>
      </c>
      <c r="B2924" s="2" t="s">
        <v>27</v>
      </c>
      <c r="C2924" s="2" t="s">
        <v>28</v>
      </c>
      <c r="D2924" s="2" t="s">
        <v>97</v>
      </c>
      <c r="E2924" s="2" t="s">
        <v>15863</v>
      </c>
      <c r="F2924" s="2" t="s">
        <v>31</v>
      </c>
      <c r="G2924" s="2" t="s">
        <v>32</v>
      </c>
      <c r="H2924" s="1"/>
      <c r="I2924" s="2" t="s">
        <v>33</v>
      </c>
      <c r="J2924" s="2" t="s">
        <v>34</v>
      </c>
      <c r="K2924" s="2" t="s">
        <v>17238</v>
      </c>
      <c r="L2924" s="2" t="s">
        <v>17239</v>
      </c>
      <c r="M2924" s="2" t="s">
        <v>10280</v>
      </c>
      <c r="N2924" s="2" t="s">
        <v>38</v>
      </c>
      <c r="O2924" s="2" t="s">
        <v>141</v>
      </c>
      <c r="P2924" s="2" t="s">
        <v>17240</v>
      </c>
      <c r="Q2924" s="2" t="s">
        <v>17241</v>
      </c>
      <c r="R2924" s="2" t="s">
        <v>40</v>
      </c>
      <c r="S2924" s="2" t="s">
        <v>17242</v>
      </c>
      <c r="T2924" s="2" t="s">
        <v>40</v>
      </c>
      <c r="U2924" s="2" t="s">
        <v>40</v>
      </c>
      <c r="V2924" s="2" t="s">
        <v>17242</v>
      </c>
      <c r="W2924" s="1"/>
      <c r="X2924" s="2" t="s">
        <v>2155</v>
      </c>
      <c r="Y2924" s="2" t="s">
        <v>16303</v>
      </c>
      <c r="AA2924" t="str">
        <f t="shared" si="270"/>
        <v>2025-07</v>
      </c>
      <c r="AB2924" t="str">
        <f t="shared" si="271"/>
        <v/>
      </c>
      <c r="AC2924">
        <f t="shared" si="272"/>
        <v>101127.9</v>
      </c>
      <c r="AD2924">
        <f t="shared" si="273"/>
        <v>30</v>
      </c>
      <c r="AE2924">
        <f t="shared" si="274"/>
        <v>101127.9</v>
      </c>
      <c r="AF2924" t="str">
        <f t="shared" si="275"/>
        <v>Paid</v>
      </c>
    </row>
    <row r="2925" spans="1:32" ht="17.25" thickBot="1" x14ac:dyDescent="0.35">
      <c r="A2925" s="2" t="s">
        <v>17243</v>
      </c>
      <c r="B2925" s="2" t="s">
        <v>27</v>
      </c>
      <c r="C2925" s="2" t="s">
        <v>28</v>
      </c>
      <c r="D2925" s="2" t="s">
        <v>97</v>
      </c>
      <c r="E2925" s="2" t="s">
        <v>15863</v>
      </c>
      <c r="F2925" s="2" t="s">
        <v>31</v>
      </c>
      <c r="G2925" s="2" t="s">
        <v>32</v>
      </c>
      <c r="H2925" s="1"/>
      <c r="I2925" s="2" t="s">
        <v>33</v>
      </c>
      <c r="J2925" s="2" t="s">
        <v>34</v>
      </c>
      <c r="K2925" s="2" t="s">
        <v>17244</v>
      </c>
      <c r="L2925" s="2" t="s">
        <v>17245</v>
      </c>
      <c r="M2925" s="2" t="s">
        <v>10280</v>
      </c>
      <c r="N2925" s="2" t="s">
        <v>38</v>
      </c>
      <c r="O2925" s="2" t="s">
        <v>141</v>
      </c>
      <c r="P2925" s="2" t="s">
        <v>14273</v>
      </c>
      <c r="Q2925" s="2" t="s">
        <v>9175</v>
      </c>
      <c r="R2925" s="2" t="s">
        <v>40</v>
      </c>
      <c r="S2925" s="2" t="s">
        <v>17246</v>
      </c>
      <c r="T2925" s="2" t="s">
        <v>17247</v>
      </c>
      <c r="U2925" s="2" t="s">
        <v>17248</v>
      </c>
      <c r="V2925" s="2" t="s">
        <v>17249</v>
      </c>
      <c r="W2925" s="1"/>
      <c r="X2925" s="2" t="s">
        <v>4393</v>
      </c>
      <c r="Y2925" s="2" t="s">
        <v>16303</v>
      </c>
      <c r="AA2925" t="str">
        <f t="shared" si="270"/>
        <v>2025-07</v>
      </c>
      <c r="AB2925" t="str">
        <f t="shared" si="271"/>
        <v/>
      </c>
      <c r="AC2925">
        <f t="shared" si="272"/>
        <v>311844.59999999998</v>
      </c>
      <c r="AD2925">
        <f t="shared" si="273"/>
        <v>30</v>
      </c>
      <c r="AE2925">
        <f t="shared" si="274"/>
        <v>73944.600000000006</v>
      </c>
      <c r="AF2925" t="str">
        <f t="shared" si="275"/>
        <v>Paid</v>
      </c>
    </row>
    <row r="2926" spans="1:32" ht="17.25" thickBot="1" x14ac:dyDescent="0.35">
      <c r="A2926" s="2" t="s">
        <v>17250</v>
      </c>
      <c r="B2926" s="2" t="s">
        <v>27</v>
      </c>
      <c r="C2926" s="2" t="s">
        <v>28</v>
      </c>
      <c r="D2926" s="2" t="s">
        <v>97</v>
      </c>
      <c r="E2926" s="2" t="s">
        <v>15863</v>
      </c>
      <c r="F2926" s="2" t="s">
        <v>31</v>
      </c>
      <c r="G2926" s="2" t="s">
        <v>32</v>
      </c>
      <c r="H2926" s="1"/>
      <c r="I2926" s="2" t="s">
        <v>33</v>
      </c>
      <c r="J2926" s="2" t="s">
        <v>34</v>
      </c>
      <c r="K2926" s="2" t="s">
        <v>17251</v>
      </c>
      <c r="L2926" s="2" t="s">
        <v>17252</v>
      </c>
      <c r="M2926" s="2" t="s">
        <v>10280</v>
      </c>
      <c r="N2926" s="2" t="s">
        <v>38</v>
      </c>
      <c r="O2926" s="2" t="s">
        <v>141</v>
      </c>
      <c r="P2926" s="2" t="s">
        <v>15783</v>
      </c>
      <c r="Q2926" s="2" t="s">
        <v>17253</v>
      </c>
      <c r="R2926" s="2" t="s">
        <v>40</v>
      </c>
      <c r="S2926" s="2" t="s">
        <v>17254</v>
      </c>
      <c r="T2926" s="2" t="s">
        <v>17255</v>
      </c>
      <c r="U2926" s="2" t="s">
        <v>17256</v>
      </c>
      <c r="V2926" s="2" t="s">
        <v>17257</v>
      </c>
      <c r="W2926" s="1"/>
      <c r="X2926" s="2" t="s">
        <v>1774</v>
      </c>
      <c r="Y2926" s="2" t="s">
        <v>16303</v>
      </c>
      <c r="AA2926" t="str">
        <f t="shared" si="270"/>
        <v>2025-07</v>
      </c>
      <c r="AB2926" t="str">
        <f t="shared" si="271"/>
        <v/>
      </c>
      <c r="AC2926">
        <f t="shared" si="272"/>
        <v>301772.09999999998</v>
      </c>
      <c r="AD2926">
        <f t="shared" si="273"/>
        <v>30</v>
      </c>
      <c r="AE2926">
        <f t="shared" si="274"/>
        <v>71672.100000000006</v>
      </c>
      <c r="AF2926" t="str">
        <f t="shared" si="275"/>
        <v>Paid</v>
      </c>
    </row>
    <row r="2927" spans="1:32" ht="27.75" thickBot="1" x14ac:dyDescent="0.35">
      <c r="A2927" s="2" t="s">
        <v>17258</v>
      </c>
      <c r="B2927" s="2" t="s">
        <v>27</v>
      </c>
      <c r="C2927" s="2" t="s">
        <v>28</v>
      </c>
      <c r="D2927" s="2" t="s">
        <v>97</v>
      </c>
      <c r="E2927" s="2" t="s">
        <v>15863</v>
      </c>
      <c r="F2927" s="2" t="s">
        <v>31</v>
      </c>
      <c r="G2927" s="2" t="s">
        <v>32</v>
      </c>
      <c r="H2927" s="1"/>
      <c r="I2927" s="2" t="s">
        <v>33</v>
      </c>
      <c r="J2927" s="2" t="s">
        <v>34</v>
      </c>
      <c r="K2927" s="2" t="s">
        <v>17259</v>
      </c>
      <c r="L2927" s="2" t="s">
        <v>17260</v>
      </c>
      <c r="M2927" s="2" t="s">
        <v>10280</v>
      </c>
      <c r="N2927" s="2" t="s">
        <v>38</v>
      </c>
      <c r="O2927" s="2" t="s">
        <v>141</v>
      </c>
      <c r="P2927" s="2" t="s">
        <v>666</v>
      </c>
      <c r="Q2927" s="2" t="s">
        <v>14926</v>
      </c>
      <c r="R2927" s="2" t="s">
        <v>40</v>
      </c>
      <c r="S2927" s="2" t="s">
        <v>17261</v>
      </c>
      <c r="T2927" s="2" t="s">
        <v>17262</v>
      </c>
      <c r="U2927" s="2" t="s">
        <v>17263</v>
      </c>
      <c r="V2927" s="2" t="s">
        <v>17264</v>
      </c>
      <c r="W2927" s="1"/>
      <c r="X2927" s="2" t="s">
        <v>3661</v>
      </c>
      <c r="Y2927" s="2" t="s">
        <v>16303</v>
      </c>
      <c r="AA2927" t="str">
        <f t="shared" si="270"/>
        <v>2025-07</v>
      </c>
      <c r="AB2927" t="str">
        <f t="shared" si="271"/>
        <v/>
      </c>
      <c r="AC2927">
        <f t="shared" si="272"/>
        <v>306204</v>
      </c>
      <c r="AD2927">
        <f t="shared" si="273"/>
        <v>30</v>
      </c>
      <c r="AE2927">
        <f t="shared" si="274"/>
        <v>81804</v>
      </c>
      <c r="AF2927" t="str">
        <f t="shared" si="275"/>
        <v>Paid</v>
      </c>
    </row>
    <row r="2928" spans="1:32" ht="17.25" thickBot="1" x14ac:dyDescent="0.35">
      <c r="A2928" s="2" t="s">
        <v>17265</v>
      </c>
      <c r="B2928" s="2" t="s">
        <v>27</v>
      </c>
      <c r="C2928" s="2" t="s">
        <v>28</v>
      </c>
      <c r="D2928" s="2" t="s">
        <v>97</v>
      </c>
      <c r="E2928" s="2" t="s">
        <v>15863</v>
      </c>
      <c r="F2928" s="2" t="s">
        <v>31</v>
      </c>
      <c r="G2928" s="2" t="s">
        <v>32</v>
      </c>
      <c r="H2928" s="1"/>
      <c r="I2928" s="2" t="s">
        <v>33</v>
      </c>
      <c r="J2928" s="2" t="s">
        <v>34</v>
      </c>
      <c r="K2928" s="2" t="s">
        <v>17266</v>
      </c>
      <c r="L2928" s="2" t="s">
        <v>17267</v>
      </c>
      <c r="M2928" s="2" t="s">
        <v>10280</v>
      </c>
      <c r="N2928" s="2" t="s">
        <v>38</v>
      </c>
      <c r="O2928" s="2" t="s">
        <v>141</v>
      </c>
      <c r="P2928" s="2" t="s">
        <v>6415</v>
      </c>
      <c r="Q2928" s="2" t="s">
        <v>14205</v>
      </c>
      <c r="R2928" s="2" t="s">
        <v>40</v>
      </c>
      <c r="S2928" s="2" t="s">
        <v>17268</v>
      </c>
      <c r="T2928" s="2" t="s">
        <v>2101</v>
      </c>
      <c r="U2928" s="2" t="s">
        <v>17269</v>
      </c>
      <c r="V2928" s="2" t="s">
        <v>17270</v>
      </c>
      <c r="W2928" s="1"/>
      <c r="X2928" s="2" t="s">
        <v>886</v>
      </c>
      <c r="Y2928" s="2" t="s">
        <v>16303</v>
      </c>
      <c r="AA2928" t="str">
        <f t="shared" si="270"/>
        <v>2025-07</v>
      </c>
      <c r="AB2928" t="str">
        <f t="shared" si="271"/>
        <v/>
      </c>
      <c r="AC2928">
        <f t="shared" si="272"/>
        <v>294922.8</v>
      </c>
      <c r="AD2928">
        <f t="shared" si="273"/>
        <v>30</v>
      </c>
      <c r="AE2928">
        <f t="shared" si="274"/>
        <v>78922.8</v>
      </c>
      <c r="AF2928" t="str">
        <f t="shared" si="275"/>
        <v>Paid</v>
      </c>
    </row>
    <row r="2929" spans="1:32" ht="27.75" thickBot="1" x14ac:dyDescent="0.35">
      <c r="A2929" s="2" t="s">
        <v>17271</v>
      </c>
      <c r="B2929" s="2" t="s">
        <v>27</v>
      </c>
      <c r="C2929" s="2" t="s">
        <v>28</v>
      </c>
      <c r="D2929" s="2" t="s">
        <v>97</v>
      </c>
      <c r="E2929" s="2" t="s">
        <v>15863</v>
      </c>
      <c r="F2929" s="2" t="s">
        <v>31</v>
      </c>
      <c r="G2929" s="2" t="s">
        <v>32</v>
      </c>
      <c r="H2929" s="1"/>
      <c r="I2929" s="2" t="s">
        <v>33</v>
      </c>
      <c r="J2929" s="2" t="s">
        <v>34</v>
      </c>
      <c r="K2929" s="2" t="s">
        <v>17272</v>
      </c>
      <c r="L2929" s="2" t="s">
        <v>17273</v>
      </c>
      <c r="M2929" s="2" t="s">
        <v>3067</v>
      </c>
      <c r="N2929" s="2" t="s">
        <v>38</v>
      </c>
      <c r="O2929" s="2" t="s">
        <v>141</v>
      </c>
      <c r="P2929" s="2" t="s">
        <v>5852</v>
      </c>
      <c r="Q2929" s="2" t="s">
        <v>17274</v>
      </c>
      <c r="R2929" s="2" t="s">
        <v>40</v>
      </c>
      <c r="S2929" s="2" t="s">
        <v>17275</v>
      </c>
      <c r="T2929" s="2" t="s">
        <v>17276</v>
      </c>
      <c r="U2929" s="2" t="s">
        <v>4842</v>
      </c>
      <c r="V2929" s="2" t="s">
        <v>17277</v>
      </c>
      <c r="W2929" s="1"/>
      <c r="X2929" s="2" t="s">
        <v>1893</v>
      </c>
      <c r="Y2929" s="2" t="s">
        <v>16303</v>
      </c>
      <c r="AA2929" t="str">
        <f t="shared" si="270"/>
        <v>2025-07</v>
      </c>
      <c r="AB2929" t="str">
        <f t="shared" si="271"/>
        <v/>
      </c>
      <c r="AC2929">
        <f t="shared" si="272"/>
        <v>178484.7</v>
      </c>
      <c r="AD2929">
        <f t="shared" si="273"/>
        <v>30</v>
      </c>
      <c r="AE2929">
        <f t="shared" si="274"/>
        <v>46484.7</v>
      </c>
      <c r="AF2929" t="str">
        <f t="shared" si="275"/>
        <v>Paid</v>
      </c>
    </row>
    <row r="2930" spans="1:32" ht="27.75" thickBot="1" x14ac:dyDescent="0.35">
      <c r="A2930" s="2" t="s">
        <v>17278</v>
      </c>
      <c r="B2930" s="2" t="s">
        <v>27</v>
      </c>
      <c r="C2930" s="2" t="s">
        <v>28</v>
      </c>
      <c r="D2930" s="2" t="s">
        <v>97</v>
      </c>
      <c r="E2930" s="2" t="s">
        <v>15863</v>
      </c>
      <c r="F2930" s="2" t="s">
        <v>31</v>
      </c>
      <c r="G2930" s="2" t="s">
        <v>32</v>
      </c>
      <c r="H2930" s="1"/>
      <c r="I2930" s="2" t="s">
        <v>33</v>
      </c>
      <c r="J2930" s="2" t="s">
        <v>34</v>
      </c>
      <c r="K2930" s="2" t="s">
        <v>3075</v>
      </c>
      <c r="L2930" s="2" t="s">
        <v>3076</v>
      </c>
      <c r="M2930" s="2" t="s">
        <v>3067</v>
      </c>
      <c r="N2930" s="2" t="s">
        <v>38</v>
      </c>
      <c r="O2930" s="2" t="s">
        <v>141</v>
      </c>
      <c r="P2930" s="2" t="s">
        <v>10626</v>
      </c>
      <c r="Q2930" s="2" t="s">
        <v>17279</v>
      </c>
      <c r="R2930" s="2" t="s">
        <v>40</v>
      </c>
      <c r="S2930" s="2" t="s">
        <v>17280</v>
      </c>
      <c r="T2930" s="2" t="s">
        <v>3079</v>
      </c>
      <c r="U2930" s="2" t="s">
        <v>7135</v>
      </c>
      <c r="V2930" s="2" t="s">
        <v>17281</v>
      </c>
      <c r="W2930" s="1"/>
      <c r="X2930" s="2" t="s">
        <v>13412</v>
      </c>
      <c r="Y2930" s="2" t="s">
        <v>16303</v>
      </c>
      <c r="AA2930" t="str">
        <f t="shared" si="270"/>
        <v>2025-07</v>
      </c>
      <c r="AB2930" t="str">
        <f t="shared" si="271"/>
        <v/>
      </c>
      <c r="AC2930">
        <f t="shared" si="272"/>
        <v>238113.9</v>
      </c>
      <c r="AD2930">
        <f t="shared" si="273"/>
        <v>30</v>
      </c>
      <c r="AE2930">
        <f t="shared" si="274"/>
        <v>64113.9</v>
      </c>
      <c r="AF2930" t="str">
        <f t="shared" si="275"/>
        <v>Paid</v>
      </c>
    </row>
    <row r="2931" spans="1:32" ht="27.75" thickBot="1" x14ac:dyDescent="0.35">
      <c r="A2931" s="2" t="s">
        <v>17282</v>
      </c>
      <c r="B2931" s="2" t="s">
        <v>27</v>
      </c>
      <c r="C2931" s="2" t="s">
        <v>28</v>
      </c>
      <c r="D2931" s="2" t="s">
        <v>97</v>
      </c>
      <c r="E2931" s="2" t="s">
        <v>15863</v>
      </c>
      <c r="F2931" s="2" t="s">
        <v>31</v>
      </c>
      <c r="G2931" s="2" t="s">
        <v>32</v>
      </c>
      <c r="H2931" s="1"/>
      <c r="I2931" s="2" t="s">
        <v>33</v>
      </c>
      <c r="J2931" s="2" t="s">
        <v>34</v>
      </c>
      <c r="K2931" s="2" t="s">
        <v>8033</v>
      </c>
      <c r="L2931" s="2" t="s">
        <v>8034</v>
      </c>
      <c r="M2931" s="2" t="s">
        <v>3067</v>
      </c>
      <c r="N2931" s="2" t="s">
        <v>38</v>
      </c>
      <c r="O2931" s="2" t="s">
        <v>141</v>
      </c>
      <c r="P2931" s="2" t="s">
        <v>10626</v>
      </c>
      <c r="Q2931" s="2" t="s">
        <v>17279</v>
      </c>
      <c r="R2931" s="2" t="s">
        <v>40</v>
      </c>
      <c r="S2931" s="2" t="s">
        <v>17280</v>
      </c>
      <c r="T2931" s="2" t="s">
        <v>3079</v>
      </c>
      <c r="U2931" s="2" t="s">
        <v>7135</v>
      </c>
      <c r="V2931" s="2" t="s">
        <v>17281</v>
      </c>
      <c r="W2931" s="1"/>
      <c r="X2931" s="2" t="s">
        <v>13412</v>
      </c>
      <c r="Y2931" s="2" t="s">
        <v>16303</v>
      </c>
      <c r="AA2931" t="str">
        <f t="shared" si="270"/>
        <v>2025-07</v>
      </c>
      <c r="AB2931" t="str">
        <f t="shared" si="271"/>
        <v/>
      </c>
      <c r="AC2931">
        <f t="shared" si="272"/>
        <v>238113.9</v>
      </c>
      <c r="AD2931">
        <f t="shared" si="273"/>
        <v>30</v>
      </c>
      <c r="AE2931">
        <f t="shared" si="274"/>
        <v>64113.9</v>
      </c>
      <c r="AF2931" t="str">
        <f t="shared" si="275"/>
        <v>Paid</v>
      </c>
    </row>
    <row r="2932" spans="1:32" ht="27.75" thickBot="1" x14ac:dyDescent="0.35">
      <c r="A2932" s="2" t="s">
        <v>17283</v>
      </c>
      <c r="B2932" s="2" t="s">
        <v>27</v>
      </c>
      <c r="C2932" s="2" t="s">
        <v>28</v>
      </c>
      <c r="D2932" s="2" t="s">
        <v>97</v>
      </c>
      <c r="E2932" s="2" t="s">
        <v>15863</v>
      </c>
      <c r="F2932" s="2" t="s">
        <v>31</v>
      </c>
      <c r="G2932" s="2" t="s">
        <v>32</v>
      </c>
      <c r="H2932" s="1"/>
      <c r="I2932" s="2" t="s">
        <v>33</v>
      </c>
      <c r="J2932" s="2" t="s">
        <v>34</v>
      </c>
      <c r="K2932" s="2" t="s">
        <v>3091</v>
      </c>
      <c r="L2932" s="2" t="s">
        <v>3092</v>
      </c>
      <c r="M2932" s="2" t="s">
        <v>3067</v>
      </c>
      <c r="N2932" s="2" t="s">
        <v>38</v>
      </c>
      <c r="O2932" s="2" t="s">
        <v>141</v>
      </c>
      <c r="P2932" s="2" t="s">
        <v>3424</v>
      </c>
      <c r="Q2932" s="2" t="s">
        <v>17284</v>
      </c>
      <c r="R2932" s="2" t="s">
        <v>40</v>
      </c>
      <c r="S2932" s="2" t="s">
        <v>17285</v>
      </c>
      <c r="T2932" s="2" t="s">
        <v>669</v>
      </c>
      <c r="U2932" s="2" t="s">
        <v>3331</v>
      </c>
      <c r="V2932" s="2" t="s">
        <v>17286</v>
      </c>
      <c r="W2932" s="1"/>
      <c r="X2932" s="2" t="s">
        <v>16611</v>
      </c>
      <c r="Y2932" s="2" t="s">
        <v>16303</v>
      </c>
      <c r="AA2932" t="str">
        <f t="shared" si="270"/>
        <v>2025-07</v>
      </c>
      <c r="AB2932" t="str">
        <f t="shared" si="271"/>
        <v/>
      </c>
      <c r="AC2932">
        <f t="shared" si="272"/>
        <v>267122.7</v>
      </c>
      <c r="AD2932">
        <f t="shared" si="273"/>
        <v>30</v>
      </c>
      <c r="AE2932">
        <f t="shared" si="274"/>
        <v>87122.7</v>
      </c>
      <c r="AF2932" t="str">
        <f t="shared" si="275"/>
        <v>Paid</v>
      </c>
    </row>
    <row r="2933" spans="1:32" ht="27.75" thickBot="1" x14ac:dyDescent="0.35">
      <c r="A2933" s="2" t="s">
        <v>17287</v>
      </c>
      <c r="B2933" s="2" t="s">
        <v>27</v>
      </c>
      <c r="C2933" s="2" t="s">
        <v>28</v>
      </c>
      <c r="D2933" s="2" t="s">
        <v>97</v>
      </c>
      <c r="E2933" s="2" t="s">
        <v>15863</v>
      </c>
      <c r="F2933" s="2" t="s">
        <v>31</v>
      </c>
      <c r="G2933" s="2" t="s">
        <v>32</v>
      </c>
      <c r="H2933" s="1"/>
      <c r="I2933" s="2" t="s">
        <v>33</v>
      </c>
      <c r="J2933" s="2" t="s">
        <v>34</v>
      </c>
      <c r="K2933" s="2" t="s">
        <v>10825</v>
      </c>
      <c r="L2933" s="2" t="s">
        <v>10826</v>
      </c>
      <c r="M2933" s="2" t="s">
        <v>3067</v>
      </c>
      <c r="N2933" s="2" t="s">
        <v>38</v>
      </c>
      <c r="O2933" s="2" t="s">
        <v>141</v>
      </c>
      <c r="P2933" s="2" t="s">
        <v>6952</v>
      </c>
      <c r="Q2933" s="2" t="s">
        <v>4986</v>
      </c>
      <c r="R2933" s="2" t="s">
        <v>40</v>
      </c>
      <c r="S2933" s="2" t="s">
        <v>17288</v>
      </c>
      <c r="T2933" s="2" t="s">
        <v>126</v>
      </c>
      <c r="U2933" s="2" t="s">
        <v>10220</v>
      </c>
      <c r="V2933" s="2" t="s">
        <v>17289</v>
      </c>
      <c r="W2933" s="1"/>
      <c r="X2933" s="2" t="s">
        <v>1774</v>
      </c>
      <c r="Y2933" s="2" t="s">
        <v>16303</v>
      </c>
      <c r="AA2933" t="str">
        <f t="shared" si="270"/>
        <v>2025-07</v>
      </c>
      <c r="AB2933" t="str">
        <f t="shared" si="271"/>
        <v/>
      </c>
      <c r="AC2933">
        <f t="shared" si="272"/>
        <v>248186.4</v>
      </c>
      <c r="AD2933">
        <f t="shared" si="273"/>
        <v>30</v>
      </c>
      <c r="AE2933">
        <f t="shared" si="274"/>
        <v>59186.400000000001</v>
      </c>
      <c r="AF2933" t="str">
        <f t="shared" si="275"/>
        <v>Paid</v>
      </c>
    </row>
    <row r="2934" spans="1:32" ht="27.75" thickBot="1" x14ac:dyDescent="0.35">
      <c r="A2934" s="2" t="s">
        <v>17290</v>
      </c>
      <c r="B2934" s="2" t="s">
        <v>27</v>
      </c>
      <c r="C2934" s="2" t="s">
        <v>28</v>
      </c>
      <c r="D2934" s="2" t="s">
        <v>97</v>
      </c>
      <c r="E2934" s="2" t="s">
        <v>15863</v>
      </c>
      <c r="F2934" s="2" t="s">
        <v>31</v>
      </c>
      <c r="G2934" s="2" t="s">
        <v>32</v>
      </c>
      <c r="H2934" s="1"/>
      <c r="I2934" s="2" t="s">
        <v>33</v>
      </c>
      <c r="J2934" s="2" t="s">
        <v>34</v>
      </c>
      <c r="K2934" s="2" t="s">
        <v>3098</v>
      </c>
      <c r="L2934" s="2" t="s">
        <v>3099</v>
      </c>
      <c r="M2934" s="2" t="s">
        <v>3067</v>
      </c>
      <c r="N2934" s="2" t="s">
        <v>38</v>
      </c>
      <c r="O2934" s="2" t="s">
        <v>141</v>
      </c>
      <c r="P2934" s="2" t="s">
        <v>1028</v>
      </c>
      <c r="Q2934" s="2" t="s">
        <v>17291</v>
      </c>
      <c r="R2934" s="2" t="s">
        <v>40</v>
      </c>
      <c r="S2934" s="2" t="s">
        <v>17292</v>
      </c>
      <c r="T2934" s="2" t="s">
        <v>126</v>
      </c>
      <c r="U2934" s="2" t="s">
        <v>10220</v>
      </c>
      <c r="V2934" s="2" t="s">
        <v>17293</v>
      </c>
      <c r="W2934" s="1"/>
      <c r="X2934" s="2" t="s">
        <v>886</v>
      </c>
      <c r="Y2934" s="2" t="s">
        <v>16303</v>
      </c>
      <c r="AA2934" t="str">
        <f t="shared" si="270"/>
        <v>2025-07</v>
      </c>
      <c r="AB2934" t="str">
        <f t="shared" si="271"/>
        <v/>
      </c>
      <c r="AC2934">
        <f t="shared" si="272"/>
        <v>258258.9</v>
      </c>
      <c r="AD2934">
        <f t="shared" si="273"/>
        <v>30</v>
      </c>
      <c r="AE2934">
        <f t="shared" si="274"/>
        <v>69258.899999999994</v>
      </c>
      <c r="AF2934" t="str">
        <f t="shared" si="275"/>
        <v>Paid</v>
      </c>
    </row>
    <row r="2935" spans="1:32" ht="27.75" thickBot="1" x14ac:dyDescent="0.35">
      <c r="A2935" s="2" t="s">
        <v>17294</v>
      </c>
      <c r="B2935" s="2" t="s">
        <v>27</v>
      </c>
      <c r="C2935" s="2" t="s">
        <v>28</v>
      </c>
      <c r="D2935" s="2" t="s">
        <v>97</v>
      </c>
      <c r="E2935" s="2" t="s">
        <v>15863</v>
      </c>
      <c r="F2935" s="2" t="s">
        <v>31</v>
      </c>
      <c r="G2935" s="2" t="s">
        <v>32</v>
      </c>
      <c r="H2935" s="1"/>
      <c r="I2935" s="2" t="s">
        <v>33</v>
      </c>
      <c r="J2935" s="2" t="s">
        <v>34</v>
      </c>
      <c r="K2935" s="2" t="s">
        <v>17295</v>
      </c>
      <c r="L2935" s="2" t="s">
        <v>17296</v>
      </c>
      <c r="M2935" s="2" t="s">
        <v>48</v>
      </c>
      <c r="N2935" s="2" t="s">
        <v>38</v>
      </c>
      <c r="O2935" s="2" t="s">
        <v>141</v>
      </c>
      <c r="P2935" s="2" t="s">
        <v>14132</v>
      </c>
      <c r="Q2935" s="2" t="s">
        <v>9246</v>
      </c>
      <c r="R2935" s="2" t="s">
        <v>40</v>
      </c>
      <c r="S2935" s="2" t="s">
        <v>17297</v>
      </c>
      <c r="T2935" s="2" t="s">
        <v>17090</v>
      </c>
      <c r="U2935" s="2" t="s">
        <v>17298</v>
      </c>
      <c r="V2935" s="2" t="s">
        <v>17299</v>
      </c>
      <c r="W2935" s="1"/>
      <c r="X2935" s="2" t="s">
        <v>7918</v>
      </c>
      <c r="Y2935" s="2" t="s">
        <v>16303</v>
      </c>
      <c r="AA2935" t="str">
        <f t="shared" si="270"/>
        <v>2025-07</v>
      </c>
      <c r="AB2935" t="str">
        <f t="shared" si="271"/>
        <v/>
      </c>
      <c r="AC2935">
        <f t="shared" si="272"/>
        <v>406123.2</v>
      </c>
      <c r="AD2935">
        <f t="shared" si="273"/>
        <v>30</v>
      </c>
      <c r="AE2935">
        <f t="shared" si="274"/>
        <v>119743.2</v>
      </c>
      <c r="AF2935" t="str">
        <f t="shared" si="275"/>
        <v>Paid</v>
      </c>
    </row>
    <row r="2936" spans="1:32" ht="27.75" thickBot="1" x14ac:dyDescent="0.35">
      <c r="A2936" s="2" t="s">
        <v>17300</v>
      </c>
      <c r="B2936" s="2" t="s">
        <v>27</v>
      </c>
      <c r="C2936" s="2" t="s">
        <v>28</v>
      </c>
      <c r="D2936" s="2" t="s">
        <v>97</v>
      </c>
      <c r="E2936" s="2" t="s">
        <v>15863</v>
      </c>
      <c r="F2936" s="2" t="s">
        <v>31</v>
      </c>
      <c r="G2936" s="2" t="s">
        <v>32</v>
      </c>
      <c r="H2936" s="1"/>
      <c r="I2936" s="2" t="s">
        <v>33</v>
      </c>
      <c r="J2936" s="2" t="s">
        <v>34</v>
      </c>
      <c r="K2936" s="2" t="s">
        <v>17301</v>
      </c>
      <c r="L2936" s="2" t="s">
        <v>17302</v>
      </c>
      <c r="M2936" s="2" t="s">
        <v>48</v>
      </c>
      <c r="N2936" s="2" t="s">
        <v>38</v>
      </c>
      <c r="O2936" s="2" t="s">
        <v>141</v>
      </c>
      <c r="P2936" s="2" t="s">
        <v>14132</v>
      </c>
      <c r="Q2936" s="2" t="s">
        <v>9246</v>
      </c>
      <c r="R2936" s="2" t="s">
        <v>40</v>
      </c>
      <c r="S2936" s="2" t="s">
        <v>17297</v>
      </c>
      <c r="T2936" s="2" t="s">
        <v>17090</v>
      </c>
      <c r="U2936" s="2" t="s">
        <v>17298</v>
      </c>
      <c r="V2936" s="2" t="s">
        <v>17299</v>
      </c>
      <c r="W2936" s="1"/>
      <c r="X2936" s="2" t="s">
        <v>7918</v>
      </c>
      <c r="Y2936" s="2" t="s">
        <v>16303</v>
      </c>
      <c r="AA2936" t="str">
        <f t="shared" si="270"/>
        <v>2025-07</v>
      </c>
      <c r="AB2936" t="str">
        <f t="shared" si="271"/>
        <v/>
      </c>
      <c r="AC2936">
        <f t="shared" si="272"/>
        <v>406123.2</v>
      </c>
      <c r="AD2936">
        <f t="shared" si="273"/>
        <v>30</v>
      </c>
      <c r="AE2936">
        <f t="shared" si="274"/>
        <v>119743.2</v>
      </c>
      <c r="AF2936" t="str">
        <f t="shared" si="275"/>
        <v>Paid</v>
      </c>
    </row>
    <row r="2937" spans="1:32" ht="27.75" thickBot="1" x14ac:dyDescent="0.35">
      <c r="A2937" s="2" t="s">
        <v>17303</v>
      </c>
      <c r="B2937" s="2" t="s">
        <v>27</v>
      </c>
      <c r="C2937" s="2" t="s">
        <v>28</v>
      </c>
      <c r="D2937" s="2" t="s">
        <v>97</v>
      </c>
      <c r="E2937" s="2" t="s">
        <v>15863</v>
      </c>
      <c r="F2937" s="2" t="s">
        <v>31</v>
      </c>
      <c r="G2937" s="2" t="s">
        <v>32</v>
      </c>
      <c r="H2937" s="1"/>
      <c r="I2937" s="2" t="s">
        <v>33</v>
      </c>
      <c r="J2937" s="2" t="s">
        <v>34</v>
      </c>
      <c r="K2937" s="2" t="s">
        <v>17304</v>
      </c>
      <c r="L2937" s="2" t="s">
        <v>17305</v>
      </c>
      <c r="M2937" s="2" t="s">
        <v>48</v>
      </c>
      <c r="N2937" s="2" t="s">
        <v>38</v>
      </c>
      <c r="O2937" s="2" t="s">
        <v>141</v>
      </c>
      <c r="P2937" s="2" t="s">
        <v>14132</v>
      </c>
      <c r="Q2937" s="2" t="s">
        <v>9246</v>
      </c>
      <c r="R2937" s="2" t="s">
        <v>40</v>
      </c>
      <c r="S2937" s="2" t="s">
        <v>17297</v>
      </c>
      <c r="T2937" s="2" t="s">
        <v>17090</v>
      </c>
      <c r="U2937" s="2" t="s">
        <v>17298</v>
      </c>
      <c r="V2937" s="2" t="s">
        <v>17299</v>
      </c>
      <c r="W2937" s="1"/>
      <c r="X2937" s="2" t="s">
        <v>7918</v>
      </c>
      <c r="Y2937" s="2" t="s">
        <v>16303</v>
      </c>
      <c r="AA2937" t="str">
        <f t="shared" si="270"/>
        <v>2025-07</v>
      </c>
      <c r="AB2937" t="str">
        <f t="shared" si="271"/>
        <v/>
      </c>
      <c r="AC2937">
        <f t="shared" si="272"/>
        <v>406123.2</v>
      </c>
      <c r="AD2937">
        <f t="shared" si="273"/>
        <v>30</v>
      </c>
      <c r="AE2937">
        <f t="shared" si="274"/>
        <v>119743.2</v>
      </c>
      <c r="AF2937" t="str">
        <f t="shared" si="275"/>
        <v>Paid</v>
      </c>
    </row>
    <row r="2938" spans="1:32" ht="17.25" thickBot="1" x14ac:dyDescent="0.35">
      <c r="A2938" s="2" t="s">
        <v>17306</v>
      </c>
      <c r="B2938" s="2" t="s">
        <v>27</v>
      </c>
      <c r="C2938" s="2" t="s">
        <v>28</v>
      </c>
      <c r="D2938" s="2" t="s">
        <v>97</v>
      </c>
      <c r="E2938" s="2" t="s">
        <v>15863</v>
      </c>
      <c r="F2938" s="2" t="s">
        <v>31</v>
      </c>
      <c r="G2938" s="2" t="s">
        <v>32</v>
      </c>
      <c r="H2938" s="1"/>
      <c r="I2938" s="2" t="s">
        <v>33</v>
      </c>
      <c r="J2938" s="2" t="s">
        <v>34</v>
      </c>
      <c r="K2938" s="2" t="s">
        <v>10841</v>
      </c>
      <c r="L2938" s="2" t="s">
        <v>10842</v>
      </c>
      <c r="M2938" s="2" t="s">
        <v>48</v>
      </c>
      <c r="N2938" s="2" t="s">
        <v>38</v>
      </c>
      <c r="O2938" s="2" t="s">
        <v>10815</v>
      </c>
      <c r="P2938" s="2" t="s">
        <v>40</v>
      </c>
      <c r="Q2938" s="2" t="s">
        <v>40</v>
      </c>
      <c r="R2938" s="2" t="s">
        <v>40</v>
      </c>
      <c r="S2938" s="2" t="s">
        <v>40</v>
      </c>
      <c r="T2938" s="2" t="s">
        <v>10837</v>
      </c>
      <c r="U2938" s="2" t="s">
        <v>10845</v>
      </c>
      <c r="V2938" s="2" t="s">
        <v>17307</v>
      </c>
      <c r="W2938" s="2" t="s">
        <v>41</v>
      </c>
      <c r="X2938" s="2" t="s">
        <v>42</v>
      </c>
      <c r="Y2938" s="2" t="s">
        <v>16303</v>
      </c>
      <c r="AA2938" t="str">
        <f t="shared" si="270"/>
        <v>2025-07</v>
      </c>
      <c r="AB2938" t="str">
        <f t="shared" si="271"/>
        <v/>
      </c>
      <c r="AC2938">
        <f t="shared" si="272"/>
        <v>0</v>
      </c>
      <c r="AD2938">
        <f t="shared" si="273"/>
        <v>10000</v>
      </c>
      <c r="AE2938">
        <f t="shared" si="274"/>
        <v>-1100000</v>
      </c>
      <c r="AF2938" t="str">
        <f t="shared" si="275"/>
        <v>Sample</v>
      </c>
    </row>
    <row r="2939" spans="1:32" ht="17.25" thickBot="1" x14ac:dyDescent="0.35">
      <c r="A2939" s="2" t="s">
        <v>17308</v>
      </c>
      <c r="B2939" s="2" t="s">
        <v>27</v>
      </c>
      <c r="C2939" s="2" t="s">
        <v>28</v>
      </c>
      <c r="D2939" s="2" t="s">
        <v>97</v>
      </c>
      <c r="E2939" s="2" t="s">
        <v>15863</v>
      </c>
      <c r="F2939" s="2" t="s">
        <v>31</v>
      </c>
      <c r="G2939" s="2" t="s">
        <v>32</v>
      </c>
      <c r="H2939" s="1"/>
      <c r="I2939" s="2" t="s">
        <v>33</v>
      </c>
      <c r="J2939" s="2" t="s">
        <v>34</v>
      </c>
      <c r="K2939" s="2" t="s">
        <v>17309</v>
      </c>
      <c r="L2939" s="2" t="s">
        <v>17310</v>
      </c>
      <c r="M2939" s="2" t="s">
        <v>48</v>
      </c>
      <c r="N2939" s="2" t="s">
        <v>38</v>
      </c>
      <c r="O2939" s="2" t="s">
        <v>141</v>
      </c>
      <c r="P2939" s="2" t="s">
        <v>17311</v>
      </c>
      <c r="Q2939" s="2" t="s">
        <v>3211</v>
      </c>
      <c r="R2939" s="2" t="s">
        <v>40</v>
      </c>
      <c r="S2939" s="2" t="s">
        <v>17312</v>
      </c>
      <c r="T2939" s="2" t="s">
        <v>17313</v>
      </c>
      <c r="U2939" s="2" t="s">
        <v>17314</v>
      </c>
      <c r="V2939" s="2" t="s">
        <v>17315</v>
      </c>
      <c r="W2939" s="1"/>
      <c r="X2939" s="2" t="s">
        <v>7918</v>
      </c>
      <c r="Y2939" s="2" t="s">
        <v>16303</v>
      </c>
      <c r="AA2939" t="str">
        <f t="shared" si="270"/>
        <v>2025-07</v>
      </c>
      <c r="AB2939" t="str">
        <f t="shared" si="271"/>
        <v/>
      </c>
      <c r="AC2939">
        <f t="shared" si="272"/>
        <v>352134.6</v>
      </c>
      <c r="AD2939">
        <f t="shared" si="273"/>
        <v>30</v>
      </c>
      <c r="AE2939">
        <f t="shared" si="274"/>
        <v>103944.6</v>
      </c>
      <c r="AF2939" t="str">
        <f t="shared" si="275"/>
        <v>Paid</v>
      </c>
    </row>
    <row r="2940" spans="1:32" ht="17.25" thickBot="1" x14ac:dyDescent="0.35">
      <c r="A2940" s="2" t="s">
        <v>17316</v>
      </c>
      <c r="B2940" s="2" t="s">
        <v>27</v>
      </c>
      <c r="C2940" s="2" t="s">
        <v>28</v>
      </c>
      <c r="D2940" s="2" t="s">
        <v>97</v>
      </c>
      <c r="E2940" s="2" t="s">
        <v>15863</v>
      </c>
      <c r="F2940" s="2" t="s">
        <v>31</v>
      </c>
      <c r="G2940" s="2" t="s">
        <v>32</v>
      </c>
      <c r="H2940" s="1"/>
      <c r="I2940" s="2" t="s">
        <v>33</v>
      </c>
      <c r="J2940" s="2" t="s">
        <v>34</v>
      </c>
      <c r="K2940" s="2" t="s">
        <v>17317</v>
      </c>
      <c r="L2940" s="2" t="s">
        <v>17318</v>
      </c>
      <c r="M2940" s="2" t="s">
        <v>48</v>
      </c>
      <c r="N2940" s="2" t="s">
        <v>38</v>
      </c>
      <c r="O2940" s="2" t="s">
        <v>141</v>
      </c>
      <c r="P2940" s="2" t="s">
        <v>17311</v>
      </c>
      <c r="Q2940" s="2" t="s">
        <v>3211</v>
      </c>
      <c r="R2940" s="2" t="s">
        <v>40</v>
      </c>
      <c r="S2940" s="2" t="s">
        <v>17312</v>
      </c>
      <c r="T2940" s="2" t="s">
        <v>17313</v>
      </c>
      <c r="U2940" s="2" t="s">
        <v>17314</v>
      </c>
      <c r="V2940" s="2" t="s">
        <v>17315</v>
      </c>
      <c r="W2940" s="1"/>
      <c r="X2940" s="2" t="s">
        <v>7918</v>
      </c>
      <c r="Y2940" s="2" t="s">
        <v>16303</v>
      </c>
      <c r="AA2940" t="str">
        <f t="shared" si="270"/>
        <v>2025-07</v>
      </c>
      <c r="AB2940" t="str">
        <f t="shared" si="271"/>
        <v/>
      </c>
      <c r="AC2940">
        <f t="shared" si="272"/>
        <v>352134.6</v>
      </c>
      <c r="AD2940">
        <f t="shared" si="273"/>
        <v>30</v>
      </c>
      <c r="AE2940">
        <f t="shared" si="274"/>
        <v>103944.6</v>
      </c>
      <c r="AF2940" t="str">
        <f t="shared" si="275"/>
        <v>Paid</v>
      </c>
    </row>
    <row r="2941" spans="1:32" ht="17.25" thickBot="1" x14ac:dyDescent="0.35">
      <c r="A2941" s="2" t="s">
        <v>17319</v>
      </c>
      <c r="B2941" s="2" t="s">
        <v>27</v>
      </c>
      <c r="C2941" s="2" t="s">
        <v>28</v>
      </c>
      <c r="D2941" s="2" t="s">
        <v>97</v>
      </c>
      <c r="E2941" s="2" t="s">
        <v>15863</v>
      </c>
      <c r="F2941" s="2" t="s">
        <v>31</v>
      </c>
      <c r="G2941" s="2" t="s">
        <v>32</v>
      </c>
      <c r="H2941" s="1"/>
      <c r="I2941" s="2" t="s">
        <v>33</v>
      </c>
      <c r="J2941" s="2" t="s">
        <v>34</v>
      </c>
      <c r="K2941" s="2" t="s">
        <v>64</v>
      </c>
      <c r="L2941" s="2" t="s">
        <v>65</v>
      </c>
      <c r="M2941" s="2" t="s">
        <v>48</v>
      </c>
      <c r="N2941" s="2" t="s">
        <v>38</v>
      </c>
      <c r="O2941" s="2" t="s">
        <v>877</v>
      </c>
      <c r="P2941" s="2" t="s">
        <v>17311</v>
      </c>
      <c r="Q2941" s="2" t="s">
        <v>17320</v>
      </c>
      <c r="R2941" s="2" t="s">
        <v>40</v>
      </c>
      <c r="S2941" s="2" t="s">
        <v>17321</v>
      </c>
      <c r="T2941" s="2" t="s">
        <v>17322</v>
      </c>
      <c r="U2941" s="2" t="s">
        <v>17323</v>
      </c>
      <c r="V2941" s="2" t="s">
        <v>17324</v>
      </c>
      <c r="W2941" s="1"/>
      <c r="X2941" s="2" t="s">
        <v>7442</v>
      </c>
      <c r="Y2941" s="2" t="s">
        <v>16303</v>
      </c>
      <c r="AA2941" t="str">
        <f t="shared" si="270"/>
        <v>2025-07</v>
      </c>
      <c r="AB2941" t="str">
        <f t="shared" si="271"/>
        <v/>
      </c>
      <c r="AC2941">
        <f t="shared" si="272"/>
        <v>1173782</v>
      </c>
      <c r="AD2941">
        <f t="shared" si="273"/>
        <v>100</v>
      </c>
      <c r="AE2941">
        <f t="shared" si="274"/>
        <v>421682</v>
      </c>
      <c r="AF2941" t="str">
        <f t="shared" si="275"/>
        <v>Paid</v>
      </c>
    </row>
    <row r="2942" spans="1:32" ht="27.75" thickBot="1" x14ac:dyDescent="0.35">
      <c r="A2942" s="2" t="s">
        <v>17325</v>
      </c>
      <c r="B2942" s="2" t="s">
        <v>27</v>
      </c>
      <c r="C2942" s="2" t="s">
        <v>28</v>
      </c>
      <c r="D2942" s="2" t="s">
        <v>97</v>
      </c>
      <c r="E2942" s="2" t="s">
        <v>15863</v>
      </c>
      <c r="F2942" s="2" t="s">
        <v>31</v>
      </c>
      <c r="G2942" s="2" t="s">
        <v>32</v>
      </c>
      <c r="H2942" s="1"/>
      <c r="I2942" s="2" t="s">
        <v>33</v>
      </c>
      <c r="J2942" s="2" t="s">
        <v>34</v>
      </c>
      <c r="K2942" s="2" t="s">
        <v>17326</v>
      </c>
      <c r="L2942" s="2" t="s">
        <v>17327</v>
      </c>
      <c r="M2942" s="2" t="s">
        <v>1686</v>
      </c>
      <c r="N2942" s="2" t="s">
        <v>38</v>
      </c>
      <c r="O2942" s="2" t="s">
        <v>141</v>
      </c>
      <c r="P2942" s="2" t="s">
        <v>6464</v>
      </c>
      <c r="Q2942" s="2" t="s">
        <v>17328</v>
      </c>
      <c r="R2942" s="2" t="s">
        <v>40</v>
      </c>
      <c r="S2942" s="2" t="s">
        <v>17329</v>
      </c>
      <c r="T2942" s="2" t="s">
        <v>10627</v>
      </c>
      <c r="U2942" s="2" t="s">
        <v>17330</v>
      </c>
      <c r="V2942" s="2" t="s">
        <v>17331</v>
      </c>
      <c r="W2942" s="1"/>
      <c r="X2942" s="2" t="s">
        <v>1427</v>
      </c>
      <c r="Y2942" s="2" t="s">
        <v>16303</v>
      </c>
      <c r="AA2942" t="str">
        <f t="shared" si="270"/>
        <v>2025-07</v>
      </c>
      <c r="AB2942" t="str">
        <f t="shared" si="271"/>
        <v/>
      </c>
      <c r="AC2942">
        <f t="shared" si="272"/>
        <v>140612.1</v>
      </c>
      <c r="AD2942">
        <f t="shared" si="273"/>
        <v>30</v>
      </c>
      <c r="AE2942">
        <f t="shared" si="274"/>
        <v>34232.1</v>
      </c>
      <c r="AF2942" t="str">
        <f t="shared" si="275"/>
        <v>Paid</v>
      </c>
    </row>
    <row r="2943" spans="1:32" ht="17.25" thickBot="1" x14ac:dyDescent="0.35">
      <c r="A2943" s="2" t="s">
        <v>17332</v>
      </c>
      <c r="B2943" s="2" t="s">
        <v>27</v>
      </c>
      <c r="C2943" s="2" t="s">
        <v>28</v>
      </c>
      <c r="D2943" s="2" t="s">
        <v>97</v>
      </c>
      <c r="E2943" s="2" t="s">
        <v>15863</v>
      </c>
      <c r="F2943" s="2" t="s">
        <v>31</v>
      </c>
      <c r="G2943" s="2" t="s">
        <v>32</v>
      </c>
      <c r="H2943" s="1"/>
      <c r="I2943" s="2" t="s">
        <v>33</v>
      </c>
      <c r="J2943" s="2" t="s">
        <v>34</v>
      </c>
      <c r="K2943" s="2" t="s">
        <v>17333</v>
      </c>
      <c r="L2943" s="2" t="s">
        <v>17334</v>
      </c>
      <c r="M2943" s="2" t="s">
        <v>1686</v>
      </c>
      <c r="N2943" s="2" t="s">
        <v>38</v>
      </c>
      <c r="O2943" s="2" t="s">
        <v>141</v>
      </c>
      <c r="P2943" s="2" t="s">
        <v>17335</v>
      </c>
      <c r="Q2943" s="2" t="s">
        <v>17336</v>
      </c>
      <c r="R2943" s="2" t="s">
        <v>40</v>
      </c>
      <c r="S2943" s="2" t="s">
        <v>17337</v>
      </c>
      <c r="T2943" s="2" t="s">
        <v>17338</v>
      </c>
      <c r="U2943" s="2" t="s">
        <v>17339</v>
      </c>
      <c r="V2943" s="2" t="s">
        <v>17340</v>
      </c>
      <c r="W2943" s="1"/>
      <c r="X2943" s="2" t="s">
        <v>4550</v>
      </c>
      <c r="Y2943" s="2" t="s">
        <v>16303</v>
      </c>
      <c r="AA2943" t="str">
        <f t="shared" si="270"/>
        <v>2025-07</v>
      </c>
      <c r="AB2943" t="str">
        <f t="shared" si="271"/>
        <v/>
      </c>
      <c r="AC2943">
        <f t="shared" si="272"/>
        <v>29008.799999999999</v>
      </c>
      <c r="AD2943">
        <f t="shared" si="273"/>
        <v>30</v>
      </c>
      <c r="AE2943">
        <f t="shared" si="274"/>
        <v>6358.8</v>
      </c>
      <c r="AF2943" t="str">
        <f t="shared" si="275"/>
        <v>Paid</v>
      </c>
    </row>
    <row r="2944" spans="1:32" ht="17.25" thickBot="1" x14ac:dyDescent="0.35">
      <c r="A2944" s="2" t="s">
        <v>17341</v>
      </c>
      <c r="B2944" s="2" t="s">
        <v>27</v>
      </c>
      <c r="C2944" s="2" t="s">
        <v>28</v>
      </c>
      <c r="D2944" s="2" t="s">
        <v>97</v>
      </c>
      <c r="E2944" s="2" t="s">
        <v>15863</v>
      </c>
      <c r="F2944" s="2" t="s">
        <v>31</v>
      </c>
      <c r="G2944" s="2" t="s">
        <v>32</v>
      </c>
      <c r="H2944" s="1"/>
      <c r="I2944" s="2" t="s">
        <v>33</v>
      </c>
      <c r="J2944" s="2" t="s">
        <v>34</v>
      </c>
      <c r="K2944" s="2" t="s">
        <v>17342</v>
      </c>
      <c r="L2944" s="2" t="s">
        <v>17343</v>
      </c>
      <c r="M2944" s="2" t="s">
        <v>1686</v>
      </c>
      <c r="N2944" s="2" t="s">
        <v>38</v>
      </c>
      <c r="O2944" s="2" t="s">
        <v>141</v>
      </c>
      <c r="P2944" s="2" t="s">
        <v>12288</v>
      </c>
      <c r="Q2944" s="2" t="s">
        <v>17344</v>
      </c>
      <c r="R2944" s="2" t="s">
        <v>40</v>
      </c>
      <c r="S2944" s="2" t="s">
        <v>17345</v>
      </c>
      <c r="T2944" s="2" t="s">
        <v>14115</v>
      </c>
      <c r="U2944" s="2" t="s">
        <v>14944</v>
      </c>
      <c r="V2944" s="2" t="s">
        <v>17346</v>
      </c>
      <c r="W2944" s="1"/>
      <c r="X2944" s="2" t="s">
        <v>4241</v>
      </c>
      <c r="Y2944" s="2" t="s">
        <v>16303</v>
      </c>
      <c r="AA2944" t="str">
        <f t="shared" si="270"/>
        <v>2025-07</v>
      </c>
      <c r="AB2944" t="str">
        <f t="shared" si="271"/>
        <v/>
      </c>
      <c r="AC2944">
        <f t="shared" si="272"/>
        <v>228444.3</v>
      </c>
      <c r="AD2944">
        <f t="shared" si="273"/>
        <v>30</v>
      </c>
      <c r="AE2944">
        <f t="shared" si="274"/>
        <v>51144.3</v>
      </c>
      <c r="AF2944" t="str">
        <f t="shared" si="275"/>
        <v>Paid</v>
      </c>
    </row>
    <row r="2945" spans="1:32" ht="27.75" thickBot="1" x14ac:dyDescent="0.35">
      <c r="A2945" s="2" t="s">
        <v>17347</v>
      </c>
      <c r="B2945" s="2" t="s">
        <v>27</v>
      </c>
      <c r="C2945" s="2" t="s">
        <v>28</v>
      </c>
      <c r="D2945" s="2" t="s">
        <v>97</v>
      </c>
      <c r="E2945" s="2" t="s">
        <v>15863</v>
      </c>
      <c r="F2945" s="2" t="s">
        <v>31</v>
      </c>
      <c r="G2945" s="2" t="s">
        <v>32</v>
      </c>
      <c r="H2945" s="1"/>
      <c r="I2945" s="2" t="s">
        <v>33</v>
      </c>
      <c r="J2945" s="2" t="s">
        <v>34</v>
      </c>
      <c r="K2945" s="2" t="s">
        <v>17348</v>
      </c>
      <c r="L2945" s="2" t="s">
        <v>17349</v>
      </c>
      <c r="M2945" s="2" t="s">
        <v>1686</v>
      </c>
      <c r="N2945" s="2" t="s">
        <v>38</v>
      </c>
      <c r="O2945" s="2" t="s">
        <v>85</v>
      </c>
      <c r="P2945" s="2" t="s">
        <v>4750</v>
      </c>
      <c r="Q2945" s="2" t="s">
        <v>17350</v>
      </c>
      <c r="R2945" s="2" t="s">
        <v>40</v>
      </c>
      <c r="S2945" s="2" t="s">
        <v>17351</v>
      </c>
      <c r="T2945" s="2" t="s">
        <v>3777</v>
      </c>
      <c r="U2945" s="2" t="s">
        <v>17352</v>
      </c>
      <c r="V2945" s="2" t="s">
        <v>17353</v>
      </c>
      <c r="W2945" s="1"/>
      <c r="X2945" s="2" t="s">
        <v>3681</v>
      </c>
      <c r="Y2945" s="2" t="s">
        <v>16303</v>
      </c>
      <c r="AA2945" t="str">
        <f t="shared" si="270"/>
        <v>2025-07</v>
      </c>
      <c r="AB2945" t="str">
        <f t="shared" si="271"/>
        <v/>
      </c>
      <c r="AC2945">
        <f t="shared" si="272"/>
        <v>96212.52</v>
      </c>
      <c r="AD2945">
        <f t="shared" si="273"/>
        <v>12</v>
      </c>
      <c r="AE2945">
        <f t="shared" si="274"/>
        <v>22028.52</v>
      </c>
      <c r="AF2945" t="str">
        <f t="shared" si="275"/>
        <v>Paid</v>
      </c>
    </row>
    <row r="2946" spans="1:32" ht="27.75" thickBot="1" x14ac:dyDescent="0.35">
      <c r="A2946" s="2" t="s">
        <v>17354</v>
      </c>
      <c r="B2946" s="2" t="s">
        <v>27</v>
      </c>
      <c r="C2946" s="2" t="s">
        <v>28</v>
      </c>
      <c r="D2946" s="2" t="s">
        <v>97</v>
      </c>
      <c r="E2946" s="2" t="s">
        <v>15863</v>
      </c>
      <c r="F2946" s="2" t="s">
        <v>31</v>
      </c>
      <c r="G2946" s="2" t="s">
        <v>32</v>
      </c>
      <c r="H2946" s="1"/>
      <c r="I2946" s="2" t="s">
        <v>33</v>
      </c>
      <c r="J2946" s="2" t="s">
        <v>34</v>
      </c>
      <c r="K2946" s="2" t="s">
        <v>17355</v>
      </c>
      <c r="L2946" s="2" t="s">
        <v>17356</v>
      </c>
      <c r="M2946" s="2" t="s">
        <v>1686</v>
      </c>
      <c r="N2946" s="2" t="s">
        <v>38</v>
      </c>
      <c r="O2946" s="2" t="s">
        <v>141</v>
      </c>
      <c r="P2946" s="2" t="s">
        <v>4750</v>
      </c>
      <c r="Q2946" s="2" t="s">
        <v>16862</v>
      </c>
      <c r="R2946" s="2" t="s">
        <v>40</v>
      </c>
      <c r="S2946" s="2" t="s">
        <v>16863</v>
      </c>
      <c r="T2946" s="2" t="s">
        <v>3777</v>
      </c>
      <c r="U2946" s="2" t="s">
        <v>17357</v>
      </c>
      <c r="V2946" s="2" t="s">
        <v>17358</v>
      </c>
      <c r="W2946" s="1"/>
      <c r="X2946" s="2" t="s">
        <v>3681</v>
      </c>
      <c r="Y2946" s="2" t="s">
        <v>16303</v>
      </c>
      <c r="AA2946" t="str">
        <f t="shared" si="270"/>
        <v>2025-07</v>
      </c>
      <c r="AB2946" t="str">
        <f t="shared" si="271"/>
        <v/>
      </c>
      <c r="AC2946">
        <f t="shared" si="272"/>
        <v>240531.3</v>
      </c>
      <c r="AD2946">
        <f t="shared" si="273"/>
        <v>30</v>
      </c>
      <c r="AE2946">
        <f t="shared" si="274"/>
        <v>55071.3</v>
      </c>
      <c r="AF2946" t="str">
        <f t="shared" si="275"/>
        <v>Paid</v>
      </c>
    </row>
    <row r="2947" spans="1:32" ht="17.25" thickBot="1" x14ac:dyDescent="0.35">
      <c r="A2947" s="2" t="s">
        <v>17359</v>
      </c>
      <c r="B2947" s="2" t="s">
        <v>27</v>
      </c>
      <c r="C2947" s="2" t="s">
        <v>28</v>
      </c>
      <c r="D2947" s="2" t="s">
        <v>97</v>
      </c>
      <c r="E2947" s="2" t="s">
        <v>15863</v>
      </c>
      <c r="F2947" s="2" t="s">
        <v>31</v>
      </c>
      <c r="G2947" s="2" t="s">
        <v>32</v>
      </c>
      <c r="H2947" s="1"/>
      <c r="I2947" s="2" t="s">
        <v>33</v>
      </c>
      <c r="J2947" s="2" t="s">
        <v>34</v>
      </c>
      <c r="K2947" s="2" t="s">
        <v>1695</v>
      </c>
      <c r="L2947" s="2" t="s">
        <v>1696</v>
      </c>
      <c r="M2947" s="2" t="s">
        <v>1686</v>
      </c>
      <c r="N2947" s="2" t="s">
        <v>38</v>
      </c>
      <c r="O2947" s="2" t="s">
        <v>26</v>
      </c>
      <c r="P2947" s="2" t="s">
        <v>3568</v>
      </c>
      <c r="Q2947" s="2" t="s">
        <v>3568</v>
      </c>
      <c r="R2947" s="2" t="s">
        <v>40</v>
      </c>
      <c r="S2947" s="2" t="s">
        <v>17360</v>
      </c>
      <c r="T2947" s="2" t="s">
        <v>40</v>
      </c>
      <c r="U2947" s="2" t="s">
        <v>40</v>
      </c>
      <c r="V2947" s="2" t="s">
        <v>17360</v>
      </c>
      <c r="W2947" s="1"/>
      <c r="X2947" s="2" t="s">
        <v>2155</v>
      </c>
      <c r="Y2947" s="2" t="s">
        <v>16303</v>
      </c>
      <c r="AA2947" t="str">
        <f t="shared" si="270"/>
        <v>2025-07</v>
      </c>
      <c r="AB2947" t="str">
        <f t="shared" si="271"/>
        <v/>
      </c>
      <c r="AC2947">
        <f t="shared" si="272"/>
        <v>4969.1000000000004</v>
      </c>
      <c r="AD2947">
        <f t="shared" si="273"/>
        <v>1</v>
      </c>
      <c r="AE2947">
        <f t="shared" si="274"/>
        <v>4969.1000000000004</v>
      </c>
      <c r="AF2947" t="str">
        <f t="shared" si="275"/>
        <v>Paid</v>
      </c>
    </row>
    <row r="2948" spans="1:32" ht="17.25" thickBot="1" x14ac:dyDescent="0.35">
      <c r="A2948" s="2" t="s">
        <v>17361</v>
      </c>
      <c r="B2948" s="2" t="s">
        <v>27</v>
      </c>
      <c r="C2948" s="2" t="s">
        <v>28</v>
      </c>
      <c r="D2948" s="2" t="s">
        <v>97</v>
      </c>
      <c r="E2948" s="2" t="s">
        <v>15863</v>
      </c>
      <c r="F2948" s="2" t="s">
        <v>31</v>
      </c>
      <c r="G2948" s="2" t="s">
        <v>32</v>
      </c>
      <c r="H2948" s="1"/>
      <c r="I2948" s="2" t="s">
        <v>33</v>
      </c>
      <c r="J2948" s="2" t="s">
        <v>34</v>
      </c>
      <c r="K2948" s="2" t="s">
        <v>8088</v>
      </c>
      <c r="L2948" s="2" t="s">
        <v>8089</v>
      </c>
      <c r="M2948" s="2" t="s">
        <v>1686</v>
      </c>
      <c r="N2948" s="2" t="s">
        <v>38</v>
      </c>
      <c r="O2948" s="2" t="s">
        <v>203</v>
      </c>
      <c r="P2948" s="2" t="s">
        <v>1361</v>
      </c>
      <c r="Q2948" s="2" t="s">
        <v>17362</v>
      </c>
      <c r="R2948" s="2" t="s">
        <v>40</v>
      </c>
      <c r="S2948" s="2" t="s">
        <v>17363</v>
      </c>
      <c r="T2948" s="2" t="s">
        <v>3163</v>
      </c>
      <c r="U2948" s="2" t="s">
        <v>17364</v>
      </c>
      <c r="V2948" s="2" t="s">
        <v>17365</v>
      </c>
      <c r="W2948" s="1"/>
      <c r="X2948" s="2" t="s">
        <v>3138</v>
      </c>
      <c r="Y2948" s="2" t="s">
        <v>16303</v>
      </c>
      <c r="AA2948" t="str">
        <f t="shared" ref="AA2948:AA3011" si="276">LEFT(E2948,7)</f>
        <v>2025-07</v>
      </c>
      <c r="AB2948" t="str">
        <f t="shared" ref="AB2948:AB3011" si="277">IF(AND($AA2948&gt;="2025-01",$AA2948&lt;="2025-06"),"H1_2025",IF(AND($AA2948&gt;="2026-01",$AA2948&lt;="2026-06"),"H1_2026",""))</f>
        <v/>
      </c>
      <c r="AC2948">
        <f t="shared" ref="AC2948:AC3011" si="278">IFERROR(VALUE(SUBSTITUTE(S2948,",","")),0)</f>
        <v>160488.5</v>
      </c>
      <c r="AD2948">
        <f t="shared" ref="AD2948:AD3011" si="279">IFERROR(VALUE(SUBSTITUTE(O2948,",","")),0)</f>
        <v>25</v>
      </c>
      <c r="AE2948">
        <f t="shared" ref="AE2948:AE3011" si="280">IFERROR(VALUE(SUBSTITUTE(V2948,",","")),0)</f>
        <v>35488.5</v>
      </c>
      <c r="AF2948" t="str">
        <f t="shared" ref="AF2948:AF3011" si="281">IF(ISNUMBER(SEARCH("FOC",W2948)),"FOC",IF(ISNUMBER(SEARCH("샘플",W2948)),"Sample","Paid"))</f>
        <v>Paid</v>
      </c>
    </row>
    <row r="2949" spans="1:32" ht="27.75" thickBot="1" x14ac:dyDescent="0.35">
      <c r="A2949" s="2" t="s">
        <v>17366</v>
      </c>
      <c r="B2949" s="2" t="s">
        <v>27</v>
      </c>
      <c r="C2949" s="2" t="s">
        <v>28</v>
      </c>
      <c r="D2949" s="2" t="s">
        <v>97</v>
      </c>
      <c r="E2949" s="2" t="s">
        <v>15863</v>
      </c>
      <c r="F2949" s="2" t="s">
        <v>31</v>
      </c>
      <c r="G2949" s="2" t="s">
        <v>32</v>
      </c>
      <c r="H2949" s="1"/>
      <c r="I2949" s="2" t="s">
        <v>33</v>
      </c>
      <c r="J2949" s="2" t="s">
        <v>34</v>
      </c>
      <c r="K2949" s="2" t="s">
        <v>17367</v>
      </c>
      <c r="L2949" s="2" t="s">
        <v>17368</v>
      </c>
      <c r="M2949" s="2" t="s">
        <v>37</v>
      </c>
      <c r="N2949" s="2" t="s">
        <v>38</v>
      </c>
      <c r="O2949" s="2" t="s">
        <v>141</v>
      </c>
      <c r="P2949" s="2" t="s">
        <v>2182</v>
      </c>
      <c r="Q2949" s="2" t="s">
        <v>17369</v>
      </c>
      <c r="R2949" s="2" t="s">
        <v>40</v>
      </c>
      <c r="S2949" s="2" t="s">
        <v>17370</v>
      </c>
      <c r="T2949" s="2" t="s">
        <v>8903</v>
      </c>
      <c r="U2949" s="2" t="s">
        <v>17371</v>
      </c>
      <c r="V2949" s="2" t="s">
        <v>17372</v>
      </c>
      <c r="W2949" s="1"/>
      <c r="X2949" s="2" t="s">
        <v>6142</v>
      </c>
      <c r="Y2949" s="2" t="s">
        <v>16303</v>
      </c>
      <c r="AA2949" t="str">
        <f t="shared" si="276"/>
        <v>2025-07</v>
      </c>
      <c r="AB2949" t="str">
        <f t="shared" si="277"/>
        <v/>
      </c>
      <c r="AC2949">
        <f t="shared" si="278"/>
        <v>268734.3</v>
      </c>
      <c r="AD2949">
        <f t="shared" si="279"/>
        <v>30</v>
      </c>
      <c r="AE2949">
        <f t="shared" si="280"/>
        <v>103434.3</v>
      </c>
      <c r="AF2949" t="str">
        <f t="shared" si="281"/>
        <v>Paid</v>
      </c>
    </row>
    <row r="2950" spans="1:32" ht="17.25" thickBot="1" x14ac:dyDescent="0.35">
      <c r="A2950" s="2" t="s">
        <v>17373</v>
      </c>
      <c r="B2950" s="2" t="s">
        <v>27</v>
      </c>
      <c r="C2950" s="2" t="s">
        <v>28</v>
      </c>
      <c r="D2950" s="2" t="s">
        <v>97</v>
      </c>
      <c r="E2950" s="2" t="s">
        <v>15863</v>
      </c>
      <c r="F2950" s="2" t="s">
        <v>31</v>
      </c>
      <c r="G2950" s="2" t="s">
        <v>32</v>
      </c>
      <c r="H2950" s="1"/>
      <c r="I2950" s="2" t="s">
        <v>33</v>
      </c>
      <c r="J2950" s="2" t="s">
        <v>34</v>
      </c>
      <c r="K2950" s="2" t="s">
        <v>11711</v>
      </c>
      <c r="L2950" s="2" t="s">
        <v>11712</v>
      </c>
      <c r="M2950" s="2" t="s">
        <v>37</v>
      </c>
      <c r="N2950" s="2" t="s">
        <v>38</v>
      </c>
      <c r="O2950" s="2" t="s">
        <v>141</v>
      </c>
      <c r="P2950" s="2" t="s">
        <v>8506</v>
      </c>
      <c r="Q2950" s="2" t="s">
        <v>16382</v>
      </c>
      <c r="R2950" s="2" t="s">
        <v>40</v>
      </c>
      <c r="S2950" s="2" t="s">
        <v>16383</v>
      </c>
      <c r="T2950" s="2" t="s">
        <v>3855</v>
      </c>
      <c r="U2950" s="2" t="s">
        <v>3335</v>
      </c>
      <c r="V2950" s="2" t="s">
        <v>17374</v>
      </c>
      <c r="W2950" s="1"/>
      <c r="X2950" s="2" t="s">
        <v>1457</v>
      </c>
      <c r="Y2950" s="2" t="s">
        <v>16303</v>
      </c>
      <c r="AA2950" t="str">
        <f t="shared" si="276"/>
        <v>2025-07</v>
      </c>
      <c r="AB2950" t="str">
        <f t="shared" si="277"/>
        <v/>
      </c>
      <c r="AC2950">
        <f t="shared" si="278"/>
        <v>155519.4</v>
      </c>
      <c r="AD2950">
        <f t="shared" si="279"/>
        <v>30</v>
      </c>
      <c r="AE2950">
        <f t="shared" si="280"/>
        <v>38519.4</v>
      </c>
      <c r="AF2950" t="str">
        <f t="shared" si="281"/>
        <v>Paid</v>
      </c>
    </row>
    <row r="2951" spans="1:32" ht="17.25" thickBot="1" x14ac:dyDescent="0.35">
      <c r="A2951" s="2" t="s">
        <v>17375</v>
      </c>
      <c r="B2951" s="2" t="s">
        <v>27</v>
      </c>
      <c r="C2951" s="2" t="s">
        <v>28</v>
      </c>
      <c r="D2951" s="2" t="s">
        <v>97</v>
      </c>
      <c r="E2951" s="2" t="s">
        <v>15863</v>
      </c>
      <c r="F2951" s="2" t="s">
        <v>31</v>
      </c>
      <c r="G2951" s="2" t="s">
        <v>32</v>
      </c>
      <c r="H2951" s="1"/>
      <c r="I2951" s="2" t="s">
        <v>33</v>
      </c>
      <c r="J2951" s="2" t="s">
        <v>34</v>
      </c>
      <c r="K2951" s="2" t="s">
        <v>1140</v>
      </c>
      <c r="L2951" s="2" t="s">
        <v>1141</v>
      </c>
      <c r="M2951" s="2" t="s">
        <v>37</v>
      </c>
      <c r="N2951" s="2" t="s">
        <v>38</v>
      </c>
      <c r="O2951" s="2" t="s">
        <v>141</v>
      </c>
      <c r="P2951" s="2" t="s">
        <v>1970</v>
      </c>
      <c r="Q2951" s="2" t="s">
        <v>16578</v>
      </c>
      <c r="R2951" s="2" t="s">
        <v>40</v>
      </c>
      <c r="S2951" s="2" t="s">
        <v>16579</v>
      </c>
      <c r="T2951" s="2" t="s">
        <v>1364</v>
      </c>
      <c r="U2951" s="2" t="s">
        <v>17376</v>
      </c>
      <c r="V2951" s="2" t="s">
        <v>17377</v>
      </c>
      <c r="W2951" s="1"/>
      <c r="X2951" s="2" t="s">
        <v>1357</v>
      </c>
      <c r="Y2951" s="2" t="s">
        <v>16303</v>
      </c>
      <c r="AA2951" t="str">
        <f t="shared" si="276"/>
        <v>2025-07</v>
      </c>
      <c r="AB2951" t="str">
        <f t="shared" si="277"/>
        <v/>
      </c>
      <c r="AC2951">
        <f t="shared" si="278"/>
        <v>211925.4</v>
      </c>
      <c r="AD2951">
        <f t="shared" si="279"/>
        <v>30</v>
      </c>
      <c r="AE2951">
        <f t="shared" si="280"/>
        <v>54425.4</v>
      </c>
      <c r="AF2951" t="str">
        <f t="shared" si="281"/>
        <v>Paid</v>
      </c>
    </row>
    <row r="2952" spans="1:32" ht="17.25" thickBot="1" x14ac:dyDescent="0.35">
      <c r="A2952" s="2" t="s">
        <v>17378</v>
      </c>
      <c r="B2952" s="2" t="s">
        <v>27</v>
      </c>
      <c r="C2952" s="2" t="s">
        <v>28</v>
      </c>
      <c r="D2952" s="2" t="s">
        <v>97</v>
      </c>
      <c r="E2952" s="2" t="s">
        <v>15863</v>
      </c>
      <c r="F2952" s="2" t="s">
        <v>31</v>
      </c>
      <c r="G2952" s="2" t="s">
        <v>32</v>
      </c>
      <c r="H2952" s="1"/>
      <c r="I2952" s="2" t="s">
        <v>33</v>
      </c>
      <c r="J2952" s="2" t="s">
        <v>34</v>
      </c>
      <c r="K2952" s="2" t="s">
        <v>17379</v>
      </c>
      <c r="L2952" s="2" t="s">
        <v>17380</v>
      </c>
      <c r="M2952" s="2" t="s">
        <v>37</v>
      </c>
      <c r="N2952" s="2" t="s">
        <v>38</v>
      </c>
      <c r="O2952" s="2" t="s">
        <v>280</v>
      </c>
      <c r="P2952" s="2" t="s">
        <v>8619</v>
      </c>
      <c r="Q2952" s="2" t="s">
        <v>17381</v>
      </c>
      <c r="R2952" s="2" t="s">
        <v>40</v>
      </c>
      <c r="S2952" s="2" t="s">
        <v>17382</v>
      </c>
      <c r="T2952" s="2" t="s">
        <v>107</v>
      </c>
      <c r="U2952" s="2" t="s">
        <v>13329</v>
      </c>
      <c r="V2952" s="2" t="s">
        <v>17383</v>
      </c>
      <c r="W2952" s="1"/>
      <c r="X2952" s="2" t="s">
        <v>2020</v>
      </c>
      <c r="Y2952" s="2" t="s">
        <v>16303</v>
      </c>
      <c r="AA2952" t="str">
        <f t="shared" si="276"/>
        <v>2025-07</v>
      </c>
      <c r="AB2952" t="str">
        <f t="shared" si="277"/>
        <v/>
      </c>
      <c r="AC2952">
        <f t="shared" si="278"/>
        <v>264638.15000000002</v>
      </c>
      <c r="AD2952">
        <f t="shared" si="279"/>
        <v>35</v>
      </c>
      <c r="AE2952">
        <f t="shared" si="280"/>
        <v>68638.149999999994</v>
      </c>
      <c r="AF2952" t="str">
        <f t="shared" si="281"/>
        <v>Paid</v>
      </c>
    </row>
    <row r="2953" spans="1:32" ht="27.75" thickBot="1" x14ac:dyDescent="0.35">
      <c r="A2953" s="2" t="s">
        <v>17384</v>
      </c>
      <c r="B2953" s="2" t="s">
        <v>27</v>
      </c>
      <c r="C2953" s="2" t="s">
        <v>28</v>
      </c>
      <c r="D2953" s="2" t="s">
        <v>97</v>
      </c>
      <c r="E2953" s="2" t="s">
        <v>15863</v>
      </c>
      <c r="F2953" s="2" t="s">
        <v>31</v>
      </c>
      <c r="G2953" s="2" t="s">
        <v>32</v>
      </c>
      <c r="H2953" s="1"/>
      <c r="I2953" s="2" t="s">
        <v>33</v>
      </c>
      <c r="J2953" s="2" t="s">
        <v>34</v>
      </c>
      <c r="K2953" s="2" t="s">
        <v>17385</v>
      </c>
      <c r="L2953" s="2" t="s">
        <v>17386</v>
      </c>
      <c r="M2953" s="2" t="s">
        <v>37</v>
      </c>
      <c r="N2953" s="2" t="s">
        <v>38</v>
      </c>
      <c r="O2953" s="2" t="s">
        <v>141</v>
      </c>
      <c r="P2953" s="2" t="s">
        <v>14011</v>
      </c>
      <c r="Q2953" s="2" t="s">
        <v>11197</v>
      </c>
      <c r="R2953" s="2" t="s">
        <v>40</v>
      </c>
      <c r="S2953" s="2" t="s">
        <v>17387</v>
      </c>
      <c r="T2953" s="2" t="s">
        <v>267</v>
      </c>
      <c r="U2953" s="2" t="s">
        <v>3341</v>
      </c>
      <c r="V2953" s="2" t="s">
        <v>17388</v>
      </c>
      <c r="W2953" s="1"/>
      <c r="X2953" s="2" t="s">
        <v>14002</v>
      </c>
      <c r="Y2953" s="2" t="s">
        <v>16303</v>
      </c>
      <c r="AA2953" t="str">
        <f t="shared" si="276"/>
        <v>2025-07</v>
      </c>
      <c r="AB2953" t="str">
        <f t="shared" si="277"/>
        <v/>
      </c>
      <c r="AC2953">
        <f t="shared" si="278"/>
        <v>311038.8</v>
      </c>
      <c r="AD2953">
        <f t="shared" si="279"/>
        <v>30</v>
      </c>
      <c r="AE2953">
        <f t="shared" si="280"/>
        <v>113038.8</v>
      </c>
      <c r="AF2953" t="str">
        <f t="shared" si="281"/>
        <v>Paid</v>
      </c>
    </row>
    <row r="2954" spans="1:32" ht="17.25" thickBot="1" x14ac:dyDescent="0.35">
      <c r="A2954" s="2" t="s">
        <v>17389</v>
      </c>
      <c r="B2954" s="2" t="s">
        <v>27</v>
      </c>
      <c r="C2954" s="2" t="s">
        <v>28</v>
      </c>
      <c r="D2954" s="2" t="s">
        <v>97</v>
      </c>
      <c r="E2954" s="2" t="s">
        <v>15863</v>
      </c>
      <c r="F2954" s="2" t="s">
        <v>31</v>
      </c>
      <c r="G2954" s="2" t="s">
        <v>32</v>
      </c>
      <c r="H2954" s="1"/>
      <c r="I2954" s="2" t="s">
        <v>33</v>
      </c>
      <c r="J2954" s="2" t="s">
        <v>34</v>
      </c>
      <c r="K2954" s="2" t="s">
        <v>9929</v>
      </c>
      <c r="L2954" s="2" t="s">
        <v>9930</v>
      </c>
      <c r="M2954" s="2" t="s">
        <v>37</v>
      </c>
      <c r="N2954" s="2" t="s">
        <v>38</v>
      </c>
      <c r="O2954" s="2" t="s">
        <v>174</v>
      </c>
      <c r="P2954" s="2" t="s">
        <v>5345</v>
      </c>
      <c r="Q2954" s="2" t="s">
        <v>17390</v>
      </c>
      <c r="R2954" s="2" t="s">
        <v>40</v>
      </c>
      <c r="S2954" s="2" t="s">
        <v>17391</v>
      </c>
      <c r="T2954" s="2" t="s">
        <v>8480</v>
      </c>
      <c r="U2954" s="2" t="s">
        <v>16346</v>
      </c>
      <c r="V2954" s="2" t="s">
        <v>17392</v>
      </c>
      <c r="W2954" s="1"/>
      <c r="X2954" s="2" t="s">
        <v>4859</v>
      </c>
      <c r="Y2954" s="2" t="s">
        <v>16303</v>
      </c>
      <c r="AA2954" t="str">
        <f t="shared" si="276"/>
        <v>2025-07</v>
      </c>
      <c r="AB2954" t="str">
        <f t="shared" si="277"/>
        <v/>
      </c>
      <c r="AC2954">
        <f t="shared" si="278"/>
        <v>248777.32</v>
      </c>
      <c r="AD2954">
        <f t="shared" si="279"/>
        <v>22</v>
      </c>
      <c r="AE2954">
        <f t="shared" si="280"/>
        <v>96977.32</v>
      </c>
      <c r="AF2954" t="str">
        <f t="shared" si="281"/>
        <v>Paid</v>
      </c>
    </row>
    <row r="2955" spans="1:32" ht="17.25" thickBot="1" x14ac:dyDescent="0.35">
      <c r="A2955" s="2" t="s">
        <v>17393</v>
      </c>
      <c r="B2955" s="2" t="s">
        <v>27</v>
      </c>
      <c r="C2955" s="2" t="s">
        <v>28</v>
      </c>
      <c r="D2955" s="2" t="s">
        <v>97</v>
      </c>
      <c r="E2955" s="2" t="s">
        <v>15863</v>
      </c>
      <c r="F2955" s="2" t="s">
        <v>31</v>
      </c>
      <c r="G2955" s="2" t="s">
        <v>32</v>
      </c>
      <c r="H2955" s="1"/>
      <c r="I2955" s="2" t="s">
        <v>33</v>
      </c>
      <c r="J2955" s="2" t="s">
        <v>34</v>
      </c>
      <c r="K2955" s="2" t="s">
        <v>5694</v>
      </c>
      <c r="L2955" s="2" t="s">
        <v>5695</v>
      </c>
      <c r="M2955" s="2" t="s">
        <v>37</v>
      </c>
      <c r="N2955" s="2" t="s">
        <v>38</v>
      </c>
      <c r="O2955" s="2" t="s">
        <v>141</v>
      </c>
      <c r="P2955" s="2" t="s">
        <v>2417</v>
      </c>
      <c r="Q2955" s="2" t="s">
        <v>17394</v>
      </c>
      <c r="R2955" s="2" t="s">
        <v>40</v>
      </c>
      <c r="S2955" s="2" t="s">
        <v>17395</v>
      </c>
      <c r="T2955" s="2" t="s">
        <v>1364</v>
      </c>
      <c r="U2955" s="2" t="s">
        <v>17376</v>
      </c>
      <c r="V2955" s="2" t="s">
        <v>17396</v>
      </c>
      <c r="W2955" s="1"/>
      <c r="X2955" s="2" t="s">
        <v>2894</v>
      </c>
      <c r="Y2955" s="2" t="s">
        <v>16303</v>
      </c>
      <c r="AA2955" t="str">
        <f t="shared" si="276"/>
        <v>2025-07</v>
      </c>
      <c r="AB2955" t="str">
        <f t="shared" si="277"/>
        <v/>
      </c>
      <c r="AC2955">
        <f t="shared" si="278"/>
        <v>226026.9</v>
      </c>
      <c r="AD2955">
        <f t="shared" si="279"/>
        <v>30</v>
      </c>
      <c r="AE2955">
        <f t="shared" si="280"/>
        <v>68526.899999999994</v>
      </c>
      <c r="AF2955" t="str">
        <f t="shared" si="281"/>
        <v>Paid</v>
      </c>
    </row>
    <row r="2956" spans="1:32" ht="17.25" thickBot="1" x14ac:dyDescent="0.35">
      <c r="A2956" s="2" t="s">
        <v>17397</v>
      </c>
      <c r="B2956" s="2" t="s">
        <v>27</v>
      </c>
      <c r="C2956" s="2" t="s">
        <v>28</v>
      </c>
      <c r="D2956" s="2" t="s">
        <v>97</v>
      </c>
      <c r="E2956" s="2" t="s">
        <v>15863</v>
      </c>
      <c r="F2956" s="2" t="s">
        <v>31</v>
      </c>
      <c r="G2956" s="2" t="s">
        <v>32</v>
      </c>
      <c r="H2956" s="1"/>
      <c r="I2956" s="2" t="s">
        <v>33</v>
      </c>
      <c r="J2956" s="2" t="s">
        <v>34</v>
      </c>
      <c r="K2956" s="2" t="s">
        <v>1359</v>
      </c>
      <c r="L2956" s="2" t="s">
        <v>1360</v>
      </c>
      <c r="M2956" s="2" t="s">
        <v>84</v>
      </c>
      <c r="N2956" s="2" t="s">
        <v>38</v>
      </c>
      <c r="O2956" s="2" t="s">
        <v>141</v>
      </c>
      <c r="P2956" s="2" t="s">
        <v>16560</v>
      </c>
      <c r="Q2956" s="2" t="s">
        <v>16561</v>
      </c>
      <c r="R2956" s="2" t="s">
        <v>40</v>
      </c>
      <c r="S2956" s="2" t="s">
        <v>16562</v>
      </c>
      <c r="T2956" s="2" t="s">
        <v>1364</v>
      </c>
      <c r="U2956" s="2" t="s">
        <v>17376</v>
      </c>
      <c r="V2956" s="2" t="s">
        <v>17398</v>
      </c>
      <c r="W2956" s="1"/>
      <c r="X2956" s="2" t="s">
        <v>6962</v>
      </c>
      <c r="Y2956" s="2" t="s">
        <v>16303</v>
      </c>
      <c r="AA2956" t="str">
        <f t="shared" si="276"/>
        <v>2025-07</v>
      </c>
      <c r="AB2956" t="str">
        <f t="shared" si="277"/>
        <v/>
      </c>
      <c r="AC2956">
        <f t="shared" si="278"/>
        <v>180499.20000000001</v>
      </c>
      <c r="AD2956">
        <f t="shared" si="279"/>
        <v>30</v>
      </c>
      <c r="AE2956">
        <f t="shared" si="280"/>
        <v>22999.200000000001</v>
      </c>
      <c r="AF2956" t="str">
        <f t="shared" si="281"/>
        <v>Paid</v>
      </c>
    </row>
    <row r="2957" spans="1:32" ht="17.25" thickBot="1" x14ac:dyDescent="0.35">
      <c r="A2957" s="2" t="s">
        <v>17399</v>
      </c>
      <c r="B2957" s="2" t="s">
        <v>27</v>
      </c>
      <c r="C2957" s="2" t="s">
        <v>28</v>
      </c>
      <c r="D2957" s="2" t="s">
        <v>97</v>
      </c>
      <c r="E2957" s="2" t="s">
        <v>15863</v>
      </c>
      <c r="F2957" s="2" t="s">
        <v>31</v>
      </c>
      <c r="G2957" s="2" t="s">
        <v>32</v>
      </c>
      <c r="H2957" s="1"/>
      <c r="I2957" s="2" t="s">
        <v>33</v>
      </c>
      <c r="J2957" s="2" t="s">
        <v>34</v>
      </c>
      <c r="K2957" s="2" t="s">
        <v>1368</v>
      </c>
      <c r="L2957" s="2" t="s">
        <v>1369</v>
      </c>
      <c r="M2957" s="2" t="s">
        <v>84</v>
      </c>
      <c r="N2957" s="2" t="s">
        <v>38</v>
      </c>
      <c r="O2957" s="2" t="s">
        <v>141</v>
      </c>
      <c r="P2957" s="2" t="s">
        <v>16560</v>
      </c>
      <c r="Q2957" s="2" t="s">
        <v>16561</v>
      </c>
      <c r="R2957" s="2" t="s">
        <v>40</v>
      </c>
      <c r="S2957" s="2" t="s">
        <v>16562</v>
      </c>
      <c r="T2957" s="2" t="s">
        <v>2275</v>
      </c>
      <c r="U2957" s="2" t="s">
        <v>3357</v>
      </c>
      <c r="V2957" s="2" t="s">
        <v>17400</v>
      </c>
      <c r="W2957" s="1"/>
      <c r="X2957" s="2" t="s">
        <v>1091</v>
      </c>
      <c r="Y2957" s="2" t="s">
        <v>16303</v>
      </c>
      <c r="AA2957" t="str">
        <f t="shared" si="276"/>
        <v>2025-07</v>
      </c>
      <c r="AB2957" t="str">
        <f t="shared" si="277"/>
        <v/>
      </c>
      <c r="AC2957">
        <f t="shared" si="278"/>
        <v>180499.20000000001</v>
      </c>
      <c r="AD2957">
        <f t="shared" si="279"/>
        <v>30</v>
      </c>
      <c r="AE2957">
        <f t="shared" si="280"/>
        <v>45499.199999999997</v>
      </c>
      <c r="AF2957" t="str">
        <f t="shared" si="281"/>
        <v>Paid</v>
      </c>
    </row>
    <row r="2958" spans="1:32" ht="17.25" thickBot="1" x14ac:dyDescent="0.35">
      <c r="A2958" s="2" t="s">
        <v>17401</v>
      </c>
      <c r="B2958" s="2" t="s">
        <v>27</v>
      </c>
      <c r="C2958" s="2" t="s">
        <v>28</v>
      </c>
      <c r="D2958" s="2" t="s">
        <v>97</v>
      </c>
      <c r="E2958" s="2" t="s">
        <v>15863</v>
      </c>
      <c r="F2958" s="2" t="s">
        <v>31</v>
      </c>
      <c r="G2958" s="2" t="s">
        <v>32</v>
      </c>
      <c r="H2958" s="1"/>
      <c r="I2958" s="2" t="s">
        <v>33</v>
      </c>
      <c r="J2958" s="2" t="s">
        <v>34</v>
      </c>
      <c r="K2958" s="2" t="s">
        <v>5453</v>
      </c>
      <c r="L2958" s="2" t="s">
        <v>5454</v>
      </c>
      <c r="M2958" s="2" t="s">
        <v>84</v>
      </c>
      <c r="N2958" s="2" t="s">
        <v>38</v>
      </c>
      <c r="O2958" s="2" t="s">
        <v>517</v>
      </c>
      <c r="P2958" s="2" t="s">
        <v>402</v>
      </c>
      <c r="Q2958" s="2" t="s">
        <v>17402</v>
      </c>
      <c r="R2958" s="2" t="s">
        <v>40</v>
      </c>
      <c r="S2958" s="2" t="s">
        <v>17403</v>
      </c>
      <c r="T2958" s="2" t="s">
        <v>126</v>
      </c>
      <c r="U2958" s="2" t="s">
        <v>17404</v>
      </c>
      <c r="V2958" s="2" t="s">
        <v>17405</v>
      </c>
      <c r="W2958" s="1"/>
      <c r="X2958" s="2" t="s">
        <v>3818</v>
      </c>
      <c r="Y2958" s="2" t="s">
        <v>16303</v>
      </c>
      <c r="AA2958" t="str">
        <f t="shared" si="276"/>
        <v>2025-07</v>
      </c>
      <c r="AB2958" t="str">
        <f t="shared" si="277"/>
        <v/>
      </c>
      <c r="AC2958">
        <f t="shared" si="278"/>
        <v>1447216.8</v>
      </c>
      <c r="AD2958">
        <f t="shared" si="279"/>
        <v>120</v>
      </c>
      <c r="AE2958">
        <f t="shared" si="280"/>
        <v>691216.8</v>
      </c>
      <c r="AF2958" t="str">
        <f t="shared" si="281"/>
        <v>Paid</v>
      </c>
    </row>
    <row r="2959" spans="1:32" ht="17.25" thickBot="1" x14ac:dyDescent="0.35">
      <c r="A2959" s="2" t="s">
        <v>17406</v>
      </c>
      <c r="B2959" s="2" t="s">
        <v>27</v>
      </c>
      <c r="C2959" s="2" t="s">
        <v>28</v>
      </c>
      <c r="D2959" s="2" t="s">
        <v>97</v>
      </c>
      <c r="E2959" s="2" t="s">
        <v>15863</v>
      </c>
      <c r="F2959" s="2" t="s">
        <v>31</v>
      </c>
      <c r="G2959" s="2" t="s">
        <v>32</v>
      </c>
      <c r="H2959" s="1"/>
      <c r="I2959" s="2" t="s">
        <v>33</v>
      </c>
      <c r="J2959" s="2" t="s">
        <v>34</v>
      </c>
      <c r="K2959" s="2" t="s">
        <v>1420</v>
      </c>
      <c r="L2959" s="2" t="s">
        <v>1421</v>
      </c>
      <c r="M2959" s="2" t="s">
        <v>84</v>
      </c>
      <c r="N2959" s="2" t="s">
        <v>38</v>
      </c>
      <c r="O2959" s="2" t="s">
        <v>877</v>
      </c>
      <c r="P2959" s="2" t="s">
        <v>5084</v>
      </c>
      <c r="Q2959" s="2" t="s">
        <v>17407</v>
      </c>
      <c r="R2959" s="2" t="s">
        <v>40</v>
      </c>
      <c r="S2959" s="2" t="s">
        <v>17408</v>
      </c>
      <c r="T2959" s="2" t="s">
        <v>1424</v>
      </c>
      <c r="U2959" s="2" t="s">
        <v>1347</v>
      </c>
      <c r="V2959" s="2" t="s">
        <v>17409</v>
      </c>
      <c r="W2959" s="1"/>
      <c r="X2959" s="2" t="s">
        <v>5228</v>
      </c>
      <c r="Y2959" s="2" t="s">
        <v>16303</v>
      </c>
      <c r="AA2959" t="str">
        <f t="shared" si="276"/>
        <v>2025-07</v>
      </c>
      <c r="AB2959" t="str">
        <f t="shared" si="277"/>
        <v/>
      </c>
      <c r="AC2959">
        <f t="shared" si="278"/>
        <v>803114</v>
      </c>
      <c r="AD2959">
        <f t="shared" si="279"/>
        <v>100</v>
      </c>
      <c r="AE2959">
        <f t="shared" si="280"/>
        <v>152114</v>
      </c>
      <c r="AF2959" t="str">
        <f t="shared" si="281"/>
        <v>Paid</v>
      </c>
    </row>
    <row r="2960" spans="1:32" ht="17.25" thickBot="1" x14ac:dyDescent="0.35">
      <c r="A2960" s="2" t="s">
        <v>17410</v>
      </c>
      <c r="B2960" s="2" t="s">
        <v>27</v>
      </c>
      <c r="C2960" s="2" t="s">
        <v>28</v>
      </c>
      <c r="D2960" s="2" t="s">
        <v>97</v>
      </c>
      <c r="E2960" s="2" t="s">
        <v>15863</v>
      </c>
      <c r="F2960" s="2" t="s">
        <v>31</v>
      </c>
      <c r="G2960" s="2" t="s">
        <v>32</v>
      </c>
      <c r="H2960" s="1"/>
      <c r="I2960" s="2" t="s">
        <v>33</v>
      </c>
      <c r="J2960" s="2" t="s">
        <v>34</v>
      </c>
      <c r="K2960" s="2" t="s">
        <v>1429</v>
      </c>
      <c r="L2960" s="2" t="s">
        <v>1430</v>
      </c>
      <c r="M2960" s="2" t="s">
        <v>84</v>
      </c>
      <c r="N2960" s="2" t="s">
        <v>38</v>
      </c>
      <c r="O2960" s="2" t="s">
        <v>234</v>
      </c>
      <c r="P2960" s="2" t="s">
        <v>371</v>
      </c>
      <c r="Q2960" s="2" t="s">
        <v>17411</v>
      </c>
      <c r="R2960" s="2" t="s">
        <v>40</v>
      </c>
      <c r="S2960" s="2" t="s">
        <v>17412</v>
      </c>
      <c r="T2960" s="2" t="s">
        <v>1434</v>
      </c>
      <c r="U2960" s="2" t="s">
        <v>15263</v>
      </c>
      <c r="V2960" s="2" t="s">
        <v>17413</v>
      </c>
      <c r="W2960" s="1"/>
      <c r="X2960" s="2" t="s">
        <v>11500</v>
      </c>
      <c r="Y2960" s="2" t="s">
        <v>16303</v>
      </c>
      <c r="AA2960" t="str">
        <f t="shared" si="276"/>
        <v>2025-07</v>
      </c>
      <c r="AB2960" t="str">
        <f t="shared" si="277"/>
        <v/>
      </c>
      <c r="AC2960">
        <f t="shared" si="278"/>
        <v>348965.12</v>
      </c>
      <c r="AD2960">
        <f t="shared" si="279"/>
        <v>29</v>
      </c>
      <c r="AE2960">
        <f t="shared" si="280"/>
        <v>47365.120000000003</v>
      </c>
      <c r="AF2960" t="str">
        <f t="shared" si="281"/>
        <v>Paid</v>
      </c>
    </row>
    <row r="2961" spans="1:32" ht="17.25" thickBot="1" x14ac:dyDescent="0.35">
      <c r="A2961" s="2" t="s">
        <v>17414</v>
      </c>
      <c r="B2961" s="2" t="s">
        <v>27</v>
      </c>
      <c r="C2961" s="2" t="s">
        <v>28</v>
      </c>
      <c r="D2961" s="2" t="s">
        <v>97</v>
      </c>
      <c r="E2961" s="2" t="s">
        <v>15863</v>
      </c>
      <c r="F2961" s="2" t="s">
        <v>31</v>
      </c>
      <c r="G2961" s="2" t="s">
        <v>32</v>
      </c>
      <c r="H2961" s="1"/>
      <c r="I2961" s="2" t="s">
        <v>33</v>
      </c>
      <c r="J2961" s="2" t="s">
        <v>34</v>
      </c>
      <c r="K2961" s="2" t="s">
        <v>1459</v>
      </c>
      <c r="L2961" s="2" t="s">
        <v>1460</v>
      </c>
      <c r="M2961" s="2" t="s">
        <v>84</v>
      </c>
      <c r="N2961" s="2" t="s">
        <v>38</v>
      </c>
      <c r="O2961" s="2" t="s">
        <v>877</v>
      </c>
      <c r="P2961" s="2" t="s">
        <v>195</v>
      </c>
      <c r="Q2961" s="2" t="s">
        <v>17415</v>
      </c>
      <c r="R2961" s="2" t="s">
        <v>40</v>
      </c>
      <c r="S2961" s="2" t="s">
        <v>17416</v>
      </c>
      <c r="T2961" s="2" t="s">
        <v>1417</v>
      </c>
      <c r="U2961" s="2" t="s">
        <v>1418</v>
      </c>
      <c r="V2961" s="2" t="s">
        <v>17417</v>
      </c>
      <c r="W2961" s="1"/>
      <c r="X2961" s="2" t="s">
        <v>2687</v>
      </c>
      <c r="Y2961" s="2" t="s">
        <v>16303</v>
      </c>
      <c r="AA2961" t="str">
        <f t="shared" si="276"/>
        <v>2025-07</v>
      </c>
      <c r="AB2961" t="str">
        <f t="shared" si="277"/>
        <v/>
      </c>
      <c r="AC2961">
        <f t="shared" si="278"/>
        <v>1125434</v>
      </c>
      <c r="AD2961">
        <f t="shared" si="279"/>
        <v>100</v>
      </c>
      <c r="AE2961">
        <f t="shared" si="280"/>
        <v>442434</v>
      </c>
      <c r="AF2961" t="str">
        <f t="shared" si="281"/>
        <v>Paid</v>
      </c>
    </row>
    <row r="2962" spans="1:32" ht="17.25" thickBot="1" x14ac:dyDescent="0.35">
      <c r="A2962" s="2" t="s">
        <v>17418</v>
      </c>
      <c r="B2962" s="2" t="s">
        <v>27</v>
      </c>
      <c r="C2962" s="2" t="s">
        <v>28</v>
      </c>
      <c r="D2962" s="2" t="s">
        <v>97</v>
      </c>
      <c r="E2962" s="2" t="s">
        <v>15863</v>
      </c>
      <c r="F2962" s="2" t="s">
        <v>31</v>
      </c>
      <c r="G2962" s="2" t="s">
        <v>32</v>
      </c>
      <c r="H2962" s="1"/>
      <c r="I2962" s="2" t="s">
        <v>33</v>
      </c>
      <c r="J2962" s="2" t="s">
        <v>34</v>
      </c>
      <c r="K2962" s="2" t="s">
        <v>5517</v>
      </c>
      <c r="L2962" s="2" t="s">
        <v>5518</v>
      </c>
      <c r="M2962" s="2" t="s">
        <v>84</v>
      </c>
      <c r="N2962" s="2" t="s">
        <v>38</v>
      </c>
      <c r="O2962" s="2" t="s">
        <v>141</v>
      </c>
      <c r="P2962" s="2" t="s">
        <v>2066</v>
      </c>
      <c r="Q2962" s="2" t="s">
        <v>16376</v>
      </c>
      <c r="R2962" s="2" t="s">
        <v>40</v>
      </c>
      <c r="S2962" s="2" t="s">
        <v>16377</v>
      </c>
      <c r="T2962" s="2" t="s">
        <v>17419</v>
      </c>
      <c r="U2962" s="2" t="s">
        <v>17420</v>
      </c>
      <c r="V2962" s="2" t="s">
        <v>17421</v>
      </c>
      <c r="W2962" s="1"/>
      <c r="X2962" s="2" t="s">
        <v>17422</v>
      </c>
      <c r="Y2962" s="2" t="s">
        <v>16303</v>
      </c>
      <c r="AA2962" t="str">
        <f t="shared" si="276"/>
        <v>2025-07</v>
      </c>
      <c r="AB2962" t="str">
        <f t="shared" si="277"/>
        <v/>
      </c>
      <c r="AC2962">
        <f t="shared" si="278"/>
        <v>300966.3</v>
      </c>
      <c r="AD2962">
        <f t="shared" si="279"/>
        <v>30</v>
      </c>
      <c r="AE2962">
        <f t="shared" si="280"/>
        <v>130866.3</v>
      </c>
      <c r="AF2962" t="str">
        <f t="shared" si="281"/>
        <v>Paid</v>
      </c>
    </row>
    <row r="2963" spans="1:32" ht="17.25" thickBot="1" x14ac:dyDescent="0.35">
      <c r="A2963" s="2" t="s">
        <v>17423</v>
      </c>
      <c r="B2963" s="2" t="s">
        <v>27</v>
      </c>
      <c r="C2963" s="2" t="s">
        <v>28</v>
      </c>
      <c r="D2963" s="2" t="s">
        <v>97</v>
      </c>
      <c r="E2963" s="2" t="s">
        <v>15863</v>
      </c>
      <c r="F2963" s="2" t="s">
        <v>31</v>
      </c>
      <c r="G2963" s="2" t="s">
        <v>32</v>
      </c>
      <c r="H2963" s="1"/>
      <c r="I2963" s="2" t="s">
        <v>33</v>
      </c>
      <c r="J2963" s="2" t="s">
        <v>34</v>
      </c>
      <c r="K2963" s="2" t="s">
        <v>3186</v>
      </c>
      <c r="L2963" s="2" t="s">
        <v>3187</v>
      </c>
      <c r="M2963" s="2" t="s">
        <v>3160</v>
      </c>
      <c r="N2963" s="2" t="s">
        <v>38</v>
      </c>
      <c r="O2963" s="2" t="s">
        <v>141</v>
      </c>
      <c r="P2963" s="2" t="s">
        <v>17424</v>
      </c>
      <c r="Q2963" s="2" t="s">
        <v>17425</v>
      </c>
      <c r="R2963" s="2" t="s">
        <v>40</v>
      </c>
      <c r="S2963" s="2" t="s">
        <v>17426</v>
      </c>
      <c r="T2963" s="2" t="s">
        <v>17427</v>
      </c>
      <c r="U2963" s="2" t="s">
        <v>17428</v>
      </c>
      <c r="V2963" s="2" t="s">
        <v>17429</v>
      </c>
      <c r="W2963" s="1"/>
      <c r="X2963" s="2" t="s">
        <v>4450</v>
      </c>
      <c r="Y2963" s="2" t="s">
        <v>16303</v>
      </c>
      <c r="AA2963" t="str">
        <f t="shared" si="276"/>
        <v>2025-07</v>
      </c>
      <c r="AB2963" t="str">
        <f t="shared" si="277"/>
        <v/>
      </c>
      <c r="AC2963">
        <f t="shared" si="278"/>
        <v>400079.7</v>
      </c>
      <c r="AD2963">
        <f t="shared" si="279"/>
        <v>30</v>
      </c>
      <c r="AE2963">
        <f t="shared" si="280"/>
        <v>89159.7</v>
      </c>
      <c r="AF2963" t="str">
        <f t="shared" si="281"/>
        <v>Paid</v>
      </c>
    </row>
    <row r="2964" spans="1:32" ht="17.25" thickBot="1" x14ac:dyDescent="0.35">
      <c r="A2964" s="2" t="s">
        <v>17430</v>
      </c>
      <c r="B2964" s="2" t="s">
        <v>27</v>
      </c>
      <c r="C2964" s="2" t="s">
        <v>28</v>
      </c>
      <c r="D2964" s="2" t="s">
        <v>97</v>
      </c>
      <c r="E2964" s="2" t="s">
        <v>15863</v>
      </c>
      <c r="F2964" s="2" t="s">
        <v>31</v>
      </c>
      <c r="G2964" s="2" t="s">
        <v>32</v>
      </c>
      <c r="H2964" s="1"/>
      <c r="I2964" s="2" t="s">
        <v>33</v>
      </c>
      <c r="J2964" s="2" t="s">
        <v>34</v>
      </c>
      <c r="K2964" s="2" t="s">
        <v>8160</v>
      </c>
      <c r="L2964" s="2" t="s">
        <v>8161</v>
      </c>
      <c r="M2964" s="2" t="s">
        <v>3160</v>
      </c>
      <c r="N2964" s="2" t="s">
        <v>38</v>
      </c>
      <c r="O2964" s="2" t="s">
        <v>141</v>
      </c>
      <c r="P2964" s="2" t="s">
        <v>17126</v>
      </c>
      <c r="Q2964" s="2" t="s">
        <v>17431</v>
      </c>
      <c r="R2964" s="2" t="s">
        <v>40</v>
      </c>
      <c r="S2964" s="2" t="s">
        <v>17432</v>
      </c>
      <c r="T2964" s="2" t="s">
        <v>17313</v>
      </c>
      <c r="U2964" s="2" t="s">
        <v>17314</v>
      </c>
      <c r="V2964" s="2" t="s">
        <v>17433</v>
      </c>
      <c r="W2964" s="1"/>
      <c r="X2964" s="2" t="s">
        <v>4241</v>
      </c>
      <c r="Y2964" s="2" t="s">
        <v>16303</v>
      </c>
      <c r="AA2964" t="str">
        <f t="shared" si="276"/>
        <v>2025-07</v>
      </c>
      <c r="AB2964" t="str">
        <f t="shared" si="277"/>
        <v/>
      </c>
      <c r="AC2964">
        <f t="shared" si="278"/>
        <v>319902.59999999998</v>
      </c>
      <c r="AD2964">
        <f t="shared" si="279"/>
        <v>30</v>
      </c>
      <c r="AE2964">
        <f t="shared" si="280"/>
        <v>71712.600000000006</v>
      </c>
      <c r="AF2964" t="str">
        <f t="shared" si="281"/>
        <v>Paid</v>
      </c>
    </row>
    <row r="2965" spans="1:32" ht="17.25" thickBot="1" x14ac:dyDescent="0.35">
      <c r="A2965" s="2" t="s">
        <v>17434</v>
      </c>
      <c r="B2965" s="2" t="s">
        <v>27</v>
      </c>
      <c r="C2965" s="2" t="s">
        <v>28</v>
      </c>
      <c r="D2965" s="2" t="s">
        <v>97</v>
      </c>
      <c r="E2965" s="2" t="s">
        <v>15863</v>
      </c>
      <c r="F2965" s="2" t="s">
        <v>31</v>
      </c>
      <c r="G2965" s="2" t="s">
        <v>32</v>
      </c>
      <c r="H2965" s="1"/>
      <c r="I2965" s="2" t="s">
        <v>33</v>
      </c>
      <c r="J2965" s="2" t="s">
        <v>34</v>
      </c>
      <c r="K2965" s="2" t="s">
        <v>17435</v>
      </c>
      <c r="L2965" s="2" t="s">
        <v>17436</v>
      </c>
      <c r="M2965" s="2" t="s">
        <v>3160</v>
      </c>
      <c r="N2965" s="2" t="s">
        <v>38</v>
      </c>
      <c r="O2965" s="2" t="s">
        <v>234</v>
      </c>
      <c r="P2965" s="2" t="s">
        <v>12836</v>
      </c>
      <c r="Q2965" s="2" t="s">
        <v>17437</v>
      </c>
      <c r="R2965" s="2" t="s">
        <v>40</v>
      </c>
      <c r="S2965" s="2" t="s">
        <v>17438</v>
      </c>
      <c r="T2965" s="2" t="s">
        <v>17439</v>
      </c>
      <c r="U2965" s="2" t="s">
        <v>17440</v>
      </c>
      <c r="V2965" s="2" t="s">
        <v>17441</v>
      </c>
      <c r="W2965" s="1"/>
      <c r="X2965" s="2" t="s">
        <v>1693</v>
      </c>
      <c r="Y2965" s="2" t="s">
        <v>16303</v>
      </c>
      <c r="AA2965" t="str">
        <f t="shared" si="276"/>
        <v>2025-07</v>
      </c>
      <c r="AB2965" t="str">
        <f t="shared" si="277"/>
        <v/>
      </c>
      <c r="AC2965">
        <f t="shared" si="278"/>
        <v>342344.13</v>
      </c>
      <c r="AD2965">
        <f t="shared" si="279"/>
        <v>29</v>
      </c>
      <c r="AE2965">
        <f t="shared" si="280"/>
        <v>57854.13</v>
      </c>
      <c r="AF2965" t="str">
        <f t="shared" si="281"/>
        <v>Paid</v>
      </c>
    </row>
    <row r="2966" spans="1:32" ht="17.25" thickBot="1" x14ac:dyDescent="0.35">
      <c r="A2966" s="2" t="s">
        <v>17442</v>
      </c>
      <c r="B2966" s="2" t="s">
        <v>27</v>
      </c>
      <c r="C2966" s="2" t="s">
        <v>28</v>
      </c>
      <c r="D2966" s="2" t="s">
        <v>97</v>
      </c>
      <c r="E2966" s="2" t="s">
        <v>15863</v>
      </c>
      <c r="F2966" s="2" t="s">
        <v>31</v>
      </c>
      <c r="G2966" s="2" t="s">
        <v>32</v>
      </c>
      <c r="H2966" s="1"/>
      <c r="I2966" s="2" t="s">
        <v>33</v>
      </c>
      <c r="J2966" s="2" t="s">
        <v>34</v>
      </c>
      <c r="K2966" s="2" t="s">
        <v>17443</v>
      </c>
      <c r="L2966" s="2" t="s">
        <v>17444</v>
      </c>
      <c r="M2966" s="2" t="s">
        <v>3198</v>
      </c>
      <c r="N2966" s="2" t="s">
        <v>38</v>
      </c>
      <c r="O2966" s="2" t="s">
        <v>141</v>
      </c>
      <c r="P2966" s="2" t="s">
        <v>2015</v>
      </c>
      <c r="Q2966" s="2" t="s">
        <v>17445</v>
      </c>
      <c r="R2966" s="2" t="s">
        <v>40</v>
      </c>
      <c r="S2966" s="2" t="s">
        <v>17446</v>
      </c>
      <c r="T2966" s="2" t="s">
        <v>3079</v>
      </c>
      <c r="U2966" s="2" t="s">
        <v>7135</v>
      </c>
      <c r="V2966" s="2" t="s">
        <v>17447</v>
      </c>
      <c r="W2966" s="1"/>
      <c r="X2966" s="2" t="s">
        <v>14213</v>
      </c>
      <c r="Y2966" s="2" t="s">
        <v>16303</v>
      </c>
      <c r="AA2966" t="str">
        <f t="shared" si="276"/>
        <v>2025-07</v>
      </c>
      <c r="AB2966" t="str">
        <f t="shared" si="277"/>
        <v/>
      </c>
      <c r="AC2966">
        <f t="shared" si="278"/>
        <v>204673.2</v>
      </c>
      <c r="AD2966">
        <f t="shared" si="279"/>
        <v>30</v>
      </c>
      <c r="AE2966">
        <f t="shared" si="280"/>
        <v>30673.200000000001</v>
      </c>
      <c r="AF2966" t="str">
        <f t="shared" si="281"/>
        <v>Paid</v>
      </c>
    </row>
    <row r="2967" spans="1:32" ht="17.25" thickBot="1" x14ac:dyDescent="0.35">
      <c r="A2967" s="2" t="s">
        <v>17448</v>
      </c>
      <c r="B2967" s="2" t="s">
        <v>27</v>
      </c>
      <c r="C2967" s="2" t="s">
        <v>28</v>
      </c>
      <c r="D2967" s="2" t="s">
        <v>97</v>
      </c>
      <c r="E2967" s="2" t="s">
        <v>15863</v>
      </c>
      <c r="F2967" s="2" t="s">
        <v>31</v>
      </c>
      <c r="G2967" s="2" t="s">
        <v>32</v>
      </c>
      <c r="H2967" s="1"/>
      <c r="I2967" s="2" t="s">
        <v>33</v>
      </c>
      <c r="J2967" s="2" t="s">
        <v>34</v>
      </c>
      <c r="K2967" s="2" t="s">
        <v>17449</v>
      </c>
      <c r="L2967" s="2" t="s">
        <v>17450</v>
      </c>
      <c r="M2967" s="2" t="s">
        <v>3198</v>
      </c>
      <c r="N2967" s="2" t="s">
        <v>38</v>
      </c>
      <c r="O2967" s="2" t="s">
        <v>141</v>
      </c>
      <c r="P2967" s="2" t="s">
        <v>2681</v>
      </c>
      <c r="Q2967" s="2" t="s">
        <v>17451</v>
      </c>
      <c r="R2967" s="2" t="s">
        <v>40</v>
      </c>
      <c r="S2967" s="2" t="s">
        <v>17452</v>
      </c>
      <c r="T2967" s="2" t="s">
        <v>11985</v>
      </c>
      <c r="U2967" s="2" t="s">
        <v>17453</v>
      </c>
      <c r="V2967" s="2" t="s">
        <v>17454</v>
      </c>
      <c r="W2967" s="1"/>
      <c r="X2967" s="2" t="s">
        <v>14213</v>
      </c>
      <c r="Y2967" s="2" t="s">
        <v>16303</v>
      </c>
      <c r="AA2967" t="str">
        <f t="shared" si="276"/>
        <v>2025-07</v>
      </c>
      <c r="AB2967" t="str">
        <f t="shared" si="277"/>
        <v/>
      </c>
      <c r="AC2967">
        <f t="shared" si="278"/>
        <v>255841.5</v>
      </c>
      <c r="AD2967">
        <f t="shared" si="279"/>
        <v>30</v>
      </c>
      <c r="AE2967">
        <f t="shared" si="280"/>
        <v>38341.5</v>
      </c>
      <c r="AF2967" t="str">
        <f t="shared" si="281"/>
        <v>Paid</v>
      </c>
    </row>
    <row r="2968" spans="1:32" ht="27.75" thickBot="1" x14ac:dyDescent="0.35">
      <c r="A2968" s="2" t="s">
        <v>17455</v>
      </c>
      <c r="B2968" s="2" t="s">
        <v>27</v>
      </c>
      <c r="C2968" s="2" t="s">
        <v>28</v>
      </c>
      <c r="D2968" s="2" t="s">
        <v>97</v>
      </c>
      <c r="E2968" s="2" t="s">
        <v>15863</v>
      </c>
      <c r="F2968" s="2" t="s">
        <v>31</v>
      </c>
      <c r="G2968" s="2" t="s">
        <v>32</v>
      </c>
      <c r="H2968" s="1"/>
      <c r="I2968" s="2" t="s">
        <v>33</v>
      </c>
      <c r="J2968" s="2" t="s">
        <v>34</v>
      </c>
      <c r="K2968" s="2" t="s">
        <v>17456</v>
      </c>
      <c r="L2968" s="2" t="s">
        <v>17457</v>
      </c>
      <c r="M2968" s="2" t="s">
        <v>3198</v>
      </c>
      <c r="N2968" s="2" t="s">
        <v>38</v>
      </c>
      <c r="O2968" s="2" t="s">
        <v>141</v>
      </c>
      <c r="P2968" s="2" t="s">
        <v>1744</v>
      </c>
      <c r="Q2968" s="2" t="s">
        <v>17458</v>
      </c>
      <c r="R2968" s="2" t="s">
        <v>40</v>
      </c>
      <c r="S2968" s="2" t="s">
        <v>17459</v>
      </c>
      <c r="T2968" s="2" t="s">
        <v>297</v>
      </c>
      <c r="U2968" s="2" t="s">
        <v>2257</v>
      </c>
      <c r="V2968" s="2" t="s">
        <v>17460</v>
      </c>
      <c r="W2968" s="1"/>
      <c r="X2968" s="2" t="s">
        <v>1332</v>
      </c>
      <c r="Y2968" s="2" t="s">
        <v>16303</v>
      </c>
      <c r="AA2968" t="str">
        <f t="shared" si="276"/>
        <v>2025-07</v>
      </c>
      <c r="AB2968" t="str">
        <f t="shared" si="277"/>
        <v/>
      </c>
      <c r="AC2968">
        <f t="shared" si="278"/>
        <v>327154.8</v>
      </c>
      <c r="AD2968">
        <f t="shared" si="279"/>
        <v>30</v>
      </c>
      <c r="AE2968">
        <f t="shared" si="280"/>
        <v>87154.8</v>
      </c>
      <c r="AF2968" t="str">
        <f t="shared" si="281"/>
        <v>Paid</v>
      </c>
    </row>
    <row r="2969" spans="1:32" ht="17.25" thickBot="1" x14ac:dyDescent="0.35">
      <c r="A2969" s="2" t="s">
        <v>17461</v>
      </c>
      <c r="B2969" s="2" t="s">
        <v>27</v>
      </c>
      <c r="C2969" s="2" t="s">
        <v>28</v>
      </c>
      <c r="D2969" s="2" t="s">
        <v>97</v>
      </c>
      <c r="E2969" s="2" t="s">
        <v>15863</v>
      </c>
      <c r="F2969" s="2" t="s">
        <v>31</v>
      </c>
      <c r="G2969" s="2" t="s">
        <v>32</v>
      </c>
      <c r="H2969" s="1"/>
      <c r="I2969" s="2" t="s">
        <v>33</v>
      </c>
      <c r="J2969" s="2" t="s">
        <v>34</v>
      </c>
      <c r="K2969" s="2" t="s">
        <v>17462</v>
      </c>
      <c r="L2969" s="2" t="s">
        <v>17463</v>
      </c>
      <c r="M2969" s="2" t="s">
        <v>3198</v>
      </c>
      <c r="N2969" s="2" t="s">
        <v>38</v>
      </c>
      <c r="O2969" s="2" t="s">
        <v>234</v>
      </c>
      <c r="P2969" s="2" t="s">
        <v>2848</v>
      </c>
      <c r="Q2969" s="2" t="s">
        <v>17464</v>
      </c>
      <c r="R2969" s="2" t="s">
        <v>40</v>
      </c>
      <c r="S2969" s="2" t="s">
        <v>17465</v>
      </c>
      <c r="T2969" s="2" t="s">
        <v>10034</v>
      </c>
      <c r="U2969" s="2" t="s">
        <v>17466</v>
      </c>
      <c r="V2969" s="2" t="s">
        <v>17467</v>
      </c>
      <c r="W2969" s="1"/>
      <c r="X2969" s="2" t="s">
        <v>1195</v>
      </c>
      <c r="Y2969" s="2" t="s">
        <v>16303</v>
      </c>
      <c r="AA2969" t="str">
        <f t="shared" si="276"/>
        <v>2025-07</v>
      </c>
      <c r="AB2969" t="str">
        <f t="shared" si="277"/>
        <v/>
      </c>
      <c r="AC2969">
        <f t="shared" si="278"/>
        <v>207587.51</v>
      </c>
      <c r="AD2969">
        <f t="shared" si="279"/>
        <v>29</v>
      </c>
      <c r="AE2969">
        <f t="shared" si="280"/>
        <v>30977.51</v>
      </c>
      <c r="AF2969" t="str">
        <f t="shared" si="281"/>
        <v>Paid</v>
      </c>
    </row>
    <row r="2970" spans="1:32" ht="17.25" thickBot="1" x14ac:dyDescent="0.35">
      <c r="A2970" s="2" t="s">
        <v>17468</v>
      </c>
      <c r="B2970" s="2" t="s">
        <v>27</v>
      </c>
      <c r="C2970" s="2" t="s">
        <v>28</v>
      </c>
      <c r="D2970" s="2" t="s">
        <v>97</v>
      </c>
      <c r="E2970" s="2" t="s">
        <v>15863</v>
      </c>
      <c r="F2970" s="2" t="s">
        <v>31</v>
      </c>
      <c r="G2970" s="2" t="s">
        <v>32</v>
      </c>
      <c r="H2970" s="1"/>
      <c r="I2970" s="2" t="s">
        <v>33</v>
      </c>
      <c r="J2970" s="2" t="s">
        <v>34</v>
      </c>
      <c r="K2970" s="2" t="s">
        <v>17469</v>
      </c>
      <c r="L2970" s="2" t="s">
        <v>17470</v>
      </c>
      <c r="M2970" s="2" t="s">
        <v>3198</v>
      </c>
      <c r="N2970" s="2" t="s">
        <v>38</v>
      </c>
      <c r="O2970" s="2" t="s">
        <v>141</v>
      </c>
      <c r="P2970" s="2" t="s">
        <v>3031</v>
      </c>
      <c r="Q2970" s="2" t="s">
        <v>17471</v>
      </c>
      <c r="R2970" s="2" t="s">
        <v>40</v>
      </c>
      <c r="S2970" s="2" t="s">
        <v>17472</v>
      </c>
      <c r="T2970" s="2" t="s">
        <v>8903</v>
      </c>
      <c r="U2970" s="2" t="s">
        <v>17371</v>
      </c>
      <c r="V2970" s="2" t="s">
        <v>17473</v>
      </c>
      <c r="W2970" s="1"/>
      <c r="X2970" s="2" t="s">
        <v>1195</v>
      </c>
      <c r="Y2970" s="2" t="s">
        <v>16303</v>
      </c>
      <c r="AA2970" t="str">
        <f t="shared" si="276"/>
        <v>2025-07</v>
      </c>
      <c r="AB2970" t="str">
        <f t="shared" si="277"/>
        <v/>
      </c>
      <c r="AC2970">
        <f t="shared" si="278"/>
        <v>194197.8</v>
      </c>
      <c r="AD2970">
        <f t="shared" si="279"/>
        <v>30</v>
      </c>
      <c r="AE2970">
        <f t="shared" si="280"/>
        <v>28897.8</v>
      </c>
      <c r="AF2970" t="str">
        <f t="shared" si="281"/>
        <v>Paid</v>
      </c>
    </row>
    <row r="2971" spans="1:32" ht="27.75" thickBot="1" x14ac:dyDescent="0.35">
      <c r="A2971" s="2" t="s">
        <v>17474</v>
      </c>
      <c r="B2971" s="2" t="s">
        <v>27</v>
      </c>
      <c r="C2971" s="2" t="s">
        <v>28</v>
      </c>
      <c r="D2971" s="2" t="s">
        <v>97</v>
      </c>
      <c r="E2971" s="2" t="s">
        <v>15863</v>
      </c>
      <c r="F2971" s="2" t="s">
        <v>31</v>
      </c>
      <c r="G2971" s="2" t="s">
        <v>32</v>
      </c>
      <c r="H2971" s="1"/>
      <c r="I2971" s="2" t="s">
        <v>33</v>
      </c>
      <c r="J2971" s="2" t="s">
        <v>34</v>
      </c>
      <c r="K2971" s="2" t="s">
        <v>8168</v>
      </c>
      <c r="L2971" s="2" t="s">
        <v>8169</v>
      </c>
      <c r="M2971" s="2" t="s">
        <v>1757</v>
      </c>
      <c r="N2971" s="2" t="s">
        <v>38</v>
      </c>
      <c r="O2971" s="2" t="s">
        <v>141</v>
      </c>
      <c r="P2971" s="2" t="s">
        <v>17475</v>
      </c>
      <c r="Q2971" s="2" t="s">
        <v>3395</v>
      </c>
      <c r="R2971" s="2" t="s">
        <v>40</v>
      </c>
      <c r="S2971" s="2" t="s">
        <v>17476</v>
      </c>
      <c r="T2971" s="2" t="s">
        <v>8172</v>
      </c>
      <c r="U2971" s="2" t="s">
        <v>17477</v>
      </c>
      <c r="V2971" s="2" t="s">
        <v>17478</v>
      </c>
      <c r="W2971" s="1"/>
      <c r="X2971" s="2" t="s">
        <v>8198</v>
      </c>
      <c r="Y2971" s="2" t="s">
        <v>16303</v>
      </c>
      <c r="AA2971" t="str">
        <f t="shared" si="276"/>
        <v>2025-07</v>
      </c>
      <c r="AB2971" t="str">
        <f t="shared" si="277"/>
        <v/>
      </c>
      <c r="AC2971">
        <f t="shared" si="278"/>
        <v>207090.6</v>
      </c>
      <c r="AD2971">
        <f t="shared" si="279"/>
        <v>30</v>
      </c>
      <c r="AE2971">
        <f t="shared" si="280"/>
        <v>54360.6</v>
      </c>
      <c r="AF2971" t="str">
        <f t="shared" si="281"/>
        <v>Paid</v>
      </c>
    </row>
    <row r="2972" spans="1:32" ht="17.25" thickBot="1" x14ac:dyDescent="0.35">
      <c r="A2972" s="2" t="s">
        <v>17479</v>
      </c>
      <c r="B2972" s="2" t="s">
        <v>27</v>
      </c>
      <c r="C2972" s="2" t="s">
        <v>28</v>
      </c>
      <c r="D2972" s="2" t="s">
        <v>97</v>
      </c>
      <c r="E2972" s="2" t="s">
        <v>15863</v>
      </c>
      <c r="F2972" s="2" t="s">
        <v>31</v>
      </c>
      <c r="G2972" s="2" t="s">
        <v>32</v>
      </c>
      <c r="H2972" s="1"/>
      <c r="I2972" s="2" t="s">
        <v>33</v>
      </c>
      <c r="J2972" s="2" t="s">
        <v>34</v>
      </c>
      <c r="K2972" s="2" t="s">
        <v>17480</v>
      </c>
      <c r="L2972" s="2" t="s">
        <v>17481</v>
      </c>
      <c r="M2972" s="2" t="s">
        <v>17482</v>
      </c>
      <c r="N2972" s="2" t="s">
        <v>38</v>
      </c>
      <c r="O2972" s="2" t="s">
        <v>141</v>
      </c>
      <c r="P2972" s="2" t="s">
        <v>13233</v>
      </c>
      <c r="Q2972" s="2" t="s">
        <v>17483</v>
      </c>
      <c r="R2972" s="2" t="s">
        <v>40</v>
      </c>
      <c r="S2972" s="2" t="s">
        <v>17484</v>
      </c>
      <c r="T2972" s="2" t="s">
        <v>17485</v>
      </c>
      <c r="U2972" s="2" t="s">
        <v>17486</v>
      </c>
      <c r="V2972" s="2" t="s">
        <v>17487</v>
      </c>
      <c r="W2972" s="1"/>
      <c r="X2972" s="2" t="s">
        <v>17488</v>
      </c>
      <c r="Y2972" s="2" t="s">
        <v>16303</v>
      </c>
      <c r="AA2972" t="str">
        <f t="shared" si="276"/>
        <v>2025-07</v>
      </c>
      <c r="AB2972" t="str">
        <f t="shared" si="277"/>
        <v/>
      </c>
      <c r="AC2972">
        <f t="shared" si="278"/>
        <v>203061.6</v>
      </c>
      <c r="AD2972">
        <f t="shared" si="279"/>
        <v>30</v>
      </c>
      <c r="AE2972">
        <f t="shared" si="280"/>
        <v>104871.6</v>
      </c>
      <c r="AF2972" t="str">
        <f t="shared" si="281"/>
        <v>Paid</v>
      </c>
    </row>
    <row r="2973" spans="1:32" ht="17.25" thickBot="1" x14ac:dyDescent="0.35">
      <c r="A2973" s="2" t="s">
        <v>17489</v>
      </c>
      <c r="B2973" s="2" t="s">
        <v>27</v>
      </c>
      <c r="C2973" s="2" t="s">
        <v>28</v>
      </c>
      <c r="D2973" s="2" t="s">
        <v>97</v>
      </c>
      <c r="E2973" s="2" t="s">
        <v>15863</v>
      </c>
      <c r="F2973" s="2" t="s">
        <v>31</v>
      </c>
      <c r="G2973" s="2" t="s">
        <v>32</v>
      </c>
      <c r="H2973" s="1"/>
      <c r="I2973" s="2" t="s">
        <v>33</v>
      </c>
      <c r="J2973" s="2" t="s">
        <v>34</v>
      </c>
      <c r="K2973" s="2" t="s">
        <v>17490</v>
      </c>
      <c r="L2973" s="2" t="s">
        <v>17491</v>
      </c>
      <c r="M2973" s="2" t="s">
        <v>17482</v>
      </c>
      <c r="N2973" s="2" t="s">
        <v>38</v>
      </c>
      <c r="O2973" s="2" t="s">
        <v>44</v>
      </c>
      <c r="P2973" s="2" t="s">
        <v>9302</v>
      </c>
      <c r="Q2973" s="2" t="s">
        <v>17492</v>
      </c>
      <c r="R2973" s="2" t="s">
        <v>40</v>
      </c>
      <c r="S2973" s="2" t="s">
        <v>17493</v>
      </c>
      <c r="T2973" s="2" t="s">
        <v>17494</v>
      </c>
      <c r="U2973" s="2" t="s">
        <v>17427</v>
      </c>
      <c r="V2973" s="2" t="s">
        <v>17495</v>
      </c>
      <c r="W2973" s="1"/>
      <c r="X2973" s="2" t="s">
        <v>934</v>
      </c>
      <c r="Y2973" s="2" t="s">
        <v>16303</v>
      </c>
      <c r="AA2973" t="str">
        <f t="shared" si="276"/>
        <v>2025-07</v>
      </c>
      <c r="AB2973" t="str">
        <f t="shared" si="277"/>
        <v/>
      </c>
      <c r="AC2973">
        <f t="shared" si="278"/>
        <v>13725.46</v>
      </c>
      <c r="AD2973">
        <f t="shared" si="279"/>
        <v>2</v>
      </c>
      <c r="AE2973">
        <f t="shared" si="280"/>
        <v>3361.46</v>
      </c>
      <c r="AF2973" t="str">
        <f t="shared" si="281"/>
        <v>Paid</v>
      </c>
    </row>
    <row r="2974" spans="1:32" ht="17.25" thickBot="1" x14ac:dyDescent="0.35">
      <c r="A2974" s="2" t="s">
        <v>17496</v>
      </c>
      <c r="B2974" s="2" t="s">
        <v>27</v>
      </c>
      <c r="C2974" s="2" t="s">
        <v>28</v>
      </c>
      <c r="D2974" s="2" t="s">
        <v>97</v>
      </c>
      <c r="E2974" s="2" t="s">
        <v>15863</v>
      </c>
      <c r="F2974" s="2" t="s">
        <v>31</v>
      </c>
      <c r="G2974" s="2" t="s">
        <v>32</v>
      </c>
      <c r="H2974" s="1"/>
      <c r="I2974" s="2" t="s">
        <v>33</v>
      </c>
      <c r="J2974" s="2" t="s">
        <v>34</v>
      </c>
      <c r="K2974" s="2" t="s">
        <v>17490</v>
      </c>
      <c r="L2974" s="2" t="s">
        <v>17491</v>
      </c>
      <c r="M2974" s="2" t="s">
        <v>17482</v>
      </c>
      <c r="N2974" s="2" t="s">
        <v>38</v>
      </c>
      <c r="O2974" s="2" t="s">
        <v>49</v>
      </c>
      <c r="P2974" s="2" t="s">
        <v>9302</v>
      </c>
      <c r="Q2974" s="2" t="s">
        <v>17497</v>
      </c>
      <c r="R2974" s="2" t="s">
        <v>40</v>
      </c>
      <c r="S2974" s="2" t="s">
        <v>17498</v>
      </c>
      <c r="T2974" s="2" t="s">
        <v>17494</v>
      </c>
      <c r="U2974" s="2" t="s">
        <v>17499</v>
      </c>
      <c r="V2974" s="2" t="s">
        <v>17500</v>
      </c>
      <c r="W2974" s="1"/>
      <c r="X2974" s="2" t="s">
        <v>934</v>
      </c>
      <c r="Y2974" s="2" t="s">
        <v>16303</v>
      </c>
      <c r="AA2974" t="str">
        <f t="shared" si="276"/>
        <v>2025-07</v>
      </c>
      <c r="AB2974" t="str">
        <f t="shared" si="277"/>
        <v/>
      </c>
      <c r="AC2974">
        <f t="shared" si="278"/>
        <v>75490.03</v>
      </c>
      <c r="AD2974">
        <f t="shared" si="279"/>
        <v>11</v>
      </c>
      <c r="AE2974">
        <f t="shared" si="280"/>
        <v>18488.03</v>
      </c>
      <c r="AF2974" t="str">
        <f t="shared" si="281"/>
        <v>Paid</v>
      </c>
    </row>
    <row r="2975" spans="1:32" ht="17.25" thickBot="1" x14ac:dyDescent="0.35">
      <c r="A2975" s="2" t="s">
        <v>17501</v>
      </c>
      <c r="B2975" s="2" t="s">
        <v>27</v>
      </c>
      <c r="C2975" s="2" t="s">
        <v>28</v>
      </c>
      <c r="D2975" s="2" t="s">
        <v>97</v>
      </c>
      <c r="E2975" s="2" t="s">
        <v>15863</v>
      </c>
      <c r="F2975" s="2" t="s">
        <v>31</v>
      </c>
      <c r="G2975" s="2" t="s">
        <v>32</v>
      </c>
      <c r="H2975" s="1"/>
      <c r="I2975" s="2" t="s">
        <v>33</v>
      </c>
      <c r="J2975" s="2" t="s">
        <v>34</v>
      </c>
      <c r="K2975" s="2" t="s">
        <v>17502</v>
      </c>
      <c r="L2975" s="2" t="s">
        <v>17503</v>
      </c>
      <c r="M2975" s="2" t="s">
        <v>17482</v>
      </c>
      <c r="N2975" s="2" t="s">
        <v>38</v>
      </c>
      <c r="O2975" s="2" t="s">
        <v>141</v>
      </c>
      <c r="P2975" s="2" t="s">
        <v>17504</v>
      </c>
      <c r="Q2975" s="2" t="s">
        <v>17505</v>
      </c>
      <c r="R2975" s="2" t="s">
        <v>40</v>
      </c>
      <c r="S2975" s="2" t="s">
        <v>17506</v>
      </c>
      <c r="T2975" s="2" t="s">
        <v>17507</v>
      </c>
      <c r="U2975" s="2" t="s">
        <v>17508</v>
      </c>
      <c r="V2975" s="2" t="s">
        <v>17509</v>
      </c>
      <c r="W2975" s="1"/>
      <c r="X2975" s="2" t="s">
        <v>17510</v>
      </c>
      <c r="Y2975" s="2" t="s">
        <v>16303</v>
      </c>
      <c r="AA2975" t="str">
        <f t="shared" si="276"/>
        <v>2025-07</v>
      </c>
      <c r="AB2975" t="str">
        <f t="shared" si="277"/>
        <v/>
      </c>
      <c r="AC2975">
        <f t="shared" si="278"/>
        <v>308621.40000000002</v>
      </c>
      <c r="AD2975">
        <f t="shared" si="279"/>
        <v>30</v>
      </c>
      <c r="AE2975">
        <f t="shared" si="280"/>
        <v>166781.4</v>
      </c>
      <c r="AF2975" t="str">
        <f t="shared" si="281"/>
        <v>Paid</v>
      </c>
    </row>
    <row r="2976" spans="1:32" ht="27.75" thickBot="1" x14ac:dyDescent="0.35">
      <c r="A2976" s="2" t="s">
        <v>17511</v>
      </c>
      <c r="B2976" s="2" t="s">
        <v>27</v>
      </c>
      <c r="C2976" s="2" t="s">
        <v>28</v>
      </c>
      <c r="D2976" s="2" t="s">
        <v>97</v>
      </c>
      <c r="E2976" s="2" t="s">
        <v>15863</v>
      </c>
      <c r="F2976" s="2" t="s">
        <v>31</v>
      </c>
      <c r="G2976" s="2" t="s">
        <v>32</v>
      </c>
      <c r="H2976" s="1"/>
      <c r="I2976" s="2" t="s">
        <v>33</v>
      </c>
      <c r="J2976" s="2" t="s">
        <v>34</v>
      </c>
      <c r="K2976" s="2" t="s">
        <v>17512</v>
      </c>
      <c r="L2976" s="2" t="s">
        <v>17513</v>
      </c>
      <c r="M2976" s="2" t="s">
        <v>17482</v>
      </c>
      <c r="N2976" s="2" t="s">
        <v>38</v>
      </c>
      <c r="O2976" s="2" t="s">
        <v>141</v>
      </c>
      <c r="P2976" s="2" t="s">
        <v>17189</v>
      </c>
      <c r="Q2976" s="2" t="s">
        <v>17190</v>
      </c>
      <c r="R2976" s="2" t="s">
        <v>40</v>
      </c>
      <c r="S2976" s="2" t="s">
        <v>17191</v>
      </c>
      <c r="T2976" s="2" t="s">
        <v>3110</v>
      </c>
      <c r="U2976" s="2" t="s">
        <v>3024</v>
      </c>
      <c r="V2976" s="2" t="s">
        <v>17514</v>
      </c>
      <c r="W2976" s="1"/>
      <c r="X2976" s="2" t="s">
        <v>4853</v>
      </c>
      <c r="Y2976" s="2" t="s">
        <v>16303</v>
      </c>
      <c r="AA2976" t="str">
        <f t="shared" si="276"/>
        <v>2025-07</v>
      </c>
      <c r="AB2976" t="str">
        <f t="shared" si="277"/>
        <v/>
      </c>
      <c r="AC2976">
        <f t="shared" si="278"/>
        <v>227235.6</v>
      </c>
      <c r="AD2976">
        <f t="shared" si="279"/>
        <v>30</v>
      </c>
      <c r="AE2976">
        <f t="shared" si="280"/>
        <v>107235.6</v>
      </c>
      <c r="AF2976" t="str">
        <f t="shared" si="281"/>
        <v>Paid</v>
      </c>
    </row>
    <row r="2977" spans="1:32" ht="17.25" thickBot="1" x14ac:dyDescent="0.35">
      <c r="A2977" s="2" t="s">
        <v>17515</v>
      </c>
      <c r="B2977" s="2" t="s">
        <v>27</v>
      </c>
      <c r="C2977" s="2" t="s">
        <v>28</v>
      </c>
      <c r="D2977" s="2" t="s">
        <v>97</v>
      </c>
      <c r="E2977" s="2" t="s">
        <v>15863</v>
      </c>
      <c r="F2977" s="2" t="s">
        <v>31</v>
      </c>
      <c r="G2977" s="2" t="s">
        <v>32</v>
      </c>
      <c r="H2977" s="1"/>
      <c r="I2977" s="2" t="s">
        <v>33</v>
      </c>
      <c r="J2977" s="2" t="s">
        <v>34</v>
      </c>
      <c r="K2977" s="2" t="s">
        <v>15720</v>
      </c>
      <c r="L2977" s="2" t="s">
        <v>15721</v>
      </c>
      <c r="M2977" s="2" t="s">
        <v>15681</v>
      </c>
      <c r="N2977" s="2" t="s">
        <v>38</v>
      </c>
      <c r="O2977" s="2" t="s">
        <v>166</v>
      </c>
      <c r="P2977" s="2" t="s">
        <v>17516</v>
      </c>
      <c r="Q2977" s="2" t="s">
        <v>17517</v>
      </c>
      <c r="R2977" s="2" t="s">
        <v>40</v>
      </c>
      <c r="S2977" s="2" t="s">
        <v>17518</v>
      </c>
      <c r="T2977" s="2" t="s">
        <v>15725</v>
      </c>
      <c r="U2977" s="2" t="s">
        <v>17519</v>
      </c>
      <c r="V2977" s="2" t="s">
        <v>17520</v>
      </c>
      <c r="W2977" s="1"/>
      <c r="X2977" s="2" t="s">
        <v>955</v>
      </c>
      <c r="Y2977" s="2" t="s">
        <v>16303</v>
      </c>
      <c r="AA2977" t="str">
        <f t="shared" si="276"/>
        <v>2025-07</v>
      </c>
      <c r="AB2977" t="str">
        <f t="shared" si="277"/>
        <v/>
      </c>
      <c r="AC2977">
        <f t="shared" si="278"/>
        <v>289926.84000000003</v>
      </c>
      <c r="AD2977">
        <f t="shared" si="279"/>
        <v>21</v>
      </c>
      <c r="AE2977">
        <f t="shared" si="280"/>
        <v>68271.839999999997</v>
      </c>
      <c r="AF2977" t="str">
        <f t="shared" si="281"/>
        <v>Paid</v>
      </c>
    </row>
    <row r="2978" spans="1:32" ht="17.25" thickBot="1" x14ac:dyDescent="0.35">
      <c r="A2978" s="2" t="s">
        <v>17521</v>
      </c>
      <c r="B2978" s="2" t="s">
        <v>27</v>
      </c>
      <c r="C2978" s="2" t="s">
        <v>28</v>
      </c>
      <c r="D2978" s="2" t="s">
        <v>97</v>
      </c>
      <c r="E2978" s="2" t="s">
        <v>15863</v>
      </c>
      <c r="F2978" s="2" t="s">
        <v>31</v>
      </c>
      <c r="G2978" s="2" t="s">
        <v>32</v>
      </c>
      <c r="H2978" s="1"/>
      <c r="I2978" s="2" t="s">
        <v>33</v>
      </c>
      <c r="J2978" s="2" t="s">
        <v>34</v>
      </c>
      <c r="K2978" s="2" t="s">
        <v>15729</v>
      </c>
      <c r="L2978" s="2" t="s">
        <v>15730</v>
      </c>
      <c r="M2978" s="2" t="s">
        <v>15681</v>
      </c>
      <c r="N2978" s="2" t="s">
        <v>38</v>
      </c>
      <c r="O2978" s="2" t="s">
        <v>141</v>
      </c>
      <c r="P2978" s="2" t="s">
        <v>1250</v>
      </c>
      <c r="Q2978" s="2" t="s">
        <v>17522</v>
      </c>
      <c r="R2978" s="2" t="s">
        <v>40</v>
      </c>
      <c r="S2978" s="2" t="s">
        <v>17523</v>
      </c>
      <c r="T2978" s="2" t="s">
        <v>15733</v>
      </c>
      <c r="U2978" s="2" t="s">
        <v>15734</v>
      </c>
      <c r="V2978" s="2" t="s">
        <v>17524</v>
      </c>
      <c r="W2978" s="1"/>
      <c r="X2978" s="2" t="s">
        <v>4350</v>
      </c>
      <c r="Y2978" s="2" t="s">
        <v>16303</v>
      </c>
      <c r="AA2978" t="str">
        <f t="shared" si="276"/>
        <v>2025-07</v>
      </c>
      <c r="AB2978" t="str">
        <f t="shared" si="277"/>
        <v/>
      </c>
      <c r="AC2978">
        <f t="shared" si="278"/>
        <v>45930.6</v>
      </c>
      <c r="AD2978">
        <f t="shared" si="279"/>
        <v>30</v>
      </c>
      <c r="AE2978">
        <f t="shared" si="280"/>
        <v>10740.6</v>
      </c>
      <c r="AF2978" t="str">
        <f t="shared" si="281"/>
        <v>Paid</v>
      </c>
    </row>
    <row r="2979" spans="1:32" ht="17.25" thickBot="1" x14ac:dyDescent="0.35">
      <c r="A2979" s="2" t="s">
        <v>17525</v>
      </c>
      <c r="B2979" s="2" t="s">
        <v>27</v>
      </c>
      <c r="C2979" s="2" t="s">
        <v>28</v>
      </c>
      <c r="D2979" s="2" t="s">
        <v>97</v>
      </c>
      <c r="E2979" s="2" t="s">
        <v>15863</v>
      </c>
      <c r="F2979" s="2" t="s">
        <v>31</v>
      </c>
      <c r="G2979" s="2" t="s">
        <v>32</v>
      </c>
      <c r="H2979" s="1"/>
      <c r="I2979" s="2" t="s">
        <v>33</v>
      </c>
      <c r="J2979" s="2" t="s">
        <v>34</v>
      </c>
      <c r="K2979" s="2" t="s">
        <v>15737</v>
      </c>
      <c r="L2979" s="2" t="s">
        <v>15738</v>
      </c>
      <c r="M2979" s="2" t="s">
        <v>15681</v>
      </c>
      <c r="N2979" s="2" t="s">
        <v>38</v>
      </c>
      <c r="O2979" s="2" t="s">
        <v>141</v>
      </c>
      <c r="P2979" s="2" t="s">
        <v>17516</v>
      </c>
      <c r="Q2979" s="2" t="s">
        <v>17526</v>
      </c>
      <c r="R2979" s="2" t="s">
        <v>40</v>
      </c>
      <c r="S2979" s="2" t="s">
        <v>17527</v>
      </c>
      <c r="T2979" s="2" t="s">
        <v>15725</v>
      </c>
      <c r="U2979" s="2" t="s">
        <v>15726</v>
      </c>
      <c r="V2979" s="2" t="s">
        <v>17528</v>
      </c>
      <c r="W2979" s="1"/>
      <c r="X2979" s="2" t="s">
        <v>955</v>
      </c>
      <c r="Y2979" s="2" t="s">
        <v>16303</v>
      </c>
      <c r="AA2979" t="str">
        <f t="shared" si="276"/>
        <v>2025-07</v>
      </c>
      <c r="AB2979" t="str">
        <f t="shared" si="277"/>
        <v/>
      </c>
      <c r="AC2979">
        <f t="shared" si="278"/>
        <v>414181.2</v>
      </c>
      <c r="AD2979">
        <f t="shared" si="279"/>
        <v>30</v>
      </c>
      <c r="AE2979">
        <f t="shared" si="280"/>
        <v>97531.199999999997</v>
      </c>
      <c r="AF2979" t="str">
        <f t="shared" si="281"/>
        <v>Paid</v>
      </c>
    </row>
    <row r="2980" spans="1:32" ht="17.25" thickBot="1" x14ac:dyDescent="0.35">
      <c r="A2980" s="2" t="s">
        <v>17529</v>
      </c>
      <c r="B2980" s="2" t="s">
        <v>27</v>
      </c>
      <c r="C2980" s="2" t="s">
        <v>28</v>
      </c>
      <c r="D2980" s="2" t="s">
        <v>97</v>
      </c>
      <c r="E2980" s="2" t="s">
        <v>15863</v>
      </c>
      <c r="F2980" s="2" t="s">
        <v>31</v>
      </c>
      <c r="G2980" s="2" t="s">
        <v>32</v>
      </c>
      <c r="H2980" s="1"/>
      <c r="I2980" s="2" t="s">
        <v>33</v>
      </c>
      <c r="J2980" s="2" t="s">
        <v>34</v>
      </c>
      <c r="K2980" s="2" t="s">
        <v>15740</v>
      </c>
      <c r="L2980" s="2" t="s">
        <v>15741</v>
      </c>
      <c r="M2980" s="2" t="s">
        <v>15681</v>
      </c>
      <c r="N2980" s="2" t="s">
        <v>38</v>
      </c>
      <c r="O2980" s="2" t="s">
        <v>141</v>
      </c>
      <c r="P2980" s="2" t="s">
        <v>17516</v>
      </c>
      <c r="Q2980" s="2" t="s">
        <v>17526</v>
      </c>
      <c r="R2980" s="2" t="s">
        <v>40</v>
      </c>
      <c r="S2980" s="2" t="s">
        <v>17527</v>
      </c>
      <c r="T2980" s="2" t="s">
        <v>15725</v>
      </c>
      <c r="U2980" s="2" t="s">
        <v>15726</v>
      </c>
      <c r="V2980" s="2" t="s">
        <v>17528</v>
      </c>
      <c r="W2980" s="1"/>
      <c r="X2980" s="2" t="s">
        <v>955</v>
      </c>
      <c r="Y2980" s="2" t="s">
        <v>16303</v>
      </c>
      <c r="AA2980" t="str">
        <f t="shared" si="276"/>
        <v>2025-07</v>
      </c>
      <c r="AB2980" t="str">
        <f t="shared" si="277"/>
        <v/>
      </c>
      <c r="AC2980">
        <f t="shared" si="278"/>
        <v>414181.2</v>
      </c>
      <c r="AD2980">
        <f t="shared" si="279"/>
        <v>30</v>
      </c>
      <c r="AE2980">
        <f t="shared" si="280"/>
        <v>97531.199999999997</v>
      </c>
      <c r="AF2980" t="str">
        <f t="shared" si="281"/>
        <v>Paid</v>
      </c>
    </row>
    <row r="2981" spans="1:32" ht="17.25" thickBot="1" x14ac:dyDescent="0.35">
      <c r="A2981" s="2" t="s">
        <v>17530</v>
      </c>
      <c r="B2981" s="2" t="s">
        <v>27</v>
      </c>
      <c r="C2981" s="2" t="s">
        <v>28</v>
      </c>
      <c r="D2981" s="2" t="s">
        <v>97</v>
      </c>
      <c r="E2981" s="2" t="s">
        <v>15863</v>
      </c>
      <c r="F2981" s="2" t="s">
        <v>31</v>
      </c>
      <c r="G2981" s="2" t="s">
        <v>32</v>
      </c>
      <c r="H2981" s="1"/>
      <c r="I2981" s="2" t="s">
        <v>33</v>
      </c>
      <c r="J2981" s="2" t="s">
        <v>34</v>
      </c>
      <c r="K2981" s="2" t="s">
        <v>15761</v>
      </c>
      <c r="L2981" s="2" t="s">
        <v>15762</v>
      </c>
      <c r="M2981" s="2" t="s">
        <v>15681</v>
      </c>
      <c r="N2981" s="2" t="s">
        <v>38</v>
      </c>
      <c r="O2981" s="2" t="s">
        <v>141</v>
      </c>
      <c r="P2981" s="2" t="s">
        <v>17531</v>
      </c>
      <c r="Q2981" s="2" t="s">
        <v>17532</v>
      </c>
      <c r="R2981" s="2" t="s">
        <v>40</v>
      </c>
      <c r="S2981" s="2" t="s">
        <v>17533</v>
      </c>
      <c r="T2981" s="2" t="s">
        <v>15757</v>
      </c>
      <c r="U2981" s="2" t="s">
        <v>15758</v>
      </c>
      <c r="V2981" s="2" t="s">
        <v>17534</v>
      </c>
      <c r="W2981" s="1"/>
      <c r="X2981" s="2" t="s">
        <v>1082</v>
      </c>
      <c r="Y2981" s="2" t="s">
        <v>16303</v>
      </c>
      <c r="AA2981" t="str">
        <f t="shared" si="276"/>
        <v>2025-07</v>
      </c>
      <c r="AB2981" t="str">
        <f t="shared" si="277"/>
        <v/>
      </c>
      <c r="AC2981">
        <f t="shared" si="278"/>
        <v>398871</v>
      </c>
      <c r="AD2981">
        <f t="shared" si="279"/>
        <v>30</v>
      </c>
      <c r="AE2981">
        <f t="shared" si="280"/>
        <v>93951</v>
      </c>
      <c r="AF2981" t="str">
        <f t="shared" si="281"/>
        <v>Paid</v>
      </c>
    </row>
    <row r="2982" spans="1:32" ht="17.25" thickBot="1" x14ac:dyDescent="0.35">
      <c r="A2982" s="2" t="s">
        <v>17535</v>
      </c>
      <c r="B2982" s="2" t="s">
        <v>27</v>
      </c>
      <c r="C2982" s="2" t="s">
        <v>28</v>
      </c>
      <c r="D2982" s="2" t="s">
        <v>97</v>
      </c>
      <c r="E2982" s="2" t="s">
        <v>15863</v>
      </c>
      <c r="F2982" s="2" t="s">
        <v>31</v>
      </c>
      <c r="G2982" s="2" t="s">
        <v>32</v>
      </c>
      <c r="H2982" s="1"/>
      <c r="I2982" s="2" t="s">
        <v>33</v>
      </c>
      <c r="J2982" s="2" t="s">
        <v>34</v>
      </c>
      <c r="K2982" s="2" t="s">
        <v>15778</v>
      </c>
      <c r="L2982" s="2" t="s">
        <v>15779</v>
      </c>
      <c r="M2982" s="2" t="s">
        <v>15681</v>
      </c>
      <c r="N2982" s="2" t="s">
        <v>38</v>
      </c>
      <c r="O2982" s="2" t="s">
        <v>103</v>
      </c>
      <c r="P2982" s="2" t="s">
        <v>17531</v>
      </c>
      <c r="Q2982" s="2" t="s">
        <v>17536</v>
      </c>
      <c r="R2982" s="2" t="s">
        <v>40</v>
      </c>
      <c r="S2982" s="2" t="s">
        <v>17537</v>
      </c>
      <c r="T2982" s="2" t="s">
        <v>15757</v>
      </c>
      <c r="U2982" s="2" t="s">
        <v>17538</v>
      </c>
      <c r="V2982" s="2" t="s">
        <v>17539</v>
      </c>
      <c r="W2982" s="1"/>
      <c r="X2982" s="2" t="s">
        <v>1082</v>
      </c>
      <c r="Y2982" s="2" t="s">
        <v>16303</v>
      </c>
      <c r="AA2982" t="str">
        <f t="shared" si="276"/>
        <v>2025-07</v>
      </c>
      <c r="AB2982" t="str">
        <f t="shared" si="277"/>
        <v/>
      </c>
      <c r="AC2982">
        <f t="shared" si="278"/>
        <v>319096.8</v>
      </c>
      <c r="AD2982">
        <f t="shared" si="279"/>
        <v>24</v>
      </c>
      <c r="AE2982">
        <f t="shared" si="280"/>
        <v>75160.800000000003</v>
      </c>
      <c r="AF2982" t="str">
        <f t="shared" si="281"/>
        <v>Paid</v>
      </c>
    </row>
    <row r="2983" spans="1:32" ht="17.25" thickBot="1" x14ac:dyDescent="0.35">
      <c r="A2983" s="2" t="s">
        <v>17540</v>
      </c>
      <c r="B2983" s="2" t="s">
        <v>27</v>
      </c>
      <c r="C2983" s="2" t="s">
        <v>28</v>
      </c>
      <c r="D2983" s="2" t="s">
        <v>97</v>
      </c>
      <c r="E2983" s="2" t="s">
        <v>15863</v>
      </c>
      <c r="F2983" s="2" t="s">
        <v>31</v>
      </c>
      <c r="G2983" s="2" t="s">
        <v>32</v>
      </c>
      <c r="H2983" s="1"/>
      <c r="I2983" s="2" t="s">
        <v>33</v>
      </c>
      <c r="J2983" s="2" t="s">
        <v>34</v>
      </c>
      <c r="K2983" s="2" t="s">
        <v>15781</v>
      </c>
      <c r="L2983" s="2" t="s">
        <v>15782</v>
      </c>
      <c r="M2983" s="2" t="s">
        <v>15681</v>
      </c>
      <c r="N2983" s="2" t="s">
        <v>38</v>
      </c>
      <c r="O2983" s="2" t="s">
        <v>227</v>
      </c>
      <c r="P2983" s="2" t="s">
        <v>8631</v>
      </c>
      <c r="Q2983" s="2" t="s">
        <v>17541</v>
      </c>
      <c r="R2983" s="2" t="s">
        <v>40</v>
      </c>
      <c r="S2983" s="2" t="s">
        <v>17542</v>
      </c>
      <c r="T2983" s="2" t="s">
        <v>15786</v>
      </c>
      <c r="U2983" s="2" t="s">
        <v>17543</v>
      </c>
      <c r="V2983" s="2" t="s">
        <v>17544</v>
      </c>
      <c r="W2983" s="1"/>
      <c r="X2983" s="2" t="s">
        <v>1082</v>
      </c>
      <c r="Y2983" s="2" t="s">
        <v>16303</v>
      </c>
      <c r="AA2983" t="str">
        <f t="shared" si="276"/>
        <v>2025-07</v>
      </c>
      <c r="AB2983" t="str">
        <f t="shared" si="277"/>
        <v/>
      </c>
      <c r="AC2983">
        <f t="shared" si="278"/>
        <v>286542.48</v>
      </c>
      <c r="AD2983">
        <f t="shared" si="279"/>
        <v>28</v>
      </c>
      <c r="AE2983">
        <f t="shared" si="280"/>
        <v>67610.48</v>
      </c>
      <c r="AF2983" t="str">
        <f t="shared" si="281"/>
        <v>Paid</v>
      </c>
    </row>
    <row r="2984" spans="1:32" ht="17.25" thickBot="1" x14ac:dyDescent="0.35">
      <c r="A2984" s="2" t="s">
        <v>17545</v>
      </c>
      <c r="B2984" s="2" t="s">
        <v>27</v>
      </c>
      <c r="C2984" s="2" t="s">
        <v>28</v>
      </c>
      <c r="D2984" s="2" t="s">
        <v>97</v>
      </c>
      <c r="E2984" s="2" t="s">
        <v>15863</v>
      </c>
      <c r="F2984" s="2" t="s">
        <v>31</v>
      </c>
      <c r="G2984" s="2" t="s">
        <v>32</v>
      </c>
      <c r="H2984" s="1"/>
      <c r="I2984" s="2" t="s">
        <v>33</v>
      </c>
      <c r="J2984" s="2" t="s">
        <v>34</v>
      </c>
      <c r="K2984" s="2" t="s">
        <v>15793</v>
      </c>
      <c r="L2984" s="2" t="s">
        <v>15794</v>
      </c>
      <c r="M2984" s="2" t="s">
        <v>15681</v>
      </c>
      <c r="N2984" s="2" t="s">
        <v>38</v>
      </c>
      <c r="O2984" s="2" t="s">
        <v>141</v>
      </c>
      <c r="P2984" s="2" t="s">
        <v>1001</v>
      </c>
      <c r="Q2984" s="2" t="s">
        <v>17546</v>
      </c>
      <c r="R2984" s="2" t="s">
        <v>40</v>
      </c>
      <c r="S2984" s="2" t="s">
        <v>17547</v>
      </c>
      <c r="T2984" s="2" t="s">
        <v>15797</v>
      </c>
      <c r="U2984" s="2" t="s">
        <v>15798</v>
      </c>
      <c r="V2984" s="2" t="s">
        <v>17548</v>
      </c>
      <c r="W2984" s="1"/>
      <c r="X2984" s="2" t="s">
        <v>1082</v>
      </c>
      <c r="Y2984" s="2" t="s">
        <v>16303</v>
      </c>
      <c r="AA2984" t="str">
        <f t="shared" si="276"/>
        <v>2025-07</v>
      </c>
      <c r="AB2984" t="str">
        <f t="shared" si="277"/>
        <v/>
      </c>
      <c r="AC2984">
        <f t="shared" si="278"/>
        <v>276389.40000000002</v>
      </c>
      <c r="AD2984">
        <f t="shared" si="279"/>
        <v>30</v>
      </c>
      <c r="AE2984">
        <f t="shared" si="280"/>
        <v>65279.4</v>
      </c>
      <c r="AF2984" t="str">
        <f t="shared" si="281"/>
        <v>Paid</v>
      </c>
    </row>
    <row r="2985" spans="1:32" ht="17.25" thickBot="1" x14ac:dyDescent="0.35">
      <c r="A2985" s="2" t="s">
        <v>17549</v>
      </c>
      <c r="B2985" s="2" t="s">
        <v>27</v>
      </c>
      <c r="C2985" s="2" t="s">
        <v>28</v>
      </c>
      <c r="D2985" s="2" t="s">
        <v>97</v>
      </c>
      <c r="E2985" s="2" t="s">
        <v>15863</v>
      </c>
      <c r="F2985" s="2" t="s">
        <v>31</v>
      </c>
      <c r="G2985" s="2" t="s">
        <v>32</v>
      </c>
      <c r="H2985" s="1"/>
      <c r="I2985" s="2" t="s">
        <v>33</v>
      </c>
      <c r="J2985" s="2" t="s">
        <v>34</v>
      </c>
      <c r="K2985" s="2" t="s">
        <v>15801</v>
      </c>
      <c r="L2985" s="2" t="s">
        <v>15802</v>
      </c>
      <c r="M2985" s="2" t="s">
        <v>15681</v>
      </c>
      <c r="N2985" s="2" t="s">
        <v>38</v>
      </c>
      <c r="O2985" s="2" t="s">
        <v>138</v>
      </c>
      <c r="P2985" s="2" t="s">
        <v>17516</v>
      </c>
      <c r="Q2985" s="2" t="s">
        <v>17550</v>
      </c>
      <c r="R2985" s="2" t="s">
        <v>40</v>
      </c>
      <c r="S2985" s="2" t="s">
        <v>17551</v>
      </c>
      <c r="T2985" s="2" t="s">
        <v>15725</v>
      </c>
      <c r="U2985" s="2" t="s">
        <v>17552</v>
      </c>
      <c r="V2985" s="2" t="s">
        <v>17553</v>
      </c>
      <c r="W2985" s="1"/>
      <c r="X2985" s="2" t="s">
        <v>955</v>
      </c>
      <c r="Y2985" s="2" t="s">
        <v>16303</v>
      </c>
      <c r="AA2985" t="str">
        <f t="shared" si="276"/>
        <v>2025-07</v>
      </c>
      <c r="AB2985" t="str">
        <f t="shared" si="277"/>
        <v/>
      </c>
      <c r="AC2985">
        <f t="shared" si="278"/>
        <v>248508.72</v>
      </c>
      <c r="AD2985">
        <f t="shared" si="279"/>
        <v>18</v>
      </c>
      <c r="AE2985">
        <f t="shared" si="280"/>
        <v>58518.720000000001</v>
      </c>
      <c r="AF2985" t="str">
        <f t="shared" si="281"/>
        <v>Paid</v>
      </c>
    </row>
    <row r="2986" spans="1:32" ht="27.75" thickBot="1" x14ac:dyDescent="0.35">
      <c r="A2986" s="2" t="s">
        <v>17554</v>
      </c>
      <c r="B2986" s="2" t="s">
        <v>27</v>
      </c>
      <c r="C2986" s="2" t="s">
        <v>28</v>
      </c>
      <c r="D2986" s="2" t="s">
        <v>97</v>
      </c>
      <c r="E2986" s="2" t="s">
        <v>15863</v>
      </c>
      <c r="F2986" s="2" t="s">
        <v>31</v>
      </c>
      <c r="G2986" s="2" t="s">
        <v>32</v>
      </c>
      <c r="H2986" s="1"/>
      <c r="I2986" s="2" t="s">
        <v>33</v>
      </c>
      <c r="J2986" s="2" t="s">
        <v>34</v>
      </c>
      <c r="K2986" s="2" t="s">
        <v>17555</v>
      </c>
      <c r="L2986" s="2" t="s">
        <v>17556</v>
      </c>
      <c r="M2986" s="2" t="s">
        <v>17557</v>
      </c>
      <c r="N2986" s="2" t="s">
        <v>38</v>
      </c>
      <c r="O2986" s="2" t="s">
        <v>79</v>
      </c>
      <c r="P2986" s="2" t="s">
        <v>17189</v>
      </c>
      <c r="Q2986" s="2" t="s">
        <v>17558</v>
      </c>
      <c r="R2986" s="2" t="s">
        <v>40</v>
      </c>
      <c r="S2986" s="2" t="s">
        <v>17559</v>
      </c>
      <c r="T2986" s="2" t="s">
        <v>9272</v>
      </c>
      <c r="U2986" s="2" t="s">
        <v>14936</v>
      </c>
      <c r="V2986" s="2" t="s">
        <v>17560</v>
      </c>
      <c r="W2986" s="1"/>
      <c r="X2986" s="2" t="s">
        <v>2660</v>
      </c>
      <c r="Y2986" s="2" t="s">
        <v>16303</v>
      </c>
      <c r="AA2986" t="str">
        <f t="shared" si="276"/>
        <v>2025-07</v>
      </c>
      <c r="AB2986" t="str">
        <f t="shared" si="277"/>
        <v/>
      </c>
      <c r="AC2986">
        <f t="shared" si="278"/>
        <v>75745.2</v>
      </c>
      <c r="AD2986">
        <f t="shared" si="279"/>
        <v>10</v>
      </c>
      <c r="AE2986">
        <f t="shared" si="280"/>
        <v>31195.200000000001</v>
      </c>
      <c r="AF2986" t="str">
        <f t="shared" si="281"/>
        <v>Paid</v>
      </c>
    </row>
    <row r="2987" spans="1:32" ht="27.75" thickBot="1" x14ac:dyDescent="0.35">
      <c r="A2987" s="2" t="s">
        <v>17561</v>
      </c>
      <c r="B2987" s="2" t="s">
        <v>27</v>
      </c>
      <c r="C2987" s="2" t="s">
        <v>28</v>
      </c>
      <c r="D2987" s="2" t="s">
        <v>97</v>
      </c>
      <c r="E2987" s="2" t="s">
        <v>17562</v>
      </c>
      <c r="F2987" s="2" t="s">
        <v>31</v>
      </c>
      <c r="G2987" s="2" t="s">
        <v>32</v>
      </c>
      <c r="H2987" s="1"/>
      <c r="I2987" s="2" t="s">
        <v>33</v>
      </c>
      <c r="J2987" s="2" t="s">
        <v>34</v>
      </c>
      <c r="K2987" s="2" t="s">
        <v>6170</v>
      </c>
      <c r="L2987" s="2" t="s">
        <v>6171</v>
      </c>
      <c r="M2987" s="2" t="s">
        <v>6146</v>
      </c>
      <c r="N2987" s="2" t="s">
        <v>38</v>
      </c>
      <c r="O2987" s="2" t="s">
        <v>877</v>
      </c>
      <c r="P2987" s="2" t="s">
        <v>4730</v>
      </c>
      <c r="Q2987" s="2" t="s">
        <v>17563</v>
      </c>
      <c r="R2987" s="2" t="s">
        <v>40</v>
      </c>
      <c r="S2987" s="2" t="s">
        <v>17564</v>
      </c>
      <c r="T2987" s="2" t="s">
        <v>3777</v>
      </c>
      <c r="U2987" s="2" t="s">
        <v>17565</v>
      </c>
      <c r="V2987" s="2" t="s">
        <v>17566</v>
      </c>
      <c r="W2987" s="1"/>
      <c r="X2987" s="2" t="s">
        <v>806</v>
      </c>
      <c r="Y2987" s="2" t="s">
        <v>17567</v>
      </c>
      <c r="AA2987" t="str">
        <f t="shared" si="276"/>
        <v>2025-07</v>
      </c>
      <c r="AB2987" t="str">
        <f t="shared" si="277"/>
        <v/>
      </c>
      <c r="AC2987">
        <f t="shared" si="278"/>
        <v>829872.4</v>
      </c>
      <c r="AD2987">
        <f t="shared" si="279"/>
        <v>100</v>
      </c>
      <c r="AE2987">
        <f t="shared" si="280"/>
        <v>211672.4</v>
      </c>
      <c r="AF2987" t="str">
        <f t="shared" si="281"/>
        <v>Paid</v>
      </c>
    </row>
    <row r="2988" spans="1:32" ht="17.25" thickBot="1" x14ac:dyDescent="0.35">
      <c r="A2988" s="2" t="s">
        <v>17568</v>
      </c>
      <c r="B2988" s="2" t="s">
        <v>27</v>
      </c>
      <c r="C2988" s="2" t="s">
        <v>28</v>
      </c>
      <c r="D2988" s="2" t="s">
        <v>97</v>
      </c>
      <c r="E2988" s="2" t="s">
        <v>17562</v>
      </c>
      <c r="F2988" s="2" t="s">
        <v>31</v>
      </c>
      <c r="G2988" s="2" t="s">
        <v>32</v>
      </c>
      <c r="H2988" s="1"/>
      <c r="I2988" s="2" t="s">
        <v>33</v>
      </c>
      <c r="J2988" s="2" t="s">
        <v>34</v>
      </c>
      <c r="K2988" s="2" t="s">
        <v>13563</v>
      </c>
      <c r="L2988" s="2" t="s">
        <v>13564</v>
      </c>
      <c r="M2988" s="2" t="s">
        <v>6146</v>
      </c>
      <c r="N2988" s="2" t="s">
        <v>38</v>
      </c>
      <c r="O2988" s="2" t="s">
        <v>92</v>
      </c>
      <c r="P2988" s="2" t="s">
        <v>17569</v>
      </c>
      <c r="Q2988" s="2" t="s">
        <v>17570</v>
      </c>
      <c r="R2988" s="2" t="s">
        <v>40</v>
      </c>
      <c r="S2988" s="2" t="s">
        <v>17571</v>
      </c>
      <c r="T2988" s="2" t="s">
        <v>13567</v>
      </c>
      <c r="U2988" s="2" t="s">
        <v>17572</v>
      </c>
      <c r="V2988" s="2" t="s">
        <v>17573</v>
      </c>
      <c r="W2988" s="1"/>
      <c r="X2988" s="2" t="s">
        <v>9050</v>
      </c>
      <c r="Y2988" s="2" t="s">
        <v>17567</v>
      </c>
      <c r="AA2988" t="str">
        <f t="shared" si="276"/>
        <v>2025-07</v>
      </c>
      <c r="AB2988" t="str">
        <f t="shared" si="277"/>
        <v/>
      </c>
      <c r="AC2988">
        <f t="shared" si="278"/>
        <v>186107.56</v>
      </c>
      <c r="AD2988">
        <f t="shared" si="279"/>
        <v>13</v>
      </c>
      <c r="AE2988">
        <f t="shared" si="280"/>
        <v>67924.56</v>
      </c>
      <c r="AF2988" t="str">
        <f t="shared" si="281"/>
        <v>Paid</v>
      </c>
    </row>
    <row r="2989" spans="1:32" ht="17.25" thickBot="1" x14ac:dyDescent="0.35">
      <c r="A2989" s="2" t="s">
        <v>17574</v>
      </c>
      <c r="B2989" s="2" t="s">
        <v>27</v>
      </c>
      <c r="C2989" s="2" t="s">
        <v>28</v>
      </c>
      <c r="D2989" s="2" t="s">
        <v>97</v>
      </c>
      <c r="E2989" s="2" t="s">
        <v>17562</v>
      </c>
      <c r="F2989" s="2" t="s">
        <v>31</v>
      </c>
      <c r="G2989" s="2" t="s">
        <v>32</v>
      </c>
      <c r="H2989" s="1"/>
      <c r="I2989" s="2" t="s">
        <v>33</v>
      </c>
      <c r="J2989" s="2" t="s">
        <v>34</v>
      </c>
      <c r="K2989" s="2" t="s">
        <v>936</v>
      </c>
      <c r="L2989" s="2" t="s">
        <v>937</v>
      </c>
      <c r="M2989" s="2" t="s">
        <v>772</v>
      </c>
      <c r="N2989" s="2" t="s">
        <v>38</v>
      </c>
      <c r="O2989" s="2" t="s">
        <v>3379</v>
      </c>
      <c r="P2989" s="2" t="s">
        <v>2124</v>
      </c>
      <c r="Q2989" s="2" t="s">
        <v>17575</v>
      </c>
      <c r="R2989" s="2" t="s">
        <v>40</v>
      </c>
      <c r="S2989" s="2" t="s">
        <v>17576</v>
      </c>
      <c r="T2989" s="2" t="s">
        <v>942</v>
      </c>
      <c r="U2989" s="2" t="s">
        <v>17577</v>
      </c>
      <c r="V2989" s="2" t="s">
        <v>17578</v>
      </c>
      <c r="W2989" s="1"/>
      <c r="X2989" s="2" t="s">
        <v>3310</v>
      </c>
      <c r="Y2989" s="2" t="s">
        <v>17567</v>
      </c>
      <c r="AA2989" t="str">
        <f t="shared" si="276"/>
        <v>2025-07</v>
      </c>
      <c r="AB2989" t="str">
        <f t="shared" si="277"/>
        <v/>
      </c>
      <c r="AC2989">
        <f t="shared" si="278"/>
        <v>5084049.1500000004</v>
      </c>
      <c r="AD2989">
        <f t="shared" si="279"/>
        <v>416</v>
      </c>
      <c r="AE2989">
        <f t="shared" si="280"/>
        <v>995185.15</v>
      </c>
      <c r="AF2989" t="str">
        <f t="shared" si="281"/>
        <v>Paid</v>
      </c>
    </row>
    <row r="2990" spans="1:32" ht="27.75" thickBot="1" x14ac:dyDescent="0.35">
      <c r="A2990" s="2" t="s">
        <v>17579</v>
      </c>
      <c r="B2990" s="2" t="s">
        <v>27</v>
      </c>
      <c r="C2990" s="2" t="s">
        <v>28</v>
      </c>
      <c r="D2990" s="2" t="s">
        <v>97</v>
      </c>
      <c r="E2990" s="2" t="s">
        <v>17562</v>
      </c>
      <c r="F2990" s="2" t="s">
        <v>31</v>
      </c>
      <c r="G2990" s="2" t="s">
        <v>32</v>
      </c>
      <c r="H2990" s="1"/>
      <c r="I2990" s="2" t="s">
        <v>33</v>
      </c>
      <c r="J2990" s="2" t="s">
        <v>34</v>
      </c>
      <c r="K2990" s="2" t="s">
        <v>2325</v>
      </c>
      <c r="L2990" s="2" t="s">
        <v>2326</v>
      </c>
      <c r="M2990" s="2" t="s">
        <v>2270</v>
      </c>
      <c r="N2990" s="2" t="s">
        <v>38</v>
      </c>
      <c r="O2990" s="2" t="s">
        <v>466</v>
      </c>
      <c r="P2990" s="2" t="s">
        <v>2744</v>
      </c>
      <c r="Q2990" s="2" t="s">
        <v>17580</v>
      </c>
      <c r="R2990" s="2" t="s">
        <v>40</v>
      </c>
      <c r="S2990" s="2" t="s">
        <v>17581</v>
      </c>
      <c r="T2990" s="2" t="s">
        <v>2275</v>
      </c>
      <c r="U2990" s="2" t="s">
        <v>1729</v>
      </c>
      <c r="V2990" s="2" t="s">
        <v>17582</v>
      </c>
      <c r="W2990" s="1"/>
      <c r="X2990" s="2" t="s">
        <v>2278</v>
      </c>
      <c r="Y2990" s="2" t="s">
        <v>17583</v>
      </c>
      <c r="AA2990" t="str">
        <f t="shared" si="276"/>
        <v>2025-07</v>
      </c>
      <c r="AB2990" t="str">
        <f t="shared" si="277"/>
        <v/>
      </c>
      <c r="AC2990">
        <f t="shared" si="278"/>
        <v>389276.15999999997</v>
      </c>
      <c r="AD2990">
        <f t="shared" si="279"/>
        <v>70</v>
      </c>
      <c r="AE2990">
        <f t="shared" si="280"/>
        <v>74276.160000000003</v>
      </c>
      <c r="AF2990" t="str">
        <f t="shared" si="281"/>
        <v>Paid</v>
      </c>
    </row>
    <row r="2991" spans="1:32" ht="17.25" thickBot="1" x14ac:dyDescent="0.35">
      <c r="A2991" s="2" t="s">
        <v>17584</v>
      </c>
      <c r="B2991" s="2" t="s">
        <v>27</v>
      </c>
      <c r="C2991" s="2" t="s">
        <v>28</v>
      </c>
      <c r="D2991" s="2" t="s">
        <v>97</v>
      </c>
      <c r="E2991" s="2" t="s">
        <v>17562</v>
      </c>
      <c r="F2991" s="2" t="s">
        <v>31</v>
      </c>
      <c r="G2991" s="2" t="s">
        <v>32</v>
      </c>
      <c r="H2991" s="1"/>
      <c r="I2991" s="2" t="s">
        <v>33</v>
      </c>
      <c r="J2991" s="2" t="s">
        <v>34</v>
      </c>
      <c r="K2991" s="2" t="s">
        <v>2335</v>
      </c>
      <c r="L2991" s="2" t="s">
        <v>2336</v>
      </c>
      <c r="M2991" s="2" t="s">
        <v>2270</v>
      </c>
      <c r="N2991" s="2" t="s">
        <v>38</v>
      </c>
      <c r="O2991" s="2" t="s">
        <v>1549</v>
      </c>
      <c r="P2991" s="2" t="s">
        <v>2744</v>
      </c>
      <c r="Q2991" s="2" t="s">
        <v>17585</v>
      </c>
      <c r="R2991" s="2" t="s">
        <v>40</v>
      </c>
      <c r="S2991" s="2" t="s">
        <v>17586</v>
      </c>
      <c r="T2991" s="2" t="s">
        <v>2275</v>
      </c>
      <c r="U2991" s="2" t="s">
        <v>17587</v>
      </c>
      <c r="V2991" s="2" t="s">
        <v>17588</v>
      </c>
      <c r="W2991" s="1"/>
      <c r="X2991" s="2" t="s">
        <v>2278</v>
      </c>
      <c r="Y2991" s="2" t="s">
        <v>17583</v>
      </c>
      <c r="AA2991" t="str">
        <f t="shared" si="276"/>
        <v>2025-07</v>
      </c>
      <c r="AB2991" t="str">
        <f t="shared" si="277"/>
        <v/>
      </c>
      <c r="AC2991">
        <f t="shared" si="278"/>
        <v>973190.4</v>
      </c>
      <c r="AD2991">
        <f t="shared" si="279"/>
        <v>175</v>
      </c>
      <c r="AE2991">
        <f t="shared" si="280"/>
        <v>185690.4</v>
      </c>
      <c r="AF2991" t="str">
        <f t="shared" si="281"/>
        <v>Paid</v>
      </c>
    </row>
    <row r="2992" spans="1:32" ht="17.25" thickBot="1" x14ac:dyDescent="0.35">
      <c r="A2992" s="2" t="s">
        <v>17589</v>
      </c>
      <c r="B2992" s="2" t="s">
        <v>27</v>
      </c>
      <c r="C2992" s="2" t="s">
        <v>28</v>
      </c>
      <c r="D2992" s="2" t="s">
        <v>97</v>
      </c>
      <c r="E2992" s="2" t="s">
        <v>17562</v>
      </c>
      <c r="F2992" s="2" t="s">
        <v>31</v>
      </c>
      <c r="G2992" s="2" t="s">
        <v>32</v>
      </c>
      <c r="H2992" s="1"/>
      <c r="I2992" s="2" t="s">
        <v>33</v>
      </c>
      <c r="J2992" s="2" t="s">
        <v>34</v>
      </c>
      <c r="K2992" s="2" t="s">
        <v>2405</v>
      </c>
      <c r="L2992" s="2" t="s">
        <v>2406</v>
      </c>
      <c r="M2992" s="2" t="s">
        <v>2389</v>
      </c>
      <c r="N2992" s="2" t="s">
        <v>38</v>
      </c>
      <c r="O2992" s="2" t="s">
        <v>214</v>
      </c>
      <c r="P2992" s="2" t="s">
        <v>6987</v>
      </c>
      <c r="Q2992" s="2" t="s">
        <v>17590</v>
      </c>
      <c r="R2992" s="2" t="s">
        <v>40</v>
      </c>
      <c r="S2992" s="2" t="s">
        <v>17591</v>
      </c>
      <c r="T2992" s="2" t="s">
        <v>2411</v>
      </c>
      <c r="U2992" s="2" t="s">
        <v>7129</v>
      </c>
      <c r="V2992" s="2" t="s">
        <v>17592</v>
      </c>
      <c r="W2992" s="1"/>
      <c r="X2992" s="2" t="s">
        <v>7047</v>
      </c>
      <c r="Y2992" s="2" t="s">
        <v>17583</v>
      </c>
      <c r="AA2992" t="str">
        <f t="shared" si="276"/>
        <v>2025-07</v>
      </c>
      <c r="AB2992" t="str">
        <f t="shared" si="277"/>
        <v/>
      </c>
      <c r="AC2992">
        <f t="shared" si="278"/>
        <v>191162.4</v>
      </c>
      <c r="AD2992">
        <f t="shared" si="279"/>
        <v>50</v>
      </c>
      <c r="AE2992">
        <f t="shared" si="280"/>
        <v>41162.400000000001</v>
      </c>
      <c r="AF2992" t="str">
        <f t="shared" si="281"/>
        <v>Paid</v>
      </c>
    </row>
    <row r="2993" spans="1:32" ht="17.25" thickBot="1" x14ac:dyDescent="0.35">
      <c r="A2993" s="2" t="s">
        <v>17593</v>
      </c>
      <c r="B2993" s="2" t="s">
        <v>27</v>
      </c>
      <c r="C2993" s="2" t="s">
        <v>28</v>
      </c>
      <c r="D2993" s="2" t="s">
        <v>97</v>
      </c>
      <c r="E2993" s="2" t="s">
        <v>17562</v>
      </c>
      <c r="F2993" s="2" t="s">
        <v>31</v>
      </c>
      <c r="G2993" s="2" t="s">
        <v>32</v>
      </c>
      <c r="H2993" s="1"/>
      <c r="I2993" s="2" t="s">
        <v>33</v>
      </c>
      <c r="J2993" s="2" t="s">
        <v>34</v>
      </c>
      <c r="K2993" s="2" t="s">
        <v>2421</v>
      </c>
      <c r="L2993" s="2" t="s">
        <v>2422</v>
      </c>
      <c r="M2993" s="2" t="s">
        <v>2389</v>
      </c>
      <c r="N2993" s="2" t="s">
        <v>38</v>
      </c>
      <c r="O2993" s="2" t="s">
        <v>877</v>
      </c>
      <c r="P2993" s="2" t="s">
        <v>1814</v>
      </c>
      <c r="Q2993" s="2" t="s">
        <v>17594</v>
      </c>
      <c r="R2993" s="2" t="s">
        <v>40</v>
      </c>
      <c r="S2993" s="2" t="s">
        <v>17595</v>
      </c>
      <c r="T2993" s="2" t="s">
        <v>17596</v>
      </c>
      <c r="U2993" s="2" t="s">
        <v>17597</v>
      </c>
      <c r="V2993" s="2" t="s">
        <v>17598</v>
      </c>
      <c r="W2993" s="1"/>
      <c r="X2993" s="2" t="s">
        <v>6709</v>
      </c>
      <c r="Y2993" s="2" t="s">
        <v>17583</v>
      </c>
      <c r="AA2993" t="str">
        <f t="shared" si="276"/>
        <v>2025-07</v>
      </c>
      <c r="AB2993" t="str">
        <f t="shared" si="277"/>
        <v/>
      </c>
      <c r="AC2993">
        <f t="shared" si="278"/>
        <v>405050.4</v>
      </c>
      <c r="AD2993">
        <f t="shared" si="279"/>
        <v>100</v>
      </c>
      <c r="AE2993">
        <f t="shared" si="280"/>
        <v>85950.399999999994</v>
      </c>
      <c r="AF2993" t="str">
        <f t="shared" si="281"/>
        <v>Paid</v>
      </c>
    </row>
    <row r="2994" spans="1:32" ht="17.25" thickBot="1" x14ac:dyDescent="0.35">
      <c r="A2994" s="2" t="s">
        <v>17599</v>
      </c>
      <c r="B2994" s="2" t="s">
        <v>27</v>
      </c>
      <c r="C2994" s="2" t="s">
        <v>28</v>
      </c>
      <c r="D2994" s="2" t="s">
        <v>97</v>
      </c>
      <c r="E2994" s="2" t="s">
        <v>17562</v>
      </c>
      <c r="F2994" s="2" t="s">
        <v>31</v>
      </c>
      <c r="G2994" s="2" t="s">
        <v>32</v>
      </c>
      <c r="H2994" s="1"/>
      <c r="I2994" s="2" t="s">
        <v>33</v>
      </c>
      <c r="J2994" s="2" t="s">
        <v>34</v>
      </c>
      <c r="K2994" s="2" t="s">
        <v>2440</v>
      </c>
      <c r="L2994" s="2" t="s">
        <v>2441</v>
      </c>
      <c r="M2994" s="2" t="s">
        <v>2389</v>
      </c>
      <c r="N2994" s="2" t="s">
        <v>38</v>
      </c>
      <c r="O2994" s="2" t="s">
        <v>156</v>
      </c>
      <c r="P2994" s="2" t="s">
        <v>4284</v>
      </c>
      <c r="Q2994" s="2" t="s">
        <v>17600</v>
      </c>
      <c r="R2994" s="2" t="s">
        <v>40</v>
      </c>
      <c r="S2994" s="2" t="s">
        <v>17601</v>
      </c>
      <c r="T2994" s="2" t="s">
        <v>17602</v>
      </c>
      <c r="U2994" s="2" t="s">
        <v>17603</v>
      </c>
      <c r="V2994" s="2" t="s">
        <v>17604</v>
      </c>
      <c r="W2994" s="1"/>
      <c r="X2994" s="2" t="s">
        <v>641</v>
      </c>
      <c r="Y2994" s="2" t="s">
        <v>17583</v>
      </c>
      <c r="AA2994" t="str">
        <f t="shared" si="276"/>
        <v>2025-07</v>
      </c>
      <c r="AB2994" t="str">
        <f t="shared" si="277"/>
        <v/>
      </c>
      <c r="AC2994">
        <f t="shared" si="278"/>
        <v>193568.64000000001</v>
      </c>
      <c r="AD2994">
        <f t="shared" si="279"/>
        <v>20</v>
      </c>
      <c r="AE2994">
        <f t="shared" si="280"/>
        <v>103328.64</v>
      </c>
      <c r="AF2994" t="str">
        <f t="shared" si="281"/>
        <v>Paid</v>
      </c>
    </row>
    <row r="2995" spans="1:32" ht="17.25" thickBot="1" x14ac:dyDescent="0.35">
      <c r="A2995" s="2" t="s">
        <v>17605</v>
      </c>
      <c r="B2995" s="2" t="s">
        <v>27</v>
      </c>
      <c r="C2995" s="2" t="s">
        <v>28</v>
      </c>
      <c r="D2995" s="2" t="s">
        <v>97</v>
      </c>
      <c r="E2995" s="2" t="s">
        <v>17562</v>
      </c>
      <c r="F2995" s="2" t="s">
        <v>31</v>
      </c>
      <c r="G2995" s="2" t="s">
        <v>32</v>
      </c>
      <c r="H2995" s="1"/>
      <c r="I2995" s="2" t="s">
        <v>33</v>
      </c>
      <c r="J2995" s="2" t="s">
        <v>34</v>
      </c>
      <c r="K2995" s="2" t="s">
        <v>11260</v>
      </c>
      <c r="L2995" s="2" t="s">
        <v>11261</v>
      </c>
      <c r="M2995" s="2" t="s">
        <v>2389</v>
      </c>
      <c r="N2995" s="2" t="s">
        <v>38</v>
      </c>
      <c r="O2995" s="2" t="s">
        <v>291</v>
      </c>
      <c r="P2995" s="2" t="s">
        <v>5398</v>
      </c>
      <c r="Q2995" s="2" t="s">
        <v>17606</v>
      </c>
      <c r="R2995" s="2" t="s">
        <v>40</v>
      </c>
      <c r="S2995" s="2" t="s">
        <v>17607</v>
      </c>
      <c r="T2995" s="2" t="s">
        <v>3110</v>
      </c>
      <c r="U2995" s="2" t="s">
        <v>13094</v>
      </c>
      <c r="V2995" s="2" t="s">
        <v>17608</v>
      </c>
      <c r="W2995" s="1"/>
      <c r="X2995" s="2" t="s">
        <v>2429</v>
      </c>
      <c r="Y2995" s="2" t="s">
        <v>17583</v>
      </c>
      <c r="AA2995" t="str">
        <f t="shared" si="276"/>
        <v>2025-07</v>
      </c>
      <c r="AB2995" t="str">
        <f t="shared" si="277"/>
        <v/>
      </c>
      <c r="AC2995">
        <f t="shared" si="278"/>
        <v>190574.21</v>
      </c>
      <c r="AD2995">
        <f t="shared" si="279"/>
        <v>36</v>
      </c>
      <c r="AE2995">
        <f t="shared" si="280"/>
        <v>46574.21</v>
      </c>
      <c r="AF2995" t="str">
        <f t="shared" si="281"/>
        <v>Paid</v>
      </c>
    </row>
    <row r="2996" spans="1:32" ht="17.25" thickBot="1" x14ac:dyDescent="0.35">
      <c r="A2996" s="2" t="s">
        <v>17609</v>
      </c>
      <c r="B2996" s="2" t="s">
        <v>27</v>
      </c>
      <c r="C2996" s="2" t="s">
        <v>28</v>
      </c>
      <c r="D2996" s="2" t="s">
        <v>97</v>
      </c>
      <c r="E2996" s="2" t="s">
        <v>17562</v>
      </c>
      <c r="F2996" s="2" t="s">
        <v>31</v>
      </c>
      <c r="G2996" s="2" t="s">
        <v>32</v>
      </c>
      <c r="H2996" s="1"/>
      <c r="I2996" s="2" t="s">
        <v>33</v>
      </c>
      <c r="J2996" s="2" t="s">
        <v>34</v>
      </c>
      <c r="K2996" s="2" t="s">
        <v>2459</v>
      </c>
      <c r="L2996" s="2" t="s">
        <v>2460</v>
      </c>
      <c r="M2996" s="2" t="s">
        <v>2389</v>
      </c>
      <c r="N2996" s="2" t="s">
        <v>38</v>
      </c>
      <c r="O2996" s="2" t="s">
        <v>877</v>
      </c>
      <c r="P2996" s="2" t="s">
        <v>17610</v>
      </c>
      <c r="Q2996" s="2" t="s">
        <v>9942</v>
      </c>
      <c r="R2996" s="2" t="s">
        <v>40</v>
      </c>
      <c r="S2996" s="2" t="s">
        <v>17611</v>
      </c>
      <c r="T2996" s="2" t="s">
        <v>17612</v>
      </c>
      <c r="U2996" s="2" t="s">
        <v>17613</v>
      </c>
      <c r="V2996" s="2" t="s">
        <v>17614</v>
      </c>
      <c r="W2996" s="1"/>
      <c r="X2996" s="2" t="s">
        <v>2429</v>
      </c>
      <c r="Y2996" s="2" t="s">
        <v>17583</v>
      </c>
      <c r="AA2996" t="str">
        <f t="shared" si="276"/>
        <v>2025-07</v>
      </c>
      <c r="AB2996" t="str">
        <f t="shared" si="277"/>
        <v/>
      </c>
      <c r="AC2996">
        <f t="shared" si="278"/>
        <v>252655.2</v>
      </c>
      <c r="AD2996">
        <f t="shared" si="279"/>
        <v>100</v>
      </c>
      <c r="AE2996">
        <f t="shared" si="280"/>
        <v>61655.199999999997</v>
      </c>
      <c r="AF2996" t="str">
        <f t="shared" si="281"/>
        <v>Paid</v>
      </c>
    </row>
    <row r="2997" spans="1:32" ht="17.25" thickBot="1" x14ac:dyDescent="0.35">
      <c r="A2997" s="2" t="s">
        <v>17615</v>
      </c>
      <c r="B2997" s="2" t="s">
        <v>27</v>
      </c>
      <c r="C2997" s="2" t="s">
        <v>28</v>
      </c>
      <c r="D2997" s="2" t="s">
        <v>97</v>
      </c>
      <c r="E2997" s="2" t="s">
        <v>17562</v>
      </c>
      <c r="F2997" s="2" t="s">
        <v>31</v>
      </c>
      <c r="G2997" s="2" t="s">
        <v>32</v>
      </c>
      <c r="H2997" s="1"/>
      <c r="I2997" s="2" t="s">
        <v>33</v>
      </c>
      <c r="J2997" s="2" t="s">
        <v>34</v>
      </c>
      <c r="K2997" s="2" t="s">
        <v>17616</v>
      </c>
      <c r="L2997" s="2" t="s">
        <v>17617</v>
      </c>
      <c r="M2997" s="2" t="s">
        <v>2389</v>
      </c>
      <c r="N2997" s="2" t="s">
        <v>38</v>
      </c>
      <c r="O2997" s="2" t="s">
        <v>2057</v>
      </c>
      <c r="P2997" s="2" t="s">
        <v>6905</v>
      </c>
      <c r="Q2997" s="2" t="s">
        <v>17618</v>
      </c>
      <c r="R2997" s="2" t="s">
        <v>40</v>
      </c>
      <c r="S2997" s="2" t="s">
        <v>17619</v>
      </c>
      <c r="T2997" s="2" t="s">
        <v>17620</v>
      </c>
      <c r="U2997" s="2" t="s">
        <v>17621</v>
      </c>
      <c r="V2997" s="2" t="s">
        <v>17622</v>
      </c>
      <c r="W2997" s="1"/>
      <c r="X2997" s="2" t="s">
        <v>1006</v>
      </c>
      <c r="Y2997" s="2" t="s">
        <v>17583</v>
      </c>
      <c r="AA2997" t="str">
        <f t="shared" si="276"/>
        <v>2025-07</v>
      </c>
      <c r="AB2997" t="str">
        <f t="shared" si="277"/>
        <v/>
      </c>
      <c r="AC2997">
        <f t="shared" si="278"/>
        <v>3289196.4</v>
      </c>
      <c r="AD2997">
        <f t="shared" si="279"/>
        <v>350</v>
      </c>
      <c r="AE2997">
        <f t="shared" si="280"/>
        <v>847596.4</v>
      </c>
      <c r="AF2997" t="str">
        <f t="shared" si="281"/>
        <v>Paid</v>
      </c>
    </row>
    <row r="2998" spans="1:32" ht="17.25" thickBot="1" x14ac:dyDescent="0.35">
      <c r="A2998" s="2" t="s">
        <v>17623</v>
      </c>
      <c r="B2998" s="2" t="s">
        <v>27</v>
      </c>
      <c r="C2998" s="2" t="s">
        <v>28</v>
      </c>
      <c r="D2998" s="2" t="s">
        <v>97</v>
      </c>
      <c r="E2998" s="2" t="s">
        <v>17562</v>
      </c>
      <c r="F2998" s="2" t="s">
        <v>31</v>
      </c>
      <c r="G2998" s="2" t="s">
        <v>32</v>
      </c>
      <c r="H2998" s="1"/>
      <c r="I2998" s="2" t="s">
        <v>33</v>
      </c>
      <c r="J2998" s="2" t="s">
        <v>34</v>
      </c>
      <c r="K2998" s="2" t="s">
        <v>15925</v>
      </c>
      <c r="L2998" s="2" t="s">
        <v>15926</v>
      </c>
      <c r="M2998" s="2" t="s">
        <v>2389</v>
      </c>
      <c r="N2998" s="2" t="s">
        <v>38</v>
      </c>
      <c r="O2998" s="2" t="s">
        <v>779</v>
      </c>
      <c r="P2998" s="2" t="s">
        <v>15927</v>
      </c>
      <c r="Q2998" s="2" t="s">
        <v>17624</v>
      </c>
      <c r="R2998" s="2" t="s">
        <v>40</v>
      </c>
      <c r="S2998" s="2" t="s">
        <v>17625</v>
      </c>
      <c r="T2998" s="2" t="s">
        <v>11355</v>
      </c>
      <c r="U2998" s="2" t="s">
        <v>17626</v>
      </c>
      <c r="V2998" s="2" t="s">
        <v>17627</v>
      </c>
      <c r="W2998" s="1"/>
      <c r="X2998" s="2" t="s">
        <v>965</v>
      </c>
      <c r="Y2998" s="2" t="s">
        <v>17583</v>
      </c>
      <c r="AA2998" t="str">
        <f t="shared" si="276"/>
        <v>2025-07</v>
      </c>
      <c r="AB2998" t="str">
        <f t="shared" si="277"/>
        <v/>
      </c>
      <c r="AC2998">
        <f t="shared" si="278"/>
        <v>990167.76</v>
      </c>
      <c r="AD2998">
        <f t="shared" si="279"/>
        <v>90</v>
      </c>
      <c r="AE2998">
        <f t="shared" si="280"/>
        <v>253787.76</v>
      </c>
      <c r="AF2998" t="str">
        <f t="shared" si="281"/>
        <v>Paid</v>
      </c>
    </row>
    <row r="2999" spans="1:32" ht="17.25" thickBot="1" x14ac:dyDescent="0.35">
      <c r="A2999" s="2" t="s">
        <v>17628</v>
      </c>
      <c r="B2999" s="2" t="s">
        <v>27</v>
      </c>
      <c r="C2999" s="2" t="s">
        <v>28</v>
      </c>
      <c r="D2999" s="2" t="s">
        <v>97</v>
      </c>
      <c r="E2999" s="2" t="s">
        <v>17562</v>
      </c>
      <c r="F2999" s="2" t="s">
        <v>31</v>
      </c>
      <c r="G2999" s="2" t="s">
        <v>32</v>
      </c>
      <c r="H2999" s="1"/>
      <c r="I2999" s="2" t="s">
        <v>33</v>
      </c>
      <c r="J2999" s="2" t="s">
        <v>34</v>
      </c>
      <c r="K2999" s="2" t="s">
        <v>2494</v>
      </c>
      <c r="L2999" s="2" t="s">
        <v>2495</v>
      </c>
      <c r="M2999" s="2" t="s">
        <v>2389</v>
      </c>
      <c r="N2999" s="2" t="s">
        <v>38</v>
      </c>
      <c r="O2999" s="2" t="s">
        <v>214</v>
      </c>
      <c r="P2999" s="2" t="s">
        <v>115</v>
      </c>
      <c r="Q2999" s="2" t="s">
        <v>17629</v>
      </c>
      <c r="R2999" s="2" t="s">
        <v>40</v>
      </c>
      <c r="S2999" s="2" t="s">
        <v>17630</v>
      </c>
      <c r="T2999" s="2" t="s">
        <v>17631</v>
      </c>
      <c r="U2999" s="2" t="s">
        <v>17632</v>
      </c>
      <c r="V2999" s="2" t="s">
        <v>17633</v>
      </c>
      <c r="W2999" s="1"/>
      <c r="X2999" s="2" t="s">
        <v>17634</v>
      </c>
      <c r="Y2999" s="2" t="s">
        <v>17583</v>
      </c>
      <c r="AA2999" t="str">
        <f t="shared" si="276"/>
        <v>2025-07</v>
      </c>
      <c r="AB2999" t="str">
        <f t="shared" si="277"/>
        <v/>
      </c>
      <c r="AC2999">
        <f t="shared" si="278"/>
        <v>389677.2</v>
      </c>
      <c r="AD2999">
        <f t="shared" si="279"/>
        <v>50</v>
      </c>
      <c r="AE2999">
        <f t="shared" si="280"/>
        <v>263727.2</v>
      </c>
      <c r="AF2999" t="str">
        <f t="shared" si="281"/>
        <v>Paid</v>
      </c>
    </row>
    <row r="3000" spans="1:32" ht="27.75" thickBot="1" x14ac:dyDescent="0.35">
      <c r="A3000" s="2" t="s">
        <v>17635</v>
      </c>
      <c r="B3000" s="2" t="s">
        <v>27</v>
      </c>
      <c r="C3000" s="2" t="s">
        <v>28</v>
      </c>
      <c r="D3000" s="2" t="s">
        <v>97</v>
      </c>
      <c r="E3000" s="2" t="s">
        <v>17562</v>
      </c>
      <c r="F3000" s="2" t="s">
        <v>31</v>
      </c>
      <c r="G3000" s="2" t="s">
        <v>32</v>
      </c>
      <c r="H3000" s="1"/>
      <c r="I3000" s="2" t="s">
        <v>33</v>
      </c>
      <c r="J3000" s="2" t="s">
        <v>34</v>
      </c>
      <c r="K3000" s="2" t="s">
        <v>2501</v>
      </c>
      <c r="L3000" s="2" t="s">
        <v>2502</v>
      </c>
      <c r="M3000" s="2" t="s">
        <v>2389</v>
      </c>
      <c r="N3000" s="2" t="s">
        <v>38</v>
      </c>
      <c r="O3000" s="2" t="s">
        <v>877</v>
      </c>
      <c r="P3000" s="2" t="s">
        <v>16529</v>
      </c>
      <c r="Q3000" s="2" t="s">
        <v>17636</v>
      </c>
      <c r="R3000" s="2" t="s">
        <v>40</v>
      </c>
      <c r="S3000" s="2" t="s">
        <v>17637</v>
      </c>
      <c r="T3000" s="2" t="s">
        <v>13098</v>
      </c>
      <c r="U3000" s="2" t="s">
        <v>17638</v>
      </c>
      <c r="V3000" s="2" t="s">
        <v>17639</v>
      </c>
      <c r="W3000" s="1"/>
      <c r="X3000" s="2" t="s">
        <v>817</v>
      </c>
      <c r="Y3000" s="2" t="s">
        <v>17583</v>
      </c>
      <c r="AA3000" t="str">
        <f t="shared" si="276"/>
        <v>2025-07</v>
      </c>
      <c r="AB3000" t="str">
        <f t="shared" si="277"/>
        <v/>
      </c>
      <c r="AC3000">
        <f t="shared" si="278"/>
        <v>1065429.6000000001</v>
      </c>
      <c r="AD3000">
        <f t="shared" si="279"/>
        <v>100</v>
      </c>
      <c r="AE3000">
        <f t="shared" si="280"/>
        <v>261729.6</v>
      </c>
      <c r="AF3000" t="str">
        <f t="shared" si="281"/>
        <v>Paid</v>
      </c>
    </row>
    <row r="3001" spans="1:32" ht="17.25" thickBot="1" x14ac:dyDescent="0.35">
      <c r="A3001" s="2" t="s">
        <v>17640</v>
      </c>
      <c r="B3001" s="2" t="s">
        <v>27</v>
      </c>
      <c r="C3001" s="2" t="s">
        <v>28</v>
      </c>
      <c r="D3001" s="2" t="s">
        <v>97</v>
      </c>
      <c r="E3001" s="2" t="s">
        <v>17562</v>
      </c>
      <c r="F3001" s="2" t="s">
        <v>31</v>
      </c>
      <c r="G3001" s="2" t="s">
        <v>32</v>
      </c>
      <c r="H3001" s="1"/>
      <c r="I3001" s="2" t="s">
        <v>33</v>
      </c>
      <c r="J3001" s="2" t="s">
        <v>34</v>
      </c>
      <c r="K3001" s="2" t="s">
        <v>2509</v>
      </c>
      <c r="L3001" s="2" t="s">
        <v>2510</v>
      </c>
      <c r="M3001" s="2" t="s">
        <v>2389</v>
      </c>
      <c r="N3001" s="2" t="s">
        <v>38</v>
      </c>
      <c r="O3001" s="2" t="s">
        <v>877</v>
      </c>
      <c r="P3001" s="2" t="s">
        <v>5246</v>
      </c>
      <c r="Q3001" s="2" t="s">
        <v>17641</v>
      </c>
      <c r="R3001" s="2" t="s">
        <v>40</v>
      </c>
      <c r="S3001" s="2" t="s">
        <v>17642</v>
      </c>
      <c r="T3001" s="2" t="s">
        <v>17643</v>
      </c>
      <c r="U3001" s="2" t="s">
        <v>17644</v>
      </c>
      <c r="V3001" s="2" t="s">
        <v>17645</v>
      </c>
      <c r="W3001" s="1"/>
      <c r="X3001" s="2" t="s">
        <v>817</v>
      </c>
      <c r="Y3001" s="2" t="s">
        <v>17583</v>
      </c>
      <c r="AA3001" t="str">
        <f t="shared" si="276"/>
        <v>2025-07</v>
      </c>
      <c r="AB3001" t="str">
        <f t="shared" si="277"/>
        <v/>
      </c>
      <c r="AC3001">
        <f t="shared" si="278"/>
        <v>983884.80000000005</v>
      </c>
      <c r="AD3001">
        <f t="shared" si="279"/>
        <v>100</v>
      </c>
      <c r="AE3001">
        <f t="shared" si="280"/>
        <v>241984.8</v>
      </c>
      <c r="AF3001" t="str">
        <f t="shared" si="281"/>
        <v>Paid</v>
      </c>
    </row>
    <row r="3002" spans="1:32" ht="17.25" thickBot="1" x14ac:dyDescent="0.35">
      <c r="A3002" s="2" t="s">
        <v>17646</v>
      </c>
      <c r="B3002" s="2" t="s">
        <v>27</v>
      </c>
      <c r="C3002" s="2" t="s">
        <v>28</v>
      </c>
      <c r="D3002" s="2" t="s">
        <v>97</v>
      </c>
      <c r="E3002" s="2" t="s">
        <v>17562</v>
      </c>
      <c r="F3002" s="2" t="s">
        <v>31</v>
      </c>
      <c r="G3002" s="2" t="s">
        <v>32</v>
      </c>
      <c r="H3002" s="1"/>
      <c r="I3002" s="2" t="s">
        <v>33</v>
      </c>
      <c r="J3002" s="2" t="s">
        <v>34</v>
      </c>
      <c r="K3002" s="2" t="s">
        <v>2526</v>
      </c>
      <c r="L3002" s="2" t="s">
        <v>2527</v>
      </c>
      <c r="M3002" s="2" t="s">
        <v>2389</v>
      </c>
      <c r="N3002" s="2" t="s">
        <v>38</v>
      </c>
      <c r="O3002" s="2" t="s">
        <v>148</v>
      </c>
      <c r="P3002" s="2" t="s">
        <v>2604</v>
      </c>
      <c r="Q3002" s="2" t="s">
        <v>17647</v>
      </c>
      <c r="R3002" s="2" t="s">
        <v>40</v>
      </c>
      <c r="S3002" s="2" t="s">
        <v>17648</v>
      </c>
      <c r="T3002" s="2" t="s">
        <v>13735</v>
      </c>
      <c r="U3002" s="2" t="s">
        <v>17649</v>
      </c>
      <c r="V3002" s="2" t="s">
        <v>17650</v>
      </c>
      <c r="W3002" s="1"/>
      <c r="X3002" s="2" t="s">
        <v>965</v>
      </c>
      <c r="Y3002" s="2" t="s">
        <v>17583</v>
      </c>
      <c r="AA3002" t="str">
        <f t="shared" si="276"/>
        <v>2025-07</v>
      </c>
      <c r="AB3002" t="str">
        <f t="shared" si="277"/>
        <v/>
      </c>
      <c r="AC3002">
        <f t="shared" si="278"/>
        <v>192271.94</v>
      </c>
      <c r="AD3002">
        <f t="shared" si="279"/>
        <v>19</v>
      </c>
      <c r="AE3002">
        <f t="shared" si="280"/>
        <v>49239.94</v>
      </c>
      <c r="AF3002" t="str">
        <f t="shared" si="281"/>
        <v>Paid</v>
      </c>
    </row>
    <row r="3003" spans="1:32" ht="17.25" thickBot="1" x14ac:dyDescent="0.35">
      <c r="A3003" s="2" t="s">
        <v>17651</v>
      </c>
      <c r="B3003" s="2" t="s">
        <v>27</v>
      </c>
      <c r="C3003" s="2" t="s">
        <v>28</v>
      </c>
      <c r="D3003" s="2" t="s">
        <v>97</v>
      </c>
      <c r="E3003" s="2" t="s">
        <v>17562</v>
      </c>
      <c r="F3003" s="2" t="s">
        <v>31</v>
      </c>
      <c r="G3003" s="2" t="s">
        <v>32</v>
      </c>
      <c r="H3003" s="1"/>
      <c r="I3003" s="2" t="s">
        <v>33</v>
      </c>
      <c r="J3003" s="2" t="s">
        <v>34</v>
      </c>
      <c r="K3003" s="2" t="s">
        <v>2526</v>
      </c>
      <c r="L3003" s="2" t="s">
        <v>2527</v>
      </c>
      <c r="M3003" s="2" t="s">
        <v>2389</v>
      </c>
      <c r="N3003" s="2" t="s">
        <v>38</v>
      </c>
      <c r="O3003" s="2" t="s">
        <v>698</v>
      </c>
      <c r="P3003" s="2" t="s">
        <v>2604</v>
      </c>
      <c r="Q3003" s="2" t="s">
        <v>17652</v>
      </c>
      <c r="R3003" s="2" t="s">
        <v>40</v>
      </c>
      <c r="S3003" s="2" t="s">
        <v>17653</v>
      </c>
      <c r="T3003" s="2" t="s">
        <v>13735</v>
      </c>
      <c r="U3003" s="2" t="s">
        <v>17654</v>
      </c>
      <c r="V3003" s="2" t="s">
        <v>17655</v>
      </c>
      <c r="W3003" s="1"/>
      <c r="X3003" s="2" t="s">
        <v>965</v>
      </c>
      <c r="Y3003" s="2" t="s">
        <v>17583</v>
      </c>
      <c r="AA3003" t="str">
        <f t="shared" si="276"/>
        <v>2025-07</v>
      </c>
      <c r="AB3003" t="str">
        <f t="shared" si="277"/>
        <v/>
      </c>
      <c r="AC3003">
        <f t="shared" si="278"/>
        <v>819685.66</v>
      </c>
      <c r="AD3003">
        <f t="shared" si="279"/>
        <v>81</v>
      </c>
      <c r="AE3003">
        <f t="shared" si="280"/>
        <v>209917.66</v>
      </c>
      <c r="AF3003" t="str">
        <f t="shared" si="281"/>
        <v>Paid</v>
      </c>
    </row>
    <row r="3004" spans="1:32" ht="17.25" thickBot="1" x14ac:dyDescent="0.35">
      <c r="A3004" s="2" t="s">
        <v>17656</v>
      </c>
      <c r="B3004" s="2" t="s">
        <v>27</v>
      </c>
      <c r="C3004" s="2" t="s">
        <v>28</v>
      </c>
      <c r="D3004" s="2" t="s">
        <v>97</v>
      </c>
      <c r="E3004" s="2" t="s">
        <v>17562</v>
      </c>
      <c r="F3004" s="2" t="s">
        <v>31</v>
      </c>
      <c r="G3004" s="2" t="s">
        <v>32</v>
      </c>
      <c r="H3004" s="1"/>
      <c r="I3004" s="2" t="s">
        <v>33</v>
      </c>
      <c r="J3004" s="2" t="s">
        <v>34</v>
      </c>
      <c r="K3004" s="2" t="s">
        <v>12988</v>
      </c>
      <c r="L3004" s="2" t="s">
        <v>12989</v>
      </c>
      <c r="M3004" s="2" t="s">
        <v>2389</v>
      </c>
      <c r="N3004" s="2" t="s">
        <v>38</v>
      </c>
      <c r="O3004" s="2" t="s">
        <v>214</v>
      </c>
      <c r="P3004" s="2" t="s">
        <v>17657</v>
      </c>
      <c r="Q3004" s="2" t="s">
        <v>17658</v>
      </c>
      <c r="R3004" s="2" t="s">
        <v>40</v>
      </c>
      <c r="S3004" s="2" t="s">
        <v>17659</v>
      </c>
      <c r="T3004" s="2" t="s">
        <v>17660</v>
      </c>
      <c r="U3004" s="2" t="s">
        <v>13069</v>
      </c>
      <c r="V3004" s="2" t="s">
        <v>17661</v>
      </c>
      <c r="W3004" s="1"/>
      <c r="X3004" s="2" t="s">
        <v>17662</v>
      </c>
      <c r="Y3004" s="2" t="s">
        <v>17583</v>
      </c>
      <c r="AA3004" t="str">
        <f t="shared" si="276"/>
        <v>2025-07</v>
      </c>
      <c r="AB3004" t="str">
        <f t="shared" si="277"/>
        <v/>
      </c>
      <c r="AC3004">
        <f t="shared" si="278"/>
        <v>143706</v>
      </c>
      <c r="AD3004">
        <f t="shared" si="279"/>
        <v>50</v>
      </c>
      <c r="AE3004">
        <f t="shared" si="280"/>
        <v>89156</v>
      </c>
      <c r="AF3004" t="str">
        <f t="shared" si="281"/>
        <v>Paid</v>
      </c>
    </row>
    <row r="3005" spans="1:32" ht="17.25" thickBot="1" x14ac:dyDescent="0.35">
      <c r="A3005" s="2" t="s">
        <v>17663</v>
      </c>
      <c r="B3005" s="2" t="s">
        <v>27</v>
      </c>
      <c r="C3005" s="2" t="s">
        <v>28</v>
      </c>
      <c r="D3005" s="2" t="s">
        <v>97</v>
      </c>
      <c r="E3005" s="2" t="s">
        <v>17562</v>
      </c>
      <c r="F3005" s="2" t="s">
        <v>31</v>
      </c>
      <c r="G3005" s="2" t="s">
        <v>32</v>
      </c>
      <c r="H3005" s="1"/>
      <c r="I3005" s="2" t="s">
        <v>33</v>
      </c>
      <c r="J3005" s="2" t="s">
        <v>34</v>
      </c>
      <c r="K3005" s="2" t="s">
        <v>2553</v>
      </c>
      <c r="L3005" s="2" t="s">
        <v>2554</v>
      </c>
      <c r="M3005" s="2" t="s">
        <v>2389</v>
      </c>
      <c r="N3005" s="2" t="s">
        <v>38</v>
      </c>
      <c r="O3005" s="2" t="s">
        <v>214</v>
      </c>
      <c r="P3005" s="2" t="s">
        <v>5246</v>
      </c>
      <c r="Q3005" s="2" t="s">
        <v>10711</v>
      </c>
      <c r="R3005" s="2" t="s">
        <v>40</v>
      </c>
      <c r="S3005" s="2" t="s">
        <v>17664</v>
      </c>
      <c r="T3005" s="2" t="s">
        <v>16541</v>
      </c>
      <c r="U3005" s="2" t="s">
        <v>17665</v>
      </c>
      <c r="V3005" s="2" t="s">
        <v>17666</v>
      </c>
      <c r="W3005" s="1"/>
      <c r="X3005" s="2" t="s">
        <v>6894</v>
      </c>
      <c r="Y3005" s="2" t="s">
        <v>17583</v>
      </c>
      <c r="AA3005" t="str">
        <f t="shared" si="276"/>
        <v>2025-07</v>
      </c>
      <c r="AB3005" t="str">
        <f t="shared" si="277"/>
        <v/>
      </c>
      <c r="AC3005">
        <f t="shared" si="278"/>
        <v>491942.40000000002</v>
      </c>
      <c r="AD3005">
        <f t="shared" si="279"/>
        <v>50</v>
      </c>
      <c r="AE3005">
        <f t="shared" si="280"/>
        <v>142842.4</v>
      </c>
      <c r="AF3005" t="str">
        <f t="shared" si="281"/>
        <v>Paid</v>
      </c>
    </row>
    <row r="3006" spans="1:32" ht="27.75" thickBot="1" x14ac:dyDescent="0.35">
      <c r="A3006" s="2" t="s">
        <v>17667</v>
      </c>
      <c r="B3006" s="2" t="s">
        <v>27</v>
      </c>
      <c r="C3006" s="2" t="s">
        <v>28</v>
      </c>
      <c r="D3006" s="2" t="s">
        <v>97</v>
      </c>
      <c r="E3006" s="2" t="s">
        <v>17562</v>
      </c>
      <c r="F3006" s="2" t="s">
        <v>31</v>
      </c>
      <c r="G3006" s="2" t="s">
        <v>32</v>
      </c>
      <c r="H3006" s="1"/>
      <c r="I3006" s="2" t="s">
        <v>33</v>
      </c>
      <c r="J3006" s="2" t="s">
        <v>34</v>
      </c>
      <c r="K3006" s="2" t="s">
        <v>17668</v>
      </c>
      <c r="L3006" s="2" t="s">
        <v>17669</v>
      </c>
      <c r="M3006" s="2" t="s">
        <v>2389</v>
      </c>
      <c r="N3006" s="2" t="s">
        <v>38</v>
      </c>
      <c r="O3006" s="2" t="s">
        <v>272</v>
      </c>
      <c r="P3006" s="2" t="s">
        <v>17670</v>
      </c>
      <c r="Q3006" s="2" t="s">
        <v>17671</v>
      </c>
      <c r="R3006" s="2" t="s">
        <v>40</v>
      </c>
      <c r="S3006" s="2" t="s">
        <v>17672</v>
      </c>
      <c r="T3006" s="2" t="s">
        <v>14020</v>
      </c>
      <c r="U3006" s="2" t="s">
        <v>17673</v>
      </c>
      <c r="V3006" s="2" t="s">
        <v>17674</v>
      </c>
      <c r="W3006" s="1"/>
      <c r="X3006" s="2" t="s">
        <v>1082</v>
      </c>
      <c r="Y3006" s="2" t="s">
        <v>17583</v>
      </c>
      <c r="AA3006" t="str">
        <f t="shared" si="276"/>
        <v>2025-07</v>
      </c>
      <c r="AB3006" t="str">
        <f t="shared" si="277"/>
        <v/>
      </c>
      <c r="AC3006">
        <f t="shared" si="278"/>
        <v>209530.03</v>
      </c>
      <c r="AD3006">
        <f t="shared" si="279"/>
        <v>34</v>
      </c>
      <c r="AE3006">
        <f t="shared" si="280"/>
        <v>49390.03</v>
      </c>
      <c r="AF3006" t="str">
        <f t="shared" si="281"/>
        <v>Paid</v>
      </c>
    </row>
    <row r="3007" spans="1:32" ht="17.25" thickBot="1" x14ac:dyDescent="0.35">
      <c r="A3007" s="2" t="s">
        <v>17675</v>
      </c>
      <c r="B3007" s="2" t="s">
        <v>27</v>
      </c>
      <c r="C3007" s="2" t="s">
        <v>28</v>
      </c>
      <c r="D3007" s="2" t="s">
        <v>97</v>
      </c>
      <c r="E3007" s="2" t="s">
        <v>17562</v>
      </c>
      <c r="F3007" s="2" t="s">
        <v>31</v>
      </c>
      <c r="G3007" s="2" t="s">
        <v>32</v>
      </c>
      <c r="H3007" s="1"/>
      <c r="I3007" s="2" t="s">
        <v>33</v>
      </c>
      <c r="J3007" s="2" t="s">
        <v>34</v>
      </c>
      <c r="K3007" s="2" t="s">
        <v>2570</v>
      </c>
      <c r="L3007" s="2" t="s">
        <v>2571</v>
      </c>
      <c r="M3007" s="2" t="s">
        <v>2389</v>
      </c>
      <c r="N3007" s="2" t="s">
        <v>38</v>
      </c>
      <c r="O3007" s="2" t="s">
        <v>214</v>
      </c>
      <c r="P3007" s="2" t="s">
        <v>17676</v>
      </c>
      <c r="Q3007" s="2" t="s">
        <v>17677</v>
      </c>
      <c r="R3007" s="2" t="s">
        <v>40</v>
      </c>
      <c r="S3007" s="2" t="s">
        <v>17678</v>
      </c>
      <c r="T3007" s="2" t="s">
        <v>7535</v>
      </c>
      <c r="U3007" s="2" t="s">
        <v>7536</v>
      </c>
      <c r="V3007" s="2" t="s">
        <v>17679</v>
      </c>
      <c r="W3007" s="1"/>
      <c r="X3007" s="2" t="s">
        <v>14026</v>
      </c>
      <c r="Y3007" s="2" t="s">
        <v>17583</v>
      </c>
      <c r="AA3007" t="str">
        <f t="shared" si="276"/>
        <v>2025-07</v>
      </c>
      <c r="AB3007" t="str">
        <f t="shared" si="277"/>
        <v/>
      </c>
      <c r="AC3007">
        <f t="shared" si="278"/>
        <v>616264.80000000005</v>
      </c>
      <c r="AD3007">
        <f t="shared" si="279"/>
        <v>50</v>
      </c>
      <c r="AE3007">
        <f t="shared" si="280"/>
        <v>170764.79999999999</v>
      </c>
      <c r="AF3007" t="str">
        <f t="shared" si="281"/>
        <v>Paid</v>
      </c>
    </row>
    <row r="3008" spans="1:32" ht="17.25" thickBot="1" x14ac:dyDescent="0.35">
      <c r="A3008" s="2" t="s">
        <v>17680</v>
      </c>
      <c r="B3008" s="2" t="s">
        <v>27</v>
      </c>
      <c r="C3008" s="2" t="s">
        <v>28</v>
      </c>
      <c r="D3008" s="2" t="s">
        <v>97</v>
      </c>
      <c r="E3008" s="2" t="s">
        <v>17562</v>
      </c>
      <c r="F3008" s="2" t="s">
        <v>31</v>
      </c>
      <c r="G3008" s="2" t="s">
        <v>32</v>
      </c>
      <c r="H3008" s="1"/>
      <c r="I3008" s="2" t="s">
        <v>33</v>
      </c>
      <c r="J3008" s="2" t="s">
        <v>34</v>
      </c>
      <c r="K3008" s="2" t="s">
        <v>2578</v>
      </c>
      <c r="L3008" s="2" t="s">
        <v>2579</v>
      </c>
      <c r="M3008" s="2" t="s">
        <v>2389</v>
      </c>
      <c r="N3008" s="2" t="s">
        <v>38</v>
      </c>
      <c r="O3008" s="2" t="s">
        <v>156</v>
      </c>
      <c r="P3008" s="2" t="s">
        <v>17676</v>
      </c>
      <c r="Q3008" s="2" t="s">
        <v>17681</v>
      </c>
      <c r="R3008" s="2" t="s">
        <v>40</v>
      </c>
      <c r="S3008" s="2" t="s">
        <v>17682</v>
      </c>
      <c r="T3008" s="2" t="s">
        <v>17683</v>
      </c>
      <c r="U3008" s="2" t="s">
        <v>17684</v>
      </c>
      <c r="V3008" s="2" t="s">
        <v>17685</v>
      </c>
      <c r="W3008" s="1"/>
      <c r="X3008" s="2" t="s">
        <v>12932</v>
      </c>
      <c r="Y3008" s="2" t="s">
        <v>17583</v>
      </c>
      <c r="AA3008" t="str">
        <f t="shared" si="276"/>
        <v>2025-07</v>
      </c>
      <c r="AB3008" t="str">
        <f t="shared" si="277"/>
        <v/>
      </c>
      <c r="AC3008">
        <f t="shared" si="278"/>
        <v>246505.92</v>
      </c>
      <c r="AD3008">
        <f t="shared" si="279"/>
        <v>20</v>
      </c>
      <c r="AE3008">
        <f t="shared" si="280"/>
        <v>111073.92</v>
      </c>
      <c r="AF3008" t="str">
        <f t="shared" si="281"/>
        <v>Paid</v>
      </c>
    </row>
    <row r="3009" spans="1:32" ht="17.25" thickBot="1" x14ac:dyDescent="0.35">
      <c r="A3009" s="2" t="s">
        <v>17686</v>
      </c>
      <c r="B3009" s="2" t="s">
        <v>27</v>
      </c>
      <c r="C3009" s="2" t="s">
        <v>28</v>
      </c>
      <c r="D3009" s="2" t="s">
        <v>97</v>
      </c>
      <c r="E3009" s="2" t="s">
        <v>17562</v>
      </c>
      <c r="F3009" s="2" t="s">
        <v>31</v>
      </c>
      <c r="G3009" s="2" t="s">
        <v>32</v>
      </c>
      <c r="H3009" s="1"/>
      <c r="I3009" s="2" t="s">
        <v>33</v>
      </c>
      <c r="J3009" s="2" t="s">
        <v>34</v>
      </c>
      <c r="K3009" s="2" t="s">
        <v>2586</v>
      </c>
      <c r="L3009" s="2" t="s">
        <v>2587</v>
      </c>
      <c r="M3009" s="2" t="s">
        <v>2389</v>
      </c>
      <c r="N3009" s="2" t="s">
        <v>38</v>
      </c>
      <c r="O3009" s="2" t="s">
        <v>214</v>
      </c>
      <c r="P3009" s="2" t="s">
        <v>16251</v>
      </c>
      <c r="Q3009" s="2" t="s">
        <v>17687</v>
      </c>
      <c r="R3009" s="2" t="s">
        <v>40</v>
      </c>
      <c r="S3009" s="2" t="s">
        <v>17688</v>
      </c>
      <c r="T3009" s="2" t="s">
        <v>17689</v>
      </c>
      <c r="U3009" s="2" t="s">
        <v>17690</v>
      </c>
      <c r="V3009" s="2" t="s">
        <v>17691</v>
      </c>
      <c r="W3009" s="1"/>
      <c r="X3009" s="2" t="s">
        <v>17692</v>
      </c>
      <c r="Y3009" s="2" t="s">
        <v>17583</v>
      </c>
      <c r="AA3009" t="str">
        <f t="shared" si="276"/>
        <v>2025-07</v>
      </c>
      <c r="AB3009" t="str">
        <f t="shared" si="277"/>
        <v/>
      </c>
      <c r="AC3009">
        <f t="shared" si="278"/>
        <v>356925.6</v>
      </c>
      <c r="AD3009">
        <f t="shared" si="279"/>
        <v>50</v>
      </c>
      <c r="AE3009">
        <f t="shared" si="280"/>
        <v>169825.6</v>
      </c>
      <c r="AF3009" t="str">
        <f t="shared" si="281"/>
        <v>Paid</v>
      </c>
    </row>
    <row r="3010" spans="1:32" ht="17.25" thickBot="1" x14ac:dyDescent="0.35">
      <c r="A3010" s="2" t="s">
        <v>17693</v>
      </c>
      <c r="B3010" s="2" t="s">
        <v>27</v>
      </c>
      <c r="C3010" s="2" t="s">
        <v>28</v>
      </c>
      <c r="D3010" s="2" t="s">
        <v>97</v>
      </c>
      <c r="E3010" s="2" t="s">
        <v>17562</v>
      </c>
      <c r="F3010" s="2" t="s">
        <v>31</v>
      </c>
      <c r="G3010" s="2" t="s">
        <v>32</v>
      </c>
      <c r="H3010" s="1"/>
      <c r="I3010" s="2" t="s">
        <v>33</v>
      </c>
      <c r="J3010" s="2" t="s">
        <v>34</v>
      </c>
      <c r="K3010" s="2" t="s">
        <v>11341</v>
      </c>
      <c r="L3010" s="2" t="s">
        <v>11342</v>
      </c>
      <c r="M3010" s="2" t="s">
        <v>2389</v>
      </c>
      <c r="N3010" s="2" t="s">
        <v>38</v>
      </c>
      <c r="O3010" s="2" t="s">
        <v>214</v>
      </c>
      <c r="P3010" s="2" t="s">
        <v>4621</v>
      </c>
      <c r="Q3010" s="2" t="s">
        <v>17694</v>
      </c>
      <c r="R3010" s="2" t="s">
        <v>40</v>
      </c>
      <c r="S3010" s="2" t="s">
        <v>17695</v>
      </c>
      <c r="T3010" s="2" t="s">
        <v>669</v>
      </c>
      <c r="U3010" s="2" t="s">
        <v>5544</v>
      </c>
      <c r="V3010" s="2" t="s">
        <v>17696</v>
      </c>
      <c r="W3010" s="1"/>
      <c r="X3010" s="2" t="s">
        <v>817</v>
      </c>
      <c r="Y3010" s="2" t="s">
        <v>17583</v>
      </c>
      <c r="AA3010" t="str">
        <f t="shared" si="276"/>
        <v>2025-07</v>
      </c>
      <c r="AB3010" t="str">
        <f t="shared" si="277"/>
        <v/>
      </c>
      <c r="AC3010">
        <f t="shared" si="278"/>
        <v>397698</v>
      </c>
      <c r="AD3010">
        <f t="shared" si="279"/>
        <v>50</v>
      </c>
      <c r="AE3010">
        <f t="shared" si="280"/>
        <v>97698</v>
      </c>
      <c r="AF3010" t="str">
        <f t="shared" si="281"/>
        <v>Paid</v>
      </c>
    </row>
    <row r="3011" spans="1:32" ht="17.25" thickBot="1" x14ac:dyDescent="0.35">
      <c r="A3011" s="2" t="s">
        <v>17697</v>
      </c>
      <c r="B3011" s="2" t="s">
        <v>27</v>
      </c>
      <c r="C3011" s="2" t="s">
        <v>28</v>
      </c>
      <c r="D3011" s="2" t="s">
        <v>97</v>
      </c>
      <c r="E3011" s="2" t="s">
        <v>17562</v>
      </c>
      <c r="F3011" s="2" t="s">
        <v>31</v>
      </c>
      <c r="G3011" s="2" t="s">
        <v>32</v>
      </c>
      <c r="H3011" s="1"/>
      <c r="I3011" s="2" t="s">
        <v>33</v>
      </c>
      <c r="J3011" s="2" t="s">
        <v>34</v>
      </c>
      <c r="K3011" s="2" t="s">
        <v>2595</v>
      </c>
      <c r="L3011" s="2" t="s">
        <v>2596</v>
      </c>
      <c r="M3011" s="2" t="s">
        <v>2389</v>
      </c>
      <c r="N3011" s="2" t="s">
        <v>38</v>
      </c>
      <c r="O3011" s="2" t="s">
        <v>471</v>
      </c>
      <c r="P3011" s="2" t="s">
        <v>16251</v>
      </c>
      <c r="Q3011" s="2" t="s">
        <v>15663</v>
      </c>
      <c r="R3011" s="2" t="s">
        <v>40</v>
      </c>
      <c r="S3011" s="2" t="s">
        <v>17698</v>
      </c>
      <c r="T3011" s="2" t="s">
        <v>13003</v>
      </c>
      <c r="U3011" s="2" t="s">
        <v>17699</v>
      </c>
      <c r="V3011" s="2" t="s">
        <v>17700</v>
      </c>
      <c r="W3011" s="1"/>
      <c r="X3011" s="2" t="s">
        <v>1504</v>
      </c>
      <c r="Y3011" s="2" t="s">
        <v>17583</v>
      </c>
      <c r="AA3011" t="str">
        <f t="shared" si="276"/>
        <v>2025-07</v>
      </c>
      <c r="AB3011" t="str">
        <f t="shared" si="277"/>
        <v/>
      </c>
      <c r="AC3011">
        <f t="shared" si="278"/>
        <v>392618.16</v>
      </c>
      <c r="AD3011">
        <f t="shared" si="279"/>
        <v>55</v>
      </c>
      <c r="AE3011">
        <f t="shared" si="280"/>
        <v>98588.160000000003</v>
      </c>
      <c r="AF3011" t="str">
        <f t="shared" si="281"/>
        <v>Paid</v>
      </c>
    </row>
    <row r="3012" spans="1:32" ht="17.25" thickBot="1" x14ac:dyDescent="0.35">
      <c r="A3012" s="2" t="s">
        <v>17701</v>
      </c>
      <c r="B3012" s="2" t="s">
        <v>27</v>
      </c>
      <c r="C3012" s="2" t="s">
        <v>28</v>
      </c>
      <c r="D3012" s="2" t="s">
        <v>97</v>
      </c>
      <c r="E3012" s="2" t="s">
        <v>17562</v>
      </c>
      <c r="F3012" s="2" t="s">
        <v>31</v>
      </c>
      <c r="G3012" s="2" t="s">
        <v>32</v>
      </c>
      <c r="H3012" s="1"/>
      <c r="I3012" s="2" t="s">
        <v>33</v>
      </c>
      <c r="J3012" s="2" t="s">
        <v>34</v>
      </c>
      <c r="K3012" s="2" t="s">
        <v>2595</v>
      </c>
      <c r="L3012" s="2" t="s">
        <v>2596</v>
      </c>
      <c r="M3012" s="2" t="s">
        <v>2389</v>
      </c>
      <c r="N3012" s="2" t="s">
        <v>38</v>
      </c>
      <c r="O3012" s="2" t="s">
        <v>378</v>
      </c>
      <c r="P3012" s="2" t="s">
        <v>16251</v>
      </c>
      <c r="Q3012" s="2" t="s">
        <v>16774</v>
      </c>
      <c r="R3012" s="2" t="s">
        <v>40</v>
      </c>
      <c r="S3012" s="2" t="s">
        <v>17702</v>
      </c>
      <c r="T3012" s="2" t="s">
        <v>13003</v>
      </c>
      <c r="U3012" s="2" t="s">
        <v>17703</v>
      </c>
      <c r="V3012" s="2" t="s">
        <v>17704</v>
      </c>
      <c r="W3012" s="1"/>
      <c r="X3012" s="2" t="s">
        <v>1504</v>
      </c>
      <c r="Y3012" s="2" t="s">
        <v>17583</v>
      </c>
      <c r="AA3012" t="str">
        <f t="shared" ref="AA3012:AA3075" si="282">LEFT(E3012,7)</f>
        <v>2025-07</v>
      </c>
      <c r="AB3012" t="str">
        <f t="shared" ref="AB3012:AB3075" si="283">IF(AND($AA3012&gt;="2025-01",$AA3012&lt;="2025-06"),"H1_2025",IF(AND($AA3012&gt;="2026-01",$AA3012&lt;="2026-06"),"H1_2026",""))</f>
        <v/>
      </c>
      <c r="AC3012">
        <f t="shared" ref="AC3012:AC3075" si="284">IFERROR(VALUE(SUBSTITUTE(S3012,",","")),0)</f>
        <v>321233.03999999998</v>
      </c>
      <c r="AD3012">
        <f t="shared" ref="AD3012:AD3075" si="285">IFERROR(VALUE(SUBSTITUTE(O3012,",","")),0)</f>
        <v>45</v>
      </c>
      <c r="AE3012">
        <f t="shared" ref="AE3012:AE3075" si="286">IFERROR(VALUE(SUBSTITUTE(V3012,",","")),0)</f>
        <v>80663.039999999994</v>
      </c>
      <c r="AF3012" t="str">
        <f t="shared" ref="AF3012:AF3075" si="287">IF(ISNUMBER(SEARCH("FOC",W3012)),"FOC",IF(ISNUMBER(SEARCH("샘플",W3012)),"Sample","Paid"))</f>
        <v>Paid</v>
      </c>
    </row>
    <row r="3013" spans="1:32" ht="17.25" thickBot="1" x14ac:dyDescent="0.35">
      <c r="A3013" s="2" t="s">
        <v>17705</v>
      </c>
      <c r="B3013" s="2" t="s">
        <v>27</v>
      </c>
      <c r="C3013" s="2" t="s">
        <v>28</v>
      </c>
      <c r="D3013" s="2" t="s">
        <v>97</v>
      </c>
      <c r="E3013" s="2" t="s">
        <v>17562</v>
      </c>
      <c r="F3013" s="2" t="s">
        <v>31</v>
      </c>
      <c r="G3013" s="2" t="s">
        <v>32</v>
      </c>
      <c r="H3013" s="1"/>
      <c r="I3013" s="2" t="s">
        <v>33</v>
      </c>
      <c r="J3013" s="2" t="s">
        <v>34</v>
      </c>
      <c r="K3013" s="2" t="s">
        <v>2610</v>
      </c>
      <c r="L3013" s="2" t="s">
        <v>2611</v>
      </c>
      <c r="M3013" s="2" t="s">
        <v>2389</v>
      </c>
      <c r="N3013" s="2" t="s">
        <v>38</v>
      </c>
      <c r="O3013" s="2" t="s">
        <v>849</v>
      </c>
      <c r="P3013" s="2" t="s">
        <v>8148</v>
      </c>
      <c r="Q3013" s="2" t="s">
        <v>17706</v>
      </c>
      <c r="R3013" s="2" t="s">
        <v>40</v>
      </c>
      <c r="S3013" s="2" t="s">
        <v>17707</v>
      </c>
      <c r="T3013" s="2" t="s">
        <v>2615</v>
      </c>
      <c r="U3013" s="2" t="s">
        <v>17708</v>
      </c>
      <c r="V3013" s="2" t="s">
        <v>17709</v>
      </c>
      <c r="W3013" s="1"/>
      <c r="X3013" s="2" t="s">
        <v>7021</v>
      </c>
      <c r="Y3013" s="2" t="s">
        <v>17583</v>
      </c>
      <c r="AA3013" t="str">
        <f t="shared" si="282"/>
        <v>2025-07</v>
      </c>
      <c r="AB3013" t="str">
        <f t="shared" si="283"/>
        <v/>
      </c>
      <c r="AC3013">
        <f t="shared" si="284"/>
        <v>1794520.32</v>
      </c>
      <c r="AD3013">
        <f t="shared" si="285"/>
        <v>160</v>
      </c>
      <c r="AE3013">
        <f t="shared" si="286"/>
        <v>844120.32</v>
      </c>
      <c r="AF3013" t="str">
        <f t="shared" si="287"/>
        <v>Paid</v>
      </c>
    </row>
    <row r="3014" spans="1:32" ht="27.75" thickBot="1" x14ac:dyDescent="0.35">
      <c r="A3014" s="2" t="s">
        <v>17710</v>
      </c>
      <c r="B3014" s="2" t="s">
        <v>27</v>
      </c>
      <c r="C3014" s="2" t="s">
        <v>28</v>
      </c>
      <c r="D3014" s="2" t="s">
        <v>97</v>
      </c>
      <c r="E3014" s="2" t="s">
        <v>17562</v>
      </c>
      <c r="F3014" s="2" t="s">
        <v>31</v>
      </c>
      <c r="G3014" s="2" t="s">
        <v>32</v>
      </c>
      <c r="H3014" s="1"/>
      <c r="I3014" s="2" t="s">
        <v>33</v>
      </c>
      <c r="J3014" s="2" t="s">
        <v>34</v>
      </c>
      <c r="K3014" s="2" t="s">
        <v>2620</v>
      </c>
      <c r="L3014" s="2" t="s">
        <v>2621</v>
      </c>
      <c r="M3014" s="2" t="s">
        <v>2389</v>
      </c>
      <c r="N3014" s="2" t="s">
        <v>38</v>
      </c>
      <c r="O3014" s="2" t="s">
        <v>214</v>
      </c>
      <c r="P3014" s="2" t="s">
        <v>15938</v>
      </c>
      <c r="Q3014" s="2" t="s">
        <v>17711</v>
      </c>
      <c r="R3014" s="2" t="s">
        <v>40</v>
      </c>
      <c r="S3014" s="2" t="s">
        <v>17712</v>
      </c>
      <c r="T3014" s="2" t="s">
        <v>15941</v>
      </c>
      <c r="U3014" s="2" t="s">
        <v>10056</v>
      </c>
      <c r="V3014" s="2" t="s">
        <v>17713</v>
      </c>
      <c r="W3014" s="1"/>
      <c r="X3014" s="2" t="s">
        <v>8384</v>
      </c>
      <c r="Y3014" s="2" t="s">
        <v>17583</v>
      </c>
      <c r="AA3014" t="str">
        <f t="shared" si="282"/>
        <v>2025-07</v>
      </c>
      <c r="AB3014" t="str">
        <f t="shared" si="283"/>
        <v/>
      </c>
      <c r="AC3014">
        <f t="shared" si="284"/>
        <v>437133.6</v>
      </c>
      <c r="AD3014">
        <f t="shared" si="285"/>
        <v>50</v>
      </c>
      <c r="AE3014">
        <f t="shared" si="286"/>
        <v>189633.6</v>
      </c>
      <c r="AF3014" t="str">
        <f t="shared" si="287"/>
        <v>Paid</v>
      </c>
    </row>
    <row r="3015" spans="1:32" ht="17.25" thickBot="1" x14ac:dyDescent="0.35">
      <c r="A3015" s="2" t="s">
        <v>17714</v>
      </c>
      <c r="B3015" s="2" t="s">
        <v>27</v>
      </c>
      <c r="C3015" s="2" t="s">
        <v>28</v>
      </c>
      <c r="D3015" s="2" t="s">
        <v>97</v>
      </c>
      <c r="E3015" s="2" t="s">
        <v>17562</v>
      </c>
      <c r="F3015" s="2" t="s">
        <v>31</v>
      </c>
      <c r="G3015" s="2" t="s">
        <v>32</v>
      </c>
      <c r="H3015" s="1"/>
      <c r="I3015" s="2" t="s">
        <v>33</v>
      </c>
      <c r="J3015" s="2" t="s">
        <v>34</v>
      </c>
      <c r="K3015" s="2" t="s">
        <v>13007</v>
      </c>
      <c r="L3015" s="2" t="s">
        <v>13008</v>
      </c>
      <c r="M3015" s="2" t="s">
        <v>8664</v>
      </c>
      <c r="N3015" s="2" t="s">
        <v>38</v>
      </c>
      <c r="O3015" s="2" t="s">
        <v>877</v>
      </c>
      <c r="P3015" s="2" t="s">
        <v>17715</v>
      </c>
      <c r="Q3015" s="2" t="s">
        <v>17716</v>
      </c>
      <c r="R3015" s="2" t="s">
        <v>40</v>
      </c>
      <c r="S3015" s="2" t="s">
        <v>17717</v>
      </c>
      <c r="T3015" s="2" t="s">
        <v>14059</v>
      </c>
      <c r="U3015" s="2" t="s">
        <v>17718</v>
      </c>
      <c r="V3015" s="2" t="s">
        <v>17719</v>
      </c>
      <c r="W3015" s="1"/>
      <c r="X3015" s="2" t="s">
        <v>1472</v>
      </c>
      <c r="Y3015" s="2" t="s">
        <v>17583</v>
      </c>
      <c r="AA3015" t="str">
        <f t="shared" si="282"/>
        <v>2025-07</v>
      </c>
      <c r="AB3015" t="str">
        <f t="shared" si="283"/>
        <v/>
      </c>
      <c r="AC3015">
        <f t="shared" si="284"/>
        <v>359599.2</v>
      </c>
      <c r="AD3015">
        <f t="shared" si="285"/>
        <v>100</v>
      </c>
      <c r="AE3015">
        <f t="shared" si="286"/>
        <v>86799.2</v>
      </c>
      <c r="AF3015" t="str">
        <f t="shared" si="287"/>
        <v>Paid</v>
      </c>
    </row>
    <row r="3016" spans="1:32" ht="27.75" thickBot="1" x14ac:dyDescent="0.35">
      <c r="A3016" s="2" t="s">
        <v>17720</v>
      </c>
      <c r="B3016" s="2" t="s">
        <v>27</v>
      </c>
      <c r="C3016" s="2" t="s">
        <v>28</v>
      </c>
      <c r="D3016" s="2" t="s">
        <v>97</v>
      </c>
      <c r="E3016" s="2" t="s">
        <v>17562</v>
      </c>
      <c r="F3016" s="2" t="s">
        <v>31</v>
      </c>
      <c r="G3016" s="2" t="s">
        <v>32</v>
      </c>
      <c r="H3016" s="1"/>
      <c r="I3016" s="2" t="s">
        <v>33</v>
      </c>
      <c r="J3016" s="2" t="s">
        <v>34</v>
      </c>
      <c r="K3016" s="2" t="s">
        <v>16568</v>
      </c>
      <c r="L3016" s="2" t="s">
        <v>16569</v>
      </c>
      <c r="M3016" s="2" t="s">
        <v>8664</v>
      </c>
      <c r="N3016" s="2" t="s">
        <v>38</v>
      </c>
      <c r="O3016" s="2" t="s">
        <v>156</v>
      </c>
      <c r="P3016" s="2" t="s">
        <v>17721</v>
      </c>
      <c r="Q3016" s="2" t="s">
        <v>17722</v>
      </c>
      <c r="R3016" s="2" t="s">
        <v>40</v>
      </c>
      <c r="S3016" s="2" t="s">
        <v>17723</v>
      </c>
      <c r="T3016" s="2" t="s">
        <v>16572</v>
      </c>
      <c r="U3016" s="2" t="s">
        <v>17724</v>
      </c>
      <c r="V3016" s="2" t="s">
        <v>17725</v>
      </c>
      <c r="W3016" s="1"/>
      <c r="X3016" s="2" t="s">
        <v>796</v>
      </c>
      <c r="Y3016" s="2" t="s">
        <v>17583</v>
      </c>
      <c r="AA3016" t="str">
        <f t="shared" si="282"/>
        <v>2025-07</v>
      </c>
      <c r="AB3016" t="str">
        <f t="shared" si="283"/>
        <v/>
      </c>
      <c r="AC3016">
        <f t="shared" si="284"/>
        <v>137957.76000000001</v>
      </c>
      <c r="AD3016">
        <f t="shared" si="285"/>
        <v>20</v>
      </c>
      <c r="AE3016">
        <f t="shared" si="286"/>
        <v>29157.759999999998</v>
      </c>
      <c r="AF3016" t="str">
        <f t="shared" si="287"/>
        <v>Paid</v>
      </c>
    </row>
    <row r="3017" spans="1:32" ht="17.25" thickBot="1" x14ac:dyDescent="0.35">
      <c r="A3017" s="2" t="s">
        <v>17726</v>
      </c>
      <c r="B3017" s="2" t="s">
        <v>27</v>
      </c>
      <c r="C3017" s="2" t="s">
        <v>28</v>
      </c>
      <c r="D3017" s="2" t="s">
        <v>97</v>
      </c>
      <c r="E3017" s="2" t="s">
        <v>17562</v>
      </c>
      <c r="F3017" s="2" t="s">
        <v>31</v>
      </c>
      <c r="G3017" s="2" t="s">
        <v>32</v>
      </c>
      <c r="H3017" s="1"/>
      <c r="I3017" s="2" t="s">
        <v>33</v>
      </c>
      <c r="J3017" s="2" t="s">
        <v>34</v>
      </c>
      <c r="K3017" s="2" t="s">
        <v>9434</v>
      </c>
      <c r="L3017" s="2" t="s">
        <v>9435</v>
      </c>
      <c r="M3017" s="2" t="s">
        <v>8664</v>
      </c>
      <c r="N3017" s="2" t="s">
        <v>38</v>
      </c>
      <c r="O3017" s="2" t="s">
        <v>214</v>
      </c>
      <c r="P3017" s="2" t="s">
        <v>3718</v>
      </c>
      <c r="Q3017" s="2" t="s">
        <v>17727</v>
      </c>
      <c r="R3017" s="2" t="s">
        <v>40</v>
      </c>
      <c r="S3017" s="2" t="s">
        <v>17728</v>
      </c>
      <c r="T3017" s="2" t="s">
        <v>13019</v>
      </c>
      <c r="U3017" s="2" t="s">
        <v>17729</v>
      </c>
      <c r="V3017" s="2" t="s">
        <v>17730</v>
      </c>
      <c r="W3017" s="1"/>
      <c r="X3017" s="2" t="s">
        <v>1427</v>
      </c>
      <c r="Y3017" s="2" t="s">
        <v>17583</v>
      </c>
      <c r="AA3017" t="str">
        <f t="shared" si="282"/>
        <v>2025-07</v>
      </c>
      <c r="AB3017" t="str">
        <f t="shared" si="283"/>
        <v/>
      </c>
      <c r="AC3017">
        <f t="shared" si="284"/>
        <v>300111.59999999998</v>
      </c>
      <c r="AD3017">
        <f t="shared" si="285"/>
        <v>50</v>
      </c>
      <c r="AE3017">
        <f t="shared" si="286"/>
        <v>72811.600000000006</v>
      </c>
      <c r="AF3017" t="str">
        <f t="shared" si="287"/>
        <v>Paid</v>
      </c>
    </row>
    <row r="3018" spans="1:32" ht="17.25" thickBot="1" x14ac:dyDescent="0.35">
      <c r="A3018" s="2" t="s">
        <v>17731</v>
      </c>
      <c r="B3018" s="2" t="s">
        <v>27</v>
      </c>
      <c r="C3018" s="2" t="s">
        <v>28</v>
      </c>
      <c r="D3018" s="2" t="s">
        <v>97</v>
      </c>
      <c r="E3018" s="2" t="s">
        <v>17562</v>
      </c>
      <c r="F3018" s="2" t="s">
        <v>31</v>
      </c>
      <c r="G3018" s="2" t="s">
        <v>32</v>
      </c>
      <c r="H3018" s="1"/>
      <c r="I3018" s="2" t="s">
        <v>33</v>
      </c>
      <c r="J3018" s="2" t="s">
        <v>34</v>
      </c>
      <c r="K3018" s="2" t="s">
        <v>9441</v>
      </c>
      <c r="L3018" s="2" t="s">
        <v>9442</v>
      </c>
      <c r="M3018" s="2" t="s">
        <v>8664</v>
      </c>
      <c r="N3018" s="2" t="s">
        <v>38</v>
      </c>
      <c r="O3018" s="2" t="s">
        <v>214</v>
      </c>
      <c r="P3018" s="2" t="s">
        <v>17732</v>
      </c>
      <c r="Q3018" s="2" t="s">
        <v>17733</v>
      </c>
      <c r="R3018" s="2" t="s">
        <v>40</v>
      </c>
      <c r="S3018" s="2" t="s">
        <v>17734</v>
      </c>
      <c r="T3018" s="2" t="s">
        <v>3163</v>
      </c>
      <c r="U3018" s="2" t="s">
        <v>1654</v>
      </c>
      <c r="V3018" s="2" t="s">
        <v>17735</v>
      </c>
      <c r="W3018" s="1"/>
      <c r="X3018" s="2" t="s">
        <v>1427</v>
      </c>
      <c r="Y3018" s="2" t="s">
        <v>17583</v>
      </c>
      <c r="AA3018" t="str">
        <f t="shared" si="282"/>
        <v>2025-07</v>
      </c>
      <c r="AB3018" t="str">
        <f t="shared" si="283"/>
        <v/>
      </c>
      <c r="AC3018">
        <f t="shared" si="284"/>
        <v>330189.59999999998</v>
      </c>
      <c r="AD3018">
        <f t="shared" si="285"/>
        <v>50</v>
      </c>
      <c r="AE3018">
        <f t="shared" si="286"/>
        <v>80189.600000000006</v>
      </c>
      <c r="AF3018" t="str">
        <f t="shared" si="287"/>
        <v>Paid</v>
      </c>
    </row>
    <row r="3019" spans="1:32" ht="17.25" thickBot="1" x14ac:dyDescent="0.35">
      <c r="A3019" s="2" t="s">
        <v>17736</v>
      </c>
      <c r="B3019" s="2" t="s">
        <v>27</v>
      </c>
      <c r="C3019" s="2" t="s">
        <v>28</v>
      </c>
      <c r="D3019" s="2" t="s">
        <v>97</v>
      </c>
      <c r="E3019" s="2" t="s">
        <v>17562</v>
      </c>
      <c r="F3019" s="2" t="s">
        <v>31</v>
      </c>
      <c r="G3019" s="2" t="s">
        <v>32</v>
      </c>
      <c r="H3019" s="1"/>
      <c r="I3019" s="2" t="s">
        <v>33</v>
      </c>
      <c r="J3019" s="2" t="s">
        <v>34</v>
      </c>
      <c r="K3019" s="2" t="s">
        <v>16589</v>
      </c>
      <c r="L3019" s="2" t="s">
        <v>16590</v>
      </c>
      <c r="M3019" s="2" t="s">
        <v>8664</v>
      </c>
      <c r="N3019" s="2" t="s">
        <v>38</v>
      </c>
      <c r="O3019" s="2" t="s">
        <v>156</v>
      </c>
      <c r="P3019" s="2" t="s">
        <v>17721</v>
      </c>
      <c r="Q3019" s="2" t="s">
        <v>17722</v>
      </c>
      <c r="R3019" s="2" t="s">
        <v>40</v>
      </c>
      <c r="S3019" s="2" t="s">
        <v>17723</v>
      </c>
      <c r="T3019" s="2" t="s">
        <v>16591</v>
      </c>
      <c r="U3019" s="2" t="s">
        <v>17737</v>
      </c>
      <c r="V3019" s="2" t="s">
        <v>17738</v>
      </c>
      <c r="W3019" s="1"/>
      <c r="X3019" s="2" t="s">
        <v>201</v>
      </c>
      <c r="Y3019" s="2" t="s">
        <v>17583</v>
      </c>
      <c r="AA3019" t="str">
        <f t="shared" si="282"/>
        <v>2025-07</v>
      </c>
      <c r="AB3019" t="str">
        <f t="shared" si="283"/>
        <v/>
      </c>
      <c r="AC3019">
        <f t="shared" si="284"/>
        <v>137957.76000000001</v>
      </c>
      <c r="AD3019">
        <f t="shared" si="285"/>
        <v>20</v>
      </c>
      <c r="AE3019">
        <f t="shared" si="286"/>
        <v>33357.760000000002</v>
      </c>
      <c r="AF3019" t="str">
        <f t="shared" si="287"/>
        <v>Paid</v>
      </c>
    </row>
    <row r="3020" spans="1:32" ht="27.75" thickBot="1" x14ac:dyDescent="0.35">
      <c r="A3020" s="2" t="s">
        <v>17739</v>
      </c>
      <c r="B3020" s="2" t="s">
        <v>27</v>
      </c>
      <c r="C3020" s="2" t="s">
        <v>28</v>
      </c>
      <c r="D3020" s="2" t="s">
        <v>97</v>
      </c>
      <c r="E3020" s="2" t="s">
        <v>17562</v>
      </c>
      <c r="F3020" s="2" t="s">
        <v>31</v>
      </c>
      <c r="G3020" s="2" t="s">
        <v>32</v>
      </c>
      <c r="H3020" s="1"/>
      <c r="I3020" s="2" t="s">
        <v>33</v>
      </c>
      <c r="J3020" s="2" t="s">
        <v>34</v>
      </c>
      <c r="K3020" s="2" t="s">
        <v>2629</v>
      </c>
      <c r="L3020" s="2" t="s">
        <v>2630</v>
      </c>
      <c r="M3020" s="2" t="s">
        <v>2631</v>
      </c>
      <c r="N3020" s="2" t="s">
        <v>38</v>
      </c>
      <c r="O3020" s="2" t="s">
        <v>214</v>
      </c>
      <c r="P3020" s="2" t="s">
        <v>11713</v>
      </c>
      <c r="Q3020" s="2" t="s">
        <v>7699</v>
      </c>
      <c r="R3020" s="2" t="s">
        <v>40</v>
      </c>
      <c r="S3020" s="2" t="s">
        <v>17740</v>
      </c>
      <c r="T3020" s="2" t="s">
        <v>10627</v>
      </c>
      <c r="U3020" s="2" t="s">
        <v>14944</v>
      </c>
      <c r="V3020" s="2" t="s">
        <v>17741</v>
      </c>
      <c r="W3020" s="1"/>
      <c r="X3020" s="2" t="s">
        <v>2638</v>
      </c>
      <c r="Y3020" s="2" t="s">
        <v>17583</v>
      </c>
      <c r="AA3020" t="str">
        <f t="shared" si="282"/>
        <v>2025-07</v>
      </c>
      <c r="AB3020" t="str">
        <f t="shared" si="283"/>
        <v/>
      </c>
      <c r="AC3020">
        <f t="shared" si="284"/>
        <v>214556.4</v>
      </c>
      <c r="AD3020">
        <f t="shared" si="285"/>
        <v>50</v>
      </c>
      <c r="AE3020">
        <f t="shared" si="286"/>
        <v>37256.400000000001</v>
      </c>
      <c r="AF3020" t="str">
        <f t="shared" si="287"/>
        <v>Paid</v>
      </c>
    </row>
    <row r="3021" spans="1:32" ht="27.75" thickBot="1" x14ac:dyDescent="0.35">
      <c r="A3021" s="2" t="s">
        <v>17742</v>
      </c>
      <c r="B3021" s="2" t="s">
        <v>27</v>
      </c>
      <c r="C3021" s="2" t="s">
        <v>28</v>
      </c>
      <c r="D3021" s="2" t="s">
        <v>97</v>
      </c>
      <c r="E3021" s="2" t="s">
        <v>17562</v>
      </c>
      <c r="F3021" s="2" t="s">
        <v>31</v>
      </c>
      <c r="G3021" s="2" t="s">
        <v>32</v>
      </c>
      <c r="H3021" s="1"/>
      <c r="I3021" s="2" t="s">
        <v>33</v>
      </c>
      <c r="J3021" s="2" t="s">
        <v>34</v>
      </c>
      <c r="K3021" s="2" t="s">
        <v>9457</v>
      </c>
      <c r="L3021" s="2" t="s">
        <v>9458</v>
      </c>
      <c r="M3021" s="2" t="s">
        <v>570</v>
      </c>
      <c r="N3021" s="2" t="s">
        <v>38</v>
      </c>
      <c r="O3021" s="2" t="s">
        <v>3731</v>
      </c>
      <c r="P3021" s="2" t="s">
        <v>142</v>
      </c>
      <c r="Q3021" s="2" t="s">
        <v>17471</v>
      </c>
      <c r="R3021" s="2" t="s">
        <v>40</v>
      </c>
      <c r="S3021" s="2" t="s">
        <v>17743</v>
      </c>
      <c r="T3021" s="2" t="s">
        <v>7463</v>
      </c>
      <c r="U3021" s="2" t="s">
        <v>17744</v>
      </c>
      <c r="V3021" s="2" t="s">
        <v>17745</v>
      </c>
      <c r="W3021" s="1"/>
      <c r="X3021" s="2" t="s">
        <v>4908</v>
      </c>
      <c r="Y3021" s="2" t="s">
        <v>17583</v>
      </c>
      <c r="AA3021" t="str">
        <f t="shared" si="282"/>
        <v>2025-07</v>
      </c>
      <c r="AB3021" t="str">
        <f t="shared" si="283"/>
        <v/>
      </c>
      <c r="AC3021">
        <f t="shared" si="284"/>
        <v>193301.28</v>
      </c>
      <c r="AD3021">
        <f t="shared" si="285"/>
        <v>482</v>
      </c>
      <c r="AE3021">
        <f t="shared" si="286"/>
        <v>35205.279999999999</v>
      </c>
      <c r="AF3021" t="str">
        <f t="shared" si="287"/>
        <v>Paid</v>
      </c>
    </row>
    <row r="3022" spans="1:32" ht="27.75" thickBot="1" x14ac:dyDescent="0.35">
      <c r="A3022" s="2" t="s">
        <v>17746</v>
      </c>
      <c r="B3022" s="2" t="s">
        <v>27</v>
      </c>
      <c r="C3022" s="2" t="s">
        <v>28</v>
      </c>
      <c r="D3022" s="2" t="s">
        <v>97</v>
      </c>
      <c r="E3022" s="2" t="s">
        <v>17562</v>
      </c>
      <c r="F3022" s="2" t="s">
        <v>31</v>
      </c>
      <c r="G3022" s="2" t="s">
        <v>32</v>
      </c>
      <c r="H3022" s="1"/>
      <c r="I3022" s="2" t="s">
        <v>33</v>
      </c>
      <c r="J3022" s="2" t="s">
        <v>34</v>
      </c>
      <c r="K3022" s="2" t="s">
        <v>11386</v>
      </c>
      <c r="L3022" s="2" t="s">
        <v>11387</v>
      </c>
      <c r="M3022" s="2" t="s">
        <v>570</v>
      </c>
      <c r="N3022" s="2" t="s">
        <v>38</v>
      </c>
      <c r="O3022" s="2" t="s">
        <v>177</v>
      </c>
      <c r="P3022" s="2" t="s">
        <v>142</v>
      </c>
      <c r="Q3022" s="2" t="s">
        <v>17747</v>
      </c>
      <c r="R3022" s="2" t="s">
        <v>40</v>
      </c>
      <c r="S3022" s="2" t="s">
        <v>17748</v>
      </c>
      <c r="T3022" s="2" t="s">
        <v>7463</v>
      </c>
      <c r="U3022" s="2" t="s">
        <v>17749</v>
      </c>
      <c r="V3022" s="2" t="s">
        <v>17750</v>
      </c>
      <c r="W3022" s="1"/>
      <c r="X3022" s="2" t="s">
        <v>4908</v>
      </c>
      <c r="Y3022" s="2" t="s">
        <v>17583</v>
      </c>
      <c r="AA3022" t="str">
        <f t="shared" si="282"/>
        <v>2025-07</v>
      </c>
      <c r="AB3022" t="str">
        <f t="shared" si="283"/>
        <v/>
      </c>
      <c r="AC3022">
        <f t="shared" si="284"/>
        <v>160416</v>
      </c>
      <c r="AD3022">
        <f t="shared" si="285"/>
        <v>400</v>
      </c>
      <c r="AE3022">
        <f t="shared" si="286"/>
        <v>29216</v>
      </c>
      <c r="AF3022" t="str">
        <f t="shared" si="287"/>
        <v>Paid</v>
      </c>
    </row>
    <row r="3023" spans="1:32" ht="27.75" thickBot="1" x14ac:dyDescent="0.35">
      <c r="A3023" s="2" t="s">
        <v>17751</v>
      </c>
      <c r="B3023" s="2" t="s">
        <v>27</v>
      </c>
      <c r="C3023" s="2" t="s">
        <v>28</v>
      </c>
      <c r="D3023" s="2" t="s">
        <v>97</v>
      </c>
      <c r="E3023" s="2" t="s">
        <v>17562</v>
      </c>
      <c r="F3023" s="2" t="s">
        <v>31</v>
      </c>
      <c r="G3023" s="2" t="s">
        <v>32</v>
      </c>
      <c r="H3023" s="1"/>
      <c r="I3023" s="2" t="s">
        <v>33</v>
      </c>
      <c r="J3023" s="2" t="s">
        <v>34</v>
      </c>
      <c r="K3023" s="2" t="s">
        <v>9470</v>
      </c>
      <c r="L3023" s="2" t="s">
        <v>9471</v>
      </c>
      <c r="M3023" s="2" t="s">
        <v>570</v>
      </c>
      <c r="N3023" s="2" t="s">
        <v>38</v>
      </c>
      <c r="O3023" s="2" t="s">
        <v>2057</v>
      </c>
      <c r="P3023" s="2" t="s">
        <v>142</v>
      </c>
      <c r="Q3023" s="2" t="s">
        <v>15964</v>
      </c>
      <c r="R3023" s="2" t="s">
        <v>40</v>
      </c>
      <c r="S3023" s="2" t="s">
        <v>17752</v>
      </c>
      <c r="T3023" s="2" t="s">
        <v>7463</v>
      </c>
      <c r="U3023" s="2" t="s">
        <v>15966</v>
      </c>
      <c r="V3023" s="2" t="s">
        <v>17753</v>
      </c>
      <c r="W3023" s="1"/>
      <c r="X3023" s="2" t="s">
        <v>4908</v>
      </c>
      <c r="Y3023" s="2" t="s">
        <v>17583</v>
      </c>
      <c r="AA3023" t="str">
        <f t="shared" si="282"/>
        <v>2025-07</v>
      </c>
      <c r="AB3023" t="str">
        <f t="shared" si="283"/>
        <v/>
      </c>
      <c r="AC3023">
        <f t="shared" si="284"/>
        <v>140364</v>
      </c>
      <c r="AD3023">
        <f t="shared" si="285"/>
        <v>350</v>
      </c>
      <c r="AE3023">
        <f t="shared" si="286"/>
        <v>25564</v>
      </c>
      <c r="AF3023" t="str">
        <f t="shared" si="287"/>
        <v>Paid</v>
      </c>
    </row>
    <row r="3024" spans="1:32" ht="27.75" thickBot="1" x14ac:dyDescent="0.35">
      <c r="A3024" s="2" t="s">
        <v>17754</v>
      </c>
      <c r="B3024" s="2" t="s">
        <v>27</v>
      </c>
      <c r="C3024" s="2" t="s">
        <v>28</v>
      </c>
      <c r="D3024" s="2" t="s">
        <v>97</v>
      </c>
      <c r="E3024" s="2" t="s">
        <v>17562</v>
      </c>
      <c r="F3024" s="2" t="s">
        <v>31</v>
      </c>
      <c r="G3024" s="2" t="s">
        <v>32</v>
      </c>
      <c r="H3024" s="1"/>
      <c r="I3024" s="2" t="s">
        <v>33</v>
      </c>
      <c r="J3024" s="2" t="s">
        <v>34</v>
      </c>
      <c r="K3024" s="2" t="s">
        <v>9476</v>
      </c>
      <c r="L3024" s="2" t="s">
        <v>9477</v>
      </c>
      <c r="M3024" s="2" t="s">
        <v>570</v>
      </c>
      <c r="N3024" s="2" t="s">
        <v>38</v>
      </c>
      <c r="O3024" s="2" t="s">
        <v>149</v>
      </c>
      <c r="P3024" s="2" t="s">
        <v>142</v>
      </c>
      <c r="Q3024" s="2" t="s">
        <v>1750</v>
      </c>
      <c r="R3024" s="2" t="s">
        <v>40</v>
      </c>
      <c r="S3024" s="2" t="s">
        <v>17755</v>
      </c>
      <c r="T3024" s="2" t="s">
        <v>7463</v>
      </c>
      <c r="U3024" s="2" t="s">
        <v>15984</v>
      </c>
      <c r="V3024" s="2" t="s">
        <v>17756</v>
      </c>
      <c r="W3024" s="1"/>
      <c r="X3024" s="2" t="s">
        <v>4908</v>
      </c>
      <c r="Y3024" s="2" t="s">
        <v>17583</v>
      </c>
      <c r="AA3024" t="str">
        <f t="shared" si="282"/>
        <v>2025-07</v>
      </c>
      <c r="AB3024" t="str">
        <f t="shared" si="283"/>
        <v/>
      </c>
      <c r="AC3024">
        <f t="shared" si="284"/>
        <v>120312</v>
      </c>
      <c r="AD3024">
        <f t="shared" si="285"/>
        <v>300</v>
      </c>
      <c r="AE3024">
        <f t="shared" si="286"/>
        <v>21912</v>
      </c>
      <c r="AF3024" t="str">
        <f t="shared" si="287"/>
        <v>Paid</v>
      </c>
    </row>
    <row r="3025" spans="1:32" ht="27.75" thickBot="1" x14ac:dyDescent="0.35">
      <c r="A3025" s="2" t="s">
        <v>17757</v>
      </c>
      <c r="B3025" s="2" t="s">
        <v>27</v>
      </c>
      <c r="C3025" s="2" t="s">
        <v>28</v>
      </c>
      <c r="D3025" s="2" t="s">
        <v>97</v>
      </c>
      <c r="E3025" s="2" t="s">
        <v>17562</v>
      </c>
      <c r="F3025" s="2" t="s">
        <v>31</v>
      </c>
      <c r="G3025" s="2" t="s">
        <v>32</v>
      </c>
      <c r="H3025" s="1"/>
      <c r="I3025" s="2" t="s">
        <v>33</v>
      </c>
      <c r="J3025" s="2" t="s">
        <v>34</v>
      </c>
      <c r="K3025" s="2" t="s">
        <v>9483</v>
      </c>
      <c r="L3025" s="2" t="s">
        <v>9484</v>
      </c>
      <c r="M3025" s="2" t="s">
        <v>570</v>
      </c>
      <c r="N3025" s="2" t="s">
        <v>38</v>
      </c>
      <c r="O3025" s="2" t="s">
        <v>1836</v>
      </c>
      <c r="P3025" s="2" t="s">
        <v>142</v>
      </c>
      <c r="Q3025" s="2" t="s">
        <v>17758</v>
      </c>
      <c r="R3025" s="2" t="s">
        <v>40</v>
      </c>
      <c r="S3025" s="2" t="s">
        <v>17759</v>
      </c>
      <c r="T3025" s="2" t="s">
        <v>7463</v>
      </c>
      <c r="U3025" s="2" t="s">
        <v>17760</v>
      </c>
      <c r="V3025" s="2" t="s">
        <v>17761</v>
      </c>
      <c r="W3025" s="1"/>
      <c r="X3025" s="2" t="s">
        <v>4908</v>
      </c>
      <c r="Y3025" s="2" t="s">
        <v>17583</v>
      </c>
      <c r="AA3025" t="str">
        <f t="shared" si="282"/>
        <v>2025-07</v>
      </c>
      <c r="AB3025" t="str">
        <f t="shared" si="283"/>
        <v/>
      </c>
      <c r="AC3025">
        <f t="shared" si="284"/>
        <v>88228.800000000003</v>
      </c>
      <c r="AD3025">
        <f t="shared" si="285"/>
        <v>220</v>
      </c>
      <c r="AE3025">
        <f t="shared" si="286"/>
        <v>16068.8</v>
      </c>
      <c r="AF3025" t="str">
        <f t="shared" si="287"/>
        <v>Paid</v>
      </c>
    </row>
    <row r="3026" spans="1:32" ht="27.75" thickBot="1" x14ac:dyDescent="0.35">
      <c r="A3026" s="2" t="s">
        <v>17762</v>
      </c>
      <c r="B3026" s="2" t="s">
        <v>27</v>
      </c>
      <c r="C3026" s="2" t="s">
        <v>28</v>
      </c>
      <c r="D3026" s="2" t="s">
        <v>97</v>
      </c>
      <c r="E3026" s="2" t="s">
        <v>17562</v>
      </c>
      <c r="F3026" s="2" t="s">
        <v>31</v>
      </c>
      <c r="G3026" s="2" t="s">
        <v>32</v>
      </c>
      <c r="H3026" s="1"/>
      <c r="I3026" s="2" t="s">
        <v>33</v>
      </c>
      <c r="J3026" s="2" t="s">
        <v>34</v>
      </c>
      <c r="K3026" s="2" t="s">
        <v>2662</v>
      </c>
      <c r="L3026" s="2" t="s">
        <v>2663</v>
      </c>
      <c r="M3026" s="2" t="s">
        <v>570</v>
      </c>
      <c r="N3026" s="2" t="s">
        <v>38</v>
      </c>
      <c r="O3026" s="2" t="s">
        <v>773</v>
      </c>
      <c r="P3026" s="2" t="s">
        <v>15977</v>
      </c>
      <c r="Q3026" s="2" t="s">
        <v>17002</v>
      </c>
      <c r="R3026" s="2" t="s">
        <v>40</v>
      </c>
      <c r="S3026" s="2" t="s">
        <v>17763</v>
      </c>
      <c r="T3026" s="2" t="s">
        <v>7463</v>
      </c>
      <c r="U3026" s="2" t="s">
        <v>17764</v>
      </c>
      <c r="V3026" s="2" t="s">
        <v>17765</v>
      </c>
      <c r="W3026" s="1"/>
      <c r="X3026" s="2" t="s">
        <v>578</v>
      </c>
      <c r="Y3026" s="2" t="s">
        <v>17583</v>
      </c>
      <c r="AA3026" t="str">
        <f t="shared" si="282"/>
        <v>2025-07</v>
      </c>
      <c r="AB3026" t="str">
        <f t="shared" si="283"/>
        <v/>
      </c>
      <c r="AC3026">
        <f t="shared" si="284"/>
        <v>112291.2</v>
      </c>
      <c r="AD3026">
        <f t="shared" si="285"/>
        <v>200</v>
      </c>
      <c r="AE3026">
        <f t="shared" si="286"/>
        <v>46691.199999999997</v>
      </c>
      <c r="AF3026" t="str">
        <f t="shared" si="287"/>
        <v>Paid</v>
      </c>
    </row>
    <row r="3027" spans="1:32" ht="27.75" thickBot="1" x14ac:dyDescent="0.35">
      <c r="A3027" s="2" t="s">
        <v>17766</v>
      </c>
      <c r="B3027" s="2" t="s">
        <v>27</v>
      </c>
      <c r="C3027" s="2" t="s">
        <v>28</v>
      </c>
      <c r="D3027" s="2" t="s">
        <v>97</v>
      </c>
      <c r="E3027" s="2" t="s">
        <v>17562</v>
      </c>
      <c r="F3027" s="2" t="s">
        <v>31</v>
      </c>
      <c r="G3027" s="2" t="s">
        <v>32</v>
      </c>
      <c r="H3027" s="1"/>
      <c r="I3027" s="2" t="s">
        <v>33</v>
      </c>
      <c r="J3027" s="2" t="s">
        <v>34</v>
      </c>
      <c r="K3027" s="2" t="s">
        <v>11412</v>
      </c>
      <c r="L3027" s="2" t="s">
        <v>11413</v>
      </c>
      <c r="M3027" s="2" t="s">
        <v>570</v>
      </c>
      <c r="N3027" s="2" t="s">
        <v>38</v>
      </c>
      <c r="O3027" s="2" t="s">
        <v>428</v>
      </c>
      <c r="P3027" s="2" t="s">
        <v>142</v>
      </c>
      <c r="Q3027" s="2" t="s">
        <v>11576</v>
      </c>
      <c r="R3027" s="2" t="s">
        <v>40</v>
      </c>
      <c r="S3027" s="2" t="s">
        <v>17767</v>
      </c>
      <c r="T3027" s="2" t="s">
        <v>7463</v>
      </c>
      <c r="U3027" s="2" t="s">
        <v>6854</v>
      </c>
      <c r="V3027" s="2" t="s">
        <v>17768</v>
      </c>
      <c r="W3027" s="1"/>
      <c r="X3027" s="2" t="s">
        <v>4908</v>
      </c>
      <c r="Y3027" s="2" t="s">
        <v>17583</v>
      </c>
      <c r="AA3027" t="str">
        <f t="shared" si="282"/>
        <v>2025-07</v>
      </c>
      <c r="AB3027" t="str">
        <f t="shared" si="283"/>
        <v/>
      </c>
      <c r="AC3027">
        <f t="shared" si="284"/>
        <v>100260</v>
      </c>
      <c r="AD3027">
        <f t="shared" si="285"/>
        <v>250</v>
      </c>
      <c r="AE3027">
        <f t="shared" si="286"/>
        <v>18260</v>
      </c>
      <c r="AF3027" t="str">
        <f t="shared" si="287"/>
        <v>Paid</v>
      </c>
    </row>
    <row r="3028" spans="1:32" ht="27.75" thickBot="1" x14ac:dyDescent="0.35">
      <c r="A3028" s="2" t="s">
        <v>17769</v>
      </c>
      <c r="B3028" s="2" t="s">
        <v>27</v>
      </c>
      <c r="C3028" s="2" t="s">
        <v>28</v>
      </c>
      <c r="D3028" s="2" t="s">
        <v>97</v>
      </c>
      <c r="E3028" s="2" t="s">
        <v>17562</v>
      </c>
      <c r="F3028" s="2" t="s">
        <v>31</v>
      </c>
      <c r="G3028" s="2" t="s">
        <v>32</v>
      </c>
      <c r="H3028" s="1"/>
      <c r="I3028" s="2" t="s">
        <v>33</v>
      </c>
      <c r="J3028" s="2" t="s">
        <v>34</v>
      </c>
      <c r="K3028" s="2" t="s">
        <v>11425</v>
      </c>
      <c r="L3028" s="2" t="s">
        <v>11426</v>
      </c>
      <c r="M3028" s="2" t="s">
        <v>570</v>
      </c>
      <c r="N3028" s="2" t="s">
        <v>38</v>
      </c>
      <c r="O3028" s="2" t="s">
        <v>141</v>
      </c>
      <c r="P3028" s="2" t="s">
        <v>142</v>
      </c>
      <c r="Q3028" s="2" t="s">
        <v>4847</v>
      </c>
      <c r="R3028" s="2" t="s">
        <v>40</v>
      </c>
      <c r="S3028" s="2" t="s">
        <v>17770</v>
      </c>
      <c r="T3028" s="2" t="s">
        <v>7463</v>
      </c>
      <c r="U3028" s="2" t="s">
        <v>17771</v>
      </c>
      <c r="V3028" s="2" t="s">
        <v>7505</v>
      </c>
      <c r="W3028" s="1"/>
      <c r="X3028" s="2" t="s">
        <v>4908</v>
      </c>
      <c r="Y3028" s="2" t="s">
        <v>17583</v>
      </c>
      <c r="AA3028" t="str">
        <f t="shared" si="282"/>
        <v>2025-07</v>
      </c>
      <c r="AB3028" t="str">
        <f t="shared" si="283"/>
        <v/>
      </c>
      <c r="AC3028">
        <f t="shared" si="284"/>
        <v>12031.2</v>
      </c>
      <c r="AD3028">
        <f t="shared" si="285"/>
        <v>30</v>
      </c>
      <c r="AE3028">
        <f t="shared" si="286"/>
        <v>2191.1999999999998</v>
      </c>
      <c r="AF3028" t="str">
        <f t="shared" si="287"/>
        <v>Paid</v>
      </c>
    </row>
    <row r="3029" spans="1:32" ht="17.25" thickBot="1" x14ac:dyDescent="0.35">
      <c r="A3029" s="2" t="s">
        <v>17772</v>
      </c>
      <c r="B3029" s="2" t="s">
        <v>27</v>
      </c>
      <c r="C3029" s="2" t="s">
        <v>28</v>
      </c>
      <c r="D3029" s="2" t="s">
        <v>97</v>
      </c>
      <c r="E3029" s="2" t="s">
        <v>17562</v>
      </c>
      <c r="F3029" s="2" t="s">
        <v>31</v>
      </c>
      <c r="G3029" s="2" t="s">
        <v>32</v>
      </c>
      <c r="H3029" s="1"/>
      <c r="I3029" s="2" t="s">
        <v>33</v>
      </c>
      <c r="J3029" s="2" t="s">
        <v>34</v>
      </c>
      <c r="K3029" s="2" t="s">
        <v>16603</v>
      </c>
      <c r="L3029" s="2" t="s">
        <v>16604</v>
      </c>
      <c r="M3029" s="2" t="s">
        <v>634</v>
      </c>
      <c r="N3029" s="2" t="s">
        <v>38</v>
      </c>
      <c r="O3029" s="2" t="s">
        <v>156</v>
      </c>
      <c r="P3029" s="2" t="s">
        <v>17773</v>
      </c>
      <c r="Q3029" s="2" t="s">
        <v>17774</v>
      </c>
      <c r="R3029" s="2" t="s">
        <v>40</v>
      </c>
      <c r="S3029" s="2" t="s">
        <v>17775</v>
      </c>
      <c r="T3029" s="2" t="s">
        <v>16608</v>
      </c>
      <c r="U3029" s="2" t="s">
        <v>17776</v>
      </c>
      <c r="V3029" s="2" t="s">
        <v>17777</v>
      </c>
      <c r="W3029" s="1"/>
      <c r="X3029" s="2" t="s">
        <v>14718</v>
      </c>
      <c r="Y3029" s="2" t="s">
        <v>17583</v>
      </c>
      <c r="AA3029" t="str">
        <f t="shared" si="282"/>
        <v>2025-07</v>
      </c>
      <c r="AB3029" t="str">
        <f t="shared" si="283"/>
        <v/>
      </c>
      <c r="AC3029">
        <f t="shared" si="284"/>
        <v>279925.92</v>
      </c>
      <c r="AD3029">
        <f t="shared" si="285"/>
        <v>20</v>
      </c>
      <c r="AE3029">
        <f t="shared" si="286"/>
        <v>90725.92</v>
      </c>
      <c r="AF3029" t="str">
        <f t="shared" si="287"/>
        <v>Paid</v>
      </c>
    </row>
    <row r="3030" spans="1:32" ht="17.25" thickBot="1" x14ac:dyDescent="0.35">
      <c r="A3030" s="2" t="s">
        <v>17778</v>
      </c>
      <c r="B3030" s="2" t="s">
        <v>27</v>
      </c>
      <c r="C3030" s="2" t="s">
        <v>28</v>
      </c>
      <c r="D3030" s="2" t="s">
        <v>97</v>
      </c>
      <c r="E3030" s="2" t="s">
        <v>17562</v>
      </c>
      <c r="F3030" s="2" t="s">
        <v>31</v>
      </c>
      <c r="G3030" s="2" t="s">
        <v>32</v>
      </c>
      <c r="H3030" s="1"/>
      <c r="I3030" s="2" t="s">
        <v>33</v>
      </c>
      <c r="J3030" s="2" t="s">
        <v>34</v>
      </c>
      <c r="K3030" s="2" t="s">
        <v>682</v>
      </c>
      <c r="L3030" s="2" t="s">
        <v>683</v>
      </c>
      <c r="M3030" s="2" t="s">
        <v>634</v>
      </c>
      <c r="N3030" s="2" t="s">
        <v>38</v>
      </c>
      <c r="O3030" s="2" t="s">
        <v>214</v>
      </c>
      <c r="P3030" s="2" t="s">
        <v>402</v>
      </c>
      <c r="Q3030" s="2" t="s">
        <v>7533</v>
      </c>
      <c r="R3030" s="2" t="s">
        <v>40</v>
      </c>
      <c r="S3030" s="2" t="s">
        <v>17779</v>
      </c>
      <c r="T3030" s="2" t="s">
        <v>687</v>
      </c>
      <c r="U3030" s="2" t="s">
        <v>17780</v>
      </c>
      <c r="V3030" s="2" t="s">
        <v>17781</v>
      </c>
      <c r="W3030" s="1"/>
      <c r="X3030" s="2" t="s">
        <v>690</v>
      </c>
      <c r="Y3030" s="2" t="s">
        <v>17583</v>
      </c>
      <c r="AA3030" t="str">
        <f t="shared" si="282"/>
        <v>2025-07</v>
      </c>
      <c r="AB3030" t="str">
        <f t="shared" si="283"/>
        <v/>
      </c>
      <c r="AC3030">
        <f t="shared" si="284"/>
        <v>600223.19999999995</v>
      </c>
      <c r="AD3030">
        <f t="shared" si="285"/>
        <v>50</v>
      </c>
      <c r="AE3030">
        <f t="shared" si="286"/>
        <v>281723.2</v>
      </c>
      <c r="AF3030" t="str">
        <f t="shared" si="287"/>
        <v>Paid</v>
      </c>
    </row>
    <row r="3031" spans="1:32" ht="17.25" thickBot="1" x14ac:dyDescent="0.35">
      <c r="A3031" s="2" t="s">
        <v>17782</v>
      </c>
      <c r="B3031" s="2" t="s">
        <v>27</v>
      </c>
      <c r="C3031" s="2" t="s">
        <v>28</v>
      </c>
      <c r="D3031" s="2" t="s">
        <v>97</v>
      </c>
      <c r="E3031" s="2" t="s">
        <v>17562</v>
      </c>
      <c r="F3031" s="2" t="s">
        <v>31</v>
      </c>
      <c r="G3031" s="2" t="s">
        <v>32</v>
      </c>
      <c r="H3031" s="1"/>
      <c r="I3031" s="2" t="s">
        <v>33</v>
      </c>
      <c r="J3031" s="2" t="s">
        <v>34</v>
      </c>
      <c r="K3031" s="2" t="s">
        <v>16625</v>
      </c>
      <c r="L3031" s="2" t="s">
        <v>16626</v>
      </c>
      <c r="M3031" s="2" t="s">
        <v>634</v>
      </c>
      <c r="N3031" s="2" t="s">
        <v>38</v>
      </c>
      <c r="O3031" s="2" t="s">
        <v>517</v>
      </c>
      <c r="P3031" s="2" t="s">
        <v>402</v>
      </c>
      <c r="Q3031" s="2" t="s">
        <v>17402</v>
      </c>
      <c r="R3031" s="2" t="s">
        <v>40</v>
      </c>
      <c r="S3031" s="2" t="s">
        <v>17783</v>
      </c>
      <c r="T3031" s="2" t="s">
        <v>687</v>
      </c>
      <c r="U3031" s="2" t="s">
        <v>17784</v>
      </c>
      <c r="V3031" s="2" t="s">
        <v>17785</v>
      </c>
      <c r="W3031" s="1"/>
      <c r="X3031" s="2" t="s">
        <v>690</v>
      </c>
      <c r="Y3031" s="2" t="s">
        <v>17583</v>
      </c>
      <c r="AA3031" t="str">
        <f t="shared" si="282"/>
        <v>2025-07</v>
      </c>
      <c r="AB3031" t="str">
        <f t="shared" si="283"/>
        <v/>
      </c>
      <c r="AC3031">
        <f t="shared" si="284"/>
        <v>1440535.68</v>
      </c>
      <c r="AD3031">
        <f t="shared" si="285"/>
        <v>120</v>
      </c>
      <c r="AE3031">
        <f t="shared" si="286"/>
        <v>676135.68</v>
      </c>
      <c r="AF3031" t="str">
        <f t="shared" si="287"/>
        <v>Paid</v>
      </c>
    </row>
    <row r="3032" spans="1:32" ht="17.25" thickBot="1" x14ac:dyDescent="0.35">
      <c r="A3032" s="2" t="s">
        <v>17786</v>
      </c>
      <c r="B3032" s="2" t="s">
        <v>27</v>
      </c>
      <c r="C3032" s="2" t="s">
        <v>28</v>
      </c>
      <c r="D3032" s="2" t="s">
        <v>97</v>
      </c>
      <c r="E3032" s="2" t="s">
        <v>17562</v>
      </c>
      <c r="F3032" s="2" t="s">
        <v>31</v>
      </c>
      <c r="G3032" s="2" t="s">
        <v>32</v>
      </c>
      <c r="H3032" s="1"/>
      <c r="I3032" s="2" t="s">
        <v>33</v>
      </c>
      <c r="J3032" s="2" t="s">
        <v>34</v>
      </c>
      <c r="K3032" s="2" t="s">
        <v>16630</v>
      </c>
      <c r="L3032" s="2" t="s">
        <v>16631</v>
      </c>
      <c r="M3032" s="2" t="s">
        <v>634</v>
      </c>
      <c r="N3032" s="2" t="s">
        <v>38</v>
      </c>
      <c r="O3032" s="2" t="s">
        <v>214</v>
      </c>
      <c r="P3032" s="2" t="s">
        <v>17787</v>
      </c>
      <c r="Q3032" s="2" t="s">
        <v>17788</v>
      </c>
      <c r="R3032" s="2" t="s">
        <v>40</v>
      </c>
      <c r="S3032" s="2" t="s">
        <v>17789</v>
      </c>
      <c r="T3032" s="2" t="s">
        <v>16635</v>
      </c>
      <c r="U3032" s="2" t="s">
        <v>17790</v>
      </c>
      <c r="V3032" s="2" t="s">
        <v>17791</v>
      </c>
      <c r="W3032" s="1"/>
      <c r="X3032" s="2" t="s">
        <v>17792</v>
      </c>
      <c r="Y3032" s="2" t="s">
        <v>17583</v>
      </c>
      <c r="AA3032" t="str">
        <f t="shared" si="282"/>
        <v>2025-07</v>
      </c>
      <c r="AB3032" t="str">
        <f t="shared" si="283"/>
        <v/>
      </c>
      <c r="AC3032">
        <f t="shared" si="284"/>
        <v>1400298</v>
      </c>
      <c r="AD3032">
        <f t="shared" si="285"/>
        <v>50</v>
      </c>
      <c r="AE3032">
        <f t="shared" si="286"/>
        <v>599798</v>
      </c>
      <c r="AF3032" t="str">
        <f t="shared" si="287"/>
        <v>Paid</v>
      </c>
    </row>
    <row r="3033" spans="1:32" ht="17.25" thickBot="1" x14ac:dyDescent="0.35">
      <c r="A3033" s="2" t="s">
        <v>17793</v>
      </c>
      <c r="B3033" s="2" t="s">
        <v>27</v>
      </c>
      <c r="C3033" s="2" t="s">
        <v>28</v>
      </c>
      <c r="D3033" s="2" t="s">
        <v>97</v>
      </c>
      <c r="E3033" s="2" t="s">
        <v>17562</v>
      </c>
      <c r="F3033" s="2" t="s">
        <v>31</v>
      </c>
      <c r="G3033" s="2" t="s">
        <v>32</v>
      </c>
      <c r="H3033" s="1"/>
      <c r="I3033" s="2" t="s">
        <v>33</v>
      </c>
      <c r="J3033" s="2" t="s">
        <v>34</v>
      </c>
      <c r="K3033" s="2" t="s">
        <v>16640</v>
      </c>
      <c r="L3033" s="2" t="s">
        <v>16641</v>
      </c>
      <c r="M3033" s="2" t="s">
        <v>634</v>
      </c>
      <c r="N3033" s="2" t="s">
        <v>38</v>
      </c>
      <c r="O3033" s="2" t="s">
        <v>156</v>
      </c>
      <c r="P3033" s="2" t="s">
        <v>17787</v>
      </c>
      <c r="Q3033" s="2" t="s">
        <v>17794</v>
      </c>
      <c r="R3033" s="2" t="s">
        <v>40</v>
      </c>
      <c r="S3033" s="2" t="s">
        <v>17795</v>
      </c>
      <c r="T3033" s="2" t="s">
        <v>16635</v>
      </c>
      <c r="U3033" s="2" t="s">
        <v>17796</v>
      </c>
      <c r="V3033" s="2" t="s">
        <v>17797</v>
      </c>
      <c r="W3033" s="1"/>
      <c r="X3033" s="2" t="s">
        <v>17792</v>
      </c>
      <c r="Y3033" s="2" t="s">
        <v>17583</v>
      </c>
      <c r="AA3033" t="str">
        <f t="shared" si="282"/>
        <v>2025-07</v>
      </c>
      <c r="AB3033" t="str">
        <f t="shared" si="283"/>
        <v/>
      </c>
      <c r="AC3033">
        <f t="shared" si="284"/>
        <v>560119.19999999995</v>
      </c>
      <c r="AD3033">
        <f t="shared" si="285"/>
        <v>20</v>
      </c>
      <c r="AE3033">
        <f t="shared" si="286"/>
        <v>239919.2</v>
      </c>
      <c r="AF3033" t="str">
        <f t="shared" si="287"/>
        <v>Paid</v>
      </c>
    </row>
    <row r="3034" spans="1:32" ht="17.25" thickBot="1" x14ac:dyDescent="0.35">
      <c r="A3034" s="2" t="s">
        <v>17798</v>
      </c>
      <c r="B3034" s="2" t="s">
        <v>27</v>
      </c>
      <c r="C3034" s="2" t="s">
        <v>28</v>
      </c>
      <c r="D3034" s="2" t="s">
        <v>97</v>
      </c>
      <c r="E3034" s="2" t="s">
        <v>17562</v>
      </c>
      <c r="F3034" s="2" t="s">
        <v>31</v>
      </c>
      <c r="G3034" s="2" t="s">
        <v>32</v>
      </c>
      <c r="H3034" s="1"/>
      <c r="I3034" s="2" t="s">
        <v>33</v>
      </c>
      <c r="J3034" s="2" t="s">
        <v>34</v>
      </c>
      <c r="K3034" s="2" t="s">
        <v>16652</v>
      </c>
      <c r="L3034" s="2" t="s">
        <v>16653</v>
      </c>
      <c r="M3034" s="2" t="s">
        <v>634</v>
      </c>
      <c r="N3034" s="2" t="s">
        <v>38</v>
      </c>
      <c r="O3034" s="2" t="s">
        <v>877</v>
      </c>
      <c r="P3034" s="2" t="s">
        <v>16195</v>
      </c>
      <c r="Q3034" s="2" t="s">
        <v>17799</v>
      </c>
      <c r="R3034" s="2" t="s">
        <v>40</v>
      </c>
      <c r="S3034" s="2" t="s">
        <v>17800</v>
      </c>
      <c r="T3034" s="2" t="s">
        <v>16657</v>
      </c>
      <c r="U3034" s="2" t="s">
        <v>17801</v>
      </c>
      <c r="V3034" s="2" t="s">
        <v>17802</v>
      </c>
      <c r="W3034" s="1"/>
      <c r="X3034" s="2" t="s">
        <v>3184</v>
      </c>
      <c r="Y3034" s="2" t="s">
        <v>17583</v>
      </c>
      <c r="AA3034" t="str">
        <f t="shared" si="282"/>
        <v>2025-07</v>
      </c>
      <c r="AB3034" t="str">
        <f t="shared" si="283"/>
        <v/>
      </c>
      <c r="AC3034">
        <f t="shared" si="284"/>
        <v>2649537.6</v>
      </c>
      <c r="AD3034">
        <f t="shared" si="285"/>
        <v>100</v>
      </c>
      <c r="AE3034">
        <f t="shared" si="286"/>
        <v>1268537.6000000001</v>
      </c>
      <c r="AF3034" t="str">
        <f t="shared" si="287"/>
        <v>Paid</v>
      </c>
    </row>
    <row r="3035" spans="1:32" ht="17.25" thickBot="1" x14ac:dyDescent="0.35">
      <c r="A3035" s="2" t="s">
        <v>17803</v>
      </c>
      <c r="B3035" s="2" t="s">
        <v>27</v>
      </c>
      <c r="C3035" s="2" t="s">
        <v>28</v>
      </c>
      <c r="D3035" s="2" t="s">
        <v>97</v>
      </c>
      <c r="E3035" s="2" t="s">
        <v>17562</v>
      </c>
      <c r="F3035" s="2" t="s">
        <v>31</v>
      </c>
      <c r="G3035" s="2" t="s">
        <v>32</v>
      </c>
      <c r="H3035" s="1"/>
      <c r="I3035" s="2" t="s">
        <v>33</v>
      </c>
      <c r="J3035" s="2" t="s">
        <v>34</v>
      </c>
      <c r="K3035" s="2" t="s">
        <v>5547</v>
      </c>
      <c r="L3035" s="2" t="s">
        <v>5548</v>
      </c>
      <c r="M3035" s="2" t="s">
        <v>634</v>
      </c>
      <c r="N3035" s="2" t="s">
        <v>38</v>
      </c>
      <c r="O3035" s="2" t="s">
        <v>877</v>
      </c>
      <c r="P3035" s="2" t="s">
        <v>17804</v>
      </c>
      <c r="Q3035" s="2" t="s">
        <v>17805</v>
      </c>
      <c r="R3035" s="2" t="s">
        <v>40</v>
      </c>
      <c r="S3035" s="2" t="s">
        <v>17806</v>
      </c>
      <c r="T3035" s="2" t="s">
        <v>5551</v>
      </c>
      <c r="U3035" s="2" t="s">
        <v>17807</v>
      </c>
      <c r="V3035" s="2" t="s">
        <v>17808</v>
      </c>
      <c r="W3035" s="1"/>
      <c r="X3035" s="2" t="s">
        <v>2843</v>
      </c>
      <c r="Y3035" s="2" t="s">
        <v>17583</v>
      </c>
      <c r="AA3035" t="str">
        <f t="shared" si="282"/>
        <v>2025-07</v>
      </c>
      <c r="AB3035" t="str">
        <f t="shared" si="283"/>
        <v/>
      </c>
      <c r="AC3035">
        <f t="shared" si="284"/>
        <v>2399556</v>
      </c>
      <c r="AD3035">
        <f t="shared" si="285"/>
        <v>100</v>
      </c>
      <c r="AE3035">
        <f t="shared" si="286"/>
        <v>1116556</v>
      </c>
      <c r="AF3035" t="str">
        <f t="shared" si="287"/>
        <v>Paid</v>
      </c>
    </row>
    <row r="3036" spans="1:32" ht="17.25" thickBot="1" x14ac:dyDescent="0.35">
      <c r="A3036" s="2" t="s">
        <v>17809</v>
      </c>
      <c r="B3036" s="2" t="s">
        <v>27</v>
      </c>
      <c r="C3036" s="2" t="s">
        <v>28</v>
      </c>
      <c r="D3036" s="2" t="s">
        <v>97</v>
      </c>
      <c r="E3036" s="2" t="s">
        <v>17562</v>
      </c>
      <c r="F3036" s="2" t="s">
        <v>31</v>
      </c>
      <c r="G3036" s="2" t="s">
        <v>32</v>
      </c>
      <c r="H3036" s="1"/>
      <c r="I3036" s="2" t="s">
        <v>33</v>
      </c>
      <c r="J3036" s="2" t="s">
        <v>34</v>
      </c>
      <c r="K3036" s="2" t="s">
        <v>6185</v>
      </c>
      <c r="L3036" s="2" t="s">
        <v>6186</v>
      </c>
      <c r="M3036" s="2" t="s">
        <v>6146</v>
      </c>
      <c r="N3036" s="2" t="s">
        <v>38</v>
      </c>
      <c r="O3036" s="2" t="s">
        <v>156</v>
      </c>
      <c r="P3036" s="2" t="s">
        <v>2433</v>
      </c>
      <c r="Q3036" s="2" t="s">
        <v>4113</v>
      </c>
      <c r="R3036" s="2" t="s">
        <v>40</v>
      </c>
      <c r="S3036" s="2" t="s">
        <v>17810</v>
      </c>
      <c r="T3036" s="2" t="s">
        <v>16710</v>
      </c>
      <c r="U3036" s="2" t="s">
        <v>17811</v>
      </c>
      <c r="V3036" s="2" t="s">
        <v>17812</v>
      </c>
      <c r="W3036" s="1"/>
      <c r="X3036" s="2" t="s">
        <v>4241</v>
      </c>
      <c r="Y3036" s="2" t="s">
        <v>17583</v>
      </c>
      <c r="AA3036" t="str">
        <f t="shared" si="282"/>
        <v>2025-07</v>
      </c>
      <c r="AB3036" t="str">
        <f t="shared" si="283"/>
        <v/>
      </c>
      <c r="AC3036">
        <f t="shared" si="284"/>
        <v>147582.72</v>
      </c>
      <c r="AD3036">
        <f t="shared" si="285"/>
        <v>20</v>
      </c>
      <c r="AE3036">
        <f t="shared" si="286"/>
        <v>33022.720000000001</v>
      </c>
      <c r="AF3036" t="str">
        <f t="shared" si="287"/>
        <v>Paid</v>
      </c>
    </row>
    <row r="3037" spans="1:32" ht="27.75" thickBot="1" x14ac:dyDescent="0.35">
      <c r="A3037" s="2" t="s">
        <v>17813</v>
      </c>
      <c r="B3037" s="2" t="s">
        <v>27</v>
      </c>
      <c r="C3037" s="2" t="s">
        <v>28</v>
      </c>
      <c r="D3037" s="2" t="s">
        <v>97</v>
      </c>
      <c r="E3037" s="2" t="s">
        <v>17562</v>
      </c>
      <c r="F3037" s="2" t="s">
        <v>31</v>
      </c>
      <c r="G3037" s="2" t="s">
        <v>32</v>
      </c>
      <c r="H3037" s="1"/>
      <c r="I3037" s="2" t="s">
        <v>33</v>
      </c>
      <c r="J3037" s="2" t="s">
        <v>34</v>
      </c>
      <c r="K3037" s="2" t="s">
        <v>6194</v>
      </c>
      <c r="L3037" s="2" t="s">
        <v>6195</v>
      </c>
      <c r="M3037" s="2" t="s">
        <v>6146</v>
      </c>
      <c r="N3037" s="2" t="s">
        <v>38</v>
      </c>
      <c r="O3037" s="2" t="s">
        <v>156</v>
      </c>
      <c r="P3037" s="2" t="s">
        <v>16529</v>
      </c>
      <c r="Q3037" s="2" t="s">
        <v>17814</v>
      </c>
      <c r="R3037" s="2" t="s">
        <v>40</v>
      </c>
      <c r="S3037" s="2" t="s">
        <v>17815</v>
      </c>
      <c r="T3037" s="2" t="s">
        <v>6199</v>
      </c>
      <c r="U3037" s="2" t="s">
        <v>17816</v>
      </c>
      <c r="V3037" s="2" t="s">
        <v>17817</v>
      </c>
      <c r="W3037" s="1"/>
      <c r="X3037" s="2" t="s">
        <v>17818</v>
      </c>
      <c r="Y3037" s="2" t="s">
        <v>17583</v>
      </c>
      <c r="AA3037" t="str">
        <f t="shared" si="282"/>
        <v>2025-07</v>
      </c>
      <c r="AB3037" t="str">
        <f t="shared" si="283"/>
        <v/>
      </c>
      <c r="AC3037">
        <f t="shared" si="284"/>
        <v>213085.92</v>
      </c>
      <c r="AD3037">
        <f t="shared" si="285"/>
        <v>20</v>
      </c>
      <c r="AE3037">
        <f t="shared" si="286"/>
        <v>71265.919999999998</v>
      </c>
      <c r="AF3037" t="str">
        <f t="shared" si="287"/>
        <v>Paid</v>
      </c>
    </row>
    <row r="3038" spans="1:32" ht="17.25" thickBot="1" x14ac:dyDescent="0.35">
      <c r="A3038" s="2" t="s">
        <v>17819</v>
      </c>
      <c r="B3038" s="2" t="s">
        <v>27</v>
      </c>
      <c r="C3038" s="2" t="s">
        <v>28</v>
      </c>
      <c r="D3038" s="2" t="s">
        <v>97</v>
      </c>
      <c r="E3038" s="2" t="s">
        <v>17562</v>
      </c>
      <c r="F3038" s="2" t="s">
        <v>31</v>
      </c>
      <c r="G3038" s="2" t="s">
        <v>32</v>
      </c>
      <c r="H3038" s="1"/>
      <c r="I3038" s="2" t="s">
        <v>33</v>
      </c>
      <c r="J3038" s="2" t="s">
        <v>34</v>
      </c>
      <c r="K3038" s="2" t="s">
        <v>17820</v>
      </c>
      <c r="L3038" s="2" t="s">
        <v>17821</v>
      </c>
      <c r="M3038" s="2" t="s">
        <v>6146</v>
      </c>
      <c r="N3038" s="2" t="s">
        <v>38</v>
      </c>
      <c r="O3038" s="2" t="s">
        <v>130</v>
      </c>
      <c r="P3038" s="2" t="s">
        <v>6957</v>
      </c>
      <c r="Q3038" s="2" t="s">
        <v>17822</v>
      </c>
      <c r="R3038" s="2" t="s">
        <v>40</v>
      </c>
      <c r="S3038" s="2" t="s">
        <v>17823</v>
      </c>
      <c r="T3038" s="2" t="s">
        <v>17824</v>
      </c>
      <c r="U3038" s="2" t="s">
        <v>17825</v>
      </c>
      <c r="V3038" s="2" t="s">
        <v>17826</v>
      </c>
      <c r="W3038" s="1"/>
      <c r="X3038" s="2" t="s">
        <v>6894</v>
      </c>
      <c r="Y3038" s="2" t="s">
        <v>17583</v>
      </c>
      <c r="AA3038" t="str">
        <f t="shared" si="282"/>
        <v>2025-07</v>
      </c>
      <c r="AB3038" t="str">
        <f t="shared" si="283"/>
        <v/>
      </c>
      <c r="AC3038">
        <f t="shared" si="284"/>
        <v>209075.52</v>
      </c>
      <c r="AD3038">
        <f t="shared" si="285"/>
        <v>17</v>
      </c>
      <c r="AE3038">
        <f t="shared" si="286"/>
        <v>60699.519999999997</v>
      </c>
      <c r="AF3038" t="str">
        <f t="shared" si="287"/>
        <v>Paid</v>
      </c>
    </row>
    <row r="3039" spans="1:32" ht="17.25" thickBot="1" x14ac:dyDescent="0.35">
      <c r="A3039" s="2" t="s">
        <v>17827</v>
      </c>
      <c r="B3039" s="2" t="s">
        <v>27</v>
      </c>
      <c r="C3039" s="2" t="s">
        <v>28</v>
      </c>
      <c r="D3039" s="2" t="s">
        <v>97</v>
      </c>
      <c r="E3039" s="2" t="s">
        <v>17562</v>
      </c>
      <c r="F3039" s="2" t="s">
        <v>31</v>
      </c>
      <c r="G3039" s="2" t="s">
        <v>32</v>
      </c>
      <c r="H3039" s="1"/>
      <c r="I3039" s="2" t="s">
        <v>33</v>
      </c>
      <c r="J3039" s="2" t="s">
        <v>34</v>
      </c>
      <c r="K3039" s="2" t="s">
        <v>17820</v>
      </c>
      <c r="L3039" s="2" t="s">
        <v>17821</v>
      </c>
      <c r="M3039" s="2" t="s">
        <v>6146</v>
      </c>
      <c r="N3039" s="2" t="s">
        <v>38</v>
      </c>
      <c r="O3039" s="2" t="s">
        <v>51</v>
      </c>
      <c r="P3039" s="2" t="s">
        <v>6957</v>
      </c>
      <c r="Q3039" s="2" t="s">
        <v>17828</v>
      </c>
      <c r="R3039" s="2" t="s">
        <v>40</v>
      </c>
      <c r="S3039" s="2" t="s">
        <v>17829</v>
      </c>
      <c r="T3039" s="2" t="s">
        <v>17824</v>
      </c>
      <c r="U3039" s="2" t="s">
        <v>17830</v>
      </c>
      <c r="V3039" s="2" t="s">
        <v>17831</v>
      </c>
      <c r="W3039" s="1"/>
      <c r="X3039" s="2" t="s">
        <v>6894</v>
      </c>
      <c r="Y3039" s="2" t="s">
        <v>17583</v>
      </c>
      <c r="AA3039" t="str">
        <f t="shared" si="282"/>
        <v>2025-07</v>
      </c>
      <c r="AB3039" t="str">
        <f t="shared" si="283"/>
        <v/>
      </c>
      <c r="AC3039">
        <f t="shared" si="284"/>
        <v>36895.68</v>
      </c>
      <c r="AD3039">
        <f t="shared" si="285"/>
        <v>3</v>
      </c>
      <c r="AE3039">
        <f t="shared" si="286"/>
        <v>10711.68</v>
      </c>
      <c r="AF3039" t="str">
        <f t="shared" si="287"/>
        <v>Paid</v>
      </c>
    </row>
    <row r="3040" spans="1:32" ht="17.25" thickBot="1" x14ac:dyDescent="0.35">
      <c r="A3040" s="2" t="s">
        <v>17832</v>
      </c>
      <c r="B3040" s="2" t="s">
        <v>27</v>
      </c>
      <c r="C3040" s="2" t="s">
        <v>28</v>
      </c>
      <c r="D3040" s="2" t="s">
        <v>97</v>
      </c>
      <c r="E3040" s="2" t="s">
        <v>17562</v>
      </c>
      <c r="F3040" s="2" t="s">
        <v>31</v>
      </c>
      <c r="G3040" s="2" t="s">
        <v>32</v>
      </c>
      <c r="H3040" s="1"/>
      <c r="I3040" s="2" t="s">
        <v>33</v>
      </c>
      <c r="J3040" s="2" t="s">
        <v>34</v>
      </c>
      <c r="K3040" s="2" t="s">
        <v>17833</v>
      </c>
      <c r="L3040" s="2" t="s">
        <v>17834</v>
      </c>
      <c r="M3040" s="2" t="s">
        <v>6146</v>
      </c>
      <c r="N3040" s="2" t="s">
        <v>38</v>
      </c>
      <c r="O3040" s="2" t="s">
        <v>877</v>
      </c>
      <c r="P3040" s="2" t="s">
        <v>7004</v>
      </c>
      <c r="Q3040" s="2" t="s">
        <v>17835</v>
      </c>
      <c r="R3040" s="2" t="s">
        <v>40</v>
      </c>
      <c r="S3040" s="2" t="s">
        <v>17836</v>
      </c>
      <c r="T3040" s="2" t="s">
        <v>11355</v>
      </c>
      <c r="U3040" s="2" t="s">
        <v>17837</v>
      </c>
      <c r="V3040" s="2" t="s">
        <v>17838</v>
      </c>
      <c r="W3040" s="1"/>
      <c r="X3040" s="2" t="s">
        <v>976</v>
      </c>
      <c r="Y3040" s="2" t="s">
        <v>17583</v>
      </c>
      <c r="AA3040" t="str">
        <f t="shared" si="282"/>
        <v>2025-07</v>
      </c>
      <c r="AB3040" t="str">
        <f t="shared" si="283"/>
        <v/>
      </c>
      <c r="AC3040">
        <f t="shared" si="284"/>
        <v>1025325.6</v>
      </c>
      <c r="AD3040">
        <f t="shared" si="285"/>
        <v>100</v>
      </c>
      <c r="AE3040">
        <f t="shared" si="286"/>
        <v>207125.6</v>
      </c>
      <c r="AF3040" t="str">
        <f t="shared" si="287"/>
        <v>Paid</v>
      </c>
    </row>
    <row r="3041" spans="1:32" ht="17.25" thickBot="1" x14ac:dyDescent="0.35">
      <c r="A3041" s="2" t="s">
        <v>17839</v>
      </c>
      <c r="B3041" s="2" t="s">
        <v>27</v>
      </c>
      <c r="C3041" s="2" t="s">
        <v>28</v>
      </c>
      <c r="D3041" s="2" t="s">
        <v>97</v>
      </c>
      <c r="E3041" s="2" t="s">
        <v>17562</v>
      </c>
      <c r="F3041" s="2" t="s">
        <v>31</v>
      </c>
      <c r="G3041" s="2" t="s">
        <v>32</v>
      </c>
      <c r="H3041" s="1"/>
      <c r="I3041" s="2" t="s">
        <v>33</v>
      </c>
      <c r="J3041" s="2" t="s">
        <v>34</v>
      </c>
      <c r="K3041" s="2" t="s">
        <v>15205</v>
      </c>
      <c r="L3041" s="2" t="s">
        <v>15206</v>
      </c>
      <c r="M3041" s="2" t="s">
        <v>6146</v>
      </c>
      <c r="N3041" s="2" t="s">
        <v>38</v>
      </c>
      <c r="O3041" s="2" t="s">
        <v>301</v>
      </c>
      <c r="P3041" s="2" t="s">
        <v>17569</v>
      </c>
      <c r="Q3041" s="2" t="s">
        <v>17840</v>
      </c>
      <c r="R3041" s="2" t="s">
        <v>40</v>
      </c>
      <c r="S3041" s="2" t="s">
        <v>17841</v>
      </c>
      <c r="T3041" s="2" t="s">
        <v>13567</v>
      </c>
      <c r="U3041" s="2" t="s">
        <v>17842</v>
      </c>
      <c r="V3041" s="2" t="s">
        <v>17843</v>
      </c>
      <c r="W3041" s="1"/>
      <c r="X3041" s="2" t="s">
        <v>9227</v>
      </c>
      <c r="Y3041" s="2" t="s">
        <v>17583</v>
      </c>
      <c r="AA3041" t="str">
        <f t="shared" si="282"/>
        <v>2025-07</v>
      </c>
      <c r="AB3041" t="str">
        <f t="shared" si="283"/>
        <v/>
      </c>
      <c r="AC3041">
        <f t="shared" si="284"/>
        <v>530722.97</v>
      </c>
      <c r="AD3041">
        <f t="shared" si="285"/>
        <v>37</v>
      </c>
      <c r="AE3041">
        <f t="shared" si="286"/>
        <v>194355.97</v>
      </c>
      <c r="AF3041" t="str">
        <f t="shared" si="287"/>
        <v>Paid</v>
      </c>
    </row>
    <row r="3042" spans="1:32" ht="17.25" thickBot="1" x14ac:dyDescent="0.35">
      <c r="A3042" s="2" t="s">
        <v>17844</v>
      </c>
      <c r="B3042" s="2" t="s">
        <v>27</v>
      </c>
      <c r="C3042" s="2" t="s">
        <v>28</v>
      </c>
      <c r="D3042" s="2" t="s">
        <v>97</v>
      </c>
      <c r="E3042" s="2" t="s">
        <v>17562</v>
      </c>
      <c r="F3042" s="2" t="s">
        <v>31</v>
      </c>
      <c r="G3042" s="2" t="s">
        <v>32</v>
      </c>
      <c r="H3042" s="1"/>
      <c r="I3042" s="2" t="s">
        <v>33</v>
      </c>
      <c r="J3042" s="2" t="s">
        <v>34</v>
      </c>
      <c r="K3042" s="2" t="s">
        <v>15211</v>
      </c>
      <c r="L3042" s="2" t="s">
        <v>15212</v>
      </c>
      <c r="M3042" s="2" t="s">
        <v>6146</v>
      </c>
      <c r="N3042" s="2" t="s">
        <v>38</v>
      </c>
      <c r="O3042" s="2" t="s">
        <v>214</v>
      </c>
      <c r="P3042" s="2" t="s">
        <v>684</v>
      </c>
      <c r="Q3042" s="2" t="s">
        <v>17845</v>
      </c>
      <c r="R3042" s="2" t="s">
        <v>40</v>
      </c>
      <c r="S3042" s="2" t="s">
        <v>17846</v>
      </c>
      <c r="T3042" s="2" t="s">
        <v>15215</v>
      </c>
      <c r="U3042" s="2" t="s">
        <v>17847</v>
      </c>
      <c r="V3042" s="2" t="s">
        <v>17848</v>
      </c>
      <c r="W3042" s="1"/>
      <c r="X3042" s="2" t="s">
        <v>6342</v>
      </c>
      <c r="Y3042" s="2" t="s">
        <v>17583</v>
      </c>
      <c r="AA3042" t="str">
        <f t="shared" si="282"/>
        <v>2025-07</v>
      </c>
      <c r="AB3042" t="str">
        <f t="shared" si="283"/>
        <v/>
      </c>
      <c r="AC3042">
        <f t="shared" si="284"/>
        <v>544077.6</v>
      </c>
      <c r="AD3042">
        <f t="shared" si="285"/>
        <v>50</v>
      </c>
      <c r="AE3042">
        <f t="shared" si="286"/>
        <v>125877.6</v>
      </c>
      <c r="AF3042" t="str">
        <f t="shared" si="287"/>
        <v>Paid</v>
      </c>
    </row>
    <row r="3043" spans="1:32" ht="17.25" thickBot="1" x14ac:dyDescent="0.35">
      <c r="A3043" s="2" t="s">
        <v>17849</v>
      </c>
      <c r="B3043" s="2" t="s">
        <v>27</v>
      </c>
      <c r="C3043" s="2" t="s">
        <v>28</v>
      </c>
      <c r="D3043" s="2" t="s">
        <v>97</v>
      </c>
      <c r="E3043" s="2" t="s">
        <v>17562</v>
      </c>
      <c r="F3043" s="2" t="s">
        <v>31</v>
      </c>
      <c r="G3043" s="2" t="s">
        <v>32</v>
      </c>
      <c r="H3043" s="1"/>
      <c r="I3043" s="2" t="s">
        <v>33</v>
      </c>
      <c r="J3043" s="2" t="s">
        <v>34</v>
      </c>
      <c r="K3043" s="2" t="s">
        <v>6272</v>
      </c>
      <c r="L3043" s="2" t="s">
        <v>6273</v>
      </c>
      <c r="M3043" s="2" t="s">
        <v>6146</v>
      </c>
      <c r="N3043" s="2" t="s">
        <v>38</v>
      </c>
      <c r="O3043" s="2" t="s">
        <v>156</v>
      </c>
      <c r="P3043" s="2" t="s">
        <v>4337</v>
      </c>
      <c r="Q3043" s="2" t="s">
        <v>12779</v>
      </c>
      <c r="R3043" s="2" t="s">
        <v>40</v>
      </c>
      <c r="S3043" s="2" t="s">
        <v>17850</v>
      </c>
      <c r="T3043" s="2" t="s">
        <v>15220</v>
      </c>
      <c r="U3043" s="2" t="s">
        <v>17851</v>
      </c>
      <c r="V3043" s="2" t="s">
        <v>17852</v>
      </c>
      <c r="W3043" s="1"/>
      <c r="X3043" s="2" t="s">
        <v>6342</v>
      </c>
      <c r="Y3043" s="2" t="s">
        <v>17583</v>
      </c>
      <c r="AA3043" t="str">
        <f t="shared" si="282"/>
        <v>2025-07</v>
      </c>
      <c r="AB3043" t="str">
        <f t="shared" si="283"/>
        <v/>
      </c>
      <c r="AC3043">
        <f t="shared" si="284"/>
        <v>172714.56</v>
      </c>
      <c r="AD3043">
        <f t="shared" si="285"/>
        <v>20</v>
      </c>
      <c r="AE3043">
        <f t="shared" si="286"/>
        <v>39974.559999999998</v>
      </c>
      <c r="AF3043" t="str">
        <f t="shared" si="287"/>
        <v>Paid</v>
      </c>
    </row>
    <row r="3044" spans="1:32" ht="17.25" thickBot="1" x14ac:dyDescent="0.35">
      <c r="A3044" s="2" t="s">
        <v>17853</v>
      </c>
      <c r="B3044" s="2" t="s">
        <v>27</v>
      </c>
      <c r="C3044" s="2" t="s">
        <v>28</v>
      </c>
      <c r="D3044" s="2" t="s">
        <v>97</v>
      </c>
      <c r="E3044" s="2" t="s">
        <v>17562</v>
      </c>
      <c r="F3044" s="2" t="s">
        <v>31</v>
      </c>
      <c r="G3044" s="2" t="s">
        <v>32</v>
      </c>
      <c r="H3044" s="1"/>
      <c r="I3044" s="2" t="s">
        <v>33</v>
      </c>
      <c r="J3044" s="2" t="s">
        <v>34</v>
      </c>
      <c r="K3044" s="2" t="s">
        <v>17854</v>
      </c>
      <c r="L3044" s="2" t="s">
        <v>17855</v>
      </c>
      <c r="M3044" s="2" t="s">
        <v>16762</v>
      </c>
      <c r="N3044" s="2" t="s">
        <v>38</v>
      </c>
      <c r="O3044" s="2" t="s">
        <v>490</v>
      </c>
      <c r="P3044" s="2" t="s">
        <v>4714</v>
      </c>
      <c r="Q3044" s="2" t="s">
        <v>17856</v>
      </c>
      <c r="R3044" s="2" t="s">
        <v>40</v>
      </c>
      <c r="S3044" s="2" t="s">
        <v>17857</v>
      </c>
      <c r="T3044" s="2" t="s">
        <v>7691</v>
      </c>
      <c r="U3044" s="2" t="s">
        <v>17858</v>
      </c>
      <c r="V3044" s="2" t="s">
        <v>17859</v>
      </c>
      <c r="W3044" s="1"/>
      <c r="X3044" s="2" t="s">
        <v>201</v>
      </c>
      <c r="Y3044" s="2" t="s">
        <v>17583</v>
      </c>
      <c r="AA3044" t="str">
        <f t="shared" si="282"/>
        <v>2025-07</v>
      </c>
      <c r="AB3044" t="str">
        <f t="shared" si="283"/>
        <v/>
      </c>
      <c r="AC3044">
        <f t="shared" si="284"/>
        <v>471663.14</v>
      </c>
      <c r="AD3044">
        <f t="shared" si="285"/>
        <v>57</v>
      </c>
      <c r="AE3044">
        <f t="shared" si="286"/>
        <v>114102.14</v>
      </c>
      <c r="AF3044" t="str">
        <f t="shared" si="287"/>
        <v>Paid</v>
      </c>
    </row>
    <row r="3045" spans="1:32" ht="17.25" thickBot="1" x14ac:dyDescent="0.35">
      <c r="A3045" s="2" t="s">
        <v>17860</v>
      </c>
      <c r="B3045" s="2" t="s">
        <v>27</v>
      </c>
      <c r="C3045" s="2" t="s">
        <v>28</v>
      </c>
      <c r="D3045" s="2" t="s">
        <v>97</v>
      </c>
      <c r="E3045" s="2" t="s">
        <v>17562</v>
      </c>
      <c r="F3045" s="2" t="s">
        <v>31</v>
      </c>
      <c r="G3045" s="2" t="s">
        <v>32</v>
      </c>
      <c r="H3045" s="1"/>
      <c r="I3045" s="2" t="s">
        <v>33</v>
      </c>
      <c r="J3045" s="2" t="s">
        <v>34</v>
      </c>
      <c r="K3045" s="2" t="s">
        <v>2708</v>
      </c>
      <c r="L3045" s="2" t="s">
        <v>2709</v>
      </c>
      <c r="M3045" s="2" t="s">
        <v>2710</v>
      </c>
      <c r="N3045" s="2" t="s">
        <v>38</v>
      </c>
      <c r="O3045" s="2" t="s">
        <v>214</v>
      </c>
      <c r="P3045" s="2" t="s">
        <v>7206</v>
      </c>
      <c r="Q3045" s="2" t="s">
        <v>17861</v>
      </c>
      <c r="R3045" s="2" t="s">
        <v>40</v>
      </c>
      <c r="S3045" s="2" t="s">
        <v>17862</v>
      </c>
      <c r="T3045" s="2" t="s">
        <v>9531</v>
      </c>
      <c r="U3045" s="2" t="s">
        <v>17863</v>
      </c>
      <c r="V3045" s="2" t="s">
        <v>17864</v>
      </c>
      <c r="W3045" s="1"/>
      <c r="X3045" s="2" t="s">
        <v>1091</v>
      </c>
      <c r="Y3045" s="2" t="s">
        <v>17583</v>
      </c>
      <c r="AA3045" t="str">
        <f t="shared" si="282"/>
        <v>2025-07</v>
      </c>
      <c r="AB3045" t="str">
        <f t="shared" si="283"/>
        <v/>
      </c>
      <c r="AC3045">
        <f t="shared" si="284"/>
        <v>352246.8</v>
      </c>
      <c r="AD3045">
        <f t="shared" si="285"/>
        <v>50</v>
      </c>
      <c r="AE3045">
        <f t="shared" si="286"/>
        <v>88596.800000000003</v>
      </c>
      <c r="AF3045" t="str">
        <f t="shared" si="287"/>
        <v>Paid</v>
      </c>
    </row>
    <row r="3046" spans="1:32" ht="17.25" thickBot="1" x14ac:dyDescent="0.35">
      <c r="A3046" s="2" t="s">
        <v>17865</v>
      </c>
      <c r="B3046" s="2" t="s">
        <v>27</v>
      </c>
      <c r="C3046" s="2" t="s">
        <v>28</v>
      </c>
      <c r="D3046" s="2" t="s">
        <v>97</v>
      </c>
      <c r="E3046" s="2" t="s">
        <v>17562</v>
      </c>
      <c r="F3046" s="2" t="s">
        <v>31</v>
      </c>
      <c r="G3046" s="2" t="s">
        <v>32</v>
      </c>
      <c r="H3046" s="1"/>
      <c r="I3046" s="2" t="s">
        <v>33</v>
      </c>
      <c r="J3046" s="2" t="s">
        <v>34</v>
      </c>
      <c r="K3046" s="2" t="s">
        <v>8728</v>
      </c>
      <c r="L3046" s="2" t="s">
        <v>8729</v>
      </c>
      <c r="M3046" s="2" t="s">
        <v>2710</v>
      </c>
      <c r="N3046" s="2" t="s">
        <v>38</v>
      </c>
      <c r="O3046" s="2" t="s">
        <v>57</v>
      </c>
      <c r="P3046" s="2" t="s">
        <v>3718</v>
      </c>
      <c r="Q3046" s="2" t="s">
        <v>17866</v>
      </c>
      <c r="R3046" s="2" t="s">
        <v>40</v>
      </c>
      <c r="S3046" s="2" t="s">
        <v>17867</v>
      </c>
      <c r="T3046" s="2" t="s">
        <v>8732</v>
      </c>
      <c r="U3046" s="2" t="s">
        <v>17868</v>
      </c>
      <c r="V3046" s="2" t="s">
        <v>17869</v>
      </c>
      <c r="W3046" s="1"/>
      <c r="X3046" s="2" t="s">
        <v>258</v>
      </c>
      <c r="Y3046" s="2" t="s">
        <v>17583</v>
      </c>
      <c r="AA3046" t="str">
        <f t="shared" si="282"/>
        <v>2025-07</v>
      </c>
      <c r="AB3046" t="str">
        <f t="shared" si="283"/>
        <v/>
      </c>
      <c r="AC3046">
        <f t="shared" si="284"/>
        <v>30011.16</v>
      </c>
      <c r="AD3046">
        <f t="shared" si="285"/>
        <v>5</v>
      </c>
      <c r="AE3046">
        <f t="shared" si="286"/>
        <v>5916.16</v>
      </c>
      <c r="AF3046" t="str">
        <f t="shared" si="287"/>
        <v>Paid</v>
      </c>
    </row>
    <row r="3047" spans="1:32" ht="17.25" thickBot="1" x14ac:dyDescent="0.35">
      <c r="A3047" s="2" t="s">
        <v>17870</v>
      </c>
      <c r="B3047" s="2" t="s">
        <v>27</v>
      </c>
      <c r="C3047" s="2" t="s">
        <v>28</v>
      </c>
      <c r="D3047" s="2" t="s">
        <v>97</v>
      </c>
      <c r="E3047" s="2" t="s">
        <v>17562</v>
      </c>
      <c r="F3047" s="2" t="s">
        <v>31</v>
      </c>
      <c r="G3047" s="2" t="s">
        <v>32</v>
      </c>
      <c r="H3047" s="1"/>
      <c r="I3047" s="2" t="s">
        <v>33</v>
      </c>
      <c r="J3047" s="2" t="s">
        <v>34</v>
      </c>
      <c r="K3047" s="2" t="s">
        <v>8728</v>
      </c>
      <c r="L3047" s="2" t="s">
        <v>8729</v>
      </c>
      <c r="M3047" s="2" t="s">
        <v>2710</v>
      </c>
      <c r="N3047" s="2" t="s">
        <v>38</v>
      </c>
      <c r="O3047" s="2" t="s">
        <v>378</v>
      </c>
      <c r="P3047" s="2" t="s">
        <v>3718</v>
      </c>
      <c r="Q3047" s="2" t="s">
        <v>17871</v>
      </c>
      <c r="R3047" s="2" t="s">
        <v>40</v>
      </c>
      <c r="S3047" s="2" t="s">
        <v>17872</v>
      </c>
      <c r="T3047" s="2" t="s">
        <v>8732</v>
      </c>
      <c r="U3047" s="2" t="s">
        <v>17873</v>
      </c>
      <c r="V3047" s="2" t="s">
        <v>17874</v>
      </c>
      <c r="W3047" s="1"/>
      <c r="X3047" s="2" t="s">
        <v>258</v>
      </c>
      <c r="Y3047" s="2" t="s">
        <v>17583</v>
      </c>
      <c r="AA3047" t="str">
        <f t="shared" si="282"/>
        <v>2025-07</v>
      </c>
      <c r="AB3047" t="str">
        <f t="shared" si="283"/>
        <v/>
      </c>
      <c r="AC3047">
        <f t="shared" si="284"/>
        <v>270100.44</v>
      </c>
      <c r="AD3047">
        <f t="shared" si="285"/>
        <v>45</v>
      </c>
      <c r="AE3047">
        <f t="shared" si="286"/>
        <v>53245.440000000002</v>
      </c>
      <c r="AF3047" t="str">
        <f t="shared" si="287"/>
        <v>Paid</v>
      </c>
    </row>
    <row r="3048" spans="1:32" ht="17.25" thickBot="1" x14ac:dyDescent="0.35">
      <c r="A3048" s="2" t="s">
        <v>17875</v>
      </c>
      <c r="B3048" s="2" t="s">
        <v>27</v>
      </c>
      <c r="C3048" s="2" t="s">
        <v>28</v>
      </c>
      <c r="D3048" s="2" t="s">
        <v>97</v>
      </c>
      <c r="E3048" s="2" t="s">
        <v>17562</v>
      </c>
      <c r="F3048" s="2" t="s">
        <v>31</v>
      </c>
      <c r="G3048" s="2" t="s">
        <v>32</v>
      </c>
      <c r="H3048" s="1"/>
      <c r="I3048" s="2" t="s">
        <v>33</v>
      </c>
      <c r="J3048" s="2" t="s">
        <v>34</v>
      </c>
      <c r="K3048" s="2" t="s">
        <v>11481</v>
      </c>
      <c r="L3048" s="2" t="s">
        <v>11482</v>
      </c>
      <c r="M3048" s="2" t="s">
        <v>2710</v>
      </c>
      <c r="N3048" s="2" t="s">
        <v>38</v>
      </c>
      <c r="O3048" s="2" t="s">
        <v>214</v>
      </c>
      <c r="P3048" s="2" t="s">
        <v>16806</v>
      </c>
      <c r="Q3048" s="2" t="s">
        <v>17876</v>
      </c>
      <c r="R3048" s="2" t="s">
        <v>40</v>
      </c>
      <c r="S3048" s="2" t="s">
        <v>17877</v>
      </c>
      <c r="T3048" s="2" t="s">
        <v>9272</v>
      </c>
      <c r="U3048" s="2" t="s">
        <v>17878</v>
      </c>
      <c r="V3048" s="2" t="s">
        <v>17879</v>
      </c>
      <c r="W3048" s="1"/>
      <c r="X3048" s="2" t="s">
        <v>5228</v>
      </c>
      <c r="Y3048" s="2" t="s">
        <v>17583</v>
      </c>
      <c r="AA3048" t="str">
        <f t="shared" si="282"/>
        <v>2025-07</v>
      </c>
      <c r="AB3048" t="str">
        <f t="shared" si="283"/>
        <v/>
      </c>
      <c r="AC3048">
        <f t="shared" si="284"/>
        <v>274712.40000000002</v>
      </c>
      <c r="AD3048">
        <f t="shared" si="285"/>
        <v>50</v>
      </c>
      <c r="AE3048">
        <f t="shared" si="286"/>
        <v>51962.400000000001</v>
      </c>
      <c r="AF3048" t="str">
        <f t="shared" si="287"/>
        <v>Paid</v>
      </c>
    </row>
    <row r="3049" spans="1:32" ht="17.25" thickBot="1" x14ac:dyDescent="0.35">
      <c r="A3049" s="2" t="s">
        <v>17880</v>
      </c>
      <c r="B3049" s="2" t="s">
        <v>27</v>
      </c>
      <c r="C3049" s="2" t="s">
        <v>28</v>
      </c>
      <c r="D3049" s="2" t="s">
        <v>97</v>
      </c>
      <c r="E3049" s="2" t="s">
        <v>17562</v>
      </c>
      <c r="F3049" s="2" t="s">
        <v>31</v>
      </c>
      <c r="G3049" s="2" t="s">
        <v>32</v>
      </c>
      <c r="H3049" s="1"/>
      <c r="I3049" s="2" t="s">
        <v>33</v>
      </c>
      <c r="J3049" s="2" t="s">
        <v>34</v>
      </c>
      <c r="K3049" s="2" t="s">
        <v>3519</v>
      </c>
      <c r="L3049" s="2" t="s">
        <v>3520</v>
      </c>
      <c r="M3049" s="2" t="s">
        <v>2710</v>
      </c>
      <c r="N3049" s="2" t="s">
        <v>38</v>
      </c>
      <c r="O3049" s="2" t="s">
        <v>214</v>
      </c>
      <c r="P3049" s="2" t="s">
        <v>6813</v>
      </c>
      <c r="Q3049" s="2" t="s">
        <v>12816</v>
      </c>
      <c r="R3049" s="2" t="s">
        <v>40</v>
      </c>
      <c r="S3049" s="2" t="s">
        <v>17881</v>
      </c>
      <c r="T3049" s="2" t="s">
        <v>2684</v>
      </c>
      <c r="U3049" s="2" t="s">
        <v>2685</v>
      </c>
      <c r="V3049" s="2" t="s">
        <v>17882</v>
      </c>
      <c r="W3049" s="1"/>
      <c r="X3049" s="2" t="s">
        <v>3310</v>
      </c>
      <c r="Y3049" s="2" t="s">
        <v>17583</v>
      </c>
      <c r="AA3049" t="str">
        <f t="shared" si="282"/>
        <v>2025-07</v>
      </c>
      <c r="AB3049" t="str">
        <f t="shared" si="283"/>
        <v/>
      </c>
      <c r="AC3049">
        <f t="shared" si="284"/>
        <v>342220.79999999999</v>
      </c>
      <c r="AD3049">
        <f t="shared" si="285"/>
        <v>50</v>
      </c>
      <c r="AE3049">
        <f t="shared" si="286"/>
        <v>67220.800000000003</v>
      </c>
      <c r="AF3049" t="str">
        <f t="shared" si="287"/>
        <v>Paid</v>
      </c>
    </row>
    <row r="3050" spans="1:32" ht="17.25" thickBot="1" x14ac:dyDescent="0.35">
      <c r="A3050" s="2" t="s">
        <v>17883</v>
      </c>
      <c r="B3050" s="2" t="s">
        <v>27</v>
      </c>
      <c r="C3050" s="2" t="s">
        <v>28</v>
      </c>
      <c r="D3050" s="2" t="s">
        <v>97</v>
      </c>
      <c r="E3050" s="2" t="s">
        <v>17562</v>
      </c>
      <c r="F3050" s="2" t="s">
        <v>31</v>
      </c>
      <c r="G3050" s="2" t="s">
        <v>32</v>
      </c>
      <c r="H3050" s="1"/>
      <c r="I3050" s="2" t="s">
        <v>33</v>
      </c>
      <c r="J3050" s="2" t="s">
        <v>34</v>
      </c>
      <c r="K3050" s="2" t="s">
        <v>11494</v>
      </c>
      <c r="L3050" s="2" t="s">
        <v>11495</v>
      </c>
      <c r="M3050" s="2" t="s">
        <v>2710</v>
      </c>
      <c r="N3050" s="2" t="s">
        <v>38</v>
      </c>
      <c r="O3050" s="2" t="s">
        <v>463</v>
      </c>
      <c r="P3050" s="2" t="s">
        <v>6813</v>
      </c>
      <c r="Q3050" s="2" t="s">
        <v>17884</v>
      </c>
      <c r="R3050" s="2" t="s">
        <v>40</v>
      </c>
      <c r="S3050" s="2" t="s">
        <v>17885</v>
      </c>
      <c r="T3050" s="2" t="s">
        <v>14115</v>
      </c>
      <c r="U3050" s="2" t="s">
        <v>17886</v>
      </c>
      <c r="V3050" s="2" t="s">
        <v>17887</v>
      </c>
      <c r="W3050" s="1"/>
      <c r="X3050" s="2" t="s">
        <v>17888</v>
      </c>
      <c r="Y3050" s="2" t="s">
        <v>17583</v>
      </c>
      <c r="AA3050" t="str">
        <f t="shared" si="282"/>
        <v>2025-07</v>
      </c>
      <c r="AB3050" t="str">
        <f t="shared" si="283"/>
        <v/>
      </c>
      <c r="AC3050">
        <f t="shared" si="284"/>
        <v>369598.46</v>
      </c>
      <c r="AD3050">
        <f t="shared" si="285"/>
        <v>54</v>
      </c>
      <c r="AE3050">
        <f t="shared" si="286"/>
        <v>50458.46</v>
      </c>
      <c r="AF3050" t="str">
        <f t="shared" si="287"/>
        <v>Paid</v>
      </c>
    </row>
    <row r="3051" spans="1:32" ht="17.25" thickBot="1" x14ac:dyDescent="0.35">
      <c r="A3051" s="2" t="s">
        <v>17889</v>
      </c>
      <c r="B3051" s="2" t="s">
        <v>27</v>
      </c>
      <c r="C3051" s="2" t="s">
        <v>28</v>
      </c>
      <c r="D3051" s="2" t="s">
        <v>97</v>
      </c>
      <c r="E3051" s="2" t="s">
        <v>17562</v>
      </c>
      <c r="F3051" s="2" t="s">
        <v>31</v>
      </c>
      <c r="G3051" s="2" t="s">
        <v>32</v>
      </c>
      <c r="H3051" s="1"/>
      <c r="I3051" s="2" t="s">
        <v>33</v>
      </c>
      <c r="J3051" s="2" t="s">
        <v>34</v>
      </c>
      <c r="K3051" s="2" t="s">
        <v>17890</v>
      </c>
      <c r="L3051" s="2" t="s">
        <v>17891</v>
      </c>
      <c r="M3051" s="2" t="s">
        <v>2710</v>
      </c>
      <c r="N3051" s="2" t="s">
        <v>38</v>
      </c>
      <c r="O3051" s="2" t="s">
        <v>214</v>
      </c>
      <c r="P3051" s="2" t="s">
        <v>5833</v>
      </c>
      <c r="Q3051" s="2" t="s">
        <v>17892</v>
      </c>
      <c r="R3051" s="2" t="s">
        <v>40</v>
      </c>
      <c r="S3051" s="2" t="s">
        <v>17893</v>
      </c>
      <c r="T3051" s="2" t="s">
        <v>3163</v>
      </c>
      <c r="U3051" s="2" t="s">
        <v>1654</v>
      </c>
      <c r="V3051" s="2" t="s">
        <v>17894</v>
      </c>
      <c r="W3051" s="1"/>
      <c r="X3051" s="2" t="s">
        <v>4934</v>
      </c>
      <c r="Y3051" s="2" t="s">
        <v>17583</v>
      </c>
      <c r="AA3051" t="str">
        <f t="shared" si="282"/>
        <v>2025-07</v>
      </c>
      <c r="AB3051" t="str">
        <f t="shared" si="283"/>
        <v/>
      </c>
      <c r="AC3051">
        <f t="shared" si="284"/>
        <v>306127.2</v>
      </c>
      <c r="AD3051">
        <f t="shared" si="285"/>
        <v>50</v>
      </c>
      <c r="AE3051">
        <f t="shared" si="286"/>
        <v>56127.199999999997</v>
      </c>
      <c r="AF3051" t="str">
        <f t="shared" si="287"/>
        <v>Paid</v>
      </c>
    </row>
    <row r="3052" spans="1:32" ht="17.25" thickBot="1" x14ac:dyDescent="0.35">
      <c r="A3052" s="2" t="s">
        <v>17895</v>
      </c>
      <c r="B3052" s="2" t="s">
        <v>27</v>
      </c>
      <c r="C3052" s="2" t="s">
        <v>28</v>
      </c>
      <c r="D3052" s="2" t="s">
        <v>97</v>
      </c>
      <c r="E3052" s="2" t="s">
        <v>17562</v>
      </c>
      <c r="F3052" s="2" t="s">
        <v>31</v>
      </c>
      <c r="G3052" s="2" t="s">
        <v>32</v>
      </c>
      <c r="H3052" s="1"/>
      <c r="I3052" s="2" t="s">
        <v>33</v>
      </c>
      <c r="J3052" s="2" t="s">
        <v>34</v>
      </c>
      <c r="K3052" s="2" t="s">
        <v>11502</v>
      </c>
      <c r="L3052" s="2" t="s">
        <v>11503</v>
      </c>
      <c r="M3052" s="2" t="s">
        <v>2710</v>
      </c>
      <c r="N3052" s="2" t="s">
        <v>38</v>
      </c>
      <c r="O3052" s="2" t="s">
        <v>214</v>
      </c>
      <c r="P3052" s="2" t="s">
        <v>3521</v>
      </c>
      <c r="Q3052" s="2" t="s">
        <v>17896</v>
      </c>
      <c r="R3052" s="2" t="s">
        <v>40</v>
      </c>
      <c r="S3052" s="2" t="s">
        <v>17897</v>
      </c>
      <c r="T3052" s="2" t="s">
        <v>1523</v>
      </c>
      <c r="U3052" s="2" t="s">
        <v>17898</v>
      </c>
      <c r="V3052" s="2" t="s">
        <v>17899</v>
      </c>
      <c r="W3052" s="1"/>
      <c r="X3052" s="2" t="s">
        <v>4195</v>
      </c>
      <c r="Y3052" s="2" t="s">
        <v>17583</v>
      </c>
      <c r="AA3052" t="str">
        <f t="shared" si="282"/>
        <v>2025-07</v>
      </c>
      <c r="AB3052" t="str">
        <f t="shared" si="283"/>
        <v/>
      </c>
      <c r="AC3052">
        <f t="shared" si="284"/>
        <v>320163.59999999998</v>
      </c>
      <c r="AD3052">
        <f t="shared" si="285"/>
        <v>50</v>
      </c>
      <c r="AE3052">
        <f t="shared" si="286"/>
        <v>47413.599999999999</v>
      </c>
      <c r="AF3052" t="str">
        <f t="shared" si="287"/>
        <v>Paid</v>
      </c>
    </row>
    <row r="3053" spans="1:32" ht="27.75" thickBot="1" x14ac:dyDescent="0.35">
      <c r="A3053" s="2" t="s">
        <v>17900</v>
      </c>
      <c r="B3053" s="2" t="s">
        <v>27</v>
      </c>
      <c r="C3053" s="2" t="s">
        <v>28</v>
      </c>
      <c r="D3053" s="2" t="s">
        <v>97</v>
      </c>
      <c r="E3053" s="2" t="s">
        <v>17562</v>
      </c>
      <c r="F3053" s="2" t="s">
        <v>31</v>
      </c>
      <c r="G3053" s="2" t="s">
        <v>32</v>
      </c>
      <c r="H3053" s="1"/>
      <c r="I3053" s="2" t="s">
        <v>33</v>
      </c>
      <c r="J3053" s="2" t="s">
        <v>34</v>
      </c>
      <c r="K3053" s="2" t="s">
        <v>2742</v>
      </c>
      <c r="L3053" s="2" t="s">
        <v>2743</v>
      </c>
      <c r="M3053" s="2" t="s">
        <v>2710</v>
      </c>
      <c r="N3053" s="2" t="s">
        <v>38</v>
      </c>
      <c r="O3053" s="2" t="s">
        <v>877</v>
      </c>
      <c r="P3053" s="2" t="s">
        <v>17901</v>
      </c>
      <c r="Q3053" s="2" t="s">
        <v>17902</v>
      </c>
      <c r="R3053" s="2" t="s">
        <v>40</v>
      </c>
      <c r="S3053" s="2" t="s">
        <v>17903</v>
      </c>
      <c r="T3053" s="2" t="s">
        <v>9272</v>
      </c>
      <c r="U3053" s="2" t="s">
        <v>7536</v>
      </c>
      <c r="V3053" s="2" t="s">
        <v>17904</v>
      </c>
      <c r="W3053" s="1"/>
      <c r="X3053" s="2" t="s">
        <v>3393</v>
      </c>
      <c r="Y3053" s="2" t="s">
        <v>17583</v>
      </c>
      <c r="AA3053" t="str">
        <f t="shared" si="282"/>
        <v>2025-07</v>
      </c>
      <c r="AB3053" t="str">
        <f t="shared" si="283"/>
        <v/>
      </c>
      <c r="AC3053">
        <f t="shared" si="284"/>
        <v>593539.19999999995</v>
      </c>
      <c r="AD3053">
        <f t="shared" si="285"/>
        <v>100</v>
      </c>
      <c r="AE3053">
        <f t="shared" si="286"/>
        <v>148039.20000000001</v>
      </c>
      <c r="AF3053" t="str">
        <f t="shared" si="287"/>
        <v>Paid</v>
      </c>
    </row>
    <row r="3054" spans="1:32" ht="17.25" thickBot="1" x14ac:dyDescent="0.35">
      <c r="A3054" s="2" t="s">
        <v>17905</v>
      </c>
      <c r="B3054" s="2" t="s">
        <v>27</v>
      </c>
      <c r="C3054" s="2" t="s">
        <v>28</v>
      </c>
      <c r="D3054" s="2" t="s">
        <v>97</v>
      </c>
      <c r="E3054" s="2" t="s">
        <v>17562</v>
      </c>
      <c r="F3054" s="2" t="s">
        <v>31</v>
      </c>
      <c r="G3054" s="2" t="s">
        <v>32</v>
      </c>
      <c r="H3054" s="1"/>
      <c r="I3054" s="2" t="s">
        <v>33</v>
      </c>
      <c r="J3054" s="2" t="s">
        <v>34</v>
      </c>
      <c r="K3054" s="2" t="s">
        <v>17906</v>
      </c>
      <c r="L3054" s="2" t="s">
        <v>17907</v>
      </c>
      <c r="M3054" s="2" t="s">
        <v>17908</v>
      </c>
      <c r="N3054" s="2" t="s">
        <v>38</v>
      </c>
      <c r="O3054" s="2" t="s">
        <v>156</v>
      </c>
      <c r="P3054" s="2" t="s">
        <v>17909</v>
      </c>
      <c r="Q3054" s="2" t="s">
        <v>17910</v>
      </c>
      <c r="R3054" s="2" t="s">
        <v>40</v>
      </c>
      <c r="S3054" s="2" t="s">
        <v>17911</v>
      </c>
      <c r="T3054" s="2" t="s">
        <v>17912</v>
      </c>
      <c r="U3054" s="2" t="s">
        <v>17913</v>
      </c>
      <c r="V3054" s="2" t="s">
        <v>17914</v>
      </c>
      <c r="W3054" s="1"/>
      <c r="X3054" s="2" t="s">
        <v>17915</v>
      </c>
      <c r="Y3054" s="2" t="s">
        <v>17583</v>
      </c>
      <c r="AA3054" t="str">
        <f t="shared" si="282"/>
        <v>2025-07</v>
      </c>
      <c r="AB3054" t="str">
        <f t="shared" si="283"/>
        <v/>
      </c>
      <c r="AC3054">
        <f t="shared" si="284"/>
        <v>268162.08</v>
      </c>
      <c r="AD3054">
        <f t="shared" si="285"/>
        <v>20</v>
      </c>
      <c r="AE3054">
        <f t="shared" si="286"/>
        <v>92942.080000000002</v>
      </c>
      <c r="AF3054" t="str">
        <f t="shared" si="287"/>
        <v>Paid</v>
      </c>
    </row>
    <row r="3055" spans="1:32" ht="17.25" thickBot="1" x14ac:dyDescent="0.35">
      <c r="A3055" s="2" t="s">
        <v>17916</v>
      </c>
      <c r="B3055" s="2" t="s">
        <v>27</v>
      </c>
      <c r="C3055" s="2" t="s">
        <v>28</v>
      </c>
      <c r="D3055" s="2" t="s">
        <v>97</v>
      </c>
      <c r="E3055" s="2" t="s">
        <v>17562</v>
      </c>
      <c r="F3055" s="2" t="s">
        <v>31</v>
      </c>
      <c r="G3055" s="2" t="s">
        <v>32</v>
      </c>
      <c r="H3055" s="1"/>
      <c r="I3055" s="2" t="s">
        <v>33</v>
      </c>
      <c r="J3055" s="2" t="s">
        <v>34</v>
      </c>
      <c r="K3055" s="2" t="s">
        <v>17917</v>
      </c>
      <c r="L3055" s="2" t="s">
        <v>17918</v>
      </c>
      <c r="M3055" s="2" t="s">
        <v>17908</v>
      </c>
      <c r="N3055" s="2" t="s">
        <v>38</v>
      </c>
      <c r="O3055" s="2" t="s">
        <v>156</v>
      </c>
      <c r="P3055" s="2" t="s">
        <v>7955</v>
      </c>
      <c r="Q3055" s="2" t="s">
        <v>15649</v>
      </c>
      <c r="R3055" s="2" t="s">
        <v>40</v>
      </c>
      <c r="S3055" s="2" t="s">
        <v>17919</v>
      </c>
      <c r="T3055" s="2" t="s">
        <v>297</v>
      </c>
      <c r="U3055" s="2" t="s">
        <v>15004</v>
      </c>
      <c r="V3055" s="2" t="s">
        <v>17920</v>
      </c>
      <c r="W3055" s="1"/>
      <c r="X3055" s="2" t="s">
        <v>6840</v>
      </c>
      <c r="Y3055" s="2" t="s">
        <v>17583</v>
      </c>
      <c r="AA3055" t="str">
        <f t="shared" si="282"/>
        <v>2025-07</v>
      </c>
      <c r="AB3055" t="str">
        <f t="shared" si="283"/>
        <v/>
      </c>
      <c r="AC3055">
        <f t="shared" si="284"/>
        <v>243030.24</v>
      </c>
      <c r="AD3055">
        <f t="shared" si="285"/>
        <v>20</v>
      </c>
      <c r="AE3055">
        <f t="shared" si="286"/>
        <v>83030.240000000005</v>
      </c>
      <c r="AF3055" t="str">
        <f t="shared" si="287"/>
        <v>Paid</v>
      </c>
    </row>
    <row r="3056" spans="1:32" ht="27.75" thickBot="1" x14ac:dyDescent="0.35">
      <c r="A3056" s="2" t="s">
        <v>17921</v>
      </c>
      <c r="B3056" s="2" t="s">
        <v>27</v>
      </c>
      <c r="C3056" s="2" t="s">
        <v>28</v>
      </c>
      <c r="D3056" s="2" t="s">
        <v>97</v>
      </c>
      <c r="E3056" s="2" t="s">
        <v>17562</v>
      </c>
      <c r="F3056" s="2" t="s">
        <v>31</v>
      </c>
      <c r="G3056" s="2" t="s">
        <v>32</v>
      </c>
      <c r="H3056" s="1"/>
      <c r="I3056" s="2" t="s">
        <v>33</v>
      </c>
      <c r="J3056" s="2" t="s">
        <v>34</v>
      </c>
      <c r="K3056" s="2" t="s">
        <v>17922</v>
      </c>
      <c r="L3056" s="2" t="s">
        <v>17923</v>
      </c>
      <c r="M3056" s="2" t="s">
        <v>17908</v>
      </c>
      <c r="N3056" s="2" t="s">
        <v>38</v>
      </c>
      <c r="O3056" s="2" t="s">
        <v>156</v>
      </c>
      <c r="P3056" s="2" t="s">
        <v>1010</v>
      </c>
      <c r="Q3056" s="2" t="s">
        <v>17924</v>
      </c>
      <c r="R3056" s="2" t="s">
        <v>40</v>
      </c>
      <c r="S3056" s="2" t="s">
        <v>17925</v>
      </c>
      <c r="T3056" s="2" t="s">
        <v>17016</v>
      </c>
      <c r="U3056" s="2" t="s">
        <v>17926</v>
      </c>
      <c r="V3056" s="2" t="s">
        <v>17927</v>
      </c>
      <c r="W3056" s="1"/>
      <c r="X3056" s="2" t="s">
        <v>1357</v>
      </c>
      <c r="Y3056" s="2" t="s">
        <v>17583</v>
      </c>
      <c r="AA3056" t="str">
        <f t="shared" si="282"/>
        <v>2025-07</v>
      </c>
      <c r="AB3056" t="str">
        <f t="shared" si="283"/>
        <v/>
      </c>
      <c r="AC3056">
        <f t="shared" si="284"/>
        <v>217898.4</v>
      </c>
      <c r="AD3056">
        <f t="shared" si="285"/>
        <v>20</v>
      </c>
      <c r="AE3056">
        <f t="shared" si="286"/>
        <v>56078.400000000001</v>
      </c>
      <c r="AF3056" t="str">
        <f t="shared" si="287"/>
        <v>Paid</v>
      </c>
    </row>
    <row r="3057" spans="1:32" ht="17.25" thickBot="1" x14ac:dyDescent="0.35">
      <c r="A3057" s="2" t="s">
        <v>17928</v>
      </c>
      <c r="B3057" s="2" t="s">
        <v>27</v>
      </c>
      <c r="C3057" s="2" t="s">
        <v>28</v>
      </c>
      <c r="D3057" s="2" t="s">
        <v>97</v>
      </c>
      <c r="E3057" s="2" t="s">
        <v>17562</v>
      </c>
      <c r="F3057" s="2" t="s">
        <v>31</v>
      </c>
      <c r="G3057" s="2" t="s">
        <v>32</v>
      </c>
      <c r="H3057" s="1"/>
      <c r="I3057" s="2" t="s">
        <v>33</v>
      </c>
      <c r="J3057" s="2" t="s">
        <v>34</v>
      </c>
      <c r="K3057" s="2" t="s">
        <v>17929</v>
      </c>
      <c r="L3057" s="2" t="s">
        <v>17930</v>
      </c>
      <c r="M3057" s="2" t="s">
        <v>17908</v>
      </c>
      <c r="N3057" s="2" t="s">
        <v>38</v>
      </c>
      <c r="O3057" s="2" t="s">
        <v>156</v>
      </c>
      <c r="P3057" s="2" t="s">
        <v>14390</v>
      </c>
      <c r="Q3057" s="2" t="s">
        <v>17931</v>
      </c>
      <c r="R3057" s="2" t="s">
        <v>40</v>
      </c>
      <c r="S3057" s="2" t="s">
        <v>17932</v>
      </c>
      <c r="T3057" s="2" t="s">
        <v>10362</v>
      </c>
      <c r="U3057" s="2" t="s">
        <v>7147</v>
      </c>
      <c r="V3057" s="2" t="s">
        <v>17933</v>
      </c>
      <c r="W3057" s="1"/>
      <c r="X3057" s="2" t="s">
        <v>14002</v>
      </c>
      <c r="Y3057" s="2" t="s">
        <v>17583</v>
      </c>
      <c r="AA3057" t="str">
        <f t="shared" si="282"/>
        <v>2025-07</v>
      </c>
      <c r="AB3057" t="str">
        <f t="shared" si="283"/>
        <v/>
      </c>
      <c r="AC3057">
        <f t="shared" si="284"/>
        <v>301582.08000000002</v>
      </c>
      <c r="AD3057">
        <f t="shared" si="285"/>
        <v>20</v>
      </c>
      <c r="AE3057">
        <f t="shared" si="286"/>
        <v>109582.08</v>
      </c>
      <c r="AF3057" t="str">
        <f t="shared" si="287"/>
        <v>Paid</v>
      </c>
    </row>
    <row r="3058" spans="1:32" ht="17.25" thickBot="1" x14ac:dyDescent="0.35">
      <c r="A3058" s="2" t="s">
        <v>17934</v>
      </c>
      <c r="B3058" s="2" t="s">
        <v>27</v>
      </c>
      <c r="C3058" s="2" t="s">
        <v>28</v>
      </c>
      <c r="D3058" s="2" t="s">
        <v>97</v>
      </c>
      <c r="E3058" s="2" t="s">
        <v>17562</v>
      </c>
      <c r="F3058" s="2" t="s">
        <v>31</v>
      </c>
      <c r="G3058" s="2" t="s">
        <v>32</v>
      </c>
      <c r="H3058" s="1"/>
      <c r="I3058" s="2" t="s">
        <v>33</v>
      </c>
      <c r="J3058" s="2" t="s">
        <v>34</v>
      </c>
      <c r="K3058" s="2" t="s">
        <v>17935</v>
      </c>
      <c r="L3058" s="2" t="s">
        <v>17936</v>
      </c>
      <c r="M3058" s="2" t="s">
        <v>17908</v>
      </c>
      <c r="N3058" s="2" t="s">
        <v>38</v>
      </c>
      <c r="O3058" s="2" t="s">
        <v>156</v>
      </c>
      <c r="P3058" s="2" t="s">
        <v>17937</v>
      </c>
      <c r="Q3058" s="2" t="s">
        <v>6970</v>
      </c>
      <c r="R3058" s="2" t="s">
        <v>40</v>
      </c>
      <c r="S3058" s="2" t="s">
        <v>17938</v>
      </c>
      <c r="T3058" s="2" t="s">
        <v>17939</v>
      </c>
      <c r="U3058" s="2" t="s">
        <v>17940</v>
      </c>
      <c r="V3058" s="2" t="s">
        <v>17941</v>
      </c>
      <c r="W3058" s="1"/>
      <c r="X3058" s="2" t="s">
        <v>17818</v>
      </c>
      <c r="Y3058" s="2" t="s">
        <v>17583</v>
      </c>
      <c r="AA3058" t="str">
        <f t="shared" si="282"/>
        <v>2025-07</v>
      </c>
      <c r="AB3058" t="str">
        <f t="shared" si="283"/>
        <v/>
      </c>
      <c r="AC3058">
        <f t="shared" si="284"/>
        <v>51867.839999999997</v>
      </c>
      <c r="AD3058">
        <f t="shared" si="285"/>
        <v>20</v>
      </c>
      <c r="AE3058">
        <f t="shared" si="286"/>
        <v>17307.84</v>
      </c>
      <c r="AF3058" t="str">
        <f t="shared" si="287"/>
        <v>Paid</v>
      </c>
    </row>
    <row r="3059" spans="1:32" ht="17.25" thickBot="1" x14ac:dyDescent="0.35">
      <c r="A3059" s="2" t="s">
        <v>17942</v>
      </c>
      <c r="B3059" s="2" t="s">
        <v>27</v>
      </c>
      <c r="C3059" s="2" t="s">
        <v>28</v>
      </c>
      <c r="D3059" s="2" t="s">
        <v>97</v>
      </c>
      <c r="E3059" s="2" t="s">
        <v>17562</v>
      </c>
      <c r="F3059" s="2" t="s">
        <v>31</v>
      </c>
      <c r="G3059" s="2" t="s">
        <v>32</v>
      </c>
      <c r="H3059" s="1"/>
      <c r="I3059" s="2" t="s">
        <v>33</v>
      </c>
      <c r="J3059" s="2" t="s">
        <v>34</v>
      </c>
      <c r="K3059" s="2" t="s">
        <v>17943</v>
      </c>
      <c r="L3059" s="2" t="s">
        <v>17944</v>
      </c>
      <c r="M3059" s="2" t="s">
        <v>17908</v>
      </c>
      <c r="N3059" s="2" t="s">
        <v>38</v>
      </c>
      <c r="O3059" s="2" t="s">
        <v>156</v>
      </c>
      <c r="P3059" s="2" t="s">
        <v>8613</v>
      </c>
      <c r="Q3059" s="2" t="s">
        <v>17945</v>
      </c>
      <c r="R3059" s="2" t="s">
        <v>40</v>
      </c>
      <c r="S3059" s="2" t="s">
        <v>17946</v>
      </c>
      <c r="T3059" s="2" t="s">
        <v>17947</v>
      </c>
      <c r="U3059" s="2" t="s">
        <v>17948</v>
      </c>
      <c r="V3059" s="2" t="s">
        <v>17949</v>
      </c>
      <c r="W3059" s="1"/>
      <c r="X3059" s="2" t="s">
        <v>17915</v>
      </c>
      <c r="Y3059" s="2" t="s">
        <v>17583</v>
      </c>
      <c r="AA3059" t="str">
        <f t="shared" si="282"/>
        <v>2025-07</v>
      </c>
      <c r="AB3059" t="str">
        <f t="shared" si="283"/>
        <v/>
      </c>
      <c r="AC3059">
        <f t="shared" si="284"/>
        <v>80742.720000000001</v>
      </c>
      <c r="AD3059">
        <f t="shared" si="285"/>
        <v>20</v>
      </c>
      <c r="AE3059">
        <f t="shared" si="286"/>
        <v>28002.720000000001</v>
      </c>
      <c r="AF3059" t="str">
        <f t="shared" si="287"/>
        <v>Paid</v>
      </c>
    </row>
    <row r="3060" spans="1:32" ht="17.25" thickBot="1" x14ac:dyDescent="0.35">
      <c r="A3060" s="2" t="s">
        <v>17950</v>
      </c>
      <c r="B3060" s="2" t="s">
        <v>27</v>
      </c>
      <c r="C3060" s="2" t="s">
        <v>28</v>
      </c>
      <c r="D3060" s="2" t="s">
        <v>97</v>
      </c>
      <c r="E3060" s="2" t="s">
        <v>17562</v>
      </c>
      <c r="F3060" s="2" t="s">
        <v>31</v>
      </c>
      <c r="G3060" s="2" t="s">
        <v>32</v>
      </c>
      <c r="H3060" s="1"/>
      <c r="I3060" s="2" t="s">
        <v>33</v>
      </c>
      <c r="J3060" s="2" t="s">
        <v>34</v>
      </c>
      <c r="K3060" s="2" t="s">
        <v>17951</v>
      </c>
      <c r="L3060" s="2" t="s">
        <v>17952</v>
      </c>
      <c r="M3060" s="2" t="s">
        <v>17908</v>
      </c>
      <c r="N3060" s="2" t="s">
        <v>38</v>
      </c>
      <c r="O3060" s="2" t="s">
        <v>156</v>
      </c>
      <c r="P3060" s="2" t="s">
        <v>1001</v>
      </c>
      <c r="Q3060" s="2" t="s">
        <v>17953</v>
      </c>
      <c r="R3060" s="2" t="s">
        <v>40</v>
      </c>
      <c r="S3060" s="2" t="s">
        <v>17954</v>
      </c>
      <c r="T3060" s="2" t="s">
        <v>17955</v>
      </c>
      <c r="U3060" s="2" t="s">
        <v>17956</v>
      </c>
      <c r="V3060" s="2" t="s">
        <v>17957</v>
      </c>
      <c r="W3060" s="1"/>
      <c r="X3060" s="2" t="s">
        <v>9050</v>
      </c>
      <c r="Y3060" s="2" t="s">
        <v>17583</v>
      </c>
      <c r="AA3060" t="str">
        <f t="shared" si="282"/>
        <v>2025-07</v>
      </c>
      <c r="AB3060" t="str">
        <f t="shared" si="283"/>
        <v/>
      </c>
      <c r="AC3060">
        <f t="shared" si="284"/>
        <v>183408.96</v>
      </c>
      <c r="AD3060">
        <f t="shared" si="285"/>
        <v>20</v>
      </c>
      <c r="AE3060">
        <f t="shared" si="286"/>
        <v>67028.960000000006</v>
      </c>
      <c r="AF3060" t="str">
        <f t="shared" si="287"/>
        <v>Paid</v>
      </c>
    </row>
    <row r="3061" spans="1:32" ht="17.25" thickBot="1" x14ac:dyDescent="0.35">
      <c r="A3061" s="2" t="s">
        <v>17958</v>
      </c>
      <c r="B3061" s="2" t="s">
        <v>27</v>
      </c>
      <c r="C3061" s="2" t="s">
        <v>28</v>
      </c>
      <c r="D3061" s="2" t="s">
        <v>97</v>
      </c>
      <c r="E3061" s="2" t="s">
        <v>17562</v>
      </c>
      <c r="F3061" s="2" t="s">
        <v>31</v>
      </c>
      <c r="G3061" s="2" t="s">
        <v>32</v>
      </c>
      <c r="H3061" s="1"/>
      <c r="I3061" s="2" t="s">
        <v>33</v>
      </c>
      <c r="J3061" s="2" t="s">
        <v>34</v>
      </c>
      <c r="K3061" s="2" t="s">
        <v>17959</v>
      </c>
      <c r="L3061" s="2" t="s">
        <v>17960</v>
      </c>
      <c r="M3061" s="2" t="s">
        <v>17908</v>
      </c>
      <c r="N3061" s="2" t="s">
        <v>38</v>
      </c>
      <c r="O3061" s="2" t="s">
        <v>156</v>
      </c>
      <c r="P3061" s="2" t="s">
        <v>1175</v>
      </c>
      <c r="Q3061" s="2" t="s">
        <v>1461</v>
      </c>
      <c r="R3061" s="2" t="s">
        <v>40</v>
      </c>
      <c r="S3061" s="2" t="s">
        <v>17961</v>
      </c>
      <c r="T3061" s="2" t="s">
        <v>17962</v>
      </c>
      <c r="U3061" s="2" t="s">
        <v>8762</v>
      </c>
      <c r="V3061" s="2" t="s">
        <v>17963</v>
      </c>
      <c r="W3061" s="1"/>
      <c r="X3061" s="2" t="s">
        <v>17964</v>
      </c>
      <c r="Y3061" s="2" t="s">
        <v>17583</v>
      </c>
      <c r="AA3061" t="str">
        <f t="shared" si="282"/>
        <v>2025-07</v>
      </c>
      <c r="AB3061" t="str">
        <f t="shared" si="283"/>
        <v/>
      </c>
      <c r="AC3061">
        <f t="shared" si="284"/>
        <v>167634.72</v>
      </c>
      <c r="AD3061">
        <f t="shared" si="285"/>
        <v>20</v>
      </c>
      <c r="AE3061">
        <f t="shared" si="286"/>
        <v>58814.720000000001</v>
      </c>
      <c r="AF3061" t="str">
        <f t="shared" si="287"/>
        <v>Paid</v>
      </c>
    </row>
    <row r="3062" spans="1:32" ht="17.25" thickBot="1" x14ac:dyDescent="0.35">
      <c r="A3062" s="2" t="s">
        <v>17965</v>
      </c>
      <c r="B3062" s="2" t="s">
        <v>27</v>
      </c>
      <c r="C3062" s="2" t="s">
        <v>28</v>
      </c>
      <c r="D3062" s="2" t="s">
        <v>97</v>
      </c>
      <c r="E3062" s="2" t="s">
        <v>17562</v>
      </c>
      <c r="F3062" s="2" t="s">
        <v>31</v>
      </c>
      <c r="G3062" s="2" t="s">
        <v>32</v>
      </c>
      <c r="H3062" s="1"/>
      <c r="I3062" s="2" t="s">
        <v>33</v>
      </c>
      <c r="J3062" s="2" t="s">
        <v>34</v>
      </c>
      <c r="K3062" s="2" t="s">
        <v>17966</v>
      </c>
      <c r="L3062" s="2" t="s">
        <v>17967</v>
      </c>
      <c r="M3062" s="2" t="s">
        <v>17908</v>
      </c>
      <c r="N3062" s="2" t="s">
        <v>38</v>
      </c>
      <c r="O3062" s="2" t="s">
        <v>156</v>
      </c>
      <c r="P3062" s="2" t="s">
        <v>17968</v>
      </c>
      <c r="Q3062" s="2" t="s">
        <v>17969</v>
      </c>
      <c r="R3062" s="2" t="s">
        <v>40</v>
      </c>
      <c r="S3062" s="2" t="s">
        <v>17970</v>
      </c>
      <c r="T3062" s="2" t="s">
        <v>17971</v>
      </c>
      <c r="U3062" s="2" t="s">
        <v>17972</v>
      </c>
      <c r="V3062" s="2" t="s">
        <v>17973</v>
      </c>
      <c r="W3062" s="1"/>
      <c r="X3062" s="2" t="s">
        <v>965</v>
      </c>
      <c r="Y3062" s="2" t="s">
        <v>17583</v>
      </c>
      <c r="AA3062" t="str">
        <f t="shared" si="282"/>
        <v>2025-07</v>
      </c>
      <c r="AB3062" t="str">
        <f t="shared" si="283"/>
        <v/>
      </c>
      <c r="AC3062">
        <f t="shared" si="284"/>
        <v>293026.56</v>
      </c>
      <c r="AD3062">
        <f t="shared" si="285"/>
        <v>20</v>
      </c>
      <c r="AE3062">
        <f t="shared" si="286"/>
        <v>75026.559999999998</v>
      </c>
      <c r="AF3062" t="str">
        <f t="shared" si="287"/>
        <v>Paid</v>
      </c>
    </row>
    <row r="3063" spans="1:32" ht="17.25" thickBot="1" x14ac:dyDescent="0.35">
      <c r="A3063" s="2" t="s">
        <v>17974</v>
      </c>
      <c r="B3063" s="2" t="s">
        <v>27</v>
      </c>
      <c r="C3063" s="2" t="s">
        <v>28</v>
      </c>
      <c r="D3063" s="2" t="s">
        <v>97</v>
      </c>
      <c r="E3063" s="2" t="s">
        <v>17562</v>
      </c>
      <c r="F3063" s="2" t="s">
        <v>31</v>
      </c>
      <c r="G3063" s="2" t="s">
        <v>32</v>
      </c>
      <c r="H3063" s="1"/>
      <c r="I3063" s="2" t="s">
        <v>33</v>
      </c>
      <c r="J3063" s="2" t="s">
        <v>34</v>
      </c>
      <c r="K3063" s="2" t="s">
        <v>17975</v>
      </c>
      <c r="L3063" s="2" t="s">
        <v>17976</v>
      </c>
      <c r="M3063" s="2" t="s">
        <v>17908</v>
      </c>
      <c r="N3063" s="2" t="s">
        <v>38</v>
      </c>
      <c r="O3063" s="2" t="s">
        <v>156</v>
      </c>
      <c r="P3063" s="2" t="s">
        <v>1001</v>
      </c>
      <c r="Q3063" s="2" t="s">
        <v>17953</v>
      </c>
      <c r="R3063" s="2" t="s">
        <v>40</v>
      </c>
      <c r="S3063" s="2" t="s">
        <v>17954</v>
      </c>
      <c r="T3063" s="2" t="s">
        <v>3079</v>
      </c>
      <c r="U3063" s="2" t="s">
        <v>17977</v>
      </c>
      <c r="V3063" s="2" t="s">
        <v>17978</v>
      </c>
      <c r="W3063" s="1"/>
      <c r="X3063" s="2" t="s">
        <v>8769</v>
      </c>
      <c r="Y3063" s="2" t="s">
        <v>17583</v>
      </c>
      <c r="AA3063" t="str">
        <f t="shared" si="282"/>
        <v>2025-07</v>
      </c>
      <c r="AB3063" t="str">
        <f t="shared" si="283"/>
        <v/>
      </c>
      <c r="AC3063">
        <f t="shared" si="284"/>
        <v>183408.96</v>
      </c>
      <c r="AD3063">
        <f t="shared" si="285"/>
        <v>20</v>
      </c>
      <c r="AE3063">
        <f t="shared" si="286"/>
        <v>67408.960000000006</v>
      </c>
      <c r="AF3063" t="str">
        <f t="shared" si="287"/>
        <v>Paid</v>
      </c>
    </row>
    <row r="3064" spans="1:32" ht="17.25" thickBot="1" x14ac:dyDescent="0.35">
      <c r="A3064" s="2" t="s">
        <v>17979</v>
      </c>
      <c r="B3064" s="2" t="s">
        <v>27</v>
      </c>
      <c r="C3064" s="2" t="s">
        <v>28</v>
      </c>
      <c r="D3064" s="2" t="s">
        <v>97</v>
      </c>
      <c r="E3064" s="2" t="s">
        <v>17562</v>
      </c>
      <c r="F3064" s="2" t="s">
        <v>31</v>
      </c>
      <c r="G3064" s="2" t="s">
        <v>32</v>
      </c>
      <c r="H3064" s="1"/>
      <c r="I3064" s="2" t="s">
        <v>33</v>
      </c>
      <c r="J3064" s="2" t="s">
        <v>34</v>
      </c>
      <c r="K3064" s="2" t="s">
        <v>17980</v>
      </c>
      <c r="L3064" s="2" t="s">
        <v>17981</v>
      </c>
      <c r="M3064" s="2" t="s">
        <v>16013</v>
      </c>
      <c r="N3064" s="2" t="s">
        <v>38</v>
      </c>
      <c r="O3064" s="2" t="s">
        <v>877</v>
      </c>
      <c r="P3064" s="2" t="s">
        <v>3709</v>
      </c>
      <c r="Q3064" s="2" t="s">
        <v>17982</v>
      </c>
      <c r="R3064" s="2" t="s">
        <v>40</v>
      </c>
      <c r="S3064" s="2" t="s">
        <v>17983</v>
      </c>
      <c r="T3064" s="2" t="s">
        <v>107</v>
      </c>
      <c r="U3064" s="2" t="s">
        <v>14315</v>
      </c>
      <c r="V3064" s="2" t="s">
        <v>17984</v>
      </c>
      <c r="W3064" s="1"/>
      <c r="X3064" s="2" t="s">
        <v>7587</v>
      </c>
      <c r="Y3064" s="2" t="s">
        <v>17583</v>
      </c>
      <c r="AA3064" t="str">
        <f t="shared" si="282"/>
        <v>2025-07</v>
      </c>
      <c r="AB3064" t="str">
        <f t="shared" si="283"/>
        <v/>
      </c>
      <c r="AC3064">
        <f t="shared" si="284"/>
        <v>774007.2</v>
      </c>
      <c r="AD3064">
        <f t="shared" si="285"/>
        <v>100</v>
      </c>
      <c r="AE3064">
        <f t="shared" si="286"/>
        <v>214007.2</v>
      </c>
      <c r="AF3064" t="str">
        <f t="shared" si="287"/>
        <v>Paid</v>
      </c>
    </row>
    <row r="3065" spans="1:32" ht="17.25" thickBot="1" x14ac:dyDescent="0.35">
      <c r="A3065" s="2" t="s">
        <v>17985</v>
      </c>
      <c r="B3065" s="2" t="s">
        <v>27</v>
      </c>
      <c r="C3065" s="2" t="s">
        <v>28</v>
      </c>
      <c r="D3065" s="2" t="s">
        <v>97</v>
      </c>
      <c r="E3065" s="2" t="s">
        <v>17562</v>
      </c>
      <c r="F3065" s="2" t="s">
        <v>31</v>
      </c>
      <c r="G3065" s="2" t="s">
        <v>32</v>
      </c>
      <c r="H3065" s="1"/>
      <c r="I3065" s="2" t="s">
        <v>33</v>
      </c>
      <c r="J3065" s="2" t="s">
        <v>34</v>
      </c>
      <c r="K3065" s="2" t="s">
        <v>17986</v>
      </c>
      <c r="L3065" s="2" t="s">
        <v>17987</v>
      </c>
      <c r="M3065" s="2" t="s">
        <v>16013</v>
      </c>
      <c r="N3065" s="2" t="s">
        <v>38</v>
      </c>
      <c r="O3065" s="2" t="s">
        <v>156</v>
      </c>
      <c r="P3065" s="2" t="s">
        <v>2433</v>
      </c>
      <c r="Q3065" s="2" t="s">
        <v>4113</v>
      </c>
      <c r="R3065" s="2" t="s">
        <v>40</v>
      </c>
      <c r="S3065" s="2" t="s">
        <v>17810</v>
      </c>
      <c r="T3065" s="2" t="s">
        <v>107</v>
      </c>
      <c r="U3065" s="2" t="s">
        <v>8539</v>
      </c>
      <c r="V3065" s="2" t="s">
        <v>17988</v>
      </c>
      <c r="W3065" s="1"/>
      <c r="X3065" s="2" t="s">
        <v>1472</v>
      </c>
      <c r="Y3065" s="2" t="s">
        <v>17583</v>
      </c>
      <c r="AA3065" t="str">
        <f t="shared" si="282"/>
        <v>2025-07</v>
      </c>
      <c r="AB3065" t="str">
        <f t="shared" si="283"/>
        <v/>
      </c>
      <c r="AC3065">
        <f t="shared" si="284"/>
        <v>147582.72</v>
      </c>
      <c r="AD3065">
        <f t="shared" si="285"/>
        <v>20</v>
      </c>
      <c r="AE3065">
        <f t="shared" si="286"/>
        <v>35582.720000000001</v>
      </c>
      <c r="AF3065" t="str">
        <f t="shared" si="287"/>
        <v>Paid</v>
      </c>
    </row>
    <row r="3066" spans="1:32" ht="27.75" thickBot="1" x14ac:dyDescent="0.35">
      <c r="A3066" s="2" t="s">
        <v>17989</v>
      </c>
      <c r="B3066" s="2" t="s">
        <v>27</v>
      </c>
      <c r="C3066" s="2" t="s">
        <v>28</v>
      </c>
      <c r="D3066" s="2" t="s">
        <v>97</v>
      </c>
      <c r="E3066" s="2" t="s">
        <v>17562</v>
      </c>
      <c r="F3066" s="2" t="s">
        <v>31</v>
      </c>
      <c r="G3066" s="2" t="s">
        <v>32</v>
      </c>
      <c r="H3066" s="1"/>
      <c r="I3066" s="2" t="s">
        <v>33</v>
      </c>
      <c r="J3066" s="2" t="s">
        <v>34</v>
      </c>
      <c r="K3066" s="2" t="s">
        <v>16011</v>
      </c>
      <c r="L3066" s="2" t="s">
        <v>16012</v>
      </c>
      <c r="M3066" s="2" t="s">
        <v>16013</v>
      </c>
      <c r="N3066" s="2" t="s">
        <v>38</v>
      </c>
      <c r="O3066" s="2" t="s">
        <v>773</v>
      </c>
      <c r="P3066" s="2" t="s">
        <v>3031</v>
      </c>
      <c r="Q3066" s="2" t="s">
        <v>17990</v>
      </c>
      <c r="R3066" s="2" t="s">
        <v>40</v>
      </c>
      <c r="S3066" s="2" t="s">
        <v>17991</v>
      </c>
      <c r="T3066" s="2" t="s">
        <v>3213</v>
      </c>
      <c r="U3066" s="2" t="s">
        <v>17992</v>
      </c>
      <c r="V3066" s="2" t="s">
        <v>17993</v>
      </c>
      <c r="W3066" s="1"/>
      <c r="X3066" s="2" t="s">
        <v>3089</v>
      </c>
      <c r="Y3066" s="2" t="s">
        <v>17583</v>
      </c>
      <c r="AA3066" t="str">
        <f t="shared" si="282"/>
        <v>2025-07</v>
      </c>
      <c r="AB3066" t="str">
        <f t="shared" si="283"/>
        <v/>
      </c>
      <c r="AC3066">
        <f t="shared" si="284"/>
        <v>1288675.2</v>
      </c>
      <c r="AD3066">
        <f t="shared" si="285"/>
        <v>200</v>
      </c>
      <c r="AE3066">
        <f t="shared" si="286"/>
        <v>248675.20000000001</v>
      </c>
      <c r="AF3066" t="str">
        <f t="shared" si="287"/>
        <v>Paid</v>
      </c>
    </row>
    <row r="3067" spans="1:32" ht="17.25" thickBot="1" x14ac:dyDescent="0.35">
      <c r="A3067" s="2" t="s">
        <v>17994</v>
      </c>
      <c r="B3067" s="2" t="s">
        <v>27</v>
      </c>
      <c r="C3067" s="2" t="s">
        <v>28</v>
      </c>
      <c r="D3067" s="2" t="s">
        <v>97</v>
      </c>
      <c r="E3067" s="2" t="s">
        <v>17562</v>
      </c>
      <c r="F3067" s="2" t="s">
        <v>31</v>
      </c>
      <c r="G3067" s="2" t="s">
        <v>32</v>
      </c>
      <c r="H3067" s="1"/>
      <c r="I3067" s="2" t="s">
        <v>33</v>
      </c>
      <c r="J3067" s="2" t="s">
        <v>34</v>
      </c>
      <c r="K3067" s="2" t="s">
        <v>17995</v>
      </c>
      <c r="L3067" s="2" t="s">
        <v>17996</v>
      </c>
      <c r="M3067" s="2" t="s">
        <v>16013</v>
      </c>
      <c r="N3067" s="2" t="s">
        <v>38</v>
      </c>
      <c r="O3067" s="2" t="s">
        <v>156</v>
      </c>
      <c r="P3067" s="2" t="s">
        <v>1405</v>
      </c>
      <c r="Q3067" s="2" t="s">
        <v>14819</v>
      </c>
      <c r="R3067" s="2" t="s">
        <v>40</v>
      </c>
      <c r="S3067" s="2" t="s">
        <v>17997</v>
      </c>
      <c r="T3067" s="2" t="s">
        <v>13945</v>
      </c>
      <c r="U3067" s="2" t="s">
        <v>17998</v>
      </c>
      <c r="V3067" s="2" t="s">
        <v>17999</v>
      </c>
      <c r="W3067" s="1"/>
      <c r="X3067" s="2" t="s">
        <v>9642</v>
      </c>
      <c r="Y3067" s="2" t="s">
        <v>17583</v>
      </c>
      <c r="AA3067" t="str">
        <f t="shared" si="282"/>
        <v>2025-07</v>
      </c>
      <c r="AB3067" t="str">
        <f t="shared" si="283"/>
        <v/>
      </c>
      <c r="AC3067">
        <f t="shared" si="284"/>
        <v>214957.44</v>
      </c>
      <c r="AD3067">
        <f t="shared" si="285"/>
        <v>20</v>
      </c>
      <c r="AE3067">
        <f t="shared" si="286"/>
        <v>78957.440000000002</v>
      </c>
      <c r="AF3067" t="str">
        <f t="shared" si="287"/>
        <v>Paid</v>
      </c>
    </row>
    <row r="3068" spans="1:32" ht="17.25" thickBot="1" x14ac:dyDescent="0.35">
      <c r="A3068" s="2" t="s">
        <v>18000</v>
      </c>
      <c r="B3068" s="2" t="s">
        <v>27</v>
      </c>
      <c r="C3068" s="2" t="s">
        <v>28</v>
      </c>
      <c r="D3068" s="2" t="s">
        <v>97</v>
      </c>
      <c r="E3068" s="2" t="s">
        <v>17562</v>
      </c>
      <c r="F3068" s="2" t="s">
        <v>31</v>
      </c>
      <c r="G3068" s="2" t="s">
        <v>32</v>
      </c>
      <c r="H3068" s="1"/>
      <c r="I3068" s="2" t="s">
        <v>33</v>
      </c>
      <c r="J3068" s="2" t="s">
        <v>34</v>
      </c>
      <c r="K3068" s="2" t="s">
        <v>18001</v>
      </c>
      <c r="L3068" s="2" t="s">
        <v>18002</v>
      </c>
      <c r="M3068" s="2" t="s">
        <v>16013</v>
      </c>
      <c r="N3068" s="2" t="s">
        <v>38</v>
      </c>
      <c r="O3068" s="2" t="s">
        <v>877</v>
      </c>
      <c r="P3068" s="2" t="s">
        <v>195</v>
      </c>
      <c r="Q3068" s="2" t="s">
        <v>17415</v>
      </c>
      <c r="R3068" s="2" t="s">
        <v>40</v>
      </c>
      <c r="S3068" s="2" t="s">
        <v>18003</v>
      </c>
      <c r="T3068" s="2" t="s">
        <v>297</v>
      </c>
      <c r="U3068" s="2" t="s">
        <v>3286</v>
      </c>
      <c r="V3068" s="2" t="s">
        <v>18004</v>
      </c>
      <c r="W3068" s="1"/>
      <c r="X3068" s="2" t="s">
        <v>1340</v>
      </c>
      <c r="Y3068" s="2" t="s">
        <v>17583</v>
      </c>
      <c r="AA3068" t="str">
        <f t="shared" si="282"/>
        <v>2025-07</v>
      </c>
      <c r="AB3068" t="str">
        <f t="shared" si="283"/>
        <v/>
      </c>
      <c r="AC3068">
        <f t="shared" si="284"/>
        <v>1120238.3999999999</v>
      </c>
      <c r="AD3068">
        <f t="shared" si="285"/>
        <v>100</v>
      </c>
      <c r="AE3068">
        <f t="shared" si="286"/>
        <v>320238.40000000002</v>
      </c>
      <c r="AF3068" t="str">
        <f t="shared" si="287"/>
        <v>Paid</v>
      </c>
    </row>
    <row r="3069" spans="1:32" ht="27.75" thickBot="1" x14ac:dyDescent="0.35">
      <c r="A3069" s="2" t="s">
        <v>18005</v>
      </c>
      <c r="B3069" s="2" t="s">
        <v>27</v>
      </c>
      <c r="C3069" s="2" t="s">
        <v>28</v>
      </c>
      <c r="D3069" s="2" t="s">
        <v>97</v>
      </c>
      <c r="E3069" s="2" t="s">
        <v>17562</v>
      </c>
      <c r="F3069" s="2" t="s">
        <v>31</v>
      </c>
      <c r="G3069" s="2" t="s">
        <v>32</v>
      </c>
      <c r="H3069" s="1"/>
      <c r="I3069" s="2" t="s">
        <v>33</v>
      </c>
      <c r="J3069" s="2" t="s">
        <v>34</v>
      </c>
      <c r="K3069" s="2" t="s">
        <v>16019</v>
      </c>
      <c r="L3069" s="2" t="s">
        <v>16020</v>
      </c>
      <c r="M3069" s="2" t="s">
        <v>16013</v>
      </c>
      <c r="N3069" s="2" t="s">
        <v>38</v>
      </c>
      <c r="O3069" s="2" t="s">
        <v>428</v>
      </c>
      <c r="P3069" s="2" t="s">
        <v>195</v>
      </c>
      <c r="Q3069" s="2" t="s">
        <v>18006</v>
      </c>
      <c r="R3069" s="2" t="s">
        <v>40</v>
      </c>
      <c r="S3069" s="2" t="s">
        <v>18007</v>
      </c>
      <c r="T3069" s="2" t="s">
        <v>864</v>
      </c>
      <c r="U3069" s="2" t="s">
        <v>4391</v>
      </c>
      <c r="V3069" s="2" t="s">
        <v>18008</v>
      </c>
      <c r="W3069" s="1"/>
      <c r="X3069" s="2" t="s">
        <v>17236</v>
      </c>
      <c r="Y3069" s="2" t="s">
        <v>17583</v>
      </c>
      <c r="AA3069" t="str">
        <f t="shared" si="282"/>
        <v>2025-07</v>
      </c>
      <c r="AB3069" t="str">
        <f t="shared" si="283"/>
        <v/>
      </c>
      <c r="AC3069">
        <f t="shared" si="284"/>
        <v>2800596</v>
      </c>
      <c r="AD3069">
        <f t="shared" si="285"/>
        <v>250</v>
      </c>
      <c r="AE3069">
        <f t="shared" si="286"/>
        <v>925596</v>
      </c>
      <c r="AF3069" t="str">
        <f t="shared" si="287"/>
        <v>Paid</v>
      </c>
    </row>
    <row r="3070" spans="1:32" ht="17.25" thickBot="1" x14ac:dyDescent="0.35">
      <c r="A3070" s="2" t="s">
        <v>18009</v>
      </c>
      <c r="B3070" s="2" t="s">
        <v>27</v>
      </c>
      <c r="C3070" s="2" t="s">
        <v>28</v>
      </c>
      <c r="D3070" s="2" t="s">
        <v>97</v>
      </c>
      <c r="E3070" s="2" t="s">
        <v>17562</v>
      </c>
      <c r="F3070" s="2" t="s">
        <v>31</v>
      </c>
      <c r="G3070" s="2" t="s">
        <v>32</v>
      </c>
      <c r="H3070" s="1"/>
      <c r="I3070" s="2" t="s">
        <v>33</v>
      </c>
      <c r="J3070" s="2" t="s">
        <v>34</v>
      </c>
      <c r="K3070" s="2" t="s">
        <v>18010</v>
      </c>
      <c r="L3070" s="2" t="s">
        <v>18011</v>
      </c>
      <c r="M3070" s="2" t="s">
        <v>16013</v>
      </c>
      <c r="N3070" s="2" t="s">
        <v>38</v>
      </c>
      <c r="O3070" s="2" t="s">
        <v>214</v>
      </c>
      <c r="P3070" s="2" t="s">
        <v>3199</v>
      </c>
      <c r="Q3070" s="2" t="s">
        <v>3820</v>
      </c>
      <c r="R3070" s="2" t="s">
        <v>40</v>
      </c>
      <c r="S3070" s="2" t="s">
        <v>18012</v>
      </c>
      <c r="T3070" s="2" t="s">
        <v>13945</v>
      </c>
      <c r="U3070" s="2" t="s">
        <v>18013</v>
      </c>
      <c r="V3070" s="2" t="s">
        <v>18014</v>
      </c>
      <c r="W3070" s="1"/>
      <c r="X3070" s="2" t="s">
        <v>838</v>
      </c>
      <c r="Y3070" s="2" t="s">
        <v>17583</v>
      </c>
      <c r="AA3070" t="str">
        <f t="shared" si="282"/>
        <v>2025-07</v>
      </c>
      <c r="AB3070" t="str">
        <f t="shared" si="283"/>
        <v/>
      </c>
      <c r="AC3070">
        <f t="shared" si="284"/>
        <v>429781.2</v>
      </c>
      <c r="AD3070">
        <f t="shared" si="285"/>
        <v>50</v>
      </c>
      <c r="AE3070">
        <f t="shared" si="286"/>
        <v>89781.2</v>
      </c>
      <c r="AF3070" t="str">
        <f t="shared" si="287"/>
        <v>Paid</v>
      </c>
    </row>
    <row r="3071" spans="1:32" ht="17.25" thickBot="1" x14ac:dyDescent="0.35">
      <c r="A3071" s="2" t="s">
        <v>18015</v>
      </c>
      <c r="B3071" s="2" t="s">
        <v>27</v>
      </c>
      <c r="C3071" s="2" t="s">
        <v>28</v>
      </c>
      <c r="D3071" s="2" t="s">
        <v>97</v>
      </c>
      <c r="E3071" s="2" t="s">
        <v>17562</v>
      </c>
      <c r="F3071" s="2" t="s">
        <v>31</v>
      </c>
      <c r="G3071" s="2" t="s">
        <v>32</v>
      </c>
      <c r="H3071" s="1"/>
      <c r="I3071" s="2" t="s">
        <v>33</v>
      </c>
      <c r="J3071" s="2" t="s">
        <v>34</v>
      </c>
      <c r="K3071" s="2" t="s">
        <v>18016</v>
      </c>
      <c r="L3071" s="2" t="s">
        <v>18017</v>
      </c>
      <c r="M3071" s="2" t="s">
        <v>16013</v>
      </c>
      <c r="N3071" s="2" t="s">
        <v>38</v>
      </c>
      <c r="O3071" s="2" t="s">
        <v>214</v>
      </c>
      <c r="P3071" s="2" t="s">
        <v>7876</v>
      </c>
      <c r="Q3071" s="2" t="s">
        <v>18018</v>
      </c>
      <c r="R3071" s="2" t="s">
        <v>40</v>
      </c>
      <c r="S3071" s="2" t="s">
        <v>18019</v>
      </c>
      <c r="T3071" s="2" t="s">
        <v>2684</v>
      </c>
      <c r="U3071" s="2" t="s">
        <v>2685</v>
      </c>
      <c r="V3071" s="2" t="s">
        <v>18020</v>
      </c>
      <c r="W3071" s="1"/>
      <c r="X3071" s="2" t="s">
        <v>9468</v>
      </c>
      <c r="Y3071" s="2" t="s">
        <v>17583</v>
      </c>
      <c r="AA3071" t="str">
        <f t="shared" si="282"/>
        <v>2025-07</v>
      </c>
      <c r="AB3071" t="str">
        <f t="shared" si="283"/>
        <v/>
      </c>
      <c r="AC3071">
        <f t="shared" si="284"/>
        <v>473227.2</v>
      </c>
      <c r="AD3071">
        <f t="shared" si="285"/>
        <v>50</v>
      </c>
      <c r="AE3071">
        <f t="shared" si="286"/>
        <v>198227.20000000001</v>
      </c>
      <c r="AF3071" t="str">
        <f t="shared" si="287"/>
        <v>Paid</v>
      </c>
    </row>
    <row r="3072" spans="1:32" ht="27.75" thickBot="1" x14ac:dyDescent="0.35">
      <c r="A3072" s="2" t="s">
        <v>18021</v>
      </c>
      <c r="B3072" s="2" t="s">
        <v>27</v>
      </c>
      <c r="C3072" s="2" t="s">
        <v>28</v>
      </c>
      <c r="D3072" s="2" t="s">
        <v>97</v>
      </c>
      <c r="E3072" s="2" t="s">
        <v>17562</v>
      </c>
      <c r="F3072" s="2" t="s">
        <v>31</v>
      </c>
      <c r="G3072" s="2" t="s">
        <v>32</v>
      </c>
      <c r="H3072" s="1"/>
      <c r="I3072" s="2" t="s">
        <v>33</v>
      </c>
      <c r="J3072" s="2" t="s">
        <v>34</v>
      </c>
      <c r="K3072" s="2" t="s">
        <v>2759</v>
      </c>
      <c r="L3072" s="2" t="s">
        <v>2760</v>
      </c>
      <c r="M3072" s="2" t="s">
        <v>70</v>
      </c>
      <c r="N3072" s="2" t="s">
        <v>38</v>
      </c>
      <c r="O3072" s="2" t="s">
        <v>1333</v>
      </c>
      <c r="P3072" s="2" t="s">
        <v>7206</v>
      </c>
      <c r="Q3072" s="2" t="s">
        <v>18022</v>
      </c>
      <c r="R3072" s="2" t="s">
        <v>40</v>
      </c>
      <c r="S3072" s="2" t="s">
        <v>18023</v>
      </c>
      <c r="T3072" s="2" t="s">
        <v>2755</v>
      </c>
      <c r="U3072" s="2" t="s">
        <v>13623</v>
      </c>
      <c r="V3072" s="2" t="s">
        <v>18024</v>
      </c>
      <c r="W3072" s="1"/>
      <c r="X3072" s="2" t="s">
        <v>2278</v>
      </c>
      <c r="Y3072" s="2" t="s">
        <v>17583</v>
      </c>
      <c r="AA3072" t="str">
        <f t="shared" si="282"/>
        <v>2025-07</v>
      </c>
      <c r="AB3072" t="str">
        <f t="shared" si="283"/>
        <v/>
      </c>
      <c r="AC3072">
        <f t="shared" si="284"/>
        <v>1056740.3999999999</v>
      </c>
      <c r="AD3072">
        <f t="shared" si="285"/>
        <v>150</v>
      </c>
      <c r="AE3072">
        <f t="shared" si="286"/>
        <v>201740.4</v>
      </c>
      <c r="AF3072" t="str">
        <f t="shared" si="287"/>
        <v>Paid</v>
      </c>
    </row>
    <row r="3073" spans="1:32" ht="17.25" thickBot="1" x14ac:dyDescent="0.35">
      <c r="A3073" s="2" t="s">
        <v>18025</v>
      </c>
      <c r="B3073" s="2" t="s">
        <v>27</v>
      </c>
      <c r="C3073" s="2" t="s">
        <v>28</v>
      </c>
      <c r="D3073" s="2" t="s">
        <v>97</v>
      </c>
      <c r="E3073" s="2" t="s">
        <v>17562</v>
      </c>
      <c r="F3073" s="2" t="s">
        <v>31</v>
      </c>
      <c r="G3073" s="2" t="s">
        <v>32</v>
      </c>
      <c r="H3073" s="1"/>
      <c r="I3073" s="2" t="s">
        <v>33</v>
      </c>
      <c r="J3073" s="2" t="s">
        <v>34</v>
      </c>
      <c r="K3073" s="2" t="s">
        <v>2773</v>
      </c>
      <c r="L3073" s="2" t="s">
        <v>2774</v>
      </c>
      <c r="M3073" s="2" t="s">
        <v>70</v>
      </c>
      <c r="N3073" s="2" t="s">
        <v>38</v>
      </c>
      <c r="O3073" s="2" t="s">
        <v>156</v>
      </c>
      <c r="P3073" s="2" t="s">
        <v>8078</v>
      </c>
      <c r="Q3073" s="2" t="s">
        <v>11860</v>
      </c>
      <c r="R3073" s="2" t="s">
        <v>40</v>
      </c>
      <c r="S3073" s="2" t="s">
        <v>18026</v>
      </c>
      <c r="T3073" s="2" t="s">
        <v>13636</v>
      </c>
      <c r="U3073" s="2" t="s">
        <v>18027</v>
      </c>
      <c r="V3073" s="2" t="s">
        <v>18028</v>
      </c>
      <c r="W3073" s="1"/>
      <c r="X3073" s="2" t="s">
        <v>2781</v>
      </c>
      <c r="Y3073" s="2" t="s">
        <v>17583</v>
      </c>
      <c r="AA3073" t="str">
        <f t="shared" si="282"/>
        <v>2025-07</v>
      </c>
      <c r="AB3073" t="str">
        <f t="shared" si="283"/>
        <v/>
      </c>
      <c r="AC3073">
        <f t="shared" si="284"/>
        <v>93576</v>
      </c>
      <c r="AD3073">
        <f t="shared" si="285"/>
        <v>20</v>
      </c>
      <c r="AE3073">
        <f t="shared" si="286"/>
        <v>19376</v>
      </c>
      <c r="AF3073" t="str">
        <f t="shared" si="287"/>
        <v>Paid</v>
      </c>
    </row>
    <row r="3074" spans="1:32" ht="17.25" thickBot="1" x14ac:dyDescent="0.35">
      <c r="A3074" s="2" t="s">
        <v>18029</v>
      </c>
      <c r="B3074" s="2" t="s">
        <v>27</v>
      </c>
      <c r="C3074" s="2" t="s">
        <v>28</v>
      </c>
      <c r="D3074" s="2" t="s">
        <v>97</v>
      </c>
      <c r="E3074" s="2" t="s">
        <v>17562</v>
      </c>
      <c r="F3074" s="2" t="s">
        <v>31</v>
      </c>
      <c r="G3074" s="2" t="s">
        <v>32</v>
      </c>
      <c r="H3074" s="1"/>
      <c r="I3074" s="2" t="s">
        <v>33</v>
      </c>
      <c r="J3074" s="2" t="s">
        <v>34</v>
      </c>
      <c r="K3074" s="2" t="s">
        <v>2782</v>
      </c>
      <c r="L3074" s="2" t="s">
        <v>2783</v>
      </c>
      <c r="M3074" s="2" t="s">
        <v>70</v>
      </c>
      <c r="N3074" s="2" t="s">
        <v>38</v>
      </c>
      <c r="O3074" s="2" t="s">
        <v>877</v>
      </c>
      <c r="P3074" s="2" t="s">
        <v>8078</v>
      </c>
      <c r="Q3074" s="2" t="s">
        <v>2597</v>
      </c>
      <c r="R3074" s="2" t="s">
        <v>40</v>
      </c>
      <c r="S3074" s="2" t="s">
        <v>18030</v>
      </c>
      <c r="T3074" s="2" t="s">
        <v>13636</v>
      </c>
      <c r="U3074" s="2" t="s">
        <v>18031</v>
      </c>
      <c r="V3074" s="2" t="s">
        <v>18032</v>
      </c>
      <c r="W3074" s="1"/>
      <c r="X3074" s="2" t="s">
        <v>2781</v>
      </c>
      <c r="Y3074" s="2" t="s">
        <v>17583</v>
      </c>
      <c r="AA3074" t="str">
        <f t="shared" si="282"/>
        <v>2025-07</v>
      </c>
      <c r="AB3074" t="str">
        <f t="shared" si="283"/>
        <v/>
      </c>
      <c r="AC3074">
        <f t="shared" si="284"/>
        <v>467880</v>
      </c>
      <c r="AD3074">
        <f t="shared" si="285"/>
        <v>100</v>
      </c>
      <c r="AE3074">
        <f t="shared" si="286"/>
        <v>96880</v>
      </c>
      <c r="AF3074" t="str">
        <f t="shared" si="287"/>
        <v>Paid</v>
      </c>
    </row>
    <row r="3075" spans="1:32" ht="17.25" thickBot="1" x14ac:dyDescent="0.35">
      <c r="A3075" s="2" t="s">
        <v>18033</v>
      </c>
      <c r="B3075" s="2" t="s">
        <v>27</v>
      </c>
      <c r="C3075" s="2" t="s">
        <v>28</v>
      </c>
      <c r="D3075" s="2" t="s">
        <v>97</v>
      </c>
      <c r="E3075" s="2" t="s">
        <v>17562</v>
      </c>
      <c r="F3075" s="2" t="s">
        <v>31</v>
      </c>
      <c r="G3075" s="2" t="s">
        <v>32</v>
      </c>
      <c r="H3075" s="1"/>
      <c r="I3075" s="2" t="s">
        <v>33</v>
      </c>
      <c r="J3075" s="2" t="s">
        <v>34</v>
      </c>
      <c r="K3075" s="2" t="s">
        <v>13644</v>
      </c>
      <c r="L3075" s="2" t="s">
        <v>13645</v>
      </c>
      <c r="M3075" s="2" t="s">
        <v>70</v>
      </c>
      <c r="N3075" s="2" t="s">
        <v>38</v>
      </c>
      <c r="O3075" s="2" t="s">
        <v>1333</v>
      </c>
      <c r="P3075" s="2" t="s">
        <v>9257</v>
      </c>
      <c r="Q3075" s="2" t="s">
        <v>10735</v>
      </c>
      <c r="R3075" s="2" t="s">
        <v>40</v>
      </c>
      <c r="S3075" s="2" t="s">
        <v>18034</v>
      </c>
      <c r="T3075" s="2" t="s">
        <v>40</v>
      </c>
      <c r="U3075" s="2" t="s">
        <v>40</v>
      </c>
      <c r="V3075" s="2" t="s">
        <v>18034</v>
      </c>
      <c r="W3075" s="1"/>
      <c r="X3075" s="2" t="s">
        <v>2155</v>
      </c>
      <c r="Y3075" s="2" t="s">
        <v>17583</v>
      </c>
      <c r="AA3075" t="str">
        <f t="shared" si="282"/>
        <v>2025-07</v>
      </c>
      <c r="AB3075" t="str">
        <f t="shared" si="283"/>
        <v/>
      </c>
      <c r="AC3075">
        <f t="shared" si="284"/>
        <v>749944.8</v>
      </c>
      <c r="AD3075">
        <f t="shared" si="285"/>
        <v>150</v>
      </c>
      <c r="AE3075">
        <f t="shared" si="286"/>
        <v>749944.8</v>
      </c>
      <c r="AF3075" t="str">
        <f t="shared" si="287"/>
        <v>Paid</v>
      </c>
    </row>
    <row r="3076" spans="1:32" ht="17.25" thickBot="1" x14ac:dyDescent="0.35">
      <c r="A3076" s="2" t="s">
        <v>18035</v>
      </c>
      <c r="B3076" s="2" t="s">
        <v>27</v>
      </c>
      <c r="C3076" s="2" t="s">
        <v>28</v>
      </c>
      <c r="D3076" s="2" t="s">
        <v>97</v>
      </c>
      <c r="E3076" s="2" t="s">
        <v>17562</v>
      </c>
      <c r="F3076" s="2" t="s">
        <v>31</v>
      </c>
      <c r="G3076" s="2" t="s">
        <v>32</v>
      </c>
      <c r="H3076" s="1"/>
      <c r="I3076" s="2" t="s">
        <v>33</v>
      </c>
      <c r="J3076" s="2" t="s">
        <v>34</v>
      </c>
      <c r="K3076" s="2" t="s">
        <v>13652</v>
      </c>
      <c r="L3076" s="2" t="s">
        <v>13653</v>
      </c>
      <c r="M3076" s="2" t="s">
        <v>70</v>
      </c>
      <c r="N3076" s="2" t="s">
        <v>38</v>
      </c>
      <c r="O3076" s="2" t="s">
        <v>1333</v>
      </c>
      <c r="P3076" s="2" t="s">
        <v>6844</v>
      </c>
      <c r="Q3076" s="2" t="s">
        <v>18036</v>
      </c>
      <c r="R3076" s="2" t="s">
        <v>40</v>
      </c>
      <c r="S3076" s="2" t="s">
        <v>18037</v>
      </c>
      <c r="T3076" s="2" t="s">
        <v>40</v>
      </c>
      <c r="U3076" s="2" t="s">
        <v>40</v>
      </c>
      <c r="V3076" s="2" t="s">
        <v>18037</v>
      </c>
      <c r="W3076" s="1"/>
      <c r="X3076" s="2" t="s">
        <v>2155</v>
      </c>
      <c r="Y3076" s="2" t="s">
        <v>17583</v>
      </c>
      <c r="AA3076" t="str">
        <f t="shared" ref="AA3076:AA3139" si="288">LEFT(E3076,7)</f>
        <v>2025-07</v>
      </c>
      <c r="AB3076" t="str">
        <f t="shared" ref="AB3076:AB3139" si="289">IF(AND($AA3076&gt;="2025-01",$AA3076&lt;="2025-06"),"H1_2025",IF(AND($AA3076&gt;="2026-01",$AA3076&lt;="2026-06"),"H1_2026",""))</f>
        <v/>
      </c>
      <c r="AC3076">
        <f t="shared" ref="AC3076:AC3139" si="290">IFERROR(VALUE(SUBSTITUTE(S3076,",","")),0)</f>
        <v>780022.8</v>
      </c>
      <c r="AD3076">
        <f t="shared" ref="AD3076:AD3139" si="291">IFERROR(VALUE(SUBSTITUTE(O3076,",","")),0)</f>
        <v>150</v>
      </c>
      <c r="AE3076">
        <f t="shared" ref="AE3076:AE3139" si="292">IFERROR(VALUE(SUBSTITUTE(V3076,",","")),0)</f>
        <v>780022.8</v>
      </c>
      <c r="AF3076" t="str">
        <f t="shared" ref="AF3076:AF3139" si="293">IF(ISNUMBER(SEARCH("FOC",W3076)),"FOC",IF(ISNUMBER(SEARCH("샘플",W3076)),"Sample","Paid"))</f>
        <v>Paid</v>
      </c>
    </row>
    <row r="3077" spans="1:32" ht="17.25" thickBot="1" x14ac:dyDescent="0.35">
      <c r="A3077" s="2" t="s">
        <v>18038</v>
      </c>
      <c r="B3077" s="2" t="s">
        <v>27</v>
      </c>
      <c r="C3077" s="2" t="s">
        <v>28</v>
      </c>
      <c r="D3077" s="2" t="s">
        <v>97</v>
      </c>
      <c r="E3077" s="2" t="s">
        <v>17562</v>
      </c>
      <c r="F3077" s="2" t="s">
        <v>31</v>
      </c>
      <c r="G3077" s="2" t="s">
        <v>32</v>
      </c>
      <c r="H3077" s="1"/>
      <c r="I3077" s="2" t="s">
        <v>33</v>
      </c>
      <c r="J3077" s="2" t="s">
        <v>34</v>
      </c>
      <c r="K3077" s="2" t="s">
        <v>11533</v>
      </c>
      <c r="L3077" s="2" t="s">
        <v>11534</v>
      </c>
      <c r="M3077" s="2" t="s">
        <v>70</v>
      </c>
      <c r="N3077" s="2" t="s">
        <v>38</v>
      </c>
      <c r="O3077" s="2" t="s">
        <v>877</v>
      </c>
      <c r="P3077" s="2" t="s">
        <v>4337</v>
      </c>
      <c r="Q3077" s="2" t="s">
        <v>18039</v>
      </c>
      <c r="R3077" s="2" t="s">
        <v>40</v>
      </c>
      <c r="S3077" s="2" t="s">
        <v>18040</v>
      </c>
      <c r="T3077" s="2" t="s">
        <v>4850</v>
      </c>
      <c r="U3077" s="2" t="s">
        <v>18041</v>
      </c>
      <c r="V3077" s="2" t="s">
        <v>18042</v>
      </c>
      <c r="W3077" s="1"/>
      <c r="X3077" s="2" t="s">
        <v>3589</v>
      </c>
      <c r="Y3077" s="2" t="s">
        <v>17583</v>
      </c>
      <c r="AA3077" t="str">
        <f t="shared" si="288"/>
        <v>2025-07</v>
      </c>
      <c r="AB3077" t="str">
        <f t="shared" si="289"/>
        <v/>
      </c>
      <c r="AC3077">
        <f t="shared" si="290"/>
        <v>863572.8</v>
      </c>
      <c r="AD3077">
        <f t="shared" si="291"/>
        <v>100</v>
      </c>
      <c r="AE3077">
        <f t="shared" si="292"/>
        <v>176272.8</v>
      </c>
      <c r="AF3077" t="str">
        <f t="shared" si="293"/>
        <v>Paid</v>
      </c>
    </row>
    <row r="3078" spans="1:32" ht="17.25" thickBot="1" x14ac:dyDescent="0.35">
      <c r="A3078" s="2" t="s">
        <v>18043</v>
      </c>
      <c r="B3078" s="2" t="s">
        <v>27</v>
      </c>
      <c r="C3078" s="2" t="s">
        <v>28</v>
      </c>
      <c r="D3078" s="2" t="s">
        <v>97</v>
      </c>
      <c r="E3078" s="2" t="s">
        <v>17562</v>
      </c>
      <c r="F3078" s="2" t="s">
        <v>31</v>
      </c>
      <c r="G3078" s="2" t="s">
        <v>32</v>
      </c>
      <c r="H3078" s="1"/>
      <c r="I3078" s="2" t="s">
        <v>33</v>
      </c>
      <c r="J3078" s="2" t="s">
        <v>34</v>
      </c>
      <c r="K3078" s="2" t="s">
        <v>13081</v>
      </c>
      <c r="L3078" s="2" t="s">
        <v>13082</v>
      </c>
      <c r="M3078" s="2" t="s">
        <v>70</v>
      </c>
      <c r="N3078" s="2" t="s">
        <v>38</v>
      </c>
      <c r="O3078" s="2" t="s">
        <v>214</v>
      </c>
      <c r="P3078" s="2" t="s">
        <v>6614</v>
      </c>
      <c r="Q3078" s="2" t="s">
        <v>4504</v>
      </c>
      <c r="R3078" s="2" t="s">
        <v>40</v>
      </c>
      <c r="S3078" s="2" t="s">
        <v>18044</v>
      </c>
      <c r="T3078" s="2" t="s">
        <v>13084</v>
      </c>
      <c r="U3078" s="2" t="s">
        <v>18045</v>
      </c>
      <c r="V3078" s="2" t="s">
        <v>18046</v>
      </c>
      <c r="W3078" s="1"/>
      <c r="X3078" s="2" t="s">
        <v>827</v>
      </c>
      <c r="Y3078" s="2" t="s">
        <v>17583</v>
      </c>
      <c r="AA3078" t="str">
        <f t="shared" si="288"/>
        <v>2025-07</v>
      </c>
      <c r="AB3078" t="str">
        <f t="shared" si="289"/>
        <v/>
      </c>
      <c r="AC3078">
        <f t="shared" si="290"/>
        <v>272707.20000000001</v>
      </c>
      <c r="AD3078">
        <f t="shared" si="291"/>
        <v>50</v>
      </c>
      <c r="AE3078">
        <f t="shared" si="292"/>
        <v>56307.199999999997</v>
      </c>
      <c r="AF3078" t="str">
        <f t="shared" si="293"/>
        <v>Paid</v>
      </c>
    </row>
    <row r="3079" spans="1:32" ht="27.75" thickBot="1" x14ac:dyDescent="0.35">
      <c r="A3079" s="2" t="s">
        <v>18047</v>
      </c>
      <c r="B3079" s="2" t="s">
        <v>27</v>
      </c>
      <c r="C3079" s="2" t="s">
        <v>28</v>
      </c>
      <c r="D3079" s="2" t="s">
        <v>97</v>
      </c>
      <c r="E3079" s="2" t="s">
        <v>17562</v>
      </c>
      <c r="F3079" s="2" t="s">
        <v>31</v>
      </c>
      <c r="G3079" s="2" t="s">
        <v>32</v>
      </c>
      <c r="H3079" s="1"/>
      <c r="I3079" s="2" t="s">
        <v>33</v>
      </c>
      <c r="J3079" s="2" t="s">
        <v>34</v>
      </c>
      <c r="K3079" s="2" t="s">
        <v>2799</v>
      </c>
      <c r="L3079" s="2" t="s">
        <v>2800</v>
      </c>
      <c r="M3079" s="2" t="s">
        <v>70</v>
      </c>
      <c r="N3079" s="2" t="s">
        <v>38</v>
      </c>
      <c r="O3079" s="2" t="s">
        <v>214</v>
      </c>
      <c r="P3079" s="2" t="s">
        <v>11694</v>
      </c>
      <c r="Q3079" s="2" t="s">
        <v>4191</v>
      </c>
      <c r="R3079" s="2" t="s">
        <v>40</v>
      </c>
      <c r="S3079" s="2" t="s">
        <v>18048</v>
      </c>
      <c r="T3079" s="2" t="s">
        <v>12895</v>
      </c>
      <c r="U3079" s="2" t="s">
        <v>18049</v>
      </c>
      <c r="V3079" s="2" t="s">
        <v>18050</v>
      </c>
      <c r="W3079" s="1"/>
      <c r="X3079" s="2" t="s">
        <v>13101</v>
      </c>
      <c r="Y3079" s="2" t="s">
        <v>17583</v>
      </c>
      <c r="AA3079" t="str">
        <f t="shared" si="288"/>
        <v>2025-07</v>
      </c>
      <c r="AB3079" t="str">
        <f t="shared" si="289"/>
        <v/>
      </c>
      <c r="AC3079">
        <f t="shared" si="290"/>
        <v>350910</v>
      </c>
      <c r="AD3079">
        <f t="shared" si="291"/>
        <v>50</v>
      </c>
      <c r="AE3079">
        <f t="shared" si="292"/>
        <v>105410</v>
      </c>
      <c r="AF3079" t="str">
        <f t="shared" si="293"/>
        <v>Paid</v>
      </c>
    </row>
    <row r="3080" spans="1:32" ht="27.75" thickBot="1" x14ac:dyDescent="0.35">
      <c r="A3080" s="2" t="s">
        <v>18051</v>
      </c>
      <c r="B3080" s="2" t="s">
        <v>27</v>
      </c>
      <c r="C3080" s="2" t="s">
        <v>28</v>
      </c>
      <c r="D3080" s="2" t="s">
        <v>97</v>
      </c>
      <c r="E3080" s="2" t="s">
        <v>17562</v>
      </c>
      <c r="F3080" s="2" t="s">
        <v>31</v>
      </c>
      <c r="G3080" s="2" t="s">
        <v>32</v>
      </c>
      <c r="H3080" s="1"/>
      <c r="I3080" s="2" t="s">
        <v>33</v>
      </c>
      <c r="J3080" s="2" t="s">
        <v>34</v>
      </c>
      <c r="K3080" s="2" t="s">
        <v>68</v>
      </c>
      <c r="L3080" s="2" t="s">
        <v>69</v>
      </c>
      <c r="M3080" s="2" t="s">
        <v>70</v>
      </c>
      <c r="N3080" s="2" t="s">
        <v>38</v>
      </c>
      <c r="O3080" s="2" t="s">
        <v>79</v>
      </c>
      <c r="P3080" s="2" t="s">
        <v>16049</v>
      </c>
      <c r="Q3080" s="2" t="s">
        <v>18052</v>
      </c>
      <c r="R3080" s="2" t="s">
        <v>40</v>
      </c>
      <c r="S3080" s="2" t="s">
        <v>18053</v>
      </c>
      <c r="T3080" s="2" t="s">
        <v>7901</v>
      </c>
      <c r="U3080" s="2" t="s">
        <v>18054</v>
      </c>
      <c r="V3080" s="2" t="s">
        <v>18055</v>
      </c>
      <c r="W3080" s="1"/>
      <c r="X3080" s="2" t="s">
        <v>976</v>
      </c>
      <c r="Y3080" s="2" t="s">
        <v>17583</v>
      </c>
      <c r="AA3080" t="str">
        <f t="shared" si="288"/>
        <v>2025-07</v>
      </c>
      <c r="AB3080" t="str">
        <f t="shared" si="289"/>
        <v/>
      </c>
      <c r="AC3080">
        <f t="shared" si="290"/>
        <v>46253.279999999999</v>
      </c>
      <c r="AD3080">
        <f t="shared" si="291"/>
        <v>10</v>
      </c>
      <c r="AE3080">
        <f t="shared" si="292"/>
        <v>9343.2800000000007</v>
      </c>
      <c r="AF3080" t="str">
        <f t="shared" si="293"/>
        <v>Paid</v>
      </c>
    </row>
    <row r="3081" spans="1:32" ht="27.75" thickBot="1" x14ac:dyDescent="0.35">
      <c r="A3081" s="2" t="s">
        <v>18056</v>
      </c>
      <c r="B3081" s="2" t="s">
        <v>27</v>
      </c>
      <c r="C3081" s="2" t="s">
        <v>28</v>
      </c>
      <c r="D3081" s="2" t="s">
        <v>97</v>
      </c>
      <c r="E3081" s="2" t="s">
        <v>17562</v>
      </c>
      <c r="F3081" s="2" t="s">
        <v>31</v>
      </c>
      <c r="G3081" s="2" t="s">
        <v>32</v>
      </c>
      <c r="H3081" s="1"/>
      <c r="I3081" s="2" t="s">
        <v>33</v>
      </c>
      <c r="J3081" s="2" t="s">
        <v>34</v>
      </c>
      <c r="K3081" s="2" t="s">
        <v>2817</v>
      </c>
      <c r="L3081" s="2" t="s">
        <v>2818</v>
      </c>
      <c r="M3081" s="2" t="s">
        <v>70</v>
      </c>
      <c r="N3081" s="2" t="s">
        <v>38</v>
      </c>
      <c r="O3081" s="2" t="s">
        <v>221</v>
      </c>
      <c r="P3081" s="2" t="s">
        <v>16049</v>
      </c>
      <c r="Q3081" s="2" t="s">
        <v>3804</v>
      </c>
      <c r="R3081" s="2" t="s">
        <v>40</v>
      </c>
      <c r="S3081" s="2" t="s">
        <v>18057</v>
      </c>
      <c r="T3081" s="2" t="s">
        <v>7901</v>
      </c>
      <c r="U3081" s="2" t="s">
        <v>8740</v>
      </c>
      <c r="V3081" s="2" t="s">
        <v>18058</v>
      </c>
      <c r="W3081" s="1"/>
      <c r="X3081" s="2" t="s">
        <v>976</v>
      </c>
      <c r="Y3081" s="2" t="s">
        <v>17583</v>
      </c>
      <c r="AA3081" t="str">
        <f t="shared" si="288"/>
        <v>2025-07</v>
      </c>
      <c r="AB3081" t="str">
        <f t="shared" si="289"/>
        <v/>
      </c>
      <c r="AC3081">
        <f t="shared" si="290"/>
        <v>647545.92000000004</v>
      </c>
      <c r="AD3081">
        <f t="shared" si="291"/>
        <v>140</v>
      </c>
      <c r="AE3081">
        <f t="shared" si="292"/>
        <v>130805.92</v>
      </c>
      <c r="AF3081" t="str">
        <f t="shared" si="293"/>
        <v>Paid</v>
      </c>
    </row>
    <row r="3082" spans="1:32" ht="27.75" thickBot="1" x14ac:dyDescent="0.35">
      <c r="A3082" s="2" t="s">
        <v>18059</v>
      </c>
      <c r="B3082" s="2" t="s">
        <v>27</v>
      </c>
      <c r="C3082" s="2" t="s">
        <v>28</v>
      </c>
      <c r="D3082" s="2" t="s">
        <v>97</v>
      </c>
      <c r="E3082" s="2" t="s">
        <v>17562</v>
      </c>
      <c r="F3082" s="2" t="s">
        <v>31</v>
      </c>
      <c r="G3082" s="2" t="s">
        <v>32</v>
      </c>
      <c r="H3082" s="1"/>
      <c r="I3082" s="2" t="s">
        <v>33</v>
      </c>
      <c r="J3082" s="2" t="s">
        <v>34</v>
      </c>
      <c r="K3082" s="2" t="s">
        <v>2817</v>
      </c>
      <c r="L3082" s="2" t="s">
        <v>2818</v>
      </c>
      <c r="M3082" s="2" t="s">
        <v>70</v>
      </c>
      <c r="N3082" s="2" t="s">
        <v>38</v>
      </c>
      <c r="O3082" s="2" t="s">
        <v>79</v>
      </c>
      <c r="P3082" s="2" t="s">
        <v>16049</v>
      </c>
      <c r="Q3082" s="2" t="s">
        <v>18052</v>
      </c>
      <c r="R3082" s="2" t="s">
        <v>40</v>
      </c>
      <c r="S3082" s="2" t="s">
        <v>18053</v>
      </c>
      <c r="T3082" s="2" t="s">
        <v>7901</v>
      </c>
      <c r="U3082" s="2" t="s">
        <v>18054</v>
      </c>
      <c r="V3082" s="2" t="s">
        <v>18055</v>
      </c>
      <c r="W3082" s="1"/>
      <c r="X3082" s="2" t="s">
        <v>976</v>
      </c>
      <c r="Y3082" s="2" t="s">
        <v>17583</v>
      </c>
      <c r="AA3082" t="str">
        <f t="shared" si="288"/>
        <v>2025-07</v>
      </c>
      <c r="AB3082" t="str">
        <f t="shared" si="289"/>
        <v/>
      </c>
      <c r="AC3082">
        <f t="shared" si="290"/>
        <v>46253.279999999999</v>
      </c>
      <c r="AD3082">
        <f t="shared" si="291"/>
        <v>10</v>
      </c>
      <c r="AE3082">
        <f t="shared" si="292"/>
        <v>9343.2800000000007</v>
      </c>
      <c r="AF3082" t="str">
        <f t="shared" si="293"/>
        <v>Paid</v>
      </c>
    </row>
    <row r="3083" spans="1:32" ht="27.75" thickBot="1" x14ac:dyDescent="0.35">
      <c r="A3083" s="2" t="s">
        <v>18060</v>
      </c>
      <c r="B3083" s="2" t="s">
        <v>27</v>
      </c>
      <c r="C3083" s="2" t="s">
        <v>28</v>
      </c>
      <c r="D3083" s="2" t="s">
        <v>97</v>
      </c>
      <c r="E3083" s="2" t="s">
        <v>17562</v>
      </c>
      <c r="F3083" s="2" t="s">
        <v>31</v>
      </c>
      <c r="G3083" s="2" t="s">
        <v>32</v>
      </c>
      <c r="H3083" s="1"/>
      <c r="I3083" s="2" t="s">
        <v>33</v>
      </c>
      <c r="J3083" s="2" t="s">
        <v>34</v>
      </c>
      <c r="K3083" s="2" t="s">
        <v>18061</v>
      </c>
      <c r="L3083" s="2" t="s">
        <v>18062</v>
      </c>
      <c r="M3083" s="2" t="s">
        <v>70</v>
      </c>
      <c r="N3083" s="2" t="s">
        <v>38</v>
      </c>
      <c r="O3083" s="2" t="s">
        <v>156</v>
      </c>
      <c r="P3083" s="2" t="s">
        <v>4302</v>
      </c>
      <c r="Q3083" s="2" t="s">
        <v>9287</v>
      </c>
      <c r="R3083" s="2" t="s">
        <v>40</v>
      </c>
      <c r="S3083" s="2" t="s">
        <v>18063</v>
      </c>
      <c r="T3083" s="2" t="s">
        <v>6199</v>
      </c>
      <c r="U3083" s="2" t="s">
        <v>17816</v>
      </c>
      <c r="V3083" s="2" t="s">
        <v>18064</v>
      </c>
      <c r="W3083" s="1"/>
      <c r="X3083" s="2" t="s">
        <v>2806</v>
      </c>
      <c r="Y3083" s="2" t="s">
        <v>17583</v>
      </c>
      <c r="AA3083" t="str">
        <f t="shared" si="288"/>
        <v>2025-07</v>
      </c>
      <c r="AB3083" t="str">
        <f t="shared" si="289"/>
        <v/>
      </c>
      <c r="AC3083">
        <f t="shared" si="290"/>
        <v>202926.24</v>
      </c>
      <c r="AD3083">
        <f t="shared" si="291"/>
        <v>20</v>
      </c>
      <c r="AE3083">
        <f t="shared" si="292"/>
        <v>61106.239999999998</v>
      </c>
      <c r="AF3083" t="str">
        <f t="shared" si="293"/>
        <v>Paid</v>
      </c>
    </row>
    <row r="3084" spans="1:32" ht="27.75" thickBot="1" x14ac:dyDescent="0.35">
      <c r="A3084" s="2" t="s">
        <v>18065</v>
      </c>
      <c r="B3084" s="2" t="s">
        <v>27</v>
      </c>
      <c r="C3084" s="2" t="s">
        <v>28</v>
      </c>
      <c r="D3084" s="2" t="s">
        <v>97</v>
      </c>
      <c r="E3084" s="2" t="s">
        <v>17562</v>
      </c>
      <c r="F3084" s="2" t="s">
        <v>31</v>
      </c>
      <c r="G3084" s="2" t="s">
        <v>32</v>
      </c>
      <c r="H3084" s="1"/>
      <c r="I3084" s="2" t="s">
        <v>33</v>
      </c>
      <c r="J3084" s="2" t="s">
        <v>34</v>
      </c>
      <c r="K3084" s="2" t="s">
        <v>18066</v>
      </c>
      <c r="L3084" s="2" t="s">
        <v>18067</v>
      </c>
      <c r="M3084" s="2" t="s">
        <v>70</v>
      </c>
      <c r="N3084" s="2" t="s">
        <v>38</v>
      </c>
      <c r="O3084" s="2" t="s">
        <v>156</v>
      </c>
      <c r="P3084" s="2" t="s">
        <v>6890</v>
      </c>
      <c r="Q3084" s="2" t="s">
        <v>13023</v>
      </c>
      <c r="R3084" s="2" t="s">
        <v>40</v>
      </c>
      <c r="S3084" s="2" t="s">
        <v>18068</v>
      </c>
      <c r="T3084" s="2" t="s">
        <v>669</v>
      </c>
      <c r="U3084" s="2" t="s">
        <v>3024</v>
      </c>
      <c r="V3084" s="2" t="s">
        <v>18069</v>
      </c>
      <c r="W3084" s="1"/>
      <c r="X3084" s="2" t="s">
        <v>2806</v>
      </c>
      <c r="Y3084" s="2" t="s">
        <v>17583</v>
      </c>
      <c r="AA3084" t="str">
        <f t="shared" si="288"/>
        <v>2025-07</v>
      </c>
      <c r="AB3084" t="str">
        <f t="shared" si="289"/>
        <v/>
      </c>
      <c r="AC3084">
        <f t="shared" si="290"/>
        <v>171645.12</v>
      </c>
      <c r="AD3084">
        <f t="shared" si="291"/>
        <v>20</v>
      </c>
      <c r="AE3084">
        <f t="shared" si="292"/>
        <v>51645.120000000003</v>
      </c>
      <c r="AF3084" t="str">
        <f t="shared" si="293"/>
        <v>Paid</v>
      </c>
    </row>
    <row r="3085" spans="1:32" ht="27.75" thickBot="1" x14ac:dyDescent="0.35">
      <c r="A3085" s="2" t="s">
        <v>18070</v>
      </c>
      <c r="B3085" s="2" t="s">
        <v>27</v>
      </c>
      <c r="C3085" s="2" t="s">
        <v>28</v>
      </c>
      <c r="D3085" s="2" t="s">
        <v>97</v>
      </c>
      <c r="E3085" s="2" t="s">
        <v>17562</v>
      </c>
      <c r="F3085" s="2" t="s">
        <v>31</v>
      </c>
      <c r="G3085" s="2" t="s">
        <v>32</v>
      </c>
      <c r="H3085" s="1"/>
      <c r="I3085" s="2" t="s">
        <v>33</v>
      </c>
      <c r="J3085" s="2" t="s">
        <v>34</v>
      </c>
      <c r="K3085" s="2" t="s">
        <v>16062</v>
      </c>
      <c r="L3085" s="2" t="s">
        <v>16063</v>
      </c>
      <c r="M3085" s="2" t="s">
        <v>70</v>
      </c>
      <c r="N3085" s="2" t="s">
        <v>38</v>
      </c>
      <c r="O3085" s="2" t="s">
        <v>131</v>
      </c>
      <c r="P3085" s="2" t="s">
        <v>16064</v>
      </c>
      <c r="Q3085" s="2" t="s">
        <v>16092</v>
      </c>
      <c r="R3085" s="2" t="s">
        <v>40</v>
      </c>
      <c r="S3085" s="2" t="s">
        <v>18071</v>
      </c>
      <c r="T3085" s="2" t="s">
        <v>13688</v>
      </c>
      <c r="U3085" s="2" t="s">
        <v>18072</v>
      </c>
      <c r="V3085" s="2" t="s">
        <v>18073</v>
      </c>
      <c r="W3085" s="1"/>
      <c r="X3085" s="2" t="s">
        <v>5030</v>
      </c>
      <c r="Y3085" s="2" t="s">
        <v>17583</v>
      </c>
      <c r="AA3085" t="str">
        <f t="shared" si="288"/>
        <v>2025-07</v>
      </c>
      <c r="AB3085" t="str">
        <f t="shared" si="289"/>
        <v/>
      </c>
      <c r="AC3085">
        <f t="shared" si="290"/>
        <v>612254.4</v>
      </c>
      <c r="AD3085">
        <f t="shared" si="291"/>
        <v>40</v>
      </c>
      <c r="AE3085">
        <f t="shared" si="292"/>
        <v>117694.39999999999</v>
      </c>
      <c r="AF3085" t="str">
        <f t="shared" si="293"/>
        <v>Paid</v>
      </c>
    </row>
    <row r="3086" spans="1:32" ht="27.75" thickBot="1" x14ac:dyDescent="0.35">
      <c r="A3086" s="2" t="s">
        <v>18074</v>
      </c>
      <c r="B3086" s="2" t="s">
        <v>27</v>
      </c>
      <c r="C3086" s="2" t="s">
        <v>28</v>
      </c>
      <c r="D3086" s="2" t="s">
        <v>97</v>
      </c>
      <c r="E3086" s="2" t="s">
        <v>17562</v>
      </c>
      <c r="F3086" s="2" t="s">
        <v>31</v>
      </c>
      <c r="G3086" s="2" t="s">
        <v>32</v>
      </c>
      <c r="H3086" s="1"/>
      <c r="I3086" s="2" t="s">
        <v>33</v>
      </c>
      <c r="J3086" s="2" t="s">
        <v>34</v>
      </c>
      <c r="K3086" s="2" t="s">
        <v>13684</v>
      </c>
      <c r="L3086" s="2" t="s">
        <v>13685</v>
      </c>
      <c r="M3086" s="2" t="s">
        <v>70</v>
      </c>
      <c r="N3086" s="2" t="s">
        <v>38</v>
      </c>
      <c r="O3086" s="2" t="s">
        <v>877</v>
      </c>
      <c r="P3086" s="2" t="s">
        <v>16064</v>
      </c>
      <c r="Q3086" s="2" t="s">
        <v>18075</v>
      </c>
      <c r="R3086" s="2" t="s">
        <v>40</v>
      </c>
      <c r="S3086" s="2" t="s">
        <v>18076</v>
      </c>
      <c r="T3086" s="2" t="s">
        <v>13688</v>
      </c>
      <c r="U3086" s="2" t="s">
        <v>18077</v>
      </c>
      <c r="V3086" s="2" t="s">
        <v>18078</v>
      </c>
      <c r="W3086" s="1"/>
      <c r="X3086" s="2" t="s">
        <v>5030</v>
      </c>
      <c r="Y3086" s="2" t="s">
        <v>17583</v>
      </c>
      <c r="AA3086" t="str">
        <f t="shared" si="288"/>
        <v>2025-07</v>
      </c>
      <c r="AB3086" t="str">
        <f t="shared" si="289"/>
        <v/>
      </c>
      <c r="AC3086">
        <f t="shared" si="290"/>
        <v>1530636</v>
      </c>
      <c r="AD3086">
        <f t="shared" si="291"/>
        <v>100</v>
      </c>
      <c r="AE3086">
        <f t="shared" si="292"/>
        <v>294236</v>
      </c>
      <c r="AF3086" t="str">
        <f t="shared" si="293"/>
        <v>Paid</v>
      </c>
    </row>
    <row r="3087" spans="1:32" ht="27.75" thickBot="1" x14ac:dyDescent="0.35">
      <c r="A3087" s="2" t="s">
        <v>18079</v>
      </c>
      <c r="B3087" s="2" t="s">
        <v>27</v>
      </c>
      <c r="C3087" s="2" t="s">
        <v>28</v>
      </c>
      <c r="D3087" s="2" t="s">
        <v>97</v>
      </c>
      <c r="E3087" s="2" t="s">
        <v>17562</v>
      </c>
      <c r="F3087" s="2" t="s">
        <v>31</v>
      </c>
      <c r="G3087" s="2" t="s">
        <v>32</v>
      </c>
      <c r="H3087" s="1"/>
      <c r="I3087" s="2" t="s">
        <v>33</v>
      </c>
      <c r="J3087" s="2" t="s">
        <v>34</v>
      </c>
      <c r="K3087" s="2" t="s">
        <v>13691</v>
      </c>
      <c r="L3087" s="2" t="s">
        <v>13692</v>
      </c>
      <c r="M3087" s="2" t="s">
        <v>70</v>
      </c>
      <c r="N3087" s="2" t="s">
        <v>38</v>
      </c>
      <c r="O3087" s="2" t="s">
        <v>773</v>
      </c>
      <c r="P3087" s="2" t="s">
        <v>6284</v>
      </c>
      <c r="Q3087" s="2" t="s">
        <v>18080</v>
      </c>
      <c r="R3087" s="2" t="s">
        <v>40</v>
      </c>
      <c r="S3087" s="2" t="s">
        <v>18081</v>
      </c>
      <c r="T3087" s="2" t="s">
        <v>2832</v>
      </c>
      <c r="U3087" s="2" t="s">
        <v>18082</v>
      </c>
      <c r="V3087" s="2" t="s">
        <v>18083</v>
      </c>
      <c r="W3087" s="1"/>
      <c r="X3087" s="2" t="s">
        <v>3583</v>
      </c>
      <c r="Y3087" s="2" t="s">
        <v>17583</v>
      </c>
      <c r="AA3087" t="str">
        <f t="shared" si="288"/>
        <v>2025-07</v>
      </c>
      <c r="AB3087" t="str">
        <f t="shared" si="289"/>
        <v/>
      </c>
      <c r="AC3087">
        <f t="shared" si="290"/>
        <v>1671000</v>
      </c>
      <c r="AD3087">
        <f t="shared" si="291"/>
        <v>200</v>
      </c>
      <c r="AE3087">
        <f t="shared" si="292"/>
        <v>331000</v>
      </c>
      <c r="AF3087" t="str">
        <f t="shared" si="293"/>
        <v>Paid</v>
      </c>
    </row>
    <row r="3088" spans="1:32" ht="17.25" thickBot="1" x14ac:dyDescent="0.35">
      <c r="A3088" s="2" t="s">
        <v>18084</v>
      </c>
      <c r="B3088" s="2" t="s">
        <v>27</v>
      </c>
      <c r="C3088" s="2" t="s">
        <v>28</v>
      </c>
      <c r="D3088" s="2" t="s">
        <v>97</v>
      </c>
      <c r="E3088" s="2" t="s">
        <v>17562</v>
      </c>
      <c r="F3088" s="2" t="s">
        <v>31</v>
      </c>
      <c r="G3088" s="2" t="s">
        <v>32</v>
      </c>
      <c r="H3088" s="1"/>
      <c r="I3088" s="2" t="s">
        <v>33</v>
      </c>
      <c r="J3088" s="2" t="s">
        <v>34</v>
      </c>
      <c r="K3088" s="2" t="s">
        <v>3591</v>
      </c>
      <c r="L3088" s="2" t="s">
        <v>3592</v>
      </c>
      <c r="M3088" s="2" t="s">
        <v>70</v>
      </c>
      <c r="N3088" s="2" t="s">
        <v>38</v>
      </c>
      <c r="O3088" s="2" t="s">
        <v>773</v>
      </c>
      <c r="P3088" s="2" t="s">
        <v>13868</v>
      </c>
      <c r="Q3088" s="2" t="s">
        <v>16074</v>
      </c>
      <c r="R3088" s="2" t="s">
        <v>40</v>
      </c>
      <c r="S3088" s="2" t="s">
        <v>18085</v>
      </c>
      <c r="T3088" s="2" t="s">
        <v>13701</v>
      </c>
      <c r="U3088" s="2" t="s">
        <v>16076</v>
      </c>
      <c r="V3088" s="2" t="s">
        <v>18086</v>
      </c>
      <c r="W3088" s="1"/>
      <c r="X3088" s="2" t="s">
        <v>3560</v>
      </c>
      <c r="Y3088" s="2" t="s">
        <v>17583</v>
      </c>
      <c r="AA3088" t="str">
        <f t="shared" si="288"/>
        <v>2025-07</v>
      </c>
      <c r="AB3088" t="str">
        <f t="shared" si="289"/>
        <v/>
      </c>
      <c r="AC3088">
        <f t="shared" si="290"/>
        <v>735240</v>
      </c>
      <c r="AD3088">
        <f t="shared" si="291"/>
        <v>200</v>
      </c>
      <c r="AE3088">
        <f t="shared" si="292"/>
        <v>153240</v>
      </c>
      <c r="AF3088" t="str">
        <f t="shared" si="293"/>
        <v>Paid</v>
      </c>
    </row>
    <row r="3089" spans="1:32" ht="17.25" thickBot="1" x14ac:dyDescent="0.35">
      <c r="A3089" s="2" t="s">
        <v>18087</v>
      </c>
      <c r="B3089" s="2" t="s">
        <v>27</v>
      </c>
      <c r="C3089" s="2" t="s">
        <v>28</v>
      </c>
      <c r="D3089" s="2" t="s">
        <v>97</v>
      </c>
      <c r="E3089" s="2" t="s">
        <v>17562</v>
      </c>
      <c r="F3089" s="2" t="s">
        <v>31</v>
      </c>
      <c r="G3089" s="2" t="s">
        <v>32</v>
      </c>
      <c r="H3089" s="1"/>
      <c r="I3089" s="2" t="s">
        <v>33</v>
      </c>
      <c r="J3089" s="2" t="s">
        <v>34</v>
      </c>
      <c r="K3089" s="2" t="s">
        <v>18088</v>
      </c>
      <c r="L3089" s="2" t="s">
        <v>18089</v>
      </c>
      <c r="M3089" s="2" t="s">
        <v>70</v>
      </c>
      <c r="N3089" s="2" t="s">
        <v>38</v>
      </c>
      <c r="O3089" s="2" t="s">
        <v>156</v>
      </c>
      <c r="P3089" s="2" t="s">
        <v>16144</v>
      </c>
      <c r="Q3089" s="2" t="s">
        <v>17073</v>
      </c>
      <c r="R3089" s="2" t="s">
        <v>40</v>
      </c>
      <c r="S3089" s="2" t="s">
        <v>18090</v>
      </c>
      <c r="T3089" s="2" t="s">
        <v>2101</v>
      </c>
      <c r="U3089" s="2" t="s">
        <v>13094</v>
      </c>
      <c r="V3089" s="2" t="s">
        <v>18091</v>
      </c>
      <c r="W3089" s="1"/>
      <c r="X3089" s="2" t="s">
        <v>2894</v>
      </c>
      <c r="Y3089" s="2" t="s">
        <v>17583</v>
      </c>
      <c r="AA3089" t="str">
        <f t="shared" si="288"/>
        <v>2025-07</v>
      </c>
      <c r="AB3089" t="str">
        <f t="shared" si="289"/>
        <v/>
      </c>
      <c r="AC3089">
        <f t="shared" si="290"/>
        <v>206669.28</v>
      </c>
      <c r="AD3089">
        <f t="shared" si="291"/>
        <v>20</v>
      </c>
      <c r="AE3089">
        <f t="shared" si="292"/>
        <v>62669.279999999999</v>
      </c>
      <c r="AF3089" t="str">
        <f t="shared" si="293"/>
        <v>Paid</v>
      </c>
    </row>
    <row r="3090" spans="1:32" ht="17.25" thickBot="1" x14ac:dyDescent="0.35">
      <c r="A3090" s="2" t="s">
        <v>18092</v>
      </c>
      <c r="B3090" s="2" t="s">
        <v>27</v>
      </c>
      <c r="C3090" s="2" t="s">
        <v>28</v>
      </c>
      <c r="D3090" s="2" t="s">
        <v>97</v>
      </c>
      <c r="E3090" s="2" t="s">
        <v>17562</v>
      </c>
      <c r="F3090" s="2" t="s">
        <v>31</v>
      </c>
      <c r="G3090" s="2" t="s">
        <v>32</v>
      </c>
      <c r="H3090" s="1"/>
      <c r="I3090" s="2" t="s">
        <v>33</v>
      </c>
      <c r="J3090" s="2" t="s">
        <v>34</v>
      </c>
      <c r="K3090" s="2" t="s">
        <v>2836</v>
      </c>
      <c r="L3090" s="2" t="s">
        <v>2837</v>
      </c>
      <c r="M3090" s="2" t="s">
        <v>70</v>
      </c>
      <c r="N3090" s="2" t="s">
        <v>38</v>
      </c>
      <c r="O3090" s="2" t="s">
        <v>877</v>
      </c>
      <c r="P3090" s="2" t="s">
        <v>2124</v>
      </c>
      <c r="Q3090" s="2" t="s">
        <v>16319</v>
      </c>
      <c r="R3090" s="2" t="s">
        <v>40</v>
      </c>
      <c r="S3090" s="2" t="s">
        <v>18093</v>
      </c>
      <c r="T3090" s="2" t="s">
        <v>2079</v>
      </c>
      <c r="U3090" s="2" t="s">
        <v>5919</v>
      </c>
      <c r="V3090" s="2" t="s">
        <v>18094</v>
      </c>
      <c r="W3090" s="1"/>
      <c r="X3090" s="2" t="s">
        <v>2863</v>
      </c>
      <c r="Y3090" s="2" t="s">
        <v>17583</v>
      </c>
      <c r="AA3090" t="str">
        <f t="shared" si="288"/>
        <v>2025-07</v>
      </c>
      <c r="AB3090" t="str">
        <f t="shared" si="289"/>
        <v/>
      </c>
      <c r="AC3090">
        <f t="shared" si="290"/>
        <v>1224508.8</v>
      </c>
      <c r="AD3090">
        <f t="shared" si="291"/>
        <v>100</v>
      </c>
      <c r="AE3090">
        <f t="shared" si="292"/>
        <v>373508.8</v>
      </c>
      <c r="AF3090" t="str">
        <f t="shared" si="293"/>
        <v>Paid</v>
      </c>
    </row>
    <row r="3091" spans="1:32" ht="17.25" thickBot="1" x14ac:dyDescent="0.35">
      <c r="A3091" s="2" t="s">
        <v>18095</v>
      </c>
      <c r="B3091" s="2" t="s">
        <v>27</v>
      </c>
      <c r="C3091" s="2" t="s">
        <v>28</v>
      </c>
      <c r="D3091" s="2" t="s">
        <v>97</v>
      </c>
      <c r="E3091" s="2" t="s">
        <v>17562</v>
      </c>
      <c r="F3091" s="2" t="s">
        <v>31</v>
      </c>
      <c r="G3091" s="2" t="s">
        <v>32</v>
      </c>
      <c r="H3091" s="1"/>
      <c r="I3091" s="2" t="s">
        <v>33</v>
      </c>
      <c r="J3091" s="2" t="s">
        <v>34</v>
      </c>
      <c r="K3091" s="2" t="s">
        <v>2855</v>
      </c>
      <c r="L3091" s="2" t="s">
        <v>2856</v>
      </c>
      <c r="M3091" s="2" t="s">
        <v>70</v>
      </c>
      <c r="N3091" s="2" t="s">
        <v>38</v>
      </c>
      <c r="O3091" s="2" t="s">
        <v>877</v>
      </c>
      <c r="P3091" s="2" t="s">
        <v>18096</v>
      </c>
      <c r="Q3091" s="2" t="s">
        <v>18097</v>
      </c>
      <c r="R3091" s="2" t="s">
        <v>40</v>
      </c>
      <c r="S3091" s="2" t="s">
        <v>18098</v>
      </c>
      <c r="T3091" s="2" t="s">
        <v>13098</v>
      </c>
      <c r="U3091" s="2" t="s">
        <v>17638</v>
      </c>
      <c r="V3091" s="2" t="s">
        <v>18099</v>
      </c>
      <c r="W3091" s="1"/>
      <c r="X3091" s="2" t="s">
        <v>2863</v>
      </c>
      <c r="Y3091" s="2" t="s">
        <v>17583</v>
      </c>
      <c r="AA3091" t="str">
        <f t="shared" si="288"/>
        <v>2025-07</v>
      </c>
      <c r="AB3091" t="str">
        <f t="shared" si="289"/>
        <v/>
      </c>
      <c r="AC3091">
        <f t="shared" si="290"/>
        <v>1156332</v>
      </c>
      <c r="AD3091">
        <f t="shared" si="291"/>
        <v>100</v>
      </c>
      <c r="AE3091">
        <f t="shared" si="292"/>
        <v>352632</v>
      </c>
      <c r="AF3091" t="str">
        <f t="shared" si="293"/>
        <v>Paid</v>
      </c>
    </row>
    <row r="3092" spans="1:32" ht="17.25" thickBot="1" x14ac:dyDescent="0.35">
      <c r="A3092" s="2" t="s">
        <v>18100</v>
      </c>
      <c r="B3092" s="2" t="s">
        <v>27</v>
      </c>
      <c r="C3092" s="2" t="s">
        <v>28</v>
      </c>
      <c r="D3092" s="2" t="s">
        <v>97</v>
      </c>
      <c r="E3092" s="2" t="s">
        <v>17562</v>
      </c>
      <c r="F3092" s="2" t="s">
        <v>31</v>
      </c>
      <c r="G3092" s="2" t="s">
        <v>32</v>
      </c>
      <c r="H3092" s="1"/>
      <c r="I3092" s="2" t="s">
        <v>33</v>
      </c>
      <c r="J3092" s="2" t="s">
        <v>34</v>
      </c>
      <c r="K3092" s="2" t="s">
        <v>18101</v>
      </c>
      <c r="L3092" s="2" t="s">
        <v>18102</v>
      </c>
      <c r="M3092" s="2" t="s">
        <v>70</v>
      </c>
      <c r="N3092" s="2" t="s">
        <v>38</v>
      </c>
      <c r="O3092" s="2" t="s">
        <v>156</v>
      </c>
      <c r="P3092" s="2" t="s">
        <v>2124</v>
      </c>
      <c r="Q3092" s="2" t="s">
        <v>18103</v>
      </c>
      <c r="R3092" s="2" t="s">
        <v>40</v>
      </c>
      <c r="S3092" s="2" t="s">
        <v>18104</v>
      </c>
      <c r="T3092" s="2" t="s">
        <v>2079</v>
      </c>
      <c r="U3092" s="2" t="s">
        <v>4822</v>
      </c>
      <c r="V3092" s="2" t="s">
        <v>18105</v>
      </c>
      <c r="W3092" s="1"/>
      <c r="X3092" s="2" t="s">
        <v>2863</v>
      </c>
      <c r="Y3092" s="2" t="s">
        <v>17583</v>
      </c>
      <c r="AA3092" t="str">
        <f t="shared" si="288"/>
        <v>2025-07</v>
      </c>
      <c r="AB3092" t="str">
        <f t="shared" si="289"/>
        <v/>
      </c>
      <c r="AC3092">
        <f t="shared" si="290"/>
        <v>244901.76000000001</v>
      </c>
      <c r="AD3092">
        <f t="shared" si="291"/>
        <v>20</v>
      </c>
      <c r="AE3092">
        <f t="shared" si="292"/>
        <v>74701.759999999995</v>
      </c>
      <c r="AF3092" t="str">
        <f t="shared" si="293"/>
        <v>Paid</v>
      </c>
    </row>
    <row r="3093" spans="1:32" ht="27.75" thickBot="1" x14ac:dyDescent="0.35">
      <c r="A3093" s="2" t="s">
        <v>18106</v>
      </c>
      <c r="B3093" s="2" t="s">
        <v>27</v>
      </c>
      <c r="C3093" s="2" t="s">
        <v>28</v>
      </c>
      <c r="D3093" s="2" t="s">
        <v>97</v>
      </c>
      <c r="E3093" s="2" t="s">
        <v>17562</v>
      </c>
      <c r="F3093" s="2" t="s">
        <v>31</v>
      </c>
      <c r="G3093" s="2" t="s">
        <v>32</v>
      </c>
      <c r="H3093" s="1"/>
      <c r="I3093" s="2" t="s">
        <v>33</v>
      </c>
      <c r="J3093" s="2" t="s">
        <v>34</v>
      </c>
      <c r="K3093" s="2" t="s">
        <v>2865</v>
      </c>
      <c r="L3093" s="2" t="s">
        <v>2866</v>
      </c>
      <c r="M3093" s="2" t="s">
        <v>70</v>
      </c>
      <c r="N3093" s="2" t="s">
        <v>38</v>
      </c>
      <c r="O3093" s="2" t="s">
        <v>877</v>
      </c>
      <c r="P3093" s="2" t="s">
        <v>5289</v>
      </c>
      <c r="Q3093" s="2" t="s">
        <v>18107</v>
      </c>
      <c r="R3093" s="2" t="s">
        <v>40</v>
      </c>
      <c r="S3093" s="2" t="s">
        <v>18108</v>
      </c>
      <c r="T3093" s="2" t="s">
        <v>13105</v>
      </c>
      <c r="U3093" s="2" t="s">
        <v>18109</v>
      </c>
      <c r="V3093" s="2" t="s">
        <v>18110</v>
      </c>
      <c r="W3093" s="1"/>
      <c r="X3093" s="2" t="s">
        <v>2863</v>
      </c>
      <c r="Y3093" s="2" t="s">
        <v>17583</v>
      </c>
      <c r="AA3093" t="str">
        <f t="shared" si="288"/>
        <v>2025-07</v>
      </c>
      <c r="AB3093" t="str">
        <f t="shared" si="289"/>
        <v/>
      </c>
      <c r="AC3093">
        <f t="shared" si="290"/>
        <v>951801.6</v>
      </c>
      <c r="AD3093">
        <f t="shared" si="291"/>
        <v>100</v>
      </c>
      <c r="AE3093">
        <f t="shared" si="292"/>
        <v>289901.59999999998</v>
      </c>
      <c r="AF3093" t="str">
        <f t="shared" si="293"/>
        <v>Paid</v>
      </c>
    </row>
    <row r="3094" spans="1:32" ht="17.25" thickBot="1" x14ac:dyDescent="0.35">
      <c r="A3094" s="2" t="s">
        <v>18111</v>
      </c>
      <c r="B3094" s="2" t="s">
        <v>27</v>
      </c>
      <c r="C3094" s="2" t="s">
        <v>28</v>
      </c>
      <c r="D3094" s="2" t="s">
        <v>97</v>
      </c>
      <c r="E3094" s="2" t="s">
        <v>17562</v>
      </c>
      <c r="F3094" s="2" t="s">
        <v>31</v>
      </c>
      <c r="G3094" s="2" t="s">
        <v>32</v>
      </c>
      <c r="H3094" s="1"/>
      <c r="I3094" s="2" t="s">
        <v>33</v>
      </c>
      <c r="J3094" s="2" t="s">
        <v>34</v>
      </c>
      <c r="K3094" s="2" t="s">
        <v>2873</v>
      </c>
      <c r="L3094" s="2" t="s">
        <v>2874</v>
      </c>
      <c r="M3094" s="2" t="s">
        <v>70</v>
      </c>
      <c r="N3094" s="2" t="s">
        <v>38</v>
      </c>
      <c r="O3094" s="2" t="s">
        <v>214</v>
      </c>
      <c r="P3094" s="2" t="s">
        <v>5289</v>
      </c>
      <c r="Q3094" s="2" t="s">
        <v>18112</v>
      </c>
      <c r="R3094" s="2" t="s">
        <v>40</v>
      </c>
      <c r="S3094" s="2" t="s">
        <v>18113</v>
      </c>
      <c r="T3094" s="2" t="s">
        <v>13105</v>
      </c>
      <c r="U3094" s="2" t="s">
        <v>18114</v>
      </c>
      <c r="V3094" s="2" t="s">
        <v>18115</v>
      </c>
      <c r="W3094" s="1"/>
      <c r="X3094" s="2" t="s">
        <v>2863</v>
      </c>
      <c r="Y3094" s="2" t="s">
        <v>17583</v>
      </c>
      <c r="AA3094" t="str">
        <f t="shared" si="288"/>
        <v>2025-07</v>
      </c>
      <c r="AB3094" t="str">
        <f t="shared" si="289"/>
        <v/>
      </c>
      <c r="AC3094">
        <f t="shared" si="290"/>
        <v>475900.8</v>
      </c>
      <c r="AD3094">
        <f t="shared" si="291"/>
        <v>50</v>
      </c>
      <c r="AE3094">
        <f t="shared" si="292"/>
        <v>144950.79999999999</v>
      </c>
      <c r="AF3094" t="str">
        <f t="shared" si="293"/>
        <v>Paid</v>
      </c>
    </row>
    <row r="3095" spans="1:32" ht="27.75" thickBot="1" x14ac:dyDescent="0.35">
      <c r="A3095" s="2" t="s">
        <v>18116</v>
      </c>
      <c r="B3095" s="2" t="s">
        <v>27</v>
      </c>
      <c r="C3095" s="2" t="s">
        <v>28</v>
      </c>
      <c r="D3095" s="2" t="s">
        <v>97</v>
      </c>
      <c r="E3095" s="2" t="s">
        <v>17562</v>
      </c>
      <c r="F3095" s="2" t="s">
        <v>31</v>
      </c>
      <c r="G3095" s="2" t="s">
        <v>32</v>
      </c>
      <c r="H3095" s="1"/>
      <c r="I3095" s="2" t="s">
        <v>33</v>
      </c>
      <c r="J3095" s="2" t="s">
        <v>34</v>
      </c>
      <c r="K3095" s="2" t="s">
        <v>2880</v>
      </c>
      <c r="L3095" s="2" t="s">
        <v>2881</v>
      </c>
      <c r="M3095" s="2" t="s">
        <v>70</v>
      </c>
      <c r="N3095" s="2" t="s">
        <v>38</v>
      </c>
      <c r="O3095" s="2" t="s">
        <v>877</v>
      </c>
      <c r="P3095" s="2" t="s">
        <v>5084</v>
      </c>
      <c r="Q3095" s="2" t="s">
        <v>17407</v>
      </c>
      <c r="R3095" s="2" t="s">
        <v>40</v>
      </c>
      <c r="S3095" s="2" t="s">
        <v>18117</v>
      </c>
      <c r="T3095" s="2" t="s">
        <v>18118</v>
      </c>
      <c r="U3095" s="2" t="s">
        <v>18119</v>
      </c>
      <c r="V3095" s="2" t="s">
        <v>18120</v>
      </c>
      <c r="W3095" s="1"/>
      <c r="X3095" s="2" t="s">
        <v>7918</v>
      </c>
      <c r="Y3095" s="2" t="s">
        <v>17583</v>
      </c>
      <c r="AA3095" t="str">
        <f t="shared" si="288"/>
        <v>2025-07</v>
      </c>
      <c r="AB3095" t="str">
        <f t="shared" si="289"/>
        <v/>
      </c>
      <c r="AC3095">
        <f t="shared" si="290"/>
        <v>799406.4</v>
      </c>
      <c r="AD3095">
        <f t="shared" si="291"/>
        <v>100</v>
      </c>
      <c r="AE3095">
        <f t="shared" si="292"/>
        <v>235706.4</v>
      </c>
      <c r="AF3095" t="str">
        <f t="shared" si="293"/>
        <v>Paid</v>
      </c>
    </row>
    <row r="3096" spans="1:32" ht="17.25" thickBot="1" x14ac:dyDescent="0.35">
      <c r="A3096" s="2" t="s">
        <v>18121</v>
      </c>
      <c r="B3096" s="2" t="s">
        <v>27</v>
      </c>
      <c r="C3096" s="2" t="s">
        <v>28</v>
      </c>
      <c r="D3096" s="2" t="s">
        <v>97</v>
      </c>
      <c r="E3096" s="2" t="s">
        <v>17562</v>
      </c>
      <c r="F3096" s="2" t="s">
        <v>31</v>
      </c>
      <c r="G3096" s="2" t="s">
        <v>32</v>
      </c>
      <c r="H3096" s="1"/>
      <c r="I3096" s="2" t="s">
        <v>33</v>
      </c>
      <c r="J3096" s="2" t="s">
        <v>34</v>
      </c>
      <c r="K3096" s="2" t="s">
        <v>2887</v>
      </c>
      <c r="L3096" s="2" t="s">
        <v>2888</v>
      </c>
      <c r="M3096" s="2" t="s">
        <v>70</v>
      </c>
      <c r="N3096" s="2" t="s">
        <v>38</v>
      </c>
      <c r="O3096" s="2" t="s">
        <v>214</v>
      </c>
      <c r="P3096" s="2" t="s">
        <v>12665</v>
      </c>
      <c r="Q3096" s="2" t="s">
        <v>3450</v>
      </c>
      <c r="R3096" s="2" t="s">
        <v>40</v>
      </c>
      <c r="S3096" s="2" t="s">
        <v>18122</v>
      </c>
      <c r="T3096" s="2" t="s">
        <v>13735</v>
      </c>
      <c r="U3096" s="2" t="s">
        <v>13736</v>
      </c>
      <c r="V3096" s="2" t="s">
        <v>18123</v>
      </c>
      <c r="W3096" s="1"/>
      <c r="X3096" s="2" t="s">
        <v>2894</v>
      </c>
      <c r="Y3096" s="2" t="s">
        <v>17583</v>
      </c>
      <c r="AA3096" t="str">
        <f t="shared" si="288"/>
        <v>2025-07</v>
      </c>
      <c r="AB3096" t="str">
        <f t="shared" si="289"/>
        <v/>
      </c>
      <c r="AC3096">
        <f t="shared" si="290"/>
        <v>540067.19999999995</v>
      </c>
      <c r="AD3096">
        <f t="shared" si="291"/>
        <v>50</v>
      </c>
      <c r="AE3096">
        <f t="shared" si="292"/>
        <v>163667.20000000001</v>
      </c>
      <c r="AF3096" t="str">
        <f t="shared" si="293"/>
        <v>Paid</v>
      </c>
    </row>
    <row r="3097" spans="1:32" ht="17.25" thickBot="1" x14ac:dyDescent="0.35">
      <c r="A3097" s="2" t="s">
        <v>18124</v>
      </c>
      <c r="B3097" s="2" t="s">
        <v>27</v>
      </c>
      <c r="C3097" s="2" t="s">
        <v>28</v>
      </c>
      <c r="D3097" s="2" t="s">
        <v>97</v>
      </c>
      <c r="E3097" s="2" t="s">
        <v>17562</v>
      </c>
      <c r="F3097" s="2" t="s">
        <v>31</v>
      </c>
      <c r="G3097" s="2" t="s">
        <v>32</v>
      </c>
      <c r="H3097" s="1"/>
      <c r="I3097" s="2" t="s">
        <v>33</v>
      </c>
      <c r="J3097" s="2" t="s">
        <v>34</v>
      </c>
      <c r="K3097" s="2" t="s">
        <v>11574</v>
      </c>
      <c r="L3097" s="2" t="s">
        <v>11575</v>
      </c>
      <c r="M3097" s="2" t="s">
        <v>70</v>
      </c>
      <c r="N3097" s="2" t="s">
        <v>38</v>
      </c>
      <c r="O3097" s="2" t="s">
        <v>214</v>
      </c>
      <c r="P3097" s="2" t="s">
        <v>12665</v>
      </c>
      <c r="Q3097" s="2" t="s">
        <v>3450</v>
      </c>
      <c r="R3097" s="2" t="s">
        <v>40</v>
      </c>
      <c r="S3097" s="2" t="s">
        <v>18122</v>
      </c>
      <c r="T3097" s="2" t="s">
        <v>13735</v>
      </c>
      <c r="U3097" s="2" t="s">
        <v>13736</v>
      </c>
      <c r="V3097" s="2" t="s">
        <v>18123</v>
      </c>
      <c r="W3097" s="1"/>
      <c r="X3097" s="2" t="s">
        <v>2894</v>
      </c>
      <c r="Y3097" s="2" t="s">
        <v>17583</v>
      </c>
      <c r="AA3097" t="str">
        <f t="shared" si="288"/>
        <v>2025-07</v>
      </c>
      <c r="AB3097" t="str">
        <f t="shared" si="289"/>
        <v/>
      </c>
      <c r="AC3097">
        <f t="shared" si="290"/>
        <v>540067.19999999995</v>
      </c>
      <c r="AD3097">
        <f t="shared" si="291"/>
        <v>50</v>
      </c>
      <c r="AE3097">
        <f t="shared" si="292"/>
        <v>163667.20000000001</v>
      </c>
      <c r="AF3097" t="str">
        <f t="shared" si="293"/>
        <v>Paid</v>
      </c>
    </row>
    <row r="3098" spans="1:32" ht="17.25" thickBot="1" x14ac:dyDescent="0.35">
      <c r="A3098" s="2" t="s">
        <v>18125</v>
      </c>
      <c r="B3098" s="2" t="s">
        <v>27</v>
      </c>
      <c r="C3098" s="2" t="s">
        <v>28</v>
      </c>
      <c r="D3098" s="2" t="s">
        <v>97</v>
      </c>
      <c r="E3098" s="2" t="s">
        <v>17562</v>
      </c>
      <c r="F3098" s="2" t="s">
        <v>31</v>
      </c>
      <c r="G3098" s="2" t="s">
        <v>32</v>
      </c>
      <c r="H3098" s="1"/>
      <c r="I3098" s="2" t="s">
        <v>33</v>
      </c>
      <c r="J3098" s="2" t="s">
        <v>34</v>
      </c>
      <c r="K3098" s="2" t="s">
        <v>2896</v>
      </c>
      <c r="L3098" s="2" t="s">
        <v>2897</v>
      </c>
      <c r="M3098" s="2" t="s">
        <v>70</v>
      </c>
      <c r="N3098" s="2" t="s">
        <v>38</v>
      </c>
      <c r="O3098" s="2" t="s">
        <v>214</v>
      </c>
      <c r="P3098" s="2" t="s">
        <v>4794</v>
      </c>
      <c r="Q3098" s="2" t="s">
        <v>18126</v>
      </c>
      <c r="R3098" s="2" t="s">
        <v>40</v>
      </c>
      <c r="S3098" s="2" t="s">
        <v>18127</v>
      </c>
      <c r="T3098" s="2" t="s">
        <v>9590</v>
      </c>
      <c r="U3098" s="2" t="s">
        <v>18128</v>
      </c>
      <c r="V3098" s="2" t="s">
        <v>18129</v>
      </c>
      <c r="W3098" s="1"/>
      <c r="X3098" s="2" t="s">
        <v>2894</v>
      </c>
      <c r="Y3098" s="2" t="s">
        <v>17583</v>
      </c>
      <c r="AA3098" t="str">
        <f t="shared" si="288"/>
        <v>2025-07</v>
      </c>
      <c r="AB3098" t="str">
        <f t="shared" si="289"/>
        <v/>
      </c>
      <c r="AC3098">
        <f t="shared" si="290"/>
        <v>570145.19999999995</v>
      </c>
      <c r="AD3098">
        <f t="shared" si="291"/>
        <v>50</v>
      </c>
      <c r="AE3098">
        <f t="shared" si="292"/>
        <v>172845.2</v>
      </c>
      <c r="AF3098" t="str">
        <f t="shared" si="293"/>
        <v>Paid</v>
      </c>
    </row>
    <row r="3099" spans="1:32" ht="27.75" thickBot="1" x14ac:dyDescent="0.35">
      <c r="A3099" s="2" t="s">
        <v>18130</v>
      </c>
      <c r="B3099" s="2" t="s">
        <v>27</v>
      </c>
      <c r="C3099" s="2" t="s">
        <v>28</v>
      </c>
      <c r="D3099" s="2" t="s">
        <v>97</v>
      </c>
      <c r="E3099" s="2" t="s">
        <v>17562</v>
      </c>
      <c r="F3099" s="2" t="s">
        <v>31</v>
      </c>
      <c r="G3099" s="2" t="s">
        <v>32</v>
      </c>
      <c r="H3099" s="1"/>
      <c r="I3099" s="2" t="s">
        <v>33</v>
      </c>
      <c r="J3099" s="2" t="s">
        <v>34</v>
      </c>
      <c r="K3099" s="2" t="s">
        <v>2904</v>
      </c>
      <c r="L3099" s="2" t="s">
        <v>2905</v>
      </c>
      <c r="M3099" s="2" t="s">
        <v>70</v>
      </c>
      <c r="N3099" s="2" t="s">
        <v>38</v>
      </c>
      <c r="O3099" s="2" t="s">
        <v>156</v>
      </c>
      <c r="P3099" s="2" t="s">
        <v>6765</v>
      </c>
      <c r="Q3099" s="2" t="s">
        <v>9472</v>
      </c>
      <c r="R3099" s="2" t="s">
        <v>40</v>
      </c>
      <c r="S3099" s="2" t="s">
        <v>18131</v>
      </c>
      <c r="T3099" s="2" t="s">
        <v>2909</v>
      </c>
      <c r="U3099" s="2" t="s">
        <v>18132</v>
      </c>
      <c r="V3099" s="2" t="s">
        <v>18133</v>
      </c>
      <c r="W3099" s="1"/>
      <c r="X3099" s="2" t="s">
        <v>7918</v>
      </c>
      <c r="Y3099" s="2" t="s">
        <v>17583</v>
      </c>
      <c r="AA3099" t="str">
        <f t="shared" si="288"/>
        <v>2025-07</v>
      </c>
      <c r="AB3099" t="str">
        <f t="shared" si="289"/>
        <v/>
      </c>
      <c r="AC3099">
        <f t="shared" si="290"/>
        <v>175922.88</v>
      </c>
      <c r="AD3099">
        <f t="shared" si="291"/>
        <v>20</v>
      </c>
      <c r="AE3099">
        <f t="shared" si="292"/>
        <v>51922.879999999997</v>
      </c>
      <c r="AF3099" t="str">
        <f t="shared" si="293"/>
        <v>Paid</v>
      </c>
    </row>
    <row r="3100" spans="1:32" ht="17.25" thickBot="1" x14ac:dyDescent="0.35">
      <c r="A3100" s="2" t="s">
        <v>18134</v>
      </c>
      <c r="B3100" s="2" t="s">
        <v>27</v>
      </c>
      <c r="C3100" s="2" t="s">
        <v>28</v>
      </c>
      <c r="D3100" s="2" t="s">
        <v>97</v>
      </c>
      <c r="E3100" s="2" t="s">
        <v>17562</v>
      </c>
      <c r="F3100" s="2" t="s">
        <v>31</v>
      </c>
      <c r="G3100" s="2" t="s">
        <v>32</v>
      </c>
      <c r="H3100" s="1"/>
      <c r="I3100" s="2" t="s">
        <v>33</v>
      </c>
      <c r="J3100" s="2" t="s">
        <v>34</v>
      </c>
      <c r="K3100" s="2" t="s">
        <v>9594</v>
      </c>
      <c r="L3100" s="2" t="s">
        <v>9595</v>
      </c>
      <c r="M3100" s="2" t="s">
        <v>70</v>
      </c>
      <c r="N3100" s="2" t="s">
        <v>38</v>
      </c>
      <c r="O3100" s="2" t="s">
        <v>214</v>
      </c>
      <c r="P3100" s="2" t="s">
        <v>1498</v>
      </c>
      <c r="Q3100" s="2" t="s">
        <v>18135</v>
      </c>
      <c r="R3100" s="2" t="s">
        <v>40</v>
      </c>
      <c r="S3100" s="2" t="s">
        <v>18136</v>
      </c>
      <c r="T3100" s="2" t="s">
        <v>2919</v>
      </c>
      <c r="U3100" s="2" t="s">
        <v>18137</v>
      </c>
      <c r="V3100" s="2" t="s">
        <v>18138</v>
      </c>
      <c r="W3100" s="1"/>
      <c r="X3100" s="2" t="s">
        <v>2894</v>
      </c>
      <c r="Y3100" s="2" t="s">
        <v>17583</v>
      </c>
      <c r="AA3100" t="str">
        <f t="shared" si="288"/>
        <v>2025-07</v>
      </c>
      <c r="AB3100" t="str">
        <f t="shared" si="289"/>
        <v/>
      </c>
      <c r="AC3100">
        <f t="shared" si="290"/>
        <v>419755.2</v>
      </c>
      <c r="AD3100">
        <f t="shared" si="291"/>
        <v>50</v>
      </c>
      <c r="AE3100">
        <f t="shared" si="292"/>
        <v>127005.2</v>
      </c>
      <c r="AF3100" t="str">
        <f t="shared" si="293"/>
        <v>Paid</v>
      </c>
    </row>
    <row r="3101" spans="1:32" ht="27.75" thickBot="1" x14ac:dyDescent="0.35">
      <c r="A3101" s="2" t="s">
        <v>18139</v>
      </c>
      <c r="B3101" s="2" t="s">
        <v>27</v>
      </c>
      <c r="C3101" s="2" t="s">
        <v>28</v>
      </c>
      <c r="D3101" s="2" t="s">
        <v>97</v>
      </c>
      <c r="E3101" s="2" t="s">
        <v>17562</v>
      </c>
      <c r="F3101" s="2" t="s">
        <v>31</v>
      </c>
      <c r="G3101" s="2" t="s">
        <v>32</v>
      </c>
      <c r="H3101" s="1"/>
      <c r="I3101" s="2" t="s">
        <v>33</v>
      </c>
      <c r="J3101" s="2" t="s">
        <v>34</v>
      </c>
      <c r="K3101" s="2" t="s">
        <v>18140</v>
      </c>
      <c r="L3101" s="2" t="s">
        <v>18141</v>
      </c>
      <c r="M3101" s="2" t="s">
        <v>70</v>
      </c>
      <c r="N3101" s="2" t="s">
        <v>38</v>
      </c>
      <c r="O3101" s="2" t="s">
        <v>156</v>
      </c>
      <c r="P3101" s="2" t="s">
        <v>1498</v>
      </c>
      <c r="Q3101" s="2" t="s">
        <v>1499</v>
      </c>
      <c r="R3101" s="2" t="s">
        <v>40</v>
      </c>
      <c r="S3101" s="2" t="s">
        <v>18142</v>
      </c>
      <c r="T3101" s="2" t="s">
        <v>2919</v>
      </c>
      <c r="U3101" s="2" t="s">
        <v>11588</v>
      </c>
      <c r="V3101" s="2" t="s">
        <v>18143</v>
      </c>
      <c r="W3101" s="1"/>
      <c r="X3101" s="2" t="s">
        <v>2894</v>
      </c>
      <c r="Y3101" s="2" t="s">
        <v>17583</v>
      </c>
      <c r="AA3101" t="str">
        <f t="shared" si="288"/>
        <v>2025-07</v>
      </c>
      <c r="AB3101" t="str">
        <f t="shared" si="289"/>
        <v/>
      </c>
      <c r="AC3101">
        <f t="shared" si="290"/>
        <v>167902.07999999999</v>
      </c>
      <c r="AD3101">
        <f t="shared" si="291"/>
        <v>20</v>
      </c>
      <c r="AE3101">
        <f t="shared" si="292"/>
        <v>50802.080000000002</v>
      </c>
      <c r="AF3101" t="str">
        <f t="shared" si="293"/>
        <v>Paid</v>
      </c>
    </row>
    <row r="3102" spans="1:32" ht="17.25" thickBot="1" x14ac:dyDescent="0.35">
      <c r="A3102" s="2" t="s">
        <v>18144</v>
      </c>
      <c r="B3102" s="2" t="s">
        <v>27</v>
      </c>
      <c r="C3102" s="2" t="s">
        <v>28</v>
      </c>
      <c r="D3102" s="2" t="s">
        <v>97</v>
      </c>
      <c r="E3102" s="2" t="s">
        <v>17562</v>
      </c>
      <c r="F3102" s="2" t="s">
        <v>31</v>
      </c>
      <c r="G3102" s="2" t="s">
        <v>32</v>
      </c>
      <c r="H3102" s="1"/>
      <c r="I3102" s="2" t="s">
        <v>33</v>
      </c>
      <c r="J3102" s="2" t="s">
        <v>34</v>
      </c>
      <c r="K3102" s="2" t="s">
        <v>2914</v>
      </c>
      <c r="L3102" s="2" t="s">
        <v>2915</v>
      </c>
      <c r="M3102" s="2" t="s">
        <v>70</v>
      </c>
      <c r="N3102" s="2" t="s">
        <v>38</v>
      </c>
      <c r="O3102" s="2" t="s">
        <v>214</v>
      </c>
      <c r="P3102" s="2" t="s">
        <v>1498</v>
      </c>
      <c r="Q3102" s="2" t="s">
        <v>18135</v>
      </c>
      <c r="R3102" s="2" t="s">
        <v>40</v>
      </c>
      <c r="S3102" s="2" t="s">
        <v>18136</v>
      </c>
      <c r="T3102" s="2" t="s">
        <v>2919</v>
      </c>
      <c r="U3102" s="2" t="s">
        <v>18137</v>
      </c>
      <c r="V3102" s="2" t="s">
        <v>18138</v>
      </c>
      <c r="W3102" s="1"/>
      <c r="X3102" s="2" t="s">
        <v>2894</v>
      </c>
      <c r="Y3102" s="2" t="s">
        <v>17583</v>
      </c>
      <c r="AA3102" t="str">
        <f t="shared" si="288"/>
        <v>2025-07</v>
      </c>
      <c r="AB3102" t="str">
        <f t="shared" si="289"/>
        <v/>
      </c>
      <c r="AC3102">
        <f t="shared" si="290"/>
        <v>419755.2</v>
      </c>
      <c r="AD3102">
        <f t="shared" si="291"/>
        <v>50</v>
      </c>
      <c r="AE3102">
        <f t="shared" si="292"/>
        <v>127005.2</v>
      </c>
      <c r="AF3102" t="str">
        <f t="shared" si="293"/>
        <v>Paid</v>
      </c>
    </row>
    <row r="3103" spans="1:32" ht="17.25" thickBot="1" x14ac:dyDescent="0.35">
      <c r="A3103" s="2" t="s">
        <v>18145</v>
      </c>
      <c r="B3103" s="2" t="s">
        <v>27</v>
      </c>
      <c r="C3103" s="2" t="s">
        <v>28</v>
      </c>
      <c r="D3103" s="2" t="s">
        <v>97</v>
      </c>
      <c r="E3103" s="2" t="s">
        <v>17562</v>
      </c>
      <c r="F3103" s="2" t="s">
        <v>31</v>
      </c>
      <c r="G3103" s="2" t="s">
        <v>32</v>
      </c>
      <c r="H3103" s="1"/>
      <c r="I3103" s="2" t="s">
        <v>33</v>
      </c>
      <c r="J3103" s="2" t="s">
        <v>34</v>
      </c>
      <c r="K3103" s="2" t="s">
        <v>2923</v>
      </c>
      <c r="L3103" s="2" t="s">
        <v>2924</v>
      </c>
      <c r="M3103" s="2" t="s">
        <v>70</v>
      </c>
      <c r="N3103" s="2" t="s">
        <v>38</v>
      </c>
      <c r="O3103" s="2" t="s">
        <v>214</v>
      </c>
      <c r="P3103" s="2" t="s">
        <v>1498</v>
      </c>
      <c r="Q3103" s="2" t="s">
        <v>18135</v>
      </c>
      <c r="R3103" s="2" t="s">
        <v>40</v>
      </c>
      <c r="S3103" s="2" t="s">
        <v>18136</v>
      </c>
      <c r="T3103" s="2" t="s">
        <v>2919</v>
      </c>
      <c r="U3103" s="2" t="s">
        <v>18137</v>
      </c>
      <c r="V3103" s="2" t="s">
        <v>18138</v>
      </c>
      <c r="W3103" s="1"/>
      <c r="X3103" s="2" t="s">
        <v>2894</v>
      </c>
      <c r="Y3103" s="2" t="s">
        <v>17583</v>
      </c>
      <c r="AA3103" t="str">
        <f t="shared" si="288"/>
        <v>2025-07</v>
      </c>
      <c r="AB3103" t="str">
        <f t="shared" si="289"/>
        <v/>
      </c>
      <c r="AC3103">
        <f t="shared" si="290"/>
        <v>419755.2</v>
      </c>
      <c r="AD3103">
        <f t="shared" si="291"/>
        <v>50</v>
      </c>
      <c r="AE3103">
        <f t="shared" si="292"/>
        <v>127005.2</v>
      </c>
      <c r="AF3103" t="str">
        <f t="shared" si="293"/>
        <v>Paid</v>
      </c>
    </row>
    <row r="3104" spans="1:32" ht="17.25" thickBot="1" x14ac:dyDescent="0.35">
      <c r="A3104" s="2" t="s">
        <v>18146</v>
      </c>
      <c r="B3104" s="2" t="s">
        <v>27</v>
      </c>
      <c r="C3104" s="2" t="s">
        <v>28</v>
      </c>
      <c r="D3104" s="2" t="s">
        <v>97</v>
      </c>
      <c r="E3104" s="2" t="s">
        <v>17562</v>
      </c>
      <c r="F3104" s="2" t="s">
        <v>31</v>
      </c>
      <c r="G3104" s="2" t="s">
        <v>32</v>
      </c>
      <c r="H3104" s="1"/>
      <c r="I3104" s="2" t="s">
        <v>33</v>
      </c>
      <c r="J3104" s="2" t="s">
        <v>34</v>
      </c>
      <c r="K3104" s="2" t="s">
        <v>18147</v>
      </c>
      <c r="L3104" s="2" t="s">
        <v>18148</v>
      </c>
      <c r="M3104" s="2" t="s">
        <v>3629</v>
      </c>
      <c r="N3104" s="2" t="s">
        <v>38</v>
      </c>
      <c r="O3104" s="2" t="s">
        <v>131</v>
      </c>
      <c r="P3104" s="2" t="s">
        <v>7263</v>
      </c>
      <c r="Q3104" s="2" t="s">
        <v>13379</v>
      </c>
      <c r="R3104" s="2" t="s">
        <v>40</v>
      </c>
      <c r="S3104" s="2" t="s">
        <v>18149</v>
      </c>
      <c r="T3104" s="2" t="s">
        <v>40</v>
      </c>
      <c r="U3104" s="2" t="s">
        <v>40</v>
      </c>
      <c r="V3104" s="2" t="s">
        <v>18149</v>
      </c>
      <c r="W3104" s="1"/>
      <c r="X3104" s="2" t="s">
        <v>2155</v>
      </c>
      <c r="Y3104" s="2" t="s">
        <v>17583</v>
      </c>
      <c r="AA3104" t="str">
        <f t="shared" si="288"/>
        <v>2025-07</v>
      </c>
      <c r="AB3104" t="str">
        <f t="shared" si="289"/>
        <v/>
      </c>
      <c r="AC3104">
        <f t="shared" si="290"/>
        <v>191964.48</v>
      </c>
      <c r="AD3104">
        <f t="shared" si="291"/>
        <v>40</v>
      </c>
      <c r="AE3104">
        <f t="shared" si="292"/>
        <v>191964.48</v>
      </c>
      <c r="AF3104" t="str">
        <f t="shared" si="293"/>
        <v>Paid</v>
      </c>
    </row>
    <row r="3105" spans="1:32" ht="17.25" thickBot="1" x14ac:dyDescent="0.35">
      <c r="A3105" s="2" t="s">
        <v>18150</v>
      </c>
      <c r="B3105" s="2" t="s">
        <v>27</v>
      </c>
      <c r="C3105" s="2" t="s">
        <v>28</v>
      </c>
      <c r="D3105" s="2" t="s">
        <v>97</v>
      </c>
      <c r="E3105" s="2" t="s">
        <v>17562</v>
      </c>
      <c r="F3105" s="2" t="s">
        <v>31</v>
      </c>
      <c r="G3105" s="2" t="s">
        <v>32</v>
      </c>
      <c r="H3105" s="1"/>
      <c r="I3105" s="2" t="s">
        <v>33</v>
      </c>
      <c r="J3105" s="2" t="s">
        <v>34</v>
      </c>
      <c r="K3105" s="2" t="s">
        <v>18151</v>
      </c>
      <c r="L3105" s="2" t="s">
        <v>18152</v>
      </c>
      <c r="M3105" s="2" t="s">
        <v>3629</v>
      </c>
      <c r="N3105" s="2" t="s">
        <v>38</v>
      </c>
      <c r="O3105" s="2" t="s">
        <v>877</v>
      </c>
      <c r="P3105" s="2" t="s">
        <v>4567</v>
      </c>
      <c r="Q3105" s="2" t="s">
        <v>18153</v>
      </c>
      <c r="R3105" s="2" t="s">
        <v>40</v>
      </c>
      <c r="S3105" s="2" t="s">
        <v>18154</v>
      </c>
      <c r="T3105" s="2" t="s">
        <v>9605</v>
      </c>
      <c r="U3105" s="2" t="s">
        <v>18155</v>
      </c>
      <c r="V3105" s="2" t="s">
        <v>18156</v>
      </c>
      <c r="W3105" s="1"/>
      <c r="X3105" s="2" t="s">
        <v>672</v>
      </c>
      <c r="Y3105" s="2" t="s">
        <v>17583</v>
      </c>
      <c r="AA3105" t="str">
        <f t="shared" si="288"/>
        <v>2025-07</v>
      </c>
      <c r="AB3105" t="str">
        <f t="shared" si="289"/>
        <v/>
      </c>
      <c r="AC3105">
        <f t="shared" si="290"/>
        <v>811437.6</v>
      </c>
      <c r="AD3105">
        <f t="shared" si="291"/>
        <v>100</v>
      </c>
      <c r="AE3105">
        <f t="shared" si="292"/>
        <v>376137.6</v>
      </c>
      <c r="AF3105" t="str">
        <f t="shared" si="293"/>
        <v>Paid</v>
      </c>
    </row>
    <row r="3106" spans="1:32" ht="17.25" thickBot="1" x14ac:dyDescent="0.35">
      <c r="A3106" s="2" t="s">
        <v>18157</v>
      </c>
      <c r="B3106" s="2" t="s">
        <v>27</v>
      </c>
      <c r="C3106" s="2" t="s">
        <v>28</v>
      </c>
      <c r="D3106" s="2" t="s">
        <v>97</v>
      </c>
      <c r="E3106" s="2" t="s">
        <v>17562</v>
      </c>
      <c r="F3106" s="2" t="s">
        <v>31</v>
      </c>
      <c r="G3106" s="2" t="s">
        <v>32</v>
      </c>
      <c r="H3106" s="1"/>
      <c r="I3106" s="2" t="s">
        <v>33</v>
      </c>
      <c r="J3106" s="2" t="s">
        <v>34</v>
      </c>
      <c r="K3106" s="2" t="s">
        <v>18158</v>
      </c>
      <c r="L3106" s="2" t="s">
        <v>18159</v>
      </c>
      <c r="M3106" s="2" t="s">
        <v>3629</v>
      </c>
      <c r="N3106" s="2" t="s">
        <v>38</v>
      </c>
      <c r="O3106" s="2" t="s">
        <v>214</v>
      </c>
      <c r="P3106" s="2" t="s">
        <v>4567</v>
      </c>
      <c r="Q3106" s="2" t="s">
        <v>18160</v>
      </c>
      <c r="R3106" s="2" t="s">
        <v>40</v>
      </c>
      <c r="S3106" s="2" t="s">
        <v>18161</v>
      </c>
      <c r="T3106" s="2" t="s">
        <v>9605</v>
      </c>
      <c r="U3106" s="2" t="s">
        <v>18162</v>
      </c>
      <c r="V3106" s="2" t="s">
        <v>18163</v>
      </c>
      <c r="W3106" s="1"/>
      <c r="X3106" s="2" t="s">
        <v>672</v>
      </c>
      <c r="Y3106" s="2" t="s">
        <v>17583</v>
      </c>
      <c r="AA3106" t="str">
        <f t="shared" si="288"/>
        <v>2025-07</v>
      </c>
      <c r="AB3106" t="str">
        <f t="shared" si="289"/>
        <v/>
      </c>
      <c r="AC3106">
        <f t="shared" si="290"/>
        <v>405718.8</v>
      </c>
      <c r="AD3106">
        <f t="shared" si="291"/>
        <v>50</v>
      </c>
      <c r="AE3106">
        <f t="shared" si="292"/>
        <v>188068.8</v>
      </c>
      <c r="AF3106" t="str">
        <f t="shared" si="293"/>
        <v>Paid</v>
      </c>
    </row>
    <row r="3107" spans="1:32" ht="17.25" thickBot="1" x14ac:dyDescent="0.35">
      <c r="A3107" s="2" t="s">
        <v>18164</v>
      </c>
      <c r="B3107" s="2" t="s">
        <v>27</v>
      </c>
      <c r="C3107" s="2" t="s">
        <v>28</v>
      </c>
      <c r="D3107" s="2" t="s">
        <v>97</v>
      </c>
      <c r="E3107" s="2" t="s">
        <v>17562</v>
      </c>
      <c r="F3107" s="2" t="s">
        <v>31</v>
      </c>
      <c r="G3107" s="2" t="s">
        <v>32</v>
      </c>
      <c r="H3107" s="1"/>
      <c r="I3107" s="2" t="s">
        <v>33</v>
      </c>
      <c r="J3107" s="2" t="s">
        <v>34</v>
      </c>
      <c r="K3107" s="2" t="s">
        <v>11618</v>
      </c>
      <c r="L3107" s="2" t="s">
        <v>11619</v>
      </c>
      <c r="M3107" s="2" t="s">
        <v>8432</v>
      </c>
      <c r="N3107" s="2" t="s">
        <v>38</v>
      </c>
      <c r="O3107" s="2" t="s">
        <v>149</v>
      </c>
      <c r="P3107" s="2" t="s">
        <v>16078</v>
      </c>
      <c r="Q3107" s="2" t="s">
        <v>18165</v>
      </c>
      <c r="R3107" s="2" t="s">
        <v>40</v>
      </c>
      <c r="S3107" s="2" t="s">
        <v>18166</v>
      </c>
      <c r="T3107" s="2" t="s">
        <v>11622</v>
      </c>
      <c r="U3107" s="2" t="s">
        <v>18167</v>
      </c>
      <c r="V3107" s="2" t="s">
        <v>18168</v>
      </c>
      <c r="W3107" s="1"/>
      <c r="X3107" s="2" t="s">
        <v>1073</v>
      </c>
      <c r="Y3107" s="2" t="s">
        <v>17583</v>
      </c>
      <c r="AA3107" t="str">
        <f t="shared" si="288"/>
        <v>2025-07</v>
      </c>
      <c r="AB3107" t="str">
        <f t="shared" si="289"/>
        <v/>
      </c>
      <c r="AC3107">
        <f t="shared" si="290"/>
        <v>6047683.2000000002</v>
      </c>
      <c r="AD3107">
        <f t="shared" si="291"/>
        <v>300</v>
      </c>
      <c r="AE3107">
        <f t="shared" si="292"/>
        <v>1580383.2</v>
      </c>
      <c r="AF3107" t="str">
        <f t="shared" si="293"/>
        <v>Paid</v>
      </c>
    </row>
    <row r="3108" spans="1:32" ht="17.25" thickBot="1" x14ac:dyDescent="0.35">
      <c r="A3108" s="2" t="s">
        <v>18169</v>
      </c>
      <c r="B3108" s="2" t="s">
        <v>27</v>
      </c>
      <c r="C3108" s="2" t="s">
        <v>28</v>
      </c>
      <c r="D3108" s="2" t="s">
        <v>97</v>
      </c>
      <c r="E3108" s="2" t="s">
        <v>17562</v>
      </c>
      <c r="F3108" s="2" t="s">
        <v>31</v>
      </c>
      <c r="G3108" s="2" t="s">
        <v>32</v>
      </c>
      <c r="H3108" s="1"/>
      <c r="I3108" s="2" t="s">
        <v>33</v>
      </c>
      <c r="J3108" s="2" t="s">
        <v>34</v>
      </c>
      <c r="K3108" s="2" t="s">
        <v>14152</v>
      </c>
      <c r="L3108" s="2" t="s">
        <v>14153</v>
      </c>
      <c r="M3108" s="2" t="s">
        <v>2933</v>
      </c>
      <c r="N3108" s="2" t="s">
        <v>38</v>
      </c>
      <c r="O3108" s="2" t="s">
        <v>156</v>
      </c>
      <c r="P3108" s="2" t="s">
        <v>10730</v>
      </c>
      <c r="Q3108" s="2" t="s">
        <v>18170</v>
      </c>
      <c r="R3108" s="2" t="s">
        <v>40</v>
      </c>
      <c r="S3108" s="2" t="s">
        <v>18171</v>
      </c>
      <c r="T3108" s="2" t="s">
        <v>2206</v>
      </c>
      <c r="U3108" s="2" t="s">
        <v>6653</v>
      </c>
      <c r="V3108" s="2" t="s">
        <v>18172</v>
      </c>
      <c r="W3108" s="1"/>
      <c r="X3108" s="2" t="s">
        <v>6532</v>
      </c>
      <c r="Y3108" s="2" t="s">
        <v>17583</v>
      </c>
      <c r="AA3108" t="str">
        <f t="shared" si="288"/>
        <v>2025-07</v>
      </c>
      <c r="AB3108" t="str">
        <f t="shared" si="289"/>
        <v/>
      </c>
      <c r="AC3108">
        <f t="shared" si="290"/>
        <v>228860.16</v>
      </c>
      <c r="AD3108">
        <f t="shared" si="291"/>
        <v>20</v>
      </c>
      <c r="AE3108">
        <f t="shared" si="292"/>
        <v>72860.160000000003</v>
      </c>
      <c r="AF3108" t="str">
        <f t="shared" si="293"/>
        <v>Paid</v>
      </c>
    </row>
    <row r="3109" spans="1:32" ht="27.75" thickBot="1" x14ac:dyDescent="0.35">
      <c r="A3109" s="2" t="s">
        <v>18173</v>
      </c>
      <c r="B3109" s="2" t="s">
        <v>27</v>
      </c>
      <c r="C3109" s="2" t="s">
        <v>28</v>
      </c>
      <c r="D3109" s="2" t="s">
        <v>97</v>
      </c>
      <c r="E3109" s="2" t="s">
        <v>17562</v>
      </c>
      <c r="F3109" s="2" t="s">
        <v>31</v>
      </c>
      <c r="G3109" s="2" t="s">
        <v>32</v>
      </c>
      <c r="H3109" s="1"/>
      <c r="I3109" s="2" t="s">
        <v>33</v>
      </c>
      <c r="J3109" s="2" t="s">
        <v>34</v>
      </c>
      <c r="K3109" s="2" t="s">
        <v>3028</v>
      </c>
      <c r="L3109" s="2" t="s">
        <v>3029</v>
      </c>
      <c r="M3109" s="2" t="s">
        <v>3030</v>
      </c>
      <c r="N3109" s="2" t="s">
        <v>38</v>
      </c>
      <c r="O3109" s="2" t="s">
        <v>79</v>
      </c>
      <c r="P3109" s="2" t="s">
        <v>5876</v>
      </c>
      <c r="Q3109" s="2" t="s">
        <v>18174</v>
      </c>
      <c r="R3109" s="2" t="s">
        <v>40</v>
      </c>
      <c r="S3109" s="2" t="s">
        <v>18175</v>
      </c>
      <c r="T3109" s="2" t="s">
        <v>14163</v>
      </c>
      <c r="U3109" s="2" t="s">
        <v>18176</v>
      </c>
      <c r="V3109" s="2" t="s">
        <v>18177</v>
      </c>
      <c r="W3109" s="1"/>
      <c r="X3109" s="2" t="s">
        <v>3047</v>
      </c>
      <c r="Y3109" s="2" t="s">
        <v>17583</v>
      </c>
      <c r="AA3109" t="str">
        <f t="shared" si="288"/>
        <v>2025-07</v>
      </c>
      <c r="AB3109" t="str">
        <f t="shared" si="289"/>
        <v/>
      </c>
      <c r="AC3109">
        <f t="shared" si="290"/>
        <v>68845.2</v>
      </c>
      <c r="AD3109">
        <f t="shared" si="291"/>
        <v>10</v>
      </c>
      <c r="AE3109">
        <f t="shared" si="292"/>
        <v>23745.200000000001</v>
      </c>
      <c r="AF3109" t="str">
        <f t="shared" si="293"/>
        <v>Paid</v>
      </c>
    </row>
    <row r="3110" spans="1:32" ht="27.75" thickBot="1" x14ac:dyDescent="0.35">
      <c r="A3110" s="2" t="s">
        <v>18178</v>
      </c>
      <c r="B3110" s="2" t="s">
        <v>27</v>
      </c>
      <c r="C3110" s="2" t="s">
        <v>28</v>
      </c>
      <c r="D3110" s="2" t="s">
        <v>97</v>
      </c>
      <c r="E3110" s="2" t="s">
        <v>17562</v>
      </c>
      <c r="F3110" s="2" t="s">
        <v>31</v>
      </c>
      <c r="G3110" s="2" t="s">
        <v>32</v>
      </c>
      <c r="H3110" s="1"/>
      <c r="I3110" s="2" t="s">
        <v>33</v>
      </c>
      <c r="J3110" s="2" t="s">
        <v>34</v>
      </c>
      <c r="K3110" s="2" t="s">
        <v>3028</v>
      </c>
      <c r="L3110" s="2" t="s">
        <v>3029</v>
      </c>
      <c r="M3110" s="2" t="s">
        <v>3030</v>
      </c>
      <c r="N3110" s="2" t="s">
        <v>38</v>
      </c>
      <c r="O3110" s="2" t="s">
        <v>79</v>
      </c>
      <c r="P3110" s="2" t="s">
        <v>5876</v>
      </c>
      <c r="Q3110" s="2" t="s">
        <v>18174</v>
      </c>
      <c r="R3110" s="2" t="s">
        <v>40</v>
      </c>
      <c r="S3110" s="2" t="s">
        <v>18175</v>
      </c>
      <c r="T3110" s="2" t="s">
        <v>14163</v>
      </c>
      <c r="U3110" s="2" t="s">
        <v>18176</v>
      </c>
      <c r="V3110" s="2" t="s">
        <v>18177</v>
      </c>
      <c r="W3110" s="1"/>
      <c r="X3110" s="2" t="s">
        <v>3047</v>
      </c>
      <c r="Y3110" s="2" t="s">
        <v>17583</v>
      </c>
      <c r="AA3110" t="str">
        <f t="shared" si="288"/>
        <v>2025-07</v>
      </c>
      <c r="AB3110" t="str">
        <f t="shared" si="289"/>
        <v/>
      </c>
      <c r="AC3110">
        <f t="shared" si="290"/>
        <v>68845.2</v>
      </c>
      <c r="AD3110">
        <f t="shared" si="291"/>
        <v>10</v>
      </c>
      <c r="AE3110">
        <f t="shared" si="292"/>
        <v>23745.200000000001</v>
      </c>
      <c r="AF3110" t="str">
        <f t="shared" si="293"/>
        <v>Paid</v>
      </c>
    </row>
    <row r="3111" spans="1:32" ht="27.75" thickBot="1" x14ac:dyDescent="0.35">
      <c r="A3111" s="2" t="s">
        <v>18179</v>
      </c>
      <c r="B3111" s="2" t="s">
        <v>27</v>
      </c>
      <c r="C3111" s="2" t="s">
        <v>28</v>
      </c>
      <c r="D3111" s="2" t="s">
        <v>97</v>
      </c>
      <c r="E3111" s="2" t="s">
        <v>17562</v>
      </c>
      <c r="F3111" s="2" t="s">
        <v>31</v>
      </c>
      <c r="G3111" s="2" t="s">
        <v>32</v>
      </c>
      <c r="H3111" s="1"/>
      <c r="I3111" s="2" t="s">
        <v>33</v>
      </c>
      <c r="J3111" s="2" t="s">
        <v>34</v>
      </c>
      <c r="K3111" s="2" t="s">
        <v>18180</v>
      </c>
      <c r="L3111" s="2" t="s">
        <v>18181</v>
      </c>
      <c r="M3111" s="2" t="s">
        <v>3030</v>
      </c>
      <c r="N3111" s="2" t="s">
        <v>38</v>
      </c>
      <c r="O3111" s="2" t="s">
        <v>156</v>
      </c>
      <c r="P3111" s="2" t="s">
        <v>14011</v>
      </c>
      <c r="Q3111" s="2" t="s">
        <v>18182</v>
      </c>
      <c r="R3111" s="2" t="s">
        <v>40</v>
      </c>
      <c r="S3111" s="2" t="s">
        <v>18183</v>
      </c>
      <c r="T3111" s="2" t="s">
        <v>12882</v>
      </c>
      <c r="U3111" s="2" t="s">
        <v>14978</v>
      </c>
      <c r="V3111" s="2" t="s">
        <v>18184</v>
      </c>
      <c r="W3111" s="1"/>
      <c r="X3111" s="2" t="s">
        <v>6902</v>
      </c>
      <c r="Y3111" s="2" t="s">
        <v>17583</v>
      </c>
      <c r="AA3111" t="str">
        <f t="shared" si="288"/>
        <v>2025-07</v>
      </c>
      <c r="AB3111" t="str">
        <f t="shared" si="289"/>
        <v/>
      </c>
      <c r="AC3111">
        <f t="shared" si="290"/>
        <v>206401.92000000001</v>
      </c>
      <c r="AD3111">
        <f t="shared" si="291"/>
        <v>20</v>
      </c>
      <c r="AE3111">
        <f t="shared" si="292"/>
        <v>49301.919999999998</v>
      </c>
      <c r="AF3111" t="str">
        <f t="shared" si="293"/>
        <v>Paid</v>
      </c>
    </row>
    <row r="3112" spans="1:32" ht="27.75" thickBot="1" x14ac:dyDescent="0.35">
      <c r="A3112" s="2" t="s">
        <v>18185</v>
      </c>
      <c r="B3112" s="2" t="s">
        <v>27</v>
      </c>
      <c r="C3112" s="2" t="s">
        <v>28</v>
      </c>
      <c r="D3112" s="2" t="s">
        <v>97</v>
      </c>
      <c r="E3112" s="2" t="s">
        <v>17562</v>
      </c>
      <c r="F3112" s="2" t="s">
        <v>31</v>
      </c>
      <c r="G3112" s="2" t="s">
        <v>32</v>
      </c>
      <c r="H3112" s="1"/>
      <c r="I3112" s="2" t="s">
        <v>33</v>
      </c>
      <c r="J3112" s="2" t="s">
        <v>34</v>
      </c>
      <c r="K3112" s="2" t="s">
        <v>18186</v>
      </c>
      <c r="L3112" s="2" t="s">
        <v>18187</v>
      </c>
      <c r="M3112" s="2" t="s">
        <v>3030</v>
      </c>
      <c r="N3112" s="2" t="s">
        <v>38</v>
      </c>
      <c r="O3112" s="2" t="s">
        <v>156</v>
      </c>
      <c r="P3112" s="2" t="s">
        <v>4360</v>
      </c>
      <c r="Q3112" s="2" t="s">
        <v>4361</v>
      </c>
      <c r="R3112" s="2" t="s">
        <v>40</v>
      </c>
      <c r="S3112" s="2" t="s">
        <v>18188</v>
      </c>
      <c r="T3112" s="2" t="s">
        <v>9580</v>
      </c>
      <c r="U3112" s="2" t="s">
        <v>9581</v>
      </c>
      <c r="V3112" s="2" t="s">
        <v>18189</v>
      </c>
      <c r="W3112" s="1"/>
      <c r="X3112" s="2" t="s">
        <v>3047</v>
      </c>
      <c r="Y3112" s="2" t="s">
        <v>17583</v>
      </c>
      <c r="AA3112" t="str">
        <f t="shared" si="288"/>
        <v>2025-07</v>
      </c>
      <c r="AB3112" t="str">
        <f t="shared" si="289"/>
        <v/>
      </c>
      <c r="AC3112">
        <f t="shared" si="290"/>
        <v>240891.36</v>
      </c>
      <c r="AD3112">
        <f t="shared" si="291"/>
        <v>20</v>
      </c>
      <c r="AE3112">
        <f t="shared" si="292"/>
        <v>83071.360000000001</v>
      </c>
      <c r="AF3112" t="str">
        <f t="shared" si="293"/>
        <v>Paid</v>
      </c>
    </row>
    <row r="3113" spans="1:32" ht="27.75" thickBot="1" x14ac:dyDescent="0.35">
      <c r="A3113" s="2" t="s">
        <v>18190</v>
      </c>
      <c r="B3113" s="2" t="s">
        <v>27</v>
      </c>
      <c r="C3113" s="2" t="s">
        <v>28</v>
      </c>
      <c r="D3113" s="2" t="s">
        <v>97</v>
      </c>
      <c r="E3113" s="2" t="s">
        <v>17562</v>
      </c>
      <c r="F3113" s="2" t="s">
        <v>31</v>
      </c>
      <c r="G3113" s="2" t="s">
        <v>32</v>
      </c>
      <c r="H3113" s="1"/>
      <c r="I3113" s="2" t="s">
        <v>33</v>
      </c>
      <c r="J3113" s="2" t="s">
        <v>34</v>
      </c>
      <c r="K3113" s="2" t="s">
        <v>3039</v>
      </c>
      <c r="L3113" s="2" t="s">
        <v>3040</v>
      </c>
      <c r="M3113" s="2" t="s">
        <v>3030</v>
      </c>
      <c r="N3113" s="2" t="s">
        <v>38</v>
      </c>
      <c r="O3113" s="2" t="s">
        <v>272</v>
      </c>
      <c r="P3113" s="2" t="s">
        <v>4360</v>
      </c>
      <c r="Q3113" s="2" t="s">
        <v>18191</v>
      </c>
      <c r="R3113" s="2" t="s">
        <v>40</v>
      </c>
      <c r="S3113" s="2" t="s">
        <v>18192</v>
      </c>
      <c r="T3113" s="2" t="s">
        <v>9580</v>
      </c>
      <c r="U3113" s="2" t="s">
        <v>18193</v>
      </c>
      <c r="V3113" s="2" t="s">
        <v>18194</v>
      </c>
      <c r="W3113" s="1"/>
      <c r="X3113" s="2" t="s">
        <v>3047</v>
      </c>
      <c r="Y3113" s="2" t="s">
        <v>17583</v>
      </c>
      <c r="AA3113" t="str">
        <f t="shared" si="288"/>
        <v>2025-07</v>
      </c>
      <c r="AB3113" t="str">
        <f t="shared" si="289"/>
        <v/>
      </c>
      <c r="AC3113">
        <f t="shared" si="290"/>
        <v>409515.31</v>
      </c>
      <c r="AD3113">
        <f t="shared" si="291"/>
        <v>34</v>
      </c>
      <c r="AE3113">
        <f t="shared" si="292"/>
        <v>141221.31</v>
      </c>
      <c r="AF3113" t="str">
        <f t="shared" si="293"/>
        <v>Paid</v>
      </c>
    </row>
    <row r="3114" spans="1:32" ht="17.25" thickBot="1" x14ac:dyDescent="0.35">
      <c r="A3114" s="2" t="s">
        <v>18195</v>
      </c>
      <c r="B3114" s="2" t="s">
        <v>27</v>
      </c>
      <c r="C3114" s="2" t="s">
        <v>28</v>
      </c>
      <c r="D3114" s="2" t="s">
        <v>97</v>
      </c>
      <c r="E3114" s="2" t="s">
        <v>17562</v>
      </c>
      <c r="F3114" s="2" t="s">
        <v>31</v>
      </c>
      <c r="G3114" s="2" t="s">
        <v>32</v>
      </c>
      <c r="H3114" s="1"/>
      <c r="I3114" s="2" t="s">
        <v>33</v>
      </c>
      <c r="J3114" s="2" t="s">
        <v>34</v>
      </c>
      <c r="K3114" s="2" t="s">
        <v>5032</v>
      </c>
      <c r="L3114" s="2" t="s">
        <v>5033</v>
      </c>
      <c r="M3114" s="2" t="s">
        <v>772</v>
      </c>
      <c r="N3114" s="2" t="s">
        <v>38</v>
      </c>
      <c r="O3114" s="2" t="s">
        <v>177</v>
      </c>
      <c r="P3114" s="2" t="s">
        <v>18196</v>
      </c>
      <c r="Q3114" s="2" t="s">
        <v>18197</v>
      </c>
      <c r="R3114" s="2" t="s">
        <v>40</v>
      </c>
      <c r="S3114" s="2" t="s">
        <v>18198</v>
      </c>
      <c r="T3114" s="2" t="s">
        <v>5027</v>
      </c>
      <c r="U3114" s="2" t="s">
        <v>13617</v>
      </c>
      <c r="V3114" s="2" t="s">
        <v>18199</v>
      </c>
      <c r="W3114" s="1"/>
      <c r="X3114" s="2" t="s">
        <v>838</v>
      </c>
      <c r="Y3114" s="2" t="s">
        <v>17583</v>
      </c>
      <c r="AA3114" t="str">
        <f t="shared" si="288"/>
        <v>2025-07</v>
      </c>
      <c r="AB3114" t="str">
        <f t="shared" si="289"/>
        <v/>
      </c>
      <c r="AC3114">
        <f t="shared" si="290"/>
        <v>56878166.399999999</v>
      </c>
      <c r="AD3114">
        <f t="shared" si="291"/>
        <v>400</v>
      </c>
      <c r="AE3114">
        <f t="shared" si="292"/>
        <v>11878166.4</v>
      </c>
      <c r="AF3114" t="str">
        <f t="shared" si="293"/>
        <v>Paid</v>
      </c>
    </row>
    <row r="3115" spans="1:32" ht="17.25" thickBot="1" x14ac:dyDescent="0.35">
      <c r="A3115" s="2" t="s">
        <v>18200</v>
      </c>
      <c r="B3115" s="2" t="s">
        <v>27</v>
      </c>
      <c r="C3115" s="2" t="s">
        <v>28</v>
      </c>
      <c r="D3115" s="2" t="s">
        <v>97</v>
      </c>
      <c r="E3115" s="2" t="s">
        <v>17562</v>
      </c>
      <c r="F3115" s="2" t="s">
        <v>31</v>
      </c>
      <c r="G3115" s="2" t="s">
        <v>32</v>
      </c>
      <c r="H3115" s="1"/>
      <c r="I3115" s="2" t="s">
        <v>33</v>
      </c>
      <c r="J3115" s="2" t="s">
        <v>34</v>
      </c>
      <c r="K3115" s="2" t="s">
        <v>18201</v>
      </c>
      <c r="L3115" s="2" t="s">
        <v>18202</v>
      </c>
      <c r="M3115" s="2" t="s">
        <v>772</v>
      </c>
      <c r="N3115" s="2" t="s">
        <v>38</v>
      </c>
      <c r="O3115" s="2" t="s">
        <v>773</v>
      </c>
      <c r="P3115" s="2" t="s">
        <v>18203</v>
      </c>
      <c r="Q3115" s="2" t="s">
        <v>18204</v>
      </c>
      <c r="R3115" s="2" t="s">
        <v>40</v>
      </c>
      <c r="S3115" s="2" t="s">
        <v>18205</v>
      </c>
      <c r="T3115" s="2" t="s">
        <v>18206</v>
      </c>
      <c r="U3115" s="2" t="s">
        <v>18207</v>
      </c>
      <c r="V3115" s="2" t="s">
        <v>18208</v>
      </c>
      <c r="W3115" s="1"/>
      <c r="X3115" s="2" t="s">
        <v>2072</v>
      </c>
      <c r="Y3115" s="2" t="s">
        <v>17583</v>
      </c>
      <c r="AA3115" t="str">
        <f t="shared" si="288"/>
        <v>2025-07</v>
      </c>
      <c r="AB3115" t="str">
        <f t="shared" si="289"/>
        <v/>
      </c>
      <c r="AC3115">
        <f t="shared" si="290"/>
        <v>14389315.199999999</v>
      </c>
      <c r="AD3115">
        <f t="shared" si="291"/>
        <v>200</v>
      </c>
      <c r="AE3115">
        <f t="shared" si="292"/>
        <v>2889315.2</v>
      </c>
      <c r="AF3115" t="str">
        <f t="shared" si="293"/>
        <v>Paid</v>
      </c>
    </row>
    <row r="3116" spans="1:32" ht="17.25" thickBot="1" x14ac:dyDescent="0.35">
      <c r="A3116" s="2" t="s">
        <v>18209</v>
      </c>
      <c r="B3116" s="2" t="s">
        <v>27</v>
      </c>
      <c r="C3116" s="2" t="s">
        <v>28</v>
      </c>
      <c r="D3116" s="2" t="s">
        <v>97</v>
      </c>
      <c r="E3116" s="2" t="s">
        <v>17562</v>
      </c>
      <c r="F3116" s="2" t="s">
        <v>31</v>
      </c>
      <c r="G3116" s="2" t="s">
        <v>32</v>
      </c>
      <c r="H3116" s="1"/>
      <c r="I3116" s="2" t="s">
        <v>33</v>
      </c>
      <c r="J3116" s="2" t="s">
        <v>34</v>
      </c>
      <c r="K3116" s="2" t="s">
        <v>16090</v>
      </c>
      <c r="L3116" s="2" t="s">
        <v>16091</v>
      </c>
      <c r="M3116" s="2" t="s">
        <v>772</v>
      </c>
      <c r="N3116" s="2" t="s">
        <v>38</v>
      </c>
      <c r="O3116" s="2" t="s">
        <v>3748</v>
      </c>
      <c r="P3116" s="2" t="s">
        <v>2124</v>
      </c>
      <c r="Q3116" s="2" t="s">
        <v>18210</v>
      </c>
      <c r="R3116" s="2" t="s">
        <v>40</v>
      </c>
      <c r="S3116" s="2" t="s">
        <v>18211</v>
      </c>
      <c r="T3116" s="2" t="s">
        <v>942</v>
      </c>
      <c r="U3116" s="2" t="s">
        <v>18212</v>
      </c>
      <c r="V3116" s="2" t="s">
        <v>18213</v>
      </c>
      <c r="W3116" s="1"/>
      <c r="X3116" s="2" t="s">
        <v>258</v>
      </c>
      <c r="Y3116" s="2" t="s">
        <v>17583</v>
      </c>
      <c r="AA3116" t="str">
        <f t="shared" si="288"/>
        <v>2025-07</v>
      </c>
      <c r="AB3116" t="str">
        <f t="shared" si="289"/>
        <v/>
      </c>
      <c r="AC3116">
        <f t="shared" si="290"/>
        <v>5926622.5899999999</v>
      </c>
      <c r="AD3116">
        <f t="shared" si="291"/>
        <v>484</v>
      </c>
      <c r="AE3116">
        <f t="shared" si="292"/>
        <v>1169386.5900000001</v>
      </c>
      <c r="AF3116" t="str">
        <f t="shared" si="293"/>
        <v>Paid</v>
      </c>
    </row>
    <row r="3117" spans="1:32" ht="17.25" thickBot="1" x14ac:dyDescent="0.35">
      <c r="A3117" s="2" t="s">
        <v>18214</v>
      </c>
      <c r="B3117" s="2" t="s">
        <v>27</v>
      </c>
      <c r="C3117" s="2" t="s">
        <v>28</v>
      </c>
      <c r="D3117" s="2" t="s">
        <v>97</v>
      </c>
      <c r="E3117" s="2" t="s">
        <v>17562</v>
      </c>
      <c r="F3117" s="2" t="s">
        <v>31</v>
      </c>
      <c r="G3117" s="2" t="s">
        <v>32</v>
      </c>
      <c r="H3117" s="1"/>
      <c r="I3117" s="2" t="s">
        <v>33</v>
      </c>
      <c r="J3117" s="2" t="s">
        <v>34</v>
      </c>
      <c r="K3117" s="2" t="s">
        <v>967</v>
      </c>
      <c r="L3117" s="2" t="s">
        <v>968</v>
      </c>
      <c r="M3117" s="2" t="s">
        <v>772</v>
      </c>
      <c r="N3117" s="2" t="s">
        <v>38</v>
      </c>
      <c r="O3117" s="2" t="s">
        <v>391</v>
      </c>
      <c r="P3117" s="2" t="s">
        <v>16101</v>
      </c>
      <c r="Q3117" s="2" t="s">
        <v>14585</v>
      </c>
      <c r="R3117" s="2" t="s">
        <v>40</v>
      </c>
      <c r="S3117" s="2" t="s">
        <v>18215</v>
      </c>
      <c r="T3117" s="2" t="s">
        <v>973</v>
      </c>
      <c r="U3117" s="2" t="s">
        <v>18216</v>
      </c>
      <c r="V3117" s="2" t="s">
        <v>18217</v>
      </c>
      <c r="W3117" s="1"/>
      <c r="X3117" s="2" t="s">
        <v>976</v>
      </c>
      <c r="Y3117" s="2" t="s">
        <v>17583</v>
      </c>
      <c r="AA3117" t="str">
        <f t="shared" si="288"/>
        <v>2025-07</v>
      </c>
      <c r="AB3117" t="str">
        <f t="shared" si="289"/>
        <v/>
      </c>
      <c r="AC3117">
        <f t="shared" si="290"/>
        <v>864642.24</v>
      </c>
      <c r="AD3117">
        <f t="shared" si="291"/>
        <v>60</v>
      </c>
      <c r="AE3117">
        <f t="shared" si="292"/>
        <v>174642.24</v>
      </c>
      <c r="AF3117" t="str">
        <f t="shared" si="293"/>
        <v>Paid</v>
      </c>
    </row>
    <row r="3118" spans="1:32" ht="17.25" thickBot="1" x14ac:dyDescent="0.35">
      <c r="A3118" s="2" t="s">
        <v>18218</v>
      </c>
      <c r="B3118" s="2" t="s">
        <v>27</v>
      </c>
      <c r="C3118" s="2" t="s">
        <v>28</v>
      </c>
      <c r="D3118" s="2" t="s">
        <v>97</v>
      </c>
      <c r="E3118" s="2" t="s">
        <v>17562</v>
      </c>
      <c r="F3118" s="2" t="s">
        <v>31</v>
      </c>
      <c r="G3118" s="2" t="s">
        <v>32</v>
      </c>
      <c r="H3118" s="1"/>
      <c r="I3118" s="2" t="s">
        <v>33</v>
      </c>
      <c r="J3118" s="2" t="s">
        <v>34</v>
      </c>
      <c r="K3118" s="2" t="s">
        <v>988</v>
      </c>
      <c r="L3118" s="2" t="s">
        <v>989</v>
      </c>
      <c r="M3118" s="2" t="s">
        <v>772</v>
      </c>
      <c r="N3118" s="2" t="s">
        <v>38</v>
      </c>
      <c r="O3118" s="2" t="s">
        <v>1113</v>
      </c>
      <c r="P3118" s="2" t="s">
        <v>7230</v>
      </c>
      <c r="Q3118" s="2" t="s">
        <v>18219</v>
      </c>
      <c r="R3118" s="2" t="s">
        <v>40</v>
      </c>
      <c r="S3118" s="2" t="s">
        <v>18220</v>
      </c>
      <c r="T3118" s="2" t="s">
        <v>994</v>
      </c>
      <c r="U3118" s="2" t="s">
        <v>18221</v>
      </c>
      <c r="V3118" s="2" t="s">
        <v>18222</v>
      </c>
      <c r="W3118" s="1"/>
      <c r="X3118" s="2" t="s">
        <v>3310</v>
      </c>
      <c r="Y3118" s="2" t="s">
        <v>17583</v>
      </c>
      <c r="AA3118" t="str">
        <f t="shared" si="288"/>
        <v>2025-07</v>
      </c>
      <c r="AB3118" t="str">
        <f t="shared" si="289"/>
        <v/>
      </c>
      <c r="AC3118">
        <f t="shared" si="290"/>
        <v>6951627.3600000003</v>
      </c>
      <c r="AD3118">
        <f t="shared" si="291"/>
        <v>540</v>
      </c>
      <c r="AE3118">
        <f t="shared" si="292"/>
        <v>1362627.36</v>
      </c>
      <c r="AF3118" t="str">
        <f t="shared" si="293"/>
        <v>Paid</v>
      </c>
    </row>
    <row r="3119" spans="1:32" ht="27.75" thickBot="1" x14ac:dyDescent="0.35">
      <c r="A3119" s="2" t="s">
        <v>18223</v>
      </c>
      <c r="B3119" s="2" t="s">
        <v>27</v>
      </c>
      <c r="C3119" s="2" t="s">
        <v>28</v>
      </c>
      <c r="D3119" s="2" t="s">
        <v>97</v>
      </c>
      <c r="E3119" s="2" t="s">
        <v>17562</v>
      </c>
      <c r="F3119" s="2" t="s">
        <v>31</v>
      </c>
      <c r="G3119" s="2" t="s">
        <v>32</v>
      </c>
      <c r="H3119" s="1"/>
      <c r="I3119" s="2" t="s">
        <v>33</v>
      </c>
      <c r="J3119" s="2" t="s">
        <v>34</v>
      </c>
      <c r="K3119" s="2" t="s">
        <v>3082</v>
      </c>
      <c r="L3119" s="2" t="s">
        <v>3083</v>
      </c>
      <c r="M3119" s="2" t="s">
        <v>3067</v>
      </c>
      <c r="N3119" s="2" t="s">
        <v>38</v>
      </c>
      <c r="O3119" s="2" t="s">
        <v>877</v>
      </c>
      <c r="P3119" s="2" t="s">
        <v>1498</v>
      </c>
      <c r="Q3119" s="2" t="s">
        <v>18224</v>
      </c>
      <c r="R3119" s="2" t="s">
        <v>40</v>
      </c>
      <c r="S3119" s="2" t="s">
        <v>18225</v>
      </c>
      <c r="T3119" s="2" t="s">
        <v>669</v>
      </c>
      <c r="U3119" s="2" t="s">
        <v>3303</v>
      </c>
      <c r="V3119" s="2" t="s">
        <v>18226</v>
      </c>
      <c r="W3119" s="1"/>
      <c r="X3119" s="2" t="s">
        <v>997</v>
      </c>
      <c r="Y3119" s="2" t="s">
        <v>17583</v>
      </c>
      <c r="AA3119" t="str">
        <f t="shared" si="288"/>
        <v>2025-07</v>
      </c>
      <c r="AB3119" t="str">
        <f t="shared" si="289"/>
        <v/>
      </c>
      <c r="AC3119">
        <f t="shared" si="290"/>
        <v>839510.4</v>
      </c>
      <c r="AD3119">
        <f t="shared" si="291"/>
        <v>100</v>
      </c>
      <c r="AE3119">
        <f t="shared" si="292"/>
        <v>239510.39999999999</v>
      </c>
      <c r="AF3119" t="str">
        <f t="shared" si="293"/>
        <v>Paid</v>
      </c>
    </row>
    <row r="3120" spans="1:32" ht="27.75" thickBot="1" x14ac:dyDescent="0.35">
      <c r="A3120" s="2" t="s">
        <v>18227</v>
      </c>
      <c r="B3120" s="2" t="s">
        <v>27</v>
      </c>
      <c r="C3120" s="2" t="s">
        <v>28</v>
      </c>
      <c r="D3120" s="2" t="s">
        <v>97</v>
      </c>
      <c r="E3120" s="2" t="s">
        <v>17562</v>
      </c>
      <c r="F3120" s="2" t="s">
        <v>31</v>
      </c>
      <c r="G3120" s="2" t="s">
        <v>32</v>
      </c>
      <c r="H3120" s="1"/>
      <c r="I3120" s="2" t="s">
        <v>33</v>
      </c>
      <c r="J3120" s="2" t="s">
        <v>34</v>
      </c>
      <c r="K3120" s="2" t="s">
        <v>13267</v>
      </c>
      <c r="L3120" s="2" t="s">
        <v>13268</v>
      </c>
      <c r="M3120" s="2" t="s">
        <v>3067</v>
      </c>
      <c r="N3120" s="2" t="s">
        <v>38</v>
      </c>
      <c r="O3120" s="2" t="s">
        <v>156</v>
      </c>
      <c r="P3120" s="2" t="s">
        <v>891</v>
      </c>
      <c r="Q3120" s="2" t="s">
        <v>18228</v>
      </c>
      <c r="R3120" s="2" t="s">
        <v>40</v>
      </c>
      <c r="S3120" s="2" t="s">
        <v>18229</v>
      </c>
      <c r="T3120" s="2" t="s">
        <v>297</v>
      </c>
      <c r="U3120" s="2" t="s">
        <v>15004</v>
      </c>
      <c r="V3120" s="2" t="s">
        <v>18230</v>
      </c>
      <c r="W3120" s="1"/>
      <c r="X3120" s="2" t="s">
        <v>18231</v>
      </c>
      <c r="Y3120" s="2" t="s">
        <v>17583</v>
      </c>
      <c r="AA3120" t="str">
        <f t="shared" si="288"/>
        <v>2025-07</v>
      </c>
      <c r="AB3120" t="str">
        <f t="shared" si="289"/>
        <v/>
      </c>
      <c r="AC3120">
        <f t="shared" si="290"/>
        <v>223512.95999999999</v>
      </c>
      <c r="AD3120">
        <f t="shared" si="291"/>
        <v>20</v>
      </c>
      <c r="AE3120">
        <f t="shared" si="292"/>
        <v>63512.959999999999</v>
      </c>
      <c r="AF3120" t="str">
        <f t="shared" si="293"/>
        <v>Paid</v>
      </c>
    </row>
    <row r="3121" spans="1:32" ht="17.25" thickBot="1" x14ac:dyDescent="0.35">
      <c r="A3121" s="2" t="s">
        <v>18232</v>
      </c>
      <c r="B3121" s="2" t="s">
        <v>27</v>
      </c>
      <c r="C3121" s="2" t="s">
        <v>28</v>
      </c>
      <c r="D3121" s="2" t="s">
        <v>97</v>
      </c>
      <c r="E3121" s="2" t="s">
        <v>17562</v>
      </c>
      <c r="F3121" s="2" t="s">
        <v>31</v>
      </c>
      <c r="G3121" s="2" t="s">
        <v>32</v>
      </c>
      <c r="H3121" s="1"/>
      <c r="I3121" s="2" t="s">
        <v>33</v>
      </c>
      <c r="J3121" s="2" t="s">
        <v>34</v>
      </c>
      <c r="K3121" s="2" t="s">
        <v>14197</v>
      </c>
      <c r="L3121" s="2" t="s">
        <v>14198</v>
      </c>
      <c r="M3121" s="2" t="s">
        <v>3067</v>
      </c>
      <c r="N3121" s="2" t="s">
        <v>38</v>
      </c>
      <c r="O3121" s="2" t="s">
        <v>156</v>
      </c>
      <c r="P3121" s="2" t="s">
        <v>13228</v>
      </c>
      <c r="Q3121" s="2" t="s">
        <v>12756</v>
      </c>
      <c r="R3121" s="2" t="s">
        <v>40</v>
      </c>
      <c r="S3121" s="2" t="s">
        <v>18233</v>
      </c>
      <c r="T3121" s="2" t="s">
        <v>2206</v>
      </c>
      <c r="U3121" s="2" t="s">
        <v>6653</v>
      </c>
      <c r="V3121" s="2" t="s">
        <v>18234</v>
      </c>
      <c r="W3121" s="1"/>
      <c r="X3121" s="2" t="s">
        <v>4393</v>
      </c>
      <c r="Y3121" s="2" t="s">
        <v>17583</v>
      </c>
      <c r="AA3121" t="str">
        <f t="shared" si="288"/>
        <v>2025-07</v>
      </c>
      <c r="AB3121" t="str">
        <f t="shared" si="289"/>
        <v/>
      </c>
      <c r="AC3121">
        <f t="shared" si="290"/>
        <v>204530.4</v>
      </c>
      <c r="AD3121">
        <f t="shared" si="291"/>
        <v>20</v>
      </c>
      <c r="AE3121">
        <f t="shared" si="292"/>
        <v>48530.400000000001</v>
      </c>
      <c r="AF3121" t="str">
        <f t="shared" si="293"/>
        <v>Paid</v>
      </c>
    </row>
    <row r="3122" spans="1:32" ht="27.75" thickBot="1" x14ac:dyDescent="0.35">
      <c r="A3122" s="2" t="s">
        <v>18235</v>
      </c>
      <c r="B3122" s="2" t="s">
        <v>27</v>
      </c>
      <c r="C3122" s="2" t="s">
        <v>28</v>
      </c>
      <c r="D3122" s="2" t="s">
        <v>97</v>
      </c>
      <c r="E3122" s="2" t="s">
        <v>17562</v>
      </c>
      <c r="F3122" s="2" t="s">
        <v>31</v>
      </c>
      <c r="G3122" s="2" t="s">
        <v>32</v>
      </c>
      <c r="H3122" s="1"/>
      <c r="I3122" s="2" t="s">
        <v>33</v>
      </c>
      <c r="J3122" s="2" t="s">
        <v>34</v>
      </c>
      <c r="K3122" s="2" t="s">
        <v>18236</v>
      </c>
      <c r="L3122" s="2" t="s">
        <v>18237</v>
      </c>
      <c r="M3122" s="2" t="s">
        <v>3067</v>
      </c>
      <c r="N3122" s="2" t="s">
        <v>38</v>
      </c>
      <c r="O3122" s="2" t="s">
        <v>156</v>
      </c>
      <c r="P3122" s="2" t="s">
        <v>17670</v>
      </c>
      <c r="Q3122" s="2" t="s">
        <v>18238</v>
      </c>
      <c r="R3122" s="2" t="s">
        <v>40</v>
      </c>
      <c r="S3122" s="2" t="s">
        <v>18239</v>
      </c>
      <c r="T3122" s="2" t="s">
        <v>3110</v>
      </c>
      <c r="U3122" s="2" t="s">
        <v>5407</v>
      </c>
      <c r="V3122" s="2" t="s">
        <v>18240</v>
      </c>
      <c r="W3122" s="1"/>
      <c r="X3122" s="2" t="s">
        <v>17964</v>
      </c>
      <c r="Y3122" s="2" t="s">
        <v>17583</v>
      </c>
      <c r="AA3122" t="str">
        <f t="shared" si="288"/>
        <v>2025-07</v>
      </c>
      <c r="AB3122" t="str">
        <f t="shared" si="289"/>
        <v/>
      </c>
      <c r="AC3122">
        <f t="shared" si="290"/>
        <v>123252.96</v>
      </c>
      <c r="AD3122">
        <f t="shared" si="291"/>
        <v>20</v>
      </c>
      <c r="AE3122">
        <f t="shared" si="292"/>
        <v>43252.959999999999</v>
      </c>
      <c r="AF3122" t="str">
        <f t="shared" si="293"/>
        <v>Paid</v>
      </c>
    </row>
    <row r="3123" spans="1:32" ht="17.25" thickBot="1" x14ac:dyDescent="0.35">
      <c r="A3123" s="2" t="s">
        <v>18241</v>
      </c>
      <c r="B3123" s="2" t="s">
        <v>27</v>
      </c>
      <c r="C3123" s="2" t="s">
        <v>28</v>
      </c>
      <c r="D3123" s="2" t="s">
        <v>97</v>
      </c>
      <c r="E3123" s="2" t="s">
        <v>17562</v>
      </c>
      <c r="F3123" s="2" t="s">
        <v>31</v>
      </c>
      <c r="G3123" s="2" t="s">
        <v>32</v>
      </c>
      <c r="H3123" s="1"/>
      <c r="I3123" s="2" t="s">
        <v>33</v>
      </c>
      <c r="J3123" s="2" t="s">
        <v>34</v>
      </c>
      <c r="K3123" s="2" t="s">
        <v>11681</v>
      </c>
      <c r="L3123" s="2" t="s">
        <v>11682</v>
      </c>
      <c r="M3123" s="2" t="s">
        <v>37</v>
      </c>
      <c r="N3123" s="2" t="s">
        <v>38</v>
      </c>
      <c r="O3123" s="2" t="s">
        <v>214</v>
      </c>
      <c r="P3123" s="2" t="s">
        <v>16144</v>
      </c>
      <c r="Q3123" s="2" t="s">
        <v>18242</v>
      </c>
      <c r="R3123" s="2" t="s">
        <v>40</v>
      </c>
      <c r="S3123" s="2" t="s">
        <v>18243</v>
      </c>
      <c r="T3123" s="2" t="s">
        <v>267</v>
      </c>
      <c r="U3123" s="2" t="s">
        <v>4497</v>
      </c>
      <c r="V3123" s="2" t="s">
        <v>18244</v>
      </c>
      <c r="W3123" s="1"/>
      <c r="X3123" s="2" t="s">
        <v>17168</v>
      </c>
      <c r="Y3123" s="2" t="s">
        <v>17583</v>
      </c>
      <c r="AA3123" t="str">
        <f t="shared" si="288"/>
        <v>2025-07</v>
      </c>
      <c r="AB3123" t="str">
        <f t="shared" si="289"/>
        <v/>
      </c>
      <c r="AC3123">
        <f t="shared" si="290"/>
        <v>516673.2</v>
      </c>
      <c r="AD3123">
        <f t="shared" si="291"/>
        <v>50</v>
      </c>
      <c r="AE3123">
        <f t="shared" si="292"/>
        <v>186673.2</v>
      </c>
      <c r="AF3123" t="str">
        <f t="shared" si="293"/>
        <v>Paid</v>
      </c>
    </row>
    <row r="3124" spans="1:32" ht="17.25" thickBot="1" x14ac:dyDescent="0.35">
      <c r="A3124" s="2" t="s">
        <v>18245</v>
      </c>
      <c r="B3124" s="2" t="s">
        <v>27</v>
      </c>
      <c r="C3124" s="2" t="s">
        <v>28</v>
      </c>
      <c r="D3124" s="2" t="s">
        <v>97</v>
      </c>
      <c r="E3124" s="2" t="s">
        <v>17562</v>
      </c>
      <c r="F3124" s="2" t="s">
        <v>31</v>
      </c>
      <c r="G3124" s="2" t="s">
        <v>32</v>
      </c>
      <c r="H3124" s="1"/>
      <c r="I3124" s="2" t="s">
        <v>33</v>
      </c>
      <c r="J3124" s="2" t="s">
        <v>34</v>
      </c>
      <c r="K3124" s="2" t="s">
        <v>1093</v>
      </c>
      <c r="L3124" s="2" t="s">
        <v>1094</v>
      </c>
      <c r="M3124" s="2" t="s">
        <v>37</v>
      </c>
      <c r="N3124" s="2" t="s">
        <v>38</v>
      </c>
      <c r="O3124" s="2" t="s">
        <v>1101</v>
      </c>
      <c r="P3124" s="2" t="s">
        <v>5817</v>
      </c>
      <c r="Q3124" s="2" t="s">
        <v>18246</v>
      </c>
      <c r="R3124" s="2" t="s">
        <v>40</v>
      </c>
      <c r="S3124" s="2" t="s">
        <v>18247</v>
      </c>
      <c r="T3124" s="2" t="s">
        <v>126</v>
      </c>
      <c r="U3124" s="2" t="s">
        <v>18248</v>
      </c>
      <c r="V3124" s="2" t="s">
        <v>18249</v>
      </c>
      <c r="W3124" s="1"/>
      <c r="X3124" s="2" t="s">
        <v>806</v>
      </c>
      <c r="Y3124" s="2" t="s">
        <v>17583</v>
      </c>
      <c r="AA3124" t="str">
        <f t="shared" si="288"/>
        <v>2025-07</v>
      </c>
      <c r="AB3124" t="str">
        <f t="shared" si="289"/>
        <v/>
      </c>
      <c r="AC3124">
        <f t="shared" si="290"/>
        <v>1040819.11</v>
      </c>
      <c r="AD3124">
        <f t="shared" si="291"/>
        <v>123</v>
      </c>
      <c r="AE3124">
        <f t="shared" si="292"/>
        <v>265919.11</v>
      </c>
      <c r="AF3124" t="str">
        <f t="shared" si="293"/>
        <v>Paid</v>
      </c>
    </row>
    <row r="3125" spans="1:32" ht="17.25" thickBot="1" x14ac:dyDescent="0.35">
      <c r="A3125" s="2" t="s">
        <v>18250</v>
      </c>
      <c r="B3125" s="2" t="s">
        <v>27</v>
      </c>
      <c r="C3125" s="2" t="s">
        <v>28</v>
      </c>
      <c r="D3125" s="2" t="s">
        <v>97</v>
      </c>
      <c r="E3125" s="2" t="s">
        <v>17562</v>
      </c>
      <c r="F3125" s="2" t="s">
        <v>31</v>
      </c>
      <c r="G3125" s="2" t="s">
        <v>32</v>
      </c>
      <c r="H3125" s="1"/>
      <c r="I3125" s="2" t="s">
        <v>33</v>
      </c>
      <c r="J3125" s="2" t="s">
        <v>34</v>
      </c>
      <c r="K3125" s="2" t="s">
        <v>1093</v>
      </c>
      <c r="L3125" s="2" t="s">
        <v>1094</v>
      </c>
      <c r="M3125" s="2" t="s">
        <v>37</v>
      </c>
      <c r="N3125" s="2" t="s">
        <v>38</v>
      </c>
      <c r="O3125" s="2" t="s">
        <v>662</v>
      </c>
      <c r="P3125" s="2" t="s">
        <v>5817</v>
      </c>
      <c r="Q3125" s="2" t="s">
        <v>18251</v>
      </c>
      <c r="R3125" s="2" t="s">
        <v>40</v>
      </c>
      <c r="S3125" s="2" t="s">
        <v>18252</v>
      </c>
      <c r="T3125" s="2" t="s">
        <v>107</v>
      </c>
      <c r="U3125" s="2" t="s">
        <v>18253</v>
      </c>
      <c r="V3125" s="2" t="s">
        <v>18254</v>
      </c>
      <c r="W3125" s="1"/>
      <c r="X3125" s="2" t="s">
        <v>4573</v>
      </c>
      <c r="Y3125" s="2" t="s">
        <v>17583</v>
      </c>
      <c r="AA3125" t="str">
        <f t="shared" si="288"/>
        <v>2025-07</v>
      </c>
      <c r="AB3125" t="str">
        <f t="shared" si="289"/>
        <v/>
      </c>
      <c r="AC3125">
        <f t="shared" si="290"/>
        <v>651569.68999999994</v>
      </c>
      <c r="AD3125">
        <f t="shared" si="291"/>
        <v>77</v>
      </c>
      <c r="AE3125">
        <f t="shared" si="292"/>
        <v>220369.69</v>
      </c>
      <c r="AF3125" t="str">
        <f t="shared" si="293"/>
        <v>Paid</v>
      </c>
    </row>
    <row r="3126" spans="1:32" ht="17.25" thickBot="1" x14ac:dyDescent="0.35">
      <c r="A3126" s="2" t="s">
        <v>18255</v>
      </c>
      <c r="B3126" s="2" t="s">
        <v>27</v>
      </c>
      <c r="C3126" s="2" t="s">
        <v>28</v>
      </c>
      <c r="D3126" s="2" t="s">
        <v>97</v>
      </c>
      <c r="E3126" s="2" t="s">
        <v>17562</v>
      </c>
      <c r="F3126" s="2" t="s">
        <v>31</v>
      </c>
      <c r="G3126" s="2" t="s">
        <v>32</v>
      </c>
      <c r="H3126" s="1"/>
      <c r="I3126" s="2" t="s">
        <v>33</v>
      </c>
      <c r="J3126" s="2" t="s">
        <v>34</v>
      </c>
      <c r="K3126" s="2" t="s">
        <v>1111</v>
      </c>
      <c r="L3126" s="2" t="s">
        <v>1112</v>
      </c>
      <c r="M3126" s="2" t="s">
        <v>37</v>
      </c>
      <c r="N3126" s="2" t="s">
        <v>38</v>
      </c>
      <c r="O3126" s="2" t="s">
        <v>877</v>
      </c>
      <c r="P3126" s="2" t="s">
        <v>16132</v>
      </c>
      <c r="Q3126" s="2" t="s">
        <v>18256</v>
      </c>
      <c r="R3126" s="2" t="s">
        <v>40</v>
      </c>
      <c r="S3126" s="2" t="s">
        <v>18257</v>
      </c>
      <c r="T3126" s="2" t="s">
        <v>1117</v>
      </c>
      <c r="U3126" s="2" t="s">
        <v>1729</v>
      </c>
      <c r="V3126" s="2" t="s">
        <v>18258</v>
      </c>
      <c r="W3126" s="1"/>
      <c r="X3126" s="2" t="s">
        <v>1764</v>
      </c>
      <c r="Y3126" s="2" t="s">
        <v>17583</v>
      </c>
      <c r="AA3126" t="str">
        <f t="shared" si="288"/>
        <v>2025-07</v>
      </c>
      <c r="AB3126" t="str">
        <f t="shared" si="289"/>
        <v/>
      </c>
      <c r="AC3126">
        <f t="shared" si="290"/>
        <v>422428.8</v>
      </c>
      <c r="AD3126">
        <f t="shared" si="291"/>
        <v>100</v>
      </c>
      <c r="AE3126">
        <f t="shared" si="292"/>
        <v>107428.8</v>
      </c>
      <c r="AF3126" t="str">
        <f t="shared" si="293"/>
        <v>Paid</v>
      </c>
    </row>
    <row r="3127" spans="1:32" ht="17.25" thickBot="1" x14ac:dyDescent="0.35">
      <c r="A3127" s="2" t="s">
        <v>18259</v>
      </c>
      <c r="B3127" s="2" t="s">
        <v>27</v>
      </c>
      <c r="C3127" s="2" t="s">
        <v>28</v>
      </c>
      <c r="D3127" s="2" t="s">
        <v>97</v>
      </c>
      <c r="E3127" s="2" t="s">
        <v>17562</v>
      </c>
      <c r="F3127" s="2" t="s">
        <v>31</v>
      </c>
      <c r="G3127" s="2" t="s">
        <v>32</v>
      </c>
      <c r="H3127" s="1"/>
      <c r="I3127" s="2" t="s">
        <v>33</v>
      </c>
      <c r="J3127" s="2" t="s">
        <v>34</v>
      </c>
      <c r="K3127" s="2" t="s">
        <v>1122</v>
      </c>
      <c r="L3127" s="2" t="s">
        <v>1123</v>
      </c>
      <c r="M3127" s="2" t="s">
        <v>37</v>
      </c>
      <c r="N3127" s="2" t="s">
        <v>38</v>
      </c>
      <c r="O3127" s="2" t="s">
        <v>351</v>
      </c>
      <c r="P3127" s="2" t="s">
        <v>7206</v>
      </c>
      <c r="Q3127" s="2" t="s">
        <v>18260</v>
      </c>
      <c r="R3127" s="2" t="s">
        <v>40</v>
      </c>
      <c r="S3127" s="2" t="s">
        <v>18261</v>
      </c>
      <c r="T3127" s="2" t="s">
        <v>2275</v>
      </c>
      <c r="U3127" s="2" t="s">
        <v>10220</v>
      </c>
      <c r="V3127" s="2" t="s">
        <v>18262</v>
      </c>
      <c r="W3127" s="1"/>
      <c r="X3127" s="2" t="s">
        <v>17168</v>
      </c>
      <c r="Y3127" s="2" t="s">
        <v>17583</v>
      </c>
      <c r="AA3127" t="str">
        <f t="shared" si="288"/>
        <v>2025-07</v>
      </c>
      <c r="AB3127" t="str">
        <f t="shared" si="289"/>
        <v/>
      </c>
      <c r="AC3127">
        <f t="shared" si="290"/>
        <v>295887.31</v>
      </c>
      <c r="AD3127">
        <f t="shared" si="291"/>
        <v>42</v>
      </c>
      <c r="AE3127">
        <f t="shared" si="292"/>
        <v>106887.31</v>
      </c>
      <c r="AF3127" t="str">
        <f t="shared" si="293"/>
        <v>Paid</v>
      </c>
    </row>
    <row r="3128" spans="1:32" ht="17.25" thickBot="1" x14ac:dyDescent="0.35">
      <c r="A3128" s="2" t="s">
        <v>18263</v>
      </c>
      <c r="B3128" s="2" t="s">
        <v>27</v>
      </c>
      <c r="C3128" s="2" t="s">
        <v>28</v>
      </c>
      <c r="D3128" s="2" t="s">
        <v>97</v>
      </c>
      <c r="E3128" s="2" t="s">
        <v>17562</v>
      </c>
      <c r="F3128" s="2" t="s">
        <v>31</v>
      </c>
      <c r="G3128" s="2" t="s">
        <v>32</v>
      </c>
      <c r="H3128" s="1"/>
      <c r="I3128" s="2" t="s">
        <v>33</v>
      </c>
      <c r="J3128" s="2" t="s">
        <v>34</v>
      </c>
      <c r="K3128" s="2" t="s">
        <v>1122</v>
      </c>
      <c r="L3128" s="2" t="s">
        <v>1123</v>
      </c>
      <c r="M3128" s="2" t="s">
        <v>37</v>
      </c>
      <c r="N3128" s="2" t="s">
        <v>38</v>
      </c>
      <c r="O3128" s="2" t="s">
        <v>956</v>
      </c>
      <c r="P3128" s="2" t="s">
        <v>7206</v>
      </c>
      <c r="Q3128" s="2" t="s">
        <v>18264</v>
      </c>
      <c r="R3128" s="2" t="s">
        <v>40</v>
      </c>
      <c r="S3128" s="2" t="s">
        <v>18265</v>
      </c>
      <c r="T3128" s="2" t="s">
        <v>107</v>
      </c>
      <c r="U3128" s="2" t="s">
        <v>11733</v>
      </c>
      <c r="V3128" s="2" t="s">
        <v>18266</v>
      </c>
      <c r="W3128" s="1"/>
      <c r="X3128" s="2" t="s">
        <v>2797</v>
      </c>
      <c r="Y3128" s="2" t="s">
        <v>17583</v>
      </c>
      <c r="AA3128" t="str">
        <f t="shared" si="288"/>
        <v>2025-07</v>
      </c>
      <c r="AB3128" t="str">
        <f t="shared" si="289"/>
        <v/>
      </c>
      <c r="AC3128">
        <f t="shared" si="290"/>
        <v>760853.09</v>
      </c>
      <c r="AD3128">
        <f t="shared" si="291"/>
        <v>108</v>
      </c>
      <c r="AE3128">
        <f t="shared" si="292"/>
        <v>156053.09</v>
      </c>
      <c r="AF3128" t="str">
        <f t="shared" si="293"/>
        <v>Paid</v>
      </c>
    </row>
    <row r="3129" spans="1:32" ht="17.25" thickBot="1" x14ac:dyDescent="0.35">
      <c r="A3129" s="2" t="s">
        <v>18267</v>
      </c>
      <c r="B3129" s="2" t="s">
        <v>27</v>
      </c>
      <c r="C3129" s="2" t="s">
        <v>28</v>
      </c>
      <c r="D3129" s="2" t="s">
        <v>97</v>
      </c>
      <c r="E3129" s="2" t="s">
        <v>17562</v>
      </c>
      <c r="F3129" s="2" t="s">
        <v>31</v>
      </c>
      <c r="G3129" s="2" t="s">
        <v>32</v>
      </c>
      <c r="H3129" s="1"/>
      <c r="I3129" s="2" t="s">
        <v>33</v>
      </c>
      <c r="J3129" s="2" t="s">
        <v>34</v>
      </c>
      <c r="K3129" s="2" t="s">
        <v>1148</v>
      </c>
      <c r="L3129" s="2" t="s">
        <v>1149</v>
      </c>
      <c r="M3129" s="2" t="s">
        <v>37</v>
      </c>
      <c r="N3129" s="2" t="s">
        <v>38</v>
      </c>
      <c r="O3129" s="2" t="s">
        <v>877</v>
      </c>
      <c r="P3129" s="2" t="s">
        <v>8619</v>
      </c>
      <c r="Q3129" s="2" t="s">
        <v>18268</v>
      </c>
      <c r="R3129" s="2" t="s">
        <v>40</v>
      </c>
      <c r="S3129" s="2" t="s">
        <v>18269</v>
      </c>
      <c r="T3129" s="2" t="s">
        <v>107</v>
      </c>
      <c r="U3129" s="2" t="s">
        <v>14315</v>
      </c>
      <c r="V3129" s="2" t="s">
        <v>18270</v>
      </c>
      <c r="W3129" s="1"/>
      <c r="X3129" s="2" t="s">
        <v>965</v>
      </c>
      <c r="Y3129" s="2" t="s">
        <v>17583</v>
      </c>
      <c r="AA3129" t="str">
        <f t="shared" si="288"/>
        <v>2025-07</v>
      </c>
      <c r="AB3129" t="str">
        <f t="shared" si="289"/>
        <v/>
      </c>
      <c r="AC3129">
        <f t="shared" si="290"/>
        <v>752618.4</v>
      </c>
      <c r="AD3129">
        <f t="shared" si="291"/>
        <v>100</v>
      </c>
      <c r="AE3129">
        <f t="shared" si="292"/>
        <v>192618.4</v>
      </c>
      <c r="AF3129" t="str">
        <f t="shared" si="293"/>
        <v>Paid</v>
      </c>
    </row>
    <row r="3130" spans="1:32" ht="17.25" thickBot="1" x14ac:dyDescent="0.35">
      <c r="A3130" s="2" t="s">
        <v>18271</v>
      </c>
      <c r="B3130" s="2" t="s">
        <v>27</v>
      </c>
      <c r="C3130" s="2" t="s">
        <v>28</v>
      </c>
      <c r="D3130" s="2" t="s">
        <v>97</v>
      </c>
      <c r="E3130" s="2" t="s">
        <v>17562</v>
      </c>
      <c r="F3130" s="2" t="s">
        <v>31</v>
      </c>
      <c r="G3130" s="2" t="s">
        <v>32</v>
      </c>
      <c r="H3130" s="1"/>
      <c r="I3130" s="2" t="s">
        <v>33</v>
      </c>
      <c r="J3130" s="2" t="s">
        <v>34</v>
      </c>
      <c r="K3130" s="2" t="s">
        <v>6499</v>
      </c>
      <c r="L3130" s="2" t="s">
        <v>6500</v>
      </c>
      <c r="M3130" s="2" t="s">
        <v>37</v>
      </c>
      <c r="N3130" s="2" t="s">
        <v>38</v>
      </c>
      <c r="O3130" s="2" t="s">
        <v>877</v>
      </c>
      <c r="P3130" s="2" t="s">
        <v>16144</v>
      </c>
      <c r="Q3130" s="2" t="s">
        <v>18272</v>
      </c>
      <c r="R3130" s="2" t="s">
        <v>40</v>
      </c>
      <c r="S3130" s="2" t="s">
        <v>18273</v>
      </c>
      <c r="T3130" s="2" t="s">
        <v>1178</v>
      </c>
      <c r="U3130" s="2" t="s">
        <v>18274</v>
      </c>
      <c r="V3130" s="2" t="s">
        <v>18275</v>
      </c>
      <c r="W3130" s="1"/>
      <c r="X3130" s="2" t="s">
        <v>806</v>
      </c>
      <c r="Y3130" s="2" t="s">
        <v>17583</v>
      </c>
      <c r="AA3130" t="str">
        <f t="shared" si="288"/>
        <v>2025-07</v>
      </c>
      <c r="AB3130" t="str">
        <f t="shared" si="289"/>
        <v/>
      </c>
      <c r="AC3130">
        <f t="shared" si="290"/>
        <v>1033346.4</v>
      </c>
      <c r="AD3130">
        <f t="shared" si="291"/>
        <v>100</v>
      </c>
      <c r="AE3130">
        <f t="shared" si="292"/>
        <v>263346.40000000002</v>
      </c>
      <c r="AF3130" t="str">
        <f t="shared" si="293"/>
        <v>Paid</v>
      </c>
    </row>
    <row r="3131" spans="1:32" ht="17.25" thickBot="1" x14ac:dyDescent="0.35">
      <c r="A3131" s="2" t="s">
        <v>18276</v>
      </c>
      <c r="B3131" s="2" t="s">
        <v>27</v>
      </c>
      <c r="C3131" s="2" t="s">
        <v>28</v>
      </c>
      <c r="D3131" s="2" t="s">
        <v>97</v>
      </c>
      <c r="E3131" s="2" t="s">
        <v>17562</v>
      </c>
      <c r="F3131" s="2" t="s">
        <v>31</v>
      </c>
      <c r="G3131" s="2" t="s">
        <v>32</v>
      </c>
      <c r="H3131" s="1"/>
      <c r="I3131" s="2" t="s">
        <v>33</v>
      </c>
      <c r="J3131" s="2" t="s">
        <v>34</v>
      </c>
      <c r="K3131" s="2" t="s">
        <v>18277</v>
      </c>
      <c r="L3131" s="2" t="s">
        <v>18278</v>
      </c>
      <c r="M3131" s="2" t="s">
        <v>37</v>
      </c>
      <c r="N3131" s="2" t="s">
        <v>38</v>
      </c>
      <c r="O3131" s="2" t="s">
        <v>378</v>
      </c>
      <c r="P3131" s="2" t="s">
        <v>16144</v>
      </c>
      <c r="Q3131" s="2" t="s">
        <v>18279</v>
      </c>
      <c r="R3131" s="2" t="s">
        <v>40</v>
      </c>
      <c r="S3131" s="2" t="s">
        <v>18280</v>
      </c>
      <c r="T3131" s="2" t="s">
        <v>18281</v>
      </c>
      <c r="U3131" s="2" t="s">
        <v>18282</v>
      </c>
      <c r="V3131" s="2" t="s">
        <v>18283</v>
      </c>
      <c r="W3131" s="1"/>
      <c r="X3131" s="2" t="s">
        <v>1893</v>
      </c>
      <c r="Y3131" s="2" t="s">
        <v>17583</v>
      </c>
      <c r="AA3131" t="str">
        <f t="shared" si="288"/>
        <v>2025-07</v>
      </c>
      <c r="AB3131" t="str">
        <f t="shared" si="289"/>
        <v/>
      </c>
      <c r="AC3131">
        <f t="shared" si="290"/>
        <v>465005.88</v>
      </c>
      <c r="AD3131">
        <f t="shared" si="291"/>
        <v>45</v>
      </c>
      <c r="AE3131">
        <f t="shared" si="292"/>
        <v>120905.88</v>
      </c>
      <c r="AF3131" t="str">
        <f t="shared" si="293"/>
        <v>Paid</v>
      </c>
    </row>
    <row r="3132" spans="1:32" ht="17.25" thickBot="1" x14ac:dyDescent="0.35">
      <c r="A3132" s="2" t="s">
        <v>18284</v>
      </c>
      <c r="B3132" s="2" t="s">
        <v>27</v>
      </c>
      <c r="C3132" s="2" t="s">
        <v>28</v>
      </c>
      <c r="D3132" s="2" t="s">
        <v>97</v>
      </c>
      <c r="E3132" s="2" t="s">
        <v>17562</v>
      </c>
      <c r="F3132" s="2" t="s">
        <v>31</v>
      </c>
      <c r="G3132" s="2" t="s">
        <v>32</v>
      </c>
      <c r="H3132" s="1"/>
      <c r="I3132" s="2" t="s">
        <v>33</v>
      </c>
      <c r="J3132" s="2" t="s">
        <v>34</v>
      </c>
      <c r="K3132" s="2" t="s">
        <v>17379</v>
      </c>
      <c r="L3132" s="2" t="s">
        <v>17380</v>
      </c>
      <c r="M3132" s="2" t="s">
        <v>37</v>
      </c>
      <c r="N3132" s="2" t="s">
        <v>38</v>
      </c>
      <c r="O3132" s="2" t="s">
        <v>79</v>
      </c>
      <c r="P3132" s="2" t="s">
        <v>8619</v>
      </c>
      <c r="Q3132" s="2" t="s">
        <v>8620</v>
      </c>
      <c r="R3132" s="2" t="s">
        <v>40</v>
      </c>
      <c r="S3132" s="2" t="s">
        <v>18285</v>
      </c>
      <c r="T3132" s="2" t="s">
        <v>107</v>
      </c>
      <c r="U3132" s="2" t="s">
        <v>13292</v>
      </c>
      <c r="V3132" s="2" t="s">
        <v>18286</v>
      </c>
      <c r="W3132" s="1"/>
      <c r="X3132" s="2" t="s">
        <v>965</v>
      </c>
      <c r="Y3132" s="2" t="s">
        <v>17583</v>
      </c>
      <c r="AA3132" t="str">
        <f t="shared" si="288"/>
        <v>2025-07</v>
      </c>
      <c r="AB3132" t="str">
        <f t="shared" si="289"/>
        <v/>
      </c>
      <c r="AC3132">
        <f t="shared" si="290"/>
        <v>75261.84</v>
      </c>
      <c r="AD3132">
        <f t="shared" si="291"/>
        <v>10</v>
      </c>
      <c r="AE3132">
        <f t="shared" si="292"/>
        <v>19261.84</v>
      </c>
      <c r="AF3132" t="str">
        <f t="shared" si="293"/>
        <v>Paid</v>
      </c>
    </row>
    <row r="3133" spans="1:32" ht="27.75" thickBot="1" x14ac:dyDescent="0.35">
      <c r="A3133" s="2" t="s">
        <v>18287</v>
      </c>
      <c r="B3133" s="2" t="s">
        <v>27</v>
      </c>
      <c r="C3133" s="2" t="s">
        <v>28</v>
      </c>
      <c r="D3133" s="2" t="s">
        <v>97</v>
      </c>
      <c r="E3133" s="2" t="s">
        <v>17562</v>
      </c>
      <c r="F3133" s="2" t="s">
        <v>31</v>
      </c>
      <c r="G3133" s="2" t="s">
        <v>32</v>
      </c>
      <c r="H3133" s="1"/>
      <c r="I3133" s="2" t="s">
        <v>33</v>
      </c>
      <c r="J3133" s="2" t="s">
        <v>34</v>
      </c>
      <c r="K3133" s="2" t="s">
        <v>16150</v>
      </c>
      <c r="L3133" s="2" t="s">
        <v>16151</v>
      </c>
      <c r="M3133" s="2" t="s">
        <v>37</v>
      </c>
      <c r="N3133" s="2" t="s">
        <v>38</v>
      </c>
      <c r="O3133" s="2" t="s">
        <v>1333</v>
      </c>
      <c r="P3133" s="2" t="s">
        <v>16152</v>
      </c>
      <c r="Q3133" s="2" t="s">
        <v>17451</v>
      </c>
      <c r="R3133" s="2" t="s">
        <v>40</v>
      </c>
      <c r="S3133" s="2" t="s">
        <v>18288</v>
      </c>
      <c r="T3133" s="2" t="s">
        <v>9876</v>
      </c>
      <c r="U3133" s="2" t="s">
        <v>10220</v>
      </c>
      <c r="V3133" s="2" t="s">
        <v>18289</v>
      </c>
      <c r="W3133" s="1"/>
      <c r="X3133" s="2" t="s">
        <v>1006</v>
      </c>
      <c r="Y3133" s="2" t="s">
        <v>17583</v>
      </c>
      <c r="AA3133" t="str">
        <f t="shared" si="288"/>
        <v>2025-07</v>
      </c>
      <c r="AB3133" t="str">
        <f t="shared" si="289"/>
        <v/>
      </c>
      <c r="AC3133">
        <f t="shared" si="290"/>
        <v>254660.4</v>
      </c>
      <c r="AD3133">
        <f t="shared" si="291"/>
        <v>150</v>
      </c>
      <c r="AE3133">
        <f t="shared" si="292"/>
        <v>65660.399999999994</v>
      </c>
      <c r="AF3133" t="str">
        <f t="shared" si="293"/>
        <v>Paid</v>
      </c>
    </row>
    <row r="3134" spans="1:32" ht="17.25" thickBot="1" x14ac:dyDescent="0.35">
      <c r="A3134" s="2" t="s">
        <v>18290</v>
      </c>
      <c r="B3134" s="2" t="s">
        <v>27</v>
      </c>
      <c r="C3134" s="2" t="s">
        <v>28</v>
      </c>
      <c r="D3134" s="2" t="s">
        <v>97</v>
      </c>
      <c r="E3134" s="2" t="s">
        <v>17562</v>
      </c>
      <c r="F3134" s="2" t="s">
        <v>31</v>
      </c>
      <c r="G3134" s="2" t="s">
        <v>32</v>
      </c>
      <c r="H3134" s="1"/>
      <c r="I3134" s="2" t="s">
        <v>33</v>
      </c>
      <c r="J3134" s="2" t="s">
        <v>34</v>
      </c>
      <c r="K3134" s="2" t="s">
        <v>16159</v>
      </c>
      <c r="L3134" s="2" t="s">
        <v>16160</v>
      </c>
      <c r="M3134" s="2" t="s">
        <v>37</v>
      </c>
      <c r="N3134" s="2" t="s">
        <v>38</v>
      </c>
      <c r="O3134" s="2" t="s">
        <v>877</v>
      </c>
      <c r="P3134" s="2" t="s">
        <v>6905</v>
      </c>
      <c r="Q3134" s="2" t="s">
        <v>18291</v>
      </c>
      <c r="R3134" s="2" t="s">
        <v>40</v>
      </c>
      <c r="S3134" s="2" t="s">
        <v>18292</v>
      </c>
      <c r="T3134" s="2" t="s">
        <v>3079</v>
      </c>
      <c r="U3134" s="2" t="s">
        <v>15946</v>
      </c>
      <c r="V3134" s="2" t="s">
        <v>18293</v>
      </c>
      <c r="W3134" s="1"/>
      <c r="X3134" s="2" t="s">
        <v>5565</v>
      </c>
      <c r="Y3134" s="2" t="s">
        <v>17583</v>
      </c>
      <c r="AA3134" t="str">
        <f t="shared" si="288"/>
        <v>2025-07</v>
      </c>
      <c r="AB3134" t="str">
        <f t="shared" si="289"/>
        <v/>
      </c>
      <c r="AC3134">
        <f t="shared" si="290"/>
        <v>939770.4</v>
      </c>
      <c r="AD3134">
        <f t="shared" si="291"/>
        <v>100</v>
      </c>
      <c r="AE3134">
        <f t="shared" si="292"/>
        <v>359770.4</v>
      </c>
      <c r="AF3134" t="str">
        <f t="shared" si="293"/>
        <v>Paid</v>
      </c>
    </row>
    <row r="3135" spans="1:32" ht="17.25" thickBot="1" x14ac:dyDescent="0.35">
      <c r="A3135" s="2" t="s">
        <v>18294</v>
      </c>
      <c r="B3135" s="2" t="s">
        <v>27</v>
      </c>
      <c r="C3135" s="2" t="s">
        <v>28</v>
      </c>
      <c r="D3135" s="2" t="s">
        <v>97</v>
      </c>
      <c r="E3135" s="2" t="s">
        <v>17562</v>
      </c>
      <c r="F3135" s="2" t="s">
        <v>31</v>
      </c>
      <c r="G3135" s="2" t="s">
        <v>32</v>
      </c>
      <c r="H3135" s="1"/>
      <c r="I3135" s="2" t="s">
        <v>33</v>
      </c>
      <c r="J3135" s="2" t="s">
        <v>34</v>
      </c>
      <c r="K3135" s="2" t="s">
        <v>4657</v>
      </c>
      <c r="L3135" s="2" t="s">
        <v>4658</v>
      </c>
      <c r="M3135" s="2" t="s">
        <v>37</v>
      </c>
      <c r="N3135" s="2" t="s">
        <v>38</v>
      </c>
      <c r="O3135" s="2" t="s">
        <v>156</v>
      </c>
      <c r="P3135" s="2" t="s">
        <v>6905</v>
      </c>
      <c r="Q3135" s="2" t="s">
        <v>18295</v>
      </c>
      <c r="R3135" s="2" t="s">
        <v>40</v>
      </c>
      <c r="S3135" s="2" t="s">
        <v>18296</v>
      </c>
      <c r="T3135" s="2" t="s">
        <v>287</v>
      </c>
      <c r="U3135" s="2" t="s">
        <v>13319</v>
      </c>
      <c r="V3135" s="2" t="s">
        <v>18297</v>
      </c>
      <c r="W3135" s="1"/>
      <c r="X3135" s="2" t="s">
        <v>806</v>
      </c>
      <c r="Y3135" s="2" t="s">
        <v>17583</v>
      </c>
      <c r="AA3135" t="str">
        <f t="shared" si="288"/>
        <v>2025-07</v>
      </c>
      <c r="AB3135" t="str">
        <f t="shared" si="289"/>
        <v/>
      </c>
      <c r="AC3135">
        <f t="shared" si="290"/>
        <v>187954.08</v>
      </c>
      <c r="AD3135">
        <f t="shared" si="291"/>
        <v>20</v>
      </c>
      <c r="AE3135">
        <f t="shared" si="292"/>
        <v>47954.080000000002</v>
      </c>
      <c r="AF3135" t="str">
        <f t="shared" si="293"/>
        <v>Paid</v>
      </c>
    </row>
    <row r="3136" spans="1:32" ht="17.25" thickBot="1" x14ac:dyDescent="0.35">
      <c r="A3136" s="2" t="s">
        <v>18298</v>
      </c>
      <c r="B3136" s="2" t="s">
        <v>27</v>
      </c>
      <c r="C3136" s="2" t="s">
        <v>28</v>
      </c>
      <c r="D3136" s="2" t="s">
        <v>97</v>
      </c>
      <c r="E3136" s="2" t="s">
        <v>17562</v>
      </c>
      <c r="F3136" s="2" t="s">
        <v>31</v>
      </c>
      <c r="G3136" s="2" t="s">
        <v>32</v>
      </c>
      <c r="H3136" s="1"/>
      <c r="I3136" s="2" t="s">
        <v>33</v>
      </c>
      <c r="J3136" s="2" t="s">
        <v>34</v>
      </c>
      <c r="K3136" s="2" t="s">
        <v>14614</v>
      </c>
      <c r="L3136" s="2" t="s">
        <v>14615</v>
      </c>
      <c r="M3136" s="2" t="s">
        <v>37</v>
      </c>
      <c r="N3136" s="2" t="s">
        <v>38</v>
      </c>
      <c r="O3136" s="2" t="s">
        <v>214</v>
      </c>
      <c r="P3136" s="2" t="s">
        <v>18299</v>
      </c>
      <c r="Q3136" s="2" t="s">
        <v>18300</v>
      </c>
      <c r="R3136" s="2" t="s">
        <v>40</v>
      </c>
      <c r="S3136" s="2" t="s">
        <v>18301</v>
      </c>
      <c r="T3136" s="2" t="s">
        <v>4667</v>
      </c>
      <c r="U3136" s="2" t="s">
        <v>18302</v>
      </c>
      <c r="V3136" s="2" t="s">
        <v>18303</v>
      </c>
      <c r="W3136" s="1"/>
      <c r="X3136" s="2" t="s">
        <v>806</v>
      </c>
      <c r="Y3136" s="2" t="s">
        <v>17583</v>
      </c>
      <c r="AA3136" t="str">
        <f t="shared" si="288"/>
        <v>2025-07</v>
      </c>
      <c r="AB3136" t="str">
        <f t="shared" si="289"/>
        <v/>
      </c>
      <c r="AC3136">
        <f t="shared" si="290"/>
        <v>446491.2</v>
      </c>
      <c r="AD3136">
        <f t="shared" si="291"/>
        <v>50</v>
      </c>
      <c r="AE3136">
        <f t="shared" si="292"/>
        <v>113991.2</v>
      </c>
      <c r="AF3136" t="str">
        <f t="shared" si="293"/>
        <v>Paid</v>
      </c>
    </row>
    <row r="3137" spans="1:32" ht="17.25" thickBot="1" x14ac:dyDescent="0.35">
      <c r="A3137" s="2" t="s">
        <v>18304</v>
      </c>
      <c r="B3137" s="2" t="s">
        <v>27</v>
      </c>
      <c r="C3137" s="2" t="s">
        <v>28</v>
      </c>
      <c r="D3137" s="2" t="s">
        <v>97</v>
      </c>
      <c r="E3137" s="2" t="s">
        <v>17562</v>
      </c>
      <c r="F3137" s="2" t="s">
        <v>31</v>
      </c>
      <c r="G3137" s="2" t="s">
        <v>32</v>
      </c>
      <c r="H3137" s="1"/>
      <c r="I3137" s="2" t="s">
        <v>33</v>
      </c>
      <c r="J3137" s="2" t="s">
        <v>34</v>
      </c>
      <c r="K3137" s="2" t="s">
        <v>1164</v>
      </c>
      <c r="L3137" s="2" t="s">
        <v>1165</v>
      </c>
      <c r="M3137" s="2" t="s">
        <v>37</v>
      </c>
      <c r="N3137" s="2" t="s">
        <v>38</v>
      </c>
      <c r="O3137" s="2" t="s">
        <v>773</v>
      </c>
      <c r="P3137" s="2" t="s">
        <v>5817</v>
      </c>
      <c r="Q3137" s="2" t="s">
        <v>18305</v>
      </c>
      <c r="R3137" s="2" t="s">
        <v>40</v>
      </c>
      <c r="S3137" s="2" t="s">
        <v>18306</v>
      </c>
      <c r="T3137" s="2" t="s">
        <v>1168</v>
      </c>
      <c r="U3137" s="2" t="s">
        <v>1169</v>
      </c>
      <c r="V3137" s="2" t="s">
        <v>18307</v>
      </c>
      <c r="W3137" s="1"/>
      <c r="X3137" s="2" t="s">
        <v>5565</v>
      </c>
      <c r="Y3137" s="2" t="s">
        <v>17583</v>
      </c>
      <c r="AA3137" t="str">
        <f t="shared" si="288"/>
        <v>2025-07</v>
      </c>
      <c r="AB3137" t="str">
        <f t="shared" si="289"/>
        <v/>
      </c>
      <c r="AC3137">
        <f t="shared" si="290"/>
        <v>1692388.8</v>
      </c>
      <c r="AD3137">
        <f t="shared" si="291"/>
        <v>200</v>
      </c>
      <c r="AE3137">
        <f t="shared" si="292"/>
        <v>648388.80000000005</v>
      </c>
      <c r="AF3137" t="str">
        <f t="shared" si="293"/>
        <v>Paid</v>
      </c>
    </row>
    <row r="3138" spans="1:32" ht="17.25" thickBot="1" x14ac:dyDescent="0.35">
      <c r="A3138" s="2" t="s">
        <v>18308</v>
      </c>
      <c r="B3138" s="2" t="s">
        <v>27</v>
      </c>
      <c r="C3138" s="2" t="s">
        <v>28</v>
      </c>
      <c r="D3138" s="2" t="s">
        <v>97</v>
      </c>
      <c r="E3138" s="2" t="s">
        <v>17562</v>
      </c>
      <c r="F3138" s="2" t="s">
        <v>31</v>
      </c>
      <c r="G3138" s="2" t="s">
        <v>32</v>
      </c>
      <c r="H3138" s="1"/>
      <c r="I3138" s="2" t="s">
        <v>33</v>
      </c>
      <c r="J3138" s="2" t="s">
        <v>34</v>
      </c>
      <c r="K3138" s="2" t="s">
        <v>1182</v>
      </c>
      <c r="L3138" s="2" t="s">
        <v>1183</v>
      </c>
      <c r="M3138" s="2" t="s">
        <v>37</v>
      </c>
      <c r="N3138" s="2" t="s">
        <v>38</v>
      </c>
      <c r="O3138" s="2" t="s">
        <v>214</v>
      </c>
      <c r="P3138" s="2" t="s">
        <v>8619</v>
      </c>
      <c r="Q3138" s="2" t="s">
        <v>18309</v>
      </c>
      <c r="R3138" s="2" t="s">
        <v>40</v>
      </c>
      <c r="S3138" s="2" t="s">
        <v>18310</v>
      </c>
      <c r="T3138" s="2" t="s">
        <v>107</v>
      </c>
      <c r="U3138" s="2" t="s">
        <v>5210</v>
      </c>
      <c r="V3138" s="2" t="s">
        <v>18311</v>
      </c>
      <c r="W3138" s="1"/>
      <c r="X3138" s="2" t="s">
        <v>965</v>
      </c>
      <c r="Y3138" s="2" t="s">
        <v>17583</v>
      </c>
      <c r="AA3138" t="str">
        <f t="shared" si="288"/>
        <v>2025-07</v>
      </c>
      <c r="AB3138" t="str">
        <f t="shared" si="289"/>
        <v/>
      </c>
      <c r="AC3138">
        <f t="shared" si="290"/>
        <v>376309.2</v>
      </c>
      <c r="AD3138">
        <f t="shared" si="291"/>
        <v>50</v>
      </c>
      <c r="AE3138">
        <f t="shared" si="292"/>
        <v>96309.2</v>
      </c>
      <c r="AF3138" t="str">
        <f t="shared" si="293"/>
        <v>Paid</v>
      </c>
    </row>
    <row r="3139" spans="1:32" ht="17.25" thickBot="1" x14ac:dyDescent="0.35">
      <c r="A3139" s="2" t="s">
        <v>18312</v>
      </c>
      <c r="B3139" s="2" t="s">
        <v>27</v>
      </c>
      <c r="C3139" s="2" t="s">
        <v>28</v>
      </c>
      <c r="D3139" s="2" t="s">
        <v>97</v>
      </c>
      <c r="E3139" s="2" t="s">
        <v>17562</v>
      </c>
      <c r="F3139" s="2" t="s">
        <v>31</v>
      </c>
      <c r="G3139" s="2" t="s">
        <v>32</v>
      </c>
      <c r="H3139" s="1"/>
      <c r="I3139" s="2" t="s">
        <v>33</v>
      </c>
      <c r="J3139" s="2" t="s">
        <v>34</v>
      </c>
      <c r="K3139" s="2" t="s">
        <v>18313</v>
      </c>
      <c r="L3139" s="2" t="s">
        <v>18314</v>
      </c>
      <c r="M3139" s="2" t="s">
        <v>37</v>
      </c>
      <c r="N3139" s="2" t="s">
        <v>38</v>
      </c>
      <c r="O3139" s="2" t="s">
        <v>214</v>
      </c>
      <c r="P3139" s="2" t="s">
        <v>9069</v>
      </c>
      <c r="Q3139" s="2" t="s">
        <v>18315</v>
      </c>
      <c r="R3139" s="2" t="s">
        <v>40</v>
      </c>
      <c r="S3139" s="2" t="s">
        <v>18316</v>
      </c>
      <c r="T3139" s="2" t="s">
        <v>5672</v>
      </c>
      <c r="U3139" s="2" t="s">
        <v>14315</v>
      </c>
      <c r="V3139" s="2" t="s">
        <v>18317</v>
      </c>
      <c r="W3139" s="1"/>
      <c r="X3139" s="2" t="s">
        <v>806</v>
      </c>
      <c r="Y3139" s="2" t="s">
        <v>17583</v>
      </c>
      <c r="AA3139" t="str">
        <f t="shared" si="288"/>
        <v>2025-07</v>
      </c>
      <c r="AB3139" t="str">
        <f t="shared" si="289"/>
        <v/>
      </c>
      <c r="AC3139">
        <f t="shared" si="290"/>
        <v>751950</v>
      </c>
      <c r="AD3139">
        <f t="shared" si="291"/>
        <v>50</v>
      </c>
      <c r="AE3139">
        <f t="shared" si="292"/>
        <v>191950</v>
      </c>
      <c r="AF3139" t="str">
        <f t="shared" si="293"/>
        <v>Paid</v>
      </c>
    </row>
    <row r="3140" spans="1:32" ht="17.25" thickBot="1" x14ac:dyDescent="0.35">
      <c r="A3140" s="2" t="s">
        <v>18318</v>
      </c>
      <c r="B3140" s="2" t="s">
        <v>27</v>
      </c>
      <c r="C3140" s="2" t="s">
        <v>28</v>
      </c>
      <c r="D3140" s="2" t="s">
        <v>97</v>
      </c>
      <c r="E3140" s="2" t="s">
        <v>17562</v>
      </c>
      <c r="F3140" s="2" t="s">
        <v>31</v>
      </c>
      <c r="G3140" s="2" t="s">
        <v>32</v>
      </c>
      <c r="H3140" s="1"/>
      <c r="I3140" s="2" t="s">
        <v>33</v>
      </c>
      <c r="J3140" s="2" t="s">
        <v>34</v>
      </c>
      <c r="K3140" s="2" t="s">
        <v>1189</v>
      </c>
      <c r="L3140" s="2" t="s">
        <v>1190</v>
      </c>
      <c r="M3140" s="2" t="s">
        <v>37</v>
      </c>
      <c r="N3140" s="2" t="s">
        <v>38</v>
      </c>
      <c r="O3140" s="2" t="s">
        <v>1333</v>
      </c>
      <c r="P3140" s="2" t="s">
        <v>13505</v>
      </c>
      <c r="Q3140" s="2" t="s">
        <v>18319</v>
      </c>
      <c r="R3140" s="2" t="s">
        <v>40</v>
      </c>
      <c r="S3140" s="2" t="s">
        <v>18320</v>
      </c>
      <c r="T3140" s="2" t="s">
        <v>952</v>
      </c>
      <c r="U3140" s="2" t="s">
        <v>12165</v>
      </c>
      <c r="V3140" s="2" t="s">
        <v>18321</v>
      </c>
      <c r="W3140" s="1"/>
      <c r="X3140" s="2" t="s">
        <v>934</v>
      </c>
      <c r="Y3140" s="2" t="s">
        <v>17583</v>
      </c>
      <c r="AA3140" t="str">
        <f t="shared" ref="AA3140:AA3203" si="294">LEFT(E3140,7)</f>
        <v>2025-07</v>
      </c>
      <c r="AB3140" t="str">
        <f t="shared" ref="AB3140:AB3203" si="295">IF(AND($AA3140&gt;="2025-01",$AA3140&lt;="2025-06"),"H1_2025",IF(AND($AA3140&gt;="2026-01",$AA3140&lt;="2026-06"),"H1_2026",""))</f>
        <v/>
      </c>
      <c r="AC3140">
        <f t="shared" ref="AC3140:AC3203" si="296">IFERROR(VALUE(SUBSTITUTE(S3140,",","")),0)</f>
        <v>2384182.7999999998</v>
      </c>
      <c r="AD3140">
        <f t="shared" ref="AD3140:AD3203" si="297">IFERROR(VALUE(SUBSTITUTE(O3140,",","")),0)</f>
        <v>150</v>
      </c>
      <c r="AE3140">
        <f t="shared" ref="AE3140:AE3203" si="298">IFERROR(VALUE(SUBSTITUTE(V3140,",","")),0)</f>
        <v>584182.80000000005</v>
      </c>
      <c r="AF3140" t="str">
        <f t="shared" ref="AF3140:AF3203" si="299">IF(ISNUMBER(SEARCH("FOC",W3140)),"FOC",IF(ISNUMBER(SEARCH("샘플",W3140)),"Sample","Paid"))</f>
        <v>Paid</v>
      </c>
    </row>
    <row r="3141" spans="1:32" ht="27.75" thickBot="1" x14ac:dyDescent="0.35">
      <c r="A3141" s="2" t="s">
        <v>18322</v>
      </c>
      <c r="B3141" s="2" t="s">
        <v>27</v>
      </c>
      <c r="C3141" s="2" t="s">
        <v>28</v>
      </c>
      <c r="D3141" s="2" t="s">
        <v>97</v>
      </c>
      <c r="E3141" s="2" t="s">
        <v>17562</v>
      </c>
      <c r="F3141" s="2" t="s">
        <v>31</v>
      </c>
      <c r="G3141" s="2" t="s">
        <v>32</v>
      </c>
      <c r="H3141" s="1"/>
      <c r="I3141" s="2" t="s">
        <v>33</v>
      </c>
      <c r="J3141" s="2" t="s">
        <v>34</v>
      </c>
      <c r="K3141" s="2" t="s">
        <v>14648</v>
      </c>
      <c r="L3141" s="2" t="s">
        <v>14649</v>
      </c>
      <c r="M3141" s="2" t="s">
        <v>37</v>
      </c>
      <c r="N3141" s="2" t="s">
        <v>38</v>
      </c>
      <c r="O3141" s="2" t="s">
        <v>773</v>
      </c>
      <c r="P3141" s="2" t="s">
        <v>5817</v>
      </c>
      <c r="Q3141" s="2" t="s">
        <v>18305</v>
      </c>
      <c r="R3141" s="2" t="s">
        <v>40</v>
      </c>
      <c r="S3141" s="2" t="s">
        <v>18306</v>
      </c>
      <c r="T3141" s="2" t="s">
        <v>1168</v>
      </c>
      <c r="U3141" s="2" t="s">
        <v>1169</v>
      </c>
      <c r="V3141" s="2" t="s">
        <v>18307</v>
      </c>
      <c r="W3141" s="1"/>
      <c r="X3141" s="2" t="s">
        <v>5565</v>
      </c>
      <c r="Y3141" s="2" t="s">
        <v>17583</v>
      </c>
      <c r="AA3141" t="str">
        <f t="shared" si="294"/>
        <v>2025-07</v>
      </c>
      <c r="AB3141" t="str">
        <f t="shared" si="295"/>
        <v/>
      </c>
      <c r="AC3141">
        <f t="shared" si="296"/>
        <v>1692388.8</v>
      </c>
      <c r="AD3141">
        <f t="shared" si="297"/>
        <v>200</v>
      </c>
      <c r="AE3141">
        <f t="shared" si="298"/>
        <v>648388.80000000005</v>
      </c>
      <c r="AF3141" t="str">
        <f t="shared" si="299"/>
        <v>Paid</v>
      </c>
    </row>
    <row r="3142" spans="1:32" ht="17.25" thickBot="1" x14ac:dyDescent="0.35">
      <c r="A3142" s="2" t="s">
        <v>18323</v>
      </c>
      <c r="B3142" s="2" t="s">
        <v>27</v>
      </c>
      <c r="C3142" s="2" t="s">
        <v>28</v>
      </c>
      <c r="D3142" s="2" t="s">
        <v>97</v>
      </c>
      <c r="E3142" s="2" t="s">
        <v>17562</v>
      </c>
      <c r="F3142" s="2" t="s">
        <v>31</v>
      </c>
      <c r="G3142" s="2" t="s">
        <v>32</v>
      </c>
      <c r="H3142" s="1"/>
      <c r="I3142" s="2" t="s">
        <v>33</v>
      </c>
      <c r="J3142" s="2" t="s">
        <v>34</v>
      </c>
      <c r="K3142" s="2" t="s">
        <v>1197</v>
      </c>
      <c r="L3142" s="2" t="s">
        <v>1198</v>
      </c>
      <c r="M3142" s="2" t="s">
        <v>37</v>
      </c>
      <c r="N3142" s="2" t="s">
        <v>38</v>
      </c>
      <c r="O3142" s="2" t="s">
        <v>877</v>
      </c>
      <c r="P3142" s="2" t="s">
        <v>15054</v>
      </c>
      <c r="Q3142" s="2" t="s">
        <v>16190</v>
      </c>
      <c r="R3142" s="2" t="s">
        <v>40</v>
      </c>
      <c r="S3142" s="2" t="s">
        <v>18324</v>
      </c>
      <c r="T3142" s="2" t="s">
        <v>1201</v>
      </c>
      <c r="U3142" s="2" t="s">
        <v>16192</v>
      </c>
      <c r="V3142" s="2" t="s">
        <v>18325</v>
      </c>
      <c r="W3142" s="1"/>
      <c r="X3142" s="2" t="s">
        <v>806</v>
      </c>
      <c r="Y3142" s="2" t="s">
        <v>17583</v>
      </c>
      <c r="AA3142" t="str">
        <f t="shared" si="294"/>
        <v>2025-07</v>
      </c>
      <c r="AB3142" t="str">
        <f t="shared" si="295"/>
        <v/>
      </c>
      <c r="AC3142">
        <f t="shared" si="296"/>
        <v>1315411.2</v>
      </c>
      <c r="AD3142">
        <f t="shared" si="297"/>
        <v>100</v>
      </c>
      <c r="AE3142">
        <f t="shared" si="298"/>
        <v>335411.20000000001</v>
      </c>
      <c r="AF3142" t="str">
        <f t="shared" si="299"/>
        <v>Paid</v>
      </c>
    </row>
    <row r="3143" spans="1:32" ht="27.75" thickBot="1" x14ac:dyDescent="0.35">
      <c r="A3143" s="2" t="s">
        <v>18326</v>
      </c>
      <c r="B3143" s="2" t="s">
        <v>27</v>
      </c>
      <c r="C3143" s="2" t="s">
        <v>28</v>
      </c>
      <c r="D3143" s="2" t="s">
        <v>97</v>
      </c>
      <c r="E3143" s="2" t="s">
        <v>17562</v>
      </c>
      <c r="F3143" s="2" t="s">
        <v>31</v>
      </c>
      <c r="G3143" s="2" t="s">
        <v>32</v>
      </c>
      <c r="H3143" s="1"/>
      <c r="I3143" s="2" t="s">
        <v>33</v>
      </c>
      <c r="J3143" s="2" t="s">
        <v>34</v>
      </c>
      <c r="K3143" s="2" t="s">
        <v>80</v>
      </c>
      <c r="L3143" s="2" t="s">
        <v>81</v>
      </c>
      <c r="M3143" s="2" t="s">
        <v>37</v>
      </c>
      <c r="N3143" s="2" t="s">
        <v>38</v>
      </c>
      <c r="O3143" s="2" t="s">
        <v>877</v>
      </c>
      <c r="P3143" s="2" t="s">
        <v>9392</v>
      </c>
      <c r="Q3143" s="2" t="s">
        <v>18327</v>
      </c>
      <c r="R3143" s="2" t="s">
        <v>40</v>
      </c>
      <c r="S3143" s="2" t="s">
        <v>18328</v>
      </c>
      <c r="T3143" s="2" t="s">
        <v>1399</v>
      </c>
      <c r="U3143" s="2" t="s">
        <v>14673</v>
      </c>
      <c r="V3143" s="2" t="s">
        <v>18329</v>
      </c>
      <c r="W3143" s="1"/>
      <c r="X3143" s="2" t="s">
        <v>806</v>
      </c>
      <c r="Y3143" s="2" t="s">
        <v>17583</v>
      </c>
      <c r="AA3143" t="str">
        <f t="shared" si="294"/>
        <v>2025-07</v>
      </c>
      <c r="AB3143" t="str">
        <f t="shared" si="295"/>
        <v/>
      </c>
      <c r="AC3143">
        <f t="shared" si="296"/>
        <v>986558.4</v>
      </c>
      <c r="AD3143">
        <f t="shared" si="297"/>
        <v>100</v>
      </c>
      <c r="AE3143">
        <f t="shared" si="298"/>
        <v>251558.39999999999</v>
      </c>
      <c r="AF3143" t="str">
        <f t="shared" si="299"/>
        <v>Paid</v>
      </c>
    </row>
    <row r="3144" spans="1:32" ht="17.25" thickBot="1" x14ac:dyDescent="0.35">
      <c r="A3144" s="2" t="s">
        <v>18330</v>
      </c>
      <c r="B3144" s="2" t="s">
        <v>27</v>
      </c>
      <c r="C3144" s="2" t="s">
        <v>28</v>
      </c>
      <c r="D3144" s="2" t="s">
        <v>97</v>
      </c>
      <c r="E3144" s="2" t="s">
        <v>17562</v>
      </c>
      <c r="F3144" s="2" t="s">
        <v>31</v>
      </c>
      <c r="G3144" s="2" t="s">
        <v>32</v>
      </c>
      <c r="H3144" s="1"/>
      <c r="I3144" s="2" t="s">
        <v>33</v>
      </c>
      <c r="J3144" s="2" t="s">
        <v>34</v>
      </c>
      <c r="K3144" s="2" t="s">
        <v>1224</v>
      </c>
      <c r="L3144" s="2" t="s">
        <v>1225</v>
      </c>
      <c r="M3144" s="2" t="s">
        <v>37</v>
      </c>
      <c r="N3144" s="2" t="s">
        <v>38</v>
      </c>
      <c r="O3144" s="2" t="s">
        <v>177</v>
      </c>
      <c r="P3144" s="2" t="s">
        <v>5817</v>
      </c>
      <c r="Q3144" s="2" t="s">
        <v>18331</v>
      </c>
      <c r="R3144" s="2" t="s">
        <v>40</v>
      </c>
      <c r="S3144" s="2" t="s">
        <v>18332</v>
      </c>
      <c r="T3144" s="2" t="s">
        <v>126</v>
      </c>
      <c r="U3144" s="2" t="s">
        <v>14683</v>
      </c>
      <c r="V3144" s="2" t="s">
        <v>18333</v>
      </c>
      <c r="W3144" s="1"/>
      <c r="X3144" s="2" t="s">
        <v>806</v>
      </c>
      <c r="Y3144" s="2" t="s">
        <v>17583</v>
      </c>
      <c r="AA3144" t="str">
        <f t="shared" si="294"/>
        <v>2025-07</v>
      </c>
      <c r="AB3144" t="str">
        <f t="shared" si="295"/>
        <v/>
      </c>
      <c r="AC3144">
        <f t="shared" si="296"/>
        <v>3384777.6</v>
      </c>
      <c r="AD3144">
        <f t="shared" si="297"/>
        <v>400</v>
      </c>
      <c r="AE3144">
        <f t="shared" si="298"/>
        <v>864777.6</v>
      </c>
      <c r="AF3144" t="str">
        <f t="shared" si="299"/>
        <v>Paid</v>
      </c>
    </row>
    <row r="3145" spans="1:32" ht="27.75" thickBot="1" x14ac:dyDescent="0.35">
      <c r="A3145" s="2" t="s">
        <v>18334</v>
      </c>
      <c r="B3145" s="2" t="s">
        <v>27</v>
      </c>
      <c r="C3145" s="2" t="s">
        <v>28</v>
      </c>
      <c r="D3145" s="2" t="s">
        <v>97</v>
      </c>
      <c r="E3145" s="2" t="s">
        <v>17562</v>
      </c>
      <c r="F3145" s="2" t="s">
        <v>31</v>
      </c>
      <c r="G3145" s="2" t="s">
        <v>32</v>
      </c>
      <c r="H3145" s="1"/>
      <c r="I3145" s="2" t="s">
        <v>33</v>
      </c>
      <c r="J3145" s="2" t="s">
        <v>34</v>
      </c>
      <c r="K3145" s="2" t="s">
        <v>1231</v>
      </c>
      <c r="L3145" s="2" t="s">
        <v>1232</v>
      </c>
      <c r="M3145" s="2" t="s">
        <v>37</v>
      </c>
      <c r="N3145" s="2" t="s">
        <v>38</v>
      </c>
      <c r="O3145" s="2" t="s">
        <v>877</v>
      </c>
      <c r="P3145" s="2" t="s">
        <v>18335</v>
      </c>
      <c r="Q3145" s="2" t="s">
        <v>18336</v>
      </c>
      <c r="R3145" s="2" t="s">
        <v>40</v>
      </c>
      <c r="S3145" s="2" t="s">
        <v>18337</v>
      </c>
      <c r="T3145" s="2" t="s">
        <v>1629</v>
      </c>
      <c r="U3145" s="2" t="s">
        <v>18338</v>
      </c>
      <c r="V3145" s="2" t="s">
        <v>18339</v>
      </c>
      <c r="W3145" s="1"/>
      <c r="X3145" s="2" t="s">
        <v>18340</v>
      </c>
      <c r="Y3145" s="2" t="s">
        <v>17583</v>
      </c>
      <c r="AA3145" t="str">
        <f t="shared" si="294"/>
        <v>2025-07</v>
      </c>
      <c r="AB3145" t="str">
        <f t="shared" si="295"/>
        <v/>
      </c>
      <c r="AC3145">
        <f t="shared" si="296"/>
        <v>3665505.6</v>
      </c>
      <c r="AD3145">
        <f t="shared" si="297"/>
        <v>100</v>
      </c>
      <c r="AE3145">
        <f t="shared" si="298"/>
        <v>1235505.6000000001</v>
      </c>
      <c r="AF3145" t="str">
        <f t="shared" si="299"/>
        <v>Paid</v>
      </c>
    </row>
    <row r="3146" spans="1:32" ht="17.25" thickBot="1" x14ac:dyDescent="0.35">
      <c r="A3146" s="2" t="s">
        <v>18341</v>
      </c>
      <c r="B3146" s="2" t="s">
        <v>27</v>
      </c>
      <c r="C3146" s="2" t="s">
        <v>28</v>
      </c>
      <c r="D3146" s="2" t="s">
        <v>97</v>
      </c>
      <c r="E3146" s="2" t="s">
        <v>17562</v>
      </c>
      <c r="F3146" s="2" t="s">
        <v>31</v>
      </c>
      <c r="G3146" s="2" t="s">
        <v>32</v>
      </c>
      <c r="H3146" s="1"/>
      <c r="I3146" s="2" t="s">
        <v>33</v>
      </c>
      <c r="J3146" s="2" t="s">
        <v>34</v>
      </c>
      <c r="K3146" s="2" t="s">
        <v>14686</v>
      </c>
      <c r="L3146" s="2" t="s">
        <v>14687</v>
      </c>
      <c r="M3146" s="2" t="s">
        <v>37</v>
      </c>
      <c r="N3146" s="2" t="s">
        <v>38</v>
      </c>
      <c r="O3146" s="2" t="s">
        <v>773</v>
      </c>
      <c r="P3146" s="2" t="s">
        <v>16123</v>
      </c>
      <c r="Q3146" s="2" t="s">
        <v>12605</v>
      </c>
      <c r="R3146" s="2" t="s">
        <v>40</v>
      </c>
      <c r="S3146" s="2" t="s">
        <v>18342</v>
      </c>
      <c r="T3146" s="2" t="s">
        <v>1136</v>
      </c>
      <c r="U3146" s="2" t="s">
        <v>1486</v>
      </c>
      <c r="V3146" s="2" t="s">
        <v>18343</v>
      </c>
      <c r="W3146" s="1"/>
      <c r="X3146" s="2" t="s">
        <v>806</v>
      </c>
      <c r="Y3146" s="2" t="s">
        <v>17583</v>
      </c>
      <c r="AA3146" t="str">
        <f t="shared" si="294"/>
        <v>2025-07</v>
      </c>
      <c r="AB3146" t="str">
        <f t="shared" si="295"/>
        <v/>
      </c>
      <c r="AC3146">
        <f t="shared" si="296"/>
        <v>1128259.2</v>
      </c>
      <c r="AD3146">
        <f t="shared" si="297"/>
        <v>200</v>
      </c>
      <c r="AE3146">
        <f t="shared" si="298"/>
        <v>288259.20000000001</v>
      </c>
      <c r="AF3146" t="str">
        <f t="shared" si="299"/>
        <v>Paid</v>
      </c>
    </row>
    <row r="3147" spans="1:32" ht="17.25" thickBot="1" x14ac:dyDescent="0.35">
      <c r="A3147" s="2" t="s">
        <v>18344</v>
      </c>
      <c r="B3147" s="2" t="s">
        <v>27</v>
      </c>
      <c r="C3147" s="2" t="s">
        <v>28</v>
      </c>
      <c r="D3147" s="2" t="s">
        <v>97</v>
      </c>
      <c r="E3147" s="2" t="s">
        <v>17562</v>
      </c>
      <c r="F3147" s="2" t="s">
        <v>31</v>
      </c>
      <c r="G3147" s="2" t="s">
        <v>32</v>
      </c>
      <c r="H3147" s="1"/>
      <c r="I3147" s="2" t="s">
        <v>33</v>
      </c>
      <c r="J3147" s="2" t="s">
        <v>34</v>
      </c>
      <c r="K3147" s="2" t="s">
        <v>1275</v>
      </c>
      <c r="L3147" s="2" t="s">
        <v>1276</v>
      </c>
      <c r="M3147" s="2" t="s">
        <v>37</v>
      </c>
      <c r="N3147" s="2" t="s">
        <v>38</v>
      </c>
      <c r="O3147" s="2" t="s">
        <v>1333</v>
      </c>
      <c r="P3147" s="2" t="s">
        <v>16195</v>
      </c>
      <c r="Q3147" s="2" t="s">
        <v>18345</v>
      </c>
      <c r="R3147" s="2" t="s">
        <v>40</v>
      </c>
      <c r="S3147" s="2" t="s">
        <v>18346</v>
      </c>
      <c r="T3147" s="2" t="s">
        <v>1280</v>
      </c>
      <c r="U3147" s="2" t="s">
        <v>13824</v>
      </c>
      <c r="V3147" s="2" t="s">
        <v>18347</v>
      </c>
      <c r="W3147" s="1"/>
      <c r="X3147" s="2" t="s">
        <v>934</v>
      </c>
      <c r="Y3147" s="2" t="s">
        <v>17583</v>
      </c>
      <c r="AA3147" t="str">
        <f t="shared" si="294"/>
        <v>2025-07</v>
      </c>
      <c r="AB3147" t="str">
        <f t="shared" si="295"/>
        <v/>
      </c>
      <c r="AC3147">
        <f t="shared" si="296"/>
        <v>3974306.4</v>
      </c>
      <c r="AD3147">
        <f t="shared" si="297"/>
        <v>150</v>
      </c>
      <c r="AE3147">
        <f t="shared" si="298"/>
        <v>974306.4</v>
      </c>
      <c r="AF3147" t="str">
        <f t="shared" si="299"/>
        <v>Paid</v>
      </c>
    </row>
    <row r="3148" spans="1:32" ht="17.25" thickBot="1" x14ac:dyDescent="0.35">
      <c r="A3148" s="2" t="s">
        <v>18348</v>
      </c>
      <c r="B3148" s="2" t="s">
        <v>27</v>
      </c>
      <c r="C3148" s="2" t="s">
        <v>28</v>
      </c>
      <c r="D3148" s="2" t="s">
        <v>97</v>
      </c>
      <c r="E3148" s="2" t="s">
        <v>17562</v>
      </c>
      <c r="F3148" s="2" t="s">
        <v>31</v>
      </c>
      <c r="G3148" s="2" t="s">
        <v>32</v>
      </c>
      <c r="H3148" s="1"/>
      <c r="I3148" s="2" t="s">
        <v>33</v>
      </c>
      <c r="J3148" s="2" t="s">
        <v>34</v>
      </c>
      <c r="K3148" s="2" t="s">
        <v>6636</v>
      </c>
      <c r="L3148" s="2" t="s">
        <v>6637</v>
      </c>
      <c r="M3148" s="2" t="s">
        <v>37</v>
      </c>
      <c r="N3148" s="2" t="s">
        <v>38</v>
      </c>
      <c r="O3148" s="2" t="s">
        <v>156</v>
      </c>
      <c r="P3148" s="2" t="s">
        <v>18349</v>
      </c>
      <c r="Q3148" s="2" t="s">
        <v>18350</v>
      </c>
      <c r="R3148" s="2" t="s">
        <v>40</v>
      </c>
      <c r="S3148" s="2" t="s">
        <v>18351</v>
      </c>
      <c r="T3148" s="2" t="s">
        <v>6641</v>
      </c>
      <c r="U3148" s="2" t="s">
        <v>10794</v>
      </c>
      <c r="V3148" s="2" t="s">
        <v>18352</v>
      </c>
      <c r="W3148" s="1"/>
      <c r="X3148" s="2" t="s">
        <v>934</v>
      </c>
      <c r="Y3148" s="2" t="s">
        <v>17583</v>
      </c>
      <c r="AA3148" t="str">
        <f t="shared" si="294"/>
        <v>2025-07</v>
      </c>
      <c r="AB3148" t="str">
        <f t="shared" si="295"/>
        <v/>
      </c>
      <c r="AC3148">
        <f t="shared" si="296"/>
        <v>381522.72</v>
      </c>
      <c r="AD3148">
        <f t="shared" si="297"/>
        <v>20</v>
      </c>
      <c r="AE3148">
        <f t="shared" si="298"/>
        <v>93522.72</v>
      </c>
      <c r="AF3148" t="str">
        <f t="shared" si="299"/>
        <v>Paid</v>
      </c>
    </row>
    <row r="3149" spans="1:32" ht="17.25" thickBot="1" x14ac:dyDescent="0.35">
      <c r="A3149" s="2" t="s">
        <v>18353</v>
      </c>
      <c r="B3149" s="2" t="s">
        <v>27</v>
      </c>
      <c r="C3149" s="2" t="s">
        <v>28</v>
      </c>
      <c r="D3149" s="2" t="s">
        <v>97</v>
      </c>
      <c r="E3149" s="2" t="s">
        <v>17562</v>
      </c>
      <c r="F3149" s="2" t="s">
        <v>31</v>
      </c>
      <c r="G3149" s="2" t="s">
        <v>32</v>
      </c>
      <c r="H3149" s="1"/>
      <c r="I3149" s="2" t="s">
        <v>33</v>
      </c>
      <c r="J3149" s="2" t="s">
        <v>34</v>
      </c>
      <c r="K3149" s="2" t="s">
        <v>1291</v>
      </c>
      <c r="L3149" s="2" t="s">
        <v>1292</v>
      </c>
      <c r="M3149" s="2" t="s">
        <v>37</v>
      </c>
      <c r="N3149" s="2" t="s">
        <v>38</v>
      </c>
      <c r="O3149" s="2" t="s">
        <v>877</v>
      </c>
      <c r="P3149" s="2" t="s">
        <v>5817</v>
      </c>
      <c r="Q3149" s="2" t="s">
        <v>18354</v>
      </c>
      <c r="R3149" s="2" t="s">
        <v>40</v>
      </c>
      <c r="S3149" s="2" t="s">
        <v>18355</v>
      </c>
      <c r="T3149" s="2" t="s">
        <v>126</v>
      </c>
      <c r="U3149" s="2" t="s">
        <v>6717</v>
      </c>
      <c r="V3149" s="2" t="s">
        <v>18356</v>
      </c>
      <c r="W3149" s="1"/>
      <c r="X3149" s="2" t="s">
        <v>806</v>
      </c>
      <c r="Y3149" s="2" t="s">
        <v>17583</v>
      </c>
      <c r="AA3149" t="str">
        <f t="shared" si="294"/>
        <v>2025-07</v>
      </c>
      <c r="AB3149" t="str">
        <f t="shared" si="295"/>
        <v/>
      </c>
      <c r="AC3149">
        <f t="shared" si="296"/>
        <v>846194.4</v>
      </c>
      <c r="AD3149">
        <f t="shared" si="297"/>
        <v>100</v>
      </c>
      <c r="AE3149">
        <f t="shared" si="298"/>
        <v>216194.4</v>
      </c>
      <c r="AF3149" t="str">
        <f t="shared" si="299"/>
        <v>Paid</v>
      </c>
    </row>
    <row r="3150" spans="1:32" ht="17.25" thickBot="1" x14ac:dyDescent="0.35">
      <c r="A3150" s="2" t="s">
        <v>18357</v>
      </c>
      <c r="B3150" s="2" t="s">
        <v>27</v>
      </c>
      <c r="C3150" s="2" t="s">
        <v>28</v>
      </c>
      <c r="D3150" s="2" t="s">
        <v>97</v>
      </c>
      <c r="E3150" s="2" t="s">
        <v>17562</v>
      </c>
      <c r="F3150" s="2" t="s">
        <v>31</v>
      </c>
      <c r="G3150" s="2" t="s">
        <v>32</v>
      </c>
      <c r="H3150" s="1"/>
      <c r="I3150" s="2" t="s">
        <v>33</v>
      </c>
      <c r="J3150" s="2" t="s">
        <v>34</v>
      </c>
      <c r="K3150" s="2" t="s">
        <v>1301</v>
      </c>
      <c r="L3150" s="2" t="s">
        <v>1302</v>
      </c>
      <c r="M3150" s="2" t="s">
        <v>37</v>
      </c>
      <c r="N3150" s="2" t="s">
        <v>38</v>
      </c>
      <c r="O3150" s="2" t="s">
        <v>877</v>
      </c>
      <c r="P3150" s="2" t="s">
        <v>8619</v>
      </c>
      <c r="Q3150" s="2" t="s">
        <v>18268</v>
      </c>
      <c r="R3150" s="2" t="s">
        <v>40</v>
      </c>
      <c r="S3150" s="2" t="s">
        <v>18269</v>
      </c>
      <c r="T3150" s="2" t="s">
        <v>107</v>
      </c>
      <c r="U3150" s="2" t="s">
        <v>14315</v>
      </c>
      <c r="V3150" s="2" t="s">
        <v>18270</v>
      </c>
      <c r="W3150" s="1"/>
      <c r="X3150" s="2" t="s">
        <v>965</v>
      </c>
      <c r="Y3150" s="2" t="s">
        <v>17583</v>
      </c>
      <c r="AA3150" t="str">
        <f t="shared" si="294"/>
        <v>2025-07</v>
      </c>
      <c r="AB3150" t="str">
        <f t="shared" si="295"/>
        <v/>
      </c>
      <c r="AC3150">
        <f t="shared" si="296"/>
        <v>752618.4</v>
      </c>
      <c r="AD3150">
        <f t="shared" si="297"/>
        <v>100</v>
      </c>
      <c r="AE3150">
        <f t="shared" si="298"/>
        <v>192618.4</v>
      </c>
      <c r="AF3150" t="str">
        <f t="shared" si="299"/>
        <v>Paid</v>
      </c>
    </row>
    <row r="3151" spans="1:32" ht="17.25" thickBot="1" x14ac:dyDescent="0.35">
      <c r="A3151" s="2" t="s">
        <v>18358</v>
      </c>
      <c r="B3151" s="2" t="s">
        <v>27</v>
      </c>
      <c r="C3151" s="2" t="s">
        <v>28</v>
      </c>
      <c r="D3151" s="2" t="s">
        <v>97</v>
      </c>
      <c r="E3151" s="2" t="s">
        <v>17562</v>
      </c>
      <c r="F3151" s="2" t="s">
        <v>31</v>
      </c>
      <c r="G3151" s="2" t="s">
        <v>32</v>
      </c>
      <c r="H3151" s="1"/>
      <c r="I3151" s="2" t="s">
        <v>33</v>
      </c>
      <c r="J3151" s="2" t="s">
        <v>34</v>
      </c>
      <c r="K3151" s="2" t="s">
        <v>6656</v>
      </c>
      <c r="L3151" s="2" t="s">
        <v>6657</v>
      </c>
      <c r="M3151" s="2" t="s">
        <v>37</v>
      </c>
      <c r="N3151" s="2" t="s">
        <v>38</v>
      </c>
      <c r="O3151" s="2" t="s">
        <v>156</v>
      </c>
      <c r="P3151" s="2" t="s">
        <v>7206</v>
      </c>
      <c r="Q3151" s="2" t="s">
        <v>18359</v>
      </c>
      <c r="R3151" s="2" t="s">
        <v>40</v>
      </c>
      <c r="S3151" s="2" t="s">
        <v>18360</v>
      </c>
      <c r="T3151" s="2" t="s">
        <v>1364</v>
      </c>
      <c r="U3151" s="2" t="s">
        <v>18361</v>
      </c>
      <c r="V3151" s="2" t="s">
        <v>18362</v>
      </c>
      <c r="W3151" s="1"/>
      <c r="X3151" s="2" t="s">
        <v>806</v>
      </c>
      <c r="Y3151" s="2" t="s">
        <v>17583</v>
      </c>
      <c r="AA3151" t="str">
        <f t="shared" si="294"/>
        <v>2025-07</v>
      </c>
      <c r="AB3151" t="str">
        <f t="shared" si="295"/>
        <v/>
      </c>
      <c r="AC3151">
        <f t="shared" si="296"/>
        <v>140898.72</v>
      </c>
      <c r="AD3151">
        <f t="shared" si="297"/>
        <v>20</v>
      </c>
      <c r="AE3151">
        <f t="shared" si="298"/>
        <v>35898.720000000001</v>
      </c>
      <c r="AF3151" t="str">
        <f t="shared" si="299"/>
        <v>Paid</v>
      </c>
    </row>
    <row r="3152" spans="1:32" ht="17.25" thickBot="1" x14ac:dyDescent="0.35">
      <c r="A3152" s="2" t="s">
        <v>18363</v>
      </c>
      <c r="B3152" s="2" t="s">
        <v>27</v>
      </c>
      <c r="C3152" s="2" t="s">
        <v>28</v>
      </c>
      <c r="D3152" s="2" t="s">
        <v>97</v>
      </c>
      <c r="E3152" s="2" t="s">
        <v>17562</v>
      </c>
      <c r="F3152" s="2" t="s">
        <v>31</v>
      </c>
      <c r="G3152" s="2" t="s">
        <v>32</v>
      </c>
      <c r="H3152" s="1"/>
      <c r="I3152" s="2" t="s">
        <v>33</v>
      </c>
      <c r="J3152" s="2" t="s">
        <v>34</v>
      </c>
      <c r="K3152" s="2" t="s">
        <v>1318</v>
      </c>
      <c r="L3152" s="2" t="s">
        <v>1319</v>
      </c>
      <c r="M3152" s="2" t="s">
        <v>37</v>
      </c>
      <c r="N3152" s="2" t="s">
        <v>38</v>
      </c>
      <c r="O3152" s="2" t="s">
        <v>607</v>
      </c>
      <c r="P3152" s="2" t="s">
        <v>2801</v>
      </c>
      <c r="Q3152" s="2" t="s">
        <v>18364</v>
      </c>
      <c r="R3152" s="2" t="s">
        <v>40</v>
      </c>
      <c r="S3152" s="2" t="s">
        <v>18365</v>
      </c>
      <c r="T3152" s="2" t="s">
        <v>1271</v>
      </c>
      <c r="U3152" s="2" t="s">
        <v>18366</v>
      </c>
      <c r="V3152" s="2" t="s">
        <v>18367</v>
      </c>
      <c r="W3152" s="1"/>
      <c r="X3152" s="2" t="s">
        <v>806</v>
      </c>
      <c r="Y3152" s="2" t="s">
        <v>17583</v>
      </c>
      <c r="AA3152" t="str">
        <f t="shared" si="294"/>
        <v>2025-07</v>
      </c>
      <c r="AB3152" t="str">
        <f t="shared" si="295"/>
        <v/>
      </c>
      <c r="AC3152">
        <f t="shared" si="296"/>
        <v>466970.98</v>
      </c>
      <c r="AD3152">
        <f t="shared" si="297"/>
        <v>71</v>
      </c>
      <c r="AE3152">
        <f t="shared" si="298"/>
        <v>119070.98</v>
      </c>
      <c r="AF3152" t="str">
        <f t="shared" si="299"/>
        <v>Paid</v>
      </c>
    </row>
    <row r="3153" spans="1:32" ht="17.25" thickBot="1" x14ac:dyDescent="0.35">
      <c r="A3153" s="2" t="s">
        <v>18368</v>
      </c>
      <c r="B3153" s="2" t="s">
        <v>27</v>
      </c>
      <c r="C3153" s="2" t="s">
        <v>28</v>
      </c>
      <c r="D3153" s="2" t="s">
        <v>97</v>
      </c>
      <c r="E3153" s="2" t="s">
        <v>17562</v>
      </c>
      <c r="F3153" s="2" t="s">
        <v>31</v>
      </c>
      <c r="G3153" s="2" t="s">
        <v>32</v>
      </c>
      <c r="H3153" s="1"/>
      <c r="I3153" s="2" t="s">
        <v>33</v>
      </c>
      <c r="J3153" s="2" t="s">
        <v>34</v>
      </c>
      <c r="K3153" s="2" t="s">
        <v>1318</v>
      </c>
      <c r="L3153" s="2" t="s">
        <v>1319</v>
      </c>
      <c r="M3153" s="2" t="s">
        <v>37</v>
      </c>
      <c r="N3153" s="2" t="s">
        <v>38</v>
      </c>
      <c r="O3153" s="2" t="s">
        <v>234</v>
      </c>
      <c r="P3153" s="2" t="s">
        <v>2801</v>
      </c>
      <c r="Q3153" s="2" t="s">
        <v>18369</v>
      </c>
      <c r="R3153" s="2" t="s">
        <v>40</v>
      </c>
      <c r="S3153" s="2" t="s">
        <v>18370</v>
      </c>
      <c r="T3153" s="2" t="s">
        <v>1271</v>
      </c>
      <c r="U3153" s="2" t="s">
        <v>18371</v>
      </c>
      <c r="V3153" s="2" t="s">
        <v>18372</v>
      </c>
      <c r="W3153" s="1"/>
      <c r="X3153" s="2" t="s">
        <v>806</v>
      </c>
      <c r="Y3153" s="2" t="s">
        <v>17583</v>
      </c>
      <c r="AA3153" t="str">
        <f t="shared" si="294"/>
        <v>2025-07</v>
      </c>
      <c r="AB3153" t="str">
        <f t="shared" si="295"/>
        <v/>
      </c>
      <c r="AC3153">
        <f t="shared" si="296"/>
        <v>190734.62</v>
      </c>
      <c r="AD3153">
        <f t="shared" si="297"/>
        <v>29</v>
      </c>
      <c r="AE3153">
        <f t="shared" si="298"/>
        <v>48634.62</v>
      </c>
      <c r="AF3153" t="str">
        <f t="shared" si="299"/>
        <v>Paid</v>
      </c>
    </row>
    <row r="3154" spans="1:32" ht="17.25" thickBot="1" x14ac:dyDescent="0.35">
      <c r="A3154" s="2" t="s">
        <v>18373</v>
      </c>
      <c r="B3154" s="2" t="s">
        <v>27</v>
      </c>
      <c r="C3154" s="2" t="s">
        <v>28</v>
      </c>
      <c r="D3154" s="2" t="s">
        <v>97</v>
      </c>
      <c r="E3154" s="2" t="s">
        <v>17562</v>
      </c>
      <c r="F3154" s="2" t="s">
        <v>31</v>
      </c>
      <c r="G3154" s="2" t="s">
        <v>32</v>
      </c>
      <c r="H3154" s="1"/>
      <c r="I3154" s="2" t="s">
        <v>33</v>
      </c>
      <c r="J3154" s="2" t="s">
        <v>34</v>
      </c>
      <c r="K3154" s="2" t="s">
        <v>14771</v>
      </c>
      <c r="L3154" s="2" t="s">
        <v>14772</v>
      </c>
      <c r="M3154" s="2" t="s">
        <v>37</v>
      </c>
      <c r="N3154" s="2" t="s">
        <v>38</v>
      </c>
      <c r="O3154" s="2" t="s">
        <v>85</v>
      </c>
      <c r="P3154" s="2" t="s">
        <v>16144</v>
      </c>
      <c r="Q3154" s="2" t="s">
        <v>18374</v>
      </c>
      <c r="R3154" s="2" t="s">
        <v>40</v>
      </c>
      <c r="S3154" s="2" t="s">
        <v>18375</v>
      </c>
      <c r="T3154" s="2" t="s">
        <v>267</v>
      </c>
      <c r="U3154" s="2" t="s">
        <v>3507</v>
      </c>
      <c r="V3154" s="2" t="s">
        <v>18376</v>
      </c>
      <c r="W3154" s="1"/>
      <c r="X3154" s="2" t="s">
        <v>17168</v>
      </c>
      <c r="Y3154" s="2" t="s">
        <v>17583</v>
      </c>
      <c r="AA3154" t="str">
        <f t="shared" si="294"/>
        <v>2025-07</v>
      </c>
      <c r="AB3154" t="str">
        <f t="shared" si="295"/>
        <v/>
      </c>
      <c r="AC3154">
        <f t="shared" si="296"/>
        <v>124001.57</v>
      </c>
      <c r="AD3154">
        <f t="shared" si="297"/>
        <v>12</v>
      </c>
      <c r="AE3154">
        <f t="shared" si="298"/>
        <v>44801.57</v>
      </c>
      <c r="AF3154" t="str">
        <f t="shared" si="299"/>
        <v>Paid</v>
      </c>
    </row>
    <row r="3155" spans="1:32" ht="17.25" thickBot="1" x14ac:dyDescent="0.35">
      <c r="A3155" s="2" t="s">
        <v>18377</v>
      </c>
      <c r="B3155" s="2" t="s">
        <v>27</v>
      </c>
      <c r="C3155" s="2" t="s">
        <v>28</v>
      </c>
      <c r="D3155" s="2" t="s">
        <v>97</v>
      </c>
      <c r="E3155" s="2" t="s">
        <v>17562</v>
      </c>
      <c r="F3155" s="2" t="s">
        <v>31</v>
      </c>
      <c r="G3155" s="2" t="s">
        <v>32</v>
      </c>
      <c r="H3155" s="1"/>
      <c r="I3155" s="2" t="s">
        <v>33</v>
      </c>
      <c r="J3155" s="2" t="s">
        <v>34</v>
      </c>
      <c r="K3155" s="2" t="s">
        <v>1334</v>
      </c>
      <c r="L3155" s="2" t="s">
        <v>1335</v>
      </c>
      <c r="M3155" s="2" t="s">
        <v>37</v>
      </c>
      <c r="N3155" s="2" t="s">
        <v>38</v>
      </c>
      <c r="O3155" s="2" t="s">
        <v>214</v>
      </c>
      <c r="P3155" s="2" t="s">
        <v>16144</v>
      </c>
      <c r="Q3155" s="2" t="s">
        <v>18242</v>
      </c>
      <c r="R3155" s="2" t="s">
        <v>40</v>
      </c>
      <c r="S3155" s="2" t="s">
        <v>18243</v>
      </c>
      <c r="T3155" s="2" t="s">
        <v>267</v>
      </c>
      <c r="U3155" s="2" t="s">
        <v>4497</v>
      </c>
      <c r="V3155" s="2" t="s">
        <v>18244</v>
      </c>
      <c r="W3155" s="1"/>
      <c r="X3155" s="2" t="s">
        <v>17168</v>
      </c>
      <c r="Y3155" s="2" t="s">
        <v>17583</v>
      </c>
      <c r="AA3155" t="str">
        <f t="shared" si="294"/>
        <v>2025-07</v>
      </c>
      <c r="AB3155" t="str">
        <f t="shared" si="295"/>
        <v/>
      </c>
      <c r="AC3155">
        <f t="shared" si="296"/>
        <v>516673.2</v>
      </c>
      <c r="AD3155">
        <f t="shared" si="297"/>
        <v>50</v>
      </c>
      <c r="AE3155">
        <f t="shared" si="298"/>
        <v>186673.2</v>
      </c>
      <c r="AF3155" t="str">
        <f t="shared" si="299"/>
        <v>Paid</v>
      </c>
    </row>
    <row r="3156" spans="1:32" ht="41.25" thickBot="1" x14ac:dyDescent="0.35">
      <c r="A3156" s="2" t="s">
        <v>18378</v>
      </c>
      <c r="B3156" s="2" t="s">
        <v>27</v>
      </c>
      <c r="C3156" s="2" t="s">
        <v>28</v>
      </c>
      <c r="D3156" s="2" t="s">
        <v>97</v>
      </c>
      <c r="E3156" s="2" t="s">
        <v>17562</v>
      </c>
      <c r="F3156" s="2" t="s">
        <v>31</v>
      </c>
      <c r="G3156" s="2" t="s">
        <v>32</v>
      </c>
      <c r="H3156" s="1"/>
      <c r="I3156" s="2" t="s">
        <v>33</v>
      </c>
      <c r="J3156" s="2" t="s">
        <v>34</v>
      </c>
      <c r="K3156" s="2" t="s">
        <v>14781</v>
      </c>
      <c r="L3156" s="2" t="s">
        <v>14782</v>
      </c>
      <c r="M3156" s="2" t="s">
        <v>37</v>
      </c>
      <c r="N3156" s="2" t="s">
        <v>38</v>
      </c>
      <c r="O3156" s="2" t="s">
        <v>877</v>
      </c>
      <c r="P3156" s="2" t="s">
        <v>6905</v>
      </c>
      <c r="Q3156" s="2" t="s">
        <v>18291</v>
      </c>
      <c r="R3156" s="2" t="s">
        <v>40</v>
      </c>
      <c r="S3156" s="2" t="s">
        <v>18292</v>
      </c>
      <c r="T3156" s="2" t="s">
        <v>287</v>
      </c>
      <c r="U3156" s="2" t="s">
        <v>3164</v>
      </c>
      <c r="V3156" s="2" t="s">
        <v>18379</v>
      </c>
      <c r="W3156" s="1"/>
      <c r="X3156" s="2" t="s">
        <v>806</v>
      </c>
      <c r="Y3156" s="2" t="s">
        <v>17583</v>
      </c>
      <c r="AA3156" t="str">
        <f t="shared" si="294"/>
        <v>2025-07</v>
      </c>
      <c r="AB3156" t="str">
        <f t="shared" si="295"/>
        <v/>
      </c>
      <c r="AC3156">
        <f t="shared" si="296"/>
        <v>939770.4</v>
      </c>
      <c r="AD3156">
        <f t="shared" si="297"/>
        <v>100</v>
      </c>
      <c r="AE3156">
        <f t="shared" si="298"/>
        <v>239770.4</v>
      </c>
      <c r="AF3156" t="str">
        <f t="shared" si="299"/>
        <v>Paid</v>
      </c>
    </row>
    <row r="3157" spans="1:32" ht="41.25" thickBot="1" x14ac:dyDescent="0.35">
      <c r="A3157" s="2" t="s">
        <v>18380</v>
      </c>
      <c r="B3157" s="2" t="s">
        <v>27</v>
      </c>
      <c r="C3157" s="2" t="s">
        <v>28</v>
      </c>
      <c r="D3157" s="2" t="s">
        <v>97</v>
      </c>
      <c r="E3157" s="2" t="s">
        <v>17562</v>
      </c>
      <c r="F3157" s="2" t="s">
        <v>31</v>
      </c>
      <c r="G3157" s="2" t="s">
        <v>32</v>
      </c>
      <c r="H3157" s="1"/>
      <c r="I3157" s="2" t="s">
        <v>33</v>
      </c>
      <c r="J3157" s="2" t="s">
        <v>34</v>
      </c>
      <c r="K3157" s="2" t="s">
        <v>8947</v>
      </c>
      <c r="L3157" s="2" t="s">
        <v>8948</v>
      </c>
      <c r="M3157" s="2" t="s">
        <v>37</v>
      </c>
      <c r="N3157" s="2" t="s">
        <v>38</v>
      </c>
      <c r="O3157" s="2" t="s">
        <v>214</v>
      </c>
      <c r="P3157" s="2" t="s">
        <v>9366</v>
      </c>
      <c r="Q3157" s="2" t="s">
        <v>9367</v>
      </c>
      <c r="R3157" s="2" t="s">
        <v>40</v>
      </c>
      <c r="S3157" s="2" t="s">
        <v>18381</v>
      </c>
      <c r="T3157" s="2" t="s">
        <v>8951</v>
      </c>
      <c r="U3157" s="2" t="s">
        <v>18382</v>
      </c>
      <c r="V3157" s="2" t="s">
        <v>18383</v>
      </c>
      <c r="W3157" s="1"/>
      <c r="X3157" s="2" t="s">
        <v>18384</v>
      </c>
      <c r="Y3157" s="2" t="s">
        <v>17583</v>
      </c>
      <c r="AA3157" t="str">
        <f t="shared" si="294"/>
        <v>2025-07</v>
      </c>
      <c r="AB3157" t="str">
        <f t="shared" si="295"/>
        <v/>
      </c>
      <c r="AC3157">
        <f t="shared" si="296"/>
        <v>305458.8</v>
      </c>
      <c r="AD3157">
        <f t="shared" si="297"/>
        <v>50</v>
      </c>
      <c r="AE3157">
        <f t="shared" si="298"/>
        <v>29458.799999999999</v>
      </c>
      <c r="AF3157" t="str">
        <f t="shared" si="299"/>
        <v>Paid</v>
      </c>
    </row>
    <row r="3158" spans="1:32" ht="17.25" thickBot="1" x14ac:dyDescent="0.35">
      <c r="A3158" s="2" t="s">
        <v>18385</v>
      </c>
      <c r="B3158" s="2" t="s">
        <v>27</v>
      </c>
      <c r="C3158" s="2" t="s">
        <v>28</v>
      </c>
      <c r="D3158" s="2" t="s">
        <v>97</v>
      </c>
      <c r="E3158" s="2" t="s">
        <v>17562</v>
      </c>
      <c r="F3158" s="2" t="s">
        <v>31</v>
      </c>
      <c r="G3158" s="2" t="s">
        <v>32</v>
      </c>
      <c r="H3158" s="1"/>
      <c r="I3158" s="2" t="s">
        <v>33</v>
      </c>
      <c r="J3158" s="2" t="s">
        <v>34</v>
      </c>
      <c r="K3158" s="2" t="s">
        <v>14787</v>
      </c>
      <c r="L3158" s="2" t="s">
        <v>14788</v>
      </c>
      <c r="M3158" s="2" t="s">
        <v>37</v>
      </c>
      <c r="N3158" s="2" t="s">
        <v>38</v>
      </c>
      <c r="O3158" s="2" t="s">
        <v>214</v>
      </c>
      <c r="P3158" s="2" t="s">
        <v>6905</v>
      </c>
      <c r="Q3158" s="2" t="s">
        <v>18386</v>
      </c>
      <c r="R3158" s="2" t="s">
        <v>40</v>
      </c>
      <c r="S3158" s="2" t="s">
        <v>18387</v>
      </c>
      <c r="T3158" s="2" t="s">
        <v>11869</v>
      </c>
      <c r="U3158" s="2" t="s">
        <v>13388</v>
      </c>
      <c r="V3158" s="2" t="s">
        <v>18388</v>
      </c>
      <c r="W3158" s="1"/>
      <c r="X3158" s="2" t="s">
        <v>18389</v>
      </c>
      <c r="Y3158" s="2" t="s">
        <v>17583</v>
      </c>
      <c r="AA3158" t="str">
        <f t="shared" si="294"/>
        <v>2025-07</v>
      </c>
      <c r="AB3158" t="str">
        <f t="shared" si="295"/>
        <v/>
      </c>
      <c r="AC3158">
        <f t="shared" si="296"/>
        <v>469885.2</v>
      </c>
      <c r="AD3158">
        <f t="shared" si="297"/>
        <v>50</v>
      </c>
      <c r="AE3158">
        <f t="shared" si="298"/>
        <v>174885.2</v>
      </c>
      <c r="AF3158" t="str">
        <f t="shared" si="299"/>
        <v>Paid</v>
      </c>
    </row>
    <row r="3159" spans="1:32" ht="17.25" thickBot="1" x14ac:dyDescent="0.35">
      <c r="A3159" s="2" t="s">
        <v>18390</v>
      </c>
      <c r="B3159" s="2" t="s">
        <v>27</v>
      </c>
      <c r="C3159" s="2" t="s">
        <v>28</v>
      </c>
      <c r="D3159" s="2" t="s">
        <v>97</v>
      </c>
      <c r="E3159" s="2" t="s">
        <v>17562</v>
      </c>
      <c r="F3159" s="2" t="s">
        <v>31</v>
      </c>
      <c r="G3159" s="2" t="s">
        <v>32</v>
      </c>
      <c r="H3159" s="1"/>
      <c r="I3159" s="2" t="s">
        <v>33</v>
      </c>
      <c r="J3159" s="2" t="s">
        <v>34</v>
      </c>
      <c r="K3159" s="2" t="s">
        <v>14794</v>
      </c>
      <c r="L3159" s="2" t="s">
        <v>14795</v>
      </c>
      <c r="M3159" s="2" t="s">
        <v>37</v>
      </c>
      <c r="N3159" s="2" t="s">
        <v>38</v>
      </c>
      <c r="O3159" s="2" t="s">
        <v>156</v>
      </c>
      <c r="P3159" s="2" t="s">
        <v>6905</v>
      </c>
      <c r="Q3159" s="2" t="s">
        <v>18295</v>
      </c>
      <c r="R3159" s="2" t="s">
        <v>40</v>
      </c>
      <c r="S3159" s="2" t="s">
        <v>18296</v>
      </c>
      <c r="T3159" s="2" t="s">
        <v>669</v>
      </c>
      <c r="U3159" s="2" t="s">
        <v>3024</v>
      </c>
      <c r="V3159" s="2" t="s">
        <v>18391</v>
      </c>
      <c r="W3159" s="1"/>
      <c r="X3159" s="2" t="s">
        <v>6038</v>
      </c>
      <c r="Y3159" s="2" t="s">
        <v>17583</v>
      </c>
      <c r="AA3159" t="str">
        <f t="shared" si="294"/>
        <v>2025-07</v>
      </c>
      <c r="AB3159" t="str">
        <f t="shared" si="295"/>
        <v/>
      </c>
      <c r="AC3159">
        <f t="shared" si="296"/>
        <v>187954.08</v>
      </c>
      <c r="AD3159">
        <f t="shared" si="297"/>
        <v>20</v>
      </c>
      <c r="AE3159">
        <f t="shared" si="298"/>
        <v>67954.080000000002</v>
      </c>
      <c r="AF3159" t="str">
        <f t="shared" si="299"/>
        <v>Paid</v>
      </c>
    </row>
    <row r="3160" spans="1:32" ht="17.25" thickBot="1" x14ac:dyDescent="0.35">
      <c r="A3160" s="2" t="s">
        <v>18392</v>
      </c>
      <c r="B3160" s="2" t="s">
        <v>27</v>
      </c>
      <c r="C3160" s="2" t="s">
        <v>28</v>
      </c>
      <c r="D3160" s="2" t="s">
        <v>97</v>
      </c>
      <c r="E3160" s="2" t="s">
        <v>17562</v>
      </c>
      <c r="F3160" s="2" t="s">
        <v>31</v>
      </c>
      <c r="G3160" s="2" t="s">
        <v>32</v>
      </c>
      <c r="H3160" s="1"/>
      <c r="I3160" s="2" t="s">
        <v>33</v>
      </c>
      <c r="J3160" s="2" t="s">
        <v>34</v>
      </c>
      <c r="K3160" s="2" t="s">
        <v>5430</v>
      </c>
      <c r="L3160" s="2" t="s">
        <v>5431</v>
      </c>
      <c r="M3160" s="2" t="s">
        <v>37</v>
      </c>
      <c r="N3160" s="2" t="s">
        <v>38</v>
      </c>
      <c r="O3160" s="2" t="s">
        <v>57</v>
      </c>
      <c r="P3160" s="2" t="s">
        <v>8619</v>
      </c>
      <c r="Q3160" s="2" t="s">
        <v>18393</v>
      </c>
      <c r="R3160" s="2" t="s">
        <v>40</v>
      </c>
      <c r="S3160" s="2" t="s">
        <v>18394</v>
      </c>
      <c r="T3160" s="2" t="s">
        <v>5434</v>
      </c>
      <c r="U3160" s="2" t="s">
        <v>2446</v>
      </c>
      <c r="V3160" s="2" t="s">
        <v>18395</v>
      </c>
      <c r="W3160" s="1"/>
      <c r="X3160" s="2" t="s">
        <v>6038</v>
      </c>
      <c r="Y3160" s="2" t="s">
        <v>17583</v>
      </c>
      <c r="AA3160" t="str">
        <f t="shared" si="294"/>
        <v>2025-07</v>
      </c>
      <c r="AB3160" t="str">
        <f t="shared" si="295"/>
        <v/>
      </c>
      <c r="AC3160">
        <f t="shared" si="296"/>
        <v>37630.92</v>
      </c>
      <c r="AD3160">
        <f t="shared" si="297"/>
        <v>5</v>
      </c>
      <c r="AE3160">
        <f t="shared" si="298"/>
        <v>13630.92</v>
      </c>
      <c r="AF3160" t="str">
        <f t="shared" si="299"/>
        <v>Paid</v>
      </c>
    </row>
    <row r="3161" spans="1:32" ht="17.25" thickBot="1" x14ac:dyDescent="0.35">
      <c r="A3161" s="2" t="s">
        <v>18396</v>
      </c>
      <c r="B3161" s="2" t="s">
        <v>27</v>
      </c>
      <c r="C3161" s="2" t="s">
        <v>28</v>
      </c>
      <c r="D3161" s="2" t="s">
        <v>97</v>
      </c>
      <c r="E3161" s="2" t="s">
        <v>17562</v>
      </c>
      <c r="F3161" s="2" t="s">
        <v>31</v>
      </c>
      <c r="G3161" s="2" t="s">
        <v>32</v>
      </c>
      <c r="H3161" s="1"/>
      <c r="I3161" s="2" t="s">
        <v>33</v>
      </c>
      <c r="J3161" s="2" t="s">
        <v>34</v>
      </c>
      <c r="K3161" s="2" t="s">
        <v>5430</v>
      </c>
      <c r="L3161" s="2" t="s">
        <v>5431</v>
      </c>
      <c r="M3161" s="2" t="s">
        <v>37</v>
      </c>
      <c r="N3161" s="2" t="s">
        <v>38</v>
      </c>
      <c r="O3161" s="2" t="s">
        <v>1659</v>
      </c>
      <c r="P3161" s="2" t="s">
        <v>8619</v>
      </c>
      <c r="Q3161" s="2" t="s">
        <v>18397</v>
      </c>
      <c r="R3161" s="2" t="s">
        <v>40</v>
      </c>
      <c r="S3161" s="2" t="s">
        <v>18398</v>
      </c>
      <c r="T3161" s="2" t="s">
        <v>18399</v>
      </c>
      <c r="U3161" s="2" t="s">
        <v>2135</v>
      </c>
      <c r="V3161" s="2" t="s">
        <v>18400</v>
      </c>
      <c r="W3161" s="1"/>
      <c r="X3161" s="2" t="s">
        <v>6978</v>
      </c>
      <c r="Y3161" s="2" t="s">
        <v>17583</v>
      </c>
      <c r="AA3161" t="str">
        <f t="shared" si="294"/>
        <v>2025-07</v>
      </c>
      <c r="AB3161" t="str">
        <f t="shared" si="295"/>
        <v/>
      </c>
      <c r="AC3161">
        <f t="shared" si="296"/>
        <v>1467605.88</v>
      </c>
      <c r="AD3161">
        <f t="shared" si="297"/>
        <v>195</v>
      </c>
      <c r="AE3161">
        <f t="shared" si="298"/>
        <v>387605.88</v>
      </c>
      <c r="AF3161" t="str">
        <f t="shared" si="299"/>
        <v>Paid</v>
      </c>
    </row>
    <row r="3162" spans="1:32" ht="17.25" thickBot="1" x14ac:dyDescent="0.35">
      <c r="A3162" s="2" t="s">
        <v>18401</v>
      </c>
      <c r="B3162" s="2" t="s">
        <v>27</v>
      </c>
      <c r="C3162" s="2" t="s">
        <v>28</v>
      </c>
      <c r="D3162" s="2" t="s">
        <v>97</v>
      </c>
      <c r="E3162" s="2" t="s">
        <v>17562</v>
      </c>
      <c r="F3162" s="2" t="s">
        <v>31</v>
      </c>
      <c r="G3162" s="2" t="s">
        <v>32</v>
      </c>
      <c r="H3162" s="1"/>
      <c r="I3162" s="2" t="s">
        <v>33</v>
      </c>
      <c r="J3162" s="2" t="s">
        <v>34</v>
      </c>
      <c r="K3162" s="2" t="s">
        <v>82</v>
      </c>
      <c r="L3162" s="2" t="s">
        <v>83</v>
      </c>
      <c r="M3162" s="2" t="s">
        <v>84</v>
      </c>
      <c r="N3162" s="2" t="s">
        <v>38</v>
      </c>
      <c r="O3162" s="2" t="s">
        <v>18402</v>
      </c>
      <c r="P3162" s="2" t="s">
        <v>6844</v>
      </c>
      <c r="Q3162" s="2" t="s">
        <v>18403</v>
      </c>
      <c r="R3162" s="2" t="s">
        <v>40</v>
      </c>
      <c r="S3162" s="2" t="s">
        <v>18404</v>
      </c>
      <c r="T3162" s="2" t="s">
        <v>2275</v>
      </c>
      <c r="U3162" s="2" t="s">
        <v>18405</v>
      </c>
      <c r="V3162" s="2" t="s">
        <v>18406</v>
      </c>
      <c r="W3162" s="1"/>
      <c r="X3162" s="2" t="s">
        <v>1239</v>
      </c>
      <c r="Y3162" s="2" t="s">
        <v>17583</v>
      </c>
      <c r="AA3162" t="str">
        <f t="shared" si="294"/>
        <v>2025-07</v>
      </c>
      <c r="AB3162" t="str">
        <f t="shared" si="295"/>
        <v/>
      </c>
      <c r="AC3162">
        <f t="shared" si="296"/>
        <v>11232328.32</v>
      </c>
      <c r="AD3162">
        <f t="shared" si="297"/>
        <v>2160</v>
      </c>
      <c r="AE3162">
        <f t="shared" si="298"/>
        <v>1512328.32</v>
      </c>
      <c r="AF3162" t="str">
        <f t="shared" si="299"/>
        <v>Paid</v>
      </c>
    </row>
    <row r="3163" spans="1:32" ht="17.25" thickBot="1" x14ac:dyDescent="0.35">
      <c r="A3163" s="2" t="s">
        <v>18407</v>
      </c>
      <c r="B3163" s="2" t="s">
        <v>27</v>
      </c>
      <c r="C3163" s="2" t="s">
        <v>28</v>
      </c>
      <c r="D3163" s="2" t="s">
        <v>97</v>
      </c>
      <c r="E3163" s="2" t="s">
        <v>17562</v>
      </c>
      <c r="F3163" s="2" t="s">
        <v>31</v>
      </c>
      <c r="G3163" s="2" t="s">
        <v>32</v>
      </c>
      <c r="H3163" s="1"/>
      <c r="I3163" s="2" t="s">
        <v>33</v>
      </c>
      <c r="J3163" s="2" t="s">
        <v>34</v>
      </c>
      <c r="K3163" s="2" t="s">
        <v>1368</v>
      </c>
      <c r="L3163" s="2" t="s">
        <v>1369</v>
      </c>
      <c r="M3163" s="2" t="s">
        <v>84</v>
      </c>
      <c r="N3163" s="2" t="s">
        <v>38</v>
      </c>
      <c r="O3163" s="2" t="s">
        <v>156</v>
      </c>
      <c r="P3163" s="2" t="s">
        <v>3718</v>
      </c>
      <c r="Q3163" s="2" t="s">
        <v>13366</v>
      </c>
      <c r="R3163" s="2" t="s">
        <v>40</v>
      </c>
      <c r="S3163" s="2" t="s">
        <v>18408</v>
      </c>
      <c r="T3163" s="2" t="s">
        <v>2275</v>
      </c>
      <c r="U3163" s="2" t="s">
        <v>10061</v>
      </c>
      <c r="V3163" s="2" t="s">
        <v>18409</v>
      </c>
      <c r="W3163" s="1"/>
      <c r="X3163" s="2" t="s">
        <v>1375</v>
      </c>
      <c r="Y3163" s="2" t="s">
        <v>17583</v>
      </c>
      <c r="AA3163" t="str">
        <f t="shared" si="294"/>
        <v>2025-07</v>
      </c>
      <c r="AB3163" t="str">
        <f t="shared" si="295"/>
        <v/>
      </c>
      <c r="AC3163">
        <f t="shared" si="296"/>
        <v>120044.64</v>
      </c>
      <c r="AD3163">
        <f t="shared" si="297"/>
        <v>20</v>
      </c>
      <c r="AE3163">
        <f t="shared" si="298"/>
        <v>30044.639999999999</v>
      </c>
      <c r="AF3163" t="str">
        <f t="shared" si="299"/>
        <v>Paid</v>
      </c>
    </row>
    <row r="3164" spans="1:32" ht="27.75" thickBot="1" x14ac:dyDescent="0.35">
      <c r="A3164" s="2" t="s">
        <v>18410</v>
      </c>
      <c r="B3164" s="2" t="s">
        <v>27</v>
      </c>
      <c r="C3164" s="2" t="s">
        <v>28</v>
      </c>
      <c r="D3164" s="2" t="s">
        <v>97</v>
      </c>
      <c r="E3164" s="2" t="s">
        <v>17562</v>
      </c>
      <c r="F3164" s="2" t="s">
        <v>31</v>
      </c>
      <c r="G3164" s="2" t="s">
        <v>32</v>
      </c>
      <c r="H3164" s="1"/>
      <c r="I3164" s="2" t="s">
        <v>33</v>
      </c>
      <c r="J3164" s="2" t="s">
        <v>34</v>
      </c>
      <c r="K3164" s="2" t="s">
        <v>18411</v>
      </c>
      <c r="L3164" s="2" t="s">
        <v>18412</v>
      </c>
      <c r="M3164" s="2" t="s">
        <v>84</v>
      </c>
      <c r="N3164" s="2" t="s">
        <v>38</v>
      </c>
      <c r="O3164" s="2" t="s">
        <v>79</v>
      </c>
      <c r="P3164" s="2" t="s">
        <v>18413</v>
      </c>
      <c r="Q3164" s="2" t="s">
        <v>18414</v>
      </c>
      <c r="R3164" s="2" t="s">
        <v>40</v>
      </c>
      <c r="S3164" s="2" t="s">
        <v>18415</v>
      </c>
      <c r="T3164" s="2" t="s">
        <v>1417</v>
      </c>
      <c r="U3164" s="2" t="s">
        <v>13423</v>
      </c>
      <c r="V3164" s="2" t="s">
        <v>18416</v>
      </c>
      <c r="W3164" s="1"/>
      <c r="X3164" s="2" t="s">
        <v>18417</v>
      </c>
      <c r="Y3164" s="2" t="s">
        <v>17583</v>
      </c>
      <c r="AA3164" t="str">
        <f t="shared" si="294"/>
        <v>2025-07</v>
      </c>
      <c r="AB3164" t="str">
        <f t="shared" si="295"/>
        <v/>
      </c>
      <c r="AC3164">
        <f t="shared" si="296"/>
        <v>160014.96</v>
      </c>
      <c r="AD3164">
        <f t="shared" si="297"/>
        <v>10</v>
      </c>
      <c r="AE3164">
        <f t="shared" si="298"/>
        <v>91714.96</v>
      </c>
      <c r="AF3164" t="str">
        <f t="shared" si="299"/>
        <v>Paid</v>
      </c>
    </row>
    <row r="3165" spans="1:32" ht="17.25" thickBot="1" x14ac:dyDescent="0.35">
      <c r="A3165" s="2" t="s">
        <v>18418</v>
      </c>
      <c r="B3165" s="2" t="s">
        <v>27</v>
      </c>
      <c r="C3165" s="2" t="s">
        <v>28</v>
      </c>
      <c r="D3165" s="2" t="s">
        <v>97</v>
      </c>
      <c r="E3165" s="2" t="s">
        <v>17562</v>
      </c>
      <c r="F3165" s="2" t="s">
        <v>31</v>
      </c>
      <c r="G3165" s="2" t="s">
        <v>32</v>
      </c>
      <c r="H3165" s="1"/>
      <c r="I3165" s="2" t="s">
        <v>33</v>
      </c>
      <c r="J3165" s="2" t="s">
        <v>34</v>
      </c>
      <c r="K3165" s="2" t="s">
        <v>18419</v>
      </c>
      <c r="L3165" s="2" t="s">
        <v>18420</v>
      </c>
      <c r="M3165" s="2" t="s">
        <v>84</v>
      </c>
      <c r="N3165" s="2" t="s">
        <v>38</v>
      </c>
      <c r="O3165" s="2" t="s">
        <v>729</v>
      </c>
      <c r="P3165" s="2" t="s">
        <v>1498</v>
      </c>
      <c r="Q3165" s="2" t="s">
        <v>18421</v>
      </c>
      <c r="R3165" s="2" t="s">
        <v>40</v>
      </c>
      <c r="S3165" s="2" t="s">
        <v>18422</v>
      </c>
      <c r="T3165" s="2" t="s">
        <v>126</v>
      </c>
      <c r="U3165" s="2" t="s">
        <v>6617</v>
      </c>
      <c r="V3165" s="2" t="s">
        <v>18423</v>
      </c>
      <c r="W3165" s="1"/>
      <c r="X3165" s="2" t="s">
        <v>1375</v>
      </c>
      <c r="Y3165" s="2" t="s">
        <v>17583</v>
      </c>
      <c r="AA3165" t="str">
        <f t="shared" si="294"/>
        <v>2025-07</v>
      </c>
      <c r="AB3165" t="str">
        <f t="shared" si="295"/>
        <v/>
      </c>
      <c r="AC3165">
        <f t="shared" si="296"/>
        <v>705188.74</v>
      </c>
      <c r="AD3165">
        <f t="shared" si="297"/>
        <v>84</v>
      </c>
      <c r="AE3165">
        <f t="shared" si="298"/>
        <v>175988.74</v>
      </c>
      <c r="AF3165" t="str">
        <f t="shared" si="299"/>
        <v>Paid</v>
      </c>
    </row>
    <row r="3166" spans="1:32" ht="17.25" thickBot="1" x14ac:dyDescent="0.35">
      <c r="A3166" s="2" t="s">
        <v>18424</v>
      </c>
      <c r="B3166" s="2" t="s">
        <v>27</v>
      </c>
      <c r="C3166" s="2" t="s">
        <v>28</v>
      </c>
      <c r="D3166" s="2" t="s">
        <v>97</v>
      </c>
      <c r="E3166" s="2" t="s">
        <v>17562</v>
      </c>
      <c r="F3166" s="2" t="s">
        <v>31</v>
      </c>
      <c r="G3166" s="2" t="s">
        <v>32</v>
      </c>
      <c r="H3166" s="1"/>
      <c r="I3166" s="2" t="s">
        <v>33</v>
      </c>
      <c r="J3166" s="2" t="s">
        <v>34</v>
      </c>
      <c r="K3166" s="2" t="s">
        <v>18419</v>
      </c>
      <c r="L3166" s="2" t="s">
        <v>18420</v>
      </c>
      <c r="M3166" s="2" t="s">
        <v>84</v>
      </c>
      <c r="N3166" s="2" t="s">
        <v>38</v>
      </c>
      <c r="O3166" s="2" t="s">
        <v>121</v>
      </c>
      <c r="P3166" s="2" t="s">
        <v>1498</v>
      </c>
      <c r="Q3166" s="2" t="s">
        <v>18425</v>
      </c>
      <c r="R3166" s="2" t="s">
        <v>40</v>
      </c>
      <c r="S3166" s="2" t="s">
        <v>18426</v>
      </c>
      <c r="T3166" s="2" t="s">
        <v>126</v>
      </c>
      <c r="U3166" s="2" t="s">
        <v>18427</v>
      </c>
      <c r="V3166" s="2" t="s">
        <v>18428</v>
      </c>
      <c r="W3166" s="1"/>
      <c r="X3166" s="2" t="s">
        <v>1375</v>
      </c>
      <c r="Y3166" s="2" t="s">
        <v>17583</v>
      </c>
      <c r="AA3166" t="str">
        <f t="shared" si="294"/>
        <v>2025-07</v>
      </c>
      <c r="AB3166" t="str">
        <f t="shared" si="295"/>
        <v/>
      </c>
      <c r="AC3166">
        <f t="shared" si="296"/>
        <v>134321.66</v>
      </c>
      <c r="AD3166">
        <f t="shared" si="297"/>
        <v>16</v>
      </c>
      <c r="AE3166">
        <f t="shared" si="298"/>
        <v>33521.660000000003</v>
      </c>
      <c r="AF3166" t="str">
        <f t="shared" si="299"/>
        <v>Paid</v>
      </c>
    </row>
    <row r="3167" spans="1:32" ht="17.25" thickBot="1" x14ac:dyDescent="0.35">
      <c r="A3167" s="2" t="s">
        <v>18429</v>
      </c>
      <c r="B3167" s="2" t="s">
        <v>27</v>
      </c>
      <c r="C3167" s="2" t="s">
        <v>28</v>
      </c>
      <c r="D3167" s="2" t="s">
        <v>97</v>
      </c>
      <c r="E3167" s="2" t="s">
        <v>17562</v>
      </c>
      <c r="F3167" s="2" t="s">
        <v>31</v>
      </c>
      <c r="G3167" s="2" t="s">
        <v>32</v>
      </c>
      <c r="H3167" s="1"/>
      <c r="I3167" s="2" t="s">
        <v>33</v>
      </c>
      <c r="J3167" s="2" t="s">
        <v>34</v>
      </c>
      <c r="K3167" s="2" t="s">
        <v>18430</v>
      </c>
      <c r="L3167" s="2" t="s">
        <v>18431</v>
      </c>
      <c r="M3167" s="2" t="s">
        <v>84</v>
      </c>
      <c r="N3167" s="2" t="s">
        <v>38</v>
      </c>
      <c r="O3167" s="2" t="s">
        <v>877</v>
      </c>
      <c r="P3167" s="2" t="s">
        <v>2031</v>
      </c>
      <c r="Q3167" s="2" t="s">
        <v>18432</v>
      </c>
      <c r="R3167" s="2" t="s">
        <v>40</v>
      </c>
      <c r="S3167" s="2" t="s">
        <v>18433</v>
      </c>
      <c r="T3167" s="2" t="s">
        <v>17602</v>
      </c>
      <c r="U3167" s="2" t="s">
        <v>18434</v>
      </c>
      <c r="V3167" s="2" t="s">
        <v>18435</v>
      </c>
      <c r="W3167" s="1"/>
      <c r="X3167" s="2" t="s">
        <v>18340</v>
      </c>
      <c r="Y3167" s="2" t="s">
        <v>17583</v>
      </c>
      <c r="AA3167" t="str">
        <f t="shared" si="294"/>
        <v>2025-07</v>
      </c>
      <c r="AB3167" t="str">
        <f t="shared" si="295"/>
        <v/>
      </c>
      <c r="AC3167">
        <f t="shared" si="296"/>
        <v>680431.2</v>
      </c>
      <c r="AD3167">
        <f t="shared" si="297"/>
        <v>100</v>
      </c>
      <c r="AE3167">
        <f t="shared" si="298"/>
        <v>229231.2</v>
      </c>
      <c r="AF3167" t="str">
        <f t="shared" si="299"/>
        <v>Paid</v>
      </c>
    </row>
    <row r="3168" spans="1:32" ht="17.25" thickBot="1" x14ac:dyDescent="0.35">
      <c r="A3168" s="2" t="s">
        <v>18436</v>
      </c>
      <c r="B3168" s="2" t="s">
        <v>27</v>
      </c>
      <c r="C3168" s="2" t="s">
        <v>28</v>
      </c>
      <c r="D3168" s="2" t="s">
        <v>97</v>
      </c>
      <c r="E3168" s="2" t="s">
        <v>17562</v>
      </c>
      <c r="F3168" s="2" t="s">
        <v>31</v>
      </c>
      <c r="G3168" s="2" t="s">
        <v>32</v>
      </c>
      <c r="H3168" s="1"/>
      <c r="I3168" s="2" t="s">
        <v>33</v>
      </c>
      <c r="J3168" s="2" t="s">
        <v>34</v>
      </c>
      <c r="K3168" s="2" t="s">
        <v>1412</v>
      </c>
      <c r="L3168" s="2" t="s">
        <v>1413</v>
      </c>
      <c r="M3168" s="2" t="s">
        <v>84</v>
      </c>
      <c r="N3168" s="2" t="s">
        <v>38</v>
      </c>
      <c r="O3168" s="2" t="s">
        <v>214</v>
      </c>
      <c r="P3168" s="2" t="s">
        <v>17773</v>
      </c>
      <c r="Q3168" s="2" t="s">
        <v>18437</v>
      </c>
      <c r="R3168" s="2" t="s">
        <v>40</v>
      </c>
      <c r="S3168" s="2" t="s">
        <v>18438</v>
      </c>
      <c r="T3168" s="2" t="s">
        <v>1417</v>
      </c>
      <c r="U3168" s="2" t="s">
        <v>18439</v>
      </c>
      <c r="V3168" s="2" t="s">
        <v>18440</v>
      </c>
      <c r="W3168" s="1"/>
      <c r="X3168" s="2" t="s">
        <v>11919</v>
      </c>
      <c r="Y3168" s="2" t="s">
        <v>17583</v>
      </c>
      <c r="AA3168" t="str">
        <f t="shared" si="294"/>
        <v>2025-07</v>
      </c>
      <c r="AB3168" t="str">
        <f t="shared" si="295"/>
        <v/>
      </c>
      <c r="AC3168">
        <f t="shared" si="296"/>
        <v>699814.8</v>
      </c>
      <c r="AD3168">
        <f t="shared" si="297"/>
        <v>50</v>
      </c>
      <c r="AE3168">
        <f t="shared" si="298"/>
        <v>358314.8</v>
      </c>
      <c r="AF3168" t="str">
        <f t="shared" si="299"/>
        <v>Paid</v>
      </c>
    </row>
    <row r="3169" spans="1:32" ht="17.25" thickBot="1" x14ac:dyDescent="0.35">
      <c r="A3169" s="2" t="s">
        <v>18441</v>
      </c>
      <c r="B3169" s="2" t="s">
        <v>27</v>
      </c>
      <c r="C3169" s="2" t="s">
        <v>28</v>
      </c>
      <c r="D3169" s="2" t="s">
        <v>97</v>
      </c>
      <c r="E3169" s="2" t="s">
        <v>17562</v>
      </c>
      <c r="F3169" s="2" t="s">
        <v>31</v>
      </c>
      <c r="G3169" s="2" t="s">
        <v>32</v>
      </c>
      <c r="H3169" s="1"/>
      <c r="I3169" s="2" t="s">
        <v>33</v>
      </c>
      <c r="J3169" s="2" t="s">
        <v>34</v>
      </c>
      <c r="K3169" s="2" t="s">
        <v>1448</v>
      </c>
      <c r="L3169" s="2" t="s">
        <v>1449</v>
      </c>
      <c r="M3169" s="2" t="s">
        <v>84</v>
      </c>
      <c r="N3169" s="2" t="s">
        <v>38</v>
      </c>
      <c r="O3169" s="2" t="s">
        <v>428</v>
      </c>
      <c r="P3169" s="2" t="s">
        <v>16233</v>
      </c>
      <c r="Q3169" s="2" t="s">
        <v>16748</v>
      </c>
      <c r="R3169" s="2" t="s">
        <v>40</v>
      </c>
      <c r="S3169" s="2" t="s">
        <v>18442</v>
      </c>
      <c r="T3169" s="2" t="s">
        <v>1454</v>
      </c>
      <c r="U3169" s="2" t="s">
        <v>18443</v>
      </c>
      <c r="V3169" s="2" t="s">
        <v>18444</v>
      </c>
      <c r="W3169" s="1"/>
      <c r="X3169" s="2" t="s">
        <v>1803</v>
      </c>
      <c r="Y3169" s="2" t="s">
        <v>17583</v>
      </c>
      <c r="AA3169" t="str">
        <f t="shared" si="294"/>
        <v>2025-07</v>
      </c>
      <c r="AB3169" t="str">
        <f t="shared" si="295"/>
        <v/>
      </c>
      <c r="AC3169">
        <f t="shared" si="296"/>
        <v>949128</v>
      </c>
      <c r="AD3169">
        <f t="shared" si="297"/>
        <v>250</v>
      </c>
      <c r="AE3169">
        <f t="shared" si="298"/>
        <v>56628</v>
      </c>
      <c r="AF3169" t="str">
        <f t="shared" si="299"/>
        <v>Paid</v>
      </c>
    </row>
    <row r="3170" spans="1:32" ht="17.25" thickBot="1" x14ac:dyDescent="0.35">
      <c r="A3170" s="2" t="s">
        <v>18445</v>
      </c>
      <c r="B3170" s="2" t="s">
        <v>27</v>
      </c>
      <c r="C3170" s="2" t="s">
        <v>28</v>
      </c>
      <c r="D3170" s="2" t="s">
        <v>97</v>
      </c>
      <c r="E3170" s="2" t="s">
        <v>17562</v>
      </c>
      <c r="F3170" s="2" t="s">
        <v>31</v>
      </c>
      <c r="G3170" s="2" t="s">
        <v>32</v>
      </c>
      <c r="H3170" s="1"/>
      <c r="I3170" s="2" t="s">
        <v>33</v>
      </c>
      <c r="J3170" s="2" t="s">
        <v>34</v>
      </c>
      <c r="K3170" s="2" t="s">
        <v>5495</v>
      </c>
      <c r="L3170" s="2" t="s">
        <v>5496</v>
      </c>
      <c r="M3170" s="2" t="s">
        <v>84</v>
      </c>
      <c r="N3170" s="2" t="s">
        <v>38</v>
      </c>
      <c r="O3170" s="2" t="s">
        <v>517</v>
      </c>
      <c r="P3170" s="2" t="s">
        <v>10904</v>
      </c>
      <c r="Q3170" s="2" t="s">
        <v>12091</v>
      </c>
      <c r="R3170" s="2" t="s">
        <v>40</v>
      </c>
      <c r="S3170" s="2" t="s">
        <v>18446</v>
      </c>
      <c r="T3170" s="2" t="s">
        <v>126</v>
      </c>
      <c r="U3170" s="2" t="s">
        <v>17404</v>
      </c>
      <c r="V3170" s="2" t="s">
        <v>18447</v>
      </c>
      <c r="W3170" s="1"/>
      <c r="X3170" s="2" t="s">
        <v>3037</v>
      </c>
      <c r="Y3170" s="2" t="s">
        <v>17583</v>
      </c>
      <c r="AA3170" t="str">
        <f t="shared" si="294"/>
        <v>2025-07</v>
      </c>
      <c r="AB3170" t="str">
        <f t="shared" si="295"/>
        <v/>
      </c>
      <c r="AC3170">
        <f t="shared" si="296"/>
        <v>1151786.8799999999</v>
      </c>
      <c r="AD3170">
        <f t="shared" si="297"/>
        <v>120</v>
      </c>
      <c r="AE3170">
        <f t="shared" si="298"/>
        <v>395786.88</v>
      </c>
      <c r="AF3170" t="str">
        <f t="shared" si="299"/>
        <v>Paid</v>
      </c>
    </row>
    <row r="3171" spans="1:32" ht="17.25" thickBot="1" x14ac:dyDescent="0.35">
      <c r="A3171" s="2" t="s">
        <v>18448</v>
      </c>
      <c r="B3171" s="2" t="s">
        <v>27</v>
      </c>
      <c r="C3171" s="2" t="s">
        <v>28</v>
      </c>
      <c r="D3171" s="2" t="s">
        <v>97</v>
      </c>
      <c r="E3171" s="2" t="s">
        <v>17562</v>
      </c>
      <c r="F3171" s="2" t="s">
        <v>31</v>
      </c>
      <c r="G3171" s="2" t="s">
        <v>32</v>
      </c>
      <c r="H3171" s="1"/>
      <c r="I3171" s="2" t="s">
        <v>33</v>
      </c>
      <c r="J3171" s="2" t="s">
        <v>34</v>
      </c>
      <c r="K3171" s="2" t="s">
        <v>4528</v>
      </c>
      <c r="L3171" s="2" t="s">
        <v>4529</v>
      </c>
      <c r="M3171" s="2" t="s">
        <v>84</v>
      </c>
      <c r="N3171" s="2" t="s">
        <v>38</v>
      </c>
      <c r="O3171" s="2" t="s">
        <v>877</v>
      </c>
      <c r="P3171" s="2" t="s">
        <v>13322</v>
      </c>
      <c r="Q3171" s="2" t="s">
        <v>18449</v>
      </c>
      <c r="R3171" s="2" t="s">
        <v>40</v>
      </c>
      <c r="S3171" s="2" t="s">
        <v>18450</v>
      </c>
      <c r="T3171" s="2" t="s">
        <v>4531</v>
      </c>
      <c r="U3171" s="2" t="s">
        <v>1852</v>
      </c>
      <c r="V3171" s="2" t="s">
        <v>18451</v>
      </c>
      <c r="W3171" s="1"/>
      <c r="X3171" s="2" t="s">
        <v>1332</v>
      </c>
      <c r="Y3171" s="2" t="s">
        <v>17583</v>
      </c>
      <c r="AA3171" t="str">
        <f t="shared" si="294"/>
        <v>2025-07</v>
      </c>
      <c r="AB3171" t="str">
        <f t="shared" si="295"/>
        <v/>
      </c>
      <c r="AC3171">
        <f t="shared" si="296"/>
        <v>1280654.3999999999</v>
      </c>
      <c r="AD3171">
        <f t="shared" si="297"/>
        <v>100</v>
      </c>
      <c r="AE3171">
        <f t="shared" si="298"/>
        <v>340654.4</v>
      </c>
      <c r="AF3171" t="str">
        <f t="shared" si="299"/>
        <v>Paid</v>
      </c>
    </row>
    <row r="3172" spans="1:32" ht="17.25" thickBot="1" x14ac:dyDescent="0.35">
      <c r="A3172" s="2" t="s">
        <v>18452</v>
      </c>
      <c r="B3172" s="2" t="s">
        <v>27</v>
      </c>
      <c r="C3172" s="2" t="s">
        <v>28</v>
      </c>
      <c r="D3172" s="2" t="s">
        <v>97</v>
      </c>
      <c r="E3172" s="2" t="s">
        <v>17562</v>
      </c>
      <c r="F3172" s="2" t="s">
        <v>31</v>
      </c>
      <c r="G3172" s="2" t="s">
        <v>32</v>
      </c>
      <c r="H3172" s="1"/>
      <c r="I3172" s="2" t="s">
        <v>33</v>
      </c>
      <c r="J3172" s="2" t="s">
        <v>34</v>
      </c>
      <c r="K3172" s="2" t="s">
        <v>1466</v>
      </c>
      <c r="L3172" s="2" t="s">
        <v>1467</v>
      </c>
      <c r="M3172" s="2" t="s">
        <v>84</v>
      </c>
      <c r="N3172" s="2" t="s">
        <v>38</v>
      </c>
      <c r="O3172" s="2" t="s">
        <v>131</v>
      </c>
      <c r="P3172" s="2" t="s">
        <v>4330</v>
      </c>
      <c r="Q3172" s="2" t="s">
        <v>18453</v>
      </c>
      <c r="R3172" s="2" t="s">
        <v>40</v>
      </c>
      <c r="S3172" s="2" t="s">
        <v>18454</v>
      </c>
      <c r="T3172" s="2" t="s">
        <v>6652</v>
      </c>
      <c r="U3172" s="2" t="s">
        <v>13038</v>
      </c>
      <c r="V3172" s="2" t="s">
        <v>18455</v>
      </c>
      <c r="W3172" s="1"/>
      <c r="X3172" s="2" t="s">
        <v>18456</v>
      </c>
      <c r="Y3172" s="2" t="s">
        <v>17583</v>
      </c>
      <c r="AA3172" t="str">
        <f t="shared" si="294"/>
        <v>2025-07</v>
      </c>
      <c r="AB3172" t="str">
        <f t="shared" si="295"/>
        <v/>
      </c>
      <c r="AC3172">
        <f t="shared" si="296"/>
        <v>399970.56</v>
      </c>
      <c r="AD3172">
        <f t="shared" si="297"/>
        <v>40</v>
      </c>
      <c r="AE3172">
        <f t="shared" si="298"/>
        <v>139970.56</v>
      </c>
      <c r="AF3172" t="str">
        <f t="shared" si="299"/>
        <v>Paid</v>
      </c>
    </row>
    <row r="3173" spans="1:32" ht="17.25" thickBot="1" x14ac:dyDescent="0.35">
      <c r="A3173" s="2" t="s">
        <v>18457</v>
      </c>
      <c r="B3173" s="2" t="s">
        <v>27</v>
      </c>
      <c r="C3173" s="2" t="s">
        <v>28</v>
      </c>
      <c r="D3173" s="2" t="s">
        <v>97</v>
      </c>
      <c r="E3173" s="2" t="s">
        <v>17562</v>
      </c>
      <c r="F3173" s="2" t="s">
        <v>31</v>
      </c>
      <c r="G3173" s="2" t="s">
        <v>32</v>
      </c>
      <c r="H3173" s="1"/>
      <c r="I3173" s="2" t="s">
        <v>33</v>
      </c>
      <c r="J3173" s="2" t="s">
        <v>34</v>
      </c>
      <c r="K3173" s="2" t="s">
        <v>1474</v>
      </c>
      <c r="L3173" s="2" t="s">
        <v>1475</v>
      </c>
      <c r="M3173" s="2" t="s">
        <v>84</v>
      </c>
      <c r="N3173" s="2" t="s">
        <v>38</v>
      </c>
      <c r="O3173" s="2" t="s">
        <v>214</v>
      </c>
      <c r="P3173" s="2" t="s">
        <v>10904</v>
      </c>
      <c r="Q3173" s="2" t="s">
        <v>18458</v>
      </c>
      <c r="R3173" s="2" t="s">
        <v>40</v>
      </c>
      <c r="S3173" s="2" t="s">
        <v>18459</v>
      </c>
      <c r="T3173" s="2" t="s">
        <v>126</v>
      </c>
      <c r="U3173" s="2" t="s">
        <v>1729</v>
      </c>
      <c r="V3173" s="2" t="s">
        <v>18460</v>
      </c>
      <c r="W3173" s="1"/>
      <c r="X3173" s="2" t="s">
        <v>3037</v>
      </c>
      <c r="Y3173" s="2" t="s">
        <v>17583</v>
      </c>
      <c r="AA3173" t="str">
        <f t="shared" si="294"/>
        <v>2025-07</v>
      </c>
      <c r="AB3173" t="str">
        <f t="shared" si="295"/>
        <v/>
      </c>
      <c r="AC3173">
        <f t="shared" si="296"/>
        <v>479911.2</v>
      </c>
      <c r="AD3173">
        <f t="shared" si="297"/>
        <v>50</v>
      </c>
      <c r="AE3173">
        <f t="shared" si="298"/>
        <v>164911.20000000001</v>
      </c>
      <c r="AF3173" t="str">
        <f t="shared" si="299"/>
        <v>Paid</v>
      </c>
    </row>
    <row r="3174" spans="1:32" ht="17.25" thickBot="1" x14ac:dyDescent="0.35">
      <c r="A3174" s="2" t="s">
        <v>18461</v>
      </c>
      <c r="B3174" s="2" t="s">
        <v>27</v>
      </c>
      <c r="C3174" s="2" t="s">
        <v>28</v>
      </c>
      <c r="D3174" s="2" t="s">
        <v>97</v>
      </c>
      <c r="E3174" s="2" t="s">
        <v>17562</v>
      </c>
      <c r="F3174" s="2" t="s">
        <v>31</v>
      </c>
      <c r="G3174" s="2" t="s">
        <v>32</v>
      </c>
      <c r="H3174" s="1"/>
      <c r="I3174" s="2" t="s">
        <v>33</v>
      </c>
      <c r="J3174" s="2" t="s">
        <v>34</v>
      </c>
      <c r="K3174" s="2" t="s">
        <v>1482</v>
      </c>
      <c r="L3174" s="2" t="s">
        <v>1483</v>
      </c>
      <c r="M3174" s="2" t="s">
        <v>84</v>
      </c>
      <c r="N3174" s="2" t="s">
        <v>38</v>
      </c>
      <c r="O3174" s="2" t="s">
        <v>877</v>
      </c>
      <c r="P3174" s="2" t="s">
        <v>518</v>
      </c>
      <c r="Q3174" s="2" t="s">
        <v>18462</v>
      </c>
      <c r="R3174" s="2" t="s">
        <v>40</v>
      </c>
      <c r="S3174" s="2" t="s">
        <v>18463</v>
      </c>
      <c r="T3174" s="2" t="s">
        <v>297</v>
      </c>
      <c r="U3174" s="2" t="s">
        <v>3286</v>
      </c>
      <c r="V3174" s="2" t="s">
        <v>18464</v>
      </c>
      <c r="W3174" s="1"/>
      <c r="X3174" s="2" t="s">
        <v>7382</v>
      </c>
      <c r="Y3174" s="2" t="s">
        <v>17583</v>
      </c>
      <c r="AA3174" t="str">
        <f t="shared" si="294"/>
        <v>2025-07</v>
      </c>
      <c r="AB3174" t="str">
        <f t="shared" si="295"/>
        <v/>
      </c>
      <c r="AC3174">
        <f t="shared" si="296"/>
        <v>1184404.8</v>
      </c>
      <c r="AD3174">
        <f t="shared" si="297"/>
        <v>100</v>
      </c>
      <c r="AE3174">
        <f t="shared" si="298"/>
        <v>384404.8</v>
      </c>
      <c r="AF3174" t="str">
        <f t="shared" si="299"/>
        <v>Paid</v>
      </c>
    </row>
    <row r="3175" spans="1:32" ht="17.25" thickBot="1" x14ac:dyDescent="0.35">
      <c r="A3175" s="2" t="s">
        <v>18465</v>
      </c>
      <c r="B3175" s="2" t="s">
        <v>27</v>
      </c>
      <c r="C3175" s="2" t="s">
        <v>28</v>
      </c>
      <c r="D3175" s="2" t="s">
        <v>97</v>
      </c>
      <c r="E3175" s="2" t="s">
        <v>17562</v>
      </c>
      <c r="F3175" s="2" t="s">
        <v>31</v>
      </c>
      <c r="G3175" s="2" t="s">
        <v>32</v>
      </c>
      <c r="H3175" s="1"/>
      <c r="I3175" s="2" t="s">
        <v>33</v>
      </c>
      <c r="J3175" s="2" t="s">
        <v>34</v>
      </c>
      <c r="K3175" s="2" t="s">
        <v>18466</v>
      </c>
      <c r="L3175" s="2" t="s">
        <v>18467</v>
      </c>
      <c r="M3175" s="2" t="s">
        <v>84</v>
      </c>
      <c r="N3175" s="2" t="s">
        <v>38</v>
      </c>
      <c r="O3175" s="2" t="s">
        <v>57</v>
      </c>
      <c r="P3175" s="2" t="s">
        <v>4330</v>
      </c>
      <c r="Q3175" s="2" t="s">
        <v>18468</v>
      </c>
      <c r="R3175" s="2" t="s">
        <v>40</v>
      </c>
      <c r="S3175" s="2" t="s">
        <v>18469</v>
      </c>
      <c r="T3175" s="2" t="s">
        <v>267</v>
      </c>
      <c r="U3175" s="2" t="s">
        <v>11684</v>
      </c>
      <c r="V3175" s="2" t="s">
        <v>18470</v>
      </c>
      <c r="W3175" s="1"/>
      <c r="X3175" s="2" t="s">
        <v>18471</v>
      </c>
      <c r="Y3175" s="2" t="s">
        <v>17583</v>
      </c>
      <c r="AA3175" t="str">
        <f t="shared" si="294"/>
        <v>2025-07</v>
      </c>
      <c r="AB3175" t="str">
        <f t="shared" si="295"/>
        <v/>
      </c>
      <c r="AC3175">
        <f t="shared" si="296"/>
        <v>49996.32</v>
      </c>
      <c r="AD3175">
        <f t="shared" si="297"/>
        <v>5</v>
      </c>
      <c r="AE3175">
        <f t="shared" si="298"/>
        <v>16996.32</v>
      </c>
      <c r="AF3175" t="str">
        <f t="shared" si="299"/>
        <v>Paid</v>
      </c>
    </row>
    <row r="3176" spans="1:32" ht="17.25" thickBot="1" x14ac:dyDescent="0.35">
      <c r="A3176" s="2" t="s">
        <v>18472</v>
      </c>
      <c r="B3176" s="2" t="s">
        <v>27</v>
      </c>
      <c r="C3176" s="2" t="s">
        <v>28</v>
      </c>
      <c r="D3176" s="2" t="s">
        <v>97</v>
      </c>
      <c r="E3176" s="2" t="s">
        <v>17562</v>
      </c>
      <c r="F3176" s="2" t="s">
        <v>31</v>
      </c>
      <c r="G3176" s="2" t="s">
        <v>32</v>
      </c>
      <c r="H3176" s="1"/>
      <c r="I3176" s="2" t="s">
        <v>33</v>
      </c>
      <c r="J3176" s="2" t="s">
        <v>34</v>
      </c>
      <c r="K3176" s="2" t="s">
        <v>17443</v>
      </c>
      <c r="L3176" s="2" t="s">
        <v>17444</v>
      </c>
      <c r="M3176" s="2" t="s">
        <v>3198</v>
      </c>
      <c r="N3176" s="2" t="s">
        <v>38</v>
      </c>
      <c r="O3176" s="2" t="s">
        <v>214</v>
      </c>
      <c r="P3176" s="2" t="s">
        <v>2031</v>
      </c>
      <c r="Q3176" s="2" t="s">
        <v>18473</v>
      </c>
      <c r="R3176" s="2" t="s">
        <v>40</v>
      </c>
      <c r="S3176" s="2" t="s">
        <v>18474</v>
      </c>
      <c r="T3176" s="2" t="s">
        <v>3079</v>
      </c>
      <c r="U3176" s="2" t="s">
        <v>9903</v>
      </c>
      <c r="V3176" s="2" t="s">
        <v>18475</v>
      </c>
      <c r="W3176" s="1"/>
      <c r="X3176" s="2" t="s">
        <v>4195</v>
      </c>
      <c r="Y3176" s="2" t="s">
        <v>17583</v>
      </c>
      <c r="AA3176" t="str">
        <f t="shared" si="294"/>
        <v>2025-07</v>
      </c>
      <c r="AB3176" t="str">
        <f t="shared" si="295"/>
        <v/>
      </c>
      <c r="AC3176">
        <f t="shared" si="296"/>
        <v>340215.6</v>
      </c>
      <c r="AD3176">
        <f t="shared" si="297"/>
        <v>50</v>
      </c>
      <c r="AE3176">
        <f t="shared" si="298"/>
        <v>50215.6</v>
      </c>
      <c r="AF3176" t="str">
        <f t="shared" si="299"/>
        <v>Paid</v>
      </c>
    </row>
    <row r="3177" spans="1:32" ht="17.25" thickBot="1" x14ac:dyDescent="0.35">
      <c r="A3177" s="2" t="s">
        <v>18476</v>
      </c>
      <c r="B3177" s="2" t="s">
        <v>27</v>
      </c>
      <c r="C3177" s="2" t="s">
        <v>28</v>
      </c>
      <c r="D3177" s="2" t="s">
        <v>97</v>
      </c>
      <c r="E3177" s="2" t="s">
        <v>17562</v>
      </c>
      <c r="F3177" s="2" t="s">
        <v>31</v>
      </c>
      <c r="G3177" s="2" t="s">
        <v>32</v>
      </c>
      <c r="H3177" s="1"/>
      <c r="I3177" s="2" t="s">
        <v>33</v>
      </c>
      <c r="J3177" s="2" t="s">
        <v>34</v>
      </c>
      <c r="K3177" s="2" t="s">
        <v>14215</v>
      </c>
      <c r="L3177" s="2" t="s">
        <v>14216</v>
      </c>
      <c r="M3177" s="2" t="s">
        <v>3198</v>
      </c>
      <c r="N3177" s="2" t="s">
        <v>38</v>
      </c>
      <c r="O3177" s="2" t="s">
        <v>1333</v>
      </c>
      <c r="P3177" s="2" t="s">
        <v>2031</v>
      </c>
      <c r="Q3177" s="2" t="s">
        <v>18477</v>
      </c>
      <c r="R3177" s="2" t="s">
        <v>40</v>
      </c>
      <c r="S3177" s="2" t="s">
        <v>18478</v>
      </c>
      <c r="T3177" s="2" t="s">
        <v>3079</v>
      </c>
      <c r="U3177" s="2" t="s">
        <v>7085</v>
      </c>
      <c r="V3177" s="2" t="s">
        <v>18479</v>
      </c>
      <c r="W3177" s="1"/>
      <c r="X3177" s="2" t="s">
        <v>4195</v>
      </c>
      <c r="Y3177" s="2" t="s">
        <v>17583</v>
      </c>
      <c r="AA3177" t="str">
        <f t="shared" si="294"/>
        <v>2025-07</v>
      </c>
      <c r="AB3177" t="str">
        <f t="shared" si="295"/>
        <v/>
      </c>
      <c r="AC3177">
        <f t="shared" si="296"/>
        <v>1020646.8</v>
      </c>
      <c r="AD3177">
        <f t="shared" si="297"/>
        <v>150</v>
      </c>
      <c r="AE3177">
        <f t="shared" si="298"/>
        <v>150646.79999999999</v>
      </c>
      <c r="AF3177" t="str">
        <f t="shared" si="299"/>
        <v>Paid</v>
      </c>
    </row>
    <row r="3178" spans="1:32" ht="17.25" thickBot="1" x14ac:dyDescent="0.35">
      <c r="A3178" s="2" t="s">
        <v>18480</v>
      </c>
      <c r="B3178" s="2" t="s">
        <v>27</v>
      </c>
      <c r="C3178" s="2" t="s">
        <v>28</v>
      </c>
      <c r="D3178" s="2" t="s">
        <v>97</v>
      </c>
      <c r="E3178" s="2" t="s">
        <v>17562</v>
      </c>
      <c r="F3178" s="2" t="s">
        <v>31</v>
      </c>
      <c r="G3178" s="2" t="s">
        <v>32</v>
      </c>
      <c r="H3178" s="1"/>
      <c r="I3178" s="2" t="s">
        <v>33</v>
      </c>
      <c r="J3178" s="2" t="s">
        <v>34</v>
      </c>
      <c r="K3178" s="2" t="s">
        <v>10030</v>
      </c>
      <c r="L3178" s="2" t="s">
        <v>10031</v>
      </c>
      <c r="M3178" s="2" t="s">
        <v>3198</v>
      </c>
      <c r="N3178" s="2" t="s">
        <v>38</v>
      </c>
      <c r="O3178" s="2" t="s">
        <v>49</v>
      </c>
      <c r="P3178" s="2" t="s">
        <v>16251</v>
      </c>
      <c r="Q3178" s="2" t="s">
        <v>18481</v>
      </c>
      <c r="R3178" s="2" t="s">
        <v>40</v>
      </c>
      <c r="S3178" s="2" t="s">
        <v>18482</v>
      </c>
      <c r="T3178" s="2" t="s">
        <v>10034</v>
      </c>
      <c r="U3178" s="2" t="s">
        <v>18483</v>
      </c>
      <c r="V3178" s="2" t="s">
        <v>18484</v>
      </c>
      <c r="W3178" s="1"/>
      <c r="X3178" s="2" t="s">
        <v>3205</v>
      </c>
      <c r="Y3178" s="2" t="s">
        <v>17583</v>
      </c>
      <c r="AA3178" t="str">
        <f t="shared" si="294"/>
        <v>2025-07</v>
      </c>
      <c r="AB3178" t="str">
        <f t="shared" si="295"/>
        <v/>
      </c>
      <c r="AC3178">
        <f t="shared" si="296"/>
        <v>78523.63</v>
      </c>
      <c r="AD3178">
        <f t="shared" si="297"/>
        <v>11</v>
      </c>
      <c r="AE3178">
        <f t="shared" si="298"/>
        <v>11533.63</v>
      </c>
      <c r="AF3178" t="str">
        <f t="shared" si="299"/>
        <v>Paid</v>
      </c>
    </row>
    <row r="3179" spans="1:32" ht="17.25" thickBot="1" x14ac:dyDescent="0.35">
      <c r="A3179" s="2" t="s">
        <v>18485</v>
      </c>
      <c r="B3179" s="2" t="s">
        <v>27</v>
      </c>
      <c r="C3179" s="2" t="s">
        <v>28</v>
      </c>
      <c r="D3179" s="2" t="s">
        <v>97</v>
      </c>
      <c r="E3179" s="2" t="s">
        <v>17562</v>
      </c>
      <c r="F3179" s="2" t="s">
        <v>31</v>
      </c>
      <c r="G3179" s="2" t="s">
        <v>32</v>
      </c>
      <c r="H3179" s="1"/>
      <c r="I3179" s="2" t="s">
        <v>33</v>
      </c>
      <c r="J3179" s="2" t="s">
        <v>34</v>
      </c>
      <c r="K3179" s="2" t="s">
        <v>11981</v>
      </c>
      <c r="L3179" s="2" t="s">
        <v>11982</v>
      </c>
      <c r="M3179" s="2" t="s">
        <v>3198</v>
      </c>
      <c r="N3179" s="2" t="s">
        <v>38</v>
      </c>
      <c r="O3179" s="2" t="s">
        <v>877</v>
      </c>
      <c r="P3179" s="2" t="s">
        <v>4826</v>
      </c>
      <c r="Q3179" s="2" t="s">
        <v>18486</v>
      </c>
      <c r="R3179" s="2" t="s">
        <v>40</v>
      </c>
      <c r="S3179" s="2" t="s">
        <v>18487</v>
      </c>
      <c r="T3179" s="2" t="s">
        <v>11985</v>
      </c>
      <c r="U3179" s="2" t="s">
        <v>18488</v>
      </c>
      <c r="V3179" s="2" t="s">
        <v>18489</v>
      </c>
      <c r="W3179" s="1"/>
      <c r="X3179" s="2" t="s">
        <v>3205</v>
      </c>
      <c r="Y3179" s="2" t="s">
        <v>17583</v>
      </c>
      <c r="AA3179" t="str">
        <f t="shared" si="294"/>
        <v>2025-07</v>
      </c>
      <c r="AB3179" t="str">
        <f t="shared" si="295"/>
        <v/>
      </c>
      <c r="AC3179">
        <f t="shared" si="296"/>
        <v>850204.8</v>
      </c>
      <c r="AD3179">
        <f t="shared" si="297"/>
        <v>100</v>
      </c>
      <c r="AE3179">
        <f t="shared" si="298"/>
        <v>125204.8</v>
      </c>
      <c r="AF3179" t="str">
        <f t="shared" si="299"/>
        <v>Paid</v>
      </c>
    </row>
    <row r="3180" spans="1:32" ht="17.25" thickBot="1" x14ac:dyDescent="0.35">
      <c r="A3180" s="2" t="s">
        <v>18490</v>
      </c>
      <c r="B3180" s="2" t="s">
        <v>27</v>
      </c>
      <c r="C3180" s="2" t="s">
        <v>28</v>
      </c>
      <c r="D3180" s="2" t="s">
        <v>97</v>
      </c>
      <c r="E3180" s="2" t="s">
        <v>17562</v>
      </c>
      <c r="F3180" s="2" t="s">
        <v>31</v>
      </c>
      <c r="G3180" s="2" t="s">
        <v>32</v>
      </c>
      <c r="H3180" s="1"/>
      <c r="I3180" s="2" t="s">
        <v>33</v>
      </c>
      <c r="J3180" s="2" t="s">
        <v>34</v>
      </c>
      <c r="K3180" s="2" t="s">
        <v>3196</v>
      </c>
      <c r="L3180" s="2" t="s">
        <v>3197</v>
      </c>
      <c r="M3180" s="2" t="s">
        <v>3198</v>
      </c>
      <c r="N3180" s="2" t="s">
        <v>38</v>
      </c>
      <c r="O3180" s="2" t="s">
        <v>2057</v>
      </c>
      <c r="P3180" s="2" t="s">
        <v>5461</v>
      </c>
      <c r="Q3180" s="2" t="s">
        <v>18491</v>
      </c>
      <c r="R3180" s="2" t="s">
        <v>40</v>
      </c>
      <c r="S3180" s="2" t="s">
        <v>18492</v>
      </c>
      <c r="T3180" s="2" t="s">
        <v>15262</v>
      </c>
      <c r="U3180" s="2" t="s">
        <v>18493</v>
      </c>
      <c r="V3180" s="2" t="s">
        <v>18494</v>
      </c>
      <c r="W3180" s="1"/>
      <c r="X3180" s="2" t="s">
        <v>3205</v>
      </c>
      <c r="Y3180" s="2" t="s">
        <v>17583</v>
      </c>
      <c r="AA3180" t="str">
        <f t="shared" si="294"/>
        <v>2025-07</v>
      </c>
      <c r="AB3180" t="str">
        <f t="shared" si="295"/>
        <v/>
      </c>
      <c r="AC3180">
        <f t="shared" si="296"/>
        <v>3092686.8</v>
      </c>
      <c r="AD3180">
        <f t="shared" si="297"/>
        <v>350</v>
      </c>
      <c r="AE3180">
        <f t="shared" si="298"/>
        <v>453686.8</v>
      </c>
      <c r="AF3180" t="str">
        <f t="shared" si="299"/>
        <v>Paid</v>
      </c>
    </row>
    <row r="3181" spans="1:32" ht="17.25" thickBot="1" x14ac:dyDescent="0.35">
      <c r="A3181" s="2" t="s">
        <v>18495</v>
      </c>
      <c r="B3181" s="2" t="s">
        <v>27</v>
      </c>
      <c r="C3181" s="2" t="s">
        <v>28</v>
      </c>
      <c r="D3181" s="2" t="s">
        <v>97</v>
      </c>
      <c r="E3181" s="2" t="s">
        <v>17562</v>
      </c>
      <c r="F3181" s="2" t="s">
        <v>31</v>
      </c>
      <c r="G3181" s="2" t="s">
        <v>32</v>
      </c>
      <c r="H3181" s="1"/>
      <c r="I3181" s="2" t="s">
        <v>33</v>
      </c>
      <c r="J3181" s="2" t="s">
        <v>34</v>
      </c>
      <c r="K3181" s="2" t="s">
        <v>18496</v>
      </c>
      <c r="L3181" s="2" t="s">
        <v>18497</v>
      </c>
      <c r="M3181" s="2" t="s">
        <v>3198</v>
      </c>
      <c r="N3181" s="2" t="s">
        <v>38</v>
      </c>
      <c r="O3181" s="2" t="s">
        <v>214</v>
      </c>
      <c r="P3181" s="2" t="s">
        <v>9947</v>
      </c>
      <c r="Q3181" s="2" t="s">
        <v>18498</v>
      </c>
      <c r="R3181" s="2" t="s">
        <v>40</v>
      </c>
      <c r="S3181" s="2" t="s">
        <v>18499</v>
      </c>
      <c r="T3181" s="2" t="s">
        <v>9849</v>
      </c>
      <c r="U3181" s="2" t="s">
        <v>14867</v>
      </c>
      <c r="V3181" s="2" t="s">
        <v>18500</v>
      </c>
      <c r="W3181" s="1"/>
      <c r="X3181" s="2" t="s">
        <v>3205</v>
      </c>
      <c r="Y3181" s="2" t="s">
        <v>17583</v>
      </c>
      <c r="AA3181" t="str">
        <f t="shared" si="294"/>
        <v>2025-07</v>
      </c>
      <c r="AB3181" t="str">
        <f t="shared" si="295"/>
        <v/>
      </c>
      <c r="AC3181">
        <f t="shared" si="296"/>
        <v>272038.8</v>
      </c>
      <c r="AD3181">
        <f t="shared" si="297"/>
        <v>50</v>
      </c>
      <c r="AE3181">
        <f t="shared" si="298"/>
        <v>40038.800000000003</v>
      </c>
      <c r="AF3181" t="str">
        <f t="shared" si="299"/>
        <v>Paid</v>
      </c>
    </row>
    <row r="3182" spans="1:32" ht="17.25" thickBot="1" x14ac:dyDescent="0.35">
      <c r="A3182" s="2" t="s">
        <v>18501</v>
      </c>
      <c r="B3182" s="2" t="s">
        <v>27</v>
      </c>
      <c r="C3182" s="2" t="s">
        <v>28</v>
      </c>
      <c r="D3182" s="2" t="s">
        <v>97</v>
      </c>
      <c r="E3182" s="2" t="s">
        <v>17562</v>
      </c>
      <c r="F3182" s="2" t="s">
        <v>31</v>
      </c>
      <c r="G3182" s="2" t="s">
        <v>32</v>
      </c>
      <c r="H3182" s="1"/>
      <c r="I3182" s="2" t="s">
        <v>33</v>
      </c>
      <c r="J3182" s="2" t="s">
        <v>34</v>
      </c>
      <c r="K3182" s="2" t="s">
        <v>18502</v>
      </c>
      <c r="L3182" s="2" t="s">
        <v>18503</v>
      </c>
      <c r="M3182" s="2" t="s">
        <v>3198</v>
      </c>
      <c r="N3182" s="2" t="s">
        <v>38</v>
      </c>
      <c r="O3182" s="2" t="s">
        <v>79</v>
      </c>
      <c r="P3182" s="2" t="s">
        <v>9947</v>
      </c>
      <c r="Q3182" s="2" t="s">
        <v>18504</v>
      </c>
      <c r="R3182" s="2" t="s">
        <v>40</v>
      </c>
      <c r="S3182" s="2" t="s">
        <v>18505</v>
      </c>
      <c r="T3182" s="2" t="s">
        <v>9849</v>
      </c>
      <c r="U3182" s="2" t="s">
        <v>18506</v>
      </c>
      <c r="V3182" s="2" t="s">
        <v>18507</v>
      </c>
      <c r="W3182" s="1"/>
      <c r="X3182" s="2" t="s">
        <v>3205</v>
      </c>
      <c r="Y3182" s="2" t="s">
        <v>17583</v>
      </c>
      <c r="AA3182" t="str">
        <f t="shared" si="294"/>
        <v>2025-07</v>
      </c>
      <c r="AB3182" t="str">
        <f t="shared" si="295"/>
        <v/>
      </c>
      <c r="AC3182">
        <f t="shared" si="296"/>
        <v>54407.76</v>
      </c>
      <c r="AD3182">
        <f t="shared" si="297"/>
        <v>10</v>
      </c>
      <c r="AE3182">
        <f t="shared" si="298"/>
        <v>8007.76</v>
      </c>
      <c r="AF3182" t="str">
        <f t="shared" si="299"/>
        <v>Paid</v>
      </c>
    </row>
    <row r="3183" spans="1:32" ht="17.25" thickBot="1" x14ac:dyDescent="0.35">
      <c r="A3183" s="2" t="s">
        <v>18508</v>
      </c>
      <c r="B3183" s="2" t="s">
        <v>27</v>
      </c>
      <c r="C3183" s="2" t="s">
        <v>28</v>
      </c>
      <c r="D3183" s="2" t="s">
        <v>97</v>
      </c>
      <c r="E3183" s="2" t="s">
        <v>17562</v>
      </c>
      <c r="F3183" s="2" t="s">
        <v>31</v>
      </c>
      <c r="G3183" s="2" t="s">
        <v>32</v>
      </c>
      <c r="H3183" s="1"/>
      <c r="I3183" s="2" t="s">
        <v>33</v>
      </c>
      <c r="J3183" s="2" t="s">
        <v>34</v>
      </c>
      <c r="K3183" s="2" t="s">
        <v>18502</v>
      </c>
      <c r="L3183" s="2" t="s">
        <v>18503</v>
      </c>
      <c r="M3183" s="2" t="s">
        <v>3198</v>
      </c>
      <c r="N3183" s="2" t="s">
        <v>38</v>
      </c>
      <c r="O3183" s="2" t="s">
        <v>131</v>
      </c>
      <c r="P3183" s="2" t="s">
        <v>9947</v>
      </c>
      <c r="Q3183" s="2" t="s">
        <v>18509</v>
      </c>
      <c r="R3183" s="2" t="s">
        <v>40</v>
      </c>
      <c r="S3183" s="2" t="s">
        <v>18510</v>
      </c>
      <c r="T3183" s="2" t="s">
        <v>9849</v>
      </c>
      <c r="U3183" s="2" t="s">
        <v>18511</v>
      </c>
      <c r="V3183" s="2" t="s">
        <v>18512</v>
      </c>
      <c r="W3183" s="1"/>
      <c r="X3183" s="2" t="s">
        <v>3205</v>
      </c>
      <c r="Y3183" s="2" t="s">
        <v>17583</v>
      </c>
      <c r="AA3183" t="str">
        <f t="shared" si="294"/>
        <v>2025-07</v>
      </c>
      <c r="AB3183" t="str">
        <f t="shared" si="295"/>
        <v/>
      </c>
      <c r="AC3183">
        <f t="shared" si="296"/>
        <v>217631.04</v>
      </c>
      <c r="AD3183">
        <f t="shared" si="297"/>
        <v>40</v>
      </c>
      <c r="AE3183">
        <f t="shared" si="298"/>
        <v>32031.040000000001</v>
      </c>
      <c r="AF3183" t="str">
        <f t="shared" si="299"/>
        <v>Paid</v>
      </c>
    </row>
    <row r="3184" spans="1:32" ht="27.75" thickBot="1" x14ac:dyDescent="0.35">
      <c r="A3184" s="2" t="s">
        <v>18513</v>
      </c>
      <c r="B3184" s="2" t="s">
        <v>27</v>
      </c>
      <c r="C3184" s="2" t="s">
        <v>28</v>
      </c>
      <c r="D3184" s="2" t="s">
        <v>97</v>
      </c>
      <c r="E3184" s="2" t="s">
        <v>17562</v>
      </c>
      <c r="F3184" s="2" t="s">
        <v>31</v>
      </c>
      <c r="G3184" s="2" t="s">
        <v>32</v>
      </c>
      <c r="H3184" s="1"/>
      <c r="I3184" s="2" t="s">
        <v>33</v>
      </c>
      <c r="J3184" s="2" t="s">
        <v>34</v>
      </c>
      <c r="K3184" s="2" t="s">
        <v>16270</v>
      </c>
      <c r="L3184" s="2" t="s">
        <v>16271</v>
      </c>
      <c r="M3184" s="2" t="s">
        <v>1757</v>
      </c>
      <c r="N3184" s="2" t="s">
        <v>38</v>
      </c>
      <c r="O3184" s="2" t="s">
        <v>228</v>
      </c>
      <c r="P3184" s="2" t="s">
        <v>5876</v>
      </c>
      <c r="Q3184" s="2" t="s">
        <v>18514</v>
      </c>
      <c r="R3184" s="2" t="s">
        <v>40</v>
      </c>
      <c r="S3184" s="2" t="s">
        <v>18515</v>
      </c>
      <c r="T3184" s="2" t="s">
        <v>8172</v>
      </c>
      <c r="U3184" s="2" t="s">
        <v>18516</v>
      </c>
      <c r="V3184" s="2" t="s">
        <v>18517</v>
      </c>
      <c r="W3184" s="1"/>
      <c r="X3184" s="2" t="s">
        <v>1073</v>
      </c>
      <c r="Y3184" s="2" t="s">
        <v>17583</v>
      </c>
      <c r="AA3184" t="str">
        <f t="shared" si="294"/>
        <v>2025-07</v>
      </c>
      <c r="AB3184" t="str">
        <f t="shared" si="295"/>
        <v/>
      </c>
      <c r="AC3184">
        <f t="shared" si="296"/>
        <v>9638328</v>
      </c>
      <c r="AD3184">
        <f t="shared" si="297"/>
        <v>1400</v>
      </c>
      <c r="AE3184">
        <f t="shared" si="298"/>
        <v>2510928</v>
      </c>
      <c r="AF3184" t="str">
        <f t="shared" si="299"/>
        <v>Paid</v>
      </c>
    </row>
    <row r="3185" spans="1:32" ht="17.25" thickBot="1" x14ac:dyDescent="0.35">
      <c r="A3185" s="2" t="s">
        <v>18518</v>
      </c>
      <c r="B3185" s="2" t="s">
        <v>27</v>
      </c>
      <c r="C3185" s="2" t="s">
        <v>28</v>
      </c>
      <c r="D3185" s="2" t="s">
        <v>97</v>
      </c>
      <c r="E3185" s="2" t="s">
        <v>17562</v>
      </c>
      <c r="F3185" s="2" t="s">
        <v>31</v>
      </c>
      <c r="G3185" s="2" t="s">
        <v>32</v>
      </c>
      <c r="H3185" s="1"/>
      <c r="I3185" s="2" t="s">
        <v>33</v>
      </c>
      <c r="J3185" s="2" t="s">
        <v>34</v>
      </c>
      <c r="K3185" s="2" t="s">
        <v>18519</v>
      </c>
      <c r="L3185" s="2" t="s">
        <v>18520</v>
      </c>
      <c r="M3185" s="2" t="s">
        <v>18521</v>
      </c>
      <c r="N3185" s="2" t="s">
        <v>38</v>
      </c>
      <c r="O3185" s="2" t="s">
        <v>156</v>
      </c>
      <c r="P3185" s="2" t="s">
        <v>18522</v>
      </c>
      <c r="Q3185" s="2" t="s">
        <v>18523</v>
      </c>
      <c r="R3185" s="2" t="s">
        <v>40</v>
      </c>
      <c r="S3185" s="2" t="s">
        <v>18524</v>
      </c>
      <c r="T3185" s="2" t="s">
        <v>18525</v>
      </c>
      <c r="U3185" s="2" t="s">
        <v>18526</v>
      </c>
      <c r="V3185" s="2" t="s">
        <v>18527</v>
      </c>
      <c r="W3185" s="1"/>
      <c r="X3185" s="2" t="s">
        <v>10266</v>
      </c>
      <c r="Y3185" s="2" t="s">
        <v>17583</v>
      </c>
      <c r="AA3185" t="str">
        <f t="shared" si="294"/>
        <v>2025-07</v>
      </c>
      <c r="AB3185" t="str">
        <f t="shared" si="295"/>
        <v/>
      </c>
      <c r="AC3185">
        <f t="shared" si="296"/>
        <v>379918.56</v>
      </c>
      <c r="AD3185">
        <f t="shared" si="297"/>
        <v>20</v>
      </c>
      <c r="AE3185">
        <f t="shared" si="298"/>
        <v>121518.56</v>
      </c>
      <c r="AF3185" t="str">
        <f t="shared" si="299"/>
        <v>Paid</v>
      </c>
    </row>
    <row r="3186" spans="1:32" ht="27.75" thickBot="1" x14ac:dyDescent="0.35">
      <c r="A3186" s="2" t="s">
        <v>18528</v>
      </c>
      <c r="B3186" s="2" t="s">
        <v>27</v>
      </c>
      <c r="C3186" s="2" t="s">
        <v>28</v>
      </c>
      <c r="D3186" s="2" t="s">
        <v>97</v>
      </c>
      <c r="E3186" s="2" t="s">
        <v>17562</v>
      </c>
      <c r="F3186" s="2" t="s">
        <v>31</v>
      </c>
      <c r="G3186" s="2" t="s">
        <v>32</v>
      </c>
      <c r="H3186" s="1"/>
      <c r="I3186" s="2" t="s">
        <v>33</v>
      </c>
      <c r="J3186" s="2" t="s">
        <v>34</v>
      </c>
      <c r="K3186" s="2" t="s">
        <v>17555</v>
      </c>
      <c r="L3186" s="2" t="s">
        <v>17556</v>
      </c>
      <c r="M3186" s="2" t="s">
        <v>17557</v>
      </c>
      <c r="N3186" s="2" t="s">
        <v>38</v>
      </c>
      <c r="O3186" s="2" t="s">
        <v>156</v>
      </c>
      <c r="P3186" s="2" t="s">
        <v>5455</v>
      </c>
      <c r="Q3186" s="2" t="s">
        <v>18529</v>
      </c>
      <c r="R3186" s="2" t="s">
        <v>40</v>
      </c>
      <c r="S3186" s="2" t="s">
        <v>18530</v>
      </c>
      <c r="T3186" s="2" t="s">
        <v>9272</v>
      </c>
      <c r="U3186" s="2" t="s">
        <v>18531</v>
      </c>
      <c r="V3186" s="2" t="s">
        <v>18532</v>
      </c>
      <c r="W3186" s="1"/>
      <c r="X3186" s="2" t="s">
        <v>15237</v>
      </c>
      <c r="Y3186" s="2" t="s">
        <v>17583</v>
      </c>
      <c r="AA3186" t="str">
        <f t="shared" si="294"/>
        <v>2025-07</v>
      </c>
      <c r="AB3186" t="str">
        <f t="shared" si="295"/>
        <v/>
      </c>
      <c r="AC3186">
        <f t="shared" si="296"/>
        <v>151325.76000000001</v>
      </c>
      <c r="AD3186">
        <f t="shared" si="297"/>
        <v>20</v>
      </c>
      <c r="AE3186">
        <f t="shared" si="298"/>
        <v>62225.760000000002</v>
      </c>
      <c r="AF3186" t="str">
        <f t="shared" si="299"/>
        <v>Paid</v>
      </c>
    </row>
    <row r="3187" spans="1:32" ht="27.75" thickBot="1" x14ac:dyDescent="0.35">
      <c r="A3187" s="2" t="s">
        <v>18533</v>
      </c>
      <c r="B3187" s="2" t="s">
        <v>27</v>
      </c>
      <c r="C3187" s="2" t="s">
        <v>28</v>
      </c>
      <c r="D3187" s="2" t="s">
        <v>97</v>
      </c>
      <c r="E3187" s="2" t="s">
        <v>17562</v>
      </c>
      <c r="F3187" s="2" t="s">
        <v>31</v>
      </c>
      <c r="G3187" s="2" t="s">
        <v>32</v>
      </c>
      <c r="H3187" s="1"/>
      <c r="I3187" s="2" t="s">
        <v>33</v>
      </c>
      <c r="J3187" s="2" t="s">
        <v>34</v>
      </c>
      <c r="K3187" s="2" t="s">
        <v>18534</v>
      </c>
      <c r="L3187" s="2" t="s">
        <v>18535</v>
      </c>
      <c r="M3187" s="2" t="s">
        <v>13465</v>
      </c>
      <c r="N3187" s="2" t="s">
        <v>38</v>
      </c>
      <c r="O3187" s="2" t="s">
        <v>214</v>
      </c>
      <c r="P3187" s="2" t="s">
        <v>18536</v>
      </c>
      <c r="Q3187" s="2" t="s">
        <v>18537</v>
      </c>
      <c r="R3187" s="2" t="s">
        <v>40</v>
      </c>
      <c r="S3187" s="2" t="s">
        <v>18538</v>
      </c>
      <c r="T3187" s="2" t="s">
        <v>18539</v>
      </c>
      <c r="U3187" s="2" t="s">
        <v>18540</v>
      </c>
      <c r="V3187" s="2" t="s">
        <v>18541</v>
      </c>
      <c r="W3187" s="1"/>
      <c r="X3187" s="2" t="s">
        <v>6663</v>
      </c>
      <c r="Y3187" s="2" t="s">
        <v>17583</v>
      </c>
      <c r="AA3187" t="str">
        <f t="shared" si="294"/>
        <v>2025-07</v>
      </c>
      <c r="AB3187" t="str">
        <f t="shared" si="295"/>
        <v/>
      </c>
      <c r="AC3187">
        <f t="shared" si="296"/>
        <v>127664.4</v>
      </c>
      <c r="AD3187">
        <f t="shared" si="297"/>
        <v>50</v>
      </c>
      <c r="AE3187">
        <f t="shared" si="298"/>
        <v>28764.400000000001</v>
      </c>
      <c r="AF3187" t="str">
        <f t="shared" si="299"/>
        <v>Paid</v>
      </c>
    </row>
    <row r="3188" spans="1:32" ht="27.75" thickBot="1" x14ac:dyDescent="0.35">
      <c r="A3188" s="2" t="s">
        <v>18542</v>
      </c>
      <c r="B3188" s="2" t="s">
        <v>27</v>
      </c>
      <c r="C3188" s="2" t="s">
        <v>28</v>
      </c>
      <c r="D3188" s="2" t="s">
        <v>97</v>
      </c>
      <c r="E3188" s="2" t="s">
        <v>17562</v>
      </c>
      <c r="F3188" s="2" t="s">
        <v>31</v>
      </c>
      <c r="G3188" s="2" t="s">
        <v>32</v>
      </c>
      <c r="H3188" s="1"/>
      <c r="I3188" s="2" t="s">
        <v>33</v>
      </c>
      <c r="J3188" s="2" t="s">
        <v>34</v>
      </c>
      <c r="K3188" s="2" t="s">
        <v>13463</v>
      </c>
      <c r="L3188" s="2" t="s">
        <v>13464</v>
      </c>
      <c r="M3188" s="2" t="s">
        <v>13465</v>
      </c>
      <c r="N3188" s="2" t="s">
        <v>38</v>
      </c>
      <c r="O3188" s="2" t="s">
        <v>214</v>
      </c>
      <c r="P3188" s="2" t="s">
        <v>18536</v>
      </c>
      <c r="Q3188" s="2" t="s">
        <v>18537</v>
      </c>
      <c r="R3188" s="2" t="s">
        <v>40</v>
      </c>
      <c r="S3188" s="2" t="s">
        <v>18538</v>
      </c>
      <c r="T3188" s="2" t="s">
        <v>13469</v>
      </c>
      <c r="U3188" s="2" t="s">
        <v>18543</v>
      </c>
      <c r="V3188" s="2" t="s">
        <v>18544</v>
      </c>
      <c r="W3188" s="1"/>
      <c r="X3188" s="2" t="s">
        <v>13060</v>
      </c>
      <c r="Y3188" s="2" t="s">
        <v>17583</v>
      </c>
      <c r="AA3188" t="str">
        <f t="shared" si="294"/>
        <v>2025-07</v>
      </c>
      <c r="AB3188" t="str">
        <f t="shared" si="295"/>
        <v/>
      </c>
      <c r="AC3188">
        <f t="shared" si="296"/>
        <v>127664.4</v>
      </c>
      <c r="AD3188">
        <f t="shared" si="297"/>
        <v>50</v>
      </c>
      <c r="AE3188">
        <f t="shared" si="298"/>
        <v>50364.4</v>
      </c>
      <c r="AF3188" t="str">
        <f t="shared" si="299"/>
        <v>Paid</v>
      </c>
    </row>
    <row r="3189" spans="1:32" ht="27.75" thickBot="1" x14ac:dyDescent="0.35">
      <c r="A3189" s="2" t="s">
        <v>18545</v>
      </c>
      <c r="B3189" s="2" t="s">
        <v>27</v>
      </c>
      <c r="C3189" s="2" t="s">
        <v>28</v>
      </c>
      <c r="D3189" s="2" t="s">
        <v>97</v>
      </c>
      <c r="E3189" s="2" t="s">
        <v>17562</v>
      </c>
      <c r="F3189" s="2" t="s">
        <v>31</v>
      </c>
      <c r="G3189" s="2" t="s">
        <v>32</v>
      </c>
      <c r="H3189" s="1"/>
      <c r="I3189" s="2" t="s">
        <v>33</v>
      </c>
      <c r="J3189" s="2" t="s">
        <v>34</v>
      </c>
      <c r="K3189" s="2" t="s">
        <v>18546</v>
      </c>
      <c r="L3189" s="2" t="s">
        <v>18547</v>
      </c>
      <c r="M3189" s="2" t="s">
        <v>13465</v>
      </c>
      <c r="N3189" s="2" t="s">
        <v>38</v>
      </c>
      <c r="O3189" s="2" t="s">
        <v>877</v>
      </c>
      <c r="P3189" s="2" t="s">
        <v>18548</v>
      </c>
      <c r="Q3189" s="2" t="s">
        <v>18549</v>
      </c>
      <c r="R3189" s="2" t="s">
        <v>40</v>
      </c>
      <c r="S3189" s="2" t="s">
        <v>18550</v>
      </c>
      <c r="T3189" s="2" t="s">
        <v>18539</v>
      </c>
      <c r="U3189" s="2" t="s">
        <v>18551</v>
      </c>
      <c r="V3189" s="2" t="s">
        <v>18552</v>
      </c>
      <c r="W3189" s="1"/>
      <c r="X3189" s="2" t="s">
        <v>1795</v>
      </c>
      <c r="Y3189" s="2" t="s">
        <v>17583</v>
      </c>
      <c r="AA3189" t="str">
        <f t="shared" si="294"/>
        <v>2025-07</v>
      </c>
      <c r="AB3189" t="str">
        <f t="shared" si="295"/>
        <v/>
      </c>
      <c r="AC3189">
        <f t="shared" si="296"/>
        <v>220572</v>
      </c>
      <c r="AD3189">
        <f t="shared" si="297"/>
        <v>100</v>
      </c>
      <c r="AE3189">
        <f t="shared" si="298"/>
        <v>22772</v>
      </c>
      <c r="AF3189" t="str">
        <f t="shared" si="299"/>
        <v>Paid</v>
      </c>
    </row>
    <row r="3190" spans="1:32" ht="17.25" thickBot="1" x14ac:dyDescent="0.35">
      <c r="A3190" s="2" t="s">
        <v>18553</v>
      </c>
      <c r="B3190" s="2" t="s">
        <v>27</v>
      </c>
      <c r="C3190" s="2" t="s">
        <v>28</v>
      </c>
      <c r="D3190" s="2" t="s">
        <v>97</v>
      </c>
      <c r="E3190" s="2" t="s">
        <v>17562</v>
      </c>
      <c r="F3190" s="2" t="s">
        <v>31</v>
      </c>
      <c r="G3190" s="2" t="s">
        <v>32</v>
      </c>
      <c r="H3190" s="1"/>
      <c r="I3190" s="2" t="s">
        <v>33</v>
      </c>
      <c r="J3190" s="2" t="s">
        <v>34</v>
      </c>
      <c r="K3190" s="2" t="s">
        <v>18554</v>
      </c>
      <c r="L3190" s="2" t="s">
        <v>18555</v>
      </c>
      <c r="M3190" s="2" t="s">
        <v>13465</v>
      </c>
      <c r="N3190" s="2" t="s">
        <v>38</v>
      </c>
      <c r="O3190" s="2" t="s">
        <v>877</v>
      </c>
      <c r="P3190" s="2" t="s">
        <v>18556</v>
      </c>
      <c r="Q3190" s="2" t="s">
        <v>18557</v>
      </c>
      <c r="R3190" s="2" t="s">
        <v>40</v>
      </c>
      <c r="S3190" s="2" t="s">
        <v>18558</v>
      </c>
      <c r="T3190" s="2" t="s">
        <v>18559</v>
      </c>
      <c r="U3190" s="2" t="s">
        <v>18560</v>
      </c>
      <c r="V3190" s="2" t="s">
        <v>18561</v>
      </c>
      <c r="W3190" s="1"/>
      <c r="X3190" s="2" t="s">
        <v>4206</v>
      </c>
      <c r="Y3190" s="2" t="s">
        <v>17583</v>
      </c>
      <c r="AA3190" t="str">
        <f t="shared" si="294"/>
        <v>2025-07</v>
      </c>
      <c r="AB3190" t="str">
        <f t="shared" si="295"/>
        <v/>
      </c>
      <c r="AC3190">
        <f t="shared" si="296"/>
        <v>1216488</v>
      </c>
      <c r="AD3190">
        <f t="shared" si="297"/>
        <v>100</v>
      </c>
      <c r="AE3190">
        <f t="shared" si="298"/>
        <v>189188</v>
      </c>
      <c r="AF3190" t="str">
        <f t="shared" si="299"/>
        <v>Paid</v>
      </c>
    </row>
    <row r="3191" spans="1:32" ht="17.25" thickBot="1" x14ac:dyDescent="0.35">
      <c r="A3191" s="2" t="s">
        <v>18562</v>
      </c>
      <c r="B3191" s="2" t="s">
        <v>27</v>
      </c>
      <c r="C3191" s="2" t="s">
        <v>28</v>
      </c>
      <c r="D3191" s="2" t="s">
        <v>97</v>
      </c>
      <c r="E3191" s="2" t="s">
        <v>18563</v>
      </c>
      <c r="F3191" s="2" t="s">
        <v>31</v>
      </c>
      <c r="G3191" s="2" t="s">
        <v>32</v>
      </c>
      <c r="H3191" s="1"/>
      <c r="I3191" s="2" t="s">
        <v>33</v>
      </c>
      <c r="J3191" s="2" t="s">
        <v>34</v>
      </c>
      <c r="K3191" s="2" t="s">
        <v>10967</v>
      </c>
      <c r="L3191" s="2" t="s">
        <v>10968</v>
      </c>
      <c r="M3191" s="2" t="s">
        <v>7387</v>
      </c>
      <c r="N3191" s="2" t="s">
        <v>38</v>
      </c>
      <c r="O3191" s="2" t="s">
        <v>18564</v>
      </c>
      <c r="P3191" s="2" t="s">
        <v>18565</v>
      </c>
      <c r="Q3191" s="2" t="s">
        <v>18566</v>
      </c>
      <c r="R3191" s="2" t="s">
        <v>40</v>
      </c>
      <c r="S3191" s="2" t="s">
        <v>18567</v>
      </c>
      <c r="T3191" s="2" t="s">
        <v>7392</v>
      </c>
      <c r="U3191" s="2" t="s">
        <v>18568</v>
      </c>
      <c r="V3191" s="2" t="s">
        <v>18569</v>
      </c>
      <c r="W3191" s="1"/>
      <c r="X3191" s="2" t="s">
        <v>11988</v>
      </c>
      <c r="Y3191" s="2" t="s">
        <v>18570</v>
      </c>
      <c r="AA3191" t="str">
        <f t="shared" si="294"/>
        <v>2025-06</v>
      </c>
      <c r="AB3191" t="str">
        <f t="shared" si="295"/>
        <v>H1_2025</v>
      </c>
      <c r="AC3191">
        <f t="shared" si="296"/>
        <v>37100364</v>
      </c>
      <c r="AD3191">
        <f t="shared" si="297"/>
        <v>2800</v>
      </c>
      <c r="AE3191">
        <f t="shared" si="298"/>
        <v>5432364</v>
      </c>
      <c r="AF3191" t="str">
        <f t="shared" si="299"/>
        <v>Paid</v>
      </c>
    </row>
    <row r="3192" spans="1:32" ht="17.25" thickBot="1" x14ac:dyDescent="0.35">
      <c r="A3192" s="2" t="s">
        <v>18571</v>
      </c>
      <c r="B3192" s="2" t="s">
        <v>27</v>
      </c>
      <c r="C3192" s="2" t="s">
        <v>28</v>
      </c>
      <c r="D3192" s="2" t="s">
        <v>97</v>
      </c>
      <c r="E3192" s="2" t="s">
        <v>18563</v>
      </c>
      <c r="F3192" s="2" t="s">
        <v>31</v>
      </c>
      <c r="G3192" s="2" t="s">
        <v>32</v>
      </c>
      <c r="H3192" s="1"/>
      <c r="I3192" s="2" t="s">
        <v>33</v>
      </c>
      <c r="J3192" s="2" t="s">
        <v>34</v>
      </c>
      <c r="K3192" s="2" t="s">
        <v>10975</v>
      </c>
      <c r="L3192" s="2" t="s">
        <v>10976</v>
      </c>
      <c r="M3192" s="2" t="s">
        <v>7387</v>
      </c>
      <c r="N3192" s="2" t="s">
        <v>38</v>
      </c>
      <c r="O3192" s="2" t="s">
        <v>849</v>
      </c>
      <c r="P3192" s="2" t="s">
        <v>18572</v>
      </c>
      <c r="Q3192" s="2" t="s">
        <v>18573</v>
      </c>
      <c r="R3192" s="2" t="s">
        <v>40</v>
      </c>
      <c r="S3192" s="2" t="s">
        <v>18574</v>
      </c>
      <c r="T3192" s="2" t="s">
        <v>2273</v>
      </c>
      <c r="U3192" s="2" t="s">
        <v>18575</v>
      </c>
      <c r="V3192" s="2" t="s">
        <v>18576</v>
      </c>
      <c r="W3192" s="1"/>
      <c r="X3192" s="2" t="s">
        <v>6902</v>
      </c>
      <c r="Y3192" s="2" t="s">
        <v>18570</v>
      </c>
      <c r="AA3192" t="str">
        <f t="shared" si="294"/>
        <v>2025-06</v>
      </c>
      <c r="AB3192" t="str">
        <f t="shared" si="295"/>
        <v>H1_2025</v>
      </c>
      <c r="AC3192">
        <f t="shared" si="296"/>
        <v>2541048</v>
      </c>
      <c r="AD3192">
        <f t="shared" si="297"/>
        <v>160</v>
      </c>
      <c r="AE3192">
        <f t="shared" si="298"/>
        <v>606648</v>
      </c>
      <c r="AF3192" t="str">
        <f t="shared" si="299"/>
        <v>Paid</v>
      </c>
    </row>
    <row r="3193" spans="1:32" ht="17.25" thickBot="1" x14ac:dyDescent="0.35">
      <c r="A3193" s="2" t="s">
        <v>18577</v>
      </c>
      <c r="B3193" s="2" t="s">
        <v>27</v>
      </c>
      <c r="C3193" s="2" t="s">
        <v>28</v>
      </c>
      <c r="D3193" s="2" t="s">
        <v>97</v>
      </c>
      <c r="E3193" s="2" t="s">
        <v>18563</v>
      </c>
      <c r="F3193" s="2" t="s">
        <v>31</v>
      </c>
      <c r="G3193" s="2" t="s">
        <v>32</v>
      </c>
      <c r="H3193" s="1"/>
      <c r="I3193" s="2" t="s">
        <v>33</v>
      </c>
      <c r="J3193" s="2" t="s">
        <v>34</v>
      </c>
      <c r="K3193" s="2" t="s">
        <v>18578</v>
      </c>
      <c r="L3193" s="2" t="s">
        <v>18579</v>
      </c>
      <c r="M3193" s="2" t="s">
        <v>7387</v>
      </c>
      <c r="N3193" s="2" t="s">
        <v>38</v>
      </c>
      <c r="O3193" s="2" t="s">
        <v>18580</v>
      </c>
      <c r="P3193" s="2" t="s">
        <v>18565</v>
      </c>
      <c r="Q3193" s="2" t="s">
        <v>6106</v>
      </c>
      <c r="R3193" s="2" t="s">
        <v>40</v>
      </c>
      <c r="S3193" s="2" t="s">
        <v>18581</v>
      </c>
      <c r="T3193" s="2" t="s">
        <v>7392</v>
      </c>
      <c r="U3193" s="2" t="s">
        <v>18582</v>
      </c>
      <c r="V3193" s="2" t="s">
        <v>18583</v>
      </c>
      <c r="W3193" s="1"/>
      <c r="X3193" s="2" t="s">
        <v>11988</v>
      </c>
      <c r="Y3193" s="2" t="s">
        <v>18570</v>
      </c>
      <c r="AA3193" t="str">
        <f t="shared" si="294"/>
        <v>2025-06</v>
      </c>
      <c r="AB3193" t="str">
        <f t="shared" si="295"/>
        <v>H1_2025</v>
      </c>
      <c r="AC3193">
        <f t="shared" si="296"/>
        <v>225252210</v>
      </c>
      <c r="AD3193">
        <f t="shared" si="297"/>
        <v>17000</v>
      </c>
      <c r="AE3193">
        <f t="shared" si="298"/>
        <v>32982210</v>
      </c>
      <c r="AF3193" t="str">
        <f t="shared" si="299"/>
        <v>Paid</v>
      </c>
    </row>
    <row r="3194" spans="1:32" ht="27.75" thickBot="1" x14ac:dyDescent="0.35">
      <c r="A3194" s="2" t="s">
        <v>18584</v>
      </c>
      <c r="B3194" s="2" t="s">
        <v>27</v>
      </c>
      <c r="C3194" s="2" t="s">
        <v>28</v>
      </c>
      <c r="D3194" s="2" t="s">
        <v>97</v>
      </c>
      <c r="E3194" s="2" t="s">
        <v>18563</v>
      </c>
      <c r="F3194" s="2" t="s">
        <v>31</v>
      </c>
      <c r="G3194" s="2" t="s">
        <v>32</v>
      </c>
      <c r="H3194" s="1"/>
      <c r="I3194" s="2" t="s">
        <v>33</v>
      </c>
      <c r="J3194" s="2" t="s">
        <v>34</v>
      </c>
      <c r="K3194" s="2" t="s">
        <v>17028</v>
      </c>
      <c r="L3194" s="2" t="s">
        <v>17029</v>
      </c>
      <c r="M3194" s="2" t="s">
        <v>194</v>
      </c>
      <c r="N3194" s="2" t="s">
        <v>38</v>
      </c>
      <c r="O3194" s="2" t="s">
        <v>177</v>
      </c>
      <c r="P3194" s="2" t="s">
        <v>18585</v>
      </c>
      <c r="Q3194" s="2" t="s">
        <v>18586</v>
      </c>
      <c r="R3194" s="2" t="s">
        <v>40</v>
      </c>
      <c r="S3194" s="2" t="s">
        <v>18587</v>
      </c>
      <c r="T3194" s="2" t="s">
        <v>17033</v>
      </c>
      <c r="U3194" s="2" t="s">
        <v>18588</v>
      </c>
      <c r="V3194" s="2" t="s">
        <v>18589</v>
      </c>
      <c r="W3194" s="1"/>
      <c r="X3194" s="2" t="s">
        <v>1427</v>
      </c>
      <c r="Y3194" s="2" t="s">
        <v>18570</v>
      </c>
      <c r="AA3194" t="str">
        <f t="shared" si="294"/>
        <v>2025-06</v>
      </c>
      <c r="AB3194" t="str">
        <f t="shared" si="295"/>
        <v>H1_2025</v>
      </c>
      <c r="AC3194">
        <f t="shared" si="296"/>
        <v>5953920</v>
      </c>
      <c r="AD3194">
        <f t="shared" si="297"/>
        <v>400</v>
      </c>
      <c r="AE3194">
        <f t="shared" si="298"/>
        <v>1444720</v>
      </c>
      <c r="AF3194" t="str">
        <f t="shared" si="299"/>
        <v>Paid</v>
      </c>
    </row>
    <row r="3195" spans="1:32" ht="17.25" thickBot="1" x14ac:dyDescent="0.35">
      <c r="A3195" s="2" t="s">
        <v>18590</v>
      </c>
      <c r="B3195" s="2" t="s">
        <v>27</v>
      </c>
      <c r="C3195" s="2" t="s">
        <v>28</v>
      </c>
      <c r="D3195" s="2" t="s">
        <v>97</v>
      </c>
      <c r="E3195" s="2" t="s">
        <v>18563</v>
      </c>
      <c r="F3195" s="2" t="s">
        <v>31</v>
      </c>
      <c r="G3195" s="2" t="s">
        <v>32</v>
      </c>
      <c r="H3195" s="1"/>
      <c r="I3195" s="2" t="s">
        <v>33</v>
      </c>
      <c r="J3195" s="2" t="s">
        <v>34</v>
      </c>
      <c r="K3195" s="2" t="s">
        <v>18591</v>
      </c>
      <c r="L3195" s="2" t="s">
        <v>18592</v>
      </c>
      <c r="M3195" s="2" t="s">
        <v>70</v>
      </c>
      <c r="N3195" s="2" t="s">
        <v>38</v>
      </c>
      <c r="O3195" s="2" t="s">
        <v>71</v>
      </c>
      <c r="P3195" s="2" t="s">
        <v>18593</v>
      </c>
      <c r="Q3195" s="2" t="s">
        <v>18594</v>
      </c>
      <c r="R3195" s="2" t="s">
        <v>40</v>
      </c>
      <c r="S3195" s="2" t="s">
        <v>18595</v>
      </c>
      <c r="T3195" s="2" t="s">
        <v>18596</v>
      </c>
      <c r="U3195" s="2" t="s">
        <v>13136</v>
      </c>
      <c r="V3195" s="2" t="s">
        <v>18597</v>
      </c>
      <c r="W3195" s="1"/>
      <c r="X3195" s="2" t="s">
        <v>3589</v>
      </c>
      <c r="Y3195" s="2" t="s">
        <v>18570</v>
      </c>
      <c r="AA3195" t="str">
        <f t="shared" si="294"/>
        <v>2025-06</v>
      </c>
      <c r="AB3195" t="str">
        <f t="shared" si="295"/>
        <v>H1_2025</v>
      </c>
      <c r="AC3195">
        <f t="shared" si="296"/>
        <v>1142940</v>
      </c>
      <c r="AD3195">
        <f t="shared" si="297"/>
        <v>2000</v>
      </c>
      <c r="AE3195">
        <f t="shared" si="298"/>
        <v>232940</v>
      </c>
      <c r="AF3195" t="str">
        <f t="shared" si="299"/>
        <v>Paid</v>
      </c>
    </row>
    <row r="3196" spans="1:32" ht="17.25" thickBot="1" x14ac:dyDescent="0.35">
      <c r="A3196" s="2" t="s">
        <v>18598</v>
      </c>
      <c r="B3196" s="2" t="s">
        <v>27</v>
      </c>
      <c r="C3196" s="2" t="s">
        <v>28</v>
      </c>
      <c r="D3196" s="2" t="s">
        <v>97</v>
      </c>
      <c r="E3196" s="2" t="s">
        <v>18563</v>
      </c>
      <c r="F3196" s="2" t="s">
        <v>31</v>
      </c>
      <c r="G3196" s="2" t="s">
        <v>32</v>
      </c>
      <c r="H3196" s="1"/>
      <c r="I3196" s="2" t="s">
        <v>33</v>
      </c>
      <c r="J3196" s="2" t="s">
        <v>34</v>
      </c>
      <c r="K3196" s="2" t="s">
        <v>18599</v>
      </c>
      <c r="L3196" s="2" t="s">
        <v>18600</v>
      </c>
      <c r="M3196" s="2" t="s">
        <v>70</v>
      </c>
      <c r="N3196" s="2" t="s">
        <v>38</v>
      </c>
      <c r="O3196" s="2" t="s">
        <v>71</v>
      </c>
      <c r="P3196" s="2" t="s">
        <v>18593</v>
      </c>
      <c r="Q3196" s="2" t="s">
        <v>18594</v>
      </c>
      <c r="R3196" s="2" t="s">
        <v>40</v>
      </c>
      <c r="S3196" s="2" t="s">
        <v>18595</v>
      </c>
      <c r="T3196" s="2" t="s">
        <v>18596</v>
      </c>
      <c r="U3196" s="2" t="s">
        <v>13136</v>
      </c>
      <c r="V3196" s="2" t="s">
        <v>18597</v>
      </c>
      <c r="W3196" s="1"/>
      <c r="X3196" s="2" t="s">
        <v>3589</v>
      </c>
      <c r="Y3196" s="2" t="s">
        <v>18570</v>
      </c>
      <c r="AA3196" t="str">
        <f t="shared" si="294"/>
        <v>2025-06</v>
      </c>
      <c r="AB3196" t="str">
        <f t="shared" si="295"/>
        <v>H1_2025</v>
      </c>
      <c r="AC3196">
        <f t="shared" si="296"/>
        <v>1142940</v>
      </c>
      <c r="AD3196">
        <f t="shared" si="297"/>
        <v>2000</v>
      </c>
      <c r="AE3196">
        <f t="shared" si="298"/>
        <v>232940</v>
      </c>
      <c r="AF3196" t="str">
        <f t="shared" si="299"/>
        <v>Paid</v>
      </c>
    </row>
    <row r="3197" spans="1:32" ht="17.25" thickBot="1" x14ac:dyDescent="0.35">
      <c r="A3197" s="2" t="s">
        <v>18601</v>
      </c>
      <c r="B3197" s="2" t="s">
        <v>27</v>
      </c>
      <c r="C3197" s="2" t="s">
        <v>28</v>
      </c>
      <c r="D3197" s="2" t="s">
        <v>97</v>
      </c>
      <c r="E3197" s="2" t="s">
        <v>18563</v>
      </c>
      <c r="F3197" s="2" t="s">
        <v>31</v>
      </c>
      <c r="G3197" s="2" t="s">
        <v>32</v>
      </c>
      <c r="H3197" s="1"/>
      <c r="I3197" s="2" t="s">
        <v>33</v>
      </c>
      <c r="J3197" s="2" t="s">
        <v>34</v>
      </c>
      <c r="K3197" s="2" t="s">
        <v>18602</v>
      </c>
      <c r="L3197" s="2" t="s">
        <v>18603</v>
      </c>
      <c r="M3197" s="2" t="s">
        <v>10280</v>
      </c>
      <c r="N3197" s="2" t="s">
        <v>38</v>
      </c>
      <c r="O3197" s="2" t="s">
        <v>71</v>
      </c>
      <c r="P3197" s="2" t="s">
        <v>160</v>
      </c>
      <c r="Q3197" s="2" t="s">
        <v>10437</v>
      </c>
      <c r="R3197" s="2" t="s">
        <v>40</v>
      </c>
      <c r="S3197" s="2" t="s">
        <v>18604</v>
      </c>
      <c r="T3197" s="2" t="s">
        <v>18605</v>
      </c>
      <c r="U3197" s="2" t="s">
        <v>18606</v>
      </c>
      <c r="V3197" s="2" t="s">
        <v>18607</v>
      </c>
      <c r="W3197" s="1"/>
      <c r="X3197" s="2" t="s">
        <v>18608</v>
      </c>
      <c r="Y3197" s="2" t="s">
        <v>18570</v>
      </c>
      <c r="AA3197" t="str">
        <f t="shared" si="294"/>
        <v>2025-06</v>
      </c>
      <c r="AB3197" t="str">
        <f t="shared" si="295"/>
        <v>H1_2025</v>
      </c>
      <c r="AC3197">
        <f t="shared" si="296"/>
        <v>2126400</v>
      </c>
      <c r="AD3197">
        <f t="shared" si="297"/>
        <v>2000</v>
      </c>
      <c r="AE3197">
        <f t="shared" si="298"/>
        <v>1693480</v>
      </c>
      <c r="AF3197" t="str">
        <f t="shared" si="299"/>
        <v>Paid</v>
      </c>
    </row>
    <row r="3198" spans="1:32" ht="17.25" thickBot="1" x14ac:dyDescent="0.35">
      <c r="A3198" s="2" t="s">
        <v>18609</v>
      </c>
      <c r="B3198" s="2" t="s">
        <v>27</v>
      </c>
      <c r="C3198" s="2" t="s">
        <v>28</v>
      </c>
      <c r="D3198" s="2" t="s">
        <v>97</v>
      </c>
      <c r="E3198" s="2" t="s">
        <v>18563</v>
      </c>
      <c r="F3198" s="2" t="s">
        <v>31</v>
      </c>
      <c r="G3198" s="2" t="s">
        <v>32</v>
      </c>
      <c r="H3198" s="1"/>
      <c r="I3198" s="2" t="s">
        <v>33</v>
      </c>
      <c r="J3198" s="2" t="s">
        <v>34</v>
      </c>
      <c r="K3198" s="2" t="s">
        <v>18610</v>
      </c>
      <c r="L3198" s="2" t="s">
        <v>18611</v>
      </c>
      <c r="M3198" s="2" t="s">
        <v>10280</v>
      </c>
      <c r="N3198" s="2" t="s">
        <v>38</v>
      </c>
      <c r="O3198" s="2" t="s">
        <v>71</v>
      </c>
      <c r="P3198" s="2" t="s">
        <v>18612</v>
      </c>
      <c r="Q3198" s="2" t="s">
        <v>11021</v>
      </c>
      <c r="R3198" s="2" t="s">
        <v>40</v>
      </c>
      <c r="S3198" s="2" t="s">
        <v>18613</v>
      </c>
      <c r="T3198" s="2" t="s">
        <v>40</v>
      </c>
      <c r="U3198" s="2" t="s">
        <v>40</v>
      </c>
      <c r="V3198" s="2" t="s">
        <v>18613</v>
      </c>
      <c r="W3198" s="1"/>
      <c r="X3198" s="2" t="s">
        <v>2155</v>
      </c>
      <c r="Y3198" s="2" t="s">
        <v>18570</v>
      </c>
      <c r="AA3198" t="str">
        <f t="shared" si="294"/>
        <v>2025-06</v>
      </c>
      <c r="AB3198" t="str">
        <f t="shared" si="295"/>
        <v>H1_2025</v>
      </c>
      <c r="AC3198">
        <f t="shared" si="296"/>
        <v>2020080</v>
      </c>
      <c r="AD3198">
        <f t="shared" si="297"/>
        <v>2000</v>
      </c>
      <c r="AE3198">
        <f t="shared" si="298"/>
        <v>2020080</v>
      </c>
      <c r="AF3198" t="str">
        <f t="shared" si="299"/>
        <v>Paid</v>
      </c>
    </row>
    <row r="3199" spans="1:32" ht="27.75" thickBot="1" x14ac:dyDescent="0.35">
      <c r="A3199" s="2" t="s">
        <v>18614</v>
      </c>
      <c r="B3199" s="2" t="s">
        <v>27</v>
      </c>
      <c r="C3199" s="2" t="s">
        <v>28</v>
      </c>
      <c r="D3199" s="2" t="s">
        <v>97</v>
      </c>
      <c r="E3199" s="2" t="s">
        <v>18563</v>
      </c>
      <c r="F3199" s="2" t="s">
        <v>31</v>
      </c>
      <c r="G3199" s="2" t="s">
        <v>32</v>
      </c>
      <c r="H3199" s="1"/>
      <c r="I3199" s="2" t="s">
        <v>33</v>
      </c>
      <c r="J3199" s="2" t="s">
        <v>34</v>
      </c>
      <c r="K3199" s="2" t="s">
        <v>16116</v>
      </c>
      <c r="L3199" s="2" t="s">
        <v>16117</v>
      </c>
      <c r="M3199" s="2" t="s">
        <v>10280</v>
      </c>
      <c r="N3199" s="2" t="s">
        <v>38</v>
      </c>
      <c r="O3199" s="2" t="s">
        <v>6309</v>
      </c>
      <c r="P3199" s="2" t="s">
        <v>16118</v>
      </c>
      <c r="Q3199" s="2" t="s">
        <v>18615</v>
      </c>
      <c r="R3199" s="2" t="s">
        <v>40</v>
      </c>
      <c r="S3199" s="2" t="s">
        <v>18616</v>
      </c>
      <c r="T3199" s="2" t="s">
        <v>12409</v>
      </c>
      <c r="U3199" s="2" t="s">
        <v>18617</v>
      </c>
      <c r="V3199" s="2" t="s">
        <v>18618</v>
      </c>
      <c r="W3199" s="1"/>
      <c r="X3199" s="2" t="s">
        <v>7442</v>
      </c>
      <c r="Y3199" s="2" t="s">
        <v>18570</v>
      </c>
      <c r="AA3199" t="str">
        <f t="shared" si="294"/>
        <v>2025-06</v>
      </c>
      <c r="AB3199" t="str">
        <f t="shared" si="295"/>
        <v>H1_2025</v>
      </c>
      <c r="AC3199">
        <f t="shared" si="296"/>
        <v>2231391</v>
      </c>
      <c r="AD3199">
        <f t="shared" si="297"/>
        <v>1460</v>
      </c>
      <c r="AE3199">
        <f t="shared" si="298"/>
        <v>800591</v>
      </c>
      <c r="AF3199" t="str">
        <f t="shared" si="299"/>
        <v>Paid</v>
      </c>
    </row>
    <row r="3200" spans="1:32" ht="27.75" thickBot="1" x14ac:dyDescent="0.35">
      <c r="A3200" s="2" t="s">
        <v>18619</v>
      </c>
      <c r="B3200" s="2" t="s">
        <v>27</v>
      </c>
      <c r="C3200" s="2" t="s">
        <v>28</v>
      </c>
      <c r="D3200" s="2" t="s">
        <v>97</v>
      </c>
      <c r="E3200" s="2" t="s">
        <v>18563</v>
      </c>
      <c r="F3200" s="2" t="s">
        <v>31</v>
      </c>
      <c r="G3200" s="2" t="s">
        <v>32</v>
      </c>
      <c r="H3200" s="1"/>
      <c r="I3200" s="2" t="s">
        <v>33</v>
      </c>
      <c r="J3200" s="2" t="s">
        <v>34</v>
      </c>
      <c r="K3200" s="2" t="s">
        <v>10797</v>
      </c>
      <c r="L3200" s="2" t="s">
        <v>10798</v>
      </c>
      <c r="M3200" s="2" t="s">
        <v>3067</v>
      </c>
      <c r="N3200" s="2" t="s">
        <v>38</v>
      </c>
      <c r="O3200" s="2" t="s">
        <v>10815</v>
      </c>
      <c r="P3200" s="2" t="s">
        <v>18620</v>
      </c>
      <c r="Q3200" s="2" t="s">
        <v>18621</v>
      </c>
      <c r="R3200" s="2" t="s">
        <v>40</v>
      </c>
      <c r="S3200" s="2" t="s">
        <v>18622</v>
      </c>
      <c r="T3200" s="2" t="s">
        <v>2701</v>
      </c>
      <c r="U3200" s="2" t="s">
        <v>12617</v>
      </c>
      <c r="V3200" s="2" t="s">
        <v>18623</v>
      </c>
      <c r="W3200" s="1"/>
      <c r="X3200" s="2" t="s">
        <v>9074</v>
      </c>
      <c r="Y3200" s="2" t="s">
        <v>18570</v>
      </c>
      <c r="AA3200" t="str">
        <f t="shared" si="294"/>
        <v>2025-06</v>
      </c>
      <c r="AB3200" t="str">
        <f t="shared" si="295"/>
        <v>H1_2025</v>
      </c>
      <c r="AC3200">
        <f t="shared" si="296"/>
        <v>1461900</v>
      </c>
      <c r="AD3200">
        <f t="shared" si="297"/>
        <v>10000</v>
      </c>
      <c r="AE3200">
        <f t="shared" si="298"/>
        <v>461900</v>
      </c>
      <c r="AF3200" t="str">
        <f t="shared" si="299"/>
        <v>Paid</v>
      </c>
    </row>
    <row r="3201" spans="1:32" ht="17.25" thickBot="1" x14ac:dyDescent="0.35">
      <c r="A3201" s="2" t="s">
        <v>18624</v>
      </c>
      <c r="B3201" s="2" t="s">
        <v>27</v>
      </c>
      <c r="C3201" s="2" t="s">
        <v>28</v>
      </c>
      <c r="D3201" s="2" t="s">
        <v>97</v>
      </c>
      <c r="E3201" s="2" t="s">
        <v>18563</v>
      </c>
      <c r="F3201" s="2" t="s">
        <v>31</v>
      </c>
      <c r="G3201" s="2" t="s">
        <v>32</v>
      </c>
      <c r="H3201" s="1"/>
      <c r="I3201" s="2" t="s">
        <v>33</v>
      </c>
      <c r="J3201" s="2" t="s">
        <v>34</v>
      </c>
      <c r="K3201" s="2" t="s">
        <v>10808</v>
      </c>
      <c r="L3201" s="2" t="s">
        <v>10809</v>
      </c>
      <c r="M3201" s="2" t="s">
        <v>3067</v>
      </c>
      <c r="N3201" s="2" t="s">
        <v>38</v>
      </c>
      <c r="O3201" s="2" t="s">
        <v>10815</v>
      </c>
      <c r="P3201" s="2" t="s">
        <v>18620</v>
      </c>
      <c r="Q3201" s="2" t="s">
        <v>18621</v>
      </c>
      <c r="R3201" s="2" t="s">
        <v>40</v>
      </c>
      <c r="S3201" s="2" t="s">
        <v>18622</v>
      </c>
      <c r="T3201" s="2" t="s">
        <v>10810</v>
      </c>
      <c r="U3201" s="2" t="s">
        <v>18625</v>
      </c>
      <c r="V3201" s="2" t="s">
        <v>18626</v>
      </c>
      <c r="W3201" s="1"/>
      <c r="X3201" s="2" t="s">
        <v>10023</v>
      </c>
      <c r="Y3201" s="2" t="s">
        <v>18570</v>
      </c>
      <c r="AA3201" t="str">
        <f t="shared" si="294"/>
        <v>2025-06</v>
      </c>
      <c r="AB3201" t="str">
        <f t="shared" si="295"/>
        <v>H1_2025</v>
      </c>
      <c r="AC3201">
        <f t="shared" si="296"/>
        <v>1461900</v>
      </c>
      <c r="AD3201">
        <f t="shared" si="297"/>
        <v>10000</v>
      </c>
      <c r="AE3201">
        <f t="shared" si="298"/>
        <v>251900</v>
      </c>
      <c r="AF3201" t="str">
        <f t="shared" si="299"/>
        <v>Paid</v>
      </c>
    </row>
    <row r="3202" spans="1:32" ht="27.75" thickBot="1" x14ac:dyDescent="0.35">
      <c r="A3202" s="2" t="s">
        <v>18627</v>
      </c>
      <c r="B3202" s="2" t="s">
        <v>27</v>
      </c>
      <c r="C3202" s="2" t="s">
        <v>28</v>
      </c>
      <c r="D3202" s="2" t="s">
        <v>97</v>
      </c>
      <c r="E3202" s="2" t="s">
        <v>18563</v>
      </c>
      <c r="F3202" s="2" t="s">
        <v>31</v>
      </c>
      <c r="G3202" s="2" t="s">
        <v>32</v>
      </c>
      <c r="H3202" s="1"/>
      <c r="I3202" s="2" t="s">
        <v>33</v>
      </c>
      <c r="J3202" s="2" t="s">
        <v>34</v>
      </c>
      <c r="K3202" s="2" t="s">
        <v>10821</v>
      </c>
      <c r="L3202" s="2" t="s">
        <v>10822</v>
      </c>
      <c r="M3202" s="2" t="s">
        <v>3067</v>
      </c>
      <c r="N3202" s="2" t="s">
        <v>38</v>
      </c>
      <c r="O3202" s="2" t="s">
        <v>877</v>
      </c>
      <c r="P3202" s="2" t="s">
        <v>18620</v>
      </c>
      <c r="Q3202" s="2" t="s">
        <v>18628</v>
      </c>
      <c r="R3202" s="2" t="s">
        <v>40</v>
      </c>
      <c r="S3202" s="2" t="s">
        <v>18629</v>
      </c>
      <c r="T3202" s="2" t="s">
        <v>2701</v>
      </c>
      <c r="U3202" s="2" t="s">
        <v>2111</v>
      </c>
      <c r="V3202" s="2" t="s">
        <v>18630</v>
      </c>
      <c r="W3202" s="1"/>
      <c r="X3202" s="2" t="s">
        <v>9074</v>
      </c>
      <c r="Y3202" s="2" t="s">
        <v>18570</v>
      </c>
      <c r="AA3202" t="str">
        <f t="shared" si="294"/>
        <v>2025-06</v>
      </c>
      <c r="AB3202" t="str">
        <f t="shared" si="295"/>
        <v>H1_2025</v>
      </c>
      <c r="AC3202">
        <f t="shared" si="296"/>
        <v>14619</v>
      </c>
      <c r="AD3202">
        <f t="shared" si="297"/>
        <v>100</v>
      </c>
      <c r="AE3202">
        <f t="shared" si="298"/>
        <v>4619</v>
      </c>
      <c r="AF3202" t="str">
        <f t="shared" si="299"/>
        <v>Paid</v>
      </c>
    </row>
    <row r="3203" spans="1:32" ht="17.25" thickBot="1" x14ac:dyDescent="0.35">
      <c r="A3203" s="2" t="s">
        <v>18631</v>
      </c>
      <c r="B3203" s="2" t="s">
        <v>27</v>
      </c>
      <c r="C3203" s="2" t="s">
        <v>28</v>
      </c>
      <c r="D3203" s="2" t="s">
        <v>97</v>
      </c>
      <c r="E3203" s="2" t="s">
        <v>18563</v>
      </c>
      <c r="F3203" s="2" t="s">
        <v>31</v>
      </c>
      <c r="G3203" s="2" t="s">
        <v>32</v>
      </c>
      <c r="H3203" s="1"/>
      <c r="I3203" s="2" t="s">
        <v>33</v>
      </c>
      <c r="J3203" s="2" t="s">
        <v>34</v>
      </c>
      <c r="K3203" s="2" t="s">
        <v>18632</v>
      </c>
      <c r="L3203" s="2" t="s">
        <v>18633</v>
      </c>
      <c r="M3203" s="2" t="s">
        <v>1686</v>
      </c>
      <c r="N3203" s="2" t="s">
        <v>38</v>
      </c>
      <c r="O3203" s="2" t="s">
        <v>493</v>
      </c>
      <c r="P3203" s="2" t="s">
        <v>18634</v>
      </c>
      <c r="Q3203" s="2" t="s">
        <v>15658</v>
      </c>
      <c r="R3203" s="2" t="s">
        <v>40</v>
      </c>
      <c r="S3203" s="2" t="s">
        <v>18635</v>
      </c>
      <c r="T3203" s="2" t="s">
        <v>18636</v>
      </c>
      <c r="U3203" s="2" t="s">
        <v>9986</v>
      </c>
      <c r="V3203" s="2" t="s">
        <v>18637</v>
      </c>
      <c r="W3203" s="1"/>
      <c r="X3203" s="2" t="s">
        <v>7125</v>
      </c>
      <c r="Y3203" s="2" t="s">
        <v>18570</v>
      </c>
      <c r="AA3203" t="str">
        <f t="shared" si="294"/>
        <v>2025-06</v>
      </c>
      <c r="AB3203" t="str">
        <f t="shared" si="295"/>
        <v>H1_2025</v>
      </c>
      <c r="AC3203">
        <f t="shared" si="296"/>
        <v>373980.6</v>
      </c>
      <c r="AD3203">
        <f t="shared" si="297"/>
        <v>420</v>
      </c>
      <c r="AE3203">
        <f t="shared" si="298"/>
        <v>79980.600000000006</v>
      </c>
      <c r="AF3203" t="str">
        <f t="shared" si="299"/>
        <v>Paid</v>
      </c>
    </row>
    <row r="3204" spans="1:32" ht="17.25" thickBot="1" x14ac:dyDescent="0.35">
      <c r="A3204" s="2" t="s">
        <v>18638</v>
      </c>
      <c r="B3204" s="2" t="s">
        <v>27</v>
      </c>
      <c r="C3204" s="2" t="s">
        <v>28</v>
      </c>
      <c r="D3204" s="2" t="s">
        <v>97</v>
      </c>
      <c r="E3204" s="2" t="s">
        <v>18563</v>
      </c>
      <c r="F3204" s="2" t="s">
        <v>31</v>
      </c>
      <c r="G3204" s="2" t="s">
        <v>32</v>
      </c>
      <c r="H3204" s="1"/>
      <c r="I3204" s="2" t="s">
        <v>33</v>
      </c>
      <c r="J3204" s="2" t="s">
        <v>34</v>
      </c>
      <c r="K3204" s="2" t="s">
        <v>18632</v>
      </c>
      <c r="L3204" s="2" t="s">
        <v>18633</v>
      </c>
      <c r="M3204" s="2" t="s">
        <v>1686</v>
      </c>
      <c r="N3204" s="2" t="s">
        <v>38</v>
      </c>
      <c r="O3204" s="2" t="s">
        <v>159</v>
      </c>
      <c r="P3204" s="2" t="s">
        <v>18634</v>
      </c>
      <c r="Q3204" s="2" t="s">
        <v>9241</v>
      </c>
      <c r="R3204" s="2" t="s">
        <v>40</v>
      </c>
      <c r="S3204" s="2" t="s">
        <v>18639</v>
      </c>
      <c r="T3204" s="2" t="s">
        <v>18636</v>
      </c>
      <c r="U3204" s="2" t="s">
        <v>13292</v>
      </c>
      <c r="V3204" s="2" t="s">
        <v>18640</v>
      </c>
      <c r="W3204" s="1"/>
      <c r="X3204" s="2" t="s">
        <v>7125</v>
      </c>
      <c r="Y3204" s="2" t="s">
        <v>18570</v>
      </c>
      <c r="AA3204" t="str">
        <f t="shared" ref="AA3204:AA3267" si="300">LEFT(E3204,7)</f>
        <v>2025-06</v>
      </c>
      <c r="AB3204" t="str">
        <f t="shared" ref="AB3204:AB3267" si="301">IF(AND($AA3204&gt;="2025-01",$AA3204&lt;="2025-06"),"H1_2025",IF(AND($AA3204&gt;="2026-01",$AA3204&lt;="2026-06"),"H1_2026",""))</f>
        <v>H1_2025</v>
      </c>
      <c r="AC3204">
        <f t="shared" ref="AC3204:AC3267" si="302">IFERROR(VALUE(SUBSTITUTE(S3204,",","")),0)</f>
        <v>71234.399999999994</v>
      </c>
      <c r="AD3204">
        <f t="shared" ref="AD3204:AD3267" si="303">IFERROR(VALUE(SUBSTITUTE(O3204,",","")),0)</f>
        <v>80</v>
      </c>
      <c r="AE3204">
        <f t="shared" ref="AE3204:AE3267" si="304">IFERROR(VALUE(SUBSTITUTE(V3204,",","")),0)</f>
        <v>15234.4</v>
      </c>
      <c r="AF3204" t="str">
        <f t="shared" ref="AF3204:AF3267" si="305">IF(ISNUMBER(SEARCH("FOC",W3204)),"FOC",IF(ISNUMBER(SEARCH("샘플",W3204)),"Sample","Paid"))</f>
        <v>Paid</v>
      </c>
    </row>
    <row r="3205" spans="1:32" ht="27.75" thickBot="1" x14ac:dyDescent="0.35">
      <c r="A3205" s="2" t="s">
        <v>18641</v>
      </c>
      <c r="B3205" s="2" t="s">
        <v>27</v>
      </c>
      <c r="C3205" s="2" t="s">
        <v>28</v>
      </c>
      <c r="D3205" s="2" t="s">
        <v>97</v>
      </c>
      <c r="E3205" s="2" t="s">
        <v>18563</v>
      </c>
      <c r="F3205" s="2" t="s">
        <v>31</v>
      </c>
      <c r="G3205" s="2" t="s">
        <v>32</v>
      </c>
      <c r="H3205" s="1"/>
      <c r="I3205" s="2" t="s">
        <v>33</v>
      </c>
      <c r="J3205" s="2" t="s">
        <v>34</v>
      </c>
      <c r="K3205" s="2" t="s">
        <v>18642</v>
      </c>
      <c r="L3205" s="2" t="s">
        <v>18643</v>
      </c>
      <c r="M3205" s="2" t="s">
        <v>37</v>
      </c>
      <c r="N3205" s="2" t="s">
        <v>38</v>
      </c>
      <c r="O3205" s="2" t="s">
        <v>4729</v>
      </c>
      <c r="P3205" s="2" t="s">
        <v>18644</v>
      </c>
      <c r="Q3205" s="2" t="s">
        <v>18645</v>
      </c>
      <c r="R3205" s="2" t="s">
        <v>40</v>
      </c>
      <c r="S3205" s="2" t="s">
        <v>18646</v>
      </c>
      <c r="T3205" s="2" t="s">
        <v>14635</v>
      </c>
      <c r="U3205" s="2" t="s">
        <v>4835</v>
      </c>
      <c r="V3205" s="2" t="s">
        <v>18647</v>
      </c>
      <c r="W3205" s="1"/>
      <c r="X3205" s="2" t="s">
        <v>7442</v>
      </c>
      <c r="Y3205" s="2" t="s">
        <v>18570</v>
      </c>
      <c r="AA3205" t="str">
        <f t="shared" si="300"/>
        <v>2025-06</v>
      </c>
      <c r="AB3205" t="str">
        <f t="shared" si="301"/>
        <v>H1_2025</v>
      </c>
      <c r="AC3205">
        <f t="shared" si="302"/>
        <v>2059950</v>
      </c>
      <c r="AD3205">
        <f t="shared" si="303"/>
        <v>5000</v>
      </c>
      <c r="AE3205">
        <f t="shared" si="304"/>
        <v>739950</v>
      </c>
      <c r="AF3205" t="str">
        <f t="shared" si="305"/>
        <v>Paid</v>
      </c>
    </row>
    <row r="3206" spans="1:32" ht="27.75" thickBot="1" x14ac:dyDescent="0.35">
      <c r="A3206" s="2" t="s">
        <v>18648</v>
      </c>
      <c r="B3206" s="2" t="s">
        <v>27</v>
      </c>
      <c r="C3206" s="2" t="s">
        <v>28</v>
      </c>
      <c r="D3206" s="2" t="s">
        <v>97</v>
      </c>
      <c r="E3206" s="2" t="s">
        <v>18563</v>
      </c>
      <c r="F3206" s="2" t="s">
        <v>31</v>
      </c>
      <c r="G3206" s="2" t="s">
        <v>32</v>
      </c>
      <c r="H3206" s="1"/>
      <c r="I3206" s="2" t="s">
        <v>33</v>
      </c>
      <c r="J3206" s="2" t="s">
        <v>34</v>
      </c>
      <c r="K3206" s="2" t="s">
        <v>18649</v>
      </c>
      <c r="L3206" s="2" t="s">
        <v>18650</v>
      </c>
      <c r="M3206" s="2" t="s">
        <v>37</v>
      </c>
      <c r="N3206" s="2" t="s">
        <v>38</v>
      </c>
      <c r="O3206" s="2" t="s">
        <v>4729</v>
      </c>
      <c r="P3206" s="2" t="s">
        <v>18644</v>
      </c>
      <c r="Q3206" s="2" t="s">
        <v>18645</v>
      </c>
      <c r="R3206" s="2" t="s">
        <v>40</v>
      </c>
      <c r="S3206" s="2" t="s">
        <v>18646</v>
      </c>
      <c r="T3206" s="2" t="s">
        <v>14635</v>
      </c>
      <c r="U3206" s="2" t="s">
        <v>4835</v>
      </c>
      <c r="V3206" s="2" t="s">
        <v>18647</v>
      </c>
      <c r="W3206" s="1"/>
      <c r="X3206" s="2" t="s">
        <v>7442</v>
      </c>
      <c r="Y3206" s="2" t="s">
        <v>18570</v>
      </c>
      <c r="AA3206" t="str">
        <f t="shared" si="300"/>
        <v>2025-06</v>
      </c>
      <c r="AB3206" t="str">
        <f t="shared" si="301"/>
        <v>H1_2025</v>
      </c>
      <c r="AC3206">
        <f t="shared" si="302"/>
        <v>2059950</v>
      </c>
      <c r="AD3206">
        <f t="shared" si="303"/>
        <v>5000</v>
      </c>
      <c r="AE3206">
        <f t="shared" si="304"/>
        <v>739950</v>
      </c>
      <c r="AF3206" t="str">
        <f t="shared" si="305"/>
        <v>Paid</v>
      </c>
    </row>
    <row r="3207" spans="1:32" ht="41.25" thickBot="1" x14ac:dyDescent="0.35">
      <c r="A3207" s="2" t="s">
        <v>18651</v>
      </c>
      <c r="B3207" s="2" t="s">
        <v>27</v>
      </c>
      <c r="C3207" s="2" t="s">
        <v>28</v>
      </c>
      <c r="D3207" s="2" t="s">
        <v>97</v>
      </c>
      <c r="E3207" s="2" t="s">
        <v>18563</v>
      </c>
      <c r="F3207" s="2" t="s">
        <v>31</v>
      </c>
      <c r="G3207" s="2" t="s">
        <v>32</v>
      </c>
      <c r="H3207" s="1"/>
      <c r="I3207" s="2" t="s">
        <v>33</v>
      </c>
      <c r="J3207" s="2" t="s">
        <v>34</v>
      </c>
      <c r="K3207" s="2" t="s">
        <v>18652</v>
      </c>
      <c r="L3207" s="2" t="s">
        <v>18653</v>
      </c>
      <c r="M3207" s="2" t="s">
        <v>37</v>
      </c>
      <c r="N3207" s="2" t="s">
        <v>38</v>
      </c>
      <c r="O3207" s="2" t="s">
        <v>4729</v>
      </c>
      <c r="P3207" s="2" t="s">
        <v>2655</v>
      </c>
      <c r="Q3207" s="2" t="s">
        <v>1879</v>
      </c>
      <c r="R3207" s="2" t="s">
        <v>40</v>
      </c>
      <c r="S3207" s="2" t="s">
        <v>18654</v>
      </c>
      <c r="T3207" s="2" t="s">
        <v>14635</v>
      </c>
      <c r="U3207" s="2" t="s">
        <v>4835</v>
      </c>
      <c r="V3207" s="2" t="s">
        <v>18655</v>
      </c>
      <c r="W3207" s="1"/>
      <c r="X3207" s="2" t="s">
        <v>18656</v>
      </c>
      <c r="Y3207" s="2" t="s">
        <v>18570</v>
      </c>
      <c r="AA3207" t="str">
        <f t="shared" si="300"/>
        <v>2025-06</v>
      </c>
      <c r="AB3207" t="str">
        <f t="shared" si="301"/>
        <v>H1_2025</v>
      </c>
      <c r="AC3207">
        <f t="shared" si="302"/>
        <v>2591550</v>
      </c>
      <c r="AD3207">
        <f t="shared" si="303"/>
        <v>5000</v>
      </c>
      <c r="AE3207">
        <f t="shared" si="304"/>
        <v>1271550</v>
      </c>
      <c r="AF3207" t="str">
        <f t="shared" si="305"/>
        <v>Paid</v>
      </c>
    </row>
    <row r="3208" spans="1:32" ht="41.25" thickBot="1" x14ac:dyDescent="0.35">
      <c r="A3208" s="2" t="s">
        <v>18657</v>
      </c>
      <c r="B3208" s="2" t="s">
        <v>27</v>
      </c>
      <c r="C3208" s="2" t="s">
        <v>28</v>
      </c>
      <c r="D3208" s="2" t="s">
        <v>97</v>
      </c>
      <c r="E3208" s="2" t="s">
        <v>18563</v>
      </c>
      <c r="F3208" s="2" t="s">
        <v>31</v>
      </c>
      <c r="G3208" s="2" t="s">
        <v>32</v>
      </c>
      <c r="H3208" s="1"/>
      <c r="I3208" s="2" t="s">
        <v>33</v>
      </c>
      <c r="J3208" s="2" t="s">
        <v>34</v>
      </c>
      <c r="K3208" s="2" t="s">
        <v>18658</v>
      </c>
      <c r="L3208" s="2" t="s">
        <v>18659</v>
      </c>
      <c r="M3208" s="2" t="s">
        <v>37</v>
      </c>
      <c r="N3208" s="2" t="s">
        <v>38</v>
      </c>
      <c r="O3208" s="2" t="s">
        <v>4729</v>
      </c>
      <c r="P3208" s="2" t="s">
        <v>18644</v>
      </c>
      <c r="Q3208" s="2" t="s">
        <v>18645</v>
      </c>
      <c r="R3208" s="2" t="s">
        <v>40</v>
      </c>
      <c r="S3208" s="2" t="s">
        <v>18646</v>
      </c>
      <c r="T3208" s="2" t="s">
        <v>14635</v>
      </c>
      <c r="U3208" s="2" t="s">
        <v>4835</v>
      </c>
      <c r="V3208" s="2" t="s">
        <v>18647</v>
      </c>
      <c r="W3208" s="1"/>
      <c r="X3208" s="2" t="s">
        <v>7442</v>
      </c>
      <c r="Y3208" s="2" t="s">
        <v>18570</v>
      </c>
      <c r="AA3208" t="str">
        <f t="shared" si="300"/>
        <v>2025-06</v>
      </c>
      <c r="AB3208" t="str">
        <f t="shared" si="301"/>
        <v>H1_2025</v>
      </c>
      <c r="AC3208">
        <f t="shared" si="302"/>
        <v>2059950</v>
      </c>
      <c r="AD3208">
        <f t="shared" si="303"/>
        <v>5000</v>
      </c>
      <c r="AE3208">
        <f t="shared" si="304"/>
        <v>739950</v>
      </c>
      <c r="AF3208" t="str">
        <f t="shared" si="305"/>
        <v>Paid</v>
      </c>
    </row>
    <row r="3209" spans="1:32" ht="17.25" thickBot="1" x14ac:dyDescent="0.35">
      <c r="A3209" s="2" t="s">
        <v>18660</v>
      </c>
      <c r="B3209" s="2" t="s">
        <v>27</v>
      </c>
      <c r="C3209" s="2" t="s">
        <v>28</v>
      </c>
      <c r="D3209" s="2" t="s">
        <v>97</v>
      </c>
      <c r="E3209" s="2" t="s">
        <v>18563</v>
      </c>
      <c r="F3209" s="2" t="s">
        <v>31</v>
      </c>
      <c r="G3209" s="2" t="s">
        <v>32</v>
      </c>
      <c r="H3209" s="1"/>
      <c r="I3209" s="2" t="s">
        <v>33</v>
      </c>
      <c r="J3209" s="2" t="s">
        <v>34</v>
      </c>
      <c r="K3209" s="2" t="s">
        <v>18661</v>
      </c>
      <c r="L3209" s="2" t="s">
        <v>18662</v>
      </c>
      <c r="M3209" s="2" t="s">
        <v>37</v>
      </c>
      <c r="N3209" s="2" t="s">
        <v>38</v>
      </c>
      <c r="O3209" s="2" t="s">
        <v>4729</v>
      </c>
      <c r="P3209" s="2" t="s">
        <v>18644</v>
      </c>
      <c r="Q3209" s="2" t="s">
        <v>18645</v>
      </c>
      <c r="R3209" s="2" t="s">
        <v>40</v>
      </c>
      <c r="S3209" s="2" t="s">
        <v>18646</v>
      </c>
      <c r="T3209" s="2" t="s">
        <v>14635</v>
      </c>
      <c r="U3209" s="2" t="s">
        <v>4835</v>
      </c>
      <c r="V3209" s="2" t="s">
        <v>18647</v>
      </c>
      <c r="W3209" s="1"/>
      <c r="X3209" s="2" t="s">
        <v>7442</v>
      </c>
      <c r="Y3209" s="2" t="s">
        <v>18570</v>
      </c>
      <c r="AA3209" t="str">
        <f t="shared" si="300"/>
        <v>2025-06</v>
      </c>
      <c r="AB3209" t="str">
        <f t="shared" si="301"/>
        <v>H1_2025</v>
      </c>
      <c r="AC3209">
        <f t="shared" si="302"/>
        <v>2059950</v>
      </c>
      <c r="AD3209">
        <f t="shared" si="303"/>
        <v>5000</v>
      </c>
      <c r="AE3209">
        <f t="shared" si="304"/>
        <v>739950</v>
      </c>
      <c r="AF3209" t="str">
        <f t="shared" si="305"/>
        <v>Paid</v>
      </c>
    </row>
    <row r="3210" spans="1:32" ht="17.25" thickBot="1" x14ac:dyDescent="0.35">
      <c r="A3210" s="2" t="s">
        <v>18663</v>
      </c>
      <c r="B3210" s="2" t="s">
        <v>27</v>
      </c>
      <c r="C3210" s="2" t="s">
        <v>28</v>
      </c>
      <c r="D3210" s="2" t="s">
        <v>97</v>
      </c>
      <c r="E3210" s="2" t="s">
        <v>18563</v>
      </c>
      <c r="F3210" s="2" t="s">
        <v>31</v>
      </c>
      <c r="G3210" s="2" t="s">
        <v>32</v>
      </c>
      <c r="H3210" s="1"/>
      <c r="I3210" s="2" t="s">
        <v>33</v>
      </c>
      <c r="J3210" s="2" t="s">
        <v>34</v>
      </c>
      <c r="K3210" s="2" t="s">
        <v>18664</v>
      </c>
      <c r="L3210" s="2" t="s">
        <v>18665</v>
      </c>
      <c r="M3210" s="2" t="s">
        <v>84</v>
      </c>
      <c r="N3210" s="2" t="s">
        <v>38</v>
      </c>
      <c r="O3210" s="2" t="s">
        <v>877</v>
      </c>
      <c r="P3210" s="2" t="s">
        <v>18666</v>
      </c>
      <c r="Q3210" s="2" t="s">
        <v>4847</v>
      </c>
      <c r="R3210" s="2" t="s">
        <v>40</v>
      </c>
      <c r="S3210" s="2" t="s">
        <v>18667</v>
      </c>
      <c r="T3210" s="2" t="s">
        <v>40</v>
      </c>
      <c r="U3210" s="2" t="s">
        <v>40</v>
      </c>
      <c r="V3210" s="2" t="s">
        <v>18667</v>
      </c>
      <c r="W3210" s="1"/>
      <c r="X3210" s="2" t="s">
        <v>2155</v>
      </c>
      <c r="Y3210" s="2" t="s">
        <v>18570</v>
      </c>
      <c r="AA3210" t="str">
        <f t="shared" si="300"/>
        <v>2025-06</v>
      </c>
      <c r="AB3210" t="str">
        <f t="shared" si="301"/>
        <v>H1_2025</v>
      </c>
      <c r="AC3210">
        <f t="shared" si="302"/>
        <v>11961</v>
      </c>
      <c r="AD3210">
        <f t="shared" si="303"/>
        <v>100</v>
      </c>
      <c r="AE3210">
        <f t="shared" si="304"/>
        <v>11961</v>
      </c>
      <c r="AF3210" t="str">
        <f t="shared" si="305"/>
        <v>Paid</v>
      </c>
    </row>
    <row r="3211" spans="1:32" ht="17.25" thickBot="1" x14ac:dyDescent="0.35">
      <c r="A3211" s="2" t="s">
        <v>18668</v>
      </c>
      <c r="B3211" s="2" t="s">
        <v>27</v>
      </c>
      <c r="C3211" s="2" t="s">
        <v>28</v>
      </c>
      <c r="D3211" s="2" t="s">
        <v>97</v>
      </c>
      <c r="E3211" s="2" t="s">
        <v>18563</v>
      </c>
      <c r="F3211" s="2" t="s">
        <v>31</v>
      </c>
      <c r="G3211" s="2" t="s">
        <v>32</v>
      </c>
      <c r="H3211" s="1"/>
      <c r="I3211" s="2" t="s">
        <v>33</v>
      </c>
      <c r="J3211" s="2" t="s">
        <v>34</v>
      </c>
      <c r="K3211" s="2" t="s">
        <v>18664</v>
      </c>
      <c r="L3211" s="2" t="s">
        <v>18665</v>
      </c>
      <c r="M3211" s="2" t="s">
        <v>84</v>
      </c>
      <c r="N3211" s="2" t="s">
        <v>38</v>
      </c>
      <c r="O3211" s="2" t="s">
        <v>18669</v>
      </c>
      <c r="P3211" s="2" t="s">
        <v>18666</v>
      </c>
      <c r="Q3211" s="2" t="s">
        <v>10075</v>
      </c>
      <c r="R3211" s="2" t="s">
        <v>40</v>
      </c>
      <c r="S3211" s="2" t="s">
        <v>18670</v>
      </c>
      <c r="T3211" s="2" t="s">
        <v>40</v>
      </c>
      <c r="U3211" s="2" t="s">
        <v>40</v>
      </c>
      <c r="V3211" s="2" t="s">
        <v>18670</v>
      </c>
      <c r="W3211" s="1"/>
      <c r="X3211" s="2" t="s">
        <v>2155</v>
      </c>
      <c r="Y3211" s="2" t="s">
        <v>18570</v>
      </c>
      <c r="AA3211" t="str">
        <f t="shared" si="300"/>
        <v>2025-06</v>
      </c>
      <c r="AB3211" t="str">
        <f t="shared" si="301"/>
        <v>H1_2025</v>
      </c>
      <c r="AC3211">
        <f t="shared" si="302"/>
        <v>466479</v>
      </c>
      <c r="AD3211">
        <f t="shared" si="303"/>
        <v>3900</v>
      </c>
      <c r="AE3211">
        <f t="shared" si="304"/>
        <v>466479</v>
      </c>
      <c r="AF3211" t="str">
        <f t="shared" si="305"/>
        <v>Paid</v>
      </c>
    </row>
    <row r="3212" spans="1:32" ht="27.75" thickBot="1" x14ac:dyDescent="0.35">
      <c r="A3212" s="2" t="s">
        <v>18671</v>
      </c>
      <c r="B3212" s="2" t="s">
        <v>27</v>
      </c>
      <c r="C3212" s="2" t="s">
        <v>28</v>
      </c>
      <c r="D3212" s="2" t="s">
        <v>97</v>
      </c>
      <c r="E3212" s="2" t="s">
        <v>18563</v>
      </c>
      <c r="F3212" s="2" t="s">
        <v>31</v>
      </c>
      <c r="G3212" s="2" t="s">
        <v>32</v>
      </c>
      <c r="H3212" s="1"/>
      <c r="I3212" s="2" t="s">
        <v>33</v>
      </c>
      <c r="J3212" s="2" t="s">
        <v>34</v>
      </c>
      <c r="K3212" s="2" t="s">
        <v>18672</v>
      </c>
      <c r="L3212" s="2" t="s">
        <v>18673</v>
      </c>
      <c r="M3212" s="2" t="s">
        <v>4544</v>
      </c>
      <c r="N3212" s="2" t="s">
        <v>38</v>
      </c>
      <c r="O3212" s="2" t="s">
        <v>4521</v>
      </c>
      <c r="P3212" s="2" t="s">
        <v>18674</v>
      </c>
      <c r="Q3212" s="2" t="s">
        <v>18675</v>
      </c>
      <c r="R3212" s="2" t="s">
        <v>40</v>
      </c>
      <c r="S3212" s="2" t="s">
        <v>18676</v>
      </c>
      <c r="T3212" s="2" t="s">
        <v>16297</v>
      </c>
      <c r="U3212" s="2" t="s">
        <v>18677</v>
      </c>
      <c r="V3212" s="2" t="s">
        <v>18678</v>
      </c>
      <c r="W3212" s="1"/>
      <c r="X3212" s="2" t="s">
        <v>1457</v>
      </c>
      <c r="Y3212" s="2" t="s">
        <v>18570</v>
      </c>
      <c r="AA3212" t="str">
        <f t="shared" si="300"/>
        <v>2025-06</v>
      </c>
      <c r="AB3212" t="str">
        <f t="shared" si="301"/>
        <v>H1_2025</v>
      </c>
      <c r="AC3212">
        <f t="shared" si="302"/>
        <v>119809.35</v>
      </c>
      <c r="AD3212">
        <f t="shared" si="303"/>
        <v>601</v>
      </c>
      <c r="AE3212">
        <f t="shared" si="304"/>
        <v>29659.35</v>
      </c>
      <c r="AF3212" t="str">
        <f t="shared" si="305"/>
        <v>Paid</v>
      </c>
    </row>
    <row r="3213" spans="1:32" ht="27.75" thickBot="1" x14ac:dyDescent="0.35">
      <c r="A3213" s="2" t="s">
        <v>18679</v>
      </c>
      <c r="B3213" s="2" t="s">
        <v>27</v>
      </c>
      <c r="C3213" s="2" t="s">
        <v>28</v>
      </c>
      <c r="D3213" s="2" t="s">
        <v>97</v>
      </c>
      <c r="E3213" s="2" t="s">
        <v>18563</v>
      </c>
      <c r="F3213" s="2" t="s">
        <v>31</v>
      </c>
      <c r="G3213" s="2" t="s">
        <v>32</v>
      </c>
      <c r="H3213" s="1"/>
      <c r="I3213" s="2" t="s">
        <v>33</v>
      </c>
      <c r="J3213" s="2" t="s">
        <v>34</v>
      </c>
      <c r="K3213" s="2" t="s">
        <v>18672</v>
      </c>
      <c r="L3213" s="2" t="s">
        <v>18673</v>
      </c>
      <c r="M3213" s="2" t="s">
        <v>4544</v>
      </c>
      <c r="N3213" s="2" t="s">
        <v>38</v>
      </c>
      <c r="O3213" s="2" t="s">
        <v>3297</v>
      </c>
      <c r="P3213" s="2" t="s">
        <v>18674</v>
      </c>
      <c r="Q3213" s="2" t="s">
        <v>18680</v>
      </c>
      <c r="R3213" s="2" t="s">
        <v>40</v>
      </c>
      <c r="S3213" s="2" t="s">
        <v>18681</v>
      </c>
      <c r="T3213" s="2" t="s">
        <v>16297</v>
      </c>
      <c r="U3213" s="2" t="s">
        <v>18682</v>
      </c>
      <c r="V3213" s="2" t="s">
        <v>18683</v>
      </c>
      <c r="W3213" s="1"/>
      <c r="X3213" s="2" t="s">
        <v>1457</v>
      </c>
      <c r="Y3213" s="2" t="s">
        <v>18570</v>
      </c>
      <c r="AA3213" t="str">
        <f t="shared" si="300"/>
        <v>2025-06</v>
      </c>
      <c r="AB3213" t="str">
        <f t="shared" si="301"/>
        <v>H1_2025</v>
      </c>
      <c r="AC3213">
        <f t="shared" si="302"/>
        <v>79540.649999999994</v>
      </c>
      <c r="AD3213">
        <f t="shared" si="303"/>
        <v>399</v>
      </c>
      <c r="AE3213">
        <f t="shared" si="304"/>
        <v>19690.650000000001</v>
      </c>
      <c r="AF3213" t="str">
        <f t="shared" si="305"/>
        <v>Paid</v>
      </c>
    </row>
    <row r="3214" spans="1:32" ht="17.25" thickBot="1" x14ac:dyDescent="0.35">
      <c r="A3214" s="2" t="s">
        <v>18684</v>
      </c>
      <c r="B3214" s="2" t="s">
        <v>27</v>
      </c>
      <c r="C3214" s="2" t="s">
        <v>28</v>
      </c>
      <c r="D3214" s="2" t="s">
        <v>97</v>
      </c>
      <c r="E3214" s="2" t="s">
        <v>18563</v>
      </c>
      <c r="F3214" s="2" t="s">
        <v>31</v>
      </c>
      <c r="G3214" s="2" t="s">
        <v>32</v>
      </c>
      <c r="H3214" s="1"/>
      <c r="I3214" s="2" t="s">
        <v>33</v>
      </c>
      <c r="J3214" s="2" t="s">
        <v>34</v>
      </c>
      <c r="K3214" s="2" t="s">
        <v>18685</v>
      </c>
      <c r="L3214" s="2" t="s">
        <v>18686</v>
      </c>
      <c r="M3214" s="2" t="s">
        <v>4544</v>
      </c>
      <c r="N3214" s="2" t="s">
        <v>38</v>
      </c>
      <c r="O3214" s="2" t="s">
        <v>831</v>
      </c>
      <c r="P3214" s="2" t="s">
        <v>10435</v>
      </c>
      <c r="Q3214" s="2" t="s">
        <v>18687</v>
      </c>
      <c r="R3214" s="2" t="s">
        <v>40</v>
      </c>
      <c r="S3214" s="2" t="s">
        <v>18688</v>
      </c>
      <c r="T3214" s="2" t="s">
        <v>18689</v>
      </c>
      <c r="U3214" s="2" t="s">
        <v>10805</v>
      </c>
      <c r="V3214" s="2" t="s">
        <v>18690</v>
      </c>
      <c r="W3214" s="1"/>
      <c r="X3214" s="2" t="s">
        <v>523</v>
      </c>
      <c r="Y3214" s="2" t="s">
        <v>18570</v>
      </c>
      <c r="AA3214" t="str">
        <f t="shared" si="300"/>
        <v>2025-06</v>
      </c>
      <c r="AB3214" t="str">
        <f t="shared" si="301"/>
        <v>H1_2025</v>
      </c>
      <c r="AC3214">
        <f t="shared" si="302"/>
        <v>1767570</v>
      </c>
      <c r="AD3214">
        <f t="shared" si="303"/>
        <v>1000</v>
      </c>
      <c r="AE3214">
        <f t="shared" si="304"/>
        <v>267570</v>
      </c>
      <c r="AF3214" t="str">
        <f t="shared" si="305"/>
        <v>Paid</v>
      </c>
    </row>
    <row r="3215" spans="1:32" ht="27.75" thickBot="1" x14ac:dyDescent="0.35">
      <c r="A3215" s="2" t="s">
        <v>18691</v>
      </c>
      <c r="B3215" s="2" t="s">
        <v>27</v>
      </c>
      <c r="C3215" s="2" t="s">
        <v>28</v>
      </c>
      <c r="D3215" s="2" t="s">
        <v>97</v>
      </c>
      <c r="E3215" s="2" t="s">
        <v>18563</v>
      </c>
      <c r="F3215" s="2" t="s">
        <v>31</v>
      </c>
      <c r="G3215" s="2" t="s">
        <v>32</v>
      </c>
      <c r="H3215" s="1"/>
      <c r="I3215" s="2" t="s">
        <v>33</v>
      </c>
      <c r="J3215" s="2" t="s">
        <v>34</v>
      </c>
      <c r="K3215" s="2" t="s">
        <v>18692</v>
      </c>
      <c r="L3215" s="2" t="s">
        <v>18693</v>
      </c>
      <c r="M3215" s="2" t="s">
        <v>4544</v>
      </c>
      <c r="N3215" s="2" t="s">
        <v>38</v>
      </c>
      <c r="O3215" s="2" t="s">
        <v>5169</v>
      </c>
      <c r="P3215" s="2" t="s">
        <v>10834</v>
      </c>
      <c r="Q3215" s="2" t="s">
        <v>18694</v>
      </c>
      <c r="R3215" s="2" t="s">
        <v>40</v>
      </c>
      <c r="S3215" s="2" t="s">
        <v>18695</v>
      </c>
      <c r="T3215" s="2" t="s">
        <v>16297</v>
      </c>
      <c r="U3215" s="2" t="s">
        <v>18696</v>
      </c>
      <c r="V3215" s="2" t="s">
        <v>18697</v>
      </c>
      <c r="W3215" s="1"/>
      <c r="X3215" s="2" t="s">
        <v>18698</v>
      </c>
      <c r="Y3215" s="2" t="s">
        <v>18570</v>
      </c>
      <c r="AA3215" t="str">
        <f t="shared" si="300"/>
        <v>2025-06</v>
      </c>
      <c r="AB3215" t="str">
        <f t="shared" si="301"/>
        <v>H1_2025</v>
      </c>
      <c r="AC3215">
        <f t="shared" si="302"/>
        <v>121111.77</v>
      </c>
      <c r="AD3215">
        <f t="shared" si="303"/>
        <v>701</v>
      </c>
      <c r="AE3215">
        <f t="shared" si="304"/>
        <v>15961.77</v>
      </c>
      <c r="AF3215" t="str">
        <f t="shared" si="305"/>
        <v>Paid</v>
      </c>
    </row>
    <row r="3216" spans="1:32" ht="17.25" thickBot="1" x14ac:dyDescent="0.35">
      <c r="A3216" s="2" t="s">
        <v>18699</v>
      </c>
      <c r="B3216" s="2" t="s">
        <v>27</v>
      </c>
      <c r="C3216" s="2" t="s">
        <v>28</v>
      </c>
      <c r="D3216" s="2" t="s">
        <v>97</v>
      </c>
      <c r="E3216" s="2" t="s">
        <v>45</v>
      </c>
      <c r="F3216" s="2" t="s">
        <v>31</v>
      </c>
      <c r="G3216" s="2" t="s">
        <v>32</v>
      </c>
      <c r="H3216" s="1"/>
      <c r="I3216" s="2" t="s">
        <v>33</v>
      </c>
      <c r="J3216" s="2" t="s">
        <v>34</v>
      </c>
      <c r="K3216" s="2" t="s">
        <v>18700</v>
      </c>
      <c r="L3216" s="2" t="s">
        <v>18701</v>
      </c>
      <c r="M3216" s="2" t="s">
        <v>16415</v>
      </c>
      <c r="N3216" s="2" t="s">
        <v>38</v>
      </c>
      <c r="O3216" s="2" t="s">
        <v>141</v>
      </c>
      <c r="P3216" s="2" t="s">
        <v>18702</v>
      </c>
      <c r="Q3216" s="2" t="s">
        <v>18703</v>
      </c>
      <c r="R3216" s="2" t="s">
        <v>40</v>
      </c>
      <c r="S3216" s="2" t="s">
        <v>18704</v>
      </c>
      <c r="T3216" s="2" t="s">
        <v>13701</v>
      </c>
      <c r="U3216" s="2" t="s">
        <v>18705</v>
      </c>
      <c r="V3216" s="2" t="s">
        <v>18706</v>
      </c>
      <c r="W3216" s="1"/>
      <c r="X3216" s="2" t="s">
        <v>2958</v>
      </c>
      <c r="Y3216" s="2" t="s">
        <v>18707</v>
      </c>
      <c r="AA3216" t="str">
        <f t="shared" si="300"/>
        <v>2025-06</v>
      </c>
      <c r="AB3216" t="str">
        <f t="shared" si="301"/>
        <v>H1_2025</v>
      </c>
      <c r="AC3216">
        <f t="shared" si="302"/>
        <v>113442.51</v>
      </c>
      <c r="AD3216">
        <f t="shared" si="303"/>
        <v>30</v>
      </c>
      <c r="AE3216">
        <f t="shared" si="304"/>
        <v>26142.51</v>
      </c>
      <c r="AF3216" t="str">
        <f t="shared" si="305"/>
        <v>Paid</v>
      </c>
    </row>
    <row r="3217" spans="1:32" ht="17.25" thickBot="1" x14ac:dyDescent="0.35">
      <c r="A3217" s="2" t="s">
        <v>18708</v>
      </c>
      <c r="B3217" s="2" t="s">
        <v>27</v>
      </c>
      <c r="C3217" s="2" t="s">
        <v>28</v>
      </c>
      <c r="D3217" s="2" t="s">
        <v>97</v>
      </c>
      <c r="E3217" s="2" t="s">
        <v>45</v>
      </c>
      <c r="F3217" s="2" t="s">
        <v>31</v>
      </c>
      <c r="G3217" s="2" t="s">
        <v>32</v>
      </c>
      <c r="H3217" s="1"/>
      <c r="I3217" s="2" t="s">
        <v>33</v>
      </c>
      <c r="J3217" s="2" t="s">
        <v>34</v>
      </c>
      <c r="K3217" s="2" t="s">
        <v>18709</v>
      </c>
      <c r="L3217" s="2" t="s">
        <v>18710</v>
      </c>
      <c r="M3217" s="2" t="s">
        <v>18711</v>
      </c>
      <c r="N3217" s="2" t="s">
        <v>38</v>
      </c>
      <c r="O3217" s="2" t="s">
        <v>10121</v>
      </c>
      <c r="P3217" s="2" t="s">
        <v>2142</v>
      </c>
      <c r="Q3217" s="2" t="s">
        <v>18712</v>
      </c>
      <c r="R3217" s="2" t="s">
        <v>40</v>
      </c>
      <c r="S3217" s="2" t="s">
        <v>18713</v>
      </c>
      <c r="T3217" s="2" t="s">
        <v>18714</v>
      </c>
      <c r="U3217" s="2" t="s">
        <v>18715</v>
      </c>
      <c r="V3217" s="2" t="s">
        <v>18716</v>
      </c>
      <c r="W3217" s="1"/>
      <c r="X3217" s="2" t="s">
        <v>6894</v>
      </c>
      <c r="Y3217" s="2" t="s">
        <v>18707</v>
      </c>
      <c r="AA3217" t="str">
        <f t="shared" si="300"/>
        <v>2025-06</v>
      </c>
      <c r="AB3217" t="str">
        <f t="shared" si="301"/>
        <v>H1_2025</v>
      </c>
      <c r="AC3217">
        <f t="shared" si="302"/>
        <v>28501926</v>
      </c>
      <c r="AD3217">
        <f t="shared" si="303"/>
        <v>3000</v>
      </c>
      <c r="AE3217">
        <f t="shared" si="304"/>
        <v>8251926</v>
      </c>
      <c r="AF3217" t="str">
        <f t="shared" si="305"/>
        <v>Paid</v>
      </c>
    </row>
    <row r="3218" spans="1:32" ht="17.25" thickBot="1" x14ac:dyDescent="0.35">
      <c r="A3218" s="2" t="s">
        <v>18717</v>
      </c>
      <c r="B3218" s="2" t="s">
        <v>27</v>
      </c>
      <c r="C3218" s="2" t="s">
        <v>28</v>
      </c>
      <c r="D3218" s="2" t="s">
        <v>97</v>
      </c>
      <c r="E3218" s="2" t="s">
        <v>45</v>
      </c>
      <c r="F3218" s="2" t="s">
        <v>31</v>
      </c>
      <c r="G3218" s="2" t="s">
        <v>32</v>
      </c>
      <c r="H3218" s="1"/>
      <c r="I3218" s="2" t="s">
        <v>33</v>
      </c>
      <c r="J3218" s="2" t="s">
        <v>34</v>
      </c>
      <c r="K3218" s="2" t="s">
        <v>2405</v>
      </c>
      <c r="L3218" s="2" t="s">
        <v>2406</v>
      </c>
      <c r="M3218" s="2" t="s">
        <v>2389</v>
      </c>
      <c r="N3218" s="2" t="s">
        <v>38</v>
      </c>
      <c r="O3218" s="2" t="s">
        <v>1904</v>
      </c>
      <c r="P3218" s="2" t="s">
        <v>18718</v>
      </c>
      <c r="Q3218" s="2" t="s">
        <v>18719</v>
      </c>
      <c r="R3218" s="2" t="s">
        <v>40</v>
      </c>
      <c r="S3218" s="2" t="s">
        <v>18720</v>
      </c>
      <c r="T3218" s="2" t="s">
        <v>2411</v>
      </c>
      <c r="U3218" s="2" t="s">
        <v>18216</v>
      </c>
      <c r="V3218" s="2" t="s">
        <v>18721</v>
      </c>
      <c r="W3218" s="1"/>
      <c r="X3218" s="2" t="s">
        <v>3465</v>
      </c>
      <c r="Y3218" s="2" t="s">
        <v>18707</v>
      </c>
      <c r="AA3218" t="str">
        <f t="shared" si="300"/>
        <v>2025-06</v>
      </c>
      <c r="AB3218" t="str">
        <f t="shared" si="301"/>
        <v>H1_2025</v>
      </c>
      <c r="AC3218">
        <f t="shared" si="302"/>
        <v>841869.92</v>
      </c>
      <c r="AD3218">
        <f t="shared" si="303"/>
        <v>230</v>
      </c>
      <c r="AE3218">
        <f t="shared" si="304"/>
        <v>151869.92000000001</v>
      </c>
      <c r="AF3218" t="str">
        <f t="shared" si="305"/>
        <v>Paid</v>
      </c>
    </row>
    <row r="3219" spans="1:32" ht="17.25" thickBot="1" x14ac:dyDescent="0.35">
      <c r="A3219" s="2" t="s">
        <v>18722</v>
      </c>
      <c r="B3219" s="2" t="s">
        <v>27</v>
      </c>
      <c r="C3219" s="2" t="s">
        <v>28</v>
      </c>
      <c r="D3219" s="2" t="s">
        <v>97</v>
      </c>
      <c r="E3219" s="2" t="s">
        <v>45</v>
      </c>
      <c r="F3219" s="2" t="s">
        <v>31</v>
      </c>
      <c r="G3219" s="2" t="s">
        <v>32</v>
      </c>
      <c r="H3219" s="1"/>
      <c r="I3219" s="2" t="s">
        <v>33</v>
      </c>
      <c r="J3219" s="2" t="s">
        <v>34</v>
      </c>
      <c r="K3219" s="2" t="s">
        <v>18723</v>
      </c>
      <c r="L3219" s="2" t="s">
        <v>18724</v>
      </c>
      <c r="M3219" s="2" t="s">
        <v>2389</v>
      </c>
      <c r="N3219" s="2" t="s">
        <v>38</v>
      </c>
      <c r="O3219" s="2" t="s">
        <v>206</v>
      </c>
      <c r="P3219" s="2" t="s">
        <v>1010</v>
      </c>
      <c r="Q3219" s="2" t="s">
        <v>18725</v>
      </c>
      <c r="R3219" s="2" t="s">
        <v>40</v>
      </c>
      <c r="S3219" s="2" t="s">
        <v>18726</v>
      </c>
      <c r="T3219" s="2" t="s">
        <v>7535</v>
      </c>
      <c r="U3219" s="2" t="s">
        <v>18727</v>
      </c>
      <c r="V3219" s="2" t="s">
        <v>18728</v>
      </c>
      <c r="W3219" s="1"/>
      <c r="X3219" s="2" t="s">
        <v>6362</v>
      </c>
      <c r="Y3219" s="2" t="s">
        <v>18707</v>
      </c>
      <c r="AA3219" t="str">
        <f t="shared" si="300"/>
        <v>2025-06</v>
      </c>
      <c r="AB3219" t="str">
        <f t="shared" si="301"/>
        <v>H1_2025</v>
      </c>
      <c r="AC3219">
        <f t="shared" si="302"/>
        <v>5483727.5</v>
      </c>
      <c r="AD3219">
        <f t="shared" si="303"/>
        <v>500</v>
      </c>
      <c r="AE3219">
        <f t="shared" si="304"/>
        <v>1028727.5</v>
      </c>
      <c r="AF3219" t="str">
        <f t="shared" si="305"/>
        <v>Paid</v>
      </c>
    </row>
    <row r="3220" spans="1:32" ht="27.75" thickBot="1" x14ac:dyDescent="0.35">
      <c r="A3220" s="2" t="s">
        <v>18729</v>
      </c>
      <c r="B3220" s="2" t="s">
        <v>27</v>
      </c>
      <c r="C3220" s="2" t="s">
        <v>28</v>
      </c>
      <c r="D3220" s="2" t="s">
        <v>97</v>
      </c>
      <c r="E3220" s="2" t="s">
        <v>45</v>
      </c>
      <c r="F3220" s="2" t="s">
        <v>31</v>
      </c>
      <c r="G3220" s="2" t="s">
        <v>32</v>
      </c>
      <c r="H3220" s="1"/>
      <c r="I3220" s="2" t="s">
        <v>33</v>
      </c>
      <c r="J3220" s="2" t="s">
        <v>34</v>
      </c>
      <c r="K3220" s="2" t="s">
        <v>9457</v>
      </c>
      <c r="L3220" s="2" t="s">
        <v>9458</v>
      </c>
      <c r="M3220" s="2" t="s">
        <v>570</v>
      </c>
      <c r="N3220" s="2" t="s">
        <v>38</v>
      </c>
      <c r="O3220" s="2" t="s">
        <v>167</v>
      </c>
      <c r="P3220" s="2" t="s">
        <v>9459</v>
      </c>
      <c r="Q3220" s="2" t="s">
        <v>18730</v>
      </c>
      <c r="R3220" s="2" t="s">
        <v>40</v>
      </c>
      <c r="S3220" s="2" t="s">
        <v>18731</v>
      </c>
      <c r="T3220" s="2" t="s">
        <v>7463</v>
      </c>
      <c r="U3220" s="2" t="s">
        <v>18732</v>
      </c>
      <c r="V3220" s="2" t="s">
        <v>18733</v>
      </c>
      <c r="W3220" s="1"/>
      <c r="X3220" s="2" t="s">
        <v>6955</v>
      </c>
      <c r="Y3220" s="2" t="s">
        <v>18707</v>
      </c>
      <c r="AA3220" t="str">
        <f t="shared" si="300"/>
        <v>2025-06</v>
      </c>
      <c r="AB3220" t="str">
        <f t="shared" si="301"/>
        <v>H1_2025</v>
      </c>
      <c r="AC3220">
        <f t="shared" si="302"/>
        <v>301436.79999999999</v>
      </c>
      <c r="AD3220">
        <f t="shared" si="303"/>
        <v>800</v>
      </c>
      <c r="AE3220">
        <f t="shared" si="304"/>
        <v>39036.800000000003</v>
      </c>
      <c r="AF3220" t="str">
        <f t="shared" si="305"/>
        <v>Paid</v>
      </c>
    </row>
    <row r="3221" spans="1:32" ht="27.75" thickBot="1" x14ac:dyDescent="0.35">
      <c r="A3221" s="2" t="s">
        <v>18734</v>
      </c>
      <c r="B3221" s="2" t="s">
        <v>27</v>
      </c>
      <c r="C3221" s="2" t="s">
        <v>28</v>
      </c>
      <c r="D3221" s="2" t="s">
        <v>97</v>
      </c>
      <c r="E3221" s="2" t="s">
        <v>45</v>
      </c>
      <c r="F3221" s="2" t="s">
        <v>31</v>
      </c>
      <c r="G3221" s="2" t="s">
        <v>32</v>
      </c>
      <c r="H3221" s="1"/>
      <c r="I3221" s="2" t="s">
        <v>33</v>
      </c>
      <c r="J3221" s="2" t="s">
        <v>34</v>
      </c>
      <c r="K3221" s="2" t="s">
        <v>9470</v>
      </c>
      <c r="L3221" s="2" t="s">
        <v>9471</v>
      </c>
      <c r="M3221" s="2" t="s">
        <v>570</v>
      </c>
      <c r="N3221" s="2" t="s">
        <v>38</v>
      </c>
      <c r="O3221" s="2" t="s">
        <v>177</v>
      </c>
      <c r="P3221" s="2" t="s">
        <v>9459</v>
      </c>
      <c r="Q3221" s="2" t="s">
        <v>7468</v>
      </c>
      <c r="R3221" s="2" t="s">
        <v>40</v>
      </c>
      <c r="S3221" s="2" t="s">
        <v>18735</v>
      </c>
      <c r="T3221" s="2" t="s">
        <v>7463</v>
      </c>
      <c r="U3221" s="2" t="s">
        <v>17749</v>
      </c>
      <c r="V3221" s="2" t="s">
        <v>18736</v>
      </c>
      <c r="W3221" s="1"/>
      <c r="X3221" s="2" t="s">
        <v>6955</v>
      </c>
      <c r="Y3221" s="2" t="s">
        <v>18707</v>
      </c>
      <c r="AA3221" t="str">
        <f t="shared" si="300"/>
        <v>2025-06</v>
      </c>
      <c r="AB3221" t="str">
        <f t="shared" si="301"/>
        <v>H1_2025</v>
      </c>
      <c r="AC3221">
        <f t="shared" si="302"/>
        <v>150718.39999999999</v>
      </c>
      <c r="AD3221">
        <f t="shared" si="303"/>
        <v>400</v>
      </c>
      <c r="AE3221">
        <f t="shared" si="304"/>
        <v>19518.400000000001</v>
      </c>
      <c r="AF3221" t="str">
        <f t="shared" si="305"/>
        <v>Paid</v>
      </c>
    </row>
    <row r="3222" spans="1:32" ht="27.75" thickBot="1" x14ac:dyDescent="0.35">
      <c r="A3222" s="2" t="s">
        <v>18737</v>
      </c>
      <c r="B3222" s="2" t="s">
        <v>27</v>
      </c>
      <c r="C3222" s="2" t="s">
        <v>28</v>
      </c>
      <c r="D3222" s="2" t="s">
        <v>97</v>
      </c>
      <c r="E3222" s="2" t="s">
        <v>45</v>
      </c>
      <c r="F3222" s="2" t="s">
        <v>31</v>
      </c>
      <c r="G3222" s="2" t="s">
        <v>32</v>
      </c>
      <c r="H3222" s="1"/>
      <c r="I3222" s="2" t="s">
        <v>33</v>
      </c>
      <c r="J3222" s="2" t="s">
        <v>34</v>
      </c>
      <c r="K3222" s="2" t="s">
        <v>9483</v>
      </c>
      <c r="L3222" s="2" t="s">
        <v>9484</v>
      </c>
      <c r="M3222" s="2" t="s">
        <v>570</v>
      </c>
      <c r="N3222" s="2" t="s">
        <v>38</v>
      </c>
      <c r="O3222" s="2" t="s">
        <v>71</v>
      </c>
      <c r="P3222" s="2" t="s">
        <v>9459</v>
      </c>
      <c r="Q3222" s="2" t="s">
        <v>11620</v>
      </c>
      <c r="R3222" s="2" t="s">
        <v>40</v>
      </c>
      <c r="S3222" s="2" t="s">
        <v>18738</v>
      </c>
      <c r="T3222" s="2" t="s">
        <v>7463</v>
      </c>
      <c r="U3222" s="2" t="s">
        <v>15991</v>
      </c>
      <c r="V3222" s="2" t="s">
        <v>18739</v>
      </c>
      <c r="W3222" s="1"/>
      <c r="X3222" s="2" t="s">
        <v>6955</v>
      </c>
      <c r="Y3222" s="2" t="s">
        <v>18707</v>
      </c>
      <c r="AA3222" t="str">
        <f t="shared" si="300"/>
        <v>2025-06</v>
      </c>
      <c r="AB3222" t="str">
        <f t="shared" si="301"/>
        <v>H1_2025</v>
      </c>
      <c r="AC3222">
        <f t="shared" si="302"/>
        <v>753592</v>
      </c>
      <c r="AD3222">
        <f t="shared" si="303"/>
        <v>2000</v>
      </c>
      <c r="AE3222">
        <f t="shared" si="304"/>
        <v>97592</v>
      </c>
      <c r="AF3222" t="str">
        <f t="shared" si="305"/>
        <v>Paid</v>
      </c>
    </row>
    <row r="3223" spans="1:32" ht="27.75" thickBot="1" x14ac:dyDescent="0.35">
      <c r="A3223" s="2" t="s">
        <v>18740</v>
      </c>
      <c r="B3223" s="2" t="s">
        <v>27</v>
      </c>
      <c r="C3223" s="2" t="s">
        <v>28</v>
      </c>
      <c r="D3223" s="2" t="s">
        <v>97</v>
      </c>
      <c r="E3223" s="2" t="s">
        <v>45</v>
      </c>
      <c r="F3223" s="2" t="s">
        <v>31</v>
      </c>
      <c r="G3223" s="2" t="s">
        <v>32</v>
      </c>
      <c r="H3223" s="1"/>
      <c r="I3223" s="2" t="s">
        <v>33</v>
      </c>
      <c r="J3223" s="2" t="s">
        <v>34</v>
      </c>
      <c r="K3223" s="2" t="s">
        <v>11425</v>
      </c>
      <c r="L3223" s="2" t="s">
        <v>11426</v>
      </c>
      <c r="M3223" s="2" t="s">
        <v>570</v>
      </c>
      <c r="N3223" s="2" t="s">
        <v>38</v>
      </c>
      <c r="O3223" s="2" t="s">
        <v>149</v>
      </c>
      <c r="P3223" s="2" t="s">
        <v>9459</v>
      </c>
      <c r="Q3223" s="2" t="s">
        <v>17002</v>
      </c>
      <c r="R3223" s="2" t="s">
        <v>40</v>
      </c>
      <c r="S3223" s="2" t="s">
        <v>17388</v>
      </c>
      <c r="T3223" s="2" t="s">
        <v>7463</v>
      </c>
      <c r="U3223" s="2" t="s">
        <v>15984</v>
      </c>
      <c r="V3223" s="2" t="s">
        <v>18741</v>
      </c>
      <c r="W3223" s="1"/>
      <c r="X3223" s="2" t="s">
        <v>6955</v>
      </c>
      <c r="Y3223" s="2" t="s">
        <v>18707</v>
      </c>
      <c r="AA3223" t="str">
        <f t="shared" si="300"/>
        <v>2025-06</v>
      </c>
      <c r="AB3223" t="str">
        <f t="shared" si="301"/>
        <v>H1_2025</v>
      </c>
      <c r="AC3223">
        <f t="shared" si="302"/>
        <v>113038.8</v>
      </c>
      <c r="AD3223">
        <f t="shared" si="303"/>
        <v>300</v>
      </c>
      <c r="AE3223">
        <f t="shared" si="304"/>
        <v>14638.8</v>
      </c>
      <c r="AF3223" t="str">
        <f t="shared" si="305"/>
        <v>Paid</v>
      </c>
    </row>
    <row r="3224" spans="1:32" ht="27.75" thickBot="1" x14ac:dyDescent="0.35">
      <c r="A3224" s="2" t="s">
        <v>18742</v>
      </c>
      <c r="B3224" s="2" t="s">
        <v>27</v>
      </c>
      <c r="C3224" s="2" t="s">
        <v>28</v>
      </c>
      <c r="D3224" s="2" t="s">
        <v>97</v>
      </c>
      <c r="E3224" s="2" t="s">
        <v>45</v>
      </c>
      <c r="F3224" s="2" t="s">
        <v>31</v>
      </c>
      <c r="G3224" s="2" t="s">
        <v>32</v>
      </c>
      <c r="H3224" s="1"/>
      <c r="I3224" s="2" t="s">
        <v>33</v>
      </c>
      <c r="J3224" s="2" t="s">
        <v>34</v>
      </c>
      <c r="K3224" s="2" t="s">
        <v>11425</v>
      </c>
      <c r="L3224" s="2" t="s">
        <v>11426</v>
      </c>
      <c r="M3224" s="2" t="s">
        <v>570</v>
      </c>
      <c r="N3224" s="2" t="s">
        <v>38</v>
      </c>
      <c r="O3224" s="2" t="s">
        <v>18743</v>
      </c>
      <c r="P3224" s="2" t="s">
        <v>9459</v>
      </c>
      <c r="Q3224" s="2" t="s">
        <v>18744</v>
      </c>
      <c r="R3224" s="2" t="s">
        <v>40</v>
      </c>
      <c r="S3224" s="2" t="s">
        <v>18745</v>
      </c>
      <c r="T3224" s="2" t="s">
        <v>7463</v>
      </c>
      <c r="U3224" s="2" t="s">
        <v>18746</v>
      </c>
      <c r="V3224" s="2" t="s">
        <v>18747</v>
      </c>
      <c r="W3224" s="1"/>
      <c r="X3224" s="2" t="s">
        <v>6955</v>
      </c>
      <c r="Y3224" s="2" t="s">
        <v>18707</v>
      </c>
      <c r="AA3224" t="str">
        <f t="shared" si="300"/>
        <v>2025-06</v>
      </c>
      <c r="AB3224" t="str">
        <f t="shared" si="301"/>
        <v>H1_2025</v>
      </c>
      <c r="AC3224">
        <f t="shared" si="302"/>
        <v>1243426.8</v>
      </c>
      <c r="AD3224">
        <f t="shared" si="303"/>
        <v>3300</v>
      </c>
      <c r="AE3224">
        <f t="shared" si="304"/>
        <v>161026.79999999999</v>
      </c>
      <c r="AF3224" t="str">
        <f t="shared" si="305"/>
        <v>Paid</v>
      </c>
    </row>
    <row r="3225" spans="1:32" ht="17.25" thickBot="1" x14ac:dyDescent="0.35">
      <c r="A3225" s="2" t="s">
        <v>18748</v>
      </c>
      <c r="B3225" s="2" t="s">
        <v>27</v>
      </c>
      <c r="C3225" s="2" t="s">
        <v>28</v>
      </c>
      <c r="D3225" s="2" t="s">
        <v>97</v>
      </c>
      <c r="E3225" s="2" t="s">
        <v>45</v>
      </c>
      <c r="F3225" s="2" t="s">
        <v>31</v>
      </c>
      <c r="G3225" s="2" t="s">
        <v>32</v>
      </c>
      <c r="H3225" s="1"/>
      <c r="I3225" s="2" t="s">
        <v>33</v>
      </c>
      <c r="J3225" s="2" t="s">
        <v>34</v>
      </c>
      <c r="K3225" s="2" t="s">
        <v>10934</v>
      </c>
      <c r="L3225" s="2" t="s">
        <v>10935</v>
      </c>
      <c r="M3225" s="2" t="s">
        <v>7387</v>
      </c>
      <c r="N3225" s="2" t="s">
        <v>38</v>
      </c>
      <c r="O3225" s="2" t="s">
        <v>2642</v>
      </c>
      <c r="P3225" s="2" t="s">
        <v>2066</v>
      </c>
      <c r="Q3225" s="2" t="s">
        <v>18749</v>
      </c>
      <c r="R3225" s="2" t="s">
        <v>40</v>
      </c>
      <c r="S3225" s="2" t="s">
        <v>18750</v>
      </c>
      <c r="T3225" s="2" t="s">
        <v>864</v>
      </c>
      <c r="U3225" s="2" t="s">
        <v>18751</v>
      </c>
      <c r="V3225" s="2" t="s">
        <v>18752</v>
      </c>
      <c r="W3225" s="1"/>
      <c r="X3225" s="2" t="s">
        <v>1764</v>
      </c>
      <c r="Y3225" s="2" t="s">
        <v>18707</v>
      </c>
      <c r="AA3225" t="str">
        <f t="shared" si="300"/>
        <v>2025-06</v>
      </c>
      <c r="AB3225" t="str">
        <f t="shared" si="301"/>
        <v>H1_2025</v>
      </c>
      <c r="AC3225">
        <f t="shared" si="302"/>
        <v>5629332.2400000002</v>
      </c>
      <c r="AD3225">
        <f t="shared" si="303"/>
        <v>560</v>
      </c>
      <c r="AE3225">
        <f t="shared" si="304"/>
        <v>1429332.24</v>
      </c>
      <c r="AF3225" t="str">
        <f t="shared" si="305"/>
        <v>Paid</v>
      </c>
    </row>
    <row r="3226" spans="1:32" ht="17.25" thickBot="1" x14ac:dyDescent="0.35">
      <c r="A3226" s="2" t="s">
        <v>18753</v>
      </c>
      <c r="B3226" s="2" t="s">
        <v>27</v>
      </c>
      <c r="C3226" s="2" t="s">
        <v>28</v>
      </c>
      <c r="D3226" s="2" t="s">
        <v>97</v>
      </c>
      <c r="E3226" s="2" t="s">
        <v>45</v>
      </c>
      <c r="F3226" s="2" t="s">
        <v>31</v>
      </c>
      <c r="G3226" s="2" t="s">
        <v>32</v>
      </c>
      <c r="H3226" s="1"/>
      <c r="I3226" s="2" t="s">
        <v>33</v>
      </c>
      <c r="J3226" s="2" t="s">
        <v>34</v>
      </c>
      <c r="K3226" s="2" t="s">
        <v>10953</v>
      </c>
      <c r="L3226" s="2" t="s">
        <v>10954</v>
      </c>
      <c r="M3226" s="2" t="s">
        <v>7387</v>
      </c>
      <c r="N3226" s="2" t="s">
        <v>38</v>
      </c>
      <c r="O3226" s="2" t="s">
        <v>517</v>
      </c>
      <c r="P3226" s="2" t="s">
        <v>1830</v>
      </c>
      <c r="Q3226" s="2" t="s">
        <v>18754</v>
      </c>
      <c r="R3226" s="2" t="s">
        <v>40</v>
      </c>
      <c r="S3226" s="2" t="s">
        <v>18755</v>
      </c>
      <c r="T3226" s="2" t="s">
        <v>2755</v>
      </c>
      <c r="U3226" s="2" t="s">
        <v>18756</v>
      </c>
      <c r="V3226" s="2" t="s">
        <v>18757</v>
      </c>
      <c r="W3226" s="1"/>
      <c r="X3226" s="2" t="s">
        <v>1764</v>
      </c>
      <c r="Y3226" s="2" t="s">
        <v>18707</v>
      </c>
      <c r="AA3226" t="str">
        <f t="shared" si="300"/>
        <v>2025-06</v>
      </c>
      <c r="AB3226" t="str">
        <f t="shared" si="301"/>
        <v>H1_2025</v>
      </c>
      <c r="AC3226">
        <f t="shared" si="302"/>
        <v>917229.12</v>
      </c>
      <c r="AD3226">
        <f t="shared" si="303"/>
        <v>120</v>
      </c>
      <c r="AE3226">
        <f t="shared" si="304"/>
        <v>233229.12</v>
      </c>
      <c r="AF3226" t="str">
        <f t="shared" si="305"/>
        <v>Paid</v>
      </c>
    </row>
    <row r="3227" spans="1:32" ht="17.25" thickBot="1" x14ac:dyDescent="0.35">
      <c r="A3227" s="2" t="s">
        <v>18758</v>
      </c>
      <c r="B3227" s="2" t="s">
        <v>27</v>
      </c>
      <c r="C3227" s="2" t="s">
        <v>28</v>
      </c>
      <c r="D3227" s="2" t="s">
        <v>97</v>
      </c>
      <c r="E3227" s="2" t="s">
        <v>45</v>
      </c>
      <c r="F3227" s="2" t="s">
        <v>31</v>
      </c>
      <c r="G3227" s="2" t="s">
        <v>32</v>
      </c>
      <c r="H3227" s="1"/>
      <c r="I3227" s="2" t="s">
        <v>33</v>
      </c>
      <c r="J3227" s="2" t="s">
        <v>34</v>
      </c>
      <c r="K3227" s="2" t="s">
        <v>10273</v>
      </c>
      <c r="L3227" s="2" t="s">
        <v>10274</v>
      </c>
      <c r="M3227" s="2" t="s">
        <v>7387</v>
      </c>
      <c r="N3227" s="2" t="s">
        <v>38</v>
      </c>
      <c r="O3227" s="2" t="s">
        <v>3271</v>
      </c>
      <c r="P3227" s="2" t="s">
        <v>6254</v>
      </c>
      <c r="Q3227" s="2" t="s">
        <v>18759</v>
      </c>
      <c r="R3227" s="2" t="s">
        <v>40</v>
      </c>
      <c r="S3227" s="2" t="s">
        <v>18760</v>
      </c>
      <c r="T3227" s="2" t="s">
        <v>9919</v>
      </c>
      <c r="U3227" s="2" t="s">
        <v>18761</v>
      </c>
      <c r="V3227" s="2" t="s">
        <v>18762</v>
      </c>
      <c r="W3227" s="1"/>
      <c r="X3227" s="2" t="s">
        <v>5077</v>
      </c>
      <c r="Y3227" s="2" t="s">
        <v>18707</v>
      </c>
      <c r="AA3227" t="str">
        <f t="shared" si="300"/>
        <v>2025-06</v>
      </c>
      <c r="AB3227" t="str">
        <f t="shared" si="301"/>
        <v>H1_2025</v>
      </c>
      <c r="AC3227">
        <f t="shared" si="302"/>
        <v>8579644.9199999999</v>
      </c>
      <c r="AD3227">
        <f t="shared" si="303"/>
        <v>920</v>
      </c>
      <c r="AE3227">
        <f t="shared" si="304"/>
        <v>1109244.92</v>
      </c>
      <c r="AF3227" t="str">
        <f t="shared" si="305"/>
        <v>Paid</v>
      </c>
    </row>
    <row r="3228" spans="1:32" ht="17.25" thickBot="1" x14ac:dyDescent="0.35">
      <c r="A3228" s="2" t="s">
        <v>18763</v>
      </c>
      <c r="B3228" s="2" t="s">
        <v>27</v>
      </c>
      <c r="C3228" s="2" t="s">
        <v>28</v>
      </c>
      <c r="D3228" s="2" t="s">
        <v>97</v>
      </c>
      <c r="E3228" s="2" t="s">
        <v>45</v>
      </c>
      <c r="F3228" s="2" t="s">
        <v>31</v>
      </c>
      <c r="G3228" s="2" t="s">
        <v>32</v>
      </c>
      <c r="H3228" s="1"/>
      <c r="I3228" s="2" t="s">
        <v>33</v>
      </c>
      <c r="J3228" s="2" t="s">
        <v>34</v>
      </c>
      <c r="K3228" s="2" t="s">
        <v>18764</v>
      </c>
      <c r="L3228" s="2" t="s">
        <v>18765</v>
      </c>
      <c r="M3228" s="2" t="s">
        <v>17908</v>
      </c>
      <c r="N3228" s="2" t="s">
        <v>38</v>
      </c>
      <c r="O3228" s="2" t="s">
        <v>280</v>
      </c>
      <c r="P3228" s="2" t="s">
        <v>2182</v>
      </c>
      <c r="Q3228" s="2" t="s">
        <v>18766</v>
      </c>
      <c r="R3228" s="2" t="s">
        <v>40</v>
      </c>
      <c r="S3228" s="2" t="s">
        <v>18767</v>
      </c>
      <c r="T3228" s="2" t="s">
        <v>18768</v>
      </c>
      <c r="U3228" s="2" t="s">
        <v>18769</v>
      </c>
      <c r="V3228" s="2" t="s">
        <v>18770</v>
      </c>
      <c r="W3228" s="1"/>
      <c r="X3228" s="2" t="s">
        <v>12672</v>
      </c>
      <c r="Y3228" s="2" t="s">
        <v>18707</v>
      </c>
      <c r="AA3228" t="str">
        <f t="shared" si="300"/>
        <v>2025-06</v>
      </c>
      <c r="AB3228" t="str">
        <f t="shared" si="301"/>
        <v>H1_2025</v>
      </c>
      <c r="AC3228">
        <f t="shared" si="302"/>
        <v>314153.65999999997</v>
      </c>
      <c r="AD3228">
        <f t="shared" si="303"/>
        <v>35</v>
      </c>
      <c r="AE3228">
        <f t="shared" si="304"/>
        <v>111013.66</v>
      </c>
      <c r="AF3228" t="str">
        <f t="shared" si="305"/>
        <v>Paid</v>
      </c>
    </row>
    <row r="3229" spans="1:32" ht="27.75" thickBot="1" x14ac:dyDescent="0.35">
      <c r="A3229" s="2" t="s">
        <v>18771</v>
      </c>
      <c r="B3229" s="2" t="s">
        <v>27</v>
      </c>
      <c r="C3229" s="2" t="s">
        <v>28</v>
      </c>
      <c r="D3229" s="2" t="s">
        <v>97</v>
      </c>
      <c r="E3229" s="2" t="s">
        <v>45</v>
      </c>
      <c r="F3229" s="2" t="s">
        <v>31</v>
      </c>
      <c r="G3229" s="2" t="s">
        <v>32</v>
      </c>
      <c r="H3229" s="1"/>
      <c r="I3229" s="2" t="s">
        <v>33</v>
      </c>
      <c r="J3229" s="2" t="s">
        <v>34</v>
      </c>
      <c r="K3229" s="2" t="s">
        <v>68</v>
      </c>
      <c r="L3229" s="2" t="s">
        <v>69</v>
      </c>
      <c r="M3229" s="2" t="s">
        <v>70</v>
      </c>
      <c r="N3229" s="2" t="s">
        <v>38</v>
      </c>
      <c r="O3229" s="2" t="s">
        <v>428</v>
      </c>
      <c r="P3229" s="2" t="s">
        <v>18772</v>
      </c>
      <c r="Q3229" s="2" t="s">
        <v>18773</v>
      </c>
      <c r="R3229" s="2" t="s">
        <v>40</v>
      </c>
      <c r="S3229" s="2" t="s">
        <v>18774</v>
      </c>
      <c r="T3229" s="2" t="s">
        <v>7901</v>
      </c>
      <c r="U3229" s="2" t="s">
        <v>18775</v>
      </c>
      <c r="V3229" s="2" t="s">
        <v>18776</v>
      </c>
      <c r="W3229" s="1"/>
      <c r="X3229" s="2" t="s">
        <v>5766</v>
      </c>
      <c r="Y3229" s="2" t="s">
        <v>18707</v>
      </c>
      <c r="AA3229" t="str">
        <f t="shared" si="300"/>
        <v>2025-06</v>
      </c>
      <c r="AB3229" t="str">
        <f t="shared" si="301"/>
        <v>H1_2025</v>
      </c>
      <c r="AC3229">
        <f t="shared" si="302"/>
        <v>1113566.75</v>
      </c>
      <c r="AD3229">
        <f t="shared" si="303"/>
        <v>250</v>
      </c>
      <c r="AE3229">
        <f t="shared" si="304"/>
        <v>190816.75</v>
      </c>
      <c r="AF3229" t="str">
        <f t="shared" si="305"/>
        <v>Paid</v>
      </c>
    </row>
    <row r="3230" spans="1:32" ht="17.25" thickBot="1" x14ac:dyDescent="0.35">
      <c r="A3230" s="2" t="s">
        <v>18777</v>
      </c>
      <c r="B3230" s="2" t="s">
        <v>27</v>
      </c>
      <c r="C3230" s="2" t="s">
        <v>28</v>
      </c>
      <c r="D3230" s="2" t="s">
        <v>97</v>
      </c>
      <c r="E3230" s="2" t="s">
        <v>45</v>
      </c>
      <c r="F3230" s="2" t="s">
        <v>31</v>
      </c>
      <c r="G3230" s="2" t="s">
        <v>32</v>
      </c>
      <c r="H3230" s="1"/>
      <c r="I3230" s="2" t="s">
        <v>33</v>
      </c>
      <c r="J3230" s="2" t="s">
        <v>34</v>
      </c>
      <c r="K3230" s="2" t="s">
        <v>15560</v>
      </c>
      <c r="L3230" s="2" t="s">
        <v>15561</v>
      </c>
      <c r="M3230" s="2" t="s">
        <v>701</v>
      </c>
      <c r="N3230" s="2" t="s">
        <v>38</v>
      </c>
      <c r="O3230" s="2" t="s">
        <v>503</v>
      </c>
      <c r="P3230" s="2" t="s">
        <v>16597</v>
      </c>
      <c r="Q3230" s="2" t="s">
        <v>18778</v>
      </c>
      <c r="R3230" s="2" t="s">
        <v>40</v>
      </c>
      <c r="S3230" s="2" t="s">
        <v>18779</v>
      </c>
      <c r="T3230" s="2" t="s">
        <v>12240</v>
      </c>
      <c r="U3230" s="2" t="s">
        <v>18780</v>
      </c>
      <c r="V3230" s="2" t="s">
        <v>18781</v>
      </c>
      <c r="W3230" s="1"/>
      <c r="X3230" s="2" t="s">
        <v>312</v>
      </c>
      <c r="Y3230" s="2" t="s">
        <v>18707</v>
      </c>
      <c r="AA3230" t="str">
        <f t="shared" si="300"/>
        <v>2025-06</v>
      </c>
      <c r="AB3230" t="str">
        <f t="shared" si="301"/>
        <v>H1_2025</v>
      </c>
      <c r="AC3230">
        <f t="shared" si="302"/>
        <v>1777131.42</v>
      </c>
      <c r="AD3230">
        <f t="shared" si="303"/>
        <v>310</v>
      </c>
      <c r="AE3230">
        <f t="shared" si="304"/>
        <v>214731.42</v>
      </c>
      <c r="AF3230" t="str">
        <f t="shared" si="305"/>
        <v>Paid</v>
      </c>
    </row>
    <row r="3231" spans="1:32" ht="17.25" thickBot="1" x14ac:dyDescent="0.35">
      <c r="A3231" s="2" t="s">
        <v>18782</v>
      </c>
      <c r="B3231" s="2" t="s">
        <v>27</v>
      </c>
      <c r="C3231" s="2" t="s">
        <v>28</v>
      </c>
      <c r="D3231" s="2" t="s">
        <v>97</v>
      </c>
      <c r="E3231" s="2" t="s">
        <v>45</v>
      </c>
      <c r="F3231" s="2" t="s">
        <v>31</v>
      </c>
      <c r="G3231" s="2" t="s">
        <v>32</v>
      </c>
      <c r="H3231" s="1"/>
      <c r="I3231" s="2" t="s">
        <v>33</v>
      </c>
      <c r="J3231" s="2" t="s">
        <v>34</v>
      </c>
      <c r="K3231" s="2" t="s">
        <v>15560</v>
      </c>
      <c r="L3231" s="2" t="s">
        <v>15561</v>
      </c>
      <c r="M3231" s="2" t="s">
        <v>701</v>
      </c>
      <c r="N3231" s="2" t="s">
        <v>38</v>
      </c>
      <c r="O3231" s="2" t="s">
        <v>214</v>
      </c>
      <c r="P3231" s="2" t="s">
        <v>16597</v>
      </c>
      <c r="Q3231" s="2" t="s">
        <v>18783</v>
      </c>
      <c r="R3231" s="2" t="s">
        <v>40</v>
      </c>
      <c r="S3231" s="2" t="s">
        <v>18784</v>
      </c>
      <c r="T3231" s="2" t="s">
        <v>12240</v>
      </c>
      <c r="U3231" s="2" t="s">
        <v>135</v>
      </c>
      <c r="V3231" s="2" t="s">
        <v>18785</v>
      </c>
      <c r="W3231" s="1"/>
      <c r="X3231" s="2" t="s">
        <v>312</v>
      </c>
      <c r="Y3231" s="2" t="s">
        <v>18707</v>
      </c>
      <c r="AA3231" t="str">
        <f t="shared" si="300"/>
        <v>2025-06</v>
      </c>
      <c r="AB3231" t="str">
        <f t="shared" si="301"/>
        <v>H1_2025</v>
      </c>
      <c r="AC3231">
        <f t="shared" si="302"/>
        <v>286634.09999999998</v>
      </c>
      <c r="AD3231">
        <f t="shared" si="303"/>
        <v>50</v>
      </c>
      <c r="AE3231">
        <f t="shared" si="304"/>
        <v>34634.1</v>
      </c>
      <c r="AF3231" t="str">
        <f t="shared" si="305"/>
        <v>Paid</v>
      </c>
    </row>
    <row r="3232" spans="1:32" ht="17.25" thickBot="1" x14ac:dyDescent="0.35">
      <c r="A3232" s="2" t="s">
        <v>18786</v>
      </c>
      <c r="B3232" s="2" t="s">
        <v>27</v>
      </c>
      <c r="C3232" s="2" t="s">
        <v>28</v>
      </c>
      <c r="D3232" s="2" t="s">
        <v>97</v>
      </c>
      <c r="E3232" s="2" t="s">
        <v>45</v>
      </c>
      <c r="F3232" s="2" t="s">
        <v>31</v>
      </c>
      <c r="G3232" s="2" t="s">
        <v>32</v>
      </c>
      <c r="H3232" s="1"/>
      <c r="I3232" s="2" t="s">
        <v>33</v>
      </c>
      <c r="J3232" s="2" t="s">
        <v>34</v>
      </c>
      <c r="K3232" s="2" t="s">
        <v>10598</v>
      </c>
      <c r="L3232" s="2" t="s">
        <v>10599</v>
      </c>
      <c r="M3232" s="2" t="s">
        <v>701</v>
      </c>
      <c r="N3232" s="2" t="s">
        <v>38</v>
      </c>
      <c r="O3232" s="2" t="s">
        <v>156</v>
      </c>
      <c r="P3232" s="2" t="s">
        <v>4638</v>
      </c>
      <c r="Q3232" s="2" t="s">
        <v>18787</v>
      </c>
      <c r="R3232" s="2" t="s">
        <v>40</v>
      </c>
      <c r="S3232" s="2" t="s">
        <v>18788</v>
      </c>
      <c r="T3232" s="2" t="s">
        <v>1444</v>
      </c>
      <c r="U3232" s="2" t="s">
        <v>18789</v>
      </c>
      <c r="V3232" s="2" t="s">
        <v>18790</v>
      </c>
      <c r="W3232" s="1"/>
      <c r="X3232" s="2" t="s">
        <v>6962</v>
      </c>
      <c r="Y3232" s="2" t="s">
        <v>18707</v>
      </c>
      <c r="AA3232" t="str">
        <f t="shared" si="300"/>
        <v>2025-06</v>
      </c>
      <c r="AB3232" t="str">
        <f t="shared" si="301"/>
        <v>H1_2025</v>
      </c>
      <c r="AC3232">
        <f t="shared" si="302"/>
        <v>125150.1</v>
      </c>
      <c r="AD3232">
        <f t="shared" si="303"/>
        <v>20</v>
      </c>
      <c r="AE3232">
        <f t="shared" si="304"/>
        <v>15950.1</v>
      </c>
      <c r="AF3232" t="str">
        <f t="shared" si="305"/>
        <v>Paid</v>
      </c>
    </row>
    <row r="3233" spans="1:32" ht="41.25" thickBot="1" x14ac:dyDescent="0.35">
      <c r="A3233" s="2" t="s">
        <v>18791</v>
      </c>
      <c r="B3233" s="2" t="s">
        <v>27</v>
      </c>
      <c r="C3233" s="2" t="s">
        <v>28</v>
      </c>
      <c r="D3233" s="2" t="s">
        <v>97</v>
      </c>
      <c r="E3233" s="2" t="s">
        <v>45</v>
      </c>
      <c r="F3233" s="2" t="s">
        <v>31</v>
      </c>
      <c r="G3233" s="2" t="s">
        <v>32</v>
      </c>
      <c r="H3233" s="1"/>
      <c r="I3233" s="2" t="s">
        <v>33</v>
      </c>
      <c r="J3233" s="2" t="s">
        <v>34</v>
      </c>
      <c r="K3233" s="2" t="s">
        <v>18792</v>
      </c>
      <c r="L3233" s="2" t="s">
        <v>18793</v>
      </c>
      <c r="M3233" s="2" t="s">
        <v>701</v>
      </c>
      <c r="N3233" s="2" t="s">
        <v>38</v>
      </c>
      <c r="O3233" s="2" t="s">
        <v>391</v>
      </c>
      <c r="P3233" s="2" t="s">
        <v>13322</v>
      </c>
      <c r="Q3233" s="2" t="s">
        <v>18794</v>
      </c>
      <c r="R3233" s="2" t="s">
        <v>40</v>
      </c>
      <c r="S3233" s="2" t="s">
        <v>18795</v>
      </c>
      <c r="T3233" s="2" t="s">
        <v>18796</v>
      </c>
      <c r="U3233" s="2" t="s">
        <v>18797</v>
      </c>
      <c r="V3233" s="2" t="s">
        <v>18798</v>
      </c>
      <c r="W3233" s="1"/>
      <c r="X3233" s="2" t="s">
        <v>398</v>
      </c>
      <c r="Y3233" s="2" t="s">
        <v>18707</v>
      </c>
      <c r="AA3233" t="str">
        <f t="shared" si="300"/>
        <v>2025-06</v>
      </c>
      <c r="AB3233" t="str">
        <f t="shared" si="301"/>
        <v>H1_2025</v>
      </c>
      <c r="AC3233">
        <f t="shared" si="302"/>
        <v>773508.36</v>
      </c>
      <c r="AD3233">
        <f t="shared" si="303"/>
        <v>60</v>
      </c>
      <c r="AE3233">
        <f t="shared" si="304"/>
        <v>93108.36</v>
      </c>
      <c r="AF3233" t="str">
        <f t="shared" si="305"/>
        <v>Paid</v>
      </c>
    </row>
    <row r="3234" spans="1:32" ht="41.25" thickBot="1" x14ac:dyDescent="0.35">
      <c r="A3234" s="2" t="s">
        <v>18799</v>
      </c>
      <c r="B3234" s="2" t="s">
        <v>27</v>
      </c>
      <c r="C3234" s="2" t="s">
        <v>28</v>
      </c>
      <c r="D3234" s="2" t="s">
        <v>97</v>
      </c>
      <c r="E3234" s="2" t="s">
        <v>45</v>
      </c>
      <c r="F3234" s="2" t="s">
        <v>31</v>
      </c>
      <c r="G3234" s="2" t="s">
        <v>32</v>
      </c>
      <c r="H3234" s="1"/>
      <c r="I3234" s="2" t="s">
        <v>33</v>
      </c>
      <c r="J3234" s="2" t="s">
        <v>34</v>
      </c>
      <c r="K3234" s="2" t="s">
        <v>18792</v>
      </c>
      <c r="L3234" s="2" t="s">
        <v>18793</v>
      </c>
      <c r="M3234" s="2" t="s">
        <v>701</v>
      </c>
      <c r="N3234" s="2" t="s">
        <v>38</v>
      </c>
      <c r="O3234" s="2" t="s">
        <v>1914</v>
      </c>
      <c r="P3234" s="2" t="s">
        <v>13322</v>
      </c>
      <c r="Q3234" s="2" t="s">
        <v>18800</v>
      </c>
      <c r="R3234" s="2" t="s">
        <v>40</v>
      </c>
      <c r="S3234" s="2" t="s">
        <v>18801</v>
      </c>
      <c r="T3234" s="2" t="s">
        <v>18796</v>
      </c>
      <c r="U3234" s="2" t="s">
        <v>18802</v>
      </c>
      <c r="V3234" s="2" t="s">
        <v>18803</v>
      </c>
      <c r="W3234" s="1"/>
      <c r="X3234" s="2" t="s">
        <v>398</v>
      </c>
      <c r="Y3234" s="2" t="s">
        <v>18707</v>
      </c>
      <c r="AA3234" t="str">
        <f t="shared" si="300"/>
        <v>2025-06</v>
      </c>
      <c r="AB3234" t="str">
        <f t="shared" si="301"/>
        <v>H1_2025</v>
      </c>
      <c r="AC3234">
        <f t="shared" si="302"/>
        <v>11602625.4</v>
      </c>
      <c r="AD3234">
        <f t="shared" si="303"/>
        <v>900</v>
      </c>
      <c r="AE3234">
        <f t="shared" si="304"/>
        <v>1396625.4</v>
      </c>
      <c r="AF3234" t="str">
        <f t="shared" si="305"/>
        <v>Paid</v>
      </c>
    </row>
    <row r="3235" spans="1:32" ht="17.25" thickBot="1" x14ac:dyDescent="0.35">
      <c r="A3235" s="2" t="s">
        <v>18804</v>
      </c>
      <c r="B3235" s="2" t="s">
        <v>27</v>
      </c>
      <c r="C3235" s="2" t="s">
        <v>28</v>
      </c>
      <c r="D3235" s="2" t="s">
        <v>97</v>
      </c>
      <c r="E3235" s="2" t="s">
        <v>45</v>
      </c>
      <c r="F3235" s="2" t="s">
        <v>31</v>
      </c>
      <c r="G3235" s="2" t="s">
        <v>32</v>
      </c>
      <c r="H3235" s="1"/>
      <c r="I3235" s="2" t="s">
        <v>33</v>
      </c>
      <c r="J3235" s="2" t="s">
        <v>34</v>
      </c>
      <c r="K3235" s="2" t="s">
        <v>3970</v>
      </c>
      <c r="L3235" s="2" t="s">
        <v>3971</v>
      </c>
      <c r="M3235" s="2" t="s">
        <v>701</v>
      </c>
      <c r="N3235" s="2" t="s">
        <v>38</v>
      </c>
      <c r="O3235" s="2" t="s">
        <v>71</v>
      </c>
      <c r="P3235" s="2" t="s">
        <v>4245</v>
      </c>
      <c r="Q3235" s="2" t="s">
        <v>18805</v>
      </c>
      <c r="R3235" s="2" t="s">
        <v>40</v>
      </c>
      <c r="S3235" s="2" t="s">
        <v>18806</v>
      </c>
      <c r="T3235" s="2" t="s">
        <v>759</v>
      </c>
      <c r="U3235" s="2" t="s">
        <v>18807</v>
      </c>
      <c r="V3235" s="2" t="s">
        <v>18808</v>
      </c>
      <c r="W3235" s="1"/>
      <c r="X3235" s="2" t="s">
        <v>312</v>
      </c>
      <c r="Y3235" s="2" t="s">
        <v>18707</v>
      </c>
      <c r="AA3235" t="str">
        <f t="shared" si="300"/>
        <v>2025-06</v>
      </c>
      <c r="AB3235" t="str">
        <f t="shared" si="301"/>
        <v>H1_2025</v>
      </c>
      <c r="AC3235">
        <f t="shared" si="302"/>
        <v>17198046</v>
      </c>
      <c r="AD3235">
        <f t="shared" si="303"/>
        <v>2000</v>
      </c>
      <c r="AE3235">
        <f t="shared" si="304"/>
        <v>2078046</v>
      </c>
      <c r="AF3235" t="str">
        <f t="shared" si="305"/>
        <v>Paid</v>
      </c>
    </row>
    <row r="3236" spans="1:32" ht="17.25" thickBot="1" x14ac:dyDescent="0.35">
      <c r="A3236" s="2" t="s">
        <v>18809</v>
      </c>
      <c r="B3236" s="2" t="s">
        <v>27</v>
      </c>
      <c r="C3236" s="2" t="s">
        <v>28</v>
      </c>
      <c r="D3236" s="2" t="s">
        <v>97</v>
      </c>
      <c r="E3236" s="2" t="s">
        <v>45</v>
      </c>
      <c r="F3236" s="2" t="s">
        <v>31</v>
      </c>
      <c r="G3236" s="2" t="s">
        <v>32</v>
      </c>
      <c r="H3236" s="1"/>
      <c r="I3236" s="2" t="s">
        <v>33</v>
      </c>
      <c r="J3236" s="2" t="s">
        <v>34</v>
      </c>
      <c r="K3236" s="2" t="s">
        <v>967</v>
      </c>
      <c r="L3236" s="2" t="s">
        <v>968</v>
      </c>
      <c r="M3236" s="2" t="s">
        <v>772</v>
      </c>
      <c r="N3236" s="2" t="s">
        <v>38</v>
      </c>
      <c r="O3236" s="2" t="s">
        <v>877</v>
      </c>
      <c r="P3236" s="2" t="s">
        <v>14450</v>
      </c>
      <c r="Q3236" s="2" t="s">
        <v>14341</v>
      </c>
      <c r="R3236" s="2" t="s">
        <v>40</v>
      </c>
      <c r="S3236" s="2" t="s">
        <v>18810</v>
      </c>
      <c r="T3236" s="2" t="s">
        <v>973</v>
      </c>
      <c r="U3236" s="2" t="s">
        <v>6340</v>
      </c>
      <c r="V3236" s="2" t="s">
        <v>18811</v>
      </c>
      <c r="W3236" s="1"/>
      <c r="X3236" s="2" t="s">
        <v>10023</v>
      </c>
      <c r="Y3236" s="2" t="s">
        <v>18707</v>
      </c>
      <c r="AA3236" t="str">
        <f t="shared" si="300"/>
        <v>2025-06</v>
      </c>
      <c r="AB3236" t="str">
        <f t="shared" si="301"/>
        <v>H1_2025</v>
      </c>
      <c r="AC3236">
        <f t="shared" si="302"/>
        <v>1388762.4</v>
      </c>
      <c r="AD3236">
        <f t="shared" si="303"/>
        <v>100</v>
      </c>
      <c r="AE3236">
        <f t="shared" si="304"/>
        <v>238762.4</v>
      </c>
      <c r="AF3236" t="str">
        <f t="shared" si="305"/>
        <v>Paid</v>
      </c>
    </row>
    <row r="3237" spans="1:32" ht="17.25" thickBot="1" x14ac:dyDescent="0.35">
      <c r="A3237" s="2" t="s">
        <v>18812</v>
      </c>
      <c r="B3237" s="2" t="s">
        <v>27</v>
      </c>
      <c r="C3237" s="2" t="s">
        <v>28</v>
      </c>
      <c r="D3237" s="2" t="s">
        <v>97</v>
      </c>
      <c r="E3237" s="2" t="s">
        <v>45</v>
      </c>
      <c r="F3237" s="2" t="s">
        <v>31</v>
      </c>
      <c r="G3237" s="2" t="s">
        <v>32</v>
      </c>
      <c r="H3237" s="1"/>
      <c r="I3237" s="2" t="s">
        <v>33</v>
      </c>
      <c r="J3237" s="2" t="s">
        <v>34</v>
      </c>
      <c r="K3237" s="2" t="s">
        <v>18602</v>
      </c>
      <c r="L3237" s="2" t="s">
        <v>18603</v>
      </c>
      <c r="M3237" s="2" t="s">
        <v>10280</v>
      </c>
      <c r="N3237" s="2" t="s">
        <v>38</v>
      </c>
      <c r="O3237" s="2" t="s">
        <v>1979</v>
      </c>
      <c r="P3237" s="2" t="s">
        <v>10834</v>
      </c>
      <c r="Q3237" s="2" t="s">
        <v>7145</v>
      </c>
      <c r="R3237" s="2" t="s">
        <v>40</v>
      </c>
      <c r="S3237" s="2" t="s">
        <v>18813</v>
      </c>
      <c r="T3237" s="2" t="s">
        <v>40</v>
      </c>
      <c r="U3237" s="2" t="s">
        <v>40</v>
      </c>
      <c r="V3237" s="2" t="s">
        <v>18813</v>
      </c>
      <c r="W3237" s="1"/>
      <c r="X3237" s="2" t="s">
        <v>2155</v>
      </c>
      <c r="Y3237" s="2" t="s">
        <v>18707</v>
      </c>
      <c r="AA3237" t="str">
        <f t="shared" si="300"/>
        <v>2025-06</v>
      </c>
      <c r="AB3237" t="str">
        <f t="shared" si="301"/>
        <v>H1_2025</v>
      </c>
      <c r="AC3237">
        <f t="shared" si="302"/>
        <v>251915.04</v>
      </c>
      <c r="AD3237">
        <f t="shared" si="303"/>
        <v>1440</v>
      </c>
      <c r="AE3237">
        <f t="shared" si="304"/>
        <v>251915.04</v>
      </c>
      <c r="AF3237" t="str">
        <f t="shared" si="305"/>
        <v>Paid</v>
      </c>
    </row>
    <row r="3238" spans="1:32" ht="17.25" thickBot="1" x14ac:dyDescent="0.35">
      <c r="A3238" s="2" t="s">
        <v>18814</v>
      </c>
      <c r="B3238" s="2" t="s">
        <v>27</v>
      </c>
      <c r="C3238" s="2" t="s">
        <v>28</v>
      </c>
      <c r="D3238" s="2" t="s">
        <v>97</v>
      </c>
      <c r="E3238" s="2" t="s">
        <v>45</v>
      </c>
      <c r="F3238" s="2" t="s">
        <v>31</v>
      </c>
      <c r="G3238" s="2" t="s">
        <v>32</v>
      </c>
      <c r="H3238" s="1"/>
      <c r="I3238" s="2" t="s">
        <v>33</v>
      </c>
      <c r="J3238" s="2" t="s">
        <v>34</v>
      </c>
      <c r="K3238" s="2" t="s">
        <v>10831</v>
      </c>
      <c r="L3238" s="2" t="s">
        <v>10832</v>
      </c>
      <c r="M3238" s="2" t="s">
        <v>48</v>
      </c>
      <c r="N3238" s="2" t="s">
        <v>38</v>
      </c>
      <c r="O3238" s="2" t="s">
        <v>11442</v>
      </c>
      <c r="P3238" s="2" t="s">
        <v>10834</v>
      </c>
      <c r="Q3238" s="2" t="s">
        <v>18557</v>
      </c>
      <c r="R3238" s="2" t="s">
        <v>40</v>
      </c>
      <c r="S3238" s="2" t="s">
        <v>18815</v>
      </c>
      <c r="T3238" s="2" t="s">
        <v>10837</v>
      </c>
      <c r="U3238" s="2" t="s">
        <v>18274</v>
      </c>
      <c r="V3238" s="2" t="s">
        <v>18816</v>
      </c>
      <c r="W3238" s="1"/>
      <c r="X3238" s="2" t="s">
        <v>18817</v>
      </c>
      <c r="Y3238" s="2" t="s">
        <v>18707</v>
      </c>
      <c r="AA3238" t="str">
        <f t="shared" si="300"/>
        <v>2025-06</v>
      </c>
      <c r="AB3238" t="str">
        <f t="shared" si="301"/>
        <v>H1_2025</v>
      </c>
      <c r="AC3238">
        <f t="shared" si="302"/>
        <v>1224587</v>
      </c>
      <c r="AD3238">
        <f t="shared" si="303"/>
        <v>7000</v>
      </c>
      <c r="AE3238">
        <f t="shared" si="304"/>
        <v>454587</v>
      </c>
      <c r="AF3238" t="str">
        <f t="shared" si="305"/>
        <v>Paid</v>
      </c>
    </row>
    <row r="3239" spans="1:32" ht="17.25" thickBot="1" x14ac:dyDescent="0.35">
      <c r="A3239" s="2" t="s">
        <v>18818</v>
      </c>
      <c r="B3239" s="2" t="s">
        <v>27</v>
      </c>
      <c r="C3239" s="2" t="s">
        <v>28</v>
      </c>
      <c r="D3239" s="2" t="s">
        <v>97</v>
      </c>
      <c r="E3239" s="2" t="s">
        <v>45</v>
      </c>
      <c r="F3239" s="2" t="s">
        <v>31</v>
      </c>
      <c r="G3239" s="2" t="s">
        <v>32</v>
      </c>
      <c r="H3239" s="1"/>
      <c r="I3239" s="2" t="s">
        <v>33</v>
      </c>
      <c r="J3239" s="2" t="s">
        <v>34</v>
      </c>
      <c r="K3239" s="2" t="s">
        <v>1111</v>
      </c>
      <c r="L3239" s="2" t="s">
        <v>1112</v>
      </c>
      <c r="M3239" s="2" t="s">
        <v>37</v>
      </c>
      <c r="N3239" s="2" t="s">
        <v>38</v>
      </c>
      <c r="O3239" s="2" t="s">
        <v>748</v>
      </c>
      <c r="P3239" s="2" t="s">
        <v>18819</v>
      </c>
      <c r="Q3239" s="2" t="s">
        <v>11747</v>
      </c>
      <c r="R3239" s="2" t="s">
        <v>40</v>
      </c>
      <c r="S3239" s="2" t="s">
        <v>18820</v>
      </c>
      <c r="T3239" s="2" t="s">
        <v>1117</v>
      </c>
      <c r="U3239" s="2" t="s">
        <v>1272</v>
      </c>
      <c r="V3239" s="2" t="s">
        <v>18821</v>
      </c>
      <c r="W3239" s="1"/>
      <c r="X3239" s="2" t="s">
        <v>3788</v>
      </c>
      <c r="Y3239" s="2" t="s">
        <v>18707</v>
      </c>
      <c r="AA3239" t="str">
        <f t="shared" si="300"/>
        <v>2025-06</v>
      </c>
      <c r="AB3239" t="str">
        <f t="shared" si="301"/>
        <v>H1_2025</v>
      </c>
      <c r="AC3239">
        <f t="shared" si="302"/>
        <v>1130388</v>
      </c>
      <c r="AD3239">
        <f t="shared" si="303"/>
        <v>280</v>
      </c>
      <c r="AE3239">
        <f t="shared" si="304"/>
        <v>248388</v>
      </c>
      <c r="AF3239" t="str">
        <f t="shared" si="305"/>
        <v>Paid</v>
      </c>
    </row>
    <row r="3240" spans="1:32" ht="17.25" thickBot="1" x14ac:dyDescent="0.35">
      <c r="A3240" s="2" t="s">
        <v>18822</v>
      </c>
      <c r="B3240" s="2" t="s">
        <v>27</v>
      </c>
      <c r="C3240" s="2" t="s">
        <v>28</v>
      </c>
      <c r="D3240" s="2" t="s">
        <v>97</v>
      </c>
      <c r="E3240" s="2" t="s">
        <v>45</v>
      </c>
      <c r="F3240" s="2" t="s">
        <v>31</v>
      </c>
      <c r="G3240" s="2" t="s">
        <v>32</v>
      </c>
      <c r="H3240" s="1"/>
      <c r="I3240" s="2" t="s">
        <v>33</v>
      </c>
      <c r="J3240" s="2" t="s">
        <v>34</v>
      </c>
      <c r="K3240" s="2" t="s">
        <v>1214</v>
      </c>
      <c r="L3240" s="2" t="s">
        <v>1215</v>
      </c>
      <c r="M3240" s="2" t="s">
        <v>37</v>
      </c>
      <c r="N3240" s="2" t="s">
        <v>38</v>
      </c>
      <c r="O3240" s="2" t="s">
        <v>121</v>
      </c>
      <c r="P3240" s="2" t="s">
        <v>4302</v>
      </c>
      <c r="Q3240" s="2" t="s">
        <v>18823</v>
      </c>
      <c r="R3240" s="2" t="s">
        <v>40</v>
      </c>
      <c r="S3240" s="2" t="s">
        <v>18824</v>
      </c>
      <c r="T3240" s="2" t="s">
        <v>287</v>
      </c>
      <c r="U3240" s="2" t="s">
        <v>8539</v>
      </c>
      <c r="V3240" s="2" t="s">
        <v>18825</v>
      </c>
      <c r="W3240" s="1"/>
      <c r="X3240" s="2" t="s">
        <v>18826</v>
      </c>
      <c r="Y3240" s="2" t="s">
        <v>18707</v>
      </c>
      <c r="AA3240" t="str">
        <f t="shared" si="300"/>
        <v>2025-06</v>
      </c>
      <c r="AB3240" t="str">
        <f t="shared" si="301"/>
        <v>H1_2025</v>
      </c>
      <c r="AC3240">
        <f t="shared" si="302"/>
        <v>163421.81</v>
      </c>
      <c r="AD3240">
        <f t="shared" si="303"/>
        <v>16</v>
      </c>
      <c r="AE3240">
        <f t="shared" si="304"/>
        <v>51421.81</v>
      </c>
      <c r="AF3240" t="str">
        <f t="shared" si="305"/>
        <v>Paid</v>
      </c>
    </row>
    <row r="3241" spans="1:32" ht="17.25" thickBot="1" x14ac:dyDescent="0.35">
      <c r="A3241" s="2" t="s">
        <v>18827</v>
      </c>
      <c r="B3241" s="2" t="s">
        <v>27</v>
      </c>
      <c r="C3241" s="2" t="s">
        <v>28</v>
      </c>
      <c r="D3241" s="2" t="s">
        <v>97</v>
      </c>
      <c r="E3241" s="2" t="s">
        <v>45</v>
      </c>
      <c r="F3241" s="2" t="s">
        <v>31</v>
      </c>
      <c r="G3241" s="2" t="s">
        <v>32</v>
      </c>
      <c r="H3241" s="1"/>
      <c r="I3241" s="2" t="s">
        <v>33</v>
      </c>
      <c r="J3241" s="2" t="s">
        <v>34</v>
      </c>
      <c r="K3241" s="2" t="s">
        <v>1224</v>
      </c>
      <c r="L3241" s="2" t="s">
        <v>1225</v>
      </c>
      <c r="M3241" s="2" t="s">
        <v>37</v>
      </c>
      <c r="N3241" s="2" t="s">
        <v>38</v>
      </c>
      <c r="O3241" s="2" t="s">
        <v>177</v>
      </c>
      <c r="P3241" s="2" t="s">
        <v>317</v>
      </c>
      <c r="Q3241" s="2" t="s">
        <v>18828</v>
      </c>
      <c r="R3241" s="2" t="s">
        <v>40</v>
      </c>
      <c r="S3241" s="2" t="s">
        <v>18829</v>
      </c>
      <c r="T3241" s="2" t="s">
        <v>126</v>
      </c>
      <c r="U3241" s="2" t="s">
        <v>14683</v>
      </c>
      <c r="V3241" s="2" t="s">
        <v>18830</v>
      </c>
      <c r="W3241" s="1"/>
      <c r="X3241" s="2" t="s">
        <v>3138</v>
      </c>
      <c r="Y3241" s="2" t="s">
        <v>18707</v>
      </c>
      <c r="AA3241" t="str">
        <f t="shared" si="300"/>
        <v>2025-06</v>
      </c>
      <c r="AB3241" t="str">
        <f t="shared" si="301"/>
        <v>H1_2025</v>
      </c>
      <c r="AC3241">
        <f t="shared" si="302"/>
        <v>3235062.8</v>
      </c>
      <c r="AD3241">
        <f t="shared" si="303"/>
        <v>400</v>
      </c>
      <c r="AE3241">
        <f t="shared" si="304"/>
        <v>715062.8</v>
      </c>
      <c r="AF3241" t="str">
        <f t="shared" si="305"/>
        <v>Paid</v>
      </c>
    </row>
    <row r="3242" spans="1:32" ht="17.25" thickBot="1" x14ac:dyDescent="0.35">
      <c r="A3242" s="2" t="s">
        <v>18831</v>
      </c>
      <c r="B3242" s="2" t="s">
        <v>27</v>
      </c>
      <c r="C3242" s="2" t="s">
        <v>28</v>
      </c>
      <c r="D3242" s="2" t="s">
        <v>97</v>
      </c>
      <c r="E3242" s="2" t="s">
        <v>45</v>
      </c>
      <c r="F3242" s="2" t="s">
        <v>31</v>
      </c>
      <c r="G3242" s="2" t="s">
        <v>32</v>
      </c>
      <c r="H3242" s="1"/>
      <c r="I3242" s="2" t="s">
        <v>33</v>
      </c>
      <c r="J3242" s="2" t="s">
        <v>34</v>
      </c>
      <c r="K3242" s="2" t="s">
        <v>1224</v>
      </c>
      <c r="L3242" s="2" t="s">
        <v>1225</v>
      </c>
      <c r="M3242" s="2" t="s">
        <v>37</v>
      </c>
      <c r="N3242" s="2" t="s">
        <v>38</v>
      </c>
      <c r="O3242" s="2" t="s">
        <v>57</v>
      </c>
      <c r="P3242" s="2" t="s">
        <v>317</v>
      </c>
      <c r="Q3242" s="2" t="s">
        <v>18832</v>
      </c>
      <c r="R3242" s="2" t="s">
        <v>40</v>
      </c>
      <c r="S3242" s="2" t="s">
        <v>18833</v>
      </c>
      <c r="T3242" s="2" t="s">
        <v>126</v>
      </c>
      <c r="U3242" s="2" t="s">
        <v>18834</v>
      </c>
      <c r="V3242" s="2" t="s">
        <v>18835</v>
      </c>
      <c r="W3242" s="1"/>
      <c r="X3242" s="2" t="s">
        <v>3138</v>
      </c>
      <c r="Y3242" s="2" t="s">
        <v>18707</v>
      </c>
      <c r="AA3242" t="str">
        <f t="shared" si="300"/>
        <v>2025-06</v>
      </c>
      <c r="AB3242" t="str">
        <f t="shared" si="301"/>
        <v>H1_2025</v>
      </c>
      <c r="AC3242">
        <f t="shared" si="302"/>
        <v>40438.29</v>
      </c>
      <c r="AD3242">
        <f t="shared" si="303"/>
        <v>5</v>
      </c>
      <c r="AE3242">
        <f t="shared" si="304"/>
        <v>8938.2900000000009</v>
      </c>
      <c r="AF3242" t="str">
        <f t="shared" si="305"/>
        <v>Paid</v>
      </c>
    </row>
    <row r="3243" spans="1:32" ht="27.75" thickBot="1" x14ac:dyDescent="0.35">
      <c r="A3243" s="2" t="s">
        <v>18836</v>
      </c>
      <c r="B3243" s="2" t="s">
        <v>27</v>
      </c>
      <c r="C3243" s="2" t="s">
        <v>28</v>
      </c>
      <c r="D3243" s="2" t="s">
        <v>97</v>
      </c>
      <c r="E3243" s="2" t="s">
        <v>45</v>
      </c>
      <c r="F3243" s="2" t="s">
        <v>31</v>
      </c>
      <c r="G3243" s="2" t="s">
        <v>32</v>
      </c>
      <c r="H3243" s="1"/>
      <c r="I3243" s="2" t="s">
        <v>33</v>
      </c>
      <c r="J3243" s="2" t="s">
        <v>34</v>
      </c>
      <c r="K3243" s="2" t="s">
        <v>18642</v>
      </c>
      <c r="L3243" s="2" t="s">
        <v>18643</v>
      </c>
      <c r="M3243" s="2" t="s">
        <v>37</v>
      </c>
      <c r="N3243" s="2" t="s">
        <v>38</v>
      </c>
      <c r="O3243" s="2" t="s">
        <v>7388</v>
      </c>
      <c r="P3243" s="2" t="s">
        <v>142</v>
      </c>
      <c r="Q3243" s="2" t="s">
        <v>2445</v>
      </c>
      <c r="R3243" s="2" t="s">
        <v>40</v>
      </c>
      <c r="S3243" s="2" t="s">
        <v>18837</v>
      </c>
      <c r="T3243" s="2" t="s">
        <v>14635</v>
      </c>
      <c r="U3243" s="2" t="s">
        <v>18838</v>
      </c>
      <c r="V3243" s="2" t="s">
        <v>18839</v>
      </c>
      <c r="W3243" s="1"/>
      <c r="X3243" s="2" t="s">
        <v>10126</v>
      </c>
      <c r="Y3243" s="2" t="s">
        <v>18707</v>
      </c>
      <c r="AA3243" t="str">
        <f t="shared" si="300"/>
        <v>2025-06</v>
      </c>
      <c r="AB3243" t="str">
        <f t="shared" si="301"/>
        <v>H1_2025</v>
      </c>
      <c r="AC3243">
        <f t="shared" si="302"/>
        <v>1614840</v>
      </c>
      <c r="AD3243">
        <f t="shared" si="303"/>
        <v>4000</v>
      </c>
      <c r="AE3243">
        <f t="shared" si="304"/>
        <v>558840</v>
      </c>
      <c r="AF3243" t="str">
        <f t="shared" si="305"/>
        <v>Paid</v>
      </c>
    </row>
    <row r="3244" spans="1:32" ht="17.25" thickBot="1" x14ac:dyDescent="0.35">
      <c r="A3244" s="2" t="s">
        <v>18840</v>
      </c>
      <c r="B3244" s="2" t="s">
        <v>27</v>
      </c>
      <c r="C3244" s="2" t="s">
        <v>28</v>
      </c>
      <c r="D3244" s="2" t="s">
        <v>97</v>
      </c>
      <c r="E3244" s="2" t="s">
        <v>45</v>
      </c>
      <c r="F3244" s="2" t="s">
        <v>31</v>
      </c>
      <c r="G3244" s="2" t="s">
        <v>32</v>
      </c>
      <c r="H3244" s="1"/>
      <c r="I3244" s="2" t="s">
        <v>33</v>
      </c>
      <c r="J3244" s="2" t="s">
        <v>34</v>
      </c>
      <c r="K3244" s="2" t="s">
        <v>1247</v>
      </c>
      <c r="L3244" s="2" t="s">
        <v>1248</v>
      </c>
      <c r="M3244" s="2" t="s">
        <v>37</v>
      </c>
      <c r="N3244" s="2" t="s">
        <v>38</v>
      </c>
      <c r="O3244" s="2" t="s">
        <v>1951</v>
      </c>
      <c r="P3244" s="2" t="s">
        <v>10435</v>
      </c>
      <c r="Q3244" s="2" t="s">
        <v>11246</v>
      </c>
      <c r="R3244" s="2" t="s">
        <v>40</v>
      </c>
      <c r="S3244" s="2" t="s">
        <v>18841</v>
      </c>
      <c r="T3244" s="2" t="s">
        <v>1253</v>
      </c>
      <c r="U3244" s="2" t="s">
        <v>1486</v>
      </c>
      <c r="V3244" s="2" t="s">
        <v>18842</v>
      </c>
      <c r="W3244" s="1"/>
      <c r="X3244" s="2" t="s">
        <v>7108</v>
      </c>
      <c r="Y3244" s="2" t="s">
        <v>18707</v>
      </c>
      <c r="AA3244" t="str">
        <f t="shared" si="300"/>
        <v>2025-06</v>
      </c>
      <c r="AB3244" t="str">
        <f t="shared" si="301"/>
        <v>H1_2025</v>
      </c>
      <c r="AC3244">
        <f t="shared" si="302"/>
        <v>1073868.6000000001</v>
      </c>
      <c r="AD3244">
        <f t="shared" si="303"/>
        <v>600</v>
      </c>
      <c r="AE3244">
        <f t="shared" si="304"/>
        <v>233868.6</v>
      </c>
      <c r="AF3244" t="str">
        <f t="shared" si="305"/>
        <v>Paid</v>
      </c>
    </row>
    <row r="3245" spans="1:32" ht="17.25" thickBot="1" x14ac:dyDescent="0.35">
      <c r="A3245" s="2" t="s">
        <v>18843</v>
      </c>
      <c r="B3245" s="2" t="s">
        <v>27</v>
      </c>
      <c r="C3245" s="2" t="s">
        <v>28</v>
      </c>
      <c r="D3245" s="2" t="s">
        <v>97</v>
      </c>
      <c r="E3245" s="2" t="s">
        <v>45</v>
      </c>
      <c r="F3245" s="2" t="s">
        <v>31</v>
      </c>
      <c r="G3245" s="2" t="s">
        <v>32</v>
      </c>
      <c r="H3245" s="1"/>
      <c r="I3245" s="2" t="s">
        <v>33</v>
      </c>
      <c r="J3245" s="2" t="s">
        <v>34</v>
      </c>
      <c r="K3245" s="2" t="s">
        <v>1247</v>
      </c>
      <c r="L3245" s="2" t="s">
        <v>1248</v>
      </c>
      <c r="M3245" s="2" t="s">
        <v>37</v>
      </c>
      <c r="N3245" s="2" t="s">
        <v>38</v>
      </c>
      <c r="O3245" s="2" t="s">
        <v>773</v>
      </c>
      <c r="P3245" s="2" t="s">
        <v>10435</v>
      </c>
      <c r="Q3245" s="2" t="s">
        <v>18844</v>
      </c>
      <c r="R3245" s="2" t="s">
        <v>40</v>
      </c>
      <c r="S3245" s="2" t="s">
        <v>18845</v>
      </c>
      <c r="T3245" s="2" t="s">
        <v>1253</v>
      </c>
      <c r="U3245" s="2" t="s">
        <v>5210</v>
      </c>
      <c r="V3245" s="2" t="s">
        <v>18846</v>
      </c>
      <c r="W3245" s="1"/>
      <c r="X3245" s="2" t="s">
        <v>7108</v>
      </c>
      <c r="Y3245" s="2" t="s">
        <v>18707</v>
      </c>
      <c r="AA3245" t="str">
        <f t="shared" si="300"/>
        <v>2025-06</v>
      </c>
      <c r="AB3245" t="str">
        <f t="shared" si="301"/>
        <v>H1_2025</v>
      </c>
      <c r="AC3245">
        <f t="shared" si="302"/>
        <v>357956.2</v>
      </c>
      <c r="AD3245">
        <f t="shared" si="303"/>
        <v>200</v>
      </c>
      <c r="AE3245">
        <f t="shared" si="304"/>
        <v>77956.2</v>
      </c>
      <c r="AF3245" t="str">
        <f t="shared" si="305"/>
        <v>Paid</v>
      </c>
    </row>
    <row r="3246" spans="1:32" ht="17.25" thickBot="1" x14ac:dyDescent="0.35">
      <c r="A3246" s="2" t="s">
        <v>18847</v>
      </c>
      <c r="B3246" s="2" t="s">
        <v>27</v>
      </c>
      <c r="C3246" s="2" t="s">
        <v>28</v>
      </c>
      <c r="D3246" s="2" t="s">
        <v>97</v>
      </c>
      <c r="E3246" s="2" t="s">
        <v>45</v>
      </c>
      <c r="F3246" s="2" t="s">
        <v>31</v>
      </c>
      <c r="G3246" s="2" t="s">
        <v>32</v>
      </c>
      <c r="H3246" s="1"/>
      <c r="I3246" s="2" t="s">
        <v>33</v>
      </c>
      <c r="J3246" s="2" t="s">
        <v>34</v>
      </c>
      <c r="K3246" s="2" t="s">
        <v>18661</v>
      </c>
      <c r="L3246" s="2" t="s">
        <v>18662</v>
      </c>
      <c r="M3246" s="2" t="s">
        <v>37</v>
      </c>
      <c r="N3246" s="2" t="s">
        <v>38</v>
      </c>
      <c r="O3246" s="2" t="s">
        <v>8269</v>
      </c>
      <c r="P3246" s="2" t="s">
        <v>142</v>
      </c>
      <c r="Q3246" s="2" t="s">
        <v>4848</v>
      </c>
      <c r="R3246" s="2" t="s">
        <v>40</v>
      </c>
      <c r="S3246" s="2" t="s">
        <v>18848</v>
      </c>
      <c r="T3246" s="2" t="s">
        <v>14635</v>
      </c>
      <c r="U3246" s="2" t="s">
        <v>18849</v>
      </c>
      <c r="V3246" s="2" t="s">
        <v>18850</v>
      </c>
      <c r="W3246" s="1"/>
      <c r="X3246" s="2" t="s">
        <v>10126</v>
      </c>
      <c r="Y3246" s="2" t="s">
        <v>18707</v>
      </c>
      <c r="AA3246" t="str">
        <f t="shared" si="300"/>
        <v>2025-06</v>
      </c>
      <c r="AB3246" t="str">
        <f t="shared" si="301"/>
        <v>H1_2025</v>
      </c>
      <c r="AC3246">
        <f t="shared" si="302"/>
        <v>968904</v>
      </c>
      <c r="AD3246">
        <f t="shared" si="303"/>
        <v>2400</v>
      </c>
      <c r="AE3246">
        <f t="shared" si="304"/>
        <v>335304</v>
      </c>
      <c r="AF3246" t="str">
        <f t="shared" si="305"/>
        <v>Paid</v>
      </c>
    </row>
    <row r="3247" spans="1:32" ht="17.25" thickBot="1" x14ac:dyDescent="0.35">
      <c r="A3247" s="2" t="s">
        <v>18851</v>
      </c>
      <c r="B3247" s="2" t="s">
        <v>27</v>
      </c>
      <c r="C3247" s="2" t="s">
        <v>28</v>
      </c>
      <c r="D3247" s="2" t="s">
        <v>97</v>
      </c>
      <c r="E3247" s="2" t="s">
        <v>45</v>
      </c>
      <c r="F3247" s="2" t="s">
        <v>31</v>
      </c>
      <c r="G3247" s="2" t="s">
        <v>32</v>
      </c>
      <c r="H3247" s="1"/>
      <c r="I3247" s="2" t="s">
        <v>33</v>
      </c>
      <c r="J3247" s="2" t="s">
        <v>34</v>
      </c>
      <c r="K3247" s="2" t="s">
        <v>18852</v>
      </c>
      <c r="L3247" s="2" t="s">
        <v>18853</v>
      </c>
      <c r="M3247" s="2" t="s">
        <v>5102</v>
      </c>
      <c r="N3247" s="2" t="s">
        <v>38</v>
      </c>
      <c r="O3247" s="2" t="s">
        <v>370</v>
      </c>
      <c r="P3247" s="2" t="s">
        <v>18854</v>
      </c>
      <c r="Q3247" s="2" t="s">
        <v>2101</v>
      </c>
      <c r="R3247" s="2" t="s">
        <v>40</v>
      </c>
      <c r="S3247" s="2" t="s">
        <v>18855</v>
      </c>
      <c r="T3247" s="2" t="s">
        <v>18856</v>
      </c>
      <c r="U3247" s="2" t="s">
        <v>18857</v>
      </c>
      <c r="V3247" s="2" t="s">
        <v>18858</v>
      </c>
      <c r="W3247" s="1"/>
      <c r="X3247" s="2" t="s">
        <v>6663</v>
      </c>
      <c r="Y3247" s="2" t="s">
        <v>18707</v>
      </c>
      <c r="AA3247" t="str">
        <f t="shared" si="300"/>
        <v>2025-06</v>
      </c>
      <c r="AB3247" t="str">
        <f t="shared" si="301"/>
        <v>H1_2025</v>
      </c>
      <c r="AC3247">
        <f t="shared" si="302"/>
        <v>9689040</v>
      </c>
      <c r="AD3247">
        <f t="shared" si="303"/>
        <v>480</v>
      </c>
      <c r="AE3247">
        <f t="shared" si="304"/>
        <v>2183760</v>
      </c>
      <c r="AF3247" t="str">
        <f t="shared" si="305"/>
        <v>Paid</v>
      </c>
    </row>
    <row r="3248" spans="1:32" ht="17.25" thickBot="1" x14ac:dyDescent="0.35">
      <c r="A3248" s="2" t="s">
        <v>18859</v>
      </c>
      <c r="B3248" s="2" t="s">
        <v>27</v>
      </c>
      <c r="C3248" s="2" t="s">
        <v>28</v>
      </c>
      <c r="D3248" s="2" t="s">
        <v>97</v>
      </c>
      <c r="E3248" s="2" t="s">
        <v>67</v>
      </c>
      <c r="F3248" s="2" t="s">
        <v>31</v>
      </c>
      <c r="G3248" s="2" t="s">
        <v>32</v>
      </c>
      <c r="H3248" s="1"/>
      <c r="I3248" s="2" t="s">
        <v>33</v>
      </c>
      <c r="J3248" s="2" t="s">
        <v>34</v>
      </c>
      <c r="K3248" s="2" t="s">
        <v>8521</v>
      </c>
      <c r="L3248" s="2" t="s">
        <v>8522</v>
      </c>
      <c r="M3248" s="2" t="s">
        <v>7717</v>
      </c>
      <c r="N3248" s="2" t="s">
        <v>38</v>
      </c>
      <c r="O3248" s="2" t="s">
        <v>39</v>
      </c>
      <c r="P3248" s="2" t="s">
        <v>14204</v>
      </c>
      <c r="Q3248" s="2" t="s">
        <v>18860</v>
      </c>
      <c r="R3248" s="2" t="s">
        <v>40</v>
      </c>
      <c r="S3248" s="2" t="s">
        <v>18861</v>
      </c>
      <c r="T3248" s="2" t="s">
        <v>9272</v>
      </c>
      <c r="U3248" s="2" t="s">
        <v>18862</v>
      </c>
      <c r="V3248" s="2" t="s">
        <v>18863</v>
      </c>
      <c r="W3248" s="1"/>
      <c r="X3248" s="2" t="s">
        <v>15185</v>
      </c>
      <c r="Y3248" s="2" t="s">
        <v>18864</v>
      </c>
      <c r="AA3248" t="str">
        <f t="shared" si="300"/>
        <v>2025-06</v>
      </c>
      <c r="AB3248" t="str">
        <f t="shared" si="301"/>
        <v>H1_2025</v>
      </c>
      <c r="AC3248">
        <f t="shared" si="302"/>
        <v>21299168.699999999</v>
      </c>
      <c r="AD3248">
        <f t="shared" si="303"/>
        <v>4050</v>
      </c>
      <c r="AE3248">
        <f t="shared" si="304"/>
        <v>3256418.7</v>
      </c>
      <c r="AF3248" t="str">
        <f t="shared" si="305"/>
        <v>Paid</v>
      </c>
    </row>
    <row r="3249" spans="1:32" ht="17.25" thickBot="1" x14ac:dyDescent="0.35">
      <c r="A3249" s="2" t="s">
        <v>18865</v>
      </c>
      <c r="B3249" s="2" t="s">
        <v>27</v>
      </c>
      <c r="C3249" s="2" t="s">
        <v>28</v>
      </c>
      <c r="D3249" s="2" t="s">
        <v>97</v>
      </c>
      <c r="E3249" s="2" t="s">
        <v>67</v>
      </c>
      <c r="F3249" s="2" t="s">
        <v>31</v>
      </c>
      <c r="G3249" s="2" t="s">
        <v>32</v>
      </c>
      <c r="H3249" s="1"/>
      <c r="I3249" s="2" t="s">
        <v>33</v>
      </c>
      <c r="J3249" s="2" t="s">
        <v>34</v>
      </c>
      <c r="K3249" s="2" t="s">
        <v>18866</v>
      </c>
      <c r="L3249" s="2" t="s">
        <v>18867</v>
      </c>
      <c r="M3249" s="2" t="s">
        <v>6146</v>
      </c>
      <c r="N3249" s="2" t="s">
        <v>38</v>
      </c>
      <c r="O3249" s="2" t="s">
        <v>15479</v>
      </c>
      <c r="P3249" s="2" t="s">
        <v>5139</v>
      </c>
      <c r="Q3249" s="2" t="s">
        <v>18868</v>
      </c>
      <c r="R3249" s="2" t="s">
        <v>40</v>
      </c>
      <c r="S3249" s="2" t="s">
        <v>18869</v>
      </c>
      <c r="T3249" s="2" t="s">
        <v>18870</v>
      </c>
      <c r="U3249" s="2" t="s">
        <v>18871</v>
      </c>
      <c r="V3249" s="2" t="s">
        <v>18872</v>
      </c>
      <c r="W3249" s="1"/>
      <c r="X3249" s="2" t="s">
        <v>155</v>
      </c>
      <c r="Y3249" s="2" t="s">
        <v>18864</v>
      </c>
      <c r="AA3249" t="str">
        <f t="shared" si="300"/>
        <v>2025-06</v>
      </c>
      <c r="AB3249" t="str">
        <f t="shared" si="301"/>
        <v>H1_2025</v>
      </c>
      <c r="AC3249">
        <f t="shared" si="302"/>
        <v>44262267.600000001</v>
      </c>
      <c r="AD3249">
        <f t="shared" si="303"/>
        <v>4080</v>
      </c>
      <c r="AE3249">
        <f t="shared" si="304"/>
        <v>8631177.5999999996</v>
      </c>
      <c r="AF3249" t="str">
        <f t="shared" si="305"/>
        <v>Paid</v>
      </c>
    </row>
    <row r="3250" spans="1:32" ht="27.75" thickBot="1" x14ac:dyDescent="0.35">
      <c r="A3250" s="2" t="s">
        <v>18873</v>
      </c>
      <c r="B3250" s="2" t="s">
        <v>27</v>
      </c>
      <c r="C3250" s="2" t="s">
        <v>28</v>
      </c>
      <c r="D3250" s="2" t="s">
        <v>97</v>
      </c>
      <c r="E3250" s="2" t="s">
        <v>67</v>
      </c>
      <c r="F3250" s="2" t="s">
        <v>31</v>
      </c>
      <c r="G3250" s="2" t="s">
        <v>32</v>
      </c>
      <c r="H3250" s="1"/>
      <c r="I3250" s="2" t="s">
        <v>33</v>
      </c>
      <c r="J3250" s="2" t="s">
        <v>34</v>
      </c>
      <c r="K3250" s="2" t="s">
        <v>68</v>
      </c>
      <c r="L3250" s="2" t="s">
        <v>69</v>
      </c>
      <c r="M3250" s="2" t="s">
        <v>70</v>
      </c>
      <c r="N3250" s="2" t="s">
        <v>38</v>
      </c>
      <c r="O3250" s="2" t="s">
        <v>18874</v>
      </c>
      <c r="P3250" s="2" t="s">
        <v>1451</v>
      </c>
      <c r="Q3250" s="2" t="s">
        <v>18875</v>
      </c>
      <c r="R3250" s="2" t="s">
        <v>40</v>
      </c>
      <c r="S3250" s="2" t="s">
        <v>18876</v>
      </c>
      <c r="T3250" s="2" t="s">
        <v>7901</v>
      </c>
      <c r="U3250" s="2" t="s">
        <v>18877</v>
      </c>
      <c r="V3250" s="2" t="s">
        <v>18878</v>
      </c>
      <c r="W3250" s="1"/>
      <c r="X3250" s="2" t="s">
        <v>976</v>
      </c>
      <c r="Y3250" s="2" t="s">
        <v>18864</v>
      </c>
      <c r="AA3250" t="str">
        <f t="shared" si="300"/>
        <v>2025-06</v>
      </c>
      <c r="AB3250" t="str">
        <f t="shared" si="301"/>
        <v>H1_2025</v>
      </c>
      <c r="AC3250">
        <f t="shared" si="302"/>
        <v>10178999.6</v>
      </c>
      <c r="AD3250">
        <f t="shared" si="303"/>
        <v>2200</v>
      </c>
      <c r="AE3250">
        <f t="shared" si="304"/>
        <v>2058799.6</v>
      </c>
      <c r="AF3250" t="str">
        <f t="shared" si="305"/>
        <v>Paid</v>
      </c>
    </row>
    <row r="3251" spans="1:32" ht="17.25" thickBot="1" x14ac:dyDescent="0.35">
      <c r="A3251" s="2" t="s">
        <v>18879</v>
      </c>
      <c r="B3251" s="2" t="s">
        <v>27</v>
      </c>
      <c r="C3251" s="2" t="s">
        <v>28</v>
      </c>
      <c r="D3251" s="2" t="s">
        <v>97</v>
      </c>
      <c r="E3251" s="2" t="s">
        <v>67</v>
      </c>
      <c r="F3251" s="2" t="s">
        <v>31</v>
      </c>
      <c r="G3251" s="2" t="s">
        <v>32</v>
      </c>
      <c r="H3251" s="1"/>
      <c r="I3251" s="2" t="s">
        <v>33</v>
      </c>
      <c r="J3251" s="2" t="s">
        <v>34</v>
      </c>
      <c r="K3251" s="2" t="s">
        <v>763</v>
      </c>
      <c r="L3251" s="2" t="s">
        <v>764</v>
      </c>
      <c r="M3251" s="2" t="s">
        <v>701</v>
      </c>
      <c r="N3251" s="2" t="s">
        <v>38</v>
      </c>
      <c r="O3251" s="2" t="s">
        <v>18880</v>
      </c>
      <c r="P3251" s="2" t="s">
        <v>4912</v>
      </c>
      <c r="Q3251" s="2" t="s">
        <v>18881</v>
      </c>
      <c r="R3251" s="2" t="s">
        <v>40</v>
      </c>
      <c r="S3251" s="2" t="s">
        <v>18882</v>
      </c>
      <c r="T3251" s="2" t="s">
        <v>759</v>
      </c>
      <c r="U3251" s="2" t="s">
        <v>18883</v>
      </c>
      <c r="V3251" s="2" t="s">
        <v>18884</v>
      </c>
      <c r="W3251" s="1"/>
      <c r="X3251" s="2" t="s">
        <v>709</v>
      </c>
      <c r="Y3251" s="2" t="s">
        <v>18864</v>
      </c>
      <c r="AA3251" t="str">
        <f t="shared" si="300"/>
        <v>2025-06</v>
      </c>
      <c r="AB3251" t="str">
        <f t="shared" si="301"/>
        <v>H1_2025</v>
      </c>
      <c r="AC3251">
        <f t="shared" si="302"/>
        <v>19141347.23</v>
      </c>
      <c r="AD3251">
        <f t="shared" si="303"/>
        <v>2128</v>
      </c>
      <c r="AE3251">
        <f t="shared" si="304"/>
        <v>3053667.23</v>
      </c>
      <c r="AF3251" t="str">
        <f t="shared" si="305"/>
        <v>Paid</v>
      </c>
    </row>
    <row r="3252" spans="1:32" ht="17.25" thickBot="1" x14ac:dyDescent="0.35">
      <c r="A3252" s="2" t="s">
        <v>18885</v>
      </c>
      <c r="B3252" s="2" t="s">
        <v>27</v>
      </c>
      <c r="C3252" s="2" t="s">
        <v>28</v>
      </c>
      <c r="D3252" s="2" t="s">
        <v>97</v>
      </c>
      <c r="E3252" s="2" t="s">
        <v>67</v>
      </c>
      <c r="F3252" s="2" t="s">
        <v>31</v>
      </c>
      <c r="G3252" s="2" t="s">
        <v>32</v>
      </c>
      <c r="H3252" s="1"/>
      <c r="I3252" s="2" t="s">
        <v>33</v>
      </c>
      <c r="J3252" s="2" t="s">
        <v>34</v>
      </c>
      <c r="K3252" s="2" t="s">
        <v>77</v>
      </c>
      <c r="L3252" s="2" t="s">
        <v>78</v>
      </c>
      <c r="M3252" s="2" t="s">
        <v>48</v>
      </c>
      <c r="N3252" s="2" t="s">
        <v>38</v>
      </c>
      <c r="O3252" s="2" t="s">
        <v>3980</v>
      </c>
      <c r="P3252" s="2" t="s">
        <v>3783</v>
      </c>
      <c r="Q3252" s="2" t="s">
        <v>18886</v>
      </c>
      <c r="R3252" s="2" t="s">
        <v>40</v>
      </c>
      <c r="S3252" s="2" t="s">
        <v>18887</v>
      </c>
      <c r="T3252" s="2" t="s">
        <v>7535</v>
      </c>
      <c r="U3252" s="2" t="s">
        <v>18888</v>
      </c>
      <c r="V3252" s="2" t="s">
        <v>18889</v>
      </c>
      <c r="W3252" s="1"/>
      <c r="X3252" s="2" t="s">
        <v>7228</v>
      </c>
      <c r="Y3252" s="2" t="s">
        <v>18864</v>
      </c>
      <c r="AA3252" t="str">
        <f t="shared" si="300"/>
        <v>2025-06</v>
      </c>
      <c r="AB3252" t="str">
        <f t="shared" si="301"/>
        <v>H1_2025</v>
      </c>
      <c r="AC3252">
        <f t="shared" si="302"/>
        <v>25833306.649999999</v>
      </c>
      <c r="AD3252">
        <f t="shared" si="303"/>
        <v>2050</v>
      </c>
      <c r="AE3252">
        <f t="shared" si="304"/>
        <v>7567806.6500000004</v>
      </c>
      <c r="AF3252" t="str">
        <f t="shared" si="305"/>
        <v>Paid</v>
      </c>
    </row>
    <row r="3253" spans="1:32" ht="27.75" thickBot="1" x14ac:dyDescent="0.35">
      <c r="A3253" s="2" t="s">
        <v>18890</v>
      </c>
      <c r="B3253" s="2" t="s">
        <v>27</v>
      </c>
      <c r="C3253" s="2" t="s">
        <v>28</v>
      </c>
      <c r="D3253" s="2" t="s">
        <v>97</v>
      </c>
      <c r="E3253" s="2" t="s">
        <v>67</v>
      </c>
      <c r="F3253" s="2" t="s">
        <v>31</v>
      </c>
      <c r="G3253" s="2" t="s">
        <v>32</v>
      </c>
      <c r="H3253" s="1"/>
      <c r="I3253" s="2" t="s">
        <v>33</v>
      </c>
      <c r="J3253" s="2" t="s">
        <v>34</v>
      </c>
      <c r="K3253" s="2" t="s">
        <v>80</v>
      </c>
      <c r="L3253" s="2" t="s">
        <v>81</v>
      </c>
      <c r="M3253" s="2" t="s">
        <v>37</v>
      </c>
      <c r="N3253" s="2" t="s">
        <v>38</v>
      </c>
      <c r="O3253" s="2" t="s">
        <v>18891</v>
      </c>
      <c r="P3253" s="2" t="s">
        <v>16395</v>
      </c>
      <c r="Q3253" s="2" t="s">
        <v>18892</v>
      </c>
      <c r="R3253" s="2" t="s">
        <v>40</v>
      </c>
      <c r="S3253" s="2" t="s">
        <v>18893</v>
      </c>
      <c r="T3253" s="2" t="s">
        <v>18894</v>
      </c>
      <c r="U3253" s="2" t="s">
        <v>18895</v>
      </c>
      <c r="V3253" s="2" t="s">
        <v>18896</v>
      </c>
      <c r="W3253" s="1"/>
      <c r="X3253" s="2" t="s">
        <v>6886</v>
      </c>
      <c r="Y3253" s="2" t="s">
        <v>18864</v>
      </c>
      <c r="AA3253" t="str">
        <f t="shared" si="300"/>
        <v>2025-06</v>
      </c>
      <c r="AB3253" t="str">
        <f t="shared" si="301"/>
        <v>H1_2025</v>
      </c>
      <c r="AC3253">
        <f t="shared" si="302"/>
        <v>20295810.170000002</v>
      </c>
      <c r="AD3253">
        <f t="shared" si="303"/>
        <v>2056</v>
      </c>
      <c r="AE3253">
        <f t="shared" si="304"/>
        <v>5577330.1699999999</v>
      </c>
      <c r="AF3253" t="str">
        <f t="shared" si="305"/>
        <v>Paid</v>
      </c>
    </row>
    <row r="3254" spans="1:32" ht="17.25" thickBot="1" x14ac:dyDescent="0.35">
      <c r="A3254" s="2" t="s">
        <v>18897</v>
      </c>
      <c r="B3254" s="2" t="s">
        <v>27</v>
      </c>
      <c r="C3254" s="2" t="s">
        <v>28</v>
      </c>
      <c r="D3254" s="2" t="s">
        <v>97</v>
      </c>
      <c r="E3254" s="2" t="s">
        <v>67</v>
      </c>
      <c r="F3254" s="2" t="s">
        <v>31</v>
      </c>
      <c r="G3254" s="2" t="s">
        <v>32</v>
      </c>
      <c r="H3254" s="1"/>
      <c r="I3254" s="2" t="s">
        <v>33</v>
      </c>
      <c r="J3254" s="2" t="s">
        <v>34</v>
      </c>
      <c r="K3254" s="2" t="s">
        <v>82</v>
      </c>
      <c r="L3254" s="2" t="s">
        <v>83</v>
      </c>
      <c r="M3254" s="2" t="s">
        <v>84</v>
      </c>
      <c r="N3254" s="2" t="s">
        <v>38</v>
      </c>
      <c r="O3254" s="2" t="s">
        <v>3980</v>
      </c>
      <c r="P3254" s="2" t="s">
        <v>8857</v>
      </c>
      <c r="Q3254" s="2" t="s">
        <v>18898</v>
      </c>
      <c r="R3254" s="2" t="s">
        <v>40</v>
      </c>
      <c r="S3254" s="2" t="s">
        <v>18899</v>
      </c>
      <c r="T3254" s="2" t="s">
        <v>2275</v>
      </c>
      <c r="U3254" s="2" t="s">
        <v>18900</v>
      </c>
      <c r="V3254" s="2" t="s">
        <v>18901</v>
      </c>
      <c r="W3254" s="1"/>
      <c r="X3254" s="2" t="s">
        <v>1239</v>
      </c>
      <c r="Y3254" s="2" t="s">
        <v>18864</v>
      </c>
      <c r="AA3254" t="str">
        <f t="shared" si="300"/>
        <v>2025-06</v>
      </c>
      <c r="AB3254" t="str">
        <f t="shared" si="301"/>
        <v>H1_2025</v>
      </c>
      <c r="AC3254">
        <f t="shared" si="302"/>
        <v>10663234.9</v>
      </c>
      <c r="AD3254">
        <f t="shared" si="303"/>
        <v>2050</v>
      </c>
      <c r="AE3254">
        <f t="shared" si="304"/>
        <v>1438234.9</v>
      </c>
      <c r="AF3254" t="str">
        <f t="shared" si="305"/>
        <v>Paid</v>
      </c>
    </row>
    <row r="3255" spans="1:32" ht="27.75" thickBot="1" x14ac:dyDescent="0.35">
      <c r="A3255" s="2" t="s">
        <v>18902</v>
      </c>
      <c r="B3255" s="2" t="s">
        <v>27</v>
      </c>
      <c r="C3255" s="2" t="s">
        <v>28</v>
      </c>
      <c r="D3255" s="2" t="s">
        <v>97</v>
      </c>
      <c r="E3255" s="2" t="s">
        <v>18903</v>
      </c>
      <c r="F3255" s="2" t="s">
        <v>31</v>
      </c>
      <c r="G3255" s="2" t="s">
        <v>32</v>
      </c>
      <c r="H3255" s="1"/>
      <c r="I3255" s="2" t="s">
        <v>33</v>
      </c>
      <c r="J3255" s="2" t="s">
        <v>34</v>
      </c>
      <c r="K3255" s="2" t="s">
        <v>10372</v>
      </c>
      <c r="L3255" s="2" t="s">
        <v>10373</v>
      </c>
      <c r="M3255" s="2" t="s">
        <v>304</v>
      </c>
      <c r="N3255" s="2" t="s">
        <v>38</v>
      </c>
      <c r="O3255" s="2" t="s">
        <v>4038</v>
      </c>
      <c r="P3255" s="2" t="s">
        <v>104</v>
      </c>
      <c r="Q3255" s="2" t="s">
        <v>18854</v>
      </c>
      <c r="R3255" s="2" t="s">
        <v>40</v>
      </c>
      <c r="S3255" s="2" t="s">
        <v>18904</v>
      </c>
      <c r="T3255" s="2" t="s">
        <v>3023</v>
      </c>
      <c r="U3255" s="2" t="s">
        <v>13824</v>
      </c>
      <c r="V3255" s="2" t="s">
        <v>18905</v>
      </c>
      <c r="W3255" s="2" t="s">
        <v>41</v>
      </c>
      <c r="X3255" s="2" t="s">
        <v>18906</v>
      </c>
      <c r="Y3255" s="2" t="s">
        <v>18907</v>
      </c>
      <c r="AA3255" t="str">
        <f t="shared" si="300"/>
        <v>2025-06</v>
      </c>
      <c r="AB3255" t="str">
        <f t="shared" si="301"/>
        <v>H1_2025</v>
      </c>
      <c r="AC3255">
        <f t="shared" si="302"/>
        <v>20961</v>
      </c>
      <c r="AD3255">
        <f t="shared" si="303"/>
        <v>1500</v>
      </c>
      <c r="AE3255">
        <f t="shared" si="304"/>
        <v>-2979039</v>
      </c>
      <c r="AF3255" t="str">
        <f t="shared" si="305"/>
        <v>Sample</v>
      </c>
    </row>
    <row r="3256" spans="1:32" ht="17.25" thickBot="1" x14ac:dyDescent="0.35">
      <c r="A3256" s="2" t="s">
        <v>18908</v>
      </c>
      <c r="B3256" s="2" t="s">
        <v>27</v>
      </c>
      <c r="C3256" s="2" t="s">
        <v>28</v>
      </c>
      <c r="D3256" s="2" t="s">
        <v>97</v>
      </c>
      <c r="E3256" s="2" t="s">
        <v>18903</v>
      </c>
      <c r="F3256" s="2" t="s">
        <v>31</v>
      </c>
      <c r="G3256" s="2" t="s">
        <v>32</v>
      </c>
      <c r="H3256" s="1"/>
      <c r="I3256" s="2" t="s">
        <v>33</v>
      </c>
      <c r="J3256" s="2" t="s">
        <v>34</v>
      </c>
      <c r="K3256" s="2" t="s">
        <v>2405</v>
      </c>
      <c r="L3256" s="2" t="s">
        <v>2406</v>
      </c>
      <c r="M3256" s="2" t="s">
        <v>2389</v>
      </c>
      <c r="N3256" s="2" t="s">
        <v>38</v>
      </c>
      <c r="O3256" s="2" t="s">
        <v>977</v>
      </c>
      <c r="P3256" s="2" t="s">
        <v>18909</v>
      </c>
      <c r="Q3256" s="2" t="s">
        <v>18910</v>
      </c>
      <c r="R3256" s="2" t="s">
        <v>40</v>
      </c>
      <c r="S3256" s="2" t="s">
        <v>18911</v>
      </c>
      <c r="T3256" s="2" t="s">
        <v>2411</v>
      </c>
      <c r="U3256" s="2" t="s">
        <v>4497</v>
      </c>
      <c r="V3256" s="2" t="s">
        <v>18912</v>
      </c>
      <c r="W3256" s="1"/>
      <c r="X3256" s="2" t="s">
        <v>6790</v>
      </c>
      <c r="Y3256" s="2" t="s">
        <v>18907</v>
      </c>
      <c r="AA3256" t="str">
        <f t="shared" si="300"/>
        <v>2025-06</v>
      </c>
      <c r="AB3256" t="str">
        <f t="shared" si="301"/>
        <v>H1_2025</v>
      </c>
      <c r="AC3256">
        <f t="shared" si="302"/>
        <v>421176.36</v>
      </c>
      <c r="AD3256">
        <f t="shared" si="303"/>
        <v>110</v>
      </c>
      <c r="AE3256">
        <f t="shared" si="304"/>
        <v>91176.36</v>
      </c>
      <c r="AF3256" t="str">
        <f t="shared" si="305"/>
        <v>Paid</v>
      </c>
    </row>
    <row r="3257" spans="1:32" ht="27.75" thickBot="1" x14ac:dyDescent="0.35">
      <c r="A3257" s="2" t="s">
        <v>18913</v>
      </c>
      <c r="B3257" s="2" t="s">
        <v>27</v>
      </c>
      <c r="C3257" s="2" t="s">
        <v>28</v>
      </c>
      <c r="D3257" s="2" t="s">
        <v>97</v>
      </c>
      <c r="E3257" s="2" t="s">
        <v>18903</v>
      </c>
      <c r="F3257" s="2" t="s">
        <v>31</v>
      </c>
      <c r="G3257" s="2" t="s">
        <v>32</v>
      </c>
      <c r="H3257" s="1"/>
      <c r="I3257" s="2" t="s">
        <v>33</v>
      </c>
      <c r="J3257" s="2" t="s">
        <v>34</v>
      </c>
      <c r="K3257" s="2" t="s">
        <v>18914</v>
      </c>
      <c r="L3257" s="2" t="s">
        <v>18915</v>
      </c>
      <c r="M3257" s="2" t="s">
        <v>6146</v>
      </c>
      <c r="N3257" s="2" t="s">
        <v>38</v>
      </c>
      <c r="O3257" s="2" t="s">
        <v>1020</v>
      </c>
      <c r="P3257" s="2" t="s">
        <v>18916</v>
      </c>
      <c r="Q3257" s="2" t="s">
        <v>18917</v>
      </c>
      <c r="R3257" s="2" t="s">
        <v>40</v>
      </c>
      <c r="S3257" s="2" t="s">
        <v>18918</v>
      </c>
      <c r="T3257" s="2" t="s">
        <v>11319</v>
      </c>
      <c r="U3257" s="2" t="s">
        <v>18919</v>
      </c>
      <c r="V3257" s="2" t="s">
        <v>18920</v>
      </c>
      <c r="W3257" s="1"/>
      <c r="X3257" s="2" t="s">
        <v>4421</v>
      </c>
      <c r="Y3257" s="2" t="s">
        <v>18907</v>
      </c>
      <c r="AA3257" t="str">
        <f t="shared" si="300"/>
        <v>2025-06</v>
      </c>
      <c r="AB3257" t="str">
        <f t="shared" si="301"/>
        <v>H1_2025</v>
      </c>
      <c r="AC3257">
        <f t="shared" si="302"/>
        <v>1821510.9</v>
      </c>
      <c r="AD3257">
        <f t="shared" si="303"/>
        <v>1650</v>
      </c>
      <c r="AE3257">
        <f t="shared" si="304"/>
        <v>395910.9</v>
      </c>
      <c r="AF3257" t="str">
        <f t="shared" si="305"/>
        <v>Paid</v>
      </c>
    </row>
    <row r="3258" spans="1:32" ht="27.75" thickBot="1" x14ac:dyDescent="0.35">
      <c r="A3258" s="2" t="s">
        <v>18921</v>
      </c>
      <c r="B3258" s="2" t="s">
        <v>27</v>
      </c>
      <c r="C3258" s="2" t="s">
        <v>28</v>
      </c>
      <c r="D3258" s="2" t="s">
        <v>97</v>
      </c>
      <c r="E3258" s="2" t="s">
        <v>18903</v>
      </c>
      <c r="F3258" s="2" t="s">
        <v>31</v>
      </c>
      <c r="G3258" s="2" t="s">
        <v>32</v>
      </c>
      <c r="H3258" s="1"/>
      <c r="I3258" s="2" t="s">
        <v>33</v>
      </c>
      <c r="J3258" s="2" t="s">
        <v>34</v>
      </c>
      <c r="K3258" s="2" t="s">
        <v>18922</v>
      </c>
      <c r="L3258" s="2" t="s">
        <v>18923</v>
      </c>
      <c r="M3258" s="2" t="s">
        <v>16013</v>
      </c>
      <c r="N3258" s="2" t="s">
        <v>38</v>
      </c>
      <c r="O3258" s="2" t="s">
        <v>1837</v>
      </c>
      <c r="P3258" s="2" t="s">
        <v>18924</v>
      </c>
      <c r="Q3258" s="2" t="s">
        <v>18925</v>
      </c>
      <c r="R3258" s="2" t="s">
        <v>40</v>
      </c>
      <c r="S3258" s="2" t="s">
        <v>18926</v>
      </c>
      <c r="T3258" s="2" t="s">
        <v>297</v>
      </c>
      <c r="U3258" s="2" t="s">
        <v>18927</v>
      </c>
      <c r="V3258" s="2" t="s">
        <v>18928</v>
      </c>
      <c r="W3258" s="1"/>
      <c r="X3258" s="2" t="s">
        <v>3583</v>
      </c>
      <c r="Y3258" s="2" t="s">
        <v>18907</v>
      </c>
      <c r="AA3258" t="str">
        <f t="shared" si="300"/>
        <v>2025-06</v>
      </c>
      <c r="AB3258" t="str">
        <f t="shared" si="301"/>
        <v>H1_2025</v>
      </c>
      <c r="AC3258">
        <f t="shared" si="302"/>
        <v>10975179.6</v>
      </c>
      <c r="AD3258">
        <f t="shared" si="303"/>
        <v>1100</v>
      </c>
      <c r="AE3258">
        <f t="shared" si="304"/>
        <v>2175179.6</v>
      </c>
      <c r="AF3258" t="str">
        <f t="shared" si="305"/>
        <v>Paid</v>
      </c>
    </row>
    <row r="3259" spans="1:32" ht="27.75" thickBot="1" x14ac:dyDescent="0.35">
      <c r="A3259" s="2" t="s">
        <v>18929</v>
      </c>
      <c r="B3259" s="2" t="s">
        <v>27</v>
      </c>
      <c r="C3259" s="2" t="s">
        <v>28</v>
      </c>
      <c r="D3259" s="2" t="s">
        <v>97</v>
      </c>
      <c r="E3259" s="2" t="s">
        <v>18903</v>
      </c>
      <c r="F3259" s="2" t="s">
        <v>31</v>
      </c>
      <c r="G3259" s="2" t="s">
        <v>32</v>
      </c>
      <c r="H3259" s="1"/>
      <c r="I3259" s="2" t="s">
        <v>33</v>
      </c>
      <c r="J3259" s="2" t="s">
        <v>34</v>
      </c>
      <c r="K3259" s="2" t="s">
        <v>18930</v>
      </c>
      <c r="L3259" s="2" t="s">
        <v>18931</v>
      </c>
      <c r="M3259" s="2" t="s">
        <v>16013</v>
      </c>
      <c r="N3259" s="2" t="s">
        <v>38</v>
      </c>
      <c r="O3259" s="2" t="s">
        <v>12403</v>
      </c>
      <c r="P3259" s="2" t="s">
        <v>6229</v>
      </c>
      <c r="Q3259" s="2" t="s">
        <v>18932</v>
      </c>
      <c r="R3259" s="2" t="s">
        <v>40</v>
      </c>
      <c r="S3259" s="2" t="s">
        <v>18933</v>
      </c>
      <c r="T3259" s="2" t="s">
        <v>12077</v>
      </c>
      <c r="U3259" s="2" t="s">
        <v>18934</v>
      </c>
      <c r="V3259" s="2" t="s">
        <v>18935</v>
      </c>
      <c r="W3259" s="1"/>
      <c r="X3259" s="2" t="s">
        <v>17168</v>
      </c>
      <c r="Y3259" s="2" t="s">
        <v>18907</v>
      </c>
      <c r="AA3259" t="str">
        <f t="shared" si="300"/>
        <v>2025-06</v>
      </c>
      <c r="AB3259" t="str">
        <f t="shared" si="301"/>
        <v>H1_2025</v>
      </c>
      <c r="AC3259">
        <f t="shared" si="302"/>
        <v>17032908.600000001</v>
      </c>
      <c r="AD3259">
        <f t="shared" si="303"/>
        <v>1700</v>
      </c>
      <c r="AE3259">
        <f t="shared" si="304"/>
        <v>6152908.5999999996</v>
      </c>
      <c r="AF3259" t="str">
        <f t="shared" si="305"/>
        <v>Paid</v>
      </c>
    </row>
    <row r="3260" spans="1:32" ht="17.25" thickBot="1" x14ac:dyDescent="0.35">
      <c r="A3260" s="2" t="s">
        <v>18936</v>
      </c>
      <c r="B3260" s="2" t="s">
        <v>27</v>
      </c>
      <c r="C3260" s="2" t="s">
        <v>28</v>
      </c>
      <c r="D3260" s="2" t="s">
        <v>97</v>
      </c>
      <c r="E3260" s="2" t="s">
        <v>18903</v>
      </c>
      <c r="F3260" s="2" t="s">
        <v>31</v>
      </c>
      <c r="G3260" s="2" t="s">
        <v>32</v>
      </c>
      <c r="H3260" s="1"/>
      <c r="I3260" s="2" t="s">
        <v>33</v>
      </c>
      <c r="J3260" s="2" t="s">
        <v>34</v>
      </c>
      <c r="K3260" s="2" t="s">
        <v>17049</v>
      </c>
      <c r="L3260" s="2" t="s">
        <v>17050</v>
      </c>
      <c r="M3260" s="2" t="s">
        <v>16013</v>
      </c>
      <c r="N3260" s="2" t="s">
        <v>38</v>
      </c>
      <c r="O3260" s="2" t="s">
        <v>877</v>
      </c>
      <c r="P3260" s="2" t="s">
        <v>6415</v>
      </c>
      <c r="Q3260" s="2" t="s">
        <v>18937</v>
      </c>
      <c r="R3260" s="2" t="s">
        <v>40</v>
      </c>
      <c r="S3260" s="2" t="s">
        <v>18938</v>
      </c>
      <c r="T3260" s="2" t="s">
        <v>1013</v>
      </c>
      <c r="U3260" s="2" t="s">
        <v>18939</v>
      </c>
      <c r="V3260" s="2" t="s">
        <v>18940</v>
      </c>
      <c r="W3260" s="1"/>
      <c r="X3260" s="2" t="s">
        <v>1693</v>
      </c>
      <c r="Y3260" s="2" t="s">
        <v>18907</v>
      </c>
      <c r="AA3260" t="str">
        <f t="shared" si="300"/>
        <v>2025-06</v>
      </c>
      <c r="AB3260" t="str">
        <f t="shared" si="301"/>
        <v>H1_2025</v>
      </c>
      <c r="AC3260">
        <f t="shared" si="302"/>
        <v>1022896.8</v>
      </c>
      <c r="AD3260">
        <f t="shared" si="303"/>
        <v>100</v>
      </c>
      <c r="AE3260">
        <f t="shared" si="304"/>
        <v>172896.8</v>
      </c>
      <c r="AF3260" t="str">
        <f t="shared" si="305"/>
        <v>Paid</v>
      </c>
    </row>
    <row r="3261" spans="1:32" ht="27.75" thickBot="1" x14ac:dyDescent="0.35">
      <c r="A3261" s="2" t="s">
        <v>18941</v>
      </c>
      <c r="B3261" s="2" t="s">
        <v>27</v>
      </c>
      <c r="C3261" s="2" t="s">
        <v>28</v>
      </c>
      <c r="D3261" s="2" t="s">
        <v>97</v>
      </c>
      <c r="E3261" s="2" t="s">
        <v>18903</v>
      </c>
      <c r="F3261" s="2" t="s">
        <v>31</v>
      </c>
      <c r="G3261" s="2" t="s">
        <v>32</v>
      </c>
      <c r="H3261" s="1"/>
      <c r="I3261" s="2" t="s">
        <v>33</v>
      </c>
      <c r="J3261" s="2" t="s">
        <v>34</v>
      </c>
      <c r="K3261" s="2" t="s">
        <v>18942</v>
      </c>
      <c r="L3261" s="2" t="s">
        <v>18943</v>
      </c>
      <c r="M3261" s="2" t="s">
        <v>16013</v>
      </c>
      <c r="N3261" s="2" t="s">
        <v>38</v>
      </c>
      <c r="O3261" s="2" t="s">
        <v>149</v>
      </c>
      <c r="P3261" s="2" t="s">
        <v>18944</v>
      </c>
      <c r="Q3261" s="2" t="s">
        <v>18945</v>
      </c>
      <c r="R3261" s="2" t="s">
        <v>40</v>
      </c>
      <c r="S3261" s="2" t="s">
        <v>18946</v>
      </c>
      <c r="T3261" s="2" t="s">
        <v>864</v>
      </c>
      <c r="U3261" s="2" t="s">
        <v>10742</v>
      </c>
      <c r="V3261" s="2" t="s">
        <v>18947</v>
      </c>
      <c r="W3261" s="1"/>
      <c r="X3261" s="2" t="s">
        <v>3037</v>
      </c>
      <c r="Y3261" s="2" t="s">
        <v>18907</v>
      </c>
      <c r="AA3261" t="str">
        <f t="shared" si="300"/>
        <v>2025-06</v>
      </c>
      <c r="AB3261" t="str">
        <f t="shared" si="301"/>
        <v>H1_2025</v>
      </c>
      <c r="AC3261">
        <f t="shared" si="302"/>
        <v>3429219.6</v>
      </c>
      <c r="AD3261">
        <f t="shared" si="303"/>
        <v>300</v>
      </c>
      <c r="AE3261">
        <f t="shared" si="304"/>
        <v>1179219.6000000001</v>
      </c>
      <c r="AF3261" t="str">
        <f t="shared" si="305"/>
        <v>Paid</v>
      </c>
    </row>
    <row r="3262" spans="1:32" ht="17.25" thickBot="1" x14ac:dyDescent="0.35">
      <c r="A3262" s="2" t="s">
        <v>18948</v>
      </c>
      <c r="B3262" s="2" t="s">
        <v>27</v>
      </c>
      <c r="C3262" s="2" t="s">
        <v>28</v>
      </c>
      <c r="D3262" s="2" t="s">
        <v>97</v>
      </c>
      <c r="E3262" s="2" t="s">
        <v>18903</v>
      </c>
      <c r="F3262" s="2" t="s">
        <v>31</v>
      </c>
      <c r="G3262" s="2" t="s">
        <v>32</v>
      </c>
      <c r="H3262" s="1"/>
      <c r="I3262" s="2" t="s">
        <v>33</v>
      </c>
      <c r="J3262" s="2" t="s">
        <v>34</v>
      </c>
      <c r="K3262" s="2" t="s">
        <v>18949</v>
      </c>
      <c r="L3262" s="2" t="s">
        <v>18950</v>
      </c>
      <c r="M3262" s="2" t="s">
        <v>16013</v>
      </c>
      <c r="N3262" s="2" t="s">
        <v>38</v>
      </c>
      <c r="O3262" s="2" t="s">
        <v>2057</v>
      </c>
      <c r="P3262" s="2" t="s">
        <v>9216</v>
      </c>
      <c r="Q3262" s="2" t="s">
        <v>18951</v>
      </c>
      <c r="R3262" s="2" t="s">
        <v>40</v>
      </c>
      <c r="S3262" s="2" t="s">
        <v>18952</v>
      </c>
      <c r="T3262" s="2" t="s">
        <v>126</v>
      </c>
      <c r="U3262" s="2" t="s">
        <v>18953</v>
      </c>
      <c r="V3262" s="2" t="s">
        <v>18954</v>
      </c>
      <c r="W3262" s="1"/>
      <c r="X3262" s="2" t="s">
        <v>18231</v>
      </c>
      <c r="Y3262" s="2" t="s">
        <v>18907</v>
      </c>
      <c r="AA3262" t="str">
        <f t="shared" si="300"/>
        <v>2025-06</v>
      </c>
      <c r="AB3262" t="str">
        <f t="shared" si="301"/>
        <v>H1_2025</v>
      </c>
      <c r="AC3262">
        <f t="shared" si="302"/>
        <v>3081267</v>
      </c>
      <c r="AD3262">
        <f t="shared" si="303"/>
        <v>350</v>
      </c>
      <c r="AE3262">
        <f t="shared" si="304"/>
        <v>876267</v>
      </c>
      <c r="AF3262" t="str">
        <f t="shared" si="305"/>
        <v>Paid</v>
      </c>
    </row>
    <row r="3263" spans="1:32" ht="17.25" thickBot="1" x14ac:dyDescent="0.35">
      <c r="A3263" s="2" t="s">
        <v>18955</v>
      </c>
      <c r="B3263" s="2" t="s">
        <v>27</v>
      </c>
      <c r="C3263" s="2" t="s">
        <v>28</v>
      </c>
      <c r="D3263" s="2" t="s">
        <v>97</v>
      </c>
      <c r="E3263" s="2" t="s">
        <v>18903</v>
      </c>
      <c r="F3263" s="2" t="s">
        <v>31</v>
      </c>
      <c r="G3263" s="2" t="s">
        <v>32</v>
      </c>
      <c r="H3263" s="1"/>
      <c r="I3263" s="2" t="s">
        <v>33</v>
      </c>
      <c r="J3263" s="2" t="s">
        <v>34</v>
      </c>
      <c r="K3263" s="2" t="s">
        <v>18956</v>
      </c>
      <c r="L3263" s="2" t="s">
        <v>18957</v>
      </c>
      <c r="M3263" s="2" t="s">
        <v>70</v>
      </c>
      <c r="N3263" s="2" t="s">
        <v>38</v>
      </c>
      <c r="O3263" s="2" t="s">
        <v>18958</v>
      </c>
      <c r="P3263" s="2" t="s">
        <v>18959</v>
      </c>
      <c r="Q3263" s="2" t="s">
        <v>18960</v>
      </c>
      <c r="R3263" s="2" t="s">
        <v>40</v>
      </c>
      <c r="S3263" s="2" t="s">
        <v>18961</v>
      </c>
      <c r="T3263" s="2" t="s">
        <v>18636</v>
      </c>
      <c r="U3263" s="2" t="s">
        <v>18962</v>
      </c>
      <c r="V3263" s="2" t="s">
        <v>18963</v>
      </c>
      <c r="W3263" s="1"/>
      <c r="X3263" s="2" t="s">
        <v>14054</v>
      </c>
      <c r="Y3263" s="2" t="s">
        <v>18907</v>
      </c>
      <c r="AA3263" t="str">
        <f t="shared" si="300"/>
        <v>2025-06</v>
      </c>
      <c r="AB3263" t="str">
        <f t="shared" si="301"/>
        <v>H1_2025</v>
      </c>
      <c r="AC3263">
        <f t="shared" si="302"/>
        <v>2317308.42</v>
      </c>
      <c r="AD3263">
        <f t="shared" si="303"/>
        <v>1610</v>
      </c>
      <c r="AE3263">
        <f t="shared" si="304"/>
        <v>1190308.42</v>
      </c>
      <c r="AF3263" t="str">
        <f t="shared" si="305"/>
        <v>Paid</v>
      </c>
    </row>
    <row r="3264" spans="1:32" ht="27.75" thickBot="1" x14ac:dyDescent="0.35">
      <c r="A3264" s="2" t="s">
        <v>18964</v>
      </c>
      <c r="B3264" s="2" t="s">
        <v>27</v>
      </c>
      <c r="C3264" s="2" t="s">
        <v>28</v>
      </c>
      <c r="D3264" s="2" t="s">
        <v>97</v>
      </c>
      <c r="E3264" s="2" t="s">
        <v>18903</v>
      </c>
      <c r="F3264" s="2" t="s">
        <v>31</v>
      </c>
      <c r="G3264" s="2" t="s">
        <v>32</v>
      </c>
      <c r="H3264" s="1"/>
      <c r="I3264" s="2" t="s">
        <v>33</v>
      </c>
      <c r="J3264" s="2" t="s">
        <v>34</v>
      </c>
      <c r="K3264" s="2" t="s">
        <v>18965</v>
      </c>
      <c r="L3264" s="2" t="s">
        <v>18966</v>
      </c>
      <c r="M3264" s="2" t="s">
        <v>70</v>
      </c>
      <c r="N3264" s="2" t="s">
        <v>38</v>
      </c>
      <c r="O3264" s="2" t="s">
        <v>177</v>
      </c>
      <c r="P3264" s="2" t="s">
        <v>18967</v>
      </c>
      <c r="Q3264" s="2" t="s">
        <v>15944</v>
      </c>
      <c r="R3264" s="2" t="s">
        <v>40</v>
      </c>
      <c r="S3264" s="2" t="s">
        <v>18968</v>
      </c>
      <c r="T3264" s="2" t="s">
        <v>13469</v>
      </c>
      <c r="U3264" s="2" t="s">
        <v>18969</v>
      </c>
      <c r="V3264" s="2" t="s">
        <v>18970</v>
      </c>
      <c r="W3264" s="1"/>
      <c r="X3264" s="2" t="s">
        <v>6800</v>
      </c>
      <c r="Y3264" s="2" t="s">
        <v>18907</v>
      </c>
      <c r="AA3264" t="str">
        <f t="shared" si="300"/>
        <v>2025-06</v>
      </c>
      <c r="AB3264" t="str">
        <f t="shared" si="301"/>
        <v>H1_2025</v>
      </c>
      <c r="AC3264">
        <f t="shared" si="302"/>
        <v>961411.2</v>
      </c>
      <c r="AD3264">
        <f t="shared" si="303"/>
        <v>400</v>
      </c>
      <c r="AE3264">
        <f t="shared" si="304"/>
        <v>343011.2</v>
      </c>
      <c r="AF3264" t="str">
        <f t="shared" si="305"/>
        <v>Paid</v>
      </c>
    </row>
    <row r="3265" spans="1:32" ht="27.75" thickBot="1" x14ac:dyDescent="0.35">
      <c r="A3265" s="2" t="s">
        <v>18971</v>
      </c>
      <c r="B3265" s="2" t="s">
        <v>27</v>
      </c>
      <c r="C3265" s="2" t="s">
        <v>28</v>
      </c>
      <c r="D3265" s="2" t="s">
        <v>97</v>
      </c>
      <c r="E3265" s="2" t="s">
        <v>18903</v>
      </c>
      <c r="F3265" s="2" t="s">
        <v>31</v>
      </c>
      <c r="G3265" s="2" t="s">
        <v>32</v>
      </c>
      <c r="H3265" s="1"/>
      <c r="I3265" s="2" t="s">
        <v>33</v>
      </c>
      <c r="J3265" s="2" t="s">
        <v>34</v>
      </c>
      <c r="K3265" s="2" t="s">
        <v>18965</v>
      </c>
      <c r="L3265" s="2" t="s">
        <v>18966</v>
      </c>
      <c r="M3265" s="2" t="s">
        <v>70</v>
      </c>
      <c r="N3265" s="2" t="s">
        <v>38</v>
      </c>
      <c r="O3265" s="2" t="s">
        <v>1644</v>
      </c>
      <c r="P3265" s="2" t="s">
        <v>18967</v>
      </c>
      <c r="Q3265" s="2" t="s">
        <v>18972</v>
      </c>
      <c r="R3265" s="2" t="s">
        <v>40</v>
      </c>
      <c r="S3265" s="2" t="s">
        <v>18973</v>
      </c>
      <c r="T3265" s="2" t="s">
        <v>40</v>
      </c>
      <c r="U3265" s="2" t="s">
        <v>40</v>
      </c>
      <c r="V3265" s="2" t="s">
        <v>18973</v>
      </c>
      <c r="W3265" s="1"/>
      <c r="X3265" s="2" t="s">
        <v>2155</v>
      </c>
      <c r="Y3265" s="2" t="s">
        <v>18907</v>
      </c>
      <c r="AA3265" t="str">
        <f t="shared" si="300"/>
        <v>2025-06</v>
      </c>
      <c r="AB3265" t="str">
        <f t="shared" si="301"/>
        <v>H1_2025</v>
      </c>
      <c r="AC3265">
        <f t="shared" si="302"/>
        <v>2884233.6</v>
      </c>
      <c r="AD3265">
        <f t="shared" si="303"/>
        <v>1200</v>
      </c>
      <c r="AE3265">
        <f t="shared" si="304"/>
        <v>2884233.6</v>
      </c>
      <c r="AF3265" t="str">
        <f t="shared" si="305"/>
        <v>Paid</v>
      </c>
    </row>
    <row r="3266" spans="1:32" ht="17.25" thickBot="1" x14ac:dyDescent="0.35">
      <c r="A3266" s="2" t="s">
        <v>18974</v>
      </c>
      <c r="B3266" s="2" t="s">
        <v>27</v>
      </c>
      <c r="C3266" s="2" t="s">
        <v>28</v>
      </c>
      <c r="D3266" s="2" t="s">
        <v>97</v>
      </c>
      <c r="E3266" s="2" t="s">
        <v>18903</v>
      </c>
      <c r="F3266" s="2" t="s">
        <v>31</v>
      </c>
      <c r="G3266" s="2" t="s">
        <v>32</v>
      </c>
      <c r="H3266" s="1"/>
      <c r="I3266" s="2" t="s">
        <v>33</v>
      </c>
      <c r="J3266" s="2" t="s">
        <v>34</v>
      </c>
      <c r="K3266" s="2" t="s">
        <v>3895</v>
      </c>
      <c r="L3266" s="2" t="s">
        <v>3896</v>
      </c>
      <c r="M3266" s="2" t="s">
        <v>701</v>
      </c>
      <c r="N3266" s="2" t="s">
        <v>38</v>
      </c>
      <c r="O3266" s="2" t="s">
        <v>18975</v>
      </c>
      <c r="P3266" s="2" t="s">
        <v>17670</v>
      </c>
      <c r="Q3266" s="2" t="s">
        <v>18976</v>
      </c>
      <c r="R3266" s="2" t="s">
        <v>40</v>
      </c>
      <c r="S3266" s="2" t="s">
        <v>18977</v>
      </c>
      <c r="T3266" s="2" t="s">
        <v>1444</v>
      </c>
      <c r="U3266" s="2" t="s">
        <v>18978</v>
      </c>
      <c r="V3266" s="2" t="s">
        <v>18979</v>
      </c>
      <c r="W3266" s="1"/>
      <c r="X3266" s="2" t="s">
        <v>3824</v>
      </c>
      <c r="Y3266" s="2" t="s">
        <v>18907</v>
      </c>
      <c r="AA3266" t="str">
        <f t="shared" si="300"/>
        <v>2025-06</v>
      </c>
      <c r="AB3266" t="str">
        <f t="shared" si="301"/>
        <v>H1_2025</v>
      </c>
      <c r="AC3266">
        <f t="shared" si="302"/>
        <v>22547049</v>
      </c>
      <c r="AD3266">
        <f t="shared" si="303"/>
        <v>3500</v>
      </c>
      <c r="AE3266">
        <f t="shared" si="304"/>
        <v>3437049</v>
      </c>
      <c r="AF3266" t="str">
        <f t="shared" si="305"/>
        <v>Paid</v>
      </c>
    </row>
    <row r="3267" spans="1:32" ht="17.25" thickBot="1" x14ac:dyDescent="0.35">
      <c r="A3267" s="2" t="s">
        <v>18980</v>
      </c>
      <c r="B3267" s="2" t="s">
        <v>27</v>
      </c>
      <c r="C3267" s="2" t="s">
        <v>28</v>
      </c>
      <c r="D3267" s="2" t="s">
        <v>97</v>
      </c>
      <c r="E3267" s="2" t="s">
        <v>18903</v>
      </c>
      <c r="F3267" s="2" t="s">
        <v>31</v>
      </c>
      <c r="G3267" s="2" t="s">
        <v>32</v>
      </c>
      <c r="H3267" s="1"/>
      <c r="I3267" s="2" t="s">
        <v>33</v>
      </c>
      <c r="J3267" s="2" t="s">
        <v>34</v>
      </c>
      <c r="K3267" s="2" t="s">
        <v>3895</v>
      </c>
      <c r="L3267" s="2" t="s">
        <v>3896</v>
      </c>
      <c r="M3267" s="2" t="s">
        <v>701</v>
      </c>
      <c r="N3267" s="2" t="s">
        <v>38</v>
      </c>
      <c r="O3267" s="2" t="s">
        <v>131</v>
      </c>
      <c r="P3267" s="2" t="s">
        <v>17670</v>
      </c>
      <c r="Q3267" s="2" t="s">
        <v>17681</v>
      </c>
      <c r="R3267" s="2" t="s">
        <v>40</v>
      </c>
      <c r="S3267" s="2" t="s">
        <v>18981</v>
      </c>
      <c r="T3267" s="2" t="s">
        <v>1444</v>
      </c>
      <c r="U3267" s="2" t="s">
        <v>18982</v>
      </c>
      <c r="V3267" s="2" t="s">
        <v>18983</v>
      </c>
      <c r="W3267" s="1"/>
      <c r="X3267" s="2" t="s">
        <v>3824</v>
      </c>
      <c r="Y3267" s="2" t="s">
        <v>18907</v>
      </c>
      <c r="AA3267" t="str">
        <f t="shared" si="300"/>
        <v>2025-06</v>
      </c>
      <c r="AB3267" t="str">
        <f t="shared" si="301"/>
        <v>H1_2025</v>
      </c>
      <c r="AC3267">
        <f t="shared" si="302"/>
        <v>257680.56</v>
      </c>
      <c r="AD3267">
        <f t="shared" si="303"/>
        <v>40</v>
      </c>
      <c r="AE3267">
        <f t="shared" si="304"/>
        <v>39280.559999999998</v>
      </c>
      <c r="AF3267" t="str">
        <f t="shared" si="305"/>
        <v>Paid</v>
      </c>
    </row>
    <row r="3268" spans="1:32" ht="17.25" thickBot="1" x14ac:dyDescent="0.35">
      <c r="A3268" s="2" t="s">
        <v>18984</v>
      </c>
      <c r="B3268" s="2" t="s">
        <v>27</v>
      </c>
      <c r="C3268" s="2" t="s">
        <v>28</v>
      </c>
      <c r="D3268" s="2" t="s">
        <v>97</v>
      </c>
      <c r="E3268" s="2" t="s">
        <v>18903</v>
      </c>
      <c r="F3268" s="2" t="s">
        <v>31</v>
      </c>
      <c r="G3268" s="2" t="s">
        <v>32</v>
      </c>
      <c r="H3268" s="1"/>
      <c r="I3268" s="2" t="s">
        <v>33</v>
      </c>
      <c r="J3268" s="2" t="s">
        <v>34</v>
      </c>
      <c r="K3268" s="2" t="s">
        <v>8322</v>
      </c>
      <c r="L3268" s="2" t="s">
        <v>8323</v>
      </c>
      <c r="M3268" s="2" t="s">
        <v>701</v>
      </c>
      <c r="N3268" s="2" t="s">
        <v>38</v>
      </c>
      <c r="O3268" s="2" t="s">
        <v>517</v>
      </c>
      <c r="P3268" s="2" t="s">
        <v>3612</v>
      </c>
      <c r="Q3268" s="2" t="s">
        <v>18985</v>
      </c>
      <c r="R3268" s="2" t="s">
        <v>40</v>
      </c>
      <c r="S3268" s="2" t="s">
        <v>18986</v>
      </c>
      <c r="T3268" s="2" t="s">
        <v>8326</v>
      </c>
      <c r="U3268" s="2" t="s">
        <v>760</v>
      </c>
      <c r="V3268" s="2" t="s">
        <v>18987</v>
      </c>
      <c r="W3268" s="1"/>
      <c r="X3268" s="2" t="s">
        <v>3903</v>
      </c>
      <c r="Y3268" s="2" t="s">
        <v>18907</v>
      </c>
      <c r="AA3268" t="str">
        <f t="shared" ref="AA3268:AA3331" si="306">LEFT(E3268,7)</f>
        <v>2025-06</v>
      </c>
      <c r="AB3268" t="str">
        <f t="shared" ref="AB3268:AB3331" si="307">IF(AND($AA3268&gt;="2025-01",$AA3268&lt;="2025-06"),"H1_2025",IF(AND($AA3268&gt;="2026-01",$AA3268&lt;="2026-06"),"H1_2026",""))</f>
        <v>H1_2025</v>
      </c>
      <c r="AC3268">
        <f t="shared" ref="AC3268:AC3331" si="308">IFERROR(VALUE(SUBSTITUTE(S3268,",","")),0)</f>
        <v>1261013.76</v>
      </c>
      <c r="AD3268">
        <f t="shared" ref="AD3268:AD3331" si="309">IFERROR(VALUE(SUBSTITUTE(O3268,",","")),0)</f>
        <v>120</v>
      </c>
      <c r="AE3268">
        <f t="shared" ref="AE3268:AE3331" si="310">IFERROR(VALUE(SUBSTITUTE(V3268,",","")),0)</f>
        <v>202613.76000000001</v>
      </c>
      <c r="AF3268" t="str">
        <f t="shared" ref="AF3268:AF3331" si="311">IF(ISNUMBER(SEARCH("FOC",W3268)),"FOC",IF(ISNUMBER(SEARCH("샘플",W3268)),"Sample","Paid"))</f>
        <v>Paid</v>
      </c>
    </row>
    <row r="3269" spans="1:32" ht="17.25" thickBot="1" x14ac:dyDescent="0.35">
      <c r="A3269" s="2" t="s">
        <v>18988</v>
      </c>
      <c r="B3269" s="2" t="s">
        <v>27</v>
      </c>
      <c r="C3269" s="2" t="s">
        <v>28</v>
      </c>
      <c r="D3269" s="2" t="s">
        <v>97</v>
      </c>
      <c r="E3269" s="2" t="s">
        <v>18903</v>
      </c>
      <c r="F3269" s="2" t="s">
        <v>31</v>
      </c>
      <c r="G3269" s="2" t="s">
        <v>32</v>
      </c>
      <c r="H3269" s="1"/>
      <c r="I3269" s="2" t="s">
        <v>33</v>
      </c>
      <c r="J3269" s="2" t="s">
        <v>34</v>
      </c>
      <c r="K3269" s="2" t="s">
        <v>7397</v>
      </c>
      <c r="L3269" s="2" t="s">
        <v>7398</v>
      </c>
      <c r="M3269" s="2" t="s">
        <v>772</v>
      </c>
      <c r="N3269" s="2" t="s">
        <v>38</v>
      </c>
      <c r="O3269" s="2" t="s">
        <v>149</v>
      </c>
      <c r="P3269" s="2" t="s">
        <v>18989</v>
      </c>
      <c r="Q3269" s="2" t="s">
        <v>18990</v>
      </c>
      <c r="R3269" s="2" t="s">
        <v>40</v>
      </c>
      <c r="S3269" s="2" t="s">
        <v>18991</v>
      </c>
      <c r="T3269" s="2" t="s">
        <v>5027</v>
      </c>
      <c r="U3269" s="2" t="s">
        <v>11100</v>
      </c>
      <c r="V3269" s="2" t="s">
        <v>18992</v>
      </c>
      <c r="W3269" s="1"/>
      <c r="X3269" s="2" t="s">
        <v>838</v>
      </c>
      <c r="Y3269" s="2" t="s">
        <v>18907</v>
      </c>
      <c r="AA3269" t="str">
        <f t="shared" si="306"/>
        <v>2025-06</v>
      </c>
      <c r="AB3269" t="str">
        <f t="shared" si="307"/>
        <v>H1_2025</v>
      </c>
      <c r="AC3269">
        <f t="shared" si="308"/>
        <v>42684980.399999999</v>
      </c>
      <c r="AD3269">
        <f t="shared" si="309"/>
        <v>300</v>
      </c>
      <c r="AE3269">
        <f t="shared" si="310"/>
        <v>8934980.4000000004</v>
      </c>
      <c r="AF3269" t="str">
        <f t="shared" si="311"/>
        <v>Paid</v>
      </c>
    </row>
    <row r="3270" spans="1:32" ht="17.25" thickBot="1" x14ac:dyDescent="0.35">
      <c r="A3270" s="2" t="s">
        <v>18993</v>
      </c>
      <c r="B3270" s="2" t="s">
        <v>27</v>
      </c>
      <c r="C3270" s="2" t="s">
        <v>28</v>
      </c>
      <c r="D3270" s="2" t="s">
        <v>97</v>
      </c>
      <c r="E3270" s="2" t="s">
        <v>18903</v>
      </c>
      <c r="F3270" s="2" t="s">
        <v>31</v>
      </c>
      <c r="G3270" s="2" t="s">
        <v>32</v>
      </c>
      <c r="H3270" s="1"/>
      <c r="I3270" s="2" t="s">
        <v>33</v>
      </c>
      <c r="J3270" s="2" t="s">
        <v>34</v>
      </c>
      <c r="K3270" s="2" t="s">
        <v>18994</v>
      </c>
      <c r="L3270" s="2" t="s">
        <v>18995</v>
      </c>
      <c r="M3270" s="2" t="s">
        <v>772</v>
      </c>
      <c r="N3270" s="2" t="s">
        <v>38</v>
      </c>
      <c r="O3270" s="2" t="s">
        <v>159</v>
      </c>
      <c r="P3270" s="2" t="s">
        <v>18989</v>
      </c>
      <c r="Q3270" s="2" t="s">
        <v>18996</v>
      </c>
      <c r="R3270" s="2" t="s">
        <v>40</v>
      </c>
      <c r="S3270" s="2" t="s">
        <v>18997</v>
      </c>
      <c r="T3270" s="2" t="s">
        <v>5027</v>
      </c>
      <c r="U3270" s="2" t="s">
        <v>171</v>
      </c>
      <c r="V3270" s="2" t="s">
        <v>18998</v>
      </c>
      <c r="W3270" s="1"/>
      <c r="X3270" s="2" t="s">
        <v>838</v>
      </c>
      <c r="Y3270" s="2" t="s">
        <v>18907</v>
      </c>
      <c r="AA3270" t="str">
        <f t="shared" si="306"/>
        <v>2025-06</v>
      </c>
      <c r="AB3270" t="str">
        <f t="shared" si="307"/>
        <v>H1_2025</v>
      </c>
      <c r="AC3270">
        <f t="shared" si="308"/>
        <v>11382661.439999999</v>
      </c>
      <c r="AD3270">
        <f t="shared" si="309"/>
        <v>80</v>
      </c>
      <c r="AE3270">
        <f t="shared" si="310"/>
        <v>2382661.44</v>
      </c>
      <c r="AF3270" t="str">
        <f t="shared" si="311"/>
        <v>Paid</v>
      </c>
    </row>
    <row r="3271" spans="1:32" ht="17.25" thickBot="1" x14ac:dyDescent="0.35">
      <c r="A3271" s="2" t="s">
        <v>18999</v>
      </c>
      <c r="B3271" s="2" t="s">
        <v>27</v>
      </c>
      <c r="C3271" s="2" t="s">
        <v>28</v>
      </c>
      <c r="D3271" s="2" t="s">
        <v>97</v>
      </c>
      <c r="E3271" s="2" t="s">
        <v>18903</v>
      </c>
      <c r="F3271" s="2" t="s">
        <v>31</v>
      </c>
      <c r="G3271" s="2" t="s">
        <v>32</v>
      </c>
      <c r="H3271" s="1"/>
      <c r="I3271" s="2" t="s">
        <v>33</v>
      </c>
      <c r="J3271" s="2" t="s">
        <v>34</v>
      </c>
      <c r="K3271" s="2" t="s">
        <v>18201</v>
      </c>
      <c r="L3271" s="2" t="s">
        <v>18202</v>
      </c>
      <c r="M3271" s="2" t="s">
        <v>772</v>
      </c>
      <c r="N3271" s="2" t="s">
        <v>38</v>
      </c>
      <c r="O3271" s="2" t="s">
        <v>141</v>
      </c>
      <c r="P3271" s="2" t="s">
        <v>19000</v>
      </c>
      <c r="Q3271" s="2" t="s">
        <v>19001</v>
      </c>
      <c r="R3271" s="2" t="s">
        <v>40</v>
      </c>
      <c r="S3271" s="2" t="s">
        <v>19002</v>
      </c>
      <c r="T3271" s="2" t="s">
        <v>18206</v>
      </c>
      <c r="U3271" s="2" t="s">
        <v>19003</v>
      </c>
      <c r="V3271" s="2" t="s">
        <v>19004</v>
      </c>
      <c r="W3271" s="1"/>
      <c r="X3271" s="2" t="s">
        <v>2072</v>
      </c>
      <c r="Y3271" s="2" t="s">
        <v>18907</v>
      </c>
      <c r="AA3271" t="str">
        <f t="shared" si="306"/>
        <v>2025-06</v>
      </c>
      <c r="AB3271" t="str">
        <f t="shared" si="307"/>
        <v>H1_2025</v>
      </c>
      <c r="AC3271">
        <f t="shared" si="308"/>
        <v>2159402.2200000002</v>
      </c>
      <c r="AD3271">
        <f t="shared" si="309"/>
        <v>30</v>
      </c>
      <c r="AE3271">
        <f t="shared" si="310"/>
        <v>434402.22</v>
      </c>
      <c r="AF3271" t="str">
        <f t="shared" si="311"/>
        <v>Paid</v>
      </c>
    </row>
    <row r="3272" spans="1:32" ht="17.25" thickBot="1" x14ac:dyDescent="0.35">
      <c r="A3272" s="2" t="s">
        <v>19005</v>
      </c>
      <c r="B3272" s="2" t="s">
        <v>27</v>
      </c>
      <c r="C3272" s="2" t="s">
        <v>28</v>
      </c>
      <c r="D3272" s="2" t="s">
        <v>97</v>
      </c>
      <c r="E3272" s="2" t="s">
        <v>18903</v>
      </c>
      <c r="F3272" s="2" t="s">
        <v>31</v>
      </c>
      <c r="G3272" s="2" t="s">
        <v>32</v>
      </c>
      <c r="H3272" s="1"/>
      <c r="I3272" s="2" t="s">
        <v>33</v>
      </c>
      <c r="J3272" s="2" t="s">
        <v>34</v>
      </c>
      <c r="K3272" s="2" t="s">
        <v>19006</v>
      </c>
      <c r="L3272" s="2" t="s">
        <v>19007</v>
      </c>
      <c r="M3272" s="2" t="s">
        <v>772</v>
      </c>
      <c r="N3272" s="2" t="s">
        <v>38</v>
      </c>
      <c r="O3272" s="2" t="s">
        <v>517</v>
      </c>
      <c r="P3272" s="2" t="s">
        <v>19000</v>
      </c>
      <c r="Q3272" s="2" t="s">
        <v>19008</v>
      </c>
      <c r="R3272" s="2" t="s">
        <v>40</v>
      </c>
      <c r="S3272" s="2" t="s">
        <v>19009</v>
      </c>
      <c r="T3272" s="2" t="s">
        <v>18206</v>
      </c>
      <c r="U3272" s="2" t="s">
        <v>19010</v>
      </c>
      <c r="V3272" s="2" t="s">
        <v>19011</v>
      </c>
      <c r="W3272" s="1"/>
      <c r="X3272" s="2" t="s">
        <v>2072</v>
      </c>
      <c r="Y3272" s="2" t="s">
        <v>18907</v>
      </c>
      <c r="AA3272" t="str">
        <f t="shared" si="306"/>
        <v>2025-06</v>
      </c>
      <c r="AB3272" t="str">
        <f t="shared" si="307"/>
        <v>H1_2025</v>
      </c>
      <c r="AC3272">
        <f t="shared" si="308"/>
        <v>8637608.8800000008</v>
      </c>
      <c r="AD3272">
        <f t="shared" si="309"/>
        <v>120</v>
      </c>
      <c r="AE3272">
        <f t="shared" si="310"/>
        <v>1737608.88</v>
      </c>
      <c r="AF3272" t="str">
        <f t="shared" si="311"/>
        <v>Paid</v>
      </c>
    </row>
    <row r="3273" spans="1:32" ht="17.25" thickBot="1" x14ac:dyDescent="0.35">
      <c r="A3273" s="2" t="s">
        <v>19012</v>
      </c>
      <c r="B3273" s="2" t="s">
        <v>27</v>
      </c>
      <c r="C3273" s="2" t="s">
        <v>28</v>
      </c>
      <c r="D3273" s="2" t="s">
        <v>97</v>
      </c>
      <c r="E3273" s="2" t="s">
        <v>18903</v>
      </c>
      <c r="F3273" s="2" t="s">
        <v>31</v>
      </c>
      <c r="G3273" s="2" t="s">
        <v>32</v>
      </c>
      <c r="H3273" s="1"/>
      <c r="I3273" s="2" t="s">
        <v>33</v>
      </c>
      <c r="J3273" s="2" t="s">
        <v>34</v>
      </c>
      <c r="K3273" s="2" t="s">
        <v>808</v>
      </c>
      <c r="L3273" s="2" t="s">
        <v>809</v>
      </c>
      <c r="M3273" s="2" t="s">
        <v>772</v>
      </c>
      <c r="N3273" s="2" t="s">
        <v>38</v>
      </c>
      <c r="O3273" s="2" t="s">
        <v>19013</v>
      </c>
      <c r="P3273" s="2" t="s">
        <v>6957</v>
      </c>
      <c r="Q3273" s="2" t="s">
        <v>19014</v>
      </c>
      <c r="R3273" s="2" t="s">
        <v>40</v>
      </c>
      <c r="S3273" s="2" t="s">
        <v>19015</v>
      </c>
      <c r="T3273" s="2" t="s">
        <v>814</v>
      </c>
      <c r="U3273" s="2" t="s">
        <v>19016</v>
      </c>
      <c r="V3273" s="2" t="s">
        <v>19017</v>
      </c>
      <c r="W3273" s="1"/>
      <c r="X3273" s="2" t="s">
        <v>976</v>
      </c>
      <c r="Y3273" s="2" t="s">
        <v>18907</v>
      </c>
      <c r="AA3273" t="str">
        <f t="shared" si="306"/>
        <v>2025-06</v>
      </c>
      <c r="AB3273" t="str">
        <f t="shared" si="307"/>
        <v>H1_2025</v>
      </c>
      <c r="AC3273">
        <f t="shared" si="308"/>
        <v>41139456</v>
      </c>
      <c r="AD3273">
        <f t="shared" si="309"/>
        <v>3200</v>
      </c>
      <c r="AE3273">
        <f t="shared" si="310"/>
        <v>8307456</v>
      </c>
      <c r="AF3273" t="str">
        <f t="shared" si="311"/>
        <v>Paid</v>
      </c>
    </row>
    <row r="3274" spans="1:32" ht="17.25" thickBot="1" x14ac:dyDescent="0.35">
      <c r="A3274" s="2" t="s">
        <v>19018</v>
      </c>
      <c r="B3274" s="2" t="s">
        <v>27</v>
      </c>
      <c r="C3274" s="2" t="s">
        <v>28</v>
      </c>
      <c r="D3274" s="2" t="s">
        <v>97</v>
      </c>
      <c r="E3274" s="2" t="s">
        <v>18903</v>
      </c>
      <c r="F3274" s="2" t="s">
        <v>31</v>
      </c>
      <c r="G3274" s="2" t="s">
        <v>32</v>
      </c>
      <c r="H3274" s="1"/>
      <c r="I3274" s="2" t="s">
        <v>33</v>
      </c>
      <c r="J3274" s="2" t="s">
        <v>34</v>
      </c>
      <c r="K3274" s="2" t="s">
        <v>12117</v>
      </c>
      <c r="L3274" s="2" t="s">
        <v>12118</v>
      </c>
      <c r="M3274" s="2" t="s">
        <v>772</v>
      </c>
      <c r="N3274" s="2" t="s">
        <v>38</v>
      </c>
      <c r="O3274" s="2" t="s">
        <v>877</v>
      </c>
      <c r="P3274" s="2" t="s">
        <v>10397</v>
      </c>
      <c r="Q3274" s="2" t="s">
        <v>19019</v>
      </c>
      <c r="R3274" s="2" t="s">
        <v>40</v>
      </c>
      <c r="S3274" s="2" t="s">
        <v>19020</v>
      </c>
      <c r="T3274" s="2" t="s">
        <v>4347</v>
      </c>
      <c r="U3274" s="2" t="s">
        <v>13198</v>
      </c>
      <c r="V3274" s="2" t="s">
        <v>19021</v>
      </c>
      <c r="W3274" s="1"/>
      <c r="X3274" s="2" t="s">
        <v>2278</v>
      </c>
      <c r="Y3274" s="2" t="s">
        <v>18907</v>
      </c>
      <c r="AA3274" t="str">
        <f t="shared" si="306"/>
        <v>2025-06</v>
      </c>
      <c r="AB3274" t="str">
        <f t="shared" si="307"/>
        <v>H1_2025</v>
      </c>
      <c r="AC3274">
        <f t="shared" si="308"/>
        <v>1092766.8</v>
      </c>
      <c r="AD3274">
        <f t="shared" si="309"/>
        <v>100</v>
      </c>
      <c r="AE3274">
        <f t="shared" si="310"/>
        <v>208766.8</v>
      </c>
      <c r="AF3274" t="str">
        <f t="shared" si="311"/>
        <v>Paid</v>
      </c>
    </row>
    <row r="3275" spans="1:32" ht="17.25" thickBot="1" x14ac:dyDescent="0.35">
      <c r="A3275" s="2" t="s">
        <v>19022</v>
      </c>
      <c r="B3275" s="2" t="s">
        <v>27</v>
      </c>
      <c r="C3275" s="2" t="s">
        <v>28</v>
      </c>
      <c r="D3275" s="2" t="s">
        <v>97</v>
      </c>
      <c r="E3275" s="2" t="s">
        <v>18903</v>
      </c>
      <c r="F3275" s="2" t="s">
        <v>31</v>
      </c>
      <c r="G3275" s="2" t="s">
        <v>32</v>
      </c>
      <c r="H3275" s="1"/>
      <c r="I3275" s="2" t="s">
        <v>33</v>
      </c>
      <c r="J3275" s="2" t="s">
        <v>34</v>
      </c>
      <c r="K3275" s="2" t="s">
        <v>16090</v>
      </c>
      <c r="L3275" s="2" t="s">
        <v>16091</v>
      </c>
      <c r="M3275" s="2" t="s">
        <v>772</v>
      </c>
      <c r="N3275" s="2" t="s">
        <v>38</v>
      </c>
      <c r="O3275" s="2" t="s">
        <v>1644</v>
      </c>
      <c r="P3275" s="2" t="s">
        <v>3783</v>
      </c>
      <c r="Q3275" s="2" t="s">
        <v>19023</v>
      </c>
      <c r="R3275" s="2" t="s">
        <v>40</v>
      </c>
      <c r="S3275" s="2" t="s">
        <v>19024</v>
      </c>
      <c r="T3275" s="2" t="s">
        <v>942</v>
      </c>
      <c r="U3275" s="2" t="s">
        <v>19025</v>
      </c>
      <c r="V3275" s="2" t="s">
        <v>19026</v>
      </c>
      <c r="W3275" s="1"/>
      <c r="X3275" s="2" t="s">
        <v>3583</v>
      </c>
      <c r="Y3275" s="2" t="s">
        <v>18907</v>
      </c>
      <c r="AA3275" t="str">
        <f t="shared" si="306"/>
        <v>2025-06</v>
      </c>
      <c r="AB3275" t="str">
        <f t="shared" si="307"/>
        <v>H1_2025</v>
      </c>
      <c r="AC3275">
        <f t="shared" si="308"/>
        <v>14706237.6</v>
      </c>
      <c r="AD3275">
        <f t="shared" si="309"/>
        <v>1200</v>
      </c>
      <c r="AE3275">
        <f t="shared" si="310"/>
        <v>2911437.6</v>
      </c>
      <c r="AF3275" t="str">
        <f t="shared" si="311"/>
        <v>Paid</v>
      </c>
    </row>
    <row r="3276" spans="1:32" ht="17.25" thickBot="1" x14ac:dyDescent="0.35">
      <c r="A3276" s="2" t="s">
        <v>19027</v>
      </c>
      <c r="B3276" s="2" t="s">
        <v>27</v>
      </c>
      <c r="C3276" s="2" t="s">
        <v>28</v>
      </c>
      <c r="D3276" s="2" t="s">
        <v>97</v>
      </c>
      <c r="E3276" s="2" t="s">
        <v>18903</v>
      </c>
      <c r="F3276" s="2" t="s">
        <v>31</v>
      </c>
      <c r="G3276" s="2" t="s">
        <v>32</v>
      </c>
      <c r="H3276" s="1"/>
      <c r="I3276" s="2" t="s">
        <v>33</v>
      </c>
      <c r="J3276" s="2" t="s">
        <v>34</v>
      </c>
      <c r="K3276" s="2" t="s">
        <v>12129</v>
      </c>
      <c r="L3276" s="2" t="s">
        <v>12130</v>
      </c>
      <c r="M3276" s="2" t="s">
        <v>772</v>
      </c>
      <c r="N3276" s="2" t="s">
        <v>38</v>
      </c>
      <c r="O3276" s="2" t="s">
        <v>1333</v>
      </c>
      <c r="P3276" s="2" t="s">
        <v>19028</v>
      </c>
      <c r="Q3276" s="2" t="s">
        <v>19029</v>
      </c>
      <c r="R3276" s="2" t="s">
        <v>40</v>
      </c>
      <c r="S3276" s="2" t="s">
        <v>19030</v>
      </c>
      <c r="T3276" s="2" t="s">
        <v>12132</v>
      </c>
      <c r="U3276" s="2" t="s">
        <v>19031</v>
      </c>
      <c r="V3276" s="2" t="s">
        <v>19032</v>
      </c>
      <c r="W3276" s="1"/>
      <c r="X3276" s="2" t="s">
        <v>3756</v>
      </c>
      <c r="Y3276" s="2" t="s">
        <v>18907</v>
      </c>
      <c r="AA3276" t="str">
        <f t="shared" si="306"/>
        <v>2025-06</v>
      </c>
      <c r="AB3276" t="str">
        <f t="shared" si="307"/>
        <v>H1_2025</v>
      </c>
      <c r="AC3276">
        <f t="shared" si="308"/>
        <v>2270076.2999999998</v>
      </c>
      <c r="AD3276">
        <f t="shared" si="309"/>
        <v>150</v>
      </c>
      <c r="AE3276">
        <f t="shared" si="310"/>
        <v>402576.3</v>
      </c>
      <c r="AF3276" t="str">
        <f t="shared" si="311"/>
        <v>Paid</v>
      </c>
    </row>
    <row r="3277" spans="1:32" ht="17.25" thickBot="1" x14ac:dyDescent="0.35">
      <c r="A3277" s="2" t="s">
        <v>19033</v>
      </c>
      <c r="B3277" s="2" t="s">
        <v>27</v>
      </c>
      <c r="C3277" s="2" t="s">
        <v>28</v>
      </c>
      <c r="D3277" s="2" t="s">
        <v>97</v>
      </c>
      <c r="E3277" s="2" t="s">
        <v>18903</v>
      </c>
      <c r="F3277" s="2" t="s">
        <v>31</v>
      </c>
      <c r="G3277" s="2" t="s">
        <v>32</v>
      </c>
      <c r="H3277" s="1"/>
      <c r="I3277" s="2" t="s">
        <v>33</v>
      </c>
      <c r="J3277" s="2" t="s">
        <v>34</v>
      </c>
      <c r="K3277" s="2" t="s">
        <v>946</v>
      </c>
      <c r="L3277" s="2" t="s">
        <v>947</v>
      </c>
      <c r="M3277" s="2" t="s">
        <v>772</v>
      </c>
      <c r="N3277" s="2" t="s">
        <v>38</v>
      </c>
      <c r="O3277" s="2" t="s">
        <v>19034</v>
      </c>
      <c r="P3277" s="2" t="s">
        <v>949</v>
      </c>
      <c r="Q3277" s="2" t="s">
        <v>19035</v>
      </c>
      <c r="R3277" s="2" t="s">
        <v>40</v>
      </c>
      <c r="S3277" s="2" t="s">
        <v>19036</v>
      </c>
      <c r="T3277" s="2" t="s">
        <v>952</v>
      </c>
      <c r="U3277" s="2" t="s">
        <v>19037</v>
      </c>
      <c r="V3277" s="2" t="s">
        <v>19038</v>
      </c>
      <c r="W3277" s="1"/>
      <c r="X3277" s="2" t="s">
        <v>5636</v>
      </c>
      <c r="Y3277" s="2" t="s">
        <v>18907</v>
      </c>
      <c r="AA3277" t="str">
        <f t="shared" si="306"/>
        <v>2025-06</v>
      </c>
      <c r="AB3277" t="str">
        <f t="shared" si="307"/>
        <v>H1_2025</v>
      </c>
      <c r="AC3277">
        <f t="shared" si="308"/>
        <v>33038728.199999999</v>
      </c>
      <c r="AD3277">
        <f t="shared" si="309"/>
        <v>2220</v>
      </c>
      <c r="AE3277">
        <f t="shared" si="310"/>
        <v>6398728.2000000002</v>
      </c>
      <c r="AF3277" t="str">
        <f t="shared" si="311"/>
        <v>Paid</v>
      </c>
    </row>
    <row r="3278" spans="1:32" ht="17.25" thickBot="1" x14ac:dyDescent="0.35">
      <c r="A3278" s="2" t="s">
        <v>19039</v>
      </c>
      <c r="B3278" s="2" t="s">
        <v>27</v>
      </c>
      <c r="C3278" s="2" t="s">
        <v>28</v>
      </c>
      <c r="D3278" s="2" t="s">
        <v>97</v>
      </c>
      <c r="E3278" s="2" t="s">
        <v>18903</v>
      </c>
      <c r="F3278" s="2" t="s">
        <v>31</v>
      </c>
      <c r="G3278" s="2" t="s">
        <v>32</v>
      </c>
      <c r="H3278" s="1"/>
      <c r="I3278" s="2" t="s">
        <v>33</v>
      </c>
      <c r="J3278" s="2" t="s">
        <v>34</v>
      </c>
      <c r="K3278" s="2" t="s">
        <v>967</v>
      </c>
      <c r="L3278" s="2" t="s">
        <v>968</v>
      </c>
      <c r="M3278" s="2" t="s">
        <v>772</v>
      </c>
      <c r="N3278" s="2" t="s">
        <v>38</v>
      </c>
      <c r="O3278" s="2" t="s">
        <v>773</v>
      </c>
      <c r="P3278" s="2" t="s">
        <v>14450</v>
      </c>
      <c r="Q3278" s="2" t="s">
        <v>18972</v>
      </c>
      <c r="R3278" s="2" t="s">
        <v>40</v>
      </c>
      <c r="S3278" s="2" t="s">
        <v>18973</v>
      </c>
      <c r="T3278" s="2" t="s">
        <v>973</v>
      </c>
      <c r="U3278" s="2" t="s">
        <v>19040</v>
      </c>
      <c r="V3278" s="2" t="s">
        <v>19041</v>
      </c>
      <c r="W3278" s="1"/>
      <c r="X3278" s="2" t="s">
        <v>7137</v>
      </c>
      <c r="Y3278" s="2" t="s">
        <v>18907</v>
      </c>
      <c r="AA3278" t="str">
        <f t="shared" si="306"/>
        <v>2025-06</v>
      </c>
      <c r="AB3278" t="str">
        <f t="shared" si="307"/>
        <v>H1_2025</v>
      </c>
      <c r="AC3278">
        <f t="shared" si="308"/>
        <v>2884233.6</v>
      </c>
      <c r="AD3278">
        <f t="shared" si="309"/>
        <v>200</v>
      </c>
      <c r="AE3278">
        <f t="shared" si="310"/>
        <v>584233.6</v>
      </c>
      <c r="AF3278" t="str">
        <f t="shared" si="311"/>
        <v>Paid</v>
      </c>
    </row>
    <row r="3279" spans="1:32" ht="17.25" thickBot="1" x14ac:dyDescent="0.35">
      <c r="A3279" s="2" t="s">
        <v>19042</v>
      </c>
      <c r="B3279" s="2" t="s">
        <v>27</v>
      </c>
      <c r="C3279" s="2" t="s">
        <v>28</v>
      </c>
      <c r="D3279" s="2" t="s">
        <v>97</v>
      </c>
      <c r="E3279" s="2" t="s">
        <v>18903</v>
      </c>
      <c r="F3279" s="2" t="s">
        <v>31</v>
      </c>
      <c r="G3279" s="2" t="s">
        <v>32</v>
      </c>
      <c r="H3279" s="1"/>
      <c r="I3279" s="2" t="s">
        <v>33</v>
      </c>
      <c r="J3279" s="2" t="s">
        <v>34</v>
      </c>
      <c r="K3279" s="2" t="s">
        <v>978</v>
      </c>
      <c r="L3279" s="2" t="s">
        <v>979</v>
      </c>
      <c r="M3279" s="2" t="s">
        <v>772</v>
      </c>
      <c r="N3279" s="2" t="s">
        <v>38</v>
      </c>
      <c r="O3279" s="2" t="s">
        <v>448</v>
      </c>
      <c r="P3279" s="2" t="s">
        <v>19043</v>
      </c>
      <c r="Q3279" s="2" t="s">
        <v>2891</v>
      </c>
      <c r="R3279" s="2" t="s">
        <v>40</v>
      </c>
      <c r="S3279" s="2" t="s">
        <v>19044</v>
      </c>
      <c r="T3279" s="2" t="s">
        <v>983</v>
      </c>
      <c r="U3279" s="2" t="s">
        <v>19045</v>
      </c>
      <c r="V3279" s="2" t="s">
        <v>19046</v>
      </c>
      <c r="W3279" s="1"/>
      <c r="X3279" s="2" t="s">
        <v>897</v>
      </c>
      <c r="Y3279" s="2" t="s">
        <v>18907</v>
      </c>
      <c r="AA3279" t="str">
        <f t="shared" si="306"/>
        <v>2025-06</v>
      </c>
      <c r="AB3279" t="str">
        <f t="shared" si="307"/>
        <v>H1_2025</v>
      </c>
      <c r="AC3279">
        <f t="shared" si="308"/>
        <v>10518229.800000001</v>
      </c>
      <c r="AD3279">
        <f t="shared" si="309"/>
        <v>780</v>
      </c>
      <c r="AE3279">
        <f t="shared" si="310"/>
        <v>2211229.7999999998</v>
      </c>
      <c r="AF3279" t="str">
        <f t="shared" si="311"/>
        <v>Paid</v>
      </c>
    </row>
    <row r="3280" spans="1:32" ht="17.25" thickBot="1" x14ac:dyDescent="0.35">
      <c r="A3280" s="2" t="s">
        <v>19047</v>
      </c>
      <c r="B3280" s="2" t="s">
        <v>27</v>
      </c>
      <c r="C3280" s="2" t="s">
        <v>28</v>
      </c>
      <c r="D3280" s="2" t="s">
        <v>97</v>
      </c>
      <c r="E3280" s="2" t="s">
        <v>18903</v>
      </c>
      <c r="F3280" s="2" t="s">
        <v>31</v>
      </c>
      <c r="G3280" s="2" t="s">
        <v>32</v>
      </c>
      <c r="H3280" s="1"/>
      <c r="I3280" s="2" t="s">
        <v>33</v>
      </c>
      <c r="J3280" s="2" t="s">
        <v>34</v>
      </c>
      <c r="K3280" s="2" t="s">
        <v>999</v>
      </c>
      <c r="L3280" s="2" t="s">
        <v>1000</v>
      </c>
      <c r="M3280" s="2" t="s">
        <v>772</v>
      </c>
      <c r="N3280" s="2" t="s">
        <v>38</v>
      </c>
      <c r="O3280" s="2" t="s">
        <v>15572</v>
      </c>
      <c r="P3280" s="2" t="s">
        <v>2791</v>
      </c>
      <c r="Q3280" s="2" t="s">
        <v>19048</v>
      </c>
      <c r="R3280" s="2" t="s">
        <v>40</v>
      </c>
      <c r="S3280" s="2" t="s">
        <v>19049</v>
      </c>
      <c r="T3280" s="2" t="s">
        <v>8816</v>
      </c>
      <c r="U3280" s="2" t="s">
        <v>19050</v>
      </c>
      <c r="V3280" s="2" t="s">
        <v>19051</v>
      </c>
      <c r="W3280" s="1"/>
      <c r="X3280" s="2" t="s">
        <v>2278</v>
      </c>
      <c r="Y3280" s="2" t="s">
        <v>18907</v>
      </c>
      <c r="AA3280" t="str">
        <f t="shared" si="306"/>
        <v>2025-06</v>
      </c>
      <c r="AB3280" t="str">
        <f t="shared" si="307"/>
        <v>H1_2025</v>
      </c>
      <c r="AC3280">
        <f t="shared" si="308"/>
        <v>9145703.5199999996</v>
      </c>
      <c r="AD3280">
        <f t="shared" si="309"/>
        <v>1080</v>
      </c>
      <c r="AE3280">
        <f t="shared" si="310"/>
        <v>1742303.52</v>
      </c>
      <c r="AF3280" t="str">
        <f t="shared" si="311"/>
        <v>Paid</v>
      </c>
    </row>
    <row r="3281" spans="1:32" ht="17.25" thickBot="1" x14ac:dyDescent="0.35">
      <c r="A3281" s="2" t="s">
        <v>19052</v>
      </c>
      <c r="B3281" s="2" t="s">
        <v>27</v>
      </c>
      <c r="C3281" s="2" t="s">
        <v>28</v>
      </c>
      <c r="D3281" s="2" t="s">
        <v>97</v>
      </c>
      <c r="E3281" s="2" t="s">
        <v>18903</v>
      </c>
      <c r="F3281" s="2" t="s">
        <v>31</v>
      </c>
      <c r="G3281" s="2" t="s">
        <v>32</v>
      </c>
      <c r="H3281" s="1"/>
      <c r="I3281" s="2" t="s">
        <v>33</v>
      </c>
      <c r="J3281" s="2" t="s">
        <v>34</v>
      </c>
      <c r="K3281" s="2" t="s">
        <v>1026</v>
      </c>
      <c r="L3281" s="2" t="s">
        <v>1027</v>
      </c>
      <c r="M3281" s="2" t="s">
        <v>772</v>
      </c>
      <c r="N3281" s="2" t="s">
        <v>38</v>
      </c>
      <c r="O3281" s="2" t="s">
        <v>493</v>
      </c>
      <c r="P3281" s="2" t="s">
        <v>8060</v>
      </c>
      <c r="Q3281" s="2" t="s">
        <v>19053</v>
      </c>
      <c r="R3281" s="2" t="s">
        <v>40</v>
      </c>
      <c r="S3281" s="2" t="s">
        <v>19054</v>
      </c>
      <c r="T3281" s="2" t="s">
        <v>1127</v>
      </c>
      <c r="U3281" s="2" t="s">
        <v>19055</v>
      </c>
      <c r="V3281" s="2" t="s">
        <v>19056</v>
      </c>
      <c r="W3281" s="1"/>
      <c r="X3281" s="2" t="s">
        <v>796</v>
      </c>
      <c r="Y3281" s="2" t="s">
        <v>18907</v>
      </c>
      <c r="AA3281" t="str">
        <f t="shared" si="306"/>
        <v>2025-06</v>
      </c>
      <c r="AB3281" t="str">
        <f t="shared" si="307"/>
        <v>H1_2025</v>
      </c>
      <c r="AC3281">
        <f t="shared" si="308"/>
        <v>2823027.48</v>
      </c>
      <c r="AD3281">
        <f t="shared" si="309"/>
        <v>420</v>
      </c>
      <c r="AE3281">
        <f t="shared" si="310"/>
        <v>597027.48</v>
      </c>
      <c r="AF3281" t="str">
        <f t="shared" si="311"/>
        <v>Paid</v>
      </c>
    </row>
    <row r="3282" spans="1:32" ht="27.75" thickBot="1" x14ac:dyDescent="0.35">
      <c r="A3282" s="2" t="s">
        <v>19057</v>
      </c>
      <c r="B3282" s="2" t="s">
        <v>27</v>
      </c>
      <c r="C3282" s="2" t="s">
        <v>28</v>
      </c>
      <c r="D3282" s="2" t="s">
        <v>97</v>
      </c>
      <c r="E3282" s="2" t="s">
        <v>18903</v>
      </c>
      <c r="F3282" s="2" t="s">
        <v>31</v>
      </c>
      <c r="G3282" s="2" t="s">
        <v>32</v>
      </c>
      <c r="H3282" s="1"/>
      <c r="I3282" s="2" t="s">
        <v>33</v>
      </c>
      <c r="J3282" s="2" t="s">
        <v>34</v>
      </c>
      <c r="K3282" s="2" t="s">
        <v>19058</v>
      </c>
      <c r="L3282" s="2" t="s">
        <v>19059</v>
      </c>
      <c r="M3282" s="2" t="s">
        <v>10280</v>
      </c>
      <c r="N3282" s="2" t="s">
        <v>38</v>
      </c>
      <c r="O3282" s="2" t="s">
        <v>19060</v>
      </c>
      <c r="P3282" s="2" t="s">
        <v>19061</v>
      </c>
      <c r="Q3282" s="2" t="s">
        <v>19062</v>
      </c>
      <c r="R3282" s="2" t="s">
        <v>40</v>
      </c>
      <c r="S3282" s="2" t="s">
        <v>19063</v>
      </c>
      <c r="T3282" s="2" t="s">
        <v>40</v>
      </c>
      <c r="U3282" s="2" t="s">
        <v>40</v>
      </c>
      <c r="V3282" s="2" t="s">
        <v>19063</v>
      </c>
      <c r="W3282" s="1"/>
      <c r="X3282" s="2" t="s">
        <v>2155</v>
      </c>
      <c r="Y3282" s="2" t="s">
        <v>18907</v>
      </c>
      <c r="AA3282" t="str">
        <f t="shared" si="306"/>
        <v>2025-06</v>
      </c>
      <c r="AB3282" t="str">
        <f t="shared" si="307"/>
        <v>H1_2025</v>
      </c>
      <c r="AC3282">
        <f t="shared" si="308"/>
        <v>2107279.2000000002</v>
      </c>
      <c r="AD3282">
        <f t="shared" si="309"/>
        <v>5800</v>
      </c>
      <c r="AE3282">
        <f t="shared" si="310"/>
        <v>2107279.2000000002</v>
      </c>
      <c r="AF3282" t="str">
        <f t="shared" si="311"/>
        <v>Paid</v>
      </c>
    </row>
    <row r="3283" spans="1:32" ht="17.25" thickBot="1" x14ac:dyDescent="0.35">
      <c r="A3283" s="2" t="s">
        <v>19064</v>
      </c>
      <c r="B3283" s="2" t="s">
        <v>27</v>
      </c>
      <c r="C3283" s="2" t="s">
        <v>28</v>
      </c>
      <c r="D3283" s="2" t="s">
        <v>97</v>
      </c>
      <c r="E3283" s="2" t="s">
        <v>18903</v>
      </c>
      <c r="F3283" s="2" t="s">
        <v>31</v>
      </c>
      <c r="G3283" s="2" t="s">
        <v>32</v>
      </c>
      <c r="H3283" s="1"/>
      <c r="I3283" s="2" t="s">
        <v>33</v>
      </c>
      <c r="J3283" s="2" t="s">
        <v>34</v>
      </c>
      <c r="K3283" s="2" t="s">
        <v>18602</v>
      </c>
      <c r="L3283" s="2" t="s">
        <v>18603</v>
      </c>
      <c r="M3283" s="2" t="s">
        <v>10280</v>
      </c>
      <c r="N3283" s="2" t="s">
        <v>38</v>
      </c>
      <c r="O3283" s="2" t="s">
        <v>71</v>
      </c>
      <c r="P3283" s="2" t="s">
        <v>15921</v>
      </c>
      <c r="Q3283" s="2" t="s">
        <v>11725</v>
      </c>
      <c r="R3283" s="2" t="s">
        <v>40</v>
      </c>
      <c r="S3283" s="2" t="s">
        <v>19065</v>
      </c>
      <c r="T3283" s="2" t="s">
        <v>19066</v>
      </c>
      <c r="U3283" s="2" t="s">
        <v>19067</v>
      </c>
      <c r="V3283" s="2" t="s">
        <v>19068</v>
      </c>
      <c r="W3283" s="1"/>
      <c r="X3283" s="2" t="s">
        <v>19069</v>
      </c>
      <c r="Y3283" s="2" t="s">
        <v>18907</v>
      </c>
      <c r="AA3283" t="str">
        <f t="shared" si="306"/>
        <v>2025-06</v>
      </c>
      <c r="AB3283" t="str">
        <f t="shared" si="307"/>
        <v>H1_2025</v>
      </c>
      <c r="AC3283">
        <f t="shared" si="308"/>
        <v>2151996</v>
      </c>
      <c r="AD3283">
        <f t="shared" si="309"/>
        <v>2000</v>
      </c>
      <c r="AE3283">
        <f t="shared" si="310"/>
        <v>2142516</v>
      </c>
      <c r="AF3283" t="str">
        <f t="shared" si="311"/>
        <v>Paid</v>
      </c>
    </row>
    <row r="3284" spans="1:32" ht="17.25" thickBot="1" x14ac:dyDescent="0.35">
      <c r="A3284" s="2" t="s">
        <v>19070</v>
      </c>
      <c r="B3284" s="2" t="s">
        <v>27</v>
      </c>
      <c r="C3284" s="2" t="s">
        <v>28</v>
      </c>
      <c r="D3284" s="2" t="s">
        <v>97</v>
      </c>
      <c r="E3284" s="2" t="s">
        <v>18903</v>
      </c>
      <c r="F3284" s="2" t="s">
        <v>31</v>
      </c>
      <c r="G3284" s="2" t="s">
        <v>32</v>
      </c>
      <c r="H3284" s="1"/>
      <c r="I3284" s="2" t="s">
        <v>33</v>
      </c>
      <c r="J3284" s="2" t="s">
        <v>34</v>
      </c>
      <c r="K3284" s="2" t="s">
        <v>18610</v>
      </c>
      <c r="L3284" s="2" t="s">
        <v>18611</v>
      </c>
      <c r="M3284" s="2" t="s">
        <v>10280</v>
      </c>
      <c r="N3284" s="2" t="s">
        <v>38</v>
      </c>
      <c r="O3284" s="2" t="s">
        <v>19071</v>
      </c>
      <c r="P3284" s="2" t="s">
        <v>19072</v>
      </c>
      <c r="Q3284" s="2" t="s">
        <v>19073</v>
      </c>
      <c r="R3284" s="2" t="s">
        <v>40</v>
      </c>
      <c r="S3284" s="2" t="s">
        <v>19074</v>
      </c>
      <c r="T3284" s="2" t="s">
        <v>19075</v>
      </c>
      <c r="U3284" s="2" t="s">
        <v>19076</v>
      </c>
      <c r="V3284" s="2" t="s">
        <v>19077</v>
      </c>
      <c r="W3284" s="1"/>
      <c r="X3284" s="2" t="s">
        <v>19078</v>
      </c>
      <c r="Y3284" s="2" t="s">
        <v>18907</v>
      </c>
      <c r="AA3284" t="str">
        <f t="shared" si="306"/>
        <v>2025-06</v>
      </c>
      <c r="AB3284" t="str">
        <f t="shared" si="307"/>
        <v>H1_2025</v>
      </c>
      <c r="AC3284">
        <f t="shared" si="308"/>
        <v>3519351.9</v>
      </c>
      <c r="AD3284">
        <f t="shared" si="309"/>
        <v>3450</v>
      </c>
      <c r="AE3284">
        <f t="shared" si="310"/>
        <v>1999351.9</v>
      </c>
      <c r="AF3284" t="str">
        <f t="shared" si="311"/>
        <v>Paid</v>
      </c>
    </row>
    <row r="3285" spans="1:32" ht="27.75" thickBot="1" x14ac:dyDescent="0.35">
      <c r="A3285" s="2" t="s">
        <v>19079</v>
      </c>
      <c r="B3285" s="2" t="s">
        <v>27</v>
      </c>
      <c r="C3285" s="2" t="s">
        <v>28</v>
      </c>
      <c r="D3285" s="2" t="s">
        <v>97</v>
      </c>
      <c r="E3285" s="2" t="s">
        <v>18903</v>
      </c>
      <c r="F3285" s="2" t="s">
        <v>31</v>
      </c>
      <c r="G3285" s="2" t="s">
        <v>32</v>
      </c>
      <c r="H3285" s="1"/>
      <c r="I3285" s="2" t="s">
        <v>33</v>
      </c>
      <c r="J3285" s="2" t="s">
        <v>34</v>
      </c>
      <c r="K3285" s="2" t="s">
        <v>16116</v>
      </c>
      <c r="L3285" s="2" t="s">
        <v>16117</v>
      </c>
      <c r="M3285" s="2" t="s">
        <v>10280</v>
      </c>
      <c r="N3285" s="2" t="s">
        <v>38</v>
      </c>
      <c r="O3285" s="2" t="s">
        <v>2048</v>
      </c>
      <c r="P3285" s="2" t="s">
        <v>19080</v>
      </c>
      <c r="Q3285" s="2" t="s">
        <v>18744</v>
      </c>
      <c r="R3285" s="2" t="s">
        <v>40</v>
      </c>
      <c r="S3285" s="2" t="s">
        <v>19081</v>
      </c>
      <c r="T3285" s="2" t="s">
        <v>12409</v>
      </c>
      <c r="U3285" s="2" t="s">
        <v>19082</v>
      </c>
      <c r="V3285" s="2" t="s">
        <v>19083</v>
      </c>
      <c r="W3285" s="1"/>
      <c r="X3285" s="2" t="s">
        <v>6038</v>
      </c>
      <c r="Y3285" s="2" t="s">
        <v>18907</v>
      </c>
      <c r="AA3285" t="str">
        <f t="shared" si="306"/>
        <v>2025-06</v>
      </c>
      <c r="AB3285" t="str">
        <f t="shared" si="307"/>
        <v>H1_2025</v>
      </c>
      <c r="AC3285">
        <f t="shared" si="308"/>
        <v>1291197.6000000001</v>
      </c>
      <c r="AD3285">
        <f t="shared" si="309"/>
        <v>840</v>
      </c>
      <c r="AE3285">
        <f t="shared" si="310"/>
        <v>467997.6</v>
      </c>
      <c r="AF3285" t="str">
        <f t="shared" si="311"/>
        <v>Paid</v>
      </c>
    </row>
    <row r="3286" spans="1:32" ht="27.75" thickBot="1" x14ac:dyDescent="0.35">
      <c r="A3286" s="2" t="s">
        <v>19084</v>
      </c>
      <c r="B3286" s="2" t="s">
        <v>27</v>
      </c>
      <c r="C3286" s="2" t="s">
        <v>28</v>
      </c>
      <c r="D3286" s="2" t="s">
        <v>97</v>
      </c>
      <c r="E3286" s="2" t="s">
        <v>18903</v>
      </c>
      <c r="F3286" s="2" t="s">
        <v>31</v>
      </c>
      <c r="G3286" s="2" t="s">
        <v>32</v>
      </c>
      <c r="H3286" s="1"/>
      <c r="I3286" s="2" t="s">
        <v>33</v>
      </c>
      <c r="J3286" s="2" t="s">
        <v>34</v>
      </c>
      <c r="K3286" s="2" t="s">
        <v>16116</v>
      </c>
      <c r="L3286" s="2" t="s">
        <v>16117</v>
      </c>
      <c r="M3286" s="2" t="s">
        <v>10280</v>
      </c>
      <c r="N3286" s="2" t="s">
        <v>38</v>
      </c>
      <c r="O3286" s="2" t="s">
        <v>5397</v>
      </c>
      <c r="P3286" s="2" t="s">
        <v>19080</v>
      </c>
      <c r="Q3286" s="2" t="s">
        <v>19085</v>
      </c>
      <c r="R3286" s="2" t="s">
        <v>40</v>
      </c>
      <c r="S3286" s="2" t="s">
        <v>19086</v>
      </c>
      <c r="T3286" s="2" t="s">
        <v>12409</v>
      </c>
      <c r="U3286" s="2" t="s">
        <v>19087</v>
      </c>
      <c r="V3286" s="2" t="s">
        <v>19088</v>
      </c>
      <c r="W3286" s="1"/>
      <c r="X3286" s="2" t="s">
        <v>6038</v>
      </c>
      <c r="Y3286" s="2" t="s">
        <v>18907</v>
      </c>
      <c r="AA3286" t="str">
        <f t="shared" si="306"/>
        <v>2025-06</v>
      </c>
      <c r="AB3286" t="str">
        <f t="shared" si="307"/>
        <v>H1_2025</v>
      </c>
      <c r="AC3286">
        <f t="shared" si="308"/>
        <v>1137483.6000000001</v>
      </c>
      <c r="AD3286">
        <f t="shared" si="309"/>
        <v>740</v>
      </c>
      <c r="AE3286">
        <f t="shared" si="310"/>
        <v>412283.6</v>
      </c>
      <c r="AF3286" t="str">
        <f t="shared" si="311"/>
        <v>Paid</v>
      </c>
    </row>
    <row r="3287" spans="1:32" ht="27.75" thickBot="1" x14ac:dyDescent="0.35">
      <c r="A3287" s="2" t="s">
        <v>19089</v>
      </c>
      <c r="B3287" s="2" t="s">
        <v>27</v>
      </c>
      <c r="C3287" s="2" t="s">
        <v>28</v>
      </c>
      <c r="D3287" s="2" t="s">
        <v>97</v>
      </c>
      <c r="E3287" s="2" t="s">
        <v>18903</v>
      </c>
      <c r="F3287" s="2" t="s">
        <v>31</v>
      </c>
      <c r="G3287" s="2" t="s">
        <v>32</v>
      </c>
      <c r="H3287" s="1"/>
      <c r="I3287" s="2" t="s">
        <v>33</v>
      </c>
      <c r="J3287" s="2" t="s">
        <v>34</v>
      </c>
      <c r="K3287" s="2" t="s">
        <v>18642</v>
      </c>
      <c r="L3287" s="2" t="s">
        <v>18643</v>
      </c>
      <c r="M3287" s="2" t="s">
        <v>37</v>
      </c>
      <c r="N3287" s="2" t="s">
        <v>38</v>
      </c>
      <c r="O3287" s="2" t="s">
        <v>8269</v>
      </c>
      <c r="P3287" s="2" t="s">
        <v>142</v>
      </c>
      <c r="Q3287" s="2" t="s">
        <v>4848</v>
      </c>
      <c r="R3287" s="2" t="s">
        <v>40</v>
      </c>
      <c r="S3287" s="2" t="s">
        <v>19090</v>
      </c>
      <c r="T3287" s="2" t="s">
        <v>14635</v>
      </c>
      <c r="U3287" s="2" t="s">
        <v>18849</v>
      </c>
      <c r="V3287" s="2" t="s">
        <v>19091</v>
      </c>
      <c r="W3287" s="1"/>
      <c r="X3287" s="2" t="s">
        <v>15948</v>
      </c>
      <c r="Y3287" s="2" t="s">
        <v>18907</v>
      </c>
      <c r="AA3287" t="str">
        <f t="shared" si="306"/>
        <v>2025-06</v>
      </c>
      <c r="AB3287" t="str">
        <f t="shared" si="307"/>
        <v>H1_2025</v>
      </c>
      <c r="AC3287">
        <f t="shared" si="308"/>
        <v>1006128</v>
      </c>
      <c r="AD3287">
        <f t="shared" si="309"/>
        <v>2400</v>
      </c>
      <c r="AE3287">
        <f t="shared" si="310"/>
        <v>372528</v>
      </c>
      <c r="AF3287" t="str">
        <f t="shared" si="311"/>
        <v>Paid</v>
      </c>
    </row>
    <row r="3288" spans="1:32" ht="27.75" thickBot="1" x14ac:dyDescent="0.35">
      <c r="A3288" s="2" t="s">
        <v>19092</v>
      </c>
      <c r="B3288" s="2" t="s">
        <v>27</v>
      </c>
      <c r="C3288" s="2" t="s">
        <v>28</v>
      </c>
      <c r="D3288" s="2" t="s">
        <v>97</v>
      </c>
      <c r="E3288" s="2" t="s">
        <v>18903</v>
      </c>
      <c r="F3288" s="2" t="s">
        <v>31</v>
      </c>
      <c r="G3288" s="2" t="s">
        <v>32</v>
      </c>
      <c r="H3288" s="1"/>
      <c r="I3288" s="2" t="s">
        <v>33</v>
      </c>
      <c r="J3288" s="2" t="s">
        <v>34</v>
      </c>
      <c r="K3288" s="2" t="s">
        <v>18649</v>
      </c>
      <c r="L3288" s="2" t="s">
        <v>18650</v>
      </c>
      <c r="M3288" s="2" t="s">
        <v>37</v>
      </c>
      <c r="N3288" s="2" t="s">
        <v>38</v>
      </c>
      <c r="O3288" s="2" t="s">
        <v>19093</v>
      </c>
      <c r="P3288" s="2" t="s">
        <v>142</v>
      </c>
      <c r="Q3288" s="2" t="s">
        <v>13208</v>
      </c>
      <c r="R3288" s="2" t="s">
        <v>40</v>
      </c>
      <c r="S3288" s="2" t="s">
        <v>19094</v>
      </c>
      <c r="T3288" s="2" t="s">
        <v>14635</v>
      </c>
      <c r="U3288" s="2" t="s">
        <v>19095</v>
      </c>
      <c r="V3288" s="2" t="s">
        <v>19096</v>
      </c>
      <c r="W3288" s="1"/>
      <c r="X3288" s="2" t="s">
        <v>15948</v>
      </c>
      <c r="Y3288" s="2" t="s">
        <v>18907</v>
      </c>
      <c r="AA3288" t="str">
        <f t="shared" si="306"/>
        <v>2025-06</v>
      </c>
      <c r="AB3288" t="str">
        <f t="shared" si="307"/>
        <v>H1_2025</v>
      </c>
      <c r="AC3288">
        <f t="shared" si="308"/>
        <v>2683008</v>
      </c>
      <c r="AD3288">
        <f t="shared" si="309"/>
        <v>6400</v>
      </c>
      <c r="AE3288">
        <f t="shared" si="310"/>
        <v>993408</v>
      </c>
      <c r="AF3288" t="str">
        <f t="shared" si="311"/>
        <v>Paid</v>
      </c>
    </row>
    <row r="3289" spans="1:32" ht="41.25" thickBot="1" x14ac:dyDescent="0.35">
      <c r="A3289" s="2" t="s">
        <v>19097</v>
      </c>
      <c r="B3289" s="2" t="s">
        <v>27</v>
      </c>
      <c r="C3289" s="2" t="s">
        <v>28</v>
      </c>
      <c r="D3289" s="2" t="s">
        <v>97</v>
      </c>
      <c r="E3289" s="2" t="s">
        <v>18903</v>
      </c>
      <c r="F3289" s="2" t="s">
        <v>31</v>
      </c>
      <c r="G3289" s="2" t="s">
        <v>32</v>
      </c>
      <c r="H3289" s="1"/>
      <c r="I3289" s="2" t="s">
        <v>33</v>
      </c>
      <c r="J3289" s="2" t="s">
        <v>34</v>
      </c>
      <c r="K3289" s="2" t="s">
        <v>19098</v>
      </c>
      <c r="L3289" s="2" t="s">
        <v>19099</v>
      </c>
      <c r="M3289" s="2" t="s">
        <v>37</v>
      </c>
      <c r="N3289" s="2" t="s">
        <v>38</v>
      </c>
      <c r="O3289" s="2" t="s">
        <v>19093</v>
      </c>
      <c r="P3289" s="2" t="s">
        <v>19100</v>
      </c>
      <c r="Q3289" s="2" t="s">
        <v>19101</v>
      </c>
      <c r="R3289" s="2" t="s">
        <v>40</v>
      </c>
      <c r="S3289" s="2" t="s">
        <v>19102</v>
      </c>
      <c r="T3289" s="2" t="s">
        <v>14635</v>
      </c>
      <c r="U3289" s="2" t="s">
        <v>19095</v>
      </c>
      <c r="V3289" s="2" t="s">
        <v>19103</v>
      </c>
      <c r="W3289" s="1"/>
      <c r="X3289" s="2" t="s">
        <v>19104</v>
      </c>
      <c r="Y3289" s="2" t="s">
        <v>18907</v>
      </c>
      <c r="AA3289" t="str">
        <f t="shared" si="306"/>
        <v>2025-06</v>
      </c>
      <c r="AB3289" t="str">
        <f t="shared" si="307"/>
        <v>H1_2025</v>
      </c>
      <c r="AC3289">
        <f t="shared" si="308"/>
        <v>8853926.4000000004</v>
      </c>
      <c r="AD3289">
        <f t="shared" si="309"/>
        <v>6400</v>
      </c>
      <c r="AE3289">
        <f t="shared" si="310"/>
        <v>7164326.4000000004</v>
      </c>
      <c r="AF3289" t="str">
        <f t="shared" si="311"/>
        <v>Paid</v>
      </c>
    </row>
    <row r="3290" spans="1:32" ht="17.25" thickBot="1" x14ac:dyDescent="0.35">
      <c r="A3290" s="2" t="s">
        <v>19105</v>
      </c>
      <c r="B3290" s="2" t="s">
        <v>27</v>
      </c>
      <c r="C3290" s="2" t="s">
        <v>28</v>
      </c>
      <c r="D3290" s="2" t="s">
        <v>97</v>
      </c>
      <c r="E3290" s="2" t="s">
        <v>18903</v>
      </c>
      <c r="F3290" s="2" t="s">
        <v>31</v>
      </c>
      <c r="G3290" s="2" t="s">
        <v>32</v>
      </c>
      <c r="H3290" s="1"/>
      <c r="I3290" s="2" t="s">
        <v>33</v>
      </c>
      <c r="J3290" s="2" t="s">
        <v>34</v>
      </c>
      <c r="K3290" s="2" t="s">
        <v>18661</v>
      </c>
      <c r="L3290" s="2" t="s">
        <v>18662</v>
      </c>
      <c r="M3290" s="2" t="s">
        <v>37</v>
      </c>
      <c r="N3290" s="2" t="s">
        <v>38</v>
      </c>
      <c r="O3290" s="2" t="s">
        <v>13899</v>
      </c>
      <c r="P3290" s="2" t="s">
        <v>142</v>
      </c>
      <c r="Q3290" s="2" t="s">
        <v>19106</v>
      </c>
      <c r="R3290" s="2" t="s">
        <v>40</v>
      </c>
      <c r="S3290" s="2" t="s">
        <v>19107</v>
      </c>
      <c r="T3290" s="2" t="s">
        <v>40</v>
      </c>
      <c r="U3290" s="2" t="s">
        <v>40</v>
      </c>
      <c r="V3290" s="2" t="s">
        <v>19107</v>
      </c>
      <c r="W3290" s="1"/>
      <c r="X3290" s="2" t="s">
        <v>2155</v>
      </c>
      <c r="Y3290" s="2" t="s">
        <v>18907</v>
      </c>
      <c r="AA3290" t="str">
        <f t="shared" si="306"/>
        <v>2025-06</v>
      </c>
      <c r="AB3290" t="str">
        <f t="shared" si="307"/>
        <v>H1_2025</v>
      </c>
      <c r="AC3290">
        <f t="shared" si="308"/>
        <v>2012256</v>
      </c>
      <c r="AD3290">
        <f t="shared" si="309"/>
        <v>4800</v>
      </c>
      <c r="AE3290">
        <f t="shared" si="310"/>
        <v>2012256</v>
      </c>
      <c r="AF3290" t="str">
        <f t="shared" si="311"/>
        <v>Paid</v>
      </c>
    </row>
    <row r="3291" spans="1:32" ht="17.25" thickBot="1" x14ac:dyDescent="0.35">
      <c r="A3291" s="2" t="s">
        <v>19108</v>
      </c>
      <c r="B3291" s="2" t="s">
        <v>27</v>
      </c>
      <c r="C3291" s="2" t="s">
        <v>28</v>
      </c>
      <c r="D3291" s="2" t="s">
        <v>97</v>
      </c>
      <c r="E3291" s="2" t="s">
        <v>18903</v>
      </c>
      <c r="F3291" s="2" t="s">
        <v>31</v>
      </c>
      <c r="G3291" s="2" t="s">
        <v>32</v>
      </c>
      <c r="H3291" s="1"/>
      <c r="I3291" s="2" t="s">
        <v>33</v>
      </c>
      <c r="J3291" s="2" t="s">
        <v>34</v>
      </c>
      <c r="K3291" s="2" t="s">
        <v>18661</v>
      </c>
      <c r="L3291" s="2" t="s">
        <v>18662</v>
      </c>
      <c r="M3291" s="2" t="s">
        <v>37</v>
      </c>
      <c r="N3291" s="2" t="s">
        <v>38</v>
      </c>
      <c r="O3291" s="2" t="s">
        <v>15442</v>
      </c>
      <c r="P3291" s="2" t="s">
        <v>142</v>
      </c>
      <c r="Q3291" s="2" t="s">
        <v>19109</v>
      </c>
      <c r="R3291" s="2" t="s">
        <v>40</v>
      </c>
      <c r="S3291" s="2" t="s">
        <v>19110</v>
      </c>
      <c r="T3291" s="2" t="s">
        <v>40</v>
      </c>
      <c r="U3291" s="2" t="s">
        <v>40</v>
      </c>
      <c r="V3291" s="2" t="s">
        <v>19110</v>
      </c>
      <c r="W3291" s="1"/>
      <c r="X3291" s="2" t="s">
        <v>2155</v>
      </c>
      <c r="Y3291" s="2" t="s">
        <v>18907</v>
      </c>
      <c r="AA3291" t="str">
        <f t="shared" si="306"/>
        <v>2025-06</v>
      </c>
      <c r="AB3291" t="str">
        <f t="shared" si="307"/>
        <v>H1_2025</v>
      </c>
      <c r="AC3291">
        <f t="shared" si="308"/>
        <v>670752</v>
      </c>
      <c r="AD3291">
        <f t="shared" si="309"/>
        <v>1600</v>
      </c>
      <c r="AE3291">
        <f t="shared" si="310"/>
        <v>670752</v>
      </c>
      <c r="AF3291" t="str">
        <f t="shared" si="311"/>
        <v>Paid</v>
      </c>
    </row>
    <row r="3292" spans="1:32" ht="17.25" thickBot="1" x14ac:dyDescent="0.35">
      <c r="A3292" s="2" t="s">
        <v>19111</v>
      </c>
      <c r="B3292" s="2" t="s">
        <v>27</v>
      </c>
      <c r="C3292" s="2" t="s">
        <v>28</v>
      </c>
      <c r="D3292" s="2" t="s">
        <v>97</v>
      </c>
      <c r="E3292" s="2" t="s">
        <v>18903</v>
      </c>
      <c r="F3292" s="2" t="s">
        <v>31</v>
      </c>
      <c r="G3292" s="2" t="s">
        <v>32</v>
      </c>
      <c r="H3292" s="1"/>
      <c r="I3292" s="2" t="s">
        <v>33</v>
      </c>
      <c r="J3292" s="2" t="s">
        <v>34</v>
      </c>
      <c r="K3292" s="2" t="s">
        <v>19112</v>
      </c>
      <c r="L3292" s="2" t="s">
        <v>19113</v>
      </c>
      <c r="M3292" s="2" t="s">
        <v>13465</v>
      </c>
      <c r="N3292" s="2" t="s">
        <v>38</v>
      </c>
      <c r="O3292" s="2" t="s">
        <v>831</v>
      </c>
      <c r="P3292" s="2" t="s">
        <v>11800</v>
      </c>
      <c r="Q3292" s="2" t="s">
        <v>8890</v>
      </c>
      <c r="R3292" s="2" t="s">
        <v>40</v>
      </c>
      <c r="S3292" s="2" t="s">
        <v>19114</v>
      </c>
      <c r="T3292" s="2" t="s">
        <v>19115</v>
      </c>
      <c r="U3292" s="2" t="s">
        <v>19116</v>
      </c>
      <c r="V3292" s="2" t="s">
        <v>19117</v>
      </c>
      <c r="W3292" s="1"/>
      <c r="X3292" s="2" t="s">
        <v>2781</v>
      </c>
      <c r="Y3292" s="2" t="s">
        <v>18907</v>
      </c>
      <c r="AA3292" t="str">
        <f t="shared" si="306"/>
        <v>2025-06</v>
      </c>
      <c r="AB3292" t="str">
        <f t="shared" si="307"/>
        <v>H1_2025</v>
      </c>
      <c r="AC3292">
        <f t="shared" si="308"/>
        <v>1634958</v>
      </c>
      <c r="AD3292">
        <f t="shared" si="309"/>
        <v>1000</v>
      </c>
      <c r="AE3292">
        <f t="shared" si="310"/>
        <v>338958</v>
      </c>
      <c r="AF3292" t="str">
        <f t="shared" si="311"/>
        <v>Paid</v>
      </c>
    </row>
    <row r="3293" spans="1:32" ht="17.25" thickBot="1" x14ac:dyDescent="0.35">
      <c r="A3293" s="2" t="s">
        <v>19118</v>
      </c>
      <c r="B3293" s="2" t="s">
        <v>27</v>
      </c>
      <c r="C3293" s="2" t="s">
        <v>28</v>
      </c>
      <c r="D3293" s="2" t="s">
        <v>97</v>
      </c>
      <c r="E3293" s="2" t="s">
        <v>86</v>
      </c>
      <c r="F3293" s="2" t="s">
        <v>31</v>
      </c>
      <c r="G3293" s="2" t="s">
        <v>32</v>
      </c>
      <c r="H3293" s="1"/>
      <c r="I3293" s="2" t="s">
        <v>33</v>
      </c>
      <c r="J3293" s="2" t="s">
        <v>34</v>
      </c>
      <c r="K3293" s="2" t="s">
        <v>3970</v>
      </c>
      <c r="L3293" s="2" t="s">
        <v>3971</v>
      </c>
      <c r="M3293" s="2" t="s">
        <v>701</v>
      </c>
      <c r="N3293" s="2" t="s">
        <v>38</v>
      </c>
      <c r="O3293" s="2" t="s">
        <v>3009</v>
      </c>
      <c r="P3293" s="2" t="s">
        <v>4245</v>
      </c>
      <c r="Q3293" s="2" t="s">
        <v>19119</v>
      </c>
      <c r="R3293" s="2" t="s">
        <v>40</v>
      </c>
      <c r="S3293" s="2" t="s">
        <v>19120</v>
      </c>
      <c r="T3293" s="2" t="s">
        <v>759</v>
      </c>
      <c r="U3293" s="2" t="s">
        <v>19121</v>
      </c>
      <c r="V3293" s="2" t="s">
        <v>19122</v>
      </c>
      <c r="W3293" s="1"/>
      <c r="X3293" s="2" t="s">
        <v>709</v>
      </c>
      <c r="Y3293" s="2" t="s">
        <v>19123</v>
      </c>
      <c r="AA3293" t="str">
        <f t="shared" si="306"/>
        <v>2025-05</v>
      </c>
      <c r="AB3293" t="str">
        <f t="shared" si="307"/>
        <v>H1_2025</v>
      </c>
      <c r="AC3293">
        <f t="shared" si="308"/>
        <v>3258114.03</v>
      </c>
      <c r="AD3293">
        <f t="shared" si="309"/>
        <v>362</v>
      </c>
      <c r="AE3293">
        <f t="shared" si="310"/>
        <v>521394.03</v>
      </c>
      <c r="AF3293" t="str">
        <f t="shared" si="311"/>
        <v>Paid</v>
      </c>
    </row>
    <row r="3294" spans="1:32" ht="17.25" thickBot="1" x14ac:dyDescent="0.35">
      <c r="A3294" s="2" t="s">
        <v>19124</v>
      </c>
      <c r="B3294" s="2" t="s">
        <v>27</v>
      </c>
      <c r="C3294" s="2" t="s">
        <v>28</v>
      </c>
      <c r="D3294" s="2" t="s">
        <v>97</v>
      </c>
      <c r="E3294" s="2" t="s">
        <v>86</v>
      </c>
      <c r="F3294" s="2" t="s">
        <v>31</v>
      </c>
      <c r="G3294" s="2" t="s">
        <v>32</v>
      </c>
      <c r="H3294" s="1"/>
      <c r="I3294" s="2" t="s">
        <v>33</v>
      </c>
      <c r="J3294" s="2" t="s">
        <v>34</v>
      </c>
      <c r="K3294" s="2" t="s">
        <v>1111</v>
      </c>
      <c r="L3294" s="2" t="s">
        <v>1112</v>
      </c>
      <c r="M3294" s="2" t="s">
        <v>37</v>
      </c>
      <c r="N3294" s="2" t="s">
        <v>38</v>
      </c>
      <c r="O3294" s="2" t="s">
        <v>141</v>
      </c>
      <c r="P3294" s="2" t="s">
        <v>18819</v>
      </c>
      <c r="Q3294" s="2" t="s">
        <v>1750</v>
      </c>
      <c r="R3294" s="2" t="s">
        <v>40</v>
      </c>
      <c r="S3294" s="2" t="s">
        <v>19125</v>
      </c>
      <c r="T3294" s="2" t="s">
        <v>1117</v>
      </c>
      <c r="U3294" s="2" t="s">
        <v>1211</v>
      </c>
      <c r="V3294" s="2" t="s">
        <v>19126</v>
      </c>
      <c r="W3294" s="1"/>
      <c r="X3294" s="2" t="s">
        <v>806</v>
      </c>
      <c r="Y3294" s="2" t="s">
        <v>19123</v>
      </c>
      <c r="AA3294" t="str">
        <f t="shared" si="306"/>
        <v>2025-05</v>
      </c>
      <c r="AB3294" t="str">
        <f t="shared" si="307"/>
        <v>H1_2025</v>
      </c>
      <c r="AC3294">
        <f t="shared" si="308"/>
        <v>126765</v>
      </c>
      <c r="AD3294">
        <f t="shared" si="309"/>
        <v>30</v>
      </c>
      <c r="AE3294">
        <f t="shared" si="310"/>
        <v>32265</v>
      </c>
      <c r="AF3294" t="str">
        <f t="shared" si="311"/>
        <v>Paid</v>
      </c>
    </row>
    <row r="3295" spans="1:32" ht="17.25" thickBot="1" x14ac:dyDescent="0.35">
      <c r="A3295" s="2" t="s">
        <v>19127</v>
      </c>
      <c r="B3295" s="2" t="s">
        <v>27</v>
      </c>
      <c r="C3295" s="2" t="s">
        <v>28</v>
      </c>
      <c r="D3295" s="2" t="s">
        <v>97</v>
      </c>
      <c r="E3295" s="2" t="s">
        <v>86</v>
      </c>
      <c r="F3295" s="2" t="s">
        <v>31</v>
      </c>
      <c r="G3295" s="2" t="s">
        <v>32</v>
      </c>
      <c r="H3295" s="1"/>
      <c r="I3295" s="2" t="s">
        <v>33</v>
      </c>
      <c r="J3295" s="2" t="s">
        <v>34</v>
      </c>
      <c r="K3295" s="2" t="s">
        <v>11155</v>
      </c>
      <c r="L3295" s="2" t="s">
        <v>11156</v>
      </c>
      <c r="M3295" s="2" t="s">
        <v>7619</v>
      </c>
      <c r="N3295" s="2" t="s">
        <v>38</v>
      </c>
      <c r="O3295" s="2" t="s">
        <v>610</v>
      </c>
      <c r="P3295" s="2" t="s">
        <v>7889</v>
      </c>
      <c r="Q3295" s="2" t="s">
        <v>19128</v>
      </c>
      <c r="R3295" s="2" t="s">
        <v>40</v>
      </c>
      <c r="S3295" s="2" t="s">
        <v>19129</v>
      </c>
      <c r="T3295" s="2" t="s">
        <v>8502</v>
      </c>
      <c r="U3295" s="2" t="s">
        <v>19130</v>
      </c>
      <c r="V3295" s="2" t="s">
        <v>19131</v>
      </c>
      <c r="W3295" s="1"/>
      <c r="X3295" s="2" t="s">
        <v>10023</v>
      </c>
      <c r="Y3295" s="2" t="s">
        <v>19132</v>
      </c>
      <c r="AA3295" t="str">
        <f t="shared" si="306"/>
        <v>2025-05</v>
      </c>
      <c r="AB3295" t="str">
        <f t="shared" si="307"/>
        <v>H1_2025</v>
      </c>
      <c r="AC3295">
        <f t="shared" si="308"/>
        <v>3129780.6</v>
      </c>
      <c r="AD3295">
        <f t="shared" si="309"/>
        <v>450</v>
      </c>
      <c r="AE3295">
        <f t="shared" si="310"/>
        <v>537780.6</v>
      </c>
      <c r="AF3295" t="str">
        <f t="shared" si="311"/>
        <v>Paid</v>
      </c>
    </row>
    <row r="3296" spans="1:32" ht="17.25" thickBot="1" x14ac:dyDescent="0.35">
      <c r="A3296" s="2" t="s">
        <v>19133</v>
      </c>
      <c r="B3296" s="2" t="s">
        <v>27</v>
      </c>
      <c r="C3296" s="2" t="s">
        <v>28</v>
      </c>
      <c r="D3296" s="2" t="s">
        <v>97</v>
      </c>
      <c r="E3296" s="2" t="s">
        <v>86</v>
      </c>
      <c r="F3296" s="2" t="s">
        <v>31</v>
      </c>
      <c r="G3296" s="2" t="s">
        <v>32</v>
      </c>
      <c r="H3296" s="1"/>
      <c r="I3296" s="2" t="s">
        <v>33</v>
      </c>
      <c r="J3296" s="2" t="s">
        <v>34</v>
      </c>
      <c r="K3296" s="2" t="s">
        <v>2405</v>
      </c>
      <c r="L3296" s="2" t="s">
        <v>2406</v>
      </c>
      <c r="M3296" s="2" t="s">
        <v>2389</v>
      </c>
      <c r="N3296" s="2" t="s">
        <v>38</v>
      </c>
      <c r="O3296" s="2" t="s">
        <v>645</v>
      </c>
      <c r="P3296" s="2" t="s">
        <v>18718</v>
      </c>
      <c r="Q3296" s="2" t="s">
        <v>19134</v>
      </c>
      <c r="R3296" s="2" t="s">
        <v>40</v>
      </c>
      <c r="S3296" s="2" t="s">
        <v>19135</v>
      </c>
      <c r="T3296" s="2" t="s">
        <v>2411</v>
      </c>
      <c r="U3296" s="2" t="s">
        <v>14475</v>
      </c>
      <c r="V3296" s="2" t="s">
        <v>19136</v>
      </c>
      <c r="W3296" s="1"/>
      <c r="X3296" s="2" t="s">
        <v>897</v>
      </c>
      <c r="Y3296" s="2" t="s">
        <v>19132</v>
      </c>
      <c r="AA3296" t="str">
        <f t="shared" si="306"/>
        <v>2025-05</v>
      </c>
      <c r="AB3296" t="str">
        <f t="shared" si="307"/>
        <v>H1_2025</v>
      </c>
      <c r="AC3296">
        <f t="shared" si="308"/>
        <v>645787.84</v>
      </c>
      <c r="AD3296">
        <f t="shared" si="309"/>
        <v>170</v>
      </c>
      <c r="AE3296">
        <f t="shared" si="310"/>
        <v>135787.84</v>
      </c>
      <c r="AF3296" t="str">
        <f t="shared" si="311"/>
        <v>Paid</v>
      </c>
    </row>
    <row r="3297" spans="1:32" ht="17.25" thickBot="1" x14ac:dyDescent="0.35">
      <c r="A3297" s="2" t="s">
        <v>19137</v>
      </c>
      <c r="B3297" s="2" t="s">
        <v>27</v>
      </c>
      <c r="C3297" s="2" t="s">
        <v>28</v>
      </c>
      <c r="D3297" s="2" t="s">
        <v>97</v>
      </c>
      <c r="E3297" s="2" t="s">
        <v>86</v>
      </c>
      <c r="F3297" s="2" t="s">
        <v>31</v>
      </c>
      <c r="G3297" s="2" t="s">
        <v>32</v>
      </c>
      <c r="H3297" s="1"/>
      <c r="I3297" s="2" t="s">
        <v>33</v>
      </c>
      <c r="J3297" s="2" t="s">
        <v>34</v>
      </c>
      <c r="K3297" s="2" t="s">
        <v>15919</v>
      </c>
      <c r="L3297" s="2" t="s">
        <v>15920</v>
      </c>
      <c r="M3297" s="2" t="s">
        <v>2389</v>
      </c>
      <c r="N3297" s="2" t="s">
        <v>38</v>
      </c>
      <c r="O3297" s="2" t="s">
        <v>773</v>
      </c>
      <c r="P3297" s="2" t="s">
        <v>19072</v>
      </c>
      <c r="Q3297" s="2" t="s">
        <v>6875</v>
      </c>
      <c r="R3297" s="2" t="s">
        <v>40</v>
      </c>
      <c r="S3297" s="2" t="s">
        <v>19138</v>
      </c>
      <c r="T3297" s="2" t="s">
        <v>13134</v>
      </c>
      <c r="U3297" s="2" t="s">
        <v>3102</v>
      </c>
      <c r="V3297" s="2" t="s">
        <v>19139</v>
      </c>
      <c r="W3297" s="1"/>
      <c r="X3297" s="2" t="s">
        <v>258</v>
      </c>
      <c r="Y3297" s="2" t="s">
        <v>19132</v>
      </c>
      <c r="AA3297" t="str">
        <f t="shared" si="306"/>
        <v>2025-05</v>
      </c>
      <c r="AB3297" t="str">
        <f t="shared" si="307"/>
        <v>H1_2025</v>
      </c>
      <c r="AC3297">
        <f t="shared" si="308"/>
        <v>203903.6</v>
      </c>
      <c r="AD3297">
        <f t="shared" si="309"/>
        <v>200</v>
      </c>
      <c r="AE3297">
        <f t="shared" si="310"/>
        <v>40103.599999999999</v>
      </c>
      <c r="AF3297" t="str">
        <f t="shared" si="311"/>
        <v>Paid</v>
      </c>
    </row>
    <row r="3298" spans="1:32" ht="17.25" thickBot="1" x14ac:dyDescent="0.35">
      <c r="A3298" s="2" t="s">
        <v>19140</v>
      </c>
      <c r="B3298" s="2" t="s">
        <v>27</v>
      </c>
      <c r="C3298" s="2" t="s">
        <v>28</v>
      </c>
      <c r="D3298" s="2" t="s">
        <v>97</v>
      </c>
      <c r="E3298" s="2" t="s">
        <v>86</v>
      </c>
      <c r="F3298" s="2" t="s">
        <v>31</v>
      </c>
      <c r="G3298" s="2" t="s">
        <v>32</v>
      </c>
      <c r="H3298" s="1"/>
      <c r="I3298" s="2" t="s">
        <v>33</v>
      </c>
      <c r="J3298" s="2" t="s">
        <v>34</v>
      </c>
      <c r="K3298" s="2" t="s">
        <v>15919</v>
      </c>
      <c r="L3298" s="2" t="s">
        <v>15920</v>
      </c>
      <c r="M3298" s="2" t="s">
        <v>2389</v>
      </c>
      <c r="N3298" s="2" t="s">
        <v>38</v>
      </c>
      <c r="O3298" s="2" t="s">
        <v>167</v>
      </c>
      <c r="P3298" s="2" t="s">
        <v>19072</v>
      </c>
      <c r="Q3298" s="2" t="s">
        <v>12569</v>
      </c>
      <c r="R3298" s="2" t="s">
        <v>40</v>
      </c>
      <c r="S3298" s="2" t="s">
        <v>19141</v>
      </c>
      <c r="T3298" s="2" t="s">
        <v>13134</v>
      </c>
      <c r="U3298" s="2" t="s">
        <v>19142</v>
      </c>
      <c r="V3298" s="2" t="s">
        <v>19143</v>
      </c>
      <c r="W3298" s="1"/>
      <c r="X3298" s="2" t="s">
        <v>258</v>
      </c>
      <c r="Y3298" s="2" t="s">
        <v>19132</v>
      </c>
      <c r="AA3298" t="str">
        <f t="shared" si="306"/>
        <v>2025-05</v>
      </c>
      <c r="AB3298" t="str">
        <f t="shared" si="307"/>
        <v>H1_2025</v>
      </c>
      <c r="AC3298">
        <f t="shared" si="308"/>
        <v>815614.4</v>
      </c>
      <c r="AD3298">
        <f t="shared" si="309"/>
        <v>800</v>
      </c>
      <c r="AE3298">
        <f t="shared" si="310"/>
        <v>160414.39999999999</v>
      </c>
      <c r="AF3298" t="str">
        <f t="shared" si="311"/>
        <v>Paid</v>
      </c>
    </row>
    <row r="3299" spans="1:32" ht="17.25" thickBot="1" x14ac:dyDescent="0.35">
      <c r="A3299" s="2" t="s">
        <v>19144</v>
      </c>
      <c r="B3299" s="2" t="s">
        <v>27</v>
      </c>
      <c r="C3299" s="2" t="s">
        <v>28</v>
      </c>
      <c r="D3299" s="2" t="s">
        <v>97</v>
      </c>
      <c r="E3299" s="2" t="s">
        <v>86</v>
      </c>
      <c r="F3299" s="2" t="s">
        <v>31</v>
      </c>
      <c r="G3299" s="2" t="s">
        <v>32</v>
      </c>
      <c r="H3299" s="1"/>
      <c r="I3299" s="2" t="s">
        <v>33</v>
      </c>
      <c r="J3299" s="2" t="s">
        <v>34</v>
      </c>
      <c r="K3299" s="2" t="s">
        <v>17616</v>
      </c>
      <c r="L3299" s="2" t="s">
        <v>17617</v>
      </c>
      <c r="M3299" s="2" t="s">
        <v>2389</v>
      </c>
      <c r="N3299" s="2" t="s">
        <v>38</v>
      </c>
      <c r="O3299" s="2" t="s">
        <v>131</v>
      </c>
      <c r="P3299" s="2" t="s">
        <v>2182</v>
      </c>
      <c r="Q3299" s="2" t="s">
        <v>13035</v>
      </c>
      <c r="R3299" s="2" t="s">
        <v>40</v>
      </c>
      <c r="S3299" s="2" t="s">
        <v>19145</v>
      </c>
      <c r="T3299" s="2" t="s">
        <v>287</v>
      </c>
      <c r="U3299" s="2" t="s">
        <v>5210</v>
      </c>
      <c r="V3299" s="2" t="s">
        <v>19146</v>
      </c>
      <c r="W3299" s="1"/>
      <c r="X3299" s="2" t="s">
        <v>3393</v>
      </c>
      <c r="Y3299" s="2" t="s">
        <v>19132</v>
      </c>
      <c r="AA3299" t="str">
        <f t="shared" si="306"/>
        <v>2025-05</v>
      </c>
      <c r="AB3299" t="str">
        <f t="shared" si="307"/>
        <v>H1_2025</v>
      </c>
      <c r="AC3299">
        <f t="shared" si="308"/>
        <v>372612.88</v>
      </c>
      <c r="AD3299">
        <f t="shared" si="309"/>
        <v>40</v>
      </c>
      <c r="AE3299">
        <f t="shared" si="310"/>
        <v>92612.88</v>
      </c>
      <c r="AF3299" t="str">
        <f t="shared" si="311"/>
        <v>Paid</v>
      </c>
    </row>
    <row r="3300" spans="1:32" ht="17.25" thickBot="1" x14ac:dyDescent="0.35">
      <c r="A3300" s="2" t="s">
        <v>19147</v>
      </c>
      <c r="B3300" s="2" t="s">
        <v>27</v>
      </c>
      <c r="C3300" s="2" t="s">
        <v>28</v>
      </c>
      <c r="D3300" s="2" t="s">
        <v>97</v>
      </c>
      <c r="E3300" s="2" t="s">
        <v>86</v>
      </c>
      <c r="F3300" s="2" t="s">
        <v>31</v>
      </c>
      <c r="G3300" s="2" t="s">
        <v>32</v>
      </c>
      <c r="H3300" s="1"/>
      <c r="I3300" s="2" t="s">
        <v>33</v>
      </c>
      <c r="J3300" s="2" t="s">
        <v>34</v>
      </c>
      <c r="K3300" s="2" t="s">
        <v>17616</v>
      </c>
      <c r="L3300" s="2" t="s">
        <v>17617</v>
      </c>
      <c r="M3300" s="2" t="s">
        <v>2389</v>
      </c>
      <c r="N3300" s="2" t="s">
        <v>38</v>
      </c>
      <c r="O3300" s="2" t="s">
        <v>79</v>
      </c>
      <c r="P3300" s="2" t="s">
        <v>2182</v>
      </c>
      <c r="Q3300" s="2" t="s">
        <v>2867</v>
      </c>
      <c r="R3300" s="2" t="s">
        <v>40</v>
      </c>
      <c r="S3300" s="2" t="s">
        <v>19148</v>
      </c>
      <c r="T3300" s="2" t="s">
        <v>287</v>
      </c>
      <c r="U3300" s="2" t="s">
        <v>19149</v>
      </c>
      <c r="V3300" s="2" t="s">
        <v>19150</v>
      </c>
      <c r="W3300" s="1"/>
      <c r="X3300" s="2" t="s">
        <v>3393</v>
      </c>
      <c r="Y3300" s="2" t="s">
        <v>19132</v>
      </c>
      <c r="AA3300" t="str">
        <f t="shared" si="306"/>
        <v>2025-05</v>
      </c>
      <c r="AB3300" t="str">
        <f t="shared" si="307"/>
        <v>H1_2025</v>
      </c>
      <c r="AC3300">
        <f t="shared" si="308"/>
        <v>93153.22</v>
      </c>
      <c r="AD3300">
        <f t="shared" si="309"/>
        <v>10</v>
      </c>
      <c r="AE3300">
        <f t="shared" si="310"/>
        <v>23153.22</v>
      </c>
      <c r="AF3300" t="str">
        <f t="shared" si="311"/>
        <v>Paid</v>
      </c>
    </row>
    <row r="3301" spans="1:32" ht="17.25" thickBot="1" x14ac:dyDescent="0.35">
      <c r="A3301" s="2" t="s">
        <v>19151</v>
      </c>
      <c r="B3301" s="2" t="s">
        <v>27</v>
      </c>
      <c r="C3301" s="2" t="s">
        <v>28</v>
      </c>
      <c r="D3301" s="2" t="s">
        <v>97</v>
      </c>
      <c r="E3301" s="2" t="s">
        <v>86</v>
      </c>
      <c r="F3301" s="2" t="s">
        <v>31</v>
      </c>
      <c r="G3301" s="2" t="s">
        <v>32</v>
      </c>
      <c r="H3301" s="1"/>
      <c r="I3301" s="2" t="s">
        <v>33</v>
      </c>
      <c r="J3301" s="2" t="s">
        <v>34</v>
      </c>
      <c r="K3301" s="2" t="s">
        <v>18723</v>
      </c>
      <c r="L3301" s="2" t="s">
        <v>18724</v>
      </c>
      <c r="M3301" s="2" t="s">
        <v>2389</v>
      </c>
      <c r="N3301" s="2" t="s">
        <v>38</v>
      </c>
      <c r="O3301" s="2" t="s">
        <v>1333</v>
      </c>
      <c r="P3301" s="2" t="s">
        <v>1010</v>
      </c>
      <c r="Q3301" s="2" t="s">
        <v>19152</v>
      </c>
      <c r="R3301" s="2" t="s">
        <v>40</v>
      </c>
      <c r="S3301" s="2" t="s">
        <v>19153</v>
      </c>
      <c r="T3301" s="2" t="s">
        <v>7535</v>
      </c>
      <c r="U3301" s="2" t="s">
        <v>15587</v>
      </c>
      <c r="V3301" s="2" t="s">
        <v>19154</v>
      </c>
      <c r="W3301" s="1"/>
      <c r="X3301" s="2" t="s">
        <v>4421</v>
      </c>
      <c r="Y3301" s="2" t="s">
        <v>19132</v>
      </c>
      <c r="AA3301" t="str">
        <f t="shared" si="306"/>
        <v>2025-05</v>
      </c>
      <c r="AB3301" t="str">
        <f t="shared" si="307"/>
        <v>H1_2025</v>
      </c>
      <c r="AC3301">
        <f t="shared" si="308"/>
        <v>1707343.5</v>
      </c>
      <c r="AD3301">
        <f t="shared" si="309"/>
        <v>150</v>
      </c>
      <c r="AE3301">
        <f t="shared" si="310"/>
        <v>370843.5</v>
      </c>
      <c r="AF3301" t="str">
        <f t="shared" si="311"/>
        <v>Paid</v>
      </c>
    </row>
    <row r="3302" spans="1:32" ht="27.75" thickBot="1" x14ac:dyDescent="0.35">
      <c r="A3302" s="2" t="s">
        <v>19155</v>
      </c>
      <c r="B3302" s="2" t="s">
        <v>27</v>
      </c>
      <c r="C3302" s="2" t="s">
        <v>28</v>
      </c>
      <c r="D3302" s="2" t="s">
        <v>97</v>
      </c>
      <c r="E3302" s="2" t="s">
        <v>86</v>
      </c>
      <c r="F3302" s="2" t="s">
        <v>31</v>
      </c>
      <c r="G3302" s="2" t="s">
        <v>32</v>
      </c>
      <c r="H3302" s="1"/>
      <c r="I3302" s="2" t="s">
        <v>33</v>
      </c>
      <c r="J3302" s="2" t="s">
        <v>34</v>
      </c>
      <c r="K3302" s="2" t="s">
        <v>11405</v>
      </c>
      <c r="L3302" s="2" t="s">
        <v>11406</v>
      </c>
      <c r="M3302" s="2" t="s">
        <v>570</v>
      </c>
      <c r="N3302" s="2" t="s">
        <v>38</v>
      </c>
      <c r="O3302" s="2" t="s">
        <v>1644</v>
      </c>
      <c r="P3302" s="2" t="s">
        <v>9459</v>
      </c>
      <c r="Q3302" s="2" t="s">
        <v>7689</v>
      </c>
      <c r="R3302" s="2" t="s">
        <v>40</v>
      </c>
      <c r="S3302" s="2" t="s">
        <v>19156</v>
      </c>
      <c r="T3302" s="2" t="s">
        <v>7463</v>
      </c>
      <c r="U3302" s="2" t="s">
        <v>15970</v>
      </c>
      <c r="V3302" s="2" t="s">
        <v>19157</v>
      </c>
      <c r="W3302" s="1"/>
      <c r="X3302" s="2" t="s">
        <v>3903</v>
      </c>
      <c r="Y3302" s="2" t="s">
        <v>19132</v>
      </c>
      <c r="AA3302" t="str">
        <f t="shared" si="306"/>
        <v>2025-05</v>
      </c>
      <c r="AB3302" t="str">
        <f t="shared" si="307"/>
        <v>H1_2025</v>
      </c>
      <c r="AC3302">
        <f t="shared" si="308"/>
        <v>469257.6</v>
      </c>
      <c r="AD3302">
        <f t="shared" si="309"/>
        <v>1200</v>
      </c>
      <c r="AE3302">
        <f t="shared" si="310"/>
        <v>75657.600000000006</v>
      </c>
      <c r="AF3302" t="str">
        <f t="shared" si="311"/>
        <v>Paid</v>
      </c>
    </row>
    <row r="3303" spans="1:32" ht="17.25" thickBot="1" x14ac:dyDescent="0.35">
      <c r="A3303" s="2" t="s">
        <v>19158</v>
      </c>
      <c r="B3303" s="2" t="s">
        <v>27</v>
      </c>
      <c r="C3303" s="2" t="s">
        <v>28</v>
      </c>
      <c r="D3303" s="2" t="s">
        <v>97</v>
      </c>
      <c r="E3303" s="2" t="s">
        <v>86</v>
      </c>
      <c r="F3303" s="2" t="s">
        <v>31</v>
      </c>
      <c r="G3303" s="2" t="s">
        <v>32</v>
      </c>
      <c r="H3303" s="1"/>
      <c r="I3303" s="2" t="s">
        <v>33</v>
      </c>
      <c r="J3303" s="2" t="s">
        <v>34</v>
      </c>
      <c r="K3303" s="2" t="s">
        <v>2789</v>
      </c>
      <c r="L3303" s="2" t="s">
        <v>2790</v>
      </c>
      <c r="M3303" s="2" t="s">
        <v>70</v>
      </c>
      <c r="N3303" s="2" t="s">
        <v>38</v>
      </c>
      <c r="O3303" s="2" t="s">
        <v>4038</v>
      </c>
      <c r="P3303" s="2" t="s">
        <v>5472</v>
      </c>
      <c r="Q3303" s="2" t="s">
        <v>19159</v>
      </c>
      <c r="R3303" s="2" t="s">
        <v>40</v>
      </c>
      <c r="S3303" s="2" t="s">
        <v>19160</v>
      </c>
      <c r="T3303" s="2" t="s">
        <v>4850</v>
      </c>
      <c r="U3303" s="2" t="s">
        <v>19161</v>
      </c>
      <c r="V3303" s="2" t="s">
        <v>19162</v>
      </c>
      <c r="W3303" s="1"/>
      <c r="X3303" s="2" t="s">
        <v>258</v>
      </c>
      <c r="Y3303" s="2" t="s">
        <v>19132</v>
      </c>
      <c r="AA3303" t="str">
        <f t="shared" si="306"/>
        <v>2025-05</v>
      </c>
      <c r="AB3303" t="str">
        <f t="shared" si="307"/>
        <v>H1_2025</v>
      </c>
      <c r="AC3303">
        <f t="shared" si="308"/>
        <v>12841737</v>
      </c>
      <c r="AD3303">
        <f t="shared" si="309"/>
        <v>1500</v>
      </c>
      <c r="AE3303">
        <f t="shared" si="310"/>
        <v>2532237</v>
      </c>
      <c r="AF3303" t="str">
        <f t="shared" si="311"/>
        <v>Paid</v>
      </c>
    </row>
    <row r="3304" spans="1:32" ht="17.25" thickBot="1" x14ac:dyDescent="0.35">
      <c r="A3304" s="2" t="s">
        <v>19163</v>
      </c>
      <c r="B3304" s="2" t="s">
        <v>27</v>
      </c>
      <c r="C3304" s="2" t="s">
        <v>28</v>
      </c>
      <c r="D3304" s="2" t="s">
        <v>97</v>
      </c>
      <c r="E3304" s="2" t="s">
        <v>86</v>
      </c>
      <c r="F3304" s="2" t="s">
        <v>31</v>
      </c>
      <c r="G3304" s="2" t="s">
        <v>32</v>
      </c>
      <c r="H3304" s="1"/>
      <c r="I3304" s="2" t="s">
        <v>33</v>
      </c>
      <c r="J3304" s="2" t="s">
        <v>34</v>
      </c>
      <c r="K3304" s="2" t="s">
        <v>2789</v>
      </c>
      <c r="L3304" s="2" t="s">
        <v>2790</v>
      </c>
      <c r="M3304" s="2" t="s">
        <v>70</v>
      </c>
      <c r="N3304" s="2" t="s">
        <v>38</v>
      </c>
      <c r="O3304" s="2" t="s">
        <v>156</v>
      </c>
      <c r="P3304" s="2" t="s">
        <v>5472</v>
      </c>
      <c r="Q3304" s="2" t="s">
        <v>19164</v>
      </c>
      <c r="R3304" s="2" t="s">
        <v>40</v>
      </c>
      <c r="S3304" s="2" t="s">
        <v>19165</v>
      </c>
      <c r="T3304" s="2" t="s">
        <v>4850</v>
      </c>
      <c r="U3304" s="2" t="s">
        <v>19166</v>
      </c>
      <c r="V3304" s="2" t="s">
        <v>19167</v>
      </c>
      <c r="W3304" s="1"/>
      <c r="X3304" s="2" t="s">
        <v>258</v>
      </c>
      <c r="Y3304" s="2" t="s">
        <v>19132</v>
      </c>
      <c r="AA3304" t="str">
        <f t="shared" si="306"/>
        <v>2025-05</v>
      </c>
      <c r="AB3304" t="str">
        <f t="shared" si="307"/>
        <v>H1_2025</v>
      </c>
      <c r="AC3304">
        <f t="shared" si="308"/>
        <v>171223.16</v>
      </c>
      <c r="AD3304">
        <f t="shared" si="309"/>
        <v>20</v>
      </c>
      <c r="AE3304">
        <f t="shared" si="310"/>
        <v>33763.160000000003</v>
      </c>
      <c r="AF3304" t="str">
        <f t="shared" si="311"/>
        <v>Paid</v>
      </c>
    </row>
    <row r="3305" spans="1:32" ht="27.75" thickBot="1" x14ac:dyDescent="0.35">
      <c r="A3305" s="2" t="s">
        <v>19168</v>
      </c>
      <c r="B3305" s="2" t="s">
        <v>27</v>
      </c>
      <c r="C3305" s="2" t="s">
        <v>28</v>
      </c>
      <c r="D3305" s="2" t="s">
        <v>97</v>
      </c>
      <c r="E3305" s="2" t="s">
        <v>86</v>
      </c>
      <c r="F3305" s="2" t="s">
        <v>31</v>
      </c>
      <c r="G3305" s="2" t="s">
        <v>32</v>
      </c>
      <c r="H3305" s="1"/>
      <c r="I3305" s="2" t="s">
        <v>33</v>
      </c>
      <c r="J3305" s="2" t="s">
        <v>34</v>
      </c>
      <c r="K3305" s="2" t="s">
        <v>2845</v>
      </c>
      <c r="L3305" s="2" t="s">
        <v>2846</v>
      </c>
      <c r="M3305" s="2" t="s">
        <v>70</v>
      </c>
      <c r="N3305" s="2" t="s">
        <v>38</v>
      </c>
      <c r="O3305" s="2" t="s">
        <v>1914</v>
      </c>
      <c r="P3305" s="2" t="s">
        <v>3300</v>
      </c>
      <c r="Q3305" s="2" t="s">
        <v>19169</v>
      </c>
      <c r="R3305" s="2" t="s">
        <v>40</v>
      </c>
      <c r="S3305" s="2" t="s">
        <v>19170</v>
      </c>
      <c r="T3305" s="2" t="s">
        <v>9531</v>
      </c>
      <c r="U3305" s="2" t="s">
        <v>19171</v>
      </c>
      <c r="V3305" s="2" t="s">
        <v>19172</v>
      </c>
      <c r="W3305" s="1"/>
      <c r="X3305" s="2" t="s">
        <v>2806</v>
      </c>
      <c r="Y3305" s="2" t="s">
        <v>19132</v>
      </c>
      <c r="AA3305" t="str">
        <f t="shared" si="306"/>
        <v>2025-05</v>
      </c>
      <c r="AB3305" t="str">
        <f t="shared" si="307"/>
        <v>H1_2025</v>
      </c>
      <c r="AC3305">
        <f t="shared" si="308"/>
        <v>6787476</v>
      </c>
      <c r="AD3305">
        <f t="shared" si="309"/>
        <v>900</v>
      </c>
      <c r="AE3305">
        <f t="shared" si="310"/>
        <v>2041776</v>
      </c>
      <c r="AF3305" t="str">
        <f t="shared" si="311"/>
        <v>Paid</v>
      </c>
    </row>
    <row r="3306" spans="1:32" ht="27.75" thickBot="1" x14ac:dyDescent="0.35">
      <c r="A3306" s="2" t="s">
        <v>19173</v>
      </c>
      <c r="B3306" s="2" t="s">
        <v>27</v>
      </c>
      <c r="C3306" s="2" t="s">
        <v>28</v>
      </c>
      <c r="D3306" s="2" t="s">
        <v>97</v>
      </c>
      <c r="E3306" s="2" t="s">
        <v>86</v>
      </c>
      <c r="F3306" s="2" t="s">
        <v>31</v>
      </c>
      <c r="G3306" s="2" t="s">
        <v>32</v>
      </c>
      <c r="H3306" s="1"/>
      <c r="I3306" s="2" t="s">
        <v>33</v>
      </c>
      <c r="J3306" s="2" t="s">
        <v>34</v>
      </c>
      <c r="K3306" s="2" t="s">
        <v>2845</v>
      </c>
      <c r="L3306" s="2" t="s">
        <v>2846</v>
      </c>
      <c r="M3306" s="2" t="s">
        <v>70</v>
      </c>
      <c r="N3306" s="2" t="s">
        <v>38</v>
      </c>
      <c r="O3306" s="2" t="s">
        <v>391</v>
      </c>
      <c r="P3306" s="2" t="s">
        <v>3300</v>
      </c>
      <c r="Q3306" s="2" t="s">
        <v>19174</v>
      </c>
      <c r="R3306" s="2" t="s">
        <v>40</v>
      </c>
      <c r="S3306" s="2" t="s">
        <v>19175</v>
      </c>
      <c r="T3306" s="2" t="s">
        <v>9531</v>
      </c>
      <c r="U3306" s="2" t="s">
        <v>19176</v>
      </c>
      <c r="V3306" s="2" t="s">
        <v>19177</v>
      </c>
      <c r="W3306" s="1"/>
      <c r="X3306" s="2" t="s">
        <v>2806</v>
      </c>
      <c r="Y3306" s="2" t="s">
        <v>19132</v>
      </c>
      <c r="AA3306" t="str">
        <f t="shared" si="306"/>
        <v>2025-05</v>
      </c>
      <c r="AB3306" t="str">
        <f t="shared" si="307"/>
        <v>H1_2025</v>
      </c>
      <c r="AC3306">
        <f t="shared" si="308"/>
        <v>452498.4</v>
      </c>
      <c r="AD3306">
        <f t="shared" si="309"/>
        <v>60</v>
      </c>
      <c r="AE3306">
        <f t="shared" si="310"/>
        <v>136118.39999999999</v>
      </c>
      <c r="AF3306" t="str">
        <f t="shared" si="311"/>
        <v>Paid</v>
      </c>
    </row>
    <row r="3307" spans="1:32" ht="17.25" thickBot="1" x14ac:dyDescent="0.35">
      <c r="A3307" s="2" t="s">
        <v>19178</v>
      </c>
      <c r="B3307" s="2" t="s">
        <v>27</v>
      </c>
      <c r="C3307" s="2" t="s">
        <v>28</v>
      </c>
      <c r="D3307" s="2" t="s">
        <v>97</v>
      </c>
      <c r="E3307" s="2" t="s">
        <v>86</v>
      </c>
      <c r="F3307" s="2" t="s">
        <v>31</v>
      </c>
      <c r="G3307" s="2" t="s">
        <v>32</v>
      </c>
      <c r="H3307" s="1"/>
      <c r="I3307" s="2" t="s">
        <v>33</v>
      </c>
      <c r="J3307" s="2" t="s">
        <v>34</v>
      </c>
      <c r="K3307" s="2" t="s">
        <v>3885</v>
      </c>
      <c r="L3307" s="2" t="s">
        <v>3886</v>
      </c>
      <c r="M3307" s="2" t="s">
        <v>701</v>
      </c>
      <c r="N3307" s="2" t="s">
        <v>38</v>
      </c>
      <c r="O3307" s="2" t="s">
        <v>4535</v>
      </c>
      <c r="P3307" s="2" t="s">
        <v>16747</v>
      </c>
      <c r="Q3307" s="2" t="s">
        <v>19179</v>
      </c>
      <c r="R3307" s="2" t="s">
        <v>40</v>
      </c>
      <c r="S3307" s="2" t="s">
        <v>19180</v>
      </c>
      <c r="T3307" s="2" t="s">
        <v>706</v>
      </c>
      <c r="U3307" s="2" t="s">
        <v>19181</v>
      </c>
      <c r="V3307" s="2" t="s">
        <v>19182</v>
      </c>
      <c r="W3307" s="1"/>
      <c r="X3307" s="2" t="s">
        <v>15185</v>
      </c>
      <c r="Y3307" s="2" t="s">
        <v>19132</v>
      </c>
      <c r="AA3307" t="str">
        <f t="shared" si="306"/>
        <v>2025-05</v>
      </c>
      <c r="AB3307" t="str">
        <f t="shared" si="307"/>
        <v>H1_2025</v>
      </c>
      <c r="AC3307">
        <f t="shared" si="308"/>
        <v>20823306</v>
      </c>
      <c r="AD3307">
        <f t="shared" si="309"/>
        <v>2100</v>
      </c>
      <c r="AE3307">
        <f t="shared" si="310"/>
        <v>3183306</v>
      </c>
      <c r="AF3307" t="str">
        <f t="shared" si="311"/>
        <v>Paid</v>
      </c>
    </row>
    <row r="3308" spans="1:32" ht="17.25" thickBot="1" x14ac:dyDescent="0.35">
      <c r="A3308" s="2" t="s">
        <v>19183</v>
      </c>
      <c r="B3308" s="2" t="s">
        <v>27</v>
      </c>
      <c r="C3308" s="2" t="s">
        <v>28</v>
      </c>
      <c r="D3308" s="2" t="s">
        <v>97</v>
      </c>
      <c r="E3308" s="2" t="s">
        <v>86</v>
      </c>
      <c r="F3308" s="2" t="s">
        <v>31</v>
      </c>
      <c r="G3308" s="2" t="s">
        <v>32</v>
      </c>
      <c r="H3308" s="1"/>
      <c r="I3308" s="2" t="s">
        <v>33</v>
      </c>
      <c r="J3308" s="2" t="s">
        <v>34</v>
      </c>
      <c r="K3308" s="2" t="s">
        <v>3885</v>
      </c>
      <c r="L3308" s="2" t="s">
        <v>3886</v>
      </c>
      <c r="M3308" s="2" t="s">
        <v>701</v>
      </c>
      <c r="N3308" s="2" t="s">
        <v>38</v>
      </c>
      <c r="O3308" s="2" t="s">
        <v>156</v>
      </c>
      <c r="P3308" s="2" t="s">
        <v>16747</v>
      </c>
      <c r="Q3308" s="2" t="s">
        <v>19184</v>
      </c>
      <c r="R3308" s="2" t="s">
        <v>40</v>
      </c>
      <c r="S3308" s="2" t="s">
        <v>19185</v>
      </c>
      <c r="T3308" s="2" t="s">
        <v>706</v>
      </c>
      <c r="U3308" s="2" t="s">
        <v>7440</v>
      </c>
      <c r="V3308" s="2" t="s">
        <v>19186</v>
      </c>
      <c r="W3308" s="1"/>
      <c r="X3308" s="2" t="s">
        <v>15185</v>
      </c>
      <c r="Y3308" s="2" t="s">
        <v>19132</v>
      </c>
      <c r="AA3308" t="str">
        <f t="shared" si="306"/>
        <v>2025-05</v>
      </c>
      <c r="AB3308" t="str">
        <f t="shared" si="307"/>
        <v>H1_2025</v>
      </c>
      <c r="AC3308">
        <f t="shared" si="308"/>
        <v>198317.2</v>
      </c>
      <c r="AD3308">
        <f t="shared" si="309"/>
        <v>20</v>
      </c>
      <c r="AE3308">
        <f t="shared" si="310"/>
        <v>30317.200000000001</v>
      </c>
      <c r="AF3308" t="str">
        <f t="shared" si="311"/>
        <v>Paid</v>
      </c>
    </row>
    <row r="3309" spans="1:32" ht="17.25" thickBot="1" x14ac:dyDescent="0.35">
      <c r="A3309" s="2" t="s">
        <v>19187</v>
      </c>
      <c r="B3309" s="2" t="s">
        <v>27</v>
      </c>
      <c r="C3309" s="2" t="s">
        <v>28</v>
      </c>
      <c r="D3309" s="2" t="s">
        <v>97</v>
      </c>
      <c r="E3309" s="2" t="s">
        <v>86</v>
      </c>
      <c r="F3309" s="2" t="s">
        <v>31</v>
      </c>
      <c r="G3309" s="2" t="s">
        <v>32</v>
      </c>
      <c r="H3309" s="1"/>
      <c r="I3309" s="2" t="s">
        <v>33</v>
      </c>
      <c r="J3309" s="2" t="s">
        <v>34</v>
      </c>
      <c r="K3309" s="2" t="s">
        <v>15560</v>
      </c>
      <c r="L3309" s="2" t="s">
        <v>15561</v>
      </c>
      <c r="M3309" s="2" t="s">
        <v>701</v>
      </c>
      <c r="N3309" s="2" t="s">
        <v>38</v>
      </c>
      <c r="O3309" s="2" t="s">
        <v>114</v>
      </c>
      <c r="P3309" s="2" t="s">
        <v>16597</v>
      </c>
      <c r="Q3309" s="2" t="s">
        <v>19188</v>
      </c>
      <c r="R3309" s="2" t="s">
        <v>40</v>
      </c>
      <c r="S3309" s="2" t="s">
        <v>19189</v>
      </c>
      <c r="T3309" s="2" t="s">
        <v>19190</v>
      </c>
      <c r="U3309" s="2" t="s">
        <v>19191</v>
      </c>
      <c r="V3309" s="2" t="s">
        <v>19192</v>
      </c>
      <c r="W3309" s="1"/>
      <c r="X3309" s="2" t="s">
        <v>16667</v>
      </c>
      <c r="Y3309" s="2" t="s">
        <v>19132</v>
      </c>
      <c r="AA3309" t="str">
        <f t="shared" si="306"/>
        <v>2025-05</v>
      </c>
      <c r="AB3309" t="str">
        <f t="shared" si="307"/>
        <v>H1_2025</v>
      </c>
      <c r="AC3309">
        <f t="shared" si="308"/>
        <v>1427883.84</v>
      </c>
      <c r="AD3309">
        <f t="shared" si="309"/>
        <v>240</v>
      </c>
      <c r="AE3309">
        <f t="shared" si="310"/>
        <v>666843.84</v>
      </c>
      <c r="AF3309" t="str">
        <f t="shared" si="311"/>
        <v>Paid</v>
      </c>
    </row>
    <row r="3310" spans="1:32" ht="17.25" thickBot="1" x14ac:dyDescent="0.35">
      <c r="A3310" s="2" t="s">
        <v>19193</v>
      </c>
      <c r="B3310" s="2" t="s">
        <v>27</v>
      </c>
      <c r="C3310" s="2" t="s">
        <v>28</v>
      </c>
      <c r="D3310" s="2" t="s">
        <v>97</v>
      </c>
      <c r="E3310" s="2" t="s">
        <v>86</v>
      </c>
      <c r="F3310" s="2" t="s">
        <v>31</v>
      </c>
      <c r="G3310" s="2" t="s">
        <v>32</v>
      </c>
      <c r="H3310" s="1"/>
      <c r="I3310" s="2" t="s">
        <v>33</v>
      </c>
      <c r="J3310" s="2" t="s">
        <v>34</v>
      </c>
      <c r="K3310" s="2" t="s">
        <v>3905</v>
      </c>
      <c r="L3310" s="2" t="s">
        <v>3906</v>
      </c>
      <c r="M3310" s="2" t="s">
        <v>701</v>
      </c>
      <c r="N3310" s="2" t="s">
        <v>38</v>
      </c>
      <c r="O3310" s="2" t="s">
        <v>228</v>
      </c>
      <c r="P3310" s="2" t="s">
        <v>2934</v>
      </c>
      <c r="Q3310" s="2" t="s">
        <v>19194</v>
      </c>
      <c r="R3310" s="2" t="s">
        <v>40</v>
      </c>
      <c r="S3310" s="2" t="s">
        <v>19195</v>
      </c>
      <c r="T3310" s="2" t="s">
        <v>3015</v>
      </c>
      <c r="U3310" s="2" t="s">
        <v>19196</v>
      </c>
      <c r="V3310" s="2" t="s">
        <v>19197</v>
      </c>
      <c r="W3310" s="1"/>
      <c r="X3310" s="2" t="s">
        <v>3824</v>
      </c>
      <c r="Y3310" s="2" t="s">
        <v>19132</v>
      </c>
      <c r="AA3310" t="str">
        <f t="shared" si="306"/>
        <v>2025-05</v>
      </c>
      <c r="AB3310" t="str">
        <f t="shared" si="307"/>
        <v>H1_2025</v>
      </c>
      <c r="AC3310">
        <f t="shared" si="308"/>
        <v>13178317.6</v>
      </c>
      <c r="AD3310">
        <f t="shared" si="309"/>
        <v>1400</v>
      </c>
      <c r="AE3310">
        <f t="shared" si="310"/>
        <v>2006317.6</v>
      </c>
      <c r="AF3310" t="str">
        <f t="shared" si="311"/>
        <v>Paid</v>
      </c>
    </row>
    <row r="3311" spans="1:32" ht="17.25" thickBot="1" x14ac:dyDescent="0.35">
      <c r="A3311" s="2" t="s">
        <v>19198</v>
      </c>
      <c r="B3311" s="2" t="s">
        <v>27</v>
      </c>
      <c r="C3311" s="2" t="s">
        <v>28</v>
      </c>
      <c r="D3311" s="2" t="s">
        <v>97</v>
      </c>
      <c r="E3311" s="2" t="s">
        <v>86</v>
      </c>
      <c r="F3311" s="2" t="s">
        <v>31</v>
      </c>
      <c r="G3311" s="2" t="s">
        <v>32</v>
      </c>
      <c r="H3311" s="1"/>
      <c r="I3311" s="2" t="s">
        <v>33</v>
      </c>
      <c r="J3311" s="2" t="s">
        <v>34</v>
      </c>
      <c r="K3311" s="2" t="s">
        <v>3905</v>
      </c>
      <c r="L3311" s="2" t="s">
        <v>3906</v>
      </c>
      <c r="M3311" s="2" t="s">
        <v>701</v>
      </c>
      <c r="N3311" s="2" t="s">
        <v>38</v>
      </c>
      <c r="O3311" s="2" t="s">
        <v>131</v>
      </c>
      <c r="P3311" s="2" t="s">
        <v>2934</v>
      </c>
      <c r="Q3311" s="2" t="s">
        <v>2935</v>
      </c>
      <c r="R3311" s="2" t="s">
        <v>40</v>
      </c>
      <c r="S3311" s="2" t="s">
        <v>19199</v>
      </c>
      <c r="T3311" s="2" t="s">
        <v>3015</v>
      </c>
      <c r="U3311" s="2" t="s">
        <v>4193</v>
      </c>
      <c r="V3311" s="2" t="s">
        <v>19200</v>
      </c>
      <c r="W3311" s="1"/>
      <c r="X3311" s="2" t="s">
        <v>3824</v>
      </c>
      <c r="Y3311" s="2" t="s">
        <v>19132</v>
      </c>
      <c r="AA3311" t="str">
        <f t="shared" si="306"/>
        <v>2025-05</v>
      </c>
      <c r="AB3311" t="str">
        <f t="shared" si="307"/>
        <v>H1_2025</v>
      </c>
      <c r="AC3311">
        <f t="shared" si="308"/>
        <v>376523.36</v>
      </c>
      <c r="AD3311">
        <f t="shared" si="309"/>
        <v>40</v>
      </c>
      <c r="AE3311">
        <f t="shared" si="310"/>
        <v>57323.360000000001</v>
      </c>
      <c r="AF3311" t="str">
        <f t="shared" si="311"/>
        <v>Paid</v>
      </c>
    </row>
    <row r="3312" spans="1:32" ht="17.25" thickBot="1" x14ac:dyDescent="0.35">
      <c r="A3312" s="2" t="s">
        <v>19201</v>
      </c>
      <c r="B3312" s="2" t="s">
        <v>27</v>
      </c>
      <c r="C3312" s="2" t="s">
        <v>28</v>
      </c>
      <c r="D3312" s="2" t="s">
        <v>97</v>
      </c>
      <c r="E3312" s="2" t="s">
        <v>86</v>
      </c>
      <c r="F3312" s="2" t="s">
        <v>31</v>
      </c>
      <c r="G3312" s="2" t="s">
        <v>32</v>
      </c>
      <c r="H3312" s="1"/>
      <c r="I3312" s="2" t="s">
        <v>33</v>
      </c>
      <c r="J3312" s="2" t="s">
        <v>34</v>
      </c>
      <c r="K3312" s="2" t="s">
        <v>10598</v>
      </c>
      <c r="L3312" s="2" t="s">
        <v>10599</v>
      </c>
      <c r="M3312" s="2" t="s">
        <v>701</v>
      </c>
      <c r="N3312" s="2" t="s">
        <v>38</v>
      </c>
      <c r="O3312" s="2" t="s">
        <v>11055</v>
      </c>
      <c r="P3312" s="2" t="s">
        <v>17670</v>
      </c>
      <c r="Q3312" s="2" t="s">
        <v>19202</v>
      </c>
      <c r="R3312" s="2" t="s">
        <v>40</v>
      </c>
      <c r="S3312" s="2" t="s">
        <v>19203</v>
      </c>
      <c r="T3312" s="2" t="s">
        <v>1444</v>
      </c>
      <c r="U3312" s="2" t="s">
        <v>19204</v>
      </c>
      <c r="V3312" s="2" t="s">
        <v>19205</v>
      </c>
      <c r="W3312" s="1"/>
      <c r="X3312" s="2" t="s">
        <v>3824</v>
      </c>
      <c r="Y3312" s="2" t="s">
        <v>19132</v>
      </c>
      <c r="AA3312" t="str">
        <f t="shared" si="306"/>
        <v>2025-05</v>
      </c>
      <c r="AB3312" t="str">
        <f t="shared" si="307"/>
        <v>H1_2025</v>
      </c>
      <c r="AC3312">
        <f t="shared" si="308"/>
        <v>12232819.4</v>
      </c>
      <c r="AD3312">
        <f t="shared" si="309"/>
        <v>1900</v>
      </c>
      <c r="AE3312">
        <f t="shared" si="310"/>
        <v>1858819.4</v>
      </c>
      <c r="AF3312" t="str">
        <f t="shared" si="311"/>
        <v>Paid</v>
      </c>
    </row>
    <row r="3313" spans="1:32" ht="17.25" thickBot="1" x14ac:dyDescent="0.35">
      <c r="A3313" s="2" t="s">
        <v>19206</v>
      </c>
      <c r="B3313" s="2" t="s">
        <v>27</v>
      </c>
      <c r="C3313" s="2" t="s">
        <v>28</v>
      </c>
      <c r="D3313" s="2" t="s">
        <v>97</v>
      </c>
      <c r="E3313" s="2" t="s">
        <v>86</v>
      </c>
      <c r="F3313" s="2" t="s">
        <v>31</v>
      </c>
      <c r="G3313" s="2" t="s">
        <v>32</v>
      </c>
      <c r="H3313" s="1"/>
      <c r="I3313" s="2" t="s">
        <v>33</v>
      </c>
      <c r="J3313" s="2" t="s">
        <v>34</v>
      </c>
      <c r="K3313" s="2" t="s">
        <v>699</v>
      </c>
      <c r="L3313" s="2" t="s">
        <v>700</v>
      </c>
      <c r="M3313" s="2" t="s">
        <v>701</v>
      </c>
      <c r="N3313" s="2" t="s">
        <v>38</v>
      </c>
      <c r="O3313" s="2" t="s">
        <v>12403</v>
      </c>
      <c r="P3313" s="2" t="s">
        <v>16747</v>
      </c>
      <c r="Q3313" s="2" t="s">
        <v>19207</v>
      </c>
      <c r="R3313" s="2" t="s">
        <v>40</v>
      </c>
      <c r="S3313" s="2" t="s">
        <v>19208</v>
      </c>
      <c r="T3313" s="2" t="s">
        <v>706</v>
      </c>
      <c r="U3313" s="2" t="s">
        <v>19209</v>
      </c>
      <c r="V3313" s="2" t="s">
        <v>19210</v>
      </c>
      <c r="W3313" s="1"/>
      <c r="X3313" s="2" t="s">
        <v>15185</v>
      </c>
      <c r="Y3313" s="2" t="s">
        <v>19132</v>
      </c>
      <c r="AA3313" t="str">
        <f t="shared" si="306"/>
        <v>2025-05</v>
      </c>
      <c r="AB3313" t="str">
        <f t="shared" si="307"/>
        <v>H1_2025</v>
      </c>
      <c r="AC3313">
        <f t="shared" si="308"/>
        <v>16856962</v>
      </c>
      <c r="AD3313">
        <f t="shared" si="309"/>
        <v>1700</v>
      </c>
      <c r="AE3313">
        <f t="shared" si="310"/>
        <v>2576962</v>
      </c>
      <c r="AF3313" t="str">
        <f t="shared" si="311"/>
        <v>Paid</v>
      </c>
    </row>
    <row r="3314" spans="1:32" ht="17.25" thickBot="1" x14ac:dyDescent="0.35">
      <c r="A3314" s="2" t="s">
        <v>19211</v>
      </c>
      <c r="B3314" s="2" t="s">
        <v>27</v>
      </c>
      <c r="C3314" s="2" t="s">
        <v>28</v>
      </c>
      <c r="D3314" s="2" t="s">
        <v>97</v>
      </c>
      <c r="E3314" s="2" t="s">
        <v>86</v>
      </c>
      <c r="F3314" s="2" t="s">
        <v>31</v>
      </c>
      <c r="G3314" s="2" t="s">
        <v>32</v>
      </c>
      <c r="H3314" s="1"/>
      <c r="I3314" s="2" t="s">
        <v>33</v>
      </c>
      <c r="J3314" s="2" t="s">
        <v>34</v>
      </c>
      <c r="K3314" s="2" t="s">
        <v>699</v>
      </c>
      <c r="L3314" s="2" t="s">
        <v>700</v>
      </c>
      <c r="M3314" s="2" t="s">
        <v>701</v>
      </c>
      <c r="N3314" s="2" t="s">
        <v>38</v>
      </c>
      <c r="O3314" s="2" t="s">
        <v>156</v>
      </c>
      <c r="P3314" s="2" t="s">
        <v>16747</v>
      </c>
      <c r="Q3314" s="2" t="s">
        <v>19184</v>
      </c>
      <c r="R3314" s="2" t="s">
        <v>40</v>
      </c>
      <c r="S3314" s="2" t="s">
        <v>19185</v>
      </c>
      <c r="T3314" s="2" t="s">
        <v>706</v>
      </c>
      <c r="U3314" s="2" t="s">
        <v>7440</v>
      </c>
      <c r="V3314" s="2" t="s">
        <v>19186</v>
      </c>
      <c r="W3314" s="1"/>
      <c r="X3314" s="2" t="s">
        <v>15185</v>
      </c>
      <c r="Y3314" s="2" t="s">
        <v>19132</v>
      </c>
      <c r="AA3314" t="str">
        <f t="shared" si="306"/>
        <v>2025-05</v>
      </c>
      <c r="AB3314" t="str">
        <f t="shared" si="307"/>
        <v>H1_2025</v>
      </c>
      <c r="AC3314">
        <f t="shared" si="308"/>
        <v>198317.2</v>
      </c>
      <c r="AD3314">
        <f t="shared" si="309"/>
        <v>20</v>
      </c>
      <c r="AE3314">
        <f t="shared" si="310"/>
        <v>30317.200000000001</v>
      </c>
      <c r="AF3314" t="str">
        <f t="shared" si="311"/>
        <v>Paid</v>
      </c>
    </row>
    <row r="3315" spans="1:32" ht="17.25" thickBot="1" x14ac:dyDescent="0.35">
      <c r="A3315" s="2" t="s">
        <v>19212</v>
      </c>
      <c r="B3315" s="2" t="s">
        <v>27</v>
      </c>
      <c r="C3315" s="2" t="s">
        <v>28</v>
      </c>
      <c r="D3315" s="2" t="s">
        <v>97</v>
      </c>
      <c r="E3315" s="2" t="s">
        <v>86</v>
      </c>
      <c r="F3315" s="2" t="s">
        <v>31</v>
      </c>
      <c r="G3315" s="2" t="s">
        <v>32</v>
      </c>
      <c r="H3315" s="1"/>
      <c r="I3315" s="2" t="s">
        <v>33</v>
      </c>
      <c r="J3315" s="2" t="s">
        <v>34</v>
      </c>
      <c r="K3315" s="2" t="s">
        <v>3922</v>
      </c>
      <c r="L3315" s="2" t="s">
        <v>3923</v>
      </c>
      <c r="M3315" s="2" t="s">
        <v>701</v>
      </c>
      <c r="N3315" s="2" t="s">
        <v>38</v>
      </c>
      <c r="O3315" s="2" t="s">
        <v>4535</v>
      </c>
      <c r="P3315" s="2" t="s">
        <v>4245</v>
      </c>
      <c r="Q3315" s="2" t="s">
        <v>19213</v>
      </c>
      <c r="R3315" s="2" t="s">
        <v>40</v>
      </c>
      <c r="S3315" s="2" t="s">
        <v>19214</v>
      </c>
      <c r="T3315" s="2" t="s">
        <v>759</v>
      </c>
      <c r="U3315" s="2" t="s">
        <v>19215</v>
      </c>
      <c r="V3315" s="2" t="s">
        <v>19216</v>
      </c>
      <c r="W3315" s="1"/>
      <c r="X3315" s="2" t="s">
        <v>15185</v>
      </c>
      <c r="Y3315" s="2" t="s">
        <v>19132</v>
      </c>
      <c r="AA3315" t="str">
        <f t="shared" si="306"/>
        <v>2025-05</v>
      </c>
      <c r="AB3315" t="str">
        <f t="shared" si="307"/>
        <v>H1_2025</v>
      </c>
      <c r="AC3315">
        <f t="shared" si="308"/>
        <v>18740975.399999999</v>
      </c>
      <c r="AD3315">
        <f t="shared" si="309"/>
        <v>2100</v>
      </c>
      <c r="AE3315">
        <f t="shared" si="310"/>
        <v>2864975.4</v>
      </c>
      <c r="AF3315" t="str">
        <f t="shared" si="311"/>
        <v>Paid</v>
      </c>
    </row>
    <row r="3316" spans="1:32" ht="17.25" thickBot="1" x14ac:dyDescent="0.35">
      <c r="A3316" s="2" t="s">
        <v>19217</v>
      </c>
      <c r="B3316" s="2" t="s">
        <v>27</v>
      </c>
      <c r="C3316" s="2" t="s">
        <v>28</v>
      </c>
      <c r="D3316" s="2" t="s">
        <v>97</v>
      </c>
      <c r="E3316" s="2" t="s">
        <v>86</v>
      </c>
      <c r="F3316" s="2" t="s">
        <v>31</v>
      </c>
      <c r="G3316" s="2" t="s">
        <v>32</v>
      </c>
      <c r="H3316" s="1"/>
      <c r="I3316" s="2" t="s">
        <v>33</v>
      </c>
      <c r="J3316" s="2" t="s">
        <v>34</v>
      </c>
      <c r="K3316" s="2" t="s">
        <v>711</v>
      </c>
      <c r="L3316" s="2" t="s">
        <v>712</v>
      </c>
      <c r="M3316" s="2" t="s">
        <v>701</v>
      </c>
      <c r="N3316" s="2" t="s">
        <v>38</v>
      </c>
      <c r="O3316" s="2" t="s">
        <v>19218</v>
      </c>
      <c r="P3316" s="2" t="s">
        <v>870</v>
      </c>
      <c r="Q3316" s="2" t="s">
        <v>19219</v>
      </c>
      <c r="R3316" s="2" t="s">
        <v>40</v>
      </c>
      <c r="S3316" s="2" t="s">
        <v>19220</v>
      </c>
      <c r="T3316" s="2" t="s">
        <v>716</v>
      </c>
      <c r="U3316" s="2" t="s">
        <v>19221</v>
      </c>
      <c r="V3316" s="2" t="s">
        <v>19222</v>
      </c>
      <c r="W3316" s="1"/>
      <c r="X3316" s="2" t="s">
        <v>15185</v>
      </c>
      <c r="Y3316" s="2" t="s">
        <v>19132</v>
      </c>
      <c r="AA3316" t="str">
        <f t="shared" si="306"/>
        <v>2025-05</v>
      </c>
      <c r="AB3316" t="str">
        <f t="shared" si="307"/>
        <v>H1_2025</v>
      </c>
      <c r="AC3316">
        <f t="shared" si="308"/>
        <v>107091288</v>
      </c>
      <c r="AD3316">
        <f t="shared" si="309"/>
        <v>9000</v>
      </c>
      <c r="AE3316">
        <f t="shared" si="310"/>
        <v>16371288</v>
      </c>
      <c r="AF3316" t="str">
        <f t="shared" si="311"/>
        <v>Paid</v>
      </c>
    </row>
    <row r="3317" spans="1:32" ht="17.25" thickBot="1" x14ac:dyDescent="0.35">
      <c r="A3317" s="2" t="s">
        <v>19223</v>
      </c>
      <c r="B3317" s="2" t="s">
        <v>27</v>
      </c>
      <c r="C3317" s="2" t="s">
        <v>28</v>
      </c>
      <c r="D3317" s="2" t="s">
        <v>97</v>
      </c>
      <c r="E3317" s="2" t="s">
        <v>86</v>
      </c>
      <c r="F3317" s="2" t="s">
        <v>31</v>
      </c>
      <c r="G3317" s="2" t="s">
        <v>32</v>
      </c>
      <c r="H3317" s="1"/>
      <c r="I3317" s="2" t="s">
        <v>33</v>
      </c>
      <c r="J3317" s="2" t="s">
        <v>34</v>
      </c>
      <c r="K3317" s="2" t="s">
        <v>3930</v>
      </c>
      <c r="L3317" s="2" t="s">
        <v>3931</v>
      </c>
      <c r="M3317" s="2" t="s">
        <v>701</v>
      </c>
      <c r="N3317" s="2" t="s">
        <v>38</v>
      </c>
      <c r="O3317" s="2" t="s">
        <v>4535</v>
      </c>
      <c r="P3317" s="2" t="s">
        <v>19224</v>
      </c>
      <c r="Q3317" s="2" t="s">
        <v>19225</v>
      </c>
      <c r="R3317" s="2" t="s">
        <v>40</v>
      </c>
      <c r="S3317" s="2" t="s">
        <v>19226</v>
      </c>
      <c r="T3317" s="2" t="s">
        <v>3936</v>
      </c>
      <c r="U3317" s="2" t="s">
        <v>19227</v>
      </c>
      <c r="V3317" s="2" t="s">
        <v>19228</v>
      </c>
      <c r="W3317" s="1"/>
      <c r="X3317" s="2" t="s">
        <v>15185</v>
      </c>
      <c r="Y3317" s="2" t="s">
        <v>19132</v>
      </c>
      <c r="AA3317" t="str">
        <f t="shared" si="306"/>
        <v>2025-05</v>
      </c>
      <c r="AB3317" t="str">
        <f t="shared" si="307"/>
        <v>H1_2025</v>
      </c>
      <c r="AC3317">
        <f t="shared" si="308"/>
        <v>35399620.200000003</v>
      </c>
      <c r="AD3317">
        <f t="shared" si="309"/>
        <v>2100</v>
      </c>
      <c r="AE3317">
        <f t="shared" si="310"/>
        <v>5411620.2000000002</v>
      </c>
      <c r="AF3317" t="str">
        <f t="shared" si="311"/>
        <v>Paid</v>
      </c>
    </row>
    <row r="3318" spans="1:32" ht="17.25" thickBot="1" x14ac:dyDescent="0.35">
      <c r="A3318" s="2" t="s">
        <v>19229</v>
      </c>
      <c r="B3318" s="2" t="s">
        <v>27</v>
      </c>
      <c r="C3318" s="2" t="s">
        <v>28</v>
      </c>
      <c r="D3318" s="2" t="s">
        <v>97</v>
      </c>
      <c r="E3318" s="2" t="s">
        <v>86</v>
      </c>
      <c r="F3318" s="2" t="s">
        <v>31</v>
      </c>
      <c r="G3318" s="2" t="s">
        <v>32</v>
      </c>
      <c r="H3318" s="1"/>
      <c r="I3318" s="2" t="s">
        <v>33</v>
      </c>
      <c r="J3318" s="2" t="s">
        <v>34</v>
      </c>
      <c r="K3318" s="2" t="s">
        <v>3940</v>
      </c>
      <c r="L3318" s="2" t="s">
        <v>3941</v>
      </c>
      <c r="M3318" s="2" t="s">
        <v>701</v>
      </c>
      <c r="N3318" s="2" t="s">
        <v>38</v>
      </c>
      <c r="O3318" s="2" t="s">
        <v>831</v>
      </c>
      <c r="P3318" s="2" t="s">
        <v>6336</v>
      </c>
      <c r="Q3318" s="2" t="s">
        <v>19230</v>
      </c>
      <c r="R3318" s="2" t="s">
        <v>40</v>
      </c>
      <c r="S3318" s="2" t="s">
        <v>19231</v>
      </c>
      <c r="T3318" s="2" t="s">
        <v>726</v>
      </c>
      <c r="U3318" s="2" t="s">
        <v>19232</v>
      </c>
      <c r="V3318" s="2" t="s">
        <v>19233</v>
      </c>
      <c r="W3318" s="1"/>
      <c r="X3318" s="2" t="s">
        <v>3824</v>
      </c>
      <c r="Y3318" s="2" t="s">
        <v>19132</v>
      </c>
      <c r="AA3318" t="str">
        <f t="shared" si="306"/>
        <v>2025-05</v>
      </c>
      <c r="AB3318" t="str">
        <f t="shared" si="307"/>
        <v>H1_2025</v>
      </c>
      <c r="AC3318">
        <f t="shared" si="308"/>
        <v>8421498</v>
      </c>
      <c r="AD3318">
        <f t="shared" si="309"/>
        <v>1000</v>
      </c>
      <c r="AE3318">
        <f t="shared" si="310"/>
        <v>1281498</v>
      </c>
      <c r="AF3318" t="str">
        <f t="shared" si="311"/>
        <v>Paid</v>
      </c>
    </row>
    <row r="3319" spans="1:32" ht="17.25" thickBot="1" x14ac:dyDescent="0.35">
      <c r="A3319" s="2" t="s">
        <v>19234</v>
      </c>
      <c r="B3319" s="2" t="s">
        <v>27</v>
      </c>
      <c r="C3319" s="2" t="s">
        <v>28</v>
      </c>
      <c r="D3319" s="2" t="s">
        <v>97</v>
      </c>
      <c r="E3319" s="2" t="s">
        <v>86</v>
      </c>
      <c r="F3319" s="2" t="s">
        <v>31</v>
      </c>
      <c r="G3319" s="2" t="s">
        <v>32</v>
      </c>
      <c r="H3319" s="1"/>
      <c r="I3319" s="2" t="s">
        <v>33</v>
      </c>
      <c r="J3319" s="2" t="s">
        <v>34</v>
      </c>
      <c r="K3319" s="2" t="s">
        <v>3940</v>
      </c>
      <c r="L3319" s="2" t="s">
        <v>3941</v>
      </c>
      <c r="M3319" s="2" t="s">
        <v>701</v>
      </c>
      <c r="N3319" s="2" t="s">
        <v>38</v>
      </c>
      <c r="O3319" s="2" t="s">
        <v>159</v>
      </c>
      <c r="P3319" s="2" t="s">
        <v>6336</v>
      </c>
      <c r="Q3319" s="2" t="s">
        <v>19235</v>
      </c>
      <c r="R3319" s="2" t="s">
        <v>40</v>
      </c>
      <c r="S3319" s="2" t="s">
        <v>19236</v>
      </c>
      <c r="T3319" s="2" t="s">
        <v>726</v>
      </c>
      <c r="U3319" s="2" t="s">
        <v>19237</v>
      </c>
      <c r="V3319" s="2" t="s">
        <v>19238</v>
      </c>
      <c r="W3319" s="1"/>
      <c r="X3319" s="2" t="s">
        <v>3824</v>
      </c>
      <c r="Y3319" s="2" t="s">
        <v>19132</v>
      </c>
      <c r="AA3319" t="str">
        <f t="shared" si="306"/>
        <v>2025-05</v>
      </c>
      <c r="AB3319" t="str">
        <f t="shared" si="307"/>
        <v>H1_2025</v>
      </c>
      <c r="AC3319">
        <f t="shared" si="308"/>
        <v>673719.84</v>
      </c>
      <c r="AD3319">
        <f t="shared" si="309"/>
        <v>80</v>
      </c>
      <c r="AE3319">
        <f t="shared" si="310"/>
        <v>102519.84</v>
      </c>
      <c r="AF3319" t="str">
        <f t="shared" si="311"/>
        <v>Paid</v>
      </c>
    </row>
    <row r="3320" spans="1:32" ht="17.25" thickBot="1" x14ac:dyDescent="0.35">
      <c r="A3320" s="2" t="s">
        <v>19239</v>
      </c>
      <c r="B3320" s="2" t="s">
        <v>27</v>
      </c>
      <c r="C3320" s="2" t="s">
        <v>28</v>
      </c>
      <c r="D3320" s="2" t="s">
        <v>97</v>
      </c>
      <c r="E3320" s="2" t="s">
        <v>86</v>
      </c>
      <c r="F3320" s="2" t="s">
        <v>31</v>
      </c>
      <c r="G3320" s="2" t="s">
        <v>32</v>
      </c>
      <c r="H3320" s="1"/>
      <c r="I3320" s="2" t="s">
        <v>33</v>
      </c>
      <c r="J3320" s="2" t="s">
        <v>34</v>
      </c>
      <c r="K3320" s="2" t="s">
        <v>3949</v>
      </c>
      <c r="L3320" s="2" t="s">
        <v>3950</v>
      </c>
      <c r="M3320" s="2" t="s">
        <v>701</v>
      </c>
      <c r="N3320" s="2" t="s">
        <v>38</v>
      </c>
      <c r="O3320" s="2" t="s">
        <v>12403</v>
      </c>
      <c r="P3320" s="2" t="s">
        <v>6336</v>
      </c>
      <c r="Q3320" s="2" t="s">
        <v>19240</v>
      </c>
      <c r="R3320" s="2" t="s">
        <v>40</v>
      </c>
      <c r="S3320" s="2" t="s">
        <v>19241</v>
      </c>
      <c r="T3320" s="2" t="s">
        <v>726</v>
      </c>
      <c r="U3320" s="2" t="s">
        <v>19242</v>
      </c>
      <c r="V3320" s="2" t="s">
        <v>19243</v>
      </c>
      <c r="W3320" s="1"/>
      <c r="X3320" s="2" t="s">
        <v>3824</v>
      </c>
      <c r="Y3320" s="2" t="s">
        <v>19132</v>
      </c>
      <c r="AA3320" t="str">
        <f t="shared" si="306"/>
        <v>2025-05</v>
      </c>
      <c r="AB3320" t="str">
        <f t="shared" si="307"/>
        <v>H1_2025</v>
      </c>
      <c r="AC3320">
        <f t="shared" si="308"/>
        <v>14316546.6</v>
      </c>
      <c r="AD3320">
        <f t="shared" si="309"/>
        <v>1700</v>
      </c>
      <c r="AE3320">
        <f t="shared" si="310"/>
        <v>2178546.6</v>
      </c>
      <c r="AF3320" t="str">
        <f t="shared" si="311"/>
        <v>Paid</v>
      </c>
    </row>
    <row r="3321" spans="1:32" ht="17.25" thickBot="1" x14ac:dyDescent="0.35">
      <c r="A3321" s="2" t="s">
        <v>19244</v>
      </c>
      <c r="B3321" s="2" t="s">
        <v>27</v>
      </c>
      <c r="C3321" s="2" t="s">
        <v>28</v>
      </c>
      <c r="D3321" s="2" t="s">
        <v>97</v>
      </c>
      <c r="E3321" s="2" t="s">
        <v>86</v>
      </c>
      <c r="F3321" s="2" t="s">
        <v>31</v>
      </c>
      <c r="G3321" s="2" t="s">
        <v>32</v>
      </c>
      <c r="H3321" s="1"/>
      <c r="I3321" s="2" t="s">
        <v>33</v>
      </c>
      <c r="J3321" s="2" t="s">
        <v>34</v>
      </c>
      <c r="K3321" s="2" t="s">
        <v>720</v>
      </c>
      <c r="L3321" s="2" t="s">
        <v>721</v>
      </c>
      <c r="M3321" s="2" t="s">
        <v>701</v>
      </c>
      <c r="N3321" s="2" t="s">
        <v>38</v>
      </c>
      <c r="O3321" s="2" t="s">
        <v>10121</v>
      </c>
      <c r="P3321" s="2" t="s">
        <v>6336</v>
      </c>
      <c r="Q3321" s="2" t="s">
        <v>19245</v>
      </c>
      <c r="R3321" s="2" t="s">
        <v>40</v>
      </c>
      <c r="S3321" s="2" t="s">
        <v>19246</v>
      </c>
      <c r="T3321" s="2" t="s">
        <v>726</v>
      </c>
      <c r="U3321" s="2" t="s">
        <v>12546</v>
      </c>
      <c r="V3321" s="2" t="s">
        <v>19247</v>
      </c>
      <c r="W3321" s="1"/>
      <c r="X3321" s="2" t="s">
        <v>3824</v>
      </c>
      <c r="Y3321" s="2" t="s">
        <v>19132</v>
      </c>
      <c r="AA3321" t="str">
        <f t="shared" si="306"/>
        <v>2025-05</v>
      </c>
      <c r="AB3321" t="str">
        <f t="shared" si="307"/>
        <v>H1_2025</v>
      </c>
      <c r="AC3321">
        <f t="shared" si="308"/>
        <v>25264494</v>
      </c>
      <c r="AD3321">
        <f t="shared" si="309"/>
        <v>3000</v>
      </c>
      <c r="AE3321">
        <f t="shared" si="310"/>
        <v>3844494</v>
      </c>
      <c r="AF3321" t="str">
        <f t="shared" si="311"/>
        <v>Paid</v>
      </c>
    </row>
    <row r="3322" spans="1:32" ht="17.25" thickBot="1" x14ac:dyDescent="0.35">
      <c r="A3322" s="2" t="s">
        <v>19248</v>
      </c>
      <c r="B3322" s="2" t="s">
        <v>27</v>
      </c>
      <c r="C3322" s="2" t="s">
        <v>28</v>
      </c>
      <c r="D3322" s="2" t="s">
        <v>97</v>
      </c>
      <c r="E3322" s="2" t="s">
        <v>86</v>
      </c>
      <c r="F3322" s="2" t="s">
        <v>31</v>
      </c>
      <c r="G3322" s="2" t="s">
        <v>32</v>
      </c>
      <c r="H3322" s="1"/>
      <c r="I3322" s="2" t="s">
        <v>33</v>
      </c>
      <c r="J3322" s="2" t="s">
        <v>34</v>
      </c>
      <c r="K3322" s="2" t="s">
        <v>720</v>
      </c>
      <c r="L3322" s="2" t="s">
        <v>721</v>
      </c>
      <c r="M3322" s="2" t="s">
        <v>701</v>
      </c>
      <c r="N3322" s="2" t="s">
        <v>38</v>
      </c>
      <c r="O3322" s="2" t="s">
        <v>10121</v>
      </c>
      <c r="P3322" s="2" t="s">
        <v>6336</v>
      </c>
      <c r="Q3322" s="2" t="s">
        <v>19245</v>
      </c>
      <c r="R3322" s="2" t="s">
        <v>40</v>
      </c>
      <c r="S3322" s="2" t="s">
        <v>19246</v>
      </c>
      <c r="T3322" s="2" t="s">
        <v>726</v>
      </c>
      <c r="U3322" s="2" t="s">
        <v>12546</v>
      </c>
      <c r="V3322" s="2" t="s">
        <v>19247</v>
      </c>
      <c r="W3322" s="1"/>
      <c r="X3322" s="2" t="s">
        <v>3824</v>
      </c>
      <c r="Y3322" s="2" t="s">
        <v>19132</v>
      </c>
      <c r="AA3322" t="str">
        <f t="shared" si="306"/>
        <v>2025-05</v>
      </c>
      <c r="AB3322" t="str">
        <f t="shared" si="307"/>
        <v>H1_2025</v>
      </c>
      <c r="AC3322">
        <f t="shared" si="308"/>
        <v>25264494</v>
      </c>
      <c r="AD3322">
        <f t="shared" si="309"/>
        <v>3000</v>
      </c>
      <c r="AE3322">
        <f t="shared" si="310"/>
        <v>3844494</v>
      </c>
      <c r="AF3322" t="str">
        <f t="shared" si="311"/>
        <v>Paid</v>
      </c>
    </row>
    <row r="3323" spans="1:32" ht="17.25" thickBot="1" x14ac:dyDescent="0.35">
      <c r="A3323" s="2" t="s">
        <v>19249</v>
      </c>
      <c r="B3323" s="2" t="s">
        <v>27</v>
      </c>
      <c r="C3323" s="2" t="s">
        <v>28</v>
      </c>
      <c r="D3323" s="2" t="s">
        <v>97</v>
      </c>
      <c r="E3323" s="2" t="s">
        <v>86</v>
      </c>
      <c r="F3323" s="2" t="s">
        <v>31</v>
      </c>
      <c r="G3323" s="2" t="s">
        <v>32</v>
      </c>
      <c r="H3323" s="1"/>
      <c r="I3323" s="2" t="s">
        <v>33</v>
      </c>
      <c r="J3323" s="2" t="s">
        <v>34</v>
      </c>
      <c r="K3323" s="2" t="s">
        <v>3957</v>
      </c>
      <c r="L3323" s="2" t="s">
        <v>3958</v>
      </c>
      <c r="M3323" s="2" t="s">
        <v>701</v>
      </c>
      <c r="N3323" s="2" t="s">
        <v>38</v>
      </c>
      <c r="O3323" s="2" t="s">
        <v>3924</v>
      </c>
      <c r="P3323" s="2" t="s">
        <v>6336</v>
      </c>
      <c r="Q3323" s="2" t="s">
        <v>19250</v>
      </c>
      <c r="R3323" s="2" t="s">
        <v>40</v>
      </c>
      <c r="S3323" s="2" t="s">
        <v>19251</v>
      </c>
      <c r="T3323" s="2" t="s">
        <v>726</v>
      </c>
      <c r="U3323" s="2" t="s">
        <v>19252</v>
      </c>
      <c r="V3323" s="2" t="s">
        <v>19253</v>
      </c>
      <c r="W3323" s="1"/>
      <c r="X3323" s="2" t="s">
        <v>3824</v>
      </c>
      <c r="Y3323" s="2" t="s">
        <v>19132</v>
      </c>
      <c r="AA3323" t="str">
        <f t="shared" si="306"/>
        <v>2025-05</v>
      </c>
      <c r="AB3323" t="str">
        <f t="shared" si="307"/>
        <v>H1_2025</v>
      </c>
      <c r="AC3323">
        <f t="shared" si="308"/>
        <v>28633093.199999999</v>
      </c>
      <c r="AD3323">
        <f t="shared" si="309"/>
        <v>3400</v>
      </c>
      <c r="AE3323">
        <f t="shared" si="310"/>
        <v>4357093.2</v>
      </c>
      <c r="AF3323" t="str">
        <f t="shared" si="311"/>
        <v>Paid</v>
      </c>
    </row>
    <row r="3324" spans="1:32" ht="17.25" thickBot="1" x14ac:dyDescent="0.35">
      <c r="A3324" s="2" t="s">
        <v>19254</v>
      </c>
      <c r="B3324" s="2" t="s">
        <v>27</v>
      </c>
      <c r="C3324" s="2" t="s">
        <v>28</v>
      </c>
      <c r="D3324" s="2" t="s">
        <v>97</v>
      </c>
      <c r="E3324" s="2" t="s">
        <v>86</v>
      </c>
      <c r="F3324" s="2" t="s">
        <v>31</v>
      </c>
      <c r="G3324" s="2" t="s">
        <v>32</v>
      </c>
      <c r="H3324" s="1"/>
      <c r="I3324" s="2" t="s">
        <v>33</v>
      </c>
      <c r="J3324" s="2" t="s">
        <v>34</v>
      </c>
      <c r="K3324" s="2" t="s">
        <v>15485</v>
      </c>
      <c r="L3324" s="2" t="s">
        <v>15486</v>
      </c>
      <c r="M3324" s="2" t="s">
        <v>701</v>
      </c>
      <c r="N3324" s="2" t="s">
        <v>38</v>
      </c>
      <c r="O3324" s="2" t="s">
        <v>19255</v>
      </c>
      <c r="P3324" s="2" t="s">
        <v>6336</v>
      </c>
      <c r="Q3324" s="2" t="s">
        <v>19256</v>
      </c>
      <c r="R3324" s="2" t="s">
        <v>40</v>
      </c>
      <c r="S3324" s="2" t="s">
        <v>19257</v>
      </c>
      <c r="T3324" s="2" t="s">
        <v>726</v>
      </c>
      <c r="U3324" s="2" t="s">
        <v>19258</v>
      </c>
      <c r="V3324" s="2" t="s">
        <v>19259</v>
      </c>
      <c r="W3324" s="1"/>
      <c r="X3324" s="2" t="s">
        <v>3824</v>
      </c>
      <c r="Y3324" s="2" t="s">
        <v>19132</v>
      </c>
      <c r="AA3324" t="str">
        <f t="shared" si="306"/>
        <v>2025-05</v>
      </c>
      <c r="AB3324" t="str">
        <f t="shared" si="307"/>
        <v>H1_2025</v>
      </c>
      <c r="AC3324">
        <f t="shared" si="308"/>
        <v>15158696.4</v>
      </c>
      <c r="AD3324">
        <f t="shared" si="309"/>
        <v>1800</v>
      </c>
      <c r="AE3324">
        <f t="shared" si="310"/>
        <v>2306696.4</v>
      </c>
      <c r="AF3324" t="str">
        <f t="shared" si="311"/>
        <v>Paid</v>
      </c>
    </row>
    <row r="3325" spans="1:32" ht="17.25" thickBot="1" x14ac:dyDescent="0.35">
      <c r="A3325" s="2" t="s">
        <v>19260</v>
      </c>
      <c r="B3325" s="2" t="s">
        <v>27</v>
      </c>
      <c r="C3325" s="2" t="s">
        <v>28</v>
      </c>
      <c r="D3325" s="2" t="s">
        <v>97</v>
      </c>
      <c r="E3325" s="2" t="s">
        <v>86</v>
      </c>
      <c r="F3325" s="2" t="s">
        <v>31</v>
      </c>
      <c r="G3325" s="2" t="s">
        <v>32</v>
      </c>
      <c r="H3325" s="1"/>
      <c r="I3325" s="2" t="s">
        <v>33</v>
      </c>
      <c r="J3325" s="2" t="s">
        <v>34</v>
      </c>
      <c r="K3325" s="2" t="s">
        <v>3970</v>
      </c>
      <c r="L3325" s="2" t="s">
        <v>3971</v>
      </c>
      <c r="M3325" s="2" t="s">
        <v>701</v>
      </c>
      <c r="N3325" s="2" t="s">
        <v>38</v>
      </c>
      <c r="O3325" s="2" t="s">
        <v>19261</v>
      </c>
      <c r="P3325" s="2" t="s">
        <v>4245</v>
      </c>
      <c r="Q3325" s="2" t="s">
        <v>19262</v>
      </c>
      <c r="R3325" s="2" t="s">
        <v>40</v>
      </c>
      <c r="S3325" s="2" t="s">
        <v>19263</v>
      </c>
      <c r="T3325" s="2" t="s">
        <v>19264</v>
      </c>
      <c r="U3325" s="2" t="s">
        <v>19265</v>
      </c>
      <c r="V3325" s="2" t="s">
        <v>19266</v>
      </c>
      <c r="W3325" s="1"/>
      <c r="X3325" s="2" t="s">
        <v>1120</v>
      </c>
      <c r="Y3325" s="2" t="s">
        <v>19132</v>
      </c>
      <c r="AA3325" t="str">
        <f t="shared" si="306"/>
        <v>2025-05</v>
      </c>
      <c r="AB3325" t="str">
        <f t="shared" si="307"/>
        <v>H1_2025</v>
      </c>
      <c r="AC3325">
        <f t="shared" si="308"/>
        <v>14617960.810000001</v>
      </c>
      <c r="AD3325">
        <f t="shared" si="309"/>
        <v>1638</v>
      </c>
      <c r="AE3325">
        <f t="shared" si="310"/>
        <v>2461480.81</v>
      </c>
      <c r="AF3325" t="str">
        <f t="shared" si="311"/>
        <v>Paid</v>
      </c>
    </row>
    <row r="3326" spans="1:32" ht="17.25" thickBot="1" x14ac:dyDescent="0.35">
      <c r="A3326" s="2" t="s">
        <v>19267</v>
      </c>
      <c r="B3326" s="2" t="s">
        <v>27</v>
      </c>
      <c r="C3326" s="2" t="s">
        <v>28</v>
      </c>
      <c r="D3326" s="2" t="s">
        <v>97</v>
      </c>
      <c r="E3326" s="2" t="s">
        <v>86</v>
      </c>
      <c r="F3326" s="2" t="s">
        <v>31</v>
      </c>
      <c r="G3326" s="2" t="s">
        <v>32</v>
      </c>
      <c r="H3326" s="1"/>
      <c r="I3326" s="2" t="s">
        <v>33</v>
      </c>
      <c r="J3326" s="2" t="s">
        <v>34</v>
      </c>
      <c r="K3326" s="2" t="s">
        <v>754</v>
      </c>
      <c r="L3326" s="2" t="s">
        <v>755</v>
      </c>
      <c r="M3326" s="2" t="s">
        <v>701</v>
      </c>
      <c r="N3326" s="2" t="s">
        <v>38</v>
      </c>
      <c r="O3326" s="2" t="s">
        <v>831</v>
      </c>
      <c r="P3326" s="2" t="s">
        <v>4245</v>
      </c>
      <c r="Q3326" s="2" t="s">
        <v>19268</v>
      </c>
      <c r="R3326" s="2" t="s">
        <v>40</v>
      </c>
      <c r="S3326" s="2" t="s">
        <v>19269</v>
      </c>
      <c r="T3326" s="2" t="s">
        <v>759</v>
      </c>
      <c r="U3326" s="2" t="s">
        <v>11068</v>
      </c>
      <c r="V3326" s="2" t="s">
        <v>19270</v>
      </c>
      <c r="W3326" s="1"/>
      <c r="X3326" s="2" t="s">
        <v>15185</v>
      </c>
      <c r="Y3326" s="2" t="s">
        <v>19132</v>
      </c>
      <c r="AA3326" t="str">
        <f t="shared" si="306"/>
        <v>2025-05</v>
      </c>
      <c r="AB3326" t="str">
        <f t="shared" si="307"/>
        <v>H1_2025</v>
      </c>
      <c r="AC3326">
        <f t="shared" si="308"/>
        <v>8924274</v>
      </c>
      <c r="AD3326">
        <f t="shared" si="309"/>
        <v>1000</v>
      </c>
      <c r="AE3326">
        <f t="shared" si="310"/>
        <v>1364274</v>
      </c>
      <c r="AF3326" t="str">
        <f t="shared" si="311"/>
        <v>Paid</v>
      </c>
    </row>
    <row r="3327" spans="1:32" ht="17.25" thickBot="1" x14ac:dyDescent="0.35">
      <c r="A3327" s="2" t="s">
        <v>19271</v>
      </c>
      <c r="B3327" s="2" t="s">
        <v>27</v>
      </c>
      <c r="C3327" s="2" t="s">
        <v>28</v>
      </c>
      <c r="D3327" s="2" t="s">
        <v>97</v>
      </c>
      <c r="E3327" s="2" t="s">
        <v>86</v>
      </c>
      <c r="F3327" s="2" t="s">
        <v>31</v>
      </c>
      <c r="G3327" s="2" t="s">
        <v>32</v>
      </c>
      <c r="H3327" s="1"/>
      <c r="I3327" s="2" t="s">
        <v>33</v>
      </c>
      <c r="J3327" s="2" t="s">
        <v>34</v>
      </c>
      <c r="K3327" s="2" t="s">
        <v>3978</v>
      </c>
      <c r="L3327" s="2" t="s">
        <v>3979</v>
      </c>
      <c r="M3327" s="2" t="s">
        <v>701</v>
      </c>
      <c r="N3327" s="2" t="s">
        <v>38</v>
      </c>
      <c r="O3327" s="2" t="s">
        <v>167</v>
      </c>
      <c r="P3327" s="2" t="s">
        <v>4245</v>
      </c>
      <c r="Q3327" s="2" t="s">
        <v>19272</v>
      </c>
      <c r="R3327" s="2" t="s">
        <v>40</v>
      </c>
      <c r="S3327" s="2" t="s">
        <v>19273</v>
      </c>
      <c r="T3327" s="2" t="s">
        <v>759</v>
      </c>
      <c r="U3327" s="2" t="s">
        <v>19274</v>
      </c>
      <c r="V3327" s="2" t="s">
        <v>19275</v>
      </c>
      <c r="W3327" s="1"/>
      <c r="X3327" s="2" t="s">
        <v>15185</v>
      </c>
      <c r="Y3327" s="2" t="s">
        <v>19132</v>
      </c>
      <c r="AA3327" t="str">
        <f t="shared" si="306"/>
        <v>2025-05</v>
      </c>
      <c r="AB3327" t="str">
        <f t="shared" si="307"/>
        <v>H1_2025</v>
      </c>
      <c r="AC3327">
        <f t="shared" si="308"/>
        <v>7139419.2000000002</v>
      </c>
      <c r="AD3327">
        <f t="shared" si="309"/>
        <v>800</v>
      </c>
      <c r="AE3327">
        <f t="shared" si="310"/>
        <v>1091419.2</v>
      </c>
      <c r="AF3327" t="str">
        <f t="shared" si="311"/>
        <v>Paid</v>
      </c>
    </row>
    <row r="3328" spans="1:32" ht="17.25" thickBot="1" x14ac:dyDescent="0.35">
      <c r="A3328" s="2" t="s">
        <v>19276</v>
      </c>
      <c r="B3328" s="2" t="s">
        <v>27</v>
      </c>
      <c r="C3328" s="2" t="s">
        <v>28</v>
      </c>
      <c r="D3328" s="2" t="s">
        <v>97</v>
      </c>
      <c r="E3328" s="2" t="s">
        <v>86</v>
      </c>
      <c r="F3328" s="2" t="s">
        <v>31</v>
      </c>
      <c r="G3328" s="2" t="s">
        <v>32</v>
      </c>
      <c r="H3328" s="1"/>
      <c r="I3328" s="2" t="s">
        <v>33</v>
      </c>
      <c r="J3328" s="2" t="s">
        <v>34</v>
      </c>
      <c r="K3328" s="2" t="s">
        <v>3978</v>
      </c>
      <c r="L3328" s="2" t="s">
        <v>3979</v>
      </c>
      <c r="M3328" s="2" t="s">
        <v>701</v>
      </c>
      <c r="N3328" s="2" t="s">
        <v>38</v>
      </c>
      <c r="O3328" s="2" t="s">
        <v>131</v>
      </c>
      <c r="P3328" s="2" t="s">
        <v>4245</v>
      </c>
      <c r="Q3328" s="2" t="s">
        <v>16598</v>
      </c>
      <c r="R3328" s="2" t="s">
        <v>40</v>
      </c>
      <c r="S3328" s="2" t="s">
        <v>19277</v>
      </c>
      <c r="T3328" s="2" t="s">
        <v>759</v>
      </c>
      <c r="U3328" s="2" t="s">
        <v>767</v>
      </c>
      <c r="V3328" s="2" t="s">
        <v>19278</v>
      </c>
      <c r="W3328" s="1"/>
      <c r="X3328" s="2" t="s">
        <v>15185</v>
      </c>
      <c r="Y3328" s="2" t="s">
        <v>19132</v>
      </c>
      <c r="AA3328" t="str">
        <f t="shared" si="306"/>
        <v>2025-05</v>
      </c>
      <c r="AB3328" t="str">
        <f t="shared" si="307"/>
        <v>H1_2025</v>
      </c>
      <c r="AC3328">
        <f t="shared" si="308"/>
        <v>356970.96</v>
      </c>
      <c r="AD3328">
        <f t="shared" si="309"/>
        <v>40</v>
      </c>
      <c r="AE3328">
        <f t="shared" si="310"/>
        <v>54570.96</v>
      </c>
      <c r="AF3328" t="str">
        <f t="shared" si="311"/>
        <v>Paid</v>
      </c>
    </row>
    <row r="3329" spans="1:32" ht="17.25" thickBot="1" x14ac:dyDescent="0.35">
      <c r="A3329" s="2" t="s">
        <v>19279</v>
      </c>
      <c r="B3329" s="2" t="s">
        <v>27</v>
      </c>
      <c r="C3329" s="2" t="s">
        <v>28</v>
      </c>
      <c r="D3329" s="2" t="s">
        <v>97</v>
      </c>
      <c r="E3329" s="2" t="s">
        <v>86</v>
      </c>
      <c r="F3329" s="2" t="s">
        <v>31</v>
      </c>
      <c r="G3329" s="2" t="s">
        <v>32</v>
      </c>
      <c r="H3329" s="1"/>
      <c r="I3329" s="2" t="s">
        <v>33</v>
      </c>
      <c r="J3329" s="2" t="s">
        <v>34</v>
      </c>
      <c r="K3329" s="2" t="s">
        <v>3986</v>
      </c>
      <c r="L3329" s="2" t="s">
        <v>3987</v>
      </c>
      <c r="M3329" s="2" t="s">
        <v>701</v>
      </c>
      <c r="N3329" s="2" t="s">
        <v>38</v>
      </c>
      <c r="O3329" s="2" t="s">
        <v>1644</v>
      </c>
      <c r="P3329" s="2" t="s">
        <v>6336</v>
      </c>
      <c r="Q3329" s="2" t="s">
        <v>19280</v>
      </c>
      <c r="R3329" s="2" t="s">
        <v>40</v>
      </c>
      <c r="S3329" s="2" t="s">
        <v>19281</v>
      </c>
      <c r="T3329" s="2" t="s">
        <v>726</v>
      </c>
      <c r="U3329" s="2" t="s">
        <v>19282</v>
      </c>
      <c r="V3329" s="2" t="s">
        <v>19283</v>
      </c>
      <c r="W3329" s="1"/>
      <c r="X3329" s="2" t="s">
        <v>3824</v>
      </c>
      <c r="Y3329" s="2" t="s">
        <v>19132</v>
      </c>
      <c r="AA3329" t="str">
        <f t="shared" si="306"/>
        <v>2025-05</v>
      </c>
      <c r="AB3329" t="str">
        <f t="shared" si="307"/>
        <v>H1_2025</v>
      </c>
      <c r="AC3329">
        <f t="shared" si="308"/>
        <v>10105797.6</v>
      </c>
      <c r="AD3329">
        <f t="shared" si="309"/>
        <v>1200</v>
      </c>
      <c r="AE3329">
        <f t="shared" si="310"/>
        <v>1537797.6</v>
      </c>
      <c r="AF3329" t="str">
        <f t="shared" si="311"/>
        <v>Paid</v>
      </c>
    </row>
    <row r="3330" spans="1:32" ht="17.25" thickBot="1" x14ac:dyDescent="0.35">
      <c r="A3330" s="2" t="s">
        <v>19284</v>
      </c>
      <c r="B3330" s="2" t="s">
        <v>27</v>
      </c>
      <c r="C3330" s="2" t="s">
        <v>28</v>
      </c>
      <c r="D3330" s="2" t="s">
        <v>97</v>
      </c>
      <c r="E3330" s="2" t="s">
        <v>86</v>
      </c>
      <c r="F3330" s="2" t="s">
        <v>31</v>
      </c>
      <c r="G3330" s="2" t="s">
        <v>32</v>
      </c>
      <c r="H3330" s="1"/>
      <c r="I3330" s="2" t="s">
        <v>33</v>
      </c>
      <c r="J3330" s="2" t="s">
        <v>34</v>
      </c>
      <c r="K3330" s="2" t="s">
        <v>4606</v>
      </c>
      <c r="L3330" s="2" t="s">
        <v>4607</v>
      </c>
      <c r="M3330" s="2" t="s">
        <v>701</v>
      </c>
      <c r="N3330" s="2" t="s">
        <v>38</v>
      </c>
      <c r="O3330" s="2" t="s">
        <v>15426</v>
      </c>
      <c r="P3330" s="2" t="s">
        <v>4245</v>
      </c>
      <c r="Q3330" s="2" t="s">
        <v>19285</v>
      </c>
      <c r="R3330" s="2" t="s">
        <v>40</v>
      </c>
      <c r="S3330" s="2" t="s">
        <v>19286</v>
      </c>
      <c r="T3330" s="2" t="s">
        <v>19287</v>
      </c>
      <c r="U3330" s="2" t="s">
        <v>19288</v>
      </c>
      <c r="V3330" s="2" t="s">
        <v>19289</v>
      </c>
      <c r="W3330" s="1"/>
      <c r="X3330" s="2" t="s">
        <v>19290</v>
      </c>
      <c r="Y3330" s="2" t="s">
        <v>19132</v>
      </c>
      <c r="AA3330" t="str">
        <f t="shared" si="306"/>
        <v>2025-05</v>
      </c>
      <c r="AB3330" t="str">
        <f t="shared" si="307"/>
        <v>H1_2025</v>
      </c>
      <c r="AC3330">
        <f t="shared" si="308"/>
        <v>25880394.600000001</v>
      </c>
      <c r="AD3330">
        <f t="shared" si="309"/>
        <v>2900</v>
      </c>
      <c r="AE3330">
        <f t="shared" si="310"/>
        <v>11720514.6</v>
      </c>
      <c r="AF3330" t="str">
        <f t="shared" si="311"/>
        <v>Paid</v>
      </c>
    </row>
    <row r="3331" spans="1:32" ht="17.25" thickBot="1" x14ac:dyDescent="0.35">
      <c r="A3331" s="2" t="s">
        <v>19291</v>
      </c>
      <c r="B3331" s="2" t="s">
        <v>27</v>
      </c>
      <c r="C3331" s="2" t="s">
        <v>28</v>
      </c>
      <c r="D3331" s="2" t="s">
        <v>97</v>
      </c>
      <c r="E3331" s="2" t="s">
        <v>86</v>
      </c>
      <c r="F3331" s="2" t="s">
        <v>31</v>
      </c>
      <c r="G3331" s="2" t="s">
        <v>32</v>
      </c>
      <c r="H3331" s="1"/>
      <c r="I3331" s="2" t="s">
        <v>33</v>
      </c>
      <c r="J3331" s="2" t="s">
        <v>34</v>
      </c>
      <c r="K3331" s="2" t="s">
        <v>4606</v>
      </c>
      <c r="L3331" s="2" t="s">
        <v>4607</v>
      </c>
      <c r="M3331" s="2" t="s">
        <v>701</v>
      </c>
      <c r="N3331" s="2" t="s">
        <v>38</v>
      </c>
      <c r="O3331" s="2" t="s">
        <v>156</v>
      </c>
      <c r="P3331" s="2" t="s">
        <v>4245</v>
      </c>
      <c r="Q3331" s="2" t="s">
        <v>19292</v>
      </c>
      <c r="R3331" s="2" t="s">
        <v>40</v>
      </c>
      <c r="S3331" s="2" t="s">
        <v>19293</v>
      </c>
      <c r="T3331" s="2" t="s">
        <v>759</v>
      </c>
      <c r="U3331" s="2" t="s">
        <v>19294</v>
      </c>
      <c r="V3331" s="2" t="s">
        <v>19295</v>
      </c>
      <c r="W3331" s="1"/>
      <c r="X3331" s="2" t="s">
        <v>15185</v>
      </c>
      <c r="Y3331" s="2" t="s">
        <v>19132</v>
      </c>
      <c r="AA3331" t="str">
        <f t="shared" si="306"/>
        <v>2025-05</v>
      </c>
      <c r="AB3331" t="str">
        <f t="shared" si="307"/>
        <v>H1_2025</v>
      </c>
      <c r="AC3331">
        <f t="shared" si="308"/>
        <v>178485.48</v>
      </c>
      <c r="AD3331">
        <f t="shared" si="309"/>
        <v>20</v>
      </c>
      <c r="AE3331">
        <f t="shared" si="310"/>
        <v>27285.48</v>
      </c>
      <c r="AF3331" t="str">
        <f t="shared" si="311"/>
        <v>Paid</v>
      </c>
    </row>
    <row r="3332" spans="1:32" ht="17.25" thickBot="1" x14ac:dyDescent="0.35">
      <c r="A3332" s="2" t="s">
        <v>19296</v>
      </c>
      <c r="B3332" s="2" t="s">
        <v>27</v>
      </c>
      <c r="C3332" s="2" t="s">
        <v>28</v>
      </c>
      <c r="D3332" s="2" t="s">
        <v>97</v>
      </c>
      <c r="E3332" s="2" t="s">
        <v>86</v>
      </c>
      <c r="F3332" s="2" t="s">
        <v>31</v>
      </c>
      <c r="G3332" s="2" t="s">
        <v>32</v>
      </c>
      <c r="H3332" s="1"/>
      <c r="I3332" s="2" t="s">
        <v>33</v>
      </c>
      <c r="J3332" s="2" t="s">
        <v>34</v>
      </c>
      <c r="K3332" s="2" t="s">
        <v>1642</v>
      </c>
      <c r="L3332" s="2" t="s">
        <v>1643</v>
      </c>
      <c r="M3332" s="2" t="s">
        <v>701</v>
      </c>
      <c r="N3332" s="2" t="s">
        <v>38</v>
      </c>
      <c r="O3332" s="2" t="s">
        <v>131</v>
      </c>
      <c r="P3332" s="2" t="s">
        <v>4245</v>
      </c>
      <c r="Q3332" s="2" t="s">
        <v>16598</v>
      </c>
      <c r="R3332" s="2" t="s">
        <v>40</v>
      </c>
      <c r="S3332" s="2" t="s">
        <v>19277</v>
      </c>
      <c r="T3332" s="2" t="s">
        <v>759</v>
      </c>
      <c r="U3332" s="2" t="s">
        <v>767</v>
      </c>
      <c r="V3332" s="2" t="s">
        <v>19278</v>
      </c>
      <c r="W3332" s="1"/>
      <c r="X3332" s="2" t="s">
        <v>15185</v>
      </c>
      <c r="Y3332" s="2" t="s">
        <v>19132</v>
      </c>
      <c r="AA3332" t="str">
        <f t="shared" ref="AA3332:AA3395" si="312">LEFT(E3332,7)</f>
        <v>2025-05</v>
      </c>
      <c r="AB3332" t="str">
        <f t="shared" ref="AB3332:AB3395" si="313">IF(AND($AA3332&gt;="2025-01",$AA3332&lt;="2025-06"),"H1_2025",IF(AND($AA3332&gt;="2026-01",$AA3332&lt;="2026-06"),"H1_2026",""))</f>
        <v>H1_2025</v>
      </c>
      <c r="AC3332">
        <f t="shared" ref="AC3332:AC3395" si="314">IFERROR(VALUE(SUBSTITUTE(S3332,",","")),0)</f>
        <v>356970.96</v>
      </c>
      <c r="AD3332">
        <f t="shared" ref="AD3332:AD3395" si="315">IFERROR(VALUE(SUBSTITUTE(O3332,",","")),0)</f>
        <v>40</v>
      </c>
      <c r="AE3332">
        <f t="shared" ref="AE3332:AE3395" si="316">IFERROR(VALUE(SUBSTITUTE(V3332,",","")),0)</f>
        <v>54570.96</v>
      </c>
      <c r="AF3332" t="str">
        <f t="shared" ref="AF3332:AF3395" si="317">IF(ISNUMBER(SEARCH("FOC",W3332)),"FOC",IF(ISNUMBER(SEARCH("샘플",W3332)),"Sample","Paid"))</f>
        <v>Paid</v>
      </c>
    </row>
    <row r="3333" spans="1:32" ht="17.25" thickBot="1" x14ac:dyDescent="0.35">
      <c r="A3333" s="2" t="s">
        <v>19297</v>
      </c>
      <c r="B3333" s="2" t="s">
        <v>27</v>
      </c>
      <c r="C3333" s="2" t="s">
        <v>28</v>
      </c>
      <c r="D3333" s="2" t="s">
        <v>97</v>
      </c>
      <c r="E3333" s="2" t="s">
        <v>86</v>
      </c>
      <c r="F3333" s="2" t="s">
        <v>31</v>
      </c>
      <c r="G3333" s="2" t="s">
        <v>32</v>
      </c>
      <c r="H3333" s="1"/>
      <c r="I3333" s="2" t="s">
        <v>33</v>
      </c>
      <c r="J3333" s="2" t="s">
        <v>34</v>
      </c>
      <c r="K3333" s="2" t="s">
        <v>1642</v>
      </c>
      <c r="L3333" s="2" t="s">
        <v>1643</v>
      </c>
      <c r="M3333" s="2" t="s">
        <v>701</v>
      </c>
      <c r="N3333" s="2" t="s">
        <v>38</v>
      </c>
      <c r="O3333" s="2" t="s">
        <v>4713</v>
      </c>
      <c r="P3333" s="2" t="s">
        <v>4245</v>
      </c>
      <c r="Q3333" s="2" t="s">
        <v>19298</v>
      </c>
      <c r="R3333" s="2" t="s">
        <v>40</v>
      </c>
      <c r="S3333" s="2" t="s">
        <v>19299</v>
      </c>
      <c r="T3333" s="2" t="s">
        <v>759</v>
      </c>
      <c r="U3333" s="2" t="s">
        <v>4717</v>
      </c>
      <c r="V3333" s="2" t="s">
        <v>19300</v>
      </c>
      <c r="W3333" s="1"/>
      <c r="X3333" s="2" t="s">
        <v>15185</v>
      </c>
      <c r="Y3333" s="2" t="s">
        <v>19132</v>
      </c>
      <c r="AA3333" t="str">
        <f t="shared" si="312"/>
        <v>2025-05</v>
      </c>
      <c r="AB3333" t="str">
        <f t="shared" si="313"/>
        <v>H1_2025</v>
      </c>
      <c r="AC3333">
        <f t="shared" si="314"/>
        <v>178485480</v>
      </c>
      <c r="AD3333">
        <f t="shared" si="315"/>
        <v>20000</v>
      </c>
      <c r="AE3333">
        <f t="shared" si="316"/>
        <v>27285480</v>
      </c>
      <c r="AF3333" t="str">
        <f t="shared" si="317"/>
        <v>Paid</v>
      </c>
    </row>
    <row r="3334" spans="1:32" ht="17.25" thickBot="1" x14ac:dyDescent="0.35">
      <c r="A3334" s="2" t="s">
        <v>19301</v>
      </c>
      <c r="B3334" s="2" t="s">
        <v>27</v>
      </c>
      <c r="C3334" s="2" t="s">
        <v>28</v>
      </c>
      <c r="D3334" s="2" t="s">
        <v>97</v>
      </c>
      <c r="E3334" s="2" t="s">
        <v>86</v>
      </c>
      <c r="F3334" s="2" t="s">
        <v>31</v>
      </c>
      <c r="G3334" s="2" t="s">
        <v>32</v>
      </c>
      <c r="H3334" s="1"/>
      <c r="I3334" s="2" t="s">
        <v>33</v>
      </c>
      <c r="J3334" s="2" t="s">
        <v>34</v>
      </c>
      <c r="K3334" s="2" t="s">
        <v>8322</v>
      </c>
      <c r="L3334" s="2" t="s">
        <v>8323</v>
      </c>
      <c r="M3334" s="2" t="s">
        <v>701</v>
      </c>
      <c r="N3334" s="2" t="s">
        <v>38</v>
      </c>
      <c r="O3334" s="2" t="s">
        <v>831</v>
      </c>
      <c r="P3334" s="2" t="s">
        <v>19302</v>
      </c>
      <c r="Q3334" s="2" t="s">
        <v>19303</v>
      </c>
      <c r="R3334" s="2" t="s">
        <v>40</v>
      </c>
      <c r="S3334" s="2" t="s">
        <v>19304</v>
      </c>
      <c r="T3334" s="2" t="s">
        <v>8326</v>
      </c>
      <c r="U3334" s="2" t="s">
        <v>19305</v>
      </c>
      <c r="V3334" s="2" t="s">
        <v>19306</v>
      </c>
      <c r="W3334" s="1"/>
      <c r="X3334" s="2" t="s">
        <v>3824</v>
      </c>
      <c r="Y3334" s="2" t="s">
        <v>19132</v>
      </c>
      <c r="AA3334" t="str">
        <f t="shared" si="312"/>
        <v>2025-05</v>
      </c>
      <c r="AB3334" t="str">
        <f t="shared" si="313"/>
        <v>H1_2025</v>
      </c>
      <c r="AC3334">
        <f t="shared" si="314"/>
        <v>10404670</v>
      </c>
      <c r="AD3334">
        <f t="shared" si="315"/>
        <v>1000</v>
      </c>
      <c r="AE3334">
        <f t="shared" si="316"/>
        <v>1584670</v>
      </c>
      <c r="AF3334" t="str">
        <f t="shared" si="317"/>
        <v>Paid</v>
      </c>
    </row>
    <row r="3335" spans="1:32" ht="27.75" thickBot="1" x14ac:dyDescent="0.35">
      <c r="A3335" s="2" t="s">
        <v>19307</v>
      </c>
      <c r="B3335" s="2" t="s">
        <v>27</v>
      </c>
      <c r="C3335" s="2" t="s">
        <v>28</v>
      </c>
      <c r="D3335" s="2" t="s">
        <v>97</v>
      </c>
      <c r="E3335" s="2" t="s">
        <v>86</v>
      </c>
      <c r="F3335" s="2" t="s">
        <v>31</v>
      </c>
      <c r="G3335" s="2" t="s">
        <v>32</v>
      </c>
      <c r="H3335" s="1"/>
      <c r="I3335" s="2" t="s">
        <v>33</v>
      </c>
      <c r="J3335" s="2" t="s">
        <v>34</v>
      </c>
      <c r="K3335" s="2" t="s">
        <v>3065</v>
      </c>
      <c r="L3335" s="2" t="s">
        <v>3066</v>
      </c>
      <c r="M3335" s="2" t="s">
        <v>3067</v>
      </c>
      <c r="N3335" s="2" t="s">
        <v>38</v>
      </c>
      <c r="O3335" s="2" t="s">
        <v>167</v>
      </c>
      <c r="P3335" s="2" t="s">
        <v>4920</v>
      </c>
      <c r="Q3335" s="2" t="s">
        <v>19308</v>
      </c>
      <c r="R3335" s="2" t="s">
        <v>40</v>
      </c>
      <c r="S3335" s="2" t="s">
        <v>19309</v>
      </c>
      <c r="T3335" s="2" t="s">
        <v>2909</v>
      </c>
      <c r="U3335" s="2" t="s">
        <v>19310</v>
      </c>
      <c r="V3335" s="2" t="s">
        <v>19311</v>
      </c>
      <c r="W3335" s="1"/>
      <c r="X3335" s="2" t="s">
        <v>7059</v>
      </c>
      <c r="Y3335" s="2" t="s">
        <v>19132</v>
      </c>
      <c r="AA3335" t="str">
        <f t="shared" si="312"/>
        <v>2025-05</v>
      </c>
      <c r="AB3335" t="str">
        <f t="shared" si="313"/>
        <v>H1_2025</v>
      </c>
      <c r="AC3335">
        <f t="shared" si="314"/>
        <v>6804235.2000000002</v>
      </c>
      <c r="AD3335">
        <f t="shared" si="315"/>
        <v>800</v>
      </c>
      <c r="AE3335">
        <f t="shared" si="316"/>
        <v>1844235.2</v>
      </c>
      <c r="AF3335" t="str">
        <f t="shared" si="317"/>
        <v>Paid</v>
      </c>
    </row>
    <row r="3336" spans="1:32" ht="17.25" thickBot="1" x14ac:dyDescent="0.35">
      <c r="A3336" s="2" t="s">
        <v>19312</v>
      </c>
      <c r="B3336" s="2" t="s">
        <v>27</v>
      </c>
      <c r="C3336" s="2" t="s">
        <v>28</v>
      </c>
      <c r="D3336" s="2" t="s">
        <v>97</v>
      </c>
      <c r="E3336" s="2" t="s">
        <v>86</v>
      </c>
      <c r="F3336" s="2" t="s">
        <v>31</v>
      </c>
      <c r="G3336" s="2" t="s">
        <v>32</v>
      </c>
      <c r="H3336" s="1"/>
      <c r="I3336" s="2" t="s">
        <v>33</v>
      </c>
      <c r="J3336" s="2" t="s">
        <v>34</v>
      </c>
      <c r="K3336" s="2" t="s">
        <v>6453</v>
      </c>
      <c r="L3336" s="2" t="s">
        <v>6454</v>
      </c>
      <c r="M3336" s="2" t="s">
        <v>37</v>
      </c>
      <c r="N3336" s="2" t="s">
        <v>38</v>
      </c>
      <c r="O3336" s="2" t="s">
        <v>131</v>
      </c>
      <c r="P3336" s="2" t="s">
        <v>16251</v>
      </c>
      <c r="Q3336" s="2" t="s">
        <v>19313</v>
      </c>
      <c r="R3336" s="2" t="s">
        <v>40</v>
      </c>
      <c r="S3336" s="2" t="s">
        <v>19314</v>
      </c>
      <c r="T3336" s="2" t="s">
        <v>107</v>
      </c>
      <c r="U3336" s="2" t="s">
        <v>5704</v>
      </c>
      <c r="V3336" s="2" t="s">
        <v>19315</v>
      </c>
      <c r="W3336" s="1"/>
      <c r="X3336" s="2" t="s">
        <v>3393</v>
      </c>
      <c r="Y3336" s="2" t="s">
        <v>19132</v>
      </c>
      <c r="AA3336" t="str">
        <f t="shared" si="312"/>
        <v>2025-05</v>
      </c>
      <c r="AB3336" t="str">
        <f t="shared" si="313"/>
        <v>H1_2025</v>
      </c>
      <c r="AC3336">
        <f t="shared" si="314"/>
        <v>298313.76</v>
      </c>
      <c r="AD3336">
        <f t="shared" si="315"/>
        <v>40</v>
      </c>
      <c r="AE3336">
        <f t="shared" si="316"/>
        <v>74313.759999999995</v>
      </c>
      <c r="AF3336" t="str">
        <f t="shared" si="317"/>
        <v>Paid</v>
      </c>
    </row>
    <row r="3337" spans="1:32" ht="17.25" thickBot="1" x14ac:dyDescent="0.35">
      <c r="A3337" s="2" t="s">
        <v>19316</v>
      </c>
      <c r="B3337" s="2" t="s">
        <v>27</v>
      </c>
      <c r="C3337" s="2" t="s">
        <v>28</v>
      </c>
      <c r="D3337" s="2" t="s">
        <v>97</v>
      </c>
      <c r="E3337" s="2" t="s">
        <v>86</v>
      </c>
      <c r="F3337" s="2" t="s">
        <v>31</v>
      </c>
      <c r="G3337" s="2" t="s">
        <v>32</v>
      </c>
      <c r="H3337" s="1"/>
      <c r="I3337" s="2" t="s">
        <v>33</v>
      </c>
      <c r="J3337" s="2" t="s">
        <v>34</v>
      </c>
      <c r="K3337" s="2" t="s">
        <v>6453</v>
      </c>
      <c r="L3337" s="2" t="s">
        <v>6454</v>
      </c>
      <c r="M3337" s="2" t="s">
        <v>37</v>
      </c>
      <c r="N3337" s="2" t="s">
        <v>38</v>
      </c>
      <c r="O3337" s="2" t="s">
        <v>167</v>
      </c>
      <c r="P3337" s="2" t="s">
        <v>16251</v>
      </c>
      <c r="Q3337" s="2" t="s">
        <v>19317</v>
      </c>
      <c r="R3337" s="2" t="s">
        <v>40</v>
      </c>
      <c r="S3337" s="2" t="s">
        <v>19318</v>
      </c>
      <c r="T3337" s="2" t="s">
        <v>107</v>
      </c>
      <c r="U3337" s="2" t="s">
        <v>19319</v>
      </c>
      <c r="V3337" s="2" t="s">
        <v>19320</v>
      </c>
      <c r="W3337" s="1"/>
      <c r="X3337" s="2" t="s">
        <v>3393</v>
      </c>
      <c r="Y3337" s="2" t="s">
        <v>19132</v>
      </c>
      <c r="AA3337" t="str">
        <f t="shared" si="312"/>
        <v>2025-05</v>
      </c>
      <c r="AB3337" t="str">
        <f t="shared" si="313"/>
        <v>H1_2025</v>
      </c>
      <c r="AC3337">
        <f t="shared" si="314"/>
        <v>5966275.2000000002</v>
      </c>
      <c r="AD3337">
        <f t="shared" si="315"/>
        <v>800</v>
      </c>
      <c r="AE3337">
        <f t="shared" si="316"/>
        <v>1486275.2</v>
      </c>
      <c r="AF3337" t="str">
        <f t="shared" si="317"/>
        <v>Paid</v>
      </c>
    </row>
    <row r="3338" spans="1:32" ht="17.25" thickBot="1" x14ac:dyDescent="0.35">
      <c r="A3338" s="2" t="s">
        <v>19321</v>
      </c>
      <c r="B3338" s="2" t="s">
        <v>27</v>
      </c>
      <c r="C3338" s="2" t="s">
        <v>28</v>
      </c>
      <c r="D3338" s="2" t="s">
        <v>97</v>
      </c>
      <c r="E3338" s="2" t="s">
        <v>86</v>
      </c>
      <c r="F3338" s="2" t="s">
        <v>31</v>
      </c>
      <c r="G3338" s="2" t="s">
        <v>32</v>
      </c>
      <c r="H3338" s="1"/>
      <c r="I3338" s="2" t="s">
        <v>33</v>
      </c>
      <c r="J3338" s="2" t="s">
        <v>34</v>
      </c>
      <c r="K3338" s="2" t="s">
        <v>5357</v>
      </c>
      <c r="L3338" s="2" t="s">
        <v>5358</v>
      </c>
      <c r="M3338" s="2" t="s">
        <v>37</v>
      </c>
      <c r="N3338" s="2" t="s">
        <v>38</v>
      </c>
      <c r="O3338" s="2" t="s">
        <v>3068</v>
      </c>
      <c r="P3338" s="2" t="s">
        <v>12815</v>
      </c>
      <c r="Q3338" s="2" t="s">
        <v>1709</v>
      </c>
      <c r="R3338" s="2" t="s">
        <v>40</v>
      </c>
      <c r="S3338" s="2" t="s">
        <v>19322</v>
      </c>
      <c r="T3338" s="2" t="s">
        <v>1136</v>
      </c>
      <c r="U3338" s="2" t="s">
        <v>19323</v>
      </c>
      <c r="V3338" s="2" t="s">
        <v>19324</v>
      </c>
      <c r="W3338" s="1"/>
      <c r="X3338" s="2" t="s">
        <v>1457</v>
      </c>
      <c r="Y3338" s="2" t="s">
        <v>19132</v>
      </c>
      <c r="AA3338" t="str">
        <f t="shared" si="312"/>
        <v>2025-05</v>
      </c>
      <c r="AB3338" t="str">
        <f t="shared" si="313"/>
        <v>H1_2025</v>
      </c>
      <c r="AC3338">
        <f t="shared" si="314"/>
        <v>3910480</v>
      </c>
      <c r="AD3338">
        <f t="shared" si="315"/>
        <v>700</v>
      </c>
      <c r="AE3338">
        <f t="shared" si="316"/>
        <v>970480</v>
      </c>
      <c r="AF3338" t="str">
        <f t="shared" si="317"/>
        <v>Paid</v>
      </c>
    </row>
    <row r="3339" spans="1:32" ht="17.25" thickBot="1" x14ac:dyDescent="0.35">
      <c r="A3339" s="2" t="s">
        <v>19325</v>
      </c>
      <c r="B3339" s="2" t="s">
        <v>27</v>
      </c>
      <c r="C3339" s="2" t="s">
        <v>28</v>
      </c>
      <c r="D3339" s="2" t="s">
        <v>97</v>
      </c>
      <c r="E3339" s="2" t="s">
        <v>86</v>
      </c>
      <c r="F3339" s="2" t="s">
        <v>31</v>
      </c>
      <c r="G3339" s="2" t="s">
        <v>32</v>
      </c>
      <c r="H3339" s="1"/>
      <c r="I3339" s="2" t="s">
        <v>33</v>
      </c>
      <c r="J3339" s="2" t="s">
        <v>34</v>
      </c>
      <c r="K3339" s="2" t="s">
        <v>5357</v>
      </c>
      <c r="L3339" s="2" t="s">
        <v>5358</v>
      </c>
      <c r="M3339" s="2" t="s">
        <v>37</v>
      </c>
      <c r="N3339" s="2" t="s">
        <v>38</v>
      </c>
      <c r="O3339" s="2" t="s">
        <v>156</v>
      </c>
      <c r="P3339" s="2" t="s">
        <v>12815</v>
      </c>
      <c r="Q3339" s="2" t="s">
        <v>13448</v>
      </c>
      <c r="R3339" s="2" t="s">
        <v>40</v>
      </c>
      <c r="S3339" s="2" t="s">
        <v>19326</v>
      </c>
      <c r="T3339" s="2" t="s">
        <v>1136</v>
      </c>
      <c r="U3339" s="2" t="s">
        <v>1710</v>
      </c>
      <c r="V3339" s="2" t="s">
        <v>19327</v>
      </c>
      <c r="W3339" s="1"/>
      <c r="X3339" s="2" t="s">
        <v>1457</v>
      </c>
      <c r="Y3339" s="2" t="s">
        <v>19132</v>
      </c>
      <c r="AA3339" t="str">
        <f t="shared" si="312"/>
        <v>2025-05</v>
      </c>
      <c r="AB3339" t="str">
        <f t="shared" si="313"/>
        <v>H1_2025</v>
      </c>
      <c r="AC3339">
        <f t="shared" si="314"/>
        <v>111728</v>
      </c>
      <c r="AD3339">
        <f t="shared" si="315"/>
        <v>20</v>
      </c>
      <c r="AE3339">
        <f t="shared" si="316"/>
        <v>27728</v>
      </c>
      <c r="AF3339" t="str">
        <f t="shared" si="317"/>
        <v>Paid</v>
      </c>
    </row>
    <row r="3340" spans="1:32" ht="17.25" thickBot="1" x14ac:dyDescent="0.35">
      <c r="A3340" s="2" t="s">
        <v>19328</v>
      </c>
      <c r="B3340" s="2" t="s">
        <v>27</v>
      </c>
      <c r="C3340" s="2" t="s">
        <v>28</v>
      </c>
      <c r="D3340" s="2" t="s">
        <v>97</v>
      </c>
      <c r="E3340" s="2" t="s">
        <v>86</v>
      </c>
      <c r="F3340" s="2" t="s">
        <v>31</v>
      </c>
      <c r="G3340" s="2" t="s">
        <v>32</v>
      </c>
      <c r="H3340" s="1"/>
      <c r="I3340" s="2" t="s">
        <v>33</v>
      </c>
      <c r="J3340" s="2" t="s">
        <v>34</v>
      </c>
      <c r="K3340" s="2" t="s">
        <v>1111</v>
      </c>
      <c r="L3340" s="2" t="s">
        <v>1112</v>
      </c>
      <c r="M3340" s="2" t="s">
        <v>37</v>
      </c>
      <c r="N3340" s="2" t="s">
        <v>38</v>
      </c>
      <c r="O3340" s="2" t="s">
        <v>2299</v>
      </c>
      <c r="P3340" s="2" t="s">
        <v>18819</v>
      </c>
      <c r="Q3340" s="2" t="s">
        <v>14701</v>
      </c>
      <c r="R3340" s="2" t="s">
        <v>40</v>
      </c>
      <c r="S3340" s="2" t="s">
        <v>19329</v>
      </c>
      <c r="T3340" s="2" t="s">
        <v>1117</v>
      </c>
      <c r="U3340" s="2" t="s">
        <v>19330</v>
      </c>
      <c r="V3340" s="2" t="s">
        <v>19331</v>
      </c>
      <c r="W3340" s="1"/>
      <c r="X3340" s="2" t="s">
        <v>1457</v>
      </c>
      <c r="Y3340" s="2" t="s">
        <v>19132</v>
      </c>
      <c r="AA3340" t="str">
        <f t="shared" si="312"/>
        <v>2025-05</v>
      </c>
      <c r="AB3340" t="str">
        <f t="shared" si="313"/>
        <v>H1_2025</v>
      </c>
      <c r="AC3340">
        <f t="shared" si="314"/>
        <v>1156384.8</v>
      </c>
      <c r="AD3340">
        <f t="shared" si="315"/>
        <v>276</v>
      </c>
      <c r="AE3340">
        <f t="shared" si="316"/>
        <v>286984.8</v>
      </c>
      <c r="AF3340" t="str">
        <f t="shared" si="317"/>
        <v>Paid</v>
      </c>
    </row>
    <row r="3341" spans="1:32" ht="17.25" thickBot="1" x14ac:dyDescent="0.35">
      <c r="A3341" s="2" t="s">
        <v>19332</v>
      </c>
      <c r="B3341" s="2" t="s">
        <v>27</v>
      </c>
      <c r="C3341" s="2" t="s">
        <v>28</v>
      </c>
      <c r="D3341" s="2" t="s">
        <v>97</v>
      </c>
      <c r="E3341" s="2" t="s">
        <v>86</v>
      </c>
      <c r="F3341" s="2" t="s">
        <v>31</v>
      </c>
      <c r="G3341" s="2" t="s">
        <v>32</v>
      </c>
      <c r="H3341" s="1"/>
      <c r="I3341" s="2" t="s">
        <v>33</v>
      </c>
      <c r="J3341" s="2" t="s">
        <v>34</v>
      </c>
      <c r="K3341" s="2" t="s">
        <v>6488</v>
      </c>
      <c r="L3341" s="2" t="s">
        <v>6489</v>
      </c>
      <c r="M3341" s="2" t="s">
        <v>37</v>
      </c>
      <c r="N3341" s="2" t="s">
        <v>38</v>
      </c>
      <c r="O3341" s="2" t="s">
        <v>3068</v>
      </c>
      <c r="P3341" s="2" t="s">
        <v>12815</v>
      </c>
      <c r="Q3341" s="2" t="s">
        <v>1709</v>
      </c>
      <c r="R3341" s="2" t="s">
        <v>40</v>
      </c>
      <c r="S3341" s="2" t="s">
        <v>19322</v>
      </c>
      <c r="T3341" s="2" t="s">
        <v>1136</v>
      </c>
      <c r="U3341" s="2" t="s">
        <v>19323</v>
      </c>
      <c r="V3341" s="2" t="s">
        <v>19324</v>
      </c>
      <c r="W3341" s="1"/>
      <c r="X3341" s="2" t="s">
        <v>1457</v>
      </c>
      <c r="Y3341" s="2" t="s">
        <v>19132</v>
      </c>
      <c r="AA3341" t="str">
        <f t="shared" si="312"/>
        <v>2025-05</v>
      </c>
      <c r="AB3341" t="str">
        <f t="shared" si="313"/>
        <v>H1_2025</v>
      </c>
      <c r="AC3341">
        <f t="shared" si="314"/>
        <v>3910480</v>
      </c>
      <c r="AD3341">
        <f t="shared" si="315"/>
        <v>700</v>
      </c>
      <c r="AE3341">
        <f t="shared" si="316"/>
        <v>970480</v>
      </c>
      <c r="AF3341" t="str">
        <f t="shared" si="317"/>
        <v>Paid</v>
      </c>
    </row>
    <row r="3342" spans="1:32" ht="17.25" thickBot="1" x14ac:dyDescent="0.35">
      <c r="A3342" s="2" t="s">
        <v>19333</v>
      </c>
      <c r="B3342" s="2" t="s">
        <v>27</v>
      </c>
      <c r="C3342" s="2" t="s">
        <v>28</v>
      </c>
      <c r="D3342" s="2" t="s">
        <v>97</v>
      </c>
      <c r="E3342" s="2" t="s">
        <v>86</v>
      </c>
      <c r="F3342" s="2" t="s">
        <v>31</v>
      </c>
      <c r="G3342" s="2" t="s">
        <v>32</v>
      </c>
      <c r="H3342" s="1"/>
      <c r="I3342" s="2" t="s">
        <v>33</v>
      </c>
      <c r="J3342" s="2" t="s">
        <v>34</v>
      </c>
      <c r="K3342" s="2" t="s">
        <v>6543</v>
      </c>
      <c r="L3342" s="2" t="s">
        <v>6544</v>
      </c>
      <c r="M3342" s="2" t="s">
        <v>37</v>
      </c>
      <c r="N3342" s="2" t="s">
        <v>38</v>
      </c>
      <c r="O3342" s="2" t="s">
        <v>280</v>
      </c>
      <c r="P3342" s="2" t="s">
        <v>7644</v>
      </c>
      <c r="Q3342" s="2" t="s">
        <v>19334</v>
      </c>
      <c r="R3342" s="2" t="s">
        <v>40</v>
      </c>
      <c r="S3342" s="2" t="s">
        <v>19335</v>
      </c>
      <c r="T3342" s="2" t="s">
        <v>4667</v>
      </c>
      <c r="U3342" s="2" t="s">
        <v>19336</v>
      </c>
      <c r="V3342" s="2" t="s">
        <v>19337</v>
      </c>
      <c r="W3342" s="1"/>
      <c r="X3342" s="2" t="s">
        <v>3393</v>
      </c>
      <c r="Y3342" s="2" t="s">
        <v>19132</v>
      </c>
      <c r="AA3342" t="str">
        <f t="shared" si="312"/>
        <v>2025-05</v>
      </c>
      <c r="AB3342" t="str">
        <f t="shared" si="313"/>
        <v>H1_2025</v>
      </c>
      <c r="AC3342">
        <f t="shared" si="314"/>
        <v>309905.53999999998</v>
      </c>
      <c r="AD3342">
        <f t="shared" si="315"/>
        <v>35</v>
      </c>
      <c r="AE3342">
        <f t="shared" si="316"/>
        <v>77155.539999999994</v>
      </c>
      <c r="AF3342" t="str">
        <f t="shared" si="317"/>
        <v>Paid</v>
      </c>
    </row>
    <row r="3343" spans="1:32" ht="17.25" thickBot="1" x14ac:dyDescent="0.35">
      <c r="A3343" s="2" t="s">
        <v>19338</v>
      </c>
      <c r="B3343" s="2" t="s">
        <v>27</v>
      </c>
      <c r="C3343" s="2" t="s">
        <v>28</v>
      </c>
      <c r="D3343" s="2" t="s">
        <v>97</v>
      </c>
      <c r="E3343" s="2" t="s">
        <v>86</v>
      </c>
      <c r="F3343" s="2" t="s">
        <v>31</v>
      </c>
      <c r="G3343" s="2" t="s">
        <v>32</v>
      </c>
      <c r="H3343" s="1"/>
      <c r="I3343" s="2" t="s">
        <v>33</v>
      </c>
      <c r="J3343" s="2" t="s">
        <v>34</v>
      </c>
      <c r="K3343" s="2" t="s">
        <v>6543</v>
      </c>
      <c r="L3343" s="2" t="s">
        <v>6544</v>
      </c>
      <c r="M3343" s="2" t="s">
        <v>37</v>
      </c>
      <c r="N3343" s="2" t="s">
        <v>38</v>
      </c>
      <c r="O3343" s="2" t="s">
        <v>4176</v>
      </c>
      <c r="P3343" s="2" t="s">
        <v>7644</v>
      </c>
      <c r="Q3343" s="2" t="s">
        <v>19339</v>
      </c>
      <c r="R3343" s="2" t="s">
        <v>40</v>
      </c>
      <c r="S3343" s="2" t="s">
        <v>19340</v>
      </c>
      <c r="T3343" s="2" t="s">
        <v>4667</v>
      </c>
      <c r="U3343" s="2" t="s">
        <v>19341</v>
      </c>
      <c r="V3343" s="2" t="s">
        <v>19342</v>
      </c>
      <c r="W3343" s="1"/>
      <c r="X3343" s="2" t="s">
        <v>3393</v>
      </c>
      <c r="Y3343" s="2" t="s">
        <v>19132</v>
      </c>
      <c r="AA3343" t="str">
        <f t="shared" si="312"/>
        <v>2025-05</v>
      </c>
      <c r="AB3343" t="str">
        <f t="shared" si="313"/>
        <v>H1_2025</v>
      </c>
      <c r="AC3343">
        <f t="shared" si="314"/>
        <v>4869944.2</v>
      </c>
      <c r="AD3343">
        <f t="shared" si="315"/>
        <v>550</v>
      </c>
      <c r="AE3343">
        <f t="shared" si="316"/>
        <v>1212444.2</v>
      </c>
      <c r="AF3343" t="str">
        <f t="shared" si="317"/>
        <v>Paid</v>
      </c>
    </row>
    <row r="3344" spans="1:32" ht="17.25" thickBot="1" x14ac:dyDescent="0.35">
      <c r="A3344" s="2" t="s">
        <v>19343</v>
      </c>
      <c r="B3344" s="2" t="s">
        <v>27</v>
      </c>
      <c r="C3344" s="2" t="s">
        <v>28</v>
      </c>
      <c r="D3344" s="2" t="s">
        <v>97</v>
      </c>
      <c r="E3344" s="2" t="s">
        <v>86</v>
      </c>
      <c r="F3344" s="2" t="s">
        <v>31</v>
      </c>
      <c r="G3344" s="2" t="s">
        <v>32</v>
      </c>
      <c r="H3344" s="1"/>
      <c r="I3344" s="2" t="s">
        <v>33</v>
      </c>
      <c r="J3344" s="2" t="s">
        <v>34</v>
      </c>
      <c r="K3344" s="2" t="s">
        <v>5667</v>
      </c>
      <c r="L3344" s="2" t="s">
        <v>5668</v>
      </c>
      <c r="M3344" s="2" t="s">
        <v>37</v>
      </c>
      <c r="N3344" s="2" t="s">
        <v>38</v>
      </c>
      <c r="O3344" s="2" t="s">
        <v>391</v>
      </c>
      <c r="P3344" s="2" t="s">
        <v>19344</v>
      </c>
      <c r="Q3344" s="2" t="s">
        <v>19345</v>
      </c>
      <c r="R3344" s="2" t="s">
        <v>40</v>
      </c>
      <c r="S3344" s="2" t="s">
        <v>19346</v>
      </c>
      <c r="T3344" s="2" t="s">
        <v>5672</v>
      </c>
      <c r="U3344" s="2" t="s">
        <v>12029</v>
      </c>
      <c r="V3344" s="2" t="s">
        <v>19347</v>
      </c>
      <c r="W3344" s="1"/>
      <c r="X3344" s="2" t="s">
        <v>3393</v>
      </c>
      <c r="Y3344" s="2" t="s">
        <v>19132</v>
      </c>
      <c r="AA3344" t="str">
        <f t="shared" si="312"/>
        <v>2025-05</v>
      </c>
      <c r="AB3344" t="str">
        <f t="shared" si="313"/>
        <v>H1_2025</v>
      </c>
      <c r="AC3344">
        <f t="shared" si="314"/>
        <v>894941.28</v>
      </c>
      <c r="AD3344">
        <f t="shared" si="315"/>
        <v>60</v>
      </c>
      <c r="AE3344">
        <f t="shared" si="316"/>
        <v>222941.28</v>
      </c>
      <c r="AF3344" t="str">
        <f t="shared" si="317"/>
        <v>Paid</v>
      </c>
    </row>
    <row r="3345" spans="1:32" ht="17.25" thickBot="1" x14ac:dyDescent="0.35">
      <c r="A3345" s="2" t="s">
        <v>19348</v>
      </c>
      <c r="B3345" s="2" t="s">
        <v>27</v>
      </c>
      <c r="C3345" s="2" t="s">
        <v>28</v>
      </c>
      <c r="D3345" s="2" t="s">
        <v>97</v>
      </c>
      <c r="E3345" s="2" t="s">
        <v>86</v>
      </c>
      <c r="F3345" s="2" t="s">
        <v>31</v>
      </c>
      <c r="G3345" s="2" t="s">
        <v>32</v>
      </c>
      <c r="H3345" s="1"/>
      <c r="I3345" s="2" t="s">
        <v>33</v>
      </c>
      <c r="J3345" s="2" t="s">
        <v>34</v>
      </c>
      <c r="K3345" s="2" t="s">
        <v>5667</v>
      </c>
      <c r="L3345" s="2" t="s">
        <v>5668</v>
      </c>
      <c r="M3345" s="2" t="s">
        <v>37</v>
      </c>
      <c r="N3345" s="2" t="s">
        <v>38</v>
      </c>
      <c r="O3345" s="2" t="s">
        <v>206</v>
      </c>
      <c r="P3345" s="2" t="s">
        <v>19344</v>
      </c>
      <c r="Q3345" s="2" t="s">
        <v>19349</v>
      </c>
      <c r="R3345" s="2" t="s">
        <v>40</v>
      </c>
      <c r="S3345" s="2" t="s">
        <v>19350</v>
      </c>
      <c r="T3345" s="2" t="s">
        <v>5672</v>
      </c>
      <c r="U3345" s="2" t="s">
        <v>14678</v>
      </c>
      <c r="V3345" s="2" t="s">
        <v>19351</v>
      </c>
      <c r="W3345" s="1"/>
      <c r="X3345" s="2" t="s">
        <v>3393</v>
      </c>
      <c r="Y3345" s="2" t="s">
        <v>19132</v>
      </c>
      <c r="AA3345" t="str">
        <f t="shared" si="312"/>
        <v>2025-05</v>
      </c>
      <c r="AB3345" t="str">
        <f t="shared" si="313"/>
        <v>H1_2025</v>
      </c>
      <c r="AC3345">
        <f t="shared" si="314"/>
        <v>7457844</v>
      </c>
      <c r="AD3345">
        <f t="shared" si="315"/>
        <v>500</v>
      </c>
      <c r="AE3345">
        <f t="shared" si="316"/>
        <v>1857844</v>
      </c>
      <c r="AF3345" t="str">
        <f t="shared" si="317"/>
        <v>Paid</v>
      </c>
    </row>
    <row r="3346" spans="1:32" ht="17.25" thickBot="1" x14ac:dyDescent="0.35">
      <c r="A3346" s="2" t="s">
        <v>19352</v>
      </c>
      <c r="B3346" s="2" t="s">
        <v>27</v>
      </c>
      <c r="C3346" s="2" t="s">
        <v>28</v>
      </c>
      <c r="D3346" s="2" t="s">
        <v>97</v>
      </c>
      <c r="E3346" s="2" t="s">
        <v>86</v>
      </c>
      <c r="F3346" s="2" t="s">
        <v>31</v>
      </c>
      <c r="G3346" s="2" t="s">
        <v>32</v>
      </c>
      <c r="H3346" s="1"/>
      <c r="I3346" s="2" t="s">
        <v>33</v>
      </c>
      <c r="J3346" s="2" t="s">
        <v>34</v>
      </c>
      <c r="K3346" s="2" t="s">
        <v>5676</v>
      </c>
      <c r="L3346" s="2" t="s">
        <v>5677</v>
      </c>
      <c r="M3346" s="2" t="s">
        <v>37</v>
      </c>
      <c r="N3346" s="2" t="s">
        <v>38</v>
      </c>
      <c r="O3346" s="2" t="s">
        <v>610</v>
      </c>
      <c r="P3346" s="2" t="s">
        <v>19353</v>
      </c>
      <c r="Q3346" s="2" t="s">
        <v>19354</v>
      </c>
      <c r="R3346" s="2" t="s">
        <v>40</v>
      </c>
      <c r="S3346" s="2" t="s">
        <v>19355</v>
      </c>
      <c r="T3346" s="2" t="s">
        <v>5680</v>
      </c>
      <c r="U3346" s="2" t="s">
        <v>19356</v>
      </c>
      <c r="V3346" s="2" t="s">
        <v>19357</v>
      </c>
      <c r="W3346" s="1"/>
      <c r="X3346" s="2" t="s">
        <v>3393</v>
      </c>
      <c r="Y3346" s="2" t="s">
        <v>19132</v>
      </c>
      <c r="AA3346" t="str">
        <f t="shared" si="312"/>
        <v>2025-05</v>
      </c>
      <c r="AB3346" t="str">
        <f t="shared" si="313"/>
        <v>H1_2025</v>
      </c>
      <c r="AC3346">
        <f t="shared" si="314"/>
        <v>7340529.5999999996</v>
      </c>
      <c r="AD3346">
        <f t="shared" si="315"/>
        <v>450</v>
      </c>
      <c r="AE3346">
        <f t="shared" si="316"/>
        <v>1828029.6</v>
      </c>
      <c r="AF3346" t="str">
        <f t="shared" si="317"/>
        <v>Paid</v>
      </c>
    </row>
    <row r="3347" spans="1:32" ht="17.25" thickBot="1" x14ac:dyDescent="0.35">
      <c r="A3347" s="2" t="s">
        <v>19358</v>
      </c>
      <c r="B3347" s="2" t="s">
        <v>27</v>
      </c>
      <c r="C3347" s="2" t="s">
        <v>28</v>
      </c>
      <c r="D3347" s="2" t="s">
        <v>97</v>
      </c>
      <c r="E3347" s="2" t="s">
        <v>86</v>
      </c>
      <c r="F3347" s="2" t="s">
        <v>31</v>
      </c>
      <c r="G3347" s="2" t="s">
        <v>32</v>
      </c>
      <c r="H3347" s="1"/>
      <c r="I3347" s="2" t="s">
        <v>33</v>
      </c>
      <c r="J3347" s="2" t="s">
        <v>34</v>
      </c>
      <c r="K3347" s="2" t="s">
        <v>5676</v>
      </c>
      <c r="L3347" s="2" t="s">
        <v>5677</v>
      </c>
      <c r="M3347" s="2" t="s">
        <v>37</v>
      </c>
      <c r="N3347" s="2" t="s">
        <v>38</v>
      </c>
      <c r="O3347" s="2" t="s">
        <v>141</v>
      </c>
      <c r="P3347" s="2" t="s">
        <v>19353</v>
      </c>
      <c r="Q3347" s="2" t="s">
        <v>19359</v>
      </c>
      <c r="R3347" s="2" t="s">
        <v>40</v>
      </c>
      <c r="S3347" s="2" t="s">
        <v>19360</v>
      </c>
      <c r="T3347" s="2" t="s">
        <v>5680</v>
      </c>
      <c r="U3347" s="2" t="s">
        <v>15329</v>
      </c>
      <c r="V3347" s="2" t="s">
        <v>19361</v>
      </c>
      <c r="W3347" s="1"/>
      <c r="X3347" s="2" t="s">
        <v>3393</v>
      </c>
      <c r="Y3347" s="2" t="s">
        <v>19132</v>
      </c>
      <c r="AA3347" t="str">
        <f t="shared" si="312"/>
        <v>2025-05</v>
      </c>
      <c r="AB3347" t="str">
        <f t="shared" si="313"/>
        <v>H1_2025</v>
      </c>
      <c r="AC3347">
        <f t="shared" si="314"/>
        <v>489368.64</v>
      </c>
      <c r="AD3347">
        <f t="shared" si="315"/>
        <v>30</v>
      </c>
      <c r="AE3347">
        <f t="shared" si="316"/>
        <v>121868.64</v>
      </c>
      <c r="AF3347" t="str">
        <f t="shared" si="317"/>
        <v>Paid</v>
      </c>
    </row>
    <row r="3348" spans="1:32" ht="17.25" thickBot="1" x14ac:dyDescent="0.35">
      <c r="A3348" s="2" t="s">
        <v>19362</v>
      </c>
      <c r="B3348" s="2" t="s">
        <v>27</v>
      </c>
      <c r="C3348" s="2" t="s">
        <v>28</v>
      </c>
      <c r="D3348" s="2" t="s">
        <v>97</v>
      </c>
      <c r="E3348" s="2" t="s">
        <v>86</v>
      </c>
      <c r="F3348" s="2" t="s">
        <v>31</v>
      </c>
      <c r="G3348" s="2" t="s">
        <v>32</v>
      </c>
      <c r="H3348" s="1"/>
      <c r="I3348" s="2" t="s">
        <v>33</v>
      </c>
      <c r="J3348" s="2" t="s">
        <v>34</v>
      </c>
      <c r="K3348" s="2" t="s">
        <v>1214</v>
      </c>
      <c r="L3348" s="2" t="s">
        <v>1215</v>
      </c>
      <c r="M3348" s="2" t="s">
        <v>37</v>
      </c>
      <c r="N3348" s="2" t="s">
        <v>38</v>
      </c>
      <c r="O3348" s="2" t="s">
        <v>71</v>
      </c>
      <c r="P3348" s="2" t="s">
        <v>19363</v>
      </c>
      <c r="Q3348" s="2" t="s">
        <v>19364</v>
      </c>
      <c r="R3348" s="2" t="s">
        <v>40</v>
      </c>
      <c r="S3348" s="2" t="s">
        <v>19365</v>
      </c>
      <c r="T3348" s="2" t="s">
        <v>287</v>
      </c>
      <c r="U3348" s="2" t="s">
        <v>19366</v>
      </c>
      <c r="V3348" s="2" t="s">
        <v>19367</v>
      </c>
      <c r="W3348" s="1"/>
      <c r="X3348" s="2" t="s">
        <v>17818</v>
      </c>
      <c r="Y3348" s="2" t="s">
        <v>19132</v>
      </c>
      <c r="AA3348" t="str">
        <f t="shared" si="312"/>
        <v>2025-05</v>
      </c>
      <c r="AB3348" t="str">
        <f t="shared" si="313"/>
        <v>H1_2025</v>
      </c>
      <c r="AC3348">
        <f t="shared" si="314"/>
        <v>21032796</v>
      </c>
      <c r="AD3348">
        <f t="shared" si="315"/>
        <v>2000</v>
      </c>
      <c r="AE3348">
        <f t="shared" si="316"/>
        <v>7032796</v>
      </c>
      <c r="AF3348" t="str">
        <f t="shared" si="317"/>
        <v>Paid</v>
      </c>
    </row>
    <row r="3349" spans="1:32" ht="27.75" thickBot="1" x14ac:dyDescent="0.35">
      <c r="A3349" s="2" t="s">
        <v>19368</v>
      </c>
      <c r="B3349" s="2" t="s">
        <v>27</v>
      </c>
      <c r="C3349" s="2" t="s">
        <v>28</v>
      </c>
      <c r="D3349" s="2" t="s">
        <v>97</v>
      </c>
      <c r="E3349" s="2" t="s">
        <v>86</v>
      </c>
      <c r="F3349" s="2" t="s">
        <v>31</v>
      </c>
      <c r="G3349" s="2" t="s">
        <v>32</v>
      </c>
      <c r="H3349" s="1"/>
      <c r="I3349" s="2" t="s">
        <v>33</v>
      </c>
      <c r="J3349" s="2" t="s">
        <v>34</v>
      </c>
      <c r="K3349" s="2" t="s">
        <v>18642</v>
      </c>
      <c r="L3349" s="2" t="s">
        <v>18643</v>
      </c>
      <c r="M3349" s="2" t="s">
        <v>37</v>
      </c>
      <c r="N3349" s="2" t="s">
        <v>38</v>
      </c>
      <c r="O3349" s="2" t="s">
        <v>167</v>
      </c>
      <c r="P3349" s="2" t="s">
        <v>40</v>
      </c>
      <c r="Q3349" s="2" t="s">
        <v>40</v>
      </c>
      <c r="R3349" s="2" t="s">
        <v>40</v>
      </c>
      <c r="S3349" s="2" t="s">
        <v>40</v>
      </c>
      <c r="T3349" s="2" t="s">
        <v>14635</v>
      </c>
      <c r="U3349" s="2" t="s">
        <v>11362</v>
      </c>
      <c r="V3349" s="2" t="s">
        <v>19369</v>
      </c>
      <c r="W3349" s="2" t="s">
        <v>41</v>
      </c>
      <c r="X3349" s="2" t="s">
        <v>42</v>
      </c>
      <c r="Y3349" s="2" t="s">
        <v>19132</v>
      </c>
      <c r="AA3349" t="str">
        <f t="shared" si="312"/>
        <v>2025-05</v>
      </c>
      <c r="AB3349" t="str">
        <f t="shared" si="313"/>
        <v>H1_2025</v>
      </c>
      <c r="AC3349">
        <f t="shared" si="314"/>
        <v>0</v>
      </c>
      <c r="AD3349">
        <f t="shared" si="315"/>
        <v>800</v>
      </c>
      <c r="AE3349">
        <f t="shared" si="316"/>
        <v>-211200</v>
      </c>
      <c r="AF3349" t="str">
        <f t="shared" si="317"/>
        <v>Sample</v>
      </c>
    </row>
    <row r="3350" spans="1:32" ht="27.75" thickBot="1" x14ac:dyDescent="0.35">
      <c r="A3350" s="2" t="s">
        <v>19370</v>
      </c>
      <c r="B3350" s="2" t="s">
        <v>27</v>
      </c>
      <c r="C3350" s="2" t="s">
        <v>28</v>
      </c>
      <c r="D3350" s="2" t="s">
        <v>97</v>
      </c>
      <c r="E3350" s="2" t="s">
        <v>86</v>
      </c>
      <c r="F3350" s="2" t="s">
        <v>31</v>
      </c>
      <c r="G3350" s="2" t="s">
        <v>32</v>
      </c>
      <c r="H3350" s="1"/>
      <c r="I3350" s="2" t="s">
        <v>33</v>
      </c>
      <c r="J3350" s="2" t="s">
        <v>34</v>
      </c>
      <c r="K3350" s="2" t="s">
        <v>18649</v>
      </c>
      <c r="L3350" s="2" t="s">
        <v>18650</v>
      </c>
      <c r="M3350" s="2" t="s">
        <v>37</v>
      </c>
      <c r="N3350" s="2" t="s">
        <v>38</v>
      </c>
      <c r="O3350" s="2" t="s">
        <v>167</v>
      </c>
      <c r="P3350" s="2" t="s">
        <v>40</v>
      </c>
      <c r="Q3350" s="2" t="s">
        <v>40</v>
      </c>
      <c r="R3350" s="2" t="s">
        <v>40</v>
      </c>
      <c r="S3350" s="2" t="s">
        <v>40</v>
      </c>
      <c r="T3350" s="2" t="s">
        <v>14635</v>
      </c>
      <c r="U3350" s="2" t="s">
        <v>11362</v>
      </c>
      <c r="V3350" s="2" t="s">
        <v>19369</v>
      </c>
      <c r="W3350" s="2" t="s">
        <v>41</v>
      </c>
      <c r="X3350" s="2" t="s">
        <v>42</v>
      </c>
      <c r="Y3350" s="2" t="s">
        <v>19132</v>
      </c>
      <c r="AA3350" t="str">
        <f t="shared" si="312"/>
        <v>2025-05</v>
      </c>
      <c r="AB3350" t="str">
        <f t="shared" si="313"/>
        <v>H1_2025</v>
      </c>
      <c r="AC3350">
        <f t="shared" si="314"/>
        <v>0</v>
      </c>
      <c r="AD3350">
        <f t="shared" si="315"/>
        <v>800</v>
      </c>
      <c r="AE3350">
        <f t="shared" si="316"/>
        <v>-211200</v>
      </c>
      <c r="AF3350" t="str">
        <f t="shared" si="317"/>
        <v>Sample</v>
      </c>
    </row>
    <row r="3351" spans="1:32" ht="41.25" thickBot="1" x14ac:dyDescent="0.35">
      <c r="A3351" s="2" t="s">
        <v>19371</v>
      </c>
      <c r="B3351" s="2" t="s">
        <v>27</v>
      </c>
      <c r="C3351" s="2" t="s">
        <v>28</v>
      </c>
      <c r="D3351" s="2" t="s">
        <v>97</v>
      </c>
      <c r="E3351" s="2" t="s">
        <v>86</v>
      </c>
      <c r="F3351" s="2" t="s">
        <v>31</v>
      </c>
      <c r="G3351" s="2" t="s">
        <v>32</v>
      </c>
      <c r="H3351" s="1"/>
      <c r="I3351" s="2" t="s">
        <v>33</v>
      </c>
      <c r="J3351" s="2" t="s">
        <v>34</v>
      </c>
      <c r="K3351" s="2" t="s">
        <v>18652</v>
      </c>
      <c r="L3351" s="2" t="s">
        <v>18653</v>
      </c>
      <c r="M3351" s="2" t="s">
        <v>37</v>
      </c>
      <c r="N3351" s="2" t="s">
        <v>38</v>
      </c>
      <c r="O3351" s="2" t="s">
        <v>167</v>
      </c>
      <c r="P3351" s="2" t="s">
        <v>40</v>
      </c>
      <c r="Q3351" s="2" t="s">
        <v>40</v>
      </c>
      <c r="R3351" s="2" t="s">
        <v>40</v>
      </c>
      <c r="S3351" s="2" t="s">
        <v>40</v>
      </c>
      <c r="T3351" s="2" t="s">
        <v>14635</v>
      </c>
      <c r="U3351" s="2" t="s">
        <v>11362</v>
      </c>
      <c r="V3351" s="2" t="s">
        <v>19369</v>
      </c>
      <c r="W3351" s="2" t="s">
        <v>41</v>
      </c>
      <c r="X3351" s="2" t="s">
        <v>42</v>
      </c>
      <c r="Y3351" s="2" t="s">
        <v>19132</v>
      </c>
      <c r="AA3351" t="str">
        <f t="shared" si="312"/>
        <v>2025-05</v>
      </c>
      <c r="AB3351" t="str">
        <f t="shared" si="313"/>
        <v>H1_2025</v>
      </c>
      <c r="AC3351">
        <f t="shared" si="314"/>
        <v>0</v>
      </c>
      <c r="AD3351">
        <f t="shared" si="315"/>
        <v>800</v>
      </c>
      <c r="AE3351">
        <f t="shared" si="316"/>
        <v>-211200</v>
      </c>
      <c r="AF3351" t="str">
        <f t="shared" si="317"/>
        <v>Sample</v>
      </c>
    </row>
    <row r="3352" spans="1:32" ht="17.25" thickBot="1" x14ac:dyDescent="0.35">
      <c r="A3352" s="2" t="s">
        <v>19372</v>
      </c>
      <c r="B3352" s="2" t="s">
        <v>27</v>
      </c>
      <c r="C3352" s="2" t="s">
        <v>28</v>
      </c>
      <c r="D3352" s="2" t="s">
        <v>97</v>
      </c>
      <c r="E3352" s="2" t="s">
        <v>86</v>
      </c>
      <c r="F3352" s="2" t="s">
        <v>31</v>
      </c>
      <c r="G3352" s="2" t="s">
        <v>32</v>
      </c>
      <c r="H3352" s="1"/>
      <c r="I3352" s="2" t="s">
        <v>33</v>
      </c>
      <c r="J3352" s="2" t="s">
        <v>34</v>
      </c>
      <c r="K3352" s="2" t="s">
        <v>1247</v>
      </c>
      <c r="L3352" s="2" t="s">
        <v>1248</v>
      </c>
      <c r="M3352" s="2" t="s">
        <v>37</v>
      </c>
      <c r="N3352" s="2" t="s">
        <v>38</v>
      </c>
      <c r="O3352" s="2" t="s">
        <v>15442</v>
      </c>
      <c r="P3352" s="2" t="s">
        <v>10435</v>
      </c>
      <c r="Q3352" s="2" t="s">
        <v>19373</v>
      </c>
      <c r="R3352" s="2" t="s">
        <v>40</v>
      </c>
      <c r="S3352" s="2" t="s">
        <v>19374</v>
      </c>
      <c r="T3352" s="2" t="s">
        <v>1253</v>
      </c>
      <c r="U3352" s="2" t="s">
        <v>19375</v>
      </c>
      <c r="V3352" s="2" t="s">
        <v>19376</v>
      </c>
      <c r="W3352" s="1"/>
      <c r="X3352" s="2" t="s">
        <v>817</v>
      </c>
      <c r="Y3352" s="2" t="s">
        <v>19132</v>
      </c>
      <c r="AA3352" t="str">
        <f t="shared" si="312"/>
        <v>2025-05</v>
      </c>
      <c r="AB3352" t="str">
        <f t="shared" si="313"/>
        <v>H1_2025</v>
      </c>
      <c r="AC3352">
        <f t="shared" si="314"/>
        <v>2971964.8</v>
      </c>
      <c r="AD3352">
        <f t="shared" si="315"/>
        <v>1600</v>
      </c>
      <c r="AE3352">
        <f t="shared" si="316"/>
        <v>731964.8</v>
      </c>
      <c r="AF3352" t="str">
        <f t="shared" si="317"/>
        <v>Paid</v>
      </c>
    </row>
    <row r="3353" spans="1:32" ht="41.25" thickBot="1" x14ac:dyDescent="0.35">
      <c r="A3353" s="2" t="s">
        <v>19377</v>
      </c>
      <c r="B3353" s="2" t="s">
        <v>27</v>
      </c>
      <c r="C3353" s="2" t="s">
        <v>28</v>
      </c>
      <c r="D3353" s="2" t="s">
        <v>97</v>
      </c>
      <c r="E3353" s="2" t="s">
        <v>86</v>
      </c>
      <c r="F3353" s="2" t="s">
        <v>31</v>
      </c>
      <c r="G3353" s="2" t="s">
        <v>32</v>
      </c>
      <c r="H3353" s="1"/>
      <c r="I3353" s="2" t="s">
        <v>33</v>
      </c>
      <c r="J3353" s="2" t="s">
        <v>34</v>
      </c>
      <c r="K3353" s="2" t="s">
        <v>18658</v>
      </c>
      <c r="L3353" s="2" t="s">
        <v>18659</v>
      </c>
      <c r="M3353" s="2" t="s">
        <v>37</v>
      </c>
      <c r="N3353" s="2" t="s">
        <v>38</v>
      </c>
      <c r="O3353" s="2" t="s">
        <v>19378</v>
      </c>
      <c r="P3353" s="2" t="s">
        <v>40</v>
      </c>
      <c r="Q3353" s="2" t="s">
        <v>40</v>
      </c>
      <c r="R3353" s="2" t="s">
        <v>40</v>
      </c>
      <c r="S3353" s="2" t="s">
        <v>40</v>
      </c>
      <c r="T3353" s="2" t="s">
        <v>14635</v>
      </c>
      <c r="U3353" s="2" t="s">
        <v>19379</v>
      </c>
      <c r="V3353" s="2" t="s">
        <v>19380</v>
      </c>
      <c r="W3353" s="2" t="s">
        <v>41</v>
      </c>
      <c r="X3353" s="2" t="s">
        <v>42</v>
      </c>
      <c r="Y3353" s="2" t="s">
        <v>19132</v>
      </c>
      <c r="AA3353" t="str">
        <f t="shared" si="312"/>
        <v>2025-05</v>
      </c>
      <c r="AB3353" t="str">
        <f t="shared" si="313"/>
        <v>H1_2025</v>
      </c>
      <c r="AC3353">
        <f t="shared" si="314"/>
        <v>0</v>
      </c>
      <c r="AD3353">
        <f t="shared" si="315"/>
        <v>7200</v>
      </c>
      <c r="AE3353">
        <f t="shared" si="316"/>
        <v>-1900800</v>
      </c>
      <c r="AF3353" t="str">
        <f t="shared" si="317"/>
        <v>Sample</v>
      </c>
    </row>
    <row r="3354" spans="1:32" ht="17.25" thickBot="1" x14ac:dyDescent="0.35">
      <c r="A3354" s="2" t="s">
        <v>19381</v>
      </c>
      <c r="B3354" s="2" t="s">
        <v>27</v>
      </c>
      <c r="C3354" s="2" t="s">
        <v>28</v>
      </c>
      <c r="D3354" s="2" t="s">
        <v>97</v>
      </c>
      <c r="E3354" s="2" t="s">
        <v>86</v>
      </c>
      <c r="F3354" s="2" t="s">
        <v>31</v>
      </c>
      <c r="G3354" s="2" t="s">
        <v>32</v>
      </c>
      <c r="H3354" s="1"/>
      <c r="I3354" s="2" t="s">
        <v>33</v>
      </c>
      <c r="J3354" s="2" t="s">
        <v>34</v>
      </c>
      <c r="K3354" s="2" t="s">
        <v>18661</v>
      </c>
      <c r="L3354" s="2" t="s">
        <v>18662</v>
      </c>
      <c r="M3354" s="2" t="s">
        <v>37</v>
      </c>
      <c r="N3354" s="2" t="s">
        <v>38</v>
      </c>
      <c r="O3354" s="2" t="s">
        <v>19382</v>
      </c>
      <c r="P3354" s="2" t="s">
        <v>40</v>
      </c>
      <c r="Q3354" s="2" t="s">
        <v>40</v>
      </c>
      <c r="R3354" s="2" t="s">
        <v>40</v>
      </c>
      <c r="S3354" s="2" t="s">
        <v>40</v>
      </c>
      <c r="T3354" s="2" t="s">
        <v>40</v>
      </c>
      <c r="U3354" s="2" t="s">
        <v>40</v>
      </c>
      <c r="V3354" s="2" t="s">
        <v>40</v>
      </c>
      <c r="W3354" s="2" t="s">
        <v>41</v>
      </c>
      <c r="X3354" s="2" t="s">
        <v>42</v>
      </c>
      <c r="Y3354" s="2" t="s">
        <v>19132</v>
      </c>
      <c r="AA3354" t="str">
        <f t="shared" si="312"/>
        <v>2025-05</v>
      </c>
      <c r="AB3354" t="str">
        <f t="shared" si="313"/>
        <v>H1_2025</v>
      </c>
      <c r="AC3354">
        <f t="shared" si="314"/>
        <v>0</v>
      </c>
      <c r="AD3354">
        <f t="shared" si="315"/>
        <v>5600</v>
      </c>
      <c r="AE3354">
        <f t="shared" si="316"/>
        <v>0</v>
      </c>
      <c r="AF3354" t="str">
        <f t="shared" si="317"/>
        <v>Sample</v>
      </c>
    </row>
    <row r="3355" spans="1:32" ht="17.25" thickBot="1" x14ac:dyDescent="0.35">
      <c r="A3355" s="2" t="s">
        <v>19383</v>
      </c>
      <c r="B3355" s="2" t="s">
        <v>27</v>
      </c>
      <c r="C3355" s="2" t="s">
        <v>28</v>
      </c>
      <c r="D3355" s="2" t="s">
        <v>97</v>
      </c>
      <c r="E3355" s="2" t="s">
        <v>86</v>
      </c>
      <c r="F3355" s="2" t="s">
        <v>31</v>
      </c>
      <c r="G3355" s="2" t="s">
        <v>32</v>
      </c>
      <c r="H3355" s="1"/>
      <c r="I3355" s="2" t="s">
        <v>33</v>
      </c>
      <c r="J3355" s="2" t="s">
        <v>34</v>
      </c>
      <c r="K3355" s="2" t="s">
        <v>19384</v>
      </c>
      <c r="L3355" s="2" t="s">
        <v>19385</v>
      </c>
      <c r="M3355" s="2" t="s">
        <v>4544</v>
      </c>
      <c r="N3355" s="2" t="s">
        <v>38</v>
      </c>
      <c r="O3355" s="2" t="s">
        <v>177</v>
      </c>
      <c r="P3355" s="2" t="s">
        <v>6336</v>
      </c>
      <c r="Q3355" s="2" t="s">
        <v>19386</v>
      </c>
      <c r="R3355" s="2" t="s">
        <v>40</v>
      </c>
      <c r="S3355" s="2" t="s">
        <v>19387</v>
      </c>
      <c r="T3355" s="2" t="s">
        <v>107</v>
      </c>
      <c r="U3355" s="2" t="s">
        <v>19375</v>
      </c>
      <c r="V3355" s="2" t="s">
        <v>19388</v>
      </c>
      <c r="W3355" s="1"/>
      <c r="X3355" s="2" t="s">
        <v>5958</v>
      </c>
      <c r="Y3355" s="2" t="s">
        <v>19132</v>
      </c>
      <c r="AA3355" t="str">
        <f t="shared" si="312"/>
        <v>2025-05</v>
      </c>
      <c r="AB3355" t="str">
        <f t="shared" si="313"/>
        <v>H1_2025</v>
      </c>
      <c r="AC3355">
        <f t="shared" si="314"/>
        <v>3368599.2</v>
      </c>
      <c r="AD3355">
        <f t="shared" si="315"/>
        <v>400</v>
      </c>
      <c r="AE3355">
        <f t="shared" si="316"/>
        <v>1128599.2</v>
      </c>
      <c r="AF3355" t="str">
        <f t="shared" si="317"/>
        <v>Paid</v>
      </c>
    </row>
    <row r="3356" spans="1:32" ht="17.25" thickBot="1" x14ac:dyDescent="0.35">
      <c r="A3356" s="2" t="s">
        <v>19389</v>
      </c>
      <c r="B3356" s="2" t="s">
        <v>27</v>
      </c>
      <c r="C3356" s="2" t="s">
        <v>28</v>
      </c>
      <c r="D3356" s="2" t="s">
        <v>97</v>
      </c>
      <c r="E3356" s="2" t="s">
        <v>93</v>
      </c>
      <c r="F3356" s="2" t="s">
        <v>31</v>
      </c>
      <c r="G3356" s="2" t="s">
        <v>32</v>
      </c>
      <c r="H3356" s="1"/>
      <c r="I3356" s="2" t="s">
        <v>33</v>
      </c>
      <c r="J3356" s="2" t="s">
        <v>34</v>
      </c>
      <c r="K3356" s="2" t="s">
        <v>18700</v>
      </c>
      <c r="L3356" s="2" t="s">
        <v>18701</v>
      </c>
      <c r="M3356" s="2" t="s">
        <v>16415</v>
      </c>
      <c r="N3356" s="2" t="s">
        <v>38</v>
      </c>
      <c r="O3356" s="2" t="s">
        <v>391</v>
      </c>
      <c r="P3356" s="2" t="s">
        <v>18702</v>
      </c>
      <c r="Q3356" s="2" t="s">
        <v>15715</v>
      </c>
      <c r="R3356" s="2" t="s">
        <v>40</v>
      </c>
      <c r="S3356" s="2" t="s">
        <v>19390</v>
      </c>
      <c r="T3356" s="2" t="s">
        <v>13701</v>
      </c>
      <c r="U3356" s="2" t="s">
        <v>19391</v>
      </c>
      <c r="V3356" s="2" t="s">
        <v>19392</v>
      </c>
      <c r="W3356" s="1"/>
      <c r="X3356" s="2" t="s">
        <v>1437</v>
      </c>
      <c r="Y3356" s="2" t="s">
        <v>19393</v>
      </c>
      <c r="AA3356" t="str">
        <f t="shared" si="312"/>
        <v>2025-05</v>
      </c>
      <c r="AB3356" t="str">
        <f t="shared" si="313"/>
        <v>H1_2025</v>
      </c>
      <c r="AC3356">
        <f t="shared" si="314"/>
        <v>231926.16</v>
      </c>
      <c r="AD3356">
        <f t="shared" si="315"/>
        <v>60</v>
      </c>
      <c r="AE3356">
        <f t="shared" si="316"/>
        <v>57326.16</v>
      </c>
      <c r="AF3356" t="str">
        <f t="shared" si="317"/>
        <v>Paid</v>
      </c>
    </row>
    <row r="3357" spans="1:32" ht="17.25" thickBot="1" x14ac:dyDescent="0.35">
      <c r="A3357" s="2" t="s">
        <v>19394</v>
      </c>
      <c r="B3357" s="2" t="s">
        <v>27</v>
      </c>
      <c r="C3357" s="2" t="s">
        <v>28</v>
      </c>
      <c r="D3357" s="2" t="s">
        <v>97</v>
      </c>
      <c r="E3357" s="2" t="s">
        <v>93</v>
      </c>
      <c r="F3357" s="2" t="s">
        <v>31</v>
      </c>
      <c r="G3357" s="2" t="s">
        <v>32</v>
      </c>
      <c r="H3357" s="1"/>
      <c r="I3357" s="2" t="s">
        <v>33</v>
      </c>
      <c r="J3357" s="2" t="s">
        <v>34</v>
      </c>
      <c r="K3357" s="2" t="s">
        <v>16589</v>
      </c>
      <c r="L3357" s="2" t="s">
        <v>16590</v>
      </c>
      <c r="M3357" s="2" t="s">
        <v>8664</v>
      </c>
      <c r="N3357" s="2" t="s">
        <v>38</v>
      </c>
      <c r="O3357" s="2" t="s">
        <v>391</v>
      </c>
      <c r="P3357" s="2" t="s">
        <v>17732</v>
      </c>
      <c r="Q3357" s="2" t="s">
        <v>590</v>
      </c>
      <c r="R3357" s="2" t="s">
        <v>40</v>
      </c>
      <c r="S3357" s="2" t="s">
        <v>19395</v>
      </c>
      <c r="T3357" s="2" t="s">
        <v>16591</v>
      </c>
      <c r="U3357" s="2" t="s">
        <v>19396</v>
      </c>
      <c r="V3357" s="2" t="s">
        <v>19397</v>
      </c>
      <c r="W3357" s="1"/>
      <c r="X3357" s="2" t="s">
        <v>2958</v>
      </c>
      <c r="Y3357" s="2" t="s">
        <v>19393</v>
      </c>
      <c r="AA3357" t="str">
        <f t="shared" si="312"/>
        <v>2025-05</v>
      </c>
      <c r="AB3357" t="str">
        <f t="shared" si="313"/>
        <v>H1_2025</v>
      </c>
      <c r="AC3357">
        <f t="shared" si="314"/>
        <v>407727.84</v>
      </c>
      <c r="AD3357">
        <f t="shared" si="315"/>
        <v>60</v>
      </c>
      <c r="AE3357">
        <f t="shared" si="316"/>
        <v>93927.84</v>
      </c>
      <c r="AF3357" t="str">
        <f t="shared" si="317"/>
        <v>Paid</v>
      </c>
    </row>
    <row r="3358" spans="1:32" ht="17.25" thickBot="1" x14ac:dyDescent="0.35">
      <c r="A3358" s="2" t="s">
        <v>19398</v>
      </c>
      <c r="B3358" s="2" t="s">
        <v>27</v>
      </c>
      <c r="C3358" s="2" t="s">
        <v>28</v>
      </c>
      <c r="D3358" s="2" t="s">
        <v>97</v>
      </c>
      <c r="E3358" s="2" t="s">
        <v>93</v>
      </c>
      <c r="F3358" s="2" t="s">
        <v>31</v>
      </c>
      <c r="G3358" s="2" t="s">
        <v>32</v>
      </c>
      <c r="H3358" s="1"/>
      <c r="I3358" s="2" t="s">
        <v>33</v>
      </c>
      <c r="J3358" s="2" t="s">
        <v>34</v>
      </c>
      <c r="K3358" s="2" t="s">
        <v>19399</v>
      </c>
      <c r="L3358" s="2" t="s">
        <v>19400</v>
      </c>
      <c r="M3358" s="2" t="s">
        <v>2631</v>
      </c>
      <c r="N3358" s="2" t="s">
        <v>38</v>
      </c>
      <c r="O3358" s="2" t="s">
        <v>773</v>
      </c>
      <c r="P3358" s="2" t="s">
        <v>19401</v>
      </c>
      <c r="Q3358" s="2" t="s">
        <v>19402</v>
      </c>
      <c r="R3358" s="2" t="s">
        <v>40</v>
      </c>
      <c r="S3358" s="2" t="s">
        <v>19403</v>
      </c>
      <c r="T3358" s="2" t="s">
        <v>10627</v>
      </c>
      <c r="U3358" s="2" t="s">
        <v>19404</v>
      </c>
      <c r="V3358" s="2" t="s">
        <v>19405</v>
      </c>
      <c r="W3358" s="1"/>
      <c r="X3358" s="2" t="s">
        <v>709</v>
      </c>
      <c r="Y3358" s="2" t="s">
        <v>19393</v>
      </c>
      <c r="AA3358" t="str">
        <f t="shared" si="312"/>
        <v>2025-05</v>
      </c>
      <c r="AB3358" t="str">
        <f t="shared" si="313"/>
        <v>H1_2025</v>
      </c>
      <c r="AC3358">
        <f t="shared" si="314"/>
        <v>844618.4</v>
      </c>
      <c r="AD3358">
        <f t="shared" si="315"/>
        <v>200</v>
      </c>
      <c r="AE3358">
        <f t="shared" si="316"/>
        <v>135418.4</v>
      </c>
      <c r="AF3358" t="str">
        <f t="shared" si="317"/>
        <v>Paid</v>
      </c>
    </row>
    <row r="3359" spans="1:32" ht="17.25" thickBot="1" x14ac:dyDescent="0.35">
      <c r="A3359" s="2" t="s">
        <v>19406</v>
      </c>
      <c r="B3359" s="2" t="s">
        <v>27</v>
      </c>
      <c r="C3359" s="2" t="s">
        <v>28</v>
      </c>
      <c r="D3359" s="2" t="s">
        <v>97</v>
      </c>
      <c r="E3359" s="2" t="s">
        <v>93</v>
      </c>
      <c r="F3359" s="2" t="s">
        <v>31</v>
      </c>
      <c r="G3359" s="2" t="s">
        <v>32</v>
      </c>
      <c r="H3359" s="1"/>
      <c r="I3359" s="2" t="s">
        <v>33</v>
      </c>
      <c r="J3359" s="2" t="s">
        <v>34</v>
      </c>
      <c r="K3359" s="2" t="s">
        <v>2647</v>
      </c>
      <c r="L3359" s="2" t="s">
        <v>2648</v>
      </c>
      <c r="M3359" s="2" t="s">
        <v>2631</v>
      </c>
      <c r="N3359" s="2" t="s">
        <v>38</v>
      </c>
      <c r="O3359" s="2" t="s">
        <v>517</v>
      </c>
      <c r="P3359" s="2" t="s">
        <v>6297</v>
      </c>
      <c r="Q3359" s="2" t="s">
        <v>19407</v>
      </c>
      <c r="R3359" s="2" t="s">
        <v>40</v>
      </c>
      <c r="S3359" s="2" t="s">
        <v>19408</v>
      </c>
      <c r="T3359" s="2" t="s">
        <v>2651</v>
      </c>
      <c r="U3359" s="2" t="s">
        <v>19409</v>
      </c>
      <c r="V3359" s="2" t="s">
        <v>19410</v>
      </c>
      <c r="W3359" s="1"/>
      <c r="X3359" s="2" t="s">
        <v>817</v>
      </c>
      <c r="Y3359" s="2" t="s">
        <v>19393</v>
      </c>
      <c r="AA3359" t="str">
        <f t="shared" si="312"/>
        <v>2025-05</v>
      </c>
      <c r="AB3359" t="str">
        <f t="shared" si="313"/>
        <v>H1_2025</v>
      </c>
      <c r="AC3359">
        <f t="shared" si="314"/>
        <v>744474.72</v>
      </c>
      <c r="AD3359">
        <f t="shared" si="315"/>
        <v>120</v>
      </c>
      <c r="AE3359">
        <f t="shared" si="316"/>
        <v>182874.72</v>
      </c>
      <c r="AF3359" t="str">
        <f t="shared" si="317"/>
        <v>Paid</v>
      </c>
    </row>
    <row r="3360" spans="1:32" ht="17.25" thickBot="1" x14ac:dyDescent="0.35">
      <c r="A3360" s="2" t="s">
        <v>19411</v>
      </c>
      <c r="B3360" s="2" t="s">
        <v>27</v>
      </c>
      <c r="C3360" s="2" t="s">
        <v>28</v>
      </c>
      <c r="D3360" s="2" t="s">
        <v>97</v>
      </c>
      <c r="E3360" s="2" t="s">
        <v>93</v>
      </c>
      <c r="F3360" s="2" t="s">
        <v>31</v>
      </c>
      <c r="G3360" s="2" t="s">
        <v>32</v>
      </c>
      <c r="H3360" s="1"/>
      <c r="I3360" s="2" t="s">
        <v>33</v>
      </c>
      <c r="J3360" s="2" t="s">
        <v>34</v>
      </c>
      <c r="K3360" s="2" t="s">
        <v>11440</v>
      </c>
      <c r="L3360" s="2" t="s">
        <v>11441</v>
      </c>
      <c r="M3360" s="2" t="s">
        <v>634</v>
      </c>
      <c r="N3360" s="2" t="s">
        <v>38</v>
      </c>
      <c r="O3360" s="2" t="s">
        <v>19412</v>
      </c>
      <c r="P3360" s="2" t="s">
        <v>684</v>
      </c>
      <c r="Q3360" s="2" t="s">
        <v>19413</v>
      </c>
      <c r="R3360" s="2" t="s">
        <v>40</v>
      </c>
      <c r="S3360" s="2" t="s">
        <v>19414</v>
      </c>
      <c r="T3360" s="2" t="s">
        <v>669</v>
      </c>
      <c r="U3360" s="2" t="s">
        <v>19415</v>
      </c>
      <c r="V3360" s="2" t="s">
        <v>19416</v>
      </c>
      <c r="W3360" s="1"/>
      <c r="X3360" s="2" t="s">
        <v>672</v>
      </c>
      <c r="Y3360" s="2" t="s">
        <v>19393</v>
      </c>
      <c r="AA3360" t="str">
        <f t="shared" si="312"/>
        <v>2025-05</v>
      </c>
      <c r="AB3360" t="str">
        <f t="shared" si="313"/>
        <v>H1_2025</v>
      </c>
      <c r="AC3360">
        <f t="shared" si="314"/>
        <v>42326111.520000003</v>
      </c>
      <c r="AD3360">
        <f t="shared" si="315"/>
        <v>3780</v>
      </c>
      <c r="AE3360">
        <f t="shared" si="316"/>
        <v>19646111.52</v>
      </c>
      <c r="AF3360" t="str">
        <f t="shared" si="317"/>
        <v>Paid</v>
      </c>
    </row>
    <row r="3361" spans="1:32" ht="27.75" thickBot="1" x14ac:dyDescent="0.35">
      <c r="A3361" s="2" t="s">
        <v>19417</v>
      </c>
      <c r="B3361" s="2" t="s">
        <v>27</v>
      </c>
      <c r="C3361" s="2" t="s">
        <v>28</v>
      </c>
      <c r="D3361" s="2" t="s">
        <v>97</v>
      </c>
      <c r="E3361" s="2" t="s">
        <v>93</v>
      </c>
      <c r="F3361" s="2" t="s">
        <v>31</v>
      </c>
      <c r="G3361" s="2" t="s">
        <v>32</v>
      </c>
      <c r="H3361" s="1"/>
      <c r="I3361" s="2" t="s">
        <v>33</v>
      </c>
      <c r="J3361" s="2" t="s">
        <v>34</v>
      </c>
      <c r="K3361" s="2" t="s">
        <v>18914</v>
      </c>
      <c r="L3361" s="2" t="s">
        <v>18915</v>
      </c>
      <c r="M3361" s="2" t="s">
        <v>6146</v>
      </c>
      <c r="N3361" s="2" t="s">
        <v>38</v>
      </c>
      <c r="O3361" s="2" t="s">
        <v>1086</v>
      </c>
      <c r="P3361" s="2" t="s">
        <v>18916</v>
      </c>
      <c r="Q3361" s="2" t="s">
        <v>19418</v>
      </c>
      <c r="R3361" s="2" t="s">
        <v>40</v>
      </c>
      <c r="S3361" s="2" t="s">
        <v>19419</v>
      </c>
      <c r="T3361" s="2" t="s">
        <v>11319</v>
      </c>
      <c r="U3361" s="2" t="s">
        <v>12016</v>
      </c>
      <c r="V3361" s="2" t="s">
        <v>19420</v>
      </c>
      <c r="W3361" s="1"/>
      <c r="X3361" s="2" t="s">
        <v>2797</v>
      </c>
      <c r="Y3361" s="2" t="s">
        <v>19393</v>
      </c>
      <c r="AA3361" t="str">
        <f t="shared" si="312"/>
        <v>2025-05</v>
      </c>
      <c r="AB3361" t="str">
        <f t="shared" si="313"/>
        <v>H1_2025</v>
      </c>
      <c r="AC3361">
        <f t="shared" si="314"/>
        <v>815043</v>
      </c>
      <c r="AD3361">
        <f t="shared" si="315"/>
        <v>750</v>
      </c>
      <c r="AE3361">
        <f t="shared" si="316"/>
        <v>167043</v>
      </c>
      <c r="AF3361" t="str">
        <f t="shared" si="317"/>
        <v>Paid</v>
      </c>
    </row>
    <row r="3362" spans="1:32" ht="17.25" thickBot="1" x14ac:dyDescent="0.35">
      <c r="A3362" s="2" t="s">
        <v>19421</v>
      </c>
      <c r="B3362" s="2" t="s">
        <v>27</v>
      </c>
      <c r="C3362" s="2" t="s">
        <v>28</v>
      </c>
      <c r="D3362" s="2" t="s">
        <v>97</v>
      </c>
      <c r="E3362" s="2" t="s">
        <v>93</v>
      </c>
      <c r="F3362" s="2" t="s">
        <v>31</v>
      </c>
      <c r="G3362" s="2" t="s">
        <v>32</v>
      </c>
      <c r="H3362" s="1"/>
      <c r="I3362" s="2" t="s">
        <v>33</v>
      </c>
      <c r="J3362" s="2" t="s">
        <v>34</v>
      </c>
      <c r="K3362" s="2" t="s">
        <v>10273</v>
      </c>
      <c r="L3362" s="2" t="s">
        <v>10274</v>
      </c>
      <c r="M3362" s="2" t="s">
        <v>7387</v>
      </c>
      <c r="N3362" s="2" t="s">
        <v>38</v>
      </c>
      <c r="O3362" s="2" t="s">
        <v>831</v>
      </c>
      <c r="P3362" s="2" t="s">
        <v>4461</v>
      </c>
      <c r="Q3362" s="2" t="s">
        <v>18714</v>
      </c>
      <c r="R3362" s="2" t="s">
        <v>40</v>
      </c>
      <c r="S3362" s="2" t="s">
        <v>19422</v>
      </c>
      <c r="T3362" s="2" t="s">
        <v>9919</v>
      </c>
      <c r="U3362" s="2" t="s">
        <v>19423</v>
      </c>
      <c r="V3362" s="2" t="s">
        <v>19424</v>
      </c>
      <c r="W3362" s="1"/>
      <c r="X3362" s="2" t="s">
        <v>444</v>
      </c>
      <c r="Y3362" s="2" t="s">
        <v>19393</v>
      </c>
      <c r="AA3362" t="str">
        <f t="shared" si="312"/>
        <v>2025-05</v>
      </c>
      <c r="AB3362" t="str">
        <f t="shared" si="313"/>
        <v>H1_2025</v>
      </c>
      <c r="AC3362">
        <f t="shared" si="314"/>
        <v>9285300</v>
      </c>
      <c r="AD3362">
        <f t="shared" si="315"/>
        <v>1000</v>
      </c>
      <c r="AE3362">
        <f t="shared" si="316"/>
        <v>1165300</v>
      </c>
      <c r="AF3362" t="str">
        <f t="shared" si="317"/>
        <v>Paid</v>
      </c>
    </row>
    <row r="3363" spans="1:32" ht="17.25" thickBot="1" x14ac:dyDescent="0.35">
      <c r="A3363" s="2" t="s">
        <v>19425</v>
      </c>
      <c r="B3363" s="2" t="s">
        <v>27</v>
      </c>
      <c r="C3363" s="2" t="s">
        <v>28</v>
      </c>
      <c r="D3363" s="2" t="s">
        <v>97</v>
      </c>
      <c r="E3363" s="2" t="s">
        <v>93</v>
      </c>
      <c r="F3363" s="2" t="s">
        <v>31</v>
      </c>
      <c r="G3363" s="2" t="s">
        <v>32</v>
      </c>
      <c r="H3363" s="1"/>
      <c r="I3363" s="2" t="s">
        <v>33</v>
      </c>
      <c r="J3363" s="2" t="s">
        <v>34</v>
      </c>
      <c r="K3363" s="2" t="s">
        <v>19426</v>
      </c>
      <c r="L3363" s="2" t="s">
        <v>19427</v>
      </c>
      <c r="M3363" s="2" t="s">
        <v>1787</v>
      </c>
      <c r="N3363" s="2" t="s">
        <v>38</v>
      </c>
      <c r="O3363" s="2" t="s">
        <v>15572</v>
      </c>
      <c r="P3363" s="2" t="s">
        <v>1414</v>
      </c>
      <c r="Q3363" s="2" t="s">
        <v>19428</v>
      </c>
      <c r="R3363" s="2" t="s">
        <v>40</v>
      </c>
      <c r="S3363" s="2" t="s">
        <v>19429</v>
      </c>
      <c r="T3363" s="2" t="s">
        <v>19430</v>
      </c>
      <c r="U3363" s="2" t="s">
        <v>19431</v>
      </c>
      <c r="V3363" s="2" t="s">
        <v>19432</v>
      </c>
      <c r="W3363" s="1"/>
      <c r="X3363" s="2" t="s">
        <v>1042</v>
      </c>
      <c r="Y3363" s="2" t="s">
        <v>19393</v>
      </c>
      <c r="AA3363" t="str">
        <f t="shared" si="312"/>
        <v>2025-05</v>
      </c>
      <c r="AB3363" t="str">
        <f t="shared" si="313"/>
        <v>H1_2025</v>
      </c>
      <c r="AC3363">
        <f t="shared" si="314"/>
        <v>9181304.6400000006</v>
      </c>
      <c r="AD3363">
        <f t="shared" si="315"/>
        <v>1080</v>
      </c>
      <c r="AE3363">
        <f t="shared" si="316"/>
        <v>2207744.64</v>
      </c>
      <c r="AF3363" t="str">
        <f t="shared" si="317"/>
        <v>Paid</v>
      </c>
    </row>
    <row r="3364" spans="1:32" ht="17.25" thickBot="1" x14ac:dyDescent="0.35">
      <c r="A3364" s="2" t="s">
        <v>19433</v>
      </c>
      <c r="B3364" s="2" t="s">
        <v>27</v>
      </c>
      <c r="C3364" s="2" t="s">
        <v>28</v>
      </c>
      <c r="D3364" s="2" t="s">
        <v>97</v>
      </c>
      <c r="E3364" s="2" t="s">
        <v>93</v>
      </c>
      <c r="F3364" s="2" t="s">
        <v>31</v>
      </c>
      <c r="G3364" s="2" t="s">
        <v>32</v>
      </c>
      <c r="H3364" s="1"/>
      <c r="I3364" s="2" t="s">
        <v>33</v>
      </c>
      <c r="J3364" s="2" t="s">
        <v>34</v>
      </c>
      <c r="K3364" s="2" t="s">
        <v>17906</v>
      </c>
      <c r="L3364" s="2" t="s">
        <v>17907</v>
      </c>
      <c r="M3364" s="2" t="s">
        <v>17908</v>
      </c>
      <c r="N3364" s="2" t="s">
        <v>38</v>
      </c>
      <c r="O3364" s="2" t="s">
        <v>103</v>
      </c>
      <c r="P3364" s="2" t="s">
        <v>1838</v>
      </c>
      <c r="Q3364" s="2" t="s">
        <v>19434</v>
      </c>
      <c r="R3364" s="2" t="s">
        <v>40</v>
      </c>
      <c r="S3364" s="2" t="s">
        <v>19435</v>
      </c>
      <c r="T3364" s="2" t="s">
        <v>17912</v>
      </c>
      <c r="U3364" s="2" t="s">
        <v>19436</v>
      </c>
      <c r="V3364" s="2" t="s">
        <v>19437</v>
      </c>
      <c r="W3364" s="1"/>
      <c r="X3364" s="2" t="s">
        <v>17915</v>
      </c>
      <c r="Y3364" s="2" t="s">
        <v>19393</v>
      </c>
      <c r="AA3364" t="str">
        <f t="shared" si="312"/>
        <v>2025-05</v>
      </c>
      <c r="AB3364" t="str">
        <f t="shared" si="313"/>
        <v>H1_2025</v>
      </c>
      <c r="AC3364">
        <f t="shared" si="314"/>
        <v>321890.40000000002</v>
      </c>
      <c r="AD3364">
        <f t="shared" si="315"/>
        <v>24</v>
      </c>
      <c r="AE3364">
        <f t="shared" si="316"/>
        <v>111626.4</v>
      </c>
      <c r="AF3364" t="str">
        <f t="shared" si="317"/>
        <v>Paid</v>
      </c>
    </row>
    <row r="3365" spans="1:32" ht="17.25" thickBot="1" x14ac:dyDescent="0.35">
      <c r="A3365" s="2" t="s">
        <v>19438</v>
      </c>
      <c r="B3365" s="2" t="s">
        <v>27</v>
      </c>
      <c r="C3365" s="2" t="s">
        <v>28</v>
      </c>
      <c r="D3365" s="2" t="s">
        <v>97</v>
      </c>
      <c r="E3365" s="2" t="s">
        <v>93</v>
      </c>
      <c r="F3365" s="2" t="s">
        <v>31</v>
      </c>
      <c r="G3365" s="2" t="s">
        <v>32</v>
      </c>
      <c r="H3365" s="1"/>
      <c r="I3365" s="2" t="s">
        <v>33</v>
      </c>
      <c r="J3365" s="2" t="s">
        <v>34</v>
      </c>
      <c r="K3365" s="2" t="s">
        <v>17917</v>
      </c>
      <c r="L3365" s="2" t="s">
        <v>17918</v>
      </c>
      <c r="M3365" s="2" t="s">
        <v>17908</v>
      </c>
      <c r="N3365" s="2" t="s">
        <v>38</v>
      </c>
      <c r="O3365" s="2" t="s">
        <v>103</v>
      </c>
      <c r="P3365" s="2" t="s">
        <v>3132</v>
      </c>
      <c r="Q3365" s="2" t="s">
        <v>19439</v>
      </c>
      <c r="R3365" s="2" t="s">
        <v>40</v>
      </c>
      <c r="S3365" s="2" t="s">
        <v>19440</v>
      </c>
      <c r="T3365" s="2" t="s">
        <v>297</v>
      </c>
      <c r="U3365" s="2" t="s">
        <v>7147</v>
      </c>
      <c r="V3365" s="2" t="s">
        <v>19441</v>
      </c>
      <c r="W3365" s="1"/>
      <c r="X3365" s="2" t="s">
        <v>4787</v>
      </c>
      <c r="Y3365" s="2" t="s">
        <v>19393</v>
      </c>
      <c r="AA3365" t="str">
        <f t="shared" si="312"/>
        <v>2025-05</v>
      </c>
      <c r="AB3365" t="str">
        <f t="shared" si="313"/>
        <v>H1_2025</v>
      </c>
      <c r="AC3365">
        <f t="shared" si="314"/>
        <v>291517.15000000002</v>
      </c>
      <c r="AD3365">
        <f t="shared" si="315"/>
        <v>24</v>
      </c>
      <c r="AE3365">
        <f t="shared" si="316"/>
        <v>99517.15</v>
      </c>
      <c r="AF3365" t="str">
        <f t="shared" si="317"/>
        <v>Paid</v>
      </c>
    </row>
    <row r="3366" spans="1:32" ht="17.25" thickBot="1" x14ac:dyDescent="0.35">
      <c r="A3366" s="2" t="s">
        <v>19442</v>
      </c>
      <c r="B3366" s="2" t="s">
        <v>27</v>
      </c>
      <c r="C3366" s="2" t="s">
        <v>28</v>
      </c>
      <c r="D3366" s="2" t="s">
        <v>97</v>
      </c>
      <c r="E3366" s="2" t="s">
        <v>93</v>
      </c>
      <c r="F3366" s="2" t="s">
        <v>31</v>
      </c>
      <c r="G3366" s="2" t="s">
        <v>32</v>
      </c>
      <c r="H3366" s="1"/>
      <c r="I3366" s="2" t="s">
        <v>33</v>
      </c>
      <c r="J3366" s="2" t="s">
        <v>34</v>
      </c>
      <c r="K3366" s="2" t="s">
        <v>19443</v>
      </c>
      <c r="L3366" s="2" t="s">
        <v>19444</v>
      </c>
      <c r="M3366" s="2" t="s">
        <v>17908</v>
      </c>
      <c r="N3366" s="2" t="s">
        <v>38</v>
      </c>
      <c r="O3366" s="2" t="s">
        <v>407</v>
      </c>
      <c r="P3366" s="2" t="s">
        <v>1744</v>
      </c>
      <c r="Q3366" s="2" t="s">
        <v>19445</v>
      </c>
      <c r="R3366" s="2" t="s">
        <v>40</v>
      </c>
      <c r="S3366" s="2" t="s">
        <v>19446</v>
      </c>
      <c r="T3366" s="2" t="s">
        <v>19447</v>
      </c>
      <c r="U3366" s="2" t="s">
        <v>19448</v>
      </c>
      <c r="V3366" s="2" t="s">
        <v>19449</v>
      </c>
      <c r="W3366" s="1"/>
      <c r="X3366" s="2" t="s">
        <v>6800</v>
      </c>
      <c r="Y3366" s="2" t="s">
        <v>19393</v>
      </c>
      <c r="AA3366" t="str">
        <f t="shared" si="312"/>
        <v>2025-05</v>
      </c>
      <c r="AB3366" t="str">
        <f t="shared" si="313"/>
        <v>H1_2025</v>
      </c>
      <c r="AC3366">
        <f t="shared" si="314"/>
        <v>536153.86</v>
      </c>
      <c r="AD3366">
        <f t="shared" si="315"/>
        <v>48</v>
      </c>
      <c r="AE3366">
        <f t="shared" si="316"/>
        <v>191417.86</v>
      </c>
      <c r="AF3366" t="str">
        <f t="shared" si="317"/>
        <v>Paid</v>
      </c>
    </row>
    <row r="3367" spans="1:32" ht="27.75" thickBot="1" x14ac:dyDescent="0.35">
      <c r="A3367" s="2" t="s">
        <v>19450</v>
      </c>
      <c r="B3367" s="2" t="s">
        <v>27</v>
      </c>
      <c r="C3367" s="2" t="s">
        <v>28</v>
      </c>
      <c r="D3367" s="2" t="s">
        <v>97</v>
      </c>
      <c r="E3367" s="2" t="s">
        <v>93</v>
      </c>
      <c r="F3367" s="2" t="s">
        <v>31</v>
      </c>
      <c r="G3367" s="2" t="s">
        <v>32</v>
      </c>
      <c r="H3367" s="1"/>
      <c r="I3367" s="2" t="s">
        <v>33</v>
      </c>
      <c r="J3367" s="2" t="s">
        <v>34</v>
      </c>
      <c r="K3367" s="2" t="s">
        <v>17922</v>
      </c>
      <c r="L3367" s="2" t="s">
        <v>17923</v>
      </c>
      <c r="M3367" s="2" t="s">
        <v>17908</v>
      </c>
      <c r="N3367" s="2" t="s">
        <v>38</v>
      </c>
      <c r="O3367" s="2" t="s">
        <v>378</v>
      </c>
      <c r="P3367" s="2" t="s">
        <v>10181</v>
      </c>
      <c r="Q3367" s="2" t="s">
        <v>9452</v>
      </c>
      <c r="R3367" s="2" t="s">
        <v>40</v>
      </c>
      <c r="S3367" s="2" t="s">
        <v>19451</v>
      </c>
      <c r="T3367" s="2" t="s">
        <v>17016</v>
      </c>
      <c r="U3367" s="2" t="s">
        <v>19452</v>
      </c>
      <c r="V3367" s="2" t="s">
        <v>19453</v>
      </c>
      <c r="W3367" s="1"/>
      <c r="X3367" s="2" t="s">
        <v>1357</v>
      </c>
      <c r="Y3367" s="2" t="s">
        <v>19393</v>
      </c>
      <c r="AA3367" t="str">
        <f t="shared" si="312"/>
        <v>2025-05</v>
      </c>
      <c r="AB3367" t="str">
        <f t="shared" si="313"/>
        <v>H1_2025</v>
      </c>
      <c r="AC3367">
        <f t="shared" si="314"/>
        <v>490263.84</v>
      </c>
      <c r="AD3367">
        <f t="shared" si="315"/>
        <v>45</v>
      </c>
      <c r="AE3367">
        <f t="shared" si="316"/>
        <v>126168.84</v>
      </c>
      <c r="AF3367" t="str">
        <f t="shared" si="317"/>
        <v>Paid</v>
      </c>
    </row>
    <row r="3368" spans="1:32" ht="17.25" thickBot="1" x14ac:dyDescent="0.35">
      <c r="A3368" s="2" t="s">
        <v>19454</v>
      </c>
      <c r="B3368" s="2" t="s">
        <v>27</v>
      </c>
      <c r="C3368" s="2" t="s">
        <v>28</v>
      </c>
      <c r="D3368" s="2" t="s">
        <v>97</v>
      </c>
      <c r="E3368" s="2" t="s">
        <v>93</v>
      </c>
      <c r="F3368" s="2" t="s">
        <v>31</v>
      </c>
      <c r="G3368" s="2" t="s">
        <v>32</v>
      </c>
      <c r="H3368" s="1"/>
      <c r="I3368" s="2" t="s">
        <v>33</v>
      </c>
      <c r="J3368" s="2" t="s">
        <v>34</v>
      </c>
      <c r="K3368" s="2" t="s">
        <v>17929</v>
      </c>
      <c r="L3368" s="2" t="s">
        <v>17930</v>
      </c>
      <c r="M3368" s="2" t="s">
        <v>17908</v>
      </c>
      <c r="N3368" s="2" t="s">
        <v>38</v>
      </c>
      <c r="O3368" s="2" t="s">
        <v>26</v>
      </c>
      <c r="P3368" s="2" t="s">
        <v>104</v>
      </c>
      <c r="Q3368" s="2" t="s">
        <v>104</v>
      </c>
      <c r="R3368" s="2" t="s">
        <v>40</v>
      </c>
      <c r="S3368" s="2" t="s">
        <v>19455</v>
      </c>
      <c r="T3368" s="2" t="s">
        <v>10362</v>
      </c>
      <c r="U3368" s="2" t="s">
        <v>10362</v>
      </c>
      <c r="V3368" s="2" t="s">
        <v>19456</v>
      </c>
      <c r="W3368" s="2" t="s">
        <v>41</v>
      </c>
      <c r="X3368" s="2" t="s">
        <v>19457</v>
      </c>
      <c r="Y3368" s="2" t="s">
        <v>19393</v>
      </c>
      <c r="AA3368" t="str">
        <f t="shared" si="312"/>
        <v>2025-05</v>
      </c>
      <c r="AB3368" t="str">
        <f t="shared" si="313"/>
        <v>H1_2025</v>
      </c>
      <c r="AC3368">
        <f t="shared" si="314"/>
        <v>13.76</v>
      </c>
      <c r="AD3368">
        <f t="shared" si="315"/>
        <v>1</v>
      </c>
      <c r="AE3368">
        <f t="shared" si="316"/>
        <v>-9586.24</v>
      </c>
      <c r="AF3368" t="str">
        <f t="shared" si="317"/>
        <v>Sample</v>
      </c>
    </row>
    <row r="3369" spans="1:32" ht="17.25" thickBot="1" x14ac:dyDescent="0.35">
      <c r="A3369" s="2" t="s">
        <v>19458</v>
      </c>
      <c r="B3369" s="2" t="s">
        <v>27</v>
      </c>
      <c r="C3369" s="2" t="s">
        <v>28</v>
      </c>
      <c r="D3369" s="2" t="s">
        <v>97</v>
      </c>
      <c r="E3369" s="2" t="s">
        <v>93</v>
      </c>
      <c r="F3369" s="2" t="s">
        <v>31</v>
      </c>
      <c r="G3369" s="2" t="s">
        <v>32</v>
      </c>
      <c r="H3369" s="1"/>
      <c r="I3369" s="2" t="s">
        <v>33</v>
      </c>
      <c r="J3369" s="2" t="s">
        <v>34</v>
      </c>
      <c r="K3369" s="2" t="s">
        <v>17935</v>
      </c>
      <c r="L3369" s="2" t="s">
        <v>17936</v>
      </c>
      <c r="M3369" s="2" t="s">
        <v>17908</v>
      </c>
      <c r="N3369" s="2" t="s">
        <v>38</v>
      </c>
      <c r="O3369" s="2" t="s">
        <v>26</v>
      </c>
      <c r="P3369" s="2" t="s">
        <v>104</v>
      </c>
      <c r="Q3369" s="2" t="s">
        <v>104</v>
      </c>
      <c r="R3369" s="2" t="s">
        <v>40</v>
      </c>
      <c r="S3369" s="2" t="s">
        <v>19455</v>
      </c>
      <c r="T3369" s="2" t="s">
        <v>17939</v>
      </c>
      <c r="U3369" s="2" t="s">
        <v>17939</v>
      </c>
      <c r="V3369" s="2" t="s">
        <v>19459</v>
      </c>
      <c r="W3369" s="2" t="s">
        <v>41</v>
      </c>
      <c r="X3369" s="2" t="s">
        <v>19460</v>
      </c>
      <c r="Y3369" s="2" t="s">
        <v>19393</v>
      </c>
      <c r="AA3369" t="str">
        <f t="shared" si="312"/>
        <v>2025-05</v>
      </c>
      <c r="AB3369" t="str">
        <f t="shared" si="313"/>
        <v>H1_2025</v>
      </c>
      <c r="AC3369">
        <f t="shared" si="314"/>
        <v>13.76</v>
      </c>
      <c r="AD3369">
        <f t="shared" si="315"/>
        <v>1</v>
      </c>
      <c r="AE3369">
        <f t="shared" si="316"/>
        <v>-1714.24</v>
      </c>
      <c r="AF3369" t="str">
        <f t="shared" si="317"/>
        <v>Sample</v>
      </c>
    </row>
    <row r="3370" spans="1:32" ht="17.25" thickBot="1" x14ac:dyDescent="0.35">
      <c r="A3370" s="2" t="s">
        <v>19461</v>
      </c>
      <c r="B3370" s="2" t="s">
        <v>27</v>
      </c>
      <c r="C3370" s="2" t="s">
        <v>28</v>
      </c>
      <c r="D3370" s="2" t="s">
        <v>97</v>
      </c>
      <c r="E3370" s="2" t="s">
        <v>93</v>
      </c>
      <c r="F3370" s="2" t="s">
        <v>31</v>
      </c>
      <c r="G3370" s="2" t="s">
        <v>32</v>
      </c>
      <c r="H3370" s="1"/>
      <c r="I3370" s="2" t="s">
        <v>33</v>
      </c>
      <c r="J3370" s="2" t="s">
        <v>34</v>
      </c>
      <c r="K3370" s="2" t="s">
        <v>17943</v>
      </c>
      <c r="L3370" s="2" t="s">
        <v>17944</v>
      </c>
      <c r="M3370" s="2" t="s">
        <v>17908</v>
      </c>
      <c r="N3370" s="2" t="s">
        <v>38</v>
      </c>
      <c r="O3370" s="2" t="s">
        <v>26</v>
      </c>
      <c r="P3370" s="2" t="s">
        <v>104</v>
      </c>
      <c r="Q3370" s="2" t="s">
        <v>104</v>
      </c>
      <c r="R3370" s="2" t="s">
        <v>40</v>
      </c>
      <c r="S3370" s="2" t="s">
        <v>19455</v>
      </c>
      <c r="T3370" s="2" t="s">
        <v>17947</v>
      </c>
      <c r="U3370" s="2" t="s">
        <v>17947</v>
      </c>
      <c r="V3370" s="2" t="s">
        <v>19462</v>
      </c>
      <c r="W3370" s="2" t="s">
        <v>41</v>
      </c>
      <c r="X3370" s="2" t="s">
        <v>19463</v>
      </c>
      <c r="Y3370" s="2" t="s">
        <v>19393</v>
      </c>
      <c r="AA3370" t="str">
        <f t="shared" si="312"/>
        <v>2025-05</v>
      </c>
      <c r="AB3370" t="str">
        <f t="shared" si="313"/>
        <v>H1_2025</v>
      </c>
      <c r="AC3370">
        <f t="shared" si="314"/>
        <v>13.76</v>
      </c>
      <c r="AD3370">
        <f t="shared" si="315"/>
        <v>1</v>
      </c>
      <c r="AE3370">
        <f t="shared" si="316"/>
        <v>-2623.24</v>
      </c>
      <c r="AF3370" t="str">
        <f t="shared" si="317"/>
        <v>Sample</v>
      </c>
    </row>
    <row r="3371" spans="1:32" ht="17.25" thickBot="1" x14ac:dyDescent="0.35">
      <c r="A3371" s="2" t="s">
        <v>19464</v>
      </c>
      <c r="B3371" s="2" t="s">
        <v>27</v>
      </c>
      <c r="C3371" s="2" t="s">
        <v>28</v>
      </c>
      <c r="D3371" s="2" t="s">
        <v>97</v>
      </c>
      <c r="E3371" s="2" t="s">
        <v>93</v>
      </c>
      <c r="F3371" s="2" t="s">
        <v>31</v>
      </c>
      <c r="G3371" s="2" t="s">
        <v>32</v>
      </c>
      <c r="H3371" s="1"/>
      <c r="I3371" s="2" t="s">
        <v>33</v>
      </c>
      <c r="J3371" s="2" t="s">
        <v>34</v>
      </c>
      <c r="K3371" s="2" t="s">
        <v>19465</v>
      </c>
      <c r="L3371" s="2" t="s">
        <v>19466</v>
      </c>
      <c r="M3371" s="2" t="s">
        <v>17908</v>
      </c>
      <c r="N3371" s="2" t="s">
        <v>38</v>
      </c>
      <c r="O3371" s="2" t="s">
        <v>351</v>
      </c>
      <c r="P3371" s="2" t="s">
        <v>3888</v>
      </c>
      <c r="Q3371" s="2" t="s">
        <v>19467</v>
      </c>
      <c r="R3371" s="2" t="s">
        <v>40</v>
      </c>
      <c r="S3371" s="2" t="s">
        <v>19468</v>
      </c>
      <c r="T3371" s="2" t="s">
        <v>7691</v>
      </c>
      <c r="U3371" s="2" t="s">
        <v>19469</v>
      </c>
      <c r="V3371" s="2" t="s">
        <v>19470</v>
      </c>
      <c r="W3371" s="1"/>
      <c r="X3371" s="2" t="s">
        <v>3047</v>
      </c>
      <c r="Y3371" s="2" t="s">
        <v>19393</v>
      </c>
      <c r="AA3371" t="str">
        <f t="shared" si="312"/>
        <v>2025-05</v>
      </c>
      <c r="AB3371" t="str">
        <f t="shared" si="313"/>
        <v>H1_2025</v>
      </c>
      <c r="AC3371">
        <f t="shared" si="314"/>
        <v>402115.39</v>
      </c>
      <c r="AD3371">
        <f t="shared" si="315"/>
        <v>42</v>
      </c>
      <c r="AE3371">
        <f t="shared" si="316"/>
        <v>138649.39000000001</v>
      </c>
      <c r="AF3371" t="str">
        <f t="shared" si="317"/>
        <v>Paid</v>
      </c>
    </row>
    <row r="3372" spans="1:32" ht="17.25" thickBot="1" x14ac:dyDescent="0.35">
      <c r="A3372" s="2" t="s">
        <v>19471</v>
      </c>
      <c r="B3372" s="2" t="s">
        <v>27</v>
      </c>
      <c r="C3372" s="2" t="s">
        <v>28</v>
      </c>
      <c r="D3372" s="2" t="s">
        <v>97</v>
      </c>
      <c r="E3372" s="2" t="s">
        <v>93</v>
      </c>
      <c r="F3372" s="2" t="s">
        <v>31</v>
      </c>
      <c r="G3372" s="2" t="s">
        <v>32</v>
      </c>
      <c r="H3372" s="1"/>
      <c r="I3372" s="2" t="s">
        <v>33</v>
      </c>
      <c r="J3372" s="2" t="s">
        <v>34</v>
      </c>
      <c r="K3372" s="2" t="s">
        <v>17951</v>
      </c>
      <c r="L3372" s="2" t="s">
        <v>17952</v>
      </c>
      <c r="M3372" s="2" t="s">
        <v>17908</v>
      </c>
      <c r="N3372" s="2" t="s">
        <v>38</v>
      </c>
      <c r="O3372" s="2" t="s">
        <v>541</v>
      </c>
      <c r="P3372" s="2" t="s">
        <v>2182</v>
      </c>
      <c r="Q3372" s="2" t="s">
        <v>19472</v>
      </c>
      <c r="R3372" s="2" t="s">
        <v>40</v>
      </c>
      <c r="S3372" s="2" t="s">
        <v>19473</v>
      </c>
      <c r="T3372" s="2" t="s">
        <v>17955</v>
      </c>
      <c r="U3372" s="2" t="s">
        <v>19474</v>
      </c>
      <c r="V3372" s="2" t="s">
        <v>19475</v>
      </c>
      <c r="W3372" s="1"/>
      <c r="X3372" s="2" t="s">
        <v>9227</v>
      </c>
      <c r="Y3372" s="2" t="s">
        <v>19393</v>
      </c>
      <c r="AA3372" t="str">
        <f t="shared" si="312"/>
        <v>2025-05</v>
      </c>
      <c r="AB3372" t="str">
        <f t="shared" si="313"/>
        <v>H1_2025</v>
      </c>
      <c r="AC3372">
        <f t="shared" si="314"/>
        <v>578040.88</v>
      </c>
      <c r="AD3372">
        <f t="shared" si="315"/>
        <v>63</v>
      </c>
      <c r="AE3372">
        <f t="shared" si="316"/>
        <v>211443.88</v>
      </c>
      <c r="AF3372" t="str">
        <f t="shared" si="317"/>
        <v>Paid</v>
      </c>
    </row>
    <row r="3373" spans="1:32" ht="17.25" thickBot="1" x14ac:dyDescent="0.35">
      <c r="A3373" s="2" t="s">
        <v>19476</v>
      </c>
      <c r="B3373" s="2" t="s">
        <v>27</v>
      </c>
      <c r="C3373" s="2" t="s">
        <v>28</v>
      </c>
      <c r="D3373" s="2" t="s">
        <v>97</v>
      </c>
      <c r="E3373" s="2" t="s">
        <v>93</v>
      </c>
      <c r="F3373" s="2" t="s">
        <v>31</v>
      </c>
      <c r="G3373" s="2" t="s">
        <v>32</v>
      </c>
      <c r="H3373" s="1"/>
      <c r="I3373" s="2" t="s">
        <v>33</v>
      </c>
      <c r="J3373" s="2" t="s">
        <v>34</v>
      </c>
      <c r="K3373" s="2" t="s">
        <v>17966</v>
      </c>
      <c r="L3373" s="2" t="s">
        <v>17967</v>
      </c>
      <c r="M3373" s="2" t="s">
        <v>17908</v>
      </c>
      <c r="N3373" s="2" t="s">
        <v>38</v>
      </c>
      <c r="O3373" s="2" t="s">
        <v>138</v>
      </c>
      <c r="P3373" s="2" t="s">
        <v>949</v>
      </c>
      <c r="Q3373" s="2" t="s">
        <v>4246</v>
      </c>
      <c r="R3373" s="2" t="s">
        <v>40</v>
      </c>
      <c r="S3373" s="2" t="s">
        <v>19477</v>
      </c>
      <c r="T3373" s="2" t="s">
        <v>2111</v>
      </c>
      <c r="U3373" s="2" t="s">
        <v>3331</v>
      </c>
      <c r="V3373" s="2" t="s">
        <v>19478</v>
      </c>
      <c r="W3373" s="1"/>
      <c r="X3373" s="2" t="s">
        <v>1513</v>
      </c>
      <c r="Y3373" s="2" t="s">
        <v>19393</v>
      </c>
      <c r="AA3373" t="str">
        <f t="shared" si="312"/>
        <v>2025-05</v>
      </c>
      <c r="AB3373" t="str">
        <f t="shared" si="313"/>
        <v>H1_2025</v>
      </c>
      <c r="AC3373">
        <f t="shared" si="314"/>
        <v>263702.52</v>
      </c>
      <c r="AD3373">
        <f t="shared" si="315"/>
        <v>18</v>
      </c>
      <c r="AE3373">
        <f t="shared" si="316"/>
        <v>83702.52</v>
      </c>
      <c r="AF3373" t="str">
        <f t="shared" si="317"/>
        <v>Paid</v>
      </c>
    </row>
    <row r="3374" spans="1:32" ht="17.25" thickBot="1" x14ac:dyDescent="0.35">
      <c r="A3374" s="2" t="s">
        <v>19479</v>
      </c>
      <c r="B3374" s="2" t="s">
        <v>27</v>
      </c>
      <c r="C3374" s="2" t="s">
        <v>28</v>
      </c>
      <c r="D3374" s="2" t="s">
        <v>97</v>
      </c>
      <c r="E3374" s="2" t="s">
        <v>93</v>
      </c>
      <c r="F3374" s="2" t="s">
        <v>31</v>
      </c>
      <c r="G3374" s="2" t="s">
        <v>32</v>
      </c>
      <c r="H3374" s="1"/>
      <c r="I3374" s="2" t="s">
        <v>33</v>
      </c>
      <c r="J3374" s="2" t="s">
        <v>34</v>
      </c>
      <c r="K3374" s="2" t="s">
        <v>19480</v>
      </c>
      <c r="L3374" s="2" t="s">
        <v>19481</v>
      </c>
      <c r="M3374" s="2" t="s">
        <v>17908</v>
      </c>
      <c r="N3374" s="2" t="s">
        <v>38</v>
      </c>
      <c r="O3374" s="2" t="s">
        <v>214</v>
      </c>
      <c r="P3374" s="2" t="s">
        <v>2720</v>
      </c>
      <c r="Q3374" s="2" t="s">
        <v>3510</v>
      </c>
      <c r="R3374" s="2" t="s">
        <v>40</v>
      </c>
      <c r="S3374" s="2" t="s">
        <v>19482</v>
      </c>
      <c r="T3374" s="2" t="s">
        <v>7691</v>
      </c>
      <c r="U3374" s="2" t="s">
        <v>7692</v>
      </c>
      <c r="V3374" s="2" t="s">
        <v>19483</v>
      </c>
      <c r="W3374" s="1"/>
      <c r="X3374" s="2" t="s">
        <v>6320</v>
      </c>
      <c r="Y3374" s="2" t="s">
        <v>19393</v>
      </c>
      <c r="AA3374" t="str">
        <f t="shared" si="312"/>
        <v>2025-05</v>
      </c>
      <c r="AB3374" t="str">
        <f t="shared" si="313"/>
        <v>H1_2025</v>
      </c>
      <c r="AC3374">
        <f t="shared" si="314"/>
        <v>482147.8</v>
      </c>
      <c r="AD3374">
        <f t="shared" si="315"/>
        <v>50</v>
      </c>
      <c r="AE3374">
        <f t="shared" si="316"/>
        <v>168497.8</v>
      </c>
      <c r="AF3374" t="str">
        <f t="shared" si="317"/>
        <v>Paid</v>
      </c>
    </row>
    <row r="3375" spans="1:32" ht="17.25" thickBot="1" x14ac:dyDescent="0.35">
      <c r="A3375" s="2" t="s">
        <v>19484</v>
      </c>
      <c r="B3375" s="2" t="s">
        <v>27</v>
      </c>
      <c r="C3375" s="2" t="s">
        <v>28</v>
      </c>
      <c r="D3375" s="2" t="s">
        <v>97</v>
      </c>
      <c r="E3375" s="2" t="s">
        <v>93</v>
      </c>
      <c r="F3375" s="2" t="s">
        <v>31</v>
      </c>
      <c r="G3375" s="2" t="s">
        <v>32</v>
      </c>
      <c r="H3375" s="1"/>
      <c r="I3375" s="2" t="s">
        <v>33</v>
      </c>
      <c r="J3375" s="2" t="s">
        <v>34</v>
      </c>
      <c r="K3375" s="2" t="s">
        <v>19485</v>
      </c>
      <c r="L3375" s="2" t="s">
        <v>19486</v>
      </c>
      <c r="M3375" s="2" t="s">
        <v>17908</v>
      </c>
      <c r="N3375" s="2" t="s">
        <v>38</v>
      </c>
      <c r="O3375" s="2" t="s">
        <v>131</v>
      </c>
      <c r="P3375" s="2" t="s">
        <v>2182</v>
      </c>
      <c r="Q3375" s="2" t="s">
        <v>13035</v>
      </c>
      <c r="R3375" s="2" t="s">
        <v>40</v>
      </c>
      <c r="S3375" s="2" t="s">
        <v>19487</v>
      </c>
      <c r="T3375" s="2" t="s">
        <v>18768</v>
      </c>
      <c r="U3375" s="2" t="s">
        <v>19488</v>
      </c>
      <c r="V3375" s="2" t="s">
        <v>19489</v>
      </c>
      <c r="W3375" s="1"/>
      <c r="X3375" s="2" t="s">
        <v>9642</v>
      </c>
      <c r="Y3375" s="2" t="s">
        <v>19393</v>
      </c>
      <c r="AA3375" t="str">
        <f t="shared" si="312"/>
        <v>2025-05</v>
      </c>
      <c r="AB3375" t="str">
        <f t="shared" si="313"/>
        <v>H1_2025</v>
      </c>
      <c r="AC3375">
        <f t="shared" si="314"/>
        <v>367010.08</v>
      </c>
      <c r="AD3375">
        <f t="shared" si="315"/>
        <v>40</v>
      </c>
      <c r="AE3375">
        <f t="shared" si="316"/>
        <v>134850.07999999999</v>
      </c>
      <c r="AF3375" t="str">
        <f t="shared" si="317"/>
        <v>Paid</v>
      </c>
    </row>
    <row r="3376" spans="1:32" ht="17.25" thickBot="1" x14ac:dyDescent="0.35">
      <c r="A3376" s="2" t="s">
        <v>19490</v>
      </c>
      <c r="B3376" s="2" t="s">
        <v>27</v>
      </c>
      <c r="C3376" s="2" t="s">
        <v>28</v>
      </c>
      <c r="D3376" s="2" t="s">
        <v>97</v>
      </c>
      <c r="E3376" s="2" t="s">
        <v>93</v>
      </c>
      <c r="F3376" s="2" t="s">
        <v>31</v>
      </c>
      <c r="G3376" s="2" t="s">
        <v>32</v>
      </c>
      <c r="H3376" s="1"/>
      <c r="I3376" s="2" t="s">
        <v>33</v>
      </c>
      <c r="J3376" s="2" t="s">
        <v>34</v>
      </c>
      <c r="K3376" s="2" t="s">
        <v>19491</v>
      </c>
      <c r="L3376" s="2" t="s">
        <v>19492</v>
      </c>
      <c r="M3376" s="2" t="s">
        <v>17908</v>
      </c>
      <c r="N3376" s="2" t="s">
        <v>38</v>
      </c>
      <c r="O3376" s="2" t="s">
        <v>762</v>
      </c>
      <c r="P3376" s="2" t="s">
        <v>4920</v>
      </c>
      <c r="Q3376" s="2" t="s">
        <v>19493</v>
      </c>
      <c r="R3376" s="2" t="s">
        <v>40</v>
      </c>
      <c r="S3376" s="2" t="s">
        <v>19494</v>
      </c>
      <c r="T3376" s="2" t="s">
        <v>17962</v>
      </c>
      <c r="U3376" s="2" t="s">
        <v>19495</v>
      </c>
      <c r="V3376" s="2" t="s">
        <v>19496</v>
      </c>
      <c r="W3376" s="1"/>
      <c r="X3376" s="2" t="s">
        <v>17964</v>
      </c>
      <c r="Y3376" s="2" t="s">
        <v>19393</v>
      </c>
      <c r="AA3376" t="str">
        <f t="shared" si="312"/>
        <v>2025-05</v>
      </c>
      <c r="AB3376" t="str">
        <f t="shared" si="313"/>
        <v>H1_2025</v>
      </c>
      <c r="AC3376">
        <f t="shared" si="314"/>
        <v>737211.55</v>
      </c>
      <c r="AD3376">
        <f t="shared" si="315"/>
        <v>88</v>
      </c>
      <c r="AE3376">
        <f t="shared" si="316"/>
        <v>258403.55</v>
      </c>
      <c r="AF3376" t="str">
        <f t="shared" si="317"/>
        <v>Paid</v>
      </c>
    </row>
    <row r="3377" spans="1:32" ht="17.25" thickBot="1" x14ac:dyDescent="0.35">
      <c r="A3377" s="2" t="s">
        <v>19497</v>
      </c>
      <c r="B3377" s="2" t="s">
        <v>27</v>
      </c>
      <c r="C3377" s="2" t="s">
        <v>28</v>
      </c>
      <c r="D3377" s="2" t="s">
        <v>97</v>
      </c>
      <c r="E3377" s="2" t="s">
        <v>93</v>
      </c>
      <c r="F3377" s="2" t="s">
        <v>31</v>
      </c>
      <c r="G3377" s="2" t="s">
        <v>32</v>
      </c>
      <c r="H3377" s="1"/>
      <c r="I3377" s="2" t="s">
        <v>33</v>
      </c>
      <c r="J3377" s="2" t="s">
        <v>34</v>
      </c>
      <c r="K3377" s="2" t="s">
        <v>19498</v>
      </c>
      <c r="L3377" s="2" t="s">
        <v>19499</v>
      </c>
      <c r="M3377" s="2" t="s">
        <v>17908</v>
      </c>
      <c r="N3377" s="2" t="s">
        <v>38</v>
      </c>
      <c r="O3377" s="2" t="s">
        <v>291</v>
      </c>
      <c r="P3377" s="2" t="s">
        <v>19500</v>
      </c>
      <c r="Q3377" s="2" t="s">
        <v>19501</v>
      </c>
      <c r="R3377" s="2" t="s">
        <v>40</v>
      </c>
      <c r="S3377" s="2" t="s">
        <v>19502</v>
      </c>
      <c r="T3377" s="2" t="s">
        <v>1747</v>
      </c>
      <c r="U3377" s="2" t="s">
        <v>11079</v>
      </c>
      <c r="V3377" s="2" t="s">
        <v>19503</v>
      </c>
      <c r="W3377" s="1"/>
      <c r="X3377" s="2" t="s">
        <v>876</v>
      </c>
      <c r="Y3377" s="2" t="s">
        <v>19393</v>
      </c>
      <c r="AA3377" t="str">
        <f t="shared" si="312"/>
        <v>2025-05</v>
      </c>
      <c r="AB3377" t="str">
        <f t="shared" si="313"/>
        <v>H1_2025</v>
      </c>
      <c r="AC3377">
        <f t="shared" si="314"/>
        <v>488282.98</v>
      </c>
      <c r="AD3377">
        <f t="shared" si="315"/>
        <v>36</v>
      </c>
      <c r="AE3377">
        <f t="shared" si="316"/>
        <v>164282.98000000001</v>
      </c>
      <c r="AF3377" t="str">
        <f t="shared" si="317"/>
        <v>Paid</v>
      </c>
    </row>
    <row r="3378" spans="1:32" ht="17.25" thickBot="1" x14ac:dyDescent="0.35">
      <c r="A3378" s="2" t="s">
        <v>19504</v>
      </c>
      <c r="B3378" s="2" t="s">
        <v>27</v>
      </c>
      <c r="C3378" s="2" t="s">
        <v>28</v>
      </c>
      <c r="D3378" s="2" t="s">
        <v>97</v>
      </c>
      <c r="E3378" s="2" t="s">
        <v>93</v>
      </c>
      <c r="F3378" s="2" t="s">
        <v>31</v>
      </c>
      <c r="G3378" s="2" t="s">
        <v>32</v>
      </c>
      <c r="H3378" s="1"/>
      <c r="I3378" s="2" t="s">
        <v>33</v>
      </c>
      <c r="J3378" s="2" t="s">
        <v>34</v>
      </c>
      <c r="K3378" s="2" t="s">
        <v>18764</v>
      </c>
      <c r="L3378" s="2" t="s">
        <v>18765</v>
      </c>
      <c r="M3378" s="2" t="s">
        <v>17908</v>
      </c>
      <c r="N3378" s="2" t="s">
        <v>38</v>
      </c>
      <c r="O3378" s="2" t="s">
        <v>524</v>
      </c>
      <c r="P3378" s="2" t="s">
        <v>40</v>
      </c>
      <c r="Q3378" s="2" t="s">
        <v>40</v>
      </c>
      <c r="R3378" s="2" t="s">
        <v>40</v>
      </c>
      <c r="S3378" s="2" t="s">
        <v>40</v>
      </c>
      <c r="T3378" s="2" t="s">
        <v>18768</v>
      </c>
      <c r="U3378" s="2" t="s">
        <v>19505</v>
      </c>
      <c r="V3378" s="2" t="s">
        <v>19506</v>
      </c>
      <c r="W3378" s="2" t="s">
        <v>41</v>
      </c>
      <c r="X3378" s="2" t="s">
        <v>42</v>
      </c>
      <c r="Y3378" s="2" t="s">
        <v>19393</v>
      </c>
      <c r="AA3378" t="str">
        <f t="shared" si="312"/>
        <v>2025-05</v>
      </c>
      <c r="AB3378" t="str">
        <f t="shared" si="313"/>
        <v>H1_2025</v>
      </c>
      <c r="AC3378">
        <f t="shared" si="314"/>
        <v>0</v>
      </c>
      <c r="AD3378">
        <f t="shared" si="315"/>
        <v>61</v>
      </c>
      <c r="AE3378">
        <f t="shared" si="316"/>
        <v>-354044</v>
      </c>
      <c r="AF3378" t="str">
        <f t="shared" si="317"/>
        <v>Sample</v>
      </c>
    </row>
    <row r="3379" spans="1:32" ht="17.25" thickBot="1" x14ac:dyDescent="0.35">
      <c r="A3379" s="2" t="s">
        <v>19507</v>
      </c>
      <c r="B3379" s="2" t="s">
        <v>27</v>
      </c>
      <c r="C3379" s="2" t="s">
        <v>28</v>
      </c>
      <c r="D3379" s="2" t="s">
        <v>97</v>
      </c>
      <c r="E3379" s="2" t="s">
        <v>93</v>
      </c>
      <c r="F3379" s="2" t="s">
        <v>31</v>
      </c>
      <c r="G3379" s="2" t="s">
        <v>32</v>
      </c>
      <c r="H3379" s="1"/>
      <c r="I3379" s="2" t="s">
        <v>33</v>
      </c>
      <c r="J3379" s="2" t="s">
        <v>34</v>
      </c>
      <c r="K3379" s="2" t="s">
        <v>19508</v>
      </c>
      <c r="L3379" s="2" t="s">
        <v>19509</v>
      </c>
      <c r="M3379" s="2" t="s">
        <v>17908</v>
      </c>
      <c r="N3379" s="2" t="s">
        <v>38</v>
      </c>
      <c r="O3379" s="2" t="s">
        <v>1631</v>
      </c>
      <c r="P3379" s="2" t="s">
        <v>8987</v>
      </c>
      <c r="Q3379" s="2" t="s">
        <v>19510</v>
      </c>
      <c r="R3379" s="2" t="s">
        <v>40</v>
      </c>
      <c r="S3379" s="2" t="s">
        <v>19511</v>
      </c>
      <c r="T3379" s="2" t="s">
        <v>19447</v>
      </c>
      <c r="U3379" s="2" t="s">
        <v>19512</v>
      </c>
      <c r="V3379" s="2" t="s">
        <v>19513</v>
      </c>
      <c r="W3379" s="1"/>
      <c r="X3379" s="2" t="s">
        <v>6270</v>
      </c>
      <c r="Y3379" s="2" t="s">
        <v>19393</v>
      </c>
      <c r="AA3379" t="str">
        <f t="shared" si="312"/>
        <v>2025-05</v>
      </c>
      <c r="AB3379" t="str">
        <f t="shared" si="313"/>
        <v>H1_2025</v>
      </c>
      <c r="AC3379">
        <f t="shared" si="314"/>
        <v>2093525.64</v>
      </c>
      <c r="AD3379">
        <f t="shared" si="315"/>
        <v>190</v>
      </c>
      <c r="AE3379">
        <f t="shared" si="316"/>
        <v>728945.64</v>
      </c>
      <c r="AF3379" t="str">
        <f t="shared" si="317"/>
        <v>Paid</v>
      </c>
    </row>
    <row r="3380" spans="1:32" ht="17.25" thickBot="1" x14ac:dyDescent="0.35">
      <c r="A3380" s="2" t="s">
        <v>19514</v>
      </c>
      <c r="B3380" s="2" t="s">
        <v>27</v>
      </c>
      <c r="C3380" s="2" t="s">
        <v>28</v>
      </c>
      <c r="D3380" s="2" t="s">
        <v>97</v>
      </c>
      <c r="E3380" s="2" t="s">
        <v>93</v>
      </c>
      <c r="F3380" s="2" t="s">
        <v>31</v>
      </c>
      <c r="G3380" s="2" t="s">
        <v>32</v>
      </c>
      <c r="H3380" s="1"/>
      <c r="I3380" s="2" t="s">
        <v>33</v>
      </c>
      <c r="J3380" s="2" t="s">
        <v>34</v>
      </c>
      <c r="K3380" s="2" t="s">
        <v>19515</v>
      </c>
      <c r="L3380" s="2" t="s">
        <v>19516</v>
      </c>
      <c r="M3380" s="2" t="s">
        <v>17908</v>
      </c>
      <c r="N3380" s="2" t="s">
        <v>38</v>
      </c>
      <c r="O3380" s="2" t="s">
        <v>1158</v>
      </c>
      <c r="P3380" s="2" t="s">
        <v>19517</v>
      </c>
      <c r="Q3380" s="2" t="s">
        <v>19518</v>
      </c>
      <c r="R3380" s="2" t="s">
        <v>40</v>
      </c>
      <c r="S3380" s="2" t="s">
        <v>19519</v>
      </c>
      <c r="T3380" s="2" t="s">
        <v>2411</v>
      </c>
      <c r="U3380" s="2" t="s">
        <v>1748</v>
      </c>
      <c r="V3380" s="2" t="s">
        <v>19520</v>
      </c>
      <c r="W3380" s="1"/>
      <c r="X3380" s="2" t="s">
        <v>18389</v>
      </c>
      <c r="Y3380" s="2" t="s">
        <v>19393</v>
      </c>
      <c r="AA3380" t="str">
        <f t="shared" si="312"/>
        <v>2025-05</v>
      </c>
      <c r="AB3380" t="str">
        <f t="shared" si="313"/>
        <v>H1_2025</v>
      </c>
      <c r="AC3380">
        <f t="shared" si="314"/>
        <v>859199.76</v>
      </c>
      <c r="AD3380">
        <f t="shared" si="315"/>
        <v>180</v>
      </c>
      <c r="AE3380">
        <f t="shared" si="316"/>
        <v>319199.76</v>
      </c>
      <c r="AF3380" t="str">
        <f t="shared" si="317"/>
        <v>Paid</v>
      </c>
    </row>
    <row r="3381" spans="1:32" ht="17.25" thickBot="1" x14ac:dyDescent="0.35">
      <c r="A3381" s="2" t="s">
        <v>19521</v>
      </c>
      <c r="B3381" s="2" t="s">
        <v>27</v>
      </c>
      <c r="C3381" s="2" t="s">
        <v>28</v>
      </c>
      <c r="D3381" s="2" t="s">
        <v>97</v>
      </c>
      <c r="E3381" s="2" t="s">
        <v>93</v>
      </c>
      <c r="F3381" s="2" t="s">
        <v>31</v>
      </c>
      <c r="G3381" s="2" t="s">
        <v>32</v>
      </c>
      <c r="H3381" s="1"/>
      <c r="I3381" s="2" t="s">
        <v>33</v>
      </c>
      <c r="J3381" s="2" t="s">
        <v>34</v>
      </c>
      <c r="K3381" s="2" t="s">
        <v>19522</v>
      </c>
      <c r="L3381" s="2" t="s">
        <v>19523</v>
      </c>
      <c r="M3381" s="2" t="s">
        <v>17908</v>
      </c>
      <c r="N3381" s="2" t="s">
        <v>38</v>
      </c>
      <c r="O3381" s="2" t="s">
        <v>541</v>
      </c>
      <c r="P3381" s="2" t="s">
        <v>3888</v>
      </c>
      <c r="Q3381" s="2" t="s">
        <v>19524</v>
      </c>
      <c r="R3381" s="2" t="s">
        <v>40</v>
      </c>
      <c r="S3381" s="2" t="s">
        <v>19525</v>
      </c>
      <c r="T3381" s="2" t="s">
        <v>7691</v>
      </c>
      <c r="U3381" s="2" t="s">
        <v>19526</v>
      </c>
      <c r="V3381" s="2" t="s">
        <v>19527</v>
      </c>
      <c r="W3381" s="1"/>
      <c r="X3381" s="2" t="s">
        <v>3047</v>
      </c>
      <c r="Y3381" s="2" t="s">
        <v>19393</v>
      </c>
      <c r="AA3381" t="str">
        <f t="shared" si="312"/>
        <v>2025-05</v>
      </c>
      <c r="AB3381" t="str">
        <f t="shared" si="313"/>
        <v>H1_2025</v>
      </c>
      <c r="AC3381">
        <f t="shared" si="314"/>
        <v>603173.09</v>
      </c>
      <c r="AD3381">
        <f t="shared" si="315"/>
        <v>63</v>
      </c>
      <c r="AE3381">
        <f t="shared" si="316"/>
        <v>207974.09</v>
      </c>
      <c r="AF3381" t="str">
        <f t="shared" si="317"/>
        <v>Paid</v>
      </c>
    </row>
    <row r="3382" spans="1:32" ht="17.25" thickBot="1" x14ac:dyDescent="0.35">
      <c r="A3382" s="2" t="s">
        <v>19528</v>
      </c>
      <c r="B3382" s="2" t="s">
        <v>27</v>
      </c>
      <c r="C3382" s="2" t="s">
        <v>28</v>
      </c>
      <c r="D3382" s="2" t="s">
        <v>97</v>
      </c>
      <c r="E3382" s="2" t="s">
        <v>93</v>
      </c>
      <c r="F3382" s="2" t="s">
        <v>31</v>
      </c>
      <c r="G3382" s="2" t="s">
        <v>32</v>
      </c>
      <c r="H3382" s="1"/>
      <c r="I3382" s="2" t="s">
        <v>33</v>
      </c>
      <c r="J3382" s="2" t="s">
        <v>34</v>
      </c>
      <c r="K3382" s="2" t="s">
        <v>17975</v>
      </c>
      <c r="L3382" s="2" t="s">
        <v>17976</v>
      </c>
      <c r="M3382" s="2" t="s">
        <v>17908</v>
      </c>
      <c r="N3382" s="2" t="s">
        <v>38</v>
      </c>
      <c r="O3382" s="2" t="s">
        <v>26</v>
      </c>
      <c r="P3382" s="2" t="s">
        <v>40</v>
      </c>
      <c r="Q3382" s="2" t="s">
        <v>40</v>
      </c>
      <c r="R3382" s="2" t="s">
        <v>40</v>
      </c>
      <c r="S3382" s="2" t="s">
        <v>40</v>
      </c>
      <c r="T3382" s="2" t="s">
        <v>3079</v>
      </c>
      <c r="U3382" s="2" t="s">
        <v>3079</v>
      </c>
      <c r="V3382" s="2" t="s">
        <v>19529</v>
      </c>
      <c r="W3382" s="2" t="s">
        <v>41</v>
      </c>
      <c r="X3382" s="2" t="s">
        <v>42</v>
      </c>
      <c r="Y3382" s="2" t="s">
        <v>19393</v>
      </c>
      <c r="AA3382" t="str">
        <f t="shared" si="312"/>
        <v>2025-05</v>
      </c>
      <c r="AB3382" t="str">
        <f t="shared" si="313"/>
        <v>H1_2025</v>
      </c>
      <c r="AC3382">
        <f t="shared" si="314"/>
        <v>0</v>
      </c>
      <c r="AD3382">
        <f t="shared" si="315"/>
        <v>1</v>
      </c>
      <c r="AE3382">
        <f t="shared" si="316"/>
        <v>-5800</v>
      </c>
      <c r="AF3382" t="str">
        <f t="shared" si="317"/>
        <v>Sample</v>
      </c>
    </row>
    <row r="3383" spans="1:32" ht="17.25" thickBot="1" x14ac:dyDescent="0.35">
      <c r="A3383" s="2" t="s">
        <v>19530</v>
      </c>
      <c r="B3383" s="2" t="s">
        <v>27</v>
      </c>
      <c r="C3383" s="2" t="s">
        <v>28</v>
      </c>
      <c r="D3383" s="2" t="s">
        <v>97</v>
      </c>
      <c r="E3383" s="2" t="s">
        <v>93</v>
      </c>
      <c r="F3383" s="2" t="s">
        <v>31</v>
      </c>
      <c r="G3383" s="2" t="s">
        <v>32</v>
      </c>
      <c r="H3383" s="1"/>
      <c r="I3383" s="2" t="s">
        <v>33</v>
      </c>
      <c r="J3383" s="2" t="s">
        <v>34</v>
      </c>
      <c r="K3383" s="2" t="s">
        <v>17975</v>
      </c>
      <c r="L3383" s="2" t="s">
        <v>17976</v>
      </c>
      <c r="M3383" s="2" t="s">
        <v>17908</v>
      </c>
      <c r="N3383" s="2" t="s">
        <v>38</v>
      </c>
      <c r="O3383" s="2" t="s">
        <v>887</v>
      </c>
      <c r="P3383" s="2" t="s">
        <v>2182</v>
      </c>
      <c r="Q3383" s="2" t="s">
        <v>19531</v>
      </c>
      <c r="R3383" s="2" t="s">
        <v>40</v>
      </c>
      <c r="S3383" s="2" t="s">
        <v>19532</v>
      </c>
      <c r="T3383" s="2" t="s">
        <v>3079</v>
      </c>
      <c r="U3383" s="2" t="s">
        <v>19533</v>
      </c>
      <c r="V3383" s="2" t="s">
        <v>19534</v>
      </c>
      <c r="W3383" s="1"/>
      <c r="X3383" s="2" t="s">
        <v>8769</v>
      </c>
      <c r="Y3383" s="2" t="s">
        <v>19393</v>
      </c>
      <c r="AA3383" t="str">
        <f t="shared" si="312"/>
        <v>2025-05</v>
      </c>
      <c r="AB3383" t="str">
        <f t="shared" si="313"/>
        <v>H1_2025</v>
      </c>
      <c r="AC3383">
        <f t="shared" si="314"/>
        <v>926700.45</v>
      </c>
      <c r="AD3383">
        <f t="shared" si="315"/>
        <v>101</v>
      </c>
      <c r="AE3383">
        <f t="shared" si="316"/>
        <v>340900.45</v>
      </c>
      <c r="AF3383" t="str">
        <f t="shared" si="317"/>
        <v>Paid</v>
      </c>
    </row>
    <row r="3384" spans="1:32" ht="27.75" thickBot="1" x14ac:dyDescent="0.35">
      <c r="A3384" s="2" t="s">
        <v>19535</v>
      </c>
      <c r="B3384" s="2" t="s">
        <v>27</v>
      </c>
      <c r="C3384" s="2" t="s">
        <v>28</v>
      </c>
      <c r="D3384" s="2" t="s">
        <v>97</v>
      </c>
      <c r="E3384" s="2" t="s">
        <v>93</v>
      </c>
      <c r="F3384" s="2" t="s">
        <v>31</v>
      </c>
      <c r="G3384" s="2" t="s">
        <v>32</v>
      </c>
      <c r="H3384" s="1"/>
      <c r="I3384" s="2" t="s">
        <v>33</v>
      </c>
      <c r="J3384" s="2" t="s">
        <v>34</v>
      </c>
      <c r="K3384" s="2" t="s">
        <v>18930</v>
      </c>
      <c r="L3384" s="2" t="s">
        <v>18931</v>
      </c>
      <c r="M3384" s="2" t="s">
        <v>16013</v>
      </c>
      <c r="N3384" s="2" t="s">
        <v>38</v>
      </c>
      <c r="O3384" s="2" t="s">
        <v>206</v>
      </c>
      <c r="P3384" s="2" t="s">
        <v>6229</v>
      </c>
      <c r="Q3384" s="2" t="s">
        <v>19536</v>
      </c>
      <c r="R3384" s="2" t="s">
        <v>40</v>
      </c>
      <c r="S3384" s="2" t="s">
        <v>19537</v>
      </c>
      <c r="T3384" s="2" t="s">
        <v>12077</v>
      </c>
      <c r="U3384" s="2" t="s">
        <v>9517</v>
      </c>
      <c r="V3384" s="2" t="s">
        <v>19538</v>
      </c>
      <c r="W3384" s="1"/>
      <c r="X3384" s="2" t="s">
        <v>17964</v>
      </c>
      <c r="Y3384" s="2" t="s">
        <v>19393</v>
      </c>
      <c r="AA3384" t="str">
        <f t="shared" si="312"/>
        <v>2025-05</v>
      </c>
      <c r="AB3384" t="str">
        <f t="shared" si="313"/>
        <v>H1_2025</v>
      </c>
      <c r="AC3384">
        <f t="shared" si="314"/>
        <v>4931526</v>
      </c>
      <c r="AD3384">
        <f t="shared" si="315"/>
        <v>500</v>
      </c>
      <c r="AE3384">
        <f t="shared" si="316"/>
        <v>1731526</v>
      </c>
      <c r="AF3384" t="str">
        <f t="shared" si="317"/>
        <v>Paid</v>
      </c>
    </row>
    <row r="3385" spans="1:32" ht="27.75" thickBot="1" x14ac:dyDescent="0.35">
      <c r="A3385" s="2" t="s">
        <v>19539</v>
      </c>
      <c r="B3385" s="2" t="s">
        <v>27</v>
      </c>
      <c r="C3385" s="2" t="s">
        <v>28</v>
      </c>
      <c r="D3385" s="2" t="s">
        <v>97</v>
      </c>
      <c r="E3385" s="2" t="s">
        <v>93</v>
      </c>
      <c r="F3385" s="2" t="s">
        <v>31</v>
      </c>
      <c r="G3385" s="2" t="s">
        <v>32</v>
      </c>
      <c r="H3385" s="1"/>
      <c r="I3385" s="2" t="s">
        <v>33</v>
      </c>
      <c r="J3385" s="2" t="s">
        <v>34</v>
      </c>
      <c r="K3385" s="2" t="s">
        <v>18942</v>
      </c>
      <c r="L3385" s="2" t="s">
        <v>18943</v>
      </c>
      <c r="M3385" s="2" t="s">
        <v>16013</v>
      </c>
      <c r="N3385" s="2" t="s">
        <v>38</v>
      </c>
      <c r="O3385" s="2" t="s">
        <v>428</v>
      </c>
      <c r="P3385" s="2" t="s">
        <v>18944</v>
      </c>
      <c r="Q3385" s="2" t="s">
        <v>19540</v>
      </c>
      <c r="R3385" s="2" t="s">
        <v>40</v>
      </c>
      <c r="S3385" s="2" t="s">
        <v>19541</v>
      </c>
      <c r="T3385" s="2" t="s">
        <v>864</v>
      </c>
      <c r="U3385" s="2" t="s">
        <v>4391</v>
      </c>
      <c r="V3385" s="2" t="s">
        <v>19542</v>
      </c>
      <c r="W3385" s="1"/>
      <c r="X3385" s="2" t="s">
        <v>7722</v>
      </c>
      <c r="Y3385" s="2" t="s">
        <v>19393</v>
      </c>
      <c r="AA3385" t="str">
        <f t="shared" si="312"/>
        <v>2025-05</v>
      </c>
      <c r="AB3385" t="str">
        <f t="shared" si="313"/>
        <v>H1_2025</v>
      </c>
      <c r="AC3385">
        <f t="shared" si="314"/>
        <v>2813102</v>
      </c>
      <c r="AD3385">
        <f t="shared" si="315"/>
        <v>250</v>
      </c>
      <c r="AE3385">
        <f t="shared" si="316"/>
        <v>938102</v>
      </c>
      <c r="AF3385" t="str">
        <f t="shared" si="317"/>
        <v>Paid</v>
      </c>
    </row>
    <row r="3386" spans="1:32" ht="17.25" thickBot="1" x14ac:dyDescent="0.35">
      <c r="A3386" s="2" t="s">
        <v>19543</v>
      </c>
      <c r="B3386" s="2" t="s">
        <v>27</v>
      </c>
      <c r="C3386" s="2" t="s">
        <v>28</v>
      </c>
      <c r="D3386" s="2" t="s">
        <v>97</v>
      </c>
      <c r="E3386" s="2" t="s">
        <v>93</v>
      </c>
      <c r="F3386" s="2" t="s">
        <v>31</v>
      </c>
      <c r="G3386" s="2" t="s">
        <v>32</v>
      </c>
      <c r="H3386" s="1"/>
      <c r="I3386" s="2" t="s">
        <v>33</v>
      </c>
      <c r="J3386" s="2" t="s">
        <v>34</v>
      </c>
      <c r="K3386" s="2" t="s">
        <v>18949</v>
      </c>
      <c r="L3386" s="2" t="s">
        <v>18950</v>
      </c>
      <c r="M3386" s="2" t="s">
        <v>16013</v>
      </c>
      <c r="N3386" s="2" t="s">
        <v>38</v>
      </c>
      <c r="O3386" s="2" t="s">
        <v>428</v>
      </c>
      <c r="P3386" s="2" t="s">
        <v>9216</v>
      </c>
      <c r="Q3386" s="2" t="s">
        <v>12163</v>
      </c>
      <c r="R3386" s="2" t="s">
        <v>40</v>
      </c>
      <c r="S3386" s="2" t="s">
        <v>19544</v>
      </c>
      <c r="T3386" s="2" t="s">
        <v>126</v>
      </c>
      <c r="U3386" s="2" t="s">
        <v>224</v>
      </c>
      <c r="V3386" s="2" t="s">
        <v>19545</v>
      </c>
      <c r="W3386" s="1"/>
      <c r="X3386" s="2" t="s">
        <v>5779</v>
      </c>
      <c r="Y3386" s="2" t="s">
        <v>19393</v>
      </c>
      <c r="AA3386" t="str">
        <f t="shared" si="312"/>
        <v>2025-05</v>
      </c>
      <c r="AB3386" t="str">
        <f t="shared" si="313"/>
        <v>H1_2025</v>
      </c>
      <c r="AC3386">
        <f t="shared" si="314"/>
        <v>2166570</v>
      </c>
      <c r="AD3386">
        <f t="shared" si="315"/>
        <v>250</v>
      </c>
      <c r="AE3386">
        <f t="shared" si="316"/>
        <v>591570</v>
      </c>
      <c r="AF3386" t="str">
        <f t="shared" si="317"/>
        <v>Paid</v>
      </c>
    </row>
    <row r="3387" spans="1:32" ht="17.25" thickBot="1" x14ac:dyDescent="0.35">
      <c r="A3387" s="2" t="s">
        <v>19546</v>
      </c>
      <c r="B3387" s="2" t="s">
        <v>27</v>
      </c>
      <c r="C3387" s="2" t="s">
        <v>28</v>
      </c>
      <c r="D3387" s="2" t="s">
        <v>97</v>
      </c>
      <c r="E3387" s="2" t="s">
        <v>93</v>
      </c>
      <c r="F3387" s="2" t="s">
        <v>31</v>
      </c>
      <c r="G3387" s="2" t="s">
        <v>32</v>
      </c>
      <c r="H3387" s="1"/>
      <c r="I3387" s="2" t="s">
        <v>33</v>
      </c>
      <c r="J3387" s="2" t="s">
        <v>34</v>
      </c>
      <c r="K3387" s="2" t="s">
        <v>18956</v>
      </c>
      <c r="L3387" s="2" t="s">
        <v>18957</v>
      </c>
      <c r="M3387" s="2" t="s">
        <v>70</v>
      </c>
      <c r="N3387" s="2" t="s">
        <v>38</v>
      </c>
      <c r="O3387" s="2" t="s">
        <v>4043</v>
      </c>
      <c r="P3387" s="2" t="s">
        <v>18959</v>
      </c>
      <c r="Q3387" s="2" t="s">
        <v>19547</v>
      </c>
      <c r="R3387" s="2" t="s">
        <v>40</v>
      </c>
      <c r="S3387" s="2" t="s">
        <v>19548</v>
      </c>
      <c r="T3387" s="2" t="s">
        <v>18636</v>
      </c>
      <c r="U3387" s="2" t="s">
        <v>10006</v>
      </c>
      <c r="V3387" s="2" t="s">
        <v>19549</v>
      </c>
      <c r="W3387" s="1"/>
      <c r="X3387" s="2" t="s">
        <v>19550</v>
      </c>
      <c r="Y3387" s="2" t="s">
        <v>19393</v>
      </c>
      <c r="AA3387" t="str">
        <f t="shared" si="312"/>
        <v>2025-05</v>
      </c>
      <c r="AB3387" t="str">
        <f t="shared" si="313"/>
        <v>H1_2025</v>
      </c>
      <c r="AC3387">
        <f t="shared" si="314"/>
        <v>1147663.08</v>
      </c>
      <c r="AD3387">
        <f t="shared" si="315"/>
        <v>810</v>
      </c>
      <c r="AE3387">
        <f t="shared" si="316"/>
        <v>580663.07999999996</v>
      </c>
      <c r="AF3387" t="str">
        <f t="shared" si="317"/>
        <v>Paid</v>
      </c>
    </row>
    <row r="3388" spans="1:32" ht="27.75" thickBot="1" x14ac:dyDescent="0.35">
      <c r="A3388" s="2" t="s">
        <v>19551</v>
      </c>
      <c r="B3388" s="2" t="s">
        <v>27</v>
      </c>
      <c r="C3388" s="2" t="s">
        <v>28</v>
      </c>
      <c r="D3388" s="2" t="s">
        <v>97</v>
      </c>
      <c r="E3388" s="2" t="s">
        <v>93</v>
      </c>
      <c r="F3388" s="2" t="s">
        <v>31</v>
      </c>
      <c r="G3388" s="2" t="s">
        <v>32</v>
      </c>
      <c r="H3388" s="1"/>
      <c r="I3388" s="2" t="s">
        <v>33</v>
      </c>
      <c r="J3388" s="2" t="s">
        <v>34</v>
      </c>
      <c r="K3388" s="2" t="s">
        <v>18965</v>
      </c>
      <c r="L3388" s="2" t="s">
        <v>18966</v>
      </c>
      <c r="M3388" s="2" t="s">
        <v>70</v>
      </c>
      <c r="N3388" s="2" t="s">
        <v>38</v>
      </c>
      <c r="O3388" s="2" t="s">
        <v>1951</v>
      </c>
      <c r="P3388" s="2" t="s">
        <v>18967</v>
      </c>
      <c r="Q3388" s="2" t="s">
        <v>14341</v>
      </c>
      <c r="R3388" s="2" t="s">
        <v>40</v>
      </c>
      <c r="S3388" s="2" t="s">
        <v>19552</v>
      </c>
      <c r="T3388" s="2" t="s">
        <v>13469</v>
      </c>
      <c r="U3388" s="2" t="s">
        <v>19553</v>
      </c>
      <c r="V3388" s="2" t="s">
        <v>19554</v>
      </c>
      <c r="W3388" s="1"/>
      <c r="X3388" s="2" t="s">
        <v>17915</v>
      </c>
      <c r="Y3388" s="2" t="s">
        <v>19393</v>
      </c>
      <c r="AA3388" t="str">
        <f t="shared" si="312"/>
        <v>2025-05</v>
      </c>
      <c r="AB3388" t="str">
        <f t="shared" si="313"/>
        <v>H1_2025</v>
      </c>
      <c r="AC3388">
        <f t="shared" si="314"/>
        <v>1419619.2</v>
      </c>
      <c r="AD3388">
        <f t="shared" si="315"/>
        <v>600</v>
      </c>
      <c r="AE3388">
        <f t="shared" si="316"/>
        <v>492019.20000000001</v>
      </c>
      <c r="AF3388" t="str">
        <f t="shared" si="317"/>
        <v>Paid</v>
      </c>
    </row>
    <row r="3389" spans="1:32" ht="17.25" thickBot="1" x14ac:dyDescent="0.35">
      <c r="A3389" s="2" t="s">
        <v>19555</v>
      </c>
      <c r="B3389" s="2" t="s">
        <v>27</v>
      </c>
      <c r="C3389" s="2" t="s">
        <v>28</v>
      </c>
      <c r="D3389" s="2" t="s">
        <v>97</v>
      </c>
      <c r="E3389" s="2" t="s">
        <v>93</v>
      </c>
      <c r="F3389" s="2" t="s">
        <v>31</v>
      </c>
      <c r="G3389" s="2" t="s">
        <v>32</v>
      </c>
      <c r="H3389" s="1"/>
      <c r="I3389" s="2" t="s">
        <v>33</v>
      </c>
      <c r="J3389" s="2" t="s">
        <v>34</v>
      </c>
      <c r="K3389" s="2" t="s">
        <v>19556</v>
      </c>
      <c r="L3389" s="2" t="s">
        <v>19557</v>
      </c>
      <c r="M3389" s="2" t="s">
        <v>4189</v>
      </c>
      <c r="N3389" s="2" t="s">
        <v>38</v>
      </c>
      <c r="O3389" s="2" t="s">
        <v>159</v>
      </c>
      <c r="P3389" s="2" t="s">
        <v>19558</v>
      </c>
      <c r="Q3389" s="2" t="s">
        <v>4490</v>
      </c>
      <c r="R3389" s="2" t="s">
        <v>40</v>
      </c>
      <c r="S3389" s="2" t="s">
        <v>19559</v>
      </c>
      <c r="T3389" s="2" t="s">
        <v>19560</v>
      </c>
      <c r="U3389" s="2" t="s">
        <v>19561</v>
      </c>
      <c r="V3389" s="2" t="s">
        <v>19562</v>
      </c>
      <c r="W3389" s="1"/>
      <c r="X3389" s="2" t="s">
        <v>19563</v>
      </c>
      <c r="Y3389" s="2" t="s">
        <v>19393</v>
      </c>
      <c r="AA3389" t="str">
        <f t="shared" si="312"/>
        <v>2025-05</v>
      </c>
      <c r="AB3389" t="str">
        <f t="shared" si="313"/>
        <v>H1_2025</v>
      </c>
      <c r="AC3389">
        <f t="shared" si="314"/>
        <v>389569.92</v>
      </c>
      <c r="AD3389">
        <f t="shared" si="315"/>
        <v>80</v>
      </c>
      <c r="AE3389">
        <f t="shared" si="316"/>
        <v>55169.919999999998</v>
      </c>
      <c r="AF3389" t="str">
        <f t="shared" si="317"/>
        <v>Paid</v>
      </c>
    </row>
    <row r="3390" spans="1:32" ht="27.75" thickBot="1" x14ac:dyDescent="0.35">
      <c r="A3390" s="2" t="s">
        <v>19564</v>
      </c>
      <c r="B3390" s="2" t="s">
        <v>27</v>
      </c>
      <c r="C3390" s="2" t="s">
        <v>28</v>
      </c>
      <c r="D3390" s="2" t="s">
        <v>97</v>
      </c>
      <c r="E3390" s="2" t="s">
        <v>93</v>
      </c>
      <c r="F3390" s="2" t="s">
        <v>31</v>
      </c>
      <c r="G3390" s="2" t="s">
        <v>32</v>
      </c>
      <c r="H3390" s="1"/>
      <c r="I3390" s="2" t="s">
        <v>33</v>
      </c>
      <c r="J3390" s="2" t="s">
        <v>34</v>
      </c>
      <c r="K3390" s="2" t="s">
        <v>19058</v>
      </c>
      <c r="L3390" s="2" t="s">
        <v>19059</v>
      </c>
      <c r="M3390" s="2" t="s">
        <v>10280</v>
      </c>
      <c r="N3390" s="2" t="s">
        <v>38</v>
      </c>
      <c r="O3390" s="2" t="s">
        <v>6264</v>
      </c>
      <c r="P3390" s="2" t="s">
        <v>19061</v>
      </c>
      <c r="Q3390" s="2" t="s">
        <v>19565</v>
      </c>
      <c r="R3390" s="2" t="s">
        <v>40</v>
      </c>
      <c r="S3390" s="2" t="s">
        <v>19566</v>
      </c>
      <c r="T3390" s="2" t="s">
        <v>40</v>
      </c>
      <c r="U3390" s="2" t="s">
        <v>40</v>
      </c>
      <c r="V3390" s="2" t="s">
        <v>19566</v>
      </c>
      <c r="W3390" s="1"/>
      <c r="X3390" s="2" t="s">
        <v>2155</v>
      </c>
      <c r="Y3390" s="2" t="s">
        <v>19393</v>
      </c>
      <c r="AA3390" t="str">
        <f t="shared" si="312"/>
        <v>2025-05</v>
      </c>
      <c r="AB3390" t="str">
        <f t="shared" si="313"/>
        <v>H1_2025</v>
      </c>
      <c r="AC3390">
        <f t="shared" si="314"/>
        <v>5007184</v>
      </c>
      <c r="AD3390">
        <f t="shared" si="315"/>
        <v>14000</v>
      </c>
      <c r="AE3390">
        <f t="shared" si="316"/>
        <v>5007184</v>
      </c>
      <c r="AF3390" t="str">
        <f t="shared" si="317"/>
        <v>Paid</v>
      </c>
    </row>
    <row r="3391" spans="1:32" ht="17.25" thickBot="1" x14ac:dyDescent="0.35">
      <c r="A3391" s="2" t="s">
        <v>19567</v>
      </c>
      <c r="B3391" s="2" t="s">
        <v>27</v>
      </c>
      <c r="C3391" s="2" t="s">
        <v>28</v>
      </c>
      <c r="D3391" s="2" t="s">
        <v>97</v>
      </c>
      <c r="E3391" s="2" t="s">
        <v>93</v>
      </c>
      <c r="F3391" s="2" t="s">
        <v>31</v>
      </c>
      <c r="G3391" s="2" t="s">
        <v>32</v>
      </c>
      <c r="H3391" s="1"/>
      <c r="I3391" s="2" t="s">
        <v>33</v>
      </c>
      <c r="J3391" s="2" t="s">
        <v>34</v>
      </c>
      <c r="K3391" s="2" t="s">
        <v>18602</v>
      </c>
      <c r="L3391" s="2" t="s">
        <v>18603</v>
      </c>
      <c r="M3391" s="2" t="s">
        <v>10280</v>
      </c>
      <c r="N3391" s="2" t="s">
        <v>38</v>
      </c>
      <c r="O3391" s="2" t="s">
        <v>2048</v>
      </c>
      <c r="P3391" s="2" t="s">
        <v>15921</v>
      </c>
      <c r="Q3391" s="2" t="s">
        <v>14585</v>
      </c>
      <c r="R3391" s="2" t="s">
        <v>40</v>
      </c>
      <c r="S3391" s="2" t="s">
        <v>19568</v>
      </c>
      <c r="T3391" s="2" t="s">
        <v>5917</v>
      </c>
      <c r="U3391" s="2" t="s">
        <v>19569</v>
      </c>
      <c r="V3391" s="2" t="s">
        <v>19570</v>
      </c>
      <c r="W3391" s="1"/>
      <c r="X3391" s="2" t="s">
        <v>1764</v>
      </c>
      <c r="Y3391" s="2" t="s">
        <v>19393</v>
      </c>
      <c r="AA3391" t="str">
        <f t="shared" si="312"/>
        <v>2025-05</v>
      </c>
      <c r="AB3391" t="str">
        <f t="shared" si="313"/>
        <v>H1_2025</v>
      </c>
      <c r="AC3391">
        <f t="shared" si="314"/>
        <v>889738.08</v>
      </c>
      <c r="AD3391">
        <f t="shared" si="315"/>
        <v>840</v>
      </c>
      <c r="AE3391">
        <f t="shared" si="316"/>
        <v>226138.08</v>
      </c>
      <c r="AF3391" t="str">
        <f t="shared" si="317"/>
        <v>Paid</v>
      </c>
    </row>
    <row r="3392" spans="1:32" ht="17.25" thickBot="1" x14ac:dyDescent="0.35">
      <c r="A3392" s="2" t="s">
        <v>19571</v>
      </c>
      <c r="B3392" s="2" t="s">
        <v>27</v>
      </c>
      <c r="C3392" s="2" t="s">
        <v>28</v>
      </c>
      <c r="D3392" s="2" t="s">
        <v>97</v>
      </c>
      <c r="E3392" s="2" t="s">
        <v>93</v>
      </c>
      <c r="F3392" s="2" t="s">
        <v>31</v>
      </c>
      <c r="G3392" s="2" t="s">
        <v>32</v>
      </c>
      <c r="H3392" s="1"/>
      <c r="I3392" s="2" t="s">
        <v>33</v>
      </c>
      <c r="J3392" s="2" t="s">
        <v>34</v>
      </c>
      <c r="K3392" s="2" t="s">
        <v>18610</v>
      </c>
      <c r="L3392" s="2" t="s">
        <v>18611</v>
      </c>
      <c r="M3392" s="2" t="s">
        <v>10280</v>
      </c>
      <c r="N3392" s="2" t="s">
        <v>38</v>
      </c>
      <c r="O3392" s="2" t="s">
        <v>94</v>
      </c>
      <c r="P3392" s="2" t="s">
        <v>19072</v>
      </c>
      <c r="Q3392" s="2" t="s">
        <v>14733</v>
      </c>
      <c r="R3392" s="2" t="s">
        <v>40</v>
      </c>
      <c r="S3392" s="2" t="s">
        <v>19572</v>
      </c>
      <c r="T3392" s="2" t="s">
        <v>40</v>
      </c>
      <c r="U3392" s="2" t="s">
        <v>40</v>
      </c>
      <c r="V3392" s="2" t="s">
        <v>19572</v>
      </c>
      <c r="W3392" s="1"/>
      <c r="X3392" s="2" t="s">
        <v>2155</v>
      </c>
      <c r="Y3392" s="2" t="s">
        <v>19393</v>
      </c>
      <c r="AA3392" t="str">
        <f t="shared" si="312"/>
        <v>2025-05</v>
      </c>
      <c r="AB3392" t="str">
        <f t="shared" si="313"/>
        <v>H1_2025</v>
      </c>
      <c r="AC3392">
        <f t="shared" si="314"/>
        <v>853559.8</v>
      </c>
      <c r="AD3392">
        <f t="shared" si="315"/>
        <v>850</v>
      </c>
      <c r="AE3392">
        <f t="shared" si="316"/>
        <v>853559.8</v>
      </c>
      <c r="AF3392" t="str">
        <f t="shared" si="317"/>
        <v>Paid</v>
      </c>
    </row>
    <row r="3393" spans="1:32" ht="27.75" thickBot="1" x14ac:dyDescent="0.35">
      <c r="A3393" s="2" t="s">
        <v>19573</v>
      </c>
      <c r="B3393" s="2" t="s">
        <v>27</v>
      </c>
      <c r="C3393" s="2" t="s">
        <v>28</v>
      </c>
      <c r="D3393" s="2" t="s">
        <v>97</v>
      </c>
      <c r="E3393" s="2" t="s">
        <v>93</v>
      </c>
      <c r="F3393" s="2" t="s">
        <v>31</v>
      </c>
      <c r="G3393" s="2" t="s">
        <v>32</v>
      </c>
      <c r="H3393" s="1"/>
      <c r="I3393" s="2" t="s">
        <v>33</v>
      </c>
      <c r="J3393" s="2" t="s">
        <v>34</v>
      </c>
      <c r="K3393" s="2" t="s">
        <v>16116</v>
      </c>
      <c r="L3393" s="2" t="s">
        <v>16117</v>
      </c>
      <c r="M3393" s="2" t="s">
        <v>10280</v>
      </c>
      <c r="N3393" s="2" t="s">
        <v>38</v>
      </c>
      <c r="O3393" s="2" t="s">
        <v>4656</v>
      </c>
      <c r="P3393" s="2" t="s">
        <v>19080</v>
      </c>
      <c r="Q3393" s="2" t="s">
        <v>19574</v>
      </c>
      <c r="R3393" s="2" t="s">
        <v>40</v>
      </c>
      <c r="S3393" s="2" t="s">
        <v>19575</v>
      </c>
      <c r="T3393" s="2" t="s">
        <v>12409</v>
      </c>
      <c r="U3393" s="2" t="s">
        <v>19576</v>
      </c>
      <c r="V3393" s="2" t="s">
        <v>19577</v>
      </c>
      <c r="W3393" s="1"/>
      <c r="X3393" s="2" t="s">
        <v>120</v>
      </c>
      <c r="Y3393" s="2" t="s">
        <v>19393</v>
      </c>
      <c r="AA3393" t="str">
        <f t="shared" si="312"/>
        <v>2025-05</v>
      </c>
      <c r="AB3393" t="str">
        <f t="shared" si="313"/>
        <v>H1_2025</v>
      </c>
      <c r="AC3393">
        <f t="shared" si="314"/>
        <v>938159.2</v>
      </c>
      <c r="AD3393">
        <f t="shared" si="315"/>
        <v>620</v>
      </c>
      <c r="AE3393">
        <f t="shared" si="316"/>
        <v>330559.2</v>
      </c>
      <c r="AF3393" t="str">
        <f t="shared" si="317"/>
        <v>Paid</v>
      </c>
    </row>
    <row r="3394" spans="1:32" ht="27.75" thickBot="1" x14ac:dyDescent="0.35">
      <c r="A3394" s="2" t="s">
        <v>19578</v>
      </c>
      <c r="B3394" s="2" t="s">
        <v>27</v>
      </c>
      <c r="C3394" s="2" t="s">
        <v>28</v>
      </c>
      <c r="D3394" s="2" t="s">
        <v>97</v>
      </c>
      <c r="E3394" s="2" t="s">
        <v>93</v>
      </c>
      <c r="F3394" s="2" t="s">
        <v>31</v>
      </c>
      <c r="G3394" s="2" t="s">
        <v>32</v>
      </c>
      <c r="H3394" s="1"/>
      <c r="I3394" s="2" t="s">
        <v>33</v>
      </c>
      <c r="J3394" s="2" t="s">
        <v>34</v>
      </c>
      <c r="K3394" s="2" t="s">
        <v>10797</v>
      </c>
      <c r="L3394" s="2" t="s">
        <v>10798</v>
      </c>
      <c r="M3394" s="2" t="s">
        <v>3067</v>
      </c>
      <c r="N3394" s="2" t="s">
        <v>38</v>
      </c>
      <c r="O3394" s="2" t="s">
        <v>19579</v>
      </c>
      <c r="P3394" s="2" t="s">
        <v>9111</v>
      </c>
      <c r="Q3394" s="2" t="s">
        <v>19580</v>
      </c>
      <c r="R3394" s="2" t="s">
        <v>40</v>
      </c>
      <c r="S3394" s="2" t="s">
        <v>19581</v>
      </c>
      <c r="T3394" s="2" t="s">
        <v>2701</v>
      </c>
      <c r="U3394" s="2" t="s">
        <v>14683</v>
      </c>
      <c r="V3394" s="2" t="s">
        <v>19582</v>
      </c>
      <c r="W3394" s="1"/>
      <c r="X3394" s="2" t="s">
        <v>5779</v>
      </c>
      <c r="Y3394" s="2" t="s">
        <v>19393</v>
      </c>
      <c r="AA3394" t="str">
        <f t="shared" si="312"/>
        <v>2025-05</v>
      </c>
      <c r="AB3394" t="str">
        <f t="shared" si="313"/>
        <v>H1_2025</v>
      </c>
      <c r="AC3394">
        <f t="shared" si="314"/>
        <v>3466512</v>
      </c>
      <c r="AD3394">
        <f t="shared" si="315"/>
        <v>25200</v>
      </c>
      <c r="AE3394">
        <f t="shared" si="316"/>
        <v>946512</v>
      </c>
      <c r="AF3394" t="str">
        <f t="shared" si="317"/>
        <v>Paid</v>
      </c>
    </row>
    <row r="3395" spans="1:32" ht="17.25" thickBot="1" x14ac:dyDescent="0.35">
      <c r="A3395" s="2" t="s">
        <v>19583</v>
      </c>
      <c r="B3395" s="2" t="s">
        <v>27</v>
      </c>
      <c r="C3395" s="2" t="s">
        <v>28</v>
      </c>
      <c r="D3395" s="2" t="s">
        <v>97</v>
      </c>
      <c r="E3395" s="2" t="s">
        <v>93</v>
      </c>
      <c r="F3395" s="2" t="s">
        <v>31</v>
      </c>
      <c r="G3395" s="2" t="s">
        <v>32</v>
      </c>
      <c r="H3395" s="1"/>
      <c r="I3395" s="2" t="s">
        <v>33</v>
      </c>
      <c r="J3395" s="2" t="s">
        <v>34</v>
      </c>
      <c r="K3395" s="2" t="s">
        <v>10808</v>
      </c>
      <c r="L3395" s="2" t="s">
        <v>10809</v>
      </c>
      <c r="M3395" s="2" t="s">
        <v>3067</v>
      </c>
      <c r="N3395" s="2" t="s">
        <v>38</v>
      </c>
      <c r="O3395" s="2" t="s">
        <v>19584</v>
      </c>
      <c r="P3395" s="2" t="s">
        <v>9111</v>
      </c>
      <c r="Q3395" s="2" t="s">
        <v>18689</v>
      </c>
      <c r="R3395" s="2" t="s">
        <v>40</v>
      </c>
      <c r="S3395" s="2" t="s">
        <v>19585</v>
      </c>
      <c r="T3395" s="2" t="s">
        <v>10810</v>
      </c>
      <c r="U3395" s="2" t="s">
        <v>19586</v>
      </c>
      <c r="V3395" s="2" t="s">
        <v>16429</v>
      </c>
      <c r="W3395" s="1"/>
      <c r="X3395" s="2" t="s">
        <v>398</v>
      </c>
      <c r="Y3395" s="2" t="s">
        <v>19393</v>
      </c>
      <c r="AA3395" t="str">
        <f t="shared" si="312"/>
        <v>2025-05</v>
      </c>
      <c r="AB3395" t="str">
        <f t="shared" si="313"/>
        <v>H1_2025</v>
      </c>
      <c r="AC3395">
        <f t="shared" si="314"/>
        <v>2063400</v>
      </c>
      <c r="AD3395">
        <f t="shared" si="315"/>
        <v>15000</v>
      </c>
      <c r="AE3395">
        <f t="shared" si="316"/>
        <v>248400</v>
      </c>
      <c r="AF3395" t="str">
        <f t="shared" si="317"/>
        <v>Paid</v>
      </c>
    </row>
    <row r="3396" spans="1:32" ht="27.75" thickBot="1" x14ac:dyDescent="0.35">
      <c r="A3396" s="2" t="s">
        <v>19587</v>
      </c>
      <c r="B3396" s="2" t="s">
        <v>27</v>
      </c>
      <c r="C3396" s="2" t="s">
        <v>28</v>
      </c>
      <c r="D3396" s="2" t="s">
        <v>97</v>
      </c>
      <c r="E3396" s="2" t="s">
        <v>93</v>
      </c>
      <c r="F3396" s="2" t="s">
        <v>31</v>
      </c>
      <c r="G3396" s="2" t="s">
        <v>32</v>
      </c>
      <c r="H3396" s="1"/>
      <c r="I3396" s="2" t="s">
        <v>33</v>
      </c>
      <c r="J3396" s="2" t="s">
        <v>34</v>
      </c>
      <c r="K3396" s="2" t="s">
        <v>10821</v>
      </c>
      <c r="L3396" s="2" t="s">
        <v>10822</v>
      </c>
      <c r="M3396" s="2" t="s">
        <v>3067</v>
      </c>
      <c r="N3396" s="2" t="s">
        <v>38</v>
      </c>
      <c r="O3396" s="2" t="s">
        <v>19579</v>
      </c>
      <c r="P3396" s="2" t="s">
        <v>9111</v>
      </c>
      <c r="Q3396" s="2" t="s">
        <v>19580</v>
      </c>
      <c r="R3396" s="2" t="s">
        <v>40</v>
      </c>
      <c r="S3396" s="2" t="s">
        <v>19581</v>
      </c>
      <c r="T3396" s="2" t="s">
        <v>2701</v>
      </c>
      <c r="U3396" s="2" t="s">
        <v>14683</v>
      </c>
      <c r="V3396" s="2" t="s">
        <v>19582</v>
      </c>
      <c r="W3396" s="1"/>
      <c r="X3396" s="2" t="s">
        <v>5779</v>
      </c>
      <c r="Y3396" s="2" t="s">
        <v>19393</v>
      </c>
      <c r="AA3396" t="str">
        <f t="shared" ref="AA3396:AA3459" si="318">LEFT(E3396,7)</f>
        <v>2025-05</v>
      </c>
      <c r="AB3396" t="str">
        <f t="shared" ref="AB3396:AB3459" si="319">IF(AND($AA3396&gt;="2025-01",$AA3396&lt;="2025-06"),"H1_2025",IF(AND($AA3396&gt;="2026-01",$AA3396&lt;="2026-06"),"H1_2026",""))</f>
        <v>H1_2025</v>
      </c>
      <c r="AC3396">
        <f t="shared" ref="AC3396:AC3459" si="320">IFERROR(VALUE(SUBSTITUTE(S3396,",","")),0)</f>
        <v>3466512</v>
      </c>
      <c r="AD3396">
        <f t="shared" ref="AD3396:AD3459" si="321">IFERROR(VALUE(SUBSTITUTE(O3396,",","")),0)</f>
        <v>25200</v>
      </c>
      <c r="AE3396">
        <f t="shared" ref="AE3396:AE3459" si="322">IFERROR(VALUE(SUBSTITUTE(V3396,",","")),0)</f>
        <v>946512</v>
      </c>
      <c r="AF3396" t="str">
        <f t="shared" ref="AF3396:AF3459" si="323">IF(ISNUMBER(SEARCH("FOC",W3396)),"FOC",IF(ISNUMBER(SEARCH("샘플",W3396)),"Sample","Paid"))</f>
        <v>Paid</v>
      </c>
    </row>
    <row r="3397" spans="1:32" ht="17.25" thickBot="1" x14ac:dyDescent="0.35">
      <c r="A3397" s="2" t="s">
        <v>19588</v>
      </c>
      <c r="B3397" s="2" t="s">
        <v>27</v>
      </c>
      <c r="C3397" s="2" t="s">
        <v>28</v>
      </c>
      <c r="D3397" s="2" t="s">
        <v>97</v>
      </c>
      <c r="E3397" s="2" t="s">
        <v>93</v>
      </c>
      <c r="F3397" s="2" t="s">
        <v>31</v>
      </c>
      <c r="G3397" s="2" t="s">
        <v>32</v>
      </c>
      <c r="H3397" s="1"/>
      <c r="I3397" s="2" t="s">
        <v>33</v>
      </c>
      <c r="J3397" s="2" t="s">
        <v>34</v>
      </c>
      <c r="K3397" s="2" t="s">
        <v>19589</v>
      </c>
      <c r="L3397" s="2" t="s">
        <v>19590</v>
      </c>
      <c r="M3397" s="2" t="s">
        <v>48</v>
      </c>
      <c r="N3397" s="2" t="s">
        <v>38</v>
      </c>
      <c r="O3397" s="2" t="s">
        <v>19591</v>
      </c>
      <c r="P3397" s="2" t="s">
        <v>10834</v>
      </c>
      <c r="Q3397" s="2" t="s">
        <v>19592</v>
      </c>
      <c r="R3397" s="2" t="s">
        <v>40</v>
      </c>
      <c r="S3397" s="2" t="s">
        <v>19593</v>
      </c>
      <c r="T3397" s="2" t="s">
        <v>10837</v>
      </c>
      <c r="U3397" s="2" t="s">
        <v>19594</v>
      </c>
      <c r="V3397" s="2" t="s">
        <v>19595</v>
      </c>
      <c r="W3397" s="1"/>
      <c r="X3397" s="2" t="s">
        <v>6142</v>
      </c>
      <c r="Y3397" s="2" t="s">
        <v>19393</v>
      </c>
      <c r="AA3397" t="str">
        <f t="shared" si="318"/>
        <v>2025-05</v>
      </c>
      <c r="AB3397" t="str">
        <f t="shared" si="319"/>
        <v>H1_2025</v>
      </c>
      <c r="AC3397">
        <f t="shared" si="320"/>
        <v>1456375.23</v>
      </c>
      <c r="AD3397">
        <f t="shared" si="321"/>
        <v>8144</v>
      </c>
      <c r="AE3397">
        <f t="shared" si="322"/>
        <v>560535.23</v>
      </c>
      <c r="AF3397" t="str">
        <f t="shared" si="323"/>
        <v>Paid</v>
      </c>
    </row>
    <row r="3398" spans="1:32" ht="17.25" thickBot="1" x14ac:dyDescent="0.35">
      <c r="A3398" s="2" t="s">
        <v>19596</v>
      </c>
      <c r="B3398" s="2" t="s">
        <v>27</v>
      </c>
      <c r="C3398" s="2" t="s">
        <v>28</v>
      </c>
      <c r="D3398" s="2" t="s">
        <v>97</v>
      </c>
      <c r="E3398" s="2" t="s">
        <v>93</v>
      </c>
      <c r="F3398" s="2" t="s">
        <v>31</v>
      </c>
      <c r="G3398" s="2" t="s">
        <v>32</v>
      </c>
      <c r="H3398" s="1"/>
      <c r="I3398" s="2" t="s">
        <v>33</v>
      </c>
      <c r="J3398" s="2" t="s">
        <v>34</v>
      </c>
      <c r="K3398" s="2" t="s">
        <v>19597</v>
      </c>
      <c r="L3398" s="2" t="s">
        <v>19598</v>
      </c>
      <c r="M3398" s="2" t="s">
        <v>48</v>
      </c>
      <c r="N3398" s="2" t="s">
        <v>38</v>
      </c>
      <c r="O3398" s="2" t="s">
        <v>13790</v>
      </c>
      <c r="P3398" s="2" t="s">
        <v>10834</v>
      </c>
      <c r="Q3398" s="2" t="s">
        <v>19599</v>
      </c>
      <c r="R3398" s="2" t="s">
        <v>40</v>
      </c>
      <c r="S3398" s="2" t="s">
        <v>19600</v>
      </c>
      <c r="T3398" s="2" t="s">
        <v>10837</v>
      </c>
      <c r="U3398" s="2" t="s">
        <v>2685</v>
      </c>
      <c r="V3398" s="2" t="s">
        <v>19601</v>
      </c>
      <c r="W3398" s="1"/>
      <c r="X3398" s="2" t="s">
        <v>6142</v>
      </c>
      <c r="Y3398" s="2" t="s">
        <v>19393</v>
      </c>
      <c r="AA3398" t="str">
        <f t="shared" si="318"/>
        <v>2025-05</v>
      </c>
      <c r="AB3398" t="str">
        <f t="shared" si="319"/>
        <v>H1_2025</v>
      </c>
      <c r="AC3398">
        <f t="shared" si="320"/>
        <v>447070</v>
      </c>
      <c r="AD3398">
        <f t="shared" si="321"/>
        <v>2500</v>
      </c>
      <c r="AE3398">
        <f t="shared" si="322"/>
        <v>172070</v>
      </c>
      <c r="AF3398" t="str">
        <f t="shared" si="323"/>
        <v>Paid</v>
      </c>
    </row>
    <row r="3399" spans="1:32" ht="17.25" thickBot="1" x14ac:dyDescent="0.35">
      <c r="A3399" s="2" t="s">
        <v>19602</v>
      </c>
      <c r="B3399" s="2" t="s">
        <v>27</v>
      </c>
      <c r="C3399" s="2" t="s">
        <v>28</v>
      </c>
      <c r="D3399" s="2" t="s">
        <v>97</v>
      </c>
      <c r="E3399" s="2" t="s">
        <v>93</v>
      </c>
      <c r="F3399" s="2" t="s">
        <v>31</v>
      </c>
      <c r="G3399" s="2" t="s">
        <v>32</v>
      </c>
      <c r="H3399" s="1"/>
      <c r="I3399" s="2" t="s">
        <v>33</v>
      </c>
      <c r="J3399" s="2" t="s">
        <v>34</v>
      </c>
      <c r="K3399" s="2" t="s">
        <v>19603</v>
      </c>
      <c r="L3399" s="2" t="s">
        <v>19604</v>
      </c>
      <c r="M3399" s="2" t="s">
        <v>37</v>
      </c>
      <c r="N3399" s="2" t="s">
        <v>38</v>
      </c>
      <c r="O3399" s="2" t="s">
        <v>1914</v>
      </c>
      <c r="P3399" s="2" t="s">
        <v>19605</v>
      </c>
      <c r="Q3399" s="2" t="s">
        <v>19606</v>
      </c>
      <c r="R3399" s="2" t="s">
        <v>40</v>
      </c>
      <c r="S3399" s="2" t="s">
        <v>19607</v>
      </c>
      <c r="T3399" s="2" t="s">
        <v>19608</v>
      </c>
      <c r="U3399" s="2" t="s">
        <v>19609</v>
      </c>
      <c r="V3399" s="2" t="s">
        <v>19610</v>
      </c>
      <c r="W3399" s="1"/>
      <c r="X3399" s="2" t="s">
        <v>19611</v>
      </c>
      <c r="Y3399" s="2" t="s">
        <v>19393</v>
      </c>
      <c r="AA3399" t="str">
        <f t="shared" si="318"/>
        <v>2025-05</v>
      </c>
      <c r="AB3399" t="str">
        <f t="shared" si="319"/>
        <v>H1_2025</v>
      </c>
      <c r="AC3399">
        <f t="shared" si="320"/>
        <v>1460887.2</v>
      </c>
      <c r="AD3399">
        <f t="shared" si="321"/>
        <v>900</v>
      </c>
      <c r="AE3399">
        <f t="shared" si="322"/>
        <v>1066887.2</v>
      </c>
      <c r="AF3399" t="str">
        <f t="shared" si="323"/>
        <v>Paid</v>
      </c>
    </row>
    <row r="3400" spans="1:32" ht="27.75" thickBot="1" x14ac:dyDescent="0.35">
      <c r="A3400" s="2" t="s">
        <v>19612</v>
      </c>
      <c r="B3400" s="2" t="s">
        <v>27</v>
      </c>
      <c r="C3400" s="2" t="s">
        <v>28</v>
      </c>
      <c r="D3400" s="2" t="s">
        <v>97</v>
      </c>
      <c r="E3400" s="2" t="s">
        <v>93</v>
      </c>
      <c r="F3400" s="2" t="s">
        <v>31</v>
      </c>
      <c r="G3400" s="2" t="s">
        <v>32</v>
      </c>
      <c r="H3400" s="1"/>
      <c r="I3400" s="2" t="s">
        <v>33</v>
      </c>
      <c r="J3400" s="2" t="s">
        <v>34</v>
      </c>
      <c r="K3400" s="2" t="s">
        <v>18642</v>
      </c>
      <c r="L3400" s="2" t="s">
        <v>18643</v>
      </c>
      <c r="M3400" s="2" t="s">
        <v>37</v>
      </c>
      <c r="N3400" s="2" t="s">
        <v>38</v>
      </c>
      <c r="O3400" s="2" t="s">
        <v>19378</v>
      </c>
      <c r="P3400" s="2" t="s">
        <v>142</v>
      </c>
      <c r="Q3400" s="2" t="s">
        <v>10246</v>
      </c>
      <c r="R3400" s="2" t="s">
        <v>40</v>
      </c>
      <c r="S3400" s="2" t="s">
        <v>19613</v>
      </c>
      <c r="T3400" s="2" t="s">
        <v>14635</v>
      </c>
      <c r="U3400" s="2" t="s">
        <v>19379</v>
      </c>
      <c r="V3400" s="2" t="s">
        <v>19614</v>
      </c>
      <c r="W3400" s="1"/>
      <c r="X3400" s="2" t="s">
        <v>17201</v>
      </c>
      <c r="Y3400" s="2" t="s">
        <v>19393</v>
      </c>
      <c r="AA3400" t="str">
        <f t="shared" si="318"/>
        <v>2025-05</v>
      </c>
      <c r="AB3400" t="str">
        <f t="shared" si="319"/>
        <v>H1_2025</v>
      </c>
      <c r="AC3400">
        <f t="shared" si="320"/>
        <v>2971296</v>
      </c>
      <c r="AD3400">
        <f t="shared" si="321"/>
        <v>7200</v>
      </c>
      <c r="AE3400">
        <f t="shared" si="322"/>
        <v>1070496</v>
      </c>
      <c r="AF3400" t="str">
        <f t="shared" si="323"/>
        <v>Paid</v>
      </c>
    </row>
    <row r="3401" spans="1:32" ht="27.75" thickBot="1" x14ac:dyDescent="0.35">
      <c r="A3401" s="2" t="s">
        <v>19615</v>
      </c>
      <c r="B3401" s="2" t="s">
        <v>27</v>
      </c>
      <c r="C3401" s="2" t="s">
        <v>28</v>
      </c>
      <c r="D3401" s="2" t="s">
        <v>97</v>
      </c>
      <c r="E3401" s="2" t="s">
        <v>93</v>
      </c>
      <c r="F3401" s="2" t="s">
        <v>31</v>
      </c>
      <c r="G3401" s="2" t="s">
        <v>32</v>
      </c>
      <c r="H3401" s="1"/>
      <c r="I3401" s="2" t="s">
        <v>33</v>
      </c>
      <c r="J3401" s="2" t="s">
        <v>34</v>
      </c>
      <c r="K3401" s="2" t="s">
        <v>18649</v>
      </c>
      <c r="L3401" s="2" t="s">
        <v>18650</v>
      </c>
      <c r="M3401" s="2" t="s">
        <v>37</v>
      </c>
      <c r="N3401" s="2" t="s">
        <v>38</v>
      </c>
      <c r="O3401" s="2" t="s">
        <v>19378</v>
      </c>
      <c r="P3401" s="2" t="s">
        <v>142</v>
      </c>
      <c r="Q3401" s="2" t="s">
        <v>10246</v>
      </c>
      <c r="R3401" s="2" t="s">
        <v>40</v>
      </c>
      <c r="S3401" s="2" t="s">
        <v>19613</v>
      </c>
      <c r="T3401" s="2" t="s">
        <v>14635</v>
      </c>
      <c r="U3401" s="2" t="s">
        <v>19379</v>
      </c>
      <c r="V3401" s="2" t="s">
        <v>19614</v>
      </c>
      <c r="W3401" s="1"/>
      <c r="X3401" s="2" t="s">
        <v>17201</v>
      </c>
      <c r="Y3401" s="2" t="s">
        <v>19393</v>
      </c>
      <c r="AA3401" t="str">
        <f t="shared" si="318"/>
        <v>2025-05</v>
      </c>
      <c r="AB3401" t="str">
        <f t="shared" si="319"/>
        <v>H1_2025</v>
      </c>
      <c r="AC3401">
        <f t="shared" si="320"/>
        <v>2971296</v>
      </c>
      <c r="AD3401">
        <f t="shared" si="321"/>
        <v>7200</v>
      </c>
      <c r="AE3401">
        <f t="shared" si="322"/>
        <v>1070496</v>
      </c>
      <c r="AF3401" t="str">
        <f t="shared" si="323"/>
        <v>Paid</v>
      </c>
    </row>
    <row r="3402" spans="1:32" ht="41.25" thickBot="1" x14ac:dyDescent="0.35">
      <c r="A3402" s="2" t="s">
        <v>19616</v>
      </c>
      <c r="B3402" s="2" t="s">
        <v>27</v>
      </c>
      <c r="C3402" s="2" t="s">
        <v>28</v>
      </c>
      <c r="D3402" s="2" t="s">
        <v>97</v>
      </c>
      <c r="E3402" s="2" t="s">
        <v>93</v>
      </c>
      <c r="F3402" s="2" t="s">
        <v>31</v>
      </c>
      <c r="G3402" s="2" t="s">
        <v>32</v>
      </c>
      <c r="H3402" s="1"/>
      <c r="I3402" s="2" t="s">
        <v>33</v>
      </c>
      <c r="J3402" s="2" t="s">
        <v>34</v>
      </c>
      <c r="K3402" s="2" t="s">
        <v>18652</v>
      </c>
      <c r="L3402" s="2" t="s">
        <v>18653</v>
      </c>
      <c r="M3402" s="2" t="s">
        <v>37</v>
      </c>
      <c r="N3402" s="2" t="s">
        <v>38</v>
      </c>
      <c r="O3402" s="2" t="s">
        <v>19093</v>
      </c>
      <c r="P3402" s="2" t="s">
        <v>19617</v>
      </c>
      <c r="Q3402" s="2" t="s">
        <v>19618</v>
      </c>
      <c r="R3402" s="2" t="s">
        <v>40</v>
      </c>
      <c r="S3402" s="2" t="s">
        <v>19619</v>
      </c>
      <c r="T3402" s="2" t="s">
        <v>14635</v>
      </c>
      <c r="U3402" s="2" t="s">
        <v>19095</v>
      </c>
      <c r="V3402" s="2" t="s">
        <v>19620</v>
      </c>
      <c r="W3402" s="1"/>
      <c r="X3402" s="2" t="s">
        <v>4185</v>
      </c>
      <c r="Y3402" s="2" t="s">
        <v>19393</v>
      </c>
      <c r="AA3402" t="str">
        <f t="shared" si="318"/>
        <v>2025-05</v>
      </c>
      <c r="AB3402" t="str">
        <f t="shared" si="319"/>
        <v>H1_2025</v>
      </c>
      <c r="AC3402">
        <f t="shared" si="320"/>
        <v>3257420.8</v>
      </c>
      <c r="AD3402">
        <f t="shared" si="321"/>
        <v>6400</v>
      </c>
      <c r="AE3402">
        <f t="shared" si="322"/>
        <v>1567820.8</v>
      </c>
      <c r="AF3402" t="str">
        <f t="shared" si="323"/>
        <v>Paid</v>
      </c>
    </row>
    <row r="3403" spans="1:32" ht="41.25" thickBot="1" x14ac:dyDescent="0.35">
      <c r="A3403" s="2" t="s">
        <v>19621</v>
      </c>
      <c r="B3403" s="2" t="s">
        <v>27</v>
      </c>
      <c r="C3403" s="2" t="s">
        <v>28</v>
      </c>
      <c r="D3403" s="2" t="s">
        <v>97</v>
      </c>
      <c r="E3403" s="2" t="s">
        <v>93</v>
      </c>
      <c r="F3403" s="2" t="s">
        <v>31</v>
      </c>
      <c r="G3403" s="2" t="s">
        <v>32</v>
      </c>
      <c r="H3403" s="1"/>
      <c r="I3403" s="2" t="s">
        <v>33</v>
      </c>
      <c r="J3403" s="2" t="s">
        <v>34</v>
      </c>
      <c r="K3403" s="2" t="s">
        <v>19098</v>
      </c>
      <c r="L3403" s="2" t="s">
        <v>19099</v>
      </c>
      <c r="M3403" s="2" t="s">
        <v>37</v>
      </c>
      <c r="N3403" s="2" t="s">
        <v>38</v>
      </c>
      <c r="O3403" s="2" t="s">
        <v>19378</v>
      </c>
      <c r="P3403" s="2" t="s">
        <v>19100</v>
      </c>
      <c r="Q3403" s="2" t="s">
        <v>19622</v>
      </c>
      <c r="R3403" s="2" t="s">
        <v>40</v>
      </c>
      <c r="S3403" s="2" t="s">
        <v>19623</v>
      </c>
      <c r="T3403" s="2" t="s">
        <v>14635</v>
      </c>
      <c r="U3403" s="2" t="s">
        <v>19379</v>
      </c>
      <c r="V3403" s="2" t="s">
        <v>19624</v>
      </c>
      <c r="W3403" s="1"/>
      <c r="X3403" s="2" t="s">
        <v>19625</v>
      </c>
      <c r="Y3403" s="2" t="s">
        <v>19393</v>
      </c>
      <c r="AA3403" t="str">
        <f t="shared" si="318"/>
        <v>2025-05</v>
      </c>
      <c r="AB3403" t="str">
        <f t="shared" si="319"/>
        <v>H1_2025</v>
      </c>
      <c r="AC3403">
        <f t="shared" si="320"/>
        <v>9805276.8000000007</v>
      </c>
      <c r="AD3403">
        <f t="shared" si="321"/>
        <v>7200</v>
      </c>
      <c r="AE3403">
        <f t="shared" si="322"/>
        <v>7904476.7999999998</v>
      </c>
      <c r="AF3403" t="str">
        <f t="shared" si="323"/>
        <v>Paid</v>
      </c>
    </row>
    <row r="3404" spans="1:32" ht="17.25" thickBot="1" x14ac:dyDescent="0.35">
      <c r="A3404" s="2" t="s">
        <v>19626</v>
      </c>
      <c r="B3404" s="2" t="s">
        <v>27</v>
      </c>
      <c r="C3404" s="2" t="s">
        <v>28</v>
      </c>
      <c r="D3404" s="2" t="s">
        <v>97</v>
      </c>
      <c r="E3404" s="2" t="s">
        <v>93</v>
      </c>
      <c r="F3404" s="2" t="s">
        <v>31</v>
      </c>
      <c r="G3404" s="2" t="s">
        <v>32</v>
      </c>
      <c r="H3404" s="1"/>
      <c r="I3404" s="2" t="s">
        <v>33</v>
      </c>
      <c r="J3404" s="2" t="s">
        <v>34</v>
      </c>
      <c r="K3404" s="2" t="s">
        <v>1284</v>
      </c>
      <c r="L3404" s="2" t="s">
        <v>1285</v>
      </c>
      <c r="M3404" s="2" t="s">
        <v>37</v>
      </c>
      <c r="N3404" s="2" t="s">
        <v>38</v>
      </c>
      <c r="O3404" s="2" t="s">
        <v>221</v>
      </c>
      <c r="P3404" s="2" t="s">
        <v>7869</v>
      </c>
      <c r="Q3404" s="2" t="s">
        <v>19627</v>
      </c>
      <c r="R3404" s="2" t="s">
        <v>40</v>
      </c>
      <c r="S3404" s="2" t="s">
        <v>19628</v>
      </c>
      <c r="T3404" s="2" t="s">
        <v>1271</v>
      </c>
      <c r="U3404" s="2" t="s">
        <v>19629</v>
      </c>
      <c r="V3404" s="2" t="s">
        <v>19630</v>
      </c>
      <c r="W3404" s="1"/>
      <c r="X3404" s="2" t="s">
        <v>2429</v>
      </c>
      <c r="Y3404" s="2" t="s">
        <v>19393</v>
      </c>
      <c r="AA3404" t="str">
        <f t="shared" si="318"/>
        <v>2025-05</v>
      </c>
      <c r="AB3404" t="str">
        <f t="shared" si="319"/>
        <v>H1_2025</v>
      </c>
      <c r="AC3404">
        <f t="shared" si="320"/>
        <v>907070.64</v>
      </c>
      <c r="AD3404">
        <f t="shared" si="321"/>
        <v>140</v>
      </c>
      <c r="AE3404">
        <f t="shared" si="322"/>
        <v>221070.64</v>
      </c>
      <c r="AF3404" t="str">
        <f t="shared" si="323"/>
        <v>Paid</v>
      </c>
    </row>
    <row r="3405" spans="1:32" ht="41.25" thickBot="1" x14ac:dyDescent="0.35">
      <c r="A3405" s="2" t="s">
        <v>19631</v>
      </c>
      <c r="B3405" s="2" t="s">
        <v>27</v>
      </c>
      <c r="C3405" s="2" t="s">
        <v>28</v>
      </c>
      <c r="D3405" s="2" t="s">
        <v>97</v>
      </c>
      <c r="E3405" s="2" t="s">
        <v>93</v>
      </c>
      <c r="F3405" s="2" t="s">
        <v>31</v>
      </c>
      <c r="G3405" s="2" t="s">
        <v>32</v>
      </c>
      <c r="H3405" s="1"/>
      <c r="I3405" s="2" t="s">
        <v>33</v>
      </c>
      <c r="J3405" s="2" t="s">
        <v>34</v>
      </c>
      <c r="K3405" s="2" t="s">
        <v>18658</v>
      </c>
      <c r="L3405" s="2" t="s">
        <v>18659</v>
      </c>
      <c r="M3405" s="2" t="s">
        <v>37</v>
      </c>
      <c r="N3405" s="2" t="s">
        <v>38</v>
      </c>
      <c r="O3405" s="2" t="s">
        <v>8269</v>
      </c>
      <c r="P3405" s="2" t="s">
        <v>142</v>
      </c>
      <c r="Q3405" s="2" t="s">
        <v>4848</v>
      </c>
      <c r="R3405" s="2" t="s">
        <v>40</v>
      </c>
      <c r="S3405" s="2" t="s">
        <v>19632</v>
      </c>
      <c r="T3405" s="2" t="s">
        <v>14635</v>
      </c>
      <c r="U3405" s="2" t="s">
        <v>18849</v>
      </c>
      <c r="V3405" s="2" t="s">
        <v>19633</v>
      </c>
      <c r="W3405" s="1"/>
      <c r="X3405" s="2" t="s">
        <v>17201</v>
      </c>
      <c r="Y3405" s="2" t="s">
        <v>19393</v>
      </c>
      <c r="AA3405" t="str">
        <f t="shared" si="318"/>
        <v>2025-05</v>
      </c>
      <c r="AB3405" t="str">
        <f t="shared" si="319"/>
        <v>H1_2025</v>
      </c>
      <c r="AC3405">
        <f t="shared" si="320"/>
        <v>990432</v>
      </c>
      <c r="AD3405">
        <f t="shared" si="321"/>
        <v>2400</v>
      </c>
      <c r="AE3405">
        <f t="shared" si="322"/>
        <v>356832</v>
      </c>
      <c r="AF3405" t="str">
        <f t="shared" si="323"/>
        <v>Paid</v>
      </c>
    </row>
    <row r="3406" spans="1:32" ht="41.25" thickBot="1" x14ac:dyDescent="0.35">
      <c r="A3406" s="2" t="s">
        <v>19634</v>
      </c>
      <c r="B3406" s="2" t="s">
        <v>27</v>
      </c>
      <c r="C3406" s="2" t="s">
        <v>28</v>
      </c>
      <c r="D3406" s="2" t="s">
        <v>97</v>
      </c>
      <c r="E3406" s="2" t="s">
        <v>93</v>
      </c>
      <c r="F3406" s="2" t="s">
        <v>31</v>
      </c>
      <c r="G3406" s="2" t="s">
        <v>32</v>
      </c>
      <c r="H3406" s="1"/>
      <c r="I3406" s="2" t="s">
        <v>33</v>
      </c>
      <c r="J3406" s="2" t="s">
        <v>34</v>
      </c>
      <c r="K3406" s="2" t="s">
        <v>18658</v>
      </c>
      <c r="L3406" s="2" t="s">
        <v>18659</v>
      </c>
      <c r="M3406" s="2" t="s">
        <v>37</v>
      </c>
      <c r="N3406" s="2" t="s">
        <v>38</v>
      </c>
      <c r="O3406" s="2" t="s">
        <v>7388</v>
      </c>
      <c r="P3406" s="2" t="s">
        <v>142</v>
      </c>
      <c r="Q3406" s="2" t="s">
        <v>2445</v>
      </c>
      <c r="R3406" s="2" t="s">
        <v>40</v>
      </c>
      <c r="S3406" s="2" t="s">
        <v>19635</v>
      </c>
      <c r="T3406" s="2" t="s">
        <v>14635</v>
      </c>
      <c r="U3406" s="2" t="s">
        <v>18838</v>
      </c>
      <c r="V3406" s="2" t="s">
        <v>19636</v>
      </c>
      <c r="W3406" s="1"/>
      <c r="X3406" s="2" t="s">
        <v>17201</v>
      </c>
      <c r="Y3406" s="2" t="s">
        <v>19393</v>
      </c>
      <c r="AA3406" t="str">
        <f t="shared" si="318"/>
        <v>2025-05</v>
      </c>
      <c r="AB3406" t="str">
        <f t="shared" si="319"/>
        <v>H1_2025</v>
      </c>
      <c r="AC3406">
        <f t="shared" si="320"/>
        <v>1650720</v>
      </c>
      <c r="AD3406">
        <f t="shared" si="321"/>
        <v>4000</v>
      </c>
      <c r="AE3406">
        <f t="shared" si="322"/>
        <v>594720</v>
      </c>
      <c r="AF3406" t="str">
        <f t="shared" si="323"/>
        <v>Paid</v>
      </c>
    </row>
    <row r="3407" spans="1:32" ht="17.25" thickBot="1" x14ac:dyDescent="0.35">
      <c r="A3407" s="2" t="s">
        <v>19637</v>
      </c>
      <c r="B3407" s="2" t="s">
        <v>27</v>
      </c>
      <c r="C3407" s="2" t="s">
        <v>28</v>
      </c>
      <c r="D3407" s="2" t="s">
        <v>97</v>
      </c>
      <c r="E3407" s="2" t="s">
        <v>93</v>
      </c>
      <c r="F3407" s="2" t="s">
        <v>31</v>
      </c>
      <c r="G3407" s="2" t="s">
        <v>32</v>
      </c>
      <c r="H3407" s="1"/>
      <c r="I3407" s="2" t="s">
        <v>33</v>
      </c>
      <c r="J3407" s="2" t="s">
        <v>34</v>
      </c>
      <c r="K3407" s="2" t="s">
        <v>18661</v>
      </c>
      <c r="L3407" s="2" t="s">
        <v>18662</v>
      </c>
      <c r="M3407" s="2" t="s">
        <v>37</v>
      </c>
      <c r="N3407" s="2" t="s">
        <v>38</v>
      </c>
      <c r="O3407" s="2" t="s">
        <v>19378</v>
      </c>
      <c r="P3407" s="2" t="s">
        <v>142</v>
      </c>
      <c r="Q3407" s="2" t="s">
        <v>10246</v>
      </c>
      <c r="R3407" s="2" t="s">
        <v>40</v>
      </c>
      <c r="S3407" s="2" t="s">
        <v>19613</v>
      </c>
      <c r="T3407" s="2" t="s">
        <v>40</v>
      </c>
      <c r="U3407" s="2" t="s">
        <v>40</v>
      </c>
      <c r="V3407" s="2" t="s">
        <v>19613</v>
      </c>
      <c r="W3407" s="1"/>
      <c r="X3407" s="2" t="s">
        <v>2155</v>
      </c>
      <c r="Y3407" s="2" t="s">
        <v>19393</v>
      </c>
      <c r="AA3407" t="str">
        <f t="shared" si="318"/>
        <v>2025-05</v>
      </c>
      <c r="AB3407" t="str">
        <f t="shared" si="319"/>
        <v>H1_2025</v>
      </c>
      <c r="AC3407">
        <f t="shared" si="320"/>
        <v>2971296</v>
      </c>
      <c r="AD3407">
        <f t="shared" si="321"/>
        <v>7200</v>
      </c>
      <c r="AE3407">
        <f t="shared" si="322"/>
        <v>2971296</v>
      </c>
      <c r="AF3407" t="str">
        <f t="shared" si="323"/>
        <v>Paid</v>
      </c>
    </row>
    <row r="3408" spans="1:32" ht="27.75" thickBot="1" x14ac:dyDescent="0.35">
      <c r="A3408" s="2" t="s">
        <v>19638</v>
      </c>
      <c r="B3408" s="2" t="s">
        <v>27</v>
      </c>
      <c r="C3408" s="2" t="s">
        <v>28</v>
      </c>
      <c r="D3408" s="2" t="s">
        <v>97</v>
      </c>
      <c r="E3408" s="2" t="s">
        <v>93</v>
      </c>
      <c r="F3408" s="2" t="s">
        <v>31</v>
      </c>
      <c r="G3408" s="2" t="s">
        <v>32</v>
      </c>
      <c r="H3408" s="1"/>
      <c r="I3408" s="2" t="s">
        <v>33</v>
      </c>
      <c r="J3408" s="2" t="s">
        <v>34</v>
      </c>
      <c r="K3408" s="2" t="s">
        <v>15010</v>
      </c>
      <c r="L3408" s="2" t="s">
        <v>15011</v>
      </c>
      <c r="M3408" s="2" t="s">
        <v>1757</v>
      </c>
      <c r="N3408" s="2" t="s">
        <v>38</v>
      </c>
      <c r="O3408" s="2" t="s">
        <v>1158</v>
      </c>
      <c r="P3408" s="2" t="s">
        <v>19639</v>
      </c>
      <c r="Q3408" s="2" t="s">
        <v>14155</v>
      </c>
      <c r="R3408" s="2" t="s">
        <v>40</v>
      </c>
      <c r="S3408" s="2" t="s">
        <v>19640</v>
      </c>
      <c r="T3408" s="2" t="s">
        <v>15015</v>
      </c>
      <c r="U3408" s="2" t="s">
        <v>19641</v>
      </c>
      <c r="V3408" s="2" t="s">
        <v>19642</v>
      </c>
      <c r="W3408" s="1"/>
      <c r="X3408" s="2" t="s">
        <v>4241</v>
      </c>
      <c r="Y3408" s="2" t="s">
        <v>19393</v>
      </c>
      <c r="AA3408" t="str">
        <f t="shared" si="318"/>
        <v>2025-05</v>
      </c>
      <c r="AB3408" t="str">
        <f t="shared" si="319"/>
        <v>H1_2025</v>
      </c>
      <c r="AC3408">
        <f t="shared" si="320"/>
        <v>341699.04</v>
      </c>
      <c r="AD3408">
        <f t="shared" si="321"/>
        <v>180</v>
      </c>
      <c r="AE3408">
        <f t="shared" si="322"/>
        <v>76559.039999999994</v>
      </c>
      <c r="AF3408" t="str">
        <f t="shared" si="323"/>
        <v>Paid</v>
      </c>
    </row>
    <row r="3409" spans="1:32" ht="17.25" thickBot="1" x14ac:dyDescent="0.35">
      <c r="A3409" s="2" t="s">
        <v>19643</v>
      </c>
      <c r="B3409" s="2" t="s">
        <v>27</v>
      </c>
      <c r="C3409" s="2" t="s">
        <v>28</v>
      </c>
      <c r="D3409" s="2" t="s">
        <v>97</v>
      </c>
      <c r="E3409" s="2" t="s">
        <v>93</v>
      </c>
      <c r="F3409" s="2" t="s">
        <v>31</v>
      </c>
      <c r="G3409" s="2" t="s">
        <v>32</v>
      </c>
      <c r="H3409" s="1"/>
      <c r="I3409" s="2" t="s">
        <v>33</v>
      </c>
      <c r="J3409" s="2" t="s">
        <v>34</v>
      </c>
      <c r="K3409" s="2" t="s">
        <v>10042</v>
      </c>
      <c r="L3409" s="2" t="s">
        <v>10043</v>
      </c>
      <c r="M3409" s="2" t="s">
        <v>1757</v>
      </c>
      <c r="N3409" s="2" t="s">
        <v>38</v>
      </c>
      <c r="O3409" s="2" t="s">
        <v>1804</v>
      </c>
      <c r="P3409" s="2" t="s">
        <v>10044</v>
      </c>
      <c r="Q3409" s="2" t="s">
        <v>19644</v>
      </c>
      <c r="R3409" s="2" t="s">
        <v>40</v>
      </c>
      <c r="S3409" s="2" t="s">
        <v>19645</v>
      </c>
      <c r="T3409" s="2" t="s">
        <v>15035</v>
      </c>
      <c r="U3409" s="2" t="s">
        <v>19646</v>
      </c>
      <c r="V3409" s="2" t="s">
        <v>19647</v>
      </c>
      <c r="W3409" s="1"/>
      <c r="X3409" s="2" t="s">
        <v>1082</v>
      </c>
      <c r="Y3409" s="2" t="s">
        <v>19393</v>
      </c>
      <c r="AA3409" t="str">
        <f t="shared" si="318"/>
        <v>2025-05</v>
      </c>
      <c r="AB3409" t="str">
        <f t="shared" si="319"/>
        <v>H1_2025</v>
      </c>
      <c r="AC3409">
        <f t="shared" si="320"/>
        <v>1140977.6599999999</v>
      </c>
      <c r="AD3409">
        <f t="shared" si="321"/>
        <v>216</v>
      </c>
      <c r="AE3409">
        <f t="shared" si="322"/>
        <v>268985.65999999997</v>
      </c>
      <c r="AF3409" t="str">
        <f t="shared" si="323"/>
        <v>Paid</v>
      </c>
    </row>
    <row r="3410" spans="1:32" ht="17.25" thickBot="1" x14ac:dyDescent="0.35">
      <c r="A3410" s="2" t="s">
        <v>19648</v>
      </c>
      <c r="B3410" s="2" t="s">
        <v>27</v>
      </c>
      <c r="C3410" s="2" t="s">
        <v>28</v>
      </c>
      <c r="D3410" s="2" t="s">
        <v>97</v>
      </c>
      <c r="E3410" s="2" t="s">
        <v>93</v>
      </c>
      <c r="F3410" s="2" t="s">
        <v>31</v>
      </c>
      <c r="G3410" s="2" t="s">
        <v>32</v>
      </c>
      <c r="H3410" s="1"/>
      <c r="I3410" s="2" t="s">
        <v>33</v>
      </c>
      <c r="J3410" s="2" t="s">
        <v>34</v>
      </c>
      <c r="K3410" s="2" t="s">
        <v>15039</v>
      </c>
      <c r="L3410" s="2" t="s">
        <v>15040</v>
      </c>
      <c r="M3410" s="2" t="s">
        <v>1757</v>
      </c>
      <c r="N3410" s="2" t="s">
        <v>38</v>
      </c>
      <c r="O3410" s="2" t="s">
        <v>407</v>
      </c>
      <c r="P3410" s="2" t="s">
        <v>7485</v>
      </c>
      <c r="Q3410" s="2" t="s">
        <v>4454</v>
      </c>
      <c r="R3410" s="2" t="s">
        <v>40</v>
      </c>
      <c r="S3410" s="2" t="s">
        <v>19649</v>
      </c>
      <c r="T3410" s="2" t="s">
        <v>8172</v>
      </c>
      <c r="U3410" s="2" t="s">
        <v>19650</v>
      </c>
      <c r="V3410" s="2" t="s">
        <v>19651</v>
      </c>
      <c r="W3410" s="1"/>
      <c r="X3410" s="2" t="s">
        <v>4393</v>
      </c>
      <c r="Y3410" s="2" t="s">
        <v>19393</v>
      </c>
      <c r="AA3410" t="str">
        <f t="shared" si="318"/>
        <v>2025-05</v>
      </c>
      <c r="AB3410" t="str">
        <f t="shared" si="319"/>
        <v>H1_2025</v>
      </c>
      <c r="AC3410">
        <f t="shared" si="320"/>
        <v>320239.68</v>
      </c>
      <c r="AD3410">
        <f t="shared" si="321"/>
        <v>48</v>
      </c>
      <c r="AE3410">
        <f t="shared" si="322"/>
        <v>75871.679999999993</v>
      </c>
      <c r="AF3410" t="str">
        <f t="shared" si="323"/>
        <v>Paid</v>
      </c>
    </row>
    <row r="3411" spans="1:32" ht="17.25" thickBot="1" x14ac:dyDescent="0.35">
      <c r="A3411" s="2" t="s">
        <v>19652</v>
      </c>
      <c r="B3411" s="2" t="s">
        <v>27</v>
      </c>
      <c r="C3411" s="2" t="s">
        <v>28</v>
      </c>
      <c r="D3411" s="2" t="s">
        <v>97</v>
      </c>
      <c r="E3411" s="2" t="s">
        <v>93</v>
      </c>
      <c r="F3411" s="2" t="s">
        <v>31</v>
      </c>
      <c r="G3411" s="2" t="s">
        <v>32</v>
      </c>
      <c r="H3411" s="1"/>
      <c r="I3411" s="2" t="s">
        <v>33</v>
      </c>
      <c r="J3411" s="2" t="s">
        <v>34</v>
      </c>
      <c r="K3411" s="2" t="s">
        <v>19653</v>
      </c>
      <c r="L3411" s="2" t="s">
        <v>19654</v>
      </c>
      <c r="M3411" s="2" t="s">
        <v>4544</v>
      </c>
      <c r="N3411" s="2" t="s">
        <v>38</v>
      </c>
      <c r="O3411" s="2" t="s">
        <v>19584</v>
      </c>
      <c r="P3411" s="2" t="s">
        <v>19655</v>
      </c>
      <c r="Q3411" s="2" t="s">
        <v>19656</v>
      </c>
      <c r="R3411" s="2" t="s">
        <v>40</v>
      </c>
      <c r="S3411" s="2" t="s">
        <v>19657</v>
      </c>
      <c r="T3411" s="2" t="s">
        <v>16297</v>
      </c>
      <c r="U3411" s="2" t="s">
        <v>10742</v>
      </c>
      <c r="V3411" s="2" t="s">
        <v>19658</v>
      </c>
      <c r="W3411" s="1"/>
      <c r="X3411" s="2" t="s">
        <v>8970</v>
      </c>
      <c r="Y3411" s="2" t="s">
        <v>19393</v>
      </c>
      <c r="AA3411" t="str">
        <f t="shared" si="318"/>
        <v>2025-05</v>
      </c>
      <c r="AB3411" t="str">
        <f t="shared" si="319"/>
        <v>H1_2025</v>
      </c>
      <c r="AC3411">
        <f t="shared" si="320"/>
        <v>2476080</v>
      </c>
      <c r="AD3411">
        <f t="shared" si="321"/>
        <v>15000</v>
      </c>
      <c r="AE3411">
        <f t="shared" si="322"/>
        <v>226080</v>
      </c>
      <c r="AF3411" t="str">
        <f t="shared" si="323"/>
        <v>Paid</v>
      </c>
    </row>
    <row r="3412" spans="1:32" ht="17.25" thickBot="1" x14ac:dyDescent="0.35">
      <c r="A3412" s="2" t="s">
        <v>19659</v>
      </c>
      <c r="B3412" s="2" t="s">
        <v>27</v>
      </c>
      <c r="C3412" s="2" t="s">
        <v>28</v>
      </c>
      <c r="D3412" s="2" t="s">
        <v>97</v>
      </c>
      <c r="E3412" s="2" t="s">
        <v>93</v>
      </c>
      <c r="F3412" s="2" t="s">
        <v>31</v>
      </c>
      <c r="G3412" s="2" t="s">
        <v>32</v>
      </c>
      <c r="H3412" s="1"/>
      <c r="I3412" s="2" t="s">
        <v>33</v>
      </c>
      <c r="J3412" s="2" t="s">
        <v>34</v>
      </c>
      <c r="K3412" s="2" t="s">
        <v>19660</v>
      </c>
      <c r="L3412" s="2" t="s">
        <v>19661</v>
      </c>
      <c r="M3412" s="2" t="s">
        <v>4544</v>
      </c>
      <c r="N3412" s="2" t="s">
        <v>38</v>
      </c>
      <c r="O3412" s="2" t="s">
        <v>1837</v>
      </c>
      <c r="P3412" s="2" t="s">
        <v>104</v>
      </c>
      <c r="Q3412" s="2" t="s">
        <v>18628</v>
      </c>
      <c r="R3412" s="2" t="s">
        <v>40</v>
      </c>
      <c r="S3412" s="2" t="s">
        <v>19662</v>
      </c>
      <c r="T3412" s="2" t="s">
        <v>16297</v>
      </c>
      <c r="U3412" s="2" t="s">
        <v>10232</v>
      </c>
      <c r="V3412" s="2" t="s">
        <v>19663</v>
      </c>
      <c r="W3412" s="2" t="s">
        <v>41</v>
      </c>
      <c r="X3412" s="2" t="s">
        <v>19664</v>
      </c>
      <c r="Y3412" s="2" t="s">
        <v>19393</v>
      </c>
      <c r="AA3412" t="str">
        <f t="shared" si="318"/>
        <v>2025-05</v>
      </c>
      <c r="AB3412" t="str">
        <f t="shared" si="319"/>
        <v>H1_2025</v>
      </c>
      <c r="AC3412">
        <f t="shared" si="320"/>
        <v>15131.6</v>
      </c>
      <c r="AD3412">
        <f t="shared" si="321"/>
        <v>1100</v>
      </c>
      <c r="AE3412">
        <f t="shared" si="322"/>
        <v>-149868.4</v>
      </c>
      <c r="AF3412" t="str">
        <f t="shared" si="323"/>
        <v>Sample</v>
      </c>
    </row>
    <row r="3413" spans="1:32" ht="17.25" thickBot="1" x14ac:dyDescent="0.35">
      <c r="A3413" s="2" t="s">
        <v>19665</v>
      </c>
      <c r="B3413" s="2" t="s">
        <v>27</v>
      </c>
      <c r="C3413" s="2" t="s">
        <v>28</v>
      </c>
      <c r="D3413" s="2" t="s">
        <v>97</v>
      </c>
      <c r="E3413" s="2" t="s">
        <v>93</v>
      </c>
      <c r="F3413" s="2" t="s">
        <v>31</v>
      </c>
      <c r="G3413" s="2" t="s">
        <v>32</v>
      </c>
      <c r="H3413" s="1"/>
      <c r="I3413" s="2" t="s">
        <v>33</v>
      </c>
      <c r="J3413" s="2" t="s">
        <v>34</v>
      </c>
      <c r="K3413" s="2" t="s">
        <v>19666</v>
      </c>
      <c r="L3413" s="2" t="s">
        <v>19667</v>
      </c>
      <c r="M3413" s="2" t="s">
        <v>4544</v>
      </c>
      <c r="N3413" s="2" t="s">
        <v>38</v>
      </c>
      <c r="O3413" s="2" t="s">
        <v>19668</v>
      </c>
      <c r="P3413" s="2" t="s">
        <v>19655</v>
      </c>
      <c r="Q3413" s="2" t="s">
        <v>10456</v>
      </c>
      <c r="R3413" s="2" t="s">
        <v>40</v>
      </c>
      <c r="S3413" s="2" t="s">
        <v>19669</v>
      </c>
      <c r="T3413" s="2" t="s">
        <v>16297</v>
      </c>
      <c r="U3413" s="2" t="s">
        <v>10285</v>
      </c>
      <c r="V3413" s="2" t="s">
        <v>19670</v>
      </c>
      <c r="W3413" s="1"/>
      <c r="X3413" s="2" t="s">
        <v>8970</v>
      </c>
      <c r="Y3413" s="2" t="s">
        <v>19393</v>
      </c>
      <c r="AA3413" t="str">
        <f t="shared" si="318"/>
        <v>2025-05</v>
      </c>
      <c r="AB3413" t="str">
        <f t="shared" si="319"/>
        <v>H1_2025</v>
      </c>
      <c r="AC3413">
        <f t="shared" si="320"/>
        <v>841867.2</v>
      </c>
      <c r="AD3413">
        <f t="shared" si="321"/>
        <v>5100</v>
      </c>
      <c r="AE3413">
        <f t="shared" si="322"/>
        <v>76867.199999999997</v>
      </c>
      <c r="AF3413" t="str">
        <f t="shared" si="323"/>
        <v>Paid</v>
      </c>
    </row>
    <row r="3414" spans="1:32" ht="17.25" thickBot="1" x14ac:dyDescent="0.35">
      <c r="A3414" s="2" t="s">
        <v>19671</v>
      </c>
      <c r="B3414" s="2" t="s">
        <v>27</v>
      </c>
      <c r="C3414" s="2" t="s">
        <v>28</v>
      </c>
      <c r="D3414" s="2" t="s">
        <v>97</v>
      </c>
      <c r="E3414" s="2" t="s">
        <v>93</v>
      </c>
      <c r="F3414" s="2" t="s">
        <v>31</v>
      </c>
      <c r="G3414" s="2" t="s">
        <v>32</v>
      </c>
      <c r="H3414" s="1"/>
      <c r="I3414" s="2" t="s">
        <v>33</v>
      </c>
      <c r="J3414" s="2" t="s">
        <v>34</v>
      </c>
      <c r="K3414" s="2" t="s">
        <v>19666</v>
      </c>
      <c r="L3414" s="2" t="s">
        <v>19667</v>
      </c>
      <c r="M3414" s="2" t="s">
        <v>4544</v>
      </c>
      <c r="N3414" s="2" t="s">
        <v>38</v>
      </c>
      <c r="O3414" s="2" t="s">
        <v>10815</v>
      </c>
      <c r="P3414" s="2" t="s">
        <v>19655</v>
      </c>
      <c r="Q3414" s="2" t="s">
        <v>2445</v>
      </c>
      <c r="R3414" s="2" t="s">
        <v>40</v>
      </c>
      <c r="S3414" s="2" t="s">
        <v>19635</v>
      </c>
      <c r="T3414" s="2" t="s">
        <v>16297</v>
      </c>
      <c r="U3414" s="2" t="s">
        <v>10805</v>
      </c>
      <c r="V3414" s="2" t="s">
        <v>19672</v>
      </c>
      <c r="W3414" s="1"/>
      <c r="X3414" s="2" t="s">
        <v>8970</v>
      </c>
      <c r="Y3414" s="2" t="s">
        <v>19393</v>
      </c>
      <c r="AA3414" t="str">
        <f t="shared" si="318"/>
        <v>2025-05</v>
      </c>
      <c r="AB3414" t="str">
        <f t="shared" si="319"/>
        <v>H1_2025</v>
      </c>
      <c r="AC3414">
        <f t="shared" si="320"/>
        <v>1650720</v>
      </c>
      <c r="AD3414">
        <f t="shared" si="321"/>
        <v>10000</v>
      </c>
      <c r="AE3414">
        <f t="shared" si="322"/>
        <v>150720</v>
      </c>
      <c r="AF3414" t="str">
        <f t="shared" si="323"/>
        <v>Paid</v>
      </c>
    </row>
    <row r="3415" spans="1:32" ht="17.25" thickBot="1" x14ac:dyDescent="0.35">
      <c r="A3415" s="2" t="s">
        <v>19673</v>
      </c>
      <c r="B3415" s="2" t="s">
        <v>27</v>
      </c>
      <c r="C3415" s="2" t="s">
        <v>28</v>
      </c>
      <c r="D3415" s="2" t="s">
        <v>97</v>
      </c>
      <c r="E3415" s="2" t="s">
        <v>93</v>
      </c>
      <c r="F3415" s="2" t="s">
        <v>31</v>
      </c>
      <c r="G3415" s="2" t="s">
        <v>32</v>
      </c>
      <c r="H3415" s="1"/>
      <c r="I3415" s="2" t="s">
        <v>33</v>
      </c>
      <c r="J3415" s="2" t="s">
        <v>34</v>
      </c>
      <c r="K3415" s="2" t="s">
        <v>19674</v>
      </c>
      <c r="L3415" s="2" t="s">
        <v>19675</v>
      </c>
      <c r="M3415" s="2" t="s">
        <v>4544</v>
      </c>
      <c r="N3415" s="2" t="s">
        <v>38</v>
      </c>
      <c r="O3415" s="2" t="s">
        <v>1333</v>
      </c>
      <c r="P3415" s="2" t="s">
        <v>19676</v>
      </c>
      <c r="Q3415" s="2" t="s">
        <v>19677</v>
      </c>
      <c r="R3415" s="2" t="s">
        <v>40</v>
      </c>
      <c r="S3415" s="2" t="s">
        <v>19678</v>
      </c>
      <c r="T3415" s="2" t="s">
        <v>107</v>
      </c>
      <c r="U3415" s="2" t="s">
        <v>1486</v>
      </c>
      <c r="V3415" s="2" t="s">
        <v>19679</v>
      </c>
      <c r="W3415" s="1"/>
      <c r="X3415" s="2" t="s">
        <v>6032</v>
      </c>
      <c r="Y3415" s="2" t="s">
        <v>19393</v>
      </c>
      <c r="AA3415" t="str">
        <f t="shared" si="318"/>
        <v>2025-05</v>
      </c>
      <c r="AB3415" t="str">
        <f t="shared" si="319"/>
        <v>H1_2025</v>
      </c>
      <c r="AC3415">
        <f t="shared" si="320"/>
        <v>1004875.8</v>
      </c>
      <c r="AD3415">
        <f t="shared" si="321"/>
        <v>150</v>
      </c>
      <c r="AE3415">
        <f t="shared" si="322"/>
        <v>164875.79999999999</v>
      </c>
      <c r="AF3415" t="str">
        <f t="shared" si="323"/>
        <v>Paid</v>
      </c>
    </row>
    <row r="3416" spans="1:32" ht="17.25" thickBot="1" x14ac:dyDescent="0.35">
      <c r="A3416" s="2" t="s">
        <v>19680</v>
      </c>
      <c r="B3416" s="2" t="s">
        <v>27</v>
      </c>
      <c r="C3416" s="2" t="s">
        <v>28</v>
      </c>
      <c r="D3416" s="2" t="s">
        <v>97</v>
      </c>
      <c r="E3416" s="2" t="s">
        <v>93</v>
      </c>
      <c r="F3416" s="2" t="s">
        <v>31</v>
      </c>
      <c r="G3416" s="2" t="s">
        <v>32</v>
      </c>
      <c r="H3416" s="1"/>
      <c r="I3416" s="2" t="s">
        <v>33</v>
      </c>
      <c r="J3416" s="2" t="s">
        <v>34</v>
      </c>
      <c r="K3416" s="2" t="s">
        <v>19681</v>
      </c>
      <c r="L3416" s="2" t="s">
        <v>19682</v>
      </c>
      <c r="M3416" s="2" t="s">
        <v>4544</v>
      </c>
      <c r="N3416" s="2" t="s">
        <v>38</v>
      </c>
      <c r="O3416" s="2" t="s">
        <v>10815</v>
      </c>
      <c r="P3416" s="2" t="s">
        <v>10834</v>
      </c>
      <c r="Q3416" s="2" t="s">
        <v>10843</v>
      </c>
      <c r="R3416" s="2" t="s">
        <v>40</v>
      </c>
      <c r="S3416" s="2" t="s">
        <v>19683</v>
      </c>
      <c r="T3416" s="2" t="s">
        <v>16297</v>
      </c>
      <c r="U3416" s="2" t="s">
        <v>10805</v>
      </c>
      <c r="V3416" s="2" t="s">
        <v>19684</v>
      </c>
      <c r="W3416" s="1"/>
      <c r="X3416" s="2" t="s">
        <v>3903</v>
      </c>
      <c r="Y3416" s="2" t="s">
        <v>19393</v>
      </c>
      <c r="AA3416" t="str">
        <f t="shared" si="318"/>
        <v>2025-05</v>
      </c>
      <c r="AB3416" t="str">
        <f t="shared" si="319"/>
        <v>H1_2025</v>
      </c>
      <c r="AC3416">
        <f t="shared" si="320"/>
        <v>1788280</v>
      </c>
      <c r="AD3416">
        <f t="shared" si="321"/>
        <v>10000</v>
      </c>
      <c r="AE3416">
        <f t="shared" si="322"/>
        <v>288280</v>
      </c>
      <c r="AF3416" t="str">
        <f t="shared" si="323"/>
        <v>Paid</v>
      </c>
    </row>
    <row r="3417" spans="1:32" ht="17.25" thickBot="1" x14ac:dyDescent="0.35">
      <c r="A3417" s="2" t="s">
        <v>19685</v>
      </c>
      <c r="B3417" s="2" t="s">
        <v>27</v>
      </c>
      <c r="C3417" s="2" t="s">
        <v>28</v>
      </c>
      <c r="D3417" s="2" t="s">
        <v>97</v>
      </c>
      <c r="E3417" s="2" t="s">
        <v>93</v>
      </c>
      <c r="F3417" s="2" t="s">
        <v>31</v>
      </c>
      <c r="G3417" s="2" t="s">
        <v>32</v>
      </c>
      <c r="H3417" s="1"/>
      <c r="I3417" s="2" t="s">
        <v>33</v>
      </c>
      <c r="J3417" s="2" t="s">
        <v>34</v>
      </c>
      <c r="K3417" s="2" t="s">
        <v>19686</v>
      </c>
      <c r="L3417" s="2" t="s">
        <v>19687</v>
      </c>
      <c r="M3417" s="2" t="s">
        <v>5102</v>
      </c>
      <c r="N3417" s="2" t="s">
        <v>38</v>
      </c>
      <c r="O3417" s="2" t="s">
        <v>19688</v>
      </c>
      <c r="P3417" s="2" t="s">
        <v>15871</v>
      </c>
      <c r="Q3417" s="2" t="s">
        <v>19689</v>
      </c>
      <c r="R3417" s="2" t="s">
        <v>40</v>
      </c>
      <c r="S3417" s="2" t="s">
        <v>19690</v>
      </c>
      <c r="T3417" s="2" t="s">
        <v>19691</v>
      </c>
      <c r="U3417" s="2" t="s">
        <v>19692</v>
      </c>
      <c r="V3417" s="2" t="s">
        <v>19693</v>
      </c>
      <c r="W3417" s="1"/>
      <c r="X3417" s="2" t="s">
        <v>6532</v>
      </c>
      <c r="Y3417" s="2" t="s">
        <v>19393</v>
      </c>
      <c r="AA3417" t="str">
        <f t="shared" si="318"/>
        <v>2025-05</v>
      </c>
      <c r="AB3417" t="str">
        <f t="shared" si="319"/>
        <v>H1_2025</v>
      </c>
      <c r="AC3417">
        <f t="shared" si="320"/>
        <v>15488375.619999999</v>
      </c>
      <c r="AD3417">
        <f t="shared" si="321"/>
        <v>1008</v>
      </c>
      <c r="AE3417">
        <f t="shared" si="322"/>
        <v>4931591.62</v>
      </c>
      <c r="AF3417" t="str">
        <f t="shared" si="323"/>
        <v>Paid</v>
      </c>
    </row>
    <row r="3418" spans="1:32" ht="17.25" thickBot="1" x14ac:dyDescent="0.35">
      <c r="A3418" s="2" t="s">
        <v>19694</v>
      </c>
      <c r="B3418" s="2" t="s">
        <v>27</v>
      </c>
      <c r="C3418" s="2" t="s">
        <v>28</v>
      </c>
      <c r="D3418" s="2" t="s">
        <v>97</v>
      </c>
      <c r="E3418" s="2" t="s">
        <v>93</v>
      </c>
      <c r="F3418" s="2" t="s">
        <v>31</v>
      </c>
      <c r="G3418" s="2" t="s">
        <v>32</v>
      </c>
      <c r="H3418" s="1"/>
      <c r="I3418" s="2" t="s">
        <v>33</v>
      </c>
      <c r="J3418" s="2" t="s">
        <v>34</v>
      </c>
      <c r="K3418" s="2" t="s">
        <v>18852</v>
      </c>
      <c r="L3418" s="2" t="s">
        <v>18853</v>
      </c>
      <c r="M3418" s="2" t="s">
        <v>5102</v>
      </c>
      <c r="N3418" s="2" t="s">
        <v>38</v>
      </c>
      <c r="O3418" s="2" t="s">
        <v>19688</v>
      </c>
      <c r="P3418" s="2" t="s">
        <v>18854</v>
      </c>
      <c r="Q3418" s="2" t="s">
        <v>19695</v>
      </c>
      <c r="R3418" s="2" t="s">
        <v>40</v>
      </c>
      <c r="S3418" s="2" t="s">
        <v>19696</v>
      </c>
      <c r="T3418" s="2" t="s">
        <v>19697</v>
      </c>
      <c r="U3418" s="2" t="s">
        <v>19698</v>
      </c>
      <c r="V3418" s="2" t="s">
        <v>19699</v>
      </c>
      <c r="W3418" s="1"/>
      <c r="X3418" s="2" t="s">
        <v>19078</v>
      </c>
      <c r="Y3418" s="2" t="s">
        <v>19393</v>
      </c>
      <c r="AA3418" t="str">
        <f t="shared" si="318"/>
        <v>2025-05</v>
      </c>
      <c r="AB3418" t="str">
        <f t="shared" si="319"/>
        <v>H1_2025</v>
      </c>
      <c r="AC3418">
        <f t="shared" si="320"/>
        <v>20799072</v>
      </c>
      <c r="AD3418">
        <f t="shared" si="321"/>
        <v>1008</v>
      </c>
      <c r="AE3418">
        <f t="shared" si="322"/>
        <v>11824008</v>
      </c>
      <c r="AF3418" t="str">
        <f t="shared" si="323"/>
        <v>Paid</v>
      </c>
    </row>
    <row r="3419" spans="1:32" ht="27.75" thickBot="1" x14ac:dyDescent="0.35">
      <c r="A3419" s="2" t="s">
        <v>19700</v>
      </c>
      <c r="B3419" s="2" t="s">
        <v>27</v>
      </c>
      <c r="C3419" s="2" t="s">
        <v>28</v>
      </c>
      <c r="D3419" s="2" t="s">
        <v>97</v>
      </c>
      <c r="E3419" s="2" t="s">
        <v>93</v>
      </c>
      <c r="F3419" s="2" t="s">
        <v>31</v>
      </c>
      <c r="G3419" s="2" t="s">
        <v>32</v>
      </c>
      <c r="H3419" s="1"/>
      <c r="I3419" s="2" t="s">
        <v>33</v>
      </c>
      <c r="J3419" s="2" t="s">
        <v>34</v>
      </c>
      <c r="K3419" s="2" t="s">
        <v>19701</v>
      </c>
      <c r="L3419" s="2" t="s">
        <v>19702</v>
      </c>
      <c r="M3419" s="2" t="s">
        <v>13465</v>
      </c>
      <c r="N3419" s="2" t="s">
        <v>38</v>
      </c>
      <c r="O3419" s="2" t="s">
        <v>4656</v>
      </c>
      <c r="P3419" s="2" t="s">
        <v>11800</v>
      </c>
      <c r="Q3419" s="2" t="s">
        <v>19703</v>
      </c>
      <c r="R3419" s="2" t="s">
        <v>40</v>
      </c>
      <c r="S3419" s="2" t="s">
        <v>19704</v>
      </c>
      <c r="T3419" s="2" t="s">
        <v>19115</v>
      </c>
      <c r="U3419" s="2" t="s">
        <v>19705</v>
      </c>
      <c r="V3419" s="2" t="s">
        <v>19706</v>
      </c>
      <c r="W3419" s="1"/>
      <c r="X3419" s="2" t="s">
        <v>155</v>
      </c>
      <c r="Y3419" s="2" t="s">
        <v>19393</v>
      </c>
      <c r="AA3419" t="str">
        <f t="shared" si="318"/>
        <v>2025-05</v>
      </c>
      <c r="AB3419" t="str">
        <f t="shared" si="319"/>
        <v>H1_2025</v>
      </c>
      <c r="AC3419">
        <f t="shared" si="320"/>
        <v>997860.24</v>
      </c>
      <c r="AD3419">
        <f t="shared" si="321"/>
        <v>620</v>
      </c>
      <c r="AE3419">
        <f t="shared" si="322"/>
        <v>194340.24</v>
      </c>
      <c r="AF3419" t="str">
        <f t="shared" si="323"/>
        <v>Paid</v>
      </c>
    </row>
    <row r="3420" spans="1:32" ht="17.25" thickBot="1" x14ac:dyDescent="0.35">
      <c r="A3420" s="2" t="s">
        <v>19707</v>
      </c>
      <c r="B3420" s="2" t="s">
        <v>27</v>
      </c>
      <c r="C3420" s="2" t="s">
        <v>28</v>
      </c>
      <c r="D3420" s="2" t="s">
        <v>97</v>
      </c>
      <c r="E3420" s="2" t="s">
        <v>93</v>
      </c>
      <c r="F3420" s="2" t="s">
        <v>31</v>
      </c>
      <c r="G3420" s="2" t="s">
        <v>32</v>
      </c>
      <c r="H3420" s="1"/>
      <c r="I3420" s="2" t="s">
        <v>33</v>
      </c>
      <c r="J3420" s="2" t="s">
        <v>34</v>
      </c>
      <c r="K3420" s="2" t="s">
        <v>19112</v>
      </c>
      <c r="L3420" s="2" t="s">
        <v>19113</v>
      </c>
      <c r="M3420" s="2" t="s">
        <v>13465</v>
      </c>
      <c r="N3420" s="2" t="s">
        <v>38</v>
      </c>
      <c r="O3420" s="2" t="s">
        <v>4656</v>
      </c>
      <c r="P3420" s="2" t="s">
        <v>11800</v>
      </c>
      <c r="Q3420" s="2" t="s">
        <v>19703</v>
      </c>
      <c r="R3420" s="2" t="s">
        <v>40</v>
      </c>
      <c r="S3420" s="2" t="s">
        <v>19704</v>
      </c>
      <c r="T3420" s="2" t="s">
        <v>19115</v>
      </c>
      <c r="U3420" s="2" t="s">
        <v>19705</v>
      </c>
      <c r="V3420" s="2" t="s">
        <v>19706</v>
      </c>
      <c r="W3420" s="1"/>
      <c r="X3420" s="2" t="s">
        <v>155</v>
      </c>
      <c r="Y3420" s="2" t="s">
        <v>19393</v>
      </c>
      <c r="AA3420" t="str">
        <f t="shared" si="318"/>
        <v>2025-05</v>
      </c>
      <c r="AB3420" t="str">
        <f t="shared" si="319"/>
        <v>H1_2025</v>
      </c>
      <c r="AC3420">
        <f t="shared" si="320"/>
        <v>997860.24</v>
      </c>
      <c r="AD3420">
        <f t="shared" si="321"/>
        <v>620</v>
      </c>
      <c r="AE3420">
        <f t="shared" si="322"/>
        <v>194340.24</v>
      </c>
      <c r="AF3420" t="str">
        <f t="shared" si="323"/>
        <v>Paid</v>
      </c>
    </row>
    <row r="3421" spans="1:32" ht="17.25" thickBot="1" x14ac:dyDescent="0.35">
      <c r="A3421" s="2" t="s">
        <v>19708</v>
      </c>
      <c r="B3421" s="2" t="s">
        <v>27</v>
      </c>
      <c r="C3421" s="2" t="s">
        <v>28</v>
      </c>
      <c r="D3421" s="2" t="s">
        <v>97</v>
      </c>
      <c r="E3421" s="2" t="s">
        <v>19709</v>
      </c>
      <c r="F3421" s="2" t="s">
        <v>31</v>
      </c>
      <c r="G3421" s="2" t="s">
        <v>32</v>
      </c>
      <c r="H3421" s="1"/>
      <c r="I3421" s="2" t="s">
        <v>33</v>
      </c>
      <c r="J3421" s="2" t="s">
        <v>34</v>
      </c>
      <c r="K3421" s="2" t="s">
        <v>19710</v>
      </c>
      <c r="L3421" s="2" t="s">
        <v>19711</v>
      </c>
      <c r="M3421" s="2" t="s">
        <v>19712</v>
      </c>
      <c r="N3421" s="2" t="s">
        <v>38</v>
      </c>
      <c r="O3421" s="2" t="s">
        <v>51</v>
      </c>
      <c r="P3421" s="2" t="s">
        <v>40</v>
      </c>
      <c r="Q3421" s="2" t="s">
        <v>40</v>
      </c>
      <c r="R3421" s="2" t="s">
        <v>40</v>
      </c>
      <c r="S3421" s="2" t="s">
        <v>40</v>
      </c>
      <c r="T3421" s="2" t="s">
        <v>19713</v>
      </c>
      <c r="U3421" s="2" t="s">
        <v>19714</v>
      </c>
      <c r="V3421" s="2" t="s">
        <v>19715</v>
      </c>
      <c r="W3421" s="2" t="s">
        <v>41</v>
      </c>
      <c r="X3421" s="2" t="s">
        <v>42</v>
      </c>
      <c r="Y3421" s="2" t="s">
        <v>19716</v>
      </c>
      <c r="AA3421" t="str">
        <f t="shared" si="318"/>
        <v>2025-04</v>
      </c>
      <c r="AB3421" t="str">
        <f t="shared" si="319"/>
        <v>H1_2025</v>
      </c>
      <c r="AC3421">
        <f t="shared" si="320"/>
        <v>0</v>
      </c>
      <c r="AD3421">
        <f t="shared" si="321"/>
        <v>3</v>
      </c>
      <c r="AE3421">
        <f t="shared" si="322"/>
        <v>-11730</v>
      </c>
      <c r="AF3421" t="str">
        <f t="shared" si="323"/>
        <v>Sample</v>
      </c>
    </row>
    <row r="3422" spans="1:32" ht="17.25" thickBot="1" x14ac:dyDescent="0.35">
      <c r="A3422" s="2" t="s">
        <v>19717</v>
      </c>
      <c r="B3422" s="2" t="s">
        <v>27</v>
      </c>
      <c r="C3422" s="2" t="s">
        <v>28</v>
      </c>
      <c r="D3422" s="2" t="s">
        <v>97</v>
      </c>
      <c r="E3422" s="2" t="s">
        <v>19709</v>
      </c>
      <c r="F3422" s="2" t="s">
        <v>31</v>
      </c>
      <c r="G3422" s="2" t="s">
        <v>32</v>
      </c>
      <c r="H3422" s="1"/>
      <c r="I3422" s="2" t="s">
        <v>33</v>
      </c>
      <c r="J3422" s="2" t="s">
        <v>34</v>
      </c>
      <c r="K3422" s="2" t="s">
        <v>19718</v>
      </c>
      <c r="L3422" s="2" t="s">
        <v>19719</v>
      </c>
      <c r="M3422" s="2" t="s">
        <v>19712</v>
      </c>
      <c r="N3422" s="2" t="s">
        <v>38</v>
      </c>
      <c r="O3422" s="2" t="s">
        <v>51</v>
      </c>
      <c r="P3422" s="2" t="s">
        <v>40</v>
      </c>
      <c r="Q3422" s="2" t="s">
        <v>40</v>
      </c>
      <c r="R3422" s="2" t="s">
        <v>40</v>
      </c>
      <c r="S3422" s="2" t="s">
        <v>40</v>
      </c>
      <c r="T3422" s="2" t="s">
        <v>19713</v>
      </c>
      <c r="U3422" s="2" t="s">
        <v>19714</v>
      </c>
      <c r="V3422" s="2" t="s">
        <v>19715</v>
      </c>
      <c r="W3422" s="2" t="s">
        <v>41</v>
      </c>
      <c r="X3422" s="2" t="s">
        <v>42</v>
      </c>
      <c r="Y3422" s="2" t="s">
        <v>19716</v>
      </c>
      <c r="AA3422" t="str">
        <f t="shared" si="318"/>
        <v>2025-04</v>
      </c>
      <c r="AB3422" t="str">
        <f t="shared" si="319"/>
        <v>H1_2025</v>
      </c>
      <c r="AC3422">
        <f t="shared" si="320"/>
        <v>0</v>
      </c>
      <c r="AD3422">
        <f t="shared" si="321"/>
        <v>3</v>
      </c>
      <c r="AE3422">
        <f t="shared" si="322"/>
        <v>-11730</v>
      </c>
      <c r="AF3422" t="str">
        <f t="shared" si="323"/>
        <v>Sample</v>
      </c>
    </row>
    <row r="3423" spans="1:32" ht="17.25" thickBot="1" x14ac:dyDescent="0.35">
      <c r="A3423" s="2" t="s">
        <v>19720</v>
      </c>
      <c r="B3423" s="2" t="s">
        <v>27</v>
      </c>
      <c r="C3423" s="2" t="s">
        <v>28</v>
      </c>
      <c r="D3423" s="2" t="s">
        <v>97</v>
      </c>
      <c r="E3423" s="2" t="s">
        <v>19709</v>
      </c>
      <c r="F3423" s="2" t="s">
        <v>31</v>
      </c>
      <c r="G3423" s="2" t="s">
        <v>32</v>
      </c>
      <c r="H3423" s="1"/>
      <c r="I3423" s="2" t="s">
        <v>33</v>
      </c>
      <c r="J3423" s="2" t="s">
        <v>34</v>
      </c>
      <c r="K3423" s="2" t="s">
        <v>19721</v>
      </c>
      <c r="L3423" s="2" t="s">
        <v>19722</v>
      </c>
      <c r="M3423" s="2" t="s">
        <v>19712</v>
      </c>
      <c r="N3423" s="2" t="s">
        <v>38</v>
      </c>
      <c r="O3423" s="2" t="s">
        <v>51</v>
      </c>
      <c r="P3423" s="2" t="s">
        <v>40</v>
      </c>
      <c r="Q3423" s="2" t="s">
        <v>40</v>
      </c>
      <c r="R3423" s="2" t="s">
        <v>40</v>
      </c>
      <c r="S3423" s="2" t="s">
        <v>40</v>
      </c>
      <c r="T3423" s="2" t="s">
        <v>19723</v>
      </c>
      <c r="U3423" s="2" t="s">
        <v>19724</v>
      </c>
      <c r="V3423" s="2" t="s">
        <v>19725</v>
      </c>
      <c r="W3423" s="2" t="s">
        <v>41</v>
      </c>
      <c r="X3423" s="2" t="s">
        <v>42</v>
      </c>
      <c r="Y3423" s="2" t="s">
        <v>19716</v>
      </c>
      <c r="AA3423" t="str">
        <f t="shared" si="318"/>
        <v>2025-04</v>
      </c>
      <c r="AB3423" t="str">
        <f t="shared" si="319"/>
        <v>H1_2025</v>
      </c>
      <c r="AC3423">
        <f t="shared" si="320"/>
        <v>0</v>
      </c>
      <c r="AD3423">
        <f t="shared" si="321"/>
        <v>3</v>
      </c>
      <c r="AE3423">
        <f t="shared" si="322"/>
        <v>-7638</v>
      </c>
      <c r="AF3423" t="str">
        <f t="shared" si="323"/>
        <v>Sample</v>
      </c>
    </row>
    <row r="3424" spans="1:32" ht="17.25" thickBot="1" x14ac:dyDescent="0.35">
      <c r="A3424" s="2" t="s">
        <v>19726</v>
      </c>
      <c r="B3424" s="2" t="s">
        <v>27</v>
      </c>
      <c r="C3424" s="2" t="s">
        <v>28</v>
      </c>
      <c r="D3424" s="2" t="s">
        <v>97</v>
      </c>
      <c r="E3424" s="2" t="s">
        <v>19709</v>
      </c>
      <c r="F3424" s="2" t="s">
        <v>31</v>
      </c>
      <c r="G3424" s="2" t="s">
        <v>32</v>
      </c>
      <c r="H3424" s="1"/>
      <c r="I3424" s="2" t="s">
        <v>33</v>
      </c>
      <c r="J3424" s="2" t="s">
        <v>34</v>
      </c>
      <c r="K3424" s="2" t="s">
        <v>19727</v>
      </c>
      <c r="L3424" s="2" t="s">
        <v>19728</v>
      </c>
      <c r="M3424" s="2" t="s">
        <v>19712</v>
      </c>
      <c r="N3424" s="2" t="s">
        <v>38</v>
      </c>
      <c r="O3424" s="2" t="s">
        <v>51</v>
      </c>
      <c r="P3424" s="2" t="s">
        <v>40</v>
      </c>
      <c r="Q3424" s="2" t="s">
        <v>40</v>
      </c>
      <c r="R3424" s="2" t="s">
        <v>40</v>
      </c>
      <c r="S3424" s="2" t="s">
        <v>40</v>
      </c>
      <c r="T3424" s="2" t="s">
        <v>19723</v>
      </c>
      <c r="U3424" s="2" t="s">
        <v>19724</v>
      </c>
      <c r="V3424" s="2" t="s">
        <v>19725</v>
      </c>
      <c r="W3424" s="2" t="s">
        <v>41</v>
      </c>
      <c r="X3424" s="2" t="s">
        <v>42</v>
      </c>
      <c r="Y3424" s="2" t="s">
        <v>19716</v>
      </c>
      <c r="AA3424" t="str">
        <f t="shared" si="318"/>
        <v>2025-04</v>
      </c>
      <c r="AB3424" t="str">
        <f t="shared" si="319"/>
        <v>H1_2025</v>
      </c>
      <c r="AC3424">
        <f t="shared" si="320"/>
        <v>0</v>
      </c>
      <c r="AD3424">
        <f t="shared" si="321"/>
        <v>3</v>
      </c>
      <c r="AE3424">
        <f t="shared" si="322"/>
        <v>-7638</v>
      </c>
      <c r="AF3424" t="str">
        <f t="shared" si="323"/>
        <v>Sample</v>
      </c>
    </row>
    <row r="3425" spans="1:32" ht="17.25" thickBot="1" x14ac:dyDescent="0.35">
      <c r="A3425" s="2" t="s">
        <v>19729</v>
      </c>
      <c r="B3425" s="2" t="s">
        <v>27</v>
      </c>
      <c r="C3425" s="2" t="s">
        <v>28</v>
      </c>
      <c r="D3425" s="2" t="s">
        <v>97</v>
      </c>
      <c r="E3425" s="2" t="s">
        <v>19709</v>
      </c>
      <c r="F3425" s="2" t="s">
        <v>31</v>
      </c>
      <c r="G3425" s="2" t="s">
        <v>32</v>
      </c>
      <c r="H3425" s="1"/>
      <c r="I3425" s="2" t="s">
        <v>33</v>
      </c>
      <c r="J3425" s="2" t="s">
        <v>34</v>
      </c>
      <c r="K3425" s="2" t="s">
        <v>19730</v>
      </c>
      <c r="L3425" s="2" t="s">
        <v>19731</v>
      </c>
      <c r="M3425" s="2" t="s">
        <v>19712</v>
      </c>
      <c r="N3425" s="2" t="s">
        <v>38</v>
      </c>
      <c r="O3425" s="2" t="s">
        <v>51</v>
      </c>
      <c r="P3425" s="2" t="s">
        <v>40</v>
      </c>
      <c r="Q3425" s="2" t="s">
        <v>40</v>
      </c>
      <c r="R3425" s="2" t="s">
        <v>40</v>
      </c>
      <c r="S3425" s="2" t="s">
        <v>40</v>
      </c>
      <c r="T3425" s="2" t="s">
        <v>19732</v>
      </c>
      <c r="U3425" s="2" t="s">
        <v>19733</v>
      </c>
      <c r="V3425" s="2" t="s">
        <v>19734</v>
      </c>
      <c r="W3425" s="2" t="s">
        <v>41</v>
      </c>
      <c r="X3425" s="2" t="s">
        <v>42</v>
      </c>
      <c r="Y3425" s="2" t="s">
        <v>19716</v>
      </c>
      <c r="AA3425" t="str">
        <f t="shared" si="318"/>
        <v>2025-04</v>
      </c>
      <c r="AB3425" t="str">
        <f t="shared" si="319"/>
        <v>H1_2025</v>
      </c>
      <c r="AC3425">
        <f t="shared" si="320"/>
        <v>0</v>
      </c>
      <c r="AD3425">
        <f t="shared" si="321"/>
        <v>3</v>
      </c>
      <c r="AE3425">
        <f t="shared" si="322"/>
        <v>-11457</v>
      </c>
      <c r="AF3425" t="str">
        <f t="shared" si="323"/>
        <v>Sample</v>
      </c>
    </row>
    <row r="3426" spans="1:32" ht="17.25" thickBot="1" x14ac:dyDescent="0.35">
      <c r="A3426" s="2" t="s">
        <v>19735</v>
      </c>
      <c r="B3426" s="2" t="s">
        <v>27</v>
      </c>
      <c r="C3426" s="2" t="s">
        <v>28</v>
      </c>
      <c r="D3426" s="2" t="s">
        <v>97</v>
      </c>
      <c r="E3426" s="2" t="s">
        <v>19709</v>
      </c>
      <c r="F3426" s="2" t="s">
        <v>31</v>
      </c>
      <c r="G3426" s="2" t="s">
        <v>32</v>
      </c>
      <c r="H3426" s="1"/>
      <c r="I3426" s="2" t="s">
        <v>33</v>
      </c>
      <c r="J3426" s="2" t="s">
        <v>34</v>
      </c>
      <c r="K3426" s="2" t="s">
        <v>19736</v>
      </c>
      <c r="L3426" s="2" t="s">
        <v>19737</v>
      </c>
      <c r="M3426" s="2" t="s">
        <v>19712</v>
      </c>
      <c r="N3426" s="2" t="s">
        <v>38</v>
      </c>
      <c r="O3426" s="2" t="s">
        <v>51</v>
      </c>
      <c r="P3426" s="2" t="s">
        <v>40</v>
      </c>
      <c r="Q3426" s="2" t="s">
        <v>40</v>
      </c>
      <c r="R3426" s="2" t="s">
        <v>40</v>
      </c>
      <c r="S3426" s="2" t="s">
        <v>40</v>
      </c>
      <c r="T3426" s="2" t="s">
        <v>19732</v>
      </c>
      <c r="U3426" s="2" t="s">
        <v>19733</v>
      </c>
      <c r="V3426" s="2" t="s">
        <v>19734</v>
      </c>
      <c r="W3426" s="2" t="s">
        <v>41</v>
      </c>
      <c r="X3426" s="2" t="s">
        <v>42</v>
      </c>
      <c r="Y3426" s="2" t="s">
        <v>19716</v>
      </c>
      <c r="AA3426" t="str">
        <f t="shared" si="318"/>
        <v>2025-04</v>
      </c>
      <c r="AB3426" t="str">
        <f t="shared" si="319"/>
        <v>H1_2025</v>
      </c>
      <c r="AC3426">
        <f t="shared" si="320"/>
        <v>0</v>
      </c>
      <c r="AD3426">
        <f t="shared" si="321"/>
        <v>3</v>
      </c>
      <c r="AE3426">
        <f t="shared" si="322"/>
        <v>-11457</v>
      </c>
      <c r="AF3426" t="str">
        <f t="shared" si="323"/>
        <v>Sample</v>
      </c>
    </row>
    <row r="3427" spans="1:32" ht="17.25" thickBot="1" x14ac:dyDescent="0.35">
      <c r="A3427" s="2" t="s">
        <v>19738</v>
      </c>
      <c r="B3427" s="2" t="s">
        <v>27</v>
      </c>
      <c r="C3427" s="2" t="s">
        <v>28</v>
      </c>
      <c r="D3427" s="2" t="s">
        <v>97</v>
      </c>
      <c r="E3427" s="2" t="s">
        <v>19709</v>
      </c>
      <c r="F3427" s="2" t="s">
        <v>31</v>
      </c>
      <c r="G3427" s="2" t="s">
        <v>32</v>
      </c>
      <c r="H3427" s="1"/>
      <c r="I3427" s="2" t="s">
        <v>33</v>
      </c>
      <c r="J3427" s="2" t="s">
        <v>34</v>
      </c>
      <c r="K3427" s="2" t="s">
        <v>19739</v>
      </c>
      <c r="L3427" s="2" t="s">
        <v>19740</v>
      </c>
      <c r="M3427" s="2" t="s">
        <v>19712</v>
      </c>
      <c r="N3427" s="2" t="s">
        <v>38</v>
      </c>
      <c r="O3427" s="2" t="s">
        <v>51</v>
      </c>
      <c r="P3427" s="2" t="s">
        <v>40</v>
      </c>
      <c r="Q3427" s="2" t="s">
        <v>40</v>
      </c>
      <c r="R3427" s="2" t="s">
        <v>40</v>
      </c>
      <c r="S3427" s="2" t="s">
        <v>40</v>
      </c>
      <c r="T3427" s="2" t="s">
        <v>19732</v>
      </c>
      <c r="U3427" s="2" t="s">
        <v>19733</v>
      </c>
      <c r="V3427" s="2" t="s">
        <v>19734</v>
      </c>
      <c r="W3427" s="2" t="s">
        <v>41</v>
      </c>
      <c r="X3427" s="2" t="s">
        <v>42</v>
      </c>
      <c r="Y3427" s="2" t="s">
        <v>19716</v>
      </c>
      <c r="AA3427" t="str">
        <f t="shared" si="318"/>
        <v>2025-04</v>
      </c>
      <c r="AB3427" t="str">
        <f t="shared" si="319"/>
        <v>H1_2025</v>
      </c>
      <c r="AC3427">
        <f t="shared" si="320"/>
        <v>0</v>
      </c>
      <c r="AD3427">
        <f t="shared" si="321"/>
        <v>3</v>
      </c>
      <c r="AE3427">
        <f t="shared" si="322"/>
        <v>-11457</v>
      </c>
      <c r="AF3427" t="str">
        <f t="shared" si="323"/>
        <v>Sample</v>
      </c>
    </row>
    <row r="3428" spans="1:32" ht="17.25" thickBot="1" x14ac:dyDescent="0.35">
      <c r="A3428" s="2" t="s">
        <v>19741</v>
      </c>
      <c r="B3428" s="2" t="s">
        <v>27</v>
      </c>
      <c r="C3428" s="2" t="s">
        <v>28</v>
      </c>
      <c r="D3428" s="2" t="s">
        <v>97</v>
      </c>
      <c r="E3428" s="2" t="s">
        <v>19709</v>
      </c>
      <c r="F3428" s="2" t="s">
        <v>31</v>
      </c>
      <c r="G3428" s="2" t="s">
        <v>32</v>
      </c>
      <c r="H3428" s="1"/>
      <c r="I3428" s="2" t="s">
        <v>33</v>
      </c>
      <c r="J3428" s="2" t="s">
        <v>34</v>
      </c>
      <c r="K3428" s="2" t="s">
        <v>19742</v>
      </c>
      <c r="L3428" s="2" t="s">
        <v>19743</v>
      </c>
      <c r="M3428" s="2" t="s">
        <v>19712</v>
      </c>
      <c r="N3428" s="2" t="s">
        <v>38</v>
      </c>
      <c r="O3428" s="2" t="s">
        <v>51</v>
      </c>
      <c r="P3428" s="2" t="s">
        <v>40</v>
      </c>
      <c r="Q3428" s="2" t="s">
        <v>40</v>
      </c>
      <c r="R3428" s="2" t="s">
        <v>40</v>
      </c>
      <c r="S3428" s="2" t="s">
        <v>40</v>
      </c>
      <c r="T3428" s="2" t="s">
        <v>19744</v>
      </c>
      <c r="U3428" s="2" t="s">
        <v>19745</v>
      </c>
      <c r="V3428" s="2" t="s">
        <v>19746</v>
      </c>
      <c r="W3428" s="2" t="s">
        <v>41</v>
      </c>
      <c r="X3428" s="2" t="s">
        <v>42</v>
      </c>
      <c r="Y3428" s="2" t="s">
        <v>19716</v>
      </c>
      <c r="AA3428" t="str">
        <f t="shared" si="318"/>
        <v>2025-04</v>
      </c>
      <c r="AB3428" t="str">
        <f t="shared" si="319"/>
        <v>H1_2025</v>
      </c>
      <c r="AC3428">
        <f t="shared" si="320"/>
        <v>0</v>
      </c>
      <c r="AD3428">
        <f t="shared" si="321"/>
        <v>3</v>
      </c>
      <c r="AE3428">
        <f t="shared" si="322"/>
        <v>-8457</v>
      </c>
      <c r="AF3428" t="str">
        <f t="shared" si="323"/>
        <v>Sample</v>
      </c>
    </row>
    <row r="3429" spans="1:32" ht="17.25" thickBot="1" x14ac:dyDescent="0.35">
      <c r="A3429" s="2" t="s">
        <v>19747</v>
      </c>
      <c r="B3429" s="2" t="s">
        <v>27</v>
      </c>
      <c r="C3429" s="2" t="s">
        <v>28</v>
      </c>
      <c r="D3429" s="2" t="s">
        <v>97</v>
      </c>
      <c r="E3429" s="2" t="s">
        <v>19709</v>
      </c>
      <c r="F3429" s="2" t="s">
        <v>31</v>
      </c>
      <c r="G3429" s="2" t="s">
        <v>32</v>
      </c>
      <c r="H3429" s="1"/>
      <c r="I3429" s="2" t="s">
        <v>33</v>
      </c>
      <c r="J3429" s="2" t="s">
        <v>34</v>
      </c>
      <c r="K3429" s="2" t="s">
        <v>19748</v>
      </c>
      <c r="L3429" s="2" t="s">
        <v>19749</v>
      </c>
      <c r="M3429" s="2" t="s">
        <v>19712</v>
      </c>
      <c r="N3429" s="2" t="s">
        <v>38</v>
      </c>
      <c r="O3429" s="2" t="s">
        <v>51</v>
      </c>
      <c r="P3429" s="2" t="s">
        <v>40</v>
      </c>
      <c r="Q3429" s="2" t="s">
        <v>40</v>
      </c>
      <c r="R3429" s="2" t="s">
        <v>40</v>
      </c>
      <c r="S3429" s="2" t="s">
        <v>40</v>
      </c>
      <c r="T3429" s="2" t="s">
        <v>19744</v>
      </c>
      <c r="U3429" s="2" t="s">
        <v>19745</v>
      </c>
      <c r="V3429" s="2" t="s">
        <v>19746</v>
      </c>
      <c r="W3429" s="2" t="s">
        <v>41</v>
      </c>
      <c r="X3429" s="2" t="s">
        <v>42</v>
      </c>
      <c r="Y3429" s="2" t="s">
        <v>19716</v>
      </c>
      <c r="AA3429" t="str">
        <f t="shared" si="318"/>
        <v>2025-04</v>
      </c>
      <c r="AB3429" t="str">
        <f t="shared" si="319"/>
        <v>H1_2025</v>
      </c>
      <c r="AC3429">
        <f t="shared" si="320"/>
        <v>0</v>
      </c>
      <c r="AD3429">
        <f t="shared" si="321"/>
        <v>3</v>
      </c>
      <c r="AE3429">
        <f t="shared" si="322"/>
        <v>-8457</v>
      </c>
      <c r="AF3429" t="str">
        <f t="shared" si="323"/>
        <v>Sample</v>
      </c>
    </row>
    <row r="3430" spans="1:32" ht="17.25" thickBot="1" x14ac:dyDescent="0.35">
      <c r="A3430" s="2" t="s">
        <v>19750</v>
      </c>
      <c r="B3430" s="2" t="s">
        <v>27</v>
      </c>
      <c r="C3430" s="2" t="s">
        <v>28</v>
      </c>
      <c r="D3430" s="2" t="s">
        <v>97</v>
      </c>
      <c r="E3430" s="2" t="s">
        <v>19709</v>
      </c>
      <c r="F3430" s="2" t="s">
        <v>31</v>
      </c>
      <c r="G3430" s="2" t="s">
        <v>32</v>
      </c>
      <c r="H3430" s="1"/>
      <c r="I3430" s="2" t="s">
        <v>33</v>
      </c>
      <c r="J3430" s="2" t="s">
        <v>34</v>
      </c>
      <c r="K3430" s="2" t="s">
        <v>19751</v>
      </c>
      <c r="L3430" s="2" t="s">
        <v>19752</v>
      </c>
      <c r="M3430" s="2" t="s">
        <v>19712</v>
      </c>
      <c r="N3430" s="2" t="s">
        <v>38</v>
      </c>
      <c r="O3430" s="2" t="s">
        <v>51</v>
      </c>
      <c r="P3430" s="2" t="s">
        <v>40</v>
      </c>
      <c r="Q3430" s="2" t="s">
        <v>40</v>
      </c>
      <c r="R3430" s="2" t="s">
        <v>40</v>
      </c>
      <c r="S3430" s="2" t="s">
        <v>40</v>
      </c>
      <c r="T3430" s="2" t="s">
        <v>19732</v>
      </c>
      <c r="U3430" s="2" t="s">
        <v>19733</v>
      </c>
      <c r="V3430" s="2" t="s">
        <v>19734</v>
      </c>
      <c r="W3430" s="2" t="s">
        <v>41</v>
      </c>
      <c r="X3430" s="2" t="s">
        <v>42</v>
      </c>
      <c r="Y3430" s="2" t="s">
        <v>19716</v>
      </c>
      <c r="AA3430" t="str">
        <f t="shared" si="318"/>
        <v>2025-04</v>
      </c>
      <c r="AB3430" t="str">
        <f t="shared" si="319"/>
        <v>H1_2025</v>
      </c>
      <c r="AC3430">
        <f t="shared" si="320"/>
        <v>0</v>
      </c>
      <c r="AD3430">
        <f t="shared" si="321"/>
        <v>3</v>
      </c>
      <c r="AE3430">
        <f t="shared" si="322"/>
        <v>-11457</v>
      </c>
      <c r="AF3430" t="str">
        <f t="shared" si="323"/>
        <v>Sample</v>
      </c>
    </row>
    <row r="3431" spans="1:32" ht="17.25" thickBot="1" x14ac:dyDescent="0.35">
      <c r="A3431" s="2" t="s">
        <v>19753</v>
      </c>
      <c r="B3431" s="2" t="s">
        <v>27</v>
      </c>
      <c r="C3431" s="2" t="s">
        <v>28</v>
      </c>
      <c r="D3431" s="2" t="s">
        <v>97</v>
      </c>
      <c r="E3431" s="2" t="s">
        <v>19709</v>
      </c>
      <c r="F3431" s="2" t="s">
        <v>31</v>
      </c>
      <c r="G3431" s="2" t="s">
        <v>32</v>
      </c>
      <c r="H3431" s="1"/>
      <c r="I3431" s="2" t="s">
        <v>33</v>
      </c>
      <c r="J3431" s="2" t="s">
        <v>34</v>
      </c>
      <c r="K3431" s="2" t="s">
        <v>19754</v>
      </c>
      <c r="L3431" s="2" t="s">
        <v>19755</v>
      </c>
      <c r="M3431" s="2" t="s">
        <v>19712</v>
      </c>
      <c r="N3431" s="2" t="s">
        <v>38</v>
      </c>
      <c r="O3431" s="2" t="s">
        <v>51</v>
      </c>
      <c r="P3431" s="2" t="s">
        <v>40</v>
      </c>
      <c r="Q3431" s="2" t="s">
        <v>40</v>
      </c>
      <c r="R3431" s="2" t="s">
        <v>40</v>
      </c>
      <c r="S3431" s="2" t="s">
        <v>40</v>
      </c>
      <c r="T3431" s="2" t="s">
        <v>19732</v>
      </c>
      <c r="U3431" s="2" t="s">
        <v>19733</v>
      </c>
      <c r="V3431" s="2" t="s">
        <v>19734</v>
      </c>
      <c r="W3431" s="2" t="s">
        <v>41</v>
      </c>
      <c r="X3431" s="2" t="s">
        <v>42</v>
      </c>
      <c r="Y3431" s="2" t="s">
        <v>19716</v>
      </c>
      <c r="AA3431" t="str">
        <f t="shared" si="318"/>
        <v>2025-04</v>
      </c>
      <c r="AB3431" t="str">
        <f t="shared" si="319"/>
        <v>H1_2025</v>
      </c>
      <c r="AC3431">
        <f t="shared" si="320"/>
        <v>0</v>
      </c>
      <c r="AD3431">
        <f t="shared" si="321"/>
        <v>3</v>
      </c>
      <c r="AE3431">
        <f t="shared" si="322"/>
        <v>-11457</v>
      </c>
      <c r="AF3431" t="str">
        <f t="shared" si="323"/>
        <v>Sample</v>
      </c>
    </row>
    <row r="3432" spans="1:32" ht="17.25" thickBot="1" x14ac:dyDescent="0.35">
      <c r="A3432" s="2" t="s">
        <v>19756</v>
      </c>
      <c r="B3432" s="2" t="s">
        <v>27</v>
      </c>
      <c r="C3432" s="2" t="s">
        <v>28</v>
      </c>
      <c r="D3432" s="2" t="s">
        <v>97</v>
      </c>
      <c r="E3432" s="2" t="s">
        <v>19709</v>
      </c>
      <c r="F3432" s="2" t="s">
        <v>31</v>
      </c>
      <c r="G3432" s="2" t="s">
        <v>32</v>
      </c>
      <c r="H3432" s="1"/>
      <c r="I3432" s="2" t="s">
        <v>33</v>
      </c>
      <c r="J3432" s="2" t="s">
        <v>34</v>
      </c>
      <c r="K3432" s="2" t="s">
        <v>19757</v>
      </c>
      <c r="L3432" s="2" t="s">
        <v>19758</v>
      </c>
      <c r="M3432" s="2" t="s">
        <v>19712</v>
      </c>
      <c r="N3432" s="2" t="s">
        <v>38</v>
      </c>
      <c r="O3432" s="2" t="s">
        <v>51</v>
      </c>
      <c r="P3432" s="2" t="s">
        <v>40</v>
      </c>
      <c r="Q3432" s="2" t="s">
        <v>40</v>
      </c>
      <c r="R3432" s="2" t="s">
        <v>40</v>
      </c>
      <c r="S3432" s="2" t="s">
        <v>40</v>
      </c>
      <c r="T3432" s="2" t="s">
        <v>12895</v>
      </c>
      <c r="U3432" s="2" t="s">
        <v>19759</v>
      </c>
      <c r="V3432" s="2" t="s">
        <v>19760</v>
      </c>
      <c r="W3432" s="2" t="s">
        <v>41</v>
      </c>
      <c r="X3432" s="2" t="s">
        <v>42</v>
      </c>
      <c r="Y3432" s="2" t="s">
        <v>19716</v>
      </c>
      <c r="AA3432" t="str">
        <f t="shared" si="318"/>
        <v>2025-04</v>
      </c>
      <c r="AB3432" t="str">
        <f t="shared" si="319"/>
        <v>H1_2025</v>
      </c>
      <c r="AC3432">
        <f t="shared" si="320"/>
        <v>0</v>
      </c>
      <c r="AD3432">
        <f t="shared" si="321"/>
        <v>3</v>
      </c>
      <c r="AE3432">
        <f t="shared" si="322"/>
        <v>-14730</v>
      </c>
      <c r="AF3432" t="str">
        <f t="shared" si="323"/>
        <v>Sample</v>
      </c>
    </row>
    <row r="3433" spans="1:32" ht="17.25" thickBot="1" x14ac:dyDescent="0.35">
      <c r="A3433" s="2" t="s">
        <v>19761</v>
      </c>
      <c r="B3433" s="2" t="s">
        <v>27</v>
      </c>
      <c r="C3433" s="2" t="s">
        <v>28</v>
      </c>
      <c r="D3433" s="2" t="s">
        <v>97</v>
      </c>
      <c r="E3433" s="2" t="s">
        <v>19709</v>
      </c>
      <c r="F3433" s="2" t="s">
        <v>31</v>
      </c>
      <c r="G3433" s="2" t="s">
        <v>32</v>
      </c>
      <c r="H3433" s="1"/>
      <c r="I3433" s="2" t="s">
        <v>33</v>
      </c>
      <c r="J3433" s="2" t="s">
        <v>34</v>
      </c>
      <c r="K3433" s="2" t="s">
        <v>19762</v>
      </c>
      <c r="L3433" s="2" t="s">
        <v>19763</v>
      </c>
      <c r="M3433" s="2" t="s">
        <v>19712</v>
      </c>
      <c r="N3433" s="2" t="s">
        <v>38</v>
      </c>
      <c r="O3433" s="2" t="s">
        <v>51</v>
      </c>
      <c r="P3433" s="2" t="s">
        <v>40</v>
      </c>
      <c r="Q3433" s="2" t="s">
        <v>40</v>
      </c>
      <c r="R3433" s="2" t="s">
        <v>40</v>
      </c>
      <c r="S3433" s="2" t="s">
        <v>40</v>
      </c>
      <c r="T3433" s="2" t="s">
        <v>12895</v>
      </c>
      <c r="U3433" s="2" t="s">
        <v>19759</v>
      </c>
      <c r="V3433" s="2" t="s">
        <v>19760</v>
      </c>
      <c r="W3433" s="2" t="s">
        <v>41</v>
      </c>
      <c r="X3433" s="2" t="s">
        <v>42</v>
      </c>
      <c r="Y3433" s="2" t="s">
        <v>19716</v>
      </c>
      <c r="AA3433" t="str">
        <f t="shared" si="318"/>
        <v>2025-04</v>
      </c>
      <c r="AB3433" t="str">
        <f t="shared" si="319"/>
        <v>H1_2025</v>
      </c>
      <c r="AC3433">
        <f t="shared" si="320"/>
        <v>0</v>
      </c>
      <c r="AD3433">
        <f t="shared" si="321"/>
        <v>3</v>
      </c>
      <c r="AE3433">
        <f t="shared" si="322"/>
        <v>-14730</v>
      </c>
      <c r="AF3433" t="str">
        <f t="shared" si="323"/>
        <v>Sample</v>
      </c>
    </row>
    <row r="3434" spans="1:32" ht="17.25" thickBot="1" x14ac:dyDescent="0.35">
      <c r="A3434" s="2" t="s">
        <v>19764</v>
      </c>
      <c r="B3434" s="2" t="s">
        <v>27</v>
      </c>
      <c r="C3434" s="2" t="s">
        <v>28</v>
      </c>
      <c r="D3434" s="2" t="s">
        <v>97</v>
      </c>
      <c r="E3434" s="2" t="s">
        <v>19709</v>
      </c>
      <c r="F3434" s="2" t="s">
        <v>31</v>
      </c>
      <c r="G3434" s="2" t="s">
        <v>32</v>
      </c>
      <c r="H3434" s="1"/>
      <c r="I3434" s="2" t="s">
        <v>33</v>
      </c>
      <c r="J3434" s="2" t="s">
        <v>34</v>
      </c>
      <c r="K3434" s="2" t="s">
        <v>18578</v>
      </c>
      <c r="L3434" s="2" t="s">
        <v>18579</v>
      </c>
      <c r="M3434" s="2" t="s">
        <v>7387</v>
      </c>
      <c r="N3434" s="2" t="s">
        <v>38</v>
      </c>
      <c r="O3434" s="2" t="s">
        <v>4729</v>
      </c>
      <c r="P3434" s="2" t="s">
        <v>3668</v>
      </c>
      <c r="Q3434" s="2" t="s">
        <v>18506</v>
      </c>
      <c r="R3434" s="2" t="s">
        <v>40</v>
      </c>
      <c r="S3434" s="2" t="s">
        <v>19765</v>
      </c>
      <c r="T3434" s="2" t="s">
        <v>7392</v>
      </c>
      <c r="U3434" s="2" t="s">
        <v>19766</v>
      </c>
      <c r="V3434" s="2" t="s">
        <v>19767</v>
      </c>
      <c r="W3434" s="1"/>
      <c r="X3434" s="2" t="s">
        <v>3824</v>
      </c>
      <c r="Y3434" s="2" t="s">
        <v>19716</v>
      </c>
      <c r="AA3434" t="str">
        <f t="shared" si="318"/>
        <v>2025-04</v>
      </c>
      <c r="AB3434" t="str">
        <f t="shared" si="319"/>
        <v>H1_2025</v>
      </c>
      <c r="AC3434">
        <f t="shared" si="320"/>
        <v>66676800</v>
      </c>
      <c r="AD3434">
        <f t="shared" si="321"/>
        <v>5000</v>
      </c>
      <c r="AE3434">
        <f t="shared" si="322"/>
        <v>10126800</v>
      </c>
      <c r="AF3434" t="str">
        <f t="shared" si="323"/>
        <v>Paid</v>
      </c>
    </row>
    <row r="3435" spans="1:32" ht="17.25" thickBot="1" x14ac:dyDescent="0.35">
      <c r="A3435" s="2" t="s">
        <v>19768</v>
      </c>
      <c r="B3435" s="2" t="s">
        <v>27</v>
      </c>
      <c r="C3435" s="2" t="s">
        <v>28</v>
      </c>
      <c r="D3435" s="2" t="s">
        <v>97</v>
      </c>
      <c r="E3435" s="2" t="s">
        <v>19709</v>
      </c>
      <c r="F3435" s="2" t="s">
        <v>31</v>
      </c>
      <c r="G3435" s="2" t="s">
        <v>32</v>
      </c>
      <c r="H3435" s="1"/>
      <c r="I3435" s="2" t="s">
        <v>33</v>
      </c>
      <c r="J3435" s="2" t="s">
        <v>34</v>
      </c>
      <c r="K3435" s="2" t="s">
        <v>17986</v>
      </c>
      <c r="L3435" s="2" t="s">
        <v>17987</v>
      </c>
      <c r="M3435" s="2" t="s">
        <v>16013</v>
      </c>
      <c r="N3435" s="2" t="s">
        <v>38</v>
      </c>
      <c r="O3435" s="2" t="s">
        <v>51</v>
      </c>
      <c r="P3435" s="2" t="s">
        <v>40</v>
      </c>
      <c r="Q3435" s="2" t="s">
        <v>40</v>
      </c>
      <c r="R3435" s="2" t="s">
        <v>40</v>
      </c>
      <c r="S3435" s="2" t="s">
        <v>40</v>
      </c>
      <c r="T3435" s="2" t="s">
        <v>107</v>
      </c>
      <c r="U3435" s="2" t="s">
        <v>19769</v>
      </c>
      <c r="V3435" s="2" t="s">
        <v>19770</v>
      </c>
      <c r="W3435" s="2" t="s">
        <v>41</v>
      </c>
      <c r="X3435" s="2" t="s">
        <v>42</v>
      </c>
      <c r="Y3435" s="2" t="s">
        <v>19716</v>
      </c>
      <c r="AA3435" t="str">
        <f t="shared" si="318"/>
        <v>2025-04</v>
      </c>
      <c r="AB3435" t="str">
        <f t="shared" si="319"/>
        <v>H1_2025</v>
      </c>
      <c r="AC3435">
        <f t="shared" si="320"/>
        <v>0</v>
      </c>
      <c r="AD3435">
        <f t="shared" si="321"/>
        <v>3</v>
      </c>
      <c r="AE3435">
        <f t="shared" si="322"/>
        <v>-16800</v>
      </c>
      <c r="AF3435" t="str">
        <f t="shared" si="323"/>
        <v>Sample</v>
      </c>
    </row>
    <row r="3436" spans="1:32" ht="17.25" thickBot="1" x14ac:dyDescent="0.35">
      <c r="A3436" s="2" t="s">
        <v>19771</v>
      </c>
      <c r="B3436" s="2" t="s">
        <v>27</v>
      </c>
      <c r="C3436" s="2" t="s">
        <v>28</v>
      </c>
      <c r="D3436" s="2" t="s">
        <v>97</v>
      </c>
      <c r="E3436" s="2" t="s">
        <v>19709</v>
      </c>
      <c r="F3436" s="2" t="s">
        <v>31</v>
      </c>
      <c r="G3436" s="2" t="s">
        <v>32</v>
      </c>
      <c r="H3436" s="1"/>
      <c r="I3436" s="2" t="s">
        <v>33</v>
      </c>
      <c r="J3436" s="2" t="s">
        <v>34</v>
      </c>
      <c r="K3436" s="2" t="s">
        <v>15560</v>
      </c>
      <c r="L3436" s="2" t="s">
        <v>15561</v>
      </c>
      <c r="M3436" s="2" t="s">
        <v>701</v>
      </c>
      <c r="N3436" s="2" t="s">
        <v>38</v>
      </c>
      <c r="O3436" s="2" t="s">
        <v>517</v>
      </c>
      <c r="P3436" s="2" t="s">
        <v>14176</v>
      </c>
      <c r="Q3436" s="2" t="s">
        <v>19772</v>
      </c>
      <c r="R3436" s="2" t="s">
        <v>40</v>
      </c>
      <c r="S3436" s="2" t="s">
        <v>19773</v>
      </c>
      <c r="T3436" s="2" t="s">
        <v>12240</v>
      </c>
      <c r="U3436" s="2" t="s">
        <v>11733</v>
      </c>
      <c r="V3436" s="2" t="s">
        <v>19774</v>
      </c>
      <c r="W3436" s="1"/>
      <c r="X3436" s="2" t="s">
        <v>3903</v>
      </c>
      <c r="Y3436" s="2" t="s">
        <v>19716</v>
      </c>
      <c r="AA3436" t="str">
        <f t="shared" si="318"/>
        <v>2025-04</v>
      </c>
      <c r="AB3436" t="str">
        <f t="shared" si="319"/>
        <v>H1_2025</v>
      </c>
      <c r="AC3436">
        <f t="shared" si="320"/>
        <v>720799.2</v>
      </c>
      <c r="AD3436">
        <f t="shared" si="321"/>
        <v>120</v>
      </c>
      <c r="AE3436">
        <f t="shared" si="322"/>
        <v>115999.2</v>
      </c>
      <c r="AF3436" t="str">
        <f t="shared" si="323"/>
        <v>Paid</v>
      </c>
    </row>
    <row r="3437" spans="1:32" ht="17.25" thickBot="1" x14ac:dyDescent="0.35">
      <c r="A3437" s="2" t="s">
        <v>19775</v>
      </c>
      <c r="B3437" s="2" t="s">
        <v>27</v>
      </c>
      <c r="C3437" s="2" t="s">
        <v>28</v>
      </c>
      <c r="D3437" s="2" t="s">
        <v>97</v>
      </c>
      <c r="E3437" s="2" t="s">
        <v>19709</v>
      </c>
      <c r="F3437" s="2" t="s">
        <v>31</v>
      </c>
      <c r="G3437" s="2" t="s">
        <v>32</v>
      </c>
      <c r="H3437" s="1"/>
      <c r="I3437" s="2" t="s">
        <v>33</v>
      </c>
      <c r="J3437" s="2" t="s">
        <v>34</v>
      </c>
      <c r="K3437" s="2" t="s">
        <v>3895</v>
      </c>
      <c r="L3437" s="2" t="s">
        <v>3896</v>
      </c>
      <c r="M3437" s="2" t="s">
        <v>701</v>
      </c>
      <c r="N3437" s="2" t="s">
        <v>38</v>
      </c>
      <c r="O3437" s="2" t="s">
        <v>4038</v>
      </c>
      <c r="P3437" s="2" t="s">
        <v>10600</v>
      </c>
      <c r="Q3437" s="2" t="s">
        <v>19776</v>
      </c>
      <c r="R3437" s="2" t="s">
        <v>40</v>
      </c>
      <c r="S3437" s="2" t="s">
        <v>19777</v>
      </c>
      <c r="T3437" s="2" t="s">
        <v>1444</v>
      </c>
      <c r="U3437" s="2" t="s">
        <v>12791</v>
      </c>
      <c r="V3437" s="2" t="s">
        <v>19778</v>
      </c>
      <c r="W3437" s="1"/>
      <c r="X3437" s="2" t="s">
        <v>5168</v>
      </c>
      <c r="Y3437" s="2" t="s">
        <v>19716</v>
      </c>
      <c r="AA3437" t="str">
        <f t="shared" si="318"/>
        <v>2025-04</v>
      </c>
      <c r="AB3437" t="str">
        <f t="shared" si="319"/>
        <v>H1_2025</v>
      </c>
      <c r="AC3437">
        <f t="shared" si="320"/>
        <v>9742860</v>
      </c>
      <c r="AD3437">
        <f t="shared" si="321"/>
        <v>1500</v>
      </c>
      <c r="AE3437">
        <f t="shared" si="322"/>
        <v>1552860</v>
      </c>
      <c r="AF3437" t="str">
        <f t="shared" si="323"/>
        <v>Paid</v>
      </c>
    </row>
    <row r="3438" spans="1:32" ht="17.25" thickBot="1" x14ac:dyDescent="0.35">
      <c r="A3438" s="2" t="s">
        <v>19779</v>
      </c>
      <c r="B3438" s="2" t="s">
        <v>27</v>
      </c>
      <c r="C3438" s="2" t="s">
        <v>28</v>
      </c>
      <c r="D3438" s="2" t="s">
        <v>97</v>
      </c>
      <c r="E3438" s="2" t="s">
        <v>19709</v>
      </c>
      <c r="F3438" s="2" t="s">
        <v>31</v>
      </c>
      <c r="G3438" s="2" t="s">
        <v>32</v>
      </c>
      <c r="H3438" s="1"/>
      <c r="I3438" s="2" t="s">
        <v>33</v>
      </c>
      <c r="J3438" s="2" t="s">
        <v>34</v>
      </c>
      <c r="K3438" s="2" t="s">
        <v>10598</v>
      </c>
      <c r="L3438" s="2" t="s">
        <v>10599</v>
      </c>
      <c r="M3438" s="2" t="s">
        <v>701</v>
      </c>
      <c r="N3438" s="2" t="s">
        <v>38</v>
      </c>
      <c r="O3438" s="2" t="s">
        <v>1644</v>
      </c>
      <c r="P3438" s="2" t="s">
        <v>10600</v>
      </c>
      <c r="Q3438" s="2" t="s">
        <v>19780</v>
      </c>
      <c r="R3438" s="2" t="s">
        <v>40</v>
      </c>
      <c r="S3438" s="2" t="s">
        <v>19781</v>
      </c>
      <c r="T3438" s="2" t="s">
        <v>1444</v>
      </c>
      <c r="U3438" s="2" t="s">
        <v>19782</v>
      </c>
      <c r="V3438" s="2" t="s">
        <v>19783</v>
      </c>
      <c r="W3438" s="1"/>
      <c r="X3438" s="2" t="s">
        <v>5168</v>
      </c>
      <c r="Y3438" s="2" t="s">
        <v>19716</v>
      </c>
      <c r="AA3438" t="str">
        <f t="shared" si="318"/>
        <v>2025-04</v>
      </c>
      <c r="AB3438" t="str">
        <f t="shared" si="319"/>
        <v>H1_2025</v>
      </c>
      <c r="AC3438">
        <f t="shared" si="320"/>
        <v>7794288</v>
      </c>
      <c r="AD3438">
        <f t="shared" si="321"/>
        <v>1200</v>
      </c>
      <c r="AE3438">
        <f t="shared" si="322"/>
        <v>1242288</v>
      </c>
      <c r="AF3438" t="str">
        <f t="shared" si="323"/>
        <v>Paid</v>
      </c>
    </row>
    <row r="3439" spans="1:32" ht="17.25" thickBot="1" x14ac:dyDescent="0.35">
      <c r="A3439" s="2" t="s">
        <v>19784</v>
      </c>
      <c r="B3439" s="2" t="s">
        <v>27</v>
      </c>
      <c r="C3439" s="2" t="s">
        <v>28</v>
      </c>
      <c r="D3439" s="2" t="s">
        <v>97</v>
      </c>
      <c r="E3439" s="2" t="s">
        <v>19709</v>
      </c>
      <c r="F3439" s="2" t="s">
        <v>31</v>
      </c>
      <c r="G3439" s="2" t="s">
        <v>32</v>
      </c>
      <c r="H3439" s="1"/>
      <c r="I3439" s="2" t="s">
        <v>33</v>
      </c>
      <c r="J3439" s="2" t="s">
        <v>34</v>
      </c>
      <c r="K3439" s="2" t="s">
        <v>19785</v>
      </c>
      <c r="L3439" s="2" t="s">
        <v>19786</v>
      </c>
      <c r="M3439" s="2" t="s">
        <v>701</v>
      </c>
      <c r="N3439" s="2" t="s">
        <v>38</v>
      </c>
      <c r="O3439" s="2" t="s">
        <v>18874</v>
      </c>
      <c r="P3439" s="2" t="s">
        <v>7965</v>
      </c>
      <c r="Q3439" s="2" t="s">
        <v>19787</v>
      </c>
      <c r="R3439" s="2" t="s">
        <v>40</v>
      </c>
      <c r="S3439" s="2" t="s">
        <v>19788</v>
      </c>
      <c r="T3439" s="2" t="s">
        <v>287</v>
      </c>
      <c r="U3439" s="2" t="s">
        <v>19789</v>
      </c>
      <c r="V3439" s="2" t="s">
        <v>19790</v>
      </c>
      <c r="W3439" s="1"/>
      <c r="X3439" s="2" t="s">
        <v>1513</v>
      </c>
      <c r="Y3439" s="2" t="s">
        <v>19716</v>
      </c>
      <c r="AA3439" t="str">
        <f t="shared" si="318"/>
        <v>2025-04</v>
      </c>
      <c r="AB3439" t="str">
        <f t="shared" si="319"/>
        <v>H1_2025</v>
      </c>
      <c r="AC3439">
        <f t="shared" si="320"/>
        <v>22540782</v>
      </c>
      <c r="AD3439">
        <f t="shared" si="321"/>
        <v>2200</v>
      </c>
      <c r="AE3439">
        <f t="shared" si="322"/>
        <v>7140782</v>
      </c>
      <c r="AF3439" t="str">
        <f t="shared" si="323"/>
        <v>Paid</v>
      </c>
    </row>
    <row r="3440" spans="1:32" ht="17.25" thickBot="1" x14ac:dyDescent="0.35">
      <c r="A3440" s="2" t="s">
        <v>19791</v>
      </c>
      <c r="B3440" s="2" t="s">
        <v>27</v>
      </c>
      <c r="C3440" s="2" t="s">
        <v>28</v>
      </c>
      <c r="D3440" s="2" t="s">
        <v>97</v>
      </c>
      <c r="E3440" s="2" t="s">
        <v>19709</v>
      </c>
      <c r="F3440" s="2" t="s">
        <v>31</v>
      </c>
      <c r="G3440" s="2" t="s">
        <v>32</v>
      </c>
      <c r="H3440" s="1"/>
      <c r="I3440" s="2" t="s">
        <v>33</v>
      </c>
      <c r="J3440" s="2" t="s">
        <v>34</v>
      </c>
      <c r="K3440" s="2" t="s">
        <v>3922</v>
      </c>
      <c r="L3440" s="2" t="s">
        <v>3923</v>
      </c>
      <c r="M3440" s="2" t="s">
        <v>701</v>
      </c>
      <c r="N3440" s="2" t="s">
        <v>38</v>
      </c>
      <c r="O3440" s="2" t="s">
        <v>4038</v>
      </c>
      <c r="P3440" s="2" t="s">
        <v>4912</v>
      </c>
      <c r="Q3440" s="2" t="s">
        <v>833</v>
      </c>
      <c r="R3440" s="2" t="s">
        <v>40</v>
      </c>
      <c r="S3440" s="2" t="s">
        <v>19792</v>
      </c>
      <c r="T3440" s="2" t="s">
        <v>759</v>
      </c>
      <c r="U3440" s="2" t="s">
        <v>707</v>
      </c>
      <c r="V3440" s="2" t="s">
        <v>19793</v>
      </c>
      <c r="W3440" s="1"/>
      <c r="X3440" s="2" t="s">
        <v>709</v>
      </c>
      <c r="Y3440" s="2" t="s">
        <v>19716</v>
      </c>
      <c r="AA3440" t="str">
        <f t="shared" si="318"/>
        <v>2025-04</v>
      </c>
      <c r="AB3440" t="str">
        <f t="shared" si="319"/>
        <v>H1_2025</v>
      </c>
      <c r="AC3440">
        <f t="shared" si="320"/>
        <v>13493430</v>
      </c>
      <c r="AD3440">
        <f t="shared" si="321"/>
        <v>1500</v>
      </c>
      <c r="AE3440">
        <f t="shared" si="322"/>
        <v>2153430</v>
      </c>
      <c r="AF3440" t="str">
        <f t="shared" si="323"/>
        <v>Paid</v>
      </c>
    </row>
    <row r="3441" spans="1:32" ht="41.25" thickBot="1" x14ac:dyDescent="0.35">
      <c r="A3441" s="2" t="s">
        <v>19794</v>
      </c>
      <c r="B3441" s="2" t="s">
        <v>27</v>
      </c>
      <c r="C3441" s="2" t="s">
        <v>28</v>
      </c>
      <c r="D3441" s="2" t="s">
        <v>97</v>
      </c>
      <c r="E3441" s="2" t="s">
        <v>19709</v>
      </c>
      <c r="F3441" s="2" t="s">
        <v>31</v>
      </c>
      <c r="G3441" s="2" t="s">
        <v>32</v>
      </c>
      <c r="H3441" s="1"/>
      <c r="I3441" s="2" t="s">
        <v>33</v>
      </c>
      <c r="J3441" s="2" t="s">
        <v>34</v>
      </c>
      <c r="K3441" s="2" t="s">
        <v>18792</v>
      </c>
      <c r="L3441" s="2" t="s">
        <v>18793</v>
      </c>
      <c r="M3441" s="2" t="s">
        <v>701</v>
      </c>
      <c r="N3441" s="2" t="s">
        <v>38</v>
      </c>
      <c r="O3441" s="2" t="s">
        <v>370</v>
      </c>
      <c r="P3441" s="2" t="s">
        <v>7389</v>
      </c>
      <c r="Q3441" s="2" t="s">
        <v>17602</v>
      </c>
      <c r="R3441" s="2" t="s">
        <v>40</v>
      </c>
      <c r="S3441" s="2" t="s">
        <v>19795</v>
      </c>
      <c r="T3441" s="2" t="s">
        <v>18796</v>
      </c>
      <c r="U3441" s="2" t="s">
        <v>19796</v>
      </c>
      <c r="V3441" s="2" t="s">
        <v>19797</v>
      </c>
      <c r="W3441" s="1"/>
      <c r="X3441" s="2" t="s">
        <v>709</v>
      </c>
      <c r="Y3441" s="2" t="s">
        <v>19716</v>
      </c>
      <c r="AA3441" t="str">
        <f t="shared" si="318"/>
        <v>2025-04</v>
      </c>
      <c r="AB3441" t="str">
        <f t="shared" si="319"/>
        <v>H1_2025</v>
      </c>
      <c r="AC3441">
        <f t="shared" si="320"/>
        <v>6483744</v>
      </c>
      <c r="AD3441">
        <f t="shared" si="321"/>
        <v>480</v>
      </c>
      <c r="AE3441">
        <f t="shared" si="322"/>
        <v>1040544</v>
      </c>
      <c r="AF3441" t="str">
        <f t="shared" si="323"/>
        <v>Paid</v>
      </c>
    </row>
    <row r="3442" spans="1:32" ht="17.25" thickBot="1" x14ac:dyDescent="0.35">
      <c r="A3442" s="2" t="s">
        <v>19798</v>
      </c>
      <c r="B3442" s="2" t="s">
        <v>27</v>
      </c>
      <c r="C3442" s="2" t="s">
        <v>28</v>
      </c>
      <c r="D3442" s="2" t="s">
        <v>97</v>
      </c>
      <c r="E3442" s="2" t="s">
        <v>19709</v>
      </c>
      <c r="F3442" s="2" t="s">
        <v>31</v>
      </c>
      <c r="G3442" s="2" t="s">
        <v>32</v>
      </c>
      <c r="H3442" s="1"/>
      <c r="I3442" s="2" t="s">
        <v>33</v>
      </c>
      <c r="J3442" s="2" t="s">
        <v>34</v>
      </c>
      <c r="K3442" s="2" t="s">
        <v>711</v>
      </c>
      <c r="L3442" s="2" t="s">
        <v>712</v>
      </c>
      <c r="M3442" s="2" t="s">
        <v>701</v>
      </c>
      <c r="N3442" s="2" t="s">
        <v>38</v>
      </c>
      <c r="O3442" s="2" t="s">
        <v>8201</v>
      </c>
      <c r="P3442" s="2" t="s">
        <v>1821</v>
      </c>
      <c r="Q3442" s="2" t="s">
        <v>19799</v>
      </c>
      <c r="R3442" s="2" t="s">
        <v>40</v>
      </c>
      <c r="S3442" s="2" t="s">
        <v>19800</v>
      </c>
      <c r="T3442" s="2" t="s">
        <v>716</v>
      </c>
      <c r="U3442" s="2" t="s">
        <v>19801</v>
      </c>
      <c r="V3442" s="2" t="s">
        <v>19802</v>
      </c>
      <c r="W3442" s="1"/>
      <c r="X3442" s="2" t="s">
        <v>709</v>
      </c>
      <c r="Y3442" s="2" t="s">
        <v>19716</v>
      </c>
      <c r="AA3442" t="str">
        <f t="shared" si="318"/>
        <v>2025-04</v>
      </c>
      <c r="AB3442" t="str">
        <f t="shared" si="319"/>
        <v>H1_2025</v>
      </c>
      <c r="AC3442">
        <f t="shared" si="320"/>
        <v>25437774</v>
      </c>
      <c r="AD3442">
        <f t="shared" si="321"/>
        <v>2120</v>
      </c>
      <c r="AE3442">
        <f t="shared" si="322"/>
        <v>4068174</v>
      </c>
      <c r="AF3442" t="str">
        <f t="shared" si="323"/>
        <v>Paid</v>
      </c>
    </row>
    <row r="3443" spans="1:32" ht="17.25" thickBot="1" x14ac:dyDescent="0.35">
      <c r="A3443" s="2" t="s">
        <v>19803</v>
      </c>
      <c r="B3443" s="2" t="s">
        <v>27</v>
      </c>
      <c r="C3443" s="2" t="s">
        <v>28</v>
      </c>
      <c r="D3443" s="2" t="s">
        <v>97</v>
      </c>
      <c r="E3443" s="2" t="s">
        <v>19709</v>
      </c>
      <c r="F3443" s="2" t="s">
        <v>31</v>
      </c>
      <c r="G3443" s="2" t="s">
        <v>32</v>
      </c>
      <c r="H3443" s="1"/>
      <c r="I3443" s="2" t="s">
        <v>33</v>
      </c>
      <c r="J3443" s="2" t="s">
        <v>34</v>
      </c>
      <c r="K3443" s="2" t="s">
        <v>3930</v>
      </c>
      <c r="L3443" s="2" t="s">
        <v>3931</v>
      </c>
      <c r="M3443" s="2" t="s">
        <v>701</v>
      </c>
      <c r="N3443" s="2" t="s">
        <v>38</v>
      </c>
      <c r="O3443" s="2" t="s">
        <v>370</v>
      </c>
      <c r="P3443" s="2" t="s">
        <v>15882</v>
      </c>
      <c r="Q3443" s="2" t="s">
        <v>19804</v>
      </c>
      <c r="R3443" s="2" t="s">
        <v>40</v>
      </c>
      <c r="S3443" s="2" t="s">
        <v>19805</v>
      </c>
      <c r="T3443" s="2" t="s">
        <v>3936</v>
      </c>
      <c r="U3443" s="2" t="s">
        <v>19806</v>
      </c>
      <c r="V3443" s="2" t="s">
        <v>19807</v>
      </c>
      <c r="W3443" s="1"/>
      <c r="X3443" s="2" t="s">
        <v>709</v>
      </c>
      <c r="Y3443" s="2" t="s">
        <v>19716</v>
      </c>
      <c r="AA3443" t="str">
        <f t="shared" si="318"/>
        <v>2025-04</v>
      </c>
      <c r="AB3443" t="str">
        <f t="shared" si="319"/>
        <v>H1_2025</v>
      </c>
      <c r="AC3443">
        <f t="shared" si="320"/>
        <v>8159860.7999999998</v>
      </c>
      <c r="AD3443">
        <f t="shared" si="321"/>
        <v>480</v>
      </c>
      <c r="AE3443">
        <f t="shared" si="322"/>
        <v>1305460.8</v>
      </c>
      <c r="AF3443" t="str">
        <f t="shared" si="323"/>
        <v>Paid</v>
      </c>
    </row>
    <row r="3444" spans="1:32" ht="17.25" thickBot="1" x14ac:dyDescent="0.35">
      <c r="A3444" s="2" t="s">
        <v>19808</v>
      </c>
      <c r="B3444" s="2" t="s">
        <v>27</v>
      </c>
      <c r="C3444" s="2" t="s">
        <v>28</v>
      </c>
      <c r="D3444" s="2" t="s">
        <v>97</v>
      </c>
      <c r="E3444" s="2" t="s">
        <v>19709</v>
      </c>
      <c r="F3444" s="2" t="s">
        <v>31</v>
      </c>
      <c r="G3444" s="2" t="s">
        <v>32</v>
      </c>
      <c r="H3444" s="1"/>
      <c r="I3444" s="2" t="s">
        <v>33</v>
      </c>
      <c r="J3444" s="2" t="s">
        <v>34</v>
      </c>
      <c r="K3444" s="2" t="s">
        <v>3940</v>
      </c>
      <c r="L3444" s="2" t="s">
        <v>3941</v>
      </c>
      <c r="M3444" s="2" t="s">
        <v>701</v>
      </c>
      <c r="N3444" s="2" t="s">
        <v>38</v>
      </c>
      <c r="O3444" s="2" t="s">
        <v>8316</v>
      </c>
      <c r="P3444" s="2" t="s">
        <v>3943</v>
      </c>
      <c r="Q3444" s="2" t="s">
        <v>19809</v>
      </c>
      <c r="R3444" s="2" t="s">
        <v>40</v>
      </c>
      <c r="S3444" s="2" t="s">
        <v>19810</v>
      </c>
      <c r="T3444" s="2" t="s">
        <v>726</v>
      </c>
      <c r="U3444" s="2" t="s">
        <v>19811</v>
      </c>
      <c r="V3444" s="2" t="s">
        <v>19812</v>
      </c>
      <c r="W3444" s="1"/>
      <c r="X3444" s="2" t="s">
        <v>3903</v>
      </c>
      <c r="Y3444" s="2" t="s">
        <v>19716</v>
      </c>
      <c r="AA3444" t="str">
        <f t="shared" si="318"/>
        <v>2025-04</v>
      </c>
      <c r="AB3444" t="str">
        <f t="shared" si="319"/>
        <v>H1_2025</v>
      </c>
      <c r="AC3444">
        <f t="shared" si="320"/>
        <v>33687878.399999999</v>
      </c>
      <c r="AD3444">
        <f t="shared" si="321"/>
        <v>3960</v>
      </c>
      <c r="AE3444">
        <f t="shared" si="322"/>
        <v>5413478.4000000004</v>
      </c>
      <c r="AF3444" t="str">
        <f t="shared" si="323"/>
        <v>Paid</v>
      </c>
    </row>
    <row r="3445" spans="1:32" ht="17.25" thickBot="1" x14ac:dyDescent="0.35">
      <c r="A3445" s="2" t="s">
        <v>19813</v>
      </c>
      <c r="B3445" s="2" t="s">
        <v>27</v>
      </c>
      <c r="C3445" s="2" t="s">
        <v>28</v>
      </c>
      <c r="D3445" s="2" t="s">
        <v>97</v>
      </c>
      <c r="E3445" s="2" t="s">
        <v>19709</v>
      </c>
      <c r="F3445" s="2" t="s">
        <v>31</v>
      </c>
      <c r="G3445" s="2" t="s">
        <v>32</v>
      </c>
      <c r="H3445" s="1"/>
      <c r="I3445" s="2" t="s">
        <v>33</v>
      </c>
      <c r="J3445" s="2" t="s">
        <v>34</v>
      </c>
      <c r="K3445" s="2" t="s">
        <v>3949</v>
      </c>
      <c r="L3445" s="2" t="s">
        <v>3950</v>
      </c>
      <c r="M3445" s="2" t="s">
        <v>701</v>
      </c>
      <c r="N3445" s="2" t="s">
        <v>38</v>
      </c>
      <c r="O3445" s="2" t="s">
        <v>206</v>
      </c>
      <c r="P3445" s="2" t="s">
        <v>3943</v>
      </c>
      <c r="Q3445" s="2" t="s">
        <v>19814</v>
      </c>
      <c r="R3445" s="2" t="s">
        <v>40</v>
      </c>
      <c r="S3445" s="2" t="s">
        <v>19815</v>
      </c>
      <c r="T3445" s="2" t="s">
        <v>726</v>
      </c>
      <c r="U3445" s="2" t="s">
        <v>19816</v>
      </c>
      <c r="V3445" s="2" t="s">
        <v>19817</v>
      </c>
      <c r="W3445" s="1"/>
      <c r="X3445" s="2" t="s">
        <v>3903</v>
      </c>
      <c r="Y3445" s="2" t="s">
        <v>19716</v>
      </c>
      <c r="AA3445" t="str">
        <f t="shared" si="318"/>
        <v>2025-04</v>
      </c>
      <c r="AB3445" t="str">
        <f t="shared" si="319"/>
        <v>H1_2025</v>
      </c>
      <c r="AC3445">
        <f t="shared" si="320"/>
        <v>4253520</v>
      </c>
      <c r="AD3445">
        <f t="shared" si="321"/>
        <v>500</v>
      </c>
      <c r="AE3445">
        <f t="shared" si="322"/>
        <v>683520</v>
      </c>
      <c r="AF3445" t="str">
        <f t="shared" si="323"/>
        <v>Paid</v>
      </c>
    </row>
    <row r="3446" spans="1:32" ht="17.25" thickBot="1" x14ac:dyDescent="0.35">
      <c r="A3446" s="2" t="s">
        <v>19818</v>
      </c>
      <c r="B3446" s="2" t="s">
        <v>27</v>
      </c>
      <c r="C3446" s="2" t="s">
        <v>28</v>
      </c>
      <c r="D3446" s="2" t="s">
        <v>97</v>
      </c>
      <c r="E3446" s="2" t="s">
        <v>19709</v>
      </c>
      <c r="F3446" s="2" t="s">
        <v>31</v>
      </c>
      <c r="G3446" s="2" t="s">
        <v>32</v>
      </c>
      <c r="H3446" s="1"/>
      <c r="I3446" s="2" t="s">
        <v>33</v>
      </c>
      <c r="J3446" s="2" t="s">
        <v>34</v>
      </c>
      <c r="K3446" s="2" t="s">
        <v>720</v>
      </c>
      <c r="L3446" s="2" t="s">
        <v>721</v>
      </c>
      <c r="M3446" s="2" t="s">
        <v>701</v>
      </c>
      <c r="N3446" s="2" t="s">
        <v>38</v>
      </c>
      <c r="O3446" s="2" t="s">
        <v>7388</v>
      </c>
      <c r="P3446" s="2" t="s">
        <v>3943</v>
      </c>
      <c r="Q3446" s="2" t="s">
        <v>19819</v>
      </c>
      <c r="R3446" s="2" t="s">
        <v>40</v>
      </c>
      <c r="S3446" s="2" t="s">
        <v>19820</v>
      </c>
      <c r="T3446" s="2" t="s">
        <v>726</v>
      </c>
      <c r="U3446" s="2" t="s">
        <v>19821</v>
      </c>
      <c r="V3446" s="2" t="s">
        <v>19822</v>
      </c>
      <c r="W3446" s="1"/>
      <c r="X3446" s="2" t="s">
        <v>3903</v>
      </c>
      <c r="Y3446" s="2" t="s">
        <v>19716</v>
      </c>
      <c r="AA3446" t="str">
        <f t="shared" si="318"/>
        <v>2025-04</v>
      </c>
      <c r="AB3446" t="str">
        <f t="shared" si="319"/>
        <v>H1_2025</v>
      </c>
      <c r="AC3446">
        <f t="shared" si="320"/>
        <v>34028160</v>
      </c>
      <c r="AD3446">
        <f t="shared" si="321"/>
        <v>4000</v>
      </c>
      <c r="AE3446">
        <f t="shared" si="322"/>
        <v>5468160</v>
      </c>
      <c r="AF3446" t="str">
        <f t="shared" si="323"/>
        <v>Paid</v>
      </c>
    </row>
    <row r="3447" spans="1:32" ht="17.25" thickBot="1" x14ac:dyDescent="0.35">
      <c r="A3447" s="2" t="s">
        <v>19823</v>
      </c>
      <c r="B3447" s="2" t="s">
        <v>27</v>
      </c>
      <c r="C3447" s="2" t="s">
        <v>28</v>
      </c>
      <c r="D3447" s="2" t="s">
        <v>97</v>
      </c>
      <c r="E3447" s="2" t="s">
        <v>19709</v>
      </c>
      <c r="F3447" s="2" t="s">
        <v>31</v>
      </c>
      <c r="G3447" s="2" t="s">
        <v>32</v>
      </c>
      <c r="H3447" s="1"/>
      <c r="I3447" s="2" t="s">
        <v>33</v>
      </c>
      <c r="J3447" s="2" t="s">
        <v>34</v>
      </c>
      <c r="K3447" s="2" t="s">
        <v>3957</v>
      </c>
      <c r="L3447" s="2" t="s">
        <v>3958</v>
      </c>
      <c r="M3447" s="2" t="s">
        <v>701</v>
      </c>
      <c r="N3447" s="2" t="s">
        <v>38</v>
      </c>
      <c r="O3447" s="2" t="s">
        <v>228</v>
      </c>
      <c r="P3447" s="2" t="s">
        <v>3943</v>
      </c>
      <c r="Q3447" s="2" t="s">
        <v>19824</v>
      </c>
      <c r="R3447" s="2" t="s">
        <v>40</v>
      </c>
      <c r="S3447" s="2" t="s">
        <v>19825</v>
      </c>
      <c r="T3447" s="2" t="s">
        <v>19826</v>
      </c>
      <c r="U3447" s="2" t="s">
        <v>19827</v>
      </c>
      <c r="V3447" s="2" t="s">
        <v>19828</v>
      </c>
      <c r="W3447" s="1"/>
      <c r="X3447" s="2" t="s">
        <v>2863</v>
      </c>
      <c r="Y3447" s="2" t="s">
        <v>19716</v>
      </c>
      <c r="AA3447" t="str">
        <f t="shared" si="318"/>
        <v>2025-04</v>
      </c>
      <c r="AB3447" t="str">
        <f t="shared" si="319"/>
        <v>H1_2025</v>
      </c>
      <c r="AC3447">
        <f t="shared" si="320"/>
        <v>11909856</v>
      </c>
      <c r="AD3447">
        <f t="shared" si="321"/>
        <v>1400</v>
      </c>
      <c r="AE3447">
        <f t="shared" si="322"/>
        <v>3627456</v>
      </c>
      <c r="AF3447" t="str">
        <f t="shared" si="323"/>
        <v>Paid</v>
      </c>
    </row>
    <row r="3448" spans="1:32" ht="17.25" thickBot="1" x14ac:dyDescent="0.35">
      <c r="A3448" s="2" t="s">
        <v>19829</v>
      </c>
      <c r="B3448" s="2" t="s">
        <v>27</v>
      </c>
      <c r="C3448" s="2" t="s">
        <v>28</v>
      </c>
      <c r="D3448" s="2" t="s">
        <v>97</v>
      </c>
      <c r="E3448" s="2" t="s">
        <v>19709</v>
      </c>
      <c r="F3448" s="2" t="s">
        <v>31</v>
      </c>
      <c r="G3448" s="2" t="s">
        <v>32</v>
      </c>
      <c r="H3448" s="1"/>
      <c r="I3448" s="2" t="s">
        <v>33</v>
      </c>
      <c r="J3448" s="2" t="s">
        <v>34</v>
      </c>
      <c r="K3448" s="2" t="s">
        <v>746</v>
      </c>
      <c r="L3448" s="2" t="s">
        <v>747</v>
      </c>
      <c r="M3448" s="2" t="s">
        <v>701</v>
      </c>
      <c r="N3448" s="2" t="s">
        <v>38</v>
      </c>
      <c r="O3448" s="2" t="s">
        <v>19830</v>
      </c>
      <c r="P3448" s="2" t="s">
        <v>1821</v>
      </c>
      <c r="Q3448" s="2" t="s">
        <v>19831</v>
      </c>
      <c r="R3448" s="2" t="s">
        <v>40</v>
      </c>
      <c r="S3448" s="2" t="s">
        <v>19832</v>
      </c>
      <c r="T3448" s="2" t="s">
        <v>716</v>
      </c>
      <c r="U3448" s="2" t="s">
        <v>19833</v>
      </c>
      <c r="V3448" s="2" t="s">
        <v>19834</v>
      </c>
      <c r="W3448" s="1"/>
      <c r="X3448" s="2" t="s">
        <v>709</v>
      </c>
      <c r="Y3448" s="2" t="s">
        <v>19716</v>
      </c>
      <c r="AA3448" t="str">
        <f t="shared" si="318"/>
        <v>2025-04</v>
      </c>
      <c r="AB3448" t="str">
        <f t="shared" si="319"/>
        <v>H1_2025</v>
      </c>
      <c r="AC3448">
        <f t="shared" si="320"/>
        <v>18238404</v>
      </c>
      <c r="AD3448">
        <f t="shared" si="321"/>
        <v>1520</v>
      </c>
      <c r="AE3448">
        <f t="shared" si="322"/>
        <v>2916804</v>
      </c>
      <c r="AF3448" t="str">
        <f t="shared" si="323"/>
        <v>Paid</v>
      </c>
    </row>
    <row r="3449" spans="1:32" ht="17.25" thickBot="1" x14ac:dyDescent="0.35">
      <c r="A3449" s="2" t="s">
        <v>19835</v>
      </c>
      <c r="B3449" s="2" t="s">
        <v>27</v>
      </c>
      <c r="C3449" s="2" t="s">
        <v>28</v>
      </c>
      <c r="D3449" s="2" t="s">
        <v>97</v>
      </c>
      <c r="E3449" s="2" t="s">
        <v>19709</v>
      </c>
      <c r="F3449" s="2" t="s">
        <v>31</v>
      </c>
      <c r="G3449" s="2" t="s">
        <v>32</v>
      </c>
      <c r="H3449" s="1"/>
      <c r="I3449" s="2" t="s">
        <v>33</v>
      </c>
      <c r="J3449" s="2" t="s">
        <v>34</v>
      </c>
      <c r="K3449" s="2" t="s">
        <v>754</v>
      </c>
      <c r="L3449" s="2" t="s">
        <v>755</v>
      </c>
      <c r="M3449" s="2" t="s">
        <v>701</v>
      </c>
      <c r="N3449" s="2" t="s">
        <v>38</v>
      </c>
      <c r="O3449" s="2" t="s">
        <v>177</v>
      </c>
      <c r="P3449" s="2" t="s">
        <v>4912</v>
      </c>
      <c r="Q3449" s="2" t="s">
        <v>19836</v>
      </c>
      <c r="R3449" s="2" t="s">
        <v>40</v>
      </c>
      <c r="S3449" s="2" t="s">
        <v>19837</v>
      </c>
      <c r="T3449" s="2" t="s">
        <v>759</v>
      </c>
      <c r="U3449" s="2" t="s">
        <v>19838</v>
      </c>
      <c r="V3449" s="2" t="s">
        <v>19839</v>
      </c>
      <c r="W3449" s="1"/>
      <c r="X3449" s="2" t="s">
        <v>709</v>
      </c>
      <c r="Y3449" s="2" t="s">
        <v>19716</v>
      </c>
      <c r="AA3449" t="str">
        <f t="shared" si="318"/>
        <v>2025-04</v>
      </c>
      <c r="AB3449" t="str">
        <f t="shared" si="319"/>
        <v>H1_2025</v>
      </c>
      <c r="AC3449">
        <f t="shared" si="320"/>
        <v>3598248</v>
      </c>
      <c r="AD3449">
        <f t="shared" si="321"/>
        <v>400</v>
      </c>
      <c r="AE3449">
        <f t="shared" si="322"/>
        <v>574248</v>
      </c>
      <c r="AF3449" t="str">
        <f t="shared" si="323"/>
        <v>Paid</v>
      </c>
    </row>
    <row r="3450" spans="1:32" ht="17.25" thickBot="1" x14ac:dyDescent="0.35">
      <c r="A3450" s="2" t="s">
        <v>19840</v>
      </c>
      <c r="B3450" s="2" t="s">
        <v>27</v>
      </c>
      <c r="C3450" s="2" t="s">
        <v>28</v>
      </c>
      <c r="D3450" s="2" t="s">
        <v>97</v>
      </c>
      <c r="E3450" s="2" t="s">
        <v>19709</v>
      </c>
      <c r="F3450" s="2" t="s">
        <v>31</v>
      </c>
      <c r="G3450" s="2" t="s">
        <v>32</v>
      </c>
      <c r="H3450" s="1"/>
      <c r="I3450" s="2" t="s">
        <v>33</v>
      </c>
      <c r="J3450" s="2" t="s">
        <v>34</v>
      </c>
      <c r="K3450" s="2" t="s">
        <v>3978</v>
      </c>
      <c r="L3450" s="2" t="s">
        <v>3979</v>
      </c>
      <c r="M3450" s="2" t="s">
        <v>701</v>
      </c>
      <c r="N3450" s="2" t="s">
        <v>38</v>
      </c>
      <c r="O3450" s="2" t="s">
        <v>1519</v>
      </c>
      <c r="P3450" s="2" t="s">
        <v>4912</v>
      </c>
      <c r="Q3450" s="2" t="s">
        <v>19841</v>
      </c>
      <c r="R3450" s="2" t="s">
        <v>40</v>
      </c>
      <c r="S3450" s="2" t="s">
        <v>19842</v>
      </c>
      <c r="T3450" s="2" t="s">
        <v>759</v>
      </c>
      <c r="U3450" s="2" t="s">
        <v>19843</v>
      </c>
      <c r="V3450" s="2" t="s">
        <v>19844</v>
      </c>
      <c r="W3450" s="1"/>
      <c r="X3450" s="2" t="s">
        <v>709</v>
      </c>
      <c r="Y3450" s="2" t="s">
        <v>19716</v>
      </c>
      <c r="AA3450" t="str">
        <f t="shared" si="318"/>
        <v>2025-04</v>
      </c>
      <c r="AB3450" t="str">
        <f t="shared" si="319"/>
        <v>H1_2025</v>
      </c>
      <c r="AC3450">
        <f t="shared" si="320"/>
        <v>3238423.2</v>
      </c>
      <c r="AD3450">
        <f t="shared" si="321"/>
        <v>360</v>
      </c>
      <c r="AE3450">
        <f t="shared" si="322"/>
        <v>516823.2</v>
      </c>
      <c r="AF3450" t="str">
        <f t="shared" si="323"/>
        <v>Paid</v>
      </c>
    </row>
    <row r="3451" spans="1:32" ht="17.25" thickBot="1" x14ac:dyDescent="0.35">
      <c r="A3451" s="2" t="s">
        <v>19845</v>
      </c>
      <c r="B3451" s="2" t="s">
        <v>27</v>
      </c>
      <c r="C3451" s="2" t="s">
        <v>28</v>
      </c>
      <c r="D3451" s="2" t="s">
        <v>97</v>
      </c>
      <c r="E3451" s="2" t="s">
        <v>19709</v>
      </c>
      <c r="F3451" s="2" t="s">
        <v>31</v>
      </c>
      <c r="G3451" s="2" t="s">
        <v>32</v>
      </c>
      <c r="H3451" s="1"/>
      <c r="I3451" s="2" t="s">
        <v>33</v>
      </c>
      <c r="J3451" s="2" t="s">
        <v>34</v>
      </c>
      <c r="K3451" s="2" t="s">
        <v>3986</v>
      </c>
      <c r="L3451" s="2" t="s">
        <v>3987</v>
      </c>
      <c r="M3451" s="2" t="s">
        <v>701</v>
      </c>
      <c r="N3451" s="2" t="s">
        <v>38</v>
      </c>
      <c r="O3451" s="2" t="s">
        <v>370</v>
      </c>
      <c r="P3451" s="2" t="s">
        <v>3943</v>
      </c>
      <c r="Q3451" s="2" t="s">
        <v>19846</v>
      </c>
      <c r="R3451" s="2" t="s">
        <v>40</v>
      </c>
      <c r="S3451" s="2" t="s">
        <v>19847</v>
      </c>
      <c r="T3451" s="2" t="s">
        <v>726</v>
      </c>
      <c r="U3451" s="2" t="s">
        <v>19848</v>
      </c>
      <c r="V3451" s="2" t="s">
        <v>19849</v>
      </c>
      <c r="W3451" s="1"/>
      <c r="X3451" s="2" t="s">
        <v>3903</v>
      </c>
      <c r="Y3451" s="2" t="s">
        <v>19716</v>
      </c>
      <c r="AA3451" t="str">
        <f t="shared" si="318"/>
        <v>2025-04</v>
      </c>
      <c r="AB3451" t="str">
        <f t="shared" si="319"/>
        <v>H1_2025</v>
      </c>
      <c r="AC3451">
        <f t="shared" si="320"/>
        <v>4083379.2</v>
      </c>
      <c r="AD3451">
        <f t="shared" si="321"/>
        <v>480</v>
      </c>
      <c r="AE3451">
        <f t="shared" si="322"/>
        <v>656179.19999999995</v>
      </c>
      <c r="AF3451" t="str">
        <f t="shared" si="323"/>
        <v>Paid</v>
      </c>
    </row>
    <row r="3452" spans="1:32" ht="17.25" thickBot="1" x14ac:dyDescent="0.35">
      <c r="A3452" s="2" t="s">
        <v>19850</v>
      </c>
      <c r="B3452" s="2" t="s">
        <v>27</v>
      </c>
      <c r="C3452" s="2" t="s">
        <v>28</v>
      </c>
      <c r="D3452" s="2" t="s">
        <v>97</v>
      </c>
      <c r="E3452" s="2" t="s">
        <v>19709</v>
      </c>
      <c r="F3452" s="2" t="s">
        <v>31</v>
      </c>
      <c r="G3452" s="2" t="s">
        <v>32</v>
      </c>
      <c r="H3452" s="1"/>
      <c r="I3452" s="2" t="s">
        <v>33</v>
      </c>
      <c r="J3452" s="2" t="s">
        <v>34</v>
      </c>
      <c r="K3452" s="2" t="s">
        <v>4606</v>
      </c>
      <c r="L3452" s="2" t="s">
        <v>4607</v>
      </c>
      <c r="M3452" s="2" t="s">
        <v>701</v>
      </c>
      <c r="N3452" s="2" t="s">
        <v>38</v>
      </c>
      <c r="O3452" s="2" t="s">
        <v>15442</v>
      </c>
      <c r="P3452" s="2" t="s">
        <v>4912</v>
      </c>
      <c r="Q3452" s="2" t="s">
        <v>19851</v>
      </c>
      <c r="R3452" s="2" t="s">
        <v>40</v>
      </c>
      <c r="S3452" s="2" t="s">
        <v>19852</v>
      </c>
      <c r="T3452" s="2" t="s">
        <v>759</v>
      </c>
      <c r="U3452" s="2" t="s">
        <v>19853</v>
      </c>
      <c r="V3452" s="2" t="s">
        <v>19854</v>
      </c>
      <c r="W3452" s="1"/>
      <c r="X3452" s="2" t="s">
        <v>709</v>
      </c>
      <c r="Y3452" s="2" t="s">
        <v>19716</v>
      </c>
      <c r="AA3452" t="str">
        <f t="shared" si="318"/>
        <v>2025-04</v>
      </c>
      <c r="AB3452" t="str">
        <f t="shared" si="319"/>
        <v>H1_2025</v>
      </c>
      <c r="AC3452">
        <f t="shared" si="320"/>
        <v>14392992</v>
      </c>
      <c r="AD3452">
        <f t="shared" si="321"/>
        <v>1600</v>
      </c>
      <c r="AE3452">
        <f t="shared" si="322"/>
        <v>2296992</v>
      </c>
      <c r="AF3452" t="str">
        <f t="shared" si="323"/>
        <v>Paid</v>
      </c>
    </row>
    <row r="3453" spans="1:32" ht="17.25" thickBot="1" x14ac:dyDescent="0.35">
      <c r="A3453" s="2" t="s">
        <v>19855</v>
      </c>
      <c r="B3453" s="2" t="s">
        <v>27</v>
      </c>
      <c r="C3453" s="2" t="s">
        <v>28</v>
      </c>
      <c r="D3453" s="2" t="s">
        <v>97</v>
      </c>
      <c r="E3453" s="2" t="s">
        <v>19709</v>
      </c>
      <c r="F3453" s="2" t="s">
        <v>31</v>
      </c>
      <c r="G3453" s="2" t="s">
        <v>32</v>
      </c>
      <c r="H3453" s="1"/>
      <c r="I3453" s="2" t="s">
        <v>33</v>
      </c>
      <c r="J3453" s="2" t="s">
        <v>34</v>
      </c>
      <c r="K3453" s="2" t="s">
        <v>1642</v>
      </c>
      <c r="L3453" s="2" t="s">
        <v>1643</v>
      </c>
      <c r="M3453" s="2" t="s">
        <v>701</v>
      </c>
      <c r="N3453" s="2" t="s">
        <v>38</v>
      </c>
      <c r="O3453" s="2" t="s">
        <v>19856</v>
      </c>
      <c r="P3453" s="2" t="s">
        <v>4912</v>
      </c>
      <c r="Q3453" s="2" t="s">
        <v>19857</v>
      </c>
      <c r="R3453" s="2" t="s">
        <v>40</v>
      </c>
      <c r="S3453" s="2" t="s">
        <v>19858</v>
      </c>
      <c r="T3453" s="2" t="s">
        <v>759</v>
      </c>
      <c r="U3453" s="2" t="s">
        <v>19859</v>
      </c>
      <c r="V3453" s="2" t="s">
        <v>19860</v>
      </c>
      <c r="W3453" s="1"/>
      <c r="X3453" s="2" t="s">
        <v>709</v>
      </c>
      <c r="Y3453" s="2" t="s">
        <v>19716</v>
      </c>
      <c r="AA3453" t="str">
        <f t="shared" si="318"/>
        <v>2025-04</v>
      </c>
      <c r="AB3453" t="str">
        <f t="shared" si="319"/>
        <v>H1_2025</v>
      </c>
      <c r="AC3453">
        <f t="shared" si="320"/>
        <v>91755324</v>
      </c>
      <c r="AD3453">
        <f t="shared" si="321"/>
        <v>10200</v>
      </c>
      <c r="AE3453">
        <f t="shared" si="322"/>
        <v>14643324</v>
      </c>
      <c r="AF3453" t="str">
        <f t="shared" si="323"/>
        <v>Paid</v>
      </c>
    </row>
    <row r="3454" spans="1:32" ht="17.25" thickBot="1" x14ac:dyDescent="0.35">
      <c r="A3454" s="2" t="s">
        <v>19861</v>
      </c>
      <c r="B3454" s="2" t="s">
        <v>27</v>
      </c>
      <c r="C3454" s="2" t="s">
        <v>28</v>
      </c>
      <c r="D3454" s="2" t="s">
        <v>97</v>
      </c>
      <c r="E3454" s="2" t="s">
        <v>19709</v>
      </c>
      <c r="F3454" s="2" t="s">
        <v>31</v>
      </c>
      <c r="G3454" s="2" t="s">
        <v>32</v>
      </c>
      <c r="H3454" s="1"/>
      <c r="I3454" s="2" t="s">
        <v>33</v>
      </c>
      <c r="J3454" s="2" t="s">
        <v>34</v>
      </c>
      <c r="K3454" s="2" t="s">
        <v>6331</v>
      </c>
      <c r="L3454" s="2" t="s">
        <v>6332</v>
      </c>
      <c r="M3454" s="2" t="s">
        <v>701</v>
      </c>
      <c r="N3454" s="2" t="s">
        <v>38</v>
      </c>
      <c r="O3454" s="2" t="s">
        <v>8346</v>
      </c>
      <c r="P3454" s="2" t="s">
        <v>4912</v>
      </c>
      <c r="Q3454" s="2" t="s">
        <v>19862</v>
      </c>
      <c r="R3454" s="2" t="s">
        <v>40</v>
      </c>
      <c r="S3454" s="2" t="s">
        <v>19863</v>
      </c>
      <c r="T3454" s="2" t="s">
        <v>759</v>
      </c>
      <c r="U3454" s="2" t="s">
        <v>19864</v>
      </c>
      <c r="V3454" s="2" t="s">
        <v>19865</v>
      </c>
      <c r="W3454" s="1"/>
      <c r="X3454" s="2" t="s">
        <v>709</v>
      </c>
      <c r="Y3454" s="2" t="s">
        <v>19716</v>
      </c>
      <c r="AA3454" t="str">
        <f t="shared" si="318"/>
        <v>2025-04</v>
      </c>
      <c r="AB3454" t="str">
        <f t="shared" si="319"/>
        <v>H1_2025</v>
      </c>
      <c r="AC3454">
        <f t="shared" si="320"/>
        <v>18351064.800000001</v>
      </c>
      <c r="AD3454">
        <f t="shared" si="321"/>
        <v>2040</v>
      </c>
      <c r="AE3454">
        <f t="shared" si="322"/>
        <v>2928664.8</v>
      </c>
      <c r="AF3454" t="str">
        <f t="shared" si="323"/>
        <v>Paid</v>
      </c>
    </row>
    <row r="3455" spans="1:32" ht="17.25" thickBot="1" x14ac:dyDescent="0.35">
      <c r="A3455" s="2" t="s">
        <v>19866</v>
      </c>
      <c r="B3455" s="2" t="s">
        <v>27</v>
      </c>
      <c r="C3455" s="2" t="s">
        <v>28</v>
      </c>
      <c r="D3455" s="2" t="s">
        <v>97</v>
      </c>
      <c r="E3455" s="2" t="s">
        <v>19709</v>
      </c>
      <c r="F3455" s="2" t="s">
        <v>31</v>
      </c>
      <c r="G3455" s="2" t="s">
        <v>32</v>
      </c>
      <c r="H3455" s="1"/>
      <c r="I3455" s="2" t="s">
        <v>33</v>
      </c>
      <c r="J3455" s="2" t="s">
        <v>34</v>
      </c>
      <c r="K3455" s="2" t="s">
        <v>7397</v>
      </c>
      <c r="L3455" s="2" t="s">
        <v>7398</v>
      </c>
      <c r="M3455" s="2" t="s">
        <v>772</v>
      </c>
      <c r="N3455" s="2" t="s">
        <v>38</v>
      </c>
      <c r="O3455" s="2" t="s">
        <v>156</v>
      </c>
      <c r="P3455" s="2" t="s">
        <v>19867</v>
      </c>
      <c r="Q3455" s="2" t="s">
        <v>19868</v>
      </c>
      <c r="R3455" s="2" t="s">
        <v>40</v>
      </c>
      <c r="S3455" s="2" t="s">
        <v>19869</v>
      </c>
      <c r="T3455" s="2" t="s">
        <v>5027</v>
      </c>
      <c r="U3455" s="2" t="s">
        <v>10742</v>
      </c>
      <c r="V3455" s="2" t="s">
        <v>19870</v>
      </c>
      <c r="W3455" s="1"/>
      <c r="X3455" s="2" t="s">
        <v>838</v>
      </c>
      <c r="Y3455" s="2" t="s">
        <v>19716</v>
      </c>
      <c r="AA3455" t="str">
        <f t="shared" si="318"/>
        <v>2025-04</v>
      </c>
      <c r="AB3455" t="str">
        <f t="shared" si="319"/>
        <v>H1_2025</v>
      </c>
      <c r="AC3455">
        <f t="shared" si="320"/>
        <v>2844110.4</v>
      </c>
      <c r="AD3455">
        <f t="shared" si="321"/>
        <v>20</v>
      </c>
      <c r="AE3455">
        <f t="shared" si="322"/>
        <v>594110.4</v>
      </c>
      <c r="AF3455" t="str">
        <f t="shared" si="323"/>
        <v>Paid</v>
      </c>
    </row>
    <row r="3456" spans="1:32" ht="17.25" thickBot="1" x14ac:dyDescent="0.35">
      <c r="A3456" s="2" t="s">
        <v>19871</v>
      </c>
      <c r="B3456" s="2" t="s">
        <v>27</v>
      </c>
      <c r="C3456" s="2" t="s">
        <v>28</v>
      </c>
      <c r="D3456" s="2" t="s">
        <v>97</v>
      </c>
      <c r="E3456" s="2" t="s">
        <v>19709</v>
      </c>
      <c r="F3456" s="2" t="s">
        <v>31</v>
      </c>
      <c r="G3456" s="2" t="s">
        <v>32</v>
      </c>
      <c r="H3456" s="1"/>
      <c r="I3456" s="2" t="s">
        <v>33</v>
      </c>
      <c r="J3456" s="2" t="s">
        <v>34</v>
      </c>
      <c r="K3456" s="2" t="s">
        <v>18994</v>
      </c>
      <c r="L3456" s="2" t="s">
        <v>18995</v>
      </c>
      <c r="M3456" s="2" t="s">
        <v>772</v>
      </c>
      <c r="N3456" s="2" t="s">
        <v>38</v>
      </c>
      <c r="O3456" s="2" t="s">
        <v>156</v>
      </c>
      <c r="P3456" s="2" t="s">
        <v>19867</v>
      </c>
      <c r="Q3456" s="2" t="s">
        <v>19868</v>
      </c>
      <c r="R3456" s="2" t="s">
        <v>40</v>
      </c>
      <c r="S3456" s="2" t="s">
        <v>19869</v>
      </c>
      <c r="T3456" s="2" t="s">
        <v>5027</v>
      </c>
      <c r="U3456" s="2" t="s">
        <v>10742</v>
      </c>
      <c r="V3456" s="2" t="s">
        <v>19870</v>
      </c>
      <c r="W3456" s="1"/>
      <c r="X3456" s="2" t="s">
        <v>838</v>
      </c>
      <c r="Y3456" s="2" t="s">
        <v>19716</v>
      </c>
      <c r="AA3456" t="str">
        <f t="shared" si="318"/>
        <v>2025-04</v>
      </c>
      <c r="AB3456" t="str">
        <f t="shared" si="319"/>
        <v>H1_2025</v>
      </c>
      <c r="AC3456">
        <f t="shared" si="320"/>
        <v>2844110.4</v>
      </c>
      <c r="AD3456">
        <f t="shared" si="321"/>
        <v>20</v>
      </c>
      <c r="AE3456">
        <f t="shared" si="322"/>
        <v>594110.4</v>
      </c>
      <c r="AF3456" t="str">
        <f t="shared" si="323"/>
        <v>Paid</v>
      </c>
    </row>
    <row r="3457" spans="1:32" ht="17.25" thickBot="1" x14ac:dyDescent="0.35">
      <c r="A3457" s="2" t="s">
        <v>19872</v>
      </c>
      <c r="B3457" s="2" t="s">
        <v>27</v>
      </c>
      <c r="C3457" s="2" t="s">
        <v>28</v>
      </c>
      <c r="D3457" s="2" t="s">
        <v>97</v>
      </c>
      <c r="E3457" s="2" t="s">
        <v>19709</v>
      </c>
      <c r="F3457" s="2" t="s">
        <v>31</v>
      </c>
      <c r="G3457" s="2" t="s">
        <v>32</v>
      </c>
      <c r="H3457" s="1"/>
      <c r="I3457" s="2" t="s">
        <v>33</v>
      </c>
      <c r="J3457" s="2" t="s">
        <v>34</v>
      </c>
      <c r="K3457" s="2" t="s">
        <v>18201</v>
      </c>
      <c r="L3457" s="2" t="s">
        <v>18202</v>
      </c>
      <c r="M3457" s="2" t="s">
        <v>772</v>
      </c>
      <c r="N3457" s="2" t="s">
        <v>38</v>
      </c>
      <c r="O3457" s="2" t="s">
        <v>141</v>
      </c>
      <c r="P3457" s="2" t="s">
        <v>19873</v>
      </c>
      <c r="Q3457" s="2" t="s">
        <v>19874</v>
      </c>
      <c r="R3457" s="2" t="s">
        <v>40</v>
      </c>
      <c r="S3457" s="2" t="s">
        <v>19875</v>
      </c>
      <c r="T3457" s="2" t="s">
        <v>18206</v>
      </c>
      <c r="U3457" s="2" t="s">
        <v>19003</v>
      </c>
      <c r="V3457" s="2" t="s">
        <v>19876</v>
      </c>
      <c r="W3457" s="1"/>
      <c r="X3457" s="2" t="s">
        <v>2072</v>
      </c>
      <c r="Y3457" s="2" t="s">
        <v>19716</v>
      </c>
      <c r="AA3457" t="str">
        <f t="shared" si="318"/>
        <v>2025-04</v>
      </c>
      <c r="AB3457" t="str">
        <f t="shared" si="319"/>
        <v>H1_2025</v>
      </c>
      <c r="AC3457">
        <f t="shared" si="320"/>
        <v>2158086.6</v>
      </c>
      <c r="AD3457">
        <f t="shared" si="321"/>
        <v>30</v>
      </c>
      <c r="AE3457">
        <f t="shared" si="322"/>
        <v>433086.6</v>
      </c>
      <c r="AF3457" t="str">
        <f t="shared" si="323"/>
        <v>Paid</v>
      </c>
    </row>
    <row r="3458" spans="1:32" ht="17.25" thickBot="1" x14ac:dyDescent="0.35">
      <c r="A3458" s="2" t="s">
        <v>19877</v>
      </c>
      <c r="B3458" s="2" t="s">
        <v>27</v>
      </c>
      <c r="C3458" s="2" t="s">
        <v>28</v>
      </c>
      <c r="D3458" s="2" t="s">
        <v>97</v>
      </c>
      <c r="E3458" s="2" t="s">
        <v>19709</v>
      </c>
      <c r="F3458" s="2" t="s">
        <v>31</v>
      </c>
      <c r="G3458" s="2" t="s">
        <v>32</v>
      </c>
      <c r="H3458" s="1"/>
      <c r="I3458" s="2" t="s">
        <v>33</v>
      </c>
      <c r="J3458" s="2" t="s">
        <v>34</v>
      </c>
      <c r="K3458" s="2" t="s">
        <v>19006</v>
      </c>
      <c r="L3458" s="2" t="s">
        <v>19007</v>
      </c>
      <c r="M3458" s="2" t="s">
        <v>772</v>
      </c>
      <c r="N3458" s="2" t="s">
        <v>38</v>
      </c>
      <c r="O3458" s="2" t="s">
        <v>141</v>
      </c>
      <c r="P3458" s="2" t="s">
        <v>19873</v>
      </c>
      <c r="Q3458" s="2" t="s">
        <v>19874</v>
      </c>
      <c r="R3458" s="2" t="s">
        <v>40</v>
      </c>
      <c r="S3458" s="2" t="s">
        <v>19875</v>
      </c>
      <c r="T3458" s="2" t="s">
        <v>18206</v>
      </c>
      <c r="U3458" s="2" t="s">
        <v>19003</v>
      </c>
      <c r="V3458" s="2" t="s">
        <v>19876</v>
      </c>
      <c r="W3458" s="1"/>
      <c r="X3458" s="2" t="s">
        <v>2072</v>
      </c>
      <c r="Y3458" s="2" t="s">
        <v>19716</v>
      </c>
      <c r="AA3458" t="str">
        <f t="shared" si="318"/>
        <v>2025-04</v>
      </c>
      <c r="AB3458" t="str">
        <f t="shared" si="319"/>
        <v>H1_2025</v>
      </c>
      <c r="AC3458">
        <f t="shared" si="320"/>
        <v>2158086.6</v>
      </c>
      <c r="AD3458">
        <f t="shared" si="321"/>
        <v>30</v>
      </c>
      <c r="AE3458">
        <f t="shared" si="322"/>
        <v>433086.6</v>
      </c>
      <c r="AF3458" t="str">
        <f t="shared" si="323"/>
        <v>Paid</v>
      </c>
    </row>
    <row r="3459" spans="1:32" ht="27.75" thickBot="1" x14ac:dyDescent="0.35">
      <c r="A3459" s="2" t="s">
        <v>19878</v>
      </c>
      <c r="B3459" s="2" t="s">
        <v>27</v>
      </c>
      <c r="C3459" s="2" t="s">
        <v>28</v>
      </c>
      <c r="D3459" s="2" t="s">
        <v>97</v>
      </c>
      <c r="E3459" s="2" t="s">
        <v>19709</v>
      </c>
      <c r="F3459" s="2" t="s">
        <v>31</v>
      </c>
      <c r="G3459" s="2" t="s">
        <v>32</v>
      </c>
      <c r="H3459" s="1"/>
      <c r="I3459" s="2" t="s">
        <v>33</v>
      </c>
      <c r="J3459" s="2" t="s">
        <v>34</v>
      </c>
      <c r="K3459" s="2" t="s">
        <v>19879</v>
      </c>
      <c r="L3459" s="2" t="s">
        <v>19880</v>
      </c>
      <c r="M3459" s="2" t="s">
        <v>10280</v>
      </c>
      <c r="N3459" s="2" t="s">
        <v>38</v>
      </c>
      <c r="O3459" s="2" t="s">
        <v>1951</v>
      </c>
      <c r="P3459" s="2" t="s">
        <v>19061</v>
      </c>
      <c r="Q3459" s="2" t="s">
        <v>3329</v>
      </c>
      <c r="R3459" s="2" t="s">
        <v>40</v>
      </c>
      <c r="S3459" s="2" t="s">
        <v>19881</v>
      </c>
      <c r="T3459" s="2" t="s">
        <v>40</v>
      </c>
      <c r="U3459" s="2" t="s">
        <v>40</v>
      </c>
      <c r="V3459" s="2" t="s">
        <v>19881</v>
      </c>
      <c r="W3459" s="1"/>
      <c r="X3459" s="2" t="s">
        <v>2155</v>
      </c>
      <c r="Y3459" s="2" t="s">
        <v>19716</v>
      </c>
      <c r="AA3459" t="str">
        <f t="shared" si="318"/>
        <v>2025-04</v>
      </c>
      <c r="AB3459" t="str">
        <f t="shared" si="319"/>
        <v>H1_2025</v>
      </c>
      <c r="AC3459">
        <f t="shared" si="320"/>
        <v>224172</v>
      </c>
      <c r="AD3459">
        <f t="shared" si="321"/>
        <v>600</v>
      </c>
      <c r="AE3459">
        <f t="shared" si="322"/>
        <v>224172</v>
      </c>
      <c r="AF3459" t="str">
        <f t="shared" si="323"/>
        <v>Paid</v>
      </c>
    </row>
    <row r="3460" spans="1:32" ht="27.75" thickBot="1" x14ac:dyDescent="0.35">
      <c r="A3460" s="2" t="s">
        <v>19882</v>
      </c>
      <c r="B3460" s="2" t="s">
        <v>27</v>
      </c>
      <c r="C3460" s="2" t="s">
        <v>28</v>
      </c>
      <c r="D3460" s="2" t="s">
        <v>97</v>
      </c>
      <c r="E3460" s="2" t="s">
        <v>19709</v>
      </c>
      <c r="F3460" s="2" t="s">
        <v>31</v>
      </c>
      <c r="G3460" s="2" t="s">
        <v>32</v>
      </c>
      <c r="H3460" s="1"/>
      <c r="I3460" s="2" t="s">
        <v>33</v>
      </c>
      <c r="J3460" s="2" t="s">
        <v>34</v>
      </c>
      <c r="K3460" s="2" t="s">
        <v>13267</v>
      </c>
      <c r="L3460" s="2" t="s">
        <v>13268</v>
      </c>
      <c r="M3460" s="2" t="s">
        <v>3067</v>
      </c>
      <c r="N3460" s="2" t="s">
        <v>38</v>
      </c>
      <c r="O3460" s="2" t="s">
        <v>79</v>
      </c>
      <c r="P3460" s="2" t="s">
        <v>40</v>
      </c>
      <c r="Q3460" s="2" t="s">
        <v>40</v>
      </c>
      <c r="R3460" s="2" t="s">
        <v>40</v>
      </c>
      <c r="S3460" s="2" t="s">
        <v>40</v>
      </c>
      <c r="T3460" s="2" t="s">
        <v>297</v>
      </c>
      <c r="U3460" s="2" t="s">
        <v>5407</v>
      </c>
      <c r="V3460" s="2" t="s">
        <v>19883</v>
      </c>
      <c r="W3460" s="2" t="s">
        <v>41</v>
      </c>
      <c r="X3460" s="2" t="s">
        <v>42</v>
      </c>
      <c r="Y3460" s="2" t="s">
        <v>19716</v>
      </c>
      <c r="AA3460" t="str">
        <f t="shared" ref="AA3460:AA3523" si="324">LEFT(E3460,7)</f>
        <v>2025-04</v>
      </c>
      <c r="AB3460" t="str">
        <f t="shared" ref="AB3460:AB3523" si="325">IF(AND($AA3460&gt;="2025-01",$AA3460&lt;="2025-06"),"H1_2025",IF(AND($AA3460&gt;="2026-01",$AA3460&lt;="2026-06"),"H1_2026",""))</f>
        <v>H1_2025</v>
      </c>
      <c r="AC3460">
        <f t="shared" ref="AC3460:AC3523" si="326">IFERROR(VALUE(SUBSTITUTE(S3460,",","")),0)</f>
        <v>0</v>
      </c>
      <c r="AD3460">
        <f t="shared" ref="AD3460:AD3523" si="327">IFERROR(VALUE(SUBSTITUTE(O3460,",","")),0)</f>
        <v>10</v>
      </c>
      <c r="AE3460">
        <f t="shared" ref="AE3460:AE3523" si="328">IFERROR(VALUE(SUBSTITUTE(V3460,",","")),0)</f>
        <v>-80000</v>
      </c>
      <c r="AF3460" t="str">
        <f t="shared" ref="AF3460:AF3523" si="329">IF(ISNUMBER(SEARCH("FOC",W3460)),"FOC",IF(ISNUMBER(SEARCH("샘플",W3460)),"Sample","Paid"))</f>
        <v>Sample</v>
      </c>
    </row>
    <row r="3461" spans="1:32" ht="17.25" thickBot="1" x14ac:dyDescent="0.35">
      <c r="A3461" s="2" t="s">
        <v>19884</v>
      </c>
      <c r="B3461" s="2" t="s">
        <v>27</v>
      </c>
      <c r="C3461" s="2" t="s">
        <v>28</v>
      </c>
      <c r="D3461" s="2" t="s">
        <v>97</v>
      </c>
      <c r="E3461" s="2" t="s">
        <v>19709</v>
      </c>
      <c r="F3461" s="2" t="s">
        <v>31</v>
      </c>
      <c r="G3461" s="2" t="s">
        <v>32</v>
      </c>
      <c r="H3461" s="1"/>
      <c r="I3461" s="2" t="s">
        <v>33</v>
      </c>
      <c r="J3461" s="2" t="s">
        <v>34</v>
      </c>
      <c r="K3461" s="2" t="s">
        <v>14197</v>
      </c>
      <c r="L3461" s="2" t="s">
        <v>14198</v>
      </c>
      <c r="M3461" s="2" t="s">
        <v>3067</v>
      </c>
      <c r="N3461" s="2" t="s">
        <v>38</v>
      </c>
      <c r="O3461" s="2" t="s">
        <v>79</v>
      </c>
      <c r="P3461" s="2" t="s">
        <v>40</v>
      </c>
      <c r="Q3461" s="2" t="s">
        <v>40</v>
      </c>
      <c r="R3461" s="2" t="s">
        <v>40</v>
      </c>
      <c r="S3461" s="2" t="s">
        <v>40</v>
      </c>
      <c r="T3461" s="2" t="s">
        <v>2206</v>
      </c>
      <c r="U3461" s="2" t="s">
        <v>6861</v>
      </c>
      <c r="V3461" s="2" t="s">
        <v>19885</v>
      </c>
      <c r="W3461" s="2" t="s">
        <v>41</v>
      </c>
      <c r="X3461" s="2" t="s">
        <v>42</v>
      </c>
      <c r="Y3461" s="2" t="s">
        <v>19716</v>
      </c>
      <c r="AA3461" t="str">
        <f t="shared" si="324"/>
        <v>2025-04</v>
      </c>
      <c r="AB3461" t="str">
        <f t="shared" si="325"/>
        <v>H1_2025</v>
      </c>
      <c r="AC3461">
        <f t="shared" si="326"/>
        <v>0</v>
      </c>
      <c r="AD3461">
        <f t="shared" si="327"/>
        <v>10</v>
      </c>
      <c r="AE3461">
        <f t="shared" si="328"/>
        <v>-78000</v>
      </c>
      <c r="AF3461" t="str">
        <f t="shared" si="329"/>
        <v>Sample</v>
      </c>
    </row>
    <row r="3462" spans="1:32" ht="17.25" thickBot="1" x14ac:dyDescent="0.35">
      <c r="A3462" s="2" t="s">
        <v>19886</v>
      </c>
      <c r="B3462" s="2" t="s">
        <v>27</v>
      </c>
      <c r="C3462" s="2" t="s">
        <v>28</v>
      </c>
      <c r="D3462" s="2" t="s">
        <v>97</v>
      </c>
      <c r="E3462" s="2" t="s">
        <v>19709</v>
      </c>
      <c r="F3462" s="2" t="s">
        <v>31</v>
      </c>
      <c r="G3462" s="2" t="s">
        <v>32</v>
      </c>
      <c r="H3462" s="1"/>
      <c r="I3462" s="2" t="s">
        <v>33</v>
      </c>
      <c r="J3462" s="2" t="s">
        <v>34</v>
      </c>
      <c r="K3462" s="2" t="s">
        <v>19887</v>
      </c>
      <c r="L3462" s="2" t="s">
        <v>19888</v>
      </c>
      <c r="M3462" s="2" t="s">
        <v>4544</v>
      </c>
      <c r="N3462" s="2" t="s">
        <v>38</v>
      </c>
      <c r="O3462" s="2" t="s">
        <v>51</v>
      </c>
      <c r="P3462" s="2" t="s">
        <v>40</v>
      </c>
      <c r="Q3462" s="2" t="s">
        <v>40</v>
      </c>
      <c r="R3462" s="2" t="s">
        <v>40</v>
      </c>
      <c r="S3462" s="2" t="s">
        <v>40</v>
      </c>
      <c r="T3462" s="2" t="s">
        <v>19889</v>
      </c>
      <c r="U3462" s="2" t="s">
        <v>19890</v>
      </c>
      <c r="V3462" s="2" t="s">
        <v>19891</v>
      </c>
      <c r="W3462" s="2" t="s">
        <v>41</v>
      </c>
      <c r="X3462" s="2" t="s">
        <v>42</v>
      </c>
      <c r="Y3462" s="2" t="s">
        <v>19716</v>
      </c>
      <c r="AA3462" t="str">
        <f t="shared" si="324"/>
        <v>2025-04</v>
      </c>
      <c r="AB3462" t="str">
        <f t="shared" si="325"/>
        <v>H1_2025</v>
      </c>
      <c r="AC3462">
        <f t="shared" si="326"/>
        <v>0</v>
      </c>
      <c r="AD3462">
        <f t="shared" si="327"/>
        <v>3</v>
      </c>
      <c r="AE3462">
        <f t="shared" si="328"/>
        <v>-21060</v>
      </c>
      <c r="AF3462" t="str">
        <f t="shared" si="329"/>
        <v>Sample</v>
      </c>
    </row>
    <row r="3463" spans="1:32" ht="17.25" thickBot="1" x14ac:dyDescent="0.35">
      <c r="A3463" s="2" t="s">
        <v>19892</v>
      </c>
      <c r="B3463" s="2" t="s">
        <v>27</v>
      </c>
      <c r="C3463" s="2" t="s">
        <v>28</v>
      </c>
      <c r="D3463" s="2" t="s">
        <v>97</v>
      </c>
      <c r="E3463" s="2" t="s">
        <v>19709</v>
      </c>
      <c r="F3463" s="2" t="s">
        <v>31</v>
      </c>
      <c r="G3463" s="2" t="s">
        <v>32</v>
      </c>
      <c r="H3463" s="1"/>
      <c r="I3463" s="2" t="s">
        <v>33</v>
      </c>
      <c r="J3463" s="2" t="s">
        <v>34</v>
      </c>
      <c r="K3463" s="2" t="s">
        <v>6857</v>
      </c>
      <c r="L3463" s="2" t="s">
        <v>6858</v>
      </c>
      <c r="M3463" s="2" t="s">
        <v>4544</v>
      </c>
      <c r="N3463" s="2" t="s">
        <v>38</v>
      </c>
      <c r="O3463" s="2" t="s">
        <v>51</v>
      </c>
      <c r="P3463" s="2" t="s">
        <v>40</v>
      </c>
      <c r="Q3463" s="2" t="s">
        <v>40</v>
      </c>
      <c r="R3463" s="2" t="s">
        <v>40</v>
      </c>
      <c r="S3463" s="2" t="s">
        <v>40</v>
      </c>
      <c r="T3463" s="2" t="s">
        <v>19889</v>
      </c>
      <c r="U3463" s="2" t="s">
        <v>19890</v>
      </c>
      <c r="V3463" s="2" t="s">
        <v>19891</v>
      </c>
      <c r="W3463" s="2" t="s">
        <v>41</v>
      </c>
      <c r="X3463" s="2" t="s">
        <v>42</v>
      </c>
      <c r="Y3463" s="2" t="s">
        <v>19716</v>
      </c>
      <c r="AA3463" t="str">
        <f t="shared" si="324"/>
        <v>2025-04</v>
      </c>
      <c r="AB3463" t="str">
        <f t="shared" si="325"/>
        <v>H1_2025</v>
      </c>
      <c r="AC3463">
        <f t="shared" si="326"/>
        <v>0</v>
      </c>
      <c r="AD3463">
        <f t="shared" si="327"/>
        <v>3</v>
      </c>
      <c r="AE3463">
        <f t="shared" si="328"/>
        <v>-21060</v>
      </c>
      <c r="AF3463" t="str">
        <f t="shared" si="329"/>
        <v>Sample</v>
      </c>
    </row>
    <row r="3464" spans="1:32" ht="17.25" thickBot="1" x14ac:dyDescent="0.35">
      <c r="A3464" s="2" t="s">
        <v>19893</v>
      </c>
      <c r="B3464" s="2" t="s">
        <v>27</v>
      </c>
      <c r="C3464" s="2" t="s">
        <v>28</v>
      </c>
      <c r="D3464" s="2" t="s">
        <v>97</v>
      </c>
      <c r="E3464" s="2" t="s">
        <v>19709</v>
      </c>
      <c r="F3464" s="2" t="s">
        <v>31</v>
      </c>
      <c r="G3464" s="2" t="s">
        <v>32</v>
      </c>
      <c r="H3464" s="1"/>
      <c r="I3464" s="2" t="s">
        <v>33</v>
      </c>
      <c r="J3464" s="2" t="s">
        <v>34</v>
      </c>
      <c r="K3464" s="2" t="s">
        <v>19894</v>
      </c>
      <c r="L3464" s="2" t="s">
        <v>19895</v>
      </c>
      <c r="M3464" s="2" t="s">
        <v>4544</v>
      </c>
      <c r="N3464" s="2" t="s">
        <v>38</v>
      </c>
      <c r="O3464" s="2" t="s">
        <v>51</v>
      </c>
      <c r="P3464" s="2" t="s">
        <v>40</v>
      </c>
      <c r="Q3464" s="2" t="s">
        <v>40</v>
      </c>
      <c r="R3464" s="2" t="s">
        <v>40</v>
      </c>
      <c r="S3464" s="2" t="s">
        <v>40</v>
      </c>
      <c r="T3464" s="2" t="s">
        <v>19889</v>
      </c>
      <c r="U3464" s="2" t="s">
        <v>19890</v>
      </c>
      <c r="V3464" s="2" t="s">
        <v>19891</v>
      </c>
      <c r="W3464" s="2" t="s">
        <v>41</v>
      </c>
      <c r="X3464" s="2" t="s">
        <v>42</v>
      </c>
      <c r="Y3464" s="2" t="s">
        <v>19716</v>
      </c>
      <c r="AA3464" t="str">
        <f t="shared" si="324"/>
        <v>2025-04</v>
      </c>
      <c r="AB3464" t="str">
        <f t="shared" si="325"/>
        <v>H1_2025</v>
      </c>
      <c r="AC3464">
        <f t="shared" si="326"/>
        <v>0</v>
      </c>
      <c r="AD3464">
        <f t="shared" si="327"/>
        <v>3</v>
      </c>
      <c r="AE3464">
        <f t="shared" si="328"/>
        <v>-21060</v>
      </c>
      <c r="AF3464" t="str">
        <f t="shared" si="329"/>
        <v>Sample</v>
      </c>
    </row>
    <row r="3465" spans="1:32" ht="17.25" thickBot="1" x14ac:dyDescent="0.35">
      <c r="A3465" s="2" t="s">
        <v>19896</v>
      </c>
      <c r="B3465" s="2" t="s">
        <v>27</v>
      </c>
      <c r="C3465" s="2" t="s">
        <v>28</v>
      </c>
      <c r="D3465" s="2" t="s">
        <v>97</v>
      </c>
      <c r="E3465" s="2" t="s">
        <v>19709</v>
      </c>
      <c r="F3465" s="2" t="s">
        <v>31</v>
      </c>
      <c r="G3465" s="2" t="s">
        <v>32</v>
      </c>
      <c r="H3465" s="1"/>
      <c r="I3465" s="2" t="s">
        <v>33</v>
      </c>
      <c r="J3465" s="2" t="s">
        <v>34</v>
      </c>
      <c r="K3465" s="2" t="s">
        <v>19897</v>
      </c>
      <c r="L3465" s="2" t="s">
        <v>19898</v>
      </c>
      <c r="M3465" s="2" t="s">
        <v>4544</v>
      </c>
      <c r="N3465" s="2" t="s">
        <v>38</v>
      </c>
      <c r="O3465" s="2" t="s">
        <v>51</v>
      </c>
      <c r="P3465" s="2" t="s">
        <v>40</v>
      </c>
      <c r="Q3465" s="2" t="s">
        <v>40</v>
      </c>
      <c r="R3465" s="2" t="s">
        <v>40</v>
      </c>
      <c r="S3465" s="2" t="s">
        <v>40</v>
      </c>
      <c r="T3465" s="2" t="s">
        <v>19889</v>
      </c>
      <c r="U3465" s="2" t="s">
        <v>19890</v>
      </c>
      <c r="V3465" s="2" t="s">
        <v>19891</v>
      </c>
      <c r="W3465" s="2" t="s">
        <v>41</v>
      </c>
      <c r="X3465" s="2" t="s">
        <v>42</v>
      </c>
      <c r="Y3465" s="2" t="s">
        <v>19716</v>
      </c>
      <c r="AA3465" t="str">
        <f t="shared" si="324"/>
        <v>2025-04</v>
      </c>
      <c r="AB3465" t="str">
        <f t="shared" si="325"/>
        <v>H1_2025</v>
      </c>
      <c r="AC3465">
        <f t="shared" si="326"/>
        <v>0</v>
      </c>
      <c r="AD3465">
        <f t="shared" si="327"/>
        <v>3</v>
      </c>
      <c r="AE3465">
        <f t="shared" si="328"/>
        <v>-21060</v>
      </c>
      <c r="AF3465" t="str">
        <f t="shared" si="329"/>
        <v>Sample</v>
      </c>
    </row>
    <row r="3466" spans="1:32" ht="17.25" thickBot="1" x14ac:dyDescent="0.35">
      <c r="A3466" s="2" t="s">
        <v>19899</v>
      </c>
      <c r="B3466" s="2" t="s">
        <v>27</v>
      </c>
      <c r="C3466" s="2" t="s">
        <v>28</v>
      </c>
      <c r="D3466" s="2" t="s">
        <v>97</v>
      </c>
      <c r="E3466" s="2" t="s">
        <v>19709</v>
      </c>
      <c r="F3466" s="2" t="s">
        <v>31</v>
      </c>
      <c r="G3466" s="2" t="s">
        <v>32</v>
      </c>
      <c r="H3466" s="1"/>
      <c r="I3466" s="2" t="s">
        <v>33</v>
      </c>
      <c r="J3466" s="2" t="s">
        <v>34</v>
      </c>
      <c r="K3466" s="2" t="s">
        <v>19900</v>
      </c>
      <c r="L3466" s="2" t="s">
        <v>19901</v>
      </c>
      <c r="M3466" s="2" t="s">
        <v>4544</v>
      </c>
      <c r="N3466" s="2" t="s">
        <v>38</v>
      </c>
      <c r="O3466" s="2" t="s">
        <v>51</v>
      </c>
      <c r="P3466" s="2" t="s">
        <v>40</v>
      </c>
      <c r="Q3466" s="2" t="s">
        <v>40</v>
      </c>
      <c r="R3466" s="2" t="s">
        <v>40</v>
      </c>
      <c r="S3466" s="2" t="s">
        <v>40</v>
      </c>
      <c r="T3466" s="2" t="s">
        <v>19889</v>
      </c>
      <c r="U3466" s="2" t="s">
        <v>19890</v>
      </c>
      <c r="V3466" s="2" t="s">
        <v>19891</v>
      </c>
      <c r="W3466" s="2" t="s">
        <v>41</v>
      </c>
      <c r="X3466" s="2" t="s">
        <v>42</v>
      </c>
      <c r="Y3466" s="2" t="s">
        <v>19716</v>
      </c>
      <c r="AA3466" t="str">
        <f t="shared" si="324"/>
        <v>2025-04</v>
      </c>
      <c r="AB3466" t="str">
        <f t="shared" si="325"/>
        <v>H1_2025</v>
      </c>
      <c r="AC3466">
        <f t="shared" si="326"/>
        <v>0</v>
      </c>
      <c r="AD3466">
        <f t="shared" si="327"/>
        <v>3</v>
      </c>
      <c r="AE3466">
        <f t="shared" si="328"/>
        <v>-21060</v>
      </c>
      <c r="AF3466" t="str">
        <f t="shared" si="329"/>
        <v>Sample</v>
      </c>
    </row>
    <row r="3467" spans="1:32" ht="17.25" thickBot="1" x14ac:dyDescent="0.35">
      <c r="A3467" s="2" t="s">
        <v>19902</v>
      </c>
      <c r="B3467" s="2" t="s">
        <v>27</v>
      </c>
      <c r="C3467" s="2" t="s">
        <v>28</v>
      </c>
      <c r="D3467" s="2" t="s">
        <v>97</v>
      </c>
      <c r="E3467" s="2" t="s">
        <v>19903</v>
      </c>
      <c r="F3467" s="2" t="s">
        <v>31</v>
      </c>
      <c r="G3467" s="2" t="s">
        <v>32</v>
      </c>
      <c r="H3467" s="1"/>
      <c r="I3467" s="2" t="s">
        <v>33</v>
      </c>
      <c r="J3467" s="2" t="s">
        <v>34</v>
      </c>
      <c r="K3467" s="2" t="s">
        <v>18578</v>
      </c>
      <c r="L3467" s="2" t="s">
        <v>18579</v>
      </c>
      <c r="M3467" s="2" t="s">
        <v>7387</v>
      </c>
      <c r="N3467" s="2" t="s">
        <v>38</v>
      </c>
      <c r="O3467" s="2" t="s">
        <v>10815</v>
      </c>
      <c r="P3467" s="2" t="s">
        <v>3668</v>
      </c>
      <c r="Q3467" s="2" t="s">
        <v>19904</v>
      </c>
      <c r="R3467" s="2" t="s">
        <v>40</v>
      </c>
      <c r="S3467" s="2" t="s">
        <v>19905</v>
      </c>
      <c r="T3467" s="2" t="s">
        <v>7392</v>
      </c>
      <c r="U3467" s="2" t="s">
        <v>19906</v>
      </c>
      <c r="V3467" s="2" t="s">
        <v>19907</v>
      </c>
      <c r="W3467" s="1"/>
      <c r="X3467" s="2" t="s">
        <v>3824</v>
      </c>
      <c r="Y3467" s="2" t="s">
        <v>19908</v>
      </c>
      <c r="AA3467" t="str">
        <f t="shared" si="324"/>
        <v>2025-04</v>
      </c>
      <c r="AB3467" t="str">
        <f t="shared" si="325"/>
        <v>H1_2025</v>
      </c>
      <c r="AC3467">
        <f t="shared" si="326"/>
        <v>133335040</v>
      </c>
      <c r="AD3467">
        <f t="shared" si="327"/>
        <v>10000</v>
      </c>
      <c r="AE3467">
        <f t="shared" si="328"/>
        <v>20235040</v>
      </c>
      <c r="AF3467" t="str">
        <f t="shared" si="329"/>
        <v>Paid</v>
      </c>
    </row>
    <row r="3468" spans="1:32" ht="17.25" thickBot="1" x14ac:dyDescent="0.35">
      <c r="A3468" s="2" t="s">
        <v>19909</v>
      </c>
      <c r="B3468" s="2" t="s">
        <v>27</v>
      </c>
      <c r="C3468" s="2" t="s">
        <v>28</v>
      </c>
      <c r="D3468" s="2" t="s">
        <v>97</v>
      </c>
      <c r="E3468" s="2" t="s">
        <v>19910</v>
      </c>
      <c r="F3468" s="2" t="s">
        <v>31</v>
      </c>
      <c r="G3468" s="2" t="s">
        <v>32</v>
      </c>
      <c r="H3468" s="1"/>
      <c r="I3468" s="2" t="s">
        <v>33</v>
      </c>
      <c r="J3468" s="2" t="s">
        <v>34</v>
      </c>
      <c r="K3468" s="2" t="s">
        <v>808</v>
      </c>
      <c r="L3468" s="2" t="s">
        <v>809</v>
      </c>
      <c r="M3468" s="2" t="s">
        <v>772</v>
      </c>
      <c r="N3468" s="2" t="s">
        <v>38</v>
      </c>
      <c r="O3468" s="2" t="s">
        <v>18564</v>
      </c>
      <c r="P3468" s="2" t="s">
        <v>5669</v>
      </c>
      <c r="Q3468" s="2" t="s">
        <v>19911</v>
      </c>
      <c r="R3468" s="2" t="s">
        <v>40</v>
      </c>
      <c r="S3468" s="2" t="s">
        <v>19912</v>
      </c>
      <c r="T3468" s="2" t="s">
        <v>814</v>
      </c>
      <c r="U3468" s="2" t="s">
        <v>19913</v>
      </c>
      <c r="V3468" s="2" t="s">
        <v>19914</v>
      </c>
      <c r="W3468" s="1"/>
      <c r="X3468" s="2" t="s">
        <v>2797</v>
      </c>
      <c r="Y3468" s="2" t="s">
        <v>19915</v>
      </c>
      <c r="AA3468" t="str">
        <f t="shared" si="324"/>
        <v>2025-04</v>
      </c>
      <c r="AB3468" t="str">
        <f t="shared" si="325"/>
        <v>H1_2025</v>
      </c>
      <c r="AC3468">
        <f t="shared" si="326"/>
        <v>36144326.399999999</v>
      </c>
      <c r="AD3468">
        <f t="shared" si="327"/>
        <v>2800</v>
      </c>
      <c r="AE3468">
        <f t="shared" si="328"/>
        <v>7416326.4000000004</v>
      </c>
      <c r="AF3468" t="str">
        <f t="shared" si="329"/>
        <v>Paid</v>
      </c>
    </row>
    <row r="3469" spans="1:32" ht="17.25" thickBot="1" x14ac:dyDescent="0.35">
      <c r="A3469" s="2" t="s">
        <v>19916</v>
      </c>
      <c r="B3469" s="2" t="s">
        <v>27</v>
      </c>
      <c r="C3469" s="2" t="s">
        <v>28</v>
      </c>
      <c r="D3469" s="2" t="s">
        <v>97</v>
      </c>
      <c r="E3469" s="2" t="s">
        <v>19910</v>
      </c>
      <c r="F3469" s="2" t="s">
        <v>31</v>
      </c>
      <c r="G3469" s="2" t="s">
        <v>32</v>
      </c>
      <c r="H3469" s="1"/>
      <c r="I3469" s="2" t="s">
        <v>33</v>
      </c>
      <c r="J3469" s="2" t="s">
        <v>34</v>
      </c>
      <c r="K3469" s="2" t="s">
        <v>16090</v>
      </c>
      <c r="L3469" s="2" t="s">
        <v>16091</v>
      </c>
      <c r="M3469" s="2" t="s">
        <v>772</v>
      </c>
      <c r="N3469" s="2" t="s">
        <v>38</v>
      </c>
      <c r="O3469" s="2" t="s">
        <v>1951</v>
      </c>
      <c r="P3469" s="2" t="s">
        <v>9683</v>
      </c>
      <c r="Q3469" s="2" t="s">
        <v>19917</v>
      </c>
      <c r="R3469" s="2" t="s">
        <v>40</v>
      </c>
      <c r="S3469" s="2" t="s">
        <v>19918</v>
      </c>
      <c r="T3469" s="2" t="s">
        <v>942</v>
      </c>
      <c r="U3469" s="2" t="s">
        <v>19919</v>
      </c>
      <c r="V3469" s="2" t="s">
        <v>19920</v>
      </c>
      <c r="W3469" s="1"/>
      <c r="X3469" s="2" t="s">
        <v>976</v>
      </c>
      <c r="Y3469" s="2" t="s">
        <v>19915</v>
      </c>
      <c r="AA3469" t="str">
        <f t="shared" si="324"/>
        <v>2025-04</v>
      </c>
      <c r="AB3469" t="str">
        <f t="shared" si="325"/>
        <v>H1_2025</v>
      </c>
      <c r="AC3469">
        <f t="shared" si="326"/>
        <v>7386163.2000000002</v>
      </c>
      <c r="AD3469">
        <f t="shared" si="327"/>
        <v>600</v>
      </c>
      <c r="AE3469">
        <f t="shared" si="328"/>
        <v>1488763.2</v>
      </c>
      <c r="AF3469" t="str">
        <f t="shared" si="329"/>
        <v>Paid</v>
      </c>
    </row>
    <row r="3470" spans="1:32" ht="17.25" thickBot="1" x14ac:dyDescent="0.35">
      <c r="A3470" s="2" t="s">
        <v>19921</v>
      </c>
      <c r="B3470" s="2" t="s">
        <v>27</v>
      </c>
      <c r="C3470" s="2" t="s">
        <v>28</v>
      </c>
      <c r="D3470" s="2" t="s">
        <v>97</v>
      </c>
      <c r="E3470" s="2" t="s">
        <v>19910</v>
      </c>
      <c r="F3470" s="2" t="s">
        <v>31</v>
      </c>
      <c r="G3470" s="2" t="s">
        <v>32</v>
      </c>
      <c r="H3470" s="1"/>
      <c r="I3470" s="2" t="s">
        <v>33</v>
      </c>
      <c r="J3470" s="2" t="s">
        <v>34</v>
      </c>
      <c r="K3470" s="2" t="s">
        <v>946</v>
      </c>
      <c r="L3470" s="2" t="s">
        <v>947</v>
      </c>
      <c r="M3470" s="2" t="s">
        <v>772</v>
      </c>
      <c r="N3470" s="2" t="s">
        <v>38</v>
      </c>
      <c r="O3470" s="2" t="s">
        <v>8346</v>
      </c>
      <c r="P3470" s="2" t="s">
        <v>19922</v>
      </c>
      <c r="Q3470" s="2" t="s">
        <v>19923</v>
      </c>
      <c r="R3470" s="2" t="s">
        <v>40</v>
      </c>
      <c r="S3470" s="2" t="s">
        <v>19924</v>
      </c>
      <c r="T3470" s="2" t="s">
        <v>952</v>
      </c>
      <c r="U3470" s="2" t="s">
        <v>19925</v>
      </c>
      <c r="V3470" s="2" t="s">
        <v>19926</v>
      </c>
      <c r="W3470" s="1"/>
      <c r="X3470" s="2" t="s">
        <v>258</v>
      </c>
      <c r="Y3470" s="2" t="s">
        <v>19915</v>
      </c>
      <c r="AA3470" t="str">
        <f t="shared" si="324"/>
        <v>2025-04</v>
      </c>
      <c r="AB3470" t="str">
        <f t="shared" si="325"/>
        <v>H1_2025</v>
      </c>
      <c r="AC3470">
        <f t="shared" si="326"/>
        <v>30490150.079999998</v>
      </c>
      <c r="AD3470">
        <f t="shared" si="327"/>
        <v>2040</v>
      </c>
      <c r="AE3470">
        <f t="shared" si="328"/>
        <v>6010150.0800000001</v>
      </c>
      <c r="AF3470" t="str">
        <f t="shared" si="329"/>
        <v>Paid</v>
      </c>
    </row>
    <row r="3471" spans="1:32" ht="17.25" thickBot="1" x14ac:dyDescent="0.35">
      <c r="A3471" s="2" t="s">
        <v>19927</v>
      </c>
      <c r="B3471" s="2" t="s">
        <v>27</v>
      </c>
      <c r="C3471" s="2" t="s">
        <v>28</v>
      </c>
      <c r="D3471" s="2" t="s">
        <v>97</v>
      </c>
      <c r="E3471" s="2" t="s">
        <v>19910</v>
      </c>
      <c r="F3471" s="2" t="s">
        <v>31</v>
      </c>
      <c r="G3471" s="2" t="s">
        <v>32</v>
      </c>
      <c r="H3471" s="1"/>
      <c r="I3471" s="2" t="s">
        <v>33</v>
      </c>
      <c r="J3471" s="2" t="s">
        <v>34</v>
      </c>
      <c r="K3471" s="2" t="s">
        <v>967</v>
      </c>
      <c r="L3471" s="2" t="s">
        <v>968</v>
      </c>
      <c r="M3471" s="2" t="s">
        <v>772</v>
      </c>
      <c r="N3471" s="2" t="s">
        <v>38</v>
      </c>
      <c r="O3471" s="2" t="s">
        <v>748</v>
      </c>
      <c r="P3471" s="2" t="s">
        <v>19928</v>
      </c>
      <c r="Q3471" s="2" t="s">
        <v>19929</v>
      </c>
      <c r="R3471" s="2" t="s">
        <v>40</v>
      </c>
      <c r="S3471" s="2" t="s">
        <v>19930</v>
      </c>
      <c r="T3471" s="2" t="s">
        <v>973</v>
      </c>
      <c r="U3471" s="2" t="s">
        <v>19931</v>
      </c>
      <c r="V3471" s="2" t="s">
        <v>19932</v>
      </c>
      <c r="W3471" s="1"/>
      <c r="X3471" s="2" t="s">
        <v>827</v>
      </c>
      <c r="Y3471" s="2" t="s">
        <v>19915</v>
      </c>
      <c r="AA3471" t="str">
        <f t="shared" si="324"/>
        <v>2025-04</v>
      </c>
      <c r="AB3471" t="str">
        <f t="shared" si="325"/>
        <v>H1_2025</v>
      </c>
      <c r="AC3471">
        <f t="shared" si="326"/>
        <v>4053271.04</v>
      </c>
      <c r="AD3471">
        <f t="shared" si="327"/>
        <v>280</v>
      </c>
      <c r="AE3471">
        <f t="shared" si="328"/>
        <v>833271.04</v>
      </c>
      <c r="AF3471" t="str">
        <f t="shared" si="329"/>
        <v>Paid</v>
      </c>
    </row>
    <row r="3472" spans="1:32" ht="17.25" thickBot="1" x14ac:dyDescent="0.35">
      <c r="A3472" s="2" t="s">
        <v>19933</v>
      </c>
      <c r="B3472" s="2" t="s">
        <v>27</v>
      </c>
      <c r="C3472" s="2" t="s">
        <v>28</v>
      </c>
      <c r="D3472" s="2" t="s">
        <v>97</v>
      </c>
      <c r="E3472" s="2" t="s">
        <v>19910</v>
      </c>
      <c r="F3472" s="2" t="s">
        <v>31</v>
      </c>
      <c r="G3472" s="2" t="s">
        <v>32</v>
      </c>
      <c r="H3472" s="1"/>
      <c r="I3472" s="2" t="s">
        <v>33</v>
      </c>
      <c r="J3472" s="2" t="s">
        <v>34</v>
      </c>
      <c r="K3472" s="2" t="s">
        <v>988</v>
      </c>
      <c r="L3472" s="2" t="s">
        <v>989</v>
      </c>
      <c r="M3472" s="2" t="s">
        <v>772</v>
      </c>
      <c r="N3472" s="2" t="s">
        <v>38</v>
      </c>
      <c r="O3472" s="2" t="s">
        <v>2014</v>
      </c>
      <c r="P3472" s="2" t="s">
        <v>5272</v>
      </c>
      <c r="Q3472" s="2" t="s">
        <v>19934</v>
      </c>
      <c r="R3472" s="2" t="s">
        <v>40</v>
      </c>
      <c r="S3472" s="2" t="s">
        <v>19935</v>
      </c>
      <c r="T3472" s="2" t="s">
        <v>994</v>
      </c>
      <c r="U3472" s="2" t="s">
        <v>19936</v>
      </c>
      <c r="V3472" s="2" t="s">
        <v>19937</v>
      </c>
      <c r="W3472" s="1"/>
      <c r="X3472" s="2" t="s">
        <v>2104</v>
      </c>
      <c r="Y3472" s="2" t="s">
        <v>19915</v>
      </c>
      <c r="AA3472" t="str">
        <f t="shared" si="324"/>
        <v>2025-04</v>
      </c>
      <c r="AB3472" t="str">
        <f t="shared" si="325"/>
        <v>H1_2025</v>
      </c>
      <c r="AC3472">
        <f t="shared" si="326"/>
        <v>12419696.640000001</v>
      </c>
      <c r="AD3472">
        <f t="shared" si="327"/>
        <v>960</v>
      </c>
      <c r="AE3472">
        <f t="shared" si="328"/>
        <v>2483696.6400000001</v>
      </c>
      <c r="AF3472" t="str">
        <f t="shared" si="329"/>
        <v>Paid</v>
      </c>
    </row>
    <row r="3473" spans="1:32" ht="17.25" thickBot="1" x14ac:dyDescent="0.35">
      <c r="A3473" s="2" t="s">
        <v>19938</v>
      </c>
      <c r="B3473" s="2" t="s">
        <v>27</v>
      </c>
      <c r="C3473" s="2" t="s">
        <v>28</v>
      </c>
      <c r="D3473" s="2" t="s">
        <v>97</v>
      </c>
      <c r="E3473" s="2" t="s">
        <v>19910</v>
      </c>
      <c r="F3473" s="2" t="s">
        <v>31</v>
      </c>
      <c r="G3473" s="2" t="s">
        <v>32</v>
      </c>
      <c r="H3473" s="1"/>
      <c r="I3473" s="2" t="s">
        <v>33</v>
      </c>
      <c r="J3473" s="2" t="s">
        <v>34</v>
      </c>
      <c r="K3473" s="2" t="s">
        <v>1026</v>
      </c>
      <c r="L3473" s="2" t="s">
        <v>1027</v>
      </c>
      <c r="M3473" s="2" t="s">
        <v>772</v>
      </c>
      <c r="N3473" s="2" t="s">
        <v>38</v>
      </c>
      <c r="O3473" s="2" t="s">
        <v>1519</v>
      </c>
      <c r="P3473" s="2" t="s">
        <v>19066</v>
      </c>
      <c r="Q3473" s="2" t="s">
        <v>19939</v>
      </c>
      <c r="R3473" s="2" t="s">
        <v>40</v>
      </c>
      <c r="S3473" s="2" t="s">
        <v>19940</v>
      </c>
      <c r="T3473" s="2" t="s">
        <v>1127</v>
      </c>
      <c r="U3473" s="2" t="s">
        <v>19941</v>
      </c>
      <c r="V3473" s="2" t="s">
        <v>19942</v>
      </c>
      <c r="W3473" s="1"/>
      <c r="X3473" s="2" t="s">
        <v>7047</v>
      </c>
      <c r="Y3473" s="2" t="s">
        <v>19915</v>
      </c>
      <c r="AA3473" t="str">
        <f t="shared" si="324"/>
        <v>2025-04</v>
      </c>
      <c r="AB3473" t="str">
        <f t="shared" si="325"/>
        <v>H1_2025</v>
      </c>
      <c r="AC3473">
        <f t="shared" si="326"/>
        <v>2431278.7200000002</v>
      </c>
      <c r="AD3473">
        <f t="shared" si="327"/>
        <v>360</v>
      </c>
      <c r="AE3473">
        <f t="shared" si="328"/>
        <v>523278.72</v>
      </c>
      <c r="AF3473" t="str">
        <f t="shared" si="329"/>
        <v>Paid</v>
      </c>
    </row>
    <row r="3474" spans="1:32" ht="27.75" thickBot="1" x14ac:dyDescent="0.35">
      <c r="A3474" s="2" t="s">
        <v>19943</v>
      </c>
      <c r="B3474" s="2" t="s">
        <v>27</v>
      </c>
      <c r="C3474" s="2" t="s">
        <v>28</v>
      </c>
      <c r="D3474" s="2" t="s">
        <v>97</v>
      </c>
      <c r="E3474" s="2" t="s">
        <v>19910</v>
      </c>
      <c r="F3474" s="2" t="s">
        <v>31</v>
      </c>
      <c r="G3474" s="2" t="s">
        <v>32</v>
      </c>
      <c r="H3474" s="1"/>
      <c r="I3474" s="2" t="s">
        <v>33</v>
      </c>
      <c r="J3474" s="2" t="s">
        <v>34</v>
      </c>
      <c r="K3474" s="2" t="s">
        <v>19058</v>
      </c>
      <c r="L3474" s="2" t="s">
        <v>19059</v>
      </c>
      <c r="M3474" s="2" t="s">
        <v>10280</v>
      </c>
      <c r="N3474" s="2" t="s">
        <v>38</v>
      </c>
      <c r="O3474" s="2" t="s">
        <v>19944</v>
      </c>
      <c r="P3474" s="2" t="s">
        <v>19061</v>
      </c>
      <c r="Q3474" s="2" t="s">
        <v>19945</v>
      </c>
      <c r="R3474" s="2" t="s">
        <v>40</v>
      </c>
      <c r="S3474" s="2" t="s">
        <v>19946</v>
      </c>
      <c r="T3474" s="2" t="s">
        <v>4148</v>
      </c>
      <c r="U3474" s="2" t="s">
        <v>19947</v>
      </c>
      <c r="V3474" s="2" t="s">
        <v>19948</v>
      </c>
      <c r="W3474" s="1"/>
      <c r="X3474" s="2" t="s">
        <v>19949</v>
      </c>
      <c r="Y3474" s="2" t="s">
        <v>19915</v>
      </c>
      <c r="AA3474" t="str">
        <f t="shared" si="324"/>
        <v>2025-04</v>
      </c>
      <c r="AB3474" t="str">
        <f t="shared" si="325"/>
        <v>H1_2025</v>
      </c>
      <c r="AC3474">
        <f t="shared" si="326"/>
        <v>4519465.5999999996</v>
      </c>
      <c r="AD3474">
        <f t="shared" si="327"/>
        <v>12200</v>
      </c>
      <c r="AE3474">
        <f t="shared" si="328"/>
        <v>4401901.5999999996</v>
      </c>
      <c r="AF3474" t="str">
        <f t="shared" si="329"/>
        <v>Paid</v>
      </c>
    </row>
    <row r="3475" spans="1:32" ht="27.75" thickBot="1" x14ac:dyDescent="0.35">
      <c r="A3475" s="2" t="s">
        <v>19950</v>
      </c>
      <c r="B3475" s="2" t="s">
        <v>27</v>
      </c>
      <c r="C3475" s="2" t="s">
        <v>28</v>
      </c>
      <c r="D3475" s="2" t="s">
        <v>97</v>
      </c>
      <c r="E3475" s="2" t="s">
        <v>19910</v>
      </c>
      <c r="F3475" s="2" t="s">
        <v>31</v>
      </c>
      <c r="G3475" s="2" t="s">
        <v>32</v>
      </c>
      <c r="H3475" s="1"/>
      <c r="I3475" s="2" t="s">
        <v>33</v>
      </c>
      <c r="J3475" s="2" t="s">
        <v>34</v>
      </c>
      <c r="K3475" s="2" t="s">
        <v>19879</v>
      </c>
      <c r="L3475" s="2" t="s">
        <v>19880</v>
      </c>
      <c r="M3475" s="2" t="s">
        <v>10280</v>
      </c>
      <c r="N3475" s="2" t="s">
        <v>38</v>
      </c>
      <c r="O3475" s="2" t="s">
        <v>18874</v>
      </c>
      <c r="P3475" s="2" t="s">
        <v>19061</v>
      </c>
      <c r="Q3475" s="2" t="s">
        <v>19951</v>
      </c>
      <c r="R3475" s="2" t="s">
        <v>40</v>
      </c>
      <c r="S3475" s="2" t="s">
        <v>19952</v>
      </c>
      <c r="T3475" s="2" t="s">
        <v>40</v>
      </c>
      <c r="U3475" s="2" t="s">
        <v>40</v>
      </c>
      <c r="V3475" s="2" t="s">
        <v>19952</v>
      </c>
      <c r="W3475" s="1"/>
      <c r="X3475" s="2" t="s">
        <v>2155</v>
      </c>
      <c r="Y3475" s="2" t="s">
        <v>19915</v>
      </c>
      <c r="AA3475" t="str">
        <f t="shared" si="324"/>
        <v>2025-04</v>
      </c>
      <c r="AB3475" t="str">
        <f t="shared" si="325"/>
        <v>H1_2025</v>
      </c>
      <c r="AC3475">
        <f t="shared" si="326"/>
        <v>814985.6</v>
      </c>
      <c r="AD3475">
        <f t="shared" si="327"/>
        <v>2200</v>
      </c>
      <c r="AE3475">
        <f t="shared" si="328"/>
        <v>814985.6</v>
      </c>
      <c r="AF3475" t="str">
        <f t="shared" si="329"/>
        <v>Paid</v>
      </c>
    </row>
    <row r="3476" spans="1:32" ht="27.75" thickBot="1" x14ac:dyDescent="0.35">
      <c r="A3476" s="2" t="s">
        <v>19953</v>
      </c>
      <c r="B3476" s="2" t="s">
        <v>27</v>
      </c>
      <c r="C3476" s="2" t="s">
        <v>28</v>
      </c>
      <c r="D3476" s="2" t="s">
        <v>97</v>
      </c>
      <c r="E3476" s="2" t="s">
        <v>19910</v>
      </c>
      <c r="F3476" s="2" t="s">
        <v>31</v>
      </c>
      <c r="G3476" s="2" t="s">
        <v>32</v>
      </c>
      <c r="H3476" s="1"/>
      <c r="I3476" s="2" t="s">
        <v>33</v>
      </c>
      <c r="J3476" s="2" t="s">
        <v>34</v>
      </c>
      <c r="K3476" s="2" t="s">
        <v>19954</v>
      </c>
      <c r="L3476" s="2" t="s">
        <v>19955</v>
      </c>
      <c r="M3476" s="2" t="s">
        <v>10280</v>
      </c>
      <c r="N3476" s="2" t="s">
        <v>38</v>
      </c>
      <c r="O3476" s="2" t="s">
        <v>10350</v>
      </c>
      <c r="P3476" s="2" t="s">
        <v>19061</v>
      </c>
      <c r="Q3476" s="2" t="s">
        <v>4723</v>
      </c>
      <c r="R3476" s="2" t="s">
        <v>40</v>
      </c>
      <c r="S3476" s="2" t="s">
        <v>19956</v>
      </c>
      <c r="T3476" s="2" t="s">
        <v>9229</v>
      </c>
      <c r="U3476" s="2" t="s">
        <v>19957</v>
      </c>
      <c r="V3476" s="2" t="s">
        <v>19958</v>
      </c>
      <c r="W3476" s="1"/>
      <c r="X3476" s="2" t="s">
        <v>7125</v>
      </c>
      <c r="Y3476" s="2" t="s">
        <v>19915</v>
      </c>
      <c r="AA3476" t="str">
        <f t="shared" si="324"/>
        <v>2025-04</v>
      </c>
      <c r="AB3476" t="str">
        <f t="shared" si="325"/>
        <v>H1_2025</v>
      </c>
      <c r="AC3476">
        <f t="shared" si="326"/>
        <v>2444956.7999999998</v>
      </c>
      <c r="AD3476">
        <f t="shared" si="327"/>
        <v>6600</v>
      </c>
      <c r="AE3476">
        <f t="shared" si="328"/>
        <v>524356.80000000005</v>
      </c>
      <c r="AF3476" t="str">
        <f t="shared" si="329"/>
        <v>Paid</v>
      </c>
    </row>
    <row r="3477" spans="1:32" ht="27.75" thickBot="1" x14ac:dyDescent="0.35">
      <c r="A3477" s="2" t="s">
        <v>19959</v>
      </c>
      <c r="B3477" s="2" t="s">
        <v>27</v>
      </c>
      <c r="C3477" s="2" t="s">
        <v>28</v>
      </c>
      <c r="D3477" s="2" t="s">
        <v>97</v>
      </c>
      <c r="E3477" s="2" t="s">
        <v>19910</v>
      </c>
      <c r="F3477" s="2" t="s">
        <v>31</v>
      </c>
      <c r="G3477" s="2" t="s">
        <v>32</v>
      </c>
      <c r="H3477" s="1"/>
      <c r="I3477" s="2" t="s">
        <v>33</v>
      </c>
      <c r="J3477" s="2" t="s">
        <v>34</v>
      </c>
      <c r="K3477" s="2" t="s">
        <v>10797</v>
      </c>
      <c r="L3477" s="2" t="s">
        <v>10798</v>
      </c>
      <c r="M3477" s="2" t="s">
        <v>3067</v>
      </c>
      <c r="N3477" s="2" t="s">
        <v>38</v>
      </c>
      <c r="O3477" s="2" t="s">
        <v>19960</v>
      </c>
      <c r="P3477" s="2" t="s">
        <v>9111</v>
      </c>
      <c r="Q3477" s="2" t="s">
        <v>19961</v>
      </c>
      <c r="R3477" s="2" t="s">
        <v>40</v>
      </c>
      <c r="S3477" s="2" t="s">
        <v>19962</v>
      </c>
      <c r="T3477" s="2" t="s">
        <v>2701</v>
      </c>
      <c r="U3477" s="2" t="s">
        <v>19963</v>
      </c>
      <c r="V3477" s="2" t="s">
        <v>19964</v>
      </c>
      <c r="W3477" s="1"/>
      <c r="X3477" s="2" t="s">
        <v>856</v>
      </c>
      <c r="Y3477" s="2" t="s">
        <v>19915</v>
      </c>
      <c r="AA3477" t="str">
        <f t="shared" si="324"/>
        <v>2025-04</v>
      </c>
      <c r="AB3477" t="str">
        <f t="shared" si="325"/>
        <v>H1_2025</v>
      </c>
      <c r="AC3477">
        <f t="shared" si="326"/>
        <v>2023216</v>
      </c>
      <c r="AD3477">
        <f t="shared" si="327"/>
        <v>14200</v>
      </c>
      <c r="AE3477">
        <f t="shared" si="328"/>
        <v>603216</v>
      </c>
      <c r="AF3477" t="str">
        <f t="shared" si="329"/>
        <v>Paid</v>
      </c>
    </row>
    <row r="3478" spans="1:32" ht="27.75" thickBot="1" x14ac:dyDescent="0.35">
      <c r="A3478" s="2" t="s">
        <v>19965</v>
      </c>
      <c r="B3478" s="2" t="s">
        <v>27</v>
      </c>
      <c r="C3478" s="2" t="s">
        <v>28</v>
      </c>
      <c r="D3478" s="2" t="s">
        <v>97</v>
      </c>
      <c r="E3478" s="2" t="s">
        <v>19910</v>
      </c>
      <c r="F3478" s="2" t="s">
        <v>31</v>
      </c>
      <c r="G3478" s="2" t="s">
        <v>32</v>
      </c>
      <c r="H3478" s="1"/>
      <c r="I3478" s="2" t="s">
        <v>33</v>
      </c>
      <c r="J3478" s="2" t="s">
        <v>34</v>
      </c>
      <c r="K3478" s="2" t="s">
        <v>10821</v>
      </c>
      <c r="L3478" s="2" t="s">
        <v>10822</v>
      </c>
      <c r="M3478" s="2" t="s">
        <v>3067</v>
      </c>
      <c r="N3478" s="2" t="s">
        <v>38</v>
      </c>
      <c r="O3478" s="2" t="s">
        <v>19960</v>
      </c>
      <c r="P3478" s="2" t="s">
        <v>9111</v>
      </c>
      <c r="Q3478" s="2" t="s">
        <v>19961</v>
      </c>
      <c r="R3478" s="2" t="s">
        <v>40</v>
      </c>
      <c r="S3478" s="2" t="s">
        <v>19962</v>
      </c>
      <c r="T3478" s="2" t="s">
        <v>2701</v>
      </c>
      <c r="U3478" s="2" t="s">
        <v>19963</v>
      </c>
      <c r="V3478" s="2" t="s">
        <v>19964</v>
      </c>
      <c r="W3478" s="1"/>
      <c r="X3478" s="2" t="s">
        <v>856</v>
      </c>
      <c r="Y3478" s="2" t="s">
        <v>19915</v>
      </c>
      <c r="AA3478" t="str">
        <f t="shared" si="324"/>
        <v>2025-04</v>
      </c>
      <c r="AB3478" t="str">
        <f t="shared" si="325"/>
        <v>H1_2025</v>
      </c>
      <c r="AC3478">
        <f t="shared" si="326"/>
        <v>2023216</v>
      </c>
      <c r="AD3478">
        <f t="shared" si="327"/>
        <v>14200</v>
      </c>
      <c r="AE3478">
        <f t="shared" si="328"/>
        <v>603216</v>
      </c>
      <c r="AF3478" t="str">
        <f t="shared" si="329"/>
        <v>Paid</v>
      </c>
    </row>
    <row r="3479" spans="1:32" ht="17.25" thickBot="1" x14ac:dyDescent="0.35">
      <c r="A3479" s="2" t="s">
        <v>19966</v>
      </c>
      <c r="B3479" s="2" t="s">
        <v>27</v>
      </c>
      <c r="C3479" s="2" t="s">
        <v>28</v>
      </c>
      <c r="D3479" s="2" t="s">
        <v>97</v>
      </c>
      <c r="E3479" s="2" t="s">
        <v>19910</v>
      </c>
      <c r="F3479" s="2" t="s">
        <v>31</v>
      </c>
      <c r="G3479" s="2" t="s">
        <v>32</v>
      </c>
      <c r="H3479" s="1"/>
      <c r="I3479" s="2" t="s">
        <v>33</v>
      </c>
      <c r="J3479" s="2" t="s">
        <v>34</v>
      </c>
      <c r="K3479" s="2" t="s">
        <v>19967</v>
      </c>
      <c r="L3479" s="2" t="s">
        <v>19968</v>
      </c>
      <c r="M3479" s="2" t="s">
        <v>48</v>
      </c>
      <c r="N3479" s="2" t="s">
        <v>38</v>
      </c>
      <c r="O3479" s="2" t="s">
        <v>19218</v>
      </c>
      <c r="P3479" s="2" t="s">
        <v>10834</v>
      </c>
      <c r="Q3479" s="2" t="s">
        <v>8890</v>
      </c>
      <c r="R3479" s="2" t="s">
        <v>40</v>
      </c>
      <c r="S3479" s="2" t="s">
        <v>19969</v>
      </c>
      <c r="T3479" s="2" t="s">
        <v>10837</v>
      </c>
      <c r="U3479" s="2" t="s">
        <v>9332</v>
      </c>
      <c r="V3479" s="2" t="s">
        <v>19970</v>
      </c>
      <c r="W3479" s="1"/>
      <c r="X3479" s="2" t="s">
        <v>2697</v>
      </c>
      <c r="Y3479" s="2" t="s">
        <v>19915</v>
      </c>
      <c r="AA3479" t="str">
        <f t="shared" si="324"/>
        <v>2025-04</v>
      </c>
      <c r="AB3479" t="str">
        <f t="shared" si="325"/>
        <v>H1_2025</v>
      </c>
      <c r="AC3479">
        <f t="shared" si="326"/>
        <v>1667016</v>
      </c>
      <c r="AD3479">
        <f t="shared" si="327"/>
        <v>9000</v>
      </c>
      <c r="AE3479">
        <f t="shared" si="328"/>
        <v>677016</v>
      </c>
      <c r="AF3479" t="str">
        <f t="shared" si="329"/>
        <v>Paid</v>
      </c>
    </row>
    <row r="3480" spans="1:32" ht="17.25" thickBot="1" x14ac:dyDescent="0.35">
      <c r="A3480" s="2" t="s">
        <v>19971</v>
      </c>
      <c r="B3480" s="2" t="s">
        <v>27</v>
      </c>
      <c r="C3480" s="2" t="s">
        <v>28</v>
      </c>
      <c r="D3480" s="2" t="s">
        <v>97</v>
      </c>
      <c r="E3480" s="2" t="s">
        <v>19910</v>
      </c>
      <c r="F3480" s="2" t="s">
        <v>31</v>
      </c>
      <c r="G3480" s="2" t="s">
        <v>32</v>
      </c>
      <c r="H3480" s="1"/>
      <c r="I3480" s="2" t="s">
        <v>33</v>
      </c>
      <c r="J3480" s="2" t="s">
        <v>34</v>
      </c>
      <c r="K3480" s="2" t="s">
        <v>19597</v>
      </c>
      <c r="L3480" s="2" t="s">
        <v>19598</v>
      </c>
      <c r="M3480" s="2" t="s">
        <v>48</v>
      </c>
      <c r="N3480" s="2" t="s">
        <v>38</v>
      </c>
      <c r="O3480" s="2" t="s">
        <v>19972</v>
      </c>
      <c r="P3480" s="2" t="s">
        <v>10834</v>
      </c>
      <c r="Q3480" s="2" t="s">
        <v>19973</v>
      </c>
      <c r="R3480" s="2" t="s">
        <v>40</v>
      </c>
      <c r="S3480" s="2" t="s">
        <v>19974</v>
      </c>
      <c r="T3480" s="2" t="s">
        <v>10837</v>
      </c>
      <c r="U3480" s="2" t="s">
        <v>18625</v>
      </c>
      <c r="V3480" s="2" t="s">
        <v>19975</v>
      </c>
      <c r="W3480" s="1"/>
      <c r="X3480" s="2" t="s">
        <v>2697</v>
      </c>
      <c r="Y3480" s="2" t="s">
        <v>19915</v>
      </c>
      <c r="AA3480" t="str">
        <f t="shared" si="324"/>
        <v>2025-04</v>
      </c>
      <c r="AB3480" t="str">
        <f t="shared" si="325"/>
        <v>H1_2025</v>
      </c>
      <c r="AC3480">
        <f t="shared" si="326"/>
        <v>2037464</v>
      </c>
      <c r="AD3480">
        <f t="shared" si="327"/>
        <v>11000</v>
      </c>
      <c r="AE3480">
        <f t="shared" si="328"/>
        <v>827464</v>
      </c>
      <c r="AF3480" t="str">
        <f t="shared" si="329"/>
        <v>Paid</v>
      </c>
    </row>
    <row r="3481" spans="1:32" ht="17.25" thickBot="1" x14ac:dyDescent="0.35">
      <c r="A3481" s="2" t="s">
        <v>19976</v>
      </c>
      <c r="B3481" s="2" t="s">
        <v>27</v>
      </c>
      <c r="C3481" s="2" t="s">
        <v>28</v>
      </c>
      <c r="D3481" s="2" t="s">
        <v>97</v>
      </c>
      <c r="E3481" s="2" t="s">
        <v>19910</v>
      </c>
      <c r="F3481" s="2" t="s">
        <v>31</v>
      </c>
      <c r="G3481" s="2" t="s">
        <v>32</v>
      </c>
      <c r="H3481" s="1"/>
      <c r="I3481" s="2" t="s">
        <v>33</v>
      </c>
      <c r="J3481" s="2" t="s">
        <v>34</v>
      </c>
      <c r="K3481" s="2" t="s">
        <v>19977</v>
      </c>
      <c r="L3481" s="2" t="s">
        <v>19978</v>
      </c>
      <c r="M3481" s="2" t="s">
        <v>48</v>
      </c>
      <c r="N3481" s="2" t="s">
        <v>38</v>
      </c>
      <c r="O3481" s="2" t="s">
        <v>10815</v>
      </c>
      <c r="P3481" s="2" t="s">
        <v>10834</v>
      </c>
      <c r="Q3481" s="2" t="s">
        <v>10843</v>
      </c>
      <c r="R3481" s="2" t="s">
        <v>40</v>
      </c>
      <c r="S3481" s="2" t="s">
        <v>19979</v>
      </c>
      <c r="T3481" s="2" t="s">
        <v>10837</v>
      </c>
      <c r="U3481" s="2" t="s">
        <v>10845</v>
      </c>
      <c r="V3481" s="2" t="s">
        <v>19980</v>
      </c>
      <c r="W3481" s="1"/>
      <c r="X3481" s="2" t="s">
        <v>2697</v>
      </c>
      <c r="Y3481" s="2" t="s">
        <v>19915</v>
      </c>
      <c r="AA3481" t="str">
        <f t="shared" si="324"/>
        <v>2025-04</v>
      </c>
      <c r="AB3481" t="str">
        <f t="shared" si="325"/>
        <v>H1_2025</v>
      </c>
      <c r="AC3481">
        <f t="shared" si="326"/>
        <v>1852240</v>
      </c>
      <c r="AD3481">
        <f t="shared" si="327"/>
        <v>10000</v>
      </c>
      <c r="AE3481">
        <f t="shared" si="328"/>
        <v>752240</v>
      </c>
      <c r="AF3481" t="str">
        <f t="shared" si="329"/>
        <v>Paid</v>
      </c>
    </row>
    <row r="3482" spans="1:32" ht="27.75" thickBot="1" x14ac:dyDescent="0.35">
      <c r="A3482" s="2" t="s">
        <v>19981</v>
      </c>
      <c r="B3482" s="2" t="s">
        <v>27</v>
      </c>
      <c r="C3482" s="2" t="s">
        <v>28</v>
      </c>
      <c r="D3482" s="2" t="s">
        <v>97</v>
      </c>
      <c r="E3482" s="2" t="s">
        <v>19910</v>
      </c>
      <c r="F3482" s="2" t="s">
        <v>31</v>
      </c>
      <c r="G3482" s="2" t="s">
        <v>32</v>
      </c>
      <c r="H3482" s="1"/>
      <c r="I3482" s="2" t="s">
        <v>33</v>
      </c>
      <c r="J3482" s="2" t="s">
        <v>34</v>
      </c>
      <c r="K3482" s="2" t="s">
        <v>18642</v>
      </c>
      <c r="L3482" s="2" t="s">
        <v>18643</v>
      </c>
      <c r="M3482" s="2" t="s">
        <v>37</v>
      </c>
      <c r="N3482" s="2" t="s">
        <v>38</v>
      </c>
      <c r="O3482" s="2" t="s">
        <v>19382</v>
      </c>
      <c r="P3482" s="2" t="s">
        <v>13041</v>
      </c>
      <c r="Q3482" s="2" t="s">
        <v>19982</v>
      </c>
      <c r="R3482" s="2" t="s">
        <v>40</v>
      </c>
      <c r="S3482" s="2" t="s">
        <v>19983</v>
      </c>
      <c r="T3482" s="2" t="s">
        <v>14635</v>
      </c>
      <c r="U3482" s="2" t="s">
        <v>19984</v>
      </c>
      <c r="V3482" s="2" t="s">
        <v>19985</v>
      </c>
      <c r="W3482" s="1"/>
      <c r="X3482" s="2" t="s">
        <v>17168</v>
      </c>
      <c r="Y3482" s="2" t="s">
        <v>19915</v>
      </c>
      <c r="AA3482" t="str">
        <f t="shared" si="324"/>
        <v>2025-04</v>
      </c>
      <c r="AB3482" t="str">
        <f t="shared" si="325"/>
        <v>H1_2025</v>
      </c>
      <c r="AC3482">
        <f t="shared" si="326"/>
        <v>2313875.2000000002</v>
      </c>
      <c r="AD3482">
        <f t="shared" si="327"/>
        <v>5600</v>
      </c>
      <c r="AE3482">
        <f t="shared" si="328"/>
        <v>835475.2</v>
      </c>
      <c r="AF3482" t="str">
        <f t="shared" si="329"/>
        <v>Paid</v>
      </c>
    </row>
    <row r="3483" spans="1:32" ht="27.75" thickBot="1" x14ac:dyDescent="0.35">
      <c r="A3483" s="2" t="s">
        <v>19986</v>
      </c>
      <c r="B3483" s="2" t="s">
        <v>27</v>
      </c>
      <c r="C3483" s="2" t="s">
        <v>28</v>
      </c>
      <c r="D3483" s="2" t="s">
        <v>97</v>
      </c>
      <c r="E3483" s="2" t="s">
        <v>19910</v>
      </c>
      <c r="F3483" s="2" t="s">
        <v>31</v>
      </c>
      <c r="G3483" s="2" t="s">
        <v>32</v>
      </c>
      <c r="H3483" s="1"/>
      <c r="I3483" s="2" t="s">
        <v>33</v>
      </c>
      <c r="J3483" s="2" t="s">
        <v>34</v>
      </c>
      <c r="K3483" s="2" t="s">
        <v>18649</v>
      </c>
      <c r="L3483" s="2" t="s">
        <v>18650</v>
      </c>
      <c r="M3483" s="2" t="s">
        <v>37</v>
      </c>
      <c r="N3483" s="2" t="s">
        <v>38</v>
      </c>
      <c r="O3483" s="2" t="s">
        <v>19987</v>
      </c>
      <c r="P3483" s="2" t="s">
        <v>13041</v>
      </c>
      <c r="Q3483" s="2" t="s">
        <v>19988</v>
      </c>
      <c r="R3483" s="2" t="s">
        <v>40</v>
      </c>
      <c r="S3483" s="2" t="s">
        <v>19989</v>
      </c>
      <c r="T3483" s="2" t="s">
        <v>14635</v>
      </c>
      <c r="U3483" s="2" t="s">
        <v>19990</v>
      </c>
      <c r="V3483" s="2" t="s">
        <v>19991</v>
      </c>
      <c r="W3483" s="1"/>
      <c r="X3483" s="2" t="s">
        <v>17168</v>
      </c>
      <c r="Y3483" s="2" t="s">
        <v>19915</v>
      </c>
      <c r="AA3483" t="str">
        <f t="shared" si="324"/>
        <v>2025-04</v>
      </c>
      <c r="AB3483" t="str">
        <f t="shared" si="325"/>
        <v>H1_2025</v>
      </c>
      <c r="AC3483">
        <f t="shared" si="326"/>
        <v>4627750.4000000004</v>
      </c>
      <c r="AD3483">
        <f t="shared" si="327"/>
        <v>11200</v>
      </c>
      <c r="AE3483">
        <f t="shared" si="328"/>
        <v>1670950.4</v>
      </c>
      <c r="AF3483" t="str">
        <f t="shared" si="329"/>
        <v>Paid</v>
      </c>
    </row>
    <row r="3484" spans="1:32" ht="41.25" thickBot="1" x14ac:dyDescent="0.35">
      <c r="A3484" s="2" t="s">
        <v>19992</v>
      </c>
      <c r="B3484" s="2" t="s">
        <v>27</v>
      </c>
      <c r="C3484" s="2" t="s">
        <v>28</v>
      </c>
      <c r="D3484" s="2" t="s">
        <v>97</v>
      </c>
      <c r="E3484" s="2" t="s">
        <v>19910</v>
      </c>
      <c r="F3484" s="2" t="s">
        <v>31</v>
      </c>
      <c r="G3484" s="2" t="s">
        <v>32</v>
      </c>
      <c r="H3484" s="1"/>
      <c r="I3484" s="2" t="s">
        <v>33</v>
      </c>
      <c r="J3484" s="2" t="s">
        <v>34</v>
      </c>
      <c r="K3484" s="2" t="s">
        <v>18652</v>
      </c>
      <c r="L3484" s="2" t="s">
        <v>18653</v>
      </c>
      <c r="M3484" s="2" t="s">
        <v>37</v>
      </c>
      <c r="N3484" s="2" t="s">
        <v>38</v>
      </c>
      <c r="O3484" s="2" t="s">
        <v>19993</v>
      </c>
      <c r="P3484" s="2" t="s">
        <v>19994</v>
      </c>
      <c r="Q3484" s="2" t="s">
        <v>19995</v>
      </c>
      <c r="R3484" s="2" t="s">
        <v>40</v>
      </c>
      <c r="S3484" s="2" t="s">
        <v>19996</v>
      </c>
      <c r="T3484" s="2" t="s">
        <v>14635</v>
      </c>
      <c r="U3484" s="2" t="s">
        <v>19997</v>
      </c>
      <c r="V3484" s="2" t="s">
        <v>19998</v>
      </c>
      <c r="W3484" s="1"/>
      <c r="X3484" s="2" t="s">
        <v>13589</v>
      </c>
      <c r="Y3484" s="2" t="s">
        <v>19915</v>
      </c>
      <c r="AA3484" t="str">
        <f t="shared" si="324"/>
        <v>2025-04</v>
      </c>
      <c r="AB3484" t="str">
        <f t="shared" si="325"/>
        <v>H1_2025</v>
      </c>
      <c r="AC3484">
        <f t="shared" si="326"/>
        <v>1617261.98</v>
      </c>
      <c r="AD3484">
        <f t="shared" si="327"/>
        <v>3153</v>
      </c>
      <c r="AE3484">
        <f t="shared" si="328"/>
        <v>784869.98</v>
      </c>
      <c r="AF3484" t="str">
        <f t="shared" si="329"/>
        <v>Paid</v>
      </c>
    </row>
    <row r="3485" spans="1:32" ht="41.25" thickBot="1" x14ac:dyDescent="0.35">
      <c r="A3485" s="2" t="s">
        <v>19999</v>
      </c>
      <c r="B3485" s="2" t="s">
        <v>27</v>
      </c>
      <c r="C3485" s="2" t="s">
        <v>28</v>
      </c>
      <c r="D3485" s="2" t="s">
        <v>97</v>
      </c>
      <c r="E3485" s="2" t="s">
        <v>19910</v>
      </c>
      <c r="F3485" s="2" t="s">
        <v>31</v>
      </c>
      <c r="G3485" s="2" t="s">
        <v>32</v>
      </c>
      <c r="H3485" s="1"/>
      <c r="I3485" s="2" t="s">
        <v>33</v>
      </c>
      <c r="J3485" s="2" t="s">
        <v>34</v>
      </c>
      <c r="K3485" s="2" t="s">
        <v>19098</v>
      </c>
      <c r="L3485" s="2" t="s">
        <v>19099</v>
      </c>
      <c r="M3485" s="2" t="s">
        <v>37</v>
      </c>
      <c r="N3485" s="2" t="s">
        <v>38</v>
      </c>
      <c r="O3485" s="2" t="s">
        <v>20000</v>
      </c>
      <c r="P3485" s="2" t="s">
        <v>20001</v>
      </c>
      <c r="Q3485" s="2" t="s">
        <v>20002</v>
      </c>
      <c r="R3485" s="2" t="s">
        <v>40</v>
      </c>
      <c r="S3485" s="2" t="s">
        <v>20003</v>
      </c>
      <c r="T3485" s="2" t="s">
        <v>14635</v>
      </c>
      <c r="U3485" s="2" t="s">
        <v>20004</v>
      </c>
      <c r="V3485" s="2" t="s">
        <v>20005</v>
      </c>
      <c r="W3485" s="1"/>
      <c r="X3485" s="2" t="s">
        <v>19104</v>
      </c>
      <c r="Y3485" s="2" t="s">
        <v>19915</v>
      </c>
      <c r="AA3485" t="str">
        <f t="shared" si="324"/>
        <v>2025-04</v>
      </c>
      <c r="AB3485" t="str">
        <f t="shared" si="325"/>
        <v>H1_2025</v>
      </c>
      <c r="AC3485">
        <f t="shared" si="326"/>
        <v>2462823.79</v>
      </c>
      <c r="AD3485">
        <f t="shared" si="327"/>
        <v>1782</v>
      </c>
      <c r="AE3485">
        <f t="shared" si="328"/>
        <v>1992375.79</v>
      </c>
      <c r="AF3485" t="str">
        <f t="shared" si="329"/>
        <v>Paid</v>
      </c>
    </row>
    <row r="3486" spans="1:32" ht="41.25" thickBot="1" x14ac:dyDescent="0.35">
      <c r="A3486" s="2" t="s">
        <v>20006</v>
      </c>
      <c r="B3486" s="2" t="s">
        <v>27</v>
      </c>
      <c r="C3486" s="2" t="s">
        <v>28</v>
      </c>
      <c r="D3486" s="2" t="s">
        <v>97</v>
      </c>
      <c r="E3486" s="2" t="s">
        <v>19910</v>
      </c>
      <c r="F3486" s="2" t="s">
        <v>31</v>
      </c>
      <c r="G3486" s="2" t="s">
        <v>32</v>
      </c>
      <c r="H3486" s="1"/>
      <c r="I3486" s="2" t="s">
        <v>33</v>
      </c>
      <c r="J3486" s="2" t="s">
        <v>34</v>
      </c>
      <c r="K3486" s="2" t="s">
        <v>19098</v>
      </c>
      <c r="L3486" s="2" t="s">
        <v>19099</v>
      </c>
      <c r="M3486" s="2" t="s">
        <v>37</v>
      </c>
      <c r="N3486" s="2" t="s">
        <v>38</v>
      </c>
      <c r="O3486" s="2" t="s">
        <v>8269</v>
      </c>
      <c r="P3486" s="2" t="s">
        <v>20001</v>
      </c>
      <c r="Q3486" s="2" t="s">
        <v>20007</v>
      </c>
      <c r="R3486" s="2" t="s">
        <v>40</v>
      </c>
      <c r="S3486" s="2" t="s">
        <v>20008</v>
      </c>
      <c r="T3486" s="2" t="s">
        <v>14635</v>
      </c>
      <c r="U3486" s="2" t="s">
        <v>18849</v>
      </c>
      <c r="V3486" s="2" t="s">
        <v>20009</v>
      </c>
      <c r="W3486" s="1"/>
      <c r="X3486" s="2" t="s">
        <v>19104</v>
      </c>
      <c r="Y3486" s="2" t="s">
        <v>19915</v>
      </c>
      <c r="AA3486" t="str">
        <f t="shared" si="324"/>
        <v>2025-04</v>
      </c>
      <c r="AB3486" t="str">
        <f t="shared" si="325"/>
        <v>H1_2025</v>
      </c>
      <c r="AC3486">
        <f t="shared" si="326"/>
        <v>3316934.4</v>
      </c>
      <c r="AD3486">
        <f t="shared" si="327"/>
        <v>2400</v>
      </c>
      <c r="AE3486">
        <f t="shared" si="328"/>
        <v>2683334.4</v>
      </c>
      <c r="AF3486" t="str">
        <f t="shared" si="329"/>
        <v>Paid</v>
      </c>
    </row>
    <row r="3487" spans="1:32" ht="41.25" thickBot="1" x14ac:dyDescent="0.35">
      <c r="A3487" s="2" t="s">
        <v>20010</v>
      </c>
      <c r="B3487" s="2" t="s">
        <v>27</v>
      </c>
      <c r="C3487" s="2" t="s">
        <v>28</v>
      </c>
      <c r="D3487" s="2" t="s">
        <v>97</v>
      </c>
      <c r="E3487" s="2" t="s">
        <v>19910</v>
      </c>
      <c r="F3487" s="2" t="s">
        <v>31</v>
      </c>
      <c r="G3487" s="2" t="s">
        <v>32</v>
      </c>
      <c r="H3487" s="1"/>
      <c r="I3487" s="2" t="s">
        <v>33</v>
      </c>
      <c r="J3487" s="2" t="s">
        <v>34</v>
      </c>
      <c r="K3487" s="2" t="s">
        <v>18658</v>
      </c>
      <c r="L3487" s="2" t="s">
        <v>18659</v>
      </c>
      <c r="M3487" s="2" t="s">
        <v>37</v>
      </c>
      <c r="N3487" s="2" t="s">
        <v>38</v>
      </c>
      <c r="O3487" s="2" t="s">
        <v>19013</v>
      </c>
      <c r="P3487" s="2" t="s">
        <v>13041</v>
      </c>
      <c r="Q3487" s="2" t="s">
        <v>20011</v>
      </c>
      <c r="R3487" s="2" t="s">
        <v>40</v>
      </c>
      <c r="S3487" s="2" t="s">
        <v>20012</v>
      </c>
      <c r="T3487" s="2" t="s">
        <v>14635</v>
      </c>
      <c r="U3487" s="2" t="s">
        <v>15358</v>
      </c>
      <c r="V3487" s="2" t="s">
        <v>20013</v>
      </c>
      <c r="W3487" s="1"/>
      <c r="X3487" s="2" t="s">
        <v>17168</v>
      </c>
      <c r="Y3487" s="2" t="s">
        <v>19915</v>
      </c>
      <c r="AA3487" t="str">
        <f t="shared" si="324"/>
        <v>2025-04</v>
      </c>
      <c r="AB3487" t="str">
        <f t="shared" si="325"/>
        <v>H1_2025</v>
      </c>
      <c r="AC3487">
        <f t="shared" si="326"/>
        <v>1322214.3999999999</v>
      </c>
      <c r="AD3487">
        <f t="shared" si="327"/>
        <v>3200</v>
      </c>
      <c r="AE3487">
        <f t="shared" si="328"/>
        <v>477414.40000000002</v>
      </c>
      <c r="AF3487" t="str">
        <f t="shared" si="329"/>
        <v>Paid</v>
      </c>
    </row>
    <row r="3488" spans="1:32" ht="17.25" thickBot="1" x14ac:dyDescent="0.35">
      <c r="A3488" s="2" t="s">
        <v>20014</v>
      </c>
      <c r="B3488" s="2" t="s">
        <v>27</v>
      </c>
      <c r="C3488" s="2" t="s">
        <v>28</v>
      </c>
      <c r="D3488" s="2" t="s">
        <v>97</v>
      </c>
      <c r="E3488" s="2" t="s">
        <v>19910</v>
      </c>
      <c r="F3488" s="2" t="s">
        <v>31</v>
      </c>
      <c r="G3488" s="2" t="s">
        <v>32</v>
      </c>
      <c r="H3488" s="1"/>
      <c r="I3488" s="2" t="s">
        <v>33</v>
      </c>
      <c r="J3488" s="2" t="s">
        <v>34</v>
      </c>
      <c r="K3488" s="2" t="s">
        <v>18661</v>
      </c>
      <c r="L3488" s="2" t="s">
        <v>18662</v>
      </c>
      <c r="M3488" s="2" t="s">
        <v>37</v>
      </c>
      <c r="N3488" s="2" t="s">
        <v>38</v>
      </c>
      <c r="O3488" s="2" t="s">
        <v>13899</v>
      </c>
      <c r="P3488" s="2" t="s">
        <v>13041</v>
      </c>
      <c r="Q3488" s="2" t="s">
        <v>20015</v>
      </c>
      <c r="R3488" s="2" t="s">
        <v>40</v>
      </c>
      <c r="S3488" s="2" t="s">
        <v>20016</v>
      </c>
      <c r="T3488" s="2" t="s">
        <v>14635</v>
      </c>
      <c r="U3488" s="2" t="s">
        <v>20017</v>
      </c>
      <c r="V3488" s="2" t="s">
        <v>20018</v>
      </c>
      <c r="W3488" s="1"/>
      <c r="X3488" s="2" t="s">
        <v>17168</v>
      </c>
      <c r="Y3488" s="2" t="s">
        <v>19915</v>
      </c>
      <c r="AA3488" t="str">
        <f t="shared" si="324"/>
        <v>2025-04</v>
      </c>
      <c r="AB3488" t="str">
        <f t="shared" si="325"/>
        <v>H1_2025</v>
      </c>
      <c r="AC3488">
        <f t="shared" si="326"/>
        <v>1983321.6</v>
      </c>
      <c r="AD3488">
        <f t="shared" si="327"/>
        <v>4800</v>
      </c>
      <c r="AE3488">
        <f t="shared" si="328"/>
        <v>716121.59999999998</v>
      </c>
      <c r="AF3488" t="str">
        <f t="shared" si="329"/>
        <v>Paid</v>
      </c>
    </row>
    <row r="3489" spans="1:32" ht="17.25" thickBot="1" x14ac:dyDescent="0.35">
      <c r="A3489" s="2" t="s">
        <v>20019</v>
      </c>
      <c r="B3489" s="2" t="s">
        <v>27</v>
      </c>
      <c r="C3489" s="2" t="s">
        <v>28</v>
      </c>
      <c r="D3489" s="2" t="s">
        <v>97</v>
      </c>
      <c r="E3489" s="2" t="s">
        <v>19910</v>
      </c>
      <c r="F3489" s="2" t="s">
        <v>31</v>
      </c>
      <c r="G3489" s="2" t="s">
        <v>32</v>
      </c>
      <c r="H3489" s="1"/>
      <c r="I3489" s="2" t="s">
        <v>33</v>
      </c>
      <c r="J3489" s="2" t="s">
        <v>34</v>
      </c>
      <c r="K3489" s="2" t="s">
        <v>20020</v>
      </c>
      <c r="L3489" s="2" t="s">
        <v>20021</v>
      </c>
      <c r="M3489" s="2" t="s">
        <v>84</v>
      </c>
      <c r="N3489" s="2" t="s">
        <v>38</v>
      </c>
      <c r="O3489" s="2" t="s">
        <v>2271</v>
      </c>
      <c r="P3489" s="2" t="s">
        <v>20022</v>
      </c>
      <c r="Q3489" s="2" t="s">
        <v>20023</v>
      </c>
      <c r="R3489" s="2" t="s">
        <v>40</v>
      </c>
      <c r="S3489" s="2" t="s">
        <v>20024</v>
      </c>
      <c r="T3489" s="2" t="s">
        <v>40</v>
      </c>
      <c r="U3489" s="2" t="s">
        <v>40</v>
      </c>
      <c r="V3489" s="2" t="s">
        <v>20024</v>
      </c>
      <c r="W3489" s="1"/>
      <c r="X3489" s="2" t="s">
        <v>2155</v>
      </c>
      <c r="Y3489" s="2" t="s">
        <v>19915</v>
      </c>
      <c r="AA3489" t="str">
        <f t="shared" si="324"/>
        <v>2025-04</v>
      </c>
      <c r="AB3489" t="str">
        <f t="shared" si="325"/>
        <v>H1_2025</v>
      </c>
      <c r="AC3489">
        <f t="shared" si="326"/>
        <v>353350.40000000002</v>
      </c>
      <c r="AD3489">
        <f t="shared" si="327"/>
        <v>3100</v>
      </c>
      <c r="AE3489">
        <f t="shared" si="328"/>
        <v>353350.40000000002</v>
      </c>
      <c r="AF3489" t="str">
        <f t="shared" si="329"/>
        <v>Paid</v>
      </c>
    </row>
    <row r="3490" spans="1:32" ht="17.25" thickBot="1" x14ac:dyDescent="0.35">
      <c r="A3490" s="2" t="s">
        <v>20025</v>
      </c>
      <c r="B3490" s="2" t="s">
        <v>27</v>
      </c>
      <c r="C3490" s="2" t="s">
        <v>28</v>
      </c>
      <c r="D3490" s="2" t="s">
        <v>97</v>
      </c>
      <c r="E3490" s="2" t="s">
        <v>19910</v>
      </c>
      <c r="F3490" s="2" t="s">
        <v>31</v>
      </c>
      <c r="G3490" s="2" t="s">
        <v>32</v>
      </c>
      <c r="H3490" s="1"/>
      <c r="I3490" s="2" t="s">
        <v>33</v>
      </c>
      <c r="J3490" s="2" t="s">
        <v>34</v>
      </c>
      <c r="K3490" s="2" t="s">
        <v>20026</v>
      </c>
      <c r="L3490" s="2" t="s">
        <v>20027</v>
      </c>
      <c r="M3490" s="2" t="s">
        <v>4544</v>
      </c>
      <c r="N3490" s="2" t="s">
        <v>38</v>
      </c>
      <c r="O3490" s="2" t="s">
        <v>294</v>
      </c>
      <c r="P3490" s="2" t="s">
        <v>19655</v>
      </c>
      <c r="Q3490" s="2" t="s">
        <v>20028</v>
      </c>
      <c r="R3490" s="2" t="s">
        <v>40</v>
      </c>
      <c r="S3490" s="2" t="s">
        <v>20029</v>
      </c>
      <c r="T3490" s="2" t="s">
        <v>16297</v>
      </c>
      <c r="U3490" s="2" t="s">
        <v>20030</v>
      </c>
      <c r="V3490" s="2" t="s">
        <v>20031</v>
      </c>
      <c r="W3490" s="1"/>
      <c r="X3490" s="2" t="s">
        <v>4068</v>
      </c>
      <c r="Y3490" s="2" t="s">
        <v>19915</v>
      </c>
      <c r="AA3490" t="str">
        <f t="shared" si="324"/>
        <v>2025-04</v>
      </c>
      <c r="AB3490" t="str">
        <f t="shared" si="325"/>
        <v>H1_2025</v>
      </c>
      <c r="AC3490">
        <f t="shared" si="326"/>
        <v>444537.59999999998</v>
      </c>
      <c r="AD3490">
        <f t="shared" si="327"/>
        <v>2600</v>
      </c>
      <c r="AE3490">
        <f t="shared" si="328"/>
        <v>54537.599999999999</v>
      </c>
      <c r="AF3490" t="str">
        <f t="shared" si="329"/>
        <v>Paid</v>
      </c>
    </row>
    <row r="3491" spans="1:32" ht="17.25" thickBot="1" x14ac:dyDescent="0.35">
      <c r="A3491" s="2" t="s">
        <v>20032</v>
      </c>
      <c r="B3491" s="2" t="s">
        <v>27</v>
      </c>
      <c r="C3491" s="2" t="s">
        <v>28</v>
      </c>
      <c r="D3491" s="2" t="s">
        <v>97</v>
      </c>
      <c r="E3491" s="2" t="s">
        <v>19910</v>
      </c>
      <c r="F3491" s="2" t="s">
        <v>31</v>
      </c>
      <c r="G3491" s="2" t="s">
        <v>32</v>
      </c>
      <c r="H3491" s="1"/>
      <c r="I3491" s="2" t="s">
        <v>33</v>
      </c>
      <c r="J3491" s="2" t="s">
        <v>34</v>
      </c>
      <c r="K3491" s="2" t="s">
        <v>19666</v>
      </c>
      <c r="L3491" s="2" t="s">
        <v>19667</v>
      </c>
      <c r="M3491" s="2" t="s">
        <v>4544</v>
      </c>
      <c r="N3491" s="2" t="s">
        <v>38</v>
      </c>
      <c r="O3491" s="2" t="s">
        <v>294</v>
      </c>
      <c r="P3491" s="2" t="s">
        <v>19655</v>
      </c>
      <c r="Q3491" s="2" t="s">
        <v>20028</v>
      </c>
      <c r="R3491" s="2" t="s">
        <v>40</v>
      </c>
      <c r="S3491" s="2" t="s">
        <v>20029</v>
      </c>
      <c r="T3491" s="2" t="s">
        <v>16297</v>
      </c>
      <c r="U3491" s="2" t="s">
        <v>20030</v>
      </c>
      <c r="V3491" s="2" t="s">
        <v>20031</v>
      </c>
      <c r="W3491" s="1"/>
      <c r="X3491" s="2" t="s">
        <v>4068</v>
      </c>
      <c r="Y3491" s="2" t="s">
        <v>19915</v>
      </c>
      <c r="AA3491" t="str">
        <f t="shared" si="324"/>
        <v>2025-04</v>
      </c>
      <c r="AB3491" t="str">
        <f t="shared" si="325"/>
        <v>H1_2025</v>
      </c>
      <c r="AC3491">
        <f t="shared" si="326"/>
        <v>444537.59999999998</v>
      </c>
      <c r="AD3491">
        <f t="shared" si="327"/>
        <v>2600</v>
      </c>
      <c r="AE3491">
        <f t="shared" si="328"/>
        <v>54537.599999999999</v>
      </c>
      <c r="AF3491" t="str">
        <f t="shared" si="329"/>
        <v>Paid</v>
      </c>
    </row>
    <row r="3492" spans="1:32" ht="27.75" thickBot="1" x14ac:dyDescent="0.35">
      <c r="A3492" s="2" t="s">
        <v>20033</v>
      </c>
      <c r="B3492" s="2" t="s">
        <v>27</v>
      </c>
      <c r="C3492" s="2" t="s">
        <v>28</v>
      </c>
      <c r="D3492" s="2" t="s">
        <v>97</v>
      </c>
      <c r="E3492" s="2" t="s">
        <v>19910</v>
      </c>
      <c r="F3492" s="2" t="s">
        <v>31</v>
      </c>
      <c r="G3492" s="2" t="s">
        <v>32</v>
      </c>
      <c r="H3492" s="1"/>
      <c r="I3492" s="2" t="s">
        <v>33</v>
      </c>
      <c r="J3492" s="2" t="s">
        <v>34</v>
      </c>
      <c r="K3492" s="2" t="s">
        <v>18692</v>
      </c>
      <c r="L3492" s="2" t="s">
        <v>18693</v>
      </c>
      <c r="M3492" s="2" t="s">
        <v>4544</v>
      </c>
      <c r="N3492" s="2" t="s">
        <v>38</v>
      </c>
      <c r="O3492" s="2" t="s">
        <v>20034</v>
      </c>
      <c r="P3492" s="2" t="s">
        <v>10834</v>
      </c>
      <c r="Q3492" s="2" t="s">
        <v>20035</v>
      </c>
      <c r="R3492" s="2" t="s">
        <v>40</v>
      </c>
      <c r="S3492" s="2" t="s">
        <v>20036</v>
      </c>
      <c r="T3492" s="2" t="s">
        <v>16297</v>
      </c>
      <c r="U3492" s="2" t="s">
        <v>13514</v>
      </c>
      <c r="V3492" s="2" t="s">
        <v>20037</v>
      </c>
      <c r="W3492" s="1"/>
      <c r="X3492" s="2" t="s">
        <v>2198</v>
      </c>
      <c r="Y3492" s="2" t="s">
        <v>19915</v>
      </c>
      <c r="AA3492" t="str">
        <f t="shared" si="324"/>
        <v>2025-04</v>
      </c>
      <c r="AB3492" t="str">
        <f t="shared" si="325"/>
        <v>H1_2025</v>
      </c>
      <c r="AC3492">
        <f t="shared" si="326"/>
        <v>1778150.3999999999</v>
      </c>
      <c r="AD3492">
        <f t="shared" si="327"/>
        <v>9600</v>
      </c>
      <c r="AE3492">
        <f t="shared" si="328"/>
        <v>338150.40000000002</v>
      </c>
      <c r="AF3492" t="str">
        <f t="shared" si="329"/>
        <v>Paid</v>
      </c>
    </row>
    <row r="3493" spans="1:32" ht="27.75" thickBot="1" x14ac:dyDescent="0.35">
      <c r="A3493" s="2" t="s">
        <v>20038</v>
      </c>
      <c r="B3493" s="2" t="s">
        <v>27</v>
      </c>
      <c r="C3493" s="2" t="s">
        <v>28</v>
      </c>
      <c r="D3493" s="2" t="s">
        <v>97</v>
      </c>
      <c r="E3493" s="2" t="s">
        <v>19910</v>
      </c>
      <c r="F3493" s="2" t="s">
        <v>31</v>
      </c>
      <c r="G3493" s="2" t="s">
        <v>32</v>
      </c>
      <c r="H3493" s="1"/>
      <c r="I3493" s="2" t="s">
        <v>33</v>
      </c>
      <c r="J3493" s="2" t="s">
        <v>34</v>
      </c>
      <c r="K3493" s="2" t="s">
        <v>18692</v>
      </c>
      <c r="L3493" s="2" t="s">
        <v>18693</v>
      </c>
      <c r="M3493" s="2" t="s">
        <v>4544</v>
      </c>
      <c r="N3493" s="2" t="s">
        <v>38</v>
      </c>
      <c r="O3493" s="2" t="s">
        <v>206</v>
      </c>
      <c r="P3493" s="2" t="s">
        <v>10834</v>
      </c>
      <c r="Q3493" s="2" t="s">
        <v>3380</v>
      </c>
      <c r="R3493" s="2" t="s">
        <v>40</v>
      </c>
      <c r="S3493" s="2" t="s">
        <v>20039</v>
      </c>
      <c r="T3493" s="2" t="s">
        <v>16297</v>
      </c>
      <c r="U3493" s="2" t="s">
        <v>20040</v>
      </c>
      <c r="V3493" s="2" t="s">
        <v>20041</v>
      </c>
      <c r="W3493" s="1"/>
      <c r="X3493" s="2" t="s">
        <v>2198</v>
      </c>
      <c r="Y3493" s="2" t="s">
        <v>19915</v>
      </c>
      <c r="AA3493" t="str">
        <f t="shared" si="324"/>
        <v>2025-04</v>
      </c>
      <c r="AB3493" t="str">
        <f t="shared" si="325"/>
        <v>H1_2025</v>
      </c>
      <c r="AC3493">
        <f t="shared" si="326"/>
        <v>92612</v>
      </c>
      <c r="AD3493">
        <f t="shared" si="327"/>
        <v>500</v>
      </c>
      <c r="AE3493">
        <f t="shared" si="328"/>
        <v>17612</v>
      </c>
      <c r="AF3493" t="str">
        <f t="shared" si="329"/>
        <v>Paid</v>
      </c>
    </row>
    <row r="3494" spans="1:32" ht="27.75" thickBot="1" x14ac:dyDescent="0.35">
      <c r="A3494" s="2" t="s">
        <v>20042</v>
      </c>
      <c r="B3494" s="2" t="s">
        <v>27</v>
      </c>
      <c r="C3494" s="2" t="s">
        <v>28</v>
      </c>
      <c r="D3494" s="2" t="s">
        <v>97</v>
      </c>
      <c r="E3494" s="2" t="s">
        <v>19910</v>
      </c>
      <c r="F3494" s="2" t="s">
        <v>31</v>
      </c>
      <c r="G3494" s="2" t="s">
        <v>32</v>
      </c>
      <c r="H3494" s="1"/>
      <c r="I3494" s="2" t="s">
        <v>33</v>
      </c>
      <c r="J3494" s="2" t="s">
        <v>34</v>
      </c>
      <c r="K3494" s="2" t="s">
        <v>20043</v>
      </c>
      <c r="L3494" s="2" t="s">
        <v>20044</v>
      </c>
      <c r="M3494" s="2" t="s">
        <v>4544</v>
      </c>
      <c r="N3494" s="2" t="s">
        <v>38</v>
      </c>
      <c r="O3494" s="2" t="s">
        <v>10815</v>
      </c>
      <c r="P3494" s="2" t="s">
        <v>10834</v>
      </c>
      <c r="Q3494" s="2" t="s">
        <v>10843</v>
      </c>
      <c r="R3494" s="2" t="s">
        <v>40</v>
      </c>
      <c r="S3494" s="2" t="s">
        <v>19979</v>
      </c>
      <c r="T3494" s="2" t="s">
        <v>12344</v>
      </c>
      <c r="U3494" s="2" t="s">
        <v>20045</v>
      </c>
      <c r="V3494" s="2" t="s">
        <v>20046</v>
      </c>
      <c r="W3494" s="1"/>
      <c r="X3494" s="2" t="s">
        <v>20047</v>
      </c>
      <c r="Y3494" s="2" t="s">
        <v>19915</v>
      </c>
      <c r="AA3494" t="str">
        <f t="shared" si="324"/>
        <v>2025-04</v>
      </c>
      <c r="AB3494" t="str">
        <f t="shared" si="325"/>
        <v>H1_2025</v>
      </c>
      <c r="AC3494">
        <f t="shared" si="326"/>
        <v>1852240</v>
      </c>
      <c r="AD3494">
        <f t="shared" si="327"/>
        <v>10000</v>
      </c>
      <c r="AE3494">
        <f t="shared" si="328"/>
        <v>-647760</v>
      </c>
      <c r="AF3494" t="str">
        <f t="shared" si="329"/>
        <v>Paid</v>
      </c>
    </row>
    <row r="3495" spans="1:32" ht="17.25" thickBot="1" x14ac:dyDescent="0.35">
      <c r="A3495" s="2" t="s">
        <v>20048</v>
      </c>
      <c r="B3495" s="2" t="s">
        <v>27</v>
      </c>
      <c r="C3495" s="2" t="s">
        <v>28</v>
      </c>
      <c r="D3495" s="2" t="s">
        <v>97</v>
      </c>
      <c r="E3495" s="2" t="s">
        <v>20049</v>
      </c>
      <c r="F3495" s="2" t="s">
        <v>31</v>
      </c>
      <c r="G3495" s="2" t="s">
        <v>32</v>
      </c>
      <c r="H3495" s="1"/>
      <c r="I3495" s="2" t="s">
        <v>33</v>
      </c>
      <c r="J3495" s="2" t="s">
        <v>34</v>
      </c>
      <c r="K3495" s="2" t="s">
        <v>20050</v>
      </c>
      <c r="L3495" s="2" t="s">
        <v>20051</v>
      </c>
      <c r="M3495" s="2" t="s">
        <v>16013</v>
      </c>
      <c r="N3495" s="2" t="s">
        <v>38</v>
      </c>
      <c r="O3495" s="2" t="s">
        <v>76</v>
      </c>
      <c r="P3495" s="2" t="s">
        <v>40</v>
      </c>
      <c r="Q3495" s="2" t="s">
        <v>40</v>
      </c>
      <c r="R3495" s="2" t="s">
        <v>40</v>
      </c>
      <c r="S3495" s="2" t="s">
        <v>40</v>
      </c>
      <c r="T3495" s="2" t="s">
        <v>40</v>
      </c>
      <c r="U3495" s="2" t="s">
        <v>40</v>
      </c>
      <c r="V3495" s="2" t="s">
        <v>40</v>
      </c>
      <c r="W3495" s="2" t="s">
        <v>41</v>
      </c>
      <c r="X3495" s="2" t="s">
        <v>42</v>
      </c>
      <c r="Y3495" s="2" t="s">
        <v>20052</v>
      </c>
      <c r="AA3495" t="str">
        <f t="shared" si="324"/>
        <v>2025-04</v>
      </c>
      <c r="AB3495" t="str">
        <f t="shared" si="325"/>
        <v>H1_2025</v>
      </c>
      <c r="AC3495">
        <f t="shared" si="326"/>
        <v>0</v>
      </c>
      <c r="AD3495">
        <f t="shared" si="327"/>
        <v>9</v>
      </c>
      <c r="AE3495">
        <f t="shared" si="328"/>
        <v>0</v>
      </c>
      <c r="AF3495" t="str">
        <f t="shared" si="329"/>
        <v>Sample</v>
      </c>
    </row>
    <row r="3496" spans="1:32" ht="17.25" thickBot="1" x14ac:dyDescent="0.35">
      <c r="A3496" s="2" t="s">
        <v>20053</v>
      </c>
      <c r="B3496" s="2" t="s">
        <v>27</v>
      </c>
      <c r="C3496" s="2" t="s">
        <v>28</v>
      </c>
      <c r="D3496" s="2" t="s">
        <v>97</v>
      </c>
      <c r="E3496" s="2" t="s">
        <v>20049</v>
      </c>
      <c r="F3496" s="2" t="s">
        <v>31</v>
      </c>
      <c r="G3496" s="2" t="s">
        <v>32</v>
      </c>
      <c r="H3496" s="1"/>
      <c r="I3496" s="2" t="s">
        <v>33</v>
      </c>
      <c r="J3496" s="2" t="s">
        <v>34</v>
      </c>
      <c r="K3496" s="2" t="s">
        <v>3885</v>
      </c>
      <c r="L3496" s="2" t="s">
        <v>3886</v>
      </c>
      <c r="M3496" s="2" t="s">
        <v>701</v>
      </c>
      <c r="N3496" s="2" t="s">
        <v>38</v>
      </c>
      <c r="O3496" s="2" t="s">
        <v>1056</v>
      </c>
      <c r="P3496" s="2" t="s">
        <v>12783</v>
      </c>
      <c r="Q3496" s="2" t="s">
        <v>20054</v>
      </c>
      <c r="R3496" s="2" t="s">
        <v>40</v>
      </c>
      <c r="S3496" s="2" t="s">
        <v>20055</v>
      </c>
      <c r="T3496" s="2" t="s">
        <v>20056</v>
      </c>
      <c r="U3496" s="2" t="s">
        <v>20057</v>
      </c>
      <c r="V3496" s="2" t="s">
        <v>20058</v>
      </c>
      <c r="W3496" s="1"/>
      <c r="X3496" s="2" t="s">
        <v>19949</v>
      </c>
      <c r="Y3496" s="2" t="s">
        <v>20052</v>
      </c>
      <c r="AA3496" t="str">
        <f t="shared" si="324"/>
        <v>2025-04</v>
      </c>
      <c r="AB3496" t="str">
        <f t="shared" si="325"/>
        <v>H1_2025</v>
      </c>
      <c r="AC3496">
        <f t="shared" si="326"/>
        <v>8801844.4800000004</v>
      </c>
      <c r="AD3496">
        <f t="shared" si="327"/>
        <v>880</v>
      </c>
      <c r="AE3496">
        <f t="shared" si="328"/>
        <v>8575044.4800000004</v>
      </c>
      <c r="AF3496" t="str">
        <f t="shared" si="329"/>
        <v>Paid</v>
      </c>
    </row>
    <row r="3497" spans="1:32" ht="17.25" thickBot="1" x14ac:dyDescent="0.35">
      <c r="A3497" s="2" t="s">
        <v>20059</v>
      </c>
      <c r="B3497" s="2" t="s">
        <v>27</v>
      </c>
      <c r="C3497" s="2" t="s">
        <v>28</v>
      </c>
      <c r="D3497" s="2" t="s">
        <v>97</v>
      </c>
      <c r="E3497" s="2" t="s">
        <v>20049</v>
      </c>
      <c r="F3497" s="2" t="s">
        <v>31</v>
      </c>
      <c r="G3497" s="2" t="s">
        <v>32</v>
      </c>
      <c r="H3497" s="1"/>
      <c r="I3497" s="2" t="s">
        <v>33</v>
      </c>
      <c r="J3497" s="2" t="s">
        <v>34</v>
      </c>
      <c r="K3497" s="2" t="s">
        <v>3885</v>
      </c>
      <c r="L3497" s="2" t="s">
        <v>3886</v>
      </c>
      <c r="M3497" s="2" t="s">
        <v>701</v>
      </c>
      <c r="N3497" s="2" t="s">
        <v>38</v>
      </c>
      <c r="O3497" s="2" t="s">
        <v>1538</v>
      </c>
      <c r="P3497" s="2" t="s">
        <v>12783</v>
      </c>
      <c r="Q3497" s="2" t="s">
        <v>20060</v>
      </c>
      <c r="R3497" s="2" t="s">
        <v>40</v>
      </c>
      <c r="S3497" s="2" t="s">
        <v>20061</v>
      </c>
      <c r="T3497" s="2" t="s">
        <v>706</v>
      </c>
      <c r="U3497" s="2" t="s">
        <v>20062</v>
      </c>
      <c r="V3497" s="2" t="s">
        <v>20063</v>
      </c>
      <c r="W3497" s="1"/>
      <c r="X3497" s="2" t="s">
        <v>709</v>
      </c>
      <c r="Y3497" s="2" t="s">
        <v>20052</v>
      </c>
      <c r="AA3497" t="str">
        <f t="shared" si="324"/>
        <v>2025-04</v>
      </c>
      <c r="AB3497" t="str">
        <f t="shared" si="325"/>
        <v>H1_2025</v>
      </c>
      <c r="AC3497">
        <f t="shared" si="326"/>
        <v>4400922.24</v>
      </c>
      <c r="AD3497">
        <f t="shared" si="327"/>
        <v>440</v>
      </c>
      <c r="AE3497">
        <f t="shared" si="328"/>
        <v>704922.24</v>
      </c>
      <c r="AF3497" t="str">
        <f t="shared" si="329"/>
        <v>Paid</v>
      </c>
    </row>
    <row r="3498" spans="1:32" ht="17.25" thickBot="1" x14ac:dyDescent="0.35">
      <c r="A3498" s="2" t="s">
        <v>20064</v>
      </c>
      <c r="B3498" s="2" t="s">
        <v>27</v>
      </c>
      <c r="C3498" s="2" t="s">
        <v>28</v>
      </c>
      <c r="D3498" s="2" t="s">
        <v>97</v>
      </c>
      <c r="E3498" s="2" t="s">
        <v>20049</v>
      </c>
      <c r="F3498" s="2" t="s">
        <v>31</v>
      </c>
      <c r="G3498" s="2" t="s">
        <v>32</v>
      </c>
      <c r="H3498" s="1"/>
      <c r="I3498" s="2" t="s">
        <v>33</v>
      </c>
      <c r="J3498" s="2" t="s">
        <v>34</v>
      </c>
      <c r="K3498" s="2" t="s">
        <v>3885</v>
      </c>
      <c r="L3498" s="2" t="s">
        <v>3886</v>
      </c>
      <c r="M3498" s="2" t="s">
        <v>701</v>
      </c>
      <c r="N3498" s="2" t="s">
        <v>38</v>
      </c>
      <c r="O3498" s="2" t="s">
        <v>517</v>
      </c>
      <c r="P3498" s="2" t="s">
        <v>12783</v>
      </c>
      <c r="Q3498" s="2" t="s">
        <v>20065</v>
      </c>
      <c r="R3498" s="2" t="s">
        <v>40</v>
      </c>
      <c r="S3498" s="2" t="s">
        <v>20066</v>
      </c>
      <c r="T3498" s="2" t="s">
        <v>706</v>
      </c>
      <c r="U3498" s="2" t="s">
        <v>2297</v>
      </c>
      <c r="V3498" s="2" t="s">
        <v>20067</v>
      </c>
      <c r="W3498" s="1"/>
      <c r="X3498" s="2" t="s">
        <v>709</v>
      </c>
      <c r="Y3498" s="2" t="s">
        <v>20052</v>
      </c>
      <c r="AA3498" t="str">
        <f t="shared" si="324"/>
        <v>2025-04</v>
      </c>
      <c r="AB3498" t="str">
        <f t="shared" si="325"/>
        <v>H1_2025</v>
      </c>
      <c r="AC3498">
        <f t="shared" si="326"/>
        <v>1200251.52</v>
      </c>
      <c r="AD3498">
        <f t="shared" si="327"/>
        <v>120</v>
      </c>
      <c r="AE3498">
        <f t="shared" si="328"/>
        <v>192251.51999999999</v>
      </c>
      <c r="AF3498" t="str">
        <f t="shared" si="329"/>
        <v>Paid</v>
      </c>
    </row>
    <row r="3499" spans="1:32" ht="17.25" thickBot="1" x14ac:dyDescent="0.35">
      <c r="A3499" s="2" t="s">
        <v>20068</v>
      </c>
      <c r="B3499" s="2" t="s">
        <v>27</v>
      </c>
      <c r="C3499" s="2" t="s">
        <v>28</v>
      </c>
      <c r="D3499" s="2" t="s">
        <v>97</v>
      </c>
      <c r="E3499" s="2" t="s">
        <v>20049</v>
      </c>
      <c r="F3499" s="2" t="s">
        <v>31</v>
      </c>
      <c r="G3499" s="2" t="s">
        <v>32</v>
      </c>
      <c r="H3499" s="1"/>
      <c r="I3499" s="2" t="s">
        <v>33</v>
      </c>
      <c r="J3499" s="2" t="s">
        <v>34</v>
      </c>
      <c r="K3499" s="2" t="s">
        <v>15560</v>
      </c>
      <c r="L3499" s="2" t="s">
        <v>15561</v>
      </c>
      <c r="M3499" s="2" t="s">
        <v>701</v>
      </c>
      <c r="N3499" s="2" t="s">
        <v>38</v>
      </c>
      <c r="O3499" s="2" t="s">
        <v>177</v>
      </c>
      <c r="P3499" s="2" t="s">
        <v>20069</v>
      </c>
      <c r="Q3499" s="2" t="s">
        <v>20070</v>
      </c>
      <c r="R3499" s="2" t="s">
        <v>40</v>
      </c>
      <c r="S3499" s="2" t="s">
        <v>20071</v>
      </c>
      <c r="T3499" s="2" t="s">
        <v>12240</v>
      </c>
      <c r="U3499" s="2" t="s">
        <v>6541</v>
      </c>
      <c r="V3499" s="2" t="s">
        <v>20072</v>
      </c>
      <c r="W3499" s="1"/>
      <c r="X3499" s="2" t="s">
        <v>709</v>
      </c>
      <c r="Y3499" s="2" t="s">
        <v>20052</v>
      </c>
      <c r="AA3499" t="str">
        <f t="shared" si="324"/>
        <v>2025-04</v>
      </c>
      <c r="AB3499" t="str">
        <f t="shared" si="325"/>
        <v>H1_2025</v>
      </c>
      <c r="AC3499">
        <f t="shared" si="326"/>
        <v>2399363.2000000002</v>
      </c>
      <c r="AD3499">
        <f t="shared" si="327"/>
        <v>400</v>
      </c>
      <c r="AE3499">
        <f t="shared" si="328"/>
        <v>383363.2</v>
      </c>
      <c r="AF3499" t="str">
        <f t="shared" si="329"/>
        <v>Paid</v>
      </c>
    </row>
    <row r="3500" spans="1:32" ht="17.25" thickBot="1" x14ac:dyDescent="0.35">
      <c r="A3500" s="2" t="s">
        <v>20073</v>
      </c>
      <c r="B3500" s="2" t="s">
        <v>27</v>
      </c>
      <c r="C3500" s="2" t="s">
        <v>28</v>
      </c>
      <c r="D3500" s="2" t="s">
        <v>97</v>
      </c>
      <c r="E3500" s="2" t="s">
        <v>20049</v>
      </c>
      <c r="F3500" s="2" t="s">
        <v>31</v>
      </c>
      <c r="G3500" s="2" t="s">
        <v>32</v>
      </c>
      <c r="H3500" s="1"/>
      <c r="I3500" s="2" t="s">
        <v>33</v>
      </c>
      <c r="J3500" s="2" t="s">
        <v>34</v>
      </c>
      <c r="K3500" s="2" t="s">
        <v>3895</v>
      </c>
      <c r="L3500" s="2" t="s">
        <v>3896</v>
      </c>
      <c r="M3500" s="2" t="s">
        <v>701</v>
      </c>
      <c r="N3500" s="2" t="s">
        <v>38</v>
      </c>
      <c r="O3500" s="2" t="s">
        <v>8339</v>
      </c>
      <c r="P3500" s="2" t="s">
        <v>1105</v>
      </c>
      <c r="Q3500" s="2" t="s">
        <v>20074</v>
      </c>
      <c r="R3500" s="2" t="s">
        <v>40</v>
      </c>
      <c r="S3500" s="2" t="s">
        <v>20075</v>
      </c>
      <c r="T3500" s="2" t="s">
        <v>1444</v>
      </c>
      <c r="U3500" s="2" t="s">
        <v>20076</v>
      </c>
      <c r="V3500" s="2" t="s">
        <v>20077</v>
      </c>
      <c r="W3500" s="1"/>
      <c r="X3500" s="2" t="s">
        <v>709</v>
      </c>
      <c r="Y3500" s="2" t="s">
        <v>20052</v>
      </c>
      <c r="AA3500" t="str">
        <f t="shared" si="324"/>
        <v>2025-04</v>
      </c>
      <c r="AB3500" t="str">
        <f t="shared" si="325"/>
        <v>H1_2025</v>
      </c>
      <c r="AC3500">
        <f t="shared" si="326"/>
        <v>8576156.1600000001</v>
      </c>
      <c r="AD3500">
        <f t="shared" si="327"/>
        <v>1320</v>
      </c>
      <c r="AE3500">
        <f t="shared" si="328"/>
        <v>1368956.16</v>
      </c>
      <c r="AF3500" t="str">
        <f t="shared" si="329"/>
        <v>Paid</v>
      </c>
    </row>
    <row r="3501" spans="1:32" ht="17.25" thickBot="1" x14ac:dyDescent="0.35">
      <c r="A3501" s="2" t="s">
        <v>20078</v>
      </c>
      <c r="B3501" s="2" t="s">
        <v>27</v>
      </c>
      <c r="C3501" s="2" t="s">
        <v>28</v>
      </c>
      <c r="D3501" s="2" t="s">
        <v>97</v>
      </c>
      <c r="E3501" s="2" t="s">
        <v>20049</v>
      </c>
      <c r="F3501" s="2" t="s">
        <v>31</v>
      </c>
      <c r="G3501" s="2" t="s">
        <v>32</v>
      </c>
      <c r="H3501" s="1"/>
      <c r="I3501" s="2" t="s">
        <v>33</v>
      </c>
      <c r="J3501" s="2" t="s">
        <v>34</v>
      </c>
      <c r="K3501" s="2" t="s">
        <v>10598</v>
      </c>
      <c r="L3501" s="2" t="s">
        <v>10599</v>
      </c>
      <c r="M3501" s="2" t="s">
        <v>701</v>
      </c>
      <c r="N3501" s="2" t="s">
        <v>38</v>
      </c>
      <c r="O3501" s="2" t="s">
        <v>1951</v>
      </c>
      <c r="P3501" s="2" t="s">
        <v>1105</v>
      </c>
      <c r="Q3501" s="2" t="s">
        <v>20079</v>
      </c>
      <c r="R3501" s="2" t="s">
        <v>40</v>
      </c>
      <c r="S3501" s="2" t="s">
        <v>20080</v>
      </c>
      <c r="T3501" s="2" t="s">
        <v>1444</v>
      </c>
      <c r="U3501" s="2" t="s">
        <v>13864</v>
      </c>
      <c r="V3501" s="2" t="s">
        <v>20081</v>
      </c>
      <c r="W3501" s="1"/>
      <c r="X3501" s="2" t="s">
        <v>709</v>
      </c>
      <c r="Y3501" s="2" t="s">
        <v>20052</v>
      </c>
      <c r="AA3501" t="str">
        <f t="shared" si="324"/>
        <v>2025-04</v>
      </c>
      <c r="AB3501" t="str">
        <f t="shared" si="325"/>
        <v>H1_2025</v>
      </c>
      <c r="AC3501">
        <f t="shared" si="326"/>
        <v>3898252.8</v>
      </c>
      <c r="AD3501">
        <f t="shared" si="327"/>
        <v>600</v>
      </c>
      <c r="AE3501">
        <f t="shared" si="328"/>
        <v>622252.80000000005</v>
      </c>
      <c r="AF3501" t="str">
        <f t="shared" si="329"/>
        <v>Paid</v>
      </c>
    </row>
    <row r="3502" spans="1:32" ht="17.25" thickBot="1" x14ac:dyDescent="0.35">
      <c r="A3502" s="2" t="s">
        <v>20082</v>
      </c>
      <c r="B3502" s="2" t="s">
        <v>27</v>
      </c>
      <c r="C3502" s="2" t="s">
        <v>28</v>
      </c>
      <c r="D3502" s="2" t="s">
        <v>97</v>
      </c>
      <c r="E3502" s="2" t="s">
        <v>20049</v>
      </c>
      <c r="F3502" s="2" t="s">
        <v>31</v>
      </c>
      <c r="G3502" s="2" t="s">
        <v>32</v>
      </c>
      <c r="H3502" s="1"/>
      <c r="I3502" s="2" t="s">
        <v>33</v>
      </c>
      <c r="J3502" s="2" t="s">
        <v>34</v>
      </c>
      <c r="K3502" s="2" t="s">
        <v>19785</v>
      </c>
      <c r="L3502" s="2" t="s">
        <v>19786</v>
      </c>
      <c r="M3502" s="2" t="s">
        <v>701</v>
      </c>
      <c r="N3502" s="2" t="s">
        <v>38</v>
      </c>
      <c r="O3502" s="2" t="s">
        <v>131</v>
      </c>
      <c r="P3502" s="2" t="s">
        <v>11029</v>
      </c>
      <c r="Q3502" s="2" t="s">
        <v>20083</v>
      </c>
      <c r="R3502" s="2" t="s">
        <v>40</v>
      </c>
      <c r="S3502" s="2" t="s">
        <v>20084</v>
      </c>
      <c r="T3502" s="2" t="s">
        <v>287</v>
      </c>
      <c r="U3502" s="2" t="s">
        <v>5210</v>
      </c>
      <c r="V3502" s="2" t="s">
        <v>20085</v>
      </c>
      <c r="W3502" s="1"/>
      <c r="X3502" s="2" t="s">
        <v>1513</v>
      </c>
      <c r="Y3502" s="2" t="s">
        <v>20052</v>
      </c>
      <c r="AA3502" t="str">
        <f t="shared" si="324"/>
        <v>2025-04</v>
      </c>
      <c r="AB3502" t="str">
        <f t="shared" si="325"/>
        <v>H1_2025</v>
      </c>
      <c r="AC3502">
        <f t="shared" si="326"/>
        <v>409772.48</v>
      </c>
      <c r="AD3502">
        <f t="shared" si="327"/>
        <v>40</v>
      </c>
      <c r="AE3502">
        <f t="shared" si="328"/>
        <v>129772.48</v>
      </c>
      <c r="AF3502" t="str">
        <f t="shared" si="329"/>
        <v>Paid</v>
      </c>
    </row>
    <row r="3503" spans="1:32" ht="17.25" thickBot="1" x14ac:dyDescent="0.35">
      <c r="A3503" s="2" t="s">
        <v>20086</v>
      </c>
      <c r="B3503" s="2" t="s">
        <v>27</v>
      </c>
      <c r="C3503" s="2" t="s">
        <v>28</v>
      </c>
      <c r="D3503" s="2" t="s">
        <v>97</v>
      </c>
      <c r="E3503" s="2" t="s">
        <v>20049</v>
      </c>
      <c r="F3503" s="2" t="s">
        <v>31</v>
      </c>
      <c r="G3503" s="2" t="s">
        <v>32</v>
      </c>
      <c r="H3503" s="1"/>
      <c r="I3503" s="2" t="s">
        <v>33</v>
      </c>
      <c r="J3503" s="2" t="s">
        <v>34</v>
      </c>
      <c r="K3503" s="2" t="s">
        <v>3922</v>
      </c>
      <c r="L3503" s="2" t="s">
        <v>3923</v>
      </c>
      <c r="M3503" s="2" t="s">
        <v>701</v>
      </c>
      <c r="N3503" s="2" t="s">
        <v>38</v>
      </c>
      <c r="O3503" s="2" t="s">
        <v>4038</v>
      </c>
      <c r="P3503" s="2" t="s">
        <v>861</v>
      </c>
      <c r="Q3503" s="2" t="s">
        <v>19067</v>
      </c>
      <c r="R3503" s="2" t="s">
        <v>40</v>
      </c>
      <c r="S3503" s="2" t="s">
        <v>20087</v>
      </c>
      <c r="T3503" s="2" t="s">
        <v>759</v>
      </c>
      <c r="U3503" s="2" t="s">
        <v>707</v>
      </c>
      <c r="V3503" s="2" t="s">
        <v>20088</v>
      </c>
      <c r="W3503" s="1"/>
      <c r="X3503" s="2" t="s">
        <v>709</v>
      </c>
      <c r="Y3503" s="2" t="s">
        <v>20052</v>
      </c>
      <c r="AA3503" t="str">
        <f t="shared" si="324"/>
        <v>2025-04</v>
      </c>
      <c r="AB3503" t="str">
        <f t="shared" si="325"/>
        <v>H1_2025</v>
      </c>
      <c r="AC3503">
        <f t="shared" si="326"/>
        <v>13507104</v>
      </c>
      <c r="AD3503">
        <f t="shared" si="327"/>
        <v>1500</v>
      </c>
      <c r="AE3503">
        <f t="shared" si="328"/>
        <v>2167104</v>
      </c>
      <c r="AF3503" t="str">
        <f t="shared" si="329"/>
        <v>Paid</v>
      </c>
    </row>
    <row r="3504" spans="1:32" ht="17.25" thickBot="1" x14ac:dyDescent="0.35">
      <c r="A3504" s="2" t="s">
        <v>20089</v>
      </c>
      <c r="B3504" s="2" t="s">
        <v>27</v>
      </c>
      <c r="C3504" s="2" t="s">
        <v>28</v>
      </c>
      <c r="D3504" s="2" t="s">
        <v>97</v>
      </c>
      <c r="E3504" s="2" t="s">
        <v>20049</v>
      </c>
      <c r="F3504" s="2" t="s">
        <v>31</v>
      </c>
      <c r="G3504" s="2" t="s">
        <v>32</v>
      </c>
      <c r="H3504" s="1"/>
      <c r="I3504" s="2" t="s">
        <v>33</v>
      </c>
      <c r="J3504" s="2" t="s">
        <v>34</v>
      </c>
      <c r="K3504" s="2" t="s">
        <v>711</v>
      </c>
      <c r="L3504" s="2" t="s">
        <v>712</v>
      </c>
      <c r="M3504" s="2" t="s">
        <v>701</v>
      </c>
      <c r="N3504" s="2" t="s">
        <v>38</v>
      </c>
      <c r="O3504" s="2" t="s">
        <v>8269</v>
      </c>
      <c r="P3504" s="2" t="s">
        <v>5345</v>
      </c>
      <c r="Q3504" s="2" t="s">
        <v>20090</v>
      </c>
      <c r="R3504" s="2" t="s">
        <v>40</v>
      </c>
      <c r="S3504" s="2" t="s">
        <v>20091</v>
      </c>
      <c r="T3504" s="2" t="s">
        <v>716</v>
      </c>
      <c r="U3504" s="2" t="s">
        <v>20092</v>
      </c>
      <c r="V3504" s="2" t="s">
        <v>20093</v>
      </c>
      <c r="W3504" s="1"/>
      <c r="X3504" s="2" t="s">
        <v>709</v>
      </c>
      <c r="Y3504" s="2" t="s">
        <v>20052</v>
      </c>
      <c r="AA3504" t="str">
        <f t="shared" si="324"/>
        <v>2025-04</v>
      </c>
      <c r="AB3504" t="str">
        <f t="shared" si="325"/>
        <v>H1_2025</v>
      </c>
      <c r="AC3504">
        <f t="shared" si="326"/>
        <v>28792358.399999999</v>
      </c>
      <c r="AD3504">
        <f t="shared" si="327"/>
        <v>2400</v>
      </c>
      <c r="AE3504">
        <f t="shared" si="328"/>
        <v>4600358.4000000004</v>
      </c>
      <c r="AF3504" t="str">
        <f t="shared" si="329"/>
        <v>Paid</v>
      </c>
    </row>
    <row r="3505" spans="1:32" ht="17.25" thickBot="1" x14ac:dyDescent="0.35">
      <c r="A3505" s="2" t="s">
        <v>20094</v>
      </c>
      <c r="B3505" s="2" t="s">
        <v>27</v>
      </c>
      <c r="C3505" s="2" t="s">
        <v>28</v>
      </c>
      <c r="D3505" s="2" t="s">
        <v>97</v>
      </c>
      <c r="E3505" s="2" t="s">
        <v>20049</v>
      </c>
      <c r="F3505" s="2" t="s">
        <v>31</v>
      </c>
      <c r="G3505" s="2" t="s">
        <v>32</v>
      </c>
      <c r="H3505" s="1"/>
      <c r="I3505" s="2" t="s">
        <v>33</v>
      </c>
      <c r="J3505" s="2" t="s">
        <v>34</v>
      </c>
      <c r="K3505" s="2" t="s">
        <v>3930</v>
      </c>
      <c r="L3505" s="2" t="s">
        <v>3931</v>
      </c>
      <c r="M3505" s="2" t="s">
        <v>701</v>
      </c>
      <c r="N3505" s="2" t="s">
        <v>38</v>
      </c>
      <c r="O3505" s="2" t="s">
        <v>19255</v>
      </c>
      <c r="P3505" s="2" t="s">
        <v>20095</v>
      </c>
      <c r="Q3505" s="2" t="s">
        <v>20096</v>
      </c>
      <c r="R3505" s="2" t="s">
        <v>40</v>
      </c>
      <c r="S3505" s="2" t="s">
        <v>20097</v>
      </c>
      <c r="T3505" s="2" t="s">
        <v>3936</v>
      </c>
      <c r="U3505" s="2" t="s">
        <v>3927</v>
      </c>
      <c r="V3505" s="2" t="s">
        <v>20098</v>
      </c>
      <c r="W3505" s="1"/>
      <c r="X3505" s="2" t="s">
        <v>709</v>
      </c>
      <c r="Y3505" s="2" t="s">
        <v>20052</v>
      </c>
      <c r="AA3505" t="str">
        <f t="shared" si="324"/>
        <v>2025-04</v>
      </c>
      <c r="AB3505" t="str">
        <f t="shared" si="325"/>
        <v>H1_2025</v>
      </c>
      <c r="AC3505">
        <f t="shared" si="326"/>
        <v>30596155.199999999</v>
      </c>
      <c r="AD3505">
        <f t="shared" si="327"/>
        <v>1800</v>
      </c>
      <c r="AE3505">
        <f t="shared" si="328"/>
        <v>4892155.2</v>
      </c>
      <c r="AF3505" t="str">
        <f t="shared" si="329"/>
        <v>Paid</v>
      </c>
    </row>
    <row r="3506" spans="1:32" ht="17.25" thickBot="1" x14ac:dyDescent="0.35">
      <c r="A3506" s="2" t="s">
        <v>20099</v>
      </c>
      <c r="B3506" s="2" t="s">
        <v>27</v>
      </c>
      <c r="C3506" s="2" t="s">
        <v>28</v>
      </c>
      <c r="D3506" s="2" t="s">
        <v>97</v>
      </c>
      <c r="E3506" s="2" t="s">
        <v>20049</v>
      </c>
      <c r="F3506" s="2" t="s">
        <v>31</v>
      </c>
      <c r="G3506" s="2" t="s">
        <v>32</v>
      </c>
      <c r="H3506" s="1"/>
      <c r="I3506" s="2" t="s">
        <v>33</v>
      </c>
      <c r="J3506" s="2" t="s">
        <v>34</v>
      </c>
      <c r="K3506" s="2" t="s">
        <v>3940</v>
      </c>
      <c r="L3506" s="2" t="s">
        <v>3941</v>
      </c>
      <c r="M3506" s="2" t="s">
        <v>701</v>
      </c>
      <c r="N3506" s="2" t="s">
        <v>38</v>
      </c>
      <c r="O3506" s="2" t="s">
        <v>20100</v>
      </c>
      <c r="P3506" s="2" t="s">
        <v>4750</v>
      </c>
      <c r="Q3506" s="2" t="s">
        <v>20101</v>
      </c>
      <c r="R3506" s="2" t="s">
        <v>40</v>
      </c>
      <c r="S3506" s="2" t="s">
        <v>20102</v>
      </c>
      <c r="T3506" s="2" t="s">
        <v>726</v>
      </c>
      <c r="U3506" s="2" t="s">
        <v>20103</v>
      </c>
      <c r="V3506" s="2" t="s">
        <v>20104</v>
      </c>
      <c r="W3506" s="1"/>
      <c r="X3506" s="2" t="s">
        <v>3903</v>
      </c>
      <c r="Y3506" s="2" t="s">
        <v>20052</v>
      </c>
      <c r="AA3506" t="str">
        <f t="shared" si="324"/>
        <v>2025-04</v>
      </c>
      <c r="AB3506" t="str">
        <f t="shared" si="325"/>
        <v>H1_2025</v>
      </c>
      <c r="AC3506">
        <f t="shared" si="326"/>
        <v>60222876.479999997</v>
      </c>
      <c r="AD3506">
        <f t="shared" si="327"/>
        <v>7080</v>
      </c>
      <c r="AE3506">
        <f t="shared" si="328"/>
        <v>9671676.4800000004</v>
      </c>
      <c r="AF3506" t="str">
        <f t="shared" si="329"/>
        <v>Paid</v>
      </c>
    </row>
    <row r="3507" spans="1:32" ht="17.25" thickBot="1" x14ac:dyDescent="0.35">
      <c r="A3507" s="2" t="s">
        <v>20105</v>
      </c>
      <c r="B3507" s="2" t="s">
        <v>27</v>
      </c>
      <c r="C3507" s="2" t="s">
        <v>28</v>
      </c>
      <c r="D3507" s="2" t="s">
        <v>97</v>
      </c>
      <c r="E3507" s="2" t="s">
        <v>20049</v>
      </c>
      <c r="F3507" s="2" t="s">
        <v>31</v>
      </c>
      <c r="G3507" s="2" t="s">
        <v>32</v>
      </c>
      <c r="H3507" s="1"/>
      <c r="I3507" s="2" t="s">
        <v>33</v>
      </c>
      <c r="J3507" s="2" t="s">
        <v>34</v>
      </c>
      <c r="K3507" s="2" t="s">
        <v>720</v>
      </c>
      <c r="L3507" s="2" t="s">
        <v>721</v>
      </c>
      <c r="M3507" s="2" t="s">
        <v>701</v>
      </c>
      <c r="N3507" s="2" t="s">
        <v>38</v>
      </c>
      <c r="O3507" s="2" t="s">
        <v>831</v>
      </c>
      <c r="P3507" s="2" t="s">
        <v>4750</v>
      </c>
      <c r="Q3507" s="2" t="s">
        <v>20106</v>
      </c>
      <c r="R3507" s="2" t="s">
        <v>40</v>
      </c>
      <c r="S3507" s="2" t="s">
        <v>20107</v>
      </c>
      <c r="T3507" s="2" t="s">
        <v>726</v>
      </c>
      <c r="U3507" s="2" t="s">
        <v>19232</v>
      </c>
      <c r="V3507" s="2" t="s">
        <v>20108</v>
      </c>
      <c r="W3507" s="1"/>
      <c r="X3507" s="2" t="s">
        <v>3903</v>
      </c>
      <c r="Y3507" s="2" t="s">
        <v>20052</v>
      </c>
      <c r="AA3507" t="str">
        <f t="shared" si="324"/>
        <v>2025-04</v>
      </c>
      <c r="AB3507" t="str">
        <f t="shared" si="325"/>
        <v>H1_2025</v>
      </c>
      <c r="AC3507">
        <f t="shared" si="326"/>
        <v>8506056</v>
      </c>
      <c r="AD3507">
        <f t="shared" si="327"/>
        <v>1000</v>
      </c>
      <c r="AE3507">
        <f t="shared" si="328"/>
        <v>1366056</v>
      </c>
      <c r="AF3507" t="str">
        <f t="shared" si="329"/>
        <v>Paid</v>
      </c>
    </row>
    <row r="3508" spans="1:32" ht="17.25" thickBot="1" x14ac:dyDescent="0.35">
      <c r="A3508" s="2" t="s">
        <v>20109</v>
      </c>
      <c r="B3508" s="2" t="s">
        <v>27</v>
      </c>
      <c r="C3508" s="2" t="s">
        <v>28</v>
      </c>
      <c r="D3508" s="2" t="s">
        <v>97</v>
      </c>
      <c r="E3508" s="2" t="s">
        <v>20049</v>
      </c>
      <c r="F3508" s="2" t="s">
        <v>31</v>
      </c>
      <c r="G3508" s="2" t="s">
        <v>32</v>
      </c>
      <c r="H3508" s="1"/>
      <c r="I3508" s="2" t="s">
        <v>33</v>
      </c>
      <c r="J3508" s="2" t="s">
        <v>34</v>
      </c>
      <c r="K3508" s="2" t="s">
        <v>15485</v>
      </c>
      <c r="L3508" s="2" t="s">
        <v>15486</v>
      </c>
      <c r="M3508" s="2" t="s">
        <v>701</v>
      </c>
      <c r="N3508" s="2" t="s">
        <v>38</v>
      </c>
      <c r="O3508" s="2" t="s">
        <v>3068</v>
      </c>
      <c r="P3508" s="2" t="s">
        <v>4750</v>
      </c>
      <c r="Q3508" s="2" t="s">
        <v>20110</v>
      </c>
      <c r="R3508" s="2" t="s">
        <v>40</v>
      </c>
      <c r="S3508" s="2" t="s">
        <v>20111</v>
      </c>
      <c r="T3508" s="2" t="s">
        <v>726</v>
      </c>
      <c r="U3508" s="2" t="s">
        <v>8388</v>
      </c>
      <c r="V3508" s="2" t="s">
        <v>20112</v>
      </c>
      <c r="W3508" s="1"/>
      <c r="X3508" s="2" t="s">
        <v>3903</v>
      </c>
      <c r="Y3508" s="2" t="s">
        <v>20052</v>
      </c>
      <c r="AA3508" t="str">
        <f t="shared" si="324"/>
        <v>2025-04</v>
      </c>
      <c r="AB3508" t="str">
        <f t="shared" si="325"/>
        <v>H1_2025</v>
      </c>
      <c r="AC3508">
        <f t="shared" si="326"/>
        <v>5954239.2000000002</v>
      </c>
      <c r="AD3508">
        <f t="shared" si="327"/>
        <v>700</v>
      </c>
      <c r="AE3508">
        <f t="shared" si="328"/>
        <v>956239.2</v>
      </c>
      <c r="AF3508" t="str">
        <f t="shared" si="329"/>
        <v>Paid</v>
      </c>
    </row>
    <row r="3509" spans="1:32" ht="17.25" thickBot="1" x14ac:dyDescent="0.35">
      <c r="A3509" s="2" t="s">
        <v>20113</v>
      </c>
      <c r="B3509" s="2" t="s">
        <v>27</v>
      </c>
      <c r="C3509" s="2" t="s">
        <v>28</v>
      </c>
      <c r="D3509" s="2" t="s">
        <v>97</v>
      </c>
      <c r="E3509" s="2" t="s">
        <v>20049</v>
      </c>
      <c r="F3509" s="2" t="s">
        <v>31</v>
      </c>
      <c r="G3509" s="2" t="s">
        <v>32</v>
      </c>
      <c r="H3509" s="1"/>
      <c r="I3509" s="2" t="s">
        <v>33</v>
      </c>
      <c r="J3509" s="2" t="s">
        <v>34</v>
      </c>
      <c r="K3509" s="2" t="s">
        <v>3970</v>
      </c>
      <c r="L3509" s="2" t="s">
        <v>3971</v>
      </c>
      <c r="M3509" s="2" t="s">
        <v>701</v>
      </c>
      <c r="N3509" s="2" t="s">
        <v>38</v>
      </c>
      <c r="O3509" s="2" t="s">
        <v>12511</v>
      </c>
      <c r="P3509" s="2" t="s">
        <v>861</v>
      </c>
      <c r="Q3509" s="2" t="s">
        <v>20114</v>
      </c>
      <c r="R3509" s="2" t="s">
        <v>40</v>
      </c>
      <c r="S3509" s="2" t="s">
        <v>20115</v>
      </c>
      <c r="T3509" s="2" t="s">
        <v>20116</v>
      </c>
      <c r="U3509" s="2" t="s">
        <v>20117</v>
      </c>
      <c r="V3509" s="2" t="s">
        <v>20118</v>
      </c>
      <c r="W3509" s="1"/>
      <c r="X3509" s="2" t="s">
        <v>16672</v>
      </c>
      <c r="Y3509" s="2" t="s">
        <v>20052</v>
      </c>
      <c r="AA3509" t="str">
        <f t="shared" si="324"/>
        <v>2025-04</v>
      </c>
      <c r="AB3509" t="str">
        <f t="shared" si="325"/>
        <v>H1_2025</v>
      </c>
      <c r="AC3509">
        <f t="shared" si="326"/>
        <v>15848335.359999999</v>
      </c>
      <c r="AD3509">
        <f t="shared" si="327"/>
        <v>1760</v>
      </c>
      <c r="AE3509">
        <f t="shared" si="328"/>
        <v>6133735.3600000003</v>
      </c>
      <c r="AF3509" t="str">
        <f t="shared" si="329"/>
        <v>Paid</v>
      </c>
    </row>
    <row r="3510" spans="1:32" ht="17.25" thickBot="1" x14ac:dyDescent="0.35">
      <c r="A3510" s="2" t="s">
        <v>20119</v>
      </c>
      <c r="B3510" s="2" t="s">
        <v>27</v>
      </c>
      <c r="C3510" s="2" t="s">
        <v>28</v>
      </c>
      <c r="D3510" s="2" t="s">
        <v>97</v>
      </c>
      <c r="E3510" s="2" t="s">
        <v>20049</v>
      </c>
      <c r="F3510" s="2" t="s">
        <v>31</v>
      </c>
      <c r="G3510" s="2" t="s">
        <v>32</v>
      </c>
      <c r="H3510" s="1"/>
      <c r="I3510" s="2" t="s">
        <v>33</v>
      </c>
      <c r="J3510" s="2" t="s">
        <v>34</v>
      </c>
      <c r="K3510" s="2" t="s">
        <v>754</v>
      </c>
      <c r="L3510" s="2" t="s">
        <v>755</v>
      </c>
      <c r="M3510" s="2" t="s">
        <v>701</v>
      </c>
      <c r="N3510" s="2" t="s">
        <v>38</v>
      </c>
      <c r="O3510" s="2" t="s">
        <v>2642</v>
      </c>
      <c r="P3510" s="2" t="s">
        <v>861</v>
      </c>
      <c r="Q3510" s="2" t="s">
        <v>12721</v>
      </c>
      <c r="R3510" s="2" t="s">
        <v>40</v>
      </c>
      <c r="S3510" s="2" t="s">
        <v>20120</v>
      </c>
      <c r="T3510" s="2" t="s">
        <v>759</v>
      </c>
      <c r="U3510" s="2" t="s">
        <v>12723</v>
      </c>
      <c r="V3510" s="2" t="s">
        <v>20121</v>
      </c>
      <c r="W3510" s="1"/>
      <c r="X3510" s="2" t="s">
        <v>709</v>
      </c>
      <c r="Y3510" s="2" t="s">
        <v>20052</v>
      </c>
      <c r="AA3510" t="str">
        <f t="shared" si="324"/>
        <v>2025-04</v>
      </c>
      <c r="AB3510" t="str">
        <f t="shared" si="325"/>
        <v>H1_2025</v>
      </c>
      <c r="AC3510">
        <f t="shared" si="326"/>
        <v>5042652.16</v>
      </c>
      <c r="AD3510">
        <f t="shared" si="327"/>
        <v>560</v>
      </c>
      <c r="AE3510">
        <f t="shared" si="328"/>
        <v>809052.16000000003</v>
      </c>
      <c r="AF3510" t="str">
        <f t="shared" si="329"/>
        <v>Paid</v>
      </c>
    </row>
    <row r="3511" spans="1:32" ht="17.25" thickBot="1" x14ac:dyDescent="0.35">
      <c r="A3511" s="2" t="s">
        <v>20122</v>
      </c>
      <c r="B3511" s="2" t="s">
        <v>27</v>
      </c>
      <c r="C3511" s="2" t="s">
        <v>28</v>
      </c>
      <c r="D3511" s="2" t="s">
        <v>97</v>
      </c>
      <c r="E3511" s="2" t="s">
        <v>20049</v>
      </c>
      <c r="F3511" s="2" t="s">
        <v>31</v>
      </c>
      <c r="G3511" s="2" t="s">
        <v>32</v>
      </c>
      <c r="H3511" s="1"/>
      <c r="I3511" s="2" t="s">
        <v>33</v>
      </c>
      <c r="J3511" s="2" t="s">
        <v>34</v>
      </c>
      <c r="K3511" s="2" t="s">
        <v>4606</v>
      </c>
      <c r="L3511" s="2" t="s">
        <v>4607</v>
      </c>
      <c r="M3511" s="2" t="s">
        <v>701</v>
      </c>
      <c r="N3511" s="2" t="s">
        <v>38</v>
      </c>
      <c r="O3511" s="2" t="s">
        <v>167</v>
      </c>
      <c r="P3511" s="2" t="s">
        <v>861</v>
      </c>
      <c r="Q3511" s="2" t="s">
        <v>20123</v>
      </c>
      <c r="R3511" s="2" t="s">
        <v>40</v>
      </c>
      <c r="S3511" s="2" t="s">
        <v>20124</v>
      </c>
      <c r="T3511" s="2" t="s">
        <v>759</v>
      </c>
      <c r="U3511" s="2" t="s">
        <v>19274</v>
      </c>
      <c r="V3511" s="2" t="s">
        <v>20125</v>
      </c>
      <c r="W3511" s="1"/>
      <c r="X3511" s="2" t="s">
        <v>709</v>
      </c>
      <c r="Y3511" s="2" t="s">
        <v>20052</v>
      </c>
      <c r="AA3511" t="str">
        <f t="shared" si="324"/>
        <v>2025-04</v>
      </c>
      <c r="AB3511" t="str">
        <f t="shared" si="325"/>
        <v>H1_2025</v>
      </c>
      <c r="AC3511">
        <f t="shared" si="326"/>
        <v>7203788.7999999998</v>
      </c>
      <c r="AD3511">
        <f t="shared" si="327"/>
        <v>800</v>
      </c>
      <c r="AE3511">
        <f t="shared" si="328"/>
        <v>1155788.8</v>
      </c>
      <c r="AF3511" t="str">
        <f t="shared" si="329"/>
        <v>Paid</v>
      </c>
    </row>
    <row r="3512" spans="1:32" ht="17.25" thickBot="1" x14ac:dyDescent="0.35">
      <c r="A3512" s="2" t="s">
        <v>20126</v>
      </c>
      <c r="B3512" s="2" t="s">
        <v>27</v>
      </c>
      <c r="C3512" s="2" t="s">
        <v>28</v>
      </c>
      <c r="D3512" s="2" t="s">
        <v>97</v>
      </c>
      <c r="E3512" s="2" t="s">
        <v>20049</v>
      </c>
      <c r="F3512" s="2" t="s">
        <v>31</v>
      </c>
      <c r="G3512" s="2" t="s">
        <v>32</v>
      </c>
      <c r="H3512" s="1"/>
      <c r="I3512" s="2" t="s">
        <v>33</v>
      </c>
      <c r="J3512" s="2" t="s">
        <v>34</v>
      </c>
      <c r="K3512" s="2" t="s">
        <v>1642</v>
      </c>
      <c r="L3512" s="2" t="s">
        <v>1643</v>
      </c>
      <c r="M3512" s="2" t="s">
        <v>701</v>
      </c>
      <c r="N3512" s="2" t="s">
        <v>38</v>
      </c>
      <c r="O3512" s="2" t="s">
        <v>20127</v>
      </c>
      <c r="P3512" s="2" t="s">
        <v>861</v>
      </c>
      <c r="Q3512" s="2" t="s">
        <v>20128</v>
      </c>
      <c r="R3512" s="2" t="s">
        <v>40</v>
      </c>
      <c r="S3512" s="2" t="s">
        <v>20129</v>
      </c>
      <c r="T3512" s="2" t="s">
        <v>759</v>
      </c>
      <c r="U3512" s="2" t="s">
        <v>20130</v>
      </c>
      <c r="V3512" s="2" t="s">
        <v>20131</v>
      </c>
      <c r="W3512" s="1"/>
      <c r="X3512" s="2" t="s">
        <v>709</v>
      </c>
      <c r="Y3512" s="2" t="s">
        <v>20052</v>
      </c>
      <c r="AA3512" t="str">
        <f t="shared" si="324"/>
        <v>2025-04</v>
      </c>
      <c r="AB3512" t="str">
        <f t="shared" si="325"/>
        <v>H1_2025</v>
      </c>
      <c r="AC3512">
        <f t="shared" si="326"/>
        <v>117781946.88</v>
      </c>
      <c r="AD3512">
        <f t="shared" si="327"/>
        <v>13080</v>
      </c>
      <c r="AE3512">
        <f t="shared" si="328"/>
        <v>18897146.879999999</v>
      </c>
      <c r="AF3512" t="str">
        <f t="shared" si="329"/>
        <v>Paid</v>
      </c>
    </row>
    <row r="3513" spans="1:32" ht="17.25" thickBot="1" x14ac:dyDescent="0.35">
      <c r="A3513" s="2" t="s">
        <v>20132</v>
      </c>
      <c r="B3513" s="2" t="s">
        <v>27</v>
      </c>
      <c r="C3513" s="2" t="s">
        <v>28</v>
      </c>
      <c r="D3513" s="2" t="s">
        <v>97</v>
      </c>
      <c r="E3513" s="2" t="s">
        <v>20049</v>
      </c>
      <c r="F3513" s="2" t="s">
        <v>31</v>
      </c>
      <c r="G3513" s="2" t="s">
        <v>32</v>
      </c>
      <c r="H3513" s="1"/>
      <c r="I3513" s="2" t="s">
        <v>33</v>
      </c>
      <c r="J3513" s="2" t="s">
        <v>34</v>
      </c>
      <c r="K3513" s="2" t="s">
        <v>808</v>
      </c>
      <c r="L3513" s="2" t="s">
        <v>809</v>
      </c>
      <c r="M3513" s="2" t="s">
        <v>772</v>
      </c>
      <c r="N3513" s="2" t="s">
        <v>38</v>
      </c>
      <c r="O3513" s="2" t="s">
        <v>20133</v>
      </c>
      <c r="P3513" s="2" t="s">
        <v>5669</v>
      </c>
      <c r="Q3513" s="2" t="s">
        <v>20134</v>
      </c>
      <c r="R3513" s="2" t="s">
        <v>40</v>
      </c>
      <c r="S3513" s="2" t="s">
        <v>20135</v>
      </c>
      <c r="T3513" s="2" t="s">
        <v>814</v>
      </c>
      <c r="U3513" s="2" t="s">
        <v>20136</v>
      </c>
      <c r="V3513" s="2" t="s">
        <v>20137</v>
      </c>
      <c r="W3513" s="1"/>
      <c r="X3513" s="2" t="s">
        <v>2797</v>
      </c>
      <c r="Y3513" s="2" t="s">
        <v>20052</v>
      </c>
      <c r="AA3513" t="str">
        <f t="shared" si="324"/>
        <v>2025-04</v>
      </c>
      <c r="AB3513" t="str">
        <f t="shared" si="325"/>
        <v>H1_2025</v>
      </c>
      <c r="AC3513">
        <f t="shared" si="326"/>
        <v>45438581.759999998</v>
      </c>
      <c r="AD3513">
        <f t="shared" si="327"/>
        <v>3520</v>
      </c>
      <c r="AE3513">
        <f t="shared" si="328"/>
        <v>9323381.7599999998</v>
      </c>
      <c r="AF3513" t="str">
        <f t="shared" si="329"/>
        <v>Paid</v>
      </c>
    </row>
    <row r="3514" spans="1:32" ht="17.25" thickBot="1" x14ac:dyDescent="0.35">
      <c r="A3514" s="2" t="s">
        <v>20138</v>
      </c>
      <c r="B3514" s="2" t="s">
        <v>27</v>
      </c>
      <c r="C3514" s="2" t="s">
        <v>28</v>
      </c>
      <c r="D3514" s="2" t="s">
        <v>97</v>
      </c>
      <c r="E3514" s="2" t="s">
        <v>20049</v>
      </c>
      <c r="F3514" s="2" t="s">
        <v>31</v>
      </c>
      <c r="G3514" s="2" t="s">
        <v>32</v>
      </c>
      <c r="H3514" s="1"/>
      <c r="I3514" s="2" t="s">
        <v>33</v>
      </c>
      <c r="J3514" s="2" t="s">
        <v>34</v>
      </c>
      <c r="K3514" s="2" t="s">
        <v>12117</v>
      </c>
      <c r="L3514" s="2" t="s">
        <v>12118</v>
      </c>
      <c r="M3514" s="2" t="s">
        <v>772</v>
      </c>
      <c r="N3514" s="2" t="s">
        <v>38</v>
      </c>
      <c r="O3514" s="2" t="s">
        <v>773</v>
      </c>
      <c r="P3514" s="2" t="s">
        <v>1207</v>
      </c>
      <c r="Q3514" s="2" t="s">
        <v>11725</v>
      </c>
      <c r="R3514" s="2" t="s">
        <v>40</v>
      </c>
      <c r="S3514" s="2" t="s">
        <v>20139</v>
      </c>
      <c r="T3514" s="2" t="s">
        <v>4347</v>
      </c>
      <c r="U3514" s="2" t="s">
        <v>13787</v>
      </c>
      <c r="V3514" s="2" t="s">
        <v>20140</v>
      </c>
      <c r="W3514" s="1"/>
      <c r="X3514" s="2" t="s">
        <v>5636</v>
      </c>
      <c r="Y3514" s="2" t="s">
        <v>20052</v>
      </c>
      <c r="AA3514" t="str">
        <f t="shared" si="324"/>
        <v>2025-04</v>
      </c>
      <c r="AB3514" t="str">
        <f t="shared" si="325"/>
        <v>H1_2025</v>
      </c>
      <c r="AC3514">
        <f t="shared" si="326"/>
        <v>2194192</v>
      </c>
      <c r="AD3514">
        <f t="shared" si="327"/>
        <v>200</v>
      </c>
      <c r="AE3514">
        <f t="shared" si="328"/>
        <v>426192</v>
      </c>
      <c r="AF3514" t="str">
        <f t="shared" si="329"/>
        <v>Paid</v>
      </c>
    </row>
    <row r="3515" spans="1:32" ht="17.25" thickBot="1" x14ac:dyDescent="0.35">
      <c r="A3515" s="2" t="s">
        <v>20141</v>
      </c>
      <c r="B3515" s="2" t="s">
        <v>27</v>
      </c>
      <c r="C3515" s="2" t="s">
        <v>28</v>
      </c>
      <c r="D3515" s="2" t="s">
        <v>97</v>
      </c>
      <c r="E3515" s="2" t="s">
        <v>20049</v>
      </c>
      <c r="F3515" s="2" t="s">
        <v>31</v>
      </c>
      <c r="G3515" s="2" t="s">
        <v>32</v>
      </c>
      <c r="H3515" s="1"/>
      <c r="I3515" s="2" t="s">
        <v>33</v>
      </c>
      <c r="J3515" s="2" t="s">
        <v>34</v>
      </c>
      <c r="K3515" s="2" t="s">
        <v>12129</v>
      </c>
      <c r="L3515" s="2" t="s">
        <v>12130</v>
      </c>
      <c r="M3515" s="2" t="s">
        <v>772</v>
      </c>
      <c r="N3515" s="2" t="s">
        <v>38</v>
      </c>
      <c r="O3515" s="2" t="s">
        <v>877</v>
      </c>
      <c r="P3515" s="2" t="s">
        <v>4776</v>
      </c>
      <c r="Q3515" s="2" t="s">
        <v>20142</v>
      </c>
      <c r="R3515" s="2" t="s">
        <v>40</v>
      </c>
      <c r="S3515" s="2" t="s">
        <v>20143</v>
      </c>
      <c r="T3515" s="2" t="s">
        <v>12132</v>
      </c>
      <c r="U3515" s="2" t="s">
        <v>20144</v>
      </c>
      <c r="V3515" s="2" t="s">
        <v>20145</v>
      </c>
      <c r="W3515" s="1"/>
      <c r="X3515" s="2" t="s">
        <v>3465</v>
      </c>
      <c r="Y3515" s="2" t="s">
        <v>20052</v>
      </c>
      <c r="AA3515" t="str">
        <f t="shared" si="324"/>
        <v>2025-04</v>
      </c>
      <c r="AB3515" t="str">
        <f t="shared" si="325"/>
        <v>H1_2025</v>
      </c>
      <c r="AC3515">
        <f t="shared" si="326"/>
        <v>1518836.8</v>
      </c>
      <c r="AD3515">
        <f t="shared" si="327"/>
        <v>100</v>
      </c>
      <c r="AE3515">
        <f t="shared" si="328"/>
        <v>273836.79999999999</v>
      </c>
      <c r="AF3515" t="str">
        <f t="shared" si="329"/>
        <v>Paid</v>
      </c>
    </row>
    <row r="3516" spans="1:32" ht="17.25" thickBot="1" x14ac:dyDescent="0.35">
      <c r="A3516" s="2" t="s">
        <v>20146</v>
      </c>
      <c r="B3516" s="2" t="s">
        <v>27</v>
      </c>
      <c r="C3516" s="2" t="s">
        <v>28</v>
      </c>
      <c r="D3516" s="2" t="s">
        <v>97</v>
      </c>
      <c r="E3516" s="2" t="s">
        <v>20049</v>
      </c>
      <c r="F3516" s="2" t="s">
        <v>31</v>
      </c>
      <c r="G3516" s="2" t="s">
        <v>32</v>
      </c>
      <c r="H3516" s="1"/>
      <c r="I3516" s="2" t="s">
        <v>33</v>
      </c>
      <c r="J3516" s="2" t="s">
        <v>34</v>
      </c>
      <c r="K3516" s="2" t="s">
        <v>946</v>
      </c>
      <c r="L3516" s="2" t="s">
        <v>947</v>
      </c>
      <c r="M3516" s="2" t="s">
        <v>772</v>
      </c>
      <c r="N3516" s="2" t="s">
        <v>38</v>
      </c>
      <c r="O3516" s="2" t="s">
        <v>8346</v>
      </c>
      <c r="P3516" s="2" t="s">
        <v>19922</v>
      </c>
      <c r="Q3516" s="2" t="s">
        <v>19923</v>
      </c>
      <c r="R3516" s="2" t="s">
        <v>40</v>
      </c>
      <c r="S3516" s="2" t="s">
        <v>19924</v>
      </c>
      <c r="T3516" s="2" t="s">
        <v>952</v>
      </c>
      <c r="U3516" s="2" t="s">
        <v>19925</v>
      </c>
      <c r="V3516" s="2" t="s">
        <v>19926</v>
      </c>
      <c r="W3516" s="1"/>
      <c r="X3516" s="2" t="s">
        <v>258</v>
      </c>
      <c r="Y3516" s="2" t="s">
        <v>20052</v>
      </c>
      <c r="AA3516" t="str">
        <f t="shared" si="324"/>
        <v>2025-04</v>
      </c>
      <c r="AB3516" t="str">
        <f t="shared" si="325"/>
        <v>H1_2025</v>
      </c>
      <c r="AC3516">
        <f t="shared" si="326"/>
        <v>30490150.079999998</v>
      </c>
      <c r="AD3516">
        <f t="shared" si="327"/>
        <v>2040</v>
      </c>
      <c r="AE3516">
        <f t="shared" si="328"/>
        <v>6010150.0800000001</v>
      </c>
      <c r="AF3516" t="str">
        <f t="shared" si="329"/>
        <v>Paid</v>
      </c>
    </row>
    <row r="3517" spans="1:32" ht="17.25" thickBot="1" x14ac:dyDescent="0.35">
      <c r="A3517" s="2" t="s">
        <v>20147</v>
      </c>
      <c r="B3517" s="2" t="s">
        <v>27</v>
      </c>
      <c r="C3517" s="2" t="s">
        <v>28</v>
      </c>
      <c r="D3517" s="2" t="s">
        <v>97</v>
      </c>
      <c r="E3517" s="2" t="s">
        <v>20049</v>
      </c>
      <c r="F3517" s="2" t="s">
        <v>31</v>
      </c>
      <c r="G3517" s="2" t="s">
        <v>32</v>
      </c>
      <c r="H3517" s="1"/>
      <c r="I3517" s="2" t="s">
        <v>33</v>
      </c>
      <c r="J3517" s="2" t="s">
        <v>34</v>
      </c>
      <c r="K3517" s="2" t="s">
        <v>967</v>
      </c>
      <c r="L3517" s="2" t="s">
        <v>968</v>
      </c>
      <c r="M3517" s="2" t="s">
        <v>772</v>
      </c>
      <c r="N3517" s="2" t="s">
        <v>38</v>
      </c>
      <c r="O3517" s="2" t="s">
        <v>1836</v>
      </c>
      <c r="P3517" s="2" t="s">
        <v>19928</v>
      </c>
      <c r="Q3517" s="2" t="s">
        <v>20148</v>
      </c>
      <c r="R3517" s="2" t="s">
        <v>40</v>
      </c>
      <c r="S3517" s="2" t="s">
        <v>20149</v>
      </c>
      <c r="T3517" s="2" t="s">
        <v>973</v>
      </c>
      <c r="U3517" s="2" t="s">
        <v>9713</v>
      </c>
      <c r="V3517" s="2" t="s">
        <v>20150</v>
      </c>
      <c r="W3517" s="1"/>
      <c r="X3517" s="2" t="s">
        <v>827</v>
      </c>
      <c r="Y3517" s="2" t="s">
        <v>20052</v>
      </c>
      <c r="AA3517" t="str">
        <f t="shared" si="324"/>
        <v>2025-04</v>
      </c>
      <c r="AB3517" t="str">
        <f t="shared" si="325"/>
        <v>H1_2025</v>
      </c>
      <c r="AC3517">
        <f t="shared" si="326"/>
        <v>3184712.96</v>
      </c>
      <c r="AD3517">
        <f t="shared" si="327"/>
        <v>220</v>
      </c>
      <c r="AE3517">
        <f t="shared" si="328"/>
        <v>654712.96</v>
      </c>
      <c r="AF3517" t="str">
        <f t="shared" si="329"/>
        <v>Paid</v>
      </c>
    </row>
    <row r="3518" spans="1:32" ht="17.25" thickBot="1" x14ac:dyDescent="0.35">
      <c r="A3518" s="2" t="s">
        <v>20151</v>
      </c>
      <c r="B3518" s="2" t="s">
        <v>27</v>
      </c>
      <c r="C3518" s="2" t="s">
        <v>28</v>
      </c>
      <c r="D3518" s="2" t="s">
        <v>97</v>
      </c>
      <c r="E3518" s="2" t="s">
        <v>20049</v>
      </c>
      <c r="F3518" s="2" t="s">
        <v>31</v>
      </c>
      <c r="G3518" s="2" t="s">
        <v>32</v>
      </c>
      <c r="H3518" s="1"/>
      <c r="I3518" s="2" t="s">
        <v>33</v>
      </c>
      <c r="J3518" s="2" t="s">
        <v>34</v>
      </c>
      <c r="K3518" s="2" t="s">
        <v>988</v>
      </c>
      <c r="L3518" s="2" t="s">
        <v>989</v>
      </c>
      <c r="M3518" s="2" t="s">
        <v>772</v>
      </c>
      <c r="N3518" s="2" t="s">
        <v>38</v>
      </c>
      <c r="O3518" s="2" t="s">
        <v>618</v>
      </c>
      <c r="P3518" s="2" t="s">
        <v>5272</v>
      </c>
      <c r="Q3518" s="2" t="s">
        <v>20152</v>
      </c>
      <c r="R3518" s="2" t="s">
        <v>40</v>
      </c>
      <c r="S3518" s="2" t="s">
        <v>20153</v>
      </c>
      <c r="T3518" s="2" t="s">
        <v>994</v>
      </c>
      <c r="U3518" s="2" t="s">
        <v>20154</v>
      </c>
      <c r="V3518" s="2" t="s">
        <v>20155</v>
      </c>
      <c r="W3518" s="1"/>
      <c r="X3518" s="2" t="s">
        <v>2104</v>
      </c>
      <c r="Y3518" s="2" t="s">
        <v>20052</v>
      </c>
      <c r="AA3518" t="str">
        <f t="shared" si="324"/>
        <v>2025-04</v>
      </c>
      <c r="AB3518" t="str">
        <f t="shared" si="325"/>
        <v>H1_2025</v>
      </c>
      <c r="AC3518">
        <f t="shared" si="326"/>
        <v>9314772.4800000004</v>
      </c>
      <c r="AD3518">
        <f t="shared" si="327"/>
        <v>720</v>
      </c>
      <c r="AE3518">
        <f t="shared" si="328"/>
        <v>1862772.48</v>
      </c>
      <c r="AF3518" t="str">
        <f t="shared" si="329"/>
        <v>Paid</v>
      </c>
    </row>
    <row r="3519" spans="1:32" ht="17.25" thickBot="1" x14ac:dyDescent="0.35">
      <c r="A3519" s="2" t="s">
        <v>20156</v>
      </c>
      <c r="B3519" s="2" t="s">
        <v>27</v>
      </c>
      <c r="C3519" s="2" t="s">
        <v>28</v>
      </c>
      <c r="D3519" s="2" t="s">
        <v>97</v>
      </c>
      <c r="E3519" s="2" t="s">
        <v>20157</v>
      </c>
      <c r="F3519" s="2" t="s">
        <v>31</v>
      </c>
      <c r="G3519" s="2" t="s">
        <v>32</v>
      </c>
      <c r="H3519" s="1"/>
      <c r="I3519" s="2" t="s">
        <v>33</v>
      </c>
      <c r="J3519" s="2" t="s">
        <v>34</v>
      </c>
      <c r="K3519" s="2" t="s">
        <v>18578</v>
      </c>
      <c r="L3519" s="2" t="s">
        <v>18579</v>
      </c>
      <c r="M3519" s="2" t="s">
        <v>7387</v>
      </c>
      <c r="N3519" s="2" t="s">
        <v>38</v>
      </c>
      <c r="O3519" s="2" t="s">
        <v>4729</v>
      </c>
      <c r="P3519" s="2" t="s">
        <v>20158</v>
      </c>
      <c r="Q3519" s="2" t="s">
        <v>20159</v>
      </c>
      <c r="R3519" s="2" t="s">
        <v>40</v>
      </c>
      <c r="S3519" s="2" t="s">
        <v>20160</v>
      </c>
      <c r="T3519" s="2" t="s">
        <v>7392</v>
      </c>
      <c r="U3519" s="2" t="s">
        <v>19766</v>
      </c>
      <c r="V3519" s="2" t="s">
        <v>20161</v>
      </c>
      <c r="W3519" s="1"/>
      <c r="X3519" s="2" t="s">
        <v>15185</v>
      </c>
      <c r="Y3519" s="2" t="s">
        <v>20162</v>
      </c>
      <c r="AA3519" t="str">
        <f t="shared" si="324"/>
        <v>2025-03</v>
      </c>
      <c r="AB3519" t="str">
        <f t="shared" si="325"/>
        <v>H1_2025</v>
      </c>
      <c r="AC3519">
        <f t="shared" si="326"/>
        <v>66735090</v>
      </c>
      <c r="AD3519">
        <f t="shared" si="327"/>
        <v>5000</v>
      </c>
      <c r="AE3519">
        <f t="shared" si="328"/>
        <v>10185090</v>
      </c>
      <c r="AF3519" t="str">
        <f t="shared" si="329"/>
        <v>Paid</v>
      </c>
    </row>
    <row r="3520" spans="1:32" ht="27.75" thickBot="1" x14ac:dyDescent="0.35">
      <c r="A3520" s="2" t="s">
        <v>20163</v>
      </c>
      <c r="B3520" s="2" t="s">
        <v>27</v>
      </c>
      <c r="C3520" s="2" t="s">
        <v>28</v>
      </c>
      <c r="D3520" s="2" t="s">
        <v>97</v>
      </c>
      <c r="E3520" s="2" t="s">
        <v>20164</v>
      </c>
      <c r="F3520" s="2" t="s">
        <v>31</v>
      </c>
      <c r="G3520" s="2" t="s">
        <v>32</v>
      </c>
      <c r="H3520" s="1"/>
      <c r="I3520" s="2" t="s">
        <v>33</v>
      </c>
      <c r="J3520" s="2" t="s">
        <v>34</v>
      </c>
      <c r="K3520" s="2" t="s">
        <v>20165</v>
      </c>
      <c r="L3520" s="2" t="s">
        <v>20166</v>
      </c>
      <c r="M3520" s="2" t="s">
        <v>2140</v>
      </c>
      <c r="N3520" s="2" t="s">
        <v>38</v>
      </c>
      <c r="O3520" s="2" t="s">
        <v>26</v>
      </c>
      <c r="P3520" s="2" t="s">
        <v>40</v>
      </c>
      <c r="Q3520" s="2" t="s">
        <v>40</v>
      </c>
      <c r="R3520" s="2" t="s">
        <v>40</v>
      </c>
      <c r="S3520" s="2" t="s">
        <v>40</v>
      </c>
      <c r="T3520" s="2" t="s">
        <v>40</v>
      </c>
      <c r="U3520" s="2" t="s">
        <v>40</v>
      </c>
      <c r="V3520" s="2" t="s">
        <v>40</v>
      </c>
      <c r="W3520" s="2" t="s">
        <v>41</v>
      </c>
      <c r="X3520" s="2" t="s">
        <v>42</v>
      </c>
      <c r="Y3520" s="2" t="s">
        <v>20167</v>
      </c>
      <c r="AA3520" t="str">
        <f t="shared" si="324"/>
        <v>2025-03</v>
      </c>
      <c r="AB3520" t="str">
        <f t="shared" si="325"/>
        <v>H1_2025</v>
      </c>
      <c r="AC3520">
        <f t="shared" si="326"/>
        <v>0</v>
      </c>
      <c r="AD3520">
        <f t="shared" si="327"/>
        <v>1</v>
      </c>
      <c r="AE3520">
        <f t="shared" si="328"/>
        <v>0</v>
      </c>
      <c r="AF3520" t="str">
        <f t="shared" si="329"/>
        <v>Sample</v>
      </c>
    </row>
    <row r="3521" spans="1:32" ht="17.25" thickBot="1" x14ac:dyDescent="0.35">
      <c r="A3521" s="2" t="s">
        <v>20168</v>
      </c>
      <c r="B3521" s="2" t="s">
        <v>27</v>
      </c>
      <c r="C3521" s="2" t="s">
        <v>28</v>
      </c>
      <c r="D3521" s="2" t="s">
        <v>97</v>
      </c>
      <c r="E3521" s="2" t="s">
        <v>20164</v>
      </c>
      <c r="F3521" s="2" t="s">
        <v>31</v>
      </c>
      <c r="G3521" s="2" t="s">
        <v>32</v>
      </c>
      <c r="H3521" s="1"/>
      <c r="I3521" s="2" t="s">
        <v>33</v>
      </c>
      <c r="J3521" s="2" t="s">
        <v>34</v>
      </c>
      <c r="K3521" s="2" t="s">
        <v>1566</v>
      </c>
      <c r="L3521" s="2" t="s">
        <v>1567</v>
      </c>
      <c r="M3521" s="2" t="s">
        <v>304</v>
      </c>
      <c r="N3521" s="2" t="s">
        <v>38</v>
      </c>
      <c r="O3521" s="2" t="s">
        <v>54</v>
      </c>
      <c r="P3521" s="2" t="s">
        <v>40</v>
      </c>
      <c r="Q3521" s="2" t="s">
        <v>40</v>
      </c>
      <c r="R3521" s="2" t="s">
        <v>40</v>
      </c>
      <c r="S3521" s="2" t="s">
        <v>40</v>
      </c>
      <c r="T3521" s="2" t="s">
        <v>706</v>
      </c>
      <c r="U3521" s="2" t="s">
        <v>8873</v>
      </c>
      <c r="V3521" s="2" t="s">
        <v>20169</v>
      </c>
      <c r="W3521" s="2" t="s">
        <v>41</v>
      </c>
      <c r="X3521" s="2" t="s">
        <v>42</v>
      </c>
      <c r="Y3521" s="2" t="s">
        <v>20167</v>
      </c>
      <c r="AA3521" t="str">
        <f t="shared" si="324"/>
        <v>2025-03</v>
      </c>
      <c r="AB3521" t="str">
        <f t="shared" si="325"/>
        <v>H1_2025</v>
      </c>
      <c r="AC3521">
        <f t="shared" si="326"/>
        <v>0</v>
      </c>
      <c r="AD3521">
        <f t="shared" si="327"/>
        <v>4</v>
      </c>
      <c r="AE3521">
        <f t="shared" si="328"/>
        <v>-33600</v>
      </c>
      <c r="AF3521" t="str">
        <f t="shared" si="329"/>
        <v>Sample</v>
      </c>
    </row>
    <row r="3522" spans="1:32" ht="17.25" thickBot="1" x14ac:dyDescent="0.35">
      <c r="A3522" s="2" t="s">
        <v>20170</v>
      </c>
      <c r="B3522" s="2" t="s">
        <v>27</v>
      </c>
      <c r="C3522" s="2" t="s">
        <v>28</v>
      </c>
      <c r="D3522" s="2" t="s">
        <v>97</v>
      </c>
      <c r="E3522" s="2" t="s">
        <v>20164</v>
      </c>
      <c r="F3522" s="2" t="s">
        <v>31</v>
      </c>
      <c r="G3522" s="2" t="s">
        <v>32</v>
      </c>
      <c r="H3522" s="1"/>
      <c r="I3522" s="2" t="s">
        <v>33</v>
      </c>
      <c r="J3522" s="2" t="s">
        <v>34</v>
      </c>
      <c r="K3522" s="2" t="s">
        <v>2280</v>
      </c>
      <c r="L3522" s="2" t="s">
        <v>2281</v>
      </c>
      <c r="M3522" s="2" t="s">
        <v>2270</v>
      </c>
      <c r="N3522" s="2" t="s">
        <v>38</v>
      </c>
      <c r="O3522" s="2" t="s">
        <v>4141</v>
      </c>
      <c r="P3522" s="2" t="s">
        <v>20171</v>
      </c>
      <c r="Q3522" s="2" t="s">
        <v>20172</v>
      </c>
      <c r="R3522" s="2" t="s">
        <v>40</v>
      </c>
      <c r="S3522" s="2" t="s">
        <v>20173</v>
      </c>
      <c r="T3522" s="2" t="s">
        <v>2275</v>
      </c>
      <c r="U3522" s="2" t="s">
        <v>20174</v>
      </c>
      <c r="V3522" s="2" t="s">
        <v>20175</v>
      </c>
      <c r="W3522" s="1"/>
      <c r="X3522" s="2" t="s">
        <v>2278</v>
      </c>
      <c r="Y3522" s="2" t="s">
        <v>20167</v>
      </c>
      <c r="AA3522" t="str">
        <f t="shared" si="324"/>
        <v>2025-03</v>
      </c>
      <c r="AB3522" t="str">
        <f t="shared" si="325"/>
        <v>H1_2025</v>
      </c>
      <c r="AC3522">
        <f t="shared" si="326"/>
        <v>3024438.18</v>
      </c>
      <c r="AD3522">
        <f t="shared" si="327"/>
        <v>544</v>
      </c>
      <c r="AE3522">
        <f t="shared" si="328"/>
        <v>576438.18000000005</v>
      </c>
      <c r="AF3522" t="str">
        <f t="shared" si="329"/>
        <v>Paid</v>
      </c>
    </row>
    <row r="3523" spans="1:32" ht="27.75" thickBot="1" x14ac:dyDescent="0.35">
      <c r="A3523" s="2" t="s">
        <v>20176</v>
      </c>
      <c r="B3523" s="2" t="s">
        <v>27</v>
      </c>
      <c r="C3523" s="2" t="s">
        <v>28</v>
      </c>
      <c r="D3523" s="2" t="s">
        <v>97</v>
      </c>
      <c r="E3523" s="2" t="s">
        <v>20164</v>
      </c>
      <c r="F3523" s="2" t="s">
        <v>31</v>
      </c>
      <c r="G3523" s="2" t="s">
        <v>32</v>
      </c>
      <c r="H3523" s="1"/>
      <c r="I3523" s="2" t="s">
        <v>33</v>
      </c>
      <c r="J3523" s="2" t="s">
        <v>34</v>
      </c>
      <c r="K3523" s="2" t="s">
        <v>2288</v>
      </c>
      <c r="L3523" s="2" t="s">
        <v>2289</v>
      </c>
      <c r="M3523" s="2" t="s">
        <v>2270</v>
      </c>
      <c r="N3523" s="2" t="s">
        <v>38</v>
      </c>
      <c r="O3523" s="2" t="s">
        <v>1130</v>
      </c>
      <c r="P3523" s="2" t="s">
        <v>20171</v>
      </c>
      <c r="Q3523" s="2" t="s">
        <v>20177</v>
      </c>
      <c r="R3523" s="2" t="s">
        <v>40</v>
      </c>
      <c r="S3523" s="2" t="s">
        <v>20178</v>
      </c>
      <c r="T3523" s="2" t="s">
        <v>2275</v>
      </c>
      <c r="U3523" s="2" t="s">
        <v>10006</v>
      </c>
      <c r="V3523" s="2" t="s">
        <v>20179</v>
      </c>
      <c r="W3523" s="1"/>
      <c r="X3523" s="2" t="s">
        <v>2278</v>
      </c>
      <c r="Y3523" s="2" t="s">
        <v>20167</v>
      </c>
      <c r="AA3523" t="str">
        <f t="shared" si="324"/>
        <v>2025-03</v>
      </c>
      <c r="AB3523" t="str">
        <f t="shared" si="325"/>
        <v>H1_2025</v>
      </c>
      <c r="AC3523">
        <f t="shared" si="326"/>
        <v>700513.25</v>
      </c>
      <c r="AD3523">
        <f t="shared" si="327"/>
        <v>126</v>
      </c>
      <c r="AE3523">
        <f t="shared" si="328"/>
        <v>133513.25</v>
      </c>
      <c r="AF3523" t="str">
        <f t="shared" si="329"/>
        <v>Paid</v>
      </c>
    </row>
    <row r="3524" spans="1:32" ht="27.75" thickBot="1" x14ac:dyDescent="0.35">
      <c r="A3524" s="2" t="s">
        <v>20180</v>
      </c>
      <c r="B3524" s="2" t="s">
        <v>27</v>
      </c>
      <c r="C3524" s="2" t="s">
        <v>28</v>
      </c>
      <c r="D3524" s="2" t="s">
        <v>97</v>
      </c>
      <c r="E3524" s="2" t="s">
        <v>20164</v>
      </c>
      <c r="F3524" s="2" t="s">
        <v>31</v>
      </c>
      <c r="G3524" s="2" t="s">
        <v>32</v>
      </c>
      <c r="H3524" s="1"/>
      <c r="I3524" s="2" t="s">
        <v>33</v>
      </c>
      <c r="J3524" s="2" t="s">
        <v>34</v>
      </c>
      <c r="K3524" s="2" t="s">
        <v>20181</v>
      </c>
      <c r="L3524" s="2" t="s">
        <v>20182</v>
      </c>
      <c r="M3524" s="2" t="s">
        <v>2270</v>
      </c>
      <c r="N3524" s="2" t="s">
        <v>38</v>
      </c>
      <c r="O3524" s="2" t="s">
        <v>1914</v>
      </c>
      <c r="P3524" s="2" t="s">
        <v>15977</v>
      </c>
      <c r="Q3524" s="2" t="s">
        <v>20183</v>
      </c>
      <c r="R3524" s="2" t="s">
        <v>40</v>
      </c>
      <c r="S3524" s="2" t="s">
        <v>20184</v>
      </c>
      <c r="T3524" s="2" t="s">
        <v>13496</v>
      </c>
      <c r="U3524" s="2" t="s">
        <v>145</v>
      </c>
      <c r="V3524" s="2" t="s">
        <v>20185</v>
      </c>
      <c r="W3524" s="1"/>
      <c r="X3524" s="2" t="s">
        <v>7648</v>
      </c>
      <c r="Y3524" s="2" t="s">
        <v>20167</v>
      </c>
      <c r="AA3524" t="str">
        <f t="shared" ref="AA3524:AA3587" si="330">LEFT(E3524,7)</f>
        <v>2025-03</v>
      </c>
      <c r="AB3524" t="str">
        <f t="shared" ref="AB3524:AB3587" si="331">IF(AND($AA3524&gt;="2025-01",$AA3524&lt;="2025-06"),"H1_2025",IF(AND($AA3524&gt;="2026-01",$AA3524&lt;="2026-06"),"H1_2026",""))</f>
        <v>H1_2025</v>
      </c>
      <c r="AC3524">
        <f t="shared" ref="AC3524:AC3587" si="332">IFERROR(VALUE(SUBSTITUTE(S3524,",","")),0)</f>
        <v>537478.19999999995</v>
      </c>
      <c r="AD3524">
        <f t="shared" ref="AD3524:AD3587" si="333">IFERROR(VALUE(SUBSTITUTE(O3524,",","")),0)</f>
        <v>900</v>
      </c>
      <c r="AE3524">
        <f t="shared" ref="AE3524:AE3587" si="334">IFERROR(VALUE(SUBSTITUTE(V3524,",","")),0)</f>
        <v>87478.2</v>
      </c>
      <c r="AF3524" t="str">
        <f t="shared" ref="AF3524:AF3587" si="335">IF(ISNUMBER(SEARCH("FOC",W3524)),"FOC",IF(ISNUMBER(SEARCH("샘플",W3524)),"Sample","Paid"))</f>
        <v>Paid</v>
      </c>
    </row>
    <row r="3525" spans="1:32" ht="27.75" thickBot="1" x14ac:dyDescent="0.35">
      <c r="A3525" s="2" t="s">
        <v>20186</v>
      </c>
      <c r="B3525" s="2" t="s">
        <v>27</v>
      </c>
      <c r="C3525" s="2" t="s">
        <v>28</v>
      </c>
      <c r="D3525" s="2" t="s">
        <v>97</v>
      </c>
      <c r="E3525" s="2" t="s">
        <v>20164</v>
      </c>
      <c r="F3525" s="2" t="s">
        <v>31</v>
      </c>
      <c r="G3525" s="2" t="s">
        <v>32</v>
      </c>
      <c r="H3525" s="1"/>
      <c r="I3525" s="2" t="s">
        <v>33</v>
      </c>
      <c r="J3525" s="2" t="s">
        <v>34</v>
      </c>
      <c r="K3525" s="2" t="s">
        <v>8573</v>
      </c>
      <c r="L3525" s="2" t="s">
        <v>8574</v>
      </c>
      <c r="M3525" s="2" t="s">
        <v>2270</v>
      </c>
      <c r="N3525" s="2" t="s">
        <v>38</v>
      </c>
      <c r="O3525" s="2" t="s">
        <v>445</v>
      </c>
      <c r="P3525" s="2" t="s">
        <v>20187</v>
      </c>
      <c r="Q3525" s="2" t="s">
        <v>20188</v>
      </c>
      <c r="R3525" s="2" t="s">
        <v>40</v>
      </c>
      <c r="S3525" s="2" t="s">
        <v>20189</v>
      </c>
      <c r="T3525" s="2" t="s">
        <v>3163</v>
      </c>
      <c r="U3525" s="2" t="s">
        <v>13038</v>
      </c>
      <c r="V3525" s="2" t="s">
        <v>20190</v>
      </c>
      <c r="W3525" s="1"/>
      <c r="X3525" s="2" t="s">
        <v>20191</v>
      </c>
      <c r="Y3525" s="2" t="s">
        <v>20167</v>
      </c>
      <c r="AA3525" t="str">
        <f t="shared" si="330"/>
        <v>2025-03</v>
      </c>
      <c r="AB3525" t="str">
        <f t="shared" si="331"/>
        <v>H1_2025</v>
      </c>
      <c r="AC3525">
        <f t="shared" si="332"/>
        <v>291318.87</v>
      </c>
      <c r="AD3525">
        <f t="shared" si="333"/>
        <v>52</v>
      </c>
      <c r="AE3525">
        <f t="shared" si="334"/>
        <v>31318.87</v>
      </c>
      <c r="AF3525" t="str">
        <f t="shared" si="335"/>
        <v>Paid</v>
      </c>
    </row>
    <row r="3526" spans="1:32" ht="17.25" thickBot="1" x14ac:dyDescent="0.35">
      <c r="A3526" s="2" t="s">
        <v>20192</v>
      </c>
      <c r="B3526" s="2" t="s">
        <v>27</v>
      </c>
      <c r="C3526" s="2" t="s">
        <v>28</v>
      </c>
      <c r="D3526" s="2" t="s">
        <v>97</v>
      </c>
      <c r="E3526" s="2" t="s">
        <v>20164</v>
      </c>
      <c r="F3526" s="2" t="s">
        <v>31</v>
      </c>
      <c r="G3526" s="2" t="s">
        <v>32</v>
      </c>
      <c r="H3526" s="1"/>
      <c r="I3526" s="2" t="s">
        <v>33</v>
      </c>
      <c r="J3526" s="2" t="s">
        <v>34</v>
      </c>
      <c r="K3526" s="2" t="s">
        <v>2293</v>
      </c>
      <c r="L3526" s="2" t="s">
        <v>2294</v>
      </c>
      <c r="M3526" s="2" t="s">
        <v>2270</v>
      </c>
      <c r="N3526" s="2" t="s">
        <v>38</v>
      </c>
      <c r="O3526" s="2" t="s">
        <v>773</v>
      </c>
      <c r="P3526" s="2" t="s">
        <v>20171</v>
      </c>
      <c r="Q3526" s="2" t="s">
        <v>19019</v>
      </c>
      <c r="R3526" s="2" t="s">
        <v>40</v>
      </c>
      <c r="S3526" s="2" t="s">
        <v>20193</v>
      </c>
      <c r="T3526" s="2" t="s">
        <v>2275</v>
      </c>
      <c r="U3526" s="2" t="s">
        <v>163</v>
      </c>
      <c r="V3526" s="2" t="s">
        <v>20194</v>
      </c>
      <c r="W3526" s="1"/>
      <c r="X3526" s="2" t="s">
        <v>2278</v>
      </c>
      <c r="Y3526" s="2" t="s">
        <v>20167</v>
      </c>
      <c r="AA3526" t="str">
        <f t="shared" si="330"/>
        <v>2025-03</v>
      </c>
      <c r="AB3526" t="str">
        <f t="shared" si="331"/>
        <v>H1_2025</v>
      </c>
      <c r="AC3526">
        <f t="shared" si="332"/>
        <v>1111925.8</v>
      </c>
      <c r="AD3526">
        <f t="shared" si="333"/>
        <v>200</v>
      </c>
      <c r="AE3526">
        <f t="shared" si="334"/>
        <v>211925.8</v>
      </c>
      <c r="AF3526" t="str">
        <f t="shared" si="335"/>
        <v>Paid</v>
      </c>
    </row>
    <row r="3527" spans="1:32" ht="17.25" thickBot="1" x14ac:dyDescent="0.35">
      <c r="A3527" s="2" t="s">
        <v>20195</v>
      </c>
      <c r="B3527" s="2" t="s">
        <v>27</v>
      </c>
      <c r="C3527" s="2" t="s">
        <v>28</v>
      </c>
      <c r="D3527" s="2" t="s">
        <v>97</v>
      </c>
      <c r="E3527" s="2" t="s">
        <v>20164</v>
      </c>
      <c r="F3527" s="2" t="s">
        <v>31</v>
      </c>
      <c r="G3527" s="2" t="s">
        <v>32</v>
      </c>
      <c r="H3527" s="1"/>
      <c r="I3527" s="2" t="s">
        <v>33</v>
      </c>
      <c r="J3527" s="2" t="s">
        <v>34</v>
      </c>
      <c r="K3527" s="2" t="s">
        <v>2300</v>
      </c>
      <c r="L3527" s="2" t="s">
        <v>2301</v>
      </c>
      <c r="M3527" s="2" t="s">
        <v>2270</v>
      </c>
      <c r="N3527" s="2" t="s">
        <v>38</v>
      </c>
      <c r="O3527" s="2" t="s">
        <v>839</v>
      </c>
      <c r="P3527" s="2" t="s">
        <v>20171</v>
      </c>
      <c r="Q3527" s="2" t="s">
        <v>20196</v>
      </c>
      <c r="R3527" s="2" t="s">
        <v>40</v>
      </c>
      <c r="S3527" s="2" t="s">
        <v>20197</v>
      </c>
      <c r="T3527" s="2" t="s">
        <v>2275</v>
      </c>
      <c r="U3527" s="2" t="s">
        <v>10227</v>
      </c>
      <c r="V3527" s="2" t="s">
        <v>20198</v>
      </c>
      <c r="W3527" s="1"/>
      <c r="X3527" s="2" t="s">
        <v>2278</v>
      </c>
      <c r="Y3527" s="2" t="s">
        <v>20167</v>
      </c>
      <c r="AA3527" t="str">
        <f t="shared" si="330"/>
        <v>2025-03</v>
      </c>
      <c r="AB3527" t="str">
        <f t="shared" si="331"/>
        <v>H1_2025</v>
      </c>
      <c r="AC3527">
        <f t="shared" si="332"/>
        <v>533724.38</v>
      </c>
      <c r="AD3527">
        <f t="shared" si="333"/>
        <v>96</v>
      </c>
      <c r="AE3527">
        <f t="shared" si="334"/>
        <v>101724.38</v>
      </c>
      <c r="AF3527" t="str">
        <f t="shared" si="335"/>
        <v>Paid</v>
      </c>
    </row>
    <row r="3528" spans="1:32" ht="17.25" thickBot="1" x14ac:dyDescent="0.35">
      <c r="A3528" s="2" t="s">
        <v>20199</v>
      </c>
      <c r="B3528" s="2" t="s">
        <v>27</v>
      </c>
      <c r="C3528" s="2" t="s">
        <v>28</v>
      </c>
      <c r="D3528" s="2" t="s">
        <v>97</v>
      </c>
      <c r="E3528" s="2" t="s">
        <v>20164</v>
      </c>
      <c r="F3528" s="2" t="s">
        <v>31</v>
      </c>
      <c r="G3528" s="2" t="s">
        <v>32</v>
      </c>
      <c r="H3528" s="1"/>
      <c r="I3528" s="2" t="s">
        <v>33</v>
      </c>
      <c r="J3528" s="2" t="s">
        <v>34</v>
      </c>
      <c r="K3528" s="2" t="s">
        <v>2300</v>
      </c>
      <c r="L3528" s="2" t="s">
        <v>2301</v>
      </c>
      <c r="M3528" s="2" t="s">
        <v>2270</v>
      </c>
      <c r="N3528" s="2" t="s">
        <v>38</v>
      </c>
      <c r="O3528" s="2" t="s">
        <v>917</v>
      </c>
      <c r="P3528" s="2" t="s">
        <v>20171</v>
      </c>
      <c r="Q3528" s="2" t="s">
        <v>20200</v>
      </c>
      <c r="R3528" s="2" t="s">
        <v>40</v>
      </c>
      <c r="S3528" s="2" t="s">
        <v>20201</v>
      </c>
      <c r="T3528" s="2" t="s">
        <v>2275</v>
      </c>
      <c r="U3528" s="2" t="s">
        <v>217</v>
      </c>
      <c r="V3528" s="2" t="s">
        <v>20202</v>
      </c>
      <c r="W3528" s="1"/>
      <c r="X3528" s="2" t="s">
        <v>2278</v>
      </c>
      <c r="Y3528" s="2" t="s">
        <v>20167</v>
      </c>
      <c r="AA3528" t="str">
        <f t="shared" si="330"/>
        <v>2025-03</v>
      </c>
      <c r="AB3528" t="str">
        <f t="shared" si="331"/>
        <v>H1_2025</v>
      </c>
      <c r="AC3528">
        <f t="shared" si="332"/>
        <v>578201.42000000004</v>
      </c>
      <c r="AD3528">
        <f t="shared" si="333"/>
        <v>104</v>
      </c>
      <c r="AE3528">
        <f t="shared" si="334"/>
        <v>110201.42</v>
      </c>
      <c r="AF3528" t="str">
        <f t="shared" si="335"/>
        <v>Paid</v>
      </c>
    </row>
    <row r="3529" spans="1:32" ht="17.25" thickBot="1" x14ac:dyDescent="0.35">
      <c r="A3529" s="2" t="s">
        <v>20203</v>
      </c>
      <c r="B3529" s="2" t="s">
        <v>27</v>
      </c>
      <c r="C3529" s="2" t="s">
        <v>28</v>
      </c>
      <c r="D3529" s="2" t="s">
        <v>97</v>
      </c>
      <c r="E3529" s="2" t="s">
        <v>20164</v>
      </c>
      <c r="F3529" s="2" t="s">
        <v>31</v>
      </c>
      <c r="G3529" s="2" t="s">
        <v>32</v>
      </c>
      <c r="H3529" s="1"/>
      <c r="I3529" s="2" t="s">
        <v>33</v>
      </c>
      <c r="J3529" s="2" t="s">
        <v>34</v>
      </c>
      <c r="K3529" s="2" t="s">
        <v>3317</v>
      </c>
      <c r="L3529" s="2" t="s">
        <v>3318</v>
      </c>
      <c r="M3529" s="2" t="s">
        <v>2270</v>
      </c>
      <c r="N3529" s="2" t="s">
        <v>38</v>
      </c>
      <c r="O3529" s="2" t="s">
        <v>615</v>
      </c>
      <c r="P3529" s="2" t="s">
        <v>20171</v>
      </c>
      <c r="Q3529" s="2" t="s">
        <v>20204</v>
      </c>
      <c r="R3529" s="2" t="s">
        <v>40</v>
      </c>
      <c r="S3529" s="2" t="s">
        <v>20205</v>
      </c>
      <c r="T3529" s="2" t="s">
        <v>2275</v>
      </c>
      <c r="U3529" s="2" t="s">
        <v>11079</v>
      </c>
      <c r="V3529" s="2" t="s">
        <v>20206</v>
      </c>
      <c r="W3529" s="1"/>
      <c r="X3529" s="2" t="s">
        <v>2278</v>
      </c>
      <c r="Y3529" s="2" t="s">
        <v>20167</v>
      </c>
      <c r="AA3529" t="str">
        <f t="shared" si="330"/>
        <v>2025-03</v>
      </c>
      <c r="AB3529" t="str">
        <f t="shared" si="331"/>
        <v>H1_2025</v>
      </c>
      <c r="AC3529">
        <f t="shared" si="332"/>
        <v>400293.29</v>
      </c>
      <c r="AD3529">
        <f t="shared" si="333"/>
        <v>72</v>
      </c>
      <c r="AE3529">
        <f t="shared" si="334"/>
        <v>76293.289999999994</v>
      </c>
      <c r="AF3529" t="str">
        <f t="shared" si="335"/>
        <v>Paid</v>
      </c>
    </row>
    <row r="3530" spans="1:32" ht="17.25" thickBot="1" x14ac:dyDescent="0.35">
      <c r="A3530" s="2" t="s">
        <v>20207</v>
      </c>
      <c r="B3530" s="2" t="s">
        <v>27</v>
      </c>
      <c r="C3530" s="2" t="s">
        <v>28</v>
      </c>
      <c r="D3530" s="2" t="s">
        <v>97</v>
      </c>
      <c r="E3530" s="2" t="s">
        <v>20164</v>
      </c>
      <c r="F3530" s="2" t="s">
        <v>31</v>
      </c>
      <c r="G3530" s="2" t="s">
        <v>32</v>
      </c>
      <c r="H3530" s="1"/>
      <c r="I3530" s="2" t="s">
        <v>33</v>
      </c>
      <c r="J3530" s="2" t="s">
        <v>34</v>
      </c>
      <c r="K3530" s="2" t="s">
        <v>3317</v>
      </c>
      <c r="L3530" s="2" t="s">
        <v>3318</v>
      </c>
      <c r="M3530" s="2" t="s">
        <v>2270</v>
      </c>
      <c r="N3530" s="2" t="s">
        <v>38</v>
      </c>
      <c r="O3530" s="2" t="s">
        <v>500</v>
      </c>
      <c r="P3530" s="2" t="s">
        <v>20171</v>
      </c>
      <c r="Q3530" s="2" t="s">
        <v>20208</v>
      </c>
      <c r="R3530" s="2" t="s">
        <v>40</v>
      </c>
      <c r="S3530" s="2" t="s">
        <v>20209</v>
      </c>
      <c r="T3530" s="2" t="s">
        <v>2275</v>
      </c>
      <c r="U3530" s="2" t="s">
        <v>20210</v>
      </c>
      <c r="V3530" s="2" t="s">
        <v>20211</v>
      </c>
      <c r="W3530" s="1"/>
      <c r="X3530" s="2" t="s">
        <v>2278</v>
      </c>
      <c r="Y3530" s="2" t="s">
        <v>20167</v>
      </c>
      <c r="AA3530" t="str">
        <f t="shared" si="330"/>
        <v>2025-03</v>
      </c>
      <c r="AB3530" t="str">
        <f t="shared" si="331"/>
        <v>H1_2025</v>
      </c>
      <c r="AC3530">
        <f t="shared" si="332"/>
        <v>322458.48</v>
      </c>
      <c r="AD3530">
        <f t="shared" si="333"/>
        <v>58</v>
      </c>
      <c r="AE3530">
        <f t="shared" si="334"/>
        <v>61458.48</v>
      </c>
      <c r="AF3530" t="str">
        <f t="shared" si="335"/>
        <v>Paid</v>
      </c>
    </row>
    <row r="3531" spans="1:32" ht="17.25" thickBot="1" x14ac:dyDescent="0.35">
      <c r="A3531" s="2" t="s">
        <v>20212</v>
      </c>
      <c r="B3531" s="2" t="s">
        <v>27</v>
      </c>
      <c r="C3531" s="2" t="s">
        <v>28</v>
      </c>
      <c r="D3531" s="2" t="s">
        <v>97</v>
      </c>
      <c r="E3531" s="2" t="s">
        <v>20164</v>
      </c>
      <c r="F3531" s="2" t="s">
        <v>31</v>
      </c>
      <c r="G3531" s="2" t="s">
        <v>32</v>
      </c>
      <c r="H3531" s="1"/>
      <c r="I3531" s="2" t="s">
        <v>33</v>
      </c>
      <c r="J3531" s="2" t="s">
        <v>34</v>
      </c>
      <c r="K3531" s="2" t="s">
        <v>2306</v>
      </c>
      <c r="L3531" s="2" t="s">
        <v>2307</v>
      </c>
      <c r="M3531" s="2" t="s">
        <v>2270</v>
      </c>
      <c r="N3531" s="2" t="s">
        <v>38</v>
      </c>
      <c r="O3531" s="2" t="s">
        <v>177</v>
      </c>
      <c r="P3531" s="2" t="s">
        <v>20171</v>
      </c>
      <c r="Q3531" s="2" t="s">
        <v>20213</v>
      </c>
      <c r="R3531" s="2" t="s">
        <v>40</v>
      </c>
      <c r="S3531" s="2" t="s">
        <v>20214</v>
      </c>
      <c r="T3531" s="2" t="s">
        <v>2275</v>
      </c>
      <c r="U3531" s="2" t="s">
        <v>12165</v>
      </c>
      <c r="V3531" s="2" t="s">
        <v>20215</v>
      </c>
      <c r="W3531" s="1"/>
      <c r="X3531" s="2" t="s">
        <v>2278</v>
      </c>
      <c r="Y3531" s="2" t="s">
        <v>20167</v>
      </c>
      <c r="AA3531" t="str">
        <f t="shared" si="330"/>
        <v>2025-03</v>
      </c>
      <c r="AB3531" t="str">
        <f t="shared" si="331"/>
        <v>H1_2025</v>
      </c>
      <c r="AC3531">
        <f t="shared" si="332"/>
        <v>2223851.6</v>
      </c>
      <c r="AD3531">
        <f t="shared" si="333"/>
        <v>400</v>
      </c>
      <c r="AE3531">
        <f t="shared" si="334"/>
        <v>423851.6</v>
      </c>
      <c r="AF3531" t="str">
        <f t="shared" si="335"/>
        <v>Paid</v>
      </c>
    </row>
    <row r="3532" spans="1:32" ht="17.25" thickBot="1" x14ac:dyDescent="0.35">
      <c r="A3532" s="2" t="s">
        <v>20216</v>
      </c>
      <c r="B3532" s="2" t="s">
        <v>27</v>
      </c>
      <c r="C3532" s="2" t="s">
        <v>28</v>
      </c>
      <c r="D3532" s="2" t="s">
        <v>97</v>
      </c>
      <c r="E3532" s="2" t="s">
        <v>20164</v>
      </c>
      <c r="F3532" s="2" t="s">
        <v>31</v>
      </c>
      <c r="G3532" s="2" t="s">
        <v>32</v>
      </c>
      <c r="H3532" s="1"/>
      <c r="I3532" s="2" t="s">
        <v>33</v>
      </c>
      <c r="J3532" s="2" t="s">
        <v>34</v>
      </c>
      <c r="K3532" s="2" t="s">
        <v>2313</v>
      </c>
      <c r="L3532" s="2" t="s">
        <v>2314</v>
      </c>
      <c r="M3532" s="2" t="s">
        <v>2270</v>
      </c>
      <c r="N3532" s="2" t="s">
        <v>38</v>
      </c>
      <c r="O3532" s="2" t="s">
        <v>2379</v>
      </c>
      <c r="P3532" s="2" t="s">
        <v>20171</v>
      </c>
      <c r="Q3532" s="2" t="s">
        <v>20217</v>
      </c>
      <c r="R3532" s="2" t="s">
        <v>40</v>
      </c>
      <c r="S3532" s="2" t="s">
        <v>20218</v>
      </c>
      <c r="T3532" s="2" t="s">
        <v>2275</v>
      </c>
      <c r="U3532" s="2" t="s">
        <v>19116</v>
      </c>
      <c r="V3532" s="2" t="s">
        <v>20219</v>
      </c>
      <c r="W3532" s="1"/>
      <c r="X3532" s="2" t="s">
        <v>2278</v>
      </c>
      <c r="Y3532" s="2" t="s">
        <v>20167</v>
      </c>
      <c r="AA3532" t="str">
        <f t="shared" si="330"/>
        <v>2025-03</v>
      </c>
      <c r="AB3532" t="str">
        <f t="shared" si="331"/>
        <v>H1_2025</v>
      </c>
      <c r="AC3532">
        <f t="shared" si="332"/>
        <v>1601173.15</v>
      </c>
      <c r="AD3532">
        <f t="shared" si="333"/>
        <v>288</v>
      </c>
      <c r="AE3532">
        <f t="shared" si="334"/>
        <v>305173.15000000002</v>
      </c>
      <c r="AF3532" t="str">
        <f t="shared" si="335"/>
        <v>Paid</v>
      </c>
    </row>
    <row r="3533" spans="1:32" ht="17.25" thickBot="1" x14ac:dyDescent="0.35">
      <c r="A3533" s="2" t="s">
        <v>20220</v>
      </c>
      <c r="B3533" s="2" t="s">
        <v>27</v>
      </c>
      <c r="C3533" s="2" t="s">
        <v>28</v>
      </c>
      <c r="D3533" s="2" t="s">
        <v>97</v>
      </c>
      <c r="E3533" s="2" t="s">
        <v>20164</v>
      </c>
      <c r="F3533" s="2" t="s">
        <v>31</v>
      </c>
      <c r="G3533" s="2" t="s">
        <v>32</v>
      </c>
      <c r="H3533" s="1"/>
      <c r="I3533" s="2" t="s">
        <v>33</v>
      </c>
      <c r="J3533" s="2" t="s">
        <v>34</v>
      </c>
      <c r="K3533" s="2" t="s">
        <v>20221</v>
      </c>
      <c r="L3533" s="2" t="s">
        <v>20222</v>
      </c>
      <c r="M3533" s="2" t="s">
        <v>2270</v>
      </c>
      <c r="N3533" s="2" t="s">
        <v>38</v>
      </c>
      <c r="O3533" s="2" t="s">
        <v>773</v>
      </c>
      <c r="P3533" s="2" t="s">
        <v>20171</v>
      </c>
      <c r="Q3533" s="2" t="s">
        <v>19019</v>
      </c>
      <c r="R3533" s="2" t="s">
        <v>40</v>
      </c>
      <c r="S3533" s="2" t="s">
        <v>20193</v>
      </c>
      <c r="T3533" s="2" t="s">
        <v>2275</v>
      </c>
      <c r="U3533" s="2" t="s">
        <v>163</v>
      </c>
      <c r="V3533" s="2" t="s">
        <v>20194</v>
      </c>
      <c r="W3533" s="1"/>
      <c r="X3533" s="2" t="s">
        <v>2278</v>
      </c>
      <c r="Y3533" s="2" t="s">
        <v>20167</v>
      </c>
      <c r="AA3533" t="str">
        <f t="shared" si="330"/>
        <v>2025-03</v>
      </c>
      <c r="AB3533" t="str">
        <f t="shared" si="331"/>
        <v>H1_2025</v>
      </c>
      <c r="AC3533">
        <f t="shared" si="332"/>
        <v>1111925.8</v>
      </c>
      <c r="AD3533">
        <f t="shared" si="333"/>
        <v>200</v>
      </c>
      <c r="AE3533">
        <f t="shared" si="334"/>
        <v>211925.8</v>
      </c>
      <c r="AF3533" t="str">
        <f t="shared" si="335"/>
        <v>Paid</v>
      </c>
    </row>
    <row r="3534" spans="1:32" ht="17.25" thickBot="1" x14ac:dyDescent="0.35">
      <c r="A3534" s="2" t="s">
        <v>20223</v>
      </c>
      <c r="B3534" s="2" t="s">
        <v>27</v>
      </c>
      <c r="C3534" s="2" t="s">
        <v>28</v>
      </c>
      <c r="D3534" s="2" t="s">
        <v>97</v>
      </c>
      <c r="E3534" s="2" t="s">
        <v>20164</v>
      </c>
      <c r="F3534" s="2" t="s">
        <v>31</v>
      </c>
      <c r="G3534" s="2" t="s">
        <v>32</v>
      </c>
      <c r="H3534" s="1"/>
      <c r="I3534" s="2" t="s">
        <v>33</v>
      </c>
      <c r="J3534" s="2" t="s">
        <v>34</v>
      </c>
      <c r="K3534" s="2" t="s">
        <v>2320</v>
      </c>
      <c r="L3534" s="2" t="s">
        <v>2321</v>
      </c>
      <c r="M3534" s="2" t="s">
        <v>2270</v>
      </c>
      <c r="N3534" s="2" t="s">
        <v>38</v>
      </c>
      <c r="O3534" s="2" t="s">
        <v>1641</v>
      </c>
      <c r="P3534" s="2" t="s">
        <v>20171</v>
      </c>
      <c r="Q3534" s="2" t="s">
        <v>20224</v>
      </c>
      <c r="R3534" s="2" t="s">
        <v>40</v>
      </c>
      <c r="S3534" s="2" t="s">
        <v>20225</v>
      </c>
      <c r="T3534" s="2" t="s">
        <v>2275</v>
      </c>
      <c r="U3534" s="2" t="s">
        <v>12911</v>
      </c>
      <c r="V3534" s="2" t="s">
        <v>20226</v>
      </c>
      <c r="W3534" s="1"/>
      <c r="X3534" s="2" t="s">
        <v>2278</v>
      </c>
      <c r="Y3534" s="2" t="s">
        <v>20167</v>
      </c>
      <c r="AA3534" t="str">
        <f t="shared" si="330"/>
        <v>2025-03</v>
      </c>
      <c r="AB3534" t="str">
        <f t="shared" si="331"/>
        <v>H1_2025</v>
      </c>
      <c r="AC3534">
        <f t="shared" si="332"/>
        <v>1067448.77</v>
      </c>
      <c r="AD3534">
        <f t="shared" si="333"/>
        <v>192</v>
      </c>
      <c r="AE3534">
        <f t="shared" si="334"/>
        <v>203448.77</v>
      </c>
      <c r="AF3534" t="str">
        <f t="shared" si="335"/>
        <v>Paid</v>
      </c>
    </row>
    <row r="3535" spans="1:32" ht="27.75" thickBot="1" x14ac:dyDescent="0.35">
      <c r="A3535" s="2" t="s">
        <v>20227</v>
      </c>
      <c r="B3535" s="2" t="s">
        <v>27</v>
      </c>
      <c r="C3535" s="2" t="s">
        <v>28</v>
      </c>
      <c r="D3535" s="2" t="s">
        <v>97</v>
      </c>
      <c r="E3535" s="2" t="s">
        <v>20164</v>
      </c>
      <c r="F3535" s="2" t="s">
        <v>31</v>
      </c>
      <c r="G3535" s="2" t="s">
        <v>32</v>
      </c>
      <c r="H3535" s="1"/>
      <c r="I3535" s="2" t="s">
        <v>33</v>
      </c>
      <c r="J3535" s="2" t="s">
        <v>34</v>
      </c>
      <c r="K3535" s="2" t="s">
        <v>2342</v>
      </c>
      <c r="L3535" s="2" t="s">
        <v>2343</v>
      </c>
      <c r="M3535" s="2" t="s">
        <v>2270</v>
      </c>
      <c r="N3535" s="2" t="s">
        <v>38</v>
      </c>
      <c r="O3535" s="2" t="s">
        <v>391</v>
      </c>
      <c r="P3535" s="2" t="s">
        <v>20171</v>
      </c>
      <c r="Q3535" s="2" t="s">
        <v>20228</v>
      </c>
      <c r="R3535" s="2" t="s">
        <v>40</v>
      </c>
      <c r="S3535" s="2" t="s">
        <v>20229</v>
      </c>
      <c r="T3535" s="2" t="s">
        <v>2275</v>
      </c>
      <c r="U3535" s="2" t="s">
        <v>4410</v>
      </c>
      <c r="V3535" s="2" t="s">
        <v>20230</v>
      </c>
      <c r="W3535" s="1"/>
      <c r="X3535" s="2" t="s">
        <v>2278</v>
      </c>
      <c r="Y3535" s="2" t="s">
        <v>20167</v>
      </c>
      <c r="AA3535" t="str">
        <f t="shared" si="330"/>
        <v>2025-03</v>
      </c>
      <c r="AB3535" t="str">
        <f t="shared" si="331"/>
        <v>H1_2025</v>
      </c>
      <c r="AC3535">
        <f t="shared" si="332"/>
        <v>333577.74</v>
      </c>
      <c r="AD3535">
        <f t="shared" si="333"/>
        <v>60</v>
      </c>
      <c r="AE3535">
        <f t="shared" si="334"/>
        <v>63577.74</v>
      </c>
      <c r="AF3535" t="str">
        <f t="shared" si="335"/>
        <v>Paid</v>
      </c>
    </row>
    <row r="3536" spans="1:32" ht="27.75" thickBot="1" x14ac:dyDescent="0.35">
      <c r="A3536" s="2" t="s">
        <v>20231</v>
      </c>
      <c r="B3536" s="2" t="s">
        <v>27</v>
      </c>
      <c r="C3536" s="2" t="s">
        <v>28</v>
      </c>
      <c r="D3536" s="2" t="s">
        <v>97</v>
      </c>
      <c r="E3536" s="2" t="s">
        <v>20164</v>
      </c>
      <c r="F3536" s="2" t="s">
        <v>31</v>
      </c>
      <c r="G3536" s="2" t="s">
        <v>32</v>
      </c>
      <c r="H3536" s="1"/>
      <c r="I3536" s="2" t="s">
        <v>33</v>
      </c>
      <c r="J3536" s="2" t="s">
        <v>34</v>
      </c>
      <c r="K3536" s="2" t="s">
        <v>2342</v>
      </c>
      <c r="L3536" s="2" t="s">
        <v>2343</v>
      </c>
      <c r="M3536" s="2" t="s">
        <v>2270</v>
      </c>
      <c r="N3536" s="2" t="s">
        <v>38</v>
      </c>
      <c r="O3536" s="2" t="s">
        <v>156</v>
      </c>
      <c r="P3536" s="2" t="s">
        <v>20171</v>
      </c>
      <c r="Q3536" s="2" t="s">
        <v>20232</v>
      </c>
      <c r="R3536" s="2" t="s">
        <v>40</v>
      </c>
      <c r="S3536" s="2" t="s">
        <v>20233</v>
      </c>
      <c r="T3536" s="2" t="s">
        <v>2275</v>
      </c>
      <c r="U3536" s="2" t="s">
        <v>10061</v>
      </c>
      <c r="V3536" s="2" t="s">
        <v>20234</v>
      </c>
      <c r="W3536" s="1"/>
      <c r="X3536" s="2" t="s">
        <v>2278</v>
      </c>
      <c r="Y3536" s="2" t="s">
        <v>20167</v>
      </c>
      <c r="AA3536" t="str">
        <f t="shared" si="330"/>
        <v>2025-03</v>
      </c>
      <c r="AB3536" t="str">
        <f t="shared" si="331"/>
        <v>H1_2025</v>
      </c>
      <c r="AC3536">
        <f t="shared" si="332"/>
        <v>111192.58</v>
      </c>
      <c r="AD3536">
        <f t="shared" si="333"/>
        <v>20</v>
      </c>
      <c r="AE3536">
        <f t="shared" si="334"/>
        <v>21192.58</v>
      </c>
      <c r="AF3536" t="str">
        <f t="shared" si="335"/>
        <v>Paid</v>
      </c>
    </row>
    <row r="3537" spans="1:32" ht="17.25" thickBot="1" x14ac:dyDescent="0.35">
      <c r="A3537" s="2" t="s">
        <v>20235</v>
      </c>
      <c r="B3537" s="2" t="s">
        <v>27</v>
      </c>
      <c r="C3537" s="2" t="s">
        <v>28</v>
      </c>
      <c r="D3537" s="2" t="s">
        <v>97</v>
      </c>
      <c r="E3537" s="2" t="s">
        <v>20164</v>
      </c>
      <c r="F3537" s="2" t="s">
        <v>31</v>
      </c>
      <c r="G3537" s="2" t="s">
        <v>32</v>
      </c>
      <c r="H3537" s="1"/>
      <c r="I3537" s="2" t="s">
        <v>33</v>
      </c>
      <c r="J3537" s="2" t="s">
        <v>34</v>
      </c>
      <c r="K3537" s="2" t="s">
        <v>2349</v>
      </c>
      <c r="L3537" s="2" t="s">
        <v>2350</v>
      </c>
      <c r="M3537" s="2" t="s">
        <v>2270</v>
      </c>
      <c r="N3537" s="2" t="s">
        <v>38</v>
      </c>
      <c r="O3537" s="2" t="s">
        <v>877</v>
      </c>
      <c r="P3537" s="2" t="s">
        <v>20171</v>
      </c>
      <c r="Q3537" s="2" t="s">
        <v>13733</v>
      </c>
      <c r="R3537" s="2" t="s">
        <v>40</v>
      </c>
      <c r="S3537" s="2" t="s">
        <v>20236</v>
      </c>
      <c r="T3537" s="2" t="s">
        <v>2275</v>
      </c>
      <c r="U3537" s="2" t="s">
        <v>145</v>
      </c>
      <c r="V3537" s="2" t="s">
        <v>20237</v>
      </c>
      <c r="W3537" s="1"/>
      <c r="X3537" s="2" t="s">
        <v>2278</v>
      </c>
      <c r="Y3537" s="2" t="s">
        <v>20167</v>
      </c>
      <c r="AA3537" t="str">
        <f t="shared" si="330"/>
        <v>2025-03</v>
      </c>
      <c r="AB3537" t="str">
        <f t="shared" si="331"/>
        <v>H1_2025</v>
      </c>
      <c r="AC3537">
        <f t="shared" si="332"/>
        <v>555962.9</v>
      </c>
      <c r="AD3537">
        <f t="shared" si="333"/>
        <v>100</v>
      </c>
      <c r="AE3537">
        <f t="shared" si="334"/>
        <v>105962.9</v>
      </c>
      <c r="AF3537" t="str">
        <f t="shared" si="335"/>
        <v>Paid</v>
      </c>
    </row>
    <row r="3538" spans="1:32" ht="27.75" thickBot="1" x14ac:dyDescent="0.35">
      <c r="A3538" s="2" t="s">
        <v>20238</v>
      </c>
      <c r="B3538" s="2" t="s">
        <v>27</v>
      </c>
      <c r="C3538" s="2" t="s">
        <v>28</v>
      </c>
      <c r="D3538" s="2" t="s">
        <v>97</v>
      </c>
      <c r="E3538" s="2" t="s">
        <v>20164</v>
      </c>
      <c r="F3538" s="2" t="s">
        <v>31</v>
      </c>
      <c r="G3538" s="2" t="s">
        <v>32</v>
      </c>
      <c r="H3538" s="1"/>
      <c r="I3538" s="2" t="s">
        <v>33</v>
      </c>
      <c r="J3538" s="2" t="s">
        <v>34</v>
      </c>
      <c r="K3538" s="2" t="s">
        <v>2356</v>
      </c>
      <c r="L3538" s="2" t="s">
        <v>2357</v>
      </c>
      <c r="M3538" s="2" t="s">
        <v>2270</v>
      </c>
      <c r="N3538" s="2" t="s">
        <v>38</v>
      </c>
      <c r="O3538" s="2" t="s">
        <v>615</v>
      </c>
      <c r="P3538" s="2" t="s">
        <v>20171</v>
      </c>
      <c r="Q3538" s="2" t="s">
        <v>20204</v>
      </c>
      <c r="R3538" s="2" t="s">
        <v>40</v>
      </c>
      <c r="S3538" s="2" t="s">
        <v>20205</v>
      </c>
      <c r="T3538" s="2" t="s">
        <v>2275</v>
      </c>
      <c r="U3538" s="2" t="s">
        <v>11079</v>
      </c>
      <c r="V3538" s="2" t="s">
        <v>20206</v>
      </c>
      <c r="W3538" s="1"/>
      <c r="X3538" s="2" t="s">
        <v>2278</v>
      </c>
      <c r="Y3538" s="2" t="s">
        <v>20167</v>
      </c>
      <c r="AA3538" t="str">
        <f t="shared" si="330"/>
        <v>2025-03</v>
      </c>
      <c r="AB3538" t="str">
        <f t="shared" si="331"/>
        <v>H1_2025</v>
      </c>
      <c r="AC3538">
        <f t="shared" si="332"/>
        <v>400293.29</v>
      </c>
      <c r="AD3538">
        <f t="shared" si="333"/>
        <v>72</v>
      </c>
      <c r="AE3538">
        <f t="shared" si="334"/>
        <v>76293.289999999994</v>
      </c>
      <c r="AF3538" t="str">
        <f t="shared" si="335"/>
        <v>Paid</v>
      </c>
    </row>
    <row r="3539" spans="1:32" ht="27.75" thickBot="1" x14ac:dyDescent="0.35">
      <c r="A3539" s="2" t="s">
        <v>20239</v>
      </c>
      <c r="B3539" s="2" t="s">
        <v>27</v>
      </c>
      <c r="C3539" s="2" t="s">
        <v>28</v>
      </c>
      <c r="D3539" s="2" t="s">
        <v>97</v>
      </c>
      <c r="E3539" s="2" t="s">
        <v>20164</v>
      </c>
      <c r="F3539" s="2" t="s">
        <v>31</v>
      </c>
      <c r="G3539" s="2" t="s">
        <v>32</v>
      </c>
      <c r="H3539" s="1"/>
      <c r="I3539" s="2" t="s">
        <v>33</v>
      </c>
      <c r="J3539" s="2" t="s">
        <v>34</v>
      </c>
      <c r="K3539" s="2" t="s">
        <v>2363</v>
      </c>
      <c r="L3539" s="2" t="s">
        <v>2364</v>
      </c>
      <c r="M3539" s="2" t="s">
        <v>2270</v>
      </c>
      <c r="N3539" s="2" t="s">
        <v>38</v>
      </c>
      <c r="O3539" s="2" t="s">
        <v>849</v>
      </c>
      <c r="P3539" s="2" t="s">
        <v>20171</v>
      </c>
      <c r="Q3539" s="2" t="s">
        <v>18719</v>
      </c>
      <c r="R3539" s="2" t="s">
        <v>40</v>
      </c>
      <c r="S3539" s="2" t="s">
        <v>20240</v>
      </c>
      <c r="T3539" s="2" t="s">
        <v>2275</v>
      </c>
      <c r="U3539" s="2" t="s">
        <v>3087</v>
      </c>
      <c r="V3539" s="2" t="s">
        <v>20241</v>
      </c>
      <c r="W3539" s="1"/>
      <c r="X3539" s="2" t="s">
        <v>2278</v>
      </c>
      <c r="Y3539" s="2" t="s">
        <v>20167</v>
      </c>
      <c r="AA3539" t="str">
        <f t="shared" si="330"/>
        <v>2025-03</v>
      </c>
      <c r="AB3539" t="str">
        <f t="shared" si="331"/>
        <v>H1_2025</v>
      </c>
      <c r="AC3539">
        <f t="shared" si="332"/>
        <v>889540.64</v>
      </c>
      <c r="AD3539">
        <f t="shared" si="333"/>
        <v>160</v>
      </c>
      <c r="AE3539">
        <f t="shared" si="334"/>
        <v>169540.64</v>
      </c>
      <c r="AF3539" t="str">
        <f t="shared" si="335"/>
        <v>Paid</v>
      </c>
    </row>
    <row r="3540" spans="1:32" ht="17.25" thickBot="1" x14ac:dyDescent="0.35">
      <c r="A3540" s="2" t="s">
        <v>20242</v>
      </c>
      <c r="B3540" s="2" t="s">
        <v>27</v>
      </c>
      <c r="C3540" s="2" t="s">
        <v>28</v>
      </c>
      <c r="D3540" s="2" t="s">
        <v>97</v>
      </c>
      <c r="E3540" s="2" t="s">
        <v>20164</v>
      </c>
      <c r="F3540" s="2" t="s">
        <v>31</v>
      </c>
      <c r="G3540" s="2" t="s">
        <v>32</v>
      </c>
      <c r="H3540" s="1"/>
      <c r="I3540" s="2" t="s">
        <v>33</v>
      </c>
      <c r="J3540" s="2" t="s">
        <v>34</v>
      </c>
      <c r="K3540" s="2" t="s">
        <v>2396</v>
      </c>
      <c r="L3540" s="2" t="s">
        <v>2397</v>
      </c>
      <c r="M3540" s="2" t="s">
        <v>2389</v>
      </c>
      <c r="N3540" s="2" t="s">
        <v>38</v>
      </c>
      <c r="O3540" s="2" t="s">
        <v>214</v>
      </c>
      <c r="P3540" s="2" t="s">
        <v>40</v>
      </c>
      <c r="Q3540" s="2" t="s">
        <v>40</v>
      </c>
      <c r="R3540" s="2" t="s">
        <v>40</v>
      </c>
      <c r="S3540" s="2" t="s">
        <v>40</v>
      </c>
      <c r="T3540" s="2" t="s">
        <v>2401</v>
      </c>
      <c r="U3540" s="2" t="s">
        <v>9372</v>
      </c>
      <c r="V3540" s="2" t="s">
        <v>20243</v>
      </c>
      <c r="W3540" s="2" t="s">
        <v>41</v>
      </c>
      <c r="X3540" s="2" t="s">
        <v>42</v>
      </c>
      <c r="Y3540" s="2" t="s">
        <v>20167</v>
      </c>
      <c r="AA3540" t="str">
        <f t="shared" si="330"/>
        <v>2025-03</v>
      </c>
      <c r="AB3540" t="str">
        <f t="shared" si="331"/>
        <v>H1_2025</v>
      </c>
      <c r="AC3540">
        <f t="shared" si="332"/>
        <v>0</v>
      </c>
      <c r="AD3540">
        <f t="shared" si="333"/>
        <v>50</v>
      </c>
      <c r="AE3540">
        <f t="shared" si="334"/>
        <v>-345500</v>
      </c>
      <c r="AF3540" t="str">
        <f t="shared" si="335"/>
        <v>Sample</v>
      </c>
    </row>
    <row r="3541" spans="1:32" ht="17.25" thickBot="1" x14ac:dyDescent="0.35">
      <c r="A3541" s="2" t="s">
        <v>20244</v>
      </c>
      <c r="B3541" s="2" t="s">
        <v>27</v>
      </c>
      <c r="C3541" s="2" t="s">
        <v>28</v>
      </c>
      <c r="D3541" s="2" t="s">
        <v>97</v>
      </c>
      <c r="E3541" s="2" t="s">
        <v>20164</v>
      </c>
      <c r="F3541" s="2" t="s">
        <v>31</v>
      </c>
      <c r="G3541" s="2" t="s">
        <v>32</v>
      </c>
      <c r="H3541" s="1"/>
      <c r="I3541" s="2" t="s">
        <v>33</v>
      </c>
      <c r="J3541" s="2" t="s">
        <v>34</v>
      </c>
      <c r="K3541" s="2" t="s">
        <v>13949</v>
      </c>
      <c r="L3541" s="2" t="s">
        <v>13950</v>
      </c>
      <c r="M3541" s="2" t="s">
        <v>2389</v>
      </c>
      <c r="N3541" s="2" t="s">
        <v>38</v>
      </c>
      <c r="O3541" s="2" t="s">
        <v>214</v>
      </c>
      <c r="P3541" s="2" t="s">
        <v>40</v>
      </c>
      <c r="Q3541" s="2" t="s">
        <v>40</v>
      </c>
      <c r="R3541" s="2" t="s">
        <v>40</v>
      </c>
      <c r="S3541" s="2" t="s">
        <v>40</v>
      </c>
      <c r="T3541" s="2" t="s">
        <v>1628</v>
      </c>
      <c r="U3541" s="2" t="s">
        <v>11211</v>
      </c>
      <c r="V3541" s="2" t="s">
        <v>20245</v>
      </c>
      <c r="W3541" s="2" t="s">
        <v>41</v>
      </c>
      <c r="X3541" s="2" t="s">
        <v>42</v>
      </c>
      <c r="Y3541" s="2" t="s">
        <v>20167</v>
      </c>
      <c r="AA3541" t="str">
        <f t="shared" si="330"/>
        <v>2025-03</v>
      </c>
      <c r="AB3541" t="str">
        <f t="shared" si="331"/>
        <v>H1_2025</v>
      </c>
      <c r="AC3541">
        <f t="shared" si="332"/>
        <v>0</v>
      </c>
      <c r="AD3541">
        <f t="shared" si="333"/>
        <v>50</v>
      </c>
      <c r="AE3541">
        <f t="shared" si="334"/>
        <v>-405000</v>
      </c>
      <c r="AF3541" t="str">
        <f t="shared" si="335"/>
        <v>Sample</v>
      </c>
    </row>
    <row r="3542" spans="1:32" ht="17.25" thickBot="1" x14ac:dyDescent="0.35">
      <c r="A3542" s="2" t="s">
        <v>20246</v>
      </c>
      <c r="B3542" s="2" t="s">
        <v>27</v>
      </c>
      <c r="C3542" s="2" t="s">
        <v>28</v>
      </c>
      <c r="D3542" s="2" t="s">
        <v>97</v>
      </c>
      <c r="E3542" s="2" t="s">
        <v>20164</v>
      </c>
      <c r="F3542" s="2" t="s">
        <v>31</v>
      </c>
      <c r="G3542" s="2" t="s">
        <v>32</v>
      </c>
      <c r="H3542" s="1"/>
      <c r="I3542" s="2" t="s">
        <v>33</v>
      </c>
      <c r="J3542" s="2" t="s">
        <v>34</v>
      </c>
      <c r="K3542" s="2" t="s">
        <v>20247</v>
      </c>
      <c r="L3542" s="2" t="s">
        <v>20248</v>
      </c>
      <c r="M3542" s="2" t="s">
        <v>2389</v>
      </c>
      <c r="N3542" s="2" t="s">
        <v>38</v>
      </c>
      <c r="O3542" s="2" t="s">
        <v>291</v>
      </c>
      <c r="P3542" s="2" t="s">
        <v>40</v>
      </c>
      <c r="Q3542" s="2" t="s">
        <v>40</v>
      </c>
      <c r="R3542" s="2" t="s">
        <v>40</v>
      </c>
      <c r="S3542" s="2" t="s">
        <v>40</v>
      </c>
      <c r="T3542" s="2" t="s">
        <v>40</v>
      </c>
      <c r="U3542" s="2" t="s">
        <v>40</v>
      </c>
      <c r="V3542" s="2" t="s">
        <v>40</v>
      </c>
      <c r="W3542" s="2" t="s">
        <v>41</v>
      </c>
      <c r="X3542" s="2" t="s">
        <v>42</v>
      </c>
      <c r="Y3542" s="2" t="s">
        <v>20167</v>
      </c>
      <c r="AA3542" t="str">
        <f t="shared" si="330"/>
        <v>2025-03</v>
      </c>
      <c r="AB3542" t="str">
        <f t="shared" si="331"/>
        <v>H1_2025</v>
      </c>
      <c r="AC3542">
        <f t="shared" si="332"/>
        <v>0</v>
      </c>
      <c r="AD3542">
        <f t="shared" si="333"/>
        <v>36</v>
      </c>
      <c r="AE3542">
        <f t="shared" si="334"/>
        <v>0</v>
      </c>
      <c r="AF3542" t="str">
        <f t="shared" si="335"/>
        <v>Sample</v>
      </c>
    </row>
    <row r="3543" spans="1:32" ht="17.25" thickBot="1" x14ac:dyDescent="0.35">
      <c r="A3543" s="2" t="s">
        <v>20249</v>
      </c>
      <c r="B3543" s="2" t="s">
        <v>27</v>
      </c>
      <c r="C3543" s="2" t="s">
        <v>28</v>
      </c>
      <c r="D3543" s="2" t="s">
        <v>97</v>
      </c>
      <c r="E3543" s="2" t="s">
        <v>20164</v>
      </c>
      <c r="F3543" s="2" t="s">
        <v>31</v>
      </c>
      <c r="G3543" s="2" t="s">
        <v>32</v>
      </c>
      <c r="H3543" s="1"/>
      <c r="I3543" s="2" t="s">
        <v>33</v>
      </c>
      <c r="J3543" s="2" t="s">
        <v>34</v>
      </c>
      <c r="K3543" s="2" t="s">
        <v>20250</v>
      </c>
      <c r="L3543" s="2" t="s">
        <v>20251</v>
      </c>
      <c r="M3543" s="2" t="s">
        <v>2389</v>
      </c>
      <c r="N3543" s="2" t="s">
        <v>38</v>
      </c>
      <c r="O3543" s="2" t="s">
        <v>177</v>
      </c>
      <c r="P3543" s="2" t="s">
        <v>40</v>
      </c>
      <c r="Q3543" s="2" t="s">
        <v>40</v>
      </c>
      <c r="R3543" s="2" t="s">
        <v>40</v>
      </c>
      <c r="S3543" s="2" t="s">
        <v>40</v>
      </c>
      <c r="T3543" s="2" t="s">
        <v>40</v>
      </c>
      <c r="U3543" s="2" t="s">
        <v>40</v>
      </c>
      <c r="V3543" s="2" t="s">
        <v>40</v>
      </c>
      <c r="W3543" s="2" t="s">
        <v>41</v>
      </c>
      <c r="X3543" s="2" t="s">
        <v>42</v>
      </c>
      <c r="Y3543" s="2" t="s">
        <v>20167</v>
      </c>
      <c r="AA3543" t="str">
        <f t="shared" si="330"/>
        <v>2025-03</v>
      </c>
      <c r="AB3543" t="str">
        <f t="shared" si="331"/>
        <v>H1_2025</v>
      </c>
      <c r="AC3543">
        <f t="shared" si="332"/>
        <v>0</v>
      </c>
      <c r="AD3543">
        <f t="shared" si="333"/>
        <v>400</v>
      </c>
      <c r="AE3543">
        <f t="shared" si="334"/>
        <v>0</v>
      </c>
      <c r="AF3543" t="str">
        <f t="shared" si="335"/>
        <v>Sample</v>
      </c>
    </row>
    <row r="3544" spans="1:32" ht="17.25" thickBot="1" x14ac:dyDescent="0.35">
      <c r="A3544" s="2" t="s">
        <v>20252</v>
      </c>
      <c r="B3544" s="2" t="s">
        <v>27</v>
      </c>
      <c r="C3544" s="2" t="s">
        <v>28</v>
      </c>
      <c r="D3544" s="2" t="s">
        <v>97</v>
      </c>
      <c r="E3544" s="2" t="s">
        <v>20164</v>
      </c>
      <c r="F3544" s="2" t="s">
        <v>31</v>
      </c>
      <c r="G3544" s="2" t="s">
        <v>32</v>
      </c>
      <c r="H3544" s="1"/>
      <c r="I3544" s="2" t="s">
        <v>33</v>
      </c>
      <c r="J3544" s="2" t="s">
        <v>34</v>
      </c>
      <c r="K3544" s="2" t="s">
        <v>20253</v>
      </c>
      <c r="L3544" s="2" t="s">
        <v>20254</v>
      </c>
      <c r="M3544" s="2" t="s">
        <v>1787</v>
      </c>
      <c r="N3544" s="2" t="s">
        <v>38</v>
      </c>
      <c r="O3544" s="2" t="s">
        <v>745</v>
      </c>
      <c r="P3544" s="2" t="s">
        <v>518</v>
      </c>
      <c r="Q3544" s="2" t="s">
        <v>20255</v>
      </c>
      <c r="R3544" s="2" t="s">
        <v>40</v>
      </c>
      <c r="S3544" s="2" t="s">
        <v>20256</v>
      </c>
      <c r="T3544" s="2" t="s">
        <v>20257</v>
      </c>
      <c r="U3544" s="2" t="s">
        <v>20258</v>
      </c>
      <c r="V3544" s="2" t="s">
        <v>20259</v>
      </c>
      <c r="W3544" s="1"/>
      <c r="X3544" s="2" t="s">
        <v>3681</v>
      </c>
      <c r="Y3544" s="2" t="s">
        <v>20167</v>
      </c>
      <c r="AA3544" t="str">
        <f t="shared" si="330"/>
        <v>2025-03</v>
      </c>
      <c r="AB3544" t="str">
        <f t="shared" si="331"/>
        <v>H1_2025</v>
      </c>
      <c r="AC3544">
        <f t="shared" si="332"/>
        <v>1083430.92</v>
      </c>
      <c r="AD3544">
        <f t="shared" si="333"/>
        <v>86</v>
      </c>
      <c r="AE3544">
        <f t="shared" si="334"/>
        <v>248198.92</v>
      </c>
      <c r="AF3544" t="str">
        <f t="shared" si="335"/>
        <v>Paid</v>
      </c>
    </row>
    <row r="3545" spans="1:32" ht="17.25" thickBot="1" x14ac:dyDescent="0.35">
      <c r="A3545" s="2" t="s">
        <v>20260</v>
      </c>
      <c r="B3545" s="2" t="s">
        <v>27</v>
      </c>
      <c r="C3545" s="2" t="s">
        <v>28</v>
      </c>
      <c r="D3545" s="2" t="s">
        <v>97</v>
      </c>
      <c r="E3545" s="2" t="s">
        <v>20164</v>
      </c>
      <c r="F3545" s="2" t="s">
        <v>31</v>
      </c>
      <c r="G3545" s="2" t="s">
        <v>32</v>
      </c>
      <c r="H3545" s="1"/>
      <c r="I3545" s="2" t="s">
        <v>33</v>
      </c>
      <c r="J3545" s="2" t="s">
        <v>34</v>
      </c>
      <c r="K3545" s="2" t="s">
        <v>19426</v>
      </c>
      <c r="L3545" s="2" t="s">
        <v>19427</v>
      </c>
      <c r="M3545" s="2" t="s">
        <v>1787</v>
      </c>
      <c r="N3545" s="2" t="s">
        <v>38</v>
      </c>
      <c r="O3545" s="2" t="s">
        <v>1158</v>
      </c>
      <c r="P3545" s="2" t="s">
        <v>6336</v>
      </c>
      <c r="Q3545" s="2" t="s">
        <v>20261</v>
      </c>
      <c r="R3545" s="2" t="s">
        <v>40</v>
      </c>
      <c r="S3545" s="2" t="s">
        <v>20262</v>
      </c>
      <c r="T3545" s="2" t="s">
        <v>20263</v>
      </c>
      <c r="U3545" s="2" t="s">
        <v>20264</v>
      </c>
      <c r="V3545" s="2" t="s">
        <v>20265</v>
      </c>
      <c r="W3545" s="1"/>
      <c r="X3545" s="2" t="s">
        <v>15185</v>
      </c>
      <c r="Y3545" s="2" t="s">
        <v>20167</v>
      </c>
      <c r="AA3545" t="str">
        <f t="shared" si="330"/>
        <v>2025-03</v>
      </c>
      <c r="AB3545" t="str">
        <f t="shared" si="331"/>
        <v>H1_2025</v>
      </c>
      <c r="AC3545">
        <f t="shared" si="332"/>
        <v>1543330.26</v>
      </c>
      <c r="AD3545">
        <f t="shared" si="333"/>
        <v>180</v>
      </c>
      <c r="AE3545">
        <f t="shared" si="334"/>
        <v>235810.26</v>
      </c>
      <c r="AF3545" t="str">
        <f t="shared" si="335"/>
        <v>Paid</v>
      </c>
    </row>
    <row r="3546" spans="1:32" ht="27.75" thickBot="1" x14ac:dyDescent="0.35">
      <c r="A3546" s="2" t="s">
        <v>20266</v>
      </c>
      <c r="B3546" s="2" t="s">
        <v>27</v>
      </c>
      <c r="C3546" s="2" t="s">
        <v>28</v>
      </c>
      <c r="D3546" s="2" t="s">
        <v>97</v>
      </c>
      <c r="E3546" s="2" t="s">
        <v>20164</v>
      </c>
      <c r="F3546" s="2" t="s">
        <v>31</v>
      </c>
      <c r="G3546" s="2" t="s">
        <v>32</v>
      </c>
      <c r="H3546" s="1"/>
      <c r="I3546" s="2" t="s">
        <v>33</v>
      </c>
      <c r="J3546" s="2" t="s">
        <v>34</v>
      </c>
      <c r="K3546" s="2" t="s">
        <v>20267</v>
      </c>
      <c r="L3546" s="2" t="s">
        <v>20268</v>
      </c>
      <c r="M3546" s="2" t="s">
        <v>16013</v>
      </c>
      <c r="N3546" s="2" t="s">
        <v>38</v>
      </c>
      <c r="O3546" s="2" t="s">
        <v>2500</v>
      </c>
      <c r="P3546" s="2" t="s">
        <v>7296</v>
      </c>
      <c r="Q3546" s="2" t="s">
        <v>20269</v>
      </c>
      <c r="R3546" s="2" t="s">
        <v>40</v>
      </c>
      <c r="S3546" s="2" t="s">
        <v>20270</v>
      </c>
      <c r="T3546" s="2" t="s">
        <v>20271</v>
      </c>
      <c r="U3546" s="2" t="s">
        <v>20272</v>
      </c>
      <c r="V3546" s="2" t="s">
        <v>20273</v>
      </c>
      <c r="W3546" s="1"/>
      <c r="X3546" s="2" t="s">
        <v>18456</v>
      </c>
      <c r="Y3546" s="2" t="s">
        <v>20167</v>
      </c>
      <c r="AA3546" t="str">
        <f t="shared" si="330"/>
        <v>2025-03</v>
      </c>
      <c r="AB3546" t="str">
        <f t="shared" si="331"/>
        <v>H1_2025</v>
      </c>
      <c r="AC3546">
        <f t="shared" si="332"/>
        <v>2984425.91</v>
      </c>
      <c r="AD3546">
        <f t="shared" si="333"/>
        <v>302</v>
      </c>
      <c r="AE3546">
        <f t="shared" si="334"/>
        <v>1045585.91</v>
      </c>
      <c r="AF3546" t="str">
        <f t="shared" si="335"/>
        <v>Paid</v>
      </c>
    </row>
    <row r="3547" spans="1:32" ht="17.25" thickBot="1" x14ac:dyDescent="0.35">
      <c r="A3547" s="2" t="s">
        <v>20274</v>
      </c>
      <c r="B3547" s="2" t="s">
        <v>27</v>
      </c>
      <c r="C3547" s="2" t="s">
        <v>28</v>
      </c>
      <c r="D3547" s="2" t="s">
        <v>97</v>
      </c>
      <c r="E3547" s="2" t="s">
        <v>20164</v>
      </c>
      <c r="F3547" s="2" t="s">
        <v>31</v>
      </c>
      <c r="G3547" s="2" t="s">
        <v>32</v>
      </c>
      <c r="H3547" s="1"/>
      <c r="I3547" s="2" t="s">
        <v>33</v>
      </c>
      <c r="J3547" s="2" t="s">
        <v>34</v>
      </c>
      <c r="K3547" s="2" t="s">
        <v>20275</v>
      </c>
      <c r="L3547" s="2" t="s">
        <v>20276</v>
      </c>
      <c r="M3547" s="2" t="s">
        <v>89</v>
      </c>
      <c r="N3547" s="2" t="s">
        <v>38</v>
      </c>
      <c r="O3547" s="2" t="s">
        <v>1588</v>
      </c>
      <c r="P3547" s="2" t="s">
        <v>40</v>
      </c>
      <c r="Q3547" s="2" t="s">
        <v>40</v>
      </c>
      <c r="R3547" s="2" t="s">
        <v>40</v>
      </c>
      <c r="S3547" s="2" t="s">
        <v>40</v>
      </c>
      <c r="T3547" s="2" t="s">
        <v>40</v>
      </c>
      <c r="U3547" s="2" t="s">
        <v>40</v>
      </c>
      <c r="V3547" s="2" t="s">
        <v>40</v>
      </c>
      <c r="W3547" s="2" t="s">
        <v>41</v>
      </c>
      <c r="X3547" s="2" t="s">
        <v>42</v>
      </c>
      <c r="Y3547" s="2" t="s">
        <v>20167</v>
      </c>
      <c r="AA3547" t="str">
        <f t="shared" si="330"/>
        <v>2025-03</v>
      </c>
      <c r="AB3547" t="str">
        <f t="shared" si="331"/>
        <v>H1_2025</v>
      </c>
      <c r="AC3547">
        <f t="shared" si="332"/>
        <v>0</v>
      </c>
      <c r="AD3547">
        <f t="shared" si="333"/>
        <v>182</v>
      </c>
      <c r="AE3547">
        <f t="shared" si="334"/>
        <v>0</v>
      </c>
      <c r="AF3547" t="str">
        <f t="shared" si="335"/>
        <v>Sample</v>
      </c>
    </row>
    <row r="3548" spans="1:32" ht="17.25" thickBot="1" x14ac:dyDescent="0.35">
      <c r="A3548" s="2" t="s">
        <v>20277</v>
      </c>
      <c r="B3548" s="2" t="s">
        <v>27</v>
      </c>
      <c r="C3548" s="2" t="s">
        <v>28</v>
      </c>
      <c r="D3548" s="2" t="s">
        <v>97</v>
      </c>
      <c r="E3548" s="2" t="s">
        <v>20164</v>
      </c>
      <c r="F3548" s="2" t="s">
        <v>31</v>
      </c>
      <c r="G3548" s="2" t="s">
        <v>32</v>
      </c>
      <c r="H3548" s="1"/>
      <c r="I3548" s="2" t="s">
        <v>33</v>
      </c>
      <c r="J3548" s="2" t="s">
        <v>34</v>
      </c>
      <c r="K3548" s="2" t="s">
        <v>20278</v>
      </c>
      <c r="L3548" s="2" t="s">
        <v>20279</v>
      </c>
      <c r="M3548" s="2" t="s">
        <v>89</v>
      </c>
      <c r="N3548" s="2" t="s">
        <v>38</v>
      </c>
      <c r="O3548" s="2" t="s">
        <v>3466</v>
      </c>
      <c r="P3548" s="2" t="s">
        <v>40</v>
      </c>
      <c r="Q3548" s="2" t="s">
        <v>40</v>
      </c>
      <c r="R3548" s="2" t="s">
        <v>40</v>
      </c>
      <c r="S3548" s="2" t="s">
        <v>40</v>
      </c>
      <c r="T3548" s="2" t="s">
        <v>40</v>
      </c>
      <c r="U3548" s="2" t="s">
        <v>40</v>
      </c>
      <c r="V3548" s="2" t="s">
        <v>40</v>
      </c>
      <c r="W3548" s="2" t="s">
        <v>41</v>
      </c>
      <c r="X3548" s="2" t="s">
        <v>42</v>
      </c>
      <c r="Y3548" s="2" t="s">
        <v>20167</v>
      </c>
      <c r="AA3548" t="str">
        <f t="shared" si="330"/>
        <v>2025-03</v>
      </c>
      <c r="AB3548" t="str">
        <f t="shared" si="331"/>
        <v>H1_2025</v>
      </c>
      <c r="AC3548">
        <f t="shared" si="332"/>
        <v>0</v>
      </c>
      <c r="AD3548">
        <f t="shared" si="333"/>
        <v>432</v>
      </c>
      <c r="AE3548">
        <f t="shared" si="334"/>
        <v>0</v>
      </c>
      <c r="AF3548" t="str">
        <f t="shared" si="335"/>
        <v>Sample</v>
      </c>
    </row>
    <row r="3549" spans="1:32" ht="17.25" thickBot="1" x14ac:dyDescent="0.35">
      <c r="A3549" s="2" t="s">
        <v>20280</v>
      </c>
      <c r="B3549" s="2" t="s">
        <v>27</v>
      </c>
      <c r="C3549" s="2" t="s">
        <v>28</v>
      </c>
      <c r="D3549" s="2" t="s">
        <v>97</v>
      </c>
      <c r="E3549" s="2" t="s">
        <v>20164</v>
      </c>
      <c r="F3549" s="2" t="s">
        <v>31</v>
      </c>
      <c r="G3549" s="2" t="s">
        <v>32</v>
      </c>
      <c r="H3549" s="1"/>
      <c r="I3549" s="2" t="s">
        <v>33</v>
      </c>
      <c r="J3549" s="2" t="s">
        <v>34</v>
      </c>
      <c r="K3549" s="2" t="s">
        <v>720</v>
      </c>
      <c r="L3549" s="2" t="s">
        <v>721</v>
      </c>
      <c r="M3549" s="2" t="s">
        <v>701</v>
      </c>
      <c r="N3549" s="2" t="s">
        <v>38</v>
      </c>
      <c r="O3549" s="2" t="s">
        <v>156</v>
      </c>
      <c r="P3549" s="2" t="s">
        <v>6336</v>
      </c>
      <c r="Q3549" s="2" t="s">
        <v>20281</v>
      </c>
      <c r="R3549" s="2" t="s">
        <v>40</v>
      </c>
      <c r="S3549" s="2" t="s">
        <v>20282</v>
      </c>
      <c r="T3549" s="2" t="s">
        <v>726</v>
      </c>
      <c r="U3549" s="2" t="s">
        <v>20283</v>
      </c>
      <c r="V3549" s="2" t="s">
        <v>20284</v>
      </c>
      <c r="W3549" s="1"/>
      <c r="X3549" s="2" t="s">
        <v>1100</v>
      </c>
      <c r="Y3549" s="2" t="s">
        <v>20167</v>
      </c>
      <c r="AA3549" t="str">
        <f t="shared" si="330"/>
        <v>2025-03</v>
      </c>
      <c r="AB3549" t="str">
        <f t="shared" si="331"/>
        <v>H1_2025</v>
      </c>
      <c r="AC3549">
        <f t="shared" si="332"/>
        <v>171481.14</v>
      </c>
      <c r="AD3549">
        <f t="shared" si="333"/>
        <v>20</v>
      </c>
      <c r="AE3549">
        <f t="shared" si="334"/>
        <v>28681.14</v>
      </c>
      <c r="AF3549" t="str">
        <f t="shared" si="335"/>
        <v>Paid</v>
      </c>
    </row>
    <row r="3550" spans="1:32" ht="17.25" thickBot="1" x14ac:dyDescent="0.35">
      <c r="A3550" s="2" t="s">
        <v>20285</v>
      </c>
      <c r="B3550" s="2" t="s">
        <v>27</v>
      </c>
      <c r="C3550" s="2" t="s">
        <v>28</v>
      </c>
      <c r="D3550" s="2" t="s">
        <v>97</v>
      </c>
      <c r="E3550" s="2" t="s">
        <v>20164</v>
      </c>
      <c r="F3550" s="2" t="s">
        <v>31</v>
      </c>
      <c r="G3550" s="2" t="s">
        <v>32</v>
      </c>
      <c r="H3550" s="1"/>
      <c r="I3550" s="2" t="s">
        <v>33</v>
      </c>
      <c r="J3550" s="2" t="s">
        <v>34</v>
      </c>
      <c r="K3550" s="2" t="s">
        <v>20286</v>
      </c>
      <c r="L3550" s="2" t="s">
        <v>20287</v>
      </c>
      <c r="M3550" s="2" t="s">
        <v>20288</v>
      </c>
      <c r="N3550" s="2" t="s">
        <v>38</v>
      </c>
      <c r="O3550" s="2" t="s">
        <v>26</v>
      </c>
      <c r="P3550" s="2" t="s">
        <v>40</v>
      </c>
      <c r="Q3550" s="2" t="s">
        <v>40</v>
      </c>
      <c r="R3550" s="2" t="s">
        <v>40</v>
      </c>
      <c r="S3550" s="2" t="s">
        <v>40</v>
      </c>
      <c r="T3550" s="2" t="s">
        <v>40</v>
      </c>
      <c r="U3550" s="2" t="s">
        <v>40</v>
      </c>
      <c r="V3550" s="2" t="s">
        <v>40</v>
      </c>
      <c r="W3550" s="2" t="s">
        <v>41</v>
      </c>
      <c r="X3550" s="2" t="s">
        <v>42</v>
      </c>
      <c r="Y3550" s="2" t="s">
        <v>20167</v>
      </c>
      <c r="AA3550" t="str">
        <f t="shared" si="330"/>
        <v>2025-03</v>
      </c>
      <c r="AB3550" t="str">
        <f t="shared" si="331"/>
        <v>H1_2025</v>
      </c>
      <c r="AC3550">
        <f t="shared" si="332"/>
        <v>0</v>
      </c>
      <c r="AD3550">
        <f t="shared" si="333"/>
        <v>1</v>
      </c>
      <c r="AE3550">
        <f t="shared" si="334"/>
        <v>0</v>
      </c>
      <c r="AF3550" t="str">
        <f t="shared" si="335"/>
        <v>Sample</v>
      </c>
    </row>
    <row r="3551" spans="1:32" ht="17.25" thickBot="1" x14ac:dyDescent="0.35">
      <c r="A3551" s="2" t="s">
        <v>20289</v>
      </c>
      <c r="B3551" s="2" t="s">
        <v>27</v>
      </c>
      <c r="C3551" s="2" t="s">
        <v>28</v>
      </c>
      <c r="D3551" s="2" t="s">
        <v>97</v>
      </c>
      <c r="E3551" s="2" t="s">
        <v>20164</v>
      </c>
      <c r="F3551" s="2" t="s">
        <v>31</v>
      </c>
      <c r="G3551" s="2" t="s">
        <v>32</v>
      </c>
      <c r="H3551" s="1"/>
      <c r="I3551" s="2" t="s">
        <v>33</v>
      </c>
      <c r="J3551" s="2" t="s">
        <v>34</v>
      </c>
      <c r="K3551" s="2" t="s">
        <v>18610</v>
      </c>
      <c r="L3551" s="2" t="s">
        <v>18611</v>
      </c>
      <c r="M3551" s="2" t="s">
        <v>10280</v>
      </c>
      <c r="N3551" s="2" t="s">
        <v>38</v>
      </c>
      <c r="O3551" s="2" t="s">
        <v>773</v>
      </c>
      <c r="P3551" s="2" t="s">
        <v>40</v>
      </c>
      <c r="Q3551" s="2" t="s">
        <v>40</v>
      </c>
      <c r="R3551" s="2" t="s">
        <v>40</v>
      </c>
      <c r="S3551" s="2" t="s">
        <v>40</v>
      </c>
      <c r="T3551" s="2" t="s">
        <v>40</v>
      </c>
      <c r="U3551" s="2" t="s">
        <v>40</v>
      </c>
      <c r="V3551" s="2" t="s">
        <v>40</v>
      </c>
      <c r="W3551" s="2" t="s">
        <v>41</v>
      </c>
      <c r="X3551" s="2" t="s">
        <v>42</v>
      </c>
      <c r="Y3551" s="2" t="s">
        <v>20167</v>
      </c>
      <c r="AA3551" t="str">
        <f t="shared" si="330"/>
        <v>2025-03</v>
      </c>
      <c r="AB3551" t="str">
        <f t="shared" si="331"/>
        <v>H1_2025</v>
      </c>
      <c r="AC3551">
        <f t="shared" si="332"/>
        <v>0</v>
      </c>
      <c r="AD3551">
        <f t="shared" si="333"/>
        <v>200</v>
      </c>
      <c r="AE3551">
        <f t="shared" si="334"/>
        <v>0</v>
      </c>
      <c r="AF3551" t="str">
        <f t="shared" si="335"/>
        <v>Sample</v>
      </c>
    </row>
    <row r="3552" spans="1:32" ht="27.75" thickBot="1" x14ac:dyDescent="0.35">
      <c r="A3552" s="2" t="s">
        <v>20290</v>
      </c>
      <c r="B3552" s="2" t="s">
        <v>27</v>
      </c>
      <c r="C3552" s="2" t="s">
        <v>28</v>
      </c>
      <c r="D3552" s="2" t="s">
        <v>97</v>
      </c>
      <c r="E3552" s="2" t="s">
        <v>20164</v>
      </c>
      <c r="F3552" s="2" t="s">
        <v>31</v>
      </c>
      <c r="G3552" s="2" t="s">
        <v>32</v>
      </c>
      <c r="H3552" s="1"/>
      <c r="I3552" s="2" t="s">
        <v>33</v>
      </c>
      <c r="J3552" s="2" t="s">
        <v>34</v>
      </c>
      <c r="K3552" s="2" t="s">
        <v>20291</v>
      </c>
      <c r="L3552" s="2" t="s">
        <v>20292</v>
      </c>
      <c r="M3552" s="2" t="s">
        <v>17198</v>
      </c>
      <c r="N3552" s="2" t="s">
        <v>38</v>
      </c>
      <c r="O3552" s="2" t="s">
        <v>1307</v>
      </c>
      <c r="P3552" s="2" t="s">
        <v>20293</v>
      </c>
      <c r="Q3552" s="2" t="s">
        <v>20294</v>
      </c>
      <c r="R3552" s="2" t="s">
        <v>40</v>
      </c>
      <c r="S3552" s="2" t="s">
        <v>20295</v>
      </c>
      <c r="T3552" s="2" t="s">
        <v>20296</v>
      </c>
      <c r="U3552" s="2" t="s">
        <v>20297</v>
      </c>
      <c r="V3552" s="2" t="s">
        <v>20298</v>
      </c>
      <c r="W3552" s="1"/>
      <c r="X3552" s="2" t="s">
        <v>6894</v>
      </c>
      <c r="Y3552" s="2" t="s">
        <v>20167</v>
      </c>
      <c r="AA3552" t="str">
        <f t="shared" si="330"/>
        <v>2025-03</v>
      </c>
      <c r="AB3552" t="str">
        <f t="shared" si="331"/>
        <v>H1_2025</v>
      </c>
      <c r="AC3552">
        <f t="shared" si="332"/>
        <v>3064222.94</v>
      </c>
      <c r="AD3552">
        <f t="shared" si="333"/>
        <v>147</v>
      </c>
      <c r="AE3552">
        <f t="shared" si="334"/>
        <v>888622.94</v>
      </c>
      <c r="AF3552" t="str">
        <f t="shared" si="335"/>
        <v>Paid</v>
      </c>
    </row>
    <row r="3553" spans="1:32" ht="17.25" thickBot="1" x14ac:dyDescent="0.35">
      <c r="A3553" s="2" t="s">
        <v>20299</v>
      </c>
      <c r="B3553" s="2" t="s">
        <v>27</v>
      </c>
      <c r="C3553" s="2" t="s">
        <v>28</v>
      </c>
      <c r="D3553" s="2" t="s">
        <v>97</v>
      </c>
      <c r="E3553" s="2" t="s">
        <v>20164</v>
      </c>
      <c r="F3553" s="2" t="s">
        <v>31</v>
      </c>
      <c r="G3553" s="2" t="s">
        <v>32</v>
      </c>
      <c r="H3553" s="1"/>
      <c r="I3553" s="2" t="s">
        <v>33</v>
      </c>
      <c r="J3553" s="2" t="s">
        <v>34</v>
      </c>
      <c r="K3553" s="2" t="s">
        <v>20300</v>
      </c>
      <c r="L3553" s="2" t="s">
        <v>20301</v>
      </c>
      <c r="M3553" s="2" t="s">
        <v>7510</v>
      </c>
      <c r="N3553" s="2" t="s">
        <v>38</v>
      </c>
      <c r="O3553" s="2" t="s">
        <v>177</v>
      </c>
      <c r="P3553" s="2" t="s">
        <v>40</v>
      </c>
      <c r="Q3553" s="2" t="s">
        <v>40</v>
      </c>
      <c r="R3553" s="2" t="s">
        <v>40</v>
      </c>
      <c r="S3553" s="2" t="s">
        <v>40</v>
      </c>
      <c r="T3553" s="2" t="s">
        <v>40</v>
      </c>
      <c r="U3553" s="2" t="s">
        <v>40</v>
      </c>
      <c r="V3553" s="2" t="s">
        <v>40</v>
      </c>
      <c r="W3553" s="2" t="s">
        <v>41</v>
      </c>
      <c r="X3553" s="2" t="s">
        <v>42</v>
      </c>
      <c r="Y3553" s="2" t="s">
        <v>20167</v>
      </c>
      <c r="AA3553" t="str">
        <f t="shared" si="330"/>
        <v>2025-03</v>
      </c>
      <c r="AB3553" t="str">
        <f t="shared" si="331"/>
        <v>H1_2025</v>
      </c>
      <c r="AC3553">
        <f t="shared" si="332"/>
        <v>0</v>
      </c>
      <c r="AD3553">
        <f t="shared" si="333"/>
        <v>400</v>
      </c>
      <c r="AE3553">
        <f t="shared" si="334"/>
        <v>0</v>
      </c>
      <c r="AF3553" t="str">
        <f t="shared" si="335"/>
        <v>Sample</v>
      </c>
    </row>
    <row r="3554" spans="1:32" ht="17.25" thickBot="1" x14ac:dyDescent="0.35">
      <c r="A3554" s="2" t="s">
        <v>20302</v>
      </c>
      <c r="B3554" s="2" t="s">
        <v>27</v>
      </c>
      <c r="C3554" s="2" t="s">
        <v>28</v>
      </c>
      <c r="D3554" s="2" t="s">
        <v>97</v>
      </c>
      <c r="E3554" s="2" t="s">
        <v>20164</v>
      </c>
      <c r="F3554" s="2" t="s">
        <v>31</v>
      </c>
      <c r="G3554" s="2" t="s">
        <v>32</v>
      </c>
      <c r="H3554" s="1"/>
      <c r="I3554" s="2" t="s">
        <v>33</v>
      </c>
      <c r="J3554" s="2" t="s">
        <v>34</v>
      </c>
      <c r="K3554" s="2" t="s">
        <v>4528</v>
      </c>
      <c r="L3554" s="2" t="s">
        <v>4529</v>
      </c>
      <c r="M3554" s="2" t="s">
        <v>84</v>
      </c>
      <c r="N3554" s="2" t="s">
        <v>38</v>
      </c>
      <c r="O3554" s="2" t="s">
        <v>2886</v>
      </c>
      <c r="P3554" s="2" t="s">
        <v>10576</v>
      </c>
      <c r="Q3554" s="2" t="s">
        <v>20303</v>
      </c>
      <c r="R3554" s="2" t="s">
        <v>40</v>
      </c>
      <c r="S3554" s="2" t="s">
        <v>20304</v>
      </c>
      <c r="T3554" s="2" t="s">
        <v>4531</v>
      </c>
      <c r="U3554" s="2" t="s">
        <v>20305</v>
      </c>
      <c r="V3554" s="2" t="s">
        <v>20306</v>
      </c>
      <c r="W3554" s="1"/>
      <c r="X3554" s="2" t="s">
        <v>7059</v>
      </c>
      <c r="Y3554" s="2" t="s">
        <v>20167</v>
      </c>
      <c r="AA3554" t="str">
        <f t="shared" si="330"/>
        <v>2025-03</v>
      </c>
      <c r="AB3554" t="str">
        <f t="shared" si="331"/>
        <v>H1_2025</v>
      </c>
      <c r="AC3554">
        <f t="shared" si="332"/>
        <v>4488028.28</v>
      </c>
      <c r="AD3554">
        <f t="shared" si="333"/>
        <v>348</v>
      </c>
      <c r="AE3554">
        <f t="shared" si="334"/>
        <v>1216828.28</v>
      </c>
      <c r="AF3554" t="str">
        <f t="shared" si="335"/>
        <v>Paid</v>
      </c>
    </row>
    <row r="3555" spans="1:32" ht="27.75" thickBot="1" x14ac:dyDescent="0.35">
      <c r="A3555" s="2" t="s">
        <v>20307</v>
      </c>
      <c r="B3555" s="2" t="s">
        <v>27</v>
      </c>
      <c r="C3555" s="2" t="s">
        <v>28</v>
      </c>
      <c r="D3555" s="2" t="s">
        <v>97</v>
      </c>
      <c r="E3555" s="2" t="s">
        <v>20164</v>
      </c>
      <c r="F3555" s="2" t="s">
        <v>31</v>
      </c>
      <c r="G3555" s="2" t="s">
        <v>32</v>
      </c>
      <c r="H3555" s="1"/>
      <c r="I3555" s="2" t="s">
        <v>33</v>
      </c>
      <c r="J3555" s="2" t="s">
        <v>34</v>
      </c>
      <c r="K3555" s="2" t="s">
        <v>20308</v>
      </c>
      <c r="L3555" s="2" t="s">
        <v>20309</v>
      </c>
      <c r="M3555" s="2" t="s">
        <v>1757</v>
      </c>
      <c r="N3555" s="2" t="s">
        <v>38</v>
      </c>
      <c r="O3555" s="2" t="s">
        <v>66</v>
      </c>
      <c r="P3555" s="2" t="s">
        <v>40</v>
      </c>
      <c r="Q3555" s="2" t="s">
        <v>40</v>
      </c>
      <c r="R3555" s="2" t="s">
        <v>40</v>
      </c>
      <c r="S3555" s="2" t="s">
        <v>40</v>
      </c>
      <c r="T3555" s="2" t="s">
        <v>40</v>
      </c>
      <c r="U3555" s="2" t="s">
        <v>40</v>
      </c>
      <c r="V3555" s="2" t="s">
        <v>40</v>
      </c>
      <c r="W3555" s="2" t="s">
        <v>41</v>
      </c>
      <c r="X3555" s="2" t="s">
        <v>42</v>
      </c>
      <c r="Y3555" s="2" t="s">
        <v>20167</v>
      </c>
      <c r="AA3555" t="str">
        <f t="shared" si="330"/>
        <v>2025-03</v>
      </c>
      <c r="AB3555" t="str">
        <f t="shared" si="331"/>
        <v>H1_2025</v>
      </c>
      <c r="AC3555">
        <f t="shared" si="332"/>
        <v>0</v>
      </c>
      <c r="AD3555">
        <f t="shared" si="333"/>
        <v>8</v>
      </c>
      <c r="AE3555">
        <f t="shared" si="334"/>
        <v>0</v>
      </c>
      <c r="AF3555" t="str">
        <f t="shared" si="335"/>
        <v>Sample</v>
      </c>
    </row>
    <row r="3556" spans="1:32" ht="17.25" thickBot="1" x14ac:dyDescent="0.35">
      <c r="A3556" s="2" t="s">
        <v>20310</v>
      </c>
      <c r="B3556" s="2" t="s">
        <v>27</v>
      </c>
      <c r="C3556" s="2" t="s">
        <v>28</v>
      </c>
      <c r="D3556" s="2" t="s">
        <v>97</v>
      </c>
      <c r="E3556" s="2" t="s">
        <v>20164</v>
      </c>
      <c r="F3556" s="2" t="s">
        <v>31</v>
      </c>
      <c r="G3556" s="2" t="s">
        <v>32</v>
      </c>
      <c r="H3556" s="1"/>
      <c r="I3556" s="2" t="s">
        <v>33</v>
      </c>
      <c r="J3556" s="2" t="s">
        <v>34</v>
      </c>
      <c r="K3556" s="2" t="s">
        <v>20311</v>
      </c>
      <c r="L3556" s="2" t="s">
        <v>20312</v>
      </c>
      <c r="M3556" s="2" t="s">
        <v>20313</v>
      </c>
      <c r="N3556" s="2" t="s">
        <v>38</v>
      </c>
      <c r="O3556" s="2" t="s">
        <v>51</v>
      </c>
      <c r="P3556" s="2" t="s">
        <v>40</v>
      </c>
      <c r="Q3556" s="2" t="s">
        <v>40</v>
      </c>
      <c r="R3556" s="2" t="s">
        <v>40</v>
      </c>
      <c r="S3556" s="2" t="s">
        <v>40</v>
      </c>
      <c r="T3556" s="2" t="s">
        <v>13982</v>
      </c>
      <c r="U3556" s="2" t="s">
        <v>20314</v>
      </c>
      <c r="V3556" s="2" t="s">
        <v>20315</v>
      </c>
      <c r="W3556" s="2" t="s">
        <v>41</v>
      </c>
      <c r="X3556" s="2" t="s">
        <v>42</v>
      </c>
      <c r="Y3556" s="2" t="s">
        <v>20167</v>
      </c>
      <c r="AA3556" t="str">
        <f t="shared" si="330"/>
        <v>2025-03</v>
      </c>
      <c r="AB3556" t="str">
        <f t="shared" si="331"/>
        <v>H1_2025</v>
      </c>
      <c r="AC3556">
        <f t="shared" si="332"/>
        <v>0</v>
      </c>
      <c r="AD3556">
        <f t="shared" si="333"/>
        <v>3</v>
      </c>
      <c r="AE3556">
        <f t="shared" si="334"/>
        <v>-19092</v>
      </c>
      <c r="AF3556" t="str">
        <f t="shared" si="335"/>
        <v>Sample</v>
      </c>
    </row>
    <row r="3557" spans="1:32" ht="17.25" thickBot="1" x14ac:dyDescent="0.35">
      <c r="A3557" s="2" t="s">
        <v>20316</v>
      </c>
      <c r="B3557" s="2" t="s">
        <v>27</v>
      </c>
      <c r="C3557" s="2" t="s">
        <v>28</v>
      </c>
      <c r="D3557" s="2" t="s">
        <v>97</v>
      </c>
      <c r="E3557" s="2" t="s">
        <v>20164</v>
      </c>
      <c r="F3557" s="2" t="s">
        <v>31</v>
      </c>
      <c r="G3557" s="2" t="s">
        <v>32</v>
      </c>
      <c r="H3557" s="1"/>
      <c r="I3557" s="2" t="s">
        <v>33</v>
      </c>
      <c r="J3557" s="2" t="s">
        <v>34</v>
      </c>
      <c r="K3557" s="2" t="s">
        <v>20317</v>
      </c>
      <c r="L3557" s="2" t="s">
        <v>20318</v>
      </c>
      <c r="M3557" s="2" t="s">
        <v>20313</v>
      </c>
      <c r="N3557" s="2" t="s">
        <v>38</v>
      </c>
      <c r="O3557" s="2" t="s">
        <v>51</v>
      </c>
      <c r="P3557" s="2" t="s">
        <v>40</v>
      </c>
      <c r="Q3557" s="2" t="s">
        <v>40</v>
      </c>
      <c r="R3557" s="2" t="s">
        <v>40</v>
      </c>
      <c r="S3557" s="2" t="s">
        <v>40</v>
      </c>
      <c r="T3557" s="2" t="s">
        <v>13982</v>
      </c>
      <c r="U3557" s="2" t="s">
        <v>20314</v>
      </c>
      <c r="V3557" s="2" t="s">
        <v>20315</v>
      </c>
      <c r="W3557" s="2" t="s">
        <v>41</v>
      </c>
      <c r="X3557" s="2" t="s">
        <v>42</v>
      </c>
      <c r="Y3557" s="2" t="s">
        <v>20167</v>
      </c>
      <c r="AA3557" t="str">
        <f t="shared" si="330"/>
        <v>2025-03</v>
      </c>
      <c r="AB3557" t="str">
        <f t="shared" si="331"/>
        <v>H1_2025</v>
      </c>
      <c r="AC3557">
        <f t="shared" si="332"/>
        <v>0</v>
      </c>
      <c r="AD3557">
        <f t="shared" si="333"/>
        <v>3</v>
      </c>
      <c r="AE3557">
        <f t="shared" si="334"/>
        <v>-19092</v>
      </c>
      <c r="AF3557" t="str">
        <f t="shared" si="335"/>
        <v>Sample</v>
      </c>
    </row>
    <row r="3558" spans="1:32" ht="17.25" thickBot="1" x14ac:dyDescent="0.35">
      <c r="A3558" s="2" t="s">
        <v>20319</v>
      </c>
      <c r="B3558" s="2" t="s">
        <v>27</v>
      </c>
      <c r="C3558" s="2" t="s">
        <v>28</v>
      </c>
      <c r="D3558" s="2" t="s">
        <v>97</v>
      </c>
      <c r="E3558" s="2" t="s">
        <v>20164</v>
      </c>
      <c r="F3558" s="2" t="s">
        <v>31</v>
      </c>
      <c r="G3558" s="2" t="s">
        <v>32</v>
      </c>
      <c r="H3558" s="1"/>
      <c r="I3558" s="2" t="s">
        <v>33</v>
      </c>
      <c r="J3558" s="2" t="s">
        <v>34</v>
      </c>
      <c r="K3558" s="2" t="s">
        <v>20320</v>
      </c>
      <c r="L3558" s="2" t="s">
        <v>20321</v>
      </c>
      <c r="M3558" s="2" t="s">
        <v>20313</v>
      </c>
      <c r="N3558" s="2" t="s">
        <v>38</v>
      </c>
      <c r="O3558" s="2" t="s">
        <v>51</v>
      </c>
      <c r="P3558" s="2" t="s">
        <v>40</v>
      </c>
      <c r="Q3558" s="2" t="s">
        <v>40</v>
      </c>
      <c r="R3558" s="2" t="s">
        <v>40</v>
      </c>
      <c r="S3558" s="2" t="s">
        <v>40</v>
      </c>
      <c r="T3558" s="2" t="s">
        <v>13982</v>
      </c>
      <c r="U3558" s="2" t="s">
        <v>20314</v>
      </c>
      <c r="V3558" s="2" t="s">
        <v>20315</v>
      </c>
      <c r="W3558" s="2" t="s">
        <v>41</v>
      </c>
      <c r="X3558" s="2" t="s">
        <v>42</v>
      </c>
      <c r="Y3558" s="2" t="s">
        <v>20167</v>
      </c>
      <c r="AA3558" t="str">
        <f t="shared" si="330"/>
        <v>2025-03</v>
      </c>
      <c r="AB3558" t="str">
        <f t="shared" si="331"/>
        <v>H1_2025</v>
      </c>
      <c r="AC3558">
        <f t="shared" si="332"/>
        <v>0</v>
      </c>
      <c r="AD3558">
        <f t="shared" si="333"/>
        <v>3</v>
      </c>
      <c r="AE3558">
        <f t="shared" si="334"/>
        <v>-19092</v>
      </c>
      <c r="AF3558" t="str">
        <f t="shared" si="335"/>
        <v>Sample</v>
      </c>
    </row>
    <row r="3559" spans="1:32" ht="17.25" thickBot="1" x14ac:dyDescent="0.35">
      <c r="A3559" s="2" t="s">
        <v>20322</v>
      </c>
      <c r="B3559" s="2" t="s">
        <v>27</v>
      </c>
      <c r="C3559" s="2" t="s">
        <v>28</v>
      </c>
      <c r="D3559" s="2" t="s">
        <v>97</v>
      </c>
      <c r="E3559" s="2" t="s">
        <v>20164</v>
      </c>
      <c r="F3559" s="2" t="s">
        <v>31</v>
      </c>
      <c r="G3559" s="2" t="s">
        <v>32</v>
      </c>
      <c r="H3559" s="1"/>
      <c r="I3559" s="2" t="s">
        <v>33</v>
      </c>
      <c r="J3559" s="2" t="s">
        <v>34</v>
      </c>
      <c r="K3559" s="2" t="s">
        <v>20323</v>
      </c>
      <c r="L3559" s="2" t="s">
        <v>20324</v>
      </c>
      <c r="M3559" s="2" t="s">
        <v>20313</v>
      </c>
      <c r="N3559" s="2" t="s">
        <v>38</v>
      </c>
      <c r="O3559" s="2" t="s">
        <v>51</v>
      </c>
      <c r="P3559" s="2" t="s">
        <v>40</v>
      </c>
      <c r="Q3559" s="2" t="s">
        <v>40</v>
      </c>
      <c r="R3559" s="2" t="s">
        <v>40</v>
      </c>
      <c r="S3559" s="2" t="s">
        <v>40</v>
      </c>
      <c r="T3559" s="2" t="s">
        <v>13982</v>
      </c>
      <c r="U3559" s="2" t="s">
        <v>20314</v>
      </c>
      <c r="V3559" s="2" t="s">
        <v>20315</v>
      </c>
      <c r="W3559" s="2" t="s">
        <v>41</v>
      </c>
      <c r="X3559" s="2" t="s">
        <v>42</v>
      </c>
      <c r="Y3559" s="2" t="s">
        <v>20167</v>
      </c>
      <c r="AA3559" t="str">
        <f t="shared" si="330"/>
        <v>2025-03</v>
      </c>
      <c r="AB3559" t="str">
        <f t="shared" si="331"/>
        <v>H1_2025</v>
      </c>
      <c r="AC3559">
        <f t="shared" si="332"/>
        <v>0</v>
      </c>
      <c r="AD3559">
        <f t="shared" si="333"/>
        <v>3</v>
      </c>
      <c r="AE3559">
        <f t="shared" si="334"/>
        <v>-19092</v>
      </c>
      <c r="AF3559" t="str">
        <f t="shared" si="335"/>
        <v>Sample</v>
      </c>
    </row>
    <row r="3560" spans="1:32" ht="17.25" thickBot="1" x14ac:dyDescent="0.35">
      <c r="A3560" s="2" t="s">
        <v>20325</v>
      </c>
      <c r="B3560" s="2" t="s">
        <v>27</v>
      </c>
      <c r="C3560" s="2" t="s">
        <v>28</v>
      </c>
      <c r="D3560" s="2" t="s">
        <v>97</v>
      </c>
      <c r="E3560" s="2" t="s">
        <v>20164</v>
      </c>
      <c r="F3560" s="2" t="s">
        <v>31</v>
      </c>
      <c r="G3560" s="2" t="s">
        <v>32</v>
      </c>
      <c r="H3560" s="1"/>
      <c r="I3560" s="2" t="s">
        <v>33</v>
      </c>
      <c r="J3560" s="2" t="s">
        <v>34</v>
      </c>
      <c r="K3560" s="2" t="s">
        <v>3225</v>
      </c>
      <c r="L3560" s="2" t="s">
        <v>3226</v>
      </c>
      <c r="M3560" s="2" t="s">
        <v>3227</v>
      </c>
      <c r="N3560" s="2" t="s">
        <v>38</v>
      </c>
      <c r="O3560" s="2" t="s">
        <v>51</v>
      </c>
      <c r="P3560" s="2" t="s">
        <v>40</v>
      </c>
      <c r="Q3560" s="2" t="s">
        <v>40</v>
      </c>
      <c r="R3560" s="2" t="s">
        <v>40</v>
      </c>
      <c r="S3560" s="2" t="s">
        <v>40</v>
      </c>
      <c r="T3560" s="2" t="s">
        <v>3213</v>
      </c>
      <c r="U3560" s="2" t="s">
        <v>9078</v>
      </c>
      <c r="V3560" s="2" t="s">
        <v>20326</v>
      </c>
      <c r="W3560" s="2" t="s">
        <v>41</v>
      </c>
      <c r="X3560" s="2" t="s">
        <v>42</v>
      </c>
      <c r="Y3560" s="2" t="s">
        <v>20167</v>
      </c>
      <c r="AA3560" t="str">
        <f t="shared" si="330"/>
        <v>2025-03</v>
      </c>
      <c r="AB3560" t="str">
        <f t="shared" si="331"/>
        <v>H1_2025</v>
      </c>
      <c r="AC3560">
        <f t="shared" si="332"/>
        <v>0</v>
      </c>
      <c r="AD3560">
        <f t="shared" si="333"/>
        <v>3</v>
      </c>
      <c r="AE3560">
        <f t="shared" si="334"/>
        <v>-15600</v>
      </c>
      <c r="AF3560" t="str">
        <f t="shared" si="335"/>
        <v>Sample</v>
      </c>
    </row>
    <row r="3561" spans="1:32" ht="17.25" thickBot="1" x14ac:dyDescent="0.35">
      <c r="A3561" s="2" t="s">
        <v>20327</v>
      </c>
      <c r="B3561" s="2" t="s">
        <v>27</v>
      </c>
      <c r="C3561" s="2" t="s">
        <v>28</v>
      </c>
      <c r="D3561" s="2" t="s">
        <v>97</v>
      </c>
      <c r="E3561" s="2" t="s">
        <v>20164</v>
      </c>
      <c r="F3561" s="2" t="s">
        <v>31</v>
      </c>
      <c r="G3561" s="2" t="s">
        <v>32</v>
      </c>
      <c r="H3561" s="1"/>
      <c r="I3561" s="2" t="s">
        <v>33</v>
      </c>
      <c r="J3561" s="2" t="s">
        <v>34</v>
      </c>
      <c r="K3561" s="2" t="s">
        <v>3233</v>
      </c>
      <c r="L3561" s="2" t="s">
        <v>3234</v>
      </c>
      <c r="M3561" s="2" t="s">
        <v>3227</v>
      </c>
      <c r="N3561" s="2" t="s">
        <v>38</v>
      </c>
      <c r="O3561" s="2" t="s">
        <v>51</v>
      </c>
      <c r="P3561" s="2" t="s">
        <v>40</v>
      </c>
      <c r="Q3561" s="2" t="s">
        <v>40</v>
      </c>
      <c r="R3561" s="2" t="s">
        <v>40</v>
      </c>
      <c r="S3561" s="2" t="s">
        <v>40</v>
      </c>
      <c r="T3561" s="2" t="s">
        <v>3213</v>
      </c>
      <c r="U3561" s="2" t="s">
        <v>9078</v>
      </c>
      <c r="V3561" s="2" t="s">
        <v>20326</v>
      </c>
      <c r="W3561" s="2" t="s">
        <v>41</v>
      </c>
      <c r="X3561" s="2" t="s">
        <v>42</v>
      </c>
      <c r="Y3561" s="2" t="s">
        <v>20167</v>
      </c>
      <c r="AA3561" t="str">
        <f t="shared" si="330"/>
        <v>2025-03</v>
      </c>
      <c r="AB3561" t="str">
        <f t="shared" si="331"/>
        <v>H1_2025</v>
      </c>
      <c r="AC3561">
        <f t="shared" si="332"/>
        <v>0</v>
      </c>
      <c r="AD3561">
        <f t="shared" si="333"/>
        <v>3</v>
      </c>
      <c r="AE3561">
        <f t="shared" si="334"/>
        <v>-15600</v>
      </c>
      <c r="AF3561" t="str">
        <f t="shared" si="335"/>
        <v>Sample</v>
      </c>
    </row>
    <row r="3562" spans="1:32" ht="17.25" thickBot="1" x14ac:dyDescent="0.35">
      <c r="A3562" s="2" t="s">
        <v>20328</v>
      </c>
      <c r="B3562" s="2" t="s">
        <v>27</v>
      </c>
      <c r="C3562" s="2" t="s">
        <v>28</v>
      </c>
      <c r="D3562" s="2" t="s">
        <v>97</v>
      </c>
      <c r="E3562" s="2" t="s">
        <v>20164</v>
      </c>
      <c r="F3562" s="2" t="s">
        <v>31</v>
      </c>
      <c r="G3562" s="2" t="s">
        <v>32</v>
      </c>
      <c r="H3562" s="1"/>
      <c r="I3562" s="2" t="s">
        <v>33</v>
      </c>
      <c r="J3562" s="2" t="s">
        <v>34</v>
      </c>
      <c r="K3562" s="2" t="s">
        <v>3240</v>
      </c>
      <c r="L3562" s="2" t="s">
        <v>3241</v>
      </c>
      <c r="M3562" s="2" t="s">
        <v>3227</v>
      </c>
      <c r="N3562" s="2" t="s">
        <v>38</v>
      </c>
      <c r="O3562" s="2" t="s">
        <v>51</v>
      </c>
      <c r="P3562" s="2" t="s">
        <v>40</v>
      </c>
      <c r="Q3562" s="2" t="s">
        <v>40</v>
      </c>
      <c r="R3562" s="2" t="s">
        <v>40</v>
      </c>
      <c r="S3562" s="2" t="s">
        <v>40</v>
      </c>
      <c r="T3562" s="2" t="s">
        <v>3213</v>
      </c>
      <c r="U3562" s="2" t="s">
        <v>9078</v>
      </c>
      <c r="V3562" s="2" t="s">
        <v>20326</v>
      </c>
      <c r="W3562" s="2" t="s">
        <v>41</v>
      </c>
      <c r="X3562" s="2" t="s">
        <v>42</v>
      </c>
      <c r="Y3562" s="2" t="s">
        <v>20167</v>
      </c>
      <c r="AA3562" t="str">
        <f t="shared" si="330"/>
        <v>2025-03</v>
      </c>
      <c r="AB3562" t="str">
        <f t="shared" si="331"/>
        <v>H1_2025</v>
      </c>
      <c r="AC3562">
        <f t="shared" si="332"/>
        <v>0</v>
      </c>
      <c r="AD3562">
        <f t="shared" si="333"/>
        <v>3</v>
      </c>
      <c r="AE3562">
        <f t="shared" si="334"/>
        <v>-15600</v>
      </c>
      <c r="AF3562" t="str">
        <f t="shared" si="335"/>
        <v>Sample</v>
      </c>
    </row>
    <row r="3563" spans="1:32" ht="17.25" thickBot="1" x14ac:dyDescent="0.35">
      <c r="A3563" s="2" t="s">
        <v>20329</v>
      </c>
      <c r="B3563" s="2" t="s">
        <v>27</v>
      </c>
      <c r="C3563" s="2" t="s">
        <v>28</v>
      </c>
      <c r="D3563" s="2" t="s">
        <v>97</v>
      </c>
      <c r="E3563" s="2" t="s">
        <v>20164</v>
      </c>
      <c r="F3563" s="2" t="s">
        <v>31</v>
      </c>
      <c r="G3563" s="2" t="s">
        <v>32</v>
      </c>
      <c r="H3563" s="1"/>
      <c r="I3563" s="2" t="s">
        <v>33</v>
      </c>
      <c r="J3563" s="2" t="s">
        <v>34</v>
      </c>
      <c r="K3563" s="2" t="s">
        <v>8191</v>
      </c>
      <c r="L3563" s="2" t="s">
        <v>8192</v>
      </c>
      <c r="M3563" s="2" t="s">
        <v>3227</v>
      </c>
      <c r="N3563" s="2" t="s">
        <v>38</v>
      </c>
      <c r="O3563" s="2" t="s">
        <v>51</v>
      </c>
      <c r="P3563" s="2" t="s">
        <v>40</v>
      </c>
      <c r="Q3563" s="2" t="s">
        <v>40</v>
      </c>
      <c r="R3563" s="2" t="s">
        <v>40</v>
      </c>
      <c r="S3563" s="2" t="s">
        <v>40</v>
      </c>
      <c r="T3563" s="2" t="s">
        <v>8195</v>
      </c>
      <c r="U3563" s="2" t="s">
        <v>20330</v>
      </c>
      <c r="V3563" s="2" t="s">
        <v>20331</v>
      </c>
      <c r="W3563" s="2" t="s">
        <v>41</v>
      </c>
      <c r="X3563" s="2" t="s">
        <v>42</v>
      </c>
      <c r="Y3563" s="2" t="s">
        <v>20167</v>
      </c>
      <c r="AA3563" t="str">
        <f t="shared" si="330"/>
        <v>2025-03</v>
      </c>
      <c r="AB3563" t="str">
        <f t="shared" si="331"/>
        <v>H1_2025</v>
      </c>
      <c r="AC3563">
        <f t="shared" si="332"/>
        <v>0</v>
      </c>
      <c r="AD3563">
        <f t="shared" si="333"/>
        <v>3</v>
      </c>
      <c r="AE3563">
        <f t="shared" si="334"/>
        <v>-18720</v>
      </c>
      <c r="AF3563" t="str">
        <f t="shared" si="335"/>
        <v>Sample</v>
      </c>
    </row>
    <row r="3564" spans="1:32" ht="17.25" thickBot="1" x14ac:dyDescent="0.35">
      <c r="A3564" s="2" t="s">
        <v>20332</v>
      </c>
      <c r="B3564" s="2" t="s">
        <v>27</v>
      </c>
      <c r="C3564" s="2" t="s">
        <v>28</v>
      </c>
      <c r="D3564" s="2" t="s">
        <v>97</v>
      </c>
      <c r="E3564" s="2" t="s">
        <v>20164</v>
      </c>
      <c r="F3564" s="2" t="s">
        <v>31</v>
      </c>
      <c r="G3564" s="2" t="s">
        <v>32</v>
      </c>
      <c r="H3564" s="1"/>
      <c r="I3564" s="2" t="s">
        <v>33</v>
      </c>
      <c r="J3564" s="2" t="s">
        <v>34</v>
      </c>
      <c r="K3564" s="2" t="s">
        <v>20333</v>
      </c>
      <c r="L3564" s="2" t="s">
        <v>20334</v>
      </c>
      <c r="M3564" s="2" t="s">
        <v>3227</v>
      </c>
      <c r="N3564" s="2" t="s">
        <v>38</v>
      </c>
      <c r="O3564" s="2" t="s">
        <v>51</v>
      </c>
      <c r="P3564" s="2" t="s">
        <v>40</v>
      </c>
      <c r="Q3564" s="2" t="s">
        <v>40</v>
      </c>
      <c r="R3564" s="2" t="s">
        <v>40</v>
      </c>
      <c r="S3564" s="2" t="s">
        <v>40</v>
      </c>
      <c r="T3564" s="2" t="s">
        <v>2195</v>
      </c>
      <c r="U3564" s="2" t="s">
        <v>20335</v>
      </c>
      <c r="V3564" s="2" t="s">
        <v>20336</v>
      </c>
      <c r="W3564" s="2" t="s">
        <v>41</v>
      </c>
      <c r="X3564" s="2" t="s">
        <v>42</v>
      </c>
      <c r="Y3564" s="2" t="s">
        <v>20167</v>
      </c>
      <c r="AA3564" t="str">
        <f t="shared" si="330"/>
        <v>2025-03</v>
      </c>
      <c r="AB3564" t="str">
        <f t="shared" si="331"/>
        <v>H1_2025</v>
      </c>
      <c r="AC3564">
        <f t="shared" si="332"/>
        <v>0</v>
      </c>
      <c r="AD3564">
        <f t="shared" si="333"/>
        <v>3</v>
      </c>
      <c r="AE3564">
        <f t="shared" si="334"/>
        <v>-17019</v>
      </c>
      <c r="AF3564" t="str">
        <f t="shared" si="335"/>
        <v>Sample</v>
      </c>
    </row>
    <row r="3565" spans="1:32" ht="17.25" thickBot="1" x14ac:dyDescent="0.35">
      <c r="A3565" s="2" t="s">
        <v>20337</v>
      </c>
      <c r="B3565" s="2" t="s">
        <v>27</v>
      </c>
      <c r="C3565" s="2" t="s">
        <v>28</v>
      </c>
      <c r="D3565" s="2" t="s">
        <v>97</v>
      </c>
      <c r="E3565" s="2" t="s">
        <v>20164</v>
      </c>
      <c r="F3565" s="2" t="s">
        <v>31</v>
      </c>
      <c r="G3565" s="2" t="s">
        <v>32</v>
      </c>
      <c r="H3565" s="1"/>
      <c r="I3565" s="2" t="s">
        <v>33</v>
      </c>
      <c r="J3565" s="2" t="s">
        <v>34</v>
      </c>
      <c r="K3565" s="2" t="s">
        <v>18578</v>
      </c>
      <c r="L3565" s="2" t="s">
        <v>18579</v>
      </c>
      <c r="M3565" s="2" t="s">
        <v>7387</v>
      </c>
      <c r="N3565" s="2" t="s">
        <v>38</v>
      </c>
      <c r="O3565" s="2" t="s">
        <v>4729</v>
      </c>
      <c r="P3565" s="2" t="s">
        <v>20158</v>
      </c>
      <c r="Q3565" s="2" t="s">
        <v>20159</v>
      </c>
      <c r="R3565" s="2" t="s">
        <v>40</v>
      </c>
      <c r="S3565" s="2" t="s">
        <v>20160</v>
      </c>
      <c r="T3565" s="2" t="s">
        <v>7392</v>
      </c>
      <c r="U3565" s="2" t="s">
        <v>19766</v>
      </c>
      <c r="V3565" s="2" t="s">
        <v>20161</v>
      </c>
      <c r="W3565" s="1"/>
      <c r="X3565" s="2" t="s">
        <v>15185</v>
      </c>
      <c r="Y3565" s="2" t="s">
        <v>20338</v>
      </c>
      <c r="AA3565" t="str">
        <f t="shared" si="330"/>
        <v>2025-03</v>
      </c>
      <c r="AB3565" t="str">
        <f t="shared" si="331"/>
        <v>H1_2025</v>
      </c>
      <c r="AC3565">
        <f t="shared" si="332"/>
        <v>66735090</v>
      </c>
      <c r="AD3565">
        <f t="shared" si="333"/>
        <v>5000</v>
      </c>
      <c r="AE3565">
        <f t="shared" si="334"/>
        <v>10185090</v>
      </c>
      <c r="AF3565" t="str">
        <f t="shared" si="335"/>
        <v>Paid</v>
      </c>
    </row>
    <row r="3566" spans="1:32" ht="17.25" thickBot="1" x14ac:dyDescent="0.35">
      <c r="A3566" s="2" t="s">
        <v>20339</v>
      </c>
      <c r="B3566" s="2" t="s">
        <v>27</v>
      </c>
      <c r="C3566" s="2" t="s">
        <v>28</v>
      </c>
      <c r="D3566" s="2" t="s">
        <v>97</v>
      </c>
      <c r="E3566" s="2" t="s">
        <v>20340</v>
      </c>
      <c r="F3566" s="2" t="s">
        <v>31</v>
      </c>
      <c r="G3566" s="2" t="s">
        <v>32</v>
      </c>
      <c r="H3566" s="1"/>
      <c r="I3566" s="2" t="s">
        <v>33</v>
      </c>
      <c r="J3566" s="2" t="s">
        <v>34</v>
      </c>
      <c r="K3566" s="2" t="s">
        <v>1257</v>
      </c>
      <c r="L3566" s="2" t="s">
        <v>1258</v>
      </c>
      <c r="M3566" s="2" t="s">
        <v>37</v>
      </c>
      <c r="N3566" s="2" t="s">
        <v>38</v>
      </c>
      <c r="O3566" s="2" t="s">
        <v>877</v>
      </c>
      <c r="P3566" s="2" t="s">
        <v>20341</v>
      </c>
      <c r="Q3566" s="2" t="s">
        <v>20342</v>
      </c>
      <c r="R3566" s="2" t="s">
        <v>40</v>
      </c>
      <c r="S3566" s="2" t="s">
        <v>20343</v>
      </c>
      <c r="T3566" s="2" t="s">
        <v>20344</v>
      </c>
      <c r="U3566" s="2" t="s">
        <v>20345</v>
      </c>
      <c r="V3566" s="2" t="s">
        <v>20346</v>
      </c>
      <c r="W3566" s="1"/>
      <c r="X3566" s="2" t="s">
        <v>20347</v>
      </c>
      <c r="Y3566" s="2" t="s">
        <v>20348</v>
      </c>
      <c r="AA3566" t="str">
        <f t="shared" si="330"/>
        <v>2025-03</v>
      </c>
      <c r="AB3566" t="str">
        <f t="shared" si="331"/>
        <v>H1_2025</v>
      </c>
      <c r="AC3566">
        <f t="shared" si="332"/>
        <v>468319.2</v>
      </c>
      <c r="AD3566">
        <f t="shared" si="333"/>
        <v>100</v>
      </c>
      <c r="AE3566">
        <f t="shared" si="334"/>
        <v>21899.200000000001</v>
      </c>
      <c r="AF3566" t="str">
        <f t="shared" si="335"/>
        <v>Paid</v>
      </c>
    </row>
    <row r="3567" spans="1:32" ht="27.75" thickBot="1" x14ac:dyDescent="0.35">
      <c r="A3567" s="2" t="s">
        <v>20349</v>
      </c>
      <c r="B3567" s="2" t="s">
        <v>27</v>
      </c>
      <c r="C3567" s="2" t="s">
        <v>28</v>
      </c>
      <c r="D3567" s="2" t="s">
        <v>97</v>
      </c>
      <c r="E3567" s="2" t="s">
        <v>20340</v>
      </c>
      <c r="F3567" s="2" t="s">
        <v>31</v>
      </c>
      <c r="G3567" s="2" t="s">
        <v>32</v>
      </c>
      <c r="H3567" s="1"/>
      <c r="I3567" s="2" t="s">
        <v>33</v>
      </c>
      <c r="J3567" s="2" t="s">
        <v>34</v>
      </c>
      <c r="K3567" s="2" t="s">
        <v>20165</v>
      </c>
      <c r="L3567" s="2" t="s">
        <v>20166</v>
      </c>
      <c r="M3567" s="2" t="s">
        <v>2140</v>
      </c>
      <c r="N3567" s="2" t="s">
        <v>38</v>
      </c>
      <c r="O3567" s="2" t="s">
        <v>156</v>
      </c>
      <c r="P3567" s="2" t="s">
        <v>40</v>
      </c>
      <c r="Q3567" s="2" t="s">
        <v>40</v>
      </c>
      <c r="R3567" s="2" t="s">
        <v>40</v>
      </c>
      <c r="S3567" s="2" t="s">
        <v>40</v>
      </c>
      <c r="T3567" s="2" t="s">
        <v>40</v>
      </c>
      <c r="U3567" s="2" t="s">
        <v>40</v>
      </c>
      <c r="V3567" s="2" t="s">
        <v>40</v>
      </c>
      <c r="W3567" s="2" t="s">
        <v>41</v>
      </c>
      <c r="X3567" s="2" t="s">
        <v>42</v>
      </c>
      <c r="Y3567" s="2" t="s">
        <v>20350</v>
      </c>
      <c r="AA3567" t="str">
        <f t="shared" si="330"/>
        <v>2025-03</v>
      </c>
      <c r="AB3567" t="str">
        <f t="shared" si="331"/>
        <v>H1_2025</v>
      </c>
      <c r="AC3567">
        <f t="shared" si="332"/>
        <v>0</v>
      </c>
      <c r="AD3567">
        <f t="shared" si="333"/>
        <v>20</v>
      </c>
      <c r="AE3567">
        <f t="shared" si="334"/>
        <v>0</v>
      </c>
      <c r="AF3567" t="str">
        <f t="shared" si="335"/>
        <v>Sample</v>
      </c>
    </row>
    <row r="3568" spans="1:32" ht="17.25" thickBot="1" x14ac:dyDescent="0.35">
      <c r="A3568" s="2" t="s">
        <v>20351</v>
      </c>
      <c r="B3568" s="2" t="s">
        <v>27</v>
      </c>
      <c r="C3568" s="2" t="s">
        <v>28</v>
      </c>
      <c r="D3568" s="2" t="s">
        <v>97</v>
      </c>
      <c r="E3568" s="2" t="s">
        <v>20340</v>
      </c>
      <c r="F3568" s="2" t="s">
        <v>31</v>
      </c>
      <c r="G3568" s="2" t="s">
        <v>32</v>
      </c>
      <c r="H3568" s="1"/>
      <c r="I3568" s="2" t="s">
        <v>33</v>
      </c>
      <c r="J3568" s="2" t="s">
        <v>34</v>
      </c>
      <c r="K3568" s="2" t="s">
        <v>2268</v>
      </c>
      <c r="L3568" s="2" t="s">
        <v>2269</v>
      </c>
      <c r="M3568" s="2" t="s">
        <v>2270</v>
      </c>
      <c r="N3568" s="2" t="s">
        <v>38</v>
      </c>
      <c r="O3568" s="2" t="s">
        <v>3466</v>
      </c>
      <c r="P3568" s="2" t="s">
        <v>20187</v>
      </c>
      <c r="Q3568" s="2" t="s">
        <v>20352</v>
      </c>
      <c r="R3568" s="2" t="s">
        <v>40</v>
      </c>
      <c r="S3568" s="2" t="s">
        <v>20353</v>
      </c>
      <c r="T3568" s="2" t="s">
        <v>2275</v>
      </c>
      <c r="U3568" s="2" t="s">
        <v>20354</v>
      </c>
      <c r="V3568" s="2" t="s">
        <v>20355</v>
      </c>
      <c r="W3568" s="1"/>
      <c r="X3568" s="2" t="s">
        <v>2198</v>
      </c>
      <c r="Y3568" s="2" t="s">
        <v>20350</v>
      </c>
      <c r="AA3568" t="str">
        <f t="shared" si="330"/>
        <v>2025-03</v>
      </c>
      <c r="AB3568" t="str">
        <f t="shared" si="331"/>
        <v>H1_2025</v>
      </c>
      <c r="AC3568">
        <f t="shared" si="332"/>
        <v>2400954.0499999998</v>
      </c>
      <c r="AD3568">
        <f t="shared" si="333"/>
        <v>432</v>
      </c>
      <c r="AE3568">
        <f t="shared" si="334"/>
        <v>456954.05</v>
      </c>
      <c r="AF3568" t="str">
        <f t="shared" si="335"/>
        <v>Paid</v>
      </c>
    </row>
    <row r="3569" spans="1:32" ht="17.25" thickBot="1" x14ac:dyDescent="0.35">
      <c r="A3569" s="2" t="s">
        <v>20356</v>
      </c>
      <c r="B3569" s="2" t="s">
        <v>27</v>
      </c>
      <c r="C3569" s="2" t="s">
        <v>28</v>
      </c>
      <c r="D3569" s="2" t="s">
        <v>97</v>
      </c>
      <c r="E3569" s="2" t="s">
        <v>20340</v>
      </c>
      <c r="F3569" s="2" t="s">
        <v>31</v>
      </c>
      <c r="G3569" s="2" t="s">
        <v>32</v>
      </c>
      <c r="H3569" s="1"/>
      <c r="I3569" s="2" t="s">
        <v>33</v>
      </c>
      <c r="J3569" s="2" t="s">
        <v>34</v>
      </c>
      <c r="K3569" s="2" t="s">
        <v>2268</v>
      </c>
      <c r="L3569" s="2" t="s">
        <v>2269</v>
      </c>
      <c r="M3569" s="2" t="s">
        <v>2270</v>
      </c>
      <c r="N3569" s="2" t="s">
        <v>38</v>
      </c>
      <c r="O3569" s="2" t="s">
        <v>5546</v>
      </c>
      <c r="P3569" s="2" t="s">
        <v>20187</v>
      </c>
      <c r="Q3569" s="2" t="s">
        <v>20357</v>
      </c>
      <c r="R3569" s="2" t="s">
        <v>40</v>
      </c>
      <c r="S3569" s="2" t="s">
        <v>20358</v>
      </c>
      <c r="T3569" s="2" t="s">
        <v>2275</v>
      </c>
      <c r="U3569" s="2" t="s">
        <v>20359</v>
      </c>
      <c r="V3569" s="2" t="s">
        <v>20360</v>
      </c>
      <c r="W3569" s="1"/>
      <c r="X3569" s="2" t="s">
        <v>2198</v>
      </c>
      <c r="Y3569" s="2" t="s">
        <v>20350</v>
      </c>
      <c r="AA3569" t="str">
        <f t="shared" si="330"/>
        <v>2025-03</v>
      </c>
      <c r="AB3569" t="str">
        <f t="shared" si="331"/>
        <v>H1_2025</v>
      </c>
      <c r="AC3569">
        <f t="shared" si="332"/>
        <v>4268362.75</v>
      </c>
      <c r="AD3569">
        <f t="shared" si="333"/>
        <v>768</v>
      </c>
      <c r="AE3569">
        <f t="shared" si="334"/>
        <v>812362.75</v>
      </c>
      <c r="AF3569" t="str">
        <f t="shared" si="335"/>
        <v>Paid</v>
      </c>
    </row>
    <row r="3570" spans="1:32" ht="17.25" thickBot="1" x14ac:dyDescent="0.35">
      <c r="A3570" s="2" t="s">
        <v>20361</v>
      </c>
      <c r="B3570" s="2" t="s">
        <v>27</v>
      </c>
      <c r="C3570" s="2" t="s">
        <v>28</v>
      </c>
      <c r="D3570" s="2" t="s">
        <v>97</v>
      </c>
      <c r="E3570" s="2" t="s">
        <v>20340</v>
      </c>
      <c r="F3570" s="2" t="s">
        <v>31</v>
      </c>
      <c r="G3570" s="2" t="s">
        <v>32</v>
      </c>
      <c r="H3570" s="1"/>
      <c r="I3570" s="2" t="s">
        <v>33</v>
      </c>
      <c r="J3570" s="2" t="s">
        <v>34</v>
      </c>
      <c r="K3570" s="2" t="s">
        <v>2268</v>
      </c>
      <c r="L3570" s="2" t="s">
        <v>2269</v>
      </c>
      <c r="M3570" s="2" t="s">
        <v>2270</v>
      </c>
      <c r="N3570" s="2" t="s">
        <v>38</v>
      </c>
      <c r="O3570" s="2" t="s">
        <v>1644</v>
      </c>
      <c r="P3570" s="2" t="s">
        <v>20187</v>
      </c>
      <c r="Q3570" s="2" t="s">
        <v>17507</v>
      </c>
      <c r="R3570" s="2" t="s">
        <v>40</v>
      </c>
      <c r="S3570" s="2" t="s">
        <v>20362</v>
      </c>
      <c r="T3570" s="2" t="s">
        <v>2275</v>
      </c>
      <c r="U3570" s="2" t="s">
        <v>20363</v>
      </c>
      <c r="V3570" s="2" t="s">
        <v>20364</v>
      </c>
      <c r="W3570" s="1"/>
      <c r="X3570" s="2" t="s">
        <v>2198</v>
      </c>
      <c r="Y3570" s="2" t="s">
        <v>20350</v>
      </c>
      <c r="AA3570" t="str">
        <f t="shared" si="330"/>
        <v>2025-03</v>
      </c>
      <c r="AB3570" t="str">
        <f t="shared" si="331"/>
        <v>H1_2025</v>
      </c>
      <c r="AC3570">
        <f t="shared" si="332"/>
        <v>6669316.7999999998</v>
      </c>
      <c r="AD3570">
        <f t="shared" si="333"/>
        <v>1200</v>
      </c>
      <c r="AE3570">
        <f t="shared" si="334"/>
        <v>1269316.8</v>
      </c>
      <c r="AF3570" t="str">
        <f t="shared" si="335"/>
        <v>Paid</v>
      </c>
    </row>
    <row r="3571" spans="1:32" ht="17.25" thickBot="1" x14ac:dyDescent="0.35">
      <c r="A3571" s="2" t="s">
        <v>20365</v>
      </c>
      <c r="B3571" s="2" t="s">
        <v>27</v>
      </c>
      <c r="C3571" s="2" t="s">
        <v>28</v>
      </c>
      <c r="D3571" s="2" t="s">
        <v>97</v>
      </c>
      <c r="E3571" s="2" t="s">
        <v>20340</v>
      </c>
      <c r="F3571" s="2" t="s">
        <v>31</v>
      </c>
      <c r="G3571" s="2" t="s">
        <v>32</v>
      </c>
      <c r="H3571" s="1"/>
      <c r="I3571" s="2" t="s">
        <v>33</v>
      </c>
      <c r="J3571" s="2" t="s">
        <v>34</v>
      </c>
      <c r="K3571" s="2" t="s">
        <v>2280</v>
      </c>
      <c r="L3571" s="2" t="s">
        <v>2281</v>
      </c>
      <c r="M3571" s="2" t="s">
        <v>2270</v>
      </c>
      <c r="N3571" s="2" t="s">
        <v>38</v>
      </c>
      <c r="O3571" s="2" t="s">
        <v>3068</v>
      </c>
      <c r="P3571" s="2" t="s">
        <v>20187</v>
      </c>
      <c r="Q3571" s="2" t="s">
        <v>20366</v>
      </c>
      <c r="R3571" s="2" t="s">
        <v>40</v>
      </c>
      <c r="S3571" s="2" t="s">
        <v>20367</v>
      </c>
      <c r="T3571" s="2" t="s">
        <v>2275</v>
      </c>
      <c r="U3571" s="2" t="s">
        <v>4403</v>
      </c>
      <c r="V3571" s="2" t="s">
        <v>20368</v>
      </c>
      <c r="W3571" s="1"/>
      <c r="X3571" s="2" t="s">
        <v>2198</v>
      </c>
      <c r="Y3571" s="2" t="s">
        <v>20350</v>
      </c>
      <c r="AA3571" t="str">
        <f t="shared" si="330"/>
        <v>2025-03</v>
      </c>
      <c r="AB3571" t="str">
        <f t="shared" si="331"/>
        <v>H1_2025</v>
      </c>
      <c r="AC3571">
        <f t="shared" si="332"/>
        <v>3890434.8</v>
      </c>
      <c r="AD3571">
        <f t="shared" si="333"/>
        <v>700</v>
      </c>
      <c r="AE3571">
        <f t="shared" si="334"/>
        <v>740434.8</v>
      </c>
      <c r="AF3571" t="str">
        <f t="shared" si="335"/>
        <v>Paid</v>
      </c>
    </row>
    <row r="3572" spans="1:32" ht="17.25" thickBot="1" x14ac:dyDescent="0.35">
      <c r="A3572" s="2" t="s">
        <v>20369</v>
      </c>
      <c r="B3572" s="2" t="s">
        <v>27</v>
      </c>
      <c r="C3572" s="2" t="s">
        <v>28</v>
      </c>
      <c r="D3572" s="2" t="s">
        <v>97</v>
      </c>
      <c r="E3572" s="2" t="s">
        <v>20340</v>
      </c>
      <c r="F3572" s="2" t="s">
        <v>31</v>
      </c>
      <c r="G3572" s="2" t="s">
        <v>32</v>
      </c>
      <c r="H3572" s="1"/>
      <c r="I3572" s="2" t="s">
        <v>33</v>
      </c>
      <c r="J3572" s="2" t="s">
        <v>34</v>
      </c>
      <c r="K3572" s="2" t="s">
        <v>2280</v>
      </c>
      <c r="L3572" s="2" t="s">
        <v>2281</v>
      </c>
      <c r="M3572" s="2" t="s">
        <v>2270</v>
      </c>
      <c r="N3572" s="2" t="s">
        <v>38</v>
      </c>
      <c r="O3572" s="2" t="s">
        <v>1951</v>
      </c>
      <c r="P3572" s="2" t="s">
        <v>20187</v>
      </c>
      <c r="Q3572" s="2" t="s">
        <v>20370</v>
      </c>
      <c r="R3572" s="2" t="s">
        <v>40</v>
      </c>
      <c r="S3572" s="2" t="s">
        <v>20371</v>
      </c>
      <c r="T3572" s="2" t="s">
        <v>2275</v>
      </c>
      <c r="U3572" s="2" t="s">
        <v>8577</v>
      </c>
      <c r="V3572" s="2" t="s">
        <v>20372</v>
      </c>
      <c r="W3572" s="1"/>
      <c r="X3572" s="2" t="s">
        <v>2198</v>
      </c>
      <c r="Y3572" s="2" t="s">
        <v>20350</v>
      </c>
      <c r="AA3572" t="str">
        <f t="shared" si="330"/>
        <v>2025-03</v>
      </c>
      <c r="AB3572" t="str">
        <f t="shared" si="331"/>
        <v>H1_2025</v>
      </c>
      <c r="AC3572">
        <f t="shared" si="332"/>
        <v>3334658.4</v>
      </c>
      <c r="AD3572">
        <f t="shared" si="333"/>
        <v>600</v>
      </c>
      <c r="AE3572">
        <f t="shared" si="334"/>
        <v>634658.4</v>
      </c>
      <c r="AF3572" t="str">
        <f t="shared" si="335"/>
        <v>Paid</v>
      </c>
    </row>
    <row r="3573" spans="1:32" ht="27.75" thickBot="1" x14ac:dyDescent="0.35">
      <c r="A3573" s="2" t="s">
        <v>20373</v>
      </c>
      <c r="B3573" s="2" t="s">
        <v>27</v>
      </c>
      <c r="C3573" s="2" t="s">
        <v>28</v>
      </c>
      <c r="D3573" s="2" t="s">
        <v>97</v>
      </c>
      <c r="E3573" s="2" t="s">
        <v>20340</v>
      </c>
      <c r="F3573" s="2" t="s">
        <v>31</v>
      </c>
      <c r="G3573" s="2" t="s">
        <v>32</v>
      </c>
      <c r="H3573" s="1"/>
      <c r="I3573" s="2" t="s">
        <v>33</v>
      </c>
      <c r="J3573" s="2" t="s">
        <v>34</v>
      </c>
      <c r="K3573" s="2" t="s">
        <v>2288</v>
      </c>
      <c r="L3573" s="2" t="s">
        <v>2289</v>
      </c>
      <c r="M3573" s="2" t="s">
        <v>2270</v>
      </c>
      <c r="N3573" s="2" t="s">
        <v>38</v>
      </c>
      <c r="O3573" s="2" t="s">
        <v>849</v>
      </c>
      <c r="P3573" s="2" t="s">
        <v>20187</v>
      </c>
      <c r="Q3573" s="2" t="s">
        <v>20374</v>
      </c>
      <c r="R3573" s="2" t="s">
        <v>40</v>
      </c>
      <c r="S3573" s="2" t="s">
        <v>20375</v>
      </c>
      <c r="T3573" s="2" t="s">
        <v>2275</v>
      </c>
      <c r="U3573" s="2" t="s">
        <v>3087</v>
      </c>
      <c r="V3573" s="2" t="s">
        <v>20376</v>
      </c>
      <c r="W3573" s="1"/>
      <c r="X3573" s="2" t="s">
        <v>2198</v>
      </c>
      <c r="Y3573" s="2" t="s">
        <v>20350</v>
      </c>
      <c r="AA3573" t="str">
        <f t="shared" si="330"/>
        <v>2025-03</v>
      </c>
      <c r="AB3573" t="str">
        <f t="shared" si="331"/>
        <v>H1_2025</v>
      </c>
      <c r="AC3573">
        <f t="shared" si="332"/>
        <v>889242.24</v>
      </c>
      <c r="AD3573">
        <f t="shared" si="333"/>
        <v>160</v>
      </c>
      <c r="AE3573">
        <f t="shared" si="334"/>
        <v>169242.23999999999</v>
      </c>
      <c r="AF3573" t="str">
        <f t="shared" si="335"/>
        <v>Paid</v>
      </c>
    </row>
    <row r="3574" spans="1:32" ht="27.75" thickBot="1" x14ac:dyDescent="0.35">
      <c r="A3574" s="2" t="s">
        <v>20377</v>
      </c>
      <c r="B3574" s="2" t="s">
        <v>27</v>
      </c>
      <c r="C3574" s="2" t="s">
        <v>28</v>
      </c>
      <c r="D3574" s="2" t="s">
        <v>97</v>
      </c>
      <c r="E3574" s="2" t="s">
        <v>20340</v>
      </c>
      <c r="F3574" s="2" t="s">
        <v>31</v>
      </c>
      <c r="G3574" s="2" t="s">
        <v>32</v>
      </c>
      <c r="H3574" s="1"/>
      <c r="I3574" s="2" t="s">
        <v>33</v>
      </c>
      <c r="J3574" s="2" t="s">
        <v>34</v>
      </c>
      <c r="K3574" s="2" t="s">
        <v>2288</v>
      </c>
      <c r="L3574" s="2" t="s">
        <v>2289</v>
      </c>
      <c r="M3574" s="2" t="s">
        <v>2270</v>
      </c>
      <c r="N3574" s="2" t="s">
        <v>38</v>
      </c>
      <c r="O3574" s="2" t="s">
        <v>773</v>
      </c>
      <c r="P3574" s="2" t="s">
        <v>20187</v>
      </c>
      <c r="Q3574" s="2" t="s">
        <v>11783</v>
      </c>
      <c r="R3574" s="2" t="s">
        <v>40</v>
      </c>
      <c r="S3574" s="2" t="s">
        <v>20378</v>
      </c>
      <c r="T3574" s="2" t="s">
        <v>2275</v>
      </c>
      <c r="U3574" s="2" t="s">
        <v>163</v>
      </c>
      <c r="V3574" s="2" t="s">
        <v>20379</v>
      </c>
      <c r="W3574" s="1"/>
      <c r="X3574" s="2" t="s">
        <v>2198</v>
      </c>
      <c r="Y3574" s="2" t="s">
        <v>20350</v>
      </c>
      <c r="AA3574" t="str">
        <f t="shared" si="330"/>
        <v>2025-03</v>
      </c>
      <c r="AB3574" t="str">
        <f t="shared" si="331"/>
        <v>H1_2025</v>
      </c>
      <c r="AC3574">
        <f t="shared" si="332"/>
        <v>1111552.8</v>
      </c>
      <c r="AD3574">
        <f t="shared" si="333"/>
        <v>200</v>
      </c>
      <c r="AE3574">
        <f t="shared" si="334"/>
        <v>211552.8</v>
      </c>
      <c r="AF3574" t="str">
        <f t="shared" si="335"/>
        <v>Paid</v>
      </c>
    </row>
    <row r="3575" spans="1:32" ht="27.75" thickBot="1" x14ac:dyDescent="0.35">
      <c r="A3575" s="2" t="s">
        <v>20380</v>
      </c>
      <c r="B3575" s="2" t="s">
        <v>27</v>
      </c>
      <c r="C3575" s="2" t="s">
        <v>28</v>
      </c>
      <c r="D3575" s="2" t="s">
        <v>97</v>
      </c>
      <c r="E3575" s="2" t="s">
        <v>20340</v>
      </c>
      <c r="F3575" s="2" t="s">
        <v>31</v>
      </c>
      <c r="G3575" s="2" t="s">
        <v>32</v>
      </c>
      <c r="H3575" s="1"/>
      <c r="I3575" s="2" t="s">
        <v>33</v>
      </c>
      <c r="J3575" s="2" t="s">
        <v>34</v>
      </c>
      <c r="K3575" s="2" t="s">
        <v>20181</v>
      </c>
      <c r="L3575" s="2" t="s">
        <v>20182</v>
      </c>
      <c r="M3575" s="2" t="s">
        <v>2270</v>
      </c>
      <c r="N3575" s="2" t="s">
        <v>38</v>
      </c>
      <c r="O3575" s="2" t="s">
        <v>773</v>
      </c>
      <c r="P3575" s="2" t="s">
        <v>15977</v>
      </c>
      <c r="Q3575" s="2" t="s">
        <v>17002</v>
      </c>
      <c r="R3575" s="2" t="s">
        <v>40</v>
      </c>
      <c r="S3575" s="2" t="s">
        <v>20381</v>
      </c>
      <c r="T3575" s="2" t="s">
        <v>13496</v>
      </c>
      <c r="U3575" s="2" t="s">
        <v>3192</v>
      </c>
      <c r="V3575" s="2" t="s">
        <v>20382</v>
      </c>
      <c r="W3575" s="1"/>
      <c r="X3575" s="2" t="s">
        <v>4206</v>
      </c>
      <c r="Y3575" s="2" t="s">
        <v>20350</v>
      </c>
      <c r="AA3575" t="str">
        <f t="shared" si="330"/>
        <v>2025-03</v>
      </c>
      <c r="AB3575" t="str">
        <f t="shared" si="331"/>
        <v>H1_2025</v>
      </c>
      <c r="AC3575">
        <f t="shared" si="332"/>
        <v>118490.4</v>
      </c>
      <c r="AD3575">
        <f t="shared" si="333"/>
        <v>200</v>
      </c>
      <c r="AE3575">
        <f t="shared" si="334"/>
        <v>18490.400000000001</v>
      </c>
      <c r="AF3575" t="str">
        <f t="shared" si="335"/>
        <v>Paid</v>
      </c>
    </row>
    <row r="3576" spans="1:32" ht="27.75" thickBot="1" x14ac:dyDescent="0.35">
      <c r="A3576" s="2" t="s">
        <v>20383</v>
      </c>
      <c r="B3576" s="2" t="s">
        <v>27</v>
      </c>
      <c r="C3576" s="2" t="s">
        <v>28</v>
      </c>
      <c r="D3576" s="2" t="s">
        <v>97</v>
      </c>
      <c r="E3576" s="2" t="s">
        <v>20340</v>
      </c>
      <c r="F3576" s="2" t="s">
        <v>31</v>
      </c>
      <c r="G3576" s="2" t="s">
        <v>32</v>
      </c>
      <c r="H3576" s="1"/>
      <c r="I3576" s="2" t="s">
        <v>33</v>
      </c>
      <c r="J3576" s="2" t="s">
        <v>34</v>
      </c>
      <c r="K3576" s="2" t="s">
        <v>8573</v>
      </c>
      <c r="L3576" s="2" t="s">
        <v>8574</v>
      </c>
      <c r="M3576" s="2" t="s">
        <v>2270</v>
      </c>
      <c r="N3576" s="2" t="s">
        <v>38</v>
      </c>
      <c r="O3576" s="2" t="s">
        <v>445</v>
      </c>
      <c r="P3576" s="2" t="s">
        <v>20187</v>
      </c>
      <c r="Q3576" s="2" t="s">
        <v>20188</v>
      </c>
      <c r="R3576" s="2" t="s">
        <v>40</v>
      </c>
      <c r="S3576" s="2" t="s">
        <v>20384</v>
      </c>
      <c r="T3576" s="2" t="s">
        <v>3163</v>
      </c>
      <c r="U3576" s="2" t="s">
        <v>13038</v>
      </c>
      <c r="V3576" s="2" t="s">
        <v>20385</v>
      </c>
      <c r="W3576" s="1"/>
      <c r="X3576" s="2" t="s">
        <v>4228</v>
      </c>
      <c r="Y3576" s="2" t="s">
        <v>20350</v>
      </c>
      <c r="AA3576" t="str">
        <f t="shared" si="330"/>
        <v>2025-03</v>
      </c>
      <c r="AB3576" t="str">
        <f t="shared" si="331"/>
        <v>H1_2025</v>
      </c>
      <c r="AC3576">
        <f t="shared" si="332"/>
        <v>289003.73</v>
      </c>
      <c r="AD3576">
        <f t="shared" si="333"/>
        <v>52</v>
      </c>
      <c r="AE3576">
        <f t="shared" si="334"/>
        <v>29003.73</v>
      </c>
      <c r="AF3576" t="str">
        <f t="shared" si="335"/>
        <v>Paid</v>
      </c>
    </row>
    <row r="3577" spans="1:32" ht="17.25" thickBot="1" x14ac:dyDescent="0.35">
      <c r="A3577" s="2" t="s">
        <v>20386</v>
      </c>
      <c r="B3577" s="2" t="s">
        <v>27</v>
      </c>
      <c r="C3577" s="2" t="s">
        <v>28</v>
      </c>
      <c r="D3577" s="2" t="s">
        <v>97</v>
      </c>
      <c r="E3577" s="2" t="s">
        <v>20340</v>
      </c>
      <c r="F3577" s="2" t="s">
        <v>31</v>
      </c>
      <c r="G3577" s="2" t="s">
        <v>32</v>
      </c>
      <c r="H3577" s="1"/>
      <c r="I3577" s="2" t="s">
        <v>33</v>
      </c>
      <c r="J3577" s="2" t="s">
        <v>34</v>
      </c>
      <c r="K3577" s="2" t="s">
        <v>2293</v>
      </c>
      <c r="L3577" s="2" t="s">
        <v>2294</v>
      </c>
      <c r="M3577" s="2" t="s">
        <v>2270</v>
      </c>
      <c r="N3577" s="2" t="s">
        <v>38</v>
      </c>
      <c r="O3577" s="2" t="s">
        <v>773</v>
      </c>
      <c r="P3577" s="2" t="s">
        <v>20187</v>
      </c>
      <c r="Q3577" s="2" t="s">
        <v>11783</v>
      </c>
      <c r="R3577" s="2" t="s">
        <v>40</v>
      </c>
      <c r="S3577" s="2" t="s">
        <v>20378</v>
      </c>
      <c r="T3577" s="2" t="s">
        <v>2275</v>
      </c>
      <c r="U3577" s="2" t="s">
        <v>163</v>
      </c>
      <c r="V3577" s="2" t="s">
        <v>20379</v>
      </c>
      <c r="W3577" s="1"/>
      <c r="X3577" s="2" t="s">
        <v>2198</v>
      </c>
      <c r="Y3577" s="2" t="s">
        <v>20350</v>
      </c>
      <c r="AA3577" t="str">
        <f t="shared" si="330"/>
        <v>2025-03</v>
      </c>
      <c r="AB3577" t="str">
        <f t="shared" si="331"/>
        <v>H1_2025</v>
      </c>
      <c r="AC3577">
        <f t="shared" si="332"/>
        <v>1111552.8</v>
      </c>
      <c r="AD3577">
        <f t="shared" si="333"/>
        <v>200</v>
      </c>
      <c r="AE3577">
        <f t="shared" si="334"/>
        <v>211552.8</v>
      </c>
      <c r="AF3577" t="str">
        <f t="shared" si="335"/>
        <v>Paid</v>
      </c>
    </row>
    <row r="3578" spans="1:32" ht="17.25" thickBot="1" x14ac:dyDescent="0.35">
      <c r="A3578" s="2" t="s">
        <v>20387</v>
      </c>
      <c r="B3578" s="2" t="s">
        <v>27</v>
      </c>
      <c r="C3578" s="2" t="s">
        <v>28</v>
      </c>
      <c r="D3578" s="2" t="s">
        <v>97</v>
      </c>
      <c r="E3578" s="2" t="s">
        <v>20340</v>
      </c>
      <c r="F3578" s="2" t="s">
        <v>31</v>
      </c>
      <c r="G3578" s="2" t="s">
        <v>32</v>
      </c>
      <c r="H3578" s="1"/>
      <c r="I3578" s="2" t="s">
        <v>33</v>
      </c>
      <c r="J3578" s="2" t="s">
        <v>34</v>
      </c>
      <c r="K3578" s="2" t="s">
        <v>2293</v>
      </c>
      <c r="L3578" s="2" t="s">
        <v>2294</v>
      </c>
      <c r="M3578" s="2" t="s">
        <v>2270</v>
      </c>
      <c r="N3578" s="2" t="s">
        <v>38</v>
      </c>
      <c r="O3578" s="2" t="s">
        <v>773</v>
      </c>
      <c r="P3578" s="2" t="s">
        <v>20187</v>
      </c>
      <c r="Q3578" s="2" t="s">
        <v>11783</v>
      </c>
      <c r="R3578" s="2" t="s">
        <v>40</v>
      </c>
      <c r="S3578" s="2" t="s">
        <v>20378</v>
      </c>
      <c r="T3578" s="2" t="s">
        <v>2275</v>
      </c>
      <c r="U3578" s="2" t="s">
        <v>163</v>
      </c>
      <c r="V3578" s="2" t="s">
        <v>20379</v>
      </c>
      <c r="W3578" s="1"/>
      <c r="X3578" s="2" t="s">
        <v>2198</v>
      </c>
      <c r="Y3578" s="2" t="s">
        <v>20350</v>
      </c>
      <c r="AA3578" t="str">
        <f t="shared" si="330"/>
        <v>2025-03</v>
      </c>
      <c r="AB3578" t="str">
        <f t="shared" si="331"/>
        <v>H1_2025</v>
      </c>
      <c r="AC3578">
        <f t="shared" si="332"/>
        <v>1111552.8</v>
      </c>
      <c r="AD3578">
        <f t="shared" si="333"/>
        <v>200</v>
      </c>
      <c r="AE3578">
        <f t="shared" si="334"/>
        <v>211552.8</v>
      </c>
      <c r="AF3578" t="str">
        <f t="shared" si="335"/>
        <v>Paid</v>
      </c>
    </row>
    <row r="3579" spans="1:32" ht="17.25" thickBot="1" x14ac:dyDescent="0.35">
      <c r="A3579" s="2" t="s">
        <v>20388</v>
      </c>
      <c r="B3579" s="2" t="s">
        <v>27</v>
      </c>
      <c r="C3579" s="2" t="s">
        <v>28</v>
      </c>
      <c r="D3579" s="2" t="s">
        <v>97</v>
      </c>
      <c r="E3579" s="2" t="s">
        <v>20340</v>
      </c>
      <c r="F3579" s="2" t="s">
        <v>31</v>
      </c>
      <c r="G3579" s="2" t="s">
        <v>32</v>
      </c>
      <c r="H3579" s="1"/>
      <c r="I3579" s="2" t="s">
        <v>33</v>
      </c>
      <c r="J3579" s="2" t="s">
        <v>34</v>
      </c>
      <c r="K3579" s="2" t="s">
        <v>2300</v>
      </c>
      <c r="L3579" s="2" t="s">
        <v>2301</v>
      </c>
      <c r="M3579" s="2" t="s">
        <v>2270</v>
      </c>
      <c r="N3579" s="2" t="s">
        <v>38</v>
      </c>
      <c r="O3579" s="2" t="s">
        <v>773</v>
      </c>
      <c r="P3579" s="2" t="s">
        <v>20187</v>
      </c>
      <c r="Q3579" s="2" t="s">
        <v>11783</v>
      </c>
      <c r="R3579" s="2" t="s">
        <v>40</v>
      </c>
      <c r="S3579" s="2" t="s">
        <v>20378</v>
      </c>
      <c r="T3579" s="2" t="s">
        <v>2275</v>
      </c>
      <c r="U3579" s="2" t="s">
        <v>163</v>
      </c>
      <c r="V3579" s="2" t="s">
        <v>20379</v>
      </c>
      <c r="W3579" s="1"/>
      <c r="X3579" s="2" t="s">
        <v>2198</v>
      </c>
      <c r="Y3579" s="2" t="s">
        <v>20350</v>
      </c>
      <c r="AA3579" t="str">
        <f t="shared" si="330"/>
        <v>2025-03</v>
      </c>
      <c r="AB3579" t="str">
        <f t="shared" si="331"/>
        <v>H1_2025</v>
      </c>
      <c r="AC3579">
        <f t="shared" si="332"/>
        <v>1111552.8</v>
      </c>
      <c r="AD3579">
        <f t="shared" si="333"/>
        <v>200</v>
      </c>
      <c r="AE3579">
        <f t="shared" si="334"/>
        <v>211552.8</v>
      </c>
      <c r="AF3579" t="str">
        <f t="shared" si="335"/>
        <v>Paid</v>
      </c>
    </row>
    <row r="3580" spans="1:32" ht="17.25" thickBot="1" x14ac:dyDescent="0.35">
      <c r="A3580" s="2" t="s">
        <v>20389</v>
      </c>
      <c r="B3580" s="2" t="s">
        <v>27</v>
      </c>
      <c r="C3580" s="2" t="s">
        <v>28</v>
      </c>
      <c r="D3580" s="2" t="s">
        <v>97</v>
      </c>
      <c r="E3580" s="2" t="s">
        <v>20340</v>
      </c>
      <c r="F3580" s="2" t="s">
        <v>31</v>
      </c>
      <c r="G3580" s="2" t="s">
        <v>32</v>
      </c>
      <c r="H3580" s="1"/>
      <c r="I3580" s="2" t="s">
        <v>33</v>
      </c>
      <c r="J3580" s="2" t="s">
        <v>34</v>
      </c>
      <c r="K3580" s="2" t="s">
        <v>2300</v>
      </c>
      <c r="L3580" s="2" t="s">
        <v>2301</v>
      </c>
      <c r="M3580" s="2" t="s">
        <v>2270</v>
      </c>
      <c r="N3580" s="2" t="s">
        <v>38</v>
      </c>
      <c r="O3580" s="2" t="s">
        <v>839</v>
      </c>
      <c r="P3580" s="2" t="s">
        <v>20187</v>
      </c>
      <c r="Q3580" s="2" t="s">
        <v>20390</v>
      </c>
      <c r="R3580" s="2" t="s">
        <v>40</v>
      </c>
      <c r="S3580" s="2" t="s">
        <v>20391</v>
      </c>
      <c r="T3580" s="2" t="s">
        <v>2275</v>
      </c>
      <c r="U3580" s="2" t="s">
        <v>10227</v>
      </c>
      <c r="V3580" s="2" t="s">
        <v>20392</v>
      </c>
      <c r="W3580" s="1"/>
      <c r="X3580" s="2" t="s">
        <v>2198</v>
      </c>
      <c r="Y3580" s="2" t="s">
        <v>20350</v>
      </c>
      <c r="AA3580" t="str">
        <f t="shared" si="330"/>
        <v>2025-03</v>
      </c>
      <c r="AB3580" t="str">
        <f t="shared" si="331"/>
        <v>H1_2025</v>
      </c>
      <c r="AC3580">
        <f t="shared" si="332"/>
        <v>533545.34</v>
      </c>
      <c r="AD3580">
        <f t="shared" si="333"/>
        <v>96</v>
      </c>
      <c r="AE3580">
        <f t="shared" si="334"/>
        <v>101545.34</v>
      </c>
      <c r="AF3580" t="str">
        <f t="shared" si="335"/>
        <v>Paid</v>
      </c>
    </row>
    <row r="3581" spans="1:32" ht="17.25" thickBot="1" x14ac:dyDescent="0.35">
      <c r="A3581" s="2" t="s">
        <v>20393</v>
      </c>
      <c r="B3581" s="2" t="s">
        <v>27</v>
      </c>
      <c r="C3581" s="2" t="s">
        <v>28</v>
      </c>
      <c r="D3581" s="2" t="s">
        <v>97</v>
      </c>
      <c r="E3581" s="2" t="s">
        <v>20340</v>
      </c>
      <c r="F3581" s="2" t="s">
        <v>31</v>
      </c>
      <c r="G3581" s="2" t="s">
        <v>32</v>
      </c>
      <c r="H3581" s="1"/>
      <c r="I3581" s="2" t="s">
        <v>33</v>
      </c>
      <c r="J3581" s="2" t="s">
        <v>34</v>
      </c>
      <c r="K3581" s="2" t="s">
        <v>3317</v>
      </c>
      <c r="L3581" s="2" t="s">
        <v>3318</v>
      </c>
      <c r="M3581" s="2" t="s">
        <v>2270</v>
      </c>
      <c r="N3581" s="2" t="s">
        <v>38</v>
      </c>
      <c r="O3581" s="2" t="s">
        <v>615</v>
      </c>
      <c r="P3581" s="2" t="s">
        <v>5398</v>
      </c>
      <c r="Q3581" s="2" t="s">
        <v>20394</v>
      </c>
      <c r="R3581" s="2" t="s">
        <v>40</v>
      </c>
      <c r="S3581" s="2" t="s">
        <v>20395</v>
      </c>
      <c r="T3581" s="2" t="s">
        <v>2275</v>
      </c>
      <c r="U3581" s="2" t="s">
        <v>11079</v>
      </c>
      <c r="V3581" s="2" t="s">
        <v>20396</v>
      </c>
      <c r="W3581" s="1"/>
      <c r="X3581" s="2" t="s">
        <v>5636</v>
      </c>
      <c r="Y3581" s="2" t="s">
        <v>20350</v>
      </c>
      <c r="AA3581" t="str">
        <f t="shared" si="330"/>
        <v>2025-03</v>
      </c>
      <c r="AB3581" t="str">
        <f t="shared" si="331"/>
        <v>H1_2025</v>
      </c>
      <c r="AC3581">
        <f t="shared" si="332"/>
        <v>402190.27</v>
      </c>
      <c r="AD3581">
        <f t="shared" si="333"/>
        <v>72</v>
      </c>
      <c r="AE3581">
        <f t="shared" si="334"/>
        <v>78190.27</v>
      </c>
      <c r="AF3581" t="str">
        <f t="shared" si="335"/>
        <v>Paid</v>
      </c>
    </row>
    <row r="3582" spans="1:32" ht="17.25" thickBot="1" x14ac:dyDescent="0.35">
      <c r="A3582" s="2" t="s">
        <v>20397</v>
      </c>
      <c r="B3582" s="2" t="s">
        <v>27</v>
      </c>
      <c r="C3582" s="2" t="s">
        <v>28</v>
      </c>
      <c r="D3582" s="2" t="s">
        <v>97</v>
      </c>
      <c r="E3582" s="2" t="s">
        <v>20340</v>
      </c>
      <c r="F3582" s="2" t="s">
        <v>31</v>
      </c>
      <c r="G3582" s="2" t="s">
        <v>32</v>
      </c>
      <c r="H3582" s="1"/>
      <c r="I3582" s="2" t="s">
        <v>33</v>
      </c>
      <c r="J3582" s="2" t="s">
        <v>34</v>
      </c>
      <c r="K3582" s="2" t="s">
        <v>2306</v>
      </c>
      <c r="L3582" s="2" t="s">
        <v>2307</v>
      </c>
      <c r="M3582" s="2" t="s">
        <v>2270</v>
      </c>
      <c r="N3582" s="2" t="s">
        <v>38</v>
      </c>
      <c r="O3582" s="2" t="s">
        <v>2057</v>
      </c>
      <c r="P3582" s="2" t="s">
        <v>20187</v>
      </c>
      <c r="Q3582" s="2" t="s">
        <v>20398</v>
      </c>
      <c r="R3582" s="2" t="s">
        <v>40</v>
      </c>
      <c r="S3582" s="2" t="s">
        <v>20399</v>
      </c>
      <c r="T3582" s="2" t="s">
        <v>2275</v>
      </c>
      <c r="U3582" s="2" t="s">
        <v>224</v>
      </c>
      <c r="V3582" s="2" t="s">
        <v>20400</v>
      </c>
      <c r="W3582" s="1"/>
      <c r="X3582" s="2" t="s">
        <v>2198</v>
      </c>
      <c r="Y3582" s="2" t="s">
        <v>20350</v>
      </c>
      <c r="AA3582" t="str">
        <f t="shared" si="330"/>
        <v>2025-03</v>
      </c>
      <c r="AB3582" t="str">
        <f t="shared" si="331"/>
        <v>H1_2025</v>
      </c>
      <c r="AC3582">
        <f t="shared" si="332"/>
        <v>1945217.4</v>
      </c>
      <c r="AD3582">
        <f t="shared" si="333"/>
        <v>350</v>
      </c>
      <c r="AE3582">
        <f t="shared" si="334"/>
        <v>370217.4</v>
      </c>
      <c r="AF3582" t="str">
        <f t="shared" si="335"/>
        <v>Paid</v>
      </c>
    </row>
    <row r="3583" spans="1:32" ht="17.25" thickBot="1" x14ac:dyDescent="0.35">
      <c r="A3583" s="2" t="s">
        <v>20401</v>
      </c>
      <c r="B3583" s="2" t="s">
        <v>27</v>
      </c>
      <c r="C3583" s="2" t="s">
        <v>28</v>
      </c>
      <c r="D3583" s="2" t="s">
        <v>97</v>
      </c>
      <c r="E3583" s="2" t="s">
        <v>20340</v>
      </c>
      <c r="F3583" s="2" t="s">
        <v>31</v>
      </c>
      <c r="G3583" s="2" t="s">
        <v>32</v>
      </c>
      <c r="H3583" s="1"/>
      <c r="I3583" s="2" t="s">
        <v>33</v>
      </c>
      <c r="J3583" s="2" t="s">
        <v>34</v>
      </c>
      <c r="K3583" s="2" t="s">
        <v>2306</v>
      </c>
      <c r="L3583" s="2" t="s">
        <v>2307</v>
      </c>
      <c r="M3583" s="2" t="s">
        <v>2270</v>
      </c>
      <c r="N3583" s="2" t="s">
        <v>38</v>
      </c>
      <c r="O3583" s="2" t="s">
        <v>773</v>
      </c>
      <c r="P3583" s="2" t="s">
        <v>20187</v>
      </c>
      <c r="Q3583" s="2" t="s">
        <v>11783</v>
      </c>
      <c r="R3583" s="2" t="s">
        <v>40</v>
      </c>
      <c r="S3583" s="2" t="s">
        <v>20378</v>
      </c>
      <c r="T3583" s="2" t="s">
        <v>2275</v>
      </c>
      <c r="U3583" s="2" t="s">
        <v>163</v>
      </c>
      <c r="V3583" s="2" t="s">
        <v>20379</v>
      </c>
      <c r="W3583" s="1"/>
      <c r="X3583" s="2" t="s">
        <v>2198</v>
      </c>
      <c r="Y3583" s="2" t="s">
        <v>20350</v>
      </c>
      <c r="AA3583" t="str">
        <f t="shared" si="330"/>
        <v>2025-03</v>
      </c>
      <c r="AB3583" t="str">
        <f t="shared" si="331"/>
        <v>H1_2025</v>
      </c>
      <c r="AC3583">
        <f t="shared" si="332"/>
        <v>1111552.8</v>
      </c>
      <c r="AD3583">
        <f t="shared" si="333"/>
        <v>200</v>
      </c>
      <c r="AE3583">
        <f t="shared" si="334"/>
        <v>211552.8</v>
      </c>
      <c r="AF3583" t="str">
        <f t="shared" si="335"/>
        <v>Paid</v>
      </c>
    </row>
    <row r="3584" spans="1:32" ht="17.25" thickBot="1" x14ac:dyDescent="0.35">
      <c r="A3584" s="2" t="s">
        <v>20402</v>
      </c>
      <c r="B3584" s="2" t="s">
        <v>27</v>
      </c>
      <c r="C3584" s="2" t="s">
        <v>28</v>
      </c>
      <c r="D3584" s="2" t="s">
        <v>97</v>
      </c>
      <c r="E3584" s="2" t="s">
        <v>20340</v>
      </c>
      <c r="F3584" s="2" t="s">
        <v>31</v>
      </c>
      <c r="G3584" s="2" t="s">
        <v>32</v>
      </c>
      <c r="H3584" s="1"/>
      <c r="I3584" s="2" t="s">
        <v>33</v>
      </c>
      <c r="J3584" s="2" t="s">
        <v>34</v>
      </c>
      <c r="K3584" s="2" t="s">
        <v>2306</v>
      </c>
      <c r="L3584" s="2" t="s">
        <v>2307</v>
      </c>
      <c r="M3584" s="2" t="s">
        <v>2270</v>
      </c>
      <c r="N3584" s="2" t="s">
        <v>38</v>
      </c>
      <c r="O3584" s="2" t="s">
        <v>877</v>
      </c>
      <c r="P3584" s="2" t="s">
        <v>20187</v>
      </c>
      <c r="Q3584" s="2" t="s">
        <v>20403</v>
      </c>
      <c r="R3584" s="2" t="s">
        <v>40</v>
      </c>
      <c r="S3584" s="2" t="s">
        <v>20404</v>
      </c>
      <c r="T3584" s="2" t="s">
        <v>2275</v>
      </c>
      <c r="U3584" s="2" t="s">
        <v>145</v>
      </c>
      <c r="V3584" s="2" t="s">
        <v>20405</v>
      </c>
      <c r="W3584" s="1"/>
      <c r="X3584" s="2" t="s">
        <v>2198</v>
      </c>
      <c r="Y3584" s="2" t="s">
        <v>20350</v>
      </c>
      <c r="AA3584" t="str">
        <f t="shared" si="330"/>
        <v>2025-03</v>
      </c>
      <c r="AB3584" t="str">
        <f t="shared" si="331"/>
        <v>H1_2025</v>
      </c>
      <c r="AC3584">
        <f t="shared" si="332"/>
        <v>555776.4</v>
      </c>
      <c r="AD3584">
        <f t="shared" si="333"/>
        <v>100</v>
      </c>
      <c r="AE3584">
        <f t="shared" si="334"/>
        <v>105776.4</v>
      </c>
      <c r="AF3584" t="str">
        <f t="shared" si="335"/>
        <v>Paid</v>
      </c>
    </row>
    <row r="3585" spans="1:32" ht="17.25" thickBot="1" x14ac:dyDescent="0.35">
      <c r="A3585" s="2" t="s">
        <v>20406</v>
      </c>
      <c r="B3585" s="2" t="s">
        <v>27</v>
      </c>
      <c r="C3585" s="2" t="s">
        <v>28</v>
      </c>
      <c r="D3585" s="2" t="s">
        <v>97</v>
      </c>
      <c r="E3585" s="2" t="s">
        <v>20340</v>
      </c>
      <c r="F3585" s="2" t="s">
        <v>31</v>
      </c>
      <c r="G3585" s="2" t="s">
        <v>32</v>
      </c>
      <c r="H3585" s="1"/>
      <c r="I3585" s="2" t="s">
        <v>33</v>
      </c>
      <c r="J3585" s="2" t="s">
        <v>34</v>
      </c>
      <c r="K3585" s="2" t="s">
        <v>2313</v>
      </c>
      <c r="L3585" s="2" t="s">
        <v>2314</v>
      </c>
      <c r="M3585" s="2" t="s">
        <v>2270</v>
      </c>
      <c r="N3585" s="2" t="s">
        <v>38</v>
      </c>
      <c r="O3585" s="2" t="s">
        <v>2057</v>
      </c>
      <c r="P3585" s="2" t="s">
        <v>20187</v>
      </c>
      <c r="Q3585" s="2" t="s">
        <v>20398</v>
      </c>
      <c r="R3585" s="2" t="s">
        <v>40</v>
      </c>
      <c r="S3585" s="2" t="s">
        <v>20399</v>
      </c>
      <c r="T3585" s="2" t="s">
        <v>2275</v>
      </c>
      <c r="U3585" s="2" t="s">
        <v>224</v>
      </c>
      <c r="V3585" s="2" t="s">
        <v>20400</v>
      </c>
      <c r="W3585" s="1"/>
      <c r="X3585" s="2" t="s">
        <v>2198</v>
      </c>
      <c r="Y3585" s="2" t="s">
        <v>20350</v>
      </c>
      <c r="AA3585" t="str">
        <f t="shared" si="330"/>
        <v>2025-03</v>
      </c>
      <c r="AB3585" t="str">
        <f t="shared" si="331"/>
        <v>H1_2025</v>
      </c>
      <c r="AC3585">
        <f t="shared" si="332"/>
        <v>1945217.4</v>
      </c>
      <c r="AD3585">
        <f t="shared" si="333"/>
        <v>350</v>
      </c>
      <c r="AE3585">
        <f t="shared" si="334"/>
        <v>370217.4</v>
      </c>
      <c r="AF3585" t="str">
        <f t="shared" si="335"/>
        <v>Paid</v>
      </c>
    </row>
    <row r="3586" spans="1:32" ht="17.25" thickBot="1" x14ac:dyDescent="0.35">
      <c r="A3586" s="2" t="s">
        <v>20407</v>
      </c>
      <c r="B3586" s="2" t="s">
        <v>27</v>
      </c>
      <c r="C3586" s="2" t="s">
        <v>28</v>
      </c>
      <c r="D3586" s="2" t="s">
        <v>97</v>
      </c>
      <c r="E3586" s="2" t="s">
        <v>20340</v>
      </c>
      <c r="F3586" s="2" t="s">
        <v>31</v>
      </c>
      <c r="G3586" s="2" t="s">
        <v>32</v>
      </c>
      <c r="H3586" s="1"/>
      <c r="I3586" s="2" t="s">
        <v>33</v>
      </c>
      <c r="J3586" s="2" t="s">
        <v>34</v>
      </c>
      <c r="K3586" s="2" t="s">
        <v>20221</v>
      </c>
      <c r="L3586" s="2" t="s">
        <v>20222</v>
      </c>
      <c r="M3586" s="2" t="s">
        <v>2270</v>
      </c>
      <c r="N3586" s="2" t="s">
        <v>38</v>
      </c>
      <c r="O3586" s="2" t="s">
        <v>773</v>
      </c>
      <c r="P3586" s="2" t="s">
        <v>20187</v>
      </c>
      <c r="Q3586" s="2" t="s">
        <v>11783</v>
      </c>
      <c r="R3586" s="2" t="s">
        <v>40</v>
      </c>
      <c r="S3586" s="2" t="s">
        <v>20378</v>
      </c>
      <c r="T3586" s="2" t="s">
        <v>2275</v>
      </c>
      <c r="U3586" s="2" t="s">
        <v>163</v>
      </c>
      <c r="V3586" s="2" t="s">
        <v>20379</v>
      </c>
      <c r="W3586" s="1"/>
      <c r="X3586" s="2" t="s">
        <v>2198</v>
      </c>
      <c r="Y3586" s="2" t="s">
        <v>20350</v>
      </c>
      <c r="AA3586" t="str">
        <f t="shared" si="330"/>
        <v>2025-03</v>
      </c>
      <c r="AB3586" t="str">
        <f t="shared" si="331"/>
        <v>H1_2025</v>
      </c>
      <c r="AC3586">
        <f t="shared" si="332"/>
        <v>1111552.8</v>
      </c>
      <c r="AD3586">
        <f t="shared" si="333"/>
        <v>200</v>
      </c>
      <c r="AE3586">
        <f t="shared" si="334"/>
        <v>211552.8</v>
      </c>
      <c r="AF3586" t="str">
        <f t="shared" si="335"/>
        <v>Paid</v>
      </c>
    </row>
    <row r="3587" spans="1:32" ht="17.25" thickBot="1" x14ac:dyDescent="0.35">
      <c r="A3587" s="2" t="s">
        <v>20408</v>
      </c>
      <c r="B3587" s="2" t="s">
        <v>27</v>
      </c>
      <c r="C3587" s="2" t="s">
        <v>28</v>
      </c>
      <c r="D3587" s="2" t="s">
        <v>97</v>
      </c>
      <c r="E3587" s="2" t="s">
        <v>20340</v>
      </c>
      <c r="F3587" s="2" t="s">
        <v>31</v>
      </c>
      <c r="G3587" s="2" t="s">
        <v>32</v>
      </c>
      <c r="H3587" s="1"/>
      <c r="I3587" s="2" t="s">
        <v>33</v>
      </c>
      <c r="J3587" s="2" t="s">
        <v>34</v>
      </c>
      <c r="K3587" s="2" t="s">
        <v>20221</v>
      </c>
      <c r="L3587" s="2" t="s">
        <v>20222</v>
      </c>
      <c r="M3587" s="2" t="s">
        <v>2270</v>
      </c>
      <c r="N3587" s="2" t="s">
        <v>38</v>
      </c>
      <c r="O3587" s="2" t="s">
        <v>773</v>
      </c>
      <c r="P3587" s="2" t="s">
        <v>20187</v>
      </c>
      <c r="Q3587" s="2" t="s">
        <v>11783</v>
      </c>
      <c r="R3587" s="2" t="s">
        <v>40</v>
      </c>
      <c r="S3587" s="2" t="s">
        <v>20378</v>
      </c>
      <c r="T3587" s="2" t="s">
        <v>2275</v>
      </c>
      <c r="U3587" s="2" t="s">
        <v>163</v>
      </c>
      <c r="V3587" s="2" t="s">
        <v>20379</v>
      </c>
      <c r="W3587" s="1"/>
      <c r="X3587" s="2" t="s">
        <v>2198</v>
      </c>
      <c r="Y3587" s="2" t="s">
        <v>20350</v>
      </c>
      <c r="AA3587" t="str">
        <f t="shared" si="330"/>
        <v>2025-03</v>
      </c>
      <c r="AB3587" t="str">
        <f t="shared" si="331"/>
        <v>H1_2025</v>
      </c>
      <c r="AC3587">
        <f t="shared" si="332"/>
        <v>1111552.8</v>
      </c>
      <c r="AD3587">
        <f t="shared" si="333"/>
        <v>200</v>
      </c>
      <c r="AE3587">
        <f t="shared" si="334"/>
        <v>211552.8</v>
      </c>
      <c r="AF3587" t="str">
        <f t="shared" si="335"/>
        <v>Paid</v>
      </c>
    </row>
    <row r="3588" spans="1:32" ht="17.25" thickBot="1" x14ac:dyDescent="0.35">
      <c r="A3588" s="2" t="s">
        <v>20409</v>
      </c>
      <c r="B3588" s="2" t="s">
        <v>27</v>
      </c>
      <c r="C3588" s="2" t="s">
        <v>28</v>
      </c>
      <c r="D3588" s="2" t="s">
        <v>97</v>
      </c>
      <c r="E3588" s="2" t="s">
        <v>20340</v>
      </c>
      <c r="F3588" s="2" t="s">
        <v>31</v>
      </c>
      <c r="G3588" s="2" t="s">
        <v>32</v>
      </c>
      <c r="H3588" s="1"/>
      <c r="I3588" s="2" t="s">
        <v>33</v>
      </c>
      <c r="J3588" s="2" t="s">
        <v>34</v>
      </c>
      <c r="K3588" s="2" t="s">
        <v>2320</v>
      </c>
      <c r="L3588" s="2" t="s">
        <v>2321</v>
      </c>
      <c r="M3588" s="2" t="s">
        <v>2270</v>
      </c>
      <c r="N3588" s="2" t="s">
        <v>38</v>
      </c>
      <c r="O3588" s="2" t="s">
        <v>1158</v>
      </c>
      <c r="P3588" s="2" t="s">
        <v>20187</v>
      </c>
      <c r="Q3588" s="2" t="s">
        <v>20410</v>
      </c>
      <c r="R3588" s="2" t="s">
        <v>40</v>
      </c>
      <c r="S3588" s="2" t="s">
        <v>20411</v>
      </c>
      <c r="T3588" s="2" t="s">
        <v>2275</v>
      </c>
      <c r="U3588" s="2" t="s">
        <v>20412</v>
      </c>
      <c r="V3588" s="2" t="s">
        <v>20413</v>
      </c>
      <c r="W3588" s="1"/>
      <c r="X3588" s="2" t="s">
        <v>2198</v>
      </c>
      <c r="Y3588" s="2" t="s">
        <v>20350</v>
      </c>
      <c r="AA3588" t="str">
        <f t="shared" ref="AA3588:AA3651" si="336">LEFT(E3588,7)</f>
        <v>2025-03</v>
      </c>
      <c r="AB3588" t="str">
        <f t="shared" ref="AB3588:AB3651" si="337">IF(AND($AA3588&gt;="2025-01",$AA3588&lt;="2025-06"),"H1_2025",IF(AND($AA3588&gt;="2026-01",$AA3588&lt;="2026-06"),"H1_2026",""))</f>
        <v>H1_2025</v>
      </c>
      <c r="AC3588">
        <f t="shared" ref="AC3588:AC3651" si="338">IFERROR(VALUE(SUBSTITUTE(S3588,",","")),0)</f>
        <v>1000397.52</v>
      </c>
      <c r="AD3588">
        <f t="shared" ref="AD3588:AD3651" si="339">IFERROR(VALUE(SUBSTITUTE(O3588,",","")),0)</f>
        <v>180</v>
      </c>
      <c r="AE3588">
        <f t="shared" ref="AE3588:AE3651" si="340">IFERROR(VALUE(SUBSTITUTE(V3588,",","")),0)</f>
        <v>190397.52</v>
      </c>
      <c r="AF3588" t="str">
        <f t="shared" ref="AF3588:AF3651" si="341">IF(ISNUMBER(SEARCH("FOC",W3588)),"FOC",IF(ISNUMBER(SEARCH("샘플",W3588)),"Sample","Paid"))</f>
        <v>Paid</v>
      </c>
    </row>
    <row r="3589" spans="1:32" ht="17.25" thickBot="1" x14ac:dyDescent="0.35">
      <c r="A3589" s="2" t="s">
        <v>20414</v>
      </c>
      <c r="B3589" s="2" t="s">
        <v>27</v>
      </c>
      <c r="C3589" s="2" t="s">
        <v>28</v>
      </c>
      <c r="D3589" s="2" t="s">
        <v>97</v>
      </c>
      <c r="E3589" s="2" t="s">
        <v>20340</v>
      </c>
      <c r="F3589" s="2" t="s">
        <v>31</v>
      </c>
      <c r="G3589" s="2" t="s">
        <v>32</v>
      </c>
      <c r="H3589" s="1"/>
      <c r="I3589" s="2" t="s">
        <v>33</v>
      </c>
      <c r="J3589" s="2" t="s">
        <v>34</v>
      </c>
      <c r="K3589" s="2" t="s">
        <v>2320</v>
      </c>
      <c r="L3589" s="2" t="s">
        <v>2321</v>
      </c>
      <c r="M3589" s="2" t="s">
        <v>2270</v>
      </c>
      <c r="N3589" s="2" t="s">
        <v>38</v>
      </c>
      <c r="O3589" s="2" t="s">
        <v>773</v>
      </c>
      <c r="P3589" s="2" t="s">
        <v>20187</v>
      </c>
      <c r="Q3589" s="2" t="s">
        <v>11783</v>
      </c>
      <c r="R3589" s="2" t="s">
        <v>40</v>
      </c>
      <c r="S3589" s="2" t="s">
        <v>20378</v>
      </c>
      <c r="T3589" s="2" t="s">
        <v>2275</v>
      </c>
      <c r="U3589" s="2" t="s">
        <v>163</v>
      </c>
      <c r="V3589" s="2" t="s">
        <v>20379</v>
      </c>
      <c r="W3589" s="1"/>
      <c r="X3589" s="2" t="s">
        <v>2198</v>
      </c>
      <c r="Y3589" s="2" t="s">
        <v>20350</v>
      </c>
      <c r="AA3589" t="str">
        <f t="shared" si="336"/>
        <v>2025-03</v>
      </c>
      <c r="AB3589" t="str">
        <f t="shared" si="337"/>
        <v>H1_2025</v>
      </c>
      <c r="AC3589">
        <f t="shared" si="338"/>
        <v>1111552.8</v>
      </c>
      <c r="AD3589">
        <f t="shared" si="339"/>
        <v>200</v>
      </c>
      <c r="AE3589">
        <f t="shared" si="340"/>
        <v>211552.8</v>
      </c>
      <c r="AF3589" t="str">
        <f t="shared" si="341"/>
        <v>Paid</v>
      </c>
    </row>
    <row r="3590" spans="1:32" ht="27.75" thickBot="1" x14ac:dyDescent="0.35">
      <c r="A3590" s="2" t="s">
        <v>20415</v>
      </c>
      <c r="B3590" s="2" t="s">
        <v>27</v>
      </c>
      <c r="C3590" s="2" t="s">
        <v>28</v>
      </c>
      <c r="D3590" s="2" t="s">
        <v>97</v>
      </c>
      <c r="E3590" s="2" t="s">
        <v>20340</v>
      </c>
      <c r="F3590" s="2" t="s">
        <v>31</v>
      </c>
      <c r="G3590" s="2" t="s">
        <v>32</v>
      </c>
      <c r="H3590" s="1"/>
      <c r="I3590" s="2" t="s">
        <v>33</v>
      </c>
      <c r="J3590" s="2" t="s">
        <v>34</v>
      </c>
      <c r="K3590" s="2" t="s">
        <v>2342</v>
      </c>
      <c r="L3590" s="2" t="s">
        <v>2343</v>
      </c>
      <c r="M3590" s="2" t="s">
        <v>2270</v>
      </c>
      <c r="N3590" s="2" t="s">
        <v>38</v>
      </c>
      <c r="O3590" s="2" t="s">
        <v>159</v>
      </c>
      <c r="P3590" s="2" t="s">
        <v>20187</v>
      </c>
      <c r="Q3590" s="2" t="s">
        <v>20416</v>
      </c>
      <c r="R3590" s="2" t="s">
        <v>40</v>
      </c>
      <c r="S3590" s="2" t="s">
        <v>20417</v>
      </c>
      <c r="T3590" s="2" t="s">
        <v>2275</v>
      </c>
      <c r="U3590" s="2" t="s">
        <v>4484</v>
      </c>
      <c r="V3590" s="2" t="s">
        <v>20418</v>
      </c>
      <c r="W3590" s="1"/>
      <c r="X3590" s="2" t="s">
        <v>2198</v>
      </c>
      <c r="Y3590" s="2" t="s">
        <v>20350</v>
      </c>
      <c r="AA3590" t="str">
        <f t="shared" si="336"/>
        <v>2025-03</v>
      </c>
      <c r="AB3590" t="str">
        <f t="shared" si="337"/>
        <v>H1_2025</v>
      </c>
      <c r="AC3590">
        <f t="shared" si="338"/>
        <v>444621.12</v>
      </c>
      <c r="AD3590">
        <f t="shared" si="339"/>
        <v>80</v>
      </c>
      <c r="AE3590">
        <f t="shared" si="340"/>
        <v>84621.119999999995</v>
      </c>
      <c r="AF3590" t="str">
        <f t="shared" si="341"/>
        <v>Paid</v>
      </c>
    </row>
    <row r="3591" spans="1:32" ht="27.75" thickBot="1" x14ac:dyDescent="0.35">
      <c r="A3591" s="2" t="s">
        <v>20419</v>
      </c>
      <c r="B3591" s="2" t="s">
        <v>27</v>
      </c>
      <c r="C3591" s="2" t="s">
        <v>28</v>
      </c>
      <c r="D3591" s="2" t="s">
        <v>97</v>
      </c>
      <c r="E3591" s="2" t="s">
        <v>20340</v>
      </c>
      <c r="F3591" s="2" t="s">
        <v>31</v>
      </c>
      <c r="G3591" s="2" t="s">
        <v>32</v>
      </c>
      <c r="H3591" s="1"/>
      <c r="I3591" s="2" t="s">
        <v>33</v>
      </c>
      <c r="J3591" s="2" t="s">
        <v>34</v>
      </c>
      <c r="K3591" s="2" t="s">
        <v>2342</v>
      </c>
      <c r="L3591" s="2" t="s">
        <v>2343</v>
      </c>
      <c r="M3591" s="2" t="s">
        <v>2270</v>
      </c>
      <c r="N3591" s="2" t="s">
        <v>38</v>
      </c>
      <c r="O3591" s="2" t="s">
        <v>517</v>
      </c>
      <c r="P3591" s="2" t="s">
        <v>20187</v>
      </c>
      <c r="Q3591" s="2" t="s">
        <v>20420</v>
      </c>
      <c r="R3591" s="2" t="s">
        <v>40</v>
      </c>
      <c r="S3591" s="2" t="s">
        <v>20421</v>
      </c>
      <c r="T3591" s="2" t="s">
        <v>2275</v>
      </c>
      <c r="U3591" s="2" t="s">
        <v>1748</v>
      </c>
      <c r="V3591" s="2" t="s">
        <v>20422</v>
      </c>
      <c r="W3591" s="1"/>
      <c r="X3591" s="2" t="s">
        <v>2198</v>
      </c>
      <c r="Y3591" s="2" t="s">
        <v>20350</v>
      </c>
      <c r="AA3591" t="str">
        <f t="shared" si="336"/>
        <v>2025-03</v>
      </c>
      <c r="AB3591" t="str">
        <f t="shared" si="337"/>
        <v>H1_2025</v>
      </c>
      <c r="AC3591">
        <f t="shared" si="338"/>
        <v>666931.68000000005</v>
      </c>
      <c r="AD3591">
        <f t="shared" si="339"/>
        <v>120</v>
      </c>
      <c r="AE3591">
        <f t="shared" si="340"/>
        <v>126931.68</v>
      </c>
      <c r="AF3591" t="str">
        <f t="shared" si="341"/>
        <v>Paid</v>
      </c>
    </row>
    <row r="3592" spans="1:32" ht="27.75" thickBot="1" x14ac:dyDescent="0.35">
      <c r="A3592" s="2" t="s">
        <v>20423</v>
      </c>
      <c r="B3592" s="2" t="s">
        <v>27</v>
      </c>
      <c r="C3592" s="2" t="s">
        <v>28</v>
      </c>
      <c r="D3592" s="2" t="s">
        <v>97</v>
      </c>
      <c r="E3592" s="2" t="s">
        <v>20340</v>
      </c>
      <c r="F3592" s="2" t="s">
        <v>31</v>
      </c>
      <c r="G3592" s="2" t="s">
        <v>32</v>
      </c>
      <c r="H3592" s="1"/>
      <c r="I3592" s="2" t="s">
        <v>33</v>
      </c>
      <c r="J3592" s="2" t="s">
        <v>34</v>
      </c>
      <c r="K3592" s="2" t="s">
        <v>2342</v>
      </c>
      <c r="L3592" s="2" t="s">
        <v>2343</v>
      </c>
      <c r="M3592" s="2" t="s">
        <v>2270</v>
      </c>
      <c r="N3592" s="2" t="s">
        <v>38</v>
      </c>
      <c r="O3592" s="2" t="s">
        <v>849</v>
      </c>
      <c r="P3592" s="2" t="s">
        <v>20187</v>
      </c>
      <c r="Q3592" s="2" t="s">
        <v>20374</v>
      </c>
      <c r="R3592" s="2" t="s">
        <v>40</v>
      </c>
      <c r="S3592" s="2" t="s">
        <v>20375</v>
      </c>
      <c r="T3592" s="2" t="s">
        <v>2275</v>
      </c>
      <c r="U3592" s="2" t="s">
        <v>3087</v>
      </c>
      <c r="V3592" s="2" t="s">
        <v>20376</v>
      </c>
      <c r="W3592" s="1"/>
      <c r="X3592" s="2" t="s">
        <v>2198</v>
      </c>
      <c r="Y3592" s="2" t="s">
        <v>20350</v>
      </c>
      <c r="AA3592" t="str">
        <f t="shared" si="336"/>
        <v>2025-03</v>
      </c>
      <c r="AB3592" t="str">
        <f t="shared" si="337"/>
        <v>H1_2025</v>
      </c>
      <c r="AC3592">
        <f t="shared" si="338"/>
        <v>889242.24</v>
      </c>
      <c r="AD3592">
        <f t="shared" si="339"/>
        <v>160</v>
      </c>
      <c r="AE3592">
        <f t="shared" si="340"/>
        <v>169242.23999999999</v>
      </c>
      <c r="AF3592" t="str">
        <f t="shared" si="341"/>
        <v>Paid</v>
      </c>
    </row>
    <row r="3593" spans="1:32" ht="17.25" thickBot="1" x14ac:dyDescent="0.35">
      <c r="A3593" s="2" t="s">
        <v>20424</v>
      </c>
      <c r="B3593" s="2" t="s">
        <v>27</v>
      </c>
      <c r="C3593" s="2" t="s">
        <v>28</v>
      </c>
      <c r="D3593" s="2" t="s">
        <v>97</v>
      </c>
      <c r="E3593" s="2" t="s">
        <v>20340</v>
      </c>
      <c r="F3593" s="2" t="s">
        <v>31</v>
      </c>
      <c r="G3593" s="2" t="s">
        <v>32</v>
      </c>
      <c r="H3593" s="1"/>
      <c r="I3593" s="2" t="s">
        <v>33</v>
      </c>
      <c r="J3593" s="2" t="s">
        <v>34</v>
      </c>
      <c r="K3593" s="2" t="s">
        <v>2349</v>
      </c>
      <c r="L3593" s="2" t="s">
        <v>2350</v>
      </c>
      <c r="M3593" s="2" t="s">
        <v>2270</v>
      </c>
      <c r="N3593" s="2" t="s">
        <v>38</v>
      </c>
      <c r="O3593" s="2" t="s">
        <v>977</v>
      </c>
      <c r="P3593" s="2" t="s">
        <v>5398</v>
      </c>
      <c r="Q3593" s="2" t="s">
        <v>3021</v>
      </c>
      <c r="R3593" s="2" t="s">
        <v>40</v>
      </c>
      <c r="S3593" s="2" t="s">
        <v>20425</v>
      </c>
      <c r="T3593" s="2" t="s">
        <v>2275</v>
      </c>
      <c r="U3593" s="2" t="s">
        <v>1619</v>
      </c>
      <c r="V3593" s="2" t="s">
        <v>20426</v>
      </c>
      <c r="W3593" s="1"/>
      <c r="X3593" s="2" t="s">
        <v>5636</v>
      </c>
      <c r="Y3593" s="2" t="s">
        <v>20350</v>
      </c>
      <c r="AA3593" t="str">
        <f t="shared" si="336"/>
        <v>2025-03</v>
      </c>
      <c r="AB3593" t="str">
        <f t="shared" si="337"/>
        <v>H1_2025</v>
      </c>
      <c r="AC3593">
        <f t="shared" si="338"/>
        <v>614457.36</v>
      </c>
      <c r="AD3593">
        <f t="shared" si="339"/>
        <v>110</v>
      </c>
      <c r="AE3593">
        <f t="shared" si="340"/>
        <v>119457.36</v>
      </c>
      <c r="AF3593" t="str">
        <f t="shared" si="341"/>
        <v>Paid</v>
      </c>
    </row>
    <row r="3594" spans="1:32" ht="27.75" thickBot="1" x14ac:dyDescent="0.35">
      <c r="A3594" s="2" t="s">
        <v>20427</v>
      </c>
      <c r="B3594" s="2" t="s">
        <v>27</v>
      </c>
      <c r="C3594" s="2" t="s">
        <v>28</v>
      </c>
      <c r="D3594" s="2" t="s">
        <v>97</v>
      </c>
      <c r="E3594" s="2" t="s">
        <v>20340</v>
      </c>
      <c r="F3594" s="2" t="s">
        <v>31</v>
      </c>
      <c r="G3594" s="2" t="s">
        <v>32</v>
      </c>
      <c r="H3594" s="1"/>
      <c r="I3594" s="2" t="s">
        <v>33</v>
      </c>
      <c r="J3594" s="2" t="s">
        <v>34</v>
      </c>
      <c r="K3594" s="2" t="s">
        <v>2356</v>
      </c>
      <c r="L3594" s="2" t="s">
        <v>2357</v>
      </c>
      <c r="M3594" s="2" t="s">
        <v>2270</v>
      </c>
      <c r="N3594" s="2" t="s">
        <v>38</v>
      </c>
      <c r="O3594" s="2" t="s">
        <v>1150</v>
      </c>
      <c r="P3594" s="2" t="s">
        <v>5398</v>
      </c>
      <c r="Q3594" s="2" t="s">
        <v>20428</v>
      </c>
      <c r="R3594" s="2" t="s">
        <v>40</v>
      </c>
      <c r="S3594" s="2" t="s">
        <v>20429</v>
      </c>
      <c r="T3594" s="2" t="s">
        <v>2275</v>
      </c>
      <c r="U3594" s="2" t="s">
        <v>13251</v>
      </c>
      <c r="V3594" s="2" t="s">
        <v>20430</v>
      </c>
      <c r="W3594" s="1"/>
      <c r="X3594" s="2" t="s">
        <v>5636</v>
      </c>
      <c r="Y3594" s="2" t="s">
        <v>20350</v>
      </c>
      <c r="AA3594" t="str">
        <f t="shared" si="336"/>
        <v>2025-03</v>
      </c>
      <c r="AB3594" t="str">
        <f t="shared" si="337"/>
        <v>H1_2025</v>
      </c>
      <c r="AC3594">
        <f t="shared" si="338"/>
        <v>726176.88</v>
      </c>
      <c r="AD3594">
        <f t="shared" si="339"/>
        <v>130</v>
      </c>
      <c r="AE3594">
        <f t="shared" si="340"/>
        <v>141176.88</v>
      </c>
      <c r="AF3594" t="str">
        <f t="shared" si="341"/>
        <v>Paid</v>
      </c>
    </row>
    <row r="3595" spans="1:32" ht="27.75" thickBot="1" x14ac:dyDescent="0.35">
      <c r="A3595" s="2" t="s">
        <v>20431</v>
      </c>
      <c r="B3595" s="2" t="s">
        <v>27</v>
      </c>
      <c r="C3595" s="2" t="s">
        <v>28</v>
      </c>
      <c r="D3595" s="2" t="s">
        <v>97</v>
      </c>
      <c r="E3595" s="2" t="s">
        <v>20340</v>
      </c>
      <c r="F3595" s="2" t="s">
        <v>31</v>
      </c>
      <c r="G3595" s="2" t="s">
        <v>32</v>
      </c>
      <c r="H3595" s="1"/>
      <c r="I3595" s="2" t="s">
        <v>33</v>
      </c>
      <c r="J3595" s="2" t="s">
        <v>34</v>
      </c>
      <c r="K3595" s="2" t="s">
        <v>2363</v>
      </c>
      <c r="L3595" s="2" t="s">
        <v>2364</v>
      </c>
      <c r="M3595" s="2" t="s">
        <v>2270</v>
      </c>
      <c r="N3595" s="2" t="s">
        <v>38</v>
      </c>
      <c r="O3595" s="2" t="s">
        <v>773</v>
      </c>
      <c r="P3595" s="2" t="s">
        <v>20187</v>
      </c>
      <c r="Q3595" s="2" t="s">
        <v>11783</v>
      </c>
      <c r="R3595" s="2" t="s">
        <v>40</v>
      </c>
      <c r="S3595" s="2" t="s">
        <v>20378</v>
      </c>
      <c r="T3595" s="2" t="s">
        <v>2275</v>
      </c>
      <c r="U3595" s="2" t="s">
        <v>163</v>
      </c>
      <c r="V3595" s="2" t="s">
        <v>20379</v>
      </c>
      <c r="W3595" s="1"/>
      <c r="X3595" s="2" t="s">
        <v>2198</v>
      </c>
      <c r="Y3595" s="2" t="s">
        <v>20350</v>
      </c>
      <c r="AA3595" t="str">
        <f t="shared" si="336"/>
        <v>2025-03</v>
      </c>
      <c r="AB3595" t="str">
        <f t="shared" si="337"/>
        <v>H1_2025</v>
      </c>
      <c r="AC3595">
        <f t="shared" si="338"/>
        <v>1111552.8</v>
      </c>
      <c r="AD3595">
        <f t="shared" si="339"/>
        <v>200</v>
      </c>
      <c r="AE3595">
        <f t="shared" si="340"/>
        <v>211552.8</v>
      </c>
      <c r="AF3595" t="str">
        <f t="shared" si="341"/>
        <v>Paid</v>
      </c>
    </row>
    <row r="3596" spans="1:32" ht="27.75" thickBot="1" x14ac:dyDescent="0.35">
      <c r="A3596" s="2" t="s">
        <v>20432</v>
      </c>
      <c r="B3596" s="2" t="s">
        <v>27</v>
      </c>
      <c r="C3596" s="2" t="s">
        <v>28</v>
      </c>
      <c r="D3596" s="2" t="s">
        <v>97</v>
      </c>
      <c r="E3596" s="2" t="s">
        <v>20340</v>
      </c>
      <c r="F3596" s="2" t="s">
        <v>31</v>
      </c>
      <c r="G3596" s="2" t="s">
        <v>32</v>
      </c>
      <c r="H3596" s="1"/>
      <c r="I3596" s="2" t="s">
        <v>33</v>
      </c>
      <c r="J3596" s="2" t="s">
        <v>34</v>
      </c>
      <c r="K3596" s="2" t="s">
        <v>2363</v>
      </c>
      <c r="L3596" s="2" t="s">
        <v>2364</v>
      </c>
      <c r="M3596" s="2" t="s">
        <v>2270</v>
      </c>
      <c r="N3596" s="2" t="s">
        <v>38</v>
      </c>
      <c r="O3596" s="2" t="s">
        <v>849</v>
      </c>
      <c r="P3596" s="2" t="s">
        <v>20187</v>
      </c>
      <c r="Q3596" s="2" t="s">
        <v>20374</v>
      </c>
      <c r="R3596" s="2" t="s">
        <v>40</v>
      </c>
      <c r="S3596" s="2" t="s">
        <v>20375</v>
      </c>
      <c r="T3596" s="2" t="s">
        <v>2275</v>
      </c>
      <c r="U3596" s="2" t="s">
        <v>3087</v>
      </c>
      <c r="V3596" s="2" t="s">
        <v>20376</v>
      </c>
      <c r="W3596" s="1"/>
      <c r="X3596" s="2" t="s">
        <v>2198</v>
      </c>
      <c r="Y3596" s="2" t="s">
        <v>20350</v>
      </c>
      <c r="AA3596" t="str">
        <f t="shared" si="336"/>
        <v>2025-03</v>
      </c>
      <c r="AB3596" t="str">
        <f t="shared" si="337"/>
        <v>H1_2025</v>
      </c>
      <c r="AC3596">
        <f t="shared" si="338"/>
        <v>889242.24</v>
      </c>
      <c r="AD3596">
        <f t="shared" si="339"/>
        <v>160</v>
      </c>
      <c r="AE3596">
        <f t="shared" si="340"/>
        <v>169242.23999999999</v>
      </c>
      <c r="AF3596" t="str">
        <f t="shared" si="341"/>
        <v>Paid</v>
      </c>
    </row>
    <row r="3597" spans="1:32" ht="17.25" thickBot="1" x14ac:dyDescent="0.35">
      <c r="A3597" s="2" t="s">
        <v>20433</v>
      </c>
      <c r="B3597" s="2" t="s">
        <v>27</v>
      </c>
      <c r="C3597" s="2" t="s">
        <v>28</v>
      </c>
      <c r="D3597" s="2" t="s">
        <v>97</v>
      </c>
      <c r="E3597" s="2" t="s">
        <v>20340</v>
      </c>
      <c r="F3597" s="2" t="s">
        <v>31</v>
      </c>
      <c r="G3597" s="2" t="s">
        <v>32</v>
      </c>
      <c r="H3597" s="1"/>
      <c r="I3597" s="2" t="s">
        <v>33</v>
      </c>
      <c r="J3597" s="2" t="s">
        <v>34</v>
      </c>
      <c r="K3597" s="2" t="s">
        <v>20247</v>
      </c>
      <c r="L3597" s="2" t="s">
        <v>20248</v>
      </c>
      <c r="M3597" s="2" t="s">
        <v>2389</v>
      </c>
      <c r="N3597" s="2" t="s">
        <v>38</v>
      </c>
      <c r="O3597" s="2" t="s">
        <v>291</v>
      </c>
      <c r="P3597" s="2" t="s">
        <v>40</v>
      </c>
      <c r="Q3597" s="2" t="s">
        <v>40</v>
      </c>
      <c r="R3597" s="2" t="s">
        <v>40</v>
      </c>
      <c r="S3597" s="2" t="s">
        <v>40</v>
      </c>
      <c r="T3597" s="2" t="s">
        <v>40</v>
      </c>
      <c r="U3597" s="2" t="s">
        <v>40</v>
      </c>
      <c r="V3597" s="2" t="s">
        <v>40</v>
      </c>
      <c r="W3597" s="2" t="s">
        <v>41</v>
      </c>
      <c r="X3597" s="2" t="s">
        <v>42</v>
      </c>
      <c r="Y3597" s="2" t="s">
        <v>20350</v>
      </c>
      <c r="AA3597" t="str">
        <f t="shared" si="336"/>
        <v>2025-03</v>
      </c>
      <c r="AB3597" t="str">
        <f t="shared" si="337"/>
        <v>H1_2025</v>
      </c>
      <c r="AC3597">
        <f t="shared" si="338"/>
        <v>0</v>
      </c>
      <c r="AD3597">
        <f t="shared" si="339"/>
        <v>36</v>
      </c>
      <c r="AE3597">
        <f t="shared" si="340"/>
        <v>0</v>
      </c>
      <c r="AF3597" t="str">
        <f t="shared" si="341"/>
        <v>Sample</v>
      </c>
    </row>
    <row r="3598" spans="1:32" ht="17.25" thickBot="1" x14ac:dyDescent="0.35">
      <c r="A3598" s="2" t="s">
        <v>20434</v>
      </c>
      <c r="B3598" s="2" t="s">
        <v>27</v>
      </c>
      <c r="C3598" s="2" t="s">
        <v>28</v>
      </c>
      <c r="D3598" s="2" t="s">
        <v>97</v>
      </c>
      <c r="E3598" s="2" t="s">
        <v>20340</v>
      </c>
      <c r="F3598" s="2" t="s">
        <v>31</v>
      </c>
      <c r="G3598" s="2" t="s">
        <v>32</v>
      </c>
      <c r="H3598" s="1"/>
      <c r="I3598" s="2" t="s">
        <v>33</v>
      </c>
      <c r="J3598" s="2" t="s">
        <v>34</v>
      </c>
      <c r="K3598" s="2" t="s">
        <v>2578</v>
      </c>
      <c r="L3598" s="2" t="s">
        <v>2579</v>
      </c>
      <c r="M3598" s="2" t="s">
        <v>2389</v>
      </c>
      <c r="N3598" s="2" t="s">
        <v>38</v>
      </c>
      <c r="O3598" s="2" t="s">
        <v>141</v>
      </c>
      <c r="P3598" s="2" t="s">
        <v>40</v>
      </c>
      <c r="Q3598" s="2" t="s">
        <v>40</v>
      </c>
      <c r="R3598" s="2" t="s">
        <v>40</v>
      </c>
      <c r="S3598" s="2" t="s">
        <v>40</v>
      </c>
      <c r="T3598" s="2" t="s">
        <v>40</v>
      </c>
      <c r="U3598" s="2" t="s">
        <v>40</v>
      </c>
      <c r="V3598" s="2" t="s">
        <v>40</v>
      </c>
      <c r="W3598" s="2" t="s">
        <v>41</v>
      </c>
      <c r="X3598" s="2" t="s">
        <v>42</v>
      </c>
      <c r="Y3598" s="2" t="s">
        <v>20350</v>
      </c>
      <c r="AA3598" t="str">
        <f t="shared" si="336"/>
        <v>2025-03</v>
      </c>
      <c r="AB3598" t="str">
        <f t="shared" si="337"/>
        <v>H1_2025</v>
      </c>
      <c r="AC3598">
        <f t="shared" si="338"/>
        <v>0</v>
      </c>
      <c r="AD3598">
        <f t="shared" si="339"/>
        <v>30</v>
      </c>
      <c r="AE3598">
        <f t="shared" si="340"/>
        <v>0</v>
      </c>
      <c r="AF3598" t="str">
        <f t="shared" si="341"/>
        <v>Sample</v>
      </c>
    </row>
    <row r="3599" spans="1:32" ht="17.25" thickBot="1" x14ac:dyDescent="0.35">
      <c r="A3599" s="2" t="s">
        <v>20435</v>
      </c>
      <c r="B3599" s="2" t="s">
        <v>27</v>
      </c>
      <c r="C3599" s="2" t="s">
        <v>28</v>
      </c>
      <c r="D3599" s="2" t="s">
        <v>97</v>
      </c>
      <c r="E3599" s="2" t="s">
        <v>20340</v>
      </c>
      <c r="F3599" s="2" t="s">
        <v>31</v>
      </c>
      <c r="G3599" s="2" t="s">
        <v>32</v>
      </c>
      <c r="H3599" s="1"/>
      <c r="I3599" s="2" t="s">
        <v>33</v>
      </c>
      <c r="J3599" s="2" t="s">
        <v>34</v>
      </c>
      <c r="K3599" s="2" t="s">
        <v>20436</v>
      </c>
      <c r="L3599" s="2" t="s">
        <v>20437</v>
      </c>
      <c r="M3599" s="2" t="s">
        <v>6146</v>
      </c>
      <c r="N3599" s="2" t="s">
        <v>38</v>
      </c>
      <c r="O3599" s="2" t="s">
        <v>877</v>
      </c>
      <c r="P3599" s="2" t="s">
        <v>11694</v>
      </c>
      <c r="Q3599" s="2" t="s">
        <v>11176</v>
      </c>
      <c r="R3599" s="2" t="s">
        <v>40</v>
      </c>
      <c r="S3599" s="2" t="s">
        <v>20438</v>
      </c>
      <c r="T3599" s="2" t="s">
        <v>20439</v>
      </c>
      <c r="U3599" s="2" t="s">
        <v>20440</v>
      </c>
      <c r="V3599" s="2" t="s">
        <v>20441</v>
      </c>
      <c r="W3599" s="1"/>
      <c r="X3599" s="2" t="s">
        <v>3610</v>
      </c>
      <c r="Y3599" s="2" t="s">
        <v>20350</v>
      </c>
      <c r="AA3599" t="str">
        <f t="shared" si="336"/>
        <v>2025-03</v>
      </c>
      <c r="AB3599" t="str">
        <f t="shared" si="337"/>
        <v>H1_2025</v>
      </c>
      <c r="AC3599">
        <f t="shared" si="338"/>
        <v>740565</v>
      </c>
      <c r="AD3599">
        <f t="shared" si="339"/>
        <v>100</v>
      </c>
      <c r="AE3599">
        <f t="shared" si="340"/>
        <v>172365</v>
      </c>
      <c r="AF3599" t="str">
        <f t="shared" si="341"/>
        <v>Paid</v>
      </c>
    </row>
    <row r="3600" spans="1:32" ht="17.25" thickBot="1" x14ac:dyDescent="0.35">
      <c r="A3600" s="2" t="s">
        <v>20442</v>
      </c>
      <c r="B3600" s="2" t="s">
        <v>27</v>
      </c>
      <c r="C3600" s="2" t="s">
        <v>28</v>
      </c>
      <c r="D3600" s="2" t="s">
        <v>97</v>
      </c>
      <c r="E3600" s="2" t="s">
        <v>20340</v>
      </c>
      <c r="F3600" s="2" t="s">
        <v>31</v>
      </c>
      <c r="G3600" s="2" t="s">
        <v>32</v>
      </c>
      <c r="H3600" s="1"/>
      <c r="I3600" s="2" t="s">
        <v>33</v>
      </c>
      <c r="J3600" s="2" t="s">
        <v>34</v>
      </c>
      <c r="K3600" s="2" t="s">
        <v>18866</v>
      </c>
      <c r="L3600" s="2" t="s">
        <v>18867</v>
      </c>
      <c r="M3600" s="2" t="s">
        <v>6146</v>
      </c>
      <c r="N3600" s="2" t="s">
        <v>38</v>
      </c>
      <c r="O3600" s="2" t="s">
        <v>15442</v>
      </c>
      <c r="P3600" s="2" t="s">
        <v>9726</v>
      </c>
      <c r="Q3600" s="2" t="s">
        <v>20443</v>
      </c>
      <c r="R3600" s="2" t="s">
        <v>40</v>
      </c>
      <c r="S3600" s="2" t="s">
        <v>20444</v>
      </c>
      <c r="T3600" s="2" t="s">
        <v>20445</v>
      </c>
      <c r="U3600" s="2" t="s">
        <v>10137</v>
      </c>
      <c r="V3600" s="2" t="s">
        <v>20446</v>
      </c>
      <c r="W3600" s="1"/>
      <c r="X3600" s="2" t="s">
        <v>20447</v>
      </c>
      <c r="Y3600" s="2" t="s">
        <v>20350</v>
      </c>
      <c r="AA3600" t="str">
        <f t="shared" si="336"/>
        <v>2025-03</v>
      </c>
      <c r="AB3600" t="str">
        <f t="shared" si="337"/>
        <v>H1_2025</v>
      </c>
      <c r="AC3600">
        <f t="shared" si="338"/>
        <v>21057436.800000001</v>
      </c>
      <c r="AD3600">
        <f t="shared" si="339"/>
        <v>1600</v>
      </c>
      <c r="AE3600">
        <f t="shared" si="340"/>
        <v>11826676.800000001</v>
      </c>
      <c r="AF3600" t="str">
        <f t="shared" si="341"/>
        <v>Paid</v>
      </c>
    </row>
    <row r="3601" spans="1:32" ht="17.25" thickBot="1" x14ac:dyDescent="0.35">
      <c r="A3601" s="2" t="s">
        <v>20448</v>
      </c>
      <c r="B3601" s="2" t="s">
        <v>27</v>
      </c>
      <c r="C3601" s="2" t="s">
        <v>28</v>
      </c>
      <c r="D3601" s="2" t="s">
        <v>97</v>
      </c>
      <c r="E3601" s="2" t="s">
        <v>20340</v>
      </c>
      <c r="F3601" s="2" t="s">
        <v>31</v>
      </c>
      <c r="G3601" s="2" t="s">
        <v>32</v>
      </c>
      <c r="H3601" s="1"/>
      <c r="I3601" s="2" t="s">
        <v>33</v>
      </c>
      <c r="J3601" s="2" t="s">
        <v>34</v>
      </c>
      <c r="K3601" s="2" t="s">
        <v>6212</v>
      </c>
      <c r="L3601" s="2" t="s">
        <v>6213</v>
      </c>
      <c r="M3601" s="2" t="s">
        <v>6146</v>
      </c>
      <c r="N3601" s="2" t="s">
        <v>38</v>
      </c>
      <c r="O3601" s="2" t="s">
        <v>773</v>
      </c>
      <c r="P3601" s="2" t="s">
        <v>20449</v>
      </c>
      <c r="Q3601" s="2" t="s">
        <v>20450</v>
      </c>
      <c r="R3601" s="2" t="s">
        <v>40</v>
      </c>
      <c r="S3601" s="2" t="s">
        <v>20451</v>
      </c>
      <c r="T3601" s="2" t="s">
        <v>16520</v>
      </c>
      <c r="U3601" s="2" t="s">
        <v>20452</v>
      </c>
      <c r="V3601" s="2" t="s">
        <v>20453</v>
      </c>
      <c r="W3601" s="1"/>
      <c r="X3601" s="2" t="s">
        <v>4421</v>
      </c>
      <c r="Y3601" s="2" t="s">
        <v>20350</v>
      </c>
      <c r="AA3601" t="str">
        <f t="shared" si="336"/>
        <v>2025-03</v>
      </c>
      <c r="AB3601" t="str">
        <f t="shared" si="337"/>
        <v>H1_2025</v>
      </c>
      <c r="AC3601">
        <f t="shared" si="338"/>
        <v>1630653.6</v>
      </c>
      <c r="AD3601">
        <f t="shared" si="339"/>
        <v>200</v>
      </c>
      <c r="AE3601">
        <f t="shared" si="340"/>
        <v>354253.6</v>
      </c>
      <c r="AF3601" t="str">
        <f t="shared" si="341"/>
        <v>Paid</v>
      </c>
    </row>
    <row r="3602" spans="1:32" ht="17.25" thickBot="1" x14ac:dyDescent="0.35">
      <c r="A3602" s="2" t="s">
        <v>20454</v>
      </c>
      <c r="B3602" s="2" t="s">
        <v>27</v>
      </c>
      <c r="C3602" s="2" t="s">
        <v>28</v>
      </c>
      <c r="D3602" s="2" t="s">
        <v>97</v>
      </c>
      <c r="E3602" s="2" t="s">
        <v>20340</v>
      </c>
      <c r="F3602" s="2" t="s">
        <v>31</v>
      </c>
      <c r="G3602" s="2" t="s">
        <v>32</v>
      </c>
      <c r="H3602" s="1"/>
      <c r="I3602" s="2" t="s">
        <v>33</v>
      </c>
      <c r="J3602" s="2" t="s">
        <v>34</v>
      </c>
      <c r="K3602" s="2" t="s">
        <v>6219</v>
      </c>
      <c r="L3602" s="2" t="s">
        <v>6220</v>
      </c>
      <c r="M3602" s="2" t="s">
        <v>6146</v>
      </c>
      <c r="N3602" s="2" t="s">
        <v>38</v>
      </c>
      <c r="O3602" s="2" t="s">
        <v>177</v>
      </c>
      <c r="P3602" s="2" t="s">
        <v>4245</v>
      </c>
      <c r="Q3602" s="2" t="s">
        <v>20455</v>
      </c>
      <c r="R3602" s="2" t="s">
        <v>40</v>
      </c>
      <c r="S3602" s="2" t="s">
        <v>20456</v>
      </c>
      <c r="T3602" s="2" t="s">
        <v>20457</v>
      </c>
      <c r="U3602" s="2" t="s">
        <v>20458</v>
      </c>
      <c r="V3602" s="2" t="s">
        <v>20459</v>
      </c>
      <c r="W3602" s="1"/>
      <c r="X3602" s="2" t="s">
        <v>806</v>
      </c>
      <c r="Y3602" s="2" t="s">
        <v>20350</v>
      </c>
      <c r="AA3602" t="str">
        <f t="shared" si="336"/>
        <v>2025-03</v>
      </c>
      <c r="AB3602" t="str">
        <f t="shared" si="337"/>
        <v>H1_2025</v>
      </c>
      <c r="AC3602">
        <f t="shared" si="338"/>
        <v>3605493.6</v>
      </c>
      <c r="AD3602">
        <f t="shared" si="339"/>
        <v>400</v>
      </c>
      <c r="AE3602">
        <f t="shared" si="340"/>
        <v>917893.6</v>
      </c>
      <c r="AF3602" t="str">
        <f t="shared" si="341"/>
        <v>Paid</v>
      </c>
    </row>
    <row r="3603" spans="1:32" ht="17.25" thickBot="1" x14ac:dyDescent="0.35">
      <c r="A3603" s="2" t="s">
        <v>20460</v>
      </c>
      <c r="B3603" s="2" t="s">
        <v>27</v>
      </c>
      <c r="C3603" s="2" t="s">
        <v>28</v>
      </c>
      <c r="D3603" s="2" t="s">
        <v>97</v>
      </c>
      <c r="E3603" s="2" t="s">
        <v>20340</v>
      </c>
      <c r="F3603" s="2" t="s">
        <v>31</v>
      </c>
      <c r="G3603" s="2" t="s">
        <v>32</v>
      </c>
      <c r="H3603" s="1"/>
      <c r="I3603" s="2" t="s">
        <v>33</v>
      </c>
      <c r="J3603" s="2" t="s">
        <v>34</v>
      </c>
      <c r="K3603" s="2" t="s">
        <v>20461</v>
      </c>
      <c r="L3603" s="2" t="s">
        <v>20462</v>
      </c>
      <c r="M3603" s="2" t="s">
        <v>1787</v>
      </c>
      <c r="N3603" s="2" t="s">
        <v>38</v>
      </c>
      <c r="O3603" s="2" t="s">
        <v>3068</v>
      </c>
      <c r="P3603" s="2" t="s">
        <v>2461</v>
      </c>
      <c r="Q3603" s="2" t="s">
        <v>20463</v>
      </c>
      <c r="R3603" s="2" t="s">
        <v>40</v>
      </c>
      <c r="S3603" s="2" t="s">
        <v>20464</v>
      </c>
      <c r="T3603" s="2" t="s">
        <v>16800</v>
      </c>
      <c r="U3603" s="2" t="s">
        <v>20465</v>
      </c>
      <c r="V3603" s="2" t="s">
        <v>20466</v>
      </c>
      <c r="W3603" s="1"/>
      <c r="X3603" s="2" t="s">
        <v>1826</v>
      </c>
      <c r="Y3603" s="2" t="s">
        <v>20350</v>
      </c>
      <c r="AA3603" t="str">
        <f t="shared" si="336"/>
        <v>2025-03</v>
      </c>
      <c r="AB3603" t="str">
        <f t="shared" si="337"/>
        <v>H1_2025</v>
      </c>
      <c r="AC3603">
        <f t="shared" si="338"/>
        <v>1747733.4</v>
      </c>
      <c r="AD3603">
        <f t="shared" si="339"/>
        <v>700</v>
      </c>
      <c r="AE3603">
        <f t="shared" si="340"/>
        <v>251833.4</v>
      </c>
      <c r="AF3603" t="str">
        <f t="shared" si="341"/>
        <v>Paid</v>
      </c>
    </row>
    <row r="3604" spans="1:32" ht="27.75" thickBot="1" x14ac:dyDescent="0.35">
      <c r="A3604" s="2" t="s">
        <v>20467</v>
      </c>
      <c r="B3604" s="2" t="s">
        <v>27</v>
      </c>
      <c r="C3604" s="2" t="s">
        <v>28</v>
      </c>
      <c r="D3604" s="2" t="s">
        <v>97</v>
      </c>
      <c r="E3604" s="2" t="s">
        <v>20340</v>
      </c>
      <c r="F3604" s="2" t="s">
        <v>31</v>
      </c>
      <c r="G3604" s="2" t="s">
        <v>32</v>
      </c>
      <c r="H3604" s="1"/>
      <c r="I3604" s="2" t="s">
        <v>33</v>
      </c>
      <c r="J3604" s="2" t="s">
        <v>34</v>
      </c>
      <c r="K3604" s="2" t="s">
        <v>20468</v>
      </c>
      <c r="L3604" s="2" t="s">
        <v>20469</v>
      </c>
      <c r="M3604" s="2" t="s">
        <v>1787</v>
      </c>
      <c r="N3604" s="2" t="s">
        <v>38</v>
      </c>
      <c r="O3604" s="2" t="s">
        <v>773</v>
      </c>
      <c r="P3604" s="2" t="s">
        <v>2461</v>
      </c>
      <c r="Q3604" s="2" t="s">
        <v>18018</v>
      </c>
      <c r="R3604" s="2" t="s">
        <v>40</v>
      </c>
      <c r="S3604" s="2" t="s">
        <v>20470</v>
      </c>
      <c r="T3604" s="2" t="s">
        <v>16800</v>
      </c>
      <c r="U3604" s="2" t="s">
        <v>20471</v>
      </c>
      <c r="V3604" s="2" t="s">
        <v>20472</v>
      </c>
      <c r="W3604" s="1"/>
      <c r="X3604" s="2" t="s">
        <v>1826</v>
      </c>
      <c r="Y3604" s="2" t="s">
        <v>20350</v>
      </c>
      <c r="AA3604" t="str">
        <f t="shared" si="336"/>
        <v>2025-03</v>
      </c>
      <c r="AB3604" t="str">
        <f t="shared" si="337"/>
        <v>H1_2025</v>
      </c>
      <c r="AC3604">
        <f t="shared" si="338"/>
        <v>499352.4</v>
      </c>
      <c r="AD3604">
        <f t="shared" si="339"/>
        <v>200</v>
      </c>
      <c r="AE3604">
        <f t="shared" si="340"/>
        <v>71952.399999999994</v>
      </c>
      <c r="AF3604" t="str">
        <f t="shared" si="341"/>
        <v>Paid</v>
      </c>
    </row>
    <row r="3605" spans="1:32" ht="17.25" thickBot="1" x14ac:dyDescent="0.35">
      <c r="A3605" s="2" t="s">
        <v>20473</v>
      </c>
      <c r="B3605" s="2" t="s">
        <v>27</v>
      </c>
      <c r="C3605" s="2" t="s">
        <v>28</v>
      </c>
      <c r="D3605" s="2" t="s">
        <v>97</v>
      </c>
      <c r="E3605" s="2" t="s">
        <v>20340</v>
      </c>
      <c r="F3605" s="2" t="s">
        <v>31</v>
      </c>
      <c r="G3605" s="2" t="s">
        <v>32</v>
      </c>
      <c r="H3605" s="1"/>
      <c r="I3605" s="2" t="s">
        <v>33</v>
      </c>
      <c r="J3605" s="2" t="s">
        <v>34</v>
      </c>
      <c r="K3605" s="2" t="s">
        <v>20474</v>
      </c>
      <c r="L3605" s="2" t="s">
        <v>20475</v>
      </c>
      <c r="M3605" s="2" t="s">
        <v>1787</v>
      </c>
      <c r="N3605" s="2" t="s">
        <v>38</v>
      </c>
      <c r="O3605" s="2" t="s">
        <v>362</v>
      </c>
      <c r="P3605" s="2" t="s">
        <v>8446</v>
      </c>
      <c r="Q3605" s="2" t="s">
        <v>20476</v>
      </c>
      <c r="R3605" s="2" t="s">
        <v>40</v>
      </c>
      <c r="S3605" s="2" t="s">
        <v>20477</v>
      </c>
      <c r="T3605" s="2" t="s">
        <v>20478</v>
      </c>
      <c r="U3605" s="2" t="s">
        <v>20479</v>
      </c>
      <c r="V3605" s="2" t="s">
        <v>20480</v>
      </c>
      <c r="W3605" s="1"/>
      <c r="X3605" s="2" t="s">
        <v>3259</v>
      </c>
      <c r="Y3605" s="2" t="s">
        <v>20350</v>
      </c>
      <c r="AA3605" t="str">
        <f t="shared" si="336"/>
        <v>2025-03</v>
      </c>
      <c r="AB3605" t="str">
        <f t="shared" si="337"/>
        <v>H1_2025</v>
      </c>
      <c r="AC3605">
        <f t="shared" si="338"/>
        <v>401738.88</v>
      </c>
      <c r="AD3605">
        <f t="shared" si="339"/>
        <v>320</v>
      </c>
      <c r="AE3605">
        <f t="shared" si="340"/>
        <v>91018.880000000005</v>
      </c>
      <c r="AF3605" t="str">
        <f t="shared" si="341"/>
        <v>Paid</v>
      </c>
    </row>
    <row r="3606" spans="1:32" ht="17.25" thickBot="1" x14ac:dyDescent="0.35">
      <c r="A3606" s="2" t="s">
        <v>20481</v>
      </c>
      <c r="B3606" s="2" t="s">
        <v>27</v>
      </c>
      <c r="C3606" s="2" t="s">
        <v>28</v>
      </c>
      <c r="D3606" s="2" t="s">
        <v>97</v>
      </c>
      <c r="E3606" s="2" t="s">
        <v>20340</v>
      </c>
      <c r="F3606" s="2" t="s">
        <v>31</v>
      </c>
      <c r="G3606" s="2" t="s">
        <v>32</v>
      </c>
      <c r="H3606" s="1"/>
      <c r="I3606" s="2" t="s">
        <v>33</v>
      </c>
      <c r="J3606" s="2" t="s">
        <v>34</v>
      </c>
      <c r="K3606" s="2" t="s">
        <v>20474</v>
      </c>
      <c r="L3606" s="2" t="s">
        <v>20475</v>
      </c>
      <c r="M3606" s="2" t="s">
        <v>1787</v>
      </c>
      <c r="N3606" s="2" t="s">
        <v>38</v>
      </c>
      <c r="O3606" s="2" t="s">
        <v>1158</v>
      </c>
      <c r="P3606" s="2" t="s">
        <v>8446</v>
      </c>
      <c r="Q3606" s="2" t="s">
        <v>20482</v>
      </c>
      <c r="R3606" s="2" t="s">
        <v>40</v>
      </c>
      <c r="S3606" s="2" t="s">
        <v>20483</v>
      </c>
      <c r="T3606" s="2" t="s">
        <v>20478</v>
      </c>
      <c r="U3606" s="2" t="s">
        <v>20484</v>
      </c>
      <c r="V3606" s="2" t="s">
        <v>20485</v>
      </c>
      <c r="W3606" s="1"/>
      <c r="X3606" s="2" t="s">
        <v>3259</v>
      </c>
      <c r="Y3606" s="2" t="s">
        <v>20350</v>
      </c>
      <c r="AA3606" t="str">
        <f t="shared" si="336"/>
        <v>2025-03</v>
      </c>
      <c r="AB3606" t="str">
        <f t="shared" si="337"/>
        <v>H1_2025</v>
      </c>
      <c r="AC3606">
        <f t="shared" si="338"/>
        <v>225978.12</v>
      </c>
      <c r="AD3606">
        <f t="shared" si="339"/>
        <v>180</v>
      </c>
      <c r="AE3606">
        <f t="shared" si="340"/>
        <v>51198.12</v>
      </c>
      <c r="AF3606" t="str">
        <f t="shared" si="341"/>
        <v>Paid</v>
      </c>
    </row>
    <row r="3607" spans="1:32" ht="17.25" thickBot="1" x14ac:dyDescent="0.35">
      <c r="A3607" s="2" t="s">
        <v>20486</v>
      </c>
      <c r="B3607" s="2" t="s">
        <v>27</v>
      </c>
      <c r="C3607" s="2" t="s">
        <v>28</v>
      </c>
      <c r="D3607" s="2" t="s">
        <v>97</v>
      </c>
      <c r="E3607" s="2" t="s">
        <v>20340</v>
      </c>
      <c r="F3607" s="2" t="s">
        <v>31</v>
      </c>
      <c r="G3607" s="2" t="s">
        <v>32</v>
      </c>
      <c r="H3607" s="1"/>
      <c r="I3607" s="2" t="s">
        <v>33</v>
      </c>
      <c r="J3607" s="2" t="s">
        <v>34</v>
      </c>
      <c r="K3607" s="2" t="s">
        <v>20487</v>
      </c>
      <c r="L3607" s="2" t="s">
        <v>20488</v>
      </c>
      <c r="M3607" s="2" t="s">
        <v>1787</v>
      </c>
      <c r="N3607" s="2" t="s">
        <v>38</v>
      </c>
      <c r="O3607" s="2" t="s">
        <v>428</v>
      </c>
      <c r="P3607" s="2" t="s">
        <v>20489</v>
      </c>
      <c r="Q3607" s="2" t="s">
        <v>20490</v>
      </c>
      <c r="R3607" s="2" t="s">
        <v>40</v>
      </c>
      <c r="S3607" s="2" t="s">
        <v>20491</v>
      </c>
      <c r="T3607" s="2" t="s">
        <v>16074</v>
      </c>
      <c r="U3607" s="2" t="s">
        <v>3524</v>
      </c>
      <c r="V3607" s="2" t="s">
        <v>20492</v>
      </c>
      <c r="W3607" s="1"/>
      <c r="X3607" s="2" t="s">
        <v>6978</v>
      </c>
      <c r="Y3607" s="2" t="s">
        <v>20350</v>
      </c>
      <c r="AA3607" t="str">
        <f t="shared" si="336"/>
        <v>2025-03</v>
      </c>
      <c r="AB3607" t="str">
        <f t="shared" si="337"/>
        <v>H1_2025</v>
      </c>
      <c r="AC3607">
        <f t="shared" si="338"/>
        <v>186904.5</v>
      </c>
      <c r="AD3607">
        <f t="shared" si="339"/>
        <v>250</v>
      </c>
      <c r="AE3607">
        <f t="shared" si="340"/>
        <v>49404.5</v>
      </c>
      <c r="AF3607" t="str">
        <f t="shared" si="341"/>
        <v>Paid</v>
      </c>
    </row>
    <row r="3608" spans="1:32" ht="17.25" thickBot="1" x14ac:dyDescent="0.35">
      <c r="A3608" s="2" t="s">
        <v>20493</v>
      </c>
      <c r="B3608" s="2" t="s">
        <v>27</v>
      </c>
      <c r="C3608" s="2" t="s">
        <v>28</v>
      </c>
      <c r="D3608" s="2" t="s">
        <v>97</v>
      </c>
      <c r="E3608" s="2" t="s">
        <v>20340</v>
      </c>
      <c r="F3608" s="2" t="s">
        <v>31</v>
      </c>
      <c r="G3608" s="2" t="s">
        <v>32</v>
      </c>
      <c r="H3608" s="1"/>
      <c r="I3608" s="2" t="s">
        <v>33</v>
      </c>
      <c r="J3608" s="2" t="s">
        <v>34</v>
      </c>
      <c r="K3608" s="2" t="s">
        <v>20487</v>
      </c>
      <c r="L3608" s="2" t="s">
        <v>20488</v>
      </c>
      <c r="M3608" s="2" t="s">
        <v>1787</v>
      </c>
      <c r="N3608" s="2" t="s">
        <v>38</v>
      </c>
      <c r="O3608" s="2" t="s">
        <v>94</v>
      </c>
      <c r="P3608" s="2" t="s">
        <v>20489</v>
      </c>
      <c r="Q3608" s="2" t="s">
        <v>20494</v>
      </c>
      <c r="R3608" s="2" t="s">
        <v>40</v>
      </c>
      <c r="S3608" s="2" t="s">
        <v>20495</v>
      </c>
      <c r="T3608" s="2" t="s">
        <v>16074</v>
      </c>
      <c r="U3608" s="2" t="s">
        <v>20496</v>
      </c>
      <c r="V3608" s="2" t="s">
        <v>20497</v>
      </c>
      <c r="W3608" s="1"/>
      <c r="X3608" s="2" t="s">
        <v>6978</v>
      </c>
      <c r="Y3608" s="2" t="s">
        <v>20350</v>
      </c>
      <c r="AA3608" t="str">
        <f t="shared" si="336"/>
        <v>2025-03</v>
      </c>
      <c r="AB3608" t="str">
        <f t="shared" si="337"/>
        <v>H1_2025</v>
      </c>
      <c r="AC3608">
        <f t="shared" si="338"/>
        <v>635475.30000000005</v>
      </c>
      <c r="AD3608">
        <f t="shared" si="339"/>
        <v>850</v>
      </c>
      <c r="AE3608">
        <f t="shared" si="340"/>
        <v>167975.3</v>
      </c>
      <c r="AF3608" t="str">
        <f t="shared" si="341"/>
        <v>Paid</v>
      </c>
    </row>
    <row r="3609" spans="1:32" ht="17.25" thickBot="1" x14ac:dyDescent="0.35">
      <c r="A3609" s="2" t="s">
        <v>20498</v>
      </c>
      <c r="B3609" s="2" t="s">
        <v>27</v>
      </c>
      <c r="C3609" s="2" t="s">
        <v>28</v>
      </c>
      <c r="D3609" s="2" t="s">
        <v>97</v>
      </c>
      <c r="E3609" s="2" t="s">
        <v>20340</v>
      </c>
      <c r="F3609" s="2" t="s">
        <v>31</v>
      </c>
      <c r="G3609" s="2" t="s">
        <v>32</v>
      </c>
      <c r="H3609" s="1"/>
      <c r="I3609" s="2" t="s">
        <v>33</v>
      </c>
      <c r="J3609" s="2" t="s">
        <v>34</v>
      </c>
      <c r="K3609" s="2" t="s">
        <v>20499</v>
      </c>
      <c r="L3609" s="2" t="s">
        <v>20500</v>
      </c>
      <c r="M3609" s="2" t="s">
        <v>1787</v>
      </c>
      <c r="N3609" s="2" t="s">
        <v>38</v>
      </c>
      <c r="O3609" s="2" t="s">
        <v>96</v>
      </c>
      <c r="P3609" s="2" t="s">
        <v>20489</v>
      </c>
      <c r="Q3609" s="2" t="s">
        <v>20501</v>
      </c>
      <c r="R3609" s="2" t="s">
        <v>40</v>
      </c>
      <c r="S3609" s="2" t="s">
        <v>20502</v>
      </c>
      <c r="T3609" s="2" t="s">
        <v>16074</v>
      </c>
      <c r="U3609" s="2" t="s">
        <v>1178</v>
      </c>
      <c r="V3609" s="2" t="s">
        <v>20503</v>
      </c>
      <c r="W3609" s="1"/>
      <c r="X3609" s="2" t="s">
        <v>6978</v>
      </c>
      <c r="Y3609" s="2" t="s">
        <v>20350</v>
      </c>
      <c r="AA3609" t="str">
        <f t="shared" si="336"/>
        <v>2025-03</v>
      </c>
      <c r="AB3609" t="str">
        <f t="shared" si="337"/>
        <v>H1_2025</v>
      </c>
      <c r="AC3609">
        <f t="shared" si="338"/>
        <v>10466.65</v>
      </c>
      <c r="AD3609">
        <f t="shared" si="339"/>
        <v>14</v>
      </c>
      <c r="AE3609">
        <f t="shared" si="340"/>
        <v>2766.65</v>
      </c>
      <c r="AF3609" t="str">
        <f t="shared" si="341"/>
        <v>Paid</v>
      </c>
    </row>
    <row r="3610" spans="1:32" ht="17.25" thickBot="1" x14ac:dyDescent="0.35">
      <c r="A3610" s="2" t="s">
        <v>20504</v>
      </c>
      <c r="B3610" s="2" t="s">
        <v>27</v>
      </c>
      <c r="C3610" s="2" t="s">
        <v>28</v>
      </c>
      <c r="D3610" s="2" t="s">
        <v>97</v>
      </c>
      <c r="E3610" s="2" t="s">
        <v>20340</v>
      </c>
      <c r="F3610" s="2" t="s">
        <v>31</v>
      </c>
      <c r="G3610" s="2" t="s">
        <v>32</v>
      </c>
      <c r="H3610" s="1"/>
      <c r="I3610" s="2" t="s">
        <v>33</v>
      </c>
      <c r="J3610" s="2" t="s">
        <v>34</v>
      </c>
      <c r="K3610" s="2" t="s">
        <v>20499</v>
      </c>
      <c r="L3610" s="2" t="s">
        <v>20500</v>
      </c>
      <c r="M3610" s="2" t="s">
        <v>1787</v>
      </c>
      <c r="N3610" s="2" t="s">
        <v>38</v>
      </c>
      <c r="O3610" s="2" t="s">
        <v>877</v>
      </c>
      <c r="P3610" s="2" t="s">
        <v>20489</v>
      </c>
      <c r="Q3610" s="2" t="s">
        <v>20505</v>
      </c>
      <c r="R3610" s="2" t="s">
        <v>40</v>
      </c>
      <c r="S3610" s="2" t="s">
        <v>20506</v>
      </c>
      <c r="T3610" s="2" t="s">
        <v>16074</v>
      </c>
      <c r="U3610" s="2" t="s">
        <v>20507</v>
      </c>
      <c r="V3610" s="2" t="s">
        <v>20508</v>
      </c>
      <c r="W3610" s="1"/>
      <c r="X3610" s="2" t="s">
        <v>6978</v>
      </c>
      <c r="Y3610" s="2" t="s">
        <v>20350</v>
      </c>
      <c r="AA3610" t="str">
        <f t="shared" si="336"/>
        <v>2025-03</v>
      </c>
      <c r="AB3610" t="str">
        <f t="shared" si="337"/>
        <v>H1_2025</v>
      </c>
      <c r="AC3610">
        <f t="shared" si="338"/>
        <v>74761.8</v>
      </c>
      <c r="AD3610">
        <f t="shared" si="339"/>
        <v>100</v>
      </c>
      <c r="AE3610">
        <f t="shared" si="340"/>
        <v>19761.8</v>
      </c>
      <c r="AF3610" t="str">
        <f t="shared" si="341"/>
        <v>Paid</v>
      </c>
    </row>
    <row r="3611" spans="1:32" ht="17.25" thickBot="1" x14ac:dyDescent="0.35">
      <c r="A3611" s="2" t="s">
        <v>20509</v>
      </c>
      <c r="B3611" s="2" t="s">
        <v>27</v>
      </c>
      <c r="C3611" s="2" t="s">
        <v>28</v>
      </c>
      <c r="D3611" s="2" t="s">
        <v>97</v>
      </c>
      <c r="E3611" s="2" t="s">
        <v>20340</v>
      </c>
      <c r="F3611" s="2" t="s">
        <v>31</v>
      </c>
      <c r="G3611" s="2" t="s">
        <v>32</v>
      </c>
      <c r="H3611" s="1"/>
      <c r="I3611" s="2" t="s">
        <v>33</v>
      </c>
      <c r="J3611" s="2" t="s">
        <v>34</v>
      </c>
      <c r="K3611" s="2" t="s">
        <v>20253</v>
      </c>
      <c r="L3611" s="2" t="s">
        <v>20254</v>
      </c>
      <c r="M3611" s="2" t="s">
        <v>1787</v>
      </c>
      <c r="N3611" s="2" t="s">
        <v>38</v>
      </c>
      <c r="O3611" s="2" t="s">
        <v>977</v>
      </c>
      <c r="P3611" s="2" t="s">
        <v>518</v>
      </c>
      <c r="Q3611" s="2" t="s">
        <v>20510</v>
      </c>
      <c r="R3611" s="2" t="s">
        <v>40</v>
      </c>
      <c r="S3611" s="2" t="s">
        <v>20511</v>
      </c>
      <c r="T3611" s="2" t="s">
        <v>20512</v>
      </c>
      <c r="U3611" s="2" t="s">
        <v>20513</v>
      </c>
      <c r="V3611" s="2" t="s">
        <v>20514</v>
      </c>
      <c r="W3611" s="1"/>
      <c r="X3611" s="2" t="s">
        <v>6790</v>
      </c>
      <c r="Y3611" s="2" t="s">
        <v>20350</v>
      </c>
      <c r="AA3611" t="str">
        <f t="shared" si="336"/>
        <v>2025-03</v>
      </c>
      <c r="AB3611" t="str">
        <f t="shared" si="337"/>
        <v>H1_2025</v>
      </c>
      <c r="AC3611">
        <f t="shared" si="338"/>
        <v>1374770.76</v>
      </c>
      <c r="AD3611">
        <f t="shared" si="339"/>
        <v>110</v>
      </c>
      <c r="AE3611">
        <f t="shared" si="340"/>
        <v>296850.76</v>
      </c>
      <c r="AF3611" t="str">
        <f t="shared" si="341"/>
        <v>Paid</v>
      </c>
    </row>
    <row r="3612" spans="1:32" ht="17.25" thickBot="1" x14ac:dyDescent="0.35">
      <c r="A3612" s="2" t="s">
        <v>20515</v>
      </c>
      <c r="B3612" s="2" t="s">
        <v>27</v>
      </c>
      <c r="C3612" s="2" t="s">
        <v>28</v>
      </c>
      <c r="D3612" s="2" t="s">
        <v>97</v>
      </c>
      <c r="E3612" s="2" t="s">
        <v>20340</v>
      </c>
      <c r="F3612" s="2" t="s">
        <v>31</v>
      </c>
      <c r="G3612" s="2" t="s">
        <v>32</v>
      </c>
      <c r="H3612" s="1"/>
      <c r="I3612" s="2" t="s">
        <v>33</v>
      </c>
      <c r="J3612" s="2" t="s">
        <v>34</v>
      </c>
      <c r="K3612" s="2" t="s">
        <v>19426</v>
      </c>
      <c r="L3612" s="2" t="s">
        <v>19427</v>
      </c>
      <c r="M3612" s="2" t="s">
        <v>1787</v>
      </c>
      <c r="N3612" s="2" t="s">
        <v>38</v>
      </c>
      <c r="O3612" s="2" t="s">
        <v>8220</v>
      </c>
      <c r="P3612" s="2" t="s">
        <v>6336</v>
      </c>
      <c r="Q3612" s="2" t="s">
        <v>20516</v>
      </c>
      <c r="R3612" s="2" t="s">
        <v>40</v>
      </c>
      <c r="S3612" s="2" t="s">
        <v>20517</v>
      </c>
      <c r="T3612" s="2" t="s">
        <v>20263</v>
      </c>
      <c r="U3612" s="2" t="s">
        <v>20518</v>
      </c>
      <c r="V3612" s="2" t="s">
        <v>20519</v>
      </c>
      <c r="W3612" s="1"/>
      <c r="X3612" s="2" t="s">
        <v>11988</v>
      </c>
      <c r="Y3612" s="2" t="s">
        <v>20350</v>
      </c>
      <c r="AA3612" t="str">
        <f t="shared" si="336"/>
        <v>2025-03</v>
      </c>
      <c r="AB3612" t="str">
        <f t="shared" si="337"/>
        <v>H1_2025</v>
      </c>
      <c r="AC3612">
        <f t="shared" si="338"/>
        <v>16331362.560000001</v>
      </c>
      <c r="AD3612">
        <f t="shared" si="339"/>
        <v>1920</v>
      </c>
      <c r="AE3612">
        <f t="shared" si="340"/>
        <v>2384482.56</v>
      </c>
      <c r="AF3612" t="str">
        <f t="shared" si="341"/>
        <v>Paid</v>
      </c>
    </row>
    <row r="3613" spans="1:32" ht="17.25" thickBot="1" x14ac:dyDescent="0.35">
      <c r="A3613" s="2" t="s">
        <v>20520</v>
      </c>
      <c r="B3613" s="2" t="s">
        <v>27</v>
      </c>
      <c r="C3613" s="2" t="s">
        <v>28</v>
      </c>
      <c r="D3613" s="2" t="s">
        <v>97</v>
      </c>
      <c r="E3613" s="2" t="s">
        <v>20340</v>
      </c>
      <c r="F3613" s="2" t="s">
        <v>31</v>
      </c>
      <c r="G3613" s="2" t="s">
        <v>32</v>
      </c>
      <c r="H3613" s="1"/>
      <c r="I3613" s="2" t="s">
        <v>33</v>
      </c>
      <c r="J3613" s="2" t="s">
        <v>34</v>
      </c>
      <c r="K3613" s="2" t="s">
        <v>20521</v>
      </c>
      <c r="L3613" s="2" t="s">
        <v>20522</v>
      </c>
      <c r="M3613" s="2" t="s">
        <v>1787</v>
      </c>
      <c r="N3613" s="2" t="s">
        <v>38</v>
      </c>
      <c r="O3613" s="2" t="s">
        <v>448</v>
      </c>
      <c r="P3613" s="2" t="s">
        <v>20523</v>
      </c>
      <c r="Q3613" s="2" t="s">
        <v>20524</v>
      </c>
      <c r="R3613" s="2" t="s">
        <v>40</v>
      </c>
      <c r="S3613" s="2" t="s">
        <v>20525</v>
      </c>
      <c r="T3613" s="2" t="s">
        <v>20526</v>
      </c>
      <c r="U3613" s="2" t="s">
        <v>20527</v>
      </c>
      <c r="V3613" s="2" t="s">
        <v>20528</v>
      </c>
      <c r="W3613" s="1"/>
      <c r="X3613" s="2" t="s">
        <v>9096</v>
      </c>
      <c r="Y3613" s="2" t="s">
        <v>20350</v>
      </c>
      <c r="AA3613" t="str">
        <f t="shared" si="336"/>
        <v>2025-03</v>
      </c>
      <c r="AB3613" t="str">
        <f t="shared" si="337"/>
        <v>H1_2025</v>
      </c>
      <c r="AC3613">
        <f t="shared" si="338"/>
        <v>2530616.4</v>
      </c>
      <c r="AD3613">
        <f t="shared" si="339"/>
        <v>780</v>
      </c>
      <c r="AE3613">
        <f t="shared" si="340"/>
        <v>366866.4</v>
      </c>
      <c r="AF3613" t="str">
        <f t="shared" si="341"/>
        <v>Paid</v>
      </c>
    </row>
    <row r="3614" spans="1:32" ht="17.25" thickBot="1" x14ac:dyDescent="0.35">
      <c r="A3614" s="2" t="s">
        <v>20529</v>
      </c>
      <c r="B3614" s="2" t="s">
        <v>27</v>
      </c>
      <c r="C3614" s="2" t="s">
        <v>28</v>
      </c>
      <c r="D3614" s="2" t="s">
        <v>97</v>
      </c>
      <c r="E3614" s="2" t="s">
        <v>20340</v>
      </c>
      <c r="F3614" s="2" t="s">
        <v>31</v>
      </c>
      <c r="G3614" s="2" t="s">
        <v>32</v>
      </c>
      <c r="H3614" s="1"/>
      <c r="I3614" s="2" t="s">
        <v>33</v>
      </c>
      <c r="J3614" s="2" t="s">
        <v>34</v>
      </c>
      <c r="K3614" s="2" t="s">
        <v>20521</v>
      </c>
      <c r="L3614" s="2" t="s">
        <v>20522</v>
      </c>
      <c r="M3614" s="2" t="s">
        <v>1787</v>
      </c>
      <c r="N3614" s="2" t="s">
        <v>38</v>
      </c>
      <c r="O3614" s="2" t="s">
        <v>3998</v>
      </c>
      <c r="P3614" s="2" t="s">
        <v>20523</v>
      </c>
      <c r="Q3614" s="2" t="s">
        <v>20530</v>
      </c>
      <c r="R3614" s="2" t="s">
        <v>40</v>
      </c>
      <c r="S3614" s="2" t="s">
        <v>20531</v>
      </c>
      <c r="T3614" s="2" t="s">
        <v>12143</v>
      </c>
      <c r="U3614" s="2" t="s">
        <v>20532</v>
      </c>
      <c r="V3614" s="2" t="s">
        <v>20533</v>
      </c>
      <c r="W3614" s="1"/>
      <c r="X3614" s="2" t="s">
        <v>1826</v>
      </c>
      <c r="Y3614" s="2" t="s">
        <v>20350</v>
      </c>
      <c r="AA3614" t="str">
        <f t="shared" si="336"/>
        <v>2025-03</v>
      </c>
      <c r="AB3614" t="str">
        <f t="shared" si="337"/>
        <v>H1_2025</v>
      </c>
      <c r="AC3614">
        <f t="shared" si="338"/>
        <v>1687077.6</v>
      </c>
      <c r="AD3614">
        <f t="shared" si="339"/>
        <v>520</v>
      </c>
      <c r="AE3614">
        <f t="shared" si="340"/>
        <v>242517.6</v>
      </c>
      <c r="AF3614" t="str">
        <f t="shared" si="341"/>
        <v>Paid</v>
      </c>
    </row>
    <row r="3615" spans="1:32" ht="27.75" thickBot="1" x14ac:dyDescent="0.35">
      <c r="A3615" s="2" t="s">
        <v>20534</v>
      </c>
      <c r="B3615" s="2" t="s">
        <v>27</v>
      </c>
      <c r="C3615" s="2" t="s">
        <v>28</v>
      </c>
      <c r="D3615" s="2" t="s">
        <v>97</v>
      </c>
      <c r="E3615" s="2" t="s">
        <v>20340</v>
      </c>
      <c r="F3615" s="2" t="s">
        <v>31</v>
      </c>
      <c r="G3615" s="2" t="s">
        <v>32</v>
      </c>
      <c r="H3615" s="1"/>
      <c r="I3615" s="2" t="s">
        <v>33</v>
      </c>
      <c r="J3615" s="2" t="s">
        <v>34</v>
      </c>
      <c r="K3615" s="2" t="s">
        <v>18942</v>
      </c>
      <c r="L3615" s="2" t="s">
        <v>18943</v>
      </c>
      <c r="M3615" s="2" t="s">
        <v>16013</v>
      </c>
      <c r="N3615" s="2" t="s">
        <v>38</v>
      </c>
      <c r="O3615" s="2" t="s">
        <v>773</v>
      </c>
      <c r="P3615" s="2" t="s">
        <v>4854</v>
      </c>
      <c r="Q3615" s="2" t="s">
        <v>20535</v>
      </c>
      <c r="R3615" s="2" t="s">
        <v>40</v>
      </c>
      <c r="S3615" s="2" t="s">
        <v>20536</v>
      </c>
      <c r="T3615" s="2" t="s">
        <v>864</v>
      </c>
      <c r="U3615" s="2" t="s">
        <v>10805</v>
      </c>
      <c r="V3615" s="2" t="s">
        <v>20537</v>
      </c>
      <c r="W3615" s="1"/>
      <c r="X3615" s="2" t="s">
        <v>17236</v>
      </c>
      <c r="Y3615" s="2" t="s">
        <v>20350</v>
      </c>
      <c r="AA3615" t="str">
        <f t="shared" si="336"/>
        <v>2025-03</v>
      </c>
      <c r="AB3615" t="str">
        <f t="shared" si="337"/>
        <v>H1_2025</v>
      </c>
      <c r="AC3615">
        <f t="shared" si="338"/>
        <v>2237211.6</v>
      </c>
      <c r="AD3615">
        <f t="shared" si="339"/>
        <v>200</v>
      </c>
      <c r="AE3615">
        <f t="shared" si="340"/>
        <v>737211.6</v>
      </c>
      <c r="AF3615" t="str">
        <f t="shared" si="341"/>
        <v>Paid</v>
      </c>
    </row>
    <row r="3616" spans="1:32" ht="17.25" thickBot="1" x14ac:dyDescent="0.35">
      <c r="A3616" s="2" t="s">
        <v>20538</v>
      </c>
      <c r="B3616" s="2" t="s">
        <v>27</v>
      </c>
      <c r="C3616" s="2" t="s">
        <v>28</v>
      </c>
      <c r="D3616" s="2" t="s">
        <v>97</v>
      </c>
      <c r="E3616" s="2" t="s">
        <v>20340</v>
      </c>
      <c r="F3616" s="2" t="s">
        <v>31</v>
      </c>
      <c r="G3616" s="2" t="s">
        <v>32</v>
      </c>
      <c r="H3616" s="1"/>
      <c r="I3616" s="2" t="s">
        <v>33</v>
      </c>
      <c r="J3616" s="2" t="s">
        <v>34</v>
      </c>
      <c r="K3616" s="2" t="s">
        <v>2782</v>
      </c>
      <c r="L3616" s="2" t="s">
        <v>2783</v>
      </c>
      <c r="M3616" s="2" t="s">
        <v>70</v>
      </c>
      <c r="N3616" s="2" t="s">
        <v>38</v>
      </c>
      <c r="O3616" s="2" t="s">
        <v>773</v>
      </c>
      <c r="P3616" s="2" t="s">
        <v>20341</v>
      </c>
      <c r="Q3616" s="2" t="s">
        <v>20539</v>
      </c>
      <c r="R3616" s="2" t="s">
        <v>40</v>
      </c>
      <c r="S3616" s="2" t="s">
        <v>20540</v>
      </c>
      <c r="T3616" s="2" t="s">
        <v>13636</v>
      </c>
      <c r="U3616" s="2" t="s">
        <v>20541</v>
      </c>
      <c r="V3616" s="2" t="s">
        <v>20542</v>
      </c>
      <c r="W3616" s="1"/>
      <c r="X3616" s="2" t="s">
        <v>3560</v>
      </c>
      <c r="Y3616" s="2" t="s">
        <v>20350</v>
      </c>
      <c r="AA3616" t="str">
        <f t="shared" si="336"/>
        <v>2025-03</v>
      </c>
      <c r="AB3616" t="str">
        <f t="shared" si="337"/>
        <v>H1_2025</v>
      </c>
      <c r="AC3616">
        <f t="shared" si="338"/>
        <v>936638.4</v>
      </c>
      <c r="AD3616">
        <f t="shared" si="339"/>
        <v>200</v>
      </c>
      <c r="AE3616">
        <f t="shared" si="340"/>
        <v>194638.4</v>
      </c>
      <c r="AF3616" t="str">
        <f t="shared" si="341"/>
        <v>Paid</v>
      </c>
    </row>
    <row r="3617" spans="1:32" ht="17.25" thickBot="1" x14ac:dyDescent="0.35">
      <c r="A3617" s="2" t="s">
        <v>20543</v>
      </c>
      <c r="B3617" s="2" t="s">
        <v>27</v>
      </c>
      <c r="C3617" s="2" t="s">
        <v>28</v>
      </c>
      <c r="D3617" s="2" t="s">
        <v>97</v>
      </c>
      <c r="E3617" s="2" t="s">
        <v>20340</v>
      </c>
      <c r="F3617" s="2" t="s">
        <v>31</v>
      </c>
      <c r="G3617" s="2" t="s">
        <v>32</v>
      </c>
      <c r="H3617" s="1"/>
      <c r="I3617" s="2" t="s">
        <v>33</v>
      </c>
      <c r="J3617" s="2" t="s">
        <v>34</v>
      </c>
      <c r="K3617" s="2" t="s">
        <v>11533</v>
      </c>
      <c r="L3617" s="2" t="s">
        <v>11534</v>
      </c>
      <c r="M3617" s="2" t="s">
        <v>70</v>
      </c>
      <c r="N3617" s="2" t="s">
        <v>38</v>
      </c>
      <c r="O3617" s="2" t="s">
        <v>773</v>
      </c>
      <c r="P3617" s="2" t="s">
        <v>5472</v>
      </c>
      <c r="Q3617" s="2" t="s">
        <v>20544</v>
      </c>
      <c r="R3617" s="2" t="s">
        <v>40</v>
      </c>
      <c r="S3617" s="2" t="s">
        <v>20545</v>
      </c>
      <c r="T3617" s="2" t="s">
        <v>4850</v>
      </c>
      <c r="U3617" s="2" t="s">
        <v>20546</v>
      </c>
      <c r="V3617" s="2" t="s">
        <v>20547</v>
      </c>
      <c r="W3617" s="1"/>
      <c r="X3617" s="2" t="s">
        <v>2797</v>
      </c>
      <c r="Y3617" s="2" t="s">
        <v>20350</v>
      </c>
      <c r="AA3617" t="str">
        <f t="shared" si="336"/>
        <v>2025-03</v>
      </c>
      <c r="AB3617" t="str">
        <f t="shared" si="337"/>
        <v>H1_2025</v>
      </c>
      <c r="AC3617">
        <f t="shared" si="338"/>
        <v>1729395.6</v>
      </c>
      <c r="AD3617">
        <f t="shared" si="339"/>
        <v>200</v>
      </c>
      <c r="AE3617">
        <f t="shared" si="340"/>
        <v>354795.6</v>
      </c>
      <c r="AF3617" t="str">
        <f t="shared" si="341"/>
        <v>Paid</v>
      </c>
    </row>
    <row r="3618" spans="1:32" ht="27.75" thickBot="1" x14ac:dyDescent="0.35">
      <c r="A3618" s="2" t="s">
        <v>20548</v>
      </c>
      <c r="B3618" s="2" t="s">
        <v>27</v>
      </c>
      <c r="C3618" s="2" t="s">
        <v>28</v>
      </c>
      <c r="D3618" s="2" t="s">
        <v>97</v>
      </c>
      <c r="E3618" s="2" t="s">
        <v>20340</v>
      </c>
      <c r="F3618" s="2" t="s">
        <v>31</v>
      </c>
      <c r="G3618" s="2" t="s">
        <v>32</v>
      </c>
      <c r="H3618" s="1"/>
      <c r="I3618" s="2" t="s">
        <v>33</v>
      </c>
      <c r="J3618" s="2" t="s">
        <v>34</v>
      </c>
      <c r="K3618" s="2" t="s">
        <v>2845</v>
      </c>
      <c r="L3618" s="2" t="s">
        <v>2846</v>
      </c>
      <c r="M3618" s="2" t="s">
        <v>70</v>
      </c>
      <c r="N3618" s="2" t="s">
        <v>38</v>
      </c>
      <c r="O3618" s="2" t="s">
        <v>167</v>
      </c>
      <c r="P3618" s="2" t="s">
        <v>13218</v>
      </c>
      <c r="Q3618" s="2" t="s">
        <v>20549</v>
      </c>
      <c r="R3618" s="2" t="s">
        <v>40</v>
      </c>
      <c r="S3618" s="2" t="s">
        <v>20550</v>
      </c>
      <c r="T3618" s="2" t="s">
        <v>20551</v>
      </c>
      <c r="U3618" s="2" t="s">
        <v>20552</v>
      </c>
      <c r="V3618" s="2" t="s">
        <v>20553</v>
      </c>
      <c r="W3618" s="1"/>
      <c r="X3618" s="2" t="s">
        <v>7382</v>
      </c>
      <c r="Y3618" s="2" t="s">
        <v>20350</v>
      </c>
      <c r="AA3618" t="str">
        <f t="shared" si="336"/>
        <v>2025-03</v>
      </c>
      <c r="AB3618" t="str">
        <f t="shared" si="337"/>
        <v>H1_2025</v>
      </c>
      <c r="AC3618">
        <f t="shared" si="338"/>
        <v>6082507.2000000002</v>
      </c>
      <c r="AD3618">
        <f t="shared" si="339"/>
        <v>800</v>
      </c>
      <c r="AE3618">
        <f t="shared" si="340"/>
        <v>1978557.2</v>
      </c>
      <c r="AF3618" t="str">
        <f t="shared" si="341"/>
        <v>Paid</v>
      </c>
    </row>
    <row r="3619" spans="1:32" ht="17.25" thickBot="1" x14ac:dyDescent="0.35">
      <c r="A3619" s="2" t="s">
        <v>20554</v>
      </c>
      <c r="B3619" s="2" t="s">
        <v>27</v>
      </c>
      <c r="C3619" s="2" t="s">
        <v>28</v>
      </c>
      <c r="D3619" s="2" t="s">
        <v>97</v>
      </c>
      <c r="E3619" s="2" t="s">
        <v>20340</v>
      </c>
      <c r="F3619" s="2" t="s">
        <v>31</v>
      </c>
      <c r="G3619" s="2" t="s">
        <v>32</v>
      </c>
      <c r="H3619" s="1"/>
      <c r="I3619" s="2" t="s">
        <v>33</v>
      </c>
      <c r="J3619" s="2" t="s">
        <v>34</v>
      </c>
      <c r="K3619" s="2" t="s">
        <v>3885</v>
      </c>
      <c r="L3619" s="2" t="s">
        <v>3886</v>
      </c>
      <c r="M3619" s="2" t="s">
        <v>701</v>
      </c>
      <c r="N3619" s="2" t="s">
        <v>38</v>
      </c>
      <c r="O3619" s="2" t="s">
        <v>15442</v>
      </c>
      <c r="P3619" s="2" t="s">
        <v>2528</v>
      </c>
      <c r="Q3619" s="2" t="s">
        <v>20555</v>
      </c>
      <c r="R3619" s="2" t="s">
        <v>40</v>
      </c>
      <c r="S3619" s="2" t="s">
        <v>20556</v>
      </c>
      <c r="T3619" s="2" t="s">
        <v>706</v>
      </c>
      <c r="U3619" s="2" t="s">
        <v>12140</v>
      </c>
      <c r="V3619" s="2" t="s">
        <v>20557</v>
      </c>
      <c r="W3619" s="1"/>
      <c r="X3619" s="2" t="s">
        <v>709</v>
      </c>
      <c r="Y3619" s="2" t="s">
        <v>20350</v>
      </c>
      <c r="AA3619" t="str">
        <f t="shared" si="336"/>
        <v>2025-03</v>
      </c>
      <c r="AB3619" t="str">
        <f t="shared" si="337"/>
        <v>H1_2025</v>
      </c>
      <c r="AC3619">
        <f t="shared" si="338"/>
        <v>16001846.4</v>
      </c>
      <c r="AD3619">
        <f t="shared" si="339"/>
        <v>1600</v>
      </c>
      <c r="AE3619">
        <f t="shared" si="340"/>
        <v>2561846.4</v>
      </c>
      <c r="AF3619" t="str">
        <f t="shared" si="341"/>
        <v>Paid</v>
      </c>
    </row>
    <row r="3620" spans="1:32" ht="17.25" thickBot="1" x14ac:dyDescent="0.35">
      <c r="A3620" s="2" t="s">
        <v>20558</v>
      </c>
      <c r="B3620" s="2" t="s">
        <v>27</v>
      </c>
      <c r="C3620" s="2" t="s">
        <v>28</v>
      </c>
      <c r="D3620" s="2" t="s">
        <v>97</v>
      </c>
      <c r="E3620" s="2" t="s">
        <v>20340</v>
      </c>
      <c r="F3620" s="2" t="s">
        <v>31</v>
      </c>
      <c r="G3620" s="2" t="s">
        <v>32</v>
      </c>
      <c r="H3620" s="1"/>
      <c r="I3620" s="2" t="s">
        <v>33</v>
      </c>
      <c r="J3620" s="2" t="s">
        <v>34</v>
      </c>
      <c r="K3620" s="2" t="s">
        <v>15560</v>
      </c>
      <c r="L3620" s="2" t="s">
        <v>15561</v>
      </c>
      <c r="M3620" s="2" t="s">
        <v>701</v>
      </c>
      <c r="N3620" s="2" t="s">
        <v>38</v>
      </c>
      <c r="O3620" s="2" t="s">
        <v>177</v>
      </c>
      <c r="P3620" s="2" t="s">
        <v>5443</v>
      </c>
      <c r="Q3620" s="2" t="s">
        <v>20559</v>
      </c>
      <c r="R3620" s="2" t="s">
        <v>40</v>
      </c>
      <c r="S3620" s="2" t="s">
        <v>20560</v>
      </c>
      <c r="T3620" s="2" t="s">
        <v>12240</v>
      </c>
      <c r="U3620" s="2" t="s">
        <v>6541</v>
      </c>
      <c r="V3620" s="2" t="s">
        <v>20561</v>
      </c>
      <c r="W3620" s="1"/>
      <c r="X3620" s="2" t="s">
        <v>5168</v>
      </c>
      <c r="Y3620" s="2" t="s">
        <v>20350</v>
      </c>
      <c r="AA3620" t="str">
        <f t="shared" si="336"/>
        <v>2025-03</v>
      </c>
      <c r="AB3620" t="str">
        <f t="shared" si="337"/>
        <v>H1_2025</v>
      </c>
      <c r="AC3620">
        <f t="shared" si="338"/>
        <v>2398020</v>
      </c>
      <c r="AD3620">
        <f t="shared" si="339"/>
        <v>400</v>
      </c>
      <c r="AE3620">
        <f t="shared" si="340"/>
        <v>382020</v>
      </c>
      <c r="AF3620" t="str">
        <f t="shared" si="341"/>
        <v>Paid</v>
      </c>
    </row>
    <row r="3621" spans="1:32" ht="17.25" thickBot="1" x14ac:dyDescent="0.35">
      <c r="A3621" s="2" t="s">
        <v>20562</v>
      </c>
      <c r="B3621" s="2" t="s">
        <v>27</v>
      </c>
      <c r="C3621" s="2" t="s">
        <v>28</v>
      </c>
      <c r="D3621" s="2" t="s">
        <v>97</v>
      </c>
      <c r="E3621" s="2" t="s">
        <v>20340</v>
      </c>
      <c r="F3621" s="2" t="s">
        <v>31</v>
      </c>
      <c r="G3621" s="2" t="s">
        <v>32</v>
      </c>
      <c r="H3621" s="1"/>
      <c r="I3621" s="2" t="s">
        <v>33</v>
      </c>
      <c r="J3621" s="2" t="s">
        <v>34</v>
      </c>
      <c r="K3621" s="2" t="s">
        <v>3895</v>
      </c>
      <c r="L3621" s="2" t="s">
        <v>3896</v>
      </c>
      <c r="M3621" s="2" t="s">
        <v>701</v>
      </c>
      <c r="N3621" s="2" t="s">
        <v>38</v>
      </c>
      <c r="O3621" s="2" t="s">
        <v>20563</v>
      </c>
      <c r="P3621" s="2" t="s">
        <v>17670</v>
      </c>
      <c r="Q3621" s="2" t="s">
        <v>20564</v>
      </c>
      <c r="R3621" s="2" t="s">
        <v>40</v>
      </c>
      <c r="S3621" s="2" t="s">
        <v>20565</v>
      </c>
      <c r="T3621" s="2" t="s">
        <v>1444</v>
      </c>
      <c r="U3621" s="2" t="s">
        <v>20566</v>
      </c>
      <c r="V3621" s="2" t="s">
        <v>20567</v>
      </c>
      <c r="W3621" s="1"/>
      <c r="X3621" s="2" t="s">
        <v>709</v>
      </c>
      <c r="Y3621" s="2" t="s">
        <v>20350</v>
      </c>
      <c r="AA3621" t="str">
        <f t="shared" si="336"/>
        <v>2025-03</v>
      </c>
      <c r="AB3621" t="str">
        <f t="shared" si="337"/>
        <v>H1_2025</v>
      </c>
      <c r="AC3621">
        <f t="shared" si="338"/>
        <v>17557738.199999999</v>
      </c>
      <c r="AD3621">
        <f t="shared" si="339"/>
        <v>2700</v>
      </c>
      <c r="AE3621">
        <f t="shared" si="340"/>
        <v>2815738.2</v>
      </c>
      <c r="AF3621" t="str">
        <f t="shared" si="341"/>
        <v>Paid</v>
      </c>
    </row>
    <row r="3622" spans="1:32" ht="17.25" thickBot="1" x14ac:dyDescent="0.35">
      <c r="A3622" s="2" t="s">
        <v>20568</v>
      </c>
      <c r="B3622" s="2" t="s">
        <v>27</v>
      </c>
      <c r="C3622" s="2" t="s">
        <v>28</v>
      </c>
      <c r="D3622" s="2" t="s">
        <v>97</v>
      </c>
      <c r="E3622" s="2" t="s">
        <v>20340</v>
      </c>
      <c r="F3622" s="2" t="s">
        <v>31</v>
      </c>
      <c r="G3622" s="2" t="s">
        <v>32</v>
      </c>
      <c r="H3622" s="1"/>
      <c r="I3622" s="2" t="s">
        <v>33</v>
      </c>
      <c r="J3622" s="2" t="s">
        <v>34</v>
      </c>
      <c r="K3622" s="2" t="s">
        <v>3905</v>
      </c>
      <c r="L3622" s="2" t="s">
        <v>3906</v>
      </c>
      <c r="M3622" s="2" t="s">
        <v>701</v>
      </c>
      <c r="N3622" s="2" t="s">
        <v>38</v>
      </c>
      <c r="O3622" s="2" t="s">
        <v>2847</v>
      </c>
      <c r="P3622" s="2" t="s">
        <v>2220</v>
      </c>
      <c r="Q3622" s="2" t="s">
        <v>20569</v>
      </c>
      <c r="R3622" s="2" t="s">
        <v>40</v>
      </c>
      <c r="S3622" s="2" t="s">
        <v>20570</v>
      </c>
      <c r="T3622" s="2" t="s">
        <v>3015</v>
      </c>
      <c r="U3622" s="2" t="s">
        <v>19204</v>
      </c>
      <c r="V3622" s="2" t="s">
        <v>20571</v>
      </c>
      <c r="W3622" s="1"/>
      <c r="X3622" s="2" t="s">
        <v>5168</v>
      </c>
      <c r="Y3622" s="2" t="s">
        <v>20350</v>
      </c>
      <c r="AA3622" t="str">
        <f t="shared" si="336"/>
        <v>2025-03</v>
      </c>
      <c r="AB3622" t="str">
        <f t="shared" si="337"/>
        <v>H1_2025</v>
      </c>
      <c r="AC3622">
        <f t="shared" si="338"/>
        <v>12341339.4</v>
      </c>
      <c r="AD3622">
        <f t="shared" si="339"/>
        <v>1300</v>
      </c>
      <c r="AE3622">
        <f t="shared" si="340"/>
        <v>1967339.4</v>
      </c>
      <c r="AF3622" t="str">
        <f t="shared" si="341"/>
        <v>Paid</v>
      </c>
    </row>
    <row r="3623" spans="1:32" ht="17.25" thickBot="1" x14ac:dyDescent="0.35">
      <c r="A3623" s="2" t="s">
        <v>20572</v>
      </c>
      <c r="B3623" s="2" t="s">
        <v>27</v>
      </c>
      <c r="C3623" s="2" t="s">
        <v>28</v>
      </c>
      <c r="D3623" s="2" t="s">
        <v>97</v>
      </c>
      <c r="E3623" s="2" t="s">
        <v>20340</v>
      </c>
      <c r="F3623" s="2" t="s">
        <v>31</v>
      </c>
      <c r="G3623" s="2" t="s">
        <v>32</v>
      </c>
      <c r="H3623" s="1"/>
      <c r="I3623" s="2" t="s">
        <v>33</v>
      </c>
      <c r="J3623" s="2" t="s">
        <v>34</v>
      </c>
      <c r="K3623" s="2" t="s">
        <v>19785</v>
      </c>
      <c r="L3623" s="2" t="s">
        <v>19786</v>
      </c>
      <c r="M3623" s="2" t="s">
        <v>701</v>
      </c>
      <c r="N3623" s="2" t="s">
        <v>38</v>
      </c>
      <c r="O3623" s="2" t="s">
        <v>177</v>
      </c>
      <c r="P3623" s="2" t="s">
        <v>20573</v>
      </c>
      <c r="Q3623" s="2" t="s">
        <v>20574</v>
      </c>
      <c r="R3623" s="2" t="s">
        <v>40</v>
      </c>
      <c r="S3623" s="2" t="s">
        <v>20575</v>
      </c>
      <c r="T3623" s="2" t="s">
        <v>287</v>
      </c>
      <c r="U3623" s="2" t="s">
        <v>20576</v>
      </c>
      <c r="V3623" s="2" t="s">
        <v>20577</v>
      </c>
      <c r="W3623" s="1"/>
      <c r="X3623" s="2" t="s">
        <v>1513</v>
      </c>
      <c r="Y3623" s="2" t="s">
        <v>20350</v>
      </c>
      <c r="AA3623" t="str">
        <f t="shared" si="336"/>
        <v>2025-03</v>
      </c>
      <c r="AB3623" t="str">
        <f t="shared" si="337"/>
        <v>H1_2025</v>
      </c>
      <c r="AC3623">
        <f t="shared" si="338"/>
        <v>4102024.8</v>
      </c>
      <c r="AD3623">
        <f t="shared" si="339"/>
        <v>400</v>
      </c>
      <c r="AE3623">
        <f t="shared" si="340"/>
        <v>1302024.8</v>
      </c>
      <c r="AF3623" t="str">
        <f t="shared" si="341"/>
        <v>Paid</v>
      </c>
    </row>
    <row r="3624" spans="1:32" ht="17.25" thickBot="1" x14ac:dyDescent="0.35">
      <c r="A3624" s="2" t="s">
        <v>20578</v>
      </c>
      <c r="B3624" s="2" t="s">
        <v>27</v>
      </c>
      <c r="C3624" s="2" t="s">
        <v>28</v>
      </c>
      <c r="D3624" s="2" t="s">
        <v>97</v>
      </c>
      <c r="E3624" s="2" t="s">
        <v>20340</v>
      </c>
      <c r="F3624" s="2" t="s">
        <v>31</v>
      </c>
      <c r="G3624" s="2" t="s">
        <v>32</v>
      </c>
      <c r="H3624" s="1"/>
      <c r="I3624" s="2" t="s">
        <v>33</v>
      </c>
      <c r="J3624" s="2" t="s">
        <v>34</v>
      </c>
      <c r="K3624" s="2" t="s">
        <v>699</v>
      </c>
      <c r="L3624" s="2" t="s">
        <v>700</v>
      </c>
      <c r="M3624" s="2" t="s">
        <v>701</v>
      </c>
      <c r="N3624" s="2" t="s">
        <v>38</v>
      </c>
      <c r="O3624" s="2" t="s">
        <v>8269</v>
      </c>
      <c r="P3624" s="2" t="s">
        <v>2528</v>
      </c>
      <c r="Q3624" s="2" t="s">
        <v>20579</v>
      </c>
      <c r="R3624" s="2" t="s">
        <v>40</v>
      </c>
      <c r="S3624" s="2" t="s">
        <v>20580</v>
      </c>
      <c r="T3624" s="2" t="s">
        <v>706</v>
      </c>
      <c r="U3624" s="2" t="s">
        <v>20581</v>
      </c>
      <c r="V3624" s="2" t="s">
        <v>20582</v>
      </c>
      <c r="W3624" s="1"/>
      <c r="X3624" s="2" t="s">
        <v>709</v>
      </c>
      <c r="Y3624" s="2" t="s">
        <v>20350</v>
      </c>
      <c r="AA3624" t="str">
        <f t="shared" si="336"/>
        <v>2025-03</v>
      </c>
      <c r="AB3624" t="str">
        <f t="shared" si="337"/>
        <v>H1_2025</v>
      </c>
      <c r="AC3624">
        <f t="shared" si="338"/>
        <v>24002769.600000001</v>
      </c>
      <c r="AD3624">
        <f t="shared" si="339"/>
        <v>2400</v>
      </c>
      <c r="AE3624">
        <f t="shared" si="340"/>
        <v>3842769.6</v>
      </c>
      <c r="AF3624" t="str">
        <f t="shared" si="341"/>
        <v>Paid</v>
      </c>
    </row>
    <row r="3625" spans="1:32" ht="17.25" thickBot="1" x14ac:dyDescent="0.35">
      <c r="A3625" s="2" t="s">
        <v>20583</v>
      </c>
      <c r="B3625" s="2" t="s">
        <v>27</v>
      </c>
      <c r="C3625" s="2" t="s">
        <v>28</v>
      </c>
      <c r="D3625" s="2" t="s">
        <v>97</v>
      </c>
      <c r="E3625" s="2" t="s">
        <v>20340</v>
      </c>
      <c r="F3625" s="2" t="s">
        <v>31</v>
      </c>
      <c r="G3625" s="2" t="s">
        <v>32</v>
      </c>
      <c r="H3625" s="1"/>
      <c r="I3625" s="2" t="s">
        <v>33</v>
      </c>
      <c r="J3625" s="2" t="s">
        <v>34</v>
      </c>
      <c r="K3625" s="2" t="s">
        <v>3922</v>
      </c>
      <c r="L3625" s="2" t="s">
        <v>3923</v>
      </c>
      <c r="M3625" s="2" t="s">
        <v>701</v>
      </c>
      <c r="N3625" s="2" t="s">
        <v>38</v>
      </c>
      <c r="O3625" s="2" t="s">
        <v>3924</v>
      </c>
      <c r="P3625" s="2" t="s">
        <v>801</v>
      </c>
      <c r="Q3625" s="2" t="s">
        <v>20584</v>
      </c>
      <c r="R3625" s="2" t="s">
        <v>40</v>
      </c>
      <c r="S3625" s="2" t="s">
        <v>20585</v>
      </c>
      <c r="T3625" s="2" t="s">
        <v>759</v>
      </c>
      <c r="U3625" s="2" t="s">
        <v>3927</v>
      </c>
      <c r="V3625" s="2" t="s">
        <v>20586</v>
      </c>
      <c r="W3625" s="1"/>
      <c r="X3625" s="2" t="s">
        <v>709</v>
      </c>
      <c r="Y3625" s="2" t="s">
        <v>20350</v>
      </c>
      <c r="AA3625" t="str">
        <f t="shared" si="336"/>
        <v>2025-03</v>
      </c>
      <c r="AB3625" t="str">
        <f t="shared" si="337"/>
        <v>H1_2025</v>
      </c>
      <c r="AC3625">
        <f t="shared" si="338"/>
        <v>30598735.199999999</v>
      </c>
      <c r="AD3625">
        <f t="shared" si="339"/>
        <v>3400</v>
      </c>
      <c r="AE3625">
        <f t="shared" si="340"/>
        <v>4894735.2</v>
      </c>
      <c r="AF3625" t="str">
        <f t="shared" si="341"/>
        <v>Paid</v>
      </c>
    </row>
    <row r="3626" spans="1:32" ht="41.25" thickBot="1" x14ac:dyDescent="0.35">
      <c r="A3626" s="2" t="s">
        <v>20587</v>
      </c>
      <c r="B3626" s="2" t="s">
        <v>27</v>
      </c>
      <c r="C3626" s="2" t="s">
        <v>28</v>
      </c>
      <c r="D3626" s="2" t="s">
        <v>97</v>
      </c>
      <c r="E3626" s="2" t="s">
        <v>20340</v>
      </c>
      <c r="F3626" s="2" t="s">
        <v>31</v>
      </c>
      <c r="G3626" s="2" t="s">
        <v>32</v>
      </c>
      <c r="H3626" s="1"/>
      <c r="I3626" s="2" t="s">
        <v>33</v>
      </c>
      <c r="J3626" s="2" t="s">
        <v>34</v>
      </c>
      <c r="K3626" s="2" t="s">
        <v>18792</v>
      </c>
      <c r="L3626" s="2" t="s">
        <v>18793</v>
      </c>
      <c r="M3626" s="2" t="s">
        <v>701</v>
      </c>
      <c r="N3626" s="2" t="s">
        <v>38</v>
      </c>
      <c r="O3626" s="2" t="s">
        <v>3068</v>
      </c>
      <c r="P3626" s="2" t="s">
        <v>392</v>
      </c>
      <c r="Q3626" s="2" t="s">
        <v>20588</v>
      </c>
      <c r="R3626" s="2" t="s">
        <v>40</v>
      </c>
      <c r="S3626" s="2" t="s">
        <v>20589</v>
      </c>
      <c r="T3626" s="2" t="s">
        <v>18796</v>
      </c>
      <c r="U3626" s="2" t="s">
        <v>4061</v>
      </c>
      <c r="V3626" s="2" t="s">
        <v>20590</v>
      </c>
      <c r="W3626" s="1"/>
      <c r="X3626" s="2" t="s">
        <v>709</v>
      </c>
      <c r="Y3626" s="2" t="s">
        <v>20350</v>
      </c>
      <c r="AA3626" t="str">
        <f t="shared" si="336"/>
        <v>2025-03</v>
      </c>
      <c r="AB3626" t="str">
        <f t="shared" si="337"/>
        <v>H1_2025</v>
      </c>
      <c r="AC3626">
        <f t="shared" si="338"/>
        <v>9449609.4000000004</v>
      </c>
      <c r="AD3626">
        <f t="shared" si="339"/>
        <v>700</v>
      </c>
      <c r="AE3626">
        <f t="shared" si="340"/>
        <v>1511609.4</v>
      </c>
      <c r="AF3626" t="str">
        <f t="shared" si="341"/>
        <v>Paid</v>
      </c>
    </row>
    <row r="3627" spans="1:32" ht="17.25" thickBot="1" x14ac:dyDescent="0.35">
      <c r="A3627" s="2" t="s">
        <v>20591</v>
      </c>
      <c r="B3627" s="2" t="s">
        <v>27</v>
      </c>
      <c r="C3627" s="2" t="s">
        <v>28</v>
      </c>
      <c r="D3627" s="2" t="s">
        <v>97</v>
      </c>
      <c r="E3627" s="2" t="s">
        <v>20340</v>
      </c>
      <c r="F3627" s="2" t="s">
        <v>31</v>
      </c>
      <c r="G3627" s="2" t="s">
        <v>32</v>
      </c>
      <c r="H3627" s="1"/>
      <c r="I3627" s="2" t="s">
        <v>33</v>
      </c>
      <c r="J3627" s="2" t="s">
        <v>34</v>
      </c>
      <c r="K3627" s="2" t="s">
        <v>711</v>
      </c>
      <c r="L3627" s="2" t="s">
        <v>712</v>
      </c>
      <c r="M3627" s="2" t="s">
        <v>701</v>
      </c>
      <c r="N3627" s="2" t="s">
        <v>38</v>
      </c>
      <c r="O3627" s="2" t="s">
        <v>20592</v>
      </c>
      <c r="P3627" s="2" t="s">
        <v>327</v>
      </c>
      <c r="Q3627" s="2" t="s">
        <v>20593</v>
      </c>
      <c r="R3627" s="2" t="s">
        <v>40</v>
      </c>
      <c r="S3627" s="2" t="s">
        <v>20594</v>
      </c>
      <c r="T3627" s="2" t="s">
        <v>716</v>
      </c>
      <c r="U3627" s="2" t="s">
        <v>20595</v>
      </c>
      <c r="V3627" s="2" t="s">
        <v>20596</v>
      </c>
      <c r="W3627" s="1"/>
      <c r="X3627" s="2" t="s">
        <v>709</v>
      </c>
      <c r="Y3627" s="2" t="s">
        <v>20350</v>
      </c>
      <c r="AA3627" t="str">
        <f t="shared" si="336"/>
        <v>2025-03</v>
      </c>
      <c r="AB3627" t="str">
        <f t="shared" si="337"/>
        <v>H1_2025</v>
      </c>
      <c r="AC3627">
        <f t="shared" si="338"/>
        <v>82829021.400000006</v>
      </c>
      <c r="AD3627">
        <f t="shared" si="339"/>
        <v>6900</v>
      </c>
      <c r="AE3627">
        <f t="shared" si="340"/>
        <v>13277021.4</v>
      </c>
      <c r="AF3627" t="str">
        <f t="shared" si="341"/>
        <v>Paid</v>
      </c>
    </row>
    <row r="3628" spans="1:32" ht="17.25" thickBot="1" x14ac:dyDescent="0.35">
      <c r="A3628" s="2" t="s">
        <v>20597</v>
      </c>
      <c r="B3628" s="2" t="s">
        <v>27</v>
      </c>
      <c r="C3628" s="2" t="s">
        <v>28</v>
      </c>
      <c r="D3628" s="2" t="s">
        <v>97</v>
      </c>
      <c r="E3628" s="2" t="s">
        <v>20340</v>
      </c>
      <c r="F3628" s="2" t="s">
        <v>31</v>
      </c>
      <c r="G3628" s="2" t="s">
        <v>32</v>
      </c>
      <c r="H3628" s="1"/>
      <c r="I3628" s="2" t="s">
        <v>33</v>
      </c>
      <c r="J3628" s="2" t="s">
        <v>34</v>
      </c>
      <c r="K3628" s="2" t="s">
        <v>3930</v>
      </c>
      <c r="L3628" s="2" t="s">
        <v>3931</v>
      </c>
      <c r="M3628" s="2" t="s">
        <v>701</v>
      </c>
      <c r="N3628" s="2" t="s">
        <v>38</v>
      </c>
      <c r="O3628" s="2" t="s">
        <v>18874</v>
      </c>
      <c r="P3628" s="2" t="s">
        <v>20598</v>
      </c>
      <c r="Q3628" s="2" t="s">
        <v>20599</v>
      </c>
      <c r="R3628" s="2" t="s">
        <v>40</v>
      </c>
      <c r="S3628" s="2" t="s">
        <v>20600</v>
      </c>
      <c r="T3628" s="2" t="s">
        <v>3936</v>
      </c>
      <c r="U3628" s="2" t="s">
        <v>20601</v>
      </c>
      <c r="V3628" s="2" t="s">
        <v>20602</v>
      </c>
      <c r="W3628" s="1"/>
      <c r="X3628" s="2" t="s">
        <v>709</v>
      </c>
      <c r="Y3628" s="2" t="s">
        <v>20350</v>
      </c>
      <c r="AA3628" t="str">
        <f t="shared" si="336"/>
        <v>2025-03</v>
      </c>
      <c r="AB3628" t="str">
        <f t="shared" si="337"/>
        <v>H1_2025</v>
      </c>
      <c r="AC3628">
        <f t="shared" si="338"/>
        <v>37395006</v>
      </c>
      <c r="AD3628">
        <f t="shared" si="339"/>
        <v>2200</v>
      </c>
      <c r="AE3628">
        <f t="shared" si="340"/>
        <v>5979006</v>
      </c>
      <c r="AF3628" t="str">
        <f t="shared" si="341"/>
        <v>Paid</v>
      </c>
    </row>
    <row r="3629" spans="1:32" ht="17.25" thickBot="1" x14ac:dyDescent="0.35">
      <c r="A3629" s="2" t="s">
        <v>20603</v>
      </c>
      <c r="B3629" s="2" t="s">
        <v>27</v>
      </c>
      <c r="C3629" s="2" t="s">
        <v>28</v>
      </c>
      <c r="D3629" s="2" t="s">
        <v>97</v>
      </c>
      <c r="E3629" s="2" t="s">
        <v>20340</v>
      </c>
      <c r="F3629" s="2" t="s">
        <v>31</v>
      </c>
      <c r="G3629" s="2" t="s">
        <v>32</v>
      </c>
      <c r="H3629" s="1"/>
      <c r="I3629" s="2" t="s">
        <v>33</v>
      </c>
      <c r="J3629" s="2" t="s">
        <v>34</v>
      </c>
      <c r="K3629" s="2" t="s">
        <v>3940</v>
      </c>
      <c r="L3629" s="2" t="s">
        <v>3941</v>
      </c>
      <c r="M3629" s="2" t="s">
        <v>701</v>
      </c>
      <c r="N3629" s="2" t="s">
        <v>38</v>
      </c>
      <c r="O3629" s="2" t="s">
        <v>20604</v>
      </c>
      <c r="P3629" s="2" t="s">
        <v>6336</v>
      </c>
      <c r="Q3629" s="2" t="s">
        <v>20605</v>
      </c>
      <c r="R3629" s="2" t="s">
        <v>40</v>
      </c>
      <c r="S3629" s="2" t="s">
        <v>20606</v>
      </c>
      <c r="T3629" s="2" t="s">
        <v>726</v>
      </c>
      <c r="U3629" s="2" t="s">
        <v>20607</v>
      </c>
      <c r="V3629" s="2" t="s">
        <v>20608</v>
      </c>
      <c r="W3629" s="1"/>
      <c r="X3629" s="2" t="s">
        <v>3903</v>
      </c>
      <c r="Y3629" s="2" t="s">
        <v>20350</v>
      </c>
      <c r="AA3629" t="str">
        <f t="shared" si="336"/>
        <v>2025-03</v>
      </c>
      <c r="AB3629" t="str">
        <f t="shared" si="337"/>
        <v>H1_2025</v>
      </c>
      <c r="AC3629">
        <f t="shared" si="338"/>
        <v>73150894.799999997</v>
      </c>
      <c r="AD3629">
        <f t="shared" si="339"/>
        <v>8600</v>
      </c>
      <c r="AE3629">
        <f t="shared" si="340"/>
        <v>11746894.800000001</v>
      </c>
      <c r="AF3629" t="str">
        <f t="shared" si="341"/>
        <v>Paid</v>
      </c>
    </row>
    <row r="3630" spans="1:32" ht="17.25" thickBot="1" x14ac:dyDescent="0.35">
      <c r="A3630" s="2" t="s">
        <v>20609</v>
      </c>
      <c r="B3630" s="2" t="s">
        <v>27</v>
      </c>
      <c r="C3630" s="2" t="s">
        <v>28</v>
      </c>
      <c r="D3630" s="2" t="s">
        <v>97</v>
      </c>
      <c r="E3630" s="2" t="s">
        <v>20340</v>
      </c>
      <c r="F3630" s="2" t="s">
        <v>31</v>
      </c>
      <c r="G3630" s="2" t="s">
        <v>32</v>
      </c>
      <c r="H3630" s="1"/>
      <c r="I3630" s="2" t="s">
        <v>33</v>
      </c>
      <c r="J3630" s="2" t="s">
        <v>34</v>
      </c>
      <c r="K3630" s="2" t="s">
        <v>3949</v>
      </c>
      <c r="L3630" s="2" t="s">
        <v>3950</v>
      </c>
      <c r="M3630" s="2" t="s">
        <v>701</v>
      </c>
      <c r="N3630" s="2" t="s">
        <v>38</v>
      </c>
      <c r="O3630" s="2" t="s">
        <v>1644</v>
      </c>
      <c r="P3630" s="2" t="s">
        <v>6336</v>
      </c>
      <c r="Q3630" s="2" t="s">
        <v>19280</v>
      </c>
      <c r="R3630" s="2" t="s">
        <v>40</v>
      </c>
      <c r="S3630" s="2" t="s">
        <v>20610</v>
      </c>
      <c r="T3630" s="2" t="s">
        <v>726</v>
      </c>
      <c r="U3630" s="2" t="s">
        <v>19282</v>
      </c>
      <c r="V3630" s="2" t="s">
        <v>20611</v>
      </c>
      <c r="W3630" s="1"/>
      <c r="X3630" s="2" t="s">
        <v>3903</v>
      </c>
      <c r="Y3630" s="2" t="s">
        <v>20350</v>
      </c>
      <c r="AA3630" t="str">
        <f t="shared" si="336"/>
        <v>2025-03</v>
      </c>
      <c r="AB3630" t="str">
        <f t="shared" si="337"/>
        <v>H1_2025</v>
      </c>
      <c r="AC3630">
        <f t="shared" si="338"/>
        <v>10207101.6</v>
      </c>
      <c r="AD3630">
        <f t="shared" si="339"/>
        <v>1200</v>
      </c>
      <c r="AE3630">
        <f t="shared" si="340"/>
        <v>1639101.6</v>
      </c>
      <c r="AF3630" t="str">
        <f t="shared" si="341"/>
        <v>Paid</v>
      </c>
    </row>
    <row r="3631" spans="1:32" ht="17.25" thickBot="1" x14ac:dyDescent="0.35">
      <c r="A3631" s="2" t="s">
        <v>20612</v>
      </c>
      <c r="B3631" s="2" t="s">
        <v>27</v>
      </c>
      <c r="C3631" s="2" t="s">
        <v>28</v>
      </c>
      <c r="D3631" s="2" t="s">
        <v>97</v>
      </c>
      <c r="E3631" s="2" t="s">
        <v>20340</v>
      </c>
      <c r="F3631" s="2" t="s">
        <v>31</v>
      </c>
      <c r="G3631" s="2" t="s">
        <v>32</v>
      </c>
      <c r="H3631" s="1"/>
      <c r="I3631" s="2" t="s">
        <v>33</v>
      </c>
      <c r="J3631" s="2" t="s">
        <v>34</v>
      </c>
      <c r="K3631" s="2" t="s">
        <v>720</v>
      </c>
      <c r="L3631" s="2" t="s">
        <v>721</v>
      </c>
      <c r="M3631" s="2" t="s">
        <v>701</v>
      </c>
      <c r="N3631" s="2" t="s">
        <v>38</v>
      </c>
      <c r="O3631" s="2" t="s">
        <v>15442</v>
      </c>
      <c r="P3631" s="2" t="s">
        <v>6336</v>
      </c>
      <c r="Q3631" s="2" t="s">
        <v>20613</v>
      </c>
      <c r="R3631" s="2" t="s">
        <v>40</v>
      </c>
      <c r="S3631" s="2" t="s">
        <v>20614</v>
      </c>
      <c r="T3631" s="2" t="s">
        <v>726</v>
      </c>
      <c r="U3631" s="2" t="s">
        <v>20615</v>
      </c>
      <c r="V3631" s="2" t="s">
        <v>20616</v>
      </c>
      <c r="W3631" s="1"/>
      <c r="X3631" s="2" t="s">
        <v>3903</v>
      </c>
      <c r="Y3631" s="2" t="s">
        <v>20350</v>
      </c>
      <c r="AA3631" t="str">
        <f t="shared" si="336"/>
        <v>2025-03</v>
      </c>
      <c r="AB3631" t="str">
        <f t="shared" si="337"/>
        <v>H1_2025</v>
      </c>
      <c r="AC3631">
        <f t="shared" si="338"/>
        <v>13609468.800000001</v>
      </c>
      <c r="AD3631">
        <f t="shared" si="339"/>
        <v>1600</v>
      </c>
      <c r="AE3631">
        <f t="shared" si="340"/>
        <v>2185468.7999999998</v>
      </c>
      <c r="AF3631" t="str">
        <f t="shared" si="341"/>
        <v>Paid</v>
      </c>
    </row>
    <row r="3632" spans="1:32" ht="17.25" thickBot="1" x14ac:dyDescent="0.35">
      <c r="A3632" s="2" t="s">
        <v>20617</v>
      </c>
      <c r="B3632" s="2" t="s">
        <v>27</v>
      </c>
      <c r="C3632" s="2" t="s">
        <v>28</v>
      </c>
      <c r="D3632" s="2" t="s">
        <v>97</v>
      </c>
      <c r="E3632" s="2" t="s">
        <v>20340</v>
      </c>
      <c r="F3632" s="2" t="s">
        <v>31</v>
      </c>
      <c r="G3632" s="2" t="s">
        <v>32</v>
      </c>
      <c r="H3632" s="1"/>
      <c r="I3632" s="2" t="s">
        <v>33</v>
      </c>
      <c r="J3632" s="2" t="s">
        <v>34</v>
      </c>
      <c r="K3632" s="2" t="s">
        <v>720</v>
      </c>
      <c r="L3632" s="2" t="s">
        <v>721</v>
      </c>
      <c r="M3632" s="2" t="s">
        <v>701</v>
      </c>
      <c r="N3632" s="2" t="s">
        <v>38</v>
      </c>
      <c r="O3632" s="2" t="s">
        <v>821</v>
      </c>
      <c r="P3632" s="2" t="s">
        <v>6336</v>
      </c>
      <c r="Q3632" s="2" t="s">
        <v>20618</v>
      </c>
      <c r="R3632" s="2" t="s">
        <v>40</v>
      </c>
      <c r="S3632" s="2" t="s">
        <v>20619</v>
      </c>
      <c r="T3632" s="2" t="s">
        <v>726</v>
      </c>
      <c r="U3632" s="2" t="s">
        <v>20620</v>
      </c>
      <c r="V3632" s="2" t="s">
        <v>20621</v>
      </c>
      <c r="W3632" s="1"/>
      <c r="X3632" s="2" t="s">
        <v>3903</v>
      </c>
      <c r="Y3632" s="2" t="s">
        <v>20350</v>
      </c>
      <c r="AA3632" t="str">
        <f t="shared" si="336"/>
        <v>2025-03</v>
      </c>
      <c r="AB3632" t="str">
        <f t="shared" si="337"/>
        <v>H1_2025</v>
      </c>
      <c r="AC3632">
        <f t="shared" si="338"/>
        <v>41508879.840000004</v>
      </c>
      <c r="AD3632">
        <f t="shared" si="339"/>
        <v>4880</v>
      </c>
      <c r="AE3632">
        <f t="shared" si="340"/>
        <v>6665679.8399999999</v>
      </c>
      <c r="AF3632" t="str">
        <f t="shared" si="341"/>
        <v>Paid</v>
      </c>
    </row>
    <row r="3633" spans="1:32" ht="17.25" thickBot="1" x14ac:dyDescent="0.35">
      <c r="A3633" s="2" t="s">
        <v>20622</v>
      </c>
      <c r="B3633" s="2" t="s">
        <v>27</v>
      </c>
      <c r="C3633" s="2" t="s">
        <v>28</v>
      </c>
      <c r="D3633" s="2" t="s">
        <v>97</v>
      </c>
      <c r="E3633" s="2" t="s">
        <v>20340</v>
      </c>
      <c r="F3633" s="2" t="s">
        <v>31</v>
      </c>
      <c r="G3633" s="2" t="s">
        <v>32</v>
      </c>
      <c r="H3633" s="1"/>
      <c r="I3633" s="2" t="s">
        <v>33</v>
      </c>
      <c r="J3633" s="2" t="s">
        <v>34</v>
      </c>
      <c r="K3633" s="2" t="s">
        <v>3957</v>
      </c>
      <c r="L3633" s="2" t="s">
        <v>3958</v>
      </c>
      <c r="M3633" s="2" t="s">
        <v>701</v>
      </c>
      <c r="N3633" s="2" t="s">
        <v>38</v>
      </c>
      <c r="O3633" s="2" t="s">
        <v>1813</v>
      </c>
      <c r="P3633" s="2" t="s">
        <v>6336</v>
      </c>
      <c r="Q3633" s="2" t="s">
        <v>20623</v>
      </c>
      <c r="R3633" s="2" t="s">
        <v>40</v>
      </c>
      <c r="S3633" s="2" t="s">
        <v>20624</v>
      </c>
      <c r="T3633" s="2" t="s">
        <v>726</v>
      </c>
      <c r="U3633" s="2" t="s">
        <v>12222</v>
      </c>
      <c r="V3633" s="2" t="s">
        <v>20625</v>
      </c>
      <c r="W3633" s="1"/>
      <c r="X3633" s="2" t="s">
        <v>3903</v>
      </c>
      <c r="Y3633" s="2" t="s">
        <v>20350</v>
      </c>
      <c r="AA3633" t="str">
        <f t="shared" si="336"/>
        <v>2025-03</v>
      </c>
      <c r="AB3633" t="str">
        <f t="shared" si="337"/>
        <v>H1_2025</v>
      </c>
      <c r="AC3633">
        <f t="shared" si="338"/>
        <v>19563611.399999999</v>
      </c>
      <c r="AD3633">
        <f t="shared" si="339"/>
        <v>2300</v>
      </c>
      <c r="AE3633">
        <f t="shared" si="340"/>
        <v>3141611.4</v>
      </c>
      <c r="AF3633" t="str">
        <f t="shared" si="341"/>
        <v>Paid</v>
      </c>
    </row>
    <row r="3634" spans="1:32" ht="17.25" thickBot="1" x14ac:dyDescent="0.35">
      <c r="A3634" s="2" t="s">
        <v>20626</v>
      </c>
      <c r="B3634" s="2" t="s">
        <v>27</v>
      </c>
      <c r="C3634" s="2" t="s">
        <v>28</v>
      </c>
      <c r="D3634" s="2" t="s">
        <v>97</v>
      </c>
      <c r="E3634" s="2" t="s">
        <v>20340</v>
      </c>
      <c r="F3634" s="2" t="s">
        <v>31</v>
      </c>
      <c r="G3634" s="2" t="s">
        <v>32</v>
      </c>
      <c r="H3634" s="1"/>
      <c r="I3634" s="2" t="s">
        <v>33</v>
      </c>
      <c r="J3634" s="2" t="s">
        <v>34</v>
      </c>
      <c r="K3634" s="2" t="s">
        <v>15485</v>
      </c>
      <c r="L3634" s="2" t="s">
        <v>15486</v>
      </c>
      <c r="M3634" s="2" t="s">
        <v>701</v>
      </c>
      <c r="N3634" s="2" t="s">
        <v>38</v>
      </c>
      <c r="O3634" s="2" t="s">
        <v>12403</v>
      </c>
      <c r="P3634" s="2" t="s">
        <v>6336</v>
      </c>
      <c r="Q3634" s="2" t="s">
        <v>19240</v>
      </c>
      <c r="R3634" s="2" t="s">
        <v>40</v>
      </c>
      <c r="S3634" s="2" t="s">
        <v>20627</v>
      </c>
      <c r="T3634" s="2" t="s">
        <v>726</v>
      </c>
      <c r="U3634" s="2" t="s">
        <v>19242</v>
      </c>
      <c r="V3634" s="2" t="s">
        <v>20628</v>
      </c>
      <c r="W3634" s="1"/>
      <c r="X3634" s="2" t="s">
        <v>3903</v>
      </c>
      <c r="Y3634" s="2" t="s">
        <v>20350</v>
      </c>
      <c r="AA3634" t="str">
        <f t="shared" si="336"/>
        <v>2025-03</v>
      </c>
      <c r="AB3634" t="str">
        <f t="shared" si="337"/>
        <v>H1_2025</v>
      </c>
      <c r="AC3634">
        <f t="shared" si="338"/>
        <v>14460060.6</v>
      </c>
      <c r="AD3634">
        <f t="shared" si="339"/>
        <v>1700</v>
      </c>
      <c r="AE3634">
        <f t="shared" si="340"/>
        <v>2322060.6</v>
      </c>
      <c r="AF3634" t="str">
        <f t="shared" si="341"/>
        <v>Paid</v>
      </c>
    </row>
    <row r="3635" spans="1:32" ht="17.25" thickBot="1" x14ac:dyDescent="0.35">
      <c r="A3635" s="2" t="s">
        <v>20629</v>
      </c>
      <c r="B3635" s="2" t="s">
        <v>27</v>
      </c>
      <c r="C3635" s="2" t="s">
        <v>28</v>
      </c>
      <c r="D3635" s="2" t="s">
        <v>97</v>
      </c>
      <c r="E3635" s="2" t="s">
        <v>20340</v>
      </c>
      <c r="F3635" s="2" t="s">
        <v>31</v>
      </c>
      <c r="G3635" s="2" t="s">
        <v>32</v>
      </c>
      <c r="H3635" s="1"/>
      <c r="I3635" s="2" t="s">
        <v>33</v>
      </c>
      <c r="J3635" s="2" t="s">
        <v>34</v>
      </c>
      <c r="K3635" s="2" t="s">
        <v>3970</v>
      </c>
      <c r="L3635" s="2" t="s">
        <v>3971</v>
      </c>
      <c r="M3635" s="2" t="s">
        <v>701</v>
      </c>
      <c r="N3635" s="2" t="s">
        <v>38</v>
      </c>
      <c r="O3635" s="2" t="s">
        <v>11055</v>
      </c>
      <c r="P3635" s="2" t="s">
        <v>801</v>
      </c>
      <c r="Q3635" s="2" t="s">
        <v>20630</v>
      </c>
      <c r="R3635" s="2" t="s">
        <v>40</v>
      </c>
      <c r="S3635" s="2" t="s">
        <v>20631</v>
      </c>
      <c r="T3635" s="2" t="s">
        <v>759</v>
      </c>
      <c r="U3635" s="2" t="s">
        <v>20632</v>
      </c>
      <c r="V3635" s="2" t="s">
        <v>20633</v>
      </c>
      <c r="W3635" s="1"/>
      <c r="X3635" s="2" t="s">
        <v>709</v>
      </c>
      <c r="Y3635" s="2" t="s">
        <v>20350</v>
      </c>
      <c r="AA3635" t="str">
        <f t="shared" si="336"/>
        <v>2025-03</v>
      </c>
      <c r="AB3635" t="str">
        <f t="shared" si="337"/>
        <v>H1_2025</v>
      </c>
      <c r="AC3635">
        <f t="shared" si="338"/>
        <v>17099293.199999999</v>
      </c>
      <c r="AD3635">
        <f t="shared" si="339"/>
        <v>1900</v>
      </c>
      <c r="AE3635">
        <f t="shared" si="340"/>
        <v>2735293.2</v>
      </c>
      <c r="AF3635" t="str">
        <f t="shared" si="341"/>
        <v>Paid</v>
      </c>
    </row>
    <row r="3636" spans="1:32" ht="17.25" thickBot="1" x14ac:dyDescent="0.35">
      <c r="A3636" s="2" t="s">
        <v>20634</v>
      </c>
      <c r="B3636" s="2" t="s">
        <v>27</v>
      </c>
      <c r="C3636" s="2" t="s">
        <v>28</v>
      </c>
      <c r="D3636" s="2" t="s">
        <v>97</v>
      </c>
      <c r="E3636" s="2" t="s">
        <v>20340</v>
      </c>
      <c r="F3636" s="2" t="s">
        <v>31</v>
      </c>
      <c r="G3636" s="2" t="s">
        <v>32</v>
      </c>
      <c r="H3636" s="1"/>
      <c r="I3636" s="2" t="s">
        <v>33</v>
      </c>
      <c r="J3636" s="2" t="s">
        <v>34</v>
      </c>
      <c r="K3636" s="2" t="s">
        <v>754</v>
      </c>
      <c r="L3636" s="2" t="s">
        <v>755</v>
      </c>
      <c r="M3636" s="2" t="s">
        <v>701</v>
      </c>
      <c r="N3636" s="2" t="s">
        <v>38</v>
      </c>
      <c r="O3636" s="2" t="s">
        <v>167</v>
      </c>
      <c r="P3636" s="2" t="s">
        <v>801</v>
      </c>
      <c r="Q3636" s="2" t="s">
        <v>20635</v>
      </c>
      <c r="R3636" s="2" t="s">
        <v>40</v>
      </c>
      <c r="S3636" s="2" t="s">
        <v>20636</v>
      </c>
      <c r="T3636" s="2" t="s">
        <v>759</v>
      </c>
      <c r="U3636" s="2" t="s">
        <v>19274</v>
      </c>
      <c r="V3636" s="2" t="s">
        <v>20637</v>
      </c>
      <c r="W3636" s="1"/>
      <c r="X3636" s="2" t="s">
        <v>709</v>
      </c>
      <c r="Y3636" s="2" t="s">
        <v>20350</v>
      </c>
      <c r="AA3636" t="str">
        <f t="shared" si="336"/>
        <v>2025-03</v>
      </c>
      <c r="AB3636" t="str">
        <f t="shared" si="337"/>
        <v>H1_2025</v>
      </c>
      <c r="AC3636">
        <f t="shared" si="338"/>
        <v>7199702.4000000004</v>
      </c>
      <c r="AD3636">
        <f t="shared" si="339"/>
        <v>800</v>
      </c>
      <c r="AE3636">
        <f t="shared" si="340"/>
        <v>1151702.3999999999</v>
      </c>
      <c r="AF3636" t="str">
        <f t="shared" si="341"/>
        <v>Paid</v>
      </c>
    </row>
    <row r="3637" spans="1:32" ht="17.25" thickBot="1" x14ac:dyDescent="0.35">
      <c r="A3637" s="2" t="s">
        <v>20638</v>
      </c>
      <c r="B3637" s="2" t="s">
        <v>27</v>
      </c>
      <c r="C3637" s="2" t="s">
        <v>28</v>
      </c>
      <c r="D3637" s="2" t="s">
        <v>97</v>
      </c>
      <c r="E3637" s="2" t="s">
        <v>20340</v>
      </c>
      <c r="F3637" s="2" t="s">
        <v>31</v>
      </c>
      <c r="G3637" s="2" t="s">
        <v>32</v>
      </c>
      <c r="H3637" s="1"/>
      <c r="I3637" s="2" t="s">
        <v>33</v>
      </c>
      <c r="J3637" s="2" t="s">
        <v>34</v>
      </c>
      <c r="K3637" s="2" t="s">
        <v>3978</v>
      </c>
      <c r="L3637" s="2" t="s">
        <v>3979</v>
      </c>
      <c r="M3637" s="2" t="s">
        <v>701</v>
      </c>
      <c r="N3637" s="2" t="s">
        <v>38</v>
      </c>
      <c r="O3637" s="2" t="s">
        <v>1951</v>
      </c>
      <c r="P3637" s="2" t="s">
        <v>801</v>
      </c>
      <c r="Q3637" s="2" t="s">
        <v>20639</v>
      </c>
      <c r="R3637" s="2" t="s">
        <v>40</v>
      </c>
      <c r="S3637" s="2" t="s">
        <v>20640</v>
      </c>
      <c r="T3637" s="2" t="s">
        <v>759</v>
      </c>
      <c r="U3637" s="2" t="s">
        <v>8287</v>
      </c>
      <c r="V3637" s="2" t="s">
        <v>20641</v>
      </c>
      <c r="W3637" s="1"/>
      <c r="X3637" s="2" t="s">
        <v>709</v>
      </c>
      <c r="Y3637" s="2" t="s">
        <v>20350</v>
      </c>
      <c r="AA3637" t="str">
        <f t="shared" si="336"/>
        <v>2025-03</v>
      </c>
      <c r="AB3637" t="str">
        <f t="shared" si="337"/>
        <v>H1_2025</v>
      </c>
      <c r="AC3637">
        <f t="shared" si="338"/>
        <v>5399776.7999999998</v>
      </c>
      <c r="AD3637">
        <f t="shared" si="339"/>
        <v>600</v>
      </c>
      <c r="AE3637">
        <f t="shared" si="340"/>
        <v>863776.8</v>
      </c>
      <c r="AF3637" t="str">
        <f t="shared" si="341"/>
        <v>Paid</v>
      </c>
    </row>
    <row r="3638" spans="1:32" ht="17.25" thickBot="1" x14ac:dyDescent="0.35">
      <c r="A3638" s="2" t="s">
        <v>20642</v>
      </c>
      <c r="B3638" s="2" t="s">
        <v>27</v>
      </c>
      <c r="C3638" s="2" t="s">
        <v>28</v>
      </c>
      <c r="D3638" s="2" t="s">
        <v>97</v>
      </c>
      <c r="E3638" s="2" t="s">
        <v>20340</v>
      </c>
      <c r="F3638" s="2" t="s">
        <v>31</v>
      </c>
      <c r="G3638" s="2" t="s">
        <v>32</v>
      </c>
      <c r="H3638" s="1"/>
      <c r="I3638" s="2" t="s">
        <v>33</v>
      </c>
      <c r="J3638" s="2" t="s">
        <v>34</v>
      </c>
      <c r="K3638" s="2" t="s">
        <v>3986</v>
      </c>
      <c r="L3638" s="2" t="s">
        <v>3987</v>
      </c>
      <c r="M3638" s="2" t="s">
        <v>701</v>
      </c>
      <c r="N3638" s="2" t="s">
        <v>38</v>
      </c>
      <c r="O3638" s="2" t="s">
        <v>167</v>
      </c>
      <c r="P3638" s="2" t="s">
        <v>6336</v>
      </c>
      <c r="Q3638" s="2" t="s">
        <v>20643</v>
      </c>
      <c r="R3638" s="2" t="s">
        <v>40</v>
      </c>
      <c r="S3638" s="2" t="s">
        <v>20644</v>
      </c>
      <c r="T3638" s="2" t="s">
        <v>726</v>
      </c>
      <c r="U3638" s="2" t="s">
        <v>20645</v>
      </c>
      <c r="V3638" s="2" t="s">
        <v>20646</v>
      </c>
      <c r="W3638" s="1"/>
      <c r="X3638" s="2" t="s">
        <v>3903</v>
      </c>
      <c r="Y3638" s="2" t="s">
        <v>20350</v>
      </c>
      <c r="AA3638" t="str">
        <f t="shared" si="336"/>
        <v>2025-03</v>
      </c>
      <c r="AB3638" t="str">
        <f t="shared" si="337"/>
        <v>H1_2025</v>
      </c>
      <c r="AC3638">
        <f t="shared" si="338"/>
        <v>6804734.4000000004</v>
      </c>
      <c r="AD3638">
        <f t="shared" si="339"/>
        <v>800</v>
      </c>
      <c r="AE3638">
        <f t="shared" si="340"/>
        <v>1092734.3999999999</v>
      </c>
      <c r="AF3638" t="str">
        <f t="shared" si="341"/>
        <v>Paid</v>
      </c>
    </row>
    <row r="3639" spans="1:32" ht="17.25" thickBot="1" x14ac:dyDescent="0.35">
      <c r="A3639" s="2" t="s">
        <v>20647</v>
      </c>
      <c r="B3639" s="2" t="s">
        <v>27</v>
      </c>
      <c r="C3639" s="2" t="s">
        <v>28</v>
      </c>
      <c r="D3639" s="2" t="s">
        <v>97</v>
      </c>
      <c r="E3639" s="2" t="s">
        <v>20340</v>
      </c>
      <c r="F3639" s="2" t="s">
        <v>31</v>
      </c>
      <c r="G3639" s="2" t="s">
        <v>32</v>
      </c>
      <c r="H3639" s="1"/>
      <c r="I3639" s="2" t="s">
        <v>33</v>
      </c>
      <c r="J3639" s="2" t="s">
        <v>34</v>
      </c>
      <c r="K3639" s="2" t="s">
        <v>4606</v>
      </c>
      <c r="L3639" s="2" t="s">
        <v>4607</v>
      </c>
      <c r="M3639" s="2" t="s">
        <v>701</v>
      </c>
      <c r="N3639" s="2" t="s">
        <v>38</v>
      </c>
      <c r="O3639" s="2" t="s">
        <v>294</v>
      </c>
      <c r="P3639" s="2" t="s">
        <v>801</v>
      </c>
      <c r="Q3639" s="2" t="s">
        <v>20648</v>
      </c>
      <c r="R3639" s="2" t="s">
        <v>40</v>
      </c>
      <c r="S3639" s="2" t="s">
        <v>20649</v>
      </c>
      <c r="T3639" s="2" t="s">
        <v>759</v>
      </c>
      <c r="U3639" s="2" t="s">
        <v>20650</v>
      </c>
      <c r="V3639" s="2" t="s">
        <v>20651</v>
      </c>
      <c r="W3639" s="1"/>
      <c r="X3639" s="2" t="s">
        <v>709</v>
      </c>
      <c r="Y3639" s="2" t="s">
        <v>20350</v>
      </c>
      <c r="AA3639" t="str">
        <f t="shared" si="336"/>
        <v>2025-03</v>
      </c>
      <c r="AB3639" t="str">
        <f t="shared" si="337"/>
        <v>H1_2025</v>
      </c>
      <c r="AC3639">
        <f t="shared" si="338"/>
        <v>23399032.800000001</v>
      </c>
      <c r="AD3639">
        <f t="shared" si="339"/>
        <v>2600</v>
      </c>
      <c r="AE3639">
        <f t="shared" si="340"/>
        <v>3743032.8</v>
      </c>
      <c r="AF3639" t="str">
        <f t="shared" si="341"/>
        <v>Paid</v>
      </c>
    </row>
    <row r="3640" spans="1:32" ht="17.25" thickBot="1" x14ac:dyDescent="0.35">
      <c r="A3640" s="2" t="s">
        <v>20652</v>
      </c>
      <c r="B3640" s="2" t="s">
        <v>27</v>
      </c>
      <c r="C3640" s="2" t="s">
        <v>28</v>
      </c>
      <c r="D3640" s="2" t="s">
        <v>97</v>
      </c>
      <c r="E3640" s="2" t="s">
        <v>20340</v>
      </c>
      <c r="F3640" s="2" t="s">
        <v>31</v>
      </c>
      <c r="G3640" s="2" t="s">
        <v>32</v>
      </c>
      <c r="H3640" s="1"/>
      <c r="I3640" s="2" t="s">
        <v>33</v>
      </c>
      <c r="J3640" s="2" t="s">
        <v>34</v>
      </c>
      <c r="K3640" s="2" t="s">
        <v>1642</v>
      </c>
      <c r="L3640" s="2" t="s">
        <v>1643</v>
      </c>
      <c r="M3640" s="2" t="s">
        <v>701</v>
      </c>
      <c r="N3640" s="2" t="s">
        <v>38</v>
      </c>
      <c r="O3640" s="2" t="s">
        <v>20653</v>
      </c>
      <c r="P3640" s="2" t="s">
        <v>801</v>
      </c>
      <c r="Q3640" s="2" t="s">
        <v>20654</v>
      </c>
      <c r="R3640" s="2" t="s">
        <v>40</v>
      </c>
      <c r="S3640" s="2" t="s">
        <v>20655</v>
      </c>
      <c r="T3640" s="2" t="s">
        <v>759</v>
      </c>
      <c r="U3640" s="2" t="s">
        <v>20656</v>
      </c>
      <c r="V3640" s="2" t="s">
        <v>20657</v>
      </c>
      <c r="W3640" s="1"/>
      <c r="X3640" s="2" t="s">
        <v>709</v>
      </c>
      <c r="Y3640" s="2" t="s">
        <v>20350</v>
      </c>
      <c r="AA3640" t="str">
        <f t="shared" si="336"/>
        <v>2025-03</v>
      </c>
      <c r="AB3640" t="str">
        <f t="shared" si="337"/>
        <v>H1_2025</v>
      </c>
      <c r="AC3640">
        <f t="shared" si="338"/>
        <v>128694680.40000001</v>
      </c>
      <c r="AD3640">
        <f t="shared" si="339"/>
        <v>14300</v>
      </c>
      <c r="AE3640">
        <f t="shared" si="340"/>
        <v>20586680.399999999</v>
      </c>
      <c r="AF3640" t="str">
        <f t="shared" si="341"/>
        <v>Paid</v>
      </c>
    </row>
    <row r="3641" spans="1:32" ht="17.25" thickBot="1" x14ac:dyDescent="0.35">
      <c r="A3641" s="2" t="s">
        <v>20658</v>
      </c>
      <c r="B3641" s="2" t="s">
        <v>27</v>
      </c>
      <c r="C3641" s="2" t="s">
        <v>28</v>
      </c>
      <c r="D3641" s="2" t="s">
        <v>97</v>
      </c>
      <c r="E3641" s="2" t="s">
        <v>20340</v>
      </c>
      <c r="F3641" s="2" t="s">
        <v>31</v>
      </c>
      <c r="G3641" s="2" t="s">
        <v>32</v>
      </c>
      <c r="H3641" s="1"/>
      <c r="I3641" s="2" t="s">
        <v>33</v>
      </c>
      <c r="J3641" s="2" t="s">
        <v>34</v>
      </c>
      <c r="K3641" s="2" t="s">
        <v>6331</v>
      </c>
      <c r="L3641" s="2" t="s">
        <v>6332</v>
      </c>
      <c r="M3641" s="2" t="s">
        <v>701</v>
      </c>
      <c r="N3641" s="2" t="s">
        <v>38</v>
      </c>
      <c r="O3641" s="2" t="s">
        <v>2271</v>
      </c>
      <c r="P3641" s="2" t="s">
        <v>801</v>
      </c>
      <c r="Q3641" s="2" t="s">
        <v>20659</v>
      </c>
      <c r="R3641" s="2" t="s">
        <v>40</v>
      </c>
      <c r="S3641" s="2" t="s">
        <v>20660</v>
      </c>
      <c r="T3641" s="2" t="s">
        <v>759</v>
      </c>
      <c r="U3641" s="2" t="s">
        <v>20661</v>
      </c>
      <c r="V3641" s="2" t="s">
        <v>20662</v>
      </c>
      <c r="W3641" s="1"/>
      <c r="X3641" s="2" t="s">
        <v>709</v>
      </c>
      <c r="Y3641" s="2" t="s">
        <v>20350</v>
      </c>
      <c r="AA3641" t="str">
        <f t="shared" si="336"/>
        <v>2025-03</v>
      </c>
      <c r="AB3641" t="str">
        <f t="shared" si="337"/>
        <v>H1_2025</v>
      </c>
      <c r="AC3641">
        <f t="shared" si="338"/>
        <v>27898846.800000001</v>
      </c>
      <c r="AD3641">
        <f t="shared" si="339"/>
        <v>3100</v>
      </c>
      <c r="AE3641">
        <f t="shared" si="340"/>
        <v>4462846.8</v>
      </c>
      <c r="AF3641" t="str">
        <f t="shared" si="341"/>
        <v>Paid</v>
      </c>
    </row>
    <row r="3642" spans="1:32" ht="17.25" thickBot="1" x14ac:dyDescent="0.35">
      <c r="A3642" s="2" t="s">
        <v>20663</v>
      </c>
      <c r="B3642" s="2" t="s">
        <v>27</v>
      </c>
      <c r="C3642" s="2" t="s">
        <v>28</v>
      </c>
      <c r="D3642" s="2" t="s">
        <v>97</v>
      </c>
      <c r="E3642" s="2" t="s">
        <v>20340</v>
      </c>
      <c r="F3642" s="2" t="s">
        <v>31</v>
      </c>
      <c r="G3642" s="2" t="s">
        <v>32</v>
      </c>
      <c r="H3642" s="1"/>
      <c r="I3642" s="2" t="s">
        <v>33</v>
      </c>
      <c r="J3642" s="2" t="s">
        <v>34</v>
      </c>
      <c r="K3642" s="2" t="s">
        <v>20664</v>
      </c>
      <c r="L3642" s="2" t="s">
        <v>20665</v>
      </c>
      <c r="M3642" s="2" t="s">
        <v>20666</v>
      </c>
      <c r="N3642" s="2" t="s">
        <v>38</v>
      </c>
      <c r="O3642" s="2" t="s">
        <v>773</v>
      </c>
      <c r="P3642" s="2" t="s">
        <v>40</v>
      </c>
      <c r="Q3642" s="2" t="s">
        <v>40</v>
      </c>
      <c r="R3642" s="2" t="s">
        <v>40</v>
      </c>
      <c r="S3642" s="2" t="s">
        <v>40</v>
      </c>
      <c r="T3642" s="2" t="s">
        <v>40</v>
      </c>
      <c r="U3642" s="2" t="s">
        <v>40</v>
      </c>
      <c r="V3642" s="2" t="s">
        <v>40</v>
      </c>
      <c r="W3642" s="2" t="s">
        <v>41</v>
      </c>
      <c r="X3642" s="2" t="s">
        <v>42</v>
      </c>
      <c r="Y3642" s="2" t="s">
        <v>20350</v>
      </c>
      <c r="AA3642" t="str">
        <f t="shared" si="336"/>
        <v>2025-03</v>
      </c>
      <c r="AB3642" t="str">
        <f t="shared" si="337"/>
        <v>H1_2025</v>
      </c>
      <c r="AC3642">
        <f t="shared" si="338"/>
        <v>0</v>
      </c>
      <c r="AD3642">
        <f t="shared" si="339"/>
        <v>200</v>
      </c>
      <c r="AE3642">
        <f t="shared" si="340"/>
        <v>0</v>
      </c>
      <c r="AF3642" t="str">
        <f t="shared" si="341"/>
        <v>Sample</v>
      </c>
    </row>
    <row r="3643" spans="1:32" ht="17.25" thickBot="1" x14ac:dyDescent="0.35">
      <c r="A3643" s="2" t="s">
        <v>20667</v>
      </c>
      <c r="B3643" s="2" t="s">
        <v>27</v>
      </c>
      <c r="C3643" s="2" t="s">
        <v>28</v>
      </c>
      <c r="D3643" s="2" t="s">
        <v>97</v>
      </c>
      <c r="E3643" s="2" t="s">
        <v>20340</v>
      </c>
      <c r="F3643" s="2" t="s">
        <v>31</v>
      </c>
      <c r="G3643" s="2" t="s">
        <v>32</v>
      </c>
      <c r="H3643" s="1"/>
      <c r="I3643" s="2" t="s">
        <v>33</v>
      </c>
      <c r="J3643" s="2" t="s">
        <v>34</v>
      </c>
      <c r="K3643" s="2" t="s">
        <v>20668</v>
      </c>
      <c r="L3643" s="2" t="s">
        <v>20669</v>
      </c>
      <c r="M3643" s="2" t="s">
        <v>20666</v>
      </c>
      <c r="N3643" s="2" t="s">
        <v>38</v>
      </c>
      <c r="O3643" s="2" t="s">
        <v>773</v>
      </c>
      <c r="P3643" s="2" t="s">
        <v>40</v>
      </c>
      <c r="Q3643" s="2" t="s">
        <v>40</v>
      </c>
      <c r="R3643" s="2" t="s">
        <v>40</v>
      </c>
      <c r="S3643" s="2" t="s">
        <v>40</v>
      </c>
      <c r="T3643" s="2" t="s">
        <v>40</v>
      </c>
      <c r="U3643" s="2" t="s">
        <v>40</v>
      </c>
      <c r="V3643" s="2" t="s">
        <v>40</v>
      </c>
      <c r="W3643" s="2" t="s">
        <v>41</v>
      </c>
      <c r="X3643" s="2" t="s">
        <v>42</v>
      </c>
      <c r="Y3643" s="2" t="s">
        <v>20350</v>
      </c>
      <c r="AA3643" t="str">
        <f t="shared" si="336"/>
        <v>2025-03</v>
      </c>
      <c r="AB3643" t="str">
        <f t="shared" si="337"/>
        <v>H1_2025</v>
      </c>
      <c r="AC3643">
        <f t="shared" si="338"/>
        <v>0</v>
      </c>
      <c r="AD3643">
        <f t="shared" si="339"/>
        <v>200</v>
      </c>
      <c r="AE3643">
        <f t="shared" si="340"/>
        <v>0</v>
      </c>
      <c r="AF3643" t="str">
        <f t="shared" si="341"/>
        <v>Sample</v>
      </c>
    </row>
    <row r="3644" spans="1:32" ht="41.25" thickBot="1" x14ac:dyDescent="0.35">
      <c r="A3644" s="2" t="s">
        <v>20670</v>
      </c>
      <c r="B3644" s="2" t="s">
        <v>27</v>
      </c>
      <c r="C3644" s="2" t="s">
        <v>28</v>
      </c>
      <c r="D3644" s="2" t="s">
        <v>97</v>
      </c>
      <c r="E3644" s="2" t="s">
        <v>20340</v>
      </c>
      <c r="F3644" s="2" t="s">
        <v>31</v>
      </c>
      <c r="G3644" s="2" t="s">
        <v>32</v>
      </c>
      <c r="H3644" s="1"/>
      <c r="I3644" s="2" t="s">
        <v>33</v>
      </c>
      <c r="J3644" s="2" t="s">
        <v>34</v>
      </c>
      <c r="K3644" s="2" t="s">
        <v>20671</v>
      </c>
      <c r="L3644" s="2" t="s">
        <v>20672</v>
      </c>
      <c r="M3644" s="2" t="s">
        <v>17198</v>
      </c>
      <c r="N3644" s="2" t="s">
        <v>38</v>
      </c>
      <c r="O3644" s="2" t="s">
        <v>149</v>
      </c>
      <c r="P3644" s="2" t="s">
        <v>13256</v>
      </c>
      <c r="Q3644" s="2" t="s">
        <v>5877</v>
      </c>
      <c r="R3644" s="2" t="s">
        <v>40</v>
      </c>
      <c r="S3644" s="2" t="s">
        <v>20673</v>
      </c>
      <c r="T3644" s="2" t="s">
        <v>10290</v>
      </c>
      <c r="U3644" s="2" t="s">
        <v>20674</v>
      </c>
      <c r="V3644" s="2" t="s">
        <v>20675</v>
      </c>
      <c r="W3644" s="1"/>
      <c r="X3644" s="2" t="s">
        <v>1843</v>
      </c>
      <c r="Y3644" s="2" t="s">
        <v>20350</v>
      </c>
      <c r="AA3644" t="str">
        <f t="shared" si="336"/>
        <v>2025-03</v>
      </c>
      <c r="AB3644" t="str">
        <f t="shared" si="337"/>
        <v>H1_2025</v>
      </c>
      <c r="AC3644">
        <f t="shared" si="338"/>
        <v>1743501.6</v>
      </c>
      <c r="AD3644">
        <f t="shared" si="339"/>
        <v>300</v>
      </c>
      <c r="AE3644">
        <f t="shared" si="340"/>
        <v>249501.6</v>
      </c>
      <c r="AF3644" t="str">
        <f t="shared" si="341"/>
        <v>Paid</v>
      </c>
    </row>
    <row r="3645" spans="1:32" ht="27.75" thickBot="1" x14ac:dyDescent="0.35">
      <c r="A3645" s="2" t="s">
        <v>20676</v>
      </c>
      <c r="B3645" s="2" t="s">
        <v>27</v>
      </c>
      <c r="C3645" s="2" t="s">
        <v>28</v>
      </c>
      <c r="D3645" s="2" t="s">
        <v>97</v>
      </c>
      <c r="E3645" s="2" t="s">
        <v>20340</v>
      </c>
      <c r="F3645" s="2" t="s">
        <v>31</v>
      </c>
      <c r="G3645" s="2" t="s">
        <v>32</v>
      </c>
      <c r="H3645" s="1"/>
      <c r="I3645" s="2" t="s">
        <v>33</v>
      </c>
      <c r="J3645" s="2" t="s">
        <v>34</v>
      </c>
      <c r="K3645" s="2" t="s">
        <v>20677</v>
      </c>
      <c r="L3645" s="2" t="s">
        <v>20678</v>
      </c>
      <c r="M3645" s="2" t="s">
        <v>17198</v>
      </c>
      <c r="N3645" s="2" t="s">
        <v>38</v>
      </c>
      <c r="O3645" s="2" t="s">
        <v>877</v>
      </c>
      <c r="P3645" s="2" t="s">
        <v>15539</v>
      </c>
      <c r="Q3645" s="2" t="s">
        <v>16297</v>
      </c>
      <c r="R3645" s="2" t="s">
        <v>40</v>
      </c>
      <c r="S3645" s="2" t="s">
        <v>20679</v>
      </c>
      <c r="T3645" s="2" t="s">
        <v>20680</v>
      </c>
      <c r="U3645" s="2" t="s">
        <v>20681</v>
      </c>
      <c r="V3645" s="2" t="s">
        <v>20682</v>
      </c>
      <c r="W3645" s="1"/>
      <c r="X3645" s="2" t="s">
        <v>6362</v>
      </c>
      <c r="Y3645" s="2" t="s">
        <v>20350</v>
      </c>
      <c r="AA3645" t="str">
        <f t="shared" si="336"/>
        <v>2025-03</v>
      </c>
      <c r="AB3645" t="str">
        <f t="shared" si="337"/>
        <v>H1_2025</v>
      </c>
      <c r="AC3645">
        <f t="shared" si="338"/>
        <v>211590</v>
      </c>
      <c r="AD3645">
        <f t="shared" si="339"/>
        <v>100</v>
      </c>
      <c r="AE3645">
        <f t="shared" si="340"/>
        <v>39690</v>
      </c>
      <c r="AF3645" t="str">
        <f t="shared" si="341"/>
        <v>Paid</v>
      </c>
    </row>
    <row r="3646" spans="1:32" ht="17.25" thickBot="1" x14ac:dyDescent="0.35">
      <c r="A3646" s="2" t="s">
        <v>20683</v>
      </c>
      <c r="B3646" s="2" t="s">
        <v>27</v>
      </c>
      <c r="C3646" s="2" t="s">
        <v>28</v>
      </c>
      <c r="D3646" s="2" t="s">
        <v>97</v>
      </c>
      <c r="E3646" s="2" t="s">
        <v>20340</v>
      </c>
      <c r="F3646" s="2" t="s">
        <v>31</v>
      </c>
      <c r="G3646" s="2" t="s">
        <v>32</v>
      </c>
      <c r="H3646" s="1"/>
      <c r="I3646" s="2" t="s">
        <v>33</v>
      </c>
      <c r="J3646" s="2" t="s">
        <v>34</v>
      </c>
      <c r="K3646" s="2" t="s">
        <v>20684</v>
      </c>
      <c r="L3646" s="2" t="s">
        <v>20685</v>
      </c>
      <c r="M3646" s="2" t="s">
        <v>17198</v>
      </c>
      <c r="N3646" s="2" t="s">
        <v>38</v>
      </c>
      <c r="O3646" s="2" t="s">
        <v>15442</v>
      </c>
      <c r="P3646" s="2" t="s">
        <v>9341</v>
      </c>
      <c r="Q3646" s="2" t="s">
        <v>20686</v>
      </c>
      <c r="R3646" s="2" t="s">
        <v>40</v>
      </c>
      <c r="S3646" s="2" t="s">
        <v>20687</v>
      </c>
      <c r="T3646" s="2" t="s">
        <v>20688</v>
      </c>
      <c r="U3646" s="2" t="s">
        <v>20689</v>
      </c>
      <c r="V3646" s="2" t="s">
        <v>20690</v>
      </c>
      <c r="W3646" s="1"/>
      <c r="X3646" s="2" t="s">
        <v>9250</v>
      </c>
      <c r="Y3646" s="2" t="s">
        <v>20350</v>
      </c>
      <c r="AA3646" t="str">
        <f t="shared" si="336"/>
        <v>2025-03</v>
      </c>
      <c r="AB3646" t="str">
        <f t="shared" si="337"/>
        <v>H1_2025</v>
      </c>
      <c r="AC3646">
        <f t="shared" si="338"/>
        <v>744796.8</v>
      </c>
      <c r="AD3646">
        <f t="shared" si="339"/>
        <v>1600</v>
      </c>
      <c r="AE3646">
        <f t="shared" si="340"/>
        <v>133596.79999999999</v>
      </c>
      <c r="AF3646" t="str">
        <f t="shared" si="341"/>
        <v>Paid</v>
      </c>
    </row>
    <row r="3647" spans="1:32" ht="17.25" thickBot="1" x14ac:dyDescent="0.35">
      <c r="A3647" s="2" t="s">
        <v>20691</v>
      </c>
      <c r="B3647" s="2" t="s">
        <v>27</v>
      </c>
      <c r="C3647" s="2" t="s">
        <v>28</v>
      </c>
      <c r="D3647" s="2" t="s">
        <v>97</v>
      </c>
      <c r="E3647" s="2" t="s">
        <v>20340</v>
      </c>
      <c r="F3647" s="2" t="s">
        <v>31</v>
      </c>
      <c r="G3647" s="2" t="s">
        <v>32</v>
      </c>
      <c r="H3647" s="1"/>
      <c r="I3647" s="2" t="s">
        <v>33</v>
      </c>
      <c r="J3647" s="2" t="s">
        <v>34</v>
      </c>
      <c r="K3647" s="2" t="s">
        <v>20692</v>
      </c>
      <c r="L3647" s="2" t="s">
        <v>20693</v>
      </c>
      <c r="M3647" s="2" t="s">
        <v>17198</v>
      </c>
      <c r="N3647" s="2" t="s">
        <v>38</v>
      </c>
      <c r="O3647" s="2" t="s">
        <v>177</v>
      </c>
      <c r="P3647" s="2" t="s">
        <v>9341</v>
      </c>
      <c r="Q3647" s="2" t="s">
        <v>16780</v>
      </c>
      <c r="R3647" s="2" t="s">
        <v>40</v>
      </c>
      <c r="S3647" s="2" t="s">
        <v>20694</v>
      </c>
      <c r="T3647" s="2" t="s">
        <v>20688</v>
      </c>
      <c r="U3647" s="2" t="s">
        <v>20695</v>
      </c>
      <c r="V3647" s="2" t="s">
        <v>20696</v>
      </c>
      <c r="W3647" s="1"/>
      <c r="X3647" s="2" t="s">
        <v>9250</v>
      </c>
      <c r="Y3647" s="2" t="s">
        <v>20350</v>
      </c>
      <c r="AA3647" t="str">
        <f t="shared" si="336"/>
        <v>2025-03</v>
      </c>
      <c r="AB3647" t="str">
        <f t="shared" si="337"/>
        <v>H1_2025</v>
      </c>
      <c r="AC3647">
        <f t="shared" si="338"/>
        <v>186199.2</v>
      </c>
      <c r="AD3647">
        <f t="shared" si="339"/>
        <v>400</v>
      </c>
      <c r="AE3647">
        <f t="shared" si="340"/>
        <v>33399.199999999997</v>
      </c>
      <c r="AF3647" t="str">
        <f t="shared" si="341"/>
        <v>Paid</v>
      </c>
    </row>
    <row r="3648" spans="1:32" ht="17.25" thickBot="1" x14ac:dyDescent="0.35">
      <c r="A3648" s="2" t="s">
        <v>20697</v>
      </c>
      <c r="B3648" s="2" t="s">
        <v>27</v>
      </c>
      <c r="C3648" s="2" t="s">
        <v>28</v>
      </c>
      <c r="D3648" s="2" t="s">
        <v>97</v>
      </c>
      <c r="E3648" s="2" t="s">
        <v>20340</v>
      </c>
      <c r="F3648" s="2" t="s">
        <v>31</v>
      </c>
      <c r="G3648" s="2" t="s">
        <v>32</v>
      </c>
      <c r="H3648" s="1"/>
      <c r="I3648" s="2" t="s">
        <v>33</v>
      </c>
      <c r="J3648" s="2" t="s">
        <v>34</v>
      </c>
      <c r="K3648" s="2" t="s">
        <v>20698</v>
      </c>
      <c r="L3648" s="2" t="s">
        <v>20699</v>
      </c>
      <c r="M3648" s="2" t="s">
        <v>17198</v>
      </c>
      <c r="N3648" s="2" t="s">
        <v>38</v>
      </c>
      <c r="O3648" s="2" t="s">
        <v>177</v>
      </c>
      <c r="P3648" s="2" t="s">
        <v>9341</v>
      </c>
      <c r="Q3648" s="2" t="s">
        <v>16780</v>
      </c>
      <c r="R3648" s="2" t="s">
        <v>40</v>
      </c>
      <c r="S3648" s="2" t="s">
        <v>20694</v>
      </c>
      <c r="T3648" s="2" t="s">
        <v>20688</v>
      </c>
      <c r="U3648" s="2" t="s">
        <v>20695</v>
      </c>
      <c r="V3648" s="2" t="s">
        <v>20696</v>
      </c>
      <c r="W3648" s="1"/>
      <c r="X3648" s="2" t="s">
        <v>9250</v>
      </c>
      <c r="Y3648" s="2" t="s">
        <v>20350</v>
      </c>
      <c r="AA3648" t="str">
        <f t="shared" si="336"/>
        <v>2025-03</v>
      </c>
      <c r="AB3648" t="str">
        <f t="shared" si="337"/>
        <v>H1_2025</v>
      </c>
      <c r="AC3648">
        <f t="shared" si="338"/>
        <v>186199.2</v>
      </c>
      <c r="AD3648">
        <f t="shared" si="339"/>
        <v>400</v>
      </c>
      <c r="AE3648">
        <f t="shared" si="340"/>
        <v>33399.199999999997</v>
      </c>
      <c r="AF3648" t="str">
        <f t="shared" si="341"/>
        <v>Paid</v>
      </c>
    </row>
    <row r="3649" spans="1:32" ht="17.25" thickBot="1" x14ac:dyDescent="0.35">
      <c r="A3649" s="2" t="s">
        <v>20700</v>
      </c>
      <c r="B3649" s="2" t="s">
        <v>27</v>
      </c>
      <c r="C3649" s="2" t="s">
        <v>28</v>
      </c>
      <c r="D3649" s="2" t="s">
        <v>97</v>
      </c>
      <c r="E3649" s="2" t="s">
        <v>20340</v>
      </c>
      <c r="F3649" s="2" t="s">
        <v>31</v>
      </c>
      <c r="G3649" s="2" t="s">
        <v>32</v>
      </c>
      <c r="H3649" s="1"/>
      <c r="I3649" s="2" t="s">
        <v>33</v>
      </c>
      <c r="J3649" s="2" t="s">
        <v>34</v>
      </c>
      <c r="K3649" s="2" t="s">
        <v>20701</v>
      </c>
      <c r="L3649" s="2" t="s">
        <v>20702</v>
      </c>
      <c r="M3649" s="2" t="s">
        <v>17198</v>
      </c>
      <c r="N3649" s="2" t="s">
        <v>38</v>
      </c>
      <c r="O3649" s="2" t="s">
        <v>177</v>
      </c>
      <c r="P3649" s="2" t="s">
        <v>9341</v>
      </c>
      <c r="Q3649" s="2" t="s">
        <v>16780</v>
      </c>
      <c r="R3649" s="2" t="s">
        <v>40</v>
      </c>
      <c r="S3649" s="2" t="s">
        <v>20694</v>
      </c>
      <c r="T3649" s="2" t="s">
        <v>20688</v>
      </c>
      <c r="U3649" s="2" t="s">
        <v>20695</v>
      </c>
      <c r="V3649" s="2" t="s">
        <v>20696</v>
      </c>
      <c r="W3649" s="1"/>
      <c r="X3649" s="2" t="s">
        <v>9250</v>
      </c>
      <c r="Y3649" s="2" t="s">
        <v>20350</v>
      </c>
      <c r="AA3649" t="str">
        <f t="shared" si="336"/>
        <v>2025-03</v>
      </c>
      <c r="AB3649" t="str">
        <f t="shared" si="337"/>
        <v>H1_2025</v>
      </c>
      <c r="AC3649">
        <f t="shared" si="338"/>
        <v>186199.2</v>
      </c>
      <c r="AD3649">
        <f t="shared" si="339"/>
        <v>400</v>
      </c>
      <c r="AE3649">
        <f t="shared" si="340"/>
        <v>33399.199999999997</v>
      </c>
      <c r="AF3649" t="str">
        <f t="shared" si="341"/>
        <v>Paid</v>
      </c>
    </row>
    <row r="3650" spans="1:32" ht="17.25" thickBot="1" x14ac:dyDescent="0.35">
      <c r="A3650" s="2" t="s">
        <v>20703</v>
      </c>
      <c r="B3650" s="2" t="s">
        <v>27</v>
      </c>
      <c r="C3650" s="2" t="s">
        <v>28</v>
      </c>
      <c r="D3650" s="2" t="s">
        <v>97</v>
      </c>
      <c r="E3650" s="2" t="s">
        <v>20340</v>
      </c>
      <c r="F3650" s="2" t="s">
        <v>31</v>
      </c>
      <c r="G3650" s="2" t="s">
        <v>32</v>
      </c>
      <c r="H3650" s="1"/>
      <c r="I3650" s="2" t="s">
        <v>33</v>
      </c>
      <c r="J3650" s="2" t="s">
        <v>34</v>
      </c>
      <c r="K3650" s="2" t="s">
        <v>20704</v>
      </c>
      <c r="L3650" s="2" t="s">
        <v>20705</v>
      </c>
      <c r="M3650" s="2" t="s">
        <v>17198</v>
      </c>
      <c r="N3650" s="2" t="s">
        <v>38</v>
      </c>
      <c r="O3650" s="2" t="s">
        <v>773</v>
      </c>
      <c r="P3650" s="2" t="s">
        <v>9341</v>
      </c>
      <c r="Q3650" s="2" t="s">
        <v>17758</v>
      </c>
      <c r="R3650" s="2" t="s">
        <v>40</v>
      </c>
      <c r="S3650" s="2" t="s">
        <v>20706</v>
      </c>
      <c r="T3650" s="2" t="s">
        <v>20688</v>
      </c>
      <c r="U3650" s="2" t="s">
        <v>20707</v>
      </c>
      <c r="V3650" s="2" t="s">
        <v>20708</v>
      </c>
      <c r="W3650" s="1"/>
      <c r="X3650" s="2" t="s">
        <v>9250</v>
      </c>
      <c r="Y3650" s="2" t="s">
        <v>20350</v>
      </c>
      <c r="AA3650" t="str">
        <f t="shared" si="336"/>
        <v>2025-03</v>
      </c>
      <c r="AB3650" t="str">
        <f t="shared" si="337"/>
        <v>H1_2025</v>
      </c>
      <c r="AC3650">
        <f t="shared" si="338"/>
        <v>93099.6</v>
      </c>
      <c r="AD3650">
        <f t="shared" si="339"/>
        <v>200</v>
      </c>
      <c r="AE3650">
        <f t="shared" si="340"/>
        <v>16699.599999999999</v>
      </c>
      <c r="AF3650" t="str">
        <f t="shared" si="341"/>
        <v>Paid</v>
      </c>
    </row>
    <row r="3651" spans="1:32" ht="17.25" thickBot="1" x14ac:dyDescent="0.35">
      <c r="A3651" s="2" t="s">
        <v>20709</v>
      </c>
      <c r="B3651" s="2" t="s">
        <v>27</v>
      </c>
      <c r="C3651" s="2" t="s">
        <v>28</v>
      </c>
      <c r="D3651" s="2" t="s">
        <v>97</v>
      </c>
      <c r="E3651" s="2" t="s">
        <v>20340</v>
      </c>
      <c r="F3651" s="2" t="s">
        <v>31</v>
      </c>
      <c r="G3651" s="2" t="s">
        <v>32</v>
      </c>
      <c r="H3651" s="1"/>
      <c r="I3651" s="2" t="s">
        <v>33</v>
      </c>
      <c r="J3651" s="2" t="s">
        <v>34</v>
      </c>
      <c r="K3651" s="2" t="s">
        <v>20710</v>
      </c>
      <c r="L3651" s="2" t="s">
        <v>20711</v>
      </c>
      <c r="M3651" s="2" t="s">
        <v>17198</v>
      </c>
      <c r="N3651" s="2" t="s">
        <v>38</v>
      </c>
      <c r="O3651" s="2" t="s">
        <v>149</v>
      </c>
      <c r="P3651" s="2" t="s">
        <v>9341</v>
      </c>
      <c r="Q3651" s="2" t="s">
        <v>9524</v>
      </c>
      <c r="R3651" s="2" t="s">
        <v>40</v>
      </c>
      <c r="S3651" s="2" t="s">
        <v>20712</v>
      </c>
      <c r="T3651" s="2" t="s">
        <v>20688</v>
      </c>
      <c r="U3651" s="2" t="s">
        <v>20713</v>
      </c>
      <c r="V3651" s="2" t="s">
        <v>20714</v>
      </c>
      <c r="W3651" s="1"/>
      <c r="X3651" s="2" t="s">
        <v>9250</v>
      </c>
      <c r="Y3651" s="2" t="s">
        <v>20350</v>
      </c>
      <c r="AA3651" t="str">
        <f t="shared" si="336"/>
        <v>2025-03</v>
      </c>
      <c r="AB3651" t="str">
        <f t="shared" si="337"/>
        <v>H1_2025</v>
      </c>
      <c r="AC3651">
        <f t="shared" si="338"/>
        <v>139649.4</v>
      </c>
      <c r="AD3651">
        <f t="shared" si="339"/>
        <v>300</v>
      </c>
      <c r="AE3651">
        <f t="shared" si="340"/>
        <v>25049.4</v>
      </c>
      <c r="AF3651" t="str">
        <f t="shared" si="341"/>
        <v>Paid</v>
      </c>
    </row>
    <row r="3652" spans="1:32" ht="17.25" thickBot="1" x14ac:dyDescent="0.35">
      <c r="A3652" s="2" t="s">
        <v>20715</v>
      </c>
      <c r="B3652" s="2" t="s">
        <v>27</v>
      </c>
      <c r="C3652" s="2" t="s">
        <v>28</v>
      </c>
      <c r="D3652" s="2" t="s">
        <v>97</v>
      </c>
      <c r="E3652" s="2" t="s">
        <v>20340</v>
      </c>
      <c r="F3652" s="2" t="s">
        <v>31</v>
      </c>
      <c r="G3652" s="2" t="s">
        <v>32</v>
      </c>
      <c r="H3652" s="1"/>
      <c r="I3652" s="2" t="s">
        <v>33</v>
      </c>
      <c r="J3652" s="2" t="s">
        <v>34</v>
      </c>
      <c r="K3652" s="2" t="s">
        <v>20716</v>
      </c>
      <c r="L3652" s="2" t="s">
        <v>20717</v>
      </c>
      <c r="M3652" s="2" t="s">
        <v>17198</v>
      </c>
      <c r="N3652" s="2" t="s">
        <v>38</v>
      </c>
      <c r="O3652" s="2" t="s">
        <v>177</v>
      </c>
      <c r="P3652" s="2" t="s">
        <v>9341</v>
      </c>
      <c r="Q3652" s="2" t="s">
        <v>16780</v>
      </c>
      <c r="R3652" s="2" t="s">
        <v>40</v>
      </c>
      <c r="S3652" s="2" t="s">
        <v>20694</v>
      </c>
      <c r="T3652" s="2" t="s">
        <v>20688</v>
      </c>
      <c r="U3652" s="2" t="s">
        <v>20695</v>
      </c>
      <c r="V3652" s="2" t="s">
        <v>20696</v>
      </c>
      <c r="W3652" s="1"/>
      <c r="X3652" s="2" t="s">
        <v>9250</v>
      </c>
      <c r="Y3652" s="2" t="s">
        <v>20350</v>
      </c>
      <c r="AA3652" t="str">
        <f t="shared" ref="AA3652:AA3715" si="342">LEFT(E3652,7)</f>
        <v>2025-03</v>
      </c>
      <c r="AB3652" t="str">
        <f t="shared" ref="AB3652:AB3715" si="343">IF(AND($AA3652&gt;="2025-01",$AA3652&lt;="2025-06"),"H1_2025",IF(AND($AA3652&gt;="2026-01",$AA3652&lt;="2026-06"),"H1_2026",""))</f>
        <v>H1_2025</v>
      </c>
      <c r="AC3652">
        <f t="shared" ref="AC3652:AC3715" si="344">IFERROR(VALUE(SUBSTITUTE(S3652,",","")),0)</f>
        <v>186199.2</v>
      </c>
      <c r="AD3652">
        <f t="shared" ref="AD3652:AD3715" si="345">IFERROR(VALUE(SUBSTITUTE(O3652,",","")),0)</f>
        <v>400</v>
      </c>
      <c r="AE3652">
        <f t="shared" ref="AE3652:AE3715" si="346">IFERROR(VALUE(SUBSTITUTE(V3652,",","")),0)</f>
        <v>33399.199999999997</v>
      </c>
      <c r="AF3652" t="str">
        <f t="shared" ref="AF3652:AF3715" si="347">IF(ISNUMBER(SEARCH("FOC",W3652)),"FOC",IF(ISNUMBER(SEARCH("샘플",W3652)),"Sample","Paid"))</f>
        <v>Paid</v>
      </c>
    </row>
    <row r="3653" spans="1:32" ht="17.25" thickBot="1" x14ac:dyDescent="0.35">
      <c r="A3653" s="2" t="s">
        <v>20718</v>
      </c>
      <c r="B3653" s="2" t="s">
        <v>27</v>
      </c>
      <c r="C3653" s="2" t="s">
        <v>28</v>
      </c>
      <c r="D3653" s="2" t="s">
        <v>97</v>
      </c>
      <c r="E3653" s="2" t="s">
        <v>20340</v>
      </c>
      <c r="F3653" s="2" t="s">
        <v>31</v>
      </c>
      <c r="G3653" s="2" t="s">
        <v>32</v>
      </c>
      <c r="H3653" s="1"/>
      <c r="I3653" s="2" t="s">
        <v>33</v>
      </c>
      <c r="J3653" s="2" t="s">
        <v>34</v>
      </c>
      <c r="K3653" s="2" t="s">
        <v>20719</v>
      </c>
      <c r="L3653" s="2" t="s">
        <v>20720</v>
      </c>
      <c r="M3653" s="2" t="s">
        <v>17198</v>
      </c>
      <c r="N3653" s="2" t="s">
        <v>38</v>
      </c>
      <c r="O3653" s="2" t="s">
        <v>3068</v>
      </c>
      <c r="P3653" s="2" t="s">
        <v>9341</v>
      </c>
      <c r="Q3653" s="2" t="s">
        <v>3664</v>
      </c>
      <c r="R3653" s="2" t="s">
        <v>40</v>
      </c>
      <c r="S3653" s="2" t="s">
        <v>20721</v>
      </c>
      <c r="T3653" s="2" t="s">
        <v>20688</v>
      </c>
      <c r="U3653" s="2" t="s">
        <v>20722</v>
      </c>
      <c r="V3653" s="2" t="s">
        <v>20723</v>
      </c>
      <c r="W3653" s="1"/>
      <c r="X3653" s="2" t="s">
        <v>9250</v>
      </c>
      <c r="Y3653" s="2" t="s">
        <v>20350</v>
      </c>
      <c r="AA3653" t="str">
        <f t="shared" si="342"/>
        <v>2025-03</v>
      </c>
      <c r="AB3653" t="str">
        <f t="shared" si="343"/>
        <v>H1_2025</v>
      </c>
      <c r="AC3653">
        <f t="shared" si="344"/>
        <v>325848.59999999998</v>
      </c>
      <c r="AD3653">
        <f t="shared" si="345"/>
        <v>700</v>
      </c>
      <c r="AE3653">
        <f t="shared" si="346"/>
        <v>58448.6</v>
      </c>
      <c r="AF3653" t="str">
        <f t="shared" si="347"/>
        <v>Paid</v>
      </c>
    </row>
    <row r="3654" spans="1:32" ht="17.25" thickBot="1" x14ac:dyDescent="0.35">
      <c r="A3654" s="2" t="s">
        <v>20724</v>
      </c>
      <c r="B3654" s="2" t="s">
        <v>27</v>
      </c>
      <c r="C3654" s="2" t="s">
        <v>28</v>
      </c>
      <c r="D3654" s="2" t="s">
        <v>97</v>
      </c>
      <c r="E3654" s="2" t="s">
        <v>20340</v>
      </c>
      <c r="F3654" s="2" t="s">
        <v>31</v>
      </c>
      <c r="G3654" s="2" t="s">
        <v>32</v>
      </c>
      <c r="H3654" s="1"/>
      <c r="I3654" s="2" t="s">
        <v>33</v>
      </c>
      <c r="J3654" s="2" t="s">
        <v>34</v>
      </c>
      <c r="K3654" s="2" t="s">
        <v>20725</v>
      </c>
      <c r="L3654" s="2" t="s">
        <v>20726</v>
      </c>
      <c r="M3654" s="2" t="s">
        <v>17198</v>
      </c>
      <c r="N3654" s="2" t="s">
        <v>38</v>
      </c>
      <c r="O3654" s="2" t="s">
        <v>149</v>
      </c>
      <c r="P3654" s="2" t="s">
        <v>9341</v>
      </c>
      <c r="Q3654" s="2" t="s">
        <v>9524</v>
      </c>
      <c r="R3654" s="2" t="s">
        <v>40</v>
      </c>
      <c r="S3654" s="2" t="s">
        <v>20712</v>
      </c>
      <c r="T3654" s="2" t="s">
        <v>20688</v>
      </c>
      <c r="U3654" s="2" t="s">
        <v>20713</v>
      </c>
      <c r="V3654" s="2" t="s">
        <v>20714</v>
      </c>
      <c r="W3654" s="1"/>
      <c r="X3654" s="2" t="s">
        <v>9250</v>
      </c>
      <c r="Y3654" s="2" t="s">
        <v>20350</v>
      </c>
      <c r="AA3654" t="str">
        <f t="shared" si="342"/>
        <v>2025-03</v>
      </c>
      <c r="AB3654" t="str">
        <f t="shared" si="343"/>
        <v>H1_2025</v>
      </c>
      <c r="AC3654">
        <f t="shared" si="344"/>
        <v>139649.4</v>
      </c>
      <c r="AD3654">
        <f t="shared" si="345"/>
        <v>300</v>
      </c>
      <c r="AE3654">
        <f t="shared" si="346"/>
        <v>25049.4</v>
      </c>
      <c r="AF3654" t="str">
        <f t="shared" si="347"/>
        <v>Paid</v>
      </c>
    </row>
    <row r="3655" spans="1:32" ht="17.25" thickBot="1" x14ac:dyDescent="0.35">
      <c r="A3655" s="2" t="s">
        <v>20727</v>
      </c>
      <c r="B3655" s="2" t="s">
        <v>27</v>
      </c>
      <c r="C3655" s="2" t="s">
        <v>28</v>
      </c>
      <c r="D3655" s="2" t="s">
        <v>97</v>
      </c>
      <c r="E3655" s="2" t="s">
        <v>20340</v>
      </c>
      <c r="F3655" s="2" t="s">
        <v>31</v>
      </c>
      <c r="G3655" s="2" t="s">
        <v>32</v>
      </c>
      <c r="H3655" s="1"/>
      <c r="I3655" s="2" t="s">
        <v>33</v>
      </c>
      <c r="J3655" s="2" t="s">
        <v>34</v>
      </c>
      <c r="K3655" s="2" t="s">
        <v>20728</v>
      </c>
      <c r="L3655" s="2" t="s">
        <v>20729</v>
      </c>
      <c r="M3655" s="2" t="s">
        <v>17198</v>
      </c>
      <c r="N3655" s="2" t="s">
        <v>38</v>
      </c>
      <c r="O3655" s="2" t="s">
        <v>206</v>
      </c>
      <c r="P3655" s="2" t="s">
        <v>9341</v>
      </c>
      <c r="Q3655" s="2" t="s">
        <v>18549</v>
      </c>
      <c r="R3655" s="2" t="s">
        <v>40</v>
      </c>
      <c r="S3655" s="2" t="s">
        <v>20730</v>
      </c>
      <c r="T3655" s="2" t="s">
        <v>20688</v>
      </c>
      <c r="U3655" s="2" t="s">
        <v>17613</v>
      </c>
      <c r="V3655" s="2" t="s">
        <v>20731</v>
      </c>
      <c r="W3655" s="1"/>
      <c r="X3655" s="2" t="s">
        <v>9250</v>
      </c>
      <c r="Y3655" s="2" t="s">
        <v>20350</v>
      </c>
      <c r="AA3655" t="str">
        <f t="shared" si="342"/>
        <v>2025-03</v>
      </c>
      <c r="AB3655" t="str">
        <f t="shared" si="343"/>
        <v>H1_2025</v>
      </c>
      <c r="AC3655">
        <f t="shared" si="344"/>
        <v>232749</v>
      </c>
      <c r="AD3655">
        <f t="shared" si="345"/>
        <v>500</v>
      </c>
      <c r="AE3655">
        <f t="shared" si="346"/>
        <v>41749</v>
      </c>
      <c r="AF3655" t="str">
        <f t="shared" si="347"/>
        <v>Paid</v>
      </c>
    </row>
    <row r="3656" spans="1:32" ht="27.75" thickBot="1" x14ac:dyDescent="0.35">
      <c r="A3656" s="2" t="s">
        <v>20732</v>
      </c>
      <c r="B3656" s="2" t="s">
        <v>27</v>
      </c>
      <c r="C3656" s="2" t="s">
        <v>28</v>
      </c>
      <c r="D3656" s="2" t="s">
        <v>97</v>
      </c>
      <c r="E3656" s="2" t="s">
        <v>20340</v>
      </c>
      <c r="F3656" s="2" t="s">
        <v>31</v>
      </c>
      <c r="G3656" s="2" t="s">
        <v>32</v>
      </c>
      <c r="H3656" s="1"/>
      <c r="I3656" s="2" t="s">
        <v>33</v>
      </c>
      <c r="J3656" s="2" t="s">
        <v>34</v>
      </c>
      <c r="K3656" s="2" t="s">
        <v>20291</v>
      </c>
      <c r="L3656" s="2" t="s">
        <v>20292</v>
      </c>
      <c r="M3656" s="2" t="s">
        <v>17198</v>
      </c>
      <c r="N3656" s="2" t="s">
        <v>38</v>
      </c>
      <c r="O3656" s="2" t="s">
        <v>2386</v>
      </c>
      <c r="P3656" s="2" t="s">
        <v>20293</v>
      </c>
      <c r="Q3656" s="2" t="s">
        <v>20733</v>
      </c>
      <c r="R3656" s="2" t="s">
        <v>40</v>
      </c>
      <c r="S3656" s="2" t="s">
        <v>20734</v>
      </c>
      <c r="T3656" s="2" t="s">
        <v>20296</v>
      </c>
      <c r="U3656" s="2" t="s">
        <v>20735</v>
      </c>
      <c r="V3656" s="2" t="s">
        <v>20736</v>
      </c>
      <c r="W3656" s="1"/>
      <c r="X3656" s="2" t="s">
        <v>18231</v>
      </c>
      <c r="Y3656" s="2" t="s">
        <v>20350</v>
      </c>
      <c r="AA3656" t="str">
        <f t="shared" si="342"/>
        <v>2025-03</v>
      </c>
      <c r="AB3656" t="str">
        <f t="shared" si="343"/>
        <v>H1_2025</v>
      </c>
      <c r="AC3656">
        <f t="shared" si="344"/>
        <v>5976345.4400000004</v>
      </c>
      <c r="AD3656">
        <f t="shared" si="345"/>
        <v>289</v>
      </c>
      <c r="AE3656">
        <f t="shared" si="346"/>
        <v>1699145.44</v>
      </c>
      <c r="AF3656" t="str">
        <f t="shared" si="347"/>
        <v>Paid</v>
      </c>
    </row>
    <row r="3657" spans="1:32" ht="17.25" thickBot="1" x14ac:dyDescent="0.35">
      <c r="A3657" s="2" t="s">
        <v>20737</v>
      </c>
      <c r="B3657" s="2" t="s">
        <v>27</v>
      </c>
      <c r="C3657" s="2" t="s">
        <v>28</v>
      </c>
      <c r="D3657" s="2" t="s">
        <v>97</v>
      </c>
      <c r="E3657" s="2" t="s">
        <v>20340</v>
      </c>
      <c r="F3657" s="2" t="s">
        <v>31</v>
      </c>
      <c r="G3657" s="2" t="s">
        <v>32</v>
      </c>
      <c r="H3657" s="1"/>
      <c r="I3657" s="2" t="s">
        <v>33</v>
      </c>
      <c r="J3657" s="2" t="s">
        <v>34</v>
      </c>
      <c r="K3657" s="2" t="s">
        <v>20300</v>
      </c>
      <c r="L3657" s="2" t="s">
        <v>20301</v>
      </c>
      <c r="M3657" s="2" t="s">
        <v>7510</v>
      </c>
      <c r="N3657" s="2" t="s">
        <v>38</v>
      </c>
      <c r="O3657" s="2" t="s">
        <v>177</v>
      </c>
      <c r="P3657" s="2" t="s">
        <v>40</v>
      </c>
      <c r="Q3657" s="2" t="s">
        <v>40</v>
      </c>
      <c r="R3657" s="2" t="s">
        <v>40</v>
      </c>
      <c r="S3657" s="2" t="s">
        <v>40</v>
      </c>
      <c r="T3657" s="2" t="s">
        <v>40</v>
      </c>
      <c r="U3657" s="2" t="s">
        <v>40</v>
      </c>
      <c r="V3657" s="2" t="s">
        <v>40</v>
      </c>
      <c r="W3657" s="2" t="s">
        <v>41</v>
      </c>
      <c r="X3657" s="2" t="s">
        <v>42</v>
      </c>
      <c r="Y3657" s="2" t="s">
        <v>20350</v>
      </c>
      <c r="AA3657" t="str">
        <f t="shared" si="342"/>
        <v>2025-03</v>
      </c>
      <c r="AB3657" t="str">
        <f t="shared" si="343"/>
        <v>H1_2025</v>
      </c>
      <c r="AC3657">
        <f t="shared" si="344"/>
        <v>0</v>
      </c>
      <c r="AD3657">
        <f t="shared" si="345"/>
        <v>400</v>
      </c>
      <c r="AE3657">
        <f t="shared" si="346"/>
        <v>0</v>
      </c>
      <c r="AF3657" t="str">
        <f t="shared" si="347"/>
        <v>Sample</v>
      </c>
    </row>
    <row r="3658" spans="1:32" ht="17.25" thickBot="1" x14ac:dyDescent="0.35">
      <c r="A3658" s="2" t="s">
        <v>20738</v>
      </c>
      <c r="B3658" s="2" t="s">
        <v>27</v>
      </c>
      <c r="C3658" s="2" t="s">
        <v>28</v>
      </c>
      <c r="D3658" s="2" t="s">
        <v>97</v>
      </c>
      <c r="E3658" s="2" t="s">
        <v>20340</v>
      </c>
      <c r="F3658" s="2" t="s">
        <v>31</v>
      </c>
      <c r="G3658" s="2" t="s">
        <v>32</v>
      </c>
      <c r="H3658" s="1"/>
      <c r="I3658" s="2" t="s">
        <v>33</v>
      </c>
      <c r="J3658" s="2" t="s">
        <v>34</v>
      </c>
      <c r="K3658" s="2" t="s">
        <v>20739</v>
      </c>
      <c r="L3658" s="2" t="s">
        <v>20740</v>
      </c>
      <c r="M3658" s="2" t="s">
        <v>7510</v>
      </c>
      <c r="N3658" s="2" t="s">
        <v>38</v>
      </c>
      <c r="O3658" s="2" t="s">
        <v>177</v>
      </c>
      <c r="P3658" s="2" t="s">
        <v>40</v>
      </c>
      <c r="Q3658" s="2" t="s">
        <v>40</v>
      </c>
      <c r="R3658" s="2" t="s">
        <v>40</v>
      </c>
      <c r="S3658" s="2" t="s">
        <v>40</v>
      </c>
      <c r="T3658" s="2" t="s">
        <v>40</v>
      </c>
      <c r="U3658" s="2" t="s">
        <v>40</v>
      </c>
      <c r="V3658" s="2" t="s">
        <v>40</v>
      </c>
      <c r="W3658" s="2" t="s">
        <v>41</v>
      </c>
      <c r="X3658" s="2" t="s">
        <v>42</v>
      </c>
      <c r="Y3658" s="2" t="s">
        <v>20350</v>
      </c>
      <c r="AA3658" t="str">
        <f t="shared" si="342"/>
        <v>2025-03</v>
      </c>
      <c r="AB3658" t="str">
        <f t="shared" si="343"/>
        <v>H1_2025</v>
      </c>
      <c r="AC3658">
        <f t="shared" si="344"/>
        <v>0</v>
      </c>
      <c r="AD3658">
        <f t="shared" si="345"/>
        <v>400</v>
      </c>
      <c r="AE3658">
        <f t="shared" si="346"/>
        <v>0</v>
      </c>
      <c r="AF3658" t="str">
        <f t="shared" si="347"/>
        <v>Sample</v>
      </c>
    </row>
    <row r="3659" spans="1:32" ht="27.75" thickBot="1" x14ac:dyDescent="0.35">
      <c r="A3659" s="2" t="s">
        <v>20741</v>
      </c>
      <c r="B3659" s="2" t="s">
        <v>27</v>
      </c>
      <c r="C3659" s="2" t="s">
        <v>28</v>
      </c>
      <c r="D3659" s="2" t="s">
        <v>97</v>
      </c>
      <c r="E3659" s="2" t="s">
        <v>20340</v>
      </c>
      <c r="F3659" s="2" t="s">
        <v>31</v>
      </c>
      <c r="G3659" s="2" t="s">
        <v>32</v>
      </c>
      <c r="H3659" s="1"/>
      <c r="I3659" s="2" t="s">
        <v>33</v>
      </c>
      <c r="J3659" s="2" t="s">
        <v>34</v>
      </c>
      <c r="K3659" s="2" t="s">
        <v>20742</v>
      </c>
      <c r="L3659" s="2" t="s">
        <v>20743</v>
      </c>
      <c r="M3659" s="2" t="s">
        <v>7510</v>
      </c>
      <c r="N3659" s="2" t="s">
        <v>38</v>
      </c>
      <c r="O3659" s="2" t="s">
        <v>177</v>
      </c>
      <c r="P3659" s="2" t="s">
        <v>40</v>
      </c>
      <c r="Q3659" s="2" t="s">
        <v>40</v>
      </c>
      <c r="R3659" s="2" t="s">
        <v>40</v>
      </c>
      <c r="S3659" s="2" t="s">
        <v>40</v>
      </c>
      <c r="T3659" s="2" t="s">
        <v>40</v>
      </c>
      <c r="U3659" s="2" t="s">
        <v>40</v>
      </c>
      <c r="V3659" s="2" t="s">
        <v>40</v>
      </c>
      <c r="W3659" s="2" t="s">
        <v>41</v>
      </c>
      <c r="X3659" s="2" t="s">
        <v>42</v>
      </c>
      <c r="Y3659" s="2" t="s">
        <v>20350</v>
      </c>
      <c r="AA3659" t="str">
        <f t="shared" si="342"/>
        <v>2025-03</v>
      </c>
      <c r="AB3659" t="str">
        <f t="shared" si="343"/>
        <v>H1_2025</v>
      </c>
      <c r="AC3659">
        <f t="shared" si="344"/>
        <v>0</v>
      </c>
      <c r="AD3659">
        <f t="shared" si="345"/>
        <v>400</v>
      </c>
      <c r="AE3659">
        <f t="shared" si="346"/>
        <v>0</v>
      </c>
      <c r="AF3659" t="str">
        <f t="shared" si="347"/>
        <v>Sample</v>
      </c>
    </row>
    <row r="3660" spans="1:32" ht="17.25" thickBot="1" x14ac:dyDescent="0.35">
      <c r="A3660" s="2" t="s">
        <v>20744</v>
      </c>
      <c r="B3660" s="2" t="s">
        <v>27</v>
      </c>
      <c r="C3660" s="2" t="s">
        <v>28</v>
      </c>
      <c r="D3660" s="2" t="s">
        <v>97</v>
      </c>
      <c r="E3660" s="2" t="s">
        <v>20340</v>
      </c>
      <c r="F3660" s="2" t="s">
        <v>31</v>
      </c>
      <c r="G3660" s="2" t="s">
        <v>32</v>
      </c>
      <c r="H3660" s="1"/>
      <c r="I3660" s="2" t="s">
        <v>33</v>
      </c>
      <c r="J3660" s="2" t="s">
        <v>34</v>
      </c>
      <c r="K3660" s="2" t="s">
        <v>20745</v>
      </c>
      <c r="L3660" s="2" t="s">
        <v>20746</v>
      </c>
      <c r="M3660" s="2" t="s">
        <v>48</v>
      </c>
      <c r="N3660" s="2" t="s">
        <v>38</v>
      </c>
      <c r="O3660" s="2" t="s">
        <v>407</v>
      </c>
      <c r="P3660" s="2" t="s">
        <v>40</v>
      </c>
      <c r="Q3660" s="2" t="s">
        <v>40</v>
      </c>
      <c r="R3660" s="2" t="s">
        <v>40</v>
      </c>
      <c r="S3660" s="2" t="s">
        <v>40</v>
      </c>
      <c r="T3660" s="2" t="s">
        <v>20747</v>
      </c>
      <c r="U3660" s="2" t="s">
        <v>20748</v>
      </c>
      <c r="V3660" s="2" t="s">
        <v>20749</v>
      </c>
      <c r="W3660" s="2" t="s">
        <v>41</v>
      </c>
      <c r="X3660" s="2" t="s">
        <v>42</v>
      </c>
      <c r="Y3660" s="2" t="s">
        <v>20350</v>
      </c>
      <c r="AA3660" t="str">
        <f t="shared" si="342"/>
        <v>2025-03</v>
      </c>
      <c r="AB3660" t="str">
        <f t="shared" si="343"/>
        <v>H1_2025</v>
      </c>
      <c r="AC3660">
        <f t="shared" si="344"/>
        <v>0</v>
      </c>
      <c r="AD3660">
        <f t="shared" si="345"/>
        <v>48</v>
      </c>
      <c r="AE3660">
        <f t="shared" si="346"/>
        <v>-366576</v>
      </c>
      <c r="AF3660" t="str">
        <f t="shared" si="347"/>
        <v>Sample</v>
      </c>
    </row>
    <row r="3661" spans="1:32" ht="17.25" thickBot="1" x14ac:dyDescent="0.35">
      <c r="A3661" s="2" t="s">
        <v>20750</v>
      </c>
      <c r="B3661" s="2" t="s">
        <v>27</v>
      </c>
      <c r="C3661" s="2" t="s">
        <v>28</v>
      </c>
      <c r="D3661" s="2" t="s">
        <v>97</v>
      </c>
      <c r="E3661" s="2" t="s">
        <v>20340</v>
      </c>
      <c r="F3661" s="2" t="s">
        <v>31</v>
      </c>
      <c r="G3661" s="2" t="s">
        <v>32</v>
      </c>
      <c r="H3661" s="1"/>
      <c r="I3661" s="2" t="s">
        <v>33</v>
      </c>
      <c r="J3661" s="2" t="s">
        <v>34</v>
      </c>
      <c r="K3661" s="2" t="s">
        <v>20751</v>
      </c>
      <c r="L3661" s="2" t="s">
        <v>20752</v>
      </c>
      <c r="M3661" s="2" t="s">
        <v>48</v>
      </c>
      <c r="N3661" s="2" t="s">
        <v>38</v>
      </c>
      <c r="O3661" s="2" t="s">
        <v>103</v>
      </c>
      <c r="P3661" s="2" t="s">
        <v>40</v>
      </c>
      <c r="Q3661" s="2" t="s">
        <v>40</v>
      </c>
      <c r="R3661" s="2" t="s">
        <v>40</v>
      </c>
      <c r="S3661" s="2" t="s">
        <v>40</v>
      </c>
      <c r="T3661" s="2" t="s">
        <v>16710</v>
      </c>
      <c r="U3661" s="2" t="s">
        <v>20753</v>
      </c>
      <c r="V3661" s="2" t="s">
        <v>20754</v>
      </c>
      <c r="W3661" s="2" t="s">
        <v>41</v>
      </c>
      <c r="X3661" s="2" t="s">
        <v>42</v>
      </c>
      <c r="Y3661" s="2" t="s">
        <v>20350</v>
      </c>
      <c r="AA3661" t="str">
        <f t="shared" si="342"/>
        <v>2025-03</v>
      </c>
      <c r="AB3661" t="str">
        <f t="shared" si="343"/>
        <v>H1_2025</v>
      </c>
      <c r="AC3661">
        <f t="shared" si="344"/>
        <v>0</v>
      </c>
      <c r="AD3661">
        <f t="shared" si="345"/>
        <v>24</v>
      </c>
      <c r="AE3661">
        <f t="shared" si="346"/>
        <v>-137472</v>
      </c>
      <c r="AF3661" t="str">
        <f t="shared" si="347"/>
        <v>Sample</v>
      </c>
    </row>
    <row r="3662" spans="1:32" ht="17.25" thickBot="1" x14ac:dyDescent="0.35">
      <c r="A3662" s="2" t="s">
        <v>20755</v>
      </c>
      <c r="B3662" s="2" t="s">
        <v>27</v>
      </c>
      <c r="C3662" s="2" t="s">
        <v>28</v>
      </c>
      <c r="D3662" s="2" t="s">
        <v>97</v>
      </c>
      <c r="E3662" s="2" t="s">
        <v>20340</v>
      </c>
      <c r="F3662" s="2" t="s">
        <v>31</v>
      </c>
      <c r="G3662" s="2" t="s">
        <v>32</v>
      </c>
      <c r="H3662" s="1"/>
      <c r="I3662" s="2" t="s">
        <v>33</v>
      </c>
      <c r="J3662" s="2" t="s">
        <v>34</v>
      </c>
      <c r="K3662" s="2" t="s">
        <v>20756</v>
      </c>
      <c r="L3662" s="2" t="s">
        <v>20757</v>
      </c>
      <c r="M3662" s="2" t="s">
        <v>48</v>
      </c>
      <c r="N3662" s="2" t="s">
        <v>38</v>
      </c>
      <c r="O3662" s="2" t="s">
        <v>85</v>
      </c>
      <c r="P3662" s="2" t="s">
        <v>40</v>
      </c>
      <c r="Q3662" s="2" t="s">
        <v>40</v>
      </c>
      <c r="R3662" s="2" t="s">
        <v>40</v>
      </c>
      <c r="S3662" s="2" t="s">
        <v>40</v>
      </c>
      <c r="T3662" s="2" t="s">
        <v>12578</v>
      </c>
      <c r="U3662" s="2" t="s">
        <v>20758</v>
      </c>
      <c r="V3662" s="2" t="s">
        <v>20759</v>
      </c>
      <c r="W3662" s="2" t="s">
        <v>41</v>
      </c>
      <c r="X3662" s="2" t="s">
        <v>42</v>
      </c>
      <c r="Y3662" s="2" t="s">
        <v>20350</v>
      </c>
      <c r="AA3662" t="str">
        <f t="shared" si="342"/>
        <v>2025-03</v>
      </c>
      <c r="AB3662" t="str">
        <f t="shared" si="343"/>
        <v>H1_2025</v>
      </c>
      <c r="AC3662">
        <f t="shared" si="344"/>
        <v>0</v>
      </c>
      <c r="AD3662">
        <f t="shared" si="345"/>
        <v>12</v>
      </c>
      <c r="AE3662">
        <f t="shared" si="346"/>
        <v>-95460</v>
      </c>
      <c r="AF3662" t="str">
        <f t="shared" si="347"/>
        <v>Sample</v>
      </c>
    </row>
    <row r="3663" spans="1:32" ht="17.25" thickBot="1" x14ac:dyDescent="0.35">
      <c r="A3663" s="2" t="s">
        <v>20760</v>
      </c>
      <c r="B3663" s="2" t="s">
        <v>27</v>
      </c>
      <c r="C3663" s="2" t="s">
        <v>28</v>
      </c>
      <c r="D3663" s="2" t="s">
        <v>97</v>
      </c>
      <c r="E3663" s="2" t="s">
        <v>20340</v>
      </c>
      <c r="F3663" s="2" t="s">
        <v>31</v>
      </c>
      <c r="G3663" s="2" t="s">
        <v>32</v>
      </c>
      <c r="H3663" s="1"/>
      <c r="I3663" s="2" t="s">
        <v>33</v>
      </c>
      <c r="J3663" s="2" t="s">
        <v>34</v>
      </c>
      <c r="K3663" s="2" t="s">
        <v>20761</v>
      </c>
      <c r="L3663" s="2" t="s">
        <v>20762</v>
      </c>
      <c r="M3663" s="2" t="s">
        <v>48</v>
      </c>
      <c r="N3663" s="2" t="s">
        <v>38</v>
      </c>
      <c r="O3663" s="2" t="s">
        <v>92</v>
      </c>
      <c r="P3663" s="2" t="s">
        <v>40</v>
      </c>
      <c r="Q3663" s="2" t="s">
        <v>40</v>
      </c>
      <c r="R3663" s="2" t="s">
        <v>40</v>
      </c>
      <c r="S3663" s="2" t="s">
        <v>40</v>
      </c>
      <c r="T3663" s="2" t="s">
        <v>20763</v>
      </c>
      <c r="U3663" s="2" t="s">
        <v>20764</v>
      </c>
      <c r="V3663" s="2" t="s">
        <v>20765</v>
      </c>
      <c r="W3663" s="2" t="s">
        <v>41</v>
      </c>
      <c r="X3663" s="2" t="s">
        <v>42</v>
      </c>
      <c r="Y3663" s="2" t="s">
        <v>20350</v>
      </c>
      <c r="AA3663" t="str">
        <f t="shared" si="342"/>
        <v>2025-03</v>
      </c>
      <c r="AB3663" t="str">
        <f t="shared" si="343"/>
        <v>H1_2025</v>
      </c>
      <c r="AC3663">
        <f t="shared" si="344"/>
        <v>0</v>
      </c>
      <c r="AD3663">
        <f t="shared" si="345"/>
        <v>13</v>
      </c>
      <c r="AE3663">
        <f t="shared" si="346"/>
        <v>-177866</v>
      </c>
      <c r="AF3663" t="str">
        <f t="shared" si="347"/>
        <v>Sample</v>
      </c>
    </row>
    <row r="3664" spans="1:32" ht="17.25" thickBot="1" x14ac:dyDescent="0.35">
      <c r="A3664" s="2" t="s">
        <v>20766</v>
      </c>
      <c r="B3664" s="2" t="s">
        <v>27</v>
      </c>
      <c r="C3664" s="2" t="s">
        <v>28</v>
      </c>
      <c r="D3664" s="2" t="s">
        <v>97</v>
      </c>
      <c r="E3664" s="2" t="s">
        <v>20340</v>
      </c>
      <c r="F3664" s="2" t="s">
        <v>31</v>
      </c>
      <c r="G3664" s="2" t="s">
        <v>32</v>
      </c>
      <c r="H3664" s="1"/>
      <c r="I3664" s="2" t="s">
        <v>33</v>
      </c>
      <c r="J3664" s="2" t="s">
        <v>34</v>
      </c>
      <c r="K3664" s="2" t="s">
        <v>77</v>
      </c>
      <c r="L3664" s="2" t="s">
        <v>78</v>
      </c>
      <c r="M3664" s="2" t="s">
        <v>48</v>
      </c>
      <c r="N3664" s="2" t="s">
        <v>38</v>
      </c>
      <c r="O3664" s="2" t="s">
        <v>138</v>
      </c>
      <c r="P3664" s="2" t="s">
        <v>40</v>
      </c>
      <c r="Q3664" s="2" t="s">
        <v>40</v>
      </c>
      <c r="R3664" s="2" t="s">
        <v>40</v>
      </c>
      <c r="S3664" s="2" t="s">
        <v>40</v>
      </c>
      <c r="T3664" s="2" t="s">
        <v>7535</v>
      </c>
      <c r="U3664" s="2" t="s">
        <v>14905</v>
      </c>
      <c r="V3664" s="2" t="s">
        <v>20767</v>
      </c>
      <c r="W3664" s="2" t="s">
        <v>41</v>
      </c>
      <c r="X3664" s="2" t="s">
        <v>42</v>
      </c>
      <c r="Y3664" s="2" t="s">
        <v>20350</v>
      </c>
      <c r="AA3664" t="str">
        <f t="shared" si="342"/>
        <v>2025-03</v>
      </c>
      <c r="AB3664" t="str">
        <f t="shared" si="343"/>
        <v>H1_2025</v>
      </c>
      <c r="AC3664">
        <f t="shared" si="344"/>
        <v>0</v>
      </c>
      <c r="AD3664">
        <f t="shared" si="345"/>
        <v>18</v>
      </c>
      <c r="AE3664">
        <f t="shared" si="346"/>
        <v>-160380</v>
      </c>
      <c r="AF3664" t="str">
        <f t="shared" si="347"/>
        <v>Sample</v>
      </c>
    </row>
    <row r="3665" spans="1:32" ht="27.75" thickBot="1" x14ac:dyDescent="0.35">
      <c r="A3665" s="2" t="s">
        <v>20768</v>
      </c>
      <c r="B3665" s="2" t="s">
        <v>27</v>
      </c>
      <c r="C3665" s="2" t="s">
        <v>28</v>
      </c>
      <c r="D3665" s="2" t="s">
        <v>97</v>
      </c>
      <c r="E3665" s="2" t="s">
        <v>20340</v>
      </c>
      <c r="F3665" s="2" t="s">
        <v>31</v>
      </c>
      <c r="G3665" s="2" t="s">
        <v>32</v>
      </c>
      <c r="H3665" s="1"/>
      <c r="I3665" s="2" t="s">
        <v>33</v>
      </c>
      <c r="J3665" s="2" t="s">
        <v>34</v>
      </c>
      <c r="K3665" s="2" t="s">
        <v>20769</v>
      </c>
      <c r="L3665" s="2" t="s">
        <v>20770</v>
      </c>
      <c r="M3665" s="2" t="s">
        <v>37</v>
      </c>
      <c r="N3665" s="2" t="s">
        <v>38</v>
      </c>
      <c r="O3665" s="2" t="s">
        <v>149</v>
      </c>
      <c r="P3665" s="2" t="s">
        <v>20771</v>
      </c>
      <c r="Q3665" s="2" t="s">
        <v>20772</v>
      </c>
      <c r="R3665" s="2" t="s">
        <v>40</v>
      </c>
      <c r="S3665" s="2" t="s">
        <v>20773</v>
      </c>
      <c r="T3665" s="2" t="s">
        <v>1709</v>
      </c>
      <c r="U3665" s="2" t="s">
        <v>1486</v>
      </c>
      <c r="V3665" s="2" t="s">
        <v>20774</v>
      </c>
      <c r="W3665" s="1"/>
      <c r="X3665" s="2" t="s">
        <v>3279</v>
      </c>
      <c r="Y3665" s="2" t="s">
        <v>20350</v>
      </c>
      <c r="AA3665" t="str">
        <f t="shared" si="342"/>
        <v>2025-03</v>
      </c>
      <c r="AB3665" t="str">
        <f t="shared" si="343"/>
        <v>H1_2025</v>
      </c>
      <c r="AC3665">
        <f t="shared" si="344"/>
        <v>960618.6</v>
      </c>
      <c r="AD3665">
        <f t="shared" si="345"/>
        <v>300</v>
      </c>
      <c r="AE3665">
        <f t="shared" si="346"/>
        <v>120618.6</v>
      </c>
      <c r="AF3665" t="str">
        <f t="shared" si="347"/>
        <v>Paid</v>
      </c>
    </row>
    <row r="3666" spans="1:32" ht="17.25" thickBot="1" x14ac:dyDescent="0.35">
      <c r="A3666" s="2" t="s">
        <v>20775</v>
      </c>
      <c r="B3666" s="2" t="s">
        <v>27</v>
      </c>
      <c r="C3666" s="2" t="s">
        <v>28</v>
      </c>
      <c r="D3666" s="2" t="s">
        <v>97</v>
      </c>
      <c r="E3666" s="2" t="s">
        <v>20340</v>
      </c>
      <c r="F3666" s="2" t="s">
        <v>31</v>
      </c>
      <c r="G3666" s="2" t="s">
        <v>32</v>
      </c>
      <c r="H3666" s="1"/>
      <c r="I3666" s="2" t="s">
        <v>33</v>
      </c>
      <c r="J3666" s="2" t="s">
        <v>34</v>
      </c>
      <c r="K3666" s="2" t="s">
        <v>1102</v>
      </c>
      <c r="L3666" s="2" t="s">
        <v>1103</v>
      </c>
      <c r="M3666" s="2" t="s">
        <v>37</v>
      </c>
      <c r="N3666" s="2" t="s">
        <v>38</v>
      </c>
      <c r="O3666" s="2" t="s">
        <v>773</v>
      </c>
      <c r="P3666" s="2" t="s">
        <v>20776</v>
      </c>
      <c r="Q3666" s="2" t="s">
        <v>20777</v>
      </c>
      <c r="R3666" s="2" t="s">
        <v>40</v>
      </c>
      <c r="S3666" s="2" t="s">
        <v>20778</v>
      </c>
      <c r="T3666" s="2" t="s">
        <v>107</v>
      </c>
      <c r="U3666" s="2" t="s">
        <v>9044</v>
      </c>
      <c r="V3666" s="2" t="s">
        <v>20779</v>
      </c>
      <c r="W3666" s="1"/>
      <c r="X3666" s="2" t="s">
        <v>3279</v>
      </c>
      <c r="Y3666" s="2" t="s">
        <v>20350</v>
      </c>
      <c r="AA3666" t="str">
        <f t="shared" si="342"/>
        <v>2025-03</v>
      </c>
      <c r="AB3666" t="str">
        <f t="shared" si="343"/>
        <v>H1_2025</v>
      </c>
      <c r="AC3666">
        <f t="shared" si="344"/>
        <v>1280824.8</v>
      </c>
      <c r="AD3666">
        <f t="shared" si="345"/>
        <v>200</v>
      </c>
      <c r="AE3666">
        <f t="shared" si="346"/>
        <v>160824.79999999999</v>
      </c>
      <c r="AF3666" t="str">
        <f t="shared" si="347"/>
        <v>Paid</v>
      </c>
    </row>
    <row r="3667" spans="1:32" ht="17.25" thickBot="1" x14ac:dyDescent="0.35">
      <c r="A3667" s="2" t="s">
        <v>20780</v>
      </c>
      <c r="B3667" s="2" t="s">
        <v>27</v>
      </c>
      <c r="C3667" s="2" t="s">
        <v>28</v>
      </c>
      <c r="D3667" s="2" t="s">
        <v>97</v>
      </c>
      <c r="E3667" s="2" t="s">
        <v>20340</v>
      </c>
      <c r="F3667" s="2" t="s">
        <v>31</v>
      </c>
      <c r="G3667" s="2" t="s">
        <v>32</v>
      </c>
      <c r="H3667" s="1"/>
      <c r="I3667" s="2" t="s">
        <v>33</v>
      </c>
      <c r="J3667" s="2" t="s">
        <v>34</v>
      </c>
      <c r="K3667" s="2" t="s">
        <v>1111</v>
      </c>
      <c r="L3667" s="2" t="s">
        <v>1112</v>
      </c>
      <c r="M3667" s="2" t="s">
        <v>37</v>
      </c>
      <c r="N3667" s="2" t="s">
        <v>38</v>
      </c>
      <c r="O3667" s="2" t="s">
        <v>177</v>
      </c>
      <c r="P3667" s="2" t="s">
        <v>20781</v>
      </c>
      <c r="Q3667" s="2" t="s">
        <v>11539</v>
      </c>
      <c r="R3667" s="2" t="s">
        <v>40</v>
      </c>
      <c r="S3667" s="2" t="s">
        <v>20782</v>
      </c>
      <c r="T3667" s="2" t="s">
        <v>20783</v>
      </c>
      <c r="U3667" s="2" t="s">
        <v>20784</v>
      </c>
      <c r="V3667" s="2" t="s">
        <v>20785</v>
      </c>
      <c r="W3667" s="1"/>
      <c r="X3667" s="2" t="s">
        <v>1239</v>
      </c>
      <c r="Y3667" s="2" t="s">
        <v>20350</v>
      </c>
      <c r="AA3667" t="str">
        <f t="shared" si="342"/>
        <v>2025-03</v>
      </c>
      <c r="AB3667" t="str">
        <f t="shared" si="343"/>
        <v>H1_2025</v>
      </c>
      <c r="AC3667">
        <f t="shared" si="344"/>
        <v>1438812</v>
      </c>
      <c r="AD3667">
        <f t="shared" si="345"/>
        <v>400</v>
      </c>
      <c r="AE3667">
        <f t="shared" si="346"/>
        <v>193932</v>
      </c>
      <c r="AF3667" t="str">
        <f t="shared" si="347"/>
        <v>Paid</v>
      </c>
    </row>
    <row r="3668" spans="1:32" ht="17.25" thickBot="1" x14ac:dyDescent="0.35">
      <c r="A3668" s="2" t="s">
        <v>20786</v>
      </c>
      <c r="B3668" s="2" t="s">
        <v>27</v>
      </c>
      <c r="C3668" s="2" t="s">
        <v>28</v>
      </c>
      <c r="D3668" s="2" t="s">
        <v>97</v>
      </c>
      <c r="E3668" s="2" t="s">
        <v>20340</v>
      </c>
      <c r="F3668" s="2" t="s">
        <v>31</v>
      </c>
      <c r="G3668" s="2" t="s">
        <v>32</v>
      </c>
      <c r="H3668" s="1"/>
      <c r="I3668" s="2" t="s">
        <v>33</v>
      </c>
      <c r="J3668" s="2" t="s">
        <v>34</v>
      </c>
      <c r="K3668" s="2" t="s">
        <v>6488</v>
      </c>
      <c r="L3668" s="2" t="s">
        <v>6489</v>
      </c>
      <c r="M3668" s="2" t="s">
        <v>37</v>
      </c>
      <c r="N3668" s="2" t="s">
        <v>38</v>
      </c>
      <c r="O3668" s="2" t="s">
        <v>1951</v>
      </c>
      <c r="P3668" s="2" t="s">
        <v>5359</v>
      </c>
      <c r="Q3668" s="2" t="s">
        <v>20787</v>
      </c>
      <c r="R3668" s="2" t="s">
        <v>40</v>
      </c>
      <c r="S3668" s="2" t="s">
        <v>20788</v>
      </c>
      <c r="T3668" s="2" t="s">
        <v>1136</v>
      </c>
      <c r="U3668" s="2" t="s">
        <v>14683</v>
      </c>
      <c r="V3668" s="2" t="s">
        <v>20789</v>
      </c>
      <c r="W3668" s="1"/>
      <c r="X3668" s="2" t="s">
        <v>322</v>
      </c>
      <c r="Y3668" s="2" t="s">
        <v>20350</v>
      </c>
      <c r="AA3668" t="str">
        <f t="shared" si="342"/>
        <v>2025-03</v>
      </c>
      <c r="AB3668" t="str">
        <f t="shared" si="343"/>
        <v>H1_2025</v>
      </c>
      <c r="AC3668">
        <f t="shared" si="344"/>
        <v>2877624</v>
      </c>
      <c r="AD3668">
        <f t="shared" si="345"/>
        <v>600</v>
      </c>
      <c r="AE3668">
        <f t="shared" si="346"/>
        <v>357624</v>
      </c>
      <c r="AF3668" t="str">
        <f t="shared" si="347"/>
        <v>Paid</v>
      </c>
    </row>
    <row r="3669" spans="1:32" ht="27.75" thickBot="1" x14ac:dyDescent="0.35">
      <c r="A3669" s="2" t="s">
        <v>20790</v>
      </c>
      <c r="B3669" s="2" t="s">
        <v>27</v>
      </c>
      <c r="C3669" s="2" t="s">
        <v>28</v>
      </c>
      <c r="D3669" s="2" t="s">
        <v>97</v>
      </c>
      <c r="E3669" s="2" t="s">
        <v>20340</v>
      </c>
      <c r="F3669" s="2" t="s">
        <v>31</v>
      </c>
      <c r="G3669" s="2" t="s">
        <v>32</v>
      </c>
      <c r="H3669" s="1"/>
      <c r="I3669" s="2" t="s">
        <v>33</v>
      </c>
      <c r="J3669" s="2" t="s">
        <v>34</v>
      </c>
      <c r="K3669" s="2" t="s">
        <v>7155</v>
      </c>
      <c r="L3669" s="2" t="s">
        <v>7156</v>
      </c>
      <c r="M3669" s="2" t="s">
        <v>37</v>
      </c>
      <c r="N3669" s="2" t="s">
        <v>38</v>
      </c>
      <c r="O3669" s="2" t="s">
        <v>773</v>
      </c>
      <c r="P3669" s="2" t="s">
        <v>264</v>
      </c>
      <c r="Q3669" s="2" t="s">
        <v>20035</v>
      </c>
      <c r="R3669" s="2" t="s">
        <v>40</v>
      </c>
      <c r="S3669" s="2" t="s">
        <v>20791</v>
      </c>
      <c r="T3669" s="2" t="s">
        <v>1178</v>
      </c>
      <c r="U3669" s="2" t="s">
        <v>15998</v>
      </c>
      <c r="V3669" s="2" t="s">
        <v>20792</v>
      </c>
      <c r="W3669" s="1"/>
      <c r="X3669" s="2" t="s">
        <v>444</v>
      </c>
      <c r="Y3669" s="2" t="s">
        <v>20350</v>
      </c>
      <c r="AA3669" t="str">
        <f t="shared" si="342"/>
        <v>2025-03</v>
      </c>
      <c r="AB3669" t="str">
        <f t="shared" si="343"/>
        <v>H1_2025</v>
      </c>
      <c r="AC3669">
        <f t="shared" si="344"/>
        <v>1760428.8</v>
      </c>
      <c r="AD3669">
        <f t="shared" si="345"/>
        <v>200</v>
      </c>
      <c r="AE3669">
        <f t="shared" si="346"/>
        <v>220428.79999999999</v>
      </c>
      <c r="AF3669" t="str">
        <f t="shared" si="347"/>
        <v>Paid</v>
      </c>
    </row>
    <row r="3670" spans="1:32" ht="17.25" thickBot="1" x14ac:dyDescent="0.35">
      <c r="A3670" s="2" t="s">
        <v>20793</v>
      </c>
      <c r="B3670" s="2" t="s">
        <v>27</v>
      </c>
      <c r="C3670" s="2" t="s">
        <v>28</v>
      </c>
      <c r="D3670" s="2" t="s">
        <v>97</v>
      </c>
      <c r="E3670" s="2" t="s">
        <v>20340</v>
      </c>
      <c r="F3670" s="2" t="s">
        <v>31</v>
      </c>
      <c r="G3670" s="2" t="s">
        <v>32</v>
      </c>
      <c r="H3670" s="1"/>
      <c r="I3670" s="2" t="s">
        <v>33</v>
      </c>
      <c r="J3670" s="2" t="s">
        <v>34</v>
      </c>
      <c r="K3670" s="2" t="s">
        <v>5660</v>
      </c>
      <c r="L3670" s="2" t="s">
        <v>5661</v>
      </c>
      <c r="M3670" s="2" t="s">
        <v>37</v>
      </c>
      <c r="N3670" s="2" t="s">
        <v>38</v>
      </c>
      <c r="O3670" s="2" t="s">
        <v>773</v>
      </c>
      <c r="P3670" s="2" t="s">
        <v>1047</v>
      </c>
      <c r="Q3670" s="2" t="s">
        <v>20794</v>
      </c>
      <c r="R3670" s="2" t="s">
        <v>40</v>
      </c>
      <c r="S3670" s="2" t="s">
        <v>20795</v>
      </c>
      <c r="T3670" s="2" t="s">
        <v>706</v>
      </c>
      <c r="U3670" s="2" t="s">
        <v>9914</v>
      </c>
      <c r="V3670" s="2" t="s">
        <v>20796</v>
      </c>
      <c r="W3670" s="1"/>
      <c r="X3670" s="2" t="s">
        <v>3279</v>
      </c>
      <c r="Y3670" s="2" t="s">
        <v>20350</v>
      </c>
      <c r="AA3670" t="str">
        <f t="shared" si="342"/>
        <v>2025-03</v>
      </c>
      <c r="AB3670" t="str">
        <f t="shared" si="343"/>
        <v>H1_2025</v>
      </c>
      <c r="AC3670">
        <f t="shared" si="344"/>
        <v>1921237.2</v>
      </c>
      <c r="AD3670">
        <f t="shared" si="345"/>
        <v>200</v>
      </c>
      <c r="AE3670">
        <f t="shared" si="346"/>
        <v>241237.2</v>
      </c>
      <c r="AF3670" t="str">
        <f t="shared" si="347"/>
        <v>Paid</v>
      </c>
    </row>
    <row r="3671" spans="1:32" ht="17.25" thickBot="1" x14ac:dyDescent="0.35">
      <c r="A3671" s="2" t="s">
        <v>20797</v>
      </c>
      <c r="B3671" s="2" t="s">
        <v>27</v>
      </c>
      <c r="C3671" s="2" t="s">
        <v>28</v>
      </c>
      <c r="D3671" s="2" t="s">
        <v>97</v>
      </c>
      <c r="E3671" s="2" t="s">
        <v>20340</v>
      </c>
      <c r="F3671" s="2" t="s">
        <v>31</v>
      </c>
      <c r="G3671" s="2" t="s">
        <v>32</v>
      </c>
      <c r="H3671" s="1"/>
      <c r="I3671" s="2" t="s">
        <v>33</v>
      </c>
      <c r="J3671" s="2" t="s">
        <v>34</v>
      </c>
      <c r="K3671" s="2" t="s">
        <v>6543</v>
      </c>
      <c r="L3671" s="2" t="s">
        <v>6544</v>
      </c>
      <c r="M3671" s="2" t="s">
        <v>37</v>
      </c>
      <c r="N3671" s="2" t="s">
        <v>38</v>
      </c>
      <c r="O3671" s="2" t="s">
        <v>4038</v>
      </c>
      <c r="P3671" s="2" t="s">
        <v>13218</v>
      </c>
      <c r="Q3671" s="2" t="s">
        <v>20798</v>
      </c>
      <c r="R3671" s="2" t="s">
        <v>40</v>
      </c>
      <c r="S3671" s="2" t="s">
        <v>20799</v>
      </c>
      <c r="T3671" s="2" t="s">
        <v>8903</v>
      </c>
      <c r="U3671" s="2" t="s">
        <v>20800</v>
      </c>
      <c r="V3671" s="2" t="s">
        <v>20801</v>
      </c>
      <c r="W3671" s="1"/>
      <c r="X3671" s="2" t="s">
        <v>6886</v>
      </c>
      <c r="Y3671" s="2" t="s">
        <v>20350</v>
      </c>
      <c r="AA3671" t="str">
        <f t="shared" si="342"/>
        <v>2025-03</v>
      </c>
      <c r="AB3671" t="str">
        <f t="shared" si="343"/>
        <v>H1_2025</v>
      </c>
      <c r="AC3671">
        <f t="shared" si="344"/>
        <v>11404701</v>
      </c>
      <c r="AD3671">
        <f t="shared" si="345"/>
        <v>1500</v>
      </c>
      <c r="AE3671">
        <f t="shared" si="346"/>
        <v>3139701</v>
      </c>
      <c r="AF3671" t="str">
        <f t="shared" si="347"/>
        <v>Paid</v>
      </c>
    </row>
    <row r="3672" spans="1:32" ht="17.25" thickBot="1" x14ac:dyDescent="0.35">
      <c r="A3672" s="2" t="s">
        <v>20802</v>
      </c>
      <c r="B3672" s="2" t="s">
        <v>27</v>
      </c>
      <c r="C3672" s="2" t="s">
        <v>28</v>
      </c>
      <c r="D3672" s="2" t="s">
        <v>97</v>
      </c>
      <c r="E3672" s="2" t="s">
        <v>20340</v>
      </c>
      <c r="F3672" s="2" t="s">
        <v>31</v>
      </c>
      <c r="G3672" s="2" t="s">
        <v>32</v>
      </c>
      <c r="H3672" s="1"/>
      <c r="I3672" s="2" t="s">
        <v>33</v>
      </c>
      <c r="J3672" s="2" t="s">
        <v>34</v>
      </c>
      <c r="K3672" s="2" t="s">
        <v>1189</v>
      </c>
      <c r="L3672" s="2" t="s">
        <v>1190</v>
      </c>
      <c r="M3672" s="2" t="s">
        <v>37</v>
      </c>
      <c r="N3672" s="2" t="s">
        <v>38</v>
      </c>
      <c r="O3672" s="2" t="s">
        <v>773</v>
      </c>
      <c r="P3672" s="2" t="s">
        <v>40</v>
      </c>
      <c r="Q3672" s="2" t="s">
        <v>40</v>
      </c>
      <c r="R3672" s="2" t="s">
        <v>40</v>
      </c>
      <c r="S3672" s="2" t="s">
        <v>40</v>
      </c>
      <c r="T3672" s="2" t="s">
        <v>952</v>
      </c>
      <c r="U3672" s="2" t="s">
        <v>1881</v>
      </c>
      <c r="V3672" s="2" t="s">
        <v>20803</v>
      </c>
      <c r="W3672" s="2" t="s">
        <v>41</v>
      </c>
      <c r="X3672" s="2" t="s">
        <v>42</v>
      </c>
      <c r="Y3672" s="2" t="s">
        <v>20350</v>
      </c>
      <c r="AA3672" t="str">
        <f t="shared" si="342"/>
        <v>2025-03</v>
      </c>
      <c r="AB3672" t="str">
        <f t="shared" si="343"/>
        <v>H1_2025</v>
      </c>
      <c r="AC3672">
        <f t="shared" si="344"/>
        <v>0</v>
      </c>
      <c r="AD3672">
        <f t="shared" si="345"/>
        <v>200</v>
      </c>
      <c r="AE3672">
        <f t="shared" si="346"/>
        <v>-2400000</v>
      </c>
      <c r="AF3672" t="str">
        <f t="shared" si="347"/>
        <v>Sample</v>
      </c>
    </row>
    <row r="3673" spans="1:32" ht="17.25" thickBot="1" x14ac:dyDescent="0.35">
      <c r="A3673" s="2" t="s">
        <v>20804</v>
      </c>
      <c r="B3673" s="2" t="s">
        <v>27</v>
      </c>
      <c r="C3673" s="2" t="s">
        <v>28</v>
      </c>
      <c r="D3673" s="2" t="s">
        <v>97</v>
      </c>
      <c r="E3673" s="2" t="s">
        <v>20340</v>
      </c>
      <c r="F3673" s="2" t="s">
        <v>31</v>
      </c>
      <c r="G3673" s="2" t="s">
        <v>32</v>
      </c>
      <c r="H3673" s="1"/>
      <c r="I3673" s="2" t="s">
        <v>33</v>
      </c>
      <c r="J3673" s="2" t="s">
        <v>34</v>
      </c>
      <c r="K3673" s="2" t="s">
        <v>5667</v>
      </c>
      <c r="L3673" s="2" t="s">
        <v>5668</v>
      </c>
      <c r="M3673" s="2" t="s">
        <v>37</v>
      </c>
      <c r="N3673" s="2" t="s">
        <v>38</v>
      </c>
      <c r="O3673" s="2" t="s">
        <v>1951</v>
      </c>
      <c r="P3673" s="2" t="s">
        <v>10576</v>
      </c>
      <c r="Q3673" s="2" t="s">
        <v>20805</v>
      </c>
      <c r="R3673" s="2" t="s">
        <v>40</v>
      </c>
      <c r="S3673" s="2" t="s">
        <v>20806</v>
      </c>
      <c r="T3673" s="2" t="s">
        <v>20807</v>
      </c>
      <c r="U3673" s="2" t="s">
        <v>20808</v>
      </c>
      <c r="V3673" s="2" t="s">
        <v>20809</v>
      </c>
      <c r="W3673" s="1"/>
      <c r="X3673" s="2" t="s">
        <v>5030</v>
      </c>
      <c r="Y3673" s="2" t="s">
        <v>20350</v>
      </c>
      <c r="AA3673" t="str">
        <f t="shared" si="342"/>
        <v>2025-03</v>
      </c>
      <c r="AB3673" t="str">
        <f t="shared" si="343"/>
        <v>H1_2025</v>
      </c>
      <c r="AC3673">
        <f t="shared" si="344"/>
        <v>7676485.2000000002</v>
      </c>
      <c r="AD3673">
        <f t="shared" si="345"/>
        <v>600</v>
      </c>
      <c r="AE3673">
        <f t="shared" si="346"/>
        <v>1476805.2</v>
      </c>
      <c r="AF3673" t="str">
        <f t="shared" si="347"/>
        <v>Paid</v>
      </c>
    </row>
    <row r="3674" spans="1:32" ht="17.25" thickBot="1" x14ac:dyDescent="0.35">
      <c r="A3674" s="2" t="s">
        <v>20810</v>
      </c>
      <c r="B3674" s="2" t="s">
        <v>27</v>
      </c>
      <c r="C3674" s="2" t="s">
        <v>28</v>
      </c>
      <c r="D3674" s="2" t="s">
        <v>97</v>
      </c>
      <c r="E3674" s="2" t="s">
        <v>20340</v>
      </c>
      <c r="F3674" s="2" t="s">
        <v>31</v>
      </c>
      <c r="G3674" s="2" t="s">
        <v>32</v>
      </c>
      <c r="H3674" s="1"/>
      <c r="I3674" s="2" t="s">
        <v>33</v>
      </c>
      <c r="J3674" s="2" t="s">
        <v>34</v>
      </c>
      <c r="K3674" s="2" t="s">
        <v>1205</v>
      </c>
      <c r="L3674" s="2" t="s">
        <v>1206</v>
      </c>
      <c r="M3674" s="2" t="s">
        <v>37</v>
      </c>
      <c r="N3674" s="2" t="s">
        <v>38</v>
      </c>
      <c r="O3674" s="2" t="s">
        <v>773</v>
      </c>
      <c r="P3674" s="2" t="s">
        <v>17504</v>
      </c>
      <c r="Q3674" s="2" t="s">
        <v>20811</v>
      </c>
      <c r="R3674" s="2" t="s">
        <v>40</v>
      </c>
      <c r="S3674" s="2" t="s">
        <v>20812</v>
      </c>
      <c r="T3674" s="2" t="s">
        <v>3202</v>
      </c>
      <c r="U3674" s="2" t="s">
        <v>20813</v>
      </c>
      <c r="V3674" s="2" t="s">
        <v>20814</v>
      </c>
      <c r="W3674" s="1"/>
      <c r="X3674" s="2" t="s">
        <v>6886</v>
      </c>
      <c r="Y3674" s="2" t="s">
        <v>20350</v>
      </c>
      <c r="AA3674" t="str">
        <f t="shared" si="342"/>
        <v>2025-03</v>
      </c>
      <c r="AB3674" t="str">
        <f t="shared" si="343"/>
        <v>H1_2025</v>
      </c>
      <c r="AC3674">
        <f t="shared" si="344"/>
        <v>2161039.2000000002</v>
      </c>
      <c r="AD3674">
        <f t="shared" si="345"/>
        <v>200</v>
      </c>
      <c r="AE3674">
        <f t="shared" si="346"/>
        <v>595039.19999999995</v>
      </c>
      <c r="AF3674" t="str">
        <f t="shared" si="347"/>
        <v>Paid</v>
      </c>
    </row>
    <row r="3675" spans="1:32" ht="17.25" thickBot="1" x14ac:dyDescent="0.35">
      <c r="A3675" s="2" t="s">
        <v>20815</v>
      </c>
      <c r="B3675" s="2" t="s">
        <v>27</v>
      </c>
      <c r="C3675" s="2" t="s">
        <v>28</v>
      </c>
      <c r="D3675" s="2" t="s">
        <v>97</v>
      </c>
      <c r="E3675" s="2" t="s">
        <v>20340</v>
      </c>
      <c r="F3675" s="2" t="s">
        <v>31</v>
      </c>
      <c r="G3675" s="2" t="s">
        <v>32</v>
      </c>
      <c r="H3675" s="1"/>
      <c r="I3675" s="2" t="s">
        <v>33</v>
      </c>
      <c r="J3675" s="2" t="s">
        <v>34</v>
      </c>
      <c r="K3675" s="2" t="s">
        <v>5676</v>
      </c>
      <c r="L3675" s="2" t="s">
        <v>5677</v>
      </c>
      <c r="M3675" s="2" t="s">
        <v>37</v>
      </c>
      <c r="N3675" s="2" t="s">
        <v>38</v>
      </c>
      <c r="O3675" s="2" t="s">
        <v>1951</v>
      </c>
      <c r="P3675" s="2" t="s">
        <v>20816</v>
      </c>
      <c r="Q3675" s="2" t="s">
        <v>20817</v>
      </c>
      <c r="R3675" s="2" t="s">
        <v>40</v>
      </c>
      <c r="S3675" s="2" t="s">
        <v>20818</v>
      </c>
      <c r="T3675" s="2" t="s">
        <v>5680</v>
      </c>
      <c r="U3675" s="2" t="s">
        <v>20819</v>
      </c>
      <c r="V3675" s="2" t="s">
        <v>20820</v>
      </c>
      <c r="W3675" s="1"/>
      <c r="X3675" s="2" t="s">
        <v>444</v>
      </c>
      <c r="Y3675" s="2" t="s">
        <v>20350</v>
      </c>
      <c r="AA3675" t="str">
        <f t="shared" si="342"/>
        <v>2025-03</v>
      </c>
      <c r="AB3675" t="str">
        <f t="shared" si="343"/>
        <v>H1_2025</v>
      </c>
      <c r="AC3675">
        <f t="shared" si="344"/>
        <v>8395891.1999999993</v>
      </c>
      <c r="AD3675">
        <f t="shared" si="345"/>
        <v>600</v>
      </c>
      <c r="AE3675">
        <f t="shared" si="346"/>
        <v>1045891.2</v>
      </c>
      <c r="AF3675" t="str">
        <f t="shared" si="347"/>
        <v>Paid</v>
      </c>
    </row>
    <row r="3676" spans="1:32" ht="17.25" thickBot="1" x14ac:dyDescent="0.35">
      <c r="A3676" s="2" t="s">
        <v>20821</v>
      </c>
      <c r="B3676" s="2" t="s">
        <v>27</v>
      </c>
      <c r="C3676" s="2" t="s">
        <v>28</v>
      </c>
      <c r="D3676" s="2" t="s">
        <v>97</v>
      </c>
      <c r="E3676" s="2" t="s">
        <v>20340</v>
      </c>
      <c r="F3676" s="2" t="s">
        <v>31</v>
      </c>
      <c r="G3676" s="2" t="s">
        <v>32</v>
      </c>
      <c r="H3676" s="1"/>
      <c r="I3676" s="2" t="s">
        <v>33</v>
      </c>
      <c r="J3676" s="2" t="s">
        <v>34</v>
      </c>
      <c r="K3676" s="2" t="s">
        <v>20822</v>
      </c>
      <c r="L3676" s="2" t="s">
        <v>20823</v>
      </c>
      <c r="M3676" s="2" t="s">
        <v>37</v>
      </c>
      <c r="N3676" s="2" t="s">
        <v>38</v>
      </c>
      <c r="O3676" s="2" t="s">
        <v>11055</v>
      </c>
      <c r="P3676" s="2" t="s">
        <v>12288</v>
      </c>
      <c r="Q3676" s="2" t="s">
        <v>20824</v>
      </c>
      <c r="R3676" s="2" t="s">
        <v>40</v>
      </c>
      <c r="S3676" s="2" t="s">
        <v>20825</v>
      </c>
      <c r="T3676" s="2" t="s">
        <v>287</v>
      </c>
      <c r="U3676" s="2" t="s">
        <v>20826</v>
      </c>
      <c r="V3676" s="2" t="s">
        <v>20827</v>
      </c>
      <c r="W3676" s="1"/>
      <c r="X3676" s="2" t="s">
        <v>444</v>
      </c>
      <c r="Y3676" s="2" t="s">
        <v>20350</v>
      </c>
      <c r="AA3676" t="str">
        <f t="shared" si="342"/>
        <v>2025-03</v>
      </c>
      <c r="AB3676" t="str">
        <f t="shared" si="343"/>
        <v>H1_2025</v>
      </c>
      <c r="AC3676">
        <f t="shared" si="344"/>
        <v>15196393.800000001</v>
      </c>
      <c r="AD3676">
        <f t="shared" si="345"/>
        <v>1900</v>
      </c>
      <c r="AE3676">
        <f t="shared" si="346"/>
        <v>1896393.8</v>
      </c>
      <c r="AF3676" t="str">
        <f t="shared" si="347"/>
        <v>Paid</v>
      </c>
    </row>
    <row r="3677" spans="1:32" ht="17.25" thickBot="1" x14ac:dyDescent="0.35">
      <c r="A3677" s="2" t="s">
        <v>20828</v>
      </c>
      <c r="B3677" s="2" t="s">
        <v>27</v>
      </c>
      <c r="C3677" s="2" t="s">
        <v>28</v>
      </c>
      <c r="D3677" s="2" t="s">
        <v>97</v>
      </c>
      <c r="E3677" s="2" t="s">
        <v>20340</v>
      </c>
      <c r="F3677" s="2" t="s">
        <v>31</v>
      </c>
      <c r="G3677" s="2" t="s">
        <v>32</v>
      </c>
      <c r="H3677" s="1"/>
      <c r="I3677" s="2" t="s">
        <v>33</v>
      </c>
      <c r="J3677" s="2" t="s">
        <v>34</v>
      </c>
      <c r="K3677" s="2" t="s">
        <v>20829</v>
      </c>
      <c r="L3677" s="2" t="s">
        <v>20830</v>
      </c>
      <c r="M3677" s="2" t="s">
        <v>37</v>
      </c>
      <c r="N3677" s="2" t="s">
        <v>38</v>
      </c>
      <c r="O3677" s="2" t="s">
        <v>149</v>
      </c>
      <c r="P3677" s="2" t="s">
        <v>9552</v>
      </c>
      <c r="Q3677" s="2" t="s">
        <v>20831</v>
      </c>
      <c r="R3677" s="2" t="s">
        <v>40</v>
      </c>
      <c r="S3677" s="2" t="s">
        <v>20832</v>
      </c>
      <c r="T3677" s="2" t="s">
        <v>9899</v>
      </c>
      <c r="U3677" s="2" t="s">
        <v>20833</v>
      </c>
      <c r="V3677" s="2" t="s">
        <v>20834</v>
      </c>
      <c r="W3677" s="1"/>
      <c r="X3677" s="2" t="s">
        <v>7587</v>
      </c>
      <c r="Y3677" s="2" t="s">
        <v>20350</v>
      </c>
      <c r="AA3677" t="str">
        <f t="shared" si="342"/>
        <v>2025-03</v>
      </c>
      <c r="AB3677" t="str">
        <f t="shared" si="343"/>
        <v>H1_2025</v>
      </c>
      <c r="AC3677">
        <f t="shared" si="344"/>
        <v>1561534.2</v>
      </c>
      <c r="AD3677">
        <f t="shared" si="345"/>
        <v>300</v>
      </c>
      <c r="AE3677">
        <f t="shared" si="346"/>
        <v>430534.2</v>
      </c>
      <c r="AF3677" t="str">
        <f t="shared" si="347"/>
        <v>Paid</v>
      </c>
    </row>
    <row r="3678" spans="1:32" ht="17.25" thickBot="1" x14ac:dyDescent="0.35">
      <c r="A3678" s="2" t="s">
        <v>20835</v>
      </c>
      <c r="B3678" s="2" t="s">
        <v>27</v>
      </c>
      <c r="C3678" s="2" t="s">
        <v>28</v>
      </c>
      <c r="D3678" s="2" t="s">
        <v>97</v>
      </c>
      <c r="E3678" s="2" t="s">
        <v>20340</v>
      </c>
      <c r="F3678" s="2" t="s">
        <v>31</v>
      </c>
      <c r="G3678" s="2" t="s">
        <v>32</v>
      </c>
      <c r="H3678" s="1"/>
      <c r="I3678" s="2" t="s">
        <v>33</v>
      </c>
      <c r="J3678" s="2" t="s">
        <v>34</v>
      </c>
      <c r="K3678" s="2" t="s">
        <v>1241</v>
      </c>
      <c r="L3678" s="2" t="s">
        <v>1242</v>
      </c>
      <c r="M3678" s="2" t="s">
        <v>37</v>
      </c>
      <c r="N3678" s="2" t="s">
        <v>38</v>
      </c>
      <c r="O3678" s="2" t="s">
        <v>167</v>
      </c>
      <c r="P3678" s="2" t="s">
        <v>6614</v>
      </c>
      <c r="Q3678" s="2" t="s">
        <v>20836</v>
      </c>
      <c r="R3678" s="2" t="s">
        <v>40</v>
      </c>
      <c r="S3678" s="2" t="s">
        <v>20837</v>
      </c>
      <c r="T3678" s="2" t="s">
        <v>20838</v>
      </c>
      <c r="U3678" s="2" t="s">
        <v>20839</v>
      </c>
      <c r="V3678" s="2" t="s">
        <v>20840</v>
      </c>
      <c r="W3678" s="1"/>
      <c r="X3678" s="2" t="s">
        <v>20841</v>
      </c>
      <c r="Y3678" s="2" t="s">
        <v>20350</v>
      </c>
      <c r="AA3678" t="str">
        <f t="shared" si="342"/>
        <v>2025-03</v>
      </c>
      <c r="AB3678" t="str">
        <f t="shared" si="343"/>
        <v>H1_2025</v>
      </c>
      <c r="AC3678">
        <f t="shared" si="344"/>
        <v>4604198.4000000004</v>
      </c>
      <c r="AD3678">
        <f t="shared" si="345"/>
        <v>800</v>
      </c>
      <c r="AE3678">
        <f t="shared" si="346"/>
        <v>427558.40000000002</v>
      </c>
      <c r="AF3678" t="str">
        <f t="shared" si="347"/>
        <v>Paid</v>
      </c>
    </row>
    <row r="3679" spans="1:32" ht="17.25" thickBot="1" x14ac:dyDescent="0.35">
      <c r="A3679" s="2" t="s">
        <v>20842</v>
      </c>
      <c r="B3679" s="2" t="s">
        <v>27</v>
      </c>
      <c r="C3679" s="2" t="s">
        <v>28</v>
      </c>
      <c r="D3679" s="2" t="s">
        <v>97</v>
      </c>
      <c r="E3679" s="2" t="s">
        <v>20340</v>
      </c>
      <c r="F3679" s="2" t="s">
        <v>31</v>
      </c>
      <c r="G3679" s="2" t="s">
        <v>32</v>
      </c>
      <c r="H3679" s="1"/>
      <c r="I3679" s="2" t="s">
        <v>33</v>
      </c>
      <c r="J3679" s="2" t="s">
        <v>34</v>
      </c>
      <c r="K3679" s="2" t="s">
        <v>1247</v>
      </c>
      <c r="L3679" s="2" t="s">
        <v>1248</v>
      </c>
      <c r="M3679" s="2" t="s">
        <v>37</v>
      </c>
      <c r="N3679" s="2" t="s">
        <v>38</v>
      </c>
      <c r="O3679" s="2" t="s">
        <v>177</v>
      </c>
      <c r="P3679" s="2" t="s">
        <v>2039</v>
      </c>
      <c r="Q3679" s="2" t="s">
        <v>20843</v>
      </c>
      <c r="R3679" s="2" t="s">
        <v>40</v>
      </c>
      <c r="S3679" s="2" t="s">
        <v>20844</v>
      </c>
      <c r="T3679" s="2" t="s">
        <v>1253</v>
      </c>
      <c r="U3679" s="2" t="s">
        <v>14315</v>
      </c>
      <c r="V3679" s="2" t="s">
        <v>20845</v>
      </c>
      <c r="W3679" s="1"/>
      <c r="X3679" s="2" t="s">
        <v>3216</v>
      </c>
      <c r="Y3679" s="2" t="s">
        <v>20350</v>
      </c>
      <c r="AA3679" t="str">
        <f t="shared" si="342"/>
        <v>2025-03</v>
      </c>
      <c r="AB3679" t="str">
        <f t="shared" si="343"/>
        <v>H1_2025</v>
      </c>
      <c r="AC3679">
        <f t="shared" si="344"/>
        <v>671445.6</v>
      </c>
      <c r="AD3679">
        <f t="shared" si="345"/>
        <v>400</v>
      </c>
      <c r="AE3679">
        <f t="shared" si="346"/>
        <v>111445.6</v>
      </c>
      <c r="AF3679" t="str">
        <f t="shared" si="347"/>
        <v>Paid</v>
      </c>
    </row>
    <row r="3680" spans="1:32" ht="17.25" thickBot="1" x14ac:dyDescent="0.35">
      <c r="A3680" s="2" t="s">
        <v>20846</v>
      </c>
      <c r="B3680" s="2" t="s">
        <v>27</v>
      </c>
      <c r="C3680" s="2" t="s">
        <v>28</v>
      </c>
      <c r="D3680" s="2" t="s">
        <v>97</v>
      </c>
      <c r="E3680" s="2" t="s">
        <v>20340</v>
      </c>
      <c r="F3680" s="2" t="s">
        <v>31</v>
      </c>
      <c r="G3680" s="2" t="s">
        <v>32</v>
      </c>
      <c r="H3680" s="1"/>
      <c r="I3680" s="2" t="s">
        <v>33</v>
      </c>
      <c r="J3680" s="2" t="s">
        <v>34</v>
      </c>
      <c r="K3680" s="2" t="s">
        <v>1257</v>
      </c>
      <c r="L3680" s="2" t="s">
        <v>1258</v>
      </c>
      <c r="M3680" s="2" t="s">
        <v>37</v>
      </c>
      <c r="N3680" s="2" t="s">
        <v>38</v>
      </c>
      <c r="O3680" s="2" t="s">
        <v>877</v>
      </c>
      <c r="P3680" s="2" t="s">
        <v>20341</v>
      </c>
      <c r="Q3680" s="2" t="s">
        <v>20342</v>
      </c>
      <c r="R3680" s="2" t="s">
        <v>40</v>
      </c>
      <c r="S3680" s="2" t="s">
        <v>20343</v>
      </c>
      <c r="T3680" s="2" t="s">
        <v>9899</v>
      </c>
      <c r="U3680" s="2" t="s">
        <v>20847</v>
      </c>
      <c r="V3680" s="2" t="s">
        <v>20848</v>
      </c>
      <c r="W3680" s="1"/>
      <c r="X3680" s="2" t="s">
        <v>155</v>
      </c>
      <c r="Y3680" s="2" t="s">
        <v>20350</v>
      </c>
      <c r="AA3680" t="str">
        <f t="shared" si="342"/>
        <v>2025-03</v>
      </c>
      <c r="AB3680" t="str">
        <f t="shared" si="343"/>
        <v>H1_2025</v>
      </c>
      <c r="AC3680">
        <f t="shared" si="344"/>
        <v>468319.2</v>
      </c>
      <c r="AD3680">
        <f t="shared" si="345"/>
        <v>100</v>
      </c>
      <c r="AE3680">
        <f t="shared" si="346"/>
        <v>91319.2</v>
      </c>
      <c r="AF3680" t="str">
        <f t="shared" si="347"/>
        <v>Paid</v>
      </c>
    </row>
    <row r="3681" spans="1:32" ht="27.75" thickBot="1" x14ac:dyDescent="0.35">
      <c r="A3681" s="2" t="s">
        <v>20849</v>
      </c>
      <c r="B3681" s="2" t="s">
        <v>27</v>
      </c>
      <c r="C3681" s="2" t="s">
        <v>28</v>
      </c>
      <c r="D3681" s="2" t="s">
        <v>97</v>
      </c>
      <c r="E3681" s="2" t="s">
        <v>20340</v>
      </c>
      <c r="F3681" s="2" t="s">
        <v>31</v>
      </c>
      <c r="G3681" s="2" t="s">
        <v>32</v>
      </c>
      <c r="H3681" s="1"/>
      <c r="I3681" s="2" t="s">
        <v>33</v>
      </c>
      <c r="J3681" s="2" t="s">
        <v>34</v>
      </c>
      <c r="K3681" s="2" t="s">
        <v>7197</v>
      </c>
      <c r="L3681" s="2" t="s">
        <v>7198</v>
      </c>
      <c r="M3681" s="2" t="s">
        <v>37</v>
      </c>
      <c r="N3681" s="2" t="s">
        <v>38</v>
      </c>
      <c r="O3681" s="2" t="s">
        <v>645</v>
      </c>
      <c r="P3681" s="2" t="s">
        <v>40</v>
      </c>
      <c r="Q3681" s="2" t="s">
        <v>40</v>
      </c>
      <c r="R3681" s="2" t="s">
        <v>40</v>
      </c>
      <c r="S3681" s="2" t="s">
        <v>40</v>
      </c>
      <c r="T3681" s="2" t="s">
        <v>3685</v>
      </c>
      <c r="U3681" s="2" t="s">
        <v>20850</v>
      </c>
      <c r="V3681" s="2" t="s">
        <v>20851</v>
      </c>
      <c r="W3681" s="2" t="s">
        <v>41</v>
      </c>
      <c r="X3681" s="2" t="s">
        <v>42</v>
      </c>
      <c r="Y3681" s="2" t="s">
        <v>20350</v>
      </c>
      <c r="AA3681" t="str">
        <f t="shared" si="342"/>
        <v>2025-03</v>
      </c>
      <c r="AB3681" t="str">
        <f t="shared" si="343"/>
        <v>H1_2025</v>
      </c>
      <c r="AC3681">
        <f t="shared" si="344"/>
        <v>0</v>
      </c>
      <c r="AD3681">
        <f t="shared" si="345"/>
        <v>170</v>
      </c>
      <c r="AE3681">
        <f t="shared" si="346"/>
        <v>-6800000</v>
      </c>
      <c r="AF3681" t="str">
        <f t="shared" si="347"/>
        <v>Sample</v>
      </c>
    </row>
    <row r="3682" spans="1:32" ht="27.75" thickBot="1" x14ac:dyDescent="0.35">
      <c r="A3682" s="2" t="s">
        <v>20852</v>
      </c>
      <c r="B3682" s="2" t="s">
        <v>27</v>
      </c>
      <c r="C3682" s="2" t="s">
        <v>28</v>
      </c>
      <c r="D3682" s="2" t="s">
        <v>97</v>
      </c>
      <c r="E3682" s="2" t="s">
        <v>20340</v>
      </c>
      <c r="F3682" s="2" t="s">
        <v>31</v>
      </c>
      <c r="G3682" s="2" t="s">
        <v>32</v>
      </c>
      <c r="H3682" s="1"/>
      <c r="I3682" s="2" t="s">
        <v>33</v>
      </c>
      <c r="J3682" s="2" t="s">
        <v>34</v>
      </c>
      <c r="K3682" s="2" t="s">
        <v>1308</v>
      </c>
      <c r="L3682" s="2" t="s">
        <v>1309</v>
      </c>
      <c r="M3682" s="2" t="s">
        <v>37</v>
      </c>
      <c r="N3682" s="2" t="s">
        <v>38</v>
      </c>
      <c r="O3682" s="2" t="s">
        <v>773</v>
      </c>
      <c r="P3682" s="2" t="s">
        <v>20853</v>
      </c>
      <c r="Q3682" s="2" t="s">
        <v>6443</v>
      </c>
      <c r="R3682" s="2" t="s">
        <v>40</v>
      </c>
      <c r="S3682" s="2" t="s">
        <v>20854</v>
      </c>
      <c r="T3682" s="2" t="s">
        <v>6668</v>
      </c>
      <c r="U3682" s="2" t="s">
        <v>4403</v>
      </c>
      <c r="V3682" s="2" t="s">
        <v>20855</v>
      </c>
      <c r="W3682" s="1"/>
      <c r="X3682" s="2" t="s">
        <v>444</v>
      </c>
      <c r="Y3682" s="2" t="s">
        <v>20350</v>
      </c>
      <c r="AA3682" t="str">
        <f t="shared" si="342"/>
        <v>2025-03</v>
      </c>
      <c r="AB3682" t="str">
        <f t="shared" si="343"/>
        <v>H1_2025</v>
      </c>
      <c r="AC3682">
        <f t="shared" si="344"/>
        <v>3599851.2</v>
      </c>
      <c r="AD3682">
        <f t="shared" si="345"/>
        <v>200</v>
      </c>
      <c r="AE3682">
        <f t="shared" si="346"/>
        <v>449851.2</v>
      </c>
      <c r="AF3682" t="str">
        <f t="shared" si="347"/>
        <v>Paid</v>
      </c>
    </row>
    <row r="3683" spans="1:32" ht="17.25" thickBot="1" x14ac:dyDescent="0.35">
      <c r="A3683" s="2" t="s">
        <v>20856</v>
      </c>
      <c r="B3683" s="2" t="s">
        <v>27</v>
      </c>
      <c r="C3683" s="2" t="s">
        <v>28</v>
      </c>
      <c r="D3683" s="2" t="s">
        <v>97</v>
      </c>
      <c r="E3683" s="2" t="s">
        <v>20340</v>
      </c>
      <c r="F3683" s="2" t="s">
        <v>31</v>
      </c>
      <c r="G3683" s="2" t="s">
        <v>32</v>
      </c>
      <c r="H3683" s="1"/>
      <c r="I3683" s="2" t="s">
        <v>33</v>
      </c>
      <c r="J3683" s="2" t="s">
        <v>34</v>
      </c>
      <c r="K3683" s="2" t="s">
        <v>20857</v>
      </c>
      <c r="L3683" s="2" t="s">
        <v>20858</v>
      </c>
      <c r="M3683" s="2" t="s">
        <v>84</v>
      </c>
      <c r="N3683" s="2" t="s">
        <v>38</v>
      </c>
      <c r="O3683" s="2" t="s">
        <v>149</v>
      </c>
      <c r="P3683" s="2" t="s">
        <v>1010</v>
      </c>
      <c r="Q3683" s="2" t="s">
        <v>20859</v>
      </c>
      <c r="R3683" s="2" t="s">
        <v>40</v>
      </c>
      <c r="S3683" s="2" t="s">
        <v>20860</v>
      </c>
      <c r="T3683" s="2" t="s">
        <v>864</v>
      </c>
      <c r="U3683" s="2" t="s">
        <v>10742</v>
      </c>
      <c r="V3683" s="2" t="s">
        <v>20861</v>
      </c>
      <c r="W3683" s="1"/>
      <c r="X3683" s="2" t="s">
        <v>6270</v>
      </c>
      <c r="Y3683" s="2" t="s">
        <v>20350</v>
      </c>
      <c r="AA3683" t="str">
        <f t="shared" si="342"/>
        <v>2025-03</v>
      </c>
      <c r="AB3683" t="str">
        <f t="shared" si="343"/>
        <v>H1_2025</v>
      </c>
      <c r="AC3683">
        <f t="shared" si="344"/>
        <v>3448917</v>
      </c>
      <c r="AD3683">
        <f t="shared" si="345"/>
        <v>300</v>
      </c>
      <c r="AE3683">
        <f t="shared" si="346"/>
        <v>1198917</v>
      </c>
      <c r="AF3683" t="str">
        <f t="shared" si="347"/>
        <v>Paid</v>
      </c>
    </row>
    <row r="3684" spans="1:32" ht="17.25" thickBot="1" x14ac:dyDescent="0.35">
      <c r="A3684" s="2" t="s">
        <v>20862</v>
      </c>
      <c r="B3684" s="2" t="s">
        <v>27</v>
      </c>
      <c r="C3684" s="2" t="s">
        <v>28</v>
      </c>
      <c r="D3684" s="2" t="s">
        <v>97</v>
      </c>
      <c r="E3684" s="2" t="s">
        <v>20340</v>
      </c>
      <c r="F3684" s="2" t="s">
        <v>31</v>
      </c>
      <c r="G3684" s="2" t="s">
        <v>32</v>
      </c>
      <c r="H3684" s="1"/>
      <c r="I3684" s="2" t="s">
        <v>33</v>
      </c>
      <c r="J3684" s="2" t="s">
        <v>34</v>
      </c>
      <c r="K3684" s="2" t="s">
        <v>1368</v>
      </c>
      <c r="L3684" s="2" t="s">
        <v>1369</v>
      </c>
      <c r="M3684" s="2" t="s">
        <v>84</v>
      </c>
      <c r="N3684" s="2" t="s">
        <v>38</v>
      </c>
      <c r="O3684" s="2" t="s">
        <v>177</v>
      </c>
      <c r="P3684" s="2" t="s">
        <v>9857</v>
      </c>
      <c r="Q3684" s="2" t="s">
        <v>20863</v>
      </c>
      <c r="R3684" s="2" t="s">
        <v>40</v>
      </c>
      <c r="S3684" s="2" t="s">
        <v>20864</v>
      </c>
      <c r="T3684" s="2" t="s">
        <v>2275</v>
      </c>
      <c r="U3684" s="2" t="s">
        <v>12165</v>
      </c>
      <c r="V3684" s="2" t="s">
        <v>20865</v>
      </c>
      <c r="W3684" s="1"/>
      <c r="X3684" s="2" t="s">
        <v>886</v>
      </c>
      <c r="Y3684" s="2" t="s">
        <v>20350</v>
      </c>
      <c r="AA3684" t="str">
        <f t="shared" si="342"/>
        <v>2025-03</v>
      </c>
      <c r="AB3684" t="str">
        <f t="shared" si="343"/>
        <v>H1_2025</v>
      </c>
      <c r="AC3684">
        <f t="shared" si="344"/>
        <v>2460086.4</v>
      </c>
      <c r="AD3684">
        <f t="shared" si="345"/>
        <v>400</v>
      </c>
      <c r="AE3684">
        <f t="shared" si="346"/>
        <v>660086.4</v>
      </c>
      <c r="AF3684" t="str">
        <f t="shared" si="347"/>
        <v>Paid</v>
      </c>
    </row>
    <row r="3685" spans="1:32" ht="17.25" thickBot="1" x14ac:dyDescent="0.35">
      <c r="A3685" s="2" t="s">
        <v>20866</v>
      </c>
      <c r="B3685" s="2" t="s">
        <v>27</v>
      </c>
      <c r="C3685" s="2" t="s">
        <v>28</v>
      </c>
      <c r="D3685" s="2" t="s">
        <v>97</v>
      </c>
      <c r="E3685" s="2" t="s">
        <v>20340</v>
      </c>
      <c r="F3685" s="2" t="s">
        <v>31</v>
      </c>
      <c r="G3685" s="2" t="s">
        <v>32</v>
      </c>
      <c r="H3685" s="1"/>
      <c r="I3685" s="2" t="s">
        <v>33</v>
      </c>
      <c r="J3685" s="2" t="s">
        <v>34</v>
      </c>
      <c r="K3685" s="2" t="s">
        <v>1403</v>
      </c>
      <c r="L3685" s="2" t="s">
        <v>1404</v>
      </c>
      <c r="M3685" s="2" t="s">
        <v>84</v>
      </c>
      <c r="N3685" s="2" t="s">
        <v>38</v>
      </c>
      <c r="O3685" s="2" t="s">
        <v>773</v>
      </c>
      <c r="P3685" s="2" t="s">
        <v>2962</v>
      </c>
      <c r="Q3685" s="2" t="s">
        <v>20867</v>
      </c>
      <c r="R3685" s="2" t="s">
        <v>40</v>
      </c>
      <c r="S3685" s="2" t="s">
        <v>20868</v>
      </c>
      <c r="T3685" s="2" t="s">
        <v>2111</v>
      </c>
      <c r="U3685" s="2" t="s">
        <v>7554</v>
      </c>
      <c r="V3685" s="2" t="s">
        <v>20869</v>
      </c>
      <c r="W3685" s="1"/>
      <c r="X3685" s="2" t="s">
        <v>6320</v>
      </c>
      <c r="Y3685" s="2" t="s">
        <v>20350</v>
      </c>
      <c r="AA3685" t="str">
        <f t="shared" si="342"/>
        <v>2025-03</v>
      </c>
      <c r="AB3685" t="str">
        <f t="shared" si="343"/>
        <v>H1_2025</v>
      </c>
      <c r="AC3685">
        <f t="shared" si="344"/>
        <v>3072286.8</v>
      </c>
      <c r="AD3685">
        <f t="shared" si="345"/>
        <v>200</v>
      </c>
      <c r="AE3685">
        <f t="shared" si="346"/>
        <v>1072286.8</v>
      </c>
      <c r="AF3685" t="str">
        <f t="shared" si="347"/>
        <v>Paid</v>
      </c>
    </row>
    <row r="3686" spans="1:32" ht="17.25" thickBot="1" x14ac:dyDescent="0.35">
      <c r="A3686" s="2" t="s">
        <v>20870</v>
      </c>
      <c r="B3686" s="2" t="s">
        <v>27</v>
      </c>
      <c r="C3686" s="2" t="s">
        <v>28</v>
      </c>
      <c r="D3686" s="2" t="s">
        <v>97</v>
      </c>
      <c r="E3686" s="2" t="s">
        <v>20340</v>
      </c>
      <c r="F3686" s="2" t="s">
        <v>31</v>
      </c>
      <c r="G3686" s="2" t="s">
        <v>32</v>
      </c>
      <c r="H3686" s="1"/>
      <c r="I3686" s="2" t="s">
        <v>33</v>
      </c>
      <c r="J3686" s="2" t="s">
        <v>34</v>
      </c>
      <c r="K3686" s="2" t="s">
        <v>1439</v>
      </c>
      <c r="L3686" s="2" t="s">
        <v>1440</v>
      </c>
      <c r="M3686" s="2" t="s">
        <v>84</v>
      </c>
      <c r="N3686" s="2" t="s">
        <v>38</v>
      </c>
      <c r="O3686" s="2" t="s">
        <v>206</v>
      </c>
      <c r="P3686" s="2" t="s">
        <v>5443</v>
      </c>
      <c r="Q3686" s="2" t="s">
        <v>20871</v>
      </c>
      <c r="R3686" s="2" t="s">
        <v>40</v>
      </c>
      <c r="S3686" s="2" t="s">
        <v>20872</v>
      </c>
      <c r="T3686" s="2" t="s">
        <v>3213</v>
      </c>
      <c r="U3686" s="2" t="s">
        <v>20873</v>
      </c>
      <c r="V3686" s="2" t="s">
        <v>20874</v>
      </c>
      <c r="W3686" s="1"/>
      <c r="X3686" s="2" t="s">
        <v>8980</v>
      </c>
      <c r="Y3686" s="2" t="s">
        <v>20350</v>
      </c>
      <c r="AA3686" t="str">
        <f t="shared" si="342"/>
        <v>2025-03</v>
      </c>
      <c r="AB3686" t="str">
        <f t="shared" si="343"/>
        <v>H1_2025</v>
      </c>
      <c r="AC3686">
        <f t="shared" si="344"/>
        <v>2997525</v>
      </c>
      <c r="AD3686">
        <f t="shared" si="345"/>
        <v>500</v>
      </c>
      <c r="AE3686">
        <f t="shared" si="346"/>
        <v>397525</v>
      </c>
      <c r="AF3686" t="str">
        <f t="shared" si="347"/>
        <v>Paid</v>
      </c>
    </row>
    <row r="3687" spans="1:32" ht="17.25" thickBot="1" x14ac:dyDescent="0.35">
      <c r="A3687" s="2" t="s">
        <v>20875</v>
      </c>
      <c r="B3687" s="2" t="s">
        <v>27</v>
      </c>
      <c r="C3687" s="2" t="s">
        <v>28</v>
      </c>
      <c r="D3687" s="2" t="s">
        <v>97</v>
      </c>
      <c r="E3687" s="2" t="s">
        <v>20340</v>
      </c>
      <c r="F3687" s="2" t="s">
        <v>31</v>
      </c>
      <c r="G3687" s="2" t="s">
        <v>32</v>
      </c>
      <c r="H3687" s="1"/>
      <c r="I3687" s="2" t="s">
        <v>33</v>
      </c>
      <c r="J3687" s="2" t="s">
        <v>34</v>
      </c>
      <c r="K3687" s="2" t="s">
        <v>1505</v>
      </c>
      <c r="L3687" s="2" t="s">
        <v>1506</v>
      </c>
      <c r="M3687" s="2" t="s">
        <v>84</v>
      </c>
      <c r="N3687" s="2" t="s">
        <v>38</v>
      </c>
      <c r="O3687" s="2" t="s">
        <v>18874</v>
      </c>
      <c r="P3687" s="2" t="s">
        <v>2220</v>
      </c>
      <c r="Q3687" s="2" t="s">
        <v>20876</v>
      </c>
      <c r="R3687" s="2" t="s">
        <v>40</v>
      </c>
      <c r="S3687" s="2" t="s">
        <v>20877</v>
      </c>
      <c r="T3687" s="2" t="s">
        <v>6652</v>
      </c>
      <c r="U3687" s="2" t="s">
        <v>20878</v>
      </c>
      <c r="V3687" s="2" t="s">
        <v>20879</v>
      </c>
      <c r="W3687" s="1"/>
      <c r="X3687" s="2" t="s">
        <v>18826</v>
      </c>
      <c r="Y3687" s="2" t="s">
        <v>20350</v>
      </c>
      <c r="AA3687" t="str">
        <f t="shared" si="342"/>
        <v>2025-03</v>
      </c>
      <c r="AB3687" t="str">
        <f t="shared" si="343"/>
        <v>H1_2025</v>
      </c>
      <c r="AC3687">
        <f t="shared" si="344"/>
        <v>20885343.600000001</v>
      </c>
      <c r="AD3687">
        <f t="shared" si="345"/>
        <v>2200</v>
      </c>
      <c r="AE3687">
        <f t="shared" si="346"/>
        <v>6585343.5999999996</v>
      </c>
      <c r="AF3687" t="str">
        <f t="shared" si="347"/>
        <v>Paid</v>
      </c>
    </row>
    <row r="3688" spans="1:32" ht="27.75" thickBot="1" x14ac:dyDescent="0.35">
      <c r="A3688" s="2" t="s">
        <v>20880</v>
      </c>
      <c r="B3688" s="2" t="s">
        <v>27</v>
      </c>
      <c r="C3688" s="2" t="s">
        <v>28</v>
      </c>
      <c r="D3688" s="2" t="s">
        <v>97</v>
      </c>
      <c r="E3688" s="2" t="s">
        <v>20340</v>
      </c>
      <c r="F3688" s="2" t="s">
        <v>31</v>
      </c>
      <c r="G3688" s="2" t="s">
        <v>32</v>
      </c>
      <c r="H3688" s="1"/>
      <c r="I3688" s="2" t="s">
        <v>33</v>
      </c>
      <c r="J3688" s="2" t="s">
        <v>34</v>
      </c>
      <c r="K3688" s="2" t="s">
        <v>20308</v>
      </c>
      <c r="L3688" s="2" t="s">
        <v>20309</v>
      </c>
      <c r="M3688" s="2" t="s">
        <v>1757</v>
      </c>
      <c r="N3688" s="2" t="s">
        <v>38</v>
      </c>
      <c r="O3688" s="2" t="s">
        <v>141</v>
      </c>
      <c r="P3688" s="2" t="s">
        <v>40</v>
      </c>
      <c r="Q3688" s="2" t="s">
        <v>40</v>
      </c>
      <c r="R3688" s="2" t="s">
        <v>40</v>
      </c>
      <c r="S3688" s="2" t="s">
        <v>40</v>
      </c>
      <c r="T3688" s="2" t="s">
        <v>40</v>
      </c>
      <c r="U3688" s="2" t="s">
        <v>40</v>
      </c>
      <c r="V3688" s="2" t="s">
        <v>40</v>
      </c>
      <c r="W3688" s="2" t="s">
        <v>41</v>
      </c>
      <c r="X3688" s="2" t="s">
        <v>42</v>
      </c>
      <c r="Y3688" s="2" t="s">
        <v>20350</v>
      </c>
      <c r="AA3688" t="str">
        <f t="shared" si="342"/>
        <v>2025-03</v>
      </c>
      <c r="AB3688" t="str">
        <f t="shared" si="343"/>
        <v>H1_2025</v>
      </c>
      <c r="AC3688">
        <f t="shared" si="344"/>
        <v>0</v>
      </c>
      <c r="AD3688">
        <f t="shared" si="345"/>
        <v>30</v>
      </c>
      <c r="AE3688">
        <f t="shared" si="346"/>
        <v>0</v>
      </c>
      <c r="AF3688" t="str">
        <f t="shared" si="347"/>
        <v>Sample</v>
      </c>
    </row>
    <row r="3689" spans="1:32" ht="17.25" thickBot="1" x14ac:dyDescent="0.35">
      <c r="A3689" s="2" t="s">
        <v>20881</v>
      </c>
      <c r="B3689" s="2" t="s">
        <v>27</v>
      </c>
      <c r="C3689" s="2" t="s">
        <v>28</v>
      </c>
      <c r="D3689" s="2" t="s">
        <v>97</v>
      </c>
      <c r="E3689" s="2" t="s">
        <v>20340</v>
      </c>
      <c r="F3689" s="2" t="s">
        <v>31</v>
      </c>
      <c r="G3689" s="2" t="s">
        <v>32</v>
      </c>
      <c r="H3689" s="1"/>
      <c r="I3689" s="2" t="s">
        <v>33</v>
      </c>
      <c r="J3689" s="2" t="s">
        <v>34</v>
      </c>
      <c r="K3689" s="2" t="s">
        <v>20882</v>
      </c>
      <c r="L3689" s="2" t="s">
        <v>20883</v>
      </c>
      <c r="M3689" s="2" t="s">
        <v>5102</v>
      </c>
      <c r="N3689" s="2" t="s">
        <v>38</v>
      </c>
      <c r="O3689" s="2" t="s">
        <v>167</v>
      </c>
      <c r="P3689" s="2" t="s">
        <v>40</v>
      </c>
      <c r="Q3689" s="2" t="s">
        <v>40</v>
      </c>
      <c r="R3689" s="2" t="s">
        <v>40</v>
      </c>
      <c r="S3689" s="2" t="s">
        <v>40</v>
      </c>
      <c r="T3689" s="2" t="s">
        <v>6975</v>
      </c>
      <c r="U3689" s="2" t="s">
        <v>20884</v>
      </c>
      <c r="V3689" s="2" t="s">
        <v>20885</v>
      </c>
      <c r="W3689" s="2" t="s">
        <v>41</v>
      </c>
      <c r="X3689" s="2" t="s">
        <v>42</v>
      </c>
      <c r="Y3689" s="2" t="s">
        <v>20350</v>
      </c>
      <c r="AA3689" t="str">
        <f t="shared" si="342"/>
        <v>2025-03</v>
      </c>
      <c r="AB3689" t="str">
        <f t="shared" si="343"/>
        <v>H1_2025</v>
      </c>
      <c r="AC3689">
        <f t="shared" si="344"/>
        <v>0</v>
      </c>
      <c r="AD3689">
        <f t="shared" si="345"/>
        <v>800</v>
      </c>
      <c r="AE3689">
        <f t="shared" si="346"/>
        <v>-785600</v>
      </c>
      <c r="AF3689" t="str">
        <f t="shared" si="347"/>
        <v>Sample</v>
      </c>
    </row>
    <row r="3690" spans="1:32" ht="17.25" thickBot="1" x14ac:dyDescent="0.35">
      <c r="A3690" s="2" t="s">
        <v>20886</v>
      </c>
      <c r="B3690" s="2" t="s">
        <v>27</v>
      </c>
      <c r="C3690" s="2" t="s">
        <v>28</v>
      </c>
      <c r="D3690" s="2" t="s">
        <v>97</v>
      </c>
      <c r="E3690" s="2" t="s">
        <v>20340</v>
      </c>
      <c r="F3690" s="2" t="s">
        <v>31</v>
      </c>
      <c r="G3690" s="2" t="s">
        <v>32</v>
      </c>
      <c r="H3690" s="1"/>
      <c r="I3690" s="2" t="s">
        <v>33</v>
      </c>
      <c r="J3690" s="2" t="s">
        <v>34</v>
      </c>
      <c r="K3690" s="2" t="s">
        <v>20887</v>
      </c>
      <c r="L3690" s="2" t="s">
        <v>20888</v>
      </c>
      <c r="M3690" s="2" t="s">
        <v>5102</v>
      </c>
      <c r="N3690" s="2" t="s">
        <v>38</v>
      </c>
      <c r="O3690" s="2" t="s">
        <v>167</v>
      </c>
      <c r="P3690" s="2" t="s">
        <v>20889</v>
      </c>
      <c r="Q3690" s="2" t="s">
        <v>20890</v>
      </c>
      <c r="R3690" s="2" t="s">
        <v>40</v>
      </c>
      <c r="S3690" s="2" t="s">
        <v>20891</v>
      </c>
      <c r="T3690" s="2" t="s">
        <v>20892</v>
      </c>
      <c r="U3690" s="2" t="s">
        <v>2135</v>
      </c>
      <c r="V3690" s="2" t="s">
        <v>20893</v>
      </c>
      <c r="W3690" s="1"/>
      <c r="X3690" s="2" t="s">
        <v>20894</v>
      </c>
      <c r="Y3690" s="2" t="s">
        <v>20350</v>
      </c>
      <c r="AA3690" t="str">
        <f t="shared" si="342"/>
        <v>2025-03</v>
      </c>
      <c r="AB3690" t="str">
        <f t="shared" si="343"/>
        <v>H1_2025</v>
      </c>
      <c r="AC3690">
        <f t="shared" si="344"/>
        <v>1805568</v>
      </c>
      <c r="AD3690">
        <f t="shared" si="345"/>
        <v>800</v>
      </c>
      <c r="AE3690">
        <f t="shared" si="346"/>
        <v>725568</v>
      </c>
      <c r="AF3690" t="str">
        <f t="shared" si="347"/>
        <v>Paid</v>
      </c>
    </row>
    <row r="3691" spans="1:32" ht="17.25" thickBot="1" x14ac:dyDescent="0.35">
      <c r="A3691" s="2" t="s">
        <v>20895</v>
      </c>
      <c r="B3691" s="2" t="s">
        <v>27</v>
      </c>
      <c r="C3691" s="2" t="s">
        <v>28</v>
      </c>
      <c r="D3691" s="2" t="s">
        <v>97</v>
      </c>
      <c r="E3691" s="2" t="s">
        <v>20340</v>
      </c>
      <c r="F3691" s="2" t="s">
        <v>31</v>
      </c>
      <c r="G3691" s="2" t="s">
        <v>32</v>
      </c>
      <c r="H3691" s="1"/>
      <c r="I3691" s="2" t="s">
        <v>33</v>
      </c>
      <c r="J3691" s="2" t="s">
        <v>34</v>
      </c>
      <c r="K3691" s="2" t="s">
        <v>18852</v>
      </c>
      <c r="L3691" s="2" t="s">
        <v>18853</v>
      </c>
      <c r="M3691" s="2" t="s">
        <v>5102</v>
      </c>
      <c r="N3691" s="2" t="s">
        <v>38</v>
      </c>
      <c r="O3691" s="2" t="s">
        <v>206</v>
      </c>
      <c r="P3691" s="2" t="s">
        <v>20896</v>
      </c>
      <c r="Q3691" s="2" t="s">
        <v>20897</v>
      </c>
      <c r="R3691" s="2" t="s">
        <v>40</v>
      </c>
      <c r="S3691" s="2" t="s">
        <v>20898</v>
      </c>
      <c r="T3691" s="2" t="s">
        <v>20899</v>
      </c>
      <c r="U3691" s="2" t="s">
        <v>20900</v>
      </c>
      <c r="V3691" s="2" t="s">
        <v>20901</v>
      </c>
      <c r="W3691" s="1"/>
      <c r="X3691" s="2" t="s">
        <v>6532</v>
      </c>
      <c r="Y3691" s="2" t="s">
        <v>20350</v>
      </c>
      <c r="AA3691" t="str">
        <f t="shared" si="342"/>
        <v>2025-03</v>
      </c>
      <c r="AB3691" t="str">
        <f t="shared" si="343"/>
        <v>H1_2025</v>
      </c>
      <c r="AC3691">
        <f t="shared" si="344"/>
        <v>10318539</v>
      </c>
      <c r="AD3691">
        <f t="shared" si="345"/>
        <v>500</v>
      </c>
      <c r="AE3691">
        <f t="shared" si="346"/>
        <v>3282039</v>
      </c>
      <c r="AF3691" t="str">
        <f t="shared" si="347"/>
        <v>Paid</v>
      </c>
    </row>
    <row r="3692" spans="1:32" ht="17.25" thickBot="1" x14ac:dyDescent="0.35">
      <c r="A3692" s="2" t="s">
        <v>20902</v>
      </c>
      <c r="B3692" s="2" t="s">
        <v>27</v>
      </c>
      <c r="C3692" s="2" t="s">
        <v>28</v>
      </c>
      <c r="D3692" s="2" t="s">
        <v>97</v>
      </c>
      <c r="E3692" s="2" t="s">
        <v>20340</v>
      </c>
      <c r="F3692" s="2" t="s">
        <v>31</v>
      </c>
      <c r="G3692" s="2" t="s">
        <v>32</v>
      </c>
      <c r="H3692" s="1"/>
      <c r="I3692" s="2" t="s">
        <v>33</v>
      </c>
      <c r="J3692" s="2" t="s">
        <v>34</v>
      </c>
      <c r="K3692" s="2" t="s">
        <v>20903</v>
      </c>
      <c r="L3692" s="2" t="s">
        <v>20904</v>
      </c>
      <c r="M3692" s="2" t="s">
        <v>5102</v>
      </c>
      <c r="N3692" s="2" t="s">
        <v>38</v>
      </c>
      <c r="O3692" s="2" t="s">
        <v>177</v>
      </c>
      <c r="P3692" s="2" t="s">
        <v>8776</v>
      </c>
      <c r="Q3692" s="2" t="s">
        <v>20905</v>
      </c>
      <c r="R3692" s="2" t="s">
        <v>40</v>
      </c>
      <c r="S3692" s="2" t="s">
        <v>20906</v>
      </c>
      <c r="T3692" s="2" t="s">
        <v>1534</v>
      </c>
      <c r="U3692" s="2" t="s">
        <v>20907</v>
      </c>
      <c r="V3692" s="2" t="s">
        <v>20908</v>
      </c>
      <c r="W3692" s="1"/>
      <c r="X3692" s="2" t="s">
        <v>1427</v>
      </c>
      <c r="Y3692" s="2" t="s">
        <v>20350</v>
      </c>
      <c r="AA3692" t="str">
        <f t="shared" si="342"/>
        <v>2025-03</v>
      </c>
      <c r="AB3692" t="str">
        <f t="shared" si="343"/>
        <v>H1_2025</v>
      </c>
      <c r="AC3692">
        <f t="shared" si="344"/>
        <v>5185365.5999999996</v>
      </c>
      <c r="AD3692">
        <f t="shared" si="345"/>
        <v>400</v>
      </c>
      <c r="AE3692">
        <f t="shared" si="346"/>
        <v>1258165.6000000001</v>
      </c>
      <c r="AF3692" t="str">
        <f t="shared" si="347"/>
        <v>Paid</v>
      </c>
    </row>
    <row r="3693" spans="1:32" ht="17.25" thickBot="1" x14ac:dyDescent="0.35">
      <c r="A3693" s="2" t="s">
        <v>20909</v>
      </c>
      <c r="B3693" s="2" t="s">
        <v>27</v>
      </c>
      <c r="C3693" s="2" t="s">
        <v>28</v>
      </c>
      <c r="D3693" s="2" t="s">
        <v>97</v>
      </c>
      <c r="E3693" s="2" t="s">
        <v>20340</v>
      </c>
      <c r="F3693" s="2" t="s">
        <v>31</v>
      </c>
      <c r="G3693" s="2" t="s">
        <v>32</v>
      </c>
      <c r="H3693" s="1"/>
      <c r="I3693" s="2" t="s">
        <v>33</v>
      </c>
      <c r="J3693" s="2" t="s">
        <v>34</v>
      </c>
      <c r="K3693" s="2" t="s">
        <v>20910</v>
      </c>
      <c r="L3693" s="2" t="s">
        <v>20911</v>
      </c>
      <c r="M3693" s="2" t="s">
        <v>5102</v>
      </c>
      <c r="N3693" s="2" t="s">
        <v>38</v>
      </c>
      <c r="O3693" s="2" t="s">
        <v>177</v>
      </c>
      <c r="P3693" s="2" t="s">
        <v>20912</v>
      </c>
      <c r="Q3693" s="2" t="s">
        <v>20913</v>
      </c>
      <c r="R3693" s="2" t="s">
        <v>40</v>
      </c>
      <c r="S3693" s="2" t="s">
        <v>20914</v>
      </c>
      <c r="T3693" s="2" t="s">
        <v>20915</v>
      </c>
      <c r="U3693" s="2" t="s">
        <v>20916</v>
      </c>
      <c r="V3693" s="2" t="s">
        <v>20917</v>
      </c>
      <c r="W3693" s="1"/>
      <c r="X3693" s="2" t="s">
        <v>1427</v>
      </c>
      <c r="Y3693" s="2" t="s">
        <v>20350</v>
      </c>
      <c r="AA3693" t="str">
        <f t="shared" si="342"/>
        <v>2025-03</v>
      </c>
      <c r="AB3693" t="str">
        <f t="shared" si="343"/>
        <v>H1_2025</v>
      </c>
      <c r="AC3693">
        <f t="shared" si="344"/>
        <v>11138097.6</v>
      </c>
      <c r="AD3693">
        <f t="shared" si="345"/>
        <v>400</v>
      </c>
      <c r="AE3693">
        <f t="shared" si="346"/>
        <v>2701697.6</v>
      </c>
      <c r="AF3693" t="str">
        <f t="shared" si="347"/>
        <v>Paid</v>
      </c>
    </row>
    <row r="3694" spans="1:32" ht="17.25" thickBot="1" x14ac:dyDescent="0.35">
      <c r="A3694" s="2" t="s">
        <v>20918</v>
      </c>
      <c r="B3694" s="2" t="s">
        <v>27</v>
      </c>
      <c r="C3694" s="2" t="s">
        <v>28</v>
      </c>
      <c r="D3694" s="2" t="s">
        <v>97</v>
      </c>
      <c r="E3694" s="2" t="s">
        <v>20919</v>
      </c>
      <c r="F3694" s="2" t="s">
        <v>31</v>
      </c>
      <c r="G3694" s="2" t="s">
        <v>32</v>
      </c>
      <c r="H3694" s="1"/>
      <c r="I3694" s="2" t="s">
        <v>33</v>
      </c>
      <c r="J3694" s="2" t="s">
        <v>34</v>
      </c>
      <c r="K3694" s="2" t="s">
        <v>2280</v>
      </c>
      <c r="L3694" s="2" t="s">
        <v>2281</v>
      </c>
      <c r="M3694" s="2" t="s">
        <v>2270</v>
      </c>
      <c r="N3694" s="2" t="s">
        <v>38</v>
      </c>
      <c r="O3694" s="2" t="s">
        <v>652</v>
      </c>
      <c r="P3694" s="2" t="s">
        <v>20187</v>
      </c>
      <c r="Q3694" s="2" t="s">
        <v>20920</v>
      </c>
      <c r="R3694" s="2" t="s">
        <v>40</v>
      </c>
      <c r="S3694" s="2" t="s">
        <v>20921</v>
      </c>
      <c r="T3694" s="2" t="s">
        <v>2275</v>
      </c>
      <c r="U3694" s="2" t="s">
        <v>3547</v>
      </c>
      <c r="V3694" s="2" t="s">
        <v>20922</v>
      </c>
      <c r="W3694" s="1"/>
      <c r="X3694" s="2" t="s">
        <v>12941</v>
      </c>
      <c r="Y3694" s="2" t="s">
        <v>20923</v>
      </c>
      <c r="AA3694" t="str">
        <f t="shared" si="342"/>
        <v>2025-03</v>
      </c>
      <c r="AB3694" t="str">
        <f t="shared" si="343"/>
        <v>H1_2025</v>
      </c>
      <c r="AC3694">
        <f t="shared" si="344"/>
        <v>418976.45</v>
      </c>
      <c r="AD3694">
        <f t="shared" si="345"/>
        <v>76</v>
      </c>
      <c r="AE3694">
        <f t="shared" si="346"/>
        <v>76976.45</v>
      </c>
      <c r="AF3694" t="str">
        <f t="shared" si="347"/>
        <v>Paid</v>
      </c>
    </row>
    <row r="3695" spans="1:32" ht="17.25" thickBot="1" x14ac:dyDescent="0.35">
      <c r="A3695" s="2" t="s">
        <v>20924</v>
      </c>
      <c r="B3695" s="2" t="s">
        <v>27</v>
      </c>
      <c r="C3695" s="2" t="s">
        <v>28</v>
      </c>
      <c r="D3695" s="2" t="s">
        <v>97</v>
      </c>
      <c r="E3695" s="2" t="s">
        <v>20919</v>
      </c>
      <c r="F3695" s="2" t="s">
        <v>31</v>
      </c>
      <c r="G3695" s="2" t="s">
        <v>32</v>
      </c>
      <c r="H3695" s="1"/>
      <c r="I3695" s="2" t="s">
        <v>33</v>
      </c>
      <c r="J3695" s="2" t="s">
        <v>34</v>
      </c>
      <c r="K3695" s="2" t="s">
        <v>2280</v>
      </c>
      <c r="L3695" s="2" t="s">
        <v>2281</v>
      </c>
      <c r="M3695" s="2" t="s">
        <v>2270</v>
      </c>
      <c r="N3695" s="2" t="s">
        <v>38</v>
      </c>
      <c r="O3695" s="2" t="s">
        <v>206</v>
      </c>
      <c r="P3695" s="2" t="s">
        <v>20187</v>
      </c>
      <c r="Q3695" s="2" t="s">
        <v>20925</v>
      </c>
      <c r="R3695" s="2" t="s">
        <v>40</v>
      </c>
      <c r="S3695" s="2" t="s">
        <v>20926</v>
      </c>
      <c r="T3695" s="2" t="s">
        <v>2275</v>
      </c>
      <c r="U3695" s="2" t="s">
        <v>10742</v>
      </c>
      <c r="V3695" s="2" t="s">
        <v>20927</v>
      </c>
      <c r="W3695" s="1"/>
      <c r="X3695" s="2" t="s">
        <v>12941</v>
      </c>
      <c r="Y3695" s="2" t="s">
        <v>20923</v>
      </c>
      <c r="AA3695" t="str">
        <f t="shared" si="342"/>
        <v>2025-03</v>
      </c>
      <c r="AB3695" t="str">
        <f t="shared" si="343"/>
        <v>H1_2025</v>
      </c>
      <c r="AC3695">
        <f t="shared" si="344"/>
        <v>2756424</v>
      </c>
      <c r="AD3695">
        <f t="shared" si="345"/>
        <v>500</v>
      </c>
      <c r="AE3695">
        <f t="shared" si="346"/>
        <v>506424</v>
      </c>
      <c r="AF3695" t="str">
        <f t="shared" si="347"/>
        <v>Paid</v>
      </c>
    </row>
    <row r="3696" spans="1:32" ht="17.25" thickBot="1" x14ac:dyDescent="0.35">
      <c r="A3696" s="2" t="s">
        <v>20928</v>
      </c>
      <c r="B3696" s="2" t="s">
        <v>27</v>
      </c>
      <c r="C3696" s="2" t="s">
        <v>28</v>
      </c>
      <c r="D3696" s="2" t="s">
        <v>97</v>
      </c>
      <c r="E3696" s="2" t="s">
        <v>20919</v>
      </c>
      <c r="F3696" s="2" t="s">
        <v>31</v>
      </c>
      <c r="G3696" s="2" t="s">
        <v>32</v>
      </c>
      <c r="H3696" s="1"/>
      <c r="I3696" s="2" t="s">
        <v>33</v>
      </c>
      <c r="J3696" s="2" t="s">
        <v>34</v>
      </c>
      <c r="K3696" s="2" t="s">
        <v>2280</v>
      </c>
      <c r="L3696" s="2" t="s">
        <v>2281</v>
      </c>
      <c r="M3696" s="2" t="s">
        <v>2270</v>
      </c>
      <c r="N3696" s="2" t="s">
        <v>38</v>
      </c>
      <c r="O3696" s="2" t="s">
        <v>2014</v>
      </c>
      <c r="P3696" s="2" t="s">
        <v>20187</v>
      </c>
      <c r="Q3696" s="2" t="s">
        <v>20929</v>
      </c>
      <c r="R3696" s="2" t="s">
        <v>40</v>
      </c>
      <c r="S3696" s="2" t="s">
        <v>20930</v>
      </c>
      <c r="T3696" s="2" t="s">
        <v>2275</v>
      </c>
      <c r="U3696" s="2" t="s">
        <v>2128</v>
      </c>
      <c r="V3696" s="2" t="s">
        <v>20931</v>
      </c>
      <c r="W3696" s="1"/>
      <c r="X3696" s="2" t="s">
        <v>12941</v>
      </c>
      <c r="Y3696" s="2" t="s">
        <v>20923</v>
      </c>
      <c r="AA3696" t="str">
        <f t="shared" si="342"/>
        <v>2025-03</v>
      </c>
      <c r="AB3696" t="str">
        <f t="shared" si="343"/>
        <v>H1_2025</v>
      </c>
      <c r="AC3696">
        <f t="shared" si="344"/>
        <v>5292334.08</v>
      </c>
      <c r="AD3696">
        <f t="shared" si="345"/>
        <v>960</v>
      </c>
      <c r="AE3696">
        <f t="shared" si="346"/>
        <v>972334.07999999996</v>
      </c>
      <c r="AF3696" t="str">
        <f t="shared" si="347"/>
        <v>Paid</v>
      </c>
    </row>
    <row r="3697" spans="1:32" ht="27.75" thickBot="1" x14ac:dyDescent="0.35">
      <c r="A3697" s="2" t="s">
        <v>20932</v>
      </c>
      <c r="B3697" s="2" t="s">
        <v>27</v>
      </c>
      <c r="C3697" s="2" t="s">
        <v>28</v>
      </c>
      <c r="D3697" s="2" t="s">
        <v>97</v>
      </c>
      <c r="E3697" s="2" t="s">
        <v>20919</v>
      </c>
      <c r="F3697" s="2" t="s">
        <v>31</v>
      </c>
      <c r="G3697" s="2" t="s">
        <v>32</v>
      </c>
      <c r="H3697" s="1"/>
      <c r="I3697" s="2" t="s">
        <v>33</v>
      </c>
      <c r="J3697" s="2" t="s">
        <v>34</v>
      </c>
      <c r="K3697" s="2" t="s">
        <v>2288</v>
      </c>
      <c r="L3697" s="2" t="s">
        <v>2289</v>
      </c>
      <c r="M3697" s="2" t="s">
        <v>2270</v>
      </c>
      <c r="N3697" s="2" t="s">
        <v>38</v>
      </c>
      <c r="O3697" s="2" t="s">
        <v>1130</v>
      </c>
      <c r="P3697" s="2" t="s">
        <v>20187</v>
      </c>
      <c r="Q3697" s="2" t="s">
        <v>20933</v>
      </c>
      <c r="R3697" s="2" t="s">
        <v>40</v>
      </c>
      <c r="S3697" s="2" t="s">
        <v>20934</v>
      </c>
      <c r="T3697" s="2" t="s">
        <v>2275</v>
      </c>
      <c r="U3697" s="2" t="s">
        <v>10006</v>
      </c>
      <c r="V3697" s="2" t="s">
        <v>20935</v>
      </c>
      <c r="W3697" s="1"/>
      <c r="X3697" s="2" t="s">
        <v>12941</v>
      </c>
      <c r="Y3697" s="2" t="s">
        <v>20923</v>
      </c>
      <c r="AA3697" t="str">
        <f t="shared" si="342"/>
        <v>2025-03</v>
      </c>
      <c r="AB3697" t="str">
        <f t="shared" si="343"/>
        <v>H1_2025</v>
      </c>
      <c r="AC3697">
        <f t="shared" si="344"/>
        <v>694618.85</v>
      </c>
      <c r="AD3697">
        <f t="shared" si="345"/>
        <v>126</v>
      </c>
      <c r="AE3697">
        <f t="shared" si="346"/>
        <v>127618.85</v>
      </c>
      <c r="AF3697" t="str">
        <f t="shared" si="347"/>
        <v>Paid</v>
      </c>
    </row>
    <row r="3698" spans="1:32" ht="27.75" thickBot="1" x14ac:dyDescent="0.35">
      <c r="A3698" s="2" t="s">
        <v>20936</v>
      </c>
      <c r="B3698" s="2" t="s">
        <v>27</v>
      </c>
      <c r="C3698" s="2" t="s">
        <v>28</v>
      </c>
      <c r="D3698" s="2" t="s">
        <v>97</v>
      </c>
      <c r="E3698" s="2" t="s">
        <v>20919</v>
      </c>
      <c r="F3698" s="2" t="s">
        <v>31</v>
      </c>
      <c r="G3698" s="2" t="s">
        <v>32</v>
      </c>
      <c r="H3698" s="1"/>
      <c r="I3698" s="2" t="s">
        <v>33</v>
      </c>
      <c r="J3698" s="2" t="s">
        <v>34</v>
      </c>
      <c r="K3698" s="2" t="s">
        <v>20181</v>
      </c>
      <c r="L3698" s="2" t="s">
        <v>20182</v>
      </c>
      <c r="M3698" s="2" t="s">
        <v>2270</v>
      </c>
      <c r="N3698" s="2" t="s">
        <v>38</v>
      </c>
      <c r="O3698" s="2" t="s">
        <v>1644</v>
      </c>
      <c r="P3698" s="2" t="s">
        <v>15977</v>
      </c>
      <c r="Q3698" s="2" t="s">
        <v>14874</v>
      </c>
      <c r="R3698" s="2" t="s">
        <v>40</v>
      </c>
      <c r="S3698" s="2" t="s">
        <v>20937</v>
      </c>
      <c r="T3698" s="2" t="s">
        <v>13496</v>
      </c>
      <c r="U3698" s="2" t="s">
        <v>3303</v>
      </c>
      <c r="V3698" s="2" t="s">
        <v>20938</v>
      </c>
      <c r="W3698" s="1"/>
      <c r="X3698" s="2" t="s">
        <v>1195</v>
      </c>
      <c r="Y3698" s="2" t="s">
        <v>20923</v>
      </c>
      <c r="AA3698" t="str">
        <f t="shared" si="342"/>
        <v>2025-03</v>
      </c>
      <c r="AB3698" t="str">
        <f t="shared" si="343"/>
        <v>H1_2025</v>
      </c>
      <c r="AC3698">
        <f t="shared" si="344"/>
        <v>705196.8</v>
      </c>
      <c r="AD3698">
        <f t="shared" si="345"/>
        <v>1200</v>
      </c>
      <c r="AE3698">
        <f t="shared" si="346"/>
        <v>105196.8</v>
      </c>
      <c r="AF3698" t="str">
        <f t="shared" si="347"/>
        <v>Paid</v>
      </c>
    </row>
    <row r="3699" spans="1:32" ht="17.25" thickBot="1" x14ac:dyDescent="0.35">
      <c r="A3699" s="2" t="s">
        <v>20939</v>
      </c>
      <c r="B3699" s="2" t="s">
        <v>27</v>
      </c>
      <c r="C3699" s="2" t="s">
        <v>28</v>
      </c>
      <c r="D3699" s="2" t="s">
        <v>97</v>
      </c>
      <c r="E3699" s="2" t="s">
        <v>20919</v>
      </c>
      <c r="F3699" s="2" t="s">
        <v>31</v>
      </c>
      <c r="G3699" s="2" t="s">
        <v>32</v>
      </c>
      <c r="H3699" s="1"/>
      <c r="I3699" s="2" t="s">
        <v>33</v>
      </c>
      <c r="J3699" s="2" t="s">
        <v>34</v>
      </c>
      <c r="K3699" s="2" t="s">
        <v>2293</v>
      </c>
      <c r="L3699" s="2" t="s">
        <v>2294</v>
      </c>
      <c r="M3699" s="2" t="s">
        <v>2270</v>
      </c>
      <c r="N3699" s="2" t="s">
        <v>38</v>
      </c>
      <c r="O3699" s="2" t="s">
        <v>773</v>
      </c>
      <c r="P3699" s="2" t="s">
        <v>20187</v>
      </c>
      <c r="Q3699" s="2" t="s">
        <v>11783</v>
      </c>
      <c r="R3699" s="2" t="s">
        <v>40</v>
      </c>
      <c r="S3699" s="2" t="s">
        <v>20940</v>
      </c>
      <c r="T3699" s="2" t="s">
        <v>2275</v>
      </c>
      <c r="U3699" s="2" t="s">
        <v>163</v>
      </c>
      <c r="V3699" s="2" t="s">
        <v>20941</v>
      </c>
      <c r="W3699" s="1"/>
      <c r="X3699" s="2" t="s">
        <v>12941</v>
      </c>
      <c r="Y3699" s="2" t="s">
        <v>20923</v>
      </c>
      <c r="AA3699" t="str">
        <f t="shared" si="342"/>
        <v>2025-03</v>
      </c>
      <c r="AB3699" t="str">
        <f t="shared" si="343"/>
        <v>H1_2025</v>
      </c>
      <c r="AC3699">
        <f t="shared" si="344"/>
        <v>1102569.6000000001</v>
      </c>
      <c r="AD3699">
        <f t="shared" si="345"/>
        <v>200</v>
      </c>
      <c r="AE3699">
        <f t="shared" si="346"/>
        <v>202569.60000000001</v>
      </c>
      <c r="AF3699" t="str">
        <f t="shared" si="347"/>
        <v>Paid</v>
      </c>
    </row>
    <row r="3700" spans="1:32" ht="17.25" thickBot="1" x14ac:dyDescent="0.35">
      <c r="A3700" s="2" t="s">
        <v>20942</v>
      </c>
      <c r="B3700" s="2" t="s">
        <v>27</v>
      </c>
      <c r="C3700" s="2" t="s">
        <v>28</v>
      </c>
      <c r="D3700" s="2" t="s">
        <v>97</v>
      </c>
      <c r="E3700" s="2" t="s">
        <v>20919</v>
      </c>
      <c r="F3700" s="2" t="s">
        <v>31</v>
      </c>
      <c r="G3700" s="2" t="s">
        <v>32</v>
      </c>
      <c r="H3700" s="1"/>
      <c r="I3700" s="2" t="s">
        <v>33</v>
      </c>
      <c r="J3700" s="2" t="s">
        <v>34</v>
      </c>
      <c r="K3700" s="2" t="s">
        <v>2300</v>
      </c>
      <c r="L3700" s="2" t="s">
        <v>2301</v>
      </c>
      <c r="M3700" s="2" t="s">
        <v>2270</v>
      </c>
      <c r="N3700" s="2" t="s">
        <v>38</v>
      </c>
      <c r="O3700" s="2" t="s">
        <v>1641</v>
      </c>
      <c r="P3700" s="2" t="s">
        <v>20187</v>
      </c>
      <c r="Q3700" s="2" t="s">
        <v>20943</v>
      </c>
      <c r="R3700" s="2" t="s">
        <v>40</v>
      </c>
      <c r="S3700" s="2" t="s">
        <v>20944</v>
      </c>
      <c r="T3700" s="2" t="s">
        <v>2275</v>
      </c>
      <c r="U3700" s="2" t="s">
        <v>12911</v>
      </c>
      <c r="V3700" s="2" t="s">
        <v>20945</v>
      </c>
      <c r="W3700" s="1"/>
      <c r="X3700" s="2" t="s">
        <v>12941</v>
      </c>
      <c r="Y3700" s="2" t="s">
        <v>20923</v>
      </c>
      <c r="AA3700" t="str">
        <f t="shared" si="342"/>
        <v>2025-03</v>
      </c>
      <c r="AB3700" t="str">
        <f t="shared" si="343"/>
        <v>H1_2025</v>
      </c>
      <c r="AC3700">
        <f t="shared" si="344"/>
        <v>1058466.82</v>
      </c>
      <c r="AD3700">
        <f t="shared" si="345"/>
        <v>192</v>
      </c>
      <c r="AE3700">
        <f t="shared" si="346"/>
        <v>194466.82</v>
      </c>
      <c r="AF3700" t="str">
        <f t="shared" si="347"/>
        <v>Paid</v>
      </c>
    </row>
    <row r="3701" spans="1:32" ht="17.25" thickBot="1" x14ac:dyDescent="0.35">
      <c r="A3701" s="2" t="s">
        <v>20946</v>
      </c>
      <c r="B3701" s="2" t="s">
        <v>27</v>
      </c>
      <c r="C3701" s="2" t="s">
        <v>28</v>
      </c>
      <c r="D3701" s="2" t="s">
        <v>97</v>
      </c>
      <c r="E3701" s="2" t="s">
        <v>20919</v>
      </c>
      <c r="F3701" s="2" t="s">
        <v>31</v>
      </c>
      <c r="G3701" s="2" t="s">
        <v>32</v>
      </c>
      <c r="H3701" s="1"/>
      <c r="I3701" s="2" t="s">
        <v>33</v>
      </c>
      <c r="J3701" s="2" t="s">
        <v>34</v>
      </c>
      <c r="K3701" s="2" t="s">
        <v>3317</v>
      </c>
      <c r="L3701" s="2" t="s">
        <v>3318</v>
      </c>
      <c r="M3701" s="2" t="s">
        <v>2270</v>
      </c>
      <c r="N3701" s="2" t="s">
        <v>38</v>
      </c>
      <c r="O3701" s="2" t="s">
        <v>557</v>
      </c>
      <c r="P3701" s="2" t="s">
        <v>20187</v>
      </c>
      <c r="Q3701" s="2" t="s">
        <v>20947</v>
      </c>
      <c r="R3701" s="2" t="s">
        <v>40</v>
      </c>
      <c r="S3701" s="2" t="s">
        <v>20948</v>
      </c>
      <c r="T3701" s="2" t="s">
        <v>2275</v>
      </c>
      <c r="U3701" s="2" t="s">
        <v>20949</v>
      </c>
      <c r="V3701" s="2" t="s">
        <v>20950</v>
      </c>
      <c r="W3701" s="1"/>
      <c r="X3701" s="2" t="s">
        <v>12941</v>
      </c>
      <c r="Y3701" s="2" t="s">
        <v>20923</v>
      </c>
      <c r="AA3701" t="str">
        <f t="shared" si="342"/>
        <v>2025-03</v>
      </c>
      <c r="AB3701" t="str">
        <f t="shared" si="343"/>
        <v>H1_2025</v>
      </c>
      <c r="AC3701">
        <f t="shared" si="344"/>
        <v>358335.12</v>
      </c>
      <c r="AD3701">
        <f t="shared" si="345"/>
        <v>65</v>
      </c>
      <c r="AE3701">
        <f t="shared" si="346"/>
        <v>65835.12</v>
      </c>
      <c r="AF3701" t="str">
        <f t="shared" si="347"/>
        <v>Paid</v>
      </c>
    </row>
    <row r="3702" spans="1:32" ht="17.25" thickBot="1" x14ac:dyDescent="0.35">
      <c r="A3702" s="2" t="s">
        <v>20951</v>
      </c>
      <c r="B3702" s="2" t="s">
        <v>27</v>
      </c>
      <c r="C3702" s="2" t="s">
        <v>28</v>
      </c>
      <c r="D3702" s="2" t="s">
        <v>97</v>
      </c>
      <c r="E3702" s="2" t="s">
        <v>20919</v>
      </c>
      <c r="F3702" s="2" t="s">
        <v>31</v>
      </c>
      <c r="G3702" s="2" t="s">
        <v>32</v>
      </c>
      <c r="H3702" s="1"/>
      <c r="I3702" s="2" t="s">
        <v>33</v>
      </c>
      <c r="J3702" s="2" t="s">
        <v>34</v>
      </c>
      <c r="K3702" s="2" t="s">
        <v>3317</v>
      </c>
      <c r="L3702" s="2" t="s">
        <v>3318</v>
      </c>
      <c r="M3702" s="2" t="s">
        <v>2270</v>
      </c>
      <c r="N3702" s="2" t="s">
        <v>38</v>
      </c>
      <c r="O3702" s="2" t="s">
        <v>681</v>
      </c>
      <c r="P3702" s="2" t="s">
        <v>20187</v>
      </c>
      <c r="Q3702" s="2" t="s">
        <v>20952</v>
      </c>
      <c r="R3702" s="2" t="s">
        <v>40</v>
      </c>
      <c r="S3702" s="2" t="s">
        <v>20953</v>
      </c>
      <c r="T3702" s="2" t="s">
        <v>2275</v>
      </c>
      <c r="U3702" s="2" t="s">
        <v>20954</v>
      </c>
      <c r="V3702" s="2" t="s">
        <v>20955</v>
      </c>
      <c r="W3702" s="1"/>
      <c r="X3702" s="2" t="s">
        <v>12941</v>
      </c>
      <c r="Y3702" s="2" t="s">
        <v>20923</v>
      </c>
      <c r="AA3702" t="str">
        <f t="shared" si="342"/>
        <v>2025-03</v>
      </c>
      <c r="AB3702" t="str">
        <f t="shared" si="343"/>
        <v>H1_2025</v>
      </c>
      <c r="AC3702">
        <f t="shared" si="344"/>
        <v>435514.99</v>
      </c>
      <c r="AD3702">
        <f t="shared" si="345"/>
        <v>79</v>
      </c>
      <c r="AE3702">
        <f t="shared" si="346"/>
        <v>80014.990000000005</v>
      </c>
      <c r="AF3702" t="str">
        <f t="shared" si="347"/>
        <v>Paid</v>
      </c>
    </row>
    <row r="3703" spans="1:32" ht="17.25" thickBot="1" x14ac:dyDescent="0.35">
      <c r="A3703" s="2" t="s">
        <v>20956</v>
      </c>
      <c r="B3703" s="2" t="s">
        <v>27</v>
      </c>
      <c r="C3703" s="2" t="s">
        <v>28</v>
      </c>
      <c r="D3703" s="2" t="s">
        <v>97</v>
      </c>
      <c r="E3703" s="2" t="s">
        <v>20919</v>
      </c>
      <c r="F3703" s="2" t="s">
        <v>31</v>
      </c>
      <c r="G3703" s="2" t="s">
        <v>32</v>
      </c>
      <c r="H3703" s="1"/>
      <c r="I3703" s="2" t="s">
        <v>33</v>
      </c>
      <c r="J3703" s="2" t="s">
        <v>34</v>
      </c>
      <c r="K3703" s="2" t="s">
        <v>2306</v>
      </c>
      <c r="L3703" s="2" t="s">
        <v>2307</v>
      </c>
      <c r="M3703" s="2" t="s">
        <v>2270</v>
      </c>
      <c r="N3703" s="2" t="s">
        <v>38</v>
      </c>
      <c r="O3703" s="2" t="s">
        <v>3239</v>
      </c>
      <c r="P3703" s="2" t="s">
        <v>20187</v>
      </c>
      <c r="Q3703" s="2" t="s">
        <v>20957</v>
      </c>
      <c r="R3703" s="2" t="s">
        <v>40</v>
      </c>
      <c r="S3703" s="2" t="s">
        <v>20958</v>
      </c>
      <c r="T3703" s="2" t="s">
        <v>2275</v>
      </c>
      <c r="U3703" s="2" t="s">
        <v>20959</v>
      </c>
      <c r="V3703" s="2" t="s">
        <v>20960</v>
      </c>
      <c r="W3703" s="1"/>
      <c r="X3703" s="2" t="s">
        <v>12941</v>
      </c>
      <c r="Y3703" s="2" t="s">
        <v>20923</v>
      </c>
      <c r="AA3703" t="str">
        <f t="shared" si="342"/>
        <v>2025-03</v>
      </c>
      <c r="AB3703" t="str">
        <f t="shared" si="343"/>
        <v>H1_2025</v>
      </c>
      <c r="AC3703">
        <f t="shared" si="344"/>
        <v>2138985.02</v>
      </c>
      <c r="AD3703">
        <f t="shared" si="345"/>
        <v>388</v>
      </c>
      <c r="AE3703">
        <f t="shared" si="346"/>
        <v>392985.02</v>
      </c>
      <c r="AF3703" t="str">
        <f t="shared" si="347"/>
        <v>Paid</v>
      </c>
    </row>
    <row r="3704" spans="1:32" ht="17.25" thickBot="1" x14ac:dyDescent="0.35">
      <c r="A3704" s="2" t="s">
        <v>20961</v>
      </c>
      <c r="B3704" s="2" t="s">
        <v>27</v>
      </c>
      <c r="C3704" s="2" t="s">
        <v>28</v>
      </c>
      <c r="D3704" s="2" t="s">
        <v>97</v>
      </c>
      <c r="E3704" s="2" t="s">
        <v>20919</v>
      </c>
      <c r="F3704" s="2" t="s">
        <v>31</v>
      </c>
      <c r="G3704" s="2" t="s">
        <v>32</v>
      </c>
      <c r="H3704" s="1"/>
      <c r="I3704" s="2" t="s">
        <v>33</v>
      </c>
      <c r="J3704" s="2" t="s">
        <v>34</v>
      </c>
      <c r="K3704" s="2" t="s">
        <v>2306</v>
      </c>
      <c r="L3704" s="2" t="s">
        <v>2307</v>
      </c>
      <c r="M3704" s="2" t="s">
        <v>2270</v>
      </c>
      <c r="N3704" s="2" t="s">
        <v>38</v>
      </c>
      <c r="O3704" s="2" t="s">
        <v>85</v>
      </c>
      <c r="P3704" s="2" t="s">
        <v>20187</v>
      </c>
      <c r="Q3704" s="2" t="s">
        <v>20962</v>
      </c>
      <c r="R3704" s="2" t="s">
        <v>40</v>
      </c>
      <c r="S3704" s="2" t="s">
        <v>20963</v>
      </c>
      <c r="T3704" s="2" t="s">
        <v>2275</v>
      </c>
      <c r="U3704" s="2" t="s">
        <v>20964</v>
      </c>
      <c r="V3704" s="2" t="s">
        <v>20965</v>
      </c>
      <c r="W3704" s="1"/>
      <c r="X3704" s="2" t="s">
        <v>12941</v>
      </c>
      <c r="Y3704" s="2" t="s">
        <v>20923</v>
      </c>
      <c r="AA3704" t="str">
        <f t="shared" si="342"/>
        <v>2025-03</v>
      </c>
      <c r="AB3704" t="str">
        <f t="shared" si="343"/>
        <v>H1_2025</v>
      </c>
      <c r="AC3704">
        <f t="shared" si="344"/>
        <v>66154.179999999993</v>
      </c>
      <c r="AD3704">
        <f t="shared" si="345"/>
        <v>12</v>
      </c>
      <c r="AE3704">
        <f t="shared" si="346"/>
        <v>12154.18</v>
      </c>
      <c r="AF3704" t="str">
        <f t="shared" si="347"/>
        <v>Paid</v>
      </c>
    </row>
    <row r="3705" spans="1:32" ht="17.25" thickBot="1" x14ac:dyDescent="0.35">
      <c r="A3705" s="2" t="s">
        <v>20966</v>
      </c>
      <c r="B3705" s="2" t="s">
        <v>27</v>
      </c>
      <c r="C3705" s="2" t="s">
        <v>28</v>
      </c>
      <c r="D3705" s="2" t="s">
        <v>97</v>
      </c>
      <c r="E3705" s="2" t="s">
        <v>20919</v>
      </c>
      <c r="F3705" s="2" t="s">
        <v>31</v>
      </c>
      <c r="G3705" s="2" t="s">
        <v>32</v>
      </c>
      <c r="H3705" s="1"/>
      <c r="I3705" s="2" t="s">
        <v>33</v>
      </c>
      <c r="J3705" s="2" t="s">
        <v>34</v>
      </c>
      <c r="K3705" s="2" t="s">
        <v>2313</v>
      </c>
      <c r="L3705" s="2" t="s">
        <v>2314</v>
      </c>
      <c r="M3705" s="2" t="s">
        <v>2270</v>
      </c>
      <c r="N3705" s="2" t="s">
        <v>38</v>
      </c>
      <c r="O3705" s="2" t="s">
        <v>2149</v>
      </c>
      <c r="P3705" s="2" t="s">
        <v>20187</v>
      </c>
      <c r="Q3705" s="2" t="s">
        <v>20967</v>
      </c>
      <c r="R3705" s="2" t="s">
        <v>40</v>
      </c>
      <c r="S3705" s="2" t="s">
        <v>20968</v>
      </c>
      <c r="T3705" s="2" t="s">
        <v>2275</v>
      </c>
      <c r="U3705" s="2" t="s">
        <v>20969</v>
      </c>
      <c r="V3705" s="2" t="s">
        <v>20970</v>
      </c>
      <c r="W3705" s="1"/>
      <c r="X3705" s="2" t="s">
        <v>12941</v>
      </c>
      <c r="Y3705" s="2" t="s">
        <v>20923</v>
      </c>
      <c r="AA3705" t="str">
        <f t="shared" si="342"/>
        <v>2025-03</v>
      </c>
      <c r="AB3705" t="str">
        <f t="shared" si="343"/>
        <v>H1_2025</v>
      </c>
      <c r="AC3705">
        <f t="shared" si="344"/>
        <v>1422314.78</v>
      </c>
      <c r="AD3705">
        <f t="shared" si="345"/>
        <v>258</v>
      </c>
      <c r="AE3705">
        <f t="shared" si="346"/>
        <v>261314.78</v>
      </c>
      <c r="AF3705" t="str">
        <f t="shared" si="347"/>
        <v>Paid</v>
      </c>
    </row>
    <row r="3706" spans="1:32" ht="17.25" thickBot="1" x14ac:dyDescent="0.35">
      <c r="A3706" s="2" t="s">
        <v>20971</v>
      </c>
      <c r="B3706" s="2" t="s">
        <v>27</v>
      </c>
      <c r="C3706" s="2" t="s">
        <v>28</v>
      </c>
      <c r="D3706" s="2" t="s">
        <v>97</v>
      </c>
      <c r="E3706" s="2" t="s">
        <v>20919</v>
      </c>
      <c r="F3706" s="2" t="s">
        <v>31</v>
      </c>
      <c r="G3706" s="2" t="s">
        <v>32</v>
      </c>
      <c r="H3706" s="1"/>
      <c r="I3706" s="2" t="s">
        <v>33</v>
      </c>
      <c r="J3706" s="2" t="s">
        <v>34</v>
      </c>
      <c r="K3706" s="2" t="s">
        <v>2313</v>
      </c>
      <c r="L3706" s="2" t="s">
        <v>2314</v>
      </c>
      <c r="M3706" s="2" t="s">
        <v>2270</v>
      </c>
      <c r="N3706" s="2" t="s">
        <v>38</v>
      </c>
      <c r="O3706" s="2" t="s">
        <v>141</v>
      </c>
      <c r="P3706" s="2" t="s">
        <v>20187</v>
      </c>
      <c r="Q3706" s="2" t="s">
        <v>20972</v>
      </c>
      <c r="R3706" s="2" t="s">
        <v>40</v>
      </c>
      <c r="S3706" s="2" t="s">
        <v>20973</v>
      </c>
      <c r="T3706" s="2" t="s">
        <v>2275</v>
      </c>
      <c r="U3706" s="2" t="s">
        <v>3357</v>
      </c>
      <c r="V3706" s="2" t="s">
        <v>7142</v>
      </c>
      <c r="W3706" s="1"/>
      <c r="X3706" s="2" t="s">
        <v>12941</v>
      </c>
      <c r="Y3706" s="2" t="s">
        <v>20923</v>
      </c>
      <c r="AA3706" t="str">
        <f t="shared" si="342"/>
        <v>2025-03</v>
      </c>
      <c r="AB3706" t="str">
        <f t="shared" si="343"/>
        <v>H1_2025</v>
      </c>
      <c r="AC3706">
        <f t="shared" si="344"/>
        <v>165385.44</v>
      </c>
      <c r="AD3706">
        <f t="shared" si="345"/>
        <v>30</v>
      </c>
      <c r="AE3706">
        <f t="shared" si="346"/>
        <v>30385.439999999999</v>
      </c>
      <c r="AF3706" t="str">
        <f t="shared" si="347"/>
        <v>Paid</v>
      </c>
    </row>
    <row r="3707" spans="1:32" ht="17.25" thickBot="1" x14ac:dyDescent="0.35">
      <c r="A3707" s="2" t="s">
        <v>20974</v>
      </c>
      <c r="B3707" s="2" t="s">
        <v>27</v>
      </c>
      <c r="C3707" s="2" t="s">
        <v>28</v>
      </c>
      <c r="D3707" s="2" t="s">
        <v>97</v>
      </c>
      <c r="E3707" s="2" t="s">
        <v>20919</v>
      </c>
      <c r="F3707" s="2" t="s">
        <v>31</v>
      </c>
      <c r="G3707" s="2" t="s">
        <v>32</v>
      </c>
      <c r="H3707" s="1"/>
      <c r="I3707" s="2" t="s">
        <v>33</v>
      </c>
      <c r="J3707" s="2" t="s">
        <v>34</v>
      </c>
      <c r="K3707" s="2" t="s">
        <v>20221</v>
      </c>
      <c r="L3707" s="2" t="s">
        <v>20222</v>
      </c>
      <c r="M3707" s="2" t="s">
        <v>2270</v>
      </c>
      <c r="N3707" s="2" t="s">
        <v>38</v>
      </c>
      <c r="O3707" s="2" t="s">
        <v>773</v>
      </c>
      <c r="P3707" s="2" t="s">
        <v>20187</v>
      </c>
      <c r="Q3707" s="2" t="s">
        <v>11783</v>
      </c>
      <c r="R3707" s="2" t="s">
        <v>40</v>
      </c>
      <c r="S3707" s="2" t="s">
        <v>20940</v>
      </c>
      <c r="T3707" s="2" t="s">
        <v>2275</v>
      </c>
      <c r="U3707" s="2" t="s">
        <v>163</v>
      </c>
      <c r="V3707" s="2" t="s">
        <v>20941</v>
      </c>
      <c r="W3707" s="1"/>
      <c r="X3707" s="2" t="s">
        <v>12941</v>
      </c>
      <c r="Y3707" s="2" t="s">
        <v>20923</v>
      </c>
      <c r="AA3707" t="str">
        <f t="shared" si="342"/>
        <v>2025-03</v>
      </c>
      <c r="AB3707" t="str">
        <f t="shared" si="343"/>
        <v>H1_2025</v>
      </c>
      <c r="AC3707">
        <f t="shared" si="344"/>
        <v>1102569.6000000001</v>
      </c>
      <c r="AD3707">
        <f t="shared" si="345"/>
        <v>200</v>
      </c>
      <c r="AE3707">
        <f t="shared" si="346"/>
        <v>202569.60000000001</v>
      </c>
      <c r="AF3707" t="str">
        <f t="shared" si="347"/>
        <v>Paid</v>
      </c>
    </row>
    <row r="3708" spans="1:32" ht="17.25" thickBot="1" x14ac:dyDescent="0.35">
      <c r="A3708" s="2" t="s">
        <v>20975</v>
      </c>
      <c r="B3708" s="2" t="s">
        <v>27</v>
      </c>
      <c r="C3708" s="2" t="s">
        <v>28</v>
      </c>
      <c r="D3708" s="2" t="s">
        <v>97</v>
      </c>
      <c r="E3708" s="2" t="s">
        <v>20919</v>
      </c>
      <c r="F3708" s="2" t="s">
        <v>31</v>
      </c>
      <c r="G3708" s="2" t="s">
        <v>32</v>
      </c>
      <c r="H3708" s="1"/>
      <c r="I3708" s="2" t="s">
        <v>33</v>
      </c>
      <c r="J3708" s="2" t="s">
        <v>34</v>
      </c>
      <c r="K3708" s="2" t="s">
        <v>2320</v>
      </c>
      <c r="L3708" s="2" t="s">
        <v>2321</v>
      </c>
      <c r="M3708" s="2" t="s">
        <v>2270</v>
      </c>
      <c r="N3708" s="2" t="s">
        <v>38</v>
      </c>
      <c r="O3708" s="2" t="s">
        <v>1559</v>
      </c>
      <c r="P3708" s="2" t="s">
        <v>20187</v>
      </c>
      <c r="Q3708" s="2" t="s">
        <v>20976</v>
      </c>
      <c r="R3708" s="2" t="s">
        <v>40</v>
      </c>
      <c r="S3708" s="2" t="s">
        <v>20977</v>
      </c>
      <c r="T3708" s="2" t="s">
        <v>2275</v>
      </c>
      <c r="U3708" s="2" t="s">
        <v>20978</v>
      </c>
      <c r="V3708" s="2" t="s">
        <v>20979</v>
      </c>
      <c r="W3708" s="1"/>
      <c r="X3708" s="2" t="s">
        <v>12941</v>
      </c>
      <c r="Y3708" s="2" t="s">
        <v>20923</v>
      </c>
      <c r="AA3708" t="str">
        <f t="shared" si="342"/>
        <v>2025-03</v>
      </c>
      <c r="AB3708" t="str">
        <f t="shared" si="343"/>
        <v>H1_2025</v>
      </c>
      <c r="AC3708">
        <f t="shared" si="344"/>
        <v>975774.1</v>
      </c>
      <c r="AD3708">
        <f t="shared" si="345"/>
        <v>177</v>
      </c>
      <c r="AE3708">
        <f t="shared" si="346"/>
        <v>179274.1</v>
      </c>
      <c r="AF3708" t="str">
        <f t="shared" si="347"/>
        <v>Paid</v>
      </c>
    </row>
    <row r="3709" spans="1:32" ht="17.25" thickBot="1" x14ac:dyDescent="0.35">
      <c r="A3709" s="2" t="s">
        <v>20980</v>
      </c>
      <c r="B3709" s="2" t="s">
        <v>27</v>
      </c>
      <c r="C3709" s="2" t="s">
        <v>28</v>
      </c>
      <c r="D3709" s="2" t="s">
        <v>97</v>
      </c>
      <c r="E3709" s="2" t="s">
        <v>20919</v>
      </c>
      <c r="F3709" s="2" t="s">
        <v>31</v>
      </c>
      <c r="G3709" s="2" t="s">
        <v>32</v>
      </c>
      <c r="H3709" s="1"/>
      <c r="I3709" s="2" t="s">
        <v>33</v>
      </c>
      <c r="J3709" s="2" t="s">
        <v>34</v>
      </c>
      <c r="K3709" s="2" t="s">
        <v>2320</v>
      </c>
      <c r="L3709" s="2" t="s">
        <v>2321</v>
      </c>
      <c r="M3709" s="2" t="s">
        <v>2270</v>
      </c>
      <c r="N3709" s="2" t="s">
        <v>38</v>
      </c>
      <c r="O3709" s="2" t="s">
        <v>113</v>
      </c>
      <c r="P3709" s="2" t="s">
        <v>20187</v>
      </c>
      <c r="Q3709" s="2" t="s">
        <v>20981</v>
      </c>
      <c r="R3709" s="2" t="s">
        <v>40</v>
      </c>
      <c r="S3709" s="2" t="s">
        <v>20982</v>
      </c>
      <c r="T3709" s="2" t="s">
        <v>2275</v>
      </c>
      <c r="U3709" s="2" t="s">
        <v>20983</v>
      </c>
      <c r="V3709" s="2" t="s">
        <v>20984</v>
      </c>
      <c r="W3709" s="1"/>
      <c r="X3709" s="2" t="s">
        <v>12941</v>
      </c>
      <c r="Y3709" s="2" t="s">
        <v>20923</v>
      </c>
      <c r="AA3709" t="str">
        <f t="shared" si="342"/>
        <v>2025-03</v>
      </c>
      <c r="AB3709" t="str">
        <f t="shared" si="343"/>
        <v>H1_2025</v>
      </c>
      <c r="AC3709">
        <f t="shared" si="344"/>
        <v>82692.72</v>
      </c>
      <c r="AD3709">
        <f t="shared" si="345"/>
        <v>15</v>
      </c>
      <c r="AE3709">
        <f t="shared" si="346"/>
        <v>15192.72</v>
      </c>
      <c r="AF3709" t="str">
        <f t="shared" si="347"/>
        <v>Paid</v>
      </c>
    </row>
    <row r="3710" spans="1:32" ht="27.75" thickBot="1" x14ac:dyDescent="0.35">
      <c r="A3710" s="2" t="s">
        <v>20985</v>
      </c>
      <c r="B3710" s="2" t="s">
        <v>27</v>
      </c>
      <c r="C3710" s="2" t="s">
        <v>28</v>
      </c>
      <c r="D3710" s="2" t="s">
        <v>97</v>
      </c>
      <c r="E3710" s="2" t="s">
        <v>20919</v>
      </c>
      <c r="F3710" s="2" t="s">
        <v>31</v>
      </c>
      <c r="G3710" s="2" t="s">
        <v>32</v>
      </c>
      <c r="H3710" s="1"/>
      <c r="I3710" s="2" t="s">
        <v>33</v>
      </c>
      <c r="J3710" s="2" t="s">
        <v>34</v>
      </c>
      <c r="K3710" s="2" t="s">
        <v>2342</v>
      </c>
      <c r="L3710" s="2" t="s">
        <v>2343</v>
      </c>
      <c r="M3710" s="2" t="s">
        <v>2270</v>
      </c>
      <c r="N3710" s="2" t="s">
        <v>38</v>
      </c>
      <c r="O3710" s="2" t="s">
        <v>1158</v>
      </c>
      <c r="P3710" s="2" t="s">
        <v>20187</v>
      </c>
      <c r="Q3710" s="2" t="s">
        <v>20410</v>
      </c>
      <c r="R3710" s="2" t="s">
        <v>40</v>
      </c>
      <c r="S3710" s="2" t="s">
        <v>20986</v>
      </c>
      <c r="T3710" s="2" t="s">
        <v>2275</v>
      </c>
      <c r="U3710" s="2" t="s">
        <v>20412</v>
      </c>
      <c r="V3710" s="2" t="s">
        <v>20987</v>
      </c>
      <c r="W3710" s="1"/>
      <c r="X3710" s="2" t="s">
        <v>12941</v>
      </c>
      <c r="Y3710" s="2" t="s">
        <v>20923</v>
      </c>
      <c r="AA3710" t="str">
        <f t="shared" si="342"/>
        <v>2025-03</v>
      </c>
      <c r="AB3710" t="str">
        <f t="shared" si="343"/>
        <v>H1_2025</v>
      </c>
      <c r="AC3710">
        <f t="shared" si="344"/>
        <v>992312.64</v>
      </c>
      <c r="AD3710">
        <f t="shared" si="345"/>
        <v>180</v>
      </c>
      <c r="AE3710">
        <f t="shared" si="346"/>
        <v>182312.64</v>
      </c>
      <c r="AF3710" t="str">
        <f t="shared" si="347"/>
        <v>Paid</v>
      </c>
    </row>
    <row r="3711" spans="1:32" ht="17.25" thickBot="1" x14ac:dyDescent="0.35">
      <c r="A3711" s="2" t="s">
        <v>20988</v>
      </c>
      <c r="B3711" s="2" t="s">
        <v>27</v>
      </c>
      <c r="C3711" s="2" t="s">
        <v>28</v>
      </c>
      <c r="D3711" s="2" t="s">
        <v>97</v>
      </c>
      <c r="E3711" s="2" t="s">
        <v>20919</v>
      </c>
      <c r="F3711" s="2" t="s">
        <v>31</v>
      </c>
      <c r="G3711" s="2" t="s">
        <v>32</v>
      </c>
      <c r="H3711" s="1"/>
      <c r="I3711" s="2" t="s">
        <v>33</v>
      </c>
      <c r="J3711" s="2" t="s">
        <v>34</v>
      </c>
      <c r="K3711" s="2" t="s">
        <v>2349</v>
      </c>
      <c r="L3711" s="2" t="s">
        <v>2350</v>
      </c>
      <c r="M3711" s="2" t="s">
        <v>2270</v>
      </c>
      <c r="N3711" s="2" t="s">
        <v>38</v>
      </c>
      <c r="O3711" s="2" t="s">
        <v>877</v>
      </c>
      <c r="P3711" s="2" t="s">
        <v>20187</v>
      </c>
      <c r="Q3711" s="2" t="s">
        <v>20403</v>
      </c>
      <c r="R3711" s="2" t="s">
        <v>40</v>
      </c>
      <c r="S3711" s="2" t="s">
        <v>20989</v>
      </c>
      <c r="T3711" s="2" t="s">
        <v>2275</v>
      </c>
      <c r="U3711" s="2" t="s">
        <v>145</v>
      </c>
      <c r="V3711" s="2" t="s">
        <v>20990</v>
      </c>
      <c r="W3711" s="1"/>
      <c r="X3711" s="2" t="s">
        <v>12941</v>
      </c>
      <c r="Y3711" s="2" t="s">
        <v>20923</v>
      </c>
      <c r="AA3711" t="str">
        <f t="shared" si="342"/>
        <v>2025-03</v>
      </c>
      <c r="AB3711" t="str">
        <f t="shared" si="343"/>
        <v>H1_2025</v>
      </c>
      <c r="AC3711">
        <f t="shared" si="344"/>
        <v>551284.80000000005</v>
      </c>
      <c r="AD3711">
        <f t="shared" si="345"/>
        <v>100</v>
      </c>
      <c r="AE3711">
        <f t="shared" si="346"/>
        <v>101284.8</v>
      </c>
      <c r="AF3711" t="str">
        <f t="shared" si="347"/>
        <v>Paid</v>
      </c>
    </row>
    <row r="3712" spans="1:32" ht="27.75" thickBot="1" x14ac:dyDescent="0.35">
      <c r="A3712" s="2" t="s">
        <v>20991</v>
      </c>
      <c r="B3712" s="2" t="s">
        <v>27</v>
      </c>
      <c r="C3712" s="2" t="s">
        <v>28</v>
      </c>
      <c r="D3712" s="2" t="s">
        <v>97</v>
      </c>
      <c r="E3712" s="2" t="s">
        <v>20919</v>
      </c>
      <c r="F3712" s="2" t="s">
        <v>31</v>
      </c>
      <c r="G3712" s="2" t="s">
        <v>32</v>
      </c>
      <c r="H3712" s="1"/>
      <c r="I3712" s="2" t="s">
        <v>33</v>
      </c>
      <c r="J3712" s="2" t="s">
        <v>34</v>
      </c>
      <c r="K3712" s="2" t="s">
        <v>2356</v>
      </c>
      <c r="L3712" s="2" t="s">
        <v>2357</v>
      </c>
      <c r="M3712" s="2" t="s">
        <v>2270</v>
      </c>
      <c r="N3712" s="2" t="s">
        <v>38</v>
      </c>
      <c r="O3712" s="2" t="s">
        <v>615</v>
      </c>
      <c r="P3712" s="2" t="s">
        <v>20187</v>
      </c>
      <c r="Q3712" s="2" t="s">
        <v>20992</v>
      </c>
      <c r="R3712" s="2" t="s">
        <v>40</v>
      </c>
      <c r="S3712" s="2" t="s">
        <v>20993</v>
      </c>
      <c r="T3712" s="2" t="s">
        <v>2275</v>
      </c>
      <c r="U3712" s="2" t="s">
        <v>11079</v>
      </c>
      <c r="V3712" s="2" t="s">
        <v>20994</v>
      </c>
      <c r="W3712" s="1"/>
      <c r="X3712" s="2" t="s">
        <v>12941</v>
      </c>
      <c r="Y3712" s="2" t="s">
        <v>20923</v>
      </c>
      <c r="AA3712" t="str">
        <f t="shared" si="342"/>
        <v>2025-03</v>
      </c>
      <c r="AB3712" t="str">
        <f t="shared" si="343"/>
        <v>H1_2025</v>
      </c>
      <c r="AC3712">
        <f t="shared" si="344"/>
        <v>396925.06</v>
      </c>
      <c r="AD3712">
        <f t="shared" si="345"/>
        <v>72</v>
      </c>
      <c r="AE3712">
        <f t="shared" si="346"/>
        <v>72925.06</v>
      </c>
      <c r="AF3712" t="str">
        <f t="shared" si="347"/>
        <v>Paid</v>
      </c>
    </row>
    <row r="3713" spans="1:32" ht="27.75" thickBot="1" x14ac:dyDescent="0.35">
      <c r="A3713" s="2" t="s">
        <v>20995</v>
      </c>
      <c r="B3713" s="2" t="s">
        <v>27</v>
      </c>
      <c r="C3713" s="2" t="s">
        <v>28</v>
      </c>
      <c r="D3713" s="2" t="s">
        <v>97</v>
      </c>
      <c r="E3713" s="2" t="s">
        <v>20919</v>
      </c>
      <c r="F3713" s="2" t="s">
        <v>31</v>
      </c>
      <c r="G3713" s="2" t="s">
        <v>32</v>
      </c>
      <c r="H3713" s="1"/>
      <c r="I3713" s="2" t="s">
        <v>33</v>
      </c>
      <c r="J3713" s="2" t="s">
        <v>34</v>
      </c>
      <c r="K3713" s="2" t="s">
        <v>2363</v>
      </c>
      <c r="L3713" s="2" t="s">
        <v>2364</v>
      </c>
      <c r="M3713" s="2" t="s">
        <v>2270</v>
      </c>
      <c r="N3713" s="2" t="s">
        <v>38</v>
      </c>
      <c r="O3713" s="2" t="s">
        <v>44</v>
      </c>
      <c r="P3713" s="2" t="s">
        <v>20187</v>
      </c>
      <c r="Q3713" s="2" t="s">
        <v>4075</v>
      </c>
      <c r="R3713" s="2" t="s">
        <v>40</v>
      </c>
      <c r="S3713" s="2" t="s">
        <v>20996</v>
      </c>
      <c r="T3713" s="2" t="s">
        <v>2275</v>
      </c>
      <c r="U3713" s="2" t="s">
        <v>1747</v>
      </c>
      <c r="V3713" s="2" t="s">
        <v>20997</v>
      </c>
      <c r="W3713" s="1"/>
      <c r="X3713" s="2" t="s">
        <v>12941</v>
      </c>
      <c r="Y3713" s="2" t="s">
        <v>20923</v>
      </c>
      <c r="AA3713" t="str">
        <f t="shared" si="342"/>
        <v>2025-03</v>
      </c>
      <c r="AB3713" t="str">
        <f t="shared" si="343"/>
        <v>H1_2025</v>
      </c>
      <c r="AC3713">
        <f t="shared" si="344"/>
        <v>11025.7</v>
      </c>
      <c r="AD3713">
        <f t="shared" si="345"/>
        <v>2</v>
      </c>
      <c r="AE3713">
        <f t="shared" si="346"/>
        <v>2025.7</v>
      </c>
      <c r="AF3713" t="str">
        <f t="shared" si="347"/>
        <v>Paid</v>
      </c>
    </row>
    <row r="3714" spans="1:32" ht="27.75" thickBot="1" x14ac:dyDescent="0.35">
      <c r="A3714" s="2" t="s">
        <v>20998</v>
      </c>
      <c r="B3714" s="2" t="s">
        <v>27</v>
      </c>
      <c r="C3714" s="2" t="s">
        <v>28</v>
      </c>
      <c r="D3714" s="2" t="s">
        <v>97</v>
      </c>
      <c r="E3714" s="2" t="s">
        <v>20919</v>
      </c>
      <c r="F3714" s="2" t="s">
        <v>31</v>
      </c>
      <c r="G3714" s="2" t="s">
        <v>32</v>
      </c>
      <c r="H3714" s="1"/>
      <c r="I3714" s="2" t="s">
        <v>33</v>
      </c>
      <c r="J3714" s="2" t="s">
        <v>34</v>
      </c>
      <c r="K3714" s="2" t="s">
        <v>2363</v>
      </c>
      <c r="L3714" s="2" t="s">
        <v>2364</v>
      </c>
      <c r="M3714" s="2" t="s">
        <v>2270</v>
      </c>
      <c r="N3714" s="2" t="s">
        <v>38</v>
      </c>
      <c r="O3714" s="2" t="s">
        <v>1402</v>
      </c>
      <c r="P3714" s="2" t="s">
        <v>20187</v>
      </c>
      <c r="Q3714" s="2" t="s">
        <v>20999</v>
      </c>
      <c r="R3714" s="2" t="s">
        <v>40</v>
      </c>
      <c r="S3714" s="2" t="s">
        <v>21000</v>
      </c>
      <c r="T3714" s="2" t="s">
        <v>2275</v>
      </c>
      <c r="U3714" s="2" t="s">
        <v>21001</v>
      </c>
      <c r="V3714" s="2" t="s">
        <v>21002</v>
      </c>
      <c r="W3714" s="1"/>
      <c r="X3714" s="2" t="s">
        <v>12941</v>
      </c>
      <c r="Y3714" s="2" t="s">
        <v>20923</v>
      </c>
      <c r="AA3714" t="str">
        <f t="shared" si="342"/>
        <v>2025-03</v>
      </c>
      <c r="AB3714" t="str">
        <f t="shared" si="343"/>
        <v>H1_2025</v>
      </c>
      <c r="AC3714">
        <f t="shared" si="344"/>
        <v>871029.98</v>
      </c>
      <c r="AD3714">
        <f t="shared" si="345"/>
        <v>158</v>
      </c>
      <c r="AE3714">
        <f t="shared" si="346"/>
        <v>160029.98000000001</v>
      </c>
      <c r="AF3714" t="str">
        <f t="shared" si="347"/>
        <v>Paid</v>
      </c>
    </row>
    <row r="3715" spans="1:32" ht="17.25" thickBot="1" x14ac:dyDescent="0.35">
      <c r="A3715" s="2" t="s">
        <v>21003</v>
      </c>
      <c r="B3715" s="2" t="s">
        <v>27</v>
      </c>
      <c r="C3715" s="2" t="s">
        <v>28</v>
      </c>
      <c r="D3715" s="2" t="s">
        <v>97</v>
      </c>
      <c r="E3715" s="2" t="s">
        <v>20919</v>
      </c>
      <c r="F3715" s="2" t="s">
        <v>31</v>
      </c>
      <c r="G3715" s="2" t="s">
        <v>32</v>
      </c>
      <c r="H3715" s="1"/>
      <c r="I3715" s="2" t="s">
        <v>33</v>
      </c>
      <c r="J3715" s="2" t="s">
        <v>34</v>
      </c>
      <c r="K3715" s="2" t="s">
        <v>16090</v>
      </c>
      <c r="L3715" s="2" t="s">
        <v>16091</v>
      </c>
      <c r="M3715" s="2" t="s">
        <v>772</v>
      </c>
      <c r="N3715" s="2" t="s">
        <v>38</v>
      </c>
      <c r="O3715" s="2" t="s">
        <v>149</v>
      </c>
      <c r="P3715" s="2" t="s">
        <v>21004</v>
      </c>
      <c r="Q3715" s="2" t="s">
        <v>21005</v>
      </c>
      <c r="R3715" s="2" t="s">
        <v>40</v>
      </c>
      <c r="S3715" s="2" t="s">
        <v>21006</v>
      </c>
      <c r="T3715" s="2" t="s">
        <v>942</v>
      </c>
      <c r="U3715" s="2" t="s">
        <v>21007</v>
      </c>
      <c r="V3715" s="2" t="s">
        <v>21008</v>
      </c>
      <c r="W3715" s="1"/>
      <c r="X3715" s="2" t="s">
        <v>6962</v>
      </c>
      <c r="Y3715" s="2" t="s">
        <v>20923</v>
      </c>
      <c r="AA3715" t="str">
        <f t="shared" si="342"/>
        <v>2025-03</v>
      </c>
      <c r="AB3715" t="str">
        <f t="shared" si="343"/>
        <v>H1_2025</v>
      </c>
      <c r="AC3715">
        <f t="shared" si="344"/>
        <v>3379068</v>
      </c>
      <c r="AD3715">
        <f t="shared" si="345"/>
        <v>300</v>
      </c>
      <c r="AE3715">
        <f t="shared" si="346"/>
        <v>430368</v>
      </c>
      <c r="AF3715" t="str">
        <f t="shared" si="347"/>
        <v>Paid</v>
      </c>
    </row>
    <row r="3716" spans="1:32" ht="17.25" thickBot="1" x14ac:dyDescent="0.35">
      <c r="A3716" s="2" t="s">
        <v>21009</v>
      </c>
      <c r="B3716" s="2" t="s">
        <v>27</v>
      </c>
      <c r="C3716" s="2" t="s">
        <v>28</v>
      </c>
      <c r="D3716" s="2" t="s">
        <v>97</v>
      </c>
      <c r="E3716" s="2" t="s">
        <v>20919</v>
      </c>
      <c r="F3716" s="2" t="s">
        <v>31</v>
      </c>
      <c r="G3716" s="2" t="s">
        <v>32</v>
      </c>
      <c r="H3716" s="1"/>
      <c r="I3716" s="2" t="s">
        <v>33</v>
      </c>
      <c r="J3716" s="2" t="s">
        <v>34</v>
      </c>
      <c r="K3716" s="2" t="s">
        <v>3207</v>
      </c>
      <c r="L3716" s="2" t="s">
        <v>3208</v>
      </c>
      <c r="M3716" s="2" t="s">
        <v>3209</v>
      </c>
      <c r="N3716" s="2" t="s">
        <v>38</v>
      </c>
      <c r="O3716" s="2" t="s">
        <v>466</v>
      </c>
      <c r="P3716" s="2" t="s">
        <v>2943</v>
      </c>
      <c r="Q3716" s="2" t="s">
        <v>21010</v>
      </c>
      <c r="R3716" s="2" t="s">
        <v>40</v>
      </c>
      <c r="S3716" s="2" t="s">
        <v>21011</v>
      </c>
      <c r="T3716" s="2" t="s">
        <v>21012</v>
      </c>
      <c r="U3716" s="2" t="s">
        <v>21013</v>
      </c>
      <c r="V3716" s="2" t="s">
        <v>21014</v>
      </c>
      <c r="W3716" s="1"/>
      <c r="X3716" s="2" t="s">
        <v>3259</v>
      </c>
      <c r="Y3716" s="2" t="s">
        <v>20923</v>
      </c>
      <c r="AA3716" t="str">
        <f t="shared" ref="AA3716:AA3779" si="348">LEFT(E3716,7)</f>
        <v>2025-03</v>
      </c>
      <c r="AB3716" t="str">
        <f t="shared" ref="AB3716:AB3779" si="349">IF(AND($AA3716&gt;="2025-01",$AA3716&lt;="2025-06"),"H1_2025",IF(AND($AA3716&gt;="2026-01",$AA3716&lt;="2026-06"),"H1_2026",""))</f>
        <v>H1_2025</v>
      </c>
      <c r="AC3716">
        <f t="shared" ref="AC3716:AC3779" si="350">IFERROR(VALUE(SUBSTITUTE(S3716,",","")),0)</f>
        <v>406467.6</v>
      </c>
      <c r="AD3716">
        <f t="shared" ref="AD3716:AD3779" si="351">IFERROR(VALUE(SUBSTITUTE(O3716,",","")),0)</f>
        <v>70</v>
      </c>
      <c r="AE3716">
        <f t="shared" ref="AE3716:AE3779" si="352">IFERROR(VALUE(SUBSTITUTE(V3716,",","")),0)</f>
        <v>92097.600000000006</v>
      </c>
      <c r="AF3716" t="str">
        <f t="shared" ref="AF3716:AF3779" si="353">IF(ISNUMBER(SEARCH("FOC",W3716)),"FOC",IF(ISNUMBER(SEARCH("샘플",W3716)),"Sample","Paid"))</f>
        <v>Paid</v>
      </c>
    </row>
    <row r="3717" spans="1:32" ht="17.25" thickBot="1" x14ac:dyDescent="0.35">
      <c r="A3717" s="2" t="s">
        <v>21015</v>
      </c>
      <c r="B3717" s="2" t="s">
        <v>27</v>
      </c>
      <c r="C3717" s="2" t="s">
        <v>28</v>
      </c>
      <c r="D3717" s="2" t="s">
        <v>97</v>
      </c>
      <c r="E3717" s="2" t="s">
        <v>20919</v>
      </c>
      <c r="F3717" s="2" t="s">
        <v>31</v>
      </c>
      <c r="G3717" s="2" t="s">
        <v>32</v>
      </c>
      <c r="H3717" s="1"/>
      <c r="I3717" s="2" t="s">
        <v>33</v>
      </c>
      <c r="J3717" s="2" t="s">
        <v>34</v>
      </c>
      <c r="K3717" s="2" t="s">
        <v>3218</v>
      </c>
      <c r="L3717" s="2" t="s">
        <v>3219</v>
      </c>
      <c r="M3717" s="2" t="s">
        <v>3209</v>
      </c>
      <c r="N3717" s="2" t="s">
        <v>38</v>
      </c>
      <c r="O3717" s="2" t="s">
        <v>221</v>
      </c>
      <c r="P3717" s="2" t="s">
        <v>2943</v>
      </c>
      <c r="Q3717" s="2" t="s">
        <v>21016</v>
      </c>
      <c r="R3717" s="2" t="s">
        <v>40</v>
      </c>
      <c r="S3717" s="2" t="s">
        <v>21017</v>
      </c>
      <c r="T3717" s="2" t="s">
        <v>21012</v>
      </c>
      <c r="U3717" s="2" t="s">
        <v>21018</v>
      </c>
      <c r="V3717" s="2" t="s">
        <v>21019</v>
      </c>
      <c r="W3717" s="1"/>
      <c r="X3717" s="2" t="s">
        <v>3259</v>
      </c>
      <c r="Y3717" s="2" t="s">
        <v>20923</v>
      </c>
      <c r="AA3717" t="str">
        <f t="shared" si="348"/>
        <v>2025-03</v>
      </c>
      <c r="AB3717" t="str">
        <f t="shared" si="349"/>
        <v>H1_2025</v>
      </c>
      <c r="AC3717">
        <f t="shared" si="350"/>
        <v>812935.2</v>
      </c>
      <c r="AD3717">
        <f t="shared" si="351"/>
        <v>140</v>
      </c>
      <c r="AE3717">
        <f t="shared" si="352"/>
        <v>184195.20000000001</v>
      </c>
      <c r="AF3717" t="str">
        <f t="shared" si="353"/>
        <v>Paid</v>
      </c>
    </row>
    <row r="3718" spans="1:32" ht="17.25" thickBot="1" x14ac:dyDescent="0.35">
      <c r="A3718" s="2" t="s">
        <v>21020</v>
      </c>
      <c r="B3718" s="2" t="s">
        <v>27</v>
      </c>
      <c r="C3718" s="2" t="s">
        <v>28</v>
      </c>
      <c r="D3718" s="2" t="s">
        <v>97</v>
      </c>
      <c r="E3718" s="2" t="s">
        <v>21021</v>
      </c>
      <c r="F3718" s="2" t="s">
        <v>31</v>
      </c>
      <c r="G3718" s="2" t="s">
        <v>32</v>
      </c>
      <c r="H3718" s="1"/>
      <c r="I3718" s="2" t="s">
        <v>33</v>
      </c>
      <c r="J3718" s="2" t="s">
        <v>34</v>
      </c>
      <c r="K3718" s="2" t="s">
        <v>21022</v>
      </c>
      <c r="L3718" s="2" t="s">
        <v>21023</v>
      </c>
      <c r="M3718" s="2" t="s">
        <v>16013</v>
      </c>
      <c r="N3718" s="2" t="s">
        <v>38</v>
      </c>
      <c r="O3718" s="2" t="s">
        <v>214</v>
      </c>
      <c r="P3718" s="2" t="s">
        <v>40</v>
      </c>
      <c r="Q3718" s="2" t="s">
        <v>40</v>
      </c>
      <c r="R3718" s="2" t="s">
        <v>40</v>
      </c>
      <c r="S3718" s="2" t="s">
        <v>40</v>
      </c>
      <c r="T3718" s="2" t="s">
        <v>9231</v>
      </c>
      <c r="U3718" s="2" t="s">
        <v>9232</v>
      </c>
      <c r="V3718" s="2" t="s">
        <v>21024</v>
      </c>
      <c r="W3718" s="2" t="s">
        <v>41</v>
      </c>
      <c r="X3718" s="2" t="s">
        <v>42</v>
      </c>
      <c r="Y3718" s="2" t="s">
        <v>21025</v>
      </c>
      <c r="AA3718" t="str">
        <f t="shared" si="348"/>
        <v>2025-02</v>
      </c>
      <c r="AB3718" t="str">
        <f t="shared" si="349"/>
        <v>H1_2025</v>
      </c>
      <c r="AC3718">
        <f t="shared" si="350"/>
        <v>0</v>
      </c>
      <c r="AD3718">
        <f t="shared" si="351"/>
        <v>50</v>
      </c>
      <c r="AE3718">
        <f t="shared" si="352"/>
        <v>-365000</v>
      </c>
      <c r="AF3718" t="str">
        <f t="shared" si="353"/>
        <v>Sample</v>
      </c>
    </row>
    <row r="3719" spans="1:32" ht="17.25" thickBot="1" x14ac:dyDescent="0.35">
      <c r="A3719" s="2" t="s">
        <v>21026</v>
      </c>
      <c r="B3719" s="2" t="s">
        <v>27</v>
      </c>
      <c r="C3719" s="2" t="s">
        <v>28</v>
      </c>
      <c r="D3719" s="2" t="s">
        <v>97</v>
      </c>
      <c r="E3719" s="2" t="s">
        <v>21021</v>
      </c>
      <c r="F3719" s="2" t="s">
        <v>31</v>
      </c>
      <c r="G3719" s="2" t="s">
        <v>32</v>
      </c>
      <c r="H3719" s="1"/>
      <c r="I3719" s="2" t="s">
        <v>33</v>
      </c>
      <c r="J3719" s="2" t="s">
        <v>34</v>
      </c>
      <c r="K3719" s="2" t="s">
        <v>18010</v>
      </c>
      <c r="L3719" s="2" t="s">
        <v>18011</v>
      </c>
      <c r="M3719" s="2" t="s">
        <v>16013</v>
      </c>
      <c r="N3719" s="2" t="s">
        <v>38</v>
      </c>
      <c r="O3719" s="2" t="s">
        <v>877</v>
      </c>
      <c r="P3719" s="2" t="s">
        <v>40</v>
      </c>
      <c r="Q3719" s="2" t="s">
        <v>40</v>
      </c>
      <c r="R3719" s="2" t="s">
        <v>40</v>
      </c>
      <c r="S3719" s="2" t="s">
        <v>40</v>
      </c>
      <c r="T3719" s="2" t="s">
        <v>13945</v>
      </c>
      <c r="U3719" s="2" t="s">
        <v>21027</v>
      </c>
      <c r="V3719" s="2" t="s">
        <v>21028</v>
      </c>
      <c r="W3719" s="2" t="s">
        <v>41</v>
      </c>
      <c r="X3719" s="2" t="s">
        <v>42</v>
      </c>
      <c r="Y3719" s="2" t="s">
        <v>21025</v>
      </c>
      <c r="AA3719" t="str">
        <f t="shared" si="348"/>
        <v>2025-02</v>
      </c>
      <c r="AB3719" t="str">
        <f t="shared" si="349"/>
        <v>H1_2025</v>
      </c>
      <c r="AC3719">
        <f t="shared" si="350"/>
        <v>0</v>
      </c>
      <c r="AD3719">
        <f t="shared" si="351"/>
        <v>100</v>
      </c>
      <c r="AE3719">
        <f t="shared" si="352"/>
        <v>-680000</v>
      </c>
      <c r="AF3719" t="str">
        <f t="shared" si="353"/>
        <v>Sample</v>
      </c>
    </row>
    <row r="3720" spans="1:32" ht="17.25" thickBot="1" x14ac:dyDescent="0.35">
      <c r="A3720" s="2" t="s">
        <v>21029</v>
      </c>
      <c r="B3720" s="2" t="s">
        <v>27</v>
      </c>
      <c r="C3720" s="2" t="s">
        <v>28</v>
      </c>
      <c r="D3720" s="2" t="s">
        <v>97</v>
      </c>
      <c r="E3720" s="2" t="s">
        <v>21021</v>
      </c>
      <c r="F3720" s="2" t="s">
        <v>31</v>
      </c>
      <c r="G3720" s="2" t="s">
        <v>32</v>
      </c>
      <c r="H3720" s="1"/>
      <c r="I3720" s="2" t="s">
        <v>33</v>
      </c>
      <c r="J3720" s="2" t="s">
        <v>34</v>
      </c>
      <c r="K3720" s="2" t="s">
        <v>21030</v>
      </c>
      <c r="L3720" s="2" t="s">
        <v>21031</v>
      </c>
      <c r="M3720" s="2" t="s">
        <v>772</v>
      </c>
      <c r="N3720" s="2" t="s">
        <v>38</v>
      </c>
      <c r="O3720" s="2" t="s">
        <v>877</v>
      </c>
      <c r="P3720" s="2" t="s">
        <v>17126</v>
      </c>
      <c r="Q3720" s="2" t="s">
        <v>21032</v>
      </c>
      <c r="R3720" s="2" t="s">
        <v>40</v>
      </c>
      <c r="S3720" s="2" t="s">
        <v>21033</v>
      </c>
      <c r="T3720" s="2" t="s">
        <v>21034</v>
      </c>
      <c r="U3720" s="2" t="s">
        <v>21035</v>
      </c>
      <c r="V3720" s="2" t="s">
        <v>21036</v>
      </c>
      <c r="W3720" s="1"/>
      <c r="X3720" s="2" t="s">
        <v>3583</v>
      </c>
      <c r="Y3720" s="2" t="s">
        <v>21025</v>
      </c>
      <c r="AA3720" t="str">
        <f t="shared" si="348"/>
        <v>2025-02</v>
      </c>
      <c r="AB3720" t="str">
        <f t="shared" si="349"/>
        <v>H1_2025</v>
      </c>
      <c r="AC3720">
        <f t="shared" si="350"/>
        <v>1130259</v>
      </c>
      <c r="AD3720">
        <f t="shared" si="351"/>
        <v>100</v>
      </c>
      <c r="AE3720">
        <f t="shared" si="352"/>
        <v>224159</v>
      </c>
      <c r="AF3720" t="str">
        <f t="shared" si="353"/>
        <v>Paid</v>
      </c>
    </row>
    <row r="3721" spans="1:32" ht="17.25" thickBot="1" x14ac:dyDescent="0.35">
      <c r="A3721" s="2" t="s">
        <v>21037</v>
      </c>
      <c r="B3721" s="2" t="s">
        <v>27</v>
      </c>
      <c r="C3721" s="2" t="s">
        <v>28</v>
      </c>
      <c r="D3721" s="2" t="s">
        <v>97</v>
      </c>
      <c r="E3721" s="2" t="s">
        <v>21021</v>
      </c>
      <c r="F3721" s="2" t="s">
        <v>31</v>
      </c>
      <c r="G3721" s="2" t="s">
        <v>32</v>
      </c>
      <c r="H3721" s="1"/>
      <c r="I3721" s="2" t="s">
        <v>33</v>
      </c>
      <c r="J3721" s="2" t="s">
        <v>34</v>
      </c>
      <c r="K3721" s="2" t="s">
        <v>16090</v>
      </c>
      <c r="L3721" s="2" t="s">
        <v>16091</v>
      </c>
      <c r="M3721" s="2" t="s">
        <v>772</v>
      </c>
      <c r="N3721" s="2" t="s">
        <v>38</v>
      </c>
      <c r="O3721" s="2" t="s">
        <v>362</v>
      </c>
      <c r="P3721" s="2" t="s">
        <v>21038</v>
      </c>
      <c r="Q3721" s="2" t="s">
        <v>21039</v>
      </c>
      <c r="R3721" s="2" t="s">
        <v>40</v>
      </c>
      <c r="S3721" s="2" t="s">
        <v>21040</v>
      </c>
      <c r="T3721" s="2" t="s">
        <v>942</v>
      </c>
      <c r="U3721" s="2" t="s">
        <v>21041</v>
      </c>
      <c r="V3721" s="2" t="s">
        <v>21042</v>
      </c>
      <c r="W3721" s="1"/>
      <c r="X3721" s="2" t="s">
        <v>6077</v>
      </c>
      <c r="Y3721" s="2" t="s">
        <v>21025</v>
      </c>
      <c r="AA3721" t="str">
        <f t="shared" si="348"/>
        <v>2025-02</v>
      </c>
      <c r="AB3721" t="str">
        <f t="shared" si="349"/>
        <v>H1_2025</v>
      </c>
      <c r="AC3721">
        <f t="shared" si="350"/>
        <v>3566721.6</v>
      </c>
      <c r="AD3721">
        <f t="shared" si="351"/>
        <v>320</v>
      </c>
      <c r="AE3721">
        <f t="shared" si="352"/>
        <v>421441.6</v>
      </c>
      <c r="AF3721" t="str">
        <f t="shared" si="353"/>
        <v>Paid</v>
      </c>
    </row>
    <row r="3722" spans="1:32" ht="17.25" thickBot="1" x14ac:dyDescent="0.35">
      <c r="A3722" s="2" t="s">
        <v>21043</v>
      </c>
      <c r="B3722" s="2" t="s">
        <v>27</v>
      </c>
      <c r="C3722" s="2" t="s">
        <v>28</v>
      </c>
      <c r="D3722" s="2" t="s">
        <v>97</v>
      </c>
      <c r="E3722" s="2" t="s">
        <v>21021</v>
      </c>
      <c r="F3722" s="2" t="s">
        <v>31</v>
      </c>
      <c r="G3722" s="2" t="s">
        <v>32</v>
      </c>
      <c r="H3722" s="1"/>
      <c r="I3722" s="2" t="s">
        <v>33</v>
      </c>
      <c r="J3722" s="2" t="s">
        <v>34</v>
      </c>
      <c r="K3722" s="2" t="s">
        <v>946</v>
      </c>
      <c r="L3722" s="2" t="s">
        <v>947</v>
      </c>
      <c r="M3722" s="2" t="s">
        <v>772</v>
      </c>
      <c r="N3722" s="2" t="s">
        <v>38</v>
      </c>
      <c r="O3722" s="2" t="s">
        <v>391</v>
      </c>
      <c r="P3722" s="2" t="s">
        <v>4122</v>
      </c>
      <c r="Q3722" s="2" t="s">
        <v>21044</v>
      </c>
      <c r="R3722" s="2" t="s">
        <v>40</v>
      </c>
      <c r="S3722" s="2" t="s">
        <v>21045</v>
      </c>
      <c r="T3722" s="2" t="s">
        <v>952</v>
      </c>
      <c r="U3722" s="2" t="s">
        <v>3087</v>
      </c>
      <c r="V3722" s="2" t="s">
        <v>21046</v>
      </c>
      <c r="W3722" s="1"/>
      <c r="X3722" s="2" t="s">
        <v>11500</v>
      </c>
      <c r="Y3722" s="2" t="s">
        <v>21025</v>
      </c>
      <c r="AA3722" t="str">
        <f t="shared" si="348"/>
        <v>2025-02</v>
      </c>
      <c r="AB3722" t="str">
        <f t="shared" si="349"/>
        <v>H1_2025</v>
      </c>
      <c r="AC3722">
        <f t="shared" si="350"/>
        <v>833601.6</v>
      </c>
      <c r="AD3722">
        <f t="shared" si="351"/>
        <v>60</v>
      </c>
      <c r="AE3722">
        <f t="shared" si="352"/>
        <v>113601.60000000001</v>
      </c>
      <c r="AF3722" t="str">
        <f t="shared" si="353"/>
        <v>Paid</v>
      </c>
    </row>
    <row r="3723" spans="1:32" ht="17.25" thickBot="1" x14ac:dyDescent="0.35">
      <c r="A3723" s="2" t="s">
        <v>21047</v>
      </c>
      <c r="B3723" s="2" t="s">
        <v>27</v>
      </c>
      <c r="C3723" s="2" t="s">
        <v>28</v>
      </c>
      <c r="D3723" s="2" t="s">
        <v>97</v>
      </c>
      <c r="E3723" s="2" t="s">
        <v>21021</v>
      </c>
      <c r="F3723" s="2" t="s">
        <v>31</v>
      </c>
      <c r="G3723" s="2" t="s">
        <v>32</v>
      </c>
      <c r="H3723" s="1"/>
      <c r="I3723" s="2" t="s">
        <v>33</v>
      </c>
      <c r="J3723" s="2" t="s">
        <v>34</v>
      </c>
      <c r="K3723" s="2" t="s">
        <v>967</v>
      </c>
      <c r="L3723" s="2" t="s">
        <v>968</v>
      </c>
      <c r="M3723" s="2" t="s">
        <v>772</v>
      </c>
      <c r="N3723" s="2" t="s">
        <v>38</v>
      </c>
      <c r="O3723" s="2" t="s">
        <v>114</v>
      </c>
      <c r="P3723" s="2" t="s">
        <v>21048</v>
      </c>
      <c r="Q3723" s="2" t="s">
        <v>21049</v>
      </c>
      <c r="R3723" s="2" t="s">
        <v>40</v>
      </c>
      <c r="S3723" s="2" t="s">
        <v>21050</v>
      </c>
      <c r="T3723" s="2" t="s">
        <v>973</v>
      </c>
      <c r="U3723" s="2" t="s">
        <v>21051</v>
      </c>
      <c r="V3723" s="2" t="s">
        <v>21052</v>
      </c>
      <c r="W3723" s="1"/>
      <c r="X3723" s="2" t="s">
        <v>6902</v>
      </c>
      <c r="Y3723" s="2" t="s">
        <v>21025</v>
      </c>
      <c r="AA3723" t="str">
        <f t="shared" si="348"/>
        <v>2025-02</v>
      </c>
      <c r="AB3723" t="str">
        <f t="shared" si="349"/>
        <v>H1_2025</v>
      </c>
      <c r="AC3723">
        <f t="shared" si="350"/>
        <v>3628216.8</v>
      </c>
      <c r="AD3723">
        <f t="shared" si="351"/>
        <v>240</v>
      </c>
      <c r="AE3723">
        <f t="shared" si="352"/>
        <v>868216.8</v>
      </c>
      <c r="AF3723" t="str">
        <f t="shared" si="353"/>
        <v>Paid</v>
      </c>
    </row>
    <row r="3724" spans="1:32" ht="17.25" thickBot="1" x14ac:dyDescent="0.35">
      <c r="A3724" s="2" t="s">
        <v>21053</v>
      </c>
      <c r="B3724" s="2" t="s">
        <v>27</v>
      </c>
      <c r="C3724" s="2" t="s">
        <v>28</v>
      </c>
      <c r="D3724" s="2" t="s">
        <v>97</v>
      </c>
      <c r="E3724" s="2" t="s">
        <v>21021</v>
      </c>
      <c r="F3724" s="2" t="s">
        <v>31</v>
      </c>
      <c r="G3724" s="2" t="s">
        <v>32</v>
      </c>
      <c r="H3724" s="1"/>
      <c r="I3724" s="2" t="s">
        <v>33</v>
      </c>
      <c r="J3724" s="2" t="s">
        <v>34</v>
      </c>
      <c r="K3724" s="2" t="s">
        <v>21054</v>
      </c>
      <c r="L3724" s="2" t="s">
        <v>21055</v>
      </c>
      <c r="M3724" s="2" t="s">
        <v>7336</v>
      </c>
      <c r="N3724" s="2" t="s">
        <v>38</v>
      </c>
      <c r="O3724" s="2" t="s">
        <v>131</v>
      </c>
      <c r="P3724" s="2" t="s">
        <v>8244</v>
      </c>
      <c r="Q3724" s="2" t="s">
        <v>21056</v>
      </c>
      <c r="R3724" s="2" t="s">
        <v>40</v>
      </c>
      <c r="S3724" s="2" t="s">
        <v>21057</v>
      </c>
      <c r="T3724" s="2" t="s">
        <v>3163</v>
      </c>
      <c r="U3724" s="2" t="s">
        <v>11652</v>
      </c>
      <c r="V3724" s="2" t="s">
        <v>21058</v>
      </c>
      <c r="W3724" s="1"/>
      <c r="X3724" s="2" t="s">
        <v>7961</v>
      </c>
      <c r="Y3724" s="2" t="s">
        <v>21025</v>
      </c>
      <c r="AA3724" t="str">
        <f t="shared" si="348"/>
        <v>2025-02</v>
      </c>
      <c r="AB3724" t="str">
        <f t="shared" si="349"/>
        <v>H1_2025</v>
      </c>
      <c r="AC3724">
        <f t="shared" si="350"/>
        <v>337654.2</v>
      </c>
      <c r="AD3724">
        <f t="shared" si="351"/>
        <v>40</v>
      </c>
      <c r="AE3724">
        <f t="shared" si="352"/>
        <v>137654.20000000001</v>
      </c>
      <c r="AF3724" t="str">
        <f t="shared" si="353"/>
        <v>Paid</v>
      </c>
    </row>
    <row r="3725" spans="1:32" ht="17.25" thickBot="1" x14ac:dyDescent="0.35">
      <c r="A3725" s="2" t="s">
        <v>21059</v>
      </c>
      <c r="B3725" s="2" t="s">
        <v>27</v>
      </c>
      <c r="C3725" s="2" t="s">
        <v>28</v>
      </c>
      <c r="D3725" s="2" t="s">
        <v>97</v>
      </c>
      <c r="E3725" s="2" t="s">
        <v>21021</v>
      </c>
      <c r="F3725" s="2" t="s">
        <v>31</v>
      </c>
      <c r="G3725" s="2" t="s">
        <v>32</v>
      </c>
      <c r="H3725" s="1"/>
      <c r="I3725" s="2" t="s">
        <v>33</v>
      </c>
      <c r="J3725" s="2" t="s">
        <v>34</v>
      </c>
      <c r="K3725" s="2" t="s">
        <v>21060</v>
      </c>
      <c r="L3725" s="2" t="s">
        <v>21061</v>
      </c>
      <c r="M3725" s="2" t="s">
        <v>7336</v>
      </c>
      <c r="N3725" s="2" t="s">
        <v>38</v>
      </c>
      <c r="O3725" s="2" t="s">
        <v>138</v>
      </c>
      <c r="P3725" s="2" t="s">
        <v>9683</v>
      </c>
      <c r="Q3725" s="2" t="s">
        <v>21062</v>
      </c>
      <c r="R3725" s="2" t="s">
        <v>40</v>
      </c>
      <c r="S3725" s="2" t="s">
        <v>21063</v>
      </c>
      <c r="T3725" s="2" t="s">
        <v>13601</v>
      </c>
      <c r="U3725" s="2" t="s">
        <v>21064</v>
      </c>
      <c r="V3725" s="2" t="s">
        <v>21065</v>
      </c>
      <c r="W3725" s="1"/>
      <c r="X3725" s="2" t="s">
        <v>856</v>
      </c>
      <c r="Y3725" s="2" t="s">
        <v>21025</v>
      </c>
      <c r="AA3725" t="str">
        <f t="shared" si="348"/>
        <v>2025-02</v>
      </c>
      <c r="AB3725" t="str">
        <f t="shared" si="349"/>
        <v>H1_2025</v>
      </c>
      <c r="AC3725">
        <f t="shared" si="350"/>
        <v>221382.72</v>
      </c>
      <c r="AD3725">
        <f t="shared" si="351"/>
        <v>18</v>
      </c>
      <c r="AE3725">
        <f t="shared" si="352"/>
        <v>65916.72</v>
      </c>
      <c r="AF3725" t="str">
        <f t="shared" si="353"/>
        <v>Paid</v>
      </c>
    </row>
    <row r="3726" spans="1:32" ht="17.25" thickBot="1" x14ac:dyDescent="0.35">
      <c r="A3726" s="2" t="s">
        <v>21066</v>
      </c>
      <c r="B3726" s="2" t="s">
        <v>27</v>
      </c>
      <c r="C3726" s="2" t="s">
        <v>28</v>
      </c>
      <c r="D3726" s="2" t="s">
        <v>97</v>
      </c>
      <c r="E3726" s="2" t="s">
        <v>21021</v>
      </c>
      <c r="F3726" s="2" t="s">
        <v>31</v>
      </c>
      <c r="G3726" s="2" t="s">
        <v>32</v>
      </c>
      <c r="H3726" s="1"/>
      <c r="I3726" s="2" t="s">
        <v>33</v>
      </c>
      <c r="J3726" s="2" t="s">
        <v>34</v>
      </c>
      <c r="K3726" s="2" t="s">
        <v>19686</v>
      </c>
      <c r="L3726" s="2" t="s">
        <v>19687</v>
      </c>
      <c r="M3726" s="2" t="s">
        <v>5102</v>
      </c>
      <c r="N3726" s="2" t="s">
        <v>38</v>
      </c>
      <c r="O3726" s="2" t="s">
        <v>839</v>
      </c>
      <c r="P3726" s="2" t="s">
        <v>5157</v>
      </c>
      <c r="Q3726" s="2" t="s">
        <v>21067</v>
      </c>
      <c r="R3726" s="2" t="s">
        <v>40</v>
      </c>
      <c r="S3726" s="2" t="s">
        <v>21068</v>
      </c>
      <c r="T3726" s="2" t="s">
        <v>21069</v>
      </c>
      <c r="U3726" s="2" t="s">
        <v>21070</v>
      </c>
      <c r="V3726" s="2" t="s">
        <v>21071</v>
      </c>
      <c r="W3726" s="1"/>
      <c r="X3726" s="2" t="s">
        <v>9074</v>
      </c>
      <c r="Y3726" s="2" t="s">
        <v>21025</v>
      </c>
      <c r="AA3726" t="str">
        <f t="shared" si="348"/>
        <v>2025-02</v>
      </c>
      <c r="AB3726" t="str">
        <f t="shared" si="349"/>
        <v>H1_2025</v>
      </c>
      <c r="AC3726">
        <f t="shared" si="350"/>
        <v>1474518.24</v>
      </c>
      <c r="AD3726">
        <f t="shared" si="351"/>
        <v>96</v>
      </c>
      <c r="AE3726">
        <f t="shared" si="352"/>
        <v>465621.24</v>
      </c>
      <c r="AF3726" t="str">
        <f t="shared" si="353"/>
        <v>Paid</v>
      </c>
    </row>
    <row r="3727" spans="1:32" ht="17.25" thickBot="1" x14ac:dyDescent="0.35">
      <c r="A3727" s="2" t="s">
        <v>21072</v>
      </c>
      <c r="B3727" s="2" t="s">
        <v>27</v>
      </c>
      <c r="C3727" s="2" t="s">
        <v>28</v>
      </c>
      <c r="D3727" s="2" t="s">
        <v>97</v>
      </c>
      <c r="E3727" s="2" t="s">
        <v>21021</v>
      </c>
      <c r="F3727" s="2" t="s">
        <v>31</v>
      </c>
      <c r="G3727" s="2" t="s">
        <v>32</v>
      </c>
      <c r="H3727" s="1"/>
      <c r="I3727" s="2" t="s">
        <v>33</v>
      </c>
      <c r="J3727" s="2" t="s">
        <v>34</v>
      </c>
      <c r="K3727" s="2" t="s">
        <v>18852</v>
      </c>
      <c r="L3727" s="2" t="s">
        <v>18853</v>
      </c>
      <c r="M3727" s="2" t="s">
        <v>5102</v>
      </c>
      <c r="N3727" s="2" t="s">
        <v>38</v>
      </c>
      <c r="O3727" s="2" t="s">
        <v>3206</v>
      </c>
      <c r="P3727" s="2" t="s">
        <v>21073</v>
      </c>
      <c r="Q3727" s="2" t="s">
        <v>21074</v>
      </c>
      <c r="R3727" s="2" t="s">
        <v>40</v>
      </c>
      <c r="S3727" s="2" t="s">
        <v>21075</v>
      </c>
      <c r="T3727" s="2" t="s">
        <v>18856</v>
      </c>
      <c r="U3727" s="2" t="s">
        <v>21076</v>
      </c>
      <c r="V3727" s="2" t="s">
        <v>21077</v>
      </c>
      <c r="W3727" s="1"/>
      <c r="X3727" s="2" t="s">
        <v>201</v>
      </c>
      <c r="Y3727" s="2" t="s">
        <v>21025</v>
      </c>
      <c r="AA3727" t="str">
        <f t="shared" si="348"/>
        <v>2025-02</v>
      </c>
      <c r="AB3727" t="str">
        <f t="shared" si="349"/>
        <v>H1_2025</v>
      </c>
      <c r="AC3727">
        <f t="shared" si="350"/>
        <v>7926048</v>
      </c>
      <c r="AD3727">
        <f t="shared" si="351"/>
        <v>384</v>
      </c>
      <c r="AE3727">
        <f t="shared" si="352"/>
        <v>1921824</v>
      </c>
      <c r="AF3727" t="str">
        <f t="shared" si="353"/>
        <v>Paid</v>
      </c>
    </row>
    <row r="3728" spans="1:32" ht="17.25" thickBot="1" x14ac:dyDescent="0.35">
      <c r="A3728" s="2" t="s">
        <v>21078</v>
      </c>
      <c r="B3728" s="2" t="s">
        <v>27</v>
      </c>
      <c r="C3728" s="2" t="s">
        <v>28</v>
      </c>
      <c r="D3728" s="2" t="s">
        <v>97</v>
      </c>
      <c r="E3728" s="2" t="s">
        <v>21021</v>
      </c>
      <c r="F3728" s="2" t="s">
        <v>31</v>
      </c>
      <c r="G3728" s="2" t="s">
        <v>32</v>
      </c>
      <c r="H3728" s="1"/>
      <c r="I3728" s="2" t="s">
        <v>33</v>
      </c>
      <c r="J3728" s="2" t="s">
        <v>34</v>
      </c>
      <c r="K3728" s="2" t="s">
        <v>20903</v>
      </c>
      <c r="L3728" s="2" t="s">
        <v>20904</v>
      </c>
      <c r="M3728" s="2" t="s">
        <v>5102</v>
      </c>
      <c r="N3728" s="2" t="s">
        <v>38</v>
      </c>
      <c r="O3728" s="2" t="s">
        <v>149</v>
      </c>
      <c r="P3728" s="2" t="s">
        <v>18556</v>
      </c>
      <c r="Q3728" s="2" t="s">
        <v>21079</v>
      </c>
      <c r="R3728" s="2" t="s">
        <v>40</v>
      </c>
      <c r="S3728" s="2" t="s">
        <v>21080</v>
      </c>
      <c r="T3728" s="2" t="s">
        <v>1534</v>
      </c>
      <c r="U3728" s="2" t="s">
        <v>21081</v>
      </c>
      <c r="V3728" s="2" t="s">
        <v>21082</v>
      </c>
      <c r="W3728" s="1"/>
      <c r="X3728" s="2" t="s">
        <v>201</v>
      </c>
      <c r="Y3728" s="2" t="s">
        <v>21025</v>
      </c>
      <c r="AA3728" t="str">
        <f t="shared" si="348"/>
        <v>2025-02</v>
      </c>
      <c r="AB3728" t="str">
        <f t="shared" si="349"/>
        <v>H1_2025</v>
      </c>
      <c r="AC3728">
        <f t="shared" si="350"/>
        <v>3886155</v>
      </c>
      <c r="AD3728">
        <f t="shared" si="351"/>
        <v>300</v>
      </c>
      <c r="AE3728">
        <f t="shared" si="352"/>
        <v>940755</v>
      </c>
      <c r="AF3728" t="str">
        <f t="shared" si="353"/>
        <v>Paid</v>
      </c>
    </row>
    <row r="3729" spans="1:32" ht="17.25" thickBot="1" x14ac:dyDescent="0.35">
      <c r="A3729" s="2" t="s">
        <v>21083</v>
      </c>
      <c r="B3729" s="2" t="s">
        <v>27</v>
      </c>
      <c r="C3729" s="2" t="s">
        <v>28</v>
      </c>
      <c r="D3729" s="2" t="s">
        <v>97</v>
      </c>
      <c r="E3729" s="2" t="s">
        <v>21084</v>
      </c>
      <c r="F3729" s="2" t="s">
        <v>31</v>
      </c>
      <c r="G3729" s="2" t="s">
        <v>32</v>
      </c>
      <c r="H3729" s="1"/>
      <c r="I3729" s="2" t="s">
        <v>33</v>
      </c>
      <c r="J3729" s="2" t="s">
        <v>34</v>
      </c>
      <c r="K3729" s="2" t="s">
        <v>11155</v>
      </c>
      <c r="L3729" s="2" t="s">
        <v>11156</v>
      </c>
      <c r="M3729" s="2" t="s">
        <v>7619</v>
      </c>
      <c r="N3729" s="2" t="s">
        <v>38</v>
      </c>
      <c r="O3729" s="2" t="s">
        <v>428</v>
      </c>
      <c r="P3729" s="2" t="s">
        <v>2588</v>
      </c>
      <c r="Q3729" s="2" t="s">
        <v>18080</v>
      </c>
      <c r="R3729" s="2" t="s">
        <v>40</v>
      </c>
      <c r="S3729" s="2" t="s">
        <v>21085</v>
      </c>
      <c r="T3729" s="2" t="s">
        <v>8502</v>
      </c>
      <c r="U3729" s="2" t="s">
        <v>13514</v>
      </c>
      <c r="V3729" s="2" t="s">
        <v>21086</v>
      </c>
      <c r="W3729" s="1"/>
      <c r="X3729" s="2" t="s">
        <v>2198</v>
      </c>
      <c r="Y3729" s="2" t="s">
        <v>21087</v>
      </c>
      <c r="AA3729" t="str">
        <f t="shared" si="348"/>
        <v>2025-02</v>
      </c>
      <c r="AB3729" t="str">
        <f t="shared" si="349"/>
        <v>H1_2025</v>
      </c>
      <c r="AC3729">
        <f t="shared" si="350"/>
        <v>1778750</v>
      </c>
      <c r="AD3729">
        <f t="shared" si="351"/>
        <v>250</v>
      </c>
      <c r="AE3729">
        <f t="shared" si="352"/>
        <v>338750</v>
      </c>
      <c r="AF3729" t="str">
        <f t="shared" si="353"/>
        <v>Paid</v>
      </c>
    </row>
    <row r="3730" spans="1:32" ht="17.25" thickBot="1" x14ac:dyDescent="0.35">
      <c r="A3730" s="2" t="s">
        <v>21088</v>
      </c>
      <c r="B3730" s="2" t="s">
        <v>27</v>
      </c>
      <c r="C3730" s="2" t="s">
        <v>28</v>
      </c>
      <c r="D3730" s="2" t="s">
        <v>97</v>
      </c>
      <c r="E3730" s="2" t="s">
        <v>21084</v>
      </c>
      <c r="F3730" s="2" t="s">
        <v>31</v>
      </c>
      <c r="G3730" s="2" t="s">
        <v>32</v>
      </c>
      <c r="H3730" s="1"/>
      <c r="I3730" s="2" t="s">
        <v>33</v>
      </c>
      <c r="J3730" s="2" t="s">
        <v>34</v>
      </c>
      <c r="K3730" s="2" t="s">
        <v>368</v>
      </c>
      <c r="L3730" s="2" t="s">
        <v>369</v>
      </c>
      <c r="M3730" s="2" t="s">
        <v>304</v>
      </c>
      <c r="N3730" s="2" t="s">
        <v>38</v>
      </c>
      <c r="O3730" s="2" t="s">
        <v>51</v>
      </c>
      <c r="P3730" s="2" t="s">
        <v>40</v>
      </c>
      <c r="Q3730" s="2" t="s">
        <v>40</v>
      </c>
      <c r="R3730" s="2" t="s">
        <v>40</v>
      </c>
      <c r="S3730" s="2" t="s">
        <v>40</v>
      </c>
      <c r="T3730" s="2" t="s">
        <v>669</v>
      </c>
      <c r="U3730" s="2" t="s">
        <v>21089</v>
      </c>
      <c r="V3730" s="2" t="s">
        <v>21090</v>
      </c>
      <c r="W3730" s="2" t="s">
        <v>41</v>
      </c>
      <c r="X3730" s="2" t="s">
        <v>42</v>
      </c>
      <c r="Y3730" s="2" t="s">
        <v>21087</v>
      </c>
      <c r="AA3730" t="str">
        <f t="shared" si="348"/>
        <v>2025-02</v>
      </c>
      <c r="AB3730" t="str">
        <f t="shared" si="349"/>
        <v>H1_2025</v>
      </c>
      <c r="AC3730">
        <f t="shared" si="350"/>
        <v>0</v>
      </c>
      <c r="AD3730">
        <f t="shared" si="351"/>
        <v>3</v>
      </c>
      <c r="AE3730">
        <f t="shared" si="352"/>
        <v>-18000</v>
      </c>
      <c r="AF3730" t="str">
        <f t="shared" si="353"/>
        <v>Sample</v>
      </c>
    </row>
    <row r="3731" spans="1:32" ht="27.75" thickBot="1" x14ac:dyDescent="0.35">
      <c r="A3731" s="2" t="s">
        <v>21091</v>
      </c>
      <c r="B3731" s="2" t="s">
        <v>27</v>
      </c>
      <c r="C3731" s="2" t="s">
        <v>28</v>
      </c>
      <c r="D3731" s="2" t="s">
        <v>97</v>
      </c>
      <c r="E3731" s="2" t="s">
        <v>21084</v>
      </c>
      <c r="F3731" s="2" t="s">
        <v>31</v>
      </c>
      <c r="G3731" s="2" t="s">
        <v>32</v>
      </c>
      <c r="H3731" s="1"/>
      <c r="I3731" s="2" t="s">
        <v>33</v>
      </c>
      <c r="J3731" s="2" t="s">
        <v>34</v>
      </c>
      <c r="K3731" s="2" t="s">
        <v>7430</v>
      </c>
      <c r="L3731" s="2" t="s">
        <v>7431</v>
      </c>
      <c r="M3731" s="2" t="s">
        <v>304</v>
      </c>
      <c r="N3731" s="2" t="s">
        <v>38</v>
      </c>
      <c r="O3731" s="2" t="s">
        <v>51</v>
      </c>
      <c r="P3731" s="2" t="s">
        <v>40</v>
      </c>
      <c r="Q3731" s="2" t="s">
        <v>40</v>
      </c>
      <c r="R3731" s="2" t="s">
        <v>40</v>
      </c>
      <c r="S3731" s="2" t="s">
        <v>40</v>
      </c>
      <c r="T3731" s="2" t="s">
        <v>669</v>
      </c>
      <c r="U3731" s="2" t="s">
        <v>21089</v>
      </c>
      <c r="V3731" s="2" t="s">
        <v>21090</v>
      </c>
      <c r="W3731" s="2" t="s">
        <v>41</v>
      </c>
      <c r="X3731" s="2" t="s">
        <v>42</v>
      </c>
      <c r="Y3731" s="2" t="s">
        <v>21087</v>
      </c>
      <c r="AA3731" t="str">
        <f t="shared" si="348"/>
        <v>2025-02</v>
      </c>
      <c r="AB3731" t="str">
        <f t="shared" si="349"/>
        <v>H1_2025</v>
      </c>
      <c r="AC3731">
        <f t="shared" si="350"/>
        <v>0</v>
      </c>
      <c r="AD3731">
        <f t="shared" si="351"/>
        <v>3</v>
      </c>
      <c r="AE3731">
        <f t="shared" si="352"/>
        <v>-18000</v>
      </c>
      <c r="AF3731" t="str">
        <f t="shared" si="353"/>
        <v>Sample</v>
      </c>
    </row>
    <row r="3732" spans="1:32" ht="17.25" thickBot="1" x14ac:dyDescent="0.35">
      <c r="A3732" s="2" t="s">
        <v>21092</v>
      </c>
      <c r="B3732" s="2" t="s">
        <v>27</v>
      </c>
      <c r="C3732" s="2" t="s">
        <v>28</v>
      </c>
      <c r="D3732" s="2" t="s">
        <v>97</v>
      </c>
      <c r="E3732" s="2" t="s">
        <v>21084</v>
      </c>
      <c r="F3732" s="2" t="s">
        <v>31</v>
      </c>
      <c r="G3732" s="2" t="s">
        <v>32</v>
      </c>
      <c r="H3732" s="1"/>
      <c r="I3732" s="2" t="s">
        <v>33</v>
      </c>
      <c r="J3732" s="2" t="s">
        <v>34</v>
      </c>
      <c r="K3732" s="2" t="s">
        <v>10460</v>
      </c>
      <c r="L3732" s="2" t="s">
        <v>10461</v>
      </c>
      <c r="M3732" s="2" t="s">
        <v>304</v>
      </c>
      <c r="N3732" s="2" t="s">
        <v>38</v>
      </c>
      <c r="O3732" s="2" t="s">
        <v>51</v>
      </c>
      <c r="P3732" s="2" t="s">
        <v>40</v>
      </c>
      <c r="Q3732" s="2" t="s">
        <v>40</v>
      </c>
      <c r="R3732" s="2" t="s">
        <v>40</v>
      </c>
      <c r="S3732" s="2" t="s">
        <v>40</v>
      </c>
      <c r="T3732" s="2" t="s">
        <v>669</v>
      </c>
      <c r="U3732" s="2" t="s">
        <v>21089</v>
      </c>
      <c r="V3732" s="2" t="s">
        <v>21090</v>
      </c>
      <c r="W3732" s="2" t="s">
        <v>41</v>
      </c>
      <c r="X3732" s="2" t="s">
        <v>42</v>
      </c>
      <c r="Y3732" s="2" t="s">
        <v>21087</v>
      </c>
      <c r="AA3732" t="str">
        <f t="shared" si="348"/>
        <v>2025-02</v>
      </c>
      <c r="AB3732" t="str">
        <f t="shared" si="349"/>
        <v>H1_2025</v>
      </c>
      <c r="AC3732">
        <f t="shared" si="350"/>
        <v>0</v>
      </c>
      <c r="AD3732">
        <f t="shared" si="351"/>
        <v>3</v>
      </c>
      <c r="AE3732">
        <f t="shared" si="352"/>
        <v>-18000</v>
      </c>
      <c r="AF3732" t="str">
        <f t="shared" si="353"/>
        <v>Sample</v>
      </c>
    </row>
    <row r="3733" spans="1:32" ht="17.25" thickBot="1" x14ac:dyDescent="0.35">
      <c r="A3733" s="2" t="s">
        <v>21093</v>
      </c>
      <c r="B3733" s="2" t="s">
        <v>27</v>
      </c>
      <c r="C3733" s="2" t="s">
        <v>28</v>
      </c>
      <c r="D3733" s="2" t="s">
        <v>97</v>
      </c>
      <c r="E3733" s="2" t="s">
        <v>21084</v>
      </c>
      <c r="F3733" s="2" t="s">
        <v>31</v>
      </c>
      <c r="G3733" s="2" t="s">
        <v>32</v>
      </c>
      <c r="H3733" s="1"/>
      <c r="I3733" s="2" t="s">
        <v>33</v>
      </c>
      <c r="J3733" s="2" t="s">
        <v>34</v>
      </c>
      <c r="K3733" s="2" t="s">
        <v>6980</v>
      </c>
      <c r="L3733" s="2" t="s">
        <v>6981</v>
      </c>
      <c r="M3733" s="2" t="s">
        <v>2372</v>
      </c>
      <c r="N3733" s="2" t="s">
        <v>38</v>
      </c>
      <c r="O3733" s="2" t="s">
        <v>203</v>
      </c>
      <c r="P3733" s="2" t="s">
        <v>3612</v>
      </c>
      <c r="Q3733" s="2" t="s">
        <v>21094</v>
      </c>
      <c r="R3733" s="2" t="s">
        <v>40</v>
      </c>
      <c r="S3733" s="2" t="s">
        <v>21095</v>
      </c>
      <c r="T3733" s="2" t="s">
        <v>12882</v>
      </c>
      <c r="U3733" s="2" t="s">
        <v>21096</v>
      </c>
      <c r="V3733" s="2" t="s">
        <v>21097</v>
      </c>
      <c r="W3733" s="1"/>
      <c r="X3733" s="2" t="s">
        <v>1332</v>
      </c>
      <c r="Y3733" s="2" t="s">
        <v>21087</v>
      </c>
      <c r="AA3733" t="str">
        <f t="shared" si="348"/>
        <v>2025-02</v>
      </c>
      <c r="AB3733" t="str">
        <f t="shared" si="349"/>
        <v>H1_2025</v>
      </c>
      <c r="AC3733">
        <f t="shared" si="350"/>
        <v>267524</v>
      </c>
      <c r="AD3733">
        <f t="shared" si="351"/>
        <v>25</v>
      </c>
      <c r="AE3733">
        <f t="shared" si="352"/>
        <v>71149</v>
      </c>
      <c r="AF3733" t="str">
        <f t="shared" si="353"/>
        <v>Paid</v>
      </c>
    </row>
    <row r="3734" spans="1:32" ht="17.25" thickBot="1" x14ac:dyDescent="0.35">
      <c r="A3734" s="2" t="s">
        <v>21098</v>
      </c>
      <c r="B3734" s="2" t="s">
        <v>27</v>
      </c>
      <c r="C3734" s="2" t="s">
        <v>28</v>
      </c>
      <c r="D3734" s="2" t="s">
        <v>97</v>
      </c>
      <c r="E3734" s="2" t="s">
        <v>21084</v>
      </c>
      <c r="F3734" s="2" t="s">
        <v>31</v>
      </c>
      <c r="G3734" s="2" t="s">
        <v>32</v>
      </c>
      <c r="H3734" s="1"/>
      <c r="I3734" s="2" t="s">
        <v>33</v>
      </c>
      <c r="J3734" s="2" t="s">
        <v>34</v>
      </c>
      <c r="K3734" s="2" t="s">
        <v>21099</v>
      </c>
      <c r="L3734" s="2" t="s">
        <v>21100</v>
      </c>
      <c r="M3734" s="2" t="s">
        <v>21101</v>
      </c>
      <c r="N3734" s="2" t="s">
        <v>38</v>
      </c>
      <c r="O3734" s="2" t="s">
        <v>51</v>
      </c>
      <c r="P3734" s="2" t="s">
        <v>5084</v>
      </c>
      <c r="Q3734" s="2" t="s">
        <v>21102</v>
      </c>
      <c r="R3734" s="2" t="s">
        <v>40</v>
      </c>
      <c r="S3734" s="2" t="s">
        <v>21103</v>
      </c>
      <c r="T3734" s="2" t="s">
        <v>40</v>
      </c>
      <c r="U3734" s="2" t="s">
        <v>40</v>
      </c>
      <c r="V3734" s="2" t="s">
        <v>21103</v>
      </c>
      <c r="W3734" s="1"/>
      <c r="X3734" s="2" t="s">
        <v>2155</v>
      </c>
      <c r="Y3734" s="2" t="s">
        <v>21087</v>
      </c>
      <c r="AA3734" t="str">
        <f t="shared" si="348"/>
        <v>2025-02</v>
      </c>
      <c r="AB3734" t="str">
        <f t="shared" si="349"/>
        <v>H1_2025</v>
      </c>
      <c r="AC3734">
        <f t="shared" si="350"/>
        <v>25528.62</v>
      </c>
      <c r="AD3734">
        <f t="shared" si="351"/>
        <v>3</v>
      </c>
      <c r="AE3734">
        <f t="shared" si="352"/>
        <v>25528.62</v>
      </c>
      <c r="AF3734" t="str">
        <f t="shared" si="353"/>
        <v>Paid</v>
      </c>
    </row>
    <row r="3735" spans="1:32" ht="17.25" thickBot="1" x14ac:dyDescent="0.35">
      <c r="A3735" s="2" t="s">
        <v>21104</v>
      </c>
      <c r="B3735" s="2" t="s">
        <v>27</v>
      </c>
      <c r="C3735" s="2" t="s">
        <v>28</v>
      </c>
      <c r="D3735" s="2" t="s">
        <v>97</v>
      </c>
      <c r="E3735" s="2" t="s">
        <v>21084</v>
      </c>
      <c r="F3735" s="2" t="s">
        <v>31</v>
      </c>
      <c r="G3735" s="2" t="s">
        <v>32</v>
      </c>
      <c r="H3735" s="1"/>
      <c r="I3735" s="2" t="s">
        <v>33</v>
      </c>
      <c r="J3735" s="2" t="s">
        <v>34</v>
      </c>
      <c r="K3735" s="2" t="s">
        <v>21105</v>
      </c>
      <c r="L3735" s="2" t="s">
        <v>21106</v>
      </c>
      <c r="M3735" s="2" t="s">
        <v>21107</v>
      </c>
      <c r="N3735" s="2" t="s">
        <v>38</v>
      </c>
      <c r="O3735" s="2" t="s">
        <v>57</v>
      </c>
      <c r="P3735" s="2" t="s">
        <v>4317</v>
      </c>
      <c r="Q3735" s="2" t="s">
        <v>21108</v>
      </c>
      <c r="R3735" s="2" t="s">
        <v>40</v>
      </c>
      <c r="S3735" s="2" t="s">
        <v>21109</v>
      </c>
      <c r="T3735" s="2" t="s">
        <v>21110</v>
      </c>
      <c r="U3735" s="2" t="s">
        <v>21111</v>
      </c>
      <c r="V3735" s="2" t="s">
        <v>21112</v>
      </c>
      <c r="W3735" s="1"/>
      <c r="X3735" s="2" t="s">
        <v>10266</v>
      </c>
      <c r="Y3735" s="2" t="s">
        <v>21087</v>
      </c>
      <c r="AA3735" t="str">
        <f t="shared" si="348"/>
        <v>2025-02</v>
      </c>
      <c r="AB3735" t="str">
        <f t="shared" si="349"/>
        <v>H1_2025</v>
      </c>
      <c r="AC3735">
        <f t="shared" si="350"/>
        <v>70509.649999999994</v>
      </c>
      <c r="AD3735">
        <f t="shared" si="351"/>
        <v>5</v>
      </c>
      <c r="AE3735">
        <f t="shared" si="352"/>
        <v>22559.65</v>
      </c>
      <c r="AF3735" t="str">
        <f t="shared" si="353"/>
        <v>Paid</v>
      </c>
    </row>
    <row r="3736" spans="1:32" ht="17.25" thickBot="1" x14ac:dyDescent="0.35">
      <c r="A3736" s="2" t="s">
        <v>21113</v>
      </c>
      <c r="B3736" s="2" t="s">
        <v>27</v>
      </c>
      <c r="C3736" s="2" t="s">
        <v>28</v>
      </c>
      <c r="D3736" s="2" t="s">
        <v>97</v>
      </c>
      <c r="E3736" s="2" t="s">
        <v>21084</v>
      </c>
      <c r="F3736" s="2" t="s">
        <v>31</v>
      </c>
      <c r="G3736" s="2" t="s">
        <v>32</v>
      </c>
      <c r="H3736" s="1"/>
      <c r="I3736" s="2" t="s">
        <v>33</v>
      </c>
      <c r="J3736" s="2" t="s">
        <v>34</v>
      </c>
      <c r="K3736" s="2" t="s">
        <v>21114</v>
      </c>
      <c r="L3736" s="2" t="s">
        <v>21115</v>
      </c>
      <c r="M3736" s="2" t="s">
        <v>21107</v>
      </c>
      <c r="N3736" s="2" t="s">
        <v>38</v>
      </c>
      <c r="O3736" s="2" t="s">
        <v>203</v>
      </c>
      <c r="P3736" s="2" t="s">
        <v>21116</v>
      </c>
      <c r="Q3736" s="2" t="s">
        <v>21117</v>
      </c>
      <c r="R3736" s="2" t="s">
        <v>40</v>
      </c>
      <c r="S3736" s="2" t="s">
        <v>21118</v>
      </c>
      <c r="T3736" s="2" t="s">
        <v>21119</v>
      </c>
      <c r="U3736" s="2" t="s">
        <v>21120</v>
      </c>
      <c r="V3736" s="2" t="s">
        <v>21121</v>
      </c>
      <c r="W3736" s="1"/>
      <c r="X3736" s="2" t="s">
        <v>2020</v>
      </c>
      <c r="Y3736" s="2" t="s">
        <v>21087</v>
      </c>
      <c r="AA3736" t="str">
        <f t="shared" si="348"/>
        <v>2025-02</v>
      </c>
      <c r="AB3736" t="str">
        <f t="shared" si="349"/>
        <v>H1_2025</v>
      </c>
      <c r="AC3736">
        <f t="shared" si="350"/>
        <v>279975.25</v>
      </c>
      <c r="AD3736">
        <f t="shared" si="351"/>
        <v>25</v>
      </c>
      <c r="AE3736">
        <f t="shared" si="352"/>
        <v>72475.25</v>
      </c>
      <c r="AF3736" t="str">
        <f t="shared" si="353"/>
        <v>Paid</v>
      </c>
    </row>
    <row r="3737" spans="1:32" ht="17.25" thickBot="1" x14ac:dyDescent="0.35">
      <c r="A3737" s="2" t="s">
        <v>21122</v>
      </c>
      <c r="B3737" s="2" t="s">
        <v>27</v>
      </c>
      <c r="C3737" s="2" t="s">
        <v>28</v>
      </c>
      <c r="D3737" s="2" t="s">
        <v>97</v>
      </c>
      <c r="E3737" s="2" t="s">
        <v>21084</v>
      </c>
      <c r="F3737" s="2" t="s">
        <v>31</v>
      </c>
      <c r="G3737" s="2" t="s">
        <v>32</v>
      </c>
      <c r="H3737" s="1"/>
      <c r="I3737" s="2" t="s">
        <v>33</v>
      </c>
      <c r="J3737" s="2" t="s">
        <v>34</v>
      </c>
      <c r="K3737" s="2" t="s">
        <v>2405</v>
      </c>
      <c r="L3737" s="2" t="s">
        <v>2406</v>
      </c>
      <c r="M3737" s="2" t="s">
        <v>2389</v>
      </c>
      <c r="N3737" s="2" t="s">
        <v>38</v>
      </c>
      <c r="O3737" s="2" t="s">
        <v>645</v>
      </c>
      <c r="P3737" s="2" t="s">
        <v>18718</v>
      </c>
      <c r="Q3737" s="2" t="s">
        <v>19134</v>
      </c>
      <c r="R3737" s="2" t="s">
        <v>40</v>
      </c>
      <c r="S3737" s="2" t="s">
        <v>21123</v>
      </c>
      <c r="T3737" s="2" t="s">
        <v>2411</v>
      </c>
      <c r="U3737" s="2" t="s">
        <v>14475</v>
      </c>
      <c r="V3737" s="2" t="s">
        <v>21124</v>
      </c>
      <c r="W3737" s="1"/>
      <c r="X3737" s="2" t="s">
        <v>6663</v>
      </c>
      <c r="Y3737" s="2" t="s">
        <v>21087</v>
      </c>
      <c r="AA3737" t="str">
        <f t="shared" si="348"/>
        <v>2025-02</v>
      </c>
      <c r="AB3737" t="str">
        <f t="shared" si="349"/>
        <v>H1_2025</v>
      </c>
      <c r="AC3737">
        <f t="shared" si="350"/>
        <v>657995.19999999995</v>
      </c>
      <c r="AD3737">
        <f t="shared" si="351"/>
        <v>170</v>
      </c>
      <c r="AE3737">
        <f t="shared" si="352"/>
        <v>147995.20000000001</v>
      </c>
      <c r="AF3737" t="str">
        <f t="shared" si="353"/>
        <v>Paid</v>
      </c>
    </row>
    <row r="3738" spans="1:32" ht="17.25" thickBot="1" x14ac:dyDescent="0.35">
      <c r="A3738" s="2" t="s">
        <v>21125</v>
      </c>
      <c r="B3738" s="2" t="s">
        <v>27</v>
      </c>
      <c r="C3738" s="2" t="s">
        <v>28</v>
      </c>
      <c r="D3738" s="2" t="s">
        <v>97</v>
      </c>
      <c r="E3738" s="2" t="s">
        <v>21084</v>
      </c>
      <c r="F3738" s="2" t="s">
        <v>31</v>
      </c>
      <c r="G3738" s="2" t="s">
        <v>32</v>
      </c>
      <c r="H3738" s="1"/>
      <c r="I3738" s="2" t="s">
        <v>33</v>
      </c>
      <c r="J3738" s="2" t="s">
        <v>34</v>
      </c>
      <c r="K3738" s="2" t="s">
        <v>2459</v>
      </c>
      <c r="L3738" s="2" t="s">
        <v>2460</v>
      </c>
      <c r="M3738" s="2" t="s">
        <v>2389</v>
      </c>
      <c r="N3738" s="2" t="s">
        <v>38</v>
      </c>
      <c r="O3738" s="2" t="s">
        <v>527</v>
      </c>
      <c r="P3738" s="2" t="s">
        <v>21126</v>
      </c>
      <c r="Q3738" s="2" t="s">
        <v>21127</v>
      </c>
      <c r="R3738" s="2" t="s">
        <v>40</v>
      </c>
      <c r="S3738" s="2" t="s">
        <v>21128</v>
      </c>
      <c r="T3738" s="2" t="s">
        <v>17612</v>
      </c>
      <c r="U3738" s="2" t="s">
        <v>21129</v>
      </c>
      <c r="V3738" s="2" t="s">
        <v>21130</v>
      </c>
      <c r="W3738" s="1"/>
      <c r="X3738" s="2" t="s">
        <v>1375</v>
      </c>
      <c r="Y3738" s="2" t="s">
        <v>21087</v>
      </c>
      <c r="AA3738" t="str">
        <f t="shared" si="348"/>
        <v>2025-02</v>
      </c>
      <c r="AB3738" t="str">
        <f t="shared" si="349"/>
        <v>H1_2025</v>
      </c>
      <c r="AC3738">
        <f t="shared" si="350"/>
        <v>157924.54</v>
      </c>
      <c r="AD3738">
        <f t="shared" si="351"/>
        <v>62</v>
      </c>
      <c r="AE3738">
        <f t="shared" si="352"/>
        <v>39504.54</v>
      </c>
      <c r="AF3738" t="str">
        <f t="shared" si="353"/>
        <v>Paid</v>
      </c>
    </row>
    <row r="3739" spans="1:32" ht="17.25" thickBot="1" x14ac:dyDescent="0.35">
      <c r="A3739" s="2" t="s">
        <v>21131</v>
      </c>
      <c r="B3739" s="2" t="s">
        <v>27</v>
      </c>
      <c r="C3739" s="2" t="s">
        <v>28</v>
      </c>
      <c r="D3739" s="2" t="s">
        <v>97</v>
      </c>
      <c r="E3739" s="2" t="s">
        <v>21084</v>
      </c>
      <c r="F3739" s="2" t="s">
        <v>31</v>
      </c>
      <c r="G3739" s="2" t="s">
        <v>32</v>
      </c>
      <c r="H3739" s="1"/>
      <c r="I3739" s="2" t="s">
        <v>33</v>
      </c>
      <c r="J3739" s="2" t="s">
        <v>34</v>
      </c>
      <c r="K3739" s="2" t="s">
        <v>2459</v>
      </c>
      <c r="L3739" s="2" t="s">
        <v>2460</v>
      </c>
      <c r="M3739" s="2" t="s">
        <v>2389</v>
      </c>
      <c r="N3739" s="2" t="s">
        <v>38</v>
      </c>
      <c r="O3739" s="2" t="s">
        <v>313</v>
      </c>
      <c r="P3739" s="2" t="s">
        <v>21126</v>
      </c>
      <c r="Q3739" s="2" t="s">
        <v>21132</v>
      </c>
      <c r="R3739" s="2" t="s">
        <v>40</v>
      </c>
      <c r="S3739" s="2" t="s">
        <v>21133</v>
      </c>
      <c r="T3739" s="2" t="s">
        <v>17612</v>
      </c>
      <c r="U3739" s="2" t="s">
        <v>21134</v>
      </c>
      <c r="V3739" s="2" t="s">
        <v>21135</v>
      </c>
      <c r="W3739" s="1"/>
      <c r="X3739" s="2" t="s">
        <v>1375</v>
      </c>
      <c r="Y3739" s="2" t="s">
        <v>21087</v>
      </c>
      <c r="AA3739" t="str">
        <f t="shared" si="348"/>
        <v>2025-02</v>
      </c>
      <c r="AB3739" t="str">
        <f t="shared" si="349"/>
        <v>H1_2025</v>
      </c>
      <c r="AC3739">
        <f t="shared" si="350"/>
        <v>96792.46</v>
      </c>
      <c r="AD3739">
        <f t="shared" si="351"/>
        <v>38</v>
      </c>
      <c r="AE3739">
        <f t="shared" si="352"/>
        <v>24212.46</v>
      </c>
      <c r="AF3739" t="str">
        <f t="shared" si="353"/>
        <v>Paid</v>
      </c>
    </row>
    <row r="3740" spans="1:32" ht="17.25" thickBot="1" x14ac:dyDescent="0.35">
      <c r="A3740" s="2" t="s">
        <v>21136</v>
      </c>
      <c r="B3740" s="2" t="s">
        <v>27</v>
      </c>
      <c r="C3740" s="2" t="s">
        <v>28</v>
      </c>
      <c r="D3740" s="2" t="s">
        <v>97</v>
      </c>
      <c r="E3740" s="2" t="s">
        <v>21084</v>
      </c>
      <c r="F3740" s="2" t="s">
        <v>31</v>
      </c>
      <c r="G3740" s="2" t="s">
        <v>32</v>
      </c>
      <c r="H3740" s="1"/>
      <c r="I3740" s="2" t="s">
        <v>33</v>
      </c>
      <c r="J3740" s="2" t="s">
        <v>34</v>
      </c>
      <c r="K3740" s="2" t="s">
        <v>17616</v>
      </c>
      <c r="L3740" s="2" t="s">
        <v>17617</v>
      </c>
      <c r="M3740" s="2" t="s">
        <v>2389</v>
      </c>
      <c r="N3740" s="2" t="s">
        <v>38</v>
      </c>
      <c r="O3740" s="2" t="s">
        <v>113</v>
      </c>
      <c r="P3740" s="2" t="s">
        <v>5845</v>
      </c>
      <c r="Q3740" s="2" t="s">
        <v>21137</v>
      </c>
      <c r="R3740" s="2" t="s">
        <v>40</v>
      </c>
      <c r="S3740" s="2" t="s">
        <v>21138</v>
      </c>
      <c r="T3740" s="2" t="s">
        <v>287</v>
      </c>
      <c r="U3740" s="2" t="s">
        <v>18361</v>
      </c>
      <c r="V3740" s="2" t="s">
        <v>21139</v>
      </c>
      <c r="W3740" s="1"/>
      <c r="X3740" s="2" t="s">
        <v>6757</v>
      </c>
      <c r="Y3740" s="2" t="s">
        <v>21087</v>
      </c>
      <c r="AA3740" t="str">
        <f t="shared" si="348"/>
        <v>2025-02</v>
      </c>
      <c r="AB3740" t="str">
        <f t="shared" si="349"/>
        <v>H1_2025</v>
      </c>
      <c r="AC3740">
        <f t="shared" si="350"/>
        <v>142798.04999999999</v>
      </c>
      <c r="AD3740">
        <f t="shared" si="351"/>
        <v>15</v>
      </c>
      <c r="AE3740">
        <f t="shared" si="352"/>
        <v>37798.050000000003</v>
      </c>
      <c r="AF3740" t="str">
        <f t="shared" si="353"/>
        <v>Paid</v>
      </c>
    </row>
    <row r="3741" spans="1:32" ht="17.25" thickBot="1" x14ac:dyDescent="0.35">
      <c r="A3741" s="2" t="s">
        <v>21140</v>
      </c>
      <c r="B3741" s="2" t="s">
        <v>27</v>
      </c>
      <c r="C3741" s="2" t="s">
        <v>28</v>
      </c>
      <c r="D3741" s="2" t="s">
        <v>97</v>
      </c>
      <c r="E3741" s="2" t="s">
        <v>21084</v>
      </c>
      <c r="F3741" s="2" t="s">
        <v>31</v>
      </c>
      <c r="G3741" s="2" t="s">
        <v>32</v>
      </c>
      <c r="H3741" s="1"/>
      <c r="I3741" s="2" t="s">
        <v>33</v>
      </c>
      <c r="J3741" s="2" t="s">
        <v>34</v>
      </c>
      <c r="K3741" s="2" t="s">
        <v>12976</v>
      </c>
      <c r="L3741" s="2" t="s">
        <v>12977</v>
      </c>
      <c r="M3741" s="2" t="s">
        <v>2389</v>
      </c>
      <c r="N3741" s="2" t="s">
        <v>38</v>
      </c>
      <c r="O3741" s="2" t="s">
        <v>1333</v>
      </c>
      <c r="P3741" s="2" t="s">
        <v>1217</v>
      </c>
      <c r="Q3741" s="2" t="s">
        <v>21141</v>
      </c>
      <c r="R3741" s="2" t="s">
        <v>40</v>
      </c>
      <c r="S3741" s="2" t="s">
        <v>21142</v>
      </c>
      <c r="T3741" s="2" t="s">
        <v>8172</v>
      </c>
      <c r="U3741" s="2" t="s">
        <v>16284</v>
      </c>
      <c r="V3741" s="2" t="s">
        <v>21143</v>
      </c>
      <c r="W3741" s="1"/>
      <c r="X3741" s="2" t="s">
        <v>16672</v>
      </c>
      <c r="Y3741" s="2" t="s">
        <v>21087</v>
      </c>
      <c r="AA3741" t="str">
        <f t="shared" si="348"/>
        <v>2025-02</v>
      </c>
      <c r="AB3741" t="str">
        <f t="shared" si="349"/>
        <v>H1_2025</v>
      </c>
      <c r="AC3741">
        <f t="shared" si="350"/>
        <v>1246548</v>
      </c>
      <c r="AD3741">
        <f t="shared" si="351"/>
        <v>150</v>
      </c>
      <c r="AE3741">
        <f t="shared" si="352"/>
        <v>482898</v>
      </c>
      <c r="AF3741" t="str">
        <f t="shared" si="353"/>
        <v>Paid</v>
      </c>
    </row>
    <row r="3742" spans="1:32" ht="17.25" thickBot="1" x14ac:dyDescent="0.35">
      <c r="A3742" s="2" t="s">
        <v>21144</v>
      </c>
      <c r="B3742" s="2" t="s">
        <v>27</v>
      </c>
      <c r="C3742" s="2" t="s">
        <v>28</v>
      </c>
      <c r="D3742" s="2" t="s">
        <v>97</v>
      </c>
      <c r="E3742" s="2" t="s">
        <v>21084</v>
      </c>
      <c r="F3742" s="2" t="s">
        <v>31</v>
      </c>
      <c r="G3742" s="2" t="s">
        <v>32</v>
      </c>
      <c r="H3742" s="1"/>
      <c r="I3742" s="2" t="s">
        <v>33</v>
      </c>
      <c r="J3742" s="2" t="s">
        <v>34</v>
      </c>
      <c r="K3742" s="2" t="s">
        <v>2485</v>
      </c>
      <c r="L3742" s="2" t="s">
        <v>2486</v>
      </c>
      <c r="M3742" s="2" t="s">
        <v>2389</v>
      </c>
      <c r="N3742" s="2" t="s">
        <v>38</v>
      </c>
      <c r="O3742" s="2" t="s">
        <v>203</v>
      </c>
      <c r="P3742" s="2" t="s">
        <v>10335</v>
      </c>
      <c r="Q3742" s="2" t="s">
        <v>21145</v>
      </c>
      <c r="R3742" s="2" t="s">
        <v>40</v>
      </c>
      <c r="S3742" s="2" t="s">
        <v>21146</v>
      </c>
      <c r="T3742" s="2" t="s">
        <v>21147</v>
      </c>
      <c r="U3742" s="2" t="s">
        <v>21148</v>
      </c>
      <c r="V3742" s="2" t="s">
        <v>21149</v>
      </c>
      <c r="W3742" s="1"/>
      <c r="X3742" s="2" t="s">
        <v>9635</v>
      </c>
      <c r="Y3742" s="2" t="s">
        <v>21087</v>
      </c>
      <c r="AA3742" t="str">
        <f t="shared" si="348"/>
        <v>2025-02</v>
      </c>
      <c r="AB3742" t="str">
        <f t="shared" si="349"/>
        <v>H1_2025</v>
      </c>
      <c r="AC3742">
        <f t="shared" si="350"/>
        <v>197441.25</v>
      </c>
      <c r="AD3742">
        <f t="shared" si="351"/>
        <v>25</v>
      </c>
      <c r="AE3742">
        <f t="shared" si="352"/>
        <v>76516.25</v>
      </c>
      <c r="AF3742" t="str">
        <f t="shared" si="353"/>
        <v>Paid</v>
      </c>
    </row>
    <row r="3743" spans="1:32" ht="17.25" thickBot="1" x14ac:dyDescent="0.35">
      <c r="A3743" s="2" t="s">
        <v>21150</v>
      </c>
      <c r="B3743" s="2" t="s">
        <v>27</v>
      </c>
      <c r="C3743" s="2" t="s">
        <v>28</v>
      </c>
      <c r="D3743" s="2" t="s">
        <v>97</v>
      </c>
      <c r="E3743" s="2" t="s">
        <v>21084</v>
      </c>
      <c r="F3743" s="2" t="s">
        <v>31</v>
      </c>
      <c r="G3743" s="2" t="s">
        <v>32</v>
      </c>
      <c r="H3743" s="1"/>
      <c r="I3743" s="2" t="s">
        <v>33</v>
      </c>
      <c r="J3743" s="2" t="s">
        <v>34</v>
      </c>
      <c r="K3743" s="2" t="s">
        <v>2509</v>
      </c>
      <c r="L3743" s="2" t="s">
        <v>2510</v>
      </c>
      <c r="M3743" s="2" t="s">
        <v>2389</v>
      </c>
      <c r="N3743" s="2" t="s">
        <v>38</v>
      </c>
      <c r="O3743" s="2" t="s">
        <v>203</v>
      </c>
      <c r="P3743" s="2" t="s">
        <v>2720</v>
      </c>
      <c r="Q3743" s="2" t="s">
        <v>21151</v>
      </c>
      <c r="R3743" s="2" t="s">
        <v>40</v>
      </c>
      <c r="S3743" s="2" t="s">
        <v>21152</v>
      </c>
      <c r="T3743" s="2" t="s">
        <v>7821</v>
      </c>
      <c r="U3743" s="2" t="s">
        <v>21153</v>
      </c>
      <c r="V3743" s="2" t="s">
        <v>21154</v>
      </c>
      <c r="W3743" s="1"/>
      <c r="X3743" s="2" t="s">
        <v>7874</v>
      </c>
      <c r="Y3743" s="2" t="s">
        <v>21087</v>
      </c>
      <c r="AA3743" t="str">
        <f t="shared" si="348"/>
        <v>2025-02</v>
      </c>
      <c r="AB3743" t="str">
        <f t="shared" si="349"/>
        <v>H1_2025</v>
      </c>
      <c r="AC3743">
        <f t="shared" si="350"/>
        <v>249380.75</v>
      </c>
      <c r="AD3743">
        <f t="shared" si="351"/>
        <v>25</v>
      </c>
      <c r="AE3743">
        <f t="shared" si="352"/>
        <v>100980.75</v>
      </c>
      <c r="AF3743" t="str">
        <f t="shared" si="353"/>
        <v>Paid</v>
      </c>
    </row>
    <row r="3744" spans="1:32" ht="17.25" thickBot="1" x14ac:dyDescent="0.35">
      <c r="A3744" s="2" t="s">
        <v>21155</v>
      </c>
      <c r="B3744" s="2" t="s">
        <v>27</v>
      </c>
      <c r="C3744" s="2" t="s">
        <v>28</v>
      </c>
      <c r="D3744" s="2" t="s">
        <v>97</v>
      </c>
      <c r="E3744" s="2" t="s">
        <v>21084</v>
      </c>
      <c r="F3744" s="2" t="s">
        <v>31</v>
      </c>
      <c r="G3744" s="2" t="s">
        <v>32</v>
      </c>
      <c r="H3744" s="1"/>
      <c r="I3744" s="2" t="s">
        <v>33</v>
      </c>
      <c r="J3744" s="2" t="s">
        <v>34</v>
      </c>
      <c r="K3744" s="2" t="s">
        <v>21156</v>
      </c>
      <c r="L3744" s="2" t="s">
        <v>21157</v>
      </c>
      <c r="M3744" s="2" t="s">
        <v>2389</v>
      </c>
      <c r="N3744" s="2" t="s">
        <v>38</v>
      </c>
      <c r="O3744" s="2" t="s">
        <v>203</v>
      </c>
      <c r="P3744" s="2" t="s">
        <v>6890</v>
      </c>
      <c r="Q3744" s="2" t="s">
        <v>7699</v>
      </c>
      <c r="R3744" s="2" t="s">
        <v>40</v>
      </c>
      <c r="S3744" s="2" t="s">
        <v>21158</v>
      </c>
      <c r="T3744" s="2" t="s">
        <v>21159</v>
      </c>
      <c r="U3744" s="2" t="s">
        <v>9958</v>
      </c>
      <c r="V3744" s="2" t="s">
        <v>21160</v>
      </c>
      <c r="W3744" s="1"/>
      <c r="X3744" s="2" t="s">
        <v>3184</v>
      </c>
      <c r="Y3744" s="2" t="s">
        <v>21087</v>
      </c>
      <c r="AA3744" t="str">
        <f t="shared" si="348"/>
        <v>2025-02</v>
      </c>
      <c r="AB3744" t="str">
        <f t="shared" si="349"/>
        <v>H1_2025</v>
      </c>
      <c r="AC3744">
        <f t="shared" si="350"/>
        <v>228391.5</v>
      </c>
      <c r="AD3744">
        <f t="shared" si="351"/>
        <v>25</v>
      </c>
      <c r="AE3744">
        <f t="shared" si="352"/>
        <v>109391.5</v>
      </c>
      <c r="AF3744" t="str">
        <f t="shared" si="353"/>
        <v>Paid</v>
      </c>
    </row>
    <row r="3745" spans="1:32" ht="17.25" thickBot="1" x14ac:dyDescent="0.35">
      <c r="A3745" s="2" t="s">
        <v>21161</v>
      </c>
      <c r="B3745" s="2" t="s">
        <v>27</v>
      </c>
      <c r="C3745" s="2" t="s">
        <v>28</v>
      </c>
      <c r="D3745" s="2" t="s">
        <v>97</v>
      </c>
      <c r="E3745" s="2" t="s">
        <v>21084</v>
      </c>
      <c r="F3745" s="2" t="s">
        <v>31</v>
      </c>
      <c r="G3745" s="2" t="s">
        <v>32</v>
      </c>
      <c r="H3745" s="1"/>
      <c r="I3745" s="2" t="s">
        <v>33</v>
      </c>
      <c r="J3745" s="2" t="s">
        <v>34</v>
      </c>
      <c r="K3745" s="2" t="s">
        <v>2517</v>
      </c>
      <c r="L3745" s="2" t="s">
        <v>2518</v>
      </c>
      <c r="M3745" s="2" t="s">
        <v>2389</v>
      </c>
      <c r="N3745" s="2" t="s">
        <v>38</v>
      </c>
      <c r="O3745" s="2" t="s">
        <v>214</v>
      </c>
      <c r="P3745" s="2" t="s">
        <v>11334</v>
      </c>
      <c r="Q3745" s="2" t="s">
        <v>20023</v>
      </c>
      <c r="R3745" s="2" t="s">
        <v>40</v>
      </c>
      <c r="S3745" s="2" t="s">
        <v>21162</v>
      </c>
      <c r="T3745" s="2" t="s">
        <v>2522</v>
      </c>
      <c r="U3745" s="2" t="s">
        <v>2523</v>
      </c>
      <c r="V3745" s="2" t="s">
        <v>21163</v>
      </c>
      <c r="W3745" s="1"/>
      <c r="X3745" s="2" t="s">
        <v>14026</v>
      </c>
      <c r="Y3745" s="2" t="s">
        <v>21087</v>
      </c>
      <c r="AA3745" t="str">
        <f t="shared" si="348"/>
        <v>2025-02</v>
      </c>
      <c r="AB3745" t="str">
        <f t="shared" si="349"/>
        <v>H1_2025</v>
      </c>
      <c r="AC3745">
        <f t="shared" si="350"/>
        <v>352904</v>
      </c>
      <c r="AD3745">
        <f t="shared" si="351"/>
        <v>50</v>
      </c>
      <c r="AE3745">
        <f t="shared" si="352"/>
        <v>97904</v>
      </c>
      <c r="AF3745" t="str">
        <f t="shared" si="353"/>
        <v>Paid</v>
      </c>
    </row>
    <row r="3746" spans="1:32" ht="17.25" thickBot="1" x14ac:dyDescent="0.35">
      <c r="A3746" s="2" t="s">
        <v>21164</v>
      </c>
      <c r="B3746" s="2" t="s">
        <v>27</v>
      </c>
      <c r="C3746" s="2" t="s">
        <v>28</v>
      </c>
      <c r="D3746" s="2" t="s">
        <v>97</v>
      </c>
      <c r="E3746" s="2" t="s">
        <v>21084</v>
      </c>
      <c r="F3746" s="2" t="s">
        <v>31</v>
      </c>
      <c r="G3746" s="2" t="s">
        <v>32</v>
      </c>
      <c r="H3746" s="1"/>
      <c r="I3746" s="2" t="s">
        <v>33</v>
      </c>
      <c r="J3746" s="2" t="s">
        <v>34</v>
      </c>
      <c r="K3746" s="2" t="s">
        <v>11310</v>
      </c>
      <c r="L3746" s="2" t="s">
        <v>11311</v>
      </c>
      <c r="M3746" s="2" t="s">
        <v>2389</v>
      </c>
      <c r="N3746" s="2" t="s">
        <v>38</v>
      </c>
      <c r="O3746" s="2" t="s">
        <v>818</v>
      </c>
      <c r="P3746" s="2" t="s">
        <v>11334</v>
      </c>
      <c r="Q3746" s="2" t="s">
        <v>21165</v>
      </c>
      <c r="R3746" s="2" t="s">
        <v>40</v>
      </c>
      <c r="S3746" s="2" t="s">
        <v>21166</v>
      </c>
      <c r="T3746" s="2" t="s">
        <v>13993</v>
      </c>
      <c r="U3746" s="2" t="s">
        <v>21167</v>
      </c>
      <c r="V3746" s="2" t="s">
        <v>21168</v>
      </c>
      <c r="W3746" s="1"/>
      <c r="X3746" s="2" t="s">
        <v>806</v>
      </c>
      <c r="Y3746" s="2" t="s">
        <v>21087</v>
      </c>
      <c r="AA3746" t="str">
        <f t="shared" si="348"/>
        <v>2025-02</v>
      </c>
      <c r="AB3746" t="str">
        <f t="shared" si="349"/>
        <v>H1_2025</v>
      </c>
      <c r="AC3746">
        <f t="shared" si="350"/>
        <v>663459.52</v>
      </c>
      <c r="AD3746">
        <f t="shared" si="351"/>
        <v>94</v>
      </c>
      <c r="AE3746">
        <f t="shared" si="352"/>
        <v>169489.52</v>
      </c>
      <c r="AF3746" t="str">
        <f t="shared" si="353"/>
        <v>Paid</v>
      </c>
    </row>
    <row r="3747" spans="1:32" ht="17.25" thickBot="1" x14ac:dyDescent="0.35">
      <c r="A3747" s="2" t="s">
        <v>21169</v>
      </c>
      <c r="B3747" s="2" t="s">
        <v>27</v>
      </c>
      <c r="C3747" s="2" t="s">
        <v>28</v>
      </c>
      <c r="D3747" s="2" t="s">
        <v>97</v>
      </c>
      <c r="E3747" s="2" t="s">
        <v>21084</v>
      </c>
      <c r="F3747" s="2" t="s">
        <v>31</v>
      </c>
      <c r="G3747" s="2" t="s">
        <v>32</v>
      </c>
      <c r="H3747" s="1"/>
      <c r="I3747" s="2" t="s">
        <v>33</v>
      </c>
      <c r="J3747" s="2" t="s">
        <v>34</v>
      </c>
      <c r="K3747" s="2" t="s">
        <v>2526</v>
      </c>
      <c r="L3747" s="2" t="s">
        <v>2527</v>
      </c>
      <c r="M3747" s="2" t="s">
        <v>2389</v>
      </c>
      <c r="N3747" s="2" t="s">
        <v>38</v>
      </c>
      <c r="O3747" s="2" t="s">
        <v>214</v>
      </c>
      <c r="P3747" s="2" t="s">
        <v>3677</v>
      </c>
      <c r="Q3747" s="2" t="s">
        <v>3678</v>
      </c>
      <c r="R3747" s="2" t="s">
        <v>40</v>
      </c>
      <c r="S3747" s="2" t="s">
        <v>21170</v>
      </c>
      <c r="T3747" s="2" t="s">
        <v>13735</v>
      </c>
      <c r="U3747" s="2" t="s">
        <v>13736</v>
      </c>
      <c r="V3747" s="2" t="s">
        <v>21171</v>
      </c>
      <c r="W3747" s="1"/>
      <c r="X3747" s="2" t="s">
        <v>1332</v>
      </c>
      <c r="Y3747" s="2" t="s">
        <v>21087</v>
      </c>
      <c r="AA3747" t="str">
        <f t="shared" si="348"/>
        <v>2025-02</v>
      </c>
      <c r="AB3747" t="str">
        <f t="shared" si="349"/>
        <v>H1_2025</v>
      </c>
      <c r="AC3747">
        <f t="shared" si="350"/>
        <v>512991.5</v>
      </c>
      <c r="AD3747">
        <f t="shared" si="351"/>
        <v>50</v>
      </c>
      <c r="AE3747">
        <f t="shared" si="352"/>
        <v>136591.5</v>
      </c>
      <c r="AF3747" t="str">
        <f t="shared" si="353"/>
        <v>Paid</v>
      </c>
    </row>
    <row r="3748" spans="1:32" ht="17.25" thickBot="1" x14ac:dyDescent="0.35">
      <c r="A3748" s="2" t="s">
        <v>21172</v>
      </c>
      <c r="B3748" s="2" t="s">
        <v>27</v>
      </c>
      <c r="C3748" s="2" t="s">
        <v>28</v>
      </c>
      <c r="D3748" s="2" t="s">
        <v>97</v>
      </c>
      <c r="E3748" s="2" t="s">
        <v>21084</v>
      </c>
      <c r="F3748" s="2" t="s">
        <v>31</v>
      </c>
      <c r="G3748" s="2" t="s">
        <v>32</v>
      </c>
      <c r="H3748" s="1"/>
      <c r="I3748" s="2" t="s">
        <v>33</v>
      </c>
      <c r="J3748" s="2" t="s">
        <v>34</v>
      </c>
      <c r="K3748" s="2" t="s">
        <v>2535</v>
      </c>
      <c r="L3748" s="2" t="s">
        <v>2536</v>
      </c>
      <c r="M3748" s="2" t="s">
        <v>2389</v>
      </c>
      <c r="N3748" s="2" t="s">
        <v>38</v>
      </c>
      <c r="O3748" s="2" t="s">
        <v>877</v>
      </c>
      <c r="P3748" s="2" t="s">
        <v>6765</v>
      </c>
      <c r="Q3748" s="2" t="s">
        <v>21173</v>
      </c>
      <c r="R3748" s="2" t="s">
        <v>40</v>
      </c>
      <c r="S3748" s="2" t="s">
        <v>21174</v>
      </c>
      <c r="T3748" s="2" t="s">
        <v>13999</v>
      </c>
      <c r="U3748" s="2" t="s">
        <v>21175</v>
      </c>
      <c r="V3748" s="2" t="s">
        <v>21176</v>
      </c>
      <c r="W3748" s="1"/>
      <c r="X3748" s="2" t="s">
        <v>18817</v>
      </c>
      <c r="Y3748" s="2" t="s">
        <v>21087</v>
      </c>
      <c r="AA3748" t="str">
        <f t="shared" si="348"/>
        <v>2025-02</v>
      </c>
      <c r="AB3748" t="str">
        <f t="shared" si="349"/>
        <v>H1_2025</v>
      </c>
      <c r="AC3748">
        <f t="shared" si="350"/>
        <v>936334</v>
      </c>
      <c r="AD3748">
        <f t="shared" si="351"/>
        <v>100</v>
      </c>
      <c r="AE3748">
        <f t="shared" si="352"/>
        <v>347234</v>
      </c>
      <c r="AF3748" t="str">
        <f t="shared" si="353"/>
        <v>Paid</v>
      </c>
    </row>
    <row r="3749" spans="1:32" ht="17.25" thickBot="1" x14ac:dyDescent="0.35">
      <c r="A3749" s="2" t="s">
        <v>21177</v>
      </c>
      <c r="B3749" s="2" t="s">
        <v>27</v>
      </c>
      <c r="C3749" s="2" t="s">
        <v>28</v>
      </c>
      <c r="D3749" s="2" t="s">
        <v>97</v>
      </c>
      <c r="E3749" s="2" t="s">
        <v>21084</v>
      </c>
      <c r="F3749" s="2" t="s">
        <v>31</v>
      </c>
      <c r="G3749" s="2" t="s">
        <v>32</v>
      </c>
      <c r="H3749" s="1"/>
      <c r="I3749" s="2" t="s">
        <v>33</v>
      </c>
      <c r="J3749" s="2" t="s">
        <v>34</v>
      </c>
      <c r="K3749" s="2" t="s">
        <v>2544</v>
      </c>
      <c r="L3749" s="2" t="s">
        <v>2545</v>
      </c>
      <c r="M3749" s="2" t="s">
        <v>2389</v>
      </c>
      <c r="N3749" s="2" t="s">
        <v>38</v>
      </c>
      <c r="O3749" s="2" t="s">
        <v>214</v>
      </c>
      <c r="P3749" s="2" t="s">
        <v>4302</v>
      </c>
      <c r="Q3749" s="2" t="s">
        <v>21178</v>
      </c>
      <c r="R3749" s="2" t="s">
        <v>40</v>
      </c>
      <c r="S3749" s="2" t="s">
        <v>21179</v>
      </c>
      <c r="T3749" s="2" t="s">
        <v>14014</v>
      </c>
      <c r="U3749" s="2" t="s">
        <v>21180</v>
      </c>
      <c r="V3749" s="2" t="s">
        <v>21181</v>
      </c>
      <c r="W3749" s="1"/>
      <c r="X3749" s="2" t="s">
        <v>8519</v>
      </c>
      <c r="Y3749" s="2" t="s">
        <v>21087</v>
      </c>
      <c r="AA3749" t="str">
        <f t="shared" si="348"/>
        <v>2025-02</v>
      </c>
      <c r="AB3749" t="str">
        <f t="shared" si="349"/>
        <v>H1_2025</v>
      </c>
      <c r="AC3749">
        <f t="shared" si="350"/>
        <v>540028.5</v>
      </c>
      <c r="AD3749">
        <f t="shared" si="351"/>
        <v>50</v>
      </c>
      <c r="AE3749">
        <f t="shared" si="352"/>
        <v>173628.5</v>
      </c>
      <c r="AF3749" t="str">
        <f t="shared" si="353"/>
        <v>Paid</v>
      </c>
    </row>
    <row r="3750" spans="1:32" ht="17.25" thickBot="1" x14ac:dyDescent="0.35">
      <c r="A3750" s="2" t="s">
        <v>21182</v>
      </c>
      <c r="B3750" s="2" t="s">
        <v>27</v>
      </c>
      <c r="C3750" s="2" t="s">
        <v>28</v>
      </c>
      <c r="D3750" s="2" t="s">
        <v>97</v>
      </c>
      <c r="E3750" s="2" t="s">
        <v>21084</v>
      </c>
      <c r="F3750" s="2" t="s">
        <v>31</v>
      </c>
      <c r="G3750" s="2" t="s">
        <v>32</v>
      </c>
      <c r="H3750" s="1"/>
      <c r="I3750" s="2" t="s">
        <v>33</v>
      </c>
      <c r="J3750" s="2" t="s">
        <v>34</v>
      </c>
      <c r="K3750" s="2" t="s">
        <v>13007</v>
      </c>
      <c r="L3750" s="2" t="s">
        <v>13008</v>
      </c>
      <c r="M3750" s="2" t="s">
        <v>8664</v>
      </c>
      <c r="N3750" s="2" t="s">
        <v>38</v>
      </c>
      <c r="O3750" s="2" t="s">
        <v>203</v>
      </c>
      <c r="P3750" s="2" t="s">
        <v>21183</v>
      </c>
      <c r="Q3750" s="2" t="s">
        <v>21184</v>
      </c>
      <c r="R3750" s="2" t="s">
        <v>40</v>
      </c>
      <c r="S3750" s="2" t="s">
        <v>21185</v>
      </c>
      <c r="T3750" s="2" t="s">
        <v>14059</v>
      </c>
      <c r="U3750" s="2" t="s">
        <v>21186</v>
      </c>
      <c r="V3750" s="2" t="s">
        <v>21187</v>
      </c>
      <c r="W3750" s="1"/>
      <c r="X3750" s="2" t="s">
        <v>1504</v>
      </c>
      <c r="Y3750" s="2" t="s">
        <v>21087</v>
      </c>
      <c r="AA3750" t="str">
        <f t="shared" si="348"/>
        <v>2025-02</v>
      </c>
      <c r="AB3750" t="str">
        <f t="shared" si="349"/>
        <v>H1_2025</v>
      </c>
      <c r="AC3750">
        <f t="shared" si="350"/>
        <v>91072</v>
      </c>
      <c r="AD3750">
        <f t="shared" si="351"/>
        <v>25</v>
      </c>
      <c r="AE3750">
        <f t="shared" si="352"/>
        <v>22872</v>
      </c>
      <c r="AF3750" t="str">
        <f t="shared" si="353"/>
        <v>Paid</v>
      </c>
    </row>
    <row r="3751" spans="1:32" ht="27.75" thickBot="1" x14ac:dyDescent="0.35">
      <c r="A3751" s="2" t="s">
        <v>21188</v>
      </c>
      <c r="B3751" s="2" t="s">
        <v>27</v>
      </c>
      <c r="C3751" s="2" t="s">
        <v>28</v>
      </c>
      <c r="D3751" s="2" t="s">
        <v>97</v>
      </c>
      <c r="E3751" s="2" t="s">
        <v>21084</v>
      </c>
      <c r="F3751" s="2" t="s">
        <v>31</v>
      </c>
      <c r="G3751" s="2" t="s">
        <v>32</v>
      </c>
      <c r="H3751" s="1"/>
      <c r="I3751" s="2" t="s">
        <v>33</v>
      </c>
      <c r="J3751" s="2" t="s">
        <v>34</v>
      </c>
      <c r="K3751" s="2" t="s">
        <v>21189</v>
      </c>
      <c r="L3751" s="2" t="s">
        <v>21190</v>
      </c>
      <c r="M3751" s="2" t="s">
        <v>8664</v>
      </c>
      <c r="N3751" s="2" t="s">
        <v>38</v>
      </c>
      <c r="O3751" s="2" t="s">
        <v>203</v>
      </c>
      <c r="P3751" s="2" t="s">
        <v>5084</v>
      </c>
      <c r="Q3751" s="2" t="s">
        <v>21191</v>
      </c>
      <c r="R3751" s="2" t="s">
        <v>40</v>
      </c>
      <c r="S3751" s="2" t="s">
        <v>21192</v>
      </c>
      <c r="T3751" s="2" t="s">
        <v>40</v>
      </c>
      <c r="U3751" s="2" t="s">
        <v>40</v>
      </c>
      <c r="V3751" s="2" t="s">
        <v>21192</v>
      </c>
      <c r="W3751" s="1"/>
      <c r="X3751" s="2" t="s">
        <v>2155</v>
      </c>
      <c r="Y3751" s="2" t="s">
        <v>21087</v>
      </c>
      <c r="AA3751" t="str">
        <f t="shared" si="348"/>
        <v>2025-02</v>
      </c>
      <c r="AB3751" t="str">
        <f t="shared" si="349"/>
        <v>H1_2025</v>
      </c>
      <c r="AC3751">
        <f t="shared" si="350"/>
        <v>212738.5</v>
      </c>
      <c r="AD3751">
        <f t="shared" si="351"/>
        <v>25</v>
      </c>
      <c r="AE3751">
        <f t="shared" si="352"/>
        <v>212738.5</v>
      </c>
      <c r="AF3751" t="str">
        <f t="shared" si="353"/>
        <v>Paid</v>
      </c>
    </row>
    <row r="3752" spans="1:32" ht="17.25" thickBot="1" x14ac:dyDescent="0.35">
      <c r="A3752" s="2" t="s">
        <v>21193</v>
      </c>
      <c r="B3752" s="2" t="s">
        <v>27</v>
      </c>
      <c r="C3752" s="2" t="s">
        <v>28</v>
      </c>
      <c r="D3752" s="2" t="s">
        <v>97</v>
      </c>
      <c r="E3752" s="2" t="s">
        <v>21084</v>
      </c>
      <c r="F3752" s="2" t="s">
        <v>31</v>
      </c>
      <c r="G3752" s="2" t="s">
        <v>32</v>
      </c>
      <c r="H3752" s="1"/>
      <c r="I3752" s="2" t="s">
        <v>33</v>
      </c>
      <c r="J3752" s="2" t="s">
        <v>34</v>
      </c>
      <c r="K3752" s="2" t="s">
        <v>9434</v>
      </c>
      <c r="L3752" s="2" t="s">
        <v>9435</v>
      </c>
      <c r="M3752" s="2" t="s">
        <v>8664</v>
      </c>
      <c r="N3752" s="2" t="s">
        <v>38</v>
      </c>
      <c r="O3752" s="2" t="s">
        <v>203</v>
      </c>
      <c r="P3752" s="2" t="s">
        <v>21194</v>
      </c>
      <c r="Q3752" s="2" t="s">
        <v>21195</v>
      </c>
      <c r="R3752" s="2" t="s">
        <v>40</v>
      </c>
      <c r="S3752" s="2" t="s">
        <v>21196</v>
      </c>
      <c r="T3752" s="2" t="s">
        <v>13019</v>
      </c>
      <c r="U3752" s="2" t="s">
        <v>21197</v>
      </c>
      <c r="V3752" s="2" t="s">
        <v>21198</v>
      </c>
      <c r="W3752" s="1"/>
      <c r="X3752" s="2" t="s">
        <v>1091</v>
      </c>
      <c r="Y3752" s="2" t="s">
        <v>21087</v>
      </c>
      <c r="AA3752" t="str">
        <f t="shared" si="348"/>
        <v>2025-02</v>
      </c>
      <c r="AB3752" t="str">
        <f t="shared" si="349"/>
        <v>H1_2025</v>
      </c>
      <c r="AC3752">
        <f t="shared" si="350"/>
        <v>151905.25</v>
      </c>
      <c r="AD3752">
        <f t="shared" si="351"/>
        <v>25</v>
      </c>
      <c r="AE3752">
        <f t="shared" si="352"/>
        <v>38255.25</v>
      </c>
      <c r="AF3752" t="str">
        <f t="shared" si="353"/>
        <v>Paid</v>
      </c>
    </row>
    <row r="3753" spans="1:32" ht="17.25" thickBot="1" x14ac:dyDescent="0.35">
      <c r="A3753" s="2" t="s">
        <v>21199</v>
      </c>
      <c r="B3753" s="2" t="s">
        <v>27</v>
      </c>
      <c r="C3753" s="2" t="s">
        <v>28</v>
      </c>
      <c r="D3753" s="2" t="s">
        <v>97</v>
      </c>
      <c r="E3753" s="2" t="s">
        <v>21084</v>
      </c>
      <c r="F3753" s="2" t="s">
        <v>31</v>
      </c>
      <c r="G3753" s="2" t="s">
        <v>32</v>
      </c>
      <c r="H3753" s="1"/>
      <c r="I3753" s="2" t="s">
        <v>33</v>
      </c>
      <c r="J3753" s="2" t="s">
        <v>34</v>
      </c>
      <c r="K3753" s="2" t="s">
        <v>9441</v>
      </c>
      <c r="L3753" s="2" t="s">
        <v>9442</v>
      </c>
      <c r="M3753" s="2" t="s">
        <v>8664</v>
      </c>
      <c r="N3753" s="2" t="s">
        <v>38</v>
      </c>
      <c r="O3753" s="2" t="s">
        <v>214</v>
      </c>
      <c r="P3753" s="2" t="s">
        <v>7727</v>
      </c>
      <c r="Q3753" s="2" t="s">
        <v>21200</v>
      </c>
      <c r="R3753" s="2" t="s">
        <v>40</v>
      </c>
      <c r="S3753" s="2" t="s">
        <v>21201</v>
      </c>
      <c r="T3753" s="2" t="s">
        <v>3163</v>
      </c>
      <c r="U3753" s="2" t="s">
        <v>1654</v>
      </c>
      <c r="V3753" s="2" t="s">
        <v>21202</v>
      </c>
      <c r="W3753" s="1"/>
      <c r="X3753" s="2" t="s">
        <v>1091</v>
      </c>
      <c r="Y3753" s="2" t="s">
        <v>21087</v>
      </c>
      <c r="AA3753" t="str">
        <f t="shared" si="348"/>
        <v>2025-02</v>
      </c>
      <c r="AB3753" t="str">
        <f t="shared" si="349"/>
        <v>H1_2025</v>
      </c>
      <c r="AC3753">
        <f t="shared" si="350"/>
        <v>334405</v>
      </c>
      <c r="AD3753">
        <f t="shared" si="351"/>
        <v>50</v>
      </c>
      <c r="AE3753">
        <f t="shared" si="352"/>
        <v>84405</v>
      </c>
      <c r="AF3753" t="str">
        <f t="shared" si="353"/>
        <v>Paid</v>
      </c>
    </row>
    <row r="3754" spans="1:32" ht="17.25" thickBot="1" x14ac:dyDescent="0.35">
      <c r="A3754" s="2" t="s">
        <v>21203</v>
      </c>
      <c r="B3754" s="2" t="s">
        <v>27</v>
      </c>
      <c r="C3754" s="2" t="s">
        <v>28</v>
      </c>
      <c r="D3754" s="2" t="s">
        <v>97</v>
      </c>
      <c r="E3754" s="2" t="s">
        <v>21084</v>
      </c>
      <c r="F3754" s="2" t="s">
        <v>31</v>
      </c>
      <c r="G3754" s="2" t="s">
        <v>32</v>
      </c>
      <c r="H3754" s="1"/>
      <c r="I3754" s="2" t="s">
        <v>33</v>
      </c>
      <c r="J3754" s="2" t="s">
        <v>34</v>
      </c>
      <c r="K3754" s="2" t="s">
        <v>19399</v>
      </c>
      <c r="L3754" s="2" t="s">
        <v>19400</v>
      </c>
      <c r="M3754" s="2" t="s">
        <v>2631</v>
      </c>
      <c r="N3754" s="2" t="s">
        <v>38</v>
      </c>
      <c r="O3754" s="2" t="s">
        <v>203</v>
      </c>
      <c r="P3754" s="2" t="s">
        <v>21204</v>
      </c>
      <c r="Q3754" s="2" t="s">
        <v>21205</v>
      </c>
      <c r="R3754" s="2" t="s">
        <v>40</v>
      </c>
      <c r="S3754" s="2" t="s">
        <v>21206</v>
      </c>
      <c r="T3754" s="2" t="s">
        <v>10627</v>
      </c>
      <c r="U3754" s="2" t="s">
        <v>21207</v>
      </c>
      <c r="V3754" s="2" t="s">
        <v>21208</v>
      </c>
      <c r="W3754" s="1"/>
      <c r="X3754" s="2" t="s">
        <v>4934</v>
      </c>
      <c r="Y3754" s="2" t="s">
        <v>21087</v>
      </c>
      <c r="AA3754" t="str">
        <f t="shared" si="348"/>
        <v>2025-02</v>
      </c>
      <c r="AB3754" t="str">
        <f t="shared" si="349"/>
        <v>H1_2025</v>
      </c>
      <c r="AC3754">
        <f t="shared" si="350"/>
        <v>108503.75</v>
      </c>
      <c r="AD3754">
        <f t="shared" si="351"/>
        <v>25</v>
      </c>
      <c r="AE3754">
        <f t="shared" si="352"/>
        <v>19853.75</v>
      </c>
      <c r="AF3754" t="str">
        <f t="shared" si="353"/>
        <v>Paid</v>
      </c>
    </row>
    <row r="3755" spans="1:32" ht="27.75" thickBot="1" x14ac:dyDescent="0.35">
      <c r="A3755" s="2" t="s">
        <v>21209</v>
      </c>
      <c r="B3755" s="2" t="s">
        <v>27</v>
      </c>
      <c r="C3755" s="2" t="s">
        <v>28</v>
      </c>
      <c r="D3755" s="2" t="s">
        <v>97</v>
      </c>
      <c r="E3755" s="2" t="s">
        <v>21084</v>
      </c>
      <c r="F3755" s="2" t="s">
        <v>31</v>
      </c>
      <c r="G3755" s="2" t="s">
        <v>32</v>
      </c>
      <c r="H3755" s="1"/>
      <c r="I3755" s="2" t="s">
        <v>33</v>
      </c>
      <c r="J3755" s="2" t="s">
        <v>34</v>
      </c>
      <c r="K3755" s="2" t="s">
        <v>2629</v>
      </c>
      <c r="L3755" s="2" t="s">
        <v>2630</v>
      </c>
      <c r="M3755" s="2" t="s">
        <v>2631</v>
      </c>
      <c r="N3755" s="2" t="s">
        <v>38</v>
      </c>
      <c r="O3755" s="2" t="s">
        <v>214</v>
      </c>
      <c r="P3755" s="2" t="s">
        <v>21204</v>
      </c>
      <c r="Q3755" s="2" t="s">
        <v>21210</v>
      </c>
      <c r="R3755" s="2" t="s">
        <v>40</v>
      </c>
      <c r="S3755" s="2" t="s">
        <v>21211</v>
      </c>
      <c r="T3755" s="2" t="s">
        <v>10627</v>
      </c>
      <c r="U3755" s="2" t="s">
        <v>14944</v>
      </c>
      <c r="V3755" s="2" t="s">
        <v>21212</v>
      </c>
      <c r="W3755" s="1"/>
      <c r="X3755" s="2" t="s">
        <v>4934</v>
      </c>
      <c r="Y3755" s="2" t="s">
        <v>21087</v>
      </c>
      <c r="AA3755" t="str">
        <f t="shared" si="348"/>
        <v>2025-02</v>
      </c>
      <c r="AB3755" t="str">
        <f t="shared" si="349"/>
        <v>H1_2025</v>
      </c>
      <c r="AC3755">
        <f t="shared" si="350"/>
        <v>217007.5</v>
      </c>
      <c r="AD3755">
        <f t="shared" si="351"/>
        <v>50</v>
      </c>
      <c r="AE3755">
        <f t="shared" si="352"/>
        <v>39707.5</v>
      </c>
      <c r="AF3755" t="str">
        <f t="shared" si="353"/>
        <v>Paid</v>
      </c>
    </row>
    <row r="3756" spans="1:32" ht="17.25" thickBot="1" x14ac:dyDescent="0.35">
      <c r="A3756" s="2" t="s">
        <v>21213</v>
      </c>
      <c r="B3756" s="2" t="s">
        <v>27</v>
      </c>
      <c r="C3756" s="2" t="s">
        <v>28</v>
      </c>
      <c r="D3756" s="2" t="s">
        <v>97</v>
      </c>
      <c r="E3756" s="2" t="s">
        <v>21084</v>
      </c>
      <c r="F3756" s="2" t="s">
        <v>31</v>
      </c>
      <c r="G3756" s="2" t="s">
        <v>32</v>
      </c>
      <c r="H3756" s="1"/>
      <c r="I3756" s="2" t="s">
        <v>33</v>
      </c>
      <c r="J3756" s="2" t="s">
        <v>34</v>
      </c>
      <c r="K3756" s="2" t="s">
        <v>2647</v>
      </c>
      <c r="L3756" s="2" t="s">
        <v>2648</v>
      </c>
      <c r="M3756" s="2" t="s">
        <v>2631</v>
      </c>
      <c r="N3756" s="2" t="s">
        <v>38</v>
      </c>
      <c r="O3756" s="2" t="s">
        <v>428</v>
      </c>
      <c r="P3756" s="2" t="s">
        <v>3718</v>
      </c>
      <c r="Q3756" s="2" t="s">
        <v>21214</v>
      </c>
      <c r="R3756" s="2" t="s">
        <v>40</v>
      </c>
      <c r="S3756" s="2" t="s">
        <v>21215</v>
      </c>
      <c r="T3756" s="2" t="s">
        <v>2651</v>
      </c>
      <c r="U3756" s="2" t="s">
        <v>14201</v>
      </c>
      <c r="V3756" s="2" t="s">
        <v>21216</v>
      </c>
      <c r="W3756" s="1"/>
      <c r="X3756" s="2" t="s">
        <v>886</v>
      </c>
      <c r="Y3756" s="2" t="s">
        <v>21087</v>
      </c>
      <c r="AA3756" t="str">
        <f t="shared" si="348"/>
        <v>2025-02</v>
      </c>
      <c r="AB3756" t="str">
        <f t="shared" si="349"/>
        <v>H1_2025</v>
      </c>
      <c r="AC3756">
        <f t="shared" si="350"/>
        <v>1597317.5</v>
      </c>
      <c r="AD3756">
        <f t="shared" si="351"/>
        <v>250</v>
      </c>
      <c r="AE3756">
        <f t="shared" si="352"/>
        <v>427317.5</v>
      </c>
      <c r="AF3756" t="str">
        <f t="shared" si="353"/>
        <v>Paid</v>
      </c>
    </row>
    <row r="3757" spans="1:32" ht="27.75" thickBot="1" x14ac:dyDescent="0.35">
      <c r="A3757" s="2" t="s">
        <v>21217</v>
      </c>
      <c r="B3757" s="2" t="s">
        <v>27</v>
      </c>
      <c r="C3757" s="2" t="s">
        <v>28</v>
      </c>
      <c r="D3757" s="2" t="s">
        <v>97</v>
      </c>
      <c r="E3757" s="2" t="s">
        <v>21084</v>
      </c>
      <c r="F3757" s="2" t="s">
        <v>31</v>
      </c>
      <c r="G3757" s="2" t="s">
        <v>32</v>
      </c>
      <c r="H3757" s="1"/>
      <c r="I3757" s="2" t="s">
        <v>33</v>
      </c>
      <c r="J3757" s="2" t="s">
        <v>34</v>
      </c>
      <c r="K3757" s="2" t="s">
        <v>9457</v>
      </c>
      <c r="L3757" s="2" t="s">
        <v>9458</v>
      </c>
      <c r="M3757" s="2" t="s">
        <v>570</v>
      </c>
      <c r="N3757" s="2" t="s">
        <v>38</v>
      </c>
      <c r="O3757" s="2" t="s">
        <v>203</v>
      </c>
      <c r="P3757" s="2" t="s">
        <v>9459</v>
      </c>
      <c r="Q3757" s="2" t="s">
        <v>4545</v>
      </c>
      <c r="R3757" s="2" t="s">
        <v>40</v>
      </c>
      <c r="S3757" s="2" t="s">
        <v>21218</v>
      </c>
      <c r="T3757" s="2" t="s">
        <v>21219</v>
      </c>
      <c r="U3757" s="2" t="s">
        <v>13812</v>
      </c>
      <c r="V3757" s="2" t="s">
        <v>21220</v>
      </c>
      <c r="W3757" s="1"/>
      <c r="X3757" s="2" t="s">
        <v>18826</v>
      </c>
      <c r="Y3757" s="2" t="s">
        <v>21087</v>
      </c>
      <c r="AA3757" t="str">
        <f t="shared" si="348"/>
        <v>2025-02</v>
      </c>
      <c r="AB3757" t="str">
        <f t="shared" si="349"/>
        <v>H1_2025</v>
      </c>
      <c r="AC3757">
        <f t="shared" si="350"/>
        <v>9961</v>
      </c>
      <c r="AD3757">
        <f t="shared" si="351"/>
        <v>25</v>
      </c>
      <c r="AE3757">
        <f t="shared" si="352"/>
        <v>3136</v>
      </c>
      <c r="AF3757" t="str">
        <f t="shared" si="353"/>
        <v>Paid</v>
      </c>
    </row>
    <row r="3758" spans="1:32" ht="27.75" thickBot="1" x14ac:dyDescent="0.35">
      <c r="A3758" s="2" t="s">
        <v>21221</v>
      </c>
      <c r="B3758" s="2" t="s">
        <v>27</v>
      </c>
      <c r="C3758" s="2" t="s">
        <v>28</v>
      </c>
      <c r="D3758" s="2" t="s">
        <v>97</v>
      </c>
      <c r="E3758" s="2" t="s">
        <v>21084</v>
      </c>
      <c r="F3758" s="2" t="s">
        <v>31</v>
      </c>
      <c r="G3758" s="2" t="s">
        <v>32</v>
      </c>
      <c r="H3758" s="1"/>
      <c r="I3758" s="2" t="s">
        <v>33</v>
      </c>
      <c r="J3758" s="2" t="s">
        <v>34</v>
      </c>
      <c r="K3758" s="2" t="s">
        <v>11386</v>
      </c>
      <c r="L3758" s="2" t="s">
        <v>11387</v>
      </c>
      <c r="M3758" s="2" t="s">
        <v>570</v>
      </c>
      <c r="N3758" s="2" t="s">
        <v>38</v>
      </c>
      <c r="O3758" s="2" t="s">
        <v>149</v>
      </c>
      <c r="P3758" s="2" t="s">
        <v>9459</v>
      </c>
      <c r="Q3758" s="2" t="s">
        <v>17002</v>
      </c>
      <c r="R3758" s="2" t="s">
        <v>40</v>
      </c>
      <c r="S3758" s="2" t="s">
        <v>21222</v>
      </c>
      <c r="T3758" s="2" t="s">
        <v>21219</v>
      </c>
      <c r="U3758" s="2" t="s">
        <v>5645</v>
      </c>
      <c r="V3758" s="2" t="s">
        <v>21223</v>
      </c>
      <c r="W3758" s="1"/>
      <c r="X3758" s="2" t="s">
        <v>18826</v>
      </c>
      <c r="Y3758" s="2" t="s">
        <v>21087</v>
      </c>
      <c r="AA3758" t="str">
        <f t="shared" si="348"/>
        <v>2025-02</v>
      </c>
      <c r="AB3758" t="str">
        <f t="shared" si="349"/>
        <v>H1_2025</v>
      </c>
      <c r="AC3758">
        <f t="shared" si="350"/>
        <v>119532</v>
      </c>
      <c r="AD3758">
        <f t="shared" si="351"/>
        <v>300</v>
      </c>
      <c r="AE3758">
        <f t="shared" si="352"/>
        <v>37632</v>
      </c>
      <c r="AF3758" t="str">
        <f t="shared" si="353"/>
        <v>Paid</v>
      </c>
    </row>
    <row r="3759" spans="1:32" ht="27.75" thickBot="1" x14ac:dyDescent="0.35">
      <c r="A3759" s="2" t="s">
        <v>21224</v>
      </c>
      <c r="B3759" s="2" t="s">
        <v>27</v>
      </c>
      <c r="C3759" s="2" t="s">
        <v>28</v>
      </c>
      <c r="D3759" s="2" t="s">
        <v>97</v>
      </c>
      <c r="E3759" s="2" t="s">
        <v>21084</v>
      </c>
      <c r="F3759" s="2" t="s">
        <v>31</v>
      </c>
      <c r="G3759" s="2" t="s">
        <v>32</v>
      </c>
      <c r="H3759" s="1"/>
      <c r="I3759" s="2" t="s">
        <v>33</v>
      </c>
      <c r="J3759" s="2" t="s">
        <v>34</v>
      </c>
      <c r="K3759" s="2" t="s">
        <v>9476</v>
      </c>
      <c r="L3759" s="2" t="s">
        <v>9477</v>
      </c>
      <c r="M3759" s="2" t="s">
        <v>570</v>
      </c>
      <c r="N3759" s="2" t="s">
        <v>38</v>
      </c>
      <c r="O3759" s="2" t="s">
        <v>773</v>
      </c>
      <c r="P3759" s="2" t="s">
        <v>9459</v>
      </c>
      <c r="Q3759" s="2" t="s">
        <v>21225</v>
      </c>
      <c r="R3759" s="2" t="s">
        <v>40</v>
      </c>
      <c r="S3759" s="2" t="s">
        <v>21226</v>
      </c>
      <c r="T3759" s="2" t="s">
        <v>21219</v>
      </c>
      <c r="U3759" s="2" t="s">
        <v>21227</v>
      </c>
      <c r="V3759" s="2" t="s">
        <v>21228</v>
      </c>
      <c r="W3759" s="1"/>
      <c r="X3759" s="2" t="s">
        <v>18826</v>
      </c>
      <c r="Y3759" s="2" t="s">
        <v>21087</v>
      </c>
      <c r="AA3759" t="str">
        <f t="shared" si="348"/>
        <v>2025-02</v>
      </c>
      <c r="AB3759" t="str">
        <f t="shared" si="349"/>
        <v>H1_2025</v>
      </c>
      <c r="AC3759">
        <f t="shared" si="350"/>
        <v>79688</v>
      </c>
      <c r="AD3759">
        <f t="shared" si="351"/>
        <v>200</v>
      </c>
      <c r="AE3759">
        <f t="shared" si="352"/>
        <v>25088</v>
      </c>
      <c r="AF3759" t="str">
        <f t="shared" si="353"/>
        <v>Paid</v>
      </c>
    </row>
    <row r="3760" spans="1:32" ht="27.75" thickBot="1" x14ac:dyDescent="0.35">
      <c r="A3760" s="2" t="s">
        <v>21229</v>
      </c>
      <c r="B3760" s="2" t="s">
        <v>27</v>
      </c>
      <c r="C3760" s="2" t="s">
        <v>28</v>
      </c>
      <c r="D3760" s="2" t="s">
        <v>97</v>
      </c>
      <c r="E3760" s="2" t="s">
        <v>21084</v>
      </c>
      <c r="F3760" s="2" t="s">
        <v>31</v>
      </c>
      <c r="G3760" s="2" t="s">
        <v>32</v>
      </c>
      <c r="H3760" s="1"/>
      <c r="I3760" s="2" t="s">
        <v>33</v>
      </c>
      <c r="J3760" s="2" t="s">
        <v>34</v>
      </c>
      <c r="K3760" s="2" t="s">
        <v>9483</v>
      </c>
      <c r="L3760" s="2" t="s">
        <v>9484</v>
      </c>
      <c r="M3760" s="2" t="s">
        <v>570</v>
      </c>
      <c r="N3760" s="2" t="s">
        <v>38</v>
      </c>
      <c r="O3760" s="2" t="s">
        <v>560</v>
      </c>
      <c r="P3760" s="2" t="s">
        <v>9459</v>
      </c>
      <c r="Q3760" s="2" t="s">
        <v>21230</v>
      </c>
      <c r="R3760" s="2" t="s">
        <v>40</v>
      </c>
      <c r="S3760" s="2" t="s">
        <v>21231</v>
      </c>
      <c r="T3760" s="2" t="s">
        <v>21219</v>
      </c>
      <c r="U3760" s="2" t="s">
        <v>21232</v>
      </c>
      <c r="V3760" s="2" t="s">
        <v>21233</v>
      </c>
      <c r="W3760" s="1"/>
      <c r="X3760" s="2" t="s">
        <v>18826</v>
      </c>
      <c r="Y3760" s="2" t="s">
        <v>21087</v>
      </c>
      <c r="AA3760" t="str">
        <f t="shared" si="348"/>
        <v>2025-02</v>
      </c>
      <c r="AB3760" t="str">
        <f t="shared" si="349"/>
        <v>H1_2025</v>
      </c>
      <c r="AC3760">
        <f t="shared" si="350"/>
        <v>258986</v>
      </c>
      <c r="AD3760">
        <f t="shared" si="351"/>
        <v>650</v>
      </c>
      <c r="AE3760">
        <f t="shared" si="352"/>
        <v>81536</v>
      </c>
      <c r="AF3760" t="str">
        <f t="shared" si="353"/>
        <v>Paid</v>
      </c>
    </row>
    <row r="3761" spans="1:32" ht="27.75" thickBot="1" x14ac:dyDescent="0.35">
      <c r="A3761" s="2" t="s">
        <v>21234</v>
      </c>
      <c r="B3761" s="2" t="s">
        <v>27</v>
      </c>
      <c r="C3761" s="2" t="s">
        <v>28</v>
      </c>
      <c r="D3761" s="2" t="s">
        <v>97</v>
      </c>
      <c r="E3761" s="2" t="s">
        <v>21084</v>
      </c>
      <c r="F3761" s="2" t="s">
        <v>31</v>
      </c>
      <c r="G3761" s="2" t="s">
        <v>32</v>
      </c>
      <c r="H3761" s="1"/>
      <c r="I3761" s="2" t="s">
        <v>33</v>
      </c>
      <c r="J3761" s="2" t="s">
        <v>34</v>
      </c>
      <c r="K3761" s="2" t="s">
        <v>2662</v>
      </c>
      <c r="L3761" s="2" t="s">
        <v>2663</v>
      </c>
      <c r="M3761" s="2" t="s">
        <v>570</v>
      </c>
      <c r="N3761" s="2" t="s">
        <v>38</v>
      </c>
      <c r="O3761" s="2" t="s">
        <v>877</v>
      </c>
      <c r="P3761" s="2" t="s">
        <v>186</v>
      </c>
      <c r="Q3761" s="2" t="s">
        <v>21235</v>
      </c>
      <c r="R3761" s="2" t="s">
        <v>40</v>
      </c>
      <c r="S3761" s="2" t="s">
        <v>21236</v>
      </c>
      <c r="T3761" s="2" t="s">
        <v>21219</v>
      </c>
      <c r="U3761" s="2" t="s">
        <v>21237</v>
      </c>
      <c r="V3761" s="2" t="s">
        <v>21238</v>
      </c>
      <c r="W3761" s="1"/>
      <c r="X3761" s="2" t="s">
        <v>16411</v>
      </c>
      <c r="Y3761" s="2" t="s">
        <v>21087</v>
      </c>
      <c r="AA3761" t="str">
        <f t="shared" si="348"/>
        <v>2025-02</v>
      </c>
      <c r="AB3761" t="str">
        <f t="shared" si="349"/>
        <v>H1_2025</v>
      </c>
      <c r="AC3761">
        <f t="shared" si="350"/>
        <v>56920</v>
      </c>
      <c r="AD3761">
        <f t="shared" si="351"/>
        <v>100</v>
      </c>
      <c r="AE3761">
        <f t="shared" si="352"/>
        <v>29620</v>
      </c>
      <c r="AF3761" t="str">
        <f t="shared" si="353"/>
        <v>Paid</v>
      </c>
    </row>
    <row r="3762" spans="1:32" ht="27.75" thickBot="1" x14ac:dyDescent="0.35">
      <c r="A3762" s="2" t="s">
        <v>21239</v>
      </c>
      <c r="B3762" s="2" t="s">
        <v>27</v>
      </c>
      <c r="C3762" s="2" t="s">
        <v>28</v>
      </c>
      <c r="D3762" s="2" t="s">
        <v>97</v>
      </c>
      <c r="E3762" s="2" t="s">
        <v>21084</v>
      </c>
      <c r="F3762" s="2" t="s">
        <v>31</v>
      </c>
      <c r="G3762" s="2" t="s">
        <v>32</v>
      </c>
      <c r="H3762" s="1"/>
      <c r="I3762" s="2" t="s">
        <v>33</v>
      </c>
      <c r="J3762" s="2" t="s">
        <v>34</v>
      </c>
      <c r="K3762" s="2" t="s">
        <v>11405</v>
      </c>
      <c r="L3762" s="2" t="s">
        <v>11406</v>
      </c>
      <c r="M3762" s="2" t="s">
        <v>570</v>
      </c>
      <c r="N3762" s="2" t="s">
        <v>38</v>
      </c>
      <c r="O3762" s="2" t="s">
        <v>3068</v>
      </c>
      <c r="P3762" s="2" t="s">
        <v>9459</v>
      </c>
      <c r="Q3762" s="2" t="s">
        <v>7066</v>
      </c>
      <c r="R3762" s="2" t="s">
        <v>40</v>
      </c>
      <c r="S3762" s="2" t="s">
        <v>21240</v>
      </c>
      <c r="T3762" s="2" t="s">
        <v>21219</v>
      </c>
      <c r="U3762" s="2" t="s">
        <v>688</v>
      </c>
      <c r="V3762" s="2" t="s">
        <v>21241</v>
      </c>
      <c r="W3762" s="1"/>
      <c r="X3762" s="2" t="s">
        <v>18826</v>
      </c>
      <c r="Y3762" s="2" t="s">
        <v>21087</v>
      </c>
      <c r="AA3762" t="str">
        <f t="shared" si="348"/>
        <v>2025-02</v>
      </c>
      <c r="AB3762" t="str">
        <f t="shared" si="349"/>
        <v>H1_2025</v>
      </c>
      <c r="AC3762">
        <f t="shared" si="350"/>
        <v>278908</v>
      </c>
      <c r="AD3762">
        <f t="shared" si="351"/>
        <v>700</v>
      </c>
      <c r="AE3762">
        <f t="shared" si="352"/>
        <v>87808</v>
      </c>
      <c r="AF3762" t="str">
        <f t="shared" si="353"/>
        <v>Paid</v>
      </c>
    </row>
    <row r="3763" spans="1:32" ht="27.75" thickBot="1" x14ac:dyDescent="0.35">
      <c r="A3763" s="2" t="s">
        <v>21242</v>
      </c>
      <c r="B3763" s="2" t="s">
        <v>27</v>
      </c>
      <c r="C3763" s="2" t="s">
        <v>28</v>
      </c>
      <c r="D3763" s="2" t="s">
        <v>97</v>
      </c>
      <c r="E3763" s="2" t="s">
        <v>21084</v>
      </c>
      <c r="F3763" s="2" t="s">
        <v>31</v>
      </c>
      <c r="G3763" s="2" t="s">
        <v>32</v>
      </c>
      <c r="H3763" s="1"/>
      <c r="I3763" s="2" t="s">
        <v>33</v>
      </c>
      <c r="J3763" s="2" t="s">
        <v>34</v>
      </c>
      <c r="K3763" s="2" t="s">
        <v>11412</v>
      </c>
      <c r="L3763" s="2" t="s">
        <v>11413</v>
      </c>
      <c r="M3763" s="2" t="s">
        <v>570</v>
      </c>
      <c r="N3763" s="2" t="s">
        <v>38</v>
      </c>
      <c r="O3763" s="2" t="s">
        <v>1333</v>
      </c>
      <c r="P3763" s="2" t="s">
        <v>9459</v>
      </c>
      <c r="Q3763" s="2" t="s">
        <v>21243</v>
      </c>
      <c r="R3763" s="2" t="s">
        <v>40</v>
      </c>
      <c r="S3763" s="2" t="s">
        <v>21244</v>
      </c>
      <c r="T3763" s="2" t="s">
        <v>21219</v>
      </c>
      <c r="U3763" s="2" t="s">
        <v>21245</v>
      </c>
      <c r="V3763" s="2" t="s">
        <v>21246</v>
      </c>
      <c r="W3763" s="1"/>
      <c r="X3763" s="2" t="s">
        <v>18826</v>
      </c>
      <c r="Y3763" s="2" t="s">
        <v>21087</v>
      </c>
      <c r="AA3763" t="str">
        <f t="shared" si="348"/>
        <v>2025-02</v>
      </c>
      <c r="AB3763" t="str">
        <f t="shared" si="349"/>
        <v>H1_2025</v>
      </c>
      <c r="AC3763">
        <f t="shared" si="350"/>
        <v>59766</v>
      </c>
      <c r="AD3763">
        <f t="shared" si="351"/>
        <v>150</v>
      </c>
      <c r="AE3763">
        <f t="shared" si="352"/>
        <v>18816</v>
      </c>
      <c r="AF3763" t="str">
        <f t="shared" si="353"/>
        <v>Paid</v>
      </c>
    </row>
    <row r="3764" spans="1:32" ht="27.75" thickBot="1" x14ac:dyDescent="0.35">
      <c r="A3764" s="2" t="s">
        <v>21247</v>
      </c>
      <c r="B3764" s="2" t="s">
        <v>27</v>
      </c>
      <c r="C3764" s="2" t="s">
        <v>28</v>
      </c>
      <c r="D3764" s="2" t="s">
        <v>97</v>
      </c>
      <c r="E3764" s="2" t="s">
        <v>21084</v>
      </c>
      <c r="F3764" s="2" t="s">
        <v>31</v>
      </c>
      <c r="G3764" s="2" t="s">
        <v>32</v>
      </c>
      <c r="H3764" s="1"/>
      <c r="I3764" s="2" t="s">
        <v>33</v>
      </c>
      <c r="J3764" s="2" t="s">
        <v>34</v>
      </c>
      <c r="K3764" s="2" t="s">
        <v>11419</v>
      </c>
      <c r="L3764" s="2" t="s">
        <v>11420</v>
      </c>
      <c r="M3764" s="2" t="s">
        <v>570</v>
      </c>
      <c r="N3764" s="2" t="s">
        <v>38</v>
      </c>
      <c r="O3764" s="2" t="s">
        <v>428</v>
      </c>
      <c r="P3764" s="2" t="s">
        <v>9459</v>
      </c>
      <c r="Q3764" s="2" t="s">
        <v>11860</v>
      </c>
      <c r="R3764" s="2" t="s">
        <v>40</v>
      </c>
      <c r="S3764" s="2" t="s">
        <v>21248</v>
      </c>
      <c r="T3764" s="2" t="s">
        <v>21219</v>
      </c>
      <c r="U3764" s="2" t="s">
        <v>21249</v>
      </c>
      <c r="V3764" s="2" t="s">
        <v>21250</v>
      </c>
      <c r="W3764" s="1"/>
      <c r="X3764" s="2" t="s">
        <v>18826</v>
      </c>
      <c r="Y3764" s="2" t="s">
        <v>21087</v>
      </c>
      <c r="AA3764" t="str">
        <f t="shared" si="348"/>
        <v>2025-02</v>
      </c>
      <c r="AB3764" t="str">
        <f t="shared" si="349"/>
        <v>H1_2025</v>
      </c>
      <c r="AC3764">
        <f t="shared" si="350"/>
        <v>99610</v>
      </c>
      <c r="AD3764">
        <f t="shared" si="351"/>
        <v>250</v>
      </c>
      <c r="AE3764">
        <f t="shared" si="352"/>
        <v>31360</v>
      </c>
      <c r="AF3764" t="str">
        <f t="shared" si="353"/>
        <v>Paid</v>
      </c>
    </row>
    <row r="3765" spans="1:32" ht="27.75" thickBot="1" x14ac:dyDescent="0.35">
      <c r="A3765" s="2" t="s">
        <v>21251</v>
      </c>
      <c r="B3765" s="2" t="s">
        <v>27</v>
      </c>
      <c r="C3765" s="2" t="s">
        <v>28</v>
      </c>
      <c r="D3765" s="2" t="s">
        <v>97</v>
      </c>
      <c r="E3765" s="2" t="s">
        <v>21084</v>
      </c>
      <c r="F3765" s="2" t="s">
        <v>31</v>
      </c>
      <c r="G3765" s="2" t="s">
        <v>32</v>
      </c>
      <c r="H3765" s="1"/>
      <c r="I3765" s="2" t="s">
        <v>33</v>
      </c>
      <c r="J3765" s="2" t="s">
        <v>34</v>
      </c>
      <c r="K3765" s="2" t="s">
        <v>632</v>
      </c>
      <c r="L3765" s="2" t="s">
        <v>633</v>
      </c>
      <c r="M3765" s="2" t="s">
        <v>634</v>
      </c>
      <c r="N3765" s="2" t="s">
        <v>38</v>
      </c>
      <c r="O3765" s="2" t="s">
        <v>96</v>
      </c>
      <c r="P3765" s="2" t="s">
        <v>21252</v>
      </c>
      <c r="Q3765" s="2" t="s">
        <v>21253</v>
      </c>
      <c r="R3765" s="2" t="s">
        <v>40</v>
      </c>
      <c r="S3765" s="2" t="s">
        <v>21254</v>
      </c>
      <c r="T3765" s="2" t="s">
        <v>638</v>
      </c>
      <c r="U3765" s="2" t="s">
        <v>21255</v>
      </c>
      <c r="V3765" s="2" t="s">
        <v>21256</v>
      </c>
      <c r="W3765" s="1"/>
      <c r="X3765" s="2" t="s">
        <v>641</v>
      </c>
      <c r="Y3765" s="2" t="s">
        <v>21087</v>
      </c>
      <c r="AA3765" t="str">
        <f t="shared" si="348"/>
        <v>2025-02</v>
      </c>
      <c r="AB3765" t="str">
        <f t="shared" si="349"/>
        <v>H1_2025</v>
      </c>
      <c r="AC3765">
        <f t="shared" si="350"/>
        <v>223923.28</v>
      </c>
      <c r="AD3765">
        <f t="shared" si="351"/>
        <v>14</v>
      </c>
      <c r="AE3765">
        <f t="shared" si="352"/>
        <v>119483.28</v>
      </c>
      <c r="AF3765" t="str">
        <f t="shared" si="353"/>
        <v>Paid</v>
      </c>
    </row>
    <row r="3766" spans="1:32" ht="17.25" thickBot="1" x14ac:dyDescent="0.35">
      <c r="A3766" s="2" t="s">
        <v>21257</v>
      </c>
      <c r="B3766" s="2" t="s">
        <v>27</v>
      </c>
      <c r="C3766" s="2" t="s">
        <v>28</v>
      </c>
      <c r="D3766" s="2" t="s">
        <v>97</v>
      </c>
      <c r="E3766" s="2" t="s">
        <v>21084</v>
      </c>
      <c r="F3766" s="2" t="s">
        <v>31</v>
      </c>
      <c r="G3766" s="2" t="s">
        <v>32</v>
      </c>
      <c r="H3766" s="1"/>
      <c r="I3766" s="2" t="s">
        <v>33</v>
      </c>
      <c r="J3766" s="2" t="s">
        <v>34</v>
      </c>
      <c r="K3766" s="2" t="s">
        <v>16603</v>
      </c>
      <c r="L3766" s="2" t="s">
        <v>16604</v>
      </c>
      <c r="M3766" s="2" t="s">
        <v>634</v>
      </c>
      <c r="N3766" s="2" t="s">
        <v>38</v>
      </c>
      <c r="O3766" s="2" t="s">
        <v>463</v>
      </c>
      <c r="P3766" s="2" t="s">
        <v>15054</v>
      </c>
      <c r="Q3766" s="2" t="s">
        <v>21258</v>
      </c>
      <c r="R3766" s="2" t="s">
        <v>40</v>
      </c>
      <c r="S3766" s="2" t="s">
        <v>21259</v>
      </c>
      <c r="T3766" s="2" t="s">
        <v>16608</v>
      </c>
      <c r="U3766" s="2" t="s">
        <v>21260</v>
      </c>
      <c r="V3766" s="2" t="s">
        <v>21261</v>
      </c>
      <c r="W3766" s="1"/>
      <c r="X3766" s="2" t="s">
        <v>14718</v>
      </c>
      <c r="Y3766" s="2" t="s">
        <v>21087</v>
      </c>
      <c r="AA3766" t="str">
        <f t="shared" si="348"/>
        <v>2025-02</v>
      </c>
      <c r="AB3766" t="str">
        <f t="shared" si="349"/>
        <v>H1_2025</v>
      </c>
      <c r="AC3766">
        <f t="shared" si="350"/>
        <v>756125.28</v>
      </c>
      <c r="AD3766">
        <f t="shared" si="351"/>
        <v>54</v>
      </c>
      <c r="AE3766">
        <f t="shared" si="352"/>
        <v>245285.28</v>
      </c>
      <c r="AF3766" t="str">
        <f t="shared" si="353"/>
        <v>Paid</v>
      </c>
    </row>
    <row r="3767" spans="1:32" ht="17.25" thickBot="1" x14ac:dyDescent="0.35">
      <c r="A3767" s="2" t="s">
        <v>21262</v>
      </c>
      <c r="B3767" s="2" t="s">
        <v>27</v>
      </c>
      <c r="C3767" s="2" t="s">
        <v>28</v>
      </c>
      <c r="D3767" s="2" t="s">
        <v>97</v>
      </c>
      <c r="E3767" s="2" t="s">
        <v>21084</v>
      </c>
      <c r="F3767" s="2" t="s">
        <v>31</v>
      </c>
      <c r="G3767" s="2" t="s">
        <v>32</v>
      </c>
      <c r="H3767" s="1"/>
      <c r="I3767" s="2" t="s">
        <v>33</v>
      </c>
      <c r="J3767" s="2" t="s">
        <v>34</v>
      </c>
      <c r="K3767" s="2" t="s">
        <v>11440</v>
      </c>
      <c r="L3767" s="2" t="s">
        <v>11441</v>
      </c>
      <c r="M3767" s="2" t="s">
        <v>634</v>
      </c>
      <c r="N3767" s="2" t="s">
        <v>38</v>
      </c>
      <c r="O3767" s="2" t="s">
        <v>1951</v>
      </c>
      <c r="P3767" s="2" t="s">
        <v>6905</v>
      </c>
      <c r="Q3767" s="2" t="s">
        <v>21263</v>
      </c>
      <c r="R3767" s="2" t="s">
        <v>40</v>
      </c>
      <c r="S3767" s="2" t="s">
        <v>21264</v>
      </c>
      <c r="T3767" s="2" t="s">
        <v>669</v>
      </c>
      <c r="U3767" s="2" t="s">
        <v>1281</v>
      </c>
      <c r="V3767" s="2" t="s">
        <v>21265</v>
      </c>
      <c r="W3767" s="1"/>
      <c r="X3767" s="2" t="s">
        <v>8675</v>
      </c>
      <c r="Y3767" s="2" t="s">
        <v>21087</v>
      </c>
      <c r="AA3767" t="str">
        <f t="shared" si="348"/>
        <v>2025-02</v>
      </c>
      <c r="AB3767" t="str">
        <f t="shared" si="349"/>
        <v>H1_2025</v>
      </c>
      <c r="AC3767">
        <f t="shared" si="350"/>
        <v>6002214</v>
      </c>
      <c r="AD3767">
        <f t="shared" si="351"/>
        <v>600</v>
      </c>
      <c r="AE3767">
        <f t="shared" si="352"/>
        <v>2402214</v>
      </c>
      <c r="AF3767" t="str">
        <f t="shared" si="353"/>
        <v>Paid</v>
      </c>
    </row>
    <row r="3768" spans="1:32" ht="17.25" thickBot="1" x14ac:dyDescent="0.35">
      <c r="A3768" s="2" t="s">
        <v>21266</v>
      </c>
      <c r="B3768" s="2" t="s">
        <v>27</v>
      </c>
      <c r="C3768" s="2" t="s">
        <v>28</v>
      </c>
      <c r="D3768" s="2" t="s">
        <v>97</v>
      </c>
      <c r="E3768" s="2" t="s">
        <v>21084</v>
      </c>
      <c r="F3768" s="2" t="s">
        <v>31</v>
      </c>
      <c r="G3768" s="2" t="s">
        <v>32</v>
      </c>
      <c r="H3768" s="1"/>
      <c r="I3768" s="2" t="s">
        <v>33</v>
      </c>
      <c r="J3768" s="2" t="s">
        <v>34</v>
      </c>
      <c r="K3768" s="2" t="s">
        <v>11440</v>
      </c>
      <c r="L3768" s="2" t="s">
        <v>11441</v>
      </c>
      <c r="M3768" s="2" t="s">
        <v>634</v>
      </c>
      <c r="N3768" s="2" t="s">
        <v>38</v>
      </c>
      <c r="O3768" s="2" t="s">
        <v>370</v>
      </c>
      <c r="P3768" s="2" t="s">
        <v>6905</v>
      </c>
      <c r="Q3768" s="2" t="s">
        <v>21267</v>
      </c>
      <c r="R3768" s="2" t="s">
        <v>40</v>
      </c>
      <c r="S3768" s="2" t="s">
        <v>21268</v>
      </c>
      <c r="T3768" s="2" t="s">
        <v>669</v>
      </c>
      <c r="U3768" s="2" t="s">
        <v>3095</v>
      </c>
      <c r="V3768" s="2" t="s">
        <v>21269</v>
      </c>
      <c r="W3768" s="1"/>
      <c r="X3768" s="2" t="s">
        <v>8675</v>
      </c>
      <c r="Y3768" s="2" t="s">
        <v>21087</v>
      </c>
      <c r="AA3768" t="str">
        <f t="shared" si="348"/>
        <v>2025-02</v>
      </c>
      <c r="AB3768" t="str">
        <f t="shared" si="349"/>
        <v>H1_2025</v>
      </c>
      <c r="AC3768">
        <f t="shared" si="350"/>
        <v>4801771.2</v>
      </c>
      <c r="AD3768">
        <f t="shared" si="351"/>
        <v>480</v>
      </c>
      <c r="AE3768">
        <f t="shared" si="352"/>
        <v>1921771.2</v>
      </c>
      <c r="AF3768" t="str">
        <f t="shared" si="353"/>
        <v>Paid</v>
      </c>
    </row>
    <row r="3769" spans="1:32" ht="17.25" thickBot="1" x14ac:dyDescent="0.35">
      <c r="A3769" s="2" t="s">
        <v>21270</v>
      </c>
      <c r="B3769" s="2" t="s">
        <v>27</v>
      </c>
      <c r="C3769" s="2" t="s">
        <v>28</v>
      </c>
      <c r="D3769" s="2" t="s">
        <v>97</v>
      </c>
      <c r="E3769" s="2" t="s">
        <v>21084</v>
      </c>
      <c r="F3769" s="2" t="s">
        <v>31</v>
      </c>
      <c r="G3769" s="2" t="s">
        <v>32</v>
      </c>
      <c r="H3769" s="1"/>
      <c r="I3769" s="2" t="s">
        <v>33</v>
      </c>
      <c r="J3769" s="2" t="s">
        <v>34</v>
      </c>
      <c r="K3769" s="2" t="s">
        <v>21271</v>
      </c>
      <c r="L3769" s="2" t="s">
        <v>21272</v>
      </c>
      <c r="M3769" s="2" t="s">
        <v>634</v>
      </c>
      <c r="N3769" s="2" t="s">
        <v>38</v>
      </c>
      <c r="O3769" s="2" t="s">
        <v>493</v>
      </c>
      <c r="P3769" s="2" t="s">
        <v>2159</v>
      </c>
      <c r="Q3769" s="2" t="s">
        <v>21273</v>
      </c>
      <c r="R3769" s="2" t="s">
        <v>40</v>
      </c>
      <c r="S3769" s="2" t="s">
        <v>21274</v>
      </c>
      <c r="T3769" s="2" t="s">
        <v>669</v>
      </c>
      <c r="U3769" s="2" t="s">
        <v>14683</v>
      </c>
      <c r="V3769" s="2" t="s">
        <v>21275</v>
      </c>
      <c r="W3769" s="1"/>
      <c r="X3769" s="2" t="s">
        <v>21276</v>
      </c>
      <c r="Y3769" s="2" t="s">
        <v>21087</v>
      </c>
      <c r="AA3769" t="str">
        <f t="shared" si="348"/>
        <v>2025-02</v>
      </c>
      <c r="AB3769" t="str">
        <f t="shared" si="349"/>
        <v>H1_2025</v>
      </c>
      <c r="AC3769">
        <f t="shared" si="350"/>
        <v>4249362.5999999996</v>
      </c>
      <c r="AD3769">
        <f t="shared" si="351"/>
        <v>420</v>
      </c>
      <c r="AE3769">
        <f t="shared" si="352"/>
        <v>1729362.6</v>
      </c>
      <c r="AF3769" t="str">
        <f t="shared" si="353"/>
        <v>Paid</v>
      </c>
    </row>
    <row r="3770" spans="1:32" ht="17.25" thickBot="1" x14ac:dyDescent="0.35">
      <c r="A3770" s="2" t="s">
        <v>21277</v>
      </c>
      <c r="B3770" s="2" t="s">
        <v>27</v>
      </c>
      <c r="C3770" s="2" t="s">
        <v>28</v>
      </c>
      <c r="D3770" s="2" t="s">
        <v>97</v>
      </c>
      <c r="E3770" s="2" t="s">
        <v>21084</v>
      </c>
      <c r="F3770" s="2" t="s">
        <v>31</v>
      </c>
      <c r="G3770" s="2" t="s">
        <v>32</v>
      </c>
      <c r="H3770" s="1"/>
      <c r="I3770" s="2" t="s">
        <v>33</v>
      </c>
      <c r="J3770" s="2" t="s">
        <v>34</v>
      </c>
      <c r="K3770" s="2" t="s">
        <v>16630</v>
      </c>
      <c r="L3770" s="2" t="s">
        <v>16631</v>
      </c>
      <c r="M3770" s="2" t="s">
        <v>634</v>
      </c>
      <c r="N3770" s="2" t="s">
        <v>38</v>
      </c>
      <c r="O3770" s="2" t="s">
        <v>214</v>
      </c>
      <c r="P3770" s="2" t="s">
        <v>21278</v>
      </c>
      <c r="Q3770" s="2" t="s">
        <v>16190</v>
      </c>
      <c r="R3770" s="2" t="s">
        <v>40</v>
      </c>
      <c r="S3770" s="2" t="s">
        <v>21279</v>
      </c>
      <c r="T3770" s="2" t="s">
        <v>16635</v>
      </c>
      <c r="U3770" s="2" t="s">
        <v>17790</v>
      </c>
      <c r="V3770" s="2" t="s">
        <v>21280</v>
      </c>
      <c r="W3770" s="1"/>
      <c r="X3770" s="2" t="s">
        <v>17792</v>
      </c>
      <c r="Y3770" s="2" t="s">
        <v>21087</v>
      </c>
      <c r="AA3770" t="str">
        <f t="shared" si="348"/>
        <v>2025-02</v>
      </c>
      <c r="AB3770" t="str">
        <f t="shared" si="349"/>
        <v>H1_2025</v>
      </c>
      <c r="AC3770">
        <f t="shared" si="350"/>
        <v>1400232</v>
      </c>
      <c r="AD3770">
        <f t="shared" si="351"/>
        <v>50</v>
      </c>
      <c r="AE3770">
        <f t="shared" si="352"/>
        <v>599732</v>
      </c>
      <c r="AF3770" t="str">
        <f t="shared" si="353"/>
        <v>Paid</v>
      </c>
    </row>
    <row r="3771" spans="1:32" ht="17.25" thickBot="1" x14ac:dyDescent="0.35">
      <c r="A3771" s="2" t="s">
        <v>21281</v>
      </c>
      <c r="B3771" s="2" t="s">
        <v>27</v>
      </c>
      <c r="C3771" s="2" t="s">
        <v>28</v>
      </c>
      <c r="D3771" s="2" t="s">
        <v>97</v>
      </c>
      <c r="E3771" s="2" t="s">
        <v>21084</v>
      </c>
      <c r="F3771" s="2" t="s">
        <v>31</v>
      </c>
      <c r="G3771" s="2" t="s">
        <v>32</v>
      </c>
      <c r="H3771" s="1"/>
      <c r="I3771" s="2" t="s">
        <v>33</v>
      </c>
      <c r="J3771" s="2" t="s">
        <v>34</v>
      </c>
      <c r="K3771" s="2" t="s">
        <v>16652</v>
      </c>
      <c r="L3771" s="2" t="s">
        <v>16653</v>
      </c>
      <c r="M3771" s="2" t="s">
        <v>634</v>
      </c>
      <c r="N3771" s="2" t="s">
        <v>38</v>
      </c>
      <c r="O3771" s="2" t="s">
        <v>159</v>
      </c>
      <c r="P3771" s="2" t="s">
        <v>21282</v>
      </c>
      <c r="Q3771" s="2" t="s">
        <v>21283</v>
      </c>
      <c r="R3771" s="2" t="s">
        <v>40</v>
      </c>
      <c r="S3771" s="2" t="s">
        <v>21284</v>
      </c>
      <c r="T3771" s="2" t="s">
        <v>16657</v>
      </c>
      <c r="U3771" s="2" t="s">
        <v>21285</v>
      </c>
      <c r="V3771" s="2" t="s">
        <v>21286</v>
      </c>
      <c r="W3771" s="1"/>
      <c r="X3771" s="2" t="s">
        <v>3184</v>
      </c>
      <c r="Y3771" s="2" t="s">
        <v>21087</v>
      </c>
      <c r="AA3771" t="str">
        <f t="shared" si="348"/>
        <v>2025-02</v>
      </c>
      <c r="AB3771" t="str">
        <f t="shared" si="349"/>
        <v>H1_2025</v>
      </c>
      <c r="AC3771">
        <f t="shared" si="350"/>
        <v>2119700.7999999998</v>
      </c>
      <c r="AD3771">
        <f t="shared" si="351"/>
        <v>80</v>
      </c>
      <c r="AE3771">
        <f t="shared" si="352"/>
        <v>1014900.8</v>
      </c>
      <c r="AF3771" t="str">
        <f t="shared" si="353"/>
        <v>Paid</v>
      </c>
    </row>
    <row r="3772" spans="1:32" ht="17.25" thickBot="1" x14ac:dyDescent="0.35">
      <c r="A3772" s="2" t="s">
        <v>21287</v>
      </c>
      <c r="B3772" s="2" t="s">
        <v>27</v>
      </c>
      <c r="C3772" s="2" t="s">
        <v>28</v>
      </c>
      <c r="D3772" s="2" t="s">
        <v>97</v>
      </c>
      <c r="E3772" s="2" t="s">
        <v>21084</v>
      </c>
      <c r="F3772" s="2" t="s">
        <v>31</v>
      </c>
      <c r="G3772" s="2" t="s">
        <v>32</v>
      </c>
      <c r="H3772" s="1"/>
      <c r="I3772" s="2" t="s">
        <v>33</v>
      </c>
      <c r="J3772" s="2" t="s">
        <v>34</v>
      </c>
      <c r="K3772" s="2" t="s">
        <v>5547</v>
      </c>
      <c r="L3772" s="2" t="s">
        <v>5548</v>
      </c>
      <c r="M3772" s="2" t="s">
        <v>634</v>
      </c>
      <c r="N3772" s="2" t="s">
        <v>38</v>
      </c>
      <c r="O3772" s="2" t="s">
        <v>159</v>
      </c>
      <c r="P3772" s="2" t="s">
        <v>21288</v>
      </c>
      <c r="Q3772" s="2" t="s">
        <v>21289</v>
      </c>
      <c r="R3772" s="2" t="s">
        <v>40</v>
      </c>
      <c r="S3772" s="2" t="s">
        <v>21290</v>
      </c>
      <c r="T3772" s="2" t="s">
        <v>5551</v>
      </c>
      <c r="U3772" s="2" t="s">
        <v>21291</v>
      </c>
      <c r="V3772" s="2" t="s">
        <v>21292</v>
      </c>
      <c r="W3772" s="1"/>
      <c r="X3772" s="2" t="s">
        <v>12854</v>
      </c>
      <c r="Y3772" s="2" t="s">
        <v>21087</v>
      </c>
      <c r="AA3772" t="str">
        <f t="shared" si="348"/>
        <v>2025-02</v>
      </c>
      <c r="AB3772" t="str">
        <f t="shared" si="349"/>
        <v>H1_2025</v>
      </c>
      <c r="AC3772">
        <f t="shared" si="350"/>
        <v>1920480.8</v>
      </c>
      <c r="AD3772">
        <f t="shared" si="351"/>
        <v>80</v>
      </c>
      <c r="AE3772">
        <f t="shared" si="352"/>
        <v>894080.8</v>
      </c>
      <c r="AF3772" t="str">
        <f t="shared" si="353"/>
        <v>Paid</v>
      </c>
    </row>
    <row r="3773" spans="1:32" ht="27.75" thickBot="1" x14ac:dyDescent="0.35">
      <c r="A3773" s="2" t="s">
        <v>21293</v>
      </c>
      <c r="B3773" s="2" t="s">
        <v>27</v>
      </c>
      <c r="C3773" s="2" t="s">
        <v>28</v>
      </c>
      <c r="D3773" s="2" t="s">
        <v>97</v>
      </c>
      <c r="E3773" s="2" t="s">
        <v>21084</v>
      </c>
      <c r="F3773" s="2" t="s">
        <v>31</v>
      </c>
      <c r="G3773" s="2" t="s">
        <v>32</v>
      </c>
      <c r="H3773" s="1"/>
      <c r="I3773" s="2" t="s">
        <v>33</v>
      </c>
      <c r="J3773" s="2" t="s">
        <v>34</v>
      </c>
      <c r="K3773" s="2" t="s">
        <v>21294</v>
      </c>
      <c r="L3773" s="2" t="s">
        <v>21295</v>
      </c>
      <c r="M3773" s="2" t="s">
        <v>21296</v>
      </c>
      <c r="N3773" s="2" t="s">
        <v>38</v>
      </c>
      <c r="O3773" s="2" t="s">
        <v>51</v>
      </c>
      <c r="P3773" s="2" t="s">
        <v>6765</v>
      </c>
      <c r="Q3773" s="2" t="s">
        <v>20912</v>
      </c>
      <c r="R3773" s="2" t="s">
        <v>40</v>
      </c>
      <c r="S3773" s="2" t="s">
        <v>21297</v>
      </c>
      <c r="T3773" s="2" t="s">
        <v>11355</v>
      </c>
      <c r="U3773" s="2" t="s">
        <v>15192</v>
      </c>
      <c r="V3773" s="2" t="s">
        <v>21298</v>
      </c>
      <c r="W3773" s="1"/>
      <c r="X3773" s="2" t="s">
        <v>3279</v>
      </c>
      <c r="Y3773" s="2" t="s">
        <v>21087</v>
      </c>
      <c r="AA3773" t="str">
        <f t="shared" si="348"/>
        <v>2025-02</v>
      </c>
      <c r="AB3773" t="str">
        <f t="shared" si="349"/>
        <v>H1_2025</v>
      </c>
      <c r="AC3773">
        <f t="shared" si="350"/>
        <v>28090.02</v>
      </c>
      <c r="AD3773">
        <f t="shared" si="351"/>
        <v>3</v>
      </c>
      <c r="AE3773">
        <f t="shared" si="352"/>
        <v>3544.02</v>
      </c>
      <c r="AF3773" t="str">
        <f t="shared" si="353"/>
        <v>Paid</v>
      </c>
    </row>
    <row r="3774" spans="1:32" ht="27.75" thickBot="1" x14ac:dyDescent="0.35">
      <c r="A3774" s="2" t="s">
        <v>21299</v>
      </c>
      <c r="B3774" s="2" t="s">
        <v>27</v>
      </c>
      <c r="C3774" s="2" t="s">
        <v>28</v>
      </c>
      <c r="D3774" s="2" t="s">
        <v>97</v>
      </c>
      <c r="E3774" s="2" t="s">
        <v>21084</v>
      </c>
      <c r="F3774" s="2" t="s">
        <v>31</v>
      </c>
      <c r="G3774" s="2" t="s">
        <v>32</v>
      </c>
      <c r="H3774" s="1"/>
      <c r="I3774" s="2" t="s">
        <v>33</v>
      </c>
      <c r="J3774" s="2" t="s">
        <v>34</v>
      </c>
      <c r="K3774" s="2" t="s">
        <v>21300</v>
      </c>
      <c r="L3774" s="2" t="s">
        <v>21301</v>
      </c>
      <c r="M3774" s="2" t="s">
        <v>21296</v>
      </c>
      <c r="N3774" s="2" t="s">
        <v>38</v>
      </c>
      <c r="O3774" s="2" t="s">
        <v>51</v>
      </c>
      <c r="P3774" s="2" t="s">
        <v>6765</v>
      </c>
      <c r="Q3774" s="2" t="s">
        <v>20912</v>
      </c>
      <c r="R3774" s="2" t="s">
        <v>40</v>
      </c>
      <c r="S3774" s="2" t="s">
        <v>21297</v>
      </c>
      <c r="T3774" s="2" t="s">
        <v>11355</v>
      </c>
      <c r="U3774" s="2" t="s">
        <v>15192</v>
      </c>
      <c r="V3774" s="2" t="s">
        <v>21298</v>
      </c>
      <c r="W3774" s="1"/>
      <c r="X3774" s="2" t="s">
        <v>3279</v>
      </c>
      <c r="Y3774" s="2" t="s">
        <v>21087</v>
      </c>
      <c r="AA3774" t="str">
        <f t="shared" si="348"/>
        <v>2025-02</v>
      </c>
      <c r="AB3774" t="str">
        <f t="shared" si="349"/>
        <v>H1_2025</v>
      </c>
      <c r="AC3774">
        <f t="shared" si="350"/>
        <v>28090.02</v>
      </c>
      <c r="AD3774">
        <f t="shared" si="351"/>
        <v>3</v>
      </c>
      <c r="AE3774">
        <f t="shared" si="352"/>
        <v>3544.02</v>
      </c>
      <c r="AF3774" t="str">
        <f t="shared" si="353"/>
        <v>Paid</v>
      </c>
    </row>
    <row r="3775" spans="1:32" ht="27.75" thickBot="1" x14ac:dyDescent="0.35">
      <c r="A3775" s="2" t="s">
        <v>21302</v>
      </c>
      <c r="B3775" s="2" t="s">
        <v>27</v>
      </c>
      <c r="C3775" s="2" t="s">
        <v>28</v>
      </c>
      <c r="D3775" s="2" t="s">
        <v>97</v>
      </c>
      <c r="E3775" s="2" t="s">
        <v>21084</v>
      </c>
      <c r="F3775" s="2" t="s">
        <v>31</v>
      </c>
      <c r="G3775" s="2" t="s">
        <v>32</v>
      </c>
      <c r="H3775" s="1"/>
      <c r="I3775" s="2" t="s">
        <v>33</v>
      </c>
      <c r="J3775" s="2" t="s">
        <v>34</v>
      </c>
      <c r="K3775" s="2" t="s">
        <v>21303</v>
      </c>
      <c r="L3775" s="2" t="s">
        <v>21304</v>
      </c>
      <c r="M3775" s="2" t="s">
        <v>21296</v>
      </c>
      <c r="N3775" s="2" t="s">
        <v>38</v>
      </c>
      <c r="O3775" s="2" t="s">
        <v>44</v>
      </c>
      <c r="P3775" s="2" t="s">
        <v>6765</v>
      </c>
      <c r="Q3775" s="2" t="s">
        <v>21305</v>
      </c>
      <c r="R3775" s="2" t="s">
        <v>40</v>
      </c>
      <c r="S3775" s="2" t="s">
        <v>21306</v>
      </c>
      <c r="T3775" s="2" t="s">
        <v>11355</v>
      </c>
      <c r="U3775" s="2" t="s">
        <v>10490</v>
      </c>
      <c r="V3775" s="2" t="s">
        <v>21307</v>
      </c>
      <c r="W3775" s="1"/>
      <c r="X3775" s="2" t="s">
        <v>3279</v>
      </c>
      <c r="Y3775" s="2" t="s">
        <v>21087</v>
      </c>
      <c r="AA3775" t="str">
        <f t="shared" si="348"/>
        <v>2025-02</v>
      </c>
      <c r="AB3775" t="str">
        <f t="shared" si="349"/>
        <v>H1_2025</v>
      </c>
      <c r="AC3775">
        <f t="shared" si="350"/>
        <v>18726.68</v>
      </c>
      <c r="AD3775">
        <f t="shared" si="351"/>
        <v>2</v>
      </c>
      <c r="AE3775">
        <f t="shared" si="352"/>
        <v>2362.6799999999998</v>
      </c>
      <c r="AF3775" t="str">
        <f t="shared" si="353"/>
        <v>Paid</v>
      </c>
    </row>
    <row r="3776" spans="1:32" ht="27.75" thickBot="1" x14ac:dyDescent="0.35">
      <c r="A3776" s="2" t="s">
        <v>21308</v>
      </c>
      <c r="B3776" s="2" t="s">
        <v>27</v>
      </c>
      <c r="C3776" s="2" t="s">
        <v>28</v>
      </c>
      <c r="D3776" s="2" t="s">
        <v>97</v>
      </c>
      <c r="E3776" s="2" t="s">
        <v>21084</v>
      </c>
      <c r="F3776" s="2" t="s">
        <v>31</v>
      </c>
      <c r="G3776" s="2" t="s">
        <v>32</v>
      </c>
      <c r="H3776" s="1"/>
      <c r="I3776" s="2" t="s">
        <v>33</v>
      </c>
      <c r="J3776" s="2" t="s">
        <v>34</v>
      </c>
      <c r="K3776" s="2" t="s">
        <v>21309</v>
      </c>
      <c r="L3776" s="2" t="s">
        <v>21310</v>
      </c>
      <c r="M3776" s="2" t="s">
        <v>21296</v>
      </c>
      <c r="N3776" s="2" t="s">
        <v>38</v>
      </c>
      <c r="O3776" s="2" t="s">
        <v>51</v>
      </c>
      <c r="P3776" s="2" t="s">
        <v>6765</v>
      </c>
      <c r="Q3776" s="2" t="s">
        <v>20912</v>
      </c>
      <c r="R3776" s="2" t="s">
        <v>40</v>
      </c>
      <c r="S3776" s="2" t="s">
        <v>21297</v>
      </c>
      <c r="T3776" s="2" t="s">
        <v>11355</v>
      </c>
      <c r="U3776" s="2" t="s">
        <v>15192</v>
      </c>
      <c r="V3776" s="2" t="s">
        <v>21298</v>
      </c>
      <c r="W3776" s="1"/>
      <c r="X3776" s="2" t="s">
        <v>3279</v>
      </c>
      <c r="Y3776" s="2" t="s">
        <v>21087</v>
      </c>
      <c r="AA3776" t="str">
        <f t="shared" si="348"/>
        <v>2025-02</v>
      </c>
      <c r="AB3776" t="str">
        <f t="shared" si="349"/>
        <v>H1_2025</v>
      </c>
      <c r="AC3776">
        <f t="shared" si="350"/>
        <v>28090.02</v>
      </c>
      <c r="AD3776">
        <f t="shared" si="351"/>
        <v>3</v>
      </c>
      <c r="AE3776">
        <f t="shared" si="352"/>
        <v>3544.02</v>
      </c>
      <c r="AF3776" t="str">
        <f t="shared" si="353"/>
        <v>Paid</v>
      </c>
    </row>
    <row r="3777" spans="1:32" ht="27.75" thickBot="1" x14ac:dyDescent="0.35">
      <c r="A3777" s="2" t="s">
        <v>21311</v>
      </c>
      <c r="B3777" s="2" t="s">
        <v>27</v>
      </c>
      <c r="C3777" s="2" t="s">
        <v>28</v>
      </c>
      <c r="D3777" s="2" t="s">
        <v>97</v>
      </c>
      <c r="E3777" s="2" t="s">
        <v>21084</v>
      </c>
      <c r="F3777" s="2" t="s">
        <v>31</v>
      </c>
      <c r="G3777" s="2" t="s">
        <v>32</v>
      </c>
      <c r="H3777" s="1"/>
      <c r="I3777" s="2" t="s">
        <v>33</v>
      </c>
      <c r="J3777" s="2" t="s">
        <v>34</v>
      </c>
      <c r="K3777" s="2" t="s">
        <v>21312</v>
      </c>
      <c r="L3777" s="2" t="s">
        <v>21313</v>
      </c>
      <c r="M3777" s="2" t="s">
        <v>21296</v>
      </c>
      <c r="N3777" s="2" t="s">
        <v>38</v>
      </c>
      <c r="O3777" s="2" t="s">
        <v>51</v>
      </c>
      <c r="P3777" s="2" t="s">
        <v>6765</v>
      </c>
      <c r="Q3777" s="2" t="s">
        <v>20912</v>
      </c>
      <c r="R3777" s="2" t="s">
        <v>40</v>
      </c>
      <c r="S3777" s="2" t="s">
        <v>21297</v>
      </c>
      <c r="T3777" s="2" t="s">
        <v>11355</v>
      </c>
      <c r="U3777" s="2" t="s">
        <v>15192</v>
      </c>
      <c r="V3777" s="2" t="s">
        <v>21298</v>
      </c>
      <c r="W3777" s="1"/>
      <c r="X3777" s="2" t="s">
        <v>3279</v>
      </c>
      <c r="Y3777" s="2" t="s">
        <v>21087</v>
      </c>
      <c r="AA3777" t="str">
        <f t="shared" si="348"/>
        <v>2025-02</v>
      </c>
      <c r="AB3777" t="str">
        <f t="shared" si="349"/>
        <v>H1_2025</v>
      </c>
      <c r="AC3777">
        <f t="shared" si="350"/>
        <v>28090.02</v>
      </c>
      <c r="AD3777">
        <f t="shared" si="351"/>
        <v>3</v>
      </c>
      <c r="AE3777">
        <f t="shared" si="352"/>
        <v>3544.02</v>
      </c>
      <c r="AF3777" t="str">
        <f t="shared" si="353"/>
        <v>Paid</v>
      </c>
    </row>
    <row r="3778" spans="1:32" ht="27.75" thickBot="1" x14ac:dyDescent="0.35">
      <c r="A3778" s="2" t="s">
        <v>21314</v>
      </c>
      <c r="B3778" s="2" t="s">
        <v>27</v>
      </c>
      <c r="C3778" s="2" t="s">
        <v>28</v>
      </c>
      <c r="D3778" s="2" t="s">
        <v>97</v>
      </c>
      <c r="E3778" s="2" t="s">
        <v>21084</v>
      </c>
      <c r="F3778" s="2" t="s">
        <v>31</v>
      </c>
      <c r="G3778" s="2" t="s">
        <v>32</v>
      </c>
      <c r="H3778" s="1"/>
      <c r="I3778" s="2" t="s">
        <v>33</v>
      </c>
      <c r="J3778" s="2" t="s">
        <v>34</v>
      </c>
      <c r="K3778" s="2" t="s">
        <v>6170</v>
      </c>
      <c r="L3778" s="2" t="s">
        <v>6171</v>
      </c>
      <c r="M3778" s="2" t="s">
        <v>6146</v>
      </c>
      <c r="N3778" s="2" t="s">
        <v>38</v>
      </c>
      <c r="O3778" s="2" t="s">
        <v>214</v>
      </c>
      <c r="P3778" s="2" t="s">
        <v>3943</v>
      </c>
      <c r="Q3778" s="2" t="s">
        <v>4053</v>
      </c>
      <c r="R3778" s="2" t="s">
        <v>40</v>
      </c>
      <c r="S3778" s="2" t="s">
        <v>21315</v>
      </c>
      <c r="T3778" s="2" t="s">
        <v>3777</v>
      </c>
      <c r="U3778" s="2" t="s">
        <v>21316</v>
      </c>
      <c r="V3778" s="2" t="s">
        <v>21317</v>
      </c>
      <c r="W3778" s="1"/>
      <c r="X3778" s="2" t="s">
        <v>1332</v>
      </c>
      <c r="Y3778" s="2" t="s">
        <v>21087</v>
      </c>
      <c r="AA3778" t="str">
        <f t="shared" si="348"/>
        <v>2025-02</v>
      </c>
      <c r="AB3778" t="str">
        <f t="shared" si="349"/>
        <v>H1_2025</v>
      </c>
      <c r="AC3778">
        <f t="shared" si="350"/>
        <v>421208</v>
      </c>
      <c r="AD3778">
        <f t="shared" si="351"/>
        <v>50</v>
      </c>
      <c r="AE3778">
        <f t="shared" si="352"/>
        <v>112108</v>
      </c>
      <c r="AF3778" t="str">
        <f t="shared" si="353"/>
        <v>Paid</v>
      </c>
    </row>
    <row r="3779" spans="1:32" ht="17.25" thickBot="1" x14ac:dyDescent="0.35">
      <c r="A3779" s="2" t="s">
        <v>21318</v>
      </c>
      <c r="B3779" s="2" t="s">
        <v>27</v>
      </c>
      <c r="C3779" s="2" t="s">
        <v>28</v>
      </c>
      <c r="D3779" s="2" t="s">
        <v>97</v>
      </c>
      <c r="E3779" s="2" t="s">
        <v>21084</v>
      </c>
      <c r="F3779" s="2" t="s">
        <v>31</v>
      </c>
      <c r="G3779" s="2" t="s">
        <v>32</v>
      </c>
      <c r="H3779" s="1"/>
      <c r="I3779" s="2" t="s">
        <v>33</v>
      </c>
      <c r="J3779" s="2" t="s">
        <v>34</v>
      </c>
      <c r="K3779" s="2" t="s">
        <v>13563</v>
      </c>
      <c r="L3779" s="2" t="s">
        <v>13564</v>
      </c>
      <c r="M3779" s="2" t="s">
        <v>6146</v>
      </c>
      <c r="N3779" s="2" t="s">
        <v>38</v>
      </c>
      <c r="O3779" s="2" t="s">
        <v>57</v>
      </c>
      <c r="P3779" s="2" t="s">
        <v>40</v>
      </c>
      <c r="Q3779" s="2" t="s">
        <v>40</v>
      </c>
      <c r="R3779" s="2" t="s">
        <v>40</v>
      </c>
      <c r="S3779" s="2" t="s">
        <v>40</v>
      </c>
      <c r="T3779" s="2" t="s">
        <v>13567</v>
      </c>
      <c r="U3779" s="2" t="s">
        <v>21319</v>
      </c>
      <c r="V3779" s="2" t="s">
        <v>21320</v>
      </c>
      <c r="W3779" s="2" t="s">
        <v>41</v>
      </c>
      <c r="X3779" s="2" t="s">
        <v>42</v>
      </c>
      <c r="Y3779" s="2" t="s">
        <v>21087</v>
      </c>
      <c r="AA3779" t="str">
        <f t="shared" si="348"/>
        <v>2025-02</v>
      </c>
      <c r="AB3779" t="str">
        <f t="shared" si="349"/>
        <v>H1_2025</v>
      </c>
      <c r="AC3779">
        <f t="shared" si="350"/>
        <v>0</v>
      </c>
      <c r="AD3779">
        <f t="shared" si="351"/>
        <v>5</v>
      </c>
      <c r="AE3779">
        <f t="shared" si="352"/>
        <v>-45455</v>
      </c>
      <c r="AF3779" t="str">
        <f t="shared" si="353"/>
        <v>Sample</v>
      </c>
    </row>
    <row r="3780" spans="1:32" ht="17.25" thickBot="1" x14ac:dyDescent="0.35">
      <c r="A3780" s="2" t="s">
        <v>21321</v>
      </c>
      <c r="B3780" s="2" t="s">
        <v>27</v>
      </c>
      <c r="C3780" s="2" t="s">
        <v>28</v>
      </c>
      <c r="D3780" s="2" t="s">
        <v>97</v>
      </c>
      <c r="E3780" s="2" t="s">
        <v>21084</v>
      </c>
      <c r="F3780" s="2" t="s">
        <v>31</v>
      </c>
      <c r="G3780" s="2" t="s">
        <v>32</v>
      </c>
      <c r="H3780" s="1"/>
      <c r="I3780" s="2" t="s">
        <v>33</v>
      </c>
      <c r="J3780" s="2" t="s">
        <v>34</v>
      </c>
      <c r="K3780" s="2" t="s">
        <v>15211</v>
      </c>
      <c r="L3780" s="2" t="s">
        <v>15212</v>
      </c>
      <c r="M3780" s="2" t="s">
        <v>6146</v>
      </c>
      <c r="N3780" s="2" t="s">
        <v>38</v>
      </c>
      <c r="O3780" s="2" t="s">
        <v>57</v>
      </c>
      <c r="P3780" s="2" t="s">
        <v>40</v>
      </c>
      <c r="Q3780" s="2" t="s">
        <v>40</v>
      </c>
      <c r="R3780" s="2" t="s">
        <v>40</v>
      </c>
      <c r="S3780" s="2" t="s">
        <v>40</v>
      </c>
      <c r="T3780" s="2" t="s">
        <v>15215</v>
      </c>
      <c r="U3780" s="2" t="s">
        <v>21322</v>
      </c>
      <c r="V3780" s="2" t="s">
        <v>21323</v>
      </c>
      <c r="W3780" s="2" t="s">
        <v>41</v>
      </c>
      <c r="X3780" s="2" t="s">
        <v>42</v>
      </c>
      <c r="Y3780" s="2" t="s">
        <v>21087</v>
      </c>
      <c r="AA3780" t="str">
        <f t="shared" ref="AA3780:AA3843" si="354">LEFT(E3780,7)</f>
        <v>2025-02</v>
      </c>
      <c r="AB3780" t="str">
        <f t="shared" ref="AB3780:AB3843" si="355">IF(AND($AA3780&gt;="2025-01",$AA3780&lt;="2025-06"),"H1_2025",IF(AND($AA3780&gt;="2026-01",$AA3780&lt;="2026-06"),"H1_2026",""))</f>
        <v>H1_2025</v>
      </c>
      <c r="AC3780">
        <f t="shared" ref="AC3780:AC3843" si="356">IFERROR(VALUE(SUBSTITUTE(S3780,",","")),0)</f>
        <v>0</v>
      </c>
      <c r="AD3780">
        <f t="shared" ref="AD3780:AD3843" si="357">IFERROR(VALUE(SUBSTITUTE(O3780,",","")),0)</f>
        <v>5</v>
      </c>
      <c r="AE3780">
        <f t="shared" ref="AE3780:AE3843" si="358">IFERROR(VALUE(SUBSTITUTE(V3780,",","")),0)</f>
        <v>-41820</v>
      </c>
      <c r="AF3780" t="str">
        <f t="shared" ref="AF3780:AF3843" si="359">IF(ISNUMBER(SEARCH("FOC",W3780)),"FOC",IF(ISNUMBER(SEARCH("샘플",W3780)),"Sample","Paid"))</f>
        <v>Sample</v>
      </c>
    </row>
    <row r="3781" spans="1:32" ht="17.25" thickBot="1" x14ac:dyDescent="0.35">
      <c r="A3781" s="2" t="s">
        <v>21324</v>
      </c>
      <c r="B3781" s="2" t="s">
        <v>27</v>
      </c>
      <c r="C3781" s="2" t="s">
        <v>28</v>
      </c>
      <c r="D3781" s="2" t="s">
        <v>97</v>
      </c>
      <c r="E3781" s="2" t="s">
        <v>21084</v>
      </c>
      <c r="F3781" s="2" t="s">
        <v>31</v>
      </c>
      <c r="G3781" s="2" t="s">
        <v>32</v>
      </c>
      <c r="H3781" s="1"/>
      <c r="I3781" s="2" t="s">
        <v>33</v>
      </c>
      <c r="J3781" s="2" t="s">
        <v>34</v>
      </c>
      <c r="K3781" s="2" t="s">
        <v>6272</v>
      </c>
      <c r="L3781" s="2" t="s">
        <v>6273</v>
      </c>
      <c r="M3781" s="2" t="s">
        <v>6146</v>
      </c>
      <c r="N3781" s="2" t="s">
        <v>38</v>
      </c>
      <c r="O3781" s="2" t="s">
        <v>44</v>
      </c>
      <c r="P3781" s="2" t="s">
        <v>40</v>
      </c>
      <c r="Q3781" s="2" t="s">
        <v>40</v>
      </c>
      <c r="R3781" s="2" t="s">
        <v>40</v>
      </c>
      <c r="S3781" s="2" t="s">
        <v>40</v>
      </c>
      <c r="T3781" s="2" t="s">
        <v>15220</v>
      </c>
      <c r="U3781" s="2" t="s">
        <v>21325</v>
      </c>
      <c r="V3781" s="2" t="s">
        <v>21326</v>
      </c>
      <c r="W3781" s="2" t="s">
        <v>41</v>
      </c>
      <c r="X3781" s="2" t="s">
        <v>42</v>
      </c>
      <c r="Y3781" s="2" t="s">
        <v>21087</v>
      </c>
      <c r="AA3781" t="str">
        <f t="shared" si="354"/>
        <v>2025-02</v>
      </c>
      <c r="AB3781" t="str">
        <f t="shared" si="355"/>
        <v>H1_2025</v>
      </c>
      <c r="AC3781">
        <f t="shared" si="356"/>
        <v>0</v>
      </c>
      <c r="AD3781">
        <f t="shared" si="357"/>
        <v>2</v>
      </c>
      <c r="AE3781">
        <f t="shared" si="358"/>
        <v>-13274</v>
      </c>
      <c r="AF3781" t="str">
        <f t="shared" si="359"/>
        <v>Sample</v>
      </c>
    </row>
    <row r="3782" spans="1:32" ht="17.25" thickBot="1" x14ac:dyDescent="0.35">
      <c r="A3782" s="2" t="s">
        <v>21327</v>
      </c>
      <c r="B3782" s="2" t="s">
        <v>27</v>
      </c>
      <c r="C3782" s="2" t="s">
        <v>28</v>
      </c>
      <c r="D3782" s="2" t="s">
        <v>97</v>
      </c>
      <c r="E3782" s="2" t="s">
        <v>21084</v>
      </c>
      <c r="F3782" s="2" t="s">
        <v>31</v>
      </c>
      <c r="G3782" s="2" t="s">
        <v>32</v>
      </c>
      <c r="H3782" s="1"/>
      <c r="I3782" s="2" t="s">
        <v>33</v>
      </c>
      <c r="J3782" s="2" t="s">
        <v>34</v>
      </c>
      <c r="K3782" s="2" t="s">
        <v>21328</v>
      </c>
      <c r="L3782" s="2" t="s">
        <v>21329</v>
      </c>
      <c r="M3782" s="2" t="s">
        <v>1887</v>
      </c>
      <c r="N3782" s="2" t="s">
        <v>38</v>
      </c>
      <c r="O3782" s="2" t="s">
        <v>6655</v>
      </c>
      <c r="P3782" s="2" t="s">
        <v>21330</v>
      </c>
      <c r="Q3782" s="2" t="s">
        <v>12232</v>
      </c>
      <c r="R3782" s="2" t="s">
        <v>40</v>
      </c>
      <c r="S3782" s="2" t="s">
        <v>21331</v>
      </c>
      <c r="T3782" s="2" t="s">
        <v>2275</v>
      </c>
      <c r="U3782" s="2" t="s">
        <v>21332</v>
      </c>
      <c r="V3782" s="2" t="s">
        <v>21333</v>
      </c>
      <c r="W3782" s="1"/>
      <c r="X3782" s="2" t="s">
        <v>21334</v>
      </c>
      <c r="Y3782" s="2" t="s">
        <v>21087</v>
      </c>
      <c r="AA3782" t="str">
        <f t="shared" si="354"/>
        <v>2025-02</v>
      </c>
      <c r="AB3782" t="str">
        <f t="shared" si="355"/>
        <v>H1_2025</v>
      </c>
      <c r="AC3782">
        <f t="shared" si="356"/>
        <v>4758512</v>
      </c>
      <c r="AD3782">
        <f t="shared" si="357"/>
        <v>950</v>
      </c>
      <c r="AE3782">
        <f t="shared" si="358"/>
        <v>483512</v>
      </c>
      <c r="AF3782" t="str">
        <f t="shared" si="359"/>
        <v>Paid</v>
      </c>
    </row>
    <row r="3783" spans="1:32" ht="27.75" thickBot="1" x14ac:dyDescent="0.35">
      <c r="A3783" s="2" t="s">
        <v>21335</v>
      </c>
      <c r="B3783" s="2" t="s">
        <v>27</v>
      </c>
      <c r="C3783" s="2" t="s">
        <v>28</v>
      </c>
      <c r="D3783" s="2" t="s">
        <v>97</v>
      </c>
      <c r="E3783" s="2" t="s">
        <v>21084</v>
      </c>
      <c r="F3783" s="2" t="s">
        <v>31</v>
      </c>
      <c r="G3783" s="2" t="s">
        <v>32</v>
      </c>
      <c r="H3783" s="1"/>
      <c r="I3783" s="2" t="s">
        <v>33</v>
      </c>
      <c r="J3783" s="2" t="s">
        <v>34</v>
      </c>
      <c r="K3783" s="2" t="s">
        <v>21336</v>
      </c>
      <c r="L3783" s="2" t="s">
        <v>21337</v>
      </c>
      <c r="M3783" s="2" t="s">
        <v>1887</v>
      </c>
      <c r="N3783" s="2" t="s">
        <v>38</v>
      </c>
      <c r="O3783" s="2" t="s">
        <v>214</v>
      </c>
      <c r="P3783" s="2" t="s">
        <v>13693</v>
      </c>
      <c r="Q3783" s="2" t="s">
        <v>21338</v>
      </c>
      <c r="R3783" s="2" t="s">
        <v>40</v>
      </c>
      <c r="S3783" s="2" t="s">
        <v>21339</v>
      </c>
      <c r="T3783" s="2" t="s">
        <v>40</v>
      </c>
      <c r="U3783" s="2" t="s">
        <v>40</v>
      </c>
      <c r="V3783" s="2" t="s">
        <v>21339</v>
      </c>
      <c r="W3783" s="1"/>
      <c r="X3783" s="2" t="s">
        <v>2155</v>
      </c>
      <c r="Y3783" s="2" t="s">
        <v>21087</v>
      </c>
      <c r="AA3783" t="str">
        <f t="shared" si="354"/>
        <v>2025-02</v>
      </c>
      <c r="AB3783" t="str">
        <f t="shared" si="355"/>
        <v>H1_2025</v>
      </c>
      <c r="AC3783">
        <f t="shared" si="356"/>
        <v>430457.5</v>
      </c>
      <c r="AD3783">
        <f t="shared" si="357"/>
        <v>50</v>
      </c>
      <c r="AE3783">
        <f t="shared" si="358"/>
        <v>430457.5</v>
      </c>
      <c r="AF3783" t="str">
        <f t="shared" si="359"/>
        <v>Paid</v>
      </c>
    </row>
    <row r="3784" spans="1:32" ht="17.25" thickBot="1" x14ac:dyDescent="0.35">
      <c r="A3784" s="2" t="s">
        <v>21340</v>
      </c>
      <c r="B3784" s="2" t="s">
        <v>27</v>
      </c>
      <c r="C3784" s="2" t="s">
        <v>28</v>
      </c>
      <c r="D3784" s="2" t="s">
        <v>97</v>
      </c>
      <c r="E3784" s="2" t="s">
        <v>21084</v>
      </c>
      <c r="F3784" s="2" t="s">
        <v>31</v>
      </c>
      <c r="G3784" s="2" t="s">
        <v>32</v>
      </c>
      <c r="H3784" s="1"/>
      <c r="I3784" s="2" t="s">
        <v>33</v>
      </c>
      <c r="J3784" s="2" t="s">
        <v>34</v>
      </c>
      <c r="K3784" s="2" t="s">
        <v>21341</v>
      </c>
      <c r="L3784" s="2" t="s">
        <v>21342</v>
      </c>
      <c r="M3784" s="2" t="s">
        <v>1887</v>
      </c>
      <c r="N3784" s="2" t="s">
        <v>38</v>
      </c>
      <c r="O3784" s="2" t="s">
        <v>252</v>
      </c>
      <c r="P3784" s="2" t="s">
        <v>5455</v>
      </c>
      <c r="Q3784" s="2" t="s">
        <v>5702</v>
      </c>
      <c r="R3784" s="2" t="s">
        <v>40</v>
      </c>
      <c r="S3784" s="2" t="s">
        <v>21343</v>
      </c>
      <c r="T3784" s="2" t="s">
        <v>21344</v>
      </c>
      <c r="U3784" s="2" t="s">
        <v>21345</v>
      </c>
      <c r="V3784" s="2" t="s">
        <v>21346</v>
      </c>
      <c r="W3784" s="1"/>
      <c r="X3784" s="2" t="s">
        <v>1795</v>
      </c>
      <c r="Y3784" s="2" t="s">
        <v>21087</v>
      </c>
      <c r="AA3784" t="str">
        <f t="shared" si="354"/>
        <v>2025-02</v>
      </c>
      <c r="AB3784" t="str">
        <f t="shared" si="355"/>
        <v>H1_2025</v>
      </c>
      <c r="AC3784">
        <f t="shared" si="356"/>
        <v>257733.76000000001</v>
      </c>
      <c r="AD3784">
        <f t="shared" si="357"/>
        <v>32</v>
      </c>
      <c r="AE3784">
        <f t="shared" si="358"/>
        <v>26437.759999999998</v>
      </c>
      <c r="AF3784" t="str">
        <f t="shared" si="359"/>
        <v>Paid</v>
      </c>
    </row>
    <row r="3785" spans="1:32" ht="17.25" thickBot="1" x14ac:dyDescent="0.35">
      <c r="A3785" s="2" t="s">
        <v>21347</v>
      </c>
      <c r="B3785" s="2" t="s">
        <v>27</v>
      </c>
      <c r="C3785" s="2" t="s">
        <v>28</v>
      </c>
      <c r="D3785" s="2" t="s">
        <v>97</v>
      </c>
      <c r="E3785" s="2" t="s">
        <v>21084</v>
      </c>
      <c r="F3785" s="2" t="s">
        <v>31</v>
      </c>
      <c r="G3785" s="2" t="s">
        <v>32</v>
      </c>
      <c r="H3785" s="1"/>
      <c r="I3785" s="2" t="s">
        <v>33</v>
      </c>
      <c r="J3785" s="2" t="s">
        <v>34</v>
      </c>
      <c r="K3785" s="2" t="s">
        <v>21348</v>
      </c>
      <c r="L3785" s="2" t="s">
        <v>21349</v>
      </c>
      <c r="M3785" s="2" t="s">
        <v>1887</v>
      </c>
      <c r="N3785" s="2" t="s">
        <v>38</v>
      </c>
      <c r="O3785" s="2" t="s">
        <v>4176</v>
      </c>
      <c r="P3785" s="2" t="s">
        <v>21330</v>
      </c>
      <c r="Q3785" s="2" t="s">
        <v>21350</v>
      </c>
      <c r="R3785" s="2" t="s">
        <v>40</v>
      </c>
      <c r="S3785" s="2" t="s">
        <v>21351</v>
      </c>
      <c r="T3785" s="2" t="s">
        <v>2275</v>
      </c>
      <c r="U3785" s="2" t="s">
        <v>21352</v>
      </c>
      <c r="V3785" s="2" t="s">
        <v>21353</v>
      </c>
      <c r="W3785" s="1"/>
      <c r="X3785" s="2" t="s">
        <v>21334</v>
      </c>
      <c r="Y3785" s="2" t="s">
        <v>21087</v>
      </c>
      <c r="AA3785" t="str">
        <f t="shared" si="354"/>
        <v>2025-02</v>
      </c>
      <c r="AB3785" t="str">
        <f t="shared" si="355"/>
        <v>H1_2025</v>
      </c>
      <c r="AC3785">
        <f t="shared" si="356"/>
        <v>2754928</v>
      </c>
      <c r="AD3785">
        <f t="shared" si="357"/>
        <v>550</v>
      </c>
      <c r="AE3785">
        <f t="shared" si="358"/>
        <v>279928</v>
      </c>
      <c r="AF3785" t="str">
        <f t="shared" si="359"/>
        <v>Paid</v>
      </c>
    </row>
    <row r="3786" spans="1:32" ht="27.75" thickBot="1" x14ac:dyDescent="0.35">
      <c r="A3786" s="2" t="s">
        <v>21354</v>
      </c>
      <c r="B3786" s="2" t="s">
        <v>27</v>
      </c>
      <c r="C3786" s="2" t="s">
        <v>28</v>
      </c>
      <c r="D3786" s="2" t="s">
        <v>97</v>
      </c>
      <c r="E3786" s="2" t="s">
        <v>21084</v>
      </c>
      <c r="F3786" s="2" t="s">
        <v>31</v>
      </c>
      <c r="G3786" s="2" t="s">
        <v>32</v>
      </c>
      <c r="H3786" s="1"/>
      <c r="I3786" s="2" t="s">
        <v>33</v>
      </c>
      <c r="J3786" s="2" t="s">
        <v>34</v>
      </c>
      <c r="K3786" s="2" t="s">
        <v>21355</v>
      </c>
      <c r="L3786" s="2" t="s">
        <v>21356</v>
      </c>
      <c r="M3786" s="2" t="s">
        <v>1887</v>
      </c>
      <c r="N3786" s="2" t="s">
        <v>38</v>
      </c>
      <c r="O3786" s="2" t="s">
        <v>388</v>
      </c>
      <c r="P3786" s="2" t="s">
        <v>1758</v>
      </c>
      <c r="Q3786" s="2" t="s">
        <v>21357</v>
      </c>
      <c r="R3786" s="2" t="s">
        <v>40</v>
      </c>
      <c r="S3786" s="2" t="s">
        <v>21358</v>
      </c>
      <c r="T3786" s="2" t="s">
        <v>14115</v>
      </c>
      <c r="U3786" s="2" t="s">
        <v>21359</v>
      </c>
      <c r="V3786" s="2" t="s">
        <v>21360</v>
      </c>
      <c r="W3786" s="1"/>
      <c r="X3786" s="2" t="s">
        <v>1795</v>
      </c>
      <c r="Y3786" s="2" t="s">
        <v>21087</v>
      </c>
      <c r="AA3786" t="str">
        <f t="shared" si="354"/>
        <v>2025-02</v>
      </c>
      <c r="AB3786" t="str">
        <f t="shared" si="355"/>
        <v>H1_2025</v>
      </c>
      <c r="AC3786">
        <f t="shared" si="356"/>
        <v>303070.53999999998</v>
      </c>
      <c r="AD3786">
        <f t="shared" si="357"/>
        <v>46</v>
      </c>
      <c r="AE3786">
        <f t="shared" si="358"/>
        <v>31210.54</v>
      </c>
      <c r="AF3786" t="str">
        <f t="shared" si="359"/>
        <v>Paid</v>
      </c>
    </row>
    <row r="3787" spans="1:32" ht="27.75" thickBot="1" x14ac:dyDescent="0.35">
      <c r="A3787" s="2" t="s">
        <v>21361</v>
      </c>
      <c r="B3787" s="2" t="s">
        <v>27</v>
      </c>
      <c r="C3787" s="2" t="s">
        <v>28</v>
      </c>
      <c r="D3787" s="2" t="s">
        <v>97</v>
      </c>
      <c r="E3787" s="2" t="s">
        <v>21084</v>
      </c>
      <c r="F3787" s="2" t="s">
        <v>31</v>
      </c>
      <c r="G3787" s="2" t="s">
        <v>32</v>
      </c>
      <c r="H3787" s="1"/>
      <c r="I3787" s="2" t="s">
        <v>33</v>
      </c>
      <c r="J3787" s="2" t="s">
        <v>34</v>
      </c>
      <c r="K3787" s="2" t="s">
        <v>21355</v>
      </c>
      <c r="L3787" s="2" t="s">
        <v>21356</v>
      </c>
      <c r="M3787" s="2" t="s">
        <v>1887</v>
      </c>
      <c r="N3787" s="2" t="s">
        <v>38</v>
      </c>
      <c r="O3787" s="2" t="s">
        <v>54</v>
      </c>
      <c r="P3787" s="2" t="s">
        <v>1758</v>
      </c>
      <c r="Q3787" s="2" t="s">
        <v>21362</v>
      </c>
      <c r="R3787" s="2" t="s">
        <v>40</v>
      </c>
      <c r="S3787" s="2" t="s">
        <v>21363</v>
      </c>
      <c r="T3787" s="2" t="s">
        <v>14115</v>
      </c>
      <c r="U3787" s="2" t="s">
        <v>21364</v>
      </c>
      <c r="V3787" s="2" t="s">
        <v>21365</v>
      </c>
      <c r="W3787" s="1"/>
      <c r="X3787" s="2" t="s">
        <v>1795</v>
      </c>
      <c r="Y3787" s="2" t="s">
        <v>21087</v>
      </c>
      <c r="AA3787" t="str">
        <f t="shared" si="354"/>
        <v>2025-02</v>
      </c>
      <c r="AB3787" t="str">
        <f t="shared" si="355"/>
        <v>H1_2025</v>
      </c>
      <c r="AC3787">
        <f t="shared" si="356"/>
        <v>26353.96</v>
      </c>
      <c r="AD3787">
        <f t="shared" si="357"/>
        <v>4</v>
      </c>
      <c r="AE3787">
        <f t="shared" si="358"/>
        <v>2713.96</v>
      </c>
      <c r="AF3787" t="str">
        <f t="shared" si="359"/>
        <v>Paid</v>
      </c>
    </row>
    <row r="3788" spans="1:32" ht="17.25" thickBot="1" x14ac:dyDescent="0.35">
      <c r="A3788" s="2" t="s">
        <v>21366</v>
      </c>
      <c r="B3788" s="2" t="s">
        <v>27</v>
      </c>
      <c r="C3788" s="2" t="s">
        <v>28</v>
      </c>
      <c r="D3788" s="2" t="s">
        <v>97</v>
      </c>
      <c r="E3788" s="2" t="s">
        <v>21084</v>
      </c>
      <c r="F3788" s="2" t="s">
        <v>31</v>
      </c>
      <c r="G3788" s="2" t="s">
        <v>32</v>
      </c>
      <c r="H3788" s="1"/>
      <c r="I3788" s="2" t="s">
        <v>33</v>
      </c>
      <c r="J3788" s="2" t="s">
        <v>34</v>
      </c>
      <c r="K3788" s="2" t="s">
        <v>21367</v>
      </c>
      <c r="L3788" s="2" t="s">
        <v>21368</v>
      </c>
      <c r="M3788" s="2" t="s">
        <v>1887</v>
      </c>
      <c r="N3788" s="2" t="s">
        <v>38</v>
      </c>
      <c r="O3788" s="2" t="s">
        <v>2014</v>
      </c>
      <c r="P3788" s="2" t="s">
        <v>11018</v>
      </c>
      <c r="Q3788" s="2" t="s">
        <v>2445</v>
      </c>
      <c r="R3788" s="2" t="s">
        <v>40</v>
      </c>
      <c r="S3788" s="2" t="s">
        <v>21369</v>
      </c>
      <c r="T3788" s="2" t="s">
        <v>21370</v>
      </c>
      <c r="U3788" s="2" t="s">
        <v>21371</v>
      </c>
      <c r="V3788" s="2" t="s">
        <v>21372</v>
      </c>
      <c r="W3788" s="1"/>
      <c r="X3788" s="2" t="s">
        <v>21373</v>
      </c>
      <c r="Y3788" s="2" t="s">
        <v>21087</v>
      </c>
      <c r="AA3788" t="str">
        <f t="shared" si="354"/>
        <v>2025-02</v>
      </c>
      <c r="AB3788" t="str">
        <f t="shared" si="355"/>
        <v>H1_2025</v>
      </c>
      <c r="AC3788">
        <f t="shared" si="356"/>
        <v>1707600</v>
      </c>
      <c r="AD3788">
        <f t="shared" si="357"/>
        <v>960</v>
      </c>
      <c r="AE3788">
        <f t="shared" si="358"/>
        <v>180240</v>
      </c>
      <c r="AF3788" t="str">
        <f t="shared" si="359"/>
        <v>Paid</v>
      </c>
    </row>
    <row r="3789" spans="1:32" ht="17.25" thickBot="1" x14ac:dyDescent="0.35">
      <c r="A3789" s="2" t="s">
        <v>21374</v>
      </c>
      <c r="B3789" s="2" t="s">
        <v>27</v>
      </c>
      <c r="C3789" s="2" t="s">
        <v>28</v>
      </c>
      <c r="D3789" s="2" t="s">
        <v>97</v>
      </c>
      <c r="E3789" s="2" t="s">
        <v>21084</v>
      </c>
      <c r="F3789" s="2" t="s">
        <v>31</v>
      </c>
      <c r="G3789" s="2" t="s">
        <v>32</v>
      </c>
      <c r="H3789" s="1"/>
      <c r="I3789" s="2" t="s">
        <v>33</v>
      </c>
      <c r="J3789" s="2" t="s">
        <v>34</v>
      </c>
      <c r="K3789" s="2" t="s">
        <v>21367</v>
      </c>
      <c r="L3789" s="2" t="s">
        <v>21368</v>
      </c>
      <c r="M3789" s="2" t="s">
        <v>1887</v>
      </c>
      <c r="N3789" s="2" t="s">
        <v>38</v>
      </c>
      <c r="O3789" s="2" t="s">
        <v>8208</v>
      </c>
      <c r="P3789" s="2" t="s">
        <v>11018</v>
      </c>
      <c r="Q3789" s="2" t="s">
        <v>21375</v>
      </c>
      <c r="R3789" s="2" t="s">
        <v>40</v>
      </c>
      <c r="S3789" s="2" t="s">
        <v>21376</v>
      </c>
      <c r="T3789" s="2" t="s">
        <v>21370</v>
      </c>
      <c r="U3789" s="2" t="s">
        <v>21377</v>
      </c>
      <c r="V3789" s="2" t="s">
        <v>21378</v>
      </c>
      <c r="W3789" s="1"/>
      <c r="X3789" s="2" t="s">
        <v>21373</v>
      </c>
      <c r="Y3789" s="2" t="s">
        <v>21087</v>
      </c>
      <c r="AA3789" t="str">
        <f t="shared" si="354"/>
        <v>2025-02</v>
      </c>
      <c r="AB3789" t="str">
        <f t="shared" si="355"/>
        <v>H1_2025</v>
      </c>
      <c r="AC3789">
        <f t="shared" si="356"/>
        <v>6296775</v>
      </c>
      <c r="AD3789">
        <f t="shared" si="357"/>
        <v>3540</v>
      </c>
      <c r="AE3789">
        <f t="shared" si="358"/>
        <v>664635</v>
      </c>
      <c r="AF3789" t="str">
        <f t="shared" si="359"/>
        <v>Paid</v>
      </c>
    </row>
    <row r="3790" spans="1:32" ht="27.75" thickBot="1" x14ac:dyDescent="0.35">
      <c r="A3790" s="2" t="s">
        <v>21379</v>
      </c>
      <c r="B3790" s="2" t="s">
        <v>27</v>
      </c>
      <c r="C3790" s="2" t="s">
        <v>28</v>
      </c>
      <c r="D3790" s="2" t="s">
        <v>97</v>
      </c>
      <c r="E3790" s="2" t="s">
        <v>21084</v>
      </c>
      <c r="F3790" s="2" t="s">
        <v>31</v>
      </c>
      <c r="G3790" s="2" t="s">
        <v>32</v>
      </c>
      <c r="H3790" s="1"/>
      <c r="I3790" s="2" t="s">
        <v>33</v>
      </c>
      <c r="J3790" s="2" t="s">
        <v>34</v>
      </c>
      <c r="K3790" s="2" t="s">
        <v>21380</v>
      </c>
      <c r="L3790" s="2" t="s">
        <v>21381</v>
      </c>
      <c r="M3790" s="2" t="s">
        <v>1887</v>
      </c>
      <c r="N3790" s="2" t="s">
        <v>38</v>
      </c>
      <c r="O3790" s="2" t="s">
        <v>517</v>
      </c>
      <c r="P3790" s="2" t="s">
        <v>8513</v>
      </c>
      <c r="Q3790" s="2" t="s">
        <v>21382</v>
      </c>
      <c r="R3790" s="2" t="s">
        <v>40</v>
      </c>
      <c r="S3790" s="2" t="s">
        <v>21383</v>
      </c>
      <c r="T3790" s="2" t="s">
        <v>12578</v>
      </c>
      <c r="U3790" s="2" t="s">
        <v>21384</v>
      </c>
      <c r="V3790" s="2" t="s">
        <v>21385</v>
      </c>
      <c r="W3790" s="1"/>
      <c r="X3790" s="2" t="s">
        <v>1795</v>
      </c>
      <c r="Y3790" s="2" t="s">
        <v>21087</v>
      </c>
      <c r="AA3790" t="str">
        <f t="shared" si="354"/>
        <v>2025-02</v>
      </c>
      <c r="AB3790" t="str">
        <f t="shared" si="355"/>
        <v>H1_2025</v>
      </c>
      <c r="AC3790">
        <f t="shared" si="356"/>
        <v>1063834.8</v>
      </c>
      <c r="AD3790">
        <f t="shared" si="357"/>
        <v>120</v>
      </c>
      <c r="AE3790">
        <f t="shared" si="358"/>
        <v>109234.8</v>
      </c>
      <c r="AF3790" t="str">
        <f t="shared" si="359"/>
        <v>Paid</v>
      </c>
    </row>
    <row r="3791" spans="1:32" ht="17.25" thickBot="1" x14ac:dyDescent="0.35">
      <c r="A3791" s="2" t="s">
        <v>21386</v>
      </c>
      <c r="B3791" s="2" t="s">
        <v>27</v>
      </c>
      <c r="C3791" s="2" t="s">
        <v>28</v>
      </c>
      <c r="D3791" s="2" t="s">
        <v>97</v>
      </c>
      <c r="E3791" s="2" t="s">
        <v>21084</v>
      </c>
      <c r="F3791" s="2" t="s">
        <v>31</v>
      </c>
      <c r="G3791" s="2" t="s">
        <v>32</v>
      </c>
      <c r="H3791" s="1"/>
      <c r="I3791" s="2" t="s">
        <v>33</v>
      </c>
      <c r="J3791" s="2" t="s">
        <v>34</v>
      </c>
      <c r="K3791" s="2" t="s">
        <v>21387</v>
      </c>
      <c r="L3791" s="2" t="s">
        <v>21388</v>
      </c>
      <c r="M3791" s="2" t="s">
        <v>1887</v>
      </c>
      <c r="N3791" s="2" t="s">
        <v>38</v>
      </c>
      <c r="O3791" s="2" t="s">
        <v>177</v>
      </c>
      <c r="P3791" s="2" t="s">
        <v>1344</v>
      </c>
      <c r="Q3791" s="2" t="s">
        <v>21389</v>
      </c>
      <c r="R3791" s="2" t="s">
        <v>40</v>
      </c>
      <c r="S3791" s="2" t="s">
        <v>21390</v>
      </c>
      <c r="T3791" s="2" t="s">
        <v>8164</v>
      </c>
      <c r="U3791" s="2" t="s">
        <v>21391</v>
      </c>
      <c r="V3791" s="2" t="s">
        <v>21392</v>
      </c>
      <c r="W3791" s="1"/>
      <c r="X3791" s="2" t="s">
        <v>1795</v>
      </c>
      <c r="Y3791" s="2" t="s">
        <v>21087</v>
      </c>
      <c r="AA3791" t="str">
        <f t="shared" si="354"/>
        <v>2025-02</v>
      </c>
      <c r="AB3791" t="str">
        <f t="shared" si="355"/>
        <v>H1_2025</v>
      </c>
      <c r="AC3791">
        <f t="shared" si="356"/>
        <v>3244440</v>
      </c>
      <c r="AD3791">
        <f t="shared" si="357"/>
        <v>400</v>
      </c>
      <c r="AE3791">
        <f t="shared" si="358"/>
        <v>335240</v>
      </c>
      <c r="AF3791" t="str">
        <f t="shared" si="359"/>
        <v>Paid</v>
      </c>
    </row>
    <row r="3792" spans="1:32" ht="17.25" thickBot="1" x14ac:dyDescent="0.35">
      <c r="A3792" s="2" t="s">
        <v>21393</v>
      </c>
      <c r="B3792" s="2" t="s">
        <v>27</v>
      </c>
      <c r="C3792" s="2" t="s">
        <v>28</v>
      </c>
      <c r="D3792" s="2" t="s">
        <v>97</v>
      </c>
      <c r="E3792" s="2" t="s">
        <v>21084</v>
      </c>
      <c r="F3792" s="2" t="s">
        <v>31</v>
      </c>
      <c r="G3792" s="2" t="s">
        <v>32</v>
      </c>
      <c r="H3792" s="1"/>
      <c r="I3792" s="2" t="s">
        <v>33</v>
      </c>
      <c r="J3792" s="2" t="s">
        <v>34</v>
      </c>
      <c r="K3792" s="2" t="s">
        <v>21394</v>
      </c>
      <c r="L3792" s="2" t="s">
        <v>21395</v>
      </c>
      <c r="M3792" s="2" t="s">
        <v>1887</v>
      </c>
      <c r="N3792" s="2" t="s">
        <v>38</v>
      </c>
      <c r="O3792" s="2" t="s">
        <v>280</v>
      </c>
      <c r="P3792" s="2" t="s">
        <v>21396</v>
      </c>
      <c r="Q3792" s="2" t="s">
        <v>21397</v>
      </c>
      <c r="R3792" s="2" t="s">
        <v>40</v>
      </c>
      <c r="S3792" s="2" t="s">
        <v>21398</v>
      </c>
      <c r="T3792" s="2" t="s">
        <v>13601</v>
      </c>
      <c r="U3792" s="2" t="s">
        <v>21399</v>
      </c>
      <c r="V3792" s="2" t="s">
        <v>21400</v>
      </c>
      <c r="W3792" s="1"/>
      <c r="X3792" s="2" t="s">
        <v>21334</v>
      </c>
      <c r="Y3792" s="2" t="s">
        <v>21087</v>
      </c>
      <c r="AA3792" t="str">
        <f t="shared" si="354"/>
        <v>2025-02</v>
      </c>
      <c r="AB3792" t="str">
        <f t="shared" si="355"/>
        <v>H1_2025</v>
      </c>
      <c r="AC3792">
        <f t="shared" si="356"/>
        <v>336681.8</v>
      </c>
      <c r="AD3792">
        <f t="shared" si="357"/>
        <v>35</v>
      </c>
      <c r="AE3792">
        <f t="shared" si="358"/>
        <v>34386.800000000003</v>
      </c>
      <c r="AF3792" t="str">
        <f t="shared" si="359"/>
        <v>Paid</v>
      </c>
    </row>
    <row r="3793" spans="1:32" ht="17.25" thickBot="1" x14ac:dyDescent="0.35">
      <c r="A3793" s="2" t="s">
        <v>21401</v>
      </c>
      <c r="B3793" s="2" t="s">
        <v>27</v>
      </c>
      <c r="C3793" s="2" t="s">
        <v>28</v>
      </c>
      <c r="D3793" s="2" t="s">
        <v>97</v>
      </c>
      <c r="E3793" s="2" t="s">
        <v>21084</v>
      </c>
      <c r="F3793" s="2" t="s">
        <v>31</v>
      </c>
      <c r="G3793" s="2" t="s">
        <v>32</v>
      </c>
      <c r="H3793" s="1"/>
      <c r="I3793" s="2" t="s">
        <v>33</v>
      </c>
      <c r="J3793" s="2" t="s">
        <v>34</v>
      </c>
      <c r="K3793" s="2" t="s">
        <v>21402</v>
      </c>
      <c r="L3793" s="2" t="s">
        <v>21403</v>
      </c>
      <c r="M3793" s="2" t="s">
        <v>1887</v>
      </c>
      <c r="N3793" s="2" t="s">
        <v>38</v>
      </c>
      <c r="O3793" s="2" t="s">
        <v>877</v>
      </c>
      <c r="P3793" s="2" t="s">
        <v>1028</v>
      </c>
      <c r="Q3793" s="2" t="s">
        <v>21404</v>
      </c>
      <c r="R3793" s="2" t="s">
        <v>40</v>
      </c>
      <c r="S3793" s="2" t="s">
        <v>21405</v>
      </c>
      <c r="T3793" s="2" t="s">
        <v>11355</v>
      </c>
      <c r="U3793" s="2" t="s">
        <v>17837</v>
      </c>
      <c r="V3793" s="2" t="s">
        <v>21406</v>
      </c>
      <c r="W3793" s="1"/>
      <c r="X3793" s="2" t="s">
        <v>1795</v>
      </c>
      <c r="Y3793" s="2" t="s">
        <v>21087</v>
      </c>
      <c r="AA3793" t="str">
        <f t="shared" si="354"/>
        <v>2025-02</v>
      </c>
      <c r="AB3793" t="str">
        <f t="shared" si="355"/>
        <v>H1_2025</v>
      </c>
      <c r="AC3793">
        <f t="shared" si="356"/>
        <v>912143</v>
      </c>
      <c r="AD3793">
        <f t="shared" si="357"/>
        <v>100</v>
      </c>
      <c r="AE3793">
        <f t="shared" si="358"/>
        <v>93943</v>
      </c>
      <c r="AF3793" t="str">
        <f t="shared" si="359"/>
        <v>Paid</v>
      </c>
    </row>
    <row r="3794" spans="1:32" ht="27.75" thickBot="1" x14ac:dyDescent="0.35">
      <c r="A3794" s="2" t="s">
        <v>21407</v>
      </c>
      <c r="B3794" s="2" t="s">
        <v>27</v>
      </c>
      <c r="C3794" s="2" t="s">
        <v>28</v>
      </c>
      <c r="D3794" s="2" t="s">
        <v>97</v>
      </c>
      <c r="E3794" s="2" t="s">
        <v>21084</v>
      </c>
      <c r="F3794" s="2" t="s">
        <v>31</v>
      </c>
      <c r="G3794" s="2" t="s">
        <v>32</v>
      </c>
      <c r="H3794" s="1"/>
      <c r="I3794" s="2" t="s">
        <v>33</v>
      </c>
      <c r="J3794" s="2" t="s">
        <v>34</v>
      </c>
      <c r="K3794" s="2" t="s">
        <v>21408</v>
      </c>
      <c r="L3794" s="2" t="s">
        <v>21409</v>
      </c>
      <c r="M3794" s="2" t="s">
        <v>1887</v>
      </c>
      <c r="N3794" s="2" t="s">
        <v>38</v>
      </c>
      <c r="O3794" s="2" t="s">
        <v>877</v>
      </c>
      <c r="P3794" s="2" t="s">
        <v>21038</v>
      </c>
      <c r="Q3794" s="2" t="s">
        <v>21410</v>
      </c>
      <c r="R3794" s="2" t="s">
        <v>40</v>
      </c>
      <c r="S3794" s="2" t="s">
        <v>21411</v>
      </c>
      <c r="T3794" s="2" t="s">
        <v>40</v>
      </c>
      <c r="U3794" s="2" t="s">
        <v>40</v>
      </c>
      <c r="V3794" s="2" t="s">
        <v>21411</v>
      </c>
      <c r="W3794" s="1"/>
      <c r="X3794" s="2" t="s">
        <v>2155</v>
      </c>
      <c r="Y3794" s="2" t="s">
        <v>21087</v>
      </c>
      <c r="AA3794" t="str">
        <f t="shared" si="354"/>
        <v>2025-02</v>
      </c>
      <c r="AB3794" t="str">
        <f t="shared" si="355"/>
        <v>H1_2025</v>
      </c>
      <c r="AC3794">
        <f t="shared" si="356"/>
        <v>1114209</v>
      </c>
      <c r="AD3794">
        <f t="shared" si="357"/>
        <v>100</v>
      </c>
      <c r="AE3794">
        <f t="shared" si="358"/>
        <v>1114209</v>
      </c>
      <c r="AF3794" t="str">
        <f t="shared" si="359"/>
        <v>Paid</v>
      </c>
    </row>
    <row r="3795" spans="1:32" ht="27.75" thickBot="1" x14ac:dyDescent="0.35">
      <c r="A3795" s="2" t="s">
        <v>21412</v>
      </c>
      <c r="B3795" s="2" t="s">
        <v>27</v>
      </c>
      <c r="C3795" s="2" t="s">
        <v>28</v>
      </c>
      <c r="D3795" s="2" t="s">
        <v>97</v>
      </c>
      <c r="E3795" s="2" t="s">
        <v>21084</v>
      </c>
      <c r="F3795" s="2" t="s">
        <v>31</v>
      </c>
      <c r="G3795" s="2" t="s">
        <v>32</v>
      </c>
      <c r="H3795" s="1"/>
      <c r="I3795" s="2" t="s">
        <v>33</v>
      </c>
      <c r="J3795" s="2" t="s">
        <v>34</v>
      </c>
      <c r="K3795" s="2" t="s">
        <v>21413</v>
      </c>
      <c r="L3795" s="2" t="s">
        <v>21414</v>
      </c>
      <c r="M3795" s="2" t="s">
        <v>1887</v>
      </c>
      <c r="N3795" s="2" t="s">
        <v>38</v>
      </c>
      <c r="O3795" s="2" t="s">
        <v>149</v>
      </c>
      <c r="P3795" s="2" t="s">
        <v>11018</v>
      </c>
      <c r="Q3795" s="2" t="s">
        <v>21415</v>
      </c>
      <c r="R3795" s="2" t="s">
        <v>40</v>
      </c>
      <c r="S3795" s="2" t="s">
        <v>21416</v>
      </c>
      <c r="T3795" s="2" t="s">
        <v>21370</v>
      </c>
      <c r="U3795" s="2" t="s">
        <v>21417</v>
      </c>
      <c r="V3795" s="2" t="s">
        <v>21418</v>
      </c>
      <c r="W3795" s="1"/>
      <c r="X3795" s="2" t="s">
        <v>21373</v>
      </c>
      <c r="Y3795" s="2" t="s">
        <v>21087</v>
      </c>
      <c r="AA3795" t="str">
        <f t="shared" si="354"/>
        <v>2025-02</v>
      </c>
      <c r="AB3795" t="str">
        <f t="shared" si="355"/>
        <v>H1_2025</v>
      </c>
      <c r="AC3795">
        <f t="shared" si="356"/>
        <v>533625</v>
      </c>
      <c r="AD3795">
        <f t="shared" si="357"/>
        <v>300</v>
      </c>
      <c r="AE3795">
        <f t="shared" si="358"/>
        <v>56325</v>
      </c>
      <c r="AF3795" t="str">
        <f t="shared" si="359"/>
        <v>Paid</v>
      </c>
    </row>
    <row r="3796" spans="1:32" ht="17.25" thickBot="1" x14ac:dyDescent="0.35">
      <c r="A3796" s="2" t="s">
        <v>21419</v>
      </c>
      <c r="B3796" s="2" t="s">
        <v>27</v>
      </c>
      <c r="C3796" s="2" t="s">
        <v>28</v>
      </c>
      <c r="D3796" s="2" t="s">
        <v>97</v>
      </c>
      <c r="E3796" s="2" t="s">
        <v>21084</v>
      </c>
      <c r="F3796" s="2" t="s">
        <v>31</v>
      </c>
      <c r="G3796" s="2" t="s">
        <v>32</v>
      </c>
      <c r="H3796" s="1"/>
      <c r="I3796" s="2" t="s">
        <v>33</v>
      </c>
      <c r="J3796" s="2" t="s">
        <v>34</v>
      </c>
      <c r="K3796" s="2" t="s">
        <v>13598</v>
      </c>
      <c r="L3796" s="2" t="s">
        <v>13599</v>
      </c>
      <c r="M3796" s="2" t="s">
        <v>1887</v>
      </c>
      <c r="N3796" s="2" t="s">
        <v>38</v>
      </c>
      <c r="O3796" s="2" t="s">
        <v>2847</v>
      </c>
      <c r="P3796" s="2" t="s">
        <v>21396</v>
      </c>
      <c r="Q3796" s="2" t="s">
        <v>21420</v>
      </c>
      <c r="R3796" s="2" t="s">
        <v>40</v>
      </c>
      <c r="S3796" s="2" t="s">
        <v>21421</v>
      </c>
      <c r="T3796" s="2" t="s">
        <v>13601</v>
      </c>
      <c r="U3796" s="2" t="s">
        <v>21422</v>
      </c>
      <c r="V3796" s="2" t="s">
        <v>21423</v>
      </c>
      <c r="W3796" s="1"/>
      <c r="X3796" s="2" t="s">
        <v>21334</v>
      </c>
      <c r="Y3796" s="2" t="s">
        <v>21087</v>
      </c>
      <c r="AA3796" t="str">
        <f t="shared" si="354"/>
        <v>2025-02</v>
      </c>
      <c r="AB3796" t="str">
        <f t="shared" si="355"/>
        <v>H1_2025</v>
      </c>
      <c r="AC3796">
        <f t="shared" si="356"/>
        <v>12505324</v>
      </c>
      <c r="AD3796">
        <f t="shared" si="357"/>
        <v>1300</v>
      </c>
      <c r="AE3796">
        <f t="shared" si="358"/>
        <v>1277224</v>
      </c>
      <c r="AF3796" t="str">
        <f t="shared" si="359"/>
        <v>Paid</v>
      </c>
    </row>
    <row r="3797" spans="1:32" ht="17.25" thickBot="1" x14ac:dyDescent="0.35">
      <c r="A3797" s="2" t="s">
        <v>21424</v>
      </c>
      <c r="B3797" s="2" t="s">
        <v>27</v>
      </c>
      <c r="C3797" s="2" t="s">
        <v>28</v>
      </c>
      <c r="D3797" s="2" t="s">
        <v>97</v>
      </c>
      <c r="E3797" s="2" t="s">
        <v>21084</v>
      </c>
      <c r="F3797" s="2" t="s">
        <v>31</v>
      </c>
      <c r="G3797" s="2" t="s">
        <v>32</v>
      </c>
      <c r="H3797" s="1"/>
      <c r="I3797" s="2" t="s">
        <v>33</v>
      </c>
      <c r="J3797" s="2" t="s">
        <v>34</v>
      </c>
      <c r="K3797" s="2" t="s">
        <v>21425</v>
      </c>
      <c r="L3797" s="2" t="s">
        <v>21426</v>
      </c>
      <c r="M3797" s="2" t="s">
        <v>1887</v>
      </c>
      <c r="N3797" s="2" t="s">
        <v>38</v>
      </c>
      <c r="O3797" s="2" t="s">
        <v>177</v>
      </c>
      <c r="P3797" s="2" t="s">
        <v>7933</v>
      </c>
      <c r="Q3797" s="2" t="s">
        <v>21427</v>
      </c>
      <c r="R3797" s="2" t="s">
        <v>40</v>
      </c>
      <c r="S3797" s="2" t="s">
        <v>21428</v>
      </c>
      <c r="T3797" s="2" t="s">
        <v>13610</v>
      </c>
      <c r="U3797" s="2" t="s">
        <v>21429</v>
      </c>
      <c r="V3797" s="2" t="s">
        <v>21430</v>
      </c>
      <c r="W3797" s="1"/>
      <c r="X3797" s="2" t="s">
        <v>1795</v>
      </c>
      <c r="Y3797" s="2" t="s">
        <v>21087</v>
      </c>
      <c r="AA3797" t="str">
        <f t="shared" si="354"/>
        <v>2025-02</v>
      </c>
      <c r="AB3797" t="str">
        <f t="shared" si="355"/>
        <v>H1_2025</v>
      </c>
      <c r="AC3797">
        <f t="shared" si="356"/>
        <v>5065880</v>
      </c>
      <c r="AD3797">
        <f t="shared" si="357"/>
        <v>400</v>
      </c>
      <c r="AE3797">
        <f t="shared" si="358"/>
        <v>520280</v>
      </c>
      <c r="AF3797" t="str">
        <f t="shared" si="359"/>
        <v>Paid</v>
      </c>
    </row>
    <row r="3798" spans="1:32" ht="17.25" thickBot="1" x14ac:dyDescent="0.35">
      <c r="A3798" s="2" t="s">
        <v>21431</v>
      </c>
      <c r="B3798" s="2" t="s">
        <v>27</v>
      </c>
      <c r="C3798" s="2" t="s">
        <v>28</v>
      </c>
      <c r="D3798" s="2" t="s">
        <v>97</v>
      </c>
      <c r="E3798" s="2" t="s">
        <v>21084</v>
      </c>
      <c r="F3798" s="2" t="s">
        <v>31</v>
      </c>
      <c r="G3798" s="2" t="s">
        <v>32</v>
      </c>
      <c r="H3798" s="1"/>
      <c r="I3798" s="2" t="s">
        <v>33</v>
      </c>
      <c r="J3798" s="2" t="s">
        <v>34</v>
      </c>
      <c r="K3798" s="2" t="s">
        <v>21432</v>
      </c>
      <c r="L3798" s="2" t="s">
        <v>21433</v>
      </c>
      <c r="M3798" s="2" t="s">
        <v>1887</v>
      </c>
      <c r="N3798" s="2" t="s">
        <v>38</v>
      </c>
      <c r="O3798" s="2" t="s">
        <v>4038</v>
      </c>
      <c r="P3798" s="2" t="s">
        <v>5084</v>
      </c>
      <c r="Q3798" s="2" t="s">
        <v>21434</v>
      </c>
      <c r="R3798" s="2" t="s">
        <v>40</v>
      </c>
      <c r="S3798" s="2" t="s">
        <v>21435</v>
      </c>
      <c r="T3798" s="2" t="s">
        <v>20747</v>
      </c>
      <c r="U3798" s="2" t="s">
        <v>21436</v>
      </c>
      <c r="V3798" s="2" t="s">
        <v>21437</v>
      </c>
      <c r="W3798" s="1"/>
      <c r="X3798" s="2" t="s">
        <v>1795</v>
      </c>
      <c r="Y3798" s="2" t="s">
        <v>21087</v>
      </c>
      <c r="AA3798" t="str">
        <f t="shared" si="354"/>
        <v>2025-02</v>
      </c>
      <c r="AB3798" t="str">
        <f t="shared" si="355"/>
        <v>H1_2025</v>
      </c>
      <c r="AC3798">
        <f t="shared" si="356"/>
        <v>12764310</v>
      </c>
      <c r="AD3798">
        <f t="shared" si="357"/>
        <v>1500</v>
      </c>
      <c r="AE3798">
        <f t="shared" si="358"/>
        <v>1308810</v>
      </c>
      <c r="AF3798" t="str">
        <f t="shared" si="359"/>
        <v>Paid</v>
      </c>
    </row>
    <row r="3799" spans="1:32" ht="17.25" thickBot="1" x14ac:dyDescent="0.35">
      <c r="A3799" s="2" t="s">
        <v>21438</v>
      </c>
      <c r="B3799" s="2" t="s">
        <v>27</v>
      </c>
      <c r="C3799" s="2" t="s">
        <v>28</v>
      </c>
      <c r="D3799" s="2" t="s">
        <v>97</v>
      </c>
      <c r="E3799" s="2" t="s">
        <v>21084</v>
      </c>
      <c r="F3799" s="2" t="s">
        <v>31</v>
      </c>
      <c r="G3799" s="2" t="s">
        <v>32</v>
      </c>
      <c r="H3799" s="1"/>
      <c r="I3799" s="2" t="s">
        <v>33</v>
      </c>
      <c r="J3799" s="2" t="s">
        <v>34</v>
      </c>
      <c r="K3799" s="2" t="s">
        <v>21439</v>
      </c>
      <c r="L3799" s="2" t="s">
        <v>21440</v>
      </c>
      <c r="M3799" s="2" t="s">
        <v>1887</v>
      </c>
      <c r="N3799" s="2" t="s">
        <v>38</v>
      </c>
      <c r="O3799" s="2" t="s">
        <v>773</v>
      </c>
      <c r="P3799" s="2" t="s">
        <v>449</v>
      </c>
      <c r="Q3799" s="2" t="s">
        <v>21441</v>
      </c>
      <c r="R3799" s="2" t="s">
        <v>40</v>
      </c>
      <c r="S3799" s="2" t="s">
        <v>21442</v>
      </c>
      <c r="T3799" s="2" t="s">
        <v>21443</v>
      </c>
      <c r="U3799" s="2" t="s">
        <v>21444</v>
      </c>
      <c r="V3799" s="2" t="s">
        <v>21445</v>
      </c>
      <c r="W3799" s="1"/>
      <c r="X3799" s="2" t="s">
        <v>1795</v>
      </c>
      <c r="Y3799" s="2" t="s">
        <v>21087</v>
      </c>
      <c r="AA3799" t="str">
        <f t="shared" si="354"/>
        <v>2025-02</v>
      </c>
      <c r="AB3799" t="str">
        <f t="shared" si="355"/>
        <v>H1_2025</v>
      </c>
      <c r="AC3799">
        <f t="shared" si="356"/>
        <v>2433330</v>
      </c>
      <c r="AD3799">
        <f t="shared" si="357"/>
        <v>200</v>
      </c>
      <c r="AE3799">
        <f t="shared" si="358"/>
        <v>251330</v>
      </c>
      <c r="AF3799" t="str">
        <f t="shared" si="359"/>
        <v>Paid</v>
      </c>
    </row>
    <row r="3800" spans="1:32" ht="17.25" thickBot="1" x14ac:dyDescent="0.35">
      <c r="A3800" s="2" t="s">
        <v>21446</v>
      </c>
      <c r="B3800" s="2" t="s">
        <v>27</v>
      </c>
      <c r="C3800" s="2" t="s">
        <v>28</v>
      </c>
      <c r="D3800" s="2" t="s">
        <v>97</v>
      </c>
      <c r="E3800" s="2" t="s">
        <v>21084</v>
      </c>
      <c r="F3800" s="2" t="s">
        <v>31</v>
      </c>
      <c r="G3800" s="2" t="s">
        <v>32</v>
      </c>
      <c r="H3800" s="1"/>
      <c r="I3800" s="2" t="s">
        <v>33</v>
      </c>
      <c r="J3800" s="2" t="s">
        <v>34</v>
      </c>
      <c r="K3800" s="2" t="s">
        <v>21439</v>
      </c>
      <c r="L3800" s="2" t="s">
        <v>21440</v>
      </c>
      <c r="M3800" s="2" t="s">
        <v>1887</v>
      </c>
      <c r="N3800" s="2" t="s">
        <v>38</v>
      </c>
      <c r="O3800" s="2" t="s">
        <v>773</v>
      </c>
      <c r="P3800" s="2" t="s">
        <v>449</v>
      </c>
      <c r="Q3800" s="2" t="s">
        <v>21441</v>
      </c>
      <c r="R3800" s="2" t="s">
        <v>40</v>
      </c>
      <c r="S3800" s="2" t="s">
        <v>21442</v>
      </c>
      <c r="T3800" s="2" t="s">
        <v>21443</v>
      </c>
      <c r="U3800" s="2" t="s">
        <v>21444</v>
      </c>
      <c r="V3800" s="2" t="s">
        <v>21445</v>
      </c>
      <c r="W3800" s="1"/>
      <c r="X3800" s="2" t="s">
        <v>1795</v>
      </c>
      <c r="Y3800" s="2" t="s">
        <v>21087</v>
      </c>
      <c r="AA3800" t="str">
        <f t="shared" si="354"/>
        <v>2025-02</v>
      </c>
      <c r="AB3800" t="str">
        <f t="shared" si="355"/>
        <v>H1_2025</v>
      </c>
      <c r="AC3800">
        <f t="shared" si="356"/>
        <v>2433330</v>
      </c>
      <c r="AD3800">
        <f t="shared" si="357"/>
        <v>200</v>
      </c>
      <c r="AE3800">
        <f t="shared" si="358"/>
        <v>251330</v>
      </c>
      <c r="AF3800" t="str">
        <f t="shared" si="359"/>
        <v>Paid</v>
      </c>
    </row>
    <row r="3801" spans="1:32" ht="17.25" thickBot="1" x14ac:dyDescent="0.35">
      <c r="A3801" s="2" t="s">
        <v>21447</v>
      </c>
      <c r="B3801" s="2" t="s">
        <v>27</v>
      </c>
      <c r="C3801" s="2" t="s">
        <v>28</v>
      </c>
      <c r="D3801" s="2" t="s">
        <v>97</v>
      </c>
      <c r="E3801" s="2" t="s">
        <v>21084</v>
      </c>
      <c r="F3801" s="2" t="s">
        <v>31</v>
      </c>
      <c r="G3801" s="2" t="s">
        <v>32</v>
      </c>
      <c r="H3801" s="1"/>
      <c r="I3801" s="2" t="s">
        <v>33</v>
      </c>
      <c r="J3801" s="2" t="s">
        <v>34</v>
      </c>
      <c r="K3801" s="2" t="s">
        <v>21448</v>
      </c>
      <c r="L3801" s="2" t="s">
        <v>21449</v>
      </c>
      <c r="M3801" s="2" t="s">
        <v>1887</v>
      </c>
      <c r="N3801" s="2" t="s">
        <v>38</v>
      </c>
      <c r="O3801" s="2" t="s">
        <v>1333</v>
      </c>
      <c r="P3801" s="2" t="s">
        <v>10335</v>
      </c>
      <c r="Q3801" s="2" t="s">
        <v>21450</v>
      </c>
      <c r="R3801" s="2" t="s">
        <v>40</v>
      </c>
      <c r="S3801" s="2" t="s">
        <v>21451</v>
      </c>
      <c r="T3801" s="2" t="s">
        <v>6199</v>
      </c>
      <c r="U3801" s="2" t="s">
        <v>21452</v>
      </c>
      <c r="V3801" s="2" t="s">
        <v>21453</v>
      </c>
      <c r="W3801" s="1"/>
      <c r="X3801" s="2" t="s">
        <v>21334</v>
      </c>
      <c r="Y3801" s="2" t="s">
        <v>21087</v>
      </c>
      <c r="AA3801" t="str">
        <f t="shared" si="354"/>
        <v>2025-02</v>
      </c>
      <c r="AB3801" t="str">
        <f t="shared" si="355"/>
        <v>H1_2025</v>
      </c>
      <c r="AC3801">
        <f t="shared" si="356"/>
        <v>1184647.5</v>
      </c>
      <c r="AD3801">
        <f t="shared" si="357"/>
        <v>150</v>
      </c>
      <c r="AE3801">
        <f t="shared" si="358"/>
        <v>120997.5</v>
      </c>
      <c r="AF3801" t="str">
        <f t="shared" si="359"/>
        <v>Paid</v>
      </c>
    </row>
    <row r="3802" spans="1:32" ht="17.25" thickBot="1" x14ac:dyDescent="0.35">
      <c r="A3802" s="2" t="s">
        <v>21454</v>
      </c>
      <c r="B3802" s="2" t="s">
        <v>27</v>
      </c>
      <c r="C3802" s="2" t="s">
        <v>28</v>
      </c>
      <c r="D3802" s="2" t="s">
        <v>97</v>
      </c>
      <c r="E3802" s="2" t="s">
        <v>21084</v>
      </c>
      <c r="F3802" s="2" t="s">
        <v>31</v>
      </c>
      <c r="G3802" s="2" t="s">
        <v>32</v>
      </c>
      <c r="H3802" s="1"/>
      <c r="I3802" s="2" t="s">
        <v>33</v>
      </c>
      <c r="J3802" s="2" t="s">
        <v>34</v>
      </c>
      <c r="K3802" s="2" t="s">
        <v>21455</v>
      </c>
      <c r="L3802" s="2" t="s">
        <v>21456</v>
      </c>
      <c r="M3802" s="2" t="s">
        <v>1887</v>
      </c>
      <c r="N3802" s="2" t="s">
        <v>38</v>
      </c>
      <c r="O3802" s="2" t="s">
        <v>610</v>
      </c>
      <c r="P3802" s="2" t="s">
        <v>3718</v>
      </c>
      <c r="Q3802" s="2" t="s">
        <v>21457</v>
      </c>
      <c r="R3802" s="2" t="s">
        <v>40</v>
      </c>
      <c r="S3802" s="2" t="s">
        <v>21458</v>
      </c>
      <c r="T3802" s="2" t="s">
        <v>40</v>
      </c>
      <c r="U3802" s="2" t="s">
        <v>40</v>
      </c>
      <c r="V3802" s="2" t="s">
        <v>21458</v>
      </c>
      <c r="W3802" s="1"/>
      <c r="X3802" s="2" t="s">
        <v>2155</v>
      </c>
      <c r="Y3802" s="2" t="s">
        <v>21087</v>
      </c>
      <c r="AA3802" t="str">
        <f t="shared" si="354"/>
        <v>2025-02</v>
      </c>
      <c r="AB3802" t="str">
        <f t="shared" si="355"/>
        <v>H1_2025</v>
      </c>
      <c r="AC3802">
        <f t="shared" si="356"/>
        <v>2875171.5</v>
      </c>
      <c r="AD3802">
        <f t="shared" si="357"/>
        <v>450</v>
      </c>
      <c r="AE3802">
        <f t="shared" si="358"/>
        <v>2875171.5</v>
      </c>
      <c r="AF3802" t="str">
        <f t="shared" si="359"/>
        <v>Paid</v>
      </c>
    </row>
    <row r="3803" spans="1:32" ht="17.25" thickBot="1" x14ac:dyDescent="0.35">
      <c r="A3803" s="2" t="s">
        <v>21459</v>
      </c>
      <c r="B3803" s="2" t="s">
        <v>27</v>
      </c>
      <c r="C3803" s="2" t="s">
        <v>28</v>
      </c>
      <c r="D3803" s="2" t="s">
        <v>97</v>
      </c>
      <c r="E3803" s="2" t="s">
        <v>21084</v>
      </c>
      <c r="F3803" s="2" t="s">
        <v>31</v>
      </c>
      <c r="G3803" s="2" t="s">
        <v>32</v>
      </c>
      <c r="H3803" s="1"/>
      <c r="I3803" s="2" t="s">
        <v>33</v>
      </c>
      <c r="J3803" s="2" t="s">
        <v>34</v>
      </c>
      <c r="K3803" s="2" t="s">
        <v>21460</v>
      </c>
      <c r="L3803" s="2" t="s">
        <v>21461</v>
      </c>
      <c r="M3803" s="2" t="s">
        <v>1887</v>
      </c>
      <c r="N3803" s="2" t="s">
        <v>38</v>
      </c>
      <c r="O3803" s="2" t="s">
        <v>206</v>
      </c>
      <c r="P3803" s="2" t="s">
        <v>7120</v>
      </c>
      <c r="Q3803" s="2" t="s">
        <v>21462</v>
      </c>
      <c r="R3803" s="2" t="s">
        <v>40</v>
      </c>
      <c r="S3803" s="2" t="s">
        <v>21463</v>
      </c>
      <c r="T3803" s="2" t="s">
        <v>21464</v>
      </c>
      <c r="U3803" s="2" t="s">
        <v>21465</v>
      </c>
      <c r="V3803" s="2" t="s">
        <v>21466</v>
      </c>
      <c r="W3803" s="1"/>
      <c r="X3803" s="2" t="s">
        <v>1795</v>
      </c>
      <c r="Y3803" s="2" t="s">
        <v>21087</v>
      </c>
      <c r="AA3803" t="str">
        <f t="shared" si="354"/>
        <v>2025-02</v>
      </c>
      <c r="AB3803" t="str">
        <f t="shared" si="355"/>
        <v>H1_2025</v>
      </c>
      <c r="AC3803">
        <f t="shared" si="356"/>
        <v>4688785</v>
      </c>
      <c r="AD3803">
        <f t="shared" si="357"/>
        <v>500</v>
      </c>
      <c r="AE3803">
        <f t="shared" si="358"/>
        <v>483785</v>
      </c>
      <c r="AF3803" t="str">
        <f t="shared" si="359"/>
        <v>Paid</v>
      </c>
    </row>
    <row r="3804" spans="1:32" ht="17.25" thickBot="1" x14ac:dyDescent="0.35">
      <c r="A3804" s="2" t="s">
        <v>21467</v>
      </c>
      <c r="B3804" s="2" t="s">
        <v>27</v>
      </c>
      <c r="C3804" s="2" t="s">
        <v>28</v>
      </c>
      <c r="D3804" s="2" t="s">
        <v>97</v>
      </c>
      <c r="E3804" s="2" t="s">
        <v>21084</v>
      </c>
      <c r="F3804" s="2" t="s">
        <v>31</v>
      </c>
      <c r="G3804" s="2" t="s">
        <v>32</v>
      </c>
      <c r="H3804" s="1"/>
      <c r="I3804" s="2" t="s">
        <v>33</v>
      </c>
      <c r="J3804" s="2" t="s">
        <v>34</v>
      </c>
      <c r="K3804" s="2" t="s">
        <v>4910</v>
      </c>
      <c r="L3804" s="2" t="s">
        <v>4911</v>
      </c>
      <c r="M3804" s="2" t="s">
        <v>1887</v>
      </c>
      <c r="N3804" s="2" t="s">
        <v>38</v>
      </c>
      <c r="O3804" s="2" t="s">
        <v>203</v>
      </c>
      <c r="P3804" s="2" t="s">
        <v>7120</v>
      </c>
      <c r="Q3804" s="2" t="s">
        <v>21468</v>
      </c>
      <c r="R3804" s="2" t="s">
        <v>40</v>
      </c>
      <c r="S3804" s="2" t="s">
        <v>21469</v>
      </c>
      <c r="T3804" s="2" t="s">
        <v>40</v>
      </c>
      <c r="U3804" s="2" t="s">
        <v>40</v>
      </c>
      <c r="V3804" s="2" t="s">
        <v>21469</v>
      </c>
      <c r="W3804" s="1"/>
      <c r="X3804" s="2" t="s">
        <v>2155</v>
      </c>
      <c r="Y3804" s="2" t="s">
        <v>21087</v>
      </c>
      <c r="AA3804" t="str">
        <f t="shared" si="354"/>
        <v>2025-02</v>
      </c>
      <c r="AB3804" t="str">
        <f t="shared" si="355"/>
        <v>H1_2025</v>
      </c>
      <c r="AC3804">
        <f t="shared" si="356"/>
        <v>234439.25</v>
      </c>
      <c r="AD3804">
        <f t="shared" si="357"/>
        <v>25</v>
      </c>
      <c r="AE3804">
        <f t="shared" si="358"/>
        <v>234439.25</v>
      </c>
      <c r="AF3804" t="str">
        <f t="shared" si="359"/>
        <v>Paid</v>
      </c>
    </row>
    <row r="3805" spans="1:32" ht="17.25" thickBot="1" x14ac:dyDescent="0.35">
      <c r="A3805" s="2" t="s">
        <v>21470</v>
      </c>
      <c r="B3805" s="2" t="s">
        <v>27</v>
      </c>
      <c r="C3805" s="2" t="s">
        <v>28</v>
      </c>
      <c r="D3805" s="2" t="s">
        <v>97</v>
      </c>
      <c r="E3805" s="2" t="s">
        <v>21084</v>
      </c>
      <c r="F3805" s="2" t="s">
        <v>31</v>
      </c>
      <c r="G3805" s="2" t="s">
        <v>32</v>
      </c>
      <c r="H3805" s="1"/>
      <c r="I3805" s="2" t="s">
        <v>33</v>
      </c>
      <c r="J3805" s="2" t="s">
        <v>34</v>
      </c>
      <c r="K3805" s="2" t="s">
        <v>21471</v>
      </c>
      <c r="L3805" s="2" t="s">
        <v>21472</v>
      </c>
      <c r="M3805" s="2" t="s">
        <v>1887</v>
      </c>
      <c r="N3805" s="2" t="s">
        <v>38</v>
      </c>
      <c r="O3805" s="2" t="s">
        <v>428</v>
      </c>
      <c r="P3805" s="2" t="s">
        <v>10115</v>
      </c>
      <c r="Q3805" s="2" t="s">
        <v>21473</v>
      </c>
      <c r="R3805" s="2" t="s">
        <v>40</v>
      </c>
      <c r="S3805" s="2" t="s">
        <v>21474</v>
      </c>
      <c r="T3805" s="2" t="s">
        <v>40</v>
      </c>
      <c r="U3805" s="2" t="s">
        <v>40</v>
      </c>
      <c r="V3805" s="2" t="s">
        <v>21474</v>
      </c>
      <c r="W3805" s="1"/>
      <c r="X3805" s="2" t="s">
        <v>2155</v>
      </c>
      <c r="Y3805" s="2" t="s">
        <v>21087</v>
      </c>
      <c r="AA3805" t="str">
        <f t="shared" si="354"/>
        <v>2025-02</v>
      </c>
      <c r="AB3805" t="str">
        <f t="shared" si="355"/>
        <v>H1_2025</v>
      </c>
      <c r="AC3805">
        <f t="shared" si="356"/>
        <v>2468905</v>
      </c>
      <c r="AD3805">
        <f t="shared" si="357"/>
        <v>250</v>
      </c>
      <c r="AE3805">
        <f t="shared" si="358"/>
        <v>2468905</v>
      </c>
      <c r="AF3805" t="str">
        <f t="shared" si="359"/>
        <v>Paid</v>
      </c>
    </row>
    <row r="3806" spans="1:32" ht="17.25" thickBot="1" x14ac:dyDescent="0.35">
      <c r="A3806" s="2" t="s">
        <v>21475</v>
      </c>
      <c r="B3806" s="2" t="s">
        <v>27</v>
      </c>
      <c r="C3806" s="2" t="s">
        <v>28</v>
      </c>
      <c r="D3806" s="2" t="s">
        <v>97</v>
      </c>
      <c r="E3806" s="2" t="s">
        <v>21084</v>
      </c>
      <c r="F3806" s="2" t="s">
        <v>31</v>
      </c>
      <c r="G3806" s="2" t="s">
        <v>32</v>
      </c>
      <c r="H3806" s="1"/>
      <c r="I3806" s="2" t="s">
        <v>33</v>
      </c>
      <c r="J3806" s="2" t="s">
        <v>34</v>
      </c>
      <c r="K3806" s="2" t="s">
        <v>21476</v>
      </c>
      <c r="L3806" s="2" t="s">
        <v>21477</v>
      </c>
      <c r="M3806" s="2" t="s">
        <v>1887</v>
      </c>
      <c r="N3806" s="2" t="s">
        <v>38</v>
      </c>
      <c r="O3806" s="2" t="s">
        <v>214</v>
      </c>
      <c r="P3806" s="2" t="s">
        <v>7120</v>
      </c>
      <c r="Q3806" s="2" t="s">
        <v>21478</v>
      </c>
      <c r="R3806" s="2" t="s">
        <v>40</v>
      </c>
      <c r="S3806" s="2" t="s">
        <v>21479</v>
      </c>
      <c r="T3806" s="2" t="s">
        <v>21464</v>
      </c>
      <c r="U3806" s="2" t="s">
        <v>21480</v>
      </c>
      <c r="V3806" s="2" t="s">
        <v>21481</v>
      </c>
      <c r="W3806" s="1"/>
      <c r="X3806" s="2" t="s">
        <v>1795</v>
      </c>
      <c r="Y3806" s="2" t="s">
        <v>21087</v>
      </c>
      <c r="AA3806" t="str">
        <f t="shared" si="354"/>
        <v>2025-02</v>
      </c>
      <c r="AB3806" t="str">
        <f t="shared" si="355"/>
        <v>H1_2025</v>
      </c>
      <c r="AC3806">
        <f t="shared" si="356"/>
        <v>468878.5</v>
      </c>
      <c r="AD3806">
        <f t="shared" si="357"/>
        <v>50</v>
      </c>
      <c r="AE3806">
        <f t="shared" si="358"/>
        <v>48378.5</v>
      </c>
      <c r="AF3806" t="str">
        <f t="shared" si="359"/>
        <v>Paid</v>
      </c>
    </row>
    <row r="3807" spans="1:32" ht="17.25" thickBot="1" x14ac:dyDescent="0.35">
      <c r="A3807" s="2" t="s">
        <v>21482</v>
      </c>
      <c r="B3807" s="2" t="s">
        <v>27</v>
      </c>
      <c r="C3807" s="2" t="s">
        <v>28</v>
      </c>
      <c r="D3807" s="2" t="s">
        <v>97</v>
      </c>
      <c r="E3807" s="2" t="s">
        <v>21084</v>
      </c>
      <c r="F3807" s="2" t="s">
        <v>31</v>
      </c>
      <c r="G3807" s="2" t="s">
        <v>32</v>
      </c>
      <c r="H3807" s="1"/>
      <c r="I3807" s="2" t="s">
        <v>33</v>
      </c>
      <c r="J3807" s="2" t="s">
        <v>34</v>
      </c>
      <c r="K3807" s="2" t="s">
        <v>21483</v>
      </c>
      <c r="L3807" s="2" t="s">
        <v>21484</v>
      </c>
      <c r="M3807" s="2" t="s">
        <v>1887</v>
      </c>
      <c r="N3807" s="2" t="s">
        <v>38</v>
      </c>
      <c r="O3807" s="2" t="s">
        <v>769</v>
      </c>
      <c r="P3807" s="2" t="s">
        <v>18565</v>
      </c>
      <c r="Q3807" s="2" t="s">
        <v>21485</v>
      </c>
      <c r="R3807" s="2" t="s">
        <v>40</v>
      </c>
      <c r="S3807" s="2" t="s">
        <v>21486</v>
      </c>
      <c r="T3807" s="2" t="s">
        <v>21487</v>
      </c>
      <c r="U3807" s="2" t="s">
        <v>21488</v>
      </c>
      <c r="V3807" s="2" t="s">
        <v>21489</v>
      </c>
      <c r="W3807" s="1"/>
      <c r="X3807" s="2" t="s">
        <v>1795</v>
      </c>
      <c r="Y3807" s="2" t="s">
        <v>21087</v>
      </c>
      <c r="AA3807" t="str">
        <f t="shared" si="354"/>
        <v>2025-02</v>
      </c>
      <c r="AB3807" t="str">
        <f t="shared" si="355"/>
        <v>H1_2025</v>
      </c>
      <c r="AC3807">
        <f t="shared" si="356"/>
        <v>1262670.5900000001</v>
      </c>
      <c r="AD3807">
        <f t="shared" si="357"/>
        <v>89</v>
      </c>
      <c r="AE3807">
        <f t="shared" si="358"/>
        <v>129878.59</v>
      </c>
      <c r="AF3807" t="str">
        <f t="shared" si="359"/>
        <v>Paid</v>
      </c>
    </row>
    <row r="3808" spans="1:32" ht="17.25" thickBot="1" x14ac:dyDescent="0.35">
      <c r="A3808" s="2" t="s">
        <v>21490</v>
      </c>
      <c r="B3808" s="2" t="s">
        <v>27</v>
      </c>
      <c r="C3808" s="2" t="s">
        <v>28</v>
      </c>
      <c r="D3808" s="2" t="s">
        <v>97</v>
      </c>
      <c r="E3808" s="2" t="s">
        <v>21084</v>
      </c>
      <c r="F3808" s="2" t="s">
        <v>31</v>
      </c>
      <c r="G3808" s="2" t="s">
        <v>32</v>
      </c>
      <c r="H3808" s="1"/>
      <c r="I3808" s="2" t="s">
        <v>33</v>
      </c>
      <c r="J3808" s="2" t="s">
        <v>34</v>
      </c>
      <c r="K3808" s="2" t="s">
        <v>21491</v>
      </c>
      <c r="L3808" s="2" t="s">
        <v>21492</v>
      </c>
      <c r="M3808" s="2" t="s">
        <v>1887</v>
      </c>
      <c r="N3808" s="2" t="s">
        <v>38</v>
      </c>
      <c r="O3808" s="2" t="s">
        <v>1333</v>
      </c>
      <c r="P3808" s="2" t="s">
        <v>21493</v>
      </c>
      <c r="Q3808" s="2" t="s">
        <v>21494</v>
      </c>
      <c r="R3808" s="2" t="s">
        <v>40</v>
      </c>
      <c r="S3808" s="2" t="s">
        <v>21495</v>
      </c>
      <c r="T3808" s="2" t="s">
        <v>40</v>
      </c>
      <c r="U3808" s="2" t="s">
        <v>40</v>
      </c>
      <c r="V3808" s="2" t="s">
        <v>21495</v>
      </c>
      <c r="W3808" s="1"/>
      <c r="X3808" s="2" t="s">
        <v>2155</v>
      </c>
      <c r="Y3808" s="2" t="s">
        <v>21087</v>
      </c>
      <c r="AA3808" t="str">
        <f t="shared" si="354"/>
        <v>2025-02</v>
      </c>
      <c r="AB3808" t="str">
        <f t="shared" si="355"/>
        <v>H1_2025</v>
      </c>
      <c r="AC3808">
        <f t="shared" si="356"/>
        <v>1748155.5</v>
      </c>
      <c r="AD3808">
        <f t="shared" si="357"/>
        <v>150</v>
      </c>
      <c r="AE3808">
        <f t="shared" si="358"/>
        <v>1748155.5</v>
      </c>
      <c r="AF3808" t="str">
        <f t="shared" si="359"/>
        <v>Paid</v>
      </c>
    </row>
    <row r="3809" spans="1:32" ht="17.25" thickBot="1" x14ac:dyDescent="0.35">
      <c r="A3809" s="2" t="s">
        <v>21496</v>
      </c>
      <c r="B3809" s="2" t="s">
        <v>27</v>
      </c>
      <c r="C3809" s="2" t="s">
        <v>28</v>
      </c>
      <c r="D3809" s="2" t="s">
        <v>97</v>
      </c>
      <c r="E3809" s="2" t="s">
        <v>21084</v>
      </c>
      <c r="F3809" s="2" t="s">
        <v>31</v>
      </c>
      <c r="G3809" s="2" t="s">
        <v>32</v>
      </c>
      <c r="H3809" s="1"/>
      <c r="I3809" s="2" t="s">
        <v>33</v>
      </c>
      <c r="J3809" s="2" t="s">
        <v>34</v>
      </c>
      <c r="K3809" s="2" t="s">
        <v>21497</v>
      </c>
      <c r="L3809" s="2" t="s">
        <v>21498</v>
      </c>
      <c r="M3809" s="2" t="s">
        <v>1887</v>
      </c>
      <c r="N3809" s="2" t="s">
        <v>38</v>
      </c>
      <c r="O3809" s="2" t="s">
        <v>877</v>
      </c>
      <c r="P3809" s="2" t="s">
        <v>21493</v>
      </c>
      <c r="Q3809" s="2" t="s">
        <v>13134</v>
      </c>
      <c r="R3809" s="2" t="s">
        <v>40</v>
      </c>
      <c r="S3809" s="2" t="s">
        <v>21499</v>
      </c>
      <c r="T3809" s="2" t="s">
        <v>21500</v>
      </c>
      <c r="U3809" s="2" t="s">
        <v>21501</v>
      </c>
      <c r="V3809" s="2" t="s">
        <v>21502</v>
      </c>
      <c r="W3809" s="1"/>
      <c r="X3809" s="2" t="s">
        <v>1795</v>
      </c>
      <c r="Y3809" s="2" t="s">
        <v>21087</v>
      </c>
      <c r="AA3809" t="str">
        <f t="shared" si="354"/>
        <v>2025-02</v>
      </c>
      <c r="AB3809" t="str">
        <f t="shared" si="355"/>
        <v>H1_2025</v>
      </c>
      <c r="AC3809">
        <f t="shared" si="356"/>
        <v>1165437</v>
      </c>
      <c r="AD3809">
        <f t="shared" si="357"/>
        <v>100</v>
      </c>
      <c r="AE3809">
        <f t="shared" si="358"/>
        <v>119937</v>
      </c>
      <c r="AF3809" t="str">
        <f t="shared" si="359"/>
        <v>Paid</v>
      </c>
    </row>
    <row r="3810" spans="1:32" ht="17.25" thickBot="1" x14ac:dyDescent="0.35">
      <c r="A3810" s="2" t="s">
        <v>21503</v>
      </c>
      <c r="B3810" s="2" t="s">
        <v>27</v>
      </c>
      <c r="C3810" s="2" t="s">
        <v>28</v>
      </c>
      <c r="D3810" s="2" t="s">
        <v>97</v>
      </c>
      <c r="E3810" s="2" t="s">
        <v>21084</v>
      </c>
      <c r="F3810" s="2" t="s">
        <v>31</v>
      </c>
      <c r="G3810" s="2" t="s">
        <v>32</v>
      </c>
      <c r="H3810" s="1"/>
      <c r="I3810" s="2" t="s">
        <v>33</v>
      </c>
      <c r="J3810" s="2" t="s">
        <v>34</v>
      </c>
      <c r="K3810" s="2" t="s">
        <v>21504</v>
      </c>
      <c r="L3810" s="2" t="s">
        <v>21505</v>
      </c>
      <c r="M3810" s="2" t="s">
        <v>1887</v>
      </c>
      <c r="N3810" s="2" t="s">
        <v>38</v>
      </c>
      <c r="O3810" s="2" t="s">
        <v>214</v>
      </c>
      <c r="P3810" s="2" t="s">
        <v>21493</v>
      </c>
      <c r="Q3810" s="2" t="s">
        <v>21506</v>
      </c>
      <c r="R3810" s="2" t="s">
        <v>40</v>
      </c>
      <c r="S3810" s="2" t="s">
        <v>21507</v>
      </c>
      <c r="T3810" s="2" t="s">
        <v>21500</v>
      </c>
      <c r="U3810" s="2" t="s">
        <v>21508</v>
      </c>
      <c r="V3810" s="2" t="s">
        <v>21509</v>
      </c>
      <c r="W3810" s="1"/>
      <c r="X3810" s="2" t="s">
        <v>1795</v>
      </c>
      <c r="Y3810" s="2" t="s">
        <v>21087</v>
      </c>
      <c r="AA3810" t="str">
        <f t="shared" si="354"/>
        <v>2025-02</v>
      </c>
      <c r="AB3810" t="str">
        <f t="shared" si="355"/>
        <v>H1_2025</v>
      </c>
      <c r="AC3810">
        <f t="shared" si="356"/>
        <v>582718.5</v>
      </c>
      <c r="AD3810">
        <f t="shared" si="357"/>
        <v>50</v>
      </c>
      <c r="AE3810">
        <f t="shared" si="358"/>
        <v>59968.5</v>
      </c>
      <c r="AF3810" t="str">
        <f t="shared" si="359"/>
        <v>Paid</v>
      </c>
    </row>
    <row r="3811" spans="1:32" ht="27.75" thickBot="1" x14ac:dyDescent="0.35">
      <c r="A3811" s="2" t="s">
        <v>21510</v>
      </c>
      <c r="B3811" s="2" t="s">
        <v>27</v>
      </c>
      <c r="C3811" s="2" t="s">
        <v>28</v>
      </c>
      <c r="D3811" s="2" t="s">
        <v>97</v>
      </c>
      <c r="E3811" s="2" t="s">
        <v>21084</v>
      </c>
      <c r="F3811" s="2" t="s">
        <v>31</v>
      </c>
      <c r="G3811" s="2" t="s">
        <v>32</v>
      </c>
      <c r="H3811" s="1"/>
      <c r="I3811" s="2" t="s">
        <v>33</v>
      </c>
      <c r="J3811" s="2" t="s">
        <v>34</v>
      </c>
      <c r="K3811" s="2" t="s">
        <v>21511</v>
      </c>
      <c r="L3811" s="2" t="s">
        <v>21512</v>
      </c>
      <c r="M3811" s="2" t="s">
        <v>1887</v>
      </c>
      <c r="N3811" s="2" t="s">
        <v>38</v>
      </c>
      <c r="O3811" s="2" t="s">
        <v>652</v>
      </c>
      <c r="P3811" s="2" t="s">
        <v>449</v>
      </c>
      <c r="Q3811" s="2" t="s">
        <v>21513</v>
      </c>
      <c r="R3811" s="2" t="s">
        <v>40</v>
      </c>
      <c r="S3811" s="2" t="s">
        <v>21514</v>
      </c>
      <c r="T3811" s="2" t="s">
        <v>21443</v>
      </c>
      <c r="U3811" s="2" t="s">
        <v>21515</v>
      </c>
      <c r="V3811" s="2" t="s">
        <v>21516</v>
      </c>
      <c r="W3811" s="1"/>
      <c r="X3811" s="2" t="s">
        <v>1795</v>
      </c>
      <c r="Y3811" s="2" t="s">
        <v>21087</v>
      </c>
      <c r="AA3811" t="str">
        <f t="shared" si="354"/>
        <v>2025-02</v>
      </c>
      <c r="AB3811" t="str">
        <f t="shared" si="355"/>
        <v>H1_2025</v>
      </c>
      <c r="AC3811">
        <f t="shared" si="356"/>
        <v>924665.4</v>
      </c>
      <c r="AD3811">
        <f t="shared" si="357"/>
        <v>76</v>
      </c>
      <c r="AE3811">
        <f t="shared" si="358"/>
        <v>95505.4</v>
      </c>
      <c r="AF3811" t="str">
        <f t="shared" si="359"/>
        <v>Paid</v>
      </c>
    </row>
    <row r="3812" spans="1:32" ht="17.25" thickBot="1" x14ac:dyDescent="0.35">
      <c r="A3812" s="2" t="s">
        <v>21517</v>
      </c>
      <c r="B3812" s="2" t="s">
        <v>27</v>
      </c>
      <c r="C3812" s="2" t="s">
        <v>28</v>
      </c>
      <c r="D3812" s="2" t="s">
        <v>97</v>
      </c>
      <c r="E3812" s="2" t="s">
        <v>21084</v>
      </c>
      <c r="F3812" s="2" t="s">
        <v>31</v>
      </c>
      <c r="G3812" s="2" t="s">
        <v>32</v>
      </c>
      <c r="H3812" s="1"/>
      <c r="I3812" s="2" t="s">
        <v>33</v>
      </c>
      <c r="J3812" s="2" t="s">
        <v>34</v>
      </c>
      <c r="K3812" s="2" t="s">
        <v>21518</v>
      </c>
      <c r="L3812" s="2" t="s">
        <v>21519</v>
      </c>
      <c r="M3812" s="2" t="s">
        <v>1887</v>
      </c>
      <c r="N3812" s="2" t="s">
        <v>38</v>
      </c>
      <c r="O3812" s="2" t="s">
        <v>214</v>
      </c>
      <c r="P3812" s="2" t="s">
        <v>21396</v>
      </c>
      <c r="Q3812" s="2" t="s">
        <v>21520</v>
      </c>
      <c r="R3812" s="2" t="s">
        <v>40</v>
      </c>
      <c r="S3812" s="2" t="s">
        <v>21521</v>
      </c>
      <c r="T3812" s="2" t="s">
        <v>13601</v>
      </c>
      <c r="U3812" s="2" t="s">
        <v>21522</v>
      </c>
      <c r="V3812" s="2" t="s">
        <v>21523</v>
      </c>
      <c r="W3812" s="1"/>
      <c r="X3812" s="2" t="s">
        <v>21334</v>
      </c>
      <c r="Y3812" s="2" t="s">
        <v>21087</v>
      </c>
      <c r="AA3812" t="str">
        <f t="shared" si="354"/>
        <v>2025-02</v>
      </c>
      <c r="AB3812" t="str">
        <f t="shared" si="355"/>
        <v>H1_2025</v>
      </c>
      <c r="AC3812">
        <f t="shared" si="356"/>
        <v>480974</v>
      </c>
      <c r="AD3812">
        <f t="shared" si="357"/>
        <v>50</v>
      </c>
      <c r="AE3812">
        <f t="shared" si="358"/>
        <v>49124</v>
      </c>
      <c r="AF3812" t="str">
        <f t="shared" si="359"/>
        <v>Paid</v>
      </c>
    </row>
    <row r="3813" spans="1:32" ht="17.25" thickBot="1" x14ac:dyDescent="0.35">
      <c r="A3813" s="2" t="s">
        <v>21524</v>
      </c>
      <c r="B3813" s="2" t="s">
        <v>27</v>
      </c>
      <c r="C3813" s="2" t="s">
        <v>28</v>
      </c>
      <c r="D3813" s="2" t="s">
        <v>97</v>
      </c>
      <c r="E3813" s="2" t="s">
        <v>21084</v>
      </c>
      <c r="F3813" s="2" t="s">
        <v>31</v>
      </c>
      <c r="G3813" s="2" t="s">
        <v>32</v>
      </c>
      <c r="H3813" s="1"/>
      <c r="I3813" s="2" t="s">
        <v>33</v>
      </c>
      <c r="J3813" s="2" t="s">
        <v>34</v>
      </c>
      <c r="K3813" s="2" t="s">
        <v>21525</v>
      </c>
      <c r="L3813" s="2" t="s">
        <v>21526</v>
      </c>
      <c r="M3813" s="2" t="s">
        <v>1887</v>
      </c>
      <c r="N3813" s="2" t="s">
        <v>38</v>
      </c>
      <c r="O3813" s="2" t="s">
        <v>63</v>
      </c>
      <c r="P3813" s="2" t="s">
        <v>5289</v>
      </c>
      <c r="Q3813" s="2" t="s">
        <v>21527</v>
      </c>
      <c r="R3813" s="2" t="s">
        <v>40</v>
      </c>
      <c r="S3813" s="2" t="s">
        <v>21528</v>
      </c>
      <c r="T3813" s="2" t="s">
        <v>13567</v>
      </c>
      <c r="U3813" s="2" t="s">
        <v>21529</v>
      </c>
      <c r="V3813" s="2" t="s">
        <v>21530</v>
      </c>
      <c r="W3813" s="1"/>
      <c r="X3813" s="2" t="s">
        <v>1795</v>
      </c>
      <c r="Y3813" s="2" t="s">
        <v>21087</v>
      </c>
      <c r="AA3813" t="str">
        <f t="shared" si="354"/>
        <v>2025-02</v>
      </c>
      <c r="AB3813" t="str">
        <f t="shared" si="355"/>
        <v>H1_2025</v>
      </c>
      <c r="AC3813">
        <f t="shared" si="356"/>
        <v>70922.320000000007</v>
      </c>
      <c r="AD3813">
        <f t="shared" si="357"/>
        <v>7</v>
      </c>
      <c r="AE3813">
        <f t="shared" si="358"/>
        <v>7285.32</v>
      </c>
      <c r="AF3813" t="str">
        <f t="shared" si="359"/>
        <v>Paid</v>
      </c>
    </row>
    <row r="3814" spans="1:32" ht="17.25" thickBot="1" x14ac:dyDescent="0.35">
      <c r="A3814" s="2" t="s">
        <v>21531</v>
      </c>
      <c r="B3814" s="2" t="s">
        <v>27</v>
      </c>
      <c r="C3814" s="2" t="s">
        <v>28</v>
      </c>
      <c r="D3814" s="2" t="s">
        <v>97</v>
      </c>
      <c r="E3814" s="2" t="s">
        <v>21084</v>
      </c>
      <c r="F3814" s="2" t="s">
        <v>31</v>
      </c>
      <c r="G3814" s="2" t="s">
        <v>32</v>
      </c>
      <c r="H3814" s="1"/>
      <c r="I3814" s="2" t="s">
        <v>33</v>
      </c>
      <c r="J3814" s="2" t="s">
        <v>34</v>
      </c>
      <c r="K3814" s="2" t="s">
        <v>21525</v>
      </c>
      <c r="L3814" s="2" t="s">
        <v>21526</v>
      </c>
      <c r="M3814" s="2" t="s">
        <v>1887</v>
      </c>
      <c r="N3814" s="2" t="s">
        <v>38</v>
      </c>
      <c r="O3814" s="2" t="s">
        <v>359</v>
      </c>
      <c r="P3814" s="2" t="s">
        <v>5289</v>
      </c>
      <c r="Q3814" s="2" t="s">
        <v>21532</v>
      </c>
      <c r="R3814" s="2" t="s">
        <v>40</v>
      </c>
      <c r="S3814" s="2" t="s">
        <v>21533</v>
      </c>
      <c r="T3814" s="2" t="s">
        <v>13567</v>
      </c>
      <c r="U3814" s="2" t="s">
        <v>21534</v>
      </c>
      <c r="V3814" s="2" t="s">
        <v>21535</v>
      </c>
      <c r="W3814" s="1"/>
      <c r="X3814" s="2" t="s">
        <v>1795</v>
      </c>
      <c r="Y3814" s="2" t="s">
        <v>21087</v>
      </c>
      <c r="AA3814" t="str">
        <f t="shared" si="354"/>
        <v>2025-02</v>
      </c>
      <c r="AB3814" t="str">
        <f t="shared" si="355"/>
        <v>H1_2025</v>
      </c>
      <c r="AC3814">
        <f t="shared" si="356"/>
        <v>435665.68</v>
      </c>
      <c r="AD3814">
        <f t="shared" si="357"/>
        <v>43</v>
      </c>
      <c r="AE3814">
        <f t="shared" si="358"/>
        <v>44752.68</v>
      </c>
      <c r="AF3814" t="str">
        <f t="shared" si="359"/>
        <v>Paid</v>
      </c>
    </row>
    <row r="3815" spans="1:32" ht="17.25" thickBot="1" x14ac:dyDescent="0.35">
      <c r="A3815" s="2" t="s">
        <v>21536</v>
      </c>
      <c r="B3815" s="2" t="s">
        <v>27</v>
      </c>
      <c r="C3815" s="2" t="s">
        <v>28</v>
      </c>
      <c r="D3815" s="2" t="s">
        <v>97</v>
      </c>
      <c r="E3815" s="2" t="s">
        <v>21084</v>
      </c>
      <c r="F3815" s="2" t="s">
        <v>31</v>
      </c>
      <c r="G3815" s="2" t="s">
        <v>32</v>
      </c>
      <c r="H3815" s="1"/>
      <c r="I3815" s="2" t="s">
        <v>33</v>
      </c>
      <c r="J3815" s="2" t="s">
        <v>34</v>
      </c>
      <c r="K3815" s="2" t="s">
        <v>21537</v>
      </c>
      <c r="L3815" s="2" t="s">
        <v>21538</v>
      </c>
      <c r="M3815" s="2" t="s">
        <v>1887</v>
      </c>
      <c r="N3815" s="2" t="s">
        <v>38</v>
      </c>
      <c r="O3815" s="2" t="s">
        <v>877</v>
      </c>
      <c r="P3815" s="2" t="s">
        <v>1344</v>
      </c>
      <c r="Q3815" s="2" t="s">
        <v>21539</v>
      </c>
      <c r="R3815" s="2" t="s">
        <v>40</v>
      </c>
      <c r="S3815" s="2" t="s">
        <v>21540</v>
      </c>
      <c r="T3815" s="2" t="s">
        <v>8164</v>
      </c>
      <c r="U3815" s="2" t="s">
        <v>21541</v>
      </c>
      <c r="V3815" s="2" t="s">
        <v>21542</v>
      </c>
      <c r="W3815" s="1"/>
      <c r="X3815" s="2" t="s">
        <v>1795</v>
      </c>
      <c r="Y3815" s="2" t="s">
        <v>21087</v>
      </c>
      <c r="AA3815" t="str">
        <f t="shared" si="354"/>
        <v>2025-02</v>
      </c>
      <c r="AB3815" t="str">
        <f t="shared" si="355"/>
        <v>H1_2025</v>
      </c>
      <c r="AC3815">
        <f t="shared" si="356"/>
        <v>811110</v>
      </c>
      <c r="AD3815">
        <f t="shared" si="357"/>
        <v>100</v>
      </c>
      <c r="AE3815">
        <f t="shared" si="358"/>
        <v>83810</v>
      </c>
      <c r="AF3815" t="str">
        <f t="shared" si="359"/>
        <v>Paid</v>
      </c>
    </row>
    <row r="3816" spans="1:32" ht="17.25" thickBot="1" x14ac:dyDescent="0.35">
      <c r="A3816" s="2" t="s">
        <v>21543</v>
      </c>
      <c r="B3816" s="2" t="s">
        <v>27</v>
      </c>
      <c r="C3816" s="2" t="s">
        <v>28</v>
      </c>
      <c r="D3816" s="2" t="s">
        <v>97</v>
      </c>
      <c r="E3816" s="2" t="s">
        <v>21084</v>
      </c>
      <c r="F3816" s="2" t="s">
        <v>31</v>
      </c>
      <c r="G3816" s="2" t="s">
        <v>32</v>
      </c>
      <c r="H3816" s="1"/>
      <c r="I3816" s="2" t="s">
        <v>33</v>
      </c>
      <c r="J3816" s="2" t="s">
        <v>34</v>
      </c>
      <c r="K3816" s="2" t="s">
        <v>13606</v>
      </c>
      <c r="L3816" s="2" t="s">
        <v>13607</v>
      </c>
      <c r="M3816" s="2" t="s">
        <v>1887</v>
      </c>
      <c r="N3816" s="2" t="s">
        <v>38</v>
      </c>
      <c r="O3816" s="2" t="s">
        <v>773</v>
      </c>
      <c r="P3816" s="2" t="s">
        <v>7933</v>
      </c>
      <c r="Q3816" s="2" t="s">
        <v>21544</v>
      </c>
      <c r="R3816" s="2" t="s">
        <v>40</v>
      </c>
      <c r="S3816" s="2" t="s">
        <v>21545</v>
      </c>
      <c r="T3816" s="2" t="s">
        <v>13610</v>
      </c>
      <c r="U3816" s="2" t="s">
        <v>21546</v>
      </c>
      <c r="V3816" s="2" t="s">
        <v>21547</v>
      </c>
      <c r="W3816" s="1"/>
      <c r="X3816" s="2" t="s">
        <v>1795</v>
      </c>
      <c r="Y3816" s="2" t="s">
        <v>21087</v>
      </c>
      <c r="AA3816" t="str">
        <f t="shared" si="354"/>
        <v>2025-02</v>
      </c>
      <c r="AB3816" t="str">
        <f t="shared" si="355"/>
        <v>H1_2025</v>
      </c>
      <c r="AC3816">
        <f t="shared" si="356"/>
        <v>2532940</v>
      </c>
      <c r="AD3816">
        <f t="shared" si="357"/>
        <v>200</v>
      </c>
      <c r="AE3816">
        <f t="shared" si="358"/>
        <v>260140</v>
      </c>
      <c r="AF3816" t="str">
        <f t="shared" si="359"/>
        <v>Paid</v>
      </c>
    </row>
    <row r="3817" spans="1:32" ht="17.25" thickBot="1" x14ac:dyDescent="0.35">
      <c r="A3817" s="2" t="s">
        <v>21548</v>
      </c>
      <c r="B3817" s="2" t="s">
        <v>27</v>
      </c>
      <c r="C3817" s="2" t="s">
        <v>28</v>
      </c>
      <c r="D3817" s="2" t="s">
        <v>97</v>
      </c>
      <c r="E3817" s="2" t="s">
        <v>21084</v>
      </c>
      <c r="F3817" s="2" t="s">
        <v>31</v>
      </c>
      <c r="G3817" s="2" t="s">
        <v>32</v>
      </c>
      <c r="H3817" s="1"/>
      <c r="I3817" s="2" t="s">
        <v>33</v>
      </c>
      <c r="J3817" s="2" t="s">
        <v>34</v>
      </c>
      <c r="K3817" s="2" t="s">
        <v>21549</v>
      </c>
      <c r="L3817" s="2" t="s">
        <v>21550</v>
      </c>
      <c r="M3817" s="2" t="s">
        <v>1887</v>
      </c>
      <c r="N3817" s="2" t="s">
        <v>38</v>
      </c>
      <c r="O3817" s="2" t="s">
        <v>673</v>
      </c>
      <c r="P3817" s="2" t="s">
        <v>7933</v>
      </c>
      <c r="Q3817" s="2" t="s">
        <v>21551</v>
      </c>
      <c r="R3817" s="2" t="s">
        <v>40</v>
      </c>
      <c r="S3817" s="2" t="s">
        <v>21552</v>
      </c>
      <c r="T3817" s="2" t="s">
        <v>13610</v>
      </c>
      <c r="U3817" s="2" t="s">
        <v>21553</v>
      </c>
      <c r="V3817" s="2" t="s">
        <v>21554</v>
      </c>
      <c r="W3817" s="1"/>
      <c r="X3817" s="2" t="s">
        <v>1795</v>
      </c>
      <c r="Y3817" s="2" t="s">
        <v>21087</v>
      </c>
      <c r="AA3817" t="str">
        <f t="shared" si="354"/>
        <v>2025-02</v>
      </c>
      <c r="AB3817" t="str">
        <f t="shared" si="355"/>
        <v>H1_2025</v>
      </c>
      <c r="AC3817">
        <f t="shared" si="356"/>
        <v>987846.6</v>
      </c>
      <c r="AD3817">
        <f t="shared" si="357"/>
        <v>78</v>
      </c>
      <c r="AE3817">
        <f t="shared" si="358"/>
        <v>101454.6</v>
      </c>
      <c r="AF3817" t="str">
        <f t="shared" si="359"/>
        <v>Paid</v>
      </c>
    </row>
    <row r="3818" spans="1:32" ht="17.25" thickBot="1" x14ac:dyDescent="0.35">
      <c r="A3818" s="2" t="s">
        <v>21555</v>
      </c>
      <c r="B3818" s="2" t="s">
        <v>27</v>
      </c>
      <c r="C3818" s="2" t="s">
        <v>28</v>
      </c>
      <c r="D3818" s="2" t="s">
        <v>97</v>
      </c>
      <c r="E3818" s="2" t="s">
        <v>21084</v>
      </c>
      <c r="F3818" s="2" t="s">
        <v>31</v>
      </c>
      <c r="G3818" s="2" t="s">
        <v>32</v>
      </c>
      <c r="H3818" s="1"/>
      <c r="I3818" s="2" t="s">
        <v>33</v>
      </c>
      <c r="J3818" s="2" t="s">
        <v>34</v>
      </c>
      <c r="K3818" s="2" t="s">
        <v>21549</v>
      </c>
      <c r="L3818" s="2" t="s">
        <v>21550</v>
      </c>
      <c r="M3818" s="2" t="s">
        <v>1887</v>
      </c>
      <c r="N3818" s="2" t="s">
        <v>38</v>
      </c>
      <c r="O3818" s="2" t="s">
        <v>60</v>
      </c>
      <c r="P3818" s="2" t="s">
        <v>7933</v>
      </c>
      <c r="Q3818" s="2" t="s">
        <v>21556</v>
      </c>
      <c r="R3818" s="2" t="s">
        <v>40</v>
      </c>
      <c r="S3818" s="2" t="s">
        <v>21557</v>
      </c>
      <c r="T3818" s="2" t="s">
        <v>13610</v>
      </c>
      <c r="U3818" s="2" t="s">
        <v>21558</v>
      </c>
      <c r="V3818" s="2" t="s">
        <v>21559</v>
      </c>
      <c r="W3818" s="1"/>
      <c r="X3818" s="2" t="s">
        <v>1795</v>
      </c>
      <c r="Y3818" s="2" t="s">
        <v>21087</v>
      </c>
      <c r="AA3818" t="str">
        <f t="shared" si="354"/>
        <v>2025-02</v>
      </c>
      <c r="AB3818" t="str">
        <f t="shared" si="355"/>
        <v>H1_2025</v>
      </c>
      <c r="AC3818">
        <f t="shared" si="356"/>
        <v>75988.2</v>
      </c>
      <c r="AD3818">
        <f t="shared" si="357"/>
        <v>6</v>
      </c>
      <c r="AE3818">
        <f t="shared" si="358"/>
        <v>7804.2</v>
      </c>
      <c r="AF3818" t="str">
        <f t="shared" si="359"/>
        <v>Paid</v>
      </c>
    </row>
    <row r="3819" spans="1:32" ht="17.25" thickBot="1" x14ac:dyDescent="0.35">
      <c r="A3819" s="2" t="s">
        <v>21560</v>
      </c>
      <c r="B3819" s="2" t="s">
        <v>27</v>
      </c>
      <c r="C3819" s="2" t="s">
        <v>28</v>
      </c>
      <c r="D3819" s="2" t="s">
        <v>97</v>
      </c>
      <c r="E3819" s="2" t="s">
        <v>21084</v>
      </c>
      <c r="F3819" s="2" t="s">
        <v>31</v>
      </c>
      <c r="G3819" s="2" t="s">
        <v>32</v>
      </c>
      <c r="H3819" s="1"/>
      <c r="I3819" s="2" t="s">
        <v>33</v>
      </c>
      <c r="J3819" s="2" t="s">
        <v>34</v>
      </c>
      <c r="K3819" s="2" t="s">
        <v>21549</v>
      </c>
      <c r="L3819" s="2" t="s">
        <v>21550</v>
      </c>
      <c r="M3819" s="2" t="s">
        <v>1887</v>
      </c>
      <c r="N3819" s="2" t="s">
        <v>38</v>
      </c>
      <c r="O3819" s="2" t="s">
        <v>2217</v>
      </c>
      <c r="P3819" s="2" t="s">
        <v>7933</v>
      </c>
      <c r="Q3819" s="2" t="s">
        <v>21561</v>
      </c>
      <c r="R3819" s="2" t="s">
        <v>40</v>
      </c>
      <c r="S3819" s="2" t="s">
        <v>21562</v>
      </c>
      <c r="T3819" s="2" t="s">
        <v>13610</v>
      </c>
      <c r="U3819" s="2" t="s">
        <v>21563</v>
      </c>
      <c r="V3819" s="2" t="s">
        <v>21564</v>
      </c>
      <c r="W3819" s="1"/>
      <c r="X3819" s="2" t="s">
        <v>1795</v>
      </c>
      <c r="Y3819" s="2" t="s">
        <v>21087</v>
      </c>
      <c r="AA3819" t="str">
        <f t="shared" si="354"/>
        <v>2025-02</v>
      </c>
      <c r="AB3819" t="str">
        <f t="shared" si="355"/>
        <v>H1_2025</v>
      </c>
      <c r="AC3819">
        <f t="shared" si="356"/>
        <v>3368810.2</v>
      </c>
      <c r="AD3819">
        <f t="shared" si="357"/>
        <v>266</v>
      </c>
      <c r="AE3819">
        <f t="shared" si="358"/>
        <v>345986.2</v>
      </c>
      <c r="AF3819" t="str">
        <f t="shared" si="359"/>
        <v>Paid</v>
      </c>
    </row>
    <row r="3820" spans="1:32" ht="17.25" thickBot="1" x14ac:dyDescent="0.35">
      <c r="A3820" s="2" t="s">
        <v>21565</v>
      </c>
      <c r="B3820" s="2" t="s">
        <v>27</v>
      </c>
      <c r="C3820" s="2" t="s">
        <v>28</v>
      </c>
      <c r="D3820" s="2" t="s">
        <v>97</v>
      </c>
      <c r="E3820" s="2" t="s">
        <v>21084</v>
      </c>
      <c r="F3820" s="2" t="s">
        <v>31</v>
      </c>
      <c r="G3820" s="2" t="s">
        <v>32</v>
      </c>
      <c r="H3820" s="1"/>
      <c r="I3820" s="2" t="s">
        <v>33</v>
      </c>
      <c r="J3820" s="2" t="s">
        <v>34</v>
      </c>
      <c r="K3820" s="2" t="s">
        <v>21566</v>
      </c>
      <c r="L3820" s="2" t="s">
        <v>21567</v>
      </c>
      <c r="M3820" s="2" t="s">
        <v>1887</v>
      </c>
      <c r="N3820" s="2" t="s">
        <v>38</v>
      </c>
      <c r="O3820" s="2" t="s">
        <v>877</v>
      </c>
      <c r="P3820" s="2" t="s">
        <v>21493</v>
      </c>
      <c r="Q3820" s="2" t="s">
        <v>13134</v>
      </c>
      <c r="R3820" s="2" t="s">
        <v>40</v>
      </c>
      <c r="S3820" s="2" t="s">
        <v>21499</v>
      </c>
      <c r="T3820" s="2" t="s">
        <v>21500</v>
      </c>
      <c r="U3820" s="2" t="s">
        <v>21501</v>
      </c>
      <c r="V3820" s="2" t="s">
        <v>21502</v>
      </c>
      <c r="W3820" s="1"/>
      <c r="X3820" s="2" t="s">
        <v>1795</v>
      </c>
      <c r="Y3820" s="2" t="s">
        <v>21087</v>
      </c>
      <c r="AA3820" t="str">
        <f t="shared" si="354"/>
        <v>2025-02</v>
      </c>
      <c r="AB3820" t="str">
        <f t="shared" si="355"/>
        <v>H1_2025</v>
      </c>
      <c r="AC3820">
        <f t="shared" si="356"/>
        <v>1165437</v>
      </c>
      <c r="AD3820">
        <f t="shared" si="357"/>
        <v>100</v>
      </c>
      <c r="AE3820">
        <f t="shared" si="358"/>
        <v>119937</v>
      </c>
      <c r="AF3820" t="str">
        <f t="shared" si="359"/>
        <v>Paid</v>
      </c>
    </row>
    <row r="3821" spans="1:32" ht="17.25" thickBot="1" x14ac:dyDescent="0.35">
      <c r="A3821" s="2" t="s">
        <v>21568</v>
      </c>
      <c r="B3821" s="2" t="s">
        <v>27</v>
      </c>
      <c r="C3821" s="2" t="s">
        <v>28</v>
      </c>
      <c r="D3821" s="2" t="s">
        <v>97</v>
      </c>
      <c r="E3821" s="2" t="s">
        <v>21084</v>
      </c>
      <c r="F3821" s="2" t="s">
        <v>31</v>
      </c>
      <c r="G3821" s="2" t="s">
        <v>32</v>
      </c>
      <c r="H3821" s="1"/>
      <c r="I3821" s="2" t="s">
        <v>33</v>
      </c>
      <c r="J3821" s="2" t="s">
        <v>34</v>
      </c>
      <c r="K3821" s="2" t="s">
        <v>21569</v>
      </c>
      <c r="L3821" s="2" t="s">
        <v>21570</v>
      </c>
      <c r="M3821" s="2" t="s">
        <v>1887</v>
      </c>
      <c r="N3821" s="2" t="s">
        <v>38</v>
      </c>
      <c r="O3821" s="2" t="s">
        <v>1333</v>
      </c>
      <c r="P3821" s="2" t="s">
        <v>21493</v>
      </c>
      <c r="Q3821" s="2" t="s">
        <v>21494</v>
      </c>
      <c r="R3821" s="2" t="s">
        <v>40</v>
      </c>
      <c r="S3821" s="2" t="s">
        <v>21495</v>
      </c>
      <c r="T3821" s="2" t="s">
        <v>21500</v>
      </c>
      <c r="U3821" s="2" t="s">
        <v>21571</v>
      </c>
      <c r="V3821" s="2" t="s">
        <v>21572</v>
      </c>
      <c r="W3821" s="1"/>
      <c r="X3821" s="2" t="s">
        <v>1795</v>
      </c>
      <c r="Y3821" s="2" t="s">
        <v>21087</v>
      </c>
      <c r="AA3821" t="str">
        <f t="shared" si="354"/>
        <v>2025-02</v>
      </c>
      <c r="AB3821" t="str">
        <f t="shared" si="355"/>
        <v>H1_2025</v>
      </c>
      <c r="AC3821">
        <f t="shared" si="356"/>
        <v>1748155.5</v>
      </c>
      <c r="AD3821">
        <f t="shared" si="357"/>
        <v>150</v>
      </c>
      <c r="AE3821">
        <f t="shared" si="358"/>
        <v>179905.5</v>
      </c>
      <c r="AF3821" t="str">
        <f t="shared" si="359"/>
        <v>Paid</v>
      </c>
    </row>
    <row r="3822" spans="1:32" ht="17.25" thickBot="1" x14ac:dyDescent="0.35">
      <c r="A3822" s="2" t="s">
        <v>21573</v>
      </c>
      <c r="B3822" s="2" t="s">
        <v>27</v>
      </c>
      <c r="C3822" s="2" t="s">
        <v>28</v>
      </c>
      <c r="D3822" s="2" t="s">
        <v>97</v>
      </c>
      <c r="E3822" s="2" t="s">
        <v>21084</v>
      </c>
      <c r="F3822" s="2" t="s">
        <v>31</v>
      </c>
      <c r="G3822" s="2" t="s">
        <v>32</v>
      </c>
      <c r="H3822" s="1"/>
      <c r="I3822" s="2" t="s">
        <v>33</v>
      </c>
      <c r="J3822" s="2" t="s">
        <v>34</v>
      </c>
      <c r="K3822" s="2" t="s">
        <v>21574</v>
      </c>
      <c r="L3822" s="2" t="s">
        <v>21575</v>
      </c>
      <c r="M3822" s="2" t="s">
        <v>1887</v>
      </c>
      <c r="N3822" s="2" t="s">
        <v>38</v>
      </c>
      <c r="O3822" s="2" t="s">
        <v>149</v>
      </c>
      <c r="P3822" s="2" t="s">
        <v>21493</v>
      </c>
      <c r="Q3822" s="2" t="s">
        <v>21576</v>
      </c>
      <c r="R3822" s="2" t="s">
        <v>40</v>
      </c>
      <c r="S3822" s="2" t="s">
        <v>21577</v>
      </c>
      <c r="T3822" s="2" t="s">
        <v>21500</v>
      </c>
      <c r="U3822" s="2" t="s">
        <v>21578</v>
      </c>
      <c r="V3822" s="2" t="s">
        <v>21579</v>
      </c>
      <c r="W3822" s="1"/>
      <c r="X3822" s="2" t="s">
        <v>1795</v>
      </c>
      <c r="Y3822" s="2" t="s">
        <v>21087</v>
      </c>
      <c r="AA3822" t="str">
        <f t="shared" si="354"/>
        <v>2025-02</v>
      </c>
      <c r="AB3822" t="str">
        <f t="shared" si="355"/>
        <v>H1_2025</v>
      </c>
      <c r="AC3822">
        <f t="shared" si="356"/>
        <v>3496311</v>
      </c>
      <c r="AD3822">
        <f t="shared" si="357"/>
        <v>300</v>
      </c>
      <c r="AE3822">
        <f t="shared" si="358"/>
        <v>359811</v>
      </c>
      <c r="AF3822" t="str">
        <f t="shared" si="359"/>
        <v>Paid</v>
      </c>
    </row>
    <row r="3823" spans="1:32" ht="17.25" thickBot="1" x14ac:dyDescent="0.35">
      <c r="A3823" s="2" t="s">
        <v>21580</v>
      </c>
      <c r="B3823" s="2" t="s">
        <v>27</v>
      </c>
      <c r="C3823" s="2" t="s">
        <v>28</v>
      </c>
      <c r="D3823" s="2" t="s">
        <v>97</v>
      </c>
      <c r="E3823" s="2" t="s">
        <v>21084</v>
      </c>
      <c r="F3823" s="2" t="s">
        <v>31</v>
      </c>
      <c r="G3823" s="2" t="s">
        <v>32</v>
      </c>
      <c r="H3823" s="1"/>
      <c r="I3823" s="2" t="s">
        <v>33</v>
      </c>
      <c r="J3823" s="2" t="s">
        <v>34</v>
      </c>
      <c r="K3823" s="2" t="s">
        <v>21581</v>
      </c>
      <c r="L3823" s="2" t="s">
        <v>21582</v>
      </c>
      <c r="M3823" s="2" t="s">
        <v>1887</v>
      </c>
      <c r="N3823" s="2" t="s">
        <v>38</v>
      </c>
      <c r="O3823" s="2" t="s">
        <v>2717</v>
      </c>
      <c r="P3823" s="2" t="s">
        <v>21493</v>
      </c>
      <c r="Q3823" s="2" t="s">
        <v>21583</v>
      </c>
      <c r="R3823" s="2" t="s">
        <v>40</v>
      </c>
      <c r="S3823" s="2" t="s">
        <v>21584</v>
      </c>
      <c r="T3823" s="2" t="s">
        <v>21500</v>
      </c>
      <c r="U3823" s="2" t="s">
        <v>21585</v>
      </c>
      <c r="V3823" s="2" t="s">
        <v>21586</v>
      </c>
      <c r="W3823" s="1"/>
      <c r="X3823" s="2" t="s">
        <v>1795</v>
      </c>
      <c r="Y3823" s="2" t="s">
        <v>21087</v>
      </c>
      <c r="AA3823" t="str">
        <f t="shared" si="354"/>
        <v>2025-02</v>
      </c>
      <c r="AB3823" t="str">
        <f t="shared" si="355"/>
        <v>H1_2025</v>
      </c>
      <c r="AC3823">
        <f t="shared" si="356"/>
        <v>3822633.36</v>
      </c>
      <c r="AD3823">
        <f t="shared" si="357"/>
        <v>328</v>
      </c>
      <c r="AE3823">
        <f t="shared" si="358"/>
        <v>393393.36</v>
      </c>
      <c r="AF3823" t="str">
        <f t="shared" si="359"/>
        <v>Paid</v>
      </c>
    </row>
    <row r="3824" spans="1:32" ht="17.25" thickBot="1" x14ac:dyDescent="0.35">
      <c r="A3824" s="2" t="s">
        <v>21587</v>
      </c>
      <c r="B3824" s="2" t="s">
        <v>27</v>
      </c>
      <c r="C3824" s="2" t="s">
        <v>28</v>
      </c>
      <c r="D3824" s="2" t="s">
        <v>97</v>
      </c>
      <c r="E3824" s="2" t="s">
        <v>21084</v>
      </c>
      <c r="F3824" s="2" t="s">
        <v>31</v>
      </c>
      <c r="G3824" s="2" t="s">
        <v>32</v>
      </c>
      <c r="H3824" s="1"/>
      <c r="I3824" s="2" t="s">
        <v>33</v>
      </c>
      <c r="J3824" s="2" t="s">
        <v>34</v>
      </c>
      <c r="K3824" s="2" t="s">
        <v>21581</v>
      </c>
      <c r="L3824" s="2" t="s">
        <v>21582</v>
      </c>
      <c r="M3824" s="2" t="s">
        <v>1887</v>
      </c>
      <c r="N3824" s="2" t="s">
        <v>38</v>
      </c>
      <c r="O3824" s="2" t="s">
        <v>174</v>
      </c>
      <c r="P3824" s="2" t="s">
        <v>21493</v>
      </c>
      <c r="Q3824" s="2" t="s">
        <v>21588</v>
      </c>
      <c r="R3824" s="2" t="s">
        <v>40</v>
      </c>
      <c r="S3824" s="2" t="s">
        <v>21589</v>
      </c>
      <c r="T3824" s="2" t="s">
        <v>21500</v>
      </c>
      <c r="U3824" s="2" t="s">
        <v>21590</v>
      </c>
      <c r="V3824" s="2" t="s">
        <v>21591</v>
      </c>
      <c r="W3824" s="1"/>
      <c r="X3824" s="2" t="s">
        <v>1795</v>
      </c>
      <c r="Y3824" s="2" t="s">
        <v>21087</v>
      </c>
      <c r="AA3824" t="str">
        <f t="shared" si="354"/>
        <v>2025-02</v>
      </c>
      <c r="AB3824" t="str">
        <f t="shared" si="355"/>
        <v>H1_2025</v>
      </c>
      <c r="AC3824">
        <f t="shared" si="356"/>
        <v>256396.14</v>
      </c>
      <c r="AD3824">
        <f t="shared" si="357"/>
        <v>22</v>
      </c>
      <c r="AE3824">
        <f t="shared" si="358"/>
        <v>26386.14</v>
      </c>
      <c r="AF3824" t="str">
        <f t="shared" si="359"/>
        <v>Paid</v>
      </c>
    </row>
    <row r="3825" spans="1:32" ht="17.25" thickBot="1" x14ac:dyDescent="0.35">
      <c r="A3825" s="2" t="s">
        <v>21592</v>
      </c>
      <c r="B3825" s="2" t="s">
        <v>27</v>
      </c>
      <c r="C3825" s="2" t="s">
        <v>28</v>
      </c>
      <c r="D3825" s="2" t="s">
        <v>97</v>
      </c>
      <c r="E3825" s="2" t="s">
        <v>21084</v>
      </c>
      <c r="F3825" s="2" t="s">
        <v>31</v>
      </c>
      <c r="G3825" s="2" t="s">
        <v>32</v>
      </c>
      <c r="H3825" s="1"/>
      <c r="I3825" s="2" t="s">
        <v>33</v>
      </c>
      <c r="J3825" s="2" t="s">
        <v>34</v>
      </c>
      <c r="K3825" s="2" t="s">
        <v>21593</v>
      </c>
      <c r="L3825" s="2" t="s">
        <v>21594</v>
      </c>
      <c r="M3825" s="2" t="s">
        <v>1887</v>
      </c>
      <c r="N3825" s="2" t="s">
        <v>38</v>
      </c>
      <c r="O3825" s="2" t="s">
        <v>877</v>
      </c>
      <c r="P3825" s="2" t="s">
        <v>1028</v>
      </c>
      <c r="Q3825" s="2" t="s">
        <v>21404</v>
      </c>
      <c r="R3825" s="2" t="s">
        <v>40</v>
      </c>
      <c r="S3825" s="2" t="s">
        <v>21405</v>
      </c>
      <c r="T3825" s="2" t="s">
        <v>11355</v>
      </c>
      <c r="U3825" s="2" t="s">
        <v>17837</v>
      </c>
      <c r="V3825" s="2" t="s">
        <v>21406</v>
      </c>
      <c r="W3825" s="1"/>
      <c r="X3825" s="2" t="s">
        <v>1795</v>
      </c>
      <c r="Y3825" s="2" t="s">
        <v>21087</v>
      </c>
      <c r="AA3825" t="str">
        <f t="shared" si="354"/>
        <v>2025-02</v>
      </c>
      <c r="AB3825" t="str">
        <f t="shared" si="355"/>
        <v>H1_2025</v>
      </c>
      <c r="AC3825">
        <f t="shared" si="356"/>
        <v>912143</v>
      </c>
      <c r="AD3825">
        <f t="shared" si="357"/>
        <v>100</v>
      </c>
      <c r="AE3825">
        <f t="shared" si="358"/>
        <v>93943</v>
      </c>
      <c r="AF3825" t="str">
        <f t="shared" si="359"/>
        <v>Paid</v>
      </c>
    </row>
    <row r="3826" spans="1:32" ht="17.25" thickBot="1" x14ac:dyDescent="0.35">
      <c r="A3826" s="2" t="s">
        <v>21595</v>
      </c>
      <c r="B3826" s="2" t="s">
        <v>27</v>
      </c>
      <c r="C3826" s="2" t="s">
        <v>28</v>
      </c>
      <c r="D3826" s="2" t="s">
        <v>97</v>
      </c>
      <c r="E3826" s="2" t="s">
        <v>21084</v>
      </c>
      <c r="F3826" s="2" t="s">
        <v>31</v>
      </c>
      <c r="G3826" s="2" t="s">
        <v>32</v>
      </c>
      <c r="H3826" s="1"/>
      <c r="I3826" s="2" t="s">
        <v>33</v>
      </c>
      <c r="J3826" s="2" t="s">
        <v>34</v>
      </c>
      <c r="K3826" s="2" t="s">
        <v>21596</v>
      </c>
      <c r="L3826" s="2" t="s">
        <v>21597</v>
      </c>
      <c r="M3826" s="2" t="s">
        <v>1887</v>
      </c>
      <c r="N3826" s="2" t="s">
        <v>38</v>
      </c>
      <c r="O3826" s="2" t="s">
        <v>214</v>
      </c>
      <c r="P3826" s="2" t="s">
        <v>21396</v>
      </c>
      <c r="Q3826" s="2" t="s">
        <v>21520</v>
      </c>
      <c r="R3826" s="2" t="s">
        <v>40</v>
      </c>
      <c r="S3826" s="2" t="s">
        <v>21521</v>
      </c>
      <c r="T3826" s="2" t="s">
        <v>13601</v>
      </c>
      <c r="U3826" s="2" t="s">
        <v>21522</v>
      </c>
      <c r="V3826" s="2" t="s">
        <v>21523</v>
      </c>
      <c r="W3826" s="1"/>
      <c r="X3826" s="2" t="s">
        <v>21334</v>
      </c>
      <c r="Y3826" s="2" t="s">
        <v>21087</v>
      </c>
      <c r="AA3826" t="str">
        <f t="shared" si="354"/>
        <v>2025-02</v>
      </c>
      <c r="AB3826" t="str">
        <f t="shared" si="355"/>
        <v>H1_2025</v>
      </c>
      <c r="AC3826">
        <f t="shared" si="356"/>
        <v>480974</v>
      </c>
      <c r="AD3826">
        <f t="shared" si="357"/>
        <v>50</v>
      </c>
      <c r="AE3826">
        <f t="shared" si="358"/>
        <v>49124</v>
      </c>
      <c r="AF3826" t="str">
        <f t="shared" si="359"/>
        <v>Paid</v>
      </c>
    </row>
    <row r="3827" spans="1:32" ht="17.25" thickBot="1" x14ac:dyDescent="0.35">
      <c r="A3827" s="2" t="s">
        <v>21598</v>
      </c>
      <c r="B3827" s="2" t="s">
        <v>27</v>
      </c>
      <c r="C3827" s="2" t="s">
        <v>28</v>
      </c>
      <c r="D3827" s="2" t="s">
        <v>97</v>
      </c>
      <c r="E3827" s="2" t="s">
        <v>21084</v>
      </c>
      <c r="F3827" s="2" t="s">
        <v>31</v>
      </c>
      <c r="G3827" s="2" t="s">
        <v>32</v>
      </c>
      <c r="H3827" s="1"/>
      <c r="I3827" s="2" t="s">
        <v>33</v>
      </c>
      <c r="J3827" s="2" t="s">
        <v>34</v>
      </c>
      <c r="K3827" s="2" t="s">
        <v>21599</v>
      </c>
      <c r="L3827" s="2" t="s">
        <v>21600</v>
      </c>
      <c r="M3827" s="2" t="s">
        <v>1887</v>
      </c>
      <c r="N3827" s="2" t="s">
        <v>38</v>
      </c>
      <c r="O3827" s="2" t="s">
        <v>214</v>
      </c>
      <c r="P3827" s="2" t="s">
        <v>16251</v>
      </c>
      <c r="Q3827" s="2" t="s">
        <v>17687</v>
      </c>
      <c r="R3827" s="2" t="s">
        <v>40</v>
      </c>
      <c r="S3827" s="2" t="s">
        <v>21601</v>
      </c>
      <c r="T3827" s="2" t="s">
        <v>21602</v>
      </c>
      <c r="U3827" s="2" t="s">
        <v>21603</v>
      </c>
      <c r="V3827" s="2" t="s">
        <v>21604</v>
      </c>
      <c r="W3827" s="1"/>
      <c r="X3827" s="2" t="s">
        <v>1795</v>
      </c>
      <c r="Y3827" s="2" t="s">
        <v>21087</v>
      </c>
      <c r="AA3827" t="str">
        <f t="shared" si="354"/>
        <v>2025-02</v>
      </c>
      <c r="AB3827" t="str">
        <f t="shared" si="355"/>
        <v>H1_2025</v>
      </c>
      <c r="AC3827">
        <f t="shared" si="356"/>
        <v>379941</v>
      </c>
      <c r="AD3827">
        <f t="shared" si="357"/>
        <v>50</v>
      </c>
      <c r="AE3827">
        <f t="shared" si="358"/>
        <v>38991</v>
      </c>
      <c r="AF3827" t="str">
        <f t="shared" si="359"/>
        <v>Paid</v>
      </c>
    </row>
    <row r="3828" spans="1:32" ht="17.25" thickBot="1" x14ac:dyDescent="0.35">
      <c r="A3828" s="2" t="s">
        <v>21605</v>
      </c>
      <c r="B3828" s="2" t="s">
        <v>27</v>
      </c>
      <c r="C3828" s="2" t="s">
        <v>28</v>
      </c>
      <c r="D3828" s="2" t="s">
        <v>97</v>
      </c>
      <c r="E3828" s="2" t="s">
        <v>21084</v>
      </c>
      <c r="F3828" s="2" t="s">
        <v>31</v>
      </c>
      <c r="G3828" s="2" t="s">
        <v>32</v>
      </c>
      <c r="H3828" s="1"/>
      <c r="I3828" s="2" t="s">
        <v>33</v>
      </c>
      <c r="J3828" s="2" t="s">
        <v>34</v>
      </c>
      <c r="K3828" s="2" t="s">
        <v>21606</v>
      </c>
      <c r="L3828" s="2" t="s">
        <v>21607</v>
      </c>
      <c r="M3828" s="2" t="s">
        <v>1887</v>
      </c>
      <c r="N3828" s="2" t="s">
        <v>38</v>
      </c>
      <c r="O3828" s="2" t="s">
        <v>79</v>
      </c>
      <c r="P3828" s="2" t="s">
        <v>21493</v>
      </c>
      <c r="Q3828" s="2" t="s">
        <v>8671</v>
      </c>
      <c r="R3828" s="2" t="s">
        <v>40</v>
      </c>
      <c r="S3828" s="2" t="s">
        <v>21608</v>
      </c>
      <c r="T3828" s="2" t="s">
        <v>21500</v>
      </c>
      <c r="U3828" s="2" t="s">
        <v>21609</v>
      </c>
      <c r="V3828" s="2" t="s">
        <v>21610</v>
      </c>
      <c r="W3828" s="1"/>
      <c r="X3828" s="2" t="s">
        <v>1795</v>
      </c>
      <c r="Y3828" s="2" t="s">
        <v>21087</v>
      </c>
      <c r="AA3828" t="str">
        <f t="shared" si="354"/>
        <v>2025-02</v>
      </c>
      <c r="AB3828" t="str">
        <f t="shared" si="355"/>
        <v>H1_2025</v>
      </c>
      <c r="AC3828">
        <f t="shared" si="356"/>
        <v>116543.7</v>
      </c>
      <c r="AD3828">
        <f t="shared" si="357"/>
        <v>10</v>
      </c>
      <c r="AE3828">
        <f t="shared" si="358"/>
        <v>11993.7</v>
      </c>
      <c r="AF3828" t="str">
        <f t="shared" si="359"/>
        <v>Paid</v>
      </c>
    </row>
    <row r="3829" spans="1:32" ht="17.25" thickBot="1" x14ac:dyDescent="0.35">
      <c r="A3829" s="2" t="s">
        <v>21611</v>
      </c>
      <c r="B3829" s="2" t="s">
        <v>27</v>
      </c>
      <c r="C3829" s="2" t="s">
        <v>28</v>
      </c>
      <c r="D3829" s="2" t="s">
        <v>97</v>
      </c>
      <c r="E3829" s="2" t="s">
        <v>21084</v>
      </c>
      <c r="F3829" s="2" t="s">
        <v>31</v>
      </c>
      <c r="G3829" s="2" t="s">
        <v>32</v>
      </c>
      <c r="H3829" s="1"/>
      <c r="I3829" s="2" t="s">
        <v>33</v>
      </c>
      <c r="J3829" s="2" t="s">
        <v>34</v>
      </c>
      <c r="K3829" s="2" t="s">
        <v>17854</v>
      </c>
      <c r="L3829" s="2" t="s">
        <v>17855</v>
      </c>
      <c r="M3829" s="2" t="s">
        <v>16762</v>
      </c>
      <c r="N3829" s="2" t="s">
        <v>38</v>
      </c>
      <c r="O3829" s="2" t="s">
        <v>877</v>
      </c>
      <c r="P3829" s="2" t="s">
        <v>774</v>
      </c>
      <c r="Q3829" s="2" t="s">
        <v>21612</v>
      </c>
      <c r="R3829" s="2" t="s">
        <v>40</v>
      </c>
      <c r="S3829" s="2" t="s">
        <v>21613</v>
      </c>
      <c r="T3829" s="2" t="s">
        <v>7691</v>
      </c>
      <c r="U3829" s="2" t="s">
        <v>21614</v>
      </c>
      <c r="V3829" s="2" t="s">
        <v>21615</v>
      </c>
      <c r="W3829" s="1"/>
      <c r="X3829" s="2" t="s">
        <v>1052</v>
      </c>
      <c r="Y3829" s="2" t="s">
        <v>21087</v>
      </c>
      <c r="AA3829" t="str">
        <f t="shared" si="354"/>
        <v>2025-02</v>
      </c>
      <c r="AB3829" t="str">
        <f t="shared" si="355"/>
        <v>H1_2025</v>
      </c>
      <c r="AC3829">
        <f t="shared" si="356"/>
        <v>839570</v>
      </c>
      <c r="AD3829">
        <f t="shared" si="357"/>
        <v>100</v>
      </c>
      <c r="AE3829">
        <f t="shared" si="358"/>
        <v>212270</v>
      </c>
      <c r="AF3829" t="str">
        <f t="shared" si="359"/>
        <v>Paid</v>
      </c>
    </row>
    <row r="3830" spans="1:32" ht="17.25" thickBot="1" x14ac:dyDescent="0.35">
      <c r="A3830" s="2" t="s">
        <v>21616</v>
      </c>
      <c r="B3830" s="2" t="s">
        <v>27</v>
      </c>
      <c r="C3830" s="2" t="s">
        <v>28</v>
      </c>
      <c r="D3830" s="2" t="s">
        <v>97</v>
      </c>
      <c r="E3830" s="2" t="s">
        <v>21084</v>
      </c>
      <c r="F3830" s="2" t="s">
        <v>31</v>
      </c>
      <c r="G3830" s="2" t="s">
        <v>32</v>
      </c>
      <c r="H3830" s="1"/>
      <c r="I3830" s="2" t="s">
        <v>33</v>
      </c>
      <c r="J3830" s="2" t="s">
        <v>34</v>
      </c>
      <c r="K3830" s="2" t="s">
        <v>18578</v>
      </c>
      <c r="L3830" s="2" t="s">
        <v>18579</v>
      </c>
      <c r="M3830" s="2" t="s">
        <v>7387</v>
      </c>
      <c r="N3830" s="2" t="s">
        <v>38</v>
      </c>
      <c r="O3830" s="2" t="s">
        <v>21617</v>
      </c>
      <c r="P3830" s="2" t="s">
        <v>1431</v>
      </c>
      <c r="Q3830" s="2" t="s">
        <v>21618</v>
      </c>
      <c r="R3830" s="2" t="s">
        <v>40</v>
      </c>
      <c r="S3830" s="2" t="s">
        <v>21619</v>
      </c>
      <c r="T3830" s="2" t="s">
        <v>7392</v>
      </c>
      <c r="U3830" s="2" t="s">
        <v>21620</v>
      </c>
      <c r="V3830" s="2" t="s">
        <v>21621</v>
      </c>
      <c r="W3830" s="1"/>
      <c r="X3830" s="2" t="s">
        <v>3824</v>
      </c>
      <c r="Y3830" s="2" t="s">
        <v>21087</v>
      </c>
      <c r="AA3830" t="str">
        <f t="shared" si="354"/>
        <v>2025-02</v>
      </c>
      <c r="AB3830" t="str">
        <f t="shared" si="355"/>
        <v>H1_2025</v>
      </c>
      <c r="AC3830">
        <f t="shared" si="356"/>
        <v>16960224.719999999</v>
      </c>
      <c r="AD3830">
        <f t="shared" si="357"/>
        <v>1272</v>
      </c>
      <c r="AE3830">
        <f t="shared" si="358"/>
        <v>2573904.7200000002</v>
      </c>
      <c r="AF3830" t="str">
        <f t="shared" si="359"/>
        <v>Paid</v>
      </c>
    </row>
    <row r="3831" spans="1:32" ht="17.25" thickBot="1" x14ac:dyDescent="0.35">
      <c r="A3831" s="2" t="s">
        <v>21622</v>
      </c>
      <c r="B3831" s="2" t="s">
        <v>27</v>
      </c>
      <c r="C3831" s="2" t="s">
        <v>28</v>
      </c>
      <c r="D3831" s="2" t="s">
        <v>97</v>
      </c>
      <c r="E3831" s="2" t="s">
        <v>21084</v>
      </c>
      <c r="F3831" s="2" t="s">
        <v>31</v>
      </c>
      <c r="G3831" s="2" t="s">
        <v>32</v>
      </c>
      <c r="H3831" s="1"/>
      <c r="I3831" s="2" t="s">
        <v>33</v>
      </c>
      <c r="J3831" s="2" t="s">
        <v>34</v>
      </c>
      <c r="K3831" s="2" t="s">
        <v>18578</v>
      </c>
      <c r="L3831" s="2" t="s">
        <v>18579</v>
      </c>
      <c r="M3831" s="2" t="s">
        <v>7387</v>
      </c>
      <c r="N3831" s="2" t="s">
        <v>38</v>
      </c>
      <c r="O3831" s="2" t="s">
        <v>21623</v>
      </c>
      <c r="P3831" s="2" t="s">
        <v>1431</v>
      </c>
      <c r="Q3831" s="2" t="s">
        <v>21624</v>
      </c>
      <c r="R3831" s="2" t="s">
        <v>40</v>
      </c>
      <c r="S3831" s="2" t="s">
        <v>21625</v>
      </c>
      <c r="T3831" s="2" t="s">
        <v>7392</v>
      </c>
      <c r="U3831" s="2" t="s">
        <v>21626</v>
      </c>
      <c r="V3831" s="2" t="s">
        <v>21627</v>
      </c>
      <c r="W3831" s="1"/>
      <c r="X3831" s="2" t="s">
        <v>3824</v>
      </c>
      <c r="Y3831" s="2" t="s">
        <v>21087</v>
      </c>
      <c r="AA3831" t="str">
        <f t="shared" si="354"/>
        <v>2025-02</v>
      </c>
      <c r="AB3831" t="str">
        <f t="shared" si="355"/>
        <v>H1_2025</v>
      </c>
      <c r="AC3831">
        <f t="shared" si="356"/>
        <v>29947063.460000001</v>
      </c>
      <c r="AD3831">
        <f t="shared" si="357"/>
        <v>2246</v>
      </c>
      <c r="AE3831">
        <f t="shared" si="358"/>
        <v>4544803.46</v>
      </c>
      <c r="AF3831" t="str">
        <f t="shared" si="359"/>
        <v>Paid</v>
      </c>
    </row>
    <row r="3832" spans="1:32" ht="17.25" thickBot="1" x14ac:dyDescent="0.35">
      <c r="A3832" s="2" t="s">
        <v>21628</v>
      </c>
      <c r="B3832" s="2" t="s">
        <v>27</v>
      </c>
      <c r="C3832" s="2" t="s">
        <v>28</v>
      </c>
      <c r="D3832" s="2" t="s">
        <v>97</v>
      </c>
      <c r="E3832" s="2" t="s">
        <v>21084</v>
      </c>
      <c r="F3832" s="2" t="s">
        <v>31</v>
      </c>
      <c r="G3832" s="2" t="s">
        <v>32</v>
      </c>
      <c r="H3832" s="1"/>
      <c r="I3832" s="2" t="s">
        <v>33</v>
      </c>
      <c r="J3832" s="2" t="s">
        <v>34</v>
      </c>
      <c r="K3832" s="2" t="s">
        <v>18578</v>
      </c>
      <c r="L3832" s="2" t="s">
        <v>18579</v>
      </c>
      <c r="M3832" s="2" t="s">
        <v>7387</v>
      </c>
      <c r="N3832" s="2" t="s">
        <v>38</v>
      </c>
      <c r="O3832" s="2" t="s">
        <v>21629</v>
      </c>
      <c r="P3832" s="2" t="s">
        <v>1431</v>
      </c>
      <c r="Q3832" s="2" t="s">
        <v>21630</v>
      </c>
      <c r="R3832" s="2" t="s">
        <v>40</v>
      </c>
      <c r="S3832" s="2" t="s">
        <v>21631</v>
      </c>
      <c r="T3832" s="2" t="s">
        <v>7392</v>
      </c>
      <c r="U3832" s="2" t="s">
        <v>21632</v>
      </c>
      <c r="V3832" s="2" t="s">
        <v>21633</v>
      </c>
      <c r="W3832" s="1"/>
      <c r="X3832" s="2" t="s">
        <v>3824</v>
      </c>
      <c r="Y3832" s="2" t="s">
        <v>21087</v>
      </c>
      <c r="AA3832" t="str">
        <f t="shared" si="354"/>
        <v>2025-02</v>
      </c>
      <c r="AB3832" t="str">
        <f t="shared" si="355"/>
        <v>H1_2025</v>
      </c>
      <c r="AC3832">
        <f t="shared" si="356"/>
        <v>86427811.819999993</v>
      </c>
      <c r="AD3832">
        <f t="shared" si="357"/>
        <v>6482</v>
      </c>
      <c r="AE3832">
        <f t="shared" si="358"/>
        <v>13116391.82</v>
      </c>
      <c r="AF3832" t="str">
        <f t="shared" si="359"/>
        <v>Paid</v>
      </c>
    </row>
    <row r="3833" spans="1:32" ht="27.75" thickBot="1" x14ac:dyDescent="0.35">
      <c r="A3833" s="2" t="s">
        <v>21634</v>
      </c>
      <c r="B3833" s="2" t="s">
        <v>27</v>
      </c>
      <c r="C3833" s="2" t="s">
        <v>28</v>
      </c>
      <c r="D3833" s="2" t="s">
        <v>97</v>
      </c>
      <c r="E3833" s="2" t="s">
        <v>21084</v>
      </c>
      <c r="F3833" s="2" t="s">
        <v>31</v>
      </c>
      <c r="G3833" s="2" t="s">
        <v>32</v>
      </c>
      <c r="H3833" s="1"/>
      <c r="I3833" s="2" t="s">
        <v>33</v>
      </c>
      <c r="J3833" s="2" t="s">
        <v>34</v>
      </c>
      <c r="K3833" s="2" t="s">
        <v>21635</v>
      </c>
      <c r="L3833" s="2" t="s">
        <v>21636</v>
      </c>
      <c r="M3833" s="2" t="s">
        <v>21637</v>
      </c>
      <c r="N3833" s="2" t="s">
        <v>38</v>
      </c>
      <c r="O3833" s="2" t="s">
        <v>79</v>
      </c>
      <c r="P3833" s="2" t="s">
        <v>21638</v>
      </c>
      <c r="Q3833" s="2" t="s">
        <v>21639</v>
      </c>
      <c r="R3833" s="2" t="s">
        <v>40</v>
      </c>
      <c r="S3833" s="2" t="s">
        <v>21640</v>
      </c>
      <c r="T3833" s="2" t="s">
        <v>21641</v>
      </c>
      <c r="U3833" s="2" t="s">
        <v>21642</v>
      </c>
      <c r="V3833" s="2" t="s">
        <v>21643</v>
      </c>
      <c r="W3833" s="1"/>
      <c r="X3833" s="2" t="s">
        <v>8519</v>
      </c>
      <c r="Y3833" s="2" t="s">
        <v>21087</v>
      </c>
      <c r="AA3833" t="str">
        <f t="shared" si="354"/>
        <v>2025-02</v>
      </c>
      <c r="AB3833" t="str">
        <f t="shared" si="355"/>
        <v>H1_2025</v>
      </c>
      <c r="AC3833">
        <f t="shared" si="356"/>
        <v>2419.1</v>
      </c>
      <c r="AD3833">
        <f t="shared" si="357"/>
        <v>10</v>
      </c>
      <c r="AE3833">
        <f t="shared" si="358"/>
        <v>779.1</v>
      </c>
      <c r="AF3833" t="str">
        <f t="shared" si="359"/>
        <v>Paid</v>
      </c>
    </row>
    <row r="3834" spans="1:32" ht="27.75" thickBot="1" x14ac:dyDescent="0.35">
      <c r="A3834" s="2" t="s">
        <v>21644</v>
      </c>
      <c r="B3834" s="2" t="s">
        <v>27</v>
      </c>
      <c r="C3834" s="2" t="s">
        <v>28</v>
      </c>
      <c r="D3834" s="2" t="s">
        <v>97</v>
      </c>
      <c r="E3834" s="2" t="s">
        <v>21084</v>
      </c>
      <c r="F3834" s="2" t="s">
        <v>31</v>
      </c>
      <c r="G3834" s="2" t="s">
        <v>32</v>
      </c>
      <c r="H3834" s="1"/>
      <c r="I3834" s="2" t="s">
        <v>33</v>
      </c>
      <c r="J3834" s="2" t="s">
        <v>34</v>
      </c>
      <c r="K3834" s="2" t="s">
        <v>21645</v>
      </c>
      <c r="L3834" s="2" t="s">
        <v>21646</v>
      </c>
      <c r="M3834" s="2" t="s">
        <v>21637</v>
      </c>
      <c r="N3834" s="2" t="s">
        <v>38</v>
      </c>
      <c r="O3834" s="2" t="s">
        <v>203</v>
      </c>
      <c r="P3834" s="2" t="s">
        <v>21638</v>
      </c>
      <c r="Q3834" s="2" t="s">
        <v>5443</v>
      </c>
      <c r="R3834" s="2" t="s">
        <v>40</v>
      </c>
      <c r="S3834" s="2" t="s">
        <v>21647</v>
      </c>
      <c r="T3834" s="2" t="s">
        <v>21648</v>
      </c>
      <c r="U3834" s="2" t="s">
        <v>3110</v>
      </c>
      <c r="V3834" s="2" t="s">
        <v>21649</v>
      </c>
      <c r="W3834" s="1"/>
      <c r="X3834" s="2" t="s">
        <v>7694</v>
      </c>
      <c r="Y3834" s="2" t="s">
        <v>21087</v>
      </c>
      <c r="AA3834" t="str">
        <f t="shared" si="354"/>
        <v>2025-02</v>
      </c>
      <c r="AB3834" t="str">
        <f t="shared" si="355"/>
        <v>H1_2025</v>
      </c>
      <c r="AC3834">
        <f t="shared" si="356"/>
        <v>6047.75</v>
      </c>
      <c r="AD3834">
        <f t="shared" si="357"/>
        <v>25</v>
      </c>
      <c r="AE3834">
        <f t="shared" si="358"/>
        <v>2047.75</v>
      </c>
      <c r="AF3834" t="str">
        <f t="shared" si="359"/>
        <v>Paid</v>
      </c>
    </row>
    <row r="3835" spans="1:32" ht="17.25" thickBot="1" x14ac:dyDescent="0.35">
      <c r="A3835" s="2" t="s">
        <v>21650</v>
      </c>
      <c r="B3835" s="2" t="s">
        <v>27</v>
      </c>
      <c r="C3835" s="2" t="s">
        <v>28</v>
      </c>
      <c r="D3835" s="2" t="s">
        <v>97</v>
      </c>
      <c r="E3835" s="2" t="s">
        <v>21084</v>
      </c>
      <c r="F3835" s="2" t="s">
        <v>31</v>
      </c>
      <c r="G3835" s="2" t="s">
        <v>32</v>
      </c>
      <c r="H3835" s="1"/>
      <c r="I3835" s="2" t="s">
        <v>33</v>
      </c>
      <c r="J3835" s="2" t="s">
        <v>34</v>
      </c>
      <c r="K3835" s="2" t="s">
        <v>21651</v>
      </c>
      <c r="L3835" s="2" t="s">
        <v>21652</v>
      </c>
      <c r="M3835" s="2" t="s">
        <v>21637</v>
      </c>
      <c r="N3835" s="2" t="s">
        <v>38</v>
      </c>
      <c r="O3835" s="2" t="s">
        <v>26</v>
      </c>
      <c r="P3835" s="2" t="s">
        <v>822</v>
      </c>
      <c r="Q3835" s="2" t="s">
        <v>822</v>
      </c>
      <c r="R3835" s="2" t="s">
        <v>40</v>
      </c>
      <c r="S3835" s="2" t="s">
        <v>21653</v>
      </c>
      <c r="T3835" s="2" t="s">
        <v>13648</v>
      </c>
      <c r="U3835" s="2" t="s">
        <v>13648</v>
      </c>
      <c r="V3835" s="2" t="s">
        <v>21654</v>
      </c>
      <c r="W3835" s="1"/>
      <c r="X3835" s="2" t="s">
        <v>21655</v>
      </c>
      <c r="Y3835" s="2" t="s">
        <v>21087</v>
      </c>
      <c r="AA3835" t="str">
        <f t="shared" si="354"/>
        <v>2025-02</v>
      </c>
      <c r="AB3835" t="str">
        <f t="shared" si="355"/>
        <v>H1_2025</v>
      </c>
      <c r="AC3835">
        <f t="shared" si="356"/>
        <v>9733.32</v>
      </c>
      <c r="AD3835">
        <f t="shared" si="357"/>
        <v>1</v>
      </c>
      <c r="AE3835">
        <f t="shared" si="358"/>
        <v>5551.32</v>
      </c>
      <c r="AF3835" t="str">
        <f t="shared" si="359"/>
        <v>Paid</v>
      </c>
    </row>
    <row r="3836" spans="1:32" ht="17.25" thickBot="1" x14ac:dyDescent="0.35">
      <c r="A3836" s="2" t="s">
        <v>21656</v>
      </c>
      <c r="B3836" s="2" t="s">
        <v>27</v>
      </c>
      <c r="C3836" s="2" t="s">
        <v>28</v>
      </c>
      <c r="D3836" s="2" t="s">
        <v>97</v>
      </c>
      <c r="E3836" s="2" t="s">
        <v>21084</v>
      </c>
      <c r="F3836" s="2" t="s">
        <v>31</v>
      </c>
      <c r="G3836" s="2" t="s">
        <v>32</v>
      </c>
      <c r="H3836" s="1"/>
      <c r="I3836" s="2" t="s">
        <v>33</v>
      </c>
      <c r="J3836" s="2" t="s">
        <v>34</v>
      </c>
      <c r="K3836" s="2" t="s">
        <v>21657</v>
      </c>
      <c r="L3836" s="2" t="s">
        <v>21658</v>
      </c>
      <c r="M3836" s="2" t="s">
        <v>21637</v>
      </c>
      <c r="N3836" s="2" t="s">
        <v>38</v>
      </c>
      <c r="O3836" s="2" t="s">
        <v>203</v>
      </c>
      <c r="P3836" s="2" t="s">
        <v>1268</v>
      </c>
      <c r="Q3836" s="2" t="s">
        <v>21659</v>
      </c>
      <c r="R3836" s="2" t="s">
        <v>40</v>
      </c>
      <c r="S3836" s="2" t="s">
        <v>21660</v>
      </c>
      <c r="T3836" s="2" t="s">
        <v>17089</v>
      </c>
      <c r="U3836" s="2" t="s">
        <v>21661</v>
      </c>
      <c r="V3836" s="2" t="s">
        <v>21662</v>
      </c>
      <c r="W3836" s="1"/>
      <c r="X3836" s="2" t="s">
        <v>12243</v>
      </c>
      <c r="Y3836" s="2" t="s">
        <v>21087</v>
      </c>
      <c r="AA3836" t="str">
        <f t="shared" si="354"/>
        <v>2025-02</v>
      </c>
      <c r="AB3836" t="str">
        <f t="shared" si="355"/>
        <v>H1_2025</v>
      </c>
      <c r="AC3836">
        <f t="shared" si="356"/>
        <v>141944.25</v>
      </c>
      <c r="AD3836">
        <f t="shared" si="357"/>
        <v>25</v>
      </c>
      <c r="AE3836">
        <f t="shared" si="358"/>
        <v>62394.25</v>
      </c>
      <c r="AF3836" t="str">
        <f t="shared" si="359"/>
        <v>Paid</v>
      </c>
    </row>
    <row r="3837" spans="1:32" ht="17.25" thickBot="1" x14ac:dyDescent="0.35">
      <c r="A3837" s="2" t="s">
        <v>21663</v>
      </c>
      <c r="B3837" s="2" t="s">
        <v>27</v>
      </c>
      <c r="C3837" s="2" t="s">
        <v>28</v>
      </c>
      <c r="D3837" s="2" t="s">
        <v>97</v>
      </c>
      <c r="E3837" s="2" t="s">
        <v>21084</v>
      </c>
      <c r="F3837" s="2" t="s">
        <v>31</v>
      </c>
      <c r="G3837" s="2" t="s">
        <v>32</v>
      </c>
      <c r="H3837" s="1"/>
      <c r="I3837" s="2" t="s">
        <v>33</v>
      </c>
      <c r="J3837" s="2" t="s">
        <v>34</v>
      </c>
      <c r="K3837" s="2" t="s">
        <v>21664</v>
      </c>
      <c r="L3837" s="2" t="s">
        <v>21665</v>
      </c>
      <c r="M3837" s="2" t="s">
        <v>21637</v>
      </c>
      <c r="N3837" s="2" t="s">
        <v>38</v>
      </c>
      <c r="O3837" s="2" t="s">
        <v>203</v>
      </c>
      <c r="P3837" s="2" t="s">
        <v>10904</v>
      </c>
      <c r="Q3837" s="2" t="s">
        <v>21666</v>
      </c>
      <c r="R3837" s="2" t="s">
        <v>40</v>
      </c>
      <c r="S3837" s="2" t="s">
        <v>21667</v>
      </c>
      <c r="T3837" s="2" t="s">
        <v>13019</v>
      </c>
      <c r="U3837" s="2" t="s">
        <v>21197</v>
      </c>
      <c r="V3837" s="2" t="s">
        <v>21668</v>
      </c>
      <c r="W3837" s="1"/>
      <c r="X3837" s="2" t="s">
        <v>21669</v>
      </c>
      <c r="Y3837" s="2" t="s">
        <v>21087</v>
      </c>
      <c r="AA3837" t="str">
        <f t="shared" si="354"/>
        <v>2025-02</v>
      </c>
      <c r="AB3837" t="str">
        <f t="shared" si="355"/>
        <v>H1_2025</v>
      </c>
      <c r="AC3837">
        <f t="shared" si="356"/>
        <v>255428.5</v>
      </c>
      <c r="AD3837">
        <f t="shared" si="357"/>
        <v>25</v>
      </c>
      <c r="AE3837">
        <f t="shared" si="358"/>
        <v>141778.5</v>
      </c>
      <c r="AF3837" t="str">
        <f t="shared" si="359"/>
        <v>Paid</v>
      </c>
    </row>
    <row r="3838" spans="1:32" ht="17.25" thickBot="1" x14ac:dyDescent="0.35">
      <c r="A3838" s="2" t="s">
        <v>21670</v>
      </c>
      <c r="B3838" s="2" t="s">
        <v>27</v>
      </c>
      <c r="C3838" s="2" t="s">
        <v>28</v>
      </c>
      <c r="D3838" s="2" t="s">
        <v>97</v>
      </c>
      <c r="E3838" s="2" t="s">
        <v>21084</v>
      </c>
      <c r="F3838" s="2" t="s">
        <v>31</v>
      </c>
      <c r="G3838" s="2" t="s">
        <v>32</v>
      </c>
      <c r="H3838" s="1"/>
      <c r="I3838" s="2" t="s">
        <v>33</v>
      </c>
      <c r="J3838" s="2" t="s">
        <v>34</v>
      </c>
      <c r="K3838" s="2" t="s">
        <v>21671</v>
      </c>
      <c r="L3838" s="2" t="s">
        <v>21672</v>
      </c>
      <c r="M3838" s="2" t="s">
        <v>21637</v>
      </c>
      <c r="N3838" s="2" t="s">
        <v>38</v>
      </c>
      <c r="O3838" s="2" t="s">
        <v>252</v>
      </c>
      <c r="P3838" s="2" t="s">
        <v>21194</v>
      </c>
      <c r="Q3838" s="2" t="s">
        <v>21673</v>
      </c>
      <c r="R3838" s="2" t="s">
        <v>40</v>
      </c>
      <c r="S3838" s="2" t="s">
        <v>21674</v>
      </c>
      <c r="T3838" s="2" t="s">
        <v>3110</v>
      </c>
      <c r="U3838" s="2" t="s">
        <v>13150</v>
      </c>
      <c r="V3838" s="2" t="s">
        <v>21675</v>
      </c>
      <c r="W3838" s="1"/>
      <c r="X3838" s="2" t="s">
        <v>6840</v>
      </c>
      <c r="Y3838" s="2" t="s">
        <v>21087</v>
      </c>
      <c r="AA3838" t="str">
        <f t="shared" si="354"/>
        <v>2025-02</v>
      </c>
      <c r="AB3838" t="str">
        <f t="shared" si="355"/>
        <v>H1_2025</v>
      </c>
      <c r="AC3838">
        <f t="shared" si="356"/>
        <v>194438.72</v>
      </c>
      <c r="AD3838">
        <f t="shared" si="357"/>
        <v>32</v>
      </c>
      <c r="AE3838">
        <f t="shared" si="358"/>
        <v>66438.720000000001</v>
      </c>
      <c r="AF3838" t="str">
        <f t="shared" si="359"/>
        <v>Paid</v>
      </c>
    </row>
    <row r="3839" spans="1:32" ht="17.25" thickBot="1" x14ac:dyDescent="0.35">
      <c r="A3839" s="2" t="s">
        <v>21676</v>
      </c>
      <c r="B3839" s="2" t="s">
        <v>27</v>
      </c>
      <c r="C3839" s="2" t="s">
        <v>28</v>
      </c>
      <c r="D3839" s="2" t="s">
        <v>97</v>
      </c>
      <c r="E3839" s="2" t="s">
        <v>21084</v>
      </c>
      <c r="F3839" s="2" t="s">
        <v>31</v>
      </c>
      <c r="G3839" s="2" t="s">
        <v>32</v>
      </c>
      <c r="H3839" s="1"/>
      <c r="I3839" s="2" t="s">
        <v>33</v>
      </c>
      <c r="J3839" s="2" t="s">
        <v>34</v>
      </c>
      <c r="K3839" s="2" t="s">
        <v>21677</v>
      </c>
      <c r="L3839" s="2" t="s">
        <v>21678</v>
      </c>
      <c r="M3839" s="2" t="s">
        <v>21637</v>
      </c>
      <c r="N3839" s="2" t="s">
        <v>38</v>
      </c>
      <c r="O3839" s="2" t="s">
        <v>51</v>
      </c>
      <c r="P3839" s="2" t="s">
        <v>1133</v>
      </c>
      <c r="Q3839" s="2" t="s">
        <v>21679</v>
      </c>
      <c r="R3839" s="2" t="s">
        <v>40</v>
      </c>
      <c r="S3839" s="2" t="s">
        <v>21680</v>
      </c>
      <c r="T3839" s="2" t="s">
        <v>17089</v>
      </c>
      <c r="U3839" s="2" t="s">
        <v>17090</v>
      </c>
      <c r="V3839" s="2" t="s">
        <v>21681</v>
      </c>
      <c r="W3839" s="1"/>
      <c r="X3839" s="2" t="s">
        <v>10126</v>
      </c>
      <c r="Y3839" s="2" t="s">
        <v>21087</v>
      </c>
      <c r="AA3839" t="str">
        <f t="shared" si="354"/>
        <v>2025-02</v>
      </c>
      <c r="AB3839" t="str">
        <f t="shared" si="355"/>
        <v>H1_2025</v>
      </c>
      <c r="AC3839">
        <f t="shared" si="356"/>
        <v>14599.98</v>
      </c>
      <c r="AD3839">
        <f t="shared" si="357"/>
        <v>3</v>
      </c>
      <c r="AE3839">
        <f t="shared" si="358"/>
        <v>5053.9799999999996</v>
      </c>
      <c r="AF3839" t="str">
        <f t="shared" si="359"/>
        <v>Paid</v>
      </c>
    </row>
    <row r="3840" spans="1:32" ht="17.25" thickBot="1" x14ac:dyDescent="0.35">
      <c r="A3840" s="2" t="s">
        <v>21682</v>
      </c>
      <c r="B3840" s="2" t="s">
        <v>27</v>
      </c>
      <c r="C3840" s="2" t="s">
        <v>28</v>
      </c>
      <c r="D3840" s="2" t="s">
        <v>97</v>
      </c>
      <c r="E3840" s="2" t="s">
        <v>21084</v>
      </c>
      <c r="F3840" s="2" t="s">
        <v>31</v>
      </c>
      <c r="G3840" s="2" t="s">
        <v>32</v>
      </c>
      <c r="H3840" s="1"/>
      <c r="I3840" s="2" t="s">
        <v>33</v>
      </c>
      <c r="J3840" s="2" t="s">
        <v>34</v>
      </c>
      <c r="K3840" s="2" t="s">
        <v>21683</v>
      </c>
      <c r="L3840" s="2" t="s">
        <v>21684</v>
      </c>
      <c r="M3840" s="2" t="s">
        <v>21637</v>
      </c>
      <c r="N3840" s="2" t="s">
        <v>38</v>
      </c>
      <c r="O3840" s="2" t="s">
        <v>79</v>
      </c>
      <c r="P3840" s="2" t="s">
        <v>21685</v>
      </c>
      <c r="Q3840" s="2" t="s">
        <v>21686</v>
      </c>
      <c r="R3840" s="2" t="s">
        <v>40</v>
      </c>
      <c r="S3840" s="2" t="s">
        <v>21687</v>
      </c>
      <c r="T3840" s="2" t="s">
        <v>13208</v>
      </c>
      <c r="U3840" s="2" t="s">
        <v>21688</v>
      </c>
      <c r="V3840" s="2" t="s">
        <v>21689</v>
      </c>
      <c r="W3840" s="1"/>
      <c r="X3840" s="2" t="s">
        <v>290</v>
      </c>
      <c r="Y3840" s="2" t="s">
        <v>21087</v>
      </c>
      <c r="AA3840" t="str">
        <f t="shared" si="354"/>
        <v>2025-02</v>
      </c>
      <c r="AB3840" t="str">
        <f t="shared" si="355"/>
        <v>H1_2025</v>
      </c>
      <c r="AC3840">
        <f t="shared" si="356"/>
        <v>31448.3</v>
      </c>
      <c r="AD3840">
        <f t="shared" si="357"/>
        <v>10</v>
      </c>
      <c r="AE3840">
        <f t="shared" si="358"/>
        <v>12248.3</v>
      </c>
      <c r="AF3840" t="str">
        <f t="shared" si="359"/>
        <v>Paid</v>
      </c>
    </row>
    <row r="3841" spans="1:32" ht="17.25" thickBot="1" x14ac:dyDescent="0.35">
      <c r="A3841" s="2" t="s">
        <v>21690</v>
      </c>
      <c r="B3841" s="2" t="s">
        <v>27</v>
      </c>
      <c r="C3841" s="2" t="s">
        <v>28</v>
      </c>
      <c r="D3841" s="2" t="s">
        <v>97</v>
      </c>
      <c r="E3841" s="2" t="s">
        <v>21084</v>
      </c>
      <c r="F3841" s="2" t="s">
        <v>31</v>
      </c>
      <c r="G3841" s="2" t="s">
        <v>32</v>
      </c>
      <c r="H3841" s="1"/>
      <c r="I3841" s="2" t="s">
        <v>33</v>
      </c>
      <c r="J3841" s="2" t="s">
        <v>34</v>
      </c>
      <c r="K3841" s="2" t="s">
        <v>21691</v>
      </c>
      <c r="L3841" s="2" t="s">
        <v>21692</v>
      </c>
      <c r="M3841" s="2" t="s">
        <v>21637</v>
      </c>
      <c r="N3841" s="2" t="s">
        <v>38</v>
      </c>
      <c r="O3841" s="2" t="s">
        <v>63</v>
      </c>
      <c r="P3841" s="2" t="s">
        <v>1133</v>
      </c>
      <c r="Q3841" s="2" t="s">
        <v>21693</v>
      </c>
      <c r="R3841" s="2" t="s">
        <v>40</v>
      </c>
      <c r="S3841" s="2" t="s">
        <v>21694</v>
      </c>
      <c r="T3841" s="2" t="s">
        <v>2411</v>
      </c>
      <c r="U3841" s="2" t="s">
        <v>21695</v>
      </c>
      <c r="V3841" s="2" t="s">
        <v>21696</v>
      </c>
      <c r="W3841" s="1"/>
      <c r="X3841" s="2" t="s">
        <v>13351</v>
      </c>
      <c r="Y3841" s="2" t="s">
        <v>21087</v>
      </c>
      <c r="AA3841" t="str">
        <f t="shared" si="354"/>
        <v>2025-02</v>
      </c>
      <c r="AB3841" t="str">
        <f t="shared" si="355"/>
        <v>H1_2025</v>
      </c>
      <c r="AC3841">
        <f t="shared" si="356"/>
        <v>34066.620000000003</v>
      </c>
      <c r="AD3841">
        <f t="shared" si="357"/>
        <v>7</v>
      </c>
      <c r="AE3841">
        <f t="shared" si="358"/>
        <v>13066.62</v>
      </c>
      <c r="AF3841" t="str">
        <f t="shared" si="359"/>
        <v>Paid</v>
      </c>
    </row>
    <row r="3842" spans="1:32" ht="17.25" thickBot="1" x14ac:dyDescent="0.35">
      <c r="A3842" s="2" t="s">
        <v>21697</v>
      </c>
      <c r="B3842" s="2" t="s">
        <v>27</v>
      </c>
      <c r="C3842" s="2" t="s">
        <v>28</v>
      </c>
      <c r="D3842" s="2" t="s">
        <v>97</v>
      </c>
      <c r="E3842" s="2" t="s">
        <v>21084</v>
      </c>
      <c r="F3842" s="2" t="s">
        <v>31</v>
      </c>
      <c r="G3842" s="2" t="s">
        <v>32</v>
      </c>
      <c r="H3842" s="1"/>
      <c r="I3842" s="2" t="s">
        <v>33</v>
      </c>
      <c r="J3842" s="2" t="s">
        <v>34</v>
      </c>
      <c r="K3842" s="2" t="s">
        <v>21698</v>
      </c>
      <c r="L3842" s="2" t="s">
        <v>21699</v>
      </c>
      <c r="M3842" s="2" t="s">
        <v>7037</v>
      </c>
      <c r="N3842" s="2" t="s">
        <v>38</v>
      </c>
      <c r="O3842" s="2" t="s">
        <v>26</v>
      </c>
      <c r="P3842" s="2" t="s">
        <v>21700</v>
      </c>
      <c r="Q3842" s="2" t="s">
        <v>21700</v>
      </c>
      <c r="R3842" s="2" t="s">
        <v>40</v>
      </c>
      <c r="S3842" s="2" t="s">
        <v>21701</v>
      </c>
      <c r="T3842" s="2" t="s">
        <v>5680</v>
      </c>
      <c r="U3842" s="2" t="s">
        <v>5680</v>
      </c>
      <c r="V3842" s="2" t="s">
        <v>21702</v>
      </c>
      <c r="W3842" s="1"/>
      <c r="X3842" s="2" t="s">
        <v>5108</v>
      </c>
      <c r="Y3842" s="2" t="s">
        <v>21087</v>
      </c>
      <c r="AA3842" t="str">
        <f t="shared" si="354"/>
        <v>2025-02</v>
      </c>
      <c r="AB3842" t="str">
        <f t="shared" si="355"/>
        <v>H1_2025</v>
      </c>
      <c r="AC3842">
        <f t="shared" si="356"/>
        <v>17844.419999999998</v>
      </c>
      <c r="AD3842">
        <f t="shared" si="357"/>
        <v>1</v>
      </c>
      <c r="AE3842">
        <f t="shared" si="358"/>
        <v>5594.42</v>
      </c>
      <c r="AF3842" t="str">
        <f t="shared" si="359"/>
        <v>Paid</v>
      </c>
    </row>
    <row r="3843" spans="1:32" ht="17.25" thickBot="1" x14ac:dyDescent="0.35">
      <c r="A3843" s="2" t="s">
        <v>21703</v>
      </c>
      <c r="B3843" s="2" t="s">
        <v>27</v>
      </c>
      <c r="C3843" s="2" t="s">
        <v>28</v>
      </c>
      <c r="D3843" s="2" t="s">
        <v>97</v>
      </c>
      <c r="E3843" s="2" t="s">
        <v>21084</v>
      </c>
      <c r="F3843" s="2" t="s">
        <v>31</v>
      </c>
      <c r="G3843" s="2" t="s">
        <v>32</v>
      </c>
      <c r="H3843" s="1"/>
      <c r="I3843" s="2" t="s">
        <v>33</v>
      </c>
      <c r="J3843" s="2" t="s">
        <v>34</v>
      </c>
      <c r="K3843" s="2" t="s">
        <v>21698</v>
      </c>
      <c r="L3843" s="2" t="s">
        <v>21699</v>
      </c>
      <c r="M3843" s="2" t="s">
        <v>7037</v>
      </c>
      <c r="N3843" s="2" t="s">
        <v>38</v>
      </c>
      <c r="O3843" s="2" t="s">
        <v>44</v>
      </c>
      <c r="P3843" s="2" t="s">
        <v>21700</v>
      </c>
      <c r="Q3843" s="2" t="s">
        <v>21704</v>
      </c>
      <c r="R3843" s="2" t="s">
        <v>40</v>
      </c>
      <c r="S3843" s="2" t="s">
        <v>21705</v>
      </c>
      <c r="T3843" s="2" t="s">
        <v>5680</v>
      </c>
      <c r="U3843" s="2" t="s">
        <v>21706</v>
      </c>
      <c r="V3843" s="2" t="s">
        <v>21707</v>
      </c>
      <c r="W3843" s="1"/>
      <c r="X3843" s="2" t="s">
        <v>5108</v>
      </c>
      <c r="Y3843" s="2" t="s">
        <v>21087</v>
      </c>
      <c r="AA3843" t="str">
        <f t="shared" si="354"/>
        <v>2025-02</v>
      </c>
      <c r="AB3843" t="str">
        <f t="shared" si="355"/>
        <v>H1_2025</v>
      </c>
      <c r="AC3843">
        <f t="shared" si="356"/>
        <v>35688.839999999997</v>
      </c>
      <c r="AD3843">
        <f t="shared" si="357"/>
        <v>2</v>
      </c>
      <c r="AE3843">
        <f t="shared" si="358"/>
        <v>11188.84</v>
      </c>
      <c r="AF3843" t="str">
        <f t="shared" si="359"/>
        <v>Paid</v>
      </c>
    </row>
    <row r="3844" spans="1:32" ht="17.25" thickBot="1" x14ac:dyDescent="0.35">
      <c r="A3844" s="2" t="s">
        <v>21708</v>
      </c>
      <c r="B3844" s="2" t="s">
        <v>27</v>
      </c>
      <c r="C3844" s="2" t="s">
        <v>28</v>
      </c>
      <c r="D3844" s="2" t="s">
        <v>97</v>
      </c>
      <c r="E3844" s="2" t="s">
        <v>21084</v>
      </c>
      <c r="F3844" s="2" t="s">
        <v>31</v>
      </c>
      <c r="G3844" s="2" t="s">
        <v>32</v>
      </c>
      <c r="H3844" s="1"/>
      <c r="I3844" s="2" t="s">
        <v>33</v>
      </c>
      <c r="J3844" s="2" t="s">
        <v>34</v>
      </c>
      <c r="K3844" s="2" t="s">
        <v>21709</v>
      </c>
      <c r="L3844" s="2" t="s">
        <v>21710</v>
      </c>
      <c r="M3844" s="2" t="s">
        <v>21711</v>
      </c>
      <c r="N3844" s="2" t="s">
        <v>38</v>
      </c>
      <c r="O3844" s="2" t="s">
        <v>63</v>
      </c>
      <c r="P3844" s="2" t="s">
        <v>40</v>
      </c>
      <c r="Q3844" s="2" t="s">
        <v>40</v>
      </c>
      <c r="R3844" s="2" t="s">
        <v>40</v>
      </c>
      <c r="S3844" s="2" t="s">
        <v>40</v>
      </c>
      <c r="T3844" s="2" t="s">
        <v>40</v>
      </c>
      <c r="U3844" s="2" t="s">
        <v>40</v>
      </c>
      <c r="V3844" s="2" t="s">
        <v>40</v>
      </c>
      <c r="W3844" s="2" t="s">
        <v>41</v>
      </c>
      <c r="X3844" s="2" t="s">
        <v>42</v>
      </c>
      <c r="Y3844" s="2" t="s">
        <v>21087</v>
      </c>
      <c r="AA3844" t="str">
        <f t="shared" ref="AA3844:AA3907" si="360">LEFT(E3844,7)</f>
        <v>2025-02</v>
      </c>
      <c r="AB3844" t="str">
        <f t="shared" ref="AB3844:AB3907" si="361">IF(AND($AA3844&gt;="2025-01",$AA3844&lt;="2025-06"),"H1_2025",IF(AND($AA3844&gt;="2026-01",$AA3844&lt;="2026-06"),"H1_2026",""))</f>
        <v>H1_2025</v>
      </c>
      <c r="AC3844">
        <f t="shared" ref="AC3844:AC3907" si="362">IFERROR(VALUE(SUBSTITUTE(S3844,",","")),0)</f>
        <v>0</v>
      </c>
      <c r="AD3844">
        <f t="shared" ref="AD3844:AD3907" si="363">IFERROR(VALUE(SUBSTITUTE(O3844,",","")),0)</f>
        <v>7</v>
      </c>
      <c r="AE3844">
        <f t="shared" ref="AE3844:AE3907" si="364">IFERROR(VALUE(SUBSTITUTE(V3844,",","")),0)</f>
        <v>0</v>
      </c>
      <c r="AF3844" t="str">
        <f t="shared" ref="AF3844:AF3907" si="365">IF(ISNUMBER(SEARCH("FOC",W3844)),"FOC",IF(ISNUMBER(SEARCH("샘플",W3844)),"Sample","Paid"))</f>
        <v>Sample</v>
      </c>
    </row>
    <row r="3845" spans="1:32" ht="17.25" thickBot="1" x14ac:dyDescent="0.35">
      <c r="A3845" s="2" t="s">
        <v>21712</v>
      </c>
      <c r="B3845" s="2" t="s">
        <v>27</v>
      </c>
      <c r="C3845" s="2" t="s">
        <v>28</v>
      </c>
      <c r="D3845" s="2" t="s">
        <v>97</v>
      </c>
      <c r="E3845" s="2" t="s">
        <v>21084</v>
      </c>
      <c r="F3845" s="2" t="s">
        <v>31</v>
      </c>
      <c r="G3845" s="2" t="s">
        <v>32</v>
      </c>
      <c r="H3845" s="1"/>
      <c r="I3845" s="2" t="s">
        <v>33</v>
      </c>
      <c r="J3845" s="2" t="s">
        <v>34</v>
      </c>
      <c r="K3845" s="2" t="s">
        <v>21713</v>
      </c>
      <c r="L3845" s="2" t="s">
        <v>21714</v>
      </c>
      <c r="M3845" s="2" t="s">
        <v>21711</v>
      </c>
      <c r="N3845" s="2" t="s">
        <v>38</v>
      </c>
      <c r="O3845" s="2" t="s">
        <v>63</v>
      </c>
      <c r="P3845" s="2" t="s">
        <v>40</v>
      </c>
      <c r="Q3845" s="2" t="s">
        <v>40</v>
      </c>
      <c r="R3845" s="2" t="s">
        <v>40</v>
      </c>
      <c r="S3845" s="2" t="s">
        <v>40</v>
      </c>
      <c r="T3845" s="2" t="s">
        <v>40</v>
      </c>
      <c r="U3845" s="2" t="s">
        <v>40</v>
      </c>
      <c r="V3845" s="2" t="s">
        <v>40</v>
      </c>
      <c r="W3845" s="2" t="s">
        <v>41</v>
      </c>
      <c r="X3845" s="2" t="s">
        <v>42</v>
      </c>
      <c r="Y3845" s="2" t="s">
        <v>21087</v>
      </c>
      <c r="AA3845" t="str">
        <f t="shared" si="360"/>
        <v>2025-02</v>
      </c>
      <c r="AB3845" t="str">
        <f t="shared" si="361"/>
        <v>H1_2025</v>
      </c>
      <c r="AC3845">
        <f t="shared" si="362"/>
        <v>0</v>
      </c>
      <c r="AD3845">
        <f t="shared" si="363"/>
        <v>7</v>
      </c>
      <c r="AE3845">
        <f t="shared" si="364"/>
        <v>0</v>
      </c>
      <c r="AF3845" t="str">
        <f t="shared" si="365"/>
        <v>Sample</v>
      </c>
    </row>
    <row r="3846" spans="1:32" ht="17.25" thickBot="1" x14ac:dyDescent="0.35">
      <c r="A3846" s="2" t="s">
        <v>21715</v>
      </c>
      <c r="B3846" s="2" t="s">
        <v>27</v>
      </c>
      <c r="C3846" s="2" t="s">
        <v>28</v>
      </c>
      <c r="D3846" s="2" t="s">
        <v>97</v>
      </c>
      <c r="E3846" s="2" t="s">
        <v>21084</v>
      </c>
      <c r="F3846" s="2" t="s">
        <v>31</v>
      </c>
      <c r="G3846" s="2" t="s">
        <v>32</v>
      </c>
      <c r="H3846" s="1"/>
      <c r="I3846" s="2" t="s">
        <v>33</v>
      </c>
      <c r="J3846" s="2" t="s">
        <v>34</v>
      </c>
      <c r="K3846" s="2" t="s">
        <v>21716</v>
      </c>
      <c r="L3846" s="2" t="s">
        <v>21717</v>
      </c>
      <c r="M3846" s="2" t="s">
        <v>21711</v>
      </c>
      <c r="N3846" s="2" t="s">
        <v>38</v>
      </c>
      <c r="O3846" s="2" t="s">
        <v>63</v>
      </c>
      <c r="P3846" s="2" t="s">
        <v>40</v>
      </c>
      <c r="Q3846" s="2" t="s">
        <v>40</v>
      </c>
      <c r="R3846" s="2" t="s">
        <v>40</v>
      </c>
      <c r="S3846" s="2" t="s">
        <v>40</v>
      </c>
      <c r="T3846" s="2" t="s">
        <v>40</v>
      </c>
      <c r="U3846" s="2" t="s">
        <v>40</v>
      </c>
      <c r="V3846" s="2" t="s">
        <v>40</v>
      </c>
      <c r="W3846" s="2" t="s">
        <v>41</v>
      </c>
      <c r="X3846" s="2" t="s">
        <v>42</v>
      </c>
      <c r="Y3846" s="2" t="s">
        <v>21087</v>
      </c>
      <c r="AA3846" t="str">
        <f t="shared" si="360"/>
        <v>2025-02</v>
      </c>
      <c r="AB3846" t="str">
        <f t="shared" si="361"/>
        <v>H1_2025</v>
      </c>
      <c r="AC3846">
        <f t="shared" si="362"/>
        <v>0</v>
      </c>
      <c r="AD3846">
        <f t="shared" si="363"/>
        <v>7</v>
      </c>
      <c r="AE3846">
        <f t="shared" si="364"/>
        <v>0</v>
      </c>
      <c r="AF3846" t="str">
        <f t="shared" si="365"/>
        <v>Sample</v>
      </c>
    </row>
    <row r="3847" spans="1:32" ht="17.25" thickBot="1" x14ac:dyDescent="0.35">
      <c r="A3847" s="2" t="s">
        <v>21718</v>
      </c>
      <c r="B3847" s="2" t="s">
        <v>27</v>
      </c>
      <c r="C3847" s="2" t="s">
        <v>28</v>
      </c>
      <c r="D3847" s="2" t="s">
        <v>97</v>
      </c>
      <c r="E3847" s="2" t="s">
        <v>21084</v>
      </c>
      <c r="F3847" s="2" t="s">
        <v>31</v>
      </c>
      <c r="G3847" s="2" t="s">
        <v>32</v>
      </c>
      <c r="H3847" s="1"/>
      <c r="I3847" s="2" t="s">
        <v>33</v>
      </c>
      <c r="J3847" s="2" t="s">
        <v>34</v>
      </c>
      <c r="K3847" s="2" t="s">
        <v>19443</v>
      </c>
      <c r="L3847" s="2" t="s">
        <v>19444</v>
      </c>
      <c r="M3847" s="2" t="s">
        <v>17908</v>
      </c>
      <c r="N3847" s="2" t="s">
        <v>38</v>
      </c>
      <c r="O3847" s="2" t="s">
        <v>57</v>
      </c>
      <c r="P3847" s="2" t="s">
        <v>40</v>
      </c>
      <c r="Q3847" s="2" t="s">
        <v>40</v>
      </c>
      <c r="R3847" s="2" t="s">
        <v>40</v>
      </c>
      <c r="S3847" s="2" t="s">
        <v>40</v>
      </c>
      <c r="T3847" s="2" t="s">
        <v>19447</v>
      </c>
      <c r="U3847" s="2" t="s">
        <v>21719</v>
      </c>
      <c r="V3847" s="2" t="s">
        <v>21720</v>
      </c>
      <c r="W3847" s="2" t="s">
        <v>41</v>
      </c>
      <c r="X3847" s="2" t="s">
        <v>42</v>
      </c>
      <c r="Y3847" s="2" t="s">
        <v>21087</v>
      </c>
      <c r="AA3847" t="str">
        <f t="shared" si="360"/>
        <v>2025-02</v>
      </c>
      <c r="AB3847" t="str">
        <f t="shared" si="361"/>
        <v>H1_2025</v>
      </c>
      <c r="AC3847">
        <f t="shared" si="362"/>
        <v>0</v>
      </c>
      <c r="AD3847">
        <f t="shared" si="363"/>
        <v>5</v>
      </c>
      <c r="AE3847">
        <f t="shared" si="364"/>
        <v>-35910</v>
      </c>
      <c r="AF3847" t="str">
        <f t="shared" si="365"/>
        <v>Sample</v>
      </c>
    </row>
    <row r="3848" spans="1:32" ht="17.25" thickBot="1" x14ac:dyDescent="0.35">
      <c r="A3848" s="2" t="s">
        <v>21721</v>
      </c>
      <c r="B3848" s="2" t="s">
        <v>27</v>
      </c>
      <c r="C3848" s="2" t="s">
        <v>28</v>
      </c>
      <c r="D3848" s="2" t="s">
        <v>97</v>
      </c>
      <c r="E3848" s="2" t="s">
        <v>21084</v>
      </c>
      <c r="F3848" s="2" t="s">
        <v>31</v>
      </c>
      <c r="G3848" s="2" t="s">
        <v>32</v>
      </c>
      <c r="H3848" s="1"/>
      <c r="I3848" s="2" t="s">
        <v>33</v>
      </c>
      <c r="J3848" s="2" t="s">
        <v>34</v>
      </c>
      <c r="K3848" s="2" t="s">
        <v>19465</v>
      </c>
      <c r="L3848" s="2" t="s">
        <v>19466</v>
      </c>
      <c r="M3848" s="2" t="s">
        <v>17908</v>
      </c>
      <c r="N3848" s="2" t="s">
        <v>38</v>
      </c>
      <c r="O3848" s="2" t="s">
        <v>57</v>
      </c>
      <c r="P3848" s="2" t="s">
        <v>40</v>
      </c>
      <c r="Q3848" s="2" t="s">
        <v>40</v>
      </c>
      <c r="R3848" s="2" t="s">
        <v>40</v>
      </c>
      <c r="S3848" s="2" t="s">
        <v>40</v>
      </c>
      <c r="T3848" s="2" t="s">
        <v>7691</v>
      </c>
      <c r="U3848" s="2" t="s">
        <v>21722</v>
      </c>
      <c r="V3848" s="2" t="s">
        <v>21723</v>
      </c>
      <c r="W3848" s="2" t="s">
        <v>41</v>
      </c>
      <c r="X3848" s="2" t="s">
        <v>42</v>
      </c>
      <c r="Y3848" s="2" t="s">
        <v>21087</v>
      </c>
      <c r="AA3848" t="str">
        <f t="shared" si="360"/>
        <v>2025-02</v>
      </c>
      <c r="AB3848" t="str">
        <f t="shared" si="361"/>
        <v>H1_2025</v>
      </c>
      <c r="AC3848">
        <f t="shared" si="362"/>
        <v>0</v>
      </c>
      <c r="AD3848">
        <f t="shared" si="363"/>
        <v>5</v>
      </c>
      <c r="AE3848">
        <f t="shared" si="364"/>
        <v>-31365</v>
      </c>
      <c r="AF3848" t="str">
        <f t="shared" si="365"/>
        <v>Sample</v>
      </c>
    </row>
    <row r="3849" spans="1:32" ht="17.25" thickBot="1" x14ac:dyDescent="0.35">
      <c r="A3849" s="2" t="s">
        <v>21724</v>
      </c>
      <c r="B3849" s="2" t="s">
        <v>27</v>
      </c>
      <c r="C3849" s="2" t="s">
        <v>28</v>
      </c>
      <c r="D3849" s="2" t="s">
        <v>97</v>
      </c>
      <c r="E3849" s="2" t="s">
        <v>21084</v>
      </c>
      <c r="F3849" s="2" t="s">
        <v>31</v>
      </c>
      <c r="G3849" s="2" t="s">
        <v>32</v>
      </c>
      <c r="H3849" s="1"/>
      <c r="I3849" s="2" t="s">
        <v>33</v>
      </c>
      <c r="J3849" s="2" t="s">
        <v>34</v>
      </c>
      <c r="K3849" s="2" t="s">
        <v>17959</v>
      </c>
      <c r="L3849" s="2" t="s">
        <v>17960</v>
      </c>
      <c r="M3849" s="2" t="s">
        <v>17908</v>
      </c>
      <c r="N3849" s="2" t="s">
        <v>38</v>
      </c>
      <c r="O3849" s="2" t="s">
        <v>57</v>
      </c>
      <c r="P3849" s="2" t="s">
        <v>40</v>
      </c>
      <c r="Q3849" s="2" t="s">
        <v>40</v>
      </c>
      <c r="R3849" s="2" t="s">
        <v>40</v>
      </c>
      <c r="S3849" s="2" t="s">
        <v>40</v>
      </c>
      <c r="T3849" s="2" t="s">
        <v>17962</v>
      </c>
      <c r="U3849" s="2" t="s">
        <v>21725</v>
      </c>
      <c r="V3849" s="2" t="s">
        <v>21726</v>
      </c>
      <c r="W3849" s="2" t="s">
        <v>41</v>
      </c>
      <c r="X3849" s="2" t="s">
        <v>42</v>
      </c>
      <c r="Y3849" s="2" t="s">
        <v>21087</v>
      </c>
      <c r="AA3849" t="str">
        <f t="shared" si="360"/>
        <v>2025-02</v>
      </c>
      <c r="AB3849" t="str">
        <f t="shared" si="361"/>
        <v>H1_2025</v>
      </c>
      <c r="AC3849">
        <f t="shared" si="362"/>
        <v>0</v>
      </c>
      <c r="AD3849">
        <f t="shared" si="363"/>
        <v>5</v>
      </c>
      <c r="AE3849">
        <f t="shared" si="364"/>
        <v>-27205</v>
      </c>
      <c r="AF3849" t="str">
        <f t="shared" si="365"/>
        <v>Sample</v>
      </c>
    </row>
    <row r="3850" spans="1:32" ht="17.25" thickBot="1" x14ac:dyDescent="0.35">
      <c r="A3850" s="2" t="s">
        <v>21727</v>
      </c>
      <c r="B3850" s="2" t="s">
        <v>27</v>
      </c>
      <c r="C3850" s="2" t="s">
        <v>28</v>
      </c>
      <c r="D3850" s="2" t="s">
        <v>97</v>
      </c>
      <c r="E3850" s="2" t="s">
        <v>21084</v>
      </c>
      <c r="F3850" s="2" t="s">
        <v>31</v>
      </c>
      <c r="G3850" s="2" t="s">
        <v>32</v>
      </c>
      <c r="H3850" s="1"/>
      <c r="I3850" s="2" t="s">
        <v>33</v>
      </c>
      <c r="J3850" s="2" t="s">
        <v>34</v>
      </c>
      <c r="K3850" s="2" t="s">
        <v>19480</v>
      </c>
      <c r="L3850" s="2" t="s">
        <v>19481</v>
      </c>
      <c r="M3850" s="2" t="s">
        <v>17908</v>
      </c>
      <c r="N3850" s="2" t="s">
        <v>38</v>
      </c>
      <c r="O3850" s="2" t="s">
        <v>57</v>
      </c>
      <c r="P3850" s="2" t="s">
        <v>40</v>
      </c>
      <c r="Q3850" s="2" t="s">
        <v>40</v>
      </c>
      <c r="R3850" s="2" t="s">
        <v>40</v>
      </c>
      <c r="S3850" s="2" t="s">
        <v>40</v>
      </c>
      <c r="T3850" s="2" t="s">
        <v>7691</v>
      </c>
      <c r="U3850" s="2" t="s">
        <v>21722</v>
      </c>
      <c r="V3850" s="2" t="s">
        <v>21723</v>
      </c>
      <c r="W3850" s="2" t="s">
        <v>41</v>
      </c>
      <c r="X3850" s="2" t="s">
        <v>42</v>
      </c>
      <c r="Y3850" s="2" t="s">
        <v>21087</v>
      </c>
      <c r="AA3850" t="str">
        <f t="shared" si="360"/>
        <v>2025-02</v>
      </c>
      <c r="AB3850" t="str">
        <f t="shared" si="361"/>
        <v>H1_2025</v>
      </c>
      <c r="AC3850">
        <f t="shared" si="362"/>
        <v>0</v>
      </c>
      <c r="AD3850">
        <f t="shared" si="363"/>
        <v>5</v>
      </c>
      <c r="AE3850">
        <f t="shared" si="364"/>
        <v>-31365</v>
      </c>
      <c r="AF3850" t="str">
        <f t="shared" si="365"/>
        <v>Sample</v>
      </c>
    </row>
    <row r="3851" spans="1:32" ht="17.25" thickBot="1" x14ac:dyDescent="0.35">
      <c r="A3851" s="2" t="s">
        <v>21728</v>
      </c>
      <c r="B3851" s="2" t="s">
        <v>27</v>
      </c>
      <c r="C3851" s="2" t="s">
        <v>28</v>
      </c>
      <c r="D3851" s="2" t="s">
        <v>97</v>
      </c>
      <c r="E3851" s="2" t="s">
        <v>21084</v>
      </c>
      <c r="F3851" s="2" t="s">
        <v>31</v>
      </c>
      <c r="G3851" s="2" t="s">
        <v>32</v>
      </c>
      <c r="H3851" s="1"/>
      <c r="I3851" s="2" t="s">
        <v>33</v>
      </c>
      <c r="J3851" s="2" t="s">
        <v>34</v>
      </c>
      <c r="K3851" s="2" t="s">
        <v>19485</v>
      </c>
      <c r="L3851" s="2" t="s">
        <v>19486</v>
      </c>
      <c r="M3851" s="2" t="s">
        <v>17908</v>
      </c>
      <c r="N3851" s="2" t="s">
        <v>38</v>
      </c>
      <c r="O3851" s="2" t="s">
        <v>57</v>
      </c>
      <c r="P3851" s="2" t="s">
        <v>40</v>
      </c>
      <c r="Q3851" s="2" t="s">
        <v>40</v>
      </c>
      <c r="R3851" s="2" t="s">
        <v>40</v>
      </c>
      <c r="S3851" s="2" t="s">
        <v>40</v>
      </c>
      <c r="T3851" s="2" t="s">
        <v>18768</v>
      </c>
      <c r="U3851" s="2" t="s">
        <v>21729</v>
      </c>
      <c r="V3851" s="2" t="s">
        <v>21730</v>
      </c>
      <c r="W3851" s="2" t="s">
        <v>41</v>
      </c>
      <c r="X3851" s="2" t="s">
        <v>42</v>
      </c>
      <c r="Y3851" s="2" t="s">
        <v>21087</v>
      </c>
      <c r="AA3851" t="str">
        <f t="shared" si="360"/>
        <v>2025-02</v>
      </c>
      <c r="AB3851" t="str">
        <f t="shared" si="361"/>
        <v>H1_2025</v>
      </c>
      <c r="AC3851">
        <f t="shared" si="362"/>
        <v>0</v>
      </c>
      <c r="AD3851">
        <f t="shared" si="363"/>
        <v>5</v>
      </c>
      <c r="AE3851">
        <f t="shared" si="364"/>
        <v>-29020</v>
      </c>
      <c r="AF3851" t="str">
        <f t="shared" si="365"/>
        <v>Sample</v>
      </c>
    </row>
    <row r="3852" spans="1:32" ht="17.25" thickBot="1" x14ac:dyDescent="0.35">
      <c r="A3852" s="2" t="s">
        <v>21731</v>
      </c>
      <c r="B3852" s="2" t="s">
        <v>27</v>
      </c>
      <c r="C3852" s="2" t="s">
        <v>28</v>
      </c>
      <c r="D3852" s="2" t="s">
        <v>97</v>
      </c>
      <c r="E3852" s="2" t="s">
        <v>21084</v>
      </c>
      <c r="F3852" s="2" t="s">
        <v>31</v>
      </c>
      <c r="G3852" s="2" t="s">
        <v>32</v>
      </c>
      <c r="H3852" s="1"/>
      <c r="I3852" s="2" t="s">
        <v>33</v>
      </c>
      <c r="J3852" s="2" t="s">
        <v>34</v>
      </c>
      <c r="K3852" s="2" t="s">
        <v>19491</v>
      </c>
      <c r="L3852" s="2" t="s">
        <v>19492</v>
      </c>
      <c r="M3852" s="2" t="s">
        <v>17908</v>
      </c>
      <c r="N3852" s="2" t="s">
        <v>38</v>
      </c>
      <c r="O3852" s="2" t="s">
        <v>57</v>
      </c>
      <c r="P3852" s="2" t="s">
        <v>40</v>
      </c>
      <c r="Q3852" s="2" t="s">
        <v>40</v>
      </c>
      <c r="R3852" s="2" t="s">
        <v>40</v>
      </c>
      <c r="S3852" s="2" t="s">
        <v>40</v>
      </c>
      <c r="T3852" s="2" t="s">
        <v>17962</v>
      </c>
      <c r="U3852" s="2" t="s">
        <v>21725</v>
      </c>
      <c r="V3852" s="2" t="s">
        <v>21726</v>
      </c>
      <c r="W3852" s="2" t="s">
        <v>41</v>
      </c>
      <c r="X3852" s="2" t="s">
        <v>42</v>
      </c>
      <c r="Y3852" s="2" t="s">
        <v>21087</v>
      </c>
      <c r="AA3852" t="str">
        <f t="shared" si="360"/>
        <v>2025-02</v>
      </c>
      <c r="AB3852" t="str">
        <f t="shared" si="361"/>
        <v>H1_2025</v>
      </c>
      <c r="AC3852">
        <f t="shared" si="362"/>
        <v>0</v>
      </c>
      <c r="AD3852">
        <f t="shared" si="363"/>
        <v>5</v>
      </c>
      <c r="AE3852">
        <f t="shared" si="364"/>
        <v>-27205</v>
      </c>
      <c r="AF3852" t="str">
        <f t="shared" si="365"/>
        <v>Sample</v>
      </c>
    </row>
    <row r="3853" spans="1:32" ht="17.25" thickBot="1" x14ac:dyDescent="0.35">
      <c r="A3853" s="2" t="s">
        <v>21732</v>
      </c>
      <c r="B3853" s="2" t="s">
        <v>27</v>
      </c>
      <c r="C3853" s="2" t="s">
        <v>28</v>
      </c>
      <c r="D3853" s="2" t="s">
        <v>97</v>
      </c>
      <c r="E3853" s="2" t="s">
        <v>21084</v>
      </c>
      <c r="F3853" s="2" t="s">
        <v>31</v>
      </c>
      <c r="G3853" s="2" t="s">
        <v>32</v>
      </c>
      <c r="H3853" s="1"/>
      <c r="I3853" s="2" t="s">
        <v>33</v>
      </c>
      <c r="J3853" s="2" t="s">
        <v>34</v>
      </c>
      <c r="K3853" s="2" t="s">
        <v>19498</v>
      </c>
      <c r="L3853" s="2" t="s">
        <v>19499</v>
      </c>
      <c r="M3853" s="2" t="s">
        <v>17908</v>
      </c>
      <c r="N3853" s="2" t="s">
        <v>38</v>
      </c>
      <c r="O3853" s="2" t="s">
        <v>57</v>
      </c>
      <c r="P3853" s="2" t="s">
        <v>40</v>
      </c>
      <c r="Q3853" s="2" t="s">
        <v>40</v>
      </c>
      <c r="R3853" s="2" t="s">
        <v>40</v>
      </c>
      <c r="S3853" s="2" t="s">
        <v>40</v>
      </c>
      <c r="T3853" s="2" t="s">
        <v>1747</v>
      </c>
      <c r="U3853" s="2" t="s">
        <v>6900</v>
      </c>
      <c r="V3853" s="2" t="s">
        <v>21733</v>
      </c>
      <c r="W3853" s="2" t="s">
        <v>41</v>
      </c>
      <c r="X3853" s="2" t="s">
        <v>42</v>
      </c>
      <c r="Y3853" s="2" t="s">
        <v>21087</v>
      </c>
      <c r="AA3853" t="str">
        <f t="shared" si="360"/>
        <v>2025-02</v>
      </c>
      <c r="AB3853" t="str">
        <f t="shared" si="361"/>
        <v>H1_2025</v>
      </c>
      <c r="AC3853">
        <f t="shared" si="362"/>
        <v>0</v>
      </c>
      <c r="AD3853">
        <f t="shared" si="363"/>
        <v>5</v>
      </c>
      <c r="AE3853">
        <f t="shared" si="364"/>
        <v>-45000</v>
      </c>
      <c r="AF3853" t="str">
        <f t="shared" si="365"/>
        <v>Sample</v>
      </c>
    </row>
    <row r="3854" spans="1:32" ht="17.25" thickBot="1" x14ac:dyDescent="0.35">
      <c r="A3854" s="2" t="s">
        <v>21734</v>
      </c>
      <c r="B3854" s="2" t="s">
        <v>27</v>
      </c>
      <c r="C3854" s="2" t="s">
        <v>28</v>
      </c>
      <c r="D3854" s="2" t="s">
        <v>97</v>
      </c>
      <c r="E3854" s="2" t="s">
        <v>21084</v>
      </c>
      <c r="F3854" s="2" t="s">
        <v>31</v>
      </c>
      <c r="G3854" s="2" t="s">
        <v>32</v>
      </c>
      <c r="H3854" s="1"/>
      <c r="I3854" s="2" t="s">
        <v>33</v>
      </c>
      <c r="J3854" s="2" t="s">
        <v>34</v>
      </c>
      <c r="K3854" s="2" t="s">
        <v>18764</v>
      </c>
      <c r="L3854" s="2" t="s">
        <v>18765</v>
      </c>
      <c r="M3854" s="2" t="s">
        <v>17908</v>
      </c>
      <c r="N3854" s="2" t="s">
        <v>38</v>
      </c>
      <c r="O3854" s="2" t="s">
        <v>57</v>
      </c>
      <c r="P3854" s="2" t="s">
        <v>40</v>
      </c>
      <c r="Q3854" s="2" t="s">
        <v>40</v>
      </c>
      <c r="R3854" s="2" t="s">
        <v>40</v>
      </c>
      <c r="S3854" s="2" t="s">
        <v>40</v>
      </c>
      <c r="T3854" s="2" t="s">
        <v>18768</v>
      </c>
      <c r="U3854" s="2" t="s">
        <v>21729</v>
      </c>
      <c r="V3854" s="2" t="s">
        <v>21730</v>
      </c>
      <c r="W3854" s="2" t="s">
        <v>41</v>
      </c>
      <c r="X3854" s="2" t="s">
        <v>42</v>
      </c>
      <c r="Y3854" s="2" t="s">
        <v>21087</v>
      </c>
      <c r="AA3854" t="str">
        <f t="shared" si="360"/>
        <v>2025-02</v>
      </c>
      <c r="AB3854" t="str">
        <f t="shared" si="361"/>
        <v>H1_2025</v>
      </c>
      <c r="AC3854">
        <f t="shared" si="362"/>
        <v>0</v>
      </c>
      <c r="AD3854">
        <f t="shared" si="363"/>
        <v>5</v>
      </c>
      <c r="AE3854">
        <f t="shared" si="364"/>
        <v>-29020</v>
      </c>
      <c r="AF3854" t="str">
        <f t="shared" si="365"/>
        <v>Sample</v>
      </c>
    </row>
    <row r="3855" spans="1:32" ht="17.25" thickBot="1" x14ac:dyDescent="0.35">
      <c r="A3855" s="2" t="s">
        <v>21735</v>
      </c>
      <c r="B3855" s="2" t="s">
        <v>27</v>
      </c>
      <c r="C3855" s="2" t="s">
        <v>28</v>
      </c>
      <c r="D3855" s="2" t="s">
        <v>97</v>
      </c>
      <c r="E3855" s="2" t="s">
        <v>21084</v>
      </c>
      <c r="F3855" s="2" t="s">
        <v>31</v>
      </c>
      <c r="G3855" s="2" t="s">
        <v>32</v>
      </c>
      <c r="H3855" s="1"/>
      <c r="I3855" s="2" t="s">
        <v>33</v>
      </c>
      <c r="J3855" s="2" t="s">
        <v>34</v>
      </c>
      <c r="K3855" s="2" t="s">
        <v>19508</v>
      </c>
      <c r="L3855" s="2" t="s">
        <v>19509</v>
      </c>
      <c r="M3855" s="2" t="s">
        <v>17908</v>
      </c>
      <c r="N3855" s="2" t="s">
        <v>38</v>
      </c>
      <c r="O3855" s="2" t="s">
        <v>57</v>
      </c>
      <c r="P3855" s="2" t="s">
        <v>40</v>
      </c>
      <c r="Q3855" s="2" t="s">
        <v>40</v>
      </c>
      <c r="R3855" s="2" t="s">
        <v>40</v>
      </c>
      <c r="S3855" s="2" t="s">
        <v>40</v>
      </c>
      <c r="T3855" s="2" t="s">
        <v>19447</v>
      </c>
      <c r="U3855" s="2" t="s">
        <v>21719</v>
      </c>
      <c r="V3855" s="2" t="s">
        <v>21720</v>
      </c>
      <c r="W3855" s="2" t="s">
        <v>41</v>
      </c>
      <c r="X3855" s="2" t="s">
        <v>42</v>
      </c>
      <c r="Y3855" s="2" t="s">
        <v>21087</v>
      </c>
      <c r="AA3855" t="str">
        <f t="shared" si="360"/>
        <v>2025-02</v>
      </c>
      <c r="AB3855" t="str">
        <f t="shared" si="361"/>
        <v>H1_2025</v>
      </c>
      <c r="AC3855">
        <f t="shared" si="362"/>
        <v>0</v>
      </c>
      <c r="AD3855">
        <f t="shared" si="363"/>
        <v>5</v>
      </c>
      <c r="AE3855">
        <f t="shared" si="364"/>
        <v>-35910</v>
      </c>
      <c r="AF3855" t="str">
        <f t="shared" si="365"/>
        <v>Sample</v>
      </c>
    </row>
    <row r="3856" spans="1:32" ht="17.25" thickBot="1" x14ac:dyDescent="0.35">
      <c r="A3856" s="2" t="s">
        <v>21736</v>
      </c>
      <c r="B3856" s="2" t="s">
        <v>27</v>
      </c>
      <c r="C3856" s="2" t="s">
        <v>28</v>
      </c>
      <c r="D3856" s="2" t="s">
        <v>97</v>
      </c>
      <c r="E3856" s="2" t="s">
        <v>21084</v>
      </c>
      <c r="F3856" s="2" t="s">
        <v>31</v>
      </c>
      <c r="G3856" s="2" t="s">
        <v>32</v>
      </c>
      <c r="H3856" s="1"/>
      <c r="I3856" s="2" t="s">
        <v>33</v>
      </c>
      <c r="J3856" s="2" t="s">
        <v>34</v>
      </c>
      <c r="K3856" s="2" t="s">
        <v>19515</v>
      </c>
      <c r="L3856" s="2" t="s">
        <v>19516</v>
      </c>
      <c r="M3856" s="2" t="s">
        <v>17908</v>
      </c>
      <c r="N3856" s="2" t="s">
        <v>38</v>
      </c>
      <c r="O3856" s="2" t="s">
        <v>57</v>
      </c>
      <c r="P3856" s="2" t="s">
        <v>40</v>
      </c>
      <c r="Q3856" s="2" t="s">
        <v>40</v>
      </c>
      <c r="R3856" s="2" t="s">
        <v>40</v>
      </c>
      <c r="S3856" s="2" t="s">
        <v>40</v>
      </c>
      <c r="T3856" s="2" t="s">
        <v>2411</v>
      </c>
      <c r="U3856" s="2" t="s">
        <v>144</v>
      </c>
      <c r="V3856" s="2" t="s">
        <v>21737</v>
      </c>
      <c r="W3856" s="2" t="s">
        <v>41</v>
      </c>
      <c r="X3856" s="2" t="s">
        <v>42</v>
      </c>
      <c r="Y3856" s="2" t="s">
        <v>21087</v>
      </c>
      <c r="AA3856" t="str">
        <f t="shared" si="360"/>
        <v>2025-02</v>
      </c>
      <c r="AB3856" t="str">
        <f t="shared" si="361"/>
        <v>H1_2025</v>
      </c>
      <c r="AC3856">
        <f t="shared" si="362"/>
        <v>0</v>
      </c>
      <c r="AD3856">
        <f t="shared" si="363"/>
        <v>5</v>
      </c>
      <c r="AE3856">
        <f t="shared" si="364"/>
        <v>-15000</v>
      </c>
      <c r="AF3856" t="str">
        <f t="shared" si="365"/>
        <v>Sample</v>
      </c>
    </row>
    <row r="3857" spans="1:32" ht="17.25" thickBot="1" x14ac:dyDescent="0.35">
      <c r="A3857" s="2" t="s">
        <v>21738</v>
      </c>
      <c r="B3857" s="2" t="s">
        <v>27</v>
      </c>
      <c r="C3857" s="2" t="s">
        <v>28</v>
      </c>
      <c r="D3857" s="2" t="s">
        <v>97</v>
      </c>
      <c r="E3857" s="2" t="s">
        <v>21084</v>
      </c>
      <c r="F3857" s="2" t="s">
        <v>31</v>
      </c>
      <c r="G3857" s="2" t="s">
        <v>32</v>
      </c>
      <c r="H3857" s="1"/>
      <c r="I3857" s="2" t="s">
        <v>33</v>
      </c>
      <c r="J3857" s="2" t="s">
        <v>34</v>
      </c>
      <c r="K3857" s="2" t="s">
        <v>19522</v>
      </c>
      <c r="L3857" s="2" t="s">
        <v>19523</v>
      </c>
      <c r="M3857" s="2" t="s">
        <v>17908</v>
      </c>
      <c r="N3857" s="2" t="s">
        <v>38</v>
      </c>
      <c r="O3857" s="2" t="s">
        <v>57</v>
      </c>
      <c r="P3857" s="2" t="s">
        <v>40</v>
      </c>
      <c r="Q3857" s="2" t="s">
        <v>40</v>
      </c>
      <c r="R3857" s="2" t="s">
        <v>40</v>
      </c>
      <c r="S3857" s="2" t="s">
        <v>40</v>
      </c>
      <c r="T3857" s="2" t="s">
        <v>7691</v>
      </c>
      <c r="U3857" s="2" t="s">
        <v>21722</v>
      </c>
      <c r="V3857" s="2" t="s">
        <v>21723</v>
      </c>
      <c r="W3857" s="2" t="s">
        <v>41</v>
      </c>
      <c r="X3857" s="2" t="s">
        <v>42</v>
      </c>
      <c r="Y3857" s="2" t="s">
        <v>21087</v>
      </c>
      <c r="AA3857" t="str">
        <f t="shared" si="360"/>
        <v>2025-02</v>
      </c>
      <c r="AB3857" t="str">
        <f t="shared" si="361"/>
        <v>H1_2025</v>
      </c>
      <c r="AC3857">
        <f t="shared" si="362"/>
        <v>0</v>
      </c>
      <c r="AD3857">
        <f t="shared" si="363"/>
        <v>5</v>
      </c>
      <c r="AE3857">
        <f t="shared" si="364"/>
        <v>-31365</v>
      </c>
      <c r="AF3857" t="str">
        <f t="shared" si="365"/>
        <v>Sample</v>
      </c>
    </row>
    <row r="3858" spans="1:32" ht="17.25" thickBot="1" x14ac:dyDescent="0.35">
      <c r="A3858" s="2" t="s">
        <v>21739</v>
      </c>
      <c r="B3858" s="2" t="s">
        <v>27</v>
      </c>
      <c r="C3858" s="2" t="s">
        <v>28</v>
      </c>
      <c r="D3858" s="2" t="s">
        <v>97</v>
      </c>
      <c r="E3858" s="2" t="s">
        <v>21084</v>
      </c>
      <c r="F3858" s="2" t="s">
        <v>31</v>
      </c>
      <c r="G3858" s="2" t="s">
        <v>32</v>
      </c>
      <c r="H3858" s="1"/>
      <c r="I3858" s="2" t="s">
        <v>33</v>
      </c>
      <c r="J3858" s="2" t="s">
        <v>34</v>
      </c>
      <c r="K3858" s="2" t="s">
        <v>21740</v>
      </c>
      <c r="L3858" s="2" t="s">
        <v>21741</v>
      </c>
      <c r="M3858" s="2" t="s">
        <v>17039</v>
      </c>
      <c r="N3858" s="2" t="s">
        <v>38</v>
      </c>
      <c r="O3858" s="2" t="s">
        <v>79</v>
      </c>
      <c r="P3858" s="2" t="s">
        <v>7072</v>
      </c>
      <c r="Q3858" s="2" t="s">
        <v>21742</v>
      </c>
      <c r="R3858" s="2" t="s">
        <v>40</v>
      </c>
      <c r="S3858" s="2" t="s">
        <v>21743</v>
      </c>
      <c r="T3858" s="2" t="s">
        <v>2206</v>
      </c>
      <c r="U3858" s="2" t="s">
        <v>6861</v>
      </c>
      <c r="V3858" s="2" t="s">
        <v>13471</v>
      </c>
      <c r="W3858" s="1"/>
      <c r="X3858" s="2" t="s">
        <v>1472</v>
      </c>
      <c r="Y3858" s="2" t="s">
        <v>21087</v>
      </c>
      <c r="AA3858" t="str">
        <f t="shared" si="360"/>
        <v>2025-02</v>
      </c>
      <c r="AB3858" t="str">
        <f t="shared" si="361"/>
        <v>H1_2025</v>
      </c>
      <c r="AC3858">
        <f t="shared" si="362"/>
        <v>102740.6</v>
      </c>
      <c r="AD3858">
        <f t="shared" si="363"/>
        <v>10</v>
      </c>
      <c r="AE3858">
        <f t="shared" si="364"/>
        <v>24740.6</v>
      </c>
      <c r="AF3858" t="str">
        <f t="shared" si="365"/>
        <v>Paid</v>
      </c>
    </row>
    <row r="3859" spans="1:32" ht="17.25" thickBot="1" x14ac:dyDescent="0.35">
      <c r="A3859" s="2" t="s">
        <v>21744</v>
      </c>
      <c r="B3859" s="2" t="s">
        <v>27</v>
      </c>
      <c r="C3859" s="2" t="s">
        <v>28</v>
      </c>
      <c r="D3859" s="2" t="s">
        <v>97</v>
      </c>
      <c r="E3859" s="2" t="s">
        <v>21084</v>
      </c>
      <c r="F3859" s="2" t="s">
        <v>31</v>
      </c>
      <c r="G3859" s="2" t="s">
        <v>32</v>
      </c>
      <c r="H3859" s="1"/>
      <c r="I3859" s="2" t="s">
        <v>33</v>
      </c>
      <c r="J3859" s="2" t="s">
        <v>34</v>
      </c>
      <c r="K3859" s="2" t="s">
        <v>17995</v>
      </c>
      <c r="L3859" s="2" t="s">
        <v>17996</v>
      </c>
      <c r="M3859" s="2" t="s">
        <v>16013</v>
      </c>
      <c r="N3859" s="2" t="s">
        <v>38</v>
      </c>
      <c r="O3859" s="2" t="s">
        <v>203</v>
      </c>
      <c r="P3859" s="2" t="s">
        <v>5139</v>
      </c>
      <c r="Q3859" s="2" t="s">
        <v>21745</v>
      </c>
      <c r="R3859" s="2" t="s">
        <v>40</v>
      </c>
      <c r="S3859" s="2" t="s">
        <v>21746</v>
      </c>
      <c r="T3859" s="2" t="s">
        <v>13945</v>
      </c>
      <c r="U3859" s="2" t="s">
        <v>21747</v>
      </c>
      <c r="V3859" s="2" t="s">
        <v>21748</v>
      </c>
      <c r="W3859" s="1"/>
      <c r="X3859" s="2" t="s">
        <v>9642</v>
      </c>
      <c r="Y3859" s="2" t="s">
        <v>21087</v>
      </c>
      <c r="AA3859" t="str">
        <f t="shared" si="360"/>
        <v>2025-02</v>
      </c>
      <c r="AB3859" t="str">
        <f t="shared" si="361"/>
        <v>H1_2025</v>
      </c>
      <c r="AC3859">
        <f t="shared" si="362"/>
        <v>268591.25</v>
      </c>
      <c r="AD3859">
        <f t="shared" si="363"/>
        <v>25</v>
      </c>
      <c r="AE3859">
        <f t="shared" si="364"/>
        <v>98591.25</v>
      </c>
      <c r="AF3859" t="str">
        <f t="shared" si="365"/>
        <v>Paid</v>
      </c>
    </row>
    <row r="3860" spans="1:32" ht="27.75" thickBot="1" x14ac:dyDescent="0.35">
      <c r="A3860" s="2" t="s">
        <v>21749</v>
      </c>
      <c r="B3860" s="2" t="s">
        <v>27</v>
      </c>
      <c r="C3860" s="2" t="s">
        <v>28</v>
      </c>
      <c r="D3860" s="2" t="s">
        <v>97</v>
      </c>
      <c r="E3860" s="2" t="s">
        <v>21084</v>
      </c>
      <c r="F3860" s="2" t="s">
        <v>31</v>
      </c>
      <c r="G3860" s="2" t="s">
        <v>32</v>
      </c>
      <c r="H3860" s="1"/>
      <c r="I3860" s="2" t="s">
        <v>33</v>
      </c>
      <c r="J3860" s="2" t="s">
        <v>34</v>
      </c>
      <c r="K3860" s="2" t="s">
        <v>18922</v>
      </c>
      <c r="L3860" s="2" t="s">
        <v>18923</v>
      </c>
      <c r="M3860" s="2" t="s">
        <v>16013</v>
      </c>
      <c r="N3860" s="2" t="s">
        <v>38</v>
      </c>
      <c r="O3860" s="2" t="s">
        <v>388</v>
      </c>
      <c r="P3860" s="2" t="s">
        <v>21750</v>
      </c>
      <c r="Q3860" s="2" t="s">
        <v>21751</v>
      </c>
      <c r="R3860" s="2" t="s">
        <v>40</v>
      </c>
      <c r="S3860" s="2" t="s">
        <v>21752</v>
      </c>
      <c r="T3860" s="2" t="s">
        <v>297</v>
      </c>
      <c r="U3860" s="2" t="s">
        <v>21753</v>
      </c>
      <c r="V3860" s="2" t="s">
        <v>21754</v>
      </c>
      <c r="W3860" s="1"/>
      <c r="X3860" s="2" t="s">
        <v>9250</v>
      </c>
      <c r="Y3860" s="2" t="s">
        <v>21087</v>
      </c>
      <c r="AA3860" t="str">
        <f t="shared" si="360"/>
        <v>2025-02</v>
      </c>
      <c r="AB3860" t="str">
        <f t="shared" si="361"/>
        <v>H1_2025</v>
      </c>
      <c r="AC3860">
        <f t="shared" si="362"/>
        <v>448387.3</v>
      </c>
      <c r="AD3860">
        <f t="shared" si="363"/>
        <v>46</v>
      </c>
      <c r="AE3860">
        <f t="shared" si="364"/>
        <v>80387.3</v>
      </c>
      <c r="AF3860" t="str">
        <f t="shared" si="365"/>
        <v>Paid</v>
      </c>
    </row>
    <row r="3861" spans="1:32" ht="27.75" thickBot="1" x14ac:dyDescent="0.35">
      <c r="A3861" s="2" t="s">
        <v>21755</v>
      </c>
      <c r="B3861" s="2" t="s">
        <v>27</v>
      </c>
      <c r="C3861" s="2" t="s">
        <v>28</v>
      </c>
      <c r="D3861" s="2" t="s">
        <v>97</v>
      </c>
      <c r="E3861" s="2" t="s">
        <v>21084</v>
      </c>
      <c r="F3861" s="2" t="s">
        <v>31</v>
      </c>
      <c r="G3861" s="2" t="s">
        <v>32</v>
      </c>
      <c r="H3861" s="1"/>
      <c r="I3861" s="2" t="s">
        <v>33</v>
      </c>
      <c r="J3861" s="2" t="s">
        <v>34</v>
      </c>
      <c r="K3861" s="2" t="s">
        <v>18922</v>
      </c>
      <c r="L3861" s="2" t="s">
        <v>18923</v>
      </c>
      <c r="M3861" s="2" t="s">
        <v>16013</v>
      </c>
      <c r="N3861" s="2" t="s">
        <v>38</v>
      </c>
      <c r="O3861" s="2" t="s">
        <v>214</v>
      </c>
      <c r="P3861" s="2" t="s">
        <v>21750</v>
      </c>
      <c r="Q3861" s="2" t="s">
        <v>21756</v>
      </c>
      <c r="R3861" s="2" t="s">
        <v>40</v>
      </c>
      <c r="S3861" s="2" t="s">
        <v>21757</v>
      </c>
      <c r="T3861" s="2" t="s">
        <v>297</v>
      </c>
      <c r="U3861" s="2" t="s">
        <v>844</v>
      </c>
      <c r="V3861" s="2" t="s">
        <v>21758</v>
      </c>
      <c r="W3861" s="1"/>
      <c r="X3861" s="2" t="s">
        <v>9250</v>
      </c>
      <c r="Y3861" s="2" t="s">
        <v>21087</v>
      </c>
      <c r="AA3861" t="str">
        <f t="shared" si="360"/>
        <v>2025-02</v>
      </c>
      <c r="AB3861" t="str">
        <f t="shared" si="361"/>
        <v>H1_2025</v>
      </c>
      <c r="AC3861">
        <f t="shared" si="362"/>
        <v>487377.5</v>
      </c>
      <c r="AD3861">
        <f t="shared" si="363"/>
        <v>50</v>
      </c>
      <c r="AE3861">
        <f t="shared" si="364"/>
        <v>87377.5</v>
      </c>
      <c r="AF3861" t="str">
        <f t="shared" si="365"/>
        <v>Paid</v>
      </c>
    </row>
    <row r="3862" spans="1:32" ht="17.25" thickBot="1" x14ac:dyDescent="0.35">
      <c r="A3862" s="2" t="s">
        <v>21759</v>
      </c>
      <c r="B3862" s="2" t="s">
        <v>27</v>
      </c>
      <c r="C3862" s="2" t="s">
        <v>28</v>
      </c>
      <c r="D3862" s="2" t="s">
        <v>97</v>
      </c>
      <c r="E3862" s="2" t="s">
        <v>21084</v>
      </c>
      <c r="F3862" s="2" t="s">
        <v>31</v>
      </c>
      <c r="G3862" s="2" t="s">
        <v>32</v>
      </c>
      <c r="H3862" s="1"/>
      <c r="I3862" s="2" t="s">
        <v>33</v>
      </c>
      <c r="J3862" s="2" t="s">
        <v>34</v>
      </c>
      <c r="K3862" s="2" t="s">
        <v>21760</v>
      </c>
      <c r="L3862" s="2" t="s">
        <v>21761</v>
      </c>
      <c r="M3862" s="2" t="s">
        <v>16013</v>
      </c>
      <c r="N3862" s="2" t="s">
        <v>38</v>
      </c>
      <c r="O3862" s="2" t="s">
        <v>773</v>
      </c>
      <c r="P3862" s="2" t="s">
        <v>21762</v>
      </c>
      <c r="Q3862" s="2" t="s">
        <v>21763</v>
      </c>
      <c r="R3862" s="2" t="s">
        <v>40</v>
      </c>
      <c r="S3862" s="2" t="s">
        <v>21764</v>
      </c>
      <c r="T3862" s="2" t="s">
        <v>3855</v>
      </c>
      <c r="U3862" s="2" t="s">
        <v>14190</v>
      </c>
      <c r="V3862" s="2" t="s">
        <v>21765</v>
      </c>
      <c r="W3862" s="1"/>
      <c r="X3862" s="2" t="s">
        <v>934</v>
      </c>
      <c r="Y3862" s="2" t="s">
        <v>21087</v>
      </c>
      <c r="AA3862" t="str">
        <f t="shared" si="360"/>
        <v>2025-02</v>
      </c>
      <c r="AB3862" t="str">
        <f t="shared" si="361"/>
        <v>H1_2025</v>
      </c>
      <c r="AC3862">
        <f t="shared" si="362"/>
        <v>1033098</v>
      </c>
      <c r="AD3862">
        <f t="shared" si="363"/>
        <v>200</v>
      </c>
      <c r="AE3862">
        <f t="shared" si="364"/>
        <v>253098</v>
      </c>
      <c r="AF3862" t="str">
        <f t="shared" si="365"/>
        <v>Paid</v>
      </c>
    </row>
    <row r="3863" spans="1:32" ht="17.25" thickBot="1" x14ac:dyDescent="0.35">
      <c r="A3863" s="2" t="s">
        <v>21766</v>
      </c>
      <c r="B3863" s="2" t="s">
        <v>27</v>
      </c>
      <c r="C3863" s="2" t="s">
        <v>28</v>
      </c>
      <c r="D3863" s="2" t="s">
        <v>97</v>
      </c>
      <c r="E3863" s="2" t="s">
        <v>21084</v>
      </c>
      <c r="F3863" s="2" t="s">
        <v>31</v>
      </c>
      <c r="G3863" s="2" t="s">
        <v>32</v>
      </c>
      <c r="H3863" s="1"/>
      <c r="I3863" s="2" t="s">
        <v>33</v>
      </c>
      <c r="J3863" s="2" t="s">
        <v>34</v>
      </c>
      <c r="K3863" s="2" t="s">
        <v>21767</v>
      </c>
      <c r="L3863" s="2" t="s">
        <v>21768</v>
      </c>
      <c r="M3863" s="2" t="s">
        <v>16013</v>
      </c>
      <c r="N3863" s="2" t="s">
        <v>38</v>
      </c>
      <c r="O3863" s="2" t="s">
        <v>773</v>
      </c>
      <c r="P3863" s="2" t="s">
        <v>7780</v>
      </c>
      <c r="Q3863" s="2" t="s">
        <v>21769</v>
      </c>
      <c r="R3863" s="2" t="s">
        <v>40</v>
      </c>
      <c r="S3863" s="2" t="s">
        <v>21770</v>
      </c>
      <c r="T3863" s="2" t="s">
        <v>11869</v>
      </c>
      <c r="U3863" s="2" t="s">
        <v>21771</v>
      </c>
      <c r="V3863" s="2" t="s">
        <v>21772</v>
      </c>
      <c r="W3863" s="1"/>
      <c r="X3863" s="2" t="s">
        <v>965</v>
      </c>
      <c r="Y3863" s="2" t="s">
        <v>21087</v>
      </c>
      <c r="AA3863" t="str">
        <f t="shared" si="360"/>
        <v>2025-02</v>
      </c>
      <c r="AB3863" t="str">
        <f t="shared" si="361"/>
        <v>H1_2025</v>
      </c>
      <c r="AC3863">
        <f t="shared" si="362"/>
        <v>1585222</v>
      </c>
      <c r="AD3863">
        <f t="shared" si="363"/>
        <v>200</v>
      </c>
      <c r="AE3863">
        <f t="shared" si="364"/>
        <v>405222</v>
      </c>
      <c r="AF3863" t="str">
        <f t="shared" si="365"/>
        <v>Paid</v>
      </c>
    </row>
    <row r="3864" spans="1:32" ht="27.75" thickBot="1" x14ac:dyDescent="0.35">
      <c r="A3864" s="2" t="s">
        <v>21773</v>
      </c>
      <c r="B3864" s="2" t="s">
        <v>27</v>
      </c>
      <c r="C3864" s="2" t="s">
        <v>28</v>
      </c>
      <c r="D3864" s="2" t="s">
        <v>97</v>
      </c>
      <c r="E3864" s="2" t="s">
        <v>21084</v>
      </c>
      <c r="F3864" s="2" t="s">
        <v>31</v>
      </c>
      <c r="G3864" s="2" t="s">
        <v>32</v>
      </c>
      <c r="H3864" s="1"/>
      <c r="I3864" s="2" t="s">
        <v>33</v>
      </c>
      <c r="J3864" s="2" t="s">
        <v>34</v>
      </c>
      <c r="K3864" s="2" t="s">
        <v>2751</v>
      </c>
      <c r="L3864" s="2" t="s">
        <v>2752</v>
      </c>
      <c r="M3864" s="2" t="s">
        <v>70</v>
      </c>
      <c r="N3864" s="2" t="s">
        <v>38</v>
      </c>
      <c r="O3864" s="2" t="s">
        <v>214</v>
      </c>
      <c r="P3864" s="2" t="s">
        <v>6765</v>
      </c>
      <c r="Q3864" s="2" t="s">
        <v>21774</v>
      </c>
      <c r="R3864" s="2" t="s">
        <v>40</v>
      </c>
      <c r="S3864" s="2" t="s">
        <v>21775</v>
      </c>
      <c r="T3864" s="2" t="s">
        <v>2755</v>
      </c>
      <c r="U3864" s="2" t="s">
        <v>4419</v>
      </c>
      <c r="V3864" s="2" t="s">
        <v>21776</v>
      </c>
      <c r="W3864" s="1"/>
      <c r="X3864" s="2" t="s">
        <v>184</v>
      </c>
      <c r="Y3864" s="2" t="s">
        <v>21087</v>
      </c>
      <c r="AA3864" t="str">
        <f t="shared" si="360"/>
        <v>2025-02</v>
      </c>
      <c r="AB3864" t="str">
        <f t="shared" si="361"/>
        <v>H1_2025</v>
      </c>
      <c r="AC3864">
        <f t="shared" si="362"/>
        <v>468167</v>
      </c>
      <c r="AD3864">
        <f t="shared" si="363"/>
        <v>50</v>
      </c>
      <c r="AE3864">
        <f t="shared" si="364"/>
        <v>183167</v>
      </c>
      <c r="AF3864" t="str">
        <f t="shared" si="365"/>
        <v>Paid</v>
      </c>
    </row>
    <row r="3865" spans="1:32" ht="27.75" thickBot="1" x14ac:dyDescent="0.35">
      <c r="A3865" s="2" t="s">
        <v>21777</v>
      </c>
      <c r="B3865" s="2" t="s">
        <v>27</v>
      </c>
      <c r="C3865" s="2" t="s">
        <v>28</v>
      </c>
      <c r="D3865" s="2" t="s">
        <v>97</v>
      </c>
      <c r="E3865" s="2" t="s">
        <v>21084</v>
      </c>
      <c r="F3865" s="2" t="s">
        <v>31</v>
      </c>
      <c r="G3865" s="2" t="s">
        <v>32</v>
      </c>
      <c r="H3865" s="1"/>
      <c r="I3865" s="2" t="s">
        <v>33</v>
      </c>
      <c r="J3865" s="2" t="s">
        <v>34</v>
      </c>
      <c r="K3865" s="2" t="s">
        <v>2759</v>
      </c>
      <c r="L3865" s="2" t="s">
        <v>2760</v>
      </c>
      <c r="M3865" s="2" t="s">
        <v>70</v>
      </c>
      <c r="N3865" s="2" t="s">
        <v>38</v>
      </c>
      <c r="O3865" s="2" t="s">
        <v>214</v>
      </c>
      <c r="P3865" s="2" t="s">
        <v>6765</v>
      </c>
      <c r="Q3865" s="2" t="s">
        <v>21774</v>
      </c>
      <c r="R3865" s="2" t="s">
        <v>40</v>
      </c>
      <c r="S3865" s="2" t="s">
        <v>21775</v>
      </c>
      <c r="T3865" s="2" t="s">
        <v>2755</v>
      </c>
      <c r="U3865" s="2" t="s">
        <v>4419</v>
      </c>
      <c r="V3865" s="2" t="s">
        <v>21776</v>
      </c>
      <c r="W3865" s="1"/>
      <c r="X3865" s="2" t="s">
        <v>184</v>
      </c>
      <c r="Y3865" s="2" t="s">
        <v>21087</v>
      </c>
      <c r="AA3865" t="str">
        <f t="shared" si="360"/>
        <v>2025-02</v>
      </c>
      <c r="AB3865" t="str">
        <f t="shared" si="361"/>
        <v>H1_2025</v>
      </c>
      <c r="AC3865">
        <f t="shared" si="362"/>
        <v>468167</v>
      </c>
      <c r="AD3865">
        <f t="shared" si="363"/>
        <v>50</v>
      </c>
      <c r="AE3865">
        <f t="shared" si="364"/>
        <v>183167</v>
      </c>
      <c r="AF3865" t="str">
        <f t="shared" si="365"/>
        <v>Paid</v>
      </c>
    </row>
    <row r="3866" spans="1:32" ht="27.75" thickBot="1" x14ac:dyDescent="0.35">
      <c r="A3866" s="2" t="s">
        <v>21778</v>
      </c>
      <c r="B3866" s="2" t="s">
        <v>27</v>
      </c>
      <c r="C3866" s="2" t="s">
        <v>28</v>
      </c>
      <c r="D3866" s="2" t="s">
        <v>97</v>
      </c>
      <c r="E3866" s="2" t="s">
        <v>21084</v>
      </c>
      <c r="F3866" s="2" t="s">
        <v>31</v>
      </c>
      <c r="G3866" s="2" t="s">
        <v>32</v>
      </c>
      <c r="H3866" s="1"/>
      <c r="I3866" s="2" t="s">
        <v>33</v>
      </c>
      <c r="J3866" s="2" t="s">
        <v>34</v>
      </c>
      <c r="K3866" s="2" t="s">
        <v>11525</v>
      </c>
      <c r="L3866" s="2" t="s">
        <v>11526</v>
      </c>
      <c r="M3866" s="2" t="s">
        <v>70</v>
      </c>
      <c r="N3866" s="2" t="s">
        <v>38</v>
      </c>
      <c r="O3866" s="2" t="s">
        <v>214</v>
      </c>
      <c r="P3866" s="2" t="s">
        <v>6765</v>
      </c>
      <c r="Q3866" s="2" t="s">
        <v>21774</v>
      </c>
      <c r="R3866" s="2" t="s">
        <v>40</v>
      </c>
      <c r="S3866" s="2" t="s">
        <v>21775</v>
      </c>
      <c r="T3866" s="2" t="s">
        <v>2755</v>
      </c>
      <c r="U3866" s="2" t="s">
        <v>4419</v>
      </c>
      <c r="V3866" s="2" t="s">
        <v>21776</v>
      </c>
      <c r="W3866" s="1"/>
      <c r="X3866" s="2" t="s">
        <v>184</v>
      </c>
      <c r="Y3866" s="2" t="s">
        <v>21087</v>
      </c>
      <c r="AA3866" t="str">
        <f t="shared" si="360"/>
        <v>2025-02</v>
      </c>
      <c r="AB3866" t="str">
        <f t="shared" si="361"/>
        <v>H1_2025</v>
      </c>
      <c r="AC3866">
        <f t="shared" si="362"/>
        <v>468167</v>
      </c>
      <c r="AD3866">
        <f t="shared" si="363"/>
        <v>50</v>
      </c>
      <c r="AE3866">
        <f t="shared" si="364"/>
        <v>183167</v>
      </c>
      <c r="AF3866" t="str">
        <f t="shared" si="365"/>
        <v>Paid</v>
      </c>
    </row>
    <row r="3867" spans="1:32" ht="17.25" thickBot="1" x14ac:dyDescent="0.35">
      <c r="A3867" s="2" t="s">
        <v>21779</v>
      </c>
      <c r="B3867" s="2" t="s">
        <v>27</v>
      </c>
      <c r="C3867" s="2" t="s">
        <v>28</v>
      </c>
      <c r="D3867" s="2" t="s">
        <v>97</v>
      </c>
      <c r="E3867" s="2" t="s">
        <v>21084</v>
      </c>
      <c r="F3867" s="2" t="s">
        <v>31</v>
      </c>
      <c r="G3867" s="2" t="s">
        <v>32</v>
      </c>
      <c r="H3867" s="1"/>
      <c r="I3867" s="2" t="s">
        <v>33</v>
      </c>
      <c r="J3867" s="2" t="s">
        <v>34</v>
      </c>
      <c r="K3867" s="2" t="s">
        <v>2782</v>
      </c>
      <c r="L3867" s="2" t="s">
        <v>2783</v>
      </c>
      <c r="M3867" s="2" t="s">
        <v>70</v>
      </c>
      <c r="N3867" s="2" t="s">
        <v>38</v>
      </c>
      <c r="O3867" s="2" t="s">
        <v>877</v>
      </c>
      <c r="P3867" s="2" t="s">
        <v>1133</v>
      </c>
      <c r="Q3867" s="2" t="s">
        <v>842</v>
      </c>
      <c r="R3867" s="2" t="s">
        <v>40</v>
      </c>
      <c r="S3867" s="2" t="s">
        <v>21780</v>
      </c>
      <c r="T3867" s="2" t="s">
        <v>13636</v>
      </c>
      <c r="U3867" s="2" t="s">
        <v>18031</v>
      </c>
      <c r="V3867" s="2" t="s">
        <v>21781</v>
      </c>
      <c r="W3867" s="1"/>
      <c r="X3867" s="2" t="s">
        <v>1774</v>
      </c>
      <c r="Y3867" s="2" t="s">
        <v>21087</v>
      </c>
      <c r="AA3867" t="str">
        <f t="shared" si="360"/>
        <v>2025-02</v>
      </c>
      <c r="AB3867" t="str">
        <f t="shared" si="361"/>
        <v>H1_2025</v>
      </c>
      <c r="AC3867">
        <f t="shared" si="362"/>
        <v>486666</v>
      </c>
      <c r="AD3867">
        <f t="shared" si="363"/>
        <v>100</v>
      </c>
      <c r="AE3867">
        <f t="shared" si="364"/>
        <v>115666</v>
      </c>
      <c r="AF3867" t="str">
        <f t="shared" si="365"/>
        <v>Paid</v>
      </c>
    </row>
    <row r="3868" spans="1:32" ht="17.25" thickBot="1" x14ac:dyDescent="0.35">
      <c r="A3868" s="2" t="s">
        <v>21782</v>
      </c>
      <c r="B3868" s="2" t="s">
        <v>27</v>
      </c>
      <c r="C3868" s="2" t="s">
        <v>28</v>
      </c>
      <c r="D3868" s="2" t="s">
        <v>97</v>
      </c>
      <c r="E3868" s="2" t="s">
        <v>21084</v>
      </c>
      <c r="F3868" s="2" t="s">
        <v>31</v>
      </c>
      <c r="G3868" s="2" t="s">
        <v>32</v>
      </c>
      <c r="H3868" s="1"/>
      <c r="I3868" s="2" t="s">
        <v>33</v>
      </c>
      <c r="J3868" s="2" t="s">
        <v>34</v>
      </c>
      <c r="K3868" s="2" t="s">
        <v>11533</v>
      </c>
      <c r="L3868" s="2" t="s">
        <v>11534</v>
      </c>
      <c r="M3868" s="2" t="s">
        <v>70</v>
      </c>
      <c r="N3868" s="2" t="s">
        <v>38</v>
      </c>
      <c r="O3868" s="2" t="s">
        <v>1333</v>
      </c>
      <c r="P3868" s="2" t="s">
        <v>1028</v>
      </c>
      <c r="Q3868" s="2" t="s">
        <v>21783</v>
      </c>
      <c r="R3868" s="2" t="s">
        <v>40</v>
      </c>
      <c r="S3868" s="2" t="s">
        <v>21784</v>
      </c>
      <c r="T3868" s="2" t="s">
        <v>4850</v>
      </c>
      <c r="U3868" s="2" t="s">
        <v>21785</v>
      </c>
      <c r="V3868" s="2" t="s">
        <v>21786</v>
      </c>
      <c r="W3868" s="1"/>
      <c r="X3868" s="2" t="s">
        <v>817</v>
      </c>
      <c r="Y3868" s="2" t="s">
        <v>21087</v>
      </c>
      <c r="AA3868" t="str">
        <f t="shared" si="360"/>
        <v>2025-02</v>
      </c>
      <c r="AB3868" t="str">
        <f t="shared" si="361"/>
        <v>H1_2025</v>
      </c>
      <c r="AC3868">
        <f t="shared" si="362"/>
        <v>1368214.5</v>
      </c>
      <c r="AD3868">
        <f t="shared" si="363"/>
        <v>150</v>
      </c>
      <c r="AE3868">
        <f t="shared" si="364"/>
        <v>337264.5</v>
      </c>
      <c r="AF3868" t="str">
        <f t="shared" si="365"/>
        <v>Paid</v>
      </c>
    </row>
    <row r="3869" spans="1:32" ht="17.25" thickBot="1" x14ac:dyDescent="0.35">
      <c r="A3869" s="2" t="s">
        <v>21787</v>
      </c>
      <c r="B3869" s="2" t="s">
        <v>27</v>
      </c>
      <c r="C3869" s="2" t="s">
        <v>28</v>
      </c>
      <c r="D3869" s="2" t="s">
        <v>97</v>
      </c>
      <c r="E3869" s="2" t="s">
        <v>21084</v>
      </c>
      <c r="F3869" s="2" t="s">
        <v>31</v>
      </c>
      <c r="G3869" s="2" t="s">
        <v>32</v>
      </c>
      <c r="H3869" s="1"/>
      <c r="I3869" s="2" t="s">
        <v>33</v>
      </c>
      <c r="J3869" s="2" t="s">
        <v>34</v>
      </c>
      <c r="K3869" s="2" t="s">
        <v>2789</v>
      </c>
      <c r="L3869" s="2" t="s">
        <v>2790</v>
      </c>
      <c r="M3869" s="2" t="s">
        <v>70</v>
      </c>
      <c r="N3869" s="2" t="s">
        <v>38</v>
      </c>
      <c r="O3869" s="2" t="s">
        <v>3068</v>
      </c>
      <c r="P3869" s="2" t="s">
        <v>1028</v>
      </c>
      <c r="Q3869" s="2" t="s">
        <v>21788</v>
      </c>
      <c r="R3869" s="2" t="s">
        <v>40</v>
      </c>
      <c r="S3869" s="2" t="s">
        <v>21789</v>
      </c>
      <c r="T3869" s="2" t="s">
        <v>4850</v>
      </c>
      <c r="U3869" s="2" t="s">
        <v>21790</v>
      </c>
      <c r="V3869" s="2" t="s">
        <v>21791</v>
      </c>
      <c r="W3869" s="1"/>
      <c r="X3869" s="2" t="s">
        <v>817</v>
      </c>
      <c r="Y3869" s="2" t="s">
        <v>21087</v>
      </c>
      <c r="AA3869" t="str">
        <f t="shared" si="360"/>
        <v>2025-02</v>
      </c>
      <c r="AB3869" t="str">
        <f t="shared" si="361"/>
        <v>H1_2025</v>
      </c>
      <c r="AC3869">
        <f t="shared" si="362"/>
        <v>6385001</v>
      </c>
      <c r="AD3869">
        <f t="shared" si="363"/>
        <v>700</v>
      </c>
      <c r="AE3869">
        <f t="shared" si="364"/>
        <v>1573901</v>
      </c>
      <c r="AF3869" t="str">
        <f t="shared" si="365"/>
        <v>Paid</v>
      </c>
    </row>
    <row r="3870" spans="1:32" ht="17.25" thickBot="1" x14ac:dyDescent="0.35">
      <c r="A3870" s="2" t="s">
        <v>21792</v>
      </c>
      <c r="B3870" s="2" t="s">
        <v>27</v>
      </c>
      <c r="C3870" s="2" t="s">
        <v>28</v>
      </c>
      <c r="D3870" s="2" t="s">
        <v>97</v>
      </c>
      <c r="E3870" s="2" t="s">
        <v>21084</v>
      </c>
      <c r="F3870" s="2" t="s">
        <v>31</v>
      </c>
      <c r="G3870" s="2" t="s">
        <v>32</v>
      </c>
      <c r="H3870" s="1"/>
      <c r="I3870" s="2" t="s">
        <v>33</v>
      </c>
      <c r="J3870" s="2" t="s">
        <v>34</v>
      </c>
      <c r="K3870" s="2" t="s">
        <v>13081</v>
      </c>
      <c r="L3870" s="2" t="s">
        <v>13082</v>
      </c>
      <c r="M3870" s="2" t="s">
        <v>70</v>
      </c>
      <c r="N3870" s="2" t="s">
        <v>38</v>
      </c>
      <c r="O3870" s="2" t="s">
        <v>203</v>
      </c>
      <c r="P3870" s="2" t="s">
        <v>7927</v>
      </c>
      <c r="Q3870" s="2" t="s">
        <v>21793</v>
      </c>
      <c r="R3870" s="2" t="s">
        <v>40</v>
      </c>
      <c r="S3870" s="2" t="s">
        <v>21794</v>
      </c>
      <c r="T3870" s="2" t="s">
        <v>13084</v>
      </c>
      <c r="U3870" s="2" t="s">
        <v>21795</v>
      </c>
      <c r="V3870" s="2" t="s">
        <v>21796</v>
      </c>
      <c r="W3870" s="1"/>
      <c r="X3870" s="2" t="s">
        <v>16060</v>
      </c>
      <c r="Y3870" s="2" t="s">
        <v>21087</v>
      </c>
      <c r="AA3870" t="str">
        <f t="shared" si="360"/>
        <v>2025-02</v>
      </c>
      <c r="AB3870" t="str">
        <f t="shared" si="361"/>
        <v>H1_2025</v>
      </c>
      <c r="AC3870">
        <f t="shared" si="362"/>
        <v>149059.25</v>
      </c>
      <c r="AD3870">
        <f t="shared" si="363"/>
        <v>25</v>
      </c>
      <c r="AE3870">
        <f t="shared" si="364"/>
        <v>40859.25</v>
      </c>
      <c r="AF3870" t="str">
        <f t="shared" si="365"/>
        <v>Paid</v>
      </c>
    </row>
    <row r="3871" spans="1:32" ht="27.75" thickBot="1" x14ac:dyDescent="0.35">
      <c r="A3871" s="2" t="s">
        <v>21797</v>
      </c>
      <c r="B3871" s="2" t="s">
        <v>27</v>
      </c>
      <c r="C3871" s="2" t="s">
        <v>28</v>
      </c>
      <c r="D3871" s="2" t="s">
        <v>97</v>
      </c>
      <c r="E3871" s="2" t="s">
        <v>21084</v>
      </c>
      <c r="F3871" s="2" t="s">
        <v>31</v>
      </c>
      <c r="G3871" s="2" t="s">
        <v>32</v>
      </c>
      <c r="H3871" s="1"/>
      <c r="I3871" s="2" t="s">
        <v>33</v>
      </c>
      <c r="J3871" s="2" t="s">
        <v>34</v>
      </c>
      <c r="K3871" s="2" t="s">
        <v>2799</v>
      </c>
      <c r="L3871" s="2" t="s">
        <v>2800</v>
      </c>
      <c r="M3871" s="2" t="s">
        <v>70</v>
      </c>
      <c r="N3871" s="2" t="s">
        <v>38</v>
      </c>
      <c r="O3871" s="2" t="s">
        <v>51</v>
      </c>
      <c r="P3871" s="2" t="s">
        <v>40</v>
      </c>
      <c r="Q3871" s="2" t="s">
        <v>40</v>
      </c>
      <c r="R3871" s="2" t="s">
        <v>40</v>
      </c>
      <c r="S3871" s="2" t="s">
        <v>40</v>
      </c>
      <c r="T3871" s="2" t="s">
        <v>12895</v>
      </c>
      <c r="U3871" s="2" t="s">
        <v>19759</v>
      </c>
      <c r="V3871" s="2" t="s">
        <v>19760</v>
      </c>
      <c r="W3871" s="2" t="s">
        <v>41</v>
      </c>
      <c r="X3871" s="2" t="s">
        <v>42</v>
      </c>
      <c r="Y3871" s="2" t="s">
        <v>21087</v>
      </c>
      <c r="AA3871" t="str">
        <f t="shared" si="360"/>
        <v>2025-02</v>
      </c>
      <c r="AB3871" t="str">
        <f t="shared" si="361"/>
        <v>H1_2025</v>
      </c>
      <c r="AC3871">
        <f t="shared" si="362"/>
        <v>0</v>
      </c>
      <c r="AD3871">
        <f t="shared" si="363"/>
        <v>3</v>
      </c>
      <c r="AE3871">
        <f t="shared" si="364"/>
        <v>-14730</v>
      </c>
      <c r="AF3871" t="str">
        <f t="shared" si="365"/>
        <v>Sample</v>
      </c>
    </row>
    <row r="3872" spans="1:32" ht="27.75" thickBot="1" x14ac:dyDescent="0.35">
      <c r="A3872" s="2" t="s">
        <v>21798</v>
      </c>
      <c r="B3872" s="2" t="s">
        <v>27</v>
      </c>
      <c r="C3872" s="2" t="s">
        <v>28</v>
      </c>
      <c r="D3872" s="2" t="s">
        <v>97</v>
      </c>
      <c r="E3872" s="2" t="s">
        <v>21084</v>
      </c>
      <c r="F3872" s="2" t="s">
        <v>31</v>
      </c>
      <c r="G3872" s="2" t="s">
        <v>32</v>
      </c>
      <c r="H3872" s="1"/>
      <c r="I3872" s="2" t="s">
        <v>33</v>
      </c>
      <c r="J3872" s="2" t="s">
        <v>34</v>
      </c>
      <c r="K3872" s="2" t="s">
        <v>2808</v>
      </c>
      <c r="L3872" s="2" t="s">
        <v>2809</v>
      </c>
      <c r="M3872" s="2" t="s">
        <v>70</v>
      </c>
      <c r="N3872" s="2" t="s">
        <v>38</v>
      </c>
      <c r="O3872" s="2" t="s">
        <v>773</v>
      </c>
      <c r="P3872" s="2" t="s">
        <v>1268</v>
      </c>
      <c r="Q3872" s="2" t="s">
        <v>11246</v>
      </c>
      <c r="R3872" s="2" t="s">
        <v>40</v>
      </c>
      <c r="S3872" s="2" t="s">
        <v>21799</v>
      </c>
      <c r="T3872" s="2" t="s">
        <v>7901</v>
      </c>
      <c r="U3872" s="2" t="s">
        <v>21800</v>
      </c>
      <c r="V3872" s="2" t="s">
        <v>21801</v>
      </c>
      <c r="W3872" s="1"/>
      <c r="X3872" s="2" t="s">
        <v>18456</v>
      </c>
      <c r="Y3872" s="2" t="s">
        <v>21087</v>
      </c>
      <c r="AA3872" t="str">
        <f t="shared" si="360"/>
        <v>2025-02</v>
      </c>
      <c r="AB3872" t="str">
        <f t="shared" si="361"/>
        <v>H1_2025</v>
      </c>
      <c r="AC3872">
        <f t="shared" si="362"/>
        <v>1135554</v>
      </c>
      <c r="AD3872">
        <f t="shared" si="363"/>
        <v>200</v>
      </c>
      <c r="AE3872">
        <f t="shared" si="364"/>
        <v>397354</v>
      </c>
      <c r="AF3872" t="str">
        <f t="shared" si="365"/>
        <v>Paid</v>
      </c>
    </row>
    <row r="3873" spans="1:32" ht="27.75" thickBot="1" x14ac:dyDescent="0.35">
      <c r="A3873" s="2" t="s">
        <v>21802</v>
      </c>
      <c r="B3873" s="2" t="s">
        <v>27</v>
      </c>
      <c r="C3873" s="2" t="s">
        <v>28</v>
      </c>
      <c r="D3873" s="2" t="s">
        <v>97</v>
      </c>
      <c r="E3873" s="2" t="s">
        <v>21084</v>
      </c>
      <c r="F3873" s="2" t="s">
        <v>31</v>
      </c>
      <c r="G3873" s="2" t="s">
        <v>32</v>
      </c>
      <c r="H3873" s="1"/>
      <c r="I3873" s="2" t="s">
        <v>33</v>
      </c>
      <c r="J3873" s="2" t="s">
        <v>34</v>
      </c>
      <c r="K3873" s="2" t="s">
        <v>18061</v>
      </c>
      <c r="L3873" s="2" t="s">
        <v>18062</v>
      </c>
      <c r="M3873" s="2" t="s">
        <v>70</v>
      </c>
      <c r="N3873" s="2" t="s">
        <v>38</v>
      </c>
      <c r="O3873" s="2" t="s">
        <v>51</v>
      </c>
      <c r="P3873" s="2" t="s">
        <v>40</v>
      </c>
      <c r="Q3873" s="2" t="s">
        <v>40</v>
      </c>
      <c r="R3873" s="2" t="s">
        <v>40</v>
      </c>
      <c r="S3873" s="2" t="s">
        <v>40</v>
      </c>
      <c r="T3873" s="2" t="s">
        <v>6199</v>
      </c>
      <c r="U3873" s="2" t="s">
        <v>21803</v>
      </c>
      <c r="V3873" s="2" t="s">
        <v>21804</v>
      </c>
      <c r="W3873" s="2" t="s">
        <v>41</v>
      </c>
      <c r="X3873" s="2" t="s">
        <v>42</v>
      </c>
      <c r="Y3873" s="2" t="s">
        <v>21087</v>
      </c>
      <c r="AA3873" t="str">
        <f t="shared" si="360"/>
        <v>2025-02</v>
      </c>
      <c r="AB3873" t="str">
        <f t="shared" si="361"/>
        <v>H1_2025</v>
      </c>
      <c r="AC3873">
        <f t="shared" si="362"/>
        <v>0</v>
      </c>
      <c r="AD3873">
        <f t="shared" si="363"/>
        <v>3</v>
      </c>
      <c r="AE3873">
        <f t="shared" si="364"/>
        <v>-21273</v>
      </c>
      <c r="AF3873" t="str">
        <f t="shared" si="365"/>
        <v>Sample</v>
      </c>
    </row>
    <row r="3874" spans="1:32" ht="27.75" thickBot="1" x14ac:dyDescent="0.35">
      <c r="A3874" s="2" t="s">
        <v>21805</v>
      </c>
      <c r="B3874" s="2" t="s">
        <v>27</v>
      </c>
      <c r="C3874" s="2" t="s">
        <v>28</v>
      </c>
      <c r="D3874" s="2" t="s">
        <v>97</v>
      </c>
      <c r="E3874" s="2" t="s">
        <v>21084</v>
      </c>
      <c r="F3874" s="2" t="s">
        <v>31</v>
      </c>
      <c r="G3874" s="2" t="s">
        <v>32</v>
      </c>
      <c r="H3874" s="1"/>
      <c r="I3874" s="2" t="s">
        <v>33</v>
      </c>
      <c r="J3874" s="2" t="s">
        <v>34</v>
      </c>
      <c r="K3874" s="2" t="s">
        <v>18066</v>
      </c>
      <c r="L3874" s="2" t="s">
        <v>18067</v>
      </c>
      <c r="M3874" s="2" t="s">
        <v>70</v>
      </c>
      <c r="N3874" s="2" t="s">
        <v>38</v>
      </c>
      <c r="O3874" s="2" t="s">
        <v>51</v>
      </c>
      <c r="P3874" s="2" t="s">
        <v>40</v>
      </c>
      <c r="Q3874" s="2" t="s">
        <v>40</v>
      </c>
      <c r="R3874" s="2" t="s">
        <v>40</v>
      </c>
      <c r="S3874" s="2" t="s">
        <v>40</v>
      </c>
      <c r="T3874" s="2" t="s">
        <v>669</v>
      </c>
      <c r="U3874" s="2" t="s">
        <v>21089</v>
      </c>
      <c r="V3874" s="2" t="s">
        <v>21090</v>
      </c>
      <c r="W3874" s="2" t="s">
        <v>41</v>
      </c>
      <c r="X3874" s="2" t="s">
        <v>42</v>
      </c>
      <c r="Y3874" s="2" t="s">
        <v>21087</v>
      </c>
      <c r="AA3874" t="str">
        <f t="shared" si="360"/>
        <v>2025-02</v>
      </c>
      <c r="AB3874" t="str">
        <f t="shared" si="361"/>
        <v>H1_2025</v>
      </c>
      <c r="AC3874">
        <f t="shared" si="362"/>
        <v>0</v>
      </c>
      <c r="AD3874">
        <f t="shared" si="363"/>
        <v>3</v>
      </c>
      <c r="AE3874">
        <f t="shared" si="364"/>
        <v>-18000</v>
      </c>
      <c r="AF3874" t="str">
        <f t="shared" si="365"/>
        <v>Sample</v>
      </c>
    </row>
    <row r="3875" spans="1:32" ht="27.75" thickBot="1" x14ac:dyDescent="0.35">
      <c r="A3875" s="2" t="s">
        <v>21806</v>
      </c>
      <c r="B3875" s="2" t="s">
        <v>27</v>
      </c>
      <c r="C3875" s="2" t="s">
        <v>28</v>
      </c>
      <c r="D3875" s="2" t="s">
        <v>97</v>
      </c>
      <c r="E3875" s="2" t="s">
        <v>21084</v>
      </c>
      <c r="F3875" s="2" t="s">
        <v>31</v>
      </c>
      <c r="G3875" s="2" t="s">
        <v>32</v>
      </c>
      <c r="H3875" s="1"/>
      <c r="I3875" s="2" t="s">
        <v>33</v>
      </c>
      <c r="J3875" s="2" t="s">
        <v>34</v>
      </c>
      <c r="K3875" s="2" t="s">
        <v>16062</v>
      </c>
      <c r="L3875" s="2" t="s">
        <v>16063</v>
      </c>
      <c r="M3875" s="2" t="s">
        <v>70</v>
      </c>
      <c r="N3875" s="2" t="s">
        <v>38</v>
      </c>
      <c r="O3875" s="2" t="s">
        <v>214</v>
      </c>
      <c r="P3875" s="2" t="s">
        <v>12861</v>
      </c>
      <c r="Q3875" s="2" t="s">
        <v>21807</v>
      </c>
      <c r="R3875" s="2" t="s">
        <v>40</v>
      </c>
      <c r="S3875" s="2" t="s">
        <v>21808</v>
      </c>
      <c r="T3875" s="2" t="s">
        <v>13688</v>
      </c>
      <c r="U3875" s="2" t="s">
        <v>17565</v>
      </c>
      <c r="V3875" s="2" t="s">
        <v>21809</v>
      </c>
      <c r="W3875" s="1"/>
      <c r="X3875" s="2" t="s">
        <v>1082</v>
      </c>
      <c r="Y3875" s="2" t="s">
        <v>21087</v>
      </c>
      <c r="AA3875" t="str">
        <f t="shared" si="360"/>
        <v>2025-02</v>
      </c>
      <c r="AB3875" t="str">
        <f t="shared" si="361"/>
        <v>H1_2025</v>
      </c>
      <c r="AC3875">
        <f t="shared" si="362"/>
        <v>809687</v>
      </c>
      <c r="AD3875">
        <f t="shared" si="363"/>
        <v>50</v>
      </c>
      <c r="AE3875">
        <f t="shared" si="364"/>
        <v>191487</v>
      </c>
      <c r="AF3875" t="str">
        <f t="shared" si="365"/>
        <v>Paid</v>
      </c>
    </row>
    <row r="3876" spans="1:32" ht="17.25" thickBot="1" x14ac:dyDescent="0.35">
      <c r="A3876" s="2" t="s">
        <v>21810</v>
      </c>
      <c r="B3876" s="2" t="s">
        <v>27</v>
      </c>
      <c r="C3876" s="2" t="s">
        <v>28</v>
      </c>
      <c r="D3876" s="2" t="s">
        <v>97</v>
      </c>
      <c r="E3876" s="2" t="s">
        <v>21084</v>
      </c>
      <c r="F3876" s="2" t="s">
        <v>31</v>
      </c>
      <c r="G3876" s="2" t="s">
        <v>32</v>
      </c>
      <c r="H3876" s="1"/>
      <c r="I3876" s="2" t="s">
        <v>33</v>
      </c>
      <c r="J3876" s="2" t="s">
        <v>34</v>
      </c>
      <c r="K3876" s="2" t="s">
        <v>3591</v>
      </c>
      <c r="L3876" s="2" t="s">
        <v>3592</v>
      </c>
      <c r="M3876" s="2" t="s">
        <v>70</v>
      </c>
      <c r="N3876" s="2" t="s">
        <v>38</v>
      </c>
      <c r="O3876" s="2" t="s">
        <v>877</v>
      </c>
      <c r="P3876" s="2" t="s">
        <v>6470</v>
      </c>
      <c r="Q3876" s="2" t="s">
        <v>21811</v>
      </c>
      <c r="R3876" s="2" t="s">
        <v>40</v>
      </c>
      <c r="S3876" s="2" t="s">
        <v>21812</v>
      </c>
      <c r="T3876" s="2" t="s">
        <v>13701</v>
      </c>
      <c r="U3876" s="2" t="s">
        <v>21813</v>
      </c>
      <c r="V3876" s="2" t="s">
        <v>21814</v>
      </c>
      <c r="W3876" s="1"/>
      <c r="X3876" s="2" t="s">
        <v>4550</v>
      </c>
      <c r="Y3876" s="2" t="s">
        <v>21087</v>
      </c>
      <c r="AA3876" t="str">
        <f t="shared" si="360"/>
        <v>2025-02</v>
      </c>
      <c r="AB3876" t="str">
        <f t="shared" si="361"/>
        <v>H1_2025</v>
      </c>
      <c r="AC3876">
        <f t="shared" si="362"/>
        <v>372826</v>
      </c>
      <c r="AD3876">
        <f t="shared" si="363"/>
        <v>100</v>
      </c>
      <c r="AE3876">
        <f t="shared" si="364"/>
        <v>81826</v>
      </c>
      <c r="AF3876" t="str">
        <f t="shared" si="365"/>
        <v>Paid</v>
      </c>
    </row>
    <row r="3877" spans="1:32" ht="17.25" thickBot="1" x14ac:dyDescent="0.35">
      <c r="A3877" s="2" t="s">
        <v>21815</v>
      </c>
      <c r="B3877" s="2" t="s">
        <v>27</v>
      </c>
      <c r="C3877" s="2" t="s">
        <v>28</v>
      </c>
      <c r="D3877" s="2" t="s">
        <v>97</v>
      </c>
      <c r="E3877" s="2" t="s">
        <v>21084</v>
      </c>
      <c r="F3877" s="2" t="s">
        <v>31</v>
      </c>
      <c r="G3877" s="2" t="s">
        <v>32</v>
      </c>
      <c r="H3877" s="1"/>
      <c r="I3877" s="2" t="s">
        <v>33</v>
      </c>
      <c r="J3877" s="2" t="s">
        <v>34</v>
      </c>
      <c r="K3877" s="2" t="s">
        <v>18088</v>
      </c>
      <c r="L3877" s="2" t="s">
        <v>18089</v>
      </c>
      <c r="M3877" s="2" t="s">
        <v>70</v>
      </c>
      <c r="N3877" s="2" t="s">
        <v>38</v>
      </c>
      <c r="O3877" s="2" t="s">
        <v>214</v>
      </c>
      <c r="P3877" s="2" t="s">
        <v>6765</v>
      </c>
      <c r="Q3877" s="2" t="s">
        <v>21774</v>
      </c>
      <c r="R3877" s="2" t="s">
        <v>40</v>
      </c>
      <c r="S3877" s="2" t="s">
        <v>21775</v>
      </c>
      <c r="T3877" s="2" t="s">
        <v>2101</v>
      </c>
      <c r="U3877" s="2" t="s">
        <v>4484</v>
      </c>
      <c r="V3877" s="2" t="s">
        <v>21816</v>
      </c>
      <c r="W3877" s="1"/>
      <c r="X3877" s="2" t="s">
        <v>6342</v>
      </c>
      <c r="Y3877" s="2" t="s">
        <v>21087</v>
      </c>
      <c r="AA3877" t="str">
        <f t="shared" si="360"/>
        <v>2025-02</v>
      </c>
      <c r="AB3877" t="str">
        <f t="shared" si="361"/>
        <v>H1_2025</v>
      </c>
      <c r="AC3877">
        <f t="shared" si="362"/>
        <v>468167</v>
      </c>
      <c r="AD3877">
        <f t="shared" si="363"/>
        <v>50</v>
      </c>
      <c r="AE3877">
        <f t="shared" si="364"/>
        <v>108167</v>
      </c>
      <c r="AF3877" t="str">
        <f t="shared" si="365"/>
        <v>Paid</v>
      </c>
    </row>
    <row r="3878" spans="1:32" ht="17.25" thickBot="1" x14ac:dyDescent="0.35">
      <c r="A3878" s="2" t="s">
        <v>21817</v>
      </c>
      <c r="B3878" s="2" t="s">
        <v>27</v>
      </c>
      <c r="C3878" s="2" t="s">
        <v>28</v>
      </c>
      <c r="D3878" s="2" t="s">
        <v>97</v>
      </c>
      <c r="E3878" s="2" t="s">
        <v>21084</v>
      </c>
      <c r="F3878" s="2" t="s">
        <v>31</v>
      </c>
      <c r="G3878" s="2" t="s">
        <v>32</v>
      </c>
      <c r="H3878" s="1"/>
      <c r="I3878" s="2" t="s">
        <v>33</v>
      </c>
      <c r="J3878" s="2" t="s">
        <v>34</v>
      </c>
      <c r="K3878" s="2" t="s">
        <v>21818</v>
      </c>
      <c r="L3878" s="2" t="s">
        <v>21819</v>
      </c>
      <c r="M3878" s="2" t="s">
        <v>70</v>
      </c>
      <c r="N3878" s="2" t="s">
        <v>38</v>
      </c>
      <c r="O3878" s="2" t="s">
        <v>214</v>
      </c>
      <c r="P3878" s="2" t="s">
        <v>1095</v>
      </c>
      <c r="Q3878" s="2" t="s">
        <v>1727</v>
      </c>
      <c r="R3878" s="2" t="s">
        <v>40</v>
      </c>
      <c r="S3878" s="2" t="s">
        <v>21820</v>
      </c>
      <c r="T3878" s="2" t="s">
        <v>21821</v>
      </c>
      <c r="U3878" s="2" t="s">
        <v>21822</v>
      </c>
      <c r="V3878" s="2" t="s">
        <v>21823</v>
      </c>
      <c r="W3878" s="1"/>
      <c r="X3878" s="2" t="s">
        <v>15111</v>
      </c>
      <c r="Y3878" s="2" t="s">
        <v>21087</v>
      </c>
      <c r="AA3878" t="str">
        <f t="shared" si="360"/>
        <v>2025-02</v>
      </c>
      <c r="AB3878" t="str">
        <f t="shared" si="361"/>
        <v>H1_2025</v>
      </c>
      <c r="AC3878">
        <f t="shared" si="362"/>
        <v>364999.5</v>
      </c>
      <c r="AD3878">
        <f t="shared" si="363"/>
        <v>50</v>
      </c>
      <c r="AE3878">
        <f t="shared" si="364"/>
        <v>183149.5</v>
      </c>
      <c r="AF3878" t="str">
        <f t="shared" si="365"/>
        <v>Paid</v>
      </c>
    </row>
    <row r="3879" spans="1:32" ht="27.75" thickBot="1" x14ac:dyDescent="0.35">
      <c r="A3879" s="2" t="s">
        <v>21824</v>
      </c>
      <c r="B3879" s="2" t="s">
        <v>27</v>
      </c>
      <c r="C3879" s="2" t="s">
        <v>28</v>
      </c>
      <c r="D3879" s="2" t="s">
        <v>97</v>
      </c>
      <c r="E3879" s="2" t="s">
        <v>21084</v>
      </c>
      <c r="F3879" s="2" t="s">
        <v>31</v>
      </c>
      <c r="G3879" s="2" t="s">
        <v>32</v>
      </c>
      <c r="H3879" s="1"/>
      <c r="I3879" s="2" t="s">
        <v>33</v>
      </c>
      <c r="J3879" s="2" t="s">
        <v>34</v>
      </c>
      <c r="K3879" s="2" t="s">
        <v>2845</v>
      </c>
      <c r="L3879" s="2" t="s">
        <v>2846</v>
      </c>
      <c r="M3879" s="2" t="s">
        <v>70</v>
      </c>
      <c r="N3879" s="2" t="s">
        <v>38</v>
      </c>
      <c r="O3879" s="2" t="s">
        <v>149</v>
      </c>
      <c r="P3879" s="2" t="s">
        <v>1105</v>
      </c>
      <c r="Q3879" s="2" t="s">
        <v>21825</v>
      </c>
      <c r="R3879" s="2" t="s">
        <v>40</v>
      </c>
      <c r="S3879" s="2" t="s">
        <v>21826</v>
      </c>
      <c r="T3879" s="2" t="s">
        <v>17507</v>
      </c>
      <c r="U3879" s="2" t="s">
        <v>21827</v>
      </c>
      <c r="V3879" s="2" t="s">
        <v>21828</v>
      </c>
      <c r="W3879" s="1"/>
      <c r="X3879" s="2" t="s">
        <v>7059</v>
      </c>
      <c r="Y3879" s="2" t="s">
        <v>21087</v>
      </c>
      <c r="AA3879" t="str">
        <f t="shared" si="360"/>
        <v>2025-02</v>
      </c>
      <c r="AB3879" t="str">
        <f t="shared" si="361"/>
        <v>H1_2025</v>
      </c>
      <c r="AC3879">
        <f t="shared" si="362"/>
        <v>1946664</v>
      </c>
      <c r="AD3879">
        <f t="shared" si="363"/>
        <v>300</v>
      </c>
      <c r="AE3879">
        <f t="shared" si="364"/>
        <v>528264</v>
      </c>
      <c r="AF3879" t="str">
        <f t="shared" si="365"/>
        <v>Paid</v>
      </c>
    </row>
    <row r="3880" spans="1:32" ht="17.25" thickBot="1" x14ac:dyDescent="0.35">
      <c r="A3880" s="2" t="s">
        <v>21829</v>
      </c>
      <c r="B3880" s="2" t="s">
        <v>27</v>
      </c>
      <c r="C3880" s="2" t="s">
        <v>28</v>
      </c>
      <c r="D3880" s="2" t="s">
        <v>97</v>
      </c>
      <c r="E3880" s="2" t="s">
        <v>21084</v>
      </c>
      <c r="F3880" s="2" t="s">
        <v>31</v>
      </c>
      <c r="G3880" s="2" t="s">
        <v>32</v>
      </c>
      <c r="H3880" s="1"/>
      <c r="I3880" s="2" t="s">
        <v>33</v>
      </c>
      <c r="J3880" s="2" t="s">
        <v>34</v>
      </c>
      <c r="K3880" s="2" t="s">
        <v>2873</v>
      </c>
      <c r="L3880" s="2" t="s">
        <v>2874</v>
      </c>
      <c r="M3880" s="2" t="s">
        <v>70</v>
      </c>
      <c r="N3880" s="2" t="s">
        <v>38</v>
      </c>
      <c r="O3880" s="2" t="s">
        <v>203</v>
      </c>
      <c r="P3880" s="2" t="s">
        <v>7023</v>
      </c>
      <c r="Q3880" s="2" t="s">
        <v>21830</v>
      </c>
      <c r="R3880" s="2" t="s">
        <v>40</v>
      </c>
      <c r="S3880" s="2" t="s">
        <v>21831</v>
      </c>
      <c r="T3880" s="2" t="s">
        <v>13105</v>
      </c>
      <c r="U3880" s="2" t="s">
        <v>21832</v>
      </c>
      <c r="V3880" s="2" t="s">
        <v>21833</v>
      </c>
      <c r="W3880" s="1"/>
      <c r="X3880" s="2" t="s">
        <v>4604</v>
      </c>
      <c r="Y3880" s="2" t="s">
        <v>21087</v>
      </c>
      <c r="AA3880" t="str">
        <f t="shared" si="360"/>
        <v>2025-02</v>
      </c>
      <c r="AB3880" t="str">
        <f t="shared" si="361"/>
        <v>H1_2025</v>
      </c>
      <c r="AC3880">
        <f t="shared" si="362"/>
        <v>297762.75</v>
      </c>
      <c r="AD3880">
        <f t="shared" si="363"/>
        <v>25</v>
      </c>
      <c r="AE3880">
        <f t="shared" si="364"/>
        <v>132287.75</v>
      </c>
      <c r="AF3880" t="str">
        <f t="shared" si="365"/>
        <v>Paid</v>
      </c>
    </row>
    <row r="3881" spans="1:32" ht="27.75" thickBot="1" x14ac:dyDescent="0.35">
      <c r="A3881" s="2" t="s">
        <v>21834</v>
      </c>
      <c r="B3881" s="2" t="s">
        <v>27</v>
      </c>
      <c r="C3881" s="2" t="s">
        <v>28</v>
      </c>
      <c r="D3881" s="2" t="s">
        <v>97</v>
      </c>
      <c r="E3881" s="2" t="s">
        <v>21084</v>
      </c>
      <c r="F3881" s="2" t="s">
        <v>31</v>
      </c>
      <c r="G3881" s="2" t="s">
        <v>32</v>
      </c>
      <c r="H3881" s="1"/>
      <c r="I3881" s="2" t="s">
        <v>33</v>
      </c>
      <c r="J3881" s="2" t="s">
        <v>34</v>
      </c>
      <c r="K3881" s="2" t="s">
        <v>2880</v>
      </c>
      <c r="L3881" s="2" t="s">
        <v>2881</v>
      </c>
      <c r="M3881" s="2" t="s">
        <v>70</v>
      </c>
      <c r="N3881" s="2" t="s">
        <v>38</v>
      </c>
      <c r="O3881" s="2" t="s">
        <v>203</v>
      </c>
      <c r="P3881" s="2" t="s">
        <v>5084</v>
      </c>
      <c r="Q3881" s="2" t="s">
        <v>21191</v>
      </c>
      <c r="R3881" s="2" t="s">
        <v>40</v>
      </c>
      <c r="S3881" s="2" t="s">
        <v>21192</v>
      </c>
      <c r="T3881" s="2" t="s">
        <v>18118</v>
      </c>
      <c r="U3881" s="2" t="s">
        <v>21835</v>
      </c>
      <c r="V3881" s="2" t="s">
        <v>21836</v>
      </c>
      <c r="W3881" s="1"/>
      <c r="X3881" s="2" t="s">
        <v>4573</v>
      </c>
      <c r="Y3881" s="2" t="s">
        <v>21087</v>
      </c>
      <c r="AA3881" t="str">
        <f t="shared" si="360"/>
        <v>2025-02</v>
      </c>
      <c r="AB3881" t="str">
        <f t="shared" si="361"/>
        <v>H1_2025</v>
      </c>
      <c r="AC3881">
        <f t="shared" si="362"/>
        <v>212738.5</v>
      </c>
      <c r="AD3881">
        <f t="shared" si="363"/>
        <v>25</v>
      </c>
      <c r="AE3881">
        <f t="shared" si="364"/>
        <v>71813.5</v>
      </c>
      <c r="AF3881" t="str">
        <f t="shared" si="365"/>
        <v>Paid</v>
      </c>
    </row>
    <row r="3882" spans="1:32" ht="17.25" thickBot="1" x14ac:dyDescent="0.35">
      <c r="A3882" s="2" t="s">
        <v>21837</v>
      </c>
      <c r="B3882" s="2" t="s">
        <v>27</v>
      </c>
      <c r="C3882" s="2" t="s">
        <v>28</v>
      </c>
      <c r="D3882" s="2" t="s">
        <v>97</v>
      </c>
      <c r="E3882" s="2" t="s">
        <v>21084</v>
      </c>
      <c r="F3882" s="2" t="s">
        <v>31</v>
      </c>
      <c r="G3882" s="2" t="s">
        <v>32</v>
      </c>
      <c r="H3882" s="1"/>
      <c r="I3882" s="2" t="s">
        <v>33</v>
      </c>
      <c r="J3882" s="2" t="s">
        <v>34</v>
      </c>
      <c r="K3882" s="2" t="s">
        <v>2887</v>
      </c>
      <c r="L3882" s="2" t="s">
        <v>2888</v>
      </c>
      <c r="M3882" s="2" t="s">
        <v>70</v>
      </c>
      <c r="N3882" s="2" t="s">
        <v>38</v>
      </c>
      <c r="O3882" s="2" t="s">
        <v>51</v>
      </c>
      <c r="P3882" s="2" t="s">
        <v>40</v>
      </c>
      <c r="Q3882" s="2" t="s">
        <v>40</v>
      </c>
      <c r="R3882" s="2" t="s">
        <v>40</v>
      </c>
      <c r="S3882" s="2" t="s">
        <v>40</v>
      </c>
      <c r="T3882" s="2" t="s">
        <v>13735</v>
      </c>
      <c r="U3882" s="2" t="s">
        <v>21838</v>
      </c>
      <c r="V3882" s="2" t="s">
        <v>21839</v>
      </c>
      <c r="W3882" s="2" t="s">
        <v>41</v>
      </c>
      <c r="X3882" s="2" t="s">
        <v>42</v>
      </c>
      <c r="Y3882" s="2" t="s">
        <v>21087</v>
      </c>
      <c r="AA3882" t="str">
        <f t="shared" si="360"/>
        <v>2025-02</v>
      </c>
      <c r="AB3882" t="str">
        <f t="shared" si="361"/>
        <v>H1_2025</v>
      </c>
      <c r="AC3882">
        <f t="shared" si="362"/>
        <v>0</v>
      </c>
      <c r="AD3882">
        <f t="shared" si="363"/>
        <v>3</v>
      </c>
      <c r="AE3882">
        <f t="shared" si="364"/>
        <v>-22584</v>
      </c>
      <c r="AF3882" t="str">
        <f t="shared" si="365"/>
        <v>Sample</v>
      </c>
    </row>
    <row r="3883" spans="1:32" ht="17.25" thickBot="1" x14ac:dyDescent="0.35">
      <c r="A3883" s="2" t="s">
        <v>21840</v>
      </c>
      <c r="B3883" s="2" t="s">
        <v>27</v>
      </c>
      <c r="C3883" s="2" t="s">
        <v>28</v>
      </c>
      <c r="D3883" s="2" t="s">
        <v>97</v>
      </c>
      <c r="E3883" s="2" t="s">
        <v>21084</v>
      </c>
      <c r="F3883" s="2" t="s">
        <v>31</v>
      </c>
      <c r="G3883" s="2" t="s">
        <v>32</v>
      </c>
      <c r="H3883" s="1"/>
      <c r="I3883" s="2" t="s">
        <v>33</v>
      </c>
      <c r="J3883" s="2" t="s">
        <v>34</v>
      </c>
      <c r="K3883" s="2" t="s">
        <v>11574</v>
      </c>
      <c r="L3883" s="2" t="s">
        <v>11575</v>
      </c>
      <c r="M3883" s="2" t="s">
        <v>70</v>
      </c>
      <c r="N3883" s="2" t="s">
        <v>38</v>
      </c>
      <c r="O3883" s="2" t="s">
        <v>51</v>
      </c>
      <c r="P3883" s="2" t="s">
        <v>40</v>
      </c>
      <c r="Q3883" s="2" t="s">
        <v>40</v>
      </c>
      <c r="R3883" s="2" t="s">
        <v>40</v>
      </c>
      <c r="S3883" s="2" t="s">
        <v>40</v>
      </c>
      <c r="T3883" s="2" t="s">
        <v>13735</v>
      </c>
      <c r="U3883" s="2" t="s">
        <v>21838</v>
      </c>
      <c r="V3883" s="2" t="s">
        <v>21839</v>
      </c>
      <c r="W3883" s="2" t="s">
        <v>41</v>
      </c>
      <c r="X3883" s="2" t="s">
        <v>42</v>
      </c>
      <c r="Y3883" s="2" t="s">
        <v>21087</v>
      </c>
      <c r="AA3883" t="str">
        <f t="shared" si="360"/>
        <v>2025-02</v>
      </c>
      <c r="AB3883" t="str">
        <f t="shared" si="361"/>
        <v>H1_2025</v>
      </c>
      <c r="AC3883">
        <f t="shared" si="362"/>
        <v>0</v>
      </c>
      <c r="AD3883">
        <f t="shared" si="363"/>
        <v>3</v>
      </c>
      <c r="AE3883">
        <f t="shared" si="364"/>
        <v>-22584</v>
      </c>
      <c r="AF3883" t="str">
        <f t="shared" si="365"/>
        <v>Sample</v>
      </c>
    </row>
    <row r="3884" spans="1:32" ht="17.25" thickBot="1" x14ac:dyDescent="0.35">
      <c r="A3884" s="2" t="s">
        <v>21841</v>
      </c>
      <c r="B3884" s="2" t="s">
        <v>27</v>
      </c>
      <c r="C3884" s="2" t="s">
        <v>28</v>
      </c>
      <c r="D3884" s="2" t="s">
        <v>97</v>
      </c>
      <c r="E3884" s="2" t="s">
        <v>21084</v>
      </c>
      <c r="F3884" s="2" t="s">
        <v>31</v>
      </c>
      <c r="G3884" s="2" t="s">
        <v>32</v>
      </c>
      <c r="H3884" s="1"/>
      <c r="I3884" s="2" t="s">
        <v>33</v>
      </c>
      <c r="J3884" s="2" t="s">
        <v>34</v>
      </c>
      <c r="K3884" s="2" t="s">
        <v>2896</v>
      </c>
      <c r="L3884" s="2" t="s">
        <v>2897</v>
      </c>
      <c r="M3884" s="2" t="s">
        <v>70</v>
      </c>
      <c r="N3884" s="2" t="s">
        <v>38</v>
      </c>
      <c r="O3884" s="2" t="s">
        <v>51</v>
      </c>
      <c r="P3884" s="2" t="s">
        <v>40</v>
      </c>
      <c r="Q3884" s="2" t="s">
        <v>40</v>
      </c>
      <c r="R3884" s="2" t="s">
        <v>40</v>
      </c>
      <c r="S3884" s="2" t="s">
        <v>40</v>
      </c>
      <c r="T3884" s="2" t="s">
        <v>9590</v>
      </c>
      <c r="U3884" s="2" t="s">
        <v>21842</v>
      </c>
      <c r="V3884" s="2" t="s">
        <v>21843</v>
      </c>
      <c r="W3884" s="2" t="s">
        <v>41</v>
      </c>
      <c r="X3884" s="2" t="s">
        <v>42</v>
      </c>
      <c r="Y3884" s="2" t="s">
        <v>21087</v>
      </c>
      <c r="AA3884" t="str">
        <f t="shared" si="360"/>
        <v>2025-02</v>
      </c>
      <c r="AB3884" t="str">
        <f t="shared" si="361"/>
        <v>H1_2025</v>
      </c>
      <c r="AC3884">
        <f t="shared" si="362"/>
        <v>0</v>
      </c>
      <c r="AD3884">
        <f t="shared" si="363"/>
        <v>3</v>
      </c>
      <c r="AE3884">
        <f t="shared" si="364"/>
        <v>-23838</v>
      </c>
      <c r="AF3884" t="str">
        <f t="shared" si="365"/>
        <v>Sample</v>
      </c>
    </row>
    <row r="3885" spans="1:32" ht="27.75" thickBot="1" x14ac:dyDescent="0.35">
      <c r="A3885" s="2" t="s">
        <v>21844</v>
      </c>
      <c r="B3885" s="2" t="s">
        <v>27</v>
      </c>
      <c r="C3885" s="2" t="s">
        <v>28</v>
      </c>
      <c r="D3885" s="2" t="s">
        <v>97</v>
      </c>
      <c r="E3885" s="2" t="s">
        <v>21084</v>
      </c>
      <c r="F3885" s="2" t="s">
        <v>31</v>
      </c>
      <c r="G3885" s="2" t="s">
        <v>32</v>
      </c>
      <c r="H3885" s="1"/>
      <c r="I3885" s="2" t="s">
        <v>33</v>
      </c>
      <c r="J3885" s="2" t="s">
        <v>34</v>
      </c>
      <c r="K3885" s="2" t="s">
        <v>2904</v>
      </c>
      <c r="L3885" s="2" t="s">
        <v>2905</v>
      </c>
      <c r="M3885" s="2" t="s">
        <v>70</v>
      </c>
      <c r="N3885" s="2" t="s">
        <v>38</v>
      </c>
      <c r="O3885" s="2" t="s">
        <v>51</v>
      </c>
      <c r="P3885" s="2" t="s">
        <v>40</v>
      </c>
      <c r="Q3885" s="2" t="s">
        <v>40</v>
      </c>
      <c r="R3885" s="2" t="s">
        <v>40</v>
      </c>
      <c r="S3885" s="2" t="s">
        <v>40</v>
      </c>
      <c r="T3885" s="2" t="s">
        <v>2909</v>
      </c>
      <c r="U3885" s="2" t="s">
        <v>21845</v>
      </c>
      <c r="V3885" s="2" t="s">
        <v>21846</v>
      </c>
      <c r="W3885" s="2" t="s">
        <v>41</v>
      </c>
      <c r="X3885" s="2" t="s">
        <v>42</v>
      </c>
      <c r="Y3885" s="2" t="s">
        <v>21087</v>
      </c>
      <c r="AA3885" t="str">
        <f t="shared" si="360"/>
        <v>2025-02</v>
      </c>
      <c r="AB3885" t="str">
        <f t="shared" si="361"/>
        <v>H1_2025</v>
      </c>
      <c r="AC3885">
        <f t="shared" si="362"/>
        <v>0</v>
      </c>
      <c r="AD3885">
        <f t="shared" si="363"/>
        <v>3</v>
      </c>
      <c r="AE3885">
        <f t="shared" si="364"/>
        <v>-18600</v>
      </c>
      <c r="AF3885" t="str">
        <f t="shared" si="365"/>
        <v>Sample</v>
      </c>
    </row>
    <row r="3886" spans="1:32" ht="17.25" thickBot="1" x14ac:dyDescent="0.35">
      <c r="A3886" s="2" t="s">
        <v>21847</v>
      </c>
      <c r="B3886" s="2" t="s">
        <v>27</v>
      </c>
      <c r="C3886" s="2" t="s">
        <v>28</v>
      </c>
      <c r="D3886" s="2" t="s">
        <v>97</v>
      </c>
      <c r="E3886" s="2" t="s">
        <v>21084</v>
      </c>
      <c r="F3886" s="2" t="s">
        <v>31</v>
      </c>
      <c r="G3886" s="2" t="s">
        <v>32</v>
      </c>
      <c r="H3886" s="1"/>
      <c r="I3886" s="2" t="s">
        <v>33</v>
      </c>
      <c r="J3886" s="2" t="s">
        <v>34</v>
      </c>
      <c r="K3886" s="2" t="s">
        <v>9594</v>
      </c>
      <c r="L3886" s="2" t="s">
        <v>9595</v>
      </c>
      <c r="M3886" s="2" t="s">
        <v>70</v>
      </c>
      <c r="N3886" s="2" t="s">
        <v>38</v>
      </c>
      <c r="O3886" s="2" t="s">
        <v>51</v>
      </c>
      <c r="P3886" s="2" t="s">
        <v>40</v>
      </c>
      <c r="Q3886" s="2" t="s">
        <v>40</v>
      </c>
      <c r="R3886" s="2" t="s">
        <v>40</v>
      </c>
      <c r="S3886" s="2" t="s">
        <v>40</v>
      </c>
      <c r="T3886" s="2" t="s">
        <v>2919</v>
      </c>
      <c r="U3886" s="2" t="s">
        <v>21848</v>
      </c>
      <c r="V3886" s="2" t="s">
        <v>21849</v>
      </c>
      <c r="W3886" s="2" t="s">
        <v>41</v>
      </c>
      <c r="X3886" s="2" t="s">
        <v>42</v>
      </c>
      <c r="Y3886" s="2" t="s">
        <v>21087</v>
      </c>
      <c r="AA3886" t="str">
        <f t="shared" si="360"/>
        <v>2025-02</v>
      </c>
      <c r="AB3886" t="str">
        <f t="shared" si="361"/>
        <v>H1_2025</v>
      </c>
      <c r="AC3886">
        <f t="shared" si="362"/>
        <v>0</v>
      </c>
      <c r="AD3886">
        <f t="shared" si="363"/>
        <v>3</v>
      </c>
      <c r="AE3886">
        <f t="shared" si="364"/>
        <v>-17565</v>
      </c>
      <c r="AF3886" t="str">
        <f t="shared" si="365"/>
        <v>Sample</v>
      </c>
    </row>
    <row r="3887" spans="1:32" ht="27.75" thickBot="1" x14ac:dyDescent="0.35">
      <c r="A3887" s="2" t="s">
        <v>21850</v>
      </c>
      <c r="B3887" s="2" t="s">
        <v>27</v>
      </c>
      <c r="C3887" s="2" t="s">
        <v>28</v>
      </c>
      <c r="D3887" s="2" t="s">
        <v>97</v>
      </c>
      <c r="E3887" s="2" t="s">
        <v>21084</v>
      </c>
      <c r="F3887" s="2" t="s">
        <v>31</v>
      </c>
      <c r="G3887" s="2" t="s">
        <v>32</v>
      </c>
      <c r="H3887" s="1"/>
      <c r="I3887" s="2" t="s">
        <v>33</v>
      </c>
      <c r="J3887" s="2" t="s">
        <v>34</v>
      </c>
      <c r="K3887" s="2" t="s">
        <v>18140</v>
      </c>
      <c r="L3887" s="2" t="s">
        <v>18141</v>
      </c>
      <c r="M3887" s="2" t="s">
        <v>70</v>
      </c>
      <c r="N3887" s="2" t="s">
        <v>38</v>
      </c>
      <c r="O3887" s="2" t="s">
        <v>51</v>
      </c>
      <c r="P3887" s="2" t="s">
        <v>40</v>
      </c>
      <c r="Q3887" s="2" t="s">
        <v>40</v>
      </c>
      <c r="R3887" s="2" t="s">
        <v>40</v>
      </c>
      <c r="S3887" s="2" t="s">
        <v>40</v>
      </c>
      <c r="T3887" s="2" t="s">
        <v>2919</v>
      </c>
      <c r="U3887" s="2" t="s">
        <v>21848</v>
      </c>
      <c r="V3887" s="2" t="s">
        <v>21849</v>
      </c>
      <c r="W3887" s="2" t="s">
        <v>41</v>
      </c>
      <c r="X3887" s="2" t="s">
        <v>42</v>
      </c>
      <c r="Y3887" s="2" t="s">
        <v>21087</v>
      </c>
      <c r="AA3887" t="str">
        <f t="shared" si="360"/>
        <v>2025-02</v>
      </c>
      <c r="AB3887" t="str">
        <f t="shared" si="361"/>
        <v>H1_2025</v>
      </c>
      <c r="AC3887">
        <f t="shared" si="362"/>
        <v>0</v>
      </c>
      <c r="AD3887">
        <f t="shared" si="363"/>
        <v>3</v>
      </c>
      <c r="AE3887">
        <f t="shared" si="364"/>
        <v>-17565</v>
      </c>
      <c r="AF3887" t="str">
        <f t="shared" si="365"/>
        <v>Sample</v>
      </c>
    </row>
    <row r="3888" spans="1:32" ht="17.25" thickBot="1" x14ac:dyDescent="0.35">
      <c r="A3888" s="2" t="s">
        <v>21851</v>
      </c>
      <c r="B3888" s="2" t="s">
        <v>27</v>
      </c>
      <c r="C3888" s="2" t="s">
        <v>28</v>
      </c>
      <c r="D3888" s="2" t="s">
        <v>97</v>
      </c>
      <c r="E3888" s="2" t="s">
        <v>21084</v>
      </c>
      <c r="F3888" s="2" t="s">
        <v>31</v>
      </c>
      <c r="G3888" s="2" t="s">
        <v>32</v>
      </c>
      <c r="H3888" s="1"/>
      <c r="I3888" s="2" t="s">
        <v>33</v>
      </c>
      <c r="J3888" s="2" t="s">
        <v>34</v>
      </c>
      <c r="K3888" s="2" t="s">
        <v>2914</v>
      </c>
      <c r="L3888" s="2" t="s">
        <v>2915</v>
      </c>
      <c r="M3888" s="2" t="s">
        <v>70</v>
      </c>
      <c r="N3888" s="2" t="s">
        <v>38</v>
      </c>
      <c r="O3888" s="2" t="s">
        <v>51</v>
      </c>
      <c r="P3888" s="2" t="s">
        <v>40</v>
      </c>
      <c r="Q3888" s="2" t="s">
        <v>40</v>
      </c>
      <c r="R3888" s="2" t="s">
        <v>40</v>
      </c>
      <c r="S3888" s="2" t="s">
        <v>40</v>
      </c>
      <c r="T3888" s="2" t="s">
        <v>2919</v>
      </c>
      <c r="U3888" s="2" t="s">
        <v>21848</v>
      </c>
      <c r="V3888" s="2" t="s">
        <v>21849</v>
      </c>
      <c r="W3888" s="2" t="s">
        <v>41</v>
      </c>
      <c r="X3888" s="2" t="s">
        <v>42</v>
      </c>
      <c r="Y3888" s="2" t="s">
        <v>21087</v>
      </c>
      <c r="AA3888" t="str">
        <f t="shared" si="360"/>
        <v>2025-02</v>
      </c>
      <c r="AB3888" t="str">
        <f t="shared" si="361"/>
        <v>H1_2025</v>
      </c>
      <c r="AC3888">
        <f t="shared" si="362"/>
        <v>0</v>
      </c>
      <c r="AD3888">
        <f t="shared" si="363"/>
        <v>3</v>
      </c>
      <c r="AE3888">
        <f t="shared" si="364"/>
        <v>-17565</v>
      </c>
      <c r="AF3888" t="str">
        <f t="shared" si="365"/>
        <v>Sample</v>
      </c>
    </row>
    <row r="3889" spans="1:32" ht="17.25" thickBot="1" x14ac:dyDescent="0.35">
      <c r="A3889" s="2" t="s">
        <v>21852</v>
      </c>
      <c r="B3889" s="2" t="s">
        <v>27</v>
      </c>
      <c r="C3889" s="2" t="s">
        <v>28</v>
      </c>
      <c r="D3889" s="2" t="s">
        <v>97</v>
      </c>
      <c r="E3889" s="2" t="s">
        <v>21084</v>
      </c>
      <c r="F3889" s="2" t="s">
        <v>31</v>
      </c>
      <c r="G3889" s="2" t="s">
        <v>32</v>
      </c>
      <c r="H3889" s="1"/>
      <c r="I3889" s="2" t="s">
        <v>33</v>
      </c>
      <c r="J3889" s="2" t="s">
        <v>34</v>
      </c>
      <c r="K3889" s="2" t="s">
        <v>2923</v>
      </c>
      <c r="L3889" s="2" t="s">
        <v>2924</v>
      </c>
      <c r="M3889" s="2" t="s">
        <v>70</v>
      </c>
      <c r="N3889" s="2" t="s">
        <v>38</v>
      </c>
      <c r="O3889" s="2" t="s">
        <v>51</v>
      </c>
      <c r="P3889" s="2" t="s">
        <v>40</v>
      </c>
      <c r="Q3889" s="2" t="s">
        <v>40</v>
      </c>
      <c r="R3889" s="2" t="s">
        <v>40</v>
      </c>
      <c r="S3889" s="2" t="s">
        <v>40</v>
      </c>
      <c r="T3889" s="2" t="s">
        <v>2919</v>
      </c>
      <c r="U3889" s="2" t="s">
        <v>21848</v>
      </c>
      <c r="V3889" s="2" t="s">
        <v>21849</v>
      </c>
      <c r="W3889" s="2" t="s">
        <v>41</v>
      </c>
      <c r="X3889" s="2" t="s">
        <v>42</v>
      </c>
      <c r="Y3889" s="2" t="s">
        <v>21087</v>
      </c>
      <c r="AA3889" t="str">
        <f t="shared" si="360"/>
        <v>2025-02</v>
      </c>
      <c r="AB3889" t="str">
        <f t="shared" si="361"/>
        <v>H1_2025</v>
      </c>
      <c r="AC3889">
        <f t="shared" si="362"/>
        <v>0</v>
      </c>
      <c r="AD3889">
        <f t="shared" si="363"/>
        <v>3</v>
      </c>
      <c r="AE3889">
        <f t="shared" si="364"/>
        <v>-17565</v>
      </c>
      <c r="AF3889" t="str">
        <f t="shared" si="365"/>
        <v>Sample</v>
      </c>
    </row>
    <row r="3890" spans="1:32" ht="27.75" thickBot="1" x14ac:dyDescent="0.35">
      <c r="A3890" s="2" t="s">
        <v>21853</v>
      </c>
      <c r="B3890" s="2" t="s">
        <v>27</v>
      </c>
      <c r="C3890" s="2" t="s">
        <v>28</v>
      </c>
      <c r="D3890" s="2" t="s">
        <v>97</v>
      </c>
      <c r="E3890" s="2" t="s">
        <v>21084</v>
      </c>
      <c r="F3890" s="2" t="s">
        <v>31</v>
      </c>
      <c r="G3890" s="2" t="s">
        <v>32</v>
      </c>
      <c r="H3890" s="1"/>
      <c r="I3890" s="2" t="s">
        <v>33</v>
      </c>
      <c r="J3890" s="2" t="s">
        <v>34</v>
      </c>
      <c r="K3890" s="2" t="s">
        <v>21854</v>
      </c>
      <c r="L3890" s="2" t="s">
        <v>21855</v>
      </c>
      <c r="M3890" s="2" t="s">
        <v>21856</v>
      </c>
      <c r="N3890" s="2" t="s">
        <v>38</v>
      </c>
      <c r="O3890" s="2" t="s">
        <v>51</v>
      </c>
      <c r="P3890" s="2" t="s">
        <v>21857</v>
      </c>
      <c r="Q3890" s="2" t="s">
        <v>21858</v>
      </c>
      <c r="R3890" s="2" t="s">
        <v>40</v>
      </c>
      <c r="S3890" s="2" t="s">
        <v>21859</v>
      </c>
      <c r="T3890" s="2" t="s">
        <v>21860</v>
      </c>
      <c r="U3890" s="2" t="s">
        <v>21245</v>
      </c>
      <c r="V3890" s="2" t="s">
        <v>21861</v>
      </c>
      <c r="W3890" s="1"/>
      <c r="X3890" s="2" t="s">
        <v>6902</v>
      </c>
      <c r="Y3890" s="2" t="s">
        <v>21087</v>
      </c>
      <c r="AA3890" t="str">
        <f t="shared" si="360"/>
        <v>2025-02</v>
      </c>
      <c r="AB3890" t="str">
        <f t="shared" si="361"/>
        <v>H1_2025</v>
      </c>
      <c r="AC3890">
        <f t="shared" si="362"/>
        <v>53832.09</v>
      </c>
      <c r="AD3890">
        <f t="shared" si="363"/>
        <v>3</v>
      </c>
      <c r="AE3890">
        <f t="shared" si="364"/>
        <v>12882.09</v>
      </c>
      <c r="AF3890" t="str">
        <f t="shared" si="365"/>
        <v>Paid</v>
      </c>
    </row>
    <row r="3891" spans="1:32" ht="17.25" thickBot="1" x14ac:dyDescent="0.35">
      <c r="A3891" s="2" t="s">
        <v>21862</v>
      </c>
      <c r="B3891" s="2" t="s">
        <v>27</v>
      </c>
      <c r="C3891" s="2" t="s">
        <v>28</v>
      </c>
      <c r="D3891" s="2" t="s">
        <v>97</v>
      </c>
      <c r="E3891" s="2" t="s">
        <v>21084</v>
      </c>
      <c r="F3891" s="2" t="s">
        <v>31</v>
      </c>
      <c r="G3891" s="2" t="s">
        <v>32</v>
      </c>
      <c r="H3891" s="1"/>
      <c r="I3891" s="2" t="s">
        <v>33</v>
      </c>
      <c r="J3891" s="2" t="s">
        <v>34</v>
      </c>
      <c r="K3891" s="2" t="s">
        <v>21863</v>
      </c>
      <c r="L3891" s="2" t="s">
        <v>21864</v>
      </c>
      <c r="M3891" s="2" t="s">
        <v>3629</v>
      </c>
      <c r="N3891" s="2" t="s">
        <v>38</v>
      </c>
      <c r="O3891" s="2" t="s">
        <v>92</v>
      </c>
      <c r="P3891" s="2" t="s">
        <v>3612</v>
      </c>
      <c r="Q3891" s="2" t="s">
        <v>21865</v>
      </c>
      <c r="R3891" s="2" t="s">
        <v>40</v>
      </c>
      <c r="S3891" s="2" t="s">
        <v>21866</v>
      </c>
      <c r="T3891" s="2" t="s">
        <v>21867</v>
      </c>
      <c r="U3891" s="2" t="s">
        <v>21868</v>
      </c>
      <c r="V3891" s="2" t="s">
        <v>21869</v>
      </c>
      <c r="W3891" s="1"/>
      <c r="X3891" s="2" t="s">
        <v>2958</v>
      </c>
      <c r="Y3891" s="2" t="s">
        <v>21087</v>
      </c>
      <c r="AA3891" t="str">
        <f t="shared" si="360"/>
        <v>2025-02</v>
      </c>
      <c r="AB3891" t="str">
        <f t="shared" si="361"/>
        <v>H1_2025</v>
      </c>
      <c r="AC3891">
        <f t="shared" si="362"/>
        <v>139112.48000000001</v>
      </c>
      <c r="AD3891">
        <f t="shared" si="363"/>
        <v>13</v>
      </c>
      <c r="AE3891">
        <f t="shared" si="364"/>
        <v>32055.48</v>
      </c>
      <c r="AF3891" t="str">
        <f t="shared" si="365"/>
        <v>Paid</v>
      </c>
    </row>
    <row r="3892" spans="1:32" ht="17.25" thickBot="1" x14ac:dyDescent="0.35">
      <c r="A3892" s="2" t="s">
        <v>21870</v>
      </c>
      <c r="B3892" s="2" t="s">
        <v>27</v>
      </c>
      <c r="C3892" s="2" t="s">
        <v>28</v>
      </c>
      <c r="D3892" s="2" t="s">
        <v>97</v>
      </c>
      <c r="E3892" s="2" t="s">
        <v>21084</v>
      </c>
      <c r="F3892" s="2" t="s">
        <v>31</v>
      </c>
      <c r="G3892" s="2" t="s">
        <v>32</v>
      </c>
      <c r="H3892" s="1"/>
      <c r="I3892" s="2" t="s">
        <v>33</v>
      </c>
      <c r="J3892" s="2" t="s">
        <v>34</v>
      </c>
      <c r="K3892" s="2" t="s">
        <v>18151</v>
      </c>
      <c r="L3892" s="2" t="s">
        <v>18152</v>
      </c>
      <c r="M3892" s="2" t="s">
        <v>3629</v>
      </c>
      <c r="N3892" s="2" t="s">
        <v>38</v>
      </c>
      <c r="O3892" s="2" t="s">
        <v>877</v>
      </c>
      <c r="P3892" s="2" t="s">
        <v>20449</v>
      </c>
      <c r="Q3892" s="2" t="s">
        <v>21871</v>
      </c>
      <c r="R3892" s="2" t="s">
        <v>40</v>
      </c>
      <c r="S3892" s="2" t="s">
        <v>21872</v>
      </c>
      <c r="T3892" s="2" t="s">
        <v>9605</v>
      </c>
      <c r="U3892" s="2" t="s">
        <v>18155</v>
      </c>
      <c r="V3892" s="2" t="s">
        <v>21873</v>
      </c>
      <c r="W3892" s="1"/>
      <c r="X3892" s="2" t="s">
        <v>7033</v>
      </c>
      <c r="Y3892" s="2" t="s">
        <v>21087</v>
      </c>
      <c r="AA3892" t="str">
        <f t="shared" si="360"/>
        <v>2025-02</v>
      </c>
      <c r="AB3892" t="str">
        <f t="shared" si="361"/>
        <v>H1_2025</v>
      </c>
      <c r="AC3892">
        <f t="shared" si="362"/>
        <v>822494</v>
      </c>
      <c r="AD3892">
        <f t="shared" si="363"/>
        <v>100</v>
      </c>
      <c r="AE3892">
        <f t="shared" si="364"/>
        <v>387194</v>
      </c>
      <c r="AF3892" t="str">
        <f t="shared" si="365"/>
        <v>Paid</v>
      </c>
    </row>
    <row r="3893" spans="1:32" ht="17.25" thickBot="1" x14ac:dyDescent="0.35">
      <c r="A3893" s="2" t="s">
        <v>21874</v>
      </c>
      <c r="B3893" s="2" t="s">
        <v>27</v>
      </c>
      <c r="C3893" s="2" t="s">
        <v>28</v>
      </c>
      <c r="D3893" s="2" t="s">
        <v>97</v>
      </c>
      <c r="E3893" s="2" t="s">
        <v>21084</v>
      </c>
      <c r="F3893" s="2" t="s">
        <v>31</v>
      </c>
      <c r="G3893" s="2" t="s">
        <v>32</v>
      </c>
      <c r="H3893" s="1"/>
      <c r="I3893" s="2" t="s">
        <v>33</v>
      </c>
      <c r="J3893" s="2" t="s">
        <v>34</v>
      </c>
      <c r="K3893" s="2" t="s">
        <v>18158</v>
      </c>
      <c r="L3893" s="2" t="s">
        <v>18159</v>
      </c>
      <c r="M3893" s="2" t="s">
        <v>3629</v>
      </c>
      <c r="N3893" s="2" t="s">
        <v>38</v>
      </c>
      <c r="O3893" s="2" t="s">
        <v>1333</v>
      </c>
      <c r="P3893" s="2" t="s">
        <v>20449</v>
      </c>
      <c r="Q3893" s="2" t="s">
        <v>21875</v>
      </c>
      <c r="R3893" s="2" t="s">
        <v>40</v>
      </c>
      <c r="S3893" s="2" t="s">
        <v>21876</v>
      </c>
      <c r="T3893" s="2" t="s">
        <v>9605</v>
      </c>
      <c r="U3893" s="2" t="s">
        <v>21877</v>
      </c>
      <c r="V3893" s="2" t="s">
        <v>21878</v>
      </c>
      <c r="W3893" s="1"/>
      <c r="X3893" s="2" t="s">
        <v>7033</v>
      </c>
      <c r="Y3893" s="2" t="s">
        <v>21087</v>
      </c>
      <c r="AA3893" t="str">
        <f t="shared" si="360"/>
        <v>2025-02</v>
      </c>
      <c r="AB3893" t="str">
        <f t="shared" si="361"/>
        <v>H1_2025</v>
      </c>
      <c r="AC3893">
        <f t="shared" si="362"/>
        <v>1233741</v>
      </c>
      <c r="AD3893">
        <f t="shared" si="363"/>
        <v>150</v>
      </c>
      <c r="AE3893">
        <f t="shared" si="364"/>
        <v>580791</v>
      </c>
      <c r="AF3893" t="str">
        <f t="shared" si="365"/>
        <v>Paid</v>
      </c>
    </row>
    <row r="3894" spans="1:32" ht="17.25" thickBot="1" x14ac:dyDescent="0.35">
      <c r="A3894" s="2" t="s">
        <v>21879</v>
      </c>
      <c r="B3894" s="2" t="s">
        <v>27</v>
      </c>
      <c r="C3894" s="2" t="s">
        <v>28</v>
      </c>
      <c r="D3894" s="2" t="s">
        <v>97</v>
      </c>
      <c r="E3894" s="2" t="s">
        <v>21084</v>
      </c>
      <c r="F3894" s="2" t="s">
        <v>31</v>
      </c>
      <c r="G3894" s="2" t="s">
        <v>32</v>
      </c>
      <c r="H3894" s="1"/>
      <c r="I3894" s="2" t="s">
        <v>33</v>
      </c>
      <c r="J3894" s="2" t="s">
        <v>34</v>
      </c>
      <c r="K3894" s="2" t="s">
        <v>9600</v>
      </c>
      <c r="L3894" s="2" t="s">
        <v>9601</v>
      </c>
      <c r="M3894" s="2" t="s">
        <v>3629</v>
      </c>
      <c r="N3894" s="2" t="s">
        <v>38</v>
      </c>
      <c r="O3894" s="2" t="s">
        <v>214</v>
      </c>
      <c r="P3894" s="2" t="s">
        <v>20449</v>
      </c>
      <c r="Q3894" s="2" t="s">
        <v>21880</v>
      </c>
      <c r="R3894" s="2" t="s">
        <v>40</v>
      </c>
      <c r="S3894" s="2" t="s">
        <v>21881</v>
      </c>
      <c r="T3894" s="2" t="s">
        <v>21882</v>
      </c>
      <c r="U3894" s="2" t="s">
        <v>21883</v>
      </c>
      <c r="V3894" s="2" t="s">
        <v>21884</v>
      </c>
      <c r="W3894" s="1"/>
      <c r="X3894" s="2" t="s">
        <v>3194</v>
      </c>
      <c r="Y3894" s="2" t="s">
        <v>21087</v>
      </c>
      <c r="AA3894" t="str">
        <f t="shared" si="360"/>
        <v>2025-02</v>
      </c>
      <c r="AB3894" t="str">
        <f t="shared" si="361"/>
        <v>H1_2025</v>
      </c>
      <c r="AC3894">
        <f t="shared" si="362"/>
        <v>411247</v>
      </c>
      <c r="AD3894">
        <f t="shared" si="363"/>
        <v>50</v>
      </c>
      <c r="AE3894">
        <f t="shared" si="364"/>
        <v>194877</v>
      </c>
      <c r="AF3894" t="str">
        <f t="shared" si="365"/>
        <v>Paid</v>
      </c>
    </row>
    <row r="3895" spans="1:32" ht="17.25" thickBot="1" x14ac:dyDescent="0.35">
      <c r="A3895" s="2" t="s">
        <v>21885</v>
      </c>
      <c r="B3895" s="2" t="s">
        <v>27</v>
      </c>
      <c r="C3895" s="2" t="s">
        <v>28</v>
      </c>
      <c r="D3895" s="2" t="s">
        <v>97</v>
      </c>
      <c r="E3895" s="2" t="s">
        <v>21084</v>
      </c>
      <c r="F3895" s="2" t="s">
        <v>31</v>
      </c>
      <c r="G3895" s="2" t="s">
        <v>32</v>
      </c>
      <c r="H3895" s="1"/>
      <c r="I3895" s="2" t="s">
        <v>33</v>
      </c>
      <c r="J3895" s="2" t="s">
        <v>34</v>
      </c>
      <c r="K3895" s="2" t="s">
        <v>14130</v>
      </c>
      <c r="L3895" s="2" t="s">
        <v>14131</v>
      </c>
      <c r="M3895" s="2" t="s">
        <v>3629</v>
      </c>
      <c r="N3895" s="2" t="s">
        <v>38</v>
      </c>
      <c r="O3895" s="2" t="s">
        <v>203</v>
      </c>
      <c r="P3895" s="2" t="s">
        <v>4317</v>
      </c>
      <c r="Q3895" s="2" t="s">
        <v>21886</v>
      </c>
      <c r="R3895" s="2" t="s">
        <v>40</v>
      </c>
      <c r="S3895" s="2" t="s">
        <v>21887</v>
      </c>
      <c r="T3895" s="2" t="s">
        <v>8761</v>
      </c>
      <c r="U3895" s="2" t="s">
        <v>21888</v>
      </c>
      <c r="V3895" s="2" t="s">
        <v>21889</v>
      </c>
      <c r="W3895" s="1"/>
      <c r="X3895" s="2" t="s">
        <v>2165</v>
      </c>
      <c r="Y3895" s="2" t="s">
        <v>21087</v>
      </c>
      <c r="AA3895" t="str">
        <f t="shared" si="360"/>
        <v>2025-02</v>
      </c>
      <c r="AB3895" t="str">
        <f t="shared" si="361"/>
        <v>H1_2025</v>
      </c>
      <c r="AC3895">
        <f t="shared" si="362"/>
        <v>352548.25</v>
      </c>
      <c r="AD3895">
        <f t="shared" si="363"/>
        <v>25</v>
      </c>
      <c r="AE3895">
        <f t="shared" si="364"/>
        <v>80498.25</v>
      </c>
      <c r="AF3895" t="str">
        <f t="shared" si="365"/>
        <v>Paid</v>
      </c>
    </row>
    <row r="3896" spans="1:32" ht="17.25" thickBot="1" x14ac:dyDescent="0.35">
      <c r="A3896" s="2" t="s">
        <v>21890</v>
      </c>
      <c r="B3896" s="2" t="s">
        <v>27</v>
      </c>
      <c r="C3896" s="2" t="s">
        <v>28</v>
      </c>
      <c r="D3896" s="2" t="s">
        <v>97</v>
      </c>
      <c r="E3896" s="2" t="s">
        <v>21084</v>
      </c>
      <c r="F3896" s="2" t="s">
        <v>31</v>
      </c>
      <c r="G3896" s="2" t="s">
        <v>32</v>
      </c>
      <c r="H3896" s="1"/>
      <c r="I3896" s="2" t="s">
        <v>33</v>
      </c>
      <c r="J3896" s="2" t="s">
        <v>34</v>
      </c>
      <c r="K3896" s="2" t="s">
        <v>21891</v>
      </c>
      <c r="L3896" s="2" t="s">
        <v>21892</v>
      </c>
      <c r="M3896" s="2" t="s">
        <v>3629</v>
      </c>
      <c r="N3896" s="2" t="s">
        <v>38</v>
      </c>
      <c r="O3896" s="2" t="s">
        <v>103</v>
      </c>
      <c r="P3896" s="2" t="s">
        <v>21893</v>
      </c>
      <c r="Q3896" s="2" t="s">
        <v>7620</v>
      </c>
      <c r="R3896" s="2" t="s">
        <v>40</v>
      </c>
      <c r="S3896" s="2" t="s">
        <v>21894</v>
      </c>
      <c r="T3896" s="2" t="s">
        <v>9616</v>
      </c>
      <c r="U3896" s="2" t="s">
        <v>21895</v>
      </c>
      <c r="V3896" s="2" t="s">
        <v>21896</v>
      </c>
      <c r="W3896" s="1"/>
      <c r="X3896" s="2" t="s">
        <v>1774</v>
      </c>
      <c r="Y3896" s="2" t="s">
        <v>21087</v>
      </c>
      <c r="AA3896" t="str">
        <f t="shared" si="360"/>
        <v>2025-02</v>
      </c>
      <c r="AB3896" t="str">
        <f t="shared" si="361"/>
        <v>H1_2025</v>
      </c>
      <c r="AC3896">
        <f t="shared" si="362"/>
        <v>315222.96000000002</v>
      </c>
      <c r="AD3896">
        <f t="shared" si="363"/>
        <v>24</v>
      </c>
      <c r="AE3896">
        <f t="shared" si="364"/>
        <v>74958.960000000006</v>
      </c>
      <c r="AF3896" t="str">
        <f t="shared" si="365"/>
        <v>Paid</v>
      </c>
    </row>
    <row r="3897" spans="1:32" ht="17.25" thickBot="1" x14ac:dyDescent="0.35">
      <c r="A3897" s="2" t="s">
        <v>21897</v>
      </c>
      <c r="B3897" s="2" t="s">
        <v>27</v>
      </c>
      <c r="C3897" s="2" t="s">
        <v>28</v>
      </c>
      <c r="D3897" s="2" t="s">
        <v>97</v>
      </c>
      <c r="E3897" s="2" t="s">
        <v>21084</v>
      </c>
      <c r="F3897" s="2" t="s">
        <v>31</v>
      </c>
      <c r="G3897" s="2" t="s">
        <v>32</v>
      </c>
      <c r="H3897" s="1"/>
      <c r="I3897" s="2" t="s">
        <v>33</v>
      </c>
      <c r="J3897" s="2" t="s">
        <v>34</v>
      </c>
      <c r="K3897" s="2" t="s">
        <v>21898</v>
      </c>
      <c r="L3897" s="2" t="s">
        <v>21899</v>
      </c>
      <c r="M3897" s="2" t="s">
        <v>4189</v>
      </c>
      <c r="N3897" s="2" t="s">
        <v>38</v>
      </c>
      <c r="O3897" s="2" t="s">
        <v>877</v>
      </c>
      <c r="P3897" s="2" t="s">
        <v>1028</v>
      </c>
      <c r="Q3897" s="2" t="s">
        <v>21404</v>
      </c>
      <c r="R3897" s="2" t="s">
        <v>40</v>
      </c>
      <c r="S3897" s="2" t="s">
        <v>21405</v>
      </c>
      <c r="T3897" s="2" t="s">
        <v>2101</v>
      </c>
      <c r="U3897" s="2" t="s">
        <v>3087</v>
      </c>
      <c r="V3897" s="2" t="s">
        <v>21900</v>
      </c>
      <c r="W3897" s="1"/>
      <c r="X3897" s="2" t="s">
        <v>796</v>
      </c>
      <c r="Y3897" s="2" t="s">
        <v>21087</v>
      </c>
      <c r="AA3897" t="str">
        <f t="shared" si="360"/>
        <v>2025-02</v>
      </c>
      <c r="AB3897" t="str">
        <f t="shared" si="361"/>
        <v>H1_2025</v>
      </c>
      <c r="AC3897">
        <f t="shared" si="362"/>
        <v>912143</v>
      </c>
      <c r="AD3897">
        <f t="shared" si="363"/>
        <v>100</v>
      </c>
      <c r="AE3897">
        <f t="shared" si="364"/>
        <v>192143</v>
      </c>
      <c r="AF3897" t="str">
        <f t="shared" si="365"/>
        <v>Paid</v>
      </c>
    </row>
    <row r="3898" spans="1:32" ht="17.25" thickBot="1" x14ac:dyDescent="0.35">
      <c r="A3898" s="2" t="s">
        <v>21901</v>
      </c>
      <c r="B3898" s="2" t="s">
        <v>27</v>
      </c>
      <c r="C3898" s="2" t="s">
        <v>28</v>
      </c>
      <c r="D3898" s="2" t="s">
        <v>97</v>
      </c>
      <c r="E3898" s="2" t="s">
        <v>21084</v>
      </c>
      <c r="F3898" s="2" t="s">
        <v>31</v>
      </c>
      <c r="G3898" s="2" t="s">
        <v>32</v>
      </c>
      <c r="H3898" s="1"/>
      <c r="I3898" s="2" t="s">
        <v>33</v>
      </c>
      <c r="J3898" s="2" t="s">
        <v>34</v>
      </c>
      <c r="K3898" s="2" t="s">
        <v>21902</v>
      </c>
      <c r="L3898" s="2" t="s">
        <v>21903</v>
      </c>
      <c r="M3898" s="2" t="s">
        <v>4189</v>
      </c>
      <c r="N3898" s="2" t="s">
        <v>38</v>
      </c>
      <c r="O3898" s="2" t="s">
        <v>203</v>
      </c>
      <c r="P3898" s="2" t="s">
        <v>1028</v>
      </c>
      <c r="Q3898" s="2" t="s">
        <v>21904</v>
      </c>
      <c r="R3898" s="2" t="s">
        <v>40</v>
      </c>
      <c r="S3898" s="2" t="s">
        <v>21905</v>
      </c>
      <c r="T3898" s="2" t="s">
        <v>2101</v>
      </c>
      <c r="U3898" s="2" t="s">
        <v>3331</v>
      </c>
      <c r="V3898" s="2" t="s">
        <v>21906</v>
      </c>
      <c r="W3898" s="1"/>
      <c r="X3898" s="2" t="s">
        <v>796</v>
      </c>
      <c r="Y3898" s="2" t="s">
        <v>21087</v>
      </c>
      <c r="AA3898" t="str">
        <f t="shared" si="360"/>
        <v>2025-02</v>
      </c>
      <c r="AB3898" t="str">
        <f t="shared" si="361"/>
        <v>H1_2025</v>
      </c>
      <c r="AC3898">
        <f t="shared" si="362"/>
        <v>228035.75</v>
      </c>
      <c r="AD3898">
        <f t="shared" si="363"/>
        <v>25</v>
      </c>
      <c r="AE3898">
        <f t="shared" si="364"/>
        <v>48035.75</v>
      </c>
      <c r="AF3898" t="str">
        <f t="shared" si="365"/>
        <v>Paid</v>
      </c>
    </row>
    <row r="3899" spans="1:32" ht="17.25" thickBot="1" x14ac:dyDescent="0.35">
      <c r="A3899" s="2" t="s">
        <v>21907</v>
      </c>
      <c r="B3899" s="2" t="s">
        <v>27</v>
      </c>
      <c r="C3899" s="2" t="s">
        <v>28</v>
      </c>
      <c r="D3899" s="2" t="s">
        <v>97</v>
      </c>
      <c r="E3899" s="2" t="s">
        <v>21084</v>
      </c>
      <c r="F3899" s="2" t="s">
        <v>31</v>
      </c>
      <c r="G3899" s="2" t="s">
        <v>32</v>
      </c>
      <c r="H3899" s="1"/>
      <c r="I3899" s="2" t="s">
        <v>33</v>
      </c>
      <c r="J3899" s="2" t="s">
        <v>34</v>
      </c>
      <c r="K3899" s="2" t="s">
        <v>21908</v>
      </c>
      <c r="L3899" s="2" t="s">
        <v>21909</v>
      </c>
      <c r="M3899" s="2" t="s">
        <v>4189</v>
      </c>
      <c r="N3899" s="2" t="s">
        <v>38</v>
      </c>
      <c r="O3899" s="2" t="s">
        <v>428</v>
      </c>
      <c r="P3899" s="2" t="s">
        <v>1028</v>
      </c>
      <c r="Q3899" s="2" t="s">
        <v>21910</v>
      </c>
      <c r="R3899" s="2" t="s">
        <v>40</v>
      </c>
      <c r="S3899" s="2" t="s">
        <v>21911</v>
      </c>
      <c r="T3899" s="2" t="s">
        <v>2101</v>
      </c>
      <c r="U3899" s="2" t="s">
        <v>12165</v>
      </c>
      <c r="V3899" s="2" t="s">
        <v>21912</v>
      </c>
      <c r="W3899" s="1"/>
      <c r="X3899" s="2" t="s">
        <v>796</v>
      </c>
      <c r="Y3899" s="2" t="s">
        <v>21087</v>
      </c>
      <c r="AA3899" t="str">
        <f t="shared" si="360"/>
        <v>2025-02</v>
      </c>
      <c r="AB3899" t="str">
        <f t="shared" si="361"/>
        <v>H1_2025</v>
      </c>
      <c r="AC3899">
        <f t="shared" si="362"/>
        <v>2280357.5</v>
      </c>
      <c r="AD3899">
        <f t="shared" si="363"/>
        <v>250</v>
      </c>
      <c r="AE3899">
        <f t="shared" si="364"/>
        <v>480357.5</v>
      </c>
      <c r="AF3899" t="str">
        <f t="shared" si="365"/>
        <v>Paid</v>
      </c>
    </row>
    <row r="3900" spans="1:32" ht="17.25" thickBot="1" x14ac:dyDescent="0.35">
      <c r="A3900" s="2" t="s">
        <v>21913</v>
      </c>
      <c r="B3900" s="2" t="s">
        <v>27</v>
      </c>
      <c r="C3900" s="2" t="s">
        <v>28</v>
      </c>
      <c r="D3900" s="2" t="s">
        <v>97</v>
      </c>
      <c r="E3900" s="2" t="s">
        <v>21084</v>
      </c>
      <c r="F3900" s="2" t="s">
        <v>31</v>
      </c>
      <c r="G3900" s="2" t="s">
        <v>32</v>
      </c>
      <c r="H3900" s="1"/>
      <c r="I3900" s="2" t="s">
        <v>33</v>
      </c>
      <c r="J3900" s="2" t="s">
        <v>34</v>
      </c>
      <c r="K3900" s="2" t="s">
        <v>21914</v>
      </c>
      <c r="L3900" s="2" t="s">
        <v>21915</v>
      </c>
      <c r="M3900" s="2" t="s">
        <v>4189</v>
      </c>
      <c r="N3900" s="2" t="s">
        <v>38</v>
      </c>
      <c r="O3900" s="2" t="s">
        <v>203</v>
      </c>
      <c r="P3900" s="2" t="s">
        <v>4117</v>
      </c>
      <c r="Q3900" s="2" t="s">
        <v>21916</v>
      </c>
      <c r="R3900" s="2" t="s">
        <v>40</v>
      </c>
      <c r="S3900" s="2" t="s">
        <v>21917</v>
      </c>
      <c r="T3900" s="2" t="s">
        <v>21918</v>
      </c>
      <c r="U3900" s="2" t="s">
        <v>20210</v>
      </c>
      <c r="V3900" s="2" t="s">
        <v>21919</v>
      </c>
      <c r="W3900" s="1"/>
      <c r="X3900" s="2" t="s">
        <v>897</v>
      </c>
      <c r="Y3900" s="2" t="s">
        <v>21087</v>
      </c>
      <c r="AA3900" t="str">
        <f t="shared" si="360"/>
        <v>2025-02</v>
      </c>
      <c r="AB3900" t="str">
        <f t="shared" si="361"/>
        <v>H1_2025</v>
      </c>
      <c r="AC3900">
        <f t="shared" si="362"/>
        <v>330491.75</v>
      </c>
      <c r="AD3900">
        <f t="shared" si="363"/>
        <v>25</v>
      </c>
      <c r="AE3900">
        <f t="shared" si="364"/>
        <v>69491.75</v>
      </c>
      <c r="AF3900" t="str">
        <f t="shared" si="365"/>
        <v>Paid</v>
      </c>
    </row>
    <row r="3901" spans="1:32" ht="17.25" thickBot="1" x14ac:dyDescent="0.35">
      <c r="A3901" s="2" t="s">
        <v>21920</v>
      </c>
      <c r="B3901" s="2" t="s">
        <v>27</v>
      </c>
      <c r="C3901" s="2" t="s">
        <v>28</v>
      </c>
      <c r="D3901" s="2" t="s">
        <v>97</v>
      </c>
      <c r="E3901" s="2" t="s">
        <v>21084</v>
      </c>
      <c r="F3901" s="2" t="s">
        <v>31</v>
      </c>
      <c r="G3901" s="2" t="s">
        <v>32</v>
      </c>
      <c r="H3901" s="1"/>
      <c r="I3901" s="2" t="s">
        <v>33</v>
      </c>
      <c r="J3901" s="2" t="s">
        <v>34</v>
      </c>
      <c r="K3901" s="2" t="s">
        <v>21921</v>
      </c>
      <c r="L3901" s="2" t="s">
        <v>21922</v>
      </c>
      <c r="M3901" s="2" t="s">
        <v>4189</v>
      </c>
      <c r="N3901" s="2" t="s">
        <v>38</v>
      </c>
      <c r="O3901" s="2" t="s">
        <v>103</v>
      </c>
      <c r="P3901" s="2" t="s">
        <v>1028</v>
      </c>
      <c r="Q3901" s="2" t="s">
        <v>21923</v>
      </c>
      <c r="R3901" s="2" t="s">
        <v>40</v>
      </c>
      <c r="S3901" s="2" t="s">
        <v>21924</v>
      </c>
      <c r="T3901" s="2" t="s">
        <v>2101</v>
      </c>
      <c r="U3901" s="2" t="s">
        <v>16458</v>
      </c>
      <c r="V3901" s="2" t="s">
        <v>21925</v>
      </c>
      <c r="W3901" s="1"/>
      <c r="X3901" s="2" t="s">
        <v>796</v>
      </c>
      <c r="Y3901" s="2" t="s">
        <v>21087</v>
      </c>
      <c r="AA3901" t="str">
        <f t="shared" si="360"/>
        <v>2025-02</v>
      </c>
      <c r="AB3901" t="str">
        <f t="shared" si="361"/>
        <v>H1_2025</v>
      </c>
      <c r="AC3901">
        <f t="shared" si="362"/>
        <v>218914.32</v>
      </c>
      <c r="AD3901">
        <f t="shared" si="363"/>
        <v>24</v>
      </c>
      <c r="AE3901">
        <f t="shared" si="364"/>
        <v>46114.32</v>
      </c>
      <c r="AF3901" t="str">
        <f t="shared" si="365"/>
        <v>Paid</v>
      </c>
    </row>
    <row r="3902" spans="1:32" ht="17.25" thickBot="1" x14ac:dyDescent="0.35">
      <c r="A3902" s="2" t="s">
        <v>21926</v>
      </c>
      <c r="B3902" s="2" t="s">
        <v>27</v>
      </c>
      <c r="C3902" s="2" t="s">
        <v>28</v>
      </c>
      <c r="D3902" s="2" t="s">
        <v>97</v>
      </c>
      <c r="E3902" s="2" t="s">
        <v>21084</v>
      </c>
      <c r="F3902" s="2" t="s">
        <v>31</v>
      </c>
      <c r="G3902" s="2" t="s">
        <v>32</v>
      </c>
      <c r="H3902" s="1"/>
      <c r="I3902" s="2" t="s">
        <v>33</v>
      </c>
      <c r="J3902" s="2" t="s">
        <v>34</v>
      </c>
      <c r="K3902" s="2" t="s">
        <v>21921</v>
      </c>
      <c r="L3902" s="2" t="s">
        <v>21922</v>
      </c>
      <c r="M3902" s="2" t="s">
        <v>4189</v>
      </c>
      <c r="N3902" s="2" t="s">
        <v>38</v>
      </c>
      <c r="O3902" s="2" t="s">
        <v>113</v>
      </c>
      <c r="P3902" s="2" t="s">
        <v>1028</v>
      </c>
      <c r="Q3902" s="2" t="s">
        <v>21927</v>
      </c>
      <c r="R3902" s="2" t="s">
        <v>40</v>
      </c>
      <c r="S3902" s="2" t="s">
        <v>21928</v>
      </c>
      <c r="T3902" s="2" t="s">
        <v>2101</v>
      </c>
      <c r="U3902" s="2" t="s">
        <v>8045</v>
      </c>
      <c r="V3902" s="2" t="s">
        <v>21929</v>
      </c>
      <c r="W3902" s="1"/>
      <c r="X3902" s="2" t="s">
        <v>796</v>
      </c>
      <c r="Y3902" s="2" t="s">
        <v>21087</v>
      </c>
      <c r="AA3902" t="str">
        <f t="shared" si="360"/>
        <v>2025-02</v>
      </c>
      <c r="AB3902" t="str">
        <f t="shared" si="361"/>
        <v>H1_2025</v>
      </c>
      <c r="AC3902">
        <f t="shared" si="362"/>
        <v>136821.45000000001</v>
      </c>
      <c r="AD3902">
        <f t="shared" si="363"/>
        <v>15</v>
      </c>
      <c r="AE3902">
        <f t="shared" si="364"/>
        <v>28821.45</v>
      </c>
      <c r="AF3902" t="str">
        <f t="shared" si="365"/>
        <v>Paid</v>
      </c>
    </row>
    <row r="3903" spans="1:32" ht="17.25" thickBot="1" x14ac:dyDescent="0.35">
      <c r="A3903" s="2" t="s">
        <v>21930</v>
      </c>
      <c r="B3903" s="2" t="s">
        <v>27</v>
      </c>
      <c r="C3903" s="2" t="s">
        <v>28</v>
      </c>
      <c r="D3903" s="2" t="s">
        <v>97</v>
      </c>
      <c r="E3903" s="2" t="s">
        <v>21084</v>
      </c>
      <c r="F3903" s="2" t="s">
        <v>31</v>
      </c>
      <c r="G3903" s="2" t="s">
        <v>32</v>
      </c>
      <c r="H3903" s="1"/>
      <c r="I3903" s="2" t="s">
        <v>33</v>
      </c>
      <c r="J3903" s="2" t="s">
        <v>34</v>
      </c>
      <c r="K3903" s="2" t="s">
        <v>21931</v>
      </c>
      <c r="L3903" s="2" t="s">
        <v>21932</v>
      </c>
      <c r="M3903" s="2" t="s">
        <v>4189</v>
      </c>
      <c r="N3903" s="2" t="s">
        <v>38</v>
      </c>
      <c r="O3903" s="2" t="s">
        <v>79</v>
      </c>
      <c r="P3903" s="2" t="s">
        <v>1095</v>
      </c>
      <c r="Q3903" s="2" t="s">
        <v>21933</v>
      </c>
      <c r="R3903" s="2" t="s">
        <v>40</v>
      </c>
      <c r="S3903" s="2" t="s">
        <v>21934</v>
      </c>
      <c r="T3903" s="2" t="s">
        <v>8502</v>
      </c>
      <c r="U3903" s="2" t="s">
        <v>8503</v>
      </c>
      <c r="V3903" s="2" t="s">
        <v>21935</v>
      </c>
      <c r="W3903" s="1"/>
      <c r="X3903" s="2" t="s">
        <v>796</v>
      </c>
      <c r="Y3903" s="2" t="s">
        <v>21087</v>
      </c>
      <c r="AA3903" t="str">
        <f t="shared" si="360"/>
        <v>2025-02</v>
      </c>
      <c r="AB3903" t="str">
        <f t="shared" si="361"/>
        <v>H1_2025</v>
      </c>
      <c r="AC3903">
        <f t="shared" si="362"/>
        <v>72999.899999999994</v>
      </c>
      <c r="AD3903">
        <f t="shared" si="363"/>
        <v>10</v>
      </c>
      <c r="AE3903">
        <f t="shared" si="364"/>
        <v>15399.9</v>
      </c>
      <c r="AF3903" t="str">
        <f t="shared" si="365"/>
        <v>Paid</v>
      </c>
    </row>
    <row r="3904" spans="1:32" ht="17.25" thickBot="1" x14ac:dyDescent="0.35">
      <c r="A3904" s="2" t="s">
        <v>21936</v>
      </c>
      <c r="B3904" s="2" t="s">
        <v>27</v>
      </c>
      <c r="C3904" s="2" t="s">
        <v>28</v>
      </c>
      <c r="D3904" s="2" t="s">
        <v>97</v>
      </c>
      <c r="E3904" s="2" t="s">
        <v>21084</v>
      </c>
      <c r="F3904" s="2" t="s">
        <v>31</v>
      </c>
      <c r="G3904" s="2" t="s">
        <v>32</v>
      </c>
      <c r="H3904" s="1"/>
      <c r="I3904" s="2" t="s">
        <v>33</v>
      </c>
      <c r="J3904" s="2" t="s">
        <v>34</v>
      </c>
      <c r="K3904" s="2" t="s">
        <v>21937</v>
      </c>
      <c r="L3904" s="2" t="s">
        <v>21938</v>
      </c>
      <c r="M3904" s="2" t="s">
        <v>4189</v>
      </c>
      <c r="N3904" s="2" t="s">
        <v>38</v>
      </c>
      <c r="O3904" s="2" t="s">
        <v>214</v>
      </c>
      <c r="P3904" s="2" t="s">
        <v>7680</v>
      </c>
      <c r="Q3904" s="2" t="s">
        <v>21939</v>
      </c>
      <c r="R3904" s="2" t="s">
        <v>40</v>
      </c>
      <c r="S3904" s="2" t="s">
        <v>21940</v>
      </c>
      <c r="T3904" s="2" t="s">
        <v>21941</v>
      </c>
      <c r="U3904" s="2" t="s">
        <v>21942</v>
      </c>
      <c r="V3904" s="2" t="s">
        <v>21943</v>
      </c>
      <c r="W3904" s="1"/>
      <c r="X3904" s="2" t="s">
        <v>796</v>
      </c>
      <c r="Y3904" s="2" t="s">
        <v>21087</v>
      </c>
      <c r="AA3904" t="str">
        <f t="shared" si="360"/>
        <v>2025-02</v>
      </c>
      <c r="AB3904" t="str">
        <f t="shared" si="361"/>
        <v>H1_2025</v>
      </c>
      <c r="AC3904">
        <f t="shared" si="362"/>
        <v>467455.5</v>
      </c>
      <c r="AD3904">
        <f t="shared" si="363"/>
        <v>50</v>
      </c>
      <c r="AE3904">
        <f t="shared" si="364"/>
        <v>98455.5</v>
      </c>
      <c r="AF3904" t="str">
        <f t="shared" si="365"/>
        <v>Paid</v>
      </c>
    </row>
    <row r="3905" spans="1:32" ht="17.25" thickBot="1" x14ac:dyDescent="0.35">
      <c r="A3905" s="2" t="s">
        <v>21944</v>
      </c>
      <c r="B3905" s="2" t="s">
        <v>27</v>
      </c>
      <c r="C3905" s="2" t="s">
        <v>28</v>
      </c>
      <c r="D3905" s="2" t="s">
        <v>97</v>
      </c>
      <c r="E3905" s="2" t="s">
        <v>21084</v>
      </c>
      <c r="F3905" s="2" t="s">
        <v>31</v>
      </c>
      <c r="G3905" s="2" t="s">
        <v>32</v>
      </c>
      <c r="H3905" s="1"/>
      <c r="I3905" s="2" t="s">
        <v>33</v>
      </c>
      <c r="J3905" s="2" t="s">
        <v>34</v>
      </c>
      <c r="K3905" s="2" t="s">
        <v>19556</v>
      </c>
      <c r="L3905" s="2" t="s">
        <v>19557</v>
      </c>
      <c r="M3905" s="2" t="s">
        <v>4189</v>
      </c>
      <c r="N3905" s="2" t="s">
        <v>38</v>
      </c>
      <c r="O3905" s="2" t="s">
        <v>138</v>
      </c>
      <c r="P3905" s="2" t="s">
        <v>21330</v>
      </c>
      <c r="Q3905" s="2" t="s">
        <v>5405</v>
      </c>
      <c r="R3905" s="2" t="s">
        <v>40</v>
      </c>
      <c r="S3905" s="2" t="s">
        <v>21945</v>
      </c>
      <c r="T3905" s="2" t="s">
        <v>2694</v>
      </c>
      <c r="U3905" s="2" t="s">
        <v>21946</v>
      </c>
      <c r="V3905" s="2" t="s">
        <v>21947</v>
      </c>
      <c r="W3905" s="1"/>
      <c r="X3905" s="2" t="s">
        <v>838</v>
      </c>
      <c r="Y3905" s="2" t="s">
        <v>21087</v>
      </c>
      <c r="AA3905" t="str">
        <f t="shared" si="360"/>
        <v>2025-02</v>
      </c>
      <c r="AB3905" t="str">
        <f t="shared" si="361"/>
        <v>H1_2025</v>
      </c>
      <c r="AC3905">
        <f t="shared" si="362"/>
        <v>90161.279999999999</v>
      </c>
      <c r="AD3905">
        <f t="shared" si="363"/>
        <v>18</v>
      </c>
      <c r="AE3905">
        <f t="shared" si="364"/>
        <v>18881.28</v>
      </c>
      <c r="AF3905" t="str">
        <f t="shared" si="365"/>
        <v>Paid</v>
      </c>
    </row>
    <row r="3906" spans="1:32" ht="17.25" thickBot="1" x14ac:dyDescent="0.35">
      <c r="A3906" s="2" t="s">
        <v>21948</v>
      </c>
      <c r="B3906" s="2" t="s">
        <v>27</v>
      </c>
      <c r="C3906" s="2" t="s">
        <v>28</v>
      </c>
      <c r="D3906" s="2" t="s">
        <v>97</v>
      </c>
      <c r="E3906" s="2" t="s">
        <v>21084</v>
      </c>
      <c r="F3906" s="2" t="s">
        <v>31</v>
      </c>
      <c r="G3906" s="2" t="s">
        <v>32</v>
      </c>
      <c r="H3906" s="1"/>
      <c r="I3906" s="2" t="s">
        <v>33</v>
      </c>
      <c r="J3906" s="2" t="s">
        <v>34</v>
      </c>
      <c r="K3906" s="2" t="s">
        <v>21949</v>
      </c>
      <c r="L3906" s="2" t="s">
        <v>21950</v>
      </c>
      <c r="M3906" s="2" t="s">
        <v>4189</v>
      </c>
      <c r="N3906" s="2" t="s">
        <v>38</v>
      </c>
      <c r="O3906" s="2" t="s">
        <v>214</v>
      </c>
      <c r="P3906" s="2" t="s">
        <v>21951</v>
      </c>
      <c r="Q3906" s="2" t="s">
        <v>21952</v>
      </c>
      <c r="R3906" s="2" t="s">
        <v>40</v>
      </c>
      <c r="S3906" s="2" t="s">
        <v>21953</v>
      </c>
      <c r="T3906" s="2" t="s">
        <v>8326</v>
      </c>
      <c r="U3906" s="2" t="s">
        <v>7209</v>
      </c>
      <c r="V3906" s="2" t="s">
        <v>21954</v>
      </c>
      <c r="W3906" s="1"/>
      <c r="X3906" s="2" t="s">
        <v>897</v>
      </c>
      <c r="Y3906" s="2" t="s">
        <v>21087</v>
      </c>
      <c r="AA3906" t="str">
        <f t="shared" si="360"/>
        <v>2025-02</v>
      </c>
      <c r="AB3906" t="str">
        <f t="shared" si="361"/>
        <v>H1_2025</v>
      </c>
      <c r="AC3906">
        <f t="shared" si="362"/>
        <v>558527.5</v>
      </c>
      <c r="AD3906">
        <f t="shared" si="363"/>
        <v>50</v>
      </c>
      <c r="AE3906">
        <f t="shared" si="364"/>
        <v>117527.5</v>
      </c>
      <c r="AF3906" t="str">
        <f t="shared" si="365"/>
        <v>Paid</v>
      </c>
    </row>
    <row r="3907" spans="1:32" ht="17.25" thickBot="1" x14ac:dyDescent="0.35">
      <c r="A3907" s="2" t="s">
        <v>21955</v>
      </c>
      <c r="B3907" s="2" t="s">
        <v>27</v>
      </c>
      <c r="C3907" s="2" t="s">
        <v>28</v>
      </c>
      <c r="D3907" s="2" t="s">
        <v>97</v>
      </c>
      <c r="E3907" s="2" t="s">
        <v>21084</v>
      </c>
      <c r="F3907" s="2" t="s">
        <v>31</v>
      </c>
      <c r="G3907" s="2" t="s">
        <v>32</v>
      </c>
      <c r="H3907" s="1"/>
      <c r="I3907" s="2" t="s">
        <v>33</v>
      </c>
      <c r="J3907" s="2" t="s">
        <v>34</v>
      </c>
      <c r="K3907" s="2" t="s">
        <v>21956</v>
      </c>
      <c r="L3907" s="2" t="s">
        <v>21957</v>
      </c>
      <c r="M3907" s="2" t="s">
        <v>4189</v>
      </c>
      <c r="N3907" s="2" t="s">
        <v>38</v>
      </c>
      <c r="O3907" s="2" t="s">
        <v>203</v>
      </c>
      <c r="P3907" s="2" t="s">
        <v>5103</v>
      </c>
      <c r="Q3907" s="2" t="s">
        <v>21958</v>
      </c>
      <c r="R3907" s="2" t="s">
        <v>40</v>
      </c>
      <c r="S3907" s="2" t="s">
        <v>21959</v>
      </c>
      <c r="T3907" s="2" t="s">
        <v>21960</v>
      </c>
      <c r="U3907" s="2" t="s">
        <v>19294</v>
      </c>
      <c r="V3907" s="2" t="s">
        <v>21961</v>
      </c>
      <c r="W3907" s="1"/>
      <c r="X3907" s="2" t="s">
        <v>897</v>
      </c>
      <c r="Y3907" s="2" t="s">
        <v>21087</v>
      </c>
      <c r="AA3907" t="str">
        <f t="shared" si="360"/>
        <v>2025-02</v>
      </c>
      <c r="AB3907" t="str">
        <f t="shared" si="361"/>
        <v>H1_2025</v>
      </c>
      <c r="AC3907">
        <f t="shared" si="362"/>
        <v>191393.5</v>
      </c>
      <c r="AD3907">
        <f t="shared" si="363"/>
        <v>25</v>
      </c>
      <c r="AE3907">
        <f t="shared" si="364"/>
        <v>40193.5</v>
      </c>
      <c r="AF3907" t="str">
        <f t="shared" si="365"/>
        <v>Paid</v>
      </c>
    </row>
    <row r="3908" spans="1:32" ht="27.75" thickBot="1" x14ac:dyDescent="0.35">
      <c r="A3908" s="2" t="s">
        <v>21962</v>
      </c>
      <c r="B3908" s="2" t="s">
        <v>27</v>
      </c>
      <c r="C3908" s="2" t="s">
        <v>28</v>
      </c>
      <c r="D3908" s="2" t="s">
        <v>97</v>
      </c>
      <c r="E3908" s="2" t="s">
        <v>21084</v>
      </c>
      <c r="F3908" s="2" t="s">
        <v>31</v>
      </c>
      <c r="G3908" s="2" t="s">
        <v>32</v>
      </c>
      <c r="H3908" s="1"/>
      <c r="I3908" s="2" t="s">
        <v>33</v>
      </c>
      <c r="J3908" s="2" t="s">
        <v>34</v>
      </c>
      <c r="K3908" s="2" t="s">
        <v>11024</v>
      </c>
      <c r="L3908" s="2" t="s">
        <v>11025</v>
      </c>
      <c r="M3908" s="2" t="s">
        <v>4189</v>
      </c>
      <c r="N3908" s="2" t="s">
        <v>38</v>
      </c>
      <c r="O3908" s="2" t="s">
        <v>877</v>
      </c>
      <c r="P3908" s="2" t="s">
        <v>21963</v>
      </c>
      <c r="Q3908" s="2" t="s">
        <v>21964</v>
      </c>
      <c r="R3908" s="2" t="s">
        <v>40</v>
      </c>
      <c r="S3908" s="2" t="s">
        <v>21965</v>
      </c>
      <c r="T3908" s="2" t="s">
        <v>19106</v>
      </c>
      <c r="U3908" s="2" t="s">
        <v>13094</v>
      </c>
      <c r="V3908" s="2" t="s">
        <v>21966</v>
      </c>
      <c r="W3908" s="1"/>
      <c r="X3908" s="2" t="s">
        <v>838</v>
      </c>
      <c r="Y3908" s="2" t="s">
        <v>21087</v>
      </c>
      <c r="AA3908" t="str">
        <f t="shared" ref="AA3908:AA3971" si="366">LEFT(E3908,7)</f>
        <v>2025-02</v>
      </c>
      <c r="AB3908" t="str">
        <f t="shared" ref="AB3908:AB3971" si="367">IF(AND($AA3908&gt;="2025-01",$AA3908&lt;="2025-06"),"H1_2025",IF(AND($AA3908&gt;="2026-01",$AA3908&lt;="2026-06"),"H1_2026",""))</f>
        <v>H1_2025</v>
      </c>
      <c r="AC3908">
        <f t="shared" ref="AC3908:AC3971" si="368">IFERROR(VALUE(SUBSTITUTE(S3908,",","")),0)</f>
        <v>182144</v>
      </c>
      <c r="AD3908">
        <f t="shared" ref="AD3908:AD3971" si="369">IFERROR(VALUE(SUBSTITUTE(O3908,",","")),0)</f>
        <v>100</v>
      </c>
      <c r="AE3908">
        <f t="shared" ref="AE3908:AE3971" si="370">IFERROR(VALUE(SUBSTITUTE(V3908,",","")),0)</f>
        <v>38144</v>
      </c>
      <c r="AF3908" t="str">
        <f t="shared" ref="AF3908:AF3971" si="371">IF(ISNUMBER(SEARCH("FOC",W3908)),"FOC",IF(ISNUMBER(SEARCH("샘플",W3908)),"Sample","Paid"))</f>
        <v>Paid</v>
      </c>
    </row>
    <row r="3909" spans="1:32" ht="17.25" thickBot="1" x14ac:dyDescent="0.35">
      <c r="A3909" s="2" t="s">
        <v>21967</v>
      </c>
      <c r="B3909" s="2" t="s">
        <v>27</v>
      </c>
      <c r="C3909" s="2" t="s">
        <v>28</v>
      </c>
      <c r="D3909" s="2" t="s">
        <v>97</v>
      </c>
      <c r="E3909" s="2" t="s">
        <v>21084</v>
      </c>
      <c r="F3909" s="2" t="s">
        <v>31</v>
      </c>
      <c r="G3909" s="2" t="s">
        <v>32</v>
      </c>
      <c r="H3909" s="1"/>
      <c r="I3909" s="2" t="s">
        <v>33</v>
      </c>
      <c r="J3909" s="2" t="s">
        <v>34</v>
      </c>
      <c r="K3909" s="2" t="s">
        <v>11027</v>
      </c>
      <c r="L3909" s="2" t="s">
        <v>11028</v>
      </c>
      <c r="M3909" s="2" t="s">
        <v>4189</v>
      </c>
      <c r="N3909" s="2" t="s">
        <v>38</v>
      </c>
      <c r="O3909" s="2" t="s">
        <v>203</v>
      </c>
      <c r="P3909" s="2" t="s">
        <v>9662</v>
      </c>
      <c r="Q3909" s="2" t="s">
        <v>21968</v>
      </c>
      <c r="R3909" s="2" t="s">
        <v>40</v>
      </c>
      <c r="S3909" s="2" t="s">
        <v>21969</v>
      </c>
      <c r="T3909" s="2" t="s">
        <v>21970</v>
      </c>
      <c r="U3909" s="2" t="s">
        <v>16357</v>
      </c>
      <c r="V3909" s="2" t="s">
        <v>21971</v>
      </c>
      <c r="W3909" s="1"/>
      <c r="X3909" s="2" t="s">
        <v>897</v>
      </c>
      <c r="Y3909" s="2" t="s">
        <v>21087</v>
      </c>
      <c r="AA3909" t="str">
        <f t="shared" si="366"/>
        <v>2025-02</v>
      </c>
      <c r="AB3909" t="str">
        <f t="shared" si="367"/>
        <v>H1_2025</v>
      </c>
      <c r="AC3909">
        <f t="shared" si="368"/>
        <v>262187.75</v>
      </c>
      <c r="AD3909">
        <f t="shared" si="369"/>
        <v>25</v>
      </c>
      <c r="AE3909">
        <f t="shared" si="370"/>
        <v>55187.75</v>
      </c>
      <c r="AF3909" t="str">
        <f t="shared" si="371"/>
        <v>Paid</v>
      </c>
    </row>
    <row r="3910" spans="1:32" ht="17.25" thickBot="1" x14ac:dyDescent="0.35">
      <c r="A3910" s="2" t="s">
        <v>21972</v>
      </c>
      <c r="B3910" s="2" t="s">
        <v>27</v>
      </c>
      <c r="C3910" s="2" t="s">
        <v>28</v>
      </c>
      <c r="D3910" s="2" t="s">
        <v>97</v>
      </c>
      <c r="E3910" s="2" t="s">
        <v>21084</v>
      </c>
      <c r="F3910" s="2" t="s">
        <v>31</v>
      </c>
      <c r="G3910" s="2" t="s">
        <v>32</v>
      </c>
      <c r="H3910" s="1"/>
      <c r="I3910" s="2" t="s">
        <v>33</v>
      </c>
      <c r="J3910" s="2" t="s">
        <v>34</v>
      </c>
      <c r="K3910" s="2" t="s">
        <v>21973</v>
      </c>
      <c r="L3910" s="2" t="s">
        <v>21974</v>
      </c>
      <c r="M3910" s="2" t="s">
        <v>4189</v>
      </c>
      <c r="N3910" s="2" t="s">
        <v>38</v>
      </c>
      <c r="O3910" s="2" t="s">
        <v>877</v>
      </c>
      <c r="P3910" s="2" t="s">
        <v>1028</v>
      </c>
      <c r="Q3910" s="2" t="s">
        <v>21404</v>
      </c>
      <c r="R3910" s="2" t="s">
        <v>40</v>
      </c>
      <c r="S3910" s="2" t="s">
        <v>21405</v>
      </c>
      <c r="T3910" s="2" t="s">
        <v>2101</v>
      </c>
      <c r="U3910" s="2" t="s">
        <v>3087</v>
      </c>
      <c r="V3910" s="2" t="s">
        <v>21900</v>
      </c>
      <c r="W3910" s="1"/>
      <c r="X3910" s="2" t="s">
        <v>796</v>
      </c>
      <c r="Y3910" s="2" t="s">
        <v>21087</v>
      </c>
      <c r="AA3910" t="str">
        <f t="shared" si="366"/>
        <v>2025-02</v>
      </c>
      <c r="AB3910" t="str">
        <f t="shared" si="367"/>
        <v>H1_2025</v>
      </c>
      <c r="AC3910">
        <f t="shared" si="368"/>
        <v>912143</v>
      </c>
      <c r="AD3910">
        <f t="shared" si="369"/>
        <v>100</v>
      </c>
      <c r="AE3910">
        <f t="shared" si="370"/>
        <v>192143</v>
      </c>
      <c r="AF3910" t="str">
        <f t="shared" si="371"/>
        <v>Paid</v>
      </c>
    </row>
    <row r="3911" spans="1:32" ht="17.25" thickBot="1" x14ac:dyDescent="0.35">
      <c r="A3911" s="2" t="s">
        <v>21975</v>
      </c>
      <c r="B3911" s="2" t="s">
        <v>27</v>
      </c>
      <c r="C3911" s="2" t="s">
        <v>28</v>
      </c>
      <c r="D3911" s="2" t="s">
        <v>97</v>
      </c>
      <c r="E3911" s="2" t="s">
        <v>21084</v>
      </c>
      <c r="F3911" s="2" t="s">
        <v>31</v>
      </c>
      <c r="G3911" s="2" t="s">
        <v>32</v>
      </c>
      <c r="H3911" s="1"/>
      <c r="I3911" s="2" t="s">
        <v>33</v>
      </c>
      <c r="J3911" s="2" t="s">
        <v>34</v>
      </c>
      <c r="K3911" s="2" t="s">
        <v>14144</v>
      </c>
      <c r="L3911" s="2" t="s">
        <v>14145</v>
      </c>
      <c r="M3911" s="2" t="s">
        <v>14146</v>
      </c>
      <c r="N3911" s="2" t="s">
        <v>38</v>
      </c>
      <c r="O3911" s="2" t="s">
        <v>203</v>
      </c>
      <c r="P3911" s="2" t="s">
        <v>16251</v>
      </c>
      <c r="Q3911" s="2" t="s">
        <v>21976</v>
      </c>
      <c r="R3911" s="2" t="s">
        <v>40</v>
      </c>
      <c r="S3911" s="2" t="s">
        <v>21977</v>
      </c>
      <c r="T3911" s="2" t="s">
        <v>6652</v>
      </c>
      <c r="U3911" s="2" t="s">
        <v>21978</v>
      </c>
      <c r="V3911" s="2" t="s">
        <v>21979</v>
      </c>
      <c r="W3911" s="1"/>
      <c r="X3911" s="2" t="s">
        <v>9096</v>
      </c>
      <c r="Y3911" s="2" t="s">
        <v>21087</v>
      </c>
      <c r="AA3911" t="str">
        <f t="shared" si="366"/>
        <v>2025-02</v>
      </c>
      <c r="AB3911" t="str">
        <f t="shared" si="367"/>
        <v>H1_2025</v>
      </c>
      <c r="AC3911">
        <f t="shared" si="368"/>
        <v>189970.5</v>
      </c>
      <c r="AD3911">
        <f t="shared" si="369"/>
        <v>25</v>
      </c>
      <c r="AE3911">
        <f t="shared" si="370"/>
        <v>27470.5</v>
      </c>
      <c r="AF3911" t="str">
        <f t="shared" si="371"/>
        <v>Paid</v>
      </c>
    </row>
    <row r="3912" spans="1:32" ht="17.25" thickBot="1" x14ac:dyDescent="0.35">
      <c r="A3912" s="2" t="s">
        <v>21980</v>
      </c>
      <c r="B3912" s="2" t="s">
        <v>27</v>
      </c>
      <c r="C3912" s="2" t="s">
        <v>28</v>
      </c>
      <c r="D3912" s="2" t="s">
        <v>97</v>
      </c>
      <c r="E3912" s="2" t="s">
        <v>21084</v>
      </c>
      <c r="F3912" s="2" t="s">
        <v>31</v>
      </c>
      <c r="G3912" s="2" t="s">
        <v>32</v>
      </c>
      <c r="H3912" s="1"/>
      <c r="I3912" s="2" t="s">
        <v>33</v>
      </c>
      <c r="J3912" s="2" t="s">
        <v>34</v>
      </c>
      <c r="K3912" s="2" t="s">
        <v>3885</v>
      </c>
      <c r="L3912" s="2" t="s">
        <v>3886</v>
      </c>
      <c r="M3912" s="2" t="s">
        <v>701</v>
      </c>
      <c r="N3912" s="2" t="s">
        <v>38</v>
      </c>
      <c r="O3912" s="2" t="s">
        <v>773</v>
      </c>
      <c r="P3912" s="2" t="s">
        <v>6351</v>
      </c>
      <c r="Q3912" s="2" t="s">
        <v>21981</v>
      </c>
      <c r="R3912" s="2" t="s">
        <v>40</v>
      </c>
      <c r="S3912" s="2" t="s">
        <v>21982</v>
      </c>
      <c r="T3912" s="2" t="s">
        <v>706</v>
      </c>
      <c r="U3912" s="2" t="s">
        <v>9914</v>
      </c>
      <c r="V3912" s="2" t="s">
        <v>21983</v>
      </c>
      <c r="W3912" s="1"/>
      <c r="X3912" s="2" t="s">
        <v>4206</v>
      </c>
      <c r="Y3912" s="2" t="s">
        <v>21087</v>
      </c>
      <c r="AA3912" t="str">
        <f t="shared" si="366"/>
        <v>2025-02</v>
      </c>
      <c r="AB3912" t="str">
        <f t="shared" si="367"/>
        <v>H1_2025</v>
      </c>
      <c r="AC3912">
        <f t="shared" si="368"/>
        <v>1989354</v>
      </c>
      <c r="AD3912">
        <f t="shared" si="369"/>
        <v>200</v>
      </c>
      <c r="AE3912">
        <f t="shared" si="370"/>
        <v>309354</v>
      </c>
      <c r="AF3912" t="str">
        <f t="shared" si="371"/>
        <v>Paid</v>
      </c>
    </row>
    <row r="3913" spans="1:32" ht="17.25" thickBot="1" x14ac:dyDescent="0.35">
      <c r="A3913" s="2" t="s">
        <v>21984</v>
      </c>
      <c r="B3913" s="2" t="s">
        <v>27</v>
      </c>
      <c r="C3913" s="2" t="s">
        <v>28</v>
      </c>
      <c r="D3913" s="2" t="s">
        <v>97</v>
      </c>
      <c r="E3913" s="2" t="s">
        <v>21084</v>
      </c>
      <c r="F3913" s="2" t="s">
        <v>31</v>
      </c>
      <c r="G3913" s="2" t="s">
        <v>32</v>
      </c>
      <c r="H3913" s="1"/>
      <c r="I3913" s="2" t="s">
        <v>33</v>
      </c>
      <c r="J3913" s="2" t="s">
        <v>34</v>
      </c>
      <c r="K3913" s="2" t="s">
        <v>19785</v>
      </c>
      <c r="L3913" s="2" t="s">
        <v>19786</v>
      </c>
      <c r="M3913" s="2" t="s">
        <v>701</v>
      </c>
      <c r="N3913" s="2" t="s">
        <v>38</v>
      </c>
      <c r="O3913" s="2" t="s">
        <v>773</v>
      </c>
      <c r="P3913" s="2" t="s">
        <v>6229</v>
      </c>
      <c r="Q3913" s="2" t="s">
        <v>21985</v>
      </c>
      <c r="R3913" s="2" t="s">
        <v>40</v>
      </c>
      <c r="S3913" s="2" t="s">
        <v>21986</v>
      </c>
      <c r="T3913" s="2" t="s">
        <v>287</v>
      </c>
      <c r="U3913" s="2" t="s">
        <v>777</v>
      </c>
      <c r="V3913" s="2" t="s">
        <v>21987</v>
      </c>
      <c r="W3913" s="1"/>
      <c r="X3913" s="2" t="s">
        <v>5108</v>
      </c>
      <c r="Y3913" s="2" t="s">
        <v>21087</v>
      </c>
      <c r="AA3913" t="str">
        <f t="shared" si="366"/>
        <v>2025-02</v>
      </c>
      <c r="AB3913" t="str">
        <f t="shared" si="367"/>
        <v>H1_2025</v>
      </c>
      <c r="AC3913">
        <f t="shared" si="368"/>
        <v>2040582</v>
      </c>
      <c r="AD3913">
        <f t="shared" si="369"/>
        <v>200</v>
      </c>
      <c r="AE3913">
        <f t="shared" si="370"/>
        <v>640582</v>
      </c>
      <c r="AF3913" t="str">
        <f t="shared" si="371"/>
        <v>Paid</v>
      </c>
    </row>
    <row r="3914" spans="1:32" ht="17.25" thickBot="1" x14ac:dyDescent="0.35">
      <c r="A3914" s="2" t="s">
        <v>21988</v>
      </c>
      <c r="B3914" s="2" t="s">
        <v>27</v>
      </c>
      <c r="C3914" s="2" t="s">
        <v>28</v>
      </c>
      <c r="D3914" s="2" t="s">
        <v>97</v>
      </c>
      <c r="E3914" s="2" t="s">
        <v>21084</v>
      </c>
      <c r="F3914" s="2" t="s">
        <v>31</v>
      </c>
      <c r="G3914" s="2" t="s">
        <v>32</v>
      </c>
      <c r="H3914" s="1"/>
      <c r="I3914" s="2" t="s">
        <v>33</v>
      </c>
      <c r="J3914" s="2" t="s">
        <v>34</v>
      </c>
      <c r="K3914" s="2" t="s">
        <v>699</v>
      </c>
      <c r="L3914" s="2" t="s">
        <v>700</v>
      </c>
      <c r="M3914" s="2" t="s">
        <v>701</v>
      </c>
      <c r="N3914" s="2" t="s">
        <v>38</v>
      </c>
      <c r="O3914" s="2" t="s">
        <v>1837</v>
      </c>
      <c r="P3914" s="2" t="s">
        <v>6351</v>
      </c>
      <c r="Q3914" s="2" t="s">
        <v>21989</v>
      </c>
      <c r="R3914" s="2" t="s">
        <v>40</v>
      </c>
      <c r="S3914" s="2" t="s">
        <v>21990</v>
      </c>
      <c r="T3914" s="2" t="s">
        <v>706</v>
      </c>
      <c r="U3914" s="2" t="s">
        <v>21991</v>
      </c>
      <c r="V3914" s="2" t="s">
        <v>21992</v>
      </c>
      <c r="W3914" s="1"/>
      <c r="X3914" s="2" t="s">
        <v>4206</v>
      </c>
      <c r="Y3914" s="2" t="s">
        <v>21087</v>
      </c>
      <c r="AA3914" t="str">
        <f t="shared" si="366"/>
        <v>2025-02</v>
      </c>
      <c r="AB3914" t="str">
        <f t="shared" si="367"/>
        <v>H1_2025</v>
      </c>
      <c r="AC3914">
        <f t="shared" si="368"/>
        <v>10941447</v>
      </c>
      <c r="AD3914">
        <f t="shared" si="369"/>
        <v>1100</v>
      </c>
      <c r="AE3914">
        <f t="shared" si="370"/>
        <v>1701447</v>
      </c>
      <c r="AF3914" t="str">
        <f t="shared" si="371"/>
        <v>Paid</v>
      </c>
    </row>
    <row r="3915" spans="1:32" ht="17.25" thickBot="1" x14ac:dyDescent="0.35">
      <c r="A3915" s="2" t="s">
        <v>21993</v>
      </c>
      <c r="B3915" s="2" t="s">
        <v>27</v>
      </c>
      <c r="C3915" s="2" t="s">
        <v>28</v>
      </c>
      <c r="D3915" s="2" t="s">
        <v>97</v>
      </c>
      <c r="E3915" s="2" t="s">
        <v>21084</v>
      </c>
      <c r="F3915" s="2" t="s">
        <v>31</v>
      </c>
      <c r="G3915" s="2" t="s">
        <v>32</v>
      </c>
      <c r="H3915" s="1"/>
      <c r="I3915" s="2" t="s">
        <v>33</v>
      </c>
      <c r="J3915" s="2" t="s">
        <v>34</v>
      </c>
      <c r="K3915" s="2" t="s">
        <v>3922</v>
      </c>
      <c r="L3915" s="2" t="s">
        <v>3923</v>
      </c>
      <c r="M3915" s="2" t="s">
        <v>701</v>
      </c>
      <c r="N3915" s="2" t="s">
        <v>38</v>
      </c>
      <c r="O3915" s="2" t="s">
        <v>1837</v>
      </c>
      <c r="P3915" s="2" t="s">
        <v>5331</v>
      </c>
      <c r="Q3915" s="2" t="s">
        <v>21994</v>
      </c>
      <c r="R3915" s="2" t="s">
        <v>40</v>
      </c>
      <c r="S3915" s="2" t="s">
        <v>21995</v>
      </c>
      <c r="T3915" s="2" t="s">
        <v>759</v>
      </c>
      <c r="U3915" s="2" t="s">
        <v>21996</v>
      </c>
      <c r="V3915" s="2" t="s">
        <v>21997</v>
      </c>
      <c r="W3915" s="1"/>
      <c r="X3915" s="2" t="s">
        <v>11014</v>
      </c>
      <c r="Y3915" s="2" t="s">
        <v>21087</v>
      </c>
      <c r="AA3915" t="str">
        <f t="shared" si="366"/>
        <v>2025-02</v>
      </c>
      <c r="AB3915" t="str">
        <f t="shared" si="367"/>
        <v>H1_2025</v>
      </c>
      <c r="AC3915">
        <f t="shared" si="368"/>
        <v>9845737</v>
      </c>
      <c r="AD3915">
        <f t="shared" si="369"/>
        <v>1100</v>
      </c>
      <c r="AE3915">
        <f t="shared" si="370"/>
        <v>1529737</v>
      </c>
      <c r="AF3915" t="str">
        <f t="shared" si="371"/>
        <v>Paid</v>
      </c>
    </row>
    <row r="3916" spans="1:32" ht="17.25" thickBot="1" x14ac:dyDescent="0.35">
      <c r="A3916" s="2" t="s">
        <v>21998</v>
      </c>
      <c r="B3916" s="2" t="s">
        <v>27</v>
      </c>
      <c r="C3916" s="2" t="s">
        <v>28</v>
      </c>
      <c r="D3916" s="2" t="s">
        <v>97</v>
      </c>
      <c r="E3916" s="2" t="s">
        <v>21084</v>
      </c>
      <c r="F3916" s="2" t="s">
        <v>31</v>
      </c>
      <c r="G3916" s="2" t="s">
        <v>32</v>
      </c>
      <c r="H3916" s="1"/>
      <c r="I3916" s="2" t="s">
        <v>33</v>
      </c>
      <c r="J3916" s="2" t="s">
        <v>34</v>
      </c>
      <c r="K3916" s="2" t="s">
        <v>711</v>
      </c>
      <c r="L3916" s="2" t="s">
        <v>712</v>
      </c>
      <c r="M3916" s="2" t="s">
        <v>701</v>
      </c>
      <c r="N3916" s="2" t="s">
        <v>38</v>
      </c>
      <c r="O3916" s="2" t="s">
        <v>4729</v>
      </c>
      <c r="P3916" s="2" t="s">
        <v>8148</v>
      </c>
      <c r="Q3916" s="2" t="s">
        <v>21999</v>
      </c>
      <c r="R3916" s="2" t="s">
        <v>40</v>
      </c>
      <c r="S3916" s="2" t="s">
        <v>22000</v>
      </c>
      <c r="T3916" s="2" t="s">
        <v>716</v>
      </c>
      <c r="U3916" s="2" t="s">
        <v>22001</v>
      </c>
      <c r="V3916" s="2" t="s">
        <v>22002</v>
      </c>
      <c r="W3916" s="1"/>
      <c r="X3916" s="2" t="s">
        <v>4206</v>
      </c>
      <c r="Y3916" s="2" t="s">
        <v>21087</v>
      </c>
      <c r="AA3916" t="str">
        <f t="shared" si="366"/>
        <v>2025-02</v>
      </c>
      <c r="AB3916" t="str">
        <f t="shared" si="367"/>
        <v>H1_2025</v>
      </c>
      <c r="AC3916">
        <f t="shared" si="368"/>
        <v>59694850</v>
      </c>
      <c r="AD3916">
        <f t="shared" si="369"/>
        <v>5000</v>
      </c>
      <c r="AE3916">
        <f t="shared" si="370"/>
        <v>9294850</v>
      </c>
      <c r="AF3916" t="str">
        <f t="shared" si="371"/>
        <v>Paid</v>
      </c>
    </row>
    <row r="3917" spans="1:32" ht="17.25" thickBot="1" x14ac:dyDescent="0.35">
      <c r="A3917" s="2" t="s">
        <v>22003</v>
      </c>
      <c r="B3917" s="2" t="s">
        <v>27</v>
      </c>
      <c r="C3917" s="2" t="s">
        <v>28</v>
      </c>
      <c r="D3917" s="2" t="s">
        <v>97</v>
      </c>
      <c r="E3917" s="2" t="s">
        <v>21084</v>
      </c>
      <c r="F3917" s="2" t="s">
        <v>31</v>
      </c>
      <c r="G3917" s="2" t="s">
        <v>32</v>
      </c>
      <c r="H3917" s="1"/>
      <c r="I3917" s="2" t="s">
        <v>33</v>
      </c>
      <c r="J3917" s="2" t="s">
        <v>34</v>
      </c>
      <c r="K3917" s="2" t="s">
        <v>3930</v>
      </c>
      <c r="L3917" s="2" t="s">
        <v>3931</v>
      </c>
      <c r="M3917" s="2" t="s">
        <v>701</v>
      </c>
      <c r="N3917" s="2" t="s">
        <v>38</v>
      </c>
      <c r="O3917" s="2" t="s">
        <v>4176</v>
      </c>
      <c r="P3917" s="2" t="s">
        <v>13505</v>
      </c>
      <c r="Q3917" s="2" t="s">
        <v>22004</v>
      </c>
      <c r="R3917" s="2" t="s">
        <v>40</v>
      </c>
      <c r="S3917" s="2" t="s">
        <v>22005</v>
      </c>
      <c r="T3917" s="2" t="s">
        <v>3936</v>
      </c>
      <c r="U3917" s="2" t="s">
        <v>8253</v>
      </c>
      <c r="V3917" s="2" t="s">
        <v>22006</v>
      </c>
      <c r="W3917" s="1"/>
      <c r="X3917" s="2" t="s">
        <v>4206</v>
      </c>
      <c r="Y3917" s="2" t="s">
        <v>21087</v>
      </c>
      <c r="AA3917" t="str">
        <f t="shared" si="366"/>
        <v>2025-02</v>
      </c>
      <c r="AB3917" t="str">
        <f t="shared" si="367"/>
        <v>H1_2025</v>
      </c>
      <c r="AC3917">
        <f t="shared" si="368"/>
        <v>9305708.5</v>
      </c>
      <c r="AD3917">
        <f t="shared" si="369"/>
        <v>550</v>
      </c>
      <c r="AE3917">
        <f t="shared" si="370"/>
        <v>1451708.5</v>
      </c>
      <c r="AF3917" t="str">
        <f t="shared" si="371"/>
        <v>Paid</v>
      </c>
    </row>
    <row r="3918" spans="1:32" ht="17.25" thickBot="1" x14ac:dyDescent="0.35">
      <c r="A3918" s="2" t="s">
        <v>22007</v>
      </c>
      <c r="B3918" s="2" t="s">
        <v>27</v>
      </c>
      <c r="C3918" s="2" t="s">
        <v>28</v>
      </c>
      <c r="D3918" s="2" t="s">
        <v>97</v>
      </c>
      <c r="E3918" s="2" t="s">
        <v>21084</v>
      </c>
      <c r="F3918" s="2" t="s">
        <v>31</v>
      </c>
      <c r="G3918" s="2" t="s">
        <v>32</v>
      </c>
      <c r="H3918" s="1"/>
      <c r="I3918" s="2" t="s">
        <v>33</v>
      </c>
      <c r="J3918" s="2" t="s">
        <v>34</v>
      </c>
      <c r="K3918" s="2" t="s">
        <v>3949</v>
      </c>
      <c r="L3918" s="2" t="s">
        <v>3950</v>
      </c>
      <c r="M3918" s="2" t="s">
        <v>701</v>
      </c>
      <c r="N3918" s="2" t="s">
        <v>38</v>
      </c>
      <c r="O3918" s="2" t="s">
        <v>2114</v>
      </c>
      <c r="P3918" s="2" t="s">
        <v>13979</v>
      </c>
      <c r="Q3918" s="2" t="s">
        <v>22008</v>
      </c>
      <c r="R3918" s="2" t="s">
        <v>40</v>
      </c>
      <c r="S3918" s="2" t="s">
        <v>22009</v>
      </c>
      <c r="T3918" s="2" t="s">
        <v>726</v>
      </c>
      <c r="U3918" s="2" t="s">
        <v>22010</v>
      </c>
      <c r="V3918" s="2" t="s">
        <v>22011</v>
      </c>
      <c r="W3918" s="1"/>
      <c r="X3918" s="2" t="s">
        <v>11014</v>
      </c>
      <c r="Y3918" s="2" t="s">
        <v>21087</v>
      </c>
      <c r="AA3918" t="str">
        <f t="shared" si="366"/>
        <v>2025-02</v>
      </c>
      <c r="AB3918" t="str">
        <f t="shared" si="367"/>
        <v>H1_2025</v>
      </c>
      <c r="AC3918">
        <f t="shared" si="368"/>
        <v>2146965.48</v>
      </c>
      <c r="AD3918">
        <f t="shared" si="369"/>
        <v>254</v>
      </c>
      <c r="AE3918">
        <f t="shared" si="370"/>
        <v>333405.48</v>
      </c>
      <c r="AF3918" t="str">
        <f t="shared" si="371"/>
        <v>Paid</v>
      </c>
    </row>
    <row r="3919" spans="1:32" ht="17.25" thickBot="1" x14ac:dyDescent="0.35">
      <c r="A3919" s="2" t="s">
        <v>22012</v>
      </c>
      <c r="B3919" s="2" t="s">
        <v>27</v>
      </c>
      <c r="C3919" s="2" t="s">
        <v>28</v>
      </c>
      <c r="D3919" s="2" t="s">
        <v>97</v>
      </c>
      <c r="E3919" s="2" t="s">
        <v>21084</v>
      </c>
      <c r="F3919" s="2" t="s">
        <v>31</v>
      </c>
      <c r="G3919" s="2" t="s">
        <v>32</v>
      </c>
      <c r="H3919" s="1"/>
      <c r="I3919" s="2" t="s">
        <v>33</v>
      </c>
      <c r="J3919" s="2" t="s">
        <v>34</v>
      </c>
      <c r="K3919" s="2" t="s">
        <v>3949</v>
      </c>
      <c r="L3919" s="2" t="s">
        <v>3950</v>
      </c>
      <c r="M3919" s="2" t="s">
        <v>701</v>
      </c>
      <c r="N3919" s="2" t="s">
        <v>38</v>
      </c>
      <c r="O3919" s="2" t="s">
        <v>1300</v>
      </c>
      <c r="P3919" s="2" t="s">
        <v>13979</v>
      </c>
      <c r="Q3919" s="2" t="s">
        <v>22013</v>
      </c>
      <c r="R3919" s="2" t="s">
        <v>40</v>
      </c>
      <c r="S3919" s="2" t="s">
        <v>22014</v>
      </c>
      <c r="T3919" s="2" t="s">
        <v>40</v>
      </c>
      <c r="U3919" s="2" t="s">
        <v>40</v>
      </c>
      <c r="V3919" s="2" t="s">
        <v>22014</v>
      </c>
      <c r="W3919" s="1"/>
      <c r="X3919" s="2" t="s">
        <v>2155</v>
      </c>
      <c r="Y3919" s="2" t="s">
        <v>21087</v>
      </c>
      <c r="AA3919" t="str">
        <f t="shared" si="366"/>
        <v>2025-02</v>
      </c>
      <c r="AB3919" t="str">
        <f t="shared" si="367"/>
        <v>H1_2025</v>
      </c>
      <c r="AC3919">
        <f t="shared" si="368"/>
        <v>1234082.52</v>
      </c>
      <c r="AD3919">
        <f t="shared" si="369"/>
        <v>146</v>
      </c>
      <c r="AE3919">
        <f t="shared" si="370"/>
        <v>1234082.52</v>
      </c>
      <c r="AF3919" t="str">
        <f t="shared" si="371"/>
        <v>Paid</v>
      </c>
    </row>
    <row r="3920" spans="1:32" ht="17.25" thickBot="1" x14ac:dyDescent="0.35">
      <c r="A3920" s="2" t="s">
        <v>22015</v>
      </c>
      <c r="B3920" s="2" t="s">
        <v>27</v>
      </c>
      <c r="C3920" s="2" t="s">
        <v>28</v>
      </c>
      <c r="D3920" s="2" t="s">
        <v>97</v>
      </c>
      <c r="E3920" s="2" t="s">
        <v>21084</v>
      </c>
      <c r="F3920" s="2" t="s">
        <v>31</v>
      </c>
      <c r="G3920" s="2" t="s">
        <v>32</v>
      </c>
      <c r="H3920" s="1"/>
      <c r="I3920" s="2" t="s">
        <v>33</v>
      </c>
      <c r="J3920" s="2" t="s">
        <v>34</v>
      </c>
      <c r="K3920" s="2" t="s">
        <v>720</v>
      </c>
      <c r="L3920" s="2" t="s">
        <v>721</v>
      </c>
      <c r="M3920" s="2" t="s">
        <v>701</v>
      </c>
      <c r="N3920" s="2" t="s">
        <v>38</v>
      </c>
      <c r="O3920" s="2" t="s">
        <v>10121</v>
      </c>
      <c r="P3920" s="2" t="s">
        <v>13979</v>
      </c>
      <c r="Q3920" s="2" t="s">
        <v>22016</v>
      </c>
      <c r="R3920" s="2" t="s">
        <v>40</v>
      </c>
      <c r="S3920" s="2" t="s">
        <v>22017</v>
      </c>
      <c r="T3920" s="2" t="s">
        <v>726</v>
      </c>
      <c r="U3920" s="2" t="s">
        <v>12546</v>
      </c>
      <c r="V3920" s="2" t="s">
        <v>22018</v>
      </c>
      <c r="W3920" s="1"/>
      <c r="X3920" s="2" t="s">
        <v>11014</v>
      </c>
      <c r="Y3920" s="2" t="s">
        <v>21087</v>
      </c>
      <c r="AA3920" t="str">
        <f t="shared" si="366"/>
        <v>2025-02</v>
      </c>
      <c r="AB3920" t="str">
        <f t="shared" si="367"/>
        <v>H1_2025</v>
      </c>
      <c r="AC3920">
        <f t="shared" si="368"/>
        <v>25357860</v>
      </c>
      <c r="AD3920">
        <f t="shared" si="369"/>
        <v>3000</v>
      </c>
      <c r="AE3920">
        <f t="shared" si="370"/>
        <v>3937860</v>
      </c>
      <c r="AF3920" t="str">
        <f t="shared" si="371"/>
        <v>Paid</v>
      </c>
    </row>
    <row r="3921" spans="1:32" ht="17.25" thickBot="1" x14ac:dyDescent="0.35">
      <c r="A3921" s="2" t="s">
        <v>22019</v>
      </c>
      <c r="B3921" s="2" t="s">
        <v>27</v>
      </c>
      <c r="C3921" s="2" t="s">
        <v>28</v>
      </c>
      <c r="D3921" s="2" t="s">
        <v>97</v>
      </c>
      <c r="E3921" s="2" t="s">
        <v>21084</v>
      </c>
      <c r="F3921" s="2" t="s">
        <v>31</v>
      </c>
      <c r="G3921" s="2" t="s">
        <v>32</v>
      </c>
      <c r="H3921" s="1"/>
      <c r="I3921" s="2" t="s">
        <v>33</v>
      </c>
      <c r="J3921" s="2" t="s">
        <v>34</v>
      </c>
      <c r="K3921" s="2" t="s">
        <v>3957</v>
      </c>
      <c r="L3921" s="2" t="s">
        <v>3958</v>
      </c>
      <c r="M3921" s="2" t="s">
        <v>701</v>
      </c>
      <c r="N3921" s="2" t="s">
        <v>38</v>
      </c>
      <c r="O3921" s="2" t="s">
        <v>1837</v>
      </c>
      <c r="P3921" s="2" t="s">
        <v>13979</v>
      </c>
      <c r="Q3921" s="2" t="s">
        <v>22020</v>
      </c>
      <c r="R3921" s="2" t="s">
        <v>40</v>
      </c>
      <c r="S3921" s="2" t="s">
        <v>22021</v>
      </c>
      <c r="T3921" s="2" t="s">
        <v>726</v>
      </c>
      <c r="U3921" s="2" t="s">
        <v>8253</v>
      </c>
      <c r="V3921" s="2" t="s">
        <v>22022</v>
      </c>
      <c r="W3921" s="1"/>
      <c r="X3921" s="2" t="s">
        <v>11014</v>
      </c>
      <c r="Y3921" s="2" t="s">
        <v>21087</v>
      </c>
      <c r="AA3921" t="str">
        <f t="shared" si="366"/>
        <v>2025-02</v>
      </c>
      <c r="AB3921" t="str">
        <f t="shared" si="367"/>
        <v>H1_2025</v>
      </c>
      <c r="AC3921">
        <f t="shared" si="368"/>
        <v>9297882</v>
      </c>
      <c r="AD3921">
        <f t="shared" si="369"/>
        <v>1100</v>
      </c>
      <c r="AE3921">
        <f t="shared" si="370"/>
        <v>1443882</v>
      </c>
      <c r="AF3921" t="str">
        <f t="shared" si="371"/>
        <v>Paid</v>
      </c>
    </row>
    <row r="3922" spans="1:32" ht="17.25" thickBot="1" x14ac:dyDescent="0.35">
      <c r="A3922" s="2" t="s">
        <v>22023</v>
      </c>
      <c r="B3922" s="2" t="s">
        <v>27</v>
      </c>
      <c r="C3922" s="2" t="s">
        <v>28</v>
      </c>
      <c r="D3922" s="2" t="s">
        <v>97</v>
      </c>
      <c r="E3922" s="2" t="s">
        <v>21084</v>
      </c>
      <c r="F3922" s="2" t="s">
        <v>31</v>
      </c>
      <c r="G3922" s="2" t="s">
        <v>32</v>
      </c>
      <c r="H3922" s="1"/>
      <c r="I3922" s="2" t="s">
        <v>33</v>
      </c>
      <c r="J3922" s="2" t="s">
        <v>34</v>
      </c>
      <c r="K3922" s="2" t="s">
        <v>15485</v>
      </c>
      <c r="L3922" s="2" t="s">
        <v>15486</v>
      </c>
      <c r="M3922" s="2" t="s">
        <v>701</v>
      </c>
      <c r="N3922" s="2" t="s">
        <v>38</v>
      </c>
      <c r="O3922" s="2" t="s">
        <v>1951</v>
      </c>
      <c r="P3922" s="2" t="s">
        <v>13979</v>
      </c>
      <c r="Q3922" s="2" t="s">
        <v>1532</v>
      </c>
      <c r="R3922" s="2" t="s">
        <v>40</v>
      </c>
      <c r="S3922" s="2" t="s">
        <v>22024</v>
      </c>
      <c r="T3922" s="2" t="s">
        <v>726</v>
      </c>
      <c r="U3922" s="2" t="s">
        <v>4035</v>
      </c>
      <c r="V3922" s="2" t="s">
        <v>22025</v>
      </c>
      <c r="W3922" s="1"/>
      <c r="X3922" s="2" t="s">
        <v>11014</v>
      </c>
      <c r="Y3922" s="2" t="s">
        <v>21087</v>
      </c>
      <c r="AA3922" t="str">
        <f t="shared" si="366"/>
        <v>2025-02</v>
      </c>
      <c r="AB3922" t="str">
        <f t="shared" si="367"/>
        <v>H1_2025</v>
      </c>
      <c r="AC3922">
        <f t="shared" si="368"/>
        <v>5071572</v>
      </c>
      <c r="AD3922">
        <f t="shared" si="369"/>
        <v>600</v>
      </c>
      <c r="AE3922">
        <f t="shared" si="370"/>
        <v>787572</v>
      </c>
      <c r="AF3922" t="str">
        <f t="shared" si="371"/>
        <v>Paid</v>
      </c>
    </row>
    <row r="3923" spans="1:32" ht="17.25" thickBot="1" x14ac:dyDescent="0.35">
      <c r="A3923" s="2" t="s">
        <v>22026</v>
      </c>
      <c r="B3923" s="2" t="s">
        <v>27</v>
      </c>
      <c r="C3923" s="2" t="s">
        <v>28</v>
      </c>
      <c r="D3923" s="2" t="s">
        <v>97</v>
      </c>
      <c r="E3923" s="2" t="s">
        <v>21084</v>
      </c>
      <c r="F3923" s="2" t="s">
        <v>31</v>
      </c>
      <c r="G3923" s="2" t="s">
        <v>32</v>
      </c>
      <c r="H3923" s="1"/>
      <c r="I3923" s="2" t="s">
        <v>33</v>
      </c>
      <c r="J3923" s="2" t="s">
        <v>34</v>
      </c>
      <c r="K3923" s="2" t="s">
        <v>4606</v>
      </c>
      <c r="L3923" s="2" t="s">
        <v>4607</v>
      </c>
      <c r="M3923" s="2" t="s">
        <v>701</v>
      </c>
      <c r="N3923" s="2" t="s">
        <v>38</v>
      </c>
      <c r="O3923" s="2" t="s">
        <v>1914</v>
      </c>
      <c r="P3923" s="2" t="s">
        <v>5331</v>
      </c>
      <c r="Q3923" s="2" t="s">
        <v>22027</v>
      </c>
      <c r="R3923" s="2" t="s">
        <v>40</v>
      </c>
      <c r="S3923" s="2" t="s">
        <v>22028</v>
      </c>
      <c r="T3923" s="2" t="s">
        <v>759</v>
      </c>
      <c r="U3923" s="2" t="s">
        <v>22029</v>
      </c>
      <c r="V3923" s="2" t="s">
        <v>22030</v>
      </c>
      <c r="W3923" s="1"/>
      <c r="X3923" s="2" t="s">
        <v>11014</v>
      </c>
      <c r="Y3923" s="2" t="s">
        <v>21087</v>
      </c>
      <c r="AA3923" t="str">
        <f t="shared" si="366"/>
        <v>2025-02</v>
      </c>
      <c r="AB3923" t="str">
        <f t="shared" si="367"/>
        <v>H1_2025</v>
      </c>
      <c r="AC3923">
        <f t="shared" si="368"/>
        <v>8055603</v>
      </c>
      <c r="AD3923">
        <f t="shared" si="369"/>
        <v>900</v>
      </c>
      <c r="AE3923">
        <f t="shared" si="370"/>
        <v>1251603</v>
      </c>
      <c r="AF3923" t="str">
        <f t="shared" si="371"/>
        <v>Paid</v>
      </c>
    </row>
    <row r="3924" spans="1:32" ht="17.25" thickBot="1" x14ac:dyDescent="0.35">
      <c r="A3924" s="2" t="s">
        <v>22031</v>
      </c>
      <c r="B3924" s="2" t="s">
        <v>27</v>
      </c>
      <c r="C3924" s="2" t="s">
        <v>28</v>
      </c>
      <c r="D3924" s="2" t="s">
        <v>97</v>
      </c>
      <c r="E3924" s="2" t="s">
        <v>21084</v>
      </c>
      <c r="F3924" s="2" t="s">
        <v>31</v>
      </c>
      <c r="G3924" s="2" t="s">
        <v>32</v>
      </c>
      <c r="H3924" s="1"/>
      <c r="I3924" s="2" t="s">
        <v>33</v>
      </c>
      <c r="J3924" s="2" t="s">
        <v>34</v>
      </c>
      <c r="K3924" s="2" t="s">
        <v>22032</v>
      </c>
      <c r="L3924" s="2" t="s">
        <v>22033</v>
      </c>
      <c r="M3924" s="2" t="s">
        <v>1807</v>
      </c>
      <c r="N3924" s="2" t="s">
        <v>38</v>
      </c>
      <c r="O3924" s="2" t="s">
        <v>214</v>
      </c>
      <c r="P3924" s="2" t="s">
        <v>3718</v>
      </c>
      <c r="Q3924" s="2" t="s">
        <v>17727</v>
      </c>
      <c r="R3924" s="2" t="s">
        <v>40</v>
      </c>
      <c r="S3924" s="2" t="s">
        <v>22034</v>
      </c>
      <c r="T3924" s="2" t="s">
        <v>14020</v>
      </c>
      <c r="U3924" s="2" t="s">
        <v>14896</v>
      </c>
      <c r="V3924" s="2" t="s">
        <v>22035</v>
      </c>
      <c r="W3924" s="1"/>
      <c r="X3924" s="2" t="s">
        <v>2939</v>
      </c>
      <c r="Y3924" s="2" t="s">
        <v>21087</v>
      </c>
      <c r="AA3924" t="str">
        <f t="shared" si="366"/>
        <v>2025-02</v>
      </c>
      <c r="AB3924" t="str">
        <f t="shared" si="367"/>
        <v>H1_2025</v>
      </c>
      <c r="AC3924">
        <f t="shared" si="368"/>
        <v>319463.5</v>
      </c>
      <c r="AD3924">
        <f t="shared" si="369"/>
        <v>50</v>
      </c>
      <c r="AE3924">
        <f t="shared" si="370"/>
        <v>83963.5</v>
      </c>
      <c r="AF3924" t="str">
        <f t="shared" si="371"/>
        <v>Paid</v>
      </c>
    </row>
    <row r="3925" spans="1:32" ht="17.25" thickBot="1" x14ac:dyDescent="0.35">
      <c r="A3925" s="2" t="s">
        <v>22036</v>
      </c>
      <c r="B3925" s="2" t="s">
        <v>27</v>
      </c>
      <c r="C3925" s="2" t="s">
        <v>28</v>
      </c>
      <c r="D3925" s="2" t="s">
        <v>97</v>
      </c>
      <c r="E3925" s="2" t="s">
        <v>21084</v>
      </c>
      <c r="F3925" s="2" t="s">
        <v>31</v>
      </c>
      <c r="G3925" s="2" t="s">
        <v>32</v>
      </c>
      <c r="H3925" s="1"/>
      <c r="I3925" s="2" t="s">
        <v>33</v>
      </c>
      <c r="J3925" s="2" t="s">
        <v>34</v>
      </c>
      <c r="K3925" s="2" t="s">
        <v>7483</v>
      </c>
      <c r="L3925" s="2" t="s">
        <v>7484</v>
      </c>
      <c r="M3925" s="2" t="s">
        <v>1807</v>
      </c>
      <c r="N3925" s="2" t="s">
        <v>38</v>
      </c>
      <c r="O3925" s="2" t="s">
        <v>214</v>
      </c>
      <c r="P3925" s="2" t="s">
        <v>3718</v>
      </c>
      <c r="Q3925" s="2" t="s">
        <v>17727</v>
      </c>
      <c r="R3925" s="2" t="s">
        <v>40</v>
      </c>
      <c r="S3925" s="2" t="s">
        <v>22034</v>
      </c>
      <c r="T3925" s="2" t="s">
        <v>14020</v>
      </c>
      <c r="U3925" s="2" t="s">
        <v>14896</v>
      </c>
      <c r="V3925" s="2" t="s">
        <v>22035</v>
      </c>
      <c r="W3925" s="1"/>
      <c r="X3925" s="2" t="s">
        <v>2939</v>
      </c>
      <c r="Y3925" s="2" t="s">
        <v>21087</v>
      </c>
      <c r="AA3925" t="str">
        <f t="shared" si="366"/>
        <v>2025-02</v>
      </c>
      <c r="AB3925" t="str">
        <f t="shared" si="367"/>
        <v>H1_2025</v>
      </c>
      <c r="AC3925">
        <f t="shared" si="368"/>
        <v>319463.5</v>
      </c>
      <c r="AD3925">
        <f t="shared" si="369"/>
        <v>50</v>
      </c>
      <c r="AE3925">
        <f t="shared" si="370"/>
        <v>83963.5</v>
      </c>
      <c r="AF3925" t="str">
        <f t="shared" si="371"/>
        <v>Paid</v>
      </c>
    </row>
    <row r="3926" spans="1:32" ht="17.25" thickBot="1" x14ac:dyDescent="0.35">
      <c r="A3926" s="2" t="s">
        <v>22037</v>
      </c>
      <c r="B3926" s="2" t="s">
        <v>27</v>
      </c>
      <c r="C3926" s="2" t="s">
        <v>28</v>
      </c>
      <c r="D3926" s="2" t="s">
        <v>97</v>
      </c>
      <c r="E3926" s="2" t="s">
        <v>21084</v>
      </c>
      <c r="F3926" s="2" t="s">
        <v>31</v>
      </c>
      <c r="G3926" s="2" t="s">
        <v>32</v>
      </c>
      <c r="H3926" s="1"/>
      <c r="I3926" s="2" t="s">
        <v>33</v>
      </c>
      <c r="J3926" s="2" t="s">
        <v>34</v>
      </c>
      <c r="K3926" s="2" t="s">
        <v>7492</v>
      </c>
      <c r="L3926" s="2" t="s">
        <v>7493</v>
      </c>
      <c r="M3926" s="2" t="s">
        <v>1807</v>
      </c>
      <c r="N3926" s="2" t="s">
        <v>38</v>
      </c>
      <c r="O3926" s="2" t="s">
        <v>877</v>
      </c>
      <c r="P3926" s="2" t="s">
        <v>3718</v>
      </c>
      <c r="Q3926" s="2" t="s">
        <v>7533</v>
      </c>
      <c r="R3926" s="2" t="s">
        <v>40</v>
      </c>
      <c r="S3926" s="2" t="s">
        <v>22038</v>
      </c>
      <c r="T3926" s="2" t="s">
        <v>14020</v>
      </c>
      <c r="U3926" s="2" t="s">
        <v>22039</v>
      </c>
      <c r="V3926" s="2" t="s">
        <v>22040</v>
      </c>
      <c r="W3926" s="1"/>
      <c r="X3926" s="2" t="s">
        <v>2939</v>
      </c>
      <c r="Y3926" s="2" t="s">
        <v>21087</v>
      </c>
      <c r="AA3926" t="str">
        <f t="shared" si="366"/>
        <v>2025-02</v>
      </c>
      <c r="AB3926" t="str">
        <f t="shared" si="367"/>
        <v>H1_2025</v>
      </c>
      <c r="AC3926">
        <f t="shared" si="368"/>
        <v>638927</v>
      </c>
      <c r="AD3926">
        <f t="shared" si="369"/>
        <v>100</v>
      </c>
      <c r="AE3926">
        <f t="shared" si="370"/>
        <v>167927</v>
      </c>
      <c r="AF3926" t="str">
        <f t="shared" si="371"/>
        <v>Paid</v>
      </c>
    </row>
    <row r="3927" spans="1:32" ht="17.25" thickBot="1" x14ac:dyDescent="0.35">
      <c r="A3927" s="2" t="s">
        <v>22041</v>
      </c>
      <c r="B3927" s="2" t="s">
        <v>27</v>
      </c>
      <c r="C3927" s="2" t="s">
        <v>28</v>
      </c>
      <c r="D3927" s="2" t="s">
        <v>97</v>
      </c>
      <c r="E3927" s="2" t="s">
        <v>21084</v>
      </c>
      <c r="F3927" s="2" t="s">
        <v>31</v>
      </c>
      <c r="G3927" s="2" t="s">
        <v>32</v>
      </c>
      <c r="H3927" s="1"/>
      <c r="I3927" s="2" t="s">
        <v>33</v>
      </c>
      <c r="J3927" s="2" t="s">
        <v>34</v>
      </c>
      <c r="K3927" s="2" t="s">
        <v>21030</v>
      </c>
      <c r="L3927" s="2" t="s">
        <v>21031</v>
      </c>
      <c r="M3927" s="2" t="s">
        <v>772</v>
      </c>
      <c r="N3927" s="2" t="s">
        <v>38</v>
      </c>
      <c r="O3927" s="2" t="s">
        <v>877</v>
      </c>
      <c r="P3927" s="2" t="s">
        <v>22042</v>
      </c>
      <c r="Q3927" s="2" t="s">
        <v>22043</v>
      </c>
      <c r="R3927" s="2" t="s">
        <v>40</v>
      </c>
      <c r="S3927" s="2" t="s">
        <v>22044</v>
      </c>
      <c r="T3927" s="2" t="s">
        <v>21034</v>
      </c>
      <c r="U3927" s="2" t="s">
        <v>21035</v>
      </c>
      <c r="V3927" s="2" t="s">
        <v>22045</v>
      </c>
      <c r="W3927" s="1"/>
      <c r="X3927" s="2" t="s">
        <v>2781</v>
      </c>
      <c r="Y3927" s="2" t="s">
        <v>21087</v>
      </c>
      <c r="AA3927" t="str">
        <f t="shared" si="366"/>
        <v>2025-02</v>
      </c>
      <c r="AB3927" t="str">
        <f t="shared" si="367"/>
        <v>H1_2025</v>
      </c>
      <c r="AC3927">
        <f t="shared" si="368"/>
        <v>1142669</v>
      </c>
      <c r="AD3927">
        <f t="shared" si="369"/>
        <v>100</v>
      </c>
      <c r="AE3927">
        <f t="shared" si="370"/>
        <v>236569</v>
      </c>
      <c r="AF3927" t="str">
        <f t="shared" si="371"/>
        <v>Paid</v>
      </c>
    </row>
    <row r="3928" spans="1:32" ht="17.25" thickBot="1" x14ac:dyDescent="0.35">
      <c r="A3928" s="2" t="s">
        <v>22046</v>
      </c>
      <c r="B3928" s="2" t="s">
        <v>27</v>
      </c>
      <c r="C3928" s="2" t="s">
        <v>28</v>
      </c>
      <c r="D3928" s="2" t="s">
        <v>97</v>
      </c>
      <c r="E3928" s="2" t="s">
        <v>21084</v>
      </c>
      <c r="F3928" s="2" t="s">
        <v>31</v>
      </c>
      <c r="G3928" s="2" t="s">
        <v>32</v>
      </c>
      <c r="H3928" s="1"/>
      <c r="I3928" s="2" t="s">
        <v>33</v>
      </c>
      <c r="J3928" s="2" t="s">
        <v>34</v>
      </c>
      <c r="K3928" s="2" t="s">
        <v>22047</v>
      </c>
      <c r="L3928" s="2" t="s">
        <v>22048</v>
      </c>
      <c r="M3928" s="2" t="s">
        <v>15232</v>
      </c>
      <c r="N3928" s="2" t="s">
        <v>38</v>
      </c>
      <c r="O3928" s="2" t="s">
        <v>79</v>
      </c>
      <c r="P3928" s="2" t="s">
        <v>6516</v>
      </c>
      <c r="Q3928" s="2" t="s">
        <v>8500</v>
      </c>
      <c r="R3928" s="2" t="s">
        <v>40</v>
      </c>
      <c r="S3928" s="2" t="s">
        <v>22049</v>
      </c>
      <c r="T3928" s="2" t="s">
        <v>669</v>
      </c>
      <c r="U3928" s="2" t="s">
        <v>22050</v>
      </c>
      <c r="V3928" s="2" t="s">
        <v>22051</v>
      </c>
      <c r="W3928" s="1"/>
      <c r="X3928" s="2" t="s">
        <v>1774</v>
      </c>
      <c r="Y3928" s="2" t="s">
        <v>21087</v>
      </c>
      <c r="AA3928" t="str">
        <f t="shared" si="366"/>
        <v>2025-02</v>
      </c>
      <c r="AB3928" t="str">
        <f t="shared" si="367"/>
        <v>H1_2025</v>
      </c>
      <c r="AC3928">
        <f t="shared" si="368"/>
        <v>78691.899999999994</v>
      </c>
      <c r="AD3928">
        <f t="shared" si="369"/>
        <v>10</v>
      </c>
      <c r="AE3928">
        <f t="shared" si="370"/>
        <v>18691.900000000001</v>
      </c>
      <c r="AF3928" t="str">
        <f t="shared" si="371"/>
        <v>Paid</v>
      </c>
    </row>
    <row r="3929" spans="1:32" ht="17.25" thickBot="1" x14ac:dyDescent="0.35">
      <c r="A3929" s="2" t="s">
        <v>22052</v>
      </c>
      <c r="B3929" s="2" t="s">
        <v>27</v>
      </c>
      <c r="C3929" s="2" t="s">
        <v>28</v>
      </c>
      <c r="D3929" s="2" t="s">
        <v>97</v>
      </c>
      <c r="E3929" s="2" t="s">
        <v>21084</v>
      </c>
      <c r="F3929" s="2" t="s">
        <v>31</v>
      </c>
      <c r="G3929" s="2" t="s">
        <v>32</v>
      </c>
      <c r="H3929" s="1"/>
      <c r="I3929" s="2" t="s">
        <v>33</v>
      </c>
      <c r="J3929" s="2" t="s">
        <v>34</v>
      </c>
      <c r="K3929" s="2" t="s">
        <v>22047</v>
      </c>
      <c r="L3929" s="2" t="s">
        <v>22048</v>
      </c>
      <c r="M3929" s="2" t="s">
        <v>15232</v>
      </c>
      <c r="N3929" s="2" t="s">
        <v>38</v>
      </c>
      <c r="O3929" s="2" t="s">
        <v>57</v>
      </c>
      <c r="P3929" s="2" t="s">
        <v>6516</v>
      </c>
      <c r="Q3929" s="2" t="s">
        <v>22053</v>
      </c>
      <c r="R3929" s="2" t="s">
        <v>40</v>
      </c>
      <c r="S3929" s="2" t="s">
        <v>22054</v>
      </c>
      <c r="T3929" s="2" t="s">
        <v>669</v>
      </c>
      <c r="U3929" s="2" t="s">
        <v>4261</v>
      </c>
      <c r="V3929" s="2" t="s">
        <v>22055</v>
      </c>
      <c r="W3929" s="1"/>
      <c r="X3929" s="2" t="s">
        <v>1774</v>
      </c>
      <c r="Y3929" s="2" t="s">
        <v>21087</v>
      </c>
      <c r="AA3929" t="str">
        <f t="shared" si="366"/>
        <v>2025-02</v>
      </c>
      <c r="AB3929" t="str">
        <f t="shared" si="367"/>
        <v>H1_2025</v>
      </c>
      <c r="AC3929">
        <f t="shared" si="368"/>
        <v>39345.949999999997</v>
      </c>
      <c r="AD3929">
        <f t="shared" si="369"/>
        <v>5</v>
      </c>
      <c r="AE3929">
        <f t="shared" si="370"/>
        <v>9345.9500000000007</v>
      </c>
      <c r="AF3929" t="str">
        <f t="shared" si="371"/>
        <v>Paid</v>
      </c>
    </row>
    <row r="3930" spans="1:32" ht="17.25" thickBot="1" x14ac:dyDescent="0.35">
      <c r="A3930" s="2" t="s">
        <v>22056</v>
      </c>
      <c r="B3930" s="2" t="s">
        <v>27</v>
      </c>
      <c r="C3930" s="2" t="s">
        <v>28</v>
      </c>
      <c r="D3930" s="2" t="s">
        <v>97</v>
      </c>
      <c r="E3930" s="2" t="s">
        <v>21084</v>
      </c>
      <c r="F3930" s="2" t="s">
        <v>31</v>
      </c>
      <c r="G3930" s="2" t="s">
        <v>32</v>
      </c>
      <c r="H3930" s="1"/>
      <c r="I3930" s="2" t="s">
        <v>33</v>
      </c>
      <c r="J3930" s="2" t="s">
        <v>34</v>
      </c>
      <c r="K3930" s="2" t="s">
        <v>22057</v>
      </c>
      <c r="L3930" s="2" t="s">
        <v>22058</v>
      </c>
      <c r="M3930" s="2" t="s">
        <v>15232</v>
      </c>
      <c r="N3930" s="2" t="s">
        <v>38</v>
      </c>
      <c r="O3930" s="2" t="s">
        <v>113</v>
      </c>
      <c r="P3930" s="2" t="s">
        <v>7541</v>
      </c>
      <c r="Q3930" s="2" t="s">
        <v>9858</v>
      </c>
      <c r="R3930" s="2" t="s">
        <v>40</v>
      </c>
      <c r="S3930" s="2" t="s">
        <v>22059</v>
      </c>
      <c r="T3930" s="2" t="s">
        <v>7535</v>
      </c>
      <c r="U3930" s="2" t="s">
        <v>22060</v>
      </c>
      <c r="V3930" s="2" t="s">
        <v>22061</v>
      </c>
      <c r="W3930" s="1"/>
      <c r="X3930" s="2" t="s">
        <v>270</v>
      </c>
      <c r="Y3930" s="2" t="s">
        <v>21087</v>
      </c>
      <c r="AA3930" t="str">
        <f t="shared" si="366"/>
        <v>2025-02</v>
      </c>
      <c r="AB3930" t="str">
        <f t="shared" si="367"/>
        <v>H1_2025</v>
      </c>
      <c r="AC3930">
        <f t="shared" si="368"/>
        <v>186128.4</v>
      </c>
      <c r="AD3930">
        <f t="shared" si="369"/>
        <v>15</v>
      </c>
      <c r="AE3930">
        <f t="shared" si="370"/>
        <v>52478.400000000001</v>
      </c>
      <c r="AF3930" t="str">
        <f t="shared" si="371"/>
        <v>Paid</v>
      </c>
    </row>
    <row r="3931" spans="1:32" ht="17.25" thickBot="1" x14ac:dyDescent="0.35">
      <c r="A3931" s="2" t="s">
        <v>22062</v>
      </c>
      <c r="B3931" s="2" t="s">
        <v>27</v>
      </c>
      <c r="C3931" s="2" t="s">
        <v>28</v>
      </c>
      <c r="D3931" s="2" t="s">
        <v>97</v>
      </c>
      <c r="E3931" s="2" t="s">
        <v>21084</v>
      </c>
      <c r="F3931" s="2" t="s">
        <v>31</v>
      </c>
      <c r="G3931" s="2" t="s">
        <v>32</v>
      </c>
      <c r="H3931" s="1"/>
      <c r="I3931" s="2" t="s">
        <v>33</v>
      </c>
      <c r="J3931" s="2" t="s">
        <v>34</v>
      </c>
      <c r="K3931" s="2" t="s">
        <v>22057</v>
      </c>
      <c r="L3931" s="2" t="s">
        <v>22058</v>
      </c>
      <c r="M3931" s="2" t="s">
        <v>15232</v>
      </c>
      <c r="N3931" s="2" t="s">
        <v>38</v>
      </c>
      <c r="O3931" s="2" t="s">
        <v>280</v>
      </c>
      <c r="P3931" s="2" t="s">
        <v>7541</v>
      </c>
      <c r="Q3931" s="2" t="s">
        <v>22063</v>
      </c>
      <c r="R3931" s="2" t="s">
        <v>40</v>
      </c>
      <c r="S3931" s="2" t="s">
        <v>22064</v>
      </c>
      <c r="T3931" s="2" t="s">
        <v>7535</v>
      </c>
      <c r="U3931" s="2" t="s">
        <v>22065</v>
      </c>
      <c r="V3931" s="2" t="s">
        <v>22066</v>
      </c>
      <c r="W3931" s="1"/>
      <c r="X3931" s="2" t="s">
        <v>270</v>
      </c>
      <c r="Y3931" s="2" t="s">
        <v>21087</v>
      </c>
      <c r="AA3931" t="str">
        <f t="shared" si="366"/>
        <v>2025-02</v>
      </c>
      <c r="AB3931" t="str">
        <f t="shared" si="367"/>
        <v>H1_2025</v>
      </c>
      <c r="AC3931">
        <f t="shared" si="368"/>
        <v>434299.6</v>
      </c>
      <c r="AD3931">
        <f t="shared" si="369"/>
        <v>35</v>
      </c>
      <c r="AE3931">
        <f t="shared" si="370"/>
        <v>122449.60000000001</v>
      </c>
      <c r="AF3931" t="str">
        <f t="shared" si="371"/>
        <v>Paid</v>
      </c>
    </row>
    <row r="3932" spans="1:32" ht="27.75" thickBot="1" x14ac:dyDescent="0.35">
      <c r="A3932" s="2" t="s">
        <v>22067</v>
      </c>
      <c r="B3932" s="2" t="s">
        <v>27</v>
      </c>
      <c r="C3932" s="2" t="s">
        <v>28</v>
      </c>
      <c r="D3932" s="2" t="s">
        <v>97</v>
      </c>
      <c r="E3932" s="2" t="s">
        <v>21084</v>
      </c>
      <c r="F3932" s="2" t="s">
        <v>31</v>
      </c>
      <c r="G3932" s="2" t="s">
        <v>32</v>
      </c>
      <c r="H3932" s="1"/>
      <c r="I3932" s="2" t="s">
        <v>33</v>
      </c>
      <c r="J3932" s="2" t="s">
        <v>34</v>
      </c>
      <c r="K3932" s="2" t="s">
        <v>22068</v>
      </c>
      <c r="L3932" s="2" t="s">
        <v>22069</v>
      </c>
      <c r="M3932" s="2" t="s">
        <v>15232</v>
      </c>
      <c r="N3932" s="2" t="s">
        <v>38</v>
      </c>
      <c r="O3932" s="2" t="s">
        <v>466</v>
      </c>
      <c r="P3932" s="2" t="s">
        <v>8446</v>
      </c>
      <c r="Q3932" s="2" t="s">
        <v>22070</v>
      </c>
      <c r="R3932" s="2" t="s">
        <v>40</v>
      </c>
      <c r="S3932" s="2" t="s">
        <v>22071</v>
      </c>
      <c r="T3932" s="2" t="s">
        <v>22072</v>
      </c>
      <c r="U3932" s="2" t="s">
        <v>11461</v>
      </c>
      <c r="V3932" s="2" t="s">
        <v>22073</v>
      </c>
      <c r="W3932" s="1"/>
      <c r="X3932" s="2" t="s">
        <v>6917</v>
      </c>
      <c r="Y3932" s="2" t="s">
        <v>21087</v>
      </c>
      <c r="AA3932" t="str">
        <f t="shared" si="366"/>
        <v>2025-02</v>
      </c>
      <c r="AB3932" t="str">
        <f t="shared" si="367"/>
        <v>H1_2025</v>
      </c>
      <c r="AC3932">
        <f t="shared" si="368"/>
        <v>88652.9</v>
      </c>
      <c r="AD3932">
        <f t="shared" si="369"/>
        <v>70</v>
      </c>
      <c r="AE3932">
        <f t="shared" si="370"/>
        <v>25652.9</v>
      </c>
      <c r="AF3932" t="str">
        <f t="shared" si="371"/>
        <v>Paid</v>
      </c>
    </row>
    <row r="3933" spans="1:32" ht="27.75" thickBot="1" x14ac:dyDescent="0.35">
      <c r="A3933" s="2" t="s">
        <v>22074</v>
      </c>
      <c r="B3933" s="2" t="s">
        <v>27</v>
      </c>
      <c r="C3933" s="2" t="s">
        <v>28</v>
      </c>
      <c r="D3933" s="2" t="s">
        <v>97</v>
      </c>
      <c r="E3933" s="2" t="s">
        <v>21084</v>
      </c>
      <c r="F3933" s="2" t="s">
        <v>31</v>
      </c>
      <c r="G3933" s="2" t="s">
        <v>32</v>
      </c>
      <c r="H3933" s="1"/>
      <c r="I3933" s="2" t="s">
        <v>33</v>
      </c>
      <c r="J3933" s="2" t="s">
        <v>34</v>
      </c>
      <c r="K3933" s="2" t="s">
        <v>22068</v>
      </c>
      <c r="L3933" s="2" t="s">
        <v>22069</v>
      </c>
      <c r="M3933" s="2" t="s">
        <v>15232</v>
      </c>
      <c r="N3933" s="2" t="s">
        <v>38</v>
      </c>
      <c r="O3933" s="2" t="s">
        <v>141</v>
      </c>
      <c r="P3933" s="2" t="s">
        <v>8446</v>
      </c>
      <c r="Q3933" s="2" t="s">
        <v>11124</v>
      </c>
      <c r="R3933" s="2" t="s">
        <v>40</v>
      </c>
      <c r="S3933" s="2" t="s">
        <v>22075</v>
      </c>
      <c r="T3933" s="2" t="s">
        <v>22072</v>
      </c>
      <c r="U3933" s="2" t="s">
        <v>3321</v>
      </c>
      <c r="V3933" s="2" t="s">
        <v>22076</v>
      </c>
      <c r="W3933" s="1"/>
      <c r="X3933" s="2" t="s">
        <v>6917</v>
      </c>
      <c r="Y3933" s="2" t="s">
        <v>21087</v>
      </c>
      <c r="AA3933" t="str">
        <f t="shared" si="366"/>
        <v>2025-02</v>
      </c>
      <c r="AB3933" t="str">
        <f t="shared" si="367"/>
        <v>H1_2025</v>
      </c>
      <c r="AC3933">
        <f t="shared" si="368"/>
        <v>37994.1</v>
      </c>
      <c r="AD3933">
        <f t="shared" si="369"/>
        <v>30</v>
      </c>
      <c r="AE3933">
        <f t="shared" si="370"/>
        <v>10994.1</v>
      </c>
      <c r="AF3933" t="str">
        <f t="shared" si="371"/>
        <v>Paid</v>
      </c>
    </row>
    <row r="3934" spans="1:32" ht="17.25" thickBot="1" x14ac:dyDescent="0.35">
      <c r="A3934" s="2" t="s">
        <v>22077</v>
      </c>
      <c r="B3934" s="2" t="s">
        <v>27</v>
      </c>
      <c r="C3934" s="2" t="s">
        <v>28</v>
      </c>
      <c r="D3934" s="2" t="s">
        <v>97</v>
      </c>
      <c r="E3934" s="2" t="s">
        <v>21084</v>
      </c>
      <c r="F3934" s="2" t="s">
        <v>31</v>
      </c>
      <c r="G3934" s="2" t="s">
        <v>32</v>
      </c>
      <c r="H3934" s="1"/>
      <c r="I3934" s="2" t="s">
        <v>33</v>
      </c>
      <c r="J3934" s="2" t="s">
        <v>34</v>
      </c>
      <c r="K3934" s="2" t="s">
        <v>22078</v>
      </c>
      <c r="L3934" s="2" t="s">
        <v>22079</v>
      </c>
      <c r="M3934" s="2" t="s">
        <v>15232</v>
      </c>
      <c r="N3934" s="2" t="s">
        <v>38</v>
      </c>
      <c r="O3934" s="2" t="s">
        <v>214</v>
      </c>
      <c r="P3934" s="2" t="s">
        <v>1028</v>
      </c>
      <c r="Q3934" s="2" t="s">
        <v>22080</v>
      </c>
      <c r="R3934" s="2" t="s">
        <v>40</v>
      </c>
      <c r="S3934" s="2" t="s">
        <v>22081</v>
      </c>
      <c r="T3934" s="2" t="s">
        <v>22082</v>
      </c>
      <c r="U3934" s="2" t="s">
        <v>14121</v>
      </c>
      <c r="V3934" s="2" t="s">
        <v>22083</v>
      </c>
      <c r="W3934" s="1"/>
      <c r="X3934" s="2" t="s">
        <v>270</v>
      </c>
      <c r="Y3934" s="2" t="s">
        <v>21087</v>
      </c>
      <c r="AA3934" t="str">
        <f t="shared" si="366"/>
        <v>2025-02</v>
      </c>
      <c r="AB3934" t="str">
        <f t="shared" si="367"/>
        <v>H1_2025</v>
      </c>
      <c r="AC3934">
        <f t="shared" si="368"/>
        <v>456071.5</v>
      </c>
      <c r="AD3934">
        <f t="shared" si="369"/>
        <v>50</v>
      </c>
      <c r="AE3934">
        <f t="shared" si="370"/>
        <v>128771.5</v>
      </c>
      <c r="AF3934" t="str">
        <f t="shared" si="371"/>
        <v>Paid</v>
      </c>
    </row>
    <row r="3935" spans="1:32" ht="17.25" thickBot="1" x14ac:dyDescent="0.35">
      <c r="A3935" s="2" t="s">
        <v>22084</v>
      </c>
      <c r="B3935" s="2" t="s">
        <v>27</v>
      </c>
      <c r="C3935" s="2" t="s">
        <v>28</v>
      </c>
      <c r="D3935" s="2" t="s">
        <v>97</v>
      </c>
      <c r="E3935" s="2" t="s">
        <v>21084</v>
      </c>
      <c r="F3935" s="2" t="s">
        <v>31</v>
      </c>
      <c r="G3935" s="2" t="s">
        <v>32</v>
      </c>
      <c r="H3935" s="1"/>
      <c r="I3935" s="2" t="s">
        <v>33</v>
      </c>
      <c r="J3935" s="2" t="s">
        <v>34</v>
      </c>
      <c r="K3935" s="2" t="s">
        <v>15230</v>
      </c>
      <c r="L3935" s="2" t="s">
        <v>15231</v>
      </c>
      <c r="M3935" s="2" t="s">
        <v>15232</v>
      </c>
      <c r="N3935" s="2" t="s">
        <v>38</v>
      </c>
      <c r="O3935" s="2" t="s">
        <v>214</v>
      </c>
      <c r="P3935" s="2" t="s">
        <v>17504</v>
      </c>
      <c r="Q3935" s="2" t="s">
        <v>22085</v>
      </c>
      <c r="R3935" s="2" t="s">
        <v>40</v>
      </c>
      <c r="S3935" s="2" t="s">
        <v>22086</v>
      </c>
      <c r="T3935" s="2" t="s">
        <v>15786</v>
      </c>
      <c r="U3935" s="2" t="s">
        <v>22087</v>
      </c>
      <c r="V3935" s="2" t="s">
        <v>22088</v>
      </c>
      <c r="W3935" s="1"/>
      <c r="X3935" s="2" t="s">
        <v>2216</v>
      </c>
      <c r="Y3935" s="2" t="s">
        <v>21087</v>
      </c>
      <c r="AA3935" t="str">
        <f t="shared" si="366"/>
        <v>2025-02</v>
      </c>
      <c r="AB3935" t="str">
        <f t="shared" si="367"/>
        <v>H1_2025</v>
      </c>
      <c r="AC3935">
        <f t="shared" si="368"/>
        <v>545009</v>
      </c>
      <c r="AD3935">
        <f t="shared" si="369"/>
        <v>50</v>
      </c>
      <c r="AE3935">
        <f t="shared" si="370"/>
        <v>154059</v>
      </c>
      <c r="AF3935" t="str">
        <f t="shared" si="371"/>
        <v>Paid</v>
      </c>
    </row>
    <row r="3936" spans="1:32" ht="17.25" thickBot="1" x14ac:dyDescent="0.35">
      <c r="A3936" s="2" t="s">
        <v>22089</v>
      </c>
      <c r="B3936" s="2" t="s">
        <v>27</v>
      </c>
      <c r="C3936" s="2" t="s">
        <v>28</v>
      </c>
      <c r="D3936" s="2" t="s">
        <v>97</v>
      </c>
      <c r="E3936" s="2" t="s">
        <v>21084</v>
      </c>
      <c r="F3936" s="2" t="s">
        <v>31</v>
      </c>
      <c r="G3936" s="2" t="s">
        <v>32</v>
      </c>
      <c r="H3936" s="1"/>
      <c r="I3936" s="2" t="s">
        <v>33</v>
      </c>
      <c r="J3936" s="2" t="s">
        <v>34</v>
      </c>
      <c r="K3936" s="2" t="s">
        <v>22090</v>
      </c>
      <c r="L3936" s="2" t="s">
        <v>22091</v>
      </c>
      <c r="M3936" s="2" t="s">
        <v>15232</v>
      </c>
      <c r="N3936" s="2" t="s">
        <v>38</v>
      </c>
      <c r="O3936" s="2" t="s">
        <v>203</v>
      </c>
      <c r="P3936" s="2" t="s">
        <v>4330</v>
      </c>
      <c r="Q3936" s="2" t="s">
        <v>22092</v>
      </c>
      <c r="R3936" s="2" t="s">
        <v>40</v>
      </c>
      <c r="S3936" s="2" t="s">
        <v>22093</v>
      </c>
      <c r="T3936" s="2" t="s">
        <v>20747</v>
      </c>
      <c r="U3936" s="2" t="s">
        <v>22094</v>
      </c>
      <c r="V3936" s="2" t="s">
        <v>22095</v>
      </c>
      <c r="W3936" s="1"/>
      <c r="X3936" s="2" t="s">
        <v>2216</v>
      </c>
      <c r="Y3936" s="2" t="s">
        <v>21087</v>
      </c>
      <c r="AA3936" t="str">
        <f t="shared" si="366"/>
        <v>2025-02</v>
      </c>
      <c r="AB3936" t="str">
        <f t="shared" si="367"/>
        <v>H1_2025</v>
      </c>
      <c r="AC3936">
        <f t="shared" si="368"/>
        <v>266101</v>
      </c>
      <c r="AD3936">
        <f t="shared" si="369"/>
        <v>25</v>
      </c>
      <c r="AE3936">
        <f t="shared" si="370"/>
        <v>75176</v>
      </c>
      <c r="AF3936" t="str">
        <f t="shared" si="371"/>
        <v>Paid</v>
      </c>
    </row>
    <row r="3937" spans="1:32" ht="17.25" thickBot="1" x14ac:dyDescent="0.35">
      <c r="A3937" s="2" t="s">
        <v>22096</v>
      </c>
      <c r="B3937" s="2" t="s">
        <v>27</v>
      </c>
      <c r="C3937" s="2" t="s">
        <v>28</v>
      </c>
      <c r="D3937" s="2" t="s">
        <v>97</v>
      </c>
      <c r="E3937" s="2" t="s">
        <v>21084</v>
      </c>
      <c r="F3937" s="2" t="s">
        <v>31</v>
      </c>
      <c r="G3937" s="2" t="s">
        <v>32</v>
      </c>
      <c r="H3937" s="1"/>
      <c r="I3937" s="2" t="s">
        <v>33</v>
      </c>
      <c r="J3937" s="2" t="s">
        <v>34</v>
      </c>
      <c r="K3937" s="2" t="s">
        <v>22097</v>
      </c>
      <c r="L3937" s="2" t="s">
        <v>22098</v>
      </c>
      <c r="M3937" s="2" t="s">
        <v>15232</v>
      </c>
      <c r="N3937" s="2" t="s">
        <v>38</v>
      </c>
      <c r="O3937" s="2" t="s">
        <v>79</v>
      </c>
      <c r="P3937" s="2" t="s">
        <v>4330</v>
      </c>
      <c r="Q3937" s="2" t="s">
        <v>22099</v>
      </c>
      <c r="R3937" s="2" t="s">
        <v>40</v>
      </c>
      <c r="S3937" s="2" t="s">
        <v>22100</v>
      </c>
      <c r="T3937" s="2" t="s">
        <v>20747</v>
      </c>
      <c r="U3937" s="2" t="s">
        <v>22101</v>
      </c>
      <c r="V3937" s="2" t="s">
        <v>22102</v>
      </c>
      <c r="W3937" s="1"/>
      <c r="X3937" s="2" t="s">
        <v>2216</v>
      </c>
      <c r="Y3937" s="2" t="s">
        <v>21087</v>
      </c>
      <c r="AA3937" t="str">
        <f t="shared" si="366"/>
        <v>2025-02</v>
      </c>
      <c r="AB3937" t="str">
        <f t="shared" si="367"/>
        <v>H1_2025</v>
      </c>
      <c r="AC3937">
        <f t="shared" si="368"/>
        <v>106440.4</v>
      </c>
      <c r="AD3937">
        <f t="shared" si="369"/>
        <v>10</v>
      </c>
      <c r="AE3937">
        <f t="shared" si="370"/>
        <v>30070.400000000001</v>
      </c>
      <c r="AF3937" t="str">
        <f t="shared" si="371"/>
        <v>Paid</v>
      </c>
    </row>
    <row r="3938" spans="1:32" ht="17.25" thickBot="1" x14ac:dyDescent="0.35">
      <c r="A3938" s="2" t="s">
        <v>22103</v>
      </c>
      <c r="B3938" s="2" t="s">
        <v>27</v>
      </c>
      <c r="C3938" s="2" t="s">
        <v>28</v>
      </c>
      <c r="D3938" s="2" t="s">
        <v>97</v>
      </c>
      <c r="E3938" s="2" t="s">
        <v>21084</v>
      </c>
      <c r="F3938" s="2" t="s">
        <v>31</v>
      </c>
      <c r="G3938" s="2" t="s">
        <v>32</v>
      </c>
      <c r="H3938" s="1"/>
      <c r="I3938" s="2" t="s">
        <v>33</v>
      </c>
      <c r="J3938" s="2" t="s">
        <v>34</v>
      </c>
      <c r="K3938" s="2" t="s">
        <v>22097</v>
      </c>
      <c r="L3938" s="2" t="s">
        <v>22098</v>
      </c>
      <c r="M3938" s="2" t="s">
        <v>15232</v>
      </c>
      <c r="N3938" s="2" t="s">
        <v>38</v>
      </c>
      <c r="O3938" s="2" t="s">
        <v>49</v>
      </c>
      <c r="P3938" s="2" t="s">
        <v>4330</v>
      </c>
      <c r="Q3938" s="2" t="s">
        <v>22104</v>
      </c>
      <c r="R3938" s="2" t="s">
        <v>40</v>
      </c>
      <c r="S3938" s="2" t="s">
        <v>22105</v>
      </c>
      <c r="T3938" s="2" t="s">
        <v>20747</v>
      </c>
      <c r="U3938" s="2" t="s">
        <v>22106</v>
      </c>
      <c r="V3938" s="2" t="s">
        <v>22107</v>
      </c>
      <c r="W3938" s="1"/>
      <c r="X3938" s="2" t="s">
        <v>2216</v>
      </c>
      <c r="Y3938" s="2" t="s">
        <v>21087</v>
      </c>
      <c r="AA3938" t="str">
        <f t="shared" si="366"/>
        <v>2025-02</v>
      </c>
      <c r="AB3938" t="str">
        <f t="shared" si="367"/>
        <v>H1_2025</v>
      </c>
      <c r="AC3938">
        <f t="shared" si="368"/>
        <v>117084.44</v>
      </c>
      <c r="AD3938">
        <f t="shared" si="369"/>
        <v>11</v>
      </c>
      <c r="AE3938">
        <f t="shared" si="370"/>
        <v>33077.440000000002</v>
      </c>
      <c r="AF3938" t="str">
        <f t="shared" si="371"/>
        <v>Paid</v>
      </c>
    </row>
    <row r="3939" spans="1:32" ht="27.75" thickBot="1" x14ac:dyDescent="0.35">
      <c r="A3939" s="2" t="s">
        <v>22108</v>
      </c>
      <c r="B3939" s="2" t="s">
        <v>27</v>
      </c>
      <c r="C3939" s="2" t="s">
        <v>28</v>
      </c>
      <c r="D3939" s="2" t="s">
        <v>97</v>
      </c>
      <c r="E3939" s="2" t="s">
        <v>21084</v>
      </c>
      <c r="F3939" s="2" t="s">
        <v>31</v>
      </c>
      <c r="G3939" s="2" t="s">
        <v>32</v>
      </c>
      <c r="H3939" s="1"/>
      <c r="I3939" s="2" t="s">
        <v>33</v>
      </c>
      <c r="J3939" s="2" t="s">
        <v>34</v>
      </c>
      <c r="K3939" s="2" t="s">
        <v>3065</v>
      </c>
      <c r="L3939" s="2" t="s">
        <v>3066</v>
      </c>
      <c r="M3939" s="2" t="s">
        <v>3067</v>
      </c>
      <c r="N3939" s="2" t="s">
        <v>38</v>
      </c>
      <c r="O3939" s="2" t="s">
        <v>149</v>
      </c>
      <c r="P3939" s="2" t="s">
        <v>756</v>
      </c>
      <c r="Q3939" s="2" t="s">
        <v>2315</v>
      </c>
      <c r="R3939" s="2" t="s">
        <v>40</v>
      </c>
      <c r="S3939" s="2" t="s">
        <v>22109</v>
      </c>
      <c r="T3939" s="2" t="s">
        <v>2909</v>
      </c>
      <c r="U3939" s="2" t="s">
        <v>22110</v>
      </c>
      <c r="V3939" s="2" t="s">
        <v>22111</v>
      </c>
      <c r="W3939" s="1"/>
      <c r="X3939" s="2" t="s">
        <v>6595</v>
      </c>
      <c r="Y3939" s="2" t="s">
        <v>21087</v>
      </c>
      <c r="AA3939" t="str">
        <f t="shared" si="366"/>
        <v>2025-02</v>
      </c>
      <c r="AB3939" t="str">
        <f t="shared" si="367"/>
        <v>H1_2025</v>
      </c>
      <c r="AC3939">
        <f t="shared" si="368"/>
        <v>2608359</v>
      </c>
      <c r="AD3939">
        <f t="shared" si="369"/>
        <v>300</v>
      </c>
      <c r="AE3939">
        <f t="shared" si="370"/>
        <v>748359</v>
      </c>
      <c r="AF3939" t="str">
        <f t="shared" si="371"/>
        <v>Paid</v>
      </c>
    </row>
    <row r="3940" spans="1:32" ht="27.75" thickBot="1" x14ac:dyDescent="0.35">
      <c r="A3940" s="2" t="s">
        <v>22112</v>
      </c>
      <c r="B3940" s="2" t="s">
        <v>27</v>
      </c>
      <c r="C3940" s="2" t="s">
        <v>28</v>
      </c>
      <c r="D3940" s="2" t="s">
        <v>97</v>
      </c>
      <c r="E3940" s="2" t="s">
        <v>21084</v>
      </c>
      <c r="F3940" s="2" t="s">
        <v>31</v>
      </c>
      <c r="G3940" s="2" t="s">
        <v>32</v>
      </c>
      <c r="H3940" s="1"/>
      <c r="I3940" s="2" t="s">
        <v>33</v>
      </c>
      <c r="J3940" s="2" t="s">
        <v>34</v>
      </c>
      <c r="K3940" s="2" t="s">
        <v>3082</v>
      </c>
      <c r="L3940" s="2" t="s">
        <v>3083</v>
      </c>
      <c r="M3940" s="2" t="s">
        <v>3067</v>
      </c>
      <c r="N3940" s="2" t="s">
        <v>38</v>
      </c>
      <c r="O3940" s="2" t="s">
        <v>214</v>
      </c>
      <c r="P3940" s="2" t="s">
        <v>5084</v>
      </c>
      <c r="Q3940" s="2" t="s">
        <v>22113</v>
      </c>
      <c r="R3940" s="2" t="s">
        <v>40</v>
      </c>
      <c r="S3940" s="2" t="s">
        <v>22114</v>
      </c>
      <c r="T3940" s="2" t="s">
        <v>669</v>
      </c>
      <c r="U3940" s="2" t="s">
        <v>5544</v>
      </c>
      <c r="V3940" s="2" t="s">
        <v>22115</v>
      </c>
      <c r="W3940" s="1"/>
      <c r="X3940" s="2" t="s">
        <v>7918</v>
      </c>
      <c r="Y3940" s="2" t="s">
        <v>21087</v>
      </c>
      <c r="AA3940" t="str">
        <f t="shared" si="366"/>
        <v>2025-02</v>
      </c>
      <c r="AB3940" t="str">
        <f t="shared" si="367"/>
        <v>H1_2025</v>
      </c>
      <c r="AC3940">
        <f t="shared" si="368"/>
        <v>425477</v>
      </c>
      <c r="AD3940">
        <f t="shared" si="369"/>
        <v>50</v>
      </c>
      <c r="AE3940">
        <f t="shared" si="370"/>
        <v>125477</v>
      </c>
      <c r="AF3940" t="str">
        <f t="shared" si="371"/>
        <v>Paid</v>
      </c>
    </row>
    <row r="3941" spans="1:32" ht="17.25" thickBot="1" x14ac:dyDescent="0.35">
      <c r="A3941" s="2" t="s">
        <v>22116</v>
      </c>
      <c r="B3941" s="2" t="s">
        <v>27</v>
      </c>
      <c r="C3941" s="2" t="s">
        <v>28</v>
      </c>
      <c r="D3941" s="2" t="s">
        <v>97</v>
      </c>
      <c r="E3941" s="2" t="s">
        <v>21084</v>
      </c>
      <c r="F3941" s="2" t="s">
        <v>31</v>
      </c>
      <c r="G3941" s="2" t="s">
        <v>32</v>
      </c>
      <c r="H3941" s="1"/>
      <c r="I3941" s="2" t="s">
        <v>33</v>
      </c>
      <c r="J3941" s="2" t="s">
        <v>34</v>
      </c>
      <c r="K3941" s="2" t="s">
        <v>22117</v>
      </c>
      <c r="L3941" s="2" t="s">
        <v>22118</v>
      </c>
      <c r="M3941" s="2" t="s">
        <v>22119</v>
      </c>
      <c r="N3941" s="2" t="s">
        <v>38</v>
      </c>
      <c r="O3941" s="2" t="s">
        <v>51</v>
      </c>
      <c r="P3941" s="2" t="s">
        <v>6765</v>
      </c>
      <c r="Q3941" s="2" t="s">
        <v>20912</v>
      </c>
      <c r="R3941" s="2" t="s">
        <v>40</v>
      </c>
      <c r="S3941" s="2" t="s">
        <v>21297</v>
      </c>
      <c r="T3941" s="2" t="s">
        <v>22120</v>
      </c>
      <c r="U3941" s="2" t="s">
        <v>22121</v>
      </c>
      <c r="V3941" s="2" t="s">
        <v>22122</v>
      </c>
      <c r="W3941" s="1"/>
      <c r="X3941" s="2" t="s">
        <v>796</v>
      </c>
      <c r="Y3941" s="2" t="s">
        <v>21087</v>
      </c>
      <c r="AA3941" t="str">
        <f t="shared" si="366"/>
        <v>2025-02</v>
      </c>
      <c r="AB3941" t="str">
        <f t="shared" si="367"/>
        <v>H1_2025</v>
      </c>
      <c r="AC3941">
        <f t="shared" si="368"/>
        <v>28090.02</v>
      </c>
      <c r="AD3941">
        <f t="shared" si="369"/>
        <v>3</v>
      </c>
      <c r="AE3941">
        <f t="shared" si="370"/>
        <v>5926.02</v>
      </c>
      <c r="AF3941" t="str">
        <f t="shared" si="371"/>
        <v>Paid</v>
      </c>
    </row>
    <row r="3942" spans="1:32" ht="17.25" thickBot="1" x14ac:dyDescent="0.35">
      <c r="A3942" s="2" t="s">
        <v>22123</v>
      </c>
      <c r="B3942" s="2" t="s">
        <v>27</v>
      </c>
      <c r="C3942" s="2" t="s">
        <v>28</v>
      </c>
      <c r="D3942" s="2" t="s">
        <v>97</v>
      </c>
      <c r="E3942" s="2" t="s">
        <v>21084</v>
      </c>
      <c r="F3942" s="2" t="s">
        <v>31</v>
      </c>
      <c r="G3942" s="2" t="s">
        <v>32</v>
      </c>
      <c r="H3942" s="1"/>
      <c r="I3942" s="2" t="s">
        <v>33</v>
      </c>
      <c r="J3942" s="2" t="s">
        <v>34</v>
      </c>
      <c r="K3942" s="2" t="s">
        <v>22124</v>
      </c>
      <c r="L3942" s="2" t="s">
        <v>22125</v>
      </c>
      <c r="M3942" s="2" t="s">
        <v>22119</v>
      </c>
      <c r="N3942" s="2" t="s">
        <v>38</v>
      </c>
      <c r="O3942" s="2" t="s">
        <v>51</v>
      </c>
      <c r="P3942" s="2" t="s">
        <v>6765</v>
      </c>
      <c r="Q3942" s="2" t="s">
        <v>20912</v>
      </c>
      <c r="R3942" s="2" t="s">
        <v>40</v>
      </c>
      <c r="S3942" s="2" t="s">
        <v>21297</v>
      </c>
      <c r="T3942" s="2" t="s">
        <v>22120</v>
      </c>
      <c r="U3942" s="2" t="s">
        <v>22121</v>
      </c>
      <c r="V3942" s="2" t="s">
        <v>22122</v>
      </c>
      <c r="W3942" s="1"/>
      <c r="X3942" s="2" t="s">
        <v>796</v>
      </c>
      <c r="Y3942" s="2" t="s">
        <v>21087</v>
      </c>
      <c r="AA3942" t="str">
        <f t="shared" si="366"/>
        <v>2025-02</v>
      </c>
      <c r="AB3942" t="str">
        <f t="shared" si="367"/>
        <v>H1_2025</v>
      </c>
      <c r="AC3942">
        <f t="shared" si="368"/>
        <v>28090.02</v>
      </c>
      <c r="AD3942">
        <f t="shared" si="369"/>
        <v>3</v>
      </c>
      <c r="AE3942">
        <f t="shared" si="370"/>
        <v>5926.02</v>
      </c>
      <c r="AF3942" t="str">
        <f t="shared" si="371"/>
        <v>Paid</v>
      </c>
    </row>
    <row r="3943" spans="1:32" ht="17.25" thickBot="1" x14ac:dyDescent="0.35">
      <c r="A3943" s="2" t="s">
        <v>22126</v>
      </c>
      <c r="B3943" s="2" t="s">
        <v>27</v>
      </c>
      <c r="C3943" s="2" t="s">
        <v>28</v>
      </c>
      <c r="D3943" s="2" t="s">
        <v>97</v>
      </c>
      <c r="E3943" s="2" t="s">
        <v>21084</v>
      </c>
      <c r="F3943" s="2" t="s">
        <v>31</v>
      </c>
      <c r="G3943" s="2" t="s">
        <v>32</v>
      </c>
      <c r="H3943" s="1"/>
      <c r="I3943" s="2" t="s">
        <v>33</v>
      </c>
      <c r="J3943" s="2" t="s">
        <v>34</v>
      </c>
      <c r="K3943" s="2" t="s">
        <v>22127</v>
      </c>
      <c r="L3943" s="2" t="s">
        <v>22128</v>
      </c>
      <c r="M3943" s="2" t="s">
        <v>22119</v>
      </c>
      <c r="N3943" s="2" t="s">
        <v>38</v>
      </c>
      <c r="O3943" s="2" t="s">
        <v>57</v>
      </c>
      <c r="P3943" s="2" t="s">
        <v>3419</v>
      </c>
      <c r="Q3943" s="2" t="s">
        <v>22129</v>
      </c>
      <c r="R3943" s="2" t="s">
        <v>40</v>
      </c>
      <c r="S3943" s="2" t="s">
        <v>22130</v>
      </c>
      <c r="T3943" s="2" t="s">
        <v>22131</v>
      </c>
      <c r="U3943" s="2" t="s">
        <v>10203</v>
      </c>
      <c r="V3943" s="2" t="s">
        <v>22132</v>
      </c>
      <c r="W3943" s="1"/>
      <c r="X3943" s="2" t="s">
        <v>6709</v>
      </c>
      <c r="Y3943" s="2" t="s">
        <v>21087</v>
      </c>
      <c r="AA3943" t="str">
        <f t="shared" si="366"/>
        <v>2025-02</v>
      </c>
      <c r="AB3943" t="str">
        <f t="shared" si="367"/>
        <v>H1_2025</v>
      </c>
      <c r="AC3943">
        <f t="shared" si="368"/>
        <v>31234.85</v>
      </c>
      <c r="AD3943">
        <f t="shared" si="369"/>
        <v>5</v>
      </c>
      <c r="AE3943">
        <f t="shared" si="370"/>
        <v>6609.85</v>
      </c>
      <c r="AF3943" t="str">
        <f t="shared" si="371"/>
        <v>Paid</v>
      </c>
    </row>
    <row r="3944" spans="1:32" ht="17.25" thickBot="1" x14ac:dyDescent="0.35">
      <c r="A3944" s="2" t="s">
        <v>22133</v>
      </c>
      <c r="B3944" s="2" t="s">
        <v>27</v>
      </c>
      <c r="C3944" s="2" t="s">
        <v>28</v>
      </c>
      <c r="D3944" s="2" t="s">
        <v>97</v>
      </c>
      <c r="E3944" s="2" t="s">
        <v>21084</v>
      </c>
      <c r="F3944" s="2" t="s">
        <v>31</v>
      </c>
      <c r="G3944" s="2" t="s">
        <v>32</v>
      </c>
      <c r="H3944" s="1"/>
      <c r="I3944" s="2" t="s">
        <v>33</v>
      </c>
      <c r="J3944" s="2" t="s">
        <v>34</v>
      </c>
      <c r="K3944" s="2" t="s">
        <v>22134</v>
      </c>
      <c r="L3944" s="2" t="s">
        <v>22135</v>
      </c>
      <c r="M3944" s="2" t="s">
        <v>22119</v>
      </c>
      <c r="N3944" s="2" t="s">
        <v>38</v>
      </c>
      <c r="O3944" s="2" t="s">
        <v>57</v>
      </c>
      <c r="P3944" s="2" t="s">
        <v>3419</v>
      </c>
      <c r="Q3944" s="2" t="s">
        <v>22129</v>
      </c>
      <c r="R3944" s="2" t="s">
        <v>40</v>
      </c>
      <c r="S3944" s="2" t="s">
        <v>22130</v>
      </c>
      <c r="T3944" s="2" t="s">
        <v>22131</v>
      </c>
      <c r="U3944" s="2" t="s">
        <v>10203</v>
      </c>
      <c r="V3944" s="2" t="s">
        <v>22132</v>
      </c>
      <c r="W3944" s="1"/>
      <c r="X3944" s="2" t="s">
        <v>6709</v>
      </c>
      <c r="Y3944" s="2" t="s">
        <v>21087</v>
      </c>
      <c r="AA3944" t="str">
        <f t="shared" si="366"/>
        <v>2025-02</v>
      </c>
      <c r="AB3944" t="str">
        <f t="shared" si="367"/>
        <v>H1_2025</v>
      </c>
      <c r="AC3944">
        <f t="shared" si="368"/>
        <v>31234.85</v>
      </c>
      <c r="AD3944">
        <f t="shared" si="369"/>
        <v>5</v>
      </c>
      <c r="AE3944">
        <f t="shared" si="370"/>
        <v>6609.85</v>
      </c>
      <c r="AF3944" t="str">
        <f t="shared" si="371"/>
        <v>Paid</v>
      </c>
    </row>
    <row r="3945" spans="1:32" ht="17.25" thickBot="1" x14ac:dyDescent="0.35">
      <c r="A3945" s="2" t="s">
        <v>22136</v>
      </c>
      <c r="B3945" s="2" t="s">
        <v>27</v>
      </c>
      <c r="C3945" s="2" t="s">
        <v>28</v>
      </c>
      <c r="D3945" s="2" t="s">
        <v>97</v>
      </c>
      <c r="E3945" s="2" t="s">
        <v>21084</v>
      </c>
      <c r="F3945" s="2" t="s">
        <v>31</v>
      </c>
      <c r="G3945" s="2" t="s">
        <v>32</v>
      </c>
      <c r="H3945" s="1"/>
      <c r="I3945" s="2" t="s">
        <v>33</v>
      </c>
      <c r="J3945" s="2" t="s">
        <v>34</v>
      </c>
      <c r="K3945" s="2" t="s">
        <v>22137</v>
      </c>
      <c r="L3945" s="2" t="s">
        <v>22138</v>
      </c>
      <c r="M3945" s="2" t="s">
        <v>22119</v>
      </c>
      <c r="N3945" s="2" t="s">
        <v>38</v>
      </c>
      <c r="O3945" s="2" t="s">
        <v>51</v>
      </c>
      <c r="P3945" s="2" t="s">
        <v>6765</v>
      </c>
      <c r="Q3945" s="2" t="s">
        <v>20912</v>
      </c>
      <c r="R3945" s="2" t="s">
        <v>40</v>
      </c>
      <c r="S3945" s="2" t="s">
        <v>21297</v>
      </c>
      <c r="T3945" s="2" t="s">
        <v>22120</v>
      </c>
      <c r="U3945" s="2" t="s">
        <v>22121</v>
      </c>
      <c r="V3945" s="2" t="s">
        <v>22122</v>
      </c>
      <c r="W3945" s="1"/>
      <c r="X3945" s="2" t="s">
        <v>796</v>
      </c>
      <c r="Y3945" s="2" t="s">
        <v>21087</v>
      </c>
      <c r="AA3945" t="str">
        <f t="shared" si="366"/>
        <v>2025-02</v>
      </c>
      <c r="AB3945" t="str">
        <f t="shared" si="367"/>
        <v>H1_2025</v>
      </c>
      <c r="AC3945">
        <f t="shared" si="368"/>
        <v>28090.02</v>
      </c>
      <c r="AD3945">
        <f t="shared" si="369"/>
        <v>3</v>
      </c>
      <c r="AE3945">
        <f t="shared" si="370"/>
        <v>5926.02</v>
      </c>
      <c r="AF3945" t="str">
        <f t="shared" si="371"/>
        <v>Paid</v>
      </c>
    </row>
    <row r="3946" spans="1:32" ht="17.25" thickBot="1" x14ac:dyDescent="0.35">
      <c r="A3946" s="2" t="s">
        <v>22139</v>
      </c>
      <c r="B3946" s="2" t="s">
        <v>27</v>
      </c>
      <c r="C3946" s="2" t="s">
        <v>28</v>
      </c>
      <c r="D3946" s="2" t="s">
        <v>97</v>
      </c>
      <c r="E3946" s="2" t="s">
        <v>21084</v>
      </c>
      <c r="F3946" s="2" t="s">
        <v>31</v>
      </c>
      <c r="G3946" s="2" t="s">
        <v>32</v>
      </c>
      <c r="H3946" s="1"/>
      <c r="I3946" s="2" t="s">
        <v>33</v>
      </c>
      <c r="J3946" s="2" t="s">
        <v>34</v>
      </c>
      <c r="K3946" s="2" t="s">
        <v>22140</v>
      </c>
      <c r="L3946" s="2" t="s">
        <v>22141</v>
      </c>
      <c r="M3946" s="2" t="s">
        <v>22119</v>
      </c>
      <c r="N3946" s="2" t="s">
        <v>38</v>
      </c>
      <c r="O3946" s="2" t="s">
        <v>57</v>
      </c>
      <c r="P3946" s="2" t="s">
        <v>3424</v>
      </c>
      <c r="Q3946" s="2" t="s">
        <v>22142</v>
      </c>
      <c r="R3946" s="2" t="s">
        <v>40</v>
      </c>
      <c r="S3946" s="2" t="s">
        <v>22143</v>
      </c>
      <c r="T3946" s="2" t="s">
        <v>22120</v>
      </c>
      <c r="U3946" s="2" t="s">
        <v>22144</v>
      </c>
      <c r="V3946" s="2" t="s">
        <v>22145</v>
      </c>
      <c r="W3946" s="1"/>
      <c r="X3946" s="2" t="s">
        <v>4421</v>
      </c>
      <c r="Y3946" s="2" t="s">
        <v>21087</v>
      </c>
      <c r="AA3946" t="str">
        <f t="shared" si="366"/>
        <v>2025-02</v>
      </c>
      <c r="AB3946" t="str">
        <f t="shared" si="367"/>
        <v>H1_2025</v>
      </c>
      <c r="AC3946">
        <f t="shared" si="368"/>
        <v>47172.45</v>
      </c>
      <c r="AD3946">
        <f t="shared" si="369"/>
        <v>5</v>
      </c>
      <c r="AE3946">
        <f t="shared" si="370"/>
        <v>10232.450000000001</v>
      </c>
      <c r="AF3946" t="str">
        <f t="shared" si="371"/>
        <v>Paid</v>
      </c>
    </row>
    <row r="3947" spans="1:32" ht="17.25" thickBot="1" x14ac:dyDescent="0.35">
      <c r="A3947" s="2" t="s">
        <v>22146</v>
      </c>
      <c r="B3947" s="2" t="s">
        <v>27</v>
      </c>
      <c r="C3947" s="2" t="s">
        <v>28</v>
      </c>
      <c r="D3947" s="2" t="s">
        <v>97</v>
      </c>
      <c r="E3947" s="2" t="s">
        <v>21084</v>
      </c>
      <c r="F3947" s="2" t="s">
        <v>31</v>
      </c>
      <c r="G3947" s="2" t="s">
        <v>32</v>
      </c>
      <c r="H3947" s="1"/>
      <c r="I3947" s="2" t="s">
        <v>33</v>
      </c>
      <c r="J3947" s="2" t="s">
        <v>34</v>
      </c>
      <c r="K3947" s="2" t="s">
        <v>22147</v>
      </c>
      <c r="L3947" s="2" t="s">
        <v>22148</v>
      </c>
      <c r="M3947" s="2" t="s">
        <v>22119</v>
      </c>
      <c r="N3947" s="2" t="s">
        <v>38</v>
      </c>
      <c r="O3947" s="2" t="s">
        <v>57</v>
      </c>
      <c r="P3947" s="2" t="s">
        <v>3419</v>
      </c>
      <c r="Q3947" s="2" t="s">
        <v>22129</v>
      </c>
      <c r="R3947" s="2" t="s">
        <v>40</v>
      </c>
      <c r="S3947" s="2" t="s">
        <v>22130</v>
      </c>
      <c r="T3947" s="2" t="s">
        <v>22131</v>
      </c>
      <c r="U3947" s="2" t="s">
        <v>10203</v>
      </c>
      <c r="V3947" s="2" t="s">
        <v>22132</v>
      </c>
      <c r="W3947" s="1"/>
      <c r="X3947" s="2" t="s">
        <v>6709</v>
      </c>
      <c r="Y3947" s="2" t="s">
        <v>21087</v>
      </c>
      <c r="AA3947" t="str">
        <f t="shared" si="366"/>
        <v>2025-02</v>
      </c>
      <c r="AB3947" t="str">
        <f t="shared" si="367"/>
        <v>H1_2025</v>
      </c>
      <c r="AC3947">
        <f t="shared" si="368"/>
        <v>31234.85</v>
      </c>
      <c r="AD3947">
        <f t="shared" si="369"/>
        <v>5</v>
      </c>
      <c r="AE3947">
        <f t="shared" si="370"/>
        <v>6609.85</v>
      </c>
      <c r="AF3947" t="str">
        <f t="shared" si="371"/>
        <v>Paid</v>
      </c>
    </row>
    <row r="3948" spans="1:32" ht="17.25" thickBot="1" x14ac:dyDescent="0.35">
      <c r="A3948" s="2" t="s">
        <v>22149</v>
      </c>
      <c r="B3948" s="2" t="s">
        <v>27</v>
      </c>
      <c r="C3948" s="2" t="s">
        <v>28</v>
      </c>
      <c r="D3948" s="2" t="s">
        <v>97</v>
      </c>
      <c r="E3948" s="2" t="s">
        <v>21084</v>
      </c>
      <c r="F3948" s="2" t="s">
        <v>31</v>
      </c>
      <c r="G3948" s="2" t="s">
        <v>32</v>
      </c>
      <c r="H3948" s="1"/>
      <c r="I3948" s="2" t="s">
        <v>33</v>
      </c>
      <c r="J3948" s="2" t="s">
        <v>34</v>
      </c>
      <c r="K3948" s="2" t="s">
        <v>22150</v>
      </c>
      <c r="L3948" s="2" t="s">
        <v>22151</v>
      </c>
      <c r="M3948" s="2" t="s">
        <v>22119</v>
      </c>
      <c r="N3948" s="2" t="s">
        <v>38</v>
      </c>
      <c r="O3948" s="2" t="s">
        <v>51</v>
      </c>
      <c r="P3948" s="2" t="s">
        <v>3419</v>
      </c>
      <c r="Q3948" s="2" t="s">
        <v>22152</v>
      </c>
      <c r="R3948" s="2" t="s">
        <v>40</v>
      </c>
      <c r="S3948" s="2" t="s">
        <v>22153</v>
      </c>
      <c r="T3948" s="2" t="s">
        <v>22131</v>
      </c>
      <c r="U3948" s="2" t="s">
        <v>22154</v>
      </c>
      <c r="V3948" s="2" t="s">
        <v>22155</v>
      </c>
      <c r="W3948" s="1"/>
      <c r="X3948" s="2" t="s">
        <v>6709</v>
      </c>
      <c r="Y3948" s="2" t="s">
        <v>21087</v>
      </c>
      <c r="AA3948" t="str">
        <f t="shared" si="366"/>
        <v>2025-02</v>
      </c>
      <c r="AB3948" t="str">
        <f t="shared" si="367"/>
        <v>H1_2025</v>
      </c>
      <c r="AC3948">
        <f t="shared" si="368"/>
        <v>18740.91</v>
      </c>
      <c r="AD3948">
        <f t="shared" si="369"/>
        <v>3</v>
      </c>
      <c r="AE3948">
        <f t="shared" si="370"/>
        <v>3965.91</v>
      </c>
      <c r="AF3948" t="str">
        <f t="shared" si="371"/>
        <v>Paid</v>
      </c>
    </row>
    <row r="3949" spans="1:32" ht="17.25" thickBot="1" x14ac:dyDescent="0.35">
      <c r="A3949" s="2" t="s">
        <v>22156</v>
      </c>
      <c r="B3949" s="2" t="s">
        <v>27</v>
      </c>
      <c r="C3949" s="2" t="s">
        <v>28</v>
      </c>
      <c r="D3949" s="2" t="s">
        <v>97</v>
      </c>
      <c r="E3949" s="2" t="s">
        <v>21084</v>
      </c>
      <c r="F3949" s="2" t="s">
        <v>31</v>
      </c>
      <c r="G3949" s="2" t="s">
        <v>32</v>
      </c>
      <c r="H3949" s="1"/>
      <c r="I3949" s="2" t="s">
        <v>33</v>
      </c>
      <c r="J3949" s="2" t="s">
        <v>34</v>
      </c>
      <c r="K3949" s="2" t="s">
        <v>22157</v>
      </c>
      <c r="L3949" s="2" t="s">
        <v>22158</v>
      </c>
      <c r="M3949" s="2" t="s">
        <v>22119</v>
      </c>
      <c r="N3949" s="2" t="s">
        <v>38</v>
      </c>
      <c r="O3949" s="2" t="s">
        <v>51</v>
      </c>
      <c r="P3949" s="2" t="s">
        <v>3419</v>
      </c>
      <c r="Q3949" s="2" t="s">
        <v>22152</v>
      </c>
      <c r="R3949" s="2" t="s">
        <v>40</v>
      </c>
      <c r="S3949" s="2" t="s">
        <v>22153</v>
      </c>
      <c r="T3949" s="2" t="s">
        <v>22131</v>
      </c>
      <c r="U3949" s="2" t="s">
        <v>22154</v>
      </c>
      <c r="V3949" s="2" t="s">
        <v>22155</v>
      </c>
      <c r="W3949" s="1"/>
      <c r="X3949" s="2" t="s">
        <v>6709</v>
      </c>
      <c r="Y3949" s="2" t="s">
        <v>21087</v>
      </c>
      <c r="AA3949" t="str">
        <f t="shared" si="366"/>
        <v>2025-02</v>
      </c>
      <c r="AB3949" t="str">
        <f t="shared" si="367"/>
        <v>H1_2025</v>
      </c>
      <c r="AC3949">
        <f t="shared" si="368"/>
        <v>18740.91</v>
      </c>
      <c r="AD3949">
        <f t="shared" si="369"/>
        <v>3</v>
      </c>
      <c r="AE3949">
        <f t="shared" si="370"/>
        <v>3965.91</v>
      </c>
      <c r="AF3949" t="str">
        <f t="shared" si="371"/>
        <v>Paid</v>
      </c>
    </row>
    <row r="3950" spans="1:32" ht="17.25" thickBot="1" x14ac:dyDescent="0.35">
      <c r="A3950" s="2" t="s">
        <v>22159</v>
      </c>
      <c r="B3950" s="2" t="s">
        <v>27</v>
      </c>
      <c r="C3950" s="2" t="s">
        <v>28</v>
      </c>
      <c r="D3950" s="2" t="s">
        <v>97</v>
      </c>
      <c r="E3950" s="2" t="s">
        <v>21084</v>
      </c>
      <c r="F3950" s="2" t="s">
        <v>31</v>
      </c>
      <c r="G3950" s="2" t="s">
        <v>32</v>
      </c>
      <c r="H3950" s="1"/>
      <c r="I3950" s="2" t="s">
        <v>33</v>
      </c>
      <c r="J3950" s="2" t="s">
        <v>34</v>
      </c>
      <c r="K3950" s="2" t="s">
        <v>20751</v>
      </c>
      <c r="L3950" s="2" t="s">
        <v>20752</v>
      </c>
      <c r="M3950" s="2" t="s">
        <v>48</v>
      </c>
      <c r="N3950" s="2" t="s">
        <v>38</v>
      </c>
      <c r="O3950" s="2" t="s">
        <v>214</v>
      </c>
      <c r="P3950" s="2" t="s">
        <v>723</v>
      </c>
      <c r="Q3950" s="2" t="s">
        <v>22160</v>
      </c>
      <c r="R3950" s="2" t="s">
        <v>40</v>
      </c>
      <c r="S3950" s="2" t="s">
        <v>22161</v>
      </c>
      <c r="T3950" s="2" t="s">
        <v>16710</v>
      </c>
      <c r="U3950" s="2" t="s">
        <v>22162</v>
      </c>
      <c r="V3950" s="2" t="s">
        <v>22163</v>
      </c>
      <c r="W3950" s="1"/>
      <c r="X3950" s="2" t="s">
        <v>300</v>
      </c>
      <c r="Y3950" s="2" t="s">
        <v>21087</v>
      </c>
      <c r="AA3950" t="str">
        <f t="shared" si="366"/>
        <v>2025-02</v>
      </c>
      <c r="AB3950" t="str">
        <f t="shared" si="367"/>
        <v>H1_2025</v>
      </c>
      <c r="AC3950">
        <f t="shared" si="368"/>
        <v>410535.5</v>
      </c>
      <c r="AD3950">
        <f t="shared" si="369"/>
        <v>50</v>
      </c>
      <c r="AE3950">
        <f t="shared" si="370"/>
        <v>124135.5</v>
      </c>
      <c r="AF3950" t="str">
        <f t="shared" si="371"/>
        <v>Paid</v>
      </c>
    </row>
    <row r="3951" spans="1:32" ht="17.25" thickBot="1" x14ac:dyDescent="0.35">
      <c r="A3951" s="2" t="s">
        <v>22164</v>
      </c>
      <c r="B3951" s="2" t="s">
        <v>27</v>
      </c>
      <c r="C3951" s="2" t="s">
        <v>28</v>
      </c>
      <c r="D3951" s="2" t="s">
        <v>97</v>
      </c>
      <c r="E3951" s="2" t="s">
        <v>21084</v>
      </c>
      <c r="F3951" s="2" t="s">
        <v>31</v>
      </c>
      <c r="G3951" s="2" t="s">
        <v>32</v>
      </c>
      <c r="H3951" s="1"/>
      <c r="I3951" s="2" t="s">
        <v>33</v>
      </c>
      <c r="J3951" s="2" t="s">
        <v>34</v>
      </c>
      <c r="K3951" s="2" t="s">
        <v>20756</v>
      </c>
      <c r="L3951" s="2" t="s">
        <v>20757</v>
      </c>
      <c r="M3951" s="2" t="s">
        <v>48</v>
      </c>
      <c r="N3951" s="2" t="s">
        <v>38</v>
      </c>
      <c r="O3951" s="2" t="s">
        <v>773</v>
      </c>
      <c r="P3951" s="2" t="s">
        <v>8987</v>
      </c>
      <c r="Q3951" s="2" t="s">
        <v>22165</v>
      </c>
      <c r="R3951" s="2" t="s">
        <v>40</v>
      </c>
      <c r="S3951" s="2" t="s">
        <v>22166</v>
      </c>
      <c r="T3951" s="2" t="s">
        <v>12578</v>
      </c>
      <c r="U3951" s="2" t="s">
        <v>15935</v>
      </c>
      <c r="V3951" s="2" t="s">
        <v>22167</v>
      </c>
      <c r="W3951" s="1"/>
      <c r="X3951" s="2" t="s">
        <v>300</v>
      </c>
      <c r="Y3951" s="2" t="s">
        <v>21087</v>
      </c>
      <c r="AA3951" t="str">
        <f t="shared" si="366"/>
        <v>2025-02</v>
      </c>
      <c r="AB3951" t="str">
        <f t="shared" si="367"/>
        <v>H1_2025</v>
      </c>
      <c r="AC3951">
        <f t="shared" si="368"/>
        <v>2279646</v>
      </c>
      <c r="AD3951">
        <f t="shared" si="369"/>
        <v>200</v>
      </c>
      <c r="AE3951">
        <f t="shared" si="370"/>
        <v>688646</v>
      </c>
      <c r="AF3951" t="str">
        <f t="shared" si="371"/>
        <v>Paid</v>
      </c>
    </row>
    <row r="3952" spans="1:32" ht="27.75" thickBot="1" x14ac:dyDescent="0.35">
      <c r="A3952" s="2" t="s">
        <v>22168</v>
      </c>
      <c r="B3952" s="2" t="s">
        <v>27</v>
      </c>
      <c r="C3952" s="2" t="s">
        <v>28</v>
      </c>
      <c r="D3952" s="2" t="s">
        <v>97</v>
      </c>
      <c r="E3952" s="2" t="s">
        <v>21084</v>
      </c>
      <c r="F3952" s="2" t="s">
        <v>31</v>
      </c>
      <c r="G3952" s="2" t="s">
        <v>32</v>
      </c>
      <c r="H3952" s="1"/>
      <c r="I3952" s="2" t="s">
        <v>33</v>
      </c>
      <c r="J3952" s="2" t="s">
        <v>34</v>
      </c>
      <c r="K3952" s="2" t="s">
        <v>22169</v>
      </c>
      <c r="L3952" s="2" t="s">
        <v>22170</v>
      </c>
      <c r="M3952" s="2" t="s">
        <v>48</v>
      </c>
      <c r="N3952" s="2" t="s">
        <v>38</v>
      </c>
      <c r="O3952" s="2" t="s">
        <v>877</v>
      </c>
      <c r="P3952" s="2" t="s">
        <v>2537</v>
      </c>
      <c r="Q3952" s="2" t="s">
        <v>22171</v>
      </c>
      <c r="R3952" s="2" t="s">
        <v>40</v>
      </c>
      <c r="S3952" s="2" t="s">
        <v>22172</v>
      </c>
      <c r="T3952" s="2" t="s">
        <v>13084</v>
      </c>
      <c r="U3952" s="2" t="s">
        <v>22173</v>
      </c>
      <c r="V3952" s="2" t="s">
        <v>22174</v>
      </c>
      <c r="W3952" s="1"/>
      <c r="X3952" s="2" t="s">
        <v>22175</v>
      </c>
      <c r="Y3952" s="2" t="s">
        <v>21087</v>
      </c>
      <c r="AA3952" t="str">
        <f t="shared" si="366"/>
        <v>2025-02</v>
      </c>
      <c r="AB3952" t="str">
        <f t="shared" si="367"/>
        <v>H1_2025</v>
      </c>
      <c r="AC3952">
        <f t="shared" si="368"/>
        <v>775535</v>
      </c>
      <c r="AD3952">
        <f t="shared" si="369"/>
        <v>100</v>
      </c>
      <c r="AE3952">
        <f t="shared" si="370"/>
        <v>342735</v>
      </c>
      <c r="AF3952" t="str">
        <f t="shared" si="371"/>
        <v>Paid</v>
      </c>
    </row>
    <row r="3953" spans="1:32" ht="17.25" thickBot="1" x14ac:dyDescent="0.35">
      <c r="A3953" s="2" t="s">
        <v>22176</v>
      </c>
      <c r="B3953" s="2" t="s">
        <v>27</v>
      </c>
      <c r="C3953" s="2" t="s">
        <v>28</v>
      </c>
      <c r="D3953" s="2" t="s">
        <v>97</v>
      </c>
      <c r="E3953" s="2" t="s">
        <v>21084</v>
      </c>
      <c r="F3953" s="2" t="s">
        <v>31</v>
      </c>
      <c r="G3953" s="2" t="s">
        <v>32</v>
      </c>
      <c r="H3953" s="1"/>
      <c r="I3953" s="2" t="s">
        <v>33</v>
      </c>
      <c r="J3953" s="2" t="s">
        <v>34</v>
      </c>
      <c r="K3953" s="2" t="s">
        <v>22177</v>
      </c>
      <c r="L3953" s="2" t="s">
        <v>22178</v>
      </c>
      <c r="M3953" s="2" t="s">
        <v>48</v>
      </c>
      <c r="N3953" s="2" t="s">
        <v>38</v>
      </c>
      <c r="O3953" s="2" t="s">
        <v>1333</v>
      </c>
      <c r="P3953" s="2" t="s">
        <v>8987</v>
      </c>
      <c r="Q3953" s="2" t="s">
        <v>22179</v>
      </c>
      <c r="R3953" s="2" t="s">
        <v>40</v>
      </c>
      <c r="S3953" s="2" t="s">
        <v>22180</v>
      </c>
      <c r="T3953" s="2" t="s">
        <v>12578</v>
      </c>
      <c r="U3953" s="2" t="s">
        <v>22181</v>
      </c>
      <c r="V3953" s="2" t="s">
        <v>22182</v>
      </c>
      <c r="W3953" s="1"/>
      <c r="X3953" s="2" t="s">
        <v>300</v>
      </c>
      <c r="Y3953" s="2" t="s">
        <v>21087</v>
      </c>
      <c r="AA3953" t="str">
        <f t="shared" si="366"/>
        <v>2025-02</v>
      </c>
      <c r="AB3953" t="str">
        <f t="shared" si="367"/>
        <v>H1_2025</v>
      </c>
      <c r="AC3953">
        <f t="shared" si="368"/>
        <v>1709734.5</v>
      </c>
      <c r="AD3953">
        <f t="shared" si="369"/>
        <v>150</v>
      </c>
      <c r="AE3953">
        <f t="shared" si="370"/>
        <v>516484.5</v>
      </c>
      <c r="AF3953" t="str">
        <f t="shared" si="371"/>
        <v>Paid</v>
      </c>
    </row>
    <row r="3954" spans="1:32" ht="27.75" thickBot="1" x14ac:dyDescent="0.35">
      <c r="A3954" s="2" t="s">
        <v>22183</v>
      </c>
      <c r="B3954" s="2" t="s">
        <v>27</v>
      </c>
      <c r="C3954" s="2" t="s">
        <v>28</v>
      </c>
      <c r="D3954" s="2" t="s">
        <v>97</v>
      </c>
      <c r="E3954" s="2" t="s">
        <v>21084</v>
      </c>
      <c r="F3954" s="2" t="s">
        <v>31</v>
      </c>
      <c r="G3954" s="2" t="s">
        <v>32</v>
      </c>
      <c r="H3954" s="1"/>
      <c r="I3954" s="2" t="s">
        <v>33</v>
      </c>
      <c r="J3954" s="2" t="s">
        <v>34</v>
      </c>
      <c r="K3954" s="2" t="s">
        <v>22184</v>
      </c>
      <c r="L3954" s="2" t="s">
        <v>22185</v>
      </c>
      <c r="M3954" s="2" t="s">
        <v>48</v>
      </c>
      <c r="N3954" s="2" t="s">
        <v>38</v>
      </c>
      <c r="O3954" s="2" t="s">
        <v>149</v>
      </c>
      <c r="P3954" s="2" t="s">
        <v>8987</v>
      </c>
      <c r="Q3954" s="2" t="s">
        <v>22186</v>
      </c>
      <c r="R3954" s="2" t="s">
        <v>40</v>
      </c>
      <c r="S3954" s="2" t="s">
        <v>22187</v>
      </c>
      <c r="T3954" s="2" t="s">
        <v>12578</v>
      </c>
      <c r="U3954" s="2" t="s">
        <v>22188</v>
      </c>
      <c r="V3954" s="2" t="s">
        <v>22189</v>
      </c>
      <c r="W3954" s="1"/>
      <c r="X3954" s="2" t="s">
        <v>300</v>
      </c>
      <c r="Y3954" s="2" t="s">
        <v>21087</v>
      </c>
      <c r="AA3954" t="str">
        <f t="shared" si="366"/>
        <v>2025-02</v>
      </c>
      <c r="AB3954" t="str">
        <f t="shared" si="367"/>
        <v>H1_2025</v>
      </c>
      <c r="AC3954">
        <f t="shared" si="368"/>
        <v>3419469</v>
      </c>
      <c r="AD3954">
        <f t="shared" si="369"/>
        <v>300</v>
      </c>
      <c r="AE3954">
        <f t="shared" si="370"/>
        <v>1032969</v>
      </c>
      <c r="AF3954" t="str">
        <f t="shared" si="371"/>
        <v>Paid</v>
      </c>
    </row>
    <row r="3955" spans="1:32" ht="17.25" thickBot="1" x14ac:dyDescent="0.35">
      <c r="A3955" s="2" t="s">
        <v>22190</v>
      </c>
      <c r="B3955" s="2" t="s">
        <v>27</v>
      </c>
      <c r="C3955" s="2" t="s">
        <v>28</v>
      </c>
      <c r="D3955" s="2" t="s">
        <v>97</v>
      </c>
      <c r="E3955" s="2" t="s">
        <v>21084</v>
      </c>
      <c r="F3955" s="2" t="s">
        <v>31</v>
      </c>
      <c r="G3955" s="2" t="s">
        <v>32</v>
      </c>
      <c r="H3955" s="1"/>
      <c r="I3955" s="2" t="s">
        <v>33</v>
      </c>
      <c r="J3955" s="2" t="s">
        <v>34</v>
      </c>
      <c r="K3955" s="2" t="s">
        <v>22191</v>
      </c>
      <c r="L3955" s="2" t="s">
        <v>22192</v>
      </c>
      <c r="M3955" s="2" t="s">
        <v>48</v>
      </c>
      <c r="N3955" s="2" t="s">
        <v>38</v>
      </c>
      <c r="O3955" s="2" t="s">
        <v>652</v>
      </c>
      <c r="P3955" s="2" t="s">
        <v>4920</v>
      </c>
      <c r="Q3955" s="2" t="s">
        <v>22193</v>
      </c>
      <c r="R3955" s="2" t="s">
        <v>40</v>
      </c>
      <c r="S3955" s="2" t="s">
        <v>22194</v>
      </c>
      <c r="T3955" s="2" t="s">
        <v>16725</v>
      </c>
      <c r="U3955" s="2" t="s">
        <v>22195</v>
      </c>
      <c r="V3955" s="2" t="s">
        <v>22196</v>
      </c>
      <c r="W3955" s="1"/>
      <c r="X3955" s="2" t="s">
        <v>300</v>
      </c>
      <c r="Y3955" s="2" t="s">
        <v>21087</v>
      </c>
      <c r="AA3955" t="str">
        <f t="shared" si="366"/>
        <v>2025-02</v>
      </c>
      <c r="AB3955" t="str">
        <f t="shared" si="367"/>
        <v>H1_2025</v>
      </c>
      <c r="AC3955">
        <f t="shared" si="368"/>
        <v>658621.31999999995</v>
      </c>
      <c r="AD3955">
        <f t="shared" si="369"/>
        <v>76</v>
      </c>
      <c r="AE3955">
        <f t="shared" si="370"/>
        <v>199125.32</v>
      </c>
      <c r="AF3955" t="str">
        <f t="shared" si="371"/>
        <v>Paid</v>
      </c>
    </row>
    <row r="3956" spans="1:32" ht="17.25" thickBot="1" x14ac:dyDescent="0.35">
      <c r="A3956" s="2" t="s">
        <v>22197</v>
      </c>
      <c r="B3956" s="2" t="s">
        <v>27</v>
      </c>
      <c r="C3956" s="2" t="s">
        <v>28</v>
      </c>
      <c r="D3956" s="2" t="s">
        <v>97</v>
      </c>
      <c r="E3956" s="2" t="s">
        <v>21084</v>
      </c>
      <c r="F3956" s="2" t="s">
        <v>31</v>
      </c>
      <c r="G3956" s="2" t="s">
        <v>32</v>
      </c>
      <c r="H3956" s="1"/>
      <c r="I3956" s="2" t="s">
        <v>33</v>
      </c>
      <c r="J3956" s="2" t="s">
        <v>34</v>
      </c>
      <c r="K3956" s="2" t="s">
        <v>46</v>
      </c>
      <c r="L3956" s="2" t="s">
        <v>47</v>
      </c>
      <c r="M3956" s="2" t="s">
        <v>48</v>
      </c>
      <c r="N3956" s="2" t="s">
        <v>38</v>
      </c>
      <c r="O3956" s="2" t="s">
        <v>177</v>
      </c>
      <c r="P3956" s="2" t="s">
        <v>4781</v>
      </c>
      <c r="Q3956" s="2" t="s">
        <v>22198</v>
      </c>
      <c r="R3956" s="2" t="s">
        <v>40</v>
      </c>
      <c r="S3956" s="2" t="s">
        <v>22199</v>
      </c>
      <c r="T3956" s="2" t="s">
        <v>7535</v>
      </c>
      <c r="U3956" s="2" t="s">
        <v>10787</v>
      </c>
      <c r="V3956" s="2" t="s">
        <v>22200</v>
      </c>
      <c r="W3956" s="1"/>
      <c r="X3956" s="2" t="s">
        <v>300</v>
      </c>
      <c r="Y3956" s="2" t="s">
        <v>21087</v>
      </c>
      <c r="AA3956" t="str">
        <f t="shared" si="366"/>
        <v>2025-02</v>
      </c>
      <c r="AB3956" t="str">
        <f t="shared" si="367"/>
        <v>H1_2025</v>
      </c>
      <c r="AC3956">
        <f t="shared" si="368"/>
        <v>5105724</v>
      </c>
      <c r="AD3956">
        <f t="shared" si="369"/>
        <v>400</v>
      </c>
      <c r="AE3956">
        <f t="shared" si="370"/>
        <v>1541724</v>
      </c>
      <c r="AF3956" t="str">
        <f t="shared" si="371"/>
        <v>Paid</v>
      </c>
    </row>
    <row r="3957" spans="1:32" ht="17.25" thickBot="1" x14ac:dyDescent="0.35">
      <c r="A3957" s="2" t="s">
        <v>22201</v>
      </c>
      <c r="B3957" s="2" t="s">
        <v>27</v>
      </c>
      <c r="C3957" s="2" t="s">
        <v>28</v>
      </c>
      <c r="D3957" s="2" t="s">
        <v>97</v>
      </c>
      <c r="E3957" s="2" t="s">
        <v>21084</v>
      </c>
      <c r="F3957" s="2" t="s">
        <v>31</v>
      </c>
      <c r="G3957" s="2" t="s">
        <v>32</v>
      </c>
      <c r="H3957" s="1"/>
      <c r="I3957" s="2" t="s">
        <v>33</v>
      </c>
      <c r="J3957" s="2" t="s">
        <v>34</v>
      </c>
      <c r="K3957" s="2" t="s">
        <v>22202</v>
      </c>
      <c r="L3957" s="2" t="s">
        <v>22203</v>
      </c>
      <c r="M3957" s="2" t="s">
        <v>48</v>
      </c>
      <c r="N3957" s="2" t="s">
        <v>38</v>
      </c>
      <c r="O3957" s="2" t="s">
        <v>214</v>
      </c>
      <c r="P3957" s="2" t="s">
        <v>4781</v>
      </c>
      <c r="Q3957" s="2" t="s">
        <v>22204</v>
      </c>
      <c r="R3957" s="2" t="s">
        <v>40</v>
      </c>
      <c r="S3957" s="2" t="s">
        <v>22205</v>
      </c>
      <c r="T3957" s="2" t="s">
        <v>7535</v>
      </c>
      <c r="U3957" s="2" t="s">
        <v>7536</v>
      </c>
      <c r="V3957" s="2" t="s">
        <v>22206</v>
      </c>
      <c r="W3957" s="1"/>
      <c r="X3957" s="2" t="s">
        <v>300</v>
      </c>
      <c r="Y3957" s="2" t="s">
        <v>21087</v>
      </c>
      <c r="AA3957" t="str">
        <f t="shared" si="366"/>
        <v>2025-02</v>
      </c>
      <c r="AB3957" t="str">
        <f t="shared" si="367"/>
        <v>H1_2025</v>
      </c>
      <c r="AC3957">
        <f t="shared" si="368"/>
        <v>638215.5</v>
      </c>
      <c r="AD3957">
        <f t="shared" si="369"/>
        <v>50</v>
      </c>
      <c r="AE3957">
        <f t="shared" si="370"/>
        <v>192715.5</v>
      </c>
      <c r="AF3957" t="str">
        <f t="shared" si="371"/>
        <v>Paid</v>
      </c>
    </row>
    <row r="3958" spans="1:32" ht="27.75" thickBot="1" x14ac:dyDescent="0.35">
      <c r="A3958" s="2" t="s">
        <v>22207</v>
      </c>
      <c r="B3958" s="2" t="s">
        <v>27</v>
      </c>
      <c r="C3958" s="2" t="s">
        <v>28</v>
      </c>
      <c r="D3958" s="2" t="s">
        <v>97</v>
      </c>
      <c r="E3958" s="2" t="s">
        <v>21084</v>
      </c>
      <c r="F3958" s="2" t="s">
        <v>31</v>
      </c>
      <c r="G3958" s="2" t="s">
        <v>32</v>
      </c>
      <c r="H3958" s="1"/>
      <c r="I3958" s="2" t="s">
        <v>33</v>
      </c>
      <c r="J3958" s="2" t="s">
        <v>34</v>
      </c>
      <c r="K3958" s="2" t="s">
        <v>22208</v>
      </c>
      <c r="L3958" s="2" t="s">
        <v>22209</v>
      </c>
      <c r="M3958" s="2" t="s">
        <v>48</v>
      </c>
      <c r="N3958" s="2" t="s">
        <v>38</v>
      </c>
      <c r="O3958" s="2" t="s">
        <v>1333</v>
      </c>
      <c r="P3958" s="2" t="s">
        <v>2220</v>
      </c>
      <c r="Q3958" s="2" t="s">
        <v>22210</v>
      </c>
      <c r="R3958" s="2" t="s">
        <v>40</v>
      </c>
      <c r="S3958" s="2" t="s">
        <v>22211</v>
      </c>
      <c r="T3958" s="2" t="s">
        <v>22212</v>
      </c>
      <c r="U3958" s="2" t="s">
        <v>22213</v>
      </c>
      <c r="V3958" s="2" t="s">
        <v>22214</v>
      </c>
      <c r="W3958" s="1"/>
      <c r="X3958" s="2" t="s">
        <v>300</v>
      </c>
      <c r="Y3958" s="2" t="s">
        <v>21087</v>
      </c>
      <c r="AA3958" t="str">
        <f t="shared" si="366"/>
        <v>2025-02</v>
      </c>
      <c r="AB3958" t="str">
        <f t="shared" si="367"/>
        <v>H1_2025</v>
      </c>
      <c r="AC3958">
        <f t="shared" si="368"/>
        <v>1436518.5</v>
      </c>
      <c r="AD3958">
        <f t="shared" si="369"/>
        <v>150</v>
      </c>
      <c r="AE3958">
        <f t="shared" si="370"/>
        <v>434218.5</v>
      </c>
      <c r="AF3958" t="str">
        <f t="shared" si="371"/>
        <v>Paid</v>
      </c>
    </row>
    <row r="3959" spans="1:32" ht="27.75" thickBot="1" x14ac:dyDescent="0.35">
      <c r="A3959" s="2" t="s">
        <v>22215</v>
      </c>
      <c r="B3959" s="2" t="s">
        <v>27</v>
      </c>
      <c r="C3959" s="2" t="s">
        <v>28</v>
      </c>
      <c r="D3959" s="2" t="s">
        <v>97</v>
      </c>
      <c r="E3959" s="2" t="s">
        <v>21084</v>
      </c>
      <c r="F3959" s="2" t="s">
        <v>31</v>
      </c>
      <c r="G3959" s="2" t="s">
        <v>32</v>
      </c>
      <c r="H3959" s="1"/>
      <c r="I3959" s="2" t="s">
        <v>33</v>
      </c>
      <c r="J3959" s="2" t="s">
        <v>34</v>
      </c>
      <c r="K3959" s="2" t="s">
        <v>22216</v>
      </c>
      <c r="L3959" s="2" t="s">
        <v>22217</v>
      </c>
      <c r="M3959" s="2" t="s">
        <v>48</v>
      </c>
      <c r="N3959" s="2" t="s">
        <v>38</v>
      </c>
      <c r="O3959" s="2" t="s">
        <v>203</v>
      </c>
      <c r="P3959" s="2" t="s">
        <v>3878</v>
      </c>
      <c r="Q3959" s="2" t="s">
        <v>22218</v>
      </c>
      <c r="R3959" s="2" t="s">
        <v>40</v>
      </c>
      <c r="S3959" s="2" t="s">
        <v>22219</v>
      </c>
      <c r="T3959" s="2" t="s">
        <v>17313</v>
      </c>
      <c r="U3959" s="2" t="s">
        <v>22220</v>
      </c>
      <c r="V3959" s="2" t="s">
        <v>22221</v>
      </c>
      <c r="W3959" s="1"/>
      <c r="X3959" s="2" t="s">
        <v>300</v>
      </c>
      <c r="Y3959" s="2" t="s">
        <v>21087</v>
      </c>
      <c r="AA3959" t="str">
        <f t="shared" si="366"/>
        <v>2025-02</v>
      </c>
      <c r="AB3959" t="str">
        <f t="shared" si="367"/>
        <v>H1_2025</v>
      </c>
      <c r="AC3959">
        <f t="shared" si="368"/>
        <v>296339.75</v>
      </c>
      <c r="AD3959">
        <f t="shared" si="369"/>
        <v>25</v>
      </c>
      <c r="AE3959">
        <f t="shared" si="370"/>
        <v>89514.75</v>
      </c>
      <c r="AF3959" t="str">
        <f t="shared" si="371"/>
        <v>Paid</v>
      </c>
    </row>
    <row r="3960" spans="1:32" ht="17.25" thickBot="1" x14ac:dyDescent="0.35">
      <c r="A3960" s="2" t="s">
        <v>22222</v>
      </c>
      <c r="B3960" s="2" t="s">
        <v>27</v>
      </c>
      <c r="C3960" s="2" t="s">
        <v>28</v>
      </c>
      <c r="D3960" s="2" t="s">
        <v>97</v>
      </c>
      <c r="E3960" s="2" t="s">
        <v>21084</v>
      </c>
      <c r="F3960" s="2" t="s">
        <v>31</v>
      </c>
      <c r="G3960" s="2" t="s">
        <v>32</v>
      </c>
      <c r="H3960" s="1"/>
      <c r="I3960" s="2" t="s">
        <v>33</v>
      </c>
      <c r="J3960" s="2" t="s">
        <v>34</v>
      </c>
      <c r="K3960" s="2" t="s">
        <v>22223</v>
      </c>
      <c r="L3960" s="2" t="s">
        <v>22224</v>
      </c>
      <c r="M3960" s="2" t="s">
        <v>48</v>
      </c>
      <c r="N3960" s="2" t="s">
        <v>38</v>
      </c>
      <c r="O3960" s="2" t="s">
        <v>877</v>
      </c>
      <c r="P3960" s="2" t="s">
        <v>4920</v>
      </c>
      <c r="Q3960" s="2" t="s">
        <v>22225</v>
      </c>
      <c r="R3960" s="2" t="s">
        <v>40</v>
      </c>
      <c r="S3960" s="2" t="s">
        <v>22226</v>
      </c>
      <c r="T3960" s="2" t="s">
        <v>16725</v>
      </c>
      <c r="U3960" s="2" t="s">
        <v>22227</v>
      </c>
      <c r="V3960" s="2" t="s">
        <v>22228</v>
      </c>
      <c r="W3960" s="1"/>
      <c r="X3960" s="2" t="s">
        <v>300</v>
      </c>
      <c r="Y3960" s="2" t="s">
        <v>21087</v>
      </c>
      <c r="AA3960" t="str">
        <f t="shared" si="366"/>
        <v>2025-02</v>
      </c>
      <c r="AB3960" t="str">
        <f t="shared" si="367"/>
        <v>H1_2025</v>
      </c>
      <c r="AC3960">
        <f t="shared" si="368"/>
        <v>866607</v>
      </c>
      <c r="AD3960">
        <f t="shared" si="369"/>
        <v>100</v>
      </c>
      <c r="AE3960">
        <f t="shared" si="370"/>
        <v>262007</v>
      </c>
      <c r="AF3960" t="str">
        <f t="shared" si="371"/>
        <v>Paid</v>
      </c>
    </row>
    <row r="3961" spans="1:32" ht="27.75" thickBot="1" x14ac:dyDescent="0.35">
      <c r="A3961" s="2" t="s">
        <v>22229</v>
      </c>
      <c r="B3961" s="2" t="s">
        <v>27</v>
      </c>
      <c r="C3961" s="2" t="s">
        <v>28</v>
      </c>
      <c r="D3961" s="2" t="s">
        <v>97</v>
      </c>
      <c r="E3961" s="2" t="s">
        <v>21084</v>
      </c>
      <c r="F3961" s="2" t="s">
        <v>31</v>
      </c>
      <c r="G3961" s="2" t="s">
        <v>32</v>
      </c>
      <c r="H3961" s="1"/>
      <c r="I3961" s="2" t="s">
        <v>33</v>
      </c>
      <c r="J3961" s="2" t="s">
        <v>34</v>
      </c>
      <c r="K3961" s="2" t="s">
        <v>22230</v>
      </c>
      <c r="L3961" s="2" t="s">
        <v>22231</v>
      </c>
      <c r="M3961" s="2" t="s">
        <v>48</v>
      </c>
      <c r="N3961" s="2" t="s">
        <v>38</v>
      </c>
      <c r="O3961" s="2" t="s">
        <v>773</v>
      </c>
      <c r="P3961" s="2" t="s">
        <v>18096</v>
      </c>
      <c r="Q3961" s="2" t="s">
        <v>22232</v>
      </c>
      <c r="R3961" s="2" t="s">
        <v>40</v>
      </c>
      <c r="S3961" s="2" t="s">
        <v>22233</v>
      </c>
      <c r="T3961" s="2" t="s">
        <v>1210</v>
      </c>
      <c r="U3961" s="2" t="s">
        <v>1162</v>
      </c>
      <c r="V3961" s="2" t="s">
        <v>22234</v>
      </c>
      <c r="W3961" s="1"/>
      <c r="X3961" s="2" t="s">
        <v>986</v>
      </c>
      <c r="Y3961" s="2" t="s">
        <v>21087</v>
      </c>
      <c r="AA3961" t="str">
        <f t="shared" si="366"/>
        <v>2025-02</v>
      </c>
      <c r="AB3961" t="str">
        <f t="shared" si="367"/>
        <v>H1_2025</v>
      </c>
      <c r="AC3961">
        <f t="shared" si="368"/>
        <v>2461790</v>
      </c>
      <c r="AD3961">
        <f t="shared" si="369"/>
        <v>200</v>
      </c>
      <c r="AE3961">
        <f t="shared" si="370"/>
        <v>571790</v>
      </c>
      <c r="AF3961" t="str">
        <f t="shared" si="371"/>
        <v>Paid</v>
      </c>
    </row>
    <row r="3962" spans="1:32" ht="27.75" thickBot="1" x14ac:dyDescent="0.35">
      <c r="A3962" s="2" t="s">
        <v>22235</v>
      </c>
      <c r="B3962" s="2" t="s">
        <v>27</v>
      </c>
      <c r="C3962" s="2" t="s">
        <v>28</v>
      </c>
      <c r="D3962" s="2" t="s">
        <v>97</v>
      </c>
      <c r="E3962" s="2" t="s">
        <v>21084</v>
      </c>
      <c r="F3962" s="2" t="s">
        <v>31</v>
      </c>
      <c r="G3962" s="2" t="s">
        <v>32</v>
      </c>
      <c r="H3962" s="1"/>
      <c r="I3962" s="2" t="s">
        <v>33</v>
      </c>
      <c r="J3962" s="2" t="s">
        <v>34</v>
      </c>
      <c r="K3962" s="2" t="s">
        <v>22236</v>
      </c>
      <c r="L3962" s="2" t="s">
        <v>22237</v>
      </c>
      <c r="M3962" s="2" t="s">
        <v>48</v>
      </c>
      <c r="N3962" s="2" t="s">
        <v>38</v>
      </c>
      <c r="O3962" s="2" t="s">
        <v>877</v>
      </c>
      <c r="P3962" s="2" t="s">
        <v>9662</v>
      </c>
      <c r="Q3962" s="2" t="s">
        <v>13167</v>
      </c>
      <c r="R3962" s="2" t="s">
        <v>40</v>
      </c>
      <c r="S3962" s="2" t="s">
        <v>22238</v>
      </c>
      <c r="T3962" s="2" t="s">
        <v>22239</v>
      </c>
      <c r="U3962" s="2" t="s">
        <v>22240</v>
      </c>
      <c r="V3962" s="2" t="s">
        <v>22241</v>
      </c>
      <c r="W3962" s="1"/>
      <c r="X3962" s="2" t="s">
        <v>300</v>
      </c>
      <c r="Y3962" s="2" t="s">
        <v>21087</v>
      </c>
      <c r="AA3962" t="str">
        <f t="shared" si="366"/>
        <v>2025-02</v>
      </c>
      <c r="AB3962" t="str">
        <f t="shared" si="367"/>
        <v>H1_2025</v>
      </c>
      <c r="AC3962">
        <f t="shared" si="368"/>
        <v>1048751</v>
      </c>
      <c r="AD3962">
        <f t="shared" si="369"/>
        <v>100</v>
      </c>
      <c r="AE3962">
        <f t="shared" si="370"/>
        <v>316851</v>
      </c>
      <c r="AF3962" t="str">
        <f t="shared" si="371"/>
        <v>Paid</v>
      </c>
    </row>
    <row r="3963" spans="1:32" ht="17.25" thickBot="1" x14ac:dyDescent="0.35">
      <c r="A3963" s="2" t="s">
        <v>22242</v>
      </c>
      <c r="B3963" s="2" t="s">
        <v>27</v>
      </c>
      <c r="C3963" s="2" t="s">
        <v>28</v>
      </c>
      <c r="D3963" s="2" t="s">
        <v>97</v>
      </c>
      <c r="E3963" s="2" t="s">
        <v>21084</v>
      </c>
      <c r="F3963" s="2" t="s">
        <v>31</v>
      </c>
      <c r="G3963" s="2" t="s">
        <v>32</v>
      </c>
      <c r="H3963" s="1"/>
      <c r="I3963" s="2" t="s">
        <v>33</v>
      </c>
      <c r="J3963" s="2" t="s">
        <v>34</v>
      </c>
      <c r="K3963" s="2" t="s">
        <v>22243</v>
      </c>
      <c r="L3963" s="2" t="s">
        <v>22244</v>
      </c>
      <c r="M3963" s="2" t="s">
        <v>48</v>
      </c>
      <c r="N3963" s="2" t="s">
        <v>38</v>
      </c>
      <c r="O3963" s="2" t="s">
        <v>428</v>
      </c>
      <c r="P3963" s="2" t="s">
        <v>22245</v>
      </c>
      <c r="Q3963" s="2" t="s">
        <v>22246</v>
      </c>
      <c r="R3963" s="2" t="s">
        <v>40</v>
      </c>
      <c r="S3963" s="2" t="s">
        <v>22247</v>
      </c>
      <c r="T3963" s="2" t="s">
        <v>287</v>
      </c>
      <c r="U3963" s="2" t="s">
        <v>784</v>
      </c>
      <c r="V3963" s="2" t="s">
        <v>22248</v>
      </c>
      <c r="W3963" s="1"/>
      <c r="X3963" s="2" t="s">
        <v>300</v>
      </c>
      <c r="Y3963" s="2" t="s">
        <v>21087</v>
      </c>
      <c r="AA3963" t="str">
        <f t="shared" si="366"/>
        <v>2025-02</v>
      </c>
      <c r="AB3963" t="str">
        <f t="shared" si="367"/>
        <v>H1_2025</v>
      </c>
      <c r="AC3963">
        <f t="shared" si="368"/>
        <v>2508037.5</v>
      </c>
      <c r="AD3963">
        <f t="shared" si="369"/>
        <v>250</v>
      </c>
      <c r="AE3963">
        <f t="shared" si="370"/>
        <v>758037.5</v>
      </c>
      <c r="AF3963" t="str">
        <f t="shared" si="371"/>
        <v>Paid</v>
      </c>
    </row>
    <row r="3964" spans="1:32" ht="17.25" thickBot="1" x14ac:dyDescent="0.35">
      <c r="A3964" s="2" t="s">
        <v>22249</v>
      </c>
      <c r="B3964" s="2" t="s">
        <v>27</v>
      </c>
      <c r="C3964" s="2" t="s">
        <v>28</v>
      </c>
      <c r="D3964" s="2" t="s">
        <v>97</v>
      </c>
      <c r="E3964" s="2" t="s">
        <v>21084</v>
      </c>
      <c r="F3964" s="2" t="s">
        <v>31</v>
      </c>
      <c r="G3964" s="2" t="s">
        <v>32</v>
      </c>
      <c r="H3964" s="1"/>
      <c r="I3964" s="2" t="s">
        <v>33</v>
      </c>
      <c r="J3964" s="2" t="s">
        <v>34</v>
      </c>
      <c r="K3964" s="2" t="s">
        <v>22250</v>
      </c>
      <c r="L3964" s="2" t="s">
        <v>22251</v>
      </c>
      <c r="M3964" s="2" t="s">
        <v>48</v>
      </c>
      <c r="N3964" s="2" t="s">
        <v>38</v>
      </c>
      <c r="O3964" s="2" t="s">
        <v>214</v>
      </c>
      <c r="P3964" s="2" t="s">
        <v>5794</v>
      </c>
      <c r="Q3964" s="2" t="s">
        <v>22252</v>
      </c>
      <c r="R3964" s="2" t="s">
        <v>40</v>
      </c>
      <c r="S3964" s="2" t="s">
        <v>22253</v>
      </c>
      <c r="T3964" s="2" t="s">
        <v>40</v>
      </c>
      <c r="U3964" s="2" t="s">
        <v>40</v>
      </c>
      <c r="V3964" s="2" t="s">
        <v>22253</v>
      </c>
      <c r="W3964" s="1"/>
      <c r="X3964" s="2" t="s">
        <v>2155</v>
      </c>
      <c r="Y3964" s="2" t="s">
        <v>21087</v>
      </c>
      <c r="AA3964" t="str">
        <f t="shared" si="366"/>
        <v>2025-02</v>
      </c>
      <c r="AB3964" t="str">
        <f t="shared" si="367"/>
        <v>H1_2025</v>
      </c>
      <c r="AC3964">
        <f t="shared" si="368"/>
        <v>683751.5</v>
      </c>
      <c r="AD3964">
        <f t="shared" si="369"/>
        <v>50</v>
      </c>
      <c r="AE3964">
        <f t="shared" si="370"/>
        <v>683751.5</v>
      </c>
      <c r="AF3964" t="str">
        <f t="shared" si="371"/>
        <v>Paid</v>
      </c>
    </row>
    <row r="3965" spans="1:32" ht="27.75" thickBot="1" x14ac:dyDescent="0.35">
      <c r="A3965" s="2" t="s">
        <v>22254</v>
      </c>
      <c r="B3965" s="2" t="s">
        <v>27</v>
      </c>
      <c r="C3965" s="2" t="s">
        <v>28</v>
      </c>
      <c r="D3965" s="2" t="s">
        <v>97</v>
      </c>
      <c r="E3965" s="2" t="s">
        <v>21084</v>
      </c>
      <c r="F3965" s="2" t="s">
        <v>31</v>
      </c>
      <c r="G3965" s="2" t="s">
        <v>32</v>
      </c>
      <c r="H3965" s="1"/>
      <c r="I3965" s="2" t="s">
        <v>33</v>
      </c>
      <c r="J3965" s="2" t="s">
        <v>34</v>
      </c>
      <c r="K3965" s="2" t="s">
        <v>61</v>
      </c>
      <c r="L3965" s="2" t="s">
        <v>62</v>
      </c>
      <c r="M3965" s="2" t="s">
        <v>48</v>
      </c>
      <c r="N3965" s="2" t="s">
        <v>38</v>
      </c>
      <c r="O3965" s="2" t="s">
        <v>214</v>
      </c>
      <c r="P3965" s="2" t="s">
        <v>3878</v>
      </c>
      <c r="Q3965" s="2" t="s">
        <v>22255</v>
      </c>
      <c r="R3965" s="2" t="s">
        <v>40</v>
      </c>
      <c r="S3965" s="2" t="s">
        <v>22256</v>
      </c>
      <c r="T3965" s="2" t="s">
        <v>17313</v>
      </c>
      <c r="U3965" s="2" t="s">
        <v>22257</v>
      </c>
      <c r="V3965" s="2" t="s">
        <v>22258</v>
      </c>
      <c r="W3965" s="1"/>
      <c r="X3965" s="2" t="s">
        <v>300</v>
      </c>
      <c r="Y3965" s="2" t="s">
        <v>21087</v>
      </c>
      <c r="AA3965" t="str">
        <f t="shared" si="366"/>
        <v>2025-02</v>
      </c>
      <c r="AB3965" t="str">
        <f t="shared" si="367"/>
        <v>H1_2025</v>
      </c>
      <c r="AC3965">
        <f t="shared" si="368"/>
        <v>592679.5</v>
      </c>
      <c r="AD3965">
        <f t="shared" si="369"/>
        <v>50</v>
      </c>
      <c r="AE3965">
        <f t="shared" si="370"/>
        <v>179029.5</v>
      </c>
      <c r="AF3965" t="str">
        <f t="shared" si="371"/>
        <v>Paid</v>
      </c>
    </row>
    <row r="3966" spans="1:32" ht="17.25" thickBot="1" x14ac:dyDescent="0.35">
      <c r="A3966" s="2" t="s">
        <v>22259</v>
      </c>
      <c r="B3966" s="2" t="s">
        <v>27</v>
      </c>
      <c r="C3966" s="2" t="s">
        <v>28</v>
      </c>
      <c r="D3966" s="2" t="s">
        <v>97</v>
      </c>
      <c r="E3966" s="2" t="s">
        <v>21084</v>
      </c>
      <c r="F3966" s="2" t="s">
        <v>31</v>
      </c>
      <c r="G3966" s="2" t="s">
        <v>32</v>
      </c>
      <c r="H3966" s="1"/>
      <c r="I3966" s="2" t="s">
        <v>33</v>
      </c>
      <c r="J3966" s="2" t="s">
        <v>34</v>
      </c>
      <c r="K3966" s="2" t="s">
        <v>4636</v>
      </c>
      <c r="L3966" s="2" t="s">
        <v>4637</v>
      </c>
      <c r="M3966" s="2" t="s">
        <v>37</v>
      </c>
      <c r="N3966" s="2" t="s">
        <v>38</v>
      </c>
      <c r="O3966" s="2" t="s">
        <v>652</v>
      </c>
      <c r="P3966" s="2" t="s">
        <v>1105</v>
      </c>
      <c r="Q3966" s="2" t="s">
        <v>22260</v>
      </c>
      <c r="R3966" s="2" t="s">
        <v>40</v>
      </c>
      <c r="S3966" s="2" t="s">
        <v>22261</v>
      </c>
      <c r="T3966" s="2" t="s">
        <v>107</v>
      </c>
      <c r="U3966" s="2" t="s">
        <v>22262</v>
      </c>
      <c r="V3966" s="2" t="s">
        <v>22263</v>
      </c>
      <c r="W3966" s="1"/>
      <c r="X3966" s="2" t="s">
        <v>17888</v>
      </c>
      <c r="Y3966" s="2" t="s">
        <v>21087</v>
      </c>
      <c r="AA3966" t="str">
        <f t="shared" si="366"/>
        <v>2025-02</v>
      </c>
      <c r="AB3966" t="str">
        <f t="shared" si="367"/>
        <v>H1_2025</v>
      </c>
      <c r="AC3966">
        <f t="shared" si="368"/>
        <v>493154.88</v>
      </c>
      <c r="AD3966">
        <f t="shared" si="369"/>
        <v>76</v>
      </c>
      <c r="AE3966">
        <f t="shared" si="370"/>
        <v>67554.880000000005</v>
      </c>
      <c r="AF3966" t="str">
        <f t="shared" si="371"/>
        <v>Paid</v>
      </c>
    </row>
    <row r="3967" spans="1:32" ht="17.25" thickBot="1" x14ac:dyDescent="0.35">
      <c r="A3967" s="2" t="s">
        <v>22264</v>
      </c>
      <c r="B3967" s="2" t="s">
        <v>27</v>
      </c>
      <c r="C3967" s="2" t="s">
        <v>28</v>
      </c>
      <c r="D3967" s="2" t="s">
        <v>97</v>
      </c>
      <c r="E3967" s="2" t="s">
        <v>21084</v>
      </c>
      <c r="F3967" s="2" t="s">
        <v>31</v>
      </c>
      <c r="G3967" s="2" t="s">
        <v>32</v>
      </c>
      <c r="H3967" s="1"/>
      <c r="I3967" s="2" t="s">
        <v>33</v>
      </c>
      <c r="J3967" s="2" t="s">
        <v>34</v>
      </c>
      <c r="K3967" s="2" t="s">
        <v>22265</v>
      </c>
      <c r="L3967" s="2" t="s">
        <v>22266</v>
      </c>
      <c r="M3967" s="2" t="s">
        <v>37</v>
      </c>
      <c r="N3967" s="2" t="s">
        <v>38</v>
      </c>
      <c r="O3967" s="2" t="s">
        <v>214</v>
      </c>
      <c r="P3967" s="2" t="s">
        <v>1344</v>
      </c>
      <c r="Q3967" s="2" t="s">
        <v>22267</v>
      </c>
      <c r="R3967" s="2" t="s">
        <v>40</v>
      </c>
      <c r="S3967" s="2" t="s">
        <v>22268</v>
      </c>
      <c r="T3967" s="2" t="s">
        <v>3079</v>
      </c>
      <c r="U3967" s="2" t="s">
        <v>9903</v>
      </c>
      <c r="V3967" s="2" t="s">
        <v>22269</v>
      </c>
      <c r="W3967" s="1"/>
      <c r="X3967" s="2" t="s">
        <v>997</v>
      </c>
      <c r="Y3967" s="2" t="s">
        <v>21087</v>
      </c>
      <c r="AA3967" t="str">
        <f t="shared" si="366"/>
        <v>2025-02</v>
      </c>
      <c r="AB3967" t="str">
        <f t="shared" si="367"/>
        <v>H1_2025</v>
      </c>
      <c r="AC3967">
        <f t="shared" si="368"/>
        <v>405555</v>
      </c>
      <c r="AD3967">
        <f t="shared" si="369"/>
        <v>50</v>
      </c>
      <c r="AE3967">
        <f t="shared" si="370"/>
        <v>115555</v>
      </c>
      <c r="AF3967" t="str">
        <f t="shared" si="371"/>
        <v>Paid</v>
      </c>
    </row>
    <row r="3968" spans="1:32" ht="17.25" thickBot="1" x14ac:dyDescent="0.35">
      <c r="A3968" s="2" t="s">
        <v>22270</v>
      </c>
      <c r="B3968" s="2" t="s">
        <v>27</v>
      </c>
      <c r="C3968" s="2" t="s">
        <v>28</v>
      </c>
      <c r="D3968" s="2" t="s">
        <v>97</v>
      </c>
      <c r="E3968" s="2" t="s">
        <v>21084</v>
      </c>
      <c r="F3968" s="2" t="s">
        <v>31</v>
      </c>
      <c r="G3968" s="2" t="s">
        <v>32</v>
      </c>
      <c r="H3968" s="1"/>
      <c r="I3968" s="2" t="s">
        <v>33</v>
      </c>
      <c r="J3968" s="2" t="s">
        <v>34</v>
      </c>
      <c r="K3968" s="2" t="s">
        <v>22271</v>
      </c>
      <c r="L3968" s="2" t="s">
        <v>22272</v>
      </c>
      <c r="M3968" s="2" t="s">
        <v>37</v>
      </c>
      <c r="N3968" s="2" t="s">
        <v>38</v>
      </c>
      <c r="O3968" s="2" t="s">
        <v>567</v>
      </c>
      <c r="P3968" s="2" t="s">
        <v>1095</v>
      </c>
      <c r="Q3968" s="2" t="s">
        <v>22273</v>
      </c>
      <c r="R3968" s="2" t="s">
        <v>40</v>
      </c>
      <c r="S3968" s="2" t="s">
        <v>22274</v>
      </c>
      <c r="T3968" s="2" t="s">
        <v>1168</v>
      </c>
      <c r="U3968" s="2" t="s">
        <v>22275</v>
      </c>
      <c r="V3968" s="2" t="s">
        <v>22276</v>
      </c>
      <c r="W3968" s="1"/>
      <c r="X3968" s="2" t="s">
        <v>997</v>
      </c>
      <c r="Y3968" s="2" t="s">
        <v>21087</v>
      </c>
      <c r="AA3968" t="str">
        <f t="shared" si="366"/>
        <v>2025-02</v>
      </c>
      <c r="AB3968" t="str">
        <f t="shared" si="367"/>
        <v>H1_2025</v>
      </c>
      <c r="AC3968">
        <f t="shared" si="368"/>
        <v>481799.34</v>
      </c>
      <c r="AD3968">
        <f t="shared" si="369"/>
        <v>66</v>
      </c>
      <c r="AE3968">
        <f t="shared" si="370"/>
        <v>137279.34</v>
      </c>
      <c r="AF3968" t="str">
        <f t="shared" si="371"/>
        <v>Paid</v>
      </c>
    </row>
    <row r="3969" spans="1:32" ht="17.25" thickBot="1" x14ac:dyDescent="0.35">
      <c r="A3969" s="2" t="s">
        <v>22277</v>
      </c>
      <c r="B3969" s="2" t="s">
        <v>27</v>
      </c>
      <c r="C3969" s="2" t="s">
        <v>28</v>
      </c>
      <c r="D3969" s="2" t="s">
        <v>97</v>
      </c>
      <c r="E3969" s="2" t="s">
        <v>21084</v>
      </c>
      <c r="F3969" s="2" t="s">
        <v>31</v>
      </c>
      <c r="G3969" s="2" t="s">
        <v>32</v>
      </c>
      <c r="H3969" s="1"/>
      <c r="I3969" s="2" t="s">
        <v>33</v>
      </c>
      <c r="J3969" s="2" t="s">
        <v>34</v>
      </c>
      <c r="K3969" s="2" t="s">
        <v>1093</v>
      </c>
      <c r="L3969" s="2" t="s">
        <v>1094</v>
      </c>
      <c r="M3969" s="2" t="s">
        <v>37</v>
      </c>
      <c r="N3969" s="2" t="s">
        <v>38</v>
      </c>
      <c r="O3969" s="2" t="s">
        <v>272</v>
      </c>
      <c r="P3969" s="2" t="s">
        <v>1095</v>
      </c>
      <c r="Q3969" s="2" t="s">
        <v>22278</v>
      </c>
      <c r="R3969" s="2" t="s">
        <v>40</v>
      </c>
      <c r="S3969" s="2" t="s">
        <v>22279</v>
      </c>
      <c r="T3969" s="2" t="s">
        <v>107</v>
      </c>
      <c r="U3969" s="2" t="s">
        <v>22280</v>
      </c>
      <c r="V3969" s="2" t="s">
        <v>22281</v>
      </c>
      <c r="W3969" s="1"/>
      <c r="X3969" s="2" t="s">
        <v>3610</v>
      </c>
      <c r="Y3969" s="2" t="s">
        <v>21087</v>
      </c>
      <c r="AA3969" t="str">
        <f t="shared" si="366"/>
        <v>2025-02</v>
      </c>
      <c r="AB3969" t="str">
        <f t="shared" si="367"/>
        <v>H1_2025</v>
      </c>
      <c r="AC3969">
        <f t="shared" si="368"/>
        <v>248199.66</v>
      </c>
      <c r="AD3969">
        <f t="shared" si="369"/>
        <v>34</v>
      </c>
      <c r="AE3969">
        <f t="shared" si="370"/>
        <v>57799.66</v>
      </c>
      <c r="AF3969" t="str">
        <f t="shared" si="371"/>
        <v>Paid</v>
      </c>
    </row>
    <row r="3970" spans="1:32" ht="17.25" thickBot="1" x14ac:dyDescent="0.35">
      <c r="A3970" s="2" t="s">
        <v>22282</v>
      </c>
      <c r="B3970" s="2" t="s">
        <v>27</v>
      </c>
      <c r="C3970" s="2" t="s">
        <v>28</v>
      </c>
      <c r="D3970" s="2" t="s">
        <v>97</v>
      </c>
      <c r="E3970" s="2" t="s">
        <v>21084</v>
      </c>
      <c r="F3970" s="2" t="s">
        <v>31</v>
      </c>
      <c r="G3970" s="2" t="s">
        <v>32</v>
      </c>
      <c r="H3970" s="1"/>
      <c r="I3970" s="2" t="s">
        <v>33</v>
      </c>
      <c r="J3970" s="2" t="s">
        <v>34</v>
      </c>
      <c r="K3970" s="2" t="s">
        <v>22283</v>
      </c>
      <c r="L3970" s="2" t="s">
        <v>22284</v>
      </c>
      <c r="M3970" s="2" t="s">
        <v>37</v>
      </c>
      <c r="N3970" s="2" t="s">
        <v>38</v>
      </c>
      <c r="O3970" s="2" t="s">
        <v>1333</v>
      </c>
      <c r="P3970" s="2" t="s">
        <v>1105</v>
      </c>
      <c r="Q3970" s="2" t="s">
        <v>2239</v>
      </c>
      <c r="R3970" s="2" t="s">
        <v>40</v>
      </c>
      <c r="S3970" s="2" t="s">
        <v>22285</v>
      </c>
      <c r="T3970" s="2" t="s">
        <v>9849</v>
      </c>
      <c r="U3970" s="2" t="s">
        <v>22286</v>
      </c>
      <c r="V3970" s="2" t="s">
        <v>22287</v>
      </c>
      <c r="W3970" s="1"/>
      <c r="X3970" s="2" t="s">
        <v>997</v>
      </c>
      <c r="Y3970" s="2" t="s">
        <v>21087</v>
      </c>
      <c r="AA3970" t="str">
        <f t="shared" si="366"/>
        <v>2025-02</v>
      </c>
      <c r="AB3970" t="str">
        <f t="shared" si="367"/>
        <v>H1_2025</v>
      </c>
      <c r="AC3970">
        <f t="shared" si="368"/>
        <v>973332</v>
      </c>
      <c r="AD3970">
        <f t="shared" si="369"/>
        <v>150</v>
      </c>
      <c r="AE3970">
        <f t="shared" si="370"/>
        <v>277332</v>
      </c>
      <c r="AF3970" t="str">
        <f t="shared" si="371"/>
        <v>Paid</v>
      </c>
    </row>
    <row r="3971" spans="1:32" ht="17.25" thickBot="1" x14ac:dyDescent="0.35">
      <c r="A3971" s="2" t="s">
        <v>22288</v>
      </c>
      <c r="B3971" s="2" t="s">
        <v>27</v>
      </c>
      <c r="C3971" s="2" t="s">
        <v>28</v>
      </c>
      <c r="D3971" s="2" t="s">
        <v>97</v>
      </c>
      <c r="E3971" s="2" t="s">
        <v>21084</v>
      </c>
      <c r="F3971" s="2" t="s">
        <v>31</v>
      </c>
      <c r="G3971" s="2" t="s">
        <v>32</v>
      </c>
      <c r="H3971" s="1"/>
      <c r="I3971" s="2" t="s">
        <v>33</v>
      </c>
      <c r="J3971" s="2" t="s">
        <v>34</v>
      </c>
      <c r="K3971" s="2" t="s">
        <v>1122</v>
      </c>
      <c r="L3971" s="2" t="s">
        <v>1123</v>
      </c>
      <c r="M3971" s="2" t="s">
        <v>37</v>
      </c>
      <c r="N3971" s="2" t="s">
        <v>38</v>
      </c>
      <c r="O3971" s="2" t="s">
        <v>877</v>
      </c>
      <c r="P3971" s="2" t="s">
        <v>21194</v>
      </c>
      <c r="Q3971" s="2" t="s">
        <v>22289</v>
      </c>
      <c r="R3971" s="2" t="s">
        <v>40</v>
      </c>
      <c r="S3971" s="2" t="s">
        <v>22290</v>
      </c>
      <c r="T3971" s="2" t="s">
        <v>107</v>
      </c>
      <c r="U3971" s="2" t="s">
        <v>14315</v>
      </c>
      <c r="V3971" s="2" t="s">
        <v>22291</v>
      </c>
      <c r="W3971" s="1"/>
      <c r="X3971" s="2" t="s">
        <v>22292</v>
      </c>
      <c r="Y3971" s="2" t="s">
        <v>21087</v>
      </c>
      <c r="AA3971" t="str">
        <f t="shared" si="366"/>
        <v>2025-02</v>
      </c>
      <c r="AB3971" t="str">
        <f t="shared" si="367"/>
        <v>H1_2025</v>
      </c>
      <c r="AC3971">
        <f t="shared" si="368"/>
        <v>607621</v>
      </c>
      <c r="AD3971">
        <f t="shared" si="369"/>
        <v>100</v>
      </c>
      <c r="AE3971">
        <f t="shared" si="370"/>
        <v>47621</v>
      </c>
      <c r="AF3971" t="str">
        <f t="shared" si="371"/>
        <v>Paid</v>
      </c>
    </row>
    <row r="3972" spans="1:32" ht="17.25" thickBot="1" x14ac:dyDescent="0.35">
      <c r="A3972" s="2" t="s">
        <v>22293</v>
      </c>
      <c r="B3972" s="2" t="s">
        <v>27</v>
      </c>
      <c r="C3972" s="2" t="s">
        <v>28</v>
      </c>
      <c r="D3972" s="2" t="s">
        <v>97</v>
      </c>
      <c r="E3972" s="2" t="s">
        <v>21084</v>
      </c>
      <c r="F3972" s="2" t="s">
        <v>31</v>
      </c>
      <c r="G3972" s="2" t="s">
        <v>32</v>
      </c>
      <c r="H3972" s="1"/>
      <c r="I3972" s="2" t="s">
        <v>33</v>
      </c>
      <c r="J3972" s="2" t="s">
        <v>34</v>
      </c>
      <c r="K3972" s="2" t="s">
        <v>6488</v>
      </c>
      <c r="L3972" s="2" t="s">
        <v>6489</v>
      </c>
      <c r="M3972" s="2" t="s">
        <v>37</v>
      </c>
      <c r="N3972" s="2" t="s">
        <v>38</v>
      </c>
      <c r="O3972" s="2" t="s">
        <v>2057</v>
      </c>
      <c r="P3972" s="2" t="s">
        <v>1133</v>
      </c>
      <c r="Q3972" s="2" t="s">
        <v>22294</v>
      </c>
      <c r="R3972" s="2" t="s">
        <v>40</v>
      </c>
      <c r="S3972" s="2" t="s">
        <v>22295</v>
      </c>
      <c r="T3972" s="2" t="s">
        <v>9869</v>
      </c>
      <c r="U3972" s="2" t="s">
        <v>118</v>
      </c>
      <c r="V3972" s="2" t="s">
        <v>22296</v>
      </c>
      <c r="W3972" s="1"/>
      <c r="X3972" s="2" t="s">
        <v>796</v>
      </c>
      <c r="Y3972" s="2" t="s">
        <v>21087</v>
      </c>
      <c r="AA3972" t="str">
        <f t="shared" ref="AA3972:AA4035" si="372">LEFT(E3972,7)</f>
        <v>2025-02</v>
      </c>
      <c r="AB3972" t="str">
        <f t="shared" ref="AB3972:AB4035" si="373">IF(AND($AA3972&gt;="2025-01",$AA3972&lt;="2025-06"),"H1_2025",IF(AND($AA3972&gt;="2026-01",$AA3972&lt;="2026-06"),"H1_2026",""))</f>
        <v>H1_2025</v>
      </c>
      <c r="AC3972">
        <f t="shared" ref="AC3972:AC4035" si="374">IFERROR(VALUE(SUBSTITUTE(S3972,",","")),0)</f>
        <v>1703331</v>
      </c>
      <c r="AD3972">
        <f t="shared" ref="AD3972:AD4035" si="375">IFERROR(VALUE(SUBSTITUTE(O3972,",","")),0)</f>
        <v>350</v>
      </c>
      <c r="AE3972">
        <f t="shared" ref="AE3972:AE4035" si="376">IFERROR(VALUE(SUBSTITUTE(V3972,",","")),0)</f>
        <v>359331</v>
      </c>
      <c r="AF3972" t="str">
        <f t="shared" ref="AF3972:AF4035" si="377">IF(ISNUMBER(SEARCH("FOC",W3972)),"FOC",IF(ISNUMBER(SEARCH("샘플",W3972)),"Sample","Paid"))</f>
        <v>Paid</v>
      </c>
    </row>
    <row r="3973" spans="1:32" ht="27.75" thickBot="1" x14ac:dyDescent="0.35">
      <c r="A3973" s="2" t="s">
        <v>22297</v>
      </c>
      <c r="B3973" s="2" t="s">
        <v>27</v>
      </c>
      <c r="C3973" s="2" t="s">
        <v>28</v>
      </c>
      <c r="D3973" s="2" t="s">
        <v>97</v>
      </c>
      <c r="E3973" s="2" t="s">
        <v>21084</v>
      </c>
      <c r="F3973" s="2" t="s">
        <v>31</v>
      </c>
      <c r="G3973" s="2" t="s">
        <v>32</v>
      </c>
      <c r="H3973" s="1"/>
      <c r="I3973" s="2" t="s">
        <v>33</v>
      </c>
      <c r="J3973" s="2" t="s">
        <v>34</v>
      </c>
      <c r="K3973" s="2" t="s">
        <v>7155</v>
      </c>
      <c r="L3973" s="2" t="s">
        <v>7156</v>
      </c>
      <c r="M3973" s="2" t="s">
        <v>37</v>
      </c>
      <c r="N3973" s="2" t="s">
        <v>38</v>
      </c>
      <c r="O3973" s="2" t="s">
        <v>1333</v>
      </c>
      <c r="P3973" s="2" t="s">
        <v>1175</v>
      </c>
      <c r="Q3973" s="2" t="s">
        <v>7049</v>
      </c>
      <c r="R3973" s="2" t="s">
        <v>40</v>
      </c>
      <c r="S3973" s="2" t="s">
        <v>22298</v>
      </c>
      <c r="T3973" s="2" t="s">
        <v>8480</v>
      </c>
      <c r="U3973" s="2" t="s">
        <v>4381</v>
      </c>
      <c r="V3973" s="2" t="s">
        <v>22299</v>
      </c>
      <c r="W3973" s="1"/>
      <c r="X3973" s="2" t="s">
        <v>3259</v>
      </c>
      <c r="Y3973" s="2" t="s">
        <v>21087</v>
      </c>
      <c r="AA3973" t="str">
        <f t="shared" si="372"/>
        <v>2025-02</v>
      </c>
      <c r="AB3973" t="str">
        <f t="shared" si="373"/>
        <v>H1_2025</v>
      </c>
      <c r="AC3973">
        <f t="shared" si="374"/>
        <v>1338331.5</v>
      </c>
      <c r="AD3973">
        <f t="shared" si="375"/>
        <v>150</v>
      </c>
      <c r="AE3973">
        <f t="shared" si="376"/>
        <v>303331.5</v>
      </c>
      <c r="AF3973" t="str">
        <f t="shared" si="377"/>
        <v>Paid</v>
      </c>
    </row>
    <row r="3974" spans="1:32" ht="17.25" thickBot="1" x14ac:dyDescent="0.35">
      <c r="A3974" s="2" t="s">
        <v>22300</v>
      </c>
      <c r="B3974" s="2" t="s">
        <v>27</v>
      </c>
      <c r="C3974" s="2" t="s">
        <v>28</v>
      </c>
      <c r="D3974" s="2" t="s">
        <v>97</v>
      </c>
      <c r="E3974" s="2" t="s">
        <v>21084</v>
      </c>
      <c r="F3974" s="2" t="s">
        <v>31</v>
      </c>
      <c r="G3974" s="2" t="s">
        <v>32</v>
      </c>
      <c r="H3974" s="1"/>
      <c r="I3974" s="2" t="s">
        <v>33</v>
      </c>
      <c r="J3974" s="2" t="s">
        <v>34</v>
      </c>
      <c r="K3974" s="2" t="s">
        <v>6499</v>
      </c>
      <c r="L3974" s="2" t="s">
        <v>6500</v>
      </c>
      <c r="M3974" s="2" t="s">
        <v>37</v>
      </c>
      <c r="N3974" s="2" t="s">
        <v>38</v>
      </c>
      <c r="O3974" s="2" t="s">
        <v>214</v>
      </c>
      <c r="P3974" s="2" t="s">
        <v>1175</v>
      </c>
      <c r="Q3974" s="2" t="s">
        <v>1717</v>
      </c>
      <c r="R3974" s="2" t="s">
        <v>40</v>
      </c>
      <c r="S3974" s="2" t="s">
        <v>22301</v>
      </c>
      <c r="T3974" s="2" t="s">
        <v>8480</v>
      </c>
      <c r="U3974" s="2" t="s">
        <v>22302</v>
      </c>
      <c r="V3974" s="2" t="s">
        <v>22303</v>
      </c>
      <c r="W3974" s="1"/>
      <c r="X3974" s="2" t="s">
        <v>3259</v>
      </c>
      <c r="Y3974" s="2" t="s">
        <v>21087</v>
      </c>
      <c r="AA3974" t="str">
        <f t="shared" si="372"/>
        <v>2025-02</v>
      </c>
      <c r="AB3974" t="str">
        <f t="shared" si="373"/>
        <v>H1_2025</v>
      </c>
      <c r="AC3974">
        <f t="shared" si="374"/>
        <v>446110.5</v>
      </c>
      <c r="AD3974">
        <f t="shared" si="375"/>
        <v>50</v>
      </c>
      <c r="AE3974">
        <f t="shared" si="376"/>
        <v>101110.5</v>
      </c>
      <c r="AF3974" t="str">
        <f t="shared" si="377"/>
        <v>Paid</v>
      </c>
    </row>
    <row r="3975" spans="1:32" ht="17.25" thickBot="1" x14ac:dyDescent="0.35">
      <c r="A3975" s="2" t="s">
        <v>22304</v>
      </c>
      <c r="B3975" s="2" t="s">
        <v>27</v>
      </c>
      <c r="C3975" s="2" t="s">
        <v>28</v>
      </c>
      <c r="D3975" s="2" t="s">
        <v>97</v>
      </c>
      <c r="E3975" s="2" t="s">
        <v>21084</v>
      </c>
      <c r="F3975" s="2" t="s">
        <v>31</v>
      </c>
      <c r="G3975" s="2" t="s">
        <v>32</v>
      </c>
      <c r="H3975" s="1"/>
      <c r="I3975" s="2" t="s">
        <v>33</v>
      </c>
      <c r="J3975" s="2" t="s">
        <v>34</v>
      </c>
      <c r="K3975" s="2" t="s">
        <v>22305</v>
      </c>
      <c r="L3975" s="2" t="s">
        <v>22306</v>
      </c>
      <c r="M3975" s="2" t="s">
        <v>37</v>
      </c>
      <c r="N3975" s="2" t="s">
        <v>38</v>
      </c>
      <c r="O3975" s="2" t="s">
        <v>877</v>
      </c>
      <c r="P3975" s="2" t="s">
        <v>1344</v>
      </c>
      <c r="Q3975" s="2" t="s">
        <v>21539</v>
      </c>
      <c r="R3975" s="2" t="s">
        <v>40</v>
      </c>
      <c r="S3975" s="2" t="s">
        <v>21540</v>
      </c>
      <c r="T3975" s="2" t="s">
        <v>3079</v>
      </c>
      <c r="U3975" s="2" t="s">
        <v>15946</v>
      </c>
      <c r="V3975" s="2" t="s">
        <v>22307</v>
      </c>
      <c r="W3975" s="1"/>
      <c r="X3975" s="2" t="s">
        <v>997</v>
      </c>
      <c r="Y3975" s="2" t="s">
        <v>21087</v>
      </c>
      <c r="AA3975" t="str">
        <f t="shared" si="372"/>
        <v>2025-02</v>
      </c>
      <c r="AB3975" t="str">
        <f t="shared" si="373"/>
        <v>H1_2025</v>
      </c>
      <c r="AC3975">
        <f t="shared" si="374"/>
        <v>811110</v>
      </c>
      <c r="AD3975">
        <f t="shared" si="375"/>
        <v>100</v>
      </c>
      <c r="AE3975">
        <f t="shared" si="376"/>
        <v>231110</v>
      </c>
      <c r="AF3975" t="str">
        <f t="shared" si="377"/>
        <v>Paid</v>
      </c>
    </row>
    <row r="3976" spans="1:32" ht="17.25" thickBot="1" x14ac:dyDescent="0.35">
      <c r="A3976" s="2" t="s">
        <v>22308</v>
      </c>
      <c r="B3976" s="2" t="s">
        <v>27</v>
      </c>
      <c r="C3976" s="2" t="s">
        <v>28</v>
      </c>
      <c r="D3976" s="2" t="s">
        <v>97</v>
      </c>
      <c r="E3976" s="2" t="s">
        <v>21084</v>
      </c>
      <c r="F3976" s="2" t="s">
        <v>31</v>
      </c>
      <c r="G3976" s="2" t="s">
        <v>32</v>
      </c>
      <c r="H3976" s="1"/>
      <c r="I3976" s="2" t="s">
        <v>33</v>
      </c>
      <c r="J3976" s="2" t="s">
        <v>34</v>
      </c>
      <c r="K3976" s="2" t="s">
        <v>4664</v>
      </c>
      <c r="L3976" s="2" t="s">
        <v>4665</v>
      </c>
      <c r="M3976" s="2" t="s">
        <v>37</v>
      </c>
      <c r="N3976" s="2" t="s">
        <v>38</v>
      </c>
      <c r="O3976" s="2" t="s">
        <v>877</v>
      </c>
      <c r="P3976" s="2" t="s">
        <v>4887</v>
      </c>
      <c r="Q3976" s="2" t="s">
        <v>22309</v>
      </c>
      <c r="R3976" s="2" t="s">
        <v>40</v>
      </c>
      <c r="S3976" s="2" t="s">
        <v>22310</v>
      </c>
      <c r="T3976" s="2" t="s">
        <v>4667</v>
      </c>
      <c r="U3976" s="2" t="s">
        <v>6683</v>
      </c>
      <c r="V3976" s="2" t="s">
        <v>22311</v>
      </c>
      <c r="W3976" s="1"/>
      <c r="X3976" s="2" t="s">
        <v>11500</v>
      </c>
      <c r="Y3976" s="2" t="s">
        <v>21087</v>
      </c>
      <c r="AA3976" t="str">
        <f t="shared" si="372"/>
        <v>2025-02</v>
      </c>
      <c r="AB3976" t="str">
        <f t="shared" si="373"/>
        <v>H1_2025</v>
      </c>
      <c r="AC3976">
        <f t="shared" si="374"/>
        <v>769843</v>
      </c>
      <c r="AD3976">
        <f t="shared" si="375"/>
        <v>100</v>
      </c>
      <c r="AE3976">
        <f t="shared" si="376"/>
        <v>104843</v>
      </c>
      <c r="AF3976" t="str">
        <f t="shared" si="377"/>
        <v>Paid</v>
      </c>
    </row>
    <row r="3977" spans="1:32" ht="17.25" thickBot="1" x14ac:dyDescent="0.35">
      <c r="A3977" s="2" t="s">
        <v>22312</v>
      </c>
      <c r="B3977" s="2" t="s">
        <v>27</v>
      </c>
      <c r="C3977" s="2" t="s">
        <v>28</v>
      </c>
      <c r="D3977" s="2" t="s">
        <v>97</v>
      </c>
      <c r="E3977" s="2" t="s">
        <v>21084</v>
      </c>
      <c r="F3977" s="2" t="s">
        <v>31</v>
      </c>
      <c r="G3977" s="2" t="s">
        <v>32</v>
      </c>
      <c r="H3977" s="1"/>
      <c r="I3977" s="2" t="s">
        <v>33</v>
      </c>
      <c r="J3977" s="2" t="s">
        <v>34</v>
      </c>
      <c r="K3977" s="2" t="s">
        <v>14614</v>
      </c>
      <c r="L3977" s="2" t="s">
        <v>14615</v>
      </c>
      <c r="M3977" s="2" t="s">
        <v>37</v>
      </c>
      <c r="N3977" s="2" t="s">
        <v>38</v>
      </c>
      <c r="O3977" s="2" t="s">
        <v>214</v>
      </c>
      <c r="P3977" s="2" t="s">
        <v>4887</v>
      </c>
      <c r="Q3977" s="2" t="s">
        <v>22313</v>
      </c>
      <c r="R3977" s="2" t="s">
        <v>40</v>
      </c>
      <c r="S3977" s="2" t="s">
        <v>22314</v>
      </c>
      <c r="T3977" s="2" t="s">
        <v>4667</v>
      </c>
      <c r="U3977" s="2" t="s">
        <v>18302</v>
      </c>
      <c r="V3977" s="2" t="s">
        <v>22315</v>
      </c>
      <c r="W3977" s="1"/>
      <c r="X3977" s="2" t="s">
        <v>11500</v>
      </c>
      <c r="Y3977" s="2" t="s">
        <v>21087</v>
      </c>
      <c r="AA3977" t="str">
        <f t="shared" si="372"/>
        <v>2025-02</v>
      </c>
      <c r="AB3977" t="str">
        <f t="shared" si="373"/>
        <v>H1_2025</v>
      </c>
      <c r="AC3977">
        <f t="shared" si="374"/>
        <v>384921.5</v>
      </c>
      <c r="AD3977">
        <f t="shared" si="375"/>
        <v>50</v>
      </c>
      <c r="AE3977">
        <f t="shared" si="376"/>
        <v>52421.5</v>
      </c>
      <c r="AF3977" t="str">
        <f t="shared" si="377"/>
        <v>Paid</v>
      </c>
    </row>
    <row r="3978" spans="1:32" ht="17.25" thickBot="1" x14ac:dyDescent="0.35">
      <c r="A3978" s="2" t="s">
        <v>22316</v>
      </c>
      <c r="B3978" s="2" t="s">
        <v>27</v>
      </c>
      <c r="C3978" s="2" t="s">
        <v>28</v>
      </c>
      <c r="D3978" s="2" t="s">
        <v>97</v>
      </c>
      <c r="E3978" s="2" t="s">
        <v>21084</v>
      </c>
      <c r="F3978" s="2" t="s">
        <v>31</v>
      </c>
      <c r="G3978" s="2" t="s">
        <v>32</v>
      </c>
      <c r="H3978" s="1"/>
      <c r="I3978" s="2" t="s">
        <v>33</v>
      </c>
      <c r="J3978" s="2" t="s">
        <v>34</v>
      </c>
      <c r="K3978" s="2" t="s">
        <v>1173</v>
      </c>
      <c r="L3978" s="2" t="s">
        <v>1174</v>
      </c>
      <c r="M3978" s="2" t="s">
        <v>37</v>
      </c>
      <c r="N3978" s="2" t="s">
        <v>38</v>
      </c>
      <c r="O3978" s="2" t="s">
        <v>214</v>
      </c>
      <c r="P3978" s="2" t="s">
        <v>1175</v>
      </c>
      <c r="Q3978" s="2" t="s">
        <v>1717</v>
      </c>
      <c r="R3978" s="2" t="s">
        <v>40</v>
      </c>
      <c r="S3978" s="2" t="s">
        <v>22301</v>
      </c>
      <c r="T3978" s="2" t="s">
        <v>126</v>
      </c>
      <c r="U3978" s="2" t="s">
        <v>1729</v>
      </c>
      <c r="V3978" s="2" t="s">
        <v>22317</v>
      </c>
      <c r="W3978" s="1"/>
      <c r="X3978" s="2" t="s">
        <v>22318</v>
      </c>
      <c r="Y3978" s="2" t="s">
        <v>21087</v>
      </c>
      <c r="AA3978" t="str">
        <f t="shared" si="372"/>
        <v>2025-02</v>
      </c>
      <c r="AB3978" t="str">
        <f t="shared" si="373"/>
        <v>H1_2025</v>
      </c>
      <c r="AC3978">
        <f t="shared" si="374"/>
        <v>446110.5</v>
      </c>
      <c r="AD3978">
        <f t="shared" si="375"/>
        <v>50</v>
      </c>
      <c r="AE3978">
        <f t="shared" si="376"/>
        <v>131110.5</v>
      </c>
      <c r="AF3978" t="str">
        <f t="shared" si="377"/>
        <v>Paid</v>
      </c>
    </row>
    <row r="3979" spans="1:32" ht="17.25" thickBot="1" x14ac:dyDescent="0.35">
      <c r="A3979" s="2" t="s">
        <v>22319</v>
      </c>
      <c r="B3979" s="2" t="s">
        <v>27</v>
      </c>
      <c r="C3979" s="2" t="s">
        <v>28</v>
      </c>
      <c r="D3979" s="2" t="s">
        <v>97</v>
      </c>
      <c r="E3979" s="2" t="s">
        <v>21084</v>
      </c>
      <c r="F3979" s="2" t="s">
        <v>31</v>
      </c>
      <c r="G3979" s="2" t="s">
        <v>32</v>
      </c>
      <c r="H3979" s="1"/>
      <c r="I3979" s="2" t="s">
        <v>33</v>
      </c>
      <c r="J3979" s="2" t="s">
        <v>34</v>
      </c>
      <c r="K3979" s="2" t="s">
        <v>6543</v>
      </c>
      <c r="L3979" s="2" t="s">
        <v>6544</v>
      </c>
      <c r="M3979" s="2" t="s">
        <v>37</v>
      </c>
      <c r="N3979" s="2" t="s">
        <v>38</v>
      </c>
      <c r="O3979" s="2" t="s">
        <v>206</v>
      </c>
      <c r="P3979" s="2" t="s">
        <v>4887</v>
      </c>
      <c r="Q3979" s="2" t="s">
        <v>22320</v>
      </c>
      <c r="R3979" s="2" t="s">
        <v>40</v>
      </c>
      <c r="S3979" s="2" t="s">
        <v>22321</v>
      </c>
      <c r="T3979" s="2" t="s">
        <v>8903</v>
      </c>
      <c r="U3979" s="2" t="s">
        <v>22322</v>
      </c>
      <c r="V3979" s="2" t="s">
        <v>22323</v>
      </c>
      <c r="W3979" s="1"/>
      <c r="X3979" s="2" t="s">
        <v>18231</v>
      </c>
      <c r="Y3979" s="2" t="s">
        <v>21087</v>
      </c>
      <c r="AA3979" t="str">
        <f t="shared" si="372"/>
        <v>2025-02</v>
      </c>
      <c r="AB3979" t="str">
        <f t="shared" si="373"/>
        <v>H1_2025</v>
      </c>
      <c r="AC3979">
        <f t="shared" si="374"/>
        <v>3849215</v>
      </c>
      <c r="AD3979">
        <f t="shared" si="375"/>
        <v>500</v>
      </c>
      <c r="AE3979">
        <f t="shared" si="376"/>
        <v>1094215</v>
      </c>
      <c r="AF3979" t="str">
        <f t="shared" si="377"/>
        <v>Paid</v>
      </c>
    </row>
    <row r="3980" spans="1:32" ht="17.25" thickBot="1" x14ac:dyDescent="0.35">
      <c r="A3980" s="2" t="s">
        <v>22324</v>
      </c>
      <c r="B3980" s="2" t="s">
        <v>27</v>
      </c>
      <c r="C3980" s="2" t="s">
        <v>28</v>
      </c>
      <c r="D3980" s="2" t="s">
        <v>97</v>
      </c>
      <c r="E3980" s="2" t="s">
        <v>21084</v>
      </c>
      <c r="F3980" s="2" t="s">
        <v>31</v>
      </c>
      <c r="G3980" s="2" t="s">
        <v>32</v>
      </c>
      <c r="H3980" s="1"/>
      <c r="I3980" s="2" t="s">
        <v>33</v>
      </c>
      <c r="J3980" s="2" t="s">
        <v>34</v>
      </c>
      <c r="K3980" s="2" t="s">
        <v>6550</v>
      </c>
      <c r="L3980" s="2" t="s">
        <v>6551</v>
      </c>
      <c r="M3980" s="2" t="s">
        <v>37</v>
      </c>
      <c r="N3980" s="2" t="s">
        <v>38</v>
      </c>
      <c r="O3980" s="2" t="s">
        <v>149</v>
      </c>
      <c r="P3980" s="2" t="s">
        <v>3568</v>
      </c>
      <c r="Q3980" s="2" t="s">
        <v>14688</v>
      </c>
      <c r="R3980" s="2" t="s">
        <v>40</v>
      </c>
      <c r="S3980" s="2" t="s">
        <v>22325</v>
      </c>
      <c r="T3980" s="2" t="s">
        <v>1262</v>
      </c>
      <c r="U3980" s="2" t="s">
        <v>22326</v>
      </c>
      <c r="V3980" s="2" t="s">
        <v>22327</v>
      </c>
      <c r="W3980" s="1"/>
      <c r="X3980" s="2" t="s">
        <v>11500</v>
      </c>
      <c r="Y3980" s="2" t="s">
        <v>21087</v>
      </c>
      <c r="AA3980" t="str">
        <f t="shared" si="372"/>
        <v>2025-02</v>
      </c>
      <c r="AB3980" t="str">
        <f t="shared" si="373"/>
        <v>H1_2025</v>
      </c>
      <c r="AC3980">
        <f t="shared" si="374"/>
        <v>1579530</v>
      </c>
      <c r="AD3980">
        <f t="shared" si="375"/>
        <v>300</v>
      </c>
      <c r="AE3980">
        <f t="shared" si="376"/>
        <v>214530</v>
      </c>
      <c r="AF3980" t="str">
        <f t="shared" si="377"/>
        <v>Paid</v>
      </c>
    </row>
    <row r="3981" spans="1:32" ht="17.25" thickBot="1" x14ac:dyDescent="0.35">
      <c r="A3981" s="2" t="s">
        <v>22328</v>
      </c>
      <c r="B3981" s="2" t="s">
        <v>27</v>
      </c>
      <c r="C3981" s="2" t="s">
        <v>28</v>
      </c>
      <c r="D3981" s="2" t="s">
        <v>97</v>
      </c>
      <c r="E3981" s="2" t="s">
        <v>21084</v>
      </c>
      <c r="F3981" s="2" t="s">
        <v>31</v>
      </c>
      <c r="G3981" s="2" t="s">
        <v>32</v>
      </c>
      <c r="H3981" s="1"/>
      <c r="I3981" s="2" t="s">
        <v>33</v>
      </c>
      <c r="J3981" s="2" t="s">
        <v>34</v>
      </c>
      <c r="K3981" s="2" t="s">
        <v>22329</v>
      </c>
      <c r="L3981" s="2" t="s">
        <v>22330</v>
      </c>
      <c r="M3981" s="2" t="s">
        <v>37</v>
      </c>
      <c r="N3981" s="2" t="s">
        <v>38</v>
      </c>
      <c r="O3981" s="2" t="s">
        <v>234</v>
      </c>
      <c r="P3981" s="2" t="s">
        <v>1344</v>
      </c>
      <c r="Q3981" s="2" t="s">
        <v>16708</v>
      </c>
      <c r="R3981" s="2" t="s">
        <v>40</v>
      </c>
      <c r="S3981" s="2" t="s">
        <v>22331</v>
      </c>
      <c r="T3981" s="2" t="s">
        <v>3079</v>
      </c>
      <c r="U3981" s="2" t="s">
        <v>22332</v>
      </c>
      <c r="V3981" s="2" t="s">
        <v>22333</v>
      </c>
      <c r="W3981" s="1"/>
      <c r="X3981" s="2" t="s">
        <v>997</v>
      </c>
      <c r="Y3981" s="2" t="s">
        <v>21087</v>
      </c>
      <c r="AA3981" t="str">
        <f t="shared" si="372"/>
        <v>2025-02</v>
      </c>
      <c r="AB3981" t="str">
        <f t="shared" si="373"/>
        <v>H1_2025</v>
      </c>
      <c r="AC3981">
        <f t="shared" si="374"/>
        <v>235221.9</v>
      </c>
      <c r="AD3981">
        <f t="shared" si="375"/>
        <v>29</v>
      </c>
      <c r="AE3981">
        <f t="shared" si="376"/>
        <v>67021.899999999994</v>
      </c>
      <c r="AF3981" t="str">
        <f t="shared" si="377"/>
        <v>Paid</v>
      </c>
    </row>
    <row r="3982" spans="1:32" ht="17.25" thickBot="1" x14ac:dyDescent="0.35">
      <c r="A3982" s="2" t="s">
        <v>22334</v>
      </c>
      <c r="B3982" s="2" t="s">
        <v>27</v>
      </c>
      <c r="C3982" s="2" t="s">
        <v>28</v>
      </c>
      <c r="D3982" s="2" t="s">
        <v>97</v>
      </c>
      <c r="E3982" s="2" t="s">
        <v>21084</v>
      </c>
      <c r="F3982" s="2" t="s">
        <v>31</v>
      </c>
      <c r="G3982" s="2" t="s">
        <v>32</v>
      </c>
      <c r="H3982" s="1"/>
      <c r="I3982" s="2" t="s">
        <v>33</v>
      </c>
      <c r="J3982" s="2" t="s">
        <v>34</v>
      </c>
      <c r="K3982" s="2" t="s">
        <v>8910</v>
      </c>
      <c r="L3982" s="2" t="s">
        <v>8911</v>
      </c>
      <c r="M3982" s="2" t="s">
        <v>37</v>
      </c>
      <c r="N3982" s="2" t="s">
        <v>38</v>
      </c>
      <c r="O3982" s="2" t="s">
        <v>166</v>
      </c>
      <c r="P3982" s="2" t="s">
        <v>1344</v>
      </c>
      <c r="Q3982" s="2" t="s">
        <v>18414</v>
      </c>
      <c r="R3982" s="2" t="s">
        <v>40</v>
      </c>
      <c r="S3982" s="2" t="s">
        <v>22335</v>
      </c>
      <c r="T3982" s="2" t="s">
        <v>8853</v>
      </c>
      <c r="U3982" s="2" t="s">
        <v>22336</v>
      </c>
      <c r="V3982" s="2" t="s">
        <v>22337</v>
      </c>
      <c r="W3982" s="1"/>
      <c r="X3982" s="2" t="s">
        <v>7041</v>
      </c>
      <c r="Y3982" s="2" t="s">
        <v>21087</v>
      </c>
      <c r="AA3982" t="str">
        <f t="shared" si="372"/>
        <v>2025-02</v>
      </c>
      <c r="AB3982" t="str">
        <f t="shared" si="373"/>
        <v>H1_2025</v>
      </c>
      <c r="AC3982">
        <f t="shared" si="374"/>
        <v>170333.1</v>
      </c>
      <c r="AD3982">
        <f t="shared" si="375"/>
        <v>21</v>
      </c>
      <c r="AE3982">
        <f t="shared" si="376"/>
        <v>47483.1</v>
      </c>
      <c r="AF3982" t="str">
        <f t="shared" si="377"/>
        <v>Paid</v>
      </c>
    </row>
    <row r="3983" spans="1:32" ht="17.25" thickBot="1" x14ac:dyDescent="0.35">
      <c r="A3983" s="2" t="s">
        <v>22338</v>
      </c>
      <c r="B3983" s="2" t="s">
        <v>27</v>
      </c>
      <c r="C3983" s="2" t="s">
        <v>28</v>
      </c>
      <c r="D3983" s="2" t="s">
        <v>97</v>
      </c>
      <c r="E3983" s="2" t="s">
        <v>21084</v>
      </c>
      <c r="F3983" s="2" t="s">
        <v>31</v>
      </c>
      <c r="G3983" s="2" t="s">
        <v>32</v>
      </c>
      <c r="H3983" s="1"/>
      <c r="I3983" s="2" t="s">
        <v>33</v>
      </c>
      <c r="J3983" s="2" t="s">
        <v>34</v>
      </c>
      <c r="K3983" s="2" t="s">
        <v>22339</v>
      </c>
      <c r="L3983" s="2" t="s">
        <v>22340</v>
      </c>
      <c r="M3983" s="2" t="s">
        <v>37</v>
      </c>
      <c r="N3983" s="2" t="s">
        <v>38</v>
      </c>
      <c r="O3983" s="2" t="s">
        <v>214</v>
      </c>
      <c r="P3983" s="2" t="s">
        <v>7185</v>
      </c>
      <c r="Q3983" s="2" t="s">
        <v>22341</v>
      </c>
      <c r="R3983" s="2" t="s">
        <v>40</v>
      </c>
      <c r="S3983" s="2" t="s">
        <v>22342</v>
      </c>
      <c r="T3983" s="2" t="s">
        <v>297</v>
      </c>
      <c r="U3983" s="2" t="s">
        <v>844</v>
      </c>
      <c r="V3983" s="2" t="s">
        <v>22343</v>
      </c>
      <c r="W3983" s="1"/>
      <c r="X3983" s="2" t="s">
        <v>22344</v>
      </c>
      <c r="Y3983" s="2" t="s">
        <v>21087</v>
      </c>
      <c r="AA3983" t="str">
        <f t="shared" si="372"/>
        <v>2025-02</v>
      </c>
      <c r="AB3983" t="str">
        <f t="shared" si="373"/>
        <v>H1_2025</v>
      </c>
      <c r="AC3983">
        <f t="shared" si="374"/>
        <v>729287.5</v>
      </c>
      <c r="AD3983">
        <f t="shared" si="375"/>
        <v>50</v>
      </c>
      <c r="AE3983">
        <f t="shared" si="376"/>
        <v>329287.5</v>
      </c>
      <c r="AF3983" t="str">
        <f t="shared" si="377"/>
        <v>Paid</v>
      </c>
    </row>
    <row r="3984" spans="1:32" ht="17.25" thickBot="1" x14ac:dyDescent="0.35">
      <c r="A3984" s="2" t="s">
        <v>22345</v>
      </c>
      <c r="B3984" s="2" t="s">
        <v>27</v>
      </c>
      <c r="C3984" s="2" t="s">
        <v>28</v>
      </c>
      <c r="D3984" s="2" t="s">
        <v>97</v>
      </c>
      <c r="E3984" s="2" t="s">
        <v>21084</v>
      </c>
      <c r="F3984" s="2" t="s">
        <v>31</v>
      </c>
      <c r="G3984" s="2" t="s">
        <v>32</v>
      </c>
      <c r="H3984" s="1"/>
      <c r="I3984" s="2" t="s">
        <v>33</v>
      </c>
      <c r="J3984" s="2" t="s">
        <v>34</v>
      </c>
      <c r="K3984" s="2" t="s">
        <v>22346</v>
      </c>
      <c r="L3984" s="2" t="s">
        <v>22347</v>
      </c>
      <c r="M3984" s="2" t="s">
        <v>37</v>
      </c>
      <c r="N3984" s="2" t="s">
        <v>38</v>
      </c>
      <c r="O3984" s="2" t="s">
        <v>773</v>
      </c>
      <c r="P3984" s="2" t="s">
        <v>449</v>
      </c>
      <c r="Q3984" s="2" t="s">
        <v>21441</v>
      </c>
      <c r="R3984" s="2" t="s">
        <v>40</v>
      </c>
      <c r="S3984" s="2" t="s">
        <v>21442</v>
      </c>
      <c r="T3984" s="2" t="s">
        <v>6559</v>
      </c>
      <c r="U3984" s="2" t="s">
        <v>11769</v>
      </c>
      <c r="V3984" s="2" t="s">
        <v>22348</v>
      </c>
      <c r="W3984" s="1"/>
      <c r="X3984" s="2" t="s">
        <v>997</v>
      </c>
      <c r="Y3984" s="2" t="s">
        <v>21087</v>
      </c>
      <c r="AA3984" t="str">
        <f t="shared" si="372"/>
        <v>2025-02</v>
      </c>
      <c r="AB3984" t="str">
        <f t="shared" si="373"/>
        <v>H1_2025</v>
      </c>
      <c r="AC3984">
        <f t="shared" si="374"/>
        <v>2433330</v>
      </c>
      <c r="AD3984">
        <f t="shared" si="375"/>
        <v>200</v>
      </c>
      <c r="AE3984">
        <f t="shared" si="376"/>
        <v>693330</v>
      </c>
      <c r="AF3984" t="str">
        <f t="shared" si="377"/>
        <v>Paid</v>
      </c>
    </row>
    <row r="3985" spans="1:32" ht="17.25" thickBot="1" x14ac:dyDescent="0.35">
      <c r="A3985" s="2" t="s">
        <v>22349</v>
      </c>
      <c r="B3985" s="2" t="s">
        <v>27</v>
      </c>
      <c r="C3985" s="2" t="s">
        <v>28</v>
      </c>
      <c r="D3985" s="2" t="s">
        <v>97</v>
      </c>
      <c r="E3985" s="2" t="s">
        <v>21084</v>
      </c>
      <c r="F3985" s="2" t="s">
        <v>31</v>
      </c>
      <c r="G3985" s="2" t="s">
        <v>32</v>
      </c>
      <c r="H3985" s="1"/>
      <c r="I3985" s="2" t="s">
        <v>33</v>
      </c>
      <c r="J3985" s="2" t="s">
        <v>34</v>
      </c>
      <c r="K3985" s="2" t="s">
        <v>1197</v>
      </c>
      <c r="L3985" s="2" t="s">
        <v>1198</v>
      </c>
      <c r="M3985" s="2" t="s">
        <v>37</v>
      </c>
      <c r="N3985" s="2" t="s">
        <v>38</v>
      </c>
      <c r="O3985" s="2" t="s">
        <v>203</v>
      </c>
      <c r="P3985" s="2" t="s">
        <v>655</v>
      </c>
      <c r="Q3985" s="2" t="s">
        <v>11236</v>
      </c>
      <c r="R3985" s="2" t="s">
        <v>40</v>
      </c>
      <c r="S3985" s="2" t="s">
        <v>22350</v>
      </c>
      <c r="T3985" s="2" t="s">
        <v>22351</v>
      </c>
      <c r="U3985" s="2" t="s">
        <v>17099</v>
      </c>
      <c r="V3985" s="2" t="s">
        <v>22352</v>
      </c>
      <c r="W3985" s="1"/>
      <c r="X3985" s="2" t="s">
        <v>6770</v>
      </c>
      <c r="Y3985" s="2" t="s">
        <v>21087</v>
      </c>
      <c r="AA3985" t="str">
        <f t="shared" si="372"/>
        <v>2025-02</v>
      </c>
      <c r="AB3985" t="str">
        <f t="shared" si="373"/>
        <v>H1_2025</v>
      </c>
      <c r="AC3985">
        <f t="shared" si="374"/>
        <v>283888.5</v>
      </c>
      <c r="AD3985">
        <f t="shared" si="375"/>
        <v>25</v>
      </c>
      <c r="AE3985">
        <f t="shared" si="376"/>
        <v>79888.5</v>
      </c>
      <c r="AF3985" t="str">
        <f t="shared" si="377"/>
        <v>Paid</v>
      </c>
    </row>
    <row r="3986" spans="1:32" ht="17.25" thickBot="1" x14ac:dyDescent="0.35">
      <c r="A3986" s="2" t="s">
        <v>22353</v>
      </c>
      <c r="B3986" s="2" t="s">
        <v>27</v>
      </c>
      <c r="C3986" s="2" t="s">
        <v>28</v>
      </c>
      <c r="D3986" s="2" t="s">
        <v>97</v>
      </c>
      <c r="E3986" s="2" t="s">
        <v>21084</v>
      </c>
      <c r="F3986" s="2" t="s">
        <v>31</v>
      </c>
      <c r="G3986" s="2" t="s">
        <v>32</v>
      </c>
      <c r="H3986" s="1"/>
      <c r="I3986" s="2" t="s">
        <v>33</v>
      </c>
      <c r="J3986" s="2" t="s">
        <v>34</v>
      </c>
      <c r="K3986" s="2" t="s">
        <v>1205</v>
      </c>
      <c r="L3986" s="2" t="s">
        <v>1206</v>
      </c>
      <c r="M3986" s="2" t="s">
        <v>37</v>
      </c>
      <c r="N3986" s="2" t="s">
        <v>38</v>
      </c>
      <c r="O3986" s="2" t="s">
        <v>877</v>
      </c>
      <c r="P3986" s="2" t="s">
        <v>15508</v>
      </c>
      <c r="Q3986" s="2" t="s">
        <v>22354</v>
      </c>
      <c r="R3986" s="2" t="s">
        <v>40</v>
      </c>
      <c r="S3986" s="2" t="s">
        <v>22355</v>
      </c>
      <c r="T3986" s="2" t="s">
        <v>3202</v>
      </c>
      <c r="U3986" s="2" t="s">
        <v>22356</v>
      </c>
      <c r="V3986" s="2" t="s">
        <v>22357</v>
      </c>
      <c r="W3986" s="1"/>
      <c r="X3986" s="2" t="s">
        <v>18231</v>
      </c>
      <c r="Y3986" s="2" t="s">
        <v>21087</v>
      </c>
      <c r="AA3986" t="str">
        <f t="shared" si="372"/>
        <v>2025-02</v>
      </c>
      <c r="AB3986" t="str">
        <f t="shared" si="373"/>
        <v>H1_2025</v>
      </c>
      <c r="AC3986">
        <f t="shared" si="374"/>
        <v>1094287</v>
      </c>
      <c r="AD3986">
        <f t="shared" si="375"/>
        <v>100</v>
      </c>
      <c r="AE3986">
        <f t="shared" si="376"/>
        <v>311287</v>
      </c>
      <c r="AF3986" t="str">
        <f t="shared" si="377"/>
        <v>Paid</v>
      </c>
    </row>
    <row r="3987" spans="1:32" ht="17.25" thickBot="1" x14ac:dyDescent="0.35">
      <c r="A3987" s="2" t="s">
        <v>22358</v>
      </c>
      <c r="B3987" s="2" t="s">
        <v>27</v>
      </c>
      <c r="C3987" s="2" t="s">
        <v>28</v>
      </c>
      <c r="D3987" s="2" t="s">
        <v>97</v>
      </c>
      <c r="E3987" s="2" t="s">
        <v>21084</v>
      </c>
      <c r="F3987" s="2" t="s">
        <v>31</v>
      </c>
      <c r="G3987" s="2" t="s">
        <v>32</v>
      </c>
      <c r="H3987" s="1"/>
      <c r="I3987" s="2" t="s">
        <v>33</v>
      </c>
      <c r="J3987" s="2" t="s">
        <v>34</v>
      </c>
      <c r="K3987" s="2" t="s">
        <v>22359</v>
      </c>
      <c r="L3987" s="2" t="s">
        <v>22360</v>
      </c>
      <c r="M3987" s="2" t="s">
        <v>37</v>
      </c>
      <c r="N3987" s="2" t="s">
        <v>38</v>
      </c>
      <c r="O3987" s="2" t="s">
        <v>130</v>
      </c>
      <c r="P3987" s="2" t="s">
        <v>1344</v>
      </c>
      <c r="Q3987" s="2" t="s">
        <v>5352</v>
      </c>
      <c r="R3987" s="2" t="s">
        <v>40</v>
      </c>
      <c r="S3987" s="2" t="s">
        <v>22361</v>
      </c>
      <c r="T3987" s="2" t="s">
        <v>3079</v>
      </c>
      <c r="U3987" s="2" t="s">
        <v>8914</v>
      </c>
      <c r="V3987" s="2" t="s">
        <v>22362</v>
      </c>
      <c r="W3987" s="1"/>
      <c r="X3987" s="2" t="s">
        <v>997</v>
      </c>
      <c r="Y3987" s="2" t="s">
        <v>21087</v>
      </c>
      <c r="AA3987" t="str">
        <f t="shared" si="372"/>
        <v>2025-02</v>
      </c>
      <c r="AB3987" t="str">
        <f t="shared" si="373"/>
        <v>H1_2025</v>
      </c>
      <c r="AC3987">
        <f t="shared" si="374"/>
        <v>137888.70000000001</v>
      </c>
      <c r="AD3987">
        <f t="shared" si="375"/>
        <v>17</v>
      </c>
      <c r="AE3987">
        <f t="shared" si="376"/>
        <v>39288.699999999997</v>
      </c>
      <c r="AF3987" t="str">
        <f t="shared" si="377"/>
        <v>Paid</v>
      </c>
    </row>
    <row r="3988" spans="1:32" ht="17.25" thickBot="1" x14ac:dyDescent="0.35">
      <c r="A3988" s="2" t="s">
        <v>22363</v>
      </c>
      <c r="B3988" s="2" t="s">
        <v>27</v>
      </c>
      <c r="C3988" s="2" t="s">
        <v>28</v>
      </c>
      <c r="D3988" s="2" t="s">
        <v>97</v>
      </c>
      <c r="E3988" s="2" t="s">
        <v>21084</v>
      </c>
      <c r="F3988" s="2" t="s">
        <v>31</v>
      </c>
      <c r="G3988" s="2" t="s">
        <v>32</v>
      </c>
      <c r="H3988" s="1"/>
      <c r="I3988" s="2" t="s">
        <v>33</v>
      </c>
      <c r="J3988" s="2" t="s">
        <v>34</v>
      </c>
      <c r="K3988" s="2" t="s">
        <v>20822</v>
      </c>
      <c r="L3988" s="2" t="s">
        <v>20823</v>
      </c>
      <c r="M3988" s="2" t="s">
        <v>37</v>
      </c>
      <c r="N3988" s="2" t="s">
        <v>38</v>
      </c>
      <c r="O3988" s="2" t="s">
        <v>228</v>
      </c>
      <c r="P3988" s="2" t="s">
        <v>1344</v>
      </c>
      <c r="Q3988" s="2" t="s">
        <v>3015</v>
      </c>
      <c r="R3988" s="2" t="s">
        <v>40</v>
      </c>
      <c r="S3988" s="2" t="s">
        <v>22364</v>
      </c>
      <c r="T3988" s="2" t="s">
        <v>287</v>
      </c>
      <c r="U3988" s="2" t="s">
        <v>6581</v>
      </c>
      <c r="V3988" s="2" t="s">
        <v>22365</v>
      </c>
      <c r="W3988" s="1"/>
      <c r="X3988" s="2" t="s">
        <v>17888</v>
      </c>
      <c r="Y3988" s="2" t="s">
        <v>21087</v>
      </c>
      <c r="AA3988" t="str">
        <f t="shared" si="372"/>
        <v>2025-02</v>
      </c>
      <c r="AB3988" t="str">
        <f t="shared" si="373"/>
        <v>H1_2025</v>
      </c>
      <c r="AC3988">
        <f t="shared" si="374"/>
        <v>11355540</v>
      </c>
      <c r="AD3988">
        <f t="shared" si="375"/>
        <v>1400</v>
      </c>
      <c r="AE3988">
        <f t="shared" si="376"/>
        <v>1555540</v>
      </c>
      <c r="AF3988" t="str">
        <f t="shared" si="377"/>
        <v>Paid</v>
      </c>
    </row>
    <row r="3989" spans="1:32" ht="41.25" thickBot="1" x14ac:dyDescent="0.35">
      <c r="A3989" s="2" t="s">
        <v>22366</v>
      </c>
      <c r="B3989" s="2" t="s">
        <v>27</v>
      </c>
      <c r="C3989" s="2" t="s">
        <v>28</v>
      </c>
      <c r="D3989" s="2" t="s">
        <v>97</v>
      </c>
      <c r="E3989" s="2" t="s">
        <v>21084</v>
      </c>
      <c r="F3989" s="2" t="s">
        <v>31</v>
      </c>
      <c r="G3989" s="2" t="s">
        <v>32</v>
      </c>
      <c r="H3989" s="1"/>
      <c r="I3989" s="2" t="s">
        <v>33</v>
      </c>
      <c r="J3989" s="2" t="s">
        <v>34</v>
      </c>
      <c r="K3989" s="2" t="s">
        <v>18652</v>
      </c>
      <c r="L3989" s="2" t="s">
        <v>18653</v>
      </c>
      <c r="M3989" s="2" t="s">
        <v>37</v>
      </c>
      <c r="N3989" s="2" t="s">
        <v>38</v>
      </c>
      <c r="O3989" s="2" t="s">
        <v>7388</v>
      </c>
      <c r="P3989" s="2" t="s">
        <v>18644</v>
      </c>
      <c r="Q3989" s="2" t="s">
        <v>22367</v>
      </c>
      <c r="R3989" s="2" t="s">
        <v>40</v>
      </c>
      <c r="S3989" s="2" t="s">
        <v>22368</v>
      </c>
      <c r="T3989" s="2" t="s">
        <v>8942</v>
      </c>
      <c r="U3989" s="2" t="s">
        <v>1137</v>
      </c>
      <c r="V3989" s="2" t="s">
        <v>22369</v>
      </c>
      <c r="W3989" s="1"/>
      <c r="X3989" s="2" t="s">
        <v>17818</v>
      </c>
      <c r="Y3989" s="2" t="s">
        <v>21087</v>
      </c>
      <c r="AA3989" t="str">
        <f t="shared" si="372"/>
        <v>2025-02</v>
      </c>
      <c r="AB3989" t="str">
        <f t="shared" si="373"/>
        <v>H1_2025</v>
      </c>
      <c r="AC3989">
        <f t="shared" si="374"/>
        <v>1764520</v>
      </c>
      <c r="AD3989">
        <f t="shared" si="375"/>
        <v>4000</v>
      </c>
      <c r="AE3989">
        <f t="shared" si="376"/>
        <v>588520</v>
      </c>
      <c r="AF3989" t="str">
        <f t="shared" si="377"/>
        <v>Paid</v>
      </c>
    </row>
    <row r="3990" spans="1:32" ht="17.25" thickBot="1" x14ac:dyDescent="0.35">
      <c r="A3990" s="2" t="s">
        <v>22370</v>
      </c>
      <c r="B3990" s="2" t="s">
        <v>27</v>
      </c>
      <c r="C3990" s="2" t="s">
        <v>28</v>
      </c>
      <c r="D3990" s="2" t="s">
        <v>97</v>
      </c>
      <c r="E3990" s="2" t="s">
        <v>21084</v>
      </c>
      <c r="F3990" s="2" t="s">
        <v>31</v>
      </c>
      <c r="G3990" s="2" t="s">
        <v>32</v>
      </c>
      <c r="H3990" s="1"/>
      <c r="I3990" s="2" t="s">
        <v>33</v>
      </c>
      <c r="J3990" s="2" t="s">
        <v>34</v>
      </c>
      <c r="K3990" s="2" t="s">
        <v>1241</v>
      </c>
      <c r="L3990" s="2" t="s">
        <v>1242</v>
      </c>
      <c r="M3990" s="2" t="s">
        <v>37</v>
      </c>
      <c r="N3990" s="2" t="s">
        <v>38</v>
      </c>
      <c r="O3990" s="2" t="s">
        <v>610</v>
      </c>
      <c r="P3990" s="2" t="s">
        <v>22371</v>
      </c>
      <c r="Q3990" s="2" t="s">
        <v>22372</v>
      </c>
      <c r="R3990" s="2" t="s">
        <v>40</v>
      </c>
      <c r="S3990" s="2" t="s">
        <v>22373</v>
      </c>
      <c r="T3990" s="2" t="s">
        <v>107</v>
      </c>
      <c r="U3990" s="2" t="s">
        <v>14683</v>
      </c>
      <c r="V3990" s="2" t="s">
        <v>22374</v>
      </c>
      <c r="W3990" s="1"/>
      <c r="X3990" s="2" t="s">
        <v>22375</v>
      </c>
      <c r="Y3990" s="2" t="s">
        <v>21087</v>
      </c>
      <c r="AA3990" t="str">
        <f t="shared" si="372"/>
        <v>2025-02</v>
      </c>
      <c r="AB3990" t="str">
        <f t="shared" si="373"/>
        <v>H1_2025</v>
      </c>
      <c r="AC3990">
        <f t="shared" si="374"/>
        <v>2625435</v>
      </c>
      <c r="AD3990">
        <f t="shared" si="375"/>
        <v>450</v>
      </c>
      <c r="AE3990">
        <f t="shared" si="376"/>
        <v>105435</v>
      </c>
      <c r="AF3990" t="str">
        <f t="shared" si="377"/>
        <v>Paid</v>
      </c>
    </row>
    <row r="3991" spans="1:32" ht="17.25" thickBot="1" x14ac:dyDescent="0.35">
      <c r="A3991" s="2" t="s">
        <v>22376</v>
      </c>
      <c r="B3991" s="2" t="s">
        <v>27</v>
      </c>
      <c r="C3991" s="2" t="s">
        <v>28</v>
      </c>
      <c r="D3991" s="2" t="s">
        <v>97</v>
      </c>
      <c r="E3991" s="2" t="s">
        <v>21084</v>
      </c>
      <c r="F3991" s="2" t="s">
        <v>31</v>
      </c>
      <c r="G3991" s="2" t="s">
        <v>32</v>
      </c>
      <c r="H3991" s="1"/>
      <c r="I3991" s="2" t="s">
        <v>33</v>
      </c>
      <c r="J3991" s="2" t="s">
        <v>34</v>
      </c>
      <c r="K3991" s="2" t="s">
        <v>1257</v>
      </c>
      <c r="L3991" s="2" t="s">
        <v>1258</v>
      </c>
      <c r="M3991" s="2" t="s">
        <v>37</v>
      </c>
      <c r="N3991" s="2" t="s">
        <v>38</v>
      </c>
      <c r="O3991" s="2" t="s">
        <v>1333</v>
      </c>
      <c r="P3991" s="2" t="s">
        <v>4522</v>
      </c>
      <c r="Q3991" s="2" t="s">
        <v>22377</v>
      </c>
      <c r="R3991" s="2" t="s">
        <v>40</v>
      </c>
      <c r="S3991" s="2" t="s">
        <v>22378</v>
      </c>
      <c r="T3991" s="2" t="s">
        <v>9899</v>
      </c>
      <c r="U3991" s="2" t="s">
        <v>22379</v>
      </c>
      <c r="V3991" s="2" t="s">
        <v>22380</v>
      </c>
      <c r="W3991" s="1"/>
      <c r="X3991" s="2" t="s">
        <v>3589</v>
      </c>
      <c r="Y3991" s="2" t="s">
        <v>21087</v>
      </c>
      <c r="AA3991" t="str">
        <f t="shared" si="372"/>
        <v>2025-02</v>
      </c>
      <c r="AB3991" t="str">
        <f t="shared" si="373"/>
        <v>H1_2025</v>
      </c>
      <c r="AC3991">
        <f t="shared" si="374"/>
        <v>710788.5</v>
      </c>
      <c r="AD3991">
        <f t="shared" si="375"/>
        <v>150</v>
      </c>
      <c r="AE3991">
        <f t="shared" si="376"/>
        <v>145288.5</v>
      </c>
      <c r="AF3991" t="str">
        <f t="shared" si="377"/>
        <v>Paid</v>
      </c>
    </row>
    <row r="3992" spans="1:32" ht="17.25" thickBot="1" x14ac:dyDescent="0.35">
      <c r="A3992" s="2" t="s">
        <v>22381</v>
      </c>
      <c r="B3992" s="2" t="s">
        <v>27</v>
      </c>
      <c r="C3992" s="2" t="s">
        <v>28</v>
      </c>
      <c r="D3992" s="2" t="s">
        <v>97</v>
      </c>
      <c r="E3992" s="2" t="s">
        <v>21084</v>
      </c>
      <c r="F3992" s="2" t="s">
        <v>31</v>
      </c>
      <c r="G3992" s="2" t="s">
        <v>32</v>
      </c>
      <c r="H3992" s="1"/>
      <c r="I3992" s="2" t="s">
        <v>33</v>
      </c>
      <c r="J3992" s="2" t="s">
        <v>34</v>
      </c>
      <c r="K3992" s="2" t="s">
        <v>1275</v>
      </c>
      <c r="L3992" s="2" t="s">
        <v>1276</v>
      </c>
      <c r="M3992" s="2" t="s">
        <v>37</v>
      </c>
      <c r="N3992" s="2" t="s">
        <v>38</v>
      </c>
      <c r="O3992" s="2" t="s">
        <v>877</v>
      </c>
      <c r="P3992" s="2" t="s">
        <v>22382</v>
      </c>
      <c r="Q3992" s="2" t="s">
        <v>22383</v>
      </c>
      <c r="R3992" s="2" t="s">
        <v>40</v>
      </c>
      <c r="S3992" s="2" t="s">
        <v>22384</v>
      </c>
      <c r="T3992" s="2" t="s">
        <v>1280</v>
      </c>
      <c r="U3992" s="2" t="s">
        <v>7554</v>
      </c>
      <c r="V3992" s="2" t="s">
        <v>22385</v>
      </c>
      <c r="W3992" s="1"/>
      <c r="X3992" s="2" t="s">
        <v>22386</v>
      </c>
      <c r="Y3992" s="2" t="s">
        <v>21087</v>
      </c>
      <c r="AA3992" t="str">
        <f t="shared" si="372"/>
        <v>2025-02</v>
      </c>
      <c r="AB3992" t="str">
        <f t="shared" si="373"/>
        <v>H1_2025</v>
      </c>
      <c r="AC3992">
        <f t="shared" si="374"/>
        <v>2026352</v>
      </c>
      <c r="AD3992">
        <f t="shared" si="375"/>
        <v>100</v>
      </c>
      <c r="AE3992">
        <f t="shared" si="376"/>
        <v>26352</v>
      </c>
      <c r="AF3992" t="str">
        <f t="shared" si="377"/>
        <v>Paid</v>
      </c>
    </row>
    <row r="3993" spans="1:32" ht="17.25" thickBot="1" x14ac:dyDescent="0.35">
      <c r="A3993" s="2" t="s">
        <v>22387</v>
      </c>
      <c r="B3993" s="2" t="s">
        <v>27</v>
      </c>
      <c r="C3993" s="2" t="s">
        <v>28</v>
      </c>
      <c r="D3993" s="2" t="s">
        <v>97</v>
      </c>
      <c r="E3993" s="2" t="s">
        <v>21084</v>
      </c>
      <c r="F3993" s="2" t="s">
        <v>31</v>
      </c>
      <c r="G3993" s="2" t="s">
        <v>32</v>
      </c>
      <c r="H3993" s="1"/>
      <c r="I3993" s="2" t="s">
        <v>33</v>
      </c>
      <c r="J3993" s="2" t="s">
        <v>34</v>
      </c>
      <c r="K3993" s="2" t="s">
        <v>6627</v>
      </c>
      <c r="L3993" s="2" t="s">
        <v>6628</v>
      </c>
      <c r="M3993" s="2" t="s">
        <v>37</v>
      </c>
      <c r="N3993" s="2" t="s">
        <v>38</v>
      </c>
      <c r="O3993" s="2" t="s">
        <v>214</v>
      </c>
      <c r="P3993" s="2" t="s">
        <v>22388</v>
      </c>
      <c r="Q3993" s="2" t="s">
        <v>22389</v>
      </c>
      <c r="R3993" s="2" t="s">
        <v>40</v>
      </c>
      <c r="S3993" s="2" t="s">
        <v>22390</v>
      </c>
      <c r="T3993" s="2" t="s">
        <v>6632</v>
      </c>
      <c r="U3993" s="2" t="s">
        <v>3286</v>
      </c>
      <c r="V3993" s="2" t="s">
        <v>22391</v>
      </c>
      <c r="W3993" s="1"/>
      <c r="X3993" s="2" t="s">
        <v>22386</v>
      </c>
      <c r="Y3993" s="2" t="s">
        <v>21087</v>
      </c>
      <c r="AA3993" t="str">
        <f t="shared" si="372"/>
        <v>2025-02</v>
      </c>
      <c r="AB3993" t="str">
        <f t="shared" si="373"/>
        <v>H1_2025</v>
      </c>
      <c r="AC3993">
        <f t="shared" si="374"/>
        <v>810398.5</v>
      </c>
      <c r="AD3993">
        <f t="shared" si="375"/>
        <v>50</v>
      </c>
      <c r="AE3993">
        <f t="shared" si="376"/>
        <v>10398.5</v>
      </c>
      <c r="AF3993" t="str">
        <f t="shared" si="377"/>
        <v>Paid</v>
      </c>
    </row>
    <row r="3994" spans="1:32" ht="17.25" thickBot="1" x14ac:dyDescent="0.35">
      <c r="A3994" s="2" t="s">
        <v>22392</v>
      </c>
      <c r="B3994" s="2" t="s">
        <v>27</v>
      </c>
      <c r="C3994" s="2" t="s">
        <v>28</v>
      </c>
      <c r="D3994" s="2" t="s">
        <v>97</v>
      </c>
      <c r="E3994" s="2" t="s">
        <v>21084</v>
      </c>
      <c r="F3994" s="2" t="s">
        <v>31</v>
      </c>
      <c r="G3994" s="2" t="s">
        <v>32</v>
      </c>
      <c r="H3994" s="1"/>
      <c r="I3994" s="2" t="s">
        <v>33</v>
      </c>
      <c r="J3994" s="2" t="s">
        <v>34</v>
      </c>
      <c r="K3994" s="2" t="s">
        <v>22393</v>
      </c>
      <c r="L3994" s="2" t="s">
        <v>22394</v>
      </c>
      <c r="M3994" s="2" t="s">
        <v>37</v>
      </c>
      <c r="N3994" s="2" t="s">
        <v>38</v>
      </c>
      <c r="O3994" s="2" t="s">
        <v>877</v>
      </c>
      <c r="P3994" s="2" t="s">
        <v>22395</v>
      </c>
      <c r="Q3994" s="2" t="s">
        <v>22396</v>
      </c>
      <c r="R3994" s="2" t="s">
        <v>40</v>
      </c>
      <c r="S3994" s="2" t="s">
        <v>22397</v>
      </c>
      <c r="T3994" s="2" t="s">
        <v>22398</v>
      </c>
      <c r="U3994" s="2" t="s">
        <v>4497</v>
      </c>
      <c r="V3994" s="2" t="s">
        <v>22399</v>
      </c>
      <c r="W3994" s="1"/>
      <c r="X3994" s="2" t="s">
        <v>2020</v>
      </c>
      <c r="Y3994" s="2" t="s">
        <v>21087</v>
      </c>
      <c r="AA3994" t="str">
        <f t="shared" si="372"/>
        <v>2025-02</v>
      </c>
      <c r="AB3994" t="str">
        <f t="shared" si="373"/>
        <v>H1_2025</v>
      </c>
      <c r="AC3994">
        <f t="shared" si="374"/>
        <v>445399</v>
      </c>
      <c r="AD3994">
        <f t="shared" si="375"/>
        <v>100</v>
      </c>
      <c r="AE3994">
        <f t="shared" si="376"/>
        <v>115399</v>
      </c>
      <c r="AF3994" t="str">
        <f t="shared" si="377"/>
        <v>Paid</v>
      </c>
    </row>
    <row r="3995" spans="1:32" ht="17.25" thickBot="1" x14ac:dyDescent="0.35">
      <c r="A3995" s="2" t="s">
        <v>22400</v>
      </c>
      <c r="B3995" s="2" t="s">
        <v>27</v>
      </c>
      <c r="C3995" s="2" t="s">
        <v>28</v>
      </c>
      <c r="D3995" s="2" t="s">
        <v>97</v>
      </c>
      <c r="E3995" s="2" t="s">
        <v>21084</v>
      </c>
      <c r="F3995" s="2" t="s">
        <v>31</v>
      </c>
      <c r="G3995" s="2" t="s">
        <v>32</v>
      </c>
      <c r="H3995" s="1"/>
      <c r="I3995" s="2" t="s">
        <v>33</v>
      </c>
      <c r="J3995" s="2" t="s">
        <v>34</v>
      </c>
      <c r="K3995" s="2" t="s">
        <v>1301</v>
      </c>
      <c r="L3995" s="2" t="s">
        <v>1302</v>
      </c>
      <c r="M3995" s="2" t="s">
        <v>37</v>
      </c>
      <c r="N3995" s="2" t="s">
        <v>38</v>
      </c>
      <c r="O3995" s="2" t="s">
        <v>877</v>
      </c>
      <c r="P3995" s="2" t="s">
        <v>1105</v>
      </c>
      <c r="Q3995" s="2" t="s">
        <v>13048</v>
      </c>
      <c r="R3995" s="2" t="s">
        <v>40</v>
      </c>
      <c r="S3995" s="2" t="s">
        <v>22401</v>
      </c>
      <c r="T3995" s="2" t="s">
        <v>107</v>
      </c>
      <c r="U3995" s="2" t="s">
        <v>14315</v>
      </c>
      <c r="V3995" s="2" t="s">
        <v>22402</v>
      </c>
      <c r="W3995" s="1"/>
      <c r="X3995" s="2" t="s">
        <v>17888</v>
      </c>
      <c r="Y3995" s="2" t="s">
        <v>21087</v>
      </c>
      <c r="AA3995" t="str">
        <f t="shared" si="372"/>
        <v>2025-02</v>
      </c>
      <c r="AB3995" t="str">
        <f t="shared" si="373"/>
        <v>H1_2025</v>
      </c>
      <c r="AC3995">
        <f t="shared" si="374"/>
        <v>648888</v>
      </c>
      <c r="AD3995">
        <f t="shared" si="375"/>
        <v>100</v>
      </c>
      <c r="AE3995">
        <f t="shared" si="376"/>
        <v>88888</v>
      </c>
      <c r="AF3995" t="str">
        <f t="shared" si="377"/>
        <v>Paid</v>
      </c>
    </row>
    <row r="3996" spans="1:32" ht="17.25" thickBot="1" x14ac:dyDescent="0.35">
      <c r="A3996" s="2" t="s">
        <v>22403</v>
      </c>
      <c r="B3996" s="2" t="s">
        <v>27</v>
      </c>
      <c r="C3996" s="2" t="s">
        <v>28</v>
      </c>
      <c r="D3996" s="2" t="s">
        <v>97</v>
      </c>
      <c r="E3996" s="2" t="s">
        <v>21084</v>
      </c>
      <c r="F3996" s="2" t="s">
        <v>31</v>
      </c>
      <c r="G3996" s="2" t="s">
        <v>32</v>
      </c>
      <c r="H3996" s="1"/>
      <c r="I3996" s="2" t="s">
        <v>33</v>
      </c>
      <c r="J3996" s="2" t="s">
        <v>34</v>
      </c>
      <c r="K3996" s="2" t="s">
        <v>4693</v>
      </c>
      <c r="L3996" s="2" t="s">
        <v>4694</v>
      </c>
      <c r="M3996" s="2" t="s">
        <v>37</v>
      </c>
      <c r="N3996" s="2" t="s">
        <v>38</v>
      </c>
      <c r="O3996" s="2" t="s">
        <v>203</v>
      </c>
      <c r="P3996" s="2" t="s">
        <v>1175</v>
      </c>
      <c r="Q3996" s="2" t="s">
        <v>22404</v>
      </c>
      <c r="R3996" s="2" t="s">
        <v>40</v>
      </c>
      <c r="S3996" s="2" t="s">
        <v>22405</v>
      </c>
      <c r="T3996" s="2" t="s">
        <v>22406</v>
      </c>
      <c r="U3996" s="2" t="s">
        <v>22407</v>
      </c>
      <c r="V3996" s="2" t="s">
        <v>22408</v>
      </c>
      <c r="W3996" s="1"/>
      <c r="X3996" s="2" t="s">
        <v>1332</v>
      </c>
      <c r="Y3996" s="2" t="s">
        <v>21087</v>
      </c>
      <c r="AA3996" t="str">
        <f t="shared" si="372"/>
        <v>2025-02</v>
      </c>
      <c r="AB3996" t="str">
        <f t="shared" si="373"/>
        <v>H1_2025</v>
      </c>
      <c r="AC3996">
        <f t="shared" si="374"/>
        <v>223055.25</v>
      </c>
      <c r="AD3996">
        <f t="shared" si="375"/>
        <v>25</v>
      </c>
      <c r="AE3996">
        <f t="shared" si="376"/>
        <v>59305.25</v>
      </c>
      <c r="AF3996" t="str">
        <f t="shared" si="377"/>
        <v>Paid</v>
      </c>
    </row>
    <row r="3997" spans="1:32" ht="17.25" thickBot="1" x14ac:dyDescent="0.35">
      <c r="A3997" s="2" t="s">
        <v>22409</v>
      </c>
      <c r="B3997" s="2" t="s">
        <v>27</v>
      </c>
      <c r="C3997" s="2" t="s">
        <v>28</v>
      </c>
      <c r="D3997" s="2" t="s">
        <v>97</v>
      </c>
      <c r="E3997" s="2" t="s">
        <v>21084</v>
      </c>
      <c r="F3997" s="2" t="s">
        <v>31</v>
      </c>
      <c r="G3997" s="2" t="s">
        <v>32</v>
      </c>
      <c r="H3997" s="1"/>
      <c r="I3997" s="2" t="s">
        <v>33</v>
      </c>
      <c r="J3997" s="2" t="s">
        <v>34</v>
      </c>
      <c r="K3997" s="2" t="s">
        <v>6656</v>
      </c>
      <c r="L3997" s="2" t="s">
        <v>6657</v>
      </c>
      <c r="M3997" s="2" t="s">
        <v>37</v>
      </c>
      <c r="N3997" s="2" t="s">
        <v>38</v>
      </c>
      <c r="O3997" s="2" t="s">
        <v>214</v>
      </c>
      <c r="P3997" s="2" t="s">
        <v>21194</v>
      </c>
      <c r="Q3997" s="2" t="s">
        <v>22410</v>
      </c>
      <c r="R3997" s="2" t="s">
        <v>40</v>
      </c>
      <c r="S3997" s="2" t="s">
        <v>22411</v>
      </c>
      <c r="T3997" s="2" t="s">
        <v>2275</v>
      </c>
      <c r="U3997" s="2" t="s">
        <v>3314</v>
      </c>
      <c r="V3997" s="2" t="s">
        <v>22412</v>
      </c>
      <c r="W3997" s="1"/>
      <c r="X3997" s="2" t="s">
        <v>2020</v>
      </c>
      <c r="Y3997" s="2" t="s">
        <v>21087</v>
      </c>
      <c r="AA3997" t="str">
        <f t="shared" si="372"/>
        <v>2025-02</v>
      </c>
      <c r="AB3997" t="str">
        <f t="shared" si="373"/>
        <v>H1_2025</v>
      </c>
      <c r="AC3997">
        <f t="shared" si="374"/>
        <v>303810.5</v>
      </c>
      <c r="AD3997">
        <f t="shared" si="375"/>
        <v>50</v>
      </c>
      <c r="AE3997">
        <f t="shared" si="376"/>
        <v>78810.5</v>
      </c>
      <c r="AF3997" t="str">
        <f t="shared" si="377"/>
        <v>Paid</v>
      </c>
    </row>
    <row r="3998" spans="1:32" ht="27.75" thickBot="1" x14ac:dyDescent="0.35">
      <c r="A3998" s="2" t="s">
        <v>22413</v>
      </c>
      <c r="B3998" s="2" t="s">
        <v>27</v>
      </c>
      <c r="C3998" s="2" t="s">
        <v>28</v>
      </c>
      <c r="D3998" s="2" t="s">
        <v>97</v>
      </c>
      <c r="E3998" s="2" t="s">
        <v>21084</v>
      </c>
      <c r="F3998" s="2" t="s">
        <v>31</v>
      </c>
      <c r="G3998" s="2" t="s">
        <v>32</v>
      </c>
      <c r="H3998" s="1"/>
      <c r="I3998" s="2" t="s">
        <v>33</v>
      </c>
      <c r="J3998" s="2" t="s">
        <v>34</v>
      </c>
      <c r="K3998" s="2" t="s">
        <v>1308</v>
      </c>
      <c r="L3998" s="2" t="s">
        <v>1309</v>
      </c>
      <c r="M3998" s="2" t="s">
        <v>37</v>
      </c>
      <c r="N3998" s="2" t="s">
        <v>38</v>
      </c>
      <c r="O3998" s="2" t="s">
        <v>1333</v>
      </c>
      <c r="P3998" s="2" t="s">
        <v>22414</v>
      </c>
      <c r="Q3998" s="2" t="s">
        <v>22415</v>
      </c>
      <c r="R3998" s="2" t="s">
        <v>40</v>
      </c>
      <c r="S3998" s="2" t="s">
        <v>22416</v>
      </c>
      <c r="T3998" s="2" t="s">
        <v>22417</v>
      </c>
      <c r="U3998" s="2" t="s">
        <v>11704</v>
      </c>
      <c r="V3998" s="2" t="s">
        <v>22418</v>
      </c>
      <c r="W3998" s="1"/>
      <c r="X3998" s="2" t="s">
        <v>22419</v>
      </c>
      <c r="Y3998" s="2" t="s">
        <v>21087</v>
      </c>
      <c r="AA3998" t="str">
        <f t="shared" si="372"/>
        <v>2025-02</v>
      </c>
      <c r="AB3998" t="str">
        <f t="shared" si="373"/>
        <v>H1_2025</v>
      </c>
      <c r="AC3998">
        <f t="shared" si="374"/>
        <v>2736429</v>
      </c>
      <c r="AD3998">
        <f t="shared" si="375"/>
        <v>150</v>
      </c>
      <c r="AE3998">
        <f t="shared" si="376"/>
        <v>1444929</v>
      </c>
      <c r="AF3998" t="str">
        <f t="shared" si="377"/>
        <v>Paid</v>
      </c>
    </row>
    <row r="3999" spans="1:32" ht="41.25" thickBot="1" x14ac:dyDescent="0.35">
      <c r="A3999" s="2" t="s">
        <v>22420</v>
      </c>
      <c r="B3999" s="2" t="s">
        <v>27</v>
      </c>
      <c r="C3999" s="2" t="s">
        <v>28</v>
      </c>
      <c r="D3999" s="2" t="s">
        <v>97</v>
      </c>
      <c r="E3999" s="2" t="s">
        <v>21084</v>
      </c>
      <c r="F3999" s="2" t="s">
        <v>31</v>
      </c>
      <c r="G3999" s="2" t="s">
        <v>32</v>
      </c>
      <c r="H3999" s="1"/>
      <c r="I3999" s="2" t="s">
        <v>33</v>
      </c>
      <c r="J3999" s="2" t="s">
        <v>34</v>
      </c>
      <c r="K3999" s="2" t="s">
        <v>18658</v>
      </c>
      <c r="L3999" s="2" t="s">
        <v>18659</v>
      </c>
      <c r="M3999" s="2" t="s">
        <v>37</v>
      </c>
      <c r="N3999" s="2" t="s">
        <v>38</v>
      </c>
      <c r="O3999" s="2" t="s">
        <v>19013</v>
      </c>
      <c r="P3999" s="2" t="s">
        <v>22421</v>
      </c>
      <c r="Q3999" s="2" t="s">
        <v>3745</v>
      </c>
      <c r="R3999" s="2" t="s">
        <v>40</v>
      </c>
      <c r="S3999" s="2" t="s">
        <v>22422</v>
      </c>
      <c r="T3999" s="2" t="s">
        <v>14635</v>
      </c>
      <c r="U3999" s="2" t="s">
        <v>15358</v>
      </c>
      <c r="V3999" s="2" t="s">
        <v>22423</v>
      </c>
      <c r="W3999" s="1"/>
      <c r="X3999" s="2" t="s">
        <v>1006</v>
      </c>
      <c r="Y3999" s="2" t="s">
        <v>21087</v>
      </c>
      <c r="AA3999" t="str">
        <f t="shared" si="372"/>
        <v>2025-02</v>
      </c>
      <c r="AB3999" t="str">
        <f t="shared" si="373"/>
        <v>H1_2025</v>
      </c>
      <c r="AC3999">
        <f t="shared" si="374"/>
        <v>1138400</v>
      </c>
      <c r="AD3999">
        <f t="shared" si="375"/>
        <v>3200</v>
      </c>
      <c r="AE3999">
        <f t="shared" si="376"/>
        <v>293600</v>
      </c>
      <c r="AF3999" t="str">
        <f t="shared" si="377"/>
        <v>Paid</v>
      </c>
    </row>
    <row r="4000" spans="1:32" ht="17.25" thickBot="1" x14ac:dyDescent="0.35">
      <c r="A4000" s="2" t="s">
        <v>22424</v>
      </c>
      <c r="B4000" s="2" t="s">
        <v>27</v>
      </c>
      <c r="C4000" s="2" t="s">
        <v>28</v>
      </c>
      <c r="D4000" s="2" t="s">
        <v>97</v>
      </c>
      <c r="E4000" s="2" t="s">
        <v>21084</v>
      </c>
      <c r="F4000" s="2" t="s">
        <v>31</v>
      </c>
      <c r="G4000" s="2" t="s">
        <v>32</v>
      </c>
      <c r="H4000" s="1"/>
      <c r="I4000" s="2" t="s">
        <v>33</v>
      </c>
      <c r="J4000" s="2" t="s">
        <v>34</v>
      </c>
      <c r="K4000" s="2" t="s">
        <v>1318</v>
      </c>
      <c r="L4000" s="2" t="s">
        <v>1319</v>
      </c>
      <c r="M4000" s="2" t="s">
        <v>37</v>
      </c>
      <c r="N4000" s="2" t="s">
        <v>38</v>
      </c>
      <c r="O4000" s="2" t="s">
        <v>877</v>
      </c>
      <c r="P4000" s="2" t="s">
        <v>1268</v>
      </c>
      <c r="Q4000" s="2" t="s">
        <v>1617</v>
      </c>
      <c r="R4000" s="2" t="s">
        <v>40</v>
      </c>
      <c r="S4000" s="2" t="s">
        <v>22425</v>
      </c>
      <c r="T4000" s="2" t="s">
        <v>22426</v>
      </c>
      <c r="U4000" s="2" t="s">
        <v>22427</v>
      </c>
      <c r="V4000" s="2" t="s">
        <v>22428</v>
      </c>
      <c r="W4000" s="1"/>
      <c r="X4000" s="2" t="s">
        <v>1052</v>
      </c>
      <c r="Y4000" s="2" t="s">
        <v>21087</v>
      </c>
      <c r="AA4000" t="str">
        <f t="shared" si="372"/>
        <v>2025-02</v>
      </c>
      <c r="AB4000" t="str">
        <f t="shared" si="373"/>
        <v>H1_2025</v>
      </c>
      <c r="AC4000">
        <f t="shared" si="374"/>
        <v>567777</v>
      </c>
      <c r="AD4000">
        <f t="shared" si="375"/>
        <v>100</v>
      </c>
      <c r="AE4000">
        <f t="shared" si="376"/>
        <v>143777</v>
      </c>
      <c r="AF4000" t="str">
        <f t="shared" si="377"/>
        <v>Paid</v>
      </c>
    </row>
    <row r="4001" spans="1:32" ht="17.25" thickBot="1" x14ac:dyDescent="0.35">
      <c r="A4001" s="2" t="s">
        <v>22429</v>
      </c>
      <c r="B4001" s="2" t="s">
        <v>27</v>
      </c>
      <c r="C4001" s="2" t="s">
        <v>28</v>
      </c>
      <c r="D4001" s="2" t="s">
        <v>97</v>
      </c>
      <c r="E4001" s="2" t="s">
        <v>21084</v>
      </c>
      <c r="F4001" s="2" t="s">
        <v>31</v>
      </c>
      <c r="G4001" s="2" t="s">
        <v>32</v>
      </c>
      <c r="H4001" s="1"/>
      <c r="I4001" s="2" t="s">
        <v>33</v>
      </c>
      <c r="J4001" s="2" t="s">
        <v>34</v>
      </c>
      <c r="K4001" s="2" t="s">
        <v>5422</v>
      </c>
      <c r="L4001" s="2" t="s">
        <v>5423</v>
      </c>
      <c r="M4001" s="2" t="s">
        <v>37</v>
      </c>
      <c r="N4001" s="2" t="s">
        <v>38</v>
      </c>
      <c r="O4001" s="2" t="s">
        <v>203</v>
      </c>
      <c r="P4001" s="2" t="s">
        <v>822</v>
      </c>
      <c r="Q4001" s="2" t="s">
        <v>611</v>
      </c>
      <c r="R4001" s="2" t="s">
        <v>40</v>
      </c>
      <c r="S4001" s="2" t="s">
        <v>22430</v>
      </c>
      <c r="T4001" s="2" t="s">
        <v>5426</v>
      </c>
      <c r="U4001" s="2" t="s">
        <v>22431</v>
      </c>
      <c r="V4001" s="2" t="s">
        <v>22432</v>
      </c>
      <c r="W4001" s="1"/>
      <c r="X4001" s="2" t="s">
        <v>6362</v>
      </c>
      <c r="Y4001" s="2" t="s">
        <v>21087</v>
      </c>
      <c r="AA4001" t="str">
        <f t="shared" si="372"/>
        <v>2025-02</v>
      </c>
      <c r="AB4001" t="str">
        <f t="shared" si="373"/>
        <v>H1_2025</v>
      </c>
      <c r="AC4001">
        <f t="shared" si="374"/>
        <v>243333</v>
      </c>
      <c r="AD4001">
        <f t="shared" si="375"/>
        <v>25</v>
      </c>
      <c r="AE4001">
        <f t="shared" si="376"/>
        <v>45833</v>
      </c>
      <c r="AF4001" t="str">
        <f t="shared" si="377"/>
        <v>Paid</v>
      </c>
    </row>
    <row r="4002" spans="1:32" ht="17.25" thickBot="1" x14ac:dyDescent="0.35">
      <c r="A4002" s="2" t="s">
        <v>22433</v>
      </c>
      <c r="B4002" s="2" t="s">
        <v>27</v>
      </c>
      <c r="C4002" s="2" t="s">
        <v>28</v>
      </c>
      <c r="D4002" s="2" t="s">
        <v>97</v>
      </c>
      <c r="E4002" s="2" t="s">
        <v>21084</v>
      </c>
      <c r="F4002" s="2" t="s">
        <v>31</v>
      </c>
      <c r="G4002" s="2" t="s">
        <v>32</v>
      </c>
      <c r="H4002" s="1"/>
      <c r="I4002" s="2" t="s">
        <v>33</v>
      </c>
      <c r="J4002" s="2" t="s">
        <v>34</v>
      </c>
      <c r="K4002" s="2" t="s">
        <v>14771</v>
      </c>
      <c r="L4002" s="2" t="s">
        <v>14772</v>
      </c>
      <c r="M4002" s="2" t="s">
        <v>37</v>
      </c>
      <c r="N4002" s="2" t="s">
        <v>38</v>
      </c>
      <c r="O4002" s="2" t="s">
        <v>214</v>
      </c>
      <c r="P4002" s="2" t="s">
        <v>1175</v>
      </c>
      <c r="Q4002" s="2" t="s">
        <v>1717</v>
      </c>
      <c r="R4002" s="2" t="s">
        <v>40</v>
      </c>
      <c r="S4002" s="2" t="s">
        <v>22301</v>
      </c>
      <c r="T4002" s="2" t="s">
        <v>2832</v>
      </c>
      <c r="U4002" s="2" t="s">
        <v>22434</v>
      </c>
      <c r="V4002" s="2" t="s">
        <v>22435</v>
      </c>
      <c r="W4002" s="1"/>
      <c r="X4002" s="2" t="s">
        <v>3393</v>
      </c>
      <c r="Y4002" s="2" t="s">
        <v>21087</v>
      </c>
      <c r="AA4002" t="str">
        <f t="shared" si="372"/>
        <v>2025-02</v>
      </c>
      <c r="AB4002" t="str">
        <f t="shared" si="373"/>
        <v>H1_2025</v>
      </c>
      <c r="AC4002">
        <f t="shared" si="374"/>
        <v>446110.5</v>
      </c>
      <c r="AD4002">
        <f t="shared" si="375"/>
        <v>50</v>
      </c>
      <c r="AE4002">
        <f t="shared" si="376"/>
        <v>111110.5</v>
      </c>
      <c r="AF4002" t="str">
        <f t="shared" si="377"/>
        <v>Paid</v>
      </c>
    </row>
    <row r="4003" spans="1:32" ht="17.25" thickBot="1" x14ac:dyDescent="0.35">
      <c r="A4003" s="2" t="s">
        <v>22436</v>
      </c>
      <c r="B4003" s="2" t="s">
        <v>27</v>
      </c>
      <c r="C4003" s="2" t="s">
        <v>28</v>
      </c>
      <c r="D4003" s="2" t="s">
        <v>97</v>
      </c>
      <c r="E4003" s="2" t="s">
        <v>21084</v>
      </c>
      <c r="F4003" s="2" t="s">
        <v>31</v>
      </c>
      <c r="G4003" s="2" t="s">
        <v>32</v>
      </c>
      <c r="H4003" s="1"/>
      <c r="I4003" s="2" t="s">
        <v>33</v>
      </c>
      <c r="J4003" s="2" t="s">
        <v>34</v>
      </c>
      <c r="K4003" s="2" t="s">
        <v>11865</v>
      </c>
      <c r="L4003" s="2" t="s">
        <v>11866</v>
      </c>
      <c r="M4003" s="2" t="s">
        <v>37</v>
      </c>
      <c r="N4003" s="2" t="s">
        <v>38</v>
      </c>
      <c r="O4003" s="2" t="s">
        <v>79</v>
      </c>
      <c r="P4003" s="2" t="s">
        <v>4887</v>
      </c>
      <c r="Q4003" s="2" t="s">
        <v>22437</v>
      </c>
      <c r="R4003" s="2" t="s">
        <v>40</v>
      </c>
      <c r="S4003" s="2" t="s">
        <v>22438</v>
      </c>
      <c r="T4003" s="2" t="s">
        <v>2625</v>
      </c>
      <c r="U4003" s="2" t="s">
        <v>22439</v>
      </c>
      <c r="V4003" s="2" t="s">
        <v>22440</v>
      </c>
      <c r="W4003" s="1"/>
      <c r="X4003" s="2" t="s">
        <v>955</v>
      </c>
      <c r="Y4003" s="2" t="s">
        <v>21087</v>
      </c>
      <c r="AA4003" t="str">
        <f t="shared" si="372"/>
        <v>2025-02</v>
      </c>
      <c r="AB4003" t="str">
        <f t="shared" si="373"/>
        <v>H1_2025</v>
      </c>
      <c r="AC4003">
        <f t="shared" si="374"/>
        <v>76984.3</v>
      </c>
      <c r="AD4003">
        <f t="shared" si="375"/>
        <v>10</v>
      </c>
      <c r="AE4003">
        <f t="shared" si="376"/>
        <v>18084.3</v>
      </c>
      <c r="AF4003" t="str">
        <f t="shared" si="377"/>
        <v>Paid</v>
      </c>
    </row>
    <row r="4004" spans="1:32" ht="17.25" thickBot="1" x14ac:dyDescent="0.35">
      <c r="A4004" s="2" t="s">
        <v>22441</v>
      </c>
      <c r="B4004" s="2" t="s">
        <v>27</v>
      </c>
      <c r="C4004" s="2" t="s">
        <v>28</v>
      </c>
      <c r="D4004" s="2" t="s">
        <v>97</v>
      </c>
      <c r="E4004" s="2" t="s">
        <v>21084</v>
      </c>
      <c r="F4004" s="2" t="s">
        <v>31</v>
      </c>
      <c r="G4004" s="2" t="s">
        <v>32</v>
      </c>
      <c r="H4004" s="1"/>
      <c r="I4004" s="2" t="s">
        <v>33</v>
      </c>
      <c r="J4004" s="2" t="s">
        <v>34</v>
      </c>
      <c r="K4004" s="2" t="s">
        <v>11865</v>
      </c>
      <c r="L4004" s="2" t="s">
        <v>11866</v>
      </c>
      <c r="M4004" s="2" t="s">
        <v>37</v>
      </c>
      <c r="N4004" s="2" t="s">
        <v>38</v>
      </c>
      <c r="O4004" s="2" t="s">
        <v>113</v>
      </c>
      <c r="P4004" s="2" t="s">
        <v>4887</v>
      </c>
      <c r="Q4004" s="2" t="s">
        <v>22442</v>
      </c>
      <c r="R4004" s="2" t="s">
        <v>40</v>
      </c>
      <c r="S4004" s="2" t="s">
        <v>22443</v>
      </c>
      <c r="T4004" s="2" t="s">
        <v>11869</v>
      </c>
      <c r="U4004" s="2" t="s">
        <v>22444</v>
      </c>
      <c r="V4004" s="2" t="s">
        <v>22445</v>
      </c>
      <c r="W4004" s="1"/>
      <c r="X4004" s="2" t="s">
        <v>4350</v>
      </c>
      <c r="Y4004" s="2" t="s">
        <v>21087</v>
      </c>
      <c r="AA4004" t="str">
        <f t="shared" si="372"/>
        <v>2025-02</v>
      </c>
      <c r="AB4004" t="str">
        <f t="shared" si="373"/>
        <v>H1_2025</v>
      </c>
      <c r="AC4004">
        <f t="shared" si="374"/>
        <v>115476.45</v>
      </c>
      <c r="AD4004">
        <f t="shared" si="375"/>
        <v>15</v>
      </c>
      <c r="AE4004">
        <f t="shared" si="376"/>
        <v>26976.45</v>
      </c>
      <c r="AF4004" t="str">
        <f t="shared" si="377"/>
        <v>Paid</v>
      </c>
    </row>
    <row r="4005" spans="1:32" ht="17.25" thickBot="1" x14ac:dyDescent="0.35">
      <c r="A4005" s="2" t="s">
        <v>22446</v>
      </c>
      <c r="B4005" s="2" t="s">
        <v>27</v>
      </c>
      <c r="C4005" s="2" t="s">
        <v>28</v>
      </c>
      <c r="D4005" s="2" t="s">
        <v>97</v>
      </c>
      <c r="E4005" s="2" t="s">
        <v>21084</v>
      </c>
      <c r="F4005" s="2" t="s">
        <v>31</v>
      </c>
      <c r="G4005" s="2" t="s">
        <v>32</v>
      </c>
      <c r="H4005" s="1"/>
      <c r="I4005" s="2" t="s">
        <v>33</v>
      </c>
      <c r="J4005" s="2" t="s">
        <v>34</v>
      </c>
      <c r="K4005" s="2" t="s">
        <v>1334</v>
      </c>
      <c r="L4005" s="2" t="s">
        <v>1335</v>
      </c>
      <c r="M4005" s="2" t="s">
        <v>37</v>
      </c>
      <c r="N4005" s="2" t="s">
        <v>38</v>
      </c>
      <c r="O4005" s="2" t="s">
        <v>203</v>
      </c>
      <c r="P4005" s="2" t="s">
        <v>1175</v>
      </c>
      <c r="Q4005" s="2" t="s">
        <v>22404</v>
      </c>
      <c r="R4005" s="2" t="s">
        <v>40</v>
      </c>
      <c r="S4005" s="2" t="s">
        <v>22405</v>
      </c>
      <c r="T4005" s="2" t="s">
        <v>267</v>
      </c>
      <c r="U4005" s="2" t="s">
        <v>10232</v>
      </c>
      <c r="V4005" s="2" t="s">
        <v>22447</v>
      </c>
      <c r="W4005" s="1"/>
      <c r="X4005" s="2" t="s">
        <v>1893</v>
      </c>
      <c r="Y4005" s="2" t="s">
        <v>21087</v>
      </c>
      <c r="AA4005" t="str">
        <f t="shared" si="372"/>
        <v>2025-02</v>
      </c>
      <c r="AB4005" t="str">
        <f t="shared" si="373"/>
        <v>H1_2025</v>
      </c>
      <c r="AC4005">
        <f t="shared" si="374"/>
        <v>223055.25</v>
      </c>
      <c r="AD4005">
        <f t="shared" si="375"/>
        <v>25</v>
      </c>
      <c r="AE4005">
        <f t="shared" si="376"/>
        <v>58055.25</v>
      </c>
      <c r="AF4005" t="str">
        <f t="shared" si="377"/>
        <v>Paid</v>
      </c>
    </row>
    <row r="4006" spans="1:32" ht="17.25" thickBot="1" x14ac:dyDescent="0.35">
      <c r="A4006" s="2" t="s">
        <v>22448</v>
      </c>
      <c r="B4006" s="2" t="s">
        <v>27</v>
      </c>
      <c r="C4006" s="2" t="s">
        <v>28</v>
      </c>
      <c r="D4006" s="2" t="s">
        <v>97</v>
      </c>
      <c r="E4006" s="2" t="s">
        <v>21084</v>
      </c>
      <c r="F4006" s="2" t="s">
        <v>31</v>
      </c>
      <c r="G4006" s="2" t="s">
        <v>32</v>
      </c>
      <c r="H4006" s="1"/>
      <c r="I4006" s="2" t="s">
        <v>33</v>
      </c>
      <c r="J4006" s="2" t="s">
        <v>34</v>
      </c>
      <c r="K4006" s="2" t="s">
        <v>5700</v>
      </c>
      <c r="L4006" s="2" t="s">
        <v>5701</v>
      </c>
      <c r="M4006" s="2" t="s">
        <v>37</v>
      </c>
      <c r="N4006" s="2" t="s">
        <v>38</v>
      </c>
      <c r="O4006" s="2" t="s">
        <v>1333</v>
      </c>
      <c r="P4006" s="2" t="s">
        <v>1344</v>
      </c>
      <c r="Q4006" s="2" t="s">
        <v>22449</v>
      </c>
      <c r="R4006" s="2" t="s">
        <v>40</v>
      </c>
      <c r="S4006" s="2" t="s">
        <v>22450</v>
      </c>
      <c r="T4006" s="2" t="s">
        <v>11869</v>
      </c>
      <c r="U4006" s="2" t="s">
        <v>22451</v>
      </c>
      <c r="V4006" s="2" t="s">
        <v>22452</v>
      </c>
      <c r="W4006" s="1"/>
      <c r="X4006" s="2" t="s">
        <v>5779</v>
      </c>
      <c r="Y4006" s="2" t="s">
        <v>21087</v>
      </c>
      <c r="AA4006" t="str">
        <f t="shared" si="372"/>
        <v>2025-02</v>
      </c>
      <c r="AB4006" t="str">
        <f t="shared" si="373"/>
        <v>H1_2025</v>
      </c>
      <c r="AC4006">
        <f t="shared" si="374"/>
        <v>1216665</v>
      </c>
      <c r="AD4006">
        <f t="shared" si="375"/>
        <v>150</v>
      </c>
      <c r="AE4006">
        <f t="shared" si="376"/>
        <v>331665</v>
      </c>
      <c r="AF4006" t="str">
        <f t="shared" si="377"/>
        <v>Paid</v>
      </c>
    </row>
    <row r="4007" spans="1:32" ht="17.25" thickBot="1" x14ac:dyDescent="0.35">
      <c r="A4007" s="2" t="s">
        <v>22453</v>
      </c>
      <c r="B4007" s="2" t="s">
        <v>27</v>
      </c>
      <c r="C4007" s="2" t="s">
        <v>28</v>
      </c>
      <c r="D4007" s="2" t="s">
        <v>97</v>
      </c>
      <c r="E4007" s="2" t="s">
        <v>21084</v>
      </c>
      <c r="F4007" s="2" t="s">
        <v>31</v>
      </c>
      <c r="G4007" s="2" t="s">
        <v>32</v>
      </c>
      <c r="H4007" s="1"/>
      <c r="I4007" s="2" t="s">
        <v>33</v>
      </c>
      <c r="J4007" s="2" t="s">
        <v>34</v>
      </c>
      <c r="K4007" s="2" t="s">
        <v>4706</v>
      </c>
      <c r="L4007" s="2" t="s">
        <v>4707</v>
      </c>
      <c r="M4007" s="2" t="s">
        <v>37</v>
      </c>
      <c r="N4007" s="2" t="s">
        <v>38</v>
      </c>
      <c r="O4007" s="2" t="s">
        <v>1333</v>
      </c>
      <c r="P4007" s="2" t="s">
        <v>1344</v>
      </c>
      <c r="Q4007" s="2" t="s">
        <v>22449</v>
      </c>
      <c r="R4007" s="2" t="s">
        <v>40</v>
      </c>
      <c r="S4007" s="2" t="s">
        <v>22450</v>
      </c>
      <c r="T4007" s="2" t="s">
        <v>11869</v>
      </c>
      <c r="U4007" s="2" t="s">
        <v>22451</v>
      </c>
      <c r="V4007" s="2" t="s">
        <v>22452</v>
      </c>
      <c r="W4007" s="1"/>
      <c r="X4007" s="2" t="s">
        <v>5779</v>
      </c>
      <c r="Y4007" s="2" t="s">
        <v>21087</v>
      </c>
      <c r="AA4007" t="str">
        <f t="shared" si="372"/>
        <v>2025-02</v>
      </c>
      <c r="AB4007" t="str">
        <f t="shared" si="373"/>
        <v>H1_2025</v>
      </c>
      <c r="AC4007">
        <f t="shared" si="374"/>
        <v>1216665</v>
      </c>
      <c r="AD4007">
        <f t="shared" si="375"/>
        <v>150</v>
      </c>
      <c r="AE4007">
        <f t="shared" si="376"/>
        <v>331665</v>
      </c>
      <c r="AF4007" t="str">
        <f t="shared" si="377"/>
        <v>Paid</v>
      </c>
    </row>
    <row r="4008" spans="1:32" ht="17.25" thickBot="1" x14ac:dyDescent="0.35">
      <c r="A4008" s="2" t="s">
        <v>22454</v>
      </c>
      <c r="B4008" s="2" t="s">
        <v>27</v>
      </c>
      <c r="C4008" s="2" t="s">
        <v>28</v>
      </c>
      <c r="D4008" s="2" t="s">
        <v>97</v>
      </c>
      <c r="E4008" s="2" t="s">
        <v>21084</v>
      </c>
      <c r="F4008" s="2" t="s">
        <v>31</v>
      </c>
      <c r="G4008" s="2" t="s">
        <v>32</v>
      </c>
      <c r="H4008" s="1"/>
      <c r="I4008" s="2" t="s">
        <v>33</v>
      </c>
      <c r="J4008" s="2" t="s">
        <v>34</v>
      </c>
      <c r="K4008" s="2" t="s">
        <v>22455</v>
      </c>
      <c r="L4008" s="2" t="s">
        <v>22456</v>
      </c>
      <c r="M4008" s="2" t="s">
        <v>37</v>
      </c>
      <c r="N4008" s="2" t="s">
        <v>38</v>
      </c>
      <c r="O4008" s="2" t="s">
        <v>877</v>
      </c>
      <c r="P4008" s="2" t="s">
        <v>1344</v>
      </c>
      <c r="Q4008" s="2" t="s">
        <v>21539</v>
      </c>
      <c r="R4008" s="2" t="s">
        <v>40</v>
      </c>
      <c r="S4008" s="2" t="s">
        <v>21540</v>
      </c>
      <c r="T4008" s="2" t="s">
        <v>22457</v>
      </c>
      <c r="U4008" s="2" t="s">
        <v>22458</v>
      </c>
      <c r="V4008" s="2" t="s">
        <v>22459</v>
      </c>
      <c r="W4008" s="1"/>
      <c r="X4008" s="2" t="s">
        <v>3560</v>
      </c>
      <c r="Y4008" s="2" t="s">
        <v>21087</v>
      </c>
      <c r="AA4008" t="str">
        <f t="shared" si="372"/>
        <v>2025-02</v>
      </c>
      <c r="AB4008" t="str">
        <f t="shared" si="373"/>
        <v>H1_2025</v>
      </c>
      <c r="AC4008">
        <f t="shared" si="374"/>
        <v>811110</v>
      </c>
      <c r="AD4008">
        <f t="shared" si="375"/>
        <v>100</v>
      </c>
      <c r="AE4008">
        <f t="shared" si="376"/>
        <v>168310</v>
      </c>
      <c r="AF4008" t="str">
        <f t="shared" si="377"/>
        <v>Paid</v>
      </c>
    </row>
    <row r="4009" spans="1:32" ht="41.25" thickBot="1" x14ac:dyDescent="0.35">
      <c r="A4009" s="2" t="s">
        <v>22460</v>
      </c>
      <c r="B4009" s="2" t="s">
        <v>27</v>
      </c>
      <c r="C4009" s="2" t="s">
        <v>28</v>
      </c>
      <c r="D4009" s="2" t="s">
        <v>97</v>
      </c>
      <c r="E4009" s="2" t="s">
        <v>21084</v>
      </c>
      <c r="F4009" s="2" t="s">
        <v>31</v>
      </c>
      <c r="G4009" s="2" t="s">
        <v>32</v>
      </c>
      <c r="H4009" s="1"/>
      <c r="I4009" s="2" t="s">
        <v>33</v>
      </c>
      <c r="J4009" s="2" t="s">
        <v>34</v>
      </c>
      <c r="K4009" s="2" t="s">
        <v>14781</v>
      </c>
      <c r="L4009" s="2" t="s">
        <v>14782</v>
      </c>
      <c r="M4009" s="2" t="s">
        <v>37</v>
      </c>
      <c r="N4009" s="2" t="s">
        <v>38</v>
      </c>
      <c r="O4009" s="2" t="s">
        <v>214</v>
      </c>
      <c r="P4009" s="2" t="s">
        <v>4887</v>
      </c>
      <c r="Q4009" s="2" t="s">
        <v>22313</v>
      </c>
      <c r="R4009" s="2" t="s">
        <v>40</v>
      </c>
      <c r="S4009" s="2" t="s">
        <v>22314</v>
      </c>
      <c r="T4009" s="2" t="s">
        <v>3079</v>
      </c>
      <c r="U4009" s="2" t="s">
        <v>9903</v>
      </c>
      <c r="V4009" s="2" t="s">
        <v>22461</v>
      </c>
      <c r="W4009" s="1"/>
      <c r="X4009" s="2" t="s">
        <v>1437</v>
      </c>
      <c r="Y4009" s="2" t="s">
        <v>21087</v>
      </c>
      <c r="AA4009" t="str">
        <f t="shared" si="372"/>
        <v>2025-02</v>
      </c>
      <c r="AB4009" t="str">
        <f t="shared" si="373"/>
        <v>H1_2025</v>
      </c>
      <c r="AC4009">
        <f t="shared" si="374"/>
        <v>384921.5</v>
      </c>
      <c r="AD4009">
        <f t="shared" si="375"/>
        <v>50</v>
      </c>
      <c r="AE4009">
        <f t="shared" si="376"/>
        <v>94921.5</v>
      </c>
      <c r="AF4009" t="str">
        <f t="shared" si="377"/>
        <v>Paid</v>
      </c>
    </row>
    <row r="4010" spans="1:32" ht="17.25" thickBot="1" x14ac:dyDescent="0.35">
      <c r="A4010" s="2" t="s">
        <v>22462</v>
      </c>
      <c r="B4010" s="2" t="s">
        <v>27</v>
      </c>
      <c r="C4010" s="2" t="s">
        <v>28</v>
      </c>
      <c r="D4010" s="2" t="s">
        <v>97</v>
      </c>
      <c r="E4010" s="2" t="s">
        <v>21084</v>
      </c>
      <c r="F4010" s="2" t="s">
        <v>31</v>
      </c>
      <c r="G4010" s="2" t="s">
        <v>32</v>
      </c>
      <c r="H4010" s="1"/>
      <c r="I4010" s="2" t="s">
        <v>33</v>
      </c>
      <c r="J4010" s="2" t="s">
        <v>34</v>
      </c>
      <c r="K4010" s="2" t="s">
        <v>22463</v>
      </c>
      <c r="L4010" s="2" t="s">
        <v>22464</v>
      </c>
      <c r="M4010" s="2" t="s">
        <v>3131</v>
      </c>
      <c r="N4010" s="2" t="s">
        <v>38</v>
      </c>
      <c r="O4010" s="2" t="s">
        <v>737</v>
      </c>
      <c r="P4010" s="2" t="s">
        <v>5103</v>
      </c>
      <c r="Q4010" s="2" t="s">
        <v>22465</v>
      </c>
      <c r="R4010" s="2" t="s">
        <v>40</v>
      </c>
      <c r="S4010" s="2" t="s">
        <v>22466</v>
      </c>
      <c r="T4010" s="2" t="s">
        <v>13999</v>
      </c>
      <c r="U4010" s="2" t="s">
        <v>22467</v>
      </c>
      <c r="V4010" s="2" t="s">
        <v>22468</v>
      </c>
      <c r="W4010" s="1"/>
      <c r="X4010" s="2" t="s">
        <v>6342</v>
      </c>
      <c r="Y4010" s="2" t="s">
        <v>21087</v>
      </c>
      <c r="AA4010" t="str">
        <f t="shared" si="372"/>
        <v>2025-02</v>
      </c>
      <c r="AB4010" t="str">
        <f t="shared" si="373"/>
        <v>H1_2025</v>
      </c>
      <c r="AC4010">
        <f t="shared" si="374"/>
        <v>650737.9</v>
      </c>
      <c r="AD4010">
        <f t="shared" si="375"/>
        <v>85</v>
      </c>
      <c r="AE4010">
        <f t="shared" si="376"/>
        <v>150002.9</v>
      </c>
      <c r="AF4010" t="str">
        <f t="shared" si="377"/>
        <v>Paid</v>
      </c>
    </row>
    <row r="4011" spans="1:32" ht="17.25" thickBot="1" x14ac:dyDescent="0.35">
      <c r="A4011" s="2" t="s">
        <v>22469</v>
      </c>
      <c r="B4011" s="2" t="s">
        <v>27</v>
      </c>
      <c r="C4011" s="2" t="s">
        <v>28</v>
      </c>
      <c r="D4011" s="2" t="s">
        <v>97</v>
      </c>
      <c r="E4011" s="2" t="s">
        <v>21084</v>
      </c>
      <c r="F4011" s="2" t="s">
        <v>31</v>
      </c>
      <c r="G4011" s="2" t="s">
        <v>32</v>
      </c>
      <c r="H4011" s="1"/>
      <c r="I4011" s="2" t="s">
        <v>33</v>
      </c>
      <c r="J4011" s="2" t="s">
        <v>34</v>
      </c>
      <c r="K4011" s="2" t="s">
        <v>22470</v>
      </c>
      <c r="L4011" s="2" t="s">
        <v>22471</v>
      </c>
      <c r="M4011" s="2" t="s">
        <v>3131</v>
      </c>
      <c r="N4011" s="2" t="s">
        <v>38</v>
      </c>
      <c r="O4011" s="2" t="s">
        <v>203</v>
      </c>
      <c r="P4011" s="2" t="s">
        <v>4430</v>
      </c>
      <c r="Q4011" s="2" t="s">
        <v>22472</v>
      </c>
      <c r="R4011" s="2" t="s">
        <v>40</v>
      </c>
      <c r="S4011" s="2" t="s">
        <v>22473</v>
      </c>
      <c r="T4011" s="2" t="s">
        <v>13735</v>
      </c>
      <c r="U4011" s="2" t="s">
        <v>22474</v>
      </c>
      <c r="V4011" s="2" t="s">
        <v>22475</v>
      </c>
      <c r="W4011" s="1"/>
      <c r="X4011" s="2" t="s">
        <v>6342</v>
      </c>
      <c r="Y4011" s="2" t="s">
        <v>21087</v>
      </c>
      <c r="AA4011" t="str">
        <f t="shared" si="372"/>
        <v>2025-02</v>
      </c>
      <c r="AB4011" t="str">
        <f t="shared" si="373"/>
        <v>H1_2025</v>
      </c>
      <c r="AC4011">
        <f t="shared" si="374"/>
        <v>244756</v>
      </c>
      <c r="AD4011">
        <f t="shared" si="375"/>
        <v>25</v>
      </c>
      <c r="AE4011">
        <f t="shared" si="376"/>
        <v>56556</v>
      </c>
      <c r="AF4011" t="str">
        <f t="shared" si="377"/>
        <v>Paid</v>
      </c>
    </row>
    <row r="4012" spans="1:32" ht="17.25" thickBot="1" x14ac:dyDescent="0.35">
      <c r="A4012" s="2" t="s">
        <v>22476</v>
      </c>
      <c r="B4012" s="2" t="s">
        <v>27</v>
      </c>
      <c r="C4012" s="2" t="s">
        <v>28</v>
      </c>
      <c r="D4012" s="2" t="s">
        <v>97</v>
      </c>
      <c r="E4012" s="2" t="s">
        <v>21084</v>
      </c>
      <c r="F4012" s="2" t="s">
        <v>31</v>
      </c>
      <c r="G4012" s="2" t="s">
        <v>32</v>
      </c>
      <c r="H4012" s="1"/>
      <c r="I4012" s="2" t="s">
        <v>33</v>
      </c>
      <c r="J4012" s="2" t="s">
        <v>34</v>
      </c>
      <c r="K4012" s="2" t="s">
        <v>22477</v>
      </c>
      <c r="L4012" s="2" t="s">
        <v>22478</v>
      </c>
      <c r="M4012" s="2" t="s">
        <v>3131</v>
      </c>
      <c r="N4012" s="2" t="s">
        <v>38</v>
      </c>
      <c r="O4012" s="2" t="s">
        <v>214</v>
      </c>
      <c r="P4012" s="2" t="s">
        <v>7023</v>
      </c>
      <c r="Q4012" s="2" t="s">
        <v>22479</v>
      </c>
      <c r="R4012" s="2" t="s">
        <v>40</v>
      </c>
      <c r="S4012" s="2" t="s">
        <v>22480</v>
      </c>
      <c r="T4012" s="2" t="s">
        <v>22481</v>
      </c>
      <c r="U4012" s="2" t="s">
        <v>22482</v>
      </c>
      <c r="V4012" s="2" t="s">
        <v>22483</v>
      </c>
      <c r="W4012" s="1"/>
      <c r="X4012" s="2" t="s">
        <v>6342</v>
      </c>
      <c r="Y4012" s="2" t="s">
        <v>21087</v>
      </c>
      <c r="AA4012" t="str">
        <f t="shared" si="372"/>
        <v>2025-02</v>
      </c>
      <c r="AB4012" t="str">
        <f t="shared" si="373"/>
        <v>H1_2025</v>
      </c>
      <c r="AC4012">
        <f t="shared" si="374"/>
        <v>595525.5</v>
      </c>
      <c r="AD4012">
        <f t="shared" si="375"/>
        <v>50</v>
      </c>
      <c r="AE4012">
        <f t="shared" si="376"/>
        <v>137325.5</v>
      </c>
      <c r="AF4012" t="str">
        <f t="shared" si="377"/>
        <v>Paid</v>
      </c>
    </row>
    <row r="4013" spans="1:32" ht="17.25" thickBot="1" x14ac:dyDescent="0.35">
      <c r="A4013" s="2" t="s">
        <v>22484</v>
      </c>
      <c r="B4013" s="2" t="s">
        <v>27</v>
      </c>
      <c r="C4013" s="2" t="s">
        <v>28</v>
      </c>
      <c r="D4013" s="2" t="s">
        <v>97</v>
      </c>
      <c r="E4013" s="2" t="s">
        <v>21084</v>
      </c>
      <c r="F4013" s="2" t="s">
        <v>31</v>
      </c>
      <c r="G4013" s="2" t="s">
        <v>32</v>
      </c>
      <c r="H4013" s="1"/>
      <c r="I4013" s="2" t="s">
        <v>33</v>
      </c>
      <c r="J4013" s="2" t="s">
        <v>34</v>
      </c>
      <c r="K4013" s="2" t="s">
        <v>22485</v>
      </c>
      <c r="L4013" s="2" t="s">
        <v>22486</v>
      </c>
      <c r="M4013" s="2" t="s">
        <v>22487</v>
      </c>
      <c r="N4013" s="2" t="s">
        <v>38</v>
      </c>
      <c r="O4013" s="2" t="s">
        <v>877</v>
      </c>
      <c r="P4013" s="2" t="s">
        <v>3568</v>
      </c>
      <c r="Q4013" s="2" t="s">
        <v>22488</v>
      </c>
      <c r="R4013" s="2" t="s">
        <v>40</v>
      </c>
      <c r="S4013" s="2" t="s">
        <v>22489</v>
      </c>
      <c r="T4013" s="2" t="s">
        <v>3855</v>
      </c>
      <c r="U4013" s="2" t="s">
        <v>20030</v>
      </c>
      <c r="V4013" s="2" t="s">
        <v>22490</v>
      </c>
      <c r="W4013" s="1"/>
      <c r="X4013" s="2" t="s">
        <v>2020</v>
      </c>
      <c r="Y4013" s="2" t="s">
        <v>21087</v>
      </c>
      <c r="AA4013" t="str">
        <f t="shared" si="372"/>
        <v>2025-02</v>
      </c>
      <c r="AB4013" t="str">
        <f t="shared" si="373"/>
        <v>H1_2025</v>
      </c>
      <c r="AC4013">
        <f t="shared" si="374"/>
        <v>526510</v>
      </c>
      <c r="AD4013">
        <f t="shared" si="375"/>
        <v>100</v>
      </c>
      <c r="AE4013">
        <f t="shared" si="376"/>
        <v>136510</v>
      </c>
      <c r="AF4013" t="str">
        <f t="shared" si="377"/>
        <v>Paid</v>
      </c>
    </row>
    <row r="4014" spans="1:32" ht="17.25" thickBot="1" x14ac:dyDescent="0.35">
      <c r="A4014" s="2" t="s">
        <v>22491</v>
      </c>
      <c r="B4014" s="2" t="s">
        <v>27</v>
      </c>
      <c r="C4014" s="2" t="s">
        <v>28</v>
      </c>
      <c r="D4014" s="2" t="s">
        <v>97</v>
      </c>
      <c r="E4014" s="2" t="s">
        <v>21084</v>
      </c>
      <c r="F4014" s="2" t="s">
        <v>31</v>
      </c>
      <c r="G4014" s="2" t="s">
        <v>32</v>
      </c>
      <c r="H4014" s="1"/>
      <c r="I4014" s="2" t="s">
        <v>33</v>
      </c>
      <c r="J4014" s="2" t="s">
        <v>34</v>
      </c>
      <c r="K4014" s="2" t="s">
        <v>22492</v>
      </c>
      <c r="L4014" s="2" t="s">
        <v>22493</v>
      </c>
      <c r="M4014" s="2" t="s">
        <v>22487</v>
      </c>
      <c r="N4014" s="2" t="s">
        <v>38</v>
      </c>
      <c r="O4014" s="2" t="s">
        <v>214</v>
      </c>
      <c r="P4014" s="2" t="s">
        <v>3568</v>
      </c>
      <c r="Q4014" s="2" t="s">
        <v>22494</v>
      </c>
      <c r="R4014" s="2" t="s">
        <v>40</v>
      </c>
      <c r="S4014" s="2" t="s">
        <v>22495</v>
      </c>
      <c r="T4014" s="2" t="s">
        <v>3855</v>
      </c>
      <c r="U4014" s="2" t="s">
        <v>14967</v>
      </c>
      <c r="V4014" s="2" t="s">
        <v>22496</v>
      </c>
      <c r="W4014" s="1"/>
      <c r="X4014" s="2" t="s">
        <v>2020</v>
      </c>
      <c r="Y4014" s="2" t="s">
        <v>21087</v>
      </c>
      <c r="AA4014" t="str">
        <f t="shared" si="372"/>
        <v>2025-02</v>
      </c>
      <c r="AB4014" t="str">
        <f t="shared" si="373"/>
        <v>H1_2025</v>
      </c>
      <c r="AC4014">
        <f t="shared" si="374"/>
        <v>263255</v>
      </c>
      <c r="AD4014">
        <f t="shared" si="375"/>
        <v>50</v>
      </c>
      <c r="AE4014">
        <f t="shared" si="376"/>
        <v>68255</v>
      </c>
      <c r="AF4014" t="str">
        <f t="shared" si="377"/>
        <v>Paid</v>
      </c>
    </row>
    <row r="4015" spans="1:32" ht="17.25" thickBot="1" x14ac:dyDescent="0.35">
      <c r="A4015" s="2" t="s">
        <v>22497</v>
      </c>
      <c r="B4015" s="2" t="s">
        <v>27</v>
      </c>
      <c r="C4015" s="2" t="s">
        <v>28</v>
      </c>
      <c r="D4015" s="2" t="s">
        <v>97</v>
      </c>
      <c r="E4015" s="2" t="s">
        <v>21084</v>
      </c>
      <c r="F4015" s="2" t="s">
        <v>31</v>
      </c>
      <c r="G4015" s="2" t="s">
        <v>32</v>
      </c>
      <c r="H4015" s="1"/>
      <c r="I4015" s="2" t="s">
        <v>33</v>
      </c>
      <c r="J4015" s="2" t="s">
        <v>34</v>
      </c>
      <c r="K4015" s="2" t="s">
        <v>22498</v>
      </c>
      <c r="L4015" s="2" t="s">
        <v>22499</v>
      </c>
      <c r="M4015" s="2" t="s">
        <v>22487</v>
      </c>
      <c r="N4015" s="2" t="s">
        <v>38</v>
      </c>
      <c r="O4015" s="2" t="s">
        <v>877</v>
      </c>
      <c r="P4015" s="2" t="s">
        <v>3568</v>
      </c>
      <c r="Q4015" s="2" t="s">
        <v>22488</v>
      </c>
      <c r="R4015" s="2" t="s">
        <v>40</v>
      </c>
      <c r="S4015" s="2" t="s">
        <v>22489</v>
      </c>
      <c r="T4015" s="2" t="s">
        <v>3855</v>
      </c>
      <c r="U4015" s="2" t="s">
        <v>20030</v>
      </c>
      <c r="V4015" s="2" t="s">
        <v>22490</v>
      </c>
      <c r="W4015" s="1"/>
      <c r="X4015" s="2" t="s">
        <v>2020</v>
      </c>
      <c r="Y4015" s="2" t="s">
        <v>21087</v>
      </c>
      <c r="AA4015" t="str">
        <f t="shared" si="372"/>
        <v>2025-02</v>
      </c>
      <c r="AB4015" t="str">
        <f t="shared" si="373"/>
        <v>H1_2025</v>
      </c>
      <c r="AC4015">
        <f t="shared" si="374"/>
        <v>526510</v>
      </c>
      <c r="AD4015">
        <f t="shared" si="375"/>
        <v>100</v>
      </c>
      <c r="AE4015">
        <f t="shared" si="376"/>
        <v>136510</v>
      </c>
      <c r="AF4015" t="str">
        <f t="shared" si="377"/>
        <v>Paid</v>
      </c>
    </row>
    <row r="4016" spans="1:32" ht="17.25" thickBot="1" x14ac:dyDescent="0.35">
      <c r="A4016" s="2" t="s">
        <v>22500</v>
      </c>
      <c r="B4016" s="2" t="s">
        <v>27</v>
      </c>
      <c r="C4016" s="2" t="s">
        <v>28</v>
      </c>
      <c r="D4016" s="2" t="s">
        <v>97</v>
      </c>
      <c r="E4016" s="2" t="s">
        <v>21084</v>
      </c>
      <c r="F4016" s="2" t="s">
        <v>31</v>
      </c>
      <c r="G4016" s="2" t="s">
        <v>32</v>
      </c>
      <c r="H4016" s="1"/>
      <c r="I4016" s="2" t="s">
        <v>33</v>
      </c>
      <c r="J4016" s="2" t="s">
        <v>34</v>
      </c>
      <c r="K4016" s="2" t="s">
        <v>22501</v>
      </c>
      <c r="L4016" s="2" t="s">
        <v>22502</v>
      </c>
      <c r="M4016" s="2" t="s">
        <v>22487</v>
      </c>
      <c r="N4016" s="2" t="s">
        <v>38</v>
      </c>
      <c r="O4016" s="2" t="s">
        <v>877</v>
      </c>
      <c r="P4016" s="2" t="s">
        <v>3568</v>
      </c>
      <c r="Q4016" s="2" t="s">
        <v>22488</v>
      </c>
      <c r="R4016" s="2" t="s">
        <v>40</v>
      </c>
      <c r="S4016" s="2" t="s">
        <v>22489</v>
      </c>
      <c r="T4016" s="2" t="s">
        <v>3855</v>
      </c>
      <c r="U4016" s="2" t="s">
        <v>20030</v>
      </c>
      <c r="V4016" s="2" t="s">
        <v>22490</v>
      </c>
      <c r="W4016" s="1"/>
      <c r="X4016" s="2" t="s">
        <v>2020</v>
      </c>
      <c r="Y4016" s="2" t="s">
        <v>21087</v>
      </c>
      <c r="AA4016" t="str">
        <f t="shared" si="372"/>
        <v>2025-02</v>
      </c>
      <c r="AB4016" t="str">
        <f t="shared" si="373"/>
        <v>H1_2025</v>
      </c>
      <c r="AC4016">
        <f t="shared" si="374"/>
        <v>526510</v>
      </c>
      <c r="AD4016">
        <f t="shared" si="375"/>
        <v>100</v>
      </c>
      <c r="AE4016">
        <f t="shared" si="376"/>
        <v>136510</v>
      </c>
      <c r="AF4016" t="str">
        <f t="shared" si="377"/>
        <v>Paid</v>
      </c>
    </row>
    <row r="4017" spans="1:32" ht="17.25" thickBot="1" x14ac:dyDescent="0.35">
      <c r="A4017" s="2" t="s">
        <v>22503</v>
      </c>
      <c r="B4017" s="2" t="s">
        <v>27</v>
      </c>
      <c r="C4017" s="2" t="s">
        <v>28</v>
      </c>
      <c r="D4017" s="2" t="s">
        <v>97</v>
      </c>
      <c r="E4017" s="2" t="s">
        <v>21084</v>
      </c>
      <c r="F4017" s="2" t="s">
        <v>31</v>
      </c>
      <c r="G4017" s="2" t="s">
        <v>32</v>
      </c>
      <c r="H4017" s="1"/>
      <c r="I4017" s="2" t="s">
        <v>33</v>
      </c>
      <c r="J4017" s="2" t="s">
        <v>34</v>
      </c>
      <c r="K4017" s="2" t="s">
        <v>22504</v>
      </c>
      <c r="L4017" s="2" t="s">
        <v>22505</v>
      </c>
      <c r="M4017" s="2" t="s">
        <v>22487</v>
      </c>
      <c r="N4017" s="2" t="s">
        <v>38</v>
      </c>
      <c r="O4017" s="2" t="s">
        <v>203</v>
      </c>
      <c r="P4017" s="2" t="s">
        <v>3568</v>
      </c>
      <c r="Q4017" s="2" t="s">
        <v>22506</v>
      </c>
      <c r="R4017" s="2" t="s">
        <v>40</v>
      </c>
      <c r="S4017" s="2" t="s">
        <v>22507</v>
      </c>
      <c r="T4017" s="2" t="s">
        <v>3855</v>
      </c>
      <c r="U4017" s="2" t="s">
        <v>22508</v>
      </c>
      <c r="V4017" s="2" t="s">
        <v>22509</v>
      </c>
      <c r="W4017" s="1"/>
      <c r="X4017" s="2" t="s">
        <v>2020</v>
      </c>
      <c r="Y4017" s="2" t="s">
        <v>21087</v>
      </c>
      <c r="AA4017" t="str">
        <f t="shared" si="372"/>
        <v>2025-02</v>
      </c>
      <c r="AB4017" t="str">
        <f t="shared" si="373"/>
        <v>H1_2025</v>
      </c>
      <c r="AC4017">
        <f t="shared" si="374"/>
        <v>131627.5</v>
      </c>
      <c r="AD4017">
        <f t="shared" si="375"/>
        <v>25</v>
      </c>
      <c r="AE4017">
        <f t="shared" si="376"/>
        <v>34127.5</v>
      </c>
      <c r="AF4017" t="str">
        <f t="shared" si="377"/>
        <v>Paid</v>
      </c>
    </row>
    <row r="4018" spans="1:32" ht="17.25" thickBot="1" x14ac:dyDescent="0.35">
      <c r="A4018" s="2" t="s">
        <v>22510</v>
      </c>
      <c r="B4018" s="2" t="s">
        <v>27</v>
      </c>
      <c r="C4018" s="2" t="s">
        <v>28</v>
      </c>
      <c r="D4018" s="2" t="s">
        <v>97</v>
      </c>
      <c r="E4018" s="2" t="s">
        <v>21084</v>
      </c>
      <c r="F4018" s="2" t="s">
        <v>31</v>
      </c>
      <c r="G4018" s="2" t="s">
        <v>32</v>
      </c>
      <c r="H4018" s="1"/>
      <c r="I4018" s="2" t="s">
        <v>33</v>
      </c>
      <c r="J4018" s="2" t="s">
        <v>34</v>
      </c>
      <c r="K4018" s="2" t="s">
        <v>22511</v>
      </c>
      <c r="L4018" s="2" t="s">
        <v>22512</v>
      </c>
      <c r="M4018" s="2" t="s">
        <v>22487</v>
      </c>
      <c r="N4018" s="2" t="s">
        <v>38</v>
      </c>
      <c r="O4018" s="2" t="s">
        <v>203</v>
      </c>
      <c r="P4018" s="2" t="s">
        <v>3568</v>
      </c>
      <c r="Q4018" s="2" t="s">
        <v>22506</v>
      </c>
      <c r="R4018" s="2" t="s">
        <v>40</v>
      </c>
      <c r="S4018" s="2" t="s">
        <v>22507</v>
      </c>
      <c r="T4018" s="2" t="s">
        <v>3855</v>
      </c>
      <c r="U4018" s="2" t="s">
        <v>22508</v>
      </c>
      <c r="V4018" s="2" t="s">
        <v>22509</v>
      </c>
      <c r="W4018" s="1"/>
      <c r="X4018" s="2" t="s">
        <v>2020</v>
      </c>
      <c r="Y4018" s="2" t="s">
        <v>21087</v>
      </c>
      <c r="AA4018" t="str">
        <f t="shared" si="372"/>
        <v>2025-02</v>
      </c>
      <c r="AB4018" t="str">
        <f t="shared" si="373"/>
        <v>H1_2025</v>
      </c>
      <c r="AC4018">
        <f t="shared" si="374"/>
        <v>131627.5</v>
      </c>
      <c r="AD4018">
        <f t="shared" si="375"/>
        <v>25</v>
      </c>
      <c r="AE4018">
        <f t="shared" si="376"/>
        <v>34127.5</v>
      </c>
      <c r="AF4018" t="str">
        <f t="shared" si="377"/>
        <v>Paid</v>
      </c>
    </row>
    <row r="4019" spans="1:32" ht="17.25" thickBot="1" x14ac:dyDescent="0.35">
      <c r="A4019" s="2" t="s">
        <v>22513</v>
      </c>
      <c r="B4019" s="2" t="s">
        <v>27</v>
      </c>
      <c r="C4019" s="2" t="s">
        <v>28</v>
      </c>
      <c r="D4019" s="2" t="s">
        <v>97</v>
      </c>
      <c r="E4019" s="2" t="s">
        <v>21084</v>
      </c>
      <c r="F4019" s="2" t="s">
        <v>31</v>
      </c>
      <c r="G4019" s="2" t="s">
        <v>32</v>
      </c>
      <c r="H4019" s="1"/>
      <c r="I4019" s="2" t="s">
        <v>33</v>
      </c>
      <c r="J4019" s="2" t="s">
        <v>34</v>
      </c>
      <c r="K4019" s="2" t="s">
        <v>22514</v>
      </c>
      <c r="L4019" s="2" t="s">
        <v>22515</v>
      </c>
      <c r="M4019" s="2" t="s">
        <v>22487</v>
      </c>
      <c r="N4019" s="2" t="s">
        <v>38</v>
      </c>
      <c r="O4019" s="2" t="s">
        <v>203</v>
      </c>
      <c r="P4019" s="2" t="s">
        <v>3568</v>
      </c>
      <c r="Q4019" s="2" t="s">
        <v>22506</v>
      </c>
      <c r="R4019" s="2" t="s">
        <v>40</v>
      </c>
      <c r="S4019" s="2" t="s">
        <v>22507</v>
      </c>
      <c r="T4019" s="2" t="s">
        <v>3855</v>
      </c>
      <c r="U4019" s="2" t="s">
        <v>22508</v>
      </c>
      <c r="V4019" s="2" t="s">
        <v>22509</v>
      </c>
      <c r="W4019" s="1"/>
      <c r="X4019" s="2" t="s">
        <v>2020</v>
      </c>
      <c r="Y4019" s="2" t="s">
        <v>21087</v>
      </c>
      <c r="AA4019" t="str">
        <f t="shared" si="372"/>
        <v>2025-02</v>
      </c>
      <c r="AB4019" t="str">
        <f t="shared" si="373"/>
        <v>H1_2025</v>
      </c>
      <c r="AC4019">
        <f t="shared" si="374"/>
        <v>131627.5</v>
      </c>
      <c r="AD4019">
        <f t="shared" si="375"/>
        <v>25</v>
      </c>
      <c r="AE4019">
        <f t="shared" si="376"/>
        <v>34127.5</v>
      </c>
      <c r="AF4019" t="str">
        <f t="shared" si="377"/>
        <v>Paid</v>
      </c>
    </row>
    <row r="4020" spans="1:32" ht="17.25" thickBot="1" x14ac:dyDescent="0.35">
      <c r="A4020" s="2" t="s">
        <v>22516</v>
      </c>
      <c r="B4020" s="2" t="s">
        <v>27</v>
      </c>
      <c r="C4020" s="2" t="s">
        <v>28</v>
      </c>
      <c r="D4020" s="2" t="s">
        <v>97</v>
      </c>
      <c r="E4020" s="2" t="s">
        <v>21084</v>
      </c>
      <c r="F4020" s="2" t="s">
        <v>31</v>
      </c>
      <c r="G4020" s="2" t="s">
        <v>32</v>
      </c>
      <c r="H4020" s="1"/>
      <c r="I4020" s="2" t="s">
        <v>33</v>
      </c>
      <c r="J4020" s="2" t="s">
        <v>34</v>
      </c>
      <c r="K4020" s="2" t="s">
        <v>22517</v>
      </c>
      <c r="L4020" s="2" t="s">
        <v>22518</v>
      </c>
      <c r="M4020" s="2" t="s">
        <v>22487</v>
      </c>
      <c r="N4020" s="2" t="s">
        <v>38</v>
      </c>
      <c r="O4020" s="2" t="s">
        <v>214</v>
      </c>
      <c r="P4020" s="2" t="s">
        <v>3568</v>
      </c>
      <c r="Q4020" s="2" t="s">
        <v>22494</v>
      </c>
      <c r="R4020" s="2" t="s">
        <v>40</v>
      </c>
      <c r="S4020" s="2" t="s">
        <v>22495</v>
      </c>
      <c r="T4020" s="2" t="s">
        <v>3855</v>
      </c>
      <c r="U4020" s="2" t="s">
        <v>14967</v>
      </c>
      <c r="V4020" s="2" t="s">
        <v>22496</v>
      </c>
      <c r="W4020" s="1"/>
      <c r="X4020" s="2" t="s">
        <v>2020</v>
      </c>
      <c r="Y4020" s="2" t="s">
        <v>21087</v>
      </c>
      <c r="AA4020" t="str">
        <f t="shared" si="372"/>
        <v>2025-02</v>
      </c>
      <c r="AB4020" t="str">
        <f t="shared" si="373"/>
        <v>H1_2025</v>
      </c>
      <c r="AC4020">
        <f t="shared" si="374"/>
        <v>263255</v>
      </c>
      <c r="AD4020">
        <f t="shared" si="375"/>
        <v>50</v>
      </c>
      <c r="AE4020">
        <f t="shared" si="376"/>
        <v>68255</v>
      </c>
      <c r="AF4020" t="str">
        <f t="shared" si="377"/>
        <v>Paid</v>
      </c>
    </row>
    <row r="4021" spans="1:32" ht="17.25" thickBot="1" x14ac:dyDescent="0.35">
      <c r="A4021" s="2" t="s">
        <v>22519</v>
      </c>
      <c r="B4021" s="2" t="s">
        <v>27</v>
      </c>
      <c r="C4021" s="2" t="s">
        <v>28</v>
      </c>
      <c r="D4021" s="2" t="s">
        <v>97</v>
      </c>
      <c r="E4021" s="2" t="s">
        <v>21084</v>
      </c>
      <c r="F4021" s="2" t="s">
        <v>31</v>
      </c>
      <c r="G4021" s="2" t="s">
        <v>32</v>
      </c>
      <c r="H4021" s="1"/>
      <c r="I4021" s="2" t="s">
        <v>33</v>
      </c>
      <c r="J4021" s="2" t="s">
        <v>34</v>
      </c>
      <c r="K4021" s="2" t="s">
        <v>22520</v>
      </c>
      <c r="L4021" s="2" t="s">
        <v>22521</v>
      </c>
      <c r="M4021" s="2" t="s">
        <v>22487</v>
      </c>
      <c r="N4021" s="2" t="s">
        <v>38</v>
      </c>
      <c r="O4021" s="2" t="s">
        <v>203</v>
      </c>
      <c r="P4021" s="2" t="s">
        <v>3568</v>
      </c>
      <c r="Q4021" s="2" t="s">
        <v>22506</v>
      </c>
      <c r="R4021" s="2" t="s">
        <v>40</v>
      </c>
      <c r="S4021" s="2" t="s">
        <v>22507</v>
      </c>
      <c r="T4021" s="2" t="s">
        <v>3855</v>
      </c>
      <c r="U4021" s="2" t="s">
        <v>22508</v>
      </c>
      <c r="V4021" s="2" t="s">
        <v>22509</v>
      </c>
      <c r="W4021" s="1"/>
      <c r="X4021" s="2" t="s">
        <v>2020</v>
      </c>
      <c r="Y4021" s="2" t="s">
        <v>21087</v>
      </c>
      <c r="AA4021" t="str">
        <f t="shared" si="372"/>
        <v>2025-02</v>
      </c>
      <c r="AB4021" t="str">
        <f t="shared" si="373"/>
        <v>H1_2025</v>
      </c>
      <c r="AC4021">
        <f t="shared" si="374"/>
        <v>131627.5</v>
      </c>
      <c r="AD4021">
        <f t="shared" si="375"/>
        <v>25</v>
      </c>
      <c r="AE4021">
        <f t="shared" si="376"/>
        <v>34127.5</v>
      </c>
      <c r="AF4021" t="str">
        <f t="shared" si="377"/>
        <v>Paid</v>
      </c>
    </row>
    <row r="4022" spans="1:32" ht="17.25" thickBot="1" x14ac:dyDescent="0.35">
      <c r="A4022" s="2" t="s">
        <v>22522</v>
      </c>
      <c r="B4022" s="2" t="s">
        <v>27</v>
      </c>
      <c r="C4022" s="2" t="s">
        <v>28</v>
      </c>
      <c r="D4022" s="2" t="s">
        <v>97</v>
      </c>
      <c r="E4022" s="2" t="s">
        <v>21084</v>
      </c>
      <c r="F4022" s="2" t="s">
        <v>31</v>
      </c>
      <c r="G4022" s="2" t="s">
        <v>32</v>
      </c>
      <c r="H4022" s="1"/>
      <c r="I4022" s="2" t="s">
        <v>33</v>
      </c>
      <c r="J4022" s="2" t="s">
        <v>34</v>
      </c>
      <c r="K4022" s="2" t="s">
        <v>22523</v>
      </c>
      <c r="L4022" s="2" t="s">
        <v>22524</v>
      </c>
      <c r="M4022" s="2" t="s">
        <v>22487</v>
      </c>
      <c r="N4022" s="2" t="s">
        <v>38</v>
      </c>
      <c r="O4022" s="2" t="s">
        <v>203</v>
      </c>
      <c r="P4022" s="2" t="s">
        <v>3568</v>
      </c>
      <c r="Q4022" s="2" t="s">
        <v>22506</v>
      </c>
      <c r="R4022" s="2" t="s">
        <v>40</v>
      </c>
      <c r="S4022" s="2" t="s">
        <v>22507</v>
      </c>
      <c r="T4022" s="2" t="s">
        <v>22525</v>
      </c>
      <c r="U4022" s="2" t="s">
        <v>22526</v>
      </c>
      <c r="V4022" s="2" t="s">
        <v>22527</v>
      </c>
      <c r="W4022" s="1"/>
      <c r="X4022" s="2" t="s">
        <v>817</v>
      </c>
      <c r="Y4022" s="2" t="s">
        <v>21087</v>
      </c>
      <c r="AA4022" t="str">
        <f t="shared" si="372"/>
        <v>2025-02</v>
      </c>
      <c r="AB4022" t="str">
        <f t="shared" si="373"/>
        <v>H1_2025</v>
      </c>
      <c r="AC4022">
        <f t="shared" si="374"/>
        <v>131627.5</v>
      </c>
      <c r="AD4022">
        <f t="shared" si="375"/>
        <v>25</v>
      </c>
      <c r="AE4022">
        <f t="shared" si="376"/>
        <v>32352.5</v>
      </c>
      <c r="AF4022" t="str">
        <f t="shared" si="377"/>
        <v>Paid</v>
      </c>
    </row>
    <row r="4023" spans="1:32" ht="17.25" thickBot="1" x14ac:dyDescent="0.35">
      <c r="A4023" s="2" t="s">
        <v>22528</v>
      </c>
      <c r="B4023" s="2" t="s">
        <v>27</v>
      </c>
      <c r="C4023" s="2" t="s">
        <v>28</v>
      </c>
      <c r="D4023" s="2" t="s">
        <v>97</v>
      </c>
      <c r="E4023" s="2" t="s">
        <v>21084</v>
      </c>
      <c r="F4023" s="2" t="s">
        <v>31</v>
      </c>
      <c r="G4023" s="2" t="s">
        <v>32</v>
      </c>
      <c r="H4023" s="1"/>
      <c r="I4023" s="2" t="s">
        <v>33</v>
      </c>
      <c r="J4023" s="2" t="s">
        <v>34</v>
      </c>
      <c r="K4023" s="2" t="s">
        <v>22529</v>
      </c>
      <c r="L4023" s="2" t="s">
        <v>22530</v>
      </c>
      <c r="M4023" s="2" t="s">
        <v>22487</v>
      </c>
      <c r="N4023" s="2" t="s">
        <v>38</v>
      </c>
      <c r="O4023" s="2" t="s">
        <v>214</v>
      </c>
      <c r="P4023" s="2" t="s">
        <v>3568</v>
      </c>
      <c r="Q4023" s="2" t="s">
        <v>22494</v>
      </c>
      <c r="R4023" s="2" t="s">
        <v>40</v>
      </c>
      <c r="S4023" s="2" t="s">
        <v>22495</v>
      </c>
      <c r="T4023" s="2" t="s">
        <v>3855</v>
      </c>
      <c r="U4023" s="2" t="s">
        <v>14967</v>
      </c>
      <c r="V4023" s="2" t="s">
        <v>22496</v>
      </c>
      <c r="W4023" s="1"/>
      <c r="X4023" s="2" t="s">
        <v>2020</v>
      </c>
      <c r="Y4023" s="2" t="s">
        <v>21087</v>
      </c>
      <c r="AA4023" t="str">
        <f t="shared" si="372"/>
        <v>2025-02</v>
      </c>
      <c r="AB4023" t="str">
        <f t="shared" si="373"/>
        <v>H1_2025</v>
      </c>
      <c r="AC4023">
        <f t="shared" si="374"/>
        <v>263255</v>
      </c>
      <c r="AD4023">
        <f t="shared" si="375"/>
        <v>50</v>
      </c>
      <c r="AE4023">
        <f t="shared" si="376"/>
        <v>68255</v>
      </c>
      <c r="AF4023" t="str">
        <f t="shared" si="377"/>
        <v>Paid</v>
      </c>
    </row>
    <row r="4024" spans="1:32" ht="17.25" thickBot="1" x14ac:dyDescent="0.35">
      <c r="A4024" s="2" t="s">
        <v>22531</v>
      </c>
      <c r="B4024" s="2" t="s">
        <v>27</v>
      </c>
      <c r="C4024" s="2" t="s">
        <v>28</v>
      </c>
      <c r="D4024" s="2" t="s">
        <v>97</v>
      </c>
      <c r="E4024" s="2" t="s">
        <v>21084</v>
      </c>
      <c r="F4024" s="2" t="s">
        <v>31</v>
      </c>
      <c r="G4024" s="2" t="s">
        <v>32</v>
      </c>
      <c r="H4024" s="1"/>
      <c r="I4024" s="2" t="s">
        <v>33</v>
      </c>
      <c r="J4024" s="2" t="s">
        <v>34</v>
      </c>
      <c r="K4024" s="2" t="s">
        <v>22532</v>
      </c>
      <c r="L4024" s="2" t="s">
        <v>22533</v>
      </c>
      <c r="M4024" s="2" t="s">
        <v>22487</v>
      </c>
      <c r="N4024" s="2" t="s">
        <v>38</v>
      </c>
      <c r="O4024" s="2" t="s">
        <v>203</v>
      </c>
      <c r="P4024" s="2" t="s">
        <v>3568</v>
      </c>
      <c r="Q4024" s="2" t="s">
        <v>22506</v>
      </c>
      <c r="R4024" s="2" t="s">
        <v>40</v>
      </c>
      <c r="S4024" s="2" t="s">
        <v>22507</v>
      </c>
      <c r="T4024" s="2" t="s">
        <v>22534</v>
      </c>
      <c r="U4024" s="2" t="s">
        <v>22535</v>
      </c>
      <c r="V4024" s="2" t="s">
        <v>22536</v>
      </c>
      <c r="W4024" s="1"/>
      <c r="X4024" s="2" t="s">
        <v>2958</v>
      </c>
      <c r="Y4024" s="2" t="s">
        <v>21087</v>
      </c>
      <c r="AA4024" t="str">
        <f t="shared" si="372"/>
        <v>2025-02</v>
      </c>
      <c r="AB4024" t="str">
        <f t="shared" si="373"/>
        <v>H1_2025</v>
      </c>
      <c r="AC4024">
        <f t="shared" si="374"/>
        <v>131627.5</v>
      </c>
      <c r="AD4024">
        <f t="shared" si="375"/>
        <v>25</v>
      </c>
      <c r="AE4024">
        <f t="shared" si="376"/>
        <v>30222.5</v>
      </c>
      <c r="AF4024" t="str">
        <f t="shared" si="377"/>
        <v>Paid</v>
      </c>
    </row>
    <row r="4025" spans="1:32" ht="17.25" thickBot="1" x14ac:dyDescent="0.35">
      <c r="A4025" s="2" t="s">
        <v>22537</v>
      </c>
      <c r="B4025" s="2" t="s">
        <v>27</v>
      </c>
      <c r="C4025" s="2" t="s">
        <v>28</v>
      </c>
      <c r="D4025" s="2" t="s">
        <v>97</v>
      </c>
      <c r="E4025" s="2" t="s">
        <v>21084</v>
      </c>
      <c r="F4025" s="2" t="s">
        <v>31</v>
      </c>
      <c r="G4025" s="2" t="s">
        <v>32</v>
      </c>
      <c r="H4025" s="1"/>
      <c r="I4025" s="2" t="s">
        <v>33</v>
      </c>
      <c r="J4025" s="2" t="s">
        <v>34</v>
      </c>
      <c r="K4025" s="2" t="s">
        <v>22538</v>
      </c>
      <c r="L4025" s="2" t="s">
        <v>22539</v>
      </c>
      <c r="M4025" s="2" t="s">
        <v>22487</v>
      </c>
      <c r="N4025" s="2" t="s">
        <v>38</v>
      </c>
      <c r="O4025" s="2" t="s">
        <v>51</v>
      </c>
      <c r="P4025" s="2" t="s">
        <v>22540</v>
      </c>
      <c r="Q4025" s="2" t="s">
        <v>22541</v>
      </c>
      <c r="R4025" s="2" t="s">
        <v>40</v>
      </c>
      <c r="S4025" s="2" t="s">
        <v>22542</v>
      </c>
      <c r="T4025" s="2" t="s">
        <v>22543</v>
      </c>
      <c r="U4025" s="2" t="s">
        <v>22544</v>
      </c>
      <c r="V4025" s="2" t="s">
        <v>22545</v>
      </c>
      <c r="W4025" s="1"/>
      <c r="X4025" s="2" t="s">
        <v>3454</v>
      </c>
      <c r="Y4025" s="2" t="s">
        <v>21087</v>
      </c>
      <c r="AA4025" t="str">
        <f t="shared" si="372"/>
        <v>2025-02</v>
      </c>
      <c r="AB4025" t="str">
        <f t="shared" si="373"/>
        <v>H1_2025</v>
      </c>
      <c r="AC4025">
        <f t="shared" si="374"/>
        <v>14386.53</v>
      </c>
      <c r="AD4025">
        <f t="shared" si="375"/>
        <v>3</v>
      </c>
      <c r="AE4025">
        <f t="shared" si="376"/>
        <v>2602.5300000000002</v>
      </c>
      <c r="AF4025" t="str">
        <f t="shared" si="377"/>
        <v>Paid</v>
      </c>
    </row>
    <row r="4026" spans="1:32" ht="17.25" thickBot="1" x14ac:dyDescent="0.35">
      <c r="A4026" s="2" t="s">
        <v>22546</v>
      </c>
      <c r="B4026" s="2" t="s">
        <v>27</v>
      </c>
      <c r="C4026" s="2" t="s">
        <v>28</v>
      </c>
      <c r="D4026" s="2" t="s">
        <v>97</v>
      </c>
      <c r="E4026" s="2" t="s">
        <v>21084</v>
      </c>
      <c r="F4026" s="2" t="s">
        <v>31</v>
      </c>
      <c r="G4026" s="2" t="s">
        <v>32</v>
      </c>
      <c r="H4026" s="1"/>
      <c r="I4026" s="2" t="s">
        <v>33</v>
      </c>
      <c r="J4026" s="2" t="s">
        <v>34</v>
      </c>
      <c r="K4026" s="2" t="s">
        <v>22547</v>
      </c>
      <c r="L4026" s="2" t="s">
        <v>22548</v>
      </c>
      <c r="M4026" s="2" t="s">
        <v>22487</v>
      </c>
      <c r="N4026" s="2" t="s">
        <v>38</v>
      </c>
      <c r="O4026" s="2" t="s">
        <v>203</v>
      </c>
      <c r="P4026" s="2" t="s">
        <v>655</v>
      </c>
      <c r="Q4026" s="2" t="s">
        <v>11236</v>
      </c>
      <c r="R4026" s="2" t="s">
        <v>40</v>
      </c>
      <c r="S4026" s="2" t="s">
        <v>22350</v>
      </c>
      <c r="T4026" s="2" t="s">
        <v>22481</v>
      </c>
      <c r="U4026" s="2" t="s">
        <v>22549</v>
      </c>
      <c r="V4026" s="2" t="s">
        <v>22550</v>
      </c>
      <c r="W4026" s="1"/>
      <c r="X4026" s="2" t="s">
        <v>3089</v>
      </c>
      <c r="Y4026" s="2" t="s">
        <v>21087</v>
      </c>
      <c r="AA4026" t="str">
        <f t="shared" si="372"/>
        <v>2025-02</v>
      </c>
      <c r="AB4026" t="str">
        <f t="shared" si="373"/>
        <v>H1_2025</v>
      </c>
      <c r="AC4026">
        <f t="shared" si="374"/>
        <v>283888.5</v>
      </c>
      <c r="AD4026">
        <f t="shared" si="375"/>
        <v>25</v>
      </c>
      <c r="AE4026">
        <f t="shared" si="376"/>
        <v>54788.5</v>
      </c>
      <c r="AF4026" t="str">
        <f t="shared" si="377"/>
        <v>Paid</v>
      </c>
    </row>
    <row r="4027" spans="1:32" ht="17.25" thickBot="1" x14ac:dyDescent="0.35">
      <c r="A4027" s="2" t="s">
        <v>22551</v>
      </c>
      <c r="B4027" s="2" t="s">
        <v>27</v>
      </c>
      <c r="C4027" s="2" t="s">
        <v>28</v>
      </c>
      <c r="D4027" s="2" t="s">
        <v>97</v>
      </c>
      <c r="E4027" s="2" t="s">
        <v>21084</v>
      </c>
      <c r="F4027" s="2" t="s">
        <v>31</v>
      </c>
      <c r="G4027" s="2" t="s">
        <v>32</v>
      </c>
      <c r="H4027" s="1"/>
      <c r="I4027" s="2" t="s">
        <v>33</v>
      </c>
      <c r="J4027" s="2" t="s">
        <v>34</v>
      </c>
      <c r="K4027" s="2" t="s">
        <v>22552</v>
      </c>
      <c r="L4027" s="2" t="s">
        <v>22553</v>
      </c>
      <c r="M4027" s="2" t="s">
        <v>22487</v>
      </c>
      <c r="N4027" s="2" t="s">
        <v>38</v>
      </c>
      <c r="O4027" s="2" t="s">
        <v>203</v>
      </c>
      <c r="P4027" s="2" t="s">
        <v>655</v>
      </c>
      <c r="Q4027" s="2" t="s">
        <v>11236</v>
      </c>
      <c r="R4027" s="2" t="s">
        <v>40</v>
      </c>
      <c r="S4027" s="2" t="s">
        <v>22350</v>
      </c>
      <c r="T4027" s="2" t="s">
        <v>22481</v>
      </c>
      <c r="U4027" s="2" t="s">
        <v>22549</v>
      </c>
      <c r="V4027" s="2" t="s">
        <v>22550</v>
      </c>
      <c r="W4027" s="1"/>
      <c r="X4027" s="2" t="s">
        <v>3089</v>
      </c>
      <c r="Y4027" s="2" t="s">
        <v>21087</v>
      </c>
      <c r="AA4027" t="str">
        <f t="shared" si="372"/>
        <v>2025-02</v>
      </c>
      <c r="AB4027" t="str">
        <f t="shared" si="373"/>
        <v>H1_2025</v>
      </c>
      <c r="AC4027">
        <f t="shared" si="374"/>
        <v>283888.5</v>
      </c>
      <c r="AD4027">
        <f t="shared" si="375"/>
        <v>25</v>
      </c>
      <c r="AE4027">
        <f t="shared" si="376"/>
        <v>54788.5</v>
      </c>
      <c r="AF4027" t="str">
        <f t="shared" si="377"/>
        <v>Paid</v>
      </c>
    </row>
    <row r="4028" spans="1:32" ht="17.25" thickBot="1" x14ac:dyDescent="0.35">
      <c r="A4028" s="2" t="s">
        <v>22554</v>
      </c>
      <c r="B4028" s="2" t="s">
        <v>27</v>
      </c>
      <c r="C4028" s="2" t="s">
        <v>28</v>
      </c>
      <c r="D4028" s="2" t="s">
        <v>97</v>
      </c>
      <c r="E4028" s="2" t="s">
        <v>21084</v>
      </c>
      <c r="F4028" s="2" t="s">
        <v>31</v>
      </c>
      <c r="G4028" s="2" t="s">
        <v>32</v>
      </c>
      <c r="H4028" s="1"/>
      <c r="I4028" s="2" t="s">
        <v>33</v>
      </c>
      <c r="J4028" s="2" t="s">
        <v>34</v>
      </c>
      <c r="K4028" s="2" t="s">
        <v>14215</v>
      </c>
      <c r="L4028" s="2" t="s">
        <v>14216</v>
      </c>
      <c r="M4028" s="2" t="s">
        <v>3198</v>
      </c>
      <c r="N4028" s="2" t="s">
        <v>38</v>
      </c>
      <c r="O4028" s="2" t="s">
        <v>138</v>
      </c>
      <c r="P4028" s="2" t="s">
        <v>1105</v>
      </c>
      <c r="Q4028" s="2" t="s">
        <v>22555</v>
      </c>
      <c r="R4028" s="2" t="s">
        <v>40</v>
      </c>
      <c r="S4028" s="2" t="s">
        <v>22556</v>
      </c>
      <c r="T4028" s="2" t="s">
        <v>10964</v>
      </c>
      <c r="U4028" s="2" t="s">
        <v>9934</v>
      </c>
      <c r="V4028" s="2" t="s">
        <v>22557</v>
      </c>
      <c r="W4028" s="1"/>
      <c r="X4028" s="2" t="s">
        <v>1120</v>
      </c>
      <c r="Y4028" s="2" t="s">
        <v>21087</v>
      </c>
      <c r="AA4028" t="str">
        <f t="shared" si="372"/>
        <v>2025-02</v>
      </c>
      <c r="AB4028" t="str">
        <f t="shared" si="373"/>
        <v>H1_2025</v>
      </c>
      <c r="AC4028">
        <f t="shared" si="374"/>
        <v>116799.84</v>
      </c>
      <c r="AD4028">
        <f t="shared" si="375"/>
        <v>18</v>
      </c>
      <c r="AE4028">
        <f t="shared" si="376"/>
        <v>19599.84</v>
      </c>
      <c r="AF4028" t="str">
        <f t="shared" si="377"/>
        <v>Paid</v>
      </c>
    </row>
    <row r="4029" spans="1:32" ht="27.75" thickBot="1" x14ac:dyDescent="0.35">
      <c r="A4029" s="2" t="s">
        <v>22558</v>
      </c>
      <c r="B4029" s="2" t="s">
        <v>27</v>
      </c>
      <c r="C4029" s="2" t="s">
        <v>28</v>
      </c>
      <c r="D4029" s="2" t="s">
        <v>97</v>
      </c>
      <c r="E4029" s="2" t="s">
        <v>21084</v>
      </c>
      <c r="F4029" s="2" t="s">
        <v>31</v>
      </c>
      <c r="G4029" s="2" t="s">
        <v>32</v>
      </c>
      <c r="H4029" s="1"/>
      <c r="I4029" s="2" t="s">
        <v>33</v>
      </c>
      <c r="J4029" s="2" t="s">
        <v>34</v>
      </c>
      <c r="K4029" s="2" t="s">
        <v>14229</v>
      </c>
      <c r="L4029" s="2" t="s">
        <v>14230</v>
      </c>
      <c r="M4029" s="2" t="s">
        <v>3198</v>
      </c>
      <c r="N4029" s="2" t="s">
        <v>38</v>
      </c>
      <c r="O4029" s="2" t="s">
        <v>642</v>
      </c>
      <c r="P4029" s="2" t="s">
        <v>822</v>
      </c>
      <c r="Q4029" s="2" t="s">
        <v>22559</v>
      </c>
      <c r="R4029" s="2" t="s">
        <v>40</v>
      </c>
      <c r="S4029" s="2" t="s">
        <v>22560</v>
      </c>
      <c r="T4029" s="2" t="s">
        <v>6559</v>
      </c>
      <c r="U4029" s="2" t="s">
        <v>22561</v>
      </c>
      <c r="V4029" s="2" t="s">
        <v>22562</v>
      </c>
      <c r="W4029" s="1"/>
      <c r="X4029" s="2" t="s">
        <v>21373</v>
      </c>
      <c r="Y4029" s="2" t="s">
        <v>21087</v>
      </c>
      <c r="AA4029" t="str">
        <f t="shared" si="372"/>
        <v>2025-02</v>
      </c>
      <c r="AB4029" t="str">
        <f t="shared" si="373"/>
        <v>H1_2025</v>
      </c>
      <c r="AC4029">
        <f t="shared" si="374"/>
        <v>729999</v>
      </c>
      <c r="AD4029">
        <f t="shared" si="375"/>
        <v>75</v>
      </c>
      <c r="AE4029">
        <f t="shared" si="376"/>
        <v>77499</v>
      </c>
      <c r="AF4029" t="str">
        <f t="shared" si="377"/>
        <v>Paid</v>
      </c>
    </row>
    <row r="4030" spans="1:32" ht="17.25" thickBot="1" x14ac:dyDescent="0.35">
      <c r="A4030" s="2" t="s">
        <v>22563</v>
      </c>
      <c r="B4030" s="2" t="s">
        <v>27</v>
      </c>
      <c r="C4030" s="2" t="s">
        <v>28</v>
      </c>
      <c r="D4030" s="2" t="s">
        <v>97</v>
      </c>
      <c r="E4030" s="2" t="s">
        <v>21084</v>
      </c>
      <c r="F4030" s="2" t="s">
        <v>31</v>
      </c>
      <c r="G4030" s="2" t="s">
        <v>32</v>
      </c>
      <c r="H4030" s="1"/>
      <c r="I4030" s="2" t="s">
        <v>33</v>
      </c>
      <c r="J4030" s="2" t="s">
        <v>34</v>
      </c>
      <c r="K4030" s="2" t="s">
        <v>10030</v>
      </c>
      <c r="L4030" s="2" t="s">
        <v>10031</v>
      </c>
      <c r="M4030" s="2" t="s">
        <v>3198</v>
      </c>
      <c r="N4030" s="2" t="s">
        <v>38</v>
      </c>
      <c r="O4030" s="2" t="s">
        <v>773</v>
      </c>
      <c r="P4030" s="2" t="s">
        <v>3521</v>
      </c>
      <c r="Q4030" s="2" t="s">
        <v>18449</v>
      </c>
      <c r="R4030" s="2" t="s">
        <v>40</v>
      </c>
      <c r="S4030" s="2" t="s">
        <v>22564</v>
      </c>
      <c r="T4030" s="2" t="s">
        <v>10034</v>
      </c>
      <c r="U4030" s="2" t="s">
        <v>22565</v>
      </c>
      <c r="V4030" s="2" t="s">
        <v>22566</v>
      </c>
      <c r="W4030" s="1"/>
      <c r="X4030" s="2" t="s">
        <v>7447</v>
      </c>
      <c r="Y4030" s="2" t="s">
        <v>21087</v>
      </c>
      <c r="AA4030" t="str">
        <f t="shared" si="372"/>
        <v>2025-02</v>
      </c>
      <c r="AB4030" t="str">
        <f t="shared" si="373"/>
        <v>H1_2025</v>
      </c>
      <c r="AC4030">
        <f t="shared" si="374"/>
        <v>1363234</v>
      </c>
      <c r="AD4030">
        <f t="shared" si="375"/>
        <v>200</v>
      </c>
      <c r="AE4030">
        <f t="shared" si="376"/>
        <v>145234</v>
      </c>
      <c r="AF4030" t="str">
        <f t="shared" si="377"/>
        <v>Paid</v>
      </c>
    </row>
    <row r="4031" spans="1:32" ht="17.25" thickBot="1" x14ac:dyDescent="0.35">
      <c r="A4031" s="2" t="s">
        <v>22567</v>
      </c>
      <c r="B4031" s="2" t="s">
        <v>27</v>
      </c>
      <c r="C4031" s="2" t="s">
        <v>28</v>
      </c>
      <c r="D4031" s="2" t="s">
        <v>97</v>
      </c>
      <c r="E4031" s="2" t="s">
        <v>21084</v>
      </c>
      <c r="F4031" s="2" t="s">
        <v>31</v>
      </c>
      <c r="G4031" s="2" t="s">
        <v>32</v>
      </c>
      <c r="H4031" s="1"/>
      <c r="I4031" s="2" t="s">
        <v>33</v>
      </c>
      <c r="J4031" s="2" t="s">
        <v>34</v>
      </c>
      <c r="K4031" s="2" t="s">
        <v>18502</v>
      </c>
      <c r="L4031" s="2" t="s">
        <v>18503</v>
      </c>
      <c r="M4031" s="2" t="s">
        <v>3198</v>
      </c>
      <c r="N4031" s="2" t="s">
        <v>38</v>
      </c>
      <c r="O4031" s="2" t="s">
        <v>174</v>
      </c>
      <c r="P4031" s="2" t="s">
        <v>1789</v>
      </c>
      <c r="Q4031" s="2" t="s">
        <v>22568</v>
      </c>
      <c r="R4031" s="2" t="s">
        <v>40</v>
      </c>
      <c r="S4031" s="2" t="s">
        <v>22569</v>
      </c>
      <c r="T4031" s="2" t="s">
        <v>9849</v>
      </c>
      <c r="U4031" s="2" t="s">
        <v>22570</v>
      </c>
      <c r="V4031" s="2" t="s">
        <v>22571</v>
      </c>
      <c r="W4031" s="1"/>
      <c r="X4031" s="2" t="s">
        <v>7447</v>
      </c>
      <c r="Y4031" s="2" t="s">
        <v>21087</v>
      </c>
      <c r="AA4031" t="str">
        <f t="shared" si="372"/>
        <v>2025-02</v>
      </c>
      <c r="AB4031" t="str">
        <f t="shared" si="373"/>
        <v>H1_2025</v>
      </c>
      <c r="AC4031">
        <f t="shared" si="374"/>
        <v>114266.9</v>
      </c>
      <c r="AD4031">
        <f t="shared" si="375"/>
        <v>22</v>
      </c>
      <c r="AE4031">
        <f t="shared" si="376"/>
        <v>12186.9</v>
      </c>
      <c r="AF4031" t="str">
        <f t="shared" si="377"/>
        <v>Paid</v>
      </c>
    </row>
    <row r="4032" spans="1:32" ht="27.75" thickBot="1" x14ac:dyDescent="0.35">
      <c r="A4032" s="2" t="s">
        <v>22572</v>
      </c>
      <c r="B4032" s="2" t="s">
        <v>27</v>
      </c>
      <c r="C4032" s="2" t="s">
        <v>28</v>
      </c>
      <c r="D4032" s="2" t="s">
        <v>97</v>
      </c>
      <c r="E4032" s="2" t="s">
        <v>21084</v>
      </c>
      <c r="F4032" s="2" t="s">
        <v>31</v>
      </c>
      <c r="G4032" s="2" t="s">
        <v>32</v>
      </c>
      <c r="H4032" s="1"/>
      <c r="I4032" s="2" t="s">
        <v>33</v>
      </c>
      <c r="J4032" s="2" t="s">
        <v>34</v>
      </c>
      <c r="K4032" s="2" t="s">
        <v>20308</v>
      </c>
      <c r="L4032" s="2" t="s">
        <v>20309</v>
      </c>
      <c r="M4032" s="2" t="s">
        <v>1757</v>
      </c>
      <c r="N4032" s="2" t="s">
        <v>38</v>
      </c>
      <c r="O4032" s="2" t="s">
        <v>57</v>
      </c>
      <c r="P4032" s="2" t="s">
        <v>40</v>
      </c>
      <c r="Q4032" s="2" t="s">
        <v>40</v>
      </c>
      <c r="R4032" s="2" t="s">
        <v>40</v>
      </c>
      <c r="S4032" s="2" t="s">
        <v>40</v>
      </c>
      <c r="T4032" s="2" t="s">
        <v>40</v>
      </c>
      <c r="U4032" s="2" t="s">
        <v>40</v>
      </c>
      <c r="V4032" s="2" t="s">
        <v>40</v>
      </c>
      <c r="W4032" s="2" t="s">
        <v>41</v>
      </c>
      <c r="X4032" s="2" t="s">
        <v>42</v>
      </c>
      <c r="Y4032" s="2" t="s">
        <v>21087</v>
      </c>
      <c r="AA4032" t="str">
        <f t="shared" si="372"/>
        <v>2025-02</v>
      </c>
      <c r="AB4032" t="str">
        <f t="shared" si="373"/>
        <v>H1_2025</v>
      </c>
      <c r="AC4032">
        <f t="shared" si="374"/>
        <v>0</v>
      </c>
      <c r="AD4032">
        <f t="shared" si="375"/>
        <v>5</v>
      </c>
      <c r="AE4032">
        <f t="shared" si="376"/>
        <v>0</v>
      </c>
      <c r="AF4032" t="str">
        <f t="shared" si="377"/>
        <v>Sample</v>
      </c>
    </row>
    <row r="4033" spans="1:32" ht="17.25" thickBot="1" x14ac:dyDescent="0.35">
      <c r="A4033" s="2" t="s">
        <v>22573</v>
      </c>
      <c r="B4033" s="2" t="s">
        <v>27</v>
      </c>
      <c r="C4033" s="2" t="s">
        <v>28</v>
      </c>
      <c r="D4033" s="2" t="s">
        <v>97</v>
      </c>
      <c r="E4033" s="2" t="s">
        <v>21084</v>
      </c>
      <c r="F4033" s="2" t="s">
        <v>31</v>
      </c>
      <c r="G4033" s="2" t="s">
        <v>32</v>
      </c>
      <c r="H4033" s="1"/>
      <c r="I4033" s="2" t="s">
        <v>33</v>
      </c>
      <c r="J4033" s="2" t="s">
        <v>34</v>
      </c>
      <c r="K4033" s="2" t="s">
        <v>22574</v>
      </c>
      <c r="L4033" s="2" t="s">
        <v>22575</v>
      </c>
      <c r="M4033" s="2" t="s">
        <v>17482</v>
      </c>
      <c r="N4033" s="2" t="s">
        <v>38</v>
      </c>
      <c r="O4033" s="2" t="s">
        <v>203</v>
      </c>
      <c r="P4033" s="2" t="s">
        <v>11504</v>
      </c>
      <c r="Q4033" s="2" t="s">
        <v>22576</v>
      </c>
      <c r="R4033" s="2" t="s">
        <v>40</v>
      </c>
      <c r="S4033" s="2" t="s">
        <v>22577</v>
      </c>
      <c r="T4033" s="2" t="s">
        <v>22578</v>
      </c>
      <c r="U4033" s="2" t="s">
        <v>22579</v>
      </c>
      <c r="V4033" s="2" t="s">
        <v>22580</v>
      </c>
      <c r="W4033" s="1"/>
      <c r="X4033" s="2" t="s">
        <v>886</v>
      </c>
      <c r="Y4033" s="2" t="s">
        <v>21087</v>
      </c>
      <c r="AA4033" t="str">
        <f t="shared" si="372"/>
        <v>2025-02</v>
      </c>
      <c r="AB4033" t="str">
        <f t="shared" si="373"/>
        <v>H1_2025</v>
      </c>
      <c r="AC4033">
        <f t="shared" si="374"/>
        <v>158308.75</v>
      </c>
      <c r="AD4033">
        <f t="shared" si="375"/>
        <v>25</v>
      </c>
      <c r="AE4033">
        <f t="shared" si="376"/>
        <v>42383.75</v>
      </c>
      <c r="AF4033" t="str">
        <f t="shared" si="377"/>
        <v>Paid</v>
      </c>
    </row>
    <row r="4034" spans="1:32" ht="27.75" thickBot="1" x14ac:dyDescent="0.35">
      <c r="A4034" s="2" t="s">
        <v>22581</v>
      </c>
      <c r="B4034" s="2" t="s">
        <v>27</v>
      </c>
      <c r="C4034" s="2" t="s">
        <v>28</v>
      </c>
      <c r="D4034" s="2" t="s">
        <v>97</v>
      </c>
      <c r="E4034" s="2" t="s">
        <v>21084</v>
      </c>
      <c r="F4034" s="2" t="s">
        <v>31</v>
      </c>
      <c r="G4034" s="2" t="s">
        <v>32</v>
      </c>
      <c r="H4034" s="1"/>
      <c r="I4034" s="2" t="s">
        <v>33</v>
      </c>
      <c r="J4034" s="2" t="s">
        <v>34</v>
      </c>
      <c r="K4034" s="2" t="s">
        <v>22582</v>
      </c>
      <c r="L4034" s="2" t="s">
        <v>22583</v>
      </c>
      <c r="M4034" s="2" t="s">
        <v>15681</v>
      </c>
      <c r="N4034" s="2" t="s">
        <v>38</v>
      </c>
      <c r="O4034" s="2" t="s">
        <v>359</v>
      </c>
      <c r="P4034" s="2" t="s">
        <v>2262</v>
      </c>
      <c r="Q4034" s="2" t="s">
        <v>22584</v>
      </c>
      <c r="R4034" s="2" t="s">
        <v>40</v>
      </c>
      <c r="S4034" s="2" t="s">
        <v>22585</v>
      </c>
      <c r="T4034" s="2" t="s">
        <v>2401</v>
      </c>
      <c r="U4034" s="2" t="s">
        <v>22586</v>
      </c>
      <c r="V4034" s="2" t="s">
        <v>22587</v>
      </c>
      <c r="W4034" s="1"/>
      <c r="X4034" s="2" t="s">
        <v>2912</v>
      </c>
      <c r="Y4034" s="2" t="s">
        <v>21087</v>
      </c>
      <c r="AA4034" t="str">
        <f t="shared" si="372"/>
        <v>2025-02</v>
      </c>
      <c r="AB4034" t="str">
        <f t="shared" si="373"/>
        <v>H1_2025</v>
      </c>
      <c r="AC4034">
        <f t="shared" si="374"/>
        <v>422204.1</v>
      </c>
      <c r="AD4034">
        <f t="shared" si="375"/>
        <v>43</v>
      </c>
      <c r="AE4034">
        <f t="shared" si="376"/>
        <v>125074.1</v>
      </c>
      <c r="AF4034" t="str">
        <f t="shared" si="377"/>
        <v>Paid</v>
      </c>
    </row>
    <row r="4035" spans="1:32" ht="27.75" thickBot="1" x14ac:dyDescent="0.35">
      <c r="A4035" s="2" t="s">
        <v>22588</v>
      </c>
      <c r="B4035" s="2" t="s">
        <v>27</v>
      </c>
      <c r="C4035" s="2" t="s">
        <v>28</v>
      </c>
      <c r="D4035" s="2" t="s">
        <v>97</v>
      </c>
      <c r="E4035" s="2" t="s">
        <v>21084</v>
      </c>
      <c r="F4035" s="2" t="s">
        <v>31</v>
      </c>
      <c r="G4035" s="2" t="s">
        <v>32</v>
      </c>
      <c r="H4035" s="1"/>
      <c r="I4035" s="2" t="s">
        <v>33</v>
      </c>
      <c r="J4035" s="2" t="s">
        <v>34</v>
      </c>
      <c r="K4035" s="2" t="s">
        <v>22589</v>
      </c>
      <c r="L4035" s="2" t="s">
        <v>22590</v>
      </c>
      <c r="M4035" s="2" t="s">
        <v>15681</v>
      </c>
      <c r="N4035" s="2" t="s">
        <v>38</v>
      </c>
      <c r="O4035" s="2" t="s">
        <v>63</v>
      </c>
      <c r="P4035" s="2" t="s">
        <v>22591</v>
      </c>
      <c r="Q4035" s="2" t="s">
        <v>22592</v>
      </c>
      <c r="R4035" s="2" t="s">
        <v>40</v>
      </c>
      <c r="S4035" s="2" t="s">
        <v>22593</v>
      </c>
      <c r="T4035" s="2" t="s">
        <v>10140</v>
      </c>
      <c r="U4035" s="2" t="s">
        <v>22594</v>
      </c>
      <c r="V4035" s="2" t="s">
        <v>22595</v>
      </c>
      <c r="W4035" s="1"/>
      <c r="X4035" s="2" t="s">
        <v>2429</v>
      </c>
      <c r="Y4035" s="2" t="s">
        <v>21087</v>
      </c>
      <c r="AA4035" t="str">
        <f t="shared" si="372"/>
        <v>2025-02</v>
      </c>
      <c r="AB4035" t="str">
        <f t="shared" si="373"/>
        <v>H1_2025</v>
      </c>
      <c r="AC4035">
        <f t="shared" si="374"/>
        <v>32572.47</v>
      </c>
      <c r="AD4035">
        <f t="shared" si="375"/>
        <v>7</v>
      </c>
      <c r="AE4035">
        <f t="shared" si="376"/>
        <v>7939.47</v>
      </c>
      <c r="AF4035" t="str">
        <f t="shared" si="377"/>
        <v>Paid</v>
      </c>
    </row>
    <row r="4036" spans="1:32" ht="17.25" thickBot="1" x14ac:dyDescent="0.35">
      <c r="A4036" s="2" t="s">
        <v>22596</v>
      </c>
      <c r="B4036" s="2" t="s">
        <v>27</v>
      </c>
      <c r="C4036" s="2" t="s">
        <v>28</v>
      </c>
      <c r="D4036" s="2" t="s">
        <v>97</v>
      </c>
      <c r="E4036" s="2" t="s">
        <v>21084</v>
      </c>
      <c r="F4036" s="2" t="s">
        <v>31</v>
      </c>
      <c r="G4036" s="2" t="s">
        <v>32</v>
      </c>
      <c r="H4036" s="1"/>
      <c r="I4036" s="2" t="s">
        <v>33</v>
      </c>
      <c r="J4036" s="2" t="s">
        <v>34</v>
      </c>
      <c r="K4036" s="2" t="s">
        <v>22597</v>
      </c>
      <c r="L4036" s="2" t="s">
        <v>22598</v>
      </c>
      <c r="M4036" s="2" t="s">
        <v>15681</v>
      </c>
      <c r="N4036" s="2" t="s">
        <v>38</v>
      </c>
      <c r="O4036" s="2" t="s">
        <v>214</v>
      </c>
      <c r="P4036" s="2" t="s">
        <v>17045</v>
      </c>
      <c r="Q4036" s="2" t="s">
        <v>22599</v>
      </c>
      <c r="R4036" s="2" t="s">
        <v>40</v>
      </c>
      <c r="S4036" s="2" t="s">
        <v>22600</v>
      </c>
      <c r="T4036" s="2" t="s">
        <v>22601</v>
      </c>
      <c r="U4036" s="2" t="s">
        <v>22602</v>
      </c>
      <c r="V4036" s="2" t="s">
        <v>22603</v>
      </c>
      <c r="W4036" s="1"/>
      <c r="X4036" s="2" t="s">
        <v>934</v>
      </c>
      <c r="Y4036" s="2" t="s">
        <v>21087</v>
      </c>
      <c r="AA4036" t="str">
        <f t="shared" ref="AA4036:AA4099" si="378">LEFT(E4036,7)</f>
        <v>2025-02</v>
      </c>
      <c r="AB4036" t="str">
        <f t="shared" ref="AB4036:AB4099" si="379">IF(AND($AA4036&gt;="2025-01",$AA4036&lt;="2025-06"),"H1_2025",IF(AND($AA4036&gt;="2026-01",$AA4036&lt;="2026-06"),"H1_2026",""))</f>
        <v>H1_2025</v>
      </c>
      <c r="AC4036">
        <f t="shared" ref="AC4036:AC4099" si="380">IFERROR(VALUE(SUBSTITUTE(S4036,",","")),0)</f>
        <v>207046.5</v>
      </c>
      <c r="AD4036">
        <f t="shared" ref="AD4036:AD4099" si="381">IFERROR(VALUE(SUBSTITUTE(O4036,",","")),0)</f>
        <v>50</v>
      </c>
      <c r="AE4036">
        <f t="shared" ref="AE4036:AE4099" si="382">IFERROR(VALUE(SUBSTITUTE(V4036,",","")),0)</f>
        <v>50646.5</v>
      </c>
      <c r="AF4036" t="str">
        <f t="shared" ref="AF4036:AF4099" si="383">IF(ISNUMBER(SEARCH("FOC",W4036)),"FOC",IF(ISNUMBER(SEARCH("샘플",W4036)),"Sample","Paid"))</f>
        <v>Paid</v>
      </c>
    </row>
    <row r="4037" spans="1:32" ht="27.75" thickBot="1" x14ac:dyDescent="0.35">
      <c r="A4037" s="2" t="s">
        <v>22604</v>
      </c>
      <c r="B4037" s="2" t="s">
        <v>27</v>
      </c>
      <c r="C4037" s="2" t="s">
        <v>28</v>
      </c>
      <c r="D4037" s="2" t="s">
        <v>97</v>
      </c>
      <c r="E4037" s="2" t="s">
        <v>21084</v>
      </c>
      <c r="F4037" s="2" t="s">
        <v>31</v>
      </c>
      <c r="G4037" s="2" t="s">
        <v>32</v>
      </c>
      <c r="H4037" s="1"/>
      <c r="I4037" s="2" t="s">
        <v>33</v>
      </c>
      <c r="J4037" s="2" t="s">
        <v>34</v>
      </c>
      <c r="K4037" s="2" t="s">
        <v>22605</v>
      </c>
      <c r="L4037" s="2" t="s">
        <v>22606</v>
      </c>
      <c r="M4037" s="2" t="s">
        <v>15681</v>
      </c>
      <c r="N4037" s="2" t="s">
        <v>38</v>
      </c>
      <c r="O4037" s="2" t="s">
        <v>828</v>
      </c>
      <c r="P4037" s="2" t="s">
        <v>2015</v>
      </c>
      <c r="Q4037" s="2" t="s">
        <v>22607</v>
      </c>
      <c r="R4037" s="2" t="s">
        <v>40</v>
      </c>
      <c r="S4037" s="2" t="s">
        <v>22608</v>
      </c>
      <c r="T4037" s="2" t="s">
        <v>5346</v>
      </c>
      <c r="U4037" s="2" t="s">
        <v>22609</v>
      </c>
      <c r="V4037" s="2" t="s">
        <v>22610</v>
      </c>
      <c r="W4037" s="1"/>
      <c r="X4037" s="2" t="s">
        <v>1427</v>
      </c>
      <c r="Y4037" s="2" t="s">
        <v>21087</v>
      </c>
      <c r="AA4037" t="str">
        <f t="shared" si="378"/>
        <v>2025-02</v>
      </c>
      <c r="AB4037" t="str">
        <f t="shared" si="379"/>
        <v>H1_2025</v>
      </c>
      <c r="AC4037">
        <f t="shared" si="380"/>
        <v>686739.8</v>
      </c>
      <c r="AD4037">
        <f t="shared" si="381"/>
        <v>95</v>
      </c>
      <c r="AE4037">
        <f t="shared" si="382"/>
        <v>166804.79999999999</v>
      </c>
      <c r="AF4037" t="str">
        <f t="shared" si="383"/>
        <v>Paid</v>
      </c>
    </row>
    <row r="4038" spans="1:32" ht="17.25" thickBot="1" x14ac:dyDescent="0.35">
      <c r="A4038" s="2" t="s">
        <v>22611</v>
      </c>
      <c r="B4038" s="2" t="s">
        <v>27</v>
      </c>
      <c r="C4038" s="2" t="s">
        <v>28</v>
      </c>
      <c r="D4038" s="2" t="s">
        <v>97</v>
      </c>
      <c r="E4038" s="2" t="s">
        <v>21084</v>
      </c>
      <c r="F4038" s="2" t="s">
        <v>31</v>
      </c>
      <c r="G4038" s="2" t="s">
        <v>32</v>
      </c>
      <c r="H4038" s="1"/>
      <c r="I4038" s="2" t="s">
        <v>33</v>
      </c>
      <c r="J4038" s="2" t="s">
        <v>34</v>
      </c>
      <c r="K4038" s="2" t="s">
        <v>22612</v>
      </c>
      <c r="L4038" s="2" t="s">
        <v>22613</v>
      </c>
      <c r="M4038" s="2" t="s">
        <v>15681</v>
      </c>
      <c r="N4038" s="2" t="s">
        <v>38</v>
      </c>
      <c r="O4038" s="2" t="s">
        <v>203</v>
      </c>
      <c r="P4038" s="2" t="s">
        <v>2537</v>
      </c>
      <c r="Q4038" s="2" t="s">
        <v>22614</v>
      </c>
      <c r="R4038" s="2" t="s">
        <v>40</v>
      </c>
      <c r="S4038" s="2" t="s">
        <v>22615</v>
      </c>
      <c r="T4038" s="2" t="s">
        <v>12686</v>
      </c>
      <c r="U4038" s="2" t="s">
        <v>22616</v>
      </c>
      <c r="V4038" s="2" t="s">
        <v>22617</v>
      </c>
      <c r="W4038" s="1"/>
      <c r="X4038" s="2" t="s">
        <v>2429</v>
      </c>
      <c r="Y4038" s="2" t="s">
        <v>21087</v>
      </c>
      <c r="AA4038" t="str">
        <f t="shared" si="378"/>
        <v>2025-02</v>
      </c>
      <c r="AB4038" t="str">
        <f t="shared" si="379"/>
        <v>H1_2025</v>
      </c>
      <c r="AC4038">
        <f t="shared" si="380"/>
        <v>193883.75</v>
      </c>
      <c r="AD4038">
        <f t="shared" si="381"/>
        <v>25</v>
      </c>
      <c r="AE4038">
        <f t="shared" si="382"/>
        <v>47283.75</v>
      </c>
      <c r="AF4038" t="str">
        <f t="shared" si="383"/>
        <v>Paid</v>
      </c>
    </row>
    <row r="4039" spans="1:32" ht="17.25" thickBot="1" x14ac:dyDescent="0.35">
      <c r="A4039" s="2" t="s">
        <v>22618</v>
      </c>
      <c r="B4039" s="2" t="s">
        <v>27</v>
      </c>
      <c r="C4039" s="2" t="s">
        <v>28</v>
      </c>
      <c r="D4039" s="2" t="s">
        <v>97</v>
      </c>
      <c r="E4039" s="2" t="s">
        <v>21084</v>
      </c>
      <c r="F4039" s="2" t="s">
        <v>31</v>
      </c>
      <c r="G4039" s="2" t="s">
        <v>32</v>
      </c>
      <c r="H4039" s="1"/>
      <c r="I4039" s="2" t="s">
        <v>33</v>
      </c>
      <c r="J4039" s="2" t="s">
        <v>34</v>
      </c>
      <c r="K4039" s="2" t="s">
        <v>22619</v>
      </c>
      <c r="L4039" s="2" t="s">
        <v>22620</v>
      </c>
      <c r="M4039" s="2" t="s">
        <v>15681</v>
      </c>
      <c r="N4039" s="2" t="s">
        <v>38</v>
      </c>
      <c r="O4039" s="2" t="s">
        <v>203</v>
      </c>
      <c r="P4039" s="2" t="s">
        <v>186</v>
      </c>
      <c r="Q4039" s="2" t="s">
        <v>22621</v>
      </c>
      <c r="R4039" s="2" t="s">
        <v>40</v>
      </c>
      <c r="S4039" s="2" t="s">
        <v>22622</v>
      </c>
      <c r="T4039" s="2" t="s">
        <v>22623</v>
      </c>
      <c r="U4039" s="2" t="s">
        <v>22624</v>
      </c>
      <c r="V4039" s="2" t="s">
        <v>22625</v>
      </c>
      <c r="W4039" s="1"/>
      <c r="X4039" s="2" t="s">
        <v>934</v>
      </c>
      <c r="Y4039" s="2" t="s">
        <v>21087</v>
      </c>
      <c r="AA4039" t="str">
        <f t="shared" si="378"/>
        <v>2025-02</v>
      </c>
      <c r="AB4039" t="str">
        <f t="shared" si="379"/>
        <v>H1_2025</v>
      </c>
      <c r="AC4039">
        <f t="shared" si="380"/>
        <v>14230</v>
      </c>
      <c r="AD4039">
        <f t="shared" si="381"/>
        <v>25</v>
      </c>
      <c r="AE4039">
        <f t="shared" si="382"/>
        <v>3480</v>
      </c>
      <c r="AF4039" t="str">
        <f t="shared" si="383"/>
        <v>Paid</v>
      </c>
    </row>
    <row r="4040" spans="1:32" ht="17.25" thickBot="1" x14ac:dyDescent="0.35">
      <c r="A4040" s="2" t="s">
        <v>22626</v>
      </c>
      <c r="B4040" s="2" t="s">
        <v>27</v>
      </c>
      <c r="C4040" s="2" t="s">
        <v>28</v>
      </c>
      <c r="D4040" s="2" t="s">
        <v>97</v>
      </c>
      <c r="E4040" s="2" t="s">
        <v>21084</v>
      </c>
      <c r="F4040" s="2" t="s">
        <v>31</v>
      </c>
      <c r="G4040" s="2" t="s">
        <v>32</v>
      </c>
      <c r="H4040" s="1"/>
      <c r="I4040" s="2" t="s">
        <v>33</v>
      </c>
      <c r="J4040" s="2" t="s">
        <v>34</v>
      </c>
      <c r="K4040" s="2" t="s">
        <v>22627</v>
      </c>
      <c r="L4040" s="2" t="s">
        <v>22628</v>
      </c>
      <c r="M4040" s="2" t="s">
        <v>15681</v>
      </c>
      <c r="N4040" s="2" t="s">
        <v>38</v>
      </c>
      <c r="O4040" s="2" t="s">
        <v>76</v>
      </c>
      <c r="P4040" s="2" t="s">
        <v>22629</v>
      </c>
      <c r="Q4040" s="2" t="s">
        <v>22630</v>
      </c>
      <c r="R4040" s="2" t="s">
        <v>40</v>
      </c>
      <c r="S4040" s="2" t="s">
        <v>22631</v>
      </c>
      <c r="T4040" s="2" t="s">
        <v>22632</v>
      </c>
      <c r="U4040" s="2" t="s">
        <v>22633</v>
      </c>
      <c r="V4040" s="2" t="s">
        <v>22634</v>
      </c>
      <c r="W4040" s="1"/>
      <c r="X4040" s="2" t="s">
        <v>1427</v>
      </c>
      <c r="Y4040" s="2" t="s">
        <v>21087</v>
      </c>
      <c r="AA4040" t="str">
        <f t="shared" si="378"/>
        <v>2025-02</v>
      </c>
      <c r="AB4040" t="str">
        <f t="shared" si="379"/>
        <v>H1_2025</v>
      </c>
      <c r="AC4040">
        <f t="shared" si="380"/>
        <v>148817.34</v>
      </c>
      <c r="AD4040">
        <f t="shared" si="381"/>
        <v>9</v>
      </c>
      <c r="AE4040">
        <f t="shared" si="382"/>
        <v>36227.339999999997</v>
      </c>
      <c r="AF4040" t="str">
        <f t="shared" si="383"/>
        <v>Paid</v>
      </c>
    </row>
    <row r="4041" spans="1:32" ht="17.25" thickBot="1" x14ac:dyDescent="0.35">
      <c r="A4041" s="2" t="s">
        <v>22635</v>
      </c>
      <c r="B4041" s="2" t="s">
        <v>27</v>
      </c>
      <c r="C4041" s="2" t="s">
        <v>28</v>
      </c>
      <c r="D4041" s="2" t="s">
        <v>97</v>
      </c>
      <c r="E4041" s="2" t="s">
        <v>21084</v>
      </c>
      <c r="F4041" s="2" t="s">
        <v>31</v>
      </c>
      <c r="G4041" s="2" t="s">
        <v>32</v>
      </c>
      <c r="H4041" s="1"/>
      <c r="I4041" s="2" t="s">
        <v>33</v>
      </c>
      <c r="J4041" s="2" t="s">
        <v>34</v>
      </c>
      <c r="K4041" s="2" t="s">
        <v>22627</v>
      </c>
      <c r="L4041" s="2" t="s">
        <v>22628</v>
      </c>
      <c r="M4041" s="2" t="s">
        <v>15681</v>
      </c>
      <c r="N4041" s="2" t="s">
        <v>38</v>
      </c>
      <c r="O4041" s="2" t="s">
        <v>121</v>
      </c>
      <c r="P4041" s="2" t="s">
        <v>22629</v>
      </c>
      <c r="Q4041" s="2" t="s">
        <v>22636</v>
      </c>
      <c r="R4041" s="2" t="s">
        <v>40</v>
      </c>
      <c r="S4041" s="2" t="s">
        <v>22637</v>
      </c>
      <c r="T4041" s="2" t="s">
        <v>22632</v>
      </c>
      <c r="U4041" s="2" t="s">
        <v>22638</v>
      </c>
      <c r="V4041" s="2" t="s">
        <v>22639</v>
      </c>
      <c r="W4041" s="1"/>
      <c r="X4041" s="2" t="s">
        <v>1427</v>
      </c>
      <c r="Y4041" s="2" t="s">
        <v>21087</v>
      </c>
      <c r="AA4041" t="str">
        <f t="shared" si="378"/>
        <v>2025-02</v>
      </c>
      <c r="AB4041" t="str">
        <f t="shared" si="379"/>
        <v>H1_2025</v>
      </c>
      <c r="AC4041">
        <f t="shared" si="380"/>
        <v>264564.15999999997</v>
      </c>
      <c r="AD4041">
        <f t="shared" si="381"/>
        <v>16</v>
      </c>
      <c r="AE4041">
        <f t="shared" si="382"/>
        <v>64404.160000000003</v>
      </c>
      <c r="AF4041" t="str">
        <f t="shared" si="383"/>
        <v>Paid</v>
      </c>
    </row>
    <row r="4042" spans="1:32" ht="17.25" thickBot="1" x14ac:dyDescent="0.35">
      <c r="A4042" s="2" t="s">
        <v>22640</v>
      </c>
      <c r="B4042" s="2" t="s">
        <v>27</v>
      </c>
      <c r="C4042" s="2" t="s">
        <v>28</v>
      </c>
      <c r="D4042" s="2" t="s">
        <v>97</v>
      </c>
      <c r="E4042" s="2" t="s">
        <v>21084</v>
      </c>
      <c r="F4042" s="2" t="s">
        <v>31</v>
      </c>
      <c r="G4042" s="2" t="s">
        <v>32</v>
      </c>
      <c r="H4042" s="1"/>
      <c r="I4042" s="2" t="s">
        <v>33</v>
      </c>
      <c r="J4042" s="2" t="s">
        <v>34</v>
      </c>
      <c r="K4042" s="2" t="s">
        <v>22641</v>
      </c>
      <c r="L4042" s="2" t="s">
        <v>22642</v>
      </c>
      <c r="M4042" s="2" t="s">
        <v>15681</v>
      </c>
      <c r="N4042" s="2" t="s">
        <v>38</v>
      </c>
      <c r="O4042" s="2" t="s">
        <v>138</v>
      </c>
      <c r="P4042" s="2" t="s">
        <v>22629</v>
      </c>
      <c r="Q4042" s="2" t="s">
        <v>22643</v>
      </c>
      <c r="R4042" s="2" t="s">
        <v>40</v>
      </c>
      <c r="S4042" s="2" t="s">
        <v>22644</v>
      </c>
      <c r="T4042" s="2" t="s">
        <v>22632</v>
      </c>
      <c r="U4042" s="2" t="s">
        <v>22645</v>
      </c>
      <c r="V4042" s="2" t="s">
        <v>22646</v>
      </c>
      <c r="W4042" s="1"/>
      <c r="X4042" s="2" t="s">
        <v>1427</v>
      </c>
      <c r="Y4042" s="2" t="s">
        <v>21087</v>
      </c>
      <c r="AA4042" t="str">
        <f t="shared" si="378"/>
        <v>2025-02</v>
      </c>
      <c r="AB4042" t="str">
        <f t="shared" si="379"/>
        <v>H1_2025</v>
      </c>
      <c r="AC4042">
        <f t="shared" si="380"/>
        <v>297634.68</v>
      </c>
      <c r="AD4042">
        <f t="shared" si="381"/>
        <v>18</v>
      </c>
      <c r="AE4042">
        <f t="shared" si="382"/>
        <v>72454.679999999993</v>
      </c>
      <c r="AF4042" t="str">
        <f t="shared" si="383"/>
        <v>Paid</v>
      </c>
    </row>
    <row r="4043" spans="1:32" ht="17.25" thickBot="1" x14ac:dyDescent="0.35">
      <c r="A4043" s="2" t="s">
        <v>22647</v>
      </c>
      <c r="B4043" s="2" t="s">
        <v>27</v>
      </c>
      <c r="C4043" s="2" t="s">
        <v>28</v>
      </c>
      <c r="D4043" s="2" t="s">
        <v>97</v>
      </c>
      <c r="E4043" s="2" t="s">
        <v>21084</v>
      </c>
      <c r="F4043" s="2" t="s">
        <v>31</v>
      </c>
      <c r="G4043" s="2" t="s">
        <v>32</v>
      </c>
      <c r="H4043" s="1"/>
      <c r="I4043" s="2" t="s">
        <v>33</v>
      </c>
      <c r="J4043" s="2" t="s">
        <v>34</v>
      </c>
      <c r="K4043" s="2" t="s">
        <v>22648</v>
      </c>
      <c r="L4043" s="2" t="s">
        <v>22649</v>
      </c>
      <c r="M4043" s="2" t="s">
        <v>18521</v>
      </c>
      <c r="N4043" s="2" t="s">
        <v>38</v>
      </c>
      <c r="O4043" s="2" t="s">
        <v>51</v>
      </c>
      <c r="P4043" s="2" t="s">
        <v>449</v>
      </c>
      <c r="Q4043" s="2" t="s">
        <v>22650</v>
      </c>
      <c r="R4043" s="2" t="s">
        <v>40</v>
      </c>
      <c r="S4043" s="2" t="s">
        <v>22651</v>
      </c>
      <c r="T4043" s="2" t="s">
        <v>22351</v>
      </c>
      <c r="U4043" s="2" t="s">
        <v>22652</v>
      </c>
      <c r="V4043" s="2" t="s">
        <v>22653</v>
      </c>
      <c r="W4043" s="1"/>
      <c r="X4043" s="2" t="s">
        <v>22654</v>
      </c>
      <c r="Y4043" s="2" t="s">
        <v>21087</v>
      </c>
      <c r="AA4043" t="str">
        <f t="shared" si="378"/>
        <v>2025-02</v>
      </c>
      <c r="AB4043" t="str">
        <f t="shared" si="379"/>
        <v>H1_2025</v>
      </c>
      <c r="AC4043">
        <f t="shared" si="380"/>
        <v>36499.949999999997</v>
      </c>
      <c r="AD4043">
        <f t="shared" si="381"/>
        <v>3</v>
      </c>
      <c r="AE4043">
        <f t="shared" si="382"/>
        <v>12019.95</v>
      </c>
      <c r="AF4043" t="str">
        <f t="shared" si="383"/>
        <v>Paid</v>
      </c>
    </row>
    <row r="4044" spans="1:32" ht="17.25" thickBot="1" x14ac:dyDescent="0.35">
      <c r="A4044" s="2" t="s">
        <v>22655</v>
      </c>
      <c r="B4044" s="2" t="s">
        <v>27</v>
      </c>
      <c r="C4044" s="2" t="s">
        <v>28</v>
      </c>
      <c r="D4044" s="2" t="s">
        <v>97</v>
      </c>
      <c r="E4044" s="2" t="s">
        <v>21084</v>
      </c>
      <c r="F4044" s="2" t="s">
        <v>31</v>
      </c>
      <c r="G4044" s="2" t="s">
        <v>32</v>
      </c>
      <c r="H4044" s="1"/>
      <c r="I4044" s="2" t="s">
        <v>33</v>
      </c>
      <c r="J4044" s="2" t="s">
        <v>34</v>
      </c>
      <c r="K4044" s="2" t="s">
        <v>22656</v>
      </c>
      <c r="L4044" s="2" t="s">
        <v>22657</v>
      </c>
      <c r="M4044" s="2" t="s">
        <v>22658</v>
      </c>
      <c r="N4044" s="2" t="s">
        <v>38</v>
      </c>
      <c r="O4044" s="2" t="s">
        <v>141</v>
      </c>
      <c r="P4044" s="2" t="s">
        <v>40</v>
      </c>
      <c r="Q4044" s="2" t="s">
        <v>40</v>
      </c>
      <c r="R4044" s="2" t="s">
        <v>40</v>
      </c>
      <c r="S4044" s="2" t="s">
        <v>40</v>
      </c>
      <c r="T4044" s="2" t="s">
        <v>40</v>
      </c>
      <c r="U4044" s="2" t="s">
        <v>40</v>
      </c>
      <c r="V4044" s="2" t="s">
        <v>40</v>
      </c>
      <c r="W4044" s="2" t="s">
        <v>41</v>
      </c>
      <c r="X4044" s="2" t="s">
        <v>42</v>
      </c>
      <c r="Y4044" s="2" t="s">
        <v>21087</v>
      </c>
      <c r="AA4044" t="str">
        <f t="shared" si="378"/>
        <v>2025-02</v>
      </c>
      <c r="AB4044" t="str">
        <f t="shared" si="379"/>
        <v>H1_2025</v>
      </c>
      <c r="AC4044">
        <f t="shared" si="380"/>
        <v>0</v>
      </c>
      <c r="AD4044">
        <f t="shared" si="381"/>
        <v>30</v>
      </c>
      <c r="AE4044">
        <f t="shared" si="382"/>
        <v>0</v>
      </c>
      <c r="AF4044" t="str">
        <f t="shared" si="383"/>
        <v>Sample</v>
      </c>
    </row>
    <row r="4045" spans="1:32" ht="17.25" thickBot="1" x14ac:dyDescent="0.35">
      <c r="A4045" s="2" t="s">
        <v>22659</v>
      </c>
      <c r="B4045" s="2" t="s">
        <v>27</v>
      </c>
      <c r="C4045" s="2" t="s">
        <v>28</v>
      </c>
      <c r="D4045" s="2" t="s">
        <v>97</v>
      </c>
      <c r="E4045" s="2" t="s">
        <v>21084</v>
      </c>
      <c r="F4045" s="2" t="s">
        <v>31</v>
      </c>
      <c r="G4045" s="2" t="s">
        <v>32</v>
      </c>
      <c r="H4045" s="1"/>
      <c r="I4045" s="2" t="s">
        <v>33</v>
      </c>
      <c r="J4045" s="2" t="s">
        <v>34</v>
      </c>
      <c r="K4045" s="2" t="s">
        <v>6827</v>
      </c>
      <c r="L4045" s="2" t="s">
        <v>6828</v>
      </c>
      <c r="M4045" s="2" t="s">
        <v>4544</v>
      </c>
      <c r="N4045" s="2" t="s">
        <v>38</v>
      </c>
      <c r="O4045" s="2" t="s">
        <v>214</v>
      </c>
      <c r="P4045" s="2" t="s">
        <v>1133</v>
      </c>
      <c r="Q4045" s="2" t="s">
        <v>611</v>
      </c>
      <c r="R4045" s="2" t="s">
        <v>40</v>
      </c>
      <c r="S4045" s="2" t="s">
        <v>22430</v>
      </c>
      <c r="T4045" s="2" t="s">
        <v>10246</v>
      </c>
      <c r="U4045" s="2" t="s">
        <v>8045</v>
      </c>
      <c r="V4045" s="2" t="s">
        <v>22660</v>
      </c>
      <c r="W4045" s="1"/>
      <c r="X4045" s="2" t="s">
        <v>333</v>
      </c>
      <c r="Y4045" s="2" t="s">
        <v>21087</v>
      </c>
      <c r="AA4045" t="str">
        <f t="shared" si="378"/>
        <v>2025-02</v>
      </c>
      <c r="AB4045" t="str">
        <f t="shared" si="379"/>
        <v>H1_2025</v>
      </c>
      <c r="AC4045">
        <f t="shared" si="380"/>
        <v>243333</v>
      </c>
      <c r="AD4045">
        <f t="shared" si="381"/>
        <v>50</v>
      </c>
      <c r="AE4045">
        <f t="shared" si="382"/>
        <v>135333</v>
      </c>
      <c r="AF4045" t="str">
        <f t="shared" si="383"/>
        <v>Paid</v>
      </c>
    </row>
    <row r="4046" spans="1:32" ht="27.75" thickBot="1" x14ac:dyDescent="0.35">
      <c r="A4046" s="2" t="s">
        <v>22661</v>
      </c>
      <c r="B4046" s="2" t="s">
        <v>27</v>
      </c>
      <c r="C4046" s="2" t="s">
        <v>28</v>
      </c>
      <c r="D4046" s="2" t="s">
        <v>97</v>
      </c>
      <c r="E4046" s="2" t="s">
        <v>21084</v>
      </c>
      <c r="F4046" s="2" t="s">
        <v>31</v>
      </c>
      <c r="G4046" s="2" t="s">
        <v>32</v>
      </c>
      <c r="H4046" s="1"/>
      <c r="I4046" s="2" t="s">
        <v>33</v>
      </c>
      <c r="J4046" s="2" t="s">
        <v>34</v>
      </c>
      <c r="K4046" s="2" t="s">
        <v>22662</v>
      </c>
      <c r="L4046" s="2" t="s">
        <v>22663</v>
      </c>
      <c r="M4046" s="2" t="s">
        <v>4544</v>
      </c>
      <c r="N4046" s="2" t="s">
        <v>38</v>
      </c>
      <c r="O4046" s="2" t="s">
        <v>877</v>
      </c>
      <c r="P4046" s="2" t="s">
        <v>5331</v>
      </c>
      <c r="Q4046" s="2" t="s">
        <v>22664</v>
      </c>
      <c r="R4046" s="2" t="s">
        <v>40</v>
      </c>
      <c r="S4046" s="2" t="s">
        <v>22665</v>
      </c>
      <c r="T4046" s="2" t="s">
        <v>267</v>
      </c>
      <c r="U4046" s="2" t="s">
        <v>5128</v>
      </c>
      <c r="V4046" s="2" t="s">
        <v>22666</v>
      </c>
      <c r="W4046" s="1"/>
      <c r="X4046" s="2" t="s">
        <v>2939</v>
      </c>
      <c r="Y4046" s="2" t="s">
        <v>21087</v>
      </c>
      <c r="AA4046" t="str">
        <f t="shared" si="378"/>
        <v>2025-02</v>
      </c>
      <c r="AB4046" t="str">
        <f t="shared" si="379"/>
        <v>H1_2025</v>
      </c>
      <c r="AC4046">
        <f t="shared" si="380"/>
        <v>895067</v>
      </c>
      <c r="AD4046">
        <f t="shared" si="381"/>
        <v>100</v>
      </c>
      <c r="AE4046">
        <f t="shared" si="382"/>
        <v>235067</v>
      </c>
      <c r="AF4046" t="str">
        <f t="shared" si="383"/>
        <v>Paid</v>
      </c>
    </row>
    <row r="4047" spans="1:32" ht="17.25" thickBot="1" x14ac:dyDescent="0.35">
      <c r="A4047" s="2" t="s">
        <v>22667</v>
      </c>
      <c r="B4047" s="2" t="s">
        <v>27</v>
      </c>
      <c r="C4047" s="2" t="s">
        <v>28</v>
      </c>
      <c r="D4047" s="2" t="s">
        <v>97</v>
      </c>
      <c r="E4047" s="2" t="s">
        <v>21084</v>
      </c>
      <c r="F4047" s="2" t="s">
        <v>31</v>
      </c>
      <c r="G4047" s="2" t="s">
        <v>32</v>
      </c>
      <c r="H4047" s="1"/>
      <c r="I4047" s="2" t="s">
        <v>33</v>
      </c>
      <c r="J4047" s="2" t="s">
        <v>34</v>
      </c>
      <c r="K4047" s="2" t="s">
        <v>22668</v>
      </c>
      <c r="L4047" s="2" t="s">
        <v>22669</v>
      </c>
      <c r="M4047" s="2" t="s">
        <v>4544</v>
      </c>
      <c r="N4047" s="2" t="s">
        <v>38</v>
      </c>
      <c r="O4047" s="2" t="s">
        <v>214</v>
      </c>
      <c r="P4047" s="2" t="s">
        <v>11756</v>
      </c>
      <c r="Q4047" s="2" t="s">
        <v>22670</v>
      </c>
      <c r="R4047" s="2" t="s">
        <v>40</v>
      </c>
      <c r="S4047" s="2" t="s">
        <v>22671</v>
      </c>
      <c r="T4047" s="2" t="s">
        <v>3110</v>
      </c>
      <c r="U4047" s="2" t="s">
        <v>11652</v>
      </c>
      <c r="V4047" s="2" t="s">
        <v>22672</v>
      </c>
      <c r="W4047" s="1"/>
      <c r="X4047" s="2" t="s">
        <v>1006</v>
      </c>
      <c r="Y4047" s="2" t="s">
        <v>21087</v>
      </c>
      <c r="AA4047" t="str">
        <f t="shared" si="378"/>
        <v>2025-02</v>
      </c>
      <c r="AB4047" t="str">
        <f t="shared" si="379"/>
        <v>H1_2025</v>
      </c>
      <c r="AC4047">
        <f t="shared" si="380"/>
        <v>269658.5</v>
      </c>
      <c r="AD4047">
        <f t="shared" si="381"/>
        <v>50</v>
      </c>
      <c r="AE4047">
        <f t="shared" si="382"/>
        <v>69658.5</v>
      </c>
      <c r="AF4047" t="str">
        <f t="shared" si="383"/>
        <v>Paid</v>
      </c>
    </row>
    <row r="4048" spans="1:32" ht="17.25" thickBot="1" x14ac:dyDescent="0.35">
      <c r="A4048" s="2" t="s">
        <v>22673</v>
      </c>
      <c r="B4048" s="2" t="s">
        <v>27</v>
      </c>
      <c r="C4048" s="2" t="s">
        <v>28</v>
      </c>
      <c r="D4048" s="2" t="s">
        <v>97</v>
      </c>
      <c r="E4048" s="2" t="s">
        <v>21084</v>
      </c>
      <c r="F4048" s="2" t="s">
        <v>31</v>
      </c>
      <c r="G4048" s="2" t="s">
        <v>32</v>
      </c>
      <c r="H4048" s="1"/>
      <c r="I4048" s="2" t="s">
        <v>33</v>
      </c>
      <c r="J4048" s="2" t="s">
        <v>34</v>
      </c>
      <c r="K4048" s="2" t="s">
        <v>6842</v>
      </c>
      <c r="L4048" s="2" t="s">
        <v>6843</v>
      </c>
      <c r="M4048" s="2" t="s">
        <v>4544</v>
      </c>
      <c r="N4048" s="2" t="s">
        <v>38</v>
      </c>
      <c r="O4048" s="2" t="s">
        <v>877</v>
      </c>
      <c r="P4048" s="2" t="s">
        <v>11756</v>
      </c>
      <c r="Q4048" s="2" t="s">
        <v>22674</v>
      </c>
      <c r="R4048" s="2" t="s">
        <v>40</v>
      </c>
      <c r="S4048" s="2" t="s">
        <v>22675</v>
      </c>
      <c r="T4048" s="2" t="s">
        <v>6847</v>
      </c>
      <c r="U4048" s="2" t="s">
        <v>22676</v>
      </c>
      <c r="V4048" s="2" t="s">
        <v>22677</v>
      </c>
      <c r="W4048" s="1"/>
      <c r="X4048" s="2" t="s">
        <v>1042</v>
      </c>
      <c r="Y4048" s="2" t="s">
        <v>21087</v>
      </c>
      <c r="AA4048" t="str">
        <f t="shared" si="378"/>
        <v>2025-02</v>
      </c>
      <c r="AB4048" t="str">
        <f t="shared" si="379"/>
        <v>H1_2025</v>
      </c>
      <c r="AC4048">
        <f t="shared" si="380"/>
        <v>539317</v>
      </c>
      <c r="AD4048">
        <f t="shared" si="381"/>
        <v>100</v>
      </c>
      <c r="AE4048">
        <f t="shared" si="382"/>
        <v>129317</v>
      </c>
      <c r="AF4048" t="str">
        <f t="shared" si="383"/>
        <v>Paid</v>
      </c>
    </row>
    <row r="4049" spans="1:32" ht="17.25" thickBot="1" x14ac:dyDescent="0.35">
      <c r="A4049" s="2" t="s">
        <v>22678</v>
      </c>
      <c r="B4049" s="2" t="s">
        <v>27</v>
      </c>
      <c r="C4049" s="2" t="s">
        <v>28</v>
      </c>
      <c r="D4049" s="2" t="s">
        <v>97</v>
      </c>
      <c r="E4049" s="2" t="s">
        <v>21084</v>
      </c>
      <c r="F4049" s="2" t="s">
        <v>31</v>
      </c>
      <c r="G4049" s="2" t="s">
        <v>32</v>
      </c>
      <c r="H4049" s="1"/>
      <c r="I4049" s="2" t="s">
        <v>33</v>
      </c>
      <c r="J4049" s="2" t="s">
        <v>34</v>
      </c>
      <c r="K4049" s="2" t="s">
        <v>22679</v>
      </c>
      <c r="L4049" s="2" t="s">
        <v>22680</v>
      </c>
      <c r="M4049" s="2" t="s">
        <v>4544</v>
      </c>
      <c r="N4049" s="2" t="s">
        <v>38</v>
      </c>
      <c r="O4049" s="2" t="s">
        <v>214</v>
      </c>
      <c r="P4049" s="2" t="s">
        <v>11756</v>
      </c>
      <c r="Q4049" s="2" t="s">
        <v>22670</v>
      </c>
      <c r="R4049" s="2" t="s">
        <v>40</v>
      </c>
      <c r="S4049" s="2" t="s">
        <v>22671</v>
      </c>
      <c r="T4049" s="2" t="s">
        <v>22681</v>
      </c>
      <c r="U4049" s="2" t="s">
        <v>22682</v>
      </c>
      <c r="V4049" s="2" t="s">
        <v>22683</v>
      </c>
      <c r="W4049" s="1"/>
      <c r="X4049" s="2" t="s">
        <v>1357</v>
      </c>
      <c r="Y4049" s="2" t="s">
        <v>21087</v>
      </c>
      <c r="AA4049" t="str">
        <f t="shared" si="378"/>
        <v>2025-02</v>
      </c>
      <c r="AB4049" t="str">
        <f t="shared" si="379"/>
        <v>H1_2025</v>
      </c>
      <c r="AC4049">
        <f t="shared" si="380"/>
        <v>269658.5</v>
      </c>
      <c r="AD4049">
        <f t="shared" si="381"/>
        <v>50</v>
      </c>
      <c r="AE4049">
        <f t="shared" si="382"/>
        <v>69258.5</v>
      </c>
      <c r="AF4049" t="str">
        <f t="shared" si="383"/>
        <v>Paid</v>
      </c>
    </row>
    <row r="4050" spans="1:32" ht="17.25" thickBot="1" x14ac:dyDescent="0.35">
      <c r="A4050" s="2" t="s">
        <v>22684</v>
      </c>
      <c r="B4050" s="2" t="s">
        <v>27</v>
      </c>
      <c r="C4050" s="2" t="s">
        <v>28</v>
      </c>
      <c r="D4050" s="2" t="s">
        <v>97</v>
      </c>
      <c r="E4050" s="2" t="s">
        <v>21084</v>
      </c>
      <c r="F4050" s="2" t="s">
        <v>31</v>
      </c>
      <c r="G4050" s="2" t="s">
        <v>32</v>
      </c>
      <c r="H4050" s="1"/>
      <c r="I4050" s="2" t="s">
        <v>33</v>
      </c>
      <c r="J4050" s="2" t="s">
        <v>34</v>
      </c>
      <c r="K4050" s="2" t="s">
        <v>22685</v>
      </c>
      <c r="L4050" s="2" t="s">
        <v>22686</v>
      </c>
      <c r="M4050" s="2" t="s">
        <v>4544</v>
      </c>
      <c r="N4050" s="2" t="s">
        <v>38</v>
      </c>
      <c r="O4050" s="2" t="s">
        <v>203</v>
      </c>
      <c r="P4050" s="2" t="s">
        <v>1697</v>
      </c>
      <c r="Q4050" s="2" t="s">
        <v>3439</v>
      </c>
      <c r="R4050" s="2" t="s">
        <v>40</v>
      </c>
      <c r="S4050" s="2" t="s">
        <v>22687</v>
      </c>
      <c r="T4050" s="2" t="s">
        <v>3110</v>
      </c>
      <c r="U4050" s="2" t="s">
        <v>3192</v>
      </c>
      <c r="V4050" s="2" t="s">
        <v>22688</v>
      </c>
      <c r="W4050" s="1"/>
      <c r="X4050" s="2" t="s">
        <v>5766</v>
      </c>
      <c r="Y4050" s="2" t="s">
        <v>21087</v>
      </c>
      <c r="AA4050" t="str">
        <f t="shared" si="378"/>
        <v>2025-02</v>
      </c>
      <c r="AB4050" t="str">
        <f t="shared" si="379"/>
        <v>H1_2025</v>
      </c>
      <c r="AC4050">
        <f t="shared" si="380"/>
        <v>120599.25</v>
      </c>
      <c r="AD4050">
        <f t="shared" si="381"/>
        <v>25</v>
      </c>
      <c r="AE4050">
        <f t="shared" si="382"/>
        <v>20599.25</v>
      </c>
      <c r="AF4050" t="str">
        <f t="shared" si="383"/>
        <v>Paid</v>
      </c>
    </row>
    <row r="4051" spans="1:32" ht="17.25" thickBot="1" x14ac:dyDescent="0.35">
      <c r="A4051" s="2" t="s">
        <v>22689</v>
      </c>
      <c r="B4051" s="2" t="s">
        <v>27</v>
      </c>
      <c r="C4051" s="2" t="s">
        <v>28</v>
      </c>
      <c r="D4051" s="2" t="s">
        <v>97</v>
      </c>
      <c r="E4051" s="2" t="s">
        <v>21084</v>
      </c>
      <c r="F4051" s="2" t="s">
        <v>31</v>
      </c>
      <c r="G4051" s="2" t="s">
        <v>32</v>
      </c>
      <c r="H4051" s="1"/>
      <c r="I4051" s="2" t="s">
        <v>33</v>
      </c>
      <c r="J4051" s="2" t="s">
        <v>34</v>
      </c>
      <c r="K4051" s="2" t="s">
        <v>6851</v>
      </c>
      <c r="L4051" s="2" t="s">
        <v>6852</v>
      </c>
      <c r="M4051" s="2" t="s">
        <v>4544</v>
      </c>
      <c r="N4051" s="2" t="s">
        <v>38</v>
      </c>
      <c r="O4051" s="2" t="s">
        <v>877</v>
      </c>
      <c r="P4051" s="2" t="s">
        <v>11756</v>
      </c>
      <c r="Q4051" s="2" t="s">
        <v>22674</v>
      </c>
      <c r="R4051" s="2" t="s">
        <v>40</v>
      </c>
      <c r="S4051" s="2" t="s">
        <v>22675</v>
      </c>
      <c r="T4051" s="2" t="s">
        <v>6847</v>
      </c>
      <c r="U4051" s="2" t="s">
        <v>22676</v>
      </c>
      <c r="V4051" s="2" t="s">
        <v>22677</v>
      </c>
      <c r="W4051" s="1"/>
      <c r="X4051" s="2" t="s">
        <v>1042</v>
      </c>
      <c r="Y4051" s="2" t="s">
        <v>21087</v>
      </c>
      <c r="AA4051" t="str">
        <f t="shared" si="378"/>
        <v>2025-02</v>
      </c>
      <c r="AB4051" t="str">
        <f t="shared" si="379"/>
        <v>H1_2025</v>
      </c>
      <c r="AC4051">
        <f t="shared" si="380"/>
        <v>539317</v>
      </c>
      <c r="AD4051">
        <f t="shared" si="381"/>
        <v>100</v>
      </c>
      <c r="AE4051">
        <f t="shared" si="382"/>
        <v>129317</v>
      </c>
      <c r="AF4051" t="str">
        <f t="shared" si="383"/>
        <v>Paid</v>
      </c>
    </row>
    <row r="4052" spans="1:32" ht="17.25" thickBot="1" x14ac:dyDescent="0.35">
      <c r="A4052" s="2" t="s">
        <v>22690</v>
      </c>
      <c r="B4052" s="2" t="s">
        <v>27</v>
      </c>
      <c r="C4052" s="2" t="s">
        <v>28</v>
      </c>
      <c r="D4052" s="2" t="s">
        <v>97</v>
      </c>
      <c r="E4052" s="2" t="s">
        <v>21084</v>
      </c>
      <c r="F4052" s="2" t="s">
        <v>31</v>
      </c>
      <c r="G4052" s="2" t="s">
        <v>32</v>
      </c>
      <c r="H4052" s="1"/>
      <c r="I4052" s="2" t="s">
        <v>33</v>
      </c>
      <c r="J4052" s="2" t="s">
        <v>34</v>
      </c>
      <c r="K4052" s="2" t="s">
        <v>22691</v>
      </c>
      <c r="L4052" s="2" t="s">
        <v>22692</v>
      </c>
      <c r="M4052" s="2" t="s">
        <v>4544</v>
      </c>
      <c r="N4052" s="2" t="s">
        <v>38</v>
      </c>
      <c r="O4052" s="2" t="s">
        <v>203</v>
      </c>
      <c r="P4052" s="2" t="s">
        <v>1697</v>
      </c>
      <c r="Q4052" s="2" t="s">
        <v>3439</v>
      </c>
      <c r="R4052" s="2" t="s">
        <v>40</v>
      </c>
      <c r="S4052" s="2" t="s">
        <v>22687</v>
      </c>
      <c r="T4052" s="2" t="s">
        <v>3110</v>
      </c>
      <c r="U4052" s="2" t="s">
        <v>3192</v>
      </c>
      <c r="V4052" s="2" t="s">
        <v>22688</v>
      </c>
      <c r="W4052" s="1"/>
      <c r="X4052" s="2" t="s">
        <v>5766</v>
      </c>
      <c r="Y4052" s="2" t="s">
        <v>21087</v>
      </c>
      <c r="AA4052" t="str">
        <f t="shared" si="378"/>
        <v>2025-02</v>
      </c>
      <c r="AB4052" t="str">
        <f t="shared" si="379"/>
        <v>H1_2025</v>
      </c>
      <c r="AC4052">
        <f t="shared" si="380"/>
        <v>120599.25</v>
      </c>
      <c r="AD4052">
        <f t="shared" si="381"/>
        <v>25</v>
      </c>
      <c r="AE4052">
        <f t="shared" si="382"/>
        <v>20599.25</v>
      </c>
      <c r="AF4052" t="str">
        <f t="shared" si="383"/>
        <v>Paid</v>
      </c>
    </row>
    <row r="4053" spans="1:32" ht="17.25" thickBot="1" x14ac:dyDescent="0.35">
      <c r="A4053" s="2" t="s">
        <v>22693</v>
      </c>
      <c r="B4053" s="2" t="s">
        <v>27</v>
      </c>
      <c r="C4053" s="2" t="s">
        <v>28</v>
      </c>
      <c r="D4053" s="2" t="s">
        <v>97</v>
      </c>
      <c r="E4053" s="2" t="s">
        <v>21084</v>
      </c>
      <c r="F4053" s="2" t="s">
        <v>31</v>
      </c>
      <c r="G4053" s="2" t="s">
        <v>32</v>
      </c>
      <c r="H4053" s="1"/>
      <c r="I4053" s="2" t="s">
        <v>33</v>
      </c>
      <c r="J4053" s="2" t="s">
        <v>34</v>
      </c>
      <c r="K4053" s="2" t="s">
        <v>22694</v>
      </c>
      <c r="L4053" s="2" t="s">
        <v>22695</v>
      </c>
      <c r="M4053" s="2" t="s">
        <v>4544</v>
      </c>
      <c r="N4053" s="2" t="s">
        <v>38</v>
      </c>
      <c r="O4053" s="2" t="s">
        <v>877</v>
      </c>
      <c r="P4053" s="2" t="s">
        <v>6844</v>
      </c>
      <c r="Q4053" s="2" t="s">
        <v>22696</v>
      </c>
      <c r="R4053" s="2" t="s">
        <v>40</v>
      </c>
      <c r="S4053" s="2" t="s">
        <v>22697</v>
      </c>
      <c r="T4053" s="2" t="s">
        <v>3110</v>
      </c>
      <c r="U4053" s="2" t="s">
        <v>844</v>
      </c>
      <c r="V4053" s="2" t="s">
        <v>22698</v>
      </c>
      <c r="W4053" s="1"/>
      <c r="X4053" s="2" t="s">
        <v>14026</v>
      </c>
      <c r="Y4053" s="2" t="s">
        <v>21087</v>
      </c>
      <c r="AA4053" t="str">
        <f t="shared" si="378"/>
        <v>2025-02</v>
      </c>
      <c r="AB4053" t="str">
        <f t="shared" si="379"/>
        <v>H1_2025</v>
      </c>
      <c r="AC4053">
        <f t="shared" si="380"/>
        <v>553547</v>
      </c>
      <c r="AD4053">
        <f t="shared" si="381"/>
        <v>100</v>
      </c>
      <c r="AE4053">
        <f t="shared" si="382"/>
        <v>153547</v>
      </c>
      <c r="AF4053" t="str">
        <f t="shared" si="383"/>
        <v>Paid</v>
      </c>
    </row>
    <row r="4054" spans="1:32" ht="17.25" thickBot="1" x14ac:dyDescent="0.35">
      <c r="A4054" s="2" t="s">
        <v>22699</v>
      </c>
      <c r="B4054" s="2" t="s">
        <v>27</v>
      </c>
      <c r="C4054" s="2" t="s">
        <v>28</v>
      </c>
      <c r="D4054" s="2" t="s">
        <v>97</v>
      </c>
      <c r="E4054" s="2" t="s">
        <v>21084</v>
      </c>
      <c r="F4054" s="2" t="s">
        <v>31</v>
      </c>
      <c r="G4054" s="2" t="s">
        <v>32</v>
      </c>
      <c r="H4054" s="1"/>
      <c r="I4054" s="2" t="s">
        <v>33</v>
      </c>
      <c r="J4054" s="2" t="s">
        <v>34</v>
      </c>
      <c r="K4054" s="2" t="s">
        <v>6863</v>
      </c>
      <c r="L4054" s="2" t="s">
        <v>6864</v>
      </c>
      <c r="M4054" s="2" t="s">
        <v>4544</v>
      </c>
      <c r="N4054" s="2" t="s">
        <v>38</v>
      </c>
      <c r="O4054" s="2" t="s">
        <v>203</v>
      </c>
      <c r="P4054" s="2" t="s">
        <v>3612</v>
      </c>
      <c r="Q4054" s="2" t="s">
        <v>21094</v>
      </c>
      <c r="R4054" s="2" t="s">
        <v>40</v>
      </c>
      <c r="S4054" s="2" t="s">
        <v>21095</v>
      </c>
      <c r="T4054" s="2" t="s">
        <v>309</v>
      </c>
      <c r="U4054" s="2" t="s">
        <v>6004</v>
      </c>
      <c r="V4054" s="2" t="s">
        <v>22700</v>
      </c>
      <c r="W4054" s="1"/>
      <c r="X4054" s="2" t="s">
        <v>6886</v>
      </c>
      <c r="Y4054" s="2" t="s">
        <v>21087</v>
      </c>
      <c r="AA4054" t="str">
        <f t="shared" si="378"/>
        <v>2025-02</v>
      </c>
      <c r="AB4054" t="str">
        <f t="shared" si="379"/>
        <v>H1_2025</v>
      </c>
      <c r="AC4054">
        <f t="shared" si="380"/>
        <v>267524</v>
      </c>
      <c r="AD4054">
        <f t="shared" si="381"/>
        <v>25</v>
      </c>
      <c r="AE4054">
        <f t="shared" si="382"/>
        <v>73524</v>
      </c>
      <c r="AF4054" t="str">
        <f t="shared" si="383"/>
        <v>Paid</v>
      </c>
    </row>
    <row r="4055" spans="1:32" ht="17.25" thickBot="1" x14ac:dyDescent="0.35">
      <c r="A4055" s="2" t="s">
        <v>22701</v>
      </c>
      <c r="B4055" s="2" t="s">
        <v>27</v>
      </c>
      <c r="C4055" s="2" t="s">
        <v>28</v>
      </c>
      <c r="D4055" s="2" t="s">
        <v>97</v>
      </c>
      <c r="E4055" s="2" t="s">
        <v>21084</v>
      </c>
      <c r="F4055" s="2" t="s">
        <v>31</v>
      </c>
      <c r="G4055" s="2" t="s">
        <v>32</v>
      </c>
      <c r="H4055" s="1"/>
      <c r="I4055" s="2" t="s">
        <v>33</v>
      </c>
      <c r="J4055" s="2" t="s">
        <v>34</v>
      </c>
      <c r="K4055" s="2" t="s">
        <v>22702</v>
      </c>
      <c r="L4055" s="2" t="s">
        <v>22703</v>
      </c>
      <c r="M4055" s="2" t="s">
        <v>4544</v>
      </c>
      <c r="N4055" s="2" t="s">
        <v>38</v>
      </c>
      <c r="O4055" s="2" t="s">
        <v>214</v>
      </c>
      <c r="P4055" s="2" t="s">
        <v>22245</v>
      </c>
      <c r="Q4055" s="2" t="s">
        <v>22704</v>
      </c>
      <c r="R4055" s="2" t="s">
        <v>40</v>
      </c>
      <c r="S4055" s="2" t="s">
        <v>22705</v>
      </c>
      <c r="T4055" s="2" t="s">
        <v>22706</v>
      </c>
      <c r="U4055" s="2" t="s">
        <v>3237</v>
      </c>
      <c r="V4055" s="2" t="s">
        <v>22707</v>
      </c>
      <c r="W4055" s="1"/>
      <c r="X4055" s="2" t="s">
        <v>16060</v>
      </c>
      <c r="Y4055" s="2" t="s">
        <v>21087</v>
      </c>
      <c r="AA4055" t="str">
        <f t="shared" si="378"/>
        <v>2025-02</v>
      </c>
      <c r="AB4055" t="str">
        <f t="shared" si="379"/>
        <v>H1_2025</v>
      </c>
      <c r="AC4055">
        <f t="shared" si="380"/>
        <v>501607.5</v>
      </c>
      <c r="AD4055">
        <f t="shared" si="381"/>
        <v>50</v>
      </c>
      <c r="AE4055">
        <f t="shared" si="382"/>
        <v>137607.5</v>
      </c>
      <c r="AF4055" t="str">
        <f t="shared" si="383"/>
        <v>Paid</v>
      </c>
    </row>
    <row r="4056" spans="1:32" ht="17.25" thickBot="1" x14ac:dyDescent="0.35">
      <c r="A4056" s="2" t="s">
        <v>22708</v>
      </c>
      <c r="B4056" s="2" t="s">
        <v>27</v>
      </c>
      <c r="C4056" s="2" t="s">
        <v>28</v>
      </c>
      <c r="D4056" s="2" t="s">
        <v>97</v>
      </c>
      <c r="E4056" s="2" t="s">
        <v>21084</v>
      </c>
      <c r="F4056" s="2" t="s">
        <v>31</v>
      </c>
      <c r="G4056" s="2" t="s">
        <v>32</v>
      </c>
      <c r="H4056" s="1"/>
      <c r="I4056" s="2" t="s">
        <v>33</v>
      </c>
      <c r="J4056" s="2" t="s">
        <v>34</v>
      </c>
      <c r="K4056" s="2" t="s">
        <v>22709</v>
      </c>
      <c r="L4056" s="2" t="s">
        <v>22710</v>
      </c>
      <c r="M4056" s="2" t="s">
        <v>4544</v>
      </c>
      <c r="N4056" s="2" t="s">
        <v>38</v>
      </c>
      <c r="O4056" s="2" t="s">
        <v>877</v>
      </c>
      <c r="P4056" s="2" t="s">
        <v>7889</v>
      </c>
      <c r="Q4056" s="2" t="s">
        <v>22711</v>
      </c>
      <c r="R4056" s="2" t="s">
        <v>40</v>
      </c>
      <c r="S4056" s="2" t="s">
        <v>22712</v>
      </c>
      <c r="T4056" s="2" t="s">
        <v>22713</v>
      </c>
      <c r="U4056" s="2" t="s">
        <v>22714</v>
      </c>
      <c r="V4056" s="2" t="s">
        <v>22715</v>
      </c>
      <c r="W4056" s="1"/>
      <c r="X4056" s="2" t="s">
        <v>2072</v>
      </c>
      <c r="Y4056" s="2" t="s">
        <v>21087</v>
      </c>
      <c r="AA4056" t="str">
        <f t="shared" si="378"/>
        <v>2025-02</v>
      </c>
      <c r="AB4056" t="str">
        <f t="shared" si="379"/>
        <v>H1_2025</v>
      </c>
      <c r="AC4056">
        <f t="shared" si="380"/>
        <v>708654</v>
      </c>
      <c r="AD4056">
        <f t="shared" si="381"/>
        <v>100</v>
      </c>
      <c r="AE4056">
        <f t="shared" si="382"/>
        <v>142654</v>
      </c>
      <c r="AF4056" t="str">
        <f t="shared" si="383"/>
        <v>Paid</v>
      </c>
    </row>
    <row r="4057" spans="1:32" ht="17.25" thickBot="1" x14ac:dyDescent="0.35">
      <c r="A4057" s="2" t="s">
        <v>22716</v>
      </c>
      <c r="B4057" s="2" t="s">
        <v>27</v>
      </c>
      <c r="C4057" s="2" t="s">
        <v>28</v>
      </c>
      <c r="D4057" s="2" t="s">
        <v>97</v>
      </c>
      <c r="E4057" s="2" t="s">
        <v>21084</v>
      </c>
      <c r="F4057" s="2" t="s">
        <v>31</v>
      </c>
      <c r="G4057" s="2" t="s">
        <v>32</v>
      </c>
      <c r="H4057" s="1"/>
      <c r="I4057" s="2" t="s">
        <v>33</v>
      </c>
      <c r="J4057" s="2" t="s">
        <v>34</v>
      </c>
      <c r="K4057" s="2" t="s">
        <v>22717</v>
      </c>
      <c r="L4057" s="2" t="s">
        <v>22718</v>
      </c>
      <c r="M4057" s="2" t="s">
        <v>4544</v>
      </c>
      <c r="N4057" s="2" t="s">
        <v>38</v>
      </c>
      <c r="O4057" s="2" t="s">
        <v>214</v>
      </c>
      <c r="P4057" s="2" t="s">
        <v>5084</v>
      </c>
      <c r="Q4057" s="2" t="s">
        <v>22113</v>
      </c>
      <c r="R4057" s="2" t="s">
        <v>40</v>
      </c>
      <c r="S4057" s="2" t="s">
        <v>22114</v>
      </c>
      <c r="T4057" s="2" t="s">
        <v>267</v>
      </c>
      <c r="U4057" s="2" t="s">
        <v>4497</v>
      </c>
      <c r="V4057" s="2" t="s">
        <v>22719</v>
      </c>
      <c r="W4057" s="1"/>
      <c r="X4057" s="2" t="s">
        <v>4241</v>
      </c>
      <c r="Y4057" s="2" t="s">
        <v>21087</v>
      </c>
      <c r="AA4057" t="str">
        <f t="shared" si="378"/>
        <v>2025-02</v>
      </c>
      <c r="AB4057" t="str">
        <f t="shared" si="379"/>
        <v>H1_2025</v>
      </c>
      <c r="AC4057">
        <f t="shared" si="380"/>
        <v>425477</v>
      </c>
      <c r="AD4057">
        <f t="shared" si="381"/>
        <v>50</v>
      </c>
      <c r="AE4057">
        <f t="shared" si="382"/>
        <v>95477</v>
      </c>
      <c r="AF4057" t="str">
        <f t="shared" si="383"/>
        <v>Paid</v>
      </c>
    </row>
    <row r="4058" spans="1:32" ht="17.25" thickBot="1" x14ac:dyDescent="0.35">
      <c r="A4058" s="2" t="s">
        <v>22720</v>
      </c>
      <c r="B4058" s="2" t="s">
        <v>27</v>
      </c>
      <c r="C4058" s="2" t="s">
        <v>28</v>
      </c>
      <c r="D4058" s="2" t="s">
        <v>97</v>
      </c>
      <c r="E4058" s="2" t="s">
        <v>21084</v>
      </c>
      <c r="F4058" s="2" t="s">
        <v>31</v>
      </c>
      <c r="G4058" s="2" t="s">
        <v>32</v>
      </c>
      <c r="H4058" s="1"/>
      <c r="I4058" s="2" t="s">
        <v>33</v>
      </c>
      <c r="J4058" s="2" t="s">
        <v>34</v>
      </c>
      <c r="K4058" s="2" t="s">
        <v>22721</v>
      </c>
      <c r="L4058" s="2" t="s">
        <v>22722</v>
      </c>
      <c r="M4058" s="2" t="s">
        <v>22723</v>
      </c>
      <c r="N4058" s="2" t="s">
        <v>38</v>
      </c>
      <c r="O4058" s="2" t="s">
        <v>203</v>
      </c>
      <c r="P4058" s="2" t="s">
        <v>572</v>
      </c>
      <c r="Q4058" s="2" t="s">
        <v>2005</v>
      </c>
      <c r="R4058" s="2" t="s">
        <v>40</v>
      </c>
      <c r="S4058" s="2" t="s">
        <v>22724</v>
      </c>
      <c r="T4058" s="2" t="s">
        <v>18596</v>
      </c>
      <c r="U4058" s="2" t="s">
        <v>22725</v>
      </c>
      <c r="V4058" s="2" t="s">
        <v>22726</v>
      </c>
      <c r="W4058" s="1"/>
      <c r="X4058" s="2" t="s">
        <v>5168</v>
      </c>
      <c r="Y4058" s="2" t="s">
        <v>21087</v>
      </c>
      <c r="AA4058" t="str">
        <f t="shared" si="378"/>
        <v>2025-02</v>
      </c>
      <c r="AB4058" t="str">
        <f t="shared" si="379"/>
        <v>H1_2025</v>
      </c>
      <c r="AC4058">
        <f t="shared" si="380"/>
        <v>13518.5</v>
      </c>
      <c r="AD4058">
        <f t="shared" si="381"/>
        <v>25</v>
      </c>
      <c r="AE4058">
        <f t="shared" si="382"/>
        <v>2143.5</v>
      </c>
      <c r="AF4058" t="str">
        <f t="shared" si="383"/>
        <v>Paid</v>
      </c>
    </row>
    <row r="4059" spans="1:32" ht="17.25" thickBot="1" x14ac:dyDescent="0.35">
      <c r="A4059" s="2" t="s">
        <v>22727</v>
      </c>
      <c r="B4059" s="2" t="s">
        <v>27</v>
      </c>
      <c r="C4059" s="2" t="s">
        <v>28</v>
      </c>
      <c r="D4059" s="2" t="s">
        <v>97</v>
      </c>
      <c r="E4059" s="2" t="s">
        <v>21084</v>
      </c>
      <c r="F4059" s="2" t="s">
        <v>31</v>
      </c>
      <c r="G4059" s="2" t="s">
        <v>32</v>
      </c>
      <c r="H4059" s="1"/>
      <c r="I4059" s="2" t="s">
        <v>33</v>
      </c>
      <c r="J4059" s="2" t="s">
        <v>34</v>
      </c>
      <c r="K4059" s="2" t="s">
        <v>22728</v>
      </c>
      <c r="L4059" s="2" t="s">
        <v>22729</v>
      </c>
      <c r="M4059" s="2" t="s">
        <v>22723</v>
      </c>
      <c r="N4059" s="2" t="s">
        <v>38</v>
      </c>
      <c r="O4059" s="2" t="s">
        <v>203</v>
      </c>
      <c r="P4059" s="2" t="s">
        <v>572</v>
      </c>
      <c r="Q4059" s="2" t="s">
        <v>2005</v>
      </c>
      <c r="R4059" s="2" t="s">
        <v>40</v>
      </c>
      <c r="S4059" s="2" t="s">
        <v>22724</v>
      </c>
      <c r="T4059" s="2" t="s">
        <v>18596</v>
      </c>
      <c r="U4059" s="2" t="s">
        <v>22725</v>
      </c>
      <c r="V4059" s="2" t="s">
        <v>22726</v>
      </c>
      <c r="W4059" s="1"/>
      <c r="X4059" s="2" t="s">
        <v>5168</v>
      </c>
      <c r="Y4059" s="2" t="s">
        <v>21087</v>
      </c>
      <c r="AA4059" t="str">
        <f t="shared" si="378"/>
        <v>2025-02</v>
      </c>
      <c r="AB4059" t="str">
        <f t="shared" si="379"/>
        <v>H1_2025</v>
      </c>
      <c r="AC4059">
        <f t="shared" si="380"/>
        <v>13518.5</v>
      </c>
      <c r="AD4059">
        <f t="shared" si="381"/>
        <v>25</v>
      </c>
      <c r="AE4059">
        <f t="shared" si="382"/>
        <v>2143.5</v>
      </c>
      <c r="AF4059" t="str">
        <f t="shared" si="383"/>
        <v>Paid</v>
      </c>
    </row>
    <row r="4060" spans="1:32" ht="17.25" thickBot="1" x14ac:dyDescent="0.35">
      <c r="A4060" s="2" t="s">
        <v>22730</v>
      </c>
      <c r="B4060" s="2" t="s">
        <v>27</v>
      </c>
      <c r="C4060" s="2" t="s">
        <v>28</v>
      </c>
      <c r="D4060" s="2" t="s">
        <v>97</v>
      </c>
      <c r="E4060" s="2" t="s">
        <v>21084</v>
      </c>
      <c r="F4060" s="2" t="s">
        <v>31</v>
      </c>
      <c r="G4060" s="2" t="s">
        <v>32</v>
      </c>
      <c r="H4060" s="1"/>
      <c r="I4060" s="2" t="s">
        <v>33</v>
      </c>
      <c r="J4060" s="2" t="s">
        <v>34</v>
      </c>
      <c r="K4060" s="2" t="s">
        <v>22731</v>
      </c>
      <c r="L4060" s="2" t="s">
        <v>22732</v>
      </c>
      <c r="M4060" s="2" t="s">
        <v>22723</v>
      </c>
      <c r="N4060" s="2" t="s">
        <v>38</v>
      </c>
      <c r="O4060" s="2" t="s">
        <v>131</v>
      </c>
      <c r="P4060" s="2" t="s">
        <v>572</v>
      </c>
      <c r="Q4060" s="2" t="s">
        <v>22733</v>
      </c>
      <c r="R4060" s="2" t="s">
        <v>40</v>
      </c>
      <c r="S4060" s="2" t="s">
        <v>22734</v>
      </c>
      <c r="T4060" s="2" t="s">
        <v>18596</v>
      </c>
      <c r="U4060" s="2" t="s">
        <v>22735</v>
      </c>
      <c r="V4060" s="2" t="s">
        <v>22736</v>
      </c>
      <c r="W4060" s="1"/>
      <c r="X4060" s="2" t="s">
        <v>5168</v>
      </c>
      <c r="Y4060" s="2" t="s">
        <v>21087</v>
      </c>
      <c r="AA4060" t="str">
        <f t="shared" si="378"/>
        <v>2025-02</v>
      </c>
      <c r="AB4060" t="str">
        <f t="shared" si="379"/>
        <v>H1_2025</v>
      </c>
      <c r="AC4060">
        <f t="shared" si="380"/>
        <v>21629.599999999999</v>
      </c>
      <c r="AD4060">
        <f t="shared" si="381"/>
        <v>40</v>
      </c>
      <c r="AE4060">
        <f t="shared" si="382"/>
        <v>3429.6</v>
      </c>
      <c r="AF4060" t="str">
        <f t="shared" si="383"/>
        <v>Paid</v>
      </c>
    </row>
    <row r="4061" spans="1:32" ht="17.25" thickBot="1" x14ac:dyDescent="0.35">
      <c r="A4061" s="2" t="s">
        <v>22737</v>
      </c>
      <c r="B4061" s="2" t="s">
        <v>27</v>
      </c>
      <c r="C4061" s="2" t="s">
        <v>28</v>
      </c>
      <c r="D4061" s="2" t="s">
        <v>97</v>
      </c>
      <c r="E4061" s="2" t="s">
        <v>21084</v>
      </c>
      <c r="F4061" s="2" t="s">
        <v>31</v>
      </c>
      <c r="G4061" s="2" t="s">
        <v>32</v>
      </c>
      <c r="H4061" s="1"/>
      <c r="I4061" s="2" t="s">
        <v>33</v>
      </c>
      <c r="J4061" s="2" t="s">
        <v>34</v>
      </c>
      <c r="K4061" s="2" t="s">
        <v>22731</v>
      </c>
      <c r="L4061" s="2" t="s">
        <v>22732</v>
      </c>
      <c r="M4061" s="2" t="s">
        <v>22723</v>
      </c>
      <c r="N4061" s="2" t="s">
        <v>38</v>
      </c>
      <c r="O4061" s="2" t="s">
        <v>79</v>
      </c>
      <c r="P4061" s="2" t="s">
        <v>572</v>
      </c>
      <c r="Q4061" s="2" t="s">
        <v>1596</v>
      </c>
      <c r="R4061" s="2" t="s">
        <v>40</v>
      </c>
      <c r="S4061" s="2" t="s">
        <v>22738</v>
      </c>
      <c r="T4061" s="2" t="s">
        <v>18596</v>
      </c>
      <c r="U4061" s="2" t="s">
        <v>1262</v>
      </c>
      <c r="V4061" s="2" t="s">
        <v>22739</v>
      </c>
      <c r="W4061" s="1"/>
      <c r="X4061" s="2" t="s">
        <v>5168</v>
      </c>
      <c r="Y4061" s="2" t="s">
        <v>21087</v>
      </c>
      <c r="AA4061" t="str">
        <f t="shared" si="378"/>
        <v>2025-02</v>
      </c>
      <c r="AB4061" t="str">
        <f t="shared" si="379"/>
        <v>H1_2025</v>
      </c>
      <c r="AC4061">
        <f t="shared" si="380"/>
        <v>5407.4</v>
      </c>
      <c r="AD4061">
        <f t="shared" si="381"/>
        <v>10</v>
      </c>
      <c r="AE4061">
        <f t="shared" si="382"/>
        <v>857.4</v>
      </c>
      <c r="AF4061" t="str">
        <f t="shared" si="383"/>
        <v>Paid</v>
      </c>
    </row>
    <row r="4062" spans="1:32" ht="17.25" thickBot="1" x14ac:dyDescent="0.35">
      <c r="A4062" s="2" t="s">
        <v>22740</v>
      </c>
      <c r="B4062" s="2" t="s">
        <v>27</v>
      </c>
      <c r="C4062" s="2" t="s">
        <v>28</v>
      </c>
      <c r="D4062" s="2" t="s">
        <v>97</v>
      </c>
      <c r="E4062" s="2" t="s">
        <v>21084</v>
      </c>
      <c r="F4062" s="2" t="s">
        <v>31</v>
      </c>
      <c r="G4062" s="2" t="s">
        <v>32</v>
      </c>
      <c r="H4062" s="1"/>
      <c r="I4062" s="2" t="s">
        <v>33</v>
      </c>
      <c r="J4062" s="2" t="s">
        <v>34</v>
      </c>
      <c r="K4062" s="2" t="s">
        <v>22741</v>
      </c>
      <c r="L4062" s="2" t="s">
        <v>22742</v>
      </c>
      <c r="M4062" s="2" t="s">
        <v>22723</v>
      </c>
      <c r="N4062" s="2" t="s">
        <v>38</v>
      </c>
      <c r="O4062" s="2" t="s">
        <v>203</v>
      </c>
      <c r="P4062" s="2" t="s">
        <v>572</v>
      </c>
      <c r="Q4062" s="2" t="s">
        <v>2005</v>
      </c>
      <c r="R4062" s="2" t="s">
        <v>40</v>
      </c>
      <c r="S4062" s="2" t="s">
        <v>22724</v>
      </c>
      <c r="T4062" s="2" t="s">
        <v>18596</v>
      </c>
      <c r="U4062" s="2" t="s">
        <v>22725</v>
      </c>
      <c r="V4062" s="2" t="s">
        <v>22726</v>
      </c>
      <c r="W4062" s="1"/>
      <c r="X4062" s="2" t="s">
        <v>5168</v>
      </c>
      <c r="Y4062" s="2" t="s">
        <v>21087</v>
      </c>
      <c r="AA4062" t="str">
        <f t="shared" si="378"/>
        <v>2025-02</v>
      </c>
      <c r="AB4062" t="str">
        <f t="shared" si="379"/>
        <v>H1_2025</v>
      </c>
      <c r="AC4062">
        <f t="shared" si="380"/>
        <v>13518.5</v>
      </c>
      <c r="AD4062">
        <f t="shared" si="381"/>
        <v>25</v>
      </c>
      <c r="AE4062">
        <f t="shared" si="382"/>
        <v>2143.5</v>
      </c>
      <c r="AF4062" t="str">
        <f t="shared" si="383"/>
        <v>Paid</v>
      </c>
    </row>
    <row r="4063" spans="1:32" ht="17.25" thickBot="1" x14ac:dyDescent="0.35">
      <c r="A4063" s="2" t="s">
        <v>22743</v>
      </c>
      <c r="B4063" s="2" t="s">
        <v>27</v>
      </c>
      <c r="C4063" s="2" t="s">
        <v>28</v>
      </c>
      <c r="D4063" s="2" t="s">
        <v>97</v>
      </c>
      <c r="E4063" s="2" t="s">
        <v>21084</v>
      </c>
      <c r="F4063" s="2" t="s">
        <v>31</v>
      </c>
      <c r="G4063" s="2" t="s">
        <v>32</v>
      </c>
      <c r="H4063" s="1"/>
      <c r="I4063" s="2" t="s">
        <v>33</v>
      </c>
      <c r="J4063" s="2" t="s">
        <v>34</v>
      </c>
      <c r="K4063" s="2" t="s">
        <v>22744</v>
      </c>
      <c r="L4063" s="2" t="s">
        <v>22745</v>
      </c>
      <c r="M4063" s="2" t="s">
        <v>22723</v>
      </c>
      <c r="N4063" s="2" t="s">
        <v>38</v>
      </c>
      <c r="O4063" s="2" t="s">
        <v>203</v>
      </c>
      <c r="P4063" s="2" t="s">
        <v>572</v>
      </c>
      <c r="Q4063" s="2" t="s">
        <v>2005</v>
      </c>
      <c r="R4063" s="2" t="s">
        <v>40</v>
      </c>
      <c r="S4063" s="2" t="s">
        <v>22724</v>
      </c>
      <c r="T4063" s="2" t="s">
        <v>18596</v>
      </c>
      <c r="U4063" s="2" t="s">
        <v>22725</v>
      </c>
      <c r="V4063" s="2" t="s">
        <v>22726</v>
      </c>
      <c r="W4063" s="1"/>
      <c r="X4063" s="2" t="s">
        <v>5168</v>
      </c>
      <c r="Y4063" s="2" t="s">
        <v>21087</v>
      </c>
      <c r="AA4063" t="str">
        <f t="shared" si="378"/>
        <v>2025-02</v>
      </c>
      <c r="AB4063" t="str">
        <f t="shared" si="379"/>
        <v>H1_2025</v>
      </c>
      <c r="AC4063">
        <f t="shared" si="380"/>
        <v>13518.5</v>
      </c>
      <c r="AD4063">
        <f t="shared" si="381"/>
        <v>25</v>
      </c>
      <c r="AE4063">
        <f t="shared" si="382"/>
        <v>2143.5</v>
      </c>
      <c r="AF4063" t="str">
        <f t="shared" si="383"/>
        <v>Paid</v>
      </c>
    </row>
    <row r="4064" spans="1:32" ht="17.25" thickBot="1" x14ac:dyDescent="0.35">
      <c r="A4064" s="2" t="s">
        <v>22746</v>
      </c>
      <c r="B4064" s="2" t="s">
        <v>27</v>
      </c>
      <c r="C4064" s="2" t="s">
        <v>28</v>
      </c>
      <c r="D4064" s="2" t="s">
        <v>97</v>
      </c>
      <c r="E4064" s="2" t="s">
        <v>21084</v>
      </c>
      <c r="F4064" s="2" t="s">
        <v>31</v>
      </c>
      <c r="G4064" s="2" t="s">
        <v>32</v>
      </c>
      <c r="H4064" s="1"/>
      <c r="I4064" s="2" t="s">
        <v>33</v>
      </c>
      <c r="J4064" s="2" t="s">
        <v>34</v>
      </c>
      <c r="K4064" s="2" t="s">
        <v>22747</v>
      </c>
      <c r="L4064" s="2" t="s">
        <v>22748</v>
      </c>
      <c r="M4064" s="2" t="s">
        <v>22723</v>
      </c>
      <c r="N4064" s="2" t="s">
        <v>38</v>
      </c>
      <c r="O4064" s="2" t="s">
        <v>79</v>
      </c>
      <c r="P4064" s="2" t="s">
        <v>572</v>
      </c>
      <c r="Q4064" s="2" t="s">
        <v>1596</v>
      </c>
      <c r="R4064" s="2" t="s">
        <v>40</v>
      </c>
      <c r="S4064" s="2" t="s">
        <v>22738</v>
      </c>
      <c r="T4064" s="2" t="s">
        <v>18596</v>
      </c>
      <c r="U4064" s="2" t="s">
        <v>1262</v>
      </c>
      <c r="V4064" s="2" t="s">
        <v>22739</v>
      </c>
      <c r="W4064" s="1"/>
      <c r="X4064" s="2" t="s">
        <v>5168</v>
      </c>
      <c r="Y4064" s="2" t="s">
        <v>21087</v>
      </c>
      <c r="AA4064" t="str">
        <f t="shared" si="378"/>
        <v>2025-02</v>
      </c>
      <c r="AB4064" t="str">
        <f t="shared" si="379"/>
        <v>H1_2025</v>
      </c>
      <c r="AC4064">
        <f t="shared" si="380"/>
        <v>5407.4</v>
      </c>
      <c r="AD4064">
        <f t="shared" si="381"/>
        <v>10</v>
      </c>
      <c r="AE4064">
        <f t="shared" si="382"/>
        <v>857.4</v>
      </c>
      <c r="AF4064" t="str">
        <f t="shared" si="383"/>
        <v>Paid</v>
      </c>
    </row>
    <row r="4065" spans="1:32" ht="17.25" thickBot="1" x14ac:dyDescent="0.35">
      <c r="A4065" s="2" t="s">
        <v>22749</v>
      </c>
      <c r="B4065" s="2" t="s">
        <v>27</v>
      </c>
      <c r="C4065" s="2" t="s">
        <v>28</v>
      </c>
      <c r="D4065" s="2" t="s">
        <v>97</v>
      </c>
      <c r="E4065" s="2" t="s">
        <v>21084</v>
      </c>
      <c r="F4065" s="2" t="s">
        <v>31</v>
      </c>
      <c r="G4065" s="2" t="s">
        <v>32</v>
      </c>
      <c r="H4065" s="1"/>
      <c r="I4065" s="2" t="s">
        <v>33</v>
      </c>
      <c r="J4065" s="2" t="s">
        <v>34</v>
      </c>
      <c r="K4065" s="2" t="s">
        <v>22750</v>
      </c>
      <c r="L4065" s="2" t="s">
        <v>22751</v>
      </c>
      <c r="M4065" s="2" t="s">
        <v>22723</v>
      </c>
      <c r="N4065" s="2" t="s">
        <v>38</v>
      </c>
      <c r="O4065" s="2" t="s">
        <v>103</v>
      </c>
      <c r="P4065" s="2" t="s">
        <v>572</v>
      </c>
      <c r="Q4065" s="2" t="s">
        <v>9694</v>
      </c>
      <c r="R4065" s="2" t="s">
        <v>40</v>
      </c>
      <c r="S4065" s="2" t="s">
        <v>22752</v>
      </c>
      <c r="T4065" s="2" t="s">
        <v>18596</v>
      </c>
      <c r="U4065" s="2" t="s">
        <v>22753</v>
      </c>
      <c r="V4065" s="2" t="s">
        <v>22754</v>
      </c>
      <c r="W4065" s="1"/>
      <c r="X4065" s="2" t="s">
        <v>5168</v>
      </c>
      <c r="Y4065" s="2" t="s">
        <v>21087</v>
      </c>
      <c r="AA4065" t="str">
        <f t="shared" si="378"/>
        <v>2025-02</v>
      </c>
      <c r="AB4065" t="str">
        <f t="shared" si="379"/>
        <v>H1_2025</v>
      </c>
      <c r="AC4065">
        <f t="shared" si="380"/>
        <v>12977.76</v>
      </c>
      <c r="AD4065">
        <f t="shared" si="381"/>
        <v>24</v>
      </c>
      <c r="AE4065">
        <f t="shared" si="382"/>
        <v>2057.7600000000002</v>
      </c>
      <c r="AF4065" t="str">
        <f t="shared" si="383"/>
        <v>Paid</v>
      </c>
    </row>
    <row r="4066" spans="1:32" ht="17.25" thickBot="1" x14ac:dyDescent="0.35">
      <c r="A4066" s="2" t="s">
        <v>22755</v>
      </c>
      <c r="B4066" s="2" t="s">
        <v>27</v>
      </c>
      <c r="C4066" s="2" t="s">
        <v>28</v>
      </c>
      <c r="D4066" s="2" t="s">
        <v>97</v>
      </c>
      <c r="E4066" s="2" t="s">
        <v>21084</v>
      </c>
      <c r="F4066" s="2" t="s">
        <v>31</v>
      </c>
      <c r="G4066" s="2" t="s">
        <v>32</v>
      </c>
      <c r="H4066" s="1"/>
      <c r="I4066" s="2" t="s">
        <v>33</v>
      </c>
      <c r="J4066" s="2" t="s">
        <v>34</v>
      </c>
      <c r="K4066" s="2" t="s">
        <v>22750</v>
      </c>
      <c r="L4066" s="2" t="s">
        <v>22751</v>
      </c>
      <c r="M4066" s="2" t="s">
        <v>22723</v>
      </c>
      <c r="N4066" s="2" t="s">
        <v>38</v>
      </c>
      <c r="O4066" s="2" t="s">
        <v>26</v>
      </c>
      <c r="P4066" s="2" t="s">
        <v>572</v>
      </c>
      <c r="Q4066" s="2" t="s">
        <v>572</v>
      </c>
      <c r="R4066" s="2" t="s">
        <v>40</v>
      </c>
      <c r="S4066" s="2" t="s">
        <v>22756</v>
      </c>
      <c r="T4066" s="2" t="s">
        <v>18596</v>
      </c>
      <c r="U4066" s="2" t="s">
        <v>18596</v>
      </c>
      <c r="V4066" s="2" t="s">
        <v>22757</v>
      </c>
      <c r="W4066" s="1"/>
      <c r="X4066" s="2" t="s">
        <v>5168</v>
      </c>
      <c r="Y4066" s="2" t="s">
        <v>21087</v>
      </c>
      <c r="AA4066" t="str">
        <f t="shared" si="378"/>
        <v>2025-02</v>
      </c>
      <c r="AB4066" t="str">
        <f t="shared" si="379"/>
        <v>H1_2025</v>
      </c>
      <c r="AC4066">
        <f t="shared" si="380"/>
        <v>540.74</v>
      </c>
      <c r="AD4066">
        <f t="shared" si="381"/>
        <v>1</v>
      </c>
      <c r="AE4066">
        <f t="shared" si="382"/>
        <v>85.74</v>
      </c>
      <c r="AF4066" t="str">
        <f t="shared" si="383"/>
        <v>Paid</v>
      </c>
    </row>
    <row r="4067" spans="1:32" ht="17.25" thickBot="1" x14ac:dyDescent="0.35">
      <c r="A4067" s="2" t="s">
        <v>22758</v>
      </c>
      <c r="B4067" s="2" t="s">
        <v>27</v>
      </c>
      <c r="C4067" s="2" t="s">
        <v>28</v>
      </c>
      <c r="D4067" s="2" t="s">
        <v>97</v>
      </c>
      <c r="E4067" s="2" t="s">
        <v>21084</v>
      </c>
      <c r="F4067" s="2" t="s">
        <v>31</v>
      </c>
      <c r="G4067" s="2" t="s">
        <v>32</v>
      </c>
      <c r="H4067" s="1"/>
      <c r="I4067" s="2" t="s">
        <v>33</v>
      </c>
      <c r="J4067" s="2" t="s">
        <v>34</v>
      </c>
      <c r="K4067" s="2" t="s">
        <v>22759</v>
      </c>
      <c r="L4067" s="2" t="s">
        <v>22760</v>
      </c>
      <c r="M4067" s="2" t="s">
        <v>5102</v>
      </c>
      <c r="N4067" s="2" t="s">
        <v>38</v>
      </c>
      <c r="O4067" s="2" t="s">
        <v>203</v>
      </c>
      <c r="P4067" s="2" t="s">
        <v>22245</v>
      </c>
      <c r="Q4067" s="2" t="s">
        <v>22761</v>
      </c>
      <c r="R4067" s="2" t="s">
        <v>40</v>
      </c>
      <c r="S4067" s="2" t="s">
        <v>22762</v>
      </c>
      <c r="T4067" s="2" t="s">
        <v>7958</v>
      </c>
      <c r="U4067" s="2" t="s">
        <v>7239</v>
      </c>
      <c r="V4067" s="2" t="s">
        <v>22763</v>
      </c>
      <c r="W4067" s="1"/>
      <c r="X4067" s="2" t="s">
        <v>201</v>
      </c>
      <c r="Y4067" s="2" t="s">
        <v>21087</v>
      </c>
      <c r="AA4067" t="str">
        <f t="shared" si="378"/>
        <v>2025-02</v>
      </c>
      <c r="AB4067" t="str">
        <f t="shared" si="379"/>
        <v>H1_2025</v>
      </c>
      <c r="AC4067">
        <f t="shared" si="380"/>
        <v>250803.75</v>
      </c>
      <c r="AD4067">
        <f t="shared" si="381"/>
        <v>25</v>
      </c>
      <c r="AE4067">
        <f t="shared" si="382"/>
        <v>60803.75</v>
      </c>
      <c r="AF4067" t="str">
        <f t="shared" si="383"/>
        <v>Paid</v>
      </c>
    </row>
    <row r="4068" spans="1:32" ht="17.25" thickBot="1" x14ac:dyDescent="0.35">
      <c r="A4068" s="2" t="s">
        <v>22764</v>
      </c>
      <c r="B4068" s="2" t="s">
        <v>27</v>
      </c>
      <c r="C4068" s="2" t="s">
        <v>28</v>
      </c>
      <c r="D4068" s="2" t="s">
        <v>97</v>
      </c>
      <c r="E4068" s="2" t="s">
        <v>21084</v>
      </c>
      <c r="F4068" s="2" t="s">
        <v>31</v>
      </c>
      <c r="G4068" s="2" t="s">
        <v>32</v>
      </c>
      <c r="H4068" s="1"/>
      <c r="I4068" s="2" t="s">
        <v>33</v>
      </c>
      <c r="J4068" s="2" t="s">
        <v>34</v>
      </c>
      <c r="K4068" s="2" t="s">
        <v>22765</v>
      </c>
      <c r="L4068" s="2" t="s">
        <v>22766</v>
      </c>
      <c r="M4068" s="2" t="s">
        <v>5102</v>
      </c>
      <c r="N4068" s="2" t="s">
        <v>38</v>
      </c>
      <c r="O4068" s="2" t="s">
        <v>214</v>
      </c>
      <c r="P4068" s="2" t="s">
        <v>10097</v>
      </c>
      <c r="Q4068" s="2" t="s">
        <v>22767</v>
      </c>
      <c r="R4068" s="2" t="s">
        <v>40</v>
      </c>
      <c r="S4068" s="2" t="s">
        <v>22768</v>
      </c>
      <c r="T4068" s="2" t="s">
        <v>22769</v>
      </c>
      <c r="U4068" s="2" t="s">
        <v>22770</v>
      </c>
      <c r="V4068" s="2" t="s">
        <v>22771</v>
      </c>
      <c r="W4068" s="1"/>
      <c r="X4068" s="2" t="s">
        <v>1052</v>
      </c>
      <c r="Y4068" s="2" t="s">
        <v>21087</v>
      </c>
      <c r="AA4068" t="str">
        <f t="shared" si="378"/>
        <v>2025-02</v>
      </c>
      <c r="AB4068" t="str">
        <f t="shared" si="379"/>
        <v>H1_2025</v>
      </c>
      <c r="AC4068">
        <f t="shared" si="380"/>
        <v>632523.5</v>
      </c>
      <c r="AD4068">
        <f t="shared" si="381"/>
        <v>50</v>
      </c>
      <c r="AE4068">
        <f t="shared" si="382"/>
        <v>159773.5</v>
      </c>
      <c r="AF4068" t="str">
        <f t="shared" si="383"/>
        <v>Paid</v>
      </c>
    </row>
    <row r="4069" spans="1:32" ht="17.25" thickBot="1" x14ac:dyDescent="0.35">
      <c r="A4069" s="2" t="s">
        <v>22772</v>
      </c>
      <c r="B4069" s="2" t="s">
        <v>27</v>
      </c>
      <c r="C4069" s="2" t="s">
        <v>28</v>
      </c>
      <c r="D4069" s="2" t="s">
        <v>97</v>
      </c>
      <c r="E4069" s="2" t="s">
        <v>21084</v>
      </c>
      <c r="F4069" s="2" t="s">
        <v>31</v>
      </c>
      <c r="G4069" s="2" t="s">
        <v>32</v>
      </c>
      <c r="H4069" s="1"/>
      <c r="I4069" s="2" t="s">
        <v>33</v>
      </c>
      <c r="J4069" s="2" t="s">
        <v>34</v>
      </c>
      <c r="K4069" s="2" t="s">
        <v>22773</v>
      </c>
      <c r="L4069" s="2" t="s">
        <v>22774</v>
      </c>
      <c r="M4069" s="2" t="s">
        <v>5102</v>
      </c>
      <c r="N4069" s="2" t="s">
        <v>38</v>
      </c>
      <c r="O4069" s="2" t="s">
        <v>203</v>
      </c>
      <c r="P4069" s="2" t="s">
        <v>7727</v>
      </c>
      <c r="Q4069" s="2" t="s">
        <v>22775</v>
      </c>
      <c r="R4069" s="2" t="s">
        <v>40</v>
      </c>
      <c r="S4069" s="2" t="s">
        <v>22776</v>
      </c>
      <c r="T4069" s="2" t="s">
        <v>22777</v>
      </c>
      <c r="U4069" s="2" t="s">
        <v>22778</v>
      </c>
      <c r="V4069" s="2" t="s">
        <v>22779</v>
      </c>
      <c r="W4069" s="1"/>
      <c r="X4069" s="2" t="s">
        <v>1332</v>
      </c>
      <c r="Y4069" s="2" t="s">
        <v>21087</v>
      </c>
      <c r="AA4069" t="str">
        <f t="shared" si="378"/>
        <v>2025-02</v>
      </c>
      <c r="AB4069" t="str">
        <f t="shared" si="379"/>
        <v>H1_2025</v>
      </c>
      <c r="AC4069">
        <f t="shared" si="380"/>
        <v>167202.5</v>
      </c>
      <c r="AD4069">
        <f t="shared" si="381"/>
        <v>25</v>
      </c>
      <c r="AE4069">
        <f t="shared" si="382"/>
        <v>44477.5</v>
      </c>
      <c r="AF4069" t="str">
        <f t="shared" si="383"/>
        <v>Paid</v>
      </c>
    </row>
    <row r="4070" spans="1:32" ht="27.75" thickBot="1" x14ac:dyDescent="0.35">
      <c r="A4070" s="2" t="s">
        <v>22780</v>
      </c>
      <c r="B4070" s="2" t="s">
        <v>27</v>
      </c>
      <c r="C4070" s="2" t="s">
        <v>28</v>
      </c>
      <c r="D4070" s="2" t="s">
        <v>97</v>
      </c>
      <c r="E4070" s="2" t="s">
        <v>21084</v>
      </c>
      <c r="F4070" s="2" t="s">
        <v>31</v>
      </c>
      <c r="G4070" s="2" t="s">
        <v>32</v>
      </c>
      <c r="H4070" s="1"/>
      <c r="I4070" s="2" t="s">
        <v>33</v>
      </c>
      <c r="J4070" s="2" t="s">
        <v>34</v>
      </c>
      <c r="K4070" s="2" t="s">
        <v>13463</v>
      </c>
      <c r="L4070" s="2" t="s">
        <v>13464</v>
      </c>
      <c r="M4070" s="2" t="s">
        <v>13465</v>
      </c>
      <c r="N4070" s="2" t="s">
        <v>38</v>
      </c>
      <c r="O4070" s="2" t="s">
        <v>214</v>
      </c>
      <c r="P4070" s="2" t="s">
        <v>13466</v>
      </c>
      <c r="Q4070" s="2" t="s">
        <v>22781</v>
      </c>
      <c r="R4070" s="2" t="s">
        <v>40</v>
      </c>
      <c r="S4070" s="2" t="s">
        <v>22782</v>
      </c>
      <c r="T4070" s="2" t="s">
        <v>13469</v>
      </c>
      <c r="U4070" s="2" t="s">
        <v>18543</v>
      </c>
      <c r="V4070" s="2" t="s">
        <v>22783</v>
      </c>
      <c r="W4070" s="1"/>
      <c r="X4070" s="2" t="s">
        <v>22784</v>
      </c>
      <c r="Y4070" s="2" t="s">
        <v>21087</v>
      </c>
      <c r="AA4070" t="str">
        <f t="shared" si="378"/>
        <v>2025-02</v>
      </c>
      <c r="AB4070" t="str">
        <f t="shared" si="379"/>
        <v>H1_2025</v>
      </c>
      <c r="AC4070">
        <f t="shared" si="380"/>
        <v>129493</v>
      </c>
      <c r="AD4070">
        <f t="shared" si="381"/>
        <v>50</v>
      </c>
      <c r="AE4070">
        <f t="shared" si="382"/>
        <v>52193</v>
      </c>
      <c r="AF4070" t="str">
        <f t="shared" si="383"/>
        <v>Paid</v>
      </c>
    </row>
    <row r="4071" spans="1:32" ht="27.75" thickBot="1" x14ac:dyDescent="0.35">
      <c r="A4071" s="2" t="s">
        <v>22785</v>
      </c>
      <c r="B4071" s="2" t="s">
        <v>27</v>
      </c>
      <c r="C4071" s="2" t="s">
        <v>28</v>
      </c>
      <c r="D4071" s="2" t="s">
        <v>97</v>
      </c>
      <c r="E4071" s="2" t="s">
        <v>21084</v>
      </c>
      <c r="F4071" s="2" t="s">
        <v>31</v>
      </c>
      <c r="G4071" s="2" t="s">
        <v>32</v>
      </c>
      <c r="H4071" s="1"/>
      <c r="I4071" s="2" t="s">
        <v>33</v>
      </c>
      <c r="J4071" s="2" t="s">
        <v>34</v>
      </c>
      <c r="K4071" s="2" t="s">
        <v>22786</v>
      </c>
      <c r="L4071" s="2" t="s">
        <v>22787</v>
      </c>
      <c r="M4071" s="2" t="s">
        <v>13465</v>
      </c>
      <c r="N4071" s="2" t="s">
        <v>38</v>
      </c>
      <c r="O4071" s="2" t="s">
        <v>877</v>
      </c>
      <c r="P4071" s="2" t="s">
        <v>22788</v>
      </c>
      <c r="Q4071" s="2" t="s">
        <v>22789</v>
      </c>
      <c r="R4071" s="2" t="s">
        <v>40</v>
      </c>
      <c r="S4071" s="2" t="s">
        <v>22790</v>
      </c>
      <c r="T4071" s="2" t="s">
        <v>18539</v>
      </c>
      <c r="U4071" s="2" t="s">
        <v>18551</v>
      </c>
      <c r="V4071" s="2" t="s">
        <v>22791</v>
      </c>
      <c r="W4071" s="1"/>
      <c r="X4071" s="2" t="s">
        <v>425</v>
      </c>
      <c r="Y4071" s="2" t="s">
        <v>21087</v>
      </c>
      <c r="AA4071" t="str">
        <f t="shared" si="378"/>
        <v>2025-02</v>
      </c>
      <c r="AB4071" t="str">
        <f t="shared" si="379"/>
        <v>H1_2025</v>
      </c>
      <c r="AC4071">
        <f t="shared" si="380"/>
        <v>223411</v>
      </c>
      <c r="AD4071">
        <f t="shared" si="381"/>
        <v>100</v>
      </c>
      <c r="AE4071">
        <f t="shared" si="382"/>
        <v>25611</v>
      </c>
      <c r="AF4071" t="str">
        <f t="shared" si="383"/>
        <v>Paid</v>
      </c>
    </row>
    <row r="4072" spans="1:32" ht="27.75" thickBot="1" x14ac:dyDescent="0.35">
      <c r="A4072" s="2" t="s">
        <v>22792</v>
      </c>
      <c r="B4072" s="2" t="s">
        <v>27</v>
      </c>
      <c r="C4072" s="2" t="s">
        <v>28</v>
      </c>
      <c r="D4072" s="2" t="s">
        <v>97</v>
      </c>
      <c r="E4072" s="2" t="s">
        <v>21084</v>
      </c>
      <c r="F4072" s="2" t="s">
        <v>31</v>
      </c>
      <c r="G4072" s="2" t="s">
        <v>32</v>
      </c>
      <c r="H4072" s="1"/>
      <c r="I4072" s="2" t="s">
        <v>33</v>
      </c>
      <c r="J4072" s="2" t="s">
        <v>34</v>
      </c>
      <c r="K4072" s="2" t="s">
        <v>18546</v>
      </c>
      <c r="L4072" s="2" t="s">
        <v>18547</v>
      </c>
      <c r="M4072" s="2" t="s">
        <v>13465</v>
      </c>
      <c r="N4072" s="2" t="s">
        <v>38</v>
      </c>
      <c r="O4072" s="2" t="s">
        <v>214</v>
      </c>
      <c r="P4072" s="2" t="s">
        <v>22788</v>
      </c>
      <c r="Q4072" s="2" t="s">
        <v>22793</v>
      </c>
      <c r="R4072" s="2" t="s">
        <v>40</v>
      </c>
      <c r="S4072" s="2" t="s">
        <v>22794</v>
      </c>
      <c r="T4072" s="2" t="s">
        <v>18539</v>
      </c>
      <c r="U4072" s="2" t="s">
        <v>18540</v>
      </c>
      <c r="V4072" s="2" t="s">
        <v>22795</v>
      </c>
      <c r="W4072" s="1"/>
      <c r="X4072" s="2" t="s">
        <v>425</v>
      </c>
      <c r="Y4072" s="2" t="s">
        <v>21087</v>
      </c>
      <c r="AA4072" t="str">
        <f t="shared" si="378"/>
        <v>2025-02</v>
      </c>
      <c r="AB4072" t="str">
        <f t="shared" si="379"/>
        <v>H1_2025</v>
      </c>
      <c r="AC4072">
        <f t="shared" si="380"/>
        <v>111705.5</v>
      </c>
      <c r="AD4072">
        <f t="shared" si="381"/>
        <v>50</v>
      </c>
      <c r="AE4072">
        <f t="shared" si="382"/>
        <v>12805.5</v>
      </c>
      <c r="AF4072" t="str">
        <f t="shared" si="383"/>
        <v>Paid</v>
      </c>
    </row>
    <row r="4073" spans="1:32" ht="17.25" thickBot="1" x14ac:dyDescent="0.35">
      <c r="A4073" s="2" t="s">
        <v>22796</v>
      </c>
      <c r="B4073" s="2" t="s">
        <v>27</v>
      </c>
      <c r="C4073" s="2" t="s">
        <v>28</v>
      </c>
      <c r="D4073" s="2" t="s">
        <v>97</v>
      </c>
      <c r="E4073" s="2" t="s">
        <v>21084</v>
      </c>
      <c r="F4073" s="2" t="s">
        <v>31</v>
      </c>
      <c r="G4073" s="2" t="s">
        <v>32</v>
      </c>
      <c r="H4073" s="1"/>
      <c r="I4073" s="2" t="s">
        <v>33</v>
      </c>
      <c r="J4073" s="2" t="s">
        <v>34</v>
      </c>
      <c r="K4073" s="2" t="s">
        <v>18554</v>
      </c>
      <c r="L4073" s="2" t="s">
        <v>18555</v>
      </c>
      <c r="M4073" s="2" t="s">
        <v>13465</v>
      </c>
      <c r="N4073" s="2" t="s">
        <v>38</v>
      </c>
      <c r="O4073" s="2" t="s">
        <v>214</v>
      </c>
      <c r="P4073" s="2" t="s">
        <v>5218</v>
      </c>
      <c r="Q4073" s="2" t="s">
        <v>12000</v>
      </c>
      <c r="R4073" s="2" t="s">
        <v>40</v>
      </c>
      <c r="S4073" s="2" t="s">
        <v>22797</v>
      </c>
      <c r="T4073" s="2" t="s">
        <v>18559</v>
      </c>
      <c r="U4073" s="2" t="s">
        <v>22798</v>
      </c>
      <c r="V4073" s="2" t="s">
        <v>22799</v>
      </c>
      <c r="W4073" s="1"/>
      <c r="X4073" s="2" t="s">
        <v>3216</v>
      </c>
      <c r="Y4073" s="2" t="s">
        <v>21087</v>
      </c>
      <c r="AA4073" t="str">
        <f t="shared" si="378"/>
        <v>2025-02</v>
      </c>
      <c r="AB4073" t="str">
        <f t="shared" si="379"/>
        <v>H1_2025</v>
      </c>
      <c r="AC4073">
        <f t="shared" si="380"/>
        <v>616159</v>
      </c>
      <c r="AD4073">
        <f t="shared" si="381"/>
        <v>50</v>
      </c>
      <c r="AE4073">
        <f t="shared" si="382"/>
        <v>102509</v>
      </c>
      <c r="AF4073" t="str">
        <f t="shared" si="383"/>
        <v>Paid</v>
      </c>
    </row>
    <row r="4074" spans="1:32" ht="17.25" thickBot="1" x14ac:dyDescent="0.35">
      <c r="A4074" s="2" t="s">
        <v>22800</v>
      </c>
      <c r="B4074" s="2" t="s">
        <v>27</v>
      </c>
      <c r="C4074" s="2" t="s">
        <v>28</v>
      </c>
      <c r="D4074" s="2" t="s">
        <v>97</v>
      </c>
      <c r="E4074" s="2" t="s">
        <v>22801</v>
      </c>
      <c r="F4074" s="2" t="s">
        <v>31</v>
      </c>
      <c r="G4074" s="2" t="s">
        <v>32</v>
      </c>
      <c r="H4074" s="1"/>
      <c r="I4074" s="2" t="s">
        <v>33</v>
      </c>
      <c r="J4074" s="2" t="s">
        <v>34</v>
      </c>
      <c r="K4074" s="2" t="s">
        <v>22802</v>
      </c>
      <c r="L4074" s="2" t="s">
        <v>22803</v>
      </c>
      <c r="M4074" s="2" t="s">
        <v>89</v>
      </c>
      <c r="N4074" s="2" t="s">
        <v>38</v>
      </c>
      <c r="O4074" s="2" t="s">
        <v>773</v>
      </c>
      <c r="P4074" s="2" t="s">
        <v>7727</v>
      </c>
      <c r="Q4074" s="2" t="s">
        <v>22804</v>
      </c>
      <c r="R4074" s="2" t="s">
        <v>40</v>
      </c>
      <c r="S4074" s="2" t="s">
        <v>16185</v>
      </c>
      <c r="T4074" s="2" t="s">
        <v>7325</v>
      </c>
      <c r="U4074" s="2" t="s">
        <v>12607</v>
      </c>
      <c r="V4074" s="2" t="s">
        <v>22805</v>
      </c>
      <c r="W4074" s="1"/>
      <c r="X4074" s="2" t="s">
        <v>2894</v>
      </c>
      <c r="Y4074" s="2" t="s">
        <v>22806</v>
      </c>
      <c r="AA4074" t="str">
        <f t="shared" si="378"/>
        <v>2025-01</v>
      </c>
      <c r="AB4074" t="str">
        <f t="shared" si="379"/>
        <v>H1_2025</v>
      </c>
      <c r="AC4074">
        <f t="shared" si="380"/>
        <v>1320606</v>
      </c>
      <c r="AD4074">
        <f t="shared" si="381"/>
        <v>200</v>
      </c>
      <c r="AE4074">
        <f t="shared" si="382"/>
        <v>400606</v>
      </c>
      <c r="AF4074" t="str">
        <f t="shared" si="383"/>
        <v>Paid</v>
      </c>
    </row>
    <row r="4075" spans="1:32" ht="17.25" thickBot="1" x14ac:dyDescent="0.35">
      <c r="A4075" s="2" t="s">
        <v>22807</v>
      </c>
      <c r="B4075" s="2" t="s">
        <v>27</v>
      </c>
      <c r="C4075" s="2" t="s">
        <v>28</v>
      </c>
      <c r="D4075" s="2" t="s">
        <v>97</v>
      </c>
      <c r="E4075" s="2" t="s">
        <v>22801</v>
      </c>
      <c r="F4075" s="2" t="s">
        <v>31</v>
      </c>
      <c r="G4075" s="2" t="s">
        <v>32</v>
      </c>
      <c r="H4075" s="1"/>
      <c r="I4075" s="2" t="s">
        <v>33</v>
      </c>
      <c r="J4075" s="2" t="s">
        <v>34</v>
      </c>
      <c r="K4075" s="2" t="s">
        <v>22808</v>
      </c>
      <c r="L4075" s="2" t="s">
        <v>22809</v>
      </c>
      <c r="M4075" s="2" t="s">
        <v>89</v>
      </c>
      <c r="N4075" s="2" t="s">
        <v>38</v>
      </c>
      <c r="O4075" s="2" t="s">
        <v>1158</v>
      </c>
      <c r="P4075" s="2" t="s">
        <v>4064</v>
      </c>
      <c r="Q4075" s="2" t="s">
        <v>22810</v>
      </c>
      <c r="R4075" s="2" t="s">
        <v>40</v>
      </c>
      <c r="S4075" s="2" t="s">
        <v>22811</v>
      </c>
      <c r="T4075" s="2" t="s">
        <v>11869</v>
      </c>
      <c r="U4075" s="2" t="s">
        <v>22812</v>
      </c>
      <c r="V4075" s="2" t="s">
        <v>22813</v>
      </c>
      <c r="W4075" s="1"/>
      <c r="X4075" s="2" t="s">
        <v>22814</v>
      </c>
      <c r="Y4075" s="2" t="s">
        <v>22806</v>
      </c>
      <c r="AA4075" t="str">
        <f t="shared" si="378"/>
        <v>2025-01</v>
      </c>
      <c r="AB4075" t="str">
        <f t="shared" si="379"/>
        <v>H1_2025</v>
      </c>
      <c r="AC4075">
        <f t="shared" si="380"/>
        <v>1567868.4</v>
      </c>
      <c r="AD4075">
        <f t="shared" si="381"/>
        <v>180</v>
      </c>
      <c r="AE4075">
        <f t="shared" si="382"/>
        <v>505868.4</v>
      </c>
      <c r="AF4075" t="str">
        <f t="shared" si="383"/>
        <v>Paid</v>
      </c>
    </row>
    <row r="4076" spans="1:32" ht="17.25" thickBot="1" x14ac:dyDescent="0.35">
      <c r="A4076" s="2" t="s">
        <v>22815</v>
      </c>
      <c r="B4076" s="2" t="s">
        <v>27</v>
      </c>
      <c r="C4076" s="2" t="s">
        <v>28</v>
      </c>
      <c r="D4076" s="2" t="s">
        <v>97</v>
      </c>
      <c r="E4076" s="2" t="s">
        <v>22801</v>
      </c>
      <c r="F4076" s="2" t="s">
        <v>31</v>
      </c>
      <c r="G4076" s="2" t="s">
        <v>32</v>
      </c>
      <c r="H4076" s="1"/>
      <c r="I4076" s="2" t="s">
        <v>33</v>
      </c>
      <c r="J4076" s="2" t="s">
        <v>34</v>
      </c>
      <c r="K4076" s="2" t="s">
        <v>22816</v>
      </c>
      <c r="L4076" s="2" t="s">
        <v>22817</v>
      </c>
      <c r="M4076" s="2" t="s">
        <v>89</v>
      </c>
      <c r="N4076" s="2" t="s">
        <v>38</v>
      </c>
      <c r="O4076" s="2" t="s">
        <v>849</v>
      </c>
      <c r="P4076" s="2" t="s">
        <v>4985</v>
      </c>
      <c r="Q4076" s="2" t="s">
        <v>22818</v>
      </c>
      <c r="R4076" s="2" t="s">
        <v>40</v>
      </c>
      <c r="S4076" s="2" t="s">
        <v>22819</v>
      </c>
      <c r="T4076" s="2" t="s">
        <v>1136</v>
      </c>
      <c r="U4076" s="2" t="s">
        <v>12029</v>
      </c>
      <c r="V4076" s="2" t="s">
        <v>22820</v>
      </c>
      <c r="W4076" s="1"/>
      <c r="X4076" s="2" t="s">
        <v>22821</v>
      </c>
      <c r="Y4076" s="2" t="s">
        <v>22806</v>
      </c>
      <c r="AA4076" t="str">
        <f t="shared" si="378"/>
        <v>2025-01</v>
      </c>
      <c r="AB4076" t="str">
        <f t="shared" si="379"/>
        <v>H1_2025</v>
      </c>
      <c r="AC4076">
        <f t="shared" si="380"/>
        <v>989049.6</v>
      </c>
      <c r="AD4076">
        <f t="shared" si="381"/>
        <v>160</v>
      </c>
      <c r="AE4076">
        <f t="shared" si="382"/>
        <v>317049.59999999998</v>
      </c>
      <c r="AF4076" t="str">
        <f t="shared" si="383"/>
        <v>Paid</v>
      </c>
    </row>
    <row r="4077" spans="1:32" ht="17.25" thickBot="1" x14ac:dyDescent="0.35">
      <c r="A4077" s="2" t="s">
        <v>22822</v>
      </c>
      <c r="B4077" s="2" t="s">
        <v>27</v>
      </c>
      <c r="C4077" s="2" t="s">
        <v>28</v>
      </c>
      <c r="D4077" s="2" t="s">
        <v>97</v>
      </c>
      <c r="E4077" s="2" t="s">
        <v>22801</v>
      </c>
      <c r="F4077" s="2" t="s">
        <v>31</v>
      </c>
      <c r="G4077" s="2" t="s">
        <v>32</v>
      </c>
      <c r="H4077" s="1"/>
      <c r="I4077" s="2" t="s">
        <v>33</v>
      </c>
      <c r="J4077" s="2" t="s">
        <v>34</v>
      </c>
      <c r="K4077" s="2" t="s">
        <v>22823</v>
      </c>
      <c r="L4077" s="2" t="s">
        <v>22824</v>
      </c>
      <c r="M4077" s="2" t="s">
        <v>89</v>
      </c>
      <c r="N4077" s="2" t="s">
        <v>38</v>
      </c>
      <c r="O4077" s="2" t="s">
        <v>1951</v>
      </c>
      <c r="P4077" s="2" t="s">
        <v>13714</v>
      </c>
      <c r="Q4077" s="2" t="s">
        <v>22398</v>
      </c>
      <c r="R4077" s="2" t="s">
        <v>40</v>
      </c>
      <c r="S4077" s="2" t="s">
        <v>22825</v>
      </c>
      <c r="T4077" s="2" t="s">
        <v>2684</v>
      </c>
      <c r="U4077" s="2" t="s">
        <v>22826</v>
      </c>
      <c r="V4077" s="2" t="s">
        <v>22827</v>
      </c>
      <c r="W4077" s="1"/>
      <c r="X4077" s="2" t="s">
        <v>7732</v>
      </c>
      <c r="Y4077" s="2" t="s">
        <v>22806</v>
      </c>
      <c r="AA4077" t="str">
        <f t="shared" si="378"/>
        <v>2025-01</v>
      </c>
      <c r="AB4077" t="str">
        <f t="shared" si="379"/>
        <v>H1_2025</v>
      </c>
      <c r="AC4077">
        <f t="shared" si="380"/>
        <v>4636170</v>
      </c>
      <c r="AD4077">
        <f t="shared" si="381"/>
        <v>600</v>
      </c>
      <c r="AE4077">
        <f t="shared" si="382"/>
        <v>1336170</v>
      </c>
      <c r="AF4077" t="str">
        <f t="shared" si="383"/>
        <v>Paid</v>
      </c>
    </row>
    <row r="4078" spans="1:32" ht="17.25" thickBot="1" x14ac:dyDescent="0.35">
      <c r="A4078" s="2" t="s">
        <v>22828</v>
      </c>
      <c r="B4078" s="2" t="s">
        <v>27</v>
      </c>
      <c r="C4078" s="2" t="s">
        <v>28</v>
      </c>
      <c r="D4078" s="2" t="s">
        <v>97</v>
      </c>
      <c r="E4078" s="2" t="s">
        <v>22801</v>
      </c>
      <c r="F4078" s="2" t="s">
        <v>31</v>
      </c>
      <c r="G4078" s="2" t="s">
        <v>32</v>
      </c>
      <c r="H4078" s="1"/>
      <c r="I4078" s="2" t="s">
        <v>33</v>
      </c>
      <c r="J4078" s="2" t="s">
        <v>34</v>
      </c>
      <c r="K4078" s="2" t="s">
        <v>22829</v>
      </c>
      <c r="L4078" s="2" t="s">
        <v>22830</v>
      </c>
      <c r="M4078" s="2" t="s">
        <v>89</v>
      </c>
      <c r="N4078" s="2" t="s">
        <v>38</v>
      </c>
      <c r="O4078" s="2" t="s">
        <v>391</v>
      </c>
      <c r="P4078" s="2" t="s">
        <v>1207</v>
      </c>
      <c r="Q4078" s="2" t="s">
        <v>22831</v>
      </c>
      <c r="R4078" s="2" t="s">
        <v>40</v>
      </c>
      <c r="S4078" s="2" t="s">
        <v>22832</v>
      </c>
      <c r="T4078" s="2" t="s">
        <v>864</v>
      </c>
      <c r="U4078" s="2" t="s">
        <v>145</v>
      </c>
      <c r="V4078" s="2" t="s">
        <v>22833</v>
      </c>
      <c r="W4078" s="1"/>
      <c r="X4078" s="2" t="s">
        <v>9560</v>
      </c>
      <c r="Y4078" s="2" t="s">
        <v>22806</v>
      </c>
      <c r="AA4078" t="str">
        <f t="shared" si="378"/>
        <v>2025-01</v>
      </c>
      <c r="AB4078" t="str">
        <f t="shared" si="379"/>
        <v>H1_2025</v>
      </c>
      <c r="AC4078">
        <f t="shared" si="380"/>
        <v>649063.80000000005</v>
      </c>
      <c r="AD4078">
        <f t="shared" si="381"/>
        <v>60</v>
      </c>
      <c r="AE4078">
        <f t="shared" si="382"/>
        <v>199063.8</v>
      </c>
      <c r="AF4078" t="str">
        <f t="shared" si="383"/>
        <v>Paid</v>
      </c>
    </row>
    <row r="4079" spans="1:32" ht="27.75" thickBot="1" x14ac:dyDescent="0.35">
      <c r="A4079" s="2" t="s">
        <v>22834</v>
      </c>
      <c r="B4079" s="2" t="s">
        <v>27</v>
      </c>
      <c r="C4079" s="2" t="s">
        <v>28</v>
      </c>
      <c r="D4079" s="2" t="s">
        <v>97</v>
      </c>
      <c r="E4079" s="2" t="s">
        <v>22801</v>
      </c>
      <c r="F4079" s="2" t="s">
        <v>31</v>
      </c>
      <c r="G4079" s="2" t="s">
        <v>32</v>
      </c>
      <c r="H4079" s="1"/>
      <c r="I4079" s="2" t="s">
        <v>33</v>
      </c>
      <c r="J4079" s="2" t="s">
        <v>34</v>
      </c>
      <c r="K4079" s="2" t="s">
        <v>22835</v>
      </c>
      <c r="L4079" s="2" t="s">
        <v>22836</v>
      </c>
      <c r="M4079" s="2" t="s">
        <v>89</v>
      </c>
      <c r="N4079" s="2" t="s">
        <v>38</v>
      </c>
      <c r="O4079" s="2" t="s">
        <v>1158</v>
      </c>
      <c r="P4079" s="2" t="s">
        <v>6363</v>
      </c>
      <c r="Q4079" s="2" t="s">
        <v>19115</v>
      </c>
      <c r="R4079" s="2" t="s">
        <v>40</v>
      </c>
      <c r="S4079" s="2" t="s">
        <v>22837</v>
      </c>
      <c r="T4079" s="2" t="s">
        <v>864</v>
      </c>
      <c r="U4079" s="2" t="s">
        <v>22838</v>
      </c>
      <c r="V4079" s="2" t="s">
        <v>22839</v>
      </c>
      <c r="W4079" s="1"/>
      <c r="X4079" s="2" t="s">
        <v>2020</v>
      </c>
      <c r="Y4079" s="2" t="s">
        <v>22806</v>
      </c>
      <c r="AA4079" t="str">
        <f t="shared" si="378"/>
        <v>2025-01</v>
      </c>
      <c r="AB4079" t="str">
        <f t="shared" si="379"/>
        <v>H1_2025</v>
      </c>
      <c r="AC4079">
        <f t="shared" si="380"/>
        <v>1820750.4</v>
      </c>
      <c r="AD4079">
        <f t="shared" si="381"/>
        <v>180</v>
      </c>
      <c r="AE4079">
        <f t="shared" si="382"/>
        <v>470750.4</v>
      </c>
      <c r="AF4079" t="str">
        <f t="shared" si="383"/>
        <v>Paid</v>
      </c>
    </row>
    <row r="4080" spans="1:32" ht="17.25" thickBot="1" x14ac:dyDescent="0.35">
      <c r="A4080" s="2" t="s">
        <v>22840</v>
      </c>
      <c r="B4080" s="2" t="s">
        <v>27</v>
      </c>
      <c r="C4080" s="2" t="s">
        <v>28</v>
      </c>
      <c r="D4080" s="2" t="s">
        <v>97</v>
      </c>
      <c r="E4080" s="2" t="s">
        <v>22801</v>
      </c>
      <c r="F4080" s="2" t="s">
        <v>31</v>
      </c>
      <c r="G4080" s="2" t="s">
        <v>32</v>
      </c>
      <c r="H4080" s="1"/>
      <c r="I4080" s="2" t="s">
        <v>33</v>
      </c>
      <c r="J4080" s="2" t="s">
        <v>34</v>
      </c>
      <c r="K4080" s="2" t="s">
        <v>22841</v>
      </c>
      <c r="L4080" s="2" t="s">
        <v>22842</v>
      </c>
      <c r="M4080" s="2" t="s">
        <v>89</v>
      </c>
      <c r="N4080" s="2" t="s">
        <v>38</v>
      </c>
      <c r="O4080" s="2" t="s">
        <v>1951</v>
      </c>
      <c r="P4080" s="2" t="s">
        <v>13714</v>
      </c>
      <c r="Q4080" s="2" t="s">
        <v>22398</v>
      </c>
      <c r="R4080" s="2" t="s">
        <v>40</v>
      </c>
      <c r="S4080" s="2" t="s">
        <v>22825</v>
      </c>
      <c r="T4080" s="2" t="s">
        <v>2684</v>
      </c>
      <c r="U4080" s="2" t="s">
        <v>22826</v>
      </c>
      <c r="V4080" s="2" t="s">
        <v>22827</v>
      </c>
      <c r="W4080" s="1"/>
      <c r="X4080" s="2" t="s">
        <v>7732</v>
      </c>
      <c r="Y4080" s="2" t="s">
        <v>22806</v>
      </c>
      <c r="AA4080" t="str">
        <f t="shared" si="378"/>
        <v>2025-01</v>
      </c>
      <c r="AB4080" t="str">
        <f t="shared" si="379"/>
        <v>H1_2025</v>
      </c>
      <c r="AC4080">
        <f t="shared" si="380"/>
        <v>4636170</v>
      </c>
      <c r="AD4080">
        <f t="shared" si="381"/>
        <v>600</v>
      </c>
      <c r="AE4080">
        <f t="shared" si="382"/>
        <v>1336170</v>
      </c>
      <c r="AF4080" t="str">
        <f t="shared" si="383"/>
        <v>Paid</v>
      </c>
    </row>
    <row r="4081" spans="1:32" ht="17.25" thickBot="1" x14ac:dyDescent="0.35">
      <c r="A4081" s="2" t="s">
        <v>22843</v>
      </c>
      <c r="B4081" s="2" t="s">
        <v>27</v>
      </c>
      <c r="C4081" s="2" t="s">
        <v>28</v>
      </c>
      <c r="D4081" s="2" t="s">
        <v>97</v>
      </c>
      <c r="E4081" s="2" t="s">
        <v>22801</v>
      </c>
      <c r="F4081" s="2" t="s">
        <v>31</v>
      </c>
      <c r="G4081" s="2" t="s">
        <v>32</v>
      </c>
      <c r="H4081" s="1"/>
      <c r="I4081" s="2" t="s">
        <v>33</v>
      </c>
      <c r="J4081" s="2" t="s">
        <v>34</v>
      </c>
      <c r="K4081" s="2" t="s">
        <v>22844</v>
      </c>
      <c r="L4081" s="2" t="s">
        <v>22845</v>
      </c>
      <c r="M4081" s="2" t="s">
        <v>89</v>
      </c>
      <c r="N4081" s="2" t="s">
        <v>38</v>
      </c>
      <c r="O4081" s="2" t="s">
        <v>517</v>
      </c>
      <c r="P4081" s="2" t="s">
        <v>1625</v>
      </c>
      <c r="Q4081" s="2" t="s">
        <v>21141</v>
      </c>
      <c r="R4081" s="2" t="s">
        <v>40</v>
      </c>
      <c r="S4081" s="2" t="s">
        <v>22846</v>
      </c>
      <c r="T4081" s="2" t="s">
        <v>13945</v>
      </c>
      <c r="U4081" s="2" t="s">
        <v>13946</v>
      </c>
      <c r="V4081" s="2" t="s">
        <v>22847</v>
      </c>
      <c r="W4081" s="1"/>
      <c r="X4081" s="2" t="s">
        <v>18340</v>
      </c>
      <c r="Y4081" s="2" t="s">
        <v>22806</v>
      </c>
      <c r="AA4081" t="str">
        <f t="shared" si="378"/>
        <v>2025-01</v>
      </c>
      <c r="AB4081" t="str">
        <f t="shared" si="379"/>
        <v>H1_2025</v>
      </c>
      <c r="AC4081">
        <f t="shared" si="380"/>
        <v>1230692.3999999999</v>
      </c>
      <c r="AD4081">
        <f t="shared" si="381"/>
        <v>120</v>
      </c>
      <c r="AE4081">
        <f t="shared" si="382"/>
        <v>414692.4</v>
      </c>
      <c r="AF4081" t="str">
        <f t="shared" si="383"/>
        <v>Paid</v>
      </c>
    </row>
    <row r="4082" spans="1:32" ht="17.25" thickBot="1" x14ac:dyDescent="0.35">
      <c r="A4082" s="2" t="s">
        <v>22848</v>
      </c>
      <c r="B4082" s="2" t="s">
        <v>27</v>
      </c>
      <c r="C4082" s="2" t="s">
        <v>28</v>
      </c>
      <c r="D4082" s="2" t="s">
        <v>97</v>
      </c>
      <c r="E4082" s="2" t="s">
        <v>22801</v>
      </c>
      <c r="F4082" s="2" t="s">
        <v>31</v>
      </c>
      <c r="G4082" s="2" t="s">
        <v>32</v>
      </c>
      <c r="H4082" s="1"/>
      <c r="I4082" s="2" t="s">
        <v>33</v>
      </c>
      <c r="J4082" s="2" t="s">
        <v>34</v>
      </c>
      <c r="K4082" s="2" t="s">
        <v>22849</v>
      </c>
      <c r="L4082" s="2" t="s">
        <v>22850</v>
      </c>
      <c r="M4082" s="2" t="s">
        <v>89</v>
      </c>
      <c r="N4082" s="2" t="s">
        <v>38</v>
      </c>
      <c r="O4082" s="2" t="s">
        <v>773</v>
      </c>
      <c r="P4082" s="2" t="s">
        <v>2230</v>
      </c>
      <c r="Q4082" s="2" t="s">
        <v>22851</v>
      </c>
      <c r="R4082" s="2" t="s">
        <v>40</v>
      </c>
      <c r="S4082" s="2" t="s">
        <v>22852</v>
      </c>
      <c r="T4082" s="2" t="s">
        <v>2684</v>
      </c>
      <c r="U4082" s="2" t="s">
        <v>10845</v>
      </c>
      <c r="V4082" s="2" t="s">
        <v>22853</v>
      </c>
      <c r="W4082" s="1"/>
      <c r="X4082" s="2" t="s">
        <v>7382</v>
      </c>
      <c r="Y4082" s="2" t="s">
        <v>22806</v>
      </c>
      <c r="AA4082" t="str">
        <f t="shared" si="378"/>
        <v>2025-01</v>
      </c>
      <c r="AB4082" t="str">
        <f t="shared" si="379"/>
        <v>H1_2025</v>
      </c>
      <c r="AC4082">
        <f t="shared" si="380"/>
        <v>1629684</v>
      </c>
      <c r="AD4082">
        <f t="shared" si="381"/>
        <v>200</v>
      </c>
      <c r="AE4082">
        <f t="shared" si="382"/>
        <v>529684</v>
      </c>
      <c r="AF4082" t="str">
        <f t="shared" si="383"/>
        <v>Paid</v>
      </c>
    </row>
    <row r="4083" spans="1:32" ht="17.25" thickBot="1" x14ac:dyDescent="0.35">
      <c r="A4083" s="2" t="s">
        <v>22854</v>
      </c>
      <c r="B4083" s="2" t="s">
        <v>27</v>
      </c>
      <c r="C4083" s="2" t="s">
        <v>28</v>
      </c>
      <c r="D4083" s="2" t="s">
        <v>97</v>
      </c>
      <c r="E4083" s="2" t="s">
        <v>22801</v>
      </c>
      <c r="F4083" s="2" t="s">
        <v>31</v>
      </c>
      <c r="G4083" s="2" t="s">
        <v>32</v>
      </c>
      <c r="H4083" s="1"/>
      <c r="I4083" s="2" t="s">
        <v>33</v>
      </c>
      <c r="J4083" s="2" t="s">
        <v>34</v>
      </c>
      <c r="K4083" s="2" t="s">
        <v>22855</v>
      </c>
      <c r="L4083" s="2" t="s">
        <v>22856</v>
      </c>
      <c r="M4083" s="2" t="s">
        <v>89</v>
      </c>
      <c r="N4083" s="2" t="s">
        <v>38</v>
      </c>
      <c r="O4083" s="2" t="s">
        <v>517</v>
      </c>
      <c r="P4083" s="2" t="s">
        <v>2230</v>
      </c>
      <c r="Q4083" s="2" t="s">
        <v>10423</v>
      </c>
      <c r="R4083" s="2" t="s">
        <v>40</v>
      </c>
      <c r="S4083" s="2" t="s">
        <v>22857</v>
      </c>
      <c r="T4083" s="2" t="s">
        <v>2684</v>
      </c>
      <c r="U4083" s="2" t="s">
        <v>5128</v>
      </c>
      <c r="V4083" s="2" t="s">
        <v>22858</v>
      </c>
      <c r="W4083" s="1"/>
      <c r="X4083" s="2" t="s">
        <v>7382</v>
      </c>
      <c r="Y4083" s="2" t="s">
        <v>22806</v>
      </c>
      <c r="AA4083" t="str">
        <f t="shared" si="378"/>
        <v>2025-01</v>
      </c>
      <c r="AB4083" t="str">
        <f t="shared" si="379"/>
        <v>H1_2025</v>
      </c>
      <c r="AC4083">
        <f t="shared" si="380"/>
        <v>977810.4</v>
      </c>
      <c r="AD4083">
        <f t="shared" si="381"/>
        <v>120</v>
      </c>
      <c r="AE4083">
        <f t="shared" si="382"/>
        <v>317810.40000000002</v>
      </c>
      <c r="AF4083" t="str">
        <f t="shared" si="383"/>
        <v>Paid</v>
      </c>
    </row>
    <row r="4084" spans="1:32" ht="41.25" thickBot="1" x14ac:dyDescent="0.35">
      <c r="A4084" s="2" t="s">
        <v>22859</v>
      </c>
      <c r="B4084" s="2" t="s">
        <v>27</v>
      </c>
      <c r="C4084" s="2" t="s">
        <v>28</v>
      </c>
      <c r="D4084" s="2" t="s">
        <v>97</v>
      </c>
      <c r="E4084" s="2" t="s">
        <v>22801</v>
      </c>
      <c r="F4084" s="2" t="s">
        <v>31</v>
      </c>
      <c r="G4084" s="2" t="s">
        <v>32</v>
      </c>
      <c r="H4084" s="1"/>
      <c r="I4084" s="2" t="s">
        <v>33</v>
      </c>
      <c r="J4084" s="2" t="s">
        <v>34</v>
      </c>
      <c r="K4084" s="2" t="s">
        <v>22860</v>
      </c>
      <c r="L4084" s="2" t="s">
        <v>22861</v>
      </c>
      <c r="M4084" s="2" t="s">
        <v>89</v>
      </c>
      <c r="N4084" s="2" t="s">
        <v>38</v>
      </c>
      <c r="O4084" s="2" t="s">
        <v>1333</v>
      </c>
      <c r="P4084" s="2" t="s">
        <v>475</v>
      </c>
      <c r="Q4084" s="2" t="s">
        <v>22072</v>
      </c>
      <c r="R4084" s="2" t="s">
        <v>40</v>
      </c>
      <c r="S4084" s="2" t="s">
        <v>22862</v>
      </c>
      <c r="T4084" s="2" t="s">
        <v>3079</v>
      </c>
      <c r="U4084" s="2" t="s">
        <v>7085</v>
      </c>
      <c r="V4084" s="2" t="s">
        <v>22863</v>
      </c>
      <c r="W4084" s="1"/>
      <c r="X4084" s="2" t="s">
        <v>22864</v>
      </c>
      <c r="Y4084" s="2" t="s">
        <v>22806</v>
      </c>
      <c r="AA4084" t="str">
        <f t="shared" si="378"/>
        <v>2025-01</v>
      </c>
      <c r="AB4084" t="str">
        <f t="shared" si="379"/>
        <v>H1_2025</v>
      </c>
      <c r="AC4084">
        <f t="shared" si="380"/>
        <v>1264410</v>
      </c>
      <c r="AD4084">
        <f t="shared" si="381"/>
        <v>150</v>
      </c>
      <c r="AE4084">
        <f t="shared" si="382"/>
        <v>394410</v>
      </c>
      <c r="AF4084" t="str">
        <f t="shared" si="383"/>
        <v>Paid</v>
      </c>
    </row>
    <row r="4085" spans="1:32" ht="17.25" thickBot="1" x14ac:dyDescent="0.35">
      <c r="A4085" s="2" t="s">
        <v>22865</v>
      </c>
      <c r="B4085" s="2" t="s">
        <v>27</v>
      </c>
      <c r="C4085" s="2" t="s">
        <v>28</v>
      </c>
      <c r="D4085" s="2" t="s">
        <v>97</v>
      </c>
      <c r="E4085" s="2" t="s">
        <v>22801</v>
      </c>
      <c r="F4085" s="2" t="s">
        <v>31</v>
      </c>
      <c r="G4085" s="2" t="s">
        <v>32</v>
      </c>
      <c r="H4085" s="1"/>
      <c r="I4085" s="2" t="s">
        <v>33</v>
      </c>
      <c r="J4085" s="2" t="s">
        <v>34</v>
      </c>
      <c r="K4085" s="2" t="s">
        <v>22866</v>
      </c>
      <c r="L4085" s="2" t="s">
        <v>22867</v>
      </c>
      <c r="M4085" s="2" t="s">
        <v>89</v>
      </c>
      <c r="N4085" s="2" t="s">
        <v>38</v>
      </c>
      <c r="O4085" s="2" t="s">
        <v>22868</v>
      </c>
      <c r="P4085" s="2" t="s">
        <v>11352</v>
      </c>
      <c r="Q4085" s="2" t="s">
        <v>22869</v>
      </c>
      <c r="R4085" s="2" t="s">
        <v>40</v>
      </c>
      <c r="S4085" s="2" t="s">
        <v>22870</v>
      </c>
      <c r="T4085" s="2" t="s">
        <v>2206</v>
      </c>
      <c r="U4085" s="2" t="s">
        <v>22871</v>
      </c>
      <c r="V4085" s="2" t="s">
        <v>22872</v>
      </c>
      <c r="W4085" s="1"/>
      <c r="X4085" s="2" t="s">
        <v>1893</v>
      </c>
      <c r="Y4085" s="2" t="s">
        <v>22806</v>
      </c>
      <c r="AA4085" t="str">
        <f t="shared" si="378"/>
        <v>2025-01</v>
      </c>
      <c r="AB4085" t="str">
        <f t="shared" si="379"/>
        <v>H1_2025</v>
      </c>
      <c r="AC4085">
        <f t="shared" si="380"/>
        <v>29713635</v>
      </c>
      <c r="AD4085">
        <f t="shared" si="381"/>
        <v>2820</v>
      </c>
      <c r="AE4085">
        <f t="shared" si="382"/>
        <v>7717635</v>
      </c>
      <c r="AF4085" t="str">
        <f t="shared" si="383"/>
        <v>Paid</v>
      </c>
    </row>
    <row r="4086" spans="1:32" ht="17.25" thickBot="1" x14ac:dyDescent="0.35">
      <c r="A4086" s="2" t="s">
        <v>22873</v>
      </c>
      <c r="B4086" s="2" t="s">
        <v>27</v>
      </c>
      <c r="C4086" s="2" t="s">
        <v>28</v>
      </c>
      <c r="D4086" s="2" t="s">
        <v>97</v>
      </c>
      <c r="E4086" s="2" t="s">
        <v>22801</v>
      </c>
      <c r="F4086" s="2" t="s">
        <v>31</v>
      </c>
      <c r="G4086" s="2" t="s">
        <v>32</v>
      </c>
      <c r="H4086" s="1"/>
      <c r="I4086" s="2" t="s">
        <v>33</v>
      </c>
      <c r="J4086" s="2" t="s">
        <v>34</v>
      </c>
      <c r="K4086" s="2" t="s">
        <v>14222</v>
      </c>
      <c r="L4086" s="2" t="s">
        <v>14223</v>
      </c>
      <c r="M4086" s="2" t="s">
        <v>3198</v>
      </c>
      <c r="N4086" s="2" t="s">
        <v>38</v>
      </c>
      <c r="O4086" s="2" t="s">
        <v>471</v>
      </c>
      <c r="P4086" s="2" t="s">
        <v>3943</v>
      </c>
      <c r="Q4086" s="2" t="s">
        <v>2424</v>
      </c>
      <c r="R4086" s="2" t="s">
        <v>40</v>
      </c>
      <c r="S4086" s="2" t="s">
        <v>22874</v>
      </c>
      <c r="T4086" s="2" t="s">
        <v>19889</v>
      </c>
      <c r="U4086" s="2" t="s">
        <v>22875</v>
      </c>
      <c r="V4086" s="2" t="s">
        <v>22876</v>
      </c>
      <c r="W4086" s="1"/>
      <c r="X4086" s="2" t="s">
        <v>4206</v>
      </c>
      <c r="Y4086" s="2" t="s">
        <v>22806</v>
      </c>
      <c r="AA4086" t="str">
        <f t="shared" si="378"/>
        <v>2025-01</v>
      </c>
      <c r="AB4086" t="str">
        <f t="shared" si="379"/>
        <v>H1_2025</v>
      </c>
      <c r="AC4086">
        <f t="shared" si="380"/>
        <v>457435.44</v>
      </c>
      <c r="AD4086">
        <f t="shared" si="381"/>
        <v>55</v>
      </c>
      <c r="AE4086">
        <f t="shared" si="382"/>
        <v>71335.44</v>
      </c>
      <c r="AF4086" t="str">
        <f t="shared" si="383"/>
        <v>Paid</v>
      </c>
    </row>
    <row r="4087" spans="1:32" ht="17.25" thickBot="1" x14ac:dyDescent="0.35">
      <c r="A4087" s="2" t="s">
        <v>22877</v>
      </c>
      <c r="B4087" s="2" t="s">
        <v>27</v>
      </c>
      <c r="C4087" s="2" t="s">
        <v>28</v>
      </c>
      <c r="D4087" s="2" t="s">
        <v>97</v>
      </c>
      <c r="E4087" s="2" t="s">
        <v>22801</v>
      </c>
      <c r="F4087" s="2" t="s">
        <v>31</v>
      </c>
      <c r="G4087" s="2" t="s">
        <v>32</v>
      </c>
      <c r="H4087" s="1"/>
      <c r="I4087" s="2" t="s">
        <v>33</v>
      </c>
      <c r="J4087" s="2" t="s">
        <v>34</v>
      </c>
      <c r="K4087" s="2" t="s">
        <v>10030</v>
      </c>
      <c r="L4087" s="2" t="s">
        <v>10031</v>
      </c>
      <c r="M4087" s="2" t="s">
        <v>3198</v>
      </c>
      <c r="N4087" s="2" t="s">
        <v>38</v>
      </c>
      <c r="O4087" s="2" t="s">
        <v>206</v>
      </c>
      <c r="P4087" s="2" t="s">
        <v>1105</v>
      </c>
      <c r="Q4087" s="2" t="s">
        <v>21389</v>
      </c>
      <c r="R4087" s="2" t="s">
        <v>40</v>
      </c>
      <c r="S4087" s="2" t="s">
        <v>22878</v>
      </c>
      <c r="T4087" s="2" t="s">
        <v>10964</v>
      </c>
      <c r="U4087" s="2" t="s">
        <v>8577</v>
      </c>
      <c r="V4087" s="2" t="s">
        <v>22879</v>
      </c>
      <c r="W4087" s="1"/>
      <c r="X4087" s="2" t="s">
        <v>22880</v>
      </c>
      <c r="Y4087" s="2" t="s">
        <v>22806</v>
      </c>
      <c r="AA4087" t="str">
        <f t="shared" si="378"/>
        <v>2025-01</v>
      </c>
      <c r="AB4087" t="str">
        <f t="shared" si="379"/>
        <v>H1_2025</v>
      </c>
      <c r="AC4087">
        <f t="shared" si="380"/>
        <v>3203172</v>
      </c>
      <c r="AD4087">
        <f t="shared" si="381"/>
        <v>500</v>
      </c>
      <c r="AE4087">
        <f t="shared" si="382"/>
        <v>503172</v>
      </c>
      <c r="AF4087" t="str">
        <f t="shared" si="383"/>
        <v>Paid</v>
      </c>
    </row>
    <row r="4088" spans="1:32" ht="17.25" thickBot="1" x14ac:dyDescent="0.35">
      <c r="A4088" s="2" t="s">
        <v>22881</v>
      </c>
      <c r="B4088" s="2" t="s">
        <v>27</v>
      </c>
      <c r="C4088" s="2" t="s">
        <v>28</v>
      </c>
      <c r="D4088" s="2" t="s">
        <v>97</v>
      </c>
      <c r="E4088" s="2" t="s">
        <v>22801</v>
      </c>
      <c r="F4088" s="2" t="s">
        <v>31</v>
      </c>
      <c r="G4088" s="2" t="s">
        <v>32</v>
      </c>
      <c r="H4088" s="1"/>
      <c r="I4088" s="2" t="s">
        <v>33</v>
      </c>
      <c r="J4088" s="2" t="s">
        <v>34</v>
      </c>
      <c r="K4088" s="2" t="s">
        <v>11981</v>
      </c>
      <c r="L4088" s="2" t="s">
        <v>11982</v>
      </c>
      <c r="M4088" s="2" t="s">
        <v>3198</v>
      </c>
      <c r="N4088" s="2" t="s">
        <v>38</v>
      </c>
      <c r="O4088" s="2" t="s">
        <v>471</v>
      </c>
      <c r="P4088" s="2" t="s">
        <v>3069</v>
      </c>
      <c r="Q4088" s="2" t="s">
        <v>22882</v>
      </c>
      <c r="R4088" s="2" t="s">
        <v>40</v>
      </c>
      <c r="S4088" s="2" t="s">
        <v>22883</v>
      </c>
      <c r="T4088" s="2" t="s">
        <v>10324</v>
      </c>
      <c r="U4088" s="2" t="s">
        <v>22884</v>
      </c>
      <c r="V4088" s="2" t="s">
        <v>22885</v>
      </c>
      <c r="W4088" s="1"/>
      <c r="X4088" s="2" t="s">
        <v>22880</v>
      </c>
      <c r="Y4088" s="2" t="s">
        <v>22806</v>
      </c>
      <c r="AA4088" t="str">
        <f t="shared" si="378"/>
        <v>2025-01</v>
      </c>
      <c r="AB4088" t="str">
        <f t="shared" si="379"/>
        <v>H1_2025</v>
      </c>
      <c r="AC4088">
        <f t="shared" si="380"/>
        <v>422664.17</v>
      </c>
      <c r="AD4088">
        <f t="shared" si="381"/>
        <v>55</v>
      </c>
      <c r="AE4088">
        <f t="shared" si="382"/>
        <v>66264.160000000003</v>
      </c>
      <c r="AF4088" t="str">
        <f t="shared" si="383"/>
        <v>Paid</v>
      </c>
    </row>
    <row r="4089" spans="1:32" ht="17.25" thickBot="1" x14ac:dyDescent="0.35">
      <c r="A4089" s="2" t="s">
        <v>22886</v>
      </c>
      <c r="B4089" s="2" t="s">
        <v>27</v>
      </c>
      <c r="C4089" s="2" t="s">
        <v>28</v>
      </c>
      <c r="D4089" s="2" t="s">
        <v>97</v>
      </c>
      <c r="E4089" s="2" t="s">
        <v>22801</v>
      </c>
      <c r="F4089" s="2" t="s">
        <v>31</v>
      </c>
      <c r="G4089" s="2" t="s">
        <v>32</v>
      </c>
      <c r="H4089" s="1"/>
      <c r="I4089" s="2" t="s">
        <v>33</v>
      </c>
      <c r="J4089" s="2" t="s">
        <v>34</v>
      </c>
      <c r="K4089" s="2" t="s">
        <v>3196</v>
      </c>
      <c r="L4089" s="2" t="s">
        <v>3197</v>
      </c>
      <c r="M4089" s="2" t="s">
        <v>3198</v>
      </c>
      <c r="N4089" s="2" t="s">
        <v>38</v>
      </c>
      <c r="O4089" s="2" t="s">
        <v>156</v>
      </c>
      <c r="P4089" s="2" t="s">
        <v>11290</v>
      </c>
      <c r="Q4089" s="2" t="s">
        <v>22887</v>
      </c>
      <c r="R4089" s="2" t="s">
        <v>40</v>
      </c>
      <c r="S4089" s="2" t="s">
        <v>22888</v>
      </c>
      <c r="T4089" s="2" t="s">
        <v>18714</v>
      </c>
      <c r="U4089" s="2" t="s">
        <v>3357</v>
      </c>
      <c r="V4089" s="2" t="s">
        <v>22889</v>
      </c>
      <c r="W4089" s="1"/>
      <c r="X4089" s="2" t="s">
        <v>4206</v>
      </c>
      <c r="Y4089" s="2" t="s">
        <v>22806</v>
      </c>
      <c r="AA4089" t="str">
        <f t="shared" si="378"/>
        <v>2025-01</v>
      </c>
      <c r="AB4089" t="str">
        <f t="shared" si="379"/>
        <v>H1_2025</v>
      </c>
      <c r="AC4089">
        <f t="shared" si="380"/>
        <v>159877.62</v>
      </c>
      <c r="AD4089">
        <f t="shared" si="381"/>
        <v>20</v>
      </c>
      <c r="AE4089">
        <f t="shared" si="382"/>
        <v>24877.62</v>
      </c>
      <c r="AF4089" t="str">
        <f t="shared" si="383"/>
        <v>Paid</v>
      </c>
    </row>
    <row r="4090" spans="1:32" ht="27.75" thickBot="1" x14ac:dyDescent="0.35">
      <c r="A4090" s="2" t="s">
        <v>22890</v>
      </c>
      <c r="B4090" s="2" t="s">
        <v>27</v>
      </c>
      <c r="C4090" s="2" t="s">
        <v>28</v>
      </c>
      <c r="D4090" s="2" t="s">
        <v>97</v>
      </c>
      <c r="E4090" s="2" t="s">
        <v>22801</v>
      </c>
      <c r="F4090" s="2" t="s">
        <v>31</v>
      </c>
      <c r="G4090" s="2" t="s">
        <v>32</v>
      </c>
      <c r="H4090" s="1"/>
      <c r="I4090" s="2" t="s">
        <v>33</v>
      </c>
      <c r="J4090" s="2" t="s">
        <v>34</v>
      </c>
      <c r="K4090" s="2" t="s">
        <v>22891</v>
      </c>
      <c r="L4090" s="2" t="s">
        <v>22892</v>
      </c>
      <c r="M4090" s="2" t="s">
        <v>13465</v>
      </c>
      <c r="N4090" s="2" t="s">
        <v>38</v>
      </c>
      <c r="O4090" s="2" t="s">
        <v>4038</v>
      </c>
      <c r="P4090" s="2" t="s">
        <v>13466</v>
      </c>
      <c r="Q4090" s="2" t="s">
        <v>21079</v>
      </c>
      <c r="R4090" s="2" t="s">
        <v>40</v>
      </c>
      <c r="S4090" s="2" t="s">
        <v>22893</v>
      </c>
      <c r="T4090" s="2" t="s">
        <v>13469</v>
      </c>
      <c r="U4090" s="2" t="s">
        <v>22894</v>
      </c>
      <c r="V4090" s="2" t="s">
        <v>22895</v>
      </c>
      <c r="W4090" s="1"/>
      <c r="X4090" s="2" t="s">
        <v>13060</v>
      </c>
      <c r="Y4090" s="2" t="s">
        <v>22806</v>
      </c>
      <c r="AA4090" t="str">
        <f t="shared" si="378"/>
        <v>2025-01</v>
      </c>
      <c r="AB4090" t="str">
        <f t="shared" si="379"/>
        <v>H1_2025</v>
      </c>
      <c r="AC4090">
        <f t="shared" si="380"/>
        <v>3835377</v>
      </c>
      <c r="AD4090">
        <f t="shared" si="381"/>
        <v>1500</v>
      </c>
      <c r="AE4090">
        <f t="shared" si="382"/>
        <v>1516377</v>
      </c>
      <c r="AF4090" t="str">
        <f t="shared" si="383"/>
        <v>Paid</v>
      </c>
    </row>
    <row r="4091" spans="1:32" ht="41.25" thickBot="1" x14ac:dyDescent="0.35">
      <c r="A4091" s="2" t="s">
        <v>22896</v>
      </c>
      <c r="B4091" s="2" t="s">
        <v>27</v>
      </c>
      <c r="C4091" s="2" t="s">
        <v>28</v>
      </c>
      <c r="D4091" s="2" t="s">
        <v>97</v>
      </c>
      <c r="E4091" s="2" t="s">
        <v>22897</v>
      </c>
      <c r="F4091" s="2" t="s">
        <v>31</v>
      </c>
      <c r="G4091" s="2" t="s">
        <v>32</v>
      </c>
      <c r="H4091" s="1"/>
      <c r="I4091" s="2" t="s">
        <v>33</v>
      </c>
      <c r="J4091" s="2" t="s">
        <v>34</v>
      </c>
      <c r="K4091" s="2" t="s">
        <v>22898</v>
      </c>
      <c r="L4091" s="2" t="s">
        <v>22899</v>
      </c>
      <c r="M4091" s="2" t="s">
        <v>2140</v>
      </c>
      <c r="N4091" s="2" t="s">
        <v>38</v>
      </c>
      <c r="O4091" s="2" t="s">
        <v>214</v>
      </c>
      <c r="P4091" s="2" t="s">
        <v>40</v>
      </c>
      <c r="Q4091" s="2" t="s">
        <v>40</v>
      </c>
      <c r="R4091" s="2" t="s">
        <v>40</v>
      </c>
      <c r="S4091" s="2" t="s">
        <v>40</v>
      </c>
      <c r="T4091" s="2" t="s">
        <v>40</v>
      </c>
      <c r="U4091" s="2" t="s">
        <v>40</v>
      </c>
      <c r="V4091" s="2" t="s">
        <v>40</v>
      </c>
      <c r="W4091" s="2" t="s">
        <v>41</v>
      </c>
      <c r="X4091" s="2" t="s">
        <v>42</v>
      </c>
      <c r="Y4091" s="2" t="s">
        <v>22900</v>
      </c>
      <c r="AA4091" t="str">
        <f t="shared" si="378"/>
        <v>2025-01</v>
      </c>
      <c r="AB4091" t="str">
        <f t="shared" si="379"/>
        <v>H1_2025</v>
      </c>
      <c r="AC4091">
        <f t="shared" si="380"/>
        <v>0</v>
      </c>
      <c r="AD4091">
        <f t="shared" si="381"/>
        <v>50</v>
      </c>
      <c r="AE4091">
        <f t="shared" si="382"/>
        <v>0</v>
      </c>
      <c r="AF4091" t="str">
        <f t="shared" si="383"/>
        <v>Sample</v>
      </c>
    </row>
    <row r="4092" spans="1:32" ht="27.75" thickBot="1" x14ac:dyDescent="0.35">
      <c r="A4092" s="2" t="s">
        <v>22901</v>
      </c>
      <c r="B4092" s="2" t="s">
        <v>27</v>
      </c>
      <c r="C4092" s="2" t="s">
        <v>28</v>
      </c>
      <c r="D4092" s="2" t="s">
        <v>97</v>
      </c>
      <c r="E4092" s="2" t="s">
        <v>22897</v>
      </c>
      <c r="F4092" s="2" t="s">
        <v>31</v>
      </c>
      <c r="G4092" s="2" t="s">
        <v>32</v>
      </c>
      <c r="H4092" s="1"/>
      <c r="I4092" s="2" t="s">
        <v>33</v>
      </c>
      <c r="J4092" s="2" t="s">
        <v>34</v>
      </c>
      <c r="K4092" s="2" t="s">
        <v>22902</v>
      </c>
      <c r="L4092" s="2" t="s">
        <v>22903</v>
      </c>
      <c r="M4092" s="2" t="s">
        <v>16415</v>
      </c>
      <c r="N4092" s="2" t="s">
        <v>38</v>
      </c>
      <c r="O4092" s="2" t="s">
        <v>159</v>
      </c>
      <c r="P4092" s="2" t="s">
        <v>832</v>
      </c>
      <c r="Q4092" s="2" t="s">
        <v>22904</v>
      </c>
      <c r="R4092" s="2" t="s">
        <v>40</v>
      </c>
      <c r="S4092" s="2" t="s">
        <v>22905</v>
      </c>
      <c r="T4092" s="2" t="s">
        <v>22906</v>
      </c>
      <c r="U4092" s="2" t="s">
        <v>22907</v>
      </c>
      <c r="V4092" s="2" t="s">
        <v>22908</v>
      </c>
      <c r="W4092" s="1"/>
      <c r="X4092" s="2" t="s">
        <v>7490</v>
      </c>
      <c r="Y4092" s="2" t="s">
        <v>22900</v>
      </c>
      <c r="AA4092" t="str">
        <f t="shared" si="378"/>
        <v>2025-01</v>
      </c>
      <c r="AB4092" t="str">
        <f t="shared" si="379"/>
        <v>H1_2025</v>
      </c>
      <c r="AC4092">
        <f t="shared" si="380"/>
        <v>1066478.6399999999</v>
      </c>
      <c r="AD4092">
        <f t="shared" si="381"/>
        <v>80</v>
      </c>
      <c r="AE4092">
        <f t="shared" si="382"/>
        <v>334158.64</v>
      </c>
      <c r="AF4092" t="str">
        <f t="shared" si="383"/>
        <v>Paid</v>
      </c>
    </row>
    <row r="4093" spans="1:32" ht="17.25" thickBot="1" x14ac:dyDescent="0.35">
      <c r="A4093" s="2" t="s">
        <v>22909</v>
      </c>
      <c r="B4093" s="2" t="s">
        <v>27</v>
      </c>
      <c r="C4093" s="2" t="s">
        <v>28</v>
      </c>
      <c r="D4093" s="2" t="s">
        <v>97</v>
      </c>
      <c r="E4093" s="2" t="s">
        <v>22897</v>
      </c>
      <c r="F4093" s="2" t="s">
        <v>31</v>
      </c>
      <c r="G4093" s="2" t="s">
        <v>32</v>
      </c>
      <c r="H4093" s="1"/>
      <c r="I4093" s="2" t="s">
        <v>33</v>
      </c>
      <c r="J4093" s="2" t="s">
        <v>34</v>
      </c>
      <c r="K4093" s="2" t="s">
        <v>22910</v>
      </c>
      <c r="L4093" s="2" t="s">
        <v>22911</v>
      </c>
      <c r="M4093" s="2" t="s">
        <v>16415</v>
      </c>
      <c r="N4093" s="2" t="s">
        <v>38</v>
      </c>
      <c r="O4093" s="2" t="s">
        <v>85</v>
      </c>
      <c r="P4093" s="2" t="s">
        <v>6392</v>
      </c>
      <c r="Q4093" s="2" t="s">
        <v>22912</v>
      </c>
      <c r="R4093" s="2" t="s">
        <v>40</v>
      </c>
      <c r="S4093" s="2" t="s">
        <v>22913</v>
      </c>
      <c r="T4093" s="2" t="s">
        <v>22914</v>
      </c>
      <c r="U4093" s="2" t="s">
        <v>22915</v>
      </c>
      <c r="V4093" s="2" t="s">
        <v>22916</v>
      </c>
      <c r="W4093" s="1"/>
      <c r="X4093" s="2" t="s">
        <v>184</v>
      </c>
      <c r="Y4093" s="2" t="s">
        <v>22900</v>
      </c>
      <c r="AA4093" t="str">
        <f t="shared" si="378"/>
        <v>2025-01</v>
      </c>
      <c r="AB4093" t="str">
        <f t="shared" si="379"/>
        <v>H1_2025</v>
      </c>
      <c r="AC4093">
        <f t="shared" si="380"/>
        <v>170023.27</v>
      </c>
      <c r="AD4093">
        <f t="shared" si="381"/>
        <v>12</v>
      </c>
      <c r="AE4093">
        <f t="shared" si="382"/>
        <v>66523.27</v>
      </c>
      <c r="AF4093" t="str">
        <f t="shared" si="383"/>
        <v>Paid</v>
      </c>
    </row>
    <row r="4094" spans="1:32" ht="17.25" thickBot="1" x14ac:dyDescent="0.35">
      <c r="A4094" s="2" t="s">
        <v>22917</v>
      </c>
      <c r="B4094" s="2" t="s">
        <v>27</v>
      </c>
      <c r="C4094" s="2" t="s">
        <v>28</v>
      </c>
      <c r="D4094" s="2" t="s">
        <v>97</v>
      </c>
      <c r="E4094" s="2" t="s">
        <v>22897</v>
      </c>
      <c r="F4094" s="2" t="s">
        <v>31</v>
      </c>
      <c r="G4094" s="2" t="s">
        <v>32</v>
      </c>
      <c r="H4094" s="1"/>
      <c r="I4094" s="2" t="s">
        <v>33</v>
      </c>
      <c r="J4094" s="2" t="s">
        <v>34</v>
      </c>
      <c r="K4094" s="2" t="s">
        <v>2405</v>
      </c>
      <c r="L4094" s="2" t="s">
        <v>2406</v>
      </c>
      <c r="M4094" s="2" t="s">
        <v>2389</v>
      </c>
      <c r="N4094" s="2" t="s">
        <v>38</v>
      </c>
      <c r="O4094" s="2" t="s">
        <v>1465</v>
      </c>
      <c r="P4094" s="2" t="s">
        <v>6993</v>
      </c>
      <c r="Q4094" s="2" t="s">
        <v>22918</v>
      </c>
      <c r="R4094" s="2" t="s">
        <v>40</v>
      </c>
      <c r="S4094" s="2" t="s">
        <v>22919</v>
      </c>
      <c r="T4094" s="2" t="s">
        <v>2411</v>
      </c>
      <c r="U4094" s="2" t="s">
        <v>1619</v>
      </c>
      <c r="V4094" s="2" t="s">
        <v>22920</v>
      </c>
      <c r="W4094" s="1"/>
      <c r="X4094" s="2" t="s">
        <v>4393</v>
      </c>
      <c r="Y4094" s="2" t="s">
        <v>22900</v>
      </c>
      <c r="AA4094" t="str">
        <f t="shared" si="378"/>
        <v>2025-01</v>
      </c>
      <c r="AB4094" t="str">
        <f t="shared" si="379"/>
        <v>H1_2025</v>
      </c>
      <c r="AC4094">
        <f t="shared" si="380"/>
        <v>648873.89</v>
      </c>
      <c r="AD4094">
        <f t="shared" si="381"/>
        <v>165</v>
      </c>
      <c r="AE4094">
        <f t="shared" si="382"/>
        <v>153873.89000000001</v>
      </c>
      <c r="AF4094" t="str">
        <f t="shared" si="383"/>
        <v>Paid</v>
      </c>
    </row>
    <row r="4095" spans="1:32" ht="17.25" thickBot="1" x14ac:dyDescent="0.35">
      <c r="A4095" s="2" t="s">
        <v>22921</v>
      </c>
      <c r="B4095" s="2" t="s">
        <v>27</v>
      </c>
      <c r="C4095" s="2" t="s">
        <v>28</v>
      </c>
      <c r="D4095" s="2" t="s">
        <v>97</v>
      </c>
      <c r="E4095" s="2" t="s">
        <v>22897</v>
      </c>
      <c r="F4095" s="2" t="s">
        <v>31</v>
      </c>
      <c r="G4095" s="2" t="s">
        <v>32</v>
      </c>
      <c r="H4095" s="1"/>
      <c r="I4095" s="2" t="s">
        <v>33</v>
      </c>
      <c r="J4095" s="2" t="s">
        <v>34</v>
      </c>
      <c r="K4095" s="2" t="s">
        <v>20247</v>
      </c>
      <c r="L4095" s="2" t="s">
        <v>20248</v>
      </c>
      <c r="M4095" s="2" t="s">
        <v>2389</v>
      </c>
      <c r="N4095" s="2" t="s">
        <v>38</v>
      </c>
      <c r="O4095" s="2" t="s">
        <v>615</v>
      </c>
      <c r="P4095" s="2" t="s">
        <v>40</v>
      </c>
      <c r="Q4095" s="2" t="s">
        <v>40</v>
      </c>
      <c r="R4095" s="2" t="s">
        <v>40</v>
      </c>
      <c r="S4095" s="2" t="s">
        <v>40</v>
      </c>
      <c r="T4095" s="2" t="s">
        <v>40</v>
      </c>
      <c r="U4095" s="2" t="s">
        <v>40</v>
      </c>
      <c r="V4095" s="2" t="s">
        <v>40</v>
      </c>
      <c r="W4095" s="2" t="s">
        <v>41</v>
      </c>
      <c r="X4095" s="2" t="s">
        <v>42</v>
      </c>
      <c r="Y4095" s="2" t="s">
        <v>22900</v>
      </c>
      <c r="AA4095" t="str">
        <f t="shared" si="378"/>
        <v>2025-01</v>
      </c>
      <c r="AB4095" t="str">
        <f t="shared" si="379"/>
        <v>H1_2025</v>
      </c>
      <c r="AC4095">
        <f t="shared" si="380"/>
        <v>0</v>
      </c>
      <c r="AD4095">
        <f t="shared" si="381"/>
        <v>72</v>
      </c>
      <c r="AE4095">
        <f t="shared" si="382"/>
        <v>0</v>
      </c>
      <c r="AF4095" t="str">
        <f t="shared" si="383"/>
        <v>Sample</v>
      </c>
    </row>
    <row r="4096" spans="1:32" ht="27.75" thickBot="1" x14ac:dyDescent="0.35">
      <c r="A4096" s="2" t="s">
        <v>22922</v>
      </c>
      <c r="B4096" s="2" t="s">
        <v>27</v>
      </c>
      <c r="C4096" s="2" t="s">
        <v>28</v>
      </c>
      <c r="D4096" s="2" t="s">
        <v>97</v>
      </c>
      <c r="E4096" s="2" t="s">
        <v>22897</v>
      </c>
      <c r="F4096" s="2" t="s">
        <v>31</v>
      </c>
      <c r="G4096" s="2" t="s">
        <v>32</v>
      </c>
      <c r="H4096" s="1"/>
      <c r="I4096" s="2" t="s">
        <v>33</v>
      </c>
      <c r="J4096" s="2" t="s">
        <v>34</v>
      </c>
      <c r="K4096" s="2" t="s">
        <v>22923</v>
      </c>
      <c r="L4096" s="2" t="s">
        <v>22924</v>
      </c>
      <c r="M4096" s="2" t="s">
        <v>2389</v>
      </c>
      <c r="N4096" s="2" t="s">
        <v>38</v>
      </c>
      <c r="O4096" s="2" t="s">
        <v>877</v>
      </c>
      <c r="P4096" s="2" t="s">
        <v>40</v>
      </c>
      <c r="Q4096" s="2" t="s">
        <v>40</v>
      </c>
      <c r="R4096" s="2" t="s">
        <v>40</v>
      </c>
      <c r="S4096" s="2" t="s">
        <v>40</v>
      </c>
      <c r="T4096" s="2" t="s">
        <v>40</v>
      </c>
      <c r="U4096" s="2" t="s">
        <v>40</v>
      </c>
      <c r="V4096" s="2" t="s">
        <v>40</v>
      </c>
      <c r="W4096" s="2" t="s">
        <v>41</v>
      </c>
      <c r="X4096" s="2" t="s">
        <v>42</v>
      </c>
      <c r="Y4096" s="2" t="s">
        <v>22900</v>
      </c>
      <c r="AA4096" t="str">
        <f t="shared" si="378"/>
        <v>2025-01</v>
      </c>
      <c r="AB4096" t="str">
        <f t="shared" si="379"/>
        <v>H1_2025</v>
      </c>
      <c r="AC4096">
        <f t="shared" si="380"/>
        <v>0</v>
      </c>
      <c r="AD4096">
        <f t="shared" si="381"/>
        <v>100</v>
      </c>
      <c r="AE4096">
        <f t="shared" si="382"/>
        <v>0</v>
      </c>
      <c r="AF4096" t="str">
        <f t="shared" si="383"/>
        <v>Sample</v>
      </c>
    </row>
    <row r="4097" spans="1:32" ht="17.25" thickBot="1" x14ac:dyDescent="0.35">
      <c r="A4097" s="2" t="s">
        <v>22925</v>
      </c>
      <c r="B4097" s="2" t="s">
        <v>27</v>
      </c>
      <c r="C4097" s="2" t="s">
        <v>28</v>
      </c>
      <c r="D4097" s="2" t="s">
        <v>97</v>
      </c>
      <c r="E4097" s="2" t="s">
        <v>22897</v>
      </c>
      <c r="F4097" s="2" t="s">
        <v>31</v>
      </c>
      <c r="G4097" s="2" t="s">
        <v>32</v>
      </c>
      <c r="H4097" s="1"/>
      <c r="I4097" s="2" t="s">
        <v>33</v>
      </c>
      <c r="J4097" s="2" t="s">
        <v>34</v>
      </c>
      <c r="K4097" s="2" t="s">
        <v>2526</v>
      </c>
      <c r="L4097" s="2" t="s">
        <v>2527</v>
      </c>
      <c r="M4097" s="2" t="s">
        <v>2389</v>
      </c>
      <c r="N4097" s="2" t="s">
        <v>38</v>
      </c>
      <c r="O4097" s="2" t="s">
        <v>234</v>
      </c>
      <c r="P4097" s="2" t="s">
        <v>6415</v>
      </c>
      <c r="Q4097" s="2" t="s">
        <v>22926</v>
      </c>
      <c r="R4097" s="2" t="s">
        <v>40</v>
      </c>
      <c r="S4097" s="2" t="s">
        <v>22927</v>
      </c>
      <c r="T4097" s="2" t="s">
        <v>13735</v>
      </c>
      <c r="U4097" s="2" t="s">
        <v>22928</v>
      </c>
      <c r="V4097" s="2" t="s">
        <v>22929</v>
      </c>
      <c r="W4097" s="1"/>
      <c r="X4097" s="2" t="s">
        <v>7587</v>
      </c>
      <c r="Y4097" s="2" t="s">
        <v>22900</v>
      </c>
      <c r="AA4097" t="str">
        <f t="shared" si="378"/>
        <v>2025-01</v>
      </c>
      <c r="AB4097" t="str">
        <f t="shared" si="379"/>
        <v>H1_2025</v>
      </c>
      <c r="AC4097">
        <f t="shared" si="380"/>
        <v>301373.92</v>
      </c>
      <c r="AD4097">
        <f t="shared" si="381"/>
        <v>29</v>
      </c>
      <c r="AE4097">
        <f t="shared" si="382"/>
        <v>83061.919999999998</v>
      </c>
      <c r="AF4097" t="str">
        <f t="shared" si="383"/>
        <v>Paid</v>
      </c>
    </row>
    <row r="4098" spans="1:32" ht="17.25" thickBot="1" x14ac:dyDescent="0.35">
      <c r="A4098" s="2" t="s">
        <v>22930</v>
      </c>
      <c r="B4098" s="2" t="s">
        <v>27</v>
      </c>
      <c r="C4098" s="2" t="s">
        <v>28</v>
      </c>
      <c r="D4098" s="2" t="s">
        <v>97</v>
      </c>
      <c r="E4098" s="2" t="s">
        <v>22897</v>
      </c>
      <c r="F4098" s="2" t="s">
        <v>31</v>
      </c>
      <c r="G4098" s="2" t="s">
        <v>32</v>
      </c>
      <c r="H4098" s="1"/>
      <c r="I4098" s="2" t="s">
        <v>33</v>
      </c>
      <c r="J4098" s="2" t="s">
        <v>34</v>
      </c>
      <c r="K4098" s="2" t="s">
        <v>2578</v>
      </c>
      <c r="L4098" s="2" t="s">
        <v>2579</v>
      </c>
      <c r="M4098" s="2" t="s">
        <v>2389</v>
      </c>
      <c r="N4098" s="2" t="s">
        <v>38</v>
      </c>
      <c r="O4098" s="2" t="s">
        <v>214</v>
      </c>
      <c r="P4098" s="2" t="s">
        <v>40</v>
      </c>
      <c r="Q4098" s="2" t="s">
        <v>40</v>
      </c>
      <c r="R4098" s="2" t="s">
        <v>40</v>
      </c>
      <c r="S4098" s="2" t="s">
        <v>40</v>
      </c>
      <c r="T4098" s="2" t="s">
        <v>40</v>
      </c>
      <c r="U4098" s="2" t="s">
        <v>40</v>
      </c>
      <c r="V4098" s="2" t="s">
        <v>40</v>
      </c>
      <c r="W4098" s="2" t="s">
        <v>41</v>
      </c>
      <c r="X4098" s="2" t="s">
        <v>42</v>
      </c>
      <c r="Y4098" s="2" t="s">
        <v>22900</v>
      </c>
      <c r="AA4098" t="str">
        <f t="shared" si="378"/>
        <v>2025-01</v>
      </c>
      <c r="AB4098" t="str">
        <f t="shared" si="379"/>
        <v>H1_2025</v>
      </c>
      <c r="AC4098">
        <f t="shared" si="380"/>
        <v>0</v>
      </c>
      <c r="AD4098">
        <f t="shared" si="381"/>
        <v>50</v>
      </c>
      <c r="AE4098">
        <f t="shared" si="382"/>
        <v>0</v>
      </c>
      <c r="AF4098" t="str">
        <f t="shared" si="383"/>
        <v>Sample</v>
      </c>
    </row>
    <row r="4099" spans="1:32" ht="17.25" thickBot="1" x14ac:dyDescent="0.35">
      <c r="A4099" s="2" t="s">
        <v>22931</v>
      </c>
      <c r="B4099" s="2" t="s">
        <v>27</v>
      </c>
      <c r="C4099" s="2" t="s">
        <v>28</v>
      </c>
      <c r="D4099" s="2" t="s">
        <v>97</v>
      </c>
      <c r="E4099" s="2" t="s">
        <v>22897</v>
      </c>
      <c r="F4099" s="2" t="s">
        <v>31</v>
      </c>
      <c r="G4099" s="2" t="s">
        <v>32</v>
      </c>
      <c r="H4099" s="1"/>
      <c r="I4099" s="2" t="s">
        <v>33</v>
      </c>
      <c r="J4099" s="2" t="s">
        <v>34</v>
      </c>
      <c r="K4099" s="2" t="s">
        <v>22932</v>
      </c>
      <c r="L4099" s="2" t="s">
        <v>22933</v>
      </c>
      <c r="M4099" s="2" t="s">
        <v>22934</v>
      </c>
      <c r="N4099" s="2" t="s">
        <v>38</v>
      </c>
      <c r="O4099" s="2" t="s">
        <v>85</v>
      </c>
      <c r="P4099" s="2" t="s">
        <v>40</v>
      </c>
      <c r="Q4099" s="2" t="s">
        <v>40</v>
      </c>
      <c r="R4099" s="2" t="s">
        <v>40</v>
      </c>
      <c r="S4099" s="2" t="s">
        <v>40</v>
      </c>
      <c r="T4099" s="2" t="s">
        <v>40</v>
      </c>
      <c r="U4099" s="2" t="s">
        <v>40</v>
      </c>
      <c r="V4099" s="2" t="s">
        <v>40</v>
      </c>
      <c r="W4099" s="2" t="s">
        <v>41</v>
      </c>
      <c r="X4099" s="2" t="s">
        <v>42</v>
      </c>
      <c r="Y4099" s="2" t="s">
        <v>22900</v>
      </c>
      <c r="AA4099" t="str">
        <f t="shared" si="378"/>
        <v>2025-01</v>
      </c>
      <c r="AB4099" t="str">
        <f t="shared" si="379"/>
        <v>H1_2025</v>
      </c>
      <c r="AC4099">
        <f t="shared" si="380"/>
        <v>0</v>
      </c>
      <c r="AD4099">
        <f t="shared" si="381"/>
        <v>12</v>
      </c>
      <c r="AE4099">
        <f t="shared" si="382"/>
        <v>0</v>
      </c>
      <c r="AF4099" t="str">
        <f t="shared" si="383"/>
        <v>Sample</v>
      </c>
    </row>
    <row r="4100" spans="1:32" ht="17.25" thickBot="1" x14ac:dyDescent="0.35">
      <c r="A4100" s="2" t="s">
        <v>22935</v>
      </c>
      <c r="B4100" s="2" t="s">
        <v>27</v>
      </c>
      <c r="C4100" s="2" t="s">
        <v>28</v>
      </c>
      <c r="D4100" s="2" t="s">
        <v>97</v>
      </c>
      <c r="E4100" s="2" t="s">
        <v>22897</v>
      </c>
      <c r="F4100" s="2" t="s">
        <v>31</v>
      </c>
      <c r="G4100" s="2" t="s">
        <v>32</v>
      </c>
      <c r="H4100" s="1"/>
      <c r="I4100" s="2" t="s">
        <v>33</v>
      </c>
      <c r="J4100" s="2" t="s">
        <v>34</v>
      </c>
      <c r="K4100" s="2" t="s">
        <v>17980</v>
      </c>
      <c r="L4100" s="2" t="s">
        <v>17981</v>
      </c>
      <c r="M4100" s="2" t="s">
        <v>16013</v>
      </c>
      <c r="N4100" s="2" t="s">
        <v>38</v>
      </c>
      <c r="O4100" s="2" t="s">
        <v>214</v>
      </c>
      <c r="P4100" s="2" t="s">
        <v>2433</v>
      </c>
      <c r="Q4100" s="2" t="s">
        <v>2263</v>
      </c>
      <c r="R4100" s="2" t="s">
        <v>40</v>
      </c>
      <c r="S4100" s="2" t="s">
        <v>22936</v>
      </c>
      <c r="T4100" s="2" t="s">
        <v>107</v>
      </c>
      <c r="U4100" s="2" t="s">
        <v>5210</v>
      </c>
      <c r="V4100" s="2" t="s">
        <v>22937</v>
      </c>
      <c r="W4100" s="1"/>
      <c r="X4100" s="2" t="s">
        <v>997</v>
      </c>
      <c r="Y4100" s="2" t="s">
        <v>22900</v>
      </c>
      <c r="AA4100" t="str">
        <f t="shared" ref="AA4100:AA4127" si="384">LEFT(E4100,7)</f>
        <v>2025-01</v>
      </c>
      <c r="AB4100" t="str">
        <f t="shared" ref="AB4100:AB4127" si="385">IF(AND($AA4100&gt;="2025-01",$AA4100&lt;="2025-06"),"H1_2025",IF(AND($AA4100&gt;="2026-01",$AA4100&lt;="2026-06"),"H1_2026",""))</f>
        <v>H1_2025</v>
      </c>
      <c r="AC4100">
        <f t="shared" ref="AC4100:AC4127" si="386">IFERROR(VALUE(SUBSTITUTE(S4100,",","")),0)</f>
        <v>391837.2</v>
      </c>
      <c r="AD4100">
        <f t="shared" ref="AD4100:AD4127" si="387">IFERROR(VALUE(SUBSTITUTE(O4100,",","")),0)</f>
        <v>50</v>
      </c>
      <c r="AE4100">
        <f t="shared" ref="AE4100:AE4127" si="388">IFERROR(VALUE(SUBSTITUTE(V4100,",","")),0)</f>
        <v>111837.2</v>
      </c>
      <c r="AF4100" t="str">
        <f t="shared" ref="AF4100:AF4127" si="389">IF(ISNUMBER(SEARCH("FOC",W4100)),"FOC",IF(ISNUMBER(SEARCH("샘플",W4100)),"Sample","Paid"))</f>
        <v>Paid</v>
      </c>
    </row>
    <row r="4101" spans="1:32" ht="17.25" thickBot="1" x14ac:dyDescent="0.35">
      <c r="A4101" s="2" t="s">
        <v>22938</v>
      </c>
      <c r="B4101" s="2" t="s">
        <v>27</v>
      </c>
      <c r="C4101" s="2" t="s">
        <v>28</v>
      </c>
      <c r="D4101" s="2" t="s">
        <v>97</v>
      </c>
      <c r="E4101" s="2" t="s">
        <v>22897</v>
      </c>
      <c r="F4101" s="2" t="s">
        <v>31</v>
      </c>
      <c r="G4101" s="2" t="s">
        <v>32</v>
      </c>
      <c r="H4101" s="1"/>
      <c r="I4101" s="2" t="s">
        <v>33</v>
      </c>
      <c r="J4101" s="2" t="s">
        <v>34</v>
      </c>
      <c r="K4101" s="2" t="s">
        <v>22939</v>
      </c>
      <c r="L4101" s="2" t="s">
        <v>22940</v>
      </c>
      <c r="M4101" s="2" t="s">
        <v>16013</v>
      </c>
      <c r="N4101" s="2" t="s">
        <v>38</v>
      </c>
      <c r="O4101" s="2" t="s">
        <v>1240</v>
      </c>
      <c r="P4101" s="2" t="s">
        <v>40</v>
      </c>
      <c r="Q4101" s="2" t="s">
        <v>40</v>
      </c>
      <c r="R4101" s="2" t="s">
        <v>40</v>
      </c>
      <c r="S4101" s="2" t="s">
        <v>40</v>
      </c>
      <c r="T4101" s="2" t="s">
        <v>40</v>
      </c>
      <c r="U4101" s="2" t="s">
        <v>40</v>
      </c>
      <c r="V4101" s="2" t="s">
        <v>40</v>
      </c>
      <c r="W4101" s="2" t="s">
        <v>41</v>
      </c>
      <c r="X4101" s="2" t="s">
        <v>42</v>
      </c>
      <c r="Y4101" s="2" t="s">
        <v>22900</v>
      </c>
      <c r="AA4101" t="str">
        <f t="shared" si="384"/>
        <v>2025-01</v>
      </c>
      <c r="AB4101" t="str">
        <f t="shared" si="385"/>
        <v>H1_2025</v>
      </c>
      <c r="AC4101">
        <f t="shared" si="386"/>
        <v>0</v>
      </c>
      <c r="AD4101">
        <f t="shared" si="387"/>
        <v>139</v>
      </c>
      <c r="AE4101">
        <f t="shared" si="388"/>
        <v>0</v>
      </c>
      <c r="AF4101" t="str">
        <f t="shared" si="389"/>
        <v>Sample</v>
      </c>
    </row>
    <row r="4102" spans="1:32" ht="17.25" thickBot="1" x14ac:dyDescent="0.35">
      <c r="A4102" s="2" t="s">
        <v>22941</v>
      </c>
      <c r="B4102" s="2" t="s">
        <v>27</v>
      </c>
      <c r="C4102" s="2" t="s">
        <v>28</v>
      </c>
      <c r="D4102" s="2" t="s">
        <v>97</v>
      </c>
      <c r="E4102" s="2" t="s">
        <v>22897</v>
      </c>
      <c r="F4102" s="2" t="s">
        <v>31</v>
      </c>
      <c r="G4102" s="2" t="s">
        <v>32</v>
      </c>
      <c r="H4102" s="1"/>
      <c r="I4102" s="2" t="s">
        <v>33</v>
      </c>
      <c r="J4102" s="2" t="s">
        <v>34</v>
      </c>
      <c r="K4102" s="2" t="s">
        <v>22942</v>
      </c>
      <c r="L4102" s="2" t="s">
        <v>22943</v>
      </c>
      <c r="M4102" s="2" t="s">
        <v>16013</v>
      </c>
      <c r="N4102" s="2" t="s">
        <v>38</v>
      </c>
      <c r="O4102" s="2" t="s">
        <v>877</v>
      </c>
      <c r="P4102" s="2" t="s">
        <v>5246</v>
      </c>
      <c r="Q4102" s="2" t="s">
        <v>17641</v>
      </c>
      <c r="R4102" s="2" t="s">
        <v>40</v>
      </c>
      <c r="S4102" s="2" t="s">
        <v>22944</v>
      </c>
      <c r="T4102" s="2" t="s">
        <v>2522</v>
      </c>
      <c r="U4102" s="2" t="s">
        <v>14475</v>
      </c>
      <c r="V4102" s="2" t="s">
        <v>22945</v>
      </c>
      <c r="W4102" s="1"/>
      <c r="X4102" s="2" t="s">
        <v>11919</v>
      </c>
      <c r="Y4102" s="2" t="s">
        <v>22900</v>
      </c>
      <c r="AA4102" t="str">
        <f t="shared" si="384"/>
        <v>2025-01</v>
      </c>
      <c r="AB4102" t="str">
        <f t="shared" si="385"/>
        <v>H1_2025</v>
      </c>
      <c r="AC4102">
        <f t="shared" si="386"/>
        <v>1044899.2</v>
      </c>
      <c r="AD4102">
        <f t="shared" si="387"/>
        <v>100</v>
      </c>
      <c r="AE4102">
        <f t="shared" si="388"/>
        <v>534899.19999999995</v>
      </c>
      <c r="AF4102" t="str">
        <f t="shared" si="389"/>
        <v>Paid</v>
      </c>
    </row>
    <row r="4103" spans="1:32" ht="17.25" thickBot="1" x14ac:dyDescent="0.35">
      <c r="A4103" s="2" t="s">
        <v>22946</v>
      </c>
      <c r="B4103" s="2" t="s">
        <v>27</v>
      </c>
      <c r="C4103" s="2" t="s">
        <v>28</v>
      </c>
      <c r="D4103" s="2" t="s">
        <v>97</v>
      </c>
      <c r="E4103" s="2" t="s">
        <v>22897</v>
      </c>
      <c r="F4103" s="2" t="s">
        <v>31</v>
      </c>
      <c r="G4103" s="2" t="s">
        <v>32</v>
      </c>
      <c r="H4103" s="1"/>
      <c r="I4103" s="2" t="s">
        <v>33</v>
      </c>
      <c r="J4103" s="2" t="s">
        <v>34</v>
      </c>
      <c r="K4103" s="2" t="s">
        <v>18001</v>
      </c>
      <c r="L4103" s="2" t="s">
        <v>18002</v>
      </c>
      <c r="M4103" s="2" t="s">
        <v>16013</v>
      </c>
      <c r="N4103" s="2" t="s">
        <v>38</v>
      </c>
      <c r="O4103" s="2" t="s">
        <v>156</v>
      </c>
      <c r="P4103" s="2" t="s">
        <v>2898</v>
      </c>
      <c r="Q4103" s="2" t="s">
        <v>22947</v>
      </c>
      <c r="R4103" s="2" t="s">
        <v>40</v>
      </c>
      <c r="S4103" s="2" t="s">
        <v>22948</v>
      </c>
      <c r="T4103" s="2" t="s">
        <v>297</v>
      </c>
      <c r="U4103" s="2" t="s">
        <v>15004</v>
      </c>
      <c r="V4103" s="2" t="s">
        <v>22949</v>
      </c>
      <c r="W4103" s="1"/>
      <c r="X4103" s="2" t="s">
        <v>7918</v>
      </c>
      <c r="Y4103" s="2" t="s">
        <v>22900</v>
      </c>
      <c r="AA4103" t="str">
        <f t="shared" si="384"/>
        <v>2025-01</v>
      </c>
      <c r="AB4103" t="str">
        <f t="shared" si="385"/>
        <v>H1_2025</v>
      </c>
      <c r="AC4103">
        <f t="shared" si="386"/>
        <v>226868.06</v>
      </c>
      <c r="AD4103">
        <f t="shared" si="387"/>
        <v>20</v>
      </c>
      <c r="AE4103">
        <f t="shared" si="388"/>
        <v>66868.06</v>
      </c>
      <c r="AF4103" t="str">
        <f t="shared" si="389"/>
        <v>Paid</v>
      </c>
    </row>
    <row r="4104" spans="1:32" ht="27.75" thickBot="1" x14ac:dyDescent="0.35">
      <c r="A4104" s="2" t="s">
        <v>22950</v>
      </c>
      <c r="B4104" s="2" t="s">
        <v>27</v>
      </c>
      <c r="C4104" s="2" t="s">
        <v>28</v>
      </c>
      <c r="D4104" s="2" t="s">
        <v>97</v>
      </c>
      <c r="E4104" s="2" t="s">
        <v>22897</v>
      </c>
      <c r="F4104" s="2" t="s">
        <v>31</v>
      </c>
      <c r="G4104" s="2" t="s">
        <v>32</v>
      </c>
      <c r="H4104" s="1"/>
      <c r="I4104" s="2" t="s">
        <v>33</v>
      </c>
      <c r="J4104" s="2" t="s">
        <v>34</v>
      </c>
      <c r="K4104" s="2" t="s">
        <v>18930</v>
      </c>
      <c r="L4104" s="2" t="s">
        <v>18931</v>
      </c>
      <c r="M4104" s="2" t="s">
        <v>16013</v>
      </c>
      <c r="N4104" s="2" t="s">
        <v>38</v>
      </c>
      <c r="O4104" s="2" t="s">
        <v>1644</v>
      </c>
      <c r="P4104" s="2" t="s">
        <v>6351</v>
      </c>
      <c r="Q4104" s="2" t="s">
        <v>853</v>
      </c>
      <c r="R4104" s="2" t="s">
        <v>40</v>
      </c>
      <c r="S4104" s="2" t="s">
        <v>22951</v>
      </c>
      <c r="T4104" s="2" t="s">
        <v>22952</v>
      </c>
      <c r="U4104" s="2" t="s">
        <v>22953</v>
      </c>
      <c r="V4104" s="2" t="s">
        <v>22954</v>
      </c>
      <c r="W4104" s="1"/>
      <c r="X4104" s="2" t="s">
        <v>18456</v>
      </c>
      <c r="Y4104" s="2" t="s">
        <v>22900</v>
      </c>
      <c r="AA4104" t="str">
        <f t="shared" si="384"/>
        <v>2025-01</v>
      </c>
      <c r="AB4104" t="str">
        <f t="shared" si="385"/>
        <v>H1_2025</v>
      </c>
      <c r="AC4104">
        <f t="shared" si="386"/>
        <v>11908443.6</v>
      </c>
      <c r="AD4104">
        <f t="shared" si="387"/>
        <v>1200</v>
      </c>
      <c r="AE4104">
        <f t="shared" si="388"/>
        <v>4164943.6</v>
      </c>
      <c r="AF4104" t="str">
        <f t="shared" si="389"/>
        <v>Paid</v>
      </c>
    </row>
    <row r="4105" spans="1:32" ht="27.75" thickBot="1" x14ac:dyDescent="0.35">
      <c r="A4105" s="2" t="s">
        <v>22955</v>
      </c>
      <c r="B4105" s="2" t="s">
        <v>27</v>
      </c>
      <c r="C4105" s="2" t="s">
        <v>28</v>
      </c>
      <c r="D4105" s="2" t="s">
        <v>97</v>
      </c>
      <c r="E4105" s="2" t="s">
        <v>22897</v>
      </c>
      <c r="F4105" s="2" t="s">
        <v>31</v>
      </c>
      <c r="G4105" s="2" t="s">
        <v>32</v>
      </c>
      <c r="H4105" s="1"/>
      <c r="I4105" s="2" t="s">
        <v>33</v>
      </c>
      <c r="J4105" s="2" t="s">
        <v>34</v>
      </c>
      <c r="K4105" s="2" t="s">
        <v>22956</v>
      </c>
      <c r="L4105" s="2" t="s">
        <v>22957</v>
      </c>
      <c r="M4105" s="2" t="s">
        <v>16013</v>
      </c>
      <c r="N4105" s="2" t="s">
        <v>38</v>
      </c>
      <c r="O4105" s="2" t="s">
        <v>773</v>
      </c>
      <c r="P4105" s="2" t="s">
        <v>2898</v>
      </c>
      <c r="Q4105" s="2" t="s">
        <v>22958</v>
      </c>
      <c r="R4105" s="2" t="s">
        <v>40</v>
      </c>
      <c r="S4105" s="2" t="s">
        <v>22959</v>
      </c>
      <c r="T4105" s="2" t="s">
        <v>864</v>
      </c>
      <c r="U4105" s="2" t="s">
        <v>10805</v>
      </c>
      <c r="V4105" s="2" t="s">
        <v>22960</v>
      </c>
      <c r="W4105" s="1"/>
      <c r="X4105" s="2" t="s">
        <v>7694</v>
      </c>
      <c r="Y4105" s="2" t="s">
        <v>22900</v>
      </c>
      <c r="AA4105" t="str">
        <f t="shared" si="384"/>
        <v>2025-01</v>
      </c>
      <c r="AB4105" t="str">
        <f t="shared" si="385"/>
        <v>H1_2025</v>
      </c>
      <c r="AC4105">
        <f t="shared" si="386"/>
        <v>2268680.6</v>
      </c>
      <c r="AD4105">
        <f t="shared" si="387"/>
        <v>200</v>
      </c>
      <c r="AE4105">
        <f t="shared" si="388"/>
        <v>768680.6</v>
      </c>
      <c r="AF4105" t="str">
        <f t="shared" si="389"/>
        <v>Paid</v>
      </c>
    </row>
    <row r="4106" spans="1:32" ht="17.25" thickBot="1" x14ac:dyDescent="0.35">
      <c r="A4106" s="2" t="s">
        <v>22961</v>
      </c>
      <c r="B4106" s="2" t="s">
        <v>27</v>
      </c>
      <c r="C4106" s="2" t="s">
        <v>28</v>
      </c>
      <c r="D4106" s="2" t="s">
        <v>97</v>
      </c>
      <c r="E4106" s="2" t="s">
        <v>22897</v>
      </c>
      <c r="F4106" s="2" t="s">
        <v>31</v>
      </c>
      <c r="G4106" s="2" t="s">
        <v>32</v>
      </c>
      <c r="H4106" s="1"/>
      <c r="I4106" s="2" t="s">
        <v>33</v>
      </c>
      <c r="J4106" s="2" t="s">
        <v>34</v>
      </c>
      <c r="K4106" s="2" t="s">
        <v>18010</v>
      </c>
      <c r="L4106" s="2" t="s">
        <v>18011</v>
      </c>
      <c r="M4106" s="2" t="s">
        <v>16013</v>
      </c>
      <c r="N4106" s="2" t="s">
        <v>38</v>
      </c>
      <c r="O4106" s="2" t="s">
        <v>79</v>
      </c>
      <c r="P4106" s="2" t="s">
        <v>7972</v>
      </c>
      <c r="Q4106" s="2" t="s">
        <v>22962</v>
      </c>
      <c r="R4106" s="2" t="s">
        <v>40</v>
      </c>
      <c r="S4106" s="2" t="s">
        <v>22963</v>
      </c>
      <c r="T4106" s="2" t="s">
        <v>13945</v>
      </c>
      <c r="U4106" s="2" t="s">
        <v>22964</v>
      </c>
      <c r="V4106" s="2" t="s">
        <v>22965</v>
      </c>
      <c r="W4106" s="1"/>
      <c r="X4106" s="2" t="s">
        <v>3788</v>
      </c>
      <c r="Y4106" s="2" t="s">
        <v>22900</v>
      </c>
      <c r="AA4106" t="str">
        <f t="shared" si="384"/>
        <v>2025-01</v>
      </c>
      <c r="AB4106" t="str">
        <f t="shared" si="385"/>
        <v>H1_2025</v>
      </c>
      <c r="AC4106">
        <f t="shared" si="386"/>
        <v>87169.58</v>
      </c>
      <c r="AD4106">
        <f t="shared" si="387"/>
        <v>10</v>
      </c>
      <c r="AE4106">
        <f t="shared" si="388"/>
        <v>19169.580000000002</v>
      </c>
      <c r="AF4106" t="str">
        <f t="shared" si="389"/>
        <v>Paid</v>
      </c>
    </row>
    <row r="4107" spans="1:32" ht="27.75" thickBot="1" x14ac:dyDescent="0.35">
      <c r="A4107" s="2" t="s">
        <v>22966</v>
      </c>
      <c r="B4107" s="2" t="s">
        <v>27</v>
      </c>
      <c r="C4107" s="2" t="s">
        <v>28</v>
      </c>
      <c r="D4107" s="2" t="s">
        <v>97</v>
      </c>
      <c r="E4107" s="2" t="s">
        <v>22897</v>
      </c>
      <c r="F4107" s="2" t="s">
        <v>31</v>
      </c>
      <c r="G4107" s="2" t="s">
        <v>32</v>
      </c>
      <c r="H4107" s="1"/>
      <c r="I4107" s="2" t="s">
        <v>33</v>
      </c>
      <c r="J4107" s="2" t="s">
        <v>34</v>
      </c>
      <c r="K4107" s="2" t="s">
        <v>18942</v>
      </c>
      <c r="L4107" s="2" t="s">
        <v>18943</v>
      </c>
      <c r="M4107" s="2" t="s">
        <v>16013</v>
      </c>
      <c r="N4107" s="2" t="s">
        <v>38</v>
      </c>
      <c r="O4107" s="2" t="s">
        <v>877</v>
      </c>
      <c r="P4107" s="2" t="s">
        <v>655</v>
      </c>
      <c r="Q4107" s="2" t="s">
        <v>11246</v>
      </c>
      <c r="R4107" s="2" t="s">
        <v>40</v>
      </c>
      <c r="S4107" s="2" t="s">
        <v>22967</v>
      </c>
      <c r="T4107" s="2" t="s">
        <v>1329</v>
      </c>
      <c r="U4107" s="2" t="s">
        <v>249</v>
      </c>
      <c r="V4107" s="2" t="s">
        <v>22968</v>
      </c>
      <c r="W4107" s="1"/>
      <c r="X4107" s="2" t="s">
        <v>17915</v>
      </c>
      <c r="Y4107" s="2" t="s">
        <v>22900</v>
      </c>
      <c r="AA4107" t="str">
        <f t="shared" si="384"/>
        <v>2025-01</v>
      </c>
      <c r="AB4107" t="str">
        <f t="shared" si="385"/>
        <v>H1_2025</v>
      </c>
      <c r="AC4107">
        <f t="shared" si="386"/>
        <v>1132920.6000000001</v>
      </c>
      <c r="AD4107">
        <f t="shared" si="387"/>
        <v>100</v>
      </c>
      <c r="AE4107">
        <f t="shared" si="388"/>
        <v>392920.6</v>
      </c>
      <c r="AF4107" t="str">
        <f t="shared" si="389"/>
        <v>Paid</v>
      </c>
    </row>
    <row r="4108" spans="1:32" ht="17.25" thickBot="1" x14ac:dyDescent="0.35">
      <c r="A4108" s="2" t="s">
        <v>22969</v>
      </c>
      <c r="B4108" s="2" t="s">
        <v>27</v>
      </c>
      <c r="C4108" s="2" t="s">
        <v>28</v>
      </c>
      <c r="D4108" s="2" t="s">
        <v>97</v>
      </c>
      <c r="E4108" s="2" t="s">
        <v>22897</v>
      </c>
      <c r="F4108" s="2" t="s">
        <v>31</v>
      </c>
      <c r="G4108" s="2" t="s">
        <v>32</v>
      </c>
      <c r="H4108" s="1"/>
      <c r="I4108" s="2" t="s">
        <v>33</v>
      </c>
      <c r="J4108" s="2" t="s">
        <v>34</v>
      </c>
      <c r="K4108" s="2" t="s">
        <v>22970</v>
      </c>
      <c r="L4108" s="2" t="s">
        <v>22971</v>
      </c>
      <c r="M4108" s="2" t="s">
        <v>21856</v>
      </c>
      <c r="N4108" s="2" t="s">
        <v>38</v>
      </c>
      <c r="O4108" s="2" t="s">
        <v>1092</v>
      </c>
      <c r="P4108" s="2" t="s">
        <v>40</v>
      </c>
      <c r="Q4108" s="2" t="s">
        <v>40</v>
      </c>
      <c r="R4108" s="2" t="s">
        <v>40</v>
      </c>
      <c r="S4108" s="2" t="s">
        <v>40</v>
      </c>
      <c r="T4108" s="2" t="s">
        <v>40</v>
      </c>
      <c r="U4108" s="2" t="s">
        <v>40</v>
      </c>
      <c r="V4108" s="2" t="s">
        <v>40</v>
      </c>
      <c r="W4108" s="2" t="s">
        <v>41</v>
      </c>
      <c r="X4108" s="2" t="s">
        <v>42</v>
      </c>
      <c r="Y4108" s="2" t="s">
        <v>22900</v>
      </c>
      <c r="AA4108" t="str">
        <f t="shared" si="384"/>
        <v>2025-01</v>
      </c>
      <c r="AB4108" t="str">
        <f t="shared" si="385"/>
        <v>H1_2025</v>
      </c>
      <c r="AC4108">
        <f t="shared" si="386"/>
        <v>0</v>
      </c>
      <c r="AD4108">
        <f t="shared" si="387"/>
        <v>122</v>
      </c>
      <c r="AE4108">
        <f t="shared" si="388"/>
        <v>0</v>
      </c>
      <c r="AF4108" t="str">
        <f t="shared" si="389"/>
        <v>Sample</v>
      </c>
    </row>
    <row r="4109" spans="1:32" ht="17.25" thickBot="1" x14ac:dyDescent="0.35">
      <c r="A4109" s="2" t="s">
        <v>22972</v>
      </c>
      <c r="B4109" s="2" t="s">
        <v>27</v>
      </c>
      <c r="C4109" s="2" t="s">
        <v>28</v>
      </c>
      <c r="D4109" s="2" t="s">
        <v>97</v>
      </c>
      <c r="E4109" s="2" t="s">
        <v>22897</v>
      </c>
      <c r="F4109" s="2" t="s">
        <v>31</v>
      </c>
      <c r="G4109" s="2" t="s">
        <v>32</v>
      </c>
      <c r="H4109" s="1"/>
      <c r="I4109" s="2" t="s">
        <v>33</v>
      </c>
      <c r="J4109" s="2" t="s">
        <v>34</v>
      </c>
      <c r="K4109" s="2" t="s">
        <v>22973</v>
      </c>
      <c r="L4109" s="2" t="s">
        <v>22974</v>
      </c>
      <c r="M4109" s="2" t="s">
        <v>21856</v>
      </c>
      <c r="N4109" s="2" t="s">
        <v>38</v>
      </c>
      <c r="O4109" s="2" t="s">
        <v>557</v>
      </c>
      <c r="P4109" s="2" t="s">
        <v>40</v>
      </c>
      <c r="Q4109" s="2" t="s">
        <v>40</v>
      </c>
      <c r="R4109" s="2" t="s">
        <v>40</v>
      </c>
      <c r="S4109" s="2" t="s">
        <v>40</v>
      </c>
      <c r="T4109" s="2" t="s">
        <v>40</v>
      </c>
      <c r="U4109" s="2" t="s">
        <v>40</v>
      </c>
      <c r="V4109" s="2" t="s">
        <v>40</v>
      </c>
      <c r="W4109" s="2" t="s">
        <v>41</v>
      </c>
      <c r="X4109" s="2" t="s">
        <v>42</v>
      </c>
      <c r="Y4109" s="2" t="s">
        <v>22900</v>
      </c>
      <c r="AA4109" t="str">
        <f t="shared" si="384"/>
        <v>2025-01</v>
      </c>
      <c r="AB4109" t="str">
        <f t="shared" si="385"/>
        <v>H1_2025</v>
      </c>
      <c r="AC4109">
        <f t="shared" si="386"/>
        <v>0</v>
      </c>
      <c r="AD4109">
        <f t="shared" si="387"/>
        <v>65</v>
      </c>
      <c r="AE4109">
        <f t="shared" si="388"/>
        <v>0</v>
      </c>
      <c r="AF4109" t="str">
        <f t="shared" si="389"/>
        <v>Sample</v>
      </c>
    </row>
    <row r="4110" spans="1:32" ht="27.75" thickBot="1" x14ac:dyDescent="0.35">
      <c r="A4110" s="2" t="s">
        <v>22975</v>
      </c>
      <c r="B4110" s="2" t="s">
        <v>27</v>
      </c>
      <c r="C4110" s="2" t="s">
        <v>28</v>
      </c>
      <c r="D4110" s="2" t="s">
        <v>97</v>
      </c>
      <c r="E4110" s="2" t="s">
        <v>22897</v>
      </c>
      <c r="F4110" s="2" t="s">
        <v>31</v>
      </c>
      <c r="G4110" s="2" t="s">
        <v>32</v>
      </c>
      <c r="H4110" s="1"/>
      <c r="I4110" s="2" t="s">
        <v>33</v>
      </c>
      <c r="J4110" s="2" t="s">
        <v>34</v>
      </c>
      <c r="K4110" s="2" t="s">
        <v>22976</v>
      </c>
      <c r="L4110" s="2" t="s">
        <v>22977</v>
      </c>
      <c r="M4110" s="2" t="s">
        <v>21856</v>
      </c>
      <c r="N4110" s="2" t="s">
        <v>38</v>
      </c>
      <c r="O4110" s="2" t="s">
        <v>141</v>
      </c>
      <c r="P4110" s="2" t="s">
        <v>40</v>
      </c>
      <c r="Q4110" s="2" t="s">
        <v>40</v>
      </c>
      <c r="R4110" s="2" t="s">
        <v>40</v>
      </c>
      <c r="S4110" s="2" t="s">
        <v>40</v>
      </c>
      <c r="T4110" s="2" t="s">
        <v>40</v>
      </c>
      <c r="U4110" s="2" t="s">
        <v>40</v>
      </c>
      <c r="V4110" s="2" t="s">
        <v>40</v>
      </c>
      <c r="W4110" s="2" t="s">
        <v>41</v>
      </c>
      <c r="X4110" s="2" t="s">
        <v>42</v>
      </c>
      <c r="Y4110" s="2" t="s">
        <v>22900</v>
      </c>
      <c r="AA4110" t="str">
        <f t="shared" si="384"/>
        <v>2025-01</v>
      </c>
      <c r="AB4110" t="str">
        <f t="shared" si="385"/>
        <v>H1_2025</v>
      </c>
      <c r="AC4110">
        <f t="shared" si="386"/>
        <v>0</v>
      </c>
      <c r="AD4110">
        <f t="shared" si="387"/>
        <v>30</v>
      </c>
      <c r="AE4110">
        <f t="shared" si="388"/>
        <v>0</v>
      </c>
      <c r="AF4110" t="str">
        <f t="shared" si="389"/>
        <v>Sample</v>
      </c>
    </row>
    <row r="4111" spans="1:32" ht="17.25" thickBot="1" x14ac:dyDescent="0.35">
      <c r="A4111" s="2" t="s">
        <v>22978</v>
      </c>
      <c r="B4111" s="2" t="s">
        <v>27</v>
      </c>
      <c r="C4111" s="2" t="s">
        <v>28</v>
      </c>
      <c r="D4111" s="2" t="s">
        <v>97</v>
      </c>
      <c r="E4111" s="2" t="s">
        <v>22897</v>
      </c>
      <c r="F4111" s="2" t="s">
        <v>31</v>
      </c>
      <c r="G4111" s="2" t="s">
        <v>32</v>
      </c>
      <c r="H4111" s="1"/>
      <c r="I4111" s="2" t="s">
        <v>33</v>
      </c>
      <c r="J4111" s="2" t="s">
        <v>34</v>
      </c>
      <c r="K4111" s="2" t="s">
        <v>22979</v>
      </c>
      <c r="L4111" s="2" t="s">
        <v>22980</v>
      </c>
      <c r="M4111" s="2" t="s">
        <v>21856</v>
      </c>
      <c r="N4111" s="2" t="s">
        <v>38</v>
      </c>
      <c r="O4111" s="2" t="s">
        <v>85</v>
      </c>
      <c r="P4111" s="2" t="s">
        <v>40</v>
      </c>
      <c r="Q4111" s="2" t="s">
        <v>40</v>
      </c>
      <c r="R4111" s="2" t="s">
        <v>40</v>
      </c>
      <c r="S4111" s="2" t="s">
        <v>40</v>
      </c>
      <c r="T4111" s="2" t="s">
        <v>40</v>
      </c>
      <c r="U4111" s="2" t="s">
        <v>40</v>
      </c>
      <c r="V4111" s="2" t="s">
        <v>40</v>
      </c>
      <c r="W4111" s="2" t="s">
        <v>41</v>
      </c>
      <c r="X4111" s="2" t="s">
        <v>42</v>
      </c>
      <c r="Y4111" s="2" t="s">
        <v>22900</v>
      </c>
      <c r="AA4111" t="str">
        <f t="shared" si="384"/>
        <v>2025-01</v>
      </c>
      <c r="AB4111" t="str">
        <f t="shared" si="385"/>
        <v>H1_2025</v>
      </c>
      <c r="AC4111">
        <f t="shared" si="386"/>
        <v>0</v>
      </c>
      <c r="AD4111">
        <f t="shared" si="387"/>
        <v>12</v>
      </c>
      <c r="AE4111">
        <f t="shared" si="388"/>
        <v>0</v>
      </c>
      <c r="AF4111" t="str">
        <f t="shared" si="389"/>
        <v>Sample</v>
      </c>
    </row>
    <row r="4112" spans="1:32" ht="17.25" thickBot="1" x14ac:dyDescent="0.35">
      <c r="A4112" s="2" t="s">
        <v>22981</v>
      </c>
      <c r="B4112" s="2" t="s">
        <v>27</v>
      </c>
      <c r="C4112" s="2" t="s">
        <v>28</v>
      </c>
      <c r="D4112" s="2" t="s">
        <v>97</v>
      </c>
      <c r="E4112" s="2" t="s">
        <v>22897</v>
      </c>
      <c r="F4112" s="2" t="s">
        <v>31</v>
      </c>
      <c r="G4112" s="2" t="s">
        <v>32</v>
      </c>
      <c r="H4112" s="1"/>
      <c r="I4112" s="2" t="s">
        <v>33</v>
      </c>
      <c r="J4112" s="2" t="s">
        <v>34</v>
      </c>
      <c r="K4112" s="2" t="s">
        <v>22982</v>
      </c>
      <c r="L4112" s="2" t="s">
        <v>22983</v>
      </c>
      <c r="M4112" s="2" t="s">
        <v>21856</v>
      </c>
      <c r="N4112" s="2" t="s">
        <v>38</v>
      </c>
      <c r="O4112" s="2" t="s">
        <v>877</v>
      </c>
      <c r="P4112" s="2" t="s">
        <v>40</v>
      </c>
      <c r="Q4112" s="2" t="s">
        <v>40</v>
      </c>
      <c r="R4112" s="2" t="s">
        <v>40</v>
      </c>
      <c r="S4112" s="2" t="s">
        <v>40</v>
      </c>
      <c r="T4112" s="2" t="s">
        <v>40</v>
      </c>
      <c r="U4112" s="2" t="s">
        <v>40</v>
      </c>
      <c r="V4112" s="2" t="s">
        <v>40</v>
      </c>
      <c r="W4112" s="2" t="s">
        <v>41</v>
      </c>
      <c r="X4112" s="2" t="s">
        <v>42</v>
      </c>
      <c r="Y4112" s="2" t="s">
        <v>22900</v>
      </c>
      <c r="AA4112" t="str">
        <f t="shared" si="384"/>
        <v>2025-01</v>
      </c>
      <c r="AB4112" t="str">
        <f t="shared" si="385"/>
        <v>H1_2025</v>
      </c>
      <c r="AC4112">
        <f t="shared" si="386"/>
        <v>0</v>
      </c>
      <c r="AD4112">
        <f t="shared" si="387"/>
        <v>100</v>
      </c>
      <c r="AE4112">
        <f t="shared" si="388"/>
        <v>0</v>
      </c>
      <c r="AF4112" t="str">
        <f t="shared" si="389"/>
        <v>Sample</v>
      </c>
    </row>
    <row r="4113" spans="1:32" ht="17.25" thickBot="1" x14ac:dyDescent="0.35">
      <c r="A4113" s="2" t="s">
        <v>22984</v>
      </c>
      <c r="B4113" s="2" t="s">
        <v>27</v>
      </c>
      <c r="C4113" s="2" t="s">
        <v>28</v>
      </c>
      <c r="D4113" s="2" t="s">
        <v>97</v>
      </c>
      <c r="E4113" s="2" t="s">
        <v>22897</v>
      </c>
      <c r="F4113" s="2" t="s">
        <v>31</v>
      </c>
      <c r="G4113" s="2" t="s">
        <v>32</v>
      </c>
      <c r="H4113" s="1"/>
      <c r="I4113" s="2" t="s">
        <v>33</v>
      </c>
      <c r="J4113" s="2" t="s">
        <v>34</v>
      </c>
      <c r="K4113" s="2" t="s">
        <v>22849</v>
      </c>
      <c r="L4113" s="2" t="s">
        <v>22850</v>
      </c>
      <c r="M4113" s="2" t="s">
        <v>89</v>
      </c>
      <c r="N4113" s="2" t="s">
        <v>38</v>
      </c>
      <c r="O4113" s="2" t="s">
        <v>1333</v>
      </c>
      <c r="P4113" s="2" t="s">
        <v>2230</v>
      </c>
      <c r="Q4113" s="2" t="s">
        <v>22985</v>
      </c>
      <c r="R4113" s="2" t="s">
        <v>40</v>
      </c>
      <c r="S4113" s="2" t="s">
        <v>22986</v>
      </c>
      <c r="T4113" s="2" t="s">
        <v>2684</v>
      </c>
      <c r="U4113" s="2" t="s">
        <v>22987</v>
      </c>
      <c r="V4113" s="2" t="s">
        <v>22988</v>
      </c>
      <c r="W4113" s="1"/>
      <c r="X4113" s="2" t="s">
        <v>8183</v>
      </c>
      <c r="Y4113" s="2" t="s">
        <v>22900</v>
      </c>
      <c r="AA4113" t="str">
        <f t="shared" si="384"/>
        <v>2025-01</v>
      </c>
      <c r="AB4113" t="str">
        <f t="shared" si="385"/>
        <v>H1_2025</v>
      </c>
      <c r="AC4113">
        <f t="shared" si="386"/>
        <v>1235139</v>
      </c>
      <c r="AD4113">
        <f t="shared" si="387"/>
        <v>150</v>
      </c>
      <c r="AE4113">
        <f t="shared" si="388"/>
        <v>410139</v>
      </c>
      <c r="AF4113" t="str">
        <f t="shared" si="389"/>
        <v>Paid</v>
      </c>
    </row>
    <row r="4114" spans="1:32" ht="27.75" thickBot="1" x14ac:dyDescent="0.35">
      <c r="A4114" s="2" t="s">
        <v>22989</v>
      </c>
      <c r="B4114" s="2" t="s">
        <v>27</v>
      </c>
      <c r="C4114" s="2" t="s">
        <v>28</v>
      </c>
      <c r="D4114" s="2" t="s">
        <v>97</v>
      </c>
      <c r="E4114" s="2" t="s">
        <v>22897</v>
      </c>
      <c r="F4114" s="2" t="s">
        <v>31</v>
      </c>
      <c r="G4114" s="2" t="s">
        <v>32</v>
      </c>
      <c r="H4114" s="1"/>
      <c r="I4114" s="2" t="s">
        <v>33</v>
      </c>
      <c r="J4114" s="2" t="s">
        <v>34</v>
      </c>
      <c r="K4114" s="2" t="s">
        <v>22990</v>
      </c>
      <c r="L4114" s="2" t="s">
        <v>22991</v>
      </c>
      <c r="M4114" s="2" t="s">
        <v>701</v>
      </c>
      <c r="N4114" s="2" t="s">
        <v>38</v>
      </c>
      <c r="O4114" s="2" t="s">
        <v>857</v>
      </c>
      <c r="P4114" s="2" t="s">
        <v>40</v>
      </c>
      <c r="Q4114" s="2" t="s">
        <v>40</v>
      </c>
      <c r="R4114" s="2" t="s">
        <v>40</v>
      </c>
      <c r="S4114" s="2" t="s">
        <v>40</v>
      </c>
      <c r="T4114" s="2" t="s">
        <v>726</v>
      </c>
      <c r="U4114" s="2" t="s">
        <v>22992</v>
      </c>
      <c r="V4114" s="2" t="s">
        <v>22993</v>
      </c>
      <c r="W4114" s="2" t="s">
        <v>41</v>
      </c>
      <c r="X4114" s="2" t="s">
        <v>42</v>
      </c>
      <c r="Y4114" s="2" t="s">
        <v>22900</v>
      </c>
      <c r="AA4114" t="str">
        <f t="shared" si="384"/>
        <v>2025-01</v>
      </c>
      <c r="AB4114" t="str">
        <f t="shared" si="385"/>
        <v>H1_2025</v>
      </c>
      <c r="AC4114">
        <f t="shared" si="386"/>
        <v>0</v>
      </c>
      <c r="AD4114">
        <f t="shared" si="387"/>
        <v>98</v>
      </c>
      <c r="AE4114">
        <f t="shared" si="388"/>
        <v>-699720</v>
      </c>
      <c r="AF4114" t="str">
        <f t="shared" si="389"/>
        <v>Sample</v>
      </c>
    </row>
    <row r="4115" spans="1:32" ht="17.25" thickBot="1" x14ac:dyDescent="0.35">
      <c r="A4115" s="2" t="s">
        <v>22994</v>
      </c>
      <c r="B4115" s="2" t="s">
        <v>27</v>
      </c>
      <c r="C4115" s="2" t="s">
        <v>28</v>
      </c>
      <c r="D4115" s="2" t="s">
        <v>97</v>
      </c>
      <c r="E4115" s="2" t="s">
        <v>22897</v>
      </c>
      <c r="F4115" s="2" t="s">
        <v>31</v>
      </c>
      <c r="G4115" s="2" t="s">
        <v>32</v>
      </c>
      <c r="H4115" s="1"/>
      <c r="I4115" s="2" t="s">
        <v>33</v>
      </c>
      <c r="J4115" s="2" t="s">
        <v>34</v>
      </c>
      <c r="K4115" s="2" t="s">
        <v>22995</v>
      </c>
      <c r="L4115" s="2" t="s">
        <v>22996</v>
      </c>
      <c r="M4115" s="2" t="s">
        <v>4220</v>
      </c>
      <c r="N4115" s="2" t="s">
        <v>38</v>
      </c>
      <c r="O4115" s="2" t="s">
        <v>26</v>
      </c>
      <c r="P4115" s="2" t="s">
        <v>20095</v>
      </c>
      <c r="Q4115" s="2" t="s">
        <v>20095</v>
      </c>
      <c r="R4115" s="2" t="s">
        <v>40</v>
      </c>
      <c r="S4115" s="2" t="s">
        <v>22997</v>
      </c>
      <c r="T4115" s="2" t="s">
        <v>22998</v>
      </c>
      <c r="U4115" s="2" t="s">
        <v>22998</v>
      </c>
      <c r="V4115" s="2" t="s">
        <v>22999</v>
      </c>
      <c r="W4115" s="1"/>
      <c r="X4115" s="2" t="s">
        <v>8198</v>
      </c>
      <c r="Y4115" s="2" t="s">
        <v>22900</v>
      </c>
      <c r="AA4115" t="str">
        <f t="shared" si="384"/>
        <v>2025-01</v>
      </c>
      <c r="AB4115" t="str">
        <f t="shared" si="385"/>
        <v>H1_2025</v>
      </c>
      <c r="AC4115">
        <f t="shared" si="386"/>
        <v>16937.02</v>
      </c>
      <c r="AD4115">
        <f t="shared" si="387"/>
        <v>1</v>
      </c>
      <c r="AE4115">
        <f t="shared" si="388"/>
        <v>4437.0200000000004</v>
      </c>
      <c r="AF4115" t="str">
        <f t="shared" si="389"/>
        <v>Paid</v>
      </c>
    </row>
    <row r="4116" spans="1:32" ht="17.25" thickBot="1" x14ac:dyDescent="0.35">
      <c r="A4116" s="2" t="s">
        <v>23000</v>
      </c>
      <c r="B4116" s="2" t="s">
        <v>27</v>
      </c>
      <c r="C4116" s="2" t="s">
        <v>28</v>
      </c>
      <c r="D4116" s="2" t="s">
        <v>97</v>
      </c>
      <c r="E4116" s="2" t="s">
        <v>22897</v>
      </c>
      <c r="F4116" s="2" t="s">
        <v>31</v>
      </c>
      <c r="G4116" s="2" t="s">
        <v>32</v>
      </c>
      <c r="H4116" s="1"/>
      <c r="I4116" s="2" t="s">
        <v>33</v>
      </c>
      <c r="J4116" s="2" t="s">
        <v>34</v>
      </c>
      <c r="K4116" s="2" t="s">
        <v>4218</v>
      </c>
      <c r="L4116" s="2" t="s">
        <v>4219</v>
      </c>
      <c r="M4116" s="2" t="s">
        <v>4220</v>
      </c>
      <c r="N4116" s="2" t="s">
        <v>38</v>
      </c>
      <c r="O4116" s="2" t="s">
        <v>831</v>
      </c>
      <c r="P4116" s="2" t="s">
        <v>4190</v>
      </c>
      <c r="Q4116" s="2" t="s">
        <v>15364</v>
      </c>
      <c r="R4116" s="2" t="s">
        <v>40</v>
      </c>
      <c r="S4116" s="2" t="s">
        <v>23001</v>
      </c>
      <c r="T4116" s="2" t="s">
        <v>1747</v>
      </c>
      <c r="U4116" s="2" t="s">
        <v>171</v>
      </c>
      <c r="V4116" s="2" t="s">
        <v>23002</v>
      </c>
      <c r="W4116" s="1"/>
      <c r="X4116" s="2" t="s">
        <v>7587</v>
      </c>
      <c r="Y4116" s="2" t="s">
        <v>22900</v>
      </c>
      <c r="AA4116" t="str">
        <f t="shared" si="384"/>
        <v>2025-01</v>
      </c>
      <c r="AB4116" t="str">
        <f t="shared" si="385"/>
        <v>H1_2025</v>
      </c>
      <c r="AC4116">
        <f t="shared" si="386"/>
        <v>12422375</v>
      </c>
      <c r="AD4116">
        <f t="shared" si="387"/>
        <v>1000</v>
      </c>
      <c r="AE4116">
        <f t="shared" si="388"/>
        <v>3422375</v>
      </c>
      <c r="AF4116" t="str">
        <f t="shared" si="389"/>
        <v>Paid</v>
      </c>
    </row>
    <row r="4117" spans="1:32" ht="17.25" thickBot="1" x14ac:dyDescent="0.35">
      <c r="A4117" s="2" t="s">
        <v>23003</v>
      </c>
      <c r="B4117" s="2" t="s">
        <v>27</v>
      </c>
      <c r="C4117" s="2" t="s">
        <v>28</v>
      </c>
      <c r="D4117" s="2" t="s">
        <v>97</v>
      </c>
      <c r="E4117" s="2" t="s">
        <v>22897</v>
      </c>
      <c r="F4117" s="2" t="s">
        <v>31</v>
      </c>
      <c r="G4117" s="2" t="s">
        <v>32</v>
      </c>
      <c r="H4117" s="1"/>
      <c r="I4117" s="2" t="s">
        <v>33</v>
      </c>
      <c r="J4117" s="2" t="s">
        <v>34</v>
      </c>
      <c r="K4117" s="2" t="s">
        <v>20286</v>
      </c>
      <c r="L4117" s="2" t="s">
        <v>20287</v>
      </c>
      <c r="M4117" s="2" t="s">
        <v>20288</v>
      </c>
      <c r="N4117" s="2" t="s">
        <v>38</v>
      </c>
      <c r="O4117" s="2" t="s">
        <v>149</v>
      </c>
      <c r="P4117" s="2" t="s">
        <v>40</v>
      </c>
      <c r="Q4117" s="2" t="s">
        <v>40</v>
      </c>
      <c r="R4117" s="2" t="s">
        <v>40</v>
      </c>
      <c r="S4117" s="2" t="s">
        <v>40</v>
      </c>
      <c r="T4117" s="2" t="s">
        <v>40</v>
      </c>
      <c r="U4117" s="2" t="s">
        <v>40</v>
      </c>
      <c r="V4117" s="2" t="s">
        <v>40</v>
      </c>
      <c r="W4117" s="2" t="s">
        <v>41</v>
      </c>
      <c r="X4117" s="2" t="s">
        <v>42</v>
      </c>
      <c r="Y4117" s="2" t="s">
        <v>22900</v>
      </c>
      <c r="AA4117" t="str">
        <f t="shared" si="384"/>
        <v>2025-01</v>
      </c>
      <c r="AB4117" t="str">
        <f t="shared" si="385"/>
        <v>H1_2025</v>
      </c>
      <c r="AC4117">
        <f t="shared" si="386"/>
        <v>0</v>
      </c>
      <c r="AD4117">
        <f t="shared" si="387"/>
        <v>300</v>
      </c>
      <c r="AE4117">
        <f t="shared" si="388"/>
        <v>0</v>
      </c>
      <c r="AF4117" t="str">
        <f t="shared" si="389"/>
        <v>Sample</v>
      </c>
    </row>
    <row r="4118" spans="1:32" ht="17.25" thickBot="1" x14ac:dyDescent="0.35">
      <c r="A4118" s="2" t="s">
        <v>23004</v>
      </c>
      <c r="B4118" s="2" t="s">
        <v>27</v>
      </c>
      <c r="C4118" s="2" t="s">
        <v>28</v>
      </c>
      <c r="D4118" s="2" t="s">
        <v>97</v>
      </c>
      <c r="E4118" s="2" t="s">
        <v>22897</v>
      </c>
      <c r="F4118" s="2" t="s">
        <v>31</v>
      </c>
      <c r="G4118" s="2" t="s">
        <v>32</v>
      </c>
      <c r="H4118" s="1"/>
      <c r="I4118" s="2" t="s">
        <v>33</v>
      </c>
      <c r="J4118" s="2" t="s">
        <v>34</v>
      </c>
      <c r="K4118" s="2" t="s">
        <v>23005</v>
      </c>
      <c r="L4118" s="2" t="s">
        <v>23006</v>
      </c>
      <c r="M4118" s="2" t="s">
        <v>10280</v>
      </c>
      <c r="N4118" s="2" t="s">
        <v>38</v>
      </c>
      <c r="O4118" s="2" t="s">
        <v>1593</v>
      </c>
      <c r="P4118" s="2" t="s">
        <v>23007</v>
      </c>
      <c r="Q4118" s="2" t="s">
        <v>23008</v>
      </c>
      <c r="R4118" s="2" t="s">
        <v>40</v>
      </c>
      <c r="S4118" s="2" t="s">
        <v>23009</v>
      </c>
      <c r="T4118" s="2" t="s">
        <v>23010</v>
      </c>
      <c r="U4118" s="2" t="s">
        <v>23011</v>
      </c>
      <c r="V4118" s="2" t="s">
        <v>23012</v>
      </c>
      <c r="W4118" s="1"/>
      <c r="X4118" s="2" t="s">
        <v>997</v>
      </c>
      <c r="Y4118" s="2" t="s">
        <v>22900</v>
      </c>
      <c r="AA4118" t="str">
        <f t="shared" si="384"/>
        <v>2025-01</v>
      </c>
      <c r="AB4118" t="str">
        <f t="shared" si="385"/>
        <v>H1_2025</v>
      </c>
      <c r="AC4118">
        <f t="shared" si="386"/>
        <v>176667.47</v>
      </c>
      <c r="AD4118">
        <f t="shared" si="387"/>
        <v>183</v>
      </c>
      <c r="AE4118">
        <f t="shared" si="388"/>
        <v>50397.47</v>
      </c>
      <c r="AF4118" t="str">
        <f t="shared" si="389"/>
        <v>Paid</v>
      </c>
    </row>
    <row r="4119" spans="1:32" ht="27.75" thickBot="1" x14ac:dyDescent="0.35">
      <c r="A4119" s="2" t="s">
        <v>23013</v>
      </c>
      <c r="B4119" s="2" t="s">
        <v>27</v>
      </c>
      <c r="C4119" s="2" t="s">
        <v>28</v>
      </c>
      <c r="D4119" s="2" t="s">
        <v>97</v>
      </c>
      <c r="E4119" s="2" t="s">
        <v>22897</v>
      </c>
      <c r="F4119" s="2" t="s">
        <v>31</v>
      </c>
      <c r="G4119" s="2" t="s">
        <v>32</v>
      </c>
      <c r="H4119" s="1"/>
      <c r="I4119" s="2" t="s">
        <v>33</v>
      </c>
      <c r="J4119" s="2" t="s">
        <v>34</v>
      </c>
      <c r="K4119" s="2" t="s">
        <v>23014</v>
      </c>
      <c r="L4119" s="2" t="s">
        <v>23015</v>
      </c>
      <c r="M4119" s="2" t="s">
        <v>17198</v>
      </c>
      <c r="N4119" s="2" t="s">
        <v>38</v>
      </c>
      <c r="O4119" s="2" t="s">
        <v>103</v>
      </c>
      <c r="P4119" s="2" t="s">
        <v>23016</v>
      </c>
      <c r="Q4119" s="2" t="s">
        <v>5056</v>
      </c>
      <c r="R4119" s="2" t="s">
        <v>40</v>
      </c>
      <c r="S4119" s="2" t="s">
        <v>23017</v>
      </c>
      <c r="T4119" s="2" t="s">
        <v>23018</v>
      </c>
      <c r="U4119" s="2" t="s">
        <v>23019</v>
      </c>
      <c r="V4119" s="2" t="s">
        <v>23020</v>
      </c>
      <c r="W4119" s="1"/>
      <c r="X4119" s="2" t="s">
        <v>2894</v>
      </c>
      <c r="Y4119" s="2" t="s">
        <v>22900</v>
      </c>
      <c r="AA4119" t="str">
        <f t="shared" si="384"/>
        <v>2025-01</v>
      </c>
      <c r="AB4119" t="str">
        <f t="shared" si="385"/>
        <v>H1_2025</v>
      </c>
      <c r="AC4119">
        <f t="shared" si="386"/>
        <v>474634.1</v>
      </c>
      <c r="AD4119">
        <f t="shared" si="387"/>
        <v>24</v>
      </c>
      <c r="AE4119">
        <f t="shared" si="388"/>
        <v>143650.1</v>
      </c>
      <c r="AF4119" t="str">
        <f t="shared" si="389"/>
        <v>Paid</v>
      </c>
    </row>
    <row r="4120" spans="1:32" ht="27.75" thickBot="1" x14ac:dyDescent="0.35">
      <c r="A4120" s="2" t="s">
        <v>23021</v>
      </c>
      <c r="B4120" s="2" t="s">
        <v>27</v>
      </c>
      <c r="C4120" s="2" t="s">
        <v>28</v>
      </c>
      <c r="D4120" s="2" t="s">
        <v>97</v>
      </c>
      <c r="E4120" s="2" t="s">
        <v>22897</v>
      </c>
      <c r="F4120" s="2" t="s">
        <v>31</v>
      </c>
      <c r="G4120" s="2" t="s">
        <v>32</v>
      </c>
      <c r="H4120" s="1"/>
      <c r="I4120" s="2" t="s">
        <v>33</v>
      </c>
      <c r="J4120" s="2" t="s">
        <v>34</v>
      </c>
      <c r="K4120" s="2" t="s">
        <v>23022</v>
      </c>
      <c r="L4120" s="2" t="s">
        <v>23023</v>
      </c>
      <c r="M4120" s="2" t="s">
        <v>3067</v>
      </c>
      <c r="N4120" s="2" t="s">
        <v>38</v>
      </c>
      <c r="O4120" s="2" t="s">
        <v>141</v>
      </c>
      <c r="P4120" s="2" t="s">
        <v>40</v>
      </c>
      <c r="Q4120" s="2" t="s">
        <v>40</v>
      </c>
      <c r="R4120" s="2" t="s">
        <v>40</v>
      </c>
      <c r="S4120" s="2" t="s">
        <v>40</v>
      </c>
      <c r="T4120" s="2" t="s">
        <v>40</v>
      </c>
      <c r="U4120" s="2" t="s">
        <v>40</v>
      </c>
      <c r="V4120" s="2" t="s">
        <v>40</v>
      </c>
      <c r="W4120" s="2" t="s">
        <v>41</v>
      </c>
      <c r="X4120" s="2" t="s">
        <v>42</v>
      </c>
      <c r="Y4120" s="2" t="s">
        <v>22900</v>
      </c>
      <c r="AA4120" t="str">
        <f t="shared" si="384"/>
        <v>2025-01</v>
      </c>
      <c r="AB4120" t="str">
        <f t="shared" si="385"/>
        <v>H1_2025</v>
      </c>
      <c r="AC4120">
        <f t="shared" si="386"/>
        <v>0</v>
      </c>
      <c r="AD4120">
        <f t="shared" si="387"/>
        <v>30</v>
      </c>
      <c r="AE4120">
        <f t="shared" si="388"/>
        <v>0</v>
      </c>
      <c r="AF4120" t="str">
        <f t="shared" si="389"/>
        <v>Sample</v>
      </c>
    </row>
    <row r="4121" spans="1:32" ht="27.75" thickBot="1" x14ac:dyDescent="0.35">
      <c r="A4121" s="2" t="s">
        <v>23024</v>
      </c>
      <c r="B4121" s="2" t="s">
        <v>27</v>
      </c>
      <c r="C4121" s="2" t="s">
        <v>28</v>
      </c>
      <c r="D4121" s="2" t="s">
        <v>97</v>
      </c>
      <c r="E4121" s="2" t="s">
        <v>22897</v>
      </c>
      <c r="F4121" s="2" t="s">
        <v>31</v>
      </c>
      <c r="G4121" s="2" t="s">
        <v>32</v>
      </c>
      <c r="H4121" s="1"/>
      <c r="I4121" s="2" t="s">
        <v>33</v>
      </c>
      <c r="J4121" s="2" t="s">
        <v>34</v>
      </c>
      <c r="K4121" s="2" t="s">
        <v>23025</v>
      </c>
      <c r="L4121" s="2" t="s">
        <v>23026</v>
      </c>
      <c r="M4121" s="2" t="s">
        <v>1686</v>
      </c>
      <c r="N4121" s="2" t="s">
        <v>38</v>
      </c>
      <c r="O4121" s="2" t="s">
        <v>642</v>
      </c>
      <c r="P4121" s="2" t="s">
        <v>2272</v>
      </c>
      <c r="Q4121" s="2" t="s">
        <v>23027</v>
      </c>
      <c r="R4121" s="2" t="s">
        <v>40</v>
      </c>
      <c r="S4121" s="2" t="s">
        <v>23028</v>
      </c>
      <c r="T4121" s="2" t="s">
        <v>23029</v>
      </c>
      <c r="U4121" s="2" t="s">
        <v>14121</v>
      </c>
      <c r="V4121" s="2" t="s">
        <v>23030</v>
      </c>
      <c r="W4121" s="1"/>
      <c r="X4121" s="2" t="s">
        <v>6709</v>
      </c>
      <c r="Y4121" s="2" t="s">
        <v>22900</v>
      </c>
      <c r="AA4121" t="str">
        <f t="shared" si="384"/>
        <v>2025-01</v>
      </c>
      <c r="AB4121" t="str">
        <f t="shared" si="385"/>
        <v>H1_2025</v>
      </c>
      <c r="AC4121">
        <f t="shared" si="386"/>
        <v>415262.25</v>
      </c>
      <c r="AD4121">
        <f t="shared" si="387"/>
        <v>75</v>
      </c>
      <c r="AE4121">
        <f t="shared" si="388"/>
        <v>87962.25</v>
      </c>
      <c r="AF4121" t="str">
        <f t="shared" si="389"/>
        <v>Paid</v>
      </c>
    </row>
    <row r="4122" spans="1:32" ht="17.25" thickBot="1" x14ac:dyDescent="0.35">
      <c r="A4122" s="2" t="s">
        <v>23031</v>
      </c>
      <c r="B4122" s="2" t="s">
        <v>27</v>
      </c>
      <c r="C4122" s="2" t="s">
        <v>28</v>
      </c>
      <c r="D4122" s="2" t="s">
        <v>97</v>
      </c>
      <c r="E4122" s="2" t="s">
        <v>22897</v>
      </c>
      <c r="F4122" s="2" t="s">
        <v>31</v>
      </c>
      <c r="G4122" s="2" t="s">
        <v>32</v>
      </c>
      <c r="H4122" s="1"/>
      <c r="I4122" s="2" t="s">
        <v>33</v>
      </c>
      <c r="J4122" s="2" t="s">
        <v>34</v>
      </c>
      <c r="K4122" s="2" t="s">
        <v>23032</v>
      </c>
      <c r="L4122" s="2" t="s">
        <v>23033</v>
      </c>
      <c r="M4122" s="2" t="s">
        <v>1686</v>
      </c>
      <c r="N4122" s="2" t="s">
        <v>38</v>
      </c>
      <c r="O4122" s="2" t="s">
        <v>92</v>
      </c>
      <c r="P4122" s="2" t="s">
        <v>23034</v>
      </c>
      <c r="Q4122" s="2" t="s">
        <v>23035</v>
      </c>
      <c r="R4122" s="2" t="s">
        <v>40</v>
      </c>
      <c r="S4122" s="2" t="s">
        <v>23036</v>
      </c>
      <c r="T4122" s="2" t="s">
        <v>23029</v>
      </c>
      <c r="U4122" s="2" t="s">
        <v>23037</v>
      </c>
      <c r="V4122" s="2" t="s">
        <v>23038</v>
      </c>
      <c r="W4122" s="1"/>
      <c r="X4122" s="2" t="s">
        <v>5779</v>
      </c>
      <c r="Y4122" s="2" t="s">
        <v>22900</v>
      </c>
      <c r="AA4122" t="str">
        <f t="shared" si="384"/>
        <v>2025-01</v>
      </c>
      <c r="AB4122" t="str">
        <f t="shared" si="385"/>
        <v>H1_2025</v>
      </c>
      <c r="AC4122">
        <f t="shared" si="386"/>
        <v>78069.3</v>
      </c>
      <c r="AD4122">
        <f t="shared" si="387"/>
        <v>13</v>
      </c>
      <c r="AE4122">
        <f t="shared" si="388"/>
        <v>21337.3</v>
      </c>
      <c r="AF4122" t="str">
        <f t="shared" si="389"/>
        <v>Paid</v>
      </c>
    </row>
    <row r="4123" spans="1:32" ht="17.25" thickBot="1" x14ac:dyDescent="0.35">
      <c r="A4123" s="2" t="s">
        <v>23039</v>
      </c>
      <c r="B4123" s="2" t="s">
        <v>27</v>
      </c>
      <c r="C4123" s="2" t="s">
        <v>28</v>
      </c>
      <c r="D4123" s="2" t="s">
        <v>97</v>
      </c>
      <c r="E4123" s="2" t="s">
        <v>22897</v>
      </c>
      <c r="F4123" s="2" t="s">
        <v>31</v>
      </c>
      <c r="G4123" s="2" t="s">
        <v>32</v>
      </c>
      <c r="H4123" s="1"/>
      <c r="I4123" s="2" t="s">
        <v>33</v>
      </c>
      <c r="J4123" s="2" t="s">
        <v>34</v>
      </c>
      <c r="K4123" s="2" t="s">
        <v>3140</v>
      </c>
      <c r="L4123" s="2" t="s">
        <v>3141</v>
      </c>
      <c r="M4123" s="2" t="s">
        <v>3131</v>
      </c>
      <c r="N4123" s="2" t="s">
        <v>38</v>
      </c>
      <c r="O4123" s="2" t="s">
        <v>490</v>
      </c>
      <c r="P4123" s="2" t="s">
        <v>23040</v>
      </c>
      <c r="Q4123" s="2" t="s">
        <v>23041</v>
      </c>
      <c r="R4123" s="2" t="s">
        <v>40</v>
      </c>
      <c r="S4123" s="2" t="s">
        <v>23042</v>
      </c>
      <c r="T4123" s="2" t="s">
        <v>2973</v>
      </c>
      <c r="U4123" s="2" t="s">
        <v>23043</v>
      </c>
      <c r="V4123" s="2" t="s">
        <v>23044</v>
      </c>
      <c r="W4123" s="1"/>
      <c r="X4123" s="2" t="s">
        <v>1472</v>
      </c>
      <c r="Y4123" s="2" t="s">
        <v>22900</v>
      </c>
      <c r="AA4123" t="str">
        <f t="shared" si="384"/>
        <v>2025-01</v>
      </c>
      <c r="AB4123" t="str">
        <f t="shared" si="385"/>
        <v>H1_2025</v>
      </c>
      <c r="AC4123">
        <f t="shared" si="386"/>
        <v>933850.27</v>
      </c>
      <c r="AD4123">
        <f t="shared" si="387"/>
        <v>57</v>
      </c>
      <c r="AE4123">
        <f t="shared" si="388"/>
        <v>224941.27</v>
      </c>
      <c r="AF4123" t="str">
        <f t="shared" si="389"/>
        <v>Paid</v>
      </c>
    </row>
    <row r="4124" spans="1:32" ht="27.75" thickBot="1" x14ac:dyDescent="0.35">
      <c r="A4124" s="2" t="s">
        <v>23045</v>
      </c>
      <c r="B4124" s="2" t="s">
        <v>27</v>
      </c>
      <c r="C4124" s="2" t="s">
        <v>28</v>
      </c>
      <c r="D4124" s="2" t="s">
        <v>97</v>
      </c>
      <c r="E4124" s="2" t="s">
        <v>22897</v>
      </c>
      <c r="F4124" s="2" t="s">
        <v>31</v>
      </c>
      <c r="G4124" s="2" t="s">
        <v>32</v>
      </c>
      <c r="H4124" s="1"/>
      <c r="I4124" s="2" t="s">
        <v>33</v>
      </c>
      <c r="J4124" s="2" t="s">
        <v>34</v>
      </c>
      <c r="K4124" s="2" t="s">
        <v>23046</v>
      </c>
      <c r="L4124" s="2" t="s">
        <v>23047</v>
      </c>
      <c r="M4124" s="2" t="s">
        <v>15681</v>
      </c>
      <c r="N4124" s="2" t="s">
        <v>38</v>
      </c>
      <c r="O4124" s="2" t="s">
        <v>471</v>
      </c>
      <c r="P4124" s="2" t="s">
        <v>23048</v>
      </c>
      <c r="Q4124" s="2" t="s">
        <v>23049</v>
      </c>
      <c r="R4124" s="2" t="s">
        <v>40</v>
      </c>
      <c r="S4124" s="2" t="s">
        <v>23050</v>
      </c>
      <c r="T4124" s="2" t="s">
        <v>23051</v>
      </c>
      <c r="U4124" s="2" t="s">
        <v>23052</v>
      </c>
      <c r="V4124" s="2" t="s">
        <v>23053</v>
      </c>
      <c r="W4124" s="1"/>
      <c r="X4124" s="2" t="s">
        <v>1052</v>
      </c>
      <c r="Y4124" s="2" t="s">
        <v>22900</v>
      </c>
      <c r="AA4124" t="str">
        <f t="shared" si="384"/>
        <v>2025-01</v>
      </c>
      <c r="AB4124" t="str">
        <f t="shared" si="385"/>
        <v>H1_2025</v>
      </c>
      <c r="AC4124">
        <f t="shared" si="386"/>
        <v>201455.43</v>
      </c>
      <c r="AD4124">
        <f t="shared" si="387"/>
        <v>55</v>
      </c>
      <c r="AE4124">
        <f t="shared" si="388"/>
        <v>50920.43</v>
      </c>
      <c r="AF4124" t="str">
        <f t="shared" si="389"/>
        <v>Paid</v>
      </c>
    </row>
    <row r="4125" spans="1:32" ht="17.25" thickBot="1" x14ac:dyDescent="0.35">
      <c r="A4125" s="2" t="s">
        <v>23054</v>
      </c>
      <c r="B4125" s="2" t="s">
        <v>27</v>
      </c>
      <c r="C4125" s="2" t="s">
        <v>28</v>
      </c>
      <c r="D4125" s="2" t="s">
        <v>97</v>
      </c>
      <c r="E4125" s="2" t="s">
        <v>22897</v>
      </c>
      <c r="F4125" s="2" t="s">
        <v>31</v>
      </c>
      <c r="G4125" s="2" t="s">
        <v>32</v>
      </c>
      <c r="H4125" s="1"/>
      <c r="I4125" s="2" t="s">
        <v>33</v>
      </c>
      <c r="J4125" s="2" t="s">
        <v>34</v>
      </c>
      <c r="K4125" s="2" t="s">
        <v>23055</v>
      </c>
      <c r="L4125" s="2" t="s">
        <v>23056</v>
      </c>
      <c r="M4125" s="2" t="s">
        <v>6820</v>
      </c>
      <c r="N4125" s="2" t="s">
        <v>38</v>
      </c>
      <c r="O4125" s="2" t="s">
        <v>252</v>
      </c>
      <c r="P4125" s="2" t="s">
        <v>6078</v>
      </c>
      <c r="Q4125" s="2" t="s">
        <v>23057</v>
      </c>
      <c r="R4125" s="2" t="s">
        <v>40</v>
      </c>
      <c r="S4125" s="2" t="s">
        <v>23058</v>
      </c>
      <c r="T4125" s="2" t="s">
        <v>23059</v>
      </c>
      <c r="U4125" s="2" t="s">
        <v>23060</v>
      </c>
      <c r="V4125" s="2" t="s">
        <v>23061</v>
      </c>
      <c r="W4125" s="1"/>
      <c r="X4125" s="2" t="s">
        <v>1299</v>
      </c>
      <c r="Y4125" s="2" t="s">
        <v>22900</v>
      </c>
      <c r="AA4125" t="str">
        <f t="shared" si="384"/>
        <v>2025-01</v>
      </c>
      <c r="AB4125" t="str">
        <f t="shared" si="385"/>
        <v>H1_2025</v>
      </c>
      <c r="AC4125">
        <f t="shared" si="386"/>
        <v>413870.94</v>
      </c>
      <c r="AD4125">
        <f t="shared" si="387"/>
        <v>32</v>
      </c>
      <c r="AE4125">
        <f t="shared" si="388"/>
        <v>76398.94</v>
      </c>
      <c r="AF4125" t="str">
        <f t="shared" si="389"/>
        <v>Paid</v>
      </c>
    </row>
    <row r="4126" spans="1:32" ht="17.25" thickBot="1" x14ac:dyDescent="0.35">
      <c r="A4126" s="2" t="s">
        <v>23062</v>
      </c>
      <c r="B4126" s="2" t="s">
        <v>27</v>
      </c>
      <c r="C4126" s="2" t="s">
        <v>28</v>
      </c>
      <c r="D4126" s="2" t="s">
        <v>97</v>
      </c>
      <c r="E4126" s="2" t="s">
        <v>22897</v>
      </c>
      <c r="F4126" s="2" t="s">
        <v>31</v>
      </c>
      <c r="G4126" s="2" t="s">
        <v>32</v>
      </c>
      <c r="H4126" s="1"/>
      <c r="I4126" s="2" t="s">
        <v>33</v>
      </c>
      <c r="J4126" s="2" t="s">
        <v>34</v>
      </c>
      <c r="K4126" s="2" t="s">
        <v>23063</v>
      </c>
      <c r="L4126" s="2" t="s">
        <v>23064</v>
      </c>
      <c r="M4126" s="2" t="s">
        <v>5102</v>
      </c>
      <c r="N4126" s="2" t="s">
        <v>38</v>
      </c>
      <c r="O4126" s="2" t="s">
        <v>1488</v>
      </c>
      <c r="P4126" s="2" t="s">
        <v>40</v>
      </c>
      <c r="Q4126" s="2" t="s">
        <v>40</v>
      </c>
      <c r="R4126" s="2" t="s">
        <v>40</v>
      </c>
      <c r="S4126" s="2" t="s">
        <v>40</v>
      </c>
      <c r="T4126" s="2" t="s">
        <v>40</v>
      </c>
      <c r="U4126" s="2" t="s">
        <v>40</v>
      </c>
      <c r="V4126" s="2" t="s">
        <v>40</v>
      </c>
      <c r="W4126" s="2" t="s">
        <v>41</v>
      </c>
      <c r="X4126" s="2" t="s">
        <v>42</v>
      </c>
      <c r="Y4126" s="2" t="s">
        <v>22900</v>
      </c>
      <c r="AA4126" t="str">
        <f t="shared" si="384"/>
        <v>2025-01</v>
      </c>
      <c r="AB4126" t="str">
        <f t="shared" si="385"/>
        <v>H1_2025</v>
      </c>
      <c r="AC4126">
        <f t="shared" si="386"/>
        <v>0</v>
      </c>
      <c r="AD4126">
        <f t="shared" si="387"/>
        <v>168</v>
      </c>
      <c r="AE4126">
        <f t="shared" si="388"/>
        <v>0</v>
      </c>
      <c r="AF4126" t="str">
        <f t="shared" si="389"/>
        <v>Sample</v>
      </c>
    </row>
    <row r="4127" spans="1:32" ht="17.25" thickBot="1" x14ac:dyDescent="0.35">
      <c r="A4127" s="2" t="s">
        <v>23065</v>
      </c>
      <c r="B4127" s="2" t="s">
        <v>27</v>
      </c>
      <c r="C4127" s="2" t="s">
        <v>28</v>
      </c>
      <c r="D4127" s="2" t="s">
        <v>23066</v>
      </c>
      <c r="E4127" s="2" t="s">
        <v>67</v>
      </c>
      <c r="F4127" s="2" t="s">
        <v>31</v>
      </c>
      <c r="G4127" s="2" t="s">
        <v>32</v>
      </c>
      <c r="H4127" s="1"/>
      <c r="I4127" s="2" t="s">
        <v>33</v>
      </c>
      <c r="J4127" s="2" t="s">
        <v>34</v>
      </c>
      <c r="K4127" s="2" t="s">
        <v>23067</v>
      </c>
      <c r="L4127" s="2" t="s">
        <v>23068</v>
      </c>
      <c r="M4127" s="2" t="s">
        <v>701</v>
      </c>
      <c r="N4127" s="2" t="s">
        <v>38</v>
      </c>
      <c r="O4127" s="2" t="s">
        <v>71</v>
      </c>
      <c r="P4127" s="2" t="s">
        <v>40</v>
      </c>
      <c r="Q4127" s="2" t="s">
        <v>40</v>
      </c>
      <c r="R4127" s="2" t="s">
        <v>40</v>
      </c>
      <c r="S4127" s="2" t="s">
        <v>40</v>
      </c>
      <c r="T4127" s="2" t="s">
        <v>40</v>
      </c>
      <c r="U4127" s="2" t="s">
        <v>40</v>
      </c>
      <c r="V4127" s="2" t="s">
        <v>40</v>
      </c>
      <c r="W4127" s="2" t="s">
        <v>41</v>
      </c>
      <c r="X4127" s="2" t="s">
        <v>42</v>
      </c>
      <c r="Y4127" s="2" t="s">
        <v>23069</v>
      </c>
      <c r="AA4127" t="str">
        <f t="shared" si="384"/>
        <v>2025-06</v>
      </c>
      <c r="AB4127" t="str">
        <f t="shared" si="385"/>
        <v>H1_2025</v>
      </c>
      <c r="AC4127">
        <f t="shared" si="386"/>
        <v>0</v>
      </c>
      <c r="AD4127">
        <f t="shared" si="387"/>
        <v>2000</v>
      </c>
      <c r="AE4127">
        <f t="shared" si="388"/>
        <v>0</v>
      </c>
      <c r="AF4127" t="str">
        <f t="shared" si="389"/>
        <v>Sample</v>
      </c>
    </row>
  </sheetData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FCE64-C008-470F-BB94-C2818EF9A256}">
  <dimension ref="A1:M132"/>
  <sheetViews>
    <sheetView topLeftCell="A45" workbookViewId="0"/>
  </sheetViews>
  <sheetFormatPr defaultRowHeight="16.5" outlineLevelRow="1" x14ac:dyDescent="0.3"/>
  <cols>
    <col min="1" max="1" width="25.375" customWidth="1"/>
    <col min="2" max="2" width="19.125" customWidth="1"/>
    <col min="3" max="3" width="15.875" customWidth="1"/>
    <col min="4" max="6" width="17.375" customWidth="1"/>
    <col min="7" max="7" width="10.375" customWidth="1"/>
    <col min="8" max="12" width="13" customWidth="1"/>
    <col min="13" max="13" width="15" customWidth="1"/>
  </cols>
  <sheetData>
    <row r="1" spans="1:5" ht="26.25" x14ac:dyDescent="0.3">
      <c r="A1" s="13" t="s">
        <v>23168</v>
      </c>
    </row>
    <row r="2" spans="1:5" x14ac:dyDescent="0.3">
      <c r="A2" s="14" t="s">
        <v>23169</v>
      </c>
    </row>
    <row r="4" spans="1:5" ht="17.25" x14ac:dyDescent="0.3">
      <c r="A4" s="7" t="s">
        <v>23170</v>
      </c>
    </row>
    <row r="5" spans="1:5" x14ac:dyDescent="0.3">
      <c r="A5" s="19" t="s">
        <v>23171</v>
      </c>
      <c r="B5" s="20" t="s">
        <v>23172</v>
      </c>
      <c r="C5" s="20" t="s">
        <v>23173</v>
      </c>
      <c r="D5" s="20" t="s">
        <v>23174</v>
      </c>
      <c r="E5" s="20" t="s">
        <v>23161</v>
      </c>
    </row>
    <row r="6" spans="1:5" x14ac:dyDescent="0.3">
      <c r="A6" s="23" t="s">
        <v>23175</v>
      </c>
      <c r="B6" s="15">
        <f>SUMIFS('{worksheet}'!$AC$3:$AC$4127,'{worksheet}'!$AB$3:$AB$4127,"H1_2025")</f>
        <v>4522811803.0200043</v>
      </c>
      <c r="C6" s="15">
        <f>SUMIFS('{worksheet}'!$AC$3:$AC$4127,'{worksheet}'!$AB$3:$AB$4127,"H1_2026")</f>
        <v>8152689812.0800037</v>
      </c>
      <c r="D6" s="15">
        <f>C6-B6</f>
        <v>3629878009.0599995</v>
      </c>
      <c r="E6" s="16">
        <f>IF(B6=0,"",C6/B6-1)</f>
        <v>0.80257109230948576</v>
      </c>
    </row>
    <row r="7" spans="1:5" x14ac:dyDescent="0.3">
      <c r="A7" s="24" t="s">
        <v>23176</v>
      </c>
      <c r="B7" s="17">
        <f>SUMIFS('{worksheet}'!$AE$3:$AE$4127,'{worksheet}'!$AB$3:$AB$4127,"H1_2025")</f>
        <v>904103718.00999939</v>
      </c>
      <c r="C7" s="17">
        <f>SUMIFS('{worksheet}'!$AE$3:$AE$4127,'{worksheet}'!$AB$3:$AB$4127,"H1_2026")</f>
        <v>1893496250.7999992</v>
      </c>
      <c r="D7" s="17">
        <f>C7-B7</f>
        <v>989392532.78999984</v>
      </c>
      <c r="E7" s="18">
        <f>IF(B7=0,"",C7/B7-1)</f>
        <v>1.0943352107518454</v>
      </c>
    </row>
    <row r="8" spans="1:5" x14ac:dyDescent="0.3">
      <c r="A8" s="24" t="s">
        <v>23177</v>
      </c>
      <c r="B8" s="18">
        <f>IF(B6=0,"",B7/B6)</f>
        <v>0.19989859348255543</v>
      </c>
      <c r="C8" s="18">
        <f>IF(C6=0,"",C7/C6)</f>
        <v>0.23225417554760491</v>
      </c>
      <c r="D8" s="18">
        <f>IF(OR(B8="",C8=""),"",C8-B8)</f>
        <v>3.2355582065049487E-2</v>
      </c>
      <c r="E8" s="18"/>
    </row>
    <row r="9" spans="1:5" x14ac:dyDescent="0.3">
      <c r="A9" s="24" t="s">
        <v>23178</v>
      </c>
      <c r="B9" s="17">
        <f>SUMIFS('{worksheet}'!$AD$3:$AD$4127,'{worksheet}'!$AB$3:$AB$4127,"H1_2025")</f>
        <v>939458</v>
      </c>
      <c r="C9" s="17">
        <f>SUMIFS('{worksheet}'!$AD$3:$AD$4127,'{worksheet}'!$AB$3:$AB$4127,"H1_2026")</f>
        <v>807407</v>
      </c>
      <c r="D9" s="17">
        <f>C9-B9</f>
        <v>-132051</v>
      </c>
      <c r="E9" s="18">
        <f>IF(B9=0,"",C9/B9-1)</f>
        <v>-0.14056083401280317</v>
      </c>
    </row>
    <row r="10" spans="1:5" x14ac:dyDescent="0.3">
      <c r="A10" s="24" t="s">
        <v>23179</v>
      </c>
      <c r="B10" s="17">
        <f>COUNTIFS('{worksheet}'!$AB$3:$AB$4127,"H1_2025")</f>
        <v>949</v>
      </c>
      <c r="C10" s="17">
        <f>COUNTIFS('{worksheet}'!$AB$3:$AB$4127,"H1_2026")</f>
        <v>1566</v>
      </c>
      <c r="D10" s="17">
        <f>C10-B10</f>
        <v>617</v>
      </c>
      <c r="E10" s="18">
        <f>IF(B10=0,"",C10/B10-1)</f>
        <v>0.65015806111696528</v>
      </c>
    </row>
    <row r="11" spans="1:5" x14ac:dyDescent="0.3">
      <c r="A11" s="24" t="s">
        <v>23180</v>
      </c>
      <c r="B11" s="17">
        <f>COUNTIF($D$26:$D$117,"&gt;0")</f>
        <v>59</v>
      </c>
      <c r="C11" s="17">
        <f>COUNTIF($E$26:$E$117,"&gt;0")</f>
        <v>63</v>
      </c>
      <c r="D11" s="17">
        <f>C11-B11</f>
        <v>4</v>
      </c>
      <c r="E11" s="18"/>
    </row>
    <row r="12" spans="1:5" x14ac:dyDescent="0.3">
      <c r="A12" s="25" t="s">
        <v>23181</v>
      </c>
      <c r="B12" s="21">
        <f>SUMIFS('{worksheet}'!$AD$3:$AD$4127,'{worksheet}'!$AB$3:$AB$4127,"H1_2025",'{worksheet}'!$AF$3:$AF$4127,"Sample")+SUMIFS('{worksheet}'!$AD$3:$AD$4127,'{worksheet}'!$AB$3:$AB$4127,"H1_2025",'{worksheet}'!$AF$3:$AF$4127,"FOC")</f>
        <v>36542</v>
      </c>
      <c r="C12" s="21">
        <f>SUMIFS('{worksheet}'!$AD$3:$AD$4127,'{worksheet}'!$AB$3:$AB$4127,"H1_2026",'{worksheet}'!$AF$3:$AF$4127,"Sample")+SUMIFS('{worksheet}'!$AD$3:$AD$4127,'{worksheet}'!$AB$3:$AB$4127,"H1_2026",'{worksheet}'!$AF$3:$AF$4127,"FOC")</f>
        <v>7223</v>
      </c>
      <c r="D12" s="21">
        <f>C12-B12</f>
        <v>-29319</v>
      </c>
      <c r="E12" s="22">
        <f>IF(B12=0,"",C12/B12-1)</f>
        <v>-0.80233703683432767</v>
      </c>
    </row>
    <row r="14" spans="1:5" ht="17.25" x14ac:dyDescent="0.3">
      <c r="A14" s="26" t="s">
        <v>23182</v>
      </c>
    </row>
    <row r="15" spans="1:5" x14ac:dyDescent="0.3">
      <c r="A15" s="11" t="s">
        <v>23070</v>
      </c>
      <c r="B15" s="12">
        <v>2025</v>
      </c>
      <c r="C15" s="12">
        <v>2026</v>
      </c>
      <c r="D15" s="12" t="s">
        <v>23161</v>
      </c>
    </row>
    <row r="16" spans="1:5" x14ac:dyDescent="0.3">
      <c r="A16" t="s">
        <v>23183</v>
      </c>
      <c r="B16" s="8">
        <f>SUMIFS('{worksheet}'!$AC$3:$AC$4127,'{worksheet}'!$AA$3:$AA$4127,"2025-"&amp;TEXT(ROW()-15,"00"))</f>
        <v>94130265.569999978</v>
      </c>
      <c r="C16" s="8">
        <f>SUMIFS('{worksheet}'!$AC$3:$AC$4127,'{worksheet}'!$AA$3:$AA$4127,"2026-"&amp;TEXT(ROW()-15,"00"))</f>
        <v>455554539.78999966</v>
      </c>
      <c r="D16" s="9">
        <f>IF(B16=0,"",C16/B16-1)</f>
        <v>3.839618129529514</v>
      </c>
    </row>
    <row r="17" spans="1:13" x14ac:dyDescent="0.3">
      <c r="A17" t="s">
        <v>23184</v>
      </c>
      <c r="B17" s="8">
        <f>SUMIFS('{worksheet}'!$AC$3:$AC$4127,'{worksheet}'!$AA$3:$AA$4127,"2025-"&amp;TEXT(ROW()-15,"00"))</f>
        <v>564774254.18999982</v>
      </c>
      <c r="C17" s="8">
        <f>SUMIFS('{worksheet}'!$AC$3:$AC$4127,'{worksheet}'!$AA$3:$AA$4127,"2026-"&amp;TEXT(ROW()-15,"00"))</f>
        <v>1158720597.7400002</v>
      </c>
      <c r="D17" s="9">
        <f t="shared" ref="D17:D21" si="0">IF(B17=0,"",C17/B17-1)</f>
        <v>1.0516526543899194</v>
      </c>
    </row>
    <row r="18" spans="1:13" x14ac:dyDescent="0.3">
      <c r="A18" t="s">
        <v>23185</v>
      </c>
      <c r="B18" s="8">
        <f>SUMIFS('{worksheet}'!$AC$3:$AC$4127,'{worksheet}'!$AA$3:$AA$4127,"2025-"&amp;TEXT(ROW()-15,"00"))</f>
        <v>1058785047.1900007</v>
      </c>
      <c r="C18" s="8">
        <f>SUMIFS('{worksheet}'!$AC$3:$AC$4127,'{worksheet}'!$AA$3:$AA$4127,"2026-"&amp;TEXT(ROW()-15,"00"))</f>
        <v>1915975118.2100003</v>
      </c>
      <c r="D18" s="9">
        <f t="shared" si="0"/>
        <v>0.80959782469063857</v>
      </c>
    </row>
    <row r="19" spans="1:13" x14ac:dyDescent="0.3">
      <c r="A19" t="s">
        <v>23186</v>
      </c>
      <c r="B19" s="8">
        <f>SUMIFS('{worksheet}'!$AC$3:$AC$4127,'{worksheet}'!$AA$3:$AA$4127,"2025-"&amp;TEXT(ROW()-15,"00"))</f>
        <v>1090351570.8900001</v>
      </c>
      <c r="C19" s="8">
        <f>SUMIFS('{worksheet}'!$AC$3:$AC$4127,'{worksheet}'!$AA$3:$AA$4127,"2026-"&amp;TEXT(ROW()-15,"00"))</f>
        <v>889053117.29999995</v>
      </c>
      <c r="D19" s="9">
        <f t="shared" si="0"/>
        <v>-0.18461793330172416</v>
      </c>
    </row>
    <row r="20" spans="1:13" x14ac:dyDescent="0.3">
      <c r="A20" t="s">
        <v>23187</v>
      </c>
      <c r="B20" s="8">
        <f>SUMIFS('{worksheet}'!$AC$3:$AC$4127,'{worksheet}'!$AA$3:$AA$4127,"2025-"&amp;TEXT(ROW()-15,"00"))</f>
        <v>882259131.27999985</v>
      </c>
      <c r="C20" s="8">
        <f>SUMIFS('{worksheet}'!$AC$3:$AC$4127,'{worksheet}'!$AA$3:$AA$4127,"2026-"&amp;TEXT(ROW()-15,"00"))</f>
        <v>1284503008.8300002</v>
      </c>
      <c r="D20" s="9">
        <f t="shared" si="0"/>
        <v>0.45592486752323724</v>
      </c>
    </row>
    <row r="21" spans="1:13" x14ac:dyDescent="0.3">
      <c r="A21" t="s">
        <v>23188</v>
      </c>
      <c r="B21" s="8">
        <f>SUMIFS('{worksheet}'!$AC$3:$AC$4127,'{worksheet}'!$AA$3:$AA$4127,"2025-"&amp;TEXT(ROW()-15,"00"))</f>
        <v>832511533.90000021</v>
      </c>
      <c r="C21" s="8">
        <f>SUMIFS('{worksheet}'!$AC$3:$AC$4127,'{worksheet}'!$AA$3:$AA$4127,"2026-"&amp;TEXT(ROW()-15,"00"))</f>
        <v>2448883430.2100015</v>
      </c>
      <c r="D21" s="9">
        <f t="shared" si="0"/>
        <v>1.9415609640120097</v>
      </c>
    </row>
    <row r="22" spans="1:13" x14ac:dyDescent="0.3">
      <c r="A22" s="27" t="s">
        <v>23189</v>
      </c>
      <c r="B22" s="28">
        <f>SUM(B16:B21)</f>
        <v>4522811803.0200005</v>
      </c>
      <c r="C22" s="28">
        <f>SUM(C16:C21)</f>
        <v>8152689812.0800018</v>
      </c>
      <c r="D22" s="29">
        <f>IF(B22=0,"",C22/B22-1)</f>
        <v>0.80257109230948687</v>
      </c>
    </row>
    <row r="24" spans="1:13" ht="17.25" x14ac:dyDescent="0.3">
      <c r="A24" s="7" t="s">
        <v>23154</v>
      </c>
    </row>
    <row r="25" spans="1:13" x14ac:dyDescent="0.3">
      <c r="A25" s="10" t="s">
        <v>23155</v>
      </c>
      <c r="B25" s="11" t="s">
        <v>23156</v>
      </c>
      <c r="C25" s="11" t="s">
        <v>23157</v>
      </c>
      <c r="D25" s="12" t="s">
        <v>23158</v>
      </c>
      <c r="E25" s="12" t="s">
        <v>23159</v>
      </c>
      <c r="F25" s="12" t="s">
        <v>23160</v>
      </c>
      <c r="G25" s="12" t="s">
        <v>23161</v>
      </c>
      <c r="H25" s="12" t="s">
        <v>23162</v>
      </c>
      <c r="I25" s="12" t="s">
        <v>23163</v>
      </c>
      <c r="J25" s="12" t="s">
        <v>23164</v>
      </c>
      <c r="K25" s="12" t="s">
        <v>23165</v>
      </c>
      <c r="L25" s="12" t="s">
        <v>23166</v>
      </c>
      <c r="M25" s="10" t="s">
        <v>23167</v>
      </c>
    </row>
    <row r="26" spans="1:13" x14ac:dyDescent="0.3">
      <c r="A26" s="31">
        <v>1</v>
      </c>
      <c r="B26" t="s">
        <v>23076</v>
      </c>
      <c r="C26" t="s">
        <v>701</v>
      </c>
      <c r="D26" s="8">
        <f>SUMIFS('{worksheet}'!$AC$3:$AC$4127,'{worksheet}'!$AB$3:$AB$4127,"H1_2025",'{worksheet}'!$M$3:$M$4127,$C26)</f>
        <v>2104813777.6500003</v>
      </c>
      <c r="E26" s="8">
        <f>SUMIFS('{worksheet}'!$AC$3:$AC$4127,'{worksheet}'!$AB$3:$AB$4127,"H1_2026",'{worksheet}'!$M$3:$M$4127,$C26)</f>
        <v>2270193372.6100001</v>
      </c>
      <c r="F26" s="8">
        <f>E26-D26</f>
        <v>165379594.9599998</v>
      </c>
      <c r="G26" s="9">
        <f>IF(D26=0,"",E26/D26-1)</f>
        <v>7.8572079257597904E-2</v>
      </c>
      <c r="H26" s="8">
        <f>SUMIFS('{worksheet}'!$AD$3:$AD$4127,'{worksheet}'!$AB$3:$AB$4127,"H1_2025",'{worksheet}'!$M$3:$M$4127,$C26)</f>
        <v>225916</v>
      </c>
      <c r="I26" s="8">
        <f>SUMIFS('{worksheet}'!$AD$3:$AD$4127,'{worksheet}'!$AB$3:$AB$4127,"H1_2026",'{worksheet}'!$M$3:$M$4127,$C26)</f>
        <v>233800</v>
      </c>
      <c r="J26" s="8">
        <f>SUMIFS('{worksheet}'!$AE$3:$AE$4127,'{worksheet}'!$AB$3:$AB$4127,"H1_2026",'{worksheet}'!$M$3:$M$4127,$C26)</f>
        <v>485898132.6000002</v>
      </c>
      <c r="K26" s="9">
        <f>IF(E26=0,"",J26/E26)</f>
        <v>0.21403380807220485</v>
      </c>
      <c r="L26" s="8">
        <f>SUMIFS('{worksheet}'!$AD$3:$AD$4127,'{worksheet}'!$AB$3:$AB$4127,"H1_2026",'{worksheet}'!$M$3:$M$4127,$C26,'{worksheet}'!$AF$3:$AF$4127,"Sample")+SUMIFS('{worksheet}'!$AD$3:$AD$4127,'{worksheet}'!$AB$3:$AB$4127,"H1_2026",'{worksheet}'!$M$3:$M$4127,$C26,'{worksheet}'!$AF$3:$AF$4127,"FOC")</f>
        <v>0</v>
      </c>
      <c r="M26" t="str">
        <f>IF(AND(D26=0,E26&gt;0),"New in H1'26",IF(AND(D26&gt;0,E26=0),"Exited",IF(G26="","",IF(G26&gt;=0.2,"Growth",IF(G26&lt;=-0.2,"Decline","Stable")))))</f>
        <v>Stable</v>
      </c>
    </row>
    <row r="27" spans="1:13" x14ac:dyDescent="0.3">
      <c r="A27" s="31">
        <v>2</v>
      </c>
      <c r="B27" t="s">
        <v>23077</v>
      </c>
      <c r="C27" t="s">
        <v>772</v>
      </c>
      <c r="D27" s="8">
        <f>SUMIFS('{worksheet}'!$AC$3:$AC$4127,'{worksheet}'!$AB$3:$AB$4127,"H1_2025",'{worksheet}'!$M$3:$M$4127,$C27)</f>
        <v>392622936.80000007</v>
      </c>
      <c r="E27" s="8">
        <f>SUMIFS('{worksheet}'!$AC$3:$AC$4127,'{worksheet}'!$AB$3:$AB$4127,"H1_2026",'{worksheet}'!$M$3:$M$4127,$C27)</f>
        <v>1981058783.7300003</v>
      </c>
      <c r="F27" s="8">
        <f>E27-D27</f>
        <v>1588435846.9300003</v>
      </c>
      <c r="G27" s="9">
        <f>IF(D27=0,"",E27/D27-1)</f>
        <v>4.0457031366436453</v>
      </c>
      <c r="H27" s="8">
        <f>SUMIFS('{worksheet}'!$AD$3:$AD$4127,'{worksheet}'!$AB$3:$AB$4127,"H1_2025",'{worksheet}'!$M$3:$M$4127,$C27)</f>
        <v>25040</v>
      </c>
      <c r="I27" s="8">
        <f>SUMIFS('{worksheet}'!$AD$3:$AD$4127,'{worksheet}'!$AB$3:$AB$4127,"H1_2026",'{worksheet}'!$M$3:$M$4127,$C27)</f>
        <v>136613</v>
      </c>
      <c r="J27" s="8">
        <f>SUMIFS('{worksheet}'!$AE$3:$AE$4127,'{worksheet}'!$AB$3:$AB$4127,"H1_2026",'{worksheet}'!$M$3:$M$4127,$C27)</f>
        <v>428278521.7299999</v>
      </c>
      <c r="K27" s="9">
        <f>IF(E27=0,"",J27/E27)</f>
        <v>0.21618668019715373</v>
      </c>
      <c r="L27" s="8">
        <f>SUMIFS('{worksheet}'!$AD$3:$AD$4127,'{worksheet}'!$AB$3:$AB$4127,"H1_2026",'{worksheet}'!$M$3:$M$4127,$C27,'{worksheet}'!$AF$3:$AF$4127,"Sample")+SUMIFS('{worksheet}'!$AD$3:$AD$4127,'{worksheet}'!$AB$3:$AB$4127,"H1_2026",'{worksheet}'!$M$3:$M$4127,$C27,'{worksheet}'!$AF$3:$AF$4127,"FOC")</f>
        <v>0</v>
      </c>
      <c r="M27" t="str">
        <f>IF(AND(D27=0,E27&gt;0),"New in H1'26",IF(AND(D27&gt;0,E27=0),"Exited",IF(G27="","",IF(G27&gt;=0.2,"Growth",IF(G27&lt;=-0.2,"Decline","Stable")))))</f>
        <v>Growth</v>
      </c>
    </row>
    <row r="28" spans="1:13" x14ac:dyDescent="0.3">
      <c r="A28" s="31">
        <v>3</v>
      </c>
      <c r="B28" t="s">
        <v>23078</v>
      </c>
      <c r="C28" t="s">
        <v>304</v>
      </c>
      <c r="D28" s="8">
        <f>SUMIFS('{worksheet}'!$AC$3:$AC$4127,'{worksheet}'!$AB$3:$AB$4127,"H1_2025",'{worksheet}'!$M$3:$M$4127,$C28)</f>
        <v>20961</v>
      </c>
      <c r="E28" s="8">
        <f>SUMIFS('{worksheet}'!$AC$3:$AC$4127,'{worksheet}'!$AB$3:$AB$4127,"H1_2026",'{worksheet}'!$M$3:$M$4127,$C28)</f>
        <v>1415591084.6399996</v>
      </c>
      <c r="F28" s="8">
        <f>E28-D28</f>
        <v>1415570123.6399996</v>
      </c>
      <c r="G28" s="9">
        <f>IF(D28=0,"",E28/D28-1)</f>
        <v>67533.52052096749</v>
      </c>
      <c r="H28" s="8">
        <f>SUMIFS('{worksheet}'!$AD$3:$AD$4127,'{worksheet}'!$AB$3:$AB$4127,"H1_2025",'{worksheet}'!$M$3:$M$4127,$C28)</f>
        <v>1513</v>
      </c>
      <c r="I28" s="8">
        <f>SUMIFS('{worksheet}'!$AD$3:$AD$4127,'{worksheet}'!$AB$3:$AB$4127,"H1_2026",'{worksheet}'!$M$3:$M$4127,$C28)</f>
        <v>121374</v>
      </c>
      <c r="J28" s="8">
        <f>SUMIFS('{worksheet}'!$AE$3:$AE$4127,'{worksheet}'!$AB$3:$AB$4127,"H1_2026",'{worksheet}'!$M$3:$M$4127,$C28)</f>
        <v>281235166.12</v>
      </c>
      <c r="K28" s="9">
        <f>IF(E28=0,"",J28/E28)</f>
        <v>0.19866977771445996</v>
      </c>
      <c r="L28" s="8">
        <f>SUMIFS('{worksheet}'!$AD$3:$AD$4127,'{worksheet}'!$AB$3:$AB$4127,"H1_2026",'{worksheet}'!$M$3:$M$4127,$C28,'{worksheet}'!$AF$3:$AF$4127,"Sample")+SUMIFS('{worksheet}'!$AD$3:$AD$4127,'{worksheet}'!$AB$3:$AB$4127,"H1_2026",'{worksheet}'!$M$3:$M$4127,$C28,'{worksheet}'!$AF$3:$AF$4127,"FOC")</f>
        <v>0</v>
      </c>
      <c r="M28" t="str">
        <f>IF(AND(D28=0,E28&gt;0),"New in H1'26",IF(AND(D28&gt;0,E28=0),"Exited",IF(G28="","",IF(G28&gt;=0.2,"Growth",IF(G28&lt;=-0.2,"Decline","Stable")))))</f>
        <v>Growth</v>
      </c>
    </row>
    <row r="29" spans="1:13" x14ac:dyDescent="0.3">
      <c r="A29" s="31">
        <v>4</v>
      </c>
      <c r="B29" t="s">
        <v>23079</v>
      </c>
      <c r="C29" t="s">
        <v>1887</v>
      </c>
      <c r="D29" s="8">
        <f>SUMIFS('{worksheet}'!$AC$3:$AC$4127,'{worksheet}'!$AB$3:$AB$4127,"H1_2025",'{worksheet}'!$M$3:$M$4127,$C29)</f>
        <v>97689803.800000012</v>
      </c>
      <c r="E29" s="8">
        <f>SUMIFS('{worksheet}'!$AC$3:$AC$4127,'{worksheet}'!$AB$3:$AB$4127,"H1_2026",'{worksheet}'!$M$3:$M$4127,$C29)</f>
        <v>436028264.33000016</v>
      </c>
      <c r="F29" s="8">
        <f>E29-D29</f>
        <v>338338460.53000015</v>
      </c>
      <c r="G29" s="9">
        <f>IF(D29=0,"",E29/D29-1)</f>
        <v>3.4633958444903756</v>
      </c>
      <c r="H29" s="8">
        <f>SUMIFS('{worksheet}'!$AD$3:$AD$4127,'{worksheet}'!$AB$3:$AB$4127,"H1_2025",'{worksheet}'!$M$3:$M$4127,$C29)</f>
        <v>14537</v>
      </c>
      <c r="I29" s="8">
        <f>SUMIFS('{worksheet}'!$AD$3:$AD$4127,'{worksheet}'!$AB$3:$AB$4127,"H1_2026",'{worksheet}'!$M$3:$M$4127,$C29)</f>
        <v>50859</v>
      </c>
      <c r="J29" s="8">
        <f>SUMIFS('{worksheet}'!$AE$3:$AE$4127,'{worksheet}'!$AB$3:$AB$4127,"H1_2026",'{worksheet}'!$M$3:$M$4127,$C29)</f>
        <v>113734428.69</v>
      </c>
      <c r="K29" s="9">
        <f>IF(E29=0,"",J29/E29)</f>
        <v>0.26084187194782893</v>
      </c>
      <c r="L29" s="8">
        <f>SUMIFS('{worksheet}'!$AD$3:$AD$4127,'{worksheet}'!$AB$3:$AB$4127,"H1_2026",'{worksheet}'!$M$3:$M$4127,$C29,'{worksheet}'!$AF$3:$AF$4127,"Sample")+SUMIFS('{worksheet}'!$AD$3:$AD$4127,'{worksheet}'!$AB$3:$AB$4127,"H1_2026",'{worksheet}'!$M$3:$M$4127,$C29,'{worksheet}'!$AF$3:$AF$4127,"FOC")</f>
        <v>0</v>
      </c>
      <c r="M29" t="str">
        <f>IF(AND(D29=0,E29&gt;0),"New in H1'26",IF(AND(D29&gt;0,E29=0),"Exited",IF(G29="","",IF(G29&gt;=0.2,"Growth",IF(G29&lt;=-0.2,"Decline","Stable")))))</f>
        <v>Growth</v>
      </c>
    </row>
    <row r="30" spans="1:13" x14ac:dyDescent="0.3">
      <c r="A30" s="31">
        <v>5</v>
      </c>
      <c r="B30" t="s">
        <v>23080</v>
      </c>
      <c r="C30" t="s">
        <v>84</v>
      </c>
      <c r="D30" s="8">
        <f>SUMIFS('{worksheet}'!$AC$3:$AC$4127,'{worksheet}'!$AB$3:$AB$4127,"H1_2025",'{worksheet}'!$M$3:$M$4127,$C30)</f>
        <v>48847212.380000003</v>
      </c>
      <c r="E30" s="8">
        <f>SUMIFS('{worksheet}'!$AC$3:$AC$4127,'{worksheet}'!$AB$3:$AB$4127,"H1_2026",'{worksheet}'!$M$3:$M$4127,$C30)</f>
        <v>316037137.59000003</v>
      </c>
      <c r="F30" s="8">
        <f>E30-D30</f>
        <v>267189925.21000004</v>
      </c>
      <c r="G30" s="9">
        <f>IF(D30=0,"",E30/D30-1)</f>
        <v>5.4699114277276184</v>
      </c>
      <c r="H30" s="8">
        <f>SUMIFS('{worksheet}'!$AD$3:$AD$4127,'{worksheet}'!$AB$3:$AB$4127,"H1_2025",'{worksheet}'!$M$3:$M$4127,$C30)</f>
        <v>15098</v>
      </c>
      <c r="I30" s="8">
        <f>SUMIFS('{worksheet}'!$AD$3:$AD$4127,'{worksheet}'!$AB$3:$AB$4127,"H1_2026",'{worksheet}'!$M$3:$M$4127,$C30)</f>
        <v>42384</v>
      </c>
      <c r="J30" s="8">
        <f>SUMIFS('{worksheet}'!$AE$3:$AE$4127,'{worksheet}'!$AB$3:$AB$4127,"H1_2026",'{worksheet}'!$M$3:$M$4127,$C30)</f>
        <v>76256087.589999959</v>
      </c>
      <c r="K30" s="9">
        <f>IF(E30=0,"",J30/E30)</f>
        <v>0.24128837570009948</v>
      </c>
      <c r="L30" s="8">
        <f>SUMIFS('{worksheet}'!$AD$3:$AD$4127,'{worksheet}'!$AB$3:$AB$4127,"H1_2026",'{worksheet}'!$M$3:$M$4127,$C30,'{worksheet}'!$AF$3:$AF$4127,"Sample")+SUMIFS('{worksheet}'!$AD$3:$AD$4127,'{worksheet}'!$AB$3:$AB$4127,"H1_2026",'{worksheet}'!$M$3:$M$4127,$C30,'{worksheet}'!$AF$3:$AF$4127,"FOC")</f>
        <v>0</v>
      </c>
      <c r="M30" t="str">
        <f>IF(AND(D30=0,E30&gt;0),"New in H1'26",IF(AND(D30&gt;0,E30=0),"Exited",IF(G30="","",IF(G30&gt;=0.2,"Growth",IF(G30&lt;=-0.2,"Decline","Stable")))))</f>
        <v>Growth</v>
      </c>
    </row>
    <row r="31" spans="1:13" x14ac:dyDescent="0.3">
      <c r="A31" s="31">
        <v>6</v>
      </c>
      <c r="B31" t="s">
        <v>23081</v>
      </c>
      <c r="C31" t="s">
        <v>6146</v>
      </c>
      <c r="D31" s="8">
        <f>SUMIFS('{worksheet}'!$AC$3:$AC$4127,'{worksheet}'!$AB$3:$AB$4127,"H1_2025",'{worksheet}'!$M$3:$M$4127,$C31)</f>
        <v>74354178.499999985</v>
      </c>
      <c r="E31" s="8">
        <f>SUMIFS('{worksheet}'!$AC$3:$AC$4127,'{worksheet}'!$AB$3:$AB$4127,"H1_2026",'{worksheet}'!$M$3:$M$4127,$C31)</f>
        <v>282168784.41000003</v>
      </c>
      <c r="F31" s="8">
        <f>E31-D31</f>
        <v>207814605.91000003</v>
      </c>
      <c r="G31" s="9">
        <f>IF(D31=0,"",E31/D31-1)</f>
        <v>2.7949284102439527</v>
      </c>
      <c r="H31" s="8">
        <f>SUMIFS('{worksheet}'!$AD$3:$AD$4127,'{worksheet}'!$AB$3:$AB$4127,"H1_2025",'{worksheet}'!$M$3:$M$4127,$C31)</f>
        <v>8842</v>
      </c>
      <c r="I31" s="8">
        <f>SUMIFS('{worksheet}'!$AD$3:$AD$4127,'{worksheet}'!$AB$3:$AB$4127,"H1_2026",'{worksheet}'!$M$3:$M$4127,$C31)</f>
        <v>29064</v>
      </c>
      <c r="J31" s="8">
        <f>SUMIFS('{worksheet}'!$AE$3:$AE$4127,'{worksheet}'!$AB$3:$AB$4127,"H1_2026",'{worksheet}'!$M$3:$M$4127,$C31)</f>
        <v>97800168.769999996</v>
      </c>
      <c r="K31" s="9">
        <f>IF(E31=0,"",J31/E31)</f>
        <v>0.34660165891310396</v>
      </c>
      <c r="L31" s="8">
        <f>SUMIFS('{worksheet}'!$AD$3:$AD$4127,'{worksheet}'!$AB$3:$AB$4127,"H1_2026",'{worksheet}'!$M$3:$M$4127,$C31,'{worksheet}'!$AF$3:$AF$4127,"Sample")+SUMIFS('{worksheet}'!$AD$3:$AD$4127,'{worksheet}'!$AB$3:$AB$4127,"H1_2026",'{worksheet}'!$M$3:$M$4127,$C31,'{worksheet}'!$AF$3:$AF$4127,"FOC")</f>
        <v>0</v>
      </c>
      <c r="M31" t="str">
        <f>IF(AND(D31=0,E31&gt;0),"New in H1'26",IF(AND(D31&gt;0,E31=0),"Exited",IF(G31="","",IF(G31&gt;=0.2,"Growth",IF(G31&lt;=-0.2,"Decline","Stable")))))</f>
        <v>Growth</v>
      </c>
    </row>
    <row r="32" spans="1:13" x14ac:dyDescent="0.3">
      <c r="A32" s="31">
        <v>7</v>
      </c>
      <c r="B32" t="s">
        <v>23082</v>
      </c>
      <c r="C32" t="s">
        <v>37</v>
      </c>
      <c r="D32" s="8">
        <f>SUMIFS('{worksheet}'!$AC$3:$AC$4127,'{worksheet}'!$AB$3:$AB$4127,"H1_2025",'{worksheet}'!$M$3:$M$4127,$C32)</f>
        <v>276576947.2299999</v>
      </c>
      <c r="E32" s="8">
        <f>SUMIFS('{worksheet}'!$AC$3:$AC$4127,'{worksheet}'!$AB$3:$AB$4127,"H1_2026",'{worksheet}'!$M$3:$M$4127,$C32)</f>
        <v>272130838.95999998</v>
      </c>
      <c r="F32" s="8">
        <f>E32-D32</f>
        <v>-4446108.2699999213</v>
      </c>
      <c r="G32" s="9">
        <f>IF(D32=0,"",E32/D32-1)</f>
        <v>-1.607548392781466E-2</v>
      </c>
      <c r="H32" s="8">
        <f>SUMIFS('{worksheet}'!$AD$3:$AD$4127,'{worksheet}'!$AB$3:$AB$4127,"H1_2025",'{worksheet}'!$M$3:$M$4127,$C32)</f>
        <v>178311</v>
      </c>
      <c r="I32" s="8">
        <f>SUMIFS('{worksheet}'!$AD$3:$AD$4127,'{worksheet}'!$AB$3:$AB$4127,"H1_2026",'{worksheet}'!$M$3:$M$4127,$C32)</f>
        <v>38318</v>
      </c>
      <c r="J32" s="8">
        <f>SUMIFS('{worksheet}'!$AE$3:$AE$4127,'{worksheet}'!$AB$3:$AB$4127,"H1_2026",'{worksheet}'!$M$3:$M$4127,$C32)</f>
        <v>52983862.309999987</v>
      </c>
      <c r="K32" s="9">
        <f>IF(E32=0,"",J32/E32)</f>
        <v>0.19469995577306837</v>
      </c>
      <c r="L32" s="8">
        <f>SUMIFS('{worksheet}'!$AD$3:$AD$4127,'{worksheet}'!$AB$3:$AB$4127,"H1_2026",'{worksheet}'!$M$3:$M$4127,$C32,'{worksheet}'!$AF$3:$AF$4127,"Sample")+SUMIFS('{worksheet}'!$AD$3:$AD$4127,'{worksheet}'!$AB$3:$AB$4127,"H1_2026",'{worksheet}'!$M$3:$M$4127,$C32,'{worksheet}'!$AF$3:$AF$4127,"FOC")</f>
        <v>3750</v>
      </c>
      <c r="M32" t="str">
        <f>IF(AND(D32=0,E32&gt;0),"New in H1'26",IF(AND(D32&gt;0,E32=0),"Exited",IF(G32="","",IF(G32&gt;=0.2,"Growth",IF(G32&lt;=-0.2,"Decline","Stable")))))</f>
        <v>Stable</v>
      </c>
    </row>
    <row r="33" spans="1:13" x14ac:dyDescent="0.3">
      <c r="A33" s="31">
        <v>8</v>
      </c>
      <c r="B33" t="s">
        <v>23083</v>
      </c>
      <c r="C33" t="s">
        <v>634</v>
      </c>
      <c r="D33" s="8">
        <f>SUMIFS('{worksheet}'!$AC$3:$AC$4127,'{worksheet}'!$AB$3:$AB$4127,"H1_2025",'{worksheet}'!$M$3:$M$4127,$C33)</f>
        <v>63799921.480000004</v>
      </c>
      <c r="E33" s="8">
        <f>SUMIFS('{worksheet}'!$AC$3:$AC$4127,'{worksheet}'!$AB$3:$AB$4127,"H1_2026",'{worksheet}'!$M$3:$M$4127,$C33)</f>
        <v>251654437.13000003</v>
      </c>
      <c r="F33" s="8">
        <f>E33-D33</f>
        <v>187854515.65000004</v>
      </c>
      <c r="G33" s="9">
        <f>IF(D33=0,"",E33/D33-1)</f>
        <v>2.9444317687583461</v>
      </c>
      <c r="H33" s="8">
        <f>SUMIFS('{worksheet}'!$AD$3:$AD$4127,'{worksheet}'!$AB$3:$AB$4127,"H1_2025",'{worksheet}'!$M$3:$M$4127,$C33)</f>
        <v>5558</v>
      </c>
      <c r="I33" s="8">
        <f>SUMIFS('{worksheet}'!$AD$3:$AD$4127,'{worksheet}'!$AB$3:$AB$4127,"H1_2026",'{worksheet}'!$M$3:$M$4127,$C33)</f>
        <v>21824</v>
      </c>
      <c r="J33" s="8">
        <f>SUMIFS('{worksheet}'!$AE$3:$AE$4127,'{worksheet}'!$AB$3:$AB$4127,"H1_2026",'{worksheet}'!$M$3:$M$4127,$C33)</f>
        <v>113031757.13</v>
      </c>
      <c r="K33" s="9">
        <f>IF(E33=0,"",J33/E33)</f>
        <v>0.4491546360917526</v>
      </c>
      <c r="L33" s="8">
        <f>SUMIFS('{worksheet}'!$AD$3:$AD$4127,'{worksheet}'!$AB$3:$AB$4127,"H1_2026",'{worksheet}'!$M$3:$M$4127,$C33,'{worksheet}'!$AF$3:$AF$4127,"Sample")+SUMIFS('{worksheet}'!$AD$3:$AD$4127,'{worksheet}'!$AB$3:$AB$4127,"H1_2026",'{worksheet}'!$M$3:$M$4127,$C33,'{worksheet}'!$AF$3:$AF$4127,"FOC")</f>
        <v>0</v>
      </c>
      <c r="M33" t="str">
        <f>IF(AND(D33=0,E33&gt;0),"New in H1'26",IF(AND(D33&gt;0,E33=0),"Exited",IF(G33="","",IF(G33&gt;=0.2,"Growth",IF(G33&lt;=-0.2,"Decline","Stable")))))</f>
        <v>Growth</v>
      </c>
    </row>
    <row r="34" spans="1:13" x14ac:dyDescent="0.3">
      <c r="A34" s="31">
        <v>9</v>
      </c>
      <c r="B34" t="s">
        <v>23084</v>
      </c>
      <c r="C34" t="s">
        <v>263</v>
      </c>
      <c r="D34" s="8">
        <f>SUMIFS('{worksheet}'!$AC$3:$AC$4127,'{worksheet}'!$AB$3:$AB$4127,"H1_2025",'{worksheet}'!$M$3:$M$4127,$C34)</f>
        <v>0</v>
      </c>
      <c r="E34" s="8">
        <f>SUMIFS('{worksheet}'!$AC$3:$AC$4127,'{worksheet}'!$AB$3:$AB$4127,"H1_2026",'{worksheet}'!$M$3:$M$4127,$C34)</f>
        <v>159601451.77999997</v>
      </c>
      <c r="F34" s="8">
        <f>E34-D34</f>
        <v>159601451.77999997</v>
      </c>
      <c r="G34" s="9" t="str">
        <f>IF(D34=0,"",E34/D34-1)</f>
        <v/>
      </c>
      <c r="H34" s="8">
        <f>SUMIFS('{worksheet}'!$AD$3:$AD$4127,'{worksheet}'!$AB$3:$AB$4127,"H1_2025",'{worksheet}'!$M$3:$M$4127,$C34)</f>
        <v>0</v>
      </c>
      <c r="I34" s="8">
        <f>SUMIFS('{worksheet}'!$AD$3:$AD$4127,'{worksheet}'!$AB$3:$AB$4127,"H1_2026",'{worksheet}'!$M$3:$M$4127,$C34)</f>
        <v>14702</v>
      </c>
      <c r="J34" s="8">
        <f>SUMIFS('{worksheet}'!$AE$3:$AE$4127,'{worksheet}'!$AB$3:$AB$4127,"H1_2026",'{worksheet}'!$M$3:$M$4127,$C34)</f>
        <v>53993665.779999994</v>
      </c>
      <c r="K34" s="9">
        <f>IF(E34=0,"",J34/E34)</f>
        <v>0.3383030992376353</v>
      </c>
      <c r="L34" s="8">
        <f>SUMIFS('{worksheet}'!$AD$3:$AD$4127,'{worksheet}'!$AB$3:$AB$4127,"H1_2026",'{worksheet}'!$M$3:$M$4127,$C34,'{worksheet}'!$AF$3:$AF$4127,"Sample")+SUMIFS('{worksheet}'!$AD$3:$AD$4127,'{worksheet}'!$AB$3:$AB$4127,"H1_2026",'{worksheet}'!$M$3:$M$4127,$C34,'{worksheet}'!$AF$3:$AF$4127,"FOC")</f>
        <v>0</v>
      </c>
      <c r="M34" t="str">
        <f>IF(AND(D34=0,E34&gt;0),"New in H1'26",IF(AND(D34&gt;0,E34=0),"Exited",IF(G34="","",IF(G34&gt;=0.2,"Growth",IF(G34&lt;=-0.2,"Decline","Stable")))))</f>
        <v>New in H1'26</v>
      </c>
    </row>
    <row r="35" spans="1:13" x14ac:dyDescent="0.3">
      <c r="A35" s="31">
        <v>10</v>
      </c>
      <c r="B35" t="s">
        <v>23085</v>
      </c>
      <c r="C35" t="s">
        <v>102</v>
      </c>
      <c r="D35" s="8">
        <f>SUMIFS('{worksheet}'!$AC$3:$AC$4127,'{worksheet}'!$AB$3:$AB$4127,"H1_2025",'{worksheet}'!$M$3:$M$4127,$C35)</f>
        <v>0</v>
      </c>
      <c r="E35" s="8">
        <f>SUMIFS('{worksheet}'!$AC$3:$AC$4127,'{worksheet}'!$AB$3:$AB$4127,"H1_2026",'{worksheet}'!$M$3:$M$4127,$C35)</f>
        <v>136670443.43000001</v>
      </c>
      <c r="F35" s="8">
        <f>E35-D35</f>
        <v>136670443.43000001</v>
      </c>
      <c r="G35" s="9" t="str">
        <f>IF(D35=0,"",E35/D35-1)</f>
        <v/>
      </c>
      <c r="H35" s="8">
        <f>SUMIFS('{worksheet}'!$AD$3:$AD$4127,'{worksheet}'!$AB$3:$AB$4127,"H1_2025",'{worksheet}'!$M$3:$M$4127,$C35)</f>
        <v>0</v>
      </c>
      <c r="I35" s="8">
        <f>SUMIFS('{worksheet}'!$AD$3:$AD$4127,'{worksheet}'!$AB$3:$AB$4127,"H1_2026",'{worksheet}'!$M$3:$M$4127,$C35)</f>
        <v>5628</v>
      </c>
      <c r="J35" s="8">
        <f>SUMIFS('{worksheet}'!$AE$3:$AE$4127,'{worksheet}'!$AB$3:$AB$4127,"H1_2026",'{worksheet}'!$M$3:$M$4127,$C35)</f>
        <v>43924343.429999992</v>
      </c>
      <c r="K35" s="9">
        <f>IF(E35=0,"",J35/E35)</f>
        <v>0.32138875332249289</v>
      </c>
      <c r="L35" s="8">
        <f>SUMIFS('{worksheet}'!$AD$3:$AD$4127,'{worksheet}'!$AB$3:$AB$4127,"H1_2026",'{worksheet}'!$M$3:$M$4127,$C35,'{worksheet}'!$AF$3:$AF$4127,"Sample")+SUMIFS('{worksheet}'!$AD$3:$AD$4127,'{worksheet}'!$AB$3:$AB$4127,"H1_2026",'{worksheet}'!$M$3:$M$4127,$C35,'{worksheet}'!$AF$3:$AF$4127,"FOC")</f>
        <v>588</v>
      </c>
      <c r="M35" t="str">
        <f>IF(AND(D35=0,E35&gt;0),"New in H1'26",IF(AND(D35&gt;0,E35=0),"Exited",IF(G35="","",IF(G35&gt;=0.2,"Growth",IF(G35&lt;=-0.2,"Decline","Stable")))))</f>
        <v>New in H1'26</v>
      </c>
    </row>
    <row r="36" spans="1:13" x14ac:dyDescent="0.3">
      <c r="A36" s="31">
        <v>11</v>
      </c>
      <c r="B36" t="s">
        <v>23086</v>
      </c>
      <c r="C36" t="s">
        <v>70</v>
      </c>
      <c r="D36" s="8">
        <f>SUMIFS('{worksheet}'!$AC$3:$AC$4127,'{worksheet}'!$AB$3:$AB$4127,"H1_2025",'{worksheet}'!$M$3:$M$4127,$C36)</f>
        <v>66711998.110000007</v>
      </c>
      <c r="E36" s="8">
        <f>SUMIFS('{worksheet}'!$AC$3:$AC$4127,'{worksheet}'!$AB$3:$AB$4127,"H1_2026",'{worksheet}'!$M$3:$M$4127,$C36)</f>
        <v>80111800.139999971</v>
      </c>
      <c r="F36" s="8">
        <f>E36-D36</f>
        <v>13399802.029999964</v>
      </c>
      <c r="G36" s="9">
        <f>IF(D36=0,"",E36/D36-1)</f>
        <v>0.20086045103768768</v>
      </c>
      <c r="H36" s="8">
        <f>SUMIFS('{worksheet}'!$AD$3:$AD$4127,'{worksheet}'!$AB$3:$AB$4127,"H1_2025",'{worksheet}'!$M$3:$M$4127,$C36)</f>
        <v>18708</v>
      </c>
      <c r="I36" s="8">
        <f>SUMIFS('{worksheet}'!$AD$3:$AD$4127,'{worksheet}'!$AB$3:$AB$4127,"H1_2026",'{worksheet}'!$M$3:$M$4127,$C36)</f>
        <v>10915</v>
      </c>
      <c r="J36" s="8">
        <f>SUMIFS('{worksheet}'!$AE$3:$AE$4127,'{worksheet}'!$AB$3:$AB$4127,"H1_2026",'{worksheet}'!$M$3:$M$4127,$C36)</f>
        <v>20259207.669999994</v>
      </c>
      <c r="K36" s="9">
        <f>IF(E36=0,"",J36/E36)</f>
        <v>0.25288668628836036</v>
      </c>
      <c r="L36" s="8">
        <f>SUMIFS('{worksheet}'!$AD$3:$AD$4127,'{worksheet}'!$AB$3:$AB$4127,"H1_2026",'{worksheet}'!$M$3:$M$4127,$C36,'{worksheet}'!$AF$3:$AF$4127,"Sample")+SUMIFS('{worksheet}'!$AD$3:$AD$4127,'{worksheet}'!$AB$3:$AB$4127,"H1_2026",'{worksheet}'!$M$3:$M$4127,$C36,'{worksheet}'!$AF$3:$AF$4127,"FOC")</f>
        <v>0</v>
      </c>
      <c r="M36" t="str">
        <f>IF(AND(D36=0,E36&gt;0),"New in H1'26",IF(AND(D36&gt;0,E36=0),"Exited",IF(G36="","",IF(G36&gt;=0.2,"Growth",IF(G36&lt;=-0.2,"Decline","Stable")))))</f>
        <v>Growth</v>
      </c>
    </row>
    <row r="37" spans="1:13" x14ac:dyDescent="0.3">
      <c r="A37" s="31">
        <v>12</v>
      </c>
      <c r="B37" t="s">
        <v>23087</v>
      </c>
      <c r="C37" t="s">
        <v>7387</v>
      </c>
      <c r="D37" s="8">
        <f>SUMIFS('{worksheet}'!$AC$3:$AC$4127,'{worksheet}'!$AB$3:$AB$4127,"H1_2025",'{worksheet}'!$M$3:$M$4127,$C37)</f>
        <v>756122248.27999997</v>
      </c>
      <c r="E37" s="8">
        <f>SUMIFS('{worksheet}'!$AC$3:$AC$4127,'{worksheet}'!$AB$3:$AB$4127,"H1_2026",'{worksheet}'!$M$3:$M$4127,$C37)</f>
        <v>76675686.200000003</v>
      </c>
      <c r="F37" s="8">
        <f>E37-D37</f>
        <v>-679446562.07999992</v>
      </c>
      <c r="G37" s="9">
        <f>IF(D37=0,"",E37/D37-1)</f>
        <v>-0.89859353249501761</v>
      </c>
      <c r="H37" s="8">
        <f>SUMIFS('{worksheet}'!$AD$3:$AD$4127,'{worksheet}'!$AB$3:$AB$4127,"H1_2025",'{worksheet}'!$M$3:$M$4127,$C37)</f>
        <v>57560</v>
      </c>
      <c r="I37" s="8">
        <f>SUMIFS('{worksheet}'!$AD$3:$AD$4127,'{worksheet}'!$AB$3:$AB$4127,"H1_2026",'{worksheet}'!$M$3:$M$4127,$C37)</f>
        <v>6000</v>
      </c>
      <c r="J37" s="8">
        <f>SUMIFS('{worksheet}'!$AE$3:$AE$4127,'{worksheet}'!$AB$3:$AB$4127,"H1_2026",'{worksheet}'!$M$3:$M$4127,$C37)</f>
        <v>18429186.199999999</v>
      </c>
      <c r="K37" s="9">
        <f>IF(E37=0,"",J37/E37)</f>
        <v>0.24035241304433214</v>
      </c>
      <c r="L37" s="8">
        <f>SUMIFS('{worksheet}'!$AD$3:$AD$4127,'{worksheet}'!$AB$3:$AB$4127,"H1_2026",'{worksheet}'!$M$3:$M$4127,$C37,'{worksheet}'!$AF$3:$AF$4127,"Sample")+SUMIFS('{worksheet}'!$AD$3:$AD$4127,'{worksheet}'!$AB$3:$AB$4127,"H1_2026",'{worksheet}'!$M$3:$M$4127,$C37,'{worksheet}'!$AF$3:$AF$4127,"FOC")</f>
        <v>0</v>
      </c>
      <c r="M37" t="str">
        <f>IF(AND(D37=0,E37&gt;0),"New in H1'26",IF(AND(D37&gt;0,E37=0),"Exited",IF(G37="","",IF(G37&gt;=0.2,"Growth",IF(G37&lt;=-0.2,"Decline","Stable")))))</f>
        <v>Decline</v>
      </c>
    </row>
    <row r="38" spans="1:13" x14ac:dyDescent="0.3">
      <c r="A38" s="31">
        <v>13</v>
      </c>
      <c r="B38" t="s">
        <v>23088</v>
      </c>
      <c r="C38" t="s">
        <v>2140</v>
      </c>
      <c r="D38" s="8">
        <f>SUMIFS('{worksheet}'!$AC$3:$AC$4127,'{worksheet}'!$AB$3:$AB$4127,"H1_2025",'{worksheet}'!$M$3:$M$4127,$C38)</f>
        <v>0</v>
      </c>
      <c r="E38" s="8">
        <f>SUMIFS('{worksheet}'!$AC$3:$AC$4127,'{worksheet}'!$AB$3:$AB$4127,"H1_2026",'{worksheet}'!$M$3:$M$4127,$C38)</f>
        <v>64554916.150000013</v>
      </c>
      <c r="F38" s="8">
        <f>E38-D38</f>
        <v>64554916.150000013</v>
      </c>
      <c r="G38" s="9" t="str">
        <f>IF(D38=0,"",E38/D38-1)</f>
        <v/>
      </c>
      <c r="H38" s="8">
        <f>SUMIFS('{worksheet}'!$AD$3:$AD$4127,'{worksheet}'!$AB$3:$AB$4127,"H1_2025",'{worksheet}'!$M$3:$M$4127,$C38)</f>
        <v>71</v>
      </c>
      <c r="I38" s="8">
        <f>SUMIFS('{worksheet}'!$AD$3:$AD$4127,'{worksheet}'!$AB$3:$AB$4127,"H1_2026",'{worksheet}'!$M$3:$M$4127,$C38)</f>
        <v>7688</v>
      </c>
      <c r="J38" s="8">
        <f>SUMIFS('{worksheet}'!$AE$3:$AE$4127,'{worksheet}'!$AB$3:$AB$4127,"H1_2026",'{worksheet}'!$M$3:$M$4127,$C38)</f>
        <v>18532279.419999994</v>
      </c>
      <c r="K38" s="9">
        <f>IF(E38=0,"",J38/E38)</f>
        <v>0.28707773977954415</v>
      </c>
      <c r="L38" s="8">
        <f>SUMIFS('{worksheet}'!$AD$3:$AD$4127,'{worksheet}'!$AB$3:$AB$4127,"H1_2026",'{worksheet}'!$M$3:$M$4127,$C38,'{worksheet}'!$AF$3:$AF$4127,"Sample")+SUMIFS('{worksheet}'!$AD$3:$AD$4127,'{worksheet}'!$AB$3:$AB$4127,"H1_2026",'{worksheet}'!$M$3:$M$4127,$C38,'{worksheet}'!$AF$3:$AF$4127,"FOC")</f>
        <v>0</v>
      </c>
      <c r="M38" t="str">
        <f>IF(AND(D38=0,E38&gt;0),"New in H1'26",IF(AND(D38&gt;0,E38=0),"Exited",IF(G38="","",IF(G38&gt;=0.2,"Growth",IF(G38&lt;=-0.2,"Decline","Stable")))))</f>
        <v>New in H1'26</v>
      </c>
    </row>
    <row r="39" spans="1:13" x14ac:dyDescent="0.3">
      <c r="A39" s="31">
        <v>14</v>
      </c>
      <c r="B39" t="s">
        <v>23089</v>
      </c>
      <c r="C39" t="s">
        <v>2270</v>
      </c>
      <c r="D39" s="8">
        <f>SUMIFS('{worksheet}'!$AC$3:$AC$4127,'{worksheet}'!$AB$3:$AB$4127,"H1_2025",'{worksheet}'!$M$3:$M$4127,$C39)</f>
        <v>79871663.289999962</v>
      </c>
      <c r="E39" s="8">
        <f>SUMIFS('{worksheet}'!$AC$3:$AC$4127,'{worksheet}'!$AB$3:$AB$4127,"H1_2026",'{worksheet}'!$M$3:$M$4127,$C39)</f>
        <v>61430885.050000004</v>
      </c>
      <c r="F39" s="8">
        <f>E39-D39</f>
        <v>-18440778.239999957</v>
      </c>
      <c r="G39" s="9">
        <f>IF(D39=0,"",E39/D39-1)</f>
        <v>-0.23088010791818292</v>
      </c>
      <c r="H39" s="8">
        <f>SUMIFS('{worksheet}'!$AD$3:$AD$4127,'{worksheet}'!$AB$3:$AB$4127,"H1_2025",'{worksheet}'!$M$3:$M$4127,$C39)</f>
        <v>16454</v>
      </c>
      <c r="I39" s="8">
        <f>SUMIFS('{worksheet}'!$AD$3:$AD$4127,'{worksheet}'!$AB$3:$AB$4127,"H1_2026",'{worksheet}'!$M$3:$M$4127,$C39)</f>
        <v>10940</v>
      </c>
      <c r="J39" s="8">
        <f>SUMIFS('{worksheet}'!$AE$3:$AE$4127,'{worksheet}'!$AB$3:$AB$4127,"H1_2026",'{worksheet}'!$M$3:$M$4127,$C39)</f>
        <v>11850885.050000003</v>
      </c>
      <c r="K39" s="9">
        <f>IF(E39=0,"",J39/E39)</f>
        <v>0.19291411869378564</v>
      </c>
      <c r="L39" s="8">
        <f>SUMIFS('{worksheet}'!$AD$3:$AD$4127,'{worksheet}'!$AB$3:$AB$4127,"H1_2026",'{worksheet}'!$M$3:$M$4127,$C39,'{worksheet}'!$AF$3:$AF$4127,"Sample")+SUMIFS('{worksheet}'!$AD$3:$AD$4127,'{worksheet}'!$AB$3:$AB$4127,"H1_2026",'{worksheet}'!$M$3:$M$4127,$C39,'{worksheet}'!$AF$3:$AF$4127,"FOC")</f>
        <v>0</v>
      </c>
      <c r="M39" t="str">
        <f>IF(AND(D39=0,E39&gt;0),"New in H1'26",IF(AND(D39&gt;0,E39=0),"Exited",IF(G39="","",IF(G39&gt;=0.2,"Growth",IF(G39&lt;=-0.2,"Decline","Stable")))))</f>
        <v>Decline</v>
      </c>
    </row>
    <row r="40" spans="1:13" x14ac:dyDescent="0.3">
      <c r="A40" s="31">
        <v>15</v>
      </c>
      <c r="B40" t="s">
        <v>23090</v>
      </c>
      <c r="C40" t="s">
        <v>48</v>
      </c>
      <c r="D40" s="8">
        <f>SUMIFS('{worksheet}'!$AC$3:$AC$4127,'{worksheet}'!$AB$3:$AB$4127,"H1_2025",'{worksheet}'!$M$3:$M$4127,$C40)</f>
        <v>59410014.449999996</v>
      </c>
      <c r="E40" s="8">
        <f>SUMIFS('{worksheet}'!$AC$3:$AC$4127,'{worksheet}'!$AB$3:$AB$4127,"H1_2026",'{worksheet}'!$M$3:$M$4127,$C40)</f>
        <v>41190224</v>
      </c>
      <c r="F40" s="8">
        <f>E40-D40</f>
        <v>-18219790.449999996</v>
      </c>
      <c r="G40" s="9">
        <f>IF(D40=0,"",E40/D40-1)</f>
        <v>-0.30667877492832352</v>
      </c>
      <c r="H40" s="8">
        <f>SUMIFS('{worksheet}'!$AD$3:$AD$4127,'{worksheet}'!$AB$3:$AB$4127,"H1_2025",'{worksheet}'!$M$3:$M$4127,$C40)</f>
        <v>54126</v>
      </c>
      <c r="I40" s="8">
        <f>SUMIFS('{worksheet}'!$AD$3:$AD$4127,'{worksheet}'!$AB$3:$AB$4127,"H1_2026",'{worksheet}'!$M$3:$M$4127,$C40)</f>
        <v>5050</v>
      </c>
      <c r="J40" s="8">
        <f>SUMIFS('{worksheet}'!$AE$3:$AE$4127,'{worksheet}'!$AB$3:$AB$4127,"H1_2026",'{worksheet}'!$M$3:$M$4127,$C40)</f>
        <v>6488043.54</v>
      </c>
      <c r="K40" s="9">
        <f>IF(E40=0,"",J40/E40)</f>
        <v>0.15751416015606035</v>
      </c>
      <c r="L40" s="8">
        <f>SUMIFS('{worksheet}'!$AD$3:$AD$4127,'{worksheet}'!$AB$3:$AB$4127,"H1_2026",'{worksheet}'!$M$3:$M$4127,$C40,'{worksheet}'!$AF$3:$AF$4127,"Sample")+SUMIFS('{worksheet}'!$AD$3:$AD$4127,'{worksheet}'!$AB$3:$AB$4127,"H1_2026",'{worksheet}'!$M$3:$M$4127,$C40,'{worksheet}'!$AF$3:$AF$4127,"FOC")</f>
        <v>0</v>
      </c>
      <c r="M40" t="str">
        <f>IF(AND(D40=0,E40&gt;0),"New in H1'26",IF(AND(D40&gt;0,E40=0),"Exited",IF(G40="","",IF(G40&gt;=0.2,"Growth",IF(G40&lt;=-0.2,"Decline","Stable")))))</f>
        <v>Decline</v>
      </c>
    </row>
    <row r="41" spans="1:13" x14ac:dyDescent="0.3">
      <c r="A41" s="31">
        <v>16</v>
      </c>
      <c r="B41" t="s">
        <v>23091</v>
      </c>
      <c r="C41" t="s">
        <v>6820</v>
      </c>
      <c r="D41" s="8">
        <f>SUMIFS('{worksheet}'!$AC$3:$AC$4127,'{worksheet}'!$AB$3:$AB$4127,"H1_2025",'{worksheet}'!$M$3:$M$4127,$C41)</f>
        <v>413870.94</v>
      </c>
      <c r="E41" s="8">
        <f>SUMIFS('{worksheet}'!$AC$3:$AC$4127,'{worksheet}'!$AB$3:$AB$4127,"H1_2026",'{worksheet}'!$M$3:$M$4127,$C41)</f>
        <v>37192144.799999997</v>
      </c>
      <c r="F41" s="8">
        <f>E41-D41</f>
        <v>36778273.859999999</v>
      </c>
      <c r="G41" s="9">
        <f>IF(D41=0,"",E41/D41-1)</f>
        <v>88.864112711078477</v>
      </c>
      <c r="H41" s="8">
        <f>SUMIFS('{worksheet}'!$AD$3:$AD$4127,'{worksheet}'!$AB$3:$AB$4127,"H1_2025",'{worksheet}'!$M$3:$M$4127,$C41)</f>
        <v>32</v>
      </c>
      <c r="I41" s="8">
        <f>SUMIFS('{worksheet}'!$AD$3:$AD$4127,'{worksheet}'!$AB$3:$AB$4127,"H1_2026",'{worksheet}'!$M$3:$M$4127,$C41)</f>
        <v>2700</v>
      </c>
      <c r="J41" s="8">
        <f>SUMIFS('{worksheet}'!$AE$3:$AE$4127,'{worksheet}'!$AB$3:$AB$4127,"H1_2026",'{worksheet}'!$M$3:$M$4127,$C41)</f>
        <v>5946384.7999999998</v>
      </c>
      <c r="K41" s="9">
        <f>IF(E41=0,"",J41/E41)</f>
        <v>0.1598828148249197</v>
      </c>
      <c r="L41" s="8">
        <f>SUMIFS('{worksheet}'!$AD$3:$AD$4127,'{worksheet}'!$AB$3:$AB$4127,"H1_2026",'{worksheet}'!$M$3:$M$4127,$C41,'{worksheet}'!$AF$3:$AF$4127,"Sample")+SUMIFS('{worksheet}'!$AD$3:$AD$4127,'{worksheet}'!$AB$3:$AB$4127,"H1_2026",'{worksheet}'!$M$3:$M$4127,$C41,'{worksheet}'!$AF$3:$AF$4127,"FOC")</f>
        <v>0</v>
      </c>
      <c r="M41" t="str">
        <f>IF(AND(D41=0,E41&gt;0),"New in H1'26",IF(AND(D41&gt;0,E41=0),"Exited",IF(G41="","",IF(G41&gt;=0.2,"Growth",IF(G41&lt;=-0.2,"Decline","Stable")))))</f>
        <v>Growth</v>
      </c>
    </row>
    <row r="42" spans="1:13" x14ac:dyDescent="0.3">
      <c r="A42" s="31">
        <v>17</v>
      </c>
      <c r="B42" t="s">
        <v>23092</v>
      </c>
      <c r="C42" t="s">
        <v>2389</v>
      </c>
      <c r="D42" s="8">
        <f>SUMIFS('{worksheet}'!$AC$3:$AC$4127,'{worksheet}'!$AB$3:$AB$4127,"H1_2025",'{worksheet}'!$M$3:$M$4127,$C42)</f>
        <v>17518426.300000001</v>
      </c>
      <c r="E42" s="8">
        <f>SUMIFS('{worksheet}'!$AC$3:$AC$4127,'{worksheet}'!$AB$3:$AB$4127,"H1_2026",'{worksheet}'!$M$3:$M$4127,$C42)</f>
        <v>35762747.869999997</v>
      </c>
      <c r="F42" s="8">
        <f>E42-D42</f>
        <v>18244321.569999997</v>
      </c>
      <c r="G42" s="9">
        <f>IF(D42=0,"",E42/D42-1)</f>
        <v>1.0414361003419579</v>
      </c>
      <c r="H42" s="8">
        <f>SUMIFS('{worksheet}'!$AD$3:$AD$4127,'{worksheet}'!$AB$3:$AB$4127,"H1_2025",'{worksheet}'!$M$3:$M$4127,$C42)</f>
        <v>4082</v>
      </c>
      <c r="I42" s="8">
        <f>SUMIFS('{worksheet}'!$AD$3:$AD$4127,'{worksheet}'!$AB$3:$AB$4127,"H1_2026",'{worksheet}'!$M$3:$M$4127,$C42)</f>
        <v>5271</v>
      </c>
      <c r="J42" s="8">
        <f>SUMIFS('{worksheet}'!$AE$3:$AE$4127,'{worksheet}'!$AB$3:$AB$4127,"H1_2026",'{worksheet}'!$M$3:$M$4127,$C42)</f>
        <v>9262850.0599999987</v>
      </c>
      <c r="K42" s="9">
        <f>IF(E42=0,"",J42/E42)</f>
        <v>0.25900834280606971</v>
      </c>
      <c r="L42" s="8">
        <f>SUMIFS('{worksheet}'!$AD$3:$AD$4127,'{worksheet}'!$AB$3:$AB$4127,"H1_2026",'{worksheet}'!$M$3:$M$4127,$C42,'{worksheet}'!$AF$3:$AF$4127,"Sample")+SUMIFS('{worksheet}'!$AD$3:$AD$4127,'{worksheet}'!$AB$3:$AB$4127,"H1_2026",'{worksheet}'!$M$3:$M$4127,$C42,'{worksheet}'!$AF$3:$AF$4127,"FOC")</f>
        <v>0</v>
      </c>
      <c r="M42" t="str">
        <f>IF(AND(D42=0,E42&gt;0),"New in H1'26",IF(AND(D42&gt;0,E42=0),"Exited",IF(G42="","",IF(G42&gt;=0.2,"Growth",IF(G42&lt;=-0.2,"Decline","Stable")))))</f>
        <v>Growth</v>
      </c>
    </row>
    <row r="43" spans="1:13" x14ac:dyDescent="0.3">
      <c r="A43" s="31">
        <v>18</v>
      </c>
      <c r="B43" t="s">
        <v>23093</v>
      </c>
      <c r="C43" t="s">
        <v>1787</v>
      </c>
      <c r="D43" s="8">
        <f>SUMIFS('{worksheet}'!$AC$3:$AC$4127,'{worksheet}'!$AB$3:$AB$4127,"H1_2025",'{worksheet}'!$M$3:$M$4127,$C43)</f>
        <v>37514304.190000005</v>
      </c>
      <c r="E43" s="8">
        <f>SUMIFS('{worksheet}'!$AC$3:$AC$4127,'{worksheet}'!$AB$3:$AB$4127,"H1_2026",'{worksheet}'!$M$3:$M$4127,$C43)</f>
        <v>26469070</v>
      </c>
      <c r="F43" s="8">
        <f>E43-D43</f>
        <v>-11045234.190000005</v>
      </c>
      <c r="G43" s="9">
        <f>IF(D43=0,"",E43/D43-1)</f>
        <v>-0.29442727057014895</v>
      </c>
      <c r="H43" s="8">
        <f>SUMIFS('{worksheet}'!$AD$3:$AD$4127,'{worksheet}'!$AB$3:$AB$4127,"H1_2025",'{worksheet}'!$M$3:$M$4127,$C43)</f>
        <v>7290</v>
      </c>
      <c r="I43" s="8">
        <f>SUMIFS('{worksheet}'!$AD$3:$AD$4127,'{worksheet}'!$AB$3:$AB$4127,"H1_2026",'{worksheet}'!$M$3:$M$4127,$C43)</f>
        <v>5050</v>
      </c>
      <c r="J43" s="8">
        <f>SUMIFS('{worksheet}'!$AE$3:$AE$4127,'{worksheet}'!$AB$3:$AB$4127,"H1_2026",'{worksheet}'!$M$3:$M$4127,$C43)</f>
        <v>2734070</v>
      </c>
      <c r="K43" s="9">
        <f>IF(E43=0,"",J43/E43)</f>
        <v>0.10329301331705269</v>
      </c>
      <c r="L43" s="8">
        <f>SUMIFS('{worksheet}'!$AD$3:$AD$4127,'{worksheet}'!$AB$3:$AB$4127,"H1_2026",'{worksheet}'!$M$3:$M$4127,$C43,'{worksheet}'!$AF$3:$AF$4127,"Sample")+SUMIFS('{worksheet}'!$AD$3:$AD$4127,'{worksheet}'!$AB$3:$AB$4127,"H1_2026",'{worksheet}'!$M$3:$M$4127,$C43,'{worksheet}'!$AF$3:$AF$4127,"FOC")</f>
        <v>0</v>
      </c>
      <c r="M43" t="str">
        <f>IF(AND(D43=0,E43&gt;0),"New in H1'26",IF(AND(D43&gt;0,E43=0),"Exited",IF(G43="","",IF(G43&gt;=0.2,"Growth",IF(G43&lt;=-0.2,"Decline","Stable")))))</f>
        <v>Decline</v>
      </c>
    </row>
    <row r="44" spans="1:13" x14ac:dyDescent="0.3">
      <c r="A44" s="31">
        <v>19</v>
      </c>
      <c r="B44" t="s">
        <v>23094</v>
      </c>
      <c r="C44" t="s">
        <v>1686</v>
      </c>
      <c r="D44" s="8">
        <f>SUMIFS('{worksheet}'!$AC$3:$AC$4127,'{worksheet}'!$AB$3:$AB$4127,"H1_2025",'{worksheet}'!$M$3:$M$4127,$C44)</f>
        <v>938546.55</v>
      </c>
      <c r="E44" s="8">
        <f>SUMIFS('{worksheet}'!$AC$3:$AC$4127,'{worksheet}'!$AB$3:$AB$4127,"H1_2026",'{worksheet}'!$M$3:$M$4127,$C44)</f>
        <v>20888171.059999999</v>
      </c>
      <c r="F44" s="8">
        <f>E44-D44</f>
        <v>19949624.509999998</v>
      </c>
      <c r="G44" s="9">
        <f>IF(D44=0,"",E44/D44-1)</f>
        <v>21.25587112328099</v>
      </c>
      <c r="H44" s="8">
        <f>SUMIFS('{worksheet}'!$AD$3:$AD$4127,'{worksheet}'!$AB$3:$AB$4127,"H1_2025",'{worksheet}'!$M$3:$M$4127,$C44)</f>
        <v>588</v>
      </c>
      <c r="I44" s="8">
        <f>SUMIFS('{worksheet}'!$AD$3:$AD$4127,'{worksheet}'!$AB$3:$AB$4127,"H1_2026",'{worksheet}'!$M$3:$M$4127,$C44)</f>
        <v>4103</v>
      </c>
      <c r="J44" s="8">
        <f>SUMIFS('{worksheet}'!$AE$3:$AE$4127,'{worksheet}'!$AB$3:$AB$4127,"H1_2026",'{worksheet}'!$M$3:$M$4127,$C44)</f>
        <v>4305925.51</v>
      </c>
      <c r="K44" s="9">
        <f>IF(E44=0,"",J44/E44)</f>
        <v>0.20614181574976054</v>
      </c>
      <c r="L44" s="8">
        <f>SUMIFS('{worksheet}'!$AD$3:$AD$4127,'{worksheet}'!$AB$3:$AB$4127,"H1_2026",'{worksheet}'!$M$3:$M$4127,$C44,'{worksheet}'!$AF$3:$AF$4127,"Sample")+SUMIFS('{worksheet}'!$AD$3:$AD$4127,'{worksheet}'!$AB$3:$AB$4127,"H1_2026",'{worksheet}'!$M$3:$M$4127,$C44,'{worksheet}'!$AF$3:$AF$4127,"FOC")</f>
        <v>0</v>
      </c>
      <c r="M44" t="str">
        <f>IF(AND(D44=0,E44&gt;0),"New in H1'26",IF(AND(D44&gt;0,E44=0),"Exited",IF(G44="","",IF(G44&gt;=0.2,"Growth",IF(G44&lt;=-0.2,"Decline","Stable")))))</f>
        <v>Growth</v>
      </c>
    </row>
    <row r="45" spans="1:13" x14ac:dyDescent="0.3">
      <c r="A45" s="31">
        <v>20</v>
      </c>
      <c r="B45" t="s">
        <v>23095</v>
      </c>
      <c r="C45" t="s">
        <v>570</v>
      </c>
      <c r="D45" s="8">
        <f>SUMIFS('{worksheet}'!$AC$3:$AC$4127,'{worksheet}'!$AB$3:$AB$4127,"H1_2025",'{worksheet}'!$M$3:$M$4127,$C45)</f>
        <v>3994841.4</v>
      </c>
      <c r="E45" s="8">
        <f>SUMIFS('{worksheet}'!$AC$3:$AC$4127,'{worksheet}'!$AB$3:$AB$4127,"H1_2026",'{worksheet}'!$M$3:$M$4127,$C45)</f>
        <v>17513051.490000002</v>
      </c>
      <c r="F45" s="8">
        <f>E45-D45</f>
        <v>13518210.090000002</v>
      </c>
      <c r="G45" s="9">
        <f>IF(D45=0,"",E45/D45-1)</f>
        <v>3.3839165905309789</v>
      </c>
      <c r="H45" s="8">
        <f>SUMIFS('{worksheet}'!$AD$3:$AD$4127,'{worksheet}'!$AB$3:$AB$4127,"H1_2025",'{worksheet}'!$M$3:$M$4127,$C45)</f>
        <v>10375</v>
      </c>
      <c r="I45" s="8">
        <f>SUMIFS('{worksheet}'!$AD$3:$AD$4127,'{worksheet}'!$AB$3:$AB$4127,"H1_2026",'{worksheet}'!$M$3:$M$4127,$C45)</f>
        <v>31604</v>
      </c>
      <c r="J45" s="8">
        <f>SUMIFS('{worksheet}'!$AE$3:$AE$4127,'{worksheet}'!$AB$3:$AB$4127,"H1_2026",'{worksheet}'!$M$3:$M$4127,$C45)</f>
        <v>7173197.7899999982</v>
      </c>
      <c r="K45" s="9">
        <f>IF(E45=0,"",J45/E45)</f>
        <v>0.40959154343238885</v>
      </c>
      <c r="L45" s="8">
        <f>SUMIFS('{worksheet}'!$AD$3:$AD$4127,'{worksheet}'!$AB$3:$AB$4127,"H1_2026",'{worksheet}'!$M$3:$M$4127,$C45,'{worksheet}'!$AF$3:$AF$4127,"Sample")+SUMIFS('{worksheet}'!$AD$3:$AD$4127,'{worksheet}'!$AB$3:$AB$4127,"H1_2026",'{worksheet}'!$M$3:$M$4127,$C45,'{worksheet}'!$AF$3:$AF$4127,"FOC")</f>
        <v>0</v>
      </c>
      <c r="M45" t="str">
        <f>IF(AND(D45=0,E45&gt;0),"New in H1'26",IF(AND(D45&gt;0,E45=0),"Exited",IF(G45="","",IF(G45&gt;=0.2,"Growth",IF(G45&lt;=-0.2,"Decline","Stable")))))</f>
        <v>Growth</v>
      </c>
    </row>
    <row r="46" spans="1:13" x14ac:dyDescent="0.3">
      <c r="A46" s="31">
        <v>21</v>
      </c>
      <c r="B46" t="s">
        <v>23096</v>
      </c>
      <c r="C46" t="s">
        <v>4220</v>
      </c>
      <c r="D46" s="8">
        <f>SUMIFS('{worksheet}'!$AC$3:$AC$4127,'{worksheet}'!$AB$3:$AB$4127,"H1_2025",'{worksheet}'!$M$3:$M$4127,$C46)</f>
        <v>12439312.02</v>
      </c>
      <c r="E46" s="8">
        <f>SUMIFS('{worksheet}'!$AC$3:$AC$4127,'{worksheet}'!$AB$3:$AB$4127,"H1_2026",'{worksheet}'!$M$3:$M$4127,$C46)</f>
        <v>17437969.650000002</v>
      </c>
      <c r="F46" s="8">
        <f>E46-D46</f>
        <v>4998657.6300000027</v>
      </c>
      <c r="G46" s="9">
        <f>IF(D46=0,"",E46/D46-1)</f>
        <v>0.40184357639418744</v>
      </c>
      <c r="H46" s="8">
        <f>SUMIFS('{worksheet}'!$AD$3:$AD$4127,'{worksheet}'!$AB$3:$AB$4127,"H1_2025",'{worksheet}'!$M$3:$M$4127,$C46)</f>
        <v>1001</v>
      </c>
      <c r="I46" s="8">
        <f>SUMIFS('{worksheet}'!$AD$3:$AD$4127,'{worksheet}'!$AB$3:$AB$4127,"H1_2026",'{worksheet}'!$M$3:$M$4127,$C46)</f>
        <v>1582</v>
      </c>
      <c r="J46" s="8">
        <f>SUMIFS('{worksheet}'!$AE$3:$AE$4127,'{worksheet}'!$AB$3:$AB$4127,"H1_2026",'{worksheet}'!$M$3:$M$4127,$C46)</f>
        <v>2574878.87</v>
      </c>
      <c r="K46" s="9">
        <f>IF(E46=0,"",J46/E46)</f>
        <v>0.14765932741487481</v>
      </c>
      <c r="L46" s="8">
        <f>SUMIFS('{worksheet}'!$AD$3:$AD$4127,'{worksheet}'!$AB$3:$AB$4127,"H1_2026",'{worksheet}'!$M$3:$M$4127,$C46,'{worksheet}'!$AF$3:$AF$4127,"Sample")+SUMIFS('{worksheet}'!$AD$3:$AD$4127,'{worksheet}'!$AB$3:$AB$4127,"H1_2026",'{worksheet}'!$M$3:$M$4127,$C46,'{worksheet}'!$AF$3:$AF$4127,"FOC")</f>
        <v>0</v>
      </c>
      <c r="M46" t="str">
        <f>IF(AND(D46=0,E46&gt;0),"New in H1'26",IF(AND(D46&gt;0,E46=0),"Exited",IF(G46="","",IF(G46&gt;=0.2,"Growth",IF(G46&lt;=-0.2,"Decline","Stable")))))</f>
        <v>Growth</v>
      </c>
    </row>
    <row r="47" spans="1:13" x14ac:dyDescent="0.3">
      <c r="A47" s="31">
        <v>22</v>
      </c>
      <c r="B47" t="s">
        <v>23097</v>
      </c>
      <c r="C47" t="s">
        <v>3067</v>
      </c>
      <c r="D47" s="8">
        <f>SUMIFS('{worksheet}'!$AC$3:$AC$4127,'{worksheet}'!$AB$3:$AB$4127,"H1_2025",'{worksheet}'!$M$3:$M$4127,$C47)</f>
        <v>25819346.199999999</v>
      </c>
      <c r="E47" s="8">
        <f>SUMIFS('{worksheet}'!$AC$3:$AC$4127,'{worksheet}'!$AB$3:$AB$4127,"H1_2026",'{worksheet}'!$M$3:$M$4127,$C47)</f>
        <v>16680950.319999998</v>
      </c>
      <c r="F47" s="8">
        <f>E47-D47</f>
        <v>-9138395.8800000008</v>
      </c>
      <c r="G47" s="9">
        <f>IF(D47=0,"",E47/D47-1)</f>
        <v>-0.35393599083465566</v>
      </c>
      <c r="H47" s="8">
        <f>SUMIFS('{worksheet}'!$AD$3:$AD$4127,'{worksheet}'!$AB$3:$AB$4127,"H1_2025",'{worksheet}'!$M$3:$M$4127,$C47)</f>
        <v>115100</v>
      </c>
      <c r="I47" s="8">
        <f>SUMIFS('{worksheet}'!$AD$3:$AD$4127,'{worksheet}'!$AB$3:$AB$4127,"H1_2026",'{worksheet}'!$M$3:$M$4127,$C47)</f>
        <v>2293</v>
      </c>
      <c r="J47" s="8">
        <f>SUMIFS('{worksheet}'!$AE$3:$AE$4127,'{worksheet}'!$AB$3:$AB$4127,"H1_2026",'{worksheet}'!$M$3:$M$4127,$C47)</f>
        <v>3715350.3199999989</v>
      </c>
      <c r="K47" s="9">
        <f>IF(E47=0,"",J47/E47)</f>
        <v>0.22273013519771692</v>
      </c>
      <c r="L47" s="8">
        <f>SUMIFS('{worksheet}'!$AD$3:$AD$4127,'{worksheet}'!$AB$3:$AB$4127,"H1_2026",'{worksheet}'!$M$3:$M$4127,$C47,'{worksheet}'!$AF$3:$AF$4127,"Sample")+SUMIFS('{worksheet}'!$AD$3:$AD$4127,'{worksheet}'!$AB$3:$AB$4127,"H1_2026",'{worksheet}'!$M$3:$M$4127,$C47,'{worksheet}'!$AF$3:$AF$4127,"FOC")</f>
        <v>0</v>
      </c>
      <c r="M47" t="str">
        <f>IF(AND(D47=0,E47&gt;0),"New in H1'26",IF(AND(D47&gt;0,E47=0),"Exited",IF(G47="","",IF(G47&gt;=0.2,"Growth",IF(G47&lt;=-0.2,"Decline","Stable")))))</f>
        <v>Decline</v>
      </c>
    </row>
    <row r="48" spans="1:13" x14ac:dyDescent="0.3">
      <c r="A48" s="31">
        <v>23</v>
      </c>
      <c r="B48" t="s">
        <v>23098</v>
      </c>
      <c r="C48" t="s">
        <v>1807</v>
      </c>
      <c r="D48" s="8">
        <f>SUMIFS('{worksheet}'!$AC$3:$AC$4127,'{worksheet}'!$AB$3:$AB$4127,"H1_2025",'{worksheet}'!$M$3:$M$4127,$C48)</f>
        <v>1277854</v>
      </c>
      <c r="E48" s="8">
        <f>SUMIFS('{worksheet}'!$AC$3:$AC$4127,'{worksheet}'!$AB$3:$AB$4127,"H1_2026",'{worksheet}'!$M$3:$M$4127,$C48)</f>
        <v>11652313.870000001</v>
      </c>
      <c r="F48" s="8">
        <f>E48-D48</f>
        <v>10374459.870000001</v>
      </c>
      <c r="G48" s="9">
        <f>IF(D48=0,"",E48/D48-1)</f>
        <v>8.1186582113449592</v>
      </c>
      <c r="H48" s="8">
        <f>SUMIFS('{worksheet}'!$AD$3:$AD$4127,'{worksheet}'!$AB$3:$AB$4127,"H1_2025",'{worksheet}'!$M$3:$M$4127,$C48)</f>
        <v>200</v>
      </c>
      <c r="I48" s="8">
        <f>SUMIFS('{worksheet}'!$AD$3:$AD$4127,'{worksheet}'!$AB$3:$AB$4127,"H1_2026",'{worksheet}'!$M$3:$M$4127,$C48)</f>
        <v>5163</v>
      </c>
      <c r="J48" s="8">
        <f>SUMIFS('{worksheet}'!$AE$3:$AE$4127,'{worksheet}'!$AB$3:$AB$4127,"H1_2026",'{worksheet}'!$M$3:$M$4127,$C48)</f>
        <v>2602383.0499999998</v>
      </c>
      <c r="K48" s="9">
        <f>IF(E48=0,"",J48/E48)</f>
        <v>0.22333616130098283</v>
      </c>
      <c r="L48" s="8">
        <f>SUMIFS('{worksheet}'!$AD$3:$AD$4127,'{worksheet}'!$AB$3:$AB$4127,"H1_2026",'{worksheet}'!$M$3:$M$4127,$C48,'{worksheet}'!$AF$3:$AF$4127,"Sample")+SUMIFS('{worksheet}'!$AD$3:$AD$4127,'{worksheet}'!$AB$3:$AB$4127,"H1_2026",'{worksheet}'!$M$3:$M$4127,$C48,'{worksheet}'!$AF$3:$AF$4127,"FOC")</f>
        <v>2550</v>
      </c>
      <c r="M48" t="str">
        <f>IF(AND(D48=0,E48&gt;0),"New in H1'26",IF(AND(D48&gt;0,E48=0),"Exited",IF(G48="","",IF(G48&gt;=0.2,"Growth",IF(G48&lt;=-0.2,"Decline","Stable")))))</f>
        <v>Growth</v>
      </c>
    </row>
    <row r="49" spans="1:13" x14ac:dyDescent="0.3">
      <c r="A49" s="31">
        <v>24</v>
      </c>
      <c r="B49" t="s">
        <v>23099</v>
      </c>
      <c r="C49" t="s">
        <v>2933</v>
      </c>
      <c r="D49" s="8">
        <f>SUMIFS('{worksheet}'!$AC$3:$AC$4127,'{worksheet}'!$AB$3:$AB$4127,"H1_2025",'{worksheet}'!$M$3:$M$4127,$C49)</f>
        <v>0</v>
      </c>
      <c r="E49" s="8">
        <f>SUMIFS('{worksheet}'!$AC$3:$AC$4127,'{worksheet}'!$AB$3:$AB$4127,"H1_2026",'{worksheet}'!$M$3:$M$4127,$C49)</f>
        <v>9455944.0500000045</v>
      </c>
      <c r="F49" s="8">
        <f>E49-D49</f>
        <v>9455944.0500000045</v>
      </c>
      <c r="G49" s="9" t="str">
        <f>IF(D49=0,"",E49/D49-1)</f>
        <v/>
      </c>
      <c r="H49" s="8">
        <f>SUMIFS('{worksheet}'!$AD$3:$AD$4127,'{worksheet}'!$AB$3:$AB$4127,"H1_2025",'{worksheet}'!$M$3:$M$4127,$C49)</f>
        <v>0</v>
      </c>
      <c r="I49" s="8">
        <f>SUMIFS('{worksheet}'!$AD$3:$AD$4127,'{worksheet}'!$AB$3:$AB$4127,"H1_2026",'{worksheet}'!$M$3:$M$4127,$C49)</f>
        <v>845</v>
      </c>
      <c r="J49" s="8">
        <f>SUMIFS('{worksheet}'!$AE$3:$AE$4127,'{worksheet}'!$AB$3:$AB$4127,"H1_2026",'{worksheet}'!$M$3:$M$4127,$C49)</f>
        <v>2821349.51</v>
      </c>
      <c r="K49" s="9">
        <f>IF(E49=0,"",J49/E49)</f>
        <v>0.29836783033842068</v>
      </c>
      <c r="L49" s="8">
        <f>SUMIFS('{worksheet}'!$AD$3:$AD$4127,'{worksheet}'!$AB$3:$AB$4127,"H1_2026",'{worksheet}'!$M$3:$M$4127,$C49,'{worksheet}'!$AF$3:$AF$4127,"Sample")+SUMIFS('{worksheet}'!$AD$3:$AD$4127,'{worksheet}'!$AB$3:$AB$4127,"H1_2026",'{worksheet}'!$M$3:$M$4127,$C49,'{worksheet}'!$AF$3:$AF$4127,"FOC")</f>
        <v>0</v>
      </c>
      <c r="M49" t="str">
        <f>IF(AND(D49=0,E49&gt;0),"New in H1'26",IF(AND(D49&gt;0,E49=0),"Exited",IF(G49="","",IF(G49&gt;=0.2,"Growth",IF(G49&lt;=-0.2,"Decline","Stable")))))</f>
        <v>New in H1'26</v>
      </c>
    </row>
    <row r="50" spans="1:13" x14ac:dyDescent="0.3">
      <c r="A50" s="31">
        <v>25</v>
      </c>
      <c r="B50" t="s">
        <v>23100</v>
      </c>
      <c r="C50" t="s">
        <v>1518</v>
      </c>
      <c r="D50" s="8">
        <f>SUMIFS('{worksheet}'!$AC$3:$AC$4127,'{worksheet}'!$AB$3:$AB$4127,"H1_2025",'{worksheet}'!$M$3:$M$4127,$C50)</f>
        <v>0</v>
      </c>
      <c r="E50" s="8">
        <f>SUMIFS('{worksheet}'!$AC$3:$AC$4127,'{worksheet}'!$AB$3:$AB$4127,"H1_2026",'{worksheet}'!$M$3:$M$4127,$C50)</f>
        <v>7843906.0800000001</v>
      </c>
      <c r="F50" s="8">
        <f>E50-D50</f>
        <v>7843906.0800000001</v>
      </c>
      <c r="G50" s="9" t="str">
        <f>IF(D50=0,"",E50/D50-1)</f>
        <v/>
      </c>
      <c r="H50" s="8">
        <f>SUMIFS('{worksheet}'!$AD$3:$AD$4127,'{worksheet}'!$AB$3:$AB$4127,"H1_2025",'{worksheet}'!$M$3:$M$4127,$C50)</f>
        <v>0</v>
      </c>
      <c r="I50" s="8">
        <f>SUMIFS('{worksheet}'!$AD$3:$AD$4127,'{worksheet}'!$AB$3:$AB$4127,"H1_2026",'{worksheet}'!$M$3:$M$4127,$C50)</f>
        <v>765</v>
      </c>
      <c r="J50" s="8">
        <f>SUMIFS('{worksheet}'!$AE$3:$AE$4127,'{worksheet}'!$AB$3:$AB$4127,"H1_2026",'{worksheet}'!$M$3:$M$4127,$C50)</f>
        <v>1903816.08</v>
      </c>
      <c r="K50" s="9">
        <f>IF(E50=0,"",J50/E50)</f>
        <v>0.24271275823333163</v>
      </c>
      <c r="L50" s="8">
        <f>SUMIFS('{worksheet}'!$AD$3:$AD$4127,'{worksheet}'!$AB$3:$AB$4127,"H1_2026",'{worksheet}'!$M$3:$M$4127,$C50,'{worksheet}'!$AF$3:$AF$4127,"Sample")+SUMIFS('{worksheet}'!$AD$3:$AD$4127,'{worksheet}'!$AB$3:$AB$4127,"H1_2026",'{worksheet}'!$M$3:$M$4127,$C50,'{worksheet}'!$AF$3:$AF$4127,"FOC")</f>
        <v>0</v>
      </c>
      <c r="M50" t="str">
        <f>IF(AND(D50=0,E50&gt;0),"New in H1'26",IF(AND(D50&gt;0,E50=0),"Exited",IF(G50="","",IF(G50&gt;=0.2,"Growth",IF(G50&lt;=-0.2,"Decline","Stable")))))</f>
        <v>New in H1'26</v>
      </c>
    </row>
    <row r="51" spans="1:13" x14ac:dyDescent="0.3">
      <c r="A51" s="31">
        <v>26</v>
      </c>
      <c r="B51" t="s">
        <v>23101</v>
      </c>
      <c r="C51" t="s">
        <v>8432</v>
      </c>
      <c r="D51" s="8">
        <f>SUMIFS('{worksheet}'!$AC$3:$AC$4127,'{worksheet}'!$AB$3:$AB$4127,"H1_2025",'{worksheet}'!$M$3:$M$4127,$C51)</f>
        <v>0</v>
      </c>
      <c r="E51" s="8">
        <f>SUMIFS('{worksheet}'!$AC$3:$AC$4127,'{worksheet}'!$AB$3:$AB$4127,"H1_2026",'{worksheet}'!$M$3:$M$4127,$C51)</f>
        <v>7793412.4800000004</v>
      </c>
      <c r="F51" s="8">
        <f>E51-D51</f>
        <v>7793412.4800000004</v>
      </c>
      <c r="G51" s="9" t="str">
        <f>IF(D51=0,"",E51/D51-1)</f>
        <v/>
      </c>
      <c r="H51" s="8">
        <f>SUMIFS('{worksheet}'!$AD$3:$AD$4127,'{worksheet}'!$AB$3:$AB$4127,"H1_2025",'{worksheet}'!$M$3:$M$4127,$C51)</f>
        <v>0</v>
      </c>
      <c r="I51" s="8">
        <f>SUMIFS('{worksheet}'!$AD$3:$AD$4127,'{worksheet}'!$AB$3:$AB$4127,"H1_2026",'{worksheet}'!$M$3:$M$4127,$C51)</f>
        <v>640</v>
      </c>
      <c r="J51" s="8">
        <f>SUMIFS('{worksheet}'!$AE$3:$AE$4127,'{worksheet}'!$AB$3:$AB$4127,"H1_2026",'{worksheet}'!$M$3:$M$4127,$C51)</f>
        <v>1933339.78</v>
      </c>
      <c r="K51" s="9">
        <f>IF(E51=0,"",J51/E51)</f>
        <v>0.24807358586004163</v>
      </c>
      <c r="L51" s="8">
        <f>SUMIFS('{worksheet}'!$AD$3:$AD$4127,'{worksheet}'!$AB$3:$AB$4127,"H1_2026",'{worksheet}'!$M$3:$M$4127,$C51,'{worksheet}'!$AF$3:$AF$4127,"Sample")+SUMIFS('{worksheet}'!$AD$3:$AD$4127,'{worksheet}'!$AB$3:$AB$4127,"H1_2026",'{worksheet}'!$M$3:$M$4127,$C51,'{worksheet}'!$AF$3:$AF$4127,"FOC")</f>
        <v>0</v>
      </c>
      <c r="M51" t="str">
        <f>IF(AND(D51=0,E51&gt;0),"New in H1'26",IF(AND(D51&gt;0,E51=0),"Exited",IF(G51="","",IF(G51&gt;=0.2,"Growth",IF(G51&lt;=-0.2,"Decline","Stable")))))</f>
        <v>New in H1'26</v>
      </c>
    </row>
    <row r="52" spans="1:13" x14ac:dyDescent="0.3">
      <c r="A52" s="31">
        <v>27</v>
      </c>
      <c r="B52" t="s">
        <v>23102</v>
      </c>
      <c r="C52" t="s">
        <v>3131</v>
      </c>
      <c r="D52" s="8">
        <f>SUMIFS('{worksheet}'!$AC$3:$AC$4127,'{worksheet}'!$AB$3:$AB$4127,"H1_2025",'{worksheet}'!$M$3:$M$4127,$C52)</f>
        <v>2424869.67</v>
      </c>
      <c r="E52" s="8">
        <f>SUMIFS('{worksheet}'!$AC$3:$AC$4127,'{worksheet}'!$AB$3:$AB$4127,"H1_2026",'{worksheet}'!$M$3:$M$4127,$C52)</f>
        <v>7376933.2599999998</v>
      </c>
      <c r="F52" s="8">
        <f>E52-D52</f>
        <v>4952063.59</v>
      </c>
      <c r="G52" s="9">
        <f>IF(D52=0,"",E52/D52-1)</f>
        <v>2.0421978349046692</v>
      </c>
      <c r="H52" s="8">
        <f>SUMIFS('{worksheet}'!$AD$3:$AD$4127,'{worksheet}'!$AB$3:$AB$4127,"H1_2025",'{worksheet}'!$M$3:$M$4127,$C52)</f>
        <v>217</v>
      </c>
      <c r="I52" s="8">
        <f>SUMIFS('{worksheet}'!$AD$3:$AD$4127,'{worksheet}'!$AB$3:$AB$4127,"H1_2026",'{worksheet}'!$M$3:$M$4127,$C52)</f>
        <v>489</v>
      </c>
      <c r="J52" s="8">
        <f>SUMIFS('{worksheet}'!$AE$3:$AE$4127,'{worksheet}'!$AB$3:$AB$4127,"H1_2026",'{worksheet}'!$M$3:$M$4127,$C52)</f>
        <v>1644928.82</v>
      </c>
      <c r="K52" s="9">
        <f>IF(E52=0,"",J52/E52)</f>
        <v>0.22298274391599959</v>
      </c>
      <c r="L52" s="8">
        <f>SUMIFS('{worksheet}'!$AD$3:$AD$4127,'{worksheet}'!$AB$3:$AB$4127,"H1_2026",'{worksheet}'!$M$3:$M$4127,$C52,'{worksheet}'!$AF$3:$AF$4127,"Sample")+SUMIFS('{worksheet}'!$AD$3:$AD$4127,'{worksheet}'!$AB$3:$AB$4127,"H1_2026",'{worksheet}'!$M$3:$M$4127,$C52,'{worksheet}'!$AF$3:$AF$4127,"FOC")</f>
        <v>0</v>
      </c>
      <c r="M52" t="str">
        <f>IF(AND(D52=0,E52&gt;0),"New in H1'26",IF(AND(D52&gt;0,E52=0),"Exited",IF(G52="","",IF(G52&gt;=0.2,"Growth",IF(G52&lt;=-0.2,"Decline","Stable")))))</f>
        <v>Growth</v>
      </c>
    </row>
    <row r="53" spans="1:13" x14ac:dyDescent="0.3">
      <c r="A53" s="31">
        <v>28</v>
      </c>
      <c r="B53" t="s">
        <v>23103</v>
      </c>
      <c r="C53" t="s">
        <v>7717</v>
      </c>
      <c r="D53" s="8">
        <f>SUMIFS('{worksheet}'!$AC$3:$AC$4127,'{worksheet}'!$AB$3:$AB$4127,"H1_2025",'{worksheet}'!$M$3:$M$4127,$C53)</f>
        <v>21299168.699999999</v>
      </c>
      <c r="E53" s="8">
        <f>SUMIFS('{worksheet}'!$AC$3:$AC$4127,'{worksheet}'!$AB$3:$AB$4127,"H1_2026",'{worksheet}'!$M$3:$M$4127,$C53)</f>
        <v>6747817.1600000001</v>
      </c>
      <c r="F53" s="8">
        <f>E53-D53</f>
        <v>-14551351.539999999</v>
      </c>
      <c r="G53" s="9">
        <f>IF(D53=0,"",E53/D53-1)</f>
        <v>-0.68318870773580942</v>
      </c>
      <c r="H53" s="8">
        <f>SUMIFS('{worksheet}'!$AD$3:$AD$4127,'{worksheet}'!$AB$3:$AB$4127,"H1_2025",'{worksheet}'!$M$3:$M$4127,$C53)</f>
        <v>4050</v>
      </c>
      <c r="I53" s="8">
        <f>SUMIFS('{worksheet}'!$AD$3:$AD$4127,'{worksheet}'!$AB$3:$AB$4127,"H1_2026",'{worksheet}'!$M$3:$M$4127,$C53)</f>
        <v>1424</v>
      </c>
      <c r="J53" s="8">
        <f>SUMIFS('{worksheet}'!$AE$3:$AE$4127,'{worksheet}'!$AB$3:$AB$4127,"H1_2026",'{worksheet}'!$M$3:$M$4127,$C53)</f>
        <v>2239366.4</v>
      </c>
      <c r="K53" s="9">
        <f>IF(E53=0,"",J53/E53)</f>
        <v>0.33186530501665223</v>
      </c>
      <c r="L53" s="8">
        <f>SUMIFS('{worksheet}'!$AD$3:$AD$4127,'{worksheet}'!$AB$3:$AB$4127,"H1_2026",'{worksheet}'!$M$3:$M$4127,$C53,'{worksheet}'!$AF$3:$AF$4127,"Sample")+SUMIFS('{worksheet}'!$AD$3:$AD$4127,'{worksheet}'!$AB$3:$AB$4127,"H1_2026",'{worksheet}'!$M$3:$M$4127,$C53,'{worksheet}'!$AF$3:$AF$4127,"FOC")</f>
        <v>0</v>
      </c>
      <c r="M53" t="str">
        <f>IF(AND(D53=0,E53&gt;0),"New in H1'26",IF(AND(D53&gt;0,E53=0),"Exited",IF(G53="","",IF(G53&gt;=0.2,"Growth",IF(G53&lt;=-0.2,"Decline","Stable")))))</f>
        <v>Decline</v>
      </c>
    </row>
    <row r="54" spans="1:13" x14ac:dyDescent="0.3">
      <c r="A54" s="31">
        <v>29</v>
      </c>
      <c r="B54" t="s">
        <v>23104</v>
      </c>
      <c r="C54" t="s">
        <v>4544</v>
      </c>
      <c r="D54" s="8">
        <f>SUMIFS('{worksheet}'!$AC$3:$AC$4127,'{worksheet}'!$AB$3:$AB$4127,"H1_2025",'{worksheet}'!$M$3:$M$4127,$C54)</f>
        <v>23300022.170000002</v>
      </c>
      <c r="E54" s="8">
        <f>SUMIFS('{worksheet}'!$AC$3:$AC$4127,'{worksheet}'!$AB$3:$AB$4127,"H1_2026",'{worksheet}'!$M$3:$M$4127,$C54)</f>
        <v>6706946</v>
      </c>
      <c r="F54" s="8">
        <f>E54-D54</f>
        <v>-16593076.170000002</v>
      </c>
      <c r="G54" s="9">
        <f>IF(D54=0,"",E54/D54-1)</f>
        <v>-0.71214851423465408</v>
      </c>
      <c r="H54" s="8">
        <f>SUMIFS('{worksheet}'!$AD$3:$AD$4127,'{worksheet}'!$AB$3:$AB$4127,"H1_2025",'{worksheet}'!$M$3:$M$4127,$C54)</f>
        <v>70591</v>
      </c>
      <c r="I54" s="8">
        <f>SUMIFS('{worksheet}'!$AD$3:$AD$4127,'{worksheet}'!$AB$3:$AB$4127,"H1_2026",'{worksheet}'!$M$3:$M$4127,$C54)</f>
        <v>890</v>
      </c>
      <c r="J54" s="8">
        <f>SUMIFS('{worksheet}'!$AE$3:$AE$4127,'{worksheet}'!$AB$3:$AB$4127,"H1_2026",'{worksheet}'!$M$3:$M$4127,$C54)</f>
        <v>1649946.0000000005</v>
      </c>
      <c r="K54" s="9">
        <f>IF(E54=0,"",J54/E54)</f>
        <v>0.24600555901299942</v>
      </c>
      <c r="L54" s="8">
        <f>SUMIFS('{worksheet}'!$AD$3:$AD$4127,'{worksheet}'!$AB$3:$AB$4127,"H1_2026",'{worksheet}'!$M$3:$M$4127,$C54,'{worksheet}'!$AF$3:$AF$4127,"Sample")+SUMIFS('{worksheet}'!$AD$3:$AD$4127,'{worksheet}'!$AB$3:$AB$4127,"H1_2026",'{worksheet}'!$M$3:$M$4127,$C54,'{worksheet}'!$AF$3:$AF$4127,"FOC")</f>
        <v>60</v>
      </c>
      <c r="M54" t="str">
        <f>IF(AND(D54=0,E54&gt;0),"New in H1'26",IF(AND(D54&gt;0,E54=0),"Exited",IF(G54="","",IF(G54&gt;=0.2,"Growth",IF(G54&lt;=-0.2,"Decline","Stable")))))</f>
        <v>Decline</v>
      </c>
    </row>
    <row r="55" spans="1:13" x14ac:dyDescent="0.3">
      <c r="A55" s="31">
        <v>30</v>
      </c>
      <c r="B55" t="s">
        <v>23105</v>
      </c>
      <c r="C55" t="s">
        <v>7510</v>
      </c>
      <c r="D55" s="8">
        <f>SUMIFS('{worksheet}'!$AC$3:$AC$4127,'{worksheet}'!$AB$3:$AB$4127,"H1_2025",'{worksheet}'!$M$3:$M$4127,$C55)</f>
        <v>0</v>
      </c>
      <c r="E55" s="8">
        <f>SUMIFS('{worksheet}'!$AC$3:$AC$4127,'{worksheet}'!$AB$3:$AB$4127,"H1_2026",'{worksheet}'!$M$3:$M$4127,$C55)</f>
        <v>6157421.1399999997</v>
      </c>
      <c r="F55" s="8">
        <f>E55-D55</f>
        <v>6157421.1399999997</v>
      </c>
      <c r="G55" s="9" t="str">
        <f>IF(D55=0,"",E55/D55-1)</f>
        <v/>
      </c>
      <c r="H55" s="8">
        <f>SUMIFS('{worksheet}'!$AD$3:$AD$4127,'{worksheet}'!$AB$3:$AB$4127,"H1_2025",'{worksheet}'!$M$3:$M$4127,$C55)</f>
        <v>1600</v>
      </c>
      <c r="I55" s="8">
        <f>SUMIFS('{worksheet}'!$AD$3:$AD$4127,'{worksheet}'!$AB$3:$AB$4127,"H1_2026",'{worksheet}'!$M$3:$M$4127,$C55)</f>
        <v>586</v>
      </c>
      <c r="J55" s="8">
        <f>SUMIFS('{worksheet}'!$AE$3:$AE$4127,'{worksheet}'!$AB$3:$AB$4127,"H1_2026",'{worksheet}'!$M$3:$M$4127,$C55)</f>
        <v>1290221.1399999999</v>
      </c>
      <c r="K55" s="9">
        <f>IF(E55=0,"",J55/E55)</f>
        <v>0.20953920653866465</v>
      </c>
      <c r="L55" s="8">
        <f>SUMIFS('{worksheet}'!$AD$3:$AD$4127,'{worksheet}'!$AB$3:$AB$4127,"H1_2026",'{worksheet}'!$M$3:$M$4127,$C55,'{worksheet}'!$AF$3:$AF$4127,"Sample")+SUMIFS('{worksheet}'!$AD$3:$AD$4127,'{worksheet}'!$AB$3:$AB$4127,"H1_2026",'{worksheet}'!$M$3:$M$4127,$C55,'{worksheet}'!$AF$3:$AF$4127,"FOC")</f>
        <v>0</v>
      </c>
      <c r="M55" t="str">
        <f>IF(AND(D55=0,E55&gt;0),"New in H1'26",IF(AND(D55&gt;0,E55=0),"Exited",IF(G55="","",IF(G55&gt;=0.2,"Growth",IF(G55&lt;=-0.2,"Decline","Stable")))))</f>
        <v>New in H1'26</v>
      </c>
    </row>
    <row r="56" spans="1:13" x14ac:dyDescent="0.3">
      <c r="A56" s="31">
        <v>31</v>
      </c>
      <c r="B56" t="s">
        <v>23106</v>
      </c>
      <c r="C56" t="s">
        <v>3160</v>
      </c>
      <c r="D56" s="8">
        <f>SUMIFS('{worksheet}'!$AC$3:$AC$4127,'{worksheet}'!$AB$3:$AB$4127,"H1_2025",'{worksheet}'!$M$3:$M$4127,$C56)</f>
        <v>0</v>
      </c>
      <c r="E56" s="8">
        <f>SUMIFS('{worksheet}'!$AC$3:$AC$4127,'{worksheet}'!$AB$3:$AB$4127,"H1_2026",'{worksheet}'!$M$3:$M$4127,$C56)</f>
        <v>6013185.6199999992</v>
      </c>
      <c r="F56" s="8">
        <f>E56-D56</f>
        <v>6013185.6199999992</v>
      </c>
      <c r="G56" s="9" t="str">
        <f>IF(D56=0,"",E56/D56-1)</f>
        <v/>
      </c>
      <c r="H56" s="8">
        <f>SUMIFS('{worksheet}'!$AD$3:$AD$4127,'{worksheet}'!$AB$3:$AB$4127,"H1_2025",'{worksheet}'!$M$3:$M$4127,$C56)</f>
        <v>0</v>
      </c>
      <c r="I56" s="8">
        <f>SUMIFS('{worksheet}'!$AD$3:$AD$4127,'{worksheet}'!$AB$3:$AB$4127,"H1_2026",'{worksheet}'!$M$3:$M$4127,$C56)</f>
        <v>550</v>
      </c>
      <c r="J56" s="8">
        <f>SUMIFS('{worksheet}'!$AE$3:$AE$4127,'{worksheet}'!$AB$3:$AB$4127,"H1_2026",'{worksheet}'!$M$3:$M$4127,$C56)</f>
        <v>2881002.46</v>
      </c>
      <c r="K56" s="9">
        <f>IF(E56=0,"",J56/E56)</f>
        <v>0.47911417376136151</v>
      </c>
      <c r="L56" s="8">
        <f>SUMIFS('{worksheet}'!$AD$3:$AD$4127,'{worksheet}'!$AB$3:$AB$4127,"H1_2026",'{worksheet}'!$M$3:$M$4127,$C56,'{worksheet}'!$AF$3:$AF$4127,"Sample")+SUMIFS('{worksheet}'!$AD$3:$AD$4127,'{worksheet}'!$AB$3:$AB$4127,"H1_2026",'{worksheet}'!$M$3:$M$4127,$C56,'{worksheet}'!$AF$3:$AF$4127,"FOC")</f>
        <v>0</v>
      </c>
      <c r="M56" t="str">
        <f>IF(AND(D56=0,E56&gt;0),"New in H1'26",IF(AND(D56&gt;0,E56=0),"Exited",IF(G56="","",IF(G56&gt;=0.2,"Growth",IF(G56&lt;=-0.2,"Decline","Stable")))))</f>
        <v>New in H1'26</v>
      </c>
    </row>
    <row r="57" spans="1:13" x14ac:dyDescent="0.3">
      <c r="A57" s="31">
        <v>32</v>
      </c>
      <c r="B57" t="s">
        <v>23107</v>
      </c>
      <c r="C57" t="s">
        <v>7532</v>
      </c>
      <c r="D57" s="8">
        <f>SUMIFS('{worksheet}'!$AC$3:$AC$4127,'{worksheet}'!$AB$3:$AB$4127,"H1_2025",'{worksheet}'!$M$3:$M$4127,$C57)</f>
        <v>0</v>
      </c>
      <c r="E57" s="8">
        <f>SUMIFS('{worksheet}'!$AC$3:$AC$4127,'{worksheet}'!$AB$3:$AB$4127,"H1_2026",'{worksheet}'!$M$3:$M$4127,$C57)</f>
        <v>5942074.9399999995</v>
      </c>
      <c r="F57" s="8">
        <f>E57-D57</f>
        <v>5942074.9399999995</v>
      </c>
      <c r="G57" s="9" t="str">
        <f>IF(D57=0,"",E57/D57-1)</f>
        <v/>
      </c>
      <c r="H57" s="8">
        <f>SUMIFS('{worksheet}'!$AD$3:$AD$4127,'{worksheet}'!$AB$3:$AB$4127,"H1_2025",'{worksheet}'!$M$3:$M$4127,$C57)</f>
        <v>0</v>
      </c>
      <c r="I57" s="8">
        <f>SUMIFS('{worksheet}'!$AD$3:$AD$4127,'{worksheet}'!$AB$3:$AB$4127,"H1_2026",'{worksheet}'!$M$3:$M$4127,$C57)</f>
        <v>420</v>
      </c>
      <c r="J57" s="8">
        <f>SUMIFS('{worksheet}'!$AE$3:$AE$4127,'{worksheet}'!$AB$3:$AB$4127,"H1_2026",'{worksheet}'!$M$3:$M$4127,$C57)</f>
        <v>1800193.13</v>
      </c>
      <c r="K57" s="9">
        <f>IF(E57=0,"",J57/E57)</f>
        <v>0.30295698862390991</v>
      </c>
      <c r="L57" s="8">
        <f>SUMIFS('{worksheet}'!$AD$3:$AD$4127,'{worksheet}'!$AB$3:$AB$4127,"H1_2026",'{worksheet}'!$M$3:$M$4127,$C57,'{worksheet}'!$AF$3:$AF$4127,"Sample")+SUMIFS('{worksheet}'!$AD$3:$AD$4127,'{worksheet}'!$AB$3:$AB$4127,"H1_2026",'{worksheet}'!$M$3:$M$4127,$C57,'{worksheet}'!$AF$3:$AF$4127,"FOC")</f>
        <v>0</v>
      </c>
      <c r="M57" t="str">
        <f>IF(AND(D57=0,E57&gt;0),"New in H1'26",IF(AND(D57&gt;0,E57=0),"Exited",IF(G57="","",IF(G57&gt;=0.2,"Growth",IF(G57&lt;=-0.2,"Decline","Stable")))))</f>
        <v>New in H1'26</v>
      </c>
    </row>
    <row r="58" spans="1:13" x14ac:dyDescent="0.3">
      <c r="A58" s="31">
        <v>33</v>
      </c>
      <c r="B58" t="s">
        <v>23108</v>
      </c>
      <c r="C58" t="s">
        <v>2710</v>
      </c>
      <c r="D58" s="8">
        <f>SUMIFS('{worksheet}'!$AC$3:$AC$4127,'{worksheet}'!$AB$3:$AB$4127,"H1_2025",'{worksheet}'!$M$3:$M$4127,$C58)</f>
        <v>0</v>
      </c>
      <c r="E58" s="8">
        <f>SUMIFS('{worksheet}'!$AC$3:$AC$4127,'{worksheet}'!$AB$3:$AB$4127,"H1_2026",'{worksheet}'!$M$3:$M$4127,$C58)</f>
        <v>5789049.5199999977</v>
      </c>
      <c r="F58" s="8">
        <f>E58-D58</f>
        <v>5789049.5199999977</v>
      </c>
      <c r="G58" s="9" t="str">
        <f>IF(D58=0,"",E58/D58-1)</f>
        <v/>
      </c>
      <c r="H58" s="8">
        <f>SUMIFS('{worksheet}'!$AD$3:$AD$4127,'{worksheet}'!$AB$3:$AB$4127,"H1_2025",'{worksheet}'!$M$3:$M$4127,$C58)</f>
        <v>0</v>
      </c>
      <c r="I58" s="8">
        <f>SUMIFS('{worksheet}'!$AD$3:$AD$4127,'{worksheet}'!$AB$3:$AB$4127,"H1_2026",'{worksheet}'!$M$3:$M$4127,$C58)</f>
        <v>629</v>
      </c>
      <c r="J58" s="8">
        <f>SUMIFS('{worksheet}'!$AE$3:$AE$4127,'{worksheet}'!$AB$3:$AB$4127,"H1_2026",'{worksheet}'!$M$3:$M$4127,$C58)</f>
        <v>1232293.54</v>
      </c>
      <c r="K58" s="9">
        <f>IF(E58=0,"",J58/E58)</f>
        <v>0.21286629795490167</v>
      </c>
      <c r="L58" s="8">
        <f>SUMIFS('{worksheet}'!$AD$3:$AD$4127,'{worksheet}'!$AB$3:$AB$4127,"H1_2026",'{worksheet}'!$M$3:$M$4127,$C58,'{worksheet}'!$AF$3:$AF$4127,"Sample")+SUMIFS('{worksheet}'!$AD$3:$AD$4127,'{worksheet}'!$AB$3:$AB$4127,"H1_2026",'{worksheet}'!$M$3:$M$4127,$C58,'{worksheet}'!$AF$3:$AF$4127,"FOC")</f>
        <v>0</v>
      </c>
      <c r="M58" t="str">
        <f>IF(AND(D58=0,E58&gt;0),"New in H1'26",IF(AND(D58&gt;0,E58=0),"Exited",IF(G58="","",IF(G58&gt;=0.2,"Growth",IF(G58&lt;=-0.2,"Decline","Stable")))))</f>
        <v>New in H1'26</v>
      </c>
    </row>
    <row r="59" spans="1:13" x14ac:dyDescent="0.3">
      <c r="A59" s="31">
        <v>34</v>
      </c>
      <c r="B59" t="s">
        <v>23109</v>
      </c>
      <c r="C59" t="s">
        <v>2372</v>
      </c>
      <c r="D59" s="8">
        <f>SUMIFS('{worksheet}'!$AC$3:$AC$4127,'{worksheet}'!$AB$3:$AB$4127,"H1_2025",'{worksheet}'!$M$3:$M$4127,$C59)</f>
        <v>267524</v>
      </c>
      <c r="E59" s="8">
        <f>SUMIFS('{worksheet}'!$AC$3:$AC$4127,'{worksheet}'!$AB$3:$AB$4127,"H1_2026",'{worksheet}'!$M$3:$M$4127,$C59)</f>
        <v>5035842.0599999987</v>
      </c>
      <c r="F59" s="8">
        <f>E59-D59</f>
        <v>4768318.0599999987</v>
      </c>
      <c r="G59" s="9">
        <f>IF(D59=0,"",E59/D59-1)</f>
        <v>17.823888922115394</v>
      </c>
      <c r="H59" s="8">
        <f>SUMIFS('{worksheet}'!$AD$3:$AD$4127,'{worksheet}'!$AB$3:$AB$4127,"H1_2025",'{worksheet}'!$M$3:$M$4127,$C59)</f>
        <v>25</v>
      </c>
      <c r="I59" s="8">
        <f>SUMIFS('{worksheet}'!$AD$3:$AD$4127,'{worksheet}'!$AB$3:$AB$4127,"H1_2026",'{worksheet}'!$M$3:$M$4127,$C59)</f>
        <v>432</v>
      </c>
      <c r="J59" s="8">
        <f>SUMIFS('{worksheet}'!$AE$3:$AE$4127,'{worksheet}'!$AB$3:$AB$4127,"H1_2026",'{worksheet}'!$M$3:$M$4127,$C59)</f>
        <v>1302311.8</v>
      </c>
      <c r="K59" s="9">
        <f>IF(E59=0,"",J59/E59)</f>
        <v>0.25860854738561845</v>
      </c>
      <c r="L59" s="8">
        <f>SUMIFS('{worksheet}'!$AD$3:$AD$4127,'{worksheet}'!$AB$3:$AB$4127,"H1_2026",'{worksheet}'!$M$3:$M$4127,$C59,'{worksheet}'!$AF$3:$AF$4127,"Sample")+SUMIFS('{worksheet}'!$AD$3:$AD$4127,'{worksheet}'!$AB$3:$AB$4127,"H1_2026",'{worksheet}'!$M$3:$M$4127,$C59,'{worksheet}'!$AF$3:$AF$4127,"FOC")</f>
        <v>0</v>
      </c>
      <c r="M59" t="str">
        <f>IF(AND(D59=0,E59&gt;0),"New in H1'26",IF(AND(D59&gt;0,E59=0),"Exited",IF(G59="","",IF(G59&gt;=0.2,"Growth",IF(G59&lt;=-0.2,"Decline","Stable")))))</f>
        <v>Growth</v>
      </c>
    </row>
    <row r="60" spans="1:13" x14ac:dyDescent="0.3">
      <c r="A60" s="31">
        <v>35</v>
      </c>
      <c r="B60" t="s">
        <v>23110</v>
      </c>
      <c r="C60" t="s">
        <v>194</v>
      </c>
      <c r="D60" s="8">
        <f>SUMIFS('{worksheet}'!$AC$3:$AC$4127,'{worksheet}'!$AB$3:$AB$4127,"H1_2025",'{worksheet}'!$M$3:$M$4127,$C60)</f>
        <v>5953920</v>
      </c>
      <c r="E60" s="8">
        <f>SUMIFS('{worksheet}'!$AC$3:$AC$4127,'{worksheet}'!$AB$3:$AB$4127,"H1_2026",'{worksheet}'!$M$3:$M$4127,$C60)</f>
        <v>4872686.6100000003</v>
      </c>
      <c r="F60" s="8">
        <f>E60-D60</f>
        <v>-1081233.3899999997</v>
      </c>
      <c r="G60" s="9">
        <f>IF(D60=0,"",E60/D60-1)</f>
        <v>-0.18160025495807797</v>
      </c>
      <c r="H60" s="8">
        <f>SUMIFS('{worksheet}'!$AD$3:$AD$4127,'{worksheet}'!$AB$3:$AB$4127,"H1_2025",'{worksheet}'!$M$3:$M$4127,$C60)</f>
        <v>400</v>
      </c>
      <c r="I60" s="8">
        <f>SUMIFS('{worksheet}'!$AD$3:$AD$4127,'{worksheet}'!$AB$3:$AB$4127,"H1_2026",'{worksheet}'!$M$3:$M$4127,$C60)</f>
        <v>464</v>
      </c>
      <c r="J60" s="8">
        <f>SUMIFS('{worksheet}'!$AE$3:$AE$4127,'{worksheet}'!$AB$3:$AB$4127,"H1_2026",'{worksheet}'!$M$3:$M$4127,$C60)</f>
        <v>1125777.52</v>
      </c>
      <c r="K60" s="9">
        <f>IF(E60=0,"",J60/E60)</f>
        <v>0.23103835934977152</v>
      </c>
      <c r="L60" s="8">
        <f>SUMIFS('{worksheet}'!$AD$3:$AD$4127,'{worksheet}'!$AB$3:$AB$4127,"H1_2026",'{worksheet}'!$M$3:$M$4127,$C60,'{worksheet}'!$AF$3:$AF$4127,"Sample")+SUMIFS('{worksheet}'!$AD$3:$AD$4127,'{worksheet}'!$AB$3:$AB$4127,"H1_2026",'{worksheet}'!$M$3:$M$4127,$C60,'{worksheet}'!$AF$3:$AF$4127,"FOC")</f>
        <v>0</v>
      </c>
      <c r="M60" t="str">
        <f>IF(AND(D60=0,E60&gt;0),"New in H1'26",IF(AND(D60&gt;0,E60=0),"Exited",IF(G60="","",IF(G60&gt;=0.2,"Growth",IF(G60&lt;=-0.2,"Decline","Stable")))))</f>
        <v>Stable</v>
      </c>
    </row>
    <row r="61" spans="1:13" x14ac:dyDescent="0.3">
      <c r="A61" s="31">
        <v>36</v>
      </c>
      <c r="B61" t="s">
        <v>23111</v>
      </c>
      <c r="C61" t="s">
        <v>1757</v>
      </c>
      <c r="D61" s="8">
        <f>SUMIFS('{worksheet}'!$AC$3:$AC$4127,'{worksheet}'!$AB$3:$AB$4127,"H1_2025",'{worksheet}'!$M$3:$M$4127,$C61)</f>
        <v>1802916.38</v>
      </c>
      <c r="E61" s="8">
        <f>SUMIFS('{worksheet}'!$AC$3:$AC$4127,'{worksheet}'!$AB$3:$AB$4127,"H1_2026",'{worksheet}'!$M$3:$M$4127,$C61)</f>
        <v>4756955.1100000003</v>
      </c>
      <c r="F61" s="8">
        <f>E61-D61</f>
        <v>2954038.7300000004</v>
      </c>
      <c r="G61" s="9">
        <f>IF(D61=0,"",E61/D61-1)</f>
        <v>1.6384779476017632</v>
      </c>
      <c r="H61" s="8">
        <f>SUMIFS('{worksheet}'!$AD$3:$AD$4127,'{worksheet}'!$AB$3:$AB$4127,"H1_2025",'{worksheet}'!$M$3:$M$4127,$C61)</f>
        <v>487</v>
      </c>
      <c r="I61" s="8">
        <f>SUMIFS('{worksheet}'!$AD$3:$AD$4127,'{worksheet}'!$AB$3:$AB$4127,"H1_2026",'{worksheet}'!$M$3:$M$4127,$C61)</f>
        <v>720</v>
      </c>
      <c r="J61" s="8">
        <f>SUMIFS('{worksheet}'!$AE$3:$AE$4127,'{worksheet}'!$AB$3:$AB$4127,"H1_2026",'{worksheet}'!$M$3:$M$4127,$C61)</f>
        <v>1197320.58</v>
      </c>
      <c r="K61" s="9">
        <f>IF(E61=0,"",J61/E61)</f>
        <v>0.25169894445356666</v>
      </c>
      <c r="L61" s="8">
        <f>SUMIFS('{worksheet}'!$AD$3:$AD$4127,'{worksheet}'!$AB$3:$AB$4127,"H1_2026",'{worksheet}'!$M$3:$M$4127,$C61,'{worksheet}'!$AF$3:$AF$4127,"Sample")+SUMIFS('{worksheet}'!$AD$3:$AD$4127,'{worksheet}'!$AB$3:$AB$4127,"H1_2026",'{worksheet}'!$M$3:$M$4127,$C61,'{worksheet}'!$AF$3:$AF$4127,"FOC")</f>
        <v>0</v>
      </c>
      <c r="M61" t="str">
        <f>IF(AND(D61=0,E61&gt;0),"New in H1'26",IF(AND(D61&gt;0,E61=0),"Exited",IF(G61="","",IF(G61&gt;=0.2,"Growth",IF(G61&lt;=-0.2,"Decline","Stable")))))</f>
        <v>Growth</v>
      </c>
    </row>
    <row r="62" spans="1:13" x14ac:dyDescent="0.3">
      <c r="A62" s="31">
        <v>37</v>
      </c>
      <c r="B62" t="s">
        <v>23112</v>
      </c>
      <c r="C62" t="s">
        <v>2631</v>
      </c>
      <c r="D62" s="8">
        <f>SUMIFS('{worksheet}'!$AC$3:$AC$4127,'{worksheet}'!$AB$3:$AB$4127,"H1_2025",'{worksheet}'!$M$3:$M$4127,$C62)</f>
        <v>3511921.87</v>
      </c>
      <c r="E62" s="8">
        <f>SUMIFS('{worksheet}'!$AC$3:$AC$4127,'{worksheet}'!$AB$3:$AB$4127,"H1_2026",'{worksheet}'!$M$3:$M$4127,$C62)</f>
        <v>4662397.5199999996</v>
      </c>
      <c r="F62" s="8">
        <f>E62-D62</f>
        <v>1150475.6499999994</v>
      </c>
      <c r="G62" s="9">
        <f>IF(D62=0,"",E62/D62-1)</f>
        <v>0.32759147059270988</v>
      </c>
      <c r="H62" s="8">
        <f>SUMIFS('{worksheet}'!$AD$3:$AD$4127,'{worksheet}'!$AB$3:$AB$4127,"H1_2025",'{worksheet}'!$M$3:$M$4127,$C62)</f>
        <v>645</v>
      </c>
      <c r="I62" s="8">
        <f>SUMIFS('{worksheet}'!$AD$3:$AD$4127,'{worksheet}'!$AB$3:$AB$4127,"H1_2026",'{worksheet}'!$M$3:$M$4127,$C62)</f>
        <v>1070</v>
      </c>
      <c r="J62" s="8">
        <f>SUMIFS('{worksheet}'!$AE$3:$AE$4127,'{worksheet}'!$AB$3:$AB$4127,"H1_2026",'{worksheet}'!$M$3:$M$4127,$C62)</f>
        <v>834724.85</v>
      </c>
      <c r="K62" s="9">
        <f>IF(E62=0,"",J62/E62)</f>
        <v>0.17903339353183254</v>
      </c>
      <c r="L62" s="8">
        <f>SUMIFS('{worksheet}'!$AD$3:$AD$4127,'{worksheet}'!$AB$3:$AB$4127,"H1_2026",'{worksheet}'!$M$3:$M$4127,$C62,'{worksheet}'!$AF$3:$AF$4127,"Sample")+SUMIFS('{worksheet}'!$AD$3:$AD$4127,'{worksheet}'!$AB$3:$AB$4127,"H1_2026",'{worksheet}'!$M$3:$M$4127,$C62,'{worksheet}'!$AF$3:$AF$4127,"FOC")</f>
        <v>0</v>
      </c>
      <c r="M62" t="str">
        <f>IF(AND(D62=0,E62&gt;0),"New in H1'26",IF(AND(D62&gt;0,E62=0),"Exited",IF(G62="","",IF(G62&gt;=0.2,"Growth",IF(G62&lt;=-0.2,"Decline","Stable")))))</f>
        <v>Growth</v>
      </c>
    </row>
    <row r="63" spans="1:13" x14ac:dyDescent="0.3">
      <c r="A63" s="31">
        <v>38</v>
      </c>
      <c r="B63" t="s">
        <v>23113</v>
      </c>
      <c r="C63" t="s">
        <v>10280</v>
      </c>
      <c r="D63" s="8">
        <f>SUMIFS('{worksheet}'!$AC$3:$AC$4127,'{worksheet}'!$AB$3:$AB$4127,"H1_2025",'{worksheet}'!$M$3:$M$4127,$C63)</f>
        <v>32705982.889999997</v>
      </c>
      <c r="E63" s="8">
        <f>SUMIFS('{worksheet}'!$AC$3:$AC$4127,'{worksheet}'!$AB$3:$AB$4127,"H1_2026",'{worksheet}'!$M$3:$M$4127,$C63)</f>
        <v>3771521.5999999996</v>
      </c>
      <c r="F63" s="8">
        <f>E63-D63</f>
        <v>-28934461.289999999</v>
      </c>
      <c r="G63" s="9">
        <f>IF(D63=0,"",E63/D63-1)</f>
        <v>-0.88468404656466815</v>
      </c>
      <c r="H63" s="8">
        <f>SUMIFS('{worksheet}'!$AD$3:$AD$4127,'{worksheet}'!$AB$3:$AB$4127,"H1_2025",'{worksheet}'!$M$3:$M$4127,$C63)</f>
        <v>58023</v>
      </c>
      <c r="I63" s="8">
        <f>SUMIFS('{worksheet}'!$AD$3:$AD$4127,'{worksheet}'!$AB$3:$AB$4127,"H1_2026",'{worksheet}'!$M$3:$M$4127,$C63)</f>
        <v>644</v>
      </c>
      <c r="J63" s="8">
        <f>SUMIFS('{worksheet}'!$AE$3:$AE$4127,'{worksheet}'!$AB$3:$AB$4127,"H1_2026",'{worksheet}'!$M$3:$M$4127,$C63)</f>
        <v>141401.60000000009</v>
      </c>
      <c r="K63" s="9">
        <f>IF(E63=0,"",J63/E63)</f>
        <v>3.7491923684064309E-2</v>
      </c>
      <c r="L63" s="8">
        <f>SUMIFS('{worksheet}'!$AD$3:$AD$4127,'{worksheet}'!$AB$3:$AB$4127,"H1_2026",'{worksheet}'!$M$3:$M$4127,$C63,'{worksheet}'!$AF$3:$AF$4127,"Sample")+SUMIFS('{worksheet}'!$AD$3:$AD$4127,'{worksheet}'!$AB$3:$AB$4127,"H1_2026",'{worksheet}'!$M$3:$M$4127,$C63,'{worksheet}'!$AF$3:$AF$4127,"FOC")</f>
        <v>244</v>
      </c>
      <c r="M63" t="str">
        <f>IF(AND(D63=0,E63&gt;0),"New in H1'26",IF(AND(D63&gt;0,E63=0),"Exited",IF(G63="","",IF(G63&gt;=0.2,"Growth",IF(G63&lt;=-0.2,"Decline","Stable")))))</f>
        <v>Decline</v>
      </c>
    </row>
    <row r="64" spans="1:13" x14ac:dyDescent="0.3">
      <c r="A64" s="31">
        <v>39</v>
      </c>
      <c r="B64" t="s">
        <v>23114</v>
      </c>
      <c r="C64" t="s">
        <v>3051</v>
      </c>
      <c r="D64" s="8">
        <f>SUMIFS('{worksheet}'!$AC$3:$AC$4127,'{worksheet}'!$AB$3:$AB$4127,"H1_2025",'{worksheet}'!$M$3:$M$4127,$C64)</f>
        <v>0</v>
      </c>
      <c r="E64" s="8">
        <f>SUMIFS('{worksheet}'!$AC$3:$AC$4127,'{worksheet}'!$AB$3:$AB$4127,"H1_2026",'{worksheet}'!$M$3:$M$4127,$C64)</f>
        <v>3182302.74</v>
      </c>
      <c r="F64" s="8">
        <f>E64-D64</f>
        <v>3182302.74</v>
      </c>
      <c r="G64" s="9" t="str">
        <f>IF(D64=0,"",E64/D64-1)</f>
        <v/>
      </c>
      <c r="H64" s="8">
        <f>SUMIFS('{worksheet}'!$AD$3:$AD$4127,'{worksheet}'!$AB$3:$AB$4127,"H1_2025",'{worksheet}'!$M$3:$M$4127,$C64)</f>
        <v>0</v>
      </c>
      <c r="I64" s="8">
        <f>SUMIFS('{worksheet}'!$AD$3:$AD$4127,'{worksheet}'!$AB$3:$AB$4127,"H1_2026",'{worksheet}'!$M$3:$M$4127,$C64)</f>
        <v>453</v>
      </c>
      <c r="J64" s="8">
        <f>SUMIFS('{worksheet}'!$AE$3:$AE$4127,'{worksheet}'!$AB$3:$AB$4127,"H1_2026",'{worksheet}'!$M$3:$M$4127,$C64)</f>
        <v>838620.75</v>
      </c>
      <c r="K64" s="9">
        <f>IF(E64=0,"",J64/E64)</f>
        <v>0.2635263890700732</v>
      </c>
      <c r="L64" s="8">
        <f>SUMIFS('{worksheet}'!$AD$3:$AD$4127,'{worksheet}'!$AB$3:$AB$4127,"H1_2026",'{worksheet}'!$M$3:$M$4127,$C64,'{worksheet}'!$AF$3:$AF$4127,"Sample")+SUMIFS('{worksheet}'!$AD$3:$AD$4127,'{worksheet}'!$AB$3:$AB$4127,"H1_2026",'{worksheet}'!$M$3:$M$4127,$C64,'{worksheet}'!$AF$3:$AF$4127,"FOC")</f>
        <v>0</v>
      </c>
      <c r="M64" t="str">
        <f>IF(AND(D64=0,E64&gt;0),"New in H1'26",IF(AND(D64&gt;0,E64=0),"Exited",IF(G64="","",IF(G64&gt;=0.2,"Growth",IF(G64&lt;=-0.2,"Decline","Stable")))))</f>
        <v>New in H1'26</v>
      </c>
    </row>
    <row r="65" spans="1:13" x14ac:dyDescent="0.3">
      <c r="A65" s="31">
        <v>40</v>
      </c>
      <c r="B65" t="s">
        <v>23115</v>
      </c>
      <c r="C65" t="s">
        <v>3227</v>
      </c>
      <c r="D65" s="8">
        <f>SUMIFS('{worksheet}'!$AC$3:$AC$4127,'{worksheet}'!$AB$3:$AB$4127,"H1_2025",'{worksheet}'!$M$3:$M$4127,$C65)</f>
        <v>0</v>
      </c>
      <c r="E65" s="8">
        <f>SUMIFS('{worksheet}'!$AC$3:$AC$4127,'{worksheet}'!$AB$3:$AB$4127,"H1_2026",'{worksheet}'!$M$3:$M$4127,$C65)</f>
        <v>3127060.22</v>
      </c>
      <c r="F65" s="8">
        <f>E65-D65</f>
        <v>3127060.22</v>
      </c>
      <c r="G65" s="9" t="str">
        <f>IF(D65=0,"",E65/D65-1)</f>
        <v/>
      </c>
      <c r="H65" s="8">
        <f>SUMIFS('{worksheet}'!$AD$3:$AD$4127,'{worksheet}'!$AB$3:$AB$4127,"H1_2025",'{worksheet}'!$M$3:$M$4127,$C65)</f>
        <v>15</v>
      </c>
      <c r="I65" s="8">
        <f>SUMIFS('{worksheet}'!$AD$3:$AD$4127,'{worksheet}'!$AB$3:$AB$4127,"H1_2026",'{worksheet}'!$M$3:$M$4127,$C65)</f>
        <v>422</v>
      </c>
      <c r="J65" s="8">
        <f>SUMIFS('{worksheet}'!$AE$3:$AE$4127,'{worksheet}'!$AB$3:$AB$4127,"H1_2026",'{worksheet}'!$M$3:$M$4127,$C65)</f>
        <v>816180.22000000009</v>
      </c>
      <c r="K65" s="9">
        <f>IF(E65=0,"",J65/E65)</f>
        <v>0.2610055971355742</v>
      </c>
      <c r="L65" s="8">
        <f>SUMIFS('{worksheet}'!$AD$3:$AD$4127,'{worksheet}'!$AB$3:$AB$4127,"H1_2026",'{worksheet}'!$M$3:$M$4127,$C65,'{worksheet}'!$AF$3:$AF$4127,"Sample")+SUMIFS('{worksheet}'!$AD$3:$AD$4127,'{worksheet}'!$AB$3:$AB$4127,"H1_2026",'{worksheet}'!$M$3:$M$4127,$C65,'{worksheet}'!$AF$3:$AF$4127,"FOC")</f>
        <v>0</v>
      </c>
      <c r="M65" t="str">
        <f>IF(AND(D65=0,E65&gt;0),"New in H1'26",IF(AND(D65&gt;0,E65=0),"Exited",IF(G65="","",IF(G65&gt;=0.2,"Growth",IF(G65&lt;=-0.2,"Decline","Stable")))))</f>
        <v>New in H1'26</v>
      </c>
    </row>
    <row r="66" spans="1:13" x14ac:dyDescent="0.3">
      <c r="A66" s="31">
        <v>41</v>
      </c>
      <c r="B66" t="s">
        <v>23116</v>
      </c>
      <c r="C66" t="s">
        <v>3198</v>
      </c>
      <c r="D66" s="8">
        <f>SUMIFS('{worksheet}'!$AC$3:$AC$4127,'{worksheet}'!$AB$3:$AB$4127,"H1_2025",'{worksheet}'!$M$3:$M$4127,$C66)</f>
        <v>6567448.9699999997</v>
      </c>
      <c r="E66" s="8">
        <f>SUMIFS('{worksheet}'!$AC$3:$AC$4127,'{worksheet}'!$AB$3:$AB$4127,"H1_2026",'{worksheet}'!$M$3:$M$4127,$C66)</f>
        <v>3061512.28</v>
      </c>
      <c r="F66" s="8">
        <f>E66-D66</f>
        <v>-3505936.69</v>
      </c>
      <c r="G66" s="9">
        <f>IF(D66=0,"",E66/D66-1)</f>
        <v>-0.53383539118690715</v>
      </c>
      <c r="H66" s="8">
        <f>SUMIFS('{worksheet}'!$AD$3:$AD$4127,'{worksheet}'!$AB$3:$AB$4127,"H1_2025",'{worksheet}'!$M$3:$M$4127,$C66)</f>
        <v>945</v>
      </c>
      <c r="I66" s="8">
        <f>SUMIFS('{worksheet}'!$AD$3:$AD$4127,'{worksheet}'!$AB$3:$AB$4127,"H1_2026",'{worksheet}'!$M$3:$M$4127,$C66)</f>
        <v>340</v>
      </c>
      <c r="J66" s="8">
        <f>SUMIFS('{worksheet}'!$AE$3:$AE$4127,'{worksheet}'!$AB$3:$AB$4127,"H1_2026",'{worksheet}'!$M$3:$M$4127,$C66)</f>
        <v>451512.27999999997</v>
      </c>
      <c r="K66" s="9">
        <f>IF(E66=0,"",J66/E66)</f>
        <v>0.14748014664177667</v>
      </c>
      <c r="L66" s="8">
        <f>SUMIFS('{worksheet}'!$AD$3:$AD$4127,'{worksheet}'!$AB$3:$AB$4127,"H1_2026",'{worksheet}'!$M$3:$M$4127,$C66,'{worksheet}'!$AF$3:$AF$4127,"Sample")+SUMIFS('{worksheet}'!$AD$3:$AD$4127,'{worksheet}'!$AB$3:$AB$4127,"H1_2026",'{worksheet}'!$M$3:$M$4127,$C66,'{worksheet}'!$AF$3:$AF$4127,"FOC")</f>
        <v>0</v>
      </c>
      <c r="M66" t="str">
        <f>IF(AND(D66=0,E66&gt;0),"New in H1'26",IF(AND(D66&gt;0,E66=0),"Exited",IF(G66="","",IF(G66&gt;=0.2,"Growth",IF(G66&lt;=-0.2,"Decline","Stable")))))</f>
        <v>Decline</v>
      </c>
    </row>
    <row r="67" spans="1:13" x14ac:dyDescent="0.3">
      <c r="A67" s="31">
        <v>42</v>
      </c>
      <c r="B67" t="s">
        <v>23117</v>
      </c>
      <c r="C67" t="s">
        <v>2680</v>
      </c>
      <c r="D67" s="8">
        <f>SUMIFS('{worksheet}'!$AC$3:$AC$4127,'{worksheet}'!$AB$3:$AB$4127,"H1_2025",'{worksheet}'!$M$3:$M$4127,$C67)</f>
        <v>0</v>
      </c>
      <c r="E67" s="8">
        <f>SUMIFS('{worksheet}'!$AC$3:$AC$4127,'{worksheet}'!$AB$3:$AB$4127,"H1_2026",'{worksheet}'!$M$3:$M$4127,$C67)</f>
        <v>2857060.2499999995</v>
      </c>
      <c r="F67" s="8">
        <f>E67-D67</f>
        <v>2857060.2499999995</v>
      </c>
      <c r="G67" s="9" t="str">
        <f>IF(D67=0,"",E67/D67-1)</f>
        <v/>
      </c>
      <c r="H67" s="8">
        <f>SUMIFS('{worksheet}'!$AD$3:$AD$4127,'{worksheet}'!$AB$3:$AB$4127,"H1_2025",'{worksheet}'!$M$3:$M$4127,$C67)</f>
        <v>0</v>
      </c>
      <c r="I67" s="8">
        <f>SUMIFS('{worksheet}'!$AD$3:$AD$4127,'{worksheet}'!$AB$3:$AB$4127,"H1_2026",'{worksheet}'!$M$3:$M$4127,$C67)</f>
        <v>362</v>
      </c>
      <c r="J67" s="8">
        <f>SUMIFS('{worksheet}'!$AE$3:$AE$4127,'{worksheet}'!$AB$3:$AB$4127,"H1_2026",'{worksheet}'!$M$3:$M$4127,$C67)</f>
        <v>1137100.25</v>
      </c>
      <c r="K67" s="9">
        <f>IF(E67=0,"",J67/E67)</f>
        <v>0.39799659457654074</v>
      </c>
      <c r="L67" s="8">
        <f>SUMIFS('{worksheet}'!$AD$3:$AD$4127,'{worksheet}'!$AB$3:$AB$4127,"H1_2026",'{worksheet}'!$M$3:$M$4127,$C67,'{worksheet}'!$AF$3:$AF$4127,"Sample")+SUMIFS('{worksheet}'!$AD$3:$AD$4127,'{worksheet}'!$AB$3:$AB$4127,"H1_2026",'{worksheet}'!$M$3:$M$4127,$C67,'{worksheet}'!$AF$3:$AF$4127,"FOC")</f>
        <v>1</v>
      </c>
      <c r="M67" t="str">
        <f>IF(AND(D67=0,E67&gt;0),"New in H1'26",IF(AND(D67&gt;0,E67=0),"Exited",IF(G67="","",IF(G67&gt;=0.2,"Growth",IF(G67&lt;=-0.2,"Decline","Stable")))))</f>
        <v>New in H1'26</v>
      </c>
    </row>
    <row r="68" spans="1:13" x14ac:dyDescent="0.3">
      <c r="A68" s="31">
        <v>43</v>
      </c>
      <c r="B68" t="s">
        <v>23118</v>
      </c>
      <c r="C68" t="s">
        <v>6785</v>
      </c>
      <c r="D68" s="8">
        <f>SUMIFS('{worksheet}'!$AC$3:$AC$4127,'{worksheet}'!$AB$3:$AB$4127,"H1_2025",'{worksheet}'!$M$3:$M$4127,$C68)</f>
        <v>0</v>
      </c>
      <c r="E68" s="8">
        <f>SUMIFS('{worksheet}'!$AC$3:$AC$4127,'{worksheet}'!$AB$3:$AB$4127,"H1_2026",'{worksheet}'!$M$3:$M$4127,$C68)</f>
        <v>2269415.88</v>
      </c>
      <c r="F68" s="8">
        <f>E68-D68</f>
        <v>2269415.88</v>
      </c>
      <c r="G68" s="9" t="str">
        <f>IF(D68=0,"",E68/D68-1)</f>
        <v/>
      </c>
      <c r="H68" s="8">
        <f>SUMIFS('{worksheet}'!$AD$3:$AD$4127,'{worksheet}'!$AB$3:$AB$4127,"H1_2025",'{worksheet}'!$M$3:$M$4127,$C68)</f>
        <v>0</v>
      </c>
      <c r="I68" s="8">
        <f>SUMIFS('{worksheet}'!$AD$3:$AD$4127,'{worksheet}'!$AB$3:$AB$4127,"H1_2026",'{worksheet}'!$M$3:$M$4127,$C68)</f>
        <v>270</v>
      </c>
      <c r="J68" s="8">
        <f>SUMIFS('{worksheet}'!$AE$3:$AE$4127,'{worksheet}'!$AB$3:$AB$4127,"H1_2026",'{worksheet}'!$M$3:$M$4127,$C68)</f>
        <v>674688.62</v>
      </c>
      <c r="K68" s="9">
        <f>IF(E68=0,"",J68/E68)</f>
        <v>0.2972961571062947</v>
      </c>
      <c r="L68" s="8">
        <f>SUMIFS('{worksheet}'!$AD$3:$AD$4127,'{worksheet}'!$AB$3:$AB$4127,"H1_2026",'{worksheet}'!$M$3:$M$4127,$C68,'{worksheet}'!$AF$3:$AF$4127,"Sample")+SUMIFS('{worksheet}'!$AD$3:$AD$4127,'{worksheet}'!$AB$3:$AB$4127,"H1_2026",'{worksheet}'!$M$3:$M$4127,$C68,'{worksheet}'!$AF$3:$AF$4127,"FOC")</f>
        <v>0</v>
      </c>
      <c r="M68" t="str">
        <f>IF(AND(D68=0,E68&gt;0),"New in H1'26",IF(AND(D68&gt;0,E68=0),"Exited",IF(G68="","",IF(G68&gt;=0.2,"Growth",IF(G68&lt;=-0.2,"Decline","Stable")))))</f>
        <v>New in H1'26</v>
      </c>
    </row>
    <row r="69" spans="1:13" x14ac:dyDescent="0.3">
      <c r="A69" s="31">
        <v>44</v>
      </c>
      <c r="B69" t="s">
        <v>23119</v>
      </c>
      <c r="C69" t="s">
        <v>3209</v>
      </c>
      <c r="D69" s="8">
        <f>SUMIFS('{worksheet}'!$AC$3:$AC$4127,'{worksheet}'!$AB$3:$AB$4127,"H1_2025",'{worksheet}'!$M$3:$M$4127,$C69)</f>
        <v>1219402.7999999998</v>
      </c>
      <c r="E69" s="8">
        <f>SUMIFS('{worksheet}'!$AC$3:$AC$4127,'{worksheet}'!$AB$3:$AB$4127,"H1_2026",'{worksheet}'!$M$3:$M$4127,$C69)</f>
        <v>1933046.6400000001</v>
      </c>
      <c r="F69" s="8">
        <f>E69-D69</f>
        <v>713643.84000000032</v>
      </c>
      <c r="G69" s="9">
        <f>IF(D69=0,"",E69/D69-1)</f>
        <v>0.58524044720907686</v>
      </c>
      <c r="H69" s="8">
        <f>SUMIFS('{worksheet}'!$AD$3:$AD$4127,'{worksheet}'!$AB$3:$AB$4127,"H1_2025",'{worksheet}'!$M$3:$M$4127,$C69)</f>
        <v>210</v>
      </c>
      <c r="I69" s="8">
        <f>SUMIFS('{worksheet}'!$AD$3:$AD$4127,'{worksheet}'!$AB$3:$AB$4127,"H1_2026",'{worksheet}'!$M$3:$M$4127,$C69)</f>
        <v>310</v>
      </c>
      <c r="J69" s="8">
        <f>SUMIFS('{worksheet}'!$AE$3:$AE$4127,'{worksheet}'!$AB$3:$AB$4127,"H1_2026",'{worksheet}'!$M$3:$M$4127,$C69)</f>
        <v>321046.64</v>
      </c>
      <c r="K69" s="9">
        <f>IF(E69=0,"",J69/E69)</f>
        <v>0.16608323532224759</v>
      </c>
      <c r="L69" s="8">
        <f>SUMIFS('{worksheet}'!$AD$3:$AD$4127,'{worksheet}'!$AB$3:$AB$4127,"H1_2026",'{worksheet}'!$M$3:$M$4127,$C69,'{worksheet}'!$AF$3:$AF$4127,"Sample")+SUMIFS('{worksheet}'!$AD$3:$AD$4127,'{worksheet}'!$AB$3:$AB$4127,"H1_2026",'{worksheet}'!$M$3:$M$4127,$C69,'{worksheet}'!$AF$3:$AF$4127,"FOC")</f>
        <v>0</v>
      </c>
      <c r="M69" t="str">
        <f>IF(AND(D69=0,E69&gt;0),"New in H1'26",IF(AND(D69&gt;0,E69=0),"Exited",IF(G69="","",IF(G69&gt;=0.2,"Growth",IF(G69&lt;=-0.2,"Decline","Stable")))))</f>
        <v>Growth</v>
      </c>
    </row>
    <row r="70" spans="1:13" x14ac:dyDescent="0.3">
      <c r="A70" s="31">
        <v>45</v>
      </c>
      <c r="B70" t="s">
        <v>23120</v>
      </c>
      <c r="C70" t="s">
        <v>8664</v>
      </c>
      <c r="D70" s="8">
        <f>SUMIFS('{worksheet}'!$AC$3:$AC$4127,'{worksheet}'!$AB$3:$AB$4127,"H1_2025",'{worksheet}'!$M$3:$M$4127,$C70)</f>
        <v>1197848.5900000001</v>
      </c>
      <c r="E70" s="8">
        <f>SUMIFS('{worksheet}'!$AC$3:$AC$4127,'{worksheet}'!$AB$3:$AB$4127,"H1_2026",'{worksheet}'!$M$3:$M$4127,$C70)</f>
        <v>1752966</v>
      </c>
      <c r="F70" s="8">
        <f>E70-D70</f>
        <v>555117.40999999992</v>
      </c>
      <c r="G70" s="9">
        <f>IF(D70=0,"",E70/D70-1)</f>
        <v>0.46342869594228087</v>
      </c>
      <c r="H70" s="8">
        <f>SUMIFS('{worksheet}'!$AD$3:$AD$4127,'{worksheet}'!$AB$3:$AB$4127,"H1_2025",'{worksheet}'!$M$3:$M$4127,$C70)</f>
        <v>185</v>
      </c>
      <c r="I70" s="8">
        <f>SUMIFS('{worksheet}'!$AD$3:$AD$4127,'{worksheet}'!$AB$3:$AB$4127,"H1_2026",'{worksheet}'!$M$3:$M$4127,$C70)</f>
        <v>290</v>
      </c>
      <c r="J70" s="8">
        <f>SUMIFS('{worksheet}'!$AE$3:$AE$4127,'{worksheet}'!$AB$3:$AB$4127,"H1_2026",'{worksheet}'!$M$3:$M$4127,$C70)</f>
        <v>411002.37999999995</v>
      </c>
      <c r="K70" s="9">
        <f>IF(E70=0,"",J70/E70)</f>
        <v>0.23446112474514619</v>
      </c>
      <c r="L70" s="8">
        <f>SUMIFS('{worksheet}'!$AD$3:$AD$4127,'{worksheet}'!$AB$3:$AB$4127,"H1_2026",'{worksheet}'!$M$3:$M$4127,$C70,'{worksheet}'!$AF$3:$AF$4127,"Sample")+SUMIFS('{worksheet}'!$AD$3:$AD$4127,'{worksheet}'!$AB$3:$AB$4127,"H1_2026",'{worksheet}'!$M$3:$M$4127,$C70,'{worksheet}'!$AF$3:$AF$4127,"FOC")</f>
        <v>0</v>
      </c>
      <c r="M70" t="str">
        <f>IF(AND(D70=0,E70&gt;0),"New in H1'26",IF(AND(D70&gt;0,E70=0),"Exited",IF(G70="","",IF(G70&gt;=0.2,"Growth",IF(G70&lt;=-0.2,"Decline","Stable")))))</f>
        <v>Growth</v>
      </c>
    </row>
    <row r="71" spans="1:13" x14ac:dyDescent="0.3">
      <c r="A71" s="31">
        <v>46</v>
      </c>
      <c r="B71" t="s">
        <v>23121</v>
      </c>
      <c r="C71" t="s">
        <v>4189</v>
      </c>
      <c r="D71" s="8">
        <f>SUMIFS('{worksheet}'!$AC$3:$AC$4127,'{worksheet}'!$AB$3:$AB$4127,"H1_2025",'{worksheet}'!$M$3:$M$4127,$C71)</f>
        <v>7233346.120000001</v>
      </c>
      <c r="E71" s="8">
        <f>SUMIFS('{worksheet}'!$AC$3:$AC$4127,'{worksheet}'!$AB$3:$AB$4127,"H1_2026",'{worksheet}'!$M$3:$M$4127,$C71)</f>
        <v>1641861.56</v>
      </c>
      <c r="F71" s="8">
        <f>E71-D71</f>
        <v>-5591484.5600000005</v>
      </c>
      <c r="G71" s="9">
        <f>IF(D71=0,"",E71/D71-1)</f>
        <v>-0.77301493212659933</v>
      </c>
      <c r="H71" s="8">
        <f>SUMIFS('{worksheet}'!$AD$3:$AD$4127,'{worksheet}'!$AB$3:$AB$4127,"H1_2025",'{worksheet}'!$M$3:$M$4127,$C71)</f>
        <v>897</v>
      </c>
      <c r="I71" s="8">
        <f>SUMIFS('{worksheet}'!$AD$3:$AD$4127,'{worksheet}'!$AB$3:$AB$4127,"H1_2026",'{worksheet}'!$M$3:$M$4127,$C71)</f>
        <v>137</v>
      </c>
      <c r="J71" s="8">
        <f>SUMIFS('{worksheet}'!$AE$3:$AE$4127,'{worksheet}'!$AB$3:$AB$4127,"H1_2026",'{worksheet}'!$M$3:$M$4127,$C71)</f>
        <v>286021.56</v>
      </c>
      <c r="K71" s="9">
        <f>IF(E71=0,"",J71/E71)</f>
        <v>0.1742056498356658</v>
      </c>
      <c r="L71" s="8">
        <f>SUMIFS('{worksheet}'!$AD$3:$AD$4127,'{worksheet}'!$AB$3:$AB$4127,"H1_2026",'{worksheet}'!$M$3:$M$4127,$C71,'{worksheet}'!$AF$3:$AF$4127,"Sample")+SUMIFS('{worksheet}'!$AD$3:$AD$4127,'{worksheet}'!$AB$3:$AB$4127,"H1_2026",'{worksheet}'!$M$3:$M$4127,$C71,'{worksheet}'!$AF$3:$AF$4127,"FOC")</f>
        <v>0</v>
      </c>
      <c r="M71" t="str">
        <f>IF(AND(D71=0,E71&gt;0),"New in H1'26",IF(AND(D71&gt;0,E71=0),"Exited",IF(G71="","",IF(G71&gt;=0.2,"Growth",IF(G71&lt;=-0.2,"Decline","Stable")))))</f>
        <v>Decline</v>
      </c>
    </row>
    <row r="72" spans="1:13" x14ac:dyDescent="0.3">
      <c r="A72" s="31">
        <v>47</v>
      </c>
      <c r="B72" t="s">
        <v>23122</v>
      </c>
      <c r="C72" t="s">
        <v>3629</v>
      </c>
      <c r="D72" s="8">
        <f>SUMIFS('{worksheet}'!$AC$3:$AC$4127,'{worksheet}'!$AB$3:$AB$4127,"H1_2025",'{worksheet}'!$M$3:$M$4127,$C72)</f>
        <v>3274365.69</v>
      </c>
      <c r="E72" s="8">
        <f>SUMIFS('{worksheet}'!$AC$3:$AC$4127,'{worksheet}'!$AB$3:$AB$4127,"H1_2026",'{worksheet}'!$M$3:$M$4127,$C72)</f>
        <v>1571238.46</v>
      </c>
      <c r="F72" s="8">
        <f>E72-D72</f>
        <v>-1703127.23</v>
      </c>
      <c r="G72" s="9">
        <f>IF(D72=0,"",E72/D72-1)</f>
        <v>-0.52013959076147054</v>
      </c>
      <c r="H72" s="8">
        <f>SUMIFS('{worksheet}'!$AD$3:$AD$4127,'{worksheet}'!$AB$3:$AB$4127,"H1_2025",'{worksheet}'!$M$3:$M$4127,$C72)</f>
        <v>362</v>
      </c>
      <c r="I72" s="8">
        <f>SUMIFS('{worksheet}'!$AD$3:$AD$4127,'{worksheet}'!$AB$3:$AB$4127,"H1_2026",'{worksheet}'!$M$3:$M$4127,$C72)</f>
        <v>156</v>
      </c>
      <c r="J72" s="8">
        <f>SUMIFS('{worksheet}'!$AE$3:$AE$4127,'{worksheet}'!$AB$3:$AB$4127,"H1_2026",'{worksheet}'!$M$3:$M$4127,$C72)</f>
        <v>298463.28000000003</v>
      </c>
      <c r="K72" s="9">
        <f>IF(E72=0,"",J72/E72)</f>
        <v>0.18995415883595418</v>
      </c>
      <c r="L72" s="8">
        <f>SUMIFS('{worksheet}'!$AD$3:$AD$4127,'{worksheet}'!$AB$3:$AB$4127,"H1_2026",'{worksheet}'!$M$3:$M$4127,$C72,'{worksheet}'!$AF$3:$AF$4127,"Sample")+SUMIFS('{worksheet}'!$AD$3:$AD$4127,'{worksheet}'!$AB$3:$AB$4127,"H1_2026",'{worksheet}'!$M$3:$M$4127,$C72,'{worksheet}'!$AF$3:$AF$4127,"FOC")</f>
        <v>0</v>
      </c>
      <c r="M72" t="str">
        <f>IF(AND(D72=0,E72&gt;0),"New in H1'26",IF(AND(D72&gt;0,E72=0),"Exited",IF(G72="","",IF(G72&gt;=0.2,"Growth",IF(G72&lt;=-0.2,"Decline","Stable")))))</f>
        <v>Decline</v>
      </c>
    </row>
    <row r="73" spans="1:13" x14ac:dyDescent="0.3">
      <c r="A73" s="31">
        <v>48</v>
      </c>
      <c r="B73" t="s">
        <v>23123</v>
      </c>
      <c r="C73" t="s">
        <v>5102</v>
      </c>
      <c r="D73" s="8">
        <f>SUMIFS('{worksheet}'!$AC$3:$AC$4127,'{worksheet}'!$AB$3:$AB$4127,"H1_2025",'{worksheet}'!$M$3:$M$4127,$C73)</f>
        <v>88761308.809999987</v>
      </c>
      <c r="E73" s="8">
        <f>SUMIFS('{worksheet}'!$AC$3:$AC$4127,'{worksheet}'!$AB$3:$AB$4127,"H1_2026",'{worksheet}'!$M$3:$M$4127,$C73)</f>
        <v>1414423.46</v>
      </c>
      <c r="F73" s="8">
        <f>E73-D73</f>
        <v>-87346885.349999994</v>
      </c>
      <c r="G73" s="9">
        <f>IF(D73=0,"",E73/D73-1)</f>
        <v>-0.9840648647596254</v>
      </c>
      <c r="H73" s="8">
        <f>SUMIFS('{worksheet}'!$AD$3:$AD$4127,'{worksheet}'!$AB$3:$AB$4127,"H1_2025",'{worksheet}'!$M$3:$M$4127,$C73)</f>
        <v>6444</v>
      </c>
      <c r="I73" s="8">
        <f>SUMIFS('{worksheet}'!$AD$3:$AD$4127,'{worksheet}'!$AB$3:$AB$4127,"H1_2026",'{worksheet}'!$M$3:$M$4127,$C73)</f>
        <v>180</v>
      </c>
      <c r="J73" s="8">
        <f>SUMIFS('{worksheet}'!$AE$3:$AE$4127,'{worksheet}'!$AB$3:$AB$4127,"H1_2026",'{worksheet}'!$M$3:$M$4127,$C73)</f>
        <v>420819.45999999996</v>
      </c>
      <c r="K73" s="9">
        <f>IF(E73=0,"",J73/E73)</f>
        <v>0.29752013587218074</v>
      </c>
      <c r="L73" s="8">
        <f>SUMIFS('{worksheet}'!$AD$3:$AD$4127,'{worksheet}'!$AB$3:$AB$4127,"H1_2026",'{worksheet}'!$M$3:$M$4127,$C73,'{worksheet}'!$AF$3:$AF$4127,"Sample")+SUMIFS('{worksheet}'!$AD$3:$AD$4127,'{worksheet}'!$AB$3:$AB$4127,"H1_2026",'{worksheet}'!$M$3:$M$4127,$C73,'{worksheet}'!$AF$3:$AF$4127,"FOC")</f>
        <v>0</v>
      </c>
      <c r="M73" t="str">
        <f>IF(AND(D73=0,E73&gt;0),"New in H1'26",IF(AND(D73&gt;0,E73=0),"Exited",IF(G73="","",IF(G73&gt;=0.2,"Growth",IF(G73&lt;=-0.2,"Decline","Stable")))))</f>
        <v>Decline</v>
      </c>
    </row>
    <row r="74" spans="1:13" x14ac:dyDescent="0.3">
      <c r="A74" s="31">
        <v>49</v>
      </c>
      <c r="B74" t="s">
        <v>23124</v>
      </c>
      <c r="C74" t="s">
        <v>7619</v>
      </c>
      <c r="D74" s="8">
        <f>SUMIFS('{worksheet}'!$AC$3:$AC$4127,'{worksheet}'!$AB$3:$AB$4127,"H1_2025",'{worksheet}'!$M$3:$M$4127,$C74)</f>
        <v>4908530.5999999996</v>
      </c>
      <c r="E74" s="8">
        <f>SUMIFS('{worksheet}'!$AC$3:$AC$4127,'{worksheet}'!$AB$3:$AB$4127,"H1_2026",'{worksheet}'!$M$3:$M$4127,$C74)</f>
        <v>1196623.0900000001</v>
      </c>
      <c r="F74" s="8">
        <f>E74-D74</f>
        <v>-3711907.51</v>
      </c>
      <c r="G74" s="9">
        <f>IF(D74=0,"",E74/D74-1)</f>
        <v>-0.75621561980279794</v>
      </c>
      <c r="H74" s="8">
        <f>SUMIFS('{worksheet}'!$AD$3:$AD$4127,'{worksheet}'!$AB$3:$AB$4127,"H1_2025",'{worksheet}'!$M$3:$M$4127,$C74)</f>
        <v>700</v>
      </c>
      <c r="I74" s="8">
        <f>SUMIFS('{worksheet}'!$AD$3:$AD$4127,'{worksheet}'!$AB$3:$AB$4127,"H1_2026",'{worksheet}'!$M$3:$M$4127,$C74)</f>
        <v>116</v>
      </c>
      <c r="J74" s="8">
        <f>SUMIFS('{worksheet}'!$AE$3:$AE$4127,'{worksheet}'!$AB$3:$AB$4127,"H1_2026",'{worksheet}'!$M$3:$M$4127,$C74)</f>
        <v>250063.09000000003</v>
      </c>
      <c r="K74" s="9">
        <f>IF(E74=0,"",J74/E74)</f>
        <v>0.20897398026976063</v>
      </c>
      <c r="L74" s="8">
        <f>SUMIFS('{worksheet}'!$AD$3:$AD$4127,'{worksheet}'!$AB$3:$AB$4127,"H1_2026",'{worksheet}'!$M$3:$M$4127,$C74,'{worksheet}'!$AF$3:$AF$4127,"Sample")+SUMIFS('{worksheet}'!$AD$3:$AD$4127,'{worksheet}'!$AB$3:$AB$4127,"H1_2026",'{worksheet}'!$M$3:$M$4127,$C74,'{worksheet}'!$AF$3:$AF$4127,"FOC")</f>
        <v>0</v>
      </c>
      <c r="M74" t="str">
        <f>IF(AND(D74=0,E74&gt;0),"New in H1'26",IF(AND(D74&gt;0,E74=0),"Exited",IF(G74="","",IF(G74&gt;=0.2,"Growth",IF(G74&lt;=-0.2,"Decline","Stable")))))</f>
        <v>Decline</v>
      </c>
    </row>
    <row r="75" spans="1:13" x14ac:dyDescent="0.3">
      <c r="A75" s="31">
        <v>50</v>
      </c>
      <c r="B75" t="s">
        <v>23125</v>
      </c>
      <c r="C75" t="s">
        <v>7336</v>
      </c>
      <c r="D75" s="8">
        <f>SUMIFS('{worksheet}'!$AC$3:$AC$4127,'{worksheet}'!$AB$3:$AB$4127,"H1_2025",'{worksheet}'!$M$3:$M$4127,$C75)</f>
        <v>559036.92000000004</v>
      </c>
      <c r="E75" s="8">
        <f>SUMIFS('{worksheet}'!$AC$3:$AC$4127,'{worksheet}'!$AB$3:$AB$4127,"H1_2026",'{worksheet}'!$M$3:$M$4127,$C75)</f>
        <v>1155044.18</v>
      </c>
      <c r="F75" s="8">
        <f>E75-D75</f>
        <v>596007.25999999989</v>
      </c>
      <c r="G75" s="9">
        <f>IF(D75=0,"",E75/D75-1)</f>
        <v>1.0661321974942188</v>
      </c>
      <c r="H75" s="8">
        <f>SUMIFS('{worksheet}'!$AD$3:$AD$4127,'{worksheet}'!$AB$3:$AB$4127,"H1_2025",'{worksheet}'!$M$3:$M$4127,$C75)</f>
        <v>58</v>
      </c>
      <c r="I75" s="8">
        <f>SUMIFS('{worksheet}'!$AD$3:$AD$4127,'{worksheet}'!$AB$3:$AB$4127,"H1_2026",'{worksheet}'!$M$3:$M$4127,$C75)</f>
        <v>134</v>
      </c>
      <c r="J75" s="8">
        <f>SUMIFS('{worksheet}'!$AE$3:$AE$4127,'{worksheet}'!$AB$3:$AB$4127,"H1_2026",'{worksheet}'!$M$3:$M$4127,$C75)</f>
        <v>336391.29000000004</v>
      </c>
      <c r="K75" s="9">
        <f>IF(E75=0,"",J75/E75)</f>
        <v>0.29123673000975603</v>
      </c>
      <c r="L75" s="8">
        <f>SUMIFS('{worksheet}'!$AD$3:$AD$4127,'{worksheet}'!$AB$3:$AB$4127,"H1_2026",'{worksheet}'!$M$3:$M$4127,$C75,'{worksheet}'!$AF$3:$AF$4127,"Sample")+SUMIFS('{worksheet}'!$AD$3:$AD$4127,'{worksheet}'!$AB$3:$AB$4127,"H1_2026",'{worksheet}'!$M$3:$M$4127,$C75,'{worksheet}'!$AF$3:$AF$4127,"FOC")</f>
        <v>0</v>
      </c>
      <c r="M75" t="str">
        <f>IF(AND(D75=0,E75&gt;0),"New in H1'26",IF(AND(D75&gt;0,E75=0),"Exited",IF(G75="","",IF(G75&gt;=0.2,"Growth",IF(G75&lt;=-0.2,"Decline","Stable")))))</f>
        <v>Growth</v>
      </c>
    </row>
    <row r="76" spans="1:13" x14ac:dyDescent="0.3">
      <c r="A76" s="31">
        <v>51</v>
      </c>
      <c r="B76" t="s">
        <v>23126</v>
      </c>
      <c r="C76" t="s">
        <v>8850</v>
      </c>
      <c r="D76" s="8">
        <f>SUMIFS('{worksheet}'!$AC$3:$AC$4127,'{worksheet}'!$AB$3:$AB$4127,"H1_2025",'{worksheet}'!$M$3:$M$4127,$C76)</f>
        <v>0</v>
      </c>
      <c r="E76" s="8">
        <f>SUMIFS('{worksheet}'!$AC$3:$AC$4127,'{worksheet}'!$AB$3:$AB$4127,"H1_2026",'{worksheet}'!$M$3:$M$4127,$C76)</f>
        <v>1091624.04</v>
      </c>
      <c r="F76" s="8">
        <f>E76-D76</f>
        <v>1091624.04</v>
      </c>
      <c r="G76" s="9" t="str">
        <f>IF(D76=0,"",E76/D76-1)</f>
        <v/>
      </c>
      <c r="H76" s="8">
        <f>SUMIFS('{worksheet}'!$AD$3:$AD$4127,'{worksheet}'!$AB$3:$AB$4127,"H1_2025",'{worksheet}'!$M$3:$M$4127,$C76)</f>
        <v>0</v>
      </c>
      <c r="I76" s="8">
        <f>SUMIFS('{worksheet}'!$AD$3:$AD$4127,'{worksheet}'!$AB$3:$AB$4127,"H1_2026",'{worksheet}'!$M$3:$M$4127,$C76)</f>
        <v>140</v>
      </c>
      <c r="J76" s="8">
        <f>SUMIFS('{worksheet}'!$AE$3:$AE$4127,'{worksheet}'!$AB$3:$AB$4127,"H1_2026",'{worksheet}'!$M$3:$M$4127,$C76)</f>
        <v>272624.03999999998</v>
      </c>
      <c r="K76" s="9">
        <f>IF(E76=0,"",J76/E76)</f>
        <v>0.24974169678417851</v>
      </c>
      <c r="L76" s="8">
        <f>SUMIFS('{worksheet}'!$AD$3:$AD$4127,'{worksheet}'!$AB$3:$AB$4127,"H1_2026",'{worksheet}'!$M$3:$M$4127,$C76,'{worksheet}'!$AF$3:$AF$4127,"Sample")+SUMIFS('{worksheet}'!$AD$3:$AD$4127,'{worksheet}'!$AB$3:$AB$4127,"H1_2026",'{worksheet}'!$M$3:$M$4127,$C76,'{worksheet}'!$AF$3:$AF$4127,"FOC")</f>
        <v>0</v>
      </c>
      <c r="M76" t="str">
        <f>IF(AND(D76=0,E76&gt;0),"New in H1'26",IF(AND(D76&gt;0,E76=0),"Exited",IF(G76="","",IF(G76&gt;=0.2,"Growth",IF(G76&lt;=-0.2,"Decline","Stable")))))</f>
        <v>New in H1'26</v>
      </c>
    </row>
    <row r="77" spans="1:13" x14ac:dyDescent="0.3">
      <c r="A77" s="31">
        <v>52</v>
      </c>
      <c r="B77" t="s">
        <v>23127</v>
      </c>
      <c r="C77" t="s">
        <v>3116</v>
      </c>
      <c r="D77" s="8">
        <f>SUMIFS('{worksheet}'!$AC$3:$AC$4127,'{worksheet}'!$AB$3:$AB$4127,"H1_2025",'{worksheet}'!$M$3:$M$4127,$C77)</f>
        <v>0</v>
      </c>
      <c r="E77" s="8">
        <f>SUMIFS('{worksheet}'!$AC$3:$AC$4127,'{worksheet}'!$AB$3:$AB$4127,"H1_2026",'{worksheet}'!$M$3:$M$4127,$C77)</f>
        <v>733362.37</v>
      </c>
      <c r="F77" s="8">
        <f>E77-D77</f>
        <v>733362.37</v>
      </c>
      <c r="G77" s="9" t="str">
        <f>IF(D77=0,"",E77/D77-1)</f>
        <v/>
      </c>
      <c r="H77" s="8">
        <f>SUMIFS('{worksheet}'!$AD$3:$AD$4127,'{worksheet}'!$AB$3:$AB$4127,"H1_2025",'{worksheet}'!$M$3:$M$4127,$C77)</f>
        <v>0</v>
      </c>
      <c r="I77" s="8">
        <f>SUMIFS('{worksheet}'!$AD$3:$AD$4127,'{worksheet}'!$AB$3:$AB$4127,"H1_2026",'{worksheet}'!$M$3:$M$4127,$C77)</f>
        <v>103</v>
      </c>
      <c r="J77" s="8">
        <f>SUMIFS('{worksheet}'!$AE$3:$AE$4127,'{worksheet}'!$AB$3:$AB$4127,"H1_2026",'{worksheet}'!$M$3:$M$4127,$C77)</f>
        <v>154362.37</v>
      </c>
      <c r="K77" s="9">
        <f>IF(E77=0,"",J77/E77)</f>
        <v>0.21048580662790212</v>
      </c>
      <c r="L77" s="8">
        <f>SUMIFS('{worksheet}'!$AD$3:$AD$4127,'{worksheet}'!$AB$3:$AB$4127,"H1_2026",'{worksheet}'!$M$3:$M$4127,$C77,'{worksheet}'!$AF$3:$AF$4127,"Sample")+SUMIFS('{worksheet}'!$AD$3:$AD$4127,'{worksheet}'!$AB$3:$AB$4127,"H1_2026",'{worksheet}'!$M$3:$M$4127,$C77,'{worksheet}'!$AF$3:$AF$4127,"FOC")</f>
        <v>0</v>
      </c>
      <c r="M77" t="str">
        <f>IF(AND(D77=0,E77&gt;0),"New in H1'26",IF(AND(D77&gt;0,E77=0),"Exited",IF(G77="","",IF(G77&gt;=0.2,"Growth",IF(G77&lt;=-0.2,"Decline","Stable")))))</f>
        <v>New in H1'26</v>
      </c>
    </row>
    <row r="78" spans="1:13" x14ac:dyDescent="0.3">
      <c r="A78" s="31">
        <v>53</v>
      </c>
      <c r="B78" t="s">
        <v>23128</v>
      </c>
      <c r="C78" t="s">
        <v>7317</v>
      </c>
      <c r="D78" s="8">
        <f>SUMIFS('{worksheet}'!$AC$3:$AC$4127,'{worksheet}'!$AB$3:$AB$4127,"H1_2025",'{worksheet}'!$M$3:$M$4127,$C78)</f>
        <v>0</v>
      </c>
      <c r="E78" s="8">
        <f>SUMIFS('{worksheet}'!$AC$3:$AC$4127,'{worksheet}'!$AB$3:$AB$4127,"H1_2026",'{worksheet}'!$M$3:$M$4127,$C78)</f>
        <v>727341.12</v>
      </c>
      <c r="F78" s="8">
        <f>E78-D78</f>
        <v>727341.12</v>
      </c>
      <c r="G78" s="9" t="str">
        <f>IF(D78=0,"",E78/D78-1)</f>
        <v/>
      </c>
      <c r="H78" s="8">
        <f>SUMIFS('{worksheet}'!$AD$3:$AD$4127,'{worksheet}'!$AB$3:$AB$4127,"H1_2025",'{worksheet}'!$M$3:$M$4127,$C78)</f>
        <v>0</v>
      </c>
      <c r="I78" s="8">
        <f>SUMIFS('{worksheet}'!$AD$3:$AD$4127,'{worksheet}'!$AB$3:$AB$4127,"H1_2026",'{worksheet}'!$M$3:$M$4127,$C78)</f>
        <v>109</v>
      </c>
      <c r="J78" s="8">
        <f>SUMIFS('{worksheet}'!$AE$3:$AE$4127,'{worksheet}'!$AB$3:$AB$4127,"H1_2026",'{worksheet}'!$M$3:$M$4127,$C78)</f>
        <v>593941.12</v>
      </c>
      <c r="K78" s="9">
        <f>IF(E78=0,"",J78/E78)</f>
        <v>0.81659224766502958</v>
      </c>
      <c r="L78" s="8">
        <f>SUMIFS('{worksheet}'!$AD$3:$AD$4127,'{worksheet}'!$AB$3:$AB$4127,"H1_2026",'{worksheet}'!$M$3:$M$4127,$C78,'{worksheet}'!$AF$3:$AF$4127,"Sample")+SUMIFS('{worksheet}'!$AD$3:$AD$4127,'{worksheet}'!$AB$3:$AB$4127,"H1_2026",'{worksheet}'!$M$3:$M$4127,$C78,'{worksheet}'!$AF$3:$AF$4127,"FOC")</f>
        <v>0</v>
      </c>
      <c r="M78" t="str">
        <f>IF(AND(D78=0,E78&gt;0),"New in H1'26",IF(AND(D78&gt;0,E78=0),"Exited",IF(G78="","",IF(G78&gt;=0.2,"Growth",IF(G78&lt;=-0.2,"Decline","Stable")))))</f>
        <v>New in H1'26</v>
      </c>
    </row>
    <row r="79" spans="1:13" x14ac:dyDescent="0.3">
      <c r="A79" s="31">
        <v>54</v>
      </c>
      <c r="B79" t="s">
        <v>23129</v>
      </c>
      <c r="C79" t="s">
        <v>3474</v>
      </c>
      <c r="D79" s="8">
        <f>SUMIFS('{worksheet}'!$AC$3:$AC$4127,'{worksheet}'!$AB$3:$AB$4127,"H1_2025",'{worksheet}'!$M$3:$M$4127,$C79)</f>
        <v>0</v>
      </c>
      <c r="E79" s="8">
        <f>SUMIFS('{worksheet}'!$AC$3:$AC$4127,'{worksheet}'!$AB$3:$AB$4127,"H1_2026",'{worksheet}'!$M$3:$M$4127,$C79)</f>
        <v>701658.32</v>
      </c>
      <c r="F79" s="8">
        <f>E79-D79</f>
        <v>701658.32</v>
      </c>
      <c r="G79" s="9" t="str">
        <f>IF(D79=0,"",E79/D79-1)</f>
        <v/>
      </c>
      <c r="H79" s="8">
        <f>SUMIFS('{worksheet}'!$AD$3:$AD$4127,'{worksheet}'!$AB$3:$AB$4127,"H1_2025",'{worksheet}'!$M$3:$M$4127,$C79)</f>
        <v>0</v>
      </c>
      <c r="I79" s="8">
        <f>SUMIFS('{worksheet}'!$AD$3:$AD$4127,'{worksheet}'!$AB$3:$AB$4127,"H1_2026",'{worksheet}'!$M$3:$M$4127,$C79)</f>
        <v>22</v>
      </c>
      <c r="J79" s="8">
        <f>SUMIFS('{worksheet}'!$AE$3:$AE$4127,'{worksheet}'!$AB$3:$AB$4127,"H1_2026",'{worksheet}'!$M$3:$M$4127,$C79)</f>
        <v>523458.32</v>
      </c>
      <c r="K79" s="9">
        <f>IF(E79=0,"",J79/E79)</f>
        <v>0.74603023306272498</v>
      </c>
      <c r="L79" s="8">
        <f>SUMIFS('{worksheet}'!$AD$3:$AD$4127,'{worksheet}'!$AB$3:$AB$4127,"H1_2026",'{worksheet}'!$M$3:$M$4127,$C79,'{worksheet}'!$AF$3:$AF$4127,"Sample")+SUMIFS('{worksheet}'!$AD$3:$AD$4127,'{worksheet}'!$AB$3:$AB$4127,"H1_2026",'{worksheet}'!$M$3:$M$4127,$C79,'{worksheet}'!$AF$3:$AF$4127,"FOC")</f>
        <v>0</v>
      </c>
      <c r="M79" t="str">
        <f>IF(AND(D79=0,E79&gt;0),"New in H1'26",IF(AND(D79&gt;0,E79=0),"Exited",IF(G79="","",IF(G79&gt;=0.2,"Growth",IF(G79&lt;=-0.2,"Decline","Stable")))))</f>
        <v>New in H1'26</v>
      </c>
    </row>
    <row r="80" spans="1:13" x14ac:dyDescent="0.3">
      <c r="A80" s="31">
        <v>55</v>
      </c>
      <c r="B80" t="s">
        <v>23130</v>
      </c>
      <c r="C80" t="s">
        <v>4179</v>
      </c>
      <c r="D80" s="8">
        <f>SUMIFS('{worksheet}'!$AC$3:$AC$4127,'{worksheet}'!$AB$3:$AB$4127,"H1_2025",'{worksheet}'!$M$3:$M$4127,$C80)</f>
        <v>0</v>
      </c>
      <c r="E80" s="8">
        <f>SUMIFS('{worksheet}'!$AC$3:$AC$4127,'{worksheet}'!$AB$3:$AB$4127,"H1_2026",'{worksheet}'!$M$3:$M$4127,$C80)</f>
        <v>592978.07999999996</v>
      </c>
      <c r="F80" s="8">
        <f>E80-D80</f>
        <v>592978.07999999996</v>
      </c>
      <c r="G80" s="9" t="str">
        <f>IF(D80=0,"",E80/D80-1)</f>
        <v/>
      </c>
      <c r="H80" s="8">
        <f>SUMIFS('{worksheet}'!$AD$3:$AD$4127,'{worksheet}'!$AB$3:$AB$4127,"H1_2025",'{worksheet}'!$M$3:$M$4127,$C80)</f>
        <v>0</v>
      </c>
      <c r="I80" s="8">
        <f>SUMIFS('{worksheet}'!$AD$3:$AD$4127,'{worksheet}'!$AB$3:$AB$4127,"H1_2026",'{worksheet}'!$M$3:$M$4127,$C80)</f>
        <v>40</v>
      </c>
      <c r="J80" s="8">
        <f>SUMIFS('{worksheet}'!$AE$3:$AE$4127,'{worksheet}'!$AB$3:$AB$4127,"H1_2026",'{worksheet}'!$M$3:$M$4127,$C80)</f>
        <v>284978.08</v>
      </c>
      <c r="K80" s="9">
        <f>IF(E80=0,"",J80/E80)</f>
        <v>0.48058788277637521</v>
      </c>
      <c r="L80" s="8">
        <f>SUMIFS('{worksheet}'!$AD$3:$AD$4127,'{worksheet}'!$AB$3:$AB$4127,"H1_2026",'{worksheet}'!$M$3:$M$4127,$C80,'{worksheet}'!$AF$3:$AF$4127,"Sample")+SUMIFS('{worksheet}'!$AD$3:$AD$4127,'{worksheet}'!$AB$3:$AB$4127,"H1_2026",'{worksheet}'!$M$3:$M$4127,$C80,'{worksheet}'!$AF$3:$AF$4127,"FOC")</f>
        <v>0</v>
      </c>
      <c r="M80" t="str">
        <f>IF(AND(D80=0,E80&gt;0),"New in H1'26",IF(AND(D80&gt;0,E80=0),"Exited",IF(G80="","",IF(G80&gt;=0.2,"Growth",IF(G80&lt;=-0.2,"Decline","Stable")))))</f>
        <v>New in H1'26</v>
      </c>
    </row>
    <row r="81" spans="1:13" x14ac:dyDescent="0.3">
      <c r="A81" s="31">
        <v>56</v>
      </c>
      <c r="B81" t="s">
        <v>23131</v>
      </c>
      <c r="C81" t="s">
        <v>8178</v>
      </c>
      <c r="D81" s="8">
        <f>SUMIFS('{worksheet}'!$AC$3:$AC$4127,'{worksheet}'!$AB$3:$AB$4127,"H1_2025",'{worksheet}'!$M$3:$M$4127,$C81)</f>
        <v>0</v>
      </c>
      <c r="E81" s="8">
        <f>SUMIFS('{worksheet}'!$AC$3:$AC$4127,'{worksheet}'!$AB$3:$AB$4127,"H1_2026",'{worksheet}'!$M$3:$M$4127,$C81)</f>
        <v>562811.13</v>
      </c>
      <c r="F81" s="8">
        <f>E81-D81</f>
        <v>562811.13</v>
      </c>
      <c r="G81" s="9" t="str">
        <f>IF(D81=0,"",E81/D81-1)</f>
        <v/>
      </c>
      <c r="H81" s="8">
        <f>SUMIFS('{worksheet}'!$AD$3:$AD$4127,'{worksheet}'!$AB$3:$AB$4127,"H1_2025",'{worksheet}'!$M$3:$M$4127,$C81)</f>
        <v>0</v>
      </c>
      <c r="I81" s="8">
        <f>SUMIFS('{worksheet}'!$AD$3:$AD$4127,'{worksheet}'!$AB$3:$AB$4127,"H1_2026",'{worksheet}'!$M$3:$M$4127,$C81)</f>
        <v>96</v>
      </c>
      <c r="J81" s="8">
        <f>SUMIFS('{worksheet}'!$AE$3:$AE$4127,'{worksheet}'!$AB$3:$AB$4127,"H1_2026",'{worksheet}'!$M$3:$M$4127,$C81)</f>
        <v>138311.13</v>
      </c>
      <c r="K81" s="9">
        <f>IF(E81=0,"",J81/E81)</f>
        <v>0.2457505238036071</v>
      </c>
      <c r="L81" s="8">
        <f>SUMIFS('{worksheet}'!$AD$3:$AD$4127,'{worksheet}'!$AB$3:$AB$4127,"H1_2026",'{worksheet}'!$M$3:$M$4127,$C81,'{worksheet}'!$AF$3:$AF$4127,"Sample")+SUMIFS('{worksheet}'!$AD$3:$AD$4127,'{worksheet}'!$AB$3:$AB$4127,"H1_2026",'{worksheet}'!$M$3:$M$4127,$C81,'{worksheet}'!$AF$3:$AF$4127,"FOC")</f>
        <v>0</v>
      </c>
      <c r="M81" t="str">
        <f>IF(AND(D81=0,E81&gt;0),"New in H1'26",IF(AND(D81&gt;0,E81=0),"Exited",IF(G81="","",IF(G81&gt;=0.2,"Growth",IF(G81&lt;=-0.2,"Decline","Stable")))))</f>
        <v>New in H1'26</v>
      </c>
    </row>
    <row r="82" spans="1:13" x14ac:dyDescent="0.3">
      <c r="A82" s="31">
        <v>57</v>
      </c>
      <c r="B82" t="s">
        <v>23132</v>
      </c>
      <c r="C82" t="s">
        <v>3030</v>
      </c>
      <c r="D82" s="8">
        <f>SUMIFS('{worksheet}'!$AC$3:$AC$4127,'{worksheet}'!$AB$3:$AB$4127,"H1_2025",'{worksheet}'!$M$3:$M$4127,$C82)</f>
        <v>0</v>
      </c>
      <c r="E82" s="8">
        <f>SUMIFS('{worksheet}'!$AC$3:$AC$4127,'{worksheet}'!$AB$3:$AB$4127,"H1_2026",'{worksheet}'!$M$3:$M$4127,$C82)</f>
        <v>488314.02999999997</v>
      </c>
      <c r="F82" s="8">
        <f>E82-D82</f>
        <v>488314.02999999997</v>
      </c>
      <c r="G82" s="9" t="str">
        <f>IF(D82=0,"",E82/D82-1)</f>
        <v/>
      </c>
      <c r="H82" s="8">
        <f>SUMIFS('{worksheet}'!$AD$3:$AD$4127,'{worksheet}'!$AB$3:$AB$4127,"H1_2025",'{worksheet}'!$M$3:$M$4127,$C82)</f>
        <v>0</v>
      </c>
      <c r="I82" s="8">
        <f>SUMIFS('{worksheet}'!$AD$3:$AD$4127,'{worksheet}'!$AB$3:$AB$4127,"H1_2026",'{worksheet}'!$M$3:$M$4127,$C82)</f>
        <v>62</v>
      </c>
      <c r="J82" s="8">
        <f>SUMIFS('{worksheet}'!$AE$3:$AE$4127,'{worksheet}'!$AB$3:$AB$4127,"H1_2026",'{worksheet}'!$M$3:$M$4127,$C82)</f>
        <v>168168.58000000002</v>
      </c>
      <c r="K82" s="9">
        <f>IF(E82=0,"",J82/E82)</f>
        <v>0.34438613201426965</v>
      </c>
      <c r="L82" s="8">
        <f>SUMIFS('{worksheet}'!$AD$3:$AD$4127,'{worksheet}'!$AB$3:$AB$4127,"H1_2026",'{worksheet}'!$M$3:$M$4127,$C82,'{worksheet}'!$AF$3:$AF$4127,"Sample")+SUMIFS('{worksheet}'!$AD$3:$AD$4127,'{worksheet}'!$AB$3:$AB$4127,"H1_2026",'{worksheet}'!$M$3:$M$4127,$C82,'{worksheet}'!$AF$3:$AF$4127,"FOC")</f>
        <v>0</v>
      </c>
      <c r="M82" t="str">
        <f>IF(AND(D82=0,E82&gt;0),"New in H1'26",IF(AND(D82&gt;0,E82=0),"Exited",IF(G82="","",IF(G82&gt;=0.2,"Growth",IF(G82&lt;=-0.2,"Decline","Stable")))))</f>
        <v>New in H1'26</v>
      </c>
    </row>
    <row r="83" spans="1:13" x14ac:dyDescent="0.3">
      <c r="A83" s="31">
        <v>58</v>
      </c>
      <c r="B83" t="s">
        <v>23133</v>
      </c>
      <c r="C83" t="s">
        <v>8699</v>
      </c>
      <c r="D83" s="8">
        <f>SUMIFS('{worksheet}'!$AC$3:$AC$4127,'{worksheet}'!$AB$3:$AB$4127,"H1_2025",'{worksheet}'!$M$3:$M$4127,$C83)</f>
        <v>0</v>
      </c>
      <c r="E83" s="8">
        <f>SUMIFS('{worksheet}'!$AC$3:$AC$4127,'{worksheet}'!$AB$3:$AB$4127,"H1_2026",'{worksheet}'!$M$3:$M$4127,$C83)</f>
        <v>486712.80000000005</v>
      </c>
      <c r="F83" s="8">
        <f>E83-D83</f>
        <v>486712.80000000005</v>
      </c>
      <c r="G83" s="9" t="str">
        <f>IF(D83=0,"",E83/D83-1)</f>
        <v/>
      </c>
      <c r="H83" s="8">
        <f>SUMIFS('{worksheet}'!$AD$3:$AD$4127,'{worksheet}'!$AB$3:$AB$4127,"H1_2025",'{worksheet}'!$M$3:$M$4127,$C83)</f>
        <v>0</v>
      </c>
      <c r="I83" s="8">
        <f>SUMIFS('{worksheet}'!$AD$3:$AD$4127,'{worksheet}'!$AB$3:$AB$4127,"H1_2026",'{worksheet}'!$M$3:$M$4127,$C83)</f>
        <v>30</v>
      </c>
      <c r="J83" s="8">
        <f>SUMIFS('{worksheet}'!$AE$3:$AE$4127,'{worksheet}'!$AB$3:$AB$4127,"H1_2026",'{worksheet}'!$M$3:$M$4127,$C83)</f>
        <v>199612.80000000002</v>
      </c>
      <c r="K83" s="9">
        <f>IF(E83=0,"",J83/E83)</f>
        <v>0.41012441012441014</v>
      </c>
      <c r="L83" s="8">
        <f>SUMIFS('{worksheet}'!$AD$3:$AD$4127,'{worksheet}'!$AB$3:$AB$4127,"H1_2026",'{worksheet}'!$M$3:$M$4127,$C83,'{worksheet}'!$AF$3:$AF$4127,"Sample")+SUMIFS('{worksheet}'!$AD$3:$AD$4127,'{worksheet}'!$AB$3:$AB$4127,"H1_2026",'{worksheet}'!$M$3:$M$4127,$C83,'{worksheet}'!$AF$3:$AF$4127,"FOC")</f>
        <v>0</v>
      </c>
      <c r="M83" t="str">
        <f>IF(AND(D83=0,E83&gt;0),"New in H1'26",IF(AND(D83&gt;0,E83=0),"Exited",IF(G83="","",IF(G83&gt;=0.2,"Growth",IF(G83&lt;=-0.2,"Decline","Stable")))))</f>
        <v>New in H1'26</v>
      </c>
    </row>
    <row r="84" spans="1:13" x14ac:dyDescent="0.3">
      <c r="A84" s="31">
        <v>59</v>
      </c>
      <c r="B84" t="s">
        <v>23134</v>
      </c>
      <c r="C84" t="s">
        <v>9775</v>
      </c>
      <c r="D84" s="8">
        <f>SUMIFS('{worksheet}'!$AC$3:$AC$4127,'{worksheet}'!$AB$3:$AB$4127,"H1_2025",'{worksheet}'!$M$3:$M$4127,$C84)</f>
        <v>0</v>
      </c>
      <c r="E84" s="8">
        <f>SUMIFS('{worksheet}'!$AC$3:$AC$4127,'{worksheet}'!$AB$3:$AB$4127,"H1_2026",'{worksheet}'!$M$3:$M$4127,$C84)</f>
        <v>275005.80000000005</v>
      </c>
      <c r="F84" s="8">
        <f>E84-D84</f>
        <v>275005.80000000005</v>
      </c>
      <c r="G84" s="9" t="str">
        <f>IF(D84=0,"",E84/D84-1)</f>
        <v/>
      </c>
      <c r="H84" s="8">
        <f>SUMIFS('{worksheet}'!$AD$3:$AD$4127,'{worksheet}'!$AB$3:$AB$4127,"H1_2025",'{worksheet}'!$M$3:$M$4127,$C84)</f>
        <v>0</v>
      </c>
      <c r="I84" s="8">
        <f>SUMIFS('{worksheet}'!$AD$3:$AD$4127,'{worksheet}'!$AB$3:$AB$4127,"H1_2026",'{worksheet}'!$M$3:$M$4127,$C84)</f>
        <v>50</v>
      </c>
      <c r="J84" s="8">
        <f>SUMIFS('{worksheet}'!$AE$3:$AE$4127,'{worksheet}'!$AB$3:$AB$4127,"H1_2026",'{worksheet}'!$M$3:$M$4127,$C84)</f>
        <v>61369.440000000002</v>
      </c>
      <c r="K84" s="9">
        <f>IF(E84=0,"",J84/E84)</f>
        <v>0.22315689341824788</v>
      </c>
      <c r="L84" s="8">
        <f>SUMIFS('{worksheet}'!$AD$3:$AD$4127,'{worksheet}'!$AB$3:$AB$4127,"H1_2026",'{worksheet}'!$M$3:$M$4127,$C84,'{worksheet}'!$AF$3:$AF$4127,"Sample")+SUMIFS('{worksheet}'!$AD$3:$AD$4127,'{worksheet}'!$AB$3:$AB$4127,"H1_2026",'{worksheet}'!$M$3:$M$4127,$C84,'{worksheet}'!$AF$3:$AF$4127,"FOC")</f>
        <v>0</v>
      </c>
      <c r="M84" t="str">
        <f>IF(AND(D84=0,E84&gt;0),"New in H1'26",IF(AND(D84&gt;0,E84=0),"Exited",IF(G84="","",IF(G84&gt;=0.2,"Growth",IF(G84&lt;=-0.2,"Decline","Stable")))))</f>
        <v>New in H1'26</v>
      </c>
    </row>
    <row r="85" spans="1:13" x14ac:dyDescent="0.3">
      <c r="A85" s="31">
        <v>60</v>
      </c>
      <c r="B85" t="s">
        <v>23135</v>
      </c>
      <c r="C85" t="s">
        <v>7037</v>
      </c>
      <c r="D85" s="8">
        <f>SUMIFS('{worksheet}'!$AC$3:$AC$4127,'{worksheet}'!$AB$3:$AB$4127,"H1_2025",'{worksheet}'!$M$3:$M$4127,$C85)</f>
        <v>53533.259999999995</v>
      </c>
      <c r="E85" s="8">
        <f>SUMIFS('{worksheet}'!$AC$3:$AC$4127,'{worksheet}'!$AB$3:$AB$4127,"H1_2026",'{worksheet}'!$M$3:$M$4127,$C85)</f>
        <v>162164.18</v>
      </c>
      <c r="F85" s="8">
        <f>E85-D85</f>
        <v>108630.92</v>
      </c>
      <c r="G85" s="9">
        <f>IF(D85=0,"",E85/D85-1)</f>
        <v>2.0292229541036733</v>
      </c>
      <c r="H85" s="8">
        <f>SUMIFS('{worksheet}'!$AD$3:$AD$4127,'{worksheet}'!$AB$3:$AB$4127,"H1_2025",'{worksheet}'!$M$3:$M$4127,$C85)</f>
        <v>3</v>
      </c>
      <c r="I85" s="8">
        <f>SUMIFS('{worksheet}'!$AD$3:$AD$4127,'{worksheet}'!$AB$3:$AB$4127,"H1_2026",'{worksheet}'!$M$3:$M$4127,$C85)</f>
        <v>39</v>
      </c>
      <c r="J85" s="8">
        <f>SUMIFS('{worksheet}'!$AE$3:$AE$4127,'{worksheet}'!$AB$3:$AB$4127,"H1_2026",'{worksheet}'!$M$3:$M$4127,$C85)</f>
        <v>45164.18</v>
      </c>
      <c r="K85" s="9">
        <f>IF(E85=0,"",J85/E85)</f>
        <v>0.27850897775328681</v>
      </c>
      <c r="L85" s="8">
        <f>SUMIFS('{worksheet}'!$AD$3:$AD$4127,'{worksheet}'!$AB$3:$AB$4127,"H1_2026",'{worksheet}'!$M$3:$M$4127,$C85,'{worksheet}'!$AF$3:$AF$4127,"Sample")+SUMIFS('{worksheet}'!$AD$3:$AD$4127,'{worksheet}'!$AB$3:$AB$4127,"H1_2026",'{worksheet}'!$M$3:$M$4127,$C85,'{worksheet}'!$AF$3:$AF$4127,"FOC")</f>
        <v>0</v>
      </c>
      <c r="M85" t="str">
        <f>IF(AND(D85=0,E85&gt;0),"New in H1'26",IF(AND(D85&gt;0,E85=0),"Exited",IF(G85="","",IF(G85&gt;=0.2,"Growth",IF(G85&lt;=-0.2,"Decline","Stable")))))</f>
        <v>Growth</v>
      </c>
    </row>
    <row r="86" spans="1:13" x14ac:dyDescent="0.3">
      <c r="A86" s="31">
        <v>61</v>
      </c>
      <c r="B86" t="s">
        <v>23136</v>
      </c>
      <c r="C86" t="s">
        <v>9630</v>
      </c>
      <c r="D86" s="8">
        <f>SUMIFS('{worksheet}'!$AC$3:$AC$4127,'{worksheet}'!$AB$3:$AB$4127,"H1_2025",'{worksheet}'!$M$3:$M$4127,$C86)</f>
        <v>0</v>
      </c>
      <c r="E86" s="8">
        <f>SUMIFS('{worksheet}'!$AC$3:$AC$4127,'{worksheet}'!$AB$3:$AB$4127,"H1_2026",'{worksheet}'!$M$3:$M$4127,$C86)</f>
        <v>51969.599999999999</v>
      </c>
      <c r="F86" s="8">
        <f>E86-D86</f>
        <v>51969.599999999999</v>
      </c>
      <c r="G86" s="9" t="str">
        <f>IF(D86=0,"",E86/D86-1)</f>
        <v/>
      </c>
      <c r="H86" s="8">
        <f>SUMIFS('{worksheet}'!$AD$3:$AD$4127,'{worksheet}'!$AB$3:$AB$4127,"H1_2025",'{worksheet}'!$M$3:$M$4127,$C86)</f>
        <v>0</v>
      </c>
      <c r="I86" s="8">
        <f>SUMIFS('{worksheet}'!$AD$3:$AD$4127,'{worksheet}'!$AB$3:$AB$4127,"H1_2026",'{worksheet}'!$M$3:$M$4127,$C86)</f>
        <v>20</v>
      </c>
      <c r="J86" s="8">
        <f>SUMIFS('{worksheet}'!$AE$3:$AE$4127,'{worksheet}'!$AB$3:$AB$4127,"H1_2026",'{worksheet}'!$M$3:$M$4127,$C86)</f>
        <v>20151.419999999998</v>
      </c>
      <c r="K86" s="9">
        <f>IF(E86=0,"",J86/E86)</f>
        <v>0.38775399464302207</v>
      </c>
      <c r="L86" s="8">
        <f>SUMIFS('{worksheet}'!$AD$3:$AD$4127,'{worksheet}'!$AB$3:$AB$4127,"H1_2026",'{worksheet}'!$M$3:$M$4127,$C86,'{worksheet}'!$AF$3:$AF$4127,"Sample")+SUMIFS('{worksheet}'!$AD$3:$AD$4127,'{worksheet}'!$AB$3:$AB$4127,"H1_2026",'{worksheet}'!$M$3:$M$4127,$C86,'{worksheet}'!$AF$3:$AF$4127,"FOC")</f>
        <v>0</v>
      </c>
      <c r="M86" t="str">
        <f>IF(AND(D86=0,E86&gt;0),"New in H1'26",IF(AND(D86&gt;0,E86=0),"Exited",IF(G86="","",IF(G86&gt;=0.2,"Growth",IF(G86&lt;=-0.2,"Decline","Stable")))))</f>
        <v>New in H1'26</v>
      </c>
    </row>
    <row r="87" spans="1:13" x14ac:dyDescent="0.3">
      <c r="A87" s="31">
        <v>62</v>
      </c>
      <c r="B87" t="s">
        <v>23137</v>
      </c>
      <c r="C87" t="s">
        <v>1624</v>
      </c>
      <c r="D87" s="8">
        <f>SUMIFS('{worksheet}'!$AC$3:$AC$4127,'{worksheet}'!$AB$3:$AB$4127,"H1_2025",'{worksheet}'!$M$3:$M$4127,$C87)</f>
        <v>0</v>
      </c>
      <c r="E87" s="8">
        <f>SUMIFS('{worksheet}'!$AC$3:$AC$4127,'{worksheet}'!$AB$3:$AB$4127,"H1_2026",'{worksheet}'!$M$3:$M$4127,$C87)</f>
        <v>32269.65</v>
      </c>
      <c r="F87" s="8">
        <f>E87-D87</f>
        <v>32269.65</v>
      </c>
      <c r="G87" s="9" t="str">
        <f>IF(D87=0,"",E87/D87-1)</f>
        <v/>
      </c>
      <c r="H87" s="8">
        <f>SUMIFS('{worksheet}'!$AD$3:$AD$4127,'{worksheet}'!$AB$3:$AB$4127,"H1_2025",'{worksheet}'!$M$3:$M$4127,$C87)</f>
        <v>0</v>
      </c>
      <c r="I87" s="8">
        <f>SUMIFS('{worksheet}'!$AD$3:$AD$4127,'{worksheet}'!$AB$3:$AB$4127,"H1_2026",'{worksheet}'!$M$3:$M$4127,$C87)</f>
        <v>3</v>
      </c>
      <c r="J87" s="8">
        <f>SUMIFS('{worksheet}'!$AE$3:$AE$4127,'{worksheet}'!$AB$3:$AB$4127,"H1_2026",'{worksheet}'!$M$3:$M$4127,$C87)</f>
        <v>7969.65</v>
      </c>
      <c r="K87" s="9">
        <f>IF(E87=0,"",J87/E87)</f>
        <v>0.24697045056268038</v>
      </c>
      <c r="L87" s="8">
        <f>SUMIFS('{worksheet}'!$AD$3:$AD$4127,'{worksheet}'!$AB$3:$AB$4127,"H1_2026",'{worksheet}'!$M$3:$M$4127,$C87,'{worksheet}'!$AF$3:$AF$4127,"Sample")+SUMIFS('{worksheet}'!$AD$3:$AD$4127,'{worksheet}'!$AB$3:$AB$4127,"H1_2026",'{worksheet}'!$M$3:$M$4127,$C87,'{worksheet}'!$AF$3:$AF$4127,"FOC")</f>
        <v>0</v>
      </c>
      <c r="M87" t="str">
        <f>IF(AND(D87=0,E87&gt;0),"New in H1'26",IF(AND(D87&gt;0,E87=0),"Exited",IF(G87="","",IF(G87&gt;=0.2,"Growth",IF(G87&lt;=-0.2,"Decline","Stable")))))</f>
        <v>New in H1'26</v>
      </c>
    </row>
    <row r="88" spans="1:13" x14ac:dyDescent="0.3">
      <c r="A88" s="31">
        <v>63</v>
      </c>
      <c r="B88" t="s">
        <v>23138</v>
      </c>
      <c r="C88" t="s">
        <v>9110</v>
      </c>
      <c r="D88" s="8">
        <f>SUMIFS('{worksheet}'!$AC$3:$AC$4127,'{worksheet}'!$AB$3:$AB$4127,"H1_2025",'{worksheet}'!$M$3:$M$4127,$C88)</f>
        <v>0</v>
      </c>
      <c r="E88" s="8">
        <f>SUMIFS('{worksheet}'!$AC$3:$AC$4127,'{worksheet}'!$AB$3:$AB$4127,"H1_2026",'{worksheet}'!$M$3:$M$4127,$C88)</f>
        <v>423.84000000000003</v>
      </c>
      <c r="F88" s="8">
        <f>E88-D88</f>
        <v>423.84000000000003</v>
      </c>
      <c r="G88" s="9" t="str">
        <f>IF(D88=0,"",E88/D88-1)</f>
        <v/>
      </c>
      <c r="H88" s="8">
        <f>SUMIFS('{worksheet}'!$AD$3:$AD$4127,'{worksheet}'!$AB$3:$AB$4127,"H1_2025",'{worksheet}'!$M$3:$M$4127,$C88)</f>
        <v>0</v>
      </c>
      <c r="I88" s="8">
        <f>SUMIFS('{worksheet}'!$AD$3:$AD$4127,'{worksheet}'!$AB$3:$AB$4127,"H1_2026",'{worksheet}'!$M$3:$M$4127,$C88)</f>
        <v>30</v>
      </c>
      <c r="J88" s="8">
        <f>SUMIFS('{worksheet}'!$AE$3:$AE$4127,'{worksheet}'!$AB$3:$AB$4127,"H1_2026",'{worksheet}'!$M$3:$M$4127,$C88)</f>
        <v>-224539.79</v>
      </c>
      <c r="K88" s="9">
        <f>IF(E88=0,"",J88/E88)</f>
        <v>-529.7748914684787</v>
      </c>
      <c r="L88" s="8">
        <f>SUMIFS('{worksheet}'!$AD$3:$AD$4127,'{worksheet}'!$AB$3:$AB$4127,"H1_2026",'{worksheet}'!$M$3:$M$4127,$C88,'{worksheet}'!$AF$3:$AF$4127,"Sample")+SUMIFS('{worksheet}'!$AD$3:$AD$4127,'{worksheet}'!$AB$3:$AB$4127,"H1_2026",'{worksheet}'!$M$3:$M$4127,$C88,'{worksheet}'!$AF$3:$AF$4127,"FOC")</f>
        <v>30</v>
      </c>
      <c r="M88" t="str">
        <f>IF(AND(D88=0,E88&gt;0),"New in H1'26",IF(AND(D88&gt;0,E88=0),"Exited",IF(G88="","",IF(G88&gt;=0.2,"Growth",IF(G88&lt;=-0.2,"Decline","Stable")))))</f>
        <v>New in H1'26</v>
      </c>
    </row>
    <row r="89" spans="1:13" x14ac:dyDescent="0.3">
      <c r="A89" s="31">
        <v>64</v>
      </c>
      <c r="B89" t="s">
        <v>23139</v>
      </c>
      <c r="C89" t="s">
        <v>16013</v>
      </c>
      <c r="D89" s="8">
        <f>SUMIFS('{worksheet}'!$AC$3:$AC$4127,'{worksheet}'!$AB$3:$AB$4127,"H1_2025",'{worksheet}'!$M$3:$M$4127,$C89)</f>
        <v>71557802</v>
      </c>
      <c r="E89" s="8">
        <f>SUMIFS('{worksheet}'!$AC$3:$AC$4127,'{worksheet}'!$AB$3:$AB$4127,"H1_2026",'{worksheet}'!$M$3:$M$4127,$C89)</f>
        <v>0</v>
      </c>
      <c r="F89" s="8">
        <f>E89-D89</f>
        <v>-71557802</v>
      </c>
      <c r="G89" s="9">
        <f>IF(D89=0,"",E89/D89-1)</f>
        <v>-1</v>
      </c>
      <c r="H89" s="8">
        <f>SUMIFS('{worksheet}'!$AD$3:$AD$4127,'{worksheet}'!$AB$3:$AB$4127,"H1_2025",'{worksheet}'!$M$3:$M$4127,$C89)</f>
        <v>7554</v>
      </c>
      <c r="I89" s="8">
        <f>SUMIFS('{worksheet}'!$AD$3:$AD$4127,'{worksheet}'!$AB$3:$AB$4127,"H1_2026",'{worksheet}'!$M$3:$M$4127,$C89)</f>
        <v>0</v>
      </c>
      <c r="J89" s="8">
        <f>SUMIFS('{worksheet}'!$AE$3:$AE$4127,'{worksheet}'!$AB$3:$AB$4127,"H1_2026",'{worksheet}'!$M$3:$M$4127,$C89)</f>
        <v>0</v>
      </c>
      <c r="K89" s="9" t="str">
        <f>IF(E89=0,"",J89/E89)</f>
        <v/>
      </c>
      <c r="L89" s="8">
        <f>SUMIFS('{worksheet}'!$AD$3:$AD$4127,'{worksheet}'!$AB$3:$AB$4127,"H1_2026",'{worksheet}'!$M$3:$M$4127,$C89,'{worksheet}'!$AF$3:$AF$4127,"Sample")+SUMIFS('{worksheet}'!$AD$3:$AD$4127,'{worksheet}'!$AB$3:$AB$4127,"H1_2026",'{worksheet}'!$M$3:$M$4127,$C89,'{worksheet}'!$AF$3:$AF$4127,"FOC")</f>
        <v>0</v>
      </c>
      <c r="M89" t="str">
        <f>IF(AND(D89=0,E89&gt;0),"New in H1'26",IF(AND(D89&gt;0,E89=0),"Exited",IF(G89="","",IF(G89&gt;=0.2,"Growth",IF(G89&lt;=-0.2,"Decline","Stable")))))</f>
        <v>Exited</v>
      </c>
    </row>
    <row r="90" spans="1:13" x14ac:dyDescent="0.3">
      <c r="A90" s="31">
        <v>65</v>
      </c>
      <c r="B90" t="s">
        <v>23140</v>
      </c>
      <c r="C90" t="s">
        <v>89</v>
      </c>
      <c r="D90" s="8">
        <f>SUMIFS('{worksheet}'!$AC$3:$AC$4127,'{worksheet}'!$AB$3:$AB$4127,"H1_2025",'{worksheet}'!$M$3:$M$4127,$C90)</f>
        <v>51671049</v>
      </c>
      <c r="E90" s="8">
        <f>SUMIFS('{worksheet}'!$AC$3:$AC$4127,'{worksheet}'!$AB$3:$AB$4127,"H1_2026",'{worksheet}'!$M$3:$M$4127,$C90)</f>
        <v>0</v>
      </c>
      <c r="F90" s="8">
        <f>E90-D90</f>
        <v>-51671049</v>
      </c>
      <c r="G90" s="9">
        <f>IF(D90=0,"",E90/D90-1)</f>
        <v>-1</v>
      </c>
      <c r="H90" s="8">
        <f>SUMIFS('{worksheet}'!$AD$3:$AD$4127,'{worksheet}'!$AB$3:$AB$4127,"H1_2025",'{worksheet}'!$M$3:$M$4127,$C90)</f>
        <v>8224</v>
      </c>
      <c r="I90" s="8">
        <f>SUMIFS('{worksheet}'!$AD$3:$AD$4127,'{worksheet}'!$AB$3:$AB$4127,"H1_2026",'{worksheet}'!$M$3:$M$4127,$C90)</f>
        <v>0</v>
      </c>
      <c r="J90" s="8">
        <f>SUMIFS('{worksheet}'!$AE$3:$AE$4127,'{worksheet}'!$AB$3:$AB$4127,"H1_2026",'{worksheet}'!$M$3:$M$4127,$C90)</f>
        <v>0</v>
      </c>
      <c r="K90" s="9" t="str">
        <f>IF(E90=0,"",J90/E90)</f>
        <v/>
      </c>
      <c r="L90" s="8">
        <f>SUMIFS('{worksheet}'!$AD$3:$AD$4127,'{worksheet}'!$AB$3:$AB$4127,"H1_2026",'{worksheet}'!$M$3:$M$4127,$C90,'{worksheet}'!$AF$3:$AF$4127,"Sample")+SUMIFS('{worksheet}'!$AD$3:$AD$4127,'{worksheet}'!$AB$3:$AB$4127,"H1_2026",'{worksheet}'!$M$3:$M$4127,$C90,'{worksheet}'!$AF$3:$AF$4127,"FOC")</f>
        <v>0</v>
      </c>
      <c r="M90" t="str">
        <f>IF(AND(D90=0,E90&gt;0),"New in H1'26",IF(AND(D90&gt;0,E90=0),"Exited",IF(G90="","",IF(G90&gt;=0.2,"Growth",IF(G90&lt;=-0.2,"Decline","Stable")))))</f>
        <v>Exited</v>
      </c>
    </row>
    <row r="91" spans="1:13" x14ac:dyDescent="0.3">
      <c r="A91" s="31">
        <v>66</v>
      </c>
      <c r="B91" t="s">
        <v>23141</v>
      </c>
      <c r="C91" t="s">
        <v>18711</v>
      </c>
      <c r="D91" s="8">
        <f>SUMIFS('{worksheet}'!$AC$3:$AC$4127,'{worksheet}'!$AB$3:$AB$4127,"H1_2025",'{worksheet}'!$M$3:$M$4127,$C91)</f>
        <v>28501926</v>
      </c>
      <c r="E91" s="8">
        <f>SUMIFS('{worksheet}'!$AC$3:$AC$4127,'{worksheet}'!$AB$3:$AB$4127,"H1_2026",'{worksheet}'!$M$3:$M$4127,$C91)</f>
        <v>0</v>
      </c>
      <c r="F91" s="8">
        <f>E91-D91</f>
        <v>-28501926</v>
      </c>
      <c r="G91" s="9">
        <f>IF(D91=0,"",E91/D91-1)</f>
        <v>-1</v>
      </c>
      <c r="H91" s="8">
        <f>SUMIFS('{worksheet}'!$AD$3:$AD$4127,'{worksheet}'!$AB$3:$AB$4127,"H1_2025",'{worksheet}'!$M$3:$M$4127,$C91)</f>
        <v>3000</v>
      </c>
      <c r="I91" s="8">
        <f>SUMIFS('{worksheet}'!$AD$3:$AD$4127,'{worksheet}'!$AB$3:$AB$4127,"H1_2026",'{worksheet}'!$M$3:$M$4127,$C91)</f>
        <v>0</v>
      </c>
      <c r="J91" s="8">
        <f>SUMIFS('{worksheet}'!$AE$3:$AE$4127,'{worksheet}'!$AB$3:$AB$4127,"H1_2026",'{worksheet}'!$M$3:$M$4127,$C91)</f>
        <v>0</v>
      </c>
      <c r="K91" s="9" t="str">
        <f>IF(E91=0,"",J91/E91)</f>
        <v/>
      </c>
      <c r="L91" s="8">
        <f>SUMIFS('{worksheet}'!$AD$3:$AD$4127,'{worksheet}'!$AB$3:$AB$4127,"H1_2026",'{worksheet}'!$M$3:$M$4127,$C91,'{worksheet}'!$AF$3:$AF$4127,"Sample")+SUMIFS('{worksheet}'!$AD$3:$AD$4127,'{worksheet}'!$AB$3:$AB$4127,"H1_2026",'{worksheet}'!$M$3:$M$4127,$C91,'{worksheet}'!$AF$3:$AF$4127,"FOC")</f>
        <v>0</v>
      </c>
      <c r="M91" t="str">
        <f>IF(AND(D91=0,E91&gt;0),"New in H1'26",IF(AND(D91&gt;0,E91=0),"Exited",IF(G91="","",IF(G91&gt;=0.2,"Growth",IF(G91&lt;=-0.2,"Decline","Stable")))))</f>
        <v>Exited</v>
      </c>
    </row>
    <row r="92" spans="1:13" x14ac:dyDescent="0.3">
      <c r="A92" s="31">
        <v>67</v>
      </c>
      <c r="B92" t="s">
        <v>23142</v>
      </c>
      <c r="C92" t="s">
        <v>17198</v>
      </c>
      <c r="D92" s="8">
        <f>SUMIFS('{worksheet}'!$AC$3:$AC$4127,'{worksheet}'!$AB$3:$AB$4127,"H1_2025",'{worksheet}'!$M$3:$M$4127,$C92)</f>
        <v>13890883.680000002</v>
      </c>
      <c r="E92" s="8">
        <f>SUMIFS('{worksheet}'!$AC$3:$AC$4127,'{worksheet}'!$AB$3:$AB$4127,"H1_2026",'{worksheet}'!$M$3:$M$4127,$C92)</f>
        <v>0</v>
      </c>
      <c r="F92" s="8">
        <f>E92-D92</f>
        <v>-13890883.680000002</v>
      </c>
      <c r="G92" s="9">
        <f>IF(D92=0,"",E92/D92-1)</f>
        <v>-1</v>
      </c>
      <c r="H92" s="8">
        <f>SUMIFS('{worksheet}'!$AD$3:$AD$4127,'{worksheet}'!$AB$3:$AB$4127,"H1_2025",'{worksheet}'!$M$3:$M$4127,$C92)</f>
        <v>6060</v>
      </c>
      <c r="I92" s="8">
        <f>SUMIFS('{worksheet}'!$AD$3:$AD$4127,'{worksheet}'!$AB$3:$AB$4127,"H1_2026",'{worksheet}'!$M$3:$M$4127,$C92)</f>
        <v>0</v>
      </c>
      <c r="J92" s="8">
        <f>SUMIFS('{worksheet}'!$AE$3:$AE$4127,'{worksheet}'!$AB$3:$AB$4127,"H1_2026",'{worksheet}'!$M$3:$M$4127,$C92)</f>
        <v>0</v>
      </c>
      <c r="K92" s="9" t="str">
        <f>IF(E92=0,"",J92/E92)</f>
        <v/>
      </c>
      <c r="L92" s="8">
        <f>SUMIFS('{worksheet}'!$AD$3:$AD$4127,'{worksheet}'!$AB$3:$AB$4127,"H1_2026",'{worksheet}'!$M$3:$M$4127,$C92,'{worksheet}'!$AF$3:$AF$4127,"Sample")+SUMIFS('{worksheet}'!$AD$3:$AD$4127,'{worksheet}'!$AB$3:$AB$4127,"H1_2026",'{worksheet}'!$M$3:$M$4127,$C92,'{worksheet}'!$AF$3:$AF$4127,"FOC")</f>
        <v>0</v>
      </c>
      <c r="M92" t="str">
        <f>IF(AND(D92=0,E92&gt;0),"New in H1'26",IF(AND(D92&gt;0,E92=0),"Exited",IF(G92="","",IF(G92&gt;=0.2,"Growth",IF(G92&lt;=-0.2,"Decline","Stable")))))</f>
        <v>Exited</v>
      </c>
    </row>
    <row r="93" spans="1:13" x14ac:dyDescent="0.3">
      <c r="A93" s="31">
        <v>68</v>
      </c>
      <c r="B93" t="s">
        <v>23143</v>
      </c>
      <c r="C93" t="s">
        <v>17908</v>
      </c>
      <c r="D93" s="8">
        <f>SUMIFS('{worksheet}'!$AC$3:$AC$4127,'{worksheet}'!$AB$3:$AB$4127,"H1_2025",'{worksheet}'!$M$3:$M$4127,$C93)</f>
        <v>9755130.3300000001</v>
      </c>
      <c r="E93" s="8">
        <f>SUMIFS('{worksheet}'!$AC$3:$AC$4127,'{worksheet}'!$AB$3:$AB$4127,"H1_2026",'{worksheet}'!$M$3:$M$4127,$C93)</f>
        <v>0</v>
      </c>
      <c r="F93" s="8">
        <f>E93-D93</f>
        <v>-9755130.3300000001</v>
      </c>
      <c r="G93" s="9">
        <f>IF(D93=0,"",E93/D93-1)</f>
        <v>-1</v>
      </c>
      <c r="H93" s="8">
        <f>SUMIFS('{worksheet}'!$AD$3:$AD$4127,'{worksheet}'!$AB$3:$AB$4127,"H1_2025",'{worksheet}'!$M$3:$M$4127,$C93)</f>
        <v>1167</v>
      </c>
      <c r="I93" s="8">
        <f>SUMIFS('{worksheet}'!$AD$3:$AD$4127,'{worksheet}'!$AB$3:$AB$4127,"H1_2026",'{worksheet}'!$M$3:$M$4127,$C93)</f>
        <v>0</v>
      </c>
      <c r="J93" s="8">
        <f>SUMIFS('{worksheet}'!$AE$3:$AE$4127,'{worksheet}'!$AB$3:$AB$4127,"H1_2026",'{worksheet}'!$M$3:$M$4127,$C93)</f>
        <v>0</v>
      </c>
      <c r="K93" s="9" t="str">
        <f>IF(E93=0,"",J93/E93)</f>
        <v/>
      </c>
      <c r="L93" s="8">
        <f>SUMIFS('{worksheet}'!$AD$3:$AD$4127,'{worksheet}'!$AB$3:$AB$4127,"H1_2026",'{worksheet}'!$M$3:$M$4127,$C93,'{worksheet}'!$AF$3:$AF$4127,"Sample")+SUMIFS('{worksheet}'!$AD$3:$AD$4127,'{worksheet}'!$AB$3:$AB$4127,"H1_2026",'{worksheet}'!$M$3:$M$4127,$C93,'{worksheet}'!$AF$3:$AF$4127,"FOC")</f>
        <v>0</v>
      </c>
      <c r="M93" t="str">
        <f>IF(AND(D93=0,E93&gt;0),"New in H1'26",IF(AND(D93&gt;0,E93=0),"Exited",IF(G93="","",IF(G93&gt;=0.2,"Growth",IF(G93&lt;=-0.2,"Decline","Stable")))))</f>
        <v>Exited</v>
      </c>
    </row>
    <row r="94" spans="1:13" x14ac:dyDescent="0.3">
      <c r="A94" s="31">
        <v>69</v>
      </c>
      <c r="B94" t="s">
        <v>23144</v>
      </c>
      <c r="C94" t="s">
        <v>13465</v>
      </c>
      <c r="D94" s="8">
        <f>SUMIFS('{worksheet}'!$AC$3:$AC$4127,'{worksheet}'!$AB$3:$AB$4127,"H1_2025",'{worksheet}'!$M$3:$M$4127,$C94)</f>
        <v>8546823.9800000004</v>
      </c>
      <c r="E94" s="8">
        <f>SUMIFS('{worksheet}'!$AC$3:$AC$4127,'{worksheet}'!$AB$3:$AB$4127,"H1_2026",'{worksheet}'!$M$3:$M$4127,$C94)</f>
        <v>0</v>
      </c>
      <c r="F94" s="8">
        <f>E94-D94</f>
        <v>-8546823.9800000004</v>
      </c>
      <c r="G94" s="9">
        <f>IF(D94=0,"",E94/D94-1)</f>
        <v>-1</v>
      </c>
      <c r="H94" s="8">
        <f>SUMIFS('{worksheet}'!$AD$3:$AD$4127,'{worksheet}'!$AB$3:$AB$4127,"H1_2025",'{worksheet}'!$M$3:$M$4127,$C94)</f>
        <v>3990</v>
      </c>
      <c r="I94" s="8">
        <f>SUMIFS('{worksheet}'!$AD$3:$AD$4127,'{worksheet}'!$AB$3:$AB$4127,"H1_2026",'{worksheet}'!$M$3:$M$4127,$C94)</f>
        <v>0</v>
      </c>
      <c r="J94" s="8">
        <f>SUMIFS('{worksheet}'!$AE$3:$AE$4127,'{worksheet}'!$AB$3:$AB$4127,"H1_2026",'{worksheet}'!$M$3:$M$4127,$C94)</f>
        <v>0</v>
      </c>
      <c r="K94" s="9" t="str">
        <f>IF(E94=0,"",J94/E94)</f>
        <v/>
      </c>
      <c r="L94" s="8">
        <f>SUMIFS('{worksheet}'!$AD$3:$AD$4127,'{worksheet}'!$AB$3:$AB$4127,"H1_2026",'{worksheet}'!$M$3:$M$4127,$C94,'{worksheet}'!$AF$3:$AF$4127,"Sample")+SUMIFS('{worksheet}'!$AD$3:$AD$4127,'{worksheet}'!$AB$3:$AB$4127,"H1_2026",'{worksheet}'!$M$3:$M$4127,$C94,'{worksheet}'!$AF$3:$AF$4127,"FOC")</f>
        <v>0</v>
      </c>
      <c r="M94" t="str">
        <f>IF(AND(D94=0,E94&gt;0),"New in H1'26",IF(AND(D94&gt;0,E94=0),"Exited",IF(G94="","",IF(G94&gt;=0.2,"Growth",IF(G94&lt;=-0.2,"Decline","Stable")))))</f>
        <v>Exited</v>
      </c>
    </row>
    <row r="95" spans="1:13" x14ac:dyDescent="0.3">
      <c r="A95" s="31">
        <v>70</v>
      </c>
      <c r="B95" t="s">
        <v>22487</v>
      </c>
      <c r="C95" t="s">
        <v>22487</v>
      </c>
      <c r="D95" s="8">
        <f>SUMIFS('{worksheet}'!$AC$3:$AC$4127,'{worksheet}'!$AB$3:$AB$4127,"H1_2025",'{worksheet}'!$M$3:$M$4127,$C95)</f>
        <v>3741223.53</v>
      </c>
      <c r="E95" s="8">
        <f>SUMIFS('{worksheet}'!$AC$3:$AC$4127,'{worksheet}'!$AB$3:$AB$4127,"H1_2026",'{worksheet}'!$M$3:$M$4127,$C95)</f>
        <v>0</v>
      </c>
      <c r="F95" s="8">
        <f>E95-D95</f>
        <v>-3741223.53</v>
      </c>
      <c r="G95" s="9">
        <f>IF(D95=0,"",E95/D95-1)</f>
        <v>-1</v>
      </c>
      <c r="H95" s="8">
        <f>SUMIFS('{worksheet}'!$AD$3:$AD$4127,'{worksheet}'!$AB$3:$AB$4127,"H1_2025",'{worksheet}'!$M$3:$M$4127,$C95)</f>
        <v>653</v>
      </c>
      <c r="I95" s="8">
        <f>SUMIFS('{worksheet}'!$AD$3:$AD$4127,'{worksheet}'!$AB$3:$AB$4127,"H1_2026",'{worksheet}'!$M$3:$M$4127,$C95)</f>
        <v>0</v>
      </c>
      <c r="J95" s="8">
        <f>SUMIFS('{worksheet}'!$AE$3:$AE$4127,'{worksheet}'!$AB$3:$AB$4127,"H1_2026",'{worksheet}'!$M$3:$M$4127,$C95)</f>
        <v>0</v>
      </c>
      <c r="K95" s="9" t="str">
        <f>IF(E95=0,"",J95/E95)</f>
        <v/>
      </c>
      <c r="L95" s="8">
        <f>SUMIFS('{worksheet}'!$AD$3:$AD$4127,'{worksheet}'!$AB$3:$AB$4127,"H1_2026",'{worksheet}'!$M$3:$M$4127,$C95,'{worksheet}'!$AF$3:$AF$4127,"Sample")+SUMIFS('{worksheet}'!$AD$3:$AD$4127,'{worksheet}'!$AB$3:$AB$4127,"H1_2026",'{worksheet}'!$M$3:$M$4127,$C95,'{worksheet}'!$AF$3:$AF$4127,"FOC")</f>
        <v>0</v>
      </c>
      <c r="M95" t="str">
        <f>IF(AND(D95=0,E95&gt;0),"New in H1'26",IF(AND(D95&gt;0,E95=0),"Exited",IF(G95="","",IF(G95&gt;=0.2,"Growth",IF(G95&lt;=-0.2,"Decline","Stable")))))</f>
        <v>Exited</v>
      </c>
    </row>
    <row r="96" spans="1:13" x14ac:dyDescent="0.3">
      <c r="A96" s="31">
        <v>71</v>
      </c>
      <c r="B96" t="s">
        <v>23145</v>
      </c>
      <c r="C96" t="s">
        <v>15681</v>
      </c>
      <c r="D96" s="8">
        <f>SUMIFS('{worksheet}'!$AC$3:$AC$4127,'{worksheet}'!$AB$3:$AB$4127,"H1_2025",'{worksheet}'!$M$3:$M$4127,$C96)</f>
        <v>2469148.2300000004</v>
      </c>
      <c r="E96" s="8">
        <f>SUMIFS('{worksheet}'!$AC$3:$AC$4127,'{worksheet}'!$AB$3:$AB$4127,"H1_2026",'{worksheet}'!$M$3:$M$4127,$C96)</f>
        <v>0</v>
      </c>
      <c r="F96" s="8">
        <f>E96-D96</f>
        <v>-2469148.2300000004</v>
      </c>
      <c r="G96" s="9">
        <f>IF(D96=0,"",E96/D96-1)</f>
        <v>-1</v>
      </c>
      <c r="H96" s="8">
        <f>SUMIFS('{worksheet}'!$AD$3:$AD$4127,'{worksheet}'!$AB$3:$AB$4127,"H1_2025",'{worksheet}'!$M$3:$M$4127,$C96)</f>
        <v>343</v>
      </c>
      <c r="I96" s="8">
        <f>SUMIFS('{worksheet}'!$AD$3:$AD$4127,'{worksheet}'!$AB$3:$AB$4127,"H1_2026",'{worksheet}'!$M$3:$M$4127,$C96)</f>
        <v>0</v>
      </c>
      <c r="J96" s="8">
        <f>SUMIFS('{worksheet}'!$AE$3:$AE$4127,'{worksheet}'!$AB$3:$AB$4127,"H1_2026",'{worksheet}'!$M$3:$M$4127,$C96)</f>
        <v>0</v>
      </c>
      <c r="K96" s="9" t="str">
        <f>IF(E96=0,"",J96/E96)</f>
        <v/>
      </c>
      <c r="L96" s="8">
        <f>SUMIFS('{worksheet}'!$AD$3:$AD$4127,'{worksheet}'!$AB$3:$AB$4127,"H1_2026",'{worksheet}'!$M$3:$M$4127,$C96,'{worksheet}'!$AF$3:$AF$4127,"Sample")+SUMIFS('{worksheet}'!$AD$3:$AD$4127,'{worksheet}'!$AB$3:$AB$4127,"H1_2026",'{worksheet}'!$M$3:$M$4127,$C96,'{worksheet}'!$AF$3:$AF$4127,"FOC")</f>
        <v>0</v>
      </c>
      <c r="M96" t="str">
        <f>IF(AND(D96=0,E96&gt;0),"New in H1'26",IF(AND(D96&gt;0,E96=0),"Exited",IF(G96="","",IF(G96&gt;=0.2,"Growth",IF(G96&lt;=-0.2,"Decline","Stable")))))</f>
        <v>Exited</v>
      </c>
    </row>
    <row r="97" spans="1:13" x14ac:dyDescent="0.3">
      <c r="A97" s="31">
        <v>72</v>
      </c>
      <c r="B97" t="s">
        <v>15232</v>
      </c>
      <c r="C97" t="s">
        <v>15232</v>
      </c>
      <c r="D97" s="8">
        <f>SUMIFS('{worksheet}'!$AC$3:$AC$4127,'{worksheet}'!$AB$3:$AB$4127,"H1_2025",'{worksheet}'!$M$3:$M$4127,$C97)</f>
        <v>2355819.19</v>
      </c>
      <c r="E97" s="8">
        <f>SUMIFS('{worksheet}'!$AC$3:$AC$4127,'{worksheet}'!$AB$3:$AB$4127,"H1_2026",'{worksheet}'!$M$3:$M$4127,$C97)</f>
        <v>0</v>
      </c>
      <c r="F97" s="8">
        <f>E97-D97</f>
        <v>-2355819.19</v>
      </c>
      <c r="G97" s="9">
        <f>IF(D97=0,"",E97/D97-1)</f>
        <v>-1</v>
      </c>
      <c r="H97" s="8">
        <f>SUMIFS('{worksheet}'!$AD$3:$AD$4127,'{worksheet}'!$AB$3:$AB$4127,"H1_2025",'{worksheet}'!$M$3:$M$4127,$C97)</f>
        <v>311</v>
      </c>
      <c r="I97" s="8">
        <f>SUMIFS('{worksheet}'!$AD$3:$AD$4127,'{worksheet}'!$AB$3:$AB$4127,"H1_2026",'{worksheet}'!$M$3:$M$4127,$C97)</f>
        <v>0</v>
      </c>
      <c r="J97" s="8">
        <f>SUMIFS('{worksheet}'!$AE$3:$AE$4127,'{worksheet}'!$AB$3:$AB$4127,"H1_2026",'{worksheet}'!$M$3:$M$4127,$C97)</f>
        <v>0</v>
      </c>
      <c r="K97" s="9" t="str">
        <f>IF(E97=0,"",J97/E97)</f>
        <v/>
      </c>
      <c r="L97" s="8">
        <f>SUMIFS('{worksheet}'!$AD$3:$AD$4127,'{worksheet}'!$AB$3:$AB$4127,"H1_2026",'{worksheet}'!$M$3:$M$4127,$C97,'{worksheet}'!$AF$3:$AF$4127,"Sample")+SUMIFS('{worksheet}'!$AD$3:$AD$4127,'{worksheet}'!$AB$3:$AB$4127,"H1_2026",'{worksheet}'!$M$3:$M$4127,$C97,'{worksheet}'!$AF$3:$AF$4127,"FOC")</f>
        <v>0</v>
      </c>
      <c r="M97" t="str">
        <f>IF(AND(D97=0,E97&gt;0),"New in H1'26",IF(AND(D97&gt;0,E97=0),"Exited",IF(G97="","",IF(G97&gt;=0.2,"Growth",IF(G97&lt;=-0.2,"Decline","Stable")))))</f>
        <v>Exited</v>
      </c>
    </row>
    <row r="98" spans="1:13" x14ac:dyDescent="0.3">
      <c r="A98" s="31">
        <v>73</v>
      </c>
      <c r="B98" t="s">
        <v>23146</v>
      </c>
      <c r="C98" t="s">
        <v>16415</v>
      </c>
      <c r="D98" s="8">
        <f>SUMIFS('{worksheet}'!$AC$3:$AC$4127,'{worksheet}'!$AB$3:$AB$4127,"H1_2025",'{worksheet}'!$M$3:$M$4127,$C98)</f>
        <v>1581870.5799999998</v>
      </c>
      <c r="E98" s="8">
        <f>SUMIFS('{worksheet}'!$AC$3:$AC$4127,'{worksheet}'!$AB$3:$AB$4127,"H1_2026",'{worksheet}'!$M$3:$M$4127,$C98)</f>
        <v>0</v>
      </c>
      <c r="F98" s="8">
        <f>E98-D98</f>
        <v>-1581870.5799999998</v>
      </c>
      <c r="G98" s="9">
        <f>IF(D98=0,"",E98/D98-1)</f>
        <v>-1</v>
      </c>
      <c r="H98" s="8">
        <f>SUMIFS('{worksheet}'!$AD$3:$AD$4127,'{worksheet}'!$AB$3:$AB$4127,"H1_2025",'{worksheet}'!$M$3:$M$4127,$C98)</f>
        <v>182</v>
      </c>
      <c r="I98" s="8">
        <f>SUMIFS('{worksheet}'!$AD$3:$AD$4127,'{worksheet}'!$AB$3:$AB$4127,"H1_2026",'{worksheet}'!$M$3:$M$4127,$C98)</f>
        <v>0</v>
      </c>
      <c r="J98" s="8">
        <f>SUMIFS('{worksheet}'!$AE$3:$AE$4127,'{worksheet}'!$AB$3:$AB$4127,"H1_2026",'{worksheet}'!$M$3:$M$4127,$C98)</f>
        <v>0</v>
      </c>
      <c r="K98" s="9" t="str">
        <f>IF(E98=0,"",J98/E98)</f>
        <v/>
      </c>
      <c r="L98" s="8">
        <f>SUMIFS('{worksheet}'!$AD$3:$AD$4127,'{worksheet}'!$AB$3:$AB$4127,"H1_2026",'{worksheet}'!$M$3:$M$4127,$C98,'{worksheet}'!$AF$3:$AF$4127,"Sample")+SUMIFS('{worksheet}'!$AD$3:$AD$4127,'{worksheet}'!$AB$3:$AB$4127,"H1_2026",'{worksheet}'!$M$3:$M$4127,$C98,'{worksheet}'!$AF$3:$AF$4127,"FOC")</f>
        <v>0</v>
      </c>
      <c r="M98" t="str">
        <f>IF(AND(D98=0,E98&gt;0),"New in H1'26",IF(AND(D98&gt;0,E98=0),"Exited",IF(G98="","",IF(G98&gt;=0.2,"Growth",IF(G98&lt;=-0.2,"Decline","Stable")))))</f>
        <v>Exited</v>
      </c>
    </row>
    <row r="99" spans="1:13" x14ac:dyDescent="0.3">
      <c r="A99" s="31">
        <v>74</v>
      </c>
      <c r="B99" t="s">
        <v>16762</v>
      </c>
      <c r="C99" t="s">
        <v>16762</v>
      </c>
      <c r="D99" s="8">
        <f>SUMIFS('{worksheet}'!$AC$3:$AC$4127,'{worksheet}'!$AB$3:$AB$4127,"H1_2025",'{worksheet}'!$M$3:$M$4127,$C99)</f>
        <v>839570</v>
      </c>
      <c r="E99" s="8">
        <f>SUMIFS('{worksheet}'!$AC$3:$AC$4127,'{worksheet}'!$AB$3:$AB$4127,"H1_2026",'{worksheet}'!$M$3:$M$4127,$C99)</f>
        <v>0</v>
      </c>
      <c r="F99" s="8">
        <f>E99-D99</f>
        <v>-839570</v>
      </c>
      <c r="G99" s="9">
        <f>IF(D99=0,"",E99/D99-1)</f>
        <v>-1</v>
      </c>
      <c r="H99" s="8">
        <f>SUMIFS('{worksheet}'!$AD$3:$AD$4127,'{worksheet}'!$AB$3:$AB$4127,"H1_2025",'{worksheet}'!$M$3:$M$4127,$C99)</f>
        <v>100</v>
      </c>
      <c r="I99" s="8">
        <f>SUMIFS('{worksheet}'!$AD$3:$AD$4127,'{worksheet}'!$AB$3:$AB$4127,"H1_2026",'{worksheet}'!$M$3:$M$4127,$C99)</f>
        <v>0</v>
      </c>
      <c r="J99" s="8">
        <f>SUMIFS('{worksheet}'!$AE$3:$AE$4127,'{worksheet}'!$AB$3:$AB$4127,"H1_2026",'{worksheet}'!$M$3:$M$4127,$C99)</f>
        <v>0</v>
      </c>
      <c r="K99" s="9" t="str">
        <f>IF(E99=0,"",J99/E99)</f>
        <v/>
      </c>
      <c r="L99" s="8">
        <f>SUMIFS('{worksheet}'!$AD$3:$AD$4127,'{worksheet}'!$AB$3:$AB$4127,"H1_2026",'{worksheet}'!$M$3:$M$4127,$C99,'{worksheet}'!$AF$3:$AF$4127,"Sample")+SUMIFS('{worksheet}'!$AD$3:$AD$4127,'{worksheet}'!$AB$3:$AB$4127,"H1_2026",'{worksheet}'!$M$3:$M$4127,$C99,'{worksheet}'!$AF$3:$AF$4127,"FOC")</f>
        <v>0</v>
      </c>
      <c r="M99" t="str">
        <f>IF(AND(D99=0,E99&gt;0),"New in H1'26",IF(AND(D99&gt;0,E99=0),"Exited",IF(G99="","",IF(G99&gt;=0.2,"Growth",IF(G99&lt;=-0.2,"Decline","Stable")))))</f>
        <v>Exited</v>
      </c>
    </row>
    <row r="100" spans="1:13" x14ac:dyDescent="0.3">
      <c r="A100" s="31">
        <v>75</v>
      </c>
      <c r="B100" t="s">
        <v>21637</v>
      </c>
      <c r="C100" t="s">
        <v>21637</v>
      </c>
      <c r="D100" s="8">
        <f>SUMIFS('{worksheet}'!$AC$3:$AC$4127,'{worksheet}'!$AB$3:$AB$4127,"H1_2025",'{worksheet}'!$M$3:$M$4127,$C100)</f>
        <v>690126.54</v>
      </c>
      <c r="E100" s="8">
        <f>SUMIFS('{worksheet}'!$AC$3:$AC$4127,'{worksheet}'!$AB$3:$AB$4127,"H1_2026",'{worksheet}'!$M$3:$M$4127,$C100)</f>
        <v>0</v>
      </c>
      <c r="F100" s="8">
        <f>E100-D100</f>
        <v>-690126.54</v>
      </c>
      <c r="G100" s="9">
        <f>IF(D100=0,"",E100/D100-1)</f>
        <v>-1</v>
      </c>
      <c r="H100" s="8">
        <f>SUMIFS('{worksheet}'!$AD$3:$AD$4127,'{worksheet}'!$AB$3:$AB$4127,"H1_2025",'{worksheet}'!$M$3:$M$4127,$C100)</f>
        <v>138</v>
      </c>
      <c r="I100" s="8">
        <f>SUMIFS('{worksheet}'!$AD$3:$AD$4127,'{worksheet}'!$AB$3:$AB$4127,"H1_2026",'{worksheet}'!$M$3:$M$4127,$C100)</f>
        <v>0</v>
      </c>
      <c r="J100" s="8">
        <f>SUMIFS('{worksheet}'!$AE$3:$AE$4127,'{worksheet}'!$AB$3:$AB$4127,"H1_2026",'{worksheet}'!$M$3:$M$4127,$C100)</f>
        <v>0</v>
      </c>
      <c r="K100" s="9" t="str">
        <f>IF(E100=0,"",J100/E100)</f>
        <v/>
      </c>
      <c r="L100" s="8">
        <f>SUMIFS('{worksheet}'!$AD$3:$AD$4127,'{worksheet}'!$AB$3:$AB$4127,"H1_2026",'{worksheet}'!$M$3:$M$4127,$C100,'{worksheet}'!$AF$3:$AF$4127,"Sample")+SUMIFS('{worksheet}'!$AD$3:$AD$4127,'{worksheet}'!$AB$3:$AB$4127,"H1_2026",'{worksheet}'!$M$3:$M$4127,$C100,'{worksheet}'!$AF$3:$AF$4127,"FOC")</f>
        <v>0</v>
      </c>
      <c r="M100" t="str">
        <f>IF(AND(D100=0,E100&gt;0),"New in H1'26",IF(AND(D100&gt;0,E100=0),"Exited",IF(G100="","",IF(G100&gt;=0.2,"Growth",IF(G100&lt;=-0.2,"Decline","Stable")))))</f>
        <v>Exited</v>
      </c>
    </row>
    <row r="101" spans="1:13" x14ac:dyDescent="0.3">
      <c r="A101" s="31">
        <v>76</v>
      </c>
      <c r="B101" t="s">
        <v>21107</v>
      </c>
      <c r="C101" t="s">
        <v>21107</v>
      </c>
      <c r="D101" s="8">
        <f>SUMIFS('{worksheet}'!$AC$3:$AC$4127,'{worksheet}'!$AB$3:$AB$4127,"H1_2025",'{worksheet}'!$M$3:$M$4127,$C101)</f>
        <v>350484.9</v>
      </c>
      <c r="E101" s="8">
        <f>SUMIFS('{worksheet}'!$AC$3:$AC$4127,'{worksheet}'!$AB$3:$AB$4127,"H1_2026",'{worksheet}'!$M$3:$M$4127,$C101)</f>
        <v>0</v>
      </c>
      <c r="F101" s="8">
        <f>E101-D101</f>
        <v>-350484.9</v>
      </c>
      <c r="G101" s="9">
        <f>IF(D101=0,"",E101/D101-1)</f>
        <v>-1</v>
      </c>
      <c r="H101" s="8">
        <f>SUMIFS('{worksheet}'!$AD$3:$AD$4127,'{worksheet}'!$AB$3:$AB$4127,"H1_2025",'{worksheet}'!$M$3:$M$4127,$C101)</f>
        <v>30</v>
      </c>
      <c r="I101" s="8">
        <f>SUMIFS('{worksheet}'!$AD$3:$AD$4127,'{worksheet}'!$AB$3:$AB$4127,"H1_2026",'{worksheet}'!$M$3:$M$4127,$C101)</f>
        <v>0</v>
      </c>
      <c r="J101" s="8">
        <f>SUMIFS('{worksheet}'!$AE$3:$AE$4127,'{worksheet}'!$AB$3:$AB$4127,"H1_2026",'{worksheet}'!$M$3:$M$4127,$C101)</f>
        <v>0</v>
      </c>
      <c r="K101" s="9" t="str">
        <f>IF(E101=0,"",J101/E101)</f>
        <v/>
      </c>
      <c r="L101" s="8">
        <f>SUMIFS('{worksheet}'!$AD$3:$AD$4127,'{worksheet}'!$AB$3:$AB$4127,"H1_2026",'{worksheet}'!$M$3:$M$4127,$C101,'{worksheet}'!$AF$3:$AF$4127,"Sample")+SUMIFS('{worksheet}'!$AD$3:$AD$4127,'{worksheet}'!$AB$3:$AB$4127,"H1_2026",'{worksheet}'!$M$3:$M$4127,$C101,'{worksheet}'!$AF$3:$AF$4127,"FOC")</f>
        <v>0</v>
      </c>
      <c r="M101" t="str">
        <f>IF(AND(D101=0,E101&gt;0),"New in H1'26",IF(AND(D101&gt;0,E101=0),"Exited",IF(G101="","",IF(G101&gt;=0.2,"Growth",IF(G101&lt;=-0.2,"Decline","Stable")))))</f>
        <v>Exited</v>
      </c>
    </row>
    <row r="102" spans="1:13" x14ac:dyDescent="0.3">
      <c r="A102" s="31">
        <v>77</v>
      </c>
      <c r="B102" t="s">
        <v>22119</v>
      </c>
      <c r="C102" t="s">
        <v>22119</v>
      </c>
      <c r="D102" s="8">
        <f>SUMIFS('{worksheet}'!$AC$3:$AC$4127,'{worksheet}'!$AB$3:$AB$4127,"H1_2025",'{worksheet}'!$M$3:$M$4127,$C102)</f>
        <v>262628.87999999995</v>
      </c>
      <c r="E102" s="8">
        <f>SUMIFS('{worksheet}'!$AC$3:$AC$4127,'{worksheet}'!$AB$3:$AB$4127,"H1_2026",'{worksheet}'!$M$3:$M$4127,$C102)</f>
        <v>0</v>
      </c>
      <c r="F102" s="8">
        <f>E102-D102</f>
        <v>-262628.87999999995</v>
      </c>
      <c r="G102" s="9">
        <f>IF(D102=0,"",E102/D102-1)</f>
        <v>-1</v>
      </c>
      <c r="H102" s="8">
        <f>SUMIFS('{worksheet}'!$AD$3:$AD$4127,'{worksheet}'!$AB$3:$AB$4127,"H1_2025",'{worksheet}'!$M$3:$M$4127,$C102)</f>
        <v>35</v>
      </c>
      <c r="I102" s="8">
        <f>SUMIFS('{worksheet}'!$AD$3:$AD$4127,'{worksheet}'!$AB$3:$AB$4127,"H1_2026",'{worksheet}'!$M$3:$M$4127,$C102)</f>
        <v>0</v>
      </c>
      <c r="J102" s="8">
        <f>SUMIFS('{worksheet}'!$AE$3:$AE$4127,'{worksheet}'!$AB$3:$AB$4127,"H1_2026",'{worksheet}'!$M$3:$M$4127,$C102)</f>
        <v>0</v>
      </c>
      <c r="K102" s="9" t="str">
        <f>IF(E102=0,"",J102/E102)</f>
        <v/>
      </c>
      <c r="L102" s="8">
        <f>SUMIFS('{worksheet}'!$AD$3:$AD$4127,'{worksheet}'!$AB$3:$AB$4127,"H1_2026",'{worksheet}'!$M$3:$M$4127,$C102,'{worksheet}'!$AF$3:$AF$4127,"Sample")+SUMIFS('{worksheet}'!$AD$3:$AD$4127,'{worksheet}'!$AB$3:$AB$4127,"H1_2026",'{worksheet}'!$M$3:$M$4127,$C102,'{worksheet}'!$AF$3:$AF$4127,"FOC")</f>
        <v>0</v>
      </c>
      <c r="M102" t="str">
        <f>IF(AND(D102=0,E102&gt;0),"New in H1'26",IF(AND(D102&gt;0,E102=0),"Exited",IF(G102="","",IF(G102&gt;=0.2,"Growth",IF(G102&lt;=-0.2,"Decline","Stable")))))</f>
        <v>Exited</v>
      </c>
    </row>
    <row r="103" spans="1:13" x14ac:dyDescent="0.3">
      <c r="A103" s="31">
        <v>78</v>
      </c>
      <c r="B103" t="s">
        <v>14146</v>
      </c>
      <c r="C103" t="s">
        <v>14146</v>
      </c>
      <c r="D103" s="8">
        <f>SUMIFS('{worksheet}'!$AC$3:$AC$4127,'{worksheet}'!$AB$3:$AB$4127,"H1_2025",'{worksheet}'!$M$3:$M$4127,$C103)</f>
        <v>189970.5</v>
      </c>
      <c r="E103" s="8">
        <f>SUMIFS('{worksheet}'!$AC$3:$AC$4127,'{worksheet}'!$AB$3:$AB$4127,"H1_2026",'{worksheet}'!$M$3:$M$4127,$C103)</f>
        <v>0</v>
      </c>
      <c r="F103" s="8">
        <f>E103-D103</f>
        <v>-189970.5</v>
      </c>
      <c r="G103" s="9">
        <f>IF(D103=0,"",E103/D103-1)</f>
        <v>-1</v>
      </c>
      <c r="H103" s="8">
        <f>SUMIFS('{worksheet}'!$AD$3:$AD$4127,'{worksheet}'!$AB$3:$AB$4127,"H1_2025",'{worksheet}'!$M$3:$M$4127,$C103)</f>
        <v>25</v>
      </c>
      <c r="I103" s="8">
        <f>SUMIFS('{worksheet}'!$AD$3:$AD$4127,'{worksheet}'!$AB$3:$AB$4127,"H1_2026",'{worksheet}'!$M$3:$M$4127,$C103)</f>
        <v>0</v>
      </c>
      <c r="J103" s="8">
        <f>SUMIFS('{worksheet}'!$AE$3:$AE$4127,'{worksheet}'!$AB$3:$AB$4127,"H1_2026",'{worksheet}'!$M$3:$M$4127,$C103)</f>
        <v>0</v>
      </c>
      <c r="K103" s="9" t="str">
        <f>IF(E103=0,"",J103/E103)</f>
        <v/>
      </c>
      <c r="L103" s="8">
        <f>SUMIFS('{worksheet}'!$AD$3:$AD$4127,'{worksheet}'!$AB$3:$AB$4127,"H1_2026",'{worksheet}'!$M$3:$M$4127,$C103,'{worksheet}'!$AF$3:$AF$4127,"Sample")+SUMIFS('{worksheet}'!$AD$3:$AD$4127,'{worksheet}'!$AB$3:$AB$4127,"H1_2026",'{worksheet}'!$M$3:$M$4127,$C103,'{worksheet}'!$AF$3:$AF$4127,"FOC")</f>
        <v>0</v>
      </c>
      <c r="M103" t="str">
        <f>IF(AND(D103=0,E103&gt;0),"New in H1'26",IF(AND(D103&gt;0,E103=0),"Exited",IF(G103="","",IF(G103&gt;=0.2,"Growth",IF(G103&lt;=-0.2,"Decline","Stable")))))</f>
        <v>Exited</v>
      </c>
    </row>
    <row r="104" spans="1:13" x14ac:dyDescent="0.3">
      <c r="A104" s="31">
        <v>79</v>
      </c>
      <c r="B104" t="s">
        <v>23147</v>
      </c>
      <c r="C104" t="s">
        <v>17482</v>
      </c>
      <c r="D104" s="8">
        <f>SUMIFS('{worksheet}'!$AC$3:$AC$4127,'{worksheet}'!$AB$3:$AB$4127,"H1_2025",'{worksheet}'!$M$3:$M$4127,$C104)</f>
        <v>158308.75</v>
      </c>
      <c r="E104" s="8">
        <f>SUMIFS('{worksheet}'!$AC$3:$AC$4127,'{worksheet}'!$AB$3:$AB$4127,"H1_2026",'{worksheet}'!$M$3:$M$4127,$C104)</f>
        <v>0</v>
      </c>
      <c r="F104" s="8">
        <f>E104-D104</f>
        <v>-158308.75</v>
      </c>
      <c r="G104" s="9">
        <f>IF(D104=0,"",E104/D104-1)</f>
        <v>-1</v>
      </c>
      <c r="H104" s="8">
        <f>SUMIFS('{worksheet}'!$AD$3:$AD$4127,'{worksheet}'!$AB$3:$AB$4127,"H1_2025",'{worksheet}'!$M$3:$M$4127,$C104)</f>
        <v>25</v>
      </c>
      <c r="I104" s="8">
        <f>SUMIFS('{worksheet}'!$AD$3:$AD$4127,'{worksheet}'!$AB$3:$AB$4127,"H1_2026",'{worksheet}'!$M$3:$M$4127,$C104)</f>
        <v>0</v>
      </c>
      <c r="J104" s="8">
        <f>SUMIFS('{worksheet}'!$AE$3:$AE$4127,'{worksheet}'!$AB$3:$AB$4127,"H1_2026",'{worksheet}'!$M$3:$M$4127,$C104)</f>
        <v>0</v>
      </c>
      <c r="K104" s="9" t="str">
        <f>IF(E104=0,"",J104/E104)</f>
        <v/>
      </c>
      <c r="L104" s="8">
        <f>SUMIFS('{worksheet}'!$AD$3:$AD$4127,'{worksheet}'!$AB$3:$AB$4127,"H1_2026",'{worksheet}'!$M$3:$M$4127,$C104,'{worksheet}'!$AF$3:$AF$4127,"Sample")+SUMIFS('{worksheet}'!$AD$3:$AD$4127,'{worksheet}'!$AB$3:$AB$4127,"H1_2026",'{worksheet}'!$M$3:$M$4127,$C104,'{worksheet}'!$AF$3:$AF$4127,"FOC")</f>
        <v>0</v>
      </c>
      <c r="M104" t="str">
        <f>IF(AND(D104=0,E104&gt;0),"New in H1'26",IF(AND(D104&gt;0,E104=0),"Exited",IF(G104="","",IF(G104&gt;=0.2,"Growth",IF(G104&lt;=-0.2,"Decline","Stable")))))</f>
        <v>Exited</v>
      </c>
    </row>
    <row r="105" spans="1:13" x14ac:dyDescent="0.3">
      <c r="A105" s="31">
        <v>80</v>
      </c>
      <c r="B105" t="s">
        <v>21296</v>
      </c>
      <c r="C105" t="s">
        <v>21296</v>
      </c>
      <c r="D105" s="8">
        <f>SUMIFS('{worksheet}'!$AC$3:$AC$4127,'{worksheet}'!$AB$3:$AB$4127,"H1_2025",'{worksheet}'!$M$3:$M$4127,$C105)</f>
        <v>131086.76</v>
      </c>
      <c r="E105" s="8">
        <f>SUMIFS('{worksheet}'!$AC$3:$AC$4127,'{worksheet}'!$AB$3:$AB$4127,"H1_2026",'{worksheet}'!$M$3:$M$4127,$C105)</f>
        <v>0</v>
      </c>
      <c r="F105" s="8">
        <f>E105-D105</f>
        <v>-131086.76</v>
      </c>
      <c r="G105" s="9">
        <f>IF(D105=0,"",E105/D105-1)</f>
        <v>-1</v>
      </c>
      <c r="H105" s="8">
        <f>SUMIFS('{worksheet}'!$AD$3:$AD$4127,'{worksheet}'!$AB$3:$AB$4127,"H1_2025",'{worksheet}'!$M$3:$M$4127,$C105)</f>
        <v>14</v>
      </c>
      <c r="I105" s="8">
        <f>SUMIFS('{worksheet}'!$AD$3:$AD$4127,'{worksheet}'!$AB$3:$AB$4127,"H1_2026",'{worksheet}'!$M$3:$M$4127,$C105)</f>
        <v>0</v>
      </c>
      <c r="J105" s="8">
        <f>SUMIFS('{worksheet}'!$AE$3:$AE$4127,'{worksheet}'!$AB$3:$AB$4127,"H1_2026",'{worksheet}'!$M$3:$M$4127,$C105)</f>
        <v>0</v>
      </c>
      <c r="K105" s="9" t="str">
        <f>IF(E105=0,"",J105/E105)</f>
        <v/>
      </c>
      <c r="L105" s="8">
        <f>SUMIFS('{worksheet}'!$AD$3:$AD$4127,'{worksheet}'!$AB$3:$AB$4127,"H1_2026",'{worksheet}'!$M$3:$M$4127,$C105,'{worksheet}'!$AF$3:$AF$4127,"Sample")+SUMIFS('{worksheet}'!$AD$3:$AD$4127,'{worksheet}'!$AB$3:$AB$4127,"H1_2026",'{worksheet}'!$M$3:$M$4127,$C105,'{worksheet}'!$AF$3:$AF$4127,"FOC")</f>
        <v>0</v>
      </c>
      <c r="M105" t="str">
        <f>IF(AND(D105=0,E105&gt;0),"New in H1'26",IF(AND(D105&gt;0,E105=0),"Exited",IF(G105="","",IF(G105&gt;=0.2,"Growth",IF(G105&lt;=-0.2,"Decline","Stable")))))</f>
        <v>Exited</v>
      </c>
    </row>
    <row r="106" spans="1:13" x14ac:dyDescent="0.3">
      <c r="A106" s="31">
        <v>81</v>
      </c>
      <c r="B106" t="s">
        <v>17039</v>
      </c>
      <c r="C106" t="s">
        <v>17039</v>
      </c>
      <c r="D106" s="8">
        <f>SUMIFS('{worksheet}'!$AC$3:$AC$4127,'{worksheet}'!$AB$3:$AB$4127,"H1_2025",'{worksheet}'!$M$3:$M$4127,$C106)</f>
        <v>102740.6</v>
      </c>
      <c r="E106" s="8">
        <f>SUMIFS('{worksheet}'!$AC$3:$AC$4127,'{worksheet}'!$AB$3:$AB$4127,"H1_2026",'{worksheet}'!$M$3:$M$4127,$C106)</f>
        <v>0</v>
      </c>
      <c r="F106" s="8">
        <f>E106-D106</f>
        <v>-102740.6</v>
      </c>
      <c r="G106" s="9">
        <f>IF(D106=0,"",E106/D106-1)</f>
        <v>-1</v>
      </c>
      <c r="H106" s="8">
        <f>SUMIFS('{worksheet}'!$AD$3:$AD$4127,'{worksheet}'!$AB$3:$AB$4127,"H1_2025",'{worksheet}'!$M$3:$M$4127,$C106)</f>
        <v>10</v>
      </c>
      <c r="I106" s="8">
        <f>SUMIFS('{worksheet}'!$AD$3:$AD$4127,'{worksheet}'!$AB$3:$AB$4127,"H1_2026",'{worksheet}'!$M$3:$M$4127,$C106)</f>
        <v>0</v>
      </c>
      <c r="J106" s="8">
        <f>SUMIFS('{worksheet}'!$AE$3:$AE$4127,'{worksheet}'!$AB$3:$AB$4127,"H1_2026",'{worksheet}'!$M$3:$M$4127,$C106)</f>
        <v>0</v>
      </c>
      <c r="K106" s="9" t="str">
        <f>IF(E106=0,"",J106/E106)</f>
        <v/>
      </c>
      <c r="L106" s="8">
        <f>SUMIFS('{worksheet}'!$AD$3:$AD$4127,'{worksheet}'!$AB$3:$AB$4127,"H1_2026",'{worksheet}'!$M$3:$M$4127,$C106,'{worksheet}'!$AF$3:$AF$4127,"Sample")+SUMIFS('{worksheet}'!$AD$3:$AD$4127,'{worksheet}'!$AB$3:$AB$4127,"H1_2026",'{worksheet}'!$M$3:$M$4127,$C106,'{worksheet}'!$AF$3:$AF$4127,"FOC")</f>
        <v>0</v>
      </c>
      <c r="M106" t="str">
        <f>IF(AND(D106=0,E106&gt;0),"New in H1'26",IF(AND(D106&gt;0,E106=0),"Exited",IF(G106="","",IF(G106&gt;=0.2,"Growth",IF(G106&lt;=-0.2,"Decline","Stable")))))</f>
        <v>Exited</v>
      </c>
    </row>
    <row r="107" spans="1:13" x14ac:dyDescent="0.3">
      <c r="A107" s="31">
        <v>82</v>
      </c>
      <c r="B107" t="s">
        <v>23148</v>
      </c>
      <c r="C107" t="s">
        <v>22723</v>
      </c>
      <c r="D107" s="8">
        <f>SUMIFS('{worksheet}'!$AC$3:$AC$4127,'{worksheet}'!$AB$3:$AB$4127,"H1_2025",'{worksheet}'!$M$3:$M$4127,$C107)</f>
        <v>100036.9</v>
      </c>
      <c r="E107" s="8">
        <f>SUMIFS('{worksheet}'!$AC$3:$AC$4127,'{worksheet}'!$AB$3:$AB$4127,"H1_2026",'{worksheet}'!$M$3:$M$4127,$C107)</f>
        <v>0</v>
      </c>
      <c r="F107" s="8">
        <f>E107-D107</f>
        <v>-100036.9</v>
      </c>
      <c r="G107" s="9">
        <f>IF(D107=0,"",E107/D107-1)</f>
        <v>-1</v>
      </c>
      <c r="H107" s="8">
        <f>SUMIFS('{worksheet}'!$AD$3:$AD$4127,'{worksheet}'!$AB$3:$AB$4127,"H1_2025",'{worksheet}'!$M$3:$M$4127,$C107)</f>
        <v>185</v>
      </c>
      <c r="I107" s="8">
        <f>SUMIFS('{worksheet}'!$AD$3:$AD$4127,'{worksheet}'!$AB$3:$AB$4127,"H1_2026",'{worksheet}'!$M$3:$M$4127,$C107)</f>
        <v>0</v>
      </c>
      <c r="J107" s="8">
        <f>SUMIFS('{worksheet}'!$AE$3:$AE$4127,'{worksheet}'!$AB$3:$AB$4127,"H1_2026",'{worksheet}'!$M$3:$M$4127,$C107)</f>
        <v>0</v>
      </c>
      <c r="K107" s="9" t="str">
        <f>IF(E107=0,"",J107/E107)</f>
        <v/>
      </c>
      <c r="L107" s="8">
        <f>SUMIFS('{worksheet}'!$AD$3:$AD$4127,'{worksheet}'!$AB$3:$AB$4127,"H1_2026",'{worksheet}'!$M$3:$M$4127,$C107,'{worksheet}'!$AF$3:$AF$4127,"Sample")+SUMIFS('{worksheet}'!$AD$3:$AD$4127,'{worksheet}'!$AB$3:$AB$4127,"H1_2026",'{worksheet}'!$M$3:$M$4127,$C107,'{worksheet}'!$AF$3:$AF$4127,"FOC")</f>
        <v>0</v>
      </c>
      <c r="M107" t="str">
        <f>IF(AND(D107=0,E107&gt;0),"New in H1'26",IF(AND(D107&gt;0,E107=0),"Exited",IF(G107="","",IF(G107&gt;=0.2,"Growth",IF(G107&lt;=-0.2,"Decline","Stable")))))</f>
        <v>Exited</v>
      </c>
    </row>
    <row r="108" spans="1:13" x14ac:dyDescent="0.3">
      <c r="A108" s="31">
        <v>83</v>
      </c>
      <c r="B108" t="s">
        <v>21856</v>
      </c>
      <c r="C108" t="s">
        <v>21856</v>
      </c>
      <c r="D108" s="8">
        <f>SUMIFS('{worksheet}'!$AC$3:$AC$4127,'{worksheet}'!$AB$3:$AB$4127,"H1_2025",'{worksheet}'!$M$3:$M$4127,$C108)</f>
        <v>53832.09</v>
      </c>
      <c r="E108" s="8">
        <f>SUMIFS('{worksheet}'!$AC$3:$AC$4127,'{worksheet}'!$AB$3:$AB$4127,"H1_2026",'{worksheet}'!$M$3:$M$4127,$C108)</f>
        <v>0</v>
      </c>
      <c r="F108" s="8">
        <f>E108-D108</f>
        <v>-53832.09</v>
      </c>
      <c r="G108" s="9">
        <f>IF(D108=0,"",E108/D108-1)</f>
        <v>-1</v>
      </c>
      <c r="H108" s="8">
        <f>SUMIFS('{worksheet}'!$AD$3:$AD$4127,'{worksheet}'!$AB$3:$AB$4127,"H1_2025",'{worksheet}'!$M$3:$M$4127,$C108)</f>
        <v>332</v>
      </c>
      <c r="I108" s="8">
        <f>SUMIFS('{worksheet}'!$AD$3:$AD$4127,'{worksheet}'!$AB$3:$AB$4127,"H1_2026",'{worksheet}'!$M$3:$M$4127,$C108)</f>
        <v>0</v>
      </c>
      <c r="J108" s="8">
        <f>SUMIFS('{worksheet}'!$AE$3:$AE$4127,'{worksheet}'!$AB$3:$AB$4127,"H1_2026",'{worksheet}'!$M$3:$M$4127,$C108)</f>
        <v>0</v>
      </c>
      <c r="K108" s="9" t="str">
        <f>IF(E108=0,"",J108/E108)</f>
        <v/>
      </c>
      <c r="L108" s="8">
        <f>SUMIFS('{worksheet}'!$AD$3:$AD$4127,'{worksheet}'!$AB$3:$AB$4127,"H1_2026",'{worksheet}'!$M$3:$M$4127,$C108,'{worksheet}'!$AF$3:$AF$4127,"Sample")+SUMIFS('{worksheet}'!$AD$3:$AD$4127,'{worksheet}'!$AB$3:$AB$4127,"H1_2026",'{worksheet}'!$M$3:$M$4127,$C108,'{worksheet}'!$AF$3:$AF$4127,"FOC")</f>
        <v>0</v>
      </c>
      <c r="M108" t="str">
        <f>IF(AND(D108=0,E108&gt;0),"New in H1'26",IF(AND(D108&gt;0,E108=0),"Exited",IF(G108="","",IF(G108&gt;=0.2,"Growth",IF(G108&lt;=-0.2,"Decline","Stable")))))</f>
        <v>Exited</v>
      </c>
    </row>
    <row r="109" spans="1:13" x14ac:dyDescent="0.3">
      <c r="A109" s="31">
        <v>84</v>
      </c>
      <c r="B109" t="s">
        <v>23149</v>
      </c>
      <c r="C109" t="s">
        <v>18521</v>
      </c>
      <c r="D109" s="8">
        <f>SUMIFS('{worksheet}'!$AC$3:$AC$4127,'{worksheet}'!$AB$3:$AB$4127,"H1_2025",'{worksheet}'!$M$3:$M$4127,$C109)</f>
        <v>36499.949999999997</v>
      </c>
      <c r="E109" s="8">
        <f>SUMIFS('{worksheet}'!$AC$3:$AC$4127,'{worksheet}'!$AB$3:$AB$4127,"H1_2026",'{worksheet}'!$M$3:$M$4127,$C109)</f>
        <v>0</v>
      </c>
      <c r="F109" s="8">
        <f>E109-D109</f>
        <v>-36499.949999999997</v>
      </c>
      <c r="G109" s="9">
        <f>IF(D109=0,"",E109/D109-1)</f>
        <v>-1</v>
      </c>
      <c r="H109" s="8">
        <f>SUMIFS('{worksheet}'!$AD$3:$AD$4127,'{worksheet}'!$AB$3:$AB$4127,"H1_2025",'{worksheet}'!$M$3:$M$4127,$C109)</f>
        <v>3</v>
      </c>
      <c r="I109" s="8">
        <f>SUMIFS('{worksheet}'!$AD$3:$AD$4127,'{worksheet}'!$AB$3:$AB$4127,"H1_2026",'{worksheet}'!$M$3:$M$4127,$C109)</f>
        <v>0</v>
      </c>
      <c r="J109" s="8">
        <f>SUMIFS('{worksheet}'!$AE$3:$AE$4127,'{worksheet}'!$AB$3:$AB$4127,"H1_2026",'{worksheet}'!$M$3:$M$4127,$C109)</f>
        <v>0</v>
      </c>
      <c r="K109" s="9" t="str">
        <f>IF(E109=0,"",J109/E109)</f>
        <v/>
      </c>
      <c r="L109" s="8">
        <f>SUMIFS('{worksheet}'!$AD$3:$AD$4127,'{worksheet}'!$AB$3:$AB$4127,"H1_2026",'{worksheet}'!$M$3:$M$4127,$C109,'{worksheet}'!$AF$3:$AF$4127,"Sample")+SUMIFS('{worksheet}'!$AD$3:$AD$4127,'{worksheet}'!$AB$3:$AB$4127,"H1_2026",'{worksheet}'!$M$3:$M$4127,$C109,'{worksheet}'!$AF$3:$AF$4127,"FOC")</f>
        <v>0</v>
      </c>
      <c r="M109" t="str">
        <f>IF(AND(D109=0,E109&gt;0),"New in H1'26",IF(AND(D109&gt;0,E109=0),"Exited",IF(G109="","",IF(G109&gt;=0.2,"Growth",IF(G109&lt;=-0.2,"Decline","Stable")))))</f>
        <v>Exited</v>
      </c>
    </row>
    <row r="110" spans="1:13" x14ac:dyDescent="0.3">
      <c r="A110" s="31">
        <v>85</v>
      </c>
      <c r="B110" t="s">
        <v>21101</v>
      </c>
      <c r="C110" t="s">
        <v>21101</v>
      </c>
      <c r="D110" s="8">
        <f>SUMIFS('{worksheet}'!$AC$3:$AC$4127,'{worksheet}'!$AB$3:$AB$4127,"H1_2025",'{worksheet}'!$M$3:$M$4127,$C110)</f>
        <v>25528.62</v>
      </c>
      <c r="E110" s="8">
        <f>SUMIFS('{worksheet}'!$AC$3:$AC$4127,'{worksheet}'!$AB$3:$AB$4127,"H1_2026",'{worksheet}'!$M$3:$M$4127,$C110)</f>
        <v>0</v>
      </c>
      <c r="F110" s="8">
        <f>E110-D110</f>
        <v>-25528.62</v>
      </c>
      <c r="G110" s="9">
        <f>IF(D110=0,"",E110/D110-1)</f>
        <v>-1</v>
      </c>
      <c r="H110" s="8">
        <f>SUMIFS('{worksheet}'!$AD$3:$AD$4127,'{worksheet}'!$AB$3:$AB$4127,"H1_2025",'{worksheet}'!$M$3:$M$4127,$C110)</f>
        <v>3</v>
      </c>
      <c r="I110" s="8">
        <f>SUMIFS('{worksheet}'!$AD$3:$AD$4127,'{worksheet}'!$AB$3:$AB$4127,"H1_2026",'{worksheet}'!$M$3:$M$4127,$C110)</f>
        <v>0</v>
      </c>
      <c r="J110" s="8">
        <f>SUMIFS('{worksheet}'!$AE$3:$AE$4127,'{worksheet}'!$AB$3:$AB$4127,"H1_2026",'{worksheet}'!$M$3:$M$4127,$C110)</f>
        <v>0</v>
      </c>
      <c r="K110" s="9" t="str">
        <f>IF(E110=0,"",J110/E110)</f>
        <v/>
      </c>
      <c r="L110" s="8">
        <f>SUMIFS('{worksheet}'!$AD$3:$AD$4127,'{worksheet}'!$AB$3:$AB$4127,"H1_2026",'{worksheet}'!$M$3:$M$4127,$C110,'{worksheet}'!$AF$3:$AF$4127,"Sample")+SUMIFS('{worksheet}'!$AD$3:$AD$4127,'{worksheet}'!$AB$3:$AB$4127,"H1_2026",'{worksheet}'!$M$3:$M$4127,$C110,'{worksheet}'!$AF$3:$AF$4127,"FOC")</f>
        <v>0</v>
      </c>
      <c r="M110" t="str">
        <f>IF(AND(D110=0,E110&gt;0),"New in H1'26",IF(AND(D110&gt;0,E110=0),"Exited",IF(G110="","",IF(G110&gt;=0.2,"Growth",IF(G110&lt;=-0.2,"Decline","Stable")))))</f>
        <v>Exited</v>
      </c>
    </row>
    <row r="111" spans="1:13" x14ac:dyDescent="0.3">
      <c r="A111" s="31">
        <v>86</v>
      </c>
      <c r="B111" t="s">
        <v>23150</v>
      </c>
      <c r="C111" t="s">
        <v>19712</v>
      </c>
      <c r="D111" s="8">
        <f>SUMIFS('{worksheet}'!$AC$3:$AC$4127,'{worksheet}'!$AB$3:$AB$4127,"H1_2025",'{worksheet}'!$M$3:$M$4127,$C111)</f>
        <v>0</v>
      </c>
      <c r="E111" s="8">
        <f>SUMIFS('{worksheet}'!$AC$3:$AC$4127,'{worksheet}'!$AB$3:$AB$4127,"H1_2026",'{worksheet}'!$M$3:$M$4127,$C111)</f>
        <v>0</v>
      </c>
      <c r="F111" s="8">
        <f>E111-D111</f>
        <v>0</v>
      </c>
      <c r="G111" s="9" t="str">
        <f>IF(D111=0,"",E111/D111-1)</f>
        <v/>
      </c>
      <c r="H111" s="8">
        <f>SUMIFS('{worksheet}'!$AD$3:$AD$4127,'{worksheet}'!$AB$3:$AB$4127,"H1_2025",'{worksheet}'!$M$3:$M$4127,$C111)</f>
        <v>39</v>
      </c>
      <c r="I111" s="8">
        <f>SUMIFS('{worksheet}'!$AD$3:$AD$4127,'{worksheet}'!$AB$3:$AB$4127,"H1_2026",'{worksheet}'!$M$3:$M$4127,$C111)</f>
        <v>0</v>
      </c>
      <c r="J111" s="8">
        <f>SUMIFS('{worksheet}'!$AE$3:$AE$4127,'{worksheet}'!$AB$3:$AB$4127,"H1_2026",'{worksheet}'!$M$3:$M$4127,$C111)</f>
        <v>0</v>
      </c>
      <c r="K111" s="9" t="str">
        <f>IF(E111=0,"",J111/E111)</f>
        <v/>
      </c>
      <c r="L111" s="8">
        <f>SUMIFS('{worksheet}'!$AD$3:$AD$4127,'{worksheet}'!$AB$3:$AB$4127,"H1_2026",'{worksheet}'!$M$3:$M$4127,$C111,'{worksheet}'!$AF$3:$AF$4127,"Sample")+SUMIFS('{worksheet}'!$AD$3:$AD$4127,'{worksheet}'!$AB$3:$AB$4127,"H1_2026",'{worksheet}'!$M$3:$M$4127,$C111,'{worksheet}'!$AF$3:$AF$4127,"FOC")</f>
        <v>0</v>
      </c>
      <c r="M111" t="str">
        <f>IF(AND(D111=0,E111&gt;0),"New in H1'26",IF(AND(D111&gt;0,E111=0),"Exited",IF(G111="","",IF(G111&gt;=0.2,"Growth",IF(G111&lt;=-0.2,"Decline","Stable")))))</f>
        <v/>
      </c>
    </row>
    <row r="112" spans="1:13" x14ac:dyDescent="0.3">
      <c r="A112" s="31">
        <v>87</v>
      </c>
      <c r="B112" t="s">
        <v>23151</v>
      </c>
      <c r="C112" t="s">
        <v>20288</v>
      </c>
      <c r="D112" s="8">
        <f>SUMIFS('{worksheet}'!$AC$3:$AC$4127,'{worksheet}'!$AB$3:$AB$4127,"H1_2025",'{worksheet}'!$M$3:$M$4127,$C112)</f>
        <v>0</v>
      </c>
      <c r="E112" s="8">
        <f>SUMIFS('{worksheet}'!$AC$3:$AC$4127,'{worksheet}'!$AB$3:$AB$4127,"H1_2026",'{worksheet}'!$M$3:$M$4127,$C112)</f>
        <v>0</v>
      </c>
      <c r="F112" s="8">
        <f>E112-D112</f>
        <v>0</v>
      </c>
      <c r="G112" s="9" t="str">
        <f>IF(D112=0,"",E112/D112-1)</f>
        <v/>
      </c>
      <c r="H112" s="8">
        <f>SUMIFS('{worksheet}'!$AD$3:$AD$4127,'{worksheet}'!$AB$3:$AB$4127,"H1_2025",'{worksheet}'!$M$3:$M$4127,$C112)</f>
        <v>301</v>
      </c>
      <c r="I112" s="8">
        <f>SUMIFS('{worksheet}'!$AD$3:$AD$4127,'{worksheet}'!$AB$3:$AB$4127,"H1_2026",'{worksheet}'!$M$3:$M$4127,$C112)</f>
        <v>0</v>
      </c>
      <c r="J112" s="8">
        <f>SUMIFS('{worksheet}'!$AE$3:$AE$4127,'{worksheet}'!$AB$3:$AB$4127,"H1_2026",'{worksheet}'!$M$3:$M$4127,$C112)</f>
        <v>0</v>
      </c>
      <c r="K112" s="9" t="str">
        <f>IF(E112=0,"",J112/E112)</f>
        <v/>
      </c>
      <c r="L112" s="8">
        <f>SUMIFS('{worksheet}'!$AD$3:$AD$4127,'{worksheet}'!$AB$3:$AB$4127,"H1_2026",'{worksheet}'!$M$3:$M$4127,$C112,'{worksheet}'!$AF$3:$AF$4127,"Sample")+SUMIFS('{worksheet}'!$AD$3:$AD$4127,'{worksheet}'!$AB$3:$AB$4127,"H1_2026",'{worksheet}'!$M$3:$M$4127,$C112,'{worksheet}'!$AF$3:$AF$4127,"FOC")</f>
        <v>0</v>
      </c>
      <c r="M112" t="str">
        <f>IF(AND(D112=0,E112&gt;0),"New in H1'26",IF(AND(D112&gt;0,E112=0),"Exited",IF(G112="","",IF(G112&gt;=0.2,"Growth",IF(G112&lt;=-0.2,"Decline","Stable")))))</f>
        <v/>
      </c>
    </row>
    <row r="113" spans="1:13" x14ac:dyDescent="0.3">
      <c r="A113" s="31">
        <v>88</v>
      </c>
      <c r="B113" t="s">
        <v>20313</v>
      </c>
      <c r="C113" t="s">
        <v>20313</v>
      </c>
      <c r="D113" s="8">
        <f>SUMIFS('{worksheet}'!$AC$3:$AC$4127,'{worksheet}'!$AB$3:$AB$4127,"H1_2025",'{worksheet}'!$M$3:$M$4127,$C113)</f>
        <v>0</v>
      </c>
      <c r="E113" s="8">
        <f>SUMIFS('{worksheet}'!$AC$3:$AC$4127,'{worksheet}'!$AB$3:$AB$4127,"H1_2026",'{worksheet}'!$M$3:$M$4127,$C113)</f>
        <v>0</v>
      </c>
      <c r="F113" s="8">
        <f>E113-D113</f>
        <v>0</v>
      </c>
      <c r="G113" s="9" t="str">
        <f>IF(D113=0,"",E113/D113-1)</f>
        <v/>
      </c>
      <c r="H113" s="8">
        <f>SUMIFS('{worksheet}'!$AD$3:$AD$4127,'{worksheet}'!$AB$3:$AB$4127,"H1_2025",'{worksheet}'!$M$3:$M$4127,$C113)</f>
        <v>12</v>
      </c>
      <c r="I113" s="8">
        <f>SUMIFS('{worksheet}'!$AD$3:$AD$4127,'{worksheet}'!$AB$3:$AB$4127,"H1_2026",'{worksheet}'!$M$3:$M$4127,$C113)</f>
        <v>0</v>
      </c>
      <c r="J113" s="8">
        <f>SUMIFS('{worksheet}'!$AE$3:$AE$4127,'{worksheet}'!$AB$3:$AB$4127,"H1_2026",'{worksheet}'!$M$3:$M$4127,$C113)</f>
        <v>0</v>
      </c>
      <c r="K113" s="9" t="str">
        <f>IF(E113=0,"",J113/E113)</f>
        <v/>
      </c>
      <c r="L113" s="8">
        <f>SUMIFS('{worksheet}'!$AD$3:$AD$4127,'{worksheet}'!$AB$3:$AB$4127,"H1_2026",'{worksheet}'!$M$3:$M$4127,$C113,'{worksheet}'!$AF$3:$AF$4127,"Sample")+SUMIFS('{worksheet}'!$AD$3:$AD$4127,'{worksheet}'!$AB$3:$AB$4127,"H1_2026",'{worksheet}'!$M$3:$M$4127,$C113,'{worksheet}'!$AF$3:$AF$4127,"FOC")</f>
        <v>0</v>
      </c>
      <c r="M113" t="str">
        <f>IF(AND(D113=0,E113&gt;0),"New in H1'26",IF(AND(D113&gt;0,E113=0),"Exited",IF(G113="","",IF(G113&gt;=0.2,"Growth",IF(G113&lt;=-0.2,"Decline","Stable")))))</f>
        <v/>
      </c>
    </row>
    <row r="114" spans="1:13" x14ac:dyDescent="0.3">
      <c r="A114" s="31">
        <v>89</v>
      </c>
      <c r="B114" t="s">
        <v>20666</v>
      </c>
      <c r="C114" t="s">
        <v>20666</v>
      </c>
      <c r="D114" s="8">
        <f>SUMIFS('{worksheet}'!$AC$3:$AC$4127,'{worksheet}'!$AB$3:$AB$4127,"H1_2025",'{worksheet}'!$M$3:$M$4127,$C114)</f>
        <v>0</v>
      </c>
      <c r="E114" s="8">
        <f>SUMIFS('{worksheet}'!$AC$3:$AC$4127,'{worksheet}'!$AB$3:$AB$4127,"H1_2026",'{worksheet}'!$M$3:$M$4127,$C114)</f>
        <v>0</v>
      </c>
      <c r="F114" s="8">
        <f>E114-D114</f>
        <v>0</v>
      </c>
      <c r="G114" s="9" t="str">
        <f>IF(D114=0,"",E114/D114-1)</f>
        <v/>
      </c>
      <c r="H114" s="8">
        <f>SUMIFS('{worksheet}'!$AD$3:$AD$4127,'{worksheet}'!$AB$3:$AB$4127,"H1_2025",'{worksheet}'!$M$3:$M$4127,$C114)</f>
        <v>400</v>
      </c>
      <c r="I114" s="8">
        <f>SUMIFS('{worksheet}'!$AD$3:$AD$4127,'{worksheet}'!$AB$3:$AB$4127,"H1_2026",'{worksheet}'!$M$3:$M$4127,$C114)</f>
        <v>0</v>
      </c>
      <c r="J114" s="8">
        <f>SUMIFS('{worksheet}'!$AE$3:$AE$4127,'{worksheet}'!$AB$3:$AB$4127,"H1_2026",'{worksheet}'!$M$3:$M$4127,$C114)</f>
        <v>0</v>
      </c>
      <c r="K114" s="9" t="str">
        <f>IF(E114=0,"",J114/E114)</f>
        <v/>
      </c>
      <c r="L114" s="8">
        <f>SUMIFS('{worksheet}'!$AD$3:$AD$4127,'{worksheet}'!$AB$3:$AB$4127,"H1_2026",'{worksheet}'!$M$3:$M$4127,$C114,'{worksheet}'!$AF$3:$AF$4127,"Sample")+SUMIFS('{worksheet}'!$AD$3:$AD$4127,'{worksheet}'!$AB$3:$AB$4127,"H1_2026",'{worksheet}'!$M$3:$M$4127,$C114,'{worksheet}'!$AF$3:$AF$4127,"FOC")</f>
        <v>0</v>
      </c>
      <c r="M114" t="str">
        <f>IF(AND(D114=0,E114&gt;0),"New in H1'26",IF(AND(D114&gt;0,E114=0),"Exited",IF(G114="","",IF(G114&gt;=0.2,"Growth",IF(G114&lt;=-0.2,"Decline","Stable")))))</f>
        <v/>
      </c>
    </row>
    <row r="115" spans="1:13" x14ac:dyDescent="0.3">
      <c r="A115" s="31">
        <v>90</v>
      </c>
      <c r="B115" t="s">
        <v>21711</v>
      </c>
      <c r="C115" t="s">
        <v>21711</v>
      </c>
      <c r="D115" s="8">
        <f>SUMIFS('{worksheet}'!$AC$3:$AC$4127,'{worksheet}'!$AB$3:$AB$4127,"H1_2025",'{worksheet}'!$M$3:$M$4127,$C115)</f>
        <v>0</v>
      </c>
      <c r="E115" s="8">
        <f>SUMIFS('{worksheet}'!$AC$3:$AC$4127,'{worksheet}'!$AB$3:$AB$4127,"H1_2026",'{worksheet}'!$M$3:$M$4127,$C115)</f>
        <v>0</v>
      </c>
      <c r="F115" s="8">
        <f>E115-D115</f>
        <v>0</v>
      </c>
      <c r="G115" s="9" t="str">
        <f>IF(D115=0,"",E115/D115-1)</f>
        <v/>
      </c>
      <c r="H115" s="8">
        <f>SUMIFS('{worksheet}'!$AD$3:$AD$4127,'{worksheet}'!$AB$3:$AB$4127,"H1_2025",'{worksheet}'!$M$3:$M$4127,$C115)</f>
        <v>21</v>
      </c>
      <c r="I115" s="8">
        <f>SUMIFS('{worksheet}'!$AD$3:$AD$4127,'{worksheet}'!$AB$3:$AB$4127,"H1_2026",'{worksheet}'!$M$3:$M$4127,$C115)</f>
        <v>0</v>
      </c>
      <c r="J115" s="8">
        <f>SUMIFS('{worksheet}'!$AE$3:$AE$4127,'{worksheet}'!$AB$3:$AB$4127,"H1_2026",'{worksheet}'!$M$3:$M$4127,$C115)</f>
        <v>0</v>
      </c>
      <c r="K115" s="9" t="str">
        <f>IF(E115=0,"",J115/E115)</f>
        <v/>
      </c>
      <c r="L115" s="8">
        <f>SUMIFS('{worksheet}'!$AD$3:$AD$4127,'{worksheet}'!$AB$3:$AB$4127,"H1_2026",'{worksheet}'!$M$3:$M$4127,$C115,'{worksheet}'!$AF$3:$AF$4127,"Sample")+SUMIFS('{worksheet}'!$AD$3:$AD$4127,'{worksheet}'!$AB$3:$AB$4127,"H1_2026",'{worksheet}'!$M$3:$M$4127,$C115,'{worksheet}'!$AF$3:$AF$4127,"FOC")</f>
        <v>0</v>
      </c>
      <c r="M115" t="str">
        <f>IF(AND(D115=0,E115&gt;0),"New in H1'26",IF(AND(D115&gt;0,E115=0),"Exited",IF(G115="","",IF(G115&gt;=0.2,"Growth",IF(G115&lt;=-0.2,"Decline","Stable")))))</f>
        <v/>
      </c>
    </row>
    <row r="116" spans="1:13" x14ac:dyDescent="0.3">
      <c r="A116" s="31">
        <v>91</v>
      </c>
      <c r="B116" t="s">
        <v>23152</v>
      </c>
      <c r="C116" t="s">
        <v>22658</v>
      </c>
      <c r="D116" s="8">
        <f>SUMIFS('{worksheet}'!$AC$3:$AC$4127,'{worksheet}'!$AB$3:$AB$4127,"H1_2025",'{worksheet}'!$M$3:$M$4127,$C116)</f>
        <v>0</v>
      </c>
      <c r="E116" s="8">
        <f>SUMIFS('{worksheet}'!$AC$3:$AC$4127,'{worksheet}'!$AB$3:$AB$4127,"H1_2026",'{worksheet}'!$M$3:$M$4127,$C116)</f>
        <v>0</v>
      </c>
      <c r="F116" s="8">
        <f>E116-D116</f>
        <v>0</v>
      </c>
      <c r="G116" s="9" t="str">
        <f>IF(D116=0,"",E116/D116-1)</f>
        <v/>
      </c>
      <c r="H116" s="8">
        <f>SUMIFS('{worksheet}'!$AD$3:$AD$4127,'{worksheet}'!$AB$3:$AB$4127,"H1_2025",'{worksheet}'!$M$3:$M$4127,$C116)</f>
        <v>30</v>
      </c>
      <c r="I116" s="8">
        <f>SUMIFS('{worksheet}'!$AD$3:$AD$4127,'{worksheet}'!$AB$3:$AB$4127,"H1_2026",'{worksheet}'!$M$3:$M$4127,$C116)</f>
        <v>0</v>
      </c>
      <c r="J116" s="8">
        <f>SUMIFS('{worksheet}'!$AE$3:$AE$4127,'{worksheet}'!$AB$3:$AB$4127,"H1_2026",'{worksheet}'!$M$3:$M$4127,$C116)</f>
        <v>0</v>
      </c>
      <c r="K116" s="9" t="str">
        <f>IF(E116=0,"",J116/E116)</f>
        <v/>
      </c>
      <c r="L116" s="8">
        <f>SUMIFS('{worksheet}'!$AD$3:$AD$4127,'{worksheet}'!$AB$3:$AB$4127,"H1_2026",'{worksheet}'!$M$3:$M$4127,$C116,'{worksheet}'!$AF$3:$AF$4127,"Sample")+SUMIFS('{worksheet}'!$AD$3:$AD$4127,'{worksheet}'!$AB$3:$AB$4127,"H1_2026",'{worksheet}'!$M$3:$M$4127,$C116,'{worksheet}'!$AF$3:$AF$4127,"FOC")</f>
        <v>0</v>
      </c>
      <c r="M116" t="str">
        <f>IF(AND(D116=0,E116&gt;0),"New in H1'26",IF(AND(D116&gt;0,E116=0),"Exited",IF(G116="","",IF(G116&gt;=0.2,"Growth",IF(G116&lt;=-0.2,"Decline","Stable")))))</f>
        <v/>
      </c>
    </row>
    <row r="117" spans="1:13" x14ac:dyDescent="0.3">
      <c r="A117" s="31">
        <v>92</v>
      </c>
      <c r="B117" t="s">
        <v>23153</v>
      </c>
      <c r="C117" t="s">
        <v>22934</v>
      </c>
      <c r="D117" s="8">
        <f>SUMIFS('{worksheet}'!$AC$3:$AC$4127,'{worksheet}'!$AB$3:$AB$4127,"H1_2025",'{worksheet}'!$M$3:$M$4127,$C117)</f>
        <v>0</v>
      </c>
      <c r="E117" s="8">
        <f>SUMIFS('{worksheet}'!$AC$3:$AC$4127,'{worksheet}'!$AB$3:$AB$4127,"H1_2026",'{worksheet}'!$M$3:$M$4127,$C117)</f>
        <v>0</v>
      </c>
      <c r="F117" s="8">
        <f>E117-D117</f>
        <v>0</v>
      </c>
      <c r="G117" s="9" t="str">
        <f>IF(D117=0,"",E117/D117-1)</f>
        <v/>
      </c>
      <c r="H117" s="8">
        <f>SUMIFS('{worksheet}'!$AD$3:$AD$4127,'{worksheet}'!$AB$3:$AB$4127,"H1_2025",'{worksheet}'!$M$3:$M$4127,$C117)</f>
        <v>12</v>
      </c>
      <c r="I117" s="8">
        <f>SUMIFS('{worksheet}'!$AD$3:$AD$4127,'{worksheet}'!$AB$3:$AB$4127,"H1_2026",'{worksheet}'!$M$3:$M$4127,$C117)</f>
        <v>0</v>
      </c>
      <c r="J117" s="8">
        <f>SUMIFS('{worksheet}'!$AE$3:$AE$4127,'{worksheet}'!$AB$3:$AB$4127,"H1_2026",'{worksheet}'!$M$3:$M$4127,$C117)</f>
        <v>0</v>
      </c>
      <c r="K117" s="9" t="str">
        <f>IF(E117=0,"",J117/E117)</f>
        <v/>
      </c>
      <c r="L117" s="8">
        <f>SUMIFS('{worksheet}'!$AD$3:$AD$4127,'{worksheet}'!$AB$3:$AB$4127,"H1_2026",'{worksheet}'!$M$3:$M$4127,$C117,'{worksheet}'!$AF$3:$AF$4127,"Sample")+SUMIFS('{worksheet}'!$AD$3:$AD$4127,'{worksheet}'!$AB$3:$AB$4127,"H1_2026",'{worksheet}'!$M$3:$M$4127,$C117,'{worksheet}'!$AF$3:$AF$4127,"FOC")</f>
        <v>0</v>
      </c>
      <c r="M117" t="str">
        <f>IF(AND(D117=0,E117&gt;0),"New in H1'26",IF(AND(D117&gt;0,E117=0),"Exited",IF(G117="","",IF(G117&gt;=0.2,"Growth",IF(G117&lt;=-0.2,"Decline","Stable")))))</f>
        <v/>
      </c>
    </row>
    <row r="120" spans="1:13" outlineLevel="1" x14ac:dyDescent="0.3">
      <c r="A120" s="30" t="s">
        <v>23190</v>
      </c>
      <c r="E120" s="30" t="s">
        <v>23192</v>
      </c>
    </row>
    <row r="121" spans="1:13" outlineLevel="1" x14ac:dyDescent="0.3">
      <c r="A121" t="s">
        <v>23191</v>
      </c>
      <c r="B121" t="s">
        <v>23172</v>
      </c>
      <c r="C121" t="s">
        <v>23173</v>
      </c>
      <c r="E121" t="s">
        <v>23191</v>
      </c>
      <c r="F121" t="s">
        <v>23193</v>
      </c>
    </row>
    <row r="122" spans="1:13" outlineLevel="1" x14ac:dyDescent="0.3">
      <c r="A122" t="str">
        <f>B26</f>
        <v>Beauty of Joseon</v>
      </c>
      <c r="B122" s="8">
        <f>D26</f>
        <v>2104813777.6500003</v>
      </c>
      <c r="C122" s="8">
        <f>E26</f>
        <v>2270193372.6100001</v>
      </c>
      <c r="E122" t="str">
        <f>INDEX($B$26:$B$117,MATCH(LARGE($F$26:$F$117,ROW()-121),$F$26:$F$117,0))</f>
        <v>medicube</v>
      </c>
      <c r="F122" s="8">
        <f>LARGE($F$26:$F$117,ROW()-121)</f>
        <v>1588435846.9300003</v>
      </c>
    </row>
    <row r="123" spans="1:13" outlineLevel="1" x14ac:dyDescent="0.3">
      <c r="A123" t="str">
        <f t="shared" ref="A123:A131" si="1">B27</f>
        <v>medicube</v>
      </c>
      <c r="B123" s="8">
        <f t="shared" ref="B123:C123" si="2">D27</f>
        <v>392622936.80000007</v>
      </c>
      <c r="C123" s="8">
        <f t="shared" si="2"/>
        <v>1981058783.7300003</v>
      </c>
      <c r="E123" t="str">
        <f t="shared" ref="E123:E127" si="3">INDEX($B$26:$B$117,MATCH(LARGE($F$26:$F$117,ROW()-121),$F$26:$F$117,0))</f>
        <v>Anua</v>
      </c>
      <c r="F123" s="8">
        <f t="shared" ref="F123:F127" si="4">LARGE($F$26:$F$117,ROW()-121)</f>
        <v>1415570123.6399996</v>
      </c>
    </row>
    <row r="124" spans="1:13" outlineLevel="1" x14ac:dyDescent="0.3">
      <c r="A124" t="str">
        <f t="shared" si="1"/>
        <v>Anua</v>
      </c>
      <c r="B124" s="8">
        <f t="shared" ref="B124:C124" si="5">D28</f>
        <v>20961</v>
      </c>
      <c r="C124" s="8">
        <f t="shared" si="5"/>
        <v>1415591084.6399996</v>
      </c>
      <c r="E124" t="str">
        <f t="shared" si="3"/>
        <v>COSRX</v>
      </c>
      <c r="F124" s="8">
        <f t="shared" si="4"/>
        <v>338338460.53000015</v>
      </c>
    </row>
    <row r="125" spans="1:13" outlineLevel="1" x14ac:dyDescent="0.3">
      <c r="A125" t="str">
        <f t="shared" si="1"/>
        <v>COSRX</v>
      </c>
      <c r="B125" s="8">
        <f t="shared" ref="B125:C125" si="6">D29</f>
        <v>97689803.800000012</v>
      </c>
      <c r="C125" s="8">
        <f t="shared" si="6"/>
        <v>436028264.33000016</v>
      </c>
      <c r="E125" t="str">
        <f t="shared" si="3"/>
        <v>Round Lab</v>
      </c>
      <c r="F125" s="8">
        <f t="shared" si="4"/>
        <v>267189925.21000004</v>
      </c>
    </row>
    <row r="126" spans="1:13" outlineLevel="1" x14ac:dyDescent="0.3">
      <c r="A126" t="str">
        <f t="shared" si="1"/>
        <v>Round Lab</v>
      </c>
      <c r="B126" s="8">
        <f t="shared" ref="B126:C126" si="7">D30</f>
        <v>48847212.380000003</v>
      </c>
      <c r="C126" s="8">
        <f t="shared" si="7"/>
        <v>316037137.59000003</v>
      </c>
      <c r="E126" t="str">
        <f t="shared" si="3"/>
        <v>Celimax</v>
      </c>
      <c r="F126" s="8">
        <f t="shared" si="4"/>
        <v>207814605.91000003</v>
      </c>
    </row>
    <row r="127" spans="1:13" outlineLevel="1" x14ac:dyDescent="0.3">
      <c r="A127" t="str">
        <f t="shared" si="1"/>
        <v>Celimax</v>
      </c>
      <c r="B127" s="8">
        <f t="shared" ref="B127:C127" si="8">D31</f>
        <v>74354178.499999985</v>
      </c>
      <c r="C127" s="8">
        <f t="shared" si="8"/>
        <v>282168784.41000003</v>
      </c>
      <c r="E127" t="str">
        <f t="shared" si="3"/>
        <v>BIODANCE</v>
      </c>
      <c r="F127" s="8">
        <f t="shared" si="4"/>
        <v>187854515.65000004</v>
      </c>
    </row>
    <row r="128" spans="1:13" outlineLevel="1" x14ac:dyDescent="0.3">
      <c r="A128" t="str">
        <f t="shared" si="1"/>
        <v>Pyunkang Yul</v>
      </c>
      <c r="B128" s="8">
        <f t="shared" ref="B128:C128" si="9">D32</f>
        <v>276576947.2299999</v>
      </c>
      <c r="C128" s="8">
        <f t="shared" si="9"/>
        <v>272130838.95999998</v>
      </c>
      <c r="E128" t="str">
        <f>INDEX($B$26:$B$117,MATCH(SMALL($F$26:$F$117,ROW()-127),$F$26:$F$117,0))</f>
        <v>Dr.Elsia</v>
      </c>
      <c r="F128" s="8">
        <f>SMALL($F$26:$F$117,ROW()-127)</f>
        <v>-679446562.07999992</v>
      </c>
    </row>
    <row r="129" spans="1:6" outlineLevel="1" x14ac:dyDescent="0.3">
      <c r="A129" t="str">
        <f t="shared" si="1"/>
        <v>BIODANCE</v>
      </c>
      <c r="B129" s="8">
        <f t="shared" ref="B129:C129" si="10">D33</f>
        <v>63799921.480000004</v>
      </c>
      <c r="C129" s="8">
        <f t="shared" si="10"/>
        <v>251654437.13000003</v>
      </c>
      <c r="E129" t="str">
        <f t="shared" ref="E129:E132" si="11">INDEX($B$26:$B$117,MATCH(SMALL($F$26:$F$117,ROW()-127),$F$26:$F$117,0))</f>
        <v>VT Cosmetics</v>
      </c>
      <c r="F129" s="8">
        <f t="shared" ref="F129:F132" si="12">SMALL($F$26:$F$117,ROW()-127)</f>
        <v>-87346885.349999994</v>
      </c>
    </row>
    <row r="130" spans="1:6" outlineLevel="1" x14ac:dyDescent="0.3">
      <c r="A130" t="str">
        <f t="shared" si="1"/>
        <v>Arencia</v>
      </c>
      <c r="B130" s="8">
        <f t="shared" ref="B130:C130" si="13">D34</f>
        <v>0</v>
      </c>
      <c r="C130" s="8">
        <f t="shared" si="13"/>
        <v>159601451.77999997</v>
      </c>
      <c r="E130" t="str">
        <f t="shared" si="11"/>
        <v>JUMISO</v>
      </c>
      <c r="F130" s="8">
        <f t="shared" si="12"/>
        <v>-71557802</v>
      </c>
    </row>
    <row r="131" spans="1:6" outlineLevel="1" x14ac:dyDescent="0.3">
      <c r="A131" t="str">
        <f t="shared" si="1"/>
        <v>Dr.Rejuol</v>
      </c>
      <c r="B131" s="8">
        <f t="shared" ref="B131:C131" si="14">D35</f>
        <v>0</v>
      </c>
      <c r="C131" s="8">
        <f t="shared" si="14"/>
        <v>136670443.43000001</v>
      </c>
      <c r="E131" t="str">
        <f t="shared" si="11"/>
        <v>iUNIK</v>
      </c>
      <c r="F131" s="8">
        <f t="shared" si="12"/>
        <v>-51671049</v>
      </c>
    </row>
    <row r="132" spans="1:6" outlineLevel="1" x14ac:dyDescent="0.3">
      <c r="E132" t="str">
        <f t="shared" si="11"/>
        <v>Marie en May</v>
      </c>
      <c r="F132" s="8">
        <f t="shared" si="12"/>
        <v>-28934461.289999999</v>
      </c>
    </row>
  </sheetData>
  <phoneticPr fontId="20" type="noConversion"/>
  <conditionalFormatting sqref="G26:G117">
    <cfRule type="cellIs" dxfId="5" priority="1" operator="lessThan">
      <formula>0</formula>
    </cfRule>
  </conditionalFormatting>
  <conditionalFormatting sqref="M26:M117">
    <cfRule type="containsText" dxfId="4" priority="2" operator="containsText" text="New">
      <formula>NOT(ISERROR(SEARCH("New",M26)))</formula>
    </cfRule>
  </conditionalFormatting>
  <conditionalFormatting sqref="M26:M117">
    <cfRule type="containsText" dxfId="3" priority="3" operator="containsText" text="Exited">
      <formula>NOT(ISERROR(SEARCH("Exited",M26)))</formula>
    </cfRule>
  </conditionalFormatting>
  <conditionalFormatting sqref="M26:M117">
    <cfRule type="containsText" dxfId="2" priority="4" operator="containsText" text="Decline">
      <formula>NOT(ISERROR(SEARCH("Decline",M26)))</formula>
    </cfRule>
  </conditionalFormatting>
  <conditionalFormatting sqref="E6:E12">
    <cfRule type="cellIs" dxfId="1" priority="5" operator="lessThan">
      <formula>0</formula>
    </cfRule>
  </conditionalFormatting>
  <conditionalFormatting sqref="D16:D22">
    <cfRule type="cellIs" dxfId="0" priority="6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A4A5A-1D11-4871-BD11-B174E5F5DEF2}">
  <dimension ref="A1:A36"/>
  <sheetViews>
    <sheetView showGridLines="0" tabSelected="1" workbookViewId="0"/>
  </sheetViews>
  <sheetFormatPr defaultRowHeight="16.5" x14ac:dyDescent="0.3"/>
  <cols>
    <col min="1" max="1" width="163.375" customWidth="1"/>
  </cols>
  <sheetData>
    <row r="1" spans="1:1" ht="30" customHeight="1" x14ac:dyDescent="0.3">
      <c r="A1" s="32" t="s">
        <v>23194</v>
      </c>
    </row>
    <row r="2" spans="1:1" ht="32.1" customHeight="1" x14ac:dyDescent="0.3">
      <c r="A2" s="33" t="s">
        <v>23195</v>
      </c>
    </row>
    <row r="3" spans="1:1" x14ac:dyDescent="0.3">
      <c r="A3" s="34"/>
    </row>
    <row r="4" spans="1:1" ht="17.25" x14ac:dyDescent="0.3">
      <c r="A4" s="35" t="s">
        <v>23196</v>
      </c>
    </row>
    <row r="5" spans="1:1" ht="21.95" customHeight="1" x14ac:dyDescent="0.3">
      <c r="A5" s="34" t="str">
        <f>"•  Total revenue grew to "&amp;TEXT('H1 Analysis'!C6/1000000,"#,##0")&amp;"M KRW — "&amp;TEXT('H1 Analysis'!E6,"+0.0%;-0.0%")&amp;" YoY (from "&amp;TEXT('H1 Analysis'!B6/1000000,"#,##0")&amp;"M). This is the single biggest talking point."</f>
        <v>•  Total revenue grew to 8,153M KRW — +80.3% YoY (from 4,523M). This is the single biggest talking point.</v>
      </c>
    </row>
    <row r="6" spans="1:1" ht="21.95" customHeight="1" x14ac:dyDescent="0.3">
      <c r="A6" s="34" t="str">
        <f>"•  Gross profit "&amp;TEXT('H1 Analysis'!C7/1000000,"#,##0")&amp;"M KRW ("&amp;TEXT('H1 Analysis'!E7,"+0.0%")&amp;"); gross margin improved to "&amp;TEXT('H1 Analysis'!C8,"0.0%")&amp;" ("&amp;TEXT('H1 Analysis'!D8*100,"+0.0;-0.0")&amp;"pp) — growth was profitable, not just top-line."</f>
        <v>•  Gross profit 1,893M KRW (+109.4%); gross margin improved to 23.2% (+3.2pp) — growth was profitable, not just top-line.</v>
      </c>
    </row>
    <row r="7" spans="1:1" ht="21.95" customHeight="1" x14ac:dyDescent="0.3">
      <c r="A7" s="34" t="str">
        <f>"•  Units sold FELL "&amp;TEXT(-'H1 Analysis'!E9,"0.0%")&amp;" to "&amp;TEXT('H1 Analysis'!C9,"#,##0")&amp;" units while revenue rose 80% — a clear mix shift to higher-value brands/SKUs (higher average selling price). Expect a question on this."</f>
        <v>•  Units sold FELL 14.1% to 807,407 units while revenue rose 80% — a clear mix shift to higher-value brands/SKUs (higher average selling price). Expect a question on this.</v>
      </c>
    </row>
    <row r="8" spans="1:1" ht="21.95" customHeight="1" x14ac:dyDescent="0.3">
      <c r="A8" s="34" t="str">
        <f>"•  Order lines "&amp;TEXT('H1 Analysis'!E10,"+0.0%")&amp;" ("&amp;'H1 Analysis'!B10&amp;"→"&amp;'H1 Analysis'!C10&amp;"); active brands "&amp;'H1 Analysis'!B11&amp;"→"&amp;'H1 Analysis'!C11&amp;". Broader, more frequent ordering."</f>
        <v>•  Order lines +65.0% (949→1566); active brands 59→63. Broader, more frequent ordering.</v>
      </c>
    </row>
    <row r="9" spans="1:1" x14ac:dyDescent="0.3">
      <c r="A9" s="34"/>
    </row>
    <row r="10" spans="1:1" ht="17.25" x14ac:dyDescent="0.3">
      <c r="A10" s="35" t="s">
        <v>23197</v>
      </c>
    </row>
    <row r="11" spans="1:1" ht="21.95" customHeight="1" x14ac:dyDescent="0.3">
      <c r="A11" s="34" t="str">
        <f>"•  medicube is the #1 growth engine: +"&amp;TEXT('H1 Analysis'!F27/1000000,"#,##0")&amp;"M KRW ("&amp;TEXT('H1 Analysis'!G27,"+0%")&amp;"), now the #2 brand overall at "&amp;TEXT('H1 Analysis'!E27/1000000,"#,##0")&amp;"M."</f>
        <v>•  medicube is the #1 growth engine: +1,588M KRW (+405%), now the #2 brand overall at 1,981M.</v>
      </c>
    </row>
    <row r="12" spans="1:1" ht="21.95" customHeight="1" x14ac:dyDescent="0.3">
      <c r="A12" s="34" t="str">
        <f>"•  Anua effectively launched as a full-sales brand: "&amp;TEXT('H1 Analysis'!E28/1000000,"#,##0")&amp;"M KRW in H1'26 vs virtually nil in H1'25 (sample-only prior). Now the #3 brand."</f>
        <v>•  Anua effectively launched as a full-sales brand: 1,416M KRW in H1'26 vs virtually nil in H1'25 (sample-only prior). Now the #3 brand.</v>
      </c>
    </row>
    <row r="13" spans="1:1" ht="21.95" customHeight="1" x14ac:dyDescent="0.3">
      <c r="A13" s="34" t="s">
        <v>23198</v>
      </c>
    </row>
    <row r="14" spans="1:1" ht="21.95" customHeight="1" x14ac:dyDescent="0.3">
      <c r="A14" s="34" t="s">
        <v>23199</v>
      </c>
    </row>
    <row r="15" spans="1:1" ht="21.95" customHeight="1" x14ac:dyDescent="0.3">
      <c r="A15" s="34" t="str">
        <f>"•  Beauty of Joseon remains the anchor (#1 at "&amp;TEXT('H1 Analysis'!E26/1000000,"#,##0")&amp;"M) but growth is nearly flat ("&amp;TEXT('H1 Analysis'!G26,"+0.0%")&amp;"). It is holding share, not driving growth — watch for maturity/saturation."</f>
        <v>•  Beauty of Joseon remains the anchor (#1 at 2,270M) but growth is nearly flat (+7.9%). It is holding share, not driving growth — watch for maturity/saturation.</v>
      </c>
    </row>
    <row r="16" spans="1:1" x14ac:dyDescent="0.3">
      <c r="A16" s="34"/>
    </row>
    <row r="17" spans="1:1" ht="17.25" x14ac:dyDescent="0.3">
      <c r="A17" s="36" t="s">
        <v>23200</v>
      </c>
    </row>
    <row r="18" spans="1:1" ht="21.95" customHeight="1" x14ac:dyDescent="0.3">
      <c r="A18" s="34" t="str">
        <f>"•  Revenue concentration is HIGH: top 3 brands (Beauty of Joseon, medicube, Anua) = "&amp;TEXT(SUM('H1 Analysis'!E26:E28)/'H1 Analysis'!C6,"0%")&amp;" of H1'26 revenue. A stumble in any one materially hits the total."</f>
        <v>•  Revenue concentration is HIGH: top 3 brands (Beauty of Joseon, medicube, Anua) = 70% of H1'26 revenue. A stumble in any one materially hits the total.</v>
      </c>
    </row>
    <row r="19" spans="1:1" ht="21.95" customHeight="1" x14ac:dyDescent="0.3">
      <c r="A19" s="34" t="str">
        <f>"•  Dr.Elsia collapsed: "&amp;TEXT(INDEX('H1 Analysis'!$D$26:$D$117,MATCH("Dr.Elsia",'H1 Analysis'!$B$26:$B$117,0))/1000000,"#,##0")&amp;"M → "&amp;TEXT(INDEX('H1 Analysis'!$E$26:$E$117,MATCH("Dr.Elsia",'H1 Analysis'!$B$26:$B$117,0))/1000000,"#,##0")&amp;"M KRW. It was the #2 brand in H1'25 — understand why (delisting? stock? demand?) before the meeting."</f>
        <v>•  Dr.Elsia collapsed: 756M → 77M KRW. It was the #2 brand in H1'25 — understand why (delisting? stock? demand?) before the meeting.</v>
      </c>
    </row>
    <row r="20" spans="1:1" ht="36" customHeight="1" x14ac:dyDescent="0.3">
      <c r="A20" s="34" t="s">
        <v>23201</v>
      </c>
    </row>
    <row r="21" spans="1:1" ht="21.95" customHeight="1" x14ac:dyDescent="0.3">
      <c r="A21" s="34" t="str">
        <f>"•  April was the only down month: "&amp;TEXT('H1 Analysis'!D19,"0.0%")&amp;" YoY. Every other month grew (Jan +384%, Jun +194%). Have an explanation ready for the April dip."</f>
        <v>•  April was the only down month: -18.5% YoY. Every other month grew (Jan +384%, Jun +194%). Have an explanation ready for the April dip.</v>
      </c>
    </row>
    <row r="22" spans="1:1" ht="21.95" customHeight="1" x14ac:dyDescent="0.3">
      <c r="A22" s="34" t="s">
        <v>23202</v>
      </c>
    </row>
    <row r="23" spans="1:1" x14ac:dyDescent="0.3">
      <c r="A23" s="34"/>
    </row>
    <row r="24" spans="1:1" ht="17.25" x14ac:dyDescent="0.3">
      <c r="A24" s="35" t="s">
        <v>23203</v>
      </c>
    </row>
    <row r="25" spans="1:1" ht="21.95" customHeight="1" x14ac:dyDescent="0.3">
      <c r="A25" s="34" t="str">
        <f>"•  Free/promotional units cut sharply: "&amp;TEXT('H1 Analysis'!B12,"#,##0")&amp;" → "&amp;TEXT('H1 Analysis'!C12,"#,##0")&amp;" units ("&amp;TEXT('H1 Analysis'!E12,"0.0%")&amp;"). Far less product given away per KRW of sales."</f>
        <v>•  Free/promotional units cut sharply: 36,542 → 7,223 units (-80.2%). Far less product given away per KRW of sales.</v>
      </c>
    </row>
    <row r="26" spans="1:1" ht="21.95" customHeight="1" x14ac:dyDescent="0.3">
      <c r="A26" s="34" t="s">
        <v>23204</v>
      </c>
    </row>
    <row r="27" spans="1:1" ht="21.95" customHeight="1" x14ac:dyDescent="0.3">
      <c r="A27" s="34" t="s">
        <v>23205</v>
      </c>
    </row>
    <row r="28" spans="1:1" x14ac:dyDescent="0.3">
      <c r="A28" s="34"/>
    </row>
    <row r="29" spans="1:1" ht="17.25" x14ac:dyDescent="0.3">
      <c r="A29" s="37" t="s">
        <v>23206</v>
      </c>
    </row>
    <row r="30" spans="1:1" ht="21.95" customHeight="1" x14ac:dyDescent="0.3">
      <c r="A30" s="34" t="s">
        <v>23207</v>
      </c>
    </row>
    <row r="31" spans="1:1" ht="21.95" customHeight="1" x14ac:dyDescent="0.3">
      <c r="A31" s="34" t="s">
        <v>23208</v>
      </c>
    </row>
    <row r="32" spans="1:1" ht="21.95" customHeight="1" x14ac:dyDescent="0.3">
      <c r="A32" s="34" t="s">
        <v>23209</v>
      </c>
    </row>
    <row r="33" spans="1:1" ht="21.95" customHeight="1" x14ac:dyDescent="0.3">
      <c r="A33" s="34" t="s">
        <v>23210</v>
      </c>
    </row>
    <row r="34" spans="1:1" ht="21.95" customHeight="1" x14ac:dyDescent="0.3">
      <c r="A34" s="34" t="s">
        <v>23211</v>
      </c>
    </row>
    <row r="35" spans="1:1" x14ac:dyDescent="0.3">
      <c r="A35" s="34"/>
    </row>
    <row r="36" spans="1:1" ht="45.95" customHeight="1" x14ac:dyDescent="0.3">
      <c r="A36" s="38" t="s">
        <v>23212</v>
      </c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53A4-6484-4055-A3C9-F8BE5DAE13C0}">
  <dimension ref="B1:L70"/>
  <sheetViews>
    <sheetView showGridLines="0" workbookViewId="0">
      <selection activeCell="Q17" sqref="Q17"/>
    </sheetView>
  </sheetViews>
  <sheetFormatPr defaultRowHeight="16.5" x14ac:dyDescent="0.3"/>
  <cols>
    <col min="1" max="1" width="3" customWidth="1"/>
    <col min="2" max="4" width="10.375" customWidth="1"/>
    <col min="5" max="5" width="3.375" customWidth="1"/>
    <col min="6" max="8" width="10.375" customWidth="1"/>
    <col min="9" max="9" width="3.375" customWidth="1"/>
    <col min="10" max="12" width="10.375" customWidth="1"/>
  </cols>
  <sheetData>
    <row r="1" spans="2:12" ht="26.25" x14ac:dyDescent="0.3">
      <c r="B1" s="40" t="s">
        <v>23213</v>
      </c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2:12" x14ac:dyDescent="0.3">
      <c r="B2" s="41" t="s">
        <v>23214</v>
      </c>
      <c r="C2" s="41"/>
      <c r="D2" s="41"/>
      <c r="E2" s="41"/>
      <c r="F2" s="41"/>
      <c r="G2" s="41"/>
      <c r="H2" s="41"/>
      <c r="I2" s="41"/>
      <c r="J2" s="41"/>
      <c r="K2" s="41"/>
      <c r="L2" s="41"/>
    </row>
    <row r="4" spans="2:12" x14ac:dyDescent="0.3">
      <c r="B4" s="43" t="s">
        <v>23215</v>
      </c>
      <c r="C4" s="39"/>
      <c r="D4" s="39"/>
      <c r="F4" s="43" t="s">
        <v>23216</v>
      </c>
      <c r="G4" s="39"/>
      <c r="H4" s="39"/>
      <c r="J4" s="43" t="s">
        <v>23217</v>
      </c>
      <c r="K4" s="39"/>
      <c r="L4" s="39"/>
    </row>
    <row r="5" spans="2:12" ht="33.950000000000003" customHeight="1" x14ac:dyDescent="0.3">
      <c r="B5" s="44">
        <f>'H1 Analysis'!C6</f>
        <v>8152689812.0800037</v>
      </c>
      <c r="C5" s="39"/>
      <c r="D5" s="39"/>
      <c r="F5" s="44">
        <f>'H1 Analysis'!C7</f>
        <v>1893496250.7999992</v>
      </c>
      <c r="G5" s="39"/>
      <c r="H5" s="39"/>
      <c r="J5" s="46">
        <f>'H1 Analysis'!C8</f>
        <v>0.23225417554760491</v>
      </c>
      <c r="K5" s="39"/>
      <c r="L5" s="39"/>
    </row>
    <row r="6" spans="2:12" x14ac:dyDescent="0.3">
      <c r="B6" s="45" t="str">
        <f>"▲ "&amp;TEXT('H1 Analysis'!E6,"0.0%")&amp;" YoY"</f>
        <v>▲ 80.3% YoY</v>
      </c>
      <c r="C6" s="42"/>
      <c r="D6" s="42"/>
      <c r="F6" s="45" t="str">
        <f>"▲ "&amp;TEXT('H1 Analysis'!E7,"0.0%")&amp;" YoY"</f>
        <v>▲ 109.4% YoY</v>
      </c>
      <c r="G6" s="42"/>
      <c r="H6" s="42"/>
      <c r="J6" s="45" t="str">
        <f>"▲ "&amp;TEXT('H1 Analysis'!D8,"0.0%")&amp;"p"</f>
        <v>▲ 3.2%p</v>
      </c>
      <c r="K6" s="42"/>
      <c r="L6" s="42"/>
    </row>
    <row r="8" spans="2:12" x14ac:dyDescent="0.3">
      <c r="B8" s="43" t="s">
        <v>23218</v>
      </c>
      <c r="C8" s="39"/>
      <c r="D8" s="39"/>
      <c r="F8" s="43" t="s">
        <v>23219</v>
      </c>
      <c r="G8" s="39"/>
      <c r="H8" s="39"/>
      <c r="J8" s="43" t="s">
        <v>23220</v>
      </c>
      <c r="K8" s="39"/>
      <c r="L8" s="39"/>
    </row>
    <row r="9" spans="2:12" ht="33.950000000000003" customHeight="1" x14ac:dyDescent="0.3">
      <c r="B9" s="47">
        <f>'H1 Analysis'!C9</f>
        <v>807407</v>
      </c>
      <c r="C9" s="39"/>
      <c r="D9" s="39"/>
      <c r="F9" s="47">
        <f>'H1 Analysis'!C10</f>
        <v>1566</v>
      </c>
      <c r="G9" s="39"/>
      <c r="H9" s="39"/>
      <c r="J9" s="47">
        <f>'H1 Analysis'!C12</f>
        <v>7223</v>
      </c>
      <c r="K9" s="39"/>
      <c r="L9" s="39"/>
    </row>
    <row r="10" spans="2:12" x14ac:dyDescent="0.3">
      <c r="B10" s="48" t="str">
        <f>"▼ "&amp;TEXT('H1 Analysis'!E9,"0.0%")&amp;" YoY"</f>
        <v>▼ -14.1% YoY</v>
      </c>
      <c r="C10" s="42"/>
      <c r="D10" s="42"/>
      <c r="F10" s="45" t="str">
        <f>"▲ "&amp;TEXT('H1 Analysis'!E10,"0.0%")&amp;" YoY"</f>
        <v>▲ 65.0% YoY</v>
      </c>
      <c r="G10" s="42"/>
      <c r="H10" s="42"/>
      <c r="J10" s="48" t="str">
        <f>"▼ "&amp;TEXT('H1 Analysis'!E12,"0.0%")&amp;" YoY"</f>
        <v>▼ -80.2% YoY</v>
      </c>
      <c r="K10" s="42"/>
      <c r="L10" s="42"/>
    </row>
    <row r="62" spans="2:3" x14ac:dyDescent="0.3">
      <c r="B62" s="30" t="s">
        <v>23221</v>
      </c>
    </row>
    <row r="63" spans="2:3" x14ac:dyDescent="0.3">
      <c r="B63" t="s">
        <v>13</v>
      </c>
      <c r="C63" t="s">
        <v>23222</v>
      </c>
    </row>
    <row r="64" spans="2:3" x14ac:dyDescent="0.3">
      <c r="B64" t="str">
        <f>'H1 Analysis'!B26</f>
        <v>Beauty of Joseon</v>
      </c>
      <c r="C64">
        <f>'H1 Analysis'!E26</f>
        <v>2270193372.6100001</v>
      </c>
    </row>
    <row r="65" spans="2:3" x14ac:dyDescent="0.3">
      <c r="B65" t="str">
        <f>'H1 Analysis'!B27</f>
        <v>medicube</v>
      </c>
      <c r="C65">
        <f>'H1 Analysis'!E27</f>
        <v>1981058783.7300003</v>
      </c>
    </row>
    <row r="66" spans="2:3" x14ac:dyDescent="0.3">
      <c r="B66" t="str">
        <f>'H1 Analysis'!B28</f>
        <v>Anua</v>
      </c>
      <c r="C66">
        <f>'H1 Analysis'!E28</f>
        <v>1415591084.6399996</v>
      </c>
    </row>
    <row r="67" spans="2:3" x14ac:dyDescent="0.3">
      <c r="B67" t="str">
        <f>'H1 Analysis'!B29</f>
        <v>COSRX</v>
      </c>
      <c r="C67">
        <f>'H1 Analysis'!E29</f>
        <v>436028264.33000016</v>
      </c>
    </row>
    <row r="68" spans="2:3" x14ac:dyDescent="0.3">
      <c r="B68" t="str">
        <f>'H1 Analysis'!B30</f>
        <v>Round Lab</v>
      </c>
      <c r="C68">
        <f>'H1 Analysis'!E30</f>
        <v>316037137.59000003</v>
      </c>
    </row>
    <row r="69" spans="2:3" x14ac:dyDescent="0.3">
      <c r="B69" t="str">
        <f>'H1 Analysis'!B31</f>
        <v>Celimax</v>
      </c>
      <c r="C69">
        <f>'H1 Analysis'!E31</f>
        <v>282168784.41000003</v>
      </c>
    </row>
    <row r="70" spans="2:3" x14ac:dyDescent="0.3">
      <c r="B70" t="s">
        <v>23223</v>
      </c>
      <c r="C70">
        <f>'H1 Analysis'!C6-SUM('H1 Analysis'!E26:E31)</f>
        <v>1451612384.7700043</v>
      </c>
    </row>
  </sheetData>
  <mergeCells count="20">
    <mergeCell ref="J6:L6"/>
    <mergeCell ref="B8:D8"/>
    <mergeCell ref="B9:D9"/>
    <mergeCell ref="B10:D10"/>
    <mergeCell ref="F8:H8"/>
    <mergeCell ref="F9:H9"/>
    <mergeCell ref="F10:H10"/>
    <mergeCell ref="J8:L8"/>
    <mergeCell ref="J9:L9"/>
    <mergeCell ref="J10:L10"/>
    <mergeCell ref="B1:L1"/>
    <mergeCell ref="B2:L2"/>
    <mergeCell ref="B4:D4"/>
    <mergeCell ref="B5:D5"/>
    <mergeCell ref="B6:D6"/>
    <mergeCell ref="F4:H4"/>
    <mergeCell ref="F5:H5"/>
    <mergeCell ref="F6:H6"/>
    <mergeCell ref="J4:L4"/>
    <mergeCell ref="J5:L5"/>
  </mergeCells>
  <phoneticPr fontId="2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{worksheet}</vt:lpstr>
      <vt:lpstr>H1 Analysis</vt:lpstr>
      <vt:lpstr>Meeting Prep</vt:lpstr>
      <vt:lpstr>요약·특이점 (KR)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홍민주</cp:lastModifiedBy>
  <dcterms:created xsi:type="dcterms:W3CDTF">2026-07-09T07:31:50Z</dcterms:created>
  <dcterms:modified xsi:type="dcterms:W3CDTF">2026-07-09T11:01:24Z</dcterms:modified>
</cp:coreProperties>
</file>